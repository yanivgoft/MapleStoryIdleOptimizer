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Calc" sheetId="5" state="visible" r:id="rId5"/>
    <sheet name="Summary" sheetId="6" state="visible" r:id="rId6"/>
    <sheet name="Artifacts" sheetId="7" state="visible" r:id="rId7"/>
    <sheet name="Sensitivity" sheetId="8" state="visible" r:id="rId8"/>
    <sheet name="Equipment Compare" sheetId="9" state="visible" r:id="rId9"/>
    <sheet name="CubeData" sheetId="10" state="visible" r:id="rId10"/>
    <sheet name="PotentialCubes" sheetId="11" state="visible" r:id="rId11"/>
    <sheet name="ArtifactsInput" sheetId="12" state="visible" r:id="rId12"/>
  </sheets>
  <definedNames/>
  <calcPr calcId="124519" fullCalcOnLoad="1"/>
</workbook>
</file>

<file path=xl/styles.xml><?xml version="1.0" encoding="utf-8"?>
<styleSheet xmlns="http://schemas.openxmlformats.org/spreadsheetml/2006/main">
  <numFmts count="2">
    <numFmt numFmtId="164" formatCode="0.00&quot;%&quot;"/>
    <numFmt numFmtId="165" formatCode="+0.00&quot;%&quot;;-0.00&quot;%&quot;;0.00&quot;%&quot;"/>
  </numFmts>
  <fonts count="6">
    <font>
      <name val="Calibri"/>
      <family val="2"/>
      <color theme="1"/>
      <sz val="11"/>
      <scheme val="minor"/>
    </font>
    <font>
      <b val="1"/>
      <sz val="14"/>
    </font>
    <font>
      <b val="1"/>
      <sz val="12"/>
    </font>
    <font>
      <b val="1"/>
      <color rgb="00FFFFFF"/>
    </font>
    <font>
      <b val="1"/>
    </font>
    <font>
      <b val="1"/>
      <sz val="13"/>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2" borderId="0" applyAlignment="1" pivotButton="0" quotePrefix="0" xfId="0">
      <alignment horizontal="center"/>
    </xf>
    <xf numFmtId="0" fontId="4" fillId="0" borderId="0" pivotButton="0" quotePrefix="0" xfId="0"/>
    <xf numFmtId="0" fontId="0" fillId="3" borderId="0" pivotButton="0" quotePrefix="0" xfId="0"/>
    <xf numFmtId="0" fontId="0" fillId="4" borderId="0" pivotButton="0" quotePrefix="0" xfId="0"/>
    <xf numFmtId="0" fontId="2" fillId="0" borderId="0" pivotButton="0" quotePrefix="0" xfId="0"/>
    <xf numFmtId="0" fontId="5" fillId="0" borderId="0" pivotButton="0" quotePrefix="0" xfId="0"/>
    <xf numFmtId="0" fontId="3" fillId="2" borderId="0" pivotButton="0" quotePrefix="0" xfId="0"/>
    <xf numFmtId="0" fontId="0" fillId="2" borderId="0" pivotButton="0" quotePrefix="0" xfId="0"/>
    <xf numFmtId="164" fontId="0" fillId="0" borderId="0" pivotButton="0" quotePrefix="0" xfId="0"/>
    <xf numFmtId="165"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0" customWidth="1" min="1" max="1"/>
  </cols>
  <sheetData>
    <row r="1">
      <c r="A1" s="1" t="inlineStr">
        <is>
          <t>Night Lord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Venom/Toxic Venom assume the target is permanently afflicted with Venom's poison at steady state, not an exact on/off timer.</t>
        </is>
      </c>
    </row>
    <row r="11">
      <c r="A11" s="2" t="inlineStr">
        <is>
          <t>Crit Rate pushed above 100% (e.g. by cube potential lines) automatically redirects its stat-value to Crit Damage's own per-unit DPS value on the PotentialCubes sheet, since excess Crit Rate cannot do anything past 100%.</t>
        </is>
      </c>
    </row>
    <row r="12">
      <c r="A12" s="2" t="inlineStr">
        <is>
          <t>Buffs (Dark Sight, Frailty Curse, Nimble Feet) are modeled at steady-state duty-cycle average uptime, not as an exact moment-to-moment state machine. Alchemic Adrenaline's own action-rate-driven stack-up cycle is likewise modeled as a steady-state average uptime rather than an exact stack counter.</t>
        </is>
      </c>
    </row>
    <row r="13">
      <c r="A13" s="2" t="inlineStr">
        <is>
          <t>Shadow Partner and Shadow Shifter are modeled as steady-state average multipliers (expected extra damage per hit / expected counterattack rate) rather than an exact proc-by-proc simulation.</t>
        </is>
      </c>
    </row>
    <row r="14">
      <c r="A14" s="2" t="inlineStr">
        <is>
          <t>Content Type (Inputs) picks what you're fighting — Chapter Boss/Breakthrough/PvP/EXP Dungeon/Equipment Dungeon/Weapon Dungeon/Enhancement Dungeon/Hero Dungeon/World Boss/Chapter Hunt — and Monster Defense and Fixed Fight Duration are both auto-computed from it (plus Chapter/Stage for the chapter- and dungeon-based types); PvP still forces its own fixed 15-second window and uses your own Defense stat as the opponent's Defense estimate. See README.md's 'Content Type' section for the exact formulas.</t>
        </is>
      </c>
    </row>
    <row r="15">
      <c r="A15" s="2" t="inlineStr">
        <is>
          <t>Not modeled (out of scope): crowd control, Accuracy/Evasion/Defense reduction, movement speed, the character's own Defense stat, and Companion Summoning Time.</t>
        </is>
      </c>
    </row>
    <row r="16">
      <c r="A16"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hidden="1" width="13" customWidth="1" min="14" max="14"/>
  </cols>
  <sheetData>
    <row r="1">
      <c r="A1" s="4" t="inlineStr">
        <is>
          <t>Night Lord — DPS Calculator Inputs</t>
        </is>
      </c>
      <c r="N1" t="inlineStr">
        <is>
          <t>(none)</t>
        </is>
      </c>
    </row>
    <row r="2">
      <c r="C2" s="5" t="inlineStr">
        <is>
          <t>Chapter Boss</t>
        </is>
      </c>
      <c r="D2" s="5" t="inlineStr">
        <is>
          <t>Breakthrough</t>
        </is>
      </c>
      <c r="E2" s="5" t="inlineStr">
        <is>
          <t>PvP</t>
        </is>
      </c>
      <c r="F2" s="5" t="inlineStr">
        <is>
          <t>EXP Dungeon</t>
        </is>
      </c>
      <c r="G2" s="5" t="inlineStr">
        <is>
          <t>Equipment Dungeon</t>
        </is>
      </c>
      <c r="H2" s="5" t="inlineStr">
        <is>
          <t>Weapon Dungeon</t>
        </is>
      </c>
      <c r="I2" s="5" t="inlineStr">
        <is>
          <t>Enhancement Dungeon</t>
        </is>
      </c>
      <c r="J2" s="5" t="inlineStr">
        <is>
          <t>Hero Dungeon</t>
        </is>
      </c>
      <c r="K2" s="5" t="inlineStr">
        <is>
          <t>World Boss</t>
        </is>
      </c>
      <c r="L2" s="5" t="inlineStr">
        <is>
          <t>Chapter Hunt</t>
        </is>
      </c>
      <c r="N2" t="inlineStr">
        <is>
          <t>Charm of the Undead</t>
        </is>
      </c>
    </row>
    <row r="3">
      <c r="A3" s="6" t="inlineStr">
        <is>
          <t>Character Level</t>
        </is>
      </c>
      <c r="B3" s="7" t="n">
        <v>200</v>
      </c>
      <c r="N3" t="inlineStr">
        <is>
          <t>Pig's Ribbon</t>
        </is>
      </c>
    </row>
    <row r="4">
      <c r="A4" s="6" t="inlineStr">
        <is>
          <t>Content Type</t>
        </is>
      </c>
      <c r="B4" s="7" t="inlineStr">
        <is>
          <t>Chapter Boss</t>
        </is>
      </c>
      <c r="N4" t="inlineStr">
        <is>
          <t>Shamaness Marble</t>
        </is>
      </c>
    </row>
    <row r="5">
      <c r="A5" s="6" t="inlineStr">
        <is>
          <t>Chapter-Stage — 'chapter-substage' (e.g. '28-9') for Breakthrough/Chapter Hunt, just the chapter number for Chapter Boss, or just the stage number for Weapon/Equipment/Enhancement/EXP/Hero Dungeon. Not applicable to World Boss/PvP.</t>
        </is>
      </c>
      <c r="B5" s="8">
        <f>INDEX($C$5:$L$5,MATCH($B$4,$C$2:$L$2,0))</f>
        <v/>
      </c>
      <c r="C5" s="7" t="inlineStr">
        <is>
          <t>28</t>
        </is>
      </c>
      <c r="D5" s="7" t="inlineStr">
        <is>
          <t>28-9</t>
        </is>
      </c>
      <c r="E5" s="8" t="n"/>
      <c r="F5" s="7" t="inlineStr">
        <is>
          <t>80</t>
        </is>
      </c>
      <c r="G5" s="7" t="inlineStr">
        <is>
          <t>80</t>
        </is>
      </c>
      <c r="H5" s="7" t="inlineStr">
        <is>
          <t>80</t>
        </is>
      </c>
      <c r="I5" s="7" t="inlineStr">
        <is>
          <t>80</t>
        </is>
      </c>
      <c r="J5" s="7" t="inlineStr">
        <is>
          <t>80</t>
        </is>
      </c>
      <c r="K5" s="8" t="n"/>
      <c r="L5" s="7" t="inlineStr">
        <is>
          <t>28-9</t>
        </is>
      </c>
      <c r="N5" t="inlineStr">
        <is>
          <t>The Contract of Darkness</t>
        </is>
      </c>
    </row>
    <row r="6">
      <c r="A6" s="6" t="inlineStr">
        <is>
          <t>Flat ATTACK</t>
        </is>
      </c>
      <c r="B6" s="8">
        <f>INDEX($C$6:$L$6,MATCH($B$4,$C$2:$L$2,0))</f>
        <v/>
      </c>
      <c r="C6" s="7" t="n">
        <v>10000</v>
      </c>
      <c r="D6" s="7" t="n">
        <v>10000</v>
      </c>
      <c r="E6" s="7" t="n">
        <v>10000</v>
      </c>
      <c r="F6" s="7" t="n">
        <v>10000</v>
      </c>
      <c r="G6" s="7" t="n">
        <v>10000</v>
      </c>
      <c r="H6" s="7" t="n">
        <v>10000</v>
      </c>
      <c r="I6" s="7" t="n">
        <v>10000</v>
      </c>
      <c r="J6" s="7" t="n">
        <v>10000</v>
      </c>
      <c r="K6" s="7" t="n">
        <v>10000</v>
      </c>
      <c r="L6" s="7" t="n">
        <v>10000</v>
      </c>
      <c r="N6" t="inlineStr">
        <is>
          <t>Rainbow-colored Snail Shell</t>
        </is>
      </c>
    </row>
    <row r="7">
      <c r="A7" s="6" t="inlineStr">
        <is>
          <t>ATTACK %</t>
        </is>
      </c>
      <c r="B7" s="8">
        <f>INDEX($C$7:$L$7,MATCH($B$4,$C$2:$L$2,0))</f>
        <v/>
      </c>
      <c r="C7" s="7" t="n">
        <v>0</v>
      </c>
      <c r="D7" s="7" t="n">
        <v>0</v>
      </c>
      <c r="E7" s="7" t="n">
        <v>0</v>
      </c>
      <c r="F7" s="7" t="n">
        <v>0</v>
      </c>
      <c r="G7" s="7" t="n">
        <v>0</v>
      </c>
      <c r="H7" s="7" t="n">
        <v>0</v>
      </c>
      <c r="I7" s="7" t="n">
        <v>0</v>
      </c>
      <c r="J7" s="7" t="n">
        <v>0</v>
      </c>
      <c r="K7" s="7" t="n">
        <v>0</v>
      </c>
      <c r="L7" s="7" t="n">
        <v>0</v>
      </c>
      <c r="N7" t="inlineStr">
        <is>
          <t>Hexagon Necklace</t>
        </is>
      </c>
    </row>
    <row r="8">
      <c r="A8" s="6" t="inlineStr">
        <is>
          <t>Defense (your own DEF stat; PvP assumes the opponent has the same Defense as you)</t>
        </is>
      </c>
      <c r="B8" s="8">
        <f>INDEX($C$8:$L$8,MATCH($B$4,$C$2:$L$2,0))</f>
        <v/>
      </c>
      <c r="C8" s="7" t="n">
        <v>0</v>
      </c>
      <c r="D8" s="7" t="n">
        <v>0</v>
      </c>
      <c r="E8" s="7" t="n">
        <v>0</v>
      </c>
      <c r="F8" s="7" t="n">
        <v>0</v>
      </c>
      <c r="G8" s="7" t="n">
        <v>0</v>
      </c>
      <c r="H8" s="7" t="n">
        <v>0</v>
      </c>
      <c r="I8" s="7" t="n">
        <v>0</v>
      </c>
      <c r="J8" s="7" t="n">
        <v>0</v>
      </c>
      <c r="K8" s="7" t="n">
        <v>0</v>
      </c>
      <c r="L8" s="7" t="n">
        <v>0</v>
      </c>
      <c r="N8" t="inlineStr">
        <is>
          <t>Arwen's Glass Shoes</t>
        </is>
      </c>
    </row>
    <row r="9">
      <c r="A9" s="6" t="inlineStr">
        <is>
          <t>CRIT_RATE %</t>
        </is>
      </c>
      <c r="B9" s="8">
        <f>INDEX($C$9:$L$9,MATCH($B$4,$C$2:$L$2,0))</f>
        <v/>
      </c>
      <c r="C9" s="7" t="n">
        <v>0</v>
      </c>
      <c r="D9" s="7" t="n">
        <v>0</v>
      </c>
      <c r="E9" s="7" t="n">
        <v>0</v>
      </c>
      <c r="F9" s="7" t="n">
        <v>0</v>
      </c>
      <c r="G9" s="7" t="n">
        <v>0</v>
      </c>
      <c r="H9" s="7" t="n">
        <v>0</v>
      </c>
      <c r="I9" s="7" t="n">
        <v>0</v>
      </c>
      <c r="J9" s="7" t="n">
        <v>0</v>
      </c>
      <c r="K9" s="7" t="n">
        <v>0</v>
      </c>
      <c r="L9" s="7" t="n">
        <v>0</v>
      </c>
      <c r="N9" t="inlineStr">
        <is>
          <t>Mushmom's Cap</t>
        </is>
      </c>
    </row>
    <row r="10">
      <c r="A10" s="6" t="inlineStr">
        <is>
          <t>CRIT_DAMAGE %</t>
        </is>
      </c>
      <c r="B10" s="8">
        <f>INDEX($C$10:$L$10,MATCH($B$4,$C$2:$L$2,0))</f>
        <v/>
      </c>
      <c r="C10" s="7" t="n">
        <v>0</v>
      </c>
      <c r="D10" s="7" t="n">
        <v>0</v>
      </c>
      <c r="E10" s="7" t="n">
        <v>0</v>
      </c>
      <c r="F10" s="7" t="n">
        <v>0</v>
      </c>
      <c r="G10" s="7" t="n">
        <v>0</v>
      </c>
      <c r="H10" s="7" t="n">
        <v>0</v>
      </c>
      <c r="I10" s="7" t="n">
        <v>0</v>
      </c>
      <c r="J10" s="7" t="n">
        <v>0</v>
      </c>
      <c r="K10" s="7" t="n">
        <v>0</v>
      </c>
      <c r="L10" s="7" t="n">
        <v>0</v>
      </c>
      <c r="N10" t="inlineStr">
        <is>
          <t>Clear Spring Water</t>
        </is>
      </c>
    </row>
    <row r="11">
      <c r="A11" s="6" t="inlineStr">
        <is>
          <t>ATTACK_SPEED % (base, excludes Nimble Feet/Adrenalin)</t>
        </is>
      </c>
      <c r="B11" s="8">
        <f>INDEX($C$11:$L$11,MATCH($B$4,$C$2:$L$2,0))</f>
        <v/>
      </c>
      <c r="C11" s="7" t="n">
        <v>0</v>
      </c>
      <c r="D11" s="7" t="n">
        <v>0</v>
      </c>
      <c r="E11" s="7" t="n">
        <v>0</v>
      </c>
      <c r="F11" s="7" t="n">
        <v>0</v>
      </c>
      <c r="G11" s="7" t="n">
        <v>0</v>
      </c>
      <c r="H11" s="7" t="n">
        <v>0</v>
      </c>
      <c r="I11" s="7" t="n">
        <v>0</v>
      </c>
      <c r="J11" s="7" t="n">
        <v>0</v>
      </c>
      <c r="K11" s="7" t="n">
        <v>0</v>
      </c>
      <c r="L11" s="7" t="n">
        <v>0</v>
      </c>
      <c r="N11" t="inlineStr">
        <is>
          <t>Athena Pierce's Old Gloves</t>
        </is>
      </c>
    </row>
    <row r="12">
      <c r="A12" s="6" t="inlineStr">
        <is>
          <t>Flat LUK</t>
        </is>
      </c>
      <c r="B12" s="8">
        <f>INDEX($C$12:$L$12,MATCH($B$4,$C$2:$L$2,0))</f>
        <v/>
      </c>
      <c r="C12" s="7" t="n">
        <v>0</v>
      </c>
      <c r="D12" s="7" t="n">
        <v>0</v>
      </c>
      <c r="E12" s="7" t="n">
        <v>0</v>
      </c>
      <c r="F12" s="7" t="n">
        <v>0</v>
      </c>
      <c r="G12" s="7" t="n">
        <v>0</v>
      </c>
      <c r="H12" s="7" t="n">
        <v>0</v>
      </c>
      <c r="I12" s="7" t="n">
        <v>0</v>
      </c>
      <c r="J12" s="7" t="n">
        <v>0</v>
      </c>
      <c r="K12" s="7" t="n">
        <v>0</v>
      </c>
      <c r="L12" s="7" t="n">
        <v>0</v>
      </c>
      <c r="N12" t="inlineStr">
        <is>
          <t>Zakum's Stone Piece</t>
        </is>
      </c>
    </row>
    <row r="13">
      <c r="A13" s="6" t="inlineStr">
        <is>
          <t>LUK %</t>
        </is>
      </c>
      <c r="B13" s="8">
        <f>INDEX($C$13:$L$13,MATCH($B$4,$C$2:$L$2,0))</f>
        <v/>
      </c>
      <c r="C13" s="7" t="n">
        <v>0</v>
      </c>
      <c r="D13" s="7" t="n">
        <v>0</v>
      </c>
      <c r="E13" s="7" t="n">
        <v>0</v>
      </c>
      <c r="F13" s="7" t="n">
        <v>0</v>
      </c>
      <c r="G13" s="7" t="n">
        <v>0</v>
      </c>
      <c r="H13" s="7" t="n">
        <v>0</v>
      </c>
      <c r="I13" s="7" t="n">
        <v>0</v>
      </c>
      <c r="J13" s="7" t="n">
        <v>0</v>
      </c>
      <c r="K13" s="7" t="n">
        <v>0</v>
      </c>
      <c r="L13" s="7" t="n">
        <v>0</v>
      </c>
      <c r="N13" t="inlineStr">
        <is>
          <t>Horntail's Scale</t>
        </is>
      </c>
    </row>
    <row r="14">
      <c r="A14" s="6" t="inlineStr">
        <is>
          <t>DEX</t>
        </is>
      </c>
      <c r="B14" s="8">
        <f>INDEX($C$14:$L$14,MATCH($B$4,$C$2:$L$2,0))</f>
        <v/>
      </c>
      <c r="C14" s="7" t="n">
        <v>0</v>
      </c>
      <c r="D14" s="7" t="n">
        <v>0</v>
      </c>
      <c r="E14" s="7" t="n">
        <v>0</v>
      </c>
      <c r="F14" s="7" t="n">
        <v>0</v>
      </c>
      <c r="G14" s="7" t="n">
        <v>0</v>
      </c>
      <c r="H14" s="7" t="n">
        <v>0</v>
      </c>
      <c r="I14" s="7" t="n">
        <v>0</v>
      </c>
      <c r="J14" s="7" t="n">
        <v>0</v>
      </c>
      <c r="K14" s="7" t="n">
        <v>0</v>
      </c>
      <c r="L14" s="7" t="n">
        <v>0</v>
      </c>
      <c r="N14" t="inlineStr">
        <is>
          <t>Pink Bean's Giant Rib</t>
        </is>
      </c>
    </row>
    <row r="15">
      <c r="A15" s="6" t="inlineStr">
        <is>
          <t>DAMAGE %</t>
        </is>
      </c>
      <c r="B15" s="8">
        <f>INDEX($C$15:$L$15,MATCH($B$4,$C$2:$L$2,0))</f>
        <v/>
      </c>
      <c r="C15" s="7" t="n">
        <v>0</v>
      </c>
      <c r="D15" s="7" t="n">
        <v>0</v>
      </c>
      <c r="E15" s="7" t="n">
        <v>0</v>
      </c>
      <c r="F15" s="7" t="n">
        <v>0</v>
      </c>
      <c r="G15" s="7" t="n">
        <v>0</v>
      </c>
      <c r="H15" s="7" t="n">
        <v>0</v>
      </c>
      <c r="I15" s="7" t="n">
        <v>0</v>
      </c>
      <c r="J15" s="7" t="n">
        <v>0</v>
      </c>
      <c r="K15" s="7" t="n">
        <v>0</v>
      </c>
      <c r="L15" s="7" t="n">
        <v>0</v>
      </c>
      <c r="N15" t="inlineStr">
        <is>
          <t>Chalice</t>
        </is>
      </c>
    </row>
    <row r="16">
      <c r="A16" s="6" t="inlineStr">
        <is>
          <t>DAMAGE_AMP %</t>
        </is>
      </c>
      <c r="B16" s="8">
        <f>INDEX($C$16:$L$16,MATCH($B$4,$C$2:$L$2,0))</f>
        <v/>
      </c>
      <c r="C16" s="7" t="n">
        <v>0</v>
      </c>
      <c r="D16" s="7" t="n">
        <v>0</v>
      </c>
      <c r="E16" s="7" t="n">
        <v>0</v>
      </c>
      <c r="F16" s="7" t="n">
        <v>0</v>
      </c>
      <c r="G16" s="7" t="n">
        <v>0</v>
      </c>
      <c r="H16" s="7" t="n">
        <v>0</v>
      </c>
      <c r="I16" s="7" t="n">
        <v>0</v>
      </c>
      <c r="J16" s="7" t="n">
        <v>0</v>
      </c>
      <c r="K16" s="7" t="n">
        <v>0</v>
      </c>
      <c r="L16" s="7" t="n">
        <v>0</v>
      </c>
      <c r="N16" t="inlineStr">
        <is>
          <t>Old Music Box</t>
        </is>
      </c>
    </row>
    <row r="17">
      <c r="A17" s="6" t="inlineStr">
        <is>
          <t>BASIC_ATTACK_DAMAGE %</t>
        </is>
      </c>
      <c r="B17" s="8">
        <f>INDEX($C$17:$L$17,MATCH($B$4,$C$2:$L$2,0))</f>
        <v/>
      </c>
      <c r="C17" s="7" t="n">
        <v>0</v>
      </c>
      <c r="D17" s="7" t="n">
        <v>0</v>
      </c>
      <c r="E17" s="7" t="n">
        <v>0</v>
      </c>
      <c r="F17" s="7" t="n">
        <v>0</v>
      </c>
      <c r="G17" s="7" t="n">
        <v>0</v>
      </c>
      <c r="H17" s="7" t="n">
        <v>0</v>
      </c>
      <c r="I17" s="7" t="n">
        <v>0</v>
      </c>
      <c r="J17" s="7" t="n">
        <v>0</v>
      </c>
      <c r="K17" s="7" t="n">
        <v>0</v>
      </c>
      <c r="L17" s="7" t="n">
        <v>0</v>
      </c>
      <c r="N17" t="inlineStr">
        <is>
          <t>Silver Pendant</t>
        </is>
      </c>
    </row>
    <row r="18">
      <c r="A18" s="6" t="inlineStr">
        <is>
          <t>SKILL_DAMAGE %</t>
        </is>
      </c>
      <c r="B18" s="8">
        <f>INDEX($C$18:$L$18,MATCH($B$4,$C$2:$L$2,0))</f>
        <v/>
      </c>
      <c r="C18" s="7" t="n">
        <v>0</v>
      </c>
      <c r="D18" s="7" t="n">
        <v>0</v>
      </c>
      <c r="E18" s="7" t="n">
        <v>0</v>
      </c>
      <c r="F18" s="7" t="n">
        <v>0</v>
      </c>
      <c r="G18" s="7" t="n">
        <v>0</v>
      </c>
      <c r="H18" s="7" t="n">
        <v>0</v>
      </c>
      <c r="I18" s="7" t="n">
        <v>0</v>
      </c>
      <c r="J18" s="7" t="n">
        <v>0</v>
      </c>
      <c r="K18" s="7" t="n">
        <v>0</v>
      </c>
      <c r="L18" s="7" t="n">
        <v>0</v>
      </c>
      <c r="N18" t="inlineStr">
        <is>
          <t>Star Rock</t>
        </is>
      </c>
    </row>
    <row r="19">
      <c r="A19" s="6" t="inlineStr">
        <is>
          <t>DEF_PEN %</t>
        </is>
      </c>
      <c r="B19" s="8">
        <f>INDEX($C$19:$L$19,MATCH($B$4,$C$2:$L$2,0))</f>
        <v/>
      </c>
      <c r="C19" s="7" t="n">
        <v>0</v>
      </c>
      <c r="D19" s="7" t="n">
        <v>0</v>
      </c>
      <c r="E19" s="7" t="n">
        <v>0</v>
      </c>
      <c r="F19" s="7" t="n">
        <v>0</v>
      </c>
      <c r="G19" s="7" t="n">
        <v>0</v>
      </c>
      <c r="H19" s="7" t="n">
        <v>0</v>
      </c>
      <c r="I19" s="7" t="n">
        <v>0</v>
      </c>
      <c r="J19" s="7" t="n">
        <v>0</v>
      </c>
      <c r="K19" s="7" t="n">
        <v>0</v>
      </c>
      <c r="L19" s="7" t="n">
        <v>0</v>
      </c>
      <c r="N19" t="inlineStr">
        <is>
          <t>Book of Ancient</t>
        </is>
      </c>
    </row>
    <row r="20">
      <c r="A20" s="6" t="inlineStr">
        <is>
          <t>BOSS_DAMAGE %</t>
        </is>
      </c>
      <c r="B20" s="8">
        <f>INDEX($C$20:$L$20,MATCH($B$4,$C$2:$L$2,0))</f>
        <v/>
      </c>
      <c r="C20" s="7" t="n">
        <v>0</v>
      </c>
      <c r="D20" s="7" t="n">
        <v>0</v>
      </c>
      <c r="E20" s="7" t="n">
        <v>0</v>
      </c>
      <c r="F20" s="7" t="n">
        <v>0</v>
      </c>
      <c r="G20" s="7" t="n">
        <v>0</v>
      </c>
      <c r="H20" s="7" t="n">
        <v>0</v>
      </c>
      <c r="I20" s="7" t="n">
        <v>0</v>
      </c>
      <c r="J20" s="7" t="n">
        <v>0</v>
      </c>
      <c r="K20" s="7" t="n">
        <v>0</v>
      </c>
      <c r="L20" s="7" t="n">
        <v>0</v>
      </c>
      <c r="N20" t="inlineStr">
        <is>
          <t>Lunar Dew</t>
        </is>
      </c>
    </row>
    <row r="21">
      <c r="A21" s="6" t="inlineStr">
        <is>
          <t>NORMAL_DAMAGE %</t>
        </is>
      </c>
      <c r="B21" s="8">
        <f>INDEX($C$21:$L$21,MATCH($B$4,$C$2:$L$2,0))</f>
        <v/>
      </c>
      <c r="C21" s="7" t="n">
        <v>0</v>
      </c>
      <c r="D21" s="7" t="n">
        <v>0</v>
      </c>
      <c r="E21" s="7" t="n">
        <v>0</v>
      </c>
      <c r="F21" s="7" t="n">
        <v>0</v>
      </c>
      <c r="G21" s="7" t="n">
        <v>0</v>
      </c>
      <c r="H21" s="7" t="n">
        <v>0</v>
      </c>
      <c r="I21" s="7" t="n">
        <v>0</v>
      </c>
      <c r="J21" s="7" t="n">
        <v>0</v>
      </c>
      <c r="K21" s="7" t="n">
        <v>0</v>
      </c>
      <c r="L21" s="7" t="n">
        <v>0</v>
      </c>
      <c r="N21" t="inlineStr">
        <is>
          <t>Fire Flower</t>
        </is>
      </c>
    </row>
    <row r="22">
      <c r="A22" s="6" t="inlineStr">
        <is>
          <t>MIN_DAMAGE %</t>
        </is>
      </c>
      <c r="B22" s="8">
        <f>INDEX($C$22:$L$22,MATCH($B$4,$C$2:$L$2,0))</f>
        <v/>
      </c>
      <c r="C22" s="7" t="n">
        <v>100</v>
      </c>
      <c r="D22" s="7" t="n">
        <v>100</v>
      </c>
      <c r="E22" s="7" t="n">
        <v>100</v>
      </c>
      <c r="F22" s="7" t="n">
        <v>100</v>
      </c>
      <c r="G22" s="7" t="n">
        <v>100</v>
      </c>
      <c r="H22" s="7" t="n">
        <v>100</v>
      </c>
      <c r="I22" s="7" t="n">
        <v>100</v>
      </c>
      <c r="J22" s="7" t="n">
        <v>100</v>
      </c>
      <c r="K22" s="7" t="n">
        <v>100</v>
      </c>
      <c r="L22" s="7" t="n">
        <v>100</v>
      </c>
      <c r="N22" t="inlineStr">
        <is>
          <t>Soul Contract</t>
        </is>
      </c>
    </row>
    <row r="23">
      <c r="A23" s="6" t="inlineStr">
        <is>
          <t>MAX_DAMAGE %</t>
        </is>
      </c>
      <c r="B23" s="8">
        <f>INDEX($C$23:$L$23,MATCH($B$4,$C$2:$L$2,0))</f>
        <v/>
      </c>
      <c r="C23" s="7" t="n">
        <v>100</v>
      </c>
      <c r="D23" s="7" t="n">
        <v>100</v>
      </c>
      <c r="E23" s="7" t="n">
        <v>100</v>
      </c>
      <c r="F23" s="7" t="n">
        <v>100</v>
      </c>
      <c r="G23" s="7" t="n">
        <v>100</v>
      </c>
      <c r="H23" s="7" t="n">
        <v>100</v>
      </c>
      <c r="I23" s="7" t="n">
        <v>100</v>
      </c>
      <c r="J23" s="7" t="n">
        <v>100</v>
      </c>
      <c r="K23" s="7" t="n">
        <v>100</v>
      </c>
      <c r="L23" s="7" t="n">
        <v>100</v>
      </c>
      <c r="N23" t="inlineStr">
        <is>
          <t>Lit Lamp</t>
        </is>
      </c>
    </row>
    <row r="24">
      <c r="A24" s="6" t="inlineStr">
        <is>
          <t>FINAL_DAMAGE % (base)</t>
        </is>
      </c>
      <c r="B24" s="8">
        <f>INDEX($C$24:$L$24,MATCH($B$4,$C$2:$L$2,0))</f>
        <v/>
      </c>
      <c r="C24" s="7" t="n">
        <v>0</v>
      </c>
      <c r="D24" s="7" t="n">
        <v>0</v>
      </c>
      <c r="E24" s="7" t="n">
        <v>0</v>
      </c>
      <c r="F24" s="7" t="n">
        <v>0</v>
      </c>
      <c r="G24" s="7" t="n">
        <v>0</v>
      </c>
      <c r="H24" s="7" t="n">
        <v>0</v>
      </c>
      <c r="I24" s="7" t="n">
        <v>0</v>
      </c>
      <c r="J24" s="7" t="n">
        <v>0</v>
      </c>
      <c r="K24" s="7" t="n">
        <v>0</v>
      </c>
      <c r="L24" s="7" t="n">
        <v>0</v>
      </c>
      <c r="N24" t="inlineStr">
        <is>
          <t>Soul Pouch</t>
        </is>
      </c>
    </row>
    <row r="25">
      <c r="A25" s="6" t="inlineStr">
        <is>
          <t>Skill Level Bonus — 1st Job</t>
        </is>
      </c>
      <c r="B25" s="8">
        <f>INDEX($C$25:$L$25,MATCH($B$4,$C$2:$L$2,0))</f>
        <v/>
      </c>
      <c r="C25" s="7" t="n">
        <v>0</v>
      </c>
      <c r="D25" s="7" t="n">
        <v>0</v>
      </c>
      <c r="E25" s="7" t="n">
        <v>0</v>
      </c>
      <c r="F25" s="7" t="n">
        <v>0</v>
      </c>
      <c r="G25" s="7" t="n">
        <v>0</v>
      </c>
      <c r="H25" s="7" t="n">
        <v>0</v>
      </c>
      <c r="I25" s="7" t="n">
        <v>0</v>
      </c>
      <c r="J25" s="7" t="n">
        <v>0</v>
      </c>
      <c r="K25" s="7" t="n">
        <v>0</v>
      </c>
      <c r="L25" s="7" t="n">
        <v>0</v>
      </c>
      <c r="N25" t="inlineStr">
        <is>
          <t>Ancient Text Piece</t>
        </is>
      </c>
    </row>
    <row r="26">
      <c r="A26" s="6" t="inlineStr">
        <is>
          <t>Skill Level Bonus — 2nd Job</t>
        </is>
      </c>
      <c r="B26" s="8">
        <f>INDEX($C$26:$L$26,MATCH($B$4,$C$2:$L$2,0))</f>
        <v/>
      </c>
      <c r="C26" s="7" t="n">
        <v>0</v>
      </c>
      <c r="D26" s="7" t="n">
        <v>0</v>
      </c>
      <c r="E26" s="7" t="n">
        <v>0</v>
      </c>
      <c r="F26" s="7" t="n">
        <v>0</v>
      </c>
      <c r="G26" s="7" t="n">
        <v>0</v>
      </c>
      <c r="H26" s="7" t="n">
        <v>0</v>
      </c>
      <c r="I26" s="7" t="n">
        <v>0</v>
      </c>
      <c r="J26" s="7" t="n">
        <v>0</v>
      </c>
      <c r="K26" s="7" t="n">
        <v>0</v>
      </c>
      <c r="L26" s="7" t="n">
        <v>0</v>
      </c>
      <c r="N26" t="inlineStr">
        <is>
          <t>Icy Soul Rock</t>
        </is>
      </c>
    </row>
    <row r="27">
      <c r="A27" s="6" t="inlineStr">
        <is>
          <t>Skill Level Bonus — 3rd Job</t>
        </is>
      </c>
      <c r="B27" s="8">
        <f>INDEX($C$27:$L$27,MATCH($B$4,$C$2:$L$2,0))</f>
        <v/>
      </c>
      <c r="C27" s="7" t="n">
        <v>0</v>
      </c>
      <c r="D27" s="7" t="n">
        <v>0</v>
      </c>
      <c r="E27" s="7" t="n">
        <v>0</v>
      </c>
      <c r="F27" s="7" t="n">
        <v>0</v>
      </c>
      <c r="G27" s="7" t="n">
        <v>0</v>
      </c>
      <c r="H27" s="7" t="n">
        <v>0</v>
      </c>
      <c r="I27" s="7" t="n">
        <v>0</v>
      </c>
      <c r="J27" s="7" t="n">
        <v>0</v>
      </c>
      <c r="K27" s="7" t="n">
        <v>0</v>
      </c>
      <c r="L27" s="7" t="n">
        <v>0</v>
      </c>
      <c r="N27" t="inlineStr">
        <is>
          <t>Flaming Lava</t>
        </is>
      </c>
    </row>
    <row r="28">
      <c r="A28" s="6" t="inlineStr">
        <is>
          <t>Skill Level Bonus — 4th Job</t>
        </is>
      </c>
      <c r="B28" s="8">
        <f>INDEX($C$28:$L$28,MATCH($B$4,$C$2:$L$2,0))</f>
        <v/>
      </c>
      <c r="C28" s="7" t="n">
        <v>0</v>
      </c>
      <c r="D28" s="7" t="n">
        <v>0</v>
      </c>
      <c r="E28" s="7" t="n">
        <v>0</v>
      </c>
      <c r="F28" s="7" t="n">
        <v>0</v>
      </c>
      <c r="G28" s="7" t="n">
        <v>0</v>
      </c>
      <c r="H28" s="7" t="n">
        <v>0</v>
      </c>
      <c r="I28" s="7" t="n">
        <v>0</v>
      </c>
      <c r="J28" s="7" t="n">
        <v>0</v>
      </c>
      <c r="K28" s="7" t="n">
        <v>0</v>
      </c>
      <c r="L28" s="7" t="n">
        <v>0</v>
      </c>
      <c r="N28" t="inlineStr">
        <is>
          <t>Sayram's Necklace</t>
        </is>
      </c>
    </row>
    <row r="29">
      <c r="A29" s="6" t="inlineStr">
        <is>
          <t>Skill Level Bonus — All Skills</t>
        </is>
      </c>
      <c r="B29" s="8">
        <f>INDEX($C$29:$L$29,MATCH($B$4,$C$2:$L$2,0))</f>
        <v/>
      </c>
      <c r="C29" s="7" t="n">
        <v>0</v>
      </c>
      <c r="D29" s="7" t="n">
        <v>0</v>
      </c>
      <c r="E29" s="7" t="n">
        <v>0</v>
      </c>
      <c r="F29" s="7" t="n">
        <v>0</v>
      </c>
      <c r="G29" s="7" t="n">
        <v>0</v>
      </c>
      <c r="H29" s="7" t="n">
        <v>0</v>
      </c>
      <c r="I29" s="7" t="n">
        <v>0</v>
      </c>
      <c r="J29" s="7" t="n">
        <v>0</v>
      </c>
      <c r="K29" s="7" t="n">
        <v>0</v>
      </c>
      <c r="L29" s="7" t="n">
        <v>0</v>
      </c>
      <c r="N29" t="inlineStr">
        <is>
          <t>Bottle of Emotion</t>
        </is>
      </c>
    </row>
    <row r="30">
      <c r="N30" t="inlineStr">
        <is>
          <t>Peach Tree Herb Pouch</t>
        </is>
      </c>
    </row>
    <row r="31">
      <c r="A31" s="9" t="inlineStr">
        <is>
          <t>Additional Bonuses</t>
        </is>
      </c>
      <c r="N31" t="inlineStr">
        <is>
          <t>Candle</t>
        </is>
      </c>
    </row>
    <row r="32">
      <c r="A32" s="6" t="inlineStr">
        <is>
          <t>Skill Cooldown Decrease (seconds, only skills the character actively casts)</t>
        </is>
      </c>
      <c r="B32" s="8">
        <f>INDEX($C$32:$L$32,MATCH($B$4,$C$2:$L$2,0))</f>
        <v/>
      </c>
      <c r="C32" s="7" t="n">
        <v>0</v>
      </c>
      <c r="D32" s="7" t="n">
        <v>0</v>
      </c>
      <c r="E32" s="7" t="n">
        <v>0</v>
      </c>
      <c r="F32" s="7" t="n">
        <v>0</v>
      </c>
      <c r="G32" s="7" t="n">
        <v>0</v>
      </c>
      <c r="H32" s="7" t="n">
        <v>0</v>
      </c>
      <c r="I32" s="7" t="n">
        <v>0</v>
      </c>
      <c r="J32" s="7" t="n">
        <v>0</v>
      </c>
      <c r="K32" s="7" t="n">
        <v>0</v>
      </c>
      <c r="L32" s="7" t="n">
        <v>0</v>
      </c>
      <c r="N32" t="inlineStr">
        <is>
          <t>Alliance Badge</t>
        </is>
      </c>
    </row>
    <row r="33">
      <c r="A33" s="6" t="inlineStr">
        <is>
          <t>Basic Attack Target Increase (flat, adds to the 6-target Showdown base)</t>
        </is>
      </c>
      <c r="B33" s="8">
        <f>INDEX($C$33:$L$33,MATCH($B$4,$C$2:$L$2,0))</f>
        <v/>
      </c>
      <c r="C33" s="7" t="n">
        <v>1</v>
      </c>
      <c r="D33" s="7" t="n">
        <v>1</v>
      </c>
      <c r="E33" s="7" t="n">
        <v>1</v>
      </c>
      <c r="F33" s="7" t="n">
        <v>1</v>
      </c>
      <c r="G33" s="7" t="n">
        <v>1</v>
      </c>
      <c r="H33" s="7" t="n">
        <v>1</v>
      </c>
      <c r="I33" s="7" t="n">
        <v>1</v>
      </c>
      <c r="J33" s="7" t="n">
        <v>1</v>
      </c>
      <c r="K33" s="7" t="n">
        <v>1</v>
      </c>
      <c r="L33" s="7" t="n">
        <v>1</v>
      </c>
      <c r="N33" t="inlineStr">
        <is>
          <t>Horn Flute</t>
        </is>
      </c>
    </row>
    <row r="34">
      <c r="A34" s="6" t="inlineStr">
        <is>
          <t>Buff Duration Increase %</t>
        </is>
      </c>
      <c r="B34" s="8">
        <f>INDEX($C$34:$L$34,MATCH($B$4,$C$2:$L$2,0))</f>
        <v/>
      </c>
      <c r="C34" s="7" t="n">
        <v>0</v>
      </c>
      <c r="D34" s="7" t="n">
        <v>0</v>
      </c>
      <c r="E34" s="7" t="n">
        <v>0</v>
      </c>
      <c r="F34" s="7" t="n">
        <v>0</v>
      </c>
      <c r="G34" s="7" t="n">
        <v>0</v>
      </c>
      <c r="H34" s="7" t="n">
        <v>0</v>
      </c>
      <c r="I34" s="7" t="n">
        <v>0</v>
      </c>
      <c r="J34" s="7" t="n">
        <v>0</v>
      </c>
      <c r="K34" s="7" t="n">
        <v>0</v>
      </c>
      <c r="L34" s="7" t="n">
        <v>0</v>
      </c>
      <c r="N34" t="inlineStr">
        <is>
          <t>Cursed Doll</t>
        </is>
      </c>
    </row>
    <row r="35">
      <c r="A35" s="6" t="inlineStr">
        <is>
          <t>Companion Summoning Time Increase % (companions not modeled — always 0 DPS impact)</t>
        </is>
      </c>
      <c r="B35" s="8">
        <f>INDEX($C$35:$L$35,MATCH($B$4,$C$2:$L$2,0))</f>
        <v/>
      </c>
      <c r="C35" s="7" t="n">
        <v>0</v>
      </c>
      <c r="D35" s="7" t="n">
        <v>0</v>
      </c>
      <c r="E35" s="7" t="n">
        <v>0</v>
      </c>
      <c r="F35" s="7" t="n">
        <v>0</v>
      </c>
      <c r="G35" s="7" t="n">
        <v>0</v>
      </c>
      <c r="H35" s="7" t="n">
        <v>0</v>
      </c>
      <c r="I35" s="7" t="n">
        <v>0</v>
      </c>
      <c r="J35" s="7" t="n">
        <v>0</v>
      </c>
      <c r="K35" s="7" t="n">
        <v>0</v>
      </c>
      <c r="L35" s="7" t="n">
        <v>0</v>
      </c>
      <c r="N35" t="inlineStr">
        <is>
          <t>Reindeer's Spear</t>
        </is>
      </c>
    </row>
    <row r="36">
      <c r="A36" s="6" t="inlineStr">
        <is>
          <t>Boss/Normal Emphasis (used when Content Type is Breakthrough or Hero Dungeon)</t>
        </is>
      </c>
      <c r="B36" s="8">
        <f>INDEX($C$36:$L$36,MATCH($B$4,$C$2:$L$2,0))</f>
        <v/>
      </c>
      <c r="C36" s="8" t="n"/>
      <c r="D36" s="7" t="inlineStr">
        <is>
          <t>A Little More Normal</t>
        </is>
      </c>
      <c r="E36" s="8" t="n"/>
      <c r="F36" s="8" t="n"/>
      <c r="G36" s="8" t="n"/>
      <c r="H36" s="8" t="n"/>
      <c r="I36" s="8" t="n"/>
      <c r="J36" s="7" t="inlineStr">
        <is>
          <t>A Little More Normal</t>
        </is>
      </c>
      <c r="K36" s="8" t="n"/>
      <c r="L36" s="8" t="n"/>
      <c r="N36" t="inlineStr">
        <is>
          <t>Secret Map</t>
        </is>
      </c>
    </row>
    <row r="37">
      <c r="A37" s="6" t="inlineStr">
        <is>
          <t>Max Enemies Actually In Range (normal monsters only; default 999 = uncapped)</t>
        </is>
      </c>
      <c r="B37" s="8">
        <f>INDEX($C$37:$L$37,MATCH($B$4,$C$2:$L$2,0))</f>
        <v/>
      </c>
      <c r="C37" s="8" t="n"/>
      <c r="D37" s="7" t="n">
        <v>999</v>
      </c>
      <c r="E37" s="8" t="n"/>
      <c r="F37" s="7" t="n">
        <v>999</v>
      </c>
      <c r="G37" s="7" t="n">
        <v>999</v>
      </c>
      <c r="H37" s="8" t="n"/>
      <c r="I37" s="8" t="n"/>
      <c r="J37" s="7" t="n">
        <v>999</v>
      </c>
      <c r="K37" s="8" t="n"/>
      <c r="L37" s="7" t="n">
        <v>999</v>
      </c>
      <c r="N37" t="inlineStr">
        <is>
          <t>Ring of Cycles</t>
        </is>
      </c>
    </row>
    <row r="38">
      <c r="A38" s="6" t="inlineStr">
        <is>
          <t>Incoming Hit Rate (hits/sec taken — user-estimated, feeds Shadow Shifter's counterattack only)</t>
        </is>
      </c>
      <c r="B38" s="8">
        <f>INDEX($C$38:$L$38,MATCH($B$4,$C$2:$L$2,0))</f>
        <v/>
      </c>
      <c r="C38" s="7" t="n">
        <v>1</v>
      </c>
      <c r="D38" s="7" t="n">
        <v>1</v>
      </c>
      <c r="E38" s="7" t="n">
        <v>1</v>
      </c>
      <c r="F38" s="7" t="n">
        <v>1</v>
      </c>
      <c r="G38" s="7" t="n">
        <v>1</v>
      </c>
      <c r="H38" s="7" t="n">
        <v>1</v>
      </c>
      <c r="I38" s="7" t="n">
        <v>1</v>
      </c>
      <c r="J38" s="7" t="n">
        <v>1</v>
      </c>
      <c r="K38" s="7" t="n">
        <v>1</v>
      </c>
      <c r="L38" s="7" t="n">
        <v>1</v>
      </c>
    </row>
    <row r="39" hidden="1">
      <c r="A39" s="6" t="inlineStr">
        <is>
          <t>Monster Type (auto-computed from Content Type) — computed, do not edit</t>
        </is>
      </c>
      <c r="B39" s="8">
        <f>IF(Inputs!$B$4="PvP","pvp",IF(OR(Inputs!$B$4="Breakthrough",Inputs!$B$4="Hero Dungeon"),"breakthrough",IF(OR(Inputs!$B$4="EXP Dungeon",Inputs!$B$4="Equipment Dungeon",Inputs!$B$4="Chapter Hunt"),"normal","boss")))</f>
        <v/>
      </c>
    </row>
    <row r="40" hidden="1">
      <c r="A40" s="6" t="inlineStr">
        <is>
          <t>Chapter (parsed from Chapter-Stage) — computed, do not edit</t>
        </is>
      </c>
      <c r="B40" s="8">
        <f>IFERROR(IF(ISNUMBER(FIND("-",Inputs!$B$5)),VALUE(LEFT(Inputs!$B$5,FIND("-",Inputs!$B$5)-1)),VALUE(Inputs!$B$5)),28)</f>
        <v/>
      </c>
    </row>
    <row r="41" hidden="1">
      <c r="A41" s="6" t="inlineStr">
        <is>
          <t>Stage (parsed from Chapter-Stage) — computed, do not edit</t>
        </is>
      </c>
      <c r="B41" s="8">
        <f>IFERROR(IF(ISNUMBER(FIND("-",Inputs!$B$5)),VALUE(MID(Inputs!$B$5,FIND("-",Inputs!$B$5)+1,50)),VALUE(Inputs!$B$5)),9)</f>
        <v/>
      </c>
    </row>
    <row r="42" hidden="1">
      <c r="A42" s="6" t="inlineStr">
        <is>
          <t>Breakthrough Global Stage Index (helper) — computed, do not edit</t>
        </is>
      </c>
      <c r="B42" s="8">
        <f>IF(Inputs!$B$40=28,Inputs!$B$41-9,Inputs!$B$41+14*MAX(0,MIN(Inputs!$B$40-1,38)-28)+19*MAX(0,Inputs!$B$40-39))</f>
        <v/>
      </c>
    </row>
    <row r="43" hidden="1">
      <c r="A43" s="6" t="inlineStr">
        <is>
          <t>Monster Defense (auto-computed from Content Type) — computed, do not edit</t>
        </is>
      </c>
      <c r="B43" s="8">
        <f>IF(Inputs!$B$4="Chapter Boss",3200+50*(Inputs!$B$40-28),IF(Inputs!$B$4="World Boss",62100,IF(Inputs!$B$4="Weapon Dungeon",Inputs!$B$41*50,IF(Inputs!$B$4="Enhancement Dungeon",950+Inputs!$B$41*50,IF(OR(Inputs!$B$4="EXP Dungeon",Inputs!$B$4="Equipment Dungeon"),250+Inputs!$B$41*50,IF(Inputs!$B$4="Hero Dungeon",650+Inputs!$B$41*50,IF(OR(Inputs!$B$4="Breakthrough",Inputs!$B$4="Chapter Hunt"),4860+20*Inputs!$B$42,Inputs!$B$8)))))))</f>
        <v/>
      </c>
    </row>
    <row r="44" hidden="1">
      <c r="A44" s="6" t="inlineStr">
        <is>
          <t>Fixed Fight Duration (auto-computed from Content Type; 0 = steady-state) — computed, do not edit</t>
        </is>
      </c>
      <c r="B44" s="8">
        <f>IF(Inputs!$B$4="Chapter Hunt",0,IF(Inputs!$B$4="Weapon Dungeon",22,IF(Inputs!$B$4="Equipment Dungeon",40,IF(Inputs!$B$4="Enhancement Dungeon",25,IF(Inputs!$B$4="Hero Dungeon",50,IF(Inputs!$B$4="EXP Dungeon",40,IF(Inputs!$B$4="World Boss",75,IF(Inputs!$B$4="Chapter Boss",70,IF(Inputs!$B$4="Breakthrough",40,0)))))))))</f>
        <v/>
      </c>
    </row>
    <row r="45" hidden="1">
      <c r="A45" s="6" t="inlineStr">
        <is>
          <t>Boss/Normal Weight % (parsed from Boss/Normal Emphasis) — computed, do not edit</t>
        </is>
      </c>
      <c r="B45" s="8">
        <f>IF(Inputs!$B$36="More Normal",70,IF(Inputs!$B$36="A Little More Normal",60,IF(Inputs!$B$36="Equal",50,IF(Inputs!$B$36="A Little More Boss",40,IF(Inputs!$B$36="More Boss",30,60)))))</f>
        <v/>
      </c>
    </row>
    <row r="46">
      <c r="A46" s="9" t="inlineStr">
        <is>
          <t>Equipped Artifacts (up to 4)</t>
        </is>
      </c>
    </row>
    <row r="47">
      <c r="A47" s="6" t="inlineStr">
        <is>
          <t>Slot 1</t>
        </is>
      </c>
      <c r="B47" s="8">
        <f>INDEX($C$47:$L$47,MATCH($B$4,$C$2:$L$2,0))</f>
        <v/>
      </c>
      <c r="C47" s="7" t="inlineStr">
        <is>
          <t>(none)</t>
        </is>
      </c>
      <c r="D47" s="7" t="inlineStr">
        <is>
          <t>(none)</t>
        </is>
      </c>
      <c r="E47" s="7" t="inlineStr">
        <is>
          <t>(none)</t>
        </is>
      </c>
      <c r="F47" s="7" t="inlineStr">
        <is>
          <t>(none)</t>
        </is>
      </c>
      <c r="G47" s="7" t="inlineStr">
        <is>
          <t>(none)</t>
        </is>
      </c>
      <c r="H47" s="7" t="inlineStr">
        <is>
          <t>(none)</t>
        </is>
      </c>
      <c r="I47" s="7" t="inlineStr">
        <is>
          <t>(none)</t>
        </is>
      </c>
      <c r="J47" s="7" t="inlineStr">
        <is>
          <t>(none)</t>
        </is>
      </c>
      <c r="K47" s="7" t="inlineStr">
        <is>
          <t>(none)</t>
        </is>
      </c>
      <c r="L47" s="7" t="inlineStr">
        <is>
          <t>(none)</t>
        </is>
      </c>
    </row>
    <row r="48">
      <c r="A48" s="6" t="inlineStr">
        <is>
          <t>Slot 2</t>
        </is>
      </c>
      <c r="B48" s="8">
        <f>INDEX($C$48:$L$48,MATCH($B$4,$C$2:$L$2,0))</f>
        <v/>
      </c>
      <c r="C48" s="7" t="inlineStr">
        <is>
          <t>(none)</t>
        </is>
      </c>
      <c r="D48" s="7" t="inlineStr">
        <is>
          <t>(none)</t>
        </is>
      </c>
      <c r="E48" s="7" t="inlineStr">
        <is>
          <t>(none)</t>
        </is>
      </c>
      <c r="F48" s="7" t="inlineStr">
        <is>
          <t>(none)</t>
        </is>
      </c>
      <c r="G48" s="7" t="inlineStr">
        <is>
          <t>(none)</t>
        </is>
      </c>
      <c r="H48" s="7" t="inlineStr">
        <is>
          <t>(none)</t>
        </is>
      </c>
      <c r="I48" s="7" t="inlineStr">
        <is>
          <t>(none)</t>
        </is>
      </c>
      <c r="J48" s="7" t="inlineStr">
        <is>
          <t>(none)</t>
        </is>
      </c>
      <c r="K48" s="7" t="inlineStr">
        <is>
          <t>(none)</t>
        </is>
      </c>
      <c r="L48" s="7" t="inlineStr">
        <is>
          <t>(none)</t>
        </is>
      </c>
    </row>
    <row r="49">
      <c r="A49" s="6" t="inlineStr">
        <is>
          <t>Slot 3</t>
        </is>
      </c>
      <c r="B49" s="8">
        <f>INDEX($C$49:$L$49,MATCH($B$4,$C$2:$L$2,0))</f>
        <v/>
      </c>
      <c r="C49" s="7" t="inlineStr">
        <is>
          <t>(none)</t>
        </is>
      </c>
      <c r="D49" s="7" t="inlineStr">
        <is>
          <t>(none)</t>
        </is>
      </c>
      <c r="E49" s="7" t="inlineStr">
        <is>
          <t>(none)</t>
        </is>
      </c>
      <c r="F49" s="7" t="inlineStr">
        <is>
          <t>(none)</t>
        </is>
      </c>
      <c r="G49" s="7" t="inlineStr">
        <is>
          <t>(none)</t>
        </is>
      </c>
      <c r="H49" s="7" t="inlineStr">
        <is>
          <t>(none)</t>
        </is>
      </c>
      <c r="I49" s="7" t="inlineStr">
        <is>
          <t>(none)</t>
        </is>
      </c>
      <c r="J49" s="7" t="inlineStr">
        <is>
          <t>(none)</t>
        </is>
      </c>
      <c r="K49" s="7" t="inlineStr">
        <is>
          <t>(none)</t>
        </is>
      </c>
      <c r="L49" s="7" t="inlineStr">
        <is>
          <t>(none)</t>
        </is>
      </c>
    </row>
    <row r="50">
      <c r="A50" s="6" t="inlineStr">
        <is>
          <t>Slot 4</t>
        </is>
      </c>
      <c r="B50" s="8">
        <f>INDEX($C$50:$L$50,MATCH($B$4,$C$2:$L$2,0))</f>
        <v/>
      </c>
      <c r="C50" s="7" t="inlineStr">
        <is>
          <t>(none)</t>
        </is>
      </c>
      <c r="D50" s="7" t="inlineStr">
        <is>
          <t>(none)</t>
        </is>
      </c>
      <c r="E50" s="7" t="inlineStr">
        <is>
          <t>(none)</t>
        </is>
      </c>
      <c r="F50" s="7" t="inlineStr">
        <is>
          <t>(none)</t>
        </is>
      </c>
      <c r="G50" s="7" t="inlineStr">
        <is>
          <t>(none)</t>
        </is>
      </c>
      <c r="H50" s="7" t="inlineStr">
        <is>
          <t>(none)</t>
        </is>
      </c>
      <c r="I50" s="7" t="inlineStr">
        <is>
          <t>(none)</t>
        </is>
      </c>
      <c r="J50" s="7" t="inlineStr">
        <is>
          <t>(none)</t>
        </is>
      </c>
      <c r="K50" s="7" t="inlineStr">
        <is>
          <t>(none)</t>
        </is>
      </c>
      <c r="L50" s="7" t="inlineStr">
        <is>
          <t>(none)</t>
        </is>
      </c>
    </row>
  </sheetData>
  <dataValidations count="3">
    <dataValidation sqref="B4" showDropDown="0" showInputMessage="0" showErrorMessage="0" allowBlank="0" type="list">
      <formula1>"Chapter Boss,Breakthrough,PvP,EXP Dungeon,Equipment Dungeon,Weapon Dungeon,Enhancement Dungeon,Hero Dungeon,World Boss,Chapter Hunt"</formula1>
    </dataValidation>
    <dataValidation sqref="D36 J36" showDropDown="0" showInputMessage="0" showErrorMessage="0" allowBlank="0" type="list">
      <formula1>"More Normal,A Little More Normal,Equal,A Little More Boss,More Boss"</formula1>
    </dataValidation>
    <dataValidation sqref="C47 C48 C49 C50 D47 D48 D49 D50 E47 E48 E49 E50 F47 F48 F49 F50 G47 G48 G49 G50 H47 H48 H49 H50 I47 I48 I49 I50 J47 J48 J49 J50 K47 K48 K49 K50 L47 L48 L49 L50" showDropDown="0" showInputMessage="0" showErrorMessage="0" allowBlank="0" type="list">
      <formula1>=$N$1:$N$37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5" t="inlineStr">
        <is>
          <t>Level</t>
        </is>
      </c>
      <c r="B1" s="5" t="inlineStr">
        <is>
          <t>F0</t>
        </is>
      </c>
      <c r="C1" s="5" t="inlineStr">
        <is>
          <t>F1</t>
        </is>
      </c>
      <c r="D1" s="5" t="inlineStr">
        <is>
          <t>F2</t>
        </is>
      </c>
      <c r="E1" s="5" t="inlineStr">
        <is>
          <t>F3</t>
        </is>
      </c>
      <c r="F1" s="5" t="inlineStr">
        <is>
          <t>F4</t>
        </is>
      </c>
      <c r="G1" s="5" t="inlineStr">
        <is>
          <t>F5</t>
        </is>
      </c>
      <c r="H1" s="5" t="inlineStr">
        <is>
          <t>F6</t>
        </is>
      </c>
      <c r="I1" s="5" t="inlineStr">
        <is>
          <t>F7</t>
        </is>
      </c>
      <c r="J1" s="5" t="inlineStr">
        <is>
          <t>F8</t>
        </is>
      </c>
      <c r="K1" s="5" t="inlineStr">
        <is>
          <t>F9</t>
        </is>
      </c>
      <c r="L1" s="5" t="inlineStr">
        <is>
          <t>F10</t>
        </is>
      </c>
      <c r="M1" s="5" t="inlineStr">
        <is>
          <t>F11</t>
        </is>
      </c>
      <c r="N1" s="5" t="inlineStr">
        <is>
          <t>F12</t>
        </is>
      </c>
      <c r="O1" s="5" t="inlineStr">
        <is>
          <t>F13</t>
        </is>
      </c>
      <c r="P1" s="5" t="inlineStr">
        <is>
          <t>F14</t>
        </is>
      </c>
      <c r="Q1" s="5" t="inlineStr">
        <is>
          <t>F15</t>
        </is>
      </c>
      <c r="R1" s="5" t="inlineStr">
        <is>
          <t>F16</t>
        </is>
      </c>
      <c r="S1" s="5" t="inlineStr">
        <is>
          <t>F17</t>
        </is>
      </c>
      <c r="T1" s="5" t="inlineStr">
        <is>
          <t>F18</t>
        </is>
      </c>
      <c r="U1" s="5" t="inlineStr">
        <is>
          <t>F19</t>
        </is>
      </c>
      <c r="V1" s="5" t="inlineStr">
        <is>
          <t>F20</t>
        </is>
      </c>
      <c r="W1" s="5" t="inlineStr">
        <is>
          <t>F21</t>
        </is>
      </c>
      <c r="X1" s="5" t="inlineStr">
        <is>
          <t>F22</t>
        </is>
      </c>
      <c r="Y1" s="5"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31"/>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8" customWidth="1" min="3" max="3"/>
    <col width="11" customWidth="1" min="4" max="4"/>
    <col width="15" customWidth="1" min="5" max="5"/>
    <col width="13" customWidth="1" min="6" max="6"/>
    <col width="11" customWidth="1" min="7" max="7"/>
    <col width="8" customWidth="1" min="8" max="8"/>
    <col width="13" customWidth="1" min="9" max="9"/>
    <col width="11" customWidth="1" min="10" max="10"/>
    <col width="12" customWidth="1" min="11" max="11"/>
    <col width="18" customWidth="1" min="12" max="12"/>
    <col width="11" customWidth="1" min="13" max="13"/>
    <col width="14" customWidth="1" min="14" max="14"/>
    <col width="17" customWidth="1" min="15" max="15"/>
    <col width="16" customWidth="1" min="16" max="16"/>
    <col width="18" customWidth="1" min="17" max="17"/>
    <col width="17" customWidth="1" min="18" max="18"/>
    <col width="16" customWidth="1" min="19" max="19"/>
    <col width="16" customWidth="1" min="20" max="20"/>
    <col width="17" customWidth="1" min="21" max="21"/>
    <col width="20" customWidth="1" min="22" max="22"/>
    <col width="18" customWidth="1" min="23" max="23"/>
    <col width="15" customWidth="1" min="24" max="24"/>
    <col width="14" customWidth="1" min="25" max="25"/>
    <col width="16" customWidth="1" min="26" max="26"/>
    <col width="20" customWidth="1" min="27" max="27"/>
    <col width="20" customWidth="1" min="28" max="28"/>
    <col width="8" customWidth="1" min="29" max="29"/>
    <col width="60" customWidth="1" min="30" max="30"/>
  </cols>
  <sheetData>
    <row r="1">
      <c r="A1" s="5" t="inlineStr">
        <is>
          <t>Key</t>
        </is>
      </c>
      <c r="B1" s="5" t="inlineStr">
        <is>
          <t>Name</t>
        </is>
      </c>
      <c r="C1" s="5" t="inlineStr">
        <is>
          <t>JobStep</t>
        </is>
      </c>
      <c r="D1" s="5" t="inlineStr">
        <is>
          <t>Cooldown(s)</t>
        </is>
      </c>
      <c r="E1" s="5" t="inlineStr">
        <is>
          <t>CostsActionSlot</t>
        </is>
      </c>
      <c r="F1" s="5" t="inlineStr">
        <is>
          <t>ActionsPerCast</t>
        </is>
      </c>
      <c r="G1" s="5" t="inlineStr">
        <is>
          <t>HitsPerCast</t>
        </is>
      </c>
      <c r="H1" s="5" t="inlineStr">
        <is>
          <t>ICD(s)</t>
        </is>
      </c>
      <c r="I1" s="5" t="inlineStr">
        <is>
          <t>ActiveWindow(s)</t>
        </is>
      </c>
      <c r="J1" s="5" t="inlineStr">
        <is>
          <t>ProcChance%</t>
        </is>
      </c>
      <c r="K1" s="5" t="inlineStr">
        <is>
          <t>RollsPerCast</t>
        </is>
      </c>
      <c r="L1" s="5" t="inlineStr">
        <is>
          <t>BaseDamage(tenths%)</t>
        </is>
      </c>
      <c r="M1" s="5" t="inlineStr">
        <is>
          <t>FactorIndex</t>
        </is>
      </c>
      <c r="N1" s="5" t="inlineStr">
        <is>
          <t>ScalesWithLevel</t>
        </is>
      </c>
      <c r="O1" s="5" t="inlineStr">
        <is>
          <t>SkillMasteryBonus%</t>
        </is>
      </c>
      <c r="P1" s="5" t="inlineStr">
        <is>
          <t>MasteryBossDamage%</t>
        </is>
      </c>
      <c r="Q1" s="5" t="inlineStr">
        <is>
          <t>MasteryNormalDamage%</t>
        </is>
      </c>
      <c r="R1" s="5" t="inlineStr">
        <is>
          <t>MasteryFinalDamage%</t>
        </is>
      </c>
      <c r="S1" s="5" t="inlineStr">
        <is>
          <t>MasteryMaxDamage%</t>
        </is>
      </c>
      <c r="T1" s="5" t="inlineStr">
        <is>
          <t>MasteryMinDamage%</t>
        </is>
      </c>
      <c r="U1" s="5" t="inlineStr">
        <is>
          <t>MasteryCooldownPct</t>
        </is>
      </c>
      <c r="V1" s="5" t="inlineStr">
        <is>
          <t>MasteryTargetIncrease</t>
        </is>
      </c>
      <c r="W1" s="5" t="inlineStr">
        <is>
          <t>NormalMonsterTargets</t>
        </is>
      </c>
      <c r="X1" s="5" t="inlineStr">
        <is>
          <t>BuffTargetStat</t>
        </is>
      </c>
      <c r="Y1" s="5" t="inlineStr">
        <is>
          <t>BuffDuration(s)</t>
        </is>
      </c>
      <c r="Z1" s="5" t="inlineStr">
        <is>
          <t>TriggersToxicVenom</t>
        </is>
      </c>
      <c r="AA1" s="5" t="inlineStr">
        <is>
          <t>MapleHeroBase(tenths%)</t>
        </is>
      </c>
      <c r="AB1" s="5" t="inlineStr">
        <is>
          <t>MapleHeroFactorIndex</t>
        </is>
      </c>
      <c r="AC1" s="5" t="inlineStr">
        <is>
          <t>Stacks</t>
        </is>
      </c>
      <c r="AD1" s="5" t="inlineStr">
        <is>
          <t>Note</t>
        </is>
      </c>
    </row>
    <row r="2">
      <c r="A2" t="inlineStr">
        <is>
          <t>SHOWDOWN</t>
        </is>
      </c>
      <c r="B2" t="inlineStr">
        <is>
          <t>Showdown</t>
        </is>
      </c>
      <c r="C2" t="n">
        <v>4</v>
      </c>
      <c r="D2" t="inlineStr"/>
      <c r="E2" t="b">
        <v>0</v>
      </c>
      <c r="F2" t="n">
        <v>1</v>
      </c>
      <c r="G2">
        <f>IF(Inputs!$B$3&gt;=134,6,5)</f>
        <v/>
      </c>
      <c r="H2" t="n">
        <v>0</v>
      </c>
      <c r="I2" t="n">
        <v>0</v>
      </c>
      <c r="J2" t="n">
        <v>100</v>
      </c>
      <c r="K2" t="n">
        <v>1</v>
      </c>
      <c r="L2" t="inlineStr"/>
      <c r="M2" t="inlineStr"/>
      <c r="N2" t="b">
        <v>1</v>
      </c>
      <c r="O2">
        <f>SUMPRODUCT((Inputs!$B$3&gt;={98,104,113,118,126,130})*{10,1,1,1,1,1})</f>
        <v/>
      </c>
      <c r="P2">
        <f>SUMPRODUCT((Inputs!$B$3&gt;={108,122})*{10,10})</f>
        <v/>
      </c>
      <c r="Q2" t="n">
        <v>0</v>
      </c>
      <c r="R2" t="n">
        <v>0</v>
      </c>
      <c r="S2" t="n">
        <v>0</v>
      </c>
      <c r="T2" t="n">
        <v>0</v>
      </c>
      <c r="U2" t="n">
        <v>0</v>
      </c>
      <c r="V2" t="n">
        <v>0</v>
      </c>
      <c r="W2">
        <f>6+Inputs!$B$33</f>
        <v/>
      </c>
      <c r="X2" t="inlineStr"/>
      <c r="Y2" t="n">
        <v>0</v>
      </c>
      <c r="Z2" t="b">
        <v>1</v>
      </c>
      <c r="AA2" t="inlineStr"/>
      <c r="AB2" t="inlineStr"/>
      <c r="AC2" t="inlineStr"/>
      <c r="AD2" t="inlineStr">
        <is>
          <t>4th-job basic-attack effect (superseded from Lucky Seven/Shuriken Burst/Shuriken Challenge, per the project's job-tier-is-gone scope). 5 hits per activation (Mastery Lv.134 'Strike' -&gt; 6), 6+Basic Attack Target Increase targets vs normal monsters. Reverse-engineered from the wiki's 290%-&gt;522% (levels 1-200) curve: factorIndex 21, baseDamage 2900 tenths%. Coefficient = Inputs!skill_coefficient (computed from this same factor) + SkillMasteryBonus%. SkillMasteryBonus% is the 6-tier 'Showdown - Damage' mastery chain (98/104/113/118/126/130), each entry showing the CUMULATIVE total (10%, 11%, ..., 15%) per the game's own tooltip convention (confirmed against the identically-shaped Shuriken Challenge/Boss-Damage mastery chains elsewhere in this table), so level_gated_sum uses DELTA increments (10, then +1 five times) to reproduce that curve, not the raw displayed percentages. MasteryBossDamage% is the 2-tier 'Showdown - Boss Monster Damage' chain (108, 122), each independently +10% (same two-tier stacking pattern as Shuriken Challenge's own Boss Damage masteries at 68/82), totaling +20%.</t>
        </is>
      </c>
    </row>
    <row r="3">
      <c r="A3" t="inlineStr">
        <is>
          <t>GUST_CHARM</t>
        </is>
      </c>
      <c r="B3" t="inlineStr">
        <is>
          <t>Gust Charm</t>
        </is>
      </c>
      <c r="C3" t="n">
        <v>2</v>
      </c>
      <c r="D3" t="n">
        <v>24</v>
      </c>
      <c r="E3" t="b">
        <v>1</v>
      </c>
      <c r="F3" t="n">
        <v>1</v>
      </c>
      <c r="G3" t="n">
        <v>1</v>
      </c>
      <c r="H3" t="n">
        <v>0</v>
      </c>
      <c r="I3" t="n">
        <v>0</v>
      </c>
      <c r="J3" t="n">
        <v>100</v>
      </c>
      <c r="K3" t="n">
        <v>1</v>
      </c>
      <c r="L3" t="n">
        <v>4000</v>
      </c>
      <c r="M3" t="n">
        <v>12</v>
      </c>
      <c r="N3" t="b">
        <v>1</v>
      </c>
      <c r="O3">
        <f>SUMPRODUCT((Inputs!$B$3&gt;={39})*{80})</f>
        <v/>
      </c>
      <c r="P3" t="n">
        <v>0</v>
      </c>
      <c r="Q3" t="n">
        <v>0</v>
      </c>
      <c r="R3" t="n">
        <v>0</v>
      </c>
      <c r="S3" t="n">
        <v>0</v>
      </c>
      <c r="T3" t="n">
        <v>0</v>
      </c>
      <c r="U3" t="n">
        <v>0</v>
      </c>
      <c r="V3" t="n">
        <v>0</v>
      </c>
      <c r="W3" t="n">
        <v>8</v>
      </c>
      <c r="X3" t="inlineStr"/>
      <c r="Y3" t="n">
        <v>0</v>
      </c>
      <c r="Z3" t="b">
        <v>1</v>
      </c>
      <c r="AA3" t="n">
        <v>1300</v>
      </c>
      <c r="AB3" t="n">
        <v>23</v>
      </c>
      <c r="AC3" t="inlineStr"/>
      <c r="AD3" t="inlineStr">
        <is>
          <t>Patched: targets 6-&gt;8, stun 1.5s-&gt;2s (stun not modeled), Mastery Lv.39 re-typed from '+50% stun duration' to '+80% Damage' (now a real SkillMasteryBonus%). Damage curve itself (400%-&gt;600%, levels 1-100) unpatched — factorIndex 12, baseDamage 4000 tenths%. Maple Hero (NL) target: 130%-&gt;1014% (levels 1-200), factorIndex 23.</t>
        </is>
      </c>
    </row>
    <row r="4">
      <c r="A4" t="inlineStr">
        <is>
          <t>MARK_OF_ASSASSIN</t>
        </is>
      </c>
      <c r="B4" t="inlineStr">
        <is>
          <t>Assassin's Mark</t>
        </is>
      </c>
      <c r="C4" t="n">
        <v>2</v>
      </c>
      <c r="D4">
        <f>IF(Inputs!$B$3&gt;=138,2,2.5)</f>
        <v/>
      </c>
      <c r="E4" t="b">
        <v>0</v>
      </c>
      <c r="F4" t="n">
        <v>1</v>
      </c>
      <c r="G4" t="n">
        <v>1</v>
      </c>
      <c r="H4" t="n">
        <v>0</v>
      </c>
      <c r="I4" t="n">
        <v>0</v>
      </c>
      <c r="J4" t="n">
        <v>100</v>
      </c>
      <c r="K4" t="n">
        <v>1</v>
      </c>
      <c r="L4" t="n">
        <v>1900</v>
      </c>
      <c r="M4" t="n">
        <v>21</v>
      </c>
      <c r="N4" t="b">
        <v>1</v>
      </c>
      <c r="O4">
        <f>SUMPRODUCT((Inputs!$B$3&gt;={42})*{80})</f>
        <v/>
      </c>
      <c r="P4">
        <f>IF(Inputs!$B$3&gt;=122,8,0)</f>
        <v/>
      </c>
      <c r="Q4">
        <f>IF(Inputs!$B$3&gt;=122,8,0)</f>
        <v/>
      </c>
      <c r="R4">
        <f>IF(Inputs!$B$3&gt;=107,Calc!F31,0)</f>
        <v/>
      </c>
      <c r="S4" t="n">
        <v>0</v>
      </c>
      <c r="T4" t="n">
        <v>0</v>
      </c>
      <c r="U4" t="n">
        <v>0</v>
      </c>
      <c r="V4">
        <f>IF(Inputs!$B$3&gt;=107,3,0)</f>
        <v/>
      </c>
      <c r="W4">
        <f>7+Skills!V4</f>
        <v/>
      </c>
      <c r="X4" t="inlineStr"/>
      <c r="Y4" t="n">
        <v>0</v>
      </c>
      <c r="Z4" t="b">
        <v>1</v>
      </c>
      <c r="AA4" t="inlineStr"/>
      <c r="AB4" t="inlineStr"/>
      <c r="AC4" t="inlineStr"/>
      <c r="AD4" t="inlineStr">
        <is>
          <t>Simplified to a periodic AoE tick per the approved plan — mark-application and mark-consumption collapsed into one instantaneous hit every effective cooldown, no mark-duty-cycle modeling. Patched: interval 5s-&gt;2.5s (then -0.5s more at Mastery Lv.138 -&gt; 2s), duration 5s-&gt;2.5s (irrelevant under this simplification), damage 300%-&gt;190%. factorIndex 21 (from the unpatched 300%-&gt;420% wiki curve), baseDamage 1900 tenths% (190% patched base). Not a player-cast action (CostsActionSlot=False) — it's a passive, automatic AoE proc, not a deliberate cast. Base 7 targets, +3 (MasteryTargetIncrease) once Night Lord's Mark unlocks at level 107. MasteryFinalDamage% pulls Night Lord's Mark's own Calc!F live (a real, always-on contributor, not baked into Inputs). SkillMasteryBonus% is Mastery Lv.42 ('Mark of Assassin - Damage', +80%, unaffected by the patch). Mastery Lv.122 ('Weaken', patched): marked targets take +8% Damage Taken for 2s — since this row's own tick both places AND consumes the mark in the same instant (no separate 'hit that lands on an already-marked target' event exists in this simplified model), the +8% is folded directly into THIS row's own MasteryBossDamage%/MasteryNormalDamage% (applies only to Assassin's Mark's own hit, once per effective cooldown — not a duty-cycle-averaged window benefiting other skills' hits in between).</t>
        </is>
      </c>
    </row>
    <row r="5">
      <c r="A5" t="inlineStr">
        <is>
          <t>TRIPLE_THROW</t>
        </is>
      </c>
      <c r="B5" t="inlineStr">
        <is>
          <t>Triple Throw</t>
        </is>
      </c>
      <c r="C5" t="n">
        <v>3</v>
      </c>
      <c r="D5" t="n">
        <v>13</v>
      </c>
      <c r="E5" t="b">
        <v>1</v>
      </c>
      <c r="F5" t="n">
        <v>1</v>
      </c>
      <c r="G5" t="n">
        <v>3</v>
      </c>
      <c r="H5" t="n">
        <v>0</v>
      </c>
      <c r="I5" t="n">
        <v>0</v>
      </c>
      <c r="J5" t="n">
        <v>100</v>
      </c>
      <c r="K5" t="n">
        <v>1</v>
      </c>
      <c r="L5" t="n">
        <v>3600</v>
      </c>
      <c r="M5" t="n">
        <v>12</v>
      </c>
      <c r="N5" t="b">
        <v>1</v>
      </c>
      <c r="O5">
        <f>SUMPRODUCT((Inputs!$B$3&gt;={71})*{100})</f>
        <v/>
      </c>
      <c r="P5" t="n">
        <v>0</v>
      </c>
      <c r="Q5" t="n">
        <v>0</v>
      </c>
      <c r="R5" t="n">
        <v>0</v>
      </c>
      <c r="S5" t="n">
        <v>0</v>
      </c>
      <c r="T5" t="n">
        <v>0</v>
      </c>
      <c r="U5" t="n">
        <v>0</v>
      </c>
      <c r="V5" t="n">
        <v>0</v>
      </c>
      <c r="W5" t="n">
        <v>1</v>
      </c>
      <c r="X5" t="inlineStr"/>
      <c r="Y5" t="n">
        <v>0</v>
      </c>
      <c r="Z5" t="b">
        <v>1</v>
      </c>
      <c r="AA5" t="inlineStr"/>
      <c r="AB5" t="inlineStr"/>
      <c r="AC5" t="inlineStr"/>
      <c r="AD5" t="inlineStr">
        <is>
          <t>Single-target. factorIndex 12, baseDamage 3600 tenths% (360%-&gt;720%, levels 1-200). SkillMasteryBonus% is Mastery Lv.71 ('Triple Throw - Damage', +100%, unaffected by the patch).</t>
        </is>
      </c>
    </row>
    <row r="6">
      <c r="A6" t="inlineStr">
        <is>
          <t>ADRENALIN_FD</t>
        </is>
      </c>
      <c r="B6" t="inlineStr">
        <is>
          <t>Alchemic Adrenaline (Final Damage)</t>
        </is>
      </c>
      <c r="C6" t="n">
        <v>3</v>
      </c>
      <c r="D6" t="inlineStr"/>
      <c r="E6" t="b">
        <v>0</v>
      </c>
      <c r="F6" t="n">
        <v>1</v>
      </c>
      <c r="G6" t="n">
        <v>1</v>
      </c>
      <c r="H6" t="n">
        <v>0</v>
      </c>
      <c r="I6" t="n">
        <v>0</v>
      </c>
      <c r="J6" t="n">
        <v>100</v>
      </c>
      <c r="K6" t="n">
        <v>1</v>
      </c>
      <c r="L6" t="n">
        <v>150</v>
      </c>
      <c r="M6" t="n">
        <v>22</v>
      </c>
      <c r="N6" t="b">
        <v>1</v>
      </c>
      <c r="O6" t="n">
        <v>0</v>
      </c>
      <c r="P6" t="n">
        <v>0</v>
      </c>
      <c r="Q6" t="n">
        <v>0</v>
      </c>
      <c r="R6" t="n">
        <v>0</v>
      </c>
      <c r="S6" t="n">
        <v>0</v>
      </c>
      <c r="T6" t="n">
        <v>0</v>
      </c>
      <c r="U6" t="n">
        <v>0</v>
      </c>
      <c r="V6" t="n">
        <v>0</v>
      </c>
      <c r="W6" t="n">
        <v>1</v>
      </c>
      <c r="X6" t="inlineStr">
        <is>
          <t>FINAL_DAMAGE</t>
        </is>
      </c>
      <c r="Y6">
        <f>IF(Inputs!$B$3&gt;=88,15,10)</f>
        <v/>
      </c>
      <c r="Z6" t="b">
        <v>0</v>
      </c>
      <c r="AA6" t="inlineStr"/>
      <c r="AB6" t="inlineStr"/>
      <c r="AC6" t="inlineStr"/>
      <c r="AD6" t="inlineStr">
        <is>
          <t>Patched: trigger 7 hits-&gt;5 hits, Final Damage base 10%-&gt;15% (curve shape/ratio preserved from the unpatched 10%-&gt;16% wiki curve; factorIndex 22, baseDamage 150 tenths%). Uptime is bespoke — see build_summary_sheet's AdrenalinUptime (action-rate-driven cycle, not the generic BuffDuration/Cooldown ratio) — so this row has no Cooldown(s) of its own and isn't consumed via the generic buff_uptime() helper. Mastery Lv.88 adds +5s to BuffDuration(s).</t>
        </is>
      </c>
    </row>
    <row r="7">
      <c r="A7" t="inlineStr">
        <is>
          <t>ADRENALIN_AS</t>
        </is>
      </c>
      <c r="B7" t="inlineStr">
        <is>
          <t>Alchemic Adrenaline (Attack Speed)</t>
        </is>
      </c>
      <c r="C7" t="n">
        <v>3</v>
      </c>
      <c r="D7" t="inlineStr"/>
      <c r="E7" t="b">
        <v>0</v>
      </c>
      <c r="F7" t="n">
        <v>1</v>
      </c>
      <c r="G7" t="n">
        <v>1</v>
      </c>
      <c r="H7" t="n">
        <v>0</v>
      </c>
      <c r="I7" t="n">
        <v>0</v>
      </c>
      <c r="J7" t="n">
        <v>100</v>
      </c>
      <c r="K7" t="n">
        <v>1</v>
      </c>
      <c r="L7" t="n">
        <v>80</v>
      </c>
      <c r="M7" t="n">
        <v>22</v>
      </c>
      <c r="N7" t="b">
        <v>1</v>
      </c>
      <c r="O7" t="n">
        <v>0</v>
      </c>
      <c r="P7" t="n">
        <v>0</v>
      </c>
      <c r="Q7" t="n">
        <v>0</v>
      </c>
      <c r="R7" t="n">
        <v>0</v>
      </c>
      <c r="S7" t="n">
        <v>0</v>
      </c>
      <c r="T7" t="n">
        <v>0</v>
      </c>
      <c r="U7" t="n">
        <v>0</v>
      </c>
      <c r="V7" t="n">
        <v>0</v>
      </c>
      <c r="W7" t="n">
        <v>1</v>
      </c>
      <c r="X7" t="inlineStr">
        <is>
          <t>ATTACK_SPEED</t>
        </is>
      </c>
      <c r="Y7">
        <f>IF(Inputs!$B$3&gt;=88,15,10)</f>
        <v/>
      </c>
      <c r="Z7" t="b">
        <v>0</v>
      </c>
      <c r="AA7" t="inlineStr"/>
      <c r="AB7" t="inlineStr"/>
      <c r="AC7" t="inlineStr"/>
      <c r="AD7" t="inlineStr">
        <is>
          <t>Same trigger/uptime as Adrenalin (Final Damage) above (8%-&gt;12.8%, levels 1-200), split into its own row since BuffTargetStat only holds one target per row (mirrors Dark Sight's own Crit Rate / Attack split below).</t>
        </is>
      </c>
    </row>
    <row r="8">
      <c r="A8" t="inlineStr">
        <is>
          <t>DARK_FLARE</t>
        </is>
      </c>
      <c r="B8" t="inlineStr">
        <is>
          <t>Dark Flare</t>
        </is>
      </c>
      <c r="C8" t="n">
        <v>3</v>
      </c>
      <c r="D8">
        <f>IF(Inputs!$B$3&gt;=92,45*0.7,45)</f>
        <v/>
      </c>
      <c r="E8" t="b">
        <v>1</v>
      </c>
      <c r="F8" t="n">
        <v>1</v>
      </c>
      <c r="G8">
        <f>IF(Inputs!$B$3&gt;=76,3,2)</f>
        <v/>
      </c>
      <c r="H8">
        <f>IF(Inputs!$B$3&gt;=104,2*0.75,2)</f>
        <v/>
      </c>
      <c r="I8" t="n">
        <v>20</v>
      </c>
      <c r="J8" t="n">
        <v>100</v>
      </c>
      <c r="K8" t="n">
        <v>1</v>
      </c>
      <c r="L8" t="n">
        <v>3300</v>
      </c>
      <c r="M8" t="n">
        <v>12</v>
      </c>
      <c r="N8" t="b">
        <v>1</v>
      </c>
      <c r="O8" t="n">
        <v>0</v>
      </c>
      <c r="P8" t="n">
        <v>0</v>
      </c>
      <c r="Q8" t="n">
        <v>0</v>
      </c>
      <c r="R8" t="n">
        <v>0</v>
      </c>
      <c r="S8" t="n">
        <v>0</v>
      </c>
      <c r="T8" t="n">
        <v>0</v>
      </c>
      <c r="U8">
        <f>IF(Inputs!$B$3&gt;=92,30,0)</f>
        <v/>
      </c>
      <c r="V8" t="n">
        <v>0</v>
      </c>
      <c r="W8" t="n">
        <v>8</v>
      </c>
      <c r="X8" t="inlineStr"/>
      <c r="Y8" t="n">
        <v>0</v>
      </c>
      <c r="Z8" t="b">
        <v>1</v>
      </c>
      <c r="AA8" t="n">
        <v>150</v>
      </c>
      <c r="AB8" t="n">
        <v>23</v>
      </c>
      <c r="AC8" t="inlineStr"/>
      <c r="AD8" t="inlineStr">
        <is>
          <t>Shared w/ Shadower, Maple Hero (NL) target (15%-&gt;117%, levels 1-200, factorIndex 23). Patched: hit interval 5s-&gt;2s, targets 5-&gt;8, damage 400%-&gt;330% (curve shape from the unpatched 400%-&gt;800% wiki curve; factorIndex 12, baseDamage 3300 tenths%). 20s active window / 2s interval = 10 tick-sets x 2 hits = 20 EffectiveHits (was 4x2=8 pre-patch); Mastery Lv.76 ('Dark Flare - Strike', +1 hit per tick-set, 2-&gt;3) brings this to 30 EffectiveHits once unlocked. Mastery Lv.92 (-30% cooldown) and Lv.104 (hit-interval -25%, patched from -40%) are both baked directly into the Cooldown(s)/ICD(s) cell formulas (MasteryCooldownPct column here is reference-only, documenting the 30% used above, per the 'ProcChance%/BuffDuration(s) reference-only' precedent already established in FP-Mage).</t>
        </is>
      </c>
    </row>
    <row r="9">
      <c r="A9" t="inlineStr">
        <is>
          <t>VENOM</t>
        </is>
      </c>
      <c r="B9" t="inlineStr">
        <is>
          <t>Venom</t>
        </is>
      </c>
      <c r="C9" t="n">
        <v>3</v>
      </c>
      <c r="D9" t="n">
        <v>1</v>
      </c>
      <c r="E9" t="b">
        <v>0</v>
      </c>
      <c r="F9" t="n">
        <v>1</v>
      </c>
      <c r="G9" t="n">
        <v>1</v>
      </c>
      <c r="H9" t="n">
        <v>0</v>
      </c>
      <c r="I9" t="n">
        <v>0</v>
      </c>
      <c r="J9" t="n">
        <v>100</v>
      </c>
      <c r="K9" t="n">
        <v>1</v>
      </c>
      <c r="L9" t="n">
        <v>450</v>
      </c>
      <c r="M9" t="n">
        <v>21</v>
      </c>
      <c r="N9" t="b">
        <v>1</v>
      </c>
      <c r="O9" t="n">
        <v>0</v>
      </c>
      <c r="P9" t="n">
        <v>0</v>
      </c>
      <c r="Q9" t="n">
        <v>0</v>
      </c>
      <c r="R9" t="n">
        <v>0</v>
      </c>
      <c r="S9" t="n">
        <v>0</v>
      </c>
      <c r="T9" t="n">
        <v>0</v>
      </c>
      <c r="U9" t="n">
        <v>0</v>
      </c>
      <c r="V9" t="n">
        <v>0</v>
      </c>
      <c r="W9" t="n">
        <v>1</v>
      </c>
      <c r="X9" t="inlineStr"/>
      <c r="Y9" t="n">
        <v>0</v>
      </c>
      <c r="Z9" t="b">
        <v>0</v>
      </c>
      <c r="AA9" t="n">
        <v>500</v>
      </c>
      <c r="AB9" t="n">
        <v>23</v>
      </c>
      <c r="AC9" t="inlineStr"/>
      <c r="AD9" t="inlineStr">
        <is>
          <t>Shared w/ Shadower. Maple Hero (NL) target (50%-&gt;390%, levels 1-200, factorIndex 23). Patched: poison chance 30%-&gt;50% (modeled always-active at steady state regardless — Elemental-Drain-style simplification, even safer now at 50%). Cooldown=1 is the same 'always-on tick' trick FP-Mage's Elemental Drain uses (1 tick/sec forever, not a real cooldown). factorIndex 21, baseDamage 450 tenths% (45%-&gt;81%, levels 1-200). Mastery Lv.82 Weaken (+15%p Damage Taken while poisoned, patched from 12%) is a GLOBAL always-on monster-damage-taken bonus (not per-row) — see global_monster_dmg_bonus_expr in build_calc_sheet, not this row's own Mastery columns.</t>
        </is>
      </c>
    </row>
    <row r="10">
      <c r="A10" t="inlineStr">
        <is>
          <t>TOXIC_VENOM</t>
        </is>
      </c>
      <c r="B10" t="inlineStr">
        <is>
          <t>Toxic Venom</t>
        </is>
      </c>
      <c r="C10" t="n">
        <v>4</v>
      </c>
      <c r="D10" t="inlineStr"/>
      <c r="E10" t="b">
        <v>0</v>
      </c>
      <c r="F10" t="n">
        <v>1</v>
      </c>
      <c r="G10" t="n">
        <v>1</v>
      </c>
      <c r="H10" t="n">
        <v>0</v>
      </c>
      <c r="I10" t="n">
        <v>0</v>
      </c>
      <c r="J10" t="n">
        <v>20</v>
      </c>
      <c r="K10" t="n">
        <v>1</v>
      </c>
      <c r="L10" t="n">
        <v>6000</v>
      </c>
      <c r="M10" t="n">
        <v>21</v>
      </c>
      <c r="N10" t="b">
        <v>1</v>
      </c>
      <c r="O10">
        <f>SUMPRODUCT((Inputs!$B$3&gt;={128})*{100})</f>
        <v/>
      </c>
      <c r="P10" t="n">
        <v>0</v>
      </c>
      <c r="Q10" t="n">
        <v>0</v>
      </c>
      <c r="R10" t="n">
        <v>0</v>
      </c>
      <c r="S10" t="n">
        <v>0</v>
      </c>
      <c r="T10" t="n">
        <v>0</v>
      </c>
      <c r="U10" t="n">
        <v>0</v>
      </c>
      <c r="V10" t="n">
        <v>0</v>
      </c>
      <c r="W10" t="n">
        <v>1</v>
      </c>
      <c r="X10" t="inlineStr"/>
      <c r="Y10" t="n">
        <v>0</v>
      </c>
      <c r="Z10" t="b">
        <v>0</v>
      </c>
      <c r="AA10" t="inlineStr"/>
      <c r="AB10" t="inlineStr"/>
      <c r="AC10" t="inlineStr"/>
      <c r="AD10" t="inlineStr">
        <is>
          <t>Shared w/ Shadower. No ICD — every attack against a (permanently poisoned, by the Venom assumption) target independently rolls the 20% chance. Trigger rate = the combined per-second hit rate (already target-count-multiplied) of every row with TriggersToxicVenom=TRUE (see build_calc_sheet's Calc!S 'HitRate' column and this row's own bespoke O-column formula) — deliberately excludes Venom itself, Toxic Venom itself, Shadow Partner (not an independent hit), and Shadow Shifter's counterattack (a defensive proc, scoped out for simplicity; flagged as an assumption). factorIndex 21, baseDamage 6000 tenths% (600%-&gt;1080%, levels 1-200). SkillMasteryBonus% is Mastery Lv.128 ('Toxic Venom - Damage', +100%, unaffected by the patch).</t>
        </is>
      </c>
    </row>
    <row r="11">
      <c r="A11" t="inlineStr">
        <is>
          <t>SHADOW_PARTNER</t>
        </is>
      </c>
      <c r="B11" t="inlineStr">
        <is>
          <t>Shadow Partner</t>
        </is>
      </c>
      <c r="C11" t="n">
        <v>3</v>
      </c>
      <c r="D11" t="inlineStr"/>
      <c r="E11" t="b">
        <v>0</v>
      </c>
      <c r="F11" t="n">
        <v>1</v>
      </c>
      <c r="G11" t="n">
        <v>1</v>
      </c>
      <c r="H11" t="n">
        <v>0</v>
      </c>
      <c r="I11" t="n">
        <v>0</v>
      </c>
      <c r="J11" t="n">
        <v>25</v>
      </c>
      <c r="K11" t="n">
        <v>1</v>
      </c>
      <c r="L11" t="n">
        <v>840</v>
      </c>
      <c r="M11" t="n">
        <v>21</v>
      </c>
      <c r="N11" t="b">
        <v>1</v>
      </c>
      <c r="O11">
        <f>SUMPRODUCT((Inputs!$B$3&gt;={66})*{100})</f>
        <v/>
      </c>
      <c r="P11" t="n">
        <v>0</v>
      </c>
      <c r="Q11" t="n">
        <v>0</v>
      </c>
      <c r="R11" t="n">
        <v>0</v>
      </c>
      <c r="S11" t="n">
        <v>0</v>
      </c>
      <c r="T11" t="n">
        <v>0</v>
      </c>
      <c r="U11" t="n">
        <v>0</v>
      </c>
      <c r="V11" t="n">
        <v>0</v>
      </c>
      <c r="W11" t="n">
        <v>1</v>
      </c>
      <c r="X11" t="inlineStr"/>
      <c r="Y11" t="n">
        <v>0</v>
      </c>
      <c r="Z11" t="b">
        <v>0</v>
      </c>
      <c r="AA11" t="n">
        <v>500</v>
      </c>
      <c r="AB11" t="n">
        <v>23</v>
      </c>
      <c r="AC11" t="inlineStr"/>
      <c r="AD11" t="inlineStr">
        <is>
          <t>Shared w/ Shadower, Maple Hero (NL) target. Hybrid row: Calc columns D-I are computed exactly like a normal damage row (so Maple Hero (NL)'s MapleHeroMultiplier applies unchanged) but Calc!O is forced to 0 — it isn't an independent hit. Instead Summary!ShadowPartnerAvgMult reads this row's Calc!F/Calc!I directly and folds into the shared extra_mult chain every other row's K-column formula uses. factorIndex 21, baseDamage 840 tenths% (84%-&gt;151.2%, levels 1-200). ProcChance% is the real 25% proc rate. SkillMasteryBonus% is Mastery Lv.66 ('Shadow Partner - Damage', +100%, unaffected by the patch).</t>
        </is>
      </c>
    </row>
    <row r="12">
      <c r="A12" t="inlineStr">
        <is>
          <t>QUAD_STAR</t>
        </is>
      </c>
      <c r="B12" t="inlineStr">
        <is>
          <t>Quad Star</t>
        </is>
      </c>
      <c r="C12" t="n">
        <v>4</v>
      </c>
      <c r="D12">
        <f>IF(Inputs!$B$3&gt;=106,10*0.7,10)</f>
        <v/>
      </c>
      <c r="E12" t="b">
        <v>1</v>
      </c>
      <c r="F12" t="n">
        <v>1</v>
      </c>
      <c r="G12" t="n">
        <v>4</v>
      </c>
      <c r="H12" t="n">
        <v>0</v>
      </c>
      <c r="I12" t="n">
        <v>0</v>
      </c>
      <c r="J12" t="n">
        <v>100</v>
      </c>
      <c r="K12" t="n">
        <v>1</v>
      </c>
      <c r="L12" t="n">
        <v>11500</v>
      </c>
      <c r="M12" t="n">
        <v>12</v>
      </c>
      <c r="N12" t="b">
        <v>1</v>
      </c>
      <c r="O12">
        <f>SUMPRODUCT((Inputs!$B$3&gt;={132})*{50})</f>
        <v/>
      </c>
      <c r="P12" t="n">
        <v>0</v>
      </c>
      <c r="Q12" t="n">
        <v>0</v>
      </c>
      <c r="R12" t="n">
        <v>0</v>
      </c>
      <c r="S12" t="n">
        <v>0</v>
      </c>
      <c r="T12" t="n">
        <v>0</v>
      </c>
      <c r="U12">
        <f>IF(Inputs!$B$3&gt;=106,30,0)</f>
        <v/>
      </c>
      <c r="V12" t="n">
        <v>0</v>
      </c>
      <c r="W12" t="n">
        <v>1</v>
      </c>
      <c r="X12" t="inlineStr"/>
      <c r="Y12" t="n">
        <v>0</v>
      </c>
      <c r="Z12" t="b">
        <v>1</v>
      </c>
      <c r="AA12" t="inlineStr"/>
      <c r="AB12" t="inlineStr"/>
      <c r="AC12" t="inlineStr"/>
      <c r="AD12" t="inlineStr">
        <is>
          <t>Single-target. factorIndex 12, baseDamage 11500 tenths% (1150%-&gt;2300%, levels 1-200). Mastery Lv.106 (-30% cooldown, baked into the Cooldown(s) formula above, MasteryCooldownPct reference-only) and Lv.132 (+50% damage, real SkillMasteryBonus%).</t>
        </is>
      </c>
    </row>
    <row r="13">
      <c r="A13" t="inlineStr">
        <is>
          <t>SUDDEN_RAID_BURST</t>
        </is>
      </c>
      <c r="B13" t="inlineStr">
        <is>
          <t>Sudden Raid (burst)</t>
        </is>
      </c>
      <c r="C13" t="n">
        <v>4</v>
      </c>
      <c r="D13" t="n">
        <v>19</v>
      </c>
      <c r="E13" t="b">
        <v>1</v>
      </c>
      <c r="F13" t="n">
        <v>1</v>
      </c>
      <c r="G13" t="n">
        <v>3</v>
      </c>
      <c r="H13" t="n">
        <v>0</v>
      </c>
      <c r="I13" t="n">
        <v>0</v>
      </c>
      <c r="J13" t="n">
        <v>100</v>
      </c>
      <c r="K13" t="n">
        <v>1</v>
      </c>
      <c r="L13" t="n">
        <v>14000</v>
      </c>
      <c r="M13" t="n">
        <v>12</v>
      </c>
      <c r="N13" t="b">
        <v>1</v>
      </c>
      <c r="O13">
        <f>SUMPRODUCT((Inputs!$B$3&gt;={124})*{50})</f>
        <v/>
      </c>
      <c r="P13" t="n">
        <v>0</v>
      </c>
      <c r="Q13" t="n">
        <v>0</v>
      </c>
      <c r="R13" t="n">
        <v>0</v>
      </c>
      <c r="S13" t="n">
        <v>0</v>
      </c>
      <c r="T13" t="n">
        <v>0</v>
      </c>
      <c r="U13" t="n">
        <v>0</v>
      </c>
      <c r="V13" t="n">
        <v>0</v>
      </c>
      <c r="W13" t="n">
        <v>8</v>
      </c>
      <c r="X13" t="inlineStr"/>
      <c r="Y13" t="n">
        <v>0</v>
      </c>
      <c r="Z13" t="b">
        <v>1</v>
      </c>
      <c r="AA13" t="inlineStr"/>
      <c r="AB13" t="inlineStr"/>
      <c r="AC13" t="inlineStr"/>
      <c r="AD13" t="inlineStr">
        <is>
          <t>Shared w/ Shadower. factorIndex 12, baseDamage 14000 tenths% (1400%-&gt;2800%, levels 1-200). Mastery Lv.124 +50% damage (real SkillMasteryBonus%; does not apply to the DoT row below, matching FP-Mage's own Poison Mist burst-vs-fog precedent).</t>
        </is>
      </c>
    </row>
    <row r="14">
      <c r="A14" t="inlineStr">
        <is>
          <t>SUDDEN_RAID_DOT</t>
        </is>
      </c>
      <c r="B14" t="inlineStr">
        <is>
          <t>Sudden Raid (DoT)</t>
        </is>
      </c>
      <c r="C14" t="n">
        <v>4</v>
      </c>
      <c r="D14">
        <f>Skills!D13</f>
        <v/>
      </c>
      <c r="E14" t="b">
        <v>0</v>
      </c>
      <c r="F14" t="n">
        <v>1</v>
      </c>
      <c r="G14" t="n">
        <v>1</v>
      </c>
      <c r="H14" t="n">
        <v>1</v>
      </c>
      <c r="I14" t="n">
        <v>5</v>
      </c>
      <c r="J14" t="n">
        <v>100</v>
      </c>
      <c r="K14" t="n">
        <v>1</v>
      </c>
      <c r="L14" t="n">
        <v>3600</v>
      </c>
      <c r="M14" t="n">
        <v>12</v>
      </c>
      <c r="N14" t="b">
        <v>1</v>
      </c>
      <c r="O14" t="n">
        <v>0</v>
      </c>
      <c r="P14" t="n">
        <v>0</v>
      </c>
      <c r="Q14" t="n">
        <v>0</v>
      </c>
      <c r="R14" t="n">
        <v>0</v>
      </c>
      <c r="S14" t="n">
        <v>0</v>
      </c>
      <c r="T14" t="n">
        <v>0</v>
      </c>
      <c r="U14" t="n">
        <v>0</v>
      </c>
      <c r="V14" t="n">
        <v>0</v>
      </c>
      <c r="W14" t="n">
        <v>8</v>
      </c>
      <c r="X14" t="inlineStr"/>
      <c r="Y14" t="n">
        <v>0</v>
      </c>
      <c r="Z14" t="b">
        <v>1</v>
      </c>
      <c r="AA14" t="inlineStr"/>
      <c r="AB14" t="inlineStr"/>
      <c r="AC14" t="inlineStr"/>
      <c r="AD14" t="inlineStr">
        <is>
          <t>Shares Sudden Raid (burst)'s live Cooldown(s) cell (same cross-reference pattern as FP-Mage's Mist Eruption &lt;-&gt; Poison Mist (burst)). factorIndex 12, baseDamage 3600 tenths% (360%-&gt;720%, levels 1-200), 5s window / 1s ICD = 5 EffectiveHits per cast.</t>
        </is>
      </c>
    </row>
    <row r="15">
      <c r="A15" t="inlineStr">
        <is>
          <t>FRAILTY_CURSE_SELF_FD</t>
        </is>
      </c>
      <c r="B15" t="inlineStr">
        <is>
          <t>Frailty Curse (self buff)</t>
        </is>
      </c>
      <c r="C15" t="n">
        <v>4</v>
      </c>
      <c r="D15" t="n">
        <v>45</v>
      </c>
      <c r="E15" t="b">
        <v>1</v>
      </c>
      <c r="F15" t="n">
        <v>1</v>
      </c>
      <c r="G15" t="n">
        <v>1</v>
      </c>
      <c r="H15" t="n">
        <v>0</v>
      </c>
      <c r="I15" t="n">
        <v>0</v>
      </c>
      <c r="J15" t="n">
        <v>100</v>
      </c>
      <c r="K15" t="n">
        <v>1</v>
      </c>
      <c r="L15" t="n">
        <v>130</v>
      </c>
      <c r="M15" t="n">
        <v>22</v>
      </c>
      <c r="N15" t="b">
        <v>1</v>
      </c>
      <c r="O15" t="n">
        <v>0</v>
      </c>
      <c r="P15" t="n">
        <v>0</v>
      </c>
      <c r="Q15" t="n">
        <v>0</v>
      </c>
      <c r="R15" t="n">
        <v>0</v>
      </c>
      <c r="S15" t="n">
        <v>0</v>
      </c>
      <c r="T15" t="n">
        <v>0</v>
      </c>
      <c r="U15" t="n">
        <v>0</v>
      </c>
      <c r="V15" t="n">
        <v>0</v>
      </c>
      <c r="W15" t="n">
        <v>1</v>
      </c>
      <c r="X15" t="inlineStr">
        <is>
          <t>FINAL_DAMAGE</t>
        </is>
      </c>
      <c r="Y15" t="n">
        <v>20</v>
      </c>
      <c r="Z15" t="b">
        <v>0</v>
      </c>
      <c r="AA15" t="inlineStr"/>
      <c r="AB15" t="inlineStr"/>
      <c r="AC15" t="inlineStr"/>
      <c r="AD15" t="inlineStr">
        <is>
          <t>20s zone / 45s cooldown, self Final Damage. factorIndex 22, baseDamage 130 tenths% (13%-&gt;20.8%, levels 1-200). Mastery Lv.111 adds a minor crit-damage-taken debuff to the enemy-facing row below — deliberately not modeled (plan calls it minor/optional; flagged as a known gap).</t>
        </is>
      </c>
    </row>
    <row r="16">
      <c r="A16" t="inlineStr">
        <is>
          <t>FRAILTY_CURSE_DEBUFF</t>
        </is>
      </c>
      <c r="B16" t="inlineStr">
        <is>
          <t>Frailty Curse (enemy debuff)</t>
        </is>
      </c>
      <c r="C16" t="n">
        <v>4</v>
      </c>
      <c r="D16" t="n">
        <v>45</v>
      </c>
      <c r="E16" t="b">
        <v>0</v>
      </c>
      <c r="F16" t="n">
        <v>1</v>
      </c>
      <c r="G16" t="n">
        <v>1</v>
      </c>
      <c r="H16" t="n">
        <v>0</v>
      </c>
      <c r="I16" t="n">
        <v>0</v>
      </c>
      <c r="J16" t="n">
        <v>100</v>
      </c>
      <c r="K16" t="n">
        <v>1</v>
      </c>
      <c r="L16" t="n">
        <v>180</v>
      </c>
      <c r="M16" t="n">
        <v>21</v>
      </c>
      <c r="N16" t="b">
        <v>1</v>
      </c>
      <c r="O16" t="n">
        <v>0</v>
      </c>
      <c r="P16" t="n">
        <v>0</v>
      </c>
      <c r="Q16" t="n">
        <v>0</v>
      </c>
      <c r="R16" t="n">
        <v>0</v>
      </c>
      <c r="S16" t="n">
        <v>0</v>
      </c>
      <c r="T16" t="n">
        <v>0</v>
      </c>
      <c r="U16" t="n">
        <v>0</v>
      </c>
      <c r="V16" t="n">
        <v>0</v>
      </c>
      <c r="W16" t="n">
        <v>1</v>
      </c>
      <c r="X16" t="inlineStr">
        <is>
          <t>MONSTER_DMG</t>
        </is>
      </c>
      <c r="Y16" t="n">
        <v>20</v>
      </c>
      <c r="Z16" t="b">
        <v>0</v>
      </c>
      <c r="AA16" t="inlineStr"/>
      <c r="AB16" t="inlineStr"/>
      <c r="AC16" t="inlineStr"/>
      <c r="AD16" t="inlineStr">
        <is>
          <t>Same 20s zone / 45s cooldown as the self-buff row above (shares its Cooldown(s) literal, not a live cross-reference, since both are the same literal 45). Enemy Damage Taken +18%-&gt;32.4% (levels 1-200), factorIndex 21, baseDamage 180 tenths%. BuffTargetStat=MONSTER_DMG feeds global_monster_dmg_bonus_expr's boss/normal additive term (see build_calc_sheet), gated by the same uptime as the self-buff row (CostsActionSlot=False here — the self-buff row is the one that actually 'costs' the cast in the action economy).</t>
        </is>
      </c>
    </row>
    <row r="17">
      <c r="A17" t="inlineStr">
        <is>
          <t>SHADOW_SHIFTER</t>
        </is>
      </c>
      <c r="B17" t="inlineStr">
        <is>
          <t>Shadow Shifter (counterattack)</t>
        </is>
      </c>
      <c r="C17" t="n">
        <v>4</v>
      </c>
      <c r="D17" t="inlineStr"/>
      <c r="E17" t="b">
        <v>0</v>
      </c>
      <c r="F17" t="n">
        <v>1</v>
      </c>
      <c r="G17" t="n">
        <v>1</v>
      </c>
      <c r="H17" t="n">
        <v>0</v>
      </c>
      <c r="I17" t="n">
        <v>0</v>
      </c>
      <c r="J17" t="n">
        <v>100</v>
      </c>
      <c r="K17" t="n">
        <v>1</v>
      </c>
      <c r="L17" t="n">
        <v>25000</v>
      </c>
      <c r="M17" t="n">
        <v>21</v>
      </c>
      <c r="N17" t="b">
        <v>1</v>
      </c>
      <c r="O17" t="n">
        <v>0</v>
      </c>
      <c r="P17" t="n">
        <v>0</v>
      </c>
      <c r="Q17" t="n">
        <v>0</v>
      </c>
      <c r="R17" t="n">
        <v>0</v>
      </c>
      <c r="S17" t="n">
        <v>0</v>
      </c>
      <c r="T17" t="n">
        <v>0</v>
      </c>
      <c r="U17" t="n">
        <v>0</v>
      </c>
      <c r="V17" t="n">
        <v>0</v>
      </c>
      <c r="W17" t="n">
        <v>1</v>
      </c>
      <c r="X17" t="inlineStr"/>
      <c r="Y17" t="n">
        <v>0</v>
      </c>
      <c r="Z17" t="b">
        <v>0</v>
      </c>
      <c r="AA17" t="inlineStr"/>
      <c r="AB17" t="inlineStr"/>
      <c r="AC17" t="inlineStr"/>
      <c r="AD17" t="inlineStr">
        <is>
          <t>Shared w/ Shadower. Counterattack DPS = Inputs!incoming_hit_rate * 20% * ExpectedDamage(counterHit) — driven by damage TAKEN, not the character's own cast rate, so this row has no Cooldown(s)/rate machinery of its own (bespoke O-column branch). factorIndex 21, baseDamage 25000 tenths% (2500%-&gt;4500%, levels 1-200). The wiki's own 'Cooldown 12 sec' field on this skill is not modeled (the plan's formula treats the 20% chance as having no ICD at all) — flagged as an assumption to confirm.</t>
        </is>
      </c>
    </row>
    <row r="18">
      <c r="A18" t="inlineStr">
        <is>
          <t>SHADOW_SHIFTER_SELF_ATK</t>
        </is>
      </c>
      <c r="B18" t="inlineStr">
        <is>
          <t>Shadow Shifter (self Attack%)</t>
        </is>
      </c>
      <c r="C18" t="n">
        <v>4</v>
      </c>
      <c r="D18" t="inlineStr"/>
      <c r="E18" t="b">
        <v>0</v>
      </c>
      <c r="F18" t="n">
        <v>1</v>
      </c>
      <c r="G18" t="n">
        <v>1</v>
      </c>
      <c r="H18" t="n">
        <v>0</v>
      </c>
      <c r="I18" t="n">
        <v>0</v>
      </c>
      <c r="J18" t="n">
        <v>100</v>
      </c>
      <c r="K18" t="n">
        <v>1</v>
      </c>
      <c r="L18" t="n">
        <v>100</v>
      </c>
      <c r="M18" t="n">
        <v>22</v>
      </c>
      <c r="N18" t="b">
        <v>1</v>
      </c>
      <c r="O18" t="n">
        <v>0</v>
      </c>
      <c r="P18" t="n">
        <v>0</v>
      </c>
      <c r="Q18" t="n">
        <v>0</v>
      </c>
      <c r="R18" t="n">
        <v>0</v>
      </c>
      <c r="S18" t="n">
        <v>0</v>
      </c>
      <c r="T18" t="n">
        <v>0</v>
      </c>
      <c r="U18" t="n">
        <v>0</v>
      </c>
      <c r="V18" t="n">
        <v>0</v>
      </c>
      <c r="W18" t="n">
        <v>1</v>
      </c>
      <c r="X18" t="inlineStr">
        <is>
          <t>ATTACK</t>
        </is>
      </c>
      <c r="Y18" t="n">
        <v>0</v>
      </c>
      <c r="Z18" t="b">
        <v>0</v>
      </c>
      <c r="AA18" t="inlineStr"/>
      <c r="AB18" t="inlineStr"/>
      <c r="AC18" t="inlineStr"/>
      <c r="AD18" t="inlineStr">
        <is>
          <t>Passive-mult delta-tracking row for Shadow Shifter's self Attack% (10%-&gt;16%, levels 1-200) — assumed already baked into Inputs!ATTACK_PCT (Magic Critical pattern), so not added to baseline DPS. factorIndex 22, baseDamage 100 tenths%. Per the plan, this buff's *uptime* is reduced below 1 by counterattack procs (disabled 3s per proc, pre-Mastery-116) — SelfAttackBuffUptime is computed in build_summary_sheet, but the Sensitivity sheet's own delta for this row is NOT scaled by that uptime in this pass (a known simplification — flagged for human review, see the plan's explicit note that this is 'the one passive-mult row that also needs a live uptime term multiplying its Sensitivity delta').</t>
        </is>
      </c>
    </row>
    <row r="19">
      <c r="A19" t="inlineStr">
        <is>
          <t>NIMBLE_FEET</t>
        </is>
      </c>
      <c r="B19" t="inlineStr">
        <is>
          <t>Nimble Feet</t>
        </is>
      </c>
      <c r="C19" t="n">
        <v>1</v>
      </c>
      <c r="D19" t="n">
        <v>60</v>
      </c>
      <c r="E19" t="b">
        <v>1</v>
      </c>
      <c r="F19" t="n">
        <v>1</v>
      </c>
      <c r="G19" t="n">
        <v>1</v>
      </c>
      <c r="H19" t="n">
        <v>0</v>
      </c>
      <c r="I19" t="n">
        <v>0</v>
      </c>
      <c r="J19" t="n">
        <v>100</v>
      </c>
      <c r="K19" t="n">
        <v>1</v>
      </c>
      <c r="L19" t="n">
        <v>150</v>
      </c>
      <c r="M19" t="n">
        <v>0</v>
      </c>
      <c r="N19" t="b">
        <v>0</v>
      </c>
      <c r="O19" t="n">
        <v>0</v>
      </c>
      <c r="P19" t="n">
        <v>0</v>
      </c>
      <c r="Q19" t="n">
        <v>0</v>
      </c>
      <c r="R19" t="n">
        <v>0</v>
      </c>
      <c r="S19" t="n">
        <v>0</v>
      </c>
      <c r="T19" t="n">
        <v>0</v>
      </c>
      <c r="U19" t="n">
        <v>0</v>
      </c>
      <c r="V19" t="n">
        <v>0</v>
      </c>
      <c r="W19" t="n">
        <v>1</v>
      </c>
      <c r="X19" t="inlineStr">
        <is>
          <t>ATTACK_SPEED</t>
        </is>
      </c>
      <c r="Y19" t="n">
        <v>15</v>
      </c>
      <c r="Z19" t="b">
        <v>0</v>
      </c>
      <c r="AA19" t="inlineStr"/>
      <c r="AB19" t="inlineStr"/>
      <c r="AC19" t="inlineStr"/>
      <c r="AD19" t="inlineStr">
        <is>
          <t>Shared Explorer skill, flat +15% Attack Speed / +10% Speed for 15s, 60s cooldown — confirmed non-scaling ('does not improve on enhancement' per its own wiki page), same convention as FP-Mage's own Nimble Feet row (FactorIndex unused placeholder).</t>
        </is>
      </c>
    </row>
    <row r="20">
      <c r="A20" t="inlineStr">
        <is>
          <t>DARK_SIGHT_CRIT</t>
        </is>
      </c>
      <c r="B20" t="inlineStr">
        <is>
          <t>Dark Sight (Crit Rate)</t>
        </is>
      </c>
      <c r="C20" t="n">
        <v>1</v>
      </c>
      <c r="D20" t="n">
        <v>25</v>
      </c>
      <c r="E20" t="b">
        <v>0</v>
      </c>
      <c r="F20" t="n">
        <v>1</v>
      </c>
      <c r="G20" t="n">
        <v>1</v>
      </c>
      <c r="H20" t="n">
        <v>0</v>
      </c>
      <c r="I20" t="n">
        <v>0</v>
      </c>
      <c r="J20" t="n">
        <v>100</v>
      </c>
      <c r="K20" t="n">
        <v>1</v>
      </c>
      <c r="L20" t="n">
        <v>60</v>
      </c>
      <c r="M20" t="n">
        <v>21</v>
      </c>
      <c r="N20" t="b">
        <v>1</v>
      </c>
      <c r="O20" t="n">
        <v>0</v>
      </c>
      <c r="P20" t="n">
        <v>0</v>
      </c>
      <c r="Q20" t="n">
        <v>0</v>
      </c>
      <c r="R20" t="n">
        <v>0</v>
      </c>
      <c r="S20" t="n">
        <v>0</v>
      </c>
      <c r="T20" t="n">
        <v>0</v>
      </c>
      <c r="U20" t="n">
        <v>0</v>
      </c>
      <c r="V20" t="n">
        <v>0</v>
      </c>
      <c r="W20" t="n">
        <v>1</v>
      </c>
      <c r="X20" t="inlineStr">
        <is>
          <t>CRIT_RATE</t>
        </is>
      </c>
      <c r="Y20">
        <f>IF(Inputs!$B$3&gt;=24,12,8)</f>
        <v/>
      </c>
      <c r="Z20" t="b">
        <v>0</v>
      </c>
      <c r="AA20" t="inlineStr"/>
      <c r="AB20" t="inlineStr"/>
      <c r="AC20" t="inlineStr"/>
      <c r="AD20" t="inlineStr">
        <is>
          <t>Two-stage activation (hide 8s, re-press within window) grants +6%-&gt;8.4% Crit Rate for 8s (levels 1-100, -&gt;12s once Mastery Lv.24 'Dark Sight - Persistence' unlocks: +50% buff duration) — factorIndex 21, baseDamage 60 tenths%. This row is a passenger (CostsActionSlot=False) — the Attack-targeting row below is the one that counts toward the action economy (both presses of the 2-stage activation, via ActionsPerCast=2), per the plan's 'costs 2 action-slots per 25s cycle' assumption (flagged for human review).</t>
        </is>
      </c>
    </row>
    <row r="21">
      <c r="A21" t="inlineStr">
        <is>
          <t>DARK_SIGHT_ATK</t>
        </is>
      </c>
      <c r="B21" t="inlineStr">
        <is>
          <t>Dark Sight (Attack)</t>
        </is>
      </c>
      <c r="C21" t="n">
        <v>1</v>
      </c>
      <c r="D21" t="n">
        <v>25</v>
      </c>
      <c r="E21" t="b">
        <v>1</v>
      </c>
      <c r="F21" t="n">
        <v>2</v>
      </c>
      <c r="G21" t="n">
        <v>1</v>
      </c>
      <c r="H21" t="n">
        <v>0</v>
      </c>
      <c r="I21" t="n">
        <v>0</v>
      </c>
      <c r="J21" t="n">
        <v>100</v>
      </c>
      <c r="K21" t="n">
        <v>1</v>
      </c>
      <c r="L21" t="n">
        <v>100</v>
      </c>
      <c r="M21" t="n">
        <v>21</v>
      </c>
      <c r="N21" t="b">
        <v>1</v>
      </c>
      <c r="O21" t="n">
        <v>0</v>
      </c>
      <c r="P21" t="n">
        <v>0</v>
      </c>
      <c r="Q21" t="n">
        <v>0</v>
      </c>
      <c r="R21" t="n">
        <v>0</v>
      </c>
      <c r="S21" t="n">
        <v>0</v>
      </c>
      <c r="T21" t="n">
        <v>0</v>
      </c>
      <c r="U21" t="n">
        <v>0</v>
      </c>
      <c r="V21" t="n">
        <v>0</v>
      </c>
      <c r="W21" t="n">
        <v>1</v>
      </c>
      <c r="X21" t="inlineStr">
        <is>
          <t>ATTACK</t>
        </is>
      </c>
      <c r="Y21">
        <f>IF(Inputs!$B$3&gt;=24,12,8)</f>
        <v/>
      </c>
      <c r="Z21" t="b">
        <v>0</v>
      </c>
      <c r="AA21" t="inlineStr"/>
      <c r="AB21" t="inlineStr"/>
      <c r="AC21" t="inlineStr"/>
      <c r="AD21" t="inlineStr">
        <is>
          <t>Same 2-stage activation as the Crit Rate row above, +10%-&gt;14% Attack for 8s (levels 1-100, -&gt;12s once Mastery Lv.24 unlocks, same as the Crit Rate row) — factorIndex 21, baseDamage 100 tenths%. ActionsPerCast=2 models both presses (hide + re-press) as separate action-slot costs within the same 25s cycle.</t>
        </is>
      </c>
    </row>
    <row r="22">
      <c r="A22" t="inlineStr">
        <is>
          <t>AGILE_CLAWS</t>
        </is>
      </c>
      <c r="B22" t="inlineStr">
        <is>
          <t>Agile Claws (Claw Acceleration)</t>
        </is>
      </c>
      <c r="C22" t="n">
        <v>2</v>
      </c>
      <c r="D22" t="inlineStr"/>
      <c r="E22" t="b">
        <v>0</v>
      </c>
      <c r="F22" t="n">
        <v>1</v>
      </c>
      <c r="G22" t="n">
        <v>1</v>
      </c>
      <c r="H22" t="n">
        <v>0</v>
      </c>
      <c r="I22" t="n">
        <v>0</v>
      </c>
      <c r="J22" t="n">
        <v>100</v>
      </c>
      <c r="K22" t="n">
        <v>1</v>
      </c>
      <c r="L22" t="n">
        <v>50</v>
      </c>
      <c r="M22" t="n">
        <v>22</v>
      </c>
      <c r="N22" t="b">
        <v>1</v>
      </c>
      <c r="O22" t="n">
        <v>0</v>
      </c>
      <c r="P22" t="n">
        <v>0</v>
      </c>
      <c r="Q22" t="n">
        <v>0</v>
      </c>
      <c r="R22" t="n">
        <v>0</v>
      </c>
      <c r="S22" t="n">
        <v>0</v>
      </c>
      <c r="T22" t="n">
        <v>0</v>
      </c>
      <c r="U22" t="n">
        <v>0</v>
      </c>
      <c r="V22" t="n">
        <v>0</v>
      </c>
      <c r="W22" t="n">
        <v>1</v>
      </c>
      <c r="X22" t="inlineStr">
        <is>
          <t>ATTACK_SPEED</t>
        </is>
      </c>
      <c r="Y22" t="n">
        <v>0</v>
      </c>
      <c r="Z22" t="b">
        <v>0</v>
      </c>
      <c r="AA22" t="inlineStr"/>
      <c r="AB22" t="inlineStr"/>
      <c r="AC22" t="inlineStr"/>
      <c r="AD22" t="inlineStr">
        <is>
          <t>Permanent passive, +5%-&gt;6.5% Attack Speed (levels 1-100) — assumed already in Inputs!ATTACK_SPEED% (Magic Critical pattern); this row only feeds the 2nd-Job Skill Level Bonus Sensitivity delta. factorIndex 22, baseDamage 50 tenths%.</t>
        </is>
      </c>
    </row>
    <row r="23">
      <c r="A23" t="inlineStr">
        <is>
          <t>PHYSICAL_TRAINING</t>
        </is>
      </c>
      <c r="B23" t="inlineStr">
        <is>
          <t>Physical Training</t>
        </is>
      </c>
      <c r="C23" t="n">
        <v>2</v>
      </c>
      <c r="D23" t="inlineStr"/>
      <c r="E23" t="b">
        <v>0</v>
      </c>
      <c r="F23" t="n">
        <v>1</v>
      </c>
      <c r="G23" t="n">
        <v>1</v>
      </c>
      <c r="H23" t="n">
        <v>0</v>
      </c>
      <c r="I23" t="n">
        <v>0</v>
      </c>
      <c r="J23" t="n">
        <v>100</v>
      </c>
      <c r="K23" t="n">
        <v>1</v>
      </c>
      <c r="L23" t="n">
        <v>100</v>
      </c>
      <c r="M23" t="n">
        <v>22</v>
      </c>
      <c r="N23" t="b">
        <v>1</v>
      </c>
      <c r="O23" t="n">
        <v>0</v>
      </c>
      <c r="P23" t="n">
        <v>0</v>
      </c>
      <c r="Q23" t="n">
        <v>0</v>
      </c>
      <c r="R23" t="n">
        <v>0</v>
      </c>
      <c r="S23" t="n">
        <v>0</v>
      </c>
      <c r="T23" t="n">
        <v>0</v>
      </c>
      <c r="U23" t="n">
        <v>0</v>
      </c>
      <c r="V23" t="n">
        <v>0</v>
      </c>
      <c r="W23" t="n">
        <v>1</v>
      </c>
      <c r="X23" t="inlineStr">
        <is>
          <t>BASIC_ATTACK_DAMAGE</t>
        </is>
      </c>
      <c r="Y23" t="n">
        <v>0</v>
      </c>
      <c r="Z23" t="b">
        <v>0</v>
      </c>
      <c r="AA23" t="inlineStr"/>
      <c r="AB23" t="inlineStr"/>
      <c r="AC23" t="inlineStr"/>
      <c r="AD23" t="inlineStr">
        <is>
          <t>Permanent passive, +10%-&gt;13% Basic Attack Damage (levels 1-100) — assumed already in Inputs!BASIC_ATTACK_DAMAGE% (Magic Critical pattern); feeds the 2nd-Job Skill Level Bonus delta. factorIndex 22, baseDamage 100 tenths%.</t>
        </is>
      </c>
    </row>
    <row r="24">
      <c r="A24" t="inlineStr">
        <is>
          <t>CLAW_MASTERY</t>
        </is>
      </c>
      <c r="B24" t="inlineStr">
        <is>
          <t>Claw Mastery</t>
        </is>
      </c>
      <c r="C24" t="n">
        <v>2</v>
      </c>
      <c r="D24" t="inlineStr"/>
      <c r="E24" t="b">
        <v>0</v>
      </c>
      <c r="F24" t="n">
        <v>1</v>
      </c>
      <c r="G24" t="n">
        <v>1</v>
      </c>
      <c r="H24" t="n">
        <v>0</v>
      </c>
      <c r="I24" t="n">
        <v>0</v>
      </c>
      <c r="J24" t="n">
        <v>100</v>
      </c>
      <c r="K24" t="n">
        <v>1</v>
      </c>
      <c r="L24" t="n">
        <v>150</v>
      </c>
      <c r="M24" t="n">
        <v>22</v>
      </c>
      <c r="N24" t="b">
        <v>1</v>
      </c>
      <c r="O24" t="n">
        <v>0</v>
      </c>
      <c r="P24" t="n">
        <v>0</v>
      </c>
      <c r="Q24" t="n">
        <v>0</v>
      </c>
      <c r="R24" t="n">
        <v>0</v>
      </c>
      <c r="S24" t="n">
        <v>0</v>
      </c>
      <c r="T24" t="n">
        <v>0</v>
      </c>
      <c r="U24" t="n">
        <v>0</v>
      </c>
      <c r="V24" t="n">
        <v>0</v>
      </c>
      <c r="W24" t="n">
        <v>1</v>
      </c>
      <c r="X24" t="inlineStr">
        <is>
          <t>MIN_DAMAGE</t>
        </is>
      </c>
      <c r="Y24" t="n">
        <v>0</v>
      </c>
      <c r="Z24" t="b">
        <v>0</v>
      </c>
      <c r="AA24" t="inlineStr"/>
      <c r="AB24" t="inlineStr"/>
      <c r="AC24" t="inlineStr"/>
      <c r="AD24" t="inlineStr">
        <is>
          <t>Permanent passive, +15%-&gt;19.5% Min Damage Multiplier (levels 1-100) — assumed already in Inputs!MIN_DAMAGE% (Magic Critical pattern); feeds the 2nd-Job Skill Level Bonus delta. factorIndex 22, baseDamage 150 tenths%.</t>
        </is>
      </c>
    </row>
    <row r="25">
      <c r="A25" t="inlineStr">
        <is>
          <t>CRITICAL_THROW_RATE</t>
        </is>
      </c>
      <c r="B25" t="inlineStr">
        <is>
          <t>Critical Throw (Crit Rate)</t>
        </is>
      </c>
      <c r="C25" t="n">
        <v>2</v>
      </c>
      <c r="D25" t="inlineStr"/>
      <c r="E25" t="b">
        <v>0</v>
      </c>
      <c r="F25" t="n">
        <v>1</v>
      </c>
      <c r="G25" t="n">
        <v>1</v>
      </c>
      <c r="H25" t="n">
        <v>0</v>
      </c>
      <c r="I25" t="n">
        <v>0</v>
      </c>
      <c r="J25" t="n">
        <v>100</v>
      </c>
      <c r="K25" t="n">
        <v>1</v>
      </c>
      <c r="L25" t="n">
        <v>60</v>
      </c>
      <c r="M25" t="n">
        <v>22</v>
      </c>
      <c r="N25" t="b">
        <v>1</v>
      </c>
      <c r="O25" t="n">
        <v>0</v>
      </c>
      <c r="P25" t="n">
        <v>0</v>
      </c>
      <c r="Q25" t="n">
        <v>0</v>
      </c>
      <c r="R25" t="n">
        <v>0</v>
      </c>
      <c r="S25" t="n">
        <v>0</v>
      </c>
      <c r="T25" t="n">
        <v>0</v>
      </c>
      <c r="U25" t="n">
        <v>0</v>
      </c>
      <c r="V25" t="n">
        <v>0</v>
      </c>
      <c r="W25" t="n">
        <v>1</v>
      </c>
      <c r="X25" t="inlineStr">
        <is>
          <t>CRIT_RATE</t>
        </is>
      </c>
      <c r="Y25" t="n">
        <v>0</v>
      </c>
      <c r="Z25" t="b">
        <v>0</v>
      </c>
      <c r="AA25" t="inlineStr"/>
      <c r="AB25" t="inlineStr"/>
      <c r="AC25" t="inlineStr"/>
      <c r="AD25" t="inlineStr">
        <is>
          <t>Permanent passive, +6%-&gt;7.8% Crit Rate (levels 1-100) — assumed already in Inputs!CRIT_RATE% (Magic Critical pattern); feeds the 2nd-Job Skill Level Bonus delta. factorIndex 22, baseDamage 60 tenths%. Mastery Lv.47's +8%p Crit Rate is a SEPARATE always-on mastery addition (global_crit_rate_bonus_expr in build_calc_sheet), NOT part of this delta.</t>
        </is>
      </c>
    </row>
    <row r="26">
      <c r="A26" t="inlineStr">
        <is>
          <t>CRITICAL_THROW_DMG</t>
        </is>
      </c>
      <c r="B26" t="inlineStr">
        <is>
          <t>Critical Throw (Crit Damage)</t>
        </is>
      </c>
      <c r="C26" t="n">
        <v>2</v>
      </c>
      <c r="D26" t="inlineStr"/>
      <c r="E26" t="b">
        <v>0</v>
      </c>
      <c r="F26" t="n">
        <v>1</v>
      </c>
      <c r="G26" t="n">
        <v>1</v>
      </c>
      <c r="H26" t="n">
        <v>0</v>
      </c>
      <c r="I26" t="n">
        <v>0</v>
      </c>
      <c r="J26" t="n">
        <v>100</v>
      </c>
      <c r="K26" t="n">
        <v>1</v>
      </c>
      <c r="L26" t="n">
        <v>100</v>
      </c>
      <c r="M26" t="n">
        <v>22</v>
      </c>
      <c r="N26" t="b">
        <v>1</v>
      </c>
      <c r="O26" t="n">
        <v>0</v>
      </c>
      <c r="P26" t="n">
        <v>0</v>
      </c>
      <c r="Q26" t="n">
        <v>0</v>
      </c>
      <c r="R26" t="n">
        <v>0</v>
      </c>
      <c r="S26" t="n">
        <v>0</v>
      </c>
      <c r="T26" t="n">
        <v>0</v>
      </c>
      <c r="U26" t="n">
        <v>0</v>
      </c>
      <c r="V26" t="n">
        <v>0</v>
      </c>
      <c r="W26" t="n">
        <v>1</v>
      </c>
      <c r="X26" t="inlineStr">
        <is>
          <t>CRIT_DAMAGE</t>
        </is>
      </c>
      <c r="Y26" t="n">
        <v>0</v>
      </c>
      <c r="Z26" t="b">
        <v>0</v>
      </c>
      <c r="AA26" t="inlineStr"/>
      <c r="AB26" t="inlineStr"/>
      <c r="AC26" t="inlineStr"/>
      <c r="AD26" t="inlineStr">
        <is>
          <t>Same skill as the Crit Rate row above, +10%-&gt;13% Crit Damage (levels 1-100) — assumed already in Inputs!CRIT_DAMAGE% (Magic Critical pattern); feeds the 2nd-Job Skill Level Bonus delta. factorIndex 22, baseDamage 100 tenths%.</t>
        </is>
      </c>
    </row>
    <row r="27">
      <c r="A27" t="inlineStr">
        <is>
          <t>ENVELOPING_DARKNESS</t>
        </is>
      </c>
      <c r="B27" t="inlineStr">
        <is>
          <t>Enveloping Darkness</t>
        </is>
      </c>
      <c r="C27" t="n">
        <v>3</v>
      </c>
      <c r="D27" t="inlineStr"/>
      <c r="E27" t="b">
        <v>0</v>
      </c>
      <c r="F27" t="n">
        <v>1</v>
      </c>
      <c r="G27" t="n">
        <v>1</v>
      </c>
      <c r="H27" t="n">
        <v>0</v>
      </c>
      <c r="I27" t="n">
        <v>0</v>
      </c>
      <c r="J27" t="n">
        <v>100</v>
      </c>
      <c r="K27" t="n">
        <v>1</v>
      </c>
      <c r="L27" t="n">
        <v>180</v>
      </c>
      <c r="M27" t="n">
        <v>22</v>
      </c>
      <c r="N27" t="b">
        <v>1</v>
      </c>
      <c r="O27" t="n">
        <v>0</v>
      </c>
      <c r="P27" t="n">
        <v>0</v>
      </c>
      <c r="Q27" t="n">
        <v>0</v>
      </c>
      <c r="R27" t="n">
        <v>0</v>
      </c>
      <c r="S27" t="n">
        <v>0</v>
      </c>
      <c r="T27" t="n">
        <v>0</v>
      </c>
      <c r="U27" t="n">
        <v>0</v>
      </c>
      <c r="V27" t="n">
        <v>0</v>
      </c>
      <c r="W27" t="n">
        <v>1</v>
      </c>
      <c r="X27" t="inlineStr">
        <is>
          <t>BOSS_DAMAGE</t>
        </is>
      </c>
      <c r="Y27" t="n">
        <v>0</v>
      </c>
      <c r="Z27" t="b">
        <v>0</v>
      </c>
      <c r="AA27" t="inlineStr"/>
      <c r="AB27" t="inlineStr"/>
      <c r="AC27" t="inlineStr"/>
      <c r="AD27" t="inlineStr">
        <is>
          <t>Permanent passive, +18%-&gt;28.8% Boss Monster Damage (levels 1-200; Max HP part dropped, no DPS relevance) — assumed already in Inputs!BOSS_DAMAGE% (Magic Critical pattern); feeds the 3rd-Job Skill Level Bonus delta. factorIndex 22, baseDamage 180 tenths%.</t>
        </is>
      </c>
    </row>
    <row r="28">
      <c r="A28" t="inlineStr">
        <is>
          <t>EXPERT_THROWING_STAR_HANDLING</t>
        </is>
      </c>
      <c r="B28" t="inlineStr">
        <is>
          <t>Expert Throwing Star Handling</t>
        </is>
      </c>
      <c r="C28" t="n">
        <v>3</v>
      </c>
      <c r="D28" t="inlineStr"/>
      <c r="E28" t="b">
        <v>0</v>
      </c>
      <c r="F28" t="n">
        <v>1</v>
      </c>
      <c r="G28" t="n">
        <v>1</v>
      </c>
      <c r="H28" t="n">
        <v>0</v>
      </c>
      <c r="I28" t="n">
        <v>0</v>
      </c>
      <c r="J28" t="n">
        <v>100</v>
      </c>
      <c r="K28" t="n">
        <v>1</v>
      </c>
      <c r="L28" t="n">
        <v>180</v>
      </c>
      <c r="M28" t="n">
        <v>22</v>
      </c>
      <c r="N28" t="b">
        <v>1</v>
      </c>
      <c r="O28" t="n">
        <v>0</v>
      </c>
      <c r="P28" t="n">
        <v>0</v>
      </c>
      <c r="Q28" t="n">
        <v>0</v>
      </c>
      <c r="R28" t="n">
        <v>0</v>
      </c>
      <c r="S28" t="n">
        <v>0</v>
      </c>
      <c r="T28" t="n">
        <v>0</v>
      </c>
      <c r="U28" t="n">
        <v>0</v>
      </c>
      <c r="V28" t="n">
        <v>0</v>
      </c>
      <c r="W28" t="n">
        <v>1</v>
      </c>
      <c r="X28" t="inlineStr">
        <is>
          <t>ATTACK</t>
        </is>
      </c>
      <c r="Y28" t="n">
        <v>0</v>
      </c>
      <c r="Z28" t="b">
        <v>0</v>
      </c>
      <c r="AA28" t="inlineStr"/>
      <c r="AB28" t="inlineStr"/>
      <c r="AC28" t="inlineStr"/>
      <c r="AD28" t="inlineStr">
        <is>
          <t>Permanent passive, +18%-&gt;28.8% Attack (levels 1-200) — assumed already in Inputs!ATTACK% (Magic Critical pattern); feeds the 3rd-Job Skill Level Bonus delta. factorIndex 22, baseDamage 180 tenths%.</t>
        </is>
      </c>
    </row>
    <row r="29">
      <c r="A29" t="inlineStr">
        <is>
          <t>CLAW_EXPERT</t>
        </is>
      </c>
      <c r="B29" t="inlineStr">
        <is>
          <t>Claw Expert</t>
        </is>
      </c>
      <c r="C29" t="n">
        <v>4</v>
      </c>
      <c r="D29" t="inlineStr"/>
      <c r="E29" t="b">
        <v>0</v>
      </c>
      <c r="F29" t="n">
        <v>1</v>
      </c>
      <c r="G29" t="n">
        <v>1</v>
      </c>
      <c r="H29" t="n">
        <v>0</v>
      </c>
      <c r="I29" t="n">
        <v>0</v>
      </c>
      <c r="J29" t="n">
        <v>100</v>
      </c>
      <c r="K29" t="n">
        <v>1</v>
      </c>
      <c r="L29" t="n">
        <v>150</v>
      </c>
      <c r="M29" t="n">
        <v>22</v>
      </c>
      <c r="N29" t="b">
        <v>1</v>
      </c>
      <c r="O29" t="n">
        <v>0</v>
      </c>
      <c r="P29" t="n">
        <v>0</v>
      </c>
      <c r="Q29" t="n">
        <v>0</v>
      </c>
      <c r="R29" t="n">
        <v>0</v>
      </c>
      <c r="S29" t="n">
        <v>0</v>
      </c>
      <c r="T29" t="n">
        <v>0</v>
      </c>
      <c r="U29" t="n">
        <v>0</v>
      </c>
      <c r="V29" t="n">
        <v>0</v>
      </c>
      <c r="W29" t="n">
        <v>1</v>
      </c>
      <c r="X29" t="inlineStr">
        <is>
          <t>SKILL_DAMAGE</t>
        </is>
      </c>
      <c r="Y29" t="n">
        <v>0</v>
      </c>
      <c r="Z29" t="b">
        <v>0</v>
      </c>
      <c r="AA29" t="inlineStr"/>
      <c r="AB29" t="inlineStr"/>
      <c r="AC29" t="inlineStr"/>
      <c r="AD29" t="inlineStr">
        <is>
          <t>Permanent passive, +15%-&gt;24% Skill Damage, +20%-&gt;32% Max Damage Multiplier (levels 1-200) — assumed already in Inputs!SKILL_DAMAGE%/MAX_DAMAGE% (Magic Critical pattern); feeds the 4th-Job Skill Level Bonus delta (Skill Damage side; Max Damage Multiplier isn't independently swept on the Sensitivity sheet, same as FP-Mage's own scope). factorIndex 22, baseDamage 150 tenths% (Skill Damage curve; Max Damage Multiplier curve is identical in shape, 20%-&gt;32%, not separately tracked as its own row).</t>
        </is>
      </c>
    </row>
    <row r="30">
      <c r="A30" t="inlineStr">
        <is>
          <t>DARK_HARMONY</t>
        </is>
      </c>
      <c r="B30" t="inlineStr">
        <is>
          <t>Dark Harmony</t>
        </is>
      </c>
      <c r="C30" t="n">
        <v>4</v>
      </c>
      <c r="D30" t="inlineStr"/>
      <c r="E30" t="b">
        <v>0</v>
      </c>
      <c r="F30" t="n">
        <v>1</v>
      </c>
      <c r="G30" t="n">
        <v>1</v>
      </c>
      <c r="H30" t="n">
        <v>0</v>
      </c>
      <c r="I30" t="n">
        <v>0</v>
      </c>
      <c r="J30" t="n">
        <v>100</v>
      </c>
      <c r="K30" t="n">
        <v>1</v>
      </c>
      <c r="L30" t="n">
        <v>120</v>
      </c>
      <c r="M30" t="n">
        <v>22</v>
      </c>
      <c r="N30" t="b">
        <v>1</v>
      </c>
      <c r="O30" t="n">
        <v>0</v>
      </c>
      <c r="P30" t="n">
        <v>0</v>
      </c>
      <c r="Q30" t="n">
        <v>0</v>
      </c>
      <c r="R30" t="n">
        <v>0</v>
      </c>
      <c r="S30" t="n">
        <v>0</v>
      </c>
      <c r="T30" t="n">
        <v>0</v>
      </c>
      <c r="U30" t="n">
        <v>0</v>
      </c>
      <c r="V30" t="n">
        <v>0</v>
      </c>
      <c r="W30" t="n">
        <v>1</v>
      </c>
      <c r="X30" t="inlineStr">
        <is>
          <t>FINAL_DAMAGE</t>
        </is>
      </c>
      <c r="Y30" t="n">
        <v>0</v>
      </c>
      <c r="Z30" t="b">
        <v>0</v>
      </c>
      <c r="AA30" t="inlineStr"/>
      <c r="AB30" t="inlineStr"/>
      <c r="AC30" t="inlineStr"/>
      <c r="AD30" t="inlineStr">
        <is>
          <t>Permanent passive, Final Damage +15%(base)-&gt;patched 12% (curve shape unchanged, 12%-&gt;19.2%(@lvl100) scaled from the unpatched 15%-&gt;24% wiki curve), +20%-&gt;32% Min Damage Multiplier (levels 1-200) — assumed already in Inputs!FINAL_DAMAGE%/MIN_DAMAGE% (Magic Critical pattern); feeds the 4th-Job Skill Level Bonus delta (Final Damage side). factorIndex 22, baseDamage 120 tenths% (12% patched base).</t>
        </is>
      </c>
    </row>
    <row r="31">
      <c r="A31" t="inlineStr">
        <is>
          <t>NIGHT_LORDS_MARK</t>
        </is>
      </c>
      <c r="B31" t="inlineStr">
        <is>
          <t>Night Lord's Mark</t>
        </is>
      </c>
      <c r="C31" t="n">
        <v>4</v>
      </c>
      <c r="D31" t="inlineStr"/>
      <c r="E31" t="b">
        <v>0</v>
      </c>
      <c r="F31" t="n">
        <v>1</v>
      </c>
      <c r="G31" t="n">
        <v>1</v>
      </c>
      <c r="H31" t="n">
        <v>0</v>
      </c>
      <c r="I31" t="n">
        <v>0</v>
      </c>
      <c r="J31" t="n">
        <v>100</v>
      </c>
      <c r="K31" t="n">
        <v>1</v>
      </c>
      <c r="L31" t="n">
        <v>3000</v>
      </c>
      <c r="M31" t="n">
        <v>21</v>
      </c>
      <c r="N31" t="b">
        <v>1</v>
      </c>
      <c r="O31" t="n">
        <v>0</v>
      </c>
      <c r="P31" t="n">
        <v>0</v>
      </c>
      <c r="Q31" t="n">
        <v>0</v>
      </c>
      <c r="R31" t="n">
        <v>0</v>
      </c>
      <c r="S31" t="n">
        <v>0</v>
      </c>
      <c r="T31" t="n">
        <v>0</v>
      </c>
      <c r="U31" t="n">
        <v>0</v>
      </c>
      <c r="V31" t="n">
        <v>0</v>
      </c>
      <c r="W31" t="n">
        <v>1</v>
      </c>
      <c r="X31" t="inlineStr"/>
      <c r="Y31" t="n">
        <v>0</v>
      </c>
      <c r="Z31" t="b">
        <v>0</v>
      </c>
      <c r="AA31" t="inlineStr"/>
      <c r="AB31" t="inlineStr"/>
      <c r="AC31" t="inlineStr"/>
      <c r="AD31" t="inlineStr">
        <is>
          <t>Permanent passive feeding Assassin's Mark only (+3 max targets, +300%-&gt;540% Final Damage to Assassin's Mark, levels 1-200) — a real, always-on contributor, NOT baked into Inputs (unlike every 'passive-mult' row above) since it has no matching generic Inputs field; same Element-Amplification-style treatment FP-Mage uses. No independent DPS row (Calc columns G-O blank/0) — only D/E/F (its own scaling coefficient) are computed. factorIndex 21, baseDamage 3000 tenths%.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 width="12" customWidth="1" min="17" max="17"/>
    <col width="12" customWidth="1" min="18" max="18"/>
    <col width="14" customWidth="1" min="19" max="19"/>
  </cols>
  <sheetData>
    <row r="1">
      <c r="A1" s="5" t="inlineStr">
        <is>
          <t>Key</t>
        </is>
      </c>
      <c r="B1" s="5" t="inlineStr">
        <is>
          <t>Name</t>
        </is>
      </c>
      <c r="C1" s="5" t="inlineStr">
        <is>
          <t>Unlocked</t>
        </is>
      </c>
      <c r="D1" s="5" t="inlineStr">
        <is>
          <t>InputLevel</t>
        </is>
      </c>
      <c r="E1" s="5" t="inlineStr">
        <is>
          <t>Factor</t>
        </is>
      </c>
      <c r="F1" s="5" t="inlineStr">
        <is>
          <t>CoefficientPercent</t>
        </is>
      </c>
      <c r="G1" s="5" t="inlineStr">
        <is>
          <t>EffectiveHits</t>
        </is>
      </c>
      <c r="H1" s="5" t="inlineStr">
        <is>
          <t>ProcProbability</t>
        </is>
      </c>
      <c r="I1" s="5" t="inlineStr">
        <is>
          <t>MapleHeroMultiplier</t>
        </is>
      </c>
      <c r="J1" s="5" t="inlineStr">
        <is>
          <t>BaseDamage</t>
        </is>
      </c>
      <c r="K1" s="5" t="inlineStr">
        <is>
          <t>BaseHitDamage</t>
        </is>
      </c>
      <c r="L1" s="5" t="inlineStr">
        <is>
          <t>NonCritAvg</t>
        </is>
      </c>
      <c r="M1" s="5" t="inlineStr">
        <is>
          <t>CritAvg</t>
        </is>
      </c>
      <c r="N1" s="5" t="inlineStr">
        <is>
          <t>ExpectedDamage(perHit)</t>
        </is>
      </c>
      <c r="O1" s="5" t="inlineStr">
        <is>
          <t>DPS</t>
        </is>
      </c>
      <c r="P1" s="5" t="inlineStr">
        <is>
          <t>% of Total</t>
        </is>
      </c>
      <c r="Q1" s="5" t="inlineStr">
        <is>
          <t>InvCooldown</t>
        </is>
      </c>
      <c r="R1" s="5" t="inlineStr">
        <is>
          <t>CastsInFight</t>
        </is>
      </c>
      <c r="S1" s="5" t="inlineStr">
        <is>
          <t>HitRate(perSec)</t>
        </is>
      </c>
      <c r="T1" t="inlineStr">
        <is>
          <t>BossOnlyDPS</t>
        </is>
      </c>
      <c r="U1" s="6" t="inlineStr">
        <is>
          <t>Maple Hero (NL) helper (jobStep4, factorIndex23)</t>
        </is>
      </c>
      <c r="V1" t="inlineStr">
        <is>
          <t>NormalOnlyDPS</t>
        </is>
      </c>
    </row>
    <row r="2">
      <c r="A2">
        <f>Skills!A2</f>
        <v/>
      </c>
      <c r="B2">
        <f>Skills!B2</f>
        <v/>
      </c>
      <c r="C2">
        <f>Inputs!$B$3&gt;=100</f>
        <v/>
      </c>
      <c r="D2" t="inlineStr"/>
      <c r="E2" t="inlineStr"/>
      <c r="F2">
        <f>Summary!$B$10+Skills!O2</f>
        <v/>
      </c>
      <c r="G2">
        <f>Skills!G2*IF(Skills!H2&gt;0,Skills!I2/Skills!H2,1)</f>
        <v/>
      </c>
      <c r="H2">
        <f>1-(1-Skills!J2/100)^Skills!K2</f>
        <v/>
      </c>
      <c r="I2">
        <f>IF(Skills!AA2&lt;&gt;"",1+(Skills!AA2/10)*($U$3/1000)/100,1)</f>
        <v/>
      </c>
      <c r="J2">
        <f>Summary!$B$6*(F2/100)</f>
        <v/>
      </c>
      <c r="K2">
        <f>J2*(1+Summary!$B$7/100)*(1+Inputs!$B$15/100)*(1+Inputs!$B$16/100)*(5000/(6000+Inputs!$B$43*(1-Inputs!$B$19/100)))*(1+Inputs!$B$24/100)*(1+Skills!R2/100)*(1+Artifacts!$B$34/100)*(1+(IF(Skills!A2="SHOWDOWN",Inputs!$B$17+Artifacts!$B$40,Inputs!$B$18+Artifacts!$B$39))/100)*(Summary!$B$13*Summary!$B$16*(1+Artifacts!$B$38/100)*I2)</f>
        <v/>
      </c>
      <c r="L2">
        <f>K2*(MIN(Inputs!$B$22,Inputs!$B$23)/100+Inputs!$B$23/100)/2</f>
        <v/>
      </c>
      <c r="M2">
        <f>L2*(1+(Inputs!$B$10+Summary!$B$24+Artifacts!$B$33)/100)</f>
        <v/>
      </c>
      <c r="N2">
        <f>L2*(1-MIN((Inputs!$B$9+Summary!$B$14+Artifacts!$B$32),100)/100)+M2*(MIN((Inputs!$B$9+Summary!$B$14+Artifacts!$B$32),100)/100)</f>
        <v/>
      </c>
      <c r="O2">
        <f>(1-Summary!$B$11)*T2+Summary!$B$11*V2</f>
        <v/>
      </c>
      <c r="P2">
        <f>IF(Summary!$B$3=0,0,O2/Summary!$B$3)</f>
        <v/>
      </c>
      <c r="Q2" t="n">
        <v>0</v>
      </c>
      <c r="R2" t="n">
        <v>0</v>
      </c>
      <c r="S2">
        <f>IFERROR(O2/N2,0)</f>
        <v/>
      </c>
      <c r="T2">
        <f>IF(C2,(Skills!G2*N2*Summary!$B$22)*IF(Inputs!$B$39="pvp",1,1+(Inputs!$B$20+Skills!P2+Summary!$B$15+Artifacts!$B$35+Artifacts!$B$36)/100)*((((5000/(6000+Inputs!$B$43*(1-(100*(1-(1-Inputs!$B$19/100)*(1-Artifacts!$B$51/100)^IF(Inputs!$B$39="pvp",1,2)))/100)))/(5000/(6000+Inputs!$B$43*(1-Inputs!$B$19/100))))*((L2*(1-MIN(100,(Inputs!$B$9+Summary!$B$14+Artifacts!$B$32)+Artifacts!$B$69)/100)+M2*(MIN(100,(Inputs!$B$9+Summary!$B$14+Artifacts!$B$32)+Artifacts!$B$69)/100))/(L2*(1-MIN(100,(Inputs!$B$9+Summary!$B$14+Artifacts!$B$32))/100)+M2*(MIN(100,(Inputs!$B$9+Summary!$B$14+Artifacts!$B$32))/100)))*(1+Artifacts!$B$81/100))),0)</f>
        <v/>
      </c>
      <c r="U2">
        <f>MAX(0,(Inputs!$B$3-100)*3)+Inputs!$B$28+Inputs!$B$29</f>
        <v/>
      </c>
      <c r="V2">
        <f>IF(C2,(Skills!G2*N2*Summary!$B$22)*IF(Inputs!$B$39="pvp",1,(1+(Inputs!$B$21+Skills!Q2+Summary!$B$15+Artifacts!$B$80+Artifacts!$B$36)/100)*(MIN(Skills!W2,Inputs!$B$37)))*((1+Artifacts!$B$53/100)),0)</f>
        <v/>
      </c>
    </row>
    <row r="3">
      <c r="A3">
        <f>Skills!A3</f>
        <v/>
      </c>
      <c r="B3">
        <f>Skills!B3</f>
        <v/>
      </c>
      <c r="C3">
        <f>Inputs!$B$3&gt;=35</f>
        <v/>
      </c>
      <c r="D3">
        <f>IF(Skills!C3=1,60+Inputs!$B$25+Inputs!$B$29,IF(Skills!C3=2,90+Inputs!$B$26+Inputs!$B$29,IF(Skills!C3=3,120+Inputs!$B$27+Inputs!$B$29,MAX(0,(Inputs!$B$3-100)*3)+Inputs!$B$28+Inputs!$B$29)))</f>
        <v/>
      </c>
      <c r="E3">
        <f>INDEX(FactorTable!$B$2:$Y$301, MATCH(ROUND(MIN(300,MAX(1,D3)),0), FactorTable!$A$2:$A$301,0), Skills!M3+1)</f>
        <v/>
      </c>
      <c r="F3">
        <f>IF(Skills!N3=TRUE,(Skills!L3/10)*(E3/1000),Skills!L3/10)+Skills!O3</f>
        <v/>
      </c>
      <c r="G3">
        <f>Skills!G3*IF(Skills!H3&gt;0,Skills!I3/Skills!H3,1)</f>
        <v/>
      </c>
      <c r="H3">
        <f>1-(1-Skills!J3/100)^Skills!K3</f>
        <v/>
      </c>
      <c r="I3">
        <f>IF(Skills!AA3&lt;&gt;"",1+(Skills!AA3/10)*($U$3/1000)/100,1)</f>
        <v/>
      </c>
      <c r="J3">
        <f>Summary!$B$6*(F3/100)</f>
        <v/>
      </c>
      <c r="K3">
        <f>J3*(1+Summary!$B$7/100)*(1+Inputs!$B$15/100)*(1+Inputs!$B$16/100)*(5000/(6000+Inputs!$B$43*(1-Inputs!$B$19/100)))*(1+Inputs!$B$24/100)*(1+Skills!R3/100)*(1+Artifacts!$B$34/100)*(1+(IF(Skills!A3="SHOWDOWN",Inputs!$B$17+Artifacts!$B$40,Inputs!$B$18+Artifacts!$B$39))/100)*(Summary!$B$13*Summary!$B$16*(1+Artifacts!$B$38/100)*I3)</f>
        <v/>
      </c>
      <c r="L3">
        <f>K3*(MIN(Inputs!$B$22,Inputs!$B$23)/100+Inputs!$B$23/100)/2</f>
        <v/>
      </c>
      <c r="M3">
        <f>L3*(1+(Inputs!$B$10+Summary!$B$24+Artifacts!$B$33)/100)</f>
        <v/>
      </c>
      <c r="N3">
        <f>L3*(1-MIN((Inputs!$B$9+Summary!$B$14+Artifacts!$B$32),100)/100)+M3*(MIN((Inputs!$B$9+Summary!$B$14+Artifacts!$B$32),100)/100)</f>
        <v/>
      </c>
      <c r="O3">
        <f>(1-Summary!$B$11)*T3+Summary!$B$11*V3</f>
        <v/>
      </c>
      <c r="P3">
        <f>IF(Summary!$B$3=0,0,O3/Summary!$B$3)</f>
        <v/>
      </c>
      <c r="Q3">
        <f>IFERROR(1/(IF(Inputs!$B$39="pvp",15,MAX(0.1,Skills!D3-IF(Skills!E3=TRUE,Inputs!$B$32,0)))*(1-IF(AND(ArtifactsInput!$M$27,Inputs!$B$4="Chapter Hunt"),CHOOSE(ArtifactsInput!$N$27+1,20,24,28,32,36,40),0)/100)),0)</f>
        <v/>
      </c>
      <c r="R3">
        <f>IF(AND(Inputs!$B$39&lt;&gt;"pvp",Inputs!$B$44&gt;0),IF(MAX(0,Inputs!$B$44-Summary!$B$26)&lt;=0,0,(INT(MAX(0,Inputs!$B$44-Summary!$B$26)/(IF(Inputs!$B$39="pvp",15,MAX(0.1,Skills!D3-IF(Skills!E3=TRUE,Inputs!$B$32,0)))*(1-IF(AND(ArtifactsInput!$M$27,Inputs!$B$4="Chapter Hunt"),CHOOSE(ArtifactsInput!$N$27+1,20,24,28,32,36,40),0)/100)))+1)),0)</f>
        <v/>
      </c>
      <c r="S3">
        <f>IFERROR(O3/N3,0)</f>
        <v/>
      </c>
      <c r="T3">
        <f>IF(C3,(H3*N3*IF(AND(Inputs!$B$39&lt;&gt;"pvp",Inputs!$B$44&gt;0),((Skills!G3*((R3-1)*IF(Skills!H3&gt;0,Skills!I3/Skills!H3,1)+IF(Skills!H3&gt;0,MIN(Skills!I3,MAX(0,MAX(0,Inputs!$B$44-Summary!$B$26)-((R3-1)*(IF(Inputs!$B$39="pvp",15,MAX(0.1,Skills!D3-IF(Skills!E3=TRUE,Inputs!$B$32,0)))*(1-IF(AND(ArtifactsInput!$M$27,Inputs!$B$4="Chapter Hunt"),CHOOSE(ArtifactsInput!$N$27+1,20,24,28,32,36,40),0)/100)))))/Skills!H3,1)))/Inputs!$B$44),G3*Q3))*IF(Inputs!$B$39="pvp",1,1+(Inputs!$B$20+Skills!P3+Summary!$B$15+Artifacts!$B$35+Artifacts!$B$36)/100)*((((5000/(6000+Inputs!$B$43*(1-(100*(1-(1-Inputs!$B$19/100)*(1-Artifacts!$B$51/100)^IF(Inputs!$B$39="pvp",1,2)))/100)))/(5000/(6000+Inputs!$B$43*(1-Inputs!$B$19/100))))*((L3*(1-MIN(100,(Inputs!$B$9+Summary!$B$14+Artifacts!$B$32)+Artifacts!$B$69)/100)+M3*(MIN(100,(Inputs!$B$9+Summary!$B$14+Artifacts!$B$32)+Artifacts!$B$69)/100))/(L3*(1-MIN(100,(Inputs!$B$9+Summary!$B$14+Artifacts!$B$32))/100)+M3*(MIN(100,(Inputs!$B$9+Summary!$B$14+Artifacts!$B$32))/100)))*(1+Artifacts!$B$81/100))),0)</f>
        <v/>
      </c>
      <c r="U3">
        <f>INDEX(FactorTable!$B$2:$Y$301, MATCH(ROUND(MIN(300,MAX(1,U2)),0), FactorTable!$A$2:$A$301,0), 24)</f>
        <v/>
      </c>
      <c r="V3">
        <f>IF(C3,(H3*N3*IF(AND(Inputs!$B$39&lt;&gt;"pvp",Inputs!$B$44&gt;0),((Skills!G3*((R3-1)*IF(Skills!H3&gt;0,Skills!I3/Skills!H3,1)+IF(Skills!H3&gt;0,MIN(Skills!I3,MAX(0,MAX(0,Inputs!$B$44-Summary!$B$26)-((R3-1)*(IF(Inputs!$B$39="pvp",15,MAX(0.1,Skills!D3-IF(Skills!E3=TRUE,Inputs!$B$32,0)))*(1-IF(AND(ArtifactsInput!$M$27,Inputs!$B$4="Chapter Hunt"),CHOOSE(ArtifactsInput!$N$27+1,20,24,28,32,36,40),0)/100)))))/Skills!H3,1)))/Inputs!$B$44),G3*Q3))*IF(Inputs!$B$39="pvp",1,(1+(Inputs!$B$21+Skills!Q3+Summary!$B$15+Artifacts!$B$80+Artifacts!$B$36)/100)*(MIN(Skills!W3,Inputs!$B$37)))*((1+Artifacts!$B$53/100)),0)</f>
        <v/>
      </c>
    </row>
    <row r="4">
      <c r="A4">
        <f>Skills!A4</f>
        <v/>
      </c>
      <c r="B4">
        <f>Skills!B4</f>
        <v/>
      </c>
      <c r="C4">
        <f>Inputs!$B$3&gt;=40</f>
        <v/>
      </c>
      <c r="D4">
        <f>IF(Skills!C4=1,60+Inputs!$B$25+Inputs!$B$29,IF(Skills!C4=2,90+Inputs!$B$26+Inputs!$B$29,IF(Skills!C4=3,120+Inputs!$B$27+Inputs!$B$29,MAX(0,(Inputs!$B$3-100)*3)+Inputs!$B$28+Inputs!$B$29)))</f>
        <v/>
      </c>
      <c r="E4">
        <f>INDEX(FactorTable!$B$2:$Y$301, MATCH(ROUND(MIN(300,MAX(1,D4)),0), FactorTable!$A$2:$A$301,0), Skills!M4+1)</f>
        <v/>
      </c>
      <c r="F4">
        <f>IF(Skills!N4=TRUE,(Skills!L4/10)*(E4/1000),Skills!L4/10)+Skills!O4</f>
        <v/>
      </c>
      <c r="G4">
        <f>Skills!G4*IF(Skills!H4&gt;0,Skills!I4/Skills!H4,1)</f>
        <v/>
      </c>
      <c r="H4">
        <f>1-(1-Skills!J4/100)^Skills!K4</f>
        <v/>
      </c>
      <c r="I4">
        <f>IF(Skills!AA4&lt;&gt;"",1+(Skills!AA4/10)*($U$3/1000)/100,1)</f>
        <v/>
      </c>
      <c r="J4">
        <f>Summary!$B$6*(F4/100)</f>
        <v/>
      </c>
      <c r="K4">
        <f>J4*(1+Summary!$B$7/100)*(1+Inputs!$B$15/100)*(1+Inputs!$B$16/100)*(5000/(6000+Inputs!$B$43*(1-Inputs!$B$19/100)))*(1+Inputs!$B$24/100)*(1+Skills!R4/100)*(1+Artifacts!$B$34/100)*(1+(IF(Skills!A4="SHOWDOWN",Inputs!$B$17+Artifacts!$B$40,Inputs!$B$18+Artifacts!$B$39))/100)*(Summary!$B$13*Summary!$B$16*(1+Artifacts!$B$38/100)*I4)</f>
        <v/>
      </c>
      <c r="L4">
        <f>K4*(MIN(Inputs!$B$22,Inputs!$B$23)/100+Inputs!$B$23/100)/2</f>
        <v/>
      </c>
      <c r="M4">
        <f>L4*(1+(Inputs!$B$10+Summary!$B$24+Artifacts!$B$33)/100)</f>
        <v/>
      </c>
      <c r="N4">
        <f>L4*(1-MIN((Inputs!$B$9+Summary!$B$14+Artifacts!$B$32),100)/100)+M4*(MIN((Inputs!$B$9+Summary!$B$14+Artifacts!$B$32),100)/100)</f>
        <v/>
      </c>
      <c r="O4">
        <f>(1-Summary!$B$11)*T4+Summary!$B$11*V4</f>
        <v/>
      </c>
      <c r="P4">
        <f>IF(Summary!$B$3=0,0,O4/Summary!$B$3)</f>
        <v/>
      </c>
      <c r="Q4">
        <f>IFERROR(1/(IF(Inputs!$B$39="pvp",15,MAX(0.1,Skills!D4-IF(Skills!E4=TRUE,Inputs!$B$32,0)))*(1-IF(AND(ArtifactsInput!$M$27,Inputs!$B$4="Chapter Hunt"),CHOOSE(ArtifactsInput!$N$27+1,20,24,28,32,36,40),0)/100)),0)</f>
        <v/>
      </c>
      <c r="R4">
        <f>IF(AND(Inputs!$B$39&lt;&gt;"pvp",Inputs!$B$44&gt;0),IF(MAX(0,Inputs!$B$44-Summary!$B$26)&lt;=0,0,(INT(MAX(0,Inputs!$B$44-Summary!$B$26)/(IF(Inputs!$B$39="pvp",15,MAX(0.1,Skills!D4-IF(Skills!E4=TRUE,Inputs!$B$32,0)))*(1-IF(AND(ArtifactsInput!$M$27,Inputs!$B$4="Chapter Hunt"),CHOOSE(ArtifactsInput!$N$27+1,20,24,28,32,36,40),0)/100)))+1)),0)</f>
        <v/>
      </c>
      <c r="S4">
        <f>IFERROR(O4/N4,0)</f>
        <v/>
      </c>
      <c r="T4">
        <f>IF(C4,(H4*N4*IF(AND(Inputs!$B$39&lt;&gt;"pvp",Inputs!$B$44&gt;0),((Skills!G4*((R4-1)*IF(Skills!H4&gt;0,Skills!I4/Skills!H4,1)+IF(Skills!H4&gt;0,MIN(Skills!I4,MAX(0,MAX(0,Inputs!$B$44-Summary!$B$26)-((R4-1)*(IF(Inputs!$B$39="pvp",15,MAX(0.1,Skills!D4-IF(Skills!E4=TRUE,Inputs!$B$32,0)))*(1-IF(AND(ArtifactsInput!$M$27,Inputs!$B$4="Chapter Hunt"),CHOOSE(ArtifactsInput!$N$27+1,20,24,28,32,36,40),0)/100)))))/Skills!H4,1)))/Inputs!$B$44),G4*Q4))*IF(Inputs!$B$39="pvp",1,1+(Inputs!$B$20+Skills!P4+Summary!$B$15+Artifacts!$B$35+Artifacts!$B$36)/100)*((((5000/(6000+Inputs!$B$43*(1-(100*(1-(1-Inputs!$B$19/100)*(1-Artifacts!$B$51/100)^IF(Inputs!$B$39="pvp",1,2)))/100)))/(5000/(6000+Inputs!$B$43*(1-Inputs!$B$19/100))))*((L4*(1-MIN(100,(Inputs!$B$9+Summary!$B$14+Artifacts!$B$32)+Artifacts!$B$69)/100)+M4*(MIN(100,(Inputs!$B$9+Summary!$B$14+Artifacts!$B$32)+Artifacts!$B$69)/100))/(L4*(1-MIN(100,(Inputs!$B$9+Summary!$B$14+Artifacts!$B$32))/100)+M4*(MIN(100,(Inputs!$B$9+Summary!$B$14+Artifacts!$B$32))/100)))*(1+Artifacts!$B$81/100))),0)</f>
        <v/>
      </c>
      <c r="V4">
        <f>IF(C4,(H4*N4*IF(AND(Inputs!$B$39&lt;&gt;"pvp",Inputs!$B$44&gt;0),((Skills!G4*((R4-1)*IF(Skills!H4&gt;0,Skills!I4/Skills!H4,1)+IF(Skills!H4&gt;0,MIN(Skills!I4,MAX(0,MAX(0,Inputs!$B$44-Summary!$B$26)-((R4-1)*(IF(Inputs!$B$39="pvp",15,MAX(0.1,Skills!D4-IF(Skills!E4=TRUE,Inputs!$B$32,0)))*(1-IF(AND(ArtifactsInput!$M$27,Inputs!$B$4="Chapter Hunt"),CHOOSE(ArtifactsInput!$N$27+1,20,24,28,32,36,40),0)/100)))))/Skills!H4,1)))/Inputs!$B$44),G4*Q4))*IF(Inputs!$B$39="pvp",1,(1+(Inputs!$B$21+Skills!Q4+Summary!$B$15+Artifacts!$B$80+Artifacts!$B$36)/100)*(MIN(Skills!W4,Inputs!$B$37)))*((1+Artifacts!$B$53/100)),0)</f>
        <v/>
      </c>
    </row>
    <row r="5">
      <c r="A5">
        <f>Skills!A5</f>
        <v/>
      </c>
      <c r="B5">
        <f>Skills!B5</f>
        <v/>
      </c>
      <c r="C5">
        <f>Inputs!$B$3&gt;=63</f>
        <v/>
      </c>
      <c r="D5">
        <f>IF(Skills!C5=1,60+Inputs!$B$25+Inputs!$B$29,IF(Skills!C5=2,90+Inputs!$B$26+Inputs!$B$29,IF(Skills!C5=3,120+Inputs!$B$27+Inputs!$B$29,MAX(0,(Inputs!$B$3-100)*3)+Inputs!$B$28+Inputs!$B$29)))</f>
        <v/>
      </c>
      <c r="E5">
        <f>INDEX(FactorTable!$B$2:$Y$301, MATCH(ROUND(MIN(300,MAX(1,D5)),0), FactorTable!$A$2:$A$301,0), Skills!M5+1)</f>
        <v/>
      </c>
      <c r="F5">
        <f>IF(Skills!N5=TRUE,(Skills!L5/10)*(E5/1000),Skills!L5/10)+Skills!O5</f>
        <v/>
      </c>
      <c r="G5">
        <f>Skills!G5*IF(Skills!H5&gt;0,Skills!I5/Skills!H5,1)</f>
        <v/>
      </c>
      <c r="H5">
        <f>1-(1-Skills!J5/100)^Skills!K5</f>
        <v/>
      </c>
      <c r="I5">
        <f>IF(Skills!AA5&lt;&gt;"",1+(Skills!AA5/10)*($U$3/1000)/100,1)</f>
        <v/>
      </c>
      <c r="J5">
        <f>Summary!$B$6*(F5/100)</f>
        <v/>
      </c>
      <c r="K5">
        <f>J5*(1+Summary!$B$7/100)*(1+Inputs!$B$15/100)*(1+Inputs!$B$16/100)*(5000/(6000+Inputs!$B$43*(1-Inputs!$B$19/100)))*(1+Inputs!$B$24/100)*(1+Skills!R5/100)*(1+Artifacts!$B$34/100)*(1+(IF(Skills!A5="SHOWDOWN",Inputs!$B$17+Artifacts!$B$40,Inputs!$B$18+Artifacts!$B$39))/100)*(Summary!$B$13*Summary!$B$16*(1+Artifacts!$B$38/100)*I5)</f>
        <v/>
      </c>
      <c r="L5">
        <f>K5*(MIN(Inputs!$B$22,Inputs!$B$23)/100+Inputs!$B$23/100)/2</f>
        <v/>
      </c>
      <c r="M5">
        <f>L5*(1+(Inputs!$B$10+Summary!$B$24+Artifacts!$B$33)/100)</f>
        <v/>
      </c>
      <c r="N5">
        <f>L5*(1-MIN((Inputs!$B$9+Summary!$B$14+Artifacts!$B$32),100)/100)+M5*(MIN((Inputs!$B$9+Summary!$B$14+Artifacts!$B$32),100)/100)</f>
        <v/>
      </c>
      <c r="O5">
        <f>(1-Summary!$B$11)*T5+Summary!$B$11*V5</f>
        <v/>
      </c>
      <c r="P5">
        <f>IF(Summary!$B$3=0,0,O5/Summary!$B$3)</f>
        <v/>
      </c>
      <c r="Q5">
        <f>IFERROR(1/(IF(Inputs!$B$39="pvp",15,MAX(0.1,Skills!D5-IF(Skills!E5=TRUE,Inputs!$B$32,0)))*(1-IF(AND(ArtifactsInput!$M$27,Inputs!$B$4="Chapter Hunt"),CHOOSE(ArtifactsInput!$N$27+1,20,24,28,32,36,40),0)/100)),0)</f>
        <v/>
      </c>
      <c r="R5">
        <f>IF(AND(Inputs!$B$39&lt;&gt;"pvp",Inputs!$B$44&gt;0),IF(MAX(0,Inputs!$B$44-Summary!$B$26)&lt;=0,0,(INT(MAX(0,Inputs!$B$44-Summary!$B$26)/(IF(Inputs!$B$39="pvp",15,MAX(0.1,Skills!D5-IF(Skills!E5=TRUE,Inputs!$B$32,0)))*(1-IF(AND(ArtifactsInput!$M$27,Inputs!$B$4="Chapter Hunt"),CHOOSE(ArtifactsInput!$N$27+1,20,24,28,32,36,40),0)/100)))+1)),0)</f>
        <v/>
      </c>
      <c r="S5">
        <f>IFERROR(O5/N5,0)</f>
        <v/>
      </c>
      <c r="T5">
        <f>IF(C5,(H5*N5*IF(AND(Inputs!$B$39&lt;&gt;"pvp",Inputs!$B$44&gt;0),((Skills!G5*((R5-1)*IF(Skills!H5&gt;0,Skills!I5/Skills!H5,1)+IF(Skills!H5&gt;0,MIN(Skills!I5,MAX(0,MAX(0,Inputs!$B$44-Summary!$B$26)-((R5-1)*(IF(Inputs!$B$39="pvp",15,MAX(0.1,Skills!D5-IF(Skills!E5=TRUE,Inputs!$B$32,0)))*(1-IF(AND(ArtifactsInput!$M$27,Inputs!$B$4="Chapter Hunt"),CHOOSE(ArtifactsInput!$N$27+1,20,24,28,32,36,40),0)/100)))))/Skills!H5,1)))/Inputs!$B$44),G5*Q5))*IF(Inputs!$B$39="pvp",1,1+(Inputs!$B$20+Skills!P5+Summary!$B$15+Artifacts!$B$35+Artifacts!$B$36)/100)*((((5000/(6000+Inputs!$B$43*(1-(100*(1-(1-Inputs!$B$19/100)*(1-Artifacts!$B$51/100)^IF(Inputs!$B$39="pvp",1,2)))/100)))/(5000/(6000+Inputs!$B$43*(1-Inputs!$B$19/100))))*((L5*(1-MIN(100,(Inputs!$B$9+Summary!$B$14+Artifacts!$B$32)+Artifacts!$B$69)/100)+M5*(MIN(100,(Inputs!$B$9+Summary!$B$14+Artifacts!$B$32)+Artifacts!$B$69)/100))/(L5*(1-MIN(100,(Inputs!$B$9+Summary!$B$14+Artifacts!$B$32))/100)+M5*(MIN(100,(Inputs!$B$9+Summary!$B$14+Artifacts!$B$32))/100)))*(1+Artifacts!$B$81/100))),0)</f>
        <v/>
      </c>
      <c r="V5">
        <f>IF(C5,(H5*N5*IF(AND(Inputs!$B$39&lt;&gt;"pvp",Inputs!$B$44&gt;0),((Skills!G5*((R5-1)*IF(Skills!H5&gt;0,Skills!I5/Skills!H5,1)+IF(Skills!H5&gt;0,MIN(Skills!I5,MAX(0,MAX(0,Inputs!$B$44-Summary!$B$26)-((R5-1)*(IF(Inputs!$B$39="pvp",15,MAX(0.1,Skills!D5-IF(Skills!E5=TRUE,Inputs!$B$32,0)))*(1-IF(AND(ArtifactsInput!$M$27,Inputs!$B$4="Chapter Hunt"),CHOOSE(ArtifactsInput!$N$27+1,20,24,28,32,36,40),0)/100)))))/Skills!H5,1)))/Inputs!$B$44),G5*Q5))*IF(Inputs!$B$39="pvp",1,(1+(Inputs!$B$21+Skills!Q5+Summary!$B$15+Artifacts!$B$80+Artifacts!$B$36)/100)*(MIN(Skills!W5,Inputs!$B$37)))*((1+Artifacts!$B$53/100)),0)</f>
        <v/>
      </c>
    </row>
    <row r="6">
      <c r="A6">
        <f>Skills!A6</f>
        <v/>
      </c>
      <c r="B6">
        <f>Skills!B6</f>
        <v/>
      </c>
      <c r="C6">
        <f>Inputs!$B$3&gt;=66</f>
        <v/>
      </c>
      <c r="D6">
        <f>IF(Skills!C6=1,60+Inputs!$B$25+Inputs!$B$29,IF(Skills!C6=2,90+Inputs!$B$26+Inputs!$B$29,IF(Skills!C6=3,120+Inputs!$B$27+Inputs!$B$29,MAX(0,(Inputs!$B$3-100)*3)+Inputs!$B$28+Inputs!$B$29)))</f>
        <v/>
      </c>
      <c r="E6">
        <f>INDEX(FactorTable!$B$2:$Y$301, MATCH(ROUND(MIN(300,MAX(1,D6)),0), FactorTable!$A$2:$A$301,0), Skills!M6+1)</f>
        <v/>
      </c>
      <c r="F6">
        <f>IF(Skills!N6=TRUE,(Skills!L6/10)*(E6/1000),Skills!L6/10)+Skills!O6</f>
        <v/>
      </c>
      <c r="G6">
        <f>Skills!G6*IF(Skills!H6&gt;0,Skills!I6/Skills!H6,1)</f>
        <v/>
      </c>
      <c r="H6">
        <f>1-(1-Skills!J6/100)^Skills!K6</f>
        <v/>
      </c>
      <c r="I6">
        <f>IF(Skills!AA6&lt;&gt;"",1+(Skills!AA6/10)*($U$3/1000)/100,1)</f>
        <v/>
      </c>
      <c r="J6" t="inlineStr"/>
      <c r="K6" t="inlineStr"/>
      <c r="L6" t="inlineStr"/>
      <c r="M6" t="inlineStr"/>
      <c r="N6" t="inlineStr"/>
      <c r="O6">
        <f>(1-Summary!$B$11)*T6+Summary!$B$11*V6</f>
        <v/>
      </c>
      <c r="P6">
        <f>IF(Summary!$B$3=0,0,O6/Summary!$B$3)</f>
        <v/>
      </c>
      <c r="Q6" t="n">
        <v>0</v>
      </c>
      <c r="R6" t="n">
        <v>0</v>
      </c>
      <c r="S6">
        <f>IFERROR(O6/N6,0)</f>
        <v/>
      </c>
      <c r="T6" t="n">
        <v>0</v>
      </c>
      <c r="V6" t="n">
        <v>0</v>
      </c>
    </row>
    <row r="7">
      <c r="A7">
        <f>Skills!A7</f>
        <v/>
      </c>
      <c r="B7">
        <f>Skills!B7</f>
        <v/>
      </c>
      <c r="C7">
        <f>Inputs!$B$3&gt;=66</f>
        <v/>
      </c>
      <c r="D7">
        <f>IF(Skills!C7=1,60+Inputs!$B$25+Inputs!$B$29,IF(Skills!C7=2,90+Inputs!$B$26+Inputs!$B$29,IF(Skills!C7=3,120+Inputs!$B$27+Inputs!$B$29,MAX(0,(Inputs!$B$3-100)*3)+Inputs!$B$28+Inputs!$B$29)))</f>
        <v/>
      </c>
      <c r="E7">
        <f>INDEX(FactorTable!$B$2:$Y$301, MATCH(ROUND(MIN(300,MAX(1,D7)),0), FactorTable!$A$2:$A$301,0), Skills!M7+1)</f>
        <v/>
      </c>
      <c r="F7">
        <f>IF(Skills!N7=TRUE,(Skills!L7/10)*(E7/1000),Skills!L7/10)+Skills!O7</f>
        <v/>
      </c>
      <c r="G7">
        <f>Skills!G7*IF(Skills!H7&gt;0,Skills!I7/Skills!H7,1)</f>
        <v/>
      </c>
      <c r="H7">
        <f>1-(1-Skills!J7/100)^Skills!K7</f>
        <v/>
      </c>
      <c r="I7">
        <f>IF(Skills!AA7&lt;&gt;"",1+(Skills!AA7/10)*($U$3/1000)/100,1)</f>
        <v/>
      </c>
      <c r="J7" t="inlineStr"/>
      <c r="K7" t="inlineStr"/>
      <c r="L7" t="inlineStr"/>
      <c r="M7" t="inlineStr"/>
      <c r="N7" t="inlineStr"/>
      <c r="O7">
        <f>(1-Summary!$B$11)*T7+Summary!$B$11*V7</f>
        <v/>
      </c>
      <c r="P7">
        <f>IF(Summary!$B$3=0,0,O7/Summary!$B$3)</f>
        <v/>
      </c>
      <c r="Q7" t="n">
        <v>0</v>
      </c>
      <c r="R7" t="n">
        <v>0</v>
      </c>
      <c r="S7">
        <f>IFERROR(O7/N7,0)</f>
        <v/>
      </c>
      <c r="T7" t="n">
        <v>0</v>
      </c>
      <c r="V7" t="n">
        <v>0</v>
      </c>
    </row>
    <row r="8">
      <c r="A8">
        <f>Skills!A8</f>
        <v/>
      </c>
      <c r="B8">
        <f>Skills!B8</f>
        <v/>
      </c>
      <c r="C8">
        <f>Inputs!$B$3&gt;=69</f>
        <v/>
      </c>
      <c r="D8">
        <f>IF(Skills!C8=1,60+Inputs!$B$25+Inputs!$B$29,IF(Skills!C8=2,90+Inputs!$B$26+Inputs!$B$29,IF(Skills!C8=3,120+Inputs!$B$27+Inputs!$B$29,MAX(0,(Inputs!$B$3-100)*3)+Inputs!$B$28+Inputs!$B$29)))</f>
        <v/>
      </c>
      <c r="E8">
        <f>INDEX(FactorTable!$B$2:$Y$301, MATCH(ROUND(MIN(300,MAX(1,D8)),0), FactorTable!$A$2:$A$301,0), Skills!M8+1)</f>
        <v/>
      </c>
      <c r="F8">
        <f>IF(Skills!N8=TRUE,(Skills!L8/10)*(E8/1000),Skills!L8/10)+Skills!O8</f>
        <v/>
      </c>
      <c r="G8">
        <f>Skills!G8*IF(Skills!H8&gt;0,Skills!I8/Skills!H8,1)</f>
        <v/>
      </c>
      <c r="H8">
        <f>1-(1-Skills!J8/100)^Skills!K8</f>
        <v/>
      </c>
      <c r="I8">
        <f>IF(Skills!AA8&lt;&gt;"",1+(Skills!AA8/10)*($U$3/1000)/100,1)</f>
        <v/>
      </c>
      <c r="J8">
        <f>Summary!$B$6*(F8/100)</f>
        <v/>
      </c>
      <c r="K8">
        <f>J8*(1+Summary!$B$7/100)*(1+Inputs!$B$15/100)*(1+Inputs!$B$16/100)*(5000/(6000+Inputs!$B$43*(1-Inputs!$B$19/100)))*(1+Inputs!$B$24/100)*(1+Skills!R8/100)*(1+Artifacts!$B$34/100)*(1+(IF(Skills!A8="SHOWDOWN",Inputs!$B$17+Artifacts!$B$40,Inputs!$B$18+Artifacts!$B$39))/100)*(Summary!$B$13*Summary!$B$16*(1+Artifacts!$B$38/100)*I8)</f>
        <v/>
      </c>
      <c r="L8">
        <f>K8*(MIN(Inputs!$B$22,Inputs!$B$23)/100+Inputs!$B$23/100)/2</f>
        <v/>
      </c>
      <c r="M8">
        <f>L8*(1+(Inputs!$B$10+Summary!$B$24+Artifacts!$B$33)/100)</f>
        <v/>
      </c>
      <c r="N8">
        <f>L8*(1-MIN((Inputs!$B$9+Summary!$B$14+Artifacts!$B$32),100)/100)+M8*(MIN((Inputs!$B$9+Summary!$B$14+Artifacts!$B$32),100)/100)</f>
        <v/>
      </c>
      <c r="O8">
        <f>(1-Summary!$B$11)*T8+Summary!$B$11*V8</f>
        <v/>
      </c>
      <c r="P8">
        <f>IF(Summary!$B$3=0,0,O8/Summary!$B$3)</f>
        <v/>
      </c>
      <c r="Q8">
        <f>IFERROR(1/(IF(Inputs!$B$39="pvp",15,MAX(0.1,Skills!D8-IF(Skills!E8=TRUE,Inputs!$B$32,0)))*(1-IF(AND(ArtifactsInput!$M$27,Inputs!$B$4="Chapter Hunt"),CHOOSE(ArtifactsInput!$N$27+1,20,24,28,32,36,40),0)/100)),0)</f>
        <v/>
      </c>
      <c r="R8">
        <f>IF(AND(Inputs!$B$39&lt;&gt;"pvp",Inputs!$B$44&gt;0),IF(MAX(0,Inputs!$B$44-Summary!$B$26)&lt;=0,0,(INT(MAX(0,Inputs!$B$44-Summary!$B$26)/(IF(Inputs!$B$39="pvp",15,MAX(0.1,Skills!D8-IF(Skills!E8=TRUE,Inputs!$B$32,0)))*(1-IF(AND(ArtifactsInput!$M$27,Inputs!$B$4="Chapter Hunt"),CHOOSE(ArtifactsInput!$N$27+1,20,24,28,32,36,40),0)/100)))+1)),0)</f>
        <v/>
      </c>
      <c r="S8">
        <f>IFERROR(O8/N8,0)</f>
        <v/>
      </c>
      <c r="T8">
        <f>IF(C8,(H8*N8*IF(AND(Inputs!$B$39&lt;&gt;"pvp",Inputs!$B$44&gt;0),((Skills!G8*((R8-1)*IF(Skills!H8&gt;0,Skills!I8/Skills!H8,1)+IF(Skills!H8&gt;0,MIN(Skills!I8,MAX(0,MAX(0,Inputs!$B$44-Summary!$B$26)-((R8-1)*(IF(Inputs!$B$39="pvp",15,MAX(0.1,Skills!D8-IF(Skills!E8=TRUE,Inputs!$B$32,0)))*(1-IF(AND(ArtifactsInput!$M$27,Inputs!$B$4="Chapter Hunt"),CHOOSE(ArtifactsInput!$N$27+1,20,24,28,32,36,40),0)/100)))))/Skills!H8,1)))/Inputs!$B$44),G8*Q8))*IF(Inputs!$B$39="pvp",1,1+(Inputs!$B$20+Skills!P8+Summary!$B$15+Artifacts!$B$35+Artifacts!$B$36)/100)*((((5000/(6000+Inputs!$B$43*(1-(100*(1-(1-Inputs!$B$19/100)*(1-Artifacts!$B$51/100)^IF(Inputs!$B$39="pvp",1,2)))/100)))/(5000/(6000+Inputs!$B$43*(1-Inputs!$B$19/100))))*((L8*(1-MIN(100,(Inputs!$B$9+Summary!$B$14+Artifacts!$B$32)+Artifacts!$B$69)/100)+M8*(MIN(100,(Inputs!$B$9+Summary!$B$14+Artifacts!$B$32)+Artifacts!$B$69)/100))/(L8*(1-MIN(100,(Inputs!$B$9+Summary!$B$14+Artifacts!$B$32))/100)+M8*(MIN(100,(Inputs!$B$9+Summary!$B$14+Artifacts!$B$32))/100)))*(1+Artifacts!$B$81/100))),0)</f>
        <v/>
      </c>
      <c r="V8">
        <f>IF(C8,(H8*N8*IF(AND(Inputs!$B$39&lt;&gt;"pvp",Inputs!$B$44&gt;0),((Skills!G8*((R8-1)*IF(Skills!H8&gt;0,Skills!I8/Skills!H8,1)+IF(Skills!H8&gt;0,MIN(Skills!I8,MAX(0,MAX(0,Inputs!$B$44-Summary!$B$26)-((R8-1)*(IF(Inputs!$B$39="pvp",15,MAX(0.1,Skills!D8-IF(Skills!E8=TRUE,Inputs!$B$32,0)))*(1-IF(AND(ArtifactsInput!$M$27,Inputs!$B$4="Chapter Hunt"),CHOOSE(ArtifactsInput!$N$27+1,20,24,28,32,36,40),0)/100)))))/Skills!H8,1)))/Inputs!$B$44),G8*Q8))*IF(Inputs!$B$39="pvp",1,(1+(Inputs!$B$21+Skills!Q8+Summary!$B$15+Artifacts!$B$80+Artifacts!$B$36)/100)*(MIN(Skills!W8,Inputs!$B$37)))*((1+Artifacts!$B$53/100)),0)</f>
        <v/>
      </c>
    </row>
    <row r="9">
      <c r="A9">
        <f>Skills!A9</f>
        <v/>
      </c>
      <c r="B9">
        <f>Skills!B9</f>
        <v/>
      </c>
      <c r="C9">
        <f>Inputs!$B$3&gt;=72</f>
        <v/>
      </c>
      <c r="D9">
        <f>IF(Skills!C9=1,60+Inputs!$B$25+Inputs!$B$29,IF(Skills!C9=2,90+Inputs!$B$26+Inputs!$B$29,IF(Skills!C9=3,120+Inputs!$B$27+Inputs!$B$29,MAX(0,(Inputs!$B$3-100)*3)+Inputs!$B$28+Inputs!$B$29)))</f>
        <v/>
      </c>
      <c r="E9">
        <f>INDEX(FactorTable!$B$2:$Y$301, MATCH(ROUND(MIN(300,MAX(1,D9)),0), FactorTable!$A$2:$A$301,0), Skills!M9+1)</f>
        <v/>
      </c>
      <c r="F9">
        <f>IF(Skills!N9=TRUE,(Skills!L9/10)*(E9/1000),Skills!L9/10)+Skills!O9</f>
        <v/>
      </c>
      <c r="G9">
        <f>Skills!G9*IF(Skills!H9&gt;0,Skills!I9/Skills!H9,1)</f>
        <v/>
      </c>
      <c r="H9">
        <f>1-(1-Skills!J9/100)^Skills!K9</f>
        <v/>
      </c>
      <c r="I9">
        <f>IF(Skills!AA9&lt;&gt;"",1+(Skills!AA9/10)*($U$3/1000)/100,1)</f>
        <v/>
      </c>
      <c r="J9">
        <f>Summary!$B$6*(F9/100)</f>
        <v/>
      </c>
      <c r="K9">
        <f>J9*(1+Summary!$B$7/100)*(1+Inputs!$B$15/100)*(1+Inputs!$B$16/100)*(5000/(6000+Inputs!$B$43*(1-Inputs!$B$19/100)))*(1+Inputs!$B$24/100)*(1+Skills!R9/100)*(1+Artifacts!$B$34/100)*(1+(IF(Skills!A9="SHOWDOWN",Inputs!$B$17+Artifacts!$B$40,Inputs!$B$18+Artifacts!$B$39))/100)*(Summary!$B$13*Summary!$B$16*(1+Artifacts!$B$38/100)*I9)</f>
        <v/>
      </c>
      <c r="L9">
        <f>K9*(MIN(Inputs!$B$22,Inputs!$B$23)/100+Inputs!$B$23/100)/2</f>
        <v/>
      </c>
      <c r="M9">
        <f>L9*(1+(Inputs!$B$10+Summary!$B$24+Artifacts!$B$33)/100)</f>
        <v/>
      </c>
      <c r="N9">
        <f>L9*(1-MIN((Inputs!$B$9+Summary!$B$14+Artifacts!$B$32),100)/100)+M9*(MIN((Inputs!$B$9+Summary!$B$14+Artifacts!$B$32),100)/100)</f>
        <v/>
      </c>
      <c r="O9">
        <f>(1-Summary!$B$11)*T9+Summary!$B$11*V9</f>
        <v/>
      </c>
      <c r="P9">
        <f>IF(Summary!$B$3=0,0,O9/Summary!$B$3)</f>
        <v/>
      </c>
      <c r="Q9">
        <f>IFERROR(1/(IF(Inputs!$B$39="pvp",15,MAX(0.1,Skills!D9-IF(Skills!E9=TRUE,Inputs!$B$32,0)))*(1-IF(AND(ArtifactsInput!$M$27,Inputs!$B$4="Chapter Hunt"),CHOOSE(ArtifactsInput!$N$27+1,20,24,28,32,36,40),0)/100)),0)</f>
        <v/>
      </c>
      <c r="R9">
        <f>IF(AND(Inputs!$B$39&lt;&gt;"pvp",Inputs!$B$44&gt;0),IF(MAX(0,Inputs!$B$44-Summary!$B$26)&lt;=0,0,(INT(MAX(0,Inputs!$B$44-Summary!$B$26)/(IF(Inputs!$B$39="pvp",15,MAX(0.1,Skills!D9-IF(Skills!E9=TRUE,Inputs!$B$32,0)))*(1-IF(AND(ArtifactsInput!$M$27,Inputs!$B$4="Chapter Hunt"),CHOOSE(ArtifactsInput!$N$27+1,20,24,28,32,36,40),0)/100)))+1)),0)</f>
        <v/>
      </c>
      <c r="S9">
        <f>IFERROR(O9/N9,0)</f>
        <v/>
      </c>
      <c r="T9">
        <f>IF(C9,(H9*N9*IF(AND(Inputs!$B$39&lt;&gt;"pvp",Inputs!$B$44&gt;0),((Skills!G9*((R9-1)*IF(Skills!H9&gt;0,Skills!I9/Skills!H9,1)+IF(Skills!H9&gt;0,MIN(Skills!I9,MAX(0,MAX(0,Inputs!$B$44-Summary!$B$26)-((R9-1)*(IF(Inputs!$B$39="pvp",15,MAX(0.1,Skills!D9-IF(Skills!E9=TRUE,Inputs!$B$32,0)))*(1-IF(AND(ArtifactsInput!$M$27,Inputs!$B$4="Chapter Hunt"),CHOOSE(ArtifactsInput!$N$27+1,20,24,28,32,36,40),0)/100)))))/Skills!H9,1)))/Inputs!$B$44),G9*Q9))*IF(Inputs!$B$39="pvp",1,1+(Inputs!$B$20+Skills!P9+Summary!$B$15+Artifacts!$B$35+Artifacts!$B$36)/100)*((((5000/(6000+Inputs!$B$43*(1-(100*(1-(1-Inputs!$B$19/100)*(1-Artifacts!$B$51/100)^IF(Inputs!$B$39="pvp",1,2)))/100)))/(5000/(6000+Inputs!$B$43*(1-Inputs!$B$19/100))))*((L9*(1-MIN(100,(Inputs!$B$9+Summary!$B$14+Artifacts!$B$32)+Artifacts!$B$69)/100)+M9*(MIN(100,(Inputs!$B$9+Summary!$B$14+Artifacts!$B$32)+Artifacts!$B$69)/100))/(L9*(1-MIN(100,(Inputs!$B$9+Summary!$B$14+Artifacts!$B$32))/100)+M9*(MIN(100,(Inputs!$B$9+Summary!$B$14+Artifacts!$B$32))/100)))*(1+Artifacts!$B$81/100))),0)</f>
        <v/>
      </c>
      <c r="V9">
        <f>IF(C9,(H9*N9*IF(AND(Inputs!$B$39&lt;&gt;"pvp",Inputs!$B$44&gt;0),((Skills!G9*((R9-1)*IF(Skills!H9&gt;0,Skills!I9/Skills!H9,1)+IF(Skills!H9&gt;0,MIN(Skills!I9,MAX(0,MAX(0,Inputs!$B$44-Summary!$B$26)-((R9-1)*(IF(Inputs!$B$39="pvp",15,MAX(0.1,Skills!D9-IF(Skills!E9=TRUE,Inputs!$B$32,0)))*(1-IF(AND(ArtifactsInput!$M$27,Inputs!$B$4="Chapter Hunt"),CHOOSE(ArtifactsInput!$N$27+1,20,24,28,32,36,40),0)/100)))))/Skills!H9,1)))/Inputs!$B$44),G9*Q9))*IF(Inputs!$B$39="pvp",1,(1+(Inputs!$B$21+Skills!Q9+Summary!$B$15+Artifacts!$B$80+Artifacts!$B$36)/100)*(MIN(Skills!W9,Inputs!$B$37)))*((1+Artifacts!$B$53/100)),0)</f>
        <v/>
      </c>
    </row>
    <row r="10">
      <c r="A10">
        <f>Skills!A10</f>
        <v/>
      </c>
      <c r="B10">
        <f>Skills!B10</f>
        <v/>
      </c>
      <c r="C10">
        <f>Inputs!$B$3&gt;=117</f>
        <v/>
      </c>
      <c r="D10">
        <f>IF(Skills!C10=1,60+Inputs!$B$25+Inputs!$B$29,IF(Skills!C10=2,90+Inputs!$B$26+Inputs!$B$29,IF(Skills!C10=3,120+Inputs!$B$27+Inputs!$B$29,MAX(0,(Inputs!$B$3-100)*3)+Inputs!$B$28+Inputs!$B$29)))</f>
        <v/>
      </c>
      <c r="E10">
        <f>INDEX(FactorTable!$B$2:$Y$301, MATCH(ROUND(MIN(300,MAX(1,D10)),0), FactorTable!$A$2:$A$301,0), Skills!M10+1)</f>
        <v/>
      </c>
      <c r="F10">
        <f>IF(Skills!N10=TRUE,(Skills!L10/10)*(E10/1000),Skills!L10/10)+Skills!O10</f>
        <v/>
      </c>
      <c r="G10">
        <f>Skills!G10*IF(Skills!H10&gt;0,Skills!I10/Skills!H10,1)</f>
        <v/>
      </c>
      <c r="H10">
        <f>1-(1-Skills!J10/100)^Skills!K10</f>
        <v/>
      </c>
      <c r="I10">
        <f>IF(Skills!AA10&lt;&gt;"",1+(Skills!AA10/10)*($U$3/1000)/100,1)</f>
        <v/>
      </c>
      <c r="J10">
        <f>Summary!$B$6*(F10/100)</f>
        <v/>
      </c>
      <c r="K10">
        <f>J10*(1+Summary!$B$7/100)*(1+Inputs!$B$15/100)*(1+Inputs!$B$16/100)*(5000/(6000+Inputs!$B$43*(1-Inputs!$B$19/100)))*(1+Inputs!$B$24/100)*(1+Skills!R10/100)*(1+Artifacts!$B$34/100)*(1+(IF(Skills!A10="SHOWDOWN",Inputs!$B$17+Artifacts!$B$40,Inputs!$B$18+Artifacts!$B$39))/100)*(Summary!$B$13*Summary!$B$16*(1+Artifacts!$B$38/100)*I10)</f>
        <v/>
      </c>
      <c r="L10">
        <f>K10*(MIN(Inputs!$B$22,Inputs!$B$23)/100+Inputs!$B$23/100)/2</f>
        <v/>
      </c>
      <c r="M10">
        <f>L10*(1+(Inputs!$B$10+Summary!$B$24+Artifacts!$B$33)/100)</f>
        <v/>
      </c>
      <c r="N10">
        <f>L10*(1-MIN((Inputs!$B$9+Summary!$B$14+Artifacts!$B$32),100)/100)+M10*(MIN((Inputs!$B$9+Summary!$B$14+Artifacts!$B$32),100)/100)</f>
        <v/>
      </c>
      <c r="O10">
        <f>(1-Summary!$B$11)*T10+Summary!$B$11*V10</f>
        <v/>
      </c>
      <c r="P10">
        <f>IF(Summary!$B$3=0,0,O10/Summary!$B$3)</f>
        <v/>
      </c>
      <c r="Q10" t="n">
        <v>0</v>
      </c>
      <c r="R10" t="n">
        <v>0</v>
      </c>
      <c r="S10" t="n">
        <v>0</v>
      </c>
      <c r="T10">
        <f>IF(C10,(0.2*SUMPRODUCT((Skills!Z2:Z31=TRUE)*(C2:C31=TRUE)*S2:S31)*N10)*IF(Inputs!$B$39="pvp",1,1+(Inputs!$B$20+Skills!P10+Summary!$B$15+Artifacts!$B$35+Artifacts!$B$36)/100)*((((5000/(6000+Inputs!$B$43*(1-(100*(1-(1-Inputs!$B$19/100)*(1-Artifacts!$B$51/100)^IF(Inputs!$B$39="pvp",1,2)))/100)))/(5000/(6000+Inputs!$B$43*(1-Inputs!$B$19/100))))*((L10*(1-MIN(100,(Inputs!$B$9+Summary!$B$14+Artifacts!$B$32)+Artifacts!$B$69)/100)+M10*(MIN(100,(Inputs!$B$9+Summary!$B$14+Artifacts!$B$32)+Artifacts!$B$69)/100))/(L10*(1-MIN(100,(Inputs!$B$9+Summary!$B$14+Artifacts!$B$32))/100)+M10*(MIN(100,(Inputs!$B$9+Summary!$B$14+Artifacts!$B$32))/100)))*(1+Artifacts!$B$81/100))),0)</f>
        <v/>
      </c>
      <c r="V10">
        <f>IF(C10,(0.2*SUMPRODUCT((Skills!Z2:Z31=TRUE)*(C2:C31=TRUE)*S2:S31)*N10)*IF(Inputs!$B$39="pvp",1,(1+(Inputs!$B$21+Skills!Q10+Summary!$B$15+Artifacts!$B$80+Artifacts!$B$36)/100)*(MIN(Skills!W10,Inputs!$B$37)))*((1+Artifacts!$B$53/100)),0)</f>
        <v/>
      </c>
    </row>
    <row r="11">
      <c r="A11">
        <f>Skills!A11</f>
        <v/>
      </c>
      <c r="B11">
        <f>Skills!B11</f>
        <v/>
      </c>
      <c r="C11">
        <f>Inputs!$B$3&gt;=60</f>
        <v/>
      </c>
      <c r="D11">
        <f>IF(Skills!C11=1,60+Inputs!$B$25+Inputs!$B$29,IF(Skills!C11=2,90+Inputs!$B$26+Inputs!$B$29,IF(Skills!C11=3,120+Inputs!$B$27+Inputs!$B$29,MAX(0,(Inputs!$B$3-100)*3)+Inputs!$B$28+Inputs!$B$29)))</f>
        <v/>
      </c>
      <c r="E11">
        <f>INDEX(FactorTable!$B$2:$Y$301, MATCH(ROUND(MIN(300,MAX(1,D11)),0), FactorTable!$A$2:$A$301,0), Skills!M11+1)</f>
        <v/>
      </c>
      <c r="F11">
        <f>IF(Skills!N11=TRUE,(Skills!L11/10)*(E11/1000),Skills!L11/10)+Skills!O11</f>
        <v/>
      </c>
      <c r="G11">
        <f>Skills!G11*IF(Skills!H11&gt;0,Skills!I11/Skills!H11,1)</f>
        <v/>
      </c>
      <c r="H11">
        <f>1-(1-Skills!J11/100)^Skills!K11</f>
        <v/>
      </c>
      <c r="I11">
        <f>IF(Skills!AA11&lt;&gt;"",1+(Skills!AA11/10)*($U$3/1000)/100,1)</f>
        <v/>
      </c>
      <c r="J11" t="inlineStr"/>
      <c r="K11" t="inlineStr"/>
      <c r="L11" t="inlineStr"/>
      <c r="M11" t="inlineStr"/>
      <c r="N11" t="inlineStr"/>
      <c r="O11">
        <f>(1-Summary!$B$11)*T11+Summary!$B$11*V11</f>
        <v/>
      </c>
      <c r="P11">
        <f>IF(Summary!$B$3=0,0,O11/Summary!$B$3)</f>
        <v/>
      </c>
      <c r="Q11" t="n">
        <v>0</v>
      </c>
      <c r="R11" t="n">
        <v>0</v>
      </c>
      <c r="S11">
        <f>IFERROR(O11/N11,0)</f>
        <v/>
      </c>
      <c r="T11" t="n">
        <v>0</v>
      </c>
      <c r="V11" t="n">
        <v>0</v>
      </c>
    </row>
    <row r="12">
      <c r="A12">
        <f>Skills!A12</f>
        <v/>
      </c>
      <c r="B12">
        <f>Skills!B12</f>
        <v/>
      </c>
      <c r="C12">
        <f>Inputs!$B$3&gt;=103</f>
        <v/>
      </c>
      <c r="D12">
        <f>IF(Skills!C12=1,60+Inputs!$B$25+Inputs!$B$29,IF(Skills!C12=2,90+Inputs!$B$26+Inputs!$B$29,IF(Skills!C12=3,120+Inputs!$B$27+Inputs!$B$29,MAX(0,(Inputs!$B$3-100)*3)+Inputs!$B$28+Inputs!$B$29)))</f>
        <v/>
      </c>
      <c r="E12">
        <f>INDEX(FactorTable!$B$2:$Y$301, MATCH(ROUND(MIN(300,MAX(1,D12)),0), FactorTable!$A$2:$A$301,0), Skills!M12+1)</f>
        <v/>
      </c>
      <c r="F12">
        <f>IF(Skills!N12=TRUE,(Skills!L12/10)*(E12/1000),Skills!L12/10)+Skills!O12</f>
        <v/>
      </c>
      <c r="G12">
        <f>Skills!G12*IF(Skills!H12&gt;0,Skills!I12/Skills!H12,1)</f>
        <v/>
      </c>
      <c r="H12">
        <f>1-(1-Skills!J12/100)^Skills!K12</f>
        <v/>
      </c>
      <c r="I12">
        <f>IF(Skills!AA12&lt;&gt;"",1+(Skills!AA12/10)*($U$3/1000)/100,1)</f>
        <v/>
      </c>
      <c r="J12">
        <f>Summary!$B$6*(F12/100)</f>
        <v/>
      </c>
      <c r="K12">
        <f>J12*(1+Summary!$B$7/100)*(1+Inputs!$B$15/100)*(1+Inputs!$B$16/100)*(5000/(6000+Inputs!$B$43*(1-Inputs!$B$19/100)))*(1+Inputs!$B$24/100)*(1+Skills!R12/100)*(1+Artifacts!$B$34/100)*(1+(IF(Skills!A12="SHOWDOWN",Inputs!$B$17+Artifacts!$B$40,Inputs!$B$18+Artifacts!$B$39))/100)*(Summary!$B$13*Summary!$B$16*(1+Artifacts!$B$38/100)*I12)</f>
        <v/>
      </c>
      <c r="L12">
        <f>K12*(MIN(Inputs!$B$22,Inputs!$B$23)/100+Inputs!$B$23/100)/2</f>
        <v/>
      </c>
      <c r="M12">
        <f>L12*(1+(Inputs!$B$10+Summary!$B$24+Artifacts!$B$33)/100)</f>
        <v/>
      </c>
      <c r="N12">
        <f>L12*(1-MIN((Inputs!$B$9+Summary!$B$14+Artifacts!$B$32),100)/100)+M12*(MIN((Inputs!$B$9+Summary!$B$14+Artifacts!$B$32),100)/100)</f>
        <v/>
      </c>
      <c r="O12">
        <f>(1-Summary!$B$11)*T12+Summary!$B$11*V12</f>
        <v/>
      </c>
      <c r="P12">
        <f>IF(Summary!$B$3=0,0,O12/Summary!$B$3)</f>
        <v/>
      </c>
      <c r="Q12">
        <f>IFERROR(1/(IF(Inputs!$B$39="pvp",15,MAX(0.1,Skills!D12-IF(Skills!E12=TRUE,Inputs!$B$32,0)))*(1-IF(AND(ArtifactsInput!$M$27,Inputs!$B$4="Chapter Hunt"),CHOOSE(ArtifactsInput!$N$27+1,20,24,28,32,36,40),0)/100)),0)</f>
        <v/>
      </c>
      <c r="R12">
        <f>IF(AND(Inputs!$B$39&lt;&gt;"pvp",Inputs!$B$44&gt;0),IF(MAX(0,Inputs!$B$44-Summary!$B$26)&lt;=0,0,(INT(MAX(0,Inputs!$B$44-Summary!$B$26)/(IF(Inputs!$B$39="pvp",15,MAX(0.1,Skills!D12-IF(Skills!E12=TRUE,Inputs!$B$32,0)))*(1-IF(AND(ArtifactsInput!$M$27,Inputs!$B$4="Chapter Hunt"),CHOOSE(ArtifactsInput!$N$27+1,20,24,28,32,36,40),0)/100)))+1)),0)</f>
        <v/>
      </c>
      <c r="S12">
        <f>IFERROR(O12/N12,0)</f>
        <v/>
      </c>
      <c r="T12">
        <f>IF(C12,(H12*N12*IF(AND(Inputs!$B$39&lt;&gt;"pvp",Inputs!$B$44&gt;0),((Skills!G12*((R12-1)*IF(Skills!H12&gt;0,Skills!I12/Skills!H12,1)+IF(Skills!H12&gt;0,MIN(Skills!I12,MAX(0,MAX(0,Inputs!$B$44-Summary!$B$26)-((R12-1)*(IF(Inputs!$B$39="pvp",15,MAX(0.1,Skills!D12-IF(Skills!E12=TRUE,Inputs!$B$32,0)))*(1-IF(AND(ArtifactsInput!$M$27,Inputs!$B$4="Chapter Hunt"),CHOOSE(ArtifactsInput!$N$27+1,20,24,28,32,36,40),0)/100)))))/Skills!H12,1)))/Inputs!$B$44),G12*Q12))*IF(Inputs!$B$39="pvp",1,1+(Inputs!$B$20+Skills!P12+Summary!$B$15+Artifacts!$B$35+Artifacts!$B$36)/100)*((((5000/(6000+Inputs!$B$43*(1-(100*(1-(1-Inputs!$B$19/100)*(1-Artifacts!$B$51/100)^IF(Inputs!$B$39="pvp",1,2)))/100)))/(5000/(6000+Inputs!$B$43*(1-Inputs!$B$19/100))))*((L12*(1-MIN(100,(Inputs!$B$9+Summary!$B$14+Artifacts!$B$32)+Artifacts!$B$69)/100)+M12*(MIN(100,(Inputs!$B$9+Summary!$B$14+Artifacts!$B$32)+Artifacts!$B$69)/100))/(L12*(1-MIN(100,(Inputs!$B$9+Summary!$B$14+Artifacts!$B$32))/100)+M12*(MIN(100,(Inputs!$B$9+Summary!$B$14+Artifacts!$B$32))/100)))*(1+Artifacts!$B$81/100))),0)</f>
        <v/>
      </c>
      <c r="V12">
        <f>IF(C12,(H12*N12*IF(AND(Inputs!$B$39&lt;&gt;"pvp",Inputs!$B$44&gt;0),((Skills!G12*((R12-1)*IF(Skills!H12&gt;0,Skills!I12/Skills!H12,1)+IF(Skills!H12&gt;0,MIN(Skills!I12,MAX(0,MAX(0,Inputs!$B$44-Summary!$B$26)-((R12-1)*(IF(Inputs!$B$39="pvp",15,MAX(0.1,Skills!D12-IF(Skills!E12=TRUE,Inputs!$B$32,0)))*(1-IF(AND(ArtifactsInput!$M$27,Inputs!$B$4="Chapter Hunt"),CHOOSE(ArtifactsInput!$N$27+1,20,24,28,32,36,40),0)/100)))))/Skills!H12,1)))/Inputs!$B$44),G12*Q12))*IF(Inputs!$B$39="pvp",1,(1+(Inputs!$B$21+Skills!Q12+Summary!$B$15+Artifacts!$B$80+Artifacts!$B$36)/100)*(MIN(Skills!W12,Inputs!$B$37)))*((1+Artifacts!$B$53/100)),0)</f>
        <v/>
      </c>
    </row>
    <row r="13">
      <c r="A13">
        <f>Skills!A13</f>
        <v/>
      </c>
      <c r="B13">
        <f>Skills!B13</f>
        <v/>
      </c>
      <c r="C13">
        <f>Inputs!$B$3&gt;=105</f>
        <v/>
      </c>
      <c r="D13">
        <f>IF(Skills!C13=1,60+Inputs!$B$25+Inputs!$B$29,IF(Skills!C13=2,90+Inputs!$B$26+Inputs!$B$29,IF(Skills!C13=3,120+Inputs!$B$27+Inputs!$B$29,MAX(0,(Inputs!$B$3-100)*3)+Inputs!$B$28+Inputs!$B$29)))</f>
        <v/>
      </c>
      <c r="E13">
        <f>INDEX(FactorTable!$B$2:$Y$301, MATCH(ROUND(MIN(300,MAX(1,D13)),0), FactorTable!$A$2:$A$301,0), Skills!M13+1)</f>
        <v/>
      </c>
      <c r="F13">
        <f>IF(Skills!N13=TRUE,(Skills!L13/10)*(E13/1000),Skills!L13/10)+Skills!O13</f>
        <v/>
      </c>
      <c r="G13">
        <f>Skills!G13*IF(Skills!H13&gt;0,Skills!I13/Skills!H13,1)</f>
        <v/>
      </c>
      <c r="H13">
        <f>1-(1-Skills!J13/100)^Skills!K13</f>
        <v/>
      </c>
      <c r="I13">
        <f>IF(Skills!AA13&lt;&gt;"",1+(Skills!AA13/10)*($U$3/1000)/100,1)</f>
        <v/>
      </c>
      <c r="J13">
        <f>Summary!$B$6*(F13/100)</f>
        <v/>
      </c>
      <c r="K13">
        <f>J13*(1+Summary!$B$7/100)*(1+Inputs!$B$15/100)*(1+Inputs!$B$16/100)*(5000/(6000+Inputs!$B$43*(1-Inputs!$B$19/100)))*(1+Inputs!$B$24/100)*(1+Skills!R13/100)*(1+Artifacts!$B$34/100)*(1+(IF(Skills!A13="SHOWDOWN",Inputs!$B$17+Artifacts!$B$40,Inputs!$B$18+Artifacts!$B$39))/100)*(Summary!$B$13*Summary!$B$16*(1+Artifacts!$B$38/100)*I13)</f>
        <v/>
      </c>
      <c r="L13">
        <f>K13*(MIN(Inputs!$B$22,Inputs!$B$23)/100+Inputs!$B$23/100)/2</f>
        <v/>
      </c>
      <c r="M13">
        <f>L13*(1+(Inputs!$B$10+Summary!$B$24+Artifacts!$B$33)/100)</f>
        <v/>
      </c>
      <c r="N13">
        <f>L13*(1-MIN((Inputs!$B$9+Summary!$B$14+Artifacts!$B$32),100)/100)+M13*(MIN((Inputs!$B$9+Summary!$B$14+Artifacts!$B$32),100)/100)</f>
        <v/>
      </c>
      <c r="O13">
        <f>(1-Summary!$B$11)*T13+Summary!$B$11*V13</f>
        <v/>
      </c>
      <c r="P13">
        <f>IF(Summary!$B$3=0,0,O13/Summary!$B$3)</f>
        <v/>
      </c>
      <c r="Q13">
        <f>IFERROR(1/(IF(Inputs!$B$39="pvp",15,MAX(0.1,Skills!D13-IF(Skills!E13=TRUE,Inputs!$B$32,0)))*(1-IF(AND(ArtifactsInput!$M$27,Inputs!$B$4="Chapter Hunt"),CHOOSE(ArtifactsInput!$N$27+1,20,24,28,32,36,40),0)/100)),0)</f>
        <v/>
      </c>
      <c r="R13">
        <f>IF(AND(Inputs!$B$39&lt;&gt;"pvp",Inputs!$B$44&gt;0),IF(MAX(0,Inputs!$B$44-Summary!$B$26)&lt;=0,0,(INT(MAX(0,Inputs!$B$44-Summary!$B$26)/(IF(Inputs!$B$39="pvp",15,MAX(0.1,Skills!D13-IF(Skills!E13=TRUE,Inputs!$B$32,0)))*(1-IF(AND(ArtifactsInput!$M$27,Inputs!$B$4="Chapter Hunt"),CHOOSE(ArtifactsInput!$N$27+1,20,24,28,32,36,40),0)/100)))+1)),0)</f>
        <v/>
      </c>
      <c r="S13">
        <f>IFERROR(O13/N13,0)</f>
        <v/>
      </c>
      <c r="T13">
        <f>IF(C13,(H13*N13*IF(AND(Inputs!$B$39&lt;&gt;"pvp",Inputs!$B$44&gt;0),((Skills!G13*((R13-1)*IF(Skills!H13&gt;0,Skills!I13/Skills!H13,1)+IF(Skills!H13&gt;0,MIN(Skills!I13,MAX(0,MAX(0,Inputs!$B$44-Summary!$B$26)-((R13-1)*(IF(Inputs!$B$39="pvp",15,MAX(0.1,Skills!D13-IF(Skills!E13=TRUE,Inputs!$B$32,0)))*(1-IF(AND(ArtifactsInput!$M$27,Inputs!$B$4="Chapter Hunt"),CHOOSE(ArtifactsInput!$N$27+1,20,24,28,32,36,40),0)/100)))))/Skills!H13,1)))/Inputs!$B$44),G13*Q13))*IF(Inputs!$B$39="pvp",1,1+(Inputs!$B$20+Skills!P13+Summary!$B$15+Artifacts!$B$35+Artifacts!$B$36)/100)*((((5000/(6000+Inputs!$B$43*(1-(100*(1-(1-Inputs!$B$19/100)*(1-Artifacts!$B$51/100)^IF(Inputs!$B$39="pvp",1,2)))/100)))/(5000/(6000+Inputs!$B$43*(1-Inputs!$B$19/100))))*((L13*(1-MIN(100,(Inputs!$B$9+Summary!$B$14+Artifacts!$B$32)+Artifacts!$B$69)/100)+M13*(MIN(100,(Inputs!$B$9+Summary!$B$14+Artifacts!$B$32)+Artifacts!$B$69)/100))/(L13*(1-MIN(100,(Inputs!$B$9+Summary!$B$14+Artifacts!$B$32))/100)+M13*(MIN(100,(Inputs!$B$9+Summary!$B$14+Artifacts!$B$32))/100)))*(1+Artifacts!$B$81/100))),0)</f>
        <v/>
      </c>
      <c r="V13">
        <f>IF(C13,(H13*N13*IF(AND(Inputs!$B$39&lt;&gt;"pvp",Inputs!$B$44&gt;0),((Skills!G13*((R13-1)*IF(Skills!H13&gt;0,Skills!I13/Skills!H13,1)+IF(Skills!H13&gt;0,MIN(Skills!I13,MAX(0,MAX(0,Inputs!$B$44-Summary!$B$26)-((R13-1)*(IF(Inputs!$B$39="pvp",15,MAX(0.1,Skills!D13-IF(Skills!E13=TRUE,Inputs!$B$32,0)))*(1-IF(AND(ArtifactsInput!$M$27,Inputs!$B$4="Chapter Hunt"),CHOOSE(ArtifactsInput!$N$27+1,20,24,28,32,36,40),0)/100)))))/Skills!H13,1)))/Inputs!$B$44),G13*Q13))*IF(Inputs!$B$39="pvp",1,(1+(Inputs!$B$21+Skills!Q13+Summary!$B$15+Artifacts!$B$80+Artifacts!$B$36)/100)*(MIN(Skills!W13,Inputs!$B$37)))*((1+Artifacts!$B$53/100)),0)</f>
        <v/>
      </c>
    </row>
    <row r="14">
      <c r="A14">
        <f>Skills!A14</f>
        <v/>
      </c>
      <c r="B14">
        <f>Skills!B14</f>
        <v/>
      </c>
      <c r="C14">
        <f>Inputs!$B$3&gt;=105</f>
        <v/>
      </c>
      <c r="D14">
        <f>IF(Skills!C14=1,60+Inputs!$B$25+Inputs!$B$29,IF(Skills!C14=2,90+Inputs!$B$26+Inputs!$B$29,IF(Skills!C14=3,120+Inputs!$B$27+Inputs!$B$29,MAX(0,(Inputs!$B$3-100)*3)+Inputs!$B$28+Inputs!$B$29)))</f>
        <v/>
      </c>
      <c r="E14">
        <f>INDEX(FactorTable!$B$2:$Y$301, MATCH(ROUND(MIN(300,MAX(1,D14)),0), FactorTable!$A$2:$A$301,0), Skills!M14+1)</f>
        <v/>
      </c>
      <c r="F14">
        <f>IF(Skills!N14=TRUE,(Skills!L14/10)*(E14/1000),Skills!L14/10)+Skills!O14</f>
        <v/>
      </c>
      <c r="G14">
        <f>Skills!G14*IF(Skills!H14&gt;0,Skills!I14/Skills!H14,1)</f>
        <v/>
      </c>
      <c r="H14">
        <f>1-(1-Skills!J14/100)^Skills!K14</f>
        <v/>
      </c>
      <c r="I14">
        <f>IF(Skills!AA14&lt;&gt;"",1+(Skills!AA14/10)*($U$3/1000)/100,1)</f>
        <v/>
      </c>
      <c r="J14">
        <f>Summary!$B$6*(F14/100)</f>
        <v/>
      </c>
      <c r="K14">
        <f>J14*(1+Summary!$B$7/100)*(1+Inputs!$B$15/100)*(1+Inputs!$B$16/100)*(5000/(6000+Inputs!$B$43*(1-Inputs!$B$19/100)))*(1+Inputs!$B$24/100)*(1+Skills!R14/100)*(1+Artifacts!$B$34/100)*(1+(IF(Skills!A14="SHOWDOWN",Inputs!$B$17+Artifacts!$B$40,Inputs!$B$18+Artifacts!$B$39))/100)*(Summary!$B$13*Summary!$B$16*(1+Artifacts!$B$38/100)*I14)</f>
        <v/>
      </c>
      <c r="L14">
        <f>K14*(MIN(Inputs!$B$22,Inputs!$B$23)/100+Inputs!$B$23/100)/2</f>
        <v/>
      </c>
      <c r="M14">
        <f>L14*(1+(Inputs!$B$10+Summary!$B$24+Artifacts!$B$33)/100)</f>
        <v/>
      </c>
      <c r="N14">
        <f>L14*(1-MIN((Inputs!$B$9+Summary!$B$14+Artifacts!$B$32),100)/100)+M14*(MIN((Inputs!$B$9+Summary!$B$14+Artifacts!$B$32),100)/100)</f>
        <v/>
      </c>
      <c r="O14">
        <f>(1-Summary!$B$11)*T14+Summary!$B$11*V14</f>
        <v/>
      </c>
      <c r="P14">
        <f>IF(Summary!$B$3=0,0,O14/Summary!$B$3)</f>
        <v/>
      </c>
      <c r="Q14">
        <f>IFERROR(1/(IF(Inputs!$B$39="pvp",15,MAX(0.1,Skills!D14-IF(Skills!E14=TRUE,Inputs!$B$32,0)))*(1-IF(AND(ArtifactsInput!$M$27,Inputs!$B$4="Chapter Hunt"),CHOOSE(ArtifactsInput!$N$27+1,20,24,28,32,36,40),0)/100)),0)</f>
        <v/>
      </c>
      <c r="R14">
        <f>IF(AND(Inputs!$B$39&lt;&gt;"pvp",Inputs!$B$44&gt;0),IF(MAX(0,Inputs!$B$44-Summary!$B$26)&lt;=0,0,(INT(MAX(0,Inputs!$B$44-Summary!$B$26)/(IF(Inputs!$B$39="pvp",15,MAX(0.1,Skills!D14-IF(Skills!E14=TRUE,Inputs!$B$32,0)))*(1-IF(AND(ArtifactsInput!$M$27,Inputs!$B$4="Chapter Hunt"),CHOOSE(ArtifactsInput!$N$27+1,20,24,28,32,36,40),0)/100)))+1)),0)</f>
        <v/>
      </c>
      <c r="S14">
        <f>IFERROR(O14/N14,0)</f>
        <v/>
      </c>
      <c r="T14">
        <f>IF(C14,(H14*N14*IF(AND(Inputs!$B$39&lt;&gt;"pvp",Inputs!$B$44&gt;0),((Skills!G14*((R14-1)*IF(Skills!H14&gt;0,Skills!I14/Skills!H14,1)+IF(Skills!H14&gt;0,MIN(Skills!I14,MAX(0,MAX(0,Inputs!$B$44-Summary!$B$26)-((R14-1)*(IF(Inputs!$B$39="pvp",15,MAX(0.1,Skills!D14-IF(Skills!E14=TRUE,Inputs!$B$32,0)))*(1-IF(AND(ArtifactsInput!$M$27,Inputs!$B$4="Chapter Hunt"),CHOOSE(ArtifactsInput!$N$27+1,20,24,28,32,36,40),0)/100)))))/Skills!H14,1)))/Inputs!$B$44),G14*Q14))*IF(Inputs!$B$39="pvp",1,1+(Inputs!$B$20+Skills!P14+Summary!$B$15+Artifacts!$B$35+Artifacts!$B$36)/100)*((((5000/(6000+Inputs!$B$43*(1-(100*(1-(1-Inputs!$B$19/100)*(1-Artifacts!$B$51/100)^IF(Inputs!$B$39="pvp",1,2)))/100)))/(5000/(6000+Inputs!$B$43*(1-Inputs!$B$19/100))))*((L14*(1-MIN(100,(Inputs!$B$9+Summary!$B$14+Artifacts!$B$32)+Artifacts!$B$69)/100)+M14*(MIN(100,(Inputs!$B$9+Summary!$B$14+Artifacts!$B$32)+Artifacts!$B$69)/100))/(L14*(1-MIN(100,(Inputs!$B$9+Summary!$B$14+Artifacts!$B$32))/100)+M14*(MIN(100,(Inputs!$B$9+Summary!$B$14+Artifacts!$B$32))/100)))*(1+Artifacts!$B$81/100))),0)</f>
        <v/>
      </c>
      <c r="V14">
        <f>IF(C14,(H14*N14*IF(AND(Inputs!$B$39&lt;&gt;"pvp",Inputs!$B$44&gt;0),((Skills!G14*((R14-1)*IF(Skills!H14&gt;0,Skills!I14/Skills!H14,1)+IF(Skills!H14&gt;0,MIN(Skills!I14,MAX(0,MAX(0,Inputs!$B$44-Summary!$B$26)-((R14-1)*(IF(Inputs!$B$39="pvp",15,MAX(0.1,Skills!D14-IF(Skills!E14=TRUE,Inputs!$B$32,0)))*(1-IF(AND(ArtifactsInput!$M$27,Inputs!$B$4="Chapter Hunt"),CHOOSE(ArtifactsInput!$N$27+1,20,24,28,32,36,40),0)/100)))))/Skills!H14,1)))/Inputs!$B$44),G14*Q14))*IF(Inputs!$B$39="pvp",1,(1+(Inputs!$B$21+Skills!Q14+Summary!$B$15+Artifacts!$B$80+Artifacts!$B$36)/100)*(MIN(Skills!W14,Inputs!$B$37)))*((1+Artifacts!$B$53/100)),0)</f>
        <v/>
      </c>
    </row>
    <row r="15">
      <c r="A15">
        <f>Skills!A15</f>
        <v/>
      </c>
      <c r="B15">
        <f>Skills!B15</f>
        <v/>
      </c>
      <c r="C15">
        <f>Inputs!$B$3&gt;=110</f>
        <v/>
      </c>
      <c r="D15">
        <f>IF(Skills!C15=1,60+Inputs!$B$25+Inputs!$B$29,IF(Skills!C15=2,90+Inputs!$B$26+Inputs!$B$29,IF(Skills!C15=3,120+Inputs!$B$27+Inputs!$B$29,MAX(0,(Inputs!$B$3-100)*3)+Inputs!$B$28+Inputs!$B$29)))</f>
        <v/>
      </c>
      <c r="E15">
        <f>INDEX(FactorTable!$B$2:$Y$301, MATCH(ROUND(MIN(300,MAX(1,D15)),0), FactorTable!$A$2:$A$301,0), Skills!M15+1)</f>
        <v/>
      </c>
      <c r="F15">
        <f>IF(Skills!N15=TRUE,(Skills!L15/10)*(E15/1000),Skills!L15/10)+Skills!O15</f>
        <v/>
      </c>
      <c r="G15">
        <f>Skills!G15*IF(Skills!H15&gt;0,Skills!I15/Skills!H15,1)</f>
        <v/>
      </c>
      <c r="H15">
        <f>1-(1-Skills!J15/100)^Skills!K15</f>
        <v/>
      </c>
      <c r="I15">
        <f>IF(Skills!AA15&lt;&gt;"",1+(Skills!AA15/10)*($U$3/1000)/100,1)</f>
        <v/>
      </c>
      <c r="J15" t="inlineStr"/>
      <c r="K15" t="inlineStr"/>
      <c r="L15" t="inlineStr"/>
      <c r="M15" t="inlineStr"/>
      <c r="N15" t="inlineStr"/>
      <c r="O15">
        <f>(1-Summary!$B$11)*T15+Summary!$B$11*V15</f>
        <v/>
      </c>
      <c r="P15">
        <f>IF(Summary!$B$3=0,0,O15/Summary!$B$3)</f>
        <v/>
      </c>
      <c r="Q15">
        <f>IFERROR(1/(IF(Inputs!$B$39="pvp",15,MAX(0.1,Skills!D15-IF(Skills!E15=TRUE,Inputs!$B$32,0)))*(1-IF(AND(ArtifactsInput!$M$27,Inputs!$B$4="Chapter Hunt"),CHOOSE(ArtifactsInput!$N$27+1,20,24,28,32,36,40),0)/100)),0)</f>
        <v/>
      </c>
      <c r="R15">
        <f>IF(AND(Inputs!$B$39&lt;&gt;"pvp",Inputs!$B$44&gt;0),IF(Inputs!$B$44&lt;=0,0,(INT(Inputs!$B$44/(IF(Inputs!$B$39="pvp",15,MAX(0.1,Skills!D15-IF(Skills!E15=TRUE,Inputs!$B$32,0)))*(1-IF(AND(ArtifactsInput!$M$27,Inputs!$B$4="Chapter Hunt"),CHOOSE(ArtifactsInput!$N$27+1,20,24,28,32,36,40),0)/100)))+1)),0)</f>
        <v/>
      </c>
      <c r="S15">
        <f>IFERROR(O15/N15,0)</f>
        <v/>
      </c>
      <c r="T15" t="n">
        <v>0</v>
      </c>
      <c r="V15" t="n">
        <v>0</v>
      </c>
    </row>
    <row r="16">
      <c r="A16">
        <f>Skills!A16</f>
        <v/>
      </c>
      <c r="B16">
        <f>Skills!B16</f>
        <v/>
      </c>
      <c r="C16">
        <f>Inputs!$B$3&gt;=110</f>
        <v/>
      </c>
      <c r="D16">
        <f>IF(Skills!C16=1,60+Inputs!$B$25+Inputs!$B$29,IF(Skills!C16=2,90+Inputs!$B$26+Inputs!$B$29,IF(Skills!C16=3,120+Inputs!$B$27+Inputs!$B$29,MAX(0,(Inputs!$B$3-100)*3)+Inputs!$B$28+Inputs!$B$29)))</f>
        <v/>
      </c>
      <c r="E16">
        <f>INDEX(FactorTable!$B$2:$Y$301, MATCH(ROUND(MIN(300,MAX(1,D16)),0), FactorTable!$A$2:$A$301,0), Skills!M16+1)</f>
        <v/>
      </c>
      <c r="F16">
        <f>IF(Skills!N16=TRUE,(Skills!L16/10)*(E16/1000),Skills!L16/10)+Skills!O16</f>
        <v/>
      </c>
      <c r="G16">
        <f>Skills!G16*IF(Skills!H16&gt;0,Skills!I16/Skills!H16,1)</f>
        <v/>
      </c>
      <c r="H16">
        <f>1-(1-Skills!J16/100)^Skills!K16</f>
        <v/>
      </c>
      <c r="I16">
        <f>IF(Skills!AA16&lt;&gt;"",1+(Skills!AA16/10)*($U$3/1000)/100,1)</f>
        <v/>
      </c>
      <c r="J16" t="inlineStr"/>
      <c r="K16" t="inlineStr"/>
      <c r="L16" t="inlineStr"/>
      <c r="M16" t="inlineStr"/>
      <c r="N16" t="inlineStr"/>
      <c r="O16">
        <f>(1-Summary!$B$11)*T16+Summary!$B$11*V16</f>
        <v/>
      </c>
      <c r="P16">
        <f>IF(Summary!$B$3=0,0,O16/Summary!$B$3)</f>
        <v/>
      </c>
      <c r="Q16">
        <f>IFERROR(1/(IF(Inputs!$B$39="pvp",15,MAX(0.1,Skills!D16-IF(Skills!E16=TRUE,Inputs!$B$32,0)))*(1-IF(AND(ArtifactsInput!$M$27,Inputs!$B$4="Chapter Hunt"),CHOOSE(ArtifactsInput!$N$27+1,20,24,28,32,36,40),0)/100)),0)</f>
        <v/>
      </c>
      <c r="R16">
        <f>IF(AND(Inputs!$B$39&lt;&gt;"pvp",Inputs!$B$44&gt;0),IF(Inputs!$B$44&lt;=0,0,(INT(Inputs!$B$44/(IF(Inputs!$B$39="pvp",15,MAX(0.1,Skills!D16-IF(Skills!E16=TRUE,Inputs!$B$32,0)))*(1-IF(AND(ArtifactsInput!$M$27,Inputs!$B$4="Chapter Hunt"),CHOOSE(ArtifactsInput!$N$27+1,20,24,28,32,36,40),0)/100)))+1)),0)</f>
        <v/>
      </c>
      <c r="S16">
        <f>IFERROR(O16/N16,0)</f>
        <v/>
      </c>
      <c r="T16" t="n">
        <v>0</v>
      </c>
      <c r="V16" t="n">
        <v>0</v>
      </c>
    </row>
    <row r="17">
      <c r="A17">
        <f>Skills!A17</f>
        <v/>
      </c>
      <c r="B17">
        <f>Skills!B17</f>
        <v/>
      </c>
      <c r="C17">
        <f>Inputs!$B$3&gt;=115</f>
        <v/>
      </c>
      <c r="D17">
        <f>IF(Skills!C17=1,60+Inputs!$B$25+Inputs!$B$29,IF(Skills!C17=2,90+Inputs!$B$26+Inputs!$B$29,IF(Skills!C17=3,120+Inputs!$B$27+Inputs!$B$29,MAX(0,(Inputs!$B$3-100)*3)+Inputs!$B$28+Inputs!$B$29)))</f>
        <v/>
      </c>
      <c r="E17">
        <f>INDEX(FactorTable!$B$2:$Y$301, MATCH(ROUND(MIN(300,MAX(1,D17)),0), FactorTable!$A$2:$A$301,0), Skills!M17+1)</f>
        <v/>
      </c>
      <c r="F17">
        <f>IF(Skills!N17=TRUE,(Skills!L17/10)*(E17/1000),Skills!L17/10)+Skills!O17</f>
        <v/>
      </c>
      <c r="G17">
        <f>Skills!G17*IF(Skills!H17&gt;0,Skills!I17/Skills!H17,1)</f>
        <v/>
      </c>
      <c r="H17">
        <f>1-(1-Skills!J17/100)^Skills!K17</f>
        <v/>
      </c>
      <c r="I17">
        <f>IF(Skills!AA17&lt;&gt;"",1+(Skills!AA17/10)*($U$3/1000)/100,1)</f>
        <v/>
      </c>
      <c r="J17">
        <f>Summary!$B$6*(F17/100)</f>
        <v/>
      </c>
      <c r="K17">
        <f>J17*(1+Summary!$B$7/100)*(1+Inputs!$B$15/100)*(1+Inputs!$B$16/100)*(5000/(6000+Inputs!$B$43*(1-Inputs!$B$19/100)))*(1+Inputs!$B$24/100)*(1+Skills!R17/100)*(1+Artifacts!$B$34/100)*(1+(IF(Skills!A17="SHOWDOWN",Inputs!$B$17+Artifacts!$B$40,Inputs!$B$18+Artifacts!$B$39))/100)*(Summary!$B$13*Summary!$B$16*(1+Artifacts!$B$38/100)*I17)</f>
        <v/>
      </c>
      <c r="L17">
        <f>K17*(MIN(Inputs!$B$22,Inputs!$B$23)/100+Inputs!$B$23/100)/2</f>
        <v/>
      </c>
      <c r="M17">
        <f>L17*(1+(Inputs!$B$10+Summary!$B$24+Artifacts!$B$33)/100)</f>
        <v/>
      </c>
      <c r="N17">
        <f>L17*(1-MIN((Inputs!$B$9+Summary!$B$14+Artifacts!$B$32),100)/100)+M17*(MIN((Inputs!$B$9+Summary!$B$14+Artifacts!$B$32),100)/100)</f>
        <v/>
      </c>
      <c r="O17">
        <f>(1-Summary!$B$11)*T17+Summary!$B$11*V17</f>
        <v/>
      </c>
      <c r="P17">
        <f>IF(Summary!$B$3=0,0,O17/Summary!$B$3)</f>
        <v/>
      </c>
      <c r="Q17" t="n">
        <v>0</v>
      </c>
      <c r="R17" t="n">
        <v>0</v>
      </c>
      <c r="S17">
        <f>IFERROR(O17/N17,0)</f>
        <v/>
      </c>
      <c r="T17">
        <f>IF(C17,(Inputs!$B$38*0.2*N17)*IF(Inputs!$B$39="pvp",1,1+(Inputs!$B$20+Skills!P17+Summary!$B$15+Artifacts!$B$35+Artifacts!$B$36)/100)*((((5000/(6000+Inputs!$B$43*(1-(100*(1-(1-Inputs!$B$19/100)*(1-Artifacts!$B$51/100)^IF(Inputs!$B$39="pvp",1,2)))/100)))/(5000/(6000+Inputs!$B$43*(1-Inputs!$B$19/100))))*((L17*(1-MIN(100,(Inputs!$B$9+Summary!$B$14+Artifacts!$B$32)+Artifacts!$B$69)/100)+M17*(MIN(100,(Inputs!$B$9+Summary!$B$14+Artifacts!$B$32)+Artifacts!$B$69)/100))/(L17*(1-MIN(100,(Inputs!$B$9+Summary!$B$14+Artifacts!$B$32))/100)+M17*(MIN(100,(Inputs!$B$9+Summary!$B$14+Artifacts!$B$32))/100)))*(1+Artifacts!$B$81/100))),0)</f>
        <v/>
      </c>
      <c r="V17">
        <f>IF(C17,(Inputs!$B$38*0.2*N17)*IF(Inputs!$B$39="pvp",1,(1+(Inputs!$B$21+Skills!Q17+Summary!$B$15+Artifacts!$B$80+Artifacts!$B$36)/100)*(MIN(Skills!W17,Inputs!$B$37)))*((1+Artifacts!$B$53/100)),0)</f>
        <v/>
      </c>
    </row>
    <row r="18">
      <c r="A18">
        <f>Skills!A18</f>
        <v/>
      </c>
      <c r="B18">
        <f>Skills!B18</f>
        <v/>
      </c>
      <c r="C18">
        <f>Inputs!$B$3&gt;=115</f>
        <v/>
      </c>
      <c r="D18">
        <f>IF(Skills!C18=1,60+Inputs!$B$25+Inputs!$B$29,IF(Skills!C18=2,90+Inputs!$B$26+Inputs!$B$29,IF(Skills!C18=3,120+Inputs!$B$27+Inputs!$B$29,MAX(0,(Inputs!$B$3-100)*3)+Inputs!$B$28+Inputs!$B$29)))</f>
        <v/>
      </c>
      <c r="E18">
        <f>INDEX(FactorTable!$B$2:$Y$301, MATCH(ROUND(MIN(300,MAX(1,D18)),0), FactorTable!$A$2:$A$301,0), Skills!M18+1)</f>
        <v/>
      </c>
      <c r="F18">
        <f>IF(Skills!N18=TRUE,(Skills!L18/10)*(E18/1000),Skills!L18/10)+Skills!O18</f>
        <v/>
      </c>
      <c r="G18">
        <f>Skills!G18*IF(Skills!H18&gt;0,Skills!I18/Skills!H18,1)</f>
        <v/>
      </c>
      <c r="H18">
        <f>1-(1-Skills!J18/100)^Skills!K18</f>
        <v/>
      </c>
      <c r="I18">
        <f>IF(Skills!AA18&lt;&gt;"",1+(Skills!AA18/10)*($U$3/1000)/100,1)</f>
        <v/>
      </c>
      <c r="J18" t="inlineStr"/>
      <c r="K18" t="inlineStr"/>
      <c r="L18" t="inlineStr"/>
      <c r="M18" t="inlineStr"/>
      <c r="N18" t="inlineStr"/>
      <c r="O18">
        <f>(1-Summary!$B$11)*T18+Summary!$B$11*V18</f>
        <v/>
      </c>
      <c r="P18">
        <f>IF(Summary!$B$3=0,0,O18/Summary!$B$3)</f>
        <v/>
      </c>
      <c r="Q18" t="n">
        <v>0</v>
      </c>
      <c r="R18" t="n">
        <v>0</v>
      </c>
      <c r="S18">
        <f>IFERROR(O18/N18,0)</f>
        <v/>
      </c>
      <c r="T18" t="n">
        <v>0</v>
      </c>
      <c r="V18" t="n">
        <v>0</v>
      </c>
    </row>
    <row r="19">
      <c r="A19">
        <f>Skills!A19</f>
        <v/>
      </c>
      <c r="B19">
        <f>Skills!B19</f>
        <v/>
      </c>
      <c r="C19">
        <f>TRUE</f>
        <v/>
      </c>
      <c r="D19">
        <f>IF(Skills!C19=1,60+Inputs!$B$25+Inputs!$B$29,IF(Skills!C19=2,90+Inputs!$B$26+Inputs!$B$29,IF(Skills!C19=3,120+Inputs!$B$27+Inputs!$B$29,MAX(0,(Inputs!$B$3-100)*3)+Inputs!$B$28+Inputs!$B$29)))</f>
        <v/>
      </c>
      <c r="E19">
        <f>INDEX(FactorTable!$B$2:$Y$301, MATCH(ROUND(MIN(300,MAX(1,D19)),0), FactorTable!$A$2:$A$301,0), Skills!M19+1)</f>
        <v/>
      </c>
      <c r="F19">
        <f>IF(Skills!N19=TRUE,(Skills!L19/10)*(E19/1000),Skills!L19/10)+Skills!O19</f>
        <v/>
      </c>
      <c r="G19">
        <f>Skills!G19*IF(Skills!H19&gt;0,Skills!I19/Skills!H19,1)</f>
        <v/>
      </c>
      <c r="H19">
        <f>1-(1-Skills!J19/100)^Skills!K19</f>
        <v/>
      </c>
      <c r="I19">
        <f>IF(Skills!AA19&lt;&gt;"",1+(Skills!AA19/10)*($U$3/1000)/100,1)</f>
        <v/>
      </c>
      <c r="J19" t="inlineStr"/>
      <c r="K19" t="inlineStr"/>
      <c r="L19" t="inlineStr"/>
      <c r="M19" t="inlineStr"/>
      <c r="N19" t="inlineStr"/>
      <c r="O19">
        <f>(1-Summary!$B$11)*T19+Summary!$B$11*V19</f>
        <v/>
      </c>
      <c r="P19">
        <f>IF(Summary!$B$3=0,0,O19/Summary!$B$3)</f>
        <v/>
      </c>
      <c r="Q19">
        <f>IFERROR(1/(IF(Inputs!$B$39="pvp",15,MAX(0.1,Skills!D19-IF(Skills!E19=TRUE,Inputs!$B$32,0)))*(1-IF(AND(ArtifactsInput!$M$27,Inputs!$B$4="Chapter Hunt"),CHOOSE(ArtifactsInput!$N$27+1,20,24,28,32,36,40),0)/100)),0)</f>
        <v/>
      </c>
      <c r="R19">
        <f>IF(AND(Inputs!$B$39&lt;&gt;"pvp",Inputs!$B$44&gt;0),IF(Inputs!$B$44&lt;=0,0,(INT(Inputs!$B$44/(IF(Inputs!$B$39="pvp",15,MAX(0.1,Skills!D19-IF(Skills!E19=TRUE,Inputs!$B$32,0)))*(1-IF(AND(ArtifactsInput!$M$27,Inputs!$B$4="Chapter Hunt"),CHOOSE(ArtifactsInput!$N$27+1,20,24,28,32,36,40),0)/100)))+1)),0)</f>
        <v/>
      </c>
      <c r="S19">
        <f>IFERROR(O19/N19,0)</f>
        <v/>
      </c>
      <c r="T19" t="n">
        <v>0</v>
      </c>
      <c r="V19" t="n">
        <v>0</v>
      </c>
    </row>
    <row r="20">
      <c r="A20">
        <f>Skills!A20</f>
        <v/>
      </c>
      <c r="B20">
        <f>Skills!B20</f>
        <v/>
      </c>
      <c r="C20">
        <f>Inputs!$B$3&gt;=15</f>
        <v/>
      </c>
      <c r="D20">
        <f>IF(Skills!C20=1,60+Inputs!$B$25+Inputs!$B$29,IF(Skills!C20=2,90+Inputs!$B$26+Inputs!$B$29,IF(Skills!C20=3,120+Inputs!$B$27+Inputs!$B$29,MAX(0,(Inputs!$B$3-100)*3)+Inputs!$B$28+Inputs!$B$29)))</f>
        <v/>
      </c>
      <c r="E20">
        <f>INDEX(FactorTable!$B$2:$Y$301, MATCH(ROUND(MIN(300,MAX(1,D20)),0), FactorTable!$A$2:$A$301,0), Skills!M20+1)</f>
        <v/>
      </c>
      <c r="F20">
        <f>IF(Skills!N20=TRUE,(Skills!L20/10)*(E20/1000),Skills!L20/10)+Skills!O20</f>
        <v/>
      </c>
      <c r="G20">
        <f>Skills!G20*IF(Skills!H20&gt;0,Skills!I20/Skills!H20,1)</f>
        <v/>
      </c>
      <c r="H20">
        <f>1-(1-Skills!J20/100)^Skills!K20</f>
        <v/>
      </c>
      <c r="I20">
        <f>IF(Skills!AA20&lt;&gt;"",1+(Skills!AA20/10)*($U$3/1000)/100,1)</f>
        <v/>
      </c>
      <c r="J20" t="inlineStr"/>
      <c r="K20" t="inlineStr"/>
      <c r="L20" t="inlineStr"/>
      <c r="M20" t="inlineStr"/>
      <c r="N20" t="inlineStr"/>
      <c r="O20">
        <f>(1-Summary!$B$11)*T20+Summary!$B$11*V20</f>
        <v/>
      </c>
      <c r="P20">
        <f>IF(Summary!$B$3=0,0,O20/Summary!$B$3)</f>
        <v/>
      </c>
      <c r="Q20">
        <f>IFERROR(1/(IF(Inputs!$B$39="pvp",15,MAX(0.1,Skills!D20-IF(Skills!E20=TRUE,Inputs!$B$32,0)))*(1-IF(AND(ArtifactsInput!$M$27,Inputs!$B$4="Chapter Hunt"),CHOOSE(ArtifactsInput!$N$27+1,20,24,28,32,36,40),0)/100)),0)</f>
        <v/>
      </c>
      <c r="R20">
        <f>IF(AND(Inputs!$B$39&lt;&gt;"pvp",Inputs!$B$44&gt;0),IF(Inputs!$B$44&lt;=0,0,(INT(Inputs!$B$44/(IF(Inputs!$B$39="pvp",15,MAX(0.1,Skills!D20-IF(Skills!E20=TRUE,Inputs!$B$32,0)))*(1-IF(AND(ArtifactsInput!$M$27,Inputs!$B$4="Chapter Hunt"),CHOOSE(ArtifactsInput!$N$27+1,20,24,28,32,36,40),0)/100)))+1)),0)</f>
        <v/>
      </c>
      <c r="S20">
        <f>IFERROR(O20/N20,0)</f>
        <v/>
      </c>
      <c r="T20" t="n">
        <v>0</v>
      </c>
      <c r="V20" t="n">
        <v>0</v>
      </c>
    </row>
    <row r="21">
      <c r="A21">
        <f>Skills!A21</f>
        <v/>
      </c>
      <c r="B21">
        <f>Skills!B21</f>
        <v/>
      </c>
      <c r="C21">
        <f>Inputs!$B$3&gt;=15</f>
        <v/>
      </c>
      <c r="D21">
        <f>IF(Skills!C21=1,60+Inputs!$B$25+Inputs!$B$29,IF(Skills!C21=2,90+Inputs!$B$26+Inputs!$B$29,IF(Skills!C21=3,120+Inputs!$B$27+Inputs!$B$29,MAX(0,(Inputs!$B$3-100)*3)+Inputs!$B$28+Inputs!$B$29)))</f>
        <v/>
      </c>
      <c r="E21">
        <f>INDEX(FactorTable!$B$2:$Y$301, MATCH(ROUND(MIN(300,MAX(1,D21)),0), FactorTable!$A$2:$A$301,0), Skills!M21+1)</f>
        <v/>
      </c>
      <c r="F21">
        <f>IF(Skills!N21=TRUE,(Skills!L21/10)*(E21/1000),Skills!L21/10)+Skills!O21</f>
        <v/>
      </c>
      <c r="G21">
        <f>Skills!G21*IF(Skills!H21&gt;0,Skills!I21/Skills!H21,1)</f>
        <v/>
      </c>
      <c r="H21">
        <f>1-(1-Skills!J21/100)^Skills!K21</f>
        <v/>
      </c>
      <c r="I21">
        <f>IF(Skills!AA21&lt;&gt;"",1+(Skills!AA21/10)*($U$3/1000)/100,1)</f>
        <v/>
      </c>
      <c r="J21" t="inlineStr"/>
      <c r="K21" t="inlineStr"/>
      <c r="L21" t="inlineStr"/>
      <c r="M21" t="inlineStr"/>
      <c r="N21" t="inlineStr"/>
      <c r="O21">
        <f>(1-Summary!$B$11)*T21+Summary!$B$11*V21</f>
        <v/>
      </c>
      <c r="P21">
        <f>IF(Summary!$B$3=0,0,O21/Summary!$B$3)</f>
        <v/>
      </c>
      <c r="Q21">
        <f>IFERROR(1/(IF(Inputs!$B$39="pvp",15,MAX(0.1,Skills!D21-IF(Skills!E21=TRUE,Inputs!$B$32,0)))*(1-IF(AND(ArtifactsInput!$M$27,Inputs!$B$4="Chapter Hunt"),CHOOSE(ArtifactsInput!$N$27+1,20,24,28,32,36,40),0)/100)),0)</f>
        <v/>
      </c>
      <c r="R21">
        <f>IF(AND(Inputs!$B$39&lt;&gt;"pvp",Inputs!$B$44&gt;0),IF(Inputs!$B$44&lt;=0,0,(INT(Inputs!$B$44/(IF(Inputs!$B$39="pvp",15,MAX(0.1,Skills!D21-IF(Skills!E21=TRUE,Inputs!$B$32,0)))*(1-IF(AND(ArtifactsInput!$M$27,Inputs!$B$4="Chapter Hunt"),CHOOSE(ArtifactsInput!$N$27+1,20,24,28,32,36,40),0)/100)))+1)),0)</f>
        <v/>
      </c>
      <c r="S21">
        <f>IFERROR(O21/N21,0)</f>
        <v/>
      </c>
      <c r="T21" t="n">
        <v>0</v>
      </c>
      <c r="V21" t="n">
        <v>0</v>
      </c>
    </row>
    <row r="22">
      <c r="A22">
        <f>Skills!A22</f>
        <v/>
      </c>
      <c r="B22">
        <f>Skills!B22</f>
        <v/>
      </c>
      <c r="C22">
        <f>Inputs!$B$3&gt;=33</f>
        <v/>
      </c>
      <c r="D22">
        <f>IF(Skills!C22=1,60+Inputs!$B$25+Inputs!$B$29,IF(Skills!C22=2,90+Inputs!$B$26+Inputs!$B$29,IF(Skills!C22=3,120+Inputs!$B$27+Inputs!$B$29,MAX(0,(Inputs!$B$3-100)*3)+Inputs!$B$28+Inputs!$B$29)))</f>
        <v/>
      </c>
      <c r="E22">
        <f>INDEX(FactorTable!$B$2:$Y$301, MATCH(ROUND(MIN(300,MAX(1,D22)),0), FactorTable!$A$2:$A$301,0), Skills!M22+1)</f>
        <v/>
      </c>
      <c r="F22">
        <f>IF(Skills!N22=TRUE,(Skills!L22/10)*(E22/1000),Skills!L22/10)+Skills!O22</f>
        <v/>
      </c>
      <c r="G22">
        <f>Skills!G22*IF(Skills!H22&gt;0,Skills!I22/Skills!H22,1)</f>
        <v/>
      </c>
      <c r="H22">
        <f>1-(1-Skills!J22/100)^Skills!K22</f>
        <v/>
      </c>
      <c r="I22">
        <f>IF(Skills!AA22&lt;&gt;"",1+(Skills!AA22/10)*($U$3/1000)/100,1)</f>
        <v/>
      </c>
      <c r="J22" t="inlineStr"/>
      <c r="K22" t="inlineStr"/>
      <c r="L22" t="inlineStr"/>
      <c r="M22" t="inlineStr"/>
      <c r="N22" t="inlineStr"/>
      <c r="O22">
        <f>(1-Summary!$B$11)*T22+Summary!$B$11*V22</f>
        <v/>
      </c>
      <c r="P22">
        <f>IF(Summary!$B$3=0,0,O22/Summary!$B$3)</f>
        <v/>
      </c>
      <c r="Q22" t="n">
        <v>0</v>
      </c>
      <c r="R22" t="n">
        <v>0</v>
      </c>
      <c r="S22">
        <f>IFERROR(O22/N22,0)</f>
        <v/>
      </c>
      <c r="T22" t="n">
        <v>0</v>
      </c>
      <c r="V22" t="n">
        <v>0</v>
      </c>
    </row>
    <row r="23">
      <c r="A23">
        <f>Skills!A23</f>
        <v/>
      </c>
      <c r="B23">
        <f>Skills!B23</f>
        <v/>
      </c>
      <c r="C23">
        <f>Inputs!$B$3&gt;=38</f>
        <v/>
      </c>
      <c r="D23">
        <f>IF(Skills!C23=1,60+Inputs!$B$25+Inputs!$B$29,IF(Skills!C23=2,90+Inputs!$B$26+Inputs!$B$29,IF(Skills!C23=3,120+Inputs!$B$27+Inputs!$B$29,MAX(0,(Inputs!$B$3-100)*3)+Inputs!$B$28+Inputs!$B$29)))</f>
        <v/>
      </c>
      <c r="E23">
        <f>INDEX(FactorTable!$B$2:$Y$301, MATCH(ROUND(MIN(300,MAX(1,D23)),0), FactorTable!$A$2:$A$301,0), Skills!M23+1)</f>
        <v/>
      </c>
      <c r="F23">
        <f>IF(Skills!N23=TRUE,(Skills!L23/10)*(E23/1000),Skills!L23/10)+Skills!O23</f>
        <v/>
      </c>
      <c r="G23">
        <f>Skills!G23*IF(Skills!H23&gt;0,Skills!I23/Skills!H23,1)</f>
        <v/>
      </c>
      <c r="H23">
        <f>1-(1-Skills!J23/100)^Skills!K23</f>
        <v/>
      </c>
      <c r="I23">
        <f>IF(Skills!AA23&lt;&gt;"",1+(Skills!AA23/10)*($U$3/1000)/100,1)</f>
        <v/>
      </c>
      <c r="J23" t="inlineStr"/>
      <c r="K23" t="inlineStr"/>
      <c r="L23" t="inlineStr"/>
      <c r="M23" t="inlineStr"/>
      <c r="N23" t="inlineStr"/>
      <c r="O23">
        <f>(1-Summary!$B$11)*T23+Summary!$B$11*V23</f>
        <v/>
      </c>
      <c r="P23">
        <f>IF(Summary!$B$3=0,0,O23/Summary!$B$3)</f>
        <v/>
      </c>
      <c r="Q23" t="n">
        <v>0</v>
      </c>
      <c r="R23" t="n">
        <v>0</v>
      </c>
      <c r="S23">
        <f>IFERROR(O23/N23,0)</f>
        <v/>
      </c>
      <c r="T23" t="n">
        <v>0</v>
      </c>
      <c r="V23" t="n">
        <v>0</v>
      </c>
    </row>
    <row r="24">
      <c r="A24">
        <f>Skills!A24</f>
        <v/>
      </c>
      <c r="B24">
        <f>Skills!B24</f>
        <v/>
      </c>
      <c r="C24">
        <f>Inputs!$B$3&gt;=40</f>
        <v/>
      </c>
      <c r="D24">
        <f>IF(Skills!C24=1,60+Inputs!$B$25+Inputs!$B$29,IF(Skills!C24=2,90+Inputs!$B$26+Inputs!$B$29,IF(Skills!C24=3,120+Inputs!$B$27+Inputs!$B$29,MAX(0,(Inputs!$B$3-100)*3)+Inputs!$B$28+Inputs!$B$29)))</f>
        <v/>
      </c>
      <c r="E24">
        <f>INDEX(FactorTable!$B$2:$Y$301, MATCH(ROUND(MIN(300,MAX(1,D24)),0), FactorTable!$A$2:$A$301,0), Skills!M24+1)</f>
        <v/>
      </c>
      <c r="F24">
        <f>IF(Skills!N24=TRUE,(Skills!L24/10)*(E24/1000),Skills!L24/10)+Skills!O24</f>
        <v/>
      </c>
      <c r="G24">
        <f>Skills!G24*IF(Skills!H24&gt;0,Skills!I24/Skills!H24,1)</f>
        <v/>
      </c>
      <c r="H24">
        <f>1-(1-Skills!J24/100)^Skills!K24</f>
        <v/>
      </c>
      <c r="I24">
        <f>IF(Skills!AA24&lt;&gt;"",1+(Skills!AA24/10)*($U$3/1000)/100,1)</f>
        <v/>
      </c>
      <c r="J24" t="inlineStr"/>
      <c r="K24" t="inlineStr"/>
      <c r="L24" t="inlineStr"/>
      <c r="M24" t="inlineStr"/>
      <c r="N24" t="inlineStr"/>
      <c r="O24">
        <f>(1-Summary!$B$11)*T24+Summary!$B$11*V24</f>
        <v/>
      </c>
      <c r="P24">
        <f>IF(Summary!$B$3=0,0,O24/Summary!$B$3)</f>
        <v/>
      </c>
      <c r="Q24" t="n">
        <v>0</v>
      </c>
      <c r="R24" t="n">
        <v>0</v>
      </c>
      <c r="S24">
        <f>IFERROR(O24/N24,0)</f>
        <v/>
      </c>
      <c r="T24" t="n">
        <v>0</v>
      </c>
      <c r="V24" t="n">
        <v>0</v>
      </c>
    </row>
    <row r="25">
      <c r="A25">
        <f>Skills!A25</f>
        <v/>
      </c>
      <c r="B25">
        <f>Skills!B25</f>
        <v/>
      </c>
      <c r="C25">
        <f>Inputs!$B$3&gt;=45</f>
        <v/>
      </c>
      <c r="D25">
        <f>IF(Skills!C25=1,60+Inputs!$B$25+Inputs!$B$29,IF(Skills!C25=2,90+Inputs!$B$26+Inputs!$B$29,IF(Skills!C25=3,120+Inputs!$B$27+Inputs!$B$29,MAX(0,(Inputs!$B$3-100)*3)+Inputs!$B$28+Inputs!$B$29)))</f>
        <v/>
      </c>
      <c r="E25">
        <f>INDEX(FactorTable!$B$2:$Y$301, MATCH(ROUND(MIN(300,MAX(1,D25)),0), FactorTable!$A$2:$A$301,0), Skills!M25+1)</f>
        <v/>
      </c>
      <c r="F25">
        <f>IF(Skills!N25=TRUE,(Skills!L25/10)*(E25/1000),Skills!L25/10)+Skills!O25</f>
        <v/>
      </c>
      <c r="G25">
        <f>Skills!G25*IF(Skills!H25&gt;0,Skills!I25/Skills!H25,1)</f>
        <v/>
      </c>
      <c r="H25">
        <f>1-(1-Skills!J25/100)^Skills!K25</f>
        <v/>
      </c>
      <c r="I25">
        <f>IF(Skills!AA25&lt;&gt;"",1+(Skills!AA25/10)*($U$3/1000)/100,1)</f>
        <v/>
      </c>
      <c r="J25" t="inlineStr"/>
      <c r="K25" t="inlineStr"/>
      <c r="L25" t="inlineStr"/>
      <c r="M25" t="inlineStr"/>
      <c r="N25" t="inlineStr"/>
      <c r="O25">
        <f>(1-Summary!$B$11)*T25+Summary!$B$11*V25</f>
        <v/>
      </c>
      <c r="P25">
        <f>IF(Summary!$B$3=0,0,O25/Summary!$B$3)</f>
        <v/>
      </c>
      <c r="Q25" t="n">
        <v>0</v>
      </c>
      <c r="R25" t="n">
        <v>0</v>
      </c>
      <c r="S25">
        <f>IFERROR(O25/N25,0)</f>
        <v/>
      </c>
      <c r="T25" t="n">
        <v>0</v>
      </c>
      <c r="V25" t="n">
        <v>0</v>
      </c>
    </row>
    <row r="26">
      <c r="A26">
        <f>Skills!A26</f>
        <v/>
      </c>
      <c r="B26">
        <f>Skills!B26</f>
        <v/>
      </c>
      <c r="C26">
        <f>Inputs!$B$3&gt;=45</f>
        <v/>
      </c>
      <c r="D26">
        <f>IF(Skills!C26=1,60+Inputs!$B$25+Inputs!$B$29,IF(Skills!C26=2,90+Inputs!$B$26+Inputs!$B$29,IF(Skills!C26=3,120+Inputs!$B$27+Inputs!$B$29,MAX(0,(Inputs!$B$3-100)*3)+Inputs!$B$28+Inputs!$B$29)))</f>
        <v/>
      </c>
      <c r="E26">
        <f>INDEX(FactorTable!$B$2:$Y$301, MATCH(ROUND(MIN(300,MAX(1,D26)),0), FactorTable!$A$2:$A$301,0), Skills!M26+1)</f>
        <v/>
      </c>
      <c r="F26">
        <f>IF(Skills!N26=TRUE,(Skills!L26/10)*(E26/1000),Skills!L26/10)+Skills!O26</f>
        <v/>
      </c>
      <c r="G26">
        <f>Skills!G26*IF(Skills!H26&gt;0,Skills!I26/Skills!H26,1)</f>
        <v/>
      </c>
      <c r="H26">
        <f>1-(1-Skills!J26/100)^Skills!K26</f>
        <v/>
      </c>
      <c r="I26">
        <f>IF(Skills!AA26&lt;&gt;"",1+(Skills!AA26/10)*($U$3/1000)/100,1)</f>
        <v/>
      </c>
      <c r="J26" t="inlineStr"/>
      <c r="K26" t="inlineStr"/>
      <c r="L26" t="inlineStr"/>
      <c r="M26" t="inlineStr"/>
      <c r="N26" t="inlineStr"/>
      <c r="O26">
        <f>(1-Summary!$B$11)*T26+Summary!$B$11*V26</f>
        <v/>
      </c>
      <c r="P26">
        <f>IF(Summary!$B$3=0,0,O26/Summary!$B$3)</f>
        <v/>
      </c>
      <c r="Q26" t="n">
        <v>0</v>
      </c>
      <c r="R26" t="n">
        <v>0</v>
      </c>
      <c r="S26">
        <f>IFERROR(O26/N26,0)</f>
        <v/>
      </c>
      <c r="T26" t="n">
        <v>0</v>
      </c>
      <c r="V26" t="n">
        <v>0</v>
      </c>
    </row>
    <row r="27">
      <c r="A27">
        <f>Skills!A27</f>
        <v/>
      </c>
      <c r="B27">
        <f>Skills!B27</f>
        <v/>
      </c>
      <c r="C27">
        <f>Inputs!$B$3&gt;=72</f>
        <v/>
      </c>
      <c r="D27">
        <f>IF(Skills!C27=1,60+Inputs!$B$25+Inputs!$B$29,IF(Skills!C27=2,90+Inputs!$B$26+Inputs!$B$29,IF(Skills!C27=3,120+Inputs!$B$27+Inputs!$B$29,MAX(0,(Inputs!$B$3-100)*3)+Inputs!$B$28+Inputs!$B$29)))</f>
        <v/>
      </c>
      <c r="E27">
        <f>INDEX(FactorTable!$B$2:$Y$301, MATCH(ROUND(MIN(300,MAX(1,D27)),0), FactorTable!$A$2:$A$301,0), Skills!M27+1)</f>
        <v/>
      </c>
      <c r="F27">
        <f>IF(Skills!N27=TRUE,(Skills!L27/10)*(E27/1000),Skills!L27/10)+Skills!O27</f>
        <v/>
      </c>
      <c r="G27">
        <f>Skills!G27*IF(Skills!H27&gt;0,Skills!I27/Skills!H27,1)</f>
        <v/>
      </c>
      <c r="H27">
        <f>1-(1-Skills!J27/100)^Skills!K27</f>
        <v/>
      </c>
      <c r="I27">
        <f>IF(Skills!AA27&lt;&gt;"",1+(Skills!AA27/10)*($U$3/1000)/100,1)</f>
        <v/>
      </c>
      <c r="J27" t="inlineStr"/>
      <c r="K27" t="inlineStr"/>
      <c r="L27" t="inlineStr"/>
      <c r="M27" t="inlineStr"/>
      <c r="N27" t="inlineStr"/>
      <c r="O27">
        <f>(1-Summary!$B$11)*T27+Summary!$B$11*V27</f>
        <v/>
      </c>
      <c r="P27">
        <f>IF(Summary!$B$3=0,0,O27/Summary!$B$3)</f>
        <v/>
      </c>
      <c r="Q27" t="n">
        <v>0</v>
      </c>
      <c r="R27" t="n">
        <v>0</v>
      </c>
      <c r="S27">
        <f>IFERROR(O27/N27,0)</f>
        <v/>
      </c>
      <c r="T27" t="n">
        <v>0</v>
      </c>
      <c r="V27" t="n">
        <v>0</v>
      </c>
    </row>
    <row r="28">
      <c r="A28">
        <f>Skills!A28</f>
        <v/>
      </c>
      <c r="B28">
        <f>Skills!B28</f>
        <v/>
      </c>
      <c r="C28">
        <f>Inputs!$B$3&gt;=75</f>
        <v/>
      </c>
      <c r="D28">
        <f>IF(Skills!C28=1,60+Inputs!$B$25+Inputs!$B$29,IF(Skills!C28=2,90+Inputs!$B$26+Inputs!$B$29,IF(Skills!C28=3,120+Inputs!$B$27+Inputs!$B$29,MAX(0,(Inputs!$B$3-100)*3)+Inputs!$B$28+Inputs!$B$29)))</f>
        <v/>
      </c>
      <c r="E28">
        <f>INDEX(FactorTable!$B$2:$Y$301, MATCH(ROUND(MIN(300,MAX(1,D28)),0), FactorTable!$A$2:$A$301,0), Skills!M28+1)</f>
        <v/>
      </c>
      <c r="F28">
        <f>IF(Skills!N28=TRUE,(Skills!L28/10)*(E28/1000),Skills!L28/10)+Skills!O28</f>
        <v/>
      </c>
      <c r="G28">
        <f>Skills!G28*IF(Skills!H28&gt;0,Skills!I28/Skills!H28,1)</f>
        <v/>
      </c>
      <c r="H28">
        <f>1-(1-Skills!J28/100)^Skills!K28</f>
        <v/>
      </c>
      <c r="I28">
        <f>IF(Skills!AA28&lt;&gt;"",1+(Skills!AA28/10)*($U$3/1000)/100,1)</f>
        <v/>
      </c>
      <c r="J28" t="inlineStr"/>
      <c r="K28" t="inlineStr"/>
      <c r="L28" t="inlineStr"/>
      <c r="M28" t="inlineStr"/>
      <c r="N28" t="inlineStr"/>
      <c r="O28">
        <f>(1-Summary!$B$11)*T28+Summary!$B$11*V28</f>
        <v/>
      </c>
      <c r="P28">
        <f>IF(Summary!$B$3=0,0,O28/Summary!$B$3)</f>
        <v/>
      </c>
      <c r="Q28" t="n">
        <v>0</v>
      </c>
      <c r="R28" t="n">
        <v>0</v>
      </c>
      <c r="S28">
        <f>IFERROR(O28/N28,0)</f>
        <v/>
      </c>
      <c r="T28" t="n">
        <v>0</v>
      </c>
      <c r="V28" t="n">
        <v>0</v>
      </c>
    </row>
    <row r="29">
      <c r="A29">
        <f>Skills!A29</f>
        <v/>
      </c>
      <c r="B29">
        <f>Skills!B29</f>
        <v/>
      </c>
      <c r="C29">
        <f>Inputs!$B$3&gt;=120</f>
        <v/>
      </c>
      <c r="D29">
        <f>IF(Skills!C29=1,60+Inputs!$B$25+Inputs!$B$29,IF(Skills!C29=2,90+Inputs!$B$26+Inputs!$B$29,IF(Skills!C29=3,120+Inputs!$B$27+Inputs!$B$29,MAX(0,(Inputs!$B$3-100)*3)+Inputs!$B$28+Inputs!$B$29)))</f>
        <v/>
      </c>
      <c r="E29">
        <f>INDEX(FactorTable!$B$2:$Y$301, MATCH(ROUND(MIN(300,MAX(1,D29)),0), FactorTable!$A$2:$A$301,0), Skills!M29+1)</f>
        <v/>
      </c>
      <c r="F29">
        <f>IF(Skills!N29=TRUE,(Skills!L29/10)*(E29/1000),Skills!L29/10)+Skills!O29</f>
        <v/>
      </c>
      <c r="G29">
        <f>Skills!G29*IF(Skills!H29&gt;0,Skills!I29/Skills!H29,1)</f>
        <v/>
      </c>
      <c r="H29">
        <f>1-(1-Skills!J29/100)^Skills!K29</f>
        <v/>
      </c>
      <c r="I29">
        <f>IF(Skills!AA29&lt;&gt;"",1+(Skills!AA29/10)*($U$3/1000)/100,1)</f>
        <v/>
      </c>
      <c r="J29" t="inlineStr"/>
      <c r="K29" t="inlineStr"/>
      <c r="L29" t="inlineStr"/>
      <c r="M29" t="inlineStr"/>
      <c r="N29" t="inlineStr"/>
      <c r="O29">
        <f>(1-Summary!$B$11)*T29+Summary!$B$11*V29</f>
        <v/>
      </c>
      <c r="P29">
        <f>IF(Summary!$B$3=0,0,O29/Summary!$B$3)</f>
        <v/>
      </c>
      <c r="Q29" t="n">
        <v>0</v>
      </c>
      <c r="R29" t="n">
        <v>0</v>
      </c>
      <c r="S29">
        <f>IFERROR(O29/N29,0)</f>
        <v/>
      </c>
      <c r="T29" t="n">
        <v>0</v>
      </c>
      <c r="V29" t="n">
        <v>0</v>
      </c>
    </row>
    <row r="30">
      <c r="A30">
        <f>Skills!A30</f>
        <v/>
      </c>
      <c r="B30">
        <f>Skills!B30</f>
        <v/>
      </c>
      <c r="C30">
        <f>Inputs!$B$3&gt;=125</f>
        <v/>
      </c>
      <c r="D30">
        <f>IF(Skills!C30=1,60+Inputs!$B$25+Inputs!$B$29,IF(Skills!C30=2,90+Inputs!$B$26+Inputs!$B$29,IF(Skills!C30=3,120+Inputs!$B$27+Inputs!$B$29,MAX(0,(Inputs!$B$3-100)*3)+Inputs!$B$28+Inputs!$B$29)))</f>
        <v/>
      </c>
      <c r="E30">
        <f>INDEX(FactorTable!$B$2:$Y$301, MATCH(ROUND(MIN(300,MAX(1,D30)),0), FactorTable!$A$2:$A$301,0), Skills!M30+1)</f>
        <v/>
      </c>
      <c r="F30">
        <f>IF(Skills!N30=TRUE,(Skills!L30/10)*(E30/1000),Skills!L30/10)+Skills!O30</f>
        <v/>
      </c>
      <c r="G30">
        <f>Skills!G30*IF(Skills!H30&gt;0,Skills!I30/Skills!H30,1)</f>
        <v/>
      </c>
      <c r="H30">
        <f>1-(1-Skills!J30/100)^Skills!K30</f>
        <v/>
      </c>
      <c r="I30">
        <f>IF(Skills!AA30&lt;&gt;"",1+(Skills!AA30/10)*($U$3/1000)/100,1)</f>
        <v/>
      </c>
      <c r="J30" t="inlineStr"/>
      <c r="K30" t="inlineStr"/>
      <c r="L30" t="inlineStr"/>
      <c r="M30" t="inlineStr"/>
      <c r="N30" t="inlineStr"/>
      <c r="O30">
        <f>(1-Summary!$B$11)*T30+Summary!$B$11*V30</f>
        <v/>
      </c>
      <c r="P30">
        <f>IF(Summary!$B$3=0,0,O30/Summary!$B$3)</f>
        <v/>
      </c>
      <c r="Q30" t="n">
        <v>0</v>
      </c>
      <c r="R30" t="n">
        <v>0</v>
      </c>
      <c r="S30">
        <f>IFERROR(O30/N30,0)</f>
        <v/>
      </c>
      <c r="T30" t="n">
        <v>0</v>
      </c>
      <c r="V30" t="n">
        <v>0</v>
      </c>
    </row>
    <row r="31">
      <c r="A31">
        <f>Skills!A31</f>
        <v/>
      </c>
      <c r="B31">
        <f>Skills!B31</f>
        <v/>
      </c>
      <c r="C31">
        <f>Inputs!$B$3&gt;=107</f>
        <v/>
      </c>
      <c r="D31">
        <f>IF(Skills!C31=1,60+Inputs!$B$25+Inputs!$B$29,IF(Skills!C31=2,90+Inputs!$B$26+Inputs!$B$29,IF(Skills!C31=3,120+Inputs!$B$27+Inputs!$B$29,MAX(0,(Inputs!$B$3-100)*3)+Inputs!$B$28+Inputs!$B$29)))</f>
        <v/>
      </c>
      <c r="E31">
        <f>INDEX(FactorTable!$B$2:$Y$301, MATCH(ROUND(MIN(300,MAX(1,D31)),0), FactorTable!$A$2:$A$301,0), Skills!M31+1)</f>
        <v/>
      </c>
      <c r="F31">
        <f>IF(Skills!N31=TRUE,(Skills!L31/10)*(E31/1000),Skills!L31/10)+Skills!O31</f>
        <v/>
      </c>
      <c r="G31">
        <f>Skills!G31*IF(Skills!H31&gt;0,Skills!I31/Skills!H31,1)</f>
        <v/>
      </c>
      <c r="H31">
        <f>1-(1-Skills!J31/100)^Skills!K31</f>
        <v/>
      </c>
      <c r="I31">
        <f>IF(Skills!AA31&lt;&gt;"",1+(Skills!AA31/10)*($U$3/1000)/100,1)</f>
        <v/>
      </c>
      <c r="J31" t="inlineStr"/>
      <c r="K31" t="inlineStr"/>
      <c r="L31" t="inlineStr"/>
      <c r="M31" t="inlineStr"/>
      <c r="N31" t="inlineStr"/>
      <c r="O31">
        <f>(1-Summary!$B$11)*T31+Summary!$B$11*V31</f>
        <v/>
      </c>
      <c r="P31">
        <f>IF(Summary!$B$3=0,0,O31/Summary!$B$3)</f>
        <v/>
      </c>
      <c r="Q31" t="n">
        <v>0</v>
      </c>
      <c r="R31" t="n">
        <v>0</v>
      </c>
      <c r="S31">
        <f>IFERROR(O31/N31,0)</f>
        <v/>
      </c>
      <c r="T31" t="n">
        <v>0</v>
      </c>
      <c r="V3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1"/>
  <sheetViews>
    <sheetView workbookViewId="0">
      <selection activeCell="A1" sqref="A1"/>
    </sheetView>
  </sheetViews>
  <sheetFormatPr baseColWidth="8" defaultRowHeight="15"/>
  <cols>
    <col width="60" customWidth="1" min="1" max="1"/>
    <col width="16" customWidth="1" min="2" max="2"/>
    <col width="12" customWidth="1" min="3" max="3"/>
  </cols>
  <sheetData>
    <row r="1">
      <c r="A1" s="4" t="inlineStr">
        <is>
          <t>Night Lord — DPS Summary</t>
        </is>
      </c>
    </row>
    <row r="3">
      <c r="A3" s="10" t="inlineStr">
        <is>
          <t>TOTAL DPS</t>
        </is>
      </c>
      <c r="B3" s="10">
        <f>SUM(Calc!O2:O31)</f>
        <v/>
      </c>
    </row>
    <row r="5">
      <c r="A5" s="9" t="inlineStr">
        <is>
          <t>Derived Values (read-only, computed from Inputs)</t>
        </is>
      </c>
    </row>
    <row r="6">
      <c r="A6" t="inlineStr">
        <is>
          <t>ATTACK (= Flat ATTACK x (1+ATTACK%/100))</t>
        </is>
      </c>
      <c r="B6">
        <f>Inputs!$B$6*(1+Inputs!$B$7/100)</f>
        <v/>
      </c>
    </row>
    <row r="7">
      <c r="A7" t="inlineStr">
        <is>
          <t>STAT_DAMAGE % (= 1% of total LUK + 0.25% of DEX)</t>
        </is>
      </c>
      <c r="B7">
        <f>(Inputs!$B$12*(1+Inputs!$B$13/100))*0.01+Inputs!$B$14*0.0025</f>
        <v/>
      </c>
    </row>
    <row r="8">
      <c r="A8" t="inlineStr">
        <is>
          <t>Basic Attack (Showdown) Input Level (4th job formula)</t>
        </is>
      </c>
      <c r="B8">
        <f>MAX(0,(Inputs!$B$3-100)*3)+Inputs!$B$28+Inputs!$B$29</f>
        <v/>
      </c>
    </row>
    <row r="9">
      <c r="A9" t="inlineStr">
        <is>
          <t>Basic Attack Factor (factorIndex 21, from Showdown reverse-engineering)</t>
        </is>
      </c>
      <c r="B9">
        <f>INDEX(FactorTable!$B$2:$Y$301, MATCH(ROUND(MIN(300,MAX(1,Summary!$B$8)),0), FactorTable!$A$2:$A$301,0), 22)</f>
        <v/>
      </c>
    </row>
    <row r="10">
      <c r="A10" t="inlineStr">
        <is>
          <t>SKILL_COEFFICIENT — Showdown base coefficient % (before Skill Mastery)</t>
        </is>
      </c>
      <c r="B10">
        <f>290*Summary!$B$9/1000</f>
        <v/>
      </c>
    </row>
    <row r="11">
      <c r="A11" t="inlineStr">
        <is>
          <t>Normal-Monster Weight (= 0 for boss, 1 for normal, Breakthrough Normal Weight % for breakthrough, 0 for pvp)</t>
        </is>
      </c>
      <c r="B11">
        <f>IF(Inputs!$B$39="normal",1,IF(Inputs!$B$39="breakthrough",Inputs!$B$45/100,0))</f>
        <v/>
      </c>
    </row>
    <row r="13">
      <c r="A13" t="inlineStr">
        <is>
          <t>Average Buff Multiplier (Dark Sight Attack + Frailty Curse self-FD + Adrenalin FD + Artifact Attack%)</t>
        </is>
      </c>
      <c r="B13">
        <f>(1+((Calc!C21=TRUE)*Calc!F21*IF(AND(Inputs!$B$39&lt;&gt;"pvp",Inputs!$B$44&gt;0),(((Calc!R21-1)*(Skills!Y21*(1+Inputs!$B$34/100))+MIN((Skills!Y21*(1+Inputs!$B$34/100)),MAX(0,Inputs!$B$44-((Calc!R21-1)*Skills!D21))))/Inputs!$B$44),IF(Inputs!$B$39="pvp",MIN((Skills!Y21*(1+Inputs!$B$34/100)),15)/15,(Skills!Y21*(1+Inputs!$B$34/100))/Skills!D21)))/100)*(1+((Calc!C15=TRUE)*Calc!F15*IF(AND(Inputs!$B$39&lt;&gt;"pvp",Inputs!$B$44&gt;0),(((Calc!R15-1)*(Skills!Y15*(1+Inputs!$B$34/100))+MIN((Skills!Y15*(1+Inputs!$B$34/100)),MAX(0,Inputs!$B$44-((Calc!R15-1)*Skills!D15))))/Inputs!$B$44),IF(Inputs!$B$39="pvp",MIN((Skills!Y15*(1+Inputs!$B$34/100)),15)/15,(Skills!Y15*(1+Inputs!$B$34/100))/Skills!D15)))/100)*(1+((Calc!C6=TRUE)*Calc!F6*B18)/100)*(1+Artifacts!$B$52/100)</f>
        <v/>
      </c>
    </row>
    <row r="14">
      <c r="A14" t="inlineStr">
        <is>
          <t>Global Crit Rate Bonus % (Critical Throw Lv.47 mastery + Dark Sight Crit Rate, additive)</t>
        </is>
      </c>
      <c r="B14">
        <f>IF(Inputs!$B$3&gt;=47,8,0)+((Calc!C20=TRUE)*Calc!F20*IF(AND(Inputs!$B$39&lt;&gt;"pvp",Inputs!$B$44&gt;0),(((Calc!R20-1)*(Skills!Y20*(1+Inputs!$B$34/100))+MIN((Skills!Y20*(1+Inputs!$B$34/100)),MAX(0,Inputs!$B$44-((Calc!R20-1)*Skills!D20))))/Inputs!$B$44),IF(Inputs!$B$39="pvp",MIN((Skills!Y20*(1+Inputs!$B$34/100)),15)/15,(Skills!Y20*(1+Inputs!$B$34/100))/Skills!D20)))</f>
        <v/>
      </c>
    </row>
    <row r="15">
      <c r="A15" t="inlineStr">
        <is>
          <t>Global Monster Damage-Taken Bonus % (Venom Lv.82 Weaken + Frailty Curse enemy debuff, additive)</t>
        </is>
      </c>
      <c r="B15">
        <f>IF(Inputs!$B$3&gt;=82,15,0)+((Calc!C16=TRUE)*Calc!F16*IF(AND(Inputs!$B$39&lt;&gt;"pvp",Inputs!$B$44&gt;0),(((Calc!R16-1)*(Skills!Y16*(1+Inputs!$B$34/100))+MIN((Skills!Y16*(1+Inputs!$B$34/100)),MAX(0,Inputs!$B$44-((Calc!R16-1)*Skills!D16))))/Inputs!$B$44),IF(Inputs!$B$39="pvp",MIN((Skills!Y16*(1+Inputs!$B$34/100)),15)/15,(Skills!Y16*(1+Inputs!$B$34/100))/Skills!D16)))</f>
        <v/>
      </c>
    </row>
    <row r="16">
      <c r="A16" t="inlineStr">
        <is>
          <t>Shadow Partner Average Multiplier</t>
        </is>
      </c>
      <c r="B16">
        <f>1+((Calc!C11=TRUE)*Calc!F11*Calc!I11*Skills!J11/100)/100</f>
        <v/>
      </c>
    </row>
    <row r="17">
      <c r="A17" t="inlineStr">
        <is>
          <t>Actions Per Second (pre-Adrenalin, Nimble Feet only — breaks the Adrenalin uptime cycle)</t>
        </is>
      </c>
      <c r="B17">
        <f>1+MIN(150,150*(1-(1-Inputs!$B$11/150)*(1-((Calc!C19=TRUE)*Calc!F19*IF(AND(Inputs!$B$39&lt;&gt;"pvp",Inputs!$B$44&gt;0),(((Calc!R19-1)*(Skills!Y19*(1+Inputs!$B$34/100))+MIN((Skills!Y19*(1+Inputs!$B$34/100)),MAX(0,Inputs!$B$44-((Calc!R19-1)*Skills!D19))))/Inputs!$B$44),IF(Inputs!$B$39="pvp",MIN((Skills!Y19*(1+Inputs!$B$34/100)),15)/15,(Skills!Y19*(1+Inputs!$B$34/100))/Skills!D19)))/150)))/100</f>
        <v/>
      </c>
    </row>
    <row r="18">
      <c r="A18" t="inlineStr">
        <is>
          <t>Alchemic Adrenaline Uptime (action-rate-driven cycle: BuffDuration/(BuffDuration+ActivationsNeeded/ActionsPerSecond_preAdrenalin))</t>
        </is>
      </c>
      <c r="B18">
        <f>(Skills!Y6*(1+Inputs!$B$34/100))/((Skills!Y6*(1+Inputs!$B$34/100))+(5/B17))</f>
        <v/>
      </c>
    </row>
    <row r="19">
      <c r="A19" t="inlineStr">
        <is>
          <t>Attack Speed Buff Bonus % (Nimble Feet + Adrenalin, averaged)</t>
        </is>
      </c>
      <c r="B19">
        <f>((Calc!C19=TRUE)*Calc!F19*IF(AND(Inputs!$B$39&lt;&gt;"pvp",Inputs!$B$44&gt;0),(((Calc!R19-1)*(Skills!Y19*(1+Inputs!$B$34/100))+MIN((Skills!Y19*(1+Inputs!$B$34/100)),MAX(0,Inputs!$B$44-((Calc!R19-1)*Skills!D19))))/Inputs!$B$44),IF(Inputs!$B$39="pvp",MIN((Skills!Y19*(1+Inputs!$B$34/100)),15)/15,(Skills!Y19*(1+Inputs!$B$34/100))/Skills!D19)))+((Calc!C7=TRUE)*Calc!F7*B18)</f>
        <v/>
      </c>
    </row>
    <row r="20">
      <c r="A20" t="inlineStr">
        <is>
          <t>Actions Per Second (final, incl. Adrenalin's own AS bonus)</t>
        </is>
      </c>
      <c r="B20">
        <f>1+MIN(150,150*(1-(1-Inputs!$B$11/150)*(1-B19/150)))/100</f>
        <v/>
      </c>
    </row>
    <row r="21">
      <c r="A21" t="inlineStr">
        <is>
          <t>Skill + Buff Cast Rate (subtracted from Showdown, 1/s; weighted by ActionsPerCast)</t>
        </is>
      </c>
      <c r="B21">
        <f>IF(AND(Inputs!$B$39&lt;&gt;"pvp",Inputs!$B$44&gt;0),SUMPRODUCT((Skills!E2:E31=TRUE)*(Calc!C2:C31=TRUE)*Calc!R2:R31*Skills!F2:F31)/Inputs!$B$44,SUMPRODUCT((Skills!E2:E31=TRUE)*(Calc!C2:C31=TRUE)*Calc!Q2:Q31*Skills!F2:F31))</f>
        <v/>
      </c>
    </row>
    <row r="22">
      <c r="A22" t="inlineStr">
        <is>
          <t>Showdown (Basic Attack) Casts Per Second</t>
        </is>
      </c>
      <c r="B22">
        <f>MAX(0,B20-B21)</f>
        <v/>
      </c>
    </row>
    <row r="23">
      <c r="A23" t="inlineStr">
        <is>
          <t>Shadow Shifter Self-Attack Buff Uptime (informational — see Skills!Note; Sensitivity delta not scaled by this in this pass)</t>
        </is>
      </c>
      <c r="B23">
        <f>IF(Inputs!$B$3&gt;=116,1,1-MIN(1,(Inputs!$B$38*0.2)*3))</f>
        <v/>
      </c>
    </row>
    <row r="24">
      <c r="A24" t="inlineStr">
        <is>
          <t>Global Critical Damage Bonus % (Frailty Curse Mastery Lv.111, duty-cycle-averaged, additive)</t>
        </is>
      </c>
      <c r="B24">
        <f>IF(Inputs!$B$3&gt;=111,30,0)*IF(AND(Inputs!$B$39&lt;&gt;"pvp",Inputs!$B$44&gt;0),(((Calc!R16-1)*(Skills!Y16*(1+Inputs!$B$34/100))+MIN((Skills!Y16*(1+Inputs!$B$34/100)),MAX(0,Inputs!$B$44-((Calc!R16-1)*Skills!D16))))/Inputs!$B$44),IF(Inputs!$B$39="pvp",MIN((Skills!Y16*(1+Inputs!$B$34/100)),15)/15,(Skills!Y16*(1+Inputs!$B$34/100))/Skills!D16))</f>
        <v/>
      </c>
    </row>
    <row r="25">
      <c r="A25" t="inlineStr">
        <is>
          <t>Showdown (Basic Attack) DPS</t>
        </is>
      </c>
      <c r="B25">
        <f>Calc!O2</f>
        <v/>
      </c>
    </row>
    <row r="26">
      <c r="A26" t="inlineStr">
        <is>
          <t>Buff-Casting Startup Delay (s, before first damage-skill cast; fixed-duration only)</t>
        </is>
      </c>
      <c r="B26">
        <f>IF(AND(Inputs!$B$39&lt;&gt;"pvp",Inputs!$B$44&gt;0),SUMPRODUCT((Skills!Y2:Y31&gt;0)*(Skills!E2:E31=TRUE)*(Calc!C2:C31=TRUE))/B20,0)</f>
        <v/>
      </c>
    </row>
    <row r="27">
      <c r="A27" t="inlineStr">
        <is>
          <t>Boss-Only Total DPS (Sensitivity baseline)</t>
        </is>
      </c>
      <c r="B27">
        <f>SUM(Calc!T2:T31)</f>
        <v/>
      </c>
    </row>
    <row r="28">
      <c r="A28" t="inlineStr">
        <is>
          <t>Normal-Only Total DPS (Sensitivity baseline)</t>
        </is>
      </c>
      <c r="B28">
        <f>SUM(Calc!V2:V31)</f>
        <v/>
      </c>
    </row>
    <row r="30">
      <c r="A30" s="9" t="inlineStr">
        <is>
          <t>Per-Skill DPS Breakdown</t>
        </is>
      </c>
    </row>
    <row r="31">
      <c r="A31" s="5" t="inlineStr">
        <is>
          <t>Skill</t>
        </is>
      </c>
      <c r="B31" s="5" t="inlineStr">
        <is>
          <t>DPS</t>
        </is>
      </c>
      <c r="C31" s="5" t="inlineStr">
        <is>
          <t>% of Total</t>
        </is>
      </c>
    </row>
    <row r="32">
      <c r="A32">
        <f>Calc!B2</f>
        <v/>
      </c>
      <c r="B32">
        <f>Calc!O2</f>
        <v/>
      </c>
      <c r="C32">
        <f>Calc!P2*100</f>
        <v/>
      </c>
    </row>
    <row r="33">
      <c r="A33">
        <f>Calc!B3</f>
        <v/>
      </c>
      <c r="B33">
        <f>Calc!O3</f>
        <v/>
      </c>
      <c r="C33">
        <f>Calc!P3*100</f>
        <v/>
      </c>
    </row>
    <row r="34">
      <c r="A34">
        <f>Calc!B4</f>
        <v/>
      </c>
      <c r="B34">
        <f>Calc!O4</f>
        <v/>
      </c>
      <c r="C34">
        <f>Calc!P4*100</f>
        <v/>
      </c>
    </row>
    <row r="35">
      <c r="A35">
        <f>Calc!B5</f>
        <v/>
      </c>
      <c r="B35">
        <f>Calc!O5</f>
        <v/>
      </c>
      <c r="C35">
        <f>Calc!P5*100</f>
        <v/>
      </c>
    </row>
    <row r="36">
      <c r="A36">
        <f>Calc!B8</f>
        <v/>
      </c>
      <c r="B36">
        <f>Calc!O8</f>
        <v/>
      </c>
      <c r="C36">
        <f>Calc!P8*100</f>
        <v/>
      </c>
    </row>
    <row r="37">
      <c r="A37">
        <f>Calc!B9</f>
        <v/>
      </c>
      <c r="B37">
        <f>Calc!O9</f>
        <v/>
      </c>
      <c r="C37">
        <f>Calc!P9*100</f>
        <v/>
      </c>
    </row>
    <row r="38">
      <c r="A38">
        <f>Calc!B10</f>
        <v/>
      </c>
      <c r="B38">
        <f>Calc!O10</f>
        <v/>
      </c>
      <c r="C38">
        <f>Calc!P10*100</f>
        <v/>
      </c>
    </row>
    <row r="39">
      <c r="A39">
        <f>Calc!B12</f>
        <v/>
      </c>
      <c r="B39">
        <f>Calc!O12</f>
        <v/>
      </c>
      <c r="C39">
        <f>Calc!P12*100</f>
        <v/>
      </c>
    </row>
    <row r="40">
      <c r="A40">
        <f>Calc!B13</f>
        <v/>
      </c>
      <c r="B40">
        <f>Calc!O13</f>
        <v/>
      </c>
      <c r="C40">
        <f>Calc!P13*100</f>
        <v/>
      </c>
    </row>
    <row r="41">
      <c r="A41">
        <f>Calc!B14</f>
        <v/>
      </c>
      <c r="B41">
        <f>Calc!O14</f>
        <v/>
      </c>
      <c r="C41">
        <f>Calc!P14*100</f>
        <v/>
      </c>
    </row>
    <row r="42">
      <c r="A42">
        <f>Calc!B17</f>
        <v/>
      </c>
      <c r="B42">
        <f>Calc!O17</f>
        <v/>
      </c>
      <c r="C42">
        <f>Calc!P17*100</f>
        <v/>
      </c>
    </row>
    <row r="43">
      <c r="A43" s="9" t="inlineStr">
        <is>
          <t>Marginal DPS &amp; Stat Value (see Sensitivity for full detail)</t>
        </is>
      </c>
    </row>
    <row r="45">
      <c r="A45" s="5" t="inlineStr">
        <is>
          <t>Stat</t>
        </is>
      </c>
      <c r="B45" s="5" t="inlineStr">
        <is>
          <t>DPS per +1</t>
        </is>
      </c>
      <c r="C45" s="5" t="inlineStr">
        <is>
          <t>Units per +1% DPS</t>
        </is>
      </c>
    </row>
    <row r="46">
      <c r="A46">
        <f>Sensitivity!A5</f>
        <v/>
      </c>
      <c r="B46">
        <f>Sensitivity!H5</f>
        <v/>
      </c>
      <c r="C46">
        <f>Sensitivity!B5</f>
        <v/>
      </c>
    </row>
    <row r="47">
      <c r="A47">
        <f>Sensitivity!A6</f>
        <v/>
      </c>
      <c r="B47">
        <f>Sensitivity!H6</f>
        <v/>
      </c>
      <c r="C47">
        <f>Sensitivity!B6</f>
        <v/>
      </c>
    </row>
    <row r="48">
      <c r="A48">
        <f>Sensitivity!A7</f>
        <v/>
      </c>
      <c r="B48">
        <f>Sensitivity!H7</f>
        <v/>
      </c>
      <c r="C48">
        <f>Sensitivity!B7</f>
        <v/>
      </c>
    </row>
    <row r="49">
      <c r="A49">
        <f>Sensitivity!A8</f>
        <v/>
      </c>
      <c r="B49">
        <f>Sensitivity!H8</f>
        <v/>
      </c>
      <c r="C49">
        <f>Sensitivity!B8</f>
        <v/>
      </c>
    </row>
    <row r="50">
      <c r="A50">
        <f>Sensitivity!A9</f>
        <v/>
      </c>
      <c r="B50">
        <f>Sensitivity!H9</f>
        <v/>
      </c>
      <c r="C50">
        <f>Sensitivity!B9</f>
        <v/>
      </c>
    </row>
    <row r="51">
      <c r="A51">
        <f>Sensitivity!A10</f>
        <v/>
      </c>
      <c r="B51">
        <f>Sensitivity!H10</f>
        <v/>
      </c>
      <c r="C51">
        <f>Sensitivity!B10</f>
        <v/>
      </c>
    </row>
    <row r="52">
      <c r="A52">
        <f>Sensitivity!A11</f>
        <v/>
      </c>
      <c r="B52">
        <f>Sensitivity!H11</f>
        <v/>
      </c>
      <c r="C52">
        <f>Sensitivity!B11</f>
        <v/>
      </c>
    </row>
    <row r="53">
      <c r="A53">
        <f>Sensitivity!A12</f>
        <v/>
      </c>
      <c r="B53">
        <f>Sensitivity!H12</f>
        <v/>
      </c>
      <c r="C53">
        <f>Sensitivity!B12</f>
        <v/>
      </c>
    </row>
    <row r="54">
      <c r="A54">
        <f>Sensitivity!A13</f>
        <v/>
      </c>
      <c r="B54">
        <f>Sensitivity!H13</f>
        <v/>
      </c>
      <c r="C54">
        <f>Sensitivity!B13</f>
        <v/>
      </c>
    </row>
    <row r="55">
      <c r="A55">
        <f>Sensitivity!A14</f>
        <v/>
      </c>
      <c r="B55">
        <f>Sensitivity!H14</f>
        <v/>
      </c>
      <c r="C55">
        <f>Sensitivity!B14</f>
        <v/>
      </c>
    </row>
    <row r="56">
      <c r="A56">
        <f>Sensitivity!A15</f>
        <v/>
      </c>
      <c r="B56">
        <f>Sensitivity!H15</f>
        <v/>
      </c>
      <c r="C56">
        <f>Sensitivity!B15</f>
        <v/>
      </c>
    </row>
    <row r="57">
      <c r="A57">
        <f>Sensitivity!A16</f>
        <v/>
      </c>
      <c r="B57">
        <f>Sensitivity!H16</f>
        <v/>
      </c>
      <c r="C57">
        <f>Sensitivity!B16</f>
        <v/>
      </c>
    </row>
    <row r="58">
      <c r="A58">
        <f>Sensitivity!A17</f>
        <v/>
      </c>
      <c r="B58">
        <f>Sensitivity!H17</f>
        <v/>
      </c>
      <c r="C58">
        <f>Sensitivity!B17</f>
        <v/>
      </c>
    </row>
    <row r="59">
      <c r="A59">
        <f>Sensitivity!A18</f>
        <v/>
      </c>
      <c r="B59">
        <f>Sensitivity!H18</f>
        <v/>
      </c>
      <c r="C59">
        <f>Sensitivity!B18</f>
        <v/>
      </c>
    </row>
    <row r="60">
      <c r="A60">
        <f>Sensitivity!A19</f>
        <v/>
      </c>
      <c r="B60">
        <f>Sensitivity!H19</f>
        <v/>
      </c>
      <c r="C60">
        <f>Sensitivity!B19</f>
        <v/>
      </c>
    </row>
    <row r="61">
      <c r="A61">
        <f>Sensitivity!A20</f>
        <v/>
      </c>
      <c r="B61">
        <f>Sensitivity!H20</f>
        <v/>
      </c>
      <c r="C61">
        <f>Sensitivity!B20</f>
        <v/>
      </c>
    </row>
    <row r="62">
      <c r="A62">
        <f>Sensitivity!A21</f>
        <v/>
      </c>
      <c r="B62">
        <f>Sensitivity!H21</f>
        <v/>
      </c>
      <c r="C62">
        <f>Sensitivity!B21</f>
        <v/>
      </c>
    </row>
    <row r="63">
      <c r="A63">
        <f>Sensitivity!A22</f>
        <v/>
      </c>
      <c r="B63">
        <f>Sensitivity!H22</f>
        <v/>
      </c>
      <c r="C63">
        <f>Sensitivity!B22</f>
        <v/>
      </c>
    </row>
    <row r="64">
      <c r="A64">
        <f>Sensitivity!A23</f>
        <v/>
      </c>
      <c r="B64">
        <f>Sensitivity!H23</f>
        <v/>
      </c>
      <c r="C64">
        <f>Sensitivity!B23</f>
        <v/>
      </c>
    </row>
    <row r="65">
      <c r="A65">
        <f>Sensitivity!A24</f>
        <v/>
      </c>
      <c r="B65">
        <f>Sensitivity!H24</f>
        <v/>
      </c>
      <c r="C65">
        <f>Sensitivity!B24</f>
        <v/>
      </c>
    </row>
    <row r="66">
      <c r="A66">
        <f>Sensitivity!A25</f>
        <v/>
      </c>
      <c r="B66">
        <f>Sensitivity!H25</f>
        <v/>
      </c>
      <c r="C66">
        <f>Sensitivity!B25</f>
        <v/>
      </c>
    </row>
    <row r="67">
      <c r="A67">
        <f>Sensitivity!A26</f>
        <v/>
      </c>
      <c r="B67">
        <f>Sensitivity!H26</f>
        <v/>
      </c>
      <c r="C67">
        <f>Sensitivity!B26</f>
        <v/>
      </c>
    </row>
    <row r="68">
      <c r="A68">
        <f>Sensitivity!A27</f>
        <v/>
      </c>
      <c r="B68">
        <f>Sensitivity!H27</f>
        <v/>
      </c>
      <c r="C68">
        <f>Sensitivity!B27</f>
        <v/>
      </c>
    </row>
    <row r="69">
      <c r="A69">
        <f>Sensitivity!A28</f>
        <v/>
      </c>
      <c r="B69">
        <f>Sensitivity!H28</f>
        <v/>
      </c>
      <c r="C69">
        <f>Sensitivity!B28</f>
        <v/>
      </c>
    </row>
    <row r="70">
      <c r="A70">
        <f>Sensitivity!A29</f>
        <v/>
      </c>
      <c r="B70">
        <f>Sensitivity!H29</f>
        <v/>
      </c>
      <c r="C70">
        <f>Sensitivity!B29</f>
        <v/>
      </c>
    </row>
    <row r="71">
      <c r="A71">
        <f>Sensitivity!A30</f>
        <v/>
      </c>
      <c r="B71">
        <f>Sensitivity!H30</f>
        <v/>
      </c>
      <c r="C71">
        <f>Sensitivity!B30</f>
        <v/>
      </c>
    </row>
    <row r="72">
      <c r="A72">
        <f>Sensitivity!A31</f>
        <v/>
      </c>
      <c r="B72">
        <f>Sensitivity!H31</f>
        <v/>
      </c>
      <c r="C72">
        <f>Sensitivity!B31</f>
        <v/>
      </c>
    </row>
    <row r="73">
      <c r="A73" s="9" t="inlineStr">
        <is>
          <t>Artifact Equip-Toggle DPS Gain, best to worst (see Sensitivity for full detail)</t>
        </is>
      </c>
    </row>
    <row r="75">
      <c r="A75" s="5" t="inlineStr">
        <is>
          <t>Artifact</t>
        </is>
      </c>
      <c r="B75" s="5" t="inlineStr">
        <is>
          <t>DPS Gain</t>
        </is>
      </c>
      <c r="C75" s="5" t="inlineStr">
        <is>
          <t>% Gain</t>
        </is>
      </c>
    </row>
    <row r="76">
      <c r="A76">
        <f>Sensitivity!A34</f>
        <v/>
      </c>
      <c r="B76">
        <f>Sensitivity!B34</f>
        <v/>
      </c>
      <c r="C76">
        <f>Sensitivity!C34</f>
        <v/>
      </c>
    </row>
    <row r="77">
      <c r="A77">
        <f>Sensitivity!A35</f>
        <v/>
      </c>
      <c r="B77">
        <f>Sensitivity!B35</f>
        <v/>
      </c>
      <c r="C77">
        <f>Sensitivity!C35</f>
        <v/>
      </c>
    </row>
    <row r="78">
      <c r="A78">
        <f>Sensitivity!A36</f>
        <v/>
      </c>
      <c r="B78">
        <f>Sensitivity!B36</f>
        <v/>
      </c>
      <c r="C78">
        <f>Sensitivity!C36</f>
        <v/>
      </c>
    </row>
    <row r="79">
      <c r="A79">
        <f>Sensitivity!A37</f>
        <v/>
      </c>
      <c r="B79">
        <f>Sensitivity!B37</f>
        <v/>
      </c>
      <c r="C79">
        <f>Sensitivity!C37</f>
        <v/>
      </c>
    </row>
    <row r="80">
      <c r="A80">
        <f>Sensitivity!A38</f>
        <v/>
      </c>
      <c r="B80">
        <f>Sensitivity!B38</f>
        <v/>
      </c>
      <c r="C80">
        <f>Sensitivity!C38</f>
        <v/>
      </c>
    </row>
    <row r="81">
      <c r="A81">
        <f>Sensitivity!A39</f>
        <v/>
      </c>
      <c r="B81">
        <f>Sensitivity!B39</f>
        <v/>
      </c>
      <c r="C81">
        <f>Sensitivity!C39</f>
        <v/>
      </c>
    </row>
    <row r="82">
      <c r="A82">
        <f>Sensitivity!A40</f>
        <v/>
      </c>
      <c r="B82">
        <f>Sensitivity!B40</f>
        <v/>
      </c>
      <c r="C82">
        <f>Sensitivity!C40</f>
        <v/>
      </c>
    </row>
    <row r="83">
      <c r="A83">
        <f>Sensitivity!A41</f>
        <v/>
      </c>
      <c r="B83">
        <f>Sensitivity!B41</f>
        <v/>
      </c>
      <c r="C83">
        <f>Sensitivity!C41</f>
        <v/>
      </c>
    </row>
    <row r="84">
      <c r="A84">
        <f>Sensitivity!A42</f>
        <v/>
      </c>
      <c r="B84">
        <f>Sensitivity!B42</f>
        <v/>
      </c>
      <c r="C84">
        <f>Sensitivity!C42</f>
        <v/>
      </c>
    </row>
    <row r="85">
      <c r="A85">
        <f>Sensitivity!A43</f>
        <v/>
      </c>
      <c r="B85">
        <f>Sensitivity!B43</f>
        <v/>
      </c>
      <c r="C85">
        <f>Sensitivity!C43</f>
        <v/>
      </c>
    </row>
    <row r="86">
      <c r="A86">
        <f>Sensitivity!A44</f>
        <v/>
      </c>
      <c r="B86">
        <f>Sensitivity!B44</f>
        <v/>
      </c>
      <c r="C86">
        <f>Sensitivity!C44</f>
        <v/>
      </c>
    </row>
    <row r="87">
      <c r="A87">
        <f>Sensitivity!A45</f>
        <v/>
      </c>
      <c r="B87">
        <f>Sensitivity!B45</f>
        <v/>
      </c>
      <c r="C87">
        <f>Sensitivity!C45</f>
        <v/>
      </c>
    </row>
    <row r="88">
      <c r="A88">
        <f>Sensitivity!A46</f>
        <v/>
      </c>
      <c r="B88">
        <f>Sensitivity!B46</f>
        <v/>
      </c>
      <c r="C88">
        <f>Sensitivity!C46</f>
        <v/>
      </c>
    </row>
    <row r="89">
      <c r="A89">
        <f>Sensitivity!A47</f>
        <v/>
      </c>
      <c r="B89">
        <f>Sensitivity!B47</f>
        <v/>
      </c>
      <c r="C89">
        <f>Sensitivity!C47</f>
        <v/>
      </c>
    </row>
    <row r="90">
      <c r="A90">
        <f>Sensitivity!A48</f>
        <v/>
      </c>
      <c r="B90">
        <f>Sensitivity!B48</f>
        <v/>
      </c>
      <c r="C90">
        <f>Sensitivity!C48</f>
        <v/>
      </c>
    </row>
    <row r="91">
      <c r="A91">
        <f>Sensitivity!A49</f>
        <v/>
      </c>
      <c r="B91">
        <f>Sensitivity!B49</f>
        <v/>
      </c>
      <c r="C91">
        <f>Sensitivity!C49</f>
        <v/>
      </c>
    </row>
    <row r="92">
      <c r="A92">
        <f>Sensitivity!A50</f>
        <v/>
      </c>
      <c r="B92">
        <f>Sensitivity!B50</f>
        <v/>
      </c>
      <c r="C92">
        <f>Sensitivity!C50</f>
        <v/>
      </c>
    </row>
    <row r="93">
      <c r="A93">
        <f>Sensitivity!A51</f>
        <v/>
      </c>
      <c r="B93">
        <f>Sensitivity!B51</f>
        <v/>
      </c>
      <c r="C93">
        <f>Sensitivity!C51</f>
        <v/>
      </c>
    </row>
    <row r="94">
      <c r="A94">
        <f>Sensitivity!A52</f>
        <v/>
      </c>
      <c r="B94">
        <f>Sensitivity!B52</f>
        <v/>
      </c>
      <c r="C94">
        <f>Sensitivity!C52</f>
        <v/>
      </c>
    </row>
    <row r="95">
      <c r="A95">
        <f>Sensitivity!A53</f>
        <v/>
      </c>
      <c r="B95">
        <f>Sensitivity!B53</f>
        <v/>
      </c>
      <c r="C95">
        <f>Sensitivity!C53</f>
        <v/>
      </c>
    </row>
    <row r="96">
      <c r="A96">
        <f>Sensitivity!A54</f>
        <v/>
      </c>
      <c r="B96">
        <f>Sensitivity!B54</f>
        <v/>
      </c>
      <c r="C96">
        <f>Sensitivity!C54</f>
        <v/>
      </c>
    </row>
    <row r="97">
      <c r="A97">
        <f>Sensitivity!A55</f>
        <v/>
      </c>
      <c r="B97">
        <f>Sensitivity!B55</f>
        <v/>
      </c>
      <c r="C97">
        <f>Sensitivity!C55</f>
        <v/>
      </c>
    </row>
    <row r="98">
      <c r="A98">
        <f>Sensitivity!A56</f>
        <v/>
      </c>
      <c r="B98">
        <f>Sensitivity!B56</f>
        <v/>
      </c>
      <c r="C98">
        <f>Sensitivity!C56</f>
        <v/>
      </c>
    </row>
    <row r="99">
      <c r="A99">
        <f>Sensitivity!A57</f>
        <v/>
      </c>
      <c r="B99">
        <f>Sensitivity!B57</f>
        <v/>
      </c>
      <c r="C99">
        <f>Sensitivity!C57</f>
        <v/>
      </c>
    </row>
    <row r="100">
      <c r="A100">
        <f>Sensitivity!A58</f>
        <v/>
      </c>
      <c r="B100">
        <f>Sensitivity!B58</f>
        <v/>
      </c>
      <c r="C100">
        <f>Sensitivity!C58</f>
        <v/>
      </c>
    </row>
    <row r="101">
      <c r="A101">
        <f>Sensitivity!A59</f>
        <v/>
      </c>
      <c r="B101">
        <f>Sensitivity!B59</f>
        <v/>
      </c>
      <c r="C101">
        <f>Sensitivity!C59</f>
        <v/>
      </c>
    </row>
    <row r="102">
      <c r="A102">
        <f>Sensitivity!A60</f>
        <v/>
      </c>
      <c r="B102">
        <f>Sensitivity!B60</f>
        <v/>
      </c>
      <c r="C102">
        <f>Sensitivity!C60</f>
        <v/>
      </c>
    </row>
    <row r="103">
      <c r="A103">
        <f>Sensitivity!A61</f>
        <v/>
      </c>
      <c r="B103">
        <f>Sensitivity!B61</f>
        <v/>
      </c>
      <c r="C103">
        <f>Sensitivity!C61</f>
        <v/>
      </c>
    </row>
    <row r="104">
      <c r="A104">
        <f>Sensitivity!A62</f>
        <v/>
      </c>
      <c r="B104">
        <f>Sensitivity!B62</f>
        <v/>
      </c>
      <c r="C104">
        <f>Sensitivity!C62</f>
        <v/>
      </c>
    </row>
    <row r="105">
      <c r="A105">
        <f>Sensitivity!A63</f>
        <v/>
      </c>
      <c r="B105">
        <f>Sensitivity!B63</f>
        <v/>
      </c>
      <c r="C105">
        <f>Sensitivity!C63</f>
        <v/>
      </c>
    </row>
    <row r="106">
      <c r="A106">
        <f>Sensitivity!A64</f>
        <v/>
      </c>
      <c r="B106">
        <f>Sensitivity!B64</f>
        <v/>
      </c>
      <c r="C106">
        <f>Sensitivity!C64</f>
        <v/>
      </c>
    </row>
    <row r="107">
      <c r="A107">
        <f>Sensitivity!A65</f>
        <v/>
      </c>
      <c r="B107">
        <f>Sensitivity!B65</f>
        <v/>
      </c>
      <c r="C107">
        <f>Sensitivity!C65</f>
        <v/>
      </c>
    </row>
    <row r="108">
      <c r="A108">
        <f>Sensitivity!A66</f>
        <v/>
      </c>
      <c r="B108">
        <f>Sensitivity!B66</f>
        <v/>
      </c>
      <c r="C108">
        <f>Sensitivity!C66</f>
        <v/>
      </c>
    </row>
    <row r="109">
      <c r="A109">
        <f>Sensitivity!A67</f>
        <v/>
      </c>
      <c r="B109">
        <f>Sensitivity!B67</f>
        <v/>
      </c>
      <c r="C109">
        <f>Sensitivity!C67</f>
        <v/>
      </c>
    </row>
    <row r="110">
      <c r="A110">
        <f>Sensitivity!A68</f>
        <v/>
      </c>
      <c r="B110">
        <f>Sensitivity!B68</f>
        <v/>
      </c>
      <c r="C110">
        <f>Sensitivity!C68</f>
        <v/>
      </c>
    </row>
    <row r="111">
      <c r="A111">
        <f>Sensitivity!A69</f>
        <v/>
      </c>
      <c r="B111">
        <f>Sensitivity!B69</f>
        <v/>
      </c>
      <c r="C111">
        <f>Sensitivity!C69</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cols>
    <col width="55" customWidth="1" min="1" max="1"/>
    <col width="16" customWidth="1" min="2" max="2"/>
  </cols>
  <sheetData>
    <row r="1">
      <c r="A1" s="4" t="inlineStr">
        <is>
          <t>Night Lord — Artifacts (Equip Effect)</t>
        </is>
      </c>
    </row>
    <row r="3">
      <c r="A3" t="inlineStr">
        <is>
          <t>Book of Ancient — Crit Damage (from Crit Rate, reference only)</t>
        </is>
      </c>
      <c r="B3">
        <f>IF(ArtifactsInput!$M$24,CHOOSE(ArtifactsInput!$N$24+1,30,36,42,48,54,60)/100*(Inputs!$B$9+B5+B29),0)</f>
        <v/>
      </c>
    </row>
    <row r="4">
      <c r="A4" t="inlineStr">
        <is>
          <t>Ring of Cycles — Threshold Crit Rate (excl. self)</t>
        </is>
      </c>
      <c r="B4">
        <f>Inputs!$B$9+B29</f>
        <v/>
      </c>
    </row>
    <row r="5">
      <c r="A5" t="inlineStr">
        <is>
          <t>Ring of Cycles — Crit Rate (if threshold &lt; 100%)</t>
        </is>
      </c>
      <c r="B5">
        <f>IF(AND(ArtifactsInput!$M$42,B4&lt;100),CHOOSE(ArtifactsInput!$N$42+1,30,36,42,48,54,60),0)</f>
        <v/>
      </c>
    </row>
    <row r="6">
      <c r="A6" t="inlineStr">
        <is>
          <t>Ring of Cycles — Skill Damage (if threshold &gt;= 100%)</t>
        </is>
      </c>
      <c r="B6">
        <f>IF(AND(ArtifactsInput!$M$42,B4&gt;=100),CHOOSE(ArtifactsInput!$N$42+1,40,48,56,64,72,80),0)</f>
        <v/>
      </c>
    </row>
    <row r="7">
      <c r="A7" t="inlineStr">
        <is>
          <t>Ring of Cycles — Excess-100% Points (capped at 100)</t>
        </is>
      </c>
      <c r="B7">
        <f>IF(AND(ArtifactsInput!$M$42,B4&gt;=100),MIN(100,B4-100),0)</f>
        <v/>
      </c>
    </row>
    <row r="8">
      <c r="A8" t="inlineStr">
        <is>
          <t>Ring of Cycles — Basic Attack Damage (excess points x per-point)</t>
        </is>
      </c>
      <c r="B8">
        <f>B7*CHOOSE(ArtifactsInput!$N$42+1,0.6,0.72,0.84,0.96,1.08,1.2)</f>
        <v/>
      </c>
    </row>
    <row r="9">
      <c r="A9" t="inlineStr">
        <is>
          <t>Candle — Effective Fight Duration</t>
        </is>
      </c>
      <c r="B9">
        <f>IF(Inputs!$B$39="pvp",15,Inputs!$B$44)</f>
        <v/>
      </c>
    </row>
    <row r="10">
      <c r="A10" t="inlineStr">
        <is>
          <t>Candle — Effective Active (fixed-duration or PvP)</t>
        </is>
      </c>
      <c r="B10">
        <f>IF(Inputs!$B$39="pvp",TRUE,AND(Inputs!$B$39&lt;&gt;"pvp",Inputs!$B$44&gt;0))</f>
        <v/>
      </c>
    </row>
    <row r="11">
      <c r="A11" t="inlineStr">
        <is>
          <t>Candle — Final Damage (100% uptime, patched)</t>
        </is>
      </c>
      <c r="B11">
        <f>IF(AND(ArtifactsInput!$M$36,B10),CHOOSE(ArtifactsInput!$N$36+1,8,9.6,11.2,12.8,14.4,16),0)</f>
        <v/>
      </c>
    </row>
    <row r="12">
      <c r="A12" t="inlineStr">
        <is>
          <t>Candle — Boss Monster Damage (20-40s window / boss-present-time uptime, patched)</t>
        </is>
      </c>
      <c r="B12">
        <f>IF(AND(ArtifactsInput!$M$36,B10),MAX(0,MIN(40,B9)-MAX(20,B41))/(B9-B41)*CHOOSE(ArtifactsInput!$N$36+1,30,36,42,48,54,60),0)</f>
        <v/>
      </c>
    </row>
    <row r="13">
      <c r="A13" t="inlineStr">
        <is>
          <t>Peach Tree Herb Pouch — Proc Rate (per second)</t>
        </is>
      </c>
      <c r="B13">
        <f>0.2*Summary!$B$20</f>
        <v/>
      </c>
    </row>
    <row r="14">
      <c r="A14" t="inlineStr">
        <is>
          <t>Peach Tree Herb Pouch — Uptime (refreshing 5s timer)</t>
        </is>
      </c>
      <c r="B14">
        <f>1-EXP(-B13*5)</f>
        <v/>
      </c>
    </row>
    <row r="15">
      <c r="A15" t="inlineStr">
        <is>
          <t>Peach Tree Herb Pouch — Enemy Damage Taken</t>
        </is>
      </c>
      <c r="B15">
        <f>IF(AND(ArtifactsInput!$M$35,Inputs!$B$4&lt;&gt;"Chapter Hunt"),CHOOSE(ArtifactsInput!$N$35+1,15,18,21,24,27,30)*B14,0)</f>
        <v/>
      </c>
    </row>
    <row r="16">
      <c r="A16" t="inlineStr">
        <is>
          <t>Silver Pendant — Offered Load (rho = lambda x duration)</t>
        </is>
      </c>
      <c r="B16">
        <f>0.15*Summary!$B$20*5</f>
        <v/>
      </c>
    </row>
    <row r="17">
      <c r="A17" t="inlineStr">
        <is>
          <t>Silver Pendant — Erlang Loss Weight (n=0)</t>
        </is>
      </c>
      <c r="B17">
        <f>B16^0/1</f>
        <v/>
      </c>
    </row>
    <row r="18">
      <c r="A18" t="inlineStr">
        <is>
          <t>Silver Pendant — Erlang Loss Weight (n=1)</t>
        </is>
      </c>
      <c r="B18">
        <f>B16^1/1</f>
        <v/>
      </c>
    </row>
    <row r="19">
      <c r="A19" t="inlineStr">
        <is>
          <t>Silver Pendant — Erlang Loss Weight (n=2)</t>
        </is>
      </c>
      <c r="B19">
        <f>B16^2/2</f>
        <v/>
      </c>
    </row>
    <row r="20">
      <c r="A20" t="inlineStr">
        <is>
          <t>Silver Pendant — Erlang Loss Weight (n=3)</t>
        </is>
      </c>
      <c r="B20">
        <f>B16^3/6</f>
        <v/>
      </c>
    </row>
    <row r="21">
      <c r="A21" t="inlineStr">
        <is>
          <t>Silver Pendant — Erlang Loss Weight (n=4)</t>
        </is>
      </c>
      <c r="B21">
        <f>B16^4/24</f>
        <v/>
      </c>
    </row>
    <row r="22">
      <c r="A22" t="inlineStr">
        <is>
          <t>Silver Pendant — Erlang Loss Weight (n=5)</t>
        </is>
      </c>
      <c r="B22">
        <f>B16^5/120</f>
        <v/>
      </c>
    </row>
    <row r="23">
      <c r="A23" t="inlineStr">
        <is>
          <t>Silver Pendant — Average Stacks (Erlang-loss mean)</t>
        </is>
      </c>
      <c r="B23">
        <f>(0*B17+1*B18+2*B19+3*B20+4*B21+5*B22)/(B17+B18+B19+B20+B21+B22)</f>
        <v/>
      </c>
    </row>
    <row r="24">
      <c r="A24" t="inlineStr">
        <is>
          <t>Silver Pendant — Enemy Damage Taken</t>
        </is>
      </c>
      <c r="B24">
        <f>IF(AND(ArtifactsInput!$M$22,Inputs!$B$4&lt;&gt;"Chapter Hunt"),CHOOSE(ArtifactsInput!$N$22+1,10,12,14,16,18,20)*B23,0)</f>
        <v/>
      </c>
    </row>
    <row r="25">
      <c r="A25" t="inlineStr">
        <is>
          <t>Athena Pierce's Old Gloves — Max Damage (from Attack Speed, reference only)</t>
        </is>
      </c>
      <c r="B25">
        <f>IF(ArtifactsInput!$M$15,CHOOSE(ArtifactsInput!$N$15+1,25,30,35,40,45,50)/100*Inputs!$B$11,0)</f>
        <v/>
      </c>
    </row>
    <row r="26">
      <c r="A26" t="inlineStr">
        <is>
          <t>Hexagon Necklace — Average Stacks</t>
        </is>
      </c>
      <c r="B26">
        <f>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f>
        <v/>
      </c>
    </row>
    <row r="27">
      <c r="A27" t="inlineStr">
        <is>
          <t>Hexagon Necklace — Damage %</t>
        </is>
      </c>
      <c r="B27">
        <f>IF(ArtifactsInput!$M$11,CHOOSE(ArtifactsInput!$N$11+1,15,18,21,24,27,30)*B26,0)</f>
        <v/>
      </c>
    </row>
    <row r="28">
      <c r="A28" t="inlineStr">
        <is>
          <t>Rainbow-colored Snail Shell — Uptime (0-15s window)</t>
        </is>
      </c>
      <c r="B28">
        <f>IF(Inputs!$B$39="pvp",MIN(15,15)/15,IF(AND(Inputs!$B$39&lt;&gt;"pvp",Inputs!$B$44&gt;0),MIN(15,Inputs!$B$44)/Inputs!$B$44,0))</f>
        <v/>
      </c>
    </row>
    <row r="29">
      <c r="A29" t="inlineStr">
        <is>
          <t>Rainbow-colored Snail Shell — Crit Rate</t>
        </is>
      </c>
      <c r="B29">
        <f>IF(ArtifactsInput!$M$10,CHOOSE(ArtifactsInput!$N$10+1,15,18,21,24,27,30)*B28,0)</f>
        <v/>
      </c>
    </row>
    <row r="30">
      <c r="A30" t="inlineStr">
        <is>
          <t>Rainbow-colored Snail Shell — Crit Damage</t>
        </is>
      </c>
      <c r="B30">
        <f>IF(ArtifactsInput!$M$10,CHOOSE(ArtifactsInput!$N$10+1,20,24,28,32,36,40)*B28,0)</f>
        <v/>
      </c>
    </row>
    <row r="32">
      <c r="A32" s="6" t="inlineStr">
        <is>
          <t>TOTAL — Artifact Crit Rate Bonus</t>
        </is>
      </c>
      <c r="B32" s="6">
        <f>B5+B29</f>
        <v/>
      </c>
    </row>
    <row r="33">
      <c r="A33" s="6" t="inlineStr">
        <is>
          <t>TOTAL — Artifact Crit Damage Bonus</t>
        </is>
      </c>
      <c r="B33" s="6">
        <f>B30+B47</f>
        <v/>
      </c>
    </row>
    <row r="34">
      <c r="A34" s="6" t="inlineStr">
        <is>
          <t>TOTAL — Artifact Final Damage Bonus (equivalent %, each real source combines MULTIPLICATIVELY — Candle x Flaming Lava x Horn Flute, not summed)</t>
        </is>
      </c>
      <c r="B34" s="6">
        <f>((1+B11/100)*(1+B46/100)*(1+B55/100)-1)*100</f>
        <v/>
      </c>
    </row>
    <row r="35">
      <c r="A35" s="6" t="inlineStr">
        <is>
          <t>TOTAL — Artifact Boss Monster Damage Bonus</t>
        </is>
      </c>
      <c r="B35" s="6">
        <f>B12+B60</f>
        <v/>
      </c>
    </row>
    <row r="36">
      <c r="A36" s="6" t="inlineStr">
        <is>
          <t>TOTAL — Artifact Enemy Damage Taken Bonus</t>
        </is>
      </c>
      <c r="B36" s="6">
        <f>B15+B24</f>
        <v/>
      </c>
    </row>
    <row r="38">
      <c r="A38" s="6" t="inlineStr">
        <is>
          <t>TOTAL — Artifact Damage Bonus (own separate final multiplier, like Magic Guard/Meditation's Average Buff Multiplier — not blended into Inputs!DAMAGE%)</t>
        </is>
      </c>
      <c r="B38" s="6">
        <f>B27</f>
        <v/>
      </c>
    </row>
    <row r="39">
      <c r="A39" s="6" t="inlineStr">
        <is>
          <t>TOTAL — Artifact Skill Damage Bonus</t>
        </is>
      </c>
      <c r="B39" s="6">
        <f>B6</f>
        <v/>
      </c>
    </row>
    <row r="40">
      <c r="A40" s="6" t="inlineStr">
        <is>
          <t>TOTAL — Artifact Basic Attack Damage Bonus</t>
        </is>
      </c>
      <c r="B40" s="6">
        <f>B8</f>
        <v/>
      </c>
    </row>
    <row r="41">
      <c r="A41" t="inlineStr">
        <is>
          <t>Candle — Boss Appear Time (Breakthrough/Hero Dungeon only)</t>
        </is>
      </c>
      <c r="B41">
        <f>IF(Inputs!$B$4="Breakthrough",20,IF(Inputs!$B$4="Hero Dungeon",30,0))</f>
        <v/>
      </c>
    </row>
    <row r="42">
      <c r="A42" t="inlineStr">
        <is>
          <t>Clear Spring Water — Final Damage (reference only, Growth Dungeon types)</t>
        </is>
      </c>
      <c r="B42">
        <f>IF(AND(ArtifactsInput!$M$14,OR(Inputs!$B$4="Weapon Dungeon",Inputs!$B$4="Equipment Dungeon",Inputs!$B$4="Enhancement Dungeon",Inputs!$B$4="EXP Dungeon",Inputs!$B$4="Hero Dungeon")),CHOOSE(ArtifactsInput!$N$14+1,10,12,14,16,18,20),0)</f>
        <v/>
      </c>
    </row>
    <row r="43">
      <c r="A43" t="inlineStr">
        <is>
          <t>Old Music Box — Attack % (content-type uptime assumption)</t>
        </is>
      </c>
      <c r="B43">
        <f>IF(ArtifactsInput!$M$21,CHOOSE(ArtifactsInput!$N$21+1,25,30,35,40,45,50)*(IF(OR(Inputs!$B$4="Chapter Hunt",Inputs!$B$4="Breakthrough",Inputs!$B$4="Weapon Dungeon",Inputs!$B$4="Equipment Dungeon",Inputs!$B$4="Enhancement Dungeon",Inputs!$B$4="EXP Dungeon",Inputs!$B$4="Hero Dungeon"),0,IF(OR(Inputs!$B$4="World Boss",Inputs!$B$4="PvP"),1,IF(Inputs!$B$4="Chapter Boss",60/70,0)))),0)</f>
        <v/>
      </c>
    </row>
    <row r="44">
      <c r="A44" t="inlineStr">
        <is>
          <t>Soul Contract — Skill Cooldown Decrease % (Chapter Hunt only)</t>
        </is>
      </c>
      <c r="B44">
        <f>IF(AND(ArtifactsInput!$M$27,Inputs!$B$4="Chapter Hunt"),CHOOSE(ArtifactsInput!$N$27+1,20,24,28,32,36,40),0)</f>
        <v/>
      </c>
    </row>
    <row r="45">
      <c r="A45" t="inlineStr">
        <is>
          <t>Soul Pouch — Final Damage (reference only, PvP/"Arena")</t>
        </is>
      </c>
      <c r="B45">
        <f>IF(AND(ArtifactsInput!$M$29,Inputs!$B$39="pvp"),CHOOSE(ArtifactsInput!$N$29+1,20,24,28,32,36,40),0)</f>
        <v/>
      </c>
    </row>
    <row r="46">
      <c r="A46" t="inlineStr">
        <is>
          <t>Flaming Lava — Final Damage (always assumes target is debuffed)</t>
        </is>
      </c>
      <c r="B46">
        <f>IF(AND(ArtifactsInput!$M$32,Inputs!$B$4&lt;&gt;"Chapter Hunt"),CHOOSE(ArtifactsInput!$N$32+1,8,9.6,11.2,12.8,14.4,16),0)</f>
        <v/>
      </c>
    </row>
    <row r="47">
      <c r="A47" t="inlineStr">
        <is>
          <t>Icy Soul Rock — Crit Damage (1.5x-averaged, MP not modeled)</t>
        </is>
      </c>
      <c r="B47">
        <f>IF(ArtifactsInput!$M$31,1.5*CHOOSE(ArtifactsInput!$N$31+1,20,24,28,32,36,40),0)</f>
        <v/>
      </c>
    </row>
    <row r="48">
      <c r="A48" t="inlineStr">
        <is>
          <t>Secret Map — Attack %</t>
        </is>
      </c>
      <c r="B48">
        <f>IF(ArtifactsInput!$M$41,CHOOSE(ArtifactsInput!$N$41+1,5,6,7,8,9,10),0)</f>
        <v/>
      </c>
    </row>
    <row r="49">
      <c r="A49" t="inlineStr">
        <is>
          <t>Secret Map — Final Damage (normal-monster branch only)</t>
        </is>
      </c>
      <c r="B49">
        <f>IF(AND(ArtifactsInput!$M$41,Inputs!$B$39&lt;&gt;"pvp"),CHOOSE(ArtifactsInput!$N$41+1,5,6,7,8,9,10)*IF(OR(Inputs!$B$4="Weapon Dungeon",Inputs!$B$4="Equipment Dungeon",Inputs!$B$4="Enhancement Dungeon",Inputs!$B$4="EXP Dungeon",Inputs!$B$4="Hero Dungeon"),3,1),0)</f>
        <v/>
      </c>
    </row>
    <row r="50">
      <c r="A50" t="inlineStr">
        <is>
          <t>Reindeer's Spear — Attack %</t>
        </is>
      </c>
      <c r="B50">
        <f>IF(ArtifactsInput!$M$40,CHOOSE(ArtifactsInput!$N$40+1,5,6,7,8,9,10),0)</f>
        <v/>
      </c>
    </row>
    <row r="51">
      <c r="A51" t="inlineStr">
        <is>
          <t>Reindeer's Spear — Base (1x) Defense Penetration (reference only)</t>
        </is>
      </c>
      <c r="B51">
        <f>IF(ArtifactsInput!$M$40,CHOOSE(ArtifactsInput!$N$40+1,5,6,7,8,9,10),0)</f>
        <v/>
      </c>
    </row>
    <row r="52">
      <c r="A52" s="6" t="inlineStr">
        <is>
          <t>TOTAL — Artifact Attack % Bonus (Old Music Box/Secret Map/Reindeer's Spear/Alliance Badge/Bottle of Emotion/Charm of the Undead — additive into the same bucket as Magic Guard/Meditation's Average Buff Multiplier)</t>
        </is>
      </c>
      <c r="B52" s="6">
        <f>B43+B48+B50+B58+B56+B71</f>
        <v/>
      </c>
    </row>
    <row r="53">
      <c r="A53" s="6" t="inlineStr">
        <is>
          <t>TOTAL — Artifact Final Damage Bonus, NORMAL-MONSTER BRANCH ONLY (Secret Map/Fire Flower/Chalice)</t>
        </is>
      </c>
      <c r="B53" s="6">
        <f>B49+B62+B65</f>
        <v/>
      </c>
    </row>
    <row r="54">
      <c r="A54" t="inlineStr">
        <is>
          <t>Cursed Doll — Final Damage (reference only)</t>
        </is>
      </c>
      <c r="B54">
        <f>IF(ArtifactsInput!$M$39,CHOOSE(ArtifactsInput!$N$39+1,7,8.4,9.8,11.2,12.6,14),0)</f>
        <v/>
      </c>
    </row>
    <row r="55">
      <c r="A55" t="inlineStr">
        <is>
          <t>Horn Flute — Final Damage (character's own portion only)</t>
        </is>
      </c>
      <c r="B55">
        <f>IF(AND(ArtifactsInput!$M$38,Inputs!$B$39&lt;&gt;"pvp",Inputs!$B$44&gt;0),CHOOSE(ArtifactsInput!$N$38+1,10,12,14,16,18,20)*(MIN(30,MAX(0,Inputs!$B$44-7))/Inputs!$B$44)*IF(Inputs!$B$4="Chapter Boss",2,1),0)</f>
        <v/>
      </c>
    </row>
    <row r="56">
      <c r="A56" t="inlineStr">
        <is>
          <t>Bottle of Emotion — Attack %</t>
        </is>
      </c>
      <c r="B56">
        <f>IF(ArtifactsInput!$M$34,CHOOSE(ArtifactsInput!$N$34+1,15,18,21,24,27,30),0)</f>
        <v/>
      </c>
    </row>
    <row r="57">
      <c r="A57" t="inlineStr">
        <is>
          <t>Bottle of Emotion — Final Damage from Attack Speed (reference only)</t>
        </is>
      </c>
      <c r="B57">
        <f>IF(ArtifactsInput!$M$34,MIN(CHOOSE(ArtifactsInput!$N$34+1,10,12,14,16,18,20),MAX(0,(CHOOSE(ArtifactsInput!$N$34+1,0.5,0.6,0.7,0.8,0.9,1)/3)*(Inputs!$B$11-60))),0)</f>
        <v/>
      </c>
    </row>
    <row r="58">
      <c r="A58" t="inlineStr">
        <is>
          <t>Alliance Badge — Attack %</t>
        </is>
      </c>
      <c r="B58">
        <f>IF(ArtifactsInput!$M$37,CHOOSE(ArtifactsInput!$N$37+1,10,12,14,16,18,20),0)</f>
        <v/>
      </c>
    </row>
    <row r="59">
      <c r="A59" t="inlineStr">
        <is>
          <t>Sayram's Necklace — Normal Monster Damage</t>
        </is>
      </c>
      <c r="B59">
        <f>IF(ArtifactsInput!$M$33,CHOOSE(ArtifactsInput!$N$33+1,30,36,42,48,54,60),0)</f>
        <v/>
      </c>
    </row>
    <row r="60">
      <c r="A60" t="inlineStr">
        <is>
          <t>Sayram's Necklace — Boss Monster Damage</t>
        </is>
      </c>
      <c r="B60">
        <f>IF(ArtifactsInput!$M$33,CHOOSE(ArtifactsInput!$N$33+1,10,12,14,16,18,20),0)</f>
        <v/>
      </c>
    </row>
    <row r="61">
      <c r="A61" t="inlineStr">
        <is>
          <t>Lit Lamp — Final Damage (reference only, World Boss)</t>
        </is>
      </c>
      <c r="B61">
        <f>IF(AND(ArtifactsInput!$M$28,Inputs!$B$4="World Boss"),CHOOSE(ArtifactsInput!$N$28+1,20,24,28,32,36,40),0)</f>
        <v/>
      </c>
    </row>
    <row r="62">
      <c r="A62" t="inlineStr">
        <is>
          <t>Fire Flower — Final Damage (normal-monster branch, 10 targets assumed)</t>
        </is>
      </c>
      <c r="B62">
        <f>IF(ArtifactsInput!$M$26,10*CHOOSE(ArtifactsInput!$N$26+1,1,1.2,1.4,1.6,1.8,2),0)</f>
        <v/>
      </c>
    </row>
    <row r="63">
      <c r="A63" t="inlineStr">
        <is>
          <t>Fire Flower — Final Damage (boss/PvP branch, 1 target assumed)</t>
        </is>
      </c>
      <c r="B63">
        <f>IF(ArtifactsInput!$M$26,1*CHOOSE(ArtifactsInput!$N$26+1,1,1.2,1.4,1.6,1.8,2),0)</f>
        <v/>
      </c>
    </row>
    <row r="64">
      <c r="A64" t="inlineStr">
        <is>
          <t>Star Rock — Boss Monster Damage (reference only)</t>
        </is>
      </c>
      <c r="B64">
        <f>IF(ArtifactsInput!$M$23,CHOOSE(ArtifactsInput!$N$23+1,50,60,70,80,90,100),0)</f>
        <v/>
      </c>
    </row>
    <row r="65">
      <c r="A65" t="inlineStr">
        <is>
          <t>Chalice — Final Damage (normal-monster branch)</t>
        </is>
      </c>
      <c r="B65">
        <f>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f>
        <v/>
      </c>
    </row>
    <row r="66">
      <c r="A66" t="inlineStr">
        <is>
          <t>Chalice — Final Damage (boss branch)</t>
        </is>
      </c>
      <c r="B66">
        <f>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f>
        <v/>
      </c>
    </row>
    <row r="69">
      <c r="A69" t="inlineStr">
        <is>
          <t>The Contract of Darkness — Crit Rate (boss branch only)</t>
        </is>
      </c>
      <c r="B69">
        <f>IF(AND(ArtifactsInput!$M$8,Inputs!$B$39&lt;&gt;"pvp"),CHOOSE(ArtifactsInput!$N$8+1,8,9.6,11.2,12.8,14.4,16),0)</f>
        <v/>
      </c>
    </row>
    <row r="70">
      <c r="A70" t="inlineStr">
        <is>
          <t>Shamaness Marble — Buff Duration Increase % (reference only)</t>
        </is>
      </c>
      <c r="B70">
        <f>IF(ArtifactsInput!$M$7,CHOOSE(ArtifactsInput!$N$7+1,6,7.2,8.4,9.6,10.8,12),0)</f>
        <v/>
      </c>
    </row>
    <row r="71">
      <c r="A71" t="inlineStr">
        <is>
          <t>Charm of the Undead — Attack % (periodic uptime)</t>
        </is>
      </c>
      <c r="B71">
        <f>IF(ArtifactsInput!$M$5,CHOOSE(ArtifactsInput!$N$5+1,10,12,14,16,18,20)*(IF(AND(Inputs!$B$39&lt;&gt;"pvp",Inputs!$B$44=0),0.5,(5*INT(MAX(0,IF(Inputs!$B$39="pvp",15,Inputs!$B$44)-10)/10)+MIN((MAX(0,IF(Inputs!$B$39="pvp",15,Inputs!$B$44)-10)-10*INT(MAX(0,IF(Inputs!$B$39="pvp",15,Inputs!$B$44)-10)/10)),5))/IF(Inputs!$B$39="pvp",15,Inputs!$B$44))),0)</f>
        <v/>
      </c>
    </row>
    <row r="72">
      <c r="A72" t="inlineStr">
        <is>
          <t>Ancient Text Piece — always 0 (Guild Conquest not modeled)</t>
        </is>
      </c>
      <c r="B72" t="n">
        <v>0</v>
      </c>
    </row>
    <row r="73">
      <c r="A73" t="inlineStr">
        <is>
          <t>Lunar Dew — always 0 (no attacking effect)</t>
        </is>
      </c>
      <c r="B73" t="n">
        <v>0</v>
      </c>
    </row>
    <row r="74">
      <c r="A74" t="inlineStr">
        <is>
          <t>Pink Bean's Giant Rib — always 0 (raid content not modeled)</t>
        </is>
      </c>
      <c r="B74" t="n">
        <v>0</v>
      </c>
    </row>
    <row r="75">
      <c r="A75" t="inlineStr">
        <is>
          <t>Horntail's Scale — always 0 (raid content not modeled)</t>
        </is>
      </c>
      <c r="B75" t="n">
        <v>0</v>
      </c>
    </row>
    <row r="76">
      <c r="A76" t="inlineStr">
        <is>
          <t>Zakum's Stone Piece — always 0 (raid content not modeled)</t>
        </is>
      </c>
      <c r="B76" t="n">
        <v>0</v>
      </c>
    </row>
    <row r="77">
      <c r="A77" t="inlineStr">
        <is>
          <t>Mushmom's Cap — always 0 (Accuracy-vs-Evasion not modeled)</t>
        </is>
      </c>
      <c r="B77" t="n">
        <v>0</v>
      </c>
    </row>
    <row r="78">
      <c r="A78" t="inlineStr">
        <is>
          <t>Arwen's Glass Shoes — always 0 (companions not modeled)</t>
        </is>
      </c>
      <c r="B78" t="n">
        <v>0</v>
      </c>
    </row>
    <row r="79">
      <c r="A79" t="inlineStr">
        <is>
          <t>Pig's Ribbon — always 0 (no attacking effect)</t>
        </is>
      </c>
      <c r="B79" t="n">
        <v>0</v>
      </c>
    </row>
    <row r="80">
      <c r="A80" s="6" t="inlineStr">
        <is>
          <t>TOTAL — Artifact Normal Monster Damage Bonus</t>
        </is>
      </c>
      <c r="B80" s="6">
        <f>B59</f>
        <v/>
      </c>
    </row>
    <row r="81">
      <c r="A81" s="6" t="inlineStr">
        <is>
          <t>TOTAL — Artifact Final Damage Bonus, BOSS BRANCH ONLY (Fire Flower/Chalice)</t>
        </is>
      </c>
      <c r="B81" s="6">
        <f>B63+B66</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3661"/>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 hidden="1" width="13" customWidth="1" min="27" max="27"/>
    <col hidden="1" width="13" customWidth="1" min="28" max="28"/>
    <col hidden="1" width="13" customWidth="1" min="29" max="29"/>
    <col hidden="1" width="13" customWidth="1" min="30" max="30"/>
    <col hidden="1" width="13" customWidth="1" min="31" max="31"/>
  </cols>
  <sheetData>
    <row r="1">
      <c r="A1" s="4" t="inlineStr">
        <is>
          <t>Marginal DPS per +1 (percentage point / skill level / flat point)</t>
        </is>
      </c>
    </row>
    <row r="2">
      <c r="A2" t="inlineStr">
        <is>
          <t>Attack Speed and Def Pen combine their +1 via the diminishing-returns formula (new = (1-(1-old/factor)*(1-inc/factor))*factor), not a flat add.</t>
        </is>
      </c>
    </row>
    <row r="4">
      <c r="A4" s="5" t="inlineStr">
        <is>
          <t>Stat</t>
        </is>
      </c>
      <c r="B4" s="5" t="inlineStr">
        <is>
          <t>Units per +1% DPS</t>
        </is>
      </c>
      <c r="C4" s="5" t="inlineStr">
        <is>
          <t>Type</t>
        </is>
      </c>
      <c r="D4" s="5" t="inlineStr">
        <is>
          <t>Current Value</t>
        </is>
      </c>
      <c r="E4" s="5" t="inlineStr">
        <is>
          <t>New Value</t>
        </is>
      </c>
      <c r="F4" s="5" t="inlineStr">
        <is>
          <t>Baseline Total DPS</t>
        </is>
      </c>
      <c r="G4" s="5" t="inlineStr">
        <is>
          <t>New Total DPS</t>
        </is>
      </c>
      <c r="H4" s="5" t="inlineStr">
        <is>
          <t>DPS Gain</t>
        </is>
      </c>
      <c r="I4" s="5" t="inlineStr">
        <is>
          <t>% Gain</t>
        </is>
      </c>
    </row>
    <row r="5">
      <c r="A5" t="inlineStr">
        <is>
          <t>Flat LUK</t>
        </is>
      </c>
      <c r="B5">
        <f>IFERROR(1/(I5-100),"n/a")</f>
        <v/>
      </c>
      <c r="C5" t="inlineStr">
        <is>
          <t>flat</t>
        </is>
      </c>
      <c r="D5">
        <f>Inputs!$B$12</f>
        <v/>
      </c>
      <c r="E5">
        <f>(Inputs!$B$12+1)</f>
        <v/>
      </c>
      <c r="F5">
        <f>Summary!$B$3</f>
        <v/>
      </c>
      <c r="G5">
        <f>B116</f>
        <v/>
      </c>
      <c r="H5">
        <f>Summary!$B$3*(((1-Summary!$B$11)*IFERROR(B118/Summary!$B$27,1)+Summary!$B$11*IFERROR(B119/Summary!$B$28,1))-1)</f>
        <v/>
      </c>
      <c r="I5">
        <f>((1-Summary!$B$11)*IFERROR(B118/Summary!$B$27,1)+Summary!$B$11*IFERROR(B119/Summary!$B$28,1))*100</f>
        <v/>
      </c>
    </row>
    <row r="6">
      <c r="A6" t="inlineStr">
        <is>
          <t>LUK %</t>
        </is>
      </c>
      <c r="B6">
        <f>IFERROR(1/(I6-100),"n/a")</f>
        <v/>
      </c>
      <c r="C6" t="inlineStr">
        <is>
          <t>pct</t>
        </is>
      </c>
      <c r="D6">
        <f>Inputs!$B$13</f>
        <v/>
      </c>
      <c r="E6">
        <f>(Inputs!$B$13+1)</f>
        <v/>
      </c>
      <c r="F6">
        <f>Summary!$B$3</f>
        <v/>
      </c>
      <c r="G6">
        <f>B165</f>
        <v/>
      </c>
      <c r="H6">
        <f>Summary!$B$3*(((1-Summary!$B$11)*IFERROR(B167/Summary!$B$27,1)+Summary!$B$11*IFERROR(B168/Summary!$B$28,1))-1)</f>
        <v/>
      </c>
      <c r="I6">
        <f>((1-Summary!$B$11)*IFERROR(B167/Summary!$B$27,1)+Summary!$B$11*IFERROR(B168/Summary!$B$28,1))*100</f>
        <v/>
      </c>
    </row>
    <row r="7">
      <c r="A7" t="inlineStr">
        <is>
          <t>DEX</t>
        </is>
      </c>
      <c r="B7">
        <f>IFERROR(1/(I7-100),"n/a")</f>
        <v/>
      </c>
      <c r="C7" t="inlineStr">
        <is>
          <t>flat</t>
        </is>
      </c>
      <c r="D7">
        <f>Inputs!$B$14</f>
        <v/>
      </c>
      <c r="E7">
        <f>(Inputs!$B$14+1)</f>
        <v/>
      </c>
      <c r="F7">
        <f>Summary!$B$3</f>
        <v/>
      </c>
      <c r="G7">
        <f>B214</f>
        <v/>
      </c>
      <c r="H7">
        <f>Summary!$B$3*(((1-Summary!$B$11)*IFERROR(B216/Summary!$B$27,1)+Summary!$B$11*IFERROR(B217/Summary!$B$28,1))-1)</f>
        <v/>
      </c>
      <c r="I7">
        <f>((1-Summary!$B$11)*IFERROR(B216/Summary!$B$27,1)+Summary!$B$11*IFERROR(B217/Summary!$B$28,1))*100</f>
        <v/>
      </c>
    </row>
    <row r="8">
      <c r="A8" t="inlineStr">
        <is>
          <t>DAMAGE %</t>
        </is>
      </c>
      <c r="B8">
        <f>IFERROR(1/(I8-100),"n/a")</f>
        <v/>
      </c>
      <c r="C8" t="inlineStr">
        <is>
          <t>pct</t>
        </is>
      </c>
      <c r="D8">
        <f>Inputs!$B$15</f>
        <v/>
      </c>
      <c r="E8">
        <f>(Inputs!$B$15+1)</f>
        <v/>
      </c>
      <c r="F8">
        <f>Summary!$B$3</f>
        <v/>
      </c>
      <c r="G8">
        <f>B263</f>
        <v/>
      </c>
      <c r="H8">
        <f>Summary!$B$3*(((1-Summary!$B$11)*IFERROR(B265/Summary!$B$27,1)+Summary!$B$11*IFERROR(B266/Summary!$B$28,1))-1)</f>
        <v/>
      </c>
      <c r="I8">
        <f>((1-Summary!$B$11)*IFERROR(B265/Summary!$B$27,1)+Summary!$B$11*IFERROR(B266/Summary!$B$28,1))*100</f>
        <v/>
      </c>
    </row>
    <row r="9">
      <c r="A9" t="inlineStr">
        <is>
          <t>DAMAGE_AMP %</t>
        </is>
      </c>
      <c r="B9">
        <f>IFERROR(1/(I9-100),"n/a")</f>
        <v/>
      </c>
      <c r="C9" t="inlineStr">
        <is>
          <t>pct</t>
        </is>
      </c>
      <c r="D9">
        <f>Inputs!$B$16</f>
        <v/>
      </c>
      <c r="E9">
        <f>(Inputs!$B$16+1)</f>
        <v/>
      </c>
      <c r="F9">
        <f>Summary!$B$3</f>
        <v/>
      </c>
      <c r="G9">
        <f>B312</f>
        <v/>
      </c>
      <c r="H9">
        <f>Summary!$B$3*(((1-Summary!$B$11)*IFERROR(B314/Summary!$B$27,1)+Summary!$B$11*IFERROR(B315/Summary!$B$28,1))-1)</f>
        <v/>
      </c>
      <c r="I9">
        <f>((1-Summary!$B$11)*IFERROR(B314/Summary!$B$27,1)+Summary!$B$11*IFERROR(B315/Summary!$B$28,1))*100</f>
        <v/>
      </c>
    </row>
    <row r="10">
      <c r="A10" t="inlineStr">
        <is>
          <t>BOSS_DAMAGE %</t>
        </is>
      </c>
      <c r="B10">
        <f>IFERROR(1/(I10-100),"n/a")</f>
        <v/>
      </c>
      <c r="C10" t="inlineStr">
        <is>
          <t>pct</t>
        </is>
      </c>
      <c r="D10">
        <f>Inputs!$B$20</f>
        <v/>
      </c>
      <c r="E10">
        <f>(Inputs!$B$20+1)</f>
        <v/>
      </c>
      <c r="F10">
        <f>Summary!$B$3</f>
        <v/>
      </c>
      <c r="G10">
        <f>B361</f>
        <v/>
      </c>
      <c r="H10">
        <f>Summary!$B$3*(((1-Summary!$B$11)*IFERROR(B363/Summary!$B$27,1)+Summary!$B$11*IFERROR(B364/Summary!$B$28,1))-1)</f>
        <v/>
      </c>
      <c r="I10">
        <f>((1-Summary!$B$11)*IFERROR(B363/Summary!$B$27,1)+Summary!$B$11*IFERROR(B364/Summary!$B$28,1))*100</f>
        <v/>
      </c>
    </row>
    <row r="11">
      <c r="A11" t="inlineStr">
        <is>
          <t>NORMAL_DAMAGE %</t>
        </is>
      </c>
      <c r="B11">
        <f>IFERROR(1/(I11-100),"n/a")</f>
        <v/>
      </c>
      <c r="C11" t="inlineStr">
        <is>
          <t>pct</t>
        </is>
      </c>
      <c r="D11">
        <f>Inputs!$B$21</f>
        <v/>
      </c>
      <c r="E11">
        <f>(Inputs!$B$21+1)</f>
        <v/>
      </c>
      <c r="F11">
        <f>Summary!$B$3</f>
        <v/>
      </c>
      <c r="G11">
        <f>B410</f>
        <v/>
      </c>
      <c r="H11">
        <f>Summary!$B$3*(((1-Summary!$B$11)*IFERROR(B412/Summary!$B$27,1)+Summary!$B$11*IFERROR(B413/Summary!$B$28,1))-1)</f>
        <v/>
      </c>
      <c r="I11">
        <f>((1-Summary!$B$11)*IFERROR(B412/Summary!$B$27,1)+Summary!$B$11*IFERROR(B413/Summary!$B$28,1))*100</f>
        <v/>
      </c>
    </row>
    <row r="12">
      <c r="A12" t="inlineStr">
        <is>
          <t>FINAL_DAMAGE % (multiplicative source)</t>
        </is>
      </c>
      <c r="B12">
        <f>IFERROR(1/(I12-100),"n/a")</f>
        <v/>
      </c>
      <c r="C12" t="inlineStr">
        <is>
          <t>mult</t>
        </is>
      </c>
      <c r="D12">
        <f>Inputs!$B$24</f>
        <v/>
      </c>
      <c r="E12">
        <f>((((1+Inputs!$B$24/100)*(1.01))-1)*100)</f>
        <v/>
      </c>
      <c r="F12">
        <f>Summary!$B$3</f>
        <v/>
      </c>
      <c r="G12">
        <f>B459</f>
        <v/>
      </c>
      <c r="H12">
        <f>Summary!$B$3*(((1-Summary!$B$11)*IFERROR(B461/Summary!$B$27,1)+Summary!$B$11*IFERROR(B462/Summary!$B$28,1))-1)</f>
        <v/>
      </c>
      <c r="I12">
        <f>((1-Summary!$B$11)*IFERROR(B461/Summary!$B$27,1)+Summary!$B$11*IFERROR(B462/Summary!$B$28,1))*100</f>
        <v/>
      </c>
    </row>
    <row r="13">
      <c r="A13" t="inlineStr">
        <is>
          <t>MIN_DAMAGE %</t>
        </is>
      </c>
      <c r="B13">
        <f>IFERROR(1/(I13-100),"n/a")</f>
        <v/>
      </c>
      <c r="C13" t="inlineStr">
        <is>
          <t>pct</t>
        </is>
      </c>
      <c r="D13">
        <f>Inputs!$B$22</f>
        <v/>
      </c>
      <c r="E13">
        <f>(Inputs!$B$22+1)</f>
        <v/>
      </c>
      <c r="F13">
        <f>Summary!$B$3</f>
        <v/>
      </c>
      <c r="G13">
        <f>B508</f>
        <v/>
      </c>
      <c r="H13">
        <f>Summary!$B$3*(((1-Summary!$B$11)*IFERROR(B510/Summary!$B$27,1)+Summary!$B$11*IFERROR(B511/Summary!$B$28,1))-1)</f>
        <v/>
      </c>
      <c r="I13">
        <f>((1-Summary!$B$11)*IFERROR(B510/Summary!$B$27,1)+Summary!$B$11*IFERROR(B511/Summary!$B$28,1))*100</f>
        <v/>
      </c>
    </row>
    <row r="14">
      <c r="A14" t="inlineStr">
        <is>
          <t>MAX_DAMAGE %</t>
        </is>
      </c>
      <c r="B14">
        <f>IFERROR(1/(I14-100),"n/a")</f>
        <v/>
      </c>
      <c r="C14" t="inlineStr">
        <is>
          <t>pct</t>
        </is>
      </c>
      <c r="D14">
        <f>Inputs!$B$23</f>
        <v/>
      </c>
      <c r="E14">
        <f>(Inputs!$B$23+1)</f>
        <v/>
      </c>
      <c r="F14">
        <f>Summary!$B$3</f>
        <v/>
      </c>
      <c r="G14">
        <f>B557</f>
        <v/>
      </c>
      <c r="H14">
        <f>Summary!$B$3*(((1-Summary!$B$11)*IFERROR(B559/Summary!$B$27,1)+Summary!$B$11*IFERROR(B560/Summary!$B$28,1))-1)</f>
        <v/>
      </c>
      <c r="I14">
        <f>((1-Summary!$B$11)*IFERROR(B559/Summary!$B$27,1)+Summary!$B$11*IFERROR(B560/Summary!$B$28,1))*100</f>
        <v/>
      </c>
    </row>
    <row r="15">
      <c r="A15" t="inlineStr">
        <is>
          <t>CRIT_RATE %</t>
        </is>
      </c>
      <c r="B15">
        <f>IFERROR(1/(I15-100),"n/a")</f>
        <v/>
      </c>
      <c r="C15" t="inlineStr">
        <is>
          <t>pct</t>
        </is>
      </c>
      <c r="D15">
        <f>Inputs!$B$9</f>
        <v/>
      </c>
      <c r="E15">
        <f>(Inputs!$B$9+1)</f>
        <v/>
      </c>
      <c r="F15">
        <f>Summary!$B$3</f>
        <v/>
      </c>
      <c r="G15">
        <f>B606</f>
        <v/>
      </c>
      <c r="H15">
        <f>Summary!$B$3*(((1-Summary!$B$11)*IFERROR(B608/Summary!$B$27,1)+Summary!$B$11*IFERROR(B609/Summary!$B$28,1))-1)</f>
        <v/>
      </c>
      <c r="I15">
        <f>((1-Summary!$B$11)*IFERROR(B608/Summary!$B$27,1)+Summary!$B$11*IFERROR(B609/Summary!$B$28,1))*100</f>
        <v/>
      </c>
    </row>
    <row r="16">
      <c r="A16" t="inlineStr">
        <is>
          <t>CRIT_DAMAGE %</t>
        </is>
      </c>
      <c r="B16">
        <f>IFERROR(1/(I16-100),"n/a")</f>
        <v/>
      </c>
      <c r="C16" t="inlineStr">
        <is>
          <t>pct</t>
        </is>
      </c>
      <c r="D16">
        <f>Inputs!$B$10</f>
        <v/>
      </c>
      <c r="E16">
        <f>(Inputs!$B$10+1)</f>
        <v/>
      </c>
      <c r="F16">
        <f>Summary!$B$3</f>
        <v/>
      </c>
      <c r="G16">
        <f>B655</f>
        <v/>
      </c>
      <c r="H16">
        <f>Summary!$B$3*(((1-Summary!$B$11)*IFERROR(B657/Summary!$B$27,1)+Summary!$B$11*IFERROR(B658/Summary!$B$28,1))-1)</f>
        <v/>
      </c>
      <c r="I16">
        <f>((1-Summary!$B$11)*IFERROR(B657/Summary!$B$27,1)+Summary!$B$11*IFERROR(B658/Summary!$B$28,1))*100</f>
        <v/>
      </c>
    </row>
    <row r="17">
      <c r="A17" t="inlineStr">
        <is>
          <t>ATTACK_SPEED % (diminishing returns, factor 150)</t>
        </is>
      </c>
      <c r="B17">
        <f>IFERROR(1/(I17-100),"n/a")</f>
        <v/>
      </c>
      <c r="C17" t="inlineStr">
        <is>
          <t>dr150</t>
        </is>
      </c>
      <c r="D17">
        <f>Inputs!$B$11</f>
        <v/>
      </c>
      <c r="E17">
        <f>((1-(1-Inputs!$B$11/150)*(1-1/150))*150)</f>
        <v/>
      </c>
      <c r="F17">
        <f>Summary!$B$3</f>
        <v/>
      </c>
      <c r="G17">
        <f>B704</f>
        <v/>
      </c>
      <c r="H17">
        <f>Summary!$B$3*(((1-Summary!$B$11)*IFERROR(B706/Summary!$B$27,1)+Summary!$B$11*IFERROR(B707/Summary!$B$28,1))-1)</f>
        <v/>
      </c>
      <c r="I17">
        <f>((1-Summary!$B$11)*IFERROR(B706/Summary!$B$27,1)+Summary!$B$11*IFERROR(B707/Summary!$B$28,1))*100</f>
        <v/>
      </c>
    </row>
    <row r="18">
      <c r="A18" t="inlineStr">
        <is>
          <t>DEF_PEN % (diminishing returns, factor 100)</t>
        </is>
      </c>
      <c r="B18">
        <f>IFERROR(1/(I18-100),"n/a")</f>
        <v/>
      </c>
      <c r="C18" t="inlineStr">
        <is>
          <t>dr100</t>
        </is>
      </c>
      <c r="D18">
        <f>Inputs!$B$19</f>
        <v/>
      </c>
      <c r="E18">
        <f>((1-(1-Inputs!$B$19/100)*(1-1/100))*100)</f>
        <v/>
      </c>
      <c r="F18">
        <f>Summary!$B$3</f>
        <v/>
      </c>
      <c r="G18">
        <f>B753</f>
        <v/>
      </c>
      <c r="H18">
        <f>Summary!$B$3*(((1-Summary!$B$11)*IFERROR(B755/Summary!$B$27,1)+Summary!$B$11*IFERROR(B756/Summary!$B$28,1))-1)</f>
        <v/>
      </c>
      <c r="I18">
        <f>((1-Summary!$B$11)*IFERROR(B755/Summary!$B$27,1)+Summary!$B$11*IFERROR(B756/Summary!$B$28,1))*100</f>
        <v/>
      </c>
    </row>
    <row r="19">
      <c r="A19" t="inlineStr">
        <is>
          <t>BASIC_ATTACK_DAMAGE %</t>
        </is>
      </c>
      <c r="B19">
        <f>IFERROR(1/(I19-100),"n/a")</f>
        <v/>
      </c>
      <c r="C19" t="inlineStr">
        <is>
          <t>pct</t>
        </is>
      </c>
      <c r="D19">
        <f>Inputs!$B$17</f>
        <v/>
      </c>
      <c r="E19">
        <f>(Inputs!$B$17+1)</f>
        <v/>
      </c>
      <c r="F19">
        <f>Summary!$B$3</f>
        <v/>
      </c>
      <c r="G19">
        <f>B802</f>
        <v/>
      </c>
      <c r="H19">
        <f>Summary!$B$3*(((1-Summary!$B$11)*IFERROR(B804/Summary!$B$27,1)+Summary!$B$11*IFERROR(B805/Summary!$B$28,1))-1)</f>
        <v/>
      </c>
      <c r="I19">
        <f>((1-Summary!$B$11)*IFERROR(B804/Summary!$B$27,1)+Summary!$B$11*IFERROR(B805/Summary!$B$28,1))*100</f>
        <v/>
      </c>
    </row>
    <row r="20">
      <c r="A20" t="inlineStr">
        <is>
          <t>SKILL_DAMAGE %</t>
        </is>
      </c>
      <c r="B20">
        <f>IFERROR(1/(I20-100),"n/a")</f>
        <v/>
      </c>
      <c r="C20" t="inlineStr">
        <is>
          <t>pct</t>
        </is>
      </c>
      <c r="D20">
        <f>Inputs!$B$18</f>
        <v/>
      </c>
      <c r="E20">
        <f>(Inputs!$B$18+1)</f>
        <v/>
      </c>
      <c r="F20">
        <f>Summary!$B$3</f>
        <v/>
      </c>
      <c r="G20">
        <f>B851</f>
        <v/>
      </c>
      <c r="H20">
        <f>Summary!$B$3*(((1-Summary!$B$11)*IFERROR(B853/Summary!$B$27,1)+Summary!$B$11*IFERROR(B854/Summary!$B$28,1))-1)</f>
        <v/>
      </c>
      <c r="I20">
        <f>((1-Summary!$B$11)*IFERROR(B853/Summary!$B$27,1)+Summary!$B$11*IFERROR(B854/Summary!$B$28,1))*100</f>
        <v/>
      </c>
    </row>
    <row r="21">
      <c r="A21" t="inlineStr">
        <is>
          <t>Skill Level Bonus — 1st Job</t>
        </is>
      </c>
      <c r="B21">
        <f>IFERROR(1/(I21-100),"n/a")</f>
        <v/>
      </c>
      <c r="C21" t="inlineStr">
        <is>
          <t>level</t>
        </is>
      </c>
      <c r="D21">
        <f>Inputs!$B$25</f>
        <v/>
      </c>
      <c r="E21">
        <f>(Inputs!$B$25+1)</f>
        <v/>
      </c>
      <c r="F21">
        <f>Summary!$B$3</f>
        <v/>
      </c>
      <c r="G21">
        <f>B900</f>
        <v/>
      </c>
      <c r="H21">
        <f>Summary!$B$3*(((1-Summary!$B$11)*IFERROR(B902/Summary!$B$27,1)+Summary!$B$11*IFERROR(B903/Summary!$B$28,1))-1)</f>
        <v/>
      </c>
      <c r="I21">
        <f>((1-Summary!$B$11)*IFERROR(B902/Summary!$B$27,1)+Summary!$B$11*IFERROR(B903/Summary!$B$28,1))*100</f>
        <v/>
      </c>
    </row>
    <row r="22">
      <c r="A22" t="inlineStr">
        <is>
          <t>Skill Level Bonus — 2nd Job</t>
        </is>
      </c>
      <c r="B22">
        <f>IFERROR(1/(I22-100),"n/a")</f>
        <v/>
      </c>
      <c r="C22" t="inlineStr">
        <is>
          <t>level</t>
        </is>
      </c>
      <c r="D22">
        <f>Inputs!$B$26</f>
        <v/>
      </c>
      <c r="E22">
        <f>(Inputs!$B$26+1)</f>
        <v/>
      </c>
      <c r="F22">
        <f>Summary!$B$3</f>
        <v/>
      </c>
      <c r="G22">
        <f>B949</f>
        <v/>
      </c>
      <c r="H22">
        <f>Summary!$B$3*(((1-Summary!$B$11)*IFERROR(B951/Summary!$B$27,1)+Summary!$B$11*IFERROR(B952/Summary!$B$28,1))-1)</f>
        <v/>
      </c>
      <c r="I22">
        <f>((1-Summary!$B$11)*IFERROR(B951/Summary!$B$27,1)+Summary!$B$11*IFERROR(B952/Summary!$B$28,1))*100</f>
        <v/>
      </c>
    </row>
    <row r="23">
      <c r="A23" t="inlineStr">
        <is>
          <t>Skill Level Bonus — 3rd Job</t>
        </is>
      </c>
      <c r="B23">
        <f>IFERROR(1/(I23-100),"n/a")</f>
        <v/>
      </c>
      <c r="C23" t="inlineStr">
        <is>
          <t>level</t>
        </is>
      </c>
      <c r="D23">
        <f>Inputs!$B$27</f>
        <v/>
      </c>
      <c r="E23">
        <f>(Inputs!$B$27+1)</f>
        <v/>
      </c>
      <c r="F23">
        <f>Summary!$B$3</f>
        <v/>
      </c>
      <c r="G23">
        <f>B998</f>
        <v/>
      </c>
      <c r="H23">
        <f>Summary!$B$3*(((1-Summary!$B$11)*IFERROR(B1000/Summary!$B$27,1)+Summary!$B$11*IFERROR(B1001/Summary!$B$28,1))-1)</f>
        <v/>
      </c>
      <c r="I23">
        <f>((1-Summary!$B$11)*IFERROR(B1000/Summary!$B$27,1)+Summary!$B$11*IFERROR(B1001/Summary!$B$28,1))*100</f>
        <v/>
      </c>
    </row>
    <row r="24">
      <c r="A24" t="inlineStr">
        <is>
          <t>Skill Level Bonus — 4th Job</t>
        </is>
      </c>
      <c r="B24">
        <f>IFERROR(1/(I24-100),"n/a")</f>
        <v/>
      </c>
      <c r="C24" t="inlineStr">
        <is>
          <t>level</t>
        </is>
      </c>
      <c r="D24">
        <f>Inputs!$B$28</f>
        <v/>
      </c>
      <c r="E24">
        <f>(Inputs!$B$28+1)</f>
        <v/>
      </c>
      <c r="F24">
        <f>Summary!$B$3</f>
        <v/>
      </c>
      <c r="G24">
        <f>B1047</f>
        <v/>
      </c>
      <c r="H24">
        <f>Summary!$B$3*(((1-Summary!$B$11)*IFERROR(B1049/Summary!$B$27,1)+Summary!$B$11*IFERROR(B1050/Summary!$B$28,1))-1)</f>
        <v/>
      </c>
      <c r="I24">
        <f>((1-Summary!$B$11)*IFERROR(B1049/Summary!$B$27,1)+Summary!$B$11*IFERROR(B1050/Summary!$B$28,1))*100</f>
        <v/>
      </c>
    </row>
    <row r="25">
      <c r="A25" t="inlineStr">
        <is>
          <t>Skill Level Bonus — All Skills</t>
        </is>
      </c>
      <c r="B25">
        <f>IFERROR(1/(I25-100),"n/a")</f>
        <v/>
      </c>
      <c r="C25" t="inlineStr">
        <is>
          <t>level</t>
        </is>
      </c>
      <c r="D25">
        <f>Inputs!$B$29</f>
        <v/>
      </c>
      <c r="E25">
        <f>(Inputs!$B$29+1)</f>
        <v/>
      </c>
      <c r="F25">
        <f>Summary!$B$3</f>
        <v/>
      </c>
      <c r="G25">
        <f>B1096</f>
        <v/>
      </c>
      <c r="H25">
        <f>Summary!$B$3*(((1-Summary!$B$11)*IFERROR(B1098/Summary!$B$27,1)+Summary!$B$11*IFERROR(B1099/Summary!$B$28,1))-1)</f>
        <v/>
      </c>
      <c r="I25">
        <f>((1-Summary!$B$11)*IFERROR(B1098/Summary!$B$27,1)+Summary!$B$11*IFERROR(B1099/Summary!$B$28,1))*100</f>
        <v/>
      </c>
    </row>
    <row r="26">
      <c r="A26" t="inlineStr">
        <is>
          <t>Flat ATTACK</t>
        </is>
      </c>
      <c r="B26">
        <f>IFERROR(1/(I26-100),"n/a")</f>
        <v/>
      </c>
      <c r="C26" t="inlineStr">
        <is>
          <t>flat</t>
        </is>
      </c>
      <c r="D26">
        <f>Inputs!$B$6</f>
        <v/>
      </c>
      <c r="E26">
        <f>(Inputs!$B$6+1)</f>
        <v/>
      </c>
      <c r="F26">
        <f>Summary!$B$3</f>
        <v/>
      </c>
      <c r="G26">
        <f>B1145</f>
        <v/>
      </c>
      <c r="H26">
        <f>Summary!$B$3*(((1-Summary!$B$11)*IFERROR(B1147/Summary!$B$27,1)+Summary!$B$11*IFERROR(B1148/Summary!$B$28,1))-1)</f>
        <v/>
      </c>
      <c r="I26">
        <f>((1-Summary!$B$11)*IFERROR(B1147/Summary!$B$27,1)+Summary!$B$11*IFERROR(B1148/Summary!$B$28,1))*100</f>
        <v/>
      </c>
    </row>
    <row r="27">
      <c r="A27" t="inlineStr">
        <is>
          <t>ATTACK %</t>
        </is>
      </c>
      <c r="B27">
        <f>IFERROR(1/(I27-100),"n/a")</f>
        <v/>
      </c>
      <c r="C27" t="inlineStr">
        <is>
          <t>pct</t>
        </is>
      </c>
      <c r="D27">
        <f>Inputs!$B$7</f>
        <v/>
      </c>
      <c r="E27">
        <f>(Inputs!$B$7+1)</f>
        <v/>
      </c>
      <c r="F27">
        <f>Summary!$B$3</f>
        <v/>
      </c>
      <c r="G27">
        <f>B1194</f>
        <v/>
      </c>
      <c r="H27">
        <f>Summary!$B$3*(((1-Summary!$B$11)*IFERROR(B1196/Summary!$B$27,1)+Summary!$B$11*IFERROR(B1197/Summary!$B$28,1))-1)</f>
        <v/>
      </c>
      <c r="I27">
        <f>((1-Summary!$B$11)*IFERROR(B1196/Summary!$B$27,1)+Summary!$B$11*IFERROR(B1197/Summary!$B$28,1))*100</f>
        <v/>
      </c>
    </row>
    <row r="28">
      <c r="A28" t="inlineStr">
        <is>
          <t>Skill Cooldown Decrease (seconds)</t>
        </is>
      </c>
      <c r="B28">
        <f>IFERROR(1/(I28-100),"n/a")</f>
        <v/>
      </c>
      <c r="C28" t="inlineStr">
        <is>
          <t>flat</t>
        </is>
      </c>
      <c r="D28">
        <f>Inputs!$B$32</f>
        <v/>
      </c>
      <c r="E28">
        <f>(Inputs!$B$32+1)</f>
        <v/>
      </c>
      <c r="F28">
        <f>Summary!$B$3</f>
        <v/>
      </c>
      <c r="G28">
        <f>B1243</f>
        <v/>
      </c>
      <c r="H28">
        <f>Summary!$B$3*(((1-Summary!$B$11)*IFERROR(B1245/Summary!$B$27,1)+Summary!$B$11*IFERROR(B1246/Summary!$B$28,1))-1)</f>
        <v/>
      </c>
      <c r="I28">
        <f>((1-Summary!$B$11)*IFERROR(B1245/Summary!$B$27,1)+Summary!$B$11*IFERROR(B1246/Summary!$B$28,1))*100</f>
        <v/>
      </c>
    </row>
    <row r="29">
      <c r="A29" t="inlineStr">
        <is>
          <t>Basic Attack Target Increase (flat)</t>
        </is>
      </c>
      <c r="B29">
        <f>IFERROR(1/(I29-100),"n/a")</f>
        <v/>
      </c>
      <c r="C29" t="inlineStr">
        <is>
          <t>flat</t>
        </is>
      </c>
      <c r="D29">
        <f>Inputs!$B$33</f>
        <v/>
      </c>
      <c r="E29">
        <f>(Inputs!$B$33+1)</f>
        <v/>
      </c>
      <c r="F29">
        <f>Summary!$B$3</f>
        <v/>
      </c>
      <c r="G29">
        <f>B1292</f>
        <v/>
      </c>
      <c r="H29">
        <f>Summary!$B$3*(((1-Summary!$B$11)*IFERROR(B1294/Summary!$B$27,1)+Summary!$B$11*IFERROR(B1295/Summary!$B$28,1))-1)</f>
        <v/>
      </c>
      <c r="I29">
        <f>((1-Summary!$B$11)*IFERROR(B1294/Summary!$B$27,1)+Summary!$B$11*IFERROR(B1295/Summary!$B$28,1))*100</f>
        <v/>
      </c>
    </row>
    <row r="30">
      <c r="A30" t="inlineStr">
        <is>
          <t>Buff Duration Increase %</t>
        </is>
      </c>
      <c r="B30">
        <f>IFERROR(1/(I30-100),"n/a")</f>
        <v/>
      </c>
      <c r="C30" t="inlineStr">
        <is>
          <t>pct</t>
        </is>
      </c>
      <c r="D30">
        <f>Inputs!$B$34</f>
        <v/>
      </c>
      <c r="E30">
        <f>(Inputs!$B$34+1)</f>
        <v/>
      </c>
      <c r="F30">
        <f>Summary!$B$3</f>
        <v/>
      </c>
      <c r="G30">
        <f>B1341</f>
        <v/>
      </c>
      <c r="H30">
        <f>Summary!$B$3*(((1-Summary!$B$11)*IFERROR(B1343/Summary!$B$27,1)+Summary!$B$11*IFERROR(B1344/Summary!$B$28,1))-1)</f>
        <v/>
      </c>
      <c r="I30">
        <f>((1-Summary!$B$11)*IFERROR(B1343/Summary!$B$27,1)+Summary!$B$11*IFERROR(B1344/Summary!$B$28,1))*100</f>
        <v/>
      </c>
    </row>
    <row r="31">
      <c r="A31" t="inlineStr">
        <is>
          <t>Incoming Hit Rate (hits/sec, Shadow Shifter only)</t>
        </is>
      </c>
      <c r="B31">
        <f>IFERROR(1/(I31-100),"n/a")</f>
        <v/>
      </c>
      <c r="C31" t="inlineStr">
        <is>
          <t>flat</t>
        </is>
      </c>
      <c r="D31">
        <f>Inputs!$B$38</f>
        <v/>
      </c>
      <c r="E31">
        <f>(Inputs!$B$38+1)</f>
        <v/>
      </c>
      <c r="F31">
        <f>Summary!$B$3</f>
        <v/>
      </c>
      <c r="G31">
        <f>B1390</f>
        <v/>
      </c>
      <c r="H31">
        <f>Summary!$B$3*(((1-Summary!$B$11)*IFERROR(B1392/Summary!$B$27,1)+Summary!$B$11*IFERROR(B1393/Summary!$B$28,1))-1)</f>
        <v/>
      </c>
      <c r="I31">
        <f>((1-Summary!$B$11)*IFERROR(B1392/Summary!$B$27,1)+Summary!$B$11*IFERROR(B1393/Summary!$B$28,1))*100</f>
        <v/>
      </c>
    </row>
    <row r="32">
      <c r="A32" s="9" t="inlineStr">
        <is>
          <t>Artifact Equip-Toggle DPS Gain</t>
        </is>
      </c>
    </row>
    <row r="33">
      <c r="A33" s="5" t="inlineStr">
        <is>
          <t>Artifact</t>
        </is>
      </c>
      <c r="B33" s="5" t="inlineStr">
        <is>
          <t>DPS Gain</t>
        </is>
      </c>
      <c r="C33" s="5" t="inlineStr">
        <is>
          <t>% Gain</t>
        </is>
      </c>
    </row>
    <row r="34">
      <c r="A34">
        <f>IF(1&gt;COUNTIF($AD$34:$AD$69,TRUE),"",INDEX($AA$34:$AA$69,MATCH(1,$AE$34:$AE$69,0)))</f>
        <v/>
      </c>
      <c r="B34">
        <f>IF(1&gt;COUNTIF($AD$34:$AD$69,TRUE),"",INDEX($AB$34:$AB$69,MATCH(1,$AE$34:$AE$69,0)))</f>
        <v/>
      </c>
      <c r="C34">
        <f>IF(1&gt;COUNTIF($AD$34:$AD$69,TRUE),"",INDEX($AC$34:$AC$69,MATCH(1,$AE$34:$AE$69,0)))</f>
        <v/>
      </c>
      <c r="AA34" t="inlineStr">
        <is>
          <t>Charm of the Undead (Equip)</t>
        </is>
      </c>
      <c r="AB34">
        <f>(IF(ArtifactsInput!$M$5,-1,1)*Summary!$B$3*(((1-Summary!$B$11)*IFERROR(B1441/Summary!$B$27,1)+Summary!$B$11*IFERROR(B1442/Summary!$B$28,1))-1)+ArtifactsInput!$L$5)</f>
        <v/>
      </c>
      <c r="AC34">
        <f>IF(ArtifactsInput!$M$5,Summary!$B$3/(Summary!$B$3-(IF(ArtifactsInput!$M$5,-1,1)*Summary!$B$3*(((1-Summary!$B$11)*IFERROR(B1441/Summary!$B$27,1)+Summary!$B$11*IFERROR(B1442/Summary!$B$28,1))-1)+ArtifactsInput!$L$5))*100,(Summary!$B$3+(IF(ArtifactsInput!$M$5,-1,1)*Summary!$B$3*(((1-Summary!$B$11)*IFERROR(B1441/Summary!$B$27,1)+Summary!$B$11*IFERROR(B1442/Summary!$B$28,1))-1)+ArtifactsInput!$L$5))/Summary!$B$3*100)</f>
        <v/>
      </c>
      <c r="AD34">
        <f>ArtifactsInput!$B$5&lt;&gt;"Not Unlocked"</f>
        <v/>
      </c>
      <c r="AE34">
        <f>IF(AD34,SUMPRODUCT(($AD$34:$AD$69)*($AC$34:$AC$69&gt;AC34))+COUNTIFS($AD$34:AD34,TRUE,$AC$34:AC34,AC34),"")</f>
        <v/>
      </c>
    </row>
    <row r="35">
      <c r="A35">
        <f>IF(2&gt;COUNTIF($AD$34:$AD$69,TRUE),"",INDEX($AA$34:$AA$69,MATCH(2,$AE$34:$AE$69,0)))</f>
        <v/>
      </c>
      <c r="B35">
        <f>IF(2&gt;COUNTIF($AD$34:$AD$69,TRUE),"",INDEX($AB$34:$AB$69,MATCH(2,$AE$34:$AE$69,0)))</f>
        <v/>
      </c>
      <c r="C35">
        <f>IF(2&gt;COUNTIF($AD$34:$AD$69,TRUE),"",INDEX($AC$34:$AC$69,MATCH(2,$AE$34:$AE$69,0)))</f>
        <v/>
      </c>
      <c r="AA35" t="inlineStr">
        <is>
          <t>Pig's Ribbon (Equip)</t>
        </is>
      </c>
      <c r="AB35">
        <f>(IF(ArtifactsInput!$M$6,-1,1)*Summary!$B$3*(((1-Summary!$B$11)*IFERROR(B1490/Summary!$B$27,1)+Summary!$B$11*IFERROR(B1491/Summary!$B$28,1))-1)+ArtifactsInput!$L$6)</f>
        <v/>
      </c>
      <c r="AC35">
        <f>IF(ArtifactsInput!$M$6,Summary!$B$3/(Summary!$B$3-(IF(ArtifactsInput!$M$6,-1,1)*Summary!$B$3*(((1-Summary!$B$11)*IFERROR(B1490/Summary!$B$27,1)+Summary!$B$11*IFERROR(B1491/Summary!$B$28,1))-1)+ArtifactsInput!$L$6))*100,(Summary!$B$3+(IF(ArtifactsInput!$M$6,-1,1)*Summary!$B$3*(((1-Summary!$B$11)*IFERROR(B1490/Summary!$B$27,1)+Summary!$B$11*IFERROR(B1491/Summary!$B$28,1))-1)+ArtifactsInput!$L$6))/Summary!$B$3*100)</f>
        <v/>
      </c>
      <c r="AD35">
        <f>ArtifactsInput!$B$6&lt;&gt;"Not Unlocked"</f>
        <v/>
      </c>
      <c r="AE35">
        <f>IF(AD35,SUMPRODUCT(($AD$34:$AD$69)*($AC$34:$AC$69&gt;AC35))+COUNTIFS($AD$34:AD35,TRUE,$AC$34:AC35,AC35),"")</f>
        <v/>
      </c>
    </row>
    <row r="36">
      <c r="A36">
        <f>IF(3&gt;COUNTIF($AD$34:$AD$69,TRUE),"",INDEX($AA$34:$AA$69,MATCH(3,$AE$34:$AE$69,0)))</f>
        <v/>
      </c>
      <c r="B36">
        <f>IF(3&gt;COUNTIF($AD$34:$AD$69,TRUE),"",INDEX($AB$34:$AB$69,MATCH(3,$AE$34:$AE$69,0)))</f>
        <v/>
      </c>
      <c r="C36">
        <f>IF(3&gt;COUNTIF($AD$34:$AD$69,TRUE),"",INDEX($AC$34:$AC$69,MATCH(3,$AE$34:$AE$69,0)))</f>
        <v/>
      </c>
      <c r="AA36" t="inlineStr">
        <is>
          <t>Shamaness Marble (Equip)</t>
        </is>
      </c>
      <c r="AB36">
        <f>(IF(ArtifactsInput!$M$7,-1,1)*Summary!$B$3*(((1-Summary!$B$11)*IFERROR(B1539/Summary!$B$27,1)+Summary!$B$11*IFERROR(B1540/Summary!$B$28,1))-1)+ArtifactsInput!$L$7)</f>
        <v/>
      </c>
      <c r="AC36">
        <f>IF(ArtifactsInput!$M$7,Summary!$B$3/(Summary!$B$3-(IF(ArtifactsInput!$M$7,-1,1)*Summary!$B$3*(((1-Summary!$B$11)*IFERROR(B1539/Summary!$B$27,1)+Summary!$B$11*IFERROR(B1540/Summary!$B$28,1))-1)+ArtifactsInput!$L$7))*100,(Summary!$B$3+(IF(ArtifactsInput!$M$7,-1,1)*Summary!$B$3*(((1-Summary!$B$11)*IFERROR(B1539/Summary!$B$27,1)+Summary!$B$11*IFERROR(B1540/Summary!$B$28,1))-1)+ArtifactsInput!$L$7))/Summary!$B$3*100)</f>
        <v/>
      </c>
      <c r="AD36">
        <f>ArtifactsInput!$B$7&lt;&gt;"Not Unlocked"</f>
        <v/>
      </c>
      <c r="AE36">
        <f>IF(AD36,SUMPRODUCT(($AD$34:$AD$69)*($AC$34:$AC$69&gt;AC36))+COUNTIFS($AD$34:AD36,TRUE,$AC$34:AC36,AC36),"")</f>
        <v/>
      </c>
    </row>
    <row r="37">
      <c r="A37">
        <f>IF(4&gt;COUNTIF($AD$34:$AD$69,TRUE),"",INDEX($AA$34:$AA$69,MATCH(4,$AE$34:$AE$69,0)))</f>
        <v/>
      </c>
      <c r="B37">
        <f>IF(4&gt;COUNTIF($AD$34:$AD$69,TRUE),"",INDEX($AB$34:$AB$69,MATCH(4,$AE$34:$AE$69,0)))</f>
        <v/>
      </c>
      <c r="C37">
        <f>IF(4&gt;COUNTIF($AD$34:$AD$69,TRUE),"",INDEX($AC$34:$AC$69,MATCH(4,$AE$34:$AE$69,0)))</f>
        <v/>
      </c>
      <c r="AA37" t="inlineStr">
        <is>
          <t>The Contract of Darkness (Equip)</t>
        </is>
      </c>
      <c r="AB37">
        <f>(IF(ArtifactsInput!$M$8,-1,1)*Summary!$B$3*(((1-Summary!$B$11)*IFERROR(B1588/Summary!$B$27,1)+Summary!$B$11*IFERROR(B1589/Summary!$B$28,1))-1)+ArtifactsInput!$L$8)</f>
        <v/>
      </c>
      <c r="AC37">
        <f>IF(ArtifactsInput!$M$8,Summary!$B$3/(Summary!$B$3-(IF(ArtifactsInput!$M$8,-1,1)*Summary!$B$3*(((1-Summary!$B$11)*IFERROR(B1588/Summary!$B$27,1)+Summary!$B$11*IFERROR(B1589/Summary!$B$28,1))-1)+ArtifactsInput!$L$8))*100,(Summary!$B$3+(IF(ArtifactsInput!$M$8,-1,1)*Summary!$B$3*(((1-Summary!$B$11)*IFERROR(B1588/Summary!$B$27,1)+Summary!$B$11*IFERROR(B1589/Summary!$B$28,1))-1)+ArtifactsInput!$L$8))/Summary!$B$3*100)</f>
        <v/>
      </c>
      <c r="AD37">
        <f>ArtifactsInput!$B$8&lt;&gt;"Not Unlocked"</f>
        <v/>
      </c>
      <c r="AE37">
        <f>IF(AD37,SUMPRODUCT(($AD$34:$AD$69)*($AC$34:$AC$69&gt;AC37))+COUNTIFS($AD$34:AD37,TRUE,$AC$34:AC37,AC37),"")</f>
        <v/>
      </c>
    </row>
    <row r="38">
      <c r="A38">
        <f>IF(5&gt;COUNTIF($AD$34:$AD$69,TRUE),"",INDEX($AA$34:$AA$69,MATCH(5,$AE$34:$AE$69,0)))</f>
        <v/>
      </c>
      <c r="B38">
        <f>IF(5&gt;COUNTIF($AD$34:$AD$69,TRUE),"",INDEX($AB$34:$AB$69,MATCH(5,$AE$34:$AE$69,0)))</f>
        <v/>
      </c>
      <c r="C38">
        <f>IF(5&gt;COUNTIF($AD$34:$AD$69,TRUE),"",INDEX($AC$34:$AC$69,MATCH(5,$AE$34:$AE$69,0)))</f>
        <v/>
      </c>
      <c r="AA38" t="inlineStr">
        <is>
          <t>Rainbow-colored Snail Shell (Equip)</t>
        </is>
      </c>
      <c r="AB38">
        <f>(IF(ArtifactsInput!$M$10,-1,1)*Summary!$B$3*(((1-Summary!$B$11)*IFERROR(B1637/Summary!$B$27,1)+Summary!$B$11*IFERROR(B1638/Summary!$B$28,1))-1)+ArtifactsInput!$L$10)</f>
        <v/>
      </c>
      <c r="AC38">
        <f>IF(ArtifactsInput!$M$10,Summary!$B$3/(Summary!$B$3-(IF(ArtifactsInput!$M$10,-1,1)*Summary!$B$3*(((1-Summary!$B$11)*IFERROR(B1637/Summary!$B$27,1)+Summary!$B$11*IFERROR(B1638/Summary!$B$28,1))-1)+ArtifactsInput!$L$10))*100,(Summary!$B$3+(IF(ArtifactsInput!$M$10,-1,1)*Summary!$B$3*(((1-Summary!$B$11)*IFERROR(B1637/Summary!$B$27,1)+Summary!$B$11*IFERROR(B1638/Summary!$B$28,1))-1)+ArtifactsInput!$L$10))/Summary!$B$3*100)</f>
        <v/>
      </c>
      <c r="AD38">
        <f>ArtifactsInput!$B$10&lt;&gt;"Not Unlocked"</f>
        <v/>
      </c>
      <c r="AE38">
        <f>IF(AD38,SUMPRODUCT(($AD$34:$AD$69)*($AC$34:$AC$69&gt;AC38))+COUNTIFS($AD$34:AD38,TRUE,$AC$34:AC38,AC38),"")</f>
        <v/>
      </c>
    </row>
    <row r="39">
      <c r="A39">
        <f>IF(6&gt;COUNTIF($AD$34:$AD$69,TRUE),"",INDEX($AA$34:$AA$69,MATCH(6,$AE$34:$AE$69,0)))</f>
        <v/>
      </c>
      <c r="B39">
        <f>IF(6&gt;COUNTIF($AD$34:$AD$69,TRUE),"",INDEX($AB$34:$AB$69,MATCH(6,$AE$34:$AE$69,0)))</f>
        <v/>
      </c>
      <c r="C39">
        <f>IF(6&gt;COUNTIF($AD$34:$AD$69,TRUE),"",INDEX($AC$34:$AC$69,MATCH(6,$AE$34:$AE$69,0)))</f>
        <v/>
      </c>
      <c r="AA39" t="inlineStr">
        <is>
          <t>Hexagon Necklace (Equip)</t>
        </is>
      </c>
      <c r="AB39">
        <f>(IF(ArtifactsInput!$M$11,-1,1)*Summary!$B$3*(((1-Summary!$B$11)*IFERROR(B1686/Summary!$B$27,1)+Summary!$B$11*IFERROR(B1687/Summary!$B$28,1))-1)+ArtifactsInput!$L$11)</f>
        <v/>
      </c>
      <c r="AC39">
        <f>IF(ArtifactsInput!$M$11,Summary!$B$3/(Summary!$B$3-(IF(ArtifactsInput!$M$11,-1,1)*Summary!$B$3*(((1-Summary!$B$11)*IFERROR(B1686/Summary!$B$27,1)+Summary!$B$11*IFERROR(B1687/Summary!$B$28,1))-1)+ArtifactsInput!$L$11))*100,(Summary!$B$3+(IF(ArtifactsInput!$M$11,-1,1)*Summary!$B$3*(((1-Summary!$B$11)*IFERROR(B1686/Summary!$B$27,1)+Summary!$B$11*IFERROR(B1687/Summary!$B$28,1))-1)+ArtifactsInput!$L$11))/Summary!$B$3*100)</f>
        <v/>
      </c>
      <c r="AD39">
        <f>ArtifactsInput!$B$11&lt;&gt;"Not Unlocked"</f>
        <v/>
      </c>
      <c r="AE39">
        <f>IF(AD39,SUMPRODUCT(($AD$34:$AD$69)*($AC$34:$AC$69&gt;AC39))+COUNTIFS($AD$34:AD39,TRUE,$AC$34:AC39,AC39),"")</f>
        <v/>
      </c>
    </row>
    <row r="40">
      <c r="A40">
        <f>IF(7&gt;COUNTIF($AD$34:$AD$69,TRUE),"",INDEX($AA$34:$AA$69,MATCH(7,$AE$34:$AE$69,0)))</f>
        <v/>
      </c>
      <c r="B40">
        <f>IF(7&gt;COUNTIF($AD$34:$AD$69,TRUE),"",INDEX($AB$34:$AB$69,MATCH(7,$AE$34:$AE$69,0)))</f>
        <v/>
      </c>
      <c r="C40">
        <f>IF(7&gt;COUNTIF($AD$34:$AD$69,TRUE),"",INDEX($AC$34:$AC$69,MATCH(7,$AE$34:$AE$69,0)))</f>
        <v/>
      </c>
      <c r="AA40" t="inlineStr">
        <is>
          <t>Arwen's Glass Shoes (Equip)</t>
        </is>
      </c>
      <c r="AB40">
        <f>(IF(ArtifactsInput!$M$12,-1,1)*Summary!$B$3*(((1-Summary!$B$11)*IFERROR(B1735/Summary!$B$27,1)+Summary!$B$11*IFERROR(B1736/Summary!$B$28,1))-1)+ArtifactsInput!$L$12)</f>
        <v/>
      </c>
      <c r="AC40">
        <f>IF(ArtifactsInput!$M$12,Summary!$B$3/(Summary!$B$3-(IF(ArtifactsInput!$M$12,-1,1)*Summary!$B$3*(((1-Summary!$B$11)*IFERROR(B1735/Summary!$B$27,1)+Summary!$B$11*IFERROR(B1736/Summary!$B$28,1))-1)+ArtifactsInput!$L$12))*100,(Summary!$B$3+(IF(ArtifactsInput!$M$12,-1,1)*Summary!$B$3*(((1-Summary!$B$11)*IFERROR(B1735/Summary!$B$27,1)+Summary!$B$11*IFERROR(B1736/Summary!$B$28,1))-1)+ArtifactsInput!$L$12))/Summary!$B$3*100)</f>
        <v/>
      </c>
      <c r="AD40">
        <f>ArtifactsInput!$B$12&lt;&gt;"Not Unlocked"</f>
        <v/>
      </c>
      <c r="AE40">
        <f>IF(AD40,SUMPRODUCT(($AD$34:$AD$69)*($AC$34:$AC$69&gt;AC40))+COUNTIFS($AD$34:AD40,TRUE,$AC$34:AC40,AC40),"")</f>
        <v/>
      </c>
    </row>
    <row r="41">
      <c r="A41">
        <f>IF(8&gt;COUNTIF($AD$34:$AD$69,TRUE),"",INDEX($AA$34:$AA$69,MATCH(8,$AE$34:$AE$69,0)))</f>
        <v/>
      </c>
      <c r="B41">
        <f>IF(8&gt;COUNTIF($AD$34:$AD$69,TRUE),"",INDEX($AB$34:$AB$69,MATCH(8,$AE$34:$AE$69,0)))</f>
        <v/>
      </c>
      <c r="C41">
        <f>IF(8&gt;COUNTIF($AD$34:$AD$69,TRUE),"",INDEX($AC$34:$AC$69,MATCH(8,$AE$34:$AE$69,0)))</f>
        <v/>
      </c>
      <c r="AA41" t="inlineStr">
        <is>
          <t>Mushmom's Cap (Equip)</t>
        </is>
      </c>
      <c r="AB41">
        <f>(IF(ArtifactsInput!$M$13,-1,1)*Summary!$B$3*(((1-Summary!$B$11)*IFERROR(B1784/Summary!$B$27,1)+Summary!$B$11*IFERROR(B1785/Summary!$B$28,1))-1)+ArtifactsInput!$L$13)</f>
        <v/>
      </c>
      <c r="AC41">
        <f>IF(ArtifactsInput!$M$13,Summary!$B$3/(Summary!$B$3-(IF(ArtifactsInput!$M$13,-1,1)*Summary!$B$3*(((1-Summary!$B$11)*IFERROR(B1784/Summary!$B$27,1)+Summary!$B$11*IFERROR(B1785/Summary!$B$28,1))-1)+ArtifactsInput!$L$13))*100,(Summary!$B$3+(IF(ArtifactsInput!$M$13,-1,1)*Summary!$B$3*(((1-Summary!$B$11)*IFERROR(B1784/Summary!$B$27,1)+Summary!$B$11*IFERROR(B1785/Summary!$B$28,1))-1)+ArtifactsInput!$L$13))/Summary!$B$3*100)</f>
        <v/>
      </c>
      <c r="AD41">
        <f>ArtifactsInput!$B$13&lt;&gt;"Not Unlocked"</f>
        <v/>
      </c>
      <c r="AE41">
        <f>IF(AD41,SUMPRODUCT(($AD$34:$AD$69)*($AC$34:$AC$69&gt;AC41))+COUNTIFS($AD$34:AD41,TRUE,$AC$34:AC41,AC41),"")</f>
        <v/>
      </c>
    </row>
    <row r="42">
      <c r="A42">
        <f>IF(9&gt;COUNTIF($AD$34:$AD$69,TRUE),"",INDEX($AA$34:$AA$69,MATCH(9,$AE$34:$AE$69,0)))</f>
        <v/>
      </c>
      <c r="B42">
        <f>IF(9&gt;COUNTIF($AD$34:$AD$69,TRUE),"",INDEX($AB$34:$AB$69,MATCH(9,$AE$34:$AE$69,0)))</f>
        <v/>
      </c>
      <c r="C42">
        <f>IF(9&gt;COUNTIF($AD$34:$AD$69,TRUE),"",INDEX($AC$34:$AC$69,MATCH(9,$AE$34:$AE$69,0)))</f>
        <v/>
      </c>
      <c r="AA42" t="inlineStr">
        <is>
          <t>Clear Spring Water (Equip)</t>
        </is>
      </c>
      <c r="AB42">
        <f>(IF(ArtifactsInput!$M$14,-1,1)*Summary!$B$3*(((1-Summary!$B$11)*IFERROR(B1833/Summary!$B$27,1)+Summary!$B$11*IFERROR(B1834/Summary!$B$28,1))-1)+ArtifactsInput!$L$14)</f>
        <v/>
      </c>
      <c r="AC42">
        <f>IF(ArtifactsInput!$M$14,Summary!$B$3/(Summary!$B$3-(IF(ArtifactsInput!$M$14,-1,1)*Summary!$B$3*(((1-Summary!$B$11)*IFERROR(B1833/Summary!$B$27,1)+Summary!$B$11*IFERROR(B1834/Summary!$B$28,1))-1)+ArtifactsInput!$L$14))*100,(Summary!$B$3+(IF(ArtifactsInput!$M$14,-1,1)*Summary!$B$3*(((1-Summary!$B$11)*IFERROR(B1833/Summary!$B$27,1)+Summary!$B$11*IFERROR(B1834/Summary!$B$28,1))-1)+ArtifactsInput!$L$14))/Summary!$B$3*100)</f>
        <v/>
      </c>
      <c r="AD42">
        <f>ArtifactsInput!$B$14&lt;&gt;"Not Unlocked"</f>
        <v/>
      </c>
      <c r="AE42">
        <f>IF(AD42,SUMPRODUCT(($AD$34:$AD$69)*($AC$34:$AC$69&gt;AC42))+COUNTIFS($AD$34:AD42,TRUE,$AC$34:AC42,AC42),"")</f>
        <v/>
      </c>
    </row>
    <row r="43">
      <c r="A43">
        <f>IF(10&gt;COUNTIF($AD$34:$AD$69,TRUE),"",INDEX($AA$34:$AA$69,MATCH(10,$AE$34:$AE$69,0)))</f>
        <v/>
      </c>
      <c r="B43">
        <f>IF(10&gt;COUNTIF($AD$34:$AD$69,TRUE),"",INDEX($AB$34:$AB$69,MATCH(10,$AE$34:$AE$69,0)))</f>
        <v/>
      </c>
      <c r="C43">
        <f>IF(10&gt;COUNTIF($AD$34:$AD$69,TRUE),"",INDEX($AC$34:$AC$69,MATCH(10,$AE$34:$AE$69,0)))</f>
        <v/>
      </c>
      <c r="AA43" t="inlineStr">
        <is>
          <t>Athena Pierce's Old Gloves (Equip)</t>
        </is>
      </c>
      <c r="AB43">
        <f>(IF(ArtifactsInput!$M$15,-1,1)*Summary!$B$3*(((1-Summary!$B$11)*IFERROR(B1882/Summary!$B$27,1)+Summary!$B$11*IFERROR(B1883/Summary!$B$28,1))-1)+ArtifactsInput!$L$15)</f>
        <v/>
      </c>
      <c r="AC43">
        <f>IF(ArtifactsInput!$M$15,Summary!$B$3/(Summary!$B$3-(IF(ArtifactsInput!$M$15,-1,1)*Summary!$B$3*(((1-Summary!$B$11)*IFERROR(B1882/Summary!$B$27,1)+Summary!$B$11*IFERROR(B1883/Summary!$B$28,1))-1)+ArtifactsInput!$L$15))*100,(Summary!$B$3+(IF(ArtifactsInput!$M$15,-1,1)*Summary!$B$3*(((1-Summary!$B$11)*IFERROR(B1882/Summary!$B$27,1)+Summary!$B$11*IFERROR(B1883/Summary!$B$28,1))-1)+ArtifactsInput!$L$15))/Summary!$B$3*100)</f>
        <v/>
      </c>
      <c r="AD43">
        <f>ArtifactsInput!$B$15&lt;&gt;"Not Unlocked"</f>
        <v/>
      </c>
      <c r="AE43">
        <f>IF(AD43,SUMPRODUCT(($AD$34:$AD$69)*($AC$34:$AC$69&gt;AC43))+COUNTIFS($AD$34:AD43,TRUE,$AC$34:AC43,AC43),"")</f>
        <v/>
      </c>
    </row>
    <row r="44">
      <c r="A44">
        <f>IF(11&gt;COUNTIF($AD$34:$AD$69,TRUE),"",INDEX($AA$34:$AA$69,MATCH(11,$AE$34:$AE$69,0)))</f>
        <v/>
      </c>
      <c r="B44">
        <f>IF(11&gt;COUNTIF($AD$34:$AD$69,TRUE),"",INDEX($AB$34:$AB$69,MATCH(11,$AE$34:$AE$69,0)))</f>
        <v/>
      </c>
      <c r="C44">
        <f>IF(11&gt;COUNTIF($AD$34:$AD$69,TRUE),"",INDEX($AC$34:$AC$69,MATCH(11,$AE$34:$AE$69,0)))</f>
        <v/>
      </c>
      <c r="AA44" t="inlineStr">
        <is>
          <t>Zakum's Stone Piece (Equip)</t>
        </is>
      </c>
      <c r="AB44">
        <f>(IF(ArtifactsInput!$M$16,-1,1)*Summary!$B$3*(((1-Summary!$B$11)*IFERROR(B1931/Summary!$B$27,1)+Summary!$B$11*IFERROR(B1932/Summary!$B$28,1))-1)+ArtifactsInput!$L$16)</f>
        <v/>
      </c>
      <c r="AC44">
        <f>IF(ArtifactsInput!$M$16,Summary!$B$3/(Summary!$B$3-(IF(ArtifactsInput!$M$16,-1,1)*Summary!$B$3*(((1-Summary!$B$11)*IFERROR(B1931/Summary!$B$27,1)+Summary!$B$11*IFERROR(B1932/Summary!$B$28,1))-1)+ArtifactsInput!$L$16))*100,(Summary!$B$3+(IF(ArtifactsInput!$M$16,-1,1)*Summary!$B$3*(((1-Summary!$B$11)*IFERROR(B1931/Summary!$B$27,1)+Summary!$B$11*IFERROR(B1932/Summary!$B$28,1))-1)+ArtifactsInput!$L$16))/Summary!$B$3*100)</f>
        <v/>
      </c>
      <c r="AD44">
        <f>ArtifactsInput!$B$16&lt;&gt;"Not Unlocked"</f>
        <v/>
      </c>
      <c r="AE44">
        <f>IF(AD44,SUMPRODUCT(($AD$34:$AD$69)*($AC$34:$AC$69&gt;AC44))+COUNTIFS($AD$34:AD44,TRUE,$AC$34:AC44,AC44),"")</f>
        <v/>
      </c>
    </row>
    <row r="45">
      <c r="A45">
        <f>IF(12&gt;COUNTIF($AD$34:$AD$69,TRUE),"",INDEX($AA$34:$AA$69,MATCH(12,$AE$34:$AE$69,0)))</f>
        <v/>
      </c>
      <c r="B45">
        <f>IF(12&gt;COUNTIF($AD$34:$AD$69,TRUE),"",INDEX($AB$34:$AB$69,MATCH(12,$AE$34:$AE$69,0)))</f>
        <v/>
      </c>
      <c r="C45">
        <f>IF(12&gt;COUNTIF($AD$34:$AD$69,TRUE),"",INDEX($AC$34:$AC$69,MATCH(12,$AE$34:$AE$69,0)))</f>
        <v/>
      </c>
      <c r="AA45" t="inlineStr">
        <is>
          <t>Horntail's Scale (Equip)</t>
        </is>
      </c>
      <c r="AB45">
        <f>(IF(ArtifactsInput!$M$17,-1,1)*Summary!$B$3*(((1-Summary!$B$11)*IFERROR(B1980/Summary!$B$27,1)+Summary!$B$11*IFERROR(B1981/Summary!$B$28,1))-1)+ArtifactsInput!$L$17)</f>
        <v/>
      </c>
      <c r="AC45">
        <f>IF(ArtifactsInput!$M$17,Summary!$B$3/(Summary!$B$3-(IF(ArtifactsInput!$M$17,-1,1)*Summary!$B$3*(((1-Summary!$B$11)*IFERROR(B1980/Summary!$B$27,1)+Summary!$B$11*IFERROR(B1981/Summary!$B$28,1))-1)+ArtifactsInput!$L$17))*100,(Summary!$B$3+(IF(ArtifactsInput!$M$17,-1,1)*Summary!$B$3*(((1-Summary!$B$11)*IFERROR(B1980/Summary!$B$27,1)+Summary!$B$11*IFERROR(B1981/Summary!$B$28,1))-1)+ArtifactsInput!$L$17))/Summary!$B$3*100)</f>
        <v/>
      </c>
      <c r="AD45">
        <f>ArtifactsInput!$B$17&lt;&gt;"Not Unlocked"</f>
        <v/>
      </c>
      <c r="AE45">
        <f>IF(AD45,SUMPRODUCT(($AD$34:$AD$69)*($AC$34:$AC$69&gt;AC45))+COUNTIFS($AD$34:AD45,TRUE,$AC$34:AC45,AC45),"")</f>
        <v/>
      </c>
    </row>
    <row r="46">
      <c r="A46">
        <f>IF(13&gt;COUNTIF($AD$34:$AD$69,TRUE),"",INDEX($AA$34:$AA$69,MATCH(13,$AE$34:$AE$69,0)))</f>
        <v/>
      </c>
      <c r="B46">
        <f>IF(13&gt;COUNTIF($AD$34:$AD$69,TRUE),"",INDEX($AB$34:$AB$69,MATCH(13,$AE$34:$AE$69,0)))</f>
        <v/>
      </c>
      <c r="C46">
        <f>IF(13&gt;COUNTIF($AD$34:$AD$69,TRUE),"",INDEX($AC$34:$AC$69,MATCH(13,$AE$34:$AE$69,0)))</f>
        <v/>
      </c>
      <c r="AA46" t="inlineStr">
        <is>
          <t>Pink Bean's Giant Rib (Equip)</t>
        </is>
      </c>
      <c r="AB46">
        <f>(IF(ArtifactsInput!$M$18,-1,1)*Summary!$B$3*(((1-Summary!$B$11)*IFERROR(B2029/Summary!$B$27,1)+Summary!$B$11*IFERROR(B2030/Summary!$B$28,1))-1)+ArtifactsInput!$L$18)</f>
        <v/>
      </c>
      <c r="AC46">
        <f>IF(ArtifactsInput!$M$18,Summary!$B$3/(Summary!$B$3-(IF(ArtifactsInput!$M$18,-1,1)*Summary!$B$3*(((1-Summary!$B$11)*IFERROR(B2029/Summary!$B$27,1)+Summary!$B$11*IFERROR(B2030/Summary!$B$28,1))-1)+ArtifactsInput!$L$18))*100,(Summary!$B$3+(IF(ArtifactsInput!$M$18,-1,1)*Summary!$B$3*(((1-Summary!$B$11)*IFERROR(B2029/Summary!$B$27,1)+Summary!$B$11*IFERROR(B2030/Summary!$B$28,1))-1)+ArtifactsInput!$L$18))/Summary!$B$3*100)</f>
        <v/>
      </c>
      <c r="AD46">
        <f>ArtifactsInput!$B$18&lt;&gt;"Not Unlocked"</f>
        <v/>
      </c>
      <c r="AE46">
        <f>IF(AD46,SUMPRODUCT(($AD$34:$AD$69)*($AC$34:$AC$69&gt;AC46))+COUNTIFS($AD$34:AD46,TRUE,$AC$34:AC46,AC46),"")</f>
        <v/>
      </c>
    </row>
    <row r="47">
      <c r="A47">
        <f>IF(14&gt;COUNTIF($AD$34:$AD$69,TRUE),"",INDEX($AA$34:$AA$69,MATCH(14,$AE$34:$AE$69,0)))</f>
        <v/>
      </c>
      <c r="B47">
        <f>IF(14&gt;COUNTIF($AD$34:$AD$69,TRUE),"",INDEX($AB$34:$AB$69,MATCH(14,$AE$34:$AE$69,0)))</f>
        <v/>
      </c>
      <c r="C47">
        <f>IF(14&gt;COUNTIF($AD$34:$AD$69,TRUE),"",INDEX($AC$34:$AC$69,MATCH(14,$AE$34:$AE$69,0)))</f>
        <v/>
      </c>
      <c r="AA47" t="inlineStr">
        <is>
          <t>Chalice (Equip)</t>
        </is>
      </c>
      <c r="AB47">
        <f>(IF(ArtifactsInput!$M$20,-1,1)*Summary!$B$3*(((1-Summary!$B$11)*IFERROR(B2078/Summary!$B$27,1)+Summary!$B$11*IFERROR(B2079/Summary!$B$28,1))-1)+ArtifactsInput!$L$20)</f>
        <v/>
      </c>
      <c r="AC47">
        <f>IF(ArtifactsInput!$M$20,Summary!$B$3/(Summary!$B$3-(IF(ArtifactsInput!$M$20,-1,1)*Summary!$B$3*(((1-Summary!$B$11)*IFERROR(B2078/Summary!$B$27,1)+Summary!$B$11*IFERROR(B2079/Summary!$B$28,1))-1)+ArtifactsInput!$L$20))*100,(Summary!$B$3+(IF(ArtifactsInput!$M$20,-1,1)*Summary!$B$3*(((1-Summary!$B$11)*IFERROR(B2078/Summary!$B$27,1)+Summary!$B$11*IFERROR(B2079/Summary!$B$28,1))-1)+ArtifactsInput!$L$20))/Summary!$B$3*100)</f>
        <v/>
      </c>
      <c r="AD47">
        <f>ArtifactsInput!$B$20&lt;&gt;"Not Unlocked"</f>
        <v/>
      </c>
      <c r="AE47">
        <f>IF(AD47,SUMPRODUCT(($AD$34:$AD$69)*($AC$34:$AC$69&gt;AC47))+COUNTIFS($AD$34:AD47,TRUE,$AC$34:AC47,AC47),"")</f>
        <v/>
      </c>
    </row>
    <row r="48">
      <c r="A48">
        <f>IF(15&gt;COUNTIF($AD$34:$AD$69,TRUE),"",INDEX($AA$34:$AA$69,MATCH(15,$AE$34:$AE$69,0)))</f>
        <v/>
      </c>
      <c r="B48">
        <f>IF(15&gt;COUNTIF($AD$34:$AD$69,TRUE),"",INDEX($AB$34:$AB$69,MATCH(15,$AE$34:$AE$69,0)))</f>
        <v/>
      </c>
      <c r="C48">
        <f>IF(15&gt;COUNTIF($AD$34:$AD$69,TRUE),"",INDEX($AC$34:$AC$69,MATCH(15,$AE$34:$AE$69,0)))</f>
        <v/>
      </c>
      <c r="AA48" t="inlineStr">
        <is>
          <t>Old Music Box (Equip)</t>
        </is>
      </c>
      <c r="AB48">
        <f>(IF(ArtifactsInput!$M$21,-1,1)*Summary!$B$3*(((1-Summary!$B$11)*IFERROR(B2127/Summary!$B$27,1)+Summary!$B$11*IFERROR(B2128/Summary!$B$28,1))-1)+ArtifactsInput!$L$21)</f>
        <v/>
      </c>
      <c r="AC48">
        <f>IF(ArtifactsInput!$M$21,Summary!$B$3/(Summary!$B$3-(IF(ArtifactsInput!$M$21,-1,1)*Summary!$B$3*(((1-Summary!$B$11)*IFERROR(B2127/Summary!$B$27,1)+Summary!$B$11*IFERROR(B2128/Summary!$B$28,1))-1)+ArtifactsInput!$L$21))*100,(Summary!$B$3+(IF(ArtifactsInput!$M$21,-1,1)*Summary!$B$3*(((1-Summary!$B$11)*IFERROR(B2127/Summary!$B$27,1)+Summary!$B$11*IFERROR(B2128/Summary!$B$28,1))-1)+ArtifactsInput!$L$21))/Summary!$B$3*100)</f>
        <v/>
      </c>
      <c r="AD48">
        <f>ArtifactsInput!$B$21&lt;&gt;"Not Unlocked"</f>
        <v/>
      </c>
      <c r="AE48">
        <f>IF(AD48,SUMPRODUCT(($AD$34:$AD$69)*($AC$34:$AC$69&gt;AC48))+COUNTIFS($AD$34:AD48,TRUE,$AC$34:AC48,AC48),"")</f>
        <v/>
      </c>
    </row>
    <row r="49">
      <c r="A49">
        <f>IF(16&gt;COUNTIF($AD$34:$AD$69,TRUE),"",INDEX($AA$34:$AA$69,MATCH(16,$AE$34:$AE$69,0)))</f>
        <v/>
      </c>
      <c r="B49">
        <f>IF(16&gt;COUNTIF($AD$34:$AD$69,TRUE),"",INDEX($AB$34:$AB$69,MATCH(16,$AE$34:$AE$69,0)))</f>
        <v/>
      </c>
      <c r="C49">
        <f>IF(16&gt;COUNTIF($AD$34:$AD$69,TRUE),"",INDEX($AC$34:$AC$69,MATCH(16,$AE$34:$AE$69,0)))</f>
        <v/>
      </c>
      <c r="AA49" t="inlineStr">
        <is>
          <t>Silver Pendant (Equip)</t>
        </is>
      </c>
      <c r="AB49">
        <f>(IF(ArtifactsInput!$M$22,-1,1)*Summary!$B$3*(((1-Summary!$B$11)*IFERROR(B2176/Summary!$B$27,1)+Summary!$B$11*IFERROR(B2177/Summary!$B$28,1))-1)+ArtifactsInput!$L$22)</f>
        <v/>
      </c>
      <c r="AC49">
        <f>IF(ArtifactsInput!$M$22,Summary!$B$3/(Summary!$B$3-(IF(ArtifactsInput!$M$22,-1,1)*Summary!$B$3*(((1-Summary!$B$11)*IFERROR(B2176/Summary!$B$27,1)+Summary!$B$11*IFERROR(B2177/Summary!$B$28,1))-1)+ArtifactsInput!$L$22))*100,(Summary!$B$3+(IF(ArtifactsInput!$M$22,-1,1)*Summary!$B$3*(((1-Summary!$B$11)*IFERROR(B2176/Summary!$B$27,1)+Summary!$B$11*IFERROR(B2177/Summary!$B$28,1))-1)+ArtifactsInput!$L$22))/Summary!$B$3*100)</f>
        <v/>
      </c>
      <c r="AD49">
        <f>ArtifactsInput!$B$22&lt;&gt;"Not Unlocked"</f>
        <v/>
      </c>
      <c r="AE49">
        <f>IF(AD49,SUMPRODUCT(($AD$34:$AD$69)*($AC$34:$AC$69&gt;AC49))+COUNTIFS($AD$34:AD49,TRUE,$AC$34:AC49,AC49),"")</f>
        <v/>
      </c>
    </row>
    <row r="50">
      <c r="A50">
        <f>IF(17&gt;COUNTIF($AD$34:$AD$69,TRUE),"",INDEX($AA$34:$AA$69,MATCH(17,$AE$34:$AE$69,0)))</f>
        <v/>
      </c>
      <c r="B50">
        <f>IF(17&gt;COUNTIF($AD$34:$AD$69,TRUE),"",INDEX($AB$34:$AB$69,MATCH(17,$AE$34:$AE$69,0)))</f>
        <v/>
      </c>
      <c r="C50">
        <f>IF(17&gt;COUNTIF($AD$34:$AD$69,TRUE),"",INDEX($AC$34:$AC$69,MATCH(17,$AE$34:$AE$69,0)))</f>
        <v/>
      </c>
      <c r="AA50" t="inlineStr">
        <is>
          <t>Star Rock (Equip)</t>
        </is>
      </c>
      <c r="AB50">
        <f>(IF(ArtifactsInput!$M$23,-1,1)*Summary!$B$3*(((1-Summary!$B$11)*IFERROR(B2225/Summary!$B$27,1)+Summary!$B$11*IFERROR(B2226/Summary!$B$28,1))-1)+ArtifactsInput!$L$23)</f>
        <v/>
      </c>
      <c r="AC50">
        <f>IF(ArtifactsInput!$M$23,Summary!$B$3/(Summary!$B$3-(IF(ArtifactsInput!$M$23,-1,1)*Summary!$B$3*(((1-Summary!$B$11)*IFERROR(B2225/Summary!$B$27,1)+Summary!$B$11*IFERROR(B2226/Summary!$B$28,1))-1)+ArtifactsInput!$L$23))*100,(Summary!$B$3+(IF(ArtifactsInput!$M$23,-1,1)*Summary!$B$3*(((1-Summary!$B$11)*IFERROR(B2225/Summary!$B$27,1)+Summary!$B$11*IFERROR(B2226/Summary!$B$28,1))-1)+ArtifactsInput!$L$23))/Summary!$B$3*100)</f>
        <v/>
      </c>
      <c r="AD50">
        <f>ArtifactsInput!$B$23&lt;&gt;"Not Unlocked"</f>
        <v/>
      </c>
      <c r="AE50">
        <f>IF(AD50,SUMPRODUCT(($AD$34:$AD$69)*($AC$34:$AC$69&gt;AC50))+COUNTIFS($AD$34:AD50,TRUE,$AC$34:AC50,AC50),"")</f>
        <v/>
      </c>
    </row>
    <row r="51">
      <c r="A51">
        <f>IF(18&gt;COUNTIF($AD$34:$AD$69,TRUE),"",INDEX($AA$34:$AA$69,MATCH(18,$AE$34:$AE$69,0)))</f>
        <v/>
      </c>
      <c r="B51">
        <f>IF(18&gt;COUNTIF($AD$34:$AD$69,TRUE),"",INDEX($AB$34:$AB$69,MATCH(18,$AE$34:$AE$69,0)))</f>
        <v/>
      </c>
      <c r="C51">
        <f>IF(18&gt;COUNTIF($AD$34:$AD$69,TRUE),"",INDEX($AC$34:$AC$69,MATCH(18,$AE$34:$AE$69,0)))</f>
        <v/>
      </c>
      <c r="AA51" t="inlineStr">
        <is>
          <t>Book of Ancient (Equip)</t>
        </is>
      </c>
      <c r="AB51">
        <f>(IF(ArtifactsInput!$M$24,-1,1)*Summary!$B$3*(((1-Summary!$B$11)*IFERROR(B2274/Summary!$B$27,1)+Summary!$B$11*IFERROR(B2275/Summary!$B$28,1))-1)+ArtifactsInput!$L$24)</f>
        <v/>
      </c>
      <c r="AC51">
        <f>IF(ArtifactsInput!$M$24,Summary!$B$3/(Summary!$B$3-(IF(ArtifactsInput!$M$24,-1,1)*Summary!$B$3*(((1-Summary!$B$11)*IFERROR(B2274/Summary!$B$27,1)+Summary!$B$11*IFERROR(B2275/Summary!$B$28,1))-1)+ArtifactsInput!$L$24))*100,(Summary!$B$3+(IF(ArtifactsInput!$M$24,-1,1)*Summary!$B$3*(((1-Summary!$B$11)*IFERROR(B2274/Summary!$B$27,1)+Summary!$B$11*IFERROR(B2275/Summary!$B$28,1))-1)+ArtifactsInput!$L$24))/Summary!$B$3*100)</f>
        <v/>
      </c>
      <c r="AD51">
        <f>ArtifactsInput!$B$24&lt;&gt;"Not Unlocked"</f>
        <v/>
      </c>
      <c r="AE51">
        <f>IF(AD51,SUMPRODUCT(($AD$34:$AD$69)*($AC$34:$AC$69&gt;AC51))+COUNTIFS($AD$34:AD51,TRUE,$AC$34:AC51,AC51),"")</f>
        <v/>
      </c>
    </row>
    <row r="52">
      <c r="A52">
        <f>IF(19&gt;COUNTIF($AD$34:$AD$69,TRUE),"",INDEX($AA$34:$AA$69,MATCH(19,$AE$34:$AE$69,0)))</f>
        <v/>
      </c>
      <c r="B52">
        <f>IF(19&gt;COUNTIF($AD$34:$AD$69,TRUE),"",INDEX($AB$34:$AB$69,MATCH(19,$AE$34:$AE$69,0)))</f>
        <v/>
      </c>
      <c r="C52">
        <f>IF(19&gt;COUNTIF($AD$34:$AD$69,TRUE),"",INDEX($AC$34:$AC$69,MATCH(19,$AE$34:$AE$69,0)))</f>
        <v/>
      </c>
      <c r="AA52" t="inlineStr">
        <is>
          <t>Lunar Dew (Equip)</t>
        </is>
      </c>
      <c r="AB52">
        <f>(IF(ArtifactsInput!$M$25,-1,1)*Summary!$B$3*(((1-Summary!$B$11)*IFERROR(B2323/Summary!$B$27,1)+Summary!$B$11*IFERROR(B2324/Summary!$B$28,1))-1)+ArtifactsInput!$L$25)</f>
        <v/>
      </c>
      <c r="AC52">
        <f>IF(ArtifactsInput!$M$25,Summary!$B$3/(Summary!$B$3-(IF(ArtifactsInput!$M$25,-1,1)*Summary!$B$3*(((1-Summary!$B$11)*IFERROR(B2323/Summary!$B$27,1)+Summary!$B$11*IFERROR(B2324/Summary!$B$28,1))-1)+ArtifactsInput!$L$25))*100,(Summary!$B$3+(IF(ArtifactsInput!$M$25,-1,1)*Summary!$B$3*(((1-Summary!$B$11)*IFERROR(B2323/Summary!$B$27,1)+Summary!$B$11*IFERROR(B2324/Summary!$B$28,1))-1)+ArtifactsInput!$L$25))/Summary!$B$3*100)</f>
        <v/>
      </c>
      <c r="AD52">
        <f>ArtifactsInput!$B$25&lt;&gt;"Not Unlocked"</f>
        <v/>
      </c>
      <c r="AE52">
        <f>IF(AD52,SUMPRODUCT(($AD$34:$AD$69)*($AC$34:$AC$69&gt;AC52))+COUNTIFS($AD$34:AD52,TRUE,$AC$34:AC52,AC52),"")</f>
        <v/>
      </c>
    </row>
    <row r="53">
      <c r="A53">
        <f>IF(20&gt;COUNTIF($AD$34:$AD$69,TRUE),"",INDEX($AA$34:$AA$69,MATCH(20,$AE$34:$AE$69,0)))</f>
        <v/>
      </c>
      <c r="B53">
        <f>IF(20&gt;COUNTIF($AD$34:$AD$69,TRUE),"",INDEX($AB$34:$AB$69,MATCH(20,$AE$34:$AE$69,0)))</f>
        <v/>
      </c>
      <c r="C53">
        <f>IF(20&gt;COUNTIF($AD$34:$AD$69,TRUE),"",INDEX($AC$34:$AC$69,MATCH(20,$AE$34:$AE$69,0)))</f>
        <v/>
      </c>
      <c r="AA53" t="inlineStr">
        <is>
          <t>Fire Flower (Equip)</t>
        </is>
      </c>
      <c r="AB53">
        <f>(IF(ArtifactsInput!$M$26,-1,1)*Summary!$B$3*(((1-Summary!$B$11)*IFERROR(B2372/Summary!$B$27,1)+Summary!$B$11*IFERROR(B2373/Summary!$B$28,1))-1)+ArtifactsInput!$L$26)</f>
        <v/>
      </c>
      <c r="AC53">
        <f>IF(ArtifactsInput!$M$26,Summary!$B$3/(Summary!$B$3-(IF(ArtifactsInput!$M$26,-1,1)*Summary!$B$3*(((1-Summary!$B$11)*IFERROR(B2372/Summary!$B$27,1)+Summary!$B$11*IFERROR(B2373/Summary!$B$28,1))-1)+ArtifactsInput!$L$26))*100,(Summary!$B$3+(IF(ArtifactsInput!$M$26,-1,1)*Summary!$B$3*(((1-Summary!$B$11)*IFERROR(B2372/Summary!$B$27,1)+Summary!$B$11*IFERROR(B2373/Summary!$B$28,1))-1)+ArtifactsInput!$L$26))/Summary!$B$3*100)</f>
        <v/>
      </c>
      <c r="AD53">
        <f>ArtifactsInput!$B$26&lt;&gt;"Not Unlocked"</f>
        <v/>
      </c>
      <c r="AE53">
        <f>IF(AD53,SUMPRODUCT(($AD$34:$AD$69)*($AC$34:$AC$69&gt;AC53))+COUNTIFS($AD$34:AD53,TRUE,$AC$34:AC53,AC53),"")</f>
        <v/>
      </c>
    </row>
    <row r="54">
      <c r="A54">
        <f>IF(21&gt;COUNTIF($AD$34:$AD$69,TRUE),"",INDEX($AA$34:$AA$69,MATCH(21,$AE$34:$AE$69,0)))</f>
        <v/>
      </c>
      <c r="B54">
        <f>IF(21&gt;COUNTIF($AD$34:$AD$69,TRUE),"",INDEX($AB$34:$AB$69,MATCH(21,$AE$34:$AE$69,0)))</f>
        <v/>
      </c>
      <c r="C54">
        <f>IF(21&gt;COUNTIF($AD$34:$AD$69,TRUE),"",INDEX($AC$34:$AC$69,MATCH(21,$AE$34:$AE$69,0)))</f>
        <v/>
      </c>
      <c r="AA54" t="inlineStr">
        <is>
          <t>Soul Contract (Equip)</t>
        </is>
      </c>
      <c r="AB54">
        <f>(IF(ArtifactsInput!$M$27,-1,1)*Summary!$B$3*(((1-Summary!$B$11)*IFERROR(B2421/Summary!$B$27,1)+Summary!$B$11*IFERROR(B2422/Summary!$B$28,1))-1)+ArtifactsInput!$L$27)</f>
        <v/>
      </c>
      <c r="AC54">
        <f>IF(ArtifactsInput!$M$27,Summary!$B$3/(Summary!$B$3-(IF(ArtifactsInput!$M$27,-1,1)*Summary!$B$3*(((1-Summary!$B$11)*IFERROR(B2421/Summary!$B$27,1)+Summary!$B$11*IFERROR(B2422/Summary!$B$28,1))-1)+ArtifactsInput!$L$27))*100,(Summary!$B$3+(IF(ArtifactsInput!$M$27,-1,1)*Summary!$B$3*(((1-Summary!$B$11)*IFERROR(B2421/Summary!$B$27,1)+Summary!$B$11*IFERROR(B2422/Summary!$B$28,1))-1)+ArtifactsInput!$L$27))/Summary!$B$3*100)</f>
        <v/>
      </c>
      <c r="AD54">
        <f>ArtifactsInput!$B$27&lt;&gt;"Not Unlocked"</f>
        <v/>
      </c>
      <c r="AE54">
        <f>IF(AD54,SUMPRODUCT(($AD$34:$AD$69)*($AC$34:$AC$69&gt;AC54))+COUNTIFS($AD$34:AD54,TRUE,$AC$34:AC54,AC54),"")</f>
        <v/>
      </c>
    </row>
    <row r="55">
      <c r="A55">
        <f>IF(22&gt;COUNTIF($AD$34:$AD$69,TRUE),"",INDEX($AA$34:$AA$69,MATCH(22,$AE$34:$AE$69,0)))</f>
        <v/>
      </c>
      <c r="B55">
        <f>IF(22&gt;COUNTIF($AD$34:$AD$69,TRUE),"",INDEX($AB$34:$AB$69,MATCH(22,$AE$34:$AE$69,0)))</f>
        <v/>
      </c>
      <c r="C55">
        <f>IF(22&gt;COUNTIF($AD$34:$AD$69,TRUE),"",INDEX($AC$34:$AC$69,MATCH(22,$AE$34:$AE$69,0)))</f>
        <v/>
      </c>
      <c r="AA55" t="inlineStr">
        <is>
          <t>Lit Lamp (Equip)</t>
        </is>
      </c>
      <c r="AB55">
        <f>(IF(ArtifactsInput!$M$28,-1,1)*Summary!$B$3*(((1-Summary!$B$11)*IFERROR(B2470/Summary!$B$27,1)+Summary!$B$11*IFERROR(B2471/Summary!$B$28,1))-1)+ArtifactsInput!$L$28)</f>
        <v/>
      </c>
      <c r="AC55">
        <f>IF(ArtifactsInput!$M$28,Summary!$B$3/(Summary!$B$3-(IF(ArtifactsInput!$M$28,-1,1)*Summary!$B$3*(((1-Summary!$B$11)*IFERROR(B2470/Summary!$B$27,1)+Summary!$B$11*IFERROR(B2471/Summary!$B$28,1))-1)+ArtifactsInput!$L$28))*100,(Summary!$B$3+(IF(ArtifactsInput!$M$28,-1,1)*Summary!$B$3*(((1-Summary!$B$11)*IFERROR(B2470/Summary!$B$27,1)+Summary!$B$11*IFERROR(B2471/Summary!$B$28,1))-1)+ArtifactsInput!$L$28))/Summary!$B$3*100)</f>
        <v/>
      </c>
      <c r="AD55">
        <f>ArtifactsInput!$B$28&lt;&gt;"Not Unlocked"</f>
        <v/>
      </c>
      <c r="AE55">
        <f>IF(AD55,SUMPRODUCT(($AD$34:$AD$69)*($AC$34:$AC$69&gt;AC55))+COUNTIFS($AD$34:AD55,TRUE,$AC$34:AC55,AC55),"")</f>
        <v/>
      </c>
    </row>
    <row r="56">
      <c r="A56">
        <f>IF(23&gt;COUNTIF($AD$34:$AD$69,TRUE),"",INDEX($AA$34:$AA$69,MATCH(23,$AE$34:$AE$69,0)))</f>
        <v/>
      </c>
      <c r="B56">
        <f>IF(23&gt;COUNTIF($AD$34:$AD$69,TRUE),"",INDEX($AB$34:$AB$69,MATCH(23,$AE$34:$AE$69,0)))</f>
        <v/>
      </c>
      <c r="C56">
        <f>IF(23&gt;COUNTIF($AD$34:$AD$69,TRUE),"",INDEX($AC$34:$AC$69,MATCH(23,$AE$34:$AE$69,0)))</f>
        <v/>
      </c>
      <c r="AA56" t="inlineStr">
        <is>
          <t>Soul Pouch (Equip)</t>
        </is>
      </c>
      <c r="AB56">
        <f>(IF(ArtifactsInput!$M$29,-1,1)*Summary!$B$3*(((1-Summary!$B$11)*IFERROR(B2519/Summary!$B$27,1)+Summary!$B$11*IFERROR(B2520/Summary!$B$28,1))-1)+ArtifactsInput!$L$29)</f>
        <v/>
      </c>
      <c r="AC56">
        <f>IF(ArtifactsInput!$M$29,Summary!$B$3/(Summary!$B$3-(IF(ArtifactsInput!$M$29,-1,1)*Summary!$B$3*(((1-Summary!$B$11)*IFERROR(B2519/Summary!$B$27,1)+Summary!$B$11*IFERROR(B2520/Summary!$B$28,1))-1)+ArtifactsInput!$L$29))*100,(Summary!$B$3+(IF(ArtifactsInput!$M$29,-1,1)*Summary!$B$3*(((1-Summary!$B$11)*IFERROR(B2519/Summary!$B$27,1)+Summary!$B$11*IFERROR(B2520/Summary!$B$28,1))-1)+ArtifactsInput!$L$29))/Summary!$B$3*100)</f>
        <v/>
      </c>
      <c r="AD56">
        <f>ArtifactsInput!$B$29&lt;&gt;"Not Unlocked"</f>
        <v/>
      </c>
      <c r="AE56">
        <f>IF(AD56,SUMPRODUCT(($AD$34:$AD$69)*($AC$34:$AC$69&gt;AC56))+COUNTIFS($AD$34:AD56,TRUE,$AC$34:AC56,AC56),"")</f>
        <v/>
      </c>
    </row>
    <row r="57">
      <c r="A57">
        <f>IF(24&gt;COUNTIF($AD$34:$AD$69,TRUE),"",INDEX($AA$34:$AA$69,MATCH(24,$AE$34:$AE$69,0)))</f>
        <v/>
      </c>
      <c r="B57">
        <f>IF(24&gt;COUNTIF($AD$34:$AD$69,TRUE),"",INDEX($AB$34:$AB$69,MATCH(24,$AE$34:$AE$69,0)))</f>
        <v/>
      </c>
      <c r="C57">
        <f>IF(24&gt;COUNTIF($AD$34:$AD$69,TRUE),"",INDEX($AC$34:$AC$69,MATCH(24,$AE$34:$AE$69,0)))</f>
        <v/>
      </c>
      <c r="AA57" t="inlineStr">
        <is>
          <t>Ancient Text Piece (Equip)</t>
        </is>
      </c>
      <c r="AB57">
        <f>(IF(ArtifactsInput!$M$30,-1,1)*Summary!$B$3*(((1-Summary!$B$11)*IFERROR(B2568/Summary!$B$27,1)+Summary!$B$11*IFERROR(B2569/Summary!$B$28,1))-1)+ArtifactsInput!$L$30)</f>
        <v/>
      </c>
      <c r="AC57">
        <f>IF(ArtifactsInput!$M$30,Summary!$B$3/(Summary!$B$3-(IF(ArtifactsInput!$M$30,-1,1)*Summary!$B$3*(((1-Summary!$B$11)*IFERROR(B2568/Summary!$B$27,1)+Summary!$B$11*IFERROR(B2569/Summary!$B$28,1))-1)+ArtifactsInput!$L$30))*100,(Summary!$B$3+(IF(ArtifactsInput!$M$30,-1,1)*Summary!$B$3*(((1-Summary!$B$11)*IFERROR(B2568/Summary!$B$27,1)+Summary!$B$11*IFERROR(B2569/Summary!$B$28,1))-1)+ArtifactsInput!$L$30))/Summary!$B$3*100)</f>
        <v/>
      </c>
      <c r="AD57">
        <f>ArtifactsInput!$B$30&lt;&gt;"Not Unlocked"</f>
        <v/>
      </c>
      <c r="AE57">
        <f>IF(AD57,SUMPRODUCT(($AD$34:$AD$69)*($AC$34:$AC$69&gt;AC57))+COUNTIFS($AD$34:AD57,TRUE,$AC$34:AC57,AC57),"")</f>
        <v/>
      </c>
    </row>
    <row r="58">
      <c r="A58">
        <f>IF(25&gt;COUNTIF($AD$34:$AD$69,TRUE),"",INDEX($AA$34:$AA$69,MATCH(25,$AE$34:$AE$69,0)))</f>
        <v/>
      </c>
      <c r="B58">
        <f>IF(25&gt;COUNTIF($AD$34:$AD$69,TRUE),"",INDEX($AB$34:$AB$69,MATCH(25,$AE$34:$AE$69,0)))</f>
        <v/>
      </c>
      <c r="C58">
        <f>IF(25&gt;COUNTIF($AD$34:$AD$69,TRUE),"",INDEX($AC$34:$AC$69,MATCH(25,$AE$34:$AE$69,0)))</f>
        <v/>
      </c>
      <c r="AA58" t="inlineStr">
        <is>
          <t>Icy Soul Rock (Equip)</t>
        </is>
      </c>
      <c r="AB58">
        <f>(IF(ArtifactsInput!$M$31,-1,1)*Summary!$B$3*(((1-Summary!$B$11)*IFERROR(B2617/Summary!$B$27,1)+Summary!$B$11*IFERROR(B2618/Summary!$B$28,1))-1)+ArtifactsInput!$L$31)</f>
        <v/>
      </c>
      <c r="AC58">
        <f>IF(ArtifactsInput!$M$31,Summary!$B$3/(Summary!$B$3-(IF(ArtifactsInput!$M$31,-1,1)*Summary!$B$3*(((1-Summary!$B$11)*IFERROR(B2617/Summary!$B$27,1)+Summary!$B$11*IFERROR(B2618/Summary!$B$28,1))-1)+ArtifactsInput!$L$31))*100,(Summary!$B$3+(IF(ArtifactsInput!$M$31,-1,1)*Summary!$B$3*(((1-Summary!$B$11)*IFERROR(B2617/Summary!$B$27,1)+Summary!$B$11*IFERROR(B2618/Summary!$B$28,1))-1)+ArtifactsInput!$L$31))/Summary!$B$3*100)</f>
        <v/>
      </c>
      <c r="AD58">
        <f>ArtifactsInput!$B$31&lt;&gt;"Not Unlocked"</f>
        <v/>
      </c>
      <c r="AE58">
        <f>IF(AD58,SUMPRODUCT(($AD$34:$AD$69)*($AC$34:$AC$69&gt;AC58))+COUNTIFS($AD$34:AD58,TRUE,$AC$34:AC58,AC58),"")</f>
        <v/>
      </c>
    </row>
    <row r="59">
      <c r="A59">
        <f>IF(26&gt;COUNTIF($AD$34:$AD$69,TRUE),"",INDEX($AA$34:$AA$69,MATCH(26,$AE$34:$AE$69,0)))</f>
        <v/>
      </c>
      <c r="B59">
        <f>IF(26&gt;COUNTIF($AD$34:$AD$69,TRUE),"",INDEX($AB$34:$AB$69,MATCH(26,$AE$34:$AE$69,0)))</f>
        <v/>
      </c>
      <c r="C59">
        <f>IF(26&gt;COUNTIF($AD$34:$AD$69,TRUE),"",INDEX($AC$34:$AC$69,MATCH(26,$AE$34:$AE$69,0)))</f>
        <v/>
      </c>
      <c r="AA59" t="inlineStr">
        <is>
          <t>Flaming Lava (Equip)</t>
        </is>
      </c>
      <c r="AB59">
        <f>(IF(ArtifactsInput!$M$32,-1,1)*Summary!$B$3*(((1-Summary!$B$11)*IFERROR(B2666/Summary!$B$27,1)+Summary!$B$11*IFERROR(B2667/Summary!$B$28,1))-1)+ArtifactsInput!$L$32)</f>
        <v/>
      </c>
      <c r="AC59">
        <f>IF(ArtifactsInput!$M$32,Summary!$B$3/(Summary!$B$3-(IF(ArtifactsInput!$M$32,-1,1)*Summary!$B$3*(((1-Summary!$B$11)*IFERROR(B2666/Summary!$B$27,1)+Summary!$B$11*IFERROR(B2667/Summary!$B$28,1))-1)+ArtifactsInput!$L$32))*100,(Summary!$B$3+(IF(ArtifactsInput!$M$32,-1,1)*Summary!$B$3*(((1-Summary!$B$11)*IFERROR(B2666/Summary!$B$27,1)+Summary!$B$11*IFERROR(B2667/Summary!$B$28,1))-1)+ArtifactsInput!$L$32))/Summary!$B$3*100)</f>
        <v/>
      </c>
      <c r="AD59">
        <f>ArtifactsInput!$B$32&lt;&gt;"Not Unlocked"</f>
        <v/>
      </c>
      <c r="AE59">
        <f>IF(AD59,SUMPRODUCT(($AD$34:$AD$69)*($AC$34:$AC$69&gt;AC59))+COUNTIFS($AD$34:AD59,TRUE,$AC$34:AC59,AC59),"")</f>
        <v/>
      </c>
    </row>
    <row r="60">
      <c r="A60">
        <f>IF(27&gt;COUNTIF($AD$34:$AD$69,TRUE),"",INDEX($AA$34:$AA$69,MATCH(27,$AE$34:$AE$69,0)))</f>
        <v/>
      </c>
      <c r="B60">
        <f>IF(27&gt;COUNTIF($AD$34:$AD$69,TRUE),"",INDEX($AB$34:$AB$69,MATCH(27,$AE$34:$AE$69,0)))</f>
        <v/>
      </c>
      <c r="C60">
        <f>IF(27&gt;COUNTIF($AD$34:$AD$69,TRUE),"",INDEX($AC$34:$AC$69,MATCH(27,$AE$34:$AE$69,0)))</f>
        <v/>
      </c>
      <c r="AA60" t="inlineStr">
        <is>
          <t>Sayram's Necklace (Equip)</t>
        </is>
      </c>
      <c r="AB60">
        <f>(IF(ArtifactsInput!$M$33,-1,1)*Summary!$B$3*(((1-Summary!$B$11)*IFERROR(B2715/Summary!$B$27,1)+Summary!$B$11*IFERROR(B2716/Summary!$B$28,1))-1)+ArtifactsInput!$L$33)</f>
        <v/>
      </c>
      <c r="AC60">
        <f>IF(ArtifactsInput!$M$33,Summary!$B$3/(Summary!$B$3-(IF(ArtifactsInput!$M$33,-1,1)*Summary!$B$3*(((1-Summary!$B$11)*IFERROR(B2715/Summary!$B$27,1)+Summary!$B$11*IFERROR(B2716/Summary!$B$28,1))-1)+ArtifactsInput!$L$33))*100,(Summary!$B$3+(IF(ArtifactsInput!$M$33,-1,1)*Summary!$B$3*(((1-Summary!$B$11)*IFERROR(B2715/Summary!$B$27,1)+Summary!$B$11*IFERROR(B2716/Summary!$B$28,1))-1)+ArtifactsInput!$L$33))/Summary!$B$3*100)</f>
        <v/>
      </c>
      <c r="AD60">
        <f>ArtifactsInput!$B$33&lt;&gt;"Not Unlocked"</f>
        <v/>
      </c>
      <c r="AE60">
        <f>IF(AD60,SUMPRODUCT(($AD$34:$AD$69)*($AC$34:$AC$69&gt;AC60))+COUNTIFS($AD$34:AD60,TRUE,$AC$34:AC60,AC60),"")</f>
        <v/>
      </c>
    </row>
    <row r="61">
      <c r="A61">
        <f>IF(28&gt;COUNTIF($AD$34:$AD$69,TRUE),"",INDEX($AA$34:$AA$69,MATCH(28,$AE$34:$AE$69,0)))</f>
        <v/>
      </c>
      <c r="B61">
        <f>IF(28&gt;COUNTIF($AD$34:$AD$69,TRUE),"",INDEX($AB$34:$AB$69,MATCH(28,$AE$34:$AE$69,0)))</f>
        <v/>
      </c>
      <c r="C61">
        <f>IF(28&gt;COUNTIF($AD$34:$AD$69,TRUE),"",INDEX($AC$34:$AC$69,MATCH(28,$AE$34:$AE$69,0)))</f>
        <v/>
      </c>
      <c r="AA61" t="inlineStr">
        <is>
          <t>Bottle of Emotion (Equip)</t>
        </is>
      </c>
      <c r="AB61">
        <f>(IF(ArtifactsInput!$M$34,-1,1)*Summary!$B$3*(((1-Summary!$B$11)*IFERROR(B2764/Summary!$B$27,1)+Summary!$B$11*IFERROR(B2765/Summary!$B$28,1))-1)+ArtifactsInput!$L$34)</f>
        <v/>
      </c>
      <c r="AC61">
        <f>IF(ArtifactsInput!$M$34,Summary!$B$3/(Summary!$B$3-(IF(ArtifactsInput!$M$34,-1,1)*Summary!$B$3*(((1-Summary!$B$11)*IFERROR(B2764/Summary!$B$27,1)+Summary!$B$11*IFERROR(B2765/Summary!$B$28,1))-1)+ArtifactsInput!$L$34))*100,(Summary!$B$3+(IF(ArtifactsInput!$M$34,-1,1)*Summary!$B$3*(((1-Summary!$B$11)*IFERROR(B2764/Summary!$B$27,1)+Summary!$B$11*IFERROR(B2765/Summary!$B$28,1))-1)+ArtifactsInput!$L$34))/Summary!$B$3*100)</f>
        <v/>
      </c>
      <c r="AD61">
        <f>ArtifactsInput!$B$34&lt;&gt;"Not Unlocked"</f>
        <v/>
      </c>
      <c r="AE61">
        <f>IF(AD61,SUMPRODUCT(($AD$34:$AD$69)*($AC$34:$AC$69&gt;AC61))+COUNTIFS($AD$34:AD61,TRUE,$AC$34:AC61,AC61),"")</f>
        <v/>
      </c>
    </row>
    <row r="62">
      <c r="A62">
        <f>IF(29&gt;COUNTIF($AD$34:$AD$69,TRUE),"",INDEX($AA$34:$AA$69,MATCH(29,$AE$34:$AE$69,0)))</f>
        <v/>
      </c>
      <c r="B62">
        <f>IF(29&gt;COUNTIF($AD$34:$AD$69,TRUE),"",INDEX($AB$34:$AB$69,MATCH(29,$AE$34:$AE$69,0)))</f>
        <v/>
      </c>
      <c r="C62">
        <f>IF(29&gt;COUNTIF($AD$34:$AD$69,TRUE),"",INDEX($AC$34:$AC$69,MATCH(29,$AE$34:$AE$69,0)))</f>
        <v/>
      </c>
      <c r="AA62" t="inlineStr">
        <is>
          <t>Peach Tree Herb Pouch (Equip)</t>
        </is>
      </c>
      <c r="AB62">
        <f>(IF(ArtifactsInput!$M$35,-1,1)*Summary!$B$3*(((1-Summary!$B$11)*IFERROR(B2813/Summary!$B$27,1)+Summary!$B$11*IFERROR(B2814/Summary!$B$28,1))-1)+ArtifactsInput!$L$35)</f>
        <v/>
      </c>
      <c r="AC62">
        <f>IF(ArtifactsInput!$M$35,Summary!$B$3/(Summary!$B$3-(IF(ArtifactsInput!$M$35,-1,1)*Summary!$B$3*(((1-Summary!$B$11)*IFERROR(B2813/Summary!$B$27,1)+Summary!$B$11*IFERROR(B2814/Summary!$B$28,1))-1)+ArtifactsInput!$L$35))*100,(Summary!$B$3+(IF(ArtifactsInput!$M$35,-1,1)*Summary!$B$3*(((1-Summary!$B$11)*IFERROR(B2813/Summary!$B$27,1)+Summary!$B$11*IFERROR(B2814/Summary!$B$28,1))-1)+ArtifactsInput!$L$35))/Summary!$B$3*100)</f>
        <v/>
      </c>
      <c r="AD62">
        <f>ArtifactsInput!$B$35&lt;&gt;"Not Unlocked"</f>
        <v/>
      </c>
      <c r="AE62">
        <f>IF(AD62,SUMPRODUCT(($AD$34:$AD$69)*($AC$34:$AC$69&gt;AC62))+COUNTIFS($AD$34:AD62,TRUE,$AC$34:AC62,AC62),"")</f>
        <v/>
      </c>
    </row>
    <row r="63">
      <c r="A63">
        <f>IF(30&gt;COUNTIF($AD$34:$AD$69,TRUE),"",INDEX($AA$34:$AA$69,MATCH(30,$AE$34:$AE$69,0)))</f>
        <v/>
      </c>
      <c r="B63">
        <f>IF(30&gt;COUNTIF($AD$34:$AD$69,TRUE),"",INDEX($AB$34:$AB$69,MATCH(30,$AE$34:$AE$69,0)))</f>
        <v/>
      </c>
      <c r="C63">
        <f>IF(30&gt;COUNTIF($AD$34:$AD$69,TRUE),"",INDEX($AC$34:$AC$69,MATCH(30,$AE$34:$AE$69,0)))</f>
        <v/>
      </c>
      <c r="AA63" t="inlineStr">
        <is>
          <t>Candle (Equip)</t>
        </is>
      </c>
      <c r="AB63">
        <f>(IF(ArtifactsInput!$M$36,-1,1)*Summary!$B$3*(((1-Summary!$B$11)*IFERROR(B2862/Summary!$B$27,1)+Summary!$B$11*IFERROR(B2863/Summary!$B$28,1))-1)+ArtifactsInput!$L$36)</f>
        <v/>
      </c>
      <c r="AC63">
        <f>IF(ArtifactsInput!$M$36,Summary!$B$3/(Summary!$B$3-(IF(ArtifactsInput!$M$36,-1,1)*Summary!$B$3*(((1-Summary!$B$11)*IFERROR(B2862/Summary!$B$27,1)+Summary!$B$11*IFERROR(B2863/Summary!$B$28,1))-1)+ArtifactsInput!$L$36))*100,(Summary!$B$3+(IF(ArtifactsInput!$M$36,-1,1)*Summary!$B$3*(((1-Summary!$B$11)*IFERROR(B2862/Summary!$B$27,1)+Summary!$B$11*IFERROR(B2863/Summary!$B$28,1))-1)+ArtifactsInput!$L$36))/Summary!$B$3*100)</f>
        <v/>
      </c>
      <c r="AD63">
        <f>ArtifactsInput!$B$36&lt;&gt;"Not Unlocked"</f>
        <v/>
      </c>
      <c r="AE63">
        <f>IF(AD63,SUMPRODUCT(($AD$34:$AD$69)*($AC$34:$AC$69&gt;AC63))+COUNTIFS($AD$34:AD63,TRUE,$AC$34:AC63,AC63),"")</f>
        <v/>
      </c>
    </row>
    <row r="64">
      <c r="A64">
        <f>IF(31&gt;COUNTIF($AD$34:$AD$69,TRUE),"",INDEX($AA$34:$AA$69,MATCH(31,$AE$34:$AE$69,0)))</f>
        <v/>
      </c>
      <c r="B64">
        <f>IF(31&gt;COUNTIF($AD$34:$AD$69,TRUE),"",INDEX($AB$34:$AB$69,MATCH(31,$AE$34:$AE$69,0)))</f>
        <v/>
      </c>
      <c r="C64">
        <f>IF(31&gt;COUNTIF($AD$34:$AD$69,TRUE),"",INDEX($AC$34:$AC$69,MATCH(31,$AE$34:$AE$69,0)))</f>
        <v/>
      </c>
      <c r="AA64" t="inlineStr">
        <is>
          <t>Alliance Badge (Equip)</t>
        </is>
      </c>
      <c r="AB64">
        <f>(IF(ArtifactsInput!$M$37,-1,1)*Summary!$B$3*(((1-Summary!$B$11)*IFERROR(B2911/Summary!$B$27,1)+Summary!$B$11*IFERROR(B2912/Summary!$B$28,1))-1)+ArtifactsInput!$L$37)</f>
        <v/>
      </c>
      <c r="AC64">
        <f>IF(ArtifactsInput!$M$37,Summary!$B$3/(Summary!$B$3-(IF(ArtifactsInput!$M$37,-1,1)*Summary!$B$3*(((1-Summary!$B$11)*IFERROR(B2911/Summary!$B$27,1)+Summary!$B$11*IFERROR(B2912/Summary!$B$28,1))-1)+ArtifactsInput!$L$37))*100,(Summary!$B$3+(IF(ArtifactsInput!$M$37,-1,1)*Summary!$B$3*(((1-Summary!$B$11)*IFERROR(B2911/Summary!$B$27,1)+Summary!$B$11*IFERROR(B2912/Summary!$B$28,1))-1)+ArtifactsInput!$L$37))/Summary!$B$3*100)</f>
        <v/>
      </c>
      <c r="AD64">
        <f>ArtifactsInput!$B$37&lt;&gt;"Not Unlocked"</f>
        <v/>
      </c>
      <c r="AE64">
        <f>IF(AD64,SUMPRODUCT(($AD$34:$AD$69)*($AC$34:$AC$69&gt;AC64))+COUNTIFS($AD$34:AD64,TRUE,$AC$34:AC64,AC64),"")</f>
        <v/>
      </c>
    </row>
    <row r="65">
      <c r="A65">
        <f>IF(32&gt;COUNTIF($AD$34:$AD$69,TRUE),"",INDEX($AA$34:$AA$69,MATCH(32,$AE$34:$AE$69,0)))</f>
        <v/>
      </c>
      <c r="B65">
        <f>IF(32&gt;COUNTIF($AD$34:$AD$69,TRUE),"",INDEX($AB$34:$AB$69,MATCH(32,$AE$34:$AE$69,0)))</f>
        <v/>
      </c>
      <c r="C65">
        <f>IF(32&gt;COUNTIF($AD$34:$AD$69,TRUE),"",INDEX($AC$34:$AC$69,MATCH(32,$AE$34:$AE$69,0)))</f>
        <v/>
      </c>
      <c r="AA65" t="inlineStr">
        <is>
          <t>Horn Flute (Equip)</t>
        </is>
      </c>
      <c r="AB65">
        <f>(IF(ArtifactsInput!$M$38,-1,1)*Summary!$B$3*(((1-Summary!$B$11)*IFERROR(B2960/Summary!$B$27,1)+Summary!$B$11*IFERROR(B2961/Summary!$B$28,1))-1)+ArtifactsInput!$L$38)</f>
        <v/>
      </c>
      <c r="AC65">
        <f>IF(ArtifactsInput!$M$38,Summary!$B$3/(Summary!$B$3-(IF(ArtifactsInput!$M$38,-1,1)*Summary!$B$3*(((1-Summary!$B$11)*IFERROR(B2960/Summary!$B$27,1)+Summary!$B$11*IFERROR(B2961/Summary!$B$28,1))-1)+ArtifactsInput!$L$38))*100,(Summary!$B$3+(IF(ArtifactsInput!$M$38,-1,1)*Summary!$B$3*(((1-Summary!$B$11)*IFERROR(B2960/Summary!$B$27,1)+Summary!$B$11*IFERROR(B2961/Summary!$B$28,1))-1)+ArtifactsInput!$L$38))/Summary!$B$3*100)</f>
        <v/>
      </c>
      <c r="AD65">
        <f>ArtifactsInput!$B$38&lt;&gt;"Not Unlocked"</f>
        <v/>
      </c>
      <c r="AE65">
        <f>IF(AD65,SUMPRODUCT(($AD$34:$AD$69)*($AC$34:$AC$69&gt;AC65))+COUNTIFS($AD$34:AD65,TRUE,$AC$34:AC65,AC65),"")</f>
        <v/>
      </c>
    </row>
    <row r="66">
      <c r="A66">
        <f>IF(33&gt;COUNTIF($AD$34:$AD$69,TRUE),"",INDEX($AA$34:$AA$69,MATCH(33,$AE$34:$AE$69,0)))</f>
        <v/>
      </c>
      <c r="B66">
        <f>IF(33&gt;COUNTIF($AD$34:$AD$69,TRUE),"",INDEX($AB$34:$AB$69,MATCH(33,$AE$34:$AE$69,0)))</f>
        <v/>
      </c>
      <c r="C66">
        <f>IF(33&gt;COUNTIF($AD$34:$AD$69,TRUE),"",INDEX($AC$34:$AC$69,MATCH(33,$AE$34:$AE$69,0)))</f>
        <v/>
      </c>
      <c r="AA66" t="inlineStr">
        <is>
          <t>Cursed Doll (Equip)</t>
        </is>
      </c>
      <c r="AB66">
        <f>(IF(ArtifactsInput!$M$39,-1,1)*Summary!$B$3*(((1-Summary!$B$11)*IFERROR(B3009/Summary!$B$27,1)+Summary!$B$11*IFERROR(B3010/Summary!$B$28,1))-1)+ArtifactsInput!$L$39)</f>
        <v/>
      </c>
      <c r="AC66">
        <f>IF(ArtifactsInput!$M$39,Summary!$B$3/(Summary!$B$3-(IF(ArtifactsInput!$M$39,-1,1)*Summary!$B$3*(((1-Summary!$B$11)*IFERROR(B3009/Summary!$B$27,1)+Summary!$B$11*IFERROR(B3010/Summary!$B$28,1))-1)+ArtifactsInput!$L$39))*100,(Summary!$B$3+(IF(ArtifactsInput!$M$39,-1,1)*Summary!$B$3*(((1-Summary!$B$11)*IFERROR(B3009/Summary!$B$27,1)+Summary!$B$11*IFERROR(B3010/Summary!$B$28,1))-1)+ArtifactsInput!$L$39))/Summary!$B$3*100)</f>
        <v/>
      </c>
      <c r="AD66">
        <f>ArtifactsInput!$B$39&lt;&gt;"Not Unlocked"</f>
        <v/>
      </c>
      <c r="AE66">
        <f>IF(AD66,SUMPRODUCT(($AD$34:$AD$69)*($AC$34:$AC$69&gt;AC66))+COUNTIFS($AD$34:AD66,TRUE,$AC$34:AC66,AC66),"")</f>
        <v/>
      </c>
    </row>
    <row r="67">
      <c r="A67">
        <f>IF(34&gt;COUNTIF($AD$34:$AD$69,TRUE),"",INDEX($AA$34:$AA$69,MATCH(34,$AE$34:$AE$69,0)))</f>
        <v/>
      </c>
      <c r="B67">
        <f>IF(34&gt;COUNTIF($AD$34:$AD$69,TRUE),"",INDEX($AB$34:$AB$69,MATCH(34,$AE$34:$AE$69,0)))</f>
        <v/>
      </c>
      <c r="C67">
        <f>IF(34&gt;COUNTIF($AD$34:$AD$69,TRUE),"",INDEX($AC$34:$AC$69,MATCH(34,$AE$34:$AE$69,0)))</f>
        <v/>
      </c>
      <c r="AA67" t="inlineStr">
        <is>
          <t>Reindeer's Spear (Equip)</t>
        </is>
      </c>
      <c r="AB67">
        <f>(IF(ArtifactsInput!$M$40,-1,1)*Summary!$B$3*(((1-Summary!$B$11)*IFERROR(B3058/Summary!$B$27,1)+Summary!$B$11*IFERROR(B3059/Summary!$B$28,1))-1)+ArtifactsInput!$L$40)</f>
        <v/>
      </c>
      <c r="AC67">
        <f>IF(ArtifactsInput!$M$40,Summary!$B$3/(Summary!$B$3-(IF(ArtifactsInput!$M$40,-1,1)*Summary!$B$3*(((1-Summary!$B$11)*IFERROR(B3058/Summary!$B$27,1)+Summary!$B$11*IFERROR(B3059/Summary!$B$28,1))-1)+ArtifactsInput!$L$40))*100,(Summary!$B$3+(IF(ArtifactsInput!$M$40,-1,1)*Summary!$B$3*(((1-Summary!$B$11)*IFERROR(B3058/Summary!$B$27,1)+Summary!$B$11*IFERROR(B3059/Summary!$B$28,1))-1)+ArtifactsInput!$L$40))/Summary!$B$3*100)</f>
        <v/>
      </c>
      <c r="AD67">
        <f>ArtifactsInput!$B$40&lt;&gt;"Not Unlocked"</f>
        <v/>
      </c>
      <c r="AE67">
        <f>IF(AD67,SUMPRODUCT(($AD$34:$AD$69)*($AC$34:$AC$69&gt;AC67))+COUNTIFS($AD$34:AD67,TRUE,$AC$34:AC67,AC67),"")</f>
        <v/>
      </c>
    </row>
    <row r="68">
      <c r="A68">
        <f>IF(35&gt;COUNTIF($AD$34:$AD$69,TRUE),"",INDEX($AA$34:$AA$69,MATCH(35,$AE$34:$AE$69,0)))</f>
        <v/>
      </c>
      <c r="B68">
        <f>IF(35&gt;COUNTIF($AD$34:$AD$69,TRUE),"",INDEX($AB$34:$AB$69,MATCH(35,$AE$34:$AE$69,0)))</f>
        <v/>
      </c>
      <c r="C68">
        <f>IF(35&gt;COUNTIF($AD$34:$AD$69,TRUE),"",INDEX($AC$34:$AC$69,MATCH(35,$AE$34:$AE$69,0)))</f>
        <v/>
      </c>
      <c r="AA68" t="inlineStr">
        <is>
          <t>Secret Map (Equip)</t>
        </is>
      </c>
      <c r="AB68">
        <f>(IF(ArtifactsInput!$M$41,-1,1)*Summary!$B$3*(((1-Summary!$B$11)*IFERROR(B3107/Summary!$B$27,1)+Summary!$B$11*IFERROR(B3108/Summary!$B$28,1))-1)+ArtifactsInput!$L$41)</f>
        <v/>
      </c>
      <c r="AC68">
        <f>IF(ArtifactsInput!$M$41,Summary!$B$3/(Summary!$B$3-(IF(ArtifactsInput!$M$41,-1,1)*Summary!$B$3*(((1-Summary!$B$11)*IFERROR(B3107/Summary!$B$27,1)+Summary!$B$11*IFERROR(B3108/Summary!$B$28,1))-1)+ArtifactsInput!$L$41))*100,(Summary!$B$3+(IF(ArtifactsInput!$M$41,-1,1)*Summary!$B$3*(((1-Summary!$B$11)*IFERROR(B3107/Summary!$B$27,1)+Summary!$B$11*IFERROR(B3108/Summary!$B$28,1))-1)+ArtifactsInput!$L$41))/Summary!$B$3*100)</f>
        <v/>
      </c>
      <c r="AD68">
        <f>ArtifactsInput!$B$41&lt;&gt;"Not Unlocked"</f>
        <v/>
      </c>
      <c r="AE68">
        <f>IF(AD68,SUMPRODUCT(($AD$34:$AD$69)*($AC$34:$AC$69&gt;AC68))+COUNTIFS($AD$34:AD68,TRUE,$AC$34:AC68,AC68),"")</f>
        <v/>
      </c>
    </row>
    <row r="69">
      <c r="A69">
        <f>IF(36&gt;COUNTIF($AD$34:$AD$69,TRUE),"",INDEX($AA$34:$AA$69,MATCH(36,$AE$34:$AE$69,0)))</f>
        <v/>
      </c>
      <c r="B69">
        <f>IF(36&gt;COUNTIF($AD$34:$AD$69,TRUE),"",INDEX($AB$34:$AB$69,MATCH(36,$AE$34:$AE$69,0)))</f>
        <v/>
      </c>
      <c r="C69">
        <f>IF(36&gt;COUNTIF($AD$34:$AD$69,TRUE),"",INDEX($AC$34:$AC$69,MATCH(36,$AE$34:$AE$69,0)))</f>
        <v/>
      </c>
      <c r="AA69" t="inlineStr">
        <is>
          <t>Ring of Cycles (Equip)</t>
        </is>
      </c>
      <c r="AB69">
        <f>(IF(ArtifactsInput!$M$42,-1,1)*Summary!$B$3*(((1-Summary!$B$11)*IFERROR(B3156/Summary!$B$27,1)+Summary!$B$11*IFERROR(B3157/Summary!$B$28,1))-1)+ArtifactsInput!$L$42)</f>
        <v/>
      </c>
      <c r="AC69">
        <f>IF(ArtifactsInput!$M$42,Summary!$B$3/(Summary!$B$3-(IF(ArtifactsInput!$M$42,-1,1)*Summary!$B$3*(((1-Summary!$B$11)*IFERROR(B3156/Summary!$B$27,1)+Summary!$B$11*IFERROR(B3157/Summary!$B$28,1))-1)+ArtifactsInput!$L$42))*100,(Summary!$B$3+(IF(ArtifactsInput!$M$42,-1,1)*Summary!$B$3*(((1-Summary!$B$11)*IFERROR(B3156/Summary!$B$27,1)+Summary!$B$11*IFERROR(B3157/Summary!$B$28,1))-1)+ArtifactsInput!$L$42))/Summary!$B$3*100)</f>
        <v/>
      </c>
      <c r="AD69">
        <f>ArtifactsInput!$B$42&lt;&gt;"Not Unlocked"</f>
        <v/>
      </c>
      <c r="AE69">
        <f>IF(AD69,SUMPRODUCT(($AD$34:$AD$69)*($AC$34:$AC$69&gt;AC69))+COUNTIFS($AD$34:AD69,TRUE,$AC$34:AC69,AC69),"")</f>
        <v/>
      </c>
    </row>
    <row r="72">
      <c r="A72" s="6" t="inlineStr">
        <is>
          <t>Stat: Flat LUK</t>
        </is>
      </c>
    </row>
    <row r="73">
      <c r="A73" s="5" t="inlineStr">
        <is>
          <t>Key</t>
        </is>
      </c>
      <c r="B73" s="5" t="inlineStr">
        <is>
          <t>Name</t>
        </is>
      </c>
      <c r="C73" s="5" t="inlineStr">
        <is>
          <t>Unlocked</t>
        </is>
      </c>
      <c r="D73" s="5" t="inlineStr">
        <is>
          <t>InputLevel</t>
        </is>
      </c>
      <c r="E73" s="5" t="inlineStr">
        <is>
          <t>Factor</t>
        </is>
      </c>
      <c r="F73" s="5" t="inlineStr">
        <is>
          <t>CoefficientPercent</t>
        </is>
      </c>
      <c r="G73" s="5" t="inlineStr">
        <is>
          <t>EffectiveHits</t>
        </is>
      </c>
      <c r="H73" s="5" t="inlineStr">
        <is>
          <t>ProcProbability</t>
        </is>
      </c>
      <c r="I73" s="5" t="inlineStr">
        <is>
          <t>MapleHeroMultiplier</t>
        </is>
      </c>
      <c r="J73" s="5" t="inlineStr">
        <is>
          <t>BaseDamage</t>
        </is>
      </c>
      <c r="K73" s="5" t="inlineStr">
        <is>
          <t>BaseHitDamage</t>
        </is>
      </c>
      <c r="L73" s="5" t="inlineStr">
        <is>
          <t>NonCritAvg</t>
        </is>
      </c>
      <c r="M73" s="5" t="inlineStr">
        <is>
          <t>CritAvg</t>
        </is>
      </c>
      <c r="N73" s="5" t="inlineStr">
        <is>
          <t>ExpectedDamage(perHit)</t>
        </is>
      </c>
      <c r="O73" s="5" t="inlineStr">
        <is>
          <t>DPS</t>
        </is>
      </c>
      <c r="P73" s="5" t="inlineStr">
        <is>
          <t>% of Total</t>
        </is>
      </c>
      <c r="Q73" s="5" t="inlineStr">
        <is>
          <t>InvCooldown</t>
        </is>
      </c>
      <c r="R73" s="5" t="inlineStr">
        <is>
          <t>CastsInFight</t>
        </is>
      </c>
      <c r="S73" s="5" t="inlineStr">
        <is>
          <t>HitRate(perSec)</t>
        </is>
      </c>
      <c r="U73" t="inlineStr">
        <is>
          <t>helpers</t>
        </is>
      </c>
    </row>
    <row r="74">
      <c r="A74">
        <f>Skills!A2</f>
        <v/>
      </c>
      <c r="B74">
        <f>Skills!B2</f>
        <v/>
      </c>
      <c r="C74">
        <f>Inputs!$B$3&gt;=100</f>
        <v/>
      </c>
      <c r="D74" t="inlineStr"/>
      <c r="E74" t="inlineStr"/>
      <c r="F74">
        <f>U78+Skills!O2</f>
        <v/>
      </c>
      <c r="G74">
        <f>Calc!G2</f>
        <v/>
      </c>
      <c r="H74">
        <f>Calc!H2</f>
        <v/>
      </c>
      <c r="I74">
        <f>IF(Skills!AA2&lt;&gt;"",1+(Skills!AA2/10)*(U75/1000)/100,1)</f>
        <v/>
      </c>
      <c r="J74">
        <f>((Inputs!$B$6*(1+Inputs!$B$7/100))+((((Inputs!$B$12+1)*(1+Inputs!$B$13/100))-(Inputs!$B$12*(1+Inputs!$B$13/100)))+0.25*(Inputs!$B$14-Inputs!$B$14))*(1+Inputs!$B$7/100))*(F74/100)</f>
        <v/>
      </c>
      <c r="K74">
        <f>J74*(1+(((Inputs!$B$12+1)*(1+Inputs!$B$13/100))*0.01+Inputs!$B$14*0.0025)/100)*(1+Inputs!$B$15/100)*(1+Inputs!$B$16/100)*(5000/(6000+Inputs!$B$43*(1-(100*(1-(1-(Inputs!$B$19+0)/100)*(1-CHOOSE(ArtifactsInput!$N$40+1,5,6,7,8,9,10)/100)^(ArtifactsInput!$M$40-ArtifactsInput!$M$40)))/100)))*(1+(Inputs!$B$24+((C102=TRUE)*(F102-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95=TRUE)*(F95-Calc!F23))+(((IF(AND(ArtifactsInput!$M$42,((Inputs!$B$9+((C97=TRUE)*(F97-Calc!F25))+B112+(ArtifactsInput!$M$24-ArtifactsInput!$M$24)*CHOOSE(ArtifactsInput!$N$24+1,10,12,14,16,18,20)+IF(ArtifactsInput!$M$10,CHOOSE(ArtifactsInput!$N$10+1,15,18,21,24,27,30)*(IF(Inputs!$B$39="pvp",MIN(15,15)/15,IF(AND(Inputs!$B$39&lt;&gt;"pvp",Inputs!$B$44&gt;0),MIN(15,Inputs!$B$44)/(Inputs!$B$44),0))),0)))&gt;=100),MIN(100,((Inputs!$B$9+((C97=TRUE)*(F97-Calc!F25))+B112+(ArtifactsInput!$M$24-ArtifactsInput!$M$24)*CHOOSE(ArtifactsInput!$N$24+1,10,12,14,16,18,20)+IF(ArtifactsInput!$M$10,CHOOSE(ArtifactsInput!$N$10+1,15,18,21,24,27,30)*(IF(Inputs!$B$39="pvp",MIN(15,15)/15,IF(AND(Inputs!$B$39&lt;&gt;"pvp",Inputs!$B$44&gt;0),MIN(15,Inputs!$B$44)/(Inputs!$B$44),0))),0)))-100),0))*CHOOSE(ArtifactsInput!$N$42+1,0.6,0.72,0.84,0.96,1.08,1.2))),Inputs!$B$18+((C101=TRUE)*(F101-Calc!F29))+(IF(AND(ArtifactsInput!$M$42,((Inputs!$B$9+((C97=TRUE)*(F97-Calc!F25))+B112+(ArtifactsInput!$M$24-ArtifactsInput!$M$24)*CHOOSE(ArtifactsInput!$N$24+1,10,12,14,16,18,20)+IF(ArtifactsInput!$M$10,CHOOSE(ArtifactsInput!$N$10+1,15,18,21,24,27,30)*(IF(Inputs!$B$39="pvp",MIN(15,15)/15,IF(AND(Inputs!$B$39&lt;&gt;"pvp",Inputs!$B$44&gt;0),MIN(15,Inputs!$B$44)/(Inputs!$B$44),0))),0)))&gt;=100),CHOOSE(ArtifactsInput!$N$42+1,40,48,56,64,72,80),0))))/100)*(((1+(((C93=TRUE)*F93*IF(AND(Inputs!$B$39&lt;&gt;"pvp",Inputs!$B$44&gt;0),(((R93-1)*(Skills!Y21*(1+Inputs!$B$34/100))+MIN((Skills!Y21*(1+Inputs!$B$34/100)),MAX(0,Inputs!$B$44-((R93-1)*Skills!D21))))/Inputs!$B$44),IF(Inputs!$B$39="pvp",MIN((Skills!Y21*(1+Inputs!$B$34/100)),15)/15,(Skills!Y21*(1+Inputs!$B$34/100))/Skills!D21)))+((C100=TRUE)*(F100-Calc!F28))+((C90=TRUE)*(F90-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TRUE)*F87*IF(AND(Inputs!$B$39&lt;&gt;"pvp",Inputs!$B$44&gt;0),(((R87-1)*(Skills!Y15*(1+Inputs!$B$34/100))+MIN((Skills!Y15*(1+Inputs!$B$34/100)),MAX(0,Inputs!$B$44-((R87-1)*Skills!D15))))/Inputs!$B$44),IF(Inputs!$B$39="pvp",MIN((Skills!Y15*(1+Inputs!$B$34/100)),15)/15,(Skills!Y15*(1+Inputs!$B$34/100))/Skills!D15)))/100)*(1+((C78=TRUE)*F78*B106)/100))*B114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74)</f>
        <v/>
      </c>
      <c r="L74">
        <f>K74*(MIN(Inputs!$B$22+((C96=TRUE)*(F96-Calc!F24)),(Inputs!$B$23+0+(IF(ArtifactsInput!$M$15,CHOOSE(ArtifactsInput!$N$15+1,25,30,35,40,45,50)/100*(Inputs!$B$11-Inputs!$B$11),0))))/100+(Inputs!$B$23+0+(IF(ArtifactsInput!$M$15,CHOOSE(ArtifactsInput!$N$15+1,25,30,35,40,45,50)/100*(Inputs!$B$11-Inputs!$B$11),0)))/100)/2</f>
        <v/>
      </c>
      <c r="M74">
        <f>L74*(1+(Inputs!$B$10+((C98=TRUE)*(F98-Calc!F26))+B115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4">
        <f>L74*(1-MIN((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74*(MIN((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4">
        <f>(1-Summary!$B$11)*T74+Summary!$B$11*V74</f>
        <v/>
      </c>
      <c r="P74">
        <f>IF(B116=0,0,O74/B116)</f>
        <v/>
      </c>
      <c r="Q74" t="n">
        <v>0</v>
      </c>
      <c r="R74" t="n">
        <v>0</v>
      </c>
      <c r="S74">
        <f>IFERROR(O74/N74,0)</f>
        <v/>
      </c>
      <c r="T74">
        <f>IF(C74,(Skills!G2*N74*B110)*IF(Inputs!$B$39="pvp",1,1+(Inputs!$B$20+((C99=TRUE)*(F99-Calc!F27))+Skills!P2+B113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74*(1-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74*(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74*(1-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74*(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4">
        <f>MAX(0,(Inputs!$B$3-100)*3)+Inputs!$B$28+Inputs!$B$29</f>
        <v/>
      </c>
      <c r="V74">
        <f>IF(C74,(Skills!G2*N74*B110)*IF(Inputs!$B$39="pvp",1,(1+(Inputs!$B$21+Skills!Q2+B113+(IF(ArtifactsInput!$M$33,CHOOSE(ArtifactsInput!$N$33+1,30,36,42,48,54,60),0))+(IF(AND(ArtifactsInput!$M$35,Inputs!$B$4&lt;&gt;"Chapter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5">
      <c r="A75">
        <f>Skills!A3</f>
        <v/>
      </c>
      <c r="B75">
        <f>Skills!B3</f>
        <v/>
      </c>
      <c r="C75">
        <f>Inputs!$B$3&gt;=35</f>
        <v/>
      </c>
      <c r="D75">
        <f>IF(Skills!C3=1,60+Inputs!$B$25+Inputs!$B$29,IF(Skills!C3=2,90+Inputs!$B$26+Inputs!$B$29,IF(Skills!C3=3,120+Inputs!$B$27+Inputs!$B$29,MAX(0,(Inputs!$B$3-100)*3)+Inputs!$B$28+Inputs!$B$29)))</f>
        <v/>
      </c>
      <c r="E75">
        <f>INDEX(FactorTable!$B$2:$Y$301, MATCH(ROUND(MIN(300,MAX(1,D75)),0), FactorTable!$A$2:$A$301,0), Skills!M3+1)</f>
        <v/>
      </c>
      <c r="F75">
        <f>IF(Skills!N3=TRUE,(Skills!L3/10)*(E75/1000),Skills!L3/10)+Skills!O3</f>
        <v/>
      </c>
      <c r="G75">
        <f>Calc!G3</f>
        <v/>
      </c>
      <c r="H75">
        <f>Calc!H3</f>
        <v/>
      </c>
      <c r="I75">
        <f>IF(Skills!AA3&lt;&gt;"",1+(Skills!AA3/10)*(U75/1000)/100,1)</f>
        <v/>
      </c>
      <c r="J75">
        <f>((Inputs!$B$6*(1+Inputs!$B$7/100))+((((Inputs!$B$12+1)*(1+Inputs!$B$13/100))-(Inputs!$B$12*(1+Inputs!$B$13/100)))+0.25*(Inputs!$B$14-Inputs!$B$14))*(1+Inputs!$B$7/100))*(F75/100)</f>
        <v/>
      </c>
      <c r="K75">
        <f>J75*(1+(((Inputs!$B$12+1)*(1+Inputs!$B$13/100))*0.01+Inputs!$B$14*0.0025)/100)*(1+Inputs!$B$15/100)*(1+Inputs!$B$16/100)*(5000/(6000+Inputs!$B$43*(1-(100*(1-(1-(Inputs!$B$19+0)/100)*(1-CHOOSE(ArtifactsInput!$N$40+1,5,6,7,8,9,10)/100)^(ArtifactsInput!$M$40-ArtifactsInput!$M$40)))/100)))*(1+(Inputs!$B$24+((C102=TRUE)*(F102-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95=TRUE)*(F95-Calc!F23))+(((IF(AND(ArtifactsInput!$M$42,((Inputs!$B$9+((C97=TRUE)*(F97-Calc!F25))+B112+(ArtifactsInput!$M$24-ArtifactsInput!$M$24)*CHOOSE(ArtifactsInput!$N$24+1,10,12,14,16,18,20)+IF(ArtifactsInput!$M$10,CHOOSE(ArtifactsInput!$N$10+1,15,18,21,24,27,30)*(IF(Inputs!$B$39="pvp",MIN(15,15)/15,IF(AND(Inputs!$B$39&lt;&gt;"pvp",Inputs!$B$44&gt;0),MIN(15,Inputs!$B$44)/(Inputs!$B$44),0))),0)))&gt;=100),MIN(100,((Inputs!$B$9+((C97=TRUE)*(F97-Calc!F25))+B112+(ArtifactsInput!$M$24-ArtifactsInput!$M$24)*CHOOSE(ArtifactsInput!$N$24+1,10,12,14,16,18,20)+IF(ArtifactsInput!$M$10,CHOOSE(ArtifactsInput!$N$10+1,15,18,21,24,27,30)*(IF(Inputs!$B$39="pvp",MIN(15,15)/15,IF(AND(Inputs!$B$39&lt;&gt;"pvp",Inputs!$B$44&gt;0),MIN(15,Inputs!$B$44)/(Inputs!$B$44),0))),0)))-100),0))*CHOOSE(ArtifactsInput!$N$42+1,0.6,0.72,0.84,0.96,1.08,1.2))),Inputs!$B$18+((C101=TRUE)*(F101-Calc!F29))+(IF(AND(ArtifactsInput!$M$42,((Inputs!$B$9+((C97=TRUE)*(F97-Calc!F25))+B112+(ArtifactsInput!$M$24-ArtifactsInput!$M$24)*CHOOSE(ArtifactsInput!$N$24+1,10,12,14,16,18,20)+IF(ArtifactsInput!$M$10,CHOOSE(ArtifactsInput!$N$10+1,15,18,21,24,27,30)*(IF(Inputs!$B$39="pvp",MIN(15,15)/15,IF(AND(Inputs!$B$39&lt;&gt;"pvp",Inputs!$B$44&gt;0),MIN(15,Inputs!$B$44)/(Inputs!$B$44),0))),0)))&gt;=100),CHOOSE(ArtifactsInput!$N$42+1,40,48,56,64,72,80),0))))/100)*(((1+(((C93=TRUE)*F93*IF(AND(Inputs!$B$39&lt;&gt;"pvp",Inputs!$B$44&gt;0),(((R93-1)*(Skills!Y21*(1+Inputs!$B$34/100))+MIN((Skills!Y21*(1+Inputs!$B$34/100)),MAX(0,Inputs!$B$44-((R93-1)*Skills!D21))))/Inputs!$B$44),IF(Inputs!$B$39="pvp",MIN((Skills!Y21*(1+Inputs!$B$34/100)),15)/15,(Skills!Y21*(1+Inputs!$B$34/100))/Skills!D21)))+((C100=TRUE)*(F100-Calc!F28))+((C90=TRUE)*(F90-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TRUE)*F87*IF(AND(Inputs!$B$39&lt;&gt;"pvp",Inputs!$B$44&gt;0),(((R87-1)*(Skills!Y15*(1+Inputs!$B$34/100))+MIN((Skills!Y15*(1+Inputs!$B$34/100)),MAX(0,Inputs!$B$44-((R87-1)*Skills!D15))))/Inputs!$B$44),IF(Inputs!$B$39="pvp",MIN((Skills!Y15*(1+Inputs!$B$34/100)),15)/15,(Skills!Y15*(1+Inputs!$B$34/100))/Skills!D15)))/100)*(1+((C78=TRUE)*F78*B106)/100))*B114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75)</f>
        <v/>
      </c>
      <c r="L75">
        <f>K75*(MIN(Inputs!$B$22+((C96=TRUE)*(F96-Calc!F24)),(Inputs!$B$23+0+(IF(ArtifactsInput!$M$15,CHOOSE(ArtifactsInput!$N$15+1,25,30,35,40,45,50)/100*(Inputs!$B$11-Inputs!$B$11),0))))/100+(Inputs!$B$23+0+(IF(ArtifactsInput!$M$15,CHOOSE(ArtifactsInput!$N$15+1,25,30,35,40,45,50)/100*(Inputs!$B$11-Inputs!$B$11),0)))/100)/2</f>
        <v/>
      </c>
      <c r="M75">
        <f>L75*(1+(Inputs!$B$10+((C98=TRUE)*(F98-Calc!F26))+B115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5">
        <f>L75*(1-MIN((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75*(MIN((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5">
        <f>(1-Summary!$B$11)*T75+Summary!$B$11*V75</f>
        <v/>
      </c>
      <c r="P75">
        <f>IF(B116=0,0,O75/B116)</f>
        <v/>
      </c>
      <c r="Q75">
        <f>IFERROR(1/IF(Inputs!$B$39="pvp",15,MAX(0.1,Skills!D3-IF(Skills!E3=TRUE,Inputs!$B$32,0))),0)</f>
        <v/>
      </c>
      <c r="R75">
        <f>IF(AND(Inputs!$B$39&lt;&gt;"pvp",Inputs!$B$44&gt;0),IF(MAX(0,Inputs!$B$44-B117)&lt;=0,0,(INT(MAX(0,Inputs!$B$44-B117)/IF(Inputs!$B$39="pvp",15,MAX(0.1,Skills!D3-IF(Skills!E3=TRUE,Inputs!$B$32,0))))+1)),0)</f>
        <v/>
      </c>
      <c r="S75">
        <f>IFERROR(O75/N75,0)</f>
        <v/>
      </c>
      <c r="T75">
        <f>IF(C75,(H75*N75*IF(AND(Inputs!$B$39&lt;&gt;"pvp",Inputs!$B$44&gt;0),((Skills!G3*((R75-1)*IF(Skills!H3&gt;0,Skills!I3/Skills!H3,1)+IF(Skills!H3&gt;0,MIN(Skills!I3,MAX(0,MAX(0,Inputs!$B$44-B117)-((R75-1)*IF(Inputs!$B$39="pvp",15,MAX(0.1,Skills!D3-IF(Skills!E3=TRUE,Inputs!$B$32,0))))))/Skills!H3,1)))/Inputs!$B$44),G75*Q75))*IF(Inputs!$B$39="pvp",1,1+(Inputs!$B$20+((C99=TRUE)*(F99-Calc!F27))+Skills!P3+B113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75*(1-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75*(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75*(1-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75*(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5">
        <f>INDEX(FactorTable!$B$2:$Y$301, MATCH(ROUND(MIN(300,MAX(1,U74)),0), FactorTable!$A$2:$A$301,0), 24)</f>
        <v/>
      </c>
      <c r="V75">
        <f>IF(C75,(H75*N75*IF(AND(Inputs!$B$39&lt;&gt;"pvp",Inputs!$B$44&gt;0),((Skills!G3*((R75-1)*IF(Skills!H3&gt;0,Skills!I3/Skills!H3,1)+IF(Skills!H3&gt;0,MIN(Skills!I3,MAX(0,MAX(0,Inputs!$B$44-B117)-((R75-1)*IF(Inputs!$B$39="pvp",15,MAX(0.1,Skills!D3-IF(Skills!E3=TRUE,Inputs!$B$32,0))))))/Skills!H3,1)))/Inputs!$B$44),G75*Q75))*IF(Inputs!$B$39="pvp",1,(1+(Inputs!$B$21+Skills!Q3+B113+(IF(ArtifactsInput!$M$33,CHOOSE(ArtifactsInput!$N$33+1,30,36,42,48,54,60)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6">
      <c r="A76">
        <f>Skills!A4</f>
        <v/>
      </c>
      <c r="B76">
        <f>Skills!B4</f>
        <v/>
      </c>
      <c r="C76">
        <f>Inputs!$B$3&gt;=40</f>
        <v/>
      </c>
      <c r="D76">
        <f>IF(Skills!C4=1,60+Inputs!$B$25+Inputs!$B$29,IF(Skills!C4=2,90+Inputs!$B$26+Inputs!$B$29,IF(Skills!C4=3,120+Inputs!$B$27+Inputs!$B$29,MAX(0,(Inputs!$B$3-100)*3)+Inputs!$B$28+Inputs!$B$29)))</f>
        <v/>
      </c>
      <c r="E76">
        <f>INDEX(FactorTable!$B$2:$Y$301, MATCH(ROUND(MIN(300,MAX(1,D76)),0), FactorTable!$A$2:$A$301,0), Skills!M4+1)</f>
        <v/>
      </c>
      <c r="F76">
        <f>IF(Skills!N4=TRUE,(Skills!L4/10)*(E76/1000),Skills!L4/10)+Skills!O4</f>
        <v/>
      </c>
      <c r="G76">
        <f>Calc!G4</f>
        <v/>
      </c>
      <c r="H76">
        <f>Calc!H4</f>
        <v/>
      </c>
      <c r="I76">
        <f>IF(Skills!AA4&lt;&gt;"",1+(Skills!AA4/10)*(U75/1000)/100,1)</f>
        <v/>
      </c>
      <c r="J76">
        <f>((Inputs!$B$6*(1+Inputs!$B$7/100))+((((Inputs!$B$12+1)*(1+Inputs!$B$13/100))-(Inputs!$B$12*(1+Inputs!$B$13/100)))+0.25*(Inputs!$B$14-Inputs!$B$14))*(1+Inputs!$B$7/100))*(F76/100)</f>
        <v/>
      </c>
      <c r="K76">
        <f>J76*(1+(((Inputs!$B$12+1)*(1+Inputs!$B$13/100))*0.01+Inputs!$B$14*0.0025)/100)*(1+Inputs!$B$15/100)*(1+Inputs!$B$16/100)*(5000/(6000+Inputs!$B$43*(1-(100*(1-(1-(Inputs!$B$19+0)/100)*(1-CHOOSE(ArtifactsInput!$N$40+1,5,6,7,8,9,10)/100)^(ArtifactsInput!$M$40-ArtifactsInput!$M$40)))/100)))*(1+(Inputs!$B$24+((C102=TRUE)*(F102-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95=TRUE)*(F95-Calc!F23))+(((IF(AND(ArtifactsInput!$M$42,((Inputs!$B$9+((C97=TRUE)*(F97-Calc!F25))+B112+(ArtifactsInput!$M$24-ArtifactsInput!$M$24)*CHOOSE(ArtifactsInput!$N$24+1,10,12,14,16,18,20)+IF(ArtifactsInput!$M$10,CHOOSE(ArtifactsInput!$N$10+1,15,18,21,24,27,30)*(IF(Inputs!$B$39="pvp",MIN(15,15)/15,IF(AND(Inputs!$B$39&lt;&gt;"pvp",Inputs!$B$44&gt;0),MIN(15,Inputs!$B$44)/(Inputs!$B$44),0))),0)))&gt;=100),MIN(100,((Inputs!$B$9+((C97=TRUE)*(F97-Calc!F25))+B112+(ArtifactsInput!$M$24-ArtifactsInput!$M$24)*CHOOSE(ArtifactsInput!$N$24+1,10,12,14,16,18,20)+IF(ArtifactsInput!$M$10,CHOOSE(ArtifactsInput!$N$10+1,15,18,21,24,27,30)*(IF(Inputs!$B$39="pvp",MIN(15,15)/15,IF(AND(Inputs!$B$39&lt;&gt;"pvp",Inputs!$B$44&gt;0),MIN(15,Inputs!$B$44)/(Inputs!$B$44),0))),0)))-100),0))*CHOOSE(ArtifactsInput!$N$42+1,0.6,0.72,0.84,0.96,1.08,1.2))),Inputs!$B$18+((C101=TRUE)*(F101-Calc!F29))+(IF(AND(ArtifactsInput!$M$42,((Inputs!$B$9+((C97=TRUE)*(F97-Calc!F25))+B112+(ArtifactsInput!$M$24-ArtifactsInput!$M$24)*CHOOSE(ArtifactsInput!$N$24+1,10,12,14,16,18,20)+IF(ArtifactsInput!$M$10,CHOOSE(ArtifactsInput!$N$10+1,15,18,21,24,27,30)*(IF(Inputs!$B$39="pvp",MIN(15,15)/15,IF(AND(Inputs!$B$39&lt;&gt;"pvp",Inputs!$B$44&gt;0),MIN(15,Inputs!$B$44)/(Inputs!$B$44),0))),0)))&gt;=100),CHOOSE(ArtifactsInput!$N$42+1,40,48,56,64,72,80),0))))/100)*(((1+(((C93=TRUE)*F93*IF(AND(Inputs!$B$39&lt;&gt;"pvp",Inputs!$B$44&gt;0),(((R93-1)*(Skills!Y21*(1+Inputs!$B$34/100))+MIN((Skills!Y21*(1+Inputs!$B$34/100)),MAX(0,Inputs!$B$44-((R93-1)*Skills!D21))))/Inputs!$B$44),IF(Inputs!$B$39="pvp",MIN((Skills!Y21*(1+Inputs!$B$34/100)),15)/15,(Skills!Y21*(1+Inputs!$B$34/100))/Skills!D21)))+((C100=TRUE)*(F100-Calc!F28))+((C90=TRUE)*(F90-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TRUE)*F87*IF(AND(Inputs!$B$39&lt;&gt;"pvp",Inputs!$B$44&gt;0),(((R87-1)*(Skills!Y15*(1+Inputs!$B$34/100))+MIN((Skills!Y15*(1+Inputs!$B$34/100)),MAX(0,Inputs!$B$44-((R87-1)*Skills!D15))))/Inputs!$B$44),IF(Inputs!$B$39="pvp",MIN((Skills!Y15*(1+Inputs!$B$34/100)),15)/15,(Skills!Y15*(1+Inputs!$B$34/100))/Skills!D15)))/100)*(1+((C78=TRUE)*F78*B106)/100))*B114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76)</f>
        <v/>
      </c>
      <c r="L76">
        <f>K76*(MIN(Inputs!$B$22+((C96=TRUE)*(F96-Calc!F24)),(Inputs!$B$23+0+(IF(ArtifactsInput!$M$15,CHOOSE(ArtifactsInput!$N$15+1,25,30,35,40,45,50)/100*(Inputs!$B$11-Inputs!$B$11),0))))/100+(Inputs!$B$23+0+(IF(ArtifactsInput!$M$15,CHOOSE(ArtifactsInput!$N$15+1,25,30,35,40,45,50)/100*(Inputs!$B$11-Inputs!$B$11),0)))/100)/2</f>
        <v/>
      </c>
      <c r="M76">
        <f>L76*(1+(Inputs!$B$10+((C98=TRUE)*(F98-Calc!F26))+B115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6">
        <f>L76*(1-MIN((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76*(MIN((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6">
        <f>(1-Summary!$B$11)*T76+Summary!$B$11*V76</f>
        <v/>
      </c>
      <c r="P76">
        <f>IF(B116=0,0,O76/B116)</f>
        <v/>
      </c>
      <c r="Q76">
        <f>IFERROR(1/IF(Inputs!$B$39="pvp",15,MAX(0.1,Skills!D4-IF(Skills!E4=TRUE,Inputs!$B$32,0))),0)</f>
        <v/>
      </c>
      <c r="R76">
        <f>IF(AND(Inputs!$B$39&lt;&gt;"pvp",Inputs!$B$44&gt;0),IF(MAX(0,Inputs!$B$44-B117)&lt;=0,0,(INT(MAX(0,Inputs!$B$44-B117)/IF(Inputs!$B$39="pvp",15,MAX(0.1,Skills!D4-IF(Skills!E4=TRUE,Inputs!$B$32,0))))+1)),0)</f>
        <v/>
      </c>
      <c r="S76">
        <f>IFERROR(O76/N76,0)</f>
        <v/>
      </c>
      <c r="T76">
        <f>IF(C76,(H76*N76*IF(AND(Inputs!$B$39&lt;&gt;"pvp",Inputs!$B$44&gt;0),((Skills!G4*((R76-1)*IF(Skills!H4&gt;0,Skills!I4/Skills!H4,1)+IF(Skills!H4&gt;0,MIN(Skills!I4,MAX(0,MAX(0,Inputs!$B$44-B117)-((R76-1)*IF(Inputs!$B$39="pvp",15,MAX(0.1,Skills!D4-IF(Skills!E4=TRUE,Inputs!$B$32,0))))))/Skills!H4,1)))/Inputs!$B$44),G76*Q76))*IF(Inputs!$B$39="pvp",1,1+(Inputs!$B$20+((C99=TRUE)*(F99-Calc!F27))+Skills!P4+B113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76*(1-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76*(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76*(1-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76*(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6">
        <f>MAX(0,(Inputs!$B$3-100)*3)+Inputs!$B$28+Inputs!$B$29</f>
        <v/>
      </c>
      <c r="V76">
        <f>IF(C76,(H76*N76*IF(AND(Inputs!$B$39&lt;&gt;"pvp",Inputs!$B$44&gt;0),((Skills!G4*((R76-1)*IF(Skills!H4&gt;0,Skills!I4/Skills!H4,1)+IF(Skills!H4&gt;0,MIN(Skills!I4,MAX(0,MAX(0,Inputs!$B$44-B117)-((R76-1)*IF(Inputs!$B$39="pvp",15,MAX(0.1,Skills!D4-IF(Skills!E4=TRUE,Inputs!$B$32,0))))))/Skills!H4,1)))/Inputs!$B$44),G76*Q76))*IF(Inputs!$B$39="pvp",1,(1+(Inputs!$B$21+Skills!Q4+B113+(IF(ArtifactsInput!$M$33,CHOOSE(ArtifactsInput!$N$33+1,30,36,42,48,54,60)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7">
      <c r="A77">
        <f>Skills!A5</f>
        <v/>
      </c>
      <c r="B77">
        <f>Skills!B5</f>
        <v/>
      </c>
      <c r="C77">
        <f>Inputs!$B$3&gt;=63</f>
        <v/>
      </c>
      <c r="D77">
        <f>IF(Skills!C5=1,60+Inputs!$B$25+Inputs!$B$29,IF(Skills!C5=2,90+Inputs!$B$26+Inputs!$B$29,IF(Skills!C5=3,120+Inputs!$B$27+Inputs!$B$29,MAX(0,(Inputs!$B$3-100)*3)+Inputs!$B$28+Inputs!$B$29)))</f>
        <v/>
      </c>
      <c r="E77">
        <f>INDEX(FactorTable!$B$2:$Y$301, MATCH(ROUND(MIN(300,MAX(1,D77)),0), FactorTable!$A$2:$A$301,0), Skills!M5+1)</f>
        <v/>
      </c>
      <c r="F77">
        <f>IF(Skills!N5=TRUE,(Skills!L5/10)*(E77/1000),Skills!L5/10)+Skills!O5</f>
        <v/>
      </c>
      <c r="G77">
        <f>Calc!G5</f>
        <v/>
      </c>
      <c r="H77">
        <f>Calc!H5</f>
        <v/>
      </c>
      <c r="I77">
        <f>IF(Skills!AA5&lt;&gt;"",1+(Skills!AA5/10)*(U75/1000)/100,1)</f>
        <v/>
      </c>
      <c r="J77">
        <f>((Inputs!$B$6*(1+Inputs!$B$7/100))+((((Inputs!$B$12+1)*(1+Inputs!$B$13/100))-(Inputs!$B$12*(1+Inputs!$B$13/100)))+0.25*(Inputs!$B$14-Inputs!$B$14))*(1+Inputs!$B$7/100))*(F77/100)</f>
        <v/>
      </c>
      <c r="K77">
        <f>J77*(1+(((Inputs!$B$12+1)*(1+Inputs!$B$13/100))*0.01+Inputs!$B$14*0.0025)/100)*(1+Inputs!$B$15/100)*(1+Inputs!$B$16/100)*(5000/(6000+Inputs!$B$43*(1-(100*(1-(1-(Inputs!$B$19+0)/100)*(1-CHOOSE(ArtifactsInput!$N$40+1,5,6,7,8,9,10)/100)^(ArtifactsInput!$M$40-ArtifactsInput!$M$40)))/100)))*(1+(Inputs!$B$24+((C102=TRUE)*(F102-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95=TRUE)*(F95-Calc!F23))+(((IF(AND(ArtifactsInput!$M$42,((Inputs!$B$9+((C97=TRUE)*(F97-Calc!F25))+B112+(ArtifactsInput!$M$24-ArtifactsInput!$M$24)*CHOOSE(ArtifactsInput!$N$24+1,10,12,14,16,18,20)+IF(ArtifactsInput!$M$10,CHOOSE(ArtifactsInput!$N$10+1,15,18,21,24,27,30)*(IF(Inputs!$B$39="pvp",MIN(15,15)/15,IF(AND(Inputs!$B$39&lt;&gt;"pvp",Inputs!$B$44&gt;0),MIN(15,Inputs!$B$44)/(Inputs!$B$44),0))),0)))&gt;=100),MIN(100,((Inputs!$B$9+((C97=TRUE)*(F97-Calc!F25))+B112+(ArtifactsInput!$M$24-ArtifactsInput!$M$24)*CHOOSE(ArtifactsInput!$N$24+1,10,12,14,16,18,20)+IF(ArtifactsInput!$M$10,CHOOSE(ArtifactsInput!$N$10+1,15,18,21,24,27,30)*(IF(Inputs!$B$39="pvp",MIN(15,15)/15,IF(AND(Inputs!$B$39&lt;&gt;"pvp",Inputs!$B$44&gt;0),MIN(15,Inputs!$B$44)/(Inputs!$B$44),0))),0)))-100),0))*CHOOSE(ArtifactsInput!$N$42+1,0.6,0.72,0.84,0.96,1.08,1.2))),Inputs!$B$18+((C101=TRUE)*(F101-Calc!F29))+(IF(AND(ArtifactsInput!$M$42,((Inputs!$B$9+((C97=TRUE)*(F97-Calc!F25))+B112+(ArtifactsInput!$M$24-ArtifactsInput!$M$24)*CHOOSE(ArtifactsInput!$N$24+1,10,12,14,16,18,20)+IF(ArtifactsInput!$M$10,CHOOSE(ArtifactsInput!$N$10+1,15,18,21,24,27,30)*(IF(Inputs!$B$39="pvp",MIN(15,15)/15,IF(AND(Inputs!$B$39&lt;&gt;"pvp",Inputs!$B$44&gt;0),MIN(15,Inputs!$B$44)/(Inputs!$B$44),0))),0)))&gt;=100),CHOOSE(ArtifactsInput!$N$42+1,40,48,56,64,72,80),0))))/100)*(((1+(((C93=TRUE)*F93*IF(AND(Inputs!$B$39&lt;&gt;"pvp",Inputs!$B$44&gt;0),(((R93-1)*(Skills!Y21*(1+Inputs!$B$34/100))+MIN((Skills!Y21*(1+Inputs!$B$34/100)),MAX(0,Inputs!$B$44-((R93-1)*Skills!D21))))/Inputs!$B$44),IF(Inputs!$B$39="pvp",MIN((Skills!Y21*(1+Inputs!$B$34/100)),15)/15,(Skills!Y21*(1+Inputs!$B$34/100))/Skills!D21)))+((C100=TRUE)*(F100-Calc!F28))+((C90=TRUE)*(F90-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TRUE)*F87*IF(AND(Inputs!$B$39&lt;&gt;"pvp",Inputs!$B$44&gt;0),(((R87-1)*(Skills!Y15*(1+Inputs!$B$34/100))+MIN((Skills!Y15*(1+Inputs!$B$34/100)),MAX(0,Inputs!$B$44-((R87-1)*Skills!D15))))/Inputs!$B$44),IF(Inputs!$B$39="pvp",MIN((Skills!Y15*(1+Inputs!$B$34/100)),15)/15,(Skills!Y15*(1+Inputs!$B$34/100))/Skills!D15)))/100)*(1+((C78=TRUE)*F78*B106)/100))*B114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77)</f>
        <v/>
      </c>
      <c r="L77">
        <f>K77*(MIN(Inputs!$B$22+((C96=TRUE)*(F96-Calc!F24)),(Inputs!$B$23+0+(IF(ArtifactsInput!$M$15,CHOOSE(ArtifactsInput!$N$15+1,25,30,35,40,45,50)/100*(Inputs!$B$11-Inputs!$B$11),0))))/100+(Inputs!$B$23+0+(IF(ArtifactsInput!$M$15,CHOOSE(ArtifactsInput!$N$15+1,25,30,35,40,45,50)/100*(Inputs!$B$11-Inputs!$B$11),0)))/100)/2</f>
        <v/>
      </c>
      <c r="M77">
        <f>L77*(1+(Inputs!$B$10+((C98=TRUE)*(F98-Calc!F26))+B115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7">
        <f>L77*(1-MIN((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77*(MIN((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7">
        <f>(1-Summary!$B$11)*T77+Summary!$B$11*V77</f>
        <v/>
      </c>
      <c r="P77">
        <f>IF(B116=0,0,O77/B116)</f>
        <v/>
      </c>
      <c r="Q77">
        <f>IFERROR(1/IF(Inputs!$B$39="pvp",15,MAX(0.1,Skills!D5-IF(Skills!E5=TRUE,Inputs!$B$32,0))),0)</f>
        <v/>
      </c>
      <c r="R77">
        <f>IF(AND(Inputs!$B$39&lt;&gt;"pvp",Inputs!$B$44&gt;0),IF(MAX(0,Inputs!$B$44-B117)&lt;=0,0,(INT(MAX(0,Inputs!$B$44-B117)/IF(Inputs!$B$39="pvp",15,MAX(0.1,Skills!D5-IF(Skills!E5=TRUE,Inputs!$B$32,0))))+1)),0)</f>
        <v/>
      </c>
      <c r="S77">
        <f>IFERROR(O77/N77,0)</f>
        <v/>
      </c>
      <c r="T77">
        <f>IF(C77,(H77*N77*IF(AND(Inputs!$B$39&lt;&gt;"pvp",Inputs!$B$44&gt;0),((Skills!G5*((R77-1)*IF(Skills!H5&gt;0,Skills!I5/Skills!H5,1)+IF(Skills!H5&gt;0,MIN(Skills!I5,MAX(0,MAX(0,Inputs!$B$44-B117)-((R77-1)*IF(Inputs!$B$39="pvp",15,MAX(0.1,Skills!D5-IF(Skills!E5=TRUE,Inputs!$B$32,0))))))/Skills!H5,1)))/Inputs!$B$44),G77*Q77))*IF(Inputs!$B$39="pvp",1,1+(Inputs!$B$20+((C99=TRUE)*(F99-Calc!F27))+Skills!P5+B113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77*(1-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77*(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77*(1-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77*(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7">
        <f>INDEX(FactorTable!$B$2:$Y$301, MATCH(ROUND(MIN(300,MAX(1,U76)),0), FactorTable!$A$2:$A$301,0), 22)</f>
        <v/>
      </c>
      <c r="V77">
        <f>IF(C77,(H77*N77*IF(AND(Inputs!$B$39&lt;&gt;"pvp",Inputs!$B$44&gt;0),((Skills!G5*((R77-1)*IF(Skills!H5&gt;0,Skills!I5/Skills!H5,1)+IF(Skills!H5&gt;0,MIN(Skills!I5,MAX(0,MAX(0,Inputs!$B$44-B117)-((R77-1)*IF(Inputs!$B$39="pvp",15,MAX(0.1,Skills!D5-IF(Skills!E5=TRUE,Inputs!$B$32,0))))))/Skills!H5,1)))/Inputs!$B$44),G77*Q77))*IF(Inputs!$B$39="pvp",1,(1+(Inputs!$B$21+Skills!Q5+B113+(IF(ArtifactsInput!$M$33,CHOOSE(ArtifactsInput!$N$33+1,30,36,42,48,54,60)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8">
      <c r="A78">
        <f>Skills!A6</f>
        <v/>
      </c>
      <c r="B78">
        <f>Skills!B6</f>
        <v/>
      </c>
      <c r="C78">
        <f>Inputs!$B$3&gt;=66</f>
        <v/>
      </c>
      <c r="D78">
        <f>IF(Skills!C6=1,60+Inputs!$B$25+Inputs!$B$29,IF(Skills!C6=2,90+Inputs!$B$26+Inputs!$B$29,IF(Skills!C6=3,120+Inputs!$B$27+Inputs!$B$29,MAX(0,(Inputs!$B$3-100)*3)+Inputs!$B$28+Inputs!$B$29)))</f>
        <v/>
      </c>
      <c r="E78">
        <f>INDEX(FactorTable!$B$2:$Y$301, MATCH(ROUND(MIN(300,MAX(1,D78)),0), FactorTable!$A$2:$A$301,0), Skills!M6+1)</f>
        <v/>
      </c>
      <c r="F78">
        <f>IF(Skills!N6=TRUE,(Skills!L6/10)*(E78/1000),Skills!L6/10)+Skills!O6</f>
        <v/>
      </c>
      <c r="G78">
        <f>Calc!G6</f>
        <v/>
      </c>
      <c r="H78">
        <f>Calc!H6</f>
        <v/>
      </c>
      <c r="I78">
        <f>IF(Skills!AA6&lt;&gt;"",1+(Skills!AA6/10)*(U75/1000)/100,1)</f>
        <v/>
      </c>
      <c r="J78" t="inlineStr"/>
      <c r="K78" t="inlineStr"/>
      <c r="L78" t="inlineStr"/>
      <c r="M78" t="inlineStr"/>
      <c r="N78" t="inlineStr"/>
      <c r="O78">
        <f>(1-Summary!$B$11)*T78+Summary!$B$11*V78</f>
        <v/>
      </c>
      <c r="P78">
        <f>IF(B116=0,0,O78/B116)</f>
        <v/>
      </c>
      <c r="Q78" t="n">
        <v>0</v>
      </c>
      <c r="R78" t="n">
        <v>0</v>
      </c>
      <c r="S78">
        <f>IFERROR(O78/N78,0)</f>
        <v/>
      </c>
      <c r="T78" t="n">
        <v>0</v>
      </c>
      <c r="U78">
        <f>290*U77/1000</f>
        <v/>
      </c>
      <c r="V78" t="n">
        <v>0</v>
      </c>
    </row>
    <row r="79">
      <c r="A79">
        <f>Skills!A7</f>
        <v/>
      </c>
      <c r="B79">
        <f>Skills!B7</f>
        <v/>
      </c>
      <c r="C79">
        <f>Inputs!$B$3&gt;=66</f>
        <v/>
      </c>
      <c r="D79">
        <f>IF(Skills!C7=1,60+Inputs!$B$25+Inputs!$B$29,IF(Skills!C7=2,90+Inputs!$B$26+Inputs!$B$29,IF(Skills!C7=3,120+Inputs!$B$27+Inputs!$B$29,MAX(0,(Inputs!$B$3-100)*3)+Inputs!$B$28+Inputs!$B$29)))</f>
        <v/>
      </c>
      <c r="E79">
        <f>INDEX(FactorTable!$B$2:$Y$301, MATCH(ROUND(MIN(300,MAX(1,D79)),0), FactorTable!$A$2:$A$301,0), Skills!M7+1)</f>
        <v/>
      </c>
      <c r="F79">
        <f>IF(Skills!N7=TRUE,(Skills!L7/10)*(E79/1000),Skills!L7/10)+Skills!O7</f>
        <v/>
      </c>
      <c r="G79">
        <f>Calc!G7</f>
        <v/>
      </c>
      <c r="H79">
        <f>Calc!H7</f>
        <v/>
      </c>
      <c r="I79">
        <f>IF(Skills!AA7&lt;&gt;"",1+(Skills!AA7/10)*(U75/1000)/100,1)</f>
        <v/>
      </c>
      <c r="J79" t="inlineStr"/>
      <c r="K79" t="inlineStr"/>
      <c r="L79" t="inlineStr"/>
      <c r="M79" t="inlineStr"/>
      <c r="N79" t="inlineStr"/>
      <c r="O79">
        <f>(1-Summary!$B$11)*T79+Summary!$B$11*V79</f>
        <v/>
      </c>
      <c r="P79">
        <f>IF(B116=0,0,O79/B116)</f>
        <v/>
      </c>
      <c r="Q79" t="n">
        <v>0</v>
      </c>
      <c r="R79" t="n">
        <v>0</v>
      </c>
      <c r="S79">
        <f>IFERROR(O79/N79,0)</f>
        <v/>
      </c>
      <c r="T79" t="n">
        <v>0</v>
      </c>
      <c r="V79" t="n">
        <v>0</v>
      </c>
    </row>
    <row r="80">
      <c r="A80">
        <f>Skills!A8</f>
        <v/>
      </c>
      <c r="B80">
        <f>Skills!B8</f>
        <v/>
      </c>
      <c r="C80">
        <f>Inputs!$B$3&gt;=69</f>
        <v/>
      </c>
      <c r="D80">
        <f>IF(Skills!C8=1,60+Inputs!$B$25+Inputs!$B$29,IF(Skills!C8=2,90+Inputs!$B$26+Inputs!$B$29,IF(Skills!C8=3,120+Inputs!$B$27+Inputs!$B$29,MAX(0,(Inputs!$B$3-100)*3)+Inputs!$B$28+Inputs!$B$29)))</f>
        <v/>
      </c>
      <c r="E80">
        <f>INDEX(FactorTable!$B$2:$Y$301, MATCH(ROUND(MIN(300,MAX(1,D80)),0), FactorTable!$A$2:$A$301,0), Skills!M8+1)</f>
        <v/>
      </c>
      <c r="F80">
        <f>IF(Skills!N8=TRUE,(Skills!L8/10)*(E80/1000),Skills!L8/10)+Skills!O8</f>
        <v/>
      </c>
      <c r="G80">
        <f>Calc!G8</f>
        <v/>
      </c>
      <c r="H80">
        <f>Calc!H8</f>
        <v/>
      </c>
      <c r="I80">
        <f>IF(Skills!AA8&lt;&gt;"",1+(Skills!AA8/10)*(U75/1000)/100,1)</f>
        <v/>
      </c>
      <c r="J80">
        <f>((Inputs!$B$6*(1+Inputs!$B$7/100))+((((Inputs!$B$12+1)*(1+Inputs!$B$13/100))-(Inputs!$B$12*(1+Inputs!$B$13/100)))+0.25*(Inputs!$B$14-Inputs!$B$14))*(1+Inputs!$B$7/100))*(F80/100)</f>
        <v/>
      </c>
      <c r="K80">
        <f>J80*(1+(((Inputs!$B$12+1)*(1+Inputs!$B$13/100))*0.01+Inputs!$B$14*0.0025)/100)*(1+Inputs!$B$15/100)*(1+Inputs!$B$16/100)*(5000/(6000+Inputs!$B$43*(1-(100*(1-(1-(Inputs!$B$19+0)/100)*(1-CHOOSE(ArtifactsInput!$N$40+1,5,6,7,8,9,10)/100)^(ArtifactsInput!$M$40-ArtifactsInput!$M$40)))/100)))*(1+(Inputs!$B$24+((C102=TRUE)*(F102-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95=TRUE)*(F95-Calc!F23))+(((IF(AND(ArtifactsInput!$M$42,((Inputs!$B$9+((C97=TRUE)*(F97-Calc!F25))+B112+(ArtifactsInput!$M$24-ArtifactsInput!$M$24)*CHOOSE(ArtifactsInput!$N$24+1,10,12,14,16,18,20)+IF(ArtifactsInput!$M$10,CHOOSE(ArtifactsInput!$N$10+1,15,18,21,24,27,30)*(IF(Inputs!$B$39="pvp",MIN(15,15)/15,IF(AND(Inputs!$B$39&lt;&gt;"pvp",Inputs!$B$44&gt;0),MIN(15,Inputs!$B$44)/(Inputs!$B$44),0))),0)))&gt;=100),MIN(100,((Inputs!$B$9+((C97=TRUE)*(F97-Calc!F25))+B112+(ArtifactsInput!$M$24-ArtifactsInput!$M$24)*CHOOSE(ArtifactsInput!$N$24+1,10,12,14,16,18,20)+IF(ArtifactsInput!$M$10,CHOOSE(ArtifactsInput!$N$10+1,15,18,21,24,27,30)*(IF(Inputs!$B$39="pvp",MIN(15,15)/15,IF(AND(Inputs!$B$39&lt;&gt;"pvp",Inputs!$B$44&gt;0),MIN(15,Inputs!$B$44)/(Inputs!$B$44),0))),0)))-100),0))*CHOOSE(ArtifactsInput!$N$42+1,0.6,0.72,0.84,0.96,1.08,1.2))),Inputs!$B$18+((C101=TRUE)*(F101-Calc!F29))+(IF(AND(ArtifactsInput!$M$42,((Inputs!$B$9+((C97=TRUE)*(F97-Calc!F25))+B112+(ArtifactsInput!$M$24-ArtifactsInput!$M$24)*CHOOSE(ArtifactsInput!$N$24+1,10,12,14,16,18,20)+IF(ArtifactsInput!$M$10,CHOOSE(ArtifactsInput!$N$10+1,15,18,21,24,27,30)*(IF(Inputs!$B$39="pvp",MIN(15,15)/15,IF(AND(Inputs!$B$39&lt;&gt;"pvp",Inputs!$B$44&gt;0),MIN(15,Inputs!$B$44)/(Inputs!$B$44),0))),0)))&gt;=100),CHOOSE(ArtifactsInput!$N$42+1,40,48,56,64,72,80),0))))/100)*(((1+(((C93=TRUE)*F93*IF(AND(Inputs!$B$39&lt;&gt;"pvp",Inputs!$B$44&gt;0),(((R93-1)*(Skills!Y21*(1+Inputs!$B$34/100))+MIN((Skills!Y21*(1+Inputs!$B$34/100)),MAX(0,Inputs!$B$44-((R93-1)*Skills!D21))))/Inputs!$B$44),IF(Inputs!$B$39="pvp",MIN((Skills!Y21*(1+Inputs!$B$34/100)),15)/15,(Skills!Y21*(1+Inputs!$B$34/100))/Skills!D21)))+((C100=TRUE)*(F100-Calc!F28))+((C90=TRUE)*(F90-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TRUE)*F87*IF(AND(Inputs!$B$39&lt;&gt;"pvp",Inputs!$B$44&gt;0),(((R87-1)*(Skills!Y15*(1+Inputs!$B$34/100))+MIN((Skills!Y15*(1+Inputs!$B$34/100)),MAX(0,Inputs!$B$44-((R87-1)*Skills!D15))))/Inputs!$B$44),IF(Inputs!$B$39="pvp",MIN((Skills!Y15*(1+Inputs!$B$34/100)),15)/15,(Skills!Y15*(1+Inputs!$B$34/100))/Skills!D15)))/100)*(1+((C78=TRUE)*F78*B106)/100))*B114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80)</f>
        <v/>
      </c>
      <c r="L80">
        <f>K80*(MIN(Inputs!$B$22+((C96=TRUE)*(F96-Calc!F24)),(Inputs!$B$23+0+(IF(ArtifactsInput!$M$15,CHOOSE(ArtifactsInput!$N$15+1,25,30,35,40,45,50)/100*(Inputs!$B$11-Inputs!$B$11),0))))/100+(Inputs!$B$23+0+(IF(ArtifactsInput!$M$15,CHOOSE(ArtifactsInput!$N$15+1,25,30,35,40,45,50)/100*(Inputs!$B$11-Inputs!$B$11),0)))/100)/2</f>
        <v/>
      </c>
      <c r="M80">
        <f>L80*(1+(Inputs!$B$10+((C98=TRUE)*(F98-Calc!F26))+B115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0">
        <f>L80*(1-MIN((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80*(MIN((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0">
        <f>(1-Summary!$B$11)*T80+Summary!$B$11*V80</f>
        <v/>
      </c>
      <c r="P80">
        <f>IF(B116=0,0,O80/B116)</f>
        <v/>
      </c>
      <c r="Q80">
        <f>IFERROR(1/IF(Inputs!$B$39="pvp",15,MAX(0.1,Skills!D8-IF(Skills!E8=TRUE,Inputs!$B$32,0))),0)</f>
        <v/>
      </c>
      <c r="R80">
        <f>IF(AND(Inputs!$B$39&lt;&gt;"pvp",Inputs!$B$44&gt;0),IF(MAX(0,Inputs!$B$44-B117)&lt;=0,0,(INT(MAX(0,Inputs!$B$44-B117)/IF(Inputs!$B$39="pvp",15,MAX(0.1,Skills!D8-IF(Skills!E8=TRUE,Inputs!$B$32,0))))+1)),0)</f>
        <v/>
      </c>
      <c r="S80">
        <f>IFERROR(O80/N80,0)</f>
        <v/>
      </c>
      <c r="T80">
        <f>IF(C80,(H80*N80*IF(AND(Inputs!$B$39&lt;&gt;"pvp",Inputs!$B$44&gt;0),((Skills!G8*((R80-1)*IF(Skills!H8&gt;0,Skills!I8/Skills!H8,1)+IF(Skills!H8&gt;0,MIN(Skills!I8,MAX(0,MAX(0,Inputs!$B$44-B117)-((R80-1)*IF(Inputs!$B$39="pvp",15,MAX(0.1,Skills!D8-IF(Skills!E8=TRUE,Inputs!$B$32,0))))))/Skills!H8,1)))/Inputs!$B$44),G80*Q80))*IF(Inputs!$B$39="pvp",1,1+(Inputs!$B$20+((C99=TRUE)*(F99-Calc!F27))+Skills!P8+B113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80*(1-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80*(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80*(1-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80*(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0">
        <f>IF(C80,(H80*N80*IF(AND(Inputs!$B$39&lt;&gt;"pvp",Inputs!$B$44&gt;0),((Skills!G8*((R80-1)*IF(Skills!H8&gt;0,Skills!I8/Skills!H8,1)+IF(Skills!H8&gt;0,MIN(Skills!I8,MAX(0,MAX(0,Inputs!$B$44-B117)-((R80-1)*IF(Inputs!$B$39="pvp",15,MAX(0.1,Skills!D8-IF(Skills!E8=TRUE,Inputs!$B$32,0))))))/Skills!H8,1)))/Inputs!$B$44),G80*Q80))*IF(Inputs!$B$39="pvp",1,(1+(Inputs!$B$21+Skills!Q8+B113+(IF(ArtifactsInput!$M$33,CHOOSE(ArtifactsInput!$N$33+1,30,36,42,48,54,60)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1">
      <c r="A81">
        <f>Skills!A9</f>
        <v/>
      </c>
      <c r="B81">
        <f>Skills!B9</f>
        <v/>
      </c>
      <c r="C81">
        <f>Inputs!$B$3&gt;=72</f>
        <v/>
      </c>
      <c r="D81">
        <f>IF(Skills!C9=1,60+Inputs!$B$25+Inputs!$B$29,IF(Skills!C9=2,90+Inputs!$B$26+Inputs!$B$29,IF(Skills!C9=3,120+Inputs!$B$27+Inputs!$B$29,MAX(0,(Inputs!$B$3-100)*3)+Inputs!$B$28+Inputs!$B$29)))</f>
        <v/>
      </c>
      <c r="E81">
        <f>INDEX(FactorTable!$B$2:$Y$301, MATCH(ROUND(MIN(300,MAX(1,D81)),0), FactorTable!$A$2:$A$301,0), Skills!M9+1)</f>
        <v/>
      </c>
      <c r="F81">
        <f>IF(Skills!N9=TRUE,(Skills!L9/10)*(E81/1000),Skills!L9/10)+Skills!O9</f>
        <v/>
      </c>
      <c r="G81">
        <f>Calc!G9</f>
        <v/>
      </c>
      <c r="H81">
        <f>Calc!H9</f>
        <v/>
      </c>
      <c r="I81">
        <f>IF(Skills!AA9&lt;&gt;"",1+(Skills!AA9/10)*(U75/1000)/100,1)</f>
        <v/>
      </c>
      <c r="J81">
        <f>((Inputs!$B$6*(1+Inputs!$B$7/100))+((((Inputs!$B$12+1)*(1+Inputs!$B$13/100))-(Inputs!$B$12*(1+Inputs!$B$13/100)))+0.25*(Inputs!$B$14-Inputs!$B$14))*(1+Inputs!$B$7/100))*(F81/100)</f>
        <v/>
      </c>
      <c r="K81">
        <f>J81*(1+(((Inputs!$B$12+1)*(1+Inputs!$B$13/100))*0.01+Inputs!$B$14*0.0025)/100)*(1+Inputs!$B$15/100)*(1+Inputs!$B$16/100)*(5000/(6000+Inputs!$B$43*(1-(100*(1-(1-(Inputs!$B$19+0)/100)*(1-CHOOSE(ArtifactsInput!$N$40+1,5,6,7,8,9,10)/100)^(ArtifactsInput!$M$40-ArtifactsInput!$M$40)))/100)))*(1+(Inputs!$B$24+((C102=TRUE)*(F102-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95=TRUE)*(F95-Calc!F23))+(((IF(AND(ArtifactsInput!$M$42,((Inputs!$B$9+((C97=TRUE)*(F97-Calc!F25))+B112+(ArtifactsInput!$M$24-ArtifactsInput!$M$24)*CHOOSE(ArtifactsInput!$N$24+1,10,12,14,16,18,20)+IF(ArtifactsInput!$M$10,CHOOSE(ArtifactsInput!$N$10+1,15,18,21,24,27,30)*(IF(Inputs!$B$39="pvp",MIN(15,15)/15,IF(AND(Inputs!$B$39&lt;&gt;"pvp",Inputs!$B$44&gt;0),MIN(15,Inputs!$B$44)/(Inputs!$B$44),0))),0)))&gt;=100),MIN(100,((Inputs!$B$9+((C97=TRUE)*(F97-Calc!F25))+B112+(ArtifactsInput!$M$24-ArtifactsInput!$M$24)*CHOOSE(ArtifactsInput!$N$24+1,10,12,14,16,18,20)+IF(ArtifactsInput!$M$10,CHOOSE(ArtifactsInput!$N$10+1,15,18,21,24,27,30)*(IF(Inputs!$B$39="pvp",MIN(15,15)/15,IF(AND(Inputs!$B$39&lt;&gt;"pvp",Inputs!$B$44&gt;0),MIN(15,Inputs!$B$44)/(Inputs!$B$44),0))),0)))-100),0))*CHOOSE(ArtifactsInput!$N$42+1,0.6,0.72,0.84,0.96,1.08,1.2))),Inputs!$B$18+((C101=TRUE)*(F101-Calc!F29))+(IF(AND(ArtifactsInput!$M$42,((Inputs!$B$9+((C97=TRUE)*(F97-Calc!F25))+B112+(ArtifactsInput!$M$24-ArtifactsInput!$M$24)*CHOOSE(ArtifactsInput!$N$24+1,10,12,14,16,18,20)+IF(ArtifactsInput!$M$10,CHOOSE(ArtifactsInput!$N$10+1,15,18,21,24,27,30)*(IF(Inputs!$B$39="pvp",MIN(15,15)/15,IF(AND(Inputs!$B$39&lt;&gt;"pvp",Inputs!$B$44&gt;0),MIN(15,Inputs!$B$44)/(Inputs!$B$44),0))),0)))&gt;=100),CHOOSE(ArtifactsInput!$N$42+1,40,48,56,64,72,80),0))))/100)*(((1+(((C93=TRUE)*F93*IF(AND(Inputs!$B$39&lt;&gt;"pvp",Inputs!$B$44&gt;0),(((R93-1)*(Skills!Y21*(1+Inputs!$B$34/100))+MIN((Skills!Y21*(1+Inputs!$B$34/100)),MAX(0,Inputs!$B$44-((R93-1)*Skills!D21))))/Inputs!$B$44),IF(Inputs!$B$39="pvp",MIN((Skills!Y21*(1+Inputs!$B$34/100)),15)/15,(Skills!Y21*(1+Inputs!$B$34/100))/Skills!D21)))+((C100=TRUE)*(F100-Calc!F28))+((C90=TRUE)*(F90-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TRUE)*F87*IF(AND(Inputs!$B$39&lt;&gt;"pvp",Inputs!$B$44&gt;0),(((R87-1)*(Skills!Y15*(1+Inputs!$B$34/100))+MIN((Skills!Y15*(1+Inputs!$B$34/100)),MAX(0,Inputs!$B$44-((R87-1)*Skills!D15))))/Inputs!$B$44),IF(Inputs!$B$39="pvp",MIN((Skills!Y15*(1+Inputs!$B$34/100)),15)/15,(Skills!Y15*(1+Inputs!$B$34/100))/Skills!D15)))/100)*(1+((C78=TRUE)*F78*B106)/100))*B114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81)</f>
        <v/>
      </c>
      <c r="L81">
        <f>K81*(MIN(Inputs!$B$22+((C96=TRUE)*(F96-Calc!F24)),(Inputs!$B$23+0+(IF(ArtifactsInput!$M$15,CHOOSE(ArtifactsInput!$N$15+1,25,30,35,40,45,50)/100*(Inputs!$B$11-Inputs!$B$11),0))))/100+(Inputs!$B$23+0+(IF(ArtifactsInput!$M$15,CHOOSE(ArtifactsInput!$N$15+1,25,30,35,40,45,50)/100*(Inputs!$B$11-Inputs!$B$11),0)))/100)/2</f>
        <v/>
      </c>
      <c r="M81">
        <f>L81*(1+(Inputs!$B$10+((C98=TRUE)*(F98-Calc!F26))+B115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1">
        <f>L81*(1-MIN((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81*(MIN((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1">
        <f>(1-Summary!$B$11)*T81+Summary!$B$11*V81</f>
        <v/>
      </c>
      <c r="P81">
        <f>IF(B116=0,0,O81/B116)</f>
        <v/>
      </c>
      <c r="Q81">
        <f>IFERROR(1/IF(Inputs!$B$39="pvp",15,MAX(0.1,Skills!D9-IF(Skills!E9=TRUE,Inputs!$B$32,0))),0)</f>
        <v/>
      </c>
      <c r="R81">
        <f>IF(AND(Inputs!$B$39&lt;&gt;"pvp",Inputs!$B$44&gt;0),IF(MAX(0,Inputs!$B$44-B117)&lt;=0,0,(INT(MAX(0,Inputs!$B$44-B117)/IF(Inputs!$B$39="pvp",15,MAX(0.1,Skills!D9-IF(Skills!E9=TRUE,Inputs!$B$32,0))))+1)),0)</f>
        <v/>
      </c>
      <c r="S81">
        <f>IFERROR(O81/N81,0)</f>
        <v/>
      </c>
      <c r="T81">
        <f>IF(C81,(H81*N81*IF(AND(Inputs!$B$39&lt;&gt;"pvp",Inputs!$B$44&gt;0),((Skills!G9*((R81-1)*IF(Skills!H9&gt;0,Skills!I9/Skills!H9,1)+IF(Skills!H9&gt;0,MIN(Skills!I9,MAX(0,MAX(0,Inputs!$B$44-B117)-((R81-1)*IF(Inputs!$B$39="pvp",15,MAX(0.1,Skills!D9-IF(Skills!E9=TRUE,Inputs!$B$32,0))))))/Skills!H9,1)))/Inputs!$B$44),G81*Q81))*IF(Inputs!$B$39="pvp",1,1+(Inputs!$B$20+((C99=TRUE)*(F99-Calc!F27))+Skills!P9+B113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81*(1-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81*(1-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1">
        <f>IF(C81,(H81*N81*IF(AND(Inputs!$B$39&lt;&gt;"pvp",Inputs!$B$44&gt;0),((Skills!G9*((R81-1)*IF(Skills!H9&gt;0,Skills!I9/Skills!H9,1)+IF(Skills!H9&gt;0,MIN(Skills!I9,MAX(0,MAX(0,Inputs!$B$44-B117)-((R81-1)*IF(Inputs!$B$39="pvp",15,MAX(0.1,Skills!D9-IF(Skills!E9=TRUE,Inputs!$B$32,0))))))/Skills!H9,1)))/Inputs!$B$44),G81*Q81))*IF(Inputs!$B$39="pvp",1,(1+(Inputs!$B$21+Skills!Q9+B113+(IF(ArtifactsInput!$M$33,CHOOSE(ArtifactsInput!$N$33+1,30,36,42,48,54,60)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2">
      <c r="A82">
        <f>Skills!A10</f>
        <v/>
      </c>
      <c r="B82">
        <f>Skills!B10</f>
        <v/>
      </c>
      <c r="C82">
        <f>Inputs!$B$3&gt;=117</f>
        <v/>
      </c>
      <c r="D82">
        <f>IF(Skills!C10=1,60+Inputs!$B$25+Inputs!$B$29,IF(Skills!C10=2,90+Inputs!$B$26+Inputs!$B$29,IF(Skills!C10=3,120+Inputs!$B$27+Inputs!$B$29,MAX(0,(Inputs!$B$3-100)*3)+Inputs!$B$28+Inputs!$B$29)))</f>
        <v/>
      </c>
      <c r="E82">
        <f>INDEX(FactorTable!$B$2:$Y$301, MATCH(ROUND(MIN(300,MAX(1,D82)),0), FactorTable!$A$2:$A$301,0), Skills!M10+1)</f>
        <v/>
      </c>
      <c r="F82">
        <f>IF(Skills!N10=TRUE,(Skills!L10/10)*(E82/1000),Skills!L10/10)+Skills!O10</f>
        <v/>
      </c>
      <c r="G82">
        <f>Calc!G10</f>
        <v/>
      </c>
      <c r="H82">
        <f>Calc!H10</f>
        <v/>
      </c>
      <c r="I82">
        <f>IF(Skills!AA10&lt;&gt;"",1+(Skills!AA10/10)*(U75/1000)/100,1)</f>
        <v/>
      </c>
      <c r="J82">
        <f>((Inputs!$B$6*(1+Inputs!$B$7/100))+((((Inputs!$B$12+1)*(1+Inputs!$B$13/100))-(Inputs!$B$12*(1+Inputs!$B$13/100)))+0.25*(Inputs!$B$14-Inputs!$B$14))*(1+Inputs!$B$7/100))*(F82/100)</f>
        <v/>
      </c>
      <c r="K82">
        <f>J82*(1+(((Inputs!$B$12+1)*(1+Inputs!$B$13/100))*0.01+Inputs!$B$14*0.0025)/100)*(1+Inputs!$B$15/100)*(1+Inputs!$B$16/100)*(5000/(6000+Inputs!$B$43*(1-(100*(1-(1-(Inputs!$B$19+0)/100)*(1-CHOOSE(ArtifactsInput!$N$40+1,5,6,7,8,9,10)/100)^(ArtifactsInput!$M$40-ArtifactsInput!$M$40)))/100)))*(1+(Inputs!$B$24+((C102=TRUE)*(F102-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95=TRUE)*(F95-Calc!F23))+(((IF(AND(ArtifactsInput!$M$42,((Inputs!$B$9+((C97=TRUE)*(F97-Calc!F25))+B112+(ArtifactsInput!$M$24-ArtifactsInput!$M$24)*CHOOSE(ArtifactsInput!$N$24+1,10,12,14,16,18,20)+IF(ArtifactsInput!$M$10,CHOOSE(ArtifactsInput!$N$10+1,15,18,21,24,27,30)*(IF(Inputs!$B$39="pvp",MIN(15,15)/15,IF(AND(Inputs!$B$39&lt;&gt;"pvp",Inputs!$B$44&gt;0),MIN(15,Inputs!$B$44)/(Inputs!$B$44),0))),0)))&gt;=100),MIN(100,((Inputs!$B$9+((C97=TRUE)*(F97-Calc!F25))+B112+(ArtifactsInput!$M$24-ArtifactsInput!$M$24)*CHOOSE(ArtifactsInput!$N$24+1,10,12,14,16,18,20)+IF(ArtifactsInput!$M$10,CHOOSE(ArtifactsInput!$N$10+1,15,18,21,24,27,30)*(IF(Inputs!$B$39="pvp",MIN(15,15)/15,IF(AND(Inputs!$B$39&lt;&gt;"pvp",Inputs!$B$44&gt;0),MIN(15,Inputs!$B$44)/(Inputs!$B$44),0))),0)))-100),0))*CHOOSE(ArtifactsInput!$N$42+1,0.6,0.72,0.84,0.96,1.08,1.2))),Inputs!$B$18+((C101=TRUE)*(F101-Calc!F29))+(IF(AND(ArtifactsInput!$M$42,((Inputs!$B$9+((C97=TRUE)*(F97-Calc!F25))+B112+(ArtifactsInput!$M$24-ArtifactsInput!$M$24)*CHOOSE(ArtifactsInput!$N$24+1,10,12,14,16,18,20)+IF(ArtifactsInput!$M$10,CHOOSE(ArtifactsInput!$N$10+1,15,18,21,24,27,30)*(IF(Inputs!$B$39="pvp",MIN(15,15)/15,IF(AND(Inputs!$B$39&lt;&gt;"pvp",Inputs!$B$44&gt;0),MIN(15,Inputs!$B$44)/(Inputs!$B$44),0))),0)))&gt;=100),CHOOSE(ArtifactsInput!$N$42+1,40,48,56,64,72,80),0))))/100)*(((1+(((C93=TRUE)*F93*IF(AND(Inputs!$B$39&lt;&gt;"pvp",Inputs!$B$44&gt;0),(((R93-1)*(Skills!Y21*(1+Inputs!$B$34/100))+MIN((Skills!Y21*(1+Inputs!$B$34/100)),MAX(0,Inputs!$B$44-((R93-1)*Skills!D21))))/Inputs!$B$44),IF(Inputs!$B$39="pvp",MIN((Skills!Y21*(1+Inputs!$B$34/100)),15)/15,(Skills!Y21*(1+Inputs!$B$34/100))/Skills!D21)))+((C100=TRUE)*(F100-Calc!F28))+((C90=TRUE)*(F90-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TRUE)*F87*IF(AND(Inputs!$B$39&lt;&gt;"pvp",Inputs!$B$44&gt;0),(((R87-1)*(Skills!Y15*(1+Inputs!$B$34/100))+MIN((Skills!Y15*(1+Inputs!$B$34/100)),MAX(0,Inputs!$B$44-((R87-1)*Skills!D15))))/Inputs!$B$44),IF(Inputs!$B$39="pvp",MIN((Skills!Y15*(1+Inputs!$B$34/100)),15)/15,(Skills!Y15*(1+Inputs!$B$34/100))/Skills!D15)))/100)*(1+((C78=TRUE)*F78*B106)/100))*B114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82)</f>
        <v/>
      </c>
      <c r="L82">
        <f>K82*(MIN(Inputs!$B$22+((C96=TRUE)*(F96-Calc!F24)),(Inputs!$B$23+0+(IF(ArtifactsInput!$M$15,CHOOSE(ArtifactsInput!$N$15+1,25,30,35,40,45,50)/100*(Inputs!$B$11-Inputs!$B$11),0))))/100+(Inputs!$B$23+0+(IF(ArtifactsInput!$M$15,CHOOSE(ArtifactsInput!$N$15+1,25,30,35,40,45,50)/100*(Inputs!$B$11-Inputs!$B$11),0)))/100)/2</f>
        <v/>
      </c>
      <c r="M82">
        <f>L82*(1+(Inputs!$B$10+((C98=TRUE)*(F98-Calc!F26))+B115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2">
        <f>L82*(1-MIN((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82*(MIN((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2">
        <f>(1-Summary!$B$11)*T82+Summary!$B$11*V82</f>
        <v/>
      </c>
      <c r="P82">
        <f>IF(B116=0,0,O82/B116)</f>
        <v/>
      </c>
      <c r="Q82" t="n">
        <v>0</v>
      </c>
      <c r="R82" t="n">
        <v>0</v>
      </c>
      <c r="S82" t="n">
        <v>0</v>
      </c>
      <c r="T82">
        <f>IF(C82,(0.2*SUMPRODUCT((Skills!Z2:Z31=TRUE)*(C74:C103=TRUE)*S74:S103)*N82)*IF(Inputs!$B$39="pvp",1,1+(Inputs!$B$20+((C99=TRUE)*(F99-Calc!F27))+Skills!P10+B113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82*(1-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82*(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82*(1-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82*(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2">
        <f>IF(C82,(0.2*SUMPRODUCT((Skills!Z2:Z31=TRUE)*(C74:C103=TRUE)*S74:S103)*N82)*IF(Inputs!$B$39="pvp",1,(1+(Inputs!$B$21+Skills!Q10+B113+(IF(ArtifactsInput!$M$33,CHOOSE(ArtifactsInput!$N$33+1,30,36,42,48,54,60),0))+(IF(AND(ArtifactsInput!$M$35,Inputs!$B$4&lt;&gt;"Chapter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3">
      <c r="A83">
        <f>Skills!A11</f>
        <v/>
      </c>
      <c r="B83">
        <f>Skills!B11</f>
        <v/>
      </c>
      <c r="C83">
        <f>Inputs!$B$3&gt;=60</f>
        <v/>
      </c>
      <c r="D83">
        <f>IF(Skills!C11=1,60+Inputs!$B$25+Inputs!$B$29,IF(Skills!C11=2,90+Inputs!$B$26+Inputs!$B$29,IF(Skills!C11=3,120+Inputs!$B$27+Inputs!$B$29,MAX(0,(Inputs!$B$3-100)*3)+Inputs!$B$28+Inputs!$B$29)))</f>
        <v/>
      </c>
      <c r="E83">
        <f>INDEX(FactorTable!$B$2:$Y$301, MATCH(ROUND(MIN(300,MAX(1,D83)),0), FactorTable!$A$2:$A$301,0), Skills!M11+1)</f>
        <v/>
      </c>
      <c r="F83">
        <f>IF(Skills!N11=TRUE,(Skills!L11/10)*(E83/1000),Skills!L11/10)+Skills!O11</f>
        <v/>
      </c>
      <c r="G83">
        <f>Calc!G11</f>
        <v/>
      </c>
      <c r="H83">
        <f>Calc!H11</f>
        <v/>
      </c>
      <c r="I83">
        <f>IF(Skills!AA11&lt;&gt;"",1+(Skills!AA11/10)*(U75/1000)/100,1)</f>
        <v/>
      </c>
      <c r="J83" t="inlineStr"/>
      <c r="K83" t="inlineStr"/>
      <c r="L83" t="inlineStr"/>
      <c r="M83" t="inlineStr"/>
      <c r="N83" t="inlineStr"/>
      <c r="O83">
        <f>(1-Summary!$B$11)*T83+Summary!$B$11*V83</f>
        <v/>
      </c>
      <c r="P83">
        <f>IF(B116=0,0,O83/B116)</f>
        <v/>
      </c>
      <c r="Q83" t="n">
        <v>0</v>
      </c>
      <c r="R83" t="n">
        <v>0</v>
      </c>
      <c r="S83">
        <f>IFERROR(O83/N83,0)</f>
        <v/>
      </c>
      <c r="T83" t="n">
        <v>0</v>
      </c>
      <c r="V83" t="n">
        <v>0</v>
      </c>
    </row>
    <row r="84">
      <c r="A84">
        <f>Skills!A12</f>
        <v/>
      </c>
      <c r="B84">
        <f>Skills!B12</f>
        <v/>
      </c>
      <c r="C84">
        <f>Inputs!$B$3&gt;=103</f>
        <v/>
      </c>
      <c r="D84">
        <f>IF(Skills!C12=1,60+Inputs!$B$25+Inputs!$B$29,IF(Skills!C12=2,90+Inputs!$B$26+Inputs!$B$29,IF(Skills!C12=3,120+Inputs!$B$27+Inputs!$B$29,MAX(0,(Inputs!$B$3-100)*3)+Inputs!$B$28+Inputs!$B$29)))</f>
        <v/>
      </c>
      <c r="E84">
        <f>INDEX(FactorTable!$B$2:$Y$301, MATCH(ROUND(MIN(300,MAX(1,D84)),0), FactorTable!$A$2:$A$301,0), Skills!M12+1)</f>
        <v/>
      </c>
      <c r="F84">
        <f>IF(Skills!N12=TRUE,(Skills!L12/10)*(E84/1000),Skills!L12/10)+Skills!O12</f>
        <v/>
      </c>
      <c r="G84">
        <f>Calc!G12</f>
        <v/>
      </c>
      <c r="H84">
        <f>Calc!H12</f>
        <v/>
      </c>
      <c r="I84">
        <f>IF(Skills!AA12&lt;&gt;"",1+(Skills!AA12/10)*(U75/1000)/100,1)</f>
        <v/>
      </c>
      <c r="J84">
        <f>((Inputs!$B$6*(1+Inputs!$B$7/100))+((((Inputs!$B$12+1)*(1+Inputs!$B$13/100))-(Inputs!$B$12*(1+Inputs!$B$13/100)))+0.25*(Inputs!$B$14-Inputs!$B$14))*(1+Inputs!$B$7/100))*(F84/100)</f>
        <v/>
      </c>
      <c r="K84">
        <f>J84*(1+(((Inputs!$B$12+1)*(1+Inputs!$B$13/100))*0.01+Inputs!$B$14*0.0025)/100)*(1+Inputs!$B$15/100)*(1+Inputs!$B$16/100)*(5000/(6000+Inputs!$B$43*(1-(100*(1-(1-(Inputs!$B$19+0)/100)*(1-CHOOSE(ArtifactsInput!$N$40+1,5,6,7,8,9,10)/100)^(ArtifactsInput!$M$40-ArtifactsInput!$M$40)))/100)))*(1+(Inputs!$B$24+((C102=TRUE)*(F102-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95=TRUE)*(F95-Calc!F23))+(((IF(AND(ArtifactsInput!$M$42,((Inputs!$B$9+((C97=TRUE)*(F97-Calc!F25))+B112+(ArtifactsInput!$M$24-ArtifactsInput!$M$24)*CHOOSE(ArtifactsInput!$N$24+1,10,12,14,16,18,20)+IF(ArtifactsInput!$M$10,CHOOSE(ArtifactsInput!$N$10+1,15,18,21,24,27,30)*(IF(Inputs!$B$39="pvp",MIN(15,15)/15,IF(AND(Inputs!$B$39&lt;&gt;"pvp",Inputs!$B$44&gt;0),MIN(15,Inputs!$B$44)/(Inputs!$B$44),0))),0)))&gt;=100),MIN(100,((Inputs!$B$9+((C97=TRUE)*(F97-Calc!F25))+B112+(ArtifactsInput!$M$24-ArtifactsInput!$M$24)*CHOOSE(ArtifactsInput!$N$24+1,10,12,14,16,18,20)+IF(ArtifactsInput!$M$10,CHOOSE(ArtifactsInput!$N$10+1,15,18,21,24,27,30)*(IF(Inputs!$B$39="pvp",MIN(15,15)/15,IF(AND(Inputs!$B$39&lt;&gt;"pvp",Inputs!$B$44&gt;0),MIN(15,Inputs!$B$44)/(Inputs!$B$44),0))),0)))-100),0))*CHOOSE(ArtifactsInput!$N$42+1,0.6,0.72,0.84,0.96,1.08,1.2))),Inputs!$B$18+((C101=TRUE)*(F101-Calc!F29))+(IF(AND(ArtifactsInput!$M$42,((Inputs!$B$9+((C97=TRUE)*(F97-Calc!F25))+B112+(ArtifactsInput!$M$24-ArtifactsInput!$M$24)*CHOOSE(ArtifactsInput!$N$24+1,10,12,14,16,18,20)+IF(ArtifactsInput!$M$10,CHOOSE(ArtifactsInput!$N$10+1,15,18,21,24,27,30)*(IF(Inputs!$B$39="pvp",MIN(15,15)/15,IF(AND(Inputs!$B$39&lt;&gt;"pvp",Inputs!$B$44&gt;0),MIN(15,Inputs!$B$44)/(Inputs!$B$44),0))),0)))&gt;=100),CHOOSE(ArtifactsInput!$N$42+1,40,48,56,64,72,80),0))))/100)*(((1+(((C93=TRUE)*F93*IF(AND(Inputs!$B$39&lt;&gt;"pvp",Inputs!$B$44&gt;0),(((R93-1)*(Skills!Y21*(1+Inputs!$B$34/100))+MIN((Skills!Y21*(1+Inputs!$B$34/100)),MAX(0,Inputs!$B$44-((R93-1)*Skills!D21))))/Inputs!$B$44),IF(Inputs!$B$39="pvp",MIN((Skills!Y21*(1+Inputs!$B$34/100)),15)/15,(Skills!Y21*(1+Inputs!$B$34/100))/Skills!D21)))+((C100=TRUE)*(F100-Calc!F28))+((C90=TRUE)*(F90-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TRUE)*F87*IF(AND(Inputs!$B$39&lt;&gt;"pvp",Inputs!$B$44&gt;0),(((R87-1)*(Skills!Y15*(1+Inputs!$B$34/100))+MIN((Skills!Y15*(1+Inputs!$B$34/100)),MAX(0,Inputs!$B$44-((R87-1)*Skills!D15))))/Inputs!$B$44),IF(Inputs!$B$39="pvp",MIN((Skills!Y15*(1+Inputs!$B$34/100)),15)/15,(Skills!Y15*(1+Inputs!$B$34/100))/Skills!D15)))/100)*(1+((C78=TRUE)*F78*B106)/100))*B114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84)</f>
        <v/>
      </c>
      <c r="L84">
        <f>K84*(MIN(Inputs!$B$22+((C96=TRUE)*(F96-Calc!F24)),(Inputs!$B$23+0+(IF(ArtifactsInput!$M$15,CHOOSE(ArtifactsInput!$N$15+1,25,30,35,40,45,50)/100*(Inputs!$B$11-Inputs!$B$11),0))))/100+(Inputs!$B$23+0+(IF(ArtifactsInput!$M$15,CHOOSE(ArtifactsInput!$N$15+1,25,30,35,40,45,50)/100*(Inputs!$B$11-Inputs!$B$11),0)))/100)/2</f>
        <v/>
      </c>
      <c r="M84">
        <f>L84*(1+(Inputs!$B$10+((C98=TRUE)*(F98-Calc!F26))+B115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4">
        <f>L84*(1-MIN((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84*(MIN((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4">
        <f>(1-Summary!$B$11)*T84+Summary!$B$11*V84</f>
        <v/>
      </c>
      <c r="P84">
        <f>IF(B116=0,0,O84/B116)</f>
        <v/>
      </c>
      <c r="Q84">
        <f>IFERROR(1/IF(Inputs!$B$39="pvp",15,MAX(0.1,Skills!D12-IF(Skills!E12=TRUE,Inputs!$B$32,0))),0)</f>
        <v/>
      </c>
      <c r="R84">
        <f>IF(AND(Inputs!$B$39&lt;&gt;"pvp",Inputs!$B$44&gt;0),IF(MAX(0,Inputs!$B$44-B117)&lt;=0,0,(INT(MAX(0,Inputs!$B$44-B117)/IF(Inputs!$B$39="pvp",15,MAX(0.1,Skills!D12-IF(Skills!E12=TRUE,Inputs!$B$32,0))))+1)),0)</f>
        <v/>
      </c>
      <c r="S84">
        <f>IFERROR(O84/N84,0)</f>
        <v/>
      </c>
      <c r="T84">
        <f>IF(C84,(H84*N84*IF(AND(Inputs!$B$39&lt;&gt;"pvp",Inputs!$B$44&gt;0),((Skills!G12*((R84-1)*IF(Skills!H12&gt;0,Skills!I12/Skills!H12,1)+IF(Skills!H12&gt;0,MIN(Skills!I12,MAX(0,MAX(0,Inputs!$B$44-B117)-((R84-1)*IF(Inputs!$B$39="pvp",15,MAX(0.1,Skills!D12-IF(Skills!E12=TRUE,Inputs!$B$32,0))))))/Skills!H12,1)))/Inputs!$B$44),G84*Q84))*IF(Inputs!$B$39="pvp",1,1+(Inputs!$B$20+((C99=TRUE)*(F99-Calc!F27))+Skills!P12+B113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84*(1-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84*(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84*(1-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84*(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4">
        <f>IF(C84,(H84*N84*IF(AND(Inputs!$B$39&lt;&gt;"pvp",Inputs!$B$44&gt;0),((Skills!G12*((R84-1)*IF(Skills!H12&gt;0,Skills!I12/Skills!H12,1)+IF(Skills!H12&gt;0,MIN(Skills!I12,MAX(0,MAX(0,Inputs!$B$44-B117)-((R84-1)*IF(Inputs!$B$39="pvp",15,MAX(0.1,Skills!D12-IF(Skills!E12=TRUE,Inputs!$B$32,0))))))/Skills!H12,1)))/Inputs!$B$44),G84*Q84))*IF(Inputs!$B$39="pvp",1,(1+(Inputs!$B$21+Skills!Q12+B113+(IF(ArtifactsInput!$M$33,CHOOSE(ArtifactsInput!$N$33+1,30,36,42,48,54,60)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5">
      <c r="A85">
        <f>Skills!A13</f>
        <v/>
      </c>
      <c r="B85">
        <f>Skills!B13</f>
        <v/>
      </c>
      <c r="C85">
        <f>Inputs!$B$3&gt;=105</f>
        <v/>
      </c>
      <c r="D85">
        <f>IF(Skills!C13=1,60+Inputs!$B$25+Inputs!$B$29,IF(Skills!C13=2,90+Inputs!$B$26+Inputs!$B$29,IF(Skills!C13=3,120+Inputs!$B$27+Inputs!$B$29,MAX(0,(Inputs!$B$3-100)*3)+Inputs!$B$28+Inputs!$B$29)))</f>
        <v/>
      </c>
      <c r="E85">
        <f>INDEX(FactorTable!$B$2:$Y$301, MATCH(ROUND(MIN(300,MAX(1,D85)),0), FactorTable!$A$2:$A$301,0), Skills!M13+1)</f>
        <v/>
      </c>
      <c r="F85">
        <f>IF(Skills!N13=TRUE,(Skills!L13/10)*(E85/1000),Skills!L13/10)+Skills!O13</f>
        <v/>
      </c>
      <c r="G85">
        <f>Calc!G13</f>
        <v/>
      </c>
      <c r="H85">
        <f>Calc!H13</f>
        <v/>
      </c>
      <c r="I85">
        <f>IF(Skills!AA13&lt;&gt;"",1+(Skills!AA13/10)*(U75/1000)/100,1)</f>
        <v/>
      </c>
      <c r="J85">
        <f>((Inputs!$B$6*(1+Inputs!$B$7/100))+((((Inputs!$B$12+1)*(1+Inputs!$B$13/100))-(Inputs!$B$12*(1+Inputs!$B$13/100)))+0.25*(Inputs!$B$14-Inputs!$B$14))*(1+Inputs!$B$7/100))*(F85/100)</f>
        <v/>
      </c>
      <c r="K85">
        <f>J85*(1+(((Inputs!$B$12+1)*(1+Inputs!$B$13/100))*0.01+Inputs!$B$14*0.0025)/100)*(1+Inputs!$B$15/100)*(1+Inputs!$B$16/100)*(5000/(6000+Inputs!$B$43*(1-(100*(1-(1-(Inputs!$B$19+0)/100)*(1-CHOOSE(ArtifactsInput!$N$40+1,5,6,7,8,9,10)/100)^(ArtifactsInput!$M$40-ArtifactsInput!$M$40)))/100)))*(1+(Inputs!$B$24+((C102=TRUE)*(F102-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95=TRUE)*(F95-Calc!F23))+(((IF(AND(ArtifactsInput!$M$42,((Inputs!$B$9+((C97=TRUE)*(F97-Calc!F25))+B112+(ArtifactsInput!$M$24-ArtifactsInput!$M$24)*CHOOSE(ArtifactsInput!$N$24+1,10,12,14,16,18,20)+IF(ArtifactsInput!$M$10,CHOOSE(ArtifactsInput!$N$10+1,15,18,21,24,27,30)*(IF(Inputs!$B$39="pvp",MIN(15,15)/15,IF(AND(Inputs!$B$39&lt;&gt;"pvp",Inputs!$B$44&gt;0),MIN(15,Inputs!$B$44)/(Inputs!$B$44),0))),0)))&gt;=100),MIN(100,((Inputs!$B$9+((C97=TRUE)*(F97-Calc!F25))+B112+(ArtifactsInput!$M$24-ArtifactsInput!$M$24)*CHOOSE(ArtifactsInput!$N$24+1,10,12,14,16,18,20)+IF(ArtifactsInput!$M$10,CHOOSE(ArtifactsInput!$N$10+1,15,18,21,24,27,30)*(IF(Inputs!$B$39="pvp",MIN(15,15)/15,IF(AND(Inputs!$B$39&lt;&gt;"pvp",Inputs!$B$44&gt;0),MIN(15,Inputs!$B$44)/(Inputs!$B$44),0))),0)))-100),0))*CHOOSE(ArtifactsInput!$N$42+1,0.6,0.72,0.84,0.96,1.08,1.2))),Inputs!$B$18+((C101=TRUE)*(F101-Calc!F29))+(IF(AND(ArtifactsInput!$M$42,((Inputs!$B$9+((C97=TRUE)*(F97-Calc!F25))+B112+(ArtifactsInput!$M$24-ArtifactsInput!$M$24)*CHOOSE(ArtifactsInput!$N$24+1,10,12,14,16,18,20)+IF(ArtifactsInput!$M$10,CHOOSE(ArtifactsInput!$N$10+1,15,18,21,24,27,30)*(IF(Inputs!$B$39="pvp",MIN(15,15)/15,IF(AND(Inputs!$B$39&lt;&gt;"pvp",Inputs!$B$44&gt;0),MIN(15,Inputs!$B$44)/(Inputs!$B$44),0))),0)))&gt;=100),CHOOSE(ArtifactsInput!$N$42+1,40,48,56,64,72,80),0))))/100)*(((1+(((C93=TRUE)*F93*IF(AND(Inputs!$B$39&lt;&gt;"pvp",Inputs!$B$44&gt;0),(((R93-1)*(Skills!Y21*(1+Inputs!$B$34/100))+MIN((Skills!Y21*(1+Inputs!$B$34/100)),MAX(0,Inputs!$B$44-((R93-1)*Skills!D21))))/Inputs!$B$44),IF(Inputs!$B$39="pvp",MIN((Skills!Y21*(1+Inputs!$B$34/100)),15)/15,(Skills!Y21*(1+Inputs!$B$34/100))/Skills!D21)))+((C100=TRUE)*(F100-Calc!F28))+((C90=TRUE)*(F90-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TRUE)*F87*IF(AND(Inputs!$B$39&lt;&gt;"pvp",Inputs!$B$44&gt;0),(((R87-1)*(Skills!Y15*(1+Inputs!$B$34/100))+MIN((Skills!Y15*(1+Inputs!$B$34/100)),MAX(0,Inputs!$B$44-((R87-1)*Skills!D15))))/Inputs!$B$44),IF(Inputs!$B$39="pvp",MIN((Skills!Y15*(1+Inputs!$B$34/100)),15)/15,(Skills!Y15*(1+Inputs!$B$34/100))/Skills!D15)))/100)*(1+((C78=TRUE)*F78*B106)/100))*B114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85)</f>
        <v/>
      </c>
      <c r="L85">
        <f>K85*(MIN(Inputs!$B$22+((C96=TRUE)*(F96-Calc!F24)),(Inputs!$B$23+0+(IF(ArtifactsInput!$M$15,CHOOSE(ArtifactsInput!$N$15+1,25,30,35,40,45,50)/100*(Inputs!$B$11-Inputs!$B$11),0))))/100+(Inputs!$B$23+0+(IF(ArtifactsInput!$M$15,CHOOSE(ArtifactsInput!$N$15+1,25,30,35,40,45,50)/100*(Inputs!$B$11-Inputs!$B$11),0)))/100)/2</f>
        <v/>
      </c>
      <c r="M85">
        <f>L85*(1+(Inputs!$B$10+((C98=TRUE)*(F98-Calc!F26))+B115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5">
        <f>L85*(1-MIN((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85*(MIN((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5">
        <f>(1-Summary!$B$11)*T85+Summary!$B$11*V85</f>
        <v/>
      </c>
      <c r="P85">
        <f>IF(B116=0,0,O85/B116)</f>
        <v/>
      </c>
      <c r="Q85">
        <f>IFERROR(1/IF(Inputs!$B$39="pvp",15,MAX(0.1,Skills!D13-IF(Skills!E13=TRUE,Inputs!$B$32,0))),0)</f>
        <v/>
      </c>
      <c r="R85">
        <f>IF(AND(Inputs!$B$39&lt;&gt;"pvp",Inputs!$B$44&gt;0),IF(MAX(0,Inputs!$B$44-B117)&lt;=0,0,(INT(MAX(0,Inputs!$B$44-B117)/IF(Inputs!$B$39="pvp",15,MAX(0.1,Skills!D13-IF(Skills!E13=TRUE,Inputs!$B$32,0))))+1)),0)</f>
        <v/>
      </c>
      <c r="S85">
        <f>IFERROR(O85/N85,0)</f>
        <v/>
      </c>
      <c r="T85">
        <f>IF(C85,(H85*N85*IF(AND(Inputs!$B$39&lt;&gt;"pvp",Inputs!$B$44&gt;0),((Skills!G13*((R85-1)*IF(Skills!H13&gt;0,Skills!I13/Skills!H13,1)+IF(Skills!H13&gt;0,MIN(Skills!I13,MAX(0,MAX(0,Inputs!$B$44-B117)-((R85-1)*IF(Inputs!$B$39="pvp",15,MAX(0.1,Skills!D13-IF(Skills!E13=TRUE,Inputs!$B$32,0))))))/Skills!H13,1)))/Inputs!$B$44),G85*Q85))*IF(Inputs!$B$39="pvp",1,1+(Inputs!$B$20+((C99=TRUE)*(F99-Calc!F27))+Skills!P13+B113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85*(1-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85*(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85*(1-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85*(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5">
        <f>IF(C85,(H85*N85*IF(AND(Inputs!$B$39&lt;&gt;"pvp",Inputs!$B$44&gt;0),((Skills!G13*((R85-1)*IF(Skills!H13&gt;0,Skills!I13/Skills!H13,1)+IF(Skills!H13&gt;0,MIN(Skills!I13,MAX(0,MAX(0,Inputs!$B$44-B117)-((R85-1)*IF(Inputs!$B$39="pvp",15,MAX(0.1,Skills!D13-IF(Skills!E13=TRUE,Inputs!$B$32,0))))))/Skills!H13,1)))/Inputs!$B$44),G85*Q85))*IF(Inputs!$B$39="pvp",1,(1+(Inputs!$B$21+Skills!Q13+B113+(IF(ArtifactsInput!$M$33,CHOOSE(ArtifactsInput!$N$33+1,30,36,42,48,54,60)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6">
      <c r="A86">
        <f>Skills!A14</f>
        <v/>
      </c>
      <c r="B86">
        <f>Skills!B14</f>
        <v/>
      </c>
      <c r="C86">
        <f>Inputs!$B$3&gt;=105</f>
        <v/>
      </c>
      <c r="D86">
        <f>IF(Skills!C14=1,60+Inputs!$B$25+Inputs!$B$29,IF(Skills!C14=2,90+Inputs!$B$26+Inputs!$B$29,IF(Skills!C14=3,120+Inputs!$B$27+Inputs!$B$29,MAX(0,(Inputs!$B$3-100)*3)+Inputs!$B$28+Inputs!$B$29)))</f>
        <v/>
      </c>
      <c r="E86">
        <f>INDEX(FactorTable!$B$2:$Y$301, MATCH(ROUND(MIN(300,MAX(1,D86)),0), FactorTable!$A$2:$A$301,0), Skills!M14+1)</f>
        <v/>
      </c>
      <c r="F86">
        <f>IF(Skills!N14=TRUE,(Skills!L14/10)*(E86/1000),Skills!L14/10)+Skills!O14</f>
        <v/>
      </c>
      <c r="G86">
        <f>Calc!G14</f>
        <v/>
      </c>
      <c r="H86">
        <f>Calc!H14</f>
        <v/>
      </c>
      <c r="I86">
        <f>IF(Skills!AA14&lt;&gt;"",1+(Skills!AA14/10)*(U75/1000)/100,1)</f>
        <v/>
      </c>
      <c r="J86">
        <f>((Inputs!$B$6*(1+Inputs!$B$7/100))+((((Inputs!$B$12+1)*(1+Inputs!$B$13/100))-(Inputs!$B$12*(1+Inputs!$B$13/100)))+0.25*(Inputs!$B$14-Inputs!$B$14))*(1+Inputs!$B$7/100))*(F86/100)</f>
        <v/>
      </c>
      <c r="K86">
        <f>J86*(1+(((Inputs!$B$12+1)*(1+Inputs!$B$13/100))*0.01+Inputs!$B$14*0.0025)/100)*(1+Inputs!$B$15/100)*(1+Inputs!$B$16/100)*(5000/(6000+Inputs!$B$43*(1-(100*(1-(1-(Inputs!$B$19+0)/100)*(1-CHOOSE(ArtifactsInput!$N$40+1,5,6,7,8,9,10)/100)^(ArtifactsInput!$M$40-ArtifactsInput!$M$40)))/100)))*(1+(Inputs!$B$24+((C102=TRUE)*(F102-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95=TRUE)*(F95-Calc!F23))+(((IF(AND(ArtifactsInput!$M$42,((Inputs!$B$9+((C97=TRUE)*(F97-Calc!F25))+B112+(ArtifactsInput!$M$24-ArtifactsInput!$M$24)*CHOOSE(ArtifactsInput!$N$24+1,10,12,14,16,18,20)+IF(ArtifactsInput!$M$10,CHOOSE(ArtifactsInput!$N$10+1,15,18,21,24,27,30)*(IF(Inputs!$B$39="pvp",MIN(15,15)/15,IF(AND(Inputs!$B$39&lt;&gt;"pvp",Inputs!$B$44&gt;0),MIN(15,Inputs!$B$44)/(Inputs!$B$44),0))),0)))&gt;=100),MIN(100,((Inputs!$B$9+((C97=TRUE)*(F97-Calc!F25))+B112+(ArtifactsInput!$M$24-ArtifactsInput!$M$24)*CHOOSE(ArtifactsInput!$N$24+1,10,12,14,16,18,20)+IF(ArtifactsInput!$M$10,CHOOSE(ArtifactsInput!$N$10+1,15,18,21,24,27,30)*(IF(Inputs!$B$39="pvp",MIN(15,15)/15,IF(AND(Inputs!$B$39&lt;&gt;"pvp",Inputs!$B$44&gt;0),MIN(15,Inputs!$B$44)/(Inputs!$B$44),0))),0)))-100),0))*CHOOSE(ArtifactsInput!$N$42+1,0.6,0.72,0.84,0.96,1.08,1.2))),Inputs!$B$18+((C101=TRUE)*(F101-Calc!F29))+(IF(AND(ArtifactsInput!$M$42,((Inputs!$B$9+((C97=TRUE)*(F97-Calc!F25))+B112+(ArtifactsInput!$M$24-ArtifactsInput!$M$24)*CHOOSE(ArtifactsInput!$N$24+1,10,12,14,16,18,20)+IF(ArtifactsInput!$M$10,CHOOSE(ArtifactsInput!$N$10+1,15,18,21,24,27,30)*(IF(Inputs!$B$39="pvp",MIN(15,15)/15,IF(AND(Inputs!$B$39&lt;&gt;"pvp",Inputs!$B$44&gt;0),MIN(15,Inputs!$B$44)/(Inputs!$B$44),0))),0)))&gt;=100),CHOOSE(ArtifactsInput!$N$42+1,40,48,56,64,72,80),0))))/100)*(((1+(((C93=TRUE)*F93*IF(AND(Inputs!$B$39&lt;&gt;"pvp",Inputs!$B$44&gt;0),(((R93-1)*(Skills!Y21*(1+Inputs!$B$34/100))+MIN((Skills!Y21*(1+Inputs!$B$34/100)),MAX(0,Inputs!$B$44-((R93-1)*Skills!D21))))/Inputs!$B$44),IF(Inputs!$B$39="pvp",MIN((Skills!Y21*(1+Inputs!$B$34/100)),15)/15,(Skills!Y21*(1+Inputs!$B$34/100))/Skills!D21)))+((C100=TRUE)*(F100-Calc!F28))+((C90=TRUE)*(F90-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TRUE)*F87*IF(AND(Inputs!$B$39&lt;&gt;"pvp",Inputs!$B$44&gt;0),(((R87-1)*(Skills!Y15*(1+Inputs!$B$34/100))+MIN((Skills!Y15*(1+Inputs!$B$34/100)),MAX(0,Inputs!$B$44-((R87-1)*Skills!D15))))/Inputs!$B$44),IF(Inputs!$B$39="pvp",MIN((Skills!Y15*(1+Inputs!$B$34/100)),15)/15,(Skills!Y15*(1+Inputs!$B$34/100))/Skills!D15)))/100)*(1+((C78=TRUE)*F78*B106)/100))*B114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86)</f>
        <v/>
      </c>
      <c r="L86">
        <f>K86*(MIN(Inputs!$B$22+((C96=TRUE)*(F96-Calc!F24)),(Inputs!$B$23+0+(IF(ArtifactsInput!$M$15,CHOOSE(ArtifactsInput!$N$15+1,25,30,35,40,45,50)/100*(Inputs!$B$11-Inputs!$B$11),0))))/100+(Inputs!$B$23+0+(IF(ArtifactsInput!$M$15,CHOOSE(ArtifactsInput!$N$15+1,25,30,35,40,45,50)/100*(Inputs!$B$11-Inputs!$B$11),0)))/100)/2</f>
        <v/>
      </c>
      <c r="M86">
        <f>L86*(1+(Inputs!$B$10+((C98=TRUE)*(F98-Calc!F26))+B115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6">
        <f>L86*(1-MIN((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86*(MIN((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6">
        <f>(1-Summary!$B$11)*T86+Summary!$B$11*V86</f>
        <v/>
      </c>
      <c r="P86">
        <f>IF(B116=0,0,O86/B116)</f>
        <v/>
      </c>
      <c r="Q86">
        <f>IFERROR(1/IF(Inputs!$B$39="pvp",15,MAX(0.1,Skills!D14-IF(Skills!E14=TRUE,Inputs!$B$32,0))),0)</f>
        <v/>
      </c>
      <c r="R86">
        <f>IF(AND(Inputs!$B$39&lt;&gt;"pvp",Inputs!$B$44&gt;0),IF(MAX(0,Inputs!$B$44-B117)&lt;=0,0,(INT(MAX(0,Inputs!$B$44-B117)/IF(Inputs!$B$39="pvp",15,MAX(0.1,Skills!D14-IF(Skills!E14=TRUE,Inputs!$B$32,0))))+1)),0)</f>
        <v/>
      </c>
      <c r="S86">
        <f>IFERROR(O86/N86,0)</f>
        <v/>
      </c>
      <c r="T86">
        <f>IF(C86,(H86*N86*IF(AND(Inputs!$B$39&lt;&gt;"pvp",Inputs!$B$44&gt;0),((Skills!G14*((R86-1)*IF(Skills!H14&gt;0,Skills!I14/Skills!H14,1)+IF(Skills!H14&gt;0,MIN(Skills!I14,MAX(0,MAX(0,Inputs!$B$44-B117)-((R86-1)*IF(Inputs!$B$39="pvp",15,MAX(0.1,Skills!D14-IF(Skills!E14=TRUE,Inputs!$B$32,0))))))/Skills!H14,1)))/Inputs!$B$44),G86*Q86))*IF(Inputs!$B$39="pvp",1,1+(Inputs!$B$20+((C99=TRUE)*(F99-Calc!F27))+Skills!P14+B113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86*(1-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86*(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86*(1-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86*(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6">
        <f>IF(C86,(H86*N86*IF(AND(Inputs!$B$39&lt;&gt;"pvp",Inputs!$B$44&gt;0),((Skills!G14*((R86-1)*IF(Skills!H14&gt;0,Skills!I14/Skills!H14,1)+IF(Skills!H14&gt;0,MIN(Skills!I14,MAX(0,MAX(0,Inputs!$B$44-B117)-((R86-1)*IF(Inputs!$B$39="pvp",15,MAX(0.1,Skills!D14-IF(Skills!E14=TRUE,Inputs!$B$32,0))))))/Skills!H14,1)))/Inputs!$B$44),G86*Q86))*IF(Inputs!$B$39="pvp",1,(1+(Inputs!$B$21+Skills!Q14+B113+(IF(ArtifactsInput!$M$33,CHOOSE(ArtifactsInput!$N$33+1,30,36,42,48,54,60)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7">
      <c r="A87">
        <f>Skills!A15</f>
        <v/>
      </c>
      <c r="B87">
        <f>Skills!B15</f>
        <v/>
      </c>
      <c r="C87">
        <f>Inputs!$B$3&gt;=110</f>
        <v/>
      </c>
      <c r="D87">
        <f>IF(Skills!C15=1,60+Inputs!$B$25+Inputs!$B$29,IF(Skills!C15=2,90+Inputs!$B$26+Inputs!$B$29,IF(Skills!C15=3,120+Inputs!$B$27+Inputs!$B$29,MAX(0,(Inputs!$B$3-100)*3)+Inputs!$B$28+Inputs!$B$29)))</f>
        <v/>
      </c>
      <c r="E87">
        <f>INDEX(FactorTable!$B$2:$Y$301, MATCH(ROUND(MIN(300,MAX(1,D87)),0), FactorTable!$A$2:$A$301,0), Skills!M15+1)</f>
        <v/>
      </c>
      <c r="F87">
        <f>IF(Skills!N15=TRUE,(Skills!L15/10)*(E87/1000),Skills!L15/10)+Skills!O15</f>
        <v/>
      </c>
      <c r="G87">
        <f>Calc!G15</f>
        <v/>
      </c>
      <c r="H87">
        <f>Calc!H15</f>
        <v/>
      </c>
      <c r="I87">
        <f>IF(Skills!AA15&lt;&gt;"",1+(Skills!AA15/10)*(U75/1000)/100,1)</f>
        <v/>
      </c>
      <c r="J87" t="inlineStr"/>
      <c r="K87" t="inlineStr"/>
      <c r="L87" t="inlineStr"/>
      <c r="M87" t="inlineStr"/>
      <c r="N87" t="inlineStr"/>
      <c r="O87">
        <f>(1-Summary!$B$11)*T87+Summary!$B$11*V87</f>
        <v/>
      </c>
      <c r="P87">
        <f>IF(B116=0,0,O87/B116)</f>
        <v/>
      </c>
      <c r="Q87">
        <f>IFERROR(1/IF(Inputs!$B$39="pvp",15,MAX(0.1,Skills!D15-IF(Skills!E15=TRUE,Inputs!$B$32,0))),0)</f>
        <v/>
      </c>
      <c r="R87">
        <f>IF(AND(Inputs!$B$39&lt;&gt;"pvp",Inputs!$B$44&gt;0),IF(Inputs!$B$44&lt;=0,0,(INT(Inputs!$B$44/IF(Inputs!$B$39="pvp",15,MAX(0.1,Skills!D15-IF(Skills!E15=TRUE,Inputs!$B$32,0))))+1)),0)</f>
        <v/>
      </c>
      <c r="S87">
        <f>IFERROR(O87/N87,0)</f>
        <v/>
      </c>
      <c r="T87" t="n">
        <v>0</v>
      </c>
      <c r="V87" t="n">
        <v>0</v>
      </c>
    </row>
    <row r="88">
      <c r="A88">
        <f>Skills!A16</f>
        <v/>
      </c>
      <c r="B88">
        <f>Skills!B16</f>
        <v/>
      </c>
      <c r="C88">
        <f>Inputs!$B$3&gt;=110</f>
        <v/>
      </c>
      <c r="D88">
        <f>IF(Skills!C16=1,60+Inputs!$B$25+Inputs!$B$29,IF(Skills!C16=2,90+Inputs!$B$26+Inputs!$B$29,IF(Skills!C16=3,120+Inputs!$B$27+Inputs!$B$29,MAX(0,(Inputs!$B$3-100)*3)+Inputs!$B$28+Inputs!$B$29)))</f>
        <v/>
      </c>
      <c r="E88">
        <f>INDEX(FactorTable!$B$2:$Y$301, MATCH(ROUND(MIN(300,MAX(1,D88)),0), FactorTable!$A$2:$A$301,0), Skills!M16+1)</f>
        <v/>
      </c>
      <c r="F88">
        <f>IF(Skills!N16=TRUE,(Skills!L16/10)*(E88/1000),Skills!L16/10)+Skills!O16</f>
        <v/>
      </c>
      <c r="G88">
        <f>Calc!G16</f>
        <v/>
      </c>
      <c r="H88">
        <f>Calc!H16</f>
        <v/>
      </c>
      <c r="I88">
        <f>IF(Skills!AA16&lt;&gt;"",1+(Skills!AA16/10)*(U75/1000)/100,1)</f>
        <v/>
      </c>
      <c r="J88" t="inlineStr"/>
      <c r="K88" t="inlineStr"/>
      <c r="L88" t="inlineStr"/>
      <c r="M88" t="inlineStr"/>
      <c r="N88" t="inlineStr"/>
      <c r="O88">
        <f>(1-Summary!$B$11)*T88+Summary!$B$11*V88</f>
        <v/>
      </c>
      <c r="P88">
        <f>IF(B116=0,0,O88/B116)</f>
        <v/>
      </c>
      <c r="Q88">
        <f>IFERROR(1/IF(Inputs!$B$39="pvp",15,MAX(0.1,Skills!D16-IF(Skills!E16=TRUE,Inputs!$B$32,0))),0)</f>
        <v/>
      </c>
      <c r="R88">
        <f>IF(AND(Inputs!$B$39&lt;&gt;"pvp",Inputs!$B$44&gt;0),IF(Inputs!$B$44&lt;=0,0,(INT(Inputs!$B$44/IF(Inputs!$B$39="pvp",15,MAX(0.1,Skills!D16-IF(Skills!E16=TRUE,Inputs!$B$32,0))))+1)),0)</f>
        <v/>
      </c>
      <c r="S88">
        <f>IFERROR(O88/N88,0)</f>
        <v/>
      </c>
      <c r="T88" t="n">
        <v>0</v>
      </c>
      <c r="V88" t="n">
        <v>0</v>
      </c>
    </row>
    <row r="89">
      <c r="A89">
        <f>Skills!A17</f>
        <v/>
      </c>
      <c r="B89">
        <f>Skills!B17</f>
        <v/>
      </c>
      <c r="C89">
        <f>Inputs!$B$3&gt;=115</f>
        <v/>
      </c>
      <c r="D89">
        <f>IF(Skills!C17=1,60+Inputs!$B$25+Inputs!$B$29,IF(Skills!C17=2,90+Inputs!$B$26+Inputs!$B$29,IF(Skills!C17=3,120+Inputs!$B$27+Inputs!$B$29,MAX(0,(Inputs!$B$3-100)*3)+Inputs!$B$28+Inputs!$B$29)))</f>
        <v/>
      </c>
      <c r="E89">
        <f>INDEX(FactorTable!$B$2:$Y$301, MATCH(ROUND(MIN(300,MAX(1,D89)),0), FactorTable!$A$2:$A$301,0), Skills!M17+1)</f>
        <v/>
      </c>
      <c r="F89">
        <f>IF(Skills!N17=TRUE,(Skills!L17/10)*(E89/1000),Skills!L17/10)+Skills!O17</f>
        <v/>
      </c>
      <c r="G89">
        <f>Calc!G17</f>
        <v/>
      </c>
      <c r="H89">
        <f>Calc!H17</f>
        <v/>
      </c>
      <c r="I89">
        <f>IF(Skills!AA17&lt;&gt;"",1+(Skills!AA17/10)*(U75/1000)/100,1)</f>
        <v/>
      </c>
      <c r="J89">
        <f>((Inputs!$B$6*(1+Inputs!$B$7/100))+((((Inputs!$B$12+1)*(1+Inputs!$B$13/100))-(Inputs!$B$12*(1+Inputs!$B$13/100)))+0.25*(Inputs!$B$14-Inputs!$B$14))*(1+Inputs!$B$7/100))*(F89/100)</f>
        <v/>
      </c>
      <c r="K89">
        <f>J89*(1+(((Inputs!$B$12+1)*(1+Inputs!$B$13/100))*0.01+Inputs!$B$14*0.0025)/100)*(1+Inputs!$B$15/100)*(1+Inputs!$B$16/100)*(5000/(6000+Inputs!$B$43*(1-(100*(1-(1-(Inputs!$B$19+0)/100)*(1-CHOOSE(ArtifactsInput!$N$40+1,5,6,7,8,9,10)/100)^(ArtifactsInput!$M$40-ArtifactsInput!$M$40)))/100)))*(1+(Inputs!$B$24+((C102=TRUE)*(F102-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95=TRUE)*(F95-Calc!F23))+(((IF(AND(ArtifactsInput!$M$42,((Inputs!$B$9+((C97=TRUE)*(F97-Calc!F25))+B112+(ArtifactsInput!$M$24-ArtifactsInput!$M$24)*CHOOSE(ArtifactsInput!$N$24+1,10,12,14,16,18,20)+IF(ArtifactsInput!$M$10,CHOOSE(ArtifactsInput!$N$10+1,15,18,21,24,27,30)*(IF(Inputs!$B$39="pvp",MIN(15,15)/15,IF(AND(Inputs!$B$39&lt;&gt;"pvp",Inputs!$B$44&gt;0),MIN(15,Inputs!$B$44)/(Inputs!$B$44),0))),0)))&gt;=100),MIN(100,((Inputs!$B$9+((C97=TRUE)*(F97-Calc!F25))+B112+(ArtifactsInput!$M$24-ArtifactsInput!$M$24)*CHOOSE(ArtifactsInput!$N$24+1,10,12,14,16,18,20)+IF(ArtifactsInput!$M$10,CHOOSE(ArtifactsInput!$N$10+1,15,18,21,24,27,30)*(IF(Inputs!$B$39="pvp",MIN(15,15)/15,IF(AND(Inputs!$B$39&lt;&gt;"pvp",Inputs!$B$44&gt;0),MIN(15,Inputs!$B$44)/(Inputs!$B$44),0))),0)))-100),0))*CHOOSE(ArtifactsInput!$N$42+1,0.6,0.72,0.84,0.96,1.08,1.2))),Inputs!$B$18+((C101=TRUE)*(F101-Calc!F29))+(IF(AND(ArtifactsInput!$M$42,((Inputs!$B$9+((C97=TRUE)*(F97-Calc!F25))+B112+(ArtifactsInput!$M$24-ArtifactsInput!$M$24)*CHOOSE(ArtifactsInput!$N$24+1,10,12,14,16,18,20)+IF(ArtifactsInput!$M$10,CHOOSE(ArtifactsInput!$N$10+1,15,18,21,24,27,30)*(IF(Inputs!$B$39="pvp",MIN(15,15)/15,IF(AND(Inputs!$B$39&lt;&gt;"pvp",Inputs!$B$44&gt;0),MIN(15,Inputs!$B$44)/(Inputs!$B$44),0))),0)))&gt;=100),CHOOSE(ArtifactsInput!$N$42+1,40,48,56,64,72,80),0))))/100)*(((1+(((C93=TRUE)*F93*IF(AND(Inputs!$B$39&lt;&gt;"pvp",Inputs!$B$44&gt;0),(((R93-1)*(Skills!Y21*(1+Inputs!$B$34/100))+MIN((Skills!Y21*(1+Inputs!$B$34/100)),MAX(0,Inputs!$B$44-((R93-1)*Skills!D21))))/Inputs!$B$44),IF(Inputs!$B$39="pvp",MIN((Skills!Y21*(1+Inputs!$B$34/100)),15)/15,(Skills!Y21*(1+Inputs!$B$34/100))/Skills!D21)))+((C100=TRUE)*(F100-Calc!F28))+((C90=TRUE)*(F90-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TRUE)*F87*IF(AND(Inputs!$B$39&lt;&gt;"pvp",Inputs!$B$44&gt;0),(((R87-1)*(Skills!Y15*(1+Inputs!$B$34/100))+MIN((Skills!Y15*(1+Inputs!$B$34/100)),MAX(0,Inputs!$B$44-((R87-1)*Skills!D15))))/Inputs!$B$44),IF(Inputs!$B$39="pvp",MIN((Skills!Y15*(1+Inputs!$B$34/100)),15)/15,(Skills!Y15*(1+Inputs!$B$34/100))/Skills!D15)))/100)*(1+((C78=TRUE)*F78*B106)/100))*B114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89)</f>
        <v/>
      </c>
      <c r="L89">
        <f>K89*(MIN(Inputs!$B$22+((C96=TRUE)*(F96-Calc!F24)),(Inputs!$B$23+0+(IF(ArtifactsInput!$M$15,CHOOSE(ArtifactsInput!$N$15+1,25,30,35,40,45,50)/100*(Inputs!$B$11-Inputs!$B$11),0))))/100+(Inputs!$B$23+0+(IF(ArtifactsInput!$M$15,CHOOSE(ArtifactsInput!$N$15+1,25,30,35,40,45,50)/100*(Inputs!$B$11-Inputs!$B$11),0)))/100)/2</f>
        <v/>
      </c>
      <c r="M89">
        <f>L89*(1+(Inputs!$B$10+((C98=TRUE)*(F98-Calc!F26))+B115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9">
        <f>L89*(1-MIN((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89*(MIN((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9">
        <f>(1-Summary!$B$11)*T89+Summary!$B$11*V89</f>
        <v/>
      </c>
      <c r="P89">
        <f>IF(B116=0,0,O89/B116)</f>
        <v/>
      </c>
      <c r="Q89" t="n">
        <v>0</v>
      </c>
      <c r="R89" t="n">
        <v>0</v>
      </c>
      <c r="S89">
        <f>IFERROR(O89/N89,0)</f>
        <v/>
      </c>
      <c r="T89">
        <f>IF(C89,(Inputs!$B$38*0.2*N89)*IF(Inputs!$B$39="pvp",1,1+(Inputs!$B$20+((C99=TRUE)*(F99-Calc!F27))+Skills!P17+B113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89*(1-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89*(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89*(1-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89*(MIN(100,(Inputs!$B$9+((C97=TRUE)*(F97-Calc!F25))+B112+(ArtifactsInput!$M$24-ArtifactsInput!$M$24)*CHOOSE(ArtifactsInput!$N$24+1,10,12,14,16,18,20)+(IF(AND(ArtifactsInput!$M$42,((Inputs!$B$9+((C97=TRUE)*(F97-Calc!F25))+B112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9">
        <f>IF(C89,(Inputs!$B$38*0.2*N89)*IF(Inputs!$B$39="pvp",1,(1+(Inputs!$B$21+Skills!Q17+B113+(IF(ArtifactsInput!$M$33,CHOOSE(ArtifactsInput!$N$33+1,30,36,42,48,54,60),0))+(IF(AND(ArtifactsInput!$M$35,Inputs!$B$4&lt;&gt;"Chapter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0">
      <c r="A90">
        <f>Skills!A18</f>
        <v/>
      </c>
      <c r="B90">
        <f>Skills!B18</f>
        <v/>
      </c>
      <c r="C90">
        <f>Inputs!$B$3&gt;=115</f>
        <v/>
      </c>
      <c r="D90">
        <f>IF(Skills!C18=1,60+Inputs!$B$25+Inputs!$B$29,IF(Skills!C18=2,90+Inputs!$B$26+Inputs!$B$29,IF(Skills!C18=3,120+Inputs!$B$27+Inputs!$B$29,MAX(0,(Inputs!$B$3-100)*3)+Inputs!$B$28+Inputs!$B$29)))</f>
        <v/>
      </c>
      <c r="E90">
        <f>INDEX(FactorTable!$B$2:$Y$301, MATCH(ROUND(MIN(300,MAX(1,D90)),0), FactorTable!$A$2:$A$301,0), Skills!M18+1)</f>
        <v/>
      </c>
      <c r="F90">
        <f>IF(Skills!N18=TRUE,(Skills!L18/10)*(E90/1000),Skills!L18/10)+Skills!O18</f>
        <v/>
      </c>
      <c r="G90">
        <f>Calc!G18</f>
        <v/>
      </c>
      <c r="H90">
        <f>Calc!H18</f>
        <v/>
      </c>
      <c r="I90">
        <f>IF(Skills!AA18&lt;&gt;"",1+(Skills!AA18/10)*(U75/1000)/100,1)</f>
        <v/>
      </c>
      <c r="J90" t="inlineStr"/>
      <c r="K90" t="inlineStr"/>
      <c r="L90" t="inlineStr"/>
      <c r="M90" t="inlineStr"/>
      <c r="N90" t="inlineStr"/>
      <c r="O90">
        <f>(1-Summary!$B$11)*T90+Summary!$B$11*V90</f>
        <v/>
      </c>
      <c r="P90">
        <f>IF(B116=0,0,O90/B116)</f>
        <v/>
      </c>
      <c r="Q90" t="n">
        <v>0</v>
      </c>
      <c r="R90" t="n">
        <v>0</v>
      </c>
      <c r="S90">
        <f>IFERROR(O90/N90,0)</f>
        <v/>
      </c>
      <c r="T90" t="n">
        <v>0</v>
      </c>
      <c r="V90" t="n">
        <v>0</v>
      </c>
    </row>
    <row r="91">
      <c r="A91">
        <f>Skills!A19</f>
        <v/>
      </c>
      <c r="B91">
        <f>Skills!B19</f>
        <v/>
      </c>
      <c r="C91">
        <f>TRUE</f>
        <v/>
      </c>
      <c r="D91">
        <f>IF(Skills!C19=1,60+Inputs!$B$25+Inputs!$B$29,IF(Skills!C19=2,90+Inputs!$B$26+Inputs!$B$29,IF(Skills!C19=3,120+Inputs!$B$27+Inputs!$B$29,MAX(0,(Inputs!$B$3-100)*3)+Inputs!$B$28+Inputs!$B$29)))</f>
        <v/>
      </c>
      <c r="E91">
        <f>INDEX(FactorTable!$B$2:$Y$301, MATCH(ROUND(MIN(300,MAX(1,D91)),0), FactorTable!$A$2:$A$301,0), Skills!M19+1)</f>
        <v/>
      </c>
      <c r="F91">
        <f>IF(Skills!N19=TRUE,(Skills!L19/10)*(E91/1000),Skills!L19/10)+Skills!O19</f>
        <v/>
      </c>
      <c r="G91">
        <f>Calc!G19</f>
        <v/>
      </c>
      <c r="H91">
        <f>Calc!H19</f>
        <v/>
      </c>
      <c r="I91">
        <f>IF(Skills!AA19&lt;&gt;"",1+(Skills!AA19/10)*(U75/1000)/100,1)</f>
        <v/>
      </c>
      <c r="J91" t="inlineStr"/>
      <c r="K91" t="inlineStr"/>
      <c r="L91" t="inlineStr"/>
      <c r="M91" t="inlineStr"/>
      <c r="N91" t="inlineStr"/>
      <c r="O91">
        <f>(1-Summary!$B$11)*T91+Summary!$B$11*V91</f>
        <v/>
      </c>
      <c r="P91">
        <f>IF(B116=0,0,O91/B116)</f>
        <v/>
      </c>
      <c r="Q91">
        <f>IFERROR(1/IF(Inputs!$B$39="pvp",15,MAX(0.1,Skills!D19-IF(Skills!E19=TRUE,Inputs!$B$32,0))),0)</f>
        <v/>
      </c>
      <c r="R91">
        <f>IF(AND(Inputs!$B$39&lt;&gt;"pvp",Inputs!$B$44&gt;0),IF(Inputs!$B$44&lt;=0,0,(INT(Inputs!$B$44/IF(Inputs!$B$39="pvp",15,MAX(0.1,Skills!D19-IF(Skills!E19=TRUE,Inputs!$B$32,0))))+1)),0)</f>
        <v/>
      </c>
      <c r="S91">
        <f>IFERROR(O91/N91,0)</f>
        <v/>
      </c>
      <c r="T91" t="n">
        <v>0</v>
      </c>
      <c r="V91" t="n">
        <v>0</v>
      </c>
    </row>
    <row r="92">
      <c r="A92">
        <f>Skills!A20</f>
        <v/>
      </c>
      <c r="B92">
        <f>Skills!B20</f>
        <v/>
      </c>
      <c r="C92">
        <f>Inputs!$B$3&gt;=15</f>
        <v/>
      </c>
      <c r="D92">
        <f>IF(Skills!C20=1,60+Inputs!$B$25+Inputs!$B$29,IF(Skills!C20=2,90+Inputs!$B$26+Inputs!$B$29,IF(Skills!C20=3,120+Inputs!$B$27+Inputs!$B$29,MAX(0,(Inputs!$B$3-100)*3)+Inputs!$B$28+Inputs!$B$29)))</f>
        <v/>
      </c>
      <c r="E92">
        <f>INDEX(FactorTable!$B$2:$Y$301, MATCH(ROUND(MIN(300,MAX(1,D92)),0), FactorTable!$A$2:$A$301,0), Skills!M20+1)</f>
        <v/>
      </c>
      <c r="F92">
        <f>IF(Skills!N20=TRUE,(Skills!L20/10)*(E92/1000),Skills!L20/10)+Skills!O20</f>
        <v/>
      </c>
      <c r="G92">
        <f>Calc!G20</f>
        <v/>
      </c>
      <c r="H92">
        <f>Calc!H20</f>
        <v/>
      </c>
      <c r="I92">
        <f>IF(Skills!AA20&lt;&gt;"",1+(Skills!AA20/10)*(U75/1000)/100,1)</f>
        <v/>
      </c>
      <c r="J92" t="inlineStr"/>
      <c r="K92" t="inlineStr"/>
      <c r="L92" t="inlineStr"/>
      <c r="M92" t="inlineStr"/>
      <c r="N92" t="inlineStr"/>
      <c r="O92">
        <f>(1-Summary!$B$11)*T92+Summary!$B$11*V92</f>
        <v/>
      </c>
      <c r="P92">
        <f>IF(B116=0,0,O92/B116)</f>
        <v/>
      </c>
      <c r="Q92">
        <f>IFERROR(1/IF(Inputs!$B$39="pvp",15,MAX(0.1,Skills!D20-IF(Skills!E20=TRUE,Inputs!$B$32,0))),0)</f>
        <v/>
      </c>
      <c r="R92">
        <f>IF(AND(Inputs!$B$39&lt;&gt;"pvp",Inputs!$B$44&gt;0),IF(Inputs!$B$44&lt;=0,0,(INT(Inputs!$B$44/IF(Inputs!$B$39="pvp",15,MAX(0.1,Skills!D20-IF(Skills!E20=TRUE,Inputs!$B$32,0))))+1)),0)</f>
        <v/>
      </c>
      <c r="S92">
        <f>IFERROR(O92/N92,0)</f>
        <v/>
      </c>
      <c r="T92" t="n">
        <v>0</v>
      </c>
      <c r="V92" t="n">
        <v>0</v>
      </c>
    </row>
    <row r="93">
      <c r="A93">
        <f>Skills!A21</f>
        <v/>
      </c>
      <c r="B93">
        <f>Skills!B21</f>
        <v/>
      </c>
      <c r="C93">
        <f>Inputs!$B$3&gt;=15</f>
        <v/>
      </c>
      <c r="D93">
        <f>IF(Skills!C21=1,60+Inputs!$B$25+Inputs!$B$29,IF(Skills!C21=2,90+Inputs!$B$26+Inputs!$B$29,IF(Skills!C21=3,120+Inputs!$B$27+Inputs!$B$29,MAX(0,(Inputs!$B$3-100)*3)+Inputs!$B$28+Inputs!$B$29)))</f>
        <v/>
      </c>
      <c r="E93">
        <f>INDEX(FactorTable!$B$2:$Y$301, MATCH(ROUND(MIN(300,MAX(1,D93)),0), FactorTable!$A$2:$A$301,0), Skills!M21+1)</f>
        <v/>
      </c>
      <c r="F93">
        <f>IF(Skills!N21=TRUE,(Skills!L21/10)*(E93/1000),Skills!L21/10)+Skills!O21</f>
        <v/>
      </c>
      <c r="G93">
        <f>Calc!G21</f>
        <v/>
      </c>
      <c r="H93">
        <f>Calc!H21</f>
        <v/>
      </c>
      <c r="I93">
        <f>IF(Skills!AA21&lt;&gt;"",1+(Skills!AA21/10)*(U75/1000)/100,1)</f>
        <v/>
      </c>
      <c r="J93" t="inlineStr"/>
      <c r="K93" t="inlineStr"/>
      <c r="L93" t="inlineStr"/>
      <c r="M93" t="inlineStr"/>
      <c r="N93" t="inlineStr"/>
      <c r="O93">
        <f>(1-Summary!$B$11)*T93+Summary!$B$11*V93</f>
        <v/>
      </c>
      <c r="P93">
        <f>IF(B116=0,0,O93/B116)</f>
        <v/>
      </c>
      <c r="Q93">
        <f>IFERROR(1/IF(Inputs!$B$39="pvp",15,MAX(0.1,Skills!D21-IF(Skills!E21=TRUE,Inputs!$B$32,0))),0)</f>
        <v/>
      </c>
      <c r="R93">
        <f>IF(AND(Inputs!$B$39&lt;&gt;"pvp",Inputs!$B$44&gt;0),IF(Inputs!$B$44&lt;=0,0,(INT(Inputs!$B$44/IF(Inputs!$B$39="pvp",15,MAX(0.1,Skills!D21-IF(Skills!E21=TRUE,Inputs!$B$32,0))))+1)),0)</f>
        <v/>
      </c>
      <c r="S93">
        <f>IFERROR(O93/N93,0)</f>
        <v/>
      </c>
      <c r="T93" t="n">
        <v>0</v>
      </c>
      <c r="V93" t="n">
        <v>0</v>
      </c>
    </row>
    <row r="94">
      <c r="A94">
        <f>Skills!A22</f>
        <v/>
      </c>
      <c r="B94">
        <f>Skills!B22</f>
        <v/>
      </c>
      <c r="C94">
        <f>Inputs!$B$3&gt;=33</f>
        <v/>
      </c>
      <c r="D94">
        <f>IF(Skills!C22=1,60+Inputs!$B$25+Inputs!$B$29,IF(Skills!C22=2,90+Inputs!$B$26+Inputs!$B$29,IF(Skills!C22=3,120+Inputs!$B$27+Inputs!$B$29,MAX(0,(Inputs!$B$3-100)*3)+Inputs!$B$28+Inputs!$B$29)))</f>
        <v/>
      </c>
      <c r="E94">
        <f>INDEX(FactorTable!$B$2:$Y$301, MATCH(ROUND(MIN(300,MAX(1,D94)),0), FactorTable!$A$2:$A$301,0), Skills!M22+1)</f>
        <v/>
      </c>
      <c r="F94">
        <f>IF(Skills!N22=TRUE,(Skills!L22/10)*(E94/1000),Skills!L22/10)+Skills!O22</f>
        <v/>
      </c>
      <c r="G94">
        <f>Calc!G22</f>
        <v/>
      </c>
      <c r="H94">
        <f>Calc!H22</f>
        <v/>
      </c>
      <c r="I94">
        <f>IF(Skills!AA22&lt;&gt;"",1+(Skills!AA22/10)*(U75/1000)/100,1)</f>
        <v/>
      </c>
      <c r="J94" t="inlineStr"/>
      <c r="K94" t="inlineStr"/>
      <c r="L94" t="inlineStr"/>
      <c r="M94" t="inlineStr"/>
      <c r="N94" t="inlineStr"/>
      <c r="O94">
        <f>(1-Summary!$B$11)*T94+Summary!$B$11*V94</f>
        <v/>
      </c>
      <c r="P94">
        <f>IF(B116=0,0,O94/B116)</f>
        <v/>
      </c>
      <c r="Q94" t="n">
        <v>0</v>
      </c>
      <c r="R94" t="n">
        <v>0</v>
      </c>
      <c r="S94">
        <f>IFERROR(O94/N94,0)</f>
        <v/>
      </c>
      <c r="T94" t="n">
        <v>0</v>
      </c>
      <c r="V94" t="n">
        <v>0</v>
      </c>
    </row>
    <row r="95">
      <c r="A95">
        <f>Skills!A23</f>
        <v/>
      </c>
      <c r="B95">
        <f>Skills!B23</f>
        <v/>
      </c>
      <c r="C95">
        <f>Inputs!$B$3&gt;=38</f>
        <v/>
      </c>
      <c r="D95">
        <f>IF(Skills!C23=1,60+Inputs!$B$25+Inputs!$B$29,IF(Skills!C23=2,90+Inputs!$B$26+Inputs!$B$29,IF(Skills!C23=3,120+Inputs!$B$27+Inputs!$B$29,MAX(0,(Inputs!$B$3-100)*3)+Inputs!$B$28+Inputs!$B$29)))</f>
        <v/>
      </c>
      <c r="E95">
        <f>INDEX(FactorTable!$B$2:$Y$301, MATCH(ROUND(MIN(300,MAX(1,D95)),0), FactorTable!$A$2:$A$301,0), Skills!M23+1)</f>
        <v/>
      </c>
      <c r="F95">
        <f>IF(Skills!N23=TRUE,(Skills!L23/10)*(E95/1000),Skills!L23/10)+Skills!O23</f>
        <v/>
      </c>
      <c r="G95">
        <f>Calc!G23</f>
        <v/>
      </c>
      <c r="H95">
        <f>Calc!H23</f>
        <v/>
      </c>
      <c r="I95">
        <f>IF(Skills!AA23&lt;&gt;"",1+(Skills!AA23/10)*(U75/1000)/100,1)</f>
        <v/>
      </c>
      <c r="J95" t="inlineStr"/>
      <c r="K95" t="inlineStr"/>
      <c r="L95" t="inlineStr"/>
      <c r="M95" t="inlineStr"/>
      <c r="N95" t="inlineStr"/>
      <c r="O95">
        <f>(1-Summary!$B$11)*T95+Summary!$B$11*V95</f>
        <v/>
      </c>
      <c r="P95">
        <f>IF(B116=0,0,O95/B116)</f>
        <v/>
      </c>
      <c r="Q95" t="n">
        <v>0</v>
      </c>
      <c r="R95" t="n">
        <v>0</v>
      </c>
      <c r="S95">
        <f>IFERROR(O95/N95,0)</f>
        <v/>
      </c>
      <c r="T95" t="n">
        <v>0</v>
      </c>
      <c r="V95" t="n">
        <v>0</v>
      </c>
    </row>
    <row r="96">
      <c r="A96">
        <f>Skills!A24</f>
        <v/>
      </c>
      <c r="B96">
        <f>Skills!B24</f>
        <v/>
      </c>
      <c r="C96">
        <f>Inputs!$B$3&gt;=40</f>
        <v/>
      </c>
      <c r="D96">
        <f>IF(Skills!C24=1,60+Inputs!$B$25+Inputs!$B$29,IF(Skills!C24=2,90+Inputs!$B$26+Inputs!$B$29,IF(Skills!C24=3,120+Inputs!$B$27+Inputs!$B$29,MAX(0,(Inputs!$B$3-100)*3)+Inputs!$B$28+Inputs!$B$29)))</f>
        <v/>
      </c>
      <c r="E96">
        <f>INDEX(FactorTable!$B$2:$Y$301, MATCH(ROUND(MIN(300,MAX(1,D96)),0), FactorTable!$A$2:$A$301,0), Skills!M24+1)</f>
        <v/>
      </c>
      <c r="F96">
        <f>IF(Skills!N24=TRUE,(Skills!L24/10)*(E96/1000),Skills!L24/10)+Skills!O24</f>
        <v/>
      </c>
      <c r="G96">
        <f>Calc!G24</f>
        <v/>
      </c>
      <c r="H96">
        <f>Calc!H24</f>
        <v/>
      </c>
      <c r="I96">
        <f>IF(Skills!AA24&lt;&gt;"",1+(Skills!AA24/10)*(U75/1000)/100,1)</f>
        <v/>
      </c>
      <c r="J96" t="inlineStr"/>
      <c r="K96" t="inlineStr"/>
      <c r="L96" t="inlineStr"/>
      <c r="M96" t="inlineStr"/>
      <c r="N96" t="inlineStr"/>
      <c r="O96">
        <f>(1-Summary!$B$11)*T96+Summary!$B$11*V96</f>
        <v/>
      </c>
      <c r="P96">
        <f>IF(B116=0,0,O96/B116)</f>
        <v/>
      </c>
      <c r="Q96" t="n">
        <v>0</v>
      </c>
      <c r="R96" t="n">
        <v>0</v>
      </c>
      <c r="S96">
        <f>IFERROR(O96/N96,0)</f>
        <v/>
      </c>
      <c r="T96" t="n">
        <v>0</v>
      </c>
      <c r="V96" t="n">
        <v>0</v>
      </c>
    </row>
    <row r="97">
      <c r="A97">
        <f>Skills!A25</f>
        <v/>
      </c>
      <c r="B97">
        <f>Skills!B25</f>
        <v/>
      </c>
      <c r="C97">
        <f>Inputs!$B$3&gt;=45</f>
        <v/>
      </c>
      <c r="D97">
        <f>IF(Skills!C25=1,60+Inputs!$B$25+Inputs!$B$29,IF(Skills!C25=2,90+Inputs!$B$26+Inputs!$B$29,IF(Skills!C25=3,120+Inputs!$B$27+Inputs!$B$29,MAX(0,(Inputs!$B$3-100)*3)+Inputs!$B$28+Inputs!$B$29)))</f>
        <v/>
      </c>
      <c r="E97">
        <f>INDEX(FactorTable!$B$2:$Y$301, MATCH(ROUND(MIN(300,MAX(1,D97)),0), FactorTable!$A$2:$A$301,0), Skills!M25+1)</f>
        <v/>
      </c>
      <c r="F97">
        <f>IF(Skills!N25=TRUE,(Skills!L25/10)*(E97/1000),Skills!L25/10)+Skills!O25</f>
        <v/>
      </c>
      <c r="G97">
        <f>Calc!G25</f>
        <v/>
      </c>
      <c r="H97">
        <f>Calc!H25</f>
        <v/>
      </c>
      <c r="I97">
        <f>IF(Skills!AA25&lt;&gt;"",1+(Skills!AA25/10)*(U75/1000)/100,1)</f>
        <v/>
      </c>
      <c r="J97" t="inlineStr"/>
      <c r="K97" t="inlineStr"/>
      <c r="L97" t="inlineStr"/>
      <c r="M97" t="inlineStr"/>
      <c r="N97" t="inlineStr"/>
      <c r="O97">
        <f>(1-Summary!$B$11)*T97+Summary!$B$11*V97</f>
        <v/>
      </c>
      <c r="P97">
        <f>IF(B116=0,0,O97/B116)</f>
        <v/>
      </c>
      <c r="Q97" t="n">
        <v>0</v>
      </c>
      <c r="R97" t="n">
        <v>0</v>
      </c>
      <c r="S97">
        <f>IFERROR(O97/N97,0)</f>
        <v/>
      </c>
      <c r="T97" t="n">
        <v>0</v>
      </c>
      <c r="V97" t="n">
        <v>0</v>
      </c>
    </row>
    <row r="98">
      <c r="A98">
        <f>Skills!A26</f>
        <v/>
      </c>
      <c r="B98">
        <f>Skills!B26</f>
        <v/>
      </c>
      <c r="C98">
        <f>Inputs!$B$3&gt;=45</f>
        <v/>
      </c>
      <c r="D98">
        <f>IF(Skills!C26=1,60+Inputs!$B$25+Inputs!$B$29,IF(Skills!C26=2,90+Inputs!$B$26+Inputs!$B$29,IF(Skills!C26=3,120+Inputs!$B$27+Inputs!$B$29,MAX(0,(Inputs!$B$3-100)*3)+Inputs!$B$28+Inputs!$B$29)))</f>
        <v/>
      </c>
      <c r="E98">
        <f>INDEX(FactorTable!$B$2:$Y$301, MATCH(ROUND(MIN(300,MAX(1,D98)),0), FactorTable!$A$2:$A$301,0), Skills!M26+1)</f>
        <v/>
      </c>
      <c r="F98">
        <f>IF(Skills!N26=TRUE,(Skills!L26/10)*(E98/1000),Skills!L26/10)+Skills!O26</f>
        <v/>
      </c>
      <c r="G98">
        <f>Calc!G26</f>
        <v/>
      </c>
      <c r="H98">
        <f>Calc!H26</f>
        <v/>
      </c>
      <c r="I98">
        <f>IF(Skills!AA26&lt;&gt;"",1+(Skills!AA26/10)*(U75/1000)/100,1)</f>
        <v/>
      </c>
      <c r="J98" t="inlineStr"/>
      <c r="K98" t="inlineStr"/>
      <c r="L98" t="inlineStr"/>
      <c r="M98" t="inlineStr"/>
      <c r="N98" t="inlineStr"/>
      <c r="O98">
        <f>(1-Summary!$B$11)*T98+Summary!$B$11*V98</f>
        <v/>
      </c>
      <c r="P98">
        <f>IF(B116=0,0,O98/B116)</f>
        <v/>
      </c>
      <c r="Q98" t="n">
        <v>0</v>
      </c>
      <c r="R98" t="n">
        <v>0</v>
      </c>
      <c r="S98">
        <f>IFERROR(O98/N98,0)</f>
        <v/>
      </c>
      <c r="T98" t="n">
        <v>0</v>
      </c>
      <c r="V98" t="n">
        <v>0</v>
      </c>
    </row>
    <row r="99">
      <c r="A99">
        <f>Skills!A27</f>
        <v/>
      </c>
      <c r="B99">
        <f>Skills!B27</f>
        <v/>
      </c>
      <c r="C99">
        <f>Inputs!$B$3&gt;=72</f>
        <v/>
      </c>
      <c r="D99">
        <f>IF(Skills!C27=1,60+Inputs!$B$25+Inputs!$B$29,IF(Skills!C27=2,90+Inputs!$B$26+Inputs!$B$29,IF(Skills!C27=3,120+Inputs!$B$27+Inputs!$B$29,MAX(0,(Inputs!$B$3-100)*3)+Inputs!$B$28+Inputs!$B$29)))</f>
        <v/>
      </c>
      <c r="E99">
        <f>INDEX(FactorTable!$B$2:$Y$301, MATCH(ROUND(MIN(300,MAX(1,D99)),0), FactorTable!$A$2:$A$301,0), Skills!M27+1)</f>
        <v/>
      </c>
      <c r="F99">
        <f>IF(Skills!N27=TRUE,(Skills!L27/10)*(E99/1000),Skills!L27/10)+Skills!O27</f>
        <v/>
      </c>
      <c r="G99">
        <f>Calc!G27</f>
        <v/>
      </c>
      <c r="H99">
        <f>Calc!H27</f>
        <v/>
      </c>
      <c r="I99">
        <f>IF(Skills!AA27&lt;&gt;"",1+(Skills!AA27/10)*(U75/1000)/100,1)</f>
        <v/>
      </c>
      <c r="J99" t="inlineStr"/>
      <c r="K99" t="inlineStr"/>
      <c r="L99" t="inlineStr"/>
      <c r="M99" t="inlineStr"/>
      <c r="N99" t="inlineStr"/>
      <c r="O99">
        <f>(1-Summary!$B$11)*T99+Summary!$B$11*V99</f>
        <v/>
      </c>
      <c r="P99">
        <f>IF(B116=0,0,O99/B116)</f>
        <v/>
      </c>
      <c r="Q99" t="n">
        <v>0</v>
      </c>
      <c r="R99" t="n">
        <v>0</v>
      </c>
      <c r="S99">
        <f>IFERROR(O99/N99,0)</f>
        <v/>
      </c>
      <c r="T99" t="n">
        <v>0</v>
      </c>
      <c r="V99" t="n">
        <v>0</v>
      </c>
    </row>
    <row r="100">
      <c r="A100">
        <f>Skills!A28</f>
        <v/>
      </c>
      <c r="B100">
        <f>Skills!B28</f>
        <v/>
      </c>
      <c r="C100">
        <f>Inputs!$B$3&gt;=75</f>
        <v/>
      </c>
      <c r="D100">
        <f>IF(Skills!C28=1,60+Inputs!$B$25+Inputs!$B$29,IF(Skills!C28=2,90+Inputs!$B$26+Inputs!$B$29,IF(Skills!C28=3,120+Inputs!$B$27+Inputs!$B$29,MAX(0,(Inputs!$B$3-100)*3)+Inputs!$B$28+Inputs!$B$29)))</f>
        <v/>
      </c>
      <c r="E100">
        <f>INDEX(FactorTable!$B$2:$Y$301, MATCH(ROUND(MIN(300,MAX(1,D100)),0), FactorTable!$A$2:$A$301,0), Skills!M28+1)</f>
        <v/>
      </c>
      <c r="F100">
        <f>IF(Skills!N28=TRUE,(Skills!L28/10)*(E100/1000),Skills!L28/10)+Skills!O28</f>
        <v/>
      </c>
      <c r="G100">
        <f>Calc!G28</f>
        <v/>
      </c>
      <c r="H100">
        <f>Calc!H28</f>
        <v/>
      </c>
      <c r="I100">
        <f>IF(Skills!AA28&lt;&gt;"",1+(Skills!AA28/10)*(U75/1000)/100,1)</f>
        <v/>
      </c>
      <c r="J100" t="inlineStr"/>
      <c r="K100" t="inlineStr"/>
      <c r="L100" t="inlineStr"/>
      <c r="M100" t="inlineStr"/>
      <c r="N100" t="inlineStr"/>
      <c r="O100">
        <f>(1-Summary!$B$11)*T100+Summary!$B$11*V100</f>
        <v/>
      </c>
      <c r="P100">
        <f>IF(B116=0,0,O100/B116)</f>
        <v/>
      </c>
      <c r="Q100" t="n">
        <v>0</v>
      </c>
      <c r="R100" t="n">
        <v>0</v>
      </c>
      <c r="S100">
        <f>IFERROR(O100/N100,0)</f>
        <v/>
      </c>
      <c r="T100" t="n">
        <v>0</v>
      </c>
      <c r="V100" t="n">
        <v>0</v>
      </c>
    </row>
    <row r="101">
      <c r="A101">
        <f>Skills!A29</f>
        <v/>
      </c>
      <c r="B101">
        <f>Skills!B29</f>
        <v/>
      </c>
      <c r="C101">
        <f>Inputs!$B$3&gt;=120</f>
        <v/>
      </c>
      <c r="D101">
        <f>IF(Skills!C29=1,60+Inputs!$B$25+Inputs!$B$29,IF(Skills!C29=2,90+Inputs!$B$26+Inputs!$B$29,IF(Skills!C29=3,120+Inputs!$B$27+Inputs!$B$29,MAX(0,(Inputs!$B$3-100)*3)+Inputs!$B$28+Inputs!$B$29)))</f>
        <v/>
      </c>
      <c r="E101">
        <f>INDEX(FactorTable!$B$2:$Y$301, MATCH(ROUND(MIN(300,MAX(1,D101)),0), FactorTable!$A$2:$A$301,0), Skills!M29+1)</f>
        <v/>
      </c>
      <c r="F101">
        <f>IF(Skills!N29=TRUE,(Skills!L29/10)*(E101/1000),Skills!L29/10)+Skills!O29</f>
        <v/>
      </c>
      <c r="G101">
        <f>Calc!G29</f>
        <v/>
      </c>
      <c r="H101">
        <f>Calc!H29</f>
        <v/>
      </c>
      <c r="I101">
        <f>IF(Skills!AA29&lt;&gt;"",1+(Skills!AA29/10)*(U75/1000)/100,1)</f>
        <v/>
      </c>
      <c r="J101" t="inlineStr"/>
      <c r="K101" t="inlineStr"/>
      <c r="L101" t="inlineStr"/>
      <c r="M101" t="inlineStr"/>
      <c r="N101" t="inlineStr"/>
      <c r="O101">
        <f>(1-Summary!$B$11)*T101+Summary!$B$11*V101</f>
        <v/>
      </c>
      <c r="P101">
        <f>IF(B116=0,0,O101/B116)</f>
        <v/>
      </c>
      <c r="Q101" t="n">
        <v>0</v>
      </c>
      <c r="R101" t="n">
        <v>0</v>
      </c>
      <c r="S101">
        <f>IFERROR(O101/N101,0)</f>
        <v/>
      </c>
      <c r="T101" t="n">
        <v>0</v>
      </c>
      <c r="V101" t="n">
        <v>0</v>
      </c>
    </row>
    <row r="102">
      <c r="A102">
        <f>Skills!A30</f>
        <v/>
      </c>
      <c r="B102">
        <f>Skills!B30</f>
        <v/>
      </c>
      <c r="C102">
        <f>Inputs!$B$3&gt;=125</f>
        <v/>
      </c>
      <c r="D102">
        <f>IF(Skills!C30=1,60+Inputs!$B$25+Inputs!$B$29,IF(Skills!C30=2,90+Inputs!$B$26+Inputs!$B$29,IF(Skills!C30=3,120+Inputs!$B$27+Inputs!$B$29,MAX(0,(Inputs!$B$3-100)*3)+Inputs!$B$28+Inputs!$B$29)))</f>
        <v/>
      </c>
      <c r="E102">
        <f>INDEX(FactorTable!$B$2:$Y$301, MATCH(ROUND(MIN(300,MAX(1,D102)),0), FactorTable!$A$2:$A$301,0), Skills!M30+1)</f>
        <v/>
      </c>
      <c r="F102">
        <f>IF(Skills!N30=TRUE,(Skills!L30/10)*(E102/1000),Skills!L30/10)+Skills!O30</f>
        <v/>
      </c>
      <c r="G102">
        <f>Calc!G30</f>
        <v/>
      </c>
      <c r="H102">
        <f>Calc!H30</f>
        <v/>
      </c>
      <c r="I102">
        <f>IF(Skills!AA30&lt;&gt;"",1+(Skills!AA30/10)*(U75/1000)/100,1)</f>
        <v/>
      </c>
      <c r="J102" t="inlineStr"/>
      <c r="K102" t="inlineStr"/>
      <c r="L102" t="inlineStr"/>
      <c r="M102" t="inlineStr"/>
      <c r="N102" t="inlineStr"/>
      <c r="O102">
        <f>(1-Summary!$B$11)*T102+Summary!$B$11*V102</f>
        <v/>
      </c>
      <c r="P102">
        <f>IF(B116=0,0,O102/B116)</f>
        <v/>
      </c>
      <c r="Q102" t="n">
        <v>0</v>
      </c>
      <c r="R102" t="n">
        <v>0</v>
      </c>
      <c r="S102">
        <f>IFERROR(O102/N102,0)</f>
        <v/>
      </c>
      <c r="T102" t="n">
        <v>0</v>
      </c>
      <c r="V102" t="n">
        <v>0</v>
      </c>
    </row>
    <row r="103">
      <c r="A103">
        <f>Skills!A31</f>
        <v/>
      </c>
      <c r="B103">
        <f>Skills!B31</f>
        <v/>
      </c>
      <c r="C103">
        <f>Inputs!$B$3&gt;=107</f>
        <v/>
      </c>
      <c r="D103">
        <f>IF(Skills!C31=1,60+Inputs!$B$25+Inputs!$B$29,IF(Skills!C31=2,90+Inputs!$B$26+Inputs!$B$29,IF(Skills!C31=3,120+Inputs!$B$27+Inputs!$B$29,MAX(0,(Inputs!$B$3-100)*3)+Inputs!$B$28+Inputs!$B$29)))</f>
        <v/>
      </c>
      <c r="E103">
        <f>INDEX(FactorTable!$B$2:$Y$301, MATCH(ROUND(MIN(300,MAX(1,D103)),0), FactorTable!$A$2:$A$301,0), Skills!M31+1)</f>
        <v/>
      </c>
      <c r="F103">
        <f>IF(Skills!N31=TRUE,(Skills!L31/10)*(E103/1000),Skills!L31/10)+Skills!O31</f>
        <v/>
      </c>
      <c r="G103">
        <f>Calc!G31</f>
        <v/>
      </c>
      <c r="H103">
        <f>Calc!H31</f>
        <v/>
      </c>
      <c r="I103">
        <f>IF(Skills!AA31&lt;&gt;"",1+(Skills!AA31/10)*(U75/1000)/100,1)</f>
        <v/>
      </c>
      <c r="J103" t="inlineStr"/>
      <c r="K103" t="inlineStr"/>
      <c r="L103" t="inlineStr"/>
      <c r="M103" t="inlineStr"/>
      <c r="N103" t="inlineStr"/>
      <c r="O103">
        <f>(1-Summary!$B$11)*T103+Summary!$B$11*V103</f>
        <v/>
      </c>
      <c r="P103">
        <f>IF(B116=0,0,O103/B116)</f>
        <v/>
      </c>
      <c r="Q103" t="n">
        <v>0</v>
      </c>
      <c r="R103" t="n">
        <v>0</v>
      </c>
      <c r="S103">
        <f>IFERROR(O103/N103,0)</f>
        <v/>
      </c>
      <c r="T103" t="n">
        <v>0</v>
      </c>
      <c r="V103" t="n">
        <v>0</v>
      </c>
    </row>
    <row r="105">
      <c r="A105" t="inlineStr">
        <is>
          <t>Actions Per Second (pre-Adrenalin)</t>
        </is>
      </c>
      <c r="B105">
        <f>1+MIN(150,150*(1-(1-(Inputs!$B$11+((C94=TRUE)*(F94-Calc!F22))+(ArtifactsInput!$M$15-ArtifactsInput!$M$15)*CHOOSE(ArtifactsInput!$N$15+1,8,9.6,11.2,12.8,14.4,16))/150)*(1-((C91=TRUE)*F91*IF(AND(Inputs!$B$39&lt;&gt;"pvp",Inputs!$B$44&gt;0),(((R91-1)*(Skills!Y19*(1+Inputs!$B$34/100))+MIN((Skills!Y19*(1+Inputs!$B$34/100)),MAX(0,Inputs!$B$44-((R91-1)*Skills!D19))))/Inputs!$B$44),IF(Inputs!$B$39="pvp",MIN((Skills!Y19*(1+Inputs!$B$34/100)),15)/15,(Skills!Y19*(1+Inputs!$B$34/100))/Skills!D19)))/150)))/100</f>
        <v/>
      </c>
    </row>
    <row r="106">
      <c r="A106" t="inlineStr">
        <is>
          <t>Alchemic Adrenaline Uptime</t>
        </is>
      </c>
      <c r="B106">
        <f>(Skills!Y6*(1+Inputs!$B$34/100))/((Skills!Y6*(1+Inputs!$B$34/100))+(5/B105))</f>
        <v/>
      </c>
    </row>
    <row r="107">
      <c r="A107" t="inlineStr">
        <is>
          <t>Attack Speed Buff Bonus %</t>
        </is>
      </c>
      <c r="B107">
        <f>((C91=TRUE)*F91*IF(AND(Inputs!$B$39&lt;&gt;"pvp",Inputs!$B$44&gt;0),(((R91-1)*(Skills!Y19*(1+Inputs!$B$34/100))+MIN((Skills!Y19*(1+Inputs!$B$34/100)),MAX(0,Inputs!$B$44-((R91-1)*Skills!D19))))/Inputs!$B$44),IF(Inputs!$B$39="pvp",MIN((Skills!Y19*(1+Inputs!$B$34/100)),15)/15,(Skills!Y19*(1+Inputs!$B$34/100))/Skills!D19)))+((C79=TRUE)*F79*B106)</f>
        <v/>
      </c>
    </row>
    <row r="108">
      <c r="A108" t="inlineStr">
        <is>
          <t>Actions Per Second (final)</t>
        </is>
      </c>
      <c r="B108">
        <f>1+MIN(150,150*(1-(1-(Inputs!$B$11+((C94=TRUE)*(F94-Calc!F22))+(ArtifactsInput!$M$15-ArtifactsInput!$M$15)*CHOOSE(ArtifactsInput!$N$15+1,8,9.6,11.2,12.8,14.4,16))/150)*(1-B107/150)))/100</f>
        <v/>
      </c>
    </row>
    <row r="109">
      <c r="A109" t="inlineStr">
        <is>
          <t>Skill + Buff Cast Rate</t>
        </is>
      </c>
      <c r="B109">
        <f>IF(AND(Inputs!$B$39&lt;&gt;"pvp",Inputs!$B$44&gt;0),SUMPRODUCT((Skills!E2:E31=TRUE)*(C74:C103=TRUE)*R74:R103*Skills!F2:F31)/Inputs!$B$44,SUMPRODUCT((Skills!E2:E31=TRUE)*(C74:C103=TRUE)*Q74:Q103*Skills!F2:F31))</f>
        <v/>
      </c>
    </row>
    <row r="110">
      <c r="A110" t="inlineStr">
        <is>
          <t>Showdown Casts Per Second</t>
        </is>
      </c>
      <c r="B110">
        <f>MAX(0,B108-B109)</f>
        <v/>
      </c>
    </row>
    <row r="111">
      <c r="A111" t="inlineStr">
        <is>
          <t>Average Buff Multiplier</t>
        </is>
      </c>
      <c r="B111">
        <f>(1+(((C93=TRUE)*F93*IF(AND(Inputs!$B$39&lt;&gt;"pvp",Inputs!$B$44&gt;0),(((R93-1)*(Skills!Y21*(1+Inputs!$B$34/100))+MIN((Skills!Y21*(1+Inputs!$B$34/100)),MAX(0,Inputs!$B$44-((R93-1)*Skills!D21))))/Inputs!$B$44),IF(Inputs!$B$39="pvp",MIN((Skills!Y21*(1+Inputs!$B$34/100)),15)/15,(Skills!Y21*(1+Inputs!$B$34/100))/Skills!D21)))+((C100=TRUE)*(F100-Calc!F28))+((C90=TRUE)*(F90-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TRUE)*F87*IF(AND(Inputs!$B$39&lt;&gt;"pvp",Inputs!$B$44&gt;0),(((R87-1)*(Skills!Y15*(1+Inputs!$B$34/100))+MIN((Skills!Y15*(1+Inputs!$B$34/100)),MAX(0,Inputs!$B$44-((R87-1)*Skills!D15))))/Inputs!$B$44),IF(Inputs!$B$39="pvp",MIN((Skills!Y15*(1+Inputs!$B$34/100)),15)/15,(Skills!Y15*(1+Inputs!$B$34/100))/Skills!D15)))/100)*(1+((C78=TRUE)*F78*B106)/100)</f>
        <v/>
      </c>
    </row>
    <row r="112">
      <c r="A112" t="inlineStr">
        <is>
          <t>Global Crit Rate Bonus %</t>
        </is>
      </c>
      <c r="B112">
        <f>IF(Inputs!$B$3&gt;=47,8,0)+((C92=TRUE)*F92*IF(AND(Inputs!$B$39&lt;&gt;"pvp",Inputs!$B$44&gt;0),(((R92-1)*(Skills!Y20*(1+Inputs!$B$34/100))+MIN((Skills!Y20*(1+Inputs!$B$34/100)),MAX(0,Inputs!$B$44-((R92-1)*Skills!D20))))/Inputs!$B$44),IF(Inputs!$B$39="pvp",MIN((Skills!Y20*(1+Inputs!$B$34/100)),15)/15,(Skills!Y20*(1+Inputs!$B$34/100))/Skills!D20)))</f>
        <v/>
      </c>
    </row>
    <row r="113">
      <c r="A113" t="inlineStr">
        <is>
          <t>Global Monster Damage-Taken Bonus %</t>
        </is>
      </c>
      <c r="B113">
        <f>IF(Inputs!$B$3&gt;=82,15,0)+((C88=TRUE)*F88*IF(AND(Inputs!$B$39&lt;&gt;"pvp",Inputs!$B$44&gt;0),(((R88-1)*(Skills!Y16*(1+Inputs!$B$34/100))+MIN((Skills!Y16*(1+Inputs!$B$34/100)),MAX(0,Inputs!$B$44-((R88-1)*Skills!D16))))/Inputs!$B$44),IF(Inputs!$B$39="pvp",MIN((Skills!Y16*(1+Inputs!$B$34/100)),15)/15,(Skills!Y16*(1+Inputs!$B$34/100))/Skills!D16)))</f>
        <v/>
      </c>
    </row>
    <row r="114">
      <c r="A114" t="inlineStr">
        <is>
          <t>Shadow Partner Average Multiplier</t>
        </is>
      </c>
      <c r="B114">
        <f>1+((C83=TRUE)*F83*I83*Skills!J11/100)/100</f>
        <v/>
      </c>
    </row>
    <row r="115">
      <c r="A115" t="inlineStr">
        <is>
          <t>Global Critical Damage Bonus % (Frailty Curse Mastery Lv.111)</t>
        </is>
      </c>
      <c r="B115">
        <f>IF(Inputs!$B$3&gt;=111,30,0)*IF(AND(Inputs!$B$39&lt;&gt;"pvp",Inputs!$B$44&gt;0),(((R88-1)*(Skills!Y16*(1+Inputs!$B$34/100))+MIN((Skills!Y16*(1+Inputs!$B$34/100)),MAX(0,Inputs!$B$44-((R88-1)*Skills!D16))))/Inputs!$B$44),IF(Inputs!$B$39="pvp",MIN((Skills!Y16*(1+Inputs!$B$34/100)),15)/15,(Skills!Y16*(1+Inputs!$B$34/100))/Skills!D16))</f>
        <v/>
      </c>
    </row>
    <row r="116">
      <c r="A116" s="6" t="inlineStr">
        <is>
          <t>TOTAL DPS</t>
        </is>
      </c>
      <c r="B116" s="6">
        <f>SUM(O74:O103)</f>
        <v/>
      </c>
    </row>
    <row r="117">
      <c r="A117" t="inlineStr">
        <is>
          <t>Buff-Casting Startup Delay (s, fixed-duration only)</t>
        </is>
      </c>
      <c r="B117">
        <f>IF(AND(Inputs!$B$39&lt;&gt;"pvp",Inputs!$B$44&gt;0),SUMPRODUCT((Skills!Y2:Y31&gt;0)*(Skills!E2:E31=TRUE)*(C74:C103=TRUE))/B108,0)</f>
        <v/>
      </c>
    </row>
    <row r="118">
      <c r="A118" t="inlineStr">
        <is>
          <t>Boss-Only Total DPS (this block's swept value)</t>
        </is>
      </c>
      <c r="B118">
        <f>SUM(T74:T103)</f>
        <v/>
      </c>
    </row>
    <row r="119">
      <c r="A119" t="inlineStr">
        <is>
          <t>Normal-Only Total DPS (this block's swept value)</t>
        </is>
      </c>
      <c r="B119">
        <f>SUM(V74:V103)</f>
        <v/>
      </c>
    </row>
    <row r="121">
      <c r="A121" s="6" t="inlineStr">
        <is>
          <t>Stat: LUK %</t>
        </is>
      </c>
    </row>
    <row r="122">
      <c r="A122" s="5" t="inlineStr">
        <is>
          <t>Key</t>
        </is>
      </c>
      <c r="B122" s="5" t="inlineStr">
        <is>
          <t>Name</t>
        </is>
      </c>
      <c r="C122" s="5" t="inlineStr">
        <is>
          <t>Unlocked</t>
        </is>
      </c>
      <c r="D122" s="5" t="inlineStr">
        <is>
          <t>InputLevel</t>
        </is>
      </c>
      <c r="E122" s="5" t="inlineStr">
        <is>
          <t>Factor</t>
        </is>
      </c>
      <c r="F122" s="5" t="inlineStr">
        <is>
          <t>CoefficientPercent</t>
        </is>
      </c>
      <c r="G122" s="5" t="inlineStr">
        <is>
          <t>EffectiveHits</t>
        </is>
      </c>
      <c r="H122" s="5" t="inlineStr">
        <is>
          <t>ProcProbability</t>
        </is>
      </c>
      <c r="I122" s="5" t="inlineStr">
        <is>
          <t>MapleHeroMultiplier</t>
        </is>
      </c>
      <c r="J122" s="5" t="inlineStr">
        <is>
          <t>BaseDamage</t>
        </is>
      </c>
      <c r="K122" s="5" t="inlineStr">
        <is>
          <t>BaseHitDamage</t>
        </is>
      </c>
      <c r="L122" s="5" t="inlineStr">
        <is>
          <t>NonCritAvg</t>
        </is>
      </c>
      <c r="M122" s="5" t="inlineStr">
        <is>
          <t>CritAvg</t>
        </is>
      </c>
      <c r="N122" s="5" t="inlineStr">
        <is>
          <t>ExpectedDamage(perHit)</t>
        </is>
      </c>
      <c r="O122" s="5" t="inlineStr">
        <is>
          <t>DPS</t>
        </is>
      </c>
      <c r="P122" s="5" t="inlineStr">
        <is>
          <t>% of Total</t>
        </is>
      </c>
      <c r="Q122" s="5" t="inlineStr">
        <is>
          <t>InvCooldown</t>
        </is>
      </c>
      <c r="R122" s="5" t="inlineStr">
        <is>
          <t>CastsInFight</t>
        </is>
      </c>
      <c r="S122" s="5" t="inlineStr">
        <is>
          <t>HitRate(perSec)</t>
        </is>
      </c>
      <c r="U122" t="inlineStr">
        <is>
          <t>helpers</t>
        </is>
      </c>
    </row>
    <row r="123">
      <c r="A123">
        <f>Skills!A2</f>
        <v/>
      </c>
      <c r="B123">
        <f>Skills!B2</f>
        <v/>
      </c>
      <c r="C123">
        <f>Inputs!$B$3&gt;=100</f>
        <v/>
      </c>
      <c r="D123" t="inlineStr"/>
      <c r="E123" t="inlineStr"/>
      <c r="F123">
        <f>U127+Skills!O2</f>
        <v/>
      </c>
      <c r="G123">
        <f>Calc!G2</f>
        <v/>
      </c>
      <c r="H123">
        <f>Calc!H2</f>
        <v/>
      </c>
      <c r="I123">
        <f>IF(Skills!AA2&lt;&gt;"",1+(Skills!AA2/10)*(U124/1000)/100,1)</f>
        <v/>
      </c>
      <c r="J123">
        <f>((Inputs!$B$6*(1+Inputs!$B$7/100))+(((Inputs!$B$12*(1+(Inputs!$B$13+1)/100))-(Inputs!$B$12*(1+Inputs!$B$13/100)))+0.25*(Inputs!$B$14-Inputs!$B$14))*(1+Inputs!$B$7/100))*(F123/100)</f>
        <v/>
      </c>
      <c r="K123">
        <f>J123*(1+((Inputs!$B$12*(1+(Inputs!$B$13+1)/100))*0.01+Inputs!$B$14*0.0025)/100)*(1+Inputs!$B$15/100)*(1+Inputs!$B$16/100)*(5000/(6000+Inputs!$B$43*(1-(100*(1-(1-(Inputs!$B$19+0)/100)*(1-CHOOSE(ArtifactsInput!$N$40+1,5,6,7,8,9,10)/100)^(ArtifactsInput!$M$40-ArtifactsInput!$M$40)))/100)))*(1+(Inputs!$B$24+((C151=TRUE)*(F151-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144=TRUE)*(F144-Calc!F23))+(((IF(AND(ArtifactsInput!$M$42,((Inputs!$B$9+((C146=TRUE)*(F146-Calc!F25))+B161+(ArtifactsInput!$M$24-ArtifactsInput!$M$24)*CHOOSE(ArtifactsInput!$N$24+1,10,12,14,16,18,20)+IF(ArtifactsInput!$M$10,CHOOSE(ArtifactsInput!$N$10+1,15,18,21,24,27,30)*(IF(Inputs!$B$39="pvp",MIN(15,15)/15,IF(AND(Inputs!$B$39&lt;&gt;"pvp",Inputs!$B$44&gt;0),MIN(15,Inputs!$B$44)/(Inputs!$B$44),0))),0)))&gt;=100),MIN(100,((Inputs!$B$9+((C146=TRUE)*(F146-Calc!F25))+B161+(ArtifactsInput!$M$24-ArtifactsInput!$M$24)*CHOOSE(ArtifactsInput!$N$24+1,10,12,14,16,18,20)+IF(ArtifactsInput!$M$10,CHOOSE(ArtifactsInput!$N$10+1,15,18,21,24,27,30)*(IF(Inputs!$B$39="pvp",MIN(15,15)/15,IF(AND(Inputs!$B$39&lt;&gt;"pvp",Inputs!$B$44&gt;0),MIN(15,Inputs!$B$44)/(Inputs!$B$44),0))),0)))-100),0))*CHOOSE(ArtifactsInput!$N$42+1,0.6,0.72,0.84,0.96,1.08,1.2))),Inputs!$B$18+((C150=TRUE)*(F150-Calc!F29))+(IF(AND(ArtifactsInput!$M$42,((Inputs!$B$9+((C146=TRUE)*(F146-Calc!F25))+B161+(ArtifactsInput!$M$24-ArtifactsInput!$M$24)*CHOOSE(ArtifactsInput!$N$24+1,10,12,14,16,18,20)+IF(ArtifactsInput!$M$10,CHOOSE(ArtifactsInput!$N$10+1,15,18,21,24,27,30)*(IF(Inputs!$B$39="pvp",MIN(15,15)/15,IF(AND(Inputs!$B$39&lt;&gt;"pvp",Inputs!$B$44&gt;0),MIN(15,Inputs!$B$44)/(Inputs!$B$44),0))),0)))&gt;=100),CHOOSE(ArtifactsInput!$N$42+1,40,48,56,64,72,80),0))))/100)*(((1+(((C142=TRUE)*F142*IF(AND(Inputs!$B$39&lt;&gt;"pvp",Inputs!$B$44&gt;0),(((R142-1)*(Skills!Y21*(1+Inputs!$B$34/100))+MIN((Skills!Y21*(1+Inputs!$B$34/100)),MAX(0,Inputs!$B$44-((R142-1)*Skills!D21))))/Inputs!$B$44),IF(Inputs!$B$39="pvp",MIN((Skills!Y21*(1+Inputs!$B$34/100)),15)/15,(Skills!Y21*(1+Inputs!$B$34/100))/Skills!D21)))+((C149=TRUE)*(F149-Calc!F28))+((C139=TRUE)*(F139-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TRUE)*F136*IF(AND(Inputs!$B$39&lt;&gt;"pvp",Inputs!$B$44&gt;0),(((R136-1)*(Skills!Y15*(1+Inputs!$B$34/100))+MIN((Skills!Y15*(1+Inputs!$B$34/100)),MAX(0,Inputs!$B$44-((R136-1)*Skills!D15))))/Inputs!$B$44),IF(Inputs!$B$39="pvp",MIN((Skills!Y15*(1+Inputs!$B$34/100)),15)/15,(Skills!Y15*(1+Inputs!$B$34/100))/Skills!D15)))/100)*(1+((C127=TRUE)*F127*B155)/100))*B163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123)</f>
        <v/>
      </c>
      <c r="L123">
        <f>K123*(MIN(Inputs!$B$22+((C145=TRUE)*(F145-Calc!F24)),(Inputs!$B$23+0+(IF(ArtifactsInput!$M$15,CHOOSE(ArtifactsInput!$N$15+1,25,30,35,40,45,50)/100*(Inputs!$B$11-Inputs!$B$11),0))))/100+(Inputs!$B$23+0+(IF(ArtifactsInput!$M$15,CHOOSE(ArtifactsInput!$N$15+1,25,30,35,40,45,50)/100*(Inputs!$B$11-Inputs!$B$11),0)))/100)/2</f>
        <v/>
      </c>
      <c r="M123">
        <f>L123*(1+(Inputs!$B$10+((C147=TRUE)*(F147-Calc!F26))+B164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3">
        <f>L123*(1-MIN((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123*(MIN((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3">
        <f>(1-Summary!$B$11)*T123+Summary!$B$11*V123</f>
        <v/>
      </c>
      <c r="P123">
        <f>IF(B165=0,0,O123/B165)</f>
        <v/>
      </c>
      <c r="Q123" t="n">
        <v>0</v>
      </c>
      <c r="R123" t="n">
        <v>0</v>
      </c>
      <c r="S123">
        <f>IFERROR(O123/N123,0)</f>
        <v/>
      </c>
      <c r="T123">
        <f>IF(C123,(Skills!G2*N123*B159)*IF(Inputs!$B$39="pvp",1,1+(Inputs!$B$20+((C148=TRUE)*(F148-Calc!F27))+Skills!P2+B162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Hunt"),CHOOSE(ArtifactsInput!$N$35+1,15,18,21,24,27,30)*(1-EXP(-(0.2*B157)*5)),0)+IF(AND(ArtifactsInput!$M$22,Inputs!$B$4&lt;&gt;"Chapter Hunt"),CHOOSE(ArtifactsInput!$N$22+1,10,12,14,16,18,20)*((0*(((0.15*B157*5))^0/1)+1*(((0.15*B157*5))^1/1)+2*(((0.15*B157*5))^2/2)+3*(((0.15*B157*5))^3/6)+4*(((0.15*B157*5))^4/24)+5*(((0.15*B157*5))^5/120))/((((0.15*B157*5))^0/1)+(((0.15*B157*5))^1/1)+(((0.15*B157*5))^2/2)+(((0.15*B157*5))^3/6)+(((0.15*B157*5))^4/24)+(((0.15*B157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123*(1-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123*(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123*(1-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123*(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3">
        <f>MAX(0,(Inputs!$B$3-100)*3)+Inputs!$B$28+Inputs!$B$29</f>
        <v/>
      </c>
      <c r="V123">
        <f>IF(C123,(Skills!G2*N123*B159)*IF(Inputs!$B$39="pvp",1,(1+(Inputs!$B$21+Skills!Q2+B162+(IF(ArtifactsInput!$M$33,CHOOSE(ArtifactsInput!$N$33+1,30,36,42,48,54,60),0))+(IF(AND(ArtifactsInput!$M$35,Inputs!$B$4&lt;&gt;"Chapter Hunt"),CHOOSE(ArtifactsInput!$N$35+1,15,18,21,24,27,30)*(1-EXP(-(0.2*B157)*5)),0)+IF(AND(ArtifactsInput!$M$22,Inputs!$B$4&lt;&gt;"Chapter Hunt"),CHOOSE(ArtifactsInput!$N$22+1,10,12,14,16,18,20)*((0*(((0.15*B157*5))^0/1)+1*(((0.15*B157*5))^1/1)+2*(((0.15*B157*5))^2/2)+3*(((0.15*B157*5))^3/6)+4*(((0.15*B157*5))^4/24)+5*(((0.15*B157*5))^5/120))/((((0.15*B157*5))^0/1)+(((0.15*B157*5))^1/1)+(((0.15*B157*5))^2/2)+(((0.15*B157*5))^3/6)+(((0.15*B157*5))^4/24)+(((0.15*B157*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4">
      <c r="A124">
        <f>Skills!A3</f>
        <v/>
      </c>
      <c r="B124">
        <f>Skills!B3</f>
        <v/>
      </c>
      <c r="C124">
        <f>Inputs!$B$3&gt;=35</f>
        <v/>
      </c>
      <c r="D124">
        <f>IF(Skills!C3=1,60+Inputs!$B$25+Inputs!$B$29,IF(Skills!C3=2,90+Inputs!$B$26+Inputs!$B$29,IF(Skills!C3=3,120+Inputs!$B$27+Inputs!$B$29,MAX(0,(Inputs!$B$3-100)*3)+Inputs!$B$28+Inputs!$B$29)))</f>
        <v/>
      </c>
      <c r="E124">
        <f>INDEX(FactorTable!$B$2:$Y$301, MATCH(ROUND(MIN(300,MAX(1,D124)),0), FactorTable!$A$2:$A$301,0), Skills!M3+1)</f>
        <v/>
      </c>
      <c r="F124">
        <f>IF(Skills!N3=TRUE,(Skills!L3/10)*(E124/1000),Skills!L3/10)+Skills!O3</f>
        <v/>
      </c>
      <c r="G124">
        <f>Calc!G3</f>
        <v/>
      </c>
      <c r="H124">
        <f>Calc!H3</f>
        <v/>
      </c>
      <c r="I124">
        <f>IF(Skills!AA3&lt;&gt;"",1+(Skills!AA3/10)*(U124/1000)/100,1)</f>
        <v/>
      </c>
      <c r="J124">
        <f>((Inputs!$B$6*(1+Inputs!$B$7/100))+(((Inputs!$B$12*(1+(Inputs!$B$13+1)/100))-(Inputs!$B$12*(1+Inputs!$B$13/100)))+0.25*(Inputs!$B$14-Inputs!$B$14))*(1+Inputs!$B$7/100))*(F124/100)</f>
        <v/>
      </c>
      <c r="K124">
        <f>J124*(1+((Inputs!$B$12*(1+(Inputs!$B$13+1)/100))*0.01+Inputs!$B$14*0.0025)/100)*(1+Inputs!$B$15/100)*(1+Inputs!$B$16/100)*(5000/(6000+Inputs!$B$43*(1-(100*(1-(1-(Inputs!$B$19+0)/100)*(1-CHOOSE(ArtifactsInput!$N$40+1,5,6,7,8,9,10)/100)^(ArtifactsInput!$M$40-ArtifactsInput!$M$40)))/100)))*(1+(Inputs!$B$24+((C151=TRUE)*(F151-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144=TRUE)*(F144-Calc!F23))+(((IF(AND(ArtifactsInput!$M$42,((Inputs!$B$9+((C146=TRUE)*(F146-Calc!F25))+B161+(ArtifactsInput!$M$24-ArtifactsInput!$M$24)*CHOOSE(ArtifactsInput!$N$24+1,10,12,14,16,18,20)+IF(ArtifactsInput!$M$10,CHOOSE(ArtifactsInput!$N$10+1,15,18,21,24,27,30)*(IF(Inputs!$B$39="pvp",MIN(15,15)/15,IF(AND(Inputs!$B$39&lt;&gt;"pvp",Inputs!$B$44&gt;0),MIN(15,Inputs!$B$44)/(Inputs!$B$44),0))),0)))&gt;=100),MIN(100,((Inputs!$B$9+((C146=TRUE)*(F146-Calc!F25))+B161+(ArtifactsInput!$M$24-ArtifactsInput!$M$24)*CHOOSE(ArtifactsInput!$N$24+1,10,12,14,16,18,20)+IF(ArtifactsInput!$M$10,CHOOSE(ArtifactsInput!$N$10+1,15,18,21,24,27,30)*(IF(Inputs!$B$39="pvp",MIN(15,15)/15,IF(AND(Inputs!$B$39&lt;&gt;"pvp",Inputs!$B$44&gt;0),MIN(15,Inputs!$B$44)/(Inputs!$B$44),0))),0)))-100),0))*CHOOSE(ArtifactsInput!$N$42+1,0.6,0.72,0.84,0.96,1.08,1.2))),Inputs!$B$18+((C150=TRUE)*(F150-Calc!F29))+(IF(AND(ArtifactsInput!$M$42,((Inputs!$B$9+((C146=TRUE)*(F146-Calc!F25))+B161+(ArtifactsInput!$M$24-ArtifactsInput!$M$24)*CHOOSE(ArtifactsInput!$N$24+1,10,12,14,16,18,20)+IF(ArtifactsInput!$M$10,CHOOSE(ArtifactsInput!$N$10+1,15,18,21,24,27,30)*(IF(Inputs!$B$39="pvp",MIN(15,15)/15,IF(AND(Inputs!$B$39&lt;&gt;"pvp",Inputs!$B$44&gt;0),MIN(15,Inputs!$B$44)/(Inputs!$B$44),0))),0)))&gt;=100),CHOOSE(ArtifactsInput!$N$42+1,40,48,56,64,72,80),0))))/100)*(((1+(((C142=TRUE)*F142*IF(AND(Inputs!$B$39&lt;&gt;"pvp",Inputs!$B$44&gt;0),(((R142-1)*(Skills!Y21*(1+Inputs!$B$34/100))+MIN((Skills!Y21*(1+Inputs!$B$34/100)),MAX(0,Inputs!$B$44-((R142-1)*Skills!D21))))/Inputs!$B$44),IF(Inputs!$B$39="pvp",MIN((Skills!Y21*(1+Inputs!$B$34/100)),15)/15,(Skills!Y21*(1+Inputs!$B$34/100))/Skills!D21)))+((C149=TRUE)*(F149-Calc!F28))+((C139=TRUE)*(F139-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TRUE)*F136*IF(AND(Inputs!$B$39&lt;&gt;"pvp",Inputs!$B$44&gt;0),(((R136-1)*(Skills!Y15*(1+Inputs!$B$34/100))+MIN((Skills!Y15*(1+Inputs!$B$34/100)),MAX(0,Inputs!$B$44-((R136-1)*Skills!D15))))/Inputs!$B$44),IF(Inputs!$B$39="pvp",MIN((Skills!Y15*(1+Inputs!$B$34/100)),15)/15,(Skills!Y15*(1+Inputs!$B$34/100))/Skills!D15)))/100)*(1+((C127=TRUE)*F127*B155)/100))*B163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124)</f>
        <v/>
      </c>
      <c r="L124">
        <f>K124*(MIN(Inputs!$B$22+((C145=TRUE)*(F145-Calc!F24)),(Inputs!$B$23+0+(IF(ArtifactsInput!$M$15,CHOOSE(ArtifactsInput!$N$15+1,25,30,35,40,45,50)/100*(Inputs!$B$11-Inputs!$B$11),0))))/100+(Inputs!$B$23+0+(IF(ArtifactsInput!$M$15,CHOOSE(ArtifactsInput!$N$15+1,25,30,35,40,45,50)/100*(Inputs!$B$11-Inputs!$B$11),0)))/100)/2</f>
        <v/>
      </c>
      <c r="M124">
        <f>L124*(1+(Inputs!$B$10+((C147=TRUE)*(F147-Calc!F26))+B164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4">
        <f>L124*(1-MIN((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124*(MIN((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4">
        <f>(1-Summary!$B$11)*T124+Summary!$B$11*V124</f>
        <v/>
      </c>
      <c r="P124">
        <f>IF(B165=0,0,O124/B165)</f>
        <v/>
      </c>
      <c r="Q124">
        <f>IFERROR(1/IF(Inputs!$B$39="pvp",15,MAX(0.1,Skills!D3-IF(Skills!E3=TRUE,Inputs!$B$32,0))),0)</f>
        <v/>
      </c>
      <c r="R124">
        <f>IF(AND(Inputs!$B$39&lt;&gt;"pvp",Inputs!$B$44&gt;0),IF(MAX(0,Inputs!$B$44-B166)&lt;=0,0,(INT(MAX(0,Inputs!$B$44-B166)/IF(Inputs!$B$39="pvp",15,MAX(0.1,Skills!D3-IF(Skills!E3=TRUE,Inputs!$B$32,0))))+1)),0)</f>
        <v/>
      </c>
      <c r="S124">
        <f>IFERROR(O124/N124,0)</f>
        <v/>
      </c>
      <c r="T124">
        <f>IF(C124,(H124*N124*IF(AND(Inputs!$B$39&lt;&gt;"pvp",Inputs!$B$44&gt;0),((Skills!G3*((R124-1)*IF(Skills!H3&gt;0,Skills!I3/Skills!H3,1)+IF(Skills!H3&gt;0,MIN(Skills!I3,MAX(0,MAX(0,Inputs!$B$44-B166)-((R124-1)*IF(Inputs!$B$39="pvp",15,MAX(0.1,Skills!D3-IF(Skills!E3=TRUE,Inputs!$B$32,0))))))/Skills!H3,1)))/Inputs!$B$44),G124*Q124))*IF(Inputs!$B$39="pvp",1,1+(Inputs!$B$20+((C148=TRUE)*(F148-Calc!F27))+Skills!P3+B162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Hunt"),CHOOSE(ArtifactsInput!$N$35+1,15,18,21,24,27,30)*(1-EXP(-(0.2*B157)*5)),0)+IF(AND(ArtifactsInput!$M$22,Inputs!$B$4&lt;&gt;"Chapter Hunt"),CHOOSE(ArtifactsInput!$N$22+1,10,12,14,16,18,20)*((0*(((0.15*B157*5))^0/1)+1*(((0.15*B157*5))^1/1)+2*(((0.15*B157*5))^2/2)+3*(((0.15*B157*5))^3/6)+4*(((0.15*B157*5))^4/24)+5*(((0.15*B157*5))^5/120))/((((0.15*B157*5))^0/1)+(((0.15*B157*5))^1/1)+(((0.15*B157*5))^2/2)+(((0.15*B157*5))^3/6)+(((0.15*B157*5))^4/24)+(((0.15*B157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124*(1-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124*(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124*(1-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124*(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4">
        <f>INDEX(FactorTable!$B$2:$Y$301, MATCH(ROUND(MIN(300,MAX(1,U123)),0), FactorTable!$A$2:$A$301,0), 24)</f>
        <v/>
      </c>
      <c r="V124">
        <f>IF(C124,(H124*N124*IF(AND(Inputs!$B$39&lt;&gt;"pvp",Inputs!$B$44&gt;0),((Skills!G3*((R124-1)*IF(Skills!H3&gt;0,Skills!I3/Skills!H3,1)+IF(Skills!H3&gt;0,MIN(Skills!I3,MAX(0,MAX(0,Inputs!$B$44-B166)-((R124-1)*IF(Inputs!$B$39="pvp",15,MAX(0.1,Skills!D3-IF(Skills!E3=TRUE,Inputs!$B$32,0))))))/Skills!H3,1)))/Inputs!$B$44),G124*Q124))*IF(Inputs!$B$39="pvp",1,(1+(Inputs!$B$21+Skills!Q3+B162+(IF(ArtifactsInput!$M$33,CHOOSE(ArtifactsInput!$N$33+1,30,36,42,48,54,60),0))+(IF(AND(ArtifactsInput!$M$35,Inputs!$B$4&lt;&gt;"Chapter Hunt"),CHOOSE(ArtifactsInput!$N$35+1,15,18,21,24,27,30)*(1-EXP(-(0.2*B157)*5)),0)+IF(AND(ArtifactsInput!$M$22,Inputs!$B$4&lt;&gt;"Chapter Hunt"),CHOOSE(ArtifactsInput!$N$22+1,10,12,14,16,18,20)*((0*(((0.15*B157*5))^0/1)+1*(((0.15*B157*5))^1/1)+2*(((0.15*B157*5))^2/2)+3*(((0.15*B157*5))^3/6)+4*(((0.15*B157*5))^4/24)+5*(((0.15*B157*5))^5/120))/((((0.15*B157*5))^0/1)+(((0.15*B157*5))^1/1)+(((0.15*B157*5))^2/2)+(((0.15*B157*5))^3/6)+(((0.15*B157*5))^4/24)+(((0.15*B157*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
      <c r="A125">
        <f>Skills!A4</f>
        <v/>
      </c>
      <c r="B125">
        <f>Skills!B4</f>
        <v/>
      </c>
      <c r="C125">
        <f>Inputs!$B$3&gt;=40</f>
        <v/>
      </c>
      <c r="D125">
        <f>IF(Skills!C4=1,60+Inputs!$B$25+Inputs!$B$29,IF(Skills!C4=2,90+Inputs!$B$26+Inputs!$B$29,IF(Skills!C4=3,120+Inputs!$B$27+Inputs!$B$29,MAX(0,(Inputs!$B$3-100)*3)+Inputs!$B$28+Inputs!$B$29)))</f>
        <v/>
      </c>
      <c r="E125">
        <f>INDEX(FactorTable!$B$2:$Y$301, MATCH(ROUND(MIN(300,MAX(1,D125)),0), FactorTable!$A$2:$A$301,0), Skills!M4+1)</f>
        <v/>
      </c>
      <c r="F125">
        <f>IF(Skills!N4=TRUE,(Skills!L4/10)*(E125/1000),Skills!L4/10)+Skills!O4</f>
        <v/>
      </c>
      <c r="G125">
        <f>Calc!G4</f>
        <v/>
      </c>
      <c r="H125">
        <f>Calc!H4</f>
        <v/>
      </c>
      <c r="I125">
        <f>IF(Skills!AA4&lt;&gt;"",1+(Skills!AA4/10)*(U124/1000)/100,1)</f>
        <v/>
      </c>
      <c r="J125">
        <f>((Inputs!$B$6*(1+Inputs!$B$7/100))+(((Inputs!$B$12*(1+(Inputs!$B$13+1)/100))-(Inputs!$B$12*(1+Inputs!$B$13/100)))+0.25*(Inputs!$B$14-Inputs!$B$14))*(1+Inputs!$B$7/100))*(F125/100)</f>
        <v/>
      </c>
      <c r="K125">
        <f>J125*(1+((Inputs!$B$12*(1+(Inputs!$B$13+1)/100))*0.01+Inputs!$B$14*0.0025)/100)*(1+Inputs!$B$15/100)*(1+Inputs!$B$16/100)*(5000/(6000+Inputs!$B$43*(1-(100*(1-(1-(Inputs!$B$19+0)/100)*(1-CHOOSE(ArtifactsInput!$N$40+1,5,6,7,8,9,10)/100)^(ArtifactsInput!$M$40-ArtifactsInput!$M$40)))/100)))*(1+(Inputs!$B$24+((C151=TRUE)*(F151-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144=TRUE)*(F144-Calc!F23))+(((IF(AND(ArtifactsInput!$M$42,((Inputs!$B$9+((C146=TRUE)*(F146-Calc!F25))+B161+(ArtifactsInput!$M$24-ArtifactsInput!$M$24)*CHOOSE(ArtifactsInput!$N$24+1,10,12,14,16,18,20)+IF(ArtifactsInput!$M$10,CHOOSE(ArtifactsInput!$N$10+1,15,18,21,24,27,30)*(IF(Inputs!$B$39="pvp",MIN(15,15)/15,IF(AND(Inputs!$B$39&lt;&gt;"pvp",Inputs!$B$44&gt;0),MIN(15,Inputs!$B$44)/(Inputs!$B$44),0))),0)))&gt;=100),MIN(100,((Inputs!$B$9+((C146=TRUE)*(F146-Calc!F25))+B161+(ArtifactsInput!$M$24-ArtifactsInput!$M$24)*CHOOSE(ArtifactsInput!$N$24+1,10,12,14,16,18,20)+IF(ArtifactsInput!$M$10,CHOOSE(ArtifactsInput!$N$10+1,15,18,21,24,27,30)*(IF(Inputs!$B$39="pvp",MIN(15,15)/15,IF(AND(Inputs!$B$39&lt;&gt;"pvp",Inputs!$B$44&gt;0),MIN(15,Inputs!$B$44)/(Inputs!$B$44),0))),0)))-100),0))*CHOOSE(ArtifactsInput!$N$42+1,0.6,0.72,0.84,0.96,1.08,1.2))),Inputs!$B$18+((C150=TRUE)*(F150-Calc!F29))+(IF(AND(ArtifactsInput!$M$42,((Inputs!$B$9+((C146=TRUE)*(F146-Calc!F25))+B161+(ArtifactsInput!$M$24-ArtifactsInput!$M$24)*CHOOSE(ArtifactsInput!$N$24+1,10,12,14,16,18,20)+IF(ArtifactsInput!$M$10,CHOOSE(ArtifactsInput!$N$10+1,15,18,21,24,27,30)*(IF(Inputs!$B$39="pvp",MIN(15,15)/15,IF(AND(Inputs!$B$39&lt;&gt;"pvp",Inputs!$B$44&gt;0),MIN(15,Inputs!$B$44)/(Inputs!$B$44),0))),0)))&gt;=100),CHOOSE(ArtifactsInput!$N$42+1,40,48,56,64,72,80),0))))/100)*(((1+(((C142=TRUE)*F142*IF(AND(Inputs!$B$39&lt;&gt;"pvp",Inputs!$B$44&gt;0),(((R142-1)*(Skills!Y21*(1+Inputs!$B$34/100))+MIN((Skills!Y21*(1+Inputs!$B$34/100)),MAX(0,Inputs!$B$44-((R142-1)*Skills!D21))))/Inputs!$B$44),IF(Inputs!$B$39="pvp",MIN((Skills!Y21*(1+Inputs!$B$34/100)),15)/15,(Skills!Y21*(1+Inputs!$B$34/100))/Skills!D21)))+((C149=TRUE)*(F149-Calc!F28))+((C139=TRUE)*(F139-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TRUE)*F136*IF(AND(Inputs!$B$39&lt;&gt;"pvp",Inputs!$B$44&gt;0),(((R136-1)*(Skills!Y15*(1+Inputs!$B$34/100))+MIN((Skills!Y15*(1+Inputs!$B$34/100)),MAX(0,Inputs!$B$44-((R136-1)*Skills!D15))))/Inputs!$B$44),IF(Inputs!$B$39="pvp",MIN((Skills!Y15*(1+Inputs!$B$34/100)),15)/15,(Skills!Y15*(1+Inputs!$B$34/100))/Skills!D15)))/100)*(1+((C127=TRUE)*F127*B155)/100))*B163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125)</f>
        <v/>
      </c>
      <c r="L125">
        <f>K125*(MIN(Inputs!$B$22+((C145=TRUE)*(F145-Calc!F24)),(Inputs!$B$23+0+(IF(ArtifactsInput!$M$15,CHOOSE(ArtifactsInput!$N$15+1,25,30,35,40,45,50)/100*(Inputs!$B$11-Inputs!$B$11),0))))/100+(Inputs!$B$23+0+(IF(ArtifactsInput!$M$15,CHOOSE(ArtifactsInput!$N$15+1,25,30,35,40,45,50)/100*(Inputs!$B$11-Inputs!$B$11),0)))/100)/2</f>
        <v/>
      </c>
      <c r="M125">
        <f>L125*(1+(Inputs!$B$10+((C147=TRUE)*(F147-Calc!F26))+B164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5">
        <f>L125*(1-MIN((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MIN((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
        <f>(1-Summary!$B$11)*T125+Summary!$B$11*V125</f>
        <v/>
      </c>
      <c r="P125">
        <f>IF(B165=0,0,O125/B165)</f>
        <v/>
      </c>
      <c r="Q125">
        <f>IFERROR(1/IF(Inputs!$B$39="pvp",15,MAX(0.1,Skills!D4-IF(Skills!E4=TRUE,Inputs!$B$32,0))),0)</f>
        <v/>
      </c>
      <c r="R125">
        <f>IF(AND(Inputs!$B$39&lt;&gt;"pvp",Inputs!$B$44&gt;0),IF(MAX(0,Inputs!$B$44-B166)&lt;=0,0,(INT(MAX(0,Inputs!$B$44-B166)/IF(Inputs!$B$39="pvp",15,MAX(0.1,Skills!D4-IF(Skills!E4=TRUE,Inputs!$B$32,0))))+1)),0)</f>
        <v/>
      </c>
      <c r="S125">
        <f>IFERROR(O125/N125,0)</f>
        <v/>
      </c>
      <c r="T125">
        <f>IF(C125,(H125*N125*IF(AND(Inputs!$B$39&lt;&gt;"pvp",Inputs!$B$44&gt;0),((Skills!G4*((R125-1)*IF(Skills!H4&gt;0,Skills!I4/Skills!H4,1)+IF(Skills!H4&gt;0,MIN(Skills!I4,MAX(0,MAX(0,Inputs!$B$44-B166)-((R125-1)*IF(Inputs!$B$39="pvp",15,MAX(0.1,Skills!D4-IF(Skills!E4=TRUE,Inputs!$B$32,0))))))/Skills!H4,1)))/Inputs!$B$44),G125*Q125))*IF(Inputs!$B$39="pvp",1,1+(Inputs!$B$20+((C148=TRUE)*(F148-Calc!F27))+Skills!P4+B162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Hunt"),CHOOSE(ArtifactsInput!$N$35+1,15,18,21,24,27,30)*(1-EXP(-(0.2*B157)*5)),0)+IF(AND(ArtifactsInput!$M$22,Inputs!$B$4&lt;&gt;"Chapter Hunt"),CHOOSE(ArtifactsInput!$N$22+1,10,12,14,16,18,20)*((0*(((0.15*B157*5))^0/1)+1*(((0.15*B157*5))^1/1)+2*(((0.15*B157*5))^2/2)+3*(((0.15*B157*5))^3/6)+4*(((0.15*B157*5))^4/24)+5*(((0.15*B157*5))^5/120))/((((0.15*B157*5))^0/1)+(((0.15*B157*5))^1/1)+(((0.15*B157*5))^2/2)+(((0.15*B157*5))^3/6)+(((0.15*B157*5))^4/24)+(((0.15*B157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125*(1-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5">
        <f>MAX(0,(Inputs!$B$3-100)*3)+Inputs!$B$28+Inputs!$B$29</f>
        <v/>
      </c>
      <c r="V125">
        <f>IF(C125,(H125*N125*IF(AND(Inputs!$B$39&lt;&gt;"pvp",Inputs!$B$44&gt;0),((Skills!G4*((R125-1)*IF(Skills!H4&gt;0,Skills!I4/Skills!H4,1)+IF(Skills!H4&gt;0,MIN(Skills!I4,MAX(0,MAX(0,Inputs!$B$44-B166)-((R125-1)*IF(Inputs!$B$39="pvp",15,MAX(0.1,Skills!D4-IF(Skills!E4=TRUE,Inputs!$B$32,0))))))/Skills!H4,1)))/Inputs!$B$44),G125*Q125))*IF(Inputs!$B$39="pvp",1,(1+(Inputs!$B$21+Skills!Q4+B162+(IF(ArtifactsInput!$M$33,CHOOSE(ArtifactsInput!$N$33+1,30,36,42,48,54,60),0))+(IF(AND(ArtifactsInput!$M$35,Inputs!$B$4&lt;&gt;"Chapter Hunt"),CHOOSE(ArtifactsInput!$N$35+1,15,18,21,24,27,30)*(1-EXP(-(0.2*B157)*5)),0)+IF(AND(ArtifactsInput!$M$22,Inputs!$B$4&lt;&gt;"Chapter Hunt"),CHOOSE(ArtifactsInput!$N$22+1,10,12,14,16,18,20)*((0*(((0.15*B157*5))^0/1)+1*(((0.15*B157*5))^1/1)+2*(((0.15*B157*5))^2/2)+3*(((0.15*B157*5))^3/6)+4*(((0.15*B157*5))^4/24)+5*(((0.15*B157*5))^5/120))/((((0.15*B157*5))^0/1)+(((0.15*B157*5))^1/1)+(((0.15*B157*5))^2/2)+(((0.15*B157*5))^3/6)+(((0.15*B157*5))^4/24)+(((0.15*B157*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6">
      <c r="A126">
        <f>Skills!A5</f>
        <v/>
      </c>
      <c r="B126">
        <f>Skills!B5</f>
        <v/>
      </c>
      <c r="C126">
        <f>Inputs!$B$3&gt;=63</f>
        <v/>
      </c>
      <c r="D126">
        <f>IF(Skills!C5=1,60+Inputs!$B$25+Inputs!$B$29,IF(Skills!C5=2,90+Inputs!$B$26+Inputs!$B$29,IF(Skills!C5=3,120+Inputs!$B$27+Inputs!$B$29,MAX(0,(Inputs!$B$3-100)*3)+Inputs!$B$28+Inputs!$B$29)))</f>
        <v/>
      </c>
      <c r="E126">
        <f>INDEX(FactorTable!$B$2:$Y$301, MATCH(ROUND(MIN(300,MAX(1,D126)),0), FactorTable!$A$2:$A$301,0), Skills!M5+1)</f>
        <v/>
      </c>
      <c r="F126">
        <f>IF(Skills!N5=TRUE,(Skills!L5/10)*(E126/1000),Skills!L5/10)+Skills!O5</f>
        <v/>
      </c>
      <c r="G126">
        <f>Calc!G5</f>
        <v/>
      </c>
      <c r="H126">
        <f>Calc!H5</f>
        <v/>
      </c>
      <c r="I126">
        <f>IF(Skills!AA5&lt;&gt;"",1+(Skills!AA5/10)*(U124/1000)/100,1)</f>
        <v/>
      </c>
      <c r="J126">
        <f>((Inputs!$B$6*(1+Inputs!$B$7/100))+(((Inputs!$B$12*(1+(Inputs!$B$13+1)/100))-(Inputs!$B$12*(1+Inputs!$B$13/100)))+0.25*(Inputs!$B$14-Inputs!$B$14))*(1+Inputs!$B$7/100))*(F126/100)</f>
        <v/>
      </c>
      <c r="K126">
        <f>J126*(1+((Inputs!$B$12*(1+(Inputs!$B$13+1)/100))*0.01+Inputs!$B$14*0.0025)/100)*(1+Inputs!$B$15/100)*(1+Inputs!$B$16/100)*(5000/(6000+Inputs!$B$43*(1-(100*(1-(1-(Inputs!$B$19+0)/100)*(1-CHOOSE(ArtifactsInput!$N$40+1,5,6,7,8,9,10)/100)^(ArtifactsInput!$M$40-ArtifactsInput!$M$40)))/100)))*(1+(Inputs!$B$24+((C151=TRUE)*(F151-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144=TRUE)*(F144-Calc!F23))+(((IF(AND(ArtifactsInput!$M$42,((Inputs!$B$9+((C146=TRUE)*(F146-Calc!F25))+B161+(ArtifactsInput!$M$24-ArtifactsInput!$M$24)*CHOOSE(ArtifactsInput!$N$24+1,10,12,14,16,18,20)+IF(ArtifactsInput!$M$10,CHOOSE(ArtifactsInput!$N$10+1,15,18,21,24,27,30)*(IF(Inputs!$B$39="pvp",MIN(15,15)/15,IF(AND(Inputs!$B$39&lt;&gt;"pvp",Inputs!$B$44&gt;0),MIN(15,Inputs!$B$44)/(Inputs!$B$44),0))),0)))&gt;=100),MIN(100,((Inputs!$B$9+((C146=TRUE)*(F146-Calc!F25))+B161+(ArtifactsInput!$M$24-ArtifactsInput!$M$24)*CHOOSE(ArtifactsInput!$N$24+1,10,12,14,16,18,20)+IF(ArtifactsInput!$M$10,CHOOSE(ArtifactsInput!$N$10+1,15,18,21,24,27,30)*(IF(Inputs!$B$39="pvp",MIN(15,15)/15,IF(AND(Inputs!$B$39&lt;&gt;"pvp",Inputs!$B$44&gt;0),MIN(15,Inputs!$B$44)/(Inputs!$B$44),0))),0)))-100),0))*CHOOSE(ArtifactsInput!$N$42+1,0.6,0.72,0.84,0.96,1.08,1.2))),Inputs!$B$18+((C150=TRUE)*(F150-Calc!F29))+(IF(AND(ArtifactsInput!$M$42,((Inputs!$B$9+((C146=TRUE)*(F146-Calc!F25))+B161+(ArtifactsInput!$M$24-ArtifactsInput!$M$24)*CHOOSE(ArtifactsInput!$N$24+1,10,12,14,16,18,20)+IF(ArtifactsInput!$M$10,CHOOSE(ArtifactsInput!$N$10+1,15,18,21,24,27,30)*(IF(Inputs!$B$39="pvp",MIN(15,15)/15,IF(AND(Inputs!$B$39&lt;&gt;"pvp",Inputs!$B$44&gt;0),MIN(15,Inputs!$B$44)/(Inputs!$B$44),0))),0)))&gt;=100),CHOOSE(ArtifactsInput!$N$42+1,40,48,56,64,72,80),0))))/100)*(((1+(((C142=TRUE)*F142*IF(AND(Inputs!$B$39&lt;&gt;"pvp",Inputs!$B$44&gt;0),(((R142-1)*(Skills!Y21*(1+Inputs!$B$34/100))+MIN((Skills!Y21*(1+Inputs!$B$34/100)),MAX(0,Inputs!$B$44-((R142-1)*Skills!D21))))/Inputs!$B$44),IF(Inputs!$B$39="pvp",MIN((Skills!Y21*(1+Inputs!$B$34/100)),15)/15,(Skills!Y21*(1+Inputs!$B$34/100))/Skills!D21)))+((C149=TRUE)*(F149-Calc!F28))+((C139=TRUE)*(F139-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TRUE)*F136*IF(AND(Inputs!$B$39&lt;&gt;"pvp",Inputs!$B$44&gt;0),(((R136-1)*(Skills!Y15*(1+Inputs!$B$34/100))+MIN((Skills!Y15*(1+Inputs!$B$34/100)),MAX(0,Inputs!$B$44-((R136-1)*Skills!D15))))/Inputs!$B$44),IF(Inputs!$B$39="pvp",MIN((Skills!Y15*(1+Inputs!$B$34/100)),15)/15,(Skills!Y15*(1+Inputs!$B$34/100))/Skills!D15)))/100)*(1+((C127=TRUE)*F127*B155)/100))*B163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126)</f>
        <v/>
      </c>
      <c r="L126">
        <f>K126*(MIN(Inputs!$B$22+((C145=TRUE)*(F145-Calc!F24)),(Inputs!$B$23+0+(IF(ArtifactsInput!$M$15,CHOOSE(ArtifactsInput!$N$15+1,25,30,35,40,45,50)/100*(Inputs!$B$11-Inputs!$B$11),0))))/100+(Inputs!$B$23+0+(IF(ArtifactsInput!$M$15,CHOOSE(ArtifactsInput!$N$15+1,25,30,35,40,45,50)/100*(Inputs!$B$11-Inputs!$B$11),0)))/100)/2</f>
        <v/>
      </c>
      <c r="M126">
        <f>L126*(1+(Inputs!$B$10+((C147=TRUE)*(F147-Calc!F26))+B164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6">
        <f>L126*(1-MIN((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126*(MIN((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6">
        <f>(1-Summary!$B$11)*T126+Summary!$B$11*V126</f>
        <v/>
      </c>
      <c r="P126">
        <f>IF(B165=0,0,O126/B165)</f>
        <v/>
      </c>
      <c r="Q126">
        <f>IFERROR(1/IF(Inputs!$B$39="pvp",15,MAX(0.1,Skills!D5-IF(Skills!E5=TRUE,Inputs!$B$32,0))),0)</f>
        <v/>
      </c>
      <c r="R126">
        <f>IF(AND(Inputs!$B$39&lt;&gt;"pvp",Inputs!$B$44&gt;0),IF(MAX(0,Inputs!$B$44-B166)&lt;=0,0,(INT(MAX(0,Inputs!$B$44-B166)/IF(Inputs!$B$39="pvp",15,MAX(0.1,Skills!D5-IF(Skills!E5=TRUE,Inputs!$B$32,0))))+1)),0)</f>
        <v/>
      </c>
      <c r="S126">
        <f>IFERROR(O126/N126,0)</f>
        <v/>
      </c>
      <c r="T126">
        <f>IF(C126,(H126*N126*IF(AND(Inputs!$B$39&lt;&gt;"pvp",Inputs!$B$44&gt;0),((Skills!G5*((R126-1)*IF(Skills!H5&gt;0,Skills!I5/Skills!H5,1)+IF(Skills!H5&gt;0,MIN(Skills!I5,MAX(0,MAX(0,Inputs!$B$44-B166)-((R126-1)*IF(Inputs!$B$39="pvp",15,MAX(0.1,Skills!D5-IF(Skills!E5=TRUE,Inputs!$B$32,0))))))/Skills!H5,1)))/Inputs!$B$44),G126*Q126))*IF(Inputs!$B$39="pvp",1,1+(Inputs!$B$20+((C148=TRUE)*(F148-Calc!F27))+Skills!P5+B162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Hunt"),CHOOSE(ArtifactsInput!$N$35+1,15,18,21,24,27,30)*(1-EXP(-(0.2*B157)*5)),0)+IF(AND(ArtifactsInput!$M$22,Inputs!$B$4&lt;&gt;"Chapter Hunt"),CHOOSE(ArtifactsInput!$N$22+1,10,12,14,16,18,20)*((0*(((0.15*B157*5))^0/1)+1*(((0.15*B157*5))^1/1)+2*(((0.15*B157*5))^2/2)+3*(((0.15*B157*5))^3/6)+4*(((0.15*B157*5))^4/24)+5*(((0.15*B157*5))^5/120))/((((0.15*B157*5))^0/1)+(((0.15*B157*5))^1/1)+(((0.15*B157*5))^2/2)+(((0.15*B157*5))^3/6)+(((0.15*B157*5))^4/24)+(((0.15*B157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126*(1-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126*(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126*(1-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126*(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6">
        <f>INDEX(FactorTable!$B$2:$Y$301, MATCH(ROUND(MIN(300,MAX(1,U125)),0), FactorTable!$A$2:$A$301,0), 22)</f>
        <v/>
      </c>
      <c r="V126">
        <f>IF(C126,(H126*N126*IF(AND(Inputs!$B$39&lt;&gt;"pvp",Inputs!$B$44&gt;0),((Skills!G5*((R126-1)*IF(Skills!H5&gt;0,Skills!I5/Skills!H5,1)+IF(Skills!H5&gt;0,MIN(Skills!I5,MAX(0,MAX(0,Inputs!$B$44-B166)-((R126-1)*IF(Inputs!$B$39="pvp",15,MAX(0.1,Skills!D5-IF(Skills!E5=TRUE,Inputs!$B$32,0))))))/Skills!H5,1)))/Inputs!$B$44),G126*Q126))*IF(Inputs!$B$39="pvp",1,(1+(Inputs!$B$21+Skills!Q5+B162+(IF(ArtifactsInput!$M$33,CHOOSE(ArtifactsInput!$N$33+1,30,36,42,48,54,60),0))+(IF(AND(ArtifactsInput!$M$35,Inputs!$B$4&lt;&gt;"Chapter Hunt"),CHOOSE(ArtifactsInput!$N$35+1,15,18,21,24,27,30)*(1-EXP(-(0.2*B157)*5)),0)+IF(AND(ArtifactsInput!$M$22,Inputs!$B$4&lt;&gt;"Chapter Hunt"),CHOOSE(ArtifactsInput!$N$22+1,10,12,14,16,18,20)*((0*(((0.15*B157*5))^0/1)+1*(((0.15*B157*5))^1/1)+2*(((0.15*B157*5))^2/2)+3*(((0.15*B157*5))^3/6)+4*(((0.15*B157*5))^4/24)+5*(((0.15*B157*5))^5/120))/((((0.15*B157*5))^0/1)+(((0.15*B157*5))^1/1)+(((0.15*B157*5))^2/2)+(((0.15*B157*5))^3/6)+(((0.15*B157*5))^4/24)+(((0.15*B157*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7">
      <c r="A127">
        <f>Skills!A6</f>
        <v/>
      </c>
      <c r="B127">
        <f>Skills!B6</f>
        <v/>
      </c>
      <c r="C127">
        <f>Inputs!$B$3&gt;=66</f>
        <v/>
      </c>
      <c r="D127">
        <f>IF(Skills!C6=1,60+Inputs!$B$25+Inputs!$B$29,IF(Skills!C6=2,90+Inputs!$B$26+Inputs!$B$29,IF(Skills!C6=3,120+Inputs!$B$27+Inputs!$B$29,MAX(0,(Inputs!$B$3-100)*3)+Inputs!$B$28+Inputs!$B$29)))</f>
        <v/>
      </c>
      <c r="E127">
        <f>INDEX(FactorTable!$B$2:$Y$301, MATCH(ROUND(MIN(300,MAX(1,D127)),0), FactorTable!$A$2:$A$301,0), Skills!M6+1)</f>
        <v/>
      </c>
      <c r="F127">
        <f>IF(Skills!N6=TRUE,(Skills!L6/10)*(E127/1000),Skills!L6/10)+Skills!O6</f>
        <v/>
      </c>
      <c r="G127">
        <f>Calc!G6</f>
        <v/>
      </c>
      <c r="H127">
        <f>Calc!H6</f>
        <v/>
      </c>
      <c r="I127">
        <f>IF(Skills!AA6&lt;&gt;"",1+(Skills!AA6/10)*(U124/1000)/100,1)</f>
        <v/>
      </c>
      <c r="J127" t="inlineStr"/>
      <c r="K127" t="inlineStr"/>
      <c r="L127" t="inlineStr"/>
      <c r="M127" t="inlineStr"/>
      <c r="N127" t="inlineStr"/>
      <c r="O127">
        <f>(1-Summary!$B$11)*T127+Summary!$B$11*V127</f>
        <v/>
      </c>
      <c r="P127">
        <f>IF(B165=0,0,O127/B165)</f>
        <v/>
      </c>
      <c r="Q127" t="n">
        <v>0</v>
      </c>
      <c r="R127" t="n">
        <v>0</v>
      </c>
      <c r="S127">
        <f>IFERROR(O127/N127,0)</f>
        <v/>
      </c>
      <c r="T127" t="n">
        <v>0</v>
      </c>
      <c r="U127">
        <f>290*U126/1000</f>
        <v/>
      </c>
      <c r="V127" t="n">
        <v>0</v>
      </c>
    </row>
    <row r="128">
      <c r="A128">
        <f>Skills!A7</f>
        <v/>
      </c>
      <c r="B128">
        <f>Skills!B7</f>
        <v/>
      </c>
      <c r="C128">
        <f>Inputs!$B$3&gt;=66</f>
        <v/>
      </c>
      <c r="D128">
        <f>IF(Skills!C7=1,60+Inputs!$B$25+Inputs!$B$29,IF(Skills!C7=2,90+Inputs!$B$26+Inputs!$B$29,IF(Skills!C7=3,120+Inputs!$B$27+Inputs!$B$29,MAX(0,(Inputs!$B$3-100)*3)+Inputs!$B$28+Inputs!$B$29)))</f>
        <v/>
      </c>
      <c r="E128">
        <f>INDEX(FactorTable!$B$2:$Y$301, MATCH(ROUND(MIN(300,MAX(1,D128)),0), FactorTable!$A$2:$A$301,0), Skills!M7+1)</f>
        <v/>
      </c>
      <c r="F128">
        <f>IF(Skills!N7=TRUE,(Skills!L7/10)*(E128/1000),Skills!L7/10)+Skills!O7</f>
        <v/>
      </c>
      <c r="G128">
        <f>Calc!G7</f>
        <v/>
      </c>
      <c r="H128">
        <f>Calc!H7</f>
        <v/>
      </c>
      <c r="I128">
        <f>IF(Skills!AA7&lt;&gt;"",1+(Skills!AA7/10)*(U124/1000)/100,1)</f>
        <v/>
      </c>
      <c r="J128" t="inlineStr"/>
      <c r="K128" t="inlineStr"/>
      <c r="L128" t="inlineStr"/>
      <c r="M128" t="inlineStr"/>
      <c r="N128" t="inlineStr"/>
      <c r="O128">
        <f>(1-Summary!$B$11)*T128+Summary!$B$11*V128</f>
        <v/>
      </c>
      <c r="P128">
        <f>IF(B165=0,0,O128/B165)</f>
        <v/>
      </c>
      <c r="Q128" t="n">
        <v>0</v>
      </c>
      <c r="R128" t="n">
        <v>0</v>
      </c>
      <c r="S128">
        <f>IFERROR(O128/N128,0)</f>
        <v/>
      </c>
      <c r="T128" t="n">
        <v>0</v>
      </c>
      <c r="V128" t="n">
        <v>0</v>
      </c>
    </row>
    <row r="129">
      <c r="A129">
        <f>Skills!A8</f>
        <v/>
      </c>
      <c r="B129">
        <f>Skills!B8</f>
        <v/>
      </c>
      <c r="C129">
        <f>Inputs!$B$3&gt;=69</f>
        <v/>
      </c>
      <c r="D129">
        <f>IF(Skills!C8=1,60+Inputs!$B$25+Inputs!$B$29,IF(Skills!C8=2,90+Inputs!$B$26+Inputs!$B$29,IF(Skills!C8=3,120+Inputs!$B$27+Inputs!$B$29,MAX(0,(Inputs!$B$3-100)*3)+Inputs!$B$28+Inputs!$B$29)))</f>
        <v/>
      </c>
      <c r="E129">
        <f>INDEX(FactorTable!$B$2:$Y$301, MATCH(ROUND(MIN(300,MAX(1,D129)),0), FactorTable!$A$2:$A$301,0), Skills!M8+1)</f>
        <v/>
      </c>
      <c r="F129">
        <f>IF(Skills!N8=TRUE,(Skills!L8/10)*(E129/1000),Skills!L8/10)+Skills!O8</f>
        <v/>
      </c>
      <c r="G129">
        <f>Calc!G8</f>
        <v/>
      </c>
      <c r="H129">
        <f>Calc!H8</f>
        <v/>
      </c>
      <c r="I129">
        <f>IF(Skills!AA8&lt;&gt;"",1+(Skills!AA8/10)*(U124/1000)/100,1)</f>
        <v/>
      </c>
      <c r="J129">
        <f>((Inputs!$B$6*(1+Inputs!$B$7/100))+(((Inputs!$B$12*(1+(Inputs!$B$13+1)/100))-(Inputs!$B$12*(1+Inputs!$B$13/100)))+0.25*(Inputs!$B$14-Inputs!$B$14))*(1+Inputs!$B$7/100))*(F129/100)</f>
        <v/>
      </c>
      <c r="K129">
        <f>J129*(1+((Inputs!$B$12*(1+(Inputs!$B$13+1)/100))*0.01+Inputs!$B$14*0.0025)/100)*(1+Inputs!$B$15/100)*(1+Inputs!$B$16/100)*(5000/(6000+Inputs!$B$43*(1-(100*(1-(1-(Inputs!$B$19+0)/100)*(1-CHOOSE(ArtifactsInput!$N$40+1,5,6,7,8,9,10)/100)^(ArtifactsInput!$M$40-ArtifactsInput!$M$40)))/100)))*(1+(Inputs!$B$24+((C151=TRUE)*(F151-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144=TRUE)*(F144-Calc!F23))+(((IF(AND(ArtifactsInput!$M$42,((Inputs!$B$9+((C146=TRUE)*(F146-Calc!F25))+B161+(ArtifactsInput!$M$24-ArtifactsInput!$M$24)*CHOOSE(ArtifactsInput!$N$24+1,10,12,14,16,18,20)+IF(ArtifactsInput!$M$10,CHOOSE(ArtifactsInput!$N$10+1,15,18,21,24,27,30)*(IF(Inputs!$B$39="pvp",MIN(15,15)/15,IF(AND(Inputs!$B$39&lt;&gt;"pvp",Inputs!$B$44&gt;0),MIN(15,Inputs!$B$44)/(Inputs!$B$44),0))),0)))&gt;=100),MIN(100,((Inputs!$B$9+((C146=TRUE)*(F146-Calc!F25))+B161+(ArtifactsInput!$M$24-ArtifactsInput!$M$24)*CHOOSE(ArtifactsInput!$N$24+1,10,12,14,16,18,20)+IF(ArtifactsInput!$M$10,CHOOSE(ArtifactsInput!$N$10+1,15,18,21,24,27,30)*(IF(Inputs!$B$39="pvp",MIN(15,15)/15,IF(AND(Inputs!$B$39&lt;&gt;"pvp",Inputs!$B$44&gt;0),MIN(15,Inputs!$B$44)/(Inputs!$B$44),0))),0)))-100),0))*CHOOSE(ArtifactsInput!$N$42+1,0.6,0.72,0.84,0.96,1.08,1.2))),Inputs!$B$18+((C150=TRUE)*(F150-Calc!F29))+(IF(AND(ArtifactsInput!$M$42,((Inputs!$B$9+((C146=TRUE)*(F146-Calc!F25))+B161+(ArtifactsInput!$M$24-ArtifactsInput!$M$24)*CHOOSE(ArtifactsInput!$N$24+1,10,12,14,16,18,20)+IF(ArtifactsInput!$M$10,CHOOSE(ArtifactsInput!$N$10+1,15,18,21,24,27,30)*(IF(Inputs!$B$39="pvp",MIN(15,15)/15,IF(AND(Inputs!$B$39&lt;&gt;"pvp",Inputs!$B$44&gt;0),MIN(15,Inputs!$B$44)/(Inputs!$B$44),0))),0)))&gt;=100),CHOOSE(ArtifactsInput!$N$42+1,40,48,56,64,72,80),0))))/100)*(((1+(((C142=TRUE)*F142*IF(AND(Inputs!$B$39&lt;&gt;"pvp",Inputs!$B$44&gt;0),(((R142-1)*(Skills!Y21*(1+Inputs!$B$34/100))+MIN((Skills!Y21*(1+Inputs!$B$34/100)),MAX(0,Inputs!$B$44-((R142-1)*Skills!D21))))/Inputs!$B$44),IF(Inputs!$B$39="pvp",MIN((Skills!Y21*(1+Inputs!$B$34/100)),15)/15,(Skills!Y21*(1+Inputs!$B$34/100))/Skills!D21)))+((C149=TRUE)*(F149-Calc!F28))+((C139=TRUE)*(F139-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TRUE)*F136*IF(AND(Inputs!$B$39&lt;&gt;"pvp",Inputs!$B$44&gt;0),(((R136-1)*(Skills!Y15*(1+Inputs!$B$34/100))+MIN((Skills!Y15*(1+Inputs!$B$34/100)),MAX(0,Inputs!$B$44-((R136-1)*Skills!D15))))/Inputs!$B$44),IF(Inputs!$B$39="pvp",MIN((Skills!Y15*(1+Inputs!$B$34/100)),15)/15,(Skills!Y15*(1+Inputs!$B$34/100))/Skills!D15)))/100)*(1+((C127=TRUE)*F127*B155)/100))*B163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129)</f>
        <v/>
      </c>
      <c r="L129">
        <f>K129*(MIN(Inputs!$B$22+((C145=TRUE)*(F145-Calc!F24)),(Inputs!$B$23+0+(IF(ArtifactsInput!$M$15,CHOOSE(ArtifactsInput!$N$15+1,25,30,35,40,45,50)/100*(Inputs!$B$11-Inputs!$B$11),0))))/100+(Inputs!$B$23+0+(IF(ArtifactsInput!$M$15,CHOOSE(ArtifactsInput!$N$15+1,25,30,35,40,45,50)/100*(Inputs!$B$11-Inputs!$B$11),0)))/100)/2</f>
        <v/>
      </c>
      <c r="M129">
        <f>L129*(1+(Inputs!$B$10+((C147=TRUE)*(F147-Calc!F26))+B164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9">
        <f>L129*(1-MIN((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129*(MIN((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9">
        <f>(1-Summary!$B$11)*T129+Summary!$B$11*V129</f>
        <v/>
      </c>
      <c r="P129">
        <f>IF(B165=0,0,O129/B165)</f>
        <v/>
      </c>
      <c r="Q129">
        <f>IFERROR(1/IF(Inputs!$B$39="pvp",15,MAX(0.1,Skills!D8-IF(Skills!E8=TRUE,Inputs!$B$32,0))),0)</f>
        <v/>
      </c>
      <c r="R129">
        <f>IF(AND(Inputs!$B$39&lt;&gt;"pvp",Inputs!$B$44&gt;0),IF(MAX(0,Inputs!$B$44-B166)&lt;=0,0,(INT(MAX(0,Inputs!$B$44-B166)/IF(Inputs!$B$39="pvp",15,MAX(0.1,Skills!D8-IF(Skills!E8=TRUE,Inputs!$B$32,0))))+1)),0)</f>
        <v/>
      </c>
      <c r="S129">
        <f>IFERROR(O129/N129,0)</f>
        <v/>
      </c>
      <c r="T129">
        <f>IF(C129,(H129*N129*IF(AND(Inputs!$B$39&lt;&gt;"pvp",Inputs!$B$44&gt;0),((Skills!G8*((R129-1)*IF(Skills!H8&gt;0,Skills!I8/Skills!H8,1)+IF(Skills!H8&gt;0,MIN(Skills!I8,MAX(0,MAX(0,Inputs!$B$44-B166)-((R129-1)*IF(Inputs!$B$39="pvp",15,MAX(0.1,Skills!D8-IF(Skills!E8=TRUE,Inputs!$B$32,0))))))/Skills!H8,1)))/Inputs!$B$44),G129*Q129))*IF(Inputs!$B$39="pvp",1,1+(Inputs!$B$20+((C148=TRUE)*(F148-Calc!F27))+Skills!P8+B162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Hunt"),CHOOSE(ArtifactsInput!$N$35+1,15,18,21,24,27,30)*(1-EXP(-(0.2*B157)*5)),0)+IF(AND(ArtifactsInput!$M$22,Inputs!$B$4&lt;&gt;"Chapter Hunt"),CHOOSE(ArtifactsInput!$N$22+1,10,12,14,16,18,20)*((0*(((0.15*B157*5))^0/1)+1*(((0.15*B157*5))^1/1)+2*(((0.15*B157*5))^2/2)+3*(((0.15*B157*5))^3/6)+4*(((0.15*B157*5))^4/24)+5*(((0.15*B157*5))^5/120))/((((0.15*B157*5))^0/1)+(((0.15*B157*5))^1/1)+(((0.15*B157*5))^2/2)+(((0.15*B157*5))^3/6)+(((0.15*B157*5))^4/24)+(((0.15*B157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129*(1-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129*(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129*(1-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129*(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9">
        <f>IF(C129,(H129*N129*IF(AND(Inputs!$B$39&lt;&gt;"pvp",Inputs!$B$44&gt;0),((Skills!G8*((R129-1)*IF(Skills!H8&gt;0,Skills!I8/Skills!H8,1)+IF(Skills!H8&gt;0,MIN(Skills!I8,MAX(0,MAX(0,Inputs!$B$44-B166)-((R129-1)*IF(Inputs!$B$39="pvp",15,MAX(0.1,Skills!D8-IF(Skills!E8=TRUE,Inputs!$B$32,0))))))/Skills!H8,1)))/Inputs!$B$44),G129*Q129))*IF(Inputs!$B$39="pvp",1,(1+(Inputs!$B$21+Skills!Q8+B162+(IF(ArtifactsInput!$M$33,CHOOSE(ArtifactsInput!$N$33+1,30,36,42,48,54,60),0))+(IF(AND(ArtifactsInput!$M$35,Inputs!$B$4&lt;&gt;"Chapter Hunt"),CHOOSE(ArtifactsInput!$N$35+1,15,18,21,24,27,30)*(1-EXP(-(0.2*B157)*5)),0)+IF(AND(ArtifactsInput!$M$22,Inputs!$B$4&lt;&gt;"Chapter Hunt"),CHOOSE(ArtifactsInput!$N$22+1,10,12,14,16,18,20)*((0*(((0.15*B157*5))^0/1)+1*(((0.15*B157*5))^1/1)+2*(((0.15*B157*5))^2/2)+3*(((0.15*B157*5))^3/6)+4*(((0.15*B157*5))^4/24)+5*(((0.15*B157*5))^5/120))/((((0.15*B157*5))^0/1)+(((0.15*B157*5))^1/1)+(((0.15*B157*5))^2/2)+(((0.15*B157*5))^3/6)+(((0.15*B157*5))^4/24)+(((0.15*B157*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0">
      <c r="A130">
        <f>Skills!A9</f>
        <v/>
      </c>
      <c r="B130">
        <f>Skills!B9</f>
        <v/>
      </c>
      <c r="C130">
        <f>Inputs!$B$3&gt;=72</f>
        <v/>
      </c>
      <c r="D130">
        <f>IF(Skills!C9=1,60+Inputs!$B$25+Inputs!$B$29,IF(Skills!C9=2,90+Inputs!$B$26+Inputs!$B$29,IF(Skills!C9=3,120+Inputs!$B$27+Inputs!$B$29,MAX(0,(Inputs!$B$3-100)*3)+Inputs!$B$28+Inputs!$B$29)))</f>
        <v/>
      </c>
      <c r="E130">
        <f>INDEX(FactorTable!$B$2:$Y$301, MATCH(ROUND(MIN(300,MAX(1,D130)),0), FactorTable!$A$2:$A$301,0), Skills!M9+1)</f>
        <v/>
      </c>
      <c r="F130">
        <f>IF(Skills!N9=TRUE,(Skills!L9/10)*(E130/1000),Skills!L9/10)+Skills!O9</f>
        <v/>
      </c>
      <c r="G130">
        <f>Calc!G9</f>
        <v/>
      </c>
      <c r="H130">
        <f>Calc!H9</f>
        <v/>
      </c>
      <c r="I130">
        <f>IF(Skills!AA9&lt;&gt;"",1+(Skills!AA9/10)*(U124/1000)/100,1)</f>
        <v/>
      </c>
      <c r="J130">
        <f>((Inputs!$B$6*(1+Inputs!$B$7/100))+(((Inputs!$B$12*(1+(Inputs!$B$13+1)/100))-(Inputs!$B$12*(1+Inputs!$B$13/100)))+0.25*(Inputs!$B$14-Inputs!$B$14))*(1+Inputs!$B$7/100))*(F130/100)</f>
        <v/>
      </c>
      <c r="K130">
        <f>J130*(1+((Inputs!$B$12*(1+(Inputs!$B$13+1)/100))*0.01+Inputs!$B$14*0.0025)/100)*(1+Inputs!$B$15/100)*(1+Inputs!$B$16/100)*(5000/(6000+Inputs!$B$43*(1-(100*(1-(1-(Inputs!$B$19+0)/100)*(1-CHOOSE(ArtifactsInput!$N$40+1,5,6,7,8,9,10)/100)^(ArtifactsInput!$M$40-ArtifactsInput!$M$40)))/100)))*(1+(Inputs!$B$24+((C151=TRUE)*(F151-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144=TRUE)*(F144-Calc!F23))+(((IF(AND(ArtifactsInput!$M$42,((Inputs!$B$9+((C146=TRUE)*(F146-Calc!F25))+B161+(ArtifactsInput!$M$24-ArtifactsInput!$M$24)*CHOOSE(ArtifactsInput!$N$24+1,10,12,14,16,18,20)+IF(ArtifactsInput!$M$10,CHOOSE(ArtifactsInput!$N$10+1,15,18,21,24,27,30)*(IF(Inputs!$B$39="pvp",MIN(15,15)/15,IF(AND(Inputs!$B$39&lt;&gt;"pvp",Inputs!$B$44&gt;0),MIN(15,Inputs!$B$44)/(Inputs!$B$44),0))),0)))&gt;=100),MIN(100,((Inputs!$B$9+((C146=TRUE)*(F146-Calc!F25))+B161+(ArtifactsInput!$M$24-ArtifactsInput!$M$24)*CHOOSE(ArtifactsInput!$N$24+1,10,12,14,16,18,20)+IF(ArtifactsInput!$M$10,CHOOSE(ArtifactsInput!$N$10+1,15,18,21,24,27,30)*(IF(Inputs!$B$39="pvp",MIN(15,15)/15,IF(AND(Inputs!$B$39&lt;&gt;"pvp",Inputs!$B$44&gt;0),MIN(15,Inputs!$B$44)/(Inputs!$B$44),0))),0)))-100),0))*CHOOSE(ArtifactsInput!$N$42+1,0.6,0.72,0.84,0.96,1.08,1.2))),Inputs!$B$18+((C150=TRUE)*(F150-Calc!F29))+(IF(AND(ArtifactsInput!$M$42,((Inputs!$B$9+((C146=TRUE)*(F146-Calc!F25))+B161+(ArtifactsInput!$M$24-ArtifactsInput!$M$24)*CHOOSE(ArtifactsInput!$N$24+1,10,12,14,16,18,20)+IF(ArtifactsInput!$M$10,CHOOSE(ArtifactsInput!$N$10+1,15,18,21,24,27,30)*(IF(Inputs!$B$39="pvp",MIN(15,15)/15,IF(AND(Inputs!$B$39&lt;&gt;"pvp",Inputs!$B$44&gt;0),MIN(15,Inputs!$B$44)/(Inputs!$B$44),0))),0)))&gt;=100),CHOOSE(ArtifactsInput!$N$42+1,40,48,56,64,72,80),0))))/100)*(((1+(((C142=TRUE)*F142*IF(AND(Inputs!$B$39&lt;&gt;"pvp",Inputs!$B$44&gt;0),(((R142-1)*(Skills!Y21*(1+Inputs!$B$34/100))+MIN((Skills!Y21*(1+Inputs!$B$34/100)),MAX(0,Inputs!$B$44-((R142-1)*Skills!D21))))/Inputs!$B$44),IF(Inputs!$B$39="pvp",MIN((Skills!Y21*(1+Inputs!$B$34/100)),15)/15,(Skills!Y21*(1+Inputs!$B$34/100))/Skills!D21)))+((C149=TRUE)*(F149-Calc!F28))+((C139=TRUE)*(F139-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TRUE)*F136*IF(AND(Inputs!$B$39&lt;&gt;"pvp",Inputs!$B$44&gt;0),(((R136-1)*(Skills!Y15*(1+Inputs!$B$34/100))+MIN((Skills!Y15*(1+Inputs!$B$34/100)),MAX(0,Inputs!$B$44-((R136-1)*Skills!D15))))/Inputs!$B$44),IF(Inputs!$B$39="pvp",MIN((Skills!Y15*(1+Inputs!$B$34/100)),15)/15,(Skills!Y15*(1+Inputs!$B$34/100))/Skills!D15)))/100)*(1+((C127=TRUE)*F127*B155)/100))*B163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130)</f>
        <v/>
      </c>
      <c r="L130">
        <f>K130*(MIN(Inputs!$B$22+((C145=TRUE)*(F145-Calc!F24)),(Inputs!$B$23+0+(IF(ArtifactsInput!$M$15,CHOOSE(ArtifactsInput!$N$15+1,25,30,35,40,45,50)/100*(Inputs!$B$11-Inputs!$B$11),0))))/100+(Inputs!$B$23+0+(IF(ArtifactsInput!$M$15,CHOOSE(ArtifactsInput!$N$15+1,25,30,35,40,45,50)/100*(Inputs!$B$11-Inputs!$B$11),0)))/100)/2</f>
        <v/>
      </c>
      <c r="M130">
        <f>L130*(1+(Inputs!$B$10+((C147=TRUE)*(F147-Calc!F26))+B164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0">
        <f>L130*(1-MIN((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130*(MIN((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0">
        <f>(1-Summary!$B$11)*T130+Summary!$B$11*V130</f>
        <v/>
      </c>
      <c r="P130">
        <f>IF(B165=0,0,O130/B165)</f>
        <v/>
      </c>
      <c r="Q130">
        <f>IFERROR(1/IF(Inputs!$B$39="pvp",15,MAX(0.1,Skills!D9-IF(Skills!E9=TRUE,Inputs!$B$32,0))),0)</f>
        <v/>
      </c>
      <c r="R130">
        <f>IF(AND(Inputs!$B$39&lt;&gt;"pvp",Inputs!$B$44&gt;0),IF(MAX(0,Inputs!$B$44-B166)&lt;=0,0,(INT(MAX(0,Inputs!$B$44-B166)/IF(Inputs!$B$39="pvp",15,MAX(0.1,Skills!D9-IF(Skills!E9=TRUE,Inputs!$B$32,0))))+1)),0)</f>
        <v/>
      </c>
      <c r="S130">
        <f>IFERROR(O130/N130,0)</f>
        <v/>
      </c>
      <c r="T130">
        <f>IF(C130,(H130*N130*IF(AND(Inputs!$B$39&lt;&gt;"pvp",Inputs!$B$44&gt;0),((Skills!G9*((R130-1)*IF(Skills!H9&gt;0,Skills!I9/Skills!H9,1)+IF(Skills!H9&gt;0,MIN(Skills!I9,MAX(0,MAX(0,Inputs!$B$44-B166)-((R130-1)*IF(Inputs!$B$39="pvp",15,MAX(0.1,Skills!D9-IF(Skills!E9=TRUE,Inputs!$B$32,0))))))/Skills!H9,1)))/Inputs!$B$44),G130*Q130))*IF(Inputs!$B$39="pvp",1,1+(Inputs!$B$20+((C148=TRUE)*(F148-Calc!F27))+Skills!P9+B162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Hunt"),CHOOSE(ArtifactsInput!$N$35+1,15,18,21,24,27,30)*(1-EXP(-(0.2*B157)*5)),0)+IF(AND(ArtifactsInput!$M$22,Inputs!$B$4&lt;&gt;"Chapter Hunt"),CHOOSE(ArtifactsInput!$N$22+1,10,12,14,16,18,20)*((0*(((0.15*B157*5))^0/1)+1*(((0.15*B157*5))^1/1)+2*(((0.15*B157*5))^2/2)+3*(((0.15*B157*5))^3/6)+4*(((0.15*B157*5))^4/24)+5*(((0.15*B157*5))^5/120))/((((0.15*B157*5))^0/1)+(((0.15*B157*5))^1/1)+(((0.15*B157*5))^2/2)+(((0.15*B157*5))^3/6)+(((0.15*B157*5))^4/24)+(((0.15*B157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130*(1-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130*(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130*(1-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130*(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0">
        <f>IF(C130,(H130*N130*IF(AND(Inputs!$B$39&lt;&gt;"pvp",Inputs!$B$44&gt;0),((Skills!G9*((R130-1)*IF(Skills!H9&gt;0,Skills!I9/Skills!H9,1)+IF(Skills!H9&gt;0,MIN(Skills!I9,MAX(0,MAX(0,Inputs!$B$44-B166)-((R130-1)*IF(Inputs!$B$39="pvp",15,MAX(0.1,Skills!D9-IF(Skills!E9=TRUE,Inputs!$B$32,0))))))/Skills!H9,1)))/Inputs!$B$44),G130*Q130))*IF(Inputs!$B$39="pvp",1,(1+(Inputs!$B$21+Skills!Q9+B162+(IF(ArtifactsInput!$M$33,CHOOSE(ArtifactsInput!$N$33+1,30,36,42,48,54,60),0))+(IF(AND(ArtifactsInput!$M$35,Inputs!$B$4&lt;&gt;"Chapter Hunt"),CHOOSE(ArtifactsInput!$N$35+1,15,18,21,24,27,30)*(1-EXP(-(0.2*B157)*5)),0)+IF(AND(ArtifactsInput!$M$22,Inputs!$B$4&lt;&gt;"Chapter Hunt"),CHOOSE(ArtifactsInput!$N$22+1,10,12,14,16,18,20)*((0*(((0.15*B157*5))^0/1)+1*(((0.15*B157*5))^1/1)+2*(((0.15*B157*5))^2/2)+3*(((0.15*B157*5))^3/6)+4*(((0.15*B157*5))^4/24)+5*(((0.15*B157*5))^5/120))/((((0.15*B157*5))^0/1)+(((0.15*B157*5))^1/1)+(((0.15*B157*5))^2/2)+(((0.15*B157*5))^3/6)+(((0.15*B157*5))^4/24)+(((0.15*B157*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1">
      <c r="A131">
        <f>Skills!A10</f>
        <v/>
      </c>
      <c r="B131">
        <f>Skills!B10</f>
        <v/>
      </c>
      <c r="C131">
        <f>Inputs!$B$3&gt;=117</f>
        <v/>
      </c>
      <c r="D131">
        <f>IF(Skills!C10=1,60+Inputs!$B$25+Inputs!$B$29,IF(Skills!C10=2,90+Inputs!$B$26+Inputs!$B$29,IF(Skills!C10=3,120+Inputs!$B$27+Inputs!$B$29,MAX(0,(Inputs!$B$3-100)*3)+Inputs!$B$28+Inputs!$B$29)))</f>
        <v/>
      </c>
      <c r="E131">
        <f>INDEX(FactorTable!$B$2:$Y$301, MATCH(ROUND(MIN(300,MAX(1,D131)),0), FactorTable!$A$2:$A$301,0), Skills!M10+1)</f>
        <v/>
      </c>
      <c r="F131">
        <f>IF(Skills!N10=TRUE,(Skills!L10/10)*(E131/1000),Skills!L10/10)+Skills!O10</f>
        <v/>
      </c>
      <c r="G131">
        <f>Calc!G10</f>
        <v/>
      </c>
      <c r="H131">
        <f>Calc!H10</f>
        <v/>
      </c>
      <c r="I131">
        <f>IF(Skills!AA10&lt;&gt;"",1+(Skills!AA10/10)*(U124/1000)/100,1)</f>
        <v/>
      </c>
      <c r="J131">
        <f>((Inputs!$B$6*(1+Inputs!$B$7/100))+(((Inputs!$B$12*(1+(Inputs!$B$13+1)/100))-(Inputs!$B$12*(1+Inputs!$B$13/100)))+0.25*(Inputs!$B$14-Inputs!$B$14))*(1+Inputs!$B$7/100))*(F131/100)</f>
        <v/>
      </c>
      <c r="K131">
        <f>J131*(1+((Inputs!$B$12*(1+(Inputs!$B$13+1)/100))*0.01+Inputs!$B$14*0.0025)/100)*(1+Inputs!$B$15/100)*(1+Inputs!$B$16/100)*(5000/(6000+Inputs!$B$43*(1-(100*(1-(1-(Inputs!$B$19+0)/100)*(1-CHOOSE(ArtifactsInput!$N$40+1,5,6,7,8,9,10)/100)^(ArtifactsInput!$M$40-ArtifactsInput!$M$40)))/100)))*(1+(Inputs!$B$24+((C151=TRUE)*(F151-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144=TRUE)*(F144-Calc!F23))+(((IF(AND(ArtifactsInput!$M$42,((Inputs!$B$9+((C146=TRUE)*(F146-Calc!F25))+B161+(ArtifactsInput!$M$24-ArtifactsInput!$M$24)*CHOOSE(ArtifactsInput!$N$24+1,10,12,14,16,18,20)+IF(ArtifactsInput!$M$10,CHOOSE(ArtifactsInput!$N$10+1,15,18,21,24,27,30)*(IF(Inputs!$B$39="pvp",MIN(15,15)/15,IF(AND(Inputs!$B$39&lt;&gt;"pvp",Inputs!$B$44&gt;0),MIN(15,Inputs!$B$44)/(Inputs!$B$44),0))),0)))&gt;=100),MIN(100,((Inputs!$B$9+((C146=TRUE)*(F146-Calc!F25))+B161+(ArtifactsInput!$M$24-ArtifactsInput!$M$24)*CHOOSE(ArtifactsInput!$N$24+1,10,12,14,16,18,20)+IF(ArtifactsInput!$M$10,CHOOSE(ArtifactsInput!$N$10+1,15,18,21,24,27,30)*(IF(Inputs!$B$39="pvp",MIN(15,15)/15,IF(AND(Inputs!$B$39&lt;&gt;"pvp",Inputs!$B$44&gt;0),MIN(15,Inputs!$B$44)/(Inputs!$B$44),0))),0)))-100),0))*CHOOSE(ArtifactsInput!$N$42+1,0.6,0.72,0.84,0.96,1.08,1.2))),Inputs!$B$18+((C150=TRUE)*(F150-Calc!F29))+(IF(AND(ArtifactsInput!$M$42,((Inputs!$B$9+((C146=TRUE)*(F146-Calc!F25))+B161+(ArtifactsInput!$M$24-ArtifactsInput!$M$24)*CHOOSE(ArtifactsInput!$N$24+1,10,12,14,16,18,20)+IF(ArtifactsInput!$M$10,CHOOSE(ArtifactsInput!$N$10+1,15,18,21,24,27,30)*(IF(Inputs!$B$39="pvp",MIN(15,15)/15,IF(AND(Inputs!$B$39&lt;&gt;"pvp",Inputs!$B$44&gt;0),MIN(15,Inputs!$B$44)/(Inputs!$B$44),0))),0)))&gt;=100),CHOOSE(ArtifactsInput!$N$42+1,40,48,56,64,72,80),0))))/100)*(((1+(((C142=TRUE)*F142*IF(AND(Inputs!$B$39&lt;&gt;"pvp",Inputs!$B$44&gt;0),(((R142-1)*(Skills!Y21*(1+Inputs!$B$34/100))+MIN((Skills!Y21*(1+Inputs!$B$34/100)),MAX(0,Inputs!$B$44-((R142-1)*Skills!D21))))/Inputs!$B$44),IF(Inputs!$B$39="pvp",MIN((Skills!Y21*(1+Inputs!$B$34/100)),15)/15,(Skills!Y21*(1+Inputs!$B$34/100))/Skills!D21)))+((C149=TRUE)*(F149-Calc!F28))+((C139=TRUE)*(F139-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TRUE)*F136*IF(AND(Inputs!$B$39&lt;&gt;"pvp",Inputs!$B$44&gt;0),(((R136-1)*(Skills!Y15*(1+Inputs!$B$34/100))+MIN((Skills!Y15*(1+Inputs!$B$34/100)),MAX(0,Inputs!$B$44-((R136-1)*Skills!D15))))/Inputs!$B$44),IF(Inputs!$B$39="pvp",MIN((Skills!Y15*(1+Inputs!$B$34/100)),15)/15,(Skills!Y15*(1+Inputs!$B$34/100))/Skills!D15)))/100)*(1+((C127=TRUE)*F127*B155)/100))*B163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131)</f>
        <v/>
      </c>
      <c r="L131">
        <f>K131*(MIN(Inputs!$B$22+((C145=TRUE)*(F145-Calc!F24)),(Inputs!$B$23+0+(IF(ArtifactsInput!$M$15,CHOOSE(ArtifactsInput!$N$15+1,25,30,35,40,45,50)/100*(Inputs!$B$11-Inputs!$B$11),0))))/100+(Inputs!$B$23+0+(IF(ArtifactsInput!$M$15,CHOOSE(ArtifactsInput!$N$15+1,25,30,35,40,45,50)/100*(Inputs!$B$11-Inputs!$B$11),0)))/100)/2</f>
        <v/>
      </c>
      <c r="M131">
        <f>L131*(1+(Inputs!$B$10+((C147=TRUE)*(F147-Calc!F26))+B164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1">
        <f>L131*(1-MIN((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131*(MIN((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1">
        <f>(1-Summary!$B$11)*T131+Summary!$B$11*V131</f>
        <v/>
      </c>
      <c r="P131">
        <f>IF(B165=0,0,O131/B165)</f>
        <v/>
      </c>
      <c r="Q131" t="n">
        <v>0</v>
      </c>
      <c r="R131" t="n">
        <v>0</v>
      </c>
      <c r="S131" t="n">
        <v>0</v>
      </c>
      <c r="T131">
        <f>IF(C131,(0.2*SUMPRODUCT((Skills!Z2:Z31=TRUE)*(C123:C152=TRUE)*S123:S152)*N131)*IF(Inputs!$B$39="pvp",1,1+(Inputs!$B$20+((C148=TRUE)*(F148-Calc!F27))+Skills!P10+B162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Hunt"),CHOOSE(ArtifactsInput!$N$35+1,15,18,21,24,27,30)*(1-EXP(-(0.2*B157)*5)),0)+IF(AND(ArtifactsInput!$M$22,Inputs!$B$4&lt;&gt;"Chapter Hunt"),CHOOSE(ArtifactsInput!$N$22+1,10,12,14,16,18,20)*((0*(((0.15*B157*5))^0/1)+1*(((0.15*B157*5))^1/1)+2*(((0.15*B157*5))^2/2)+3*(((0.15*B157*5))^3/6)+4*(((0.15*B157*5))^4/24)+5*(((0.15*B157*5))^5/120))/((((0.15*B157*5))^0/1)+(((0.15*B157*5))^1/1)+(((0.15*B157*5))^2/2)+(((0.15*B157*5))^3/6)+(((0.15*B157*5))^4/24)+(((0.15*B157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131*(1-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131*(1-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1">
        <f>IF(C131,(0.2*SUMPRODUCT((Skills!Z2:Z31=TRUE)*(C123:C152=TRUE)*S123:S152)*N131)*IF(Inputs!$B$39="pvp",1,(1+(Inputs!$B$21+Skills!Q10+B162+(IF(ArtifactsInput!$M$33,CHOOSE(ArtifactsInput!$N$33+1,30,36,42,48,54,60),0))+(IF(AND(ArtifactsInput!$M$35,Inputs!$B$4&lt;&gt;"Chapter Hunt"),CHOOSE(ArtifactsInput!$N$35+1,15,18,21,24,27,30)*(1-EXP(-(0.2*B157)*5)),0)+IF(AND(ArtifactsInput!$M$22,Inputs!$B$4&lt;&gt;"Chapter Hunt"),CHOOSE(ArtifactsInput!$N$22+1,10,12,14,16,18,20)*((0*(((0.15*B157*5))^0/1)+1*(((0.15*B157*5))^1/1)+2*(((0.15*B157*5))^2/2)+3*(((0.15*B157*5))^3/6)+4*(((0.15*B157*5))^4/24)+5*(((0.15*B157*5))^5/120))/((((0.15*B157*5))^0/1)+(((0.15*B157*5))^1/1)+(((0.15*B157*5))^2/2)+(((0.15*B157*5))^3/6)+(((0.15*B157*5))^4/24)+(((0.15*B157*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2">
      <c r="A132">
        <f>Skills!A11</f>
        <v/>
      </c>
      <c r="B132">
        <f>Skills!B11</f>
        <v/>
      </c>
      <c r="C132">
        <f>Inputs!$B$3&gt;=60</f>
        <v/>
      </c>
      <c r="D132">
        <f>IF(Skills!C11=1,60+Inputs!$B$25+Inputs!$B$29,IF(Skills!C11=2,90+Inputs!$B$26+Inputs!$B$29,IF(Skills!C11=3,120+Inputs!$B$27+Inputs!$B$29,MAX(0,(Inputs!$B$3-100)*3)+Inputs!$B$28+Inputs!$B$29)))</f>
        <v/>
      </c>
      <c r="E132">
        <f>INDEX(FactorTable!$B$2:$Y$301, MATCH(ROUND(MIN(300,MAX(1,D132)),0), FactorTable!$A$2:$A$301,0), Skills!M11+1)</f>
        <v/>
      </c>
      <c r="F132">
        <f>IF(Skills!N11=TRUE,(Skills!L11/10)*(E132/1000),Skills!L11/10)+Skills!O11</f>
        <v/>
      </c>
      <c r="G132">
        <f>Calc!G11</f>
        <v/>
      </c>
      <c r="H132">
        <f>Calc!H11</f>
        <v/>
      </c>
      <c r="I132">
        <f>IF(Skills!AA11&lt;&gt;"",1+(Skills!AA11/10)*(U124/1000)/100,1)</f>
        <v/>
      </c>
      <c r="J132" t="inlineStr"/>
      <c r="K132" t="inlineStr"/>
      <c r="L132" t="inlineStr"/>
      <c r="M132" t="inlineStr"/>
      <c r="N132" t="inlineStr"/>
      <c r="O132">
        <f>(1-Summary!$B$11)*T132+Summary!$B$11*V132</f>
        <v/>
      </c>
      <c r="P132">
        <f>IF(B165=0,0,O132/B165)</f>
        <v/>
      </c>
      <c r="Q132" t="n">
        <v>0</v>
      </c>
      <c r="R132" t="n">
        <v>0</v>
      </c>
      <c r="S132">
        <f>IFERROR(O132/N132,0)</f>
        <v/>
      </c>
      <c r="T132" t="n">
        <v>0</v>
      </c>
      <c r="V132" t="n">
        <v>0</v>
      </c>
    </row>
    <row r="133">
      <c r="A133">
        <f>Skills!A12</f>
        <v/>
      </c>
      <c r="B133">
        <f>Skills!B12</f>
        <v/>
      </c>
      <c r="C133">
        <f>Inputs!$B$3&gt;=103</f>
        <v/>
      </c>
      <c r="D133">
        <f>IF(Skills!C12=1,60+Inputs!$B$25+Inputs!$B$29,IF(Skills!C12=2,90+Inputs!$B$26+Inputs!$B$29,IF(Skills!C12=3,120+Inputs!$B$27+Inputs!$B$29,MAX(0,(Inputs!$B$3-100)*3)+Inputs!$B$28+Inputs!$B$29)))</f>
        <v/>
      </c>
      <c r="E133">
        <f>INDEX(FactorTable!$B$2:$Y$301, MATCH(ROUND(MIN(300,MAX(1,D133)),0), FactorTable!$A$2:$A$301,0), Skills!M12+1)</f>
        <v/>
      </c>
      <c r="F133">
        <f>IF(Skills!N12=TRUE,(Skills!L12/10)*(E133/1000),Skills!L12/10)+Skills!O12</f>
        <v/>
      </c>
      <c r="G133">
        <f>Calc!G12</f>
        <v/>
      </c>
      <c r="H133">
        <f>Calc!H12</f>
        <v/>
      </c>
      <c r="I133">
        <f>IF(Skills!AA12&lt;&gt;"",1+(Skills!AA12/10)*(U124/1000)/100,1)</f>
        <v/>
      </c>
      <c r="J133">
        <f>((Inputs!$B$6*(1+Inputs!$B$7/100))+(((Inputs!$B$12*(1+(Inputs!$B$13+1)/100))-(Inputs!$B$12*(1+Inputs!$B$13/100)))+0.25*(Inputs!$B$14-Inputs!$B$14))*(1+Inputs!$B$7/100))*(F133/100)</f>
        <v/>
      </c>
      <c r="K133">
        <f>J133*(1+((Inputs!$B$12*(1+(Inputs!$B$13+1)/100))*0.01+Inputs!$B$14*0.0025)/100)*(1+Inputs!$B$15/100)*(1+Inputs!$B$16/100)*(5000/(6000+Inputs!$B$43*(1-(100*(1-(1-(Inputs!$B$19+0)/100)*(1-CHOOSE(ArtifactsInput!$N$40+1,5,6,7,8,9,10)/100)^(ArtifactsInput!$M$40-ArtifactsInput!$M$40)))/100)))*(1+(Inputs!$B$24+((C151=TRUE)*(F151-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144=TRUE)*(F144-Calc!F23))+(((IF(AND(ArtifactsInput!$M$42,((Inputs!$B$9+((C146=TRUE)*(F146-Calc!F25))+B161+(ArtifactsInput!$M$24-ArtifactsInput!$M$24)*CHOOSE(ArtifactsInput!$N$24+1,10,12,14,16,18,20)+IF(ArtifactsInput!$M$10,CHOOSE(ArtifactsInput!$N$10+1,15,18,21,24,27,30)*(IF(Inputs!$B$39="pvp",MIN(15,15)/15,IF(AND(Inputs!$B$39&lt;&gt;"pvp",Inputs!$B$44&gt;0),MIN(15,Inputs!$B$44)/(Inputs!$B$44),0))),0)))&gt;=100),MIN(100,((Inputs!$B$9+((C146=TRUE)*(F146-Calc!F25))+B161+(ArtifactsInput!$M$24-ArtifactsInput!$M$24)*CHOOSE(ArtifactsInput!$N$24+1,10,12,14,16,18,20)+IF(ArtifactsInput!$M$10,CHOOSE(ArtifactsInput!$N$10+1,15,18,21,24,27,30)*(IF(Inputs!$B$39="pvp",MIN(15,15)/15,IF(AND(Inputs!$B$39&lt;&gt;"pvp",Inputs!$B$44&gt;0),MIN(15,Inputs!$B$44)/(Inputs!$B$44),0))),0)))-100),0))*CHOOSE(ArtifactsInput!$N$42+1,0.6,0.72,0.84,0.96,1.08,1.2))),Inputs!$B$18+((C150=TRUE)*(F150-Calc!F29))+(IF(AND(ArtifactsInput!$M$42,((Inputs!$B$9+((C146=TRUE)*(F146-Calc!F25))+B161+(ArtifactsInput!$M$24-ArtifactsInput!$M$24)*CHOOSE(ArtifactsInput!$N$24+1,10,12,14,16,18,20)+IF(ArtifactsInput!$M$10,CHOOSE(ArtifactsInput!$N$10+1,15,18,21,24,27,30)*(IF(Inputs!$B$39="pvp",MIN(15,15)/15,IF(AND(Inputs!$B$39&lt;&gt;"pvp",Inputs!$B$44&gt;0),MIN(15,Inputs!$B$44)/(Inputs!$B$44),0))),0)))&gt;=100),CHOOSE(ArtifactsInput!$N$42+1,40,48,56,64,72,80),0))))/100)*(((1+(((C142=TRUE)*F142*IF(AND(Inputs!$B$39&lt;&gt;"pvp",Inputs!$B$44&gt;0),(((R142-1)*(Skills!Y21*(1+Inputs!$B$34/100))+MIN((Skills!Y21*(1+Inputs!$B$34/100)),MAX(0,Inputs!$B$44-((R142-1)*Skills!D21))))/Inputs!$B$44),IF(Inputs!$B$39="pvp",MIN((Skills!Y21*(1+Inputs!$B$34/100)),15)/15,(Skills!Y21*(1+Inputs!$B$34/100))/Skills!D21)))+((C149=TRUE)*(F149-Calc!F28))+((C139=TRUE)*(F139-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TRUE)*F136*IF(AND(Inputs!$B$39&lt;&gt;"pvp",Inputs!$B$44&gt;0),(((R136-1)*(Skills!Y15*(1+Inputs!$B$34/100))+MIN((Skills!Y15*(1+Inputs!$B$34/100)),MAX(0,Inputs!$B$44-((R136-1)*Skills!D15))))/Inputs!$B$44),IF(Inputs!$B$39="pvp",MIN((Skills!Y15*(1+Inputs!$B$34/100)),15)/15,(Skills!Y15*(1+Inputs!$B$34/100))/Skills!D15)))/100)*(1+((C127=TRUE)*F127*B155)/100))*B163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133)</f>
        <v/>
      </c>
      <c r="L133">
        <f>K133*(MIN(Inputs!$B$22+((C145=TRUE)*(F145-Calc!F24)),(Inputs!$B$23+0+(IF(ArtifactsInput!$M$15,CHOOSE(ArtifactsInput!$N$15+1,25,30,35,40,45,50)/100*(Inputs!$B$11-Inputs!$B$11),0))))/100+(Inputs!$B$23+0+(IF(ArtifactsInput!$M$15,CHOOSE(ArtifactsInput!$N$15+1,25,30,35,40,45,50)/100*(Inputs!$B$11-Inputs!$B$11),0)))/100)/2</f>
        <v/>
      </c>
      <c r="M133">
        <f>L133*(1+(Inputs!$B$10+((C147=TRUE)*(F147-Calc!F26))+B164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3">
        <f>L133*(1-MIN((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133*(MIN((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3">
        <f>(1-Summary!$B$11)*T133+Summary!$B$11*V133</f>
        <v/>
      </c>
      <c r="P133">
        <f>IF(B165=0,0,O133/B165)</f>
        <v/>
      </c>
      <c r="Q133">
        <f>IFERROR(1/IF(Inputs!$B$39="pvp",15,MAX(0.1,Skills!D12-IF(Skills!E12=TRUE,Inputs!$B$32,0))),0)</f>
        <v/>
      </c>
      <c r="R133">
        <f>IF(AND(Inputs!$B$39&lt;&gt;"pvp",Inputs!$B$44&gt;0),IF(MAX(0,Inputs!$B$44-B166)&lt;=0,0,(INT(MAX(0,Inputs!$B$44-B166)/IF(Inputs!$B$39="pvp",15,MAX(0.1,Skills!D12-IF(Skills!E12=TRUE,Inputs!$B$32,0))))+1)),0)</f>
        <v/>
      </c>
      <c r="S133">
        <f>IFERROR(O133/N133,0)</f>
        <v/>
      </c>
      <c r="T133">
        <f>IF(C133,(H133*N133*IF(AND(Inputs!$B$39&lt;&gt;"pvp",Inputs!$B$44&gt;0),((Skills!G12*((R133-1)*IF(Skills!H12&gt;0,Skills!I12/Skills!H12,1)+IF(Skills!H12&gt;0,MIN(Skills!I12,MAX(0,MAX(0,Inputs!$B$44-B166)-((R133-1)*IF(Inputs!$B$39="pvp",15,MAX(0.1,Skills!D12-IF(Skills!E12=TRUE,Inputs!$B$32,0))))))/Skills!H12,1)))/Inputs!$B$44),G133*Q133))*IF(Inputs!$B$39="pvp",1,1+(Inputs!$B$20+((C148=TRUE)*(F148-Calc!F27))+Skills!P12+B162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Hunt"),CHOOSE(ArtifactsInput!$N$35+1,15,18,21,24,27,30)*(1-EXP(-(0.2*B157)*5)),0)+IF(AND(ArtifactsInput!$M$22,Inputs!$B$4&lt;&gt;"Chapter Hunt"),CHOOSE(ArtifactsInput!$N$22+1,10,12,14,16,18,20)*((0*(((0.15*B157*5))^0/1)+1*(((0.15*B157*5))^1/1)+2*(((0.15*B157*5))^2/2)+3*(((0.15*B157*5))^3/6)+4*(((0.15*B157*5))^4/24)+5*(((0.15*B157*5))^5/120))/((((0.15*B157*5))^0/1)+(((0.15*B157*5))^1/1)+(((0.15*B157*5))^2/2)+(((0.15*B157*5))^3/6)+(((0.15*B157*5))^4/24)+(((0.15*B157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133*(1-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133*(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133*(1-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133*(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3">
        <f>IF(C133,(H133*N133*IF(AND(Inputs!$B$39&lt;&gt;"pvp",Inputs!$B$44&gt;0),((Skills!G12*((R133-1)*IF(Skills!H12&gt;0,Skills!I12/Skills!H12,1)+IF(Skills!H12&gt;0,MIN(Skills!I12,MAX(0,MAX(0,Inputs!$B$44-B166)-((R133-1)*IF(Inputs!$B$39="pvp",15,MAX(0.1,Skills!D12-IF(Skills!E12=TRUE,Inputs!$B$32,0))))))/Skills!H12,1)))/Inputs!$B$44),G133*Q133))*IF(Inputs!$B$39="pvp",1,(1+(Inputs!$B$21+Skills!Q12+B162+(IF(ArtifactsInput!$M$33,CHOOSE(ArtifactsInput!$N$33+1,30,36,42,48,54,60),0))+(IF(AND(ArtifactsInput!$M$35,Inputs!$B$4&lt;&gt;"Chapter Hunt"),CHOOSE(ArtifactsInput!$N$35+1,15,18,21,24,27,30)*(1-EXP(-(0.2*B157)*5)),0)+IF(AND(ArtifactsInput!$M$22,Inputs!$B$4&lt;&gt;"Chapter Hunt"),CHOOSE(ArtifactsInput!$N$22+1,10,12,14,16,18,20)*((0*(((0.15*B157*5))^0/1)+1*(((0.15*B157*5))^1/1)+2*(((0.15*B157*5))^2/2)+3*(((0.15*B157*5))^3/6)+4*(((0.15*B157*5))^4/24)+5*(((0.15*B157*5))^5/120))/((((0.15*B157*5))^0/1)+(((0.15*B157*5))^1/1)+(((0.15*B157*5))^2/2)+(((0.15*B157*5))^3/6)+(((0.15*B157*5))^4/24)+(((0.15*B157*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4">
      <c r="A134">
        <f>Skills!A13</f>
        <v/>
      </c>
      <c r="B134">
        <f>Skills!B13</f>
        <v/>
      </c>
      <c r="C134">
        <f>Inputs!$B$3&gt;=105</f>
        <v/>
      </c>
      <c r="D134">
        <f>IF(Skills!C13=1,60+Inputs!$B$25+Inputs!$B$29,IF(Skills!C13=2,90+Inputs!$B$26+Inputs!$B$29,IF(Skills!C13=3,120+Inputs!$B$27+Inputs!$B$29,MAX(0,(Inputs!$B$3-100)*3)+Inputs!$B$28+Inputs!$B$29)))</f>
        <v/>
      </c>
      <c r="E134">
        <f>INDEX(FactorTable!$B$2:$Y$301, MATCH(ROUND(MIN(300,MAX(1,D134)),0), FactorTable!$A$2:$A$301,0), Skills!M13+1)</f>
        <v/>
      </c>
      <c r="F134">
        <f>IF(Skills!N13=TRUE,(Skills!L13/10)*(E134/1000),Skills!L13/10)+Skills!O13</f>
        <v/>
      </c>
      <c r="G134">
        <f>Calc!G13</f>
        <v/>
      </c>
      <c r="H134">
        <f>Calc!H13</f>
        <v/>
      </c>
      <c r="I134">
        <f>IF(Skills!AA13&lt;&gt;"",1+(Skills!AA13/10)*(U124/1000)/100,1)</f>
        <v/>
      </c>
      <c r="J134">
        <f>((Inputs!$B$6*(1+Inputs!$B$7/100))+(((Inputs!$B$12*(1+(Inputs!$B$13+1)/100))-(Inputs!$B$12*(1+Inputs!$B$13/100)))+0.25*(Inputs!$B$14-Inputs!$B$14))*(1+Inputs!$B$7/100))*(F134/100)</f>
        <v/>
      </c>
      <c r="K134">
        <f>J134*(1+((Inputs!$B$12*(1+(Inputs!$B$13+1)/100))*0.01+Inputs!$B$14*0.0025)/100)*(1+Inputs!$B$15/100)*(1+Inputs!$B$16/100)*(5000/(6000+Inputs!$B$43*(1-(100*(1-(1-(Inputs!$B$19+0)/100)*(1-CHOOSE(ArtifactsInput!$N$40+1,5,6,7,8,9,10)/100)^(ArtifactsInput!$M$40-ArtifactsInput!$M$40)))/100)))*(1+(Inputs!$B$24+((C151=TRUE)*(F151-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144=TRUE)*(F144-Calc!F23))+(((IF(AND(ArtifactsInput!$M$42,((Inputs!$B$9+((C146=TRUE)*(F146-Calc!F25))+B161+(ArtifactsInput!$M$24-ArtifactsInput!$M$24)*CHOOSE(ArtifactsInput!$N$24+1,10,12,14,16,18,20)+IF(ArtifactsInput!$M$10,CHOOSE(ArtifactsInput!$N$10+1,15,18,21,24,27,30)*(IF(Inputs!$B$39="pvp",MIN(15,15)/15,IF(AND(Inputs!$B$39&lt;&gt;"pvp",Inputs!$B$44&gt;0),MIN(15,Inputs!$B$44)/(Inputs!$B$44),0))),0)))&gt;=100),MIN(100,((Inputs!$B$9+((C146=TRUE)*(F146-Calc!F25))+B161+(ArtifactsInput!$M$24-ArtifactsInput!$M$24)*CHOOSE(ArtifactsInput!$N$24+1,10,12,14,16,18,20)+IF(ArtifactsInput!$M$10,CHOOSE(ArtifactsInput!$N$10+1,15,18,21,24,27,30)*(IF(Inputs!$B$39="pvp",MIN(15,15)/15,IF(AND(Inputs!$B$39&lt;&gt;"pvp",Inputs!$B$44&gt;0),MIN(15,Inputs!$B$44)/(Inputs!$B$44),0))),0)))-100),0))*CHOOSE(ArtifactsInput!$N$42+1,0.6,0.72,0.84,0.96,1.08,1.2))),Inputs!$B$18+((C150=TRUE)*(F150-Calc!F29))+(IF(AND(ArtifactsInput!$M$42,((Inputs!$B$9+((C146=TRUE)*(F146-Calc!F25))+B161+(ArtifactsInput!$M$24-ArtifactsInput!$M$24)*CHOOSE(ArtifactsInput!$N$24+1,10,12,14,16,18,20)+IF(ArtifactsInput!$M$10,CHOOSE(ArtifactsInput!$N$10+1,15,18,21,24,27,30)*(IF(Inputs!$B$39="pvp",MIN(15,15)/15,IF(AND(Inputs!$B$39&lt;&gt;"pvp",Inputs!$B$44&gt;0),MIN(15,Inputs!$B$44)/(Inputs!$B$44),0))),0)))&gt;=100),CHOOSE(ArtifactsInput!$N$42+1,40,48,56,64,72,80),0))))/100)*(((1+(((C142=TRUE)*F142*IF(AND(Inputs!$B$39&lt;&gt;"pvp",Inputs!$B$44&gt;0),(((R142-1)*(Skills!Y21*(1+Inputs!$B$34/100))+MIN((Skills!Y21*(1+Inputs!$B$34/100)),MAX(0,Inputs!$B$44-((R142-1)*Skills!D21))))/Inputs!$B$44),IF(Inputs!$B$39="pvp",MIN((Skills!Y21*(1+Inputs!$B$34/100)),15)/15,(Skills!Y21*(1+Inputs!$B$34/100))/Skills!D21)))+((C149=TRUE)*(F149-Calc!F28))+((C139=TRUE)*(F139-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TRUE)*F136*IF(AND(Inputs!$B$39&lt;&gt;"pvp",Inputs!$B$44&gt;0),(((R136-1)*(Skills!Y15*(1+Inputs!$B$34/100))+MIN((Skills!Y15*(1+Inputs!$B$34/100)),MAX(0,Inputs!$B$44-((R136-1)*Skills!D15))))/Inputs!$B$44),IF(Inputs!$B$39="pvp",MIN((Skills!Y15*(1+Inputs!$B$34/100)),15)/15,(Skills!Y15*(1+Inputs!$B$34/100))/Skills!D15)))/100)*(1+((C127=TRUE)*F127*B155)/100))*B163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134)</f>
        <v/>
      </c>
      <c r="L134">
        <f>K134*(MIN(Inputs!$B$22+((C145=TRUE)*(F145-Calc!F24)),(Inputs!$B$23+0+(IF(ArtifactsInput!$M$15,CHOOSE(ArtifactsInput!$N$15+1,25,30,35,40,45,50)/100*(Inputs!$B$11-Inputs!$B$11),0))))/100+(Inputs!$B$23+0+(IF(ArtifactsInput!$M$15,CHOOSE(ArtifactsInput!$N$15+1,25,30,35,40,45,50)/100*(Inputs!$B$11-Inputs!$B$11),0)))/100)/2</f>
        <v/>
      </c>
      <c r="M134">
        <f>L134*(1+(Inputs!$B$10+((C147=TRUE)*(F147-Calc!F26))+B164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4">
        <f>L134*(1-MIN((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134*(MIN((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4">
        <f>(1-Summary!$B$11)*T134+Summary!$B$11*V134</f>
        <v/>
      </c>
      <c r="P134">
        <f>IF(B165=0,0,O134/B165)</f>
        <v/>
      </c>
      <c r="Q134">
        <f>IFERROR(1/IF(Inputs!$B$39="pvp",15,MAX(0.1,Skills!D13-IF(Skills!E13=TRUE,Inputs!$B$32,0))),0)</f>
        <v/>
      </c>
      <c r="R134">
        <f>IF(AND(Inputs!$B$39&lt;&gt;"pvp",Inputs!$B$44&gt;0),IF(MAX(0,Inputs!$B$44-B166)&lt;=0,0,(INT(MAX(0,Inputs!$B$44-B166)/IF(Inputs!$B$39="pvp",15,MAX(0.1,Skills!D13-IF(Skills!E13=TRUE,Inputs!$B$32,0))))+1)),0)</f>
        <v/>
      </c>
      <c r="S134">
        <f>IFERROR(O134/N134,0)</f>
        <v/>
      </c>
      <c r="T134">
        <f>IF(C134,(H134*N134*IF(AND(Inputs!$B$39&lt;&gt;"pvp",Inputs!$B$44&gt;0),((Skills!G13*((R134-1)*IF(Skills!H13&gt;0,Skills!I13/Skills!H13,1)+IF(Skills!H13&gt;0,MIN(Skills!I13,MAX(0,MAX(0,Inputs!$B$44-B166)-((R134-1)*IF(Inputs!$B$39="pvp",15,MAX(0.1,Skills!D13-IF(Skills!E13=TRUE,Inputs!$B$32,0))))))/Skills!H13,1)))/Inputs!$B$44),G134*Q134))*IF(Inputs!$B$39="pvp",1,1+(Inputs!$B$20+((C148=TRUE)*(F148-Calc!F27))+Skills!P13+B162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Hunt"),CHOOSE(ArtifactsInput!$N$35+1,15,18,21,24,27,30)*(1-EXP(-(0.2*B157)*5)),0)+IF(AND(ArtifactsInput!$M$22,Inputs!$B$4&lt;&gt;"Chapter Hunt"),CHOOSE(ArtifactsInput!$N$22+1,10,12,14,16,18,20)*((0*(((0.15*B157*5))^0/1)+1*(((0.15*B157*5))^1/1)+2*(((0.15*B157*5))^2/2)+3*(((0.15*B157*5))^3/6)+4*(((0.15*B157*5))^4/24)+5*(((0.15*B157*5))^5/120))/((((0.15*B157*5))^0/1)+(((0.15*B157*5))^1/1)+(((0.15*B157*5))^2/2)+(((0.15*B157*5))^3/6)+(((0.15*B157*5))^4/24)+(((0.15*B157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134*(1-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134*(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134*(1-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134*(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4">
        <f>IF(C134,(H134*N134*IF(AND(Inputs!$B$39&lt;&gt;"pvp",Inputs!$B$44&gt;0),((Skills!G13*((R134-1)*IF(Skills!H13&gt;0,Skills!I13/Skills!H13,1)+IF(Skills!H13&gt;0,MIN(Skills!I13,MAX(0,MAX(0,Inputs!$B$44-B166)-((R134-1)*IF(Inputs!$B$39="pvp",15,MAX(0.1,Skills!D13-IF(Skills!E13=TRUE,Inputs!$B$32,0))))))/Skills!H13,1)))/Inputs!$B$44),G134*Q134))*IF(Inputs!$B$39="pvp",1,(1+(Inputs!$B$21+Skills!Q13+B162+(IF(ArtifactsInput!$M$33,CHOOSE(ArtifactsInput!$N$33+1,30,36,42,48,54,60),0))+(IF(AND(ArtifactsInput!$M$35,Inputs!$B$4&lt;&gt;"Chapter Hunt"),CHOOSE(ArtifactsInput!$N$35+1,15,18,21,24,27,30)*(1-EXP(-(0.2*B157)*5)),0)+IF(AND(ArtifactsInput!$M$22,Inputs!$B$4&lt;&gt;"Chapter Hunt"),CHOOSE(ArtifactsInput!$N$22+1,10,12,14,16,18,20)*((0*(((0.15*B157*5))^0/1)+1*(((0.15*B157*5))^1/1)+2*(((0.15*B157*5))^2/2)+3*(((0.15*B157*5))^3/6)+4*(((0.15*B157*5))^4/24)+5*(((0.15*B157*5))^5/120))/((((0.15*B157*5))^0/1)+(((0.15*B157*5))^1/1)+(((0.15*B157*5))^2/2)+(((0.15*B157*5))^3/6)+(((0.15*B157*5))^4/24)+(((0.15*B157*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5">
      <c r="A135">
        <f>Skills!A14</f>
        <v/>
      </c>
      <c r="B135">
        <f>Skills!B14</f>
        <v/>
      </c>
      <c r="C135">
        <f>Inputs!$B$3&gt;=105</f>
        <v/>
      </c>
      <c r="D135">
        <f>IF(Skills!C14=1,60+Inputs!$B$25+Inputs!$B$29,IF(Skills!C14=2,90+Inputs!$B$26+Inputs!$B$29,IF(Skills!C14=3,120+Inputs!$B$27+Inputs!$B$29,MAX(0,(Inputs!$B$3-100)*3)+Inputs!$B$28+Inputs!$B$29)))</f>
        <v/>
      </c>
      <c r="E135">
        <f>INDEX(FactorTable!$B$2:$Y$301, MATCH(ROUND(MIN(300,MAX(1,D135)),0), FactorTable!$A$2:$A$301,0), Skills!M14+1)</f>
        <v/>
      </c>
      <c r="F135">
        <f>IF(Skills!N14=TRUE,(Skills!L14/10)*(E135/1000),Skills!L14/10)+Skills!O14</f>
        <v/>
      </c>
      <c r="G135">
        <f>Calc!G14</f>
        <v/>
      </c>
      <c r="H135">
        <f>Calc!H14</f>
        <v/>
      </c>
      <c r="I135">
        <f>IF(Skills!AA14&lt;&gt;"",1+(Skills!AA14/10)*(U124/1000)/100,1)</f>
        <v/>
      </c>
      <c r="J135">
        <f>((Inputs!$B$6*(1+Inputs!$B$7/100))+(((Inputs!$B$12*(1+(Inputs!$B$13+1)/100))-(Inputs!$B$12*(1+Inputs!$B$13/100)))+0.25*(Inputs!$B$14-Inputs!$B$14))*(1+Inputs!$B$7/100))*(F135/100)</f>
        <v/>
      </c>
      <c r="K135">
        <f>J135*(1+((Inputs!$B$12*(1+(Inputs!$B$13+1)/100))*0.01+Inputs!$B$14*0.0025)/100)*(1+Inputs!$B$15/100)*(1+Inputs!$B$16/100)*(5000/(6000+Inputs!$B$43*(1-(100*(1-(1-(Inputs!$B$19+0)/100)*(1-CHOOSE(ArtifactsInput!$N$40+1,5,6,7,8,9,10)/100)^(ArtifactsInput!$M$40-ArtifactsInput!$M$40)))/100)))*(1+(Inputs!$B$24+((C151=TRUE)*(F151-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144=TRUE)*(F144-Calc!F23))+(((IF(AND(ArtifactsInput!$M$42,((Inputs!$B$9+((C146=TRUE)*(F146-Calc!F25))+B161+(ArtifactsInput!$M$24-ArtifactsInput!$M$24)*CHOOSE(ArtifactsInput!$N$24+1,10,12,14,16,18,20)+IF(ArtifactsInput!$M$10,CHOOSE(ArtifactsInput!$N$10+1,15,18,21,24,27,30)*(IF(Inputs!$B$39="pvp",MIN(15,15)/15,IF(AND(Inputs!$B$39&lt;&gt;"pvp",Inputs!$B$44&gt;0),MIN(15,Inputs!$B$44)/(Inputs!$B$44),0))),0)))&gt;=100),MIN(100,((Inputs!$B$9+((C146=TRUE)*(F146-Calc!F25))+B161+(ArtifactsInput!$M$24-ArtifactsInput!$M$24)*CHOOSE(ArtifactsInput!$N$24+1,10,12,14,16,18,20)+IF(ArtifactsInput!$M$10,CHOOSE(ArtifactsInput!$N$10+1,15,18,21,24,27,30)*(IF(Inputs!$B$39="pvp",MIN(15,15)/15,IF(AND(Inputs!$B$39&lt;&gt;"pvp",Inputs!$B$44&gt;0),MIN(15,Inputs!$B$44)/(Inputs!$B$44),0))),0)))-100),0))*CHOOSE(ArtifactsInput!$N$42+1,0.6,0.72,0.84,0.96,1.08,1.2))),Inputs!$B$18+((C150=TRUE)*(F150-Calc!F29))+(IF(AND(ArtifactsInput!$M$42,((Inputs!$B$9+((C146=TRUE)*(F146-Calc!F25))+B161+(ArtifactsInput!$M$24-ArtifactsInput!$M$24)*CHOOSE(ArtifactsInput!$N$24+1,10,12,14,16,18,20)+IF(ArtifactsInput!$M$10,CHOOSE(ArtifactsInput!$N$10+1,15,18,21,24,27,30)*(IF(Inputs!$B$39="pvp",MIN(15,15)/15,IF(AND(Inputs!$B$39&lt;&gt;"pvp",Inputs!$B$44&gt;0),MIN(15,Inputs!$B$44)/(Inputs!$B$44),0))),0)))&gt;=100),CHOOSE(ArtifactsInput!$N$42+1,40,48,56,64,72,80),0))))/100)*(((1+(((C142=TRUE)*F142*IF(AND(Inputs!$B$39&lt;&gt;"pvp",Inputs!$B$44&gt;0),(((R142-1)*(Skills!Y21*(1+Inputs!$B$34/100))+MIN((Skills!Y21*(1+Inputs!$B$34/100)),MAX(0,Inputs!$B$44-((R142-1)*Skills!D21))))/Inputs!$B$44),IF(Inputs!$B$39="pvp",MIN((Skills!Y21*(1+Inputs!$B$34/100)),15)/15,(Skills!Y21*(1+Inputs!$B$34/100))/Skills!D21)))+((C149=TRUE)*(F149-Calc!F28))+((C139=TRUE)*(F139-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TRUE)*F136*IF(AND(Inputs!$B$39&lt;&gt;"pvp",Inputs!$B$44&gt;0),(((R136-1)*(Skills!Y15*(1+Inputs!$B$34/100))+MIN((Skills!Y15*(1+Inputs!$B$34/100)),MAX(0,Inputs!$B$44-((R136-1)*Skills!D15))))/Inputs!$B$44),IF(Inputs!$B$39="pvp",MIN((Skills!Y15*(1+Inputs!$B$34/100)),15)/15,(Skills!Y15*(1+Inputs!$B$34/100))/Skills!D15)))/100)*(1+((C127=TRUE)*F127*B155)/100))*B163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135)</f>
        <v/>
      </c>
      <c r="L135">
        <f>K135*(MIN(Inputs!$B$22+((C145=TRUE)*(F145-Calc!F24)),(Inputs!$B$23+0+(IF(ArtifactsInput!$M$15,CHOOSE(ArtifactsInput!$N$15+1,25,30,35,40,45,50)/100*(Inputs!$B$11-Inputs!$B$11),0))))/100+(Inputs!$B$23+0+(IF(ArtifactsInput!$M$15,CHOOSE(ArtifactsInput!$N$15+1,25,30,35,40,45,50)/100*(Inputs!$B$11-Inputs!$B$11),0)))/100)/2</f>
        <v/>
      </c>
      <c r="M135">
        <f>L135*(1+(Inputs!$B$10+((C147=TRUE)*(F147-Calc!F26))+B164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5">
        <f>L135*(1-MIN((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135*(MIN((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5">
        <f>(1-Summary!$B$11)*T135+Summary!$B$11*V135</f>
        <v/>
      </c>
      <c r="P135">
        <f>IF(B165=0,0,O135/B165)</f>
        <v/>
      </c>
      <c r="Q135">
        <f>IFERROR(1/IF(Inputs!$B$39="pvp",15,MAX(0.1,Skills!D14-IF(Skills!E14=TRUE,Inputs!$B$32,0))),0)</f>
        <v/>
      </c>
      <c r="R135">
        <f>IF(AND(Inputs!$B$39&lt;&gt;"pvp",Inputs!$B$44&gt;0),IF(MAX(0,Inputs!$B$44-B166)&lt;=0,0,(INT(MAX(0,Inputs!$B$44-B166)/IF(Inputs!$B$39="pvp",15,MAX(0.1,Skills!D14-IF(Skills!E14=TRUE,Inputs!$B$32,0))))+1)),0)</f>
        <v/>
      </c>
      <c r="S135">
        <f>IFERROR(O135/N135,0)</f>
        <v/>
      </c>
      <c r="T135">
        <f>IF(C135,(H135*N135*IF(AND(Inputs!$B$39&lt;&gt;"pvp",Inputs!$B$44&gt;0),((Skills!G14*((R135-1)*IF(Skills!H14&gt;0,Skills!I14/Skills!H14,1)+IF(Skills!H14&gt;0,MIN(Skills!I14,MAX(0,MAX(0,Inputs!$B$44-B166)-((R135-1)*IF(Inputs!$B$39="pvp",15,MAX(0.1,Skills!D14-IF(Skills!E14=TRUE,Inputs!$B$32,0))))))/Skills!H14,1)))/Inputs!$B$44),G135*Q135))*IF(Inputs!$B$39="pvp",1,1+(Inputs!$B$20+((C148=TRUE)*(F148-Calc!F27))+Skills!P14+B162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Hunt"),CHOOSE(ArtifactsInput!$N$35+1,15,18,21,24,27,30)*(1-EXP(-(0.2*B157)*5)),0)+IF(AND(ArtifactsInput!$M$22,Inputs!$B$4&lt;&gt;"Chapter Hunt"),CHOOSE(ArtifactsInput!$N$22+1,10,12,14,16,18,20)*((0*(((0.15*B157*5))^0/1)+1*(((0.15*B157*5))^1/1)+2*(((0.15*B157*5))^2/2)+3*(((0.15*B157*5))^3/6)+4*(((0.15*B157*5))^4/24)+5*(((0.15*B157*5))^5/120))/((((0.15*B157*5))^0/1)+(((0.15*B157*5))^1/1)+(((0.15*B157*5))^2/2)+(((0.15*B157*5))^3/6)+(((0.15*B157*5))^4/24)+(((0.15*B157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135*(1-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135*(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135*(1-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135*(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5">
        <f>IF(C135,(H135*N135*IF(AND(Inputs!$B$39&lt;&gt;"pvp",Inputs!$B$44&gt;0),((Skills!G14*((R135-1)*IF(Skills!H14&gt;0,Skills!I14/Skills!H14,1)+IF(Skills!H14&gt;0,MIN(Skills!I14,MAX(0,MAX(0,Inputs!$B$44-B166)-((R135-1)*IF(Inputs!$B$39="pvp",15,MAX(0.1,Skills!D14-IF(Skills!E14=TRUE,Inputs!$B$32,0))))))/Skills!H14,1)))/Inputs!$B$44),G135*Q135))*IF(Inputs!$B$39="pvp",1,(1+(Inputs!$B$21+Skills!Q14+B162+(IF(ArtifactsInput!$M$33,CHOOSE(ArtifactsInput!$N$33+1,30,36,42,48,54,60),0))+(IF(AND(ArtifactsInput!$M$35,Inputs!$B$4&lt;&gt;"Chapter Hunt"),CHOOSE(ArtifactsInput!$N$35+1,15,18,21,24,27,30)*(1-EXP(-(0.2*B157)*5)),0)+IF(AND(ArtifactsInput!$M$22,Inputs!$B$4&lt;&gt;"Chapter Hunt"),CHOOSE(ArtifactsInput!$N$22+1,10,12,14,16,18,20)*((0*(((0.15*B157*5))^0/1)+1*(((0.15*B157*5))^1/1)+2*(((0.15*B157*5))^2/2)+3*(((0.15*B157*5))^3/6)+4*(((0.15*B157*5))^4/24)+5*(((0.15*B157*5))^5/120))/((((0.15*B157*5))^0/1)+(((0.15*B157*5))^1/1)+(((0.15*B157*5))^2/2)+(((0.15*B157*5))^3/6)+(((0.15*B157*5))^4/24)+(((0.15*B157*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6">
      <c r="A136">
        <f>Skills!A15</f>
        <v/>
      </c>
      <c r="B136">
        <f>Skills!B15</f>
        <v/>
      </c>
      <c r="C136">
        <f>Inputs!$B$3&gt;=110</f>
        <v/>
      </c>
      <c r="D136">
        <f>IF(Skills!C15=1,60+Inputs!$B$25+Inputs!$B$29,IF(Skills!C15=2,90+Inputs!$B$26+Inputs!$B$29,IF(Skills!C15=3,120+Inputs!$B$27+Inputs!$B$29,MAX(0,(Inputs!$B$3-100)*3)+Inputs!$B$28+Inputs!$B$29)))</f>
        <v/>
      </c>
      <c r="E136">
        <f>INDEX(FactorTable!$B$2:$Y$301, MATCH(ROUND(MIN(300,MAX(1,D136)),0), FactorTable!$A$2:$A$301,0), Skills!M15+1)</f>
        <v/>
      </c>
      <c r="F136">
        <f>IF(Skills!N15=TRUE,(Skills!L15/10)*(E136/1000),Skills!L15/10)+Skills!O15</f>
        <v/>
      </c>
      <c r="G136">
        <f>Calc!G15</f>
        <v/>
      </c>
      <c r="H136">
        <f>Calc!H15</f>
        <v/>
      </c>
      <c r="I136">
        <f>IF(Skills!AA15&lt;&gt;"",1+(Skills!AA15/10)*(U124/1000)/100,1)</f>
        <v/>
      </c>
      <c r="J136" t="inlineStr"/>
      <c r="K136" t="inlineStr"/>
      <c r="L136" t="inlineStr"/>
      <c r="M136" t="inlineStr"/>
      <c r="N136" t="inlineStr"/>
      <c r="O136">
        <f>(1-Summary!$B$11)*T136+Summary!$B$11*V136</f>
        <v/>
      </c>
      <c r="P136">
        <f>IF(B165=0,0,O136/B165)</f>
        <v/>
      </c>
      <c r="Q136">
        <f>IFERROR(1/IF(Inputs!$B$39="pvp",15,MAX(0.1,Skills!D15-IF(Skills!E15=TRUE,Inputs!$B$32,0))),0)</f>
        <v/>
      </c>
      <c r="R136">
        <f>IF(AND(Inputs!$B$39&lt;&gt;"pvp",Inputs!$B$44&gt;0),IF(Inputs!$B$44&lt;=0,0,(INT(Inputs!$B$44/IF(Inputs!$B$39="pvp",15,MAX(0.1,Skills!D15-IF(Skills!E15=TRUE,Inputs!$B$32,0))))+1)),0)</f>
        <v/>
      </c>
      <c r="S136">
        <f>IFERROR(O136/N136,0)</f>
        <v/>
      </c>
      <c r="T136" t="n">
        <v>0</v>
      </c>
      <c r="V136" t="n">
        <v>0</v>
      </c>
    </row>
    <row r="137">
      <c r="A137">
        <f>Skills!A16</f>
        <v/>
      </c>
      <c r="B137">
        <f>Skills!B16</f>
        <v/>
      </c>
      <c r="C137">
        <f>Inputs!$B$3&gt;=110</f>
        <v/>
      </c>
      <c r="D137">
        <f>IF(Skills!C16=1,60+Inputs!$B$25+Inputs!$B$29,IF(Skills!C16=2,90+Inputs!$B$26+Inputs!$B$29,IF(Skills!C16=3,120+Inputs!$B$27+Inputs!$B$29,MAX(0,(Inputs!$B$3-100)*3)+Inputs!$B$28+Inputs!$B$29)))</f>
        <v/>
      </c>
      <c r="E137">
        <f>INDEX(FactorTable!$B$2:$Y$301, MATCH(ROUND(MIN(300,MAX(1,D137)),0), FactorTable!$A$2:$A$301,0), Skills!M16+1)</f>
        <v/>
      </c>
      <c r="F137">
        <f>IF(Skills!N16=TRUE,(Skills!L16/10)*(E137/1000),Skills!L16/10)+Skills!O16</f>
        <v/>
      </c>
      <c r="G137">
        <f>Calc!G16</f>
        <v/>
      </c>
      <c r="H137">
        <f>Calc!H16</f>
        <v/>
      </c>
      <c r="I137">
        <f>IF(Skills!AA16&lt;&gt;"",1+(Skills!AA16/10)*(U124/1000)/100,1)</f>
        <v/>
      </c>
      <c r="J137" t="inlineStr"/>
      <c r="K137" t="inlineStr"/>
      <c r="L137" t="inlineStr"/>
      <c r="M137" t="inlineStr"/>
      <c r="N137" t="inlineStr"/>
      <c r="O137">
        <f>(1-Summary!$B$11)*T137+Summary!$B$11*V137</f>
        <v/>
      </c>
      <c r="P137">
        <f>IF(B165=0,0,O137/B165)</f>
        <v/>
      </c>
      <c r="Q137">
        <f>IFERROR(1/IF(Inputs!$B$39="pvp",15,MAX(0.1,Skills!D16-IF(Skills!E16=TRUE,Inputs!$B$32,0))),0)</f>
        <v/>
      </c>
      <c r="R137">
        <f>IF(AND(Inputs!$B$39&lt;&gt;"pvp",Inputs!$B$44&gt;0),IF(Inputs!$B$44&lt;=0,0,(INT(Inputs!$B$44/IF(Inputs!$B$39="pvp",15,MAX(0.1,Skills!D16-IF(Skills!E16=TRUE,Inputs!$B$32,0))))+1)),0)</f>
        <v/>
      </c>
      <c r="S137">
        <f>IFERROR(O137/N137,0)</f>
        <v/>
      </c>
      <c r="T137" t="n">
        <v>0</v>
      </c>
      <c r="V137" t="n">
        <v>0</v>
      </c>
    </row>
    <row r="138">
      <c r="A138">
        <f>Skills!A17</f>
        <v/>
      </c>
      <c r="B138">
        <f>Skills!B17</f>
        <v/>
      </c>
      <c r="C138">
        <f>Inputs!$B$3&gt;=115</f>
        <v/>
      </c>
      <c r="D138">
        <f>IF(Skills!C17=1,60+Inputs!$B$25+Inputs!$B$29,IF(Skills!C17=2,90+Inputs!$B$26+Inputs!$B$29,IF(Skills!C17=3,120+Inputs!$B$27+Inputs!$B$29,MAX(0,(Inputs!$B$3-100)*3)+Inputs!$B$28+Inputs!$B$29)))</f>
        <v/>
      </c>
      <c r="E138">
        <f>INDEX(FactorTable!$B$2:$Y$301, MATCH(ROUND(MIN(300,MAX(1,D138)),0), FactorTable!$A$2:$A$301,0), Skills!M17+1)</f>
        <v/>
      </c>
      <c r="F138">
        <f>IF(Skills!N17=TRUE,(Skills!L17/10)*(E138/1000),Skills!L17/10)+Skills!O17</f>
        <v/>
      </c>
      <c r="G138">
        <f>Calc!G17</f>
        <v/>
      </c>
      <c r="H138">
        <f>Calc!H17</f>
        <v/>
      </c>
      <c r="I138">
        <f>IF(Skills!AA17&lt;&gt;"",1+(Skills!AA17/10)*(U124/1000)/100,1)</f>
        <v/>
      </c>
      <c r="J138">
        <f>((Inputs!$B$6*(1+Inputs!$B$7/100))+(((Inputs!$B$12*(1+(Inputs!$B$13+1)/100))-(Inputs!$B$12*(1+Inputs!$B$13/100)))+0.25*(Inputs!$B$14-Inputs!$B$14))*(1+Inputs!$B$7/100))*(F138/100)</f>
        <v/>
      </c>
      <c r="K138">
        <f>J138*(1+((Inputs!$B$12*(1+(Inputs!$B$13+1)/100))*0.01+Inputs!$B$14*0.0025)/100)*(1+Inputs!$B$15/100)*(1+Inputs!$B$16/100)*(5000/(6000+Inputs!$B$43*(1-(100*(1-(1-(Inputs!$B$19+0)/100)*(1-CHOOSE(ArtifactsInput!$N$40+1,5,6,7,8,9,10)/100)^(ArtifactsInput!$M$40-ArtifactsInput!$M$40)))/100)))*(1+(Inputs!$B$24+((C151=TRUE)*(F151-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144=TRUE)*(F144-Calc!F23))+(((IF(AND(ArtifactsInput!$M$42,((Inputs!$B$9+((C146=TRUE)*(F146-Calc!F25))+B161+(ArtifactsInput!$M$24-ArtifactsInput!$M$24)*CHOOSE(ArtifactsInput!$N$24+1,10,12,14,16,18,20)+IF(ArtifactsInput!$M$10,CHOOSE(ArtifactsInput!$N$10+1,15,18,21,24,27,30)*(IF(Inputs!$B$39="pvp",MIN(15,15)/15,IF(AND(Inputs!$B$39&lt;&gt;"pvp",Inputs!$B$44&gt;0),MIN(15,Inputs!$B$44)/(Inputs!$B$44),0))),0)))&gt;=100),MIN(100,((Inputs!$B$9+((C146=TRUE)*(F146-Calc!F25))+B161+(ArtifactsInput!$M$24-ArtifactsInput!$M$24)*CHOOSE(ArtifactsInput!$N$24+1,10,12,14,16,18,20)+IF(ArtifactsInput!$M$10,CHOOSE(ArtifactsInput!$N$10+1,15,18,21,24,27,30)*(IF(Inputs!$B$39="pvp",MIN(15,15)/15,IF(AND(Inputs!$B$39&lt;&gt;"pvp",Inputs!$B$44&gt;0),MIN(15,Inputs!$B$44)/(Inputs!$B$44),0))),0)))-100),0))*CHOOSE(ArtifactsInput!$N$42+1,0.6,0.72,0.84,0.96,1.08,1.2))),Inputs!$B$18+((C150=TRUE)*(F150-Calc!F29))+(IF(AND(ArtifactsInput!$M$42,((Inputs!$B$9+((C146=TRUE)*(F146-Calc!F25))+B161+(ArtifactsInput!$M$24-ArtifactsInput!$M$24)*CHOOSE(ArtifactsInput!$N$24+1,10,12,14,16,18,20)+IF(ArtifactsInput!$M$10,CHOOSE(ArtifactsInput!$N$10+1,15,18,21,24,27,30)*(IF(Inputs!$B$39="pvp",MIN(15,15)/15,IF(AND(Inputs!$B$39&lt;&gt;"pvp",Inputs!$B$44&gt;0),MIN(15,Inputs!$B$44)/(Inputs!$B$44),0))),0)))&gt;=100),CHOOSE(ArtifactsInput!$N$42+1,40,48,56,64,72,80),0))))/100)*(((1+(((C142=TRUE)*F142*IF(AND(Inputs!$B$39&lt;&gt;"pvp",Inputs!$B$44&gt;0),(((R142-1)*(Skills!Y21*(1+Inputs!$B$34/100))+MIN((Skills!Y21*(1+Inputs!$B$34/100)),MAX(0,Inputs!$B$44-((R142-1)*Skills!D21))))/Inputs!$B$44),IF(Inputs!$B$39="pvp",MIN((Skills!Y21*(1+Inputs!$B$34/100)),15)/15,(Skills!Y21*(1+Inputs!$B$34/100))/Skills!D21)))+((C149=TRUE)*(F149-Calc!F28))+((C139=TRUE)*(F139-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TRUE)*F136*IF(AND(Inputs!$B$39&lt;&gt;"pvp",Inputs!$B$44&gt;0),(((R136-1)*(Skills!Y15*(1+Inputs!$B$34/100))+MIN((Skills!Y15*(1+Inputs!$B$34/100)),MAX(0,Inputs!$B$44-((R136-1)*Skills!D15))))/Inputs!$B$44),IF(Inputs!$B$39="pvp",MIN((Skills!Y15*(1+Inputs!$B$34/100)),15)/15,(Skills!Y15*(1+Inputs!$B$34/100))/Skills!D15)))/100)*(1+((C127=TRUE)*F127*B155)/100))*B163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138)</f>
        <v/>
      </c>
      <c r="L138">
        <f>K138*(MIN(Inputs!$B$22+((C145=TRUE)*(F145-Calc!F24)),(Inputs!$B$23+0+(IF(ArtifactsInput!$M$15,CHOOSE(ArtifactsInput!$N$15+1,25,30,35,40,45,50)/100*(Inputs!$B$11-Inputs!$B$11),0))))/100+(Inputs!$B$23+0+(IF(ArtifactsInput!$M$15,CHOOSE(ArtifactsInput!$N$15+1,25,30,35,40,45,50)/100*(Inputs!$B$11-Inputs!$B$11),0)))/100)/2</f>
        <v/>
      </c>
      <c r="M138">
        <f>L138*(1+(Inputs!$B$10+((C147=TRUE)*(F147-Calc!F26))+B164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8">
        <f>L138*(1-MIN((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138*(MIN((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8">
        <f>(1-Summary!$B$11)*T138+Summary!$B$11*V138</f>
        <v/>
      </c>
      <c r="P138">
        <f>IF(B165=0,0,O138/B165)</f>
        <v/>
      </c>
      <c r="Q138" t="n">
        <v>0</v>
      </c>
      <c r="R138" t="n">
        <v>0</v>
      </c>
      <c r="S138">
        <f>IFERROR(O138/N138,0)</f>
        <v/>
      </c>
      <c r="T138">
        <f>IF(C138,(Inputs!$B$38*0.2*N138)*IF(Inputs!$B$39="pvp",1,1+(Inputs!$B$20+((C148=TRUE)*(F148-Calc!F27))+Skills!P17+B162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Hunt"),CHOOSE(ArtifactsInput!$N$35+1,15,18,21,24,27,30)*(1-EXP(-(0.2*B157)*5)),0)+IF(AND(ArtifactsInput!$M$22,Inputs!$B$4&lt;&gt;"Chapter Hunt"),CHOOSE(ArtifactsInput!$N$22+1,10,12,14,16,18,20)*((0*(((0.15*B157*5))^0/1)+1*(((0.15*B157*5))^1/1)+2*(((0.15*B157*5))^2/2)+3*(((0.15*B157*5))^3/6)+4*(((0.15*B157*5))^4/24)+5*(((0.15*B157*5))^5/120))/((((0.15*B157*5))^0/1)+(((0.15*B157*5))^1/1)+(((0.15*B157*5))^2/2)+(((0.15*B157*5))^3/6)+(((0.15*B157*5))^4/24)+(((0.15*B157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138*(1-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138*(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138*(1-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138*(MIN(100,(Inputs!$B$9+((C146=TRUE)*(F146-Calc!F25))+B161+(ArtifactsInput!$M$24-ArtifactsInput!$M$24)*CHOOSE(ArtifactsInput!$N$24+1,10,12,14,16,18,20)+(IF(AND(ArtifactsInput!$M$42,((Inputs!$B$9+((C146=TRUE)*(F146-Calc!F25))+B161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8">
        <f>IF(C138,(Inputs!$B$38*0.2*N138)*IF(Inputs!$B$39="pvp",1,(1+(Inputs!$B$21+Skills!Q17+B162+(IF(ArtifactsInput!$M$33,CHOOSE(ArtifactsInput!$N$33+1,30,36,42,48,54,60),0))+(IF(AND(ArtifactsInput!$M$35,Inputs!$B$4&lt;&gt;"Chapter Hunt"),CHOOSE(ArtifactsInput!$N$35+1,15,18,21,24,27,30)*(1-EXP(-(0.2*B157)*5)),0)+IF(AND(ArtifactsInput!$M$22,Inputs!$B$4&lt;&gt;"Chapter Hunt"),CHOOSE(ArtifactsInput!$N$22+1,10,12,14,16,18,20)*((0*(((0.15*B157*5))^0/1)+1*(((0.15*B157*5))^1/1)+2*(((0.15*B157*5))^2/2)+3*(((0.15*B157*5))^3/6)+4*(((0.15*B157*5))^4/24)+5*(((0.15*B157*5))^5/120))/((((0.15*B157*5))^0/1)+(((0.15*B157*5))^1/1)+(((0.15*B157*5))^2/2)+(((0.15*B157*5))^3/6)+(((0.15*B157*5))^4/24)+(((0.15*B157*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9">
      <c r="A139">
        <f>Skills!A18</f>
        <v/>
      </c>
      <c r="B139">
        <f>Skills!B18</f>
        <v/>
      </c>
      <c r="C139">
        <f>Inputs!$B$3&gt;=115</f>
        <v/>
      </c>
      <c r="D139">
        <f>IF(Skills!C18=1,60+Inputs!$B$25+Inputs!$B$29,IF(Skills!C18=2,90+Inputs!$B$26+Inputs!$B$29,IF(Skills!C18=3,120+Inputs!$B$27+Inputs!$B$29,MAX(0,(Inputs!$B$3-100)*3)+Inputs!$B$28+Inputs!$B$29)))</f>
        <v/>
      </c>
      <c r="E139">
        <f>INDEX(FactorTable!$B$2:$Y$301, MATCH(ROUND(MIN(300,MAX(1,D139)),0), FactorTable!$A$2:$A$301,0), Skills!M18+1)</f>
        <v/>
      </c>
      <c r="F139">
        <f>IF(Skills!N18=TRUE,(Skills!L18/10)*(E139/1000),Skills!L18/10)+Skills!O18</f>
        <v/>
      </c>
      <c r="G139">
        <f>Calc!G18</f>
        <v/>
      </c>
      <c r="H139">
        <f>Calc!H18</f>
        <v/>
      </c>
      <c r="I139">
        <f>IF(Skills!AA18&lt;&gt;"",1+(Skills!AA18/10)*(U124/1000)/100,1)</f>
        <v/>
      </c>
      <c r="J139" t="inlineStr"/>
      <c r="K139" t="inlineStr"/>
      <c r="L139" t="inlineStr"/>
      <c r="M139" t="inlineStr"/>
      <c r="N139" t="inlineStr"/>
      <c r="O139">
        <f>(1-Summary!$B$11)*T139+Summary!$B$11*V139</f>
        <v/>
      </c>
      <c r="P139">
        <f>IF(B165=0,0,O139/B165)</f>
        <v/>
      </c>
      <c r="Q139" t="n">
        <v>0</v>
      </c>
      <c r="R139" t="n">
        <v>0</v>
      </c>
      <c r="S139">
        <f>IFERROR(O139/N139,0)</f>
        <v/>
      </c>
      <c r="T139" t="n">
        <v>0</v>
      </c>
      <c r="V139" t="n">
        <v>0</v>
      </c>
    </row>
    <row r="140">
      <c r="A140">
        <f>Skills!A19</f>
        <v/>
      </c>
      <c r="B140">
        <f>Skills!B19</f>
        <v/>
      </c>
      <c r="C140">
        <f>TRUE</f>
        <v/>
      </c>
      <c r="D140">
        <f>IF(Skills!C19=1,60+Inputs!$B$25+Inputs!$B$29,IF(Skills!C19=2,90+Inputs!$B$26+Inputs!$B$29,IF(Skills!C19=3,120+Inputs!$B$27+Inputs!$B$29,MAX(0,(Inputs!$B$3-100)*3)+Inputs!$B$28+Inputs!$B$29)))</f>
        <v/>
      </c>
      <c r="E140">
        <f>INDEX(FactorTable!$B$2:$Y$301, MATCH(ROUND(MIN(300,MAX(1,D140)),0), FactorTable!$A$2:$A$301,0), Skills!M19+1)</f>
        <v/>
      </c>
      <c r="F140">
        <f>IF(Skills!N19=TRUE,(Skills!L19/10)*(E140/1000),Skills!L19/10)+Skills!O19</f>
        <v/>
      </c>
      <c r="G140">
        <f>Calc!G19</f>
        <v/>
      </c>
      <c r="H140">
        <f>Calc!H19</f>
        <v/>
      </c>
      <c r="I140">
        <f>IF(Skills!AA19&lt;&gt;"",1+(Skills!AA19/10)*(U124/1000)/100,1)</f>
        <v/>
      </c>
      <c r="J140" t="inlineStr"/>
      <c r="K140" t="inlineStr"/>
      <c r="L140" t="inlineStr"/>
      <c r="M140" t="inlineStr"/>
      <c r="N140" t="inlineStr"/>
      <c r="O140">
        <f>(1-Summary!$B$11)*T140+Summary!$B$11*V140</f>
        <v/>
      </c>
      <c r="P140">
        <f>IF(B165=0,0,O140/B165)</f>
        <v/>
      </c>
      <c r="Q140">
        <f>IFERROR(1/IF(Inputs!$B$39="pvp",15,MAX(0.1,Skills!D19-IF(Skills!E19=TRUE,Inputs!$B$32,0))),0)</f>
        <v/>
      </c>
      <c r="R140">
        <f>IF(AND(Inputs!$B$39&lt;&gt;"pvp",Inputs!$B$44&gt;0),IF(Inputs!$B$44&lt;=0,0,(INT(Inputs!$B$44/IF(Inputs!$B$39="pvp",15,MAX(0.1,Skills!D19-IF(Skills!E19=TRUE,Inputs!$B$32,0))))+1)),0)</f>
        <v/>
      </c>
      <c r="S140">
        <f>IFERROR(O140/N140,0)</f>
        <v/>
      </c>
      <c r="T140" t="n">
        <v>0</v>
      </c>
      <c r="V140" t="n">
        <v>0</v>
      </c>
    </row>
    <row r="141">
      <c r="A141">
        <f>Skills!A20</f>
        <v/>
      </c>
      <c r="B141">
        <f>Skills!B20</f>
        <v/>
      </c>
      <c r="C141">
        <f>Inputs!$B$3&gt;=15</f>
        <v/>
      </c>
      <c r="D141">
        <f>IF(Skills!C20=1,60+Inputs!$B$25+Inputs!$B$29,IF(Skills!C20=2,90+Inputs!$B$26+Inputs!$B$29,IF(Skills!C20=3,120+Inputs!$B$27+Inputs!$B$29,MAX(0,(Inputs!$B$3-100)*3)+Inputs!$B$28+Inputs!$B$29)))</f>
        <v/>
      </c>
      <c r="E141">
        <f>INDEX(FactorTable!$B$2:$Y$301, MATCH(ROUND(MIN(300,MAX(1,D141)),0), FactorTable!$A$2:$A$301,0), Skills!M20+1)</f>
        <v/>
      </c>
      <c r="F141">
        <f>IF(Skills!N20=TRUE,(Skills!L20/10)*(E141/1000),Skills!L20/10)+Skills!O20</f>
        <v/>
      </c>
      <c r="G141">
        <f>Calc!G20</f>
        <v/>
      </c>
      <c r="H141">
        <f>Calc!H20</f>
        <v/>
      </c>
      <c r="I141">
        <f>IF(Skills!AA20&lt;&gt;"",1+(Skills!AA20/10)*(U124/1000)/100,1)</f>
        <v/>
      </c>
      <c r="J141" t="inlineStr"/>
      <c r="K141" t="inlineStr"/>
      <c r="L141" t="inlineStr"/>
      <c r="M141" t="inlineStr"/>
      <c r="N141" t="inlineStr"/>
      <c r="O141">
        <f>(1-Summary!$B$11)*T141+Summary!$B$11*V141</f>
        <v/>
      </c>
      <c r="P141">
        <f>IF(B165=0,0,O141/B165)</f>
        <v/>
      </c>
      <c r="Q141">
        <f>IFERROR(1/IF(Inputs!$B$39="pvp",15,MAX(0.1,Skills!D20-IF(Skills!E20=TRUE,Inputs!$B$32,0))),0)</f>
        <v/>
      </c>
      <c r="R141">
        <f>IF(AND(Inputs!$B$39&lt;&gt;"pvp",Inputs!$B$44&gt;0),IF(Inputs!$B$44&lt;=0,0,(INT(Inputs!$B$44/IF(Inputs!$B$39="pvp",15,MAX(0.1,Skills!D20-IF(Skills!E20=TRUE,Inputs!$B$32,0))))+1)),0)</f>
        <v/>
      </c>
      <c r="S141">
        <f>IFERROR(O141/N141,0)</f>
        <v/>
      </c>
      <c r="T141" t="n">
        <v>0</v>
      </c>
      <c r="V141" t="n">
        <v>0</v>
      </c>
    </row>
    <row r="142">
      <c r="A142">
        <f>Skills!A21</f>
        <v/>
      </c>
      <c r="B142">
        <f>Skills!B21</f>
        <v/>
      </c>
      <c r="C142">
        <f>Inputs!$B$3&gt;=15</f>
        <v/>
      </c>
      <c r="D142">
        <f>IF(Skills!C21=1,60+Inputs!$B$25+Inputs!$B$29,IF(Skills!C21=2,90+Inputs!$B$26+Inputs!$B$29,IF(Skills!C21=3,120+Inputs!$B$27+Inputs!$B$29,MAX(0,(Inputs!$B$3-100)*3)+Inputs!$B$28+Inputs!$B$29)))</f>
        <v/>
      </c>
      <c r="E142">
        <f>INDEX(FactorTable!$B$2:$Y$301, MATCH(ROUND(MIN(300,MAX(1,D142)),0), FactorTable!$A$2:$A$301,0), Skills!M21+1)</f>
        <v/>
      </c>
      <c r="F142">
        <f>IF(Skills!N21=TRUE,(Skills!L21/10)*(E142/1000),Skills!L21/10)+Skills!O21</f>
        <v/>
      </c>
      <c r="G142">
        <f>Calc!G21</f>
        <v/>
      </c>
      <c r="H142">
        <f>Calc!H21</f>
        <v/>
      </c>
      <c r="I142">
        <f>IF(Skills!AA21&lt;&gt;"",1+(Skills!AA21/10)*(U124/1000)/100,1)</f>
        <v/>
      </c>
      <c r="J142" t="inlineStr"/>
      <c r="K142" t="inlineStr"/>
      <c r="L142" t="inlineStr"/>
      <c r="M142" t="inlineStr"/>
      <c r="N142" t="inlineStr"/>
      <c r="O142">
        <f>(1-Summary!$B$11)*T142+Summary!$B$11*V142</f>
        <v/>
      </c>
      <c r="P142">
        <f>IF(B165=0,0,O142/B165)</f>
        <v/>
      </c>
      <c r="Q142">
        <f>IFERROR(1/IF(Inputs!$B$39="pvp",15,MAX(0.1,Skills!D21-IF(Skills!E21=TRUE,Inputs!$B$32,0))),0)</f>
        <v/>
      </c>
      <c r="R142">
        <f>IF(AND(Inputs!$B$39&lt;&gt;"pvp",Inputs!$B$44&gt;0),IF(Inputs!$B$44&lt;=0,0,(INT(Inputs!$B$44/IF(Inputs!$B$39="pvp",15,MAX(0.1,Skills!D21-IF(Skills!E21=TRUE,Inputs!$B$32,0))))+1)),0)</f>
        <v/>
      </c>
      <c r="S142">
        <f>IFERROR(O142/N142,0)</f>
        <v/>
      </c>
      <c r="T142" t="n">
        <v>0</v>
      </c>
      <c r="V142" t="n">
        <v>0</v>
      </c>
    </row>
    <row r="143">
      <c r="A143">
        <f>Skills!A22</f>
        <v/>
      </c>
      <c r="B143">
        <f>Skills!B22</f>
        <v/>
      </c>
      <c r="C143">
        <f>Inputs!$B$3&gt;=33</f>
        <v/>
      </c>
      <c r="D143">
        <f>IF(Skills!C22=1,60+Inputs!$B$25+Inputs!$B$29,IF(Skills!C22=2,90+Inputs!$B$26+Inputs!$B$29,IF(Skills!C22=3,120+Inputs!$B$27+Inputs!$B$29,MAX(0,(Inputs!$B$3-100)*3)+Inputs!$B$28+Inputs!$B$29)))</f>
        <v/>
      </c>
      <c r="E143">
        <f>INDEX(FactorTable!$B$2:$Y$301, MATCH(ROUND(MIN(300,MAX(1,D143)),0), FactorTable!$A$2:$A$301,0), Skills!M22+1)</f>
        <v/>
      </c>
      <c r="F143">
        <f>IF(Skills!N22=TRUE,(Skills!L22/10)*(E143/1000),Skills!L22/10)+Skills!O22</f>
        <v/>
      </c>
      <c r="G143">
        <f>Calc!G22</f>
        <v/>
      </c>
      <c r="H143">
        <f>Calc!H22</f>
        <v/>
      </c>
      <c r="I143">
        <f>IF(Skills!AA22&lt;&gt;"",1+(Skills!AA22/10)*(U124/1000)/100,1)</f>
        <v/>
      </c>
      <c r="J143" t="inlineStr"/>
      <c r="K143" t="inlineStr"/>
      <c r="L143" t="inlineStr"/>
      <c r="M143" t="inlineStr"/>
      <c r="N143" t="inlineStr"/>
      <c r="O143">
        <f>(1-Summary!$B$11)*T143+Summary!$B$11*V143</f>
        <v/>
      </c>
      <c r="P143">
        <f>IF(B165=0,0,O143/B165)</f>
        <v/>
      </c>
      <c r="Q143" t="n">
        <v>0</v>
      </c>
      <c r="R143" t="n">
        <v>0</v>
      </c>
      <c r="S143">
        <f>IFERROR(O143/N143,0)</f>
        <v/>
      </c>
      <c r="T143" t="n">
        <v>0</v>
      </c>
      <c r="V143" t="n">
        <v>0</v>
      </c>
    </row>
    <row r="144">
      <c r="A144">
        <f>Skills!A23</f>
        <v/>
      </c>
      <c r="B144">
        <f>Skills!B23</f>
        <v/>
      </c>
      <c r="C144">
        <f>Inputs!$B$3&gt;=38</f>
        <v/>
      </c>
      <c r="D144">
        <f>IF(Skills!C23=1,60+Inputs!$B$25+Inputs!$B$29,IF(Skills!C23=2,90+Inputs!$B$26+Inputs!$B$29,IF(Skills!C23=3,120+Inputs!$B$27+Inputs!$B$29,MAX(0,(Inputs!$B$3-100)*3)+Inputs!$B$28+Inputs!$B$29)))</f>
        <v/>
      </c>
      <c r="E144">
        <f>INDEX(FactorTable!$B$2:$Y$301, MATCH(ROUND(MIN(300,MAX(1,D144)),0), FactorTable!$A$2:$A$301,0), Skills!M23+1)</f>
        <v/>
      </c>
      <c r="F144">
        <f>IF(Skills!N23=TRUE,(Skills!L23/10)*(E144/1000),Skills!L23/10)+Skills!O23</f>
        <v/>
      </c>
      <c r="G144">
        <f>Calc!G23</f>
        <v/>
      </c>
      <c r="H144">
        <f>Calc!H23</f>
        <v/>
      </c>
      <c r="I144">
        <f>IF(Skills!AA23&lt;&gt;"",1+(Skills!AA23/10)*(U124/1000)/100,1)</f>
        <v/>
      </c>
      <c r="J144" t="inlineStr"/>
      <c r="K144" t="inlineStr"/>
      <c r="L144" t="inlineStr"/>
      <c r="M144" t="inlineStr"/>
      <c r="N144" t="inlineStr"/>
      <c r="O144">
        <f>(1-Summary!$B$11)*T144+Summary!$B$11*V144</f>
        <v/>
      </c>
      <c r="P144">
        <f>IF(B165=0,0,O144/B165)</f>
        <v/>
      </c>
      <c r="Q144" t="n">
        <v>0</v>
      </c>
      <c r="R144" t="n">
        <v>0</v>
      </c>
      <c r="S144">
        <f>IFERROR(O144/N144,0)</f>
        <v/>
      </c>
      <c r="T144" t="n">
        <v>0</v>
      </c>
      <c r="V144" t="n">
        <v>0</v>
      </c>
    </row>
    <row r="145">
      <c r="A145">
        <f>Skills!A24</f>
        <v/>
      </c>
      <c r="B145">
        <f>Skills!B24</f>
        <v/>
      </c>
      <c r="C145">
        <f>Inputs!$B$3&gt;=40</f>
        <v/>
      </c>
      <c r="D145">
        <f>IF(Skills!C24=1,60+Inputs!$B$25+Inputs!$B$29,IF(Skills!C24=2,90+Inputs!$B$26+Inputs!$B$29,IF(Skills!C24=3,120+Inputs!$B$27+Inputs!$B$29,MAX(0,(Inputs!$B$3-100)*3)+Inputs!$B$28+Inputs!$B$29)))</f>
        <v/>
      </c>
      <c r="E145">
        <f>INDEX(FactorTable!$B$2:$Y$301, MATCH(ROUND(MIN(300,MAX(1,D145)),0), FactorTable!$A$2:$A$301,0), Skills!M24+1)</f>
        <v/>
      </c>
      <c r="F145">
        <f>IF(Skills!N24=TRUE,(Skills!L24/10)*(E145/1000),Skills!L24/10)+Skills!O24</f>
        <v/>
      </c>
      <c r="G145">
        <f>Calc!G24</f>
        <v/>
      </c>
      <c r="H145">
        <f>Calc!H24</f>
        <v/>
      </c>
      <c r="I145">
        <f>IF(Skills!AA24&lt;&gt;"",1+(Skills!AA24/10)*(U124/1000)/100,1)</f>
        <v/>
      </c>
      <c r="J145" t="inlineStr"/>
      <c r="K145" t="inlineStr"/>
      <c r="L145" t="inlineStr"/>
      <c r="M145" t="inlineStr"/>
      <c r="N145" t="inlineStr"/>
      <c r="O145">
        <f>(1-Summary!$B$11)*T145+Summary!$B$11*V145</f>
        <v/>
      </c>
      <c r="P145">
        <f>IF(B165=0,0,O145/B165)</f>
        <v/>
      </c>
      <c r="Q145" t="n">
        <v>0</v>
      </c>
      <c r="R145" t="n">
        <v>0</v>
      </c>
      <c r="S145">
        <f>IFERROR(O145/N145,0)</f>
        <v/>
      </c>
      <c r="T145" t="n">
        <v>0</v>
      </c>
      <c r="V145" t="n">
        <v>0</v>
      </c>
    </row>
    <row r="146">
      <c r="A146">
        <f>Skills!A25</f>
        <v/>
      </c>
      <c r="B146">
        <f>Skills!B25</f>
        <v/>
      </c>
      <c r="C146">
        <f>Inputs!$B$3&gt;=45</f>
        <v/>
      </c>
      <c r="D146">
        <f>IF(Skills!C25=1,60+Inputs!$B$25+Inputs!$B$29,IF(Skills!C25=2,90+Inputs!$B$26+Inputs!$B$29,IF(Skills!C25=3,120+Inputs!$B$27+Inputs!$B$29,MAX(0,(Inputs!$B$3-100)*3)+Inputs!$B$28+Inputs!$B$29)))</f>
        <v/>
      </c>
      <c r="E146">
        <f>INDEX(FactorTable!$B$2:$Y$301, MATCH(ROUND(MIN(300,MAX(1,D146)),0), FactorTable!$A$2:$A$301,0), Skills!M25+1)</f>
        <v/>
      </c>
      <c r="F146">
        <f>IF(Skills!N25=TRUE,(Skills!L25/10)*(E146/1000),Skills!L25/10)+Skills!O25</f>
        <v/>
      </c>
      <c r="G146">
        <f>Calc!G25</f>
        <v/>
      </c>
      <c r="H146">
        <f>Calc!H25</f>
        <v/>
      </c>
      <c r="I146">
        <f>IF(Skills!AA25&lt;&gt;"",1+(Skills!AA25/10)*(U124/1000)/100,1)</f>
        <v/>
      </c>
      <c r="J146" t="inlineStr"/>
      <c r="K146" t="inlineStr"/>
      <c r="L146" t="inlineStr"/>
      <c r="M146" t="inlineStr"/>
      <c r="N146" t="inlineStr"/>
      <c r="O146">
        <f>(1-Summary!$B$11)*T146+Summary!$B$11*V146</f>
        <v/>
      </c>
      <c r="P146">
        <f>IF(B165=0,0,O146/B165)</f>
        <v/>
      </c>
      <c r="Q146" t="n">
        <v>0</v>
      </c>
      <c r="R146" t="n">
        <v>0</v>
      </c>
      <c r="S146">
        <f>IFERROR(O146/N146,0)</f>
        <v/>
      </c>
      <c r="T146" t="n">
        <v>0</v>
      </c>
      <c r="V146" t="n">
        <v>0</v>
      </c>
    </row>
    <row r="147">
      <c r="A147">
        <f>Skills!A26</f>
        <v/>
      </c>
      <c r="B147">
        <f>Skills!B26</f>
        <v/>
      </c>
      <c r="C147">
        <f>Inputs!$B$3&gt;=45</f>
        <v/>
      </c>
      <c r="D147">
        <f>IF(Skills!C26=1,60+Inputs!$B$25+Inputs!$B$29,IF(Skills!C26=2,90+Inputs!$B$26+Inputs!$B$29,IF(Skills!C26=3,120+Inputs!$B$27+Inputs!$B$29,MAX(0,(Inputs!$B$3-100)*3)+Inputs!$B$28+Inputs!$B$29)))</f>
        <v/>
      </c>
      <c r="E147">
        <f>INDEX(FactorTable!$B$2:$Y$301, MATCH(ROUND(MIN(300,MAX(1,D147)),0), FactorTable!$A$2:$A$301,0), Skills!M26+1)</f>
        <v/>
      </c>
      <c r="F147">
        <f>IF(Skills!N26=TRUE,(Skills!L26/10)*(E147/1000),Skills!L26/10)+Skills!O26</f>
        <v/>
      </c>
      <c r="G147">
        <f>Calc!G26</f>
        <v/>
      </c>
      <c r="H147">
        <f>Calc!H26</f>
        <v/>
      </c>
      <c r="I147">
        <f>IF(Skills!AA26&lt;&gt;"",1+(Skills!AA26/10)*(U124/1000)/100,1)</f>
        <v/>
      </c>
      <c r="J147" t="inlineStr"/>
      <c r="K147" t="inlineStr"/>
      <c r="L147" t="inlineStr"/>
      <c r="M147" t="inlineStr"/>
      <c r="N147" t="inlineStr"/>
      <c r="O147">
        <f>(1-Summary!$B$11)*T147+Summary!$B$11*V147</f>
        <v/>
      </c>
      <c r="P147">
        <f>IF(B165=0,0,O147/B165)</f>
        <v/>
      </c>
      <c r="Q147" t="n">
        <v>0</v>
      </c>
      <c r="R147" t="n">
        <v>0</v>
      </c>
      <c r="S147">
        <f>IFERROR(O147/N147,0)</f>
        <v/>
      </c>
      <c r="T147" t="n">
        <v>0</v>
      </c>
      <c r="V147" t="n">
        <v>0</v>
      </c>
    </row>
    <row r="148">
      <c r="A148">
        <f>Skills!A27</f>
        <v/>
      </c>
      <c r="B148">
        <f>Skills!B27</f>
        <v/>
      </c>
      <c r="C148">
        <f>Inputs!$B$3&gt;=72</f>
        <v/>
      </c>
      <c r="D148">
        <f>IF(Skills!C27=1,60+Inputs!$B$25+Inputs!$B$29,IF(Skills!C27=2,90+Inputs!$B$26+Inputs!$B$29,IF(Skills!C27=3,120+Inputs!$B$27+Inputs!$B$29,MAX(0,(Inputs!$B$3-100)*3)+Inputs!$B$28+Inputs!$B$29)))</f>
        <v/>
      </c>
      <c r="E148">
        <f>INDEX(FactorTable!$B$2:$Y$301, MATCH(ROUND(MIN(300,MAX(1,D148)),0), FactorTable!$A$2:$A$301,0), Skills!M27+1)</f>
        <v/>
      </c>
      <c r="F148">
        <f>IF(Skills!N27=TRUE,(Skills!L27/10)*(E148/1000),Skills!L27/10)+Skills!O27</f>
        <v/>
      </c>
      <c r="G148">
        <f>Calc!G27</f>
        <v/>
      </c>
      <c r="H148">
        <f>Calc!H27</f>
        <v/>
      </c>
      <c r="I148">
        <f>IF(Skills!AA27&lt;&gt;"",1+(Skills!AA27/10)*(U124/1000)/100,1)</f>
        <v/>
      </c>
      <c r="J148" t="inlineStr"/>
      <c r="K148" t="inlineStr"/>
      <c r="L148" t="inlineStr"/>
      <c r="M148" t="inlineStr"/>
      <c r="N148" t="inlineStr"/>
      <c r="O148">
        <f>(1-Summary!$B$11)*T148+Summary!$B$11*V148</f>
        <v/>
      </c>
      <c r="P148">
        <f>IF(B165=0,0,O148/B165)</f>
        <v/>
      </c>
      <c r="Q148" t="n">
        <v>0</v>
      </c>
      <c r="R148" t="n">
        <v>0</v>
      </c>
      <c r="S148">
        <f>IFERROR(O148/N148,0)</f>
        <v/>
      </c>
      <c r="T148" t="n">
        <v>0</v>
      </c>
      <c r="V148" t="n">
        <v>0</v>
      </c>
    </row>
    <row r="149">
      <c r="A149">
        <f>Skills!A28</f>
        <v/>
      </c>
      <c r="B149">
        <f>Skills!B28</f>
        <v/>
      </c>
      <c r="C149">
        <f>Inputs!$B$3&gt;=75</f>
        <v/>
      </c>
      <c r="D149">
        <f>IF(Skills!C28=1,60+Inputs!$B$25+Inputs!$B$29,IF(Skills!C28=2,90+Inputs!$B$26+Inputs!$B$29,IF(Skills!C28=3,120+Inputs!$B$27+Inputs!$B$29,MAX(0,(Inputs!$B$3-100)*3)+Inputs!$B$28+Inputs!$B$29)))</f>
        <v/>
      </c>
      <c r="E149">
        <f>INDEX(FactorTable!$B$2:$Y$301, MATCH(ROUND(MIN(300,MAX(1,D149)),0), FactorTable!$A$2:$A$301,0), Skills!M28+1)</f>
        <v/>
      </c>
      <c r="F149">
        <f>IF(Skills!N28=TRUE,(Skills!L28/10)*(E149/1000),Skills!L28/10)+Skills!O28</f>
        <v/>
      </c>
      <c r="G149">
        <f>Calc!G28</f>
        <v/>
      </c>
      <c r="H149">
        <f>Calc!H28</f>
        <v/>
      </c>
      <c r="I149">
        <f>IF(Skills!AA28&lt;&gt;"",1+(Skills!AA28/10)*(U124/1000)/100,1)</f>
        <v/>
      </c>
      <c r="J149" t="inlineStr"/>
      <c r="K149" t="inlineStr"/>
      <c r="L149" t="inlineStr"/>
      <c r="M149" t="inlineStr"/>
      <c r="N149" t="inlineStr"/>
      <c r="O149">
        <f>(1-Summary!$B$11)*T149+Summary!$B$11*V149</f>
        <v/>
      </c>
      <c r="P149">
        <f>IF(B165=0,0,O149/B165)</f>
        <v/>
      </c>
      <c r="Q149" t="n">
        <v>0</v>
      </c>
      <c r="R149" t="n">
        <v>0</v>
      </c>
      <c r="S149">
        <f>IFERROR(O149/N149,0)</f>
        <v/>
      </c>
      <c r="T149" t="n">
        <v>0</v>
      </c>
      <c r="V149" t="n">
        <v>0</v>
      </c>
    </row>
    <row r="150">
      <c r="A150">
        <f>Skills!A29</f>
        <v/>
      </c>
      <c r="B150">
        <f>Skills!B29</f>
        <v/>
      </c>
      <c r="C150">
        <f>Inputs!$B$3&gt;=120</f>
        <v/>
      </c>
      <c r="D150">
        <f>IF(Skills!C29=1,60+Inputs!$B$25+Inputs!$B$29,IF(Skills!C29=2,90+Inputs!$B$26+Inputs!$B$29,IF(Skills!C29=3,120+Inputs!$B$27+Inputs!$B$29,MAX(0,(Inputs!$B$3-100)*3)+Inputs!$B$28+Inputs!$B$29)))</f>
        <v/>
      </c>
      <c r="E150">
        <f>INDEX(FactorTable!$B$2:$Y$301, MATCH(ROUND(MIN(300,MAX(1,D150)),0), FactorTable!$A$2:$A$301,0), Skills!M29+1)</f>
        <v/>
      </c>
      <c r="F150">
        <f>IF(Skills!N29=TRUE,(Skills!L29/10)*(E150/1000),Skills!L29/10)+Skills!O29</f>
        <v/>
      </c>
      <c r="G150">
        <f>Calc!G29</f>
        <v/>
      </c>
      <c r="H150">
        <f>Calc!H29</f>
        <v/>
      </c>
      <c r="I150">
        <f>IF(Skills!AA29&lt;&gt;"",1+(Skills!AA29/10)*(U124/1000)/100,1)</f>
        <v/>
      </c>
      <c r="J150" t="inlineStr"/>
      <c r="K150" t="inlineStr"/>
      <c r="L150" t="inlineStr"/>
      <c r="M150" t="inlineStr"/>
      <c r="N150" t="inlineStr"/>
      <c r="O150">
        <f>(1-Summary!$B$11)*T150+Summary!$B$11*V150</f>
        <v/>
      </c>
      <c r="P150">
        <f>IF(B165=0,0,O150/B165)</f>
        <v/>
      </c>
      <c r="Q150" t="n">
        <v>0</v>
      </c>
      <c r="R150" t="n">
        <v>0</v>
      </c>
      <c r="S150">
        <f>IFERROR(O150/N150,0)</f>
        <v/>
      </c>
      <c r="T150" t="n">
        <v>0</v>
      </c>
      <c r="V150" t="n">
        <v>0</v>
      </c>
    </row>
    <row r="151">
      <c r="A151">
        <f>Skills!A30</f>
        <v/>
      </c>
      <c r="B151">
        <f>Skills!B30</f>
        <v/>
      </c>
      <c r="C151">
        <f>Inputs!$B$3&gt;=125</f>
        <v/>
      </c>
      <c r="D151">
        <f>IF(Skills!C30=1,60+Inputs!$B$25+Inputs!$B$29,IF(Skills!C30=2,90+Inputs!$B$26+Inputs!$B$29,IF(Skills!C30=3,120+Inputs!$B$27+Inputs!$B$29,MAX(0,(Inputs!$B$3-100)*3)+Inputs!$B$28+Inputs!$B$29)))</f>
        <v/>
      </c>
      <c r="E151">
        <f>INDEX(FactorTable!$B$2:$Y$301, MATCH(ROUND(MIN(300,MAX(1,D151)),0), FactorTable!$A$2:$A$301,0), Skills!M30+1)</f>
        <v/>
      </c>
      <c r="F151">
        <f>IF(Skills!N30=TRUE,(Skills!L30/10)*(E151/1000),Skills!L30/10)+Skills!O30</f>
        <v/>
      </c>
      <c r="G151">
        <f>Calc!G30</f>
        <v/>
      </c>
      <c r="H151">
        <f>Calc!H30</f>
        <v/>
      </c>
      <c r="I151">
        <f>IF(Skills!AA30&lt;&gt;"",1+(Skills!AA30/10)*(U124/1000)/100,1)</f>
        <v/>
      </c>
      <c r="J151" t="inlineStr"/>
      <c r="K151" t="inlineStr"/>
      <c r="L151" t="inlineStr"/>
      <c r="M151" t="inlineStr"/>
      <c r="N151" t="inlineStr"/>
      <c r="O151">
        <f>(1-Summary!$B$11)*T151+Summary!$B$11*V151</f>
        <v/>
      </c>
      <c r="P151">
        <f>IF(B165=0,0,O151/B165)</f>
        <v/>
      </c>
      <c r="Q151" t="n">
        <v>0</v>
      </c>
      <c r="R151" t="n">
        <v>0</v>
      </c>
      <c r="S151">
        <f>IFERROR(O151/N151,0)</f>
        <v/>
      </c>
      <c r="T151" t="n">
        <v>0</v>
      </c>
      <c r="V151" t="n">
        <v>0</v>
      </c>
    </row>
    <row r="152">
      <c r="A152">
        <f>Skills!A31</f>
        <v/>
      </c>
      <c r="B152">
        <f>Skills!B31</f>
        <v/>
      </c>
      <c r="C152">
        <f>Inputs!$B$3&gt;=107</f>
        <v/>
      </c>
      <c r="D152">
        <f>IF(Skills!C31=1,60+Inputs!$B$25+Inputs!$B$29,IF(Skills!C31=2,90+Inputs!$B$26+Inputs!$B$29,IF(Skills!C31=3,120+Inputs!$B$27+Inputs!$B$29,MAX(0,(Inputs!$B$3-100)*3)+Inputs!$B$28+Inputs!$B$29)))</f>
        <v/>
      </c>
      <c r="E152">
        <f>INDEX(FactorTable!$B$2:$Y$301, MATCH(ROUND(MIN(300,MAX(1,D152)),0), FactorTable!$A$2:$A$301,0), Skills!M31+1)</f>
        <v/>
      </c>
      <c r="F152">
        <f>IF(Skills!N31=TRUE,(Skills!L31/10)*(E152/1000),Skills!L31/10)+Skills!O31</f>
        <v/>
      </c>
      <c r="G152">
        <f>Calc!G31</f>
        <v/>
      </c>
      <c r="H152">
        <f>Calc!H31</f>
        <v/>
      </c>
      <c r="I152">
        <f>IF(Skills!AA31&lt;&gt;"",1+(Skills!AA31/10)*(U124/1000)/100,1)</f>
        <v/>
      </c>
      <c r="J152" t="inlineStr"/>
      <c r="K152" t="inlineStr"/>
      <c r="L152" t="inlineStr"/>
      <c r="M152" t="inlineStr"/>
      <c r="N152" t="inlineStr"/>
      <c r="O152">
        <f>(1-Summary!$B$11)*T152+Summary!$B$11*V152</f>
        <v/>
      </c>
      <c r="P152">
        <f>IF(B165=0,0,O152/B165)</f>
        <v/>
      </c>
      <c r="Q152" t="n">
        <v>0</v>
      </c>
      <c r="R152" t="n">
        <v>0</v>
      </c>
      <c r="S152">
        <f>IFERROR(O152/N152,0)</f>
        <v/>
      </c>
      <c r="T152" t="n">
        <v>0</v>
      </c>
      <c r="V152" t="n">
        <v>0</v>
      </c>
    </row>
    <row r="154">
      <c r="A154" t="inlineStr">
        <is>
          <t>Actions Per Second (pre-Adrenalin)</t>
        </is>
      </c>
      <c r="B154">
        <f>1+MIN(150,150*(1-(1-(Inputs!$B$11+((C143=TRUE)*(F143-Calc!F22))+(ArtifactsInput!$M$15-ArtifactsInput!$M$15)*CHOOSE(ArtifactsInput!$N$15+1,8,9.6,11.2,12.8,14.4,16))/150)*(1-((C140=TRUE)*F140*IF(AND(Inputs!$B$39&lt;&gt;"pvp",Inputs!$B$44&gt;0),(((R140-1)*(Skills!Y19*(1+Inputs!$B$34/100))+MIN((Skills!Y19*(1+Inputs!$B$34/100)),MAX(0,Inputs!$B$44-((R140-1)*Skills!D19))))/Inputs!$B$44),IF(Inputs!$B$39="pvp",MIN((Skills!Y19*(1+Inputs!$B$34/100)),15)/15,(Skills!Y19*(1+Inputs!$B$34/100))/Skills!D19)))/150)))/100</f>
        <v/>
      </c>
    </row>
    <row r="155">
      <c r="A155" t="inlineStr">
        <is>
          <t>Alchemic Adrenaline Uptime</t>
        </is>
      </c>
      <c r="B155">
        <f>(Skills!Y6*(1+Inputs!$B$34/100))/((Skills!Y6*(1+Inputs!$B$34/100))+(5/B154))</f>
        <v/>
      </c>
    </row>
    <row r="156">
      <c r="A156" t="inlineStr">
        <is>
          <t>Attack Speed Buff Bonus %</t>
        </is>
      </c>
      <c r="B156">
        <f>((C140=TRUE)*F140*IF(AND(Inputs!$B$39&lt;&gt;"pvp",Inputs!$B$44&gt;0),(((R140-1)*(Skills!Y19*(1+Inputs!$B$34/100))+MIN((Skills!Y19*(1+Inputs!$B$34/100)),MAX(0,Inputs!$B$44-((R140-1)*Skills!D19))))/Inputs!$B$44),IF(Inputs!$B$39="pvp",MIN((Skills!Y19*(1+Inputs!$B$34/100)),15)/15,(Skills!Y19*(1+Inputs!$B$34/100))/Skills!D19)))+((C128=TRUE)*F128*B155)</f>
        <v/>
      </c>
    </row>
    <row r="157">
      <c r="A157" t="inlineStr">
        <is>
          <t>Actions Per Second (final)</t>
        </is>
      </c>
      <c r="B157">
        <f>1+MIN(150,150*(1-(1-(Inputs!$B$11+((C143=TRUE)*(F143-Calc!F22))+(ArtifactsInput!$M$15-ArtifactsInput!$M$15)*CHOOSE(ArtifactsInput!$N$15+1,8,9.6,11.2,12.8,14.4,16))/150)*(1-B156/150)))/100</f>
        <v/>
      </c>
    </row>
    <row r="158">
      <c r="A158" t="inlineStr">
        <is>
          <t>Skill + Buff Cast Rate</t>
        </is>
      </c>
      <c r="B158">
        <f>IF(AND(Inputs!$B$39&lt;&gt;"pvp",Inputs!$B$44&gt;0),SUMPRODUCT((Skills!E2:E31=TRUE)*(C123:C152=TRUE)*R123:R152*Skills!F2:F31)/Inputs!$B$44,SUMPRODUCT((Skills!E2:E31=TRUE)*(C123:C152=TRUE)*Q123:Q152*Skills!F2:F31))</f>
        <v/>
      </c>
    </row>
    <row r="159">
      <c r="A159" t="inlineStr">
        <is>
          <t>Showdown Casts Per Second</t>
        </is>
      </c>
      <c r="B159">
        <f>MAX(0,B157-B158)</f>
        <v/>
      </c>
    </row>
    <row r="160">
      <c r="A160" t="inlineStr">
        <is>
          <t>Average Buff Multiplier</t>
        </is>
      </c>
      <c r="B160">
        <f>(1+(((C142=TRUE)*F142*IF(AND(Inputs!$B$39&lt;&gt;"pvp",Inputs!$B$44&gt;0),(((R142-1)*(Skills!Y21*(1+Inputs!$B$34/100))+MIN((Skills!Y21*(1+Inputs!$B$34/100)),MAX(0,Inputs!$B$44-((R142-1)*Skills!D21))))/Inputs!$B$44),IF(Inputs!$B$39="pvp",MIN((Skills!Y21*(1+Inputs!$B$34/100)),15)/15,(Skills!Y21*(1+Inputs!$B$34/100))/Skills!D21)))+((C149=TRUE)*(F149-Calc!F28))+((C139=TRUE)*(F139-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TRUE)*F136*IF(AND(Inputs!$B$39&lt;&gt;"pvp",Inputs!$B$44&gt;0),(((R136-1)*(Skills!Y15*(1+Inputs!$B$34/100))+MIN((Skills!Y15*(1+Inputs!$B$34/100)),MAX(0,Inputs!$B$44-((R136-1)*Skills!D15))))/Inputs!$B$44),IF(Inputs!$B$39="pvp",MIN((Skills!Y15*(1+Inputs!$B$34/100)),15)/15,(Skills!Y15*(1+Inputs!$B$34/100))/Skills!D15)))/100)*(1+((C127=TRUE)*F127*B155)/100)</f>
        <v/>
      </c>
    </row>
    <row r="161">
      <c r="A161" t="inlineStr">
        <is>
          <t>Global Crit Rate Bonus %</t>
        </is>
      </c>
      <c r="B161">
        <f>IF(Inputs!$B$3&gt;=47,8,0)+((C141=TRUE)*F141*IF(AND(Inputs!$B$39&lt;&gt;"pvp",Inputs!$B$44&gt;0),(((R141-1)*(Skills!Y20*(1+Inputs!$B$34/100))+MIN((Skills!Y20*(1+Inputs!$B$34/100)),MAX(0,Inputs!$B$44-((R141-1)*Skills!D20))))/Inputs!$B$44),IF(Inputs!$B$39="pvp",MIN((Skills!Y20*(1+Inputs!$B$34/100)),15)/15,(Skills!Y20*(1+Inputs!$B$34/100))/Skills!D20)))</f>
        <v/>
      </c>
    </row>
    <row r="162">
      <c r="A162" t="inlineStr">
        <is>
          <t>Global Monster Damage-Taken Bonus %</t>
        </is>
      </c>
      <c r="B162">
        <f>IF(Inputs!$B$3&gt;=82,15,0)+((C137=TRUE)*F137*IF(AND(Inputs!$B$39&lt;&gt;"pvp",Inputs!$B$44&gt;0),(((R137-1)*(Skills!Y16*(1+Inputs!$B$34/100))+MIN((Skills!Y16*(1+Inputs!$B$34/100)),MAX(0,Inputs!$B$44-((R137-1)*Skills!D16))))/Inputs!$B$44),IF(Inputs!$B$39="pvp",MIN((Skills!Y16*(1+Inputs!$B$34/100)),15)/15,(Skills!Y16*(1+Inputs!$B$34/100))/Skills!D16)))</f>
        <v/>
      </c>
    </row>
    <row r="163">
      <c r="A163" t="inlineStr">
        <is>
          <t>Shadow Partner Average Multiplier</t>
        </is>
      </c>
      <c r="B163">
        <f>1+((C132=TRUE)*F132*I132*Skills!J11/100)/100</f>
        <v/>
      </c>
    </row>
    <row r="164">
      <c r="A164" t="inlineStr">
        <is>
          <t>Global Critical Damage Bonus % (Frailty Curse Mastery Lv.111)</t>
        </is>
      </c>
      <c r="B164">
        <f>IF(Inputs!$B$3&gt;=111,30,0)*IF(AND(Inputs!$B$39&lt;&gt;"pvp",Inputs!$B$44&gt;0),(((R137-1)*(Skills!Y16*(1+Inputs!$B$34/100))+MIN((Skills!Y16*(1+Inputs!$B$34/100)),MAX(0,Inputs!$B$44-((R137-1)*Skills!D16))))/Inputs!$B$44),IF(Inputs!$B$39="pvp",MIN((Skills!Y16*(1+Inputs!$B$34/100)),15)/15,(Skills!Y16*(1+Inputs!$B$34/100))/Skills!D16))</f>
        <v/>
      </c>
    </row>
    <row r="165">
      <c r="A165" s="6" t="inlineStr">
        <is>
          <t>TOTAL DPS</t>
        </is>
      </c>
      <c r="B165" s="6">
        <f>SUM(O123:O152)</f>
        <v/>
      </c>
    </row>
    <row r="166">
      <c r="A166" t="inlineStr">
        <is>
          <t>Buff-Casting Startup Delay (s, fixed-duration only)</t>
        </is>
      </c>
      <c r="B166">
        <f>IF(AND(Inputs!$B$39&lt;&gt;"pvp",Inputs!$B$44&gt;0),SUMPRODUCT((Skills!Y2:Y31&gt;0)*(Skills!E2:E31=TRUE)*(C123:C152=TRUE))/B157,0)</f>
        <v/>
      </c>
    </row>
    <row r="167">
      <c r="A167" t="inlineStr">
        <is>
          <t>Boss-Only Total DPS (this block's swept value)</t>
        </is>
      </c>
      <c r="B167">
        <f>SUM(T123:T152)</f>
        <v/>
      </c>
    </row>
    <row r="168">
      <c r="A168" t="inlineStr">
        <is>
          <t>Normal-Only Total DPS (this block's swept value)</t>
        </is>
      </c>
      <c r="B168">
        <f>SUM(V123:V152)</f>
        <v/>
      </c>
    </row>
    <row r="170">
      <c r="A170" s="6" t="inlineStr">
        <is>
          <t>Stat: DEX</t>
        </is>
      </c>
    </row>
    <row r="171">
      <c r="A171" s="5" t="inlineStr">
        <is>
          <t>Key</t>
        </is>
      </c>
      <c r="B171" s="5" t="inlineStr">
        <is>
          <t>Name</t>
        </is>
      </c>
      <c r="C171" s="5" t="inlineStr">
        <is>
          <t>Unlocked</t>
        </is>
      </c>
      <c r="D171" s="5" t="inlineStr">
        <is>
          <t>InputLevel</t>
        </is>
      </c>
      <c r="E171" s="5" t="inlineStr">
        <is>
          <t>Factor</t>
        </is>
      </c>
      <c r="F171" s="5" t="inlineStr">
        <is>
          <t>CoefficientPercent</t>
        </is>
      </c>
      <c r="G171" s="5" t="inlineStr">
        <is>
          <t>EffectiveHits</t>
        </is>
      </c>
      <c r="H171" s="5" t="inlineStr">
        <is>
          <t>ProcProbability</t>
        </is>
      </c>
      <c r="I171" s="5" t="inlineStr">
        <is>
          <t>MapleHeroMultiplier</t>
        </is>
      </c>
      <c r="J171" s="5" t="inlineStr">
        <is>
          <t>BaseDamage</t>
        </is>
      </c>
      <c r="K171" s="5" t="inlineStr">
        <is>
          <t>BaseHitDamage</t>
        </is>
      </c>
      <c r="L171" s="5" t="inlineStr">
        <is>
          <t>NonCritAvg</t>
        </is>
      </c>
      <c r="M171" s="5" t="inlineStr">
        <is>
          <t>CritAvg</t>
        </is>
      </c>
      <c r="N171" s="5" t="inlineStr">
        <is>
          <t>ExpectedDamage(perHit)</t>
        </is>
      </c>
      <c r="O171" s="5" t="inlineStr">
        <is>
          <t>DPS</t>
        </is>
      </c>
      <c r="P171" s="5" t="inlineStr">
        <is>
          <t>% of Total</t>
        </is>
      </c>
      <c r="Q171" s="5" t="inlineStr">
        <is>
          <t>InvCooldown</t>
        </is>
      </c>
      <c r="R171" s="5" t="inlineStr">
        <is>
          <t>CastsInFight</t>
        </is>
      </c>
      <c r="S171" s="5" t="inlineStr">
        <is>
          <t>HitRate(perSec)</t>
        </is>
      </c>
      <c r="U171" t="inlineStr">
        <is>
          <t>helpers</t>
        </is>
      </c>
    </row>
    <row r="172">
      <c r="A172">
        <f>Skills!A2</f>
        <v/>
      </c>
      <c r="B172">
        <f>Skills!B2</f>
        <v/>
      </c>
      <c r="C172">
        <f>Inputs!$B$3&gt;=100</f>
        <v/>
      </c>
      <c r="D172" t="inlineStr"/>
      <c r="E172" t="inlineStr"/>
      <c r="F172">
        <f>U176+Skills!O2</f>
        <v/>
      </c>
      <c r="G172">
        <f>Calc!G2</f>
        <v/>
      </c>
      <c r="H172">
        <f>Calc!H2</f>
        <v/>
      </c>
      <c r="I172">
        <f>IF(Skills!AA2&lt;&gt;"",1+(Skills!AA2/10)*(U173/1000)/100,1)</f>
        <v/>
      </c>
      <c r="J172">
        <f>((Inputs!$B$6*(1+Inputs!$B$7/100))+(((Inputs!$B$12*(1+Inputs!$B$13/100))-(Inputs!$B$12*(1+Inputs!$B$13/100)))+0.25*((Inputs!$B$14+1)-Inputs!$B$14))*(1+Inputs!$B$7/100))*(F172/100)</f>
        <v/>
      </c>
      <c r="K172">
        <f>J172*(1+((Inputs!$B$12*(1+Inputs!$B$13/100))*0.01+(Inputs!$B$14+1)*0.0025)/100)*(1+Inputs!$B$15/100)*(1+Inputs!$B$16/100)*(5000/(6000+Inputs!$B$43*(1-(100*(1-(1-(Inputs!$B$19+0)/100)*(1-CHOOSE(ArtifactsInput!$N$40+1,5,6,7,8,9,10)/100)^(ArtifactsInput!$M$40-ArtifactsInput!$M$40)))/100)))*(1+(Inputs!$B$24+((C200=TRUE)*(F200-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193=TRUE)*(F193-Calc!F23))+(((IF(AND(ArtifactsInput!$M$42,((Inputs!$B$9+((C195=TRUE)*(F195-Calc!F25))+B210+(ArtifactsInput!$M$24-ArtifactsInput!$M$24)*CHOOSE(ArtifactsInput!$N$24+1,10,12,14,16,18,20)+IF(ArtifactsInput!$M$10,CHOOSE(ArtifactsInput!$N$10+1,15,18,21,24,27,30)*(IF(Inputs!$B$39="pvp",MIN(15,15)/15,IF(AND(Inputs!$B$39&lt;&gt;"pvp",Inputs!$B$44&gt;0),MIN(15,Inputs!$B$44)/(Inputs!$B$44),0))),0)))&gt;=100),MIN(100,((Inputs!$B$9+((C195=TRUE)*(F195-Calc!F25))+B210+(ArtifactsInput!$M$24-ArtifactsInput!$M$24)*CHOOSE(ArtifactsInput!$N$24+1,10,12,14,16,18,20)+IF(ArtifactsInput!$M$10,CHOOSE(ArtifactsInput!$N$10+1,15,18,21,24,27,30)*(IF(Inputs!$B$39="pvp",MIN(15,15)/15,IF(AND(Inputs!$B$39&lt;&gt;"pvp",Inputs!$B$44&gt;0),MIN(15,Inputs!$B$44)/(Inputs!$B$44),0))),0)))-100),0))*CHOOSE(ArtifactsInput!$N$42+1,0.6,0.72,0.84,0.96,1.08,1.2))),Inputs!$B$18+((C199=TRUE)*(F199-Calc!F29))+(IF(AND(ArtifactsInput!$M$42,((Inputs!$B$9+((C195=TRUE)*(F195-Calc!F25))+B210+(ArtifactsInput!$M$24-ArtifactsInput!$M$24)*CHOOSE(ArtifactsInput!$N$24+1,10,12,14,16,18,20)+IF(ArtifactsInput!$M$10,CHOOSE(ArtifactsInput!$N$10+1,15,18,21,24,27,30)*(IF(Inputs!$B$39="pvp",MIN(15,15)/15,IF(AND(Inputs!$B$39&lt;&gt;"pvp",Inputs!$B$44&gt;0),MIN(15,Inputs!$B$44)/(Inputs!$B$44),0))),0)))&gt;=100),CHOOSE(ArtifactsInput!$N$42+1,40,48,56,64,72,80),0))))/100)*(((1+(((C191=TRUE)*F191*IF(AND(Inputs!$B$39&lt;&gt;"pvp",Inputs!$B$44&gt;0),(((R191-1)*(Skills!Y21*(1+Inputs!$B$34/100))+MIN((Skills!Y21*(1+Inputs!$B$34/100)),MAX(0,Inputs!$B$44-((R191-1)*Skills!D21))))/Inputs!$B$44),IF(Inputs!$B$39="pvp",MIN((Skills!Y21*(1+Inputs!$B$34/100)),15)/15,(Skills!Y21*(1+Inputs!$B$34/100))/Skills!D21)))+((C198=TRUE)*(F198-Calc!F28))+((C188=TRUE)*(F188-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TRUE)*F185*IF(AND(Inputs!$B$39&lt;&gt;"pvp",Inputs!$B$44&gt;0),(((R185-1)*(Skills!Y15*(1+Inputs!$B$34/100))+MIN((Skills!Y15*(1+Inputs!$B$34/100)),MAX(0,Inputs!$B$44-((R185-1)*Skills!D15))))/Inputs!$B$44),IF(Inputs!$B$39="pvp",MIN((Skills!Y15*(1+Inputs!$B$34/100)),15)/15,(Skills!Y15*(1+Inputs!$B$34/100))/Skills!D15)))/100)*(1+((C176=TRUE)*F176*B204)/100))*B212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172)</f>
        <v/>
      </c>
      <c r="L172">
        <f>K172*(MIN(Inputs!$B$22+((C194=TRUE)*(F194-Calc!F24)),(Inputs!$B$23+0+(IF(ArtifactsInput!$M$15,CHOOSE(ArtifactsInput!$N$15+1,25,30,35,40,45,50)/100*(Inputs!$B$11-Inputs!$B$11),0))))/100+(Inputs!$B$23+0+(IF(ArtifactsInput!$M$15,CHOOSE(ArtifactsInput!$N$15+1,25,30,35,40,45,50)/100*(Inputs!$B$11-Inputs!$B$11),0)))/100)/2</f>
        <v/>
      </c>
      <c r="M172">
        <f>L172*(1+(Inputs!$B$10+((C196=TRUE)*(F196-Calc!F26))+B213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2">
        <f>L172*(1-MIN((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172*(MIN((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2">
        <f>(1-Summary!$B$11)*T172+Summary!$B$11*V172</f>
        <v/>
      </c>
      <c r="P172">
        <f>IF(B214=0,0,O172/B214)</f>
        <v/>
      </c>
      <c r="Q172" t="n">
        <v>0</v>
      </c>
      <c r="R172" t="n">
        <v>0</v>
      </c>
      <c r="S172">
        <f>IFERROR(O172/N172,0)</f>
        <v/>
      </c>
      <c r="T172">
        <f>IF(C172,(Skills!G2*N172*B208)*IF(Inputs!$B$39="pvp",1,1+(Inputs!$B$20+((C197=TRUE)*(F197-Calc!F27))+Skills!P2+B211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Hunt"),CHOOSE(ArtifactsInput!$N$35+1,15,18,21,24,27,30)*(1-EXP(-(0.2*B206)*5)),0)+IF(AND(ArtifactsInput!$M$22,Inputs!$B$4&lt;&gt;"Chapter Hunt"),CHOOSE(ArtifactsInput!$N$22+1,10,12,14,16,18,20)*((0*(((0.15*B206*5))^0/1)+1*(((0.15*B206*5))^1/1)+2*(((0.15*B206*5))^2/2)+3*(((0.15*B206*5))^3/6)+4*(((0.15*B206*5))^4/24)+5*(((0.15*B206*5))^5/120))/((((0.15*B206*5))^0/1)+(((0.15*B206*5))^1/1)+(((0.15*B206*5))^2/2)+(((0.15*B206*5))^3/6)+(((0.15*B206*5))^4/24)+(((0.15*B206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172*(1-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172*(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172*(1-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172*(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2">
        <f>MAX(0,(Inputs!$B$3-100)*3)+Inputs!$B$28+Inputs!$B$29</f>
        <v/>
      </c>
      <c r="V172">
        <f>IF(C172,(Skills!G2*N172*B208)*IF(Inputs!$B$39="pvp",1,(1+(Inputs!$B$21+Skills!Q2+B211+(IF(ArtifactsInput!$M$33,CHOOSE(ArtifactsInput!$N$33+1,30,36,42,48,54,60),0))+(IF(AND(ArtifactsInput!$M$35,Inputs!$B$4&lt;&gt;"Chapter Hunt"),CHOOSE(ArtifactsInput!$N$35+1,15,18,21,24,27,30)*(1-EXP(-(0.2*B206)*5)),0)+IF(AND(ArtifactsInput!$M$22,Inputs!$B$4&lt;&gt;"Chapter Hunt"),CHOOSE(ArtifactsInput!$N$22+1,10,12,14,16,18,20)*((0*(((0.15*B206*5))^0/1)+1*(((0.15*B206*5))^1/1)+2*(((0.15*B206*5))^2/2)+3*(((0.15*B206*5))^3/6)+4*(((0.15*B206*5))^4/24)+5*(((0.15*B206*5))^5/120))/((((0.15*B206*5))^0/1)+(((0.15*B206*5))^1/1)+(((0.15*B206*5))^2/2)+(((0.15*B206*5))^3/6)+(((0.15*B206*5))^4/24)+(((0.15*B206*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3">
      <c r="A173">
        <f>Skills!A3</f>
        <v/>
      </c>
      <c r="B173">
        <f>Skills!B3</f>
        <v/>
      </c>
      <c r="C173">
        <f>Inputs!$B$3&gt;=35</f>
        <v/>
      </c>
      <c r="D173">
        <f>IF(Skills!C3=1,60+Inputs!$B$25+Inputs!$B$29,IF(Skills!C3=2,90+Inputs!$B$26+Inputs!$B$29,IF(Skills!C3=3,120+Inputs!$B$27+Inputs!$B$29,MAX(0,(Inputs!$B$3-100)*3)+Inputs!$B$28+Inputs!$B$29)))</f>
        <v/>
      </c>
      <c r="E173">
        <f>INDEX(FactorTable!$B$2:$Y$301, MATCH(ROUND(MIN(300,MAX(1,D173)),0), FactorTable!$A$2:$A$301,0), Skills!M3+1)</f>
        <v/>
      </c>
      <c r="F173">
        <f>IF(Skills!N3=TRUE,(Skills!L3/10)*(E173/1000),Skills!L3/10)+Skills!O3</f>
        <v/>
      </c>
      <c r="G173">
        <f>Calc!G3</f>
        <v/>
      </c>
      <c r="H173">
        <f>Calc!H3</f>
        <v/>
      </c>
      <c r="I173">
        <f>IF(Skills!AA3&lt;&gt;"",1+(Skills!AA3/10)*(U173/1000)/100,1)</f>
        <v/>
      </c>
      <c r="J173">
        <f>((Inputs!$B$6*(1+Inputs!$B$7/100))+(((Inputs!$B$12*(1+Inputs!$B$13/100))-(Inputs!$B$12*(1+Inputs!$B$13/100)))+0.25*((Inputs!$B$14+1)-Inputs!$B$14))*(1+Inputs!$B$7/100))*(F173/100)</f>
        <v/>
      </c>
      <c r="K173">
        <f>J173*(1+((Inputs!$B$12*(1+Inputs!$B$13/100))*0.01+(Inputs!$B$14+1)*0.0025)/100)*(1+Inputs!$B$15/100)*(1+Inputs!$B$16/100)*(5000/(6000+Inputs!$B$43*(1-(100*(1-(1-(Inputs!$B$19+0)/100)*(1-CHOOSE(ArtifactsInput!$N$40+1,5,6,7,8,9,10)/100)^(ArtifactsInput!$M$40-ArtifactsInput!$M$40)))/100)))*(1+(Inputs!$B$24+((C200=TRUE)*(F200-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193=TRUE)*(F193-Calc!F23))+(((IF(AND(ArtifactsInput!$M$42,((Inputs!$B$9+((C195=TRUE)*(F195-Calc!F25))+B210+(ArtifactsInput!$M$24-ArtifactsInput!$M$24)*CHOOSE(ArtifactsInput!$N$24+1,10,12,14,16,18,20)+IF(ArtifactsInput!$M$10,CHOOSE(ArtifactsInput!$N$10+1,15,18,21,24,27,30)*(IF(Inputs!$B$39="pvp",MIN(15,15)/15,IF(AND(Inputs!$B$39&lt;&gt;"pvp",Inputs!$B$44&gt;0),MIN(15,Inputs!$B$44)/(Inputs!$B$44),0))),0)))&gt;=100),MIN(100,((Inputs!$B$9+((C195=TRUE)*(F195-Calc!F25))+B210+(ArtifactsInput!$M$24-ArtifactsInput!$M$24)*CHOOSE(ArtifactsInput!$N$24+1,10,12,14,16,18,20)+IF(ArtifactsInput!$M$10,CHOOSE(ArtifactsInput!$N$10+1,15,18,21,24,27,30)*(IF(Inputs!$B$39="pvp",MIN(15,15)/15,IF(AND(Inputs!$B$39&lt;&gt;"pvp",Inputs!$B$44&gt;0),MIN(15,Inputs!$B$44)/(Inputs!$B$44),0))),0)))-100),0))*CHOOSE(ArtifactsInput!$N$42+1,0.6,0.72,0.84,0.96,1.08,1.2))),Inputs!$B$18+((C199=TRUE)*(F199-Calc!F29))+(IF(AND(ArtifactsInput!$M$42,((Inputs!$B$9+((C195=TRUE)*(F195-Calc!F25))+B210+(ArtifactsInput!$M$24-ArtifactsInput!$M$24)*CHOOSE(ArtifactsInput!$N$24+1,10,12,14,16,18,20)+IF(ArtifactsInput!$M$10,CHOOSE(ArtifactsInput!$N$10+1,15,18,21,24,27,30)*(IF(Inputs!$B$39="pvp",MIN(15,15)/15,IF(AND(Inputs!$B$39&lt;&gt;"pvp",Inputs!$B$44&gt;0),MIN(15,Inputs!$B$44)/(Inputs!$B$44),0))),0)))&gt;=100),CHOOSE(ArtifactsInput!$N$42+1,40,48,56,64,72,80),0))))/100)*(((1+(((C191=TRUE)*F191*IF(AND(Inputs!$B$39&lt;&gt;"pvp",Inputs!$B$44&gt;0),(((R191-1)*(Skills!Y21*(1+Inputs!$B$34/100))+MIN((Skills!Y21*(1+Inputs!$B$34/100)),MAX(0,Inputs!$B$44-((R191-1)*Skills!D21))))/Inputs!$B$44),IF(Inputs!$B$39="pvp",MIN((Skills!Y21*(1+Inputs!$B$34/100)),15)/15,(Skills!Y21*(1+Inputs!$B$34/100))/Skills!D21)))+((C198=TRUE)*(F198-Calc!F28))+((C188=TRUE)*(F188-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TRUE)*F185*IF(AND(Inputs!$B$39&lt;&gt;"pvp",Inputs!$B$44&gt;0),(((R185-1)*(Skills!Y15*(1+Inputs!$B$34/100))+MIN((Skills!Y15*(1+Inputs!$B$34/100)),MAX(0,Inputs!$B$44-((R185-1)*Skills!D15))))/Inputs!$B$44),IF(Inputs!$B$39="pvp",MIN((Skills!Y15*(1+Inputs!$B$34/100)),15)/15,(Skills!Y15*(1+Inputs!$B$34/100))/Skills!D15)))/100)*(1+((C176=TRUE)*F176*B204)/100))*B212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173)</f>
        <v/>
      </c>
      <c r="L173">
        <f>K173*(MIN(Inputs!$B$22+((C194=TRUE)*(F194-Calc!F24)),(Inputs!$B$23+0+(IF(ArtifactsInput!$M$15,CHOOSE(ArtifactsInput!$N$15+1,25,30,35,40,45,50)/100*(Inputs!$B$11-Inputs!$B$11),0))))/100+(Inputs!$B$23+0+(IF(ArtifactsInput!$M$15,CHOOSE(ArtifactsInput!$N$15+1,25,30,35,40,45,50)/100*(Inputs!$B$11-Inputs!$B$11),0)))/100)/2</f>
        <v/>
      </c>
      <c r="M173">
        <f>L173*(1+(Inputs!$B$10+((C196=TRUE)*(F196-Calc!F26))+B213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3">
        <f>L173*(1-MIN((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173*(MIN((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3">
        <f>(1-Summary!$B$11)*T173+Summary!$B$11*V173</f>
        <v/>
      </c>
      <c r="P173">
        <f>IF(B214=0,0,O173/B214)</f>
        <v/>
      </c>
      <c r="Q173">
        <f>IFERROR(1/IF(Inputs!$B$39="pvp",15,MAX(0.1,Skills!D3-IF(Skills!E3=TRUE,Inputs!$B$32,0))),0)</f>
        <v/>
      </c>
      <c r="R173">
        <f>IF(AND(Inputs!$B$39&lt;&gt;"pvp",Inputs!$B$44&gt;0),IF(MAX(0,Inputs!$B$44-B215)&lt;=0,0,(INT(MAX(0,Inputs!$B$44-B215)/IF(Inputs!$B$39="pvp",15,MAX(0.1,Skills!D3-IF(Skills!E3=TRUE,Inputs!$B$32,0))))+1)),0)</f>
        <v/>
      </c>
      <c r="S173">
        <f>IFERROR(O173/N173,0)</f>
        <v/>
      </c>
      <c r="T173">
        <f>IF(C173,(H173*N173*IF(AND(Inputs!$B$39&lt;&gt;"pvp",Inputs!$B$44&gt;0),((Skills!G3*((R173-1)*IF(Skills!H3&gt;0,Skills!I3/Skills!H3,1)+IF(Skills!H3&gt;0,MIN(Skills!I3,MAX(0,MAX(0,Inputs!$B$44-B215)-((R173-1)*IF(Inputs!$B$39="pvp",15,MAX(0.1,Skills!D3-IF(Skills!E3=TRUE,Inputs!$B$32,0))))))/Skills!H3,1)))/Inputs!$B$44),G173*Q173))*IF(Inputs!$B$39="pvp",1,1+(Inputs!$B$20+((C197=TRUE)*(F197-Calc!F27))+Skills!P3+B211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Hunt"),CHOOSE(ArtifactsInput!$N$35+1,15,18,21,24,27,30)*(1-EXP(-(0.2*B206)*5)),0)+IF(AND(ArtifactsInput!$M$22,Inputs!$B$4&lt;&gt;"Chapter Hunt"),CHOOSE(ArtifactsInput!$N$22+1,10,12,14,16,18,20)*((0*(((0.15*B206*5))^0/1)+1*(((0.15*B206*5))^1/1)+2*(((0.15*B206*5))^2/2)+3*(((0.15*B206*5))^3/6)+4*(((0.15*B206*5))^4/24)+5*(((0.15*B206*5))^5/120))/((((0.15*B206*5))^0/1)+(((0.15*B206*5))^1/1)+(((0.15*B206*5))^2/2)+(((0.15*B206*5))^3/6)+(((0.15*B206*5))^4/24)+(((0.15*B206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173*(1-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173*(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173*(1-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173*(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3">
        <f>INDEX(FactorTable!$B$2:$Y$301, MATCH(ROUND(MIN(300,MAX(1,U172)),0), FactorTable!$A$2:$A$301,0), 24)</f>
        <v/>
      </c>
      <c r="V173">
        <f>IF(C173,(H173*N173*IF(AND(Inputs!$B$39&lt;&gt;"pvp",Inputs!$B$44&gt;0),((Skills!G3*((R173-1)*IF(Skills!H3&gt;0,Skills!I3/Skills!H3,1)+IF(Skills!H3&gt;0,MIN(Skills!I3,MAX(0,MAX(0,Inputs!$B$44-B215)-((R173-1)*IF(Inputs!$B$39="pvp",15,MAX(0.1,Skills!D3-IF(Skills!E3=TRUE,Inputs!$B$32,0))))))/Skills!H3,1)))/Inputs!$B$44),G173*Q173))*IF(Inputs!$B$39="pvp",1,(1+(Inputs!$B$21+Skills!Q3+B211+(IF(ArtifactsInput!$M$33,CHOOSE(ArtifactsInput!$N$33+1,30,36,42,48,54,60),0))+(IF(AND(ArtifactsInput!$M$35,Inputs!$B$4&lt;&gt;"Chapter Hunt"),CHOOSE(ArtifactsInput!$N$35+1,15,18,21,24,27,30)*(1-EXP(-(0.2*B206)*5)),0)+IF(AND(ArtifactsInput!$M$22,Inputs!$B$4&lt;&gt;"Chapter Hunt"),CHOOSE(ArtifactsInput!$N$22+1,10,12,14,16,18,20)*((0*(((0.15*B206*5))^0/1)+1*(((0.15*B206*5))^1/1)+2*(((0.15*B206*5))^2/2)+3*(((0.15*B206*5))^3/6)+4*(((0.15*B206*5))^4/24)+5*(((0.15*B206*5))^5/120))/((((0.15*B206*5))^0/1)+(((0.15*B206*5))^1/1)+(((0.15*B206*5))^2/2)+(((0.15*B206*5))^3/6)+(((0.15*B206*5))^4/24)+(((0.15*B206*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4">
      <c r="A174">
        <f>Skills!A4</f>
        <v/>
      </c>
      <c r="B174">
        <f>Skills!B4</f>
        <v/>
      </c>
      <c r="C174">
        <f>Inputs!$B$3&gt;=40</f>
        <v/>
      </c>
      <c r="D174">
        <f>IF(Skills!C4=1,60+Inputs!$B$25+Inputs!$B$29,IF(Skills!C4=2,90+Inputs!$B$26+Inputs!$B$29,IF(Skills!C4=3,120+Inputs!$B$27+Inputs!$B$29,MAX(0,(Inputs!$B$3-100)*3)+Inputs!$B$28+Inputs!$B$29)))</f>
        <v/>
      </c>
      <c r="E174">
        <f>INDEX(FactorTable!$B$2:$Y$301, MATCH(ROUND(MIN(300,MAX(1,D174)),0), FactorTable!$A$2:$A$301,0), Skills!M4+1)</f>
        <v/>
      </c>
      <c r="F174">
        <f>IF(Skills!N4=TRUE,(Skills!L4/10)*(E174/1000),Skills!L4/10)+Skills!O4</f>
        <v/>
      </c>
      <c r="G174">
        <f>Calc!G4</f>
        <v/>
      </c>
      <c r="H174">
        <f>Calc!H4</f>
        <v/>
      </c>
      <c r="I174">
        <f>IF(Skills!AA4&lt;&gt;"",1+(Skills!AA4/10)*(U173/1000)/100,1)</f>
        <v/>
      </c>
      <c r="J174">
        <f>((Inputs!$B$6*(1+Inputs!$B$7/100))+(((Inputs!$B$12*(1+Inputs!$B$13/100))-(Inputs!$B$12*(1+Inputs!$B$13/100)))+0.25*((Inputs!$B$14+1)-Inputs!$B$14))*(1+Inputs!$B$7/100))*(F174/100)</f>
        <v/>
      </c>
      <c r="K174">
        <f>J174*(1+((Inputs!$B$12*(1+Inputs!$B$13/100))*0.01+(Inputs!$B$14+1)*0.0025)/100)*(1+Inputs!$B$15/100)*(1+Inputs!$B$16/100)*(5000/(6000+Inputs!$B$43*(1-(100*(1-(1-(Inputs!$B$19+0)/100)*(1-CHOOSE(ArtifactsInput!$N$40+1,5,6,7,8,9,10)/100)^(ArtifactsInput!$M$40-ArtifactsInput!$M$40)))/100)))*(1+(Inputs!$B$24+((C200=TRUE)*(F200-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193=TRUE)*(F193-Calc!F23))+(((IF(AND(ArtifactsInput!$M$42,((Inputs!$B$9+((C195=TRUE)*(F195-Calc!F25))+B210+(ArtifactsInput!$M$24-ArtifactsInput!$M$24)*CHOOSE(ArtifactsInput!$N$24+1,10,12,14,16,18,20)+IF(ArtifactsInput!$M$10,CHOOSE(ArtifactsInput!$N$10+1,15,18,21,24,27,30)*(IF(Inputs!$B$39="pvp",MIN(15,15)/15,IF(AND(Inputs!$B$39&lt;&gt;"pvp",Inputs!$B$44&gt;0),MIN(15,Inputs!$B$44)/(Inputs!$B$44),0))),0)))&gt;=100),MIN(100,((Inputs!$B$9+((C195=TRUE)*(F195-Calc!F25))+B210+(ArtifactsInput!$M$24-ArtifactsInput!$M$24)*CHOOSE(ArtifactsInput!$N$24+1,10,12,14,16,18,20)+IF(ArtifactsInput!$M$10,CHOOSE(ArtifactsInput!$N$10+1,15,18,21,24,27,30)*(IF(Inputs!$B$39="pvp",MIN(15,15)/15,IF(AND(Inputs!$B$39&lt;&gt;"pvp",Inputs!$B$44&gt;0),MIN(15,Inputs!$B$44)/(Inputs!$B$44),0))),0)))-100),0))*CHOOSE(ArtifactsInput!$N$42+1,0.6,0.72,0.84,0.96,1.08,1.2))),Inputs!$B$18+((C199=TRUE)*(F199-Calc!F29))+(IF(AND(ArtifactsInput!$M$42,((Inputs!$B$9+((C195=TRUE)*(F195-Calc!F25))+B210+(ArtifactsInput!$M$24-ArtifactsInput!$M$24)*CHOOSE(ArtifactsInput!$N$24+1,10,12,14,16,18,20)+IF(ArtifactsInput!$M$10,CHOOSE(ArtifactsInput!$N$10+1,15,18,21,24,27,30)*(IF(Inputs!$B$39="pvp",MIN(15,15)/15,IF(AND(Inputs!$B$39&lt;&gt;"pvp",Inputs!$B$44&gt;0),MIN(15,Inputs!$B$44)/(Inputs!$B$44),0))),0)))&gt;=100),CHOOSE(ArtifactsInput!$N$42+1,40,48,56,64,72,80),0))))/100)*(((1+(((C191=TRUE)*F191*IF(AND(Inputs!$B$39&lt;&gt;"pvp",Inputs!$B$44&gt;0),(((R191-1)*(Skills!Y21*(1+Inputs!$B$34/100))+MIN((Skills!Y21*(1+Inputs!$B$34/100)),MAX(0,Inputs!$B$44-((R191-1)*Skills!D21))))/Inputs!$B$44),IF(Inputs!$B$39="pvp",MIN((Skills!Y21*(1+Inputs!$B$34/100)),15)/15,(Skills!Y21*(1+Inputs!$B$34/100))/Skills!D21)))+((C198=TRUE)*(F198-Calc!F28))+((C188=TRUE)*(F188-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TRUE)*F185*IF(AND(Inputs!$B$39&lt;&gt;"pvp",Inputs!$B$44&gt;0),(((R185-1)*(Skills!Y15*(1+Inputs!$B$34/100))+MIN((Skills!Y15*(1+Inputs!$B$34/100)),MAX(0,Inputs!$B$44-((R185-1)*Skills!D15))))/Inputs!$B$44),IF(Inputs!$B$39="pvp",MIN((Skills!Y15*(1+Inputs!$B$34/100)),15)/15,(Skills!Y15*(1+Inputs!$B$34/100))/Skills!D15)))/100)*(1+((C176=TRUE)*F176*B204)/100))*B212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174)</f>
        <v/>
      </c>
      <c r="L174">
        <f>K174*(MIN(Inputs!$B$22+((C194=TRUE)*(F194-Calc!F24)),(Inputs!$B$23+0+(IF(ArtifactsInput!$M$15,CHOOSE(ArtifactsInput!$N$15+1,25,30,35,40,45,50)/100*(Inputs!$B$11-Inputs!$B$11),0))))/100+(Inputs!$B$23+0+(IF(ArtifactsInput!$M$15,CHOOSE(ArtifactsInput!$N$15+1,25,30,35,40,45,50)/100*(Inputs!$B$11-Inputs!$B$11),0)))/100)/2</f>
        <v/>
      </c>
      <c r="M174">
        <f>L174*(1+(Inputs!$B$10+((C196=TRUE)*(F196-Calc!F26))+B213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4">
        <f>L174*(1-MIN((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174*(MIN((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4">
        <f>(1-Summary!$B$11)*T174+Summary!$B$11*V174</f>
        <v/>
      </c>
      <c r="P174">
        <f>IF(B214=0,0,O174/B214)</f>
        <v/>
      </c>
      <c r="Q174">
        <f>IFERROR(1/IF(Inputs!$B$39="pvp",15,MAX(0.1,Skills!D4-IF(Skills!E4=TRUE,Inputs!$B$32,0))),0)</f>
        <v/>
      </c>
      <c r="R174">
        <f>IF(AND(Inputs!$B$39&lt;&gt;"pvp",Inputs!$B$44&gt;0),IF(MAX(0,Inputs!$B$44-B215)&lt;=0,0,(INT(MAX(0,Inputs!$B$44-B215)/IF(Inputs!$B$39="pvp",15,MAX(0.1,Skills!D4-IF(Skills!E4=TRUE,Inputs!$B$32,0))))+1)),0)</f>
        <v/>
      </c>
      <c r="S174">
        <f>IFERROR(O174/N174,0)</f>
        <v/>
      </c>
      <c r="T174">
        <f>IF(C174,(H174*N174*IF(AND(Inputs!$B$39&lt;&gt;"pvp",Inputs!$B$44&gt;0),((Skills!G4*((R174-1)*IF(Skills!H4&gt;0,Skills!I4/Skills!H4,1)+IF(Skills!H4&gt;0,MIN(Skills!I4,MAX(0,MAX(0,Inputs!$B$44-B215)-((R174-1)*IF(Inputs!$B$39="pvp",15,MAX(0.1,Skills!D4-IF(Skills!E4=TRUE,Inputs!$B$32,0))))))/Skills!H4,1)))/Inputs!$B$44),G174*Q174))*IF(Inputs!$B$39="pvp",1,1+(Inputs!$B$20+((C197=TRUE)*(F197-Calc!F27))+Skills!P4+B211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Hunt"),CHOOSE(ArtifactsInput!$N$35+1,15,18,21,24,27,30)*(1-EXP(-(0.2*B206)*5)),0)+IF(AND(ArtifactsInput!$M$22,Inputs!$B$4&lt;&gt;"Chapter Hunt"),CHOOSE(ArtifactsInput!$N$22+1,10,12,14,16,18,20)*((0*(((0.15*B206*5))^0/1)+1*(((0.15*B206*5))^1/1)+2*(((0.15*B206*5))^2/2)+3*(((0.15*B206*5))^3/6)+4*(((0.15*B206*5))^4/24)+5*(((0.15*B206*5))^5/120))/((((0.15*B206*5))^0/1)+(((0.15*B206*5))^1/1)+(((0.15*B206*5))^2/2)+(((0.15*B206*5))^3/6)+(((0.15*B206*5))^4/24)+(((0.15*B206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174*(1-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174*(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174*(1-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174*(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4">
        <f>MAX(0,(Inputs!$B$3-100)*3)+Inputs!$B$28+Inputs!$B$29</f>
        <v/>
      </c>
      <c r="V174">
        <f>IF(C174,(H174*N174*IF(AND(Inputs!$B$39&lt;&gt;"pvp",Inputs!$B$44&gt;0),((Skills!G4*((R174-1)*IF(Skills!H4&gt;0,Skills!I4/Skills!H4,1)+IF(Skills!H4&gt;0,MIN(Skills!I4,MAX(0,MAX(0,Inputs!$B$44-B215)-((R174-1)*IF(Inputs!$B$39="pvp",15,MAX(0.1,Skills!D4-IF(Skills!E4=TRUE,Inputs!$B$32,0))))))/Skills!H4,1)))/Inputs!$B$44),G174*Q174))*IF(Inputs!$B$39="pvp",1,(1+(Inputs!$B$21+Skills!Q4+B211+(IF(ArtifactsInput!$M$33,CHOOSE(ArtifactsInput!$N$33+1,30,36,42,48,54,60),0))+(IF(AND(ArtifactsInput!$M$35,Inputs!$B$4&lt;&gt;"Chapter Hunt"),CHOOSE(ArtifactsInput!$N$35+1,15,18,21,24,27,30)*(1-EXP(-(0.2*B206)*5)),0)+IF(AND(ArtifactsInput!$M$22,Inputs!$B$4&lt;&gt;"Chapter Hunt"),CHOOSE(ArtifactsInput!$N$22+1,10,12,14,16,18,20)*((0*(((0.15*B206*5))^0/1)+1*(((0.15*B206*5))^1/1)+2*(((0.15*B206*5))^2/2)+3*(((0.15*B206*5))^3/6)+4*(((0.15*B206*5))^4/24)+5*(((0.15*B206*5))^5/120))/((((0.15*B206*5))^0/1)+(((0.15*B206*5))^1/1)+(((0.15*B206*5))^2/2)+(((0.15*B206*5))^3/6)+(((0.15*B206*5))^4/24)+(((0.15*B206*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5">
      <c r="A175">
        <f>Skills!A5</f>
        <v/>
      </c>
      <c r="B175">
        <f>Skills!B5</f>
        <v/>
      </c>
      <c r="C175">
        <f>Inputs!$B$3&gt;=63</f>
        <v/>
      </c>
      <c r="D175">
        <f>IF(Skills!C5=1,60+Inputs!$B$25+Inputs!$B$29,IF(Skills!C5=2,90+Inputs!$B$26+Inputs!$B$29,IF(Skills!C5=3,120+Inputs!$B$27+Inputs!$B$29,MAX(0,(Inputs!$B$3-100)*3)+Inputs!$B$28+Inputs!$B$29)))</f>
        <v/>
      </c>
      <c r="E175">
        <f>INDEX(FactorTable!$B$2:$Y$301, MATCH(ROUND(MIN(300,MAX(1,D175)),0), FactorTable!$A$2:$A$301,0), Skills!M5+1)</f>
        <v/>
      </c>
      <c r="F175">
        <f>IF(Skills!N5=TRUE,(Skills!L5/10)*(E175/1000),Skills!L5/10)+Skills!O5</f>
        <v/>
      </c>
      <c r="G175">
        <f>Calc!G5</f>
        <v/>
      </c>
      <c r="H175">
        <f>Calc!H5</f>
        <v/>
      </c>
      <c r="I175">
        <f>IF(Skills!AA5&lt;&gt;"",1+(Skills!AA5/10)*(U173/1000)/100,1)</f>
        <v/>
      </c>
      <c r="J175">
        <f>((Inputs!$B$6*(1+Inputs!$B$7/100))+(((Inputs!$B$12*(1+Inputs!$B$13/100))-(Inputs!$B$12*(1+Inputs!$B$13/100)))+0.25*((Inputs!$B$14+1)-Inputs!$B$14))*(1+Inputs!$B$7/100))*(F175/100)</f>
        <v/>
      </c>
      <c r="K175">
        <f>J175*(1+((Inputs!$B$12*(1+Inputs!$B$13/100))*0.01+(Inputs!$B$14+1)*0.0025)/100)*(1+Inputs!$B$15/100)*(1+Inputs!$B$16/100)*(5000/(6000+Inputs!$B$43*(1-(100*(1-(1-(Inputs!$B$19+0)/100)*(1-CHOOSE(ArtifactsInput!$N$40+1,5,6,7,8,9,10)/100)^(ArtifactsInput!$M$40-ArtifactsInput!$M$40)))/100)))*(1+(Inputs!$B$24+((C200=TRUE)*(F200-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193=TRUE)*(F193-Calc!F23))+(((IF(AND(ArtifactsInput!$M$42,((Inputs!$B$9+((C195=TRUE)*(F195-Calc!F25))+B210+(ArtifactsInput!$M$24-ArtifactsInput!$M$24)*CHOOSE(ArtifactsInput!$N$24+1,10,12,14,16,18,20)+IF(ArtifactsInput!$M$10,CHOOSE(ArtifactsInput!$N$10+1,15,18,21,24,27,30)*(IF(Inputs!$B$39="pvp",MIN(15,15)/15,IF(AND(Inputs!$B$39&lt;&gt;"pvp",Inputs!$B$44&gt;0),MIN(15,Inputs!$B$44)/(Inputs!$B$44),0))),0)))&gt;=100),MIN(100,((Inputs!$B$9+((C195=TRUE)*(F195-Calc!F25))+B210+(ArtifactsInput!$M$24-ArtifactsInput!$M$24)*CHOOSE(ArtifactsInput!$N$24+1,10,12,14,16,18,20)+IF(ArtifactsInput!$M$10,CHOOSE(ArtifactsInput!$N$10+1,15,18,21,24,27,30)*(IF(Inputs!$B$39="pvp",MIN(15,15)/15,IF(AND(Inputs!$B$39&lt;&gt;"pvp",Inputs!$B$44&gt;0),MIN(15,Inputs!$B$44)/(Inputs!$B$44),0))),0)))-100),0))*CHOOSE(ArtifactsInput!$N$42+1,0.6,0.72,0.84,0.96,1.08,1.2))),Inputs!$B$18+((C199=TRUE)*(F199-Calc!F29))+(IF(AND(ArtifactsInput!$M$42,((Inputs!$B$9+((C195=TRUE)*(F195-Calc!F25))+B210+(ArtifactsInput!$M$24-ArtifactsInput!$M$24)*CHOOSE(ArtifactsInput!$N$24+1,10,12,14,16,18,20)+IF(ArtifactsInput!$M$10,CHOOSE(ArtifactsInput!$N$10+1,15,18,21,24,27,30)*(IF(Inputs!$B$39="pvp",MIN(15,15)/15,IF(AND(Inputs!$B$39&lt;&gt;"pvp",Inputs!$B$44&gt;0),MIN(15,Inputs!$B$44)/(Inputs!$B$44),0))),0)))&gt;=100),CHOOSE(ArtifactsInput!$N$42+1,40,48,56,64,72,80),0))))/100)*(((1+(((C191=TRUE)*F191*IF(AND(Inputs!$B$39&lt;&gt;"pvp",Inputs!$B$44&gt;0),(((R191-1)*(Skills!Y21*(1+Inputs!$B$34/100))+MIN((Skills!Y21*(1+Inputs!$B$34/100)),MAX(0,Inputs!$B$44-((R191-1)*Skills!D21))))/Inputs!$B$44),IF(Inputs!$B$39="pvp",MIN((Skills!Y21*(1+Inputs!$B$34/100)),15)/15,(Skills!Y21*(1+Inputs!$B$34/100))/Skills!D21)))+((C198=TRUE)*(F198-Calc!F28))+((C188=TRUE)*(F188-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TRUE)*F185*IF(AND(Inputs!$B$39&lt;&gt;"pvp",Inputs!$B$44&gt;0),(((R185-1)*(Skills!Y15*(1+Inputs!$B$34/100))+MIN((Skills!Y15*(1+Inputs!$B$34/100)),MAX(0,Inputs!$B$44-((R185-1)*Skills!D15))))/Inputs!$B$44),IF(Inputs!$B$39="pvp",MIN((Skills!Y15*(1+Inputs!$B$34/100)),15)/15,(Skills!Y15*(1+Inputs!$B$34/100))/Skills!D15)))/100)*(1+((C176=TRUE)*F176*B204)/100))*B212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175)</f>
        <v/>
      </c>
      <c r="L175">
        <f>K175*(MIN(Inputs!$B$22+((C194=TRUE)*(F194-Calc!F24)),(Inputs!$B$23+0+(IF(ArtifactsInput!$M$15,CHOOSE(ArtifactsInput!$N$15+1,25,30,35,40,45,50)/100*(Inputs!$B$11-Inputs!$B$11),0))))/100+(Inputs!$B$23+0+(IF(ArtifactsInput!$M$15,CHOOSE(ArtifactsInput!$N$15+1,25,30,35,40,45,50)/100*(Inputs!$B$11-Inputs!$B$11),0)))/100)/2</f>
        <v/>
      </c>
      <c r="M175">
        <f>L175*(1+(Inputs!$B$10+((C196=TRUE)*(F196-Calc!F26))+B213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5">
        <f>L175*(1-MIN((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175*(MIN((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5">
        <f>(1-Summary!$B$11)*T175+Summary!$B$11*V175</f>
        <v/>
      </c>
      <c r="P175">
        <f>IF(B214=0,0,O175/B214)</f>
        <v/>
      </c>
      <c r="Q175">
        <f>IFERROR(1/IF(Inputs!$B$39="pvp",15,MAX(0.1,Skills!D5-IF(Skills!E5=TRUE,Inputs!$B$32,0))),0)</f>
        <v/>
      </c>
      <c r="R175">
        <f>IF(AND(Inputs!$B$39&lt;&gt;"pvp",Inputs!$B$44&gt;0),IF(MAX(0,Inputs!$B$44-B215)&lt;=0,0,(INT(MAX(0,Inputs!$B$44-B215)/IF(Inputs!$B$39="pvp",15,MAX(0.1,Skills!D5-IF(Skills!E5=TRUE,Inputs!$B$32,0))))+1)),0)</f>
        <v/>
      </c>
      <c r="S175">
        <f>IFERROR(O175/N175,0)</f>
        <v/>
      </c>
      <c r="T175">
        <f>IF(C175,(H175*N175*IF(AND(Inputs!$B$39&lt;&gt;"pvp",Inputs!$B$44&gt;0),((Skills!G5*((R175-1)*IF(Skills!H5&gt;0,Skills!I5/Skills!H5,1)+IF(Skills!H5&gt;0,MIN(Skills!I5,MAX(0,MAX(0,Inputs!$B$44-B215)-((R175-1)*IF(Inputs!$B$39="pvp",15,MAX(0.1,Skills!D5-IF(Skills!E5=TRUE,Inputs!$B$32,0))))))/Skills!H5,1)))/Inputs!$B$44),G175*Q175))*IF(Inputs!$B$39="pvp",1,1+(Inputs!$B$20+((C197=TRUE)*(F197-Calc!F27))+Skills!P5+B211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Hunt"),CHOOSE(ArtifactsInput!$N$35+1,15,18,21,24,27,30)*(1-EXP(-(0.2*B206)*5)),0)+IF(AND(ArtifactsInput!$M$22,Inputs!$B$4&lt;&gt;"Chapter Hunt"),CHOOSE(ArtifactsInput!$N$22+1,10,12,14,16,18,20)*((0*(((0.15*B206*5))^0/1)+1*(((0.15*B206*5))^1/1)+2*(((0.15*B206*5))^2/2)+3*(((0.15*B206*5))^3/6)+4*(((0.15*B206*5))^4/24)+5*(((0.15*B206*5))^5/120))/((((0.15*B206*5))^0/1)+(((0.15*B206*5))^1/1)+(((0.15*B206*5))^2/2)+(((0.15*B206*5))^3/6)+(((0.15*B206*5))^4/24)+(((0.15*B206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175*(1-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175*(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175*(1-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175*(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5">
        <f>INDEX(FactorTable!$B$2:$Y$301, MATCH(ROUND(MIN(300,MAX(1,U174)),0), FactorTable!$A$2:$A$301,0), 22)</f>
        <v/>
      </c>
      <c r="V175">
        <f>IF(C175,(H175*N175*IF(AND(Inputs!$B$39&lt;&gt;"pvp",Inputs!$B$44&gt;0),((Skills!G5*((R175-1)*IF(Skills!H5&gt;0,Skills!I5/Skills!H5,1)+IF(Skills!H5&gt;0,MIN(Skills!I5,MAX(0,MAX(0,Inputs!$B$44-B215)-((R175-1)*IF(Inputs!$B$39="pvp",15,MAX(0.1,Skills!D5-IF(Skills!E5=TRUE,Inputs!$B$32,0))))))/Skills!H5,1)))/Inputs!$B$44),G175*Q175))*IF(Inputs!$B$39="pvp",1,(1+(Inputs!$B$21+Skills!Q5+B211+(IF(ArtifactsInput!$M$33,CHOOSE(ArtifactsInput!$N$33+1,30,36,42,48,54,60),0))+(IF(AND(ArtifactsInput!$M$35,Inputs!$B$4&lt;&gt;"Chapter Hunt"),CHOOSE(ArtifactsInput!$N$35+1,15,18,21,24,27,30)*(1-EXP(-(0.2*B206)*5)),0)+IF(AND(ArtifactsInput!$M$22,Inputs!$B$4&lt;&gt;"Chapter Hunt"),CHOOSE(ArtifactsInput!$N$22+1,10,12,14,16,18,20)*((0*(((0.15*B206*5))^0/1)+1*(((0.15*B206*5))^1/1)+2*(((0.15*B206*5))^2/2)+3*(((0.15*B206*5))^3/6)+4*(((0.15*B206*5))^4/24)+5*(((0.15*B206*5))^5/120))/((((0.15*B206*5))^0/1)+(((0.15*B206*5))^1/1)+(((0.15*B206*5))^2/2)+(((0.15*B206*5))^3/6)+(((0.15*B206*5))^4/24)+(((0.15*B206*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6">
      <c r="A176">
        <f>Skills!A6</f>
        <v/>
      </c>
      <c r="B176">
        <f>Skills!B6</f>
        <v/>
      </c>
      <c r="C176">
        <f>Inputs!$B$3&gt;=66</f>
        <v/>
      </c>
      <c r="D176">
        <f>IF(Skills!C6=1,60+Inputs!$B$25+Inputs!$B$29,IF(Skills!C6=2,90+Inputs!$B$26+Inputs!$B$29,IF(Skills!C6=3,120+Inputs!$B$27+Inputs!$B$29,MAX(0,(Inputs!$B$3-100)*3)+Inputs!$B$28+Inputs!$B$29)))</f>
        <v/>
      </c>
      <c r="E176">
        <f>INDEX(FactorTable!$B$2:$Y$301, MATCH(ROUND(MIN(300,MAX(1,D176)),0), FactorTable!$A$2:$A$301,0), Skills!M6+1)</f>
        <v/>
      </c>
      <c r="F176">
        <f>IF(Skills!N6=TRUE,(Skills!L6/10)*(E176/1000),Skills!L6/10)+Skills!O6</f>
        <v/>
      </c>
      <c r="G176">
        <f>Calc!G6</f>
        <v/>
      </c>
      <c r="H176">
        <f>Calc!H6</f>
        <v/>
      </c>
      <c r="I176">
        <f>IF(Skills!AA6&lt;&gt;"",1+(Skills!AA6/10)*(U173/1000)/100,1)</f>
        <v/>
      </c>
      <c r="J176" t="inlineStr"/>
      <c r="K176" t="inlineStr"/>
      <c r="L176" t="inlineStr"/>
      <c r="M176" t="inlineStr"/>
      <c r="N176" t="inlineStr"/>
      <c r="O176">
        <f>(1-Summary!$B$11)*T176+Summary!$B$11*V176</f>
        <v/>
      </c>
      <c r="P176">
        <f>IF(B214=0,0,O176/B214)</f>
        <v/>
      </c>
      <c r="Q176" t="n">
        <v>0</v>
      </c>
      <c r="R176" t="n">
        <v>0</v>
      </c>
      <c r="S176">
        <f>IFERROR(O176/N176,0)</f>
        <v/>
      </c>
      <c r="T176" t="n">
        <v>0</v>
      </c>
      <c r="U176">
        <f>290*U175/1000</f>
        <v/>
      </c>
      <c r="V176" t="n">
        <v>0</v>
      </c>
    </row>
    <row r="177">
      <c r="A177">
        <f>Skills!A7</f>
        <v/>
      </c>
      <c r="B177">
        <f>Skills!B7</f>
        <v/>
      </c>
      <c r="C177">
        <f>Inputs!$B$3&gt;=66</f>
        <v/>
      </c>
      <c r="D177">
        <f>IF(Skills!C7=1,60+Inputs!$B$25+Inputs!$B$29,IF(Skills!C7=2,90+Inputs!$B$26+Inputs!$B$29,IF(Skills!C7=3,120+Inputs!$B$27+Inputs!$B$29,MAX(0,(Inputs!$B$3-100)*3)+Inputs!$B$28+Inputs!$B$29)))</f>
        <v/>
      </c>
      <c r="E177">
        <f>INDEX(FactorTable!$B$2:$Y$301, MATCH(ROUND(MIN(300,MAX(1,D177)),0), FactorTable!$A$2:$A$301,0), Skills!M7+1)</f>
        <v/>
      </c>
      <c r="F177">
        <f>IF(Skills!N7=TRUE,(Skills!L7/10)*(E177/1000),Skills!L7/10)+Skills!O7</f>
        <v/>
      </c>
      <c r="G177">
        <f>Calc!G7</f>
        <v/>
      </c>
      <c r="H177">
        <f>Calc!H7</f>
        <v/>
      </c>
      <c r="I177">
        <f>IF(Skills!AA7&lt;&gt;"",1+(Skills!AA7/10)*(U173/1000)/100,1)</f>
        <v/>
      </c>
      <c r="J177" t="inlineStr"/>
      <c r="K177" t="inlineStr"/>
      <c r="L177" t="inlineStr"/>
      <c r="M177" t="inlineStr"/>
      <c r="N177" t="inlineStr"/>
      <c r="O177">
        <f>(1-Summary!$B$11)*T177+Summary!$B$11*V177</f>
        <v/>
      </c>
      <c r="P177">
        <f>IF(B214=0,0,O177/B214)</f>
        <v/>
      </c>
      <c r="Q177" t="n">
        <v>0</v>
      </c>
      <c r="R177" t="n">
        <v>0</v>
      </c>
      <c r="S177">
        <f>IFERROR(O177/N177,0)</f>
        <v/>
      </c>
      <c r="T177" t="n">
        <v>0</v>
      </c>
      <c r="V177" t="n">
        <v>0</v>
      </c>
    </row>
    <row r="178">
      <c r="A178">
        <f>Skills!A8</f>
        <v/>
      </c>
      <c r="B178">
        <f>Skills!B8</f>
        <v/>
      </c>
      <c r="C178">
        <f>Inputs!$B$3&gt;=69</f>
        <v/>
      </c>
      <c r="D178">
        <f>IF(Skills!C8=1,60+Inputs!$B$25+Inputs!$B$29,IF(Skills!C8=2,90+Inputs!$B$26+Inputs!$B$29,IF(Skills!C8=3,120+Inputs!$B$27+Inputs!$B$29,MAX(0,(Inputs!$B$3-100)*3)+Inputs!$B$28+Inputs!$B$29)))</f>
        <v/>
      </c>
      <c r="E178">
        <f>INDEX(FactorTable!$B$2:$Y$301, MATCH(ROUND(MIN(300,MAX(1,D178)),0), FactorTable!$A$2:$A$301,0), Skills!M8+1)</f>
        <v/>
      </c>
      <c r="F178">
        <f>IF(Skills!N8=TRUE,(Skills!L8/10)*(E178/1000),Skills!L8/10)+Skills!O8</f>
        <v/>
      </c>
      <c r="G178">
        <f>Calc!G8</f>
        <v/>
      </c>
      <c r="H178">
        <f>Calc!H8</f>
        <v/>
      </c>
      <c r="I178">
        <f>IF(Skills!AA8&lt;&gt;"",1+(Skills!AA8/10)*(U173/1000)/100,1)</f>
        <v/>
      </c>
      <c r="J178">
        <f>((Inputs!$B$6*(1+Inputs!$B$7/100))+(((Inputs!$B$12*(1+Inputs!$B$13/100))-(Inputs!$B$12*(1+Inputs!$B$13/100)))+0.25*((Inputs!$B$14+1)-Inputs!$B$14))*(1+Inputs!$B$7/100))*(F178/100)</f>
        <v/>
      </c>
      <c r="K178">
        <f>J178*(1+((Inputs!$B$12*(1+Inputs!$B$13/100))*0.01+(Inputs!$B$14+1)*0.0025)/100)*(1+Inputs!$B$15/100)*(1+Inputs!$B$16/100)*(5000/(6000+Inputs!$B$43*(1-(100*(1-(1-(Inputs!$B$19+0)/100)*(1-CHOOSE(ArtifactsInput!$N$40+1,5,6,7,8,9,10)/100)^(ArtifactsInput!$M$40-ArtifactsInput!$M$40)))/100)))*(1+(Inputs!$B$24+((C200=TRUE)*(F200-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193=TRUE)*(F193-Calc!F23))+(((IF(AND(ArtifactsInput!$M$42,((Inputs!$B$9+((C195=TRUE)*(F195-Calc!F25))+B210+(ArtifactsInput!$M$24-ArtifactsInput!$M$24)*CHOOSE(ArtifactsInput!$N$24+1,10,12,14,16,18,20)+IF(ArtifactsInput!$M$10,CHOOSE(ArtifactsInput!$N$10+1,15,18,21,24,27,30)*(IF(Inputs!$B$39="pvp",MIN(15,15)/15,IF(AND(Inputs!$B$39&lt;&gt;"pvp",Inputs!$B$44&gt;0),MIN(15,Inputs!$B$44)/(Inputs!$B$44),0))),0)))&gt;=100),MIN(100,((Inputs!$B$9+((C195=TRUE)*(F195-Calc!F25))+B210+(ArtifactsInput!$M$24-ArtifactsInput!$M$24)*CHOOSE(ArtifactsInput!$N$24+1,10,12,14,16,18,20)+IF(ArtifactsInput!$M$10,CHOOSE(ArtifactsInput!$N$10+1,15,18,21,24,27,30)*(IF(Inputs!$B$39="pvp",MIN(15,15)/15,IF(AND(Inputs!$B$39&lt;&gt;"pvp",Inputs!$B$44&gt;0),MIN(15,Inputs!$B$44)/(Inputs!$B$44),0))),0)))-100),0))*CHOOSE(ArtifactsInput!$N$42+1,0.6,0.72,0.84,0.96,1.08,1.2))),Inputs!$B$18+((C199=TRUE)*(F199-Calc!F29))+(IF(AND(ArtifactsInput!$M$42,((Inputs!$B$9+((C195=TRUE)*(F195-Calc!F25))+B210+(ArtifactsInput!$M$24-ArtifactsInput!$M$24)*CHOOSE(ArtifactsInput!$N$24+1,10,12,14,16,18,20)+IF(ArtifactsInput!$M$10,CHOOSE(ArtifactsInput!$N$10+1,15,18,21,24,27,30)*(IF(Inputs!$B$39="pvp",MIN(15,15)/15,IF(AND(Inputs!$B$39&lt;&gt;"pvp",Inputs!$B$44&gt;0),MIN(15,Inputs!$B$44)/(Inputs!$B$44),0))),0)))&gt;=100),CHOOSE(ArtifactsInput!$N$42+1,40,48,56,64,72,80),0))))/100)*(((1+(((C191=TRUE)*F191*IF(AND(Inputs!$B$39&lt;&gt;"pvp",Inputs!$B$44&gt;0),(((R191-1)*(Skills!Y21*(1+Inputs!$B$34/100))+MIN((Skills!Y21*(1+Inputs!$B$34/100)),MAX(0,Inputs!$B$44-((R191-1)*Skills!D21))))/Inputs!$B$44),IF(Inputs!$B$39="pvp",MIN((Skills!Y21*(1+Inputs!$B$34/100)),15)/15,(Skills!Y21*(1+Inputs!$B$34/100))/Skills!D21)))+((C198=TRUE)*(F198-Calc!F28))+((C188=TRUE)*(F188-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TRUE)*F185*IF(AND(Inputs!$B$39&lt;&gt;"pvp",Inputs!$B$44&gt;0),(((R185-1)*(Skills!Y15*(1+Inputs!$B$34/100))+MIN((Skills!Y15*(1+Inputs!$B$34/100)),MAX(0,Inputs!$B$44-((R185-1)*Skills!D15))))/Inputs!$B$44),IF(Inputs!$B$39="pvp",MIN((Skills!Y15*(1+Inputs!$B$34/100)),15)/15,(Skills!Y15*(1+Inputs!$B$34/100))/Skills!D15)))/100)*(1+((C176=TRUE)*F176*B204)/100))*B212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178)</f>
        <v/>
      </c>
      <c r="L178">
        <f>K178*(MIN(Inputs!$B$22+((C194=TRUE)*(F194-Calc!F24)),(Inputs!$B$23+0+(IF(ArtifactsInput!$M$15,CHOOSE(ArtifactsInput!$N$15+1,25,30,35,40,45,50)/100*(Inputs!$B$11-Inputs!$B$11),0))))/100+(Inputs!$B$23+0+(IF(ArtifactsInput!$M$15,CHOOSE(ArtifactsInput!$N$15+1,25,30,35,40,45,50)/100*(Inputs!$B$11-Inputs!$B$11),0)))/100)/2</f>
        <v/>
      </c>
      <c r="M178">
        <f>L178*(1+(Inputs!$B$10+((C196=TRUE)*(F196-Calc!F26))+B213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8">
        <f>L178*(1-MIN((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178*(MIN((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8">
        <f>(1-Summary!$B$11)*T178+Summary!$B$11*V178</f>
        <v/>
      </c>
      <c r="P178">
        <f>IF(B214=0,0,O178/B214)</f>
        <v/>
      </c>
      <c r="Q178">
        <f>IFERROR(1/IF(Inputs!$B$39="pvp",15,MAX(0.1,Skills!D8-IF(Skills!E8=TRUE,Inputs!$B$32,0))),0)</f>
        <v/>
      </c>
      <c r="R178">
        <f>IF(AND(Inputs!$B$39&lt;&gt;"pvp",Inputs!$B$44&gt;0),IF(MAX(0,Inputs!$B$44-B215)&lt;=0,0,(INT(MAX(0,Inputs!$B$44-B215)/IF(Inputs!$B$39="pvp",15,MAX(0.1,Skills!D8-IF(Skills!E8=TRUE,Inputs!$B$32,0))))+1)),0)</f>
        <v/>
      </c>
      <c r="S178">
        <f>IFERROR(O178/N178,0)</f>
        <v/>
      </c>
      <c r="T178">
        <f>IF(C178,(H178*N178*IF(AND(Inputs!$B$39&lt;&gt;"pvp",Inputs!$B$44&gt;0),((Skills!G8*((R178-1)*IF(Skills!H8&gt;0,Skills!I8/Skills!H8,1)+IF(Skills!H8&gt;0,MIN(Skills!I8,MAX(0,MAX(0,Inputs!$B$44-B215)-((R178-1)*IF(Inputs!$B$39="pvp",15,MAX(0.1,Skills!D8-IF(Skills!E8=TRUE,Inputs!$B$32,0))))))/Skills!H8,1)))/Inputs!$B$44),G178*Q178))*IF(Inputs!$B$39="pvp",1,1+(Inputs!$B$20+((C197=TRUE)*(F197-Calc!F27))+Skills!P8+B211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Hunt"),CHOOSE(ArtifactsInput!$N$35+1,15,18,21,24,27,30)*(1-EXP(-(0.2*B206)*5)),0)+IF(AND(ArtifactsInput!$M$22,Inputs!$B$4&lt;&gt;"Chapter Hunt"),CHOOSE(ArtifactsInput!$N$22+1,10,12,14,16,18,20)*((0*(((0.15*B206*5))^0/1)+1*(((0.15*B206*5))^1/1)+2*(((0.15*B206*5))^2/2)+3*(((0.15*B206*5))^3/6)+4*(((0.15*B206*5))^4/24)+5*(((0.15*B206*5))^5/120))/((((0.15*B206*5))^0/1)+(((0.15*B206*5))^1/1)+(((0.15*B206*5))^2/2)+(((0.15*B206*5))^3/6)+(((0.15*B206*5))^4/24)+(((0.15*B206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178*(1-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178*(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178*(1-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178*(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8">
        <f>IF(C178,(H178*N178*IF(AND(Inputs!$B$39&lt;&gt;"pvp",Inputs!$B$44&gt;0),((Skills!G8*((R178-1)*IF(Skills!H8&gt;0,Skills!I8/Skills!H8,1)+IF(Skills!H8&gt;0,MIN(Skills!I8,MAX(0,MAX(0,Inputs!$B$44-B215)-((R178-1)*IF(Inputs!$B$39="pvp",15,MAX(0.1,Skills!D8-IF(Skills!E8=TRUE,Inputs!$B$32,0))))))/Skills!H8,1)))/Inputs!$B$44),G178*Q178))*IF(Inputs!$B$39="pvp",1,(1+(Inputs!$B$21+Skills!Q8+B211+(IF(ArtifactsInput!$M$33,CHOOSE(ArtifactsInput!$N$33+1,30,36,42,48,54,60),0))+(IF(AND(ArtifactsInput!$M$35,Inputs!$B$4&lt;&gt;"Chapter Hunt"),CHOOSE(ArtifactsInput!$N$35+1,15,18,21,24,27,30)*(1-EXP(-(0.2*B206)*5)),0)+IF(AND(ArtifactsInput!$M$22,Inputs!$B$4&lt;&gt;"Chapter Hunt"),CHOOSE(ArtifactsInput!$N$22+1,10,12,14,16,18,20)*((0*(((0.15*B206*5))^0/1)+1*(((0.15*B206*5))^1/1)+2*(((0.15*B206*5))^2/2)+3*(((0.15*B206*5))^3/6)+4*(((0.15*B206*5))^4/24)+5*(((0.15*B206*5))^5/120))/((((0.15*B206*5))^0/1)+(((0.15*B206*5))^1/1)+(((0.15*B206*5))^2/2)+(((0.15*B206*5))^3/6)+(((0.15*B206*5))^4/24)+(((0.15*B206*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9">
      <c r="A179">
        <f>Skills!A9</f>
        <v/>
      </c>
      <c r="B179">
        <f>Skills!B9</f>
        <v/>
      </c>
      <c r="C179">
        <f>Inputs!$B$3&gt;=72</f>
        <v/>
      </c>
      <c r="D179">
        <f>IF(Skills!C9=1,60+Inputs!$B$25+Inputs!$B$29,IF(Skills!C9=2,90+Inputs!$B$26+Inputs!$B$29,IF(Skills!C9=3,120+Inputs!$B$27+Inputs!$B$29,MAX(0,(Inputs!$B$3-100)*3)+Inputs!$B$28+Inputs!$B$29)))</f>
        <v/>
      </c>
      <c r="E179">
        <f>INDEX(FactorTable!$B$2:$Y$301, MATCH(ROUND(MIN(300,MAX(1,D179)),0), FactorTable!$A$2:$A$301,0), Skills!M9+1)</f>
        <v/>
      </c>
      <c r="F179">
        <f>IF(Skills!N9=TRUE,(Skills!L9/10)*(E179/1000),Skills!L9/10)+Skills!O9</f>
        <v/>
      </c>
      <c r="G179">
        <f>Calc!G9</f>
        <v/>
      </c>
      <c r="H179">
        <f>Calc!H9</f>
        <v/>
      </c>
      <c r="I179">
        <f>IF(Skills!AA9&lt;&gt;"",1+(Skills!AA9/10)*(U173/1000)/100,1)</f>
        <v/>
      </c>
      <c r="J179">
        <f>((Inputs!$B$6*(1+Inputs!$B$7/100))+(((Inputs!$B$12*(1+Inputs!$B$13/100))-(Inputs!$B$12*(1+Inputs!$B$13/100)))+0.25*((Inputs!$B$14+1)-Inputs!$B$14))*(1+Inputs!$B$7/100))*(F179/100)</f>
        <v/>
      </c>
      <c r="K179">
        <f>J179*(1+((Inputs!$B$12*(1+Inputs!$B$13/100))*0.01+(Inputs!$B$14+1)*0.0025)/100)*(1+Inputs!$B$15/100)*(1+Inputs!$B$16/100)*(5000/(6000+Inputs!$B$43*(1-(100*(1-(1-(Inputs!$B$19+0)/100)*(1-CHOOSE(ArtifactsInput!$N$40+1,5,6,7,8,9,10)/100)^(ArtifactsInput!$M$40-ArtifactsInput!$M$40)))/100)))*(1+(Inputs!$B$24+((C200=TRUE)*(F200-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193=TRUE)*(F193-Calc!F23))+(((IF(AND(ArtifactsInput!$M$42,((Inputs!$B$9+((C195=TRUE)*(F195-Calc!F25))+B210+(ArtifactsInput!$M$24-ArtifactsInput!$M$24)*CHOOSE(ArtifactsInput!$N$24+1,10,12,14,16,18,20)+IF(ArtifactsInput!$M$10,CHOOSE(ArtifactsInput!$N$10+1,15,18,21,24,27,30)*(IF(Inputs!$B$39="pvp",MIN(15,15)/15,IF(AND(Inputs!$B$39&lt;&gt;"pvp",Inputs!$B$44&gt;0),MIN(15,Inputs!$B$44)/(Inputs!$B$44),0))),0)))&gt;=100),MIN(100,((Inputs!$B$9+((C195=TRUE)*(F195-Calc!F25))+B210+(ArtifactsInput!$M$24-ArtifactsInput!$M$24)*CHOOSE(ArtifactsInput!$N$24+1,10,12,14,16,18,20)+IF(ArtifactsInput!$M$10,CHOOSE(ArtifactsInput!$N$10+1,15,18,21,24,27,30)*(IF(Inputs!$B$39="pvp",MIN(15,15)/15,IF(AND(Inputs!$B$39&lt;&gt;"pvp",Inputs!$B$44&gt;0),MIN(15,Inputs!$B$44)/(Inputs!$B$44),0))),0)))-100),0))*CHOOSE(ArtifactsInput!$N$42+1,0.6,0.72,0.84,0.96,1.08,1.2))),Inputs!$B$18+((C199=TRUE)*(F199-Calc!F29))+(IF(AND(ArtifactsInput!$M$42,((Inputs!$B$9+((C195=TRUE)*(F195-Calc!F25))+B210+(ArtifactsInput!$M$24-ArtifactsInput!$M$24)*CHOOSE(ArtifactsInput!$N$24+1,10,12,14,16,18,20)+IF(ArtifactsInput!$M$10,CHOOSE(ArtifactsInput!$N$10+1,15,18,21,24,27,30)*(IF(Inputs!$B$39="pvp",MIN(15,15)/15,IF(AND(Inputs!$B$39&lt;&gt;"pvp",Inputs!$B$44&gt;0),MIN(15,Inputs!$B$44)/(Inputs!$B$44),0))),0)))&gt;=100),CHOOSE(ArtifactsInput!$N$42+1,40,48,56,64,72,80),0))))/100)*(((1+(((C191=TRUE)*F191*IF(AND(Inputs!$B$39&lt;&gt;"pvp",Inputs!$B$44&gt;0),(((R191-1)*(Skills!Y21*(1+Inputs!$B$34/100))+MIN((Skills!Y21*(1+Inputs!$B$34/100)),MAX(0,Inputs!$B$44-((R191-1)*Skills!D21))))/Inputs!$B$44),IF(Inputs!$B$39="pvp",MIN((Skills!Y21*(1+Inputs!$B$34/100)),15)/15,(Skills!Y21*(1+Inputs!$B$34/100))/Skills!D21)))+((C198=TRUE)*(F198-Calc!F28))+((C188=TRUE)*(F188-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TRUE)*F185*IF(AND(Inputs!$B$39&lt;&gt;"pvp",Inputs!$B$44&gt;0),(((R185-1)*(Skills!Y15*(1+Inputs!$B$34/100))+MIN((Skills!Y15*(1+Inputs!$B$34/100)),MAX(0,Inputs!$B$44-((R185-1)*Skills!D15))))/Inputs!$B$44),IF(Inputs!$B$39="pvp",MIN((Skills!Y15*(1+Inputs!$B$34/100)),15)/15,(Skills!Y15*(1+Inputs!$B$34/100))/Skills!D15)))/100)*(1+((C176=TRUE)*F176*B204)/100))*B212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179)</f>
        <v/>
      </c>
      <c r="L179">
        <f>K179*(MIN(Inputs!$B$22+((C194=TRUE)*(F194-Calc!F24)),(Inputs!$B$23+0+(IF(ArtifactsInput!$M$15,CHOOSE(ArtifactsInput!$N$15+1,25,30,35,40,45,50)/100*(Inputs!$B$11-Inputs!$B$11),0))))/100+(Inputs!$B$23+0+(IF(ArtifactsInput!$M$15,CHOOSE(ArtifactsInput!$N$15+1,25,30,35,40,45,50)/100*(Inputs!$B$11-Inputs!$B$11),0)))/100)/2</f>
        <v/>
      </c>
      <c r="M179">
        <f>L179*(1+(Inputs!$B$10+((C196=TRUE)*(F196-Calc!F26))+B213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9">
        <f>L179*(1-MIN((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179*(MIN((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9">
        <f>(1-Summary!$B$11)*T179+Summary!$B$11*V179</f>
        <v/>
      </c>
      <c r="P179">
        <f>IF(B214=0,0,O179/B214)</f>
        <v/>
      </c>
      <c r="Q179">
        <f>IFERROR(1/IF(Inputs!$B$39="pvp",15,MAX(0.1,Skills!D9-IF(Skills!E9=TRUE,Inputs!$B$32,0))),0)</f>
        <v/>
      </c>
      <c r="R179">
        <f>IF(AND(Inputs!$B$39&lt;&gt;"pvp",Inputs!$B$44&gt;0),IF(MAX(0,Inputs!$B$44-B215)&lt;=0,0,(INT(MAX(0,Inputs!$B$44-B215)/IF(Inputs!$B$39="pvp",15,MAX(0.1,Skills!D9-IF(Skills!E9=TRUE,Inputs!$B$32,0))))+1)),0)</f>
        <v/>
      </c>
      <c r="S179">
        <f>IFERROR(O179/N179,0)</f>
        <v/>
      </c>
      <c r="T179">
        <f>IF(C179,(H179*N179*IF(AND(Inputs!$B$39&lt;&gt;"pvp",Inputs!$B$44&gt;0),((Skills!G9*((R179-1)*IF(Skills!H9&gt;0,Skills!I9/Skills!H9,1)+IF(Skills!H9&gt;0,MIN(Skills!I9,MAX(0,MAX(0,Inputs!$B$44-B215)-((R179-1)*IF(Inputs!$B$39="pvp",15,MAX(0.1,Skills!D9-IF(Skills!E9=TRUE,Inputs!$B$32,0))))))/Skills!H9,1)))/Inputs!$B$44),G179*Q179))*IF(Inputs!$B$39="pvp",1,1+(Inputs!$B$20+((C197=TRUE)*(F197-Calc!F27))+Skills!P9+B211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Hunt"),CHOOSE(ArtifactsInput!$N$35+1,15,18,21,24,27,30)*(1-EXP(-(0.2*B206)*5)),0)+IF(AND(ArtifactsInput!$M$22,Inputs!$B$4&lt;&gt;"Chapter Hunt"),CHOOSE(ArtifactsInput!$N$22+1,10,12,14,16,18,20)*((0*(((0.15*B206*5))^0/1)+1*(((0.15*B206*5))^1/1)+2*(((0.15*B206*5))^2/2)+3*(((0.15*B206*5))^3/6)+4*(((0.15*B206*5))^4/24)+5*(((0.15*B206*5))^5/120))/((((0.15*B206*5))^0/1)+(((0.15*B206*5))^1/1)+(((0.15*B206*5))^2/2)+(((0.15*B206*5))^3/6)+(((0.15*B206*5))^4/24)+(((0.15*B206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179*(1-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179*(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179*(1-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179*(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9">
        <f>IF(C179,(H179*N179*IF(AND(Inputs!$B$39&lt;&gt;"pvp",Inputs!$B$44&gt;0),((Skills!G9*((R179-1)*IF(Skills!H9&gt;0,Skills!I9/Skills!H9,1)+IF(Skills!H9&gt;0,MIN(Skills!I9,MAX(0,MAX(0,Inputs!$B$44-B215)-((R179-1)*IF(Inputs!$B$39="pvp",15,MAX(0.1,Skills!D9-IF(Skills!E9=TRUE,Inputs!$B$32,0))))))/Skills!H9,1)))/Inputs!$B$44),G179*Q179))*IF(Inputs!$B$39="pvp",1,(1+(Inputs!$B$21+Skills!Q9+B211+(IF(ArtifactsInput!$M$33,CHOOSE(ArtifactsInput!$N$33+1,30,36,42,48,54,60),0))+(IF(AND(ArtifactsInput!$M$35,Inputs!$B$4&lt;&gt;"Chapter Hunt"),CHOOSE(ArtifactsInput!$N$35+1,15,18,21,24,27,30)*(1-EXP(-(0.2*B206)*5)),0)+IF(AND(ArtifactsInput!$M$22,Inputs!$B$4&lt;&gt;"Chapter Hunt"),CHOOSE(ArtifactsInput!$N$22+1,10,12,14,16,18,20)*((0*(((0.15*B206*5))^0/1)+1*(((0.15*B206*5))^1/1)+2*(((0.15*B206*5))^2/2)+3*(((0.15*B206*5))^3/6)+4*(((0.15*B206*5))^4/24)+5*(((0.15*B206*5))^5/120))/((((0.15*B206*5))^0/1)+(((0.15*B206*5))^1/1)+(((0.15*B206*5))^2/2)+(((0.15*B206*5))^3/6)+(((0.15*B206*5))^4/24)+(((0.15*B206*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0">
      <c r="A180">
        <f>Skills!A10</f>
        <v/>
      </c>
      <c r="B180">
        <f>Skills!B10</f>
        <v/>
      </c>
      <c r="C180">
        <f>Inputs!$B$3&gt;=117</f>
        <v/>
      </c>
      <c r="D180">
        <f>IF(Skills!C10=1,60+Inputs!$B$25+Inputs!$B$29,IF(Skills!C10=2,90+Inputs!$B$26+Inputs!$B$29,IF(Skills!C10=3,120+Inputs!$B$27+Inputs!$B$29,MAX(0,(Inputs!$B$3-100)*3)+Inputs!$B$28+Inputs!$B$29)))</f>
        <v/>
      </c>
      <c r="E180">
        <f>INDEX(FactorTable!$B$2:$Y$301, MATCH(ROUND(MIN(300,MAX(1,D180)),0), FactorTable!$A$2:$A$301,0), Skills!M10+1)</f>
        <v/>
      </c>
      <c r="F180">
        <f>IF(Skills!N10=TRUE,(Skills!L10/10)*(E180/1000),Skills!L10/10)+Skills!O10</f>
        <v/>
      </c>
      <c r="G180">
        <f>Calc!G10</f>
        <v/>
      </c>
      <c r="H180">
        <f>Calc!H10</f>
        <v/>
      </c>
      <c r="I180">
        <f>IF(Skills!AA10&lt;&gt;"",1+(Skills!AA10/10)*(U173/1000)/100,1)</f>
        <v/>
      </c>
      <c r="J180">
        <f>((Inputs!$B$6*(1+Inputs!$B$7/100))+(((Inputs!$B$12*(1+Inputs!$B$13/100))-(Inputs!$B$12*(1+Inputs!$B$13/100)))+0.25*((Inputs!$B$14+1)-Inputs!$B$14))*(1+Inputs!$B$7/100))*(F180/100)</f>
        <v/>
      </c>
      <c r="K180">
        <f>J180*(1+((Inputs!$B$12*(1+Inputs!$B$13/100))*0.01+(Inputs!$B$14+1)*0.0025)/100)*(1+Inputs!$B$15/100)*(1+Inputs!$B$16/100)*(5000/(6000+Inputs!$B$43*(1-(100*(1-(1-(Inputs!$B$19+0)/100)*(1-CHOOSE(ArtifactsInput!$N$40+1,5,6,7,8,9,10)/100)^(ArtifactsInput!$M$40-ArtifactsInput!$M$40)))/100)))*(1+(Inputs!$B$24+((C200=TRUE)*(F200-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193=TRUE)*(F193-Calc!F23))+(((IF(AND(ArtifactsInput!$M$42,((Inputs!$B$9+((C195=TRUE)*(F195-Calc!F25))+B210+(ArtifactsInput!$M$24-ArtifactsInput!$M$24)*CHOOSE(ArtifactsInput!$N$24+1,10,12,14,16,18,20)+IF(ArtifactsInput!$M$10,CHOOSE(ArtifactsInput!$N$10+1,15,18,21,24,27,30)*(IF(Inputs!$B$39="pvp",MIN(15,15)/15,IF(AND(Inputs!$B$39&lt;&gt;"pvp",Inputs!$B$44&gt;0),MIN(15,Inputs!$B$44)/(Inputs!$B$44),0))),0)))&gt;=100),MIN(100,((Inputs!$B$9+((C195=TRUE)*(F195-Calc!F25))+B210+(ArtifactsInput!$M$24-ArtifactsInput!$M$24)*CHOOSE(ArtifactsInput!$N$24+1,10,12,14,16,18,20)+IF(ArtifactsInput!$M$10,CHOOSE(ArtifactsInput!$N$10+1,15,18,21,24,27,30)*(IF(Inputs!$B$39="pvp",MIN(15,15)/15,IF(AND(Inputs!$B$39&lt;&gt;"pvp",Inputs!$B$44&gt;0),MIN(15,Inputs!$B$44)/(Inputs!$B$44),0))),0)))-100),0))*CHOOSE(ArtifactsInput!$N$42+1,0.6,0.72,0.84,0.96,1.08,1.2))),Inputs!$B$18+((C199=TRUE)*(F199-Calc!F29))+(IF(AND(ArtifactsInput!$M$42,((Inputs!$B$9+((C195=TRUE)*(F195-Calc!F25))+B210+(ArtifactsInput!$M$24-ArtifactsInput!$M$24)*CHOOSE(ArtifactsInput!$N$24+1,10,12,14,16,18,20)+IF(ArtifactsInput!$M$10,CHOOSE(ArtifactsInput!$N$10+1,15,18,21,24,27,30)*(IF(Inputs!$B$39="pvp",MIN(15,15)/15,IF(AND(Inputs!$B$39&lt;&gt;"pvp",Inputs!$B$44&gt;0),MIN(15,Inputs!$B$44)/(Inputs!$B$44),0))),0)))&gt;=100),CHOOSE(ArtifactsInput!$N$42+1,40,48,56,64,72,80),0))))/100)*(((1+(((C191=TRUE)*F191*IF(AND(Inputs!$B$39&lt;&gt;"pvp",Inputs!$B$44&gt;0),(((R191-1)*(Skills!Y21*(1+Inputs!$B$34/100))+MIN((Skills!Y21*(1+Inputs!$B$34/100)),MAX(0,Inputs!$B$44-((R191-1)*Skills!D21))))/Inputs!$B$44),IF(Inputs!$B$39="pvp",MIN((Skills!Y21*(1+Inputs!$B$34/100)),15)/15,(Skills!Y21*(1+Inputs!$B$34/100))/Skills!D21)))+((C198=TRUE)*(F198-Calc!F28))+((C188=TRUE)*(F188-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TRUE)*F185*IF(AND(Inputs!$B$39&lt;&gt;"pvp",Inputs!$B$44&gt;0),(((R185-1)*(Skills!Y15*(1+Inputs!$B$34/100))+MIN((Skills!Y15*(1+Inputs!$B$34/100)),MAX(0,Inputs!$B$44-((R185-1)*Skills!D15))))/Inputs!$B$44),IF(Inputs!$B$39="pvp",MIN((Skills!Y15*(1+Inputs!$B$34/100)),15)/15,(Skills!Y15*(1+Inputs!$B$34/100))/Skills!D15)))/100)*(1+((C176=TRUE)*F176*B204)/100))*B212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180)</f>
        <v/>
      </c>
      <c r="L180">
        <f>K180*(MIN(Inputs!$B$22+((C194=TRUE)*(F194-Calc!F24)),(Inputs!$B$23+0+(IF(ArtifactsInput!$M$15,CHOOSE(ArtifactsInput!$N$15+1,25,30,35,40,45,50)/100*(Inputs!$B$11-Inputs!$B$11),0))))/100+(Inputs!$B$23+0+(IF(ArtifactsInput!$M$15,CHOOSE(ArtifactsInput!$N$15+1,25,30,35,40,45,50)/100*(Inputs!$B$11-Inputs!$B$11),0)))/100)/2</f>
        <v/>
      </c>
      <c r="M180">
        <f>L180*(1+(Inputs!$B$10+((C196=TRUE)*(F196-Calc!F26))+B213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0">
        <f>L180*(1-MIN((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180*(MIN((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0">
        <f>(1-Summary!$B$11)*T180+Summary!$B$11*V180</f>
        <v/>
      </c>
      <c r="P180">
        <f>IF(B214=0,0,O180/B214)</f>
        <v/>
      </c>
      <c r="Q180" t="n">
        <v>0</v>
      </c>
      <c r="R180" t="n">
        <v>0</v>
      </c>
      <c r="S180" t="n">
        <v>0</v>
      </c>
      <c r="T180">
        <f>IF(C180,(0.2*SUMPRODUCT((Skills!Z2:Z31=TRUE)*(C172:C201=TRUE)*S172:S201)*N180)*IF(Inputs!$B$39="pvp",1,1+(Inputs!$B$20+((C197=TRUE)*(F197-Calc!F27))+Skills!P10+B211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Hunt"),CHOOSE(ArtifactsInput!$N$35+1,15,18,21,24,27,30)*(1-EXP(-(0.2*B206)*5)),0)+IF(AND(ArtifactsInput!$M$22,Inputs!$B$4&lt;&gt;"Chapter Hunt"),CHOOSE(ArtifactsInput!$N$22+1,10,12,14,16,18,20)*((0*(((0.15*B206*5))^0/1)+1*(((0.15*B206*5))^1/1)+2*(((0.15*B206*5))^2/2)+3*(((0.15*B206*5))^3/6)+4*(((0.15*B206*5))^4/24)+5*(((0.15*B206*5))^5/120))/((((0.15*B206*5))^0/1)+(((0.15*B206*5))^1/1)+(((0.15*B206*5))^2/2)+(((0.15*B206*5))^3/6)+(((0.15*B206*5))^4/24)+(((0.15*B206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180*(1-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180*(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180*(1-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180*(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0">
        <f>IF(C180,(0.2*SUMPRODUCT((Skills!Z2:Z31=TRUE)*(C172:C201=TRUE)*S172:S201)*N180)*IF(Inputs!$B$39="pvp",1,(1+(Inputs!$B$21+Skills!Q10+B211+(IF(ArtifactsInput!$M$33,CHOOSE(ArtifactsInput!$N$33+1,30,36,42,48,54,60),0))+(IF(AND(ArtifactsInput!$M$35,Inputs!$B$4&lt;&gt;"Chapter Hunt"),CHOOSE(ArtifactsInput!$N$35+1,15,18,21,24,27,30)*(1-EXP(-(0.2*B206)*5)),0)+IF(AND(ArtifactsInput!$M$22,Inputs!$B$4&lt;&gt;"Chapter Hunt"),CHOOSE(ArtifactsInput!$N$22+1,10,12,14,16,18,20)*((0*(((0.15*B206*5))^0/1)+1*(((0.15*B206*5))^1/1)+2*(((0.15*B206*5))^2/2)+3*(((0.15*B206*5))^3/6)+4*(((0.15*B206*5))^4/24)+5*(((0.15*B206*5))^5/120))/((((0.15*B206*5))^0/1)+(((0.15*B206*5))^1/1)+(((0.15*B206*5))^2/2)+(((0.15*B206*5))^3/6)+(((0.15*B206*5))^4/24)+(((0.15*B206*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1">
      <c r="A181">
        <f>Skills!A11</f>
        <v/>
      </c>
      <c r="B181">
        <f>Skills!B11</f>
        <v/>
      </c>
      <c r="C181">
        <f>Inputs!$B$3&gt;=60</f>
        <v/>
      </c>
      <c r="D181">
        <f>IF(Skills!C11=1,60+Inputs!$B$25+Inputs!$B$29,IF(Skills!C11=2,90+Inputs!$B$26+Inputs!$B$29,IF(Skills!C11=3,120+Inputs!$B$27+Inputs!$B$29,MAX(0,(Inputs!$B$3-100)*3)+Inputs!$B$28+Inputs!$B$29)))</f>
        <v/>
      </c>
      <c r="E181">
        <f>INDEX(FactorTable!$B$2:$Y$301, MATCH(ROUND(MIN(300,MAX(1,D181)),0), FactorTable!$A$2:$A$301,0), Skills!M11+1)</f>
        <v/>
      </c>
      <c r="F181">
        <f>IF(Skills!N11=TRUE,(Skills!L11/10)*(E181/1000),Skills!L11/10)+Skills!O11</f>
        <v/>
      </c>
      <c r="G181">
        <f>Calc!G11</f>
        <v/>
      </c>
      <c r="H181">
        <f>Calc!H11</f>
        <v/>
      </c>
      <c r="I181">
        <f>IF(Skills!AA11&lt;&gt;"",1+(Skills!AA11/10)*(U173/1000)/100,1)</f>
        <v/>
      </c>
      <c r="J181" t="inlineStr"/>
      <c r="K181" t="inlineStr"/>
      <c r="L181" t="inlineStr"/>
      <c r="M181" t="inlineStr"/>
      <c r="N181" t="inlineStr"/>
      <c r="O181">
        <f>(1-Summary!$B$11)*T181+Summary!$B$11*V181</f>
        <v/>
      </c>
      <c r="P181">
        <f>IF(B214=0,0,O181/B214)</f>
        <v/>
      </c>
      <c r="Q181" t="n">
        <v>0</v>
      </c>
      <c r="R181" t="n">
        <v>0</v>
      </c>
      <c r="S181">
        <f>IFERROR(O181/N181,0)</f>
        <v/>
      </c>
      <c r="T181" t="n">
        <v>0</v>
      </c>
      <c r="V181" t="n">
        <v>0</v>
      </c>
    </row>
    <row r="182">
      <c r="A182">
        <f>Skills!A12</f>
        <v/>
      </c>
      <c r="B182">
        <f>Skills!B12</f>
        <v/>
      </c>
      <c r="C182">
        <f>Inputs!$B$3&gt;=103</f>
        <v/>
      </c>
      <c r="D182">
        <f>IF(Skills!C12=1,60+Inputs!$B$25+Inputs!$B$29,IF(Skills!C12=2,90+Inputs!$B$26+Inputs!$B$29,IF(Skills!C12=3,120+Inputs!$B$27+Inputs!$B$29,MAX(0,(Inputs!$B$3-100)*3)+Inputs!$B$28+Inputs!$B$29)))</f>
        <v/>
      </c>
      <c r="E182">
        <f>INDEX(FactorTable!$B$2:$Y$301, MATCH(ROUND(MIN(300,MAX(1,D182)),0), FactorTable!$A$2:$A$301,0), Skills!M12+1)</f>
        <v/>
      </c>
      <c r="F182">
        <f>IF(Skills!N12=TRUE,(Skills!L12/10)*(E182/1000),Skills!L12/10)+Skills!O12</f>
        <v/>
      </c>
      <c r="G182">
        <f>Calc!G12</f>
        <v/>
      </c>
      <c r="H182">
        <f>Calc!H12</f>
        <v/>
      </c>
      <c r="I182">
        <f>IF(Skills!AA12&lt;&gt;"",1+(Skills!AA12/10)*(U173/1000)/100,1)</f>
        <v/>
      </c>
      <c r="J182">
        <f>((Inputs!$B$6*(1+Inputs!$B$7/100))+(((Inputs!$B$12*(1+Inputs!$B$13/100))-(Inputs!$B$12*(1+Inputs!$B$13/100)))+0.25*((Inputs!$B$14+1)-Inputs!$B$14))*(1+Inputs!$B$7/100))*(F182/100)</f>
        <v/>
      </c>
      <c r="K182">
        <f>J182*(1+((Inputs!$B$12*(1+Inputs!$B$13/100))*0.01+(Inputs!$B$14+1)*0.0025)/100)*(1+Inputs!$B$15/100)*(1+Inputs!$B$16/100)*(5000/(6000+Inputs!$B$43*(1-(100*(1-(1-(Inputs!$B$19+0)/100)*(1-CHOOSE(ArtifactsInput!$N$40+1,5,6,7,8,9,10)/100)^(ArtifactsInput!$M$40-ArtifactsInput!$M$40)))/100)))*(1+(Inputs!$B$24+((C200=TRUE)*(F200-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193=TRUE)*(F193-Calc!F23))+(((IF(AND(ArtifactsInput!$M$42,((Inputs!$B$9+((C195=TRUE)*(F195-Calc!F25))+B210+(ArtifactsInput!$M$24-ArtifactsInput!$M$24)*CHOOSE(ArtifactsInput!$N$24+1,10,12,14,16,18,20)+IF(ArtifactsInput!$M$10,CHOOSE(ArtifactsInput!$N$10+1,15,18,21,24,27,30)*(IF(Inputs!$B$39="pvp",MIN(15,15)/15,IF(AND(Inputs!$B$39&lt;&gt;"pvp",Inputs!$B$44&gt;0),MIN(15,Inputs!$B$44)/(Inputs!$B$44),0))),0)))&gt;=100),MIN(100,((Inputs!$B$9+((C195=TRUE)*(F195-Calc!F25))+B210+(ArtifactsInput!$M$24-ArtifactsInput!$M$24)*CHOOSE(ArtifactsInput!$N$24+1,10,12,14,16,18,20)+IF(ArtifactsInput!$M$10,CHOOSE(ArtifactsInput!$N$10+1,15,18,21,24,27,30)*(IF(Inputs!$B$39="pvp",MIN(15,15)/15,IF(AND(Inputs!$B$39&lt;&gt;"pvp",Inputs!$B$44&gt;0),MIN(15,Inputs!$B$44)/(Inputs!$B$44),0))),0)))-100),0))*CHOOSE(ArtifactsInput!$N$42+1,0.6,0.72,0.84,0.96,1.08,1.2))),Inputs!$B$18+((C199=TRUE)*(F199-Calc!F29))+(IF(AND(ArtifactsInput!$M$42,((Inputs!$B$9+((C195=TRUE)*(F195-Calc!F25))+B210+(ArtifactsInput!$M$24-ArtifactsInput!$M$24)*CHOOSE(ArtifactsInput!$N$24+1,10,12,14,16,18,20)+IF(ArtifactsInput!$M$10,CHOOSE(ArtifactsInput!$N$10+1,15,18,21,24,27,30)*(IF(Inputs!$B$39="pvp",MIN(15,15)/15,IF(AND(Inputs!$B$39&lt;&gt;"pvp",Inputs!$B$44&gt;0),MIN(15,Inputs!$B$44)/(Inputs!$B$44),0))),0)))&gt;=100),CHOOSE(ArtifactsInput!$N$42+1,40,48,56,64,72,80),0))))/100)*(((1+(((C191=TRUE)*F191*IF(AND(Inputs!$B$39&lt;&gt;"pvp",Inputs!$B$44&gt;0),(((R191-1)*(Skills!Y21*(1+Inputs!$B$34/100))+MIN((Skills!Y21*(1+Inputs!$B$34/100)),MAX(0,Inputs!$B$44-((R191-1)*Skills!D21))))/Inputs!$B$44),IF(Inputs!$B$39="pvp",MIN((Skills!Y21*(1+Inputs!$B$34/100)),15)/15,(Skills!Y21*(1+Inputs!$B$34/100))/Skills!D21)))+((C198=TRUE)*(F198-Calc!F28))+((C188=TRUE)*(F188-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TRUE)*F185*IF(AND(Inputs!$B$39&lt;&gt;"pvp",Inputs!$B$44&gt;0),(((R185-1)*(Skills!Y15*(1+Inputs!$B$34/100))+MIN((Skills!Y15*(1+Inputs!$B$34/100)),MAX(0,Inputs!$B$44-((R185-1)*Skills!D15))))/Inputs!$B$44),IF(Inputs!$B$39="pvp",MIN((Skills!Y15*(1+Inputs!$B$34/100)),15)/15,(Skills!Y15*(1+Inputs!$B$34/100))/Skills!D15)))/100)*(1+((C176=TRUE)*F176*B204)/100))*B212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182)</f>
        <v/>
      </c>
      <c r="L182">
        <f>K182*(MIN(Inputs!$B$22+((C194=TRUE)*(F194-Calc!F24)),(Inputs!$B$23+0+(IF(ArtifactsInput!$M$15,CHOOSE(ArtifactsInput!$N$15+1,25,30,35,40,45,50)/100*(Inputs!$B$11-Inputs!$B$11),0))))/100+(Inputs!$B$23+0+(IF(ArtifactsInput!$M$15,CHOOSE(ArtifactsInput!$N$15+1,25,30,35,40,45,50)/100*(Inputs!$B$11-Inputs!$B$11),0)))/100)/2</f>
        <v/>
      </c>
      <c r="M182">
        <f>L182*(1+(Inputs!$B$10+((C196=TRUE)*(F196-Calc!F26))+B213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2">
        <f>L182*(1-MIN((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182*(MIN((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2">
        <f>(1-Summary!$B$11)*T182+Summary!$B$11*V182</f>
        <v/>
      </c>
      <c r="P182">
        <f>IF(B214=0,0,O182/B214)</f>
        <v/>
      </c>
      <c r="Q182">
        <f>IFERROR(1/IF(Inputs!$B$39="pvp",15,MAX(0.1,Skills!D12-IF(Skills!E12=TRUE,Inputs!$B$32,0))),0)</f>
        <v/>
      </c>
      <c r="R182">
        <f>IF(AND(Inputs!$B$39&lt;&gt;"pvp",Inputs!$B$44&gt;0),IF(MAX(0,Inputs!$B$44-B215)&lt;=0,0,(INT(MAX(0,Inputs!$B$44-B215)/IF(Inputs!$B$39="pvp",15,MAX(0.1,Skills!D12-IF(Skills!E12=TRUE,Inputs!$B$32,0))))+1)),0)</f>
        <v/>
      </c>
      <c r="S182">
        <f>IFERROR(O182/N182,0)</f>
        <v/>
      </c>
      <c r="T182">
        <f>IF(C182,(H182*N182*IF(AND(Inputs!$B$39&lt;&gt;"pvp",Inputs!$B$44&gt;0),((Skills!G12*((R182-1)*IF(Skills!H12&gt;0,Skills!I12/Skills!H12,1)+IF(Skills!H12&gt;0,MIN(Skills!I12,MAX(0,MAX(0,Inputs!$B$44-B215)-((R182-1)*IF(Inputs!$B$39="pvp",15,MAX(0.1,Skills!D12-IF(Skills!E12=TRUE,Inputs!$B$32,0))))))/Skills!H12,1)))/Inputs!$B$44),G182*Q182))*IF(Inputs!$B$39="pvp",1,1+(Inputs!$B$20+((C197=TRUE)*(F197-Calc!F27))+Skills!P12+B211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Hunt"),CHOOSE(ArtifactsInput!$N$35+1,15,18,21,24,27,30)*(1-EXP(-(0.2*B206)*5)),0)+IF(AND(ArtifactsInput!$M$22,Inputs!$B$4&lt;&gt;"Chapter Hunt"),CHOOSE(ArtifactsInput!$N$22+1,10,12,14,16,18,20)*((0*(((0.15*B206*5))^0/1)+1*(((0.15*B206*5))^1/1)+2*(((0.15*B206*5))^2/2)+3*(((0.15*B206*5))^3/6)+4*(((0.15*B206*5))^4/24)+5*(((0.15*B206*5))^5/120))/((((0.15*B206*5))^0/1)+(((0.15*B206*5))^1/1)+(((0.15*B206*5))^2/2)+(((0.15*B206*5))^3/6)+(((0.15*B206*5))^4/24)+(((0.15*B206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182*(1-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182*(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182*(1-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182*(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2">
        <f>IF(C182,(H182*N182*IF(AND(Inputs!$B$39&lt;&gt;"pvp",Inputs!$B$44&gt;0),((Skills!G12*((R182-1)*IF(Skills!H12&gt;0,Skills!I12/Skills!H12,1)+IF(Skills!H12&gt;0,MIN(Skills!I12,MAX(0,MAX(0,Inputs!$B$44-B215)-((R182-1)*IF(Inputs!$B$39="pvp",15,MAX(0.1,Skills!D12-IF(Skills!E12=TRUE,Inputs!$B$32,0))))))/Skills!H12,1)))/Inputs!$B$44),G182*Q182))*IF(Inputs!$B$39="pvp",1,(1+(Inputs!$B$21+Skills!Q12+B211+(IF(ArtifactsInput!$M$33,CHOOSE(ArtifactsInput!$N$33+1,30,36,42,48,54,60),0))+(IF(AND(ArtifactsInput!$M$35,Inputs!$B$4&lt;&gt;"Chapter Hunt"),CHOOSE(ArtifactsInput!$N$35+1,15,18,21,24,27,30)*(1-EXP(-(0.2*B206)*5)),0)+IF(AND(ArtifactsInput!$M$22,Inputs!$B$4&lt;&gt;"Chapter Hunt"),CHOOSE(ArtifactsInput!$N$22+1,10,12,14,16,18,20)*((0*(((0.15*B206*5))^0/1)+1*(((0.15*B206*5))^1/1)+2*(((0.15*B206*5))^2/2)+3*(((0.15*B206*5))^3/6)+4*(((0.15*B206*5))^4/24)+5*(((0.15*B206*5))^5/120))/((((0.15*B206*5))^0/1)+(((0.15*B206*5))^1/1)+(((0.15*B206*5))^2/2)+(((0.15*B206*5))^3/6)+(((0.15*B206*5))^4/24)+(((0.15*B206*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3">
      <c r="A183">
        <f>Skills!A13</f>
        <v/>
      </c>
      <c r="B183">
        <f>Skills!B13</f>
        <v/>
      </c>
      <c r="C183">
        <f>Inputs!$B$3&gt;=105</f>
        <v/>
      </c>
      <c r="D183">
        <f>IF(Skills!C13=1,60+Inputs!$B$25+Inputs!$B$29,IF(Skills!C13=2,90+Inputs!$B$26+Inputs!$B$29,IF(Skills!C13=3,120+Inputs!$B$27+Inputs!$B$29,MAX(0,(Inputs!$B$3-100)*3)+Inputs!$B$28+Inputs!$B$29)))</f>
        <v/>
      </c>
      <c r="E183">
        <f>INDEX(FactorTable!$B$2:$Y$301, MATCH(ROUND(MIN(300,MAX(1,D183)),0), FactorTable!$A$2:$A$301,0), Skills!M13+1)</f>
        <v/>
      </c>
      <c r="F183">
        <f>IF(Skills!N13=TRUE,(Skills!L13/10)*(E183/1000),Skills!L13/10)+Skills!O13</f>
        <v/>
      </c>
      <c r="G183">
        <f>Calc!G13</f>
        <v/>
      </c>
      <c r="H183">
        <f>Calc!H13</f>
        <v/>
      </c>
      <c r="I183">
        <f>IF(Skills!AA13&lt;&gt;"",1+(Skills!AA13/10)*(U173/1000)/100,1)</f>
        <v/>
      </c>
      <c r="J183">
        <f>((Inputs!$B$6*(1+Inputs!$B$7/100))+(((Inputs!$B$12*(1+Inputs!$B$13/100))-(Inputs!$B$12*(1+Inputs!$B$13/100)))+0.25*((Inputs!$B$14+1)-Inputs!$B$14))*(1+Inputs!$B$7/100))*(F183/100)</f>
        <v/>
      </c>
      <c r="K183">
        <f>J183*(1+((Inputs!$B$12*(1+Inputs!$B$13/100))*0.01+(Inputs!$B$14+1)*0.0025)/100)*(1+Inputs!$B$15/100)*(1+Inputs!$B$16/100)*(5000/(6000+Inputs!$B$43*(1-(100*(1-(1-(Inputs!$B$19+0)/100)*(1-CHOOSE(ArtifactsInput!$N$40+1,5,6,7,8,9,10)/100)^(ArtifactsInput!$M$40-ArtifactsInput!$M$40)))/100)))*(1+(Inputs!$B$24+((C200=TRUE)*(F200-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193=TRUE)*(F193-Calc!F23))+(((IF(AND(ArtifactsInput!$M$42,((Inputs!$B$9+((C195=TRUE)*(F195-Calc!F25))+B210+(ArtifactsInput!$M$24-ArtifactsInput!$M$24)*CHOOSE(ArtifactsInput!$N$24+1,10,12,14,16,18,20)+IF(ArtifactsInput!$M$10,CHOOSE(ArtifactsInput!$N$10+1,15,18,21,24,27,30)*(IF(Inputs!$B$39="pvp",MIN(15,15)/15,IF(AND(Inputs!$B$39&lt;&gt;"pvp",Inputs!$B$44&gt;0),MIN(15,Inputs!$B$44)/(Inputs!$B$44),0))),0)))&gt;=100),MIN(100,((Inputs!$B$9+((C195=TRUE)*(F195-Calc!F25))+B210+(ArtifactsInput!$M$24-ArtifactsInput!$M$24)*CHOOSE(ArtifactsInput!$N$24+1,10,12,14,16,18,20)+IF(ArtifactsInput!$M$10,CHOOSE(ArtifactsInput!$N$10+1,15,18,21,24,27,30)*(IF(Inputs!$B$39="pvp",MIN(15,15)/15,IF(AND(Inputs!$B$39&lt;&gt;"pvp",Inputs!$B$44&gt;0),MIN(15,Inputs!$B$44)/(Inputs!$B$44),0))),0)))-100),0))*CHOOSE(ArtifactsInput!$N$42+1,0.6,0.72,0.84,0.96,1.08,1.2))),Inputs!$B$18+((C199=TRUE)*(F199-Calc!F29))+(IF(AND(ArtifactsInput!$M$42,((Inputs!$B$9+((C195=TRUE)*(F195-Calc!F25))+B210+(ArtifactsInput!$M$24-ArtifactsInput!$M$24)*CHOOSE(ArtifactsInput!$N$24+1,10,12,14,16,18,20)+IF(ArtifactsInput!$M$10,CHOOSE(ArtifactsInput!$N$10+1,15,18,21,24,27,30)*(IF(Inputs!$B$39="pvp",MIN(15,15)/15,IF(AND(Inputs!$B$39&lt;&gt;"pvp",Inputs!$B$44&gt;0),MIN(15,Inputs!$B$44)/(Inputs!$B$44),0))),0)))&gt;=100),CHOOSE(ArtifactsInput!$N$42+1,40,48,56,64,72,80),0))))/100)*(((1+(((C191=TRUE)*F191*IF(AND(Inputs!$B$39&lt;&gt;"pvp",Inputs!$B$44&gt;0),(((R191-1)*(Skills!Y21*(1+Inputs!$B$34/100))+MIN((Skills!Y21*(1+Inputs!$B$34/100)),MAX(0,Inputs!$B$44-((R191-1)*Skills!D21))))/Inputs!$B$44),IF(Inputs!$B$39="pvp",MIN((Skills!Y21*(1+Inputs!$B$34/100)),15)/15,(Skills!Y21*(1+Inputs!$B$34/100))/Skills!D21)))+((C198=TRUE)*(F198-Calc!F28))+((C188=TRUE)*(F188-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TRUE)*F185*IF(AND(Inputs!$B$39&lt;&gt;"pvp",Inputs!$B$44&gt;0),(((R185-1)*(Skills!Y15*(1+Inputs!$B$34/100))+MIN((Skills!Y15*(1+Inputs!$B$34/100)),MAX(0,Inputs!$B$44-((R185-1)*Skills!D15))))/Inputs!$B$44),IF(Inputs!$B$39="pvp",MIN((Skills!Y15*(1+Inputs!$B$34/100)),15)/15,(Skills!Y15*(1+Inputs!$B$34/100))/Skills!D15)))/100)*(1+((C176=TRUE)*F176*B204)/100))*B212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183)</f>
        <v/>
      </c>
      <c r="L183">
        <f>K183*(MIN(Inputs!$B$22+((C194=TRUE)*(F194-Calc!F24)),(Inputs!$B$23+0+(IF(ArtifactsInput!$M$15,CHOOSE(ArtifactsInput!$N$15+1,25,30,35,40,45,50)/100*(Inputs!$B$11-Inputs!$B$11),0))))/100+(Inputs!$B$23+0+(IF(ArtifactsInput!$M$15,CHOOSE(ArtifactsInput!$N$15+1,25,30,35,40,45,50)/100*(Inputs!$B$11-Inputs!$B$11),0)))/100)/2</f>
        <v/>
      </c>
      <c r="M183">
        <f>L183*(1+(Inputs!$B$10+((C196=TRUE)*(F196-Calc!F26))+B213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3">
        <f>L183*(1-MIN((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183*(MIN((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3">
        <f>(1-Summary!$B$11)*T183+Summary!$B$11*V183</f>
        <v/>
      </c>
      <c r="P183">
        <f>IF(B214=0,0,O183/B214)</f>
        <v/>
      </c>
      <c r="Q183">
        <f>IFERROR(1/IF(Inputs!$B$39="pvp",15,MAX(0.1,Skills!D13-IF(Skills!E13=TRUE,Inputs!$B$32,0))),0)</f>
        <v/>
      </c>
      <c r="R183">
        <f>IF(AND(Inputs!$B$39&lt;&gt;"pvp",Inputs!$B$44&gt;0),IF(MAX(0,Inputs!$B$44-B215)&lt;=0,0,(INT(MAX(0,Inputs!$B$44-B215)/IF(Inputs!$B$39="pvp",15,MAX(0.1,Skills!D13-IF(Skills!E13=TRUE,Inputs!$B$32,0))))+1)),0)</f>
        <v/>
      </c>
      <c r="S183">
        <f>IFERROR(O183/N183,0)</f>
        <v/>
      </c>
      <c r="T183">
        <f>IF(C183,(H183*N183*IF(AND(Inputs!$B$39&lt;&gt;"pvp",Inputs!$B$44&gt;0),((Skills!G13*((R183-1)*IF(Skills!H13&gt;0,Skills!I13/Skills!H13,1)+IF(Skills!H13&gt;0,MIN(Skills!I13,MAX(0,MAX(0,Inputs!$B$44-B215)-((R183-1)*IF(Inputs!$B$39="pvp",15,MAX(0.1,Skills!D13-IF(Skills!E13=TRUE,Inputs!$B$32,0))))))/Skills!H13,1)))/Inputs!$B$44),G183*Q183))*IF(Inputs!$B$39="pvp",1,1+(Inputs!$B$20+((C197=TRUE)*(F197-Calc!F27))+Skills!P13+B211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Hunt"),CHOOSE(ArtifactsInput!$N$35+1,15,18,21,24,27,30)*(1-EXP(-(0.2*B206)*5)),0)+IF(AND(ArtifactsInput!$M$22,Inputs!$B$4&lt;&gt;"Chapter Hunt"),CHOOSE(ArtifactsInput!$N$22+1,10,12,14,16,18,20)*((0*(((0.15*B206*5))^0/1)+1*(((0.15*B206*5))^1/1)+2*(((0.15*B206*5))^2/2)+3*(((0.15*B206*5))^3/6)+4*(((0.15*B206*5))^4/24)+5*(((0.15*B206*5))^5/120))/((((0.15*B206*5))^0/1)+(((0.15*B206*5))^1/1)+(((0.15*B206*5))^2/2)+(((0.15*B206*5))^3/6)+(((0.15*B206*5))^4/24)+(((0.15*B206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183*(1-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183*(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183*(1-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183*(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3">
        <f>IF(C183,(H183*N183*IF(AND(Inputs!$B$39&lt;&gt;"pvp",Inputs!$B$44&gt;0),((Skills!G13*((R183-1)*IF(Skills!H13&gt;0,Skills!I13/Skills!H13,1)+IF(Skills!H13&gt;0,MIN(Skills!I13,MAX(0,MAX(0,Inputs!$B$44-B215)-((R183-1)*IF(Inputs!$B$39="pvp",15,MAX(0.1,Skills!D13-IF(Skills!E13=TRUE,Inputs!$B$32,0))))))/Skills!H13,1)))/Inputs!$B$44),G183*Q183))*IF(Inputs!$B$39="pvp",1,(1+(Inputs!$B$21+Skills!Q13+B211+(IF(ArtifactsInput!$M$33,CHOOSE(ArtifactsInput!$N$33+1,30,36,42,48,54,60),0))+(IF(AND(ArtifactsInput!$M$35,Inputs!$B$4&lt;&gt;"Chapter Hunt"),CHOOSE(ArtifactsInput!$N$35+1,15,18,21,24,27,30)*(1-EXP(-(0.2*B206)*5)),0)+IF(AND(ArtifactsInput!$M$22,Inputs!$B$4&lt;&gt;"Chapter Hunt"),CHOOSE(ArtifactsInput!$N$22+1,10,12,14,16,18,20)*((0*(((0.15*B206*5))^0/1)+1*(((0.15*B206*5))^1/1)+2*(((0.15*B206*5))^2/2)+3*(((0.15*B206*5))^3/6)+4*(((0.15*B206*5))^4/24)+5*(((0.15*B206*5))^5/120))/((((0.15*B206*5))^0/1)+(((0.15*B206*5))^1/1)+(((0.15*B206*5))^2/2)+(((0.15*B206*5))^3/6)+(((0.15*B206*5))^4/24)+(((0.15*B206*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4">
      <c r="A184">
        <f>Skills!A14</f>
        <v/>
      </c>
      <c r="B184">
        <f>Skills!B14</f>
        <v/>
      </c>
      <c r="C184">
        <f>Inputs!$B$3&gt;=105</f>
        <v/>
      </c>
      <c r="D184">
        <f>IF(Skills!C14=1,60+Inputs!$B$25+Inputs!$B$29,IF(Skills!C14=2,90+Inputs!$B$26+Inputs!$B$29,IF(Skills!C14=3,120+Inputs!$B$27+Inputs!$B$29,MAX(0,(Inputs!$B$3-100)*3)+Inputs!$B$28+Inputs!$B$29)))</f>
        <v/>
      </c>
      <c r="E184">
        <f>INDEX(FactorTable!$B$2:$Y$301, MATCH(ROUND(MIN(300,MAX(1,D184)),0), FactorTable!$A$2:$A$301,0), Skills!M14+1)</f>
        <v/>
      </c>
      <c r="F184">
        <f>IF(Skills!N14=TRUE,(Skills!L14/10)*(E184/1000),Skills!L14/10)+Skills!O14</f>
        <v/>
      </c>
      <c r="G184">
        <f>Calc!G14</f>
        <v/>
      </c>
      <c r="H184">
        <f>Calc!H14</f>
        <v/>
      </c>
      <c r="I184">
        <f>IF(Skills!AA14&lt;&gt;"",1+(Skills!AA14/10)*(U173/1000)/100,1)</f>
        <v/>
      </c>
      <c r="J184">
        <f>((Inputs!$B$6*(1+Inputs!$B$7/100))+(((Inputs!$B$12*(1+Inputs!$B$13/100))-(Inputs!$B$12*(1+Inputs!$B$13/100)))+0.25*((Inputs!$B$14+1)-Inputs!$B$14))*(1+Inputs!$B$7/100))*(F184/100)</f>
        <v/>
      </c>
      <c r="K184">
        <f>J184*(1+((Inputs!$B$12*(1+Inputs!$B$13/100))*0.01+(Inputs!$B$14+1)*0.0025)/100)*(1+Inputs!$B$15/100)*(1+Inputs!$B$16/100)*(5000/(6000+Inputs!$B$43*(1-(100*(1-(1-(Inputs!$B$19+0)/100)*(1-CHOOSE(ArtifactsInput!$N$40+1,5,6,7,8,9,10)/100)^(ArtifactsInput!$M$40-ArtifactsInput!$M$40)))/100)))*(1+(Inputs!$B$24+((C200=TRUE)*(F200-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193=TRUE)*(F193-Calc!F23))+(((IF(AND(ArtifactsInput!$M$42,((Inputs!$B$9+((C195=TRUE)*(F195-Calc!F25))+B210+(ArtifactsInput!$M$24-ArtifactsInput!$M$24)*CHOOSE(ArtifactsInput!$N$24+1,10,12,14,16,18,20)+IF(ArtifactsInput!$M$10,CHOOSE(ArtifactsInput!$N$10+1,15,18,21,24,27,30)*(IF(Inputs!$B$39="pvp",MIN(15,15)/15,IF(AND(Inputs!$B$39&lt;&gt;"pvp",Inputs!$B$44&gt;0),MIN(15,Inputs!$B$44)/(Inputs!$B$44),0))),0)))&gt;=100),MIN(100,((Inputs!$B$9+((C195=TRUE)*(F195-Calc!F25))+B210+(ArtifactsInput!$M$24-ArtifactsInput!$M$24)*CHOOSE(ArtifactsInput!$N$24+1,10,12,14,16,18,20)+IF(ArtifactsInput!$M$10,CHOOSE(ArtifactsInput!$N$10+1,15,18,21,24,27,30)*(IF(Inputs!$B$39="pvp",MIN(15,15)/15,IF(AND(Inputs!$B$39&lt;&gt;"pvp",Inputs!$B$44&gt;0),MIN(15,Inputs!$B$44)/(Inputs!$B$44),0))),0)))-100),0))*CHOOSE(ArtifactsInput!$N$42+1,0.6,0.72,0.84,0.96,1.08,1.2))),Inputs!$B$18+((C199=TRUE)*(F199-Calc!F29))+(IF(AND(ArtifactsInput!$M$42,((Inputs!$B$9+((C195=TRUE)*(F195-Calc!F25))+B210+(ArtifactsInput!$M$24-ArtifactsInput!$M$24)*CHOOSE(ArtifactsInput!$N$24+1,10,12,14,16,18,20)+IF(ArtifactsInput!$M$10,CHOOSE(ArtifactsInput!$N$10+1,15,18,21,24,27,30)*(IF(Inputs!$B$39="pvp",MIN(15,15)/15,IF(AND(Inputs!$B$39&lt;&gt;"pvp",Inputs!$B$44&gt;0),MIN(15,Inputs!$B$44)/(Inputs!$B$44),0))),0)))&gt;=100),CHOOSE(ArtifactsInput!$N$42+1,40,48,56,64,72,80),0))))/100)*(((1+(((C191=TRUE)*F191*IF(AND(Inputs!$B$39&lt;&gt;"pvp",Inputs!$B$44&gt;0),(((R191-1)*(Skills!Y21*(1+Inputs!$B$34/100))+MIN((Skills!Y21*(1+Inputs!$B$34/100)),MAX(0,Inputs!$B$44-((R191-1)*Skills!D21))))/Inputs!$B$44),IF(Inputs!$B$39="pvp",MIN((Skills!Y21*(1+Inputs!$B$34/100)),15)/15,(Skills!Y21*(1+Inputs!$B$34/100))/Skills!D21)))+((C198=TRUE)*(F198-Calc!F28))+((C188=TRUE)*(F188-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TRUE)*F185*IF(AND(Inputs!$B$39&lt;&gt;"pvp",Inputs!$B$44&gt;0),(((R185-1)*(Skills!Y15*(1+Inputs!$B$34/100))+MIN((Skills!Y15*(1+Inputs!$B$34/100)),MAX(0,Inputs!$B$44-((R185-1)*Skills!D15))))/Inputs!$B$44),IF(Inputs!$B$39="pvp",MIN((Skills!Y15*(1+Inputs!$B$34/100)),15)/15,(Skills!Y15*(1+Inputs!$B$34/100))/Skills!D15)))/100)*(1+((C176=TRUE)*F176*B204)/100))*B212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184)</f>
        <v/>
      </c>
      <c r="L184">
        <f>K184*(MIN(Inputs!$B$22+((C194=TRUE)*(F194-Calc!F24)),(Inputs!$B$23+0+(IF(ArtifactsInput!$M$15,CHOOSE(ArtifactsInput!$N$15+1,25,30,35,40,45,50)/100*(Inputs!$B$11-Inputs!$B$11),0))))/100+(Inputs!$B$23+0+(IF(ArtifactsInput!$M$15,CHOOSE(ArtifactsInput!$N$15+1,25,30,35,40,45,50)/100*(Inputs!$B$11-Inputs!$B$11),0)))/100)/2</f>
        <v/>
      </c>
      <c r="M184">
        <f>L184*(1+(Inputs!$B$10+((C196=TRUE)*(F196-Calc!F26))+B213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4">
        <f>L184*(1-MIN((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184*(MIN((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4">
        <f>(1-Summary!$B$11)*T184+Summary!$B$11*V184</f>
        <v/>
      </c>
      <c r="P184">
        <f>IF(B214=0,0,O184/B214)</f>
        <v/>
      </c>
      <c r="Q184">
        <f>IFERROR(1/IF(Inputs!$B$39="pvp",15,MAX(0.1,Skills!D14-IF(Skills!E14=TRUE,Inputs!$B$32,0))),0)</f>
        <v/>
      </c>
      <c r="R184">
        <f>IF(AND(Inputs!$B$39&lt;&gt;"pvp",Inputs!$B$44&gt;0),IF(MAX(0,Inputs!$B$44-B215)&lt;=0,0,(INT(MAX(0,Inputs!$B$44-B215)/IF(Inputs!$B$39="pvp",15,MAX(0.1,Skills!D14-IF(Skills!E14=TRUE,Inputs!$B$32,0))))+1)),0)</f>
        <v/>
      </c>
      <c r="S184">
        <f>IFERROR(O184/N184,0)</f>
        <v/>
      </c>
      <c r="T184">
        <f>IF(C184,(H184*N184*IF(AND(Inputs!$B$39&lt;&gt;"pvp",Inputs!$B$44&gt;0),((Skills!G14*((R184-1)*IF(Skills!H14&gt;0,Skills!I14/Skills!H14,1)+IF(Skills!H14&gt;0,MIN(Skills!I14,MAX(0,MAX(0,Inputs!$B$44-B215)-((R184-1)*IF(Inputs!$B$39="pvp",15,MAX(0.1,Skills!D14-IF(Skills!E14=TRUE,Inputs!$B$32,0))))))/Skills!H14,1)))/Inputs!$B$44),G184*Q184))*IF(Inputs!$B$39="pvp",1,1+(Inputs!$B$20+((C197=TRUE)*(F197-Calc!F27))+Skills!P14+B211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Hunt"),CHOOSE(ArtifactsInput!$N$35+1,15,18,21,24,27,30)*(1-EXP(-(0.2*B206)*5)),0)+IF(AND(ArtifactsInput!$M$22,Inputs!$B$4&lt;&gt;"Chapter Hunt"),CHOOSE(ArtifactsInput!$N$22+1,10,12,14,16,18,20)*((0*(((0.15*B206*5))^0/1)+1*(((0.15*B206*5))^1/1)+2*(((0.15*B206*5))^2/2)+3*(((0.15*B206*5))^3/6)+4*(((0.15*B206*5))^4/24)+5*(((0.15*B206*5))^5/120))/((((0.15*B206*5))^0/1)+(((0.15*B206*5))^1/1)+(((0.15*B206*5))^2/2)+(((0.15*B206*5))^3/6)+(((0.15*B206*5))^4/24)+(((0.15*B206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184*(1-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184*(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184*(1-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184*(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4">
        <f>IF(C184,(H184*N184*IF(AND(Inputs!$B$39&lt;&gt;"pvp",Inputs!$B$44&gt;0),((Skills!G14*((R184-1)*IF(Skills!H14&gt;0,Skills!I14/Skills!H14,1)+IF(Skills!H14&gt;0,MIN(Skills!I14,MAX(0,MAX(0,Inputs!$B$44-B215)-((R184-1)*IF(Inputs!$B$39="pvp",15,MAX(0.1,Skills!D14-IF(Skills!E14=TRUE,Inputs!$B$32,0))))))/Skills!H14,1)))/Inputs!$B$44),G184*Q184))*IF(Inputs!$B$39="pvp",1,(1+(Inputs!$B$21+Skills!Q14+B211+(IF(ArtifactsInput!$M$33,CHOOSE(ArtifactsInput!$N$33+1,30,36,42,48,54,60),0))+(IF(AND(ArtifactsInput!$M$35,Inputs!$B$4&lt;&gt;"Chapter Hunt"),CHOOSE(ArtifactsInput!$N$35+1,15,18,21,24,27,30)*(1-EXP(-(0.2*B206)*5)),0)+IF(AND(ArtifactsInput!$M$22,Inputs!$B$4&lt;&gt;"Chapter Hunt"),CHOOSE(ArtifactsInput!$N$22+1,10,12,14,16,18,20)*((0*(((0.15*B206*5))^0/1)+1*(((0.15*B206*5))^1/1)+2*(((0.15*B206*5))^2/2)+3*(((0.15*B206*5))^3/6)+4*(((0.15*B206*5))^4/24)+5*(((0.15*B206*5))^5/120))/((((0.15*B206*5))^0/1)+(((0.15*B206*5))^1/1)+(((0.15*B206*5))^2/2)+(((0.15*B206*5))^3/6)+(((0.15*B206*5))^4/24)+(((0.15*B206*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5">
      <c r="A185">
        <f>Skills!A15</f>
        <v/>
      </c>
      <c r="B185">
        <f>Skills!B15</f>
        <v/>
      </c>
      <c r="C185">
        <f>Inputs!$B$3&gt;=110</f>
        <v/>
      </c>
      <c r="D185">
        <f>IF(Skills!C15=1,60+Inputs!$B$25+Inputs!$B$29,IF(Skills!C15=2,90+Inputs!$B$26+Inputs!$B$29,IF(Skills!C15=3,120+Inputs!$B$27+Inputs!$B$29,MAX(0,(Inputs!$B$3-100)*3)+Inputs!$B$28+Inputs!$B$29)))</f>
        <v/>
      </c>
      <c r="E185">
        <f>INDEX(FactorTable!$B$2:$Y$301, MATCH(ROUND(MIN(300,MAX(1,D185)),0), FactorTable!$A$2:$A$301,0), Skills!M15+1)</f>
        <v/>
      </c>
      <c r="F185">
        <f>IF(Skills!N15=TRUE,(Skills!L15/10)*(E185/1000),Skills!L15/10)+Skills!O15</f>
        <v/>
      </c>
      <c r="G185">
        <f>Calc!G15</f>
        <v/>
      </c>
      <c r="H185">
        <f>Calc!H15</f>
        <v/>
      </c>
      <c r="I185">
        <f>IF(Skills!AA15&lt;&gt;"",1+(Skills!AA15/10)*(U173/1000)/100,1)</f>
        <v/>
      </c>
      <c r="J185" t="inlineStr"/>
      <c r="K185" t="inlineStr"/>
      <c r="L185" t="inlineStr"/>
      <c r="M185" t="inlineStr"/>
      <c r="N185" t="inlineStr"/>
      <c r="O185">
        <f>(1-Summary!$B$11)*T185+Summary!$B$11*V185</f>
        <v/>
      </c>
      <c r="P185">
        <f>IF(B214=0,0,O185/B214)</f>
        <v/>
      </c>
      <c r="Q185">
        <f>IFERROR(1/IF(Inputs!$B$39="pvp",15,MAX(0.1,Skills!D15-IF(Skills!E15=TRUE,Inputs!$B$32,0))),0)</f>
        <v/>
      </c>
      <c r="R185">
        <f>IF(AND(Inputs!$B$39&lt;&gt;"pvp",Inputs!$B$44&gt;0),IF(Inputs!$B$44&lt;=0,0,(INT(Inputs!$B$44/IF(Inputs!$B$39="pvp",15,MAX(0.1,Skills!D15-IF(Skills!E15=TRUE,Inputs!$B$32,0))))+1)),0)</f>
        <v/>
      </c>
      <c r="S185">
        <f>IFERROR(O185/N185,0)</f>
        <v/>
      </c>
      <c r="T185" t="n">
        <v>0</v>
      </c>
      <c r="V185" t="n">
        <v>0</v>
      </c>
    </row>
    <row r="186">
      <c r="A186">
        <f>Skills!A16</f>
        <v/>
      </c>
      <c r="B186">
        <f>Skills!B16</f>
        <v/>
      </c>
      <c r="C186">
        <f>Inputs!$B$3&gt;=110</f>
        <v/>
      </c>
      <c r="D186">
        <f>IF(Skills!C16=1,60+Inputs!$B$25+Inputs!$B$29,IF(Skills!C16=2,90+Inputs!$B$26+Inputs!$B$29,IF(Skills!C16=3,120+Inputs!$B$27+Inputs!$B$29,MAX(0,(Inputs!$B$3-100)*3)+Inputs!$B$28+Inputs!$B$29)))</f>
        <v/>
      </c>
      <c r="E186">
        <f>INDEX(FactorTable!$B$2:$Y$301, MATCH(ROUND(MIN(300,MAX(1,D186)),0), FactorTable!$A$2:$A$301,0), Skills!M16+1)</f>
        <v/>
      </c>
      <c r="F186">
        <f>IF(Skills!N16=TRUE,(Skills!L16/10)*(E186/1000),Skills!L16/10)+Skills!O16</f>
        <v/>
      </c>
      <c r="G186">
        <f>Calc!G16</f>
        <v/>
      </c>
      <c r="H186">
        <f>Calc!H16</f>
        <v/>
      </c>
      <c r="I186">
        <f>IF(Skills!AA16&lt;&gt;"",1+(Skills!AA16/10)*(U173/1000)/100,1)</f>
        <v/>
      </c>
      <c r="J186" t="inlineStr"/>
      <c r="K186" t="inlineStr"/>
      <c r="L186" t="inlineStr"/>
      <c r="M186" t="inlineStr"/>
      <c r="N186" t="inlineStr"/>
      <c r="O186">
        <f>(1-Summary!$B$11)*T186+Summary!$B$11*V186</f>
        <v/>
      </c>
      <c r="P186">
        <f>IF(B214=0,0,O186/B214)</f>
        <v/>
      </c>
      <c r="Q186">
        <f>IFERROR(1/IF(Inputs!$B$39="pvp",15,MAX(0.1,Skills!D16-IF(Skills!E16=TRUE,Inputs!$B$32,0))),0)</f>
        <v/>
      </c>
      <c r="R186">
        <f>IF(AND(Inputs!$B$39&lt;&gt;"pvp",Inputs!$B$44&gt;0),IF(Inputs!$B$44&lt;=0,0,(INT(Inputs!$B$44/IF(Inputs!$B$39="pvp",15,MAX(0.1,Skills!D16-IF(Skills!E16=TRUE,Inputs!$B$32,0))))+1)),0)</f>
        <v/>
      </c>
      <c r="S186">
        <f>IFERROR(O186/N186,0)</f>
        <v/>
      </c>
      <c r="T186" t="n">
        <v>0</v>
      </c>
      <c r="V186" t="n">
        <v>0</v>
      </c>
    </row>
    <row r="187">
      <c r="A187">
        <f>Skills!A17</f>
        <v/>
      </c>
      <c r="B187">
        <f>Skills!B17</f>
        <v/>
      </c>
      <c r="C187">
        <f>Inputs!$B$3&gt;=115</f>
        <v/>
      </c>
      <c r="D187">
        <f>IF(Skills!C17=1,60+Inputs!$B$25+Inputs!$B$29,IF(Skills!C17=2,90+Inputs!$B$26+Inputs!$B$29,IF(Skills!C17=3,120+Inputs!$B$27+Inputs!$B$29,MAX(0,(Inputs!$B$3-100)*3)+Inputs!$B$28+Inputs!$B$29)))</f>
        <v/>
      </c>
      <c r="E187">
        <f>INDEX(FactorTable!$B$2:$Y$301, MATCH(ROUND(MIN(300,MAX(1,D187)),0), FactorTable!$A$2:$A$301,0), Skills!M17+1)</f>
        <v/>
      </c>
      <c r="F187">
        <f>IF(Skills!N17=TRUE,(Skills!L17/10)*(E187/1000),Skills!L17/10)+Skills!O17</f>
        <v/>
      </c>
      <c r="G187">
        <f>Calc!G17</f>
        <v/>
      </c>
      <c r="H187">
        <f>Calc!H17</f>
        <v/>
      </c>
      <c r="I187">
        <f>IF(Skills!AA17&lt;&gt;"",1+(Skills!AA17/10)*(U173/1000)/100,1)</f>
        <v/>
      </c>
      <c r="J187">
        <f>((Inputs!$B$6*(1+Inputs!$B$7/100))+(((Inputs!$B$12*(1+Inputs!$B$13/100))-(Inputs!$B$12*(1+Inputs!$B$13/100)))+0.25*((Inputs!$B$14+1)-Inputs!$B$14))*(1+Inputs!$B$7/100))*(F187/100)</f>
        <v/>
      </c>
      <c r="K187">
        <f>J187*(1+((Inputs!$B$12*(1+Inputs!$B$13/100))*0.01+(Inputs!$B$14+1)*0.0025)/100)*(1+Inputs!$B$15/100)*(1+Inputs!$B$16/100)*(5000/(6000+Inputs!$B$43*(1-(100*(1-(1-(Inputs!$B$19+0)/100)*(1-CHOOSE(ArtifactsInput!$N$40+1,5,6,7,8,9,10)/100)^(ArtifactsInput!$M$40-ArtifactsInput!$M$40)))/100)))*(1+(Inputs!$B$24+((C200=TRUE)*(F200-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193=TRUE)*(F193-Calc!F23))+(((IF(AND(ArtifactsInput!$M$42,((Inputs!$B$9+((C195=TRUE)*(F195-Calc!F25))+B210+(ArtifactsInput!$M$24-ArtifactsInput!$M$24)*CHOOSE(ArtifactsInput!$N$24+1,10,12,14,16,18,20)+IF(ArtifactsInput!$M$10,CHOOSE(ArtifactsInput!$N$10+1,15,18,21,24,27,30)*(IF(Inputs!$B$39="pvp",MIN(15,15)/15,IF(AND(Inputs!$B$39&lt;&gt;"pvp",Inputs!$B$44&gt;0),MIN(15,Inputs!$B$44)/(Inputs!$B$44),0))),0)))&gt;=100),MIN(100,((Inputs!$B$9+((C195=TRUE)*(F195-Calc!F25))+B210+(ArtifactsInput!$M$24-ArtifactsInput!$M$24)*CHOOSE(ArtifactsInput!$N$24+1,10,12,14,16,18,20)+IF(ArtifactsInput!$M$10,CHOOSE(ArtifactsInput!$N$10+1,15,18,21,24,27,30)*(IF(Inputs!$B$39="pvp",MIN(15,15)/15,IF(AND(Inputs!$B$39&lt;&gt;"pvp",Inputs!$B$44&gt;0),MIN(15,Inputs!$B$44)/(Inputs!$B$44),0))),0)))-100),0))*CHOOSE(ArtifactsInput!$N$42+1,0.6,0.72,0.84,0.96,1.08,1.2))),Inputs!$B$18+((C199=TRUE)*(F199-Calc!F29))+(IF(AND(ArtifactsInput!$M$42,((Inputs!$B$9+((C195=TRUE)*(F195-Calc!F25))+B210+(ArtifactsInput!$M$24-ArtifactsInput!$M$24)*CHOOSE(ArtifactsInput!$N$24+1,10,12,14,16,18,20)+IF(ArtifactsInput!$M$10,CHOOSE(ArtifactsInput!$N$10+1,15,18,21,24,27,30)*(IF(Inputs!$B$39="pvp",MIN(15,15)/15,IF(AND(Inputs!$B$39&lt;&gt;"pvp",Inputs!$B$44&gt;0),MIN(15,Inputs!$B$44)/(Inputs!$B$44),0))),0)))&gt;=100),CHOOSE(ArtifactsInput!$N$42+1,40,48,56,64,72,80),0))))/100)*(((1+(((C191=TRUE)*F191*IF(AND(Inputs!$B$39&lt;&gt;"pvp",Inputs!$B$44&gt;0),(((R191-1)*(Skills!Y21*(1+Inputs!$B$34/100))+MIN((Skills!Y21*(1+Inputs!$B$34/100)),MAX(0,Inputs!$B$44-((R191-1)*Skills!D21))))/Inputs!$B$44),IF(Inputs!$B$39="pvp",MIN((Skills!Y21*(1+Inputs!$B$34/100)),15)/15,(Skills!Y21*(1+Inputs!$B$34/100))/Skills!D21)))+((C198=TRUE)*(F198-Calc!F28))+((C188=TRUE)*(F188-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TRUE)*F185*IF(AND(Inputs!$B$39&lt;&gt;"pvp",Inputs!$B$44&gt;0),(((R185-1)*(Skills!Y15*(1+Inputs!$B$34/100))+MIN((Skills!Y15*(1+Inputs!$B$34/100)),MAX(0,Inputs!$B$44-((R185-1)*Skills!D15))))/Inputs!$B$44),IF(Inputs!$B$39="pvp",MIN((Skills!Y15*(1+Inputs!$B$34/100)),15)/15,(Skills!Y15*(1+Inputs!$B$34/100))/Skills!D15)))/100)*(1+((C176=TRUE)*F176*B204)/100))*B212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187)</f>
        <v/>
      </c>
      <c r="L187">
        <f>K187*(MIN(Inputs!$B$22+((C194=TRUE)*(F194-Calc!F24)),(Inputs!$B$23+0+(IF(ArtifactsInput!$M$15,CHOOSE(ArtifactsInput!$N$15+1,25,30,35,40,45,50)/100*(Inputs!$B$11-Inputs!$B$11),0))))/100+(Inputs!$B$23+0+(IF(ArtifactsInput!$M$15,CHOOSE(ArtifactsInput!$N$15+1,25,30,35,40,45,50)/100*(Inputs!$B$11-Inputs!$B$11),0)))/100)/2</f>
        <v/>
      </c>
      <c r="M187">
        <f>L187*(1+(Inputs!$B$10+((C196=TRUE)*(F196-Calc!F26))+B213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7">
        <f>L187*(1-MIN((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187*(MIN((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7">
        <f>(1-Summary!$B$11)*T187+Summary!$B$11*V187</f>
        <v/>
      </c>
      <c r="P187">
        <f>IF(B214=0,0,O187/B214)</f>
        <v/>
      </c>
      <c r="Q187" t="n">
        <v>0</v>
      </c>
      <c r="R187" t="n">
        <v>0</v>
      </c>
      <c r="S187">
        <f>IFERROR(O187/N187,0)</f>
        <v/>
      </c>
      <c r="T187">
        <f>IF(C187,(Inputs!$B$38*0.2*N187)*IF(Inputs!$B$39="pvp",1,1+(Inputs!$B$20+((C197=TRUE)*(F197-Calc!F27))+Skills!P17+B211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Hunt"),CHOOSE(ArtifactsInput!$N$35+1,15,18,21,24,27,30)*(1-EXP(-(0.2*B206)*5)),0)+IF(AND(ArtifactsInput!$M$22,Inputs!$B$4&lt;&gt;"Chapter Hunt"),CHOOSE(ArtifactsInput!$N$22+1,10,12,14,16,18,20)*((0*(((0.15*B206*5))^0/1)+1*(((0.15*B206*5))^1/1)+2*(((0.15*B206*5))^2/2)+3*(((0.15*B206*5))^3/6)+4*(((0.15*B206*5))^4/24)+5*(((0.15*B206*5))^5/120))/((((0.15*B206*5))^0/1)+(((0.15*B206*5))^1/1)+(((0.15*B206*5))^2/2)+(((0.15*B206*5))^3/6)+(((0.15*B206*5))^4/24)+(((0.15*B206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187*(1-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187*(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187*(1-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187*(MIN(100,(Inputs!$B$9+((C195=TRUE)*(F195-Calc!F25))+B210+(ArtifactsInput!$M$24-ArtifactsInput!$M$24)*CHOOSE(ArtifactsInput!$N$24+1,10,12,14,16,18,20)+(IF(AND(ArtifactsInput!$M$42,((Inputs!$B$9+((C195=TRUE)*(F195-Calc!F25))+B210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7">
        <f>IF(C187,(Inputs!$B$38*0.2*N187)*IF(Inputs!$B$39="pvp",1,(1+(Inputs!$B$21+Skills!Q17+B211+(IF(ArtifactsInput!$M$33,CHOOSE(ArtifactsInput!$N$33+1,30,36,42,48,54,60),0))+(IF(AND(ArtifactsInput!$M$35,Inputs!$B$4&lt;&gt;"Chapter Hunt"),CHOOSE(ArtifactsInput!$N$35+1,15,18,21,24,27,30)*(1-EXP(-(0.2*B206)*5)),0)+IF(AND(ArtifactsInput!$M$22,Inputs!$B$4&lt;&gt;"Chapter Hunt"),CHOOSE(ArtifactsInput!$N$22+1,10,12,14,16,18,20)*((0*(((0.15*B206*5))^0/1)+1*(((0.15*B206*5))^1/1)+2*(((0.15*B206*5))^2/2)+3*(((0.15*B206*5))^3/6)+4*(((0.15*B206*5))^4/24)+5*(((0.15*B206*5))^5/120))/((((0.15*B206*5))^0/1)+(((0.15*B206*5))^1/1)+(((0.15*B206*5))^2/2)+(((0.15*B206*5))^3/6)+(((0.15*B206*5))^4/24)+(((0.15*B206*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8">
      <c r="A188">
        <f>Skills!A18</f>
        <v/>
      </c>
      <c r="B188">
        <f>Skills!B18</f>
        <v/>
      </c>
      <c r="C188">
        <f>Inputs!$B$3&gt;=115</f>
        <v/>
      </c>
      <c r="D188">
        <f>IF(Skills!C18=1,60+Inputs!$B$25+Inputs!$B$29,IF(Skills!C18=2,90+Inputs!$B$26+Inputs!$B$29,IF(Skills!C18=3,120+Inputs!$B$27+Inputs!$B$29,MAX(0,(Inputs!$B$3-100)*3)+Inputs!$B$28+Inputs!$B$29)))</f>
        <v/>
      </c>
      <c r="E188">
        <f>INDEX(FactorTable!$B$2:$Y$301, MATCH(ROUND(MIN(300,MAX(1,D188)),0), FactorTable!$A$2:$A$301,0), Skills!M18+1)</f>
        <v/>
      </c>
      <c r="F188">
        <f>IF(Skills!N18=TRUE,(Skills!L18/10)*(E188/1000),Skills!L18/10)+Skills!O18</f>
        <v/>
      </c>
      <c r="G188">
        <f>Calc!G18</f>
        <v/>
      </c>
      <c r="H188">
        <f>Calc!H18</f>
        <v/>
      </c>
      <c r="I188">
        <f>IF(Skills!AA18&lt;&gt;"",1+(Skills!AA18/10)*(U173/1000)/100,1)</f>
        <v/>
      </c>
      <c r="J188" t="inlineStr"/>
      <c r="K188" t="inlineStr"/>
      <c r="L188" t="inlineStr"/>
      <c r="M188" t="inlineStr"/>
      <c r="N188" t="inlineStr"/>
      <c r="O188">
        <f>(1-Summary!$B$11)*T188+Summary!$B$11*V188</f>
        <v/>
      </c>
      <c r="P188">
        <f>IF(B214=0,0,O188/B214)</f>
        <v/>
      </c>
      <c r="Q188" t="n">
        <v>0</v>
      </c>
      <c r="R188" t="n">
        <v>0</v>
      </c>
      <c r="S188">
        <f>IFERROR(O188/N188,0)</f>
        <v/>
      </c>
      <c r="T188" t="n">
        <v>0</v>
      </c>
      <c r="V188" t="n">
        <v>0</v>
      </c>
    </row>
    <row r="189">
      <c r="A189">
        <f>Skills!A19</f>
        <v/>
      </c>
      <c r="B189">
        <f>Skills!B19</f>
        <v/>
      </c>
      <c r="C189">
        <f>TRUE</f>
        <v/>
      </c>
      <c r="D189">
        <f>IF(Skills!C19=1,60+Inputs!$B$25+Inputs!$B$29,IF(Skills!C19=2,90+Inputs!$B$26+Inputs!$B$29,IF(Skills!C19=3,120+Inputs!$B$27+Inputs!$B$29,MAX(0,(Inputs!$B$3-100)*3)+Inputs!$B$28+Inputs!$B$29)))</f>
        <v/>
      </c>
      <c r="E189">
        <f>INDEX(FactorTable!$B$2:$Y$301, MATCH(ROUND(MIN(300,MAX(1,D189)),0), FactorTable!$A$2:$A$301,0), Skills!M19+1)</f>
        <v/>
      </c>
      <c r="F189">
        <f>IF(Skills!N19=TRUE,(Skills!L19/10)*(E189/1000),Skills!L19/10)+Skills!O19</f>
        <v/>
      </c>
      <c r="G189">
        <f>Calc!G19</f>
        <v/>
      </c>
      <c r="H189">
        <f>Calc!H19</f>
        <v/>
      </c>
      <c r="I189">
        <f>IF(Skills!AA19&lt;&gt;"",1+(Skills!AA19/10)*(U173/1000)/100,1)</f>
        <v/>
      </c>
      <c r="J189" t="inlineStr"/>
      <c r="K189" t="inlineStr"/>
      <c r="L189" t="inlineStr"/>
      <c r="M189" t="inlineStr"/>
      <c r="N189" t="inlineStr"/>
      <c r="O189">
        <f>(1-Summary!$B$11)*T189+Summary!$B$11*V189</f>
        <v/>
      </c>
      <c r="P189">
        <f>IF(B214=0,0,O189/B214)</f>
        <v/>
      </c>
      <c r="Q189">
        <f>IFERROR(1/IF(Inputs!$B$39="pvp",15,MAX(0.1,Skills!D19-IF(Skills!E19=TRUE,Inputs!$B$32,0))),0)</f>
        <v/>
      </c>
      <c r="R189">
        <f>IF(AND(Inputs!$B$39&lt;&gt;"pvp",Inputs!$B$44&gt;0),IF(Inputs!$B$44&lt;=0,0,(INT(Inputs!$B$44/IF(Inputs!$B$39="pvp",15,MAX(0.1,Skills!D19-IF(Skills!E19=TRUE,Inputs!$B$32,0))))+1)),0)</f>
        <v/>
      </c>
      <c r="S189">
        <f>IFERROR(O189/N189,0)</f>
        <v/>
      </c>
      <c r="T189" t="n">
        <v>0</v>
      </c>
      <c r="V189" t="n">
        <v>0</v>
      </c>
    </row>
    <row r="190">
      <c r="A190">
        <f>Skills!A20</f>
        <v/>
      </c>
      <c r="B190">
        <f>Skills!B20</f>
        <v/>
      </c>
      <c r="C190">
        <f>Inputs!$B$3&gt;=15</f>
        <v/>
      </c>
      <c r="D190">
        <f>IF(Skills!C20=1,60+Inputs!$B$25+Inputs!$B$29,IF(Skills!C20=2,90+Inputs!$B$26+Inputs!$B$29,IF(Skills!C20=3,120+Inputs!$B$27+Inputs!$B$29,MAX(0,(Inputs!$B$3-100)*3)+Inputs!$B$28+Inputs!$B$29)))</f>
        <v/>
      </c>
      <c r="E190">
        <f>INDEX(FactorTable!$B$2:$Y$301, MATCH(ROUND(MIN(300,MAX(1,D190)),0), FactorTable!$A$2:$A$301,0), Skills!M20+1)</f>
        <v/>
      </c>
      <c r="F190">
        <f>IF(Skills!N20=TRUE,(Skills!L20/10)*(E190/1000),Skills!L20/10)+Skills!O20</f>
        <v/>
      </c>
      <c r="G190">
        <f>Calc!G20</f>
        <v/>
      </c>
      <c r="H190">
        <f>Calc!H20</f>
        <v/>
      </c>
      <c r="I190">
        <f>IF(Skills!AA20&lt;&gt;"",1+(Skills!AA20/10)*(U173/1000)/100,1)</f>
        <v/>
      </c>
      <c r="J190" t="inlineStr"/>
      <c r="K190" t="inlineStr"/>
      <c r="L190" t="inlineStr"/>
      <c r="M190" t="inlineStr"/>
      <c r="N190" t="inlineStr"/>
      <c r="O190">
        <f>(1-Summary!$B$11)*T190+Summary!$B$11*V190</f>
        <v/>
      </c>
      <c r="P190">
        <f>IF(B214=0,0,O190/B214)</f>
        <v/>
      </c>
      <c r="Q190">
        <f>IFERROR(1/IF(Inputs!$B$39="pvp",15,MAX(0.1,Skills!D20-IF(Skills!E20=TRUE,Inputs!$B$32,0))),0)</f>
        <v/>
      </c>
      <c r="R190">
        <f>IF(AND(Inputs!$B$39&lt;&gt;"pvp",Inputs!$B$44&gt;0),IF(Inputs!$B$44&lt;=0,0,(INT(Inputs!$B$44/IF(Inputs!$B$39="pvp",15,MAX(0.1,Skills!D20-IF(Skills!E20=TRUE,Inputs!$B$32,0))))+1)),0)</f>
        <v/>
      </c>
      <c r="S190">
        <f>IFERROR(O190/N190,0)</f>
        <v/>
      </c>
      <c r="T190" t="n">
        <v>0</v>
      </c>
      <c r="V190" t="n">
        <v>0</v>
      </c>
    </row>
    <row r="191">
      <c r="A191">
        <f>Skills!A21</f>
        <v/>
      </c>
      <c r="B191">
        <f>Skills!B21</f>
        <v/>
      </c>
      <c r="C191">
        <f>Inputs!$B$3&gt;=15</f>
        <v/>
      </c>
      <c r="D191">
        <f>IF(Skills!C21=1,60+Inputs!$B$25+Inputs!$B$29,IF(Skills!C21=2,90+Inputs!$B$26+Inputs!$B$29,IF(Skills!C21=3,120+Inputs!$B$27+Inputs!$B$29,MAX(0,(Inputs!$B$3-100)*3)+Inputs!$B$28+Inputs!$B$29)))</f>
        <v/>
      </c>
      <c r="E191">
        <f>INDEX(FactorTable!$B$2:$Y$301, MATCH(ROUND(MIN(300,MAX(1,D191)),0), FactorTable!$A$2:$A$301,0), Skills!M21+1)</f>
        <v/>
      </c>
      <c r="F191">
        <f>IF(Skills!N21=TRUE,(Skills!L21/10)*(E191/1000),Skills!L21/10)+Skills!O21</f>
        <v/>
      </c>
      <c r="G191">
        <f>Calc!G21</f>
        <v/>
      </c>
      <c r="H191">
        <f>Calc!H21</f>
        <v/>
      </c>
      <c r="I191">
        <f>IF(Skills!AA21&lt;&gt;"",1+(Skills!AA21/10)*(U173/1000)/100,1)</f>
        <v/>
      </c>
      <c r="J191" t="inlineStr"/>
      <c r="K191" t="inlineStr"/>
      <c r="L191" t="inlineStr"/>
      <c r="M191" t="inlineStr"/>
      <c r="N191" t="inlineStr"/>
      <c r="O191">
        <f>(1-Summary!$B$11)*T191+Summary!$B$11*V191</f>
        <v/>
      </c>
      <c r="P191">
        <f>IF(B214=0,0,O191/B214)</f>
        <v/>
      </c>
      <c r="Q191">
        <f>IFERROR(1/IF(Inputs!$B$39="pvp",15,MAX(0.1,Skills!D21-IF(Skills!E21=TRUE,Inputs!$B$32,0))),0)</f>
        <v/>
      </c>
      <c r="R191">
        <f>IF(AND(Inputs!$B$39&lt;&gt;"pvp",Inputs!$B$44&gt;0),IF(Inputs!$B$44&lt;=0,0,(INT(Inputs!$B$44/IF(Inputs!$B$39="pvp",15,MAX(0.1,Skills!D21-IF(Skills!E21=TRUE,Inputs!$B$32,0))))+1)),0)</f>
        <v/>
      </c>
      <c r="S191">
        <f>IFERROR(O191/N191,0)</f>
        <v/>
      </c>
      <c r="T191" t="n">
        <v>0</v>
      </c>
      <c r="V191" t="n">
        <v>0</v>
      </c>
    </row>
    <row r="192">
      <c r="A192">
        <f>Skills!A22</f>
        <v/>
      </c>
      <c r="B192">
        <f>Skills!B22</f>
        <v/>
      </c>
      <c r="C192">
        <f>Inputs!$B$3&gt;=33</f>
        <v/>
      </c>
      <c r="D192">
        <f>IF(Skills!C22=1,60+Inputs!$B$25+Inputs!$B$29,IF(Skills!C22=2,90+Inputs!$B$26+Inputs!$B$29,IF(Skills!C22=3,120+Inputs!$B$27+Inputs!$B$29,MAX(0,(Inputs!$B$3-100)*3)+Inputs!$B$28+Inputs!$B$29)))</f>
        <v/>
      </c>
      <c r="E192">
        <f>INDEX(FactorTable!$B$2:$Y$301, MATCH(ROUND(MIN(300,MAX(1,D192)),0), FactorTable!$A$2:$A$301,0), Skills!M22+1)</f>
        <v/>
      </c>
      <c r="F192">
        <f>IF(Skills!N22=TRUE,(Skills!L22/10)*(E192/1000),Skills!L22/10)+Skills!O22</f>
        <v/>
      </c>
      <c r="G192">
        <f>Calc!G22</f>
        <v/>
      </c>
      <c r="H192">
        <f>Calc!H22</f>
        <v/>
      </c>
      <c r="I192">
        <f>IF(Skills!AA22&lt;&gt;"",1+(Skills!AA22/10)*(U173/1000)/100,1)</f>
        <v/>
      </c>
      <c r="J192" t="inlineStr"/>
      <c r="K192" t="inlineStr"/>
      <c r="L192" t="inlineStr"/>
      <c r="M192" t="inlineStr"/>
      <c r="N192" t="inlineStr"/>
      <c r="O192">
        <f>(1-Summary!$B$11)*T192+Summary!$B$11*V192</f>
        <v/>
      </c>
      <c r="P192">
        <f>IF(B214=0,0,O192/B214)</f>
        <v/>
      </c>
      <c r="Q192" t="n">
        <v>0</v>
      </c>
      <c r="R192" t="n">
        <v>0</v>
      </c>
      <c r="S192">
        <f>IFERROR(O192/N192,0)</f>
        <v/>
      </c>
      <c r="T192" t="n">
        <v>0</v>
      </c>
      <c r="V192" t="n">
        <v>0</v>
      </c>
    </row>
    <row r="193">
      <c r="A193">
        <f>Skills!A23</f>
        <v/>
      </c>
      <c r="B193">
        <f>Skills!B23</f>
        <v/>
      </c>
      <c r="C193">
        <f>Inputs!$B$3&gt;=38</f>
        <v/>
      </c>
      <c r="D193">
        <f>IF(Skills!C23=1,60+Inputs!$B$25+Inputs!$B$29,IF(Skills!C23=2,90+Inputs!$B$26+Inputs!$B$29,IF(Skills!C23=3,120+Inputs!$B$27+Inputs!$B$29,MAX(0,(Inputs!$B$3-100)*3)+Inputs!$B$28+Inputs!$B$29)))</f>
        <v/>
      </c>
      <c r="E193">
        <f>INDEX(FactorTable!$B$2:$Y$301, MATCH(ROUND(MIN(300,MAX(1,D193)),0), FactorTable!$A$2:$A$301,0), Skills!M23+1)</f>
        <v/>
      </c>
      <c r="F193">
        <f>IF(Skills!N23=TRUE,(Skills!L23/10)*(E193/1000),Skills!L23/10)+Skills!O23</f>
        <v/>
      </c>
      <c r="G193">
        <f>Calc!G23</f>
        <v/>
      </c>
      <c r="H193">
        <f>Calc!H23</f>
        <v/>
      </c>
      <c r="I193">
        <f>IF(Skills!AA23&lt;&gt;"",1+(Skills!AA23/10)*(U173/1000)/100,1)</f>
        <v/>
      </c>
      <c r="J193" t="inlineStr"/>
      <c r="K193" t="inlineStr"/>
      <c r="L193" t="inlineStr"/>
      <c r="M193" t="inlineStr"/>
      <c r="N193" t="inlineStr"/>
      <c r="O193">
        <f>(1-Summary!$B$11)*T193+Summary!$B$11*V193</f>
        <v/>
      </c>
      <c r="P193">
        <f>IF(B214=0,0,O193/B214)</f>
        <v/>
      </c>
      <c r="Q193" t="n">
        <v>0</v>
      </c>
      <c r="R193" t="n">
        <v>0</v>
      </c>
      <c r="S193">
        <f>IFERROR(O193/N193,0)</f>
        <v/>
      </c>
      <c r="T193" t="n">
        <v>0</v>
      </c>
      <c r="V193" t="n">
        <v>0</v>
      </c>
    </row>
    <row r="194">
      <c r="A194">
        <f>Skills!A24</f>
        <v/>
      </c>
      <c r="B194">
        <f>Skills!B24</f>
        <v/>
      </c>
      <c r="C194">
        <f>Inputs!$B$3&gt;=40</f>
        <v/>
      </c>
      <c r="D194">
        <f>IF(Skills!C24=1,60+Inputs!$B$25+Inputs!$B$29,IF(Skills!C24=2,90+Inputs!$B$26+Inputs!$B$29,IF(Skills!C24=3,120+Inputs!$B$27+Inputs!$B$29,MAX(0,(Inputs!$B$3-100)*3)+Inputs!$B$28+Inputs!$B$29)))</f>
        <v/>
      </c>
      <c r="E194">
        <f>INDEX(FactorTable!$B$2:$Y$301, MATCH(ROUND(MIN(300,MAX(1,D194)),0), FactorTable!$A$2:$A$301,0), Skills!M24+1)</f>
        <v/>
      </c>
      <c r="F194">
        <f>IF(Skills!N24=TRUE,(Skills!L24/10)*(E194/1000),Skills!L24/10)+Skills!O24</f>
        <v/>
      </c>
      <c r="G194">
        <f>Calc!G24</f>
        <v/>
      </c>
      <c r="H194">
        <f>Calc!H24</f>
        <v/>
      </c>
      <c r="I194">
        <f>IF(Skills!AA24&lt;&gt;"",1+(Skills!AA24/10)*(U173/1000)/100,1)</f>
        <v/>
      </c>
      <c r="J194" t="inlineStr"/>
      <c r="K194" t="inlineStr"/>
      <c r="L194" t="inlineStr"/>
      <c r="M194" t="inlineStr"/>
      <c r="N194" t="inlineStr"/>
      <c r="O194">
        <f>(1-Summary!$B$11)*T194+Summary!$B$11*V194</f>
        <v/>
      </c>
      <c r="P194">
        <f>IF(B214=0,0,O194/B214)</f>
        <v/>
      </c>
      <c r="Q194" t="n">
        <v>0</v>
      </c>
      <c r="R194" t="n">
        <v>0</v>
      </c>
      <c r="S194">
        <f>IFERROR(O194/N194,0)</f>
        <v/>
      </c>
      <c r="T194" t="n">
        <v>0</v>
      </c>
      <c r="V194" t="n">
        <v>0</v>
      </c>
    </row>
    <row r="195">
      <c r="A195">
        <f>Skills!A25</f>
        <v/>
      </c>
      <c r="B195">
        <f>Skills!B25</f>
        <v/>
      </c>
      <c r="C195">
        <f>Inputs!$B$3&gt;=45</f>
        <v/>
      </c>
      <c r="D195">
        <f>IF(Skills!C25=1,60+Inputs!$B$25+Inputs!$B$29,IF(Skills!C25=2,90+Inputs!$B$26+Inputs!$B$29,IF(Skills!C25=3,120+Inputs!$B$27+Inputs!$B$29,MAX(0,(Inputs!$B$3-100)*3)+Inputs!$B$28+Inputs!$B$29)))</f>
        <v/>
      </c>
      <c r="E195">
        <f>INDEX(FactorTable!$B$2:$Y$301, MATCH(ROUND(MIN(300,MAX(1,D195)),0), FactorTable!$A$2:$A$301,0), Skills!M25+1)</f>
        <v/>
      </c>
      <c r="F195">
        <f>IF(Skills!N25=TRUE,(Skills!L25/10)*(E195/1000),Skills!L25/10)+Skills!O25</f>
        <v/>
      </c>
      <c r="G195">
        <f>Calc!G25</f>
        <v/>
      </c>
      <c r="H195">
        <f>Calc!H25</f>
        <v/>
      </c>
      <c r="I195">
        <f>IF(Skills!AA25&lt;&gt;"",1+(Skills!AA25/10)*(U173/1000)/100,1)</f>
        <v/>
      </c>
      <c r="J195" t="inlineStr"/>
      <c r="K195" t="inlineStr"/>
      <c r="L195" t="inlineStr"/>
      <c r="M195" t="inlineStr"/>
      <c r="N195" t="inlineStr"/>
      <c r="O195">
        <f>(1-Summary!$B$11)*T195+Summary!$B$11*V195</f>
        <v/>
      </c>
      <c r="P195">
        <f>IF(B214=0,0,O195/B214)</f>
        <v/>
      </c>
      <c r="Q195" t="n">
        <v>0</v>
      </c>
      <c r="R195" t="n">
        <v>0</v>
      </c>
      <c r="S195">
        <f>IFERROR(O195/N195,0)</f>
        <v/>
      </c>
      <c r="T195" t="n">
        <v>0</v>
      </c>
      <c r="V195" t="n">
        <v>0</v>
      </c>
    </row>
    <row r="196">
      <c r="A196">
        <f>Skills!A26</f>
        <v/>
      </c>
      <c r="B196">
        <f>Skills!B26</f>
        <v/>
      </c>
      <c r="C196">
        <f>Inputs!$B$3&gt;=45</f>
        <v/>
      </c>
      <c r="D196">
        <f>IF(Skills!C26=1,60+Inputs!$B$25+Inputs!$B$29,IF(Skills!C26=2,90+Inputs!$B$26+Inputs!$B$29,IF(Skills!C26=3,120+Inputs!$B$27+Inputs!$B$29,MAX(0,(Inputs!$B$3-100)*3)+Inputs!$B$28+Inputs!$B$29)))</f>
        <v/>
      </c>
      <c r="E196">
        <f>INDEX(FactorTable!$B$2:$Y$301, MATCH(ROUND(MIN(300,MAX(1,D196)),0), FactorTable!$A$2:$A$301,0), Skills!M26+1)</f>
        <v/>
      </c>
      <c r="F196">
        <f>IF(Skills!N26=TRUE,(Skills!L26/10)*(E196/1000),Skills!L26/10)+Skills!O26</f>
        <v/>
      </c>
      <c r="G196">
        <f>Calc!G26</f>
        <v/>
      </c>
      <c r="H196">
        <f>Calc!H26</f>
        <v/>
      </c>
      <c r="I196">
        <f>IF(Skills!AA26&lt;&gt;"",1+(Skills!AA26/10)*(U173/1000)/100,1)</f>
        <v/>
      </c>
      <c r="J196" t="inlineStr"/>
      <c r="K196" t="inlineStr"/>
      <c r="L196" t="inlineStr"/>
      <c r="M196" t="inlineStr"/>
      <c r="N196" t="inlineStr"/>
      <c r="O196">
        <f>(1-Summary!$B$11)*T196+Summary!$B$11*V196</f>
        <v/>
      </c>
      <c r="P196">
        <f>IF(B214=0,0,O196/B214)</f>
        <v/>
      </c>
      <c r="Q196" t="n">
        <v>0</v>
      </c>
      <c r="R196" t="n">
        <v>0</v>
      </c>
      <c r="S196">
        <f>IFERROR(O196/N196,0)</f>
        <v/>
      </c>
      <c r="T196" t="n">
        <v>0</v>
      </c>
      <c r="V196" t="n">
        <v>0</v>
      </c>
    </row>
    <row r="197">
      <c r="A197">
        <f>Skills!A27</f>
        <v/>
      </c>
      <c r="B197">
        <f>Skills!B27</f>
        <v/>
      </c>
      <c r="C197">
        <f>Inputs!$B$3&gt;=72</f>
        <v/>
      </c>
      <c r="D197">
        <f>IF(Skills!C27=1,60+Inputs!$B$25+Inputs!$B$29,IF(Skills!C27=2,90+Inputs!$B$26+Inputs!$B$29,IF(Skills!C27=3,120+Inputs!$B$27+Inputs!$B$29,MAX(0,(Inputs!$B$3-100)*3)+Inputs!$B$28+Inputs!$B$29)))</f>
        <v/>
      </c>
      <c r="E197">
        <f>INDEX(FactorTable!$B$2:$Y$301, MATCH(ROUND(MIN(300,MAX(1,D197)),0), FactorTable!$A$2:$A$301,0), Skills!M27+1)</f>
        <v/>
      </c>
      <c r="F197">
        <f>IF(Skills!N27=TRUE,(Skills!L27/10)*(E197/1000),Skills!L27/10)+Skills!O27</f>
        <v/>
      </c>
      <c r="G197">
        <f>Calc!G27</f>
        <v/>
      </c>
      <c r="H197">
        <f>Calc!H27</f>
        <v/>
      </c>
      <c r="I197">
        <f>IF(Skills!AA27&lt;&gt;"",1+(Skills!AA27/10)*(U173/1000)/100,1)</f>
        <v/>
      </c>
      <c r="J197" t="inlineStr"/>
      <c r="K197" t="inlineStr"/>
      <c r="L197" t="inlineStr"/>
      <c r="M197" t="inlineStr"/>
      <c r="N197" t="inlineStr"/>
      <c r="O197">
        <f>(1-Summary!$B$11)*T197+Summary!$B$11*V197</f>
        <v/>
      </c>
      <c r="P197">
        <f>IF(B214=0,0,O197/B214)</f>
        <v/>
      </c>
      <c r="Q197" t="n">
        <v>0</v>
      </c>
      <c r="R197" t="n">
        <v>0</v>
      </c>
      <c r="S197">
        <f>IFERROR(O197/N197,0)</f>
        <v/>
      </c>
      <c r="T197" t="n">
        <v>0</v>
      </c>
      <c r="V197" t="n">
        <v>0</v>
      </c>
    </row>
    <row r="198">
      <c r="A198">
        <f>Skills!A28</f>
        <v/>
      </c>
      <c r="B198">
        <f>Skills!B28</f>
        <v/>
      </c>
      <c r="C198">
        <f>Inputs!$B$3&gt;=75</f>
        <v/>
      </c>
      <c r="D198">
        <f>IF(Skills!C28=1,60+Inputs!$B$25+Inputs!$B$29,IF(Skills!C28=2,90+Inputs!$B$26+Inputs!$B$29,IF(Skills!C28=3,120+Inputs!$B$27+Inputs!$B$29,MAX(0,(Inputs!$B$3-100)*3)+Inputs!$B$28+Inputs!$B$29)))</f>
        <v/>
      </c>
      <c r="E198">
        <f>INDEX(FactorTable!$B$2:$Y$301, MATCH(ROUND(MIN(300,MAX(1,D198)),0), FactorTable!$A$2:$A$301,0), Skills!M28+1)</f>
        <v/>
      </c>
      <c r="F198">
        <f>IF(Skills!N28=TRUE,(Skills!L28/10)*(E198/1000),Skills!L28/10)+Skills!O28</f>
        <v/>
      </c>
      <c r="G198">
        <f>Calc!G28</f>
        <v/>
      </c>
      <c r="H198">
        <f>Calc!H28</f>
        <v/>
      </c>
      <c r="I198">
        <f>IF(Skills!AA28&lt;&gt;"",1+(Skills!AA28/10)*(U173/1000)/100,1)</f>
        <v/>
      </c>
      <c r="J198" t="inlineStr"/>
      <c r="K198" t="inlineStr"/>
      <c r="L198" t="inlineStr"/>
      <c r="M198" t="inlineStr"/>
      <c r="N198" t="inlineStr"/>
      <c r="O198">
        <f>(1-Summary!$B$11)*T198+Summary!$B$11*V198</f>
        <v/>
      </c>
      <c r="P198">
        <f>IF(B214=0,0,O198/B214)</f>
        <v/>
      </c>
      <c r="Q198" t="n">
        <v>0</v>
      </c>
      <c r="R198" t="n">
        <v>0</v>
      </c>
      <c r="S198">
        <f>IFERROR(O198/N198,0)</f>
        <v/>
      </c>
      <c r="T198" t="n">
        <v>0</v>
      </c>
      <c r="V198" t="n">
        <v>0</v>
      </c>
    </row>
    <row r="199">
      <c r="A199">
        <f>Skills!A29</f>
        <v/>
      </c>
      <c r="B199">
        <f>Skills!B29</f>
        <v/>
      </c>
      <c r="C199">
        <f>Inputs!$B$3&gt;=120</f>
        <v/>
      </c>
      <c r="D199">
        <f>IF(Skills!C29=1,60+Inputs!$B$25+Inputs!$B$29,IF(Skills!C29=2,90+Inputs!$B$26+Inputs!$B$29,IF(Skills!C29=3,120+Inputs!$B$27+Inputs!$B$29,MAX(0,(Inputs!$B$3-100)*3)+Inputs!$B$28+Inputs!$B$29)))</f>
        <v/>
      </c>
      <c r="E199">
        <f>INDEX(FactorTable!$B$2:$Y$301, MATCH(ROUND(MIN(300,MAX(1,D199)),0), FactorTable!$A$2:$A$301,0), Skills!M29+1)</f>
        <v/>
      </c>
      <c r="F199">
        <f>IF(Skills!N29=TRUE,(Skills!L29/10)*(E199/1000),Skills!L29/10)+Skills!O29</f>
        <v/>
      </c>
      <c r="G199">
        <f>Calc!G29</f>
        <v/>
      </c>
      <c r="H199">
        <f>Calc!H29</f>
        <v/>
      </c>
      <c r="I199">
        <f>IF(Skills!AA29&lt;&gt;"",1+(Skills!AA29/10)*(U173/1000)/100,1)</f>
        <v/>
      </c>
      <c r="J199" t="inlineStr"/>
      <c r="K199" t="inlineStr"/>
      <c r="L199" t="inlineStr"/>
      <c r="M199" t="inlineStr"/>
      <c r="N199" t="inlineStr"/>
      <c r="O199">
        <f>(1-Summary!$B$11)*T199+Summary!$B$11*V199</f>
        <v/>
      </c>
      <c r="P199">
        <f>IF(B214=0,0,O199/B214)</f>
        <v/>
      </c>
      <c r="Q199" t="n">
        <v>0</v>
      </c>
      <c r="R199" t="n">
        <v>0</v>
      </c>
      <c r="S199">
        <f>IFERROR(O199/N199,0)</f>
        <v/>
      </c>
      <c r="T199" t="n">
        <v>0</v>
      </c>
      <c r="V199" t="n">
        <v>0</v>
      </c>
    </row>
    <row r="200">
      <c r="A200">
        <f>Skills!A30</f>
        <v/>
      </c>
      <c r="B200">
        <f>Skills!B30</f>
        <v/>
      </c>
      <c r="C200">
        <f>Inputs!$B$3&gt;=125</f>
        <v/>
      </c>
      <c r="D200">
        <f>IF(Skills!C30=1,60+Inputs!$B$25+Inputs!$B$29,IF(Skills!C30=2,90+Inputs!$B$26+Inputs!$B$29,IF(Skills!C30=3,120+Inputs!$B$27+Inputs!$B$29,MAX(0,(Inputs!$B$3-100)*3)+Inputs!$B$28+Inputs!$B$29)))</f>
        <v/>
      </c>
      <c r="E200">
        <f>INDEX(FactorTable!$B$2:$Y$301, MATCH(ROUND(MIN(300,MAX(1,D200)),0), FactorTable!$A$2:$A$301,0), Skills!M30+1)</f>
        <v/>
      </c>
      <c r="F200">
        <f>IF(Skills!N30=TRUE,(Skills!L30/10)*(E200/1000),Skills!L30/10)+Skills!O30</f>
        <v/>
      </c>
      <c r="G200">
        <f>Calc!G30</f>
        <v/>
      </c>
      <c r="H200">
        <f>Calc!H30</f>
        <v/>
      </c>
      <c r="I200">
        <f>IF(Skills!AA30&lt;&gt;"",1+(Skills!AA30/10)*(U173/1000)/100,1)</f>
        <v/>
      </c>
      <c r="J200" t="inlineStr"/>
      <c r="K200" t="inlineStr"/>
      <c r="L200" t="inlineStr"/>
      <c r="M200" t="inlineStr"/>
      <c r="N200" t="inlineStr"/>
      <c r="O200">
        <f>(1-Summary!$B$11)*T200+Summary!$B$11*V200</f>
        <v/>
      </c>
      <c r="P200">
        <f>IF(B214=0,0,O200/B214)</f>
        <v/>
      </c>
      <c r="Q200" t="n">
        <v>0</v>
      </c>
      <c r="R200" t="n">
        <v>0</v>
      </c>
      <c r="S200">
        <f>IFERROR(O200/N200,0)</f>
        <v/>
      </c>
      <c r="T200" t="n">
        <v>0</v>
      </c>
      <c r="V200" t="n">
        <v>0</v>
      </c>
    </row>
    <row r="201">
      <c r="A201">
        <f>Skills!A31</f>
        <v/>
      </c>
      <c r="B201">
        <f>Skills!B31</f>
        <v/>
      </c>
      <c r="C201">
        <f>Inputs!$B$3&gt;=107</f>
        <v/>
      </c>
      <c r="D201">
        <f>IF(Skills!C31=1,60+Inputs!$B$25+Inputs!$B$29,IF(Skills!C31=2,90+Inputs!$B$26+Inputs!$B$29,IF(Skills!C31=3,120+Inputs!$B$27+Inputs!$B$29,MAX(0,(Inputs!$B$3-100)*3)+Inputs!$B$28+Inputs!$B$29)))</f>
        <v/>
      </c>
      <c r="E201">
        <f>INDEX(FactorTable!$B$2:$Y$301, MATCH(ROUND(MIN(300,MAX(1,D201)),0), FactorTable!$A$2:$A$301,0), Skills!M31+1)</f>
        <v/>
      </c>
      <c r="F201">
        <f>IF(Skills!N31=TRUE,(Skills!L31/10)*(E201/1000),Skills!L31/10)+Skills!O31</f>
        <v/>
      </c>
      <c r="G201">
        <f>Calc!G31</f>
        <v/>
      </c>
      <c r="H201">
        <f>Calc!H31</f>
        <v/>
      </c>
      <c r="I201">
        <f>IF(Skills!AA31&lt;&gt;"",1+(Skills!AA31/10)*(U173/1000)/100,1)</f>
        <v/>
      </c>
      <c r="J201" t="inlineStr"/>
      <c r="K201" t="inlineStr"/>
      <c r="L201" t="inlineStr"/>
      <c r="M201" t="inlineStr"/>
      <c r="N201" t="inlineStr"/>
      <c r="O201">
        <f>(1-Summary!$B$11)*T201+Summary!$B$11*V201</f>
        <v/>
      </c>
      <c r="P201">
        <f>IF(B214=0,0,O201/B214)</f>
        <v/>
      </c>
      <c r="Q201" t="n">
        <v>0</v>
      </c>
      <c r="R201" t="n">
        <v>0</v>
      </c>
      <c r="S201">
        <f>IFERROR(O201/N201,0)</f>
        <v/>
      </c>
      <c r="T201" t="n">
        <v>0</v>
      </c>
      <c r="V201" t="n">
        <v>0</v>
      </c>
    </row>
    <row r="203">
      <c r="A203" t="inlineStr">
        <is>
          <t>Actions Per Second (pre-Adrenalin)</t>
        </is>
      </c>
      <c r="B203">
        <f>1+MIN(150,150*(1-(1-(Inputs!$B$11+((C192=TRUE)*(F192-Calc!F22))+(ArtifactsInput!$M$15-ArtifactsInput!$M$15)*CHOOSE(ArtifactsInput!$N$15+1,8,9.6,11.2,12.8,14.4,16))/150)*(1-((C189=TRUE)*F189*IF(AND(Inputs!$B$39&lt;&gt;"pvp",Inputs!$B$44&gt;0),(((R189-1)*(Skills!Y19*(1+Inputs!$B$34/100))+MIN((Skills!Y19*(1+Inputs!$B$34/100)),MAX(0,Inputs!$B$44-((R189-1)*Skills!D19))))/Inputs!$B$44),IF(Inputs!$B$39="pvp",MIN((Skills!Y19*(1+Inputs!$B$34/100)),15)/15,(Skills!Y19*(1+Inputs!$B$34/100))/Skills!D19)))/150)))/100</f>
        <v/>
      </c>
    </row>
    <row r="204">
      <c r="A204" t="inlineStr">
        <is>
          <t>Alchemic Adrenaline Uptime</t>
        </is>
      </c>
      <c r="B204">
        <f>(Skills!Y6*(1+Inputs!$B$34/100))/((Skills!Y6*(1+Inputs!$B$34/100))+(5/B203))</f>
        <v/>
      </c>
    </row>
    <row r="205">
      <c r="A205" t="inlineStr">
        <is>
          <t>Attack Speed Buff Bonus %</t>
        </is>
      </c>
      <c r="B205">
        <f>((C189=TRUE)*F189*IF(AND(Inputs!$B$39&lt;&gt;"pvp",Inputs!$B$44&gt;0),(((R189-1)*(Skills!Y19*(1+Inputs!$B$34/100))+MIN((Skills!Y19*(1+Inputs!$B$34/100)),MAX(0,Inputs!$B$44-((R189-1)*Skills!D19))))/Inputs!$B$44),IF(Inputs!$B$39="pvp",MIN((Skills!Y19*(1+Inputs!$B$34/100)),15)/15,(Skills!Y19*(1+Inputs!$B$34/100))/Skills!D19)))+((C177=TRUE)*F177*B204)</f>
        <v/>
      </c>
    </row>
    <row r="206">
      <c r="A206" t="inlineStr">
        <is>
          <t>Actions Per Second (final)</t>
        </is>
      </c>
      <c r="B206">
        <f>1+MIN(150,150*(1-(1-(Inputs!$B$11+((C192=TRUE)*(F192-Calc!F22))+(ArtifactsInput!$M$15-ArtifactsInput!$M$15)*CHOOSE(ArtifactsInput!$N$15+1,8,9.6,11.2,12.8,14.4,16))/150)*(1-B205/150)))/100</f>
        <v/>
      </c>
    </row>
    <row r="207">
      <c r="A207" t="inlineStr">
        <is>
          <t>Skill + Buff Cast Rate</t>
        </is>
      </c>
      <c r="B207">
        <f>IF(AND(Inputs!$B$39&lt;&gt;"pvp",Inputs!$B$44&gt;0),SUMPRODUCT((Skills!E2:E31=TRUE)*(C172:C201=TRUE)*R172:R201*Skills!F2:F31)/Inputs!$B$44,SUMPRODUCT((Skills!E2:E31=TRUE)*(C172:C201=TRUE)*Q172:Q201*Skills!F2:F31))</f>
        <v/>
      </c>
    </row>
    <row r="208">
      <c r="A208" t="inlineStr">
        <is>
          <t>Showdown Casts Per Second</t>
        </is>
      </c>
      <c r="B208">
        <f>MAX(0,B206-B207)</f>
        <v/>
      </c>
    </row>
    <row r="209">
      <c r="A209" t="inlineStr">
        <is>
          <t>Average Buff Multiplier</t>
        </is>
      </c>
      <c r="B209">
        <f>(1+(((C191=TRUE)*F191*IF(AND(Inputs!$B$39&lt;&gt;"pvp",Inputs!$B$44&gt;0),(((R191-1)*(Skills!Y21*(1+Inputs!$B$34/100))+MIN((Skills!Y21*(1+Inputs!$B$34/100)),MAX(0,Inputs!$B$44-((R191-1)*Skills!D21))))/Inputs!$B$44),IF(Inputs!$B$39="pvp",MIN((Skills!Y21*(1+Inputs!$B$34/100)),15)/15,(Skills!Y21*(1+Inputs!$B$34/100))/Skills!D21)))+((C198=TRUE)*(F198-Calc!F28))+((C188=TRUE)*(F188-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TRUE)*F185*IF(AND(Inputs!$B$39&lt;&gt;"pvp",Inputs!$B$44&gt;0),(((R185-1)*(Skills!Y15*(1+Inputs!$B$34/100))+MIN((Skills!Y15*(1+Inputs!$B$34/100)),MAX(0,Inputs!$B$44-((R185-1)*Skills!D15))))/Inputs!$B$44),IF(Inputs!$B$39="pvp",MIN((Skills!Y15*(1+Inputs!$B$34/100)),15)/15,(Skills!Y15*(1+Inputs!$B$34/100))/Skills!D15)))/100)*(1+((C176=TRUE)*F176*B204)/100)</f>
        <v/>
      </c>
    </row>
    <row r="210">
      <c r="A210" t="inlineStr">
        <is>
          <t>Global Crit Rate Bonus %</t>
        </is>
      </c>
      <c r="B210">
        <f>IF(Inputs!$B$3&gt;=47,8,0)+((C190=TRUE)*F190*IF(AND(Inputs!$B$39&lt;&gt;"pvp",Inputs!$B$44&gt;0),(((R190-1)*(Skills!Y20*(1+Inputs!$B$34/100))+MIN((Skills!Y20*(1+Inputs!$B$34/100)),MAX(0,Inputs!$B$44-((R190-1)*Skills!D20))))/Inputs!$B$44),IF(Inputs!$B$39="pvp",MIN((Skills!Y20*(1+Inputs!$B$34/100)),15)/15,(Skills!Y20*(1+Inputs!$B$34/100))/Skills!D20)))</f>
        <v/>
      </c>
    </row>
    <row r="211">
      <c r="A211" t="inlineStr">
        <is>
          <t>Global Monster Damage-Taken Bonus %</t>
        </is>
      </c>
      <c r="B211">
        <f>IF(Inputs!$B$3&gt;=82,15,0)+((C186=TRUE)*F186*IF(AND(Inputs!$B$39&lt;&gt;"pvp",Inputs!$B$44&gt;0),(((R186-1)*(Skills!Y16*(1+Inputs!$B$34/100))+MIN((Skills!Y16*(1+Inputs!$B$34/100)),MAX(0,Inputs!$B$44-((R186-1)*Skills!D16))))/Inputs!$B$44),IF(Inputs!$B$39="pvp",MIN((Skills!Y16*(1+Inputs!$B$34/100)),15)/15,(Skills!Y16*(1+Inputs!$B$34/100))/Skills!D16)))</f>
        <v/>
      </c>
    </row>
    <row r="212">
      <c r="A212" t="inlineStr">
        <is>
          <t>Shadow Partner Average Multiplier</t>
        </is>
      </c>
      <c r="B212">
        <f>1+((C181=TRUE)*F181*I181*Skills!J11/100)/100</f>
        <v/>
      </c>
    </row>
    <row r="213">
      <c r="A213" t="inlineStr">
        <is>
          <t>Global Critical Damage Bonus % (Frailty Curse Mastery Lv.111)</t>
        </is>
      </c>
      <c r="B213">
        <f>IF(Inputs!$B$3&gt;=111,30,0)*IF(AND(Inputs!$B$39&lt;&gt;"pvp",Inputs!$B$44&gt;0),(((R186-1)*(Skills!Y16*(1+Inputs!$B$34/100))+MIN((Skills!Y16*(1+Inputs!$B$34/100)),MAX(0,Inputs!$B$44-((R186-1)*Skills!D16))))/Inputs!$B$44),IF(Inputs!$B$39="pvp",MIN((Skills!Y16*(1+Inputs!$B$34/100)),15)/15,(Skills!Y16*(1+Inputs!$B$34/100))/Skills!D16))</f>
        <v/>
      </c>
    </row>
    <row r="214">
      <c r="A214" s="6" t="inlineStr">
        <is>
          <t>TOTAL DPS</t>
        </is>
      </c>
      <c r="B214" s="6">
        <f>SUM(O172:O201)</f>
        <v/>
      </c>
    </row>
    <row r="215">
      <c r="A215" t="inlineStr">
        <is>
          <t>Buff-Casting Startup Delay (s, fixed-duration only)</t>
        </is>
      </c>
      <c r="B215">
        <f>IF(AND(Inputs!$B$39&lt;&gt;"pvp",Inputs!$B$44&gt;0),SUMPRODUCT((Skills!Y2:Y31&gt;0)*(Skills!E2:E31=TRUE)*(C172:C201=TRUE))/B206,0)</f>
        <v/>
      </c>
    </row>
    <row r="216">
      <c r="A216" t="inlineStr">
        <is>
          <t>Boss-Only Total DPS (this block's swept value)</t>
        </is>
      </c>
      <c r="B216">
        <f>SUM(T172:T201)</f>
        <v/>
      </c>
    </row>
    <row r="217">
      <c r="A217" t="inlineStr">
        <is>
          <t>Normal-Only Total DPS (this block's swept value)</t>
        </is>
      </c>
      <c r="B217">
        <f>SUM(V172:V201)</f>
        <v/>
      </c>
    </row>
    <row r="219">
      <c r="A219" s="6" t="inlineStr">
        <is>
          <t>Stat: DAMAGE %</t>
        </is>
      </c>
    </row>
    <row r="220">
      <c r="A220" s="5" t="inlineStr">
        <is>
          <t>Key</t>
        </is>
      </c>
      <c r="B220" s="5" t="inlineStr">
        <is>
          <t>Name</t>
        </is>
      </c>
      <c r="C220" s="5" t="inlineStr">
        <is>
          <t>Unlocked</t>
        </is>
      </c>
      <c r="D220" s="5" t="inlineStr">
        <is>
          <t>InputLevel</t>
        </is>
      </c>
      <c r="E220" s="5" t="inlineStr">
        <is>
          <t>Factor</t>
        </is>
      </c>
      <c r="F220" s="5" t="inlineStr">
        <is>
          <t>CoefficientPercent</t>
        </is>
      </c>
      <c r="G220" s="5" t="inlineStr">
        <is>
          <t>EffectiveHits</t>
        </is>
      </c>
      <c r="H220" s="5" t="inlineStr">
        <is>
          <t>ProcProbability</t>
        </is>
      </c>
      <c r="I220" s="5" t="inlineStr">
        <is>
          <t>MapleHeroMultiplier</t>
        </is>
      </c>
      <c r="J220" s="5" t="inlineStr">
        <is>
          <t>BaseDamage</t>
        </is>
      </c>
      <c r="K220" s="5" t="inlineStr">
        <is>
          <t>BaseHitDamage</t>
        </is>
      </c>
      <c r="L220" s="5" t="inlineStr">
        <is>
          <t>NonCritAvg</t>
        </is>
      </c>
      <c r="M220" s="5" t="inlineStr">
        <is>
          <t>CritAvg</t>
        </is>
      </c>
      <c r="N220" s="5" t="inlineStr">
        <is>
          <t>ExpectedDamage(perHit)</t>
        </is>
      </c>
      <c r="O220" s="5" t="inlineStr">
        <is>
          <t>DPS</t>
        </is>
      </c>
      <c r="P220" s="5" t="inlineStr">
        <is>
          <t>% of Total</t>
        </is>
      </c>
      <c r="Q220" s="5" t="inlineStr">
        <is>
          <t>InvCooldown</t>
        </is>
      </c>
      <c r="R220" s="5" t="inlineStr">
        <is>
          <t>CastsInFight</t>
        </is>
      </c>
      <c r="S220" s="5" t="inlineStr">
        <is>
          <t>HitRate(perSec)</t>
        </is>
      </c>
      <c r="U220" t="inlineStr">
        <is>
          <t>helpers</t>
        </is>
      </c>
    </row>
    <row r="221">
      <c r="A221">
        <f>Skills!A2</f>
        <v/>
      </c>
      <c r="B221">
        <f>Skills!B2</f>
        <v/>
      </c>
      <c r="C221">
        <f>Inputs!$B$3&gt;=100</f>
        <v/>
      </c>
      <c r="D221" t="inlineStr"/>
      <c r="E221" t="inlineStr"/>
      <c r="F221">
        <f>U225+Skills!O2</f>
        <v/>
      </c>
      <c r="G221">
        <f>Calc!G2</f>
        <v/>
      </c>
      <c r="H221">
        <f>Calc!H2</f>
        <v/>
      </c>
      <c r="I221">
        <f>IF(Skills!AA2&lt;&gt;"",1+(Skills!AA2/10)*(U222/1000)/100,1)</f>
        <v/>
      </c>
      <c r="J221">
        <f>((Inputs!$B$6*(1+Inputs!$B$7/100))+(((Inputs!$B$12*(1+Inputs!$B$13/100))-(Inputs!$B$12*(1+Inputs!$B$13/100)))+0.25*(Inputs!$B$14-Inputs!$B$14))*(1+Inputs!$B$7/100))*(F221/100)</f>
        <v/>
      </c>
      <c r="K221">
        <f>J221*(1+((Inputs!$B$12*(1+Inputs!$B$13/100))*0.01+Inputs!$B$14*0.0025)/100)*(1+(Inputs!$B$15+1)/100)*(1+Inputs!$B$16/100)*(5000/(6000+Inputs!$B$43*(1-(100*(1-(1-(Inputs!$B$19+0)/100)*(1-CHOOSE(ArtifactsInput!$N$40+1,5,6,7,8,9,10)/100)^(ArtifactsInput!$M$40-ArtifactsInput!$M$40)))/100)))*(1+(Inputs!$B$24+((C249=TRUE)*(F249-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242=TRUE)*(F242-Calc!F23))+(((IF(AND(ArtifactsInput!$M$42,((Inputs!$B$9+((C244=TRUE)*(F244-Calc!F25))+B259+(ArtifactsInput!$M$24-ArtifactsInput!$M$24)*CHOOSE(ArtifactsInput!$N$24+1,10,12,14,16,18,20)+IF(ArtifactsInput!$M$10,CHOOSE(ArtifactsInput!$N$10+1,15,18,21,24,27,30)*(IF(Inputs!$B$39="pvp",MIN(15,15)/15,IF(AND(Inputs!$B$39&lt;&gt;"pvp",Inputs!$B$44&gt;0),MIN(15,Inputs!$B$44)/(Inputs!$B$44),0))),0)))&gt;=100),MIN(100,((Inputs!$B$9+((C244=TRUE)*(F244-Calc!F25))+B259+(ArtifactsInput!$M$24-ArtifactsInput!$M$24)*CHOOSE(ArtifactsInput!$N$24+1,10,12,14,16,18,20)+IF(ArtifactsInput!$M$10,CHOOSE(ArtifactsInput!$N$10+1,15,18,21,24,27,30)*(IF(Inputs!$B$39="pvp",MIN(15,15)/15,IF(AND(Inputs!$B$39&lt;&gt;"pvp",Inputs!$B$44&gt;0),MIN(15,Inputs!$B$44)/(Inputs!$B$44),0))),0)))-100),0))*CHOOSE(ArtifactsInput!$N$42+1,0.6,0.72,0.84,0.96,1.08,1.2))),Inputs!$B$18+((C248=TRUE)*(F248-Calc!F29))+(IF(AND(ArtifactsInput!$M$42,((Inputs!$B$9+((C244=TRUE)*(F244-Calc!F25))+B259+(ArtifactsInput!$M$24-ArtifactsInput!$M$24)*CHOOSE(ArtifactsInput!$N$24+1,10,12,14,16,18,20)+IF(ArtifactsInput!$M$10,CHOOSE(ArtifactsInput!$N$10+1,15,18,21,24,27,30)*(IF(Inputs!$B$39="pvp",MIN(15,15)/15,IF(AND(Inputs!$B$39&lt;&gt;"pvp",Inputs!$B$44&gt;0),MIN(15,Inputs!$B$44)/(Inputs!$B$44),0))),0)))&gt;=100),CHOOSE(ArtifactsInput!$N$42+1,40,48,56,64,72,80),0))))/100)*(((1+(((C240=TRUE)*F240*IF(AND(Inputs!$B$39&lt;&gt;"pvp",Inputs!$B$44&gt;0),(((R240-1)*(Skills!Y21*(1+Inputs!$B$34/100))+MIN((Skills!Y21*(1+Inputs!$B$34/100)),MAX(0,Inputs!$B$44-((R240-1)*Skills!D21))))/Inputs!$B$44),IF(Inputs!$B$39="pvp",MIN((Skills!Y21*(1+Inputs!$B$34/100)),15)/15,(Skills!Y21*(1+Inputs!$B$34/100))/Skills!D21)))+((C247=TRUE)*(F247-Calc!F28))+((C237=TRUE)*(F237-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Skills!Y15*(1+Inputs!$B$34/100))+MIN((Skills!Y15*(1+Inputs!$B$34/100)),MAX(0,Inputs!$B$44-((R234-1)*Skills!D15))))/Inputs!$B$44),IF(Inputs!$B$39="pvp",MIN((Skills!Y15*(1+Inputs!$B$34/100)),15)/15,(Skills!Y15*(1+Inputs!$B$34/100))/Skills!D15)))/100)*(1+((C225=TRUE)*F225*B253)/100))*B261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221)</f>
        <v/>
      </c>
      <c r="L221">
        <f>K221*(MIN(Inputs!$B$22+((C243=TRUE)*(F243-Calc!F24)),(Inputs!$B$23+0+(IF(ArtifactsInput!$M$15,CHOOSE(ArtifactsInput!$N$15+1,25,30,35,40,45,50)/100*(Inputs!$B$11-Inputs!$B$11),0))))/100+(Inputs!$B$23+0+(IF(ArtifactsInput!$M$15,CHOOSE(ArtifactsInput!$N$15+1,25,30,35,40,45,50)/100*(Inputs!$B$11-Inputs!$B$11),0)))/100)/2</f>
        <v/>
      </c>
      <c r="M221">
        <f>L221*(1+(Inputs!$B$10+((C245=TRUE)*(F245-Calc!F26))+B262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1">
        <f>L221*(1-MIN((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221*(MIN((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1">
        <f>(1-Summary!$B$11)*T221+Summary!$B$11*V221</f>
        <v/>
      </c>
      <c r="P221">
        <f>IF(B263=0,0,O221/B263)</f>
        <v/>
      </c>
      <c r="Q221" t="n">
        <v>0</v>
      </c>
      <c r="R221" t="n">
        <v>0</v>
      </c>
      <c r="S221">
        <f>IFERROR(O221/N221,0)</f>
        <v/>
      </c>
      <c r="T221">
        <f>IF(C221,(Skills!G2*N221*B257)*IF(Inputs!$B$39="pvp",1,1+(Inputs!$B$20+((C246=TRUE)*(F246-Calc!F27))+Skills!P2+B260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Hunt"),CHOOSE(ArtifactsInput!$N$35+1,15,18,21,24,27,30)*(1-EXP(-(0.2*B255)*5)),0)+IF(AND(ArtifactsInput!$M$22,Inputs!$B$4&lt;&gt;"Chapter Hunt"),CHOOSE(ArtifactsInput!$N$22+1,10,12,14,16,18,20)*((0*(((0.15*B255*5))^0/1)+1*(((0.15*B255*5))^1/1)+2*(((0.15*B255*5))^2/2)+3*(((0.15*B255*5))^3/6)+4*(((0.15*B255*5))^4/24)+5*(((0.15*B255*5))^5/120))/((((0.15*B255*5))^0/1)+(((0.15*B255*5))^1/1)+(((0.15*B255*5))^2/2)+(((0.15*B255*5))^3/6)+(((0.15*B255*5))^4/24)+(((0.15*B255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221*(1-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221*(1-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1">
        <f>MAX(0,(Inputs!$B$3-100)*3)+Inputs!$B$28+Inputs!$B$29</f>
        <v/>
      </c>
      <c r="V221">
        <f>IF(C221,(Skills!G2*N221*B257)*IF(Inputs!$B$39="pvp",1,(1+(Inputs!$B$21+Skills!Q2+B260+(IF(ArtifactsInput!$M$33,CHOOSE(ArtifactsInput!$N$33+1,30,36,42,48,54,60),0))+(IF(AND(ArtifactsInput!$M$35,Inputs!$B$4&lt;&gt;"Chapter Hunt"),CHOOSE(ArtifactsInput!$N$35+1,15,18,21,24,27,30)*(1-EXP(-(0.2*B255)*5)),0)+IF(AND(ArtifactsInput!$M$22,Inputs!$B$4&lt;&gt;"Chapter Hunt"),CHOOSE(ArtifactsInput!$N$22+1,10,12,14,16,18,20)*((0*(((0.15*B255*5))^0/1)+1*(((0.15*B255*5))^1/1)+2*(((0.15*B255*5))^2/2)+3*(((0.15*B255*5))^3/6)+4*(((0.15*B255*5))^4/24)+5*(((0.15*B255*5))^5/120))/((((0.15*B255*5))^0/1)+(((0.15*B255*5))^1/1)+(((0.15*B255*5))^2/2)+(((0.15*B255*5))^3/6)+(((0.15*B255*5))^4/24)+(((0.15*B255*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2">
      <c r="A222">
        <f>Skills!A3</f>
        <v/>
      </c>
      <c r="B222">
        <f>Skills!B3</f>
        <v/>
      </c>
      <c r="C222">
        <f>Inputs!$B$3&gt;=35</f>
        <v/>
      </c>
      <c r="D222">
        <f>IF(Skills!C3=1,60+Inputs!$B$25+Inputs!$B$29,IF(Skills!C3=2,90+Inputs!$B$26+Inputs!$B$29,IF(Skills!C3=3,120+Inputs!$B$27+Inputs!$B$29,MAX(0,(Inputs!$B$3-100)*3)+Inputs!$B$28+Inputs!$B$29)))</f>
        <v/>
      </c>
      <c r="E222">
        <f>INDEX(FactorTable!$B$2:$Y$301, MATCH(ROUND(MIN(300,MAX(1,D222)),0), FactorTable!$A$2:$A$301,0), Skills!M3+1)</f>
        <v/>
      </c>
      <c r="F222">
        <f>IF(Skills!N3=TRUE,(Skills!L3/10)*(E222/1000),Skills!L3/10)+Skills!O3</f>
        <v/>
      </c>
      <c r="G222">
        <f>Calc!G3</f>
        <v/>
      </c>
      <c r="H222">
        <f>Calc!H3</f>
        <v/>
      </c>
      <c r="I222">
        <f>IF(Skills!AA3&lt;&gt;"",1+(Skills!AA3/10)*(U222/1000)/100,1)</f>
        <v/>
      </c>
      <c r="J222">
        <f>((Inputs!$B$6*(1+Inputs!$B$7/100))+(((Inputs!$B$12*(1+Inputs!$B$13/100))-(Inputs!$B$12*(1+Inputs!$B$13/100)))+0.25*(Inputs!$B$14-Inputs!$B$14))*(1+Inputs!$B$7/100))*(F222/100)</f>
        <v/>
      </c>
      <c r="K222">
        <f>J222*(1+((Inputs!$B$12*(1+Inputs!$B$13/100))*0.01+Inputs!$B$14*0.0025)/100)*(1+(Inputs!$B$15+1)/100)*(1+Inputs!$B$16/100)*(5000/(6000+Inputs!$B$43*(1-(100*(1-(1-(Inputs!$B$19+0)/100)*(1-CHOOSE(ArtifactsInput!$N$40+1,5,6,7,8,9,10)/100)^(ArtifactsInput!$M$40-ArtifactsInput!$M$40)))/100)))*(1+(Inputs!$B$24+((C249=TRUE)*(F249-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242=TRUE)*(F242-Calc!F23))+(((IF(AND(ArtifactsInput!$M$42,((Inputs!$B$9+((C244=TRUE)*(F244-Calc!F25))+B259+(ArtifactsInput!$M$24-ArtifactsInput!$M$24)*CHOOSE(ArtifactsInput!$N$24+1,10,12,14,16,18,20)+IF(ArtifactsInput!$M$10,CHOOSE(ArtifactsInput!$N$10+1,15,18,21,24,27,30)*(IF(Inputs!$B$39="pvp",MIN(15,15)/15,IF(AND(Inputs!$B$39&lt;&gt;"pvp",Inputs!$B$44&gt;0),MIN(15,Inputs!$B$44)/(Inputs!$B$44),0))),0)))&gt;=100),MIN(100,((Inputs!$B$9+((C244=TRUE)*(F244-Calc!F25))+B259+(ArtifactsInput!$M$24-ArtifactsInput!$M$24)*CHOOSE(ArtifactsInput!$N$24+1,10,12,14,16,18,20)+IF(ArtifactsInput!$M$10,CHOOSE(ArtifactsInput!$N$10+1,15,18,21,24,27,30)*(IF(Inputs!$B$39="pvp",MIN(15,15)/15,IF(AND(Inputs!$B$39&lt;&gt;"pvp",Inputs!$B$44&gt;0),MIN(15,Inputs!$B$44)/(Inputs!$B$44),0))),0)))-100),0))*CHOOSE(ArtifactsInput!$N$42+1,0.6,0.72,0.84,0.96,1.08,1.2))),Inputs!$B$18+((C248=TRUE)*(F248-Calc!F29))+(IF(AND(ArtifactsInput!$M$42,((Inputs!$B$9+((C244=TRUE)*(F244-Calc!F25))+B259+(ArtifactsInput!$M$24-ArtifactsInput!$M$24)*CHOOSE(ArtifactsInput!$N$24+1,10,12,14,16,18,20)+IF(ArtifactsInput!$M$10,CHOOSE(ArtifactsInput!$N$10+1,15,18,21,24,27,30)*(IF(Inputs!$B$39="pvp",MIN(15,15)/15,IF(AND(Inputs!$B$39&lt;&gt;"pvp",Inputs!$B$44&gt;0),MIN(15,Inputs!$B$44)/(Inputs!$B$44),0))),0)))&gt;=100),CHOOSE(ArtifactsInput!$N$42+1,40,48,56,64,72,80),0))))/100)*(((1+(((C240=TRUE)*F240*IF(AND(Inputs!$B$39&lt;&gt;"pvp",Inputs!$B$44&gt;0),(((R240-1)*(Skills!Y21*(1+Inputs!$B$34/100))+MIN((Skills!Y21*(1+Inputs!$B$34/100)),MAX(0,Inputs!$B$44-((R240-1)*Skills!D21))))/Inputs!$B$44),IF(Inputs!$B$39="pvp",MIN((Skills!Y21*(1+Inputs!$B$34/100)),15)/15,(Skills!Y21*(1+Inputs!$B$34/100))/Skills!D21)))+((C247=TRUE)*(F247-Calc!F28))+((C237=TRUE)*(F237-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Skills!Y15*(1+Inputs!$B$34/100))+MIN((Skills!Y15*(1+Inputs!$B$34/100)),MAX(0,Inputs!$B$44-((R234-1)*Skills!D15))))/Inputs!$B$44),IF(Inputs!$B$39="pvp",MIN((Skills!Y15*(1+Inputs!$B$34/100)),15)/15,(Skills!Y15*(1+Inputs!$B$34/100))/Skills!D15)))/100)*(1+((C225=TRUE)*F225*B253)/100))*B261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222)</f>
        <v/>
      </c>
      <c r="L222">
        <f>K222*(MIN(Inputs!$B$22+((C243=TRUE)*(F243-Calc!F24)),(Inputs!$B$23+0+(IF(ArtifactsInput!$M$15,CHOOSE(ArtifactsInput!$N$15+1,25,30,35,40,45,50)/100*(Inputs!$B$11-Inputs!$B$11),0))))/100+(Inputs!$B$23+0+(IF(ArtifactsInput!$M$15,CHOOSE(ArtifactsInput!$N$15+1,25,30,35,40,45,50)/100*(Inputs!$B$11-Inputs!$B$11),0)))/100)/2</f>
        <v/>
      </c>
      <c r="M222">
        <f>L222*(1+(Inputs!$B$10+((C245=TRUE)*(F245-Calc!F26))+B262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2">
        <f>L222*(1-MIN((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222*(MIN((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2">
        <f>(1-Summary!$B$11)*T222+Summary!$B$11*V222</f>
        <v/>
      </c>
      <c r="P222">
        <f>IF(B263=0,0,O222/B263)</f>
        <v/>
      </c>
      <c r="Q222">
        <f>IFERROR(1/IF(Inputs!$B$39="pvp",15,MAX(0.1,Skills!D3-IF(Skills!E3=TRUE,Inputs!$B$32,0))),0)</f>
        <v/>
      </c>
      <c r="R222">
        <f>IF(AND(Inputs!$B$39&lt;&gt;"pvp",Inputs!$B$44&gt;0),IF(MAX(0,Inputs!$B$44-B264)&lt;=0,0,(INT(MAX(0,Inputs!$B$44-B264)/IF(Inputs!$B$39="pvp",15,MAX(0.1,Skills!D3-IF(Skills!E3=TRUE,Inputs!$B$32,0))))+1)),0)</f>
        <v/>
      </c>
      <c r="S222">
        <f>IFERROR(O222/N222,0)</f>
        <v/>
      </c>
      <c r="T222">
        <f>IF(C222,(H222*N222*IF(AND(Inputs!$B$39&lt;&gt;"pvp",Inputs!$B$44&gt;0),((Skills!G3*((R222-1)*IF(Skills!H3&gt;0,Skills!I3/Skills!H3,1)+IF(Skills!H3&gt;0,MIN(Skills!I3,MAX(0,MAX(0,Inputs!$B$44-B264)-((R222-1)*IF(Inputs!$B$39="pvp",15,MAX(0.1,Skills!D3-IF(Skills!E3=TRUE,Inputs!$B$32,0))))))/Skills!H3,1)))/Inputs!$B$44),G222*Q222))*IF(Inputs!$B$39="pvp",1,1+(Inputs!$B$20+((C246=TRUE)*(F246-Calc!F27))+Skills!P3+B260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Hunt"),CHOOSE(ArtifactsInput!$N$35+1,15,18,21,24,27,30)*(1-EXP(-(0.2*B255)*5)),0)+IF(AND(ArtifactsInput!$M$22,Inputs!$B$4&lt;&gt;"Chapter Hunt"),CHOOSE(ArtifactsInput!$N$22+1,10,12,14,16,18,20)*((0*(((0.15*B255*5))^0/1)+1*(((0.15*B255*5))^1/1)+2*(((0.15*B255*5))^2/2)+3*(((0.15*B255*5))^3/6)+4*(((0.15*B255*5))^4/24)+5*(((0.15*B255*5))^5/120))/((((0.15*B255*5))^0/1)+(((0.15*B255*5))^1/1)+(((0.15*B255*5))^2/2)+(((0.15*B255*5))^3/6)+(((0.15*B255*5))^4/24)+(((0.15*B255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222*(1-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222*(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222*(1-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222*(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2">
        <f>INDEX(FactorTable!$B$2:$Y$301, MATCH(ROUND(MIN(300,MAX(1,U221)),0), FactorTable!$A$2:$A$301,0), 24)</f>
        <v/>
      </c>
      <c r="V222">
        <f>IF(C222,(H222*N222*IF(AND(Inputs!$B$39&lt;&gt;"pvp",Inputs!$B$44&gt;0),((Skills!G3*((R222-1)*IF(Skills!H3&gt;0,Skills!I3/Skills!H3,1)+IF(Skills!H3&gt;0,MIN(Skills!I3,MAX(0,MAX(0,Inputs!$B$44-B264)-((R222-1)*IF(Inputs!$B$39="pvp",15,MAX(0.1,Skills!D3-IF(Skills!E3=TRUE,Inputs!$B$32,0))))))/Skills!H3,1)))/Inputs!$B$44),G222*Q222))*IF(Inputs!$B$39="pvp",1,(1+(Inputs!$B$21+Skills!Q3+B260+(IF(ArtifactsInput!$M$33,CHOOSE(ArtifactsInput!$N$33+1,30,36,42,48,54,60),0))+(IF(AND(ArtifactsInput!$M$35,Inputs!$B$4&lt;&gt;"Chapter Hunt"),CHOOSE(ArtifactsInput!$N$35+1,15,18,21,24,27,30)*(1-EXP(-(0.2*B255)*5)),0)+IF(AND(ArtifactsInput!$M$22,Inputs!$B$4&lt;&gt;"Chapter Hunt"),CHOOSE(ArtifactsInput!$N$22+1,10,12,14,16,18,20)*((0*(((0.15*B255*5))^0/1)+1*(((0.15*B255*5))^1/1)+2*(((0.15*B255*5))^2/2)+3*(((0.15*B255*5))^3/6)+4*(((0.15*B255*5))^4/24)+5*(((0.15*B255*5))^5/120))/((((0.15*B255*5))^0/1)+(((0.15*B255*5))^1/1)+(((0.15*B255*5))^2/2)+(((0.15*B255*5))^3/6)+(((0.15*B255*5))^4/24)+(((0.15*B255*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3">
      <c r="A223">
        <f>Skills!A4</f>
        <v/>
      </c>
      <c r="B223">
        <f>Skills!B4</f>
        <v/>
      </c>
      <c r="C223">
        <f>Inputs!$B$3&gt;=40</f>
        <v/>
      </c>
      <c r="D223">
        <f>IF(Skills!C4=1,60+Inputs!$B$25+Inputs!$B$29,IF(Skills!C4=2,90+Inputs!$B$26+Inputs!$B$29,IF(Skills!C4=3,120+Inputs!$B$27+Inputs!$B$29,MAX(0,(Inputs!$B$3-100)*3)+Inputs!$B$28+Inputs!$B$29)))</f>
        <v/>
      </c>
      <c r="E223">
        <f>INDEX(FactorTable!$B$2:$Y$301, MATCH(ROUND(MIN(300,MAX(1,D223)),0), FactorTable!$A$2:$A$301,0), Skills!M4+1)</f>
        <v/>
      </c>
      <c r="F223">
        <f>IF(Skills!N4=TRUE,(Skills!L4/10)*(E223/1000),Skills!L4/10)+Skills!O4</f>
        <v/>
      </c>
      <c r="G223">
        <f>Calc!G4</f>
        <v/>
      </c>
      <c r="H223">
        <f>Calc!H4</f>
        <v/>
      </c>
      <c r="I223">
        <f>IF(Skills!AA4&lt;&gt;"",1+(Skills!AA4/10)*(U222/1000)/100,1)</f>
        <v/>
      </c>
      <c r="J223">
        <f>((Inputs!$B$6*(1+Inputs!$B$7/100))+(((Inputs!$B$12*(1+Inputs!$B$13/100))-(Inputs!$B$12*(1+Inputs!$B$13/100)))+0.25*(Inputs!$B$14-Inputs!$B$14))*(1+Inputs!$B$7/100))*(F223/100)</f>
        <v/>
      </c>
      <c r="K223">
        <f>J223*(1+((Inputs!$B$12*(1+Inputs!$B$13/100))*0.01+Inputs!$B$14*0.0025)/100)*(1+(Inputs!$B$15+1)/100)*(1+Inputs!$B$16/100)*(5000/(6000+Inputs!$B$43*(1-(100*(1-(1-(Inputs!$B$19+0)/100)*(1-CHOOSE(ArtifactsInput!$N$40+1,5,6,7,8,9,10)/100)^(ArtifactsInput!$M$40-ArtifactsInput!$M$40)))/100)))*(1+(Inputs!$B$24+((C249=TRUE)*(F249-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242=TRUE)*(F242-Calc!F23))+(((IF(AND(ArtifactsInput!$M$42,((Inputs!$B$9+((C244=TRUE)*(F244-Calc!F25))+B259+(ArtifactsInput!$M$24-ArtifactsInput!$M$24)*CHOOSE(ArtifactsInput!$N$24+1,10,12,14,16,18,20)+IF(ArtifactsInput!$M$10,CHOOSE(ArtifactsInput!$N$10+1,15,18,21,24,27,30)*(IF(Inputs!$B$39="pvp",MIN(15,15)/15,IF(AND(Inputs!$B$39&lt;&gt;"pvp",Inputs!$B$44&gt;0),MIN(15,Inputs!$B$44)/(Inputs!$B$44),0))),0)))&gt;=100),MIN(100,((Inputs!$B$9+((C244=TRUE)*(F244-Calc!F25))+B259+(ArtifactsInput!$M$24-ArtifactsInput!$M$24)*CHOOSE(ArtifactsInput!$N$24+1,10,12,14,16,18,20)+IF(ArtifactsInput!$M$10,CHOOSE(ArtifactsInput!$N$10+1,15,18,21,24,27,30)*(IF(Inputs!$B$39="pvp",MIN(15,15)/15,IF(AND(Inputs!$B$39&lt;&gt;"pvp",Inputs!$B$44&gt;0),MIN(15,Inputs!$B$44)/(Inputs!$B$44),0))),0)))-100),0))*CHOOSE(ArtifactsInput!$N$42+1,0.6,0.72,0.84,0.96,1.08,1.2))),Inputs!$B$18+((C248=TRUE)*(F248-Calc!F29))+(IF(AND(ArtifactsInput!$M$42,((Inputs!$B$9+((C244=TRUE)*(F244-Calc!F25))+B259+(ArtifactsInput!$M$24-ArtifactsInput!$M$24)*CHOOSE(ArtifactsInput!$N$24+1,10,12,14,16,18,20)+IF(ArtifactsInput!$M$10,CHOOSE(ArtifactsInput!$N$10+1,15,18,21,24,27,30)*(IF(Inputs!$B$39="pvp",MIN(15,15)/15,IF(AND(Inputs!$B$39&lt;&gt;"pvp",Inputs!$B$44&gt;0),MIN(15,Inputs!$B$44)/(Inputs!$B$44),0))),0)))&gt;=100),CHOOSE(ArtifactsInput!$N$42+1,40,48,56,64,72,80),0))))/100)*(((1+(((C240=TRUE)*F240*IF(AND(Inputs!$B$39&lt;&gt;"pvp",Inputs!$B$44&gt;0),(((R240-1)*(Skills!Y21*(1+Inputs!$B$34/100))+MIN((Skills!Y21*(1+Inputs!$B$34/100)),MAX(0,Inputs!$B$44-((R240-1)*Skills!D21))))/Inputs!$B$44),IF(Inputs!$B$39="pvp",MIN((Skills!Y21*(1+Inputs!$B$34/100)),15)/15,(Skills!Y21*(1+Inputs!$B$34/100))/Skills!D21)))+((C247=TRUE)*(F247-Calc!F28))+((C237=TRUE)*(F237-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Skills!Y15*(1+Inputs!$B$34/100))+MIN((Skills!Y15*(1+Inputs!$B$34/100)),MAX(0,Inputs!$B$44-((R234-1)*Skills!D15))))/Inputs!$B$44),IF(Inputs!$B$39="pvp",MIN((Skills!Y15*(1+Inputs!$B$34/100)),15)/15,(Skills!Y15*(1+Inputs!$B$34/100))/Skills!D15)))/100)*(1+((C225=TRUE)*F225*B253)/100))*B261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223)</f>
        <v/>
      </c>
      <c r="L223">
        <f>K223*(MIN(Inputs!$B$22+((C243=TRUE)*(F243-Calc!F24)),(Inputs!$B$23+0+(IF(ArtifactsInput!$M$15,CHOOSE(ArtifactsInput!$N$15+1,25,30,35,40,45,50)/100*(Inputs!$B$11-Inputs!$B$11),0))))/100+(Inputs!$B$23+0+(IF(ArtifactsInput!$M$15,CHOOSE(ArtifactsInput!$N$15+1,25,30,35,40,45,50)/100*(Inputs!$B$11-Inputs!$B$11),0)))/100)/2</f>
        <v/>
      </c>
      <c r="M223">
        <f>L223*(1+(Inputs!$B$10+((C245=TRUE)*(F245-Calc!F26))+B262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3">
        <f>L223*(1-MIN((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223*(MIN((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3">
        <f>(1-Summary!$B$11)*T223+Summary!$B$11*V223</f>
        <v/>
      </c>
      <c r="P223">
        <f>IF(B263=0,0,O223/B263)</f>
        <v/>
      </c>
      <c r="Q223">
        <f>IFERROR(1/IF(Inputs!$B$39="pvp",15,MAX(0.1,Skills!D4-IF(Skills!E4=TRUE,Inputs!$B$32,0))),0)</f>
        <v/>
      </c>
      <c r="R223">
        <f>IF(AND(Inputs!$B$39&lt;&gt;"pvp",Inputs!$B$44&gt;0),IF(MAX(0,Inputs!$B$44-B264)&lt;=0,0,(INT(MAX(0,Inputs!$B$44-B264)/IF(Inputs!$B$39="pvp",15,MAX(0.1,Skills!D4-IF(Skills!E4=TRUE,Inputs!$B$32,0))))+1)),0)</f>
        <v/>
      </c>
      <c r="S223">
        <f>IFERROR(O223/N223,0)</f>
        <v/>
      </c>
      <c r="T223">
        <f>IF(C223,(H223*N223*IF(AND(Inputs!$B$39&lt;&gt;"pvp",Inputs!$B$44&gt;0),((Skills!G4*((R223-1)*IF(Skills!H4&gt;0,Skills!I4/Skills!H4,1)+IF(Skills!H4&gt;0,MIN(Skills!I4,MAX(0,MAX(0,Inputs!$B$44-B264)-((R223-1)*IF(Inputs!$B$39="pvp",15,MAX(0.1,Skills!D4-IF(Skills!E4=TRUE,Inputs!$B$32,0))))))/Skills!H4,1)))/Inputs!$B$44),G223*Q223))*IF(Inputs!$B$39="pvp",1,1+(Inputs!$B$20+((C246=TRUE)*(F246-Calc!F27))+Skills!P4+B260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Hunt"),CHOOSE(ArtifactsInput!$N$35+1,15,18,21,24,27,30)*(1-EXP(-(0.2*B255)*5)),0)+IF(AND(ArtifactsInput!$M$22,Inputs!$B$4&lt;&gt;"Chapter Hunt"),CHOOSE(ArtifactsInput!$N$22+1,10,12,14,16,18,20)*((0*(((0.15*B255*5))^0/1)+1*(((0.15*B255*5))^1/1)+2*(((0.15*B255*5))^2/2)+3*(((0.15*B255*5))^3/6)+4*(((0.15*B255*5))^4/24)+5*(((0.15*B255*5))^5/120))/((((0.15*B255*5))^0/1)+(((0.15*B255*5))^1/1)+(((0.15*B255*5))^2/2)+(((0.15*B255*5))^3/6)+(((0.15*B255*5))^4/24)+(((0.15*B255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223*(1-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223*(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223*(1-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223*(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3">
        <f>MAX(0,(Inputs!$B$3-100)*3)+Inputs!$B$28+Inputs!$B$29</f>
        <v/>
      </c>
      <c r="V223">
        <f>IF(C223,(H223*N223*IF(AND(Inputs!$B$39&lt;&gt;"pvp",Inputs!$B$44&gt;0),((Skills!G4*((R223-1)*IF(Skills!H4&gt;0,Skills!I4/Skills!H4,1)+IF(Skills!H4&gt;0,MIN(Skills!I4,MAX(0,MAX(0,Inputs!$B$44-B264)-((R223-1)*IF(Inputs!$B$39="pvp",15,MAX(0.1,Skills!D4-IF(Skills!E4=TRUE,Inputs!$B$32,0))))))/Skills!H4,1)))/Inputs!$B$44),G223*Q223))*IF(Inputs!$B$39="pvp",1,(1+(Inputs!$B$21+Skills!Q4+B260+(IF(ArtifactsInput!$M$33,CHOOSE(ArtifactsInput!$N$33+1,30,36,42,48,54,60),0))+(IF(AND(ArtifactsInput!$M$35,Inputs!$B$4&lt;&gt;"Chapter Hunt"),CHOOSE(ArtifactsInput!$N$35+1,15,18,21,24,27,30)*(1-EXP(-(0.2*B255)*5)),0)+IF(AND(ArtifactsInput!$M$22,Inputs!$B$4&lt;&gt;"Chapter Hunt"),CHOOSE(ArtifactsInput!$N$22+1,10,12,14,16,18,20)*((0*(((0.15*B255*5))^0/1)+1*(((0.15*B255*5))^1/1)+2*(((0.15*B255*5))^2/2)+3*(((0.15*B255*5))^3/6)+4*(((0.15*B255*5))^4/24)+5*(((0.15*B255*5))^5/120))/((((0.15*B255*5))^0/1)+(((0.15*B255*5))^1/1)+(((0.15*B255*5))^2/2)+(((0.15*B255*5))^3/6)+(((0.15*B255*5))^4/24)+(((0.15*B255*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4">
      <c r="A224">
        <f>Skills!A5</f>
        <v/>
      </c>
      <c r="B224">
        <f>Skills!B5</f>
        <v/>
      </c>
      <c r="C224">
        <f>Inputs!$B$3&gt;=63</f>
        <v/>
      </c>
      <c r="D224">
        <f>IF(Skills!C5=1,60+Inputs!$B$25+Inputs!$B$29,IF(Skills!C5=2,90+Inputs!$B$26+Inputs!$B$29,IF(Skills!C5=3,120+Inputs!$B$27+Inputs!$B$29,MAX(0,(Inputs!$B$3-100)*3)+Inputs!$B$28+Inputs!$B$29)))</f>
        <v/>
      </c>
      <c r="E224">
        <f>INDEX(FactorTable!$B$2:$Y$301, MATCH(ROUND(MIN(300,MAX(1,D224)),0), FactorTable!$A$2:$A$301,0), Skills!M5+1)</f>
        <v/>
      </c>
      <c r="F224">
        <f>IF(Skills!N5=TRUE,(Skills!L5/10)*(E224/1000),Skills!L5/10)+Skills!O5</f>
        <v/>
      </c>
      <c r="G224">
        <f>Calc!G5</f>
        <v/>
      </c>
      <c r="H224">
        <f>Calc!H5</f>
        <v/>
      </c>
      <c r="I224">
        <f>IF(Skills!AA5&lt;&gt;"",1+(Skills!AA5/10)*(U222/1000)/100,1)</f>
        <v/>
      </c>
      <c r="J224">
        <f>((Inputs!$B$6*(1+Inputs!$B$7/100))+(((Inputs!$B$12*(1+Inputs!$B$13/100))-(Inputs!$B$12*(1+Inputs!$B$13/100)))+0.25*(Inputs!$B$14-Inputs!$B$14))*(1+Inputs!$B$7/100))*(F224/100)</f>
        <v/>
      </c>
      <c r="K224">
        <f>J224*(1+((Inputs!$B$12*(1+Inputs!$B$13/100))*0.01+Inputs!$B$14*0.0025)/100)*(1+(Inputs!$B$15+1)/100)*(1+Inputs!$B$16/100)*(5000/(6000+Inputs!$B$43*(1-(100*(1-(1-(Inputs!$B$19+0)/100)*(1-CHOOSE(ArtifactsInput!$N$40+1,5,6,7,8,9,10)/100)^(ArtifactsInput!$M$40-ArtifactsInput!$M$40)))/100)))*(1+(Inputs!$B$24+((C249=TRUE)*(F249-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242=TRUE)*(F242-Calc!F23))+(((IF(AND(ArtifactsInput!$M$42,((Inputs!$B$9+((C244=TRUE)*(F244-Calc!F25))+B259+(ArtifactsInput!$M$24-ArtifactsInput!$M$24)*CHOOSE(ArtifactsInput!$N$24+1,10,12,14,16,18,20)+IF(ArtifactsInput!$M$10,CHOOSE(ArtifactsInput!$N$10+1,15,18,21,24,27,30)*(IF(Inputs!$B$39="pvp",MIN(15,15)/15,IF(AND(Inputs!$B$39&lt;&gt;"pvp",Inputs!$B$44&gt;0),MIN(15,Inputs!$B$44)/(Inputs!$B$44),0))),0)))&gt;=100),MIN(100,((Inputs!$B$9+((C244=TRUE)*(F244-Calc!F25))+B259+(ArtifactsInput!$M$24-ArtifactsInput!$M$24)*CHOOSE(ArtifactsInput!$N$24+1,10,12,14,16,18,20)+IF(ArtifactsInput!$M$10,CHOOSE(ArtifactsInput!$N$10+1,15,18,21,24,27,30)*(IF(Inputs!$B$39="pvp",MIN(15,15)/15,IF(AND(Inputs!$B$39&lt;&gt;"pvp",Inputs!$B$44&gt;0),MIN(15,Inputs!$B$44)/(Inputs!$B$44),0))),0)))-100),0))*CHOOSE(ArtifactsInput!$N$42+1,0.6,0.72,0.84,0.96,1.08,1.2))),Inputs!$B$18+((C248=TRUE)*(F248-Calc!F29))+(IF(AND(ArtifactsInput!$M$42,((Inputs!$B$9+((C244=TRUE)*(F244-Calc!F25))+B259+(ArtifactsInput!$M$24-ArtifactsInput!$M$24)*CHOOSE(ArtifactsInput!$N$24+1,10,12,14,16,18,20)+IF(ArtifactsInput!$M$10,CHOOSE(ArtifactsInput!$N$10+1,15,18,21,24,27,30)*(IF(Inputs!$B$39="pvp",MIN(15,15)/15,IF(AND(Inputs!$B$39&lt;&gt;"pvp",Inputs!$B$44&gt;0),MIN(15,Inputs!$B$44)/(Inputs!$B$44),0))),0)))&gt;=100),CHOOSE(ArtifactsInput!$N$42+1,40,48,56,64,72,80),0))))/100)*(((1+(((C240=TRUE)*F240*IF(AND(Inputs!$B$39&lt;&gt;"pvp",Inputs!$B$44&gt;0),(((R240-1)*(Skills!Y21*(1+Inputs!$B$34/100))+MIN((Skills!Y21*(1+Inputs!$B$34/100)),MAX(0,Inputs!$B$44-((R240-1)*Skills!D21))))/Inputs!$B$44),IF(Inputs!$B$39="pvp",MIN((Skills!Y21*(1+Inputs!$B$34/100)),15)/15,(Skills!Y21*(1+Inputs!$B$34/100))/Skills!D21)))+((C247=TRUE)*(F247-Calc!F28))+((C237=TRUE)*(F237-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Skills!Y15*(1+Inputs!$B$34/100))+MIN((Skills!Y15*(1+Inputs!$B$34/100)),MAX(0,Inputs!$B$44-((R234-1)*Skills!D15))))/Inputs!$B$44),IF(Inputs!$B$39="pvp",MIN((Skills!Y15*(1+Inputs!$B$34/100)),15)/15,(Skills!Y15*(1+Inputs!$B$34/100))/Skills!D15)))/100)*(1+((C225=TRUE)*F225*B253)/100))*B261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224)</f>
        <v/>
      </c>
      <c r="L224">
        <f>K224*(MIN(Inputs!$B$22+((C243=TRUE)*(F243-Calc!F24)),(Inputs!$B$23+0+(IF(ArtifactsInput!$M$15,CHOOSE(ArtifactsInput!$N$15+1,25,30,35,40,45,50)/100*(Inputs!$B$11-Inputs!$B$11),0))))/100+(Inputs!$B$23+0+(IF(ArtifactsInput!$M$15,CHOOSE(ArtifactsInput!$N$15+1,25,30,35,40,45,50)/100*(Inputs!$B$11-Inputs!$B$11),0)))/100)/2</f>
        <v/>
      </c>
      <c r="M224">
        <f>L224*(1+(Inputs!$B$10+((C245=TRUE)*(F245-Calc!F26))+B262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4">
        <f>L224*(1-MIN((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224*(MIN((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4">
        <f>(1-Summary!$B$11)*T224+Summary!$B$11*V224</f>
        <v/>
      </c>
      <c r="P224">
        <f>IF(B263=0,0,O224/B263)</f>
        <v/>
      </c>
      <c r="Q224">
        <f>IFERROR(1/IF(Inputs!$B$39="pvp",15,MAX(0.1,Skills!D5-IF(Skills!E5=TRUE,Inputs!$B$32,0))),0)</f>
        <v/>
      </c>
      <c r="R224">
        <f>IF(AND(Inputs!$B$39&lt;&gt;"pvp",Inputs!$B$44&gt;0),IF(MAX(0,Inputs!$B$44-B264)&lt;=0,0,(INT(MAX(0,Inputs!$B$44-B264)/IF(Inputs!$B$39="pvp",15,MAX(0.1,Skills!D5-IF(Skills!E5=TRUE,Inputs!$B$32,0))))+1)),0)</f>
        <v/>
      </c>
      <c r="S224">
        <f>IFERROR(O224/N224,0)</f>
        <v/>
      </c>
      <c r="T224">
        <f>IF(C224,(H224*N224*IF(AND(Inputs!$B$39&lt;&gt;"pvp",Inputs!$B$44&gt;0),((Skills!G5*((R224-1)*IF(Skills!H5&gt;0,Skills!I5/Skills!H5,1)+IF(Skills!H5&gt;0,MIN(Skills!I5,MAX(0,MAX(0,Inputs!$B$44-B264)-((R224-1)*IF(Inputs!$B$39="pvp",15,MAX(0.1,Skills!D5-IF(Skills!E5=TRUE,Inputs!$B$32,0))))))/Skills!H5,1)))/Inputs!$B$44),G224*Q224))*IF(Inputs!$B$39="pvp",1,1+(Inputs!$B$20+((C246=TRUE)*(F246-Calc!F27))+Skills!P5+B260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Hunt"),CHOOSE(ArtifactsInput!$N$35+1,15,18,21,24,27,30)*(1-EXP(-(0.2*B255)*5)),0)+IF(AND(ArtifactsInput!$M$22,Inputs!$B$4&lt;&gt;"Chapter Hunt"),CHOOSE(ArtifactsInput!$N$22+1,10,12,14,16,18,20)*((0*(((0.15*B255*5))^0/1)+1*(((0.15*B255*5))^1/1)+2*(((0.15*B255*5))^2/2)+3*(((0.15*B255*5))^3/6)+4*(((0.15*B255*5))^4/24)+5*(((0.15*B255*5))^5/120))/((((0.15*B255*5))^0/1)+(((0.15*B255*5))^1/1)+(((0.15*B255*5))^2/2)+(((0.15*B255*5))^3/6)+(((0.15*B255*5))^4/24)+(((0.15*B255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224*(1-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224*(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224*(1-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224*(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4">
        <f>INDEX(FactorTable!$B$2:$Y$301, MATCH(ROUND(MIN(300,MAX(1,U223)),0), FactorTable!$A$2:$A$301,0), 22)</f>
        <v/>
      </c>
      <c r="V224">
        <f>IF(C224,(H224*N224*IF(AND(Inputs!$B$39&lt;&gt;"pvp",Inputs!$B$44&gt;0),((Skills!G5*((R224-1)*IF(Skills!H5&gt;0,Skills!I5/Skills!H5,1)+IF(Skills!H5&gt;0,MIN(Skills!I5,MAX(0,MAX(0,Inputs!$B$44-B264)-((R224-1)*IF(Inputs!$B$39="pvp",15,MAX(0.1,Skills!D5-IF(Skills!E5=TRUE,Inputs!$B$32,0))))))/Skills!H5,1)))/Inputs!$B$44),G224*Q224))*IF(Inputs!$B$39="pvp",1,(1+(Inputs!$B$21+Skills!Q5+B260+(IF(ArtifactsInput!$M$33,CHOOSE(ArtifactsInput!$N$33+1,30,36,42,48,54,60),0))+(IF(AND(ArtifactsInput!$M$35,Inputs!$B$4&lt;&gt;"Chapter Hunt"),CHOOSE(ArtifactsInput!$N$35+1,15,18,21,24,27,30)*(1-EXP(-(0.2*B255)*5)),0)+IF(AND(ArtifactsInput!$M$22,Inputs!$B$4&lt;&gt;"Chapter Hunt"),CHOOSE(ArtifactsInput!$N$22+1,10,12,14,16,18,20)*((0*(((0.15*B255*5))^0/1)+1*(((0.15*B255*5))^1/1)+2*(((0.15*B255*5))^2/2)+3*(((0.15*B255*5))^3/6)+4*(((0.15*B255*5))^4/24)+5*(((0.15*B255*5))^5/120))/((((0.15*B255*5))^0/1)+(((0.15*B255*5))^1/1)+(((0.15*B255*5))^2/2)+(((0.15*B255*5))^3/6)+(((0.15*B255*5))^4/24)+(((0.15*B255*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5">
      <c r="A225">
        <f>Skills!A6</f>
        <v/>
      </c>
      <c r="B225">
        <f>Skills!B6</f>
        <v/>
      </c>
      <c r="C225">
        <f>Inputs!$B$3&gt;=66</f>
        <v/>
      </c>
      <c r="D225">
        <f>IF(Skills!C6=1,60+Inputs!$B$25+Inputs!$B$29,IF(Skills!C6=2,90+Inputs!$B$26+Inputs!$B$29,IF(Skills!C6=3,120+Inputs!$B$27+Inputs!$B$29,MAX(0,(Inputs!$B$3-100)*3)+Inputs!$B$28+Inputs!$B$29)))</f>
        <v/>
      </c>
      <c r="E225">
        <f>INDEX(FactorTable!$B$2:$Y$301, MATCH(ROUND(MIN(300,MAX(1,D225)),0), FactorTable!$A$2:$A$301,0), Skills!M6+1)</f>
        <v/>
      </c>
      <c r="F225">
        <f>IF(Skills!N6=TRUE,(Skills!L6/10)*(E225/1000),Skills!L6/10)+Skills!O6</f>
        <v/>
      </c>
      <c r="G225">
        <f>Calc!G6</f>
        <v/>
      </c>
      <c r="H225">
        <f>Calc!H6</f>
        <v/>
      </c>
      <c r="I225">
        <f>IF(Skills!AA6&lt;&gt;"",1+(Skills!AA6/10)*(U222/1000)/100,1)</f>
        <v/>
      </c>
      <c r="J225" t="inlineStr"/>
      <c r="K225" t="inlineStr"/>
      <c r="L225" t="inlineStr"/>
      <c r="M225" t="inlineStr"/>
      <c r="N225" t="inlineStr"/>
      <c r="O225">
        <f>(1-Summary!$B$11)*T225+Summary!$B$11*V225</f>
        <v/>
      </c>
      <c r="P225">
        <f>IF(B263=0,0,O225/B263)</f>
        <v/>
      </c>
      <c r="Q225" t="n">
        <v>0</v>
      </c>
      <c r="R225" t="n">
        <v>0</v>
      </c>
      <c r="S225">
        <f>IFERROR(O225/N225,0)</f>
        <v/>
      </c>
      <c r="T225" t="n">
        <v>0</v>
      </c>
      <c r="U225">
        <f>290*U224/1000</f>
        <v/>
      </c>
      <c r="V225" t="n">
        <v>0</v>
      </c>
    </row>
    <row r="226">
      <c r="A226">
        <f>Skills!A7</f>
        <v/>
      </c>
      <c r="B226">
        <f>Skills!B7</f>
        <v/>
      </c>
      <c r="C226">
        <f>Inputs!$B$3&gt;=66</f>
        <v/>
      </c>
      <c r="D226">
        <f>IF(Skills!C7=1,60+Inputs!$B$25+Inputs!$B$29,IF(Skills!C7=2,90+Inputs!$B$26+Inputs!$B$29,IF(Skills!C7=3,120+Inputs!$B$27+Inputs!$B$29,MAX(0,(Inputs!$B$3-100)*3)+Inputs!$B$28+Inputs!$B$29)))</f>
        <v/>
      </c>
      <c r="E226">
        <f>INDEX(FactorTable!$B$2:$Y$301, MATCH(ROUND(MIN(300,MAX(1,D226)),0), FactorTable!$A$2:$A$301,0), Skills!M7+1)</f>
        <v/>
      </c>
      <c r="F226">
        <f>IF(Skills!N7=TRUE,(Skills!L7/10)*(E226/1000),Skills!L7/10)+Skills!O7</f>
        <v/>
      </c>
      <c r="G226">
        <f>Calc!G7</f>
        <v/>
      </c>
      <c r="H226">
        <f>Calc!H7</f>
        <v/>
      </c>
      <c r="I226">
        <f>IF(Skills!AA7&lt;&gt;"",1+(Skills!AA7/10)*(U222/1000)/100,1)</f>
        <v/>
      </c>
      <c r="J226" t="inlineStr"/>
      <c r="K226" t="inlineStr"/>
      <c r="L226" t="inlineStr"/>
      <c r="M226" t="inlineStr"/>
      <c r="N226" t="inlineStr"/>
      <c r="O226">
        <f>(1-Summary!$B$11)*T226+Summary!$B$11*V226</f>
        <v/>
      </c>
      <c r="P226">
        <f>IF(B263=0,0,O226/B263)</f>
        <v/>
      </c>
      <c r="Q226" t="n">
        <v>0</v>
      </c>
      <c r="R226" t="n">
        <v>0</v>
      </c>
      <c r="S226">
        <f>IFERROR(O226/N226,0)</f>
        <v/>
      </c>
      <c r="T226" t="n">
        <v>0</v>
      </c>
      <c r="V226" t="n">
        <v>0</v>
      </c>
    </row>
    <row r="227">
      <c r="A227">
        <f>Skills!A8</f>
        <v/>
      </c>
      <c r="B227">
        <f>Skills!B8</f>
        <v/>
      </c>
      <c r="C227">
        <f>Inputs!$B$3&gt;=69</f>
        <v/>
      </c>
      <c r="D227">
        <f>IF(Skills!C8=1,60+Inputs!$B$25+Inputs!$B$29,IF(Skills!C8=2,90+Inputs!$B$26+Inputs!$B$29,IF(Skills!C8=3,120+Inputs!$B$27+Inputs!$B$29,MAX(0,(Inputs!$B$3-100)*3)+Inputs!$B$28+Inputs!$B$29)))</f>
        <v/>
      </c>
      <c r="E227">
        <f>INDEX(FactorTable!$B$2:$Y$301, MATCH(ROUND(MIN(300,MAX(1,D227)),0), FactorTable!$A$2:$A$301,0), Skills!M8+1)</f>
        <v/>
      </c>
      <c r="F227">
        <f>IF(Skills!N8=TRUE,(Skills!L8/10)*(E227/1000),Skills!L8/10)+Skills!O8</f>
        <v/>
      </c>
      <c r="G227">
        <f>Calc!G8</f>
        <v/>
      </c>
      <c r="H227">
        <f>Calc!H8</f>
        <v/>
      </c>
      <c r="I227">
        <f>IF(Skills!AA8&lt;&gt;"",1+(Skills!AA8/10)*(U222/1000)/100,1)</f>
        <v/>
      </c>
      <c r="J227">
        <f>((Inputs!$B$6*(1+Inputs!$B$7/100))+(((Inputs!$B$12*(1+Inputs!$B$13/100))-(Inputs!$B$12*(1+Inputs!$B$13/100)))+0.25*(Inputs!$B$14-Inputs!$B$14))*(1+Inputs!$B$7/100))*(F227/100)</f>
        <v/>
      </c>
      <c r="K227">
        <f>J227*(1+((Inputs!$B$12*(1+Inputs!$B$13/100))*0.01+Inputs!$B$14*0.0025)/100)*(1+(Inputs!$B$15+1)/100)*(1+Inputs!$B$16/100)*(5000/(6000+Inputs!$B$43*(1-(100*(1-(1-(Inputs!$B$19+0)/100)*(1-CHOOSE(ArtifactsInput!$N$40+1,5,6,7,8,9,10)/100)^(ArtifactsInput!$M$40-ArtifactsInput!$M$40)))/100)))*(1+(Inputs!$B$24+((C249=TRUE)*(F249-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242=TRUE)*(F242-Calc!F23))+(((IF(AND(ArtifactsInput!$M$42,((Inputs!$B$9+((C244=TRUE)*(F244-Calc!F25))+B259+(ArtifactsInput!$M$24-ArtifactsInput!$M$24)*CHOOSE(ArtifactsInput!$N$24+1,10,12,14,16,18,20)+IF(ArtifactsInput!$M$10,CHOOSE(ArtifactsInput!$N$10+1,15,18,21,24,27,30)*(IF(Inputs!$B$39="pvp",MIN(15,15)/15,IF(AND(Inputs!$B$39&lt;&gt;"pvp",Inputs!$B$44&gt;0),MIN(15,Inputs!$B$44)/(Inputs!$B$44),0))),0)))&gt;=100),MIN(100,((Inputs!$B$9+((C244=TRUE)*(F244-Calc!F25))+B259+(ArtifactsInput!$M$24-ArtifactsInput!$M$24)*CHOOSE(ArtifactsInput!$N$24+1,10,12,14,16,18,20)+IF(ArtifactsInput!$M$10,CHOOSE(ArtifactsInput!$N$10+1,15,18,21,24,27,30)*(IF(Inputs!$B$39="pvp",MIN(15,15)/15,IF(AND(Inputs!$B$39&lt;&gt;"pvp",Inputs!$B$44&gt;0),MIN(15,Inputs!$B$44)/(Inputs!$B$44),0))),0)))-100),0))*CHOOSE(ArtifactsInput!$N$42+1,0.6,0.72,0.84,0.96,1.08,1.2))),Inputs!$B$18+((C248=TRUE)*(F248-Calc!F29))+(IF(AND(ArtifactsInput!$M$42,((Inputs!$B$9+((C244=TRUE)*(F244-Calc!F25))+B259+(ArtifactsInput!$M$24-ArtifactsInput!$M$24)*CHOOSE(ArtifactsInput!$N$24+1,10,12,14,16,18,20)+IF(ArtifactsInput!$M$10,CHOOSE(ArtifactsInput!$N$10+1,15,18,21,24,27,30)*(IF(Inputs!$B$39="pvp",MIN(15,15)/15,IF(AND(Inputs!$B$39&lt;&gt;"pvp",Inputs!$B$44&gt;0),MIN(15,Inputs!$B$44)/(Inputs!$B$44),0))),0)))&gt;=100),CHOOSE(ArtifactsInput!$N$42+1,40,48,56,64,72,80),0))))/100)*(((1+(((C240=TRUE)*F240*IF(AND(Inputs!$B$39&lt;&gt;"pvp",Inputs!$B$44&gt;0),(((R240-1)*(Skills!Y21*(1+Inputs!$B$34/100))+MIN((Skills!Y21*(1+Inputs!$B$34/100)),MAX(0,Inputs!$B$44-((R240-1)*Skills!D21))))/Inputs!$B$44),IF(Inputs!$B$39="pvp",MIN((Skills!Y21*(1+Inputs!$B$34/100)),15)/15,(Skills!Y21*(1+Inputs!$B$34/100))/Skills!D21)))+((C247=TRUE)*(F247-Calc!F28))+((C237=TRUE)*(F237-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Skills!Y15*(1+Inputs!$B$34/100))+MIN((Skills!Y15*(1+Inputs!$B$34/100)),MAX(0,Inputs!$B$44-((R234-1)*Skills!D15))))/Inputs!$B$44),IF(Inputs!$B$39="pvp",MIN((Skills!Y15*(1+Inputs!$B$34/100)),15)/15,(Skills!Y15*(1+Inputs!$B$34/100))/Skills!D15)))/100)*(1+((C225=TRUE)*F225*B253)/100))*B261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227)</f>
        <v/>
      </c>
      <c r="L227">
        <f>K227*(MIN(Inputs!$B$22+((C243=TRUE)*(F243-Calc!F24)),(Inputs!$B$23+0+(IF(ArtifactsInput!$M$15,CHOOSE(ArtifactsInput!$N$15+1,25,30,35,40,45,50)/100*(Inputs!$B$11-Inputs!$B$11),0))))/100+(Inputs!$B$23+0+(IF(ArtifactsInput!$M$15,CHOOSE(ArtifactsInput!$N$15+1,25,30,35,40,45,50)/100*(Inputs!$B$11-Inputs!$B$11),0)))/100)/2</f>
        <v/>
      </c>
      <c r="M227">
        <f>L227*(1+(Inputs!$B$10+((C245=TRUE)*(F245-Calc!F26))+B262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7">
        <f>L227*(1-MIN((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227*(MIN((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7">
        <f>(1-Summary!$B$11)*T227+Summary!$B$11*V227</f>
        <v/>
      </c>
      <c r="P227">
        <f>IF(B263=0,0,O227/B263)</f>
        <v/>
      </c>
      <c r="Q227">
        <f>IFERROR(1/IF(Inputs!$B$39="pvp",15,MAX(0.1,Skills!D8-IF(Skills!E8=TRUE,Inputs!$B$32,0))),0)</f>
        <v/>
      </c>
      <c r="R227">
        <f>IF(AND(Inputs!$B$39&lt;&gt;"pvp",Inputs!$B$44&gt;0),IF(MAX(0,Inputs!$B$44-B264)&lt;=0,0,(INT(MAX(0,Inputs!$B$44-B264)/IF(Inputs!$B$39="pvp",15,MAX(0.1,Skills!D8-IF(Skills!E8=TRUE,Inputs!$B$32,0))))+1)),0)</f>
        <v/>
      </c>
      <c r="S227">
        <f>IFERROR(O227/N227,0)</f>
        <v/>
      </c>
      <c r="T227">
        <f>IF(C227,(H227*N227*IF(AND(Inputs!$B$39&lt;&gt;"pvp",Inputs!$B$44&gt;0),((Skills!G8*((R227-1)*IF(Skills!H8&gt;0,Skills!I8/Skills!H8,1)+IF(Skills!H8&gt;0,MIN(Skills!I8,MAX(0,MAX(0,Inputs!$B$44-B264)-((R227-1)*IF(Inputs!$B$39="pvp",15,MAX(0.1,Skills!D8-IF(Skills!E8=TRUE,Inputs!$B$32,0))))))/Skills!H8,1)))/Inputs!$B$44),G227*Q227))*IF(Inputs!$B$39="pvp",1,1+(Inputs!$B$20+((C246=TRUE)*(F246-Calc!F27))+Skills!P8+B260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Hunt"),CHOOSE(ArtifactsInput!$N$35+1,15,18,21,24,27,30)*(1-EXP(-(0.2*B255)*5)),0)+IF(AND(ArtifactsInput!$M$22,Inputs!$B$4&lt;&gt;"Chapter Hunt"),CHOOSE(ArtifactsInput!$N$22+1,10,12,14,16,18,20)*((0*(((0.15*B255*5))^0/1)+1*(((0.15*B255*5))^1/1)+2*(((0.15*B255*5))^2/2)+3*(((0.15*B255*5))^3/6)+4*(((0.15*B255*5))^4/24)+5*(((0.15*B255*5))^5/120))/((((0.15*B255*5))^0/1)+(((0.15*B255*5))^1/1)+(((0.15*B255*5))^2/2)+(((0.15*B255*5))^3/6)+(((0.15*B255*5))^4/24)+(((0.15*B255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227*(1-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227*(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227*(1-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227*(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7">
        <f>IF(C227,(H227*N227*IF(AND(Inputs!$B$39&lt;&gt;"pvp",Inputs!$B$44&gt;0),((Skills!G8*((R227-1)*IF(Skills!H8&gt;0,Skills!I8/Skills!H8,1)+IF(Skills!H8&gt;0,MIN(Skills!I8,MAX(0,MAX(0,Inputs!$B$44-B264)-((R227-1)*IF(Inputs!$B$39="pvp",15,MAX(0.1,Skills!D8-IF(Skills!E8=TRUE,Inputs!$B$32,0))))))/Skills!H8,1)))/Inputs!$B$44),G227*Q227))*IF(Inputs!$B$39="pvp",1,(1+(Inputs!$B$21+Skills!Q8+B260+(IF(ArtifactsInput!$M$33,CHOOSE(ArtifactsInput!$N$33+1,30,36,42,48,54,60),0))+(IF(AND(ArtifactsInput!$M$35,Inputs!$B$4&lt;&gt;"Chapter Hunt"),CHOOSE(ArtifactsInput!$N$35+1,15,18,21,24,27,30)*(1-EXP(-(0.2*B255)*5)),0)+IF(AND(ArtifactsInput!$M$22,Inputs!$B$4&lt;&gt;"Chapter Hunt"),CHOOSE(ArtifactsInput!$N$22+1,10,12,14,16,18,20)*((0*(((0.15*B255*5))^0/1)+1*(((0.15*B255*5))^1/1)+2*(((0.15*B255*5))^2/2)+3*(((0.15*B255*5))^3/6)+4*(((0.15*B255*5))^4/24)+5*(((0.15*B255*5))^5/120))/((((0.15*B255*5))^0/1)+(((0.15*B255*5))^1/1)+(((0.15*B255*5))^2/2)+(((0.15*B255*5))^3/6)+(((0.15*B255*5))^4/24)+(((0.15*B255*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8">
      <c r="A228">
        <f>Skills!A9</f>
        <v/>
      </c>
      <c r="B228">
        <f>Skills!B9</f>
        <v/>
      </c>
      <c r="C228">
        <f>Inputs!$B$3&gt;=72</f>
        <v/>
      </c>
      <c r="D228">
        <f>IF(Skills!C9=1,60+Inputs!$B$25+Inputs!$B$29,IF(Skills!C9=2,90+Inputs!$B$26+Inputs!$B$29,IF(Skills!C9=3,120+Inputs!$B$27+Inputs!$B$29,MAX(0,(Inputs!$B$3-100)*3)+Inputs!$B$28+Inputs!$B$29)))</f>
        <v/>
      </c>
      <c r="E228">
        <f>INDEX(FactorTable!$B$2:$Y$301, MATCH(ROUND(MIN(300,MAX(1,D228)),0), FactorTable!$A$2:$A$301,0), Skills!M9+1)</f>
        <v/>
      </c>
      <c r="F228">
        <f>IF(Skills!N9=TRUE,(Skills!L9/10)*(E228/1000),Skills!L9/10)+Skills!O9</f>
        <v/>
      </c>
      <c r="G228">
        <f>Calc!G9</f>
        <v/>
      </c>
      <c r="H228">
        <f>Calc!H9</f>
        <v/>
      </c>
      <c r="I228">
        <f>IF(Skills!AA9&lt;&gt;"",1+(Skills!AA9/10)*(U222/1000)/100,1)</f>
        <v/>
      </c>
      <c r="J228">
        <f>((Inputs!$B$6*(1+Inputs!$B$7/100))+(((Inputs!$B$12*(1+Inputs!$B$13/100))-(Inputs!$B$12*(1+Inputs!$B$13/100)))+0.25*(Inputs!$B$14-Inputs!$B$14))*(1+Inputs!$B$7/100))*(F228/100)</f>
        <v/>
      </c>
      <c r="K228">
        <f>J228*(1+((Inputs!$B$12*(1+Inputs!$B$13/100))*0.01+Inputs!$B$14*0.0025)/100)*(1+(Inputs!$B$15+1)/100)*(1+Inputs!$B$16/100)*(5000/(6000+Inputs!$B$43*(1-(100*(1-(1-(Inputs!$B$19+0)/100)*(1-CHOOSE(ArtifactsInput!$N$40+1,5,6,7,8,9,10)/100)^(ArtifactsInput!$M$40-ArtifactsInput!$M$40)))/100)))*(1+(Inputs!$B$24+((C249=TRUE)*(F249-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242=TRUE)*(F242-Calc!F23))+(((IF(AND(ArtifactsInput!$M$42,((Inputs!$B$9+((C244=TRUE)*(F244-Calc!F25))+B259+(ArtifactsInput!$M$24-ArtifactsInput!$M$24)*CHOOSE(ArtifactsInput!$N$24+1,10,12,14,16,18,20)+IF(ArtifactsInput!$M$10,CHOOSE(ArtifactsInput!$N$10+1,15,18,21,24,27,30)*(IF(Inputs!$B$39="pvp",MIN(15,15)/15,IF(AND(Inputs!$B$39&lt;&gt;"pvp",Inputs!$B$44&gt;0),MIN(15,Inputs!$B$44)/(Inputs!$B$44),0))),0)))&gt;=100),MIN(100,((Inputs!$B$9+((C244=TRUE)*(F244-Calc!F25))+B259+(ArtifactsInput!$M$24-ArtifactsInput!$M$24)*CHOOSE(ArtifactsInput!$N$24+1,10,12,14,16,18,20)+IF(ArtifactsInput!$M$10,CHOOSE(ArtifactsInput!$N$10+1,15,18,21,24,27,30)*(IF(Inputs!$B$39="pvp",MIN(15,15)/15,IF(AND(Inputs!$B$39&lt;&gt;"pvp",Inputs!$B$44&gt;0),MIN(15,Inputs!$B$44)/(Inputs!$B$44),0))),0)))-100),0))*CHOOSE(ArtifactsInput!$N$42+1,0.6,0.72,0.84,0.96,1.08,1.2))),Inputs!$B$18+((C248=TRUE)*(F248-Calc!F29))+(IF(AND(ArtifactsInput!$M$42,((Inputs!$B$9+((C244=TRUE)*(F244-Calc!F25))+B259+(ArtifactsInput!$M$24-ArtifactsInput!$M$24)*CHOOSE(ArtifactsInput!$N$24+1,10,12,14,16,18,20)+IF(ArtifactsInput!$M$10,CHOOSE(ArtifactsInput!$N$10+1,15,18,21,24,27,30)*(IF(Inputs!$B$39="pvp",MIN(15,15)/15,IF(AND(Inputs!$B$39&lt;&gt;"pvp",Inputs!$B$44&gt;0),MIN(15,Inputs!$B$44)/(Inputs!$B$44),0))),0)))&gt;=100),CHOOSE(ArtifactsInput!$N$42+1,40,48,56,64,72,80),0))))/100)*(((1+(((C240=TRUE)*F240*IF(AND(Inputs!$B$39&lt;&gt;"pvp",Inputs!$B$44&gt;0),(((R240-1)*(Skills!Y21*(1+Inputs!$B$34/100))+MIN((Skills!Y21*(1+Inputs!$B$34/100)),MAX(0,Inputs!$B$44-((R240-1)*Skills!D21))))/Inputs!$B$44),IF(Inputs!$B$39="pvp",MIN((Skills!Y21*(1+Inputs!$B$34/100)),15)/15,(Skills!Y21*(1+Inputs!$B$34/100))/Skills!D21)))+((C247=TRUE)*(F247-Calc!F28))+((C237=TRUE)*(F237-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Skills!Y15*(1+Inputs!$B$34/100))+MIN((Skills!Y15*(1+Inputs!$B$34/100)),MAX(0,Inputs!$B$44-((R234-1)*Skills!D15))))/Inputs!$B$44),IF(Inputs!$B$39="pvp",MIN((Skills!Y15*(1+Inputs!$B$34/100)),15)/15,(Skills!Y15*(1+Inputs!$B$34/100))/Skills!D15)))/100)*(1+((C225=TRUE)*F225*B253)/100))*B261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228)</f>
        <v/>
      </c>
      <c r="L228">
        <f>K228*(MIN(Inputs!$B$22+((C243=TRUE)*(F243-Calc!F24)),(Inputs!$B$23+0+(IF(ArtifactsInput!$M$15,CHOOSE(ArtifactsInput!$N$15+1,25,30,35,40,45,50)/100*(Inputs!$B$11-Inputs!$B$11),0))))/100+(Inputs!$B$23+0+(IF(ArtifactsInput!$M$15,CHOOSE(ArtifactsInput!$N$15+1,25,30,35,40,45,50)/100*(Inputs!$B$11-Inputs!$B$11),0)))/100)/2</f>
        <v/>
      </c>
      <c r="M228">
        <f>L228*(1+(Inputs!$B$10+((C245=TRUE)*(F245-Calc!F26))+B262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8">
        <f>L228*(1-MIN((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228*(MIN((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8">
        <f>(1-Summary!$B$11)*T228+Summary!$B$11*V228</f>
        <v/>
      </c>
      <c r="P228">
        <f>IF(B263=0,0,O228/B263)</f>
        <v/>
      </c>
      <c r="Q228">
        <f>IFERROR(1/IF(Inputs!$B$39="pvp",15,MAX(0.1,Skills!D9-IF(Skills!E9=TRUE,Inputs!$B$32,0))),0)</f>
        <v/>
      </c>
      <c r="R228">
        <f>IF(AND(Inputs!$B$39&lt;&gt;"pvp",Inputs!$B$44&gt;0),IF(MAX(0,Inputs!$B$44-B264)&lt;=0,0,(INT(MAX(0,Inputs!$B$44-B264)/IF(Inputs!$B$39="pvp",15,MAX(0.1,Skills!D9-IF(Skills!E9=TRUE,Inputs!$B$32,0))))+1)),0)</f>
        <v/>
      </c>
      <c r="S228">
        <f>IFERROR(O228/N228,0)</f>
        <v/>
      </c>
      <c r="T228">
        <f>IF(C228,(H228*N228*IF(AND(Inputs!$B$39&lt;&gt;"pvp",Inputs!$B$44&gt;0),((Skills!G9*((R228-1)*IF(Skills!H9&gt;0,Skills!I9/Skills!H9,1)+IF(Skills!H9&gt;0,MIN(Skills!I9,MAX(0,MAX(0,Inputs!$B$44-B264)-((R228-1)*IF(Inputs!$B$39="pvp",15,MAX(0.1,Skills!D9-IF(Skills!E9=TRUE,Inputs!$B$32,0))))))/Skills!H9,1)))/Inputs!$B$44),G228*Q228))*IF(Inputs!$B$39="pvp",1,1+(Inputs!$B$20+((C246=TRUE)*(F246-Calc!F27))+Skills!P9+B260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Hunt"),CHOOSE(ArtifactsInput!$N$35+1,15,18,21,24,27,30)*(1-EXP(-(0.2*B255)*5)),0)+IF(AND(ArtifactsInput!$M$22,Inputs!$B$4&lt;&gt;"Chapter Hunt"),CHOOSE(ArtifactsInput!$N$22+1,10,12,14,16,18,20)*((0*(((0.15*B255*5))^0/1)+1*(((0.15*B255*5))^1/1)+2*(((0.15*B255*5))^2/2)+3*(((0.15*B255*5))^3/6)+4*(((0.15*B255*5))^4/24)+5*(((0.15*B255*5))^5/120))/((((0.15*B255*5))^0/1)+(((0.15*B255*5))^1/1)+(((0.15*B255*5))^2/2)+(((0.15*B255*5))^3/6)+(((0.15*B255*5))^4/24)+(((0.15*B255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228*(1-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228*(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228*(1-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228*(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8">
        <f>IF(C228,(H228*N228*IF(AND(Inputs!$B$39&lt;&gt;"pvp",Inputs!$B$44&gt;0),((Skills!G9*((R228-1)*IF(Skills!H9&gt;0,Skills!I9/Skills!H9,1)+IF(Skills!H9&gt;0,MIN(Skills!I9,MAX(0,MAX(0,Inputs!$B$44-B264)-((R228-1)*IF(Inputs!$B$39="pvp",15,MAX(0.1,Skills!D9-IF(Skills!E9=TRUE,Inputs!$B$32,0))))))/Skills!H9,1)))/Inputs!$B$44),G228*Q228))*IF(Inputs!$B$39="pvp",1,(1+(Inputs!$B$21+Skills!Q9+B260+(IF(ArtifactsInput!$M$33,CHOOSE(ArtifactsInput!$N$33+1,30,36,42,48,54,60),0))+(IF(AND(ArtifactsInput!$M$35,Inputs!$B$4&lt;&gt;"Chapter Hunt"),CHOOSE(ArtifactsInput!$N$35+1,15,18,21,24,27,30)*(1-EXP(-(0.2*B255)*5)),0)+IF(AND(ArtifactsInput!$M$22,Inputs!$B$4&lt;&gt;"Chapter Hunt"),CHOOSE(ArtifactsInput!$N$22+1,10,12,14,16,18,20)*((0*(((0.15*B255*5))^0/1)+1*(((0.15*B255*5))^1/1)+2*(((0.15*B255*5))^2/2)+3*(((0.15*B255*5))^3/6)+4*(((0.15*B255*5))^4/24)+5*(((0.15*B255*5))^5/120))/((((0.15*B255*5))^0/1)+(((0.15*B255*5))^1/1)+(((0.15*B255*5))^2/2)+(((0.15*B255*5))^3/6)+(((0.15*B255*5))^4/24)+(((0.15*B255*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9">
      <c r="A229">
        <f>Skills!A10</f>
        <v/>
      </c>
      <c r="B229">
        <f>Skills!B10</f>
        <v/>
      </c>
      <c r="C229">
        <f>Inputs!$B$3&gt;=117</f>
        <v/>
      </c>
      <c r="D229">
        <f>IF(Skills!C10=1,60+Inputs!$B$25+Inputs!$B$29,IF(Skills!C10=2,90+Inputs!$B$26+Inputs!$B$29,IF(Skills!C10=3,120+Inputs!$B$27+Inputs!$B$29,MAX(0,(Inputs!$B$3-100)*3)+Inputs!$B$28+Inputs!$B$29)))</f>
        <v/>
      </c>
      <c r="E229">
        <f>INDEX(FactorTable!$B$2:$Y$301, MATCH(ROUND(MIN(300,MAX(1,D229)),0), FactorTable!$A$2:$A$301,0), Skills!M10+1)</f>
        <v/>
      </c>
      <c r="F229">
        <f>IF(Skills!N10=TRUE,(Skills!L10/10)*(E229/1000),Skills!L10/10)+Skills!O10</f>
        <v/>
      </c>
      <c r="G229">
        <f>Calc!G10</f>
        <v/>
      </c>
      <c r="H229">
        <f>Calc!H10</f>
        <v/>
      </c>
      <c r="I229">
        <f>IF(Skills!AA10&lt;&gt;"",1+(Skills!AA10/10)*(U222/1000)/100,1)</f>
        <v/>
      </c>
      <c r="J229">
        <f>((Inputs!$B$6*(1+Inputs!$B$7/100))+(((Inputs!$B$12*(1+Inputs!$B$13/100))-(Inputs!$B$12*(1+Inputs!$B$13/100)))+0.25*(Inputs!$B$14-Inputs!$B$14))*(1+Inputs!$B$7/100))*(F229/100)</f>
        <v/>
      </c>
      <c r="K229">
        <f>J229*(1+((Inputs!$B$12*(1+Inputs!$B$13/100))*0.01+Inputs!$B$14*0.0025)/100)*(1+(Inputs!$B$15+1)/100)*(1+Inputs!$B$16/100)*(5000/(6000+Inputs!$B$43*(1-(100*(1-(1-(Inputs!$B$19+0)/100)*(1-CHOOSE(ArtifactsInput!$N$40+1,5,6,7,8,9,10)/100)^(ArtifactsInput!$M$40-ArtifactsInput!$M$40)))/100)))*(1+(Inputs!$B$24+((C249=TRUE)*(F249-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242=TRUE)*(F242-Calc!F23))+(((IF(AND(ArtifactsInput!$M$42,((Inputs!$B$9+((C244=TRUE)*(F244-Calc!F25))+B259+(ArtifactsInput!$M$24-ArtifactsInput!$M$24)*CHOOSE(ArtifactsInput!$N$24+1,10,12,14,16,18,20)+IF(ArtifactsInput!$M$10,CHOOSE(ArtifactsInput!$N$10+1,15,18,21,24,27,30)*(IF(Inputs!$B$39="pvp",MIN(15,15)/15,IF(AND(Inputs!$B$39&lt;&gt;"pvp",Inputs!$B$44&gt;0),MIN(15,Inputs!$B$44)/(Inputs!$B$44),0))),0)))&gt;=100),MIN(100,((Inputs!$B$9+((C244=TRUE)*(F244-Calc!F25))+B259+(ArtifactsInput!$M$24-ArtifactsInput!$M$24)*CHOOSE(ArtifactsInput!$N$24+1,10,12,14,16,18,20)+IF(ArtifactsInput!$M$10,CHOOSE(ArtifactsInput!$N$10+1,15,18,21,24,27,30)*(IF(Inputs!$B$39="pvp",MIN(15,15)/15,IF(AND(Inputs!$B$39&lt;&gt;"pvp",Inputs!$B$44&gt;0),MIN(15,Inputs!$B$44)/(Inputs!$B$44),0))),0)))-100),0))*CHOOSE(ArtifactsInput!$N$42+1,0.6,0.72,0.84,0.96,1.08,1.2))),Inputs!$B$18+((C248=TRUE)*(F248-Calc!F29))+(IF(AND(ArtifactsInput!$M$42,((Inputs!$B$9+((C244=TRUE)*(F244-Calc!F25))+B259+(ArtifactsInput!$M$24-ArtifactsInput!$M$24)*CHOOSE(ArtifactsInput!$N$24+1,10,12,14,16,18,20)+IF(ArtifactsInput!$M$10,CHOOSE(ArtifactsInput!$N$10+1,15,18,21,24,27,30)*(IF(Inputs!$B$39="pvp",MIN(15,15)/15,IF(AND(Inputs!$B$39&lt;&gt;"pvp",Inputs!$B$44&gt;0),MIN(15,Inputs!$B$44)/(Inputs!$B$44),0))),0)))&gt;=100),CHOOSE(ArtifactsInput!$N$42+1,40,48,56,64,72,80),0))))/100)*(((1+(((C240=TRUE)*F240*IF(AND(Inputs!$B$39&lt;&gt;"pvp",Inputs!$B$44&gt;0),(((R240-1)*(Skills!Y21*(1+Inputs!$B$34/100))+MIN((Skills!Y21*(1+Inputs!$B$34/100)),MAX(0,Inputs!$B$44-((R240-1)*Skills!D21))))/Inputs!$B$44),IF(Inputs!$B$39="pvp",MIN((Skills!Y21*(1+Inputs!$B$34/100)),15)/15,(Skills!Y21*(1+Inputs!$B$34/100))/Skills!D21)))+((C247=TRUE)*(F247-Calc!F28))+((C237=TRUE)*(F237-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Skills!Y15*(1+Inputs!$B$34/100))+MIN((Skills!Y15*(1+Inputs!$B$34/100)),MAX(0,Inputs!$B$44-((R234-1)*Skills!D15))))/Inputs!$B$44),IF(Inputs!$B$39="pvp",MIN((Skills!Y15*(1+Inputs!$B$34/100)),15)/15,(Skills!Y15*(1+Inputs!$B$34/100))/Skills!D15)))/100)*(1+((C225=TRUE)*F225*B253)/100))*B261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229)</f>
        <v/>
      </c>
      <c r="L229">
        <f>K229*(MIN(Inputs!$B$22+((C243=TRUE)*(F243-Calc!F24)),(Inputs!$B$23+0+(IF(ArtifactsInput!$M$15,CHOOSE(ArtifactsInput!$N$15+1,25,30,35,40,45,50)/100*(Inputs!$B$11-Inputs!$B$11),0))))/100+(Inputs!$B$23+0+(IF(ArtifactsInput!$M$15,CHOOSE(ArtifactsInput!$N$15+1,25,30,35,40,45,50)/100*(Inputs!$B$11-Inputs!$B$11),0)))/100)/2</f>
        <v/>
      </c>
      <c r="M229">
        <f>L229*(1+(Inputs!$B$10+((C245=TRUE)*(F245-Calc!F26))+B262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9">
        <f>L229*(1-MIN((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229*(MIN((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9">
        <f>(1-Summary!$B$11)*T229+Summary!$B$11*V229</f>
        <v/>
      </c>
      <c r="P229">
        <f>IF(B263=0,0,O229/B263)</f>
        <v/>
      </c>
      <c r="Q229" t="n">
        <v>0</v>
      </c>
      <c r="R229" t="n">
        <v>0</v>
      </c>
      <c r="S229" t="n">
        <v>0</v>
      </c>
      <c r="T229">
        <f>IF(C229,(0.2*SUMPRODUCT((Skills!Z2:Z31=TRUE)*(C221:C250=TRUE)*S221:S250)*N229)*IF(Inputs!$B$39="pvp",1,1+(Inputs!$B$20+((C246=TRUE)*(F246-Calc!F27))+Skills!P10+B260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Hunt"),CHOOSE(ArtifactsInput!$N$35+1,15,18,21,24,27,30)*(1-EXP(-(0.2*B255)*5)),0)+IF(AND(ArtifactsInput!$M$22,Inputs!$B$4&lt;&gt;"Chapter Hunt"),CHOOSE(ArtifactsInput!$N$22+1,10,12,14,16,18,20)*((0*(((0.15*B255*5))^0/1)+1*(((0.15*B255*5))^1/1)+2*(((0.15*B255*5))^2/2)+3*(((0.15*B255*5))^3/6)+4*(((0.15*B255*5))^4/24)+5*(((0.15*B255*5))^5/120))/((((0.15*B255*5))^0/1)+(((0.15*B255*5))^1/1)+(((0.15*B255*5))^2/2)+(((0.15*B255*5))^3/6)+(((0.15*B255*5))^4/24)+(((0.15*B255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229*(1-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229*(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229*(1-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229*(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9">
        <f>IF(C229,(0.2*SUMPRODUCT((Skills!Z2:Z31=TRUE)*(C221:C250=TRUE)*S221:S250)*N229)*IF(Inputs!$B$39="pvp",1,(1+(Inputs!$B$21+Skills!Q10+B260+(IF(ArtifactsInput!$M$33,CHOOSE(ArtifactsInput!$N$33+1,30,36,42,48,54,60),0))+(IF(AND(ArtifactsInput!$M$35,Inputs!$B$4&lt;&gt;"Chapter Hunt"),CHOOSE(ArtifactsInput!$N$35+1,15,18,21,24,27,30)*(1-EXP(-(0.2*B255)*5)),0)+IF(AND(ArtifactsInput!$M$22,Inputs!$B$4&lt;&gt;"Chapter Hunt"),CHOOSE(ArtifactsInput!$N$22+1,10,12,14,16,18,20)*((0*(((0.15*B255*5))^0/1)+1*(((0.15*B255*5))^1/1)+2*(((0.15*B255*5))^2/2)+3*(((0.15*B255*5))^3/6)+4*(((0.15*B255*5))^4/24)+5*(((0.15*B255*5))^5/120))/((((0.15*B255*5))^0/1)+(((0.15*B255*5))^1/1)+(((0.15*B255*5))^2/2)+(((0.15*B255*5))^3/6)+(((0.15*B255*5))^4/24)+(((0.15*B255*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0">
      <c r="A230">
        <f>Skills!A11</f>
        <v/>
      </c>
      <c r="B230">
        <f>Skills!B11</f>
        <v/>
      </c>
      <c r="C230">
        <f>Inputs!$B$3&gt;=60</f>
        <v/>
      </c>
      <c r="D230">
        <f>IF(Skills!C11=1,60+Inputs!$B$25+Inputs!$B$29,IF(Skills!C11=2,90+Inputs!$B$26+Inputs!$B$29,IF(Skills!C11=3,120+Inputs!$B$27+Inputs!$B$29,MAX(0,(Inputs!$B$3-100)*3)+Inputs!$B$28+Inputs!$B$29)))</f>
        <v/>
      </c>
      <c r="E230">
        <f>INDEX(FactorTable!$B$2:$Y$301, MATCH(ROUND(MIN(300,MAX(1,D230)),0), FactorTable!$A$2:$A$301,0), Skills!M11+1)</f>
        <v/>
      </c>
      <c r="F230">
        <f>IF(Skills!N11=TRUE,(Skills!L11/10)*(E230/1000),Skills!L11/10)+Skills!O11</f>
        <v/>
      </c>
      <c r="G230">
        <f>Calc!G11</f>
        <v/>
      </c>
      <c r="H230">
        <f>Calc!H11</f>
        <v/>
      </c>
      <c r="I230">
        <f>IF(Skills!AA11&lt;&gt;"",1+(Skills!AA11/10)*(U222/1000)/100,1)</f>
        <v/>
      </c>
      <c r="J230" t="inlineStr"/>
      <c r="K230" t="inlineStr"/>
      <c r="L230" t="inlineStr"/>
      <c r="M230" t="inlineStr"/>
      <c r="N230" t="inlineStr"/>
      <c r="O230">
        <f>(1-Summary!$B$11)*T230+Summary!$B$11*V230</f>
        <v/>
      </c>
      <c r="P230">
        <f>IF(B263=0,0,O230/B263)</f>
        <v/>
      </c>
      <c r="Q230" t="n">
        <v>0</v>
      </c>
      <c r="R230" t="n">
        <v>0</v>
      </c>
      <c r="S230">
        <f>IFERROR(O230/N230,0)</f>
        <v/>
      </c>
      <c r="T230" t="n">
        <v>0</v>
      </c>
      <c r="V230" t="n">
        <v>0</v>
      </c>
    </row>
    <row r="231">
      <c r="A231">
        <f>Skills!A12</f>
        <v/>
      </c>
      <c r="B231">
        <f>Skills!B12</f>
        <v/>
      </c>
      <c r="C231">
        <f>Inputs!$B$3&gt;=103</f>
        <v/>
      </c>
      <c r="D231">
        <f>IF(Skills!C12=1,60+Inputs!$B$25+Inputs!$B$29,IF(Skills!C12=2,90+Inputs!$B$26+Inputs!$B$29,IF(Skills!C12=3,120+Inputs!$B$27+Inputs!$B$29,MAX(0,(Inputs!$B$3-100)*3)+Inputs!$B$28+Inputs!$B$29)))</f>
        <v/>
      </c>
      <c r="E231">
        <f>INDEX(FactorTable!$B$2:$Y$301, MATCH(ROUND(MIN(300,MAX(1,D231)),0), FactorTable!$A$2:$A$301,0), Skills!M12+1)</f>
        <v/>
      </c>
      <c r="F231">
        <f>IF(Skills!N12=TRUE,(Skills!L12/10)*(E231/1000),Skills!L12/10)+Skills!O12</f>
        <v/>
      </c>
      <c r="G231">
        <f>Calc!G12</f>
        <v/>
      </c>
      <c r="H231">
        <f>Calc!H12</f>
        <v/>
      </c>
      <c r="I231">
        <f>IF(Skills!AA12&lt;&gt;"",1+(Skills!AA12/10)*(U222/1000)/100,1)</f>
        <v/>
      </c>
      <c r="J231">
        <f>((Inputs!$B$6*(1+Inputs!$B$7/100))+(((Inputs!$B$12*(1+Inputs!$B$13/100))-(Inputs!$B$12*(1+Inputs!$B$13/100)))+0.25*(Inputs!$B$14-Inputs!$B$14))*(1+Inputs!$B$7/100))*(F231/100)</f>
        <v/>
      </c>
      <c r="K231">
        <f>J231*(1+((Inputs!$B$12*(1+Inputs!$B$13/100))*0.01+Inputs!$B$14*0.0025)/100)*(1+(Inputs!$B$15+1)/100)*(1+Inputs!$B$16/100)*(5000/(6000+Inputs!$B$43*(1-(100*(1-(1-(Inputs!$B$19+0)/100)*(1-CHOOSE(ArtifactsInput!$N$40+1,5,6,7,8,9,10)/100)^(ArtifactsInput!$M$40-ArtifactsInput!$M$40)))/100)))*(1+(Inputs!$B$24+((C249=TRUE)*(F249-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242=TRUE)*(F242-Calc!F23))+(((IF(AND(ArtifactsInput!$M$42,((Inputs!$B$9+((C244=TRUE)*(F244-Calc!F25))+B259+(ArtifactsInput!$M$24-ArtifactsInput!$M$24)*CHOOSE(ArtifactsInput!$N$24+1,10,12,14,16,18,20)+IF(ArtifactsInput!$M$10,CHOOSE(ArtifactsInput!$N$10+1,15,18,21,24,27,30)*(IF(Inputs!$B$39="pvp",MIN(15,15)/15,IF(AND(Inputs!$B$39&lt;&gt;"pvp",Inputs!$B$44&gt;0),MIN(15,Inputs!$B$44)/(Inputs!$B$44),0))),0)))&gt;=100),MIN(100,((Inputs!$B$9+((C244=TRUE)*(F244-Calc!F25))+B259+(ArtifactsInput!$M$24-ArtifactsInput!$M$24)*CHOOSE(ArtifactsInput!$N$24+1,10,12,14,16,18,20)+IF(ArtifactsInput!$M$10,CHOOSE(ArtifactsInput!$N$10+1,15,18,21,24,27,30)*(IF(Inputs!$B$39="pvp",MIN(15,15)/15,IF(AND(Inputs!$B$39&lt;&gt;"pvp",Inputs!$B$44&gt;0),MIN(15,Inputs!$B$44)/(Inputs!$B$44),0))),0)))-100),0))*CHOOSE(ArtifactsInput!$N$42+1,0.6,0.72,0.84,0.96,1.08,1.2))),Inputs!$B$18+((C248=TRUE)*(F248-Calc!F29))+(IF(AND(ArtifactsInput!$M$42,((Inputs!$B$9+((C244=TRUE)*(F244-Calc!F25))+B259+(ArtifactsInput!$M$24-ArtifactsInput!$M$24)*CHOOSE(ArtifactsInput!$N$24+1,10,12,14,16,18,20)+IF(ArtifactsInput!$M$10,CHOOSE(ArtifactsInput!$N$10+1,15,18,21,24,27,30)*(IF(Inputs!$B$39="pvp",MIN(15,15)/15,IF(AND(Inputs!$B$39&lt;&gt;"pvp",Inputs!$B$44&gt;0),MIN(15,Inputs!$B$44)/(Inputs!$B$44),0))),0)))&gt;=100),CHOOSE(ArtifactsInput!$N$42+1,40,48,56,64,72,80),0))))/100)*(((1+(((C240=TRUE)*F240*IF(AND(Inputs!$B$39&lt;&gt;"pvp",Inputs!$B$44&gt;0),(((R240-1)*(Skills!Y21*(1+Inputs!$B$34/100))+MIN((Skills!Y21*(1+Inputs!$B$34/100)),MAX(0,Inputs!$B$44-((R240-1)*Skills!D21))))/Inputs!$B$44),IF(Inputs!$B$39="pvp",MIN((Skills!Y21*(1+Inputs!$B$34/100)),15)/15,(Skills!Y21*(1+Inputs!$B$34/100))/Skills!D21)))+((C247=TRUE)*(F247-Calc!F28))+((C237=TRUE)*(F237-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Skills!Y15*(1+Inputs!$B$34/100))+MIN((Skills!Y15*(1+Inputs!$B$34/100)),MAX(0,Inputs!$B$44-((R234-1)*Skills!D15))))/Inputs!$B$44),IF(Inputs!$B$39="pvp",MIN((Skills!Y15*(1+Inputs!$B$34/100)),15)/15,(Skills!Y15*(1+Inputs!$B$34/100))/Skills!D15)))/100)*(1+((C225=TRUE)*F225*B253)/100))*B261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231)</f>
        <v/>
      </c>
      <c r="L231">
        <f>K231*(MIN(Inputs!$B$22+((C243=TRUE)*(F243-Calc!F24)),(Inputs!$B$23+0+(IF(ArtifactsInput!$M$15,CHOOSE(ArtifactsInput!$N$15+1,25,30,35,40,45,50)/100*(Inputs!$B$11-Inputs!$B$11),0))))/100+(Inputs!$B$23+0+(IF(ArtifactsInput!$M$15,CHOOSE(ArtifactsInput!$N$15+1,25,30,35,40,45,50)/100*(Inputs!$B$11-Inputs!$B$11),0)))/100)/2</f>
        <v/>
      </c>
      <c r="M231">
        <f>L231*(1+(Inputs!$B$10+((C245=TRUE)*(F245-Calc!F26))+B262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1">
        <f>L231*(1-MIN((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231*(MIN((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1">
        <f>(1-Summary!$B$11)*T231+Summary!$B$11*V231</f>
        <v/>
      </c>
      <c r="P231">
        <f>IF(B263=0,0,O231/B263)</f>
        <v/>
      </c>
      <c r="Q231">
        <f>IFERROR(1/IF(Inputs!$B$39="pvp",15,MAX(0.1,Skills!D12-IF(Skills!E12=TRUE,Inputs!$B$32,0))),0)</f>
        <v/>
      </c>
      <c r="R231">
        <f>IF(AND(Inputs!$B$39&lt;&gt;"pvp",Inputs!$B$44&gt;0),IF(MAX(0,Inputs!$B$44-B264)&lt;=0,0,(INT(MAX(0,Inputs!$B$44-B264)/IF(Inputs!$B$39="pvp",15,MAX(0.1,Skills!D12-IF(Skills!E12=TRUE,Inputs!$B$32,0))))+1)),0)</f>
        <v/>
      </c>
      <c r="S231">
        <f>IFERROR(O231/N231,0)</f>
        <v/>
      </c>
      <c r="T231">
        <f>IF(C231,(H231*N231*IF(AND(Inputs!$B$39&lt;&gt;"pvp",Inputs!$B$44&gt;0),((Skills!G12*((R231-1)*IF(Skills!H12&gt;0,Skills!I12/Skills!H12,1)+IF(Skills!H12&gt;0,MIN(Skills!I12,MAX(0,MAX(0,Inputs!$B$44-B264)-((R231-1)*IF(Inputs!$B$39="pvp",15,MAX(0.1,Skills!D12-IF(Skills!E12=TRUE,Inputs!$B$32,0))))))/Skills!H12,1)))/Inputs!$B$44),G231*Q231))*IF(Inputs!$B$39="pvp",1,1+(Inputs!$B$20+((C246=TRUE)*(F246-Calc!F27))+Skills!P12+B260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Hunt"),CHOOSE(ArtifactsInput!$N$35+1,15,18,21,24,27,30)*(1-EXP(-(0.2*B255)*5)),0)+IF(AND(ArtifactsInput!$M$22,Inputs!$B$4&lt;&gt;"Chapter Hunt"),CHOOSE(ArtifactsInput!$N$22+1,10,12,14,16,18,20)*((0*(((0.15*B255*5))^0/1)+1*(((0.15*B255*5))^1/1)+2*(((0.15*B255*5))^2/2)+3*(((0.15*B255*5))^3/6)+4*(((0.15*B255*5))^4/24)+5*(((0.15*B255*5))^5/120))/((((0.15*B255*5))^0/1)+(((0.15*B255*5))^1/1)+(((0.15*B255*5))^2/2)+(((0.15*B255*5))^3/6)+(((0.15*B255*5))^4/24)+(((0.15*B255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231*(1-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231*(1-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1">
        <f>IF(C231,(H231*N231*IF(AND(Inputs!$B$39&lt;&gt;"pvp",Inputs!$B$44&gt;0),((Skills!G12*((R231-1)*IF(Skills!H12&gt;0,Skills!I12/Skills!H12,1)+IF(Skills!H12&gt;0,MIN(Skills!I12,MAX(0,MAX(0,Inputs!$B$44-B264)-((R231-1)*IF(Inputs!$B$39="pvp",15,MAX(0.1,Skills!D12-IF(Skills!E12=TRUE,Inputs!$B$32,0))))))/Skills!H12,1)))/Inputs!$B$44),G231*Q231))*IF(Inputs!$B$39="pvp",1,(1+(Inputs!$B$21+Skills!Q12+B260+(IF(ArtifactsInput!$M$33,CHOOSE(ArtifactsInput!$N$33+1,30,36,42,48,54,60),0))+(IF(AND(ArtifactsInput!$M$35,Inputs!$B$4&lt;&gt;"Chapter Hunt"),CHOOSE(ArtifactsInput!$N$35+1,15,18,21,24,27,30)*(1-EXP(-(0.2*B255)*5)),0)+IF(AND(ArtifactsInput!$M$22,Inputs!$B$4&lt;&gt;"Chapter Hunt"),CHOOSE(ArtifactsInput!$N$22+1,10,12,14,16,18,20)*((0*(((0.15*B255*5))^0/1)+1*(((0.15*B255*5))^1/1)+2*(((0.15*B255*5))^2/2)+3*(((0.15*B255*5))^3/6)+4*(((0.15*B255*5))^4/24)+5*(((0.15*B255*5))^5/120))/((((0.15*B255*5))^0/1)+(((0.15*B255*5))^1/1)+(((0.15*B255*5))^2/2)+(((0.15*B255*5))^3/6)+(((0.15*B255*5))^4/24)+(((0.15*B255*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2">
      <c r="A232">
        <f>Skills!A13</f>
        <v/>
      </c>
      <c r="B232">
        <f>Skills!B13</f>
        <v/>
      </c>
      <c r="C232">
        <f>Inputs!$B$3&gt;=105</f>
        <v/>
      </c>
      <c r="D232">
        <f>IF(Skills!C13=1,60+Inputs!$B$25+Inputs!$B$29,IF(Skills!C13=2,90+Inputs!$B$26+Inputs!$B$29,IF(Skills!C13=3,120+Inputs!$B$27+Inputs!$B$29,MAX(0,(Inputs!$B$3-100)*3)+Inputs!$B$28+Inputs!$B$29)))</f>
        <v/>
      </c>
      <c r="E232">
        <f>INDEX(FactorTable!$B$2:$Y$301, MATCH(ROUND(MIN(300,MAX(1,D232)),0), FactorTable!$A$2:$A$301,0), Skills!M13+1)</f>
        <v/>
      </c>
      <c r="F232">
        <f>IF(Skills!N13=TRUE,(Skills!L13/10)*(E232/1000),Skills!L13/10)+Skills!O13</f>
        <v/>
      </c>
      <c r="G232">
        <f>Calc!G13</f>
        <v/>
      </c>
      <c r="H232">
        <f>Calc!H13</f>
        <v/>
      </c>
      <c r="I232">
        <f>IF(Skills!AA13&lt;&gt;"",1+(Skills!AA13/10)*(U222/1000)/100,1)</f>
        <v/>
      </c>
      <c r="J232">
        <f>((Inputs!$B$6*(1+Inputs!$B$7/100))+(((Inputs!$B$12*(1+Inputs!$B$13/100))-(Inputs!$B$12*(1+Inputs!$B$13/100)))+0.25*(Inputs!$B$14-Inputs!$B$14))*(1+Inputs!$B$7/100))*(F232/100)</f>
        <v/>
      </c>
      <c r="K232">
        <f>J232*(1+((Inputs!$B$12*(1+Inputs!$B$13/100))*0.01+Inputs!$B$14*0.0025)/100)*(1+(Inputs!$B$15+1)/100)*(1+Inputs!$B$16/100)*(5000/(6000+Inputs!$B$43*(1-(100*(1-(1-(Inputs!$B$19+0)/100)*(1-CHOOSE(ArtifactsInput!$N$40+1,5,6,7,8,9,10)/100)^(ArtifactsInput!$M$40-ArtifactsInput!$M$40)))/100)))*(1+(Inputs!$B$24+((C249=TRUE)*(F249-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242=TRUE)*(F242-Calc!F23))+(((IF(AND(ArtifactsInput!$M$42,((Inputs!$B$9+((C244=TRUE)*(F244-Calc!F25))+B259+(ArtifactsInput!$M$24-ArtifactsInput!$M$24)*CHOOSE(ArtifactsInput!$N$24+1,10,12,14,16,18,20)+IF(ArtifactsInput!$M$10,CHOOSE(ArtifactsInput!$N$10+1,15,18,21,24,27,30)*(IF(Inputs!$B$39="pvp",MIN(15,15)/15,IF(AND(Inputs!$B$39&lt;&gt;"pvp",Inputs!$B$44&gt;0),MIN(15,Inputs!$B$44)/(Inputs!$B$44),0))),0)))&gt;=100),MIN(100,((Inputs!$B$9+((C244=TRUE)*(F244-Calc!F25))+B259+(ArtifactsInput!$M$24-ArtifactsInput!$M$24)*CHOOSE(ArtifactsInput!$N$24+1,10,12,14,16,18,20)+IF(ArtifactsInput!$M$10,CHOOSE(ArtifactsInput!$N$10+1,15,18,21,24,27,30)*(IF(Inputs!$B$39="pvp",MIN(15,15)/15,IF(AND(Inputs!$B$39&lt;&gt;"pvp",Inputs!$B$44&gt;0),MIN(15,Inputs!$B$44)/(Inputs!$B$44),0))),0)))-100),0))*CHOOSE(ArtifactsInput!$N$42+1,0.6,0.72,0.84,0.96,1.08,1.2))),Inputs!$B$18+((C248=TRUE)*(F248-Calc!F29))+(IF(AND(ArtifactsInput!$M$42,((Inputs!$B$9+((C244=TRUE)*(F244-Calc!F25))+B259+(ArtifactsInput!$M$24-ArtifactsInput!$M$24)*CHOOSE(ArtifactsInput!$N$24+1,10,12,14,16,18,20)+IF(ArtifactsInput!$M$10,CHOOSE(ArtifactsInput!$N$10+1,15,18,21,24,27,30)*(IF(Inputs!$B$39="pvp",MIN(15,15)/15,IF(AND(Inputs!$B$39&lt;&gt;"pvp",Inputs!$B$44&gt;0),MIN(15,Inputs!$B$44)/(Inputs!$B$44),0))),0)))&gt;=100),CHOOSE(ArtifactsInput!$N$42+1,40,48,56,64,72,80),0))))/100)*(((1+(((C240=TRUE)*F240*IF(AND(Inputs!$B$39&lt;&gt;"pvp",Inputs!$B$44&gt;0),(((R240-1)*(Skills!Y21*(1+Inputs!$B$34/100))+MIN((Skills!Y21*(1+Inputs!$B$34/100)),MAX(0,Inputs!$B$44-((R240-1)*Skills!D21))))/Inputs!$B$44),IF(Inputs!$B$39="pvp",MIN((Skills!Y21*(1+Inputs!$B$34/100)),15)/15,(Skills!Y21*(1+Inputs!$B$34/100))/Skills!D21)))+((C247=TRUE)*(F247-Calc!F28))+((C237=TRUE)*(F237-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Skills!Y15*(1+Inputs!$B$34/100))+MIN((Skills!Y15*(1+Inputs!$B$34/100)),MAX(0,Inputs!$B$44-((R234-1)*Skills!D15))))/Inputs!$B$44),IF(Inputs!$B$39="pvp",MIN((Skills!Y15*(1+Inputs!$B$34/100)),15)/15,(Skills!Y15*(1+Inputs!$B$34/100))/Skills!D15)))/100)*(1+((C225=TRUE)*F225*B253)/100))*B261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232)</f>
        <v/>
      </c>
      <c r="L232">
        <f>K232*(MIN(Inputs!$B$22+((C243=TRUE)*(F243-Calc!F24)),(Inputs!$B$23+0+(IF(ArtifactsInput!$M$15,CHOOSE(ArtifactsInput!$N$15+1,25,30,35,40,45,50)/100*(Inputs!$B$11-Inputs!$B$11),0))))/100+(Inputs!$B$23+0+(IF(ArtifactsInput!$M$15,CHOOSE(ArtifactsInput!$N$15+1,25,30,35,40,45,50)/100*(Inputs!$B$11-Inputs!$B$11),0)))/100)/2</f>
        <v/>
      </c>
      <c r="M232">
        <f>L232*(1+(Inputs!$B$10+((C245=TRUE)*(F245-Calc!F26))+B262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2">
        <f>L232*(1-MIN((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232*(MIN((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2">
        <f>(1-Summary!$B$11)*T232+Summary!$B$11*V232</f>
        <v/>
      </c>
      <c r="P232">
        <f>IF(B263=0,0,O232/B263)</f>
        <v/>
      </c>
      <c r="Q232">
        <f>IFERROR(1/IF(Inputs!$B$39="pvp",15,MAX(0.1,Skills!D13-IF(Skills!E13=TRUE,Inputs!$B$32,0))),0)</f>
        <v/>
      </c>
      <c r="R232">
        <f>IF(AND(Inputs!$B$39&lt;&gt;"pvp",Inputs!$B$44&gt;0),IF(MAX(0,Inputs!$B$44-B264)&lt;=0,0,(INT(MAX(0,Inputs!$B$44-B264)/IF(Inputs!$B$39="pvp",15,MAX(0.1,Skills!D13-IF(Skills!E13=TRUE,Inputs!$B$32,0))))+1)),0)</f>
        <v/>
      </c>
      <c r="S232">
        <f>IFERROR(O232/N232,0)</f>
        <v/>
      </c>
      <c r="T232">
        <f>IF(C232,(H232*N232*IF(AND(Inputs!$B$39&lt;&gt;"pvp",Inputs!$B$44&gt;0),((Skills!G13*((R232-1)*IF(Skills!H13&gt;0,Skills!I13/Skills!H13,1)+IF(Skills!H13&gt;0,MIN(Skills!I13,MAX(0,MAX(0,Inputs!$B$44-B264)-((R232-1)*IF(Inputs!$B$39="pvp",15,MAX(0.1,Skills!D13-IF(Skills!E13=TRUE,Inputs!$B$32,0))))))/Skills!H13,1)))/Inputs!$B$44),G232*Q232))*IF(Inputs!$B$39="pvp",1,1+(Inputs!$B$20+((C246=TRUE)*(F246-Calc!F27))+Skills!P13+B260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Hunt"),CHOOSE(ArtifactsInput!$N$35+1,15,18,21,24,27,30)*(1-EXP(-(0.2*B255)*5)),0)+IF(AND(ArtifactsInput!$M$22,Inputs!$B$4&lt;&gt;"Chapter Hunt"),CHOOSE(ArtifactsInput!$N$22+1,10,12,14,16,18,20)*((0*(((0.15*B255*5))^0/1)+1*(((0.15*B255*5))^1/1)+2*(((0.15*B255*5))^2/2)+3*(((0.15*B255*5))^3/6)+4*(((0.15*B255*5))^4/24)+5*(((0.15*B255*5))^5/120))/((((0.15*B255*5))^0/1)+(((0.15*B255*5))^1/1)+(((0.15*B255*5))^2/2)+(((0.15*B255*5))^3/6)+(((0.15*B255*5))^4/24)+(((0.15*B255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232*(1-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232*(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232*(1-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232*(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2">
        <f>IF(C232,(H232*N232*IF(AND(Inputs!$B$39&lt;&gt;"pvp",Inputs!$B$44&gt;0),((Skills!G13*((R232-1)*IF(Skills!H13&gt;0,Skills!I13/Skills!H13,1)+IF(Skills!H13&gt;0,MIN(Skills!I13,MAX(0,MAX(0,Inputs!$B$44-B264)-((R232-1)*IF(Inputs!$B$39="pvp",15,MAX(0.1,Skills!D13-IF(Skills!E13=TRUE,Inputs!$B$32,0))))))/Skills!H13,1)))/Inputs!$B$44),G232*Q232))*IF(Inputs!$B$39="pvp",1,(1+(Inputs!$B$21+Skills!Q13+B260+(IF(ArtifactsInput!$M$33,CHOOSE(ArtifactsInput!$N$33+1,30,36,42,48,54,60),0))+(IF(AND(ArtifactsInput!$M$35,Inputs!$B$4&lt;&gt;"Chapter Hunt"),CHOOSE(ArtifactsInput!$N$35+1,15,18,21,24,27,30)*(1-EXP(-(0.2*B255)*5)),0)+IF(AND(ArtifactsInput!$M$22,Inputs!$B$4&lt;&gt;"Chapter Hunt"),CHOOSE(ArtifactsInput!$N$22+1,10,12,14,16,18,20)*((0*(((0.15*B255*5))^0/1)+1*(((0.15*B255*5))^1/1)+2*(((0.15*B255*5))^2/2)+3*(((0.15*B255*5))^3/6)+4*(((0.15*B255*5))^4/24)+5*(((0.15*B255*5))^5/120))/((((0.15*B255*5))^0/1)+(((0.15*B255*5))^1/1)+(((0.15*B255*5))^2/2)+(((0.15*B255*5))^3/6)+(((0.15*B255*5))^4/24)+(((0.15*B255*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3">
      <c r="A233">
        <f>Skills!A14</f>
        <v/>
      </c>
      <c r="B233">
        <f>Skills!B14</f>
        <v/>
      </c>
      <c r="C233">
        <f>Inputs!$B$3&gt;=105</f>
        <v/>
      </c>
      <c r="D233">
        <f>IF(Skills!C14=1,60+Inputs!$B$25+Inputs!$B$29,IF(Skills!C14=2,90+Inputs!$B$26+Inputs!$B$29,IF(Skills!C14=3,120+Inputs!$B$27+Inputs!$B$29,MAX(0,(Inputs!$B$3-100)*3)+Inputs!$B$28+Inputs!$B$29)))</f>
        <v/>
      </c>
      <c r="E233">
        <f>INDEX(FactorTable!$B$2:$Y$301, MATCH(ROUND(MIN(300,MAX(1,D233)),0), FactorTable!$A$2:$A$301,0), Skills!M14+1)</f>
        <v/>
      </c>
      <c r="F233">
        <f>IF(Skills!N14=TRUE,(Skills!L14/10)*(E233/1000),Skills!L14/10)+Skills!O14</f>
        <v/>
      </c>
      <c r="G233">
        <f>Calc!G14</f>
        <v/>
      </c>
      <c r="H233">
        <f>Calc!H14</f>
        <v/>
      </c>
      <c r="I233">
        <f>IF(Skills!AA14&lt;&gt;"",1+(Skills!AA14/10)*(U222/1000)/100,1)</f>
        <v/>
      </c>
      <c r="J233">
        <f>((Inputs!$B$6*(1+Inputs!$B$7/100))+(((Inputs!$B$12*(1+Inputs!$B$13/100))-(Inputs!$B$12*(1+Inputs!$B$13/100)))+0.25*(Inputs!$B$14-Inputs!$B$14))*(1+Inputs!$B$7/100))*(F233/100)</f>
        <v/>
      </c>
      <c r="K233">
        <f>J233*(1+((Inputs!$B$12*(1+Inputs!$B$13/100))*0.01+Inputs!$B$14*0.0025)/100)*(1+(Inputs!$B$15+1)/100)*(1+Inputs!$B$16/100)*(5000/(6000+Inputs!$B$43*(1-(100*(1-(1-(Inputs!$B$19+0)/100)*(1-CHOOSE(ArtifactsInput!$N$40+1,5,6,7,8,9,10)/100)^(ArtifactsInput!$M$40-ArtifactsInput!$M$40)))/100)))*(1+(Inputs!$B$24+((C249=TRUE)*(F249-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242=TRUE)*(F242-Calc!F23))+(((IF(AND(ArtifactsInput!$M$42,((Inputs!$B$9+((C244=TRUE)*(F244-Calc!F25))+B259+(ArtifactsInput!$M$24-ArtifactsInput!$M$24)*CHOOSE(ArtifactsInput!$N$24+1,10,12,14,16,18,20)+IF(ArtifactsInput!$M$10,CHOOSE(ArtifactsInput!$N$10+1,15,18,21,24,27,30)*(IF(Inputs!$B$39="pvp",MIN(15,15)/15,IF(AND(Inputs!$B$39&lt;&gt;"pvp",Inputs!$B$44&gt;0),MIN(15,Inputs!$B$44)/(Inputs!$B$44),0))),0)))&gt;=100),MIN(100,((Inputs!$B$9+((C244=TRUE)*(F244-Calc!F25))+B259+(ArtifactsInput!$M$24-ArtifactsInput!$M$24)*CHOOSE(ArtifactsInput!$N$24+1,10,12,14,16,18,20)+IF(ArtifactsInput!$M$10,CHOOSE(ArtifactsInput!$N$10+1,15,18,21,24,27,30)*(IF(Inputs!$B$39="pvp",MIN(15,15)/15,IF(AND(Inputs!$B$39&lt;&gt;"pvp",Inputs!$B$44&gt;0),MIN(15,Inputs!$B$44)/(Inputs!$B$44),0))),0)))-100),0))*CHOOSE(ArtifactsInput!$N$42+1,0.6,0.72,0.84,0.96,1.08,1.2))),Inputs!$B$18+((C248=TRUE)*(F248-Calc!F29))+(IF(AND(ArtifactsInput!$M$42,((Inputs!$B$9+((C244=TRUE)*(F244-Calc!F25))+B259+(ArtifactsInput!$M$24-ArtifactsInput!$M$24)*CHOOSE(ArtifactsInput!$N$24+1,10,12,14,16,18,20)+IF(ArtifactsInput!$M$10,CHOOSE(ArtifactsInput!$N$10+1,15,18,21,24,27,30)*(IF(Inputs!$B$39="pvp",MIN(15,15)/15,IF(AND(Inputs!$B$39&lt;&gt;"pvp",Inputs!$B$44&gt;0),MIN(15,Inputs!$B$44)/(Inputs!$B$44),0))),0)))&gt;=100),CHOOSE(ArtifactsInput!$N$42+1,40,48,56,64,72,80),0))))/100)*(((1+(((C240=TRUE)*F240*IF(AND(Inputs!$B$39&lt;&gt;"pvp",Inputs!$B$44&gt;0),(((R240-1)*(Skills!Y21*(1+Inputs!$B$34/100))+MIN((Skills!Y21*(1+Inputs!$B$34/100)),MAX(0,Inputs!$B$44-((R240-1)*Skills!D21))))/Inputs!$B$44),IF(Inputs!$B$39="pvp",MIN((Skills!Y21*(1+Inputs!$B$34/100)),15)/15,(Skills!Y21*(1+Inputs!$B$34/100))/Skills!D21)))+((C247=TRUE)*(F247-Calc!F28))+((C237=TRUE)*(F237-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Skills!Y15*(1+Inputs!$B$34/100))+MIN((Skills!Y15*(1+Inputs!$B$34/100)),MAX(0,Inputs!$B$44-((R234-1)*Skills!D15))))/Inputs!$B$44),IF(Inputs!$B$39="pvp",MIN((Skills!Y15*(1+Inputs!$B$34/100)),15)/15,(Skills!Y15*(1+Inputs!$B$34/100))/Skills!D15)))/100)*(1+((C225=TRUE)*F225*B253)/100))*B261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233)</f>
        <v/>
      </c>
      <c r="L233">
        <f>K233*(MIN(Inputs!$B$22+((C243=TRUE)*(F243-Calc!F24)),(Inputs!$B$23+0+(IF(ArtifactsInput!$M$15,CHOOSE(ArtifactsInput!$N$15+1,25,30,35,40,45,50)/100*(Inputs!$B$11-Inputs!$B$11),0))))/100+(Inputs!$B$23+0+(IF(ArtifactsInput!$M$15,CHOOSE(ArtifactsInput!$N$15+1,25,30,35,40,45,50)/100*(Inputs!$B$11-Inputs!$B$11),0)))/100)/2</f>
        <v/>
      </c>
      <c r="M233">
        <f>L233*(1+(Inputs!$B$10+((C245=TRUE)*(F245-Calc!F26))+B262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3">
        <f>L233*(1-MIN((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233*(MIN((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3">
        <f>(1-Summary!$B$11)*T233+Summary!$B$11*V233</f>
        <v/>
      </c>
      <c r="P233">
        <f>IF(B263=0,0,O233/B263)</f>
        <v/>
      </c>
      <c r="Q233">
        <f>IFERROR(1/IF(Inputs!$B$39="pvp",15,MAX(0.1,Skills!D14-IF(Skills!E14=TRUE,Inputs!$B$32,0))),0)</f>
        <v/>
      </c>
      <c r="R233">
        <f>IF(AND(Inputs!$B$39&lt;&gt;"pvp",Inputs!$B$44&gt;0),IF(MAX(0,Inputs!$B$44-B264)&lt;=0,0,(INT(MAX(0,Inputs!$B$44-B264)/IF(Inputs!$B$39="pvp",15,MAX(0.1,Skills!D14-IF(Skills!E14=TRUE,Inputs!$B$32,0))))+1)),0)</f>
        <v/>
      </c>
      <c r="S233">
        <f>IFERROR(O233/N233,0)</f>
        <v/>
      </c>
      <c r="T233">
        <f>IF(C233,(H233*N233*IF(AND(Inputs!$B$39&lt;&gt;"pvp",Inputs!$B$44&gt;0),((Skills!G14*((R233-1)*IF(Skills!H14&gt;0,Skills!I14/Skills!H14,1)+IF(Skills!H14&gt;0,MIN(Skills!I14,MAX(0,MAX(0,Inputs!$B$44-B264)-((R233-1)*IF(Inputs!$B$39="pvp",15,MAX(0.1,Skills!D14-IF(Skills!E14=TRUE,Inputs!$B$32,0))))))/Skills!H14,1)))/Inputs!$B$44),G233*Q233))*IF(Inputs!$B$39="pvp",1,1+(Inputs!$B$20+((C246=TRUE)*(F246-Calc!F27))+Skills!P14+B260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Hunt"),CHOOSE(ArtifactsInput!$N$35+1,15,18,21,24,27,30)*(1-EXP(-(0.2*B255)*5)),0)+IF(AND(ArtifactsInput!$M$22,Inputs!$B$4&lt;&gt;"Chapter Hunt"),CHOOSE(ArtifactsInput!$N$22+1,10,12,14,16,18,20)*((0*(((0.15*B255*5))^0/1)+1*(((0.15*B255*5))^1/1)+2*(((0.15*B255*5))^2/2)+3*(((0.15*B255*5))^3/6)+4*(((0.15*B255*5))^4/24)+5*(((0.15*B255*5))^5/120))/((((0.15*B255*5))^0/1)+(((0.15*B255*5))^1/1)+(((0.15*B255*5))^2/2)+(((0.15*B255*5))^3/6)+(((0.15*B255*5))^4/24)+(((0.15*B255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233*(1-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233*(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233*(1-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233*(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3">
        <f>IF(C233,(H233*N233*IF(AND(Inputs!$B$39&lt;&gt;"pvp",Inputs!$B$44&gt;0),((Skills!G14*((R233-1)*IF(Skills!H14&gt;0,Skills!I14/Skills!H14,1)+IF(Skills!H14&gt;0,MIN(Skills!I14,MAX(0,MAX(0,Inputs!$B$44-B264)-((R233-1)*IF(Inputs!$B$39="pvp",15,MAX(0.1,Skills!D14-IF(Skills!E14=TRUE,Inputs!$B$32,0))))))/Skills!H14,1)))/Inputs!$B$44),G233*Q233))*IF(Inputs!$B$39="pvp",1,(1+(Inputs!$B$21+Skills!Q14+B260+(IF(ArtifactsInput!$M$33,CHOOSE(ArtifactsInput!$N$33+1,30,36,42,48,54,60),0))+(IF(AND(ArtifactsInput!$M$35,Inputs!$B$4&lt;&gt;"Chapter Hunt"),CHOOSE(ArtifactsInput!$N$35+1,15,18,21,24,27,30)*(1-EXP(-(0.2*B255)*5)),0)+IF(AND(ArtifactsInput!$M$22,Inputs!$B$4&lt;&gt;"Chapter Hunt"),CHOOSE(ArtifactsInput!$N$22+1,10,12,14,16,18,20)*((0*(((0.15*B255*5))^0/1)+1*(((0.15*B255*5))^1/1)+2*(((0.15*B255*5))^2/2)+3*(((0.15*B255*5))^3/6)+4*(((0.15*B255*5))^4/24)+5*(((0.15*B255*5))^5/120))/((((0.15*B255*5))^0/1)+(((0.15*B255*5))^1/1)+(((0.15*B255*5))^2/2)+(((0.15*B255*5))^3/6)+(((0.15*B255*5))^4/24)+(((0.15*B255*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4">
      <c r="A234">
        <f>Skills!A15</f>
        <v/>
      </c>
      <c r="B234">
        <f>Skills!B15</f>
        <v/>
      </c>
      <c r="C234">
        <f>Inputs!$B$3&gt;=110</f>
        <v/>
      </c>
      <c r="D234">
        <f>IF(Skills!C15=1,60+Inputs!$B$25+Inputs!$B$29,IF(Skills!C15=2,90+Inputs!$B$26+Inputs!$B$29,IF(Skills!C15=3,120+Inputs!$B$27+Inputs!$B$29,MAX(0,(Inputs!$B$3-100)*3)+Inputs!$B$28+Inputs!$B$29)))</f>
        <v/>
      </c>
      <c r="E234">
        <f>INDEX(FactorTable!$B$2:$Y$301, MATCH(ROUND(MIN(300,MAX(1,D234)),0), FactorTable!$A$2:$A$301,0), Skills!M15+1)</f>
        <v/>
      </c>
      <c r="F234">
        <f>IF(Skills!N15=TRUE,(Skills!L15/10)*(E234/1000),Skills!L15/10)+Skills!O15</f>
        <v/>
      </c>
      <c r="G234">
        <f>Calc!G15</f>
        <v/>
      </c>
      <c r="H234">
        <f>Calc!H15</f>
        <v/>
      </c>
      <c r="I234">
        <f>IF(Skills!AA15&lt;&gt;"",1+(Skills!AA15/10)*(U222/1000)/100,1)</f>
        <v/>
      </c>
      <c r="J234" t="inlineStr"/>
      <c r="K234" t="inlineStr"/>
      <c r="L234" t="inlineStr"/>
      <c r="M234" t="inlineStr"/>
      <c r="N234" t="inlineStr"/>
      <c r="O234">
        <f>(1-Summary!$B$11)*T234+Summary!$B$11*V234</f>
        <v/>
      </c>
      <c r="P234">
        <f>IF(B263=0,0,O234/B263)</f>
        <v/>
      </c>
      <c r="Q234">
        <f>IFERROR(1/IF(Inputs!$B$39="pvp",15,MAX(0.1,Skills!D15-IF(Skills!E15=TRUE,Inputs!$B$32,0))),0)</f>
        <v/>
      </c>
      <c r="R234">
        <f>IF(AND(Inputs!$B$39&lt;&gt;"pvp",Inputs!$B$44&gt;0),IF(Inputs!$B$44&lt;=0,0,(INT(Inputs!$B$44/IF(Inputs!$B$39="pvp",15,MAX(0.1,Skills!D15-IF(Skills!E15=TRUE,Inputs!$B$32,0))))+1)),0)</f>
        <v/>
      </c>
      <c r="S234">
        <f>IFERROR(O234/N234,0)</f>
        <v/>
      </c>
      <c r="T234" t="n">
        <v>0</v>
      </c>
      <c r="V234" t="n">
        <v>0</v>
      </c>
    </row>
    <row r="235">
      <c r="A235">
        <f>Skills!A16</f>
        <v/>
      </c>
      <c r="B235">
        <f>Skills!B16</f>
        <v/>
      </c>
      <c r="C235">
        <f>Inputs!$B$3&gt;=110</f>
        <v/>
      </c>
      <c r="D235">
        <f>IF(Skills!C16=1,60+Inputs!$B$25+Inputs!$B$29,IF(Skills!C16=2,90+Inputs!$B$26+Inputs!$B$29,IF(Skills!C16=3,120+Inputs!$B$27+Inputs!$B$29,MAX(0,(Inputs!$B$3-100)*3)+Inputs!$B$28+Inputs!$B$29)))</f>
        <v/>
      </c>
      <c r="E235">
        <f>INDEX(FactorTable!$B$2:$Y$301, MATCH(ROUND(MIN(300,MAX(1,D235)),0), FactorTable!$A$2:$A$301,0), Skills!M16+1)</f>
        <v/>
      </c>
      <c r="F235">
        <f>IF(Skills!N16=TRUE,(Skills!L16/10)*(E235/1000),Skills!L16/10)+Skills!O16</f>
        <v/>
      </c>
      <c r="G235">
        <f>Calc!G16</f>
        <v/>
      </c>
      <c r="H235">
        <f>Calc!H16</f>
        <v/>
      </c>
      <c r="I235">
        <f>IF(Skills!AA16&lt;&gt;"",1+(Skills!AA16/10)*(U222/1000)/100,1)</f>
        <v/>
      </c>
      <c r="J235" t="inlineStr"/>
      <c r="K235" t="inlineStr"/>
      <c r="L235" t="inlineStr"/>
      <c r="M235" t="inlineStr"/>
      <c r="N235" t="inlineStr"/>
      <c r="O235">
        <f>(1-Summary!$B$11)*T235+Summary!$B$11*V235</f>
        <v/>
      </c>
      <c r="P235">
        <f>IF(B263=0,0,O235/B263)</f>
        <v/>
      </c>
      <c r="Q235">
        <f>IFERROR(1/IF(Inputs!$B$39="pvp",15,MAX(0.1,Skills!D16-IF(Skills!E16=TRUE,Inputs!$B$32,0))),0)</f>
        <v/>
      </c>
      <c r="R235">
        <f>IF(AND(Inputs!$B$39&lt;&gt;"pvp",Inputs!$B$44&gt;0),IF(Inputs!$B$44&lt;=0,0,(INT(Inputs!$B$44/IF(Inputs!$B$39="pvp",15,MAX(0.1,Skills!D16-IF(Skills!E16=TRUE,Inputs!$B$32,0))))+1)),0)</f>
        <v/>
      </c>
      <c r="S235">
        <f>IFERROR(O235/N235,0)</f>
        <v/>
      </c>
      <c r="T235" t="n">
        <v>0</v>
      </c>
      <c r="V235" t="n">
        <v>0</v>
      </c>
    </row>
    <row r="236">
      <c r="A236">
        <f>Skills!A17</f>
        <v/>
      </c>
      <c r="B236">
        <f>Skills!B17</f>
        <v/>
      </c>
      <c r="C236">
        <f>Inputs!$B$3&gt;=115</f>
        <v/>
      </c>
      <c r="D236">
        <f>IF(Skills!C17=1,60+Inputs!$B$25+Inputs!$B$29,IF(Skills!C17=2,90+Inputs!$B$26+Inputs!$B$29,IF(Skills!C17=3,120+Inputs!$B$27+Inputs!$B$29,MAX(0,(Inputs!$B$3-100)*3)+Inputs!$B$28+Inputs!$B$29)))</f>
        <v/>
      </c>
      <c r="E236">
        <f>INDEX(FactorTable!$B$2:$Y$301, MATCH(ROUND(MIN(300,MAX(1,D236)),0), FactorTable!$A$2:$A$301,0), Skills!M17+1)</f>
        <v/>
      </c>
      <c r="F236">
        <f>IF(Skills!N17=TRUE,(Skills!L17/10)*(E236/1000),Skills!L17/10)+Skills!O17</f>
        <v/>
      </c>
      <c r="G236">
        <f>Calc!G17</f>
        <v/>
      </c>
      <c r="H236">
        <f>Calc!H17</f>
        <v/>
      </c>
      <c r="I236">
        <f>IF(Skills!AA17&lt;&gt;"",1+(Skills!AA17/10)*(U222/1000)/100,1)</f>
        <v/>
      </c>
      <c r="J236">
        <f>((Inputs!$B$6*(1+Inputs!$B$7/100))+(((Inputs!$B$12*(1+Inputs!$B$13/100))-(Inputs!$B$12*(1+Inputs!$B$13/100)))+0.25*(Inputs!$B$14-Inputs!$B$14))*(1+Inputs!$B$7/100))*(F236/100)</f>
        <v/>
      </c>
      <c r="K236">
        <f>J236*(1+((Inputs!$B$12*(1+Inputs!$B$13/100))*0.01+Inputs!$B$14*0.0025)/100)*(1+(Inputs!$B$15+1)/100)*(1+Inputs!$B$16/100)*(5000/(6000+Inputs!$B$43*(1-(100*(1-(1-(Inputs!$B$19+0)/100)*(1-CHOOSE(ArtifactsInput!$N$40+1,5,6,7,8,9,10)/100)^(ArtifactsInput!$M$40-ArtifactsInput!$M$40)))/100)))*(1+(Inputs!$B$24+((C249=TRUE)*(F249-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242=TRUE)*(F242-Calc!F23))+(((IF(AND(ArtifactsInput!$M$42,((Inputs!$B$9+((C244=TRUE)*(F244-Calc!F25))+B259+(ArtifactsInput!$M$24-ArtifactsInput!$M$24)*CHOOSE(ArtifactsInput!$N$24+1,10,12,14,16,18,20)+IF(ArtifactsInput!$M$10,CHOOSE(ArtifactsInput!$N$10+1,15,18,21,24,27,30)*(IF(Inputs!$B$39="pvp",MIN(15,15)/15,IF(AND(Inputs!$B$39&lt;&gt;"pvp",Inputs!$B$44&gt;0),MIN(15,Inputs!$B$44)/(Inputs!$B$44),0))),0)))&gt;=100),MIN(100,((Inputs!$B$9+((C244=TRUE)*(F244-Calc!F25))+B259+(ArtifactsInput!$M$24-ArtifactsInput!$M$24)*CHOOSE(ArtifactsInput!$N$24+1,10,12,14,16,18,20)+IF(ArtifactsInput!$M$10,CHOOSE(ArtifactsInput!$N$10+1,15,18,21,24,27,30)*(IF(Inputs!$B$39="pvp",MIN(15,15)/15,IF(AND(Inputs!$B$39&lt;&gt;"pvp",Inputs!$B$44&gt;0),MIN(15,Inputs!$B$44)/(Inputs!$B$44),0))),0)))-100),0))*CHOOSE(ArtifactsInput!$N$42+1,0.6,0.72,0.84,0.96,1.08,1.2))),Inputs!$B$18+((C248=TRUE)*(F248-Calc!F29))+(IF(AND(ArtifactsInput!$M$42,((Inputs!$B$9+((C244=TRUE)*(F244-Calc!F25))+B259+(ArtifactsInput!$M$24-ArtifactsInput!$M$24)*CHOOSE(ArtifactsInput!$N$24+1,10,12,14,16,18,20)+IF(ArtifactsInput!$M$10,CHOOSE(ArtifactsInput!$N$10+1,15,18,21,24,27,30)*(IF(Inputs!$B$39="pvp",MIN(15,15)/15,IF(AND(Inputs!$B$39&lt;&gt;"pvp",Inputs!$B$44&gt;0),MIN(15,Inputs!$B$44)/(Inputs!$B$44),0))),0)))&gt;=100),CHOOSE(ArtifactsInput!$N$42+1,40,48,56,64,72,80),0))))/100)*(((1+(((C240=TRUE)*F240*IF(AND(Inputs!$B$39&lt;&gt;"pvp",Inputs!$B$44&gt;0),(((R240-1)*(Skills!Y21*(1+Inputs!$B$34/100))+MIN((Skills!Y21*(1+Inputs!$B$34/100)),MAX(0,Inputs!$B$44-((R240-1)*Skills!D21))))/Inputs!$B$44),IF(Inputs!$B$39="pvp",MIN((Skills!Y21*(1+Inputs!$B$34/100)),15)/15,(Skills!Y21*(1+Inputs!$B$34/100))/Skills!D21)))+((C247=TRUE)*(F247-Calc!F28))+((C237=TRUE)*(F237-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Skills!Y15*(1+Inputs!$B$34/100))+MIN((Skills!Y15*(1+Inputs!$B$34/100)),MAX(0,Inputs!$B$44-((R234-1)*Skills!D15))))/Inputs!$B$44),IF(Inputs!$B$39="pvp",MIN((Skills!Y15*(1+Inputs!$B$34/100)),15)/15,(Skills!Y15*(1+Inputs!$B$34/100))/Skills!D15)))/100)*(1+((C225=TRUE)*F225*B253)/100))*B261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236)</f>
        <v/>
      </c>
      <c r="L236">
        <f>K236*(MIN(Inputs!$B$22+((C243=TRUE)*(F243-Calc!F24)),(Inputs!$B$23+0+(IF(ArtifactsInput!$M$15,CHOOSE(ArtifactsInput!$N$15+1,25,30,35,40,45,50)/100*(Inputs!$B$11-Inputs!$B$11),0))))/100+(Inputs!$B$23+0+(IF(ArtifactsInput!$M$15,CHOOSE(ArtifactsInput!$N$15+1,25,30,35,40,45,50)/100*(Inputs!$B$11-Inputs!$B$11),0)))/100)/2</f>
        <v/>
      </c>
      <c r="M236">
        <f>L236*(1+(Inputs!$B$10+((C245=TRUE)*(F245-Calc!F26))+B262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6">
        <f>L236*(1-MIN((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236*(MIN((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6">
        <f>(1-Summary!$B$11)*T236+Summary!$B$11*V236</f>
        <v/>
      </c>
      <c r="P236">
        <f>IF(B263=0,0,O236/B263)</f>
        <v/>
      </c>
      <c r="Q236" t="n">
        <v>0</v>
      </c>
      <c r="R236" t="n">
        <v>0</v>
      </c>
      <c r="S236">
        <f>IFERROR(O236/N236,0)</f>
        <v/>
      </c>
      <c r="T236">
        <f>IF(C236,(Inputs!$B$38*0.2*N236)*IF(Inputs!$B$39="pvp",1,1+(Inputs!$B$20+((C246=TRUE)*(F246-Calc!F27))+Skills!P17+B260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Hunt"),CHOOSE(ArtifactsInput!$N$35+1,15,18,21,24,27,30)*(1-EXP(-(0.2*B255)*5)),0)+IF(AND(ArtifactsInput!$M$22,Inputs!$B$4&lt;&gt;"Chapter Hunt"),CHOOSE(ArtifactsInput!$N$22+1,10,12,14,16,18,20)*((0*(((0.15*B255*5))^0/1)+1*(((0.15*B255*5))^1/1)+2*(((0.15*B255*5))^2/2)+3*(((0.15*B255*5))^3/6)+4*(((0.15*B255*5))^4/24)+5*(((0.15*B255*5))^5/120))/((((0.15*B255*5))^0/1)+(((0.15*B255*5))^1/1)+(((0.15*B255*5))^2/2)+(((0.15*B255*5))^3/6)+(((0.15*B255*5))^4/24)+(((0.15*B255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236*(1-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236*(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236*(1-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236*(MIN(100,(Inputs!$B$9+((C244=TRUE)*(F244-Calc!F25))+B259+(ArtifactsInput!$M$24-ArtifactsInput!$M$24)*CHOOSE(ArtifactsInput!$N$24+1,10,12,14,16,18,20)+(IF(AND(ArtifactsInput!$M$42,((Inputs!$B$9+((C244=TRUE)*(F244-Calc!F25))+B259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6">
        <f>IF(C236,(Inputs!$B$38*0.2*N236)*IF(Inputs!$B$39="pvp",1,(1+(Inputs!$B$21+Skills!Q17+B260+(IF(ArtifactsInput!$M$33,CHOOSE(ArtifactsInput!$N$33+1,30,36,42,48,54,60),0))+(IF(AND(ArtifactsInput!$M$35,Inputs!$B$4&lt;&gt;"Chapter Hunt"),CHOOSE(ArtifactsInput!$N$35+1,15,18,21,24,27,30)*(1-EXP(-(0.2*B255)*5)),0)+IF(AND(ArtifactsInput!$M$22,Inputs!$B$4&lt;&gt;"Chapter Hunt"),CHOOSE(ArtifactsInput!$N$22+1,10,12,14,16,18,20)*((0*(((0.15*B255*5))^0/1)+1*(((0.15*B255*5))^1/1)+2*(((0.15*B255*5))^2/2)+3*(((0.15*B255*5))^3/6)+4*(((0.15*B255*5))^4/24)+5*(((0.15*B255*5))^5/120))/((((0.15*B255*5))^0/1)+(((0.15*B255*5))^1/1)+(((0.15*B255*5))^2/2)+(((0.15*B255*5))^3/6)+(((0.15*B255*5))^4/24)+(((0.15*B255*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7">
      <c r="A237">
        <f>Skills!A18</f>
        <v/>
      </c>
      <c r="B237">
        <f>Skills!B18</f>
        <v/>
      </c>
      <c r="C237">
        <f>Inputs!$B$3&gt;=115</f>
        <v/>
      </c>
      <c r="D237">
        <f>IF(Skills!C18=1,60+Inputs!$B$25+Inputs!$B$29,IF(Skills!C18=2,90+Inputs!$B$26+Inputs!$B$29,IF(Skills!C18=3,120+Inputs!$B$27+Inputs!$B$29,MAX(0,(Inputs!$B$3-100)*3)+Inputs!$B$28+Inputs!$B$29)))</f>
        <v/>
      </c>
      <c r="E237">
        <f>INDEX(FactorTable!$B$2:$Y$301, MATCH(ROUND(MIN(300,MAX(1,D237)),0), FactorTable!$A$2:$A$301,0), Skills!M18+1)</f>
        <v/>
      </c>
      <c r="F237">
        <f>IF(Skills!N18=TRUE,(Skills!L18/10)*(E237/1000),Skills!L18/10)+Skills!O18</f>
        <v/>
      </c>
      <c r="G237">
        <f>Calc!G18</f>
        <v/>
      </c>
      <c r="H237">
        <f>Calc!H18</f>
        <v/>
      </c>
      <c r="I237">
        <f>IF(Skills!AA18&lt;&gt;"",1+(Skills!AA18/10)*(U222/1000)/100,1)</f>
        <v/>
      </c>
      <c r="J237" t="inlineStr"/>
      <c r="K237" t="inlineStr"/>
      <c r="L237" t="inlineStr"/>
      <c r="M237" t="inlineStr"/>
      <c r="N237" t="inlineStr"/>
      <c r="O237">
        <f>(1-Summary!$B$11)*T237+Summary!$B$11*V237</f>
        <v/>
      </c>
      <c r="P237">
        <f>IF(B263=0,0,O237/B263)</f>
        <v/>
      </c>
      <c r="Q237" t="n">
        <v>0</v>
      </c>
      <c r="R237" t="n">
        <v>0</v>
      </c>
      <c r="S237">
        <f>IFERROR(O237/N237,0)</f>
        <v/>
      </c>
      <c r="T237" t="n">
        <v>0</v>
      </c>
      <c r="V237" t="n">
        <v>0</v>
      </c>
    </row>
    <row r="238">
      <c r="A238">
        <f>Skills!A19</f>
        <v/>
      </c>
      <c r="B238">
        <f>Skills!B19</f>
        <v/>
      </c>
      <c r="C238">
        <f>TRUE</f>
        <v/>
      </c>
      <c r="D238">
        <f>IF(Skills!C19=1,60+Inputs!$B$25+Inputs!$B$29,IF(Skills!C19=2,90+Inputs!$B$26+Inputs!$B$29,IF(Skills!C19=3,120+Inputs!$B$27+Inputs!$B$29,MAX(0,(Inputs!$B$3-100)*3)+Inputs!$B$28+Inputs!$B$29)))</f>
        <v/>
      </c>
      <c r="E238">
        <f>INDEX(FactorTable!$B$2:$Y$301, MATCH(ROUND(MIN(300,MAX(1,D238)),0), FactorTable!$A$2:$A$301,0), Skills!M19+1)</f>
        <v/>
      </c>
      <c r="F238">
        <f>IF(Skills!N19=TRUE,(Skills!L19/10)*(E238/1000),Skills!L19/10)+Skills!O19</f>
        <v/>
      </c>
      <c r="G238">
        <f>Calc!G19</f>
        <v/>
      </c>
      <c r="H238">
        <f>Calc!H19</f>
        <v/>
      </c>
      <c r="I238">
        <f>IF(Skills!AA19&lt;&gt;"",1+(Skills!AA19/10)*(U222/1000)/100,1)</f>
        <v/>
      </c>
      <c r="J238" t="inlineStr"/>
      <c r="K238" t="inlineStr"/>
      <c r="L238" t="inlineStr"/>
      <c r="M238" t="inlineStr"/>
      <c r="N238" t="inlineStr"/>
      <c r="O238">
        <f>(1-Summary!$B$11)*T238+Summary!$B$11*V238</f>
        <v/>
      </c>
      <c r="P238">
        <f>IF(B263=0,0,O238/B263)</f>
        <v/>
      </c>
      <c r="Q238">
        <f>IFERROR(1/IF(Inputs!$B$39="pvp",15,MAX(0.1,Skills!D19-IF(Skills!E19=TRUE,Inputs!$B$32,0))),0)</f>
        <v/>
      </c>
      <c r="R238">
        <f>IF(AND(Inputs!$B$39&lt;&gt;"pvp",Inputs!$B$44&gt;0),IF(Inputs!$B$44&lt;=0,0,(INT(Inputs!$B$44/IF(Inputs!$B$39="pvp",15,MAX(0.1,Skills!D19-IF(Skills!E19=TRUE,Inputs!$B$32,0))))+1)),0)</f>
        <v/>
      </c>
      <c r="S238">
        <f>IFERROR(O238/N238,0)</f>
        <v/>
      </c>
      <c r="T238" t="n">
        <v>0</v>
      </c>
      <c r="V238" t="n">
        <v>0</v>
      </c>
    </row>
    <row r="239">
      <c r="A239">
        <f>Skills!A20</f>
        <v/>
      </c>
      <c r="B239">
        <f>Skills!B20</f>
        <v/>
      </c>
      <c r="C239">
        <f>Inputs!$B$3&gt;=15</f>
        <v/>
      </c>
      <c r="D239">
        <f>IF(Skills!C20=1,60+Inputs!$B$25+Inputs!$B$29,IF(Skills!C20=2,90+Inputs!$B$26+Inputs!$B$29,IF(Skills!C20=3,120+Inputs!$B$27+Inputs!$B$29,MAX(0,(Inputs!$B$3-100)*3)+Inputs!$B$28+Inputs!$B$29)))</f>
        <v/>
      </c>
      <c r="E239">
        <f>INDEX(FactorTable!$B$2:$Y$301, MATCH(ROUND(MIN(300,MAX(1,D239)),0), FactorTable!$A$2:$A$301,0), Skills!M20+1)</f>
        <v/>
      </c>
      <c r="F239">
        <f>IF(Skills!N20=TRUE,(Skills!L20/10)*(E239/1000),Skills!L20/10)+Skills!O20</f>
        <v/>
      </c>
      <c r="G239">
        <f>Calc!G20</f>
        <v/>
      </c>
      <c r="H239">
        <f>Calc!H20</f>
        <v/>
      </c>
      <c r="I239">
        <f>IF(Skills!AA20&lt;&gt;"",1+(Skills!AA20/10)*(U222/1000)/100,1)</f>
        <v/>
      </c>
      <c r="J239" t="inlineStr"/>
      <c r="K239" t="inlineStr"/>
      <c r="L239" t="inlineStr"/>
      <c r="M239" t="inlineStr"/>
      <c r="N239" t="inlineStr"/>
      <c r="O239">
        <f>(1-Summary!$B$11)*T239+Summary!$B$11*V239</f>
        <v/>
      </c>
      <c r="P239">
        <f>IF(B263=0,0,O239/B263)</f>
        <v/>
      </c>
      <c r="Q239">
        <f>IFERROR(1/IF(Inputs!$B$39="pvp",15,MAX(0.1,Skills!D20-IF(Skills!E20=TRUE,Inputs!$B$32,0))),0)</f>
        <v/>
      </c>
      <c r="R239">
        <f>IF(AND(Inputs!$B$39&lt;&gt;"pvp",Inputs!$B$44&gt;0),IF(Inputs!$B$44&lt;=0,0,(INT(Inputs!$B$44/IF(Inputs!$B$39="pvp",15,MAX(0.1,Skills!D20-IF(Skills!E20=TRUE,Inputs!$B$32,0))))+1)),0)</f>
        <v/>
      </c>
      <c r="S239">
        <f>IFERROR(O239/N239,0)</f>
        <v/>
      </c>
      <c r="T239" t="n">
        <v>0</v>
      </c>
      <c r="V239" t="n">
        <v>0</v>
      </c>
    </row>
    <row r="240">
      <c r="A240">
        <f>Skills!A21</f>
        <v/>
      </c>
      <c r="B240">
        <f>Skills!B21</f>
        <v/>
      </c>
      <c r="C240">
        <f>Inputs!$B$3&gt;=15</f>
        <v/>
      </c>
      <c r="D240">
        <f>IF(Skills!C21=1,60+Inputs!$B$25+Inputs!$B$29,IF(Skills!C21=2,90+Inputs!$B$26+Inputs!$B$29,IF(Skills!C21=3,120+Inputs!$B$27+Inputs!$B$29,MAX(0,(Inputs!$B$3-100)*3)+Inputs!$B$28+Inputs!$B$29)))</f>
        <v/>
      </c>
      <c r="E240">
        <f>INDEX(FactorTable!$B$2:$Y$301, MATCH(ROUND(MIN(300,MAX(1,D240)),0), FactorTable!$A$2:$A$301,0), Skills!M21+1)</f>
        <v/>
      </c>
      <c r="F240">
        <f>IF(Skills!N21=TRUE,(Skills!L21/10)*(E240/1000),Skills!L21/10)+Skills!O21</f>
        <v/>
      </c>
      <c r="G240">
        <f>Calc!G21</f>
        <v/>
      </c>
      <c r="H240">
        <f>Calc!H21</f>
        <v/>
      </c>
      <c r="I240">
        <f>IF(Skills!AA21&lt;&gt;"",1+(Skills!AA21/10)*(U222/1000)/100,1)</f>
        <v/>
      </c>
      <c r="J240" t="inlineStr"/>
      <c r="K240" t="inlineStr"/>
      <c r="L240" t="inlineStr"/>
      <c r="M240" t="inlineStr"/>
      <c r="N240" t="inlineStr"/>
      <c r="O240">
        <f>(1-Summary!$B$11)*T240+Summary!$B$11*V240</f>
        <v/>
      </c>
      <c r="P240">
        <f>IF(B263=0,0,O240/B263)</f>
        <v/>
      </c>
      <c r="Q240">
        <f>IFERROR(1/IF(Inputs!$B$39="pvp",15,MAX(0.1,Skills!D21-IF(Skills!E21=TRUE,Inputs!$B$32,0))),0)</f>
        <v/>
      </c>
      <c r="R240">
        <f>IF(AND(Inputs!$B$39&lt;&gt;"pvp",Inputs!$B$44&gt;0),IF(Inputs!$B$44&lt;=0,0,(INT(Inputs!$B$44/IF(Inputs!$B$39="pvp",15,MAX(0.1,Skills!D21-IF(Skills!E21=TRUE,Inputs!$B$32,0))))+1)),0)</f>
        <v/>
      </c>
      <c r="S240">
        <f>IFERROR(O240/N240,0)</f>
        <v/>
      </c>
      <c r="T240" t="n">
        <v>0</v>
      </c>
      <c r="V240" t="n">
        <v>0</v>
      </c>
    </row>
    <row r="241">
      <c r="A241">
        <f>Skills!A22</f>
        <v/>
      </c>
      <c r="B241">
        <f>Skills!B22</f>
        <v/>
      </c>
      <c r="C241">
        <f>Inputs!$B$3&gt;=33</f>
        <v/>
      </c>
      <c r="D241">
        <f>IF(Skills!C22=1,60+Inputs!$B$25+Inputs!$B$29,IF(Skills!C22=2,90+Inputs!$B$26+Inputs!$B$29,IF(Skills!C22=3,120+Inputs!$B$27+Inputs!$B$29,MAX(0,(Inputs!$B$3-100)*3)+Inputs!$B$28+Inputs!$B$29)))</f>
        <v/>
      </c>
      <c r="E241">
        <f>INDEX(FactorTable!$B$2:$Y$301, MATCH(ROUND(MIN(300,MAX(1,D241)),0), FactorTable!$A$2:$A$301,0), Skills!M22+1)</f>
        <v/>
      </c>
      <c r="F241">
        <f>IF(Skills!N22=TRUE,(Skills!L22/10)*(E241/1000),Skills!L22/10)+Skills!O22</f>
        <v/>
      </c>
      <c r="G241">
        <f>Calc!G22</f>
        <v/>
      </c>
      <c r="H241">
        <f>Calc!H22</f>
        <v/>
      </c>
      <c r="I241">
        <f>IF(Skills!AA22&lt;&gt;"",1+(Skills!AA22/10)*(U222/1000)/100,1)</f>
        <v/>
      </c>
      <c r="J241" t="inlineStr"/>
      <c r="K241" t="inlineStr"/>
      <c r="L241" t="inlineStr"/>
      <c r="M241" t="inlineStr"/>
      <c r="N241" t="inlineStr"/>
      <c r="O241">
        <f>(1-Summary!$B$11)*T241+Summary!$B$11*V241</f>
        <v/>
      </c>
      <c r="P241">
        <f>IF(B263=0,0,O241/B263)</f>
        <v/>
      </c>
      <c r="Q241" t="n">
        <v>0</v>
      </c>
      <c r="R241" t="n">
        <v>0</v>
      </c>
      <c r="S241">
        <f>IFERROR(O241/N241,0)</f>
        <v/>
      </c>
      <c r="T241" t="n">
        <v>0</v>
      </c>
      <c r="V241" t="n">
        <v>0</v>
      </c>
    </row>
    <row r="242">
      <c r="A242">
        <f>Skills!A23</f>
        <v/>
      </c>
      <c r="B242">
        <f>Skills!B23</f>
        <v/>
      </c>
      <c r="C242">
        <f>Inputs!$B$3&gt;=38</f>
        <v/>
      </c>
      <c r="D242">
        <f>IF(Skills!C23=1,60+Inputs!$B$25+Inputs!$B$29,IF(Skills!C23=2,90+Inputs!$B$26+Inputs!$B$29,IF(Skills!C23=3,120+Inputs!$B$27+Inputs!$B$29,MAX(0,(Inputs!$B$3-100)*3)+Inputs!$B$28+Inputs!$B$29)))</f>
        <v/>
      </c>
      <c r="E242">
        <f>INDEX(FactorTable!$B$2:$Y$301, MATCH(ROUND(MIN(300,MAX(1,D242)),0), FactorTable!$A$2:$A$301,0), Skills!M23+1)</f>
        <v/>
      </c>
      <c r="F242">
        <f>IF(Skills!N23=TRUE,(Skills!L23/10)*(E242/1000),Skills!L23/10)+Skills!O23</f>
        <v/>
      </c>
      <c r="G242">
        <f>Calc!G23</f>
        <v/>
      </c>
      <c r="H242">
        <f>Calc!H23</f>
        <v/>
      </c>
      <c r="I242">
        <f>IF(Skills!AA23&lt;&gt;"",1+(Skills!AA23/10)*(U222/1000)/100,1)</f>
        <v/>
      </c>
      <c r="J242" t="inlineStr"/>
      <c r="K242" t="inlineStr"/>
      <c r="L242" t="inlineStr"/>
      <c r="M242" t="inlineStr"/>
      <c r="N242" t="inlineStr"/>
      <c r="O242">
        <f>(1-Summary!$B$11)*T242+Summary!$B$11*V242</f>
        <v/>
      </c>
      <c r="P242">
        <f>IF(B263=0,0,O242/B263)</f>
        <v/>
      </c>
      <c r="Q242" t="n">
        <v>0</v>
      </c>
      <c r="R242" t="n">
        <v>0</v>
      </c>
      <c r="S242">
        <f>IFERROR(O242/N242,0)</f>
        <v/>
      </c>
      <c r="T242" t="n">
        <v>0</v>
      </c>
      <c r="V242" t="n">
        <v>0</v>
      </c>
    </row>
    <row r="243">
      <c r="A243">
        <f>Skills!A24</f>
        <v/>
      </c>
      <c r="B243">
        <f>Skills!B24</f>
        <v/>
      </c>
      <c r="C243">
        <f>Inputs!$B$3&gt;=40</f>
        <v/>
      </c>
      <c r="D243">
        <f>IF(Skills!C24=1,60+Inputs!$B$25+Inputs!$B$29,IF(Skills!C24=2,90+Inputs!$B$26+Inputs!$B$29,IF(Skills!C24=3,120+Inputs!$B$27+Inputs!$B$29,MAX(0,(Inputs!$B$3-100)*3)+Inputs!$B$28+Inputs!$B$29)))</f>
        <v/>
      </c>
      <c r="E243">
        <f>INDEX(FactorTable!$B$2:$Y$301, MATCH(ROUND(MIN(300,MAX(1,D243)),0), FactorTable!$A$2:$A$301,0), Skills!M24+1)</f>
        <v/>
      </c>
      <c r="F243">
        <f>IF(Skills!N24=TRUE,(Skills!L24/10)*(E243/1000),Skills!L24/10)+Skills!O24</f>
        <v/>
      </c>
      <c r="G243">
        <f>Calc!G24</f>
        <v/>
      </c>
      <c r="H243">
        <f>Calc!H24</f>
        <v/>
      </c>
      <c r="I243">
        <f>IF(Skills!AA24&lt;&gt;"",1+(Skills!AA24/10)*(U222/1000)/100,1)</f>
        <v/>
      </c>
      <c r="J243" t="inlineStr"/>
      <c r="K243" t="inlineStr"/>
      <c r="L243" t="inlineStr"/>
      <c r="M243" t="inlineStr"/>
      <c r="N243" t="inlineStr"/>
      <c r="O243">
        <f>(1-Summary!$B$11)*T243+Summary!$B$11*V243</f>
        <v/>
      </c>
      <c r="P243">
        <f>IF(B263=0,0,O243/B263)</f>
        <v/>
      </c>
      <c r="Q243" t="n">
        <v>0</v>
      </c>
      <c r="R243" t="n">
        <v>0</v>
      </c>
      <c r="S243">
        <f>IFERROR(O243/N243,0)</f>
        <v/>
      </c>
      <c r="T243" t="n">
        <v>0</v>
      </c>
      <c r="V243" t="n">
        <v>0</v>
      </c>
    </row>
    <row r="244">
      <c r="A244">
        <f>Skills!A25</f>
        <v/>
      </c>
      <c r="B244">
        <f>Skills!B25</f>
        <v/>
      </c>
      <c r="C244">
        <f>Inputs!$B$3&gt;=45</f>
        <v/>
      </c>
      <c r="D244">
        <f>IF(Skills!C25=1,60+Inputs!$B$25+Inputs!$B$29,IF(Skills!C25=2,90+Inputs!$B$26+Inputs!$B$29,IF(Skills!C25=3,120+Inputs!$B$27+Inputs!$B$29,MAX(0,(Inputs!$B$3-100)*3)+Inputs!$B$28+Inputs!$B$29)))</f>
        <v/>
      </c>
      <c r="E244">
        <f>INDEX(FactorTable!$B$2:$Y$301, MATCH(ROUND(MIN(300,MAX(1,D244)),0), FactorTable!$A$2:$A$301,0), Skills!M25+1)</f>
        <v/>
      </c>
      <c r="F244">
        <f>IF(Skills!N25=TRUE,(Skills!L25/10)*(E244/1000),Skills!L25/10)+Skills!O25</f>
        <v/>
      </c>
      <c r="G244">
        <f>Calc!G25</f>
        <v/>
      </c>
      <c r="H244">
        <f>Calc!H25</f>
        <v/>
      </c>
      <c r="I244">
        <f>IF(Skills!AA25&lt;&gt;"",1+(Skills!AA25/10)*(U222/1000)/100,1)</f>
        <v/>
      </c>
      <c r="J244" t="inlineStr"/>
      <c r="K244" t="inlineStr"/>
      <c r="L244" t="inlineStr"/>
      <c r="M244" t="inlineStr"/>
      <c r="N244" t="inlineStr"/>
      <c r="O244">
        <f>(1-Summary!$B$11)*T244+Summary!$B$11*V244</f>
        <v/>
      </c>
      <c r="P244">
        <f>IF(B263=0,0,O244/B263)</f>
        <v/>
      </c>
      <c r="Q244" t="n">
        <v>0</v>
      </c>
      <c r="R244" t="n">
        <v>0</v>
      </c>
      <c r="S244">
        <f>IFERROR(O244/N244,0)</f>
        <v/>
      </c>
      <c r="T244" t="n">
        <v>0</v>
      </c>
      <c r="V244" t="n">
        <v>0</v>
      </c>
    </row>
    <row r="245">
      <c r="A245">
        <f>Skills!A26</f>
        <v/>
      </c>
      <c r="B245">
        <f>Skills!B26</f>
        <v/>
      </c>
      <c r="C245">
        <f>Inputs!$B$3&gt;=45</f>
        <v/>
      </c>
      <c r="D245">
        <f>IF(Skills!C26=1,60+Inputs!$B$25+Inputs!$B$29,IF(Skills!C26=2,90+Inputs!$B$26+Inputs!$B$29,IF(Skills!C26=3,120+Inputs!$B$27+Inputs!$B$29,MAX(0,(Inputs!$B$3-100)*3)+Inputs!$B$28+Inputs!$B$29)))</f>
        <v/>
      </c>
      <c r="E245">
        <f>INDEX(FactorTable!$B$2:$Y$301, MATCH(ROUND(MIN(300,MAX(1,D245)),0), FactorTable!$A$2:$A$301,0), Skills!M26+1)</f>
        <v/>
      </c>
      <c r="F245">
        <f>IF(Skills!N26=TRUE,(Skills!L26/10)*(E245/1000),Skills!L26/10)+Skills!O26</f>
        <v/>
      </c>
      <c r="G245">
        <f>Calc!G26</f>
        <v/>
      </c>
      <c r="H245">
        <f>Calc!H26</f>
        <v/>
      </c>
      <c r="I245">
        <f>IF(Skills!AA26&lt;&gt;"",1+(Skills!AA26/10)*(U222/1000)/100,1)</f>
        <v/>
      </c>
      <c r="J245" t="inlineStr"/>
      <c r="K245" t="inlineStr"/>
      <c r="L245" t="inlineStr"/>
      <c r="M245" t="inlineStr"/>
      <c r="N245" t="inlineStr"/>
      <c r="O245">
        <f>(1-Summary!$B$11)*T245+Summary!$B$11*V245</f>
        <v/>
      </c>
      <c r="P245">
        <f>IF(B263=0,0,O245/B263)</f>
        <v/>
      </c>
      <c r="Q245" t="n">
        <v>0</v>
      </c>
      <c r="R245" t="n">
        <v>0</v>
      </c>
      <c r="S245">
        <f>IFERROR(O245/N245,0)</f>
        <v/>
      </c>
      <c r="T245" t="n">
        <v>0</v>
      </c>
      <c r="V245" t="n">
        <v>0</v>
      </c>
    </row>
    <row r="246">
      <c r="A246">
        <f>Skills!A27</f>
        <v/>
      </c>
      <c r="B246">
        <f>Skills!B27</f>
        <v/>
      </c>
      <c r="C246">
        <f>Inputs!$B$3&gt;=72</f>
        <v/>
      </c>
      <c r="D246">
        <f>IF(Skills!C27=1,60+Inputs!$B$25+Inputs!$B$29,IF(Skills!C27=2,90+Inputs!$B$26+Inputs!$B$29,IF(Skills!C27=3,120+Inputs!$B$27+Inputs!$B$29,MAX(0,(Inputs!$B$3-100)*3)+Inputs!$B$28+Inputs!$B$29)))</f>
        <v/>
      </c>
      <c r="E246">
        <f>INDEX(FactorTable!$B$2:$Y$301, MATCH(ROUND(MIN(300,MAX(1,D246)),0), FactorTable!$A$2:$A$301,0), Skills!M27+1)</f>
        <v/>
      </c>
      <c r="F246">
        <f>IF(Skills!N27=TRUE,(Skills!L27/10)*(E246/1000),Skills!L27/10)+Skills!O27</f>
        <v/>
      </c>
      <c r="G246">
        <f>Calc!G27</f>
        <v/>
      </c>
      <c r="H246">
        <f>Calc!H27</f>
        <v/>
      </c>
      <c r="I246">
        <f>IF(Skills!AA27&lt;&gt;"",1+(Skills!AA27/10)*(U222/1000)/100,1)</f>
        <v/>
      </c>
      <c r="J246" t="inlineStr"/>
      <c r="K246" t="inlineStr"/>
      <c r="L246" t="inlineStr"/>
      <c r="M246" t="inlineStr"/>
      <c r="N246" t="inlineStr"/>
      <c r="O246">
        <f>(1-Summary!$B$11)*T246+Summary!$B$11*V246</f>
        <v/>
      </c>
      <c r="P246">
        <f>IF(B263=0,0,O246/B263)</f>
        <v/>
      </c>
      <c r="Q246" t="n">
        <v>0</v>
      </c>
      <c r="R246" t="n">
        <v>0</v>
      </c>
      <c r="S246">
        <f>IFERROR(O246/N246,0)</f>
        <v/>
      </c>
      <c r="T246" t="n">
        <v>0</v>
      </c>
      <c r="V246" t="n">
        <v>0</v>
      </c>
    </row>
    <row r="247">
      <c r="A247">
        <f>Skills!A28</f>
        <v/>
      </c>
      <c r="B247">
        <f>Skills!B28</f>
        <v/>
      </c>
      <c r="C247">
        <f>Inputs!$B$3&gt;=75</f>
        <v/>
      </c>
      <c r="D247">
        <f>IF(Skills!C28=1,60+Inputs!$B$25+Inputs!$B$29,IF(Skills!C28=2,90+Inputs!$B$26+Inputs!$B$29,IF(Skills!C28=3,120+Inputs!$B$27+Inputs!$B$29,MAX(0,(Inputs!$B$3-100)*3)+Inputs!$B$28+Inputs!$B$29)))</f>
        <v/>
      </c>
      <c r="E247">
        <f>INDEX(FactorTable!$B$2:$Y$301, MATCH(ROUND(MIN(300,MAX(1,D247)),0), FactorTable!$A$2:$A$301,0), Skills!M28+1)</f>
        <v/>
      </c>
      <c r="F247">
        <f>IF(Skills!N28=TRUE,(Skills!L28/10)*(E247/1000),Skills!L28/10)+Skills!O28</f>
        <v/>
      </c>
      <c r="G247">
        <f>Calc!G28</f>
        <v/>
      </c>
      <c r="H247">
        <f>Calc!H28</f>
        <v/>
      </c>
      <c r="I247">
        <f>IF(Skills!AA28&lt;&gt;"",1+(Skills!AA28/10)*(U222/1000)/100,1)</f>
        <v/>
      </c>
      <c r="J247" t="inlineStr"/>
      <c r="K247" t="inlineStr"/>
      <c r="L247" t="inlineStr"/>
      <c r="M247" t="inlineStr"/>
      <c r="N247" t="inlineStr"/>
      <c r="O247">
        <f>(1-Summary!$B$11)*T247+Summary!$B$11*V247</f>
        <v/>
      </c>
      <c r="P247">
        <f>IF(B263=0,0,O247/B263)</f>
        <v/>
      </c>
      <c r="Q247" t="n">
        <v>0</v>
      </c>
      <c r="R247" t="n">
        <v>0</v>
      </c>
      <c r="S247">
        <f>IFERROR(O247/N247,0)</f>
        <v/>
      </c>
      <c r="T247" t="n">
        <v>0</v>
      </c>
      <c r="V247" t="n">
        <v>0</v>
      </c>
    </row>
    <row r="248">
      <c r="A248">
        <f>Skills!A29</f>
        <v/>
      </c>
      <c r="B248">
        <f>Skills!B29</f>
        <v/>
      </c>
      <c r="C248">
        <f>Inputs!$B$3&gt;=120</f>
        <v/>
      </c>
      <c r="D248">
        <f>IF(Skills!C29=1,60+Inputs!$B$25+Inputs!$B$29,IF(Skills!C29=2,90+Inputs!$B$26+Inputs!$B$29,IF(Skills!C29=3,120+Inputs!$B$27+Inputs!$B$29,MAX(0,(Inputs!$B$3-100)*3)+Inputs!$B$28+Inputs!$B$29)))</f>
        <v/>
      </c>
      <c r="E248">
        <f>INDEX(FactorTable!$B$2:$Y$301, MATCH(ROUND(MIN(300,MAX(1,D248)),0), FactorTable!$A$2:$A$301,0), Skills!M29+1)</f>
        <v/>
      </c>
      <c r="F248">
        <f>IF(Skills!N29=TRUE,(Skills!L29/10)*(E248/1000),Skills!L29/10)+Skills!O29</f>
        <v/>
      </c>
      <c r="G248">
        <f>Calc!G29</f>
        <v/>
      </c>
      <c r="H248">
        <f>Calc!H29</f>
        <v/>
      </c>
      <c r="I248">
        <f>IF(Skills!AA29&lt;&gt;"",1+(Skills!AA29/10)*(U222/1000)/100,1)</f>
        <v/>
      </c>
      <c r="J248" t="inlineStr"/>
      <c r="K248" t="inlineStr"/>
      <c r="L248" t="inlineStr"/>
      <c r="M248" t="inlineStr"/>
      <c r="N248" t="inlineStr"/>
      <c r="O248">
        <f>(1-Summary!$B$11)*T248+Summary!$B$11*V248</f>
        <v/>
      </c>
      <c r="P248">
        <f>IF(B263=0,0,O248/B263)</f>
        <v/>
      </c>
      <c r="Q248" t="n">
        <v>0</v>
      </c>
      <c r="R248" t="n">
        <v>0</v>
      </c>
      <c r="S248">
        <f>IFERROR(O248/N248,0)</f>
        <v/>
      </c>
      <c r="T248" t="n">
        <v>0</v>
      </c>
      <c r="V248" t="n">
        <v>0</v>
      </c>
    </row>
    <row r="249">
      <c r="A249">
        <f>Skills!A30</f>
        <v/>
      </c>
      <c r="B249">
        <f>Skills!B30</f>
        <v/>
      </c>
      <c r="C249">
        <f>Inputs!$B$3&gt;=125</f>
        <v/>
      </c>
      <c r="D249">
        <f>IF(Skills!C30=1,60+Inputs!$B$25+Inputs!$B$29,IF(Skills!C30=2,90+Inputs!$B$26+Inputs!$B$29,IF(Skills!C30=3,120+Inputs!$B$27+Inputs!$B$29,MAX(0,(Inputs!$B$3-100)*3)+Inputs!$B$28+Inputs!$B$29)))</f>
        <v/>
      </c>
      <c r="E249">
        <f>INDEX(FactorTable!$B$2:$Y$301, MATCH(ROUND(MIN(300,MAX(1,D249)),0), FactorTable!$A$2:$A$301,0), Skills!M30+1)</f>
        <v/>
      </c>
      <c r="F249">
        <f>IF(Skills!N30=TRUE,(Skills!L30/10)*(E249/1000),Skills!L30/10)+Skills!O30</f>
        <v/>
      </c>
      <c r="G249">
        <f>Calc!G30</f>
        <v/>
      </c>
      <c r="H249">
        <f>Calc!H30</f>
        <v/>
      </c>
      <c r="I249">
        <f>IF(Skills!AA30&lt;&gt;"",1+(Skills!AA30/10)*(U222/1000)/100,1)</f>
        <v/>
      </c>
      <c r="J249" t="inlineStr"/>
      <c r="K249" t="inlineStr"/>
      <c r="L249" t="inlineStr"/>
      <c r="M249" t="inlineStr"/>
      <c r="N249" t="inlineStr"/>
      <c r="O249">
        <f>(1-Summary!$B$11)*T249+Summary!$B$11*V249</f>
        <v/>
      </c>
      <c r="P249">
        <f>IF(B263=0,0,O249/B263)</f>
        <v/>
      </c>
      <c r="Q249" t="n">
        <v>0</v>
      </c>
      <c r="R249" t="n">
        <v>0</v>
      </c>
      <c r="S249">
        <f>IFERROR(O249/N249,0)</f>
        <v/>
      </c>
      <c r="T249" t="n">
        <v>0</v>
      </c>
      <c r="V249" t="n">
        <v>0</v>
      </c>
    </row>
    <row r="250">
      <c r="A250">
        <f>Skills!A31</f>
        <v/>
      </c>
      <c r="B250">
        <f>Skills!B31</f>
        <v/>
      </c>
      <c r="C250">
        <f>Inputs!$B$3&gt;=107</f>
        <v/>
      </c>
      <c r="D250">
        <f>IF(Skills!C31=1,60+Inputs!$B$25+Inputs!$B$29,IF(Skills!C31=2,90+Inputs!$B$26+Inputs!$B$29,IF(Skills!C31=3,120+Inputs!$B$27+Inputs!$B$29,MAX(0,(Inputs!$B$3-100)*3)+Inputs!$B$28+Inputs!$B$29)))</f>
        <v/>
      </c>
      <c r="E250">
        <f>INDEX(FactorTable!$B$2:$Y$301, MATCH(ROUND(MIN(300,MAX(1,D250)),0), FactorTable!$A$2:$A$301,0), Skills!M31+1)</f>
        <v/>
      </c>
      <c r="F250">
        <f>IF(Skills!N31=TRUE,(Skills!L31/10)*(E250/1000),Skills!L31/10)+Skills!O31</f>
        <v/>
      </c>
      <c r="G250">
        <f>Calc!G31</f>
        <v/>
      </c>
      <c r="H250">
        <f>Calc!H31</f>
        <v/>
      </c>
      <c r="I250">
        <f>IF(Skills!AA31&lt;&gt;"",1+(Skills!AA31/10)*(U222/1000)/100,1)</f>
        <v/>
      </c>
      <c r="J250" t="inlineStr"/>
      <c r="K250" t="inlineStr"/>
      <c r="L250" t="inlineStr"/>
      <c r="M250" t="inlineStr"/>
      <c r="N250" t="inlineStr"/>
      <c r="O250">
        <f>(1-Summary!$B$11)*T250+Summary!$B$11*V250</f>
        <v/>
      </c>
      <c r="P250">
        <f>IF(B263=0,0,O250/B263)</f>
        <v/>
      </c>
      <c r="Q250" t="n">
        <v>0</v>
      </c>
      <c r="R250" t="n">
        <v>0</v>
      </c>
      <c r="S250">
        <f>IFERROR(O250/N250,0)</f>
        <v/>
      </c>
      <c r="T250" t="n">
        <v>0</v>
      </c>
      <c r="V250" t="n">
        <v>0</v>
      </c>
    </row>
    <row r="252">
      <c r="A252" t="inlineStr">
        <is>
          <t>Actions Per Second (pre-Adrenalin)</t>
        </is>
      </c>
      <c r="B252">
        <f>1+MIN(150,150*(1-(1-(Inputs!$B$11+((C241=TRUE)*(F241-Calc!F22))+(ArtifactsInput!$M$15-ArtifactsInput!$M$15)*CHOOSE(ArtifactsInput!$N$15+1,8,9.6,11.2,12.8,14.4,16))/150)*(1-((C238=TRUE)*F238*IF(AND(Inputs!$B$39&lt;&gt;"pvp",Inputs!$B$44&gt;0),(((R238-1)*(Skills!Y19*(1+Inputs!$B$34/100))+MIN((Skills!Y19*(1+Inputs!$B$34/100)),MAX(0,Inputs!$B$44-((R238-1)*Skills!D19))))/Inputs!$B$44),IF(Inputs!$B$39="pvp",MIN((Skills!Y19*(1+Inputs!$B$34/100)),15)/15,(Skills!Y19*(1+Inputs!$B$34/100))/Skills!D19)))/150)))/100</f>
        <v/>
      </c>
    </row>
    <row r="253">
      <c r="A253" t="inlineStr">
        <is>
          <t>Alchemic Adrenaline Uptime</t>
        </is>
      </c>
      <c r="B253">
        <f>(Skills!Y6*(1+Inputs!$B$34/100))/((Skills!Y6*(1+Inputs!$B$34/100))+(5/B252))</f>
        <v/>
      </c>
    </row>
    <row r="254">
      <c r="A254" t="inlineStr">
        <is>
          <t>Attack Speed Buff Bonus %</t>
        </is>
      </c>
      <c r="B254">
        <f>((C238=TRUE)*F238*IF(AND(Inputs!$B$39&lt;&gt;"pvp",Inputs!$B$44&gt;0),(((R238-1)*(Skills!Y19*(1+Inputs!$B$34/100))+MIN((Skills!Y19*(1+Inputs!$B$34/100)),MAX(0,Inputs!$B$44-((R238-1)*Skills!D19))))/Inputs!$B$44),IF(Inputs!$B$39="pvp",MIN((Skills!Y19*(1+Inputs!$B$34/100)),15)/15,(Skills!Y19*(1+Inputs!$B$34/100))/Skills!D19)))+((C226=TRUE)*F226*B253)</f>
        <v/>
      </c>
    </row>
    <row r="255">
      <c r="A255" t="inlineStr">
        <is>
          <t>Actions Per Second (final)</t>
        </is>
      </c>
      <c r="B255">
        <f>1+MIN(150,150*(1-(1-(Inputs!$B$11+((C241=TRUE)*(F241-Calc!F22))+(ArtifactsInput!$M$15-ArtifactsInput!$M$15)*CHOOSE(ArtifactsInput!$N$15+1,8,9.6,11.2,12.8,14.4,16))/150)*(1-B254/150)))/100</f>
        <v/>
      </c>
    </row>
    <row r="256">
      <c r="A256" t="inlineStr">
        <is>
          <t>Skill + Buff Cast Rate</t>
        </is>
      </c>
      <c r="B256">
        <f>IF(AND(Inputs!$B$39&lt;&gt;"pvp",Inputs!$B$44&gt;0),SUMPRODUCT((Skills!E2:E31=TRUE)*(C221:C250=TRUE)*R221:R250*Skills!F2:F31)/Inputs!$B$44,SUMPRODUCT((Skills!E2:E31=TRUE)*(C221:C250=TRUE)*Q221:Q250*Skills!F2:F31))</f>
        <v/>
      </c>
    </row>
    <row r="257">
      <c r="A257" t="inlineStr">
        <is>
          <t>Showdown Casts Per Second</t>
        </is>
      </c>
      <c r="B257">
        <f>MAX(0,B255-B256)</f>
        <v/>
      </c>
    </row>
    <row r="258">
      <c r="A258" t="inlineStr">
        <is>
          <t>Average Buff Multiplier</t>
        </is>
      </c>
      <c r="B258">
        <f>(1+(((C240=TRUE)*F240*IF(AND(Inputs!$B$39&lt;&gt;"pvp",Inputs!$B$44&gt;0),(((R240-1)*(Skills!Y21*(1+Inputs!$B$34/100))+MIN((Skills!Y21*(1+Inputs!$B$34/100)),MAX(0,Inputs!$B$44-((R240-1)*Skills!D21))))/Inputs!$B$44),IF(Inputs!$B$39="pvp",MIN((Skills!Y21*(1+Inputs!$B$34/100)),15)/15,(Skills!Y21*(1+Inputs!$B$34/100))/Skills!D21)))+((C247=TRUE)*(F247-Calc!F28))+((C237=TRUE)*(F237-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Skills!Y15*(1+Inputs!$B$34/100))+MIN((Skills!Y15*(1+Inputs!$B$34/100)),MAX(0,Inputs!$B$44-((R234-1)*Skills!D15))))/Inputs!$B$44),IF(Inputs!$B$39="pvp",MIN((Skills!Y15*(1+Inputs!$B$34/100)),15)/15,(Skills!Y15*(1+Inputs!$B$34/100))/Skills!D15)))/100)*(1+((C225=TRUE)*F225*B253)/100)</f>
        <v/>
      </c>
    </row>
    <row r="259">
      <c r="A259" t="inlineStr">
        <is>
          <t>Global Crit Rate Bonus %</t>
        </is>
      </c>
      <c r="B259">
        <f>IF(Inputs!$B$3&gt;=47,8,0)+((C239=TRUE)*F239*IF(AND(Inputs!$B$39&lt;&gt;"pvp",Inputs!$B$44&gt;0),(((R239-1)*(Skills!Y20*(1+Inputs!$B$34/100))+MIN((Skills!Y20*(1+Inputs!$B$34/100)),MAX(0,Inputs!$B$44-((R239-1)*Skills!D20))))/Inputs!$B$44),IF(Inputs!$B$39="pvp",MIN((Skills!Y20*(1+Inputs!$B$34/100)),15)/15,(Skills!Y20*(1+Inputs!$B$34/100))/Skills!D20)))</f>
        <v/>
      </c>
    </row>
    <row r="260">
      <c r="A260" t="inlineStr">
        <is>
          <t>Global Monster Damage-Taken Bonus %</t>
        </is>
      </c>
      <c r="B260">
        <f>IF(Inputs!$B$3&gt;=82,15,0)+((C235=TRUE)*F235*IF(AND(Inputs!$B$39&lt;&gt;"pvp",Inputs!$B$44&gt;0),(((R235-1)*(Skills!Y16*(1+Inputs!$B$34/100))+MIN((Skills!Y16*(1+Inputs!$B$34/100)),MAX(0,Inputs!$B$44-((R235-1)*Skills!D16))))/Inputs!$B$44),IF(Inputs!$B$39="pvp",MIN((Skills!Y16*(1+Inputs!$B$34/100)),15)/15,(Skills!Y16*(1+Inputs!$B$34/100))/Skills!D16)))</f>
        <v/>
      </c>
    </row>
    <row r="261">
      <c r="A261" t="inlineStr">
        <is>
          <t>Shadow Partner Average Multiplier</t>
        </is>
      </c>
      <c r="B261">
        <f>1+((C230=TRUE)*F230*I230*Skills!J11/100)/100</f>
        <v/>
      </c>
    </row>
    <row r="262">
      <c r="A262" t="inlineStr">
        <is>
          <t>Global Critical Damage Bonus % (Frailty Curse Mastery Lv.111)</t>
        </is>
      </c>
      <c r="B262">
        <f>IF(Inputs!$B$3&gt;=111,30,0)*IF(AND(Inputs!$B$39&lt;&gt;"pvp",Inputs!$B$44&gt;0),(((R235-1)*(Skills!Y16*(1+Inputs!$B$34/100))+MIN((Skills!Y16*(1+Inputs!$B$34/100)),MAX(0,Inputs!$B$44-((R235-1)*Skills!D16))))/Inputs!$B$44),IF(Inputs!$B$39="pvp",MIN((Skills!Y16*(1+Inputs!$B$34/100)),15)/15,(Skills!Y16*(1+Inputs!$B$34/100))/Skills!D16))</f>
        <v/>
      </c>
    </row>
    <row r="263">
      <c r="A263" s="6" t="inlineStr">
        <is>
          <t>TOTAL DPS</t>
        </is>
      </c>
      <c r="B263" s="6">
        <f>SUM(O221:O250)</f>
        <v/>
      </c>
    </row>
    <row r="264">
      <c r="A264" t="inlineStr">
        <is>
          <t>Buff-Casting Startup Delay (s, fixed-duration only)</t>
        </is>
      </c>
      <c r="B264">
        <f>IF(AND(Inputs!$B$39&lt;&gt;"pvp",Inputs!$B$44&gt;0),SUMPRODUCT((Skills!Y2:Y31&gt;0)*(Skills!E2:E31=TRUE)*(C221:C250=TRUE))/B255,0)</f>
        <v/>
      </c>
    </row>
    <row r="265">
      <c r="A265" t="inlineStr">
        <is>
          <t>Boss-Only Total DPS (this block's swept value)</t>
        </is>
      </c>
      <c r="B265">
        <f>SUM(T221:T250)</f>
        <v/>
      </c>
    </row>
    <row r="266">
      <c r="A266" t="inlineStr">
        <is>
          <t>Normal-Only Total DPS (this block's swept value)</t>
        </is>
      </c>
      <c r="B266">
        <f>SUM(V221:V250)</f>
        <v/>
      </c>
    </row>
    <row r="268">
      <c r="A268" s="6" t="inlineStr">
        <is>
          <t>Stat: DAMAGE_AMP %</t>
        </is>
      </c>
    </row>
    <row r="269">
      <c r="A269" s="5" t="inlineStr">
        <is>
          <t>Key</t>
        </is>
      </c>
      <c r="B269" s="5" t="inlineStr">
        <is>
          <t>Name</t>
        </is>
      </c>
      <c r="C269" s="5" t="inlineStr">
        <is>
          <t>Unlocked</t>
        </is>
      </c>
      <c r="D269" s="5" t="inlineStr">
        <is>
          <t>InputLevel</t>
        </is>
      </c>
      <c r="E269" s="5" t="inlineStr">
        <is>
          <t>Factor</t>
        </is>
      </c>
      <c r="F269" s="5" t="inlineStr">
        <is>
          <t>CoefficientPercent</t>
        </is>
      </c>
      <c r="G269" s="5" t="inlineStr">
        <is>
          <t>EffectiveHits</t>
        </is>
      </c>
      <c r="H269" s="5" t="inlineStr">
        <is>
          <t>ProcProbability</t>
        </is>
      </c>
      <c r="I269" s="5" t="inlineStr">
        <is>
          <t>MapleHeroMultiplier</t>
        </is>
      </c>
      <c r="J269" s="5" t="inlineStr">
        <is>
          <t>BaseDamage</t>
        </is>
      </c>
      <c r="K269" s="5" t="inlineStr">
        <is>
          <t>BaseHitDamage</t>
        </is>
      </c>
      <c r="L269" s="5" t="inlineStr">
        <is>
          <t>NonCritAvg</t>
        </is>
      </c>
      <c r="M269" s="5" t="inlineStr">
        <is>
          <t>CritAvg</t>
        </is>
      </c>
      <c r="N269" s="5" t="inlineStr">
        <is>
          <t>ExpectedDamage(perHit)</t>
        </is>
      </c>
      <c r="O269" s="5" t="inlineStr">
        <is>
          <t>DPS</t>
        </is>
      </c>
      <c r="P269" s="5" t="inlineStr">
        <is>
          <t>% of Total</t>
        </is>
      </c>
      <c r="Q269" s="5" t="inlineStr">
        <is>
          <t>InvCooldown</t>
        </is>
      </c>
      <c r="R269" s="5" t="inlineStr">
        <is>
          <t>CastsInFight</t>
        </is>
      </c>
      <c r="S269" s="5" t="inlineStr">
        <is>
          <t>HitRate(perSec)</t>
        </is>
      </c>
      <c r="U269" t="inlineStr">
        <is>
          <t>helpers</t>
        </is>
      </c>
    </row>
    <row r="270">
      <c r="A270">
        <f>Skills!A2</f>
        <v/>
      </c>
      <c r="B270">
        <f>Skills!B2</f>
        <v/>
      </c>
      <c r="C270">
        <f>Inputs!$B$3&gt;=100</f>
        <v/>
      </c>
      <c r="D270" t="inlineStr"/>
      <c r="E270" t="inlineStr"/>
      <c r="F270">
        <f>U274+Skills!O2</f>
        <v/>
      </c>
      <c r="G270">
        <f>Calc!G2</f>
        <v/>
      </c>
      <c r="H270">
        <f>Calc!H2</f>
        <v/>
      </c>
      <c r="I270">
        <f>IF(Skills!AA2&lt;&gt;"",1+(Skills!AA2/10)*(U271/1000)/100,1)</f>
        <v/>
      </c>
      <c r="J270">
        <f>((Inputs!$B$6*(1+Inputs!$B$7/100))+(((Inputs!$B$12*(1+Inputs!$B$13/100))-(Inputs!$B$12*(1+Inputs!$B$13/100)))+0.25*(Inputs!$B$14-Inputs!$B$14))*(1+Inputs!$B$7/100))*(F270/100)</f>
        <v/>
      </c>
      <c r="K270">
        <f>J270*(1+((Inputs!$B$12*(1+Inputs!$B$13/100))*0.01+Inputs!$B$14*0.0025)/100)*(1+Inputs!$B$15/100)*(1+(Inputs!$B$16+1)/100)*(5000/(6000+Inputs!$B$43*(1-(100*(1-(1-(Inputs!$B$19+0)/100)*(1-CHOOSE(ArtifactsInput!$N$40+1,5,6,7,8,9,10)/100)^(ArtifactsInput!$M$40-ArtifactsInput!$M$40)))/100)))*(1+(Inputs!$B$24+((C298=TRUE)*(F298-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291=TRUE)*(F291-Calc!F23))+(((IF(AND(ArtifactsInput!$M$42,((Inputs!$B$9+((C293=TRUE)*(F293-Calc!F25))+B308+(ArtifactsInput!$M$24-ArtifactsInput!$M$24)*CHOOSE(ArtifactsInput!$N$24+1,10,12,14,16,18,20)+IF(ArtifactsInput!$M$10,CHOOSE(ArtifactsInput!$N$10+1,15,18,21,24,27,30)*(IF(Inputs!$B$39="pvp",MIN(15,15)/15,IF(AND(Inputs!$B$39&lt;&gt;"pvp",Inputs!$B$44&gt;0),MIN(15,Inputs!$B$44)/(Inputs!$B$44),0))),0)))&gt;=100),MIN(100,((Inputs!$B$9+((C293=TRUE)*(F293-Calc!F25))+B308+(ArtifactsInput!$M$24-ArtifactsInput!$M$24)*CHOOSE(ArtifactsInput!$N$24+1,10,12,14,16,18,20)+IF(ArtifactsInput!$M$10,CHOOSE(ArtifactsInput!$N$10+1,15,18,21,24,27,30)*(IF(Inputs!$B$39="pvp",MIN(15,15)/15,IF(AND(Inputs!$B$39&lt;&gt;"pvp",Inputs!$B$44&gt;0),MIN(15,Inputs!$B$44)/(Inputs!$B$44),0))),0)))-100),0))*CHOOSE(ArtifactsInput!$N$42+1,0.6,0.72,0.84,0.96,1.08,1.2))),Inputs!$B$18+((C297=TRUE)*(F297-Calc!F29))+(IF(AND(ArtifactsInput!$M$42,((Inputs!$B$9+((C293=TRUE)*(F293-Calc!F25))+B308+(ArtifactsInput!$M$24-ArtifactsInput!$M$24)*CHOOSE(ArtifactsInput!$N$24+1,10,12,14,16,18,20)+IF(ArtifactsInput!$M$10,CHOOSE(ArtifactsInput!$N$10+1,15,18,21,24,27,30)*(IF(Inputs!$B$39="pvp",MIN(15,15)/15,IF(AND(Inputs!$B$39&lt;&gt;"pvp",Inputs!$B$44&gt;0),MIN(15,Inputs!$B$44)/(Inputs!$B$44),0))),0)))&gt;=100),CHOOSE(ArtifactsInput!$N$42+1,40,48,56,64,72,80),0))))/100)*(((1+(((C289=TRUE)*F289*IF(AND(Inputs!$B$39&lt;&gt;"pvp",Inputs!$B$44&gt;0),(((R289-1)*(Skills!Y21*(1+Inputs!$B$34/100))+MIN((Skills!Y21*(1+Inputs!$B$34/100)),MAX(0,Inputs!$B$44-((R289-1)*Skills!D21))))/Inputs!$B$44),IF(Inputs!$B$39="pvp",MIN((Skills!Y21*(1+Inputs!$B$34/100)),15)/15,(Skills!Y21*(1+Inputs!$B$34/100))/Skills!D21)))+((C296=TRUE)*(F296-Calc!F28))+((C286=TRUE)*(F286-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TRUE)*F283*IF(AND(Inputs!$B$39&lt;&gt;"pvp",Inputs!$B$44&gt;0),(((R283-1)*(Skills!Y15*(1+Inputs!$B$34/100))+MIN((Skills!Y15*(1+Inputs!$B$34/100)),MAX(0,Inputs!$B$44-((R283-1)*Skills!D15))))/Inputs!$B$44),IF(Inputs!$B$39="pvp",MIN((Skills!Y15*(1+Inputs!$B$34/100)),15)/15,(Skills!Y15*(1+Inputs!$B$34/100))/Skills!D15)))/100)*(1+((C274=TRUE)*F274*B302)/100))*B310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270)</f>
        <v/>
      </c>
      <c r="L270">
        <f>K270*(MIN(Inputs!$B$22+((C292=TRUE)*(F292-Calc!F24)),(Inputs!$B$23+0+(IF(ArtifactsInput!$M$15,CHOOSE(ArtifactsInput!$N$15+1,25,30,35,40,45,50)/100*(Inputs!$B$11-Inputs!$B$11),0))))/100+(Inputs!$B$23+0+(IF(ArtifactsInput!$M$15,CHOOSE(ArtifactsInput!$N$15+1,25,30,35,40,45,50)/100*(Inputs!$B$11-Inputs!$B$11),0)))/100)/2</f>
        <v/>
      </c>
      <c r="M270">
        <f>L270*(1+(Inputs!$B$10+((C294=TRUE)*(F294-Calc!F26))+B311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0">
        <f>L270*(1-MIN((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270*(MIN((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0">
        <f>(1-Summary!$B$11)*T270+Summary!$B$11*V270</f>
        <v/>
      </c>
      <c r="P270">
        <f>IF(B312=0,0,O270/B312)</f>
        <v/>
      </c>
      <c r="Q270" t="n">
        <v>0</v>
      </c>
      <c r="R270" t="n">
        <v>0</v>
      </c>
      <c r="S270">
        <f>IFERROR(O270/N270,0)</f>
        <v/>
      </c>
      <c r="T270">
        <f>IF(C270,(Skills!G2*N270*B306)*IF(Inputs!$B$39="pvp",1,1+(Inputs!$B$20+((C295=TRUE)*(F295-Calc!F27))+Skills!P2+B309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Hunt"),CHOOSE(ArtifactsInput!$N$35+1,15,18,21,24,27,30)*(1-EXP(-(0.2*B304)*5)),0)+IF(AND(ArtifactsInput!$M$22,Inputs!$B$4&lt;&gt;"Chapter Hunt"),CHOOSE(ArtifactsInput!$N$22+1,10,12,14,16,18,20)*((0*(((0.15*B304*5))^0/1)+1*(((0.15*B304*5))^1/1)+2*(((0.15*B304*5))^2/2)+3*(((0.15*B304*5))^3/6)+4*(((0.15*B304*5))^4/24)+5*(((0.15*B304*5))^5/120))/((((0.15*B304*5))^0/1)+(((0.15*B304*5))^1/1)+(((0.15*B304*5))^2/2)+(((0.15*B304*5))^3/6)+(((0.15*B304*5))^4/24)+(((0.15*B304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270*(1-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270*(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270*(1-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270*(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0">
        <f>MAX(0,(Inputs!$B$3-100)*3)+Inputs!$B$28+Inputs!$B$29</f>
        <v/>
      </c>
      <c r="V270">
        <f>IF(C270,(Skills!G2*N270*B306)*IF(Inputs!$B$39="pvp",1,(1+(Inputs!$B$21+Skills!Q2+B309+(IF(ArtifactsInput!$M$33,CHOOSE(ArtifactsInput!$N$33+1,30,36,42,48,54,60),0))+(IF(AND(ArtifactsInput!$M$35,Inputs!$B$4&lt;&gt;"Chapter Hunt"),CHOOSE(ArtifactsInput!$N$35+1,15,18,21,24,27,30)*(1-EXP(-(0.2*B304)*5)),0)+IF(AND(ArtifactsInput!$M$22,Inputs!$B$4&lt;&gt;"Chapter Hunt"),CHOOSE(ArtifactsInput!$N$22+1,10,12,14,16,18,20)*((0*(((0.15*B304*5))^0/1)+1*(((0.15*B304*5))^1/1)+2*(((0.15*B304*5))^2/2)+3*(((0.15*B304*5))^3/6)+4*(((0.15*B304*5))^4/24)+5*(((0.15*B304*5))^5/120))/((((0.15*B304*5))^0/1)+(((0.15*B304*5))^1/1)+(((0.15*B304*5))^2/2)+(((0.15*B304*5))^3/6)+(((0.15*B304*5))^4/24)+(((0.15*B304*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1">
      <c r="A271">
        <f>Skills!A3</f>
        <v/>
      </c>
      <c r="B271">
        <f>Skills!B3</f>
        <v/>
      </c>
      <c r="C271">
        <f>Inputs!$B$3&gt;=35</f>
        <v/>
      </c>
      <c r="D271">
        <f>IF(Skills!C3=1,60+Inputs!$B$25+Inputs!$B$29,IF(Skills!C3=2,90+Inputs!$B$26+Inputs!$B$29,IF(Skills!C3=3,120+Inputs!$B$27+Inputs!$B$29,MAX(0,(Inputs!$B$3-100)*3)+Inputs!$B$28+Inputs!$B$29)))</f>
        <v/>
      </c>
      <c r="E271">
        <f>INDEX(FactorTable!$B$2:$Y$301, MATCH(ROUND(MIN(300,MAX(1,D271)),0), FactorTable!$A$2:$A$301,0), Skills!M3+1)</f>
        <v/>
      </c>
      <c r="F271">
        <f>IF(Skills!N3=TRUE,(Skills!L3/10)*(E271/1000),Skills!L3/10)+Skills!O3</f>
        <v/>
      </c>
      <c r="G271">
        <f>Calc!G3</f>
        <v/>
      </c>
      <c r="H271">
        <f>Calc!H3</f>
        <v/>
      </c>
      <c r="I271">
        <f>IF(Skills!AA3&lt;&gt;"",1+(Skills!AA3/10)*(U271/1000)/100,1)</f>
        <v/>
      </c>
      <c r="J271">
        <f>((Inputs!$B$6*(1+Inputs!$B$7/100))+(((Inputs!$B$12*(1+Inputs!$B$13/100))-(Inputs!$B$12*(1+Inputs!$B$13/100)))+0.25*(Inputs!$B$14-Inputs!$B$14))*(1+Inputs!$B$7/100))*(F271/100)</f>
        <v/>
      </c>
      <c r="K271">
        <f>J271*(1+((Inputs!$B$12*(1+Inputs!$B$13/100))*0.01+Inputs!$B$14*0.0025)/100)*(1+Inputs!$B$15/100)*(1+(Inputs!$B$16+1)/100)*(5000/(6000+Inputs!$B$43*(1-(100*(1-(1-(Inputs!$B$19+0)/100)*(1-CHOOSE(ArtifactsInput!$N$40+1,5,6,7,8,9,10)/100)^(ArtifactsInput!$M$40-ArtifactsInput!$M$40)))/100)))*(1+(Inputs!$B$24+((C298=TRUE)*(F298-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291=TRUE)*(F291-Calc!F23))+(((IF(AND(ArtifactsInput!$M$42,((Inputs!$B$9+((C293=TRUE)*(F293-Calc!F25))+B308+(ArtifactsInput!$M$24-ArtifactsInput!$M$24)*CHOOSE(ArtifactsInput!$N$24+1,10,12,14,16,18,20)+IF(ArtifactsInput!$M$10,CHOOSE(ArtifactsInput!$N$10+1,15,18,21,24,27,30)*(IF(Inputs!$B$39="pvp",MIN(15,15)/15,IF(AND(Inputs!$B$39&lt;&gt;"pvp",Inputs!$B$44&gt;0),MIN(15,Inputs!$B$44)/(Inputs!$B$44),0))),0)))&gt;=100),MIN(100,((Inputs!$B$9+((C293=TRUE)*(F293-Calc!F25))+B308+(ArtifactsInput!$M$24-ArtifactsInput!$M$24)*CHOOSE(ArtifactsInput!$N$24+1,10,12,14,16,18,20)+IF(ArtifactsInput!$M$10,CHOOSE(ArtifactsInput!$N$10+1,15,18,21,24,27,30)*(IF(Inputs!$B$39="pvp",MIN(15,15)/15,IF(AND(Inputs!$B$39&lt;&gt;"pvp",Inputs!$B$44&gt;0),MIN(15,Inputs!$B$44)/(Inputs!$B$44),0))),0)))-100),0))*CHOOSE(ArtifactsInput!$N$42+1,0.6,0.72,0.84,0.96,1.08,1.2))),Inputs!$B$18+((C297=TRUE)*(F297-Calc!F29))+(IF(AND(ArtifactsInput!$M$42,((Inputs!$B$9+((C293=TRUE)*(F293-Calc!F25))+B308+(ArtifactsInput!$M$24-ArtifactsInput!$M$24)*CHOOSE(ArtifactsInput!$N$24+1,10,12,14,16,18,20)+IF(ArtifactsInput!$M$10,CHOOSE(ArtifactsInput!$N$10+1,15,18,21,24,27,30)*(IF(Inputs!$B$39="pvp",MIN(15,15)/15,IF(AND(Inputs!$B$39&lt;&gt;"pvp",Inputs!$B$44&gt;0),MIN(15,Inputs!$B$44)/(Inputs!$B$44),0))),0)))&gt;=100),CHOOSE(ArtifactsInput!$N$42+1,40,48,56,64,72,80),0))))/100)*(((1+(((C289=TRUE)*F289*IF(AND(Inputs!$B$39&lt;&gt;"pvp",Inputs!$B$44&gt;0),(((R289-1)*(Skills!Y21*(1+Inputs!$B$34/100))+MIN((Skills!Y21*(1+Inputs!$B$34/100)),MAX(0,Inputs!$B$44-((R289-1)*Skills!D21))))/Inputs!$B$44),IF(Inputs!$B$39="pvp",MIN((Skills!Y21*(1+Inputs!$B$34/100)),15)/15,(Skills!Y21*(1+Inputs!$B$34/100))/Skills!D21)))+((C296=TRUE)*(F296-Calc!F28))+((C286=TRUE)*(F286-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TRUE)*F283*IF(AND(Inputs!$B$39&lt;&gt;"pvp",Inputs!$B$44&gt;0),(((R283-1)*(Skills!Y15*(1+Inputs!$B$34/100))+MIN((Skills!Y15*(1+Inputs!$B$34/100)),MAX(0,Inputs!$B$44-((R283-1)*Skills!D15))))/Inputs!$B$44),IF(Inputs!$B$39="pvp",MIN((Skills!Y15*(1+Inputs!$B$34/100)),15)/15,(Skills!Y15*(1+Inputs!$B$34/100))/Skills!D15)))/100)*(1+((C274=TRUE)*F274*B302)/100))*B310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271)</f>
        <v/>
      </c>
      <c r="L271">
        <f>K271*(MIN(Inputs!$B$22+((C292=TRUE)*(F292-Calc!F24)),(Inputs!$B$23+0+(IF(ArtifactsInput!$M$15,CHOOSE(ArtifactsInput!$N$15+1,25,30,35,40,45,50)/100*(Inputs!$B$11-Inputs!$B$11),0))))/100+(Inputs!$B$23+0+(IF(ArtifactsInput!$M$15,CHOOSE(ArtifactsInput!$N$15+1,25,30,35,40,45,50)/100*(Inputs!$B$11-Inputs!$B$11),0)))/100)/2</f>
        <v/>
      </c>
      <c r="M271">
        <f>L271*(1+(Inputs!$B$10+((C294=TRUE)*(F294-Calc!F26))+B311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1">
        <f>L271*(1-MIN((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271*(MIN((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1">
        <f>(1-Summary!$B$11)*T271+Summary!$B$11*V271</f>
        <v/>
      </c>
      <c r="P271">
        <f>IF(B312=0,0,O271/B312)</f>
        <v/>
      </c>
      <c r="Q271">
        <f>IFERROR(1/IF(Inputs!$B$39="pvp",15,MAX(0.1,Skills!D3-IF(Skills!E3=TRUE,Inputs!$B$32,0))),0)</f>
        <v/>
      </c>
      <c r="R271">
        <f>IF(AND(Inputs!$B$39&lt;&gt;"pvp",Inputs!$B$44&gt;0),IF(MAX(0,Inputs!$B$44-B313)&lt;=0,0,(INT(MAX(0,Inputs!$B$44-B313)/IF(Inputs!$B$39="pvp",15,MAX(0.1,Skills!D3-IF(Skills!E3=TRUE,Inputs!$B$32,0))))+1)),0)</f>
        <v/>
      </c>
      <c r="S271">
        <f>IFERROR(O271/N271,0)</f>
        <v/>
      </c>
      <c r="T271">
        <f>IF(C271,(H271*N271*IF(AND(Inputs!$B$39&lt;&gt;"pvp",Inputs!$B$44&gt;0),((Skills!G3*((R271-1)*IF(Skills!H3&gt;0,Skills!I3/Skills!H3,1)+IF(Skills!H3&gt;0,MIN(Skills!I3,MAX(0,MAX(0,Inputs!$B$44-B313)-((R271-1)*IF(Inputs!$B$39="pvp",15,MAX(0.1,Skills!D3-IF(Skills!E3=TRUE,Inputs!$B$32,0))))))/Skills!H3,1)))/Inputs!$B$44),G271*Q271))*IF(Inputs!$B$39="pvp",1,1+(Inputs!$B$20+((C295=TRUE)*(F295-Calc!F27))+Skills!P3+B309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Hunt"),CHOOSE(ArtifactsInput!$N$35+1,15,18,21,24,27,30)*(1-EXP(-(0.2*B304)*5)),0)+IF(AND(ArtifactsInput!$M$22,Inputs!$B$4&lt;&gt;"Chapter Hunt"),CHOOSE(ArtifactsInput!$N$22+1,10,12,14,16,18,20)*((0*(((0.15*B304*5))^0/1)+1*(((0.15*B304*5))^1/1)+2*(((0.15*B304*5))^2/2)+3*(((0.15*B304*5))^3/6)+4*(((0.15*B304*5))^4/24)+5*(((0.15*B304*5))^5/120))/((((0.15*B304*5))^0/1)+(((0.15*B304*5))^1/1)+(((0.15*B304*5))^2/2)+(((0.15*B304*5))^3/6)+(((0.15*B304*5))^4/24)+(((0.15*B304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271*(1-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271*(1-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1">
        <f>INDEX(FactorTable!$B$2:$Y$301, MATCH(ROUND(MIN(300,MAX(1,U270)),0), FactorTable!$A$2:$A$301,0), 24)</f>
        <v/>
      </c>
      <c r="V271">
        <f>IF(C271,(H271*N271*IF(AND(Inputs!$B$39&lt;&gt;"pvp",Inputs!$B$44&gt;0),((Skills!G3*((R271-1)*IF(Skills!H3&gt;0,Skills!I3/Skills!H3,1)+IF(Skills!H3&gt;0,MIN(Skills!I3,MAX(0,MAX(0,Inputs!$B$44-B313)-((R271-1)*IF(Inputs!$B$39="pvp",15,MAX(0.1,Skills!D3-IF(Skills!E3=TRUE,Inputs!$B$32,0))))))/Skills!H3,1)))/Inputs!$B$44),G271*Q271))*IF(Inputs!$B$39="pvp",1,(1+(Inputs!$B$21+Skills!Q3+B309+(IF(ArtifactsInput!$M$33,CHOOSE(ArtifactsInput!$N$33+1,30,36,42,48,54,60),0))+(IF(AND(ArtifactsInput!$M$35,Inputs!$B$4&lt;&gt;"Chapter Hunt"),CHOOSE(ArtifactsInput!$N$35+1,15,18,21,24,27,30)*(1-EXP(-(0.2*B304)*5)),0)+IF(AND(ArtifactsInput!$M$22,Inputs!$B$4&lt;&gt;"Chapter Hunt"),CHOOSE(ArtifactsInput!$N$22+1,10,12,14,16,18,20)*((0*(((0.15*B304*5))^0/1)+1*(((0.15*B304*5))^1/1)+2*(((0.15*B304*5))^2/2)+3*(((0.15*B304*5))^3/6)+4*(((0.15*B304*5))^4/24)+5*(((0.15*B304*5))^5/120))/((((0.15*B304*5))^0/1)+(((0.15*B304*5))^1/1)+(((0.15*B304*5))^2/2)+(((0.15*B304*5))^3/6)+(((0.15*B304*5))^4/24)+(((0.15*B304*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2">
      <c r="A272">
        <f>Skills!A4</f>
        <v/>
      </c>
      <c r="B272">
        <f>Skills!B4</f>
        <v/>
      </c>
      <c r="C272">
        <f>Inputs!$B$3&gt;=40</f>
        <v/>
      </c>
      <c r="D272">
        <f>IF(Skills!C4=1,60+Inputs!$B$25+Inputs!$B$29,IF(Skills!C4=2,90+Inputs!$B$26+Inputs!$B$29,IF(Skills!C4=3,120+Inputs!$B$27+Inputs!$B$29,MAX(0,(Inputs!$B$3-100)*3)+Inputs!$B$28+Inputs!$B$29)))</f>
        <v/>
      </c>
      <c r="E272">
        <f>INDEX(FactorTable!$B$2:$Y$301, MATCH(ROUND(MIN(300,MAX(1,D272)),0), FactorTable!$A$2:$A$301,0), Skills!M4+1)</f>
        <v/>
      </c>
      <c r="F272">
        <f>IF(Skills!N4=TRUE,(Skills!L4/10)*(E272/1000),Skills!L4/10)+Skills!O4</f>
        <v/>
      </c>
      <c r="G272">
        <f>Calc!G4</f>
        <v/>
      </c>
      <c r="H272">
        <f>Calc!H4</f>
        <v/>
      </c>
      <c r="I272">
        <f>IF(Skills!AA4&lt;&gt;"",1+(Skills!AA4/10)*(U271/1000)/100,1)</f>
        <v/>
      </c>
      <c r="J272">
        <f>((Inputs!$B$6*(1+Inputs!$B$7/100))+(((Inputs!$B$12*(1+Inputs!$B$13/100))-(Inputs!$B$12*(1+Inputs!$B$13/100)))+0.25*(Inputs!$B$14-Inputs!$B$14))*(1+Inputs!$B$7/100))*(F272/100)</f>
        <v/>
      </c>
      <c r="K272">
        <f>J272*(1+((Inputs!$B$12*(1+Inputs!$B$13/100))*0.01+Inputs!$B$14*0.0025)/100)*(1+Inputs!$B$15/100)*(1+(Inputs!$B$16+1)/100)*(5000/(6000+Inputs!$B$43*(1-(100*(1-(1-(Inputs!$B$19+0)/100)*(1-CHOOSE(ArtifactsInput!$N$40+1,5,6,7,8,9,10)/100)^(ArtifactsInput!$M$40-ArtifactsInput!$M$40)))/100)))*(1+(Inputs!$B$24+((C298=TRUE)*(F298-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291=TRUE)*(F291-Calc!F23))+(((IF(AND(ArtifactsInput!$M$42,((Inputs!$B$9+((C293=TRUE)*(F293-Calc!F25))+B308+(ArtifactsInput!$M$24-ArtifactsInput!$M$24)*CHOOSE(ArtifactsInput!$N$24+1,10,12,14,16,18,20)+IF(ArtifactsInput!$M$10,CHOOSE(ArtifactsInput!$N$10+1,15,18,21,24,27,30)*(IF(Inputs!$B$39="pvp",MIN(15,15)/15,IF(AND(Inputs!$B$39&lt;&gt;"pvp",Inputs!$B$44&gt;0),MIN(15,Inputs!$B$44)/(Inputs!$B$44),0))),0)))&gt;=100),MIN(100,((Inputs!$B$9+((C293=TRUE)*(F293-Calc!F25))+B308+(ArtifactsInput!$M$24-ArtifactsInput!$M$24)*CHOOSE(ArtifactsInput!$N$24+1,10,12,14,16,18,20)+IF(ArtifactsInput!$M$10,CHOOSE(ArtifactsInput!$N$10+1,15,18,21,24,27,30)*(IF(Inputs!$B$39="pvp",MIN(15,15)/15,IF(AND(Inputs!$B$39&lt;&gt;"pvp",Inputs!$B$44&gt;0),MIN(15,Inputs!$B$44)/(Inputs!$B$44),0))),0)))-100),0))*CHOOSE(ArtifactsInput!$N$42+1,0.6,0.72,0.84,0.96,1.08,1.2))),Inputs!$B$18+((C297=TRUE)*(F297-Calc!F29))+(IF(AND(ArtifactsInput!$M$42,((Inputs!$B$9+((C293=TRUE)*(F293-Calc!F25))+B308+(ArtifactsInput!$M$24-ArtifactsInput!$M$24)*CHOOSE(ArtifactsInput!$N$24+1,10,12,14,16,18,20)+IF(ArtifactsInput!$M$10,CHOOSE(ArtifactsInput!$N$10+1,15,18,21,24,27,30)*(IF(Inputs!$B$39="pvp",MIN(15,15)/15,IF(AND(Inputs!$B$39&lt;&gt;"pvp",Inputs!$B$44&gt;0),MIN(15,Inputs!$B$44)/(Inputs!$B$44),0))),0)))&gt;=100),CHOOSE(ArtifactsInput!$N$42+1,40,48,56,64,72,80),0))))/100)*(((1+(((C289=TRUE)*F289*IF(AND(Inputs!$B$39&lt;&gt;"pvp",Inputs!$B$44&gt;0),(((R289-1)*(Skills!Y21*(1+Inputs!$B$34/100))+MIN((Skills!Y21*(1+Inputs!$B$34/100)),MAX(0,Inputs!$B$44-((R289-1)*Skills!D21))))/Inputs!$B$44),IF(Inputs!$B$39="pvp",MIN((Skills!Y21*(1+Inputs!$B$34/100)),15)/15,(Skills!Y21*(1+Inputs!$B$34/100))/Skills!D21)))+((C296=TRUE)*(F296-Calc!F28))+((C286=TRUE)*(F286-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TRUE)*F283*IF(AND(Inputs!$B$39&lt;&gt;"pvp",Inputs!$B$44&gt;0),(((R283-1)*(Skills!Y15*(1+Inputs!$B$34/100))+MIN((Skills!Y15*(1+Inputs!$B$34/100)),MAX(0,Inputs!$B$44-((R283-1)*Skills!D15))))/Inputs!$B$44),IF(Inputs!$B$39="pvp",MIN((Skills!Y15*(1+Inputs!$B$34/100)),15)/15,(Skills!Y15*(1+Inputs!$B$34/100))/Skills!D15)))/100)*(1+((C274=TRUE)*F274*B302)/100))*B310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272)</f>
        <v/>
      </c>
      <c r="L272">
        <f>K272*(MIN(Inputs!$B$22+((C292=TRUE)*(F292-Calc!F24)),(Inputs!$B$23+0+(IF(ArtifactsInput!$M$15,CHOOSE(ArtifactsInput!$N$15+1,25,30,35,40,45,50)/100*(Inputs!$B$11-Inputs!$B$11),0))))/100+(Inputs!$B$23+0+(IF(ArtifactsInput!$M$15,CHOOSE(ArtifactsInput!$N$15+1,25,30,35,40,45,50)/100*(Inputs!$B$11-Inputs!$B$11),0)))/100)/2</f>
        <v/>
      </c>
      <c r="M272">
        <f>L272*(1+(Inputs!$B$10+((C294=TRUE)*(F294-Calc!F26))+B311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2">
        <f>L272*(1-MIN((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272*(MIN((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2">
        <f>(1-Summary!$B$11)*T272+Summary!$B$11*V272</f>
        <v/>
      </c>
      <c r="P272">
        <f>IF(B312=0,0,O272/B312)</f>
        <v/>
      </c>
      <c r="Q272">
        <f>IFERROR(1/IF(Inputs!$B$39="pvp",15,MAX(0.1,Skills!D4-IF(Skills!E4=TRUE,Inputs!$B$32,0))),0)</f>
        <v/>
      </c>
      <c r="R272">
        <f>IF(AND(Inputs!$B$39&lt;&gt;"pvp",Inputs!$B$44&gt;0),IF(MAX(0,Inputs!$B$44-B313)&lt;=0,0,(INT(MAX(0,Inputs!$B$44-B313)/IF(Inputs!$B$39="pvp",15,MAX(0.1,Skills!D4-IF(Skills!E4=TRUE,Inputs!$B$32,0))))+1)),0)</f>
        <v/>
      </c>
      <c r="S272">
        <f>IFERROR(O272/N272,0)</f>
        <v/>
      </c>
      <c r="T272">
        <f>IF(C272,(H272*N272*IF(AND(Inputs!$B$39&lt;&gt;"pvp",Inputs!$B$44&gt;0),((Skills!G4*((R272-1)*IF(Skills!H4&gt;0,Skills!I4/Skills!H4,1)+IF(Skills!H4&gt;0,MIN(Skills!I4,MAX(0,MAX(0,Inputs!$B$44-B313)-((R272-1)*IF(Inputs!$B$39="pvp",15,MAX(0.1,Skills!D4-IF(Skills!E4=TRUE,Inputs!$B$32,0))))))/Skills!H4,1)))/Inputs!$B$44),G272*Q272))*IF(Inputs!$B$39="pvp",1,1+(Inputs!$B$20+((C295=TRUE)*(F295-Calc!F27))+Skills!P4+B309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Hunt"),CHOOSE(ArtifactsInput!$N$35+1,15,18,21,24,27,30)*(1-EXP(-(0.2*B304)*5)),0)+IF(AND(ArtifactsInput!$M$22,Inputs!$B$4&lt;&gt;"Chapter Hunt"),CHOOSE(ArtifactsInput!$N$22+1,10,12,14,16,18,20)*((0*(((0.15*B304*5))^0/1)+1*(((0.15*B304*5))^1/1)+2*(((0.15*B304*5))^2/2)+3*(((0.15*B304*5))^3/6)+4*(((0.15*B304*5))^4/24)+5*(((0.15*B304*5))^5/120))/((((0.15*B304*5))^0/1)+(((0.15*B304*5))^1/1)+(((0.15*B304*5))^2/2)+(((0.15*B304*5))^3/6)+(((0.15*B304*5))^4/24)+(((0.15*B304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272*(1-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272*(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272*(1-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272*(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2">
        <f>MAX(0,(Inputs!$B$3-100)*3)+Inputs!$B$28+Inputs!$B$29</f>
        <v/>
      </c>
      <c r="V272">
        <f>IF(C272,(H272*N272*IF(AND(Inputs!$B$39&lt;&gt;"pvp",Inputs!$B$44&gt;0),((Skills!G4*((R272-1)*IF(Skills!H4&gt;0,Skills!I4/Skills!H4,1)+IF(Skills!H4&gt;0,MIN(Skills!I4,MAX(0,MAX(0,Inputs!$B$44-B313)-((R272-1)*IF(Inputs!$B$39="pvp",15,MAX(0.1,Skills!D4-IF(Skills!E4=TRUE,Inputs!$B$32,0))))))/Skills!H4,1)))/Inputs!$B$44),G272*Q272))*IF(Inputs!$B$39="pvp",1,(1+(Inputs!$B$21+Skills!Q4+B309+(IF(ArtifactsInput!$M$33,CHOOSE(ArtifactsInput!$N$33+1,30,36,42,48,54,60),0))+(IF(AND(ArtifactsInput!$M$35,Inputs!$B$4&lt;&gt;"Chapter Hunt"),CHOOSE(ArtifactsInput!$N$35+1,15,18,21,24,27,30)*(1-EXP(-(0.2*B304)*5)),0)+IF(AND(ArtifactsInput!$M$22,Inputs!$B$4&lt;&gt;"Chapter Hunt"),CHOOSE(ArtifactsInput!$N$22+1,10,12,14,16,18,20)*((0*(((0.15*B304*5))^0/1)+1*(((0.15*B304*5))^1/1)+2*(((0.15*B304*5))^2/2)+3*(((0.15*B304*5))^3/6)+4*(((0.15*B304*5))^4/24)+5*(((0.15*B304*5))^5/120))/((((0.15*B304*5))^0/1)+(((0.15*B304*5))^1/1)+(((0.15*B304*5))^2/2)+(((0.15*B304*5))^3/6)+(((0.15*B304*5))^4/24)+(((0.15*B304*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3">
      <c r="A273">
        <f>Skills!A5</f>
        <v/>
      </c>
      <c r="B273">
        <f>Skills!B5</f>
        <v/>
      </c>
      <c r="C273">
        <f>Inputs!$B$3&gt;=63</f>
        <v/>
      </c>
      <c r="D273">
        <f>IF(Skills!C5=1,60+Inputs!$B$25+Inputs!$B$29,IF(Skills!C5=2,90+Inputs!$B$26+Inputs!$B$29,IF(Skills!C5=3,120+Inputs!$B$27+Inputs!$B$29,MAX(0,(Inputs!$B$3-100)*3)+Inputs!$B$28+Inputs!$B$29)))</f>
        <v/>
      </c>
      <c r="E273">
        <f>INDEX(FactorTable!$B$2:$Y$301, MATCH(ROUND(MIN(300,MAX(1,D273)),0), FactorTable!$A$2:$A$301,0), Skills!M5+1)</f>
        <v/>
      </c>
      <c r="F273">
        <f>IF(Skills!N5=TRUE,(Skills!L5/10)*(E273/1000),Skills!L5/10)+Skills!O5</f>
        <v/>
      </c>
      <c r="G273">
        <f>Calc!G5</f>
        <v/>
      </c>
      <c r="H273">
        <f>Calc!H5</f>
        <v/>
      </c>
      <c r="I273">
        <f>IF(Skills!AA5&lt;&gt;"",1+(Skills!AA5/10)*(U271/1000)/100,1)</f>
        <v/>
      </c>
      <c r="J273">
        <f>((Inputs!$B$6*(1+Inputs!$B$7/100))+(((Inputs!$B$12*(1+Inputs!$B$13/100))-(Inputs!$B$12*(1+Inputs!$B$13/100)))+0.25*(Inputs!$B$14-Inputs!$B$14))*(1+Inputs!$B$7/100))*(F273/100)</f>
        <v/>
      </c>
      <c r="K273">
        <f>J273*(1+((Inputs!$B$12*(1+Inputs!$B$13/100))*0.01+Inputs!$B$14*0.0025)/100)*(1+Inputs!$B$15/100)*(1+(Inputs!$B$16+1)/100)*(5000/(6000+Inputs!$B$43*(1-(100*(1-(1-(Inputs!$B$19+0)/100)*(1-CHOOSE(ArtifactsInput!$N$40+1,5,6,7,8,9,10)/100)^(ArtifactsInput!$M$40-ArtifactsInput!$M$40)))/100)))*(1+(Inputs!$B$24+((C298=TRUE)*(F298-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291=TRUE)*(F291-Calc!F23))+(((IF(AND(ArtifactsInput!$M$42,((Inputs!$B$9+((C293=TRUE)*(F293-Calc!F25))+B308+(ArtifactsInput!$M$24-ArtifactsInput!$M$24)*CHOOSE(ArtifactsInput!$N$24+1,10,12,14,16,18,20)+IF(ArtifactsInput!$M$10,CHOOSE(ArtifactsInput!$N$10+1,15,18,21,24,27,30)*(IF(Inputs!$B$39="pvp",MIN(15,15)/15,IF(AND(Inputs!$B$39&lt;&gt;"pvp",Inputs!$B$44&gt;0),MIN(15,Inputs!$B$44)/(Inputs!$B$44),0))),0)))&gt;=100),MIN(100,((Inputs!$B$9+((C293=TRUE)*(F293-Calc!F25))+B308+(ArtifactsInput!$M$24-ArtifactsInput!$M$24)*CHOOSE(ArtifactsInput!$N$24+1,10,12,14,16,18,20)+IF(ArtifactsInput!$M$10,CHOOSE(ArtifactsInput!$N$10+1,15,18,21,24,27,30)*(IF(Inputs!$B$39="pvp",MIN(15,15)/15,IF(AND(Inputs!$B$39&lt;&gt;"pvp",Inputs!$B$44&gt;0),MIN(15,Inputs!$B$44)/(Inputs!$B$44),0))),0)))-100),0))*CHOOSE(ArtifactsInput!$N$42+1,0.6,0.72,0.84,0.96,1.08,1.2))),Inputs!$B$18+((C297=TRUE)*(F297-Calc!F29))+(IF(AND(ArtifactsInput!$M$42,((Inputs!$B$9+((C293=TRUE)*(F293-Calc!F25))+B308+(ArtifactsInput!$M$24-ArtifactsInput!$M$24)*CHOOSE(ArtifactsInput!$N$24+1,10,12,14,16,18,20)+IF(ArtifactsInput!$M$10,CHOOSE(ArtifactsInput!$N$10+1,15,18,21,24,27,30)*(IF(Inputs!$B$39="pvp",MIN(15,15)/15,IF(AND(Inputs!$B$39&lt;&gt;"pvp",Inputs!$B$44&gt;0),MIN(15,Inputs!$B$44)/(Inputs!$B$44),0))),0)))&gt;=100),CHOOSE(ArtifactsInput!$N$42+1,40,48,56,64,72,80),0))))/100)*(((1+(((C289=TRUE)*F289*IF(AND(Inputs!$B$39&lt;&gt;"pvp",Inputs!$B$44&gt;0),(((R289-1)*(Skills!Y21*(1+Inputs!$B$34/100))+MIN((Skills!Y21*(1+Inputs!$B$34/100)),MAX(0,Inputs!$B$44-((R289-1)*Skills!D21))))/Inputs!$B$44),IF(Inputs!$B$39="pvp",MIN((Skills!Y21*(1+Inputs!$B$34/100)),15)/15,(Skills!Y21*(1+Inputs!$B$34/100))/Skills!D21)))+((C296=TRUE)*(F296-Calc!F28))+((C286=TRUE)*(F286-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TRUE)*F283*IF(AND(Inputs!$B$39&lt;&gt;"pvp",Inputs!$B$44&gt;0),(((R283-1)*(Skills!Y15*(1+Inputs!$B$34/100))+MIN((Skills!Y15*(1+Inputs!$B$34/100)),MAX(0,Inputs!$B$44-((R283-1)*Skills!D15))))/Inputs!$B$44),IF(Inputs!$B$39="pvp",MIN((Skills!Y15*(1+Inputs!$B$34/100)),15)/15,(Skills!Y15*(1+Inputs!$B$34/100))/Skills!D15)))/100)*(1+((C274=TRUE)*F274*B302)/100))*B310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273)</f>
        <v/>
      </c>
      <c r="L273">
        <f>K273*(MIN(Inputs!$B$22+((C292=TRUE)*(F292-Calc!F24)),(Inputs!$B$23+0+(IF(ArtifactsInput!$M$15,CHOOSE(ArtifactsInput!$N$15+1,25,30,35,40,45,50)/100*(Inputs!$B$11-Inputs!$B$11),0))))/100+(Inputs!$B$23+0+(IF(ArtifactsInput!$M$15,CHOOSE(ArtifactsInput!$N$15+1,25,30,35,40,45,50)/100*(Inputs!$B$11-Inputs!$B$11),0)))/100)/2</f>
        <v/>
      </c>
      <c r="M273">
        <f>L273*(1+(Inputs!$B$10+((C294=TRUE)*(F294-Calc!F26))+B311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3">
        <f>L273*(1-MIN((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273*(MIN((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3">
        <f>(1-Summary!$B$11)*T273+Summary!$B$11*V273</f>
        <v/>
      </c>
      <c r="P273">
        <f>IF(B312=0,0,O273/B312)</f>
        <v/>
      </c>
      <c r="Q273">
        <f>IFERROR(1/IF(Inputs!$B$39="pvp",15,MAX(0.1,Skills!D5-IF(Skills!E5=TRUE,Inputs!$B$32,0))),0)</f>
        <v/>
      </c>
      <c r="R273">
        <f>IF(AND(Inputs!$B$39&lt;&gt;"pvp",Inputs!$B$44&gt;0),IF(MAX(0,Inputs!$B$44-B313)&lt;=0,0,(INT(MAX(0,Inputs!$B$44-B313)/IF(Inputs!$B$39="pvp",15,MAX(0.1,Skills!D5-IF(Skills!E5=TRUE,Inputs!$B$32,0))))+1)),0)</f>
        <v/>
      </c>
      <c r="S273">
        <f>IFERROR(O273/N273,0)</f>
        <v/>
      </c>
      <c r="T273">
        <f>IF(C273,(H273*N273*IF(AND(Inputs!$B$39&lt;&gt;"pvp",Inputs!$B$44&gt;0),((Skills!G5*((R273-1)*IF(Skills!H5&gt;0,Skills!I5/Skills!H5,1)+IF(Skills!H5&gt;0,MIN(Skills!I5,MAX(0,MAX(0,Inputs!$B$44-B313)-((R273-1)*IF(Inputs!$B$39="pvp",15,MAX(0.1,Skills!D5-IF(Skills!E5=TRUE,Inputs!$B$32,0))))))/Skills!H5,1)))/Inputs!$B$44),G273*Q273))*IF(Inputs!$B$39="pvp",1,1+(Inputs!$B$20+((C295=TRUE)*(F295-Calc!F27))+Skills!P5+B309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Hunt"),CHOOSE(ArtifactsInput!$N$35+1,15,18,21,24,27,30)*(1-EXP(-(0.2*B304)*5)),0)+IF(AND(ArtifactsInput!$M$22,Inputs!$B$4&lt;&gt;"Chapter Hunt"),CHOOSE(ArtifactsInput!$N$22+1,10,12,14,16,18,20)*((0*(((0.15*B304*5))^0/1)+1*(((0.15*B304*5))^1/1)+2*(((0.15*B304*5))^2/2)+3*(((0.15*B304*5))^3/6)+4*(((0.15*B304*5))^4/24)+5*(((0.15*B304*5))^5/120))/((((0.15*B304*5))^0/1)+(((0.15*B304*5))^1/1)+(((0.15*B304*5))^2/2)+(((0.15*B304*5))^3/6)+(((0.15*B304*5))^4/24)+(((0.15*B304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273*(1-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273*(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273*(1-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273*(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3">
        <f>INDEX(FactorTable!$B$2:$Y$301, MATCH(ROUND(MIN(300,MAX(1,U272)),0), FactorTable!$A$2:$A$301,0), 22)</f>
        <v/>
      </c>
      <c r="V273">
        <f>IF(C273,(H273*N273*IF(AND(Inputs!$B$39&lt;&gt;"pvp",Inputs!$B$44&gt;0),((Skills!G5*((R273-1)*IF(Skills!H5&gt;0,Skills!I5/Skills!H5,1)+IF(Skills!H5&gt;0,MIN(Skills!I5,MAX(0,MAX(0,Inputs!$B$44-B313)-((R273-1)*IF(Inputs!$B$39="pvp",15,MAX(0.1,Skills!D5-IF(Skills!E5=TRUE,Inputs!$B$32,0))))))/Skills!H5,1)))/Inputs!$B$44),G273*Q273))*IF(Inputs!$B$39="pvp",1,(1+(Inputs!$B$21+Skills!Q5+B309+(IF(ArtifactsInput!$M$33,CHOOSE(ArtifactsInput!$N$33+1,30,36,42,48,54,60),0))+(IF(AND(ArtifactsInput!$M$35,Inputs!$B$4&lt;&gt;"Chapter Hunt"),CHOOSE(ArtifactsInput!$N$35+1,15,18,21,24,27,30)*(1-EXP(-(0.2*B304)*5)),0)+IF(AND(ArtifactsInput!$M$22,Inputs!$B$4&lt;&gt;"Chapter Hunt"),CHOOSE(ArtifactsInput!$N$22+1,10,12,14,16,18,20)*((0*(((0.15*B304*5))^0/1)+1*(((0.15*B304*5))^1/1)+2*(((0.15*B304*5))^2/2)+3*(((0.15*B304*5))^3/6)+4*(((0.15*B304*5))^4/24)+5*(((0.15*B304*5))^5/120))/((((0.15*B304*5))^0/1)+(((0.15*B304*5))^1/1)+(((0.15*B304*5))^2/2)+(((0.15*B304*5))^3/6)+(((0.15*B304*5))^4/24)+(((0.15*B304*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4">
      <c r="A274">
        <f>Skills!A6</f>
        <v/>
      </c>
      <c r="B274">
        <f>Skills!B6</f>
        <v/>
      </c>
      <c r="C274">
        <f>Inputs!$B$3&gt;=66</f>
        <v/>
      </c>
      <c r="D274">
        <f>IF(Skills!C6=1,60+Inputs!$B$25+Inputs!$B$29,IF(Skills!C6=2,90+Inputs!$B$26+Inputs!$B$29,IF(Skills!C6=3,120+Inputs!$B$27+Inputs!$B$29,MAX(0,(Inputs!$B$3-100)*3)+Inputs!$B$28+Inputs!$B$29)))</f>
        <v/>
      </c>
      <c r="E274">
        <f>INDEX(FactorTable!$B$2:$Y$301, MATCH(ROUND(MIN(300,MAX(1,D274)),0), FactorTable!$A$2:$A$301,0), Skills!M6+1)</f>
        <v/>
      </c>
      <c r="F274">
        <f>IF(Skills!N6=TRUE,(Skills!L6/10)*(E274/1000),Skills!L6/10)+Skills!O6</f>
        <v/>
      </c>
      <c r="G274">
        <f>Calc!G6</f>
        <v/>
      </c>
      <c r="H274">
        <f>Calc!H6</f>
        <v/>
      </c>
      <c r="I274">
        <f>IF(Skills!AA6&lt;&gt;"",1+(Skills!AA6/10)*(U271/1000)/100,1)</f>
        <v/>
      </c>
      <c r="J274" t="inlineStr"/>
      <c r="K274" t="inlineStr"/>
      <c r="L274" t="inlineStr"/>
      <c r="M274" t="inlineStr"/>
      <c r="N274" t="inlineStr"/>
      <c r="O274">
        <f>(1-Summary!$B$11)*T274+Summary!$B$11*V274</f>
        <v/>
      </c>
      <c r="P274">
        <f>IF(B312=0,0,O274/B312)</f>
        <v/>
      </c>
      <c r="Q274" t="n">
        <v>0</v>
      </c>
      <c r="R274" t="n">
        <v>0</v>
      </c>
      <c r="S274">
        <f>IFERROR(O274/N274,0)</f>
        <v/>
      </c>
      <c r="T274" t="n">
        <v>0</v>
      </c>
      <c r="U274">
        <f>290*U273/1000</f>
        <v/>
      </c>
      <c r="V274" t="n">
        <v>0</v>
      </c>
    </row>
    <row r="275">
      <c r="A275">
        <f>Skills!A7</f>
        <v/>
      </c>
      <c r="B275">
        <f>Skills!B7</f>
        <v/>
      </c>
      <c r="C275">
        <f>Inputs!$B$3&gt;=66</f>
        <v/>
      </c>
      <c r="D275">
        <f>IF(Skills!C7=1,60+Inputs!$B$25+Inputs!$B$29,IF(Skills!C7=2,90+Inputs!$B$26+Inputs!$B$29,IF(Skills!C7=3,120+Inputs!$B$27+Inputs!$B$29,MAX(0,(Inputs!$B$3-100)*3)+Inputs!$B$28+Inputs!$B$29)))</f>
        <v/>
      </c>
      <c r="E275">
        <f>INDEX(FactorTable!$B$2:$Y$301, MATCH(ROUND(MIN(300,MAX(1,D275)),0), FactorTable!$A$2:$A$301,0), Skills!M7+1)</f>
        <v/>
      </c>
      <c r="F275">
        <f>IF(Skills!N7=TRUE,(Skills!L7/10)*(E275/1000),Skills!L7/10)+Skills!O7</f>
        <v/>
      </c>
      <c r="G275">
        <f>Calc!G7</f>
        <v/>
      </c>
      <c r="H275">
        <f>Calc!H7</f>
        <v/>
      </c>
      <c r="I275">
        <f>IF(Skills!AA7&lt;&gt;"",1+(Skills!AA7/10)*(U271/1000)/100,1)</f>
        <v/>
      </c>
      <c r="J275" t="inlineStr"/>
      <c r="K275" t="inlineStr"/>
      <c r="L275" t="inlineStr"/>
      <c r="M275" t="inlineStr"/>
      <c r="N275" t="inlineStr"/>
      <c r="O275">
        <f>(1-Summary!$B$11)*T275+Summary!$B$11*V275</f>
        <v/>
      </c>
      <c r="P275">
        <f>IF(B312=0,0,O275/B312)</f>
        <v/>
      </c>
      <c r="Q275" t="n">
        <v>0</v>
      </c>
      <c r="R275" t="n">
        <v>0</v>
      </c>
      <c r="S275">
        <f>IFERROR(O275/N275,0)</f>
        <v/>
      </c>
      <c r="T275" t="n">
        <v>0</v>
      </c>
      <c r="V275" t="n">
        <v>0</v>
      </c>
    </row>
    <row r="276">
      <c r="A276">
        <f>Skills!A8</f>
        <v/>
      </c>
      <c r="B276">
        <f>Skills!B8</f>
        <v/>
      </c>
      <c r="C276">
        <f>Inputs!$B$3&gt;=69</f>
        <v/>
      </c>
      <c r="D276">
        <f>IF(Skills!C8=1,60+Inputs!$B$25+Inputs!$B$29,IF(Skills!C8=2,90+Inputs!$B$26+Inputs!$B$29,IF(Skills!C8=3,120+Inputs!$B$27+Inputs!$B$29,MAX(0,(Inputs!$B$3-100)*3)+Inputs!$B$28+Inputs!$B$29)))</f>
        <v/>
      </c>
      <c r="E276">
        <f>INDEX(FactorTable!$B$2:$Y$301, MATCH(ROUND(MIN(300,MAX(1,D276)),0), FactorTable!$A$2:$A$301,0), Skills!M8+1)</f>
        <v/>
      </c>
      <c r="F276">
        <f>IF(Skills!N8=TRUE,(Skills!L8/10)*(E276/1000),Skills!L8/10)+Skills!O8</f>
        <v/>
      </c>
      <c r="G276">
        <f>Calc!G8</f>
        <v/>
      </c>
      <c r="H276">
        <f>Calc!H8</f>
        <v/>
      </c>
      <c r="I276">
        <f>IF(Skills!AA8&lt;&gt;"",1+(Skills!AA8/10)*(U271/1000)/100,1)</f>
        <v/>
      </c>
      <c r="J276">
        <f>((Inputs!$B$6*(1+Inputs!$B$7/100))+(((Inputs!$B$12*(1+Inputs!$B$13/100))-(Inputs!$B$12*(1+Inputs!$B$13/100)))+0.25*(Inputs!$B$14-Inputs!$B$14))*(1+Inputs!$B$7/100))*(F276/100)</f>
        <v/>
      </c>
      <c r="K276">
        <f>J276*(1+((Inputs!$B$12*(1+Inputs!$B$13/100))*0.01+Inputs!$B$14*0.0025)/100)*(1+Inputs!$B$15/100)*(1+(Inputs!$B$16+1)/100)*(5000/(6000+Inputs!$B$43*(1-(100*(1-(1-(Inputs!$B$19+0)/100)*(1-CHOOSE(ArtifactsInput!$N$40+1,5,6,7,8,9,10)/100)^(ArtifactsInput!$M$40-ArtifactsInput!$M$40)))/100)))*(1+(Inputs!$B$24+((C298=TRUE)*(F298-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291=TRUE)*(F291-Calc!F23))+(((IF(AND(ArtifactsInput!$M$42,((Inputs!$B$9+((C293=TRUE)*(F293-Calc!F25))+B308+(ArtifactsInput!$M$24-ArtifactsInput!$M$24)*CHOOSE(ArtifactsInput!$N$24+1,10,12,14,16,18,20)+IF(ArtifactsInput!$M$10,CHOOSE(ArtifactsInput!$N$10+1,15,18,21,24,27,30)*(IF(Inputs!$B$39="pvp",MIN(15,15)/15,IF(AND(Inputs!$B$39&lt;&gt;"pvp",Inputs!$B$44&gt;0),MIN(15,Inputs!$B$44)/(Inputs!$B$44),0))),0)))&gt;=100),MIN(100,((Inputs!$B$9+((C293=TRUE)*(F293-Calc!F25))+B308+(ArtifactsInput!$M$24-ArtifactsInput!$M$24)*CHOOSE(ArtifactsInput!$N$24+1,10,12,14,16,18,20)+IF(ArtifactsInput!$M$10,CHOOSE(ArtifactsInput!$N$10+1,15,18,21,24,27,30)*(IF(Inputs!$B$39="pvp",MIN(15,15)/15,IF(AND(Inputs!$B$39&lt;&gt;"pvp",Inputs!$B$44&gt;0),MIN(15,Inputs!$B$44)/(Inputs!$B$44),0))),0)))-100),0))*CHOOSE(ArtifactsInput!$N$42+1,0.6,0.72,0.84,0.96,1.08,1.2))),Inputs!$B$18+((C297=TRUE)*(F297-Calc!F29))+(IF(AND(ArtifactsInput!$M$42,((Inputs!$B$9+((C293=TRUE)*(F293-Calc!F25))+B308+(ArtifactsInput!$M$24-ArtifactsInput!$M$24)*CHOOSE(ArtifactsInput!$N$24+1,10,12,14,16,18,20)+IF(ArtifactsInput!$M$10,CHOOSE(ArtifactsInput!$N$10+1,15,18,21,24,27,30)*(IF(Inputs!$B$39="pvp",MIN(15,15)/15,IF(AND(Inputs!$B$39&lt;&gt;"pvp",Inputs!$B$44&gt;0),MIN(15,Inputs!$B$44)/(Inputs!$B$44),0))),0)))&gt;=100),CHOOSE(ArtifactsInput!$N$42+1,40,48,56,64,72,80),0))))/100)*(((1+(((C289=TRUE)*F289*IF(AND(Inputs!$B$39&lt;&gt;"pvp",Inputs!$B$44&gt;0),(((R289-1)*(Skills!Y21*(1+Inputs!$B$34/100))+MIN((Skills!Y21*(1+Inputs!$B$34/100)),MAX(0,Inputs!$B$44-((R289-1)*Skills!D21))))/Inputs!$B$44),IF(Inputs!$B$39="pvp",MIN((Skills!Y21*(1+Inputs!$B$34/100)),15)/15,(Skills!Y21*(1+Inputs!$B$34/100))/Skills!D21)))+((C296=TRUE)*(F296-Calc!F28))+((C286=TRUE)*(F286-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TRUE)*F283*IF(AND(Inputs!$B$39&lt;&gt;"pvp",Inputs!$B$44&gt;0),(((R283-1)*(Skills!Y15*(1+Inputs!$B$34/100))+MIN((Skills!Y15*(1+Inputs!$B$34/100)),MAX(0,Inputs!$B$44-((R283-1)*Skills!D15))))/Inputs!$B$44),IF(Inputs!$B$39="pvp",MIN((Skills!Y15*(1+Inputs!$B$34/100)),15)/15,(Skills!Y15*(1+Inputs!$B$34/100))/Skills!D15)))/100)*(1+((C274=TRUE)*F274*B302)/100))*B310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276)</f>
        <v/>
      </c>
      <c r="L276">
        <f>K276*(MIN(Inputs!$B$22+((C292=TRUE)*(F292-Calc!F24)),(Inputs!$B$23+0+(IF(ArtifactsInput!$M$15,CHOOSE(ArtifactsInput!$N$15+1,25,30,35,40,45,50)/100*(Inputs!$B$11-Inputs!$B$11),0))))/100+(Inputs!$B$23+0+(IF(ArtifactsInput!$M$15,CHOOSE(ArtifactsInput!$N$15+1,25,30,35,40,45,50)/100*(Inputs!$B$11-Inputs!$B$11),0)))/100)/2</f>
        <v/>
      </c>
      <c r="M276">
        <f>L276*(1+(Inputs!$B$10+((C294=TRUE)*(F294-Calc!F26))+B311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6">
        <f>L276*(1-MIN((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276*(MIN((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6">
        <f>(1-Summary!$B$11)*T276+Summary!$B$11*V276</f>
        <v/>
      </c>
      <c r="P276">
        <f>IF(B312=0,0,O276/B312)</f>
        <v/>
      </c>
      <c r="Q276">
        <f>IFERROR(1/IF(Inputs!$B$39="pvp",15,MAX(0.1,Skills!D8-IF(Skills!E8=TRUE,Inputs!$B$32,0))),0)</f>
        <v/>
      </c>
      <c r="R276">
        <f>IF(AND(Inputs!$B$39&lt;&gt;"pvp",Inputs!$B$44&gt;0),IF(MAX(0,Inputs!$B$44-B313)&lt;=0,0,(INT(MAX(0,Inputs!$B$44-B313)/IF(Inputs!$B$39="pvp",15,MAX(0.1,Skills!D8-IF(Skills!E8=TRUE,Inputs!$B$32,0))))+1)),0)</f>
        <v/>
      </c>
      <c r="S276">
        <f>IFERROR(O276/N276,0)</f>
        <v/>
      </c>
      <c r="T276">
        <f>IF(C276,(H276*N276*IF(AND(Inputs!$B$39&lt;&gt;"pvp",Inputs!$B$44&gt;0),((Skills!G8*((R276-1)*IF(Skills!H8&gt;0,Skills!I8/Skills!H8,1)+IF(Skills!H8&gt;0,MIN(Skills!I8,MAX(0,MAX(0,Inputs!$B$44-B313)-((R276-1)*IF(Inputs!$B$39="pvp",15,MAX(0.1,Skills!D8-IF(Skills!E8=TRUE,Inputs!$B$32,0))))))/Skills!H8,1)))/Inputs!$B$44),G276*Q276))*IF(Inputs!$B$39="pvp",1,1+(Inputs!$B$20+((C295=TRUE)*(F295-Calc!F27))+Skills!P8+B309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Hunt"),CHOOSE(ArtifactsInput!$N$35+1,15,18,21,24,27,30)*(1-EXP(-(0.2*B304)*5)),0)+IF(AND(ArtifactsInput!$M$22,Inputs!$B$4&lt;&gt;"Chapter Hunt"),CHOOSE(ArtifactsInput!$N$22+1,10,12,14,16,18,20)*((0*(((0.15*B304*5))^0/1)+1*(((0.15*B304*5))^1/1)+2*(((0.15*B304*5))^2/2)+3*(((0.15*B304*5))^3/6)+4*(((0.15*B304*5))^4/24)+5*(((0.15*B304*5))^5/120))/((((0.15*B304*5))^0/1)+(((0.15*B304*5))^1/1)+(((0.15*B304*5))^2/2)+(((0.15*B304*5))^3/6)+(((0.15*B304*5))^4/24)+(((0.15*B304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276*(1-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276*(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276*(1-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276*(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6">
        <f>IF(C276,(H276*N276*IF(AND(Inputs!$B$39&lt;&gt;"pvp",Inputs!$B$44&gt;0),((Skills!G8*((R276-1)*IF(Skills!H8&gt;0,Skills!I8/Skills!H8,1)+IF(Skills!H8&gt;0,MIN(Skills!I8,MAX(0,MAX(0,Inputs!$B$44-B313)-((R276-1)*IF(Inputs!$B$39="pvp",15,MAX(0.1,Skills!D8-IF(Skills!E8=TRUE,Inputs!$B$32,0))))))/Skills!H8,1)))/Inputs!$B$44),G276*Q276))*IF(Inputs!$B$39="pvp",1,(1+(Inputs!$B$21+Skills!Q8+B309+(IF(ArtifactsInput!$M$33,CHOOSE(ArtifactsInput!$N$33+1,30,36,42,48,54,60),0))+(IF(AND(ArtifactsInput!$M$35,Inputs!$B$4&lt;&gt;"Chapter Hunt"),CHOOSE(ArtifactsInput!$N$35+1,15,18,21,24,27,30)*(1-EXP(-(0.2*B304)*5)),0)+IF(AND(ArtifactsInput!$M$22,Inputs!$B$4&lt;&gt;"Chapter Hunt"),CHOOSE(ArtifactsInput!$N$22+1,10,12,14,16,18,20)*((0*(((0.15*B304*5))^0/1)+1*(((0.15*B304*5))^1/1)+2*(((0.15*B304*5))^2/2)+3*(((0.15*B304*5))^3/6)+4*(((0.15*B304*5))^4/24)+5*(((0.15*B304*5))^5/120))/((((0.15*B304*5))^0/1)+(((0.15*B304*5))^1/1)+(((0.15*B304*5))^2/2)+(((0.15*B304*5))^3/6)+(((0.15*B304*5))^4/24)+(((0.15*B304*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7">
      <c r="A277">
        <f>Skills!A9</f>
        <v/>
      </c>
      <c r="B277">
        <f>Skills!B9</f>
        <v/>
      </c>
      <c r="C277">
        <f>Inputs!$B$3&gt;=72</f>
        <v/>
      </c>
      <c r="D277">
        <f>IF(Skills!C9=1,60+Inputs!$B$25+Inputs!$B$29,IF(Skills!C9=2,90+Inputs!$B$26+Inputs!$B$29,IF(Skills!C9=3,120+Inputs!$B$27+Inputs!$B$29,MAX(0,(Inputs!$B$3-100)*3)+Inputs!$B$28+Inputs!$B$29)))</f>
        <v/>
      </c>
      <c r="E277">
        <f>INDEX(FactorTable!$B$2:$Y$301, MATCH(ROUND(MIN(300,MAX(1,D277)),0), FactorTable!$A$2:$A$301,0), Skills!M9+1)</f>
        <v/>
      </c>
      <c r="F277">
        <f>IF(Skills!N9=TRUE,(Skills!L9/10)*(E277/1000),Skills!L9/10)+Skills!O9</f>
        <v/>
      </c>
      <c r="G277">
        <f>Calc!G9</f>
        <v/>
      </c>
      <c r="H277">
        <f>Calc!H9</f>
        <v/>
      </c>
      <c r="I277">
        <f>IF(Skills!AA9&lt;&gt;"",1+(Skills!AA9/10)*(U271/1000)/100,1)</f>
        <v/>
      </c>
      <c r="J277">
        <f>((Inputs!$B$6*(1+Inputs!$B$7/100))+(((Inputs!$B$12*(1+Inputs!$B$13/100))-(Inputs!$B$12*(1+Inputs!$B$13/100)))+0.25*(Inputs!$B$14-Inputs!$B$14))*(1+Inputs!$B$7/100))*(F277/100)</f>
        <v/>
      </c>
      <c r="K277">
        <f>J277*(1+((Inputs!$B$12*(1+Inputs!$B$13/100))*0.01+Inputs!$B$14*0.0025)/100)*(1+Inputs!$B$15/100)*(1+(Inputs!$B$16+1)/100)*(5000/(6000+Inputs!$B$43*(1-(100*(1-(1-(Inputs!$B$19+0)/100)*(1-CHOOSE(ArtifactsInput!$N$40+1,5,6,7,8,9,10)/100)^(ArtifactsInput!$M$40-ArtifactsInput!$M$40)))/100)))*(1+(Inputs!$B$24+((C298=TRUE)*(F298-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291=TRUE)*(F291-Calc!F23))+(((IF(AND(ArtifactsInput!$M$42,((Inputs!$B$9+((C293=TRUE)*(F293-Calc!F25))+B308+(ArtifactsInput!$M$24-ArtifactsInput!$M$24)*CHOOSE(ArtifactsInput!$N$24+1,10,12,14,16,18,20)+IF(ArtifactsInput!$M$10,CHOOSE(ArtifactsInput!$N$10+1,15,18,21,24,27,30)*(IF(Inputs!$B$39="pvp",MIN(15,15)/15,IF(AND(Inputs!$B$39&lt;&gt;"pvp",Inputs!$B$44&gt;0),MIN(15,Inputs!$B$44)/(Inputs!$B$44),0))),0)))&gt;=100),MIN(100,((Inputs!$B$9+((C293=TRUE)*(F293-Calc!F25))+B308+(ArtifactsInput!$M$24-ArtifactsInput!$M$24)*CHOOSE(ArtifactsInput!$N$24+1,10,12,14,16,18,20)+IF(ArtifactsInput!$M$10,CHOOSE(ArtifactsInput!$N$10+1,15,18,21,24,27,30)*(IF(Inputs!$B$39="pvp",MIN(15,15)/15,IF(AND(Inputs!$B$39&lt;&gt;"pvp",Inputs!$B$44&gt;0),MIN(15,Inputs!$B$44)/(Inputs!$B$44),0))),0)))-100),0))*CHOOSE(ArtifactsInput!$N$42+1,0.6,0.72,0.84,0.96,1.08,1.2))),Inputs!$B$18+((C297=TRUE)*(F297-Calc!F29))+(IF(AND(ArtifactsInput!$M$42,((Inputs!$B$9+((C293=TRUE)*(F293-Calc!F25))+B308+(ArtifactsInput!$M$24-ArtifactsInput!$M$24)*CHOOSE(ArtifactsInput!$N$24+1,10,12,14,16,18,20)+IF(ArtifactsInput!$M$10,CHOOSE(ArtifactsInput!$N$10+1,15,18,21,24,27,30)*(IF(Inputs!$B$39="pvp",MIN(15,15)/15,IF(AND(Inputs!$B$39&lt;&gt;"pvp",Inputs!$B$44&gt;0),MIN(15,Inputs!$B$44)/(Inputs!$B$44),0))),0)))&gt;=100),CHOOSE(ArtifactsInput!$N$42+1,40,48,56,64,72,80),0))))/100)*(((1+(((C289=TRUE)*F289*IF(AND(Inputs!$B$39&lt;&gt;"pvp",Inputs!$B$44&gt;0),(((R289-1)*(Skills!Y21*(1+Inputs!$B$34/100))+MIN((Skills!Y21*(1+Inputs!$B$34/100)),MAX(0,Inputs!$B$44-((R289-1)*Skills!D21))))/Inputs!$B$44),IF(Inputs!$B$39="pvp",MIN((Skills!Y21*(1+Inputs!$B$34/100)),15)/15,(Skills!Y21*(1+Inputs!$B$34/100))/Skills!D21)))+((C296=TRUE)*(F296-Calc!F28))+((C286=TRUE)*(F286-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TRUE)*F283*IF(AND(Inputs!$B$39&lt;&gt;"pvp",Inputs!$B$44&gt;0),(((R283-1)*(Skills!Y15*(1+Inputs!$B$34/100))+MIN((Skills!Y15*(1+Inputs!$B$34/100)),MAX(0,Inputs!$B$44-((R283-1)*Skills!D15))))/Inputs!$B$44),IF(Inputs!$B$39="pvp",MIN((Skills!Y15*(1+Inputs!$B$34/100)),15)/15,(Skills!Y15*(1+Inputs!$B$34/100))/Skills!D15)))/100)*(1+((C274=TRUE)*F274*B302)/100))*B310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277)</f>
        <v/>
      </c>
      <c r="L277">
        <f>K277*(MIN(Inputs!$B$22+((C292=TRUE)*(F292-Calc!F24)),(Inputs!$B$23+0+(IF(ArtifactsInput!$M$15,CHOOSE(ArtifactsInput!$N$15+1,25,30,35,40,45,50)/100*(Inputs!$B$11-Inputs!$B$11),0))))/100+(Inputs!$B$23+0+(IF(ArtifactsInput!$M$15,CHOOSE(ArtifactsInput!$N$15+1,25,30,35,40,45,50)/100*(Inputs!$B$11-Inputs!$B$11),0)))/100)/2</f>
        <v/>
      </c>
      <c r="M277">
        <f>L277*(1+(Inputs!$B$10+((C294=TRUE)*(F294-Calc!F26))+B311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7">
        <f>L277*(1-MIN((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277*(MIN((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7">
        <f>(1-Summary!$B$11)*T277+Summary!$B$11*V277</f>
        <v/>
      </c>
      <c r="P277">
        <f>IF(B312=0,0,O277/B312)</f>
        <v/>
      </c>
      <c r="Q277">
        <f>IFERROR(1/IF(Inputs!$B$39="pvp",15,MAX(0.1,Skills!D9-IF(Skills!E9=TRUE,Inputs!$B$32,0))),0)</f>
        <v/>
      </c>
      <c r="R277">
        <f>IF(AND(Inputs!$B$39&lt;&gt;"pvp",Inputs!$B$44&gt;0),IF(MAX(0,Inputs!$B$44-B313)&lt;=0,0,(INT(MAX(0,Inputs!$B$44-B313)/IF(Inputs!$B$39="pvp",15,MAX(0.1,Skills!D9-IF(Skills!E9=TRUE,Inputs!$B$32,0))))+1)),0)</f>
        <v/>
      </c>
      <c r="S277">
        <f>IFERROR(O277/N277,0)</f>
        <v/>
      </c>
      <c r="T277">
        <f>IF(C277,(H277*N277*IF(AND(Inputs!$B$39&lt;&gt;"pvp",Inputs!$B$44&gt;0),((Skills!G9*((R277-1)*IF(Skills!H9&gt;0,Skills!I9/Skills!H9,1)+IF(Skills!H9&gt;0,MIN(Skills!I9,MAX(0,MAX(0,Inputs!$B$44-B313)-((R277-1)*IF(Inputs!$B$39="pvp",15,MAX(0.1,Skills!D9-IF(Skills!E9=TRUE,Inputs!$B$32,0))))))/Skills!H9,1)))/Inputs!$B$44),G277*Q277))*IF(Inputs!$B$39="pvp",1,1+(Inputs!$B$20+((C295=TRUE)*(F295-Calc!F27))+Skills!P9+B309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Hunt"),CHOOSE(ArtifactsInput!$N$35+1,15,18,21,24,27,30)*(1-EXP(-(0.2*B304)*5)),0)+IF(AND(ArtifactsInput!$M$22,Inputs!$B$4&lt;&gt;"Chapter Hunt"),CHOOSE(ArtifactsInput!$N$22+1,10,12,14,16,18,20)*((0*(((0.15*B304*5))^0/1)+1*(((0.15*B304*5))^1/1)+2*(((0.15*B304*5))^2/2)+3*(((0.15*B304*5))^3/6)+4*(((0.15*B304*5))^4/24)+5*(((0.15*B304*5))^5/120))/((((0.15*B304*5))^0/1)+(((0.15*B304*5))^1/1)+(((0.15*B304*5))^2/2)+(((0.15*B304*5))^3/6)+(((0.15*B304*5))^4/24)+(((0.15*B304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277*(1-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277*(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277*(1-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277*(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7">
        <f>IF(C277,(H277*N277*IF(AND(Inputs!$B$39&lt;&gt;"pvp",Inputs!$B$44&gt;0),((Skills!G9*((R277-1)*IF(Skills!H9&gt;0,Skills!I9/Skills!H9,1)+IF(Skills!H9&gt;0,MIN(Skills!I9,MAX(0,MAX(0,Inputs!$B$44-B313)-((R277-1)*IF(Inputs!$B$39="pvp",15,MAX(0.1,Skills!D9-IF(Skills!E9=TRUE,Inputs!$B$32,0))))))/Skills!H9,1)))/Inputs!$B$44),G277*Q277))*IF(Inputs!$B$39="pvp",1,(1+(Inputs!$B$21+Skills!Q9+B309+(IF(ArtifactsInput!$M$33,CHOOSE(ArtifactsInput!$N$33+1,30,36,42,48,54,60),0))+(IF(AND(ArtifactsInput!$M$35,Inputs!$B$4&lt;&gt;"Chapter Hunt"),CHOOSE(ArtifactsInput!$N$35+1,15,18,21,24,27,30)*(1-EXP(-(0.2*B304)*5)),0)+IF(AND(ArtifactsInput!$M$22,Inputs!$B$4&lt;&gt;"Chapter Hunt"),CHOOSE(ArtifactsInput!$N$22+1,10,12,14,16,18,20)*((0*(((0.15*B304*5))^0/1)+1*(((0.15*B304*5))^1/1)+2*(((0.15*B304*5))^2/2)+3*(((0.15*B304*5))^3/6)+4*(((0.15*B304*5))^4/24)+5*(((0.15*B304*5))^5/120))/((((0.15*B304*5))^0/1)+(((0.15*B304*5))^1/1)+(((0.15*B304*5))^2/2)+(((0.15*B304*5))^3/6)+(((0.15*B304*5))^4/24)+(((0.15*B304*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8">
      <c r="A278">
        <f>Skills!A10</f>
        <v/>
      </c>
      <c r="B278">
        <f>Skills!B10</f>
        <v/>
      </c>
      <c r="C278">
        <f>Inputs!$B$3&gt;=117</f>
        <v/>
      </c>
      <c r="D278">
        <f>IF(Skills!C10=1,60+Inputs!$B$25+Inputs!$B$29,IF(Skills!C10=2,90+Inputs!$B$26+Inputs!$B$29,IF(Skills!C10=3,120+Inputs!$B$27+Inputs!$B$29,MAX(0,(Inputs!$B$3-100)*3)+Inputs!$B$28+Inputs!$B$29)))</f>
        <v/>
      </c>
      <c r="E278">
        <f>INDEX(FactorTable!$B$2:$Y$301, MATCH(ROUND(MIN(300,MAX(1,D278)),0), FactorTable!$A$2:$A$301,0), Skills!M10+1)</f>
        <v/>
      </c>
      <c r="F278">
        <f>IF(Skills!N10=TRUE,(Skills!L10/10)*(E278/1000),Skills!L10/10)+Skills!O10</f>
        <v/>
      </c>
      <c r="G278">
        <f>Calc!G10</f>
        <v/>
      </c>
      <c r="H278">
        <f>Calc!H10</f>
        <v/>
      </c>
      <c r="I278">
        <f>IF(Skills!AA10&lt;&gt;"",1+(Skills!AA10/10)*(U271/1000)/100,1)</f>
        <v/>
      </c>
      <c r="J278">
        <f>((Inputs!$B$6*(1+Inputs!$B$7/100))+(((Inputs!$B$12*(1+Inputs!$B$13/100))-(Inputs!$B$12*(1+Inputs!$B$13/100)))+0.25*(Inputs!$B$14-Inputs!$B$14))*(1+Inputs!$B$7/100))*(F278/100)</f>
        <v/>
      </c>
      <c r="K278">
        <f>J278*(1+((Inputs!$B$12*(1+Inputs!$B$13/100))*0.01+Inputs!$B$14*0.0025)/100)*(1+Inputs!$B$15/100)*(1+(Inputs!$B$16+1)/100)*(5000/(6000+Inputs!$B$43*(1-(100*(1-(1-(Inputs!$B$19+0)/100)*(1-CHOOSE(ArtifactsInput!$N$40+1,5,6,7,8,9,10)/100)^(ArtifactsInput!$M$40-ArtifactsInput!$M$40)))/100)))*(1+(Inputs!$B$24+((C298=TRUE)*(F298-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291=TRUE)*(F291-Calc!F23))+(((IF(AND(ArtifactsInput!$M$42,((Inputs!$B$9+((C293=TRUE)*(F293-Calc!F25))+B308+(ArtifactsInput!$M$24-ArtifactsInput!$M$24)*CHOOSE(ArtifactsInput!$N$24+1,10,12,14,16,18,20)+IF(ArtifactsInput!$M$10,CHOOSE(ArtifactsInput!$N$10+1,15,18,21,24,27,30)*(IF(Inputs!$B$39="pvp",MIN(15,15)/15,IF(AND(Inputs!$B$39&lt;&gt;"pvp",Inputs!$B$44&gt;0),MIN(15,Inputs!$B$44)/(Inputs!$B$44),0))),0)))&gt;=100),MIN(100,((Inputs!$B$9+((C293=TRUE)*(F293-Calc!F25))+B308+(ArtifactsInput!$M$24-ArtifactsInput!$M$24)*CHOOSE(ArtifactsInput!$N$24+1,10,12,14,16,18,20)+IF(ArtifactsInput!$M$10,CHOOSE(ArtifactsInput!$N$10+1,15,18,21,24,27,30)*(IF(Inputs!$B$39="pvp",MIN(15,15)/15,IF(AND(Inputs!$B$39&lt;&gt;"pvp",Inputs!$B$44&gt;0),MIN(15,Inputs!$B$44)/(Inputs!$B$44),0))),0)))-100),0))*CHOOSE(ArtifactsInput!$N$42+1,0.6,0.72,0.84,0.96,1.08,1.2))),Inputs!$B$18+((C297=TRUE)*(F297-Calc!F29))+(IF(AND(ArtifactsInput!$M$42,((Inputs!$B$9+((C293=TRUE)*(F293-Calc!F25))+B308+(ArtifactsInput!$M$24-ArtifactsInput!$M$24)*CHOOSE(ArtifactsInput!$N$24+1,10,12,14,16,18,20)+IF(ArtifactsInput!$M$10,CHOOSE(ArtifactsInput!$N$10+1,15,18,21,24,27,30)*(IF(Inputs!$B$39="pvp",MIN(15,15)/15,IF(AND(Inputs!$B$39&lt;&gt;"pvp",Inputs!$B$44&gt;0),MIN(15,Inputs!$B$44)/(Inputs!$B$44),0))),0)))&gt;=100),CHOOSE(ArtifactsInput!$N$42+1,40,48,56,64,72,80),0))))/100)*(((1+(((C289=TRUE)*F289*IF(AND(Inputs!$B$39&lt;&gt;"pvp",Inputs!$B$44&gt;0),(((R289-1)*(Skills!Y21*(1+Inputs!$B$34/100))+MIN((Skills!Y21*(1+Inputs!$B$34/100)),MAX(0,Inputs!$B$44-((R289-1)*Skills!D21))))/Inputs!$B$44),IF(Inputs!$B$39="pvp",MIN((Skills!Y21*(1+Inputs!$B$34/100)),15)/15,(Skills!Y21*(1+Inputs!$B$34/100))/Skills!D21)))+((C296=TRUE)*(F296-Calc!F28))+((C286=TRUE)*(F286-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TRUE)*F283*IF(AND(Inputs!$B$39&lt;&gt;"pvp",Inputs!$B$44&gt;0),(((R283-1)*(Skills!Y15*(1+Inputs!$B$34/100))+MIN((Skills!Y15*(1+Inputs!$B$34/100)),MAX(0,Inputs!$B$44-((R283-1)*Skills!D15))))/Inputs!$B$44),IF(Inputs!$B$39="pvp",MIN((Skills!Y15*(1+Inputs!$B$34/100)),15)/15,(Skills!Y15*(1+Inputs!$B$34/100))/Skills!D15)))/100)*(1+((C274=TRUE)*F274*B302)/100))*B310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278)</f>
        <v/>
      </c>
      <c r="L278">
        <f>K278*(MIN(Inputs!$B$22+((C292=TRUE)*(F292-Calc!F24)),(Inputs!$B$23+0+(IF(ArtifactsInput!$M$15,CHOOSE(ArtifactsInput!$N$15+1,25,30,35,40,45,50)/100*(Inputs!$B$11-Inputs!$B$11),0))))/100+(Inputs!$B$23+0+(IF(ArtifactsInput!$M$15,CHOOSE(ArtifactsInput!$N$15+1,25,30,35,40,45,50)/100*(Inputs!$B$11-Inputs!$B$11),0)))/100)/2</f>
        <v/>
      </c>
      <c r="M278">
        <f>L278*(1+(Inputs!$B$10+((C294=TRUE)*(F294-Calc!F26))+B311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8">
        <f>L278*(1-MIN((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278*(MIN((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8">
        <f>(1-Summary!$B$11)*T278+Summary!$B$11*V278</f>
        <v/>
      </c>
      <c r="P278">
        <f>IF(B312=0,0,O278/B312)</f>
        <v/>
      </c>
      <c r="Q278" t="n">
        <v>0</v>
      </c>
      <c r="R278" t="n">
        <v>0</v>
      </c>
      <c r="S278" t="n">
        <v>0</v>
      </c>
      <c r="T278">
        <f>IF(C278,(0.2*SUMPRODUCT((Skills!Z2:Z31=TRUE)*(C270:C299=TRUE)*S270:S299)*N278)*IF(Inputs!$B$39="pvp",1,1+(Inputs!$B$20+((C295=TRUE)*(F295-Calc!F27))+Skills!P10+B309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Hunt"),CHOOSE(ArtifactsInput!$N$35+1,15,18,21,24,27,30)*(1-EXP(-(0.2*B304)*5)),0)+IF(AND(ArtifactsInput!$M$22,Inputs!$B$4&lt;&gt;"Chapter Hunt"),CHOOSE(ArtifactsInput!$N$22+1,10,12,14,16,18,20)*((0*(((0.15*B304*5))^0/1)+1*(((0.15*B304*5))^1/1)+2*(((0.15*B304*5))^2/2)+3*(((0.15*B304*5))^3/6)+4*(((0.15*B304*5))^4/24)+5*(((0.15*B304*5))^5/120))/((((0.15*B304*5))^0/1)+(((0.15*B304*5))^1/1)+(((0.15*B304*5))^2/2)+(((0.15*B304*5))^3/6)+(((0.15*B304*5))^4/24)+(((0.15*B304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278*(1-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278*(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278*(1-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278*(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8">
        <f>IF(C278,(0.2*SUMPRODUCT((Skills!Z2:Z31=TRUE)*(C270:C299=TRUE)*S270:S299)*N278)*IF(Inputs!$B$39="pvp",1,(1+(Inputs!$B$21+Skills!Q10+B309+(IF(ArtifactsInput!$M$33,CHOOSE(ArtifactsInput!$N$33+1,30,36,42,48,54,60),0))+(IF(AND(ArtifactsInput!$M$35,Inputs!$B$4&lt;&gt;"Chapter Hunt"),CHOOSE(ArtifactsInput!$N$35+1,15,18,21,24,27,30)*(1-EXP(-(0.2*B304)*5)),0)+IF(AND(ArtifactsInput!$M$22,Inputs!$B$4&lt;&gt;"Chapter Hunt"),CHOOSE(ArtifactsInput!$N$22+1,10,12,14,16,18,20)*((0*(((0.15*B304*5))^0/1)+1*(((0.15*B304*5))^1/1)+2*(((0.15*B304*5))^2/2)+3*(((0.15*B304*5))^3/6)+4*(((0.15*B304*5))^4/24)+5*(((0.15*B304*5))^5/120))/((((0.15*B304*5))^0/1)+(((0.15*B304*5))^1/1)+(((0.15*B304*5))^2/2)+(((0.15*B304*5))^3/6)+(((0.15*B304*5))^4/24)+(((0.15*B304*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9">
      <c r="A279">
        <f>Skills!A11</f>
        <v/>
      </c>
      <c r="B279">
        <f>Skills!B11</f>
        <v/>
      </c>
      <c r="C279">
        <f>Inputs!$B$3&gt;=60</f>
        <v/>
      </c>
      <c r="D279">
        <f>IF(Skills!C11=1,60+Inputs!$B$25+Inputs!$B$29,IF(Skills!C11=2,90+Inputs!$B$26+Inputs!$B$29,IF(Skills!C11=3,120+Inputs!$B$27+Inputs!$B$29,MAX(0,(Inputs!$B$3-100)*3)+Inputs!$B$28+Inputs!$B$29)))</f>
        <v/>
      </c>
      <c r="E279">
        <f>INDEX(FactorTable!$B$2:$Y$301, MATCH(ROUND(MIN(300,MAX(1,D279)),0), FactorTable!$A$2:$A$301,0), Skills!M11+1)</f>
        <v/>
      </c>
      <c r="F279">
        <f>IF(Skills!N11=TRUE,(Skills!L11/10)*(E279/1000),Skills!L11/10)+Skills!O11</f>
        <v/>
      </c>
      <c r="G279">
        <f>Calc!G11</f>
        <v/>
      </c>
      <c r="H279">
        <f>Calc!H11</f>
        <v/>
      </c>
      <c r="I279">
        <f>IF(Skills!AA11&lt;&gt;"",1+(Skills!AA11/10)*(U271/1000)/100,1)</f>
        <v/>
      </c>
      <c r="J279" t="inlineStr"/>
      <c r="K279" t="inlineStr"/>
      <c r="L279" t="inlineStr"/>
      <c r="M279" t="inlineStr"/>
      <c r="N279" t="inlineStr"/>
      <c r="O279">
        <f>(1-Summary!$B$11)*T279+Summary!$B$11*V279</f>
        <v/>
      </c>
      <c r="P279">
        <f>IF(B312=0,0,O279/B312)</f>
        <v/>
      </c>
      <c r="Q279" t="n">
        <v>0</v>
      </c>
      <c r="R279" t="n">
        <v>0</v>
      </c>
      <c r="S279">
        <f>IFERROR(O279/N279,0)</f>
        <v/>
      </c>
      <c r="T279" t="n">
        <v>0</v>
      </c>
      <c r="V279" t="n">
        <v>0</v>
      </c>
    </row>
    <row r="280">
      <c r="A280">
        <f>Skills!A12</f>
        <v/>
      </c>
      <c r="B280">
        <f>Skills!B12</f>
        <v/>
      </c>
      <c r="C280">
        <f>Inputs!$B$3&gt;=103</f>
        <v/>
      </c>
      <c r="D280">
        <f>IF(Skills!C12=1,60+Inputs!$B$25+Inputs!$B$29,IF(Skills!C12=2,90+Inputs!$B$26+Inputs!$B$29,IF(Skills!C12=3,120+Inputs!$B$27+Inputs!$B$29,MAX(0,(Inputs!$B$3-100)*3)+Inputs!$B$28+Inputs!$B$29)))</f>
        <v/>
      </c>
      <c r="E280">
        <f>INDEX(FactorTable!$B$2:$Y$301, MATCH(ROUND(MIN(300,MAX(1,D280)),0), FactorTable!$A$2:$A$301,0), Skills!M12+1)</f>
        <v/>
      </c>
      <c r="F280">
        <f>IF(Skills!N12=TRUE,(Skills!L12/10)*(E280/1000),Skills!L12/10)+Skills!O12</f>
        <v/>
      </c>
      <c r="G280">
        <f>Calc!G12</f>
        <v/>
      </c>
      <c r="H280">
        <f>Calc!H12</f>
        <v/>
      </c>
      <c r="I280">
        <f>IF(Skills!AA12&lt;&gt;"",1+(Skills!AA12/10)*(U271/1000)/100,1)</f>
        <v/>
      </c>
      <c r="J280">
        <f>((Inputs!$B$6*(1+Inputs!$B$7/100))+(((Inputs!$B$12*(1+Inputs!$B$13/100))-(Inputs!$B$12*(1+Inputs!$B$13/100)))+0.25*(Inputs!$B$14-Inputs!$B$14))*(1+Inputs!$B$7/100))*(F280/100)</f>
        <v/>
      </c>
      <c r="K280">
        <f>J280*(1+((Inputs!$B$12*(1+Inputs!$B$13/100))*0.01+Inputs!$B$14*0.0025)/100)*(1+Inputs!$B$15/100)*(1+(Inputs!$B$16+1)/100)*(5000/(6000+Inputs!$B$43*(1-(100*(1-(1-(Inputs!$B$19+0)/100)*(1-CHOOSE(ArtifactsInput!$N$40+1,5,6,7,8,9,10)/100)^(ArtifactsInput!$M$40-ArtifactsInput!$M$40)))/100)))*(1+(Inputs!$B$24+((C298=TRUE)*(F298-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291=TRUE)*(F291-Calc!F23))+(((IF(AND(ArtifactsInput!$M$42,((Inputs!$B$9+((C293=TRUE)*(F293-Calc!F25))+B308+(ArtifactsInput!$M$24-ArtifactsInput!$M$24)*CHOOSE(ArtifactsInput!$N$24+1,10,12,14,16,18,20)+IF(ArtifactsInput!$M$10,CHOOSE(ArtifactsInput!$N$10+1,15,18,21,24,27,30)*(IF(Inputs!$B$39="pvp",MIN(15,15)/15,IF(AND(Inputs!$B$39&lt;&gt;"pvp",Inputs!$B$44&gt;0),MIN(15,Inputs!$B$44)/(Inputs!$B$44),0))),0)))&gt;=100),MIN(100,((Inputs!$B$9+((C293=TRUE)*(F293-Calc!F25))+B308+(ArtifactsInput!$M$24-ArtifactsInput!$M$24)*CHOOSE(ArtifactsInput!$N$24+1,10,12,14,16,18,20)+IF(ArtifactsInput!$M$10,CHOOSE(ArtifactsInput!$N$10+1,15,18,21,24,27,30)*(IF(Inputs!$B$39="pvp",MIN(15,15)/15,IF(AND(Inputs!$B$39&lt;&gt;"pvp",Inputs!$B$44&gt;0),MIN(15,Inputs!$B$44)/(Inputs!$B$44),0))),0)))-100),0))*CHOOSE(ArtifactsInput!$N$42+1,0.6,0.72,0.84,0.96,1.08,1.2))),Inputs!$B$18+((C297=TRUE)*(F297-Calc!F29))+(IF(AND(ArtifactsInput!$M$42,((Inputs!$B$9+((C293=TRUE)*(F293-Calc!F25))+B308+(ArtifactsInput!$M$24-ArtifactsInput!$M$24)*CHOOSE(ArtifactsInput!$N$24+1,10,12,14,16,18,20)+IF(ArtifactsInput!$M$10,CHOOSE(ArtifactsInput!$N$10+1,15,18,21,24,27,30)*(IF(Inputs!$B$39="pvp",MIN(15,15)/15,IF(AND(Inputs!$B$39&lt;&gt;"pvp",Inputs!$B$44&gt;0),MIN(15,Inputs!$B$44)/(Inputs!$B$44),0))),0)))&gt;=100),CHOOSE(ArtifactsInput!$N$42+1,40,48,56,64,72,80),0))))/100)*(((1+(((C289=TRUE)*F289*IF(AND(Inputs!$B$39&lt;&gt;"pvp",Inputs!$B$44&gt;0),(((R289-1)*(Skills!Y21*(1+Inputs!$B$34/100))+MIN((Skills!Y21*(1+Inputs!$B$34/100)),MAX(0,Inputs!$B$44-((R289-1)*Skills!D21))))/Inputs!$B$44),IF(Inputs!$B$39="pvp",MIN((Skills!Y21*(1+Inputs!$B$34/100)),15)/15,(Skills!Y21*(1+Inputs!$B$34/100))/Skills!D21)))+((C296=TRUE)*(F296-Calc!F28))+((C286=TRUE)*(F286-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TRUE)*F283*IF(AND(Inputs!$B$39&lt;&gt;"pvp",Inputs!$B$44&gt;0),(((R283-1)*(Skills!Y15*(1+Inputs!$B$34/100))+MIN((Skills!Y15*(1+Inputs!$B$34/100)),MAX(0,Inputs!$B$44-((R283-1)*Skills!D15))))/Inputs!$B$44),IF(Inputs!$B$39="pvp",MIN((Skills!Y15*(1+Inputs!$B$34/100)),15)/15,(Skills!Y15*(1+Inputs!$B$34/100))/Skills!D15)))/100)*(1+((C274=TRUE)*F274*B302)/100))*B310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280)</f>
        <v/>
      </c>
      <c r="L280">
        <f>K280*(MIN(Inputs!$B$22+((C292=TRUE)*(F292-Calc!F24)),(Inputs!$B$23+0+(IF(ArtifactsInput!$M$15,CHOOSE(ArtifactsInput!$N$15+1,25,30,35,40,45,50)/100*(Inputs!$B$11-Inputs!$B$11),0))))/100+(Inputs!$B$23+0+(IF(ArtifactsInput!$M$15,CHOOSE(ArtifactsInput!$N$15+1,25,30,35,40,45,50)/100*(Inputs!$B$11-Inputs!$B$11),0)))/100)/2</f>
        <v/>
      </c>
      <c r="M280">
        <f>L280*(1+(Inputs!$B$10+((C294=TRUE)*(F294-Calc!F26))+B311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0">
        <f>L280*(1-MIN((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280*(MIN((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0">
        <f>(1-Summary!$B$11)*T280+Summary!$B$11*V280</f>
        <v/>
      </c>
      <c r="P280">
        <f>IF(B312=0,0,O280/B312)</f>
        <v/>
      </c>
      <c r="Q280">
        <f>IFERROR(1/IF(Inputs!$B$39="pvp",15,MAX(0.1,Skills!D12-IF(Skills!E12=TRUE,Inputs!$B$32,0))),0)</f>
        <v/>
      </c>
      <c r="R280">
        <f>IF(AND(Inputs!$B$39&lt;&gt;"pvp",Inputs!$B$44&gt;0),IF(MAX(0,Inputs!$B$44-B313)&lt;=0,0,(INT(MAX(0,Inputs!$B$44-B313)/IF(Inputs!$B$39="pvp",15,MAX(0.1,Skills!D12-IF(Skills!E12=TRUE,Inputs!$B$32,0))))+1)),0)</f>
        <v/>
      </c>
      <c r="S280">
        <f>IFERROR(O280/N280,0)</f>
        <v/>
      </c>
      <c r="T280">
        <f>IF(C280,(H280*N280*IF(AND(Inputs!$B$39&lt;&gt;"pvp",Inputs!$B$44&gt;0),((Skills!G12*((R280-1)*IF(Skills!H12&gt;0,Skills!I12/Skills!H12,1)+IF(Skills!H12&gt;0,MIN(Skills!I12,MAX(0,MAX(0,Inputs!$B$44-B313)-((R280-1)*IF(Inputs!$B$39="pvp",15,MAX(0.1,Skills!D12-IF(Skills!E12=TRUE,Inputs!$B$32,0))))))/Skills!H12,1)))/Inputs!$B$44),G280*Q280))*IF(Inputs!$B$39="pvp",1,1+(Inputs!$B$20+((C295=TRUE)*(F295-Calc!F27))+Skills!P12+B309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Hunt"),CHOOSE(ArtifactsInput!$N$35+1,15,18,21,24,27,30)*(1-EXP(-(0.2*B304)*5)),0)+IF(AND(ArtifactsInput!$M$22,Inputs!$B$4&lt;&gt;"Chapter Hunt"),CHOOSE(ArtifactsInput!$N$22+1,10,12,14,16,18,20)*((0*(((0.15*B304*5))^0/1)+1*(((0.15*B304*5))^1/1)+2*(((0.15*B304*5))^2/2)+3*(((0.15*B304*5))^3/6)+4*(((0.15*B304*5))^4/24)+5*(((0.15*B304*5))^5/120))/((((0.15*B304*5))^0/1)+(((0.15*B304*5))^1/1)+(((0.15*B304*5))^2/2)+(((0.15*B304*5))^3/6)+(((0.15*B304*5))^4/24)+(((0.15*B304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280*(1-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280*(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280*(1-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280*(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0">
        <f>IF(C280,(H280*N280*IF(AND(Inputs!$B$39&lt;&gt;"pvp",Inputs!$B$44&gt;0),((Skills!G12*((R280-1)*IF(Skills!H12&gt;0,Skills!I12/Skills!H12,1)+IF(Skills!H12&gt;0,MIN(Skills!I12,MAX(0,MAX(0,Inputs!$B$44-B313)-((R280-1)*IF(Inputs!$B$39="pvp",15,MAX(0.1,Skills!D12-IF(Skills!E12=TRUE,Inputs!$B$32,0))))))/Skills!H12,1)))/Inputs!$B$44),G280*Q280))*IF(Inputs!$B$39="pvp",1,(1+(Inputs!$B$21+Skills!Q12+B309+(IF(ArtifactsInput!$M$33,CHOOSE(ArtifactsInput!$N$33+1,30,36,42,48,54,60),0))+(IF(AND(ArtifactsInput!$M$35,Inputs!$B$4&lt;&gt;"Chapter Hunt"),CHOOSE(ArtifactsInput!$N$35+1,15,18,21,24,27,30)*(1-EXP(-(0.2*B304)*5)),0)+IF(AND(ArtifactsInput!$M$22,Inputs!$B$4&lt;&gt;"Chapter Hunt"),CHOOSE(ArtifactsInput!$N$22+1,10,12,14,16,18,20)*((0*(((0.15*B304*5))^0/1)+1*(((0.15*B304*5))^1/1)+2*(((0.15*B304*5))^2/2)+3*(((0.15*B304*5))^3/6)+4*(((0.15*B304*5))^4/24)+5*(((0.15*B304*5))^5/120))/((((0.15*B304*5))^0/1)+(((0.15*B304*5))^1/1)+(((0.15*B304*5))^2/2)+(((0.15*B304*5))^3/6)+(((0.15*B304*5))^4/24)+(((0.15*B304*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1">
      <c r="A281">
        <f>Skills!A13</f>
        <v/>
      </c>
      <c r="B281">
        <f>Skills!B13</f>
        <v/>
      </c>
      <c r="C281">
        <f>Inputs!$B$3&gt;=105</f>
        <v/>
      </c>
      <c r="D281">
        <f>IF(Skills!C13=1,60+Inputs!$B$25+Inputs!$B$29,IF(Skills!C13=2,90+Inputs!$B$26+Inputs!$B$29,IF(Skills!C13=3,120+Inputs!$B$27+Inputs!$B$29,MAX(0,(Inputs!$B$3-100)*3)+Inputs!$B$28+Inputs!$B$29)))</f>
        <v/>
      </c>
      <c r="E281">
        <f>INDEX(FactorTable!$B$2:$Y$301, MATCH(ROUND(MIN(300,MAX(1,D281)),0), FactorTable!$A$2:$A$301,0), Skills!M13+1)</f>
        <v/>
      </c>
      <c r="F281">
        <f>IF(Skills!N13=TRUE,(Skills!L13/10)*(E281/1000),Skills!L13/10)+Skills!O13</f>
        <v/>
      </c>
      <c r="G281">
        <f>Calc!G13</f>
        <v/>
      </c>
      <c r="H281">
        <f>Calc!H13</f>
        <v/>
      </c>
      <c r="I281">
        <f>IF(Skills!AA13&lt;&gt;"",1+(Skills!AA13/10)*(U271/1000)/100,1)</f>
        <v/>
      </c>
      <c r="J281">
        <f>((Inputs!$B$6*(1+Inputs!$B$7/100))+(((Inputs!$B$12*(1+Inputs!$B$13/100))-(Inputs!$B$12*(1+Inputs!$B$13/100)))+0.25*(Inputs!$B$14-Inputs!$B$14))*(1+Inputs!$B$7/100))*(F281/100)</f>
        <v/>
      </c>
      <c r="K281">
        <f>J281*(1+((Inputs!$B$12*(1+Inputs!$B$13/100))*0.01+Inputs!$B$14*0.0025)/100)*(1+Inputs!$B$15/100)*(1+(Inputs!$B$16+1)/100)*(5000/(6000+Inputs!$B$43*(1-(100*(1-(1-(Inputs!$B$19+0)/100)*(1-CHOOSE(ArtifactsInput!$N$40+1,5,6,7,8,9,10)/100)^(ArtifactsInput!$M$40-ArtifactsInput!$M$40)))/100)))*(1+(Inputs!$B$24+((C298=TRUE)*(F298-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291=TRUE)*(F291-Calc!F23))+(((IF(AND(ArtifactsInput!$M$42,((Inputs!$B$9+((C293=TRUE)*(F293-Calc!F25))+B308+(ArtifactsInput!$M$24-ArtifactsInput!$M$24)*CHOOSE(ArtifactsInput!$N$24+1,10,12,14,16,18,20)+IF(ArtifactsInput!$M$10,CHOOSE(ArtifactsInput!$N$10+1,15,18,21,24,27,30)*(IF(Inputs!$B$39="pvp",MIN(15,15)/15,IF(AND(Inputs!$B$39&lt;&gt;"pvp",Inputs!$B$44&gt;0),MIN(15,Inputs!$B$44)/(Inputs!$B$44),0))),0)))&gt;=100),MIN(100,((Inputs!$B$9+((C293=TRUE)*(F293-Calc!F25))+B308+(ArtifactsInput!$M$24-ArtifactsInput!$M$24)*CHOOSE(ArtifactsInput!$N$24+1,10,12,14,16,18,20)+IF(ArtifactsInput!$M$10,CHOOSE(ArtifactsInput!$N$10+1,15,18,21,24,27,30)*(IF(Inputs!$B$39="pvp",MIN(15,15)/15,IF(AND(Inputs!$B$39&lt;&gt;"pvp",Inputs!$B$44&gt;0),MIN(15,Inputs!$B$44)/(Inputs!$B$44),0))),0)))-100),0))*CHOOSE(ArtifactsInput!$N$42+1,0.6,0.72,0.84,0.96,1.08,1.2))),Inputs!$B$18+((C297=TRUE)*(F297-Calc!F29))+(IF(AND(ArtifactsInput!$M$42,((Inputs!$B$9+((C293=TRUE)*(F293-Calc!F25))+B308+(ArtifactsInput!$M$24-ArtifactsInput!$M$24)*CHOOSE(ArtifactsInput!$N$24+1,10,12,14,16,18,20)+IF(ArtifactsInput!$M$10,CHOOSE(ArtifactsInput!$N$10+1,15,18,21,24,27,30)*(IF(Inputs!$B$39="pvp",MIN(15,15)/15,IF(AND(Inputs!$B$39&lt;&gt;"pvp",Inputs!$B$44&gt;0),MIN(15,Inputs!$B$44)/(Inputs!$B$44),0))),0)))&gt;=100),CHOOSE(ArtifactsInput!$N$42+1,40,48,56,64,72,80),0))))/100)*(((1+(((C289=TRUE)*F289*IF(AND(Inputs!$B$39&lt;&gt;"pvp",Inputs!$B$44&gt;0),(((R289-1)*(Skills!Y21*(1+Inputs!$B$34/100))+MIN((Skills!Y21*(1+Inputs!$B$34/100)),MAX(0,Inputs!$B$44-((R289-1)*Skills!D21))))/Inputs!$B$44),IF(Inputs!$B$39="pvp",MIN((Skills!Y21*(1+Inputs!$B$34/100)),15)/15,(Skills!Y21*(1+Inputs!$B$34/100))/Skills!D21)))+((C296=TRUE)*(F296-Calc!F28))+((C286=TRUE)*(F286-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TRUE)*F283*IF(AND(Inputs!$B$39&lt;&gt;"pvp",Inputs!$B$44&gt;0),(((R283-1)*(Skills!Y15*(1+Inputs!$B$34/100))+MIN((Skills!Y15*(1+Inputs!$B$34/100)),MAX(0,Inputs!$B$44-((R283-1)*Skills!D15))))/Inputs!$B$44),IF(Inputs!$B$39="pvp",MIN((Skills!Y15*(1+Inputs!$B$34/100)),15)/15,(Skills!Y15*(1+Inputs!$B$34/100))/Skills!D15)))/100)*(1+((C274=TRUE)*F274*B302)/100))*B310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281)</f>
        <v/>
      </c>
      <c r="L281">
        <f>K281*(MIN(Inputs!$B$22+((C292=TRUE)*(F292-Calc!F24)),(Inputs!$B$23+0+(IF(ArtifactsInput!$M$15,CHOOSE(ArtifactsInput!$N$15+1,25,30,35,40,45,50)/100*(Inputs!$B$11-Inputs!$B$11),0))))/100+(Inputs!$B$23+0+(IF(ArtifactsInput!$M$15,CHOOSE(ArtifactsInput!$N$15+1,25,30,35,40,45,50)/100*(Inputs!$B$11-Inputs!$B$11),0)))/100)/2</f>
        <v/>
      </c>
      <c r="M281">
        <f>L281*(1+(Inputs!$B$10+((C294=TRUE)*(F294-Calc!F26))+B311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1">
        <f>L281*(1-MIN((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281*(MIN((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1">
        <f>(1-Summary!$B$11)*T281+Summary!$B$11*V281</f>
        <v/>
      </c>
      <c r="P281">
        <f>IF(B312=0,0,O281/B312)</f>
        <v/>
      </c>
      <c r="Q281">
        <f>IFERROR(1/IF(Inputs!$B$39="pvp",15,MAX(0.1,Skills!D13-IF(Skills!E13=TRUE,Inputs!$B$32,0))),0)</f>
        <v/>
      </c>
      <c r="R281">
        <f>IF(AND(Inputs!$B$39&lt;&gt;"pvp",Inputs!$B$44&gt;0),IF(MAX(0,Inputs!$B$44-B313)&lt;=0,0,(INT(MAX(0,Inputs!$B$44-B313)/IF(Inputs!$B$39="pvp",15,MAX(0.1,Skills!D13-IF(Skills!E13=TRUE,Inputs!$B$32,0))))+1)),0)</f>
        <v/>
      </c>
      <c r="S281">
        <f>IFERROR(O281/N281,0)</f>
        <v/>
      </c>
      <c r="T281">
        <f>IF(C281,(H281*N281*IF(AND(Inputs!$B$39&lt;&gt;"pvp",Inputs!$B$44&gt;0),((Skills!G13*((R281-1)*IF(Skills!H13&gt;0,Skills!I13/Skills!H13,1)+IF(Skills!H13&gt;0,MIN(Skills!I13,MAX(0,MAX(0,Inputs!$B$44-B313)-((R281-1)*IF(Inputs!$B$39="pvp",15,MAX(0.1,Skills!D13-IF(Skills!E13=TRUE,Inputs!$B$32,0))))))/Skills!H13,1)))/Inputs!$B$44),G281*Q281))*IF(Inputs!$B$39="pvp",1,1+(Inputs!$B$20+((C295=TRUE)*(F295-Calc!F27))+Skills!P13+B309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Hunt"),CHOOSE(ArtifactsInput!$N$35+1,15,18,21,24,27,30)*(1-EXP(-(0.2*B304)*5)),0)+IF(AND(ArtifactsInput!$M$22,Inputs!$B$4&lt;&gt;"Chapter Hunt"),CHOOSE(ArtifactsInput!$N$22+1,10,12,14,16,18,20)*((0*(((0.15*B304*5))^0/1)+1*(((0.15*B304*5))^1/1)+2*(((0.15*B304*5))^2/2)+3*(((0.15*B304*5))^3/6)+4*(((0.15*B304*5))^4/24)+5*(((0.15*B304*5))^5/120))/((((0.15*B304*5))^0/1)+(((0.15*B304*5))^1/1)+(((0.15*B304*5))^2/2)+(((0.15*B304*5))^3/6)+(((0.15*B304*5))^4/24)+(((0.15*B304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281*(1-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281*(1-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1">
        <f>IF(C281,(H281*N281*IF(AND(Inputs!$B$39&lt;&gt;"pvp",Inputs!$B$44&gt;0),((Skills!G13*((R281-1)*IF(Skills!H13&gt;0,Skills!I13/Skills!H13,1)+IF(Skills!H13&gt;0,MIN(Skills!I13,MAX(0,MAX(0,Inputs!$B$44-B313)-((R281-1)*IF(Inputs!$B$39="pvp",15,MAX(0.1,Skills!D13-IF(Skills!E13=TRUE,Inputs!$B$32,0))))))/Skills!H13,1)))/Inputs!$B$44),G281*Q281))*IF(Inputs!$B$39="pvp",1,(1+(Inputs!$B$21+Skills!Q13+B309+(IF(ArtifactsInput!$M$33,CHOOSE(ArtifactsInput!$N$33+1,30,36,42,48,54,60),0))+(IF(AND(ArtifactsInput!$M$35,Inputs!$B$4&lt;&gt;"Chapter Hunt"),CHOOSE(ArtifactsInput!$N$35+1,15,18,21,24,27,30)*(1-EXP(-(0.2*B304)*5)),0)+IF(AND(ArtifactsInput!$M$22,Inputs!$B$4&lt;&gt;"Chapter Hunt"),CHOOSE(ArtifactsInput!$N$22+1,10,12,14,16,18,20)*((0*(((0.15*B304*5))^0/1)+1*(((0.15*B304*5))^1/1)+2*(((0.15*B304*5))^2/2)+3*(((0.15*B304*5))^3/6)+4*(((0.15*B304*5))^4/24)+5*(((0.15*B304*5))^5/120))/((((0.15*B304*5))^0/1)+(((0.15*B304*5))^1/1)+(((0.15*B304*5))^2/2)+(((0.15*B304*5))^3/6)+(((0.15*B304*5))^4/24)+(((0.15*B304*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2">
      <c r="A282">
        <f>Skills!A14</f>
        <v/>
      </c>
      <c r="B282">
        <f>Skills!B14</f>
        <v/>
      </c>
      <c r="C282">
        <f>Inputs!$B$3&gt;=105</f>
        <v/>
      </c>
      <c r="D282">
        <f>IF(Skills!C14=1,60+Inputs!$B$25+Inputs!$B$29,IF(Skills!C14=2,90+Inputs!$B$26+Inputs!$B$29,IF(Skills!C14=3,120+Inputs!$B$27+Inputs!$B$29,MAX(0,(Inputs!$B$3-100)*3)+Inputs!$B$28+Inputs!$B$29)))</f>
        <v/>
      </c>
      <c r="E282">
        <f>INDEX(FactorTable!$B$2:$Y$301, MATCH(ROUND(MIN(300,MAX(1,D282)),0), FactorTable!$A$2:$A$301,0), Skills!M14+1)</f>
        <v/>
      </c>
      <c r="F282">
        <f>IF(Skills!N14=TRUE,(Skills!L14/10)*(E282/1000),Skills!L14/10)+Skills!O14</f>
        <v/>
      </c>
      <c r="G282">
        <f>Calc!G14</f>
        <v/>
      </c>
      <c r="H282">
        <f>Calc!H14</f>
        <v/>
      </c>
      <c r="I282">
        <f>IF(Skills!AA14&lt;&gt;"",1+(Skills!AA14/10)*(U271/1000)/100,1)</f>
        <v/>
      </c>
      <c r="J282">
        <f>((Inputs!$B$6*(1+Inputs!$B$7/100))+(((Inputs!$B$12*(1+Inputs!$B$13/100))-(Inputs!$B$12*(1+Inputs!$B$13/100)))+0.25*(Inputs!$B$14-Inputs!$B$14))*(1+Inputs!$B$7/100))*(F282/100)</f>
        <v/>
      </c>
      <c r="K282">
        <f>J282*(1+((Inputs!$B$12*(1+Inputs!$B$13/100))*0.01+Inputs!$B$14*0.0025)/100)*(1+Inputs!$B$15/100)*(1+(Inputs!$B$16+1)/100)*(5000/(6000+Inputs!$B$43*(1-(100*(1-(1-(Inputs!$B$19+0)/100)*(1-CHOOSE(ArtifactsInput!$N$40+1,5,6,7,8,9,10)/100)^(ArtifactsInput!$M$40-ArtifactsInput!$M$40)))/100)))*(1+(Inputs!$B$24+((C298=TRUE)*(F298-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291=TRUE)*(F291-Calc!F23))+(((IF(AND(ArtifactsInput!$M$42,((Inputs!$B$9+((C293=TRUE)*(F293-Calc!F25))+B308+(ArtifactsInput!$M$24-ArtifactsInput!$M$24)*CHOOSE(ArtifactsInput!$N$24+1,10,12,14,16,18,20)+IF(ArtifactsInput!$M$10,CHOOSE(ArtifactsInput!$N$10+1,15,18,21,24,27,30)*(IF(Inputs!$B$39="pvp",MIN(15,15)/15,IF(AND(Inputs!$B$39&lt;&gt;"pvp",Inputs!$B$44&gt;0),MIN(15,Inputs!$B$44)/(Inputs!$B$44),0))),0)))&gt;=100),MIN(100,((Inputs!$B$9+((C293=TRUE)*(F293-Calc!F25))+B308+(ArtifactsInput!$M$24-ArtifactsInput!$M$24)*CHOOSE(ArtifactsInput!$N$24+1,10,12,14,16,18,20)+IF(ArtifactsInput!$M$10,CHOOSE(ArtifactsInput!$N$10+1,15,18,21,24,27,30)*(IF(Inputs!$B$39="pvp",MIN(15,15)/15,IF(AND(Inputs!$B$39&lt;&gt;"pvp",Inputs!$B$44&gt;0),MIN(15,Inputs!$B$44)/(Inputs!$B$44),0))),0)))-100),0))*CHOOSE(ArtifactsInput!$N$42+1,0.6,0.72,0.84,0.96,1.08,1.2))),Inputs!$B$18+((C297=TRUE)*(F297-Calc!F29))+(IF(AND(ArtifactsInput!$M$42,((Inputs!$B$9+((C293=TRUE)*(F293-Calc!F25))+B308+(ArtifactsInput!$M$24-ArtifactsInput!$M$24)*CHOOSE(ArtifactsInput!$N$24+1,10,12,14,16,18,20)+IF(ArtifactsInput!$M$10,CHOOSE(ArtifactsInput!$N$10+1,15,18,21,24,27,30)*(IF(Inputs!$B$39="pvp",MIN(15,15)/15,IF(AND(Inputs!$B$39&lt;&gt;"pvp",Inputs!$B$44&gt;0),MIN(15,Inputs!$B$44)/(Inputs!$B$44),0))),0)))&gt;=100),CHOOSE(ArtifactsInput!$N$42+1,40,48,56,64,72,80),0))))/100)*(((1+(((C289=TRUE)*F289*IF(AND(Inputs!$B$39&lt;&gt;"pvp",Inputs!$B$44&gt;0),(((R289-1)*(Skills!Y21*(1+Inputs!$B$34/100))+MIN((Skills!Y21*(1+Inputs!$B$34/100)),MAX(0,Inputs!$B$44-((R289-1)*Skills!D21))))/Inputs!$B$44),IF(Inputs!$B$39="pvp",MIN((Skills!Y21*(1+Inputs!$B$34/100)),15)/15,(Skills!Y21*(1+Inputs!$B$34/100))/Skills!D21)))+((C296=TRUE)*(F296-Calc!F28))+((C286=TRUE)*(F286-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TRUE)*F283*IF(AND(Inputs!$B$39&lt;&gt;"pvp",Inputs!$B$44&gt;0),(((R283-1)*(Skills!Y15*(1+Inputs!$B$34/100))+MIN((Skills!Y15*(1+Inputs!$B$34/100)),MAX(0,Inputs!$B$44-((R283-1)*Skills!D15))))/Inputs!$B$44),IF(Inputs!$B$39="pvp",MIN((Skills!Y15*(1+Inputs!$B$34/100)),15)/15,(Skills!Y15*(1+Inputs!$B$34/100))/Skills!D15)))/100)*(1+((C274=TRUE)*F274*B302)/100))*B310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282)</f>
        <v/>
      </c>
      <c r="L282">
        <f>K282*(MIN(Inputs!$B$22+((C292=TRUE)*(F292-Calc!F24)),(Inputs!$B$23+0+(IF(ArtifactsInput!$M$15,CHOOSE(ArtifactsInput!$N$15+1,25,30,35,40,45,50)/100*(Inputs!$B$11-Inputs!$B$11),0))))/100+(Inputs!$B$23+0+(IF(ArtifactsInput!$M$15,CHOOSE(ArtifactsInput!$N$15+1,25,30,35,40,45,50)/100*(Inputs!$B$11-Inputs!$B$11),0)))/100)/2</f>
        <v/>
      </c>
      <c r="M282">
        <f>L282*(1+(Inputs!$B$10+((C294=TRUE)*(F294-Calc!F26))+B311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2">
        <f>L282*(1-MIN((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282*(MIN((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2">
        <f>(1-Summary!$B$11)*T282+Summary!$B$11*V282</f>
        <v/>
      </c>
      <c r="P282">
        <f>IF(B312=0,0,O282/B312)</f>
        <v/>
      </c>
      <c r="Q282">
        <f>IFERROR(1/IF(Inputs!$B$39="pvp",15,MAX(0.1,Skills!D14-IF(Skills!E14=TRUE,Inputs!$B$32,0))),0)</f>
        <v/>
      </c>
      <c r="R282">
        <f>IF(AND(Inputs!$B$39&lt;&gt;"pvp",Inputs!$B$44&gt;0),IF(MAX(0,Inputs!$B$44-B313)&lt;=0,0,(INT(MAX(0,Inputs!$B$44-B313)/IF(Inputs!$B$39="pvp",15,MAX(0.1,Skills!D14-IF(Skills!E14=TRUE,Inputs!$B$32,0))))+1)),0)</f>
        <v/>
      </c>
      <c r="S282">
        <f>IFERROR(O282/N282,0)</f>
        <v/>
      </c>
      <c r="T282">
        <f>IF(C282,(H282*N282*IF(AND(Inputs!$B$39&lt;&gt;"pvp",Inputs!$B$44&gt;0),((Skills!G14*((R282-1)*IF(Skills!H14&gt;0,Skills!I14/Skills!H14,1)+IF(Skills!H14&gt;0,MIN(Skills!I14,MAX(0,MAX(0,Inputs!$B$44-B313)-((R282-1)*IF(Inputs!$B$39="pvp",15,MAX(0.1,Skills!D14-IF(Skills!E14=TRUE,Inputs!$B$32,0))))))/Skills!H14,1)))/Inputs!$B$44),G282*Q282))*IF(Inputs!$B$39="pvp",1,1+(Inputs!$B$20+((C295=TRUE)*(F295-Calc!F27))+Skills!P14+B309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Hunt"),CHOOSE(ArtifactsInput!$N$35+1,15,18,21,24,27,30)*(1-EXP(-(0.2*B304)*5)),0)+IF(AND(ArtifactsInput!$M$22,Inputs!$B$4&lt;&gt;"Chapter Hunt"),CHOOSE(ArtifactsInput!$N$22+1,10,12,14,16,18,20)*((0*(((0.15*B304*5))^0/1)+1*(((0.15*B304*5))^1/1)+2*(((0.15*B304*5))^2/2)+3*(((0.15*B304*5))^3/6)+4*(((0.15*B304*5))^4/24)+5*(((0.15*B304*5))^5/120))/((((0.15*B304*5))^0/1)+(((0.15*B304*5))^1/1)+(((0.15*B304*5))^2/2)+(((0.15*B304*5))^3/6)+(((0.15*B304*5))^4/24)+(((0.15*B304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282*(1-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282*(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282*(1-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282*(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2">
        <f>IF(C282,(H282*N282*IF(AND(Inputs!$B$39&lt;&gt;"pvp",Inputs!$B$44&gt;0),((Skills!G14*((R282-1)*IF(Skills!H14&gt;0,Skills!I14/Skills!H14,1)+IF(Skills!H14&gt;0,MIN(Skills!I14,MAX(0,MAX(0,Inputs!$B$44-B313)-((R282-1)*IF(Inputs!$B$39="pvp",15,MAX(0.1,Skills!D14-IF(Skills!E14=TRUE,Inputs!$B$32,0))))))/Skills!H14,1)))/Inputs!$B$44),G282*Q282))*IF(Inputs!$B$39="pvp",1,(1+(Inputs!$B$21+Skills!Q14+B309+(IF(ArtifactsInput!$M$33,CHOOSE(ArtifactsInput!$N$33+1,30,36,42,48,54,60),0))+(IF(AND(ArtifactsInput!$M$35,Inputs!$B$4&lt;&gt;"Chapter Hunt"),CHOOSE(ArtifactsInput!$N$35+1,15,18,21,24,27,30)*(1-EXP(-(0.2*B304)*5)),0)+IF(AND(ArtifactsInput!$M$22,Inputs!$B$4&lt;&gt;"Chapter Hunt"),CHOOSE(ArtifactsInput!$N$22+1,10,12,14,16,18,20)*((0*(((0.15*B304*5))^0/1)+1*(((0.15*B304*5))^1/1)+2*(((0.15*B304*5))^2/2)+3*(((0.15*B304*5))^3/6)+4*(((0.15*B304*5))^4/24)+5*(((0.15*B304*5))^5/120))/((((0.15*B304*5))^0/1)+(((0.15*B304*5))^1/1)+(((0.15*B304*5))^2/2)+(((0.15*B304*5))^3/6)+(((0.15*B304*5))^4/24)+(((0.15*B304*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3">
      <c r="A283">
        <f>Skills!A15</f>
        <v/>
      </c>
      <c r="B283">
        <f>Skills!B15</f>
        <v/>
      </c>
      <c r="C283">
        <f>Inputs!$B$3&gt;=110</f>
        <v/>
      </c>
      <c r="D283">
        <f>IF(Skills!C15=1,60+Inputs!$B$25+Inputs!$B$29,IF(Skills!C15=2,90+Inputs!$B$26+Inputs!$B$29,IF(Skills!C15=3,120+Inputs!$B$27+Inputs!$B$29,MAX(0,(Inputs!$B$3-100)*3)+Inputs!$B$28+Inputs!$B$29)))</f>
        <v/>
      </c>
      <c r="E283">
        <f>INDEX(FactorTable!$B$2:$Y$301, MATCH(ROUND(MIN(300,MAX(1,D283)),0), FactorTable!$A$2:$A$301,0), Skills!M15+1)</f>
        <v/>
      </c>
      <c r="F283">
        <f>IF(Skills!N15=TRUE,(Skills!L15/10)*(E283/1000),Skills!L15/10)+Skills!O15</f>
        <v/>
      </c>
      <c r="G283">
        <f>Calc!G15</f>
        <v/>
      </c>
      <c r="H283">
        <f>Calc!H15</f>
        <v/>
      </c>
      <c r="I283">
        <f>IF(Skills!AA15&lt;&gt;"",1+(Skills!AA15/10)*(U271/1000)/100,1)</f>
        <v/>
      </c>
      <c r="J283" t="inlineStr"/>
      <c r="K283" t="inlineStr"/>
      <c r="L283" t="inlineStr"/>
      <c r="M283" t="inlineStr"/>
      <c r="N283" t="inlineStr"/>
      <c r="O283">
        <f>(1-Summary!$B$11)*T283+Summary!$B$11*V283</f>
        <v/>
      </c>
      <c r="P283">
        <f>IF(B312=0,0,O283/B312)</f>
        <v/>
      </c>
      <c r="Q283">
        <f>IFERROR(1/IF(Inputs!$B$39="pvp",15,MAX(0.1,Skills!D15-IF(Skills!E15=TRUE,Inputs!$B$32,0))),0)</f>
        <v/>
      </c>
      <c r="R283">
        <f>IF(AND(Inputs!$B$39&lt;&gt;"pvp",Inputs!$B$44&gt;0),IF(Inputs!$B$44&lt;=0,0,(INT(Inputs!$B$44/IF(Inputs!$B$39="pvp",15,MAX(0.1,Skills!D15-IF(Skills!E15=TRUE,Inputs!$B$32,0))))+1)),0)</f>
        <v/>
      </c>
      <c r="S283">
        <f>IFERROR(O283/N283,0)</f>
        <v/>
      </c>
      <c r="T283" t="n">
        <v>0</v>
      </c>
      <c r="V283" t="n">
        <v>0</v>
      </c>
    </row>
    <row r="284">
      <c r="A284">
        <f>Skills!A16</f>
        <v/>
      </c>
      <c r="B284">
        <f>Skills!B16</f>
        <v/>
      </c>
      <c r="C284">
        <f>Inputs!$B$3&gt;=110</f>
        <v/>
      </c>
      <c r="D284">
        <f>IF(Skills!C16=1,60+Inputs!$B$25+Inputs!$B$29,IF(Skills!C16=2,90+Inputs!$B$26+Inputs!$B$29,IF(Skills!C16=3,120+Inputs!$B$27+Inputs!$B$29,MAX(0,(Inputs!$B$3-100)*3)+Inputs!$B$28+Inputs!$B$29)))</f>
        <v/>
      </c>
      <c r="E284">
        <f>INDEX(FactorTable!$B$2:$Y$301, MATCH(ROUND(MIN(300,MAX(1,D284)),0), FactorTable!$A$2:$A$301,0), Skills!M16+1)</f>
        <v/>
      </c>
      <c r="F284">
        <f>IF(Skills!N16=TRUE,(Skills!L16/10)*(E284/1000),Skills!L16/10)+Skills!O16</f>
        <v/>
      </c>
      <c r="G284">
        <f>Calc!G16</f>
        <v/>
      </c>
      <c r="H284">
        <f>Calc!H16</f>
        <v/>
      </c>
      <c r="I284">
        <f>IF(Skills!AA16&lt;&gt;"",1+(Skills!AA16/10)*(U271/1000)/100,1)</f>
        <v/>
      </c>
      <c r="J284" t="inlineStr"/>
      <c r="K284" t="inlineStr"/>
      <c r="L284" t="inlineStr"/>
      <c r="M284" t="inlineStr"/>
      <c r="N284" t="inlineStr"/>
      <c r="O284">
        <f>(1-Summary!$B$11)*T284+Summary!$B$11*V284</f>
        <v/>
      </c>
      <c r="P284">
        <f>IF(B312=0,0,O284/B312)</f>
        <v/>
      </c>
      <c r="Q284">
        <f>IFERROR(1/IF(Inputs!$B$39="pvp",15,MAX(0.1,Skills!D16-IF(Skills!E16=TRUE,Inputs!$B$32,0))),0)</f>
        <v/>
      </c>
      <c r="R284">
        <f>IF(AND(Inputs!$B$39&lt;&gt;"pvp",Inputs!$B$44&gt;0),IF(Inputs!$B$44&lt;=0,0,(INT(Inputs!$B$44/IF(Inputs!$B$39="pvp",15,MAX(0.1,Skills!D16-IF(Skills!E16=TRUE,Inputs!$B$32,0))))+1)),0)</f>
        <v/>
      </c>
      <c r="S284">
        <f>IFERROR(O284/N284,0)</f>
        <v/>
      </c>
      <c r="T284" t="n">
        <v>0</v>
      </c>
      <c r="V284" t="n">
        <v>0</v>
      </c>
    </row>
    <row r="285">
      <c r="A285">
        <f>Skills!A17</f>
        <v/>
      </c>
      <c r="B285">
        <f>Skills!B17</f>
        <v/>
      </c>
      <c r="C285">
        <f>Inputs!$B$3&gt;=115</f>
        <v/>
      </c>
      <c r="D285">
        <f>IF(Skills!C17=1,60+Inputs!$B$25+Inputs!$B$29,IF(Skills!C17=2,90+Inputs!$B$26+Inputs!$B$29,IF(Skills!C17=3,120+Inputs!$B$27+Inputs!$B$29,MAX(0,(Inputs!$B$3-100)*3)+Inputs!$B$28+Inputs!$B$29)))</f>
        <v/>
      </c>
      <c r="E285">
        <f>INDEX(FactorTable!$B$2:$Y$301, MATCH(ROUND(MIN(300,MAX(1,D285)),0), FactorTable!$A$2:$A$301,0), Skills!M17+1)</f>
        <v/>
      </c>
      <c r="F285">
        <f>IF(Skills!N17=TRUE,(Skills!L17/10)*(E285/1000),Skills!L17/10)+Skills!O17</f>
        <v/>
      </c>
      <c r="G285">
        <f>Calc!G17</f>
        <v/>
      </c>
      <c r="H285">
        <f>Calc!H17</f>
        <v/>
      </c>
      <c r="I285">
        <f>IF(Skills!AA17&lt;&gt;"",1+(Skills!AA17/10)*(U271/1000)/100,1)</f>
        <v/>
      </c>
      <c r="J285">
        <f>((Inputs!$B$6*(1+Inputs!$B$7/100))+(((Inputs!$B$12*(1+Inputs!$B$13/100))-(Inputs!$B$12*(1+Inputs!$B$13/100)))+0.25*(Inputs!$B$14-Inputs!$B$14))*(1+Inputs!$B$7/100))*(F285/100)</f>
        <v/>
      </c>
      <c r="K285">
        <f>J285*(1+((Inputs!$B$12*(1+Inputs!$B$13/100))*0.01+Inputs!$B$14*0.0025)/100)*(1+Inputs!$B$15/100)*(1+(Inputs!$B$16+1)/100)*(5000/(6000+Inputs!$B$43*(1-(100*(1-(1-(Inputs!$B$19+0)/100)*(1-CHOOSE(ArtifactsInput!$N$40+1,5,6,7,8,9,10)/100)^(ArtifactsInput!$M$40-ArtifactsInput!$M$40)))/100)))*(1+(Inputs!$B$24+((C298=TRUE)*(F298-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291=TRUE)*(F291-Calc!F23))+(((IF(AND(ArtifactsInput!$M$42,((Inputs!$B$9+((C293=TRUE)*(F293-Calc!F25))+B308+(ArtifactsInput!$M$24-ArtifactsInput!$M$24)*CHOOSE(ArtifactsInput!$N$24+1,10,12,14,16,18,20)+IF(ArtifactsInput!$M$10,CHOOSE(ArtifactsInput!$N$10+1,15,18,21,24,27,30)*(IF(Inputs!$B$39="pvp",MIN(15,15)/15,IF(AND(Inputs!$B$39&lt;&gt;"pvp",Inputs!$B$44&gt;0),MIN(15,Inputs!$B$44)/(Inputs!$B$44),0))),0)))&gt;=100),MIN(100,((Inputs!$B$9+((C293=TRUE)*(F293-Calc!F25))+B308+(ArtifactsInput!$M$24-ArtifactsInput!$M$24)*CHOOSE(ArtifactsInput!$N$24+1,10,12,14,16,18,20)+IF(ArtifactsInput!$M$10,CHOOSE(ArtifactsInput!$N$10+1,15,18,21,24,27,30)*(IF(Inputs!$B$39="pvp",MIN(15,15)/15,IF(AND(Inputs!$B$39&lt;&gt;"pvp",Inputs!$B$44&gt;0),MIN(15,Inputs!$B$44)/(Inputs!$B$44),0))),0)))-100),0))*CHOOSE(ArtifactsInput!$N$42+1,0.6,0.72,0.84,0.96,1.08,1.2))),Inputs!$B$18+((C297=TRUE)*(F297-Calc!F29))+(IF(AND(ArtifactsInput!$M$42,((Inputs!$B$9+((C293=TRUE)*(F293-Calc!F25))+B308+(ArtifactsInput!$M$24-ArtifactsInput!$M$24)*CHOOSE(ArtifactsInput!$N$24+1,10,12,14,16,18,20)+IF(ArtifactsInput!$M$10,CHOOSE(ArtifactsInput!$N$10+1,15,18,21,24,27,30)*(IF(Inputs!$B$39="pvp",MIN(15,15)/15,IF(AND(Inputs!$B$39&lt;&gt;"pvp",Inputs!$B$44&gt;0),MIN(15,Inputs!$B$44)/(Inputs!$B$44),0))),0)))&gt;=100),CHOOSE(ArtifactsInput!$N$42+1,40,48,56,64,72,80),0))))/100)*(((1+(((C289=TRUE)*F289*IF(AND(Inputs!$B$39&lt;&gt;"pvp",Inputs!$B$44&gt;0),(((R289-1)*(Skills!Y21*(1+Inputs!$B$34/100))+MIN((Skills!Y21*(1+Inputs!$B$34/100)),MAX(0,Inputs!$B$44-((R289-1)*Skills!D21))))/Inputs!$B$44),IF(Inputs!$B$39="pvp",MIN((Skills!Y21*(1+Inputs!$B$34/100)),15)/15,(Skills!Y21*(1+Inputs!$B$34/100))/Skills!D21)))+((C296=TRUE)*(F296-Calc!F28))+((C286=TRUE)*(F286-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TRUE)*F283*IF(AND(Inputs!$B$39&lt;&gt;"pvp",Inputs!$B$44&gt;0),(((R283-1)*(Skills!Y15*(1+Inputs!$B$34/100))+MIN((Skills!Y15*(1+Inputs!$B$34/100)),MAX(0,Inputs!$B$44-((R283-1)*Skills!D15))))/Inputs!$B$44),IF(Inputs!$B$39="pvp",MIN((Skills!Y15*(1+Inputs!$B$34/100)),15)/15,(Skills!Y15*(1+Inputs!$B$34/100))/Skills!D15)))/100)*(1+((C274=TRUE)*F274*B302)/100))*B310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285)</f>
        <v/>
      </c>
      <c r="L285">
        <f>K285*(MIN(Inputs!$B$22+((C292=TRUE)*(F292-Calc!F24)),(Inputs!$B$23+0+(IF(ArtifactsInput!$M$15,CHOOSE(ArtifactsInput!$N$15+1,25,30,35,40,45,50)/100*(Inputs!$B$11-Inputs!$B$11),0))))/100+(Inputs!$B$23+0+(IF(ArtifactsInput!$M$15,CHOOSE(ArtifactsInput!$N$15+1,25,30,35,40,45,50)/100*(Inputs!$B$11-Inputs!$B$11),0)))/100)/2</f>
        <v/>
      </c>
      <c r="M285">
        <f>L285*(1+(Inputs!$B$10+((C294=TRUE)*(F294-Calc!F26))+B311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5">
        <f>L285*(1-MIN((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285*(MIN((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5">
        <f>(1-Summary!$B$11)*T285+Summary!$B$11*V285</f>
        <v/>
      </c>
      <c r="P285">
        <f>IF(B312=0,0,O285/B312)</f>
        <v/>
      </c>
      <c r="Q285" t="n">
        <v>0</v>
      </c>
      <c r="R285" t="n">
        <v>0</v>
      </c>
      <c r="S285">
        <f>IFERROR(O285/N285,0)</f>
        <v/>
      </c>
      <c r="T285">
        <f>IF(C285,(Inputs!$B$38*0.2*N285)*IF(Inputs!$B$39="pvp",1,1+(Inputs!$B$20+((C295=TRUE)*(F295-Calc!F27))+Skills!P17+B309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Hunt"),CHOOSE(ArtifactsInput!$N$35+1,15,18,21,24,27,30)*(1-EXP(-(0.2*B304)*5)),0)+IF(AND(ArtifactsInput!$M$22,Inputs!$B$4&lt;&gt;"Chapter Hunt"),CHOOSE(ArtifactsInput!$N$22+1,10,12,14,16,18,20)*((0*(((0.15*B304*5))^0/1)+1*(((0.15*B304*5))^1/1)+2*(((0.15*B304*5))^2/2)+3*(((0.15*B304*5))^3/6)+4*(((0.15*B304*5))^4/24)+5*(((0.15*B304*5))^5/120))/((((0.15*B304*5))^0/1)+(((0.15*B304*5))^1/1)+(((0.15*B304*5))^2/2)+(((0.15*B304*5))^3/6)+(((0.15*B304*5))^4/24)+(((0.15*B304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285*(1-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285*(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285*(1-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285*(MIN(100,(Inputs!$B$9+((C293=TRUE)*(F293-Calc!F25))+B308+(ArtifactsInput!$M$24-ArtifactsInput!$M$24)*CHOOSE(ArtifactsInput!$N$24+1,10,12,14,16,18,20)+(IF(AND(ArtifactsInput!$M$42,((Inputs!$B$9+((C293=TRUE)*(F293-Calc!F25))+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5">
        <f>IF(C285,(Inputs!$B$38*0.2*N285)*IF(Inputs!$B$39="pvp",1,(1+(Inputs!$B$21+Skills!Q17+B309+(IF(ArtifactsInput!$M$33,CHOOSE(ArtifactsInput!$N$33+1,30,36,42,48,54,60),0))+(IF(AND(ArtifactsInput!$M$35,Inputs!$B$4&lt;&gt;"Chapter Hunt"),CHOOSE(ArtifactsInput!$N$35+1,15,18,21,24,27,30)*(1-EXP(-(0.2*B304)*5)),0)+IF(AND(ArtifactsInput!$M$22,Inputs!$B$4&lt;&gt;"Chapter Hunt"),CHOOSE(ArtifactsInput!$N$22+1,10,12,14,16,18,20)*((0*(((0.15*B304*5))^0/1)+1*(((0.15*B304*5))^1/1)+2*(((0.15*B304*5))^2/2)+3*(((0.15*B304*5))^3/6)+4*(((0.15*B304*5))^4/24)+5*(((0.15*B304*5))^5/120))/((((0.15*B304*5))^0/1)+(((0.15*B304*5))^1/1)+(((0.15*B304*5))^2/2)+(((0.15*B304*5))^3/6)+(((0.15*B304*5))^4/24)+(((0.15*B304*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6">
      <c r="A286">
        <f>Skills!A18</f>
        <v/>
      </c>
      <c r="B286">
        <f>Skills!B18</f>
        <v/>
      </c>
      <c r="C286">
        <f>Inputs!$B$3&gt;=115</f>
        <v/>
      </c>
      <c r="D286">
        <f>IF(Skills!C18=1,60+Inputs!$B$25+Inputs!$B$29,IF(Skills!C18=2,90+Inputs!$B$26+Inputs!$B$29,IF(Skills!C18=3,120+Inputs!$B$27+Inputs!$B$29,MAX(0,(Inputs!$B$3-100)*3)+Inputs!$B$28+Inputs!$B$29)))</f>
        <v/>
      </c>
      <c r="E286">
        <f>INDEX(FactorTable!$B$2:$Y$301, MATCH(ROUND(MIN(300,MAX(1,D286)),0), FactorTable!$A$2:$A$301,0), Skills!M18+1)</f>
        <v/>
      </c>
      <c r="F286">
        <f>IF(Skills!N18=TRUE,(Skills!L18/10)*(E286/1000),Skills!L18/10)+Skills!O18</f>
        <v/>
      </c>
      <c r="G286">
        <f>Calc!G18</f>
        <v/>
      </c>
      <c r="H286">
        <f>Calc!H18</f>
        <v/>
      </c>
      <c r="I286">
        <f>IF(Skills!AA18&lt;&gt;"",1+(Skills!AA18/10)*(U271/1000)/100,1)</f>
        <v/>
      </c>
      <c r="J286" t="inlineStr"/>
      <c r="K286" t="inlineStr"/>
      <c r="L286" t="inlineStr"/>
      <c r="M286" t="inlineStr"/>
      <c r="N286" t="inlineStr"/>
      <c r="O286">
        <f>(1-Summary!$B$11)*T286+Summary!$B$11*V286</f>
        <v/>
      </c>
      <c r="P286">
        <f>IF(B312=0,0,O286/B312)</f>
        <v/>
      </c>
      <c r="Q286" t="n">
        <v>0</v>
      </c>
      <c r="R286" t="n">
        <v>0</v>
      </c>
      <c r="S286">
        <f>IFERROR(O286/N286,0)</f>
        <v/>
      </c>
      <c r="T286" t="n">
        <v>0</v>
      </c>
      <c r="V286" t="n">
        <v>0</v>
      </c>
    </row>
    <row r="287">
      <c r="A287">
        <f>Skills!A19</f>
        <v/>
      </c>
      <c r="B287">
        <f>Skills!B19</f>
        <v/>
      </c>
      <c r="C287">
        <f>TRUE</f>
        <v/>
      </c>
      <c r="D287">
        <f>IF(Skills!C19=1,60+Inputs!$B$25+Inputs!$B$29,IF(Skills!C19=2,90+Inputs!$B$26+Inputs!$B$29,IF(Skills!C19=3,120+Inputs!$B$27+Inputs!$B$29,MAX(0,(Inputs!$B$3-100)*3)+Inputs!$B$28+Inputs!$B$29)))</f>
        <v/>
      </c>
      <c r="E287">
        <f>INDEX(FactorTable!$B$2:$Y$301, MATCH(ROUND(MIN(300,MAX(1,D287)),0), FactorTable!$A$2:$A$301,0), Skills!M19+1)</f>
        <v/>
      </c>
      <c r="F287">
        <f>IF(Skills!N19=TRUE,(Skills!L19/10)*(E287/1000),Skills!L19/10)+Skills!O19</f>
        <v/>
      </c>
      <c r="G287">
        <f>Calc!G19</f>
        <v/>
      </c>
      <c r="H287">
        <f>Calc!H19</f>
        <v/>
      </c>
      <c r="I287">
        <f>IF(Skills!AA19&lt;&gt;"",1+(Skills!AA19/10)*(U271/1000)/100,1)</f>
        <v/>
      </c>
      <c r="J287" t="inlineStr"/>
      <c r="K287" t="inlineStr"/>
      <c r="L287" t="inlineStr"/>
      <c r="M287" t="inlineStr"/>
      <c r="N287" t="inlineStr"/>
      <c r="O287">
        <f>(1-Summary!$B$11)*T287+Summary!$B$11*V287</f>
        <v/>
      </c>
      <c r="P287">
        <f>IF(B312=0,0,O287/B312)</f>
        <v/>
      </c>
      <c r="Q287">
        <f>IFERROR(1/IF(Inputs!$B$39="pvp",15,MAX(0.1,Skills!D19-IF(Skills!E19=TRUE,Inputs!$B$32,0))),0)</f>
        <v/>
      </c>
      <c r="R287">
        <f>IF(AND(Inputs!$B$39&lt;&gt;"pvp",Inputs!$B$44&gt;0),IF(Inputs!$B$44&lt;=0,0,(INT(Inputs!$B$44/IF(Inputs!$B$39="pvp",15,MAX(0.1,Skills!D19-IF(Skills!E19=TRUE,Inputs!$B$32,0))))+1)),0)</f>
        <v/>
      </c>
      <c r="S287">
        <f>IFERROR(O287/N287,0)</f>
        <v/>
      </c>
      <c r="T287" t="n">
        <v>0</v>
      </c>
      <c r="V287" t="n">
        <v>0</v>
      </c>
    </row>
    <row r="288">
      <c r="A288">
        <f>Skills!A20</f>
        <v/>
      </c>
      <c r="B288">
        <f>Skills!B20</f>
        <v/>
      </c>
      <c r="C288">
        <f>Inputs!$B$3&gt;=15</f>
        <v/>
      </c>
      <c r="D288">
        <f>IF(Skills!C20=1,60+Inputs!$B$25+Inputs!$B$29,IF(Skills!C20=2,90+Inputs!$B$26+Inputs!$B$29,IF(Skills!C20=3,120+Inputs!$B$27+Inputs!$B$29,MAX(0,(Inputs!$B$3-100)*3)+Inputs!$B$28+Inputs!$B$29)))</f>
        <v/>
      </c>
      <c r="E288">
        <f>INDEX(FactorTable!$B$2:$Y$301, MATCH(ROUND(MIN(300,MAX(1,D288)),0), FactorTable!$A$2:$A$301,0), Skills!M20+1)</f>
        <v/>
      </c>
      <c r="F288">
        <f>IF(Skills!N20=TRUE,(Skills!L20/10)*(E288/1000),Skills!L20/10)+Skills!O20</f>
        <v/>
      </c>
      <c r="G288">
        <f>Calc!G20</f>
        <v/>
      </c>
      <c r="H288">
        <f>Calc!H20</f>
        <v/>
      </c>
      <c r="I288">
        <f>IF(Skills!AA20&lt;&gt;"",1+(Skills!AA20/10)*(U271/1000)/100,1)</f>
        <v/>
      </c>
      <c r="J288" t="inlineStr"/>
      <c r="K288" t="inlineStr"/>
      <c r="L288" t="inlineStr"/>
      <c r="M288" t="inlineStr"/>
      <c r="N288" t="inlineStr"/>
      <c r="O288">
        <f>(1-Summary!$B$11)*T288+Summary!$B$11*V288</f>
        <v/>
      </c>
      <c r="P288">
        <f>IF(B312=0,0,O288/B312)</f>
        <v/>
      </c>
      <c r="Q288">
        <f>IFERROR(1/IF(Inputs!$B$39="pvp",15,MAX(0.1,Skills!D20-IF(Skills!E20=TRUE,Inputs!$B$32,0))),0)</f>
        <v/>
      </c>
      <c r="R288">
        <f>IF(AND(Inputs!$B$39&lt;&gt;"pvp",Inputs!$B$44&gt;0),IF(Inputs!$B$44&lt;=0,0,(INT(Inputs!$B$44/IF(Inputs!$B$39="pvp",15,MAX(0.1,Skills!D20-IF(Skills!E20=TRUE,Inputs!$B$32,0))))+1)),0)</f>
        <v/>
      </c>
      <c r="S288">
        <f>IFERROR(O288/N288,0)</f>
        <v/>
      </c>
      <c r="T288" t="n">
        <v>0</v>
      </c>
      <c r="V288" t="n">
        <v>0</v>
      </c>
    </row>
    <row r="289">
      <c r="A289">
        <f>Skills!A21</f>
        <v/>
      </c>
      <c r="B289">
        <f>Skills!B21</f>
        <v/>
      </c>
      <c r="C289">
        <f>Inputs!$B$3&gt;=15</f>
        <v/>
      </c>
      <c r="D289">
        <f>IF(Skills!C21=1,60+Inputs!$B$25+Inputs!$B$29,IF(Skills!C21=2,90+Inputs!$B$26+Inputs!$B$29,IF(Skills!C21=3,120+Inputs!$B$27+Inputs!$B$29,MAX(0,(Inputs!$B$3-100)*3)+Inputs!$B$28+Inputs!$B$29)))</f>
        <v/>
      </c>
      <c r="E289">
        <f>INDEX(FactorTable!$B$2:$Y$301, MATCH(ROUND(MIN(300,MAX(1,D289)),0), FactorTable!$A$2:$A$301,0), Skills!M21+1)</f>
        <v/>
      </c>
      <c r="F289">
        <f>IF(Skills!N21=TRUE,(Skills!L21/10)*(E289/1000),Skills!L21/10)+Skills!O21</f>
        <v/>
      </c>
      <c r="G289">
        <f>Calc!G21</f>
        <v/>
      </c>
      <c r="H289">
        <f>Calc!H21</f>
        <v/>
      </c>
      <c r="I289">
        <f>IF(Skills!AA21&lt;&gt;"",1+(Skills!AA21/10)*(U271/1000)/100,1)</f>
        <v/>
      </c>
      <c r="J289" t="inlineStr"/>
      <c r="K289" t="inlineStr"/>
      <c r="L289" t="inlineStr"/>
      <c r="M289" t="inlineStr"/>
      <c r="N289" t="inlineStr"/>
      <c r="O289">
        <f>(1-Summary!$B$11)*T289+Summary!$B$11*V289</f>
        <v/>
      </c>
      <c r="P289">
        <f>IF(B312=0,0,O289/B312)</f>
        <v/>
      </c>
      <c r="Q289">
        <f>IFERROR(1/IF(Inputs!$B$39="pvp",15,MAX(0.1,Skills!D21-IF(Skills!E21=TRUE,Inputs!$B$32,0))),0)</f>
        <v/>
      </c>
      <c r="R289">
        <f>IF(AND(Inputs!$B$39&lt;&gt;"pvp",Inputs!$B$44&gt;0),IF(Inputs!$B$44&lt;=0,0,(INT(Inputs!$B$44/IF(Inputs!$B$39="pvp",15,MAX(0.1,Skills!D21-IF(Skills!E21=TRUE,Inputs!$B$32,0))))+1)),0)</f>
        <v/>
      </c>
      <c r="S289">
        <f>IFERROR(O289/N289,0)</f>
        <v/>
      </c>
      <c r="T289" t="n">
        <v>0</v>
      </c>
      <c r="V289" t="n">
        <v>0</v>
      </c>
    </row>
    <row r="290">
      <c r="A290">
        <f>Skills!A22</f>
        <v/>
      </c>
      <c r="B290">
        <f>Skills!B22</f>
        <v/>
      </c>
      <c r="C290">
        <f>Inputs!$B$3&gt;=33</f>
        <v/>
      </c>
      <c r="D290">
        <f>IF(Skills!C22=1,60+Inputs!$B$25+Inputs!$B$29,IF(Skills!C22=2,90+Inputs!$B$26+Inputs!$B$29,IF(Skills!C22=3,120+Inputs!$B$27+Inputs!$B$29,MAX(0,(Inputs!$B$3-100)*3)+Inputs!$B$28+Inputs!$B$29)))</f>
        <v/>
      </c>
      <c r="E290">
        <f>INDEX(FactorTable!$B$2:$Y$301, MATCH(ROUND(MIN(300,MAX(1,D290)),0), FactorTable!$A$2:$A$301,0), Skills!M22+1)</f>
        <v/>
      </c>
      <c r="F290">
        <f>IF(Skills!N22=TRUE,(Skills!L22/10)*(E290/1000),Skills!L22/10)+Skills!O22</f>
        <v/>
      </c>
      <c r="G290">
        <f>Calc!G22</f>
        <v/>
      </c>
      <c r="H290">
        <f>Calc!H22</f>
        <v/>
      </c>
      <c r="I290">
        <f>IF(Skills!AA22&lt;&gt;"",1+(Skills!AA22/10)*(U271/1000)/100,1)</f>
        <v/>
      </c>
      <c r="J290" t="inlineStr"/>
      <c r="K290" t="inlineStr"/>
      <c r="L290" t="inlineStr"/>
      <c r="M290" t="inlineStr"/>
      <c r="N290" t="inlineStr"/>
      <c r="O290">
        <f>(1-Summary!$B$11)*T290+Summary!$B$11*V290</f>
        <v/>
      </c>
      <c r="P290">
        <f>IF(B312=0,0,O290/B312)</f>
        <v/>
      </c>
      <c r="Q290" t="n">
        <v>0</v>
      </c>
      <c r="R290" t="n">
        <v>0</v>
      </c>
      <c r="S290">
        <f>IFERROR(O290/N290,0)</f>
        <v/>
      </c>
      <c r="T290" t="n">
        <v>0</v>
      </c>
      <c r="V290" t="n">
        <v>0</v>
      </c>
    </row>
    <row r="291">
      <c r="A291">
        <f>Skills!A23</f>
        <v/>
      </c>
      <c r="B291">
        <f>Skills!B23</f>
        <v/>
      </c>
      <c r="C291">
        <f>Inputs!$B$3&gt;=38</f>
        <v/>
      </c>
      <c r="D291">
        <f>IF(Skills!C23=1,60+Inputs!$B$25+Inputs!$B$29,IF(Skills!C23=2,90+Inputs!$B$26+Inputs!$B$29,IF(Skills!C23=3,120+Inputs!$B$27+Inputs!$B$29,MAX(0,(Inputs!$B$3-100)*3)+Inputs!$B$28+Inputs!$B$29)))</f>
        <v/>
      </c>
      <c r="E291">
        <f>INDEX(FactorTable!$B$2:$Y$301, MATCH(ROUND(MIN(300,MAX(1,D291)),0), FactorTable!$A$2:$A$301,0), Skills!M23+1)</f>
        <v/>
      </c>
      <c r="F291">
        <f>IF(Skills!N23=TRUE,(Skills!L23/10)*(E291/1000),Skills!L23/10)+Skills!O23</f>
        <v/>
      </c>
      <c r="G291">
        <f>Calc!G23</f>
        <v/>
      </c>
      <c r="H291">
        <f>Calc!H23</f>
        <v/>
      </c>
      <c r="I291">
        <f>IF(Skills!AA23&lt;&gt;"",1+(Skills!AA23/10)*(U271/1000)/100,1)</f>
        <v/>
      </c>
      <c r="J291" t="inlineStr"/>
      <c r="K291" t="inlineStr"/>
      <c r="L291" t="inlineStr"/>
      <c r="M291" t="inlineStr"/>
      <c r="N291" t="inlineStr"/>
      <c r="O291">
        <f>(1-Summary!$B$11)*T291+Summary!$B$11*V291</f>
        <v/>
      </c>
      <c r="P291">
        <f>IF(B312=0,0,O291/B312)</f>
        <v/>
      </c>
      <c r="Q291" t="n">
        <v>0</v>
      </c>
      <c r="R291" t="n">
        <v>0</v>
      </c>
      <c r="S291">
        <f>IFERROR(O291/N291,0)</f>
        <v/>
      </c>
      <c r="T291" t="n">
        <v>0</v>
      </c>
      <c r="V291" t="n">
        <v>0</v>
      </c>
    </row>
    <row r="292">
      <c r="A292">
        <f>Skills!A24</f>
        <v/>
      </c>
      <c r="B292">
        <f>Skills!B24</f>
        <v/>
      </c>
      <c r="C292">
        <f>Inputs!$B$3&gt;=40</f>
        <v/>
      </c>
      <c r="D292">
        <f>IF(Skills!C24=1,60+Inputs!$B$25+Inputs!$B$29,IF(Skills!C24=2,90+Inputs!$B$26+Inputs!$B$29,IF(Skills!C24=3,120+Inputs!$B$27+Inputs!$B$29,MAX(0,(Inputs!$B$3-100)*3)+Inputs!$B$28+Inputs!$B$29)))</f>
        <v/>
      </c>
      <c r="E292">
        <f>INDEX(FactorTable!$B$2:$Y$301, MATCH(ROUND(MIN(300,MAX(1,D292)),0), FactorTable!$A$2:$A$301,0), Skills!M24+1)</f>
        <v/>
      </c>
      <c r="F292">
        <f>IF(Skills!N24=TRUE,(Skills!L24/10)*(E292/1000),Skills!L24/10)+Skills!O24</f>
        <v/>
      </c>
      <c r="G292">
        <f>Calc!G24</f>
        <v/>
      </c>
      <c r="H292">
        <f>Calc!H24</f>
        <v/>
      </c>
      <c r="I292">
        <f>IF(Skills!AA24&lt;&gt;"",1+(Skills!AA24/10)*(U271/1000)/100,1)</f>
        <v/>
      </c>
      <c r="J292" t="inlineStr"/>
      <c r="K292" t="inlineStr"/>
      <c r="L292" t="inlineStr"/>
      <c r="M292" t="inlineStr"/>
      <c r="N292" t="inlineStr"/>
      <c r="O292">
        <f>(1-Summary!$B$11)*T292+Summary!$B$11*V292</f>
        <v/>
      </c>
      <c r="P292">
        <f>IF(B312=0,0,O292/B312)</f>
        <v/>
      </c>
      <c r="Q292" t="n">
        <v>0</v>
      </c>
      <c r="R292" t="n">
        <v>0</v>
      </c>
      <c r="S292">
        <f>IFERROR(O292/N292,0)</f>
        <v/>
      </c>
      <c r="T292" t="n">
        <v>0</v>
      </c>
      <c r="V292" t="n">
        <v>0</v>
      </c>
    </row>
    <row r="293">
      <c r="A293">
        <f>Skills!A25</f>
        <v/>
      </c>
      <c r="B293">
        <f>Skills!B25</f>
        <v/>
      </c>
      <c r="C293">
        <f>Inputs!$B$3&gt;=45</f>
        <v/>
      </c>
      <c r="D293">
        <f>IF(Skills!C25=1,60+Inputs!$B$25+Inputs!$B$29,IF(Skills!C25=2,90+Inputs!$B$26+Inputs!$B$29,IF(Skills!C25=3,120+Inputs!$B$27+Inputs!$B$29,MAX(0,(Inputs!$B$3-100)*3)+Inputs!$B$28+Inputs!$B$29)))</f>
        <v/>
      </c>
      <c r="E293">
        <f>INDEX(FactorTable!$B$2:$Y$301, MATCH(ROUND(MIN(300,MAX(1,D293)),0), FactorTable!$A$2:$A$301,0), Skills!M25+1)</f>
        <v/>
      </c>
      <c r="F293">
        <f>IF(Skills!N25=TRUE,(Skills!L25/10)*(E293/1000),Skills!L25/10)+Skills!O25</f>
        <v/>
      </c>
      <c r="G293">
        <f>Calc!G25</f>
        <v/>
      </c>
      <c r="H293">
        <f>Calc!H25</f>
        <v/>
      </c>
      <c r="I293">
        <f>IF(Skills!AA25&lt;&gt;"",1+(Skills!AA25/10)*(U271/1000)/100,1)</f>
        <v/>
      </c>
      <c r="J293" t="inlineStr"/>
      <c r="K293" t="inlineStr"/>
      <c r="L293" t="inlineStr"/>
      <c r="M293" t="inlineStr"/>
      <c r="N293" t="inlineStr"/>
      <c r="O293">
        <f>(1-Summary!$B$11)*T293+Summary!$B$11*V293</f>
        <v/>
      </c>
      <c r="P293">
        <f>IF(B312=0,0,O293/B312)</f>
        <v/>
      </c>
      <c r="Q293" t="n">
        <v>0</v>
      </c>
      <c r="R293" t="n">
        <v>0</v>
      </c>
      <c r="S293">
        <f>IFERROR(O293/N293,0)</f>
        <v/>
      </c>
      <c r="T293" t="n">
        <v>0</v>
      </c>
      <c r="V293" t="n">
        <v>0</v>
      </c>
    </row>
    <row r="294">
      <c r="A294">
        <f>Skills!A26</f>
        <v/>
      </c>
      <c r="B294">
        <f>Skills!B26</f>
        <v/>
      </c>
      <c r="C294">
        <f>Inputs!$B$3&gt;=45</f>
        <v/>
      </c>
      <c r="D294">
        <f>IF(Skills!C26=1,60+Inputs!$B$25+Inputs!$B$29,IF(Skills!C26=2,90+Inputs!$B$26+Inputs!$B$29,IF(Skills!C26=3,120+Inputs!$B$27+Inputs!$B$29,MAX(0,(Inputs!$B$3-100)*3)+Inputs!$B$28+Inputs!$B$29)))</f>
        <v/>
      </c>
      <c r="E294">
        <f>INDEX(FactorTable!$B$2:$Y$301, MATCH(ROUND(MIN(300,MAX(1,D294)),0), FactorTable!$A$2:$A$301,0), Skills!M26+1)</f>
        <v/>
      </c>
      <c r="F294">
        <f>IF(Skills!N26=TRUE,(Skills!L26/10)*(E294/1000),Skills!L26/10)+Skills!O26</f>
        <v/>
      </c>
      <c r="G294">
        <f>Calc!G26</f>
        <v/>
      </c>
      <c r="H294">
        <f>Calc!H26</f>
        <v/>
      </c>
      <c r="I294">
        <f>IF(Skills!AA26&lt;&gt;"",1+(Skills!AA26/10)*(U271/1000)/100,1)</f>
        <v/>
      </c>
      <c r="J294" t="inlineStr"/>
      <c r="K294" t="inlineStr"/>
      <c r="L294" t="inlineStr"/>
      <c r="M294" t="inlineStr"/>
      <c r="N294" t="inlineStr"/>
      <c r="O294">
        <f>(1-Summary!$B$11)*T294+Summary!$B$11*V294</f>
        <v/>
      </c>
      <c r="P294">
        <f>IF(B312=0,0,O294/B312)</f>
        <v/>
      </c>
      <c r="Q294" t="n">
        <v>0</v>
      </c>
      <c r="R294" t="n">
        <v>0</v>
      </c>
      <c r="S294">
        <f>IFERROR(O294/N294,0)</f>
        <v/>
      </c>
      <c r="T294" t="n">
        <v>0</v>
      </c>
      <c r="V294" t="n">
        <v>0</v>
      </c>
    </row>
    <row r="295">
      <c r="A295">
        <f>Skills!A27</f>
        <v/>
      </c>
      <c r="B295">
        <f>Skills!B27</f>
        <v/>
      </c>
      <c r="C295">
        <f>Inputs!$B$3&gt;=72</f>
        <v/>
      </c>
      <c r="D295">
        <f>IF(Skills!C27=1,60+Inputs!$B$25+Inputs!$B$29,IF(Skills!C27=2,90+Inputs!$B$26+Inputs!$B$29,IF(Skills!C27=3,120+Inputs!$B$27+Inputs!$B$29,MAX(0,(Inputs!$B$3-100)*3)+Inputs!$B$28+Inputs!$B$29)))</f>
        <v/>
      </c>
      <c r="E295">
        <f>INDEX(FactorTable!$B$2:$Y$301, MATCH(ROUND(MIN(300,MAX(1,D295)),0), FactorTable!$A$2:$A$301,0), Skills!M27+1)</f>
        <v/>
      </c>
      <c r="F295">
        <f>IF(Skills!N27=TRUE,(Skills!L27/10)*(E295/1000),Skills!L27/10)+Skills!O27</f>
        <v/>
      </c>
      <c r="G295">
        <f>Calc!G27</f>
        <v/>
      </c>
      <c r="H295">
        <f>Calc!H27</f>
        <v/>
      </c>
      <c r="I295">
        <f>IF(Skills!AA27&lt;&gt;"",1+(Skills!AA27/10)*(U271/1000)/100,1)</f>
        <v/>
      </c>
      <c r="J295" t="inlineStr"/>
      <c r="K295" t="inlineStr"/>
      <c r="L295" t="inlineStr"/>
      <c r="M295" t="inlineStr"/>
      <c r="N295" t="inlineStr"/>
      <c r="O295">
        <f>(1-Summary!$B$11)*T295+Summary!$B$11*V295</f>
        <v/>
      </c>
      <c r="P295">
        <f>IF(B312=0,0,O295/B312)</f>
        <v/>
      </c>
      <c r="Q295" t="n">
        <v>0</v>
      </c>
      <c r="R295" t="n">
        <v>0</v>
      </c>
      <c r="S295">
        <f>IFERROR(O295/N295,0)</f>
        <v/>
      </c>
      <c r="T295" t="n">
        <v>0</v>
      </c>
      <c r="V295" t="n">
        <v>0</v>
      </c>
    </row>
    <row r="296">
      <c r="A296">
        <f>Skills!A28</f>
        <v/>
      </c>
      <c r="B296">
        <f>Skills!B28</f>
        <v/>
      </c>
      <c r="C296">
        <f>Inputs!$B$3&gt;=75</f>
        <v/>
      </c>
      <c r="D296">
        <f>IF(Skills!C28=1,60+Inputs!$B$25+Inputs!$B$29,IF(Skills!C28=2,90+Inputs!$B$26+Inputs!$B$29,IF(Skills!C28=3,120+Inputs!$B$27+Inputs!$B$29,MAX(0,(Inputs!$B$3-100)*3)+Inputs!$B$28+Inputs!$B$29)))</f>
        <v/>
      </c>
      <c r="E296">
        <f>INDEX(FactorTable!$B$2:$Y$301, MATCH(ROUND(MIN(300,MAX(1,D296)),0), FactorTable!$A$2:$A$301,0), Skills!M28+1)</f>
        <v/>
      </c>
      <c r="F296">
        <f>IF(Skills!N28=TRUE,(Skills!L28/10)*(E296/1000),Skills!L28/10)+Skills!O28</f>
        <v/>
      </c>
      <c r="G296">
        <f>Calc!G28</f>
        <v/>
      </c>
      <c r="H296">
        <f>Calc!H28</f>
        <v/>
      </c>
      <c r="I296">
        <f>IF(Skills!AA28&lt;&gt;"",1+(Skills!AA28/10)*(U271/1000)/100,1)</f>
        <v/>
      </c>
      <c r="J296" t="inlineStr"/>
      <c r="K296" t="inlineStr"/>
      <c r="L296" t="inlineStr"/>
      <c r="M296" t="inlineStr"/>
      <c r="N296" t="inlineStr"/>
      <c r="O296">
        <f>(1-Summary!$B$11)*T296+Summary!$B$11*V296</f>
        <v/>
      </c>
      <c r="P296">
        <f>IF(B312=0,0,O296/B312)</f>
        <v/>
      </c>
      <c r="Q296" t="n">
        <v>0</v>
      </c>
      <c r="R296" t="n">
        <v>0</v>
      </c>
      <c r="S296">
        <f>IFERROR(O296/N296,0)</f>
        <v/>
      </c>
      <c r="T296" t="n">
        <v>0</v>
      </c>
      <c r="V296" t="n">
        <v>0</v>
      </c>
    </row>
    <row r="297">
      <c r="A297">
        <f>Skills!A29</f>
        <v/>
      </c>
      <c r="B297">
        <f>Skills!B29</f>
        <v/>
      </c>
      <c r="C297">
        <f>Inputs!$B$3&gt;=120</f>
        <v/>
      </c>
      <c r="D297">
        <f>IF(Skills!C29=1,60+Inputs!$B$25+Inputs!$B$29,IF(Skills!C29=2,90+Inputs!$B$26+Inputs!$B$29,IF(Skills!C29=3,120+Inputs!$B$27+Inputs!$B$29,MAX(0,(Inputs!$B$3-100)*3)+Inputs!$B$28+Inputs!$B$29)))</f>
        <v/>
      </c>
      <c r="E297">
        <f>INDEX(FactorTable!$B$2:$Y$301, MATCH(ROUND(MIN(300,MAX(1,D297)),0), FactorTable!$A$2:$A$301,0), Skills!M29+1)</f>
        <v/>
      </c>
      <c r="F297">
        <f>IF(Skills!N29=TRUE,(Skills!L29/10)*(E297/1000),Skills!L29/10)+Skills!O29</f>
        <v/>
      </c>
      <c r="G297">
        <f>Calc!G29</f>
        <v/>
      </c>
      <c r="H297">
        <f>Calc!H29</f>
        <v/>
      </c>
      <c r="I297">
        <f>IF(Skills!AA29&lt;&gt;"",1+(Skills!AA29/10)*(U271/1000)/100,1)</f>
        <v/>
      </c>
      <c r="J297" t="inlineStr"/>
      <c r="K297" t="inlineStr"/>
      <c r="L297" t="inlineStr"/>
      <c r="M297" t="inlineStr"/>
      <c r="N297" t="inlineStr"/>
      <c r="O297">
        <f>(1-Summary!$B$11)*T297+Summary!$B$11*V297</f>
        <v/>
      </c>
      <c r="P297">
        <f>IF(B312=0,0,O297/B312)</f>
        <v/>
      </c>
      <c r="Q297" t="n">
        <v>0</v>
      </c>
      <c r="R297" t="n">
        <v>0</v>
      </c>
      <c r="S297">
        <f>IFERROR(O297/N297,0)</f>
        <v/>
      </c>
      <c r="T297" t="n">
        <v>0</v>
      </c>
      <c r="V297" t="n">
        <v>0</v>
      </c>
    </row>
    <row r="298">
      <c r="A298">
        <f>Skills!A30</f>
        <v/>
      </c>
      <c r="B298">
        <f>Skills!B30</f>
        <v/>
      </c>
      <c r="C298">
        <f>Inputs!$B$3&gt;=125</f>
        <v/>
      </c>
      <c r="D298">
        <f>IF(Skills!C30=1,60+Inputs!$B$25+Inputs!$B$29,IF(Skills!C30=2,90+Inputs!$B$26+Inputs!$B$29,IF(Skills!C30=3,120+Inputs!$B$27+Inputs!$B$29,MAX(0,(Inputs!$B$3-100)*3)+Inputs!$B$28+Inputs!$B$29)))</f>
        <v/>
      </c>
      <c r="E298">
        <f>INDEX(FactorTable!$B$2:$Y$301, MATCH(ROUND(MIN(300,MAX(1,D298)),0), FactorTable!$A$2:$A$301,0), Skills!M30+1)</f>
        <v/>
      </c>
      <c r="F298">
        <f>IF(Skills!N30=TRUE,(Skills!L30/10)*(E298/1000),Skills!L30/10)+Skills!O30</f>
        <v/>
      </c>
      <c r="G298">
        <f>Calc!G30</f>
        <v/>
      </c>
      <c r="H298">
        <f>Calc!H30</f>
        <v/>
      </c>
      <c r="I298">
        <f>IF(Skills!AA30&lt;&gt;"",1+(Skills!AA30/10)*(U271/1000)/100,1)</f>
        <v/>
      </c>
      <c r="J298" t="inlineStr"/>
      <c r="K298" t="inlineStr"/>
      <c r="L298" t="inlineStr"/>
      <c r="M298" t="inlineStr"/>
      <c r="N298" t="inlineStr"/>
      <c r="O298">
        <f>(1-Summary!$B$11)*T298+Summary!$B$11*V298</f>
        <v/>
      </c>
      <c r="P298">
        <f>IF(B312=0,0,O298/B312)</f>
        <v/>
      </c>
      <c r="Q298" t="n">
        <v>0</v>
      </c>
      <c r="R298" t="n">
        <v>0</v>
      </c>
      <c r="S298">
        <f>IFERROR(O298/N298,0)</f>
        <v/>
      </c>
      <c r="T298" t="n">
        <v>0</v>
      </c>
      <c r="V298" t="n">
        <v>0</v>
      </c>
    </row>
    <row r="299">
      <c r="A299">
        <f>Skills!A31</f>
        <v/>
      </c>
      <c r="B299">
        <f>Skills!B31</f>
        <v/>
      </c>
      <c r="C299">
        <f>Inputs!$B$3&gt;=107</f>
        <v/>
      </c>
      <c r="D299">
        <f>IF(Skills!C31=1,60+Inputs!$B$25+Inputs!$B$29,IF(Skills!C31=2,90+Inputs!$B$26+Inputs!$B$29,IF(Skills!C31=3,120+Inputs!$B$27+Inputs!$B$29,MAX(0,(Inputs!$B$3-100)*3)+Inputs!$B$28+Inputs!$B$29)))</f>
        <v/>
      </c>
      <c r="E299">
        <f>INDEX(FactorTable!$B$2:$Y$301, MATCH(ROUND(MIN(300,MAX(1,D299)),0), FactorTable!$A$2:$A$301,0), Skills!M31+1)</f>
        <v/>
      </c>
      <c r="F299">
        <f>IF(Skills!N31=TRUE,(Skills!L31/10)*(E299/1000),Skills!L31/10)+Skills!O31</f>
        <v/>
      </c>
      <c r="G299">
        <f>Calc!G31</f>
        <v/>
      </c>
      <c r="H299">
        <f>Calc!H31</f>
        <v/>
      </c>
      <c r="I299">
        <f>IF(Skills!AA31&lt;&gt;"",1+(Skills!AA31/10)*(U271/1000)/100,1)</f>
        <v/>
      </c>
      <c r="J299" t="inlineStr"/>
      <c r="K299" t="inlineStr"/>
      <c r="L299" t="inlineStr"/>
      <c r="M299" t="inlineStr"/>
      <c r="N299" t="inlineStr"/>
      <c r="O299">
        <f>(1-Summary!$B$11)*T299+Summary!$B$11*V299</f>
        <v/>
      </c>
      <c r="P299">
        <f>IF(B312=0,0,O299/B312)</f>
        <v/>
      </c>
      <c r="Q299" t="n">
        <v>0</v>
      </c>
      <c r="R299" t="n">
        <v>0</v>
      </c>
      <c r="S299">
        <f>IFERROR(O299/N299,0)</f>
        <v/>
      </c>
      <c r="T299" t="n">
        <v>0</v>
      </c>
      <c r="V299" t="n">
        <v>0</v>
      </c>
    </row>
    <row r="301">
      <c r="A301" t="inlineStr">
        <is>
          <t>Actions Per Second (pre-Adrenalin)</t>
        </is>
      </c>
      <c r="B301">
        <f>1+MIN(150,150*(1-(1-(Inputs!$B$11+((C290=TRUE)*(F290-Calc!F22))+(ArtifactsInput!$M$15-ArtifactsInput!$M$15)*CHOOSE(ArtifactsInput!$N$15+1,8,9.6,11.2,12.8,14.4,16))/150)*(1-((C287=TRUE)*F287*IF(AND(Inputs!$B$39&lt;&gt;"pvp",Inputs!$B$44&gt;0),(((R287-1)*(Skills!Y19*(1+Inputs!$B$34/100))+MIN((Skills!Y19*(1+Inputs!$B$34/100)),MAX(0,Inputs!$B$44-((R287-1)*Skills!D19))))/Inputs!$B$44),IF(Inputs!$B$39="pvp",MIN((Skills!Y19*(1+Inputs!$B$34/100)),15)/15,(Skills!Y19*(1+Inputs!$B$34/100))/Skills!D19)))/150)))/100</f>
        <v/>
      </c>
    </row>
    <row r="302">
      <c r="A302" t="inlineStr">
        <is>
          <t>Alchemic Adrenaline Uptime</t>
        </is>
      </c>
      <c r="B302">
        <f>(Skills!Y6*(1+Inputs!$B$34/100))/((Skills!Y6*(1+Inputs!$B$34/100))+(5/B301))</f>
        <v/>
      </c>
    </row>
    <row r="303">
      <c r="A303" t="inlineStr">
        <is>
          <t>Attack Speed Buff Bonus %</t>
        </is>
      </c>
      <c r="B303">
        <f>((C287=TRUE)*F287*IF(AND(Inputs!$B$39&lt;&gt;"pvp",Inputs!$B$44&gt;0),(((R287-1)*(Skills!Y19*(1+Inputs!$B$34/100))+MIN((Skills!Y19*(1+Inputs!$B$34/100)),MAX(0,Inputs!$B$44-((R287-1)*Skills!D19))))/Inputs!$B$44),IF(Inputs!$B$39="pvp",MIN((Skills!Y19*(1+Inputs!$B$34/100)),15)/15,(Skills!Y19*(1+Inputs!$B$34/100))/Skills!D19)))+((C275=TRUE)*F275*B302)</f>
        <v/>
      </c>
    </row>
    <row r="304">
      <c r="A304" t="inlineStr">
        <is>
          <t>Actions Per Second (final)</t>
        </is>
      </c>
      <c r="B304">
        <f>1+MIN(150,150*(1-(1-(Inputs!$B$11+((C290=TRUE)*(F290-Calc!F22))+(ArtifactsInput!$M$15-ArtifactsInput!$M$15)*CHOOSE(ArtifactsInput!$N$15+1,8,9.6,11.2,12.8,14.4,16))/150)*(1-B303/150)))/100</f>
        <v/>
      </c>
    </row>
    <row r="305">
      <c r="A305" t="inlineStr">
        <is>
          <t>Skill + Buff Cast Rate</t>
        </is>
      </c>
      <c r="B305">
        <f>IF(AND(Inputs!$B$39&lt;&gt;"pvp",Inputs!$B$44&gt;0),SUMPRODUCT((Skills!E2:E31=TRUE)*(C270:C299=TRUE)*R270:R299*Skills!F2:F31)/Inputs!$B$44,SUMPRODUCT((Skills!E2:E31=TRUE)*(C270:C299=TRUE)*Q270:Q299*Skills!F2:F31))</f>
        <v/>
      </c>
    </row>
    <row r="306">
      <c r="A306" t="inlineStr">
        <is>
          <t>Showdown Casts Per Second</t>
        </is>
      </c>
      <c r="B306">
        <f>MAX(0,B304-B305)</f>
        <v/>
      </c>
    </row>
    <row r="307">
      <c r="A307" t="inlineStr">
        <is>
          <t>Average Buff Multiplier</t>
        </is>
      </c>
      <c r="B307">
        <f>(1+(((C289=TRUE)*F289*IF(AND(Inputs!$B$39&lt;&gt;"pvp",Inputs!$B$44&gt;0),(((R289-1)*(Skills!Y21*(1+Inputs!$B$34/100))+MIN((Skills!Y21*(1+Inputs!$B$34/100)),MAX(0,Inputs!$B$44-((R289-1)*Skills!D21))))/Inputs!$B$44),IF(Inputs!$B$39="pvp",MIN((Skills!Y21*(1+Inputs!$B$34/100)),15)/15,(Skills!Y21*(1+Inputs!$B$34/100))/Skills!D21)))+((C296=TRUE)*(F296-Calc!F28))+((C286=TRUE)*(F286-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TRUE)*F283*IF(AND(Inputs!$B$39&lt;&gt;"pvp",Inputs!$B$44&gt;0),(((R283-1)*(Skills!Y15*(1+Inputs!$B$34/100))+MIN((Skills!Y15*(1+Inputs!$B$34/100)),MAX(0,Inputs!$B$44-((R283-1)*Skills!D15))))/Inputs!$B$44),IF(Inputs!$B$39="pvp",MIN((Skills!Y15*(1+Inputs!$B$34/100)),15)/15,(Skills!Y15*(1+Inputs!$B$34/100))/Skills!D15)))/100)*(1+((C274=TRUE)*F274*B302)/100)</f>
        <v/>
      </c>
    </row>
    <row r="308">
      <c r="A308" t="inlineStr">
        <is>
          <t>Global Crit Rate Bonus %</t>
        </is>
      </c>
      <c r="B308">
        <f>IF(Inputs!$B$3&gt;=47,8,0)+((C288=TRUE)*F288*IF(AND(Inputs!$B$39&lt;&gt;"pvp",Inputs!$B$44&gt;0),(((R288-1)*(Skills!Y20*(1+Inputs!$B$34/100))+MIN((Skills!Y20*(1+Inputs!$B$34/100)),MAX(0,Inputs!$B$44-((R288-1)*Skills!D20))))/Inputs!$B$44),IF(Inputs!$B$39="pvp",MIN((Skills!Y20*(1+Inputs!$B$34/100)),15)/15,(Skills!Y20*(1+Inputs!$B$34/100))/Skills!D20)))</f>
        <v/>
      </c>
    </row>
    <row r="309">
      <c r="A309" t="inlineStr">
        <is>
          <t>Global Monster Damage-Taken Bonus %</t>
        </is>
      </c>
      <c r="B309">
        <f>IF(Inputs!$B$3&gt;=82,15,0)+((C284=TRUE)*F284*IF(AND(Inputs!$B$39&lt;&gt;"pvp",Inputs!$B$44&gt;0),(((R284-1)*(Skills!Y16*(1+Inputs!$B$34/100))+MIN((Skills!Y16*(1+Inputs!$B$34/100)),MAX(0,Inputs!$B$44-((R284-1)*Skills!D16))))/Inputs!$B$44),IF(Inputs!$B$39="pvp",MIN((Skills!Y16*(1+Inputs!$B$34/100)),15)/15,(Skills!Y16*(1+Inputs!$B$34/100))/Skills!D16)))</f>
        <v/>
      </c>
    </row>
    <row r="310">
      <c r="A310" t="inlineStr">
        <is>
          <t>Shadow Partner Average Multiplier</t>
        </is>
      </c>
      <c r="B310">
        <f>1+((C279=TRUE)*F279*I279*Skills!J11/100)/100</f>
        <v/>
      </c>
    </row>
    <row r="311">
      <c r="A311" t="inlineStr">
        <is>
          <t>Global Critical Damage Bonus % (Frailty Curse Mastery Lv.111)</t>
        </is>
      </c>
      <c r="B311">
        <f>IF(Inputs!$B$3&gt;=111,30,0)*IF(AND(Inputs!$B$39&lt;&gt;"pvp",Inputs!$B$44&gt;0),(((R284-1)*(Skills!Y16*(1+Inputs!$B$34/100))+MIN((Skills!Y16*(1+Inputs!$B$34/100)),MAX(0,Inputs!$B$44-((R284-1)*Skills!D16))))/Inputs!$B$44),IF(Inputs!$B$39="pvp",MIN((Skills!Y16*(1+Inputs!$B$34/100)),15)/15,(Skills!Y16*(1+Inputs!$B$34/100))/Skills!D16))</f>
        <v/>
      </c>
    </row>
    <row r="312">
      <c r="A312" s="6" t="inlineStr">
        <is>
          <t>TOTAL DPS</t>
        </is>
      </c>
      <c r="B312" s="6">
        <f>SUM(O270:O299)</f>
        <v/>
      </c>
    </row>
    <row r="313">
      <c r="A313" t="inlineStr">
        <is>
          <t>Buff-Casting Startup Delay (s, fixed-duration only)</t>
        </is>
      </c>
      <c r="B313">
        <f>IF(AND(Inputs!$B$39&lt;&gt;"pvp",Inputs!$B$44&gt;0),SUMPRODUCT((Skills!Y2:Y31&gt;0)*(Skills!E2:E31=TRUE)*(C270:C299=TRUE))/B304,0)</f>
        <v/>
      </c>
    </row>
    <row r="314">
      <c r="A314" t="inlineStr">
        <is>
          <t>Boss-Only Total DPS (this block's swept value)</t>
        </is>
      </c>
      <c r="B314">
        <f>SUM(T270:T299)</f>
        <v/>
      </c>
    </row>
    <row r="315">
      <c r="A315" t="inlineStr">
        <is>
          <t>Normal-Only Total DPS (this block's swept value)</t>
        </is>
      </c>
      <c r="B315">
        <f>SUM(V270:V299)</f>
        <v/>
      </c>
    </row>
    <row r="317">
      <c r="A317" s="6" t="inlineStr">
        <is>
          <t>Stat: BOSS_DAMAGE %</t>
        </is>
      </c>
    </row>
    <row r="318">
      <c r="A318" s="5" t="inlineStr">
        <is>
          <t>Key</t>
        </is>
      </c>
      <c r="B318" s="5" t="inlineStr">
        <is>
          <t>Name</t>
        </is>
      </c>
      <c r="C318" s="5" t="inlineStr">
        <is>
          <t>Unlocked</t>
        </is>
      </c>
      <c r="D318" s="5" t="inlineStr">
        <is>
          <t>InputLevel</t>
        </is>
      </c>
      <c r="E318" s="5" t="inlineStr">
        <is>
          <t>Factor</t>
        </is>
      </c>
      <c r="F318" s="5" t="inlineStr">
        <is>
          <t>CoefficientPercent</t>
        </is>
      </c>
      <c r="G318" s="5" t="inlineStr">
        <is>
          <t>EffectiveHits</t>
        </is>
      </c>
      <c r="H318" s="5" t="inlineStr">
        <is>
          <t>ProcProbability</t>
        </is>
      </c>
      <c r="I318" s="5" t="inlineStr">
        <is>
          <t>MapleHeroMultiplier</t>
        </is>
      </c>
      <c r="J318" s="5" t="inlineStr">
        <is>
          <t>BaseDamage</t>
        </is>
      </c>
      <c r="K318" s="5" t="inlineStr">
        <is>
          <t>BaseHitDamage</t>
        </is>
      </c>
      <c r="L318" s="5" t="inlineStr">
        <is>
          <t>NonCritAvg</t>
        </is>
      </c>
      <c r="M318" s="5" t="inlineStr">
        <is>
          <t>CritAvg</t>
        </is>
      </c>
      <c r="N318" s="5" t="inlineStr">
        <is>
          <t>ExpectedDamage(perHit)</t>
        </is>
      </c>
      <c r="O318" s="5" t="inlineStr">
        <is>
          <t>DPS</t>
        </is>
      </c>
      <c r="P318" s="5" t="inlineStr">
        <is>
          <t>% of Total</t>
        </is>
      </c>
      <c r="Q318" s="5" t="inlineStr">
        <is>
          <t>InvCooldown</t>
        </is>
      </c>
      <c r="R318" s="5" t="inlineStr">
        <is>
          <t>CastsInFight</t>
        </is>
      </c>
      <c r="S318" s="5" t="inlineStr">
        <is>
          <t>HitRate(perSec)</t>
        </is>
      </c>
      <c r="U318" t="inlineStr">
        <is>
          <t>helpers</t>
        </is>
      </c>
    </row>
    <row r="319">
      <c r="A319">
        <f>Skills!A2</f>
        <v/>
      </c>
      <c r="B319">
        <f>Skills!B2</f>
        <v/>
      </c>
      <c r="C319">
        <f>Inputs!$B$3&gt;=100</f>
        <v/>
      </c>
      <c r="D319" t="inlineStr"/>
      <c r="E319" t="inlineStr"/>
      <c r="F319">
        <f>U323+Skills!O2</f>
        <v/>
      </c>
      <c r="G319">
        <f>Calc!G2</f>
        <v/>
      </c>
      <c r="H319">
        <f>Calc!H2</f>
        <v/>
      </c>
      <c r="I319">
        <f>IF(Skills!AA2&lt;&gt;"",1+(Skills!AA2/10)*(U320/1000)/100,1)</f>
        <v/>
      </c>
      <c r="J319">
        <f>((Inputs!$B$6*(1+Inputs!$B$7/100))+(((Inputs!$B$12*(1+Inputs!$B$13/100))-(Inputs!$B$12*(1+Inputs!$B$13/100)))+0.25*(Inputs!$B$14-Inputs!$B$14))*(1+Inputs!$B$7/100))*(F319/100)</f>
        <v/>
      </c>
      <c r="K319">
        <f>J319*(1+((Inputs!$B$12*(1+Inputs!$B$13/100))*0.01+Inputs!$B$14*0.0025)/100)*(1+Inputs!$B$15/100)*(1+Inputs!$B$16/100)*(5000/(6000+Inputs!$B$43*(1-(100*(1-(1-(Inputs!$B$19+0)/100)*(1-CHOOSE(ArtifactsInput!$N$40+1,5,6,7,8,9,10)/100)^(ArtifactsInput!$M$40-ArtifactsInput!$M$40)))/100)))*(1+(Inputs!$B$24+((C347=TRUE)*(F347-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340=TRUE)*(F340-Calc!F23))+(((IF(AND(ArtifactsInput!$M$42,((Inputs!$B$9+((C342=TRUE)*(F342-Calc!F25))+B357+(ArtifactsInput!$M$24-ArtifactsInput!$M$24)*CHOOSE(ArtifactsInput!$N$24+1,10,12,14,16,18,20)+IF(ArtifactsInput!$M$10,CHOOSE(ArtifactsInput!$N$10+1,15,18,21,24,27,30)*(IF(Inputs!$B$39="pvp",MIN(15,15)/15,IF(AND(Inputs!$B$39&lt;&gt;"pvp",Inputs!$B$44&gt;0),MIN(15,Inputs!$B$44)/(Inputs!$B$44),0))),0)))&gt;=100),MIN(100,((Inputs!$B$9+((C342=TRUE)*(F342-Calc!F25))+B357+(ArtifactsInput!$M$24-ArtifactsInput!$M$24)*CHOOSE(ArtifactsInput!$N$24+1,10,12,14,16,18,20)+IF(ArtifactsInput!$M$10,CHOOSE(ArtifactsInput!$N$10+1,15,18,21,24,27,30)*(IF(Inputs!$B$39="pvp",MIN(15,15)/15,IF(AND(Inputs!$B$39&lt;&gt;"pvp",Inputs!$B$44&gt;0),MIN(15,Inputs!$B$44)/(Inputs!$B$44),0))),0)))-100),0))*CHOOSE(ArtifactsInput!$N$42+1,0.6,0.72,0.84,0.96,1.08,1.2))),Inputs!$B$18+((C346=TRUE)*(F346-Calc!F29))+(IF(AND(ArtifactsInput!$M$42,((Inputs!$B$9+((C342=TRUE)*(F342-Calc!F25))+B357+(ArtifactsInput!$M$24-ArtifactsInput!$M$24)*CHOOSE(ArtifactsInput!$N$24+1,10,12,14,16,18,20)+IF(ArtifactsInput!$M$10,CHOOSE(ArtifactsInput!$N$10+1,15,18,21,24,27,30)*(IF(Inputs!$B$39="pvp",MIN(15,15)/15,IF(AND(Inputs!$B$39&lt;&gt;"pvp",Inputs!$B$44&gt;0),MIN(15,Inputs!$B$44)/(Inputs!$B$44),0))),0)))&gt;=100),CHOOSE(ArtifactsInput!$N$42+1,40,48,56,64,72,80),0))))/100)*(((1+(((C338=TRUE)*F338*IF(AND(Inputs!$B$39&lt;&gt;"pvp",Inputs!$B$44&gt;0),(((R338-1)*(Skills!Y21*(1+Inputs!$B$34/100))+MIN((Skills!Y21*(1+Inputs!$B$34/100)),MAX(0,Inputs!$B$44-((R338-1)*Skills!D21))))/Inputs!$B$44),IF(Inputs!$B$39="pvp",MIN((Skills!Y21*(1+Inputs!$B$34/100)),15)/15,(Skills!Y21*(1+Inputs!$B$34/100))/Skills!D21)))+((C345=TRUE)*(F345-Calc!F28))+((C335=TRUE)*(F335-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332=TRUE)*F332*IF(AND(Inputs!$B$39&lt;&gt;"pvp",Inputs!$B$44&gt;0),(((R332-1)*(Skills!Y15*(1+Inputs!$B$34/100))+MIN((Skills!Y15*(1+Inputs!$B$34/100)),MAX(0,Inputs!$B$44-((R332-1)*Skills!D15))))/Inputs!$B$44),IF(Inputs!$B$39="pvp",MIN((Skills!Y15*(1+Inputs!$B$34/100)),15)/15,(Skills!Y15*(1+Inputs!$B$34/100))/Skills!D15)))/100)*(1+((C323=TRUE)*F323*B351)/100))*B359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319)</f>
        <v/>
      </c>
      <c r="L319">
        <f>K319*(MIN(Inputs!$B$22+((C341=TRUE)*(F341-Calc!F24)),(Inputs!$B$23+0+(IF(ArtifactsInput!$M$15,CHOOSE(ArtifactsInput!$N$15+1,25,30,35,40,45,50)/100*(Inputs!$B$11-Inputs!$B$11),0))))/100+(Inputs!$B$23+0+(IF(ArtifactsInput!$M$15,CHOOSE(ArtifactsInput!$N$15+1,25,30,35,40,45,50)/100*(Inputs!$B$11-Inputs!$B$11),0)))/100)/2</f>
        <v/>
      </c>
      <c r="M319">
        <f>L319*(1+(Inputs!$B$10+((C343=TRUE)*(F343-Calc!F26))+B360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9">
        <f>L319*(1-MIN((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319*(MIN((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9">
        <f>(1-Summary!$B$11)*T319+Summary!$B$11*V319</f>
        <v/>
      </c>
      <c r="P319">
        <f>IF(B361=0,0,O319/B361)</f>
        <v/>
      </c>
      <c r="Q319" t="n">
        <v>0</v>
      </c>
      <c r="R319" t="n">
        <v>0</v>
      </c>
      <c r="S319">
        <f>IFERROR(O319/N319,0)</f>
        <v/>
      </c>
      <c r="T319">
        <f>IF(C319,(Skills!G2*N319*B355)*IF(Inputs!$B$39="pvp",1,1+((Inputs!$B$20+1)+((C344=TRUE)*(F344-Calc!F27))+Skills!P2+B358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Hunt"),CHOOSE(ArtifactsInput!$N$35+1,15,18,21,24,27,30)*(1-EXP(-(0.2*B353)*5)),0)+IF(AND(ArtifactsInput!$M$22,Inputs!$B$4&lt;&gt;"Chapter Hunt"),CHOOSE(ArtifactsInput!$N$22+1,10,12,14,16,18,20)*((0*(((0.15*B353*5))^0/1)+1*(((0.15*B353*5))^1/1)+2*(((0.15*B353*5))^2/2)+3*(((0.15*B353*5))^3/6)+4*(((0.15*B353*5))^4/24)+5*(((0.15*B353*5))^5/120))/((((0.15*B353*5))^0/1)+(((0.15*B353*5))^1/1)+(((0.15*B353*5))^2/2)+(((0.15*B353*5))^3/6)+(((0.15*B353*5))^4/24)+(((0.15*B353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319*(1-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319*(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319*(1-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319*(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9">
        <f>MAX(0,(Inputs!$B$3-100)*3)+Inputs!$B$28+Inputs!$B$29</f>
        <v/>
      </c>
      <c r="V319">
        <f>IF(C319,(Skills!G2*N319*B355)*IF(Inputs!$B$39="pvp",1,(1+(Inputs!$B$21+Skills!Q2+B358+(IF(ArtifactsInput!$M$33,CHOOSE(ArtifactsInput!$N$33+1,30,36,42,48,54,60),0))+(IF(AND(ArtifactsInput!$M$35,Inputs!$B$4&lt;&gt;"Chapter Hunt"),CHOOSE(ArtifactsInput!$N$35+1,15,18,21,24,27,30)*(1-EXP(-(0.2*B353)*5)),0)+IF(AND(ArtifactsInput!$M$22,Inputs!$B$4&lt;&gt;"Chapter Hunt"),CHOOSE(ArtifactsInput!$N$22+1,10,12,14,16,18,20)*((0*(((0.15*B353*5))^0/1)+1*(((0.15*B353*5))^1/1)+2*(((0.15*B353*5))^2/2)+3*(((0.15*B353*5))^3/6)+4*(((0.15*B353*5))^4/24)+5*(((0.15*B353*5))^5/120))/((((0.15*B353*5))^0/1)+(((0.15*B353*5))^1/1)+(((0.15*B353*5))^2/2)+(((0.15*B353*5))^3/6)+(((0.15*B353*5))^4/24)+(((0.15*B353*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0">
      <c r="A320">
        <f>Skills!A3</f>
        <v/>
      </c>
      <c r="B320">
        <f>Skills!B3</f>
        <v/>
      </c>
      <c r="C320">
        <f>Inputs!$B$3&gt;=35</f>
        <v/>
      </c>
      <c r="D320">
        <f>IF(Skills!C3=1,60+Inputs!$B$25+Inputs!$B$29,IF(Skills!C3=2,90+Inputs!$B$26+Inputs!$B$29,IF(Skills!C3=3,120+Inputs!$B$27+Inputs!$B$29,MAX(0,(Inputs!$B$3-100)*3)+Inputs!$B$28+Inputs!$B$29)))</f>
        <v/>
      </c>
      <c r="E320">
        <f>INDEX(FactorTable!$B$2:$Y$301, MATCH(ROUND(MIN(300,MAX(1,D320)),0), FactorTable!$A$2:$A$301,0), Skills!M3+1)</f>
        <v/>
      </c>
      <c r="F320">
        <f>IF(Skills!N3=TRUE,(Skills!L3/10)*(E320/1000),Skills!L3/10)+Skills!O3</f>
        <v/>
      </c>
      <c r="G320">
        <f>Calc!G3</f>
        <v/>
      </c>
      <c r="H320">
        <f>Calc!H3</f>
        <v/>
      </c>
      <c r="I320">
        <f>IF(Skills!AA3&lt;&gt;"",1+(Skills!AA3/10)*(U320/1000)/100,1)</f>
        <v/>
      </c>
      <c r="J320">
        <f>((Inputs!$B$6*(1+Inputs!$B$7/100))+(((Inputs!$B$12*(1+Inputs!$B$13/100))-(Inputs!$B$12*(1+Inputs!$B$13/100)))+0.25*(Inputs!$B$14-Inputs!$B$14))*(1+Inputs!$B$7/100))*(F320/100)</f>
        <v/>
      </c>
      <c r="K320">
        <f>J320*(1+((Inputs!$B$12*(1+Inputs!$B$13/100))*0.01+Inputs!$B$14*0.0025)/100)*(1+Inputs!$B$15/100)*(1+Inputs!$B$16/100)*(5000/(6000+Inputs!$B$43*(1-(100*(1-(1-(Inputs!$B$19+0)/100)*(1-CHOOSE(ArtifactsInput!$N$40+1,5,6,7,8,9,10)/100)^(ArtifactsInput!$M$40-ArtifactsInput!$M$40)))/100)))*(1+(Inputs!$B$24+((C347=TRUE)*(F347-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340=TRUE)*(F340-Calc!F23))+(((IF(AND(ArtifactsInput!$M$42,((Inputs!$B$9+((C342=TRUE)*(F342-Calc!F25))+B357+(ArtifactsInput!$M$24-ArtifactsInput!$M$24)*CHOOSE(ArtifactsInput!$N$24+1,10,12,14,16,18,20)+IF(ArtifactsInput!$M$10,CHOOSE(ArtifactsInput!$N$10+1,15,18,21,24,27,30)*(IF(Inputs!$B$39="pvp",MIN(15,15)/15,IF(AND(Inputs!$B$39&lt;&gt;"pvp",Inputs!$B$44&gt;0),MIN(15,Inputs!$B$44)/(Inputs!$B$44),0))),0)))&gt;=100),MIN(100,((Inputs!$B$9+((C342=TRUE)*(F342-Calc!F25))+B357+(ArtifactsInput!$M$24-ArtifactsInput!$M$24)*CHOOSE(ArtifactsInput!$N$24+1,10,12,14,16,18,20)+IF(ArtifactsInput!$M$10,CHOOSE(ArtifactsInput!$N$10+1,15,18,21,24,27,30)*(IF(Inputs!$B$39="pvp",MIN(15,15)/15,IF(AND(Inputs!$B$39&lt;&gt;"pvp",Inputs!$B$44&gt;0),MIN(15,Inputs!$B$44)/(Inputs!$B$44),0))),0)))-100),0))*CHOOSE(ArtifactsInput!$N$42+1,0.6,0.72,0.84,0.96,1.08,1.2))),Inputs!$B$18+((C346=TRUE)*(F346-Calc!F29))+(IF(AND(ArtifactsInput!$M$42,((Inputs!$B$9+((C342=TRUE)*(F342-Calc!F25))+B357+(ArtifactsInput!$M$24-ArtifactsInput!$M$24)*CHOOSE(ArtifactsInput!$N$24+1,10,12,14,16,18,20)+IF(ArtifactsInput!$M$10,CHOOSE(ArtifactsInput!$N$10+1,15,18,21,24,27,30)*(IF(Inputs!$B$39="pvp",MIN(15,15)/15,IF(AND(Inputs!$B$39&lt;&gt;"pvp",Inputs!$B$44&gt;0),MIN(15,Inputs!$B$44)/(Inputs!$B$44),0))),0)))&gt;=100),CHOOSE(ArtifactsInput!$N$42+1,40,48,56,64,72,80),0))))/100)*(((1+(((C338=TRUE)*F338*IF(AND(Inputs!$B$39&lt;&gt;"pvp",Inputs!$B$44&gt;0),(((R338-1)*(Skills!Y21*(1+Inputs!$B$34/100))+MIN((Skills!Y21*(1+Inputs!$B$34/100)),MAX(0,Inputs!$B$44-((R338-1)*Skills!D21))))/Inputs!$B$44),IF(Inputs!$B$39="pvp",MIN((Skills!Y21*(1+Inputs!$B$34/100)),15)/15,(Skills!Y21*(1+Inputs!$B$34/100))/Skills!D21)))+((C345=TRUE)*(F345-Calc!F28))+((C335=TRUE)*(F335-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332=TRUE)*F332*IF(AND(Inputs!$B$39&lt;&gt;"pvp",Inputs!$B$44&gt;0),(((R332-1)*(Skills!Y15*(1+Inputs!$B$34/100))+MIN((Skills!Y15*(1+Inputs!$B$34/100)),MAX(0,Inputs!$B$44-((R332-1)*Skills!D15))))/Inputs!$B$44),IF(Inputs!$B$39="pvp",MIN((Skills!Y15*(1+Inputs!$B$34/100)),15)/15,(Skills!Y15*(1+Inputs!$B$34/100))/Skills!D15)))/100)*(1+((C323=TRUE)*F323*B351)/100))*B359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320)</f>
        <v/>
      </c>
      <c r="L320">
        <f>K320*(MIN(Inputs!$B$22+((C341=TRUE)*(F341-Calc!F24)),(Inputs!$B$23+0+(IF(ArtifactsInput!$M$15,CHOOSE(ArtifactsInput!$N$15+1,25,30,35,40,45,50)/100*(Inputs!$B$11-Inputs!$B$11),0))))/100+(Inputs!$B$23+0+(IF(ArtifactsInput!$M$15,CHOOSE(ArtifactsInput!$N$15+1,25,30,35,40,45,50)/100*(Inputs!$B$11-Inputs!$B$11),0)))/100)/2</f>
        <v/>
      </c>
      <c r="M320">
        <f>L320*(1+(Inputs!$B$10+((C343=TRUE)*(F343-Calc!F26))+B360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0">
        <f>L320*(1-MIN((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320*(MIN((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0">
        <f>(1-Summary!$B$11)*T320+Summary!$B$11*V320</f>
        <v/>
      </c>
      <c r="P320">
        <f>IF(B361=0,0,O320/B361)</f>
        <v/>
      </c>
      <c r="Q320">
        <f>IFERROR(1/IF(Inputs!$B$39="pvp",15,MAX(0.1,Skills!D3-IF(Skills!E3=TRUE,Inputs!$B$32,0))),0)</f>
        <v/>
      </c>
      <c r="R320">
        <f>IF(AND(Inputs!$B$39&lt;&gt;"pvp",Inputs!$B$44&gt;0),IF(MAX(0,Inputs!$B$44-B362)&lt;=0,0,(INT(MAX(0,Inputs!$B$44-B362)/IF(Inputs!$B$39="pvp",15,MAX(0.1,Skills!D3-IF(Skills!E3=TRUE,Inputs!$B$32,0))))+1)),0)</f>
        <v/>
      </c>
      <c r="S320">
        <f>IFERROR(O320/N320,0)</f>
        <v/>
      </c>
      <c r="T320">
        <f>IF(C320,(H320*N320*IF(AND(Inputs!$B$39&lt;&gt;"pvp",Inputs!$B$44&gt;0),((Skills!G3*((R320-1)*IF(Skills!H3&gt;0,Skills!I3/Skills!H3,1)+IF(Skills!H3&gt;0,MIN(Skills!I3,MAX(0,MAX(0,Inputs!$B$44-B362)-((R320-1)*IF(Inputs!$B$39="pvp",15,MAX(0.1,Skills!D3-IF(Skills!E3=TRUE,Inputs!$B$32,0))))))/Skills!H3,1)))/Inputs!$B$44),G320*Q320))*IF(Inputs!$B$39="pvp",1,1+((Inputs!$B$20+1)+((C344=TRUE)*(F344-Calc!F27))+Skills!P3+B358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Hunt"),CHOOSE(ArtifactsInput!$N$35+1,15,18,21,24,27,30)*(1-EXP(-(0.2*B353)*5)),0)+IF(AND(ArtifactsInput!$M$22,Inputs!$B$4&lt;&gt;"Chapter Hunt"),CHOOSE(ArtifactsInput!$N$22+1,10,12,14,16,18,20)*((0*(((0.15*B353*5))^0/1)+1*(((0.15*B353*5))^1/1)+2*(((0.15*B353*5))^2/2)+3*(((0.15*B353*5))^3/6)+4*(((0.15*B353*5))^4/24)+5*(((0.15*B353*5))^5/120))/((((0.15*B353*5))^0/1)+(((0.15*B353*5))^1/1)+(((0.15*B353*5))^2/2)+(((0.15*B353*5))^3/6)+(((0.15*B353*5))^4/24)+(((0.15*B353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320*(1-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320*(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320*(1-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320*(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0">
        <f>INDEX(FactorTable!$B$2:$Y$301, MATCH(ROUND(MIN(300,MAX(1,U319)),0), FactorTable!$A$2:$A$301,0), 24)</f>
        <v/>
      </c>
      <c r="V320">
        <f>IF(C320,(H320*N320*IF(AND(Inputs!$B$39&lt;&gt;"pvp",Inputs!$B$44&gt;0),((Skills!G3*((R320-1)*IF(Skills!H3&gt;0,Skills!I3/Skills!H3,1)+IF(Skills!H3&gt;0,MIN(Skills!I3,MAX(0,MAX(0,Inputs!$B$44-B362)-((R320-1)*IF(Inputs!$B$39="pvp",15,MAX(0.1,Skills!D3-IF(Skills!E3=TRUE,Inputs!$B$32,0))))))/Skills!H3,1)))/Inputs!$B$44),G320*Q320))*IF(Inputs!$B$39="pvp",1,(1+(Inputs!$B$21+Skills!Q3+B358+(IF(ArtifactsInput!$M$33,CHOOSE(ArtifactsInput!$N$33+1,30,36,42,48,54,60),0))+(IF(AND(ArtifactsInput!$M$35,Inputs!$B$4&lt;&gt;"Chapter Hunt"),CHOOSE(ArtifactsInput!$N$35+1,15,18,21,24,27,30)*(1-EXP(-(0.2*B353)*5)),0)+IF(AND(ArtifactsInput!$M$22,Inputs!$B$4&lt;&gt;"Chapter Hunt"),CHOOSE(ArtifactsInput!$N$22+1,10,12,14,16,18,20)*((0*(((0.15*B353*5))^0/1)+1*(((0.15*B353*5))^1/1)+2*(((0.15*B353*5))^2/2)+3*(((0.15*B353*5))^3/6)+4*(((0.15*B353*5))^4/24)+5*(((0.15*B353*5))^5/120))/((((0.15*B353*5))^0/1)+(((0.15*B353*5))^1/1)+(((0.15*B353*5))^2/2)+(((0.15*B353*5))^3/6)+(((0.15*B353*5))^4/24)+(((0.15*B353*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1">
      <c r="A321">
        <f>Skills!A4</f>
        <v/>
      </c>
      <c r="B321">
        <f>Skills!B4</f>
        <v/>
      </c>
      <c r="C321">
        <f>Inputs!$B$3&gt;=40</f>
        <v/>
      </c>
      <c r="D321">
        <f>IF(Skills!C4=1,60+Inputs!$B$25+Inputs!$B$29,IF(Skills!C4=2,90+Inputs!$B$26+Inputs!$B$29,IF(Skills!C4=3,120+Inputs!$B$27+Inputs!$B$29,MAX(0,(Inputs!$B$3-100)*3)+Inputs!$B$28+Inputs!$B$29)))</f>
        <v/>
      </c>
      <c r="E321">
        <f>INDEX(FactorTable!$B$2:$Y$301, MATCH(ROUND(MIN(300,MAX(1,D321)),0), FactorTable!$A$2:$A$301,0), Skills!M4+1)</f>
        <v/>
      </c>
      <c r="F321">
        <f>IF(Skills!N4=TRUE,(Skills!L4/10)*(E321/1000),Skills!L4/10)+Skills!O4</f>
        <v/>
      </c>
      <c r="G321">
        <f>Calc!G4</f>
        <v/>
      </c>
      <c r="H321">
        <f>Calc!H4</f>
        <v/>
      </c>
      <c r="I321">
        <f>IF(Skills!AA4&lt;&gt;"",1+(Skills!AA4/10)*(U320/1000)/100,1)</f>
        <v/>
      </c>
      <c r="J321">
        <f>((Inputs!$B$6*(1+Inputs!$B$7/100))+(((Inputs!$B$12*(1+Inputs!$B$13/100))-(Inputs!$B$12*(1+Inputs!$B$13/100)))+0.25*(Inputs!$B$14-Inputs!$B$14))*(1+Inputs!$B$7/100))*(F321/100)</f>
        <v/>
      </c>
      <c r="K321">
        <f>J321*(1+((Inputs!$B$12*(1+Inputs!$B$13/100))*0.01+Inputs!$B$14*0.0025)/100)*(1+Inputs!$B$15/100)*(1+Inputs!$B$16/100)*(5000/(6000+Inputs!$B$43*(1-(100*(1-(1-(Inputs!$B$19+0)/100)*(1-CHOOSE(ArtifactsInput!$N$40+1,5,6,7,8,9,10)/100)^(ArtifactsInput!$M$40-ArtifactsInput!$M$40)))/100)))*(1+(Inputs!$B$24+((C347=TRUE)*(F347-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340=TRUE)*(F340-Calc!F23))+(((IF(AND(ArtifactsInput!$M$42,((Inputs!$B$9+((C342=TRUE)*(F342-Calc!F25))+B357+(ArtifactsInput!$M$24-ArtifactsInput!$M$24)*CHOOSE(ArtifactsInput!$N$24+1,10,12,14,16,18,20)+IF(ArtifactsInput!$M$10,CHOOSE(ArtifactsInput!$N$10+1,15,18,21,24,27,30)*(IF(Inputs!$B$39="pvp",MIN(15,15)/15,IF(AND(Inputs!$B$39&lt;&gt;"pvp",Inputs!$B$44&gt;0),MIN(15,Inputs!$B$44)/(Inputs!$B$44),0))),0)))&gt;=100),MIN(100,((Inputs!$B$9+((C342=TRUE)*(F342-Calc!F25))+B357+(ArtifactsInput!$M$24-ArtifactsInput!$M$24)*CHOOSE(ArtifactsInput!$N$24+1,10,12,14,16,18,20)+IF(ArtifactsInput!$M$10,CHOOSE(ArtifactsInput!$N$10+1,15,18,21,24,27,30)*(IF(Inputs!$B$39="pvp",MIN(15,15)/15,IF(AND(Inputs!$B$39&lt;&gt;"pvp",Inputs!$B$44&gt;0),MIN(15,Inputs!$B$44)/(Inputs!$B$44),0))),0)))-100),0))*CHOOSE(ArtifactsInput!$N$42+1,0.6,0.72,0.84,0.96,1.08,1.2))),Inputs!$B$18+((C346=TRUE)*(F346-Calc!F29))+(IF(AND(ArtifactsInput!$M$42,((Inputs!$B$9+((C342=TRUE)*(F342-Calc!F25))+B357+(ArtifactsInput!$M$24-ArtifactsInput!$M$24)*CHOOSE(ArtifactsInput!$N$24+1,10,12,14,16,18,20)+IF(ArtifactsInput!$M$10,CHOOSE(ArtifactsInput!$N$10+1,15,18,21,24,27,30)*(IF(Inputs!$B$39="pvp",MIN(15,15)/15,IF(AND(Inputs!$B$39&lt;&gt;"pvp",Inputs!$B$44&gt;0),MIN(15,Inputs!$B$44)/(Inputs!$B$44),0))),0)))&gt;=100),CHOOSE(ArtifactsInput!$N$42+1,40,48,56,64,72,80),0))))/100)*(((1+(((C338=TRUE)*F338*IF(AND(Inputs!$B$39&lt;&gt;"pvp",Inputs!$B$44&gt;0),(((R338-1)*(Skills!Y21*(1+Inputs!$B$34/100))+MIN((Skills!Y21*(1+Inputs!$B$34/100)),MAX(0,Inputs!$B$44-((R338-1)*Skills!D21))))/Inputs!$B$44),IF(Inputs!$B$39="pvp",MIN((Skills!Y21*(1+Inputs!$B$34/100)),15)/15,(Skills!Y21*(1+Inputs!$B$34/100))/Skills!D21)))+((C345=TRUE)*(F345-Calc!F28))+((C335=TRUE)*(F335-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332=TRUE)*F332*IF(AND(Inputs!$B$39&lt;&gt;"pvp",Inputs!$B$44&gt;0),(((R332-1)*(Skills!Y15*(1+Inputs!$B$34/100))+MIN((Skills!Y15*(1+Inputs!$B$34/100)),MAX(0,Inputs!$B$44-((R332-1)*Skills!D15))))/Inputs!$B$44),IF(Inputs!$B$39="pvp",MIN((Skills!Y15*(1+Inputs!$B$34/100)),15)/15,(Skills!Y15*(1+Inputs!$B$34/100))/Skills!D15)))/100)*(1+((C323=TRUE)*F323*B351)/100))*B359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321)</f>
        <v/>
      </c>
      <c r="L321">
        <f>K321*(MIN(Inputs!$B$22+((C341=TRUE)*(F341-Calc!F24)),(Inputs!$B$23+0+(IF(ArtifactsInput!$M$15,CHOOSE(ArtifactsInput!$N$15+1,25,30,35,40,45,50)/100*(Inputs!$B$11-Inputs!$B$11),0))))/100+(Inputs!$B$23+0+(IF(ArtifactsInput!$M$15,CHOOSE(ArtifactsInput!$N$15+1,25,30,35,40,45,50)/100*(Inputs!$B$11-Inputs!$B$11),0)))/100)/2</f>
        <v/>
      </c>
      <c r="M321">
        <f>L321*(1+(Inputs!$B$10+((C343=TRUE)*(F343-Calc!F26))+B360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1">
        <f>L321*(1-MIN((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321*(MIN((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1">
        <f>(1-Summary!$B$11)*T321+Summary!$B$11*V321</f>
        <v/>
      </c>
      <c r="P321">
        <f>IF(B361=0,0,O321/B361)</f>
        <v/>
      </c>
      <c r="Q321">
        <f>IFERROR(1/IF(Inputs!$B$39="pvp",15,MAX(0.1,Skills!D4-IF(Skills!E4=TRUE,Inputs!$B$32,0))),0)</f>
        <v/>
      </c>
      <c r="R321">
        <f>IF(AND(Inputs!$B$39&lt;&gt;"pvp",Inputs!$B$44&gt;0),IF(MAX(0,Inputs!$B$44-B362)&lt;=0,0,(INT(MAX(0,Inputs!$B$44-B362)/IF(Inputs!$B$39="pvp",15,MAX(0.1,Skills!D4-IF(Skills!E4=TRUE,Inputs!$B$32,0))))+1)),0)</f>
        <v/>
      </c>
      <c r="S321">
        <f>IFERROR(O321/N321,0)</f>
        <v/>
      </c>
      <c r="T321">
        <f>IF(C321,(H321*N321*IF(AND(Inputs!$B$39&lt;&gt;"pvp",Inputs!$B$44&gt;0),((Skills!G4*((R321-1)*IF(Skills!H4&gt;0,Skills!I4/Skills!H4,1)+IF(Skills!H4&gt;0,MIN(Skills!I4,MAX(0,MAX(0,Inputs!$B$44-B362)-((R321-1)*IF(Inputs!$B$39="pvp",15,MAX(0.1,Skills!D4-IF(Skills!E4=TRUE,Inputs!$B$32,0))))))/Skills!H4,1)))/Inputs!$B$44),G321*Q321))*IF(Inputs!$B$39="pvp",1,1+((Inputs!$B$20+1)+((C344=TRUE)*(F344-Calc!F27))+Skills!P4+B358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Hunt"),CHOOSE(ArtifactsInput!$N$35+1,15,18,21,24,27,30)*(1-EXP(-(0.2*B353)*5)),0)+IF(AND(ArtifactsInput!$M$22,Inputs!$B$4&lt;&gt;"Chapter Hunt"),CHOOSE(ArtifactsInput!$N$22+1,10,12,14,16,18,20)*((0*(((0.15*B353*5))^0/1)+1*(((0.15*B353*5))^1/1)+2*(((0.15*B353*5))^2/2)+3*(((0.15*B353*5))^3/6)+4*(((0.15*B353*5))^4/24)+5*(((0.15*B353*5))^5/120))/((((0.15*B353*5))^0/1)+(((0.15*B353*5))^1/1)+(((0.15*B353*5))^2/2)+(((0.15*B353*5))^3/6)+(((0.15*B353*5))^4/24)+(((0.15*B353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321*(1-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321*(1-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1">
        <f>MAX(0,(Inputs!$B$3-100)*3)+Inputs!$B$28+Inputs!$B$29</f>
        <v/>
      </c>
      <c r="V321">
        <f>IF(C321,(H321*N321*IF(AND(Inputs!$B$39&lt;&gt;"pvp",Inputs!$B$44&gt;0),((Skills!G4*((R321-1)*IF(Skills!H4&gt;0,Skills!I4/Skills!H4,1)+IF(Skills!H4&gt;0,MIN(Skills!I4,MAX(0,MAX(0,Inputs!$B$44-B362)-((R321-1)*IF(Inputs!$B$39="pvp",15,MAX(0.1,Skills!D4-IF(Skills!E4=TRUE,Inputs!$B$32,0))))))/Skills!H4,1)))/Inputs!$B$44),G321*Q321))*IF(Inputs!$B$39="pvp",1,(1+(Inputs!$B$21+Skills!Q4+B358+(IF(ArtifactsInput!$M$33,CHOOSE(ArtifactsInput!$N$33+1,30,36,42,48,54,60),0))+(IF(AND(ArtifactsInput!$M$35,Inputs!$B$4&lt;&gt;"Chapter Hunt"),CHOOSE(ArtifactsInput!$N$35+1,15,18,21,24,27,30)*(1-EXP(-(0.2*B353)*5)),0)+IF(AND(ArtifactsInput!$M$22,Inputs!$B$4&lt;&gt;"Chapter Hunt"),CHOOSE(ArtifactsInput!$N$22+1,10,12,14,16,18,20)*((0*(((0.15*B353*5))^0/1)+1*(((0.15*B353*5))^1/1)+2*(((0.15*B353*5))^2/2)+3*(((0.15*B353*5))^3/6)+4*(((0.15*B353*5))^4/24)+5*(((0.15*B353*5))^5/120))/((((0.15*B353*5))^0/1)+(((0.15*B353*5))^1/1)+(((0.15*B353*5))^2/2)+(((0.15*B353*5))^3/6)+(((0.15*B353*5))^4/24)+(((0.15*B353*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2">
      <c r="A322">
        <f>Skills!A5</f>
        <v/>
      </c>
      <c r="B322">
        <f>Skills!B5</f>
        <v/>
      </c>
      <c r="C322">
        <f>Inputs!$B$3&gt;=63</f>
        <v/>
      </c>
      <c r="D322">
        <f>IF(Skills!C5=1,60+Inputs!$B$25+Inputs!$B$29,IF(Skills!C5=2,90+Inputs!$B$26+Inputs!$B$29,IF(Skills!C5=3,120+Inputs!$B$27+Inputs!$B$29,MAX(0,(Inputs!$B$3-100)*3)+Inputs!$B$28+Inputs!$B$29)))</f>
        <v/>
      </c>
      <c r="E322">
        <f>INDEX(FactorTable!$B$2:$Y$301, MATCH(ROUND(MIN(300,MAX(1,D322)),0), FactorTable!$A$2:$A$301,0), Skills!M5+1)</f>
        <v/>
      </c>
      <c r="F322">
        <f>IF(Skills!N5=TRUE,(Skills!L5/10)*(E322/1000),Skills!L5/10)+Skills!O5</f>
        <v/>
      </c>
      <c r="G322">
        <f>Calc!G5</f>
        <v/>
      </c>
      <c r="H322">
        <f>Calc!H5</f>
        <v/>
      </c>
      <c r="I322">
        <f>IF(Skills!AA5&lt;&gt;"",1+(Skills!AA5/10)*(U320/1000)/100,1)</f>
        <v/>
      </c>
      <c r="J322">
        <f>((Inputs!$B$6*(1+Inputs!$B$7/100))+(((Inputs!$B$12*(1+Inputs!$B$13/100))-(Inputs!$B$12*(1+Inputs!$B$13/100)))+0.25*(Inputs!$B$14-Inputs!$B$14))*(1+Inputs!$B$7/100))*(F322/100)</f>
        <v/>
      </c>
      <c r="K322">
        <f>J322*(1+((Inputs!$B$12*(1+Inputs!$B$13/100))*0.01+Inputs!$B$14*0.0025)/100)*(1+Inputs!$B$15/100)*(1+Inputs!$B$16/100)*(5000/(6000+Inputs!$B$43*(1-(100*(1-(1-(Inputs!$B$19+0)/100)*(1-CHOOSE(ArtifactsInput!$N$40+1,5,6,7,8,9,10)/100)^(ArtifactsInput!$M$40-ArtifactsInput!$M$40)))/100)))*(1+(Inputs!$B$24+((C347=TRUE)*(F347-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340=TRUE)*(F340-Calc!F23))+(((IF(AND(ArtifactsInput!$M$42,((Inputs!$B$9+((C342=TRUE)*(F342-Calc!F25))+B357+(ArtifactsInput!$M$24-ArtifactsInput!$M$24)*CHOOSE(ArtifactsInput!$N$24+1,10,12,14,16,18,20)+IF(ArtifactsInput!$M$10,CHOOSE(ArtifactsInput!$N$10+1,15,18,21,24,27,30)*(IF(Inputs!$B$39="pvp",MIN(15,15)/15,IF(AND(Inputs!$B$39&lt;&gt;"pvp",Inputs!$B$44&gt;0),MIN(15,Inputs!$B$44)/(Inputs!$B$44),0))),0)))&gt;=100),MIN(100,((Inputs!$B$9+((C342=TRUE)*(F342-Calc!F25))+B357+(ArtifactsInput!$M$24-ArtifactsInput!$M$24)*CHOOSE(ArtifactsInput!$N$24+1,10,12,14,16,18,20)+IF(ArtifactsInput!$M$10,CHOOSE(ArtifactsInput!$N$10+1,15,18,21,24,27,30)*(IF(Inputs!$B$39="pvp",MIN(15,15)/15,IF(AND(Inputs!$B$39&lt;&gt;"pvp",Inputs!$B$44&gt;0),MIN(15,Inputs!$B$44)/(Inputs!$B$44),0))),0)))-100),0))*CHOOSE(ArtifactsInput!$N$42+1,0.6,0.72,0.84,0.96,1.08,1.2))),Inputs!$B$18+((C346=TRUE)*(F346-Calc!F29))+(IF(AND(ArtifactsInput!$M$42,((Inputs!$B$9+((C342=TRUE)*(F342-Calc!F25))+B357+(ArtifactsInput!$M$24-ArtifactsInput!$M$24)*CHOOSE(ArtifactsInput!$N$24+1,10,12,14,16,18,20)+IF(ArtifactsInput!$M$10,CHOOSE(ArtifactsInput!$N$10+1,15,18,21,24,27,30)*(IF(Inputs!$B$39="pvp",MIN(15,15)/15,IF(AND(Inputs!$B$39&lt;&gt;"pvp",Inputs!$B$44&gt;0),MIN(15,Inputs!$B$44)/(Inputs!$B$44),0))),0)))&gt;=100),CHOOSE(ArtifactsInput!$N$42+1,40,48,56,64,72,80),0))))/100)*(((1+(((C338=TRUE)*F338*IF(AND(Inputs!$B$39&lt;&gt;"pvp",Inputs!$B$44&gt;0),(((R338-1)*(Skills!Y21*(1+Inputs!$B$34/100))+MIN((Skills!Y21*(1+Inputs!$B$34/100)),MAX(0,Inputs!$B$44-((R338-1)*Skills!D21))))/Inputs!$B$44),IF(Inputs!$B$39="pvp",MIN((Skills!Y21*(1+Inputs!$B$34/100)),15)/15,(Skills!Y21*(1+Inputs!$B$34/100))/Skills!D21)))+((C345=TRUE)*(F345-Calc!F28))+((C335=TRUE)*(F335-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332=TRUE)*F332*IF(AND(Inputs!$B$39&lt;&gt;"pvp",Inputs!$B$44&gt;0),(((R332-1)*(Skills!Y15*(1+Inputs!$B$34/100))+MIN((Skills!Y15*(1+Inputs!$B$34/100)),MAX(0,Inputs!$B$44-((R332-1)*Skills!D15))))/Inputs!$B$44),IF(Inputs!$B$39="pvp",MIN((Skills!Y15*(1+Inputs!$B$34/100)),15)/15,(Skills!Y15*(1+Inputs!$B$34/100))/Skills!D15)))/100)*(1+((C323=TRUE)*F323*B351)/100))*B359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322)</f>
        <v/>
      </c>
      <c r="L322">
        <f>K322*(MIN(Inputs!$B$22+((C341=TRUE)*(F341-Calc!F24)),(Inputs!$B$23+0+(IF(ArtifactsInput!$M$15,CHOOSE(ArtifactsInput!$N$15+1,25,30,35,40,45,50)/100*(Inputs!$B$11-Inputs!$B$11),0))))/100+(Inputs!$B$23+0+(IF(ArtifactsInput!$M$15,CHOOSE(ArtifactsInput!$N$15+1,25,30,35,40,45,50)/100*(Inputs!$B$11-Inputs!$B$11),0)))/100)/2</f>
        <v/>
      </c>
      <c r="M322">
        <f>L322*(1+(Inputs!$B$10+((C343=TRUE)*(F343-Calc!F26))+B360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2">
        <f>L322*(1-MIN((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322*(MIN((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2">
        <f>(1-Summary!$B$11)*T322+Summary!$B$11*V322</f>
        <v/>
      </c>
      <c r="P322">
        <f>IF(B361=0,0,O322/B361)</f>
        <v/>
      </c>
      <c r="Q322">
        <f>IFERROR(1/IF(Inputs!$B$39="pvp",15,MAX(0.1,Skills!D5-IF(Skills!E5=TRUE,Inputs!$B$32,0))),0)</f>
        <v/>
      </c>
      <c r="R322">
        <f>IF(AND(Inputs!$B$39&lt;&gt;"pvp",Inputs!$B$44&gt;0),IF(MAX(0,Inputs!$B$44-B362)&lt;=0,0,(INT(MAX(0,Inputs!$B$44-B362)/IF(Inputs!$B$39="pvp",15,MAX(0.1,Skills!D5-IF(Skills!E5=TRUE,Inputs!$B$32,0))))+1)),0)</f>
        <v/>
      </c>
      <c r="S322">
        <f>IFERROR(O322/N322,0)</f>
        <v/>
      </c>
      <c r="T322">
        <f>IF(C322,(H322*N322*IF(AND(Inputs!$B$39&lt;&gt;"pvp",Inputs!$B$44&gt;0),((Skills!G5*((R322-1)*IF(Skills!H5&gt;0,Skills!I5/Skills!H5,1)+IF(Skills!H5&gt;0,MIN(Skills!I5,MAX(0,MAX(0,Inputs!$B$44-B362)-((R322-1)*IF(Inputs!$B$39="pvp",15,MAX(0.1,Skills!D5-IF(Skills!E5=TRUE,Inputs!$B$32,0))))))/Skills!H5,1)))/Inputs!$B$44),G322*Q322))*IF(Inputs!$B$39="pvp",1,1+((Inputs!$B$20+1)+((C344=TRUE)*(F344-Calc!F27))+Skills!P5+B358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Hunt"),CHOOSE(ArtifactsInput!$N$35+1,15,18,21,24,27,30)*(1-EXP(-(0.2*B353)*5)),0)+IF(AND(ArtifactsInput!$M$22,Inputs!$B$4&lt;&gt;"Chapter Hunt"),CHOOSE(ArtifactsInput!$N$22+1,10,12,14,16,18,20)*((0*(((0.15*B353*5))^0/1)+1*(((0.15*B353*5))^1/1)+2*(((0.15*B353*5))^2/2)+3*(((0.15*B353*5))^3/6)+4*(((0.15*B353*5))^4/24)+5*(((0.15*B353*5))^5/120))/((((0.15*B353*5))^0/1)+(((0.15*B353*5))^1/1)+(((0.15*B353*5))^2/2)+(((0.15*B353*5))^3/6)+(((0.15*B353*5))^4/24)+(((0.15*B353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322*(1-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322*(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322*(1-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322*(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2">
        <f>INDEX(FactorTable!$B$2:$Y$301, MATCH(ROUND(MIN(300,MAX(1,U321)),0), FactorTable!$A$2:$A$301,0), 22)</f>
        <v/>
      </c>
      <c r="V322">
        <f>IF(C322,(H322*N322*IF(AND(Inputs!$B$39&lt;&gt;"pvp",Inputs!$B$44&gt;0),((Skills!G5*((R322-1)*IF(Skills!H5&gt;0,Skills!I5/Skills!H5,1)+IF(Skills!H5&gt;0,MIN(Skills!I5,MAX(0,MAX(0,Inputs!$B$44-B362)-((R322-1)*IF(Inputs!$B$39="pvp",15,MAX(0.1,Skills!D5-IF(Skills!E5=TRUE,Inputs!$B$32,0))))))/Skills!H5,1)))/Inputs!$B$44),G322*Q322))*IF(Inputs!$B$39="pvp",1,(1+(Inputs!$B$21+Skills!Q5+B358+(IF(ArtifactsInput!$M$33,CHOOSE(ArtifactsInput!$N$33+1,30,36,42,48,54,60),0))+(IF(AND(ArtifactsInput!$M$35,Inputs!$B$4&lt;&gt;"Chapter Hunt"),CHOOSE(ArtifactsInput!$N$35+1,15,18,21,24,27,30)*(1-EXP(-(0.2*B353)*5)),0)+IF(AND(ArtifactsInput!$M$22,Inputs!$B$4&lt;&gt;"Chapter Hunt"),CHOOSE(ArtifactsInput!$N$22+1,10,12,14,16,18,20)*((0*(((0.15*B353*5))^0/1)+1*(((0.15*B353*5))^1/1)+2*(((0.15*B353*5))^2/2)+3*(((0.15*B353*5))^3/6)+4*(((0.15*B353*5))^4/24)+5*(((0.15*B353*5))^5/120))/((((0.15*B353*5))^0/1)+(((0.15*B353*5))^1/1)+(((0.15*B353*5))^2/2)+(((0.15*B353*5))^3/6)+(((0.15*B353*5))^4/24)+(((0.15*B353*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3">
      <c r="A323">
        <f>Skills!A6</f>
        <v/>
      </c>
      <c r="B323">
        <f>Skills!B6</f>
        <v/>
      </c>
      <c r="C323">
        <f>Inputs!$B$3&gt;=66</f>
        <v/>
      </c>
      <c r="D323">
        <f>IF(Skills!C6=1,60+Inputs!$B$25+Inputs!$B$29,IF(Skills!C6=2,90+Inputs!$B$26+Inputs!$B$29,IF(Skills!C6=3,120+Inputs!$B$27+Inputs!$B$29,MAX(0,(Inputs!$B$3-100)*3)+Inputs!$B$28+Inputs!$B$29)))</f>
        <v/>
      </c>
      <c r="E323">
        <f>INDEX(FactorTable!$B$2:$Y$301, MATCH(ROUND(MIN(300,MAX(1,D323)),0), FactorTable!$A$2:$A$301,0), Skills!M6+1)</f>
        <v/>
      </c>
      <c r="F323">
        <f>IF(Skills!N6=TRUE,(Skills!L6/10)*(E323/1000),Skills!L6/10)+Skills!O6</f>
        <v/>
      </c>
      <c r="G323">
        <f>Calc!G6</f>
        <v/>
      </c>
      <c r="H323">
        <f>Calc!H6</f>
        <v/>
      </c>
      <c r="I323">
        <f>IF(Skills!AA6&lt;&gt;"",1+(Skills!AA6/10)*(U320/1000)/100,1)</f>
        <v/>
      </c>
      <c r="J323" t="inlineStr"/>
      <c r="K323" t="inlineStr"/>
      <c r="L323" t="inlineStr"/>
      <c r="M323" t="inlineStr"/>
      <c r="N323" t="inlineStr"/>
      <c r="O323">
        <f>(1-Summary!$B$11)*T323+Summary!$B$11*V323</f>
        <v/>
      </c>
      <c r="P323">
        <f>IF(B361=0,0,O323/B361)</f>
        <v/>
      </c>
      <c r="Q323" t="n">
        <v>0</v>
      </c>
      <c r="R323" t="n">
        <v>0</v>
      </c>
      <c r="S323">
        <f>IFERROR(O323/N323,0)</f>
        <v/>
      </c>
      <c r="T323" t="n">
        <v>0</v>
      </c>
      <c r="U323">
        <f>290*U322/1000</f>
        <v/>
      </c>
      <c r="V323" t="n">
        <v>0</v>
      </c>
    </row>
    <row r="324">
      <c r="A324">
        <f>Skills!A7</f>
        <v/>
      </c>
      <c r="B324">
        <f>Skills!B7</f>
        <v/>
      </c>
      <c r="C324">
        <f>Inputs!$B$3&gt;=66</f>
        <v/>
      </c>
      <c r="D324">
        <f>IF(Skills!C7=1,60+Inputs!$B$25+Inputs!$B$29,IF(Skills!C7=2,90+Inputs!$B$26+Inputs!$B$29,IF(Skills!C7=3,120+Inputs!$B$27+Inputs!$B$29,MAX(0,(Inputs!$B$3-100)*3)+Inputs!$B$28+Inputs!$B$29)))</f>
        <v/>
      </c>
      <c r="E324">
        <f>INDEX(FactorTable!$B$2:$Y$301, MATCH(ROUND(MIN(300,MAX(1,D324)),0), FactorTable!$A$2:$A$301,0), Skills!M7+1)</f>
        <v/>
      </c>
      <c r="F324">
        <f>IF(Skills!N7=TRUE,(Skills!L7/10)*(E324/1000),Skills!L7/10)+Skills!O7</f>
        <v/>
      </c>
      <c r="G324">
        <f>Calc!G7</f>
        <v/>
      </c>
      <c r="H324">
        <f>Calc!H7</f>
        <v/>
      </c>
      <c r="I324">
        <f>IF(Skills!AA7&lt;&gt;"",1+(Skills!AA7/10)*(U320/1000)/100,1)</f>
        <v/>
      </c>
      <c r="J324" t="inlineStr"/>
      <c r="K324" t="inlineStr"/>
      <c r="L324" t="inlineStr"/>
      <c r="M324" t="inlineStr"/>
      <c r="N324" t="inlineStr"/>
      <c r="O324">
        <f>(1-Summary!$B$11)*T324+Summary!$B$11*V324</f>
        <v/>
      </c>
      <c r="P324">
        <f>IF(B361=0,0,O324/B361)</f>
        <v/>
      </c>
      <c r="Q324" t="n">
        <v>0</v>
      </c>
      <c r="R324" t="n">
        <v>0</v>
      </c>
      <c r="S324">
        <f>IFERROR(O324/N324,0)</f>
        <v/>
      </c>
      <c r="T324" t="n">
        <v>0</v>
      </c>
      <c r="V324" t="n">
        <v>0</v>
      </c>
    </row>
    <row r="325">
      <c r="A325">
        <f>Skills!A8</f>
        <v/>
      </c>
      <c r="B325">
        <f>Skills!B8</f>
        <v/>
      </c>
      <c r="C325">
        <f>Inputs!$B$3&gt;=69</f>
        <v/>
      </c>
      <c r="D325">
        <f>IF(Skills!C8=1,60+Inputs!$B$25+Inputs!$B$29,IF(Skills!C8=2,90+Inputs!$B$26+Inputs!$B$29,IF(Skills!C8=3,120+Inputs!$B$27+Inputs!$B$29,MAX(0,(Inputs!$B$3-100)*3)+Inputs!$B$28+Inputs!$B$29)))</f>
        <v/>
      </c>
      <c r="E325">
        <f>INDEX(FactorTable!$B$2:$Y$301, MATCH(ROUND(MIN(300,MAX(1,D325)),0), FactorTable!$A$2:$A$301,0), Skills!M8+1)</f>
        <v/>
      </c>
      <c r="F325">
        <f>IF(Skills!N8=TRUE,(Skills!L8/10)*(E325/1000),Skills!L8/10)+Skills!O8</f>
        <v/>
      </c>
      <c r="G325">
        <f>Calc!G8</f>
        <v/>
      </c>
      <c r="H325">
        <f>Calc!H8</f>
        <v/>
      </c>
      <c r="I325">
        <f>IF(Skills!AA8&lt;&gt;"",1+(Skills!AA8/10)*(U320/1000)/100,1)</f>
        <v/>
      </c>
      <c r="J325">
        <f>((Inputs!$B$6*(1+Inputs!$B$7/100))+(((Inputs!$B$12*(1+Inputs!$B$13/100))-(Inputs!$B$12*(1+Inputs!$B$13/100)))+0.25*(Inputs!$B$14-Inputs!$B$14))*(1+Inputs!$B$7/100))*(F325/100)</f>
        <v/>
      </c>
      <c r="K325">
        <f>J325*(1+((Inputs!$B$12*(1+Inputs!$B$13/100))*0.01+Inputs!$B$14*0.0025)/100)*(1+Inputs!$B$15/100)*(1+Inputs!$B$16/100)*(5000/(6000+Inputs!$B$43*(1-(100*(1-(1-(Inputs!$B$19+0)/100)*(1-CHOOSE(ArtifactsInput!$N$40+1,5,6,7,8,9,10)/100)^(ArtifactsInput!$M$40-ArtifactsInput!$M$40)))/100)))*(1+(Inputs!$B$24+((C347=TRUE)*(F347-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340=TRUE)*(F340-Calc!F23))+(((IF(AND(ArtifactsInput!$M$42,((Inputs!$B$9+((C342=TRUE)*(F342-Calc!F25))+B357+(ArtifactsInput!$M$24-ArtifactsInput!$M$24)*CHOOSE(ArtifactsInput!$N$24+1,10,12,14,16,18,20)+IF(ArtifactsInput!$M$10,CHOOSE(ArtifactsInput!$N$10+1,15,18,21,24,27,30)*(IF(Inputs!$B$39="pvp",MIN(15,15)/15,IF(AND(Inputs!$B$39&lt;&gt;"pvp",Inputs!$B$44&gt;0),MIN(15,Inputs!$B$44)/(Inputs!$B$44),0))),0)))&gt;=100),MIN(100,((Inputs!$B$9+((C342=TRUE)*(F342-Calc!F25))+B357+(ArtifactsInput!$M$24-ArtifactsInput!$M$24)*CHOOSE(ArtifactsInput!$N$24+1,10,12,14,16,18,20)+IF(ArtifactsInput!$M$10,CHOOSE(ArtifactsInput!$N$10+1,15,18,21,24,27,30)*(IF(Inputs!$B$39="pvp",MIN(15,15)/15,IF(AND(Inputs!$B$39&lt;&gt;"pvp",Inputs!$B$44&gt;0),MIN(15,Inputs!$B$44)/(Inputs!$B$44),0))),0)))-100),0))*CHOOSE(ArtifactsInput!$N$42+1,0.6,0.72,0.84,0.96,1.08,1.2))),Inputs!$B$18+((C346=TRUE)*(F346-Calc!F29))+(IF(AND(ArtifactsInput!$M$42,((Inputs!$B$9+((C342=TRUE)*(F342-Calc!F25))+B357+(ArtifactsInput!$M$24-ArtifactsInput!$M$24)*CHOOSE(ArtifactsInput!$N$24+1,10,12,14,16,18,20)+IF(ArtifactsInput!$M$10,CHOOSE(ArtifactsInput!$N$10+1,15,18,21,24,27,30)*(IF(Inputs!$B$39="pvp",MIN(15,15)/15,IF(AND(Inputs!$B$39&lt;&gt;"pvp",Inputs!$B$44&gt;0),MIN(15,Inputs!$B$44)/(Inputs!$B$44),0))),0)))&gt;=100),CHOOSE(ArtifactsInput!$N$42+1,40,48,56,64,72,80),0))))/100)*(((1+(((C338=TRUE)*F338*IF(AND(Inputs!$B$39&lt;&gt;"pvp",Inputs!$B$44&gt;0),(((R338-1)*(Skills!Y21*(1+Inputs!$B$34/100))+MIN((Skills!Y21*(1+Inputs!$B$34/100)),MAX(0,Inputs!$B$44-((R338-1)*Skills!D21))))/Inputs!$B$44),IF(Inputs!$B$39="pvp",MIN((Skills!Y21*(1+Inputs!$B$34/100)),15)/15,(Skills!Y21*(1+Inputs!$B$34/100))/Skills!D21)))+((C345=TRUE)*(F345-Calc!F28))+((C335=TRUE)*(F335-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332=TRUE)*F332*IF(AND(Inputs!$B$39&lt;&gt;"pvp",Inputs!$B$44&gt;0),(((R332-1)*(Skills!Y15*(1+Inputs!$B$34/100))+MIN((Skills!Y15*(1+Inputs!$B$34/100)),MAX(0,Inputs!$B$44-((R332-1)*Skills!D15))))/Inputs!$B$44),IF(Inputs!$B$39="pvp",MIN((Skills!Y15*(1+Inputs!$B$34/100)),15)/15,(Skills!Y15*(1+Inputs!$B$34/100))/Skills!D15)))/100)*(1+((C323=TRUE)*F323*B351)/100))*B359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325)</f>
        <v/>
      </c>
      <c r="L325">
        <f>K325*(MIN(Inputs!$B$22+((C341=TRUE)*(F341-Calc!F24)),(Inputs!$B$23+0+(IF(ArtifactsInput!$M$15,CHOOSE(ArtifactsInput!$N$15+1,25,30,35,40,45,50)/100*(Inputs!$B$11-Inputs!$B$11),0))))/100+(Inputs!$B$23+0+(IF(ArtifactsInput!$M$15,CHOOSE(ArtifactsInput!$N$15+1,25,30,35,40,45,50)/100*(Inputs!$B$11-Inputs!$B$11),0)))/100)/2</f>
        <v/>
      </c>
      <c r="M325">
        <f>L325*(1+(Inputs!$B$10+((C343=TRUE)*(F343-Calc!F26))+B360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5">
        <f>L325*(1-MIN((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325*(MIN((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5">
        <f>(1-Summary!$B$11)*T325+Summary!$B$11*V325</f>
        <v/>
      </c>
      <c r="P325">
        <f>IF(B361=0,0,O325/B361)</f>
        <v/>
      </c>
      <c r="Q325">
        <f>IFERROR(1/IF(Inputs!$B$39="pvp",15,MAX(0.1,Skills!D8-IF(Skills!E8=TRUE,Inputs!$B$32,0))),0)</f>
        <v/>
      </c>
      <c r="R325">
        <f>IF(AND(Inputs!$B$39&lt;&gt;"pvp",Inputs!$B$44&gt;0),IF(MAX(0,Inputs!$B$44-B362)&lt;=0,0,(INT(MAX(0,Inputs!$B$44-B362)/IF(Inputs!$B$39="pvp",15,MAX(0.1,Skills!D8-IF(Skills!E8=TRUE,Inputs!$B$32,0))))+1)),0)</f>
        <v/>
      </c>
      <c r="S325">
        <f>IFERROR(O325/N325,0)</f>
        <v/>
      </c>
      <c r="T325">
        <f>IF(C325,(H325*N325*IF(AND(Inputs!$B$39&lt;&gt;"pvp",Inputs!$B$44&gt;0),((Skills!G8*((R325-1)*IF(Skills!H8&gt;0,Skills!I8/Skills!H8,1)+IF(Skills!H8&gt;0,MIN(Skills!I8,MAX(0,MAX(0,Inputs!$B$44-B362)-((R325-1)*IF(Inputs!$B$39="pvp",15,MAX(0.1,Skills!D8-IF(Skills!E8=TRUE,Inputs!$B$32,0))))))/Skills!H8,1)))/Inputs!$B$44),G325*Q325))*IF(Inputs!$B$39="pvp",1,1+((Inputs!$B$20+1)+((C344=TRUE)*(F344-Calc!F27))+Skills!P8+B358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Hunt"),CHOOSE(ArtifactsInput!$N$35+1,15,18,21,24,27,30)*(1-EXP(-(0.2*B353)*5)),0)+IF(AND(ArtifactsInput!$M$22,Inputs!$B$4&lt;&gt;"Chapter Hunt"),CHOOSE(ArtifactsInput!$N$22+1,10,12,14,16,18,20)*((0*(((0.15*B353*5))^0/1)+1*(((0.15*B353*5))^1/1)+2*(((0.15*B353*5))^2/2)+3*(((0.15*B353*5))^3/6)+4*(((0.15*B353*5))^4/24)+5*(((0.15*B353*5))^5/120))/((((0.15*B353*5))^0/1)+(((0.15*B353*5))^1/1)+(((0.15*B353*5))^2/2)+(((0.15*B353*5))^3/6)+(((0.15*B353*5))^4/24)+(((0.15*B353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325*(1-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325*(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325*(1-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325*(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5">
        <f>IF(C325,(H325*N325*IF(AND(Inputs!$B$39&lt;&gt;"pvp",Inputs!$B$44&gt;0),((Skills!G8*((R325-1)*IF(Skills!H8&gt;0,Skills!I8/Skills!H8,1)+IF(Skills!H8&gt;0,MIN(Skills!I8,MAX(0,MAX(0,Inputs!$B$44-B362)-((R325-1)*IF(Inputs!$B$39="pvp",15,MAX(0.1,Skills!D8-IF(Skills!E8=TRUE,Inputs!$B$32,0))))))/Skills!H8,1)))/Inputs!$B$44),G325*Q325))*IF(Inputs!$B$39="pvp",1,(1+(Inputs!$B$21+Skills!Q8+B358+(IF(ArtifactsInput!$M$33,CHOOSE(ArtifactsInput!$N$33+1,30,36,42,48,54,60),0))+(IF(AND(ArtifactsInput!$M$35,Inputs!$B$4&lt;&gt;"Chapter Hunt"),CHOOSE(ArtifactsInput!$N$35+1,15,18,21,24,27,30)*(1-EXP(-(0.2*B353)*5)),0)+IF(AND(ArtifactsInput!$M$22,Inputs!$B$4&lt;&gt;"Chapter Hunt"),CHOOSE(ArtifactsInput!$N$22+1,10,12,14,16,18,20)*((0*(((0.15*B353*5))^0/1)+1*(((0.15*B353*5))^1/1)+2*(((0.15*B353*5))^2/2)+3*(((0.15*B353*5))^3/6)+4*(((0.15*B353*5))^4/24)+5*(((0.15*B353*5))^5/120))/((((0.15*B353*5))^0/1)+(((0.15*B353*5))^1/1)+(((0.15*B353*5))^2/2)+(((0.15*B353*5))^3/6)+(((0.15*B353*5))^4/24)+(((0.15*B353*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6">
      <c r="A326">
        <f>Skills!A9</f>
        <v/>
      </c>
      <c r="B326">
        <f>Skills!B9</f>
        <v/>
      </c>
      <c r="C326">
        <f>Inputs!$B$3&gt;=72</f>
        <v/>
      </c>
      <c r="D326">
        <f>IF(Skills!C9=1,60+Inputs!$B$25+Inputs!$B$29,IF(Skills!C9=2,90+Inputs!$B$26+Inputs!$B$29,IF(Skills!C9=3,120+Inputs!$B$27+Inputs!$B$29,MAX(0,(Inputs!$B$3-100)*3)+Inputs!$B$28+Inputs!$B$29)))</f>
        <v/>
      </c>
      <c r="E326">
        <f>INDEX(FactorTable!$B$2:$Y$301, MATCH(ROUND(MIN(300,MAX(1,D326)),0), FactorTable!$A$2:$A$301,0), Skills!M9+1)</f>
        <v/>
      </c>
      <c r="F326">
        <f>IF(Skills!N9=TRUE,(Skills!L9/10)*(E326/1000),Skills!L9/10)+Skills!O9</f>
        <v/>
      </c>
      <c r="G326">
        <f>Calc!G9</f>
        <v/>
      </c>
      <c r="H326">
        <f>Calc!H9</f>
        <v/>
      </c>
      <c r="I326">
        <f>IF(Skills!AA9&lt;&gt;"",1+(Skills!AA9/10)*(U320/1000)/100,1)</f>
        <v/>
      </c>
      <c r="J326">
        <f>((Inputs!$B$6*(1+Inputs!$B$7/100))+(((Inputs!$B$12*(1+Inputs!$B$13/100))-(Inputs!$B$12*(1+Inputs!$B$13/100)))+0.25*(Inputs!$B$14-Inputs!$B$14))*(1+Inputs!$B$7/100))*(F326/100)</f>
        <v/>
      </c>
      <c r="K326">
        <f>J326*(1+((Inputs!$B$12*(1+Inputs!$B$13/100))*0.01+Inputs!$B$14*0.0025)/100)*(1+Inputs!$B$15/100)*(1+Inputs!$B$16/100)*(5000/(6000+Inputs!$B$43*(1-(100*(1-(1-(Inputs!$B$19+0)/100)*(1-CHOOSE(ArtifactsInput!$N$40+1,5,6,7,8,9,10)/100)^(ArtifactsInput!$M$40-ArtifactsInput!$M$40)))/100)))*(1+(Inputs!$B$24+((C347=TRUE)*(F347-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340=TRUE)*(F340-Calc!F23))+(((IF(AND(ArtifactsInput!$M$42,((Inputs!$B$9+((C342=TRUE)*(F342-Calc!F25))+B357+(ArtifactsInput!$M$24-ArtifactsInput!$M$24)*CHOOSE(ArtifactsInput!$N$24+1,10,12,14,16,18,20)+IF(ArtifactsInput!$M$10,CHOOSE(ArtifactsInput!$N$10+1,15,18,21,24,27,30)*(IF(Inputs!$B$39="pvp",MIN(15,15)/15,IF(AND(Inputs!$B$39&lt;&gt;"pvp",Inputs!$B$44&gt;0),MIN(15,Inputs!$B$44)/(Inputs!$B$44),0))),0)))&gt;=100),MIN(100,((Inputs!$B$9+((C342=TRUE)*(F342-Calc!F25))+B357+(ArtifactsInput!$M$24-ArtifactsInput!$M$24)*CHOOSE(ArtifactsInput!$N$24+1,10,12,14,16,18,20)+IF(ArtifactsInput!$M$10,CHOOSE(ArtifactsInput!$N$10+1,15,18,21,24,27,30)*(IF(Inputs!$B$39="pvp",MIN(15,15)/15,IF(AND(Inputs!$B$39&lt;&gt;"pvp",Inputs!$B$44&gt;0),MIN(15,Inputs!$B$44)/(Inputs!$B$44),0))),0)))-100),0))*CHOOSE(ArtifactsInput!$N$42+1,0.6,0.72,0.84,0.96,1.08,1.2))),Inputs!$B$18+((C346=TRUE)*(F346-Calc!F29))+(IF(AND(ArtifactsInput!$M$42,((Inputs!$B$9+((C342=TRUE)*(F342-Calc!F25))+B357+(ArtifactsInput!$M$24-ArtifactsInput!$M$24)*CHOOSE(ArtifactsInput!$N$24+1,10,12,14,16,18,20)+IF(ArtifactsInput!$M$10,CHOOSE(ArtifactsInput!$N$10+1,15,18,21,24,27,30)*(IF(Inputs!$B$39="pvp",MIN(15,15)/15,IF(AND(Inputs!$B$39&lt;&gt;"pvp",Inputs!$B$44&gt;0),MIN(15,Inputs!$B$44)/(Inputs!$B$44),0))),0)))&gt;=100),CHOOSE(ArtifactsInput!$N$42+1,40,48,56,64,72,80),0))))/100)*(((1+(((C338=TRUE)*F338*IF(AND(Inputs!$B$39&lt;&gt;"pvp",Inputs!$B$44&gt;0),(((R338-1)*(Skills!Y21*(1+Inputs!$B$34/100))+MIN((Skills!Y21*(1+Inputs!$B$34/100)),MAX(0,Inputs!$B$44-((R338-1)*Skills!D21))))/Inputs!$B$44),IF(Inputs!$B$39="pvp",MIN((Skills!Y21*(1+Inputs!$B$34/100)),15)/15,(Skills!Y21*(1+Inputs!$B$34/100))/Skills!D21)))+((C345=TRUE)*(F345-Calc!F28))+((C335=TRUE)*(F335-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332=TRUE)*F332*IF(AND(Inputs!$B$39&lt;&gt;"pvp",Inputs!$B$44&gt;0),(((R332-1)*(Skills!Y15*(1+Inputs!$B$34/100))+MIN((Skills!Y15*(1+Inputs!$B$34/100)),MAX(0,Inputs!$B$44-((R332-1)*Skills!D15))))/Inputs!$B$44),IF(Inputs!$B$39="pvp",MIN((Skills!Y15*(1+Inputs!$B$34/100)),15)/15,(Skills!Y15*(1+Inputs!$B$34/100))/Skills!D15)))/100)*(1+((C323=TRUE)*F323*B351)/100))*B359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326)</f>
        <v/>
      </c>
      <c r="L326">
        <f>K326*(MIN(Inputs!$B$22+((C341=TRUE)*(F341-Calc!F24)),(Inputs!$B$23+0+(IF(ArtifactsInput!$M$15,CHOOSE(ArtifactsInput!$N$15+1,25,30,35,40,45,50)/100*(Inputs!$B$11-Inputs!$B$11),0))))/100+(Inputs!$B$23+0+(IF(ArtifactsInput!$M$15,CHOOSE(ArtifactsInput!$N$15+1,25,30,35,40,45,50)/100*(Inputs!$B$11-Inputs!$B$11),0)))/100)/2</f>
        <v/>
      </c>
      <c r="M326">
        <f>L326*(1+(Inputs!$B$10+((C343=TRUE)*(F343-Calc!F26))+B360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6">
        <f>L326*(1-MIN((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326*(MIN((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6">
        <f>(1-Summary!$B$11)*T326+Summary!$B$11*V326</f>
        <v/>
      </c>
      <c r="P326">
        <f>IF(B361=0,0,O326/B361)</f>
        <v/>
      </c>
      <c r="Q326">
        <f>IFERROR(1/IF(Inputs!$B$39="pvp",15,MAX(0.1,Skills!D9-IF(Skills!E9=TRUE,Inputs!$B$32,0))),0)</f>
        <v/>
      </c>
      <c r="R326">
        <f>IF(AND(Inputs!$B$39&lt;&gt;"pvp",Inputs!$B$44&gt;0),IF(MAX(0,Inputs!$B$44-B362)&lt;=0,0,(INT(MAX(0,Inputs!$B$44-B362)/IF(Inputs!$B$39="pvp",15,MAX(0.1,Skills!D9-IF(Skills!E9=TRUE,Inputs!$B$32,0))))+1)),0)</f>
        <v/>
      </c>
      <c r="S326">
        <f>IFERROR(O326/N326,0)</f>
        <v/>
      </c>
      <c r="T326">
        <f>IF(C326,(H326*N326*IF(AND(Inputs!$B$39&lt;&gt;"pvp",Inputs!$B$44&gt;0),((Skills!G9*((R326-1)*IF(Skills!H9&gt;0,Skills!I9/Skills!H9,1)+IF(Skills!H9&gt;0,MIN(Skills!I9,MAX(0,MAX(0,Inputs!$B$44-B362)-((R326-1)*IF(Inputs!$B$39="pvp",15,MAX(0.1,Skills!D9-IF(Skills!E9=TRUE,Inputs!$B$32,0))))))/Skills!H9,1)))/Inputs!$B$44),G326*Q326))*IF(Inputs!$B$39="pvp",1,1+((Inputs!$B$20+1)+((C344=TRUE)*(F344-Calc!F27))+Skills!P9+B358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Hunt"),CHOOSE(ArtifactsInput!$N$35+1,15,18,21,24,27,30)*(1-EXP(-(0.2*B353)*5)),0)+IF(AND(ArtifactsInput!$M$22,Inputs!$B$4&lt;&gt;"Chapter Hunt"),CHOOSE(ArtifactsInput!$N$22+1,10,12,14,16,18,20)*((0*(((0.15*B353*5))^0/1)+1*(((0.15*B353*5))^1/1)+2*(((0.15*B353*5))^2/2)+3*(((0.15*B353*5))^3/6)+4*(((0.15*B353*5))^4/24)+5*(((0.15*B353*5))^5/120))/((((0.15*B353*5))^0/1)+(((0.15*B353*5))^1/1)+(((0.15*B353*5))^2/2)+(((0.15*B353*5))^3/6)+(((0.15*B353*5))^4/24)+(((0.15*B353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326*(1-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326*(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326*(1-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326*(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6">
        <f>IF(C326,(H326*N326*IF(AND(Inputs!$B$39&lt;&gt;"pvp",Inputs!$B$44&gt;0),((Skills!G9*((R326-1)*IF(Skills!H9&gt;0,Skills!I9/Skills!H9,1)+IF(Skills!H9&gt;0,MIN(Skills!I9,MAX(0,MAX(0,Inputs!$B$44-B362)-((R326-1)*IF(Inputs!$B$39="pvp",15,MAX(0.1,Skills!D9-IF(Skills!E9=TRUE,Inputs!$B$32,0))))))/Skills!H9,1)))/Inputs!$B$44),G326*Q326))*IF(Inputs!$B$39="pvp",1,(1+(Inputs!$B$21+Skills!Q9+B358+(IF(ArtifactsInput!$M$33,CHOOSE(ArtifactsInput!$N$33+1,30,36,42,48,54,60),0))+(IF(AND(ArtifactsInput!$M$35,Inputs!$B$4&lt;&gt;"Chapter Hunt"),CHOOSE(ArtifactsInput!$N$35+1,15,18,21,24,27,30)*(1-EXP(-(0.2*B353)*5)),0)+IF(AND(ArtifactsInput!$M$22,Inputs!$B$4&lt;&gt;"Chapter Hunt"),CHOOSE(ArtifactsInput!$N$22+1,10,12,14,16,18,20)*((0*(((0.15*B353*5))^0/1)+1*(((0.15*B353*5))^1/1)+2*(((0.15*B353*5))^2/2)+3*(((0.15*B353*5))^3/6)+4*(((0.15*B353*5))^4/24)+5*(((0.15*B353*5))^5/120))/((((0.15*B353*5))^0/1)+(((0.15*B353*5))^1/1)+(((0.15*B353*5))^2/2)+(((0.15*B353*5))^3/6)+(((0.15*B353*5))^4/24)+(((0.15*B353*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7">
      <c r="A327">
        <f>Skills!A10</f>
        <v/>
      </c>
      <c r="B327">
        <f>Skills!B10</f>
        <v/>
      </c>
      <c r="C327">
        <f>Inputs!$B$3&gt;=117</f>
        <v/>
      </c>
      <c r="D327">
        <f>IF(Skills!C10=1,60+Inputs!$B$25+Inputs!$B$29,IF(Skills!C10=2,90+Inputs!$B$26+Inputs!$B$29,IF(Skills!C10=3,120+Inputs!$B$27+Inputs!$B$29,MAX(0,(Inputs!$B$3-100)*3)+Inputs!$B$28+Inputs!$B$29)))</f>
        <v/>
      </c>
      <c r="E327">
        <f>INDEX(FactorTable!$B$2:$Y$301, MATCH(ROUND(MIN(300,MAX(1,D327)),0), FactorTable!$A$2:$A$301,0), Skills!M10+1)</f>
        <v/>
      </c>
      <c r="F327">
        <f>IF(Skills!N10=TRUE,(Skills!L10/10)*(E327/1000),Skills!L10/10)+Skills!O10</f>
        <v/>
      </c>
      <c r="G327">
        <f>Calc!G10</f>
        <v/>
      </c>
      <c r="H327">
        <f>Calc!H10</f>
        <v/>
      </c>
      <c r="I327">
        <f>IF(Skills!AA10&lt;&gt;"",1+(Skills!AA10/10)*(U320/1000)/100,1)</f>
        <v/>
      </c>
      <c r="J327">
        <f>((Inputs!$B$6*(1+Inputs!$B$7/100))+(((Inputs!$B$12*(1+Inputs!$B$13/100))-(Inputs!$B$12*(1+Inputs!$B$13/100)))+0.25*(Inputs!$B$14-Inputs!$B$14))*(1+Inputs!$B$7/100))*(F327/100)</f>
        <v/>
      </c>
      <c r="K327">
        <f>J327*(1+((Inputs!$B$12*(1+Inputs!$B$13/100))*0.01+Inputs!$B$14*0.0025)/100)*(1+Inputs!$B$15/100)*(1+Inputs!$B$16/100)*(5000/(6000+Inputs!$B$43*(1-(100*(1-(1-(Inputs!$B$19+0)/100)*(1-CHOOSE(ArtifactsInput!$N$40+1,5,6,7,8,9,10)/100)^(ArtifactsInput!$M$40-ArtifactsInput!$M$40)))/100)))*(1+(Inputs!$B$24+((C347=TRUE)*(F347-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340=TRUE)*(F340-Calc!F23))+(((IF(AND(ArtifactsInput!$M$42,((Inputs!$B$9+((C342=TRUE)*(F342-Calc!F25))+B357+(ArtifactsInput!$M$24-ArtifactsInput!$M$24)*CHOOSE(ArtifactsInput!$N$24+1,10,12,14,16,18,20)+IF(ArtifactsInput!$M$10,CHOOSE(ArtifactsInput!$N$10+1,15,18,21,24,27,30)*(IF(Inputs!$B$39="pvp",MIN(15,15)/15,IF(AND(Inputs!$B$39&lt;&gt;"pvp",Inputs!$B$44&gt;0),MIN(15,Inputs!$B$44)/(Inputs!$B$44),0))),0)))&gt;=100),MIN(100,((Inputs!$B$9+((C342=TRUE)*(F342-Calc!F25))+B357+(ArtifactsInput!$M$24-ArtifactsInput!$M$24)*CHOOSE(ArtifactsInput!$N$24+1,10,12,14,16,18,20)+IF(ArtifactsInput!$M$10,CHOOSE(ArtifactsInput!$N$10+1,15,18,21,24,27,30)*(IF(Inputs!$B$39="pvp",MIN(15,15)/15,IF(AND(Inputs!$B$39&lt;&gt;"pvp",Inputs!$B$44&gt;0),MIN(15,Inputs!$B$44)/(Inputs!$B$44),0))),0)))-100),0))*CHOOSE(ArtifactsInput!$N$42+1,0.6,0.72,0.84,0.96,1.08,1.2))),Inputs!$B$18+((C346=TRUE)*(F346-Calc!F29))+(IF(AND(ArtifactsInput!$M$42,((Inputs!$B$9+((C342=TRUE)*(F342-Calc!F25))+B357+(ArtifactsInput!$M$24-ArtifactsInput!$M$24)*CHOOSE(ArtifactsInput!$N$24+1,10,12,14,16,18,20)+IF(ArtifactsInput!$M$10,CHOOSE(ArtifactsInput!$N$10+1,15,18,21,24,27,30)*(IF(Inputs!$B$39="pvp",MIN(15,15)/15,IF(AND(Inputs!$B$39&lt;&gt;"pvp",Inputs!$B$44&gt;0),MIN(15,Inputs!$B$44)/(Inputs!$B$44),0))),0)))&gt;=100),CHOOSE(ArtifactsInput!$N$42+1,40,48,56,64,72,80),0))))/100)*(((1+(((C338=TRUE)*F338*IF(AND(Inputs!$B$39&lt;&gt;"pvp",Inputs!$B$44&gt;0),(((R338-1)*(Skills!Y21*(1+Inputs!$B$34/100))+MIN((Skills!Y21*(1+Inputs!$B$34/100)),MAX(0,Inputs!$B$44-((R338-1)*Skills!D21))))/Inputs!$B$44),IF(Inputs!$B$39="pvp",MIN((Skills!Y21*(1+Inputs!$B$34/100)),15)/15,(Skills!Y21*(1+Inputs!$B$34/100))/Skills!D21)))+((C345=TRUE)*(F345-Calc!F28))+((C335=TRUE)*(F335-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332=TRUE)*F332*IF(AND(Inputs!$B$39&lt;&gt;"pvp",Inputs!$B$44&gt;0),(((R332-1)*(Skills!Y15*(1+Inputs!$B$34/100))+MIN((Skills!Y15*(1+Inputs!$B$34/100)),MAX(0,Inputs!$B$44-((R332-1)*Skills!D15))))/Inputs!$B$44),IF(Inputs!$B$39="pvp",MIN((Skills!Y15*(1+Inputs!$B$34/100)),15)/15,(Skills!Y15*(1+Inputs!$B$34/100))/Skills!D15)))/100)*(1+((C323=TRUE)*F323*B351)/100))*B359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327)</f>
        <v/>
      </c>
      <c r="L327">
        <f>K327*(MIN(Inputs!$B$22+((C341=TRUE)*(F341-Calc!F24)),(Inputs!$B$23+0+(IF(ArtifactsInput!$M$15,CHOOSE(ArtifactsInput!$N$15+1,25,30,35,40,45,50)/100*(Inputs!$B$11-Inputs!$B$11),0))))/100+(Inputs!$B$23+0+(IF(ArtifactsInput!$M$15,CHOOSE(ArtifactsInput!$N$15+1,25,30,35,40,45,50)/100*(Inputs!$B$11-Inputs!$B$11),0)))/100)/2</f>
        <v/>
      </c>
      <c r="M327">
        <f>L327*(1+(Inputs!$B$10+((C343=TRUE)*(F343-Calc!F26))+B360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7">
        <f>L327*(1-MIN((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327*(MIN((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7">
        <f>(1-Summary!$B$11)*T327+Summary!$B$11*V327</f>
        <v/>
      </c>
      <c r="P327">
        <f>IF(B361=0,0,O327/B361)</f>
        <v/>
      </c>
      <c r="Q327" t="n">
        <v>0</v>
      </c>
      <c r="R327" t="n">
        <v>0</v>
      </c>
      <c r="S327" t="n">
        <v>0</v>
      </c>
      <c r="T327">
        <f>IF(C327,(0.2*SUMPRODUCT((Skills!Z2:Z31=TRUE)*(C319:C348=TRUE)*S319:S348)*N327)*IF(Inputs!$B$39="pvp",1,1+((Inputs!$B$20+1)+((C344=TRUE)*(F344-Calc!F27))+Skills!P10+B358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Hunt"),CHOOSE(ArtifactsInput!$N$35+1,15,18,21,24,27,30)*(1-EXP(-(0.2*B353)*5)),0)+IF(AND(ArtifactsInput!$M$22,Inputs!$B$4&lt;&gt;"Chapter Hunt"),CHOOSE(ArtifactsInput!$N$22+1,10,12,14,16,18,20)*((0*(((0.15*B353*5))^0/1)+1*(((0.15*B353*5))^1/1)+2*(((0.15*B353*5))^2/2)+3*(((0.15*B353*5))^3/6)+4*(((0.15*B353*5))^4/24)+5*(((0.15*B353*5))^5/120))/((((0.15*B353*5))^0/1)+(((0.15*B353*5))^1/1)+(((0.15*B353*5))^2/2)+(((0.15*B353*5))^3/6)+(((0.15*B353*5))^4/24)+(((0.15*B353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327*(1-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327*(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327*(1-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327*(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7">
        <f>IF(C327,(0.2*SUMPRODUCT((Skills!Z2:Z31=TRUE)*(C319:C348=TRUE)*S319:S348)*N327)*IF(Inputs!$B$39="pvp",1,(1+(Inputs!$B$21+Skills!Q10+B358+(IF(ArtifactsInput!$M$33,CHOOSE(ArtifactsInput!$N$33+1,30,36,42,48,54,60),0))+(IF(AND(ArtifactsInput!$M$35,Inputs!$B$4&lt;&gt;"Chapter Hunt"),CHOOSE(ArtifactsInput!$N$35+1,15,18,21,24,27,30)*(1-EXP(-(0.2*B353)*5)),0)+IF(AND(ArtifactsInput!$M$22,Inputs!$B$4&lt;&gt;"Chapter Hunt"),CHOOSE(ArtifactsInput!$N$22+1,10,12,14,16,18,20)*((0*(((0.15*B353*5))^0/1)+1*(((0.15*B353*5))^1/1)+2*(((0.15*B353*5))^2/2)+3*(((0.15*B353*5))^3/6)+4*(((0.15*B353*5))^4/24)+5*(((0.15*B353*5))^5/120))/((((0.15*B353*5))^0/1)+(((0.15*B353*5))^1/1)+(((0.15*B353*5))^2/2)+(((0.15*B353*5))^3/6)+(((0.15*B353*5))^4/24)+(((0.15*B353*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8">
      <c r="A328">
        <f>Skills!A11</f>
        <v/>
      </c>
      <c r="B328">
        <f>Skills!B11</f>
        <v/>
      </c>
      <c r="C328">
        <f>Inputs!$B$3&gt;=60</f>
        <v/>
      </c>
      <c r="D328">
        <f>IF(Skills!C11=1,60+Inputs!$B$25+Inputs!$B$29,IF(Skills!C11=2,90+Inputs!$B$26+Inputs!$B$29,IF(Skills!C11=3,120+Inputs!$B$27+Inputs!$B$29,MAX(0,(Inputs!$B$3-100)*3)+Inputs!$B$28+Inputs!$B$29)))</f>
        <v/>
      </c>
      <c r="E328">
        <f>INDEX(FactorTable!$B$2:$Y$301, MATCH(ROUND(MIN(300,MAX(1,D328)),0), FactorTable!$A$2:$A$301,0), Skills!M11+1)</f>
        <v/>
      </c>
      <c r="F328">
        <f>IF(Skills!N11=TRUE,(Skills!L11/10)*(E328/1000),Skills!L11/10)+Skills!O11</f>
        <v/>
      </c>
      <c r="G328">
        <f>Calc!G11</f>
        <v/>
      </c>
      <c r="H328">
        <f>Calc!H11</f>
        <v/>
      </c>
      <c r="I328">
        <f>IF(Skills!AA11&lt;&gt;"",1+(Skills!AA11/10)*(U320/1000)/100,1)</f>
        <v/>
      </c>
      <c r="J328" t="inlineStr"/>
      <c r="K328" t="inlineStr"/>
      <c r="L328" t="inlineStr"/>
      <c r="M328" t="inlineStr"/>
      <c r="N328" t="inlineStr"/>
      <c r="O328">
        <f>(1-Summary!$B$11)*T328+Summary!$B$11*V328</f>
        <v/>
      </c>
      <c r="P328">
        <f>IF(B361=0,0,O328/B361)</f>
        <v/>
      </c>
      <c r="Q328" t="n">
        <v>0</v>
      </c>
      <c r="R328" t="n">
        <v>0</v>
      </c>
      <c r="S328">
        <f>IFERROR(O328/N328,0)</f>
        <v/>
      </c>
      <c r="T328" t="n">
        <v>0</v>
      </c>
      <c r="V328" t="n">
        <v>0</v>
      </c>
    </row>
    <row r="329">
      <c r="A329">
        <f>Skills!A12</f>
        <v/>
      </c>
      <c r="B329">
        <f>Skills!B12</f>
        <v/>
      </c>
      <c r="C329">
        <f>Inputs!$B$3&gt;=103</f>
        <v/>
      </c>
      <c r="D329">
        <f>IF(Skills!C12=1,60+Inputs!$B$25+Inputs!$B$29,IF(Skills!C12=2,90+Inputs!$B$26+Inputs!$B$29,IF(Skills!C12=3,120+Inputs!$B$27+Inputs!$B$29,MAX(0,(Inputs!$B$3-100)*3)+Inputs!$B$28+Inputs!$B$29)))</f>
        <v/>
      </c>
      <c r="E329">
        <f>INDEX(FactorTable!$B$2:$Y$301, MATCH(ROUND(MIN(300,MAX(1,D329)),0), FactorTable!$A$2:$A$301,0), Skills!M12+1)</f>
        <v/>
      </c>
      <c r="F329">
        <f>IF(Skills!N12=TRUE,(Skills!L12/10)*(E329/1000),Skills!L12/10)+Skills!O12</f>
        <v/>
      </c>
      <c r="G329">
        <f>Calc!G12</f>
        <v/>
      </c>
      <c r="H329">
        <f>Calc!H12</f>
        <v/>
      </c>
      <c r="I329">
        <f>IF(Skills!AA12&lt;&gt;"",1+(Skills!AA12/10)*(U320/1000)/100,1)</f>
        <v/>
      </c>
      <c r="J329">
        <f>((Inputs!$B$6*(1+Inputs!$B$7/100))+(((Inputs!$B$12*(1+Inputs!$B$13/100))-(Inputs!$B$12*(1+Inputs!$B$13/100)))+0.25*(Inputs!$B$14-Inputs!$B$14))*(1+Inputs!$B$7/100))*(F329/100)</f>
        <v/>
      </c>
      <c r="K329">
        <f>J329*(1+((Inputs!$B$12*(1+Inputs!$B$13/100))*0.01+Inputs!$B$14*0.0025)/100)*(1+Inputs!$B$15/100)*(1+Inputs!$B$16/100)*(5000/(6000+Inputs!$B$43*(1-(100*(1-(1-(Inputs!$B$19+0)/100)*(1-CHOOSE(ArtifactsInput!$N$40+1,5,6,7,8,9,10)/100)^(ArtifactsInput!$M$40-ArtifactsInput!$M$40)))/100)))*(1+(Inputs!$B$24+((C347=TRUE)*(F347-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340=TRUE)*(F340-Calc!F23))+(((IF(AND(ArtifactsInput!$M$42,((Inputs!$B$9+((C342=TRUE)*(F342-Calc!F25))+B357+(ArtifactsInput!$M$24-ArtifactsInput!$M$24)*CHOOSE(ArtifactsInput!$N$24+1,10,12,14,16,18,20)+IF(ArtifactsInput!$M$10,CHOOSE(ArtifactsInput!$N$10+1,15,18,21,24,27,30)*(IF(Inputs!$B$39="pvp",MIN(15,15)/15,IF(AND(Inputs!$B$39&lt;&gt;"pvp",Inputs!$B$44&gt;0),MIN(15,Inputs!$B$44)/(Inputs!$B$44),0))),0)))&gt;=100),MIN(100,((Inputs!$B$9+((C342=TRUE)*(F342-Calc!F25))+B357+(ArtifactsInput!$M$24-ArtifactsInput!$M$24)*CHOOSE(ArtifactsInput!$N$24+1,10,12,14,16,18,20)+IF(ArtifactsInput!$M$10,CHOOSE(ArtifactsInput!$N$10+1,15,18,21,24,27,30)*(IF(Inputs!$B$39="pvp",MIN(15,15)/15,IF(AND(Inputs!$B$39&lt;&gt;"pvp",Inputs!$B$44&gt;0),MIN(15,Inputs!$B$44)/(Inputs!$B$44),0))),0)))-100),0))*CHOOSE(ArtifactsInput!$N$42+1,0.6,0.72,0.84,0.96,1.08,1.2))),Inputs!$B$18+((C346=TRUE)*(F346-Calc!F29))+(IF(AND(ArtifactsInput!$M$42,((Inputs!$B$9+((C342=TRUE)*(F342-Calc!F25))+B357+(ArtifactsInput!$M$24-ArtifactsInput!$M$24)*CHOOSE(ArtifactsInput!$N$24+1,10,12,14,16,18,20)+IF(ArtifactsInput!$M$10,CHOOSE(ArtifactsInput!$N$10+1,15,18,21,24,27,30)*(IF(Inputs!$B$39="pvp",MIN(15,15)/15,IF(AND(Inputs!$B$39&lt;&gt;"pvp",Inputs!$B$44&gt;0),MIN(15,Inputs!$B$44)/(Inputs!$B$44),0))),0)))&gt;=100),CHOOSE(ArtifactsInput!$N$42+1,40,48,56,64,72,80),0))))/100)*(((1+(((C338=TRUE)*F338*IF(AND(Inputs!$B$39&lt;&gt;"pvp",Inputs!$B$44&gt;0),(((R338-1)*(Skills!Y21*(1+Inputs!$B$34/100))+MIN((Skills!Y21*(1+Inputs!$B$34/100)),MAX(0,Inputs!$B$44-((R338-1)*Skills!D21))))/Inputs!$B$44),IF(Inputs!$B$39="pvp",MIN((Skills!Y21*(1+Inputs!$B$34/100)),15)/15,(Skills!Y21*(1+Inputs!$B$34/100))/Skills!D21)))+((C345=TRUE)*(F345-Calc!F28))+((C335=TRUE)*(F335-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332=TRUE)*F332*IF(AND(Inputs!$B$39&lt;&gt;"pvp",Inputs!$B$44&gt;0),(((R332-1)*(Skills!Y15*(1+Inputs!$B$34/100))+MIN((Skills!Y15*(1+Inputs!$B$34/100)),MAX(0,Inputs!$B$44-((R332-1)*Skills!D15))))/Inputs!$B$44),IF(Inputs!$B$39="pvp",MIN((Skills!Y15*(1+Inputs!$B$34/100)),15)/15,(Skills!Y15*(1+Inputs!$B$34/100))/Skills!D15)))/100)*(1+((C323=TRUE)*F323*B351)/100))*B359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329)</f>
        <v/>
      </c>
      <c r="L329">
        <f>K329*(MIN(Inputs!$B$22+((C341=TRUE)*(F341-Calc!F24)),(Inputs!$B$23+0+(IF(ArtifactsInput!$M$15,CHOOSE(ArtifactsInput!$N$15+1,25,30,35,40,45,50)/100*(Inputs!$B$11-Inputs!$B$11),0))))/100+(Inputs!$B$23+0+(IF(ArtifactsInput!$M$15,CHOOSE(ArtifactsInput!$N$15+1,25,30,35,40,45,50)/100*(Inputs!$B$11-Inputs!$B$11),0)))/100)/2</f>
        <v/>
      </c>
      <c r="M329">
        <f>L329*(1+(Inputs!$B$10+((C343=TRUE)*(F343-Calc!F26))+B360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9">
        <f>L329*(1-MIN((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329*(MIN((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9">
        <f>(1-Summary!$B$11)*T329+Summary!$B$11*V329</f>
        <v/>
      </c>
      <c r="P329">
        <f>IF(B361=0,0,O329/B361)</f>
        <v/>
      </c>
      <c r="Q329">
        <f>IFERROR(1/IF(Inputs!$B$39="pvp",15,MAX(0.1,Skills!D12-IF(Skills!E12=TRUE,Inputs!$B$32,0))),0)</f>
        <v/>
      </c>
      <c r="R329">
        <f>IF(AND(Inputs!$B$39&lt;&gt;"pvp",Inputs!$B$44&gt;0),IF(MAX(0,Inputs!$B$44-B362)&lt;=0,0,(INT(MAX(0,Inputs!$B$44-B362)/IF(Inputs!$B$39="pvp",15,MAX(0.1,Skills!D12-IF(Skills!E12=TRUE,Inputs!$B$32,0))))+1)),0)</f>
        <v/>
      </c>
      <c r="S329">
        <f>IFERROR(O329/N329,0)</f>
        <v/>
      </c>
      <c r="T329">
        <f>IF(C329,(H329*N329*IF(AND(Inputs!$B$39&lt;&gt;"pvp",Inputs!$B$44&gt;0),((Skills!G12*((R329-1)*IF(Skills!H12&gt;0,Skills!I12/Skills!H12,1)+IF(Skills!H12&gt;0,MIN(Skills!I12,MAX(0,MAX(0,Inputs!$B$44-B362)-((R329-1)*IF(Inputs!$B$39="pvp",15,MAX(0.1,Skills!D12-IF(Skills!E12=TRUE,Inputs!$B$32,0))))))/Skills!H12,1)))/Inputs!$B$44),G329*Q329))*IF(Inputs!$B$39="pvp",1,1+((Inputs!$B$20+1)+((C344=TRUE)*(F344-Calc!F27))+Skills!P12+B358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Hunt"),CHOOSE(ArtifactsInput!$N$35+1,15,18,21,24,27,30)*(1-EXP(-(0.2*B353)*5)),0)+IF(AND(ArtifactsInput!$M$22,Inputs!$B$4&lt;&gt;"Chapter Hunt"),CHOOSE(ArtifactsInput!$N$22+1,10,12,14,16,18,20)*((0*(((0.15*B353*5))^0/1)+1*(((0.15*B353*5))^1/1)+2*(((0.15*B353*5))^2/2)+3*(((0.15*B353*5))^3/6)+4*(((0.15*B353*5))^4/24)+5*(((0.15*B353*5))^5/120))/((((0.15*B353*5))^0/1)+(((0.15*B353*5))^1/1)+(((0.15*B353*5))^2/2)+(((0.15*B353*5))^3/6)+(((0.15*B353*5))^4/24)+(((0.15*B353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329*(1-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329*(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329*(1-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329*(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9">
        <f>IF(C329,(H329*N329*IF(AND(Inputs!$B$39&lt;&gt;"pvp",Inputs!$B$44&gt;0),((Skills!G12*((R329-1)*IF(Skills!H12&gt;0,Skills!I12/Skills!H12,1)+IF(Skills!H12&gt;0,MIN(Skills!I12,MAX(0,MAX(0,Inputs!$B$44-B362)-((R329-1)*IF(Inputs!$B$39="pvp",15,MAX(0.1,Skills!D12-IF(Skills!E12=TRUE,Inputs!$B$32,0))))))/Skills!H12,1)))/Inputs!$B$44),G329*Q329))*IF(Inputs!$B$39="pvp",1,(1+(Inputs!$B$21+Skills!Q12+B358+(IF(ArtifactsInput!$M$33,CHOOSE(ArtifactsInput!$N$33+1,30,36,42,48,54,60),0))+(IF(AND(ArtifactsInput!$M$35,Inputs!$B$4&lt;&gt;"Chapter Hunt"),CHOOSE(ArtifactsInput!$N$35+1,15,18,21,24,27,30)*(1-EXP(-(0.2*B353)*5)),0)+IF(AND(ArtifactsInput!$M$22,Inputs!$B$4&lt;&gt;"Chapter Hunt"),CHOOSE(ArtifactsInput!$N$22+1,10,12,14,16,18,20)*((0*(((0.15*B353*5))^0/1)+1*(((0.15*B353*5))^1/1)+2*(((0.15*B353*5))^2/2)+3*(((0.15*B353*5))^3/6)+4*(((0.15*B353*5))^4/24)+5*(((0.15*B353*5))^5/120))/((((0.15*B353*5))^0/1)+(((0.15*B353*5))^1/1)+(((0.15*B353*5))^2/2)+(((0.15*B353*5))^3/6)+(((0.15*B353*5))^4/24)+(((0.15*B353*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0">
      <c r="A330">
        <f>Skills!A13</f>
        <v/>
      </c>
      <c r="B330">
        <f>Skills!B13</f>
        <v/>
      </c>
      <c r="C330">
        <f>Inputs!$B$3&gt;=105</f>
        <v/>
      </c>
      <c r="D330">
        <f>IF(Skills!C13=1,60+Inputs!$B$25+Inputs!$B$29,IF(Skills!C13=2,90+Inputs!$B$26+Inputs!$B$29,IF(Skills!C13=3,120+Inputs!$B$27+Inputs!$B$29,MAX(0,(Inputs!$B$3-100)*3)+Inputs!$B$28+Inputs!$B$29)))</f>
        <v/>
      </c>
      <c r="E330">
        <f>INDEX(FactorTable!$B$2:$Y$301, MATCH(ROUND(MIN(300,MAX(1,D330)),0), FactorTable!$A$2:$A$301,0), Skills!M13+1)</f>
        <v/>
      </c>
      <c r="F330">
        <f>IF(Skills!N13=TRUE,(Skills!L13/10)*(E330/1000),Skills!L13/10)+Skills!O13</f>
        <v/>
      </c>
      <c r="G330">
        <f>Calc!G13</f>
        <v/>
      </c>
      <c r="H330">
        <f>Calc!H13</f>
        <v/>
      </c>
      <c r="I330">
        <f>IF(Skills!AA13&lt;&gt;"",1+(Skills!AA13/10)*(U320/1000)/100,1)</f>
        <v/>
      </c>
      <c r="J330">
        <f>((Inputs!$B$6*(1+Inputs!$B$7/100))+(((Inputs!$B$12*(1+Inputs!$B$13/100))-(Inputs!$B$12*(1+Inputs!$B$13/100)))+0.25*(Inputs!$B$14-Inputs!$B$14))*(1+Inputs!$B$7/100))*(F330/100)</f>
        <v/>
      </c>
      <c r="K330">
        <f>J330*(1+((Inputs!$B$12*(1+Inputs!$B$13/100))*0.01+Inputs!$B$14*0.0025)/100)*(1+Inputs!$B$15/100)*(1+Inputs!$B$16/100)*(5000/(6000+Inputs!$B$43*(1-(100*(1-(1-(Inputs!$B$19+0)/100)*(1-CHOOSE(ArtifactsInput!$N$40+1,5,6,7,8,9,10)/100)^(ArtifactsInput!$M$40-ArtifactsInput!$M$40)))/100)))*(1+(Inputs!$B$24+((C347=TRUE)*(F347-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340=TRUE)*(F340-Calc!F23))+(((IF(AND(ArtifactsInput!$M$42,((Inputs!$B$9+((C342=TRUE)*(F342-Calc!F25))+B357+(ArtifactsInput!$M$24-ArtifactsInput!$M$24)*CHOOSE(ArtifactsInput!$N$24+1,10,12,14,16,18,20)+IF(ArtifactsInput!$M$10,CHOOSE(ArtifactsInput!$N$10+1,15,18,21,24,27,30)*(IF(Inputs!$B$39="pvp",MIN(15,15)/15,IF(AND(Inputs!$B$39&lt;&gt;"pvp",Inputs!$B$44&gt;0),MIN(15,Inputs!$B$44)/(Inputs!$B$44),0))),0)))&gt;=100),MIN(100,((Inputs!$B$9+((C342=TRUE)*(F342-Calc!F25))+B357+(ArtifactsInput!$M$24-ArtifactsInput!$M$24)*CHOOSE(ArtifactsInput!$N$24+1,10,12,14,16,18,20)+IF(ArtifactsInput!$M$10,CHOOSE(ArtifactsInput!$N$10+1,15,18,21,24,27,30)*(IF(Inputs!$B$39="pvp",MIN(15,15)/15,IF(AND(Inputs!$B$39&lt;&gt;"pvp",Inputs!$B$44&gt;0),MIN(15,Inputs!$B$44)/(Inputs!$B$44),0))),0)))-100),0))*CHOOSE(ArtifactsInput!$N$42+1,0.6,0.72,0.84,0.96,1.08,1.2))),Inputs!$B$18+((C346=TRUE)*(F346-Calc!F29))+(IF(AND(ArtifactsInput!$M$42,((Inputs!$B$9+((C342=TRUE)*(F342-Calc!F25))+B357+(ArtifactsInput!$M$24-ArtifactsInput!$M$24)*CHOOSE(ArtifactsInput!$N$24+1,10,12,14,16,18,20)+IF(ArtifactsInput!$M$10,CHOOSE(ArtifactsInput!$N$10+1,15,18,21,24,27,30)*(IF(Inputs!$B$39="pvp",MIN(15,15)/15,IF(AND(Inputs!$B$39&lt;&gt;"pvp",Inputs!$B$44&gt;0),MIN(15,Inputs!$B$44)/(Inputs!$B$44),0))),0)))&gt;=100),CHOOSE(ArtifactsInput!$N$42+1,40,48,56,64,72,80),0))))/100)*(((1+(((C338=TRUE)*F338*IF(AND(Inputs!$B$39&lt;&gt;"pvp",Inputs!$B$44&gt;0),(((R338-1)*(Skills!Y21*(1+Inputs!$B$34/100))+MIN((Skills!Y21*(1+Inputs!$B$34/100)),MAX(0,Inputs!$B$44-((R338-1)*Skills!D21))))/Inputs!$B$44),IF(Inputs!$B$39="pvp",MIN((Skills!Y21*(1+Inputs!$B$34/100)),15)/15,(Skills!Y21*(1+Inputs!$B$34/100))/Skills!D21)))+((C345=TRUE)*(F345-Calc!F28))+((C335=TRUE)*(F335-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332=TRUE)*F332*IF(AND(Inputs!$B$39&lt;&gt;"pvp",Inputs!$B$44&gt;0),(((R332-1)*(Skills!Y15*(1+Inputs!$B$34/100))+MIN((Skills!Y15*(1+Inputs!$B$34/100)),MAX(0,Inputs!$B$44-((R332-1)*Skills!D15))))/Inputs!$B$44),IF(Inputs!$B$39="pvp",MIN((Skills!Y15*(1+Inputs!$B$34/100)),15)/15,(Skills!Y15*(1+Inputs!$B$34/100))/Skills!D15)))/100)*(1+((C323=TRUE)*F323*B351)/100))*B359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330)</f>
        <v/>
      </c>
      <c r="L330">
        <f>K330*(MIN(Inputs!$B$22+((C341=TRUE)*(F341-Calc!F24)),(Inputs!$B$23+0+(IF(ArtifactsInput!$M$15,CHOOSE(ArtifactsInput!$N$15+1,25,30,35,40,45,50)/100*(Inputs!$B$11-Inputs!$B$11),0))))/100+(Inputs!$B$23+0+(IF(ArtifactsInput!$M$15,CHOOSE(ArtifactsInput!$N$15+1,25,30,35,40,45,50)/100*(Inputs!$B$11-Inputs!$B$11),0)))/100)/2</f>
        <v/>
      </c>
      <c r="M330">
        <f>L330*(1+(Inputs!$B$10+((C343=TRUE)*(F343-Calc!F26))+B360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0">
        <f>L330*(1-MIN((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330*(MIN((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0">
        <f>(1-Summary!$B$11)*T330+Summary!$B$11*V330</f>
        <v/>
      </c>
      <c r="P330">
        <f>IF(B361=0,0,O330/B361)</f>
        <v/>
      </c>
      <c r="Q330">
        <f>IFERROR(1/IF(Inputs!$B$39="pvp",15,MAX(0.1,Skills!D13-IF(Skills!E13=TRUE,Inputs!$B$32,0))),0)</f>
        <v/>
      </c>
      <c r="R330">
        <f>IF(AND(Inputs!$B$39&lt;&gt;"pvp",Inputs!$B$44&gt;0),IF(MAX(0,Inputs!$B$44-B362)&lt;=0,0,(INT(MAX(0,Inputs!$B$44-B362)/IF(Inputs!$B$39="pvp",15,MAX(0.1,Skills!D13-IF(Skills!E13=TRUE,Inputs!$B$32,0))))+1)),0)</f>
        <v/>
      </c>
      <c r="S330">
        <f>IFERROR(O330/N330,0)</f>
        <v/>
      </c>
      <c r="T330">
        <f>IF(C330,(H330*N330*IF(AND(Inputs!$B$39&lt;&gt;"pvp",Inputs!$B$44&gt;0),((Skills!G13*((R330-1)*IF(Skills!H13&gt;0,Skills!I13/Skills!H13,1)+IF(Skills!H13&gt;0,MIN(Skills!I13,MAX(0,MAX(0,Inputs!$B$44-B362)-((R330-1)*IF(Inputs!$B$39="pvp",15,MAX(0.1,Skills!D13-IF(Skills!E13=TRUE,Inputs!$B$32,0))))))/Skills!H13,1)))/Inputs!$B$44),G330*Q330))*IF(Inputs!$B$39="pvp",1,1+((Inputs!$B$20+1)+((C344=TRUE)*(F344-Calc!F27))+Skills!P13+B358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Hunt"),CHOOSE(ArtifactsInput!$N$35+1,15,18,21,24,27,30)*(1-EXP(-(0.2*B353)*5)),0)+IF(AND(ArtifactsInput!$M$22,Inputs!$B$4&lt;&gt;"Chapter Hunt"),CHOOSE(ArtifactsInput!$N$22+1,10,12,14,16,18,20)*((0*(((0.15*B353*5))^0/1)+1*(((0.15*B353*5))^1/1)+2*(((0.15*B353*5))^2/2)+3*(((0.15*B353*5))^3/6)+4*(((0.15*B353*5))^4/24)+5*(((0.15*B353*5))^5/120))/((((0.15*B353*5))^0/1)+(((0.15*B353*5))^1/1)+(((0.15*B353*5))^2/2)+(((0.15*B353*5))^3/6)+(((0.15*B353*5))^4/24)+(((0.15*B353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330*(1-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330*(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330*(1-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330*(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0">
        <f>IF(C330,(H330*N330*IF(AND(Inputs!$B$39&lt;&gt;"pvp",Inputs!$B$44&gt;0),((Skills!G13*((R330-1)*IF(Skills!H13&gt;0,Skills!I13/Skills!H13,1)+IF(Skills!H13&gt;0,MIN(Skills!I13,MAX(0,MAX(0,Inputs!$B$44-B362)-((R330-1)*IF(Inputs!$B$39="pvp",15,MAX(0.1,Skills!D13-IF(Skills!E13=TRUE,Inputs!$B$32,0))))))/Skills!H13,1)))/Inputs!$B$44),G330*Q330))*IF(Inputs!$B$39="pvp",1,(1+(Inputs!$B$21+Skills!Q13+B358+(IF(ArtifactsInput!$M$33,CHOOSE(ArtifactsInput!$N$33+1,30,36,42,48,54,60),0))+(IF(AND(ArtifactsInput!$M$35,Inputs!$B$4&lt;&gt;"Chapter Hunt"),CHOOSE(ArtifactsInput!$N$35+1,15,18,21,24,27,30)*(1-EXP(-(0.2*B353)*5)),0)+IF(AND(ArtifactsInput!$M$22,Inputs!$B$4&lt;&gt;"Chapter Hunt"),CHOOSE(ArtifactsInput!$N$22+1,10,12,14,16,18,20)*((0*(((0.15*B353*5))^0/1)+1*(((0.15*B353*5))^1/1)+2*(((0.15*B353*5))^2/2)+3*(((0.15*B353*5))^3/6)+4*(((0.15*B353*5))^4/24)+5*(((0.15*B353*5))^5/120))/((((0.15*B353*5))^0/1)+(((0.15*B353*5))^1/1)+(((0.15*B353*5))^2/2)+(((0.15*B353*5))^3/6)+(((0.15*B353*5))^4/24)+(((0.15*B353*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1">
      <c r="A331">
        <f>Skills!A14</f>
        <v/>
      </c>
      <c r="B331">
        <f>Skills!B14</f>
        <v/>
      </c>
      <c r="C331">
        <f>Inputs!$B$3&gt;=105</f>
        <v/>
      </c>
      <c r="D331">
        <f>IF(Skills!C14=1,60+Inputs!$B$25+Inputs!$B$29,IF(Skills!C14=2,90+Inputs!$B$26+Inputs!$B$29,IF(Skills!C14=3,120+Inputs!$B$27+Inputs!$B$29,MAX(0,(Inputs!$B$3-100)*3)+Inputs!$B$28+Inputs!$B$29)))</f>
        <v/>
      </c>
      <c r="E331">
        <f>INDEX(FactorTable!$B$2:$Y$301, MATCH(ROUND(MIN(300,MAX(1,D331)),0), FactorTable!$A$2:$A$301,0), Skills!M14+1)</f>
        <v/>
      </c>
      <c r="F331">
        <f>IF(Skills!N14=TRUE,(Skills!L14/10)*(E331/1000),Skills!L14/10)+Skills!O14</f>
        <v/>
      </c>
      <c r="G331">
        <f>Calc!G14</f>
        <v/>
      </c>
      <c r="H331">
        <f>Calc!H14</f>
        <v/>
      </c>
      <c r="I331">
        <f>IF(Skills!AA14&lt;&gt;"",1+(Skills!AA14/10)*(U320/1000)/100,1)</f>
        <v/>
      </c>
      <c r="J331">
        <f>((Inputs!$B$6*(1+Inputs!$B$7/100))+(((Inputs!$B$12*(1+Inputs!$B$13/100))-(Inputs!$B$12*(1+Inputs!$B$13/100)))+0.25*(Inputs!$B$14-Inputs!$B$14))*(1+Inputs!$B$7/100))*(F331/100)</f>
        <v/>
      </c>
      <c r="K331">
        <f>J331*(1+((Inputs!$B$12*(1+Inputs!$B$13/100))*0.01+Inputs!$B$14*0.0025)/100)*(1+Inputs!$B$15/100)*(1+Inputs!$B$16/100)*(5000/(6000+Inputs!$B$43*(1-(100*(1-(1-(Inputs!$B$19+0)/100)*(1-CHOOSE(ArtifactsInput!$N$40+1,5,6,7,8,9,10)/100)^(ArtifactsInput!$M$40-ArtifactsInput!$M$40)))/100)))*(1+(Inputs!$B$24+((C347=TRUE)*(F347-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340=TRUE)*(F340-Calc!F23))+(((IF(AND(ArtifactsInput!$M$42,((Inputs!$B$9+((C342=TRUE)*(F342-Calc!F25))+B357+(ArtifactsInput!$M$24-ArtifactsInput!$M$24)*CHOOSE(ArtifactsInput!$N$24+1,10,12,14,16,18,20)+IF(ArtifactsInput!$M$10,CHOOSE(ArtifactsInput!$N$10+1,15,18,21,24,27,30)*(IF(Inputs!$B$39="pvp",MIN(15,15)/15,IF(AND(Inputs!$B$39&lt;&gt;"pvp",Inputs!$B$44&gt;0),MIN(15,Inputs!$B$44)/(Inputs!$B$44),0))),0)))&gt;=100),MIN(100,((Inputs!$B$9+((C342=TRUE)*(F342-Calc!F25))+B357+(ArtifactsInput!$M$24-ArtifactsInput!$M$24)*CHOOSE(ArtifactsInput!$N$24+1,10,12,14,16,18,20)+IF(ArtifactsInput!$M$10,CHOOSE(ArtifactsInput!$N$10+1,15,18,21,24,27,30)*(IF(Inputs!$B$39="pvp",MIN(15,15)/15,IF(AND(Inputs!$B$39&lt;&gt;"pvp",Inputs!$B$44&gt;0),MIN(15,Inputs!$B$44)/(Inputs!$B$44),0))),0)))-100),0))*CHOOSE(ArtifactsInput!$N$42+1,0.6,0.72,0.84,0.96,1.08,1.2))),Inputs!$B$18+((C346=TRUE)*(F346-Calc!F29))+(IF(AND(ArtifactsInput!$M$42,((Inputs!$B$9+((C342=TRUE)*(F342-Calc!F25))+B357+(ArtifactsInput!$M$24-ArtifactsInput!$M$24)*CHOOSE(ArtifactsInput!$N$24+1,10,12,14,16,18,20)+IF(ArtifactsInput!$M$10,CHOOSE(ArtifactsInput!$N$10+1,15,18,21,24,27,30)*(IF(Inputs!$B$39="pvp",MIN(15,15)/15,IF(AND(Inputs!$B$39&lt;&gt;"pvp",Inputs!$B$44&gt;0),MIN(15,Inputs!$B$44)/(Inputs!$B$44),0))),0)))&gt;=100),CHOOSE(ArtifactsInput!$N$42+1,40,48,56,64,72,80),0))))/100)*(((1+(((C338=TRUE)*F338*IF(AND(Inputs!$B$39&lt;&gt;"pvp",Inputs!$B$44&gt;0),(((R338-1)*(Skills!Y21*(1+Inputs!$B$34/100))+MIN((Skills!Y21*(1+Inputs!$B$34/100)),MAX(0,Inputs!$B$44-((R338-1)*Skills!D21))))/Inputs!$B$44),IF(Inputs!$B$39="pvp",MIN((Skills!Y21*(1+Inputs!$B$34/100)),15)/15,(Skills!Y21*(1+Inputs!$B$34/100))/Skills!D21)))+((C345=TRUE)*(F345-Calc!F28))+((C335=TRUE)*(F335-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332=TRUE)*F332*IF(AND(Inputs!$B$39&lt;&gt;"pvp",Inputs!$B$44&gt;0),(((R332-1)*(Skills!Y15*(1+Inputs!$B$34/100))+MIN((Skills!Y15*(1+Inputs!$B$34/100)),MAX(0,Inputs!$B$44-((R332-1)*Skills!D15))))/Inputs!$B$44),IF(Inputs!$B$39="pvp",MIN((Skills!Y15*(1+Inputs!$B$34/100)),15)/15,(Skills!Y15*(1+Inputs!$B$34/100))/Skills!D15)))/100)*(1+((C323=TRUE)*F323*B351)/100))*B359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331)</f>
        <v/>
      </c>
      <c r="L331">
        <f>K331*(MIN(Inputs!$B$22+((C341=TRUE)*(F341-Calc!F24)),(Inputs!$B$23+0+(IF(ArtifactsInput!$M$15,CHOOSE(ArtifactsInput!$N$15+1,25,30,35,40,45,50)/100*(Inputs!$B$11-Inputs!$B$11),0))))/100+(Inputs!$B$23+0+(IF(ArtifactsInput!$M$15,CHOOSE(ArtifactsInput!$N$15+1,25,30,35,40,45,50)/100*(Inputs!$B$11-Inputs!$B$11),0)))/100)/2</f>
        <v/>
      </c>
      <c r="M331">
        <f>L331*(1+(Inputs!$B$10+((C343=TRUE)*(F343-Calc!F26))+B360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1">
        <f>L331*(1-MIN((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331*(MIN((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1">
        <f>(1-Summary!$B$11)*T331+Summary!$B$11*V331</f>
        <v/>
      </c>
      <c r="P331">
        <f>IF(B361=0,0,O331/B361)</f>
        <v/>
      </c>
      <c r="Q331">
        <f>IFERROR(1/IF(Inputs!$B$39="pvp",15,MAX(0.1,Skills!D14-IF(Skills!E14=TRUE,Inputs!$B$32,0))),0)</f>
        <v/>
      </c>
      <c r="R331">
        <f>IF(AND(Inputs!$B$39&lt;&gt;"pvp",Inputs!$B$44&gt;0),IF(MAX(0,Inputs!$B$44-B362)&lt;=0,0,(INT(MAX(0,Inputs!$B$44-B362)/IF(Inputs!$B$39="pvp",15,MAX(0.1,Skills!D14-IF(Skills!E14=TRUE,Inputs!$B$32,0))))+1)),0)</f>
        <v/>
      </c>
      <c r="S331">
        <f>IFERROR(O331/N331,0)</f>
        <v/>
      </c>
      <c r="T331">
        <f>IF(C331,(H331*N331*IF(AND(Inputs!$B$39&lt;&gt;"pvp",Inputs!$B$44&gt;0),((Skills!G14*((R331-1)*IF(Skills!H14&gt;0,Skills!I14/Skills!H14,1)+IF(Skills!H14&gt;0,MIN(Skills!I14,MAX(0,MAX(0,Inputs!$B$44-B362)-((R331-1)*IF(Inputs!$B$39="pvp",15,MAX(0.1,Skills!D14-IF(Skills!E14=TRUE,Inputs!$B$32,0))))))/Skills!H14,1)))/Inputs!$B$44),G331*Q331))*IF(Inputs!$B$39="pvp",1,1+((Inputs!$B$20+1)+((C344=TRUE)*(F344-Calc!F27))+Skills!P14+B358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Hunt"),CHOOSE(ArtifactsInput!$N$35+1,15,18,21,24,27,30)*(1-EXP(-(0.2*B353)*5)),0)+IF(AND(ArtifactsInput!$M$22,Inputs!$B$4&lt;&gt;"Chapter Hunt"),CHOOSE(ArtifactsInput!$N$22+1,10,12,14,16,18,20)*((0*(((0.15*B353*5))^0/1)+1*(((0.15*B353*5))^1/1)+2*(((0.15*B353*5))^2/2)+3*(((0.15*B353*5))^3/6)+4*(((0.15*B353*5))^4/24)+5*(((0.15*B353*5))^5/120))/((((0.15*B353*5))^0/1)+(((0.15*B353*5))^1/1)+(((0.15*B353*5))^2/2)+(((0.15*B353*5))^3/6)+(((0.15*B353*5))^4/24)+(((0.15*B353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331*(1-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331*(1-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1">
        <f>IF(C331,(H331*N331*IF(AND(Inputs!$B$39&lt;&gt;"pvp",Inputs!$B$44&gt;0),((Skills!G14*((R331-1)*IF(Skills!H14&gt;0,Skills!I14/Skills!H14,1)+IF(Skills!H14&gt;0,MIN(Skills!I14,MAX(0,MAX(0,Inputs!$B$44-B362)-((R331-1)*IF(Inputs!$B$39="pvp",15,MAX(0.1,Skills!D14-IF(Skills!E14=TRUE,Inputs!$B$32,0))))))/Skills!H14,1)))/Inputs!$B$44),G331*Q331))*IF(Inputs!$B$39="pvp",1,(1+(Inputs!$B$21+Skills!Q14+B358+(IF(ArtifactsInput!$M$33,CHOOSE(ArtifactsInput!$N$33+1,30,36,42,48,54,60),0))+(IF(AND(ArtifactsInput!$M$35,Inputs!$B$4&lt;&gt;"Chapter Hunt"),CHOOSE(ArtifactsInput!$N$35+1,15,18,21,24,27,30)*(1-EXP(-(0.2*B353)*5)),0)+IF(AND(ArtifactsInput!$M$22,Inputs!$B$4&lt;&gt;"Chapter Hunt"),CHOOSE(ArtifactsInput!$N$22+1,10,12,14,16,18,20)*((0*(((0.15*B353*5))^0/1)+1*(((0.15*B353*5))^1/1)+2*(((0.15*B353*5))^2/2)+3*(((0.15*B353*5))^3/6)+4*(((0.15*B353*5))^4/24)+5*(((0.15*B353*5))^5/120))/((((0.15*B353*5))^0/1)+(((0.15*B353*5))^1/1)+(((0.15*B353*5))^2/2)+(((0.15*B353*5))^3/6)+(((0.15*B353*5))^4/24)+(((0.15*B353*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2">
      <c r="A332">
        <f>Skills!A15</f>
        <v/>
      </c>
      <c r="B332">
        <f>Skills!B15</f>
        <v/>
      </c>
      <c r="C332">
        <f>Inputs!$B$3&gt;=110</f>
        <v/>
      </c>
      <c r="D332">
        <f>IF(Skills!C15=1,60+Inputs!$B$25+Inputs!$B$29,IF(Skills!C15=2,90+Inputs!$B$26+Inputs!$B$29,IF(Skills!C15=3,120+Inputs!$B$27+Inputs!$B$29,MAX(0,(Inputs!$B$3-100)*3)+Inputs!$B$28+Inputs!$B$29)))</f>
        <v/>
      </c>
      <c r="E332">
        <f>INDEX(FactorTable!$B$2:$Y$301, MATCH(ROUND(MIN(300,MAX(1,D332)),0), FactorTable!$A$2:$A$301,0), Skills!M15+1)</f>
        <v/>
      </c>
      <c r="F332">
        <f>IF(Skills!N15=TRUE,(Skills!L15/10)*(E332/1000),Skills!L15/10)+Skills!O15</f>
        <v/>
      </c>
      <c r="G332">
        <f>Calc!G15</f>
        <v/>
      </c>
      <c r="H332">
        <f>Calc!H15</f>
        <v/>
      </c>
      <c r="I332">
        <f>IF(Skills!AA15&lt;&gt;"",1+(Skills!AA15/10)*(U320/1000)/100,1)</f>
        <v/>
      </c>
      <c r="J332" t="inlineStr"/>
      <c r="K332" t="inlineStr"/>
      <c r="L332" t="inlineStr"/>
      <c r="M332" t="inlineStr"/>
      <c r="N332" t="inlineStr"/>
      <c r="O332">
        <f>(1-Summary!$B$11)*T332+Summary!$B$11*V332</f>
        <v/>
      </c>
      <c r="P332">
        <f>IF(B361=0,0,O332/B361)</f>
        <v/>
      </c>
      <c r="Q332">
        <f>IFERROR(1/IF(Inputs!$B$39="pvp",15,MAX(0.1,Skills!D15-IF(Skills!E15=TRUE,Inputs!$B$32,0))),0)</f>
        <v/>
      </c>
      <c r="R332">
        <f>IF(AND(Inputs!$B$39&lt;&gt;"pvp",Inputs!$B$44&gt;0),IF(Inputs!$B$44&lt;=0,0,(INT(Inputs!$B$44/IF(Inputs!$B$39="pvp",15,MAX(0.1,Skills!D15-IF(Skills!E15=TRUE,Inputs!$B$32,0))))+1)),0)</f>
        <v/>
      </c>
      <c r="S332">
        <f>IFERROR(O332/N332,0)</f>
        <v/>
      </c>
      <c r="T332" t="n">
        <v>0</v>
      </c>
      <c r="V332" t="n">
        <v>0</v>
      </c>
    </row>
    <row r="333">
      <c r="A333">
        <f>Skills!A16</f>
        <v/>
      </c>
      <c r="B333">
        <f>Skills!B16</f>
        <v/>
      </c>
      <c r="C333">
        <f>Inputs!$B$3&gt;=110</f>
        <v/>
      </c>
      <c r="D333">
        <f>IF(Skills!C16=1,60+Inputs!$B$25+Inputs!$B$29,IF(Skills!C16=2,90+Inputs!$B$26+Inputs!$B$29,IF(Skills!C16=3,120+Inputs!$B$27+Inputs!$B$29,MAX(0,(Inputs!$B$3-100)*3)+Inputs!$B$28+Inputs!$B$29)))</f>
        <v/>
      </c>
      <c r="E333">
        <f>INDEX(FactorTable!$B$2:$Y$301, MATCH(ROUND(MIN(300,MAX(1,D333)),0), FactorTable!$A$2:$A$301,0), Skills!M16+1)</f>
        <v/>
      </c>
      <c r="F333">
        <f>IF(Skills!N16=TRUE,(Skills!L16/10)*(E333/1000),Skills!L16/10)+Skills!O16</f>
        <v/>
      </c>
      <c r="G333">
        <f>Calc!G16</f>
        <v/>
      </c>
      <c r="H333">
        <f>Calc!H16</f>
        <v/>
      </c>
      <c r="I333">
        <f>IF(Skills!AA16&lt;&gt;"",1+(Skills!AA16/10)*(U320/1000)/100,1)</f>
        <v/>
      </c>
      <c r="J333" t="inlineStr"/>
      <c r="K333" t="inlineStr"/>
      <c r="L333" t="inlineStr"/>
      <c r="M333" t="inlineStr"/>
      <c r="N333" t="inlineStr"/>
      <c r="O333">
        <f>(1-Summary!$B$11)*T333+Summary!$B$11*V333</f>
        <v/>
      </c>
      <c r="P333">
        <f>IF(B361=0,0,O333/B361)</f>
        <v/>
      </c>
      <c r="Q333">
        <f>IFERROR(1/IF(Inputs!$B$39="pvp",15,MAX(0.1,Skills!D16-IF(Skills!E16=TRUE,Inputs!$B$32,0))),0)</f>
        <v/>
      </c>
      <c r="R333">
        <f>IF(AND(Inputs!$B$39&lt;&gt;"pvp",Inputs!$B$44&gt;0),IF(Inputs!$B$44&lt;=0,0,(INT(Inputs!$B$44/IF(Inputs!$B$39="pvp",15,MAX(0.1,Skills!D16-IF(Skills!E16=TRUE,Inputs!$B$32,0))))+1)),0)</f>
        <v/>
      </c>
      <c r="S333">
        <f>IFERROR(O333/N333,0)</f>
        <v/>
      </c>
      <c r="T333" t="n">
        <v>0</v>
      </c>
      <c r="V333" t="n">
        <v>0</v>
      </c>
    </row>
    <row r="334">
      <c r="A334">
        <f>Skills!A17</f>
        <v/>
      </c>
      <c r="B334">
        <f>Skills!B17</f>
        <v/>
      </c>
      <c r="C334">
        <f>Inputs!$B$3&gt;=115</f>
        <v/>
      </c>
      <c r="D334">
        <f>IF(Skills!C17=1,60+Inputs!$B$25+Inputs!$B$29,IF(Skills!C17=2,90+Inputs!$B$26+Inputs!$B$29,IF(Skills!C17=3,120+Inputs!$B$27+Inputs!$B$29,MAX(0,(Inputs!$B$3-100)*3)+Inputs!$B$28+Inputs!$B$29)))</f>
        <v/>
      </c>
      <c r="E334">
        <f>INDEX(FactorTable!$B$2:$Y$301, MATCH(ROUND(MIN(300,MAX(1,D334)),0), FactorTable!$A$2:$A$301,0), Skills!M17+1)</f>
        <v/>
      </c>
      <c r="F334">
        <f>IF(Skills!N17=TRUE,(Skills!L17/10)*(E334/1000),Skills!L17/10)+Skills!O17</f>
        <v/>
      </c>
      <c r="G334">
        <f>Calc!G17</f>
        <v/>
      </c>
      <c r="H334">
        <f>Calc!H17</f>
        <v/>
      </c>
      <c r="I334">
        <f>IF(Skills!AA17&lt;&gt;"",1+(Skills!AA17/10)*(U320/1000)/100,1)</f>
        <v/>
      </c>
      <c r="J334">
        <f>((Inputs!$B$6*(1+Inputs!$B$7/100))+(((Inputs!$B$12*(1+Inputs!$B$13/100))-(Inputs!$B$12*(1+Inputs!$B$13/100)))+0.25*(Inputs!$B$14-Inputs!$B$14))*(1+Inputs!$B$7/100))*(F334/100)</f>
        <v/>
      </c>
      <c r="K334">
        <f>J334*(1+((Inputs!$B$12*(1+Inputs!$B$13/100))*0.01+Inputs!$B$14*0.0025)/100)*(1+Inputs!$B$15/100)*(1+Inputs!$B$16/100)*(5000/(6000+Inputs!$B$43*(1-(100*(1-(1-(Inputs!$B$19+0)/100)*(1-CHOOSE(ArtifactsInput!$N$40+1,5,6,7,8,9,10)/100)^(ArtifactsInput!$M$40-ArtifactsInput!$M$40)))/100)))*(1+(Inputs!$B$24+((C347=TRUE)*(F347-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340=TRUE)*(F340-Calc!F23))+(((IF(AND(ArtifactsInput!$M$42,((Inputs!$B$9+((C342=TRUE)*(F342-Calc!F25))+B357+(ArtifactsInput!$M$24-ArtifactsInput!$M$24)*CHOOSE(ArtifactsInput!$N$24+1,10,12,14,16,18,20)+IF(ArtifactsInput!$M$10,CHOOSE(ArtifactsInput!$N$10+1,15,18,21,24,27,30)*(IF(Inputs!$B$39="pvp",MIN(15,15)/15,IF(AND(Inputs!$B$39&lt;&gt;"pvp",Inputs!$B$44&gt;0),MIN(15,Inputs!$B$44)/(Inputs!$B$44),0))),0)))&gt;=100),MIN(100,((Inputs!$B$9+((C342=TRUE)*(F342-Calc!F25))+B357+(ArtifactsInput!$M$24-ArtifactsInput!$M$24)*CHOOSE(ArtifactsInput!$N$24+1,10,12,14,16,18,20)+IF(ArtifactsInput!$M$10,CHOOSE(ArtifactsInput!$N$10+1,15,18,21,24,27,30)*(IF(Inputs!$B$39="pvp",MIN(15,15)/15,IF(AND(Inputs!$B$39&lt;&gt;"pvp",Inputs!$B$44&gt;0),MIN(15,Inputs!$B$44)/(Inputs!$B$44),0))),0)))-100),0))*CHOOSE(ArtifactsInput!$N$42+1,0.6,0.72,0.84,0.96,1.08,1.2))),Inputs!$B$18+((C346=TRUE)*(F346-Calc!F29))+(IF(AND(ArtifactsInput!$M$42,((Inputs!$B$9+((C342=TRUE)*(F342-Calc!F25))+B357+(ArtifactsInput!$M$24-ArtifactsInput!$M$24)*CHOOSE(ArtifactsInput!$N$24+1,10,12,14,16,18,20)+IF(ArtifactsInput!$M$10,CHOOSE(ArtifactsInput!$N$10+1,15,18,21,24,27,30)*(IF(Inputs!$B$39="pvp",MIN(15,15)/15,IF(AND(Inputs!$B$39&lt;&gt;"pvp",Inputs!$B$44&gt;0),MIN(15,Inputs!$B$44)/(Inputs!$B$44),0))),0)))&gt;=100),CHOOSE(ArtifactsInput!$N$42+1,40,48,56,64,72,80),0))))/100)*(((1+(((C338=TRUE)*F338*IF(AND(Inputs!$B$39&lt;&gt;"pvp",Inputs!$B$44&gt;0),(((R338-1)*(Skills!Y21*(1+Inputs!$B$34/100))+MIN((Skills!Y21*(1+Inputs!$B$34/100)),MAX(0,Inputs!$B$44-((R338-1)*Skills!D21))))/Inputs!$B$44),IF(Inputs!$B$39="pvp",MIN((Skills!Y21*(1+Inputs!$B$34/100)),15)/15,(Skills!Y21*(1+Inputs!$B$34/100))/Skills!D21)))+((C345=TRUE)*(F345-Calc!F28))+((C335=TRUE)*(F335-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332=TRUE)*F332*IF(AND(Inputs!$B$39&lt;&gt;"pvp",Inputs!$B$44&gt;0),(((R332-1)*(Skills!Y15*(1+Inputs!$B$34/100))+MIN((Skills!Y15*(1+Inputs!$B$34/100)),MAX(0,Inputs!$B$44-((R332-1)*Skills!D15))))/Inputs!$B$44),IF(Inputs!$B$39="pvp",MIN((Skills!Y15*(1+Inputs!$B$34/100)),15)/15,(Skills!Y15*(1+Inputs!$B$34/100))/Skills!D15)))/100)*(1+((C323=TRUE)*F323*B351)/100))*B359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334)</f>
        <v/>
      </c>
      <c r="L334">
        <f>K334*(MIN(Inputs!$B$22+((C341=TRUE)*(F341-Calc!F24)),(Inputs!$B$23+0+(IF(ArtifactsInput!$M$15,CHOOSE(ArtifactsInput!$N$15+1,25,30,35,40,45,50)/100*(Inputs!$B$11-Inputs!$B$11),0))))/100+(Inputs!$B$23+0+(IF(ArtifactsInput!$M$15,CHOOSE(ArtifactsInput!$N$15+1,25,30,35,40,45,50)/100*(Inputs!$B$11-Inputs!$B$11),0)))/100)/2</f>
        <v/>
      </c>
      <c r="M334">
        <f>L334*(1+(Inputs!$B$10+((C343=TRUE)*(F343-Calc!F26))+B360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4">
        <f>L334*(1-MIN((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334*(MIN((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4">
        <f>(1-Summary!$B$11)*T334+Summary!$B$11*V334</f>
        <v/>
      </c>
      <c r="P334">
        <f>IF(B361=0,0,O334/B361)</f>
        <v/>
      </c>
      <c r="Q334" t="n">
        <v>0</v>
      </c>
      <c r="R334" t="n">
        <v>0</v>
      </c>
      <c r="S334">
        <f>IFERROR(O334/N334,0)</f>
        <v/>
      </c>
      <c r="T334">
        <f>IF(C334,(Inputs!$B$38*0.2*N334)*IF(Inputs!$B$39="pvp",1,1+((Inputs!$B$20+1)+((C344=TRUE)*(F344-Calc!F27))+Skills!P17+B358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Hunt"),CHOOSE(ArtifactsInput!$N$35+1,15,18,21,24,27,30)*(1-EXP(-(0.2*B353)*5)),0)+IF(AND(ArtifactsInput!$M$22,Inputs!$B$4&lt;&gt;"Chapter Hunt"),CHOOSE(ArtifactsInput!$N$22+1,10,12,14,16,18,20)*((0*(((0.15*B353*5))^0/1)+1*(((0.15*B353*5))^1/1)+2*(((0.15*B353*5))^2/2)+3*(((0.15*B353*5))^3/6)+4*(((0.15*B353*5))^4/24)+5*(((0.15*B353*5))^5/120))/((((0.15*B353*5))^0/1)+(((0.15*B353*5))^1/1)+(((0.15*B353*5))^2/2)+(((0.15*B353*5))^3/6)+(((0.15*B353*5))^4/24)+(((0.15*B353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334*(1-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334*(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334*(1-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334*(MIN(100,(Inputs!$B$9+((C342=TRUE)*(F342-Calc!F25))+B357+(ArtifactsInput!$M$24-ArtifactsInput!$M$24)*CHOOSE(ArtifactsInput!$N$24+1,10,12,14,16,18,20)+(IF(AND(ArtifactsInput!$M$42,((Inputs!$B$9+((C342=TRUE)*(F342-Calc!F25))+B357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4">
        <f>IF(C334,(Inputs!$B$38*0.2*N334)*IF(Inputs!$B$39="pvp",1,(1+(Inputs!$B$21+Skills!Q17+B358+(IF(ArtifactsInput!$M$33,CHOOSE(ArtifactsInput!$N$33+1,30,36,42,48,54,60),0))+(IF(AND(ArtifactsInput!$M$35,Inputs!$B$4&lt;&gt;"Chapter Hunt"),CHOOSE(ArtifactsInput!$N$35+1,15,18,21,24,27,30)*(1-EXP(-(0.2*B353)*5)),0)+IF(AND(ArtifactsInput!$M$22,Inputs!$B$4&lt;&gt;"Chapter Hunt"),CHOOSE(ArtifactsInput!$N$22+1,10,12,14,16,18,20)*((0*(((0.15*B353*5))^0/1)+1*(((0.15*B353*5))^1/1)+2*(((0.15*B353*5))^2/2)+3*(((0.15*B353*5))^3/6)+4*(((0.15*B353*5))^4/24)+5*(((0.15*B353*5))^5/120))/((((0.15*B353*5))^0/1)+(((0.15*B353*5))^1/1)+(((0.15*B353*5))^2/2)+(((0.15*B353*5))^3/6)+(((0.15*B353*5))^4/24)+(((0.15*B353*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5">
      <c r="A335">
        <f>Skills!A18</f>
        <v/>
      </c>
      <c r="B335">
        <f>Skills!B18</f>
        <v/>
      </c>
      <c r="C335">
        <f>Inputs!$B$3&gt;=115</f>
        <v/>
      </c>
      <c r="D335">
        <f>IF(Skills!C18=1,60+Inputs!$B$25+Inputs!$B$29,IF(Skills!C18=2,90+Inputs!$B$26+Inputs!$B$29,IF(Skills!C18=3,120+Inputs!$B$27+Inputs!$B$29,MAX(0,(Inputs!$B$3-100)*3)+Inputs!$B$28+Inputs!$B$29)))</f>
        <v/>
      </c>
      <c r="E335">
        <f>INDEX(FactorTable!$B$2:$Y$301, MATCH(ROUND(MIN(300,MAX(1,D335)),0), FactorTable!$A$2:$A$301,0), Skills!M18+1)</f>
        <v/>
      </c>
      <c r="F335">
        <f>IF(Skills!N18=TRUE,(Skills!L18/10)*(E335/1000),Skills!L18/10)+Skills!O18</f>
        <v/>
      </c>
      <c r="G335">
        <f>Calc!G18</f>
        <v/>
      </c>
      <c r="H335">
        <f>Calc!H18</f>
        <v/>
      </c>
      <c r="I335">
        <f>IF(Skills!AA18&lt;&gt;"",1+(Skills!AA18/10)*(U320/1000)/100,1)</f>
        <v/>
      </c>
      <c r="J335" t="inlineStr"/>
      <c r="K335" t="inlineStr"/>
      <c r="L335" t="inlineStr"/>
      <c r="M335" t="inlineStr"/>
      <c r="N335" t="inlineStr"/>
      <c r="O335">
        <f>(1-Summary!$B$11)*T335+Summary!$B$11*V335</f>
        <v/>
      </c>
      <c r="P335">
        <f>IF(B361=0,0,O335/B361)</f>
        <v/>
      </c>
      <c r="Q335" t="n">
        <v>0</v>
      </c>
      <c r="R335" t="n">
        <v>0</v>
      </c>
      <c r="S335">
        <f>IFERROR(O335/N335,0)</f>
        <v/>
      </c>
      <c r="T335" t="n">
        <v>0</v>
      </c>
      <c r="V335" t="n">
        <v>0</v>
      </c>
    </row>
    <row r="336">
      <c r="A336">
        <f>Skills!A19</f>
        <v/>
      </c>
      <c r="B336">
        <f>Skills!B19</f>
        <v/>
      </c>
      <c r="C336">
        <f>TRUE</f>
        <v/>
      </c>
      <c r="D336">
        <f>IF(Skills!C19=1,60+Inputs!$B$25+Inputs!$B$29,IF(Skills!C19=2,90+Inputs!$B$26+Inputs!$B$29,IF(Skills!C19=3,120+Inputs!$B$27+Inputs!$B$29,MAX(0,(Inputs!$B$3-100)*3)+Inputs!$B$28+Inputs!$B$29)))</f>
        <v/>
      </c>
      <c r="E336">
        <f>INDEX(FactorTable!$B$2:$Y$301, MATCH(ROUND(MIN(300,MAX(1,D336)),0), FactorTable!$A$2:$A$301,0), Skills!M19+1)</f>
        <v/>
      </c>
      <c r="F336">
        <f>IF(Skills!N19=TRUE,(Skills!L19/10)*(E336/1000),Skills!L19/10)+Skills!O19</f>
        <v/>
      </c>
      <c r="G336">
        <f>Calc!G19</f>
        <v/>
      </c>
      <c r="H336">
        <f>Calc!H19</f>
        <v/>
      </c>
      <c r="I336">
        <f>IF(Skills!AA19&lt;&gt;"",1+(Skills!AA19/10)*(U320/1000)/100,1)</f>
        <v/>
      </c>
      <c r="J336" t="inlineStr"/>
      <c r="K336" t="inlineStr"/>
      <c r="L336" t="inlineStr"/>
      <c r="M336" t="inlineStr"/>
      <c r="N336" t="inlineStr"/>
      <c r="O336">
        <f>(1-Summary!$B$11)*T336+Summary!$B$11*V336</f>
        <v/>
      </c>
      <c r="P336">
        <f>IF(B361=0,0,O336/B361)</f>
        <v/>
      </c>
      <c r="Q336">
        <f>IFERROR(1/IF(Inputs!$B$39="pvp",15,MAX(0.1,Skills!D19-IF(Skills!E19=TRUE,Inputs!$B$32,0))),0)</f>
        <v/>
      </c>
      <c r="R336">
        <f>IF(AND(Inputs!$B$39&lt;&gt;"pvp",Inputs!$B$44&gt;0),IF(Inputs!$B$44&lt;=0,0,(INT(Inputs!$B$44/IF(Inputs!$B$39="pvp",15,MAX(0.1,Skills!D19-IF(Skills!E19=TRUE,Inputs!$B$32,0))))+1)),0)</f>
        <v/>
      </c>
      <c r="S336">
        <f>IFERROR(O336/N336,0)</f>
        <v/>
      </c>
      <c r="T336" t="n">
        <v>0</v>
      </c>
      <c r="V336" t="n">
        <v>0</v>
      </c>
    </row>
    <row r="337">
      <c r="A337">
        <f>Skills!A20</f>
        <v/>
      </c>
      <c r="B337">
        <f>Skills!B20</f>
        <v/>
      </c>
      <c r="C337">
        <f>Inputs!$B$3&gt;=15</f>
        <v/>
      </c>
      <c r="D337">
        <f>IF(Skills!C20=1,60+Inputs!$B$25+Inputs!$B$29,IF(Skills!C20=2,90+Inputs!$B$26+Inputs!$B$29,IF(Skills!C20=3,120+Inputs!$B$27+Inputs!$B$29,MAX(0,(Inputs!$B$3-100)*3)+Inputs!$B$28+Inputs!$B$29)))</f>
        <v/>
      </c>
      <c r="E337">
        <f>INDEX(FactorTable!$B$2:$Y$301, MATCH(ROUND(MIN(300,MAX(1,D337)),0), FactorTable!$A$2:$A$301,0), Skills!M20+1)</f>
        <v/>
      </c>
      <c r="F337">
        <f>IF(Skills!N20=TRUE,(Skills!L20/10)*(E337/1000),Skills!L20/10)+Skills!O20</f>
        <v/>
      </c>
      <c r="G337">
        <f>Calc!G20</f>
        <v/>
      </c>
      <c r="H337">
        <f>Calc!H20</f>
        <v/>
      </c>
      <c r="I337">
        <f>IF(Skills!AA20&lt;&gt;"",1+(Skills!AA20/10)*(U320/1000)/100,1)</f>
        <v/>
      </c>
      <c r="J337" t="inlineStr"/>
      <c r="K337" t="inlineStr"/>
      <c r="L337" t="inlineStr"/>
      <c r="M337" t="inlineStr"/>
      <c r="N337" t="inlineStr"/>
      <c r="O337">
        <f>(1-Summary!$B$11)*T337+Summary!$B$11*V337</f>
        <v/>
      </c>
      <c r="P337">
        <f>IF(B361=0,0,O337/B361)</f>
        <v/>
      </c>
      <c r="Q337">
        <f>IFERROR(1/IF(Inputs!$B$39="pvp",15,MAX(0.1,Skills!D20-IF(Skills!E20=TRUE,Inputs!$B$32,0))),0)</f>
        <v/>
      </c>
      <c r="R337">
        <f>IF(AND(Inputs!$B$39&lt;&gt;"pvp",Inputs!$B$44&gt;0),IF(Inputs!$B$44&lt;=0,0,(INT(Inputs!$B$44/IF(Inputs!$B$39="pvp",15,MAX(0.1,Skills!D20-IF(Skills!E20=TRUE,Inputs!$B$32,0))))+1)),0)</f>
        <v/>
      </c>
      <c r="S337">
        <f>IFERROR(O337/N337,0)</f>
        <v/>
      </c>
      <c r="T337" t="n">
        <v>0</v>
      </c>
      <c r="V337" t="n">
        <v>0</v>
      </c>
    </row>
    <row r="338">
      <c r="A338">
        <f>Skills!A21</f>
        <v/>
      </c>
      <c r="B338">
        <f>Skills!B21</f>
        <v/>
      </c>
      <c r="C338">
        <f>Inputs!$B$3&gt;=15</f>
        <v/>
      </c>
      <c r="D338">
        <f>IF(Skills!C21=1,60+Inputs!$B$25+Inputs!$B$29,IF(Skills!C21=2,90+Inputs!$B$26+Inputs!$B$29,IF(Skills!C21=3,120+Inputs!$B$27+Inputs!$B$29,MAX(0,(Inputs!$B$3-100)*3)+Inputs!$B$28+Inputs!$B$29)))</f>
        <v/>
      </c>
      <c r="E338">
        <f>INDEX(FactorTable!$B$2:$Y$301, MATCH(ROUND(MIN(300,MAX(1,D338)),0), FactorTable!$A$2:$A$301,0), Skills!M21+1)</f>
        <v/>
      </c>
      <c r="F338">
        <f>IF(Skills!N21=TRUE,(Skills!L21/10)*(E338/1000),Skills!L21/10)+Skills!O21</f>
        <v/>
      </c>
      <c r="G338">
        <f>Calc!G21</f>
        <v/>
      </c>
      <c r="H338">
        <f>Calc!H21</f>
        <v/>
      </c>
      <c r="I338">
        <f>IF(Skills!AA21&lt;&gt;"",1+(Skills!AA21/10)*(U320/1000)/100,1)</f>
        <v/>
      </c>
      <c r="J338" t="inlineStr"/>
      <c r="K338" t="inlineStr"/>
      <c r="L338" t="inlineStr"/>
      <c r="M338" t="inlineStr"/>
      <c r="N338" t="inlineStr"/>
      <c r="O338">
        <f>(1-Summary!$B$11)*T338+Summary!$B$11*V338</f>
        <v/>
      </c>
      <c r="P338">
        <f>IF(B361=0,0,O338/B361)</f>
        <v/>
      </c>
      <c r="Q338">
        <f>IFERROR(1/IF(Inputs!$B$39="pvp",15,MAX(0.1,Skills!D21-IF(Skills!E21=TRUE,Inputs!$B$32,0))),0)</f>
        <v/>
      </c>
      <c r="R338">
        <f>IF(AND(Inputs!$B$39&lt;&gt;"pvp",Inputs!$B$44&gt;0),IF(Inputs!$B$44&lt;=0,0,(INT(Inputs!$B$44/IF(Inputs!$B$39="pvp",15,MAX(0.1,Skills!D21-IF(Skills!E21=TRUE,Inputs!$B$32,0))))+1)),0)</f>
        <v/>
      </c>
      <c r="S338">
        <f>IFERROR(O338/N338,0)</f>
        <v/>
      </c>
      <c r="T338" t="n">
        <v>0</v>
      </c>
      <c r="V338" t="n">
        <v>0</v>
      </c>
    </row>
    <row r="339">
      <c r="A339">
        <f>Skills!A22</f>
        <v/>
      </c>
      <c r="B339">
        <f>Skills!B22</f>
        <v/>
      </c>
      <c r="C339">
        <f>Inputs!$B$3&gt;=33</f>
        <v/>
      </c>
      <c r="D339">
        <f>IF(Skills!C22=1,60+Inputs!$B$25+Inputs!$B$29,IF(Skills!C22=2,90+Inputs!$B$26+Inputs!$B$29,IF(Skills!C22=3,120+Inputs!$B$27+Inputs!$B$29,MAX(0,(Inputs!$B$3-100)*3)+Inputs!$B$28+Inputs!$B$29)))</f>
        <v/>
      </c>
      <c r="E339">
        <f>INDEX(FactorTable!$B$2:$Y$301, MATCH(ROUND(MIN(300,MAX(1,D339)),0), FactorTable!$A$2:$A$301,0), Skills!M22+1)</f>
        <v/>
      </c>
      <c r="F339">
        <f>IF(Skills!N22=TRUE,(Skills!L22/10)*(E339/1000),Skills!L22/10)+Skills!O22</f>
        <v/>
      </c>
      <c r="G339">
        <f>Calc!G22</f>
        <v/>
      </c>
      <c r="H339">
        <f>Calc!H22</f>
        <v/>
      </c>
      <c r="I339">
        <f>IF(Skills!AA22&lt;&gt;"",1+(Skills!AA22/10)*(U320/1000)/100,1)</f>
        <v/>
      </c>
      <c r="J339" t="inlineStr"/>
      <c r="K339" t="inlineStr"/>
      <c r="L339" t="inlineStr"/>
      <c r="M339" t="inlineStr"/>
      <c r="N339" t="inlineStr"/>
      <c r="O339">
        <f>(1-Summary!$B$11)*T339+Summary!$B$11*V339</f>
        <v/>
      </c>
      <c r="P339">
        <f>IF(B361=0,0,O339/B361)</f>
        <v/>
      </c>
      <c r="Q339" t="n">
        <v>0</v>
      </c>
      <c r="R339" t="n">
        <v>0</v>
      </c>
      <c r="S339">
        <f>IFERROR(O339/N339,0)</f>
        <v/>
      </c>
      <c r="T339" t="n">
        <v>0</v>
      </c>
      <c r="V339" t="n">
        <v>0</v>
      </c>
    </row>
    <row r="340">
      <c r="A340">
        <f>Skills!A23</f>
        <v/>
      </c>
      <c r="B340">
        <f>Skills!B23</f>
        <v/>
      </c>
      <c r="C340">
        <f>Inputs!$B$3&gt;=38</f>
        <v/>
      </c>
      <c r="D340">
        <f>IF(Skills!C23=1,60+Inputs!$B$25+Inputs!$B$29,IF(Skills!C23=2,90+Inputs!$B$26+Inputs!$B$29,IF(Skills!C23=3,120+Inputs!$B$27+Inputs!$B$29,MAX(0,(Inputs!$B$3-100)*3)+Inputs!$B$28+Inputs!$B$29)))</f>
        <v/>
      </c>
      <c r="E340">
        <f>INDEX(FactorTable!$B$2:$Y$301, MATCH(ROUND(MIN(300,MAX(1,D340)),0), FactorTable!$A$2:$A$301,0), Skills!M23+1)</f>
        <v/>
      </c>
      <c r="F340">
        <f>IF(Skills!N23=TRUE,(Skills!L23/10)*(E340/1000),Skills!L23/10)+Skills!O23</f>
        <v/>
      </c>
      <c r="G340">
        <f>Calc!G23</f>
        <v/>
      </c>
      <c r="H340">
        <f>Calc!H23</f>
        <v/>
      </c>
      <c r="I340">
        <f>IF(Skills!AA23&lt;&gt;"",1+(Skills!AA23/10)*(U320/1000)/100,1)</f>
        <v/>
      </c>
      <c r="J340" t="inlineStr"/>
      <c r="K340" t="inlineStr"/>
      <c r="L340" t="inlineStr"/>
      <c r="M340" t="inlineStr"/>
      <c r="N340" t="inlineStr"/>
      <c r="O340">
        <f>(1-Summary!$B$11)*T340+Summary!$B$11*V340</f>
        <v/>
      </c>
      <c r="P340">
        <f>IF(B361=0,0,O340/B361)</f>
        <v/>
      </c>
      <c r="Q340" t="n">
        <v>0</v>
      </c>
      <c r="R340" t="n">
        <v>0</v>
      </c>
      <c r="S340">
        <f>IFERROR(O340/N340,0)</f>
        <v/>
      </c>
      <c r="T340" t="n">
        <v>0</v>
      </c>
      <c r="V340" t="n">
        <v>0</v>
      </c>
    </row>
    <row r="341">
      <c r="A341">
        <f>Skills!A24</f>
        <v/>
      </c>
      <c r="B341">
        <f>Skills!B24</f>
        <v/>
      </c>
      <c r="C341">
        <f>Inputs!$B$3&gt;=40</f>
        <v/>
      </c>
      <c r="D341">
        <f>IF(Skills!C24=1,60+Inputs!$B$25+Inputs!$B$29,IF(Skills!C24=2,90+Inputs!$B$26+Inputs!$B$29,IF(Skills!C24=3,120+Inputs!$B$27+Inputs!$B$29,MAX(0,(Inputs!$B$3-100)*3)+Inputs!$B$28+Inputs!$B$29)))</f>
        <v/>
      </c>
      <c r="E341">
        <f>INDEX(FactorTable!$B$2:$Y$301, MATCH(ROUND(MIN(300,MAX(1,D341)),0), FactorTable!$A$2:$A$301,0), Skills!M24+1)</f>
        <v/>
      </c>
      <c r="F341">
        <f>IF(Skills!N24=TRUE,(Skills!L24/10)*(E341/1000),Skills!L24/10)+Skills!O24</f>
        <v/>
      </c>
      <c r="G341">
        <f>Calc!G24</f>
        <v/>
      </c>
      <c r="H341">
        <f>Calc!H24</f>
        <v/>
      </c>
      <c r="I341">
        <f>IF(Skills!AA24&lt;&gt;"",1+(Skills!AA24/10)*(U320/1000)/100,1)</f>
        <v/>
      </c>
      <c r="J341" t="inlineStr"/>
      <c r="K341" t="inlineStr"/>
      <c r="L341" t="inlineStr"/>
      <c r="M341" t="inlineStr"/>
      <c r="N341" t="inlineStr"/>
      <c r="O341">
        <f>(1-Summary!$B$11)*T341+Summary!$B$11*V341</f>
        <v/>
      </c>
      <c r="P341">
        <f>IF(B361=0,0,O341/B361)</f>
        <v/>
      </c>
      <c r="Q341" t="n">
        <v>0</v>
      </c>
      <c r="R341" t="n">
        <v>0</v>
      </c>
      <c r="S341">
        <f>IFERROR(O341/N341,0)</f>
        <v/>
      </c>
      <c r="T341" t="n">
        <v>0</v>
      </c>
      <c r="V341" t="n">
        <v>0</v>
      </c>
    </row>
    <row r="342">
      <c r="A342">
        <f>Skills!A25</f>
        <v/>
      </c>
      <c r="B342">
        <f>Skills!B25</f>
        <v/>
      </c>
      <c r="C342">
        <f>Inputs!$B$3&gt;=45</f>
        <v/>
      </c>
      <c r="D342">
        <f>IF(Skills!C25=1,60+Inputs!$B$25+Inputs!$B$29,IF(Skills!C25=2,90+Inputs!$B$26+Inputs!$B$29,IF(Skills!C25=3,120+Inputs!$B$27+Inputs!$B$29,MAX(0,(Inputs!$B$3-100)*3)+Inputs!$B$28+Inputs!$B$29)))</f>
        <v/>
      </c>
      <c r="E342">
        <f>INDEX(FactorTable!$B$2:$Y$301, MATCH(ROUND(MIN(300,MAX(1,D342)),0), FactorTable!$A$2:$A$301,0), Skills!M25+1)</f>
        <v/>
      </c>
      <c r="F342">
        <f>IF(Skills!N25=TRUE,(Skills!L25/10)*(E342/1000),Skills!L25/10)+Skills!O25</f>
        <v/>
      </c>
      <c r="G342">
        <f>Calc!G25</f>
        <v/>
      </c>
      <c r="H342">
        <f>Calc!H25</f>
        <v/>
      </c>
      <c r="I342">
        <f>IF(Skills!AA25&lt;&gt;"",1+(Skills!AA25/10)*(U320/1000)/100,1)</f>
        <v/>
      </c>
      <c r="J342" t="inlineStr"/>
      <c r="K342" t="inlineStr"/>
      <c r="L342" t="inlineStr"/>
      <c r="M342" t="inlineStr"/>
      <c r="N342" t="inlineStr"/>
      <c r="O342">
        <f>(1-Summary!$B$11)*T342+Summary!$B$11*V342</f>
        <v/>
      </c>
      <c r="P342">
        <f>IF(B361=0,0,O342/B361)</f>
        <v/>
      </c>
      <c r="Q342" t="n">
        <v>0</v>
      </c>
      <c r="R342" t="n">
        <v>0</v>
      </c>
      <c r="S342">
        <f>IFERROR(O342/N342,0)</f>
        <v/>
      </c>
      <c r="T342" t="n">
        <v>0</v>
      </c>
      <c r="V342" t="n">
        <v>0</v>
      </c>
    </row>
    <row r="343">
      <c r="A343">
        <f>Skills!A26</f>
        <v/>
      </c>
      <c r="B343">
        <f>Skills!B26</f>
        <v/>
      </c>
      <c r="C343">
        <f>Inputs!$B$3&gt;=45</f>
        <v/>
      </c>
      <c r="D343">
        <f>IF(Skills!C26=1,60+Inputs!$B$25+Inputs!$B$29,IF(Skills!C26=2,90+Inputs!$B$26+Inputs!$B$29,IF(Skills!C26=3,120+Inputs!$B$27+Inputs!$B$29,MAX(0,(Inputs!$B$3-100)*3)+Inputs!$B$28+Inputs!$B$29)))</f>
        <v/>
      </c>
      <c r="E343">
        <f>INDEX(FactorTable!$B$2:$Y$301, MATCH(ROUND(MIN(300,MAX(1,D343)),0), FactorTable!$A$2:$A$301,0), Skills!M26+1)</f>
        <v/>
      </c>
      <c r="F343">
        <f>IF(Skills!N26=TRUE,(Skills!L26/10)*(E343/1000),Skills!L26/10)+Skills!O26</f>
        <v/>
      </c>
      <c r="G343">
        <f>Calc!G26</f>
        <v/>
      </c>
      <c r="H343">
        <f>Calc!H26</f>
        <v/>
      </c>
      <c r="I343">
        <f>IF(Skills!AA26&lt;&gt;"",1+(Skills!AA26/10)*(U320/1000)/100,1)</f>
        <v/>
      </c>
      <c r="J343" t="inlineStr"/>
      <c r="K343" t="inlineStr"/>
      <c r="L343" t="inlineStr"/>
      <c r="M343" t="inlineStr"/>
      <c r="N343" t="inlineStr"/>
      <c r="O343">
        <f>(1-Summary!$B$11)*T343+Summary!$B$11*V343</f>
        <v/>
      </c>
      <c r="P343">
        <f>IF(B361=0,0,O343/B361)</f>
        <v/>
      </c>
      <c r="Q343" t="n">
        <v>0</v>
      </c>
      <c r="R343" t="n">
        <v>0</v>
      </c>
      <c r="S343">
        <f>IFERROR(O343/N343,0)</f>
        <v/>
      </c>
      <c r="T343" t="n">
        <v>0</v>
      </c>
      <c r="V343" t="n">
        <v>0</v>
      </c>
    </row>
    <row r="344">
      <c r="A344">
        <f>Skills!A27</f>
        <v/>
      </c>
      <c r="B344">
        <f>Skills!B27</f>
        <v/>
      </c>
      <c r="C344">
        <f>Inputs!$B$3&gt;=72</f>
        <v/>
      </c>
      <c r="D344">
        <f>IF(Skills!C27=1,60+Inputs!$B$25+Inputs!$B$29,IF(Skills!C27=2,90+Inputs!$B$26+Inputs!$B$29,IF(Skills!C27=3,120+Inputs!$B$27+Inputs!$B$29,MAX(0,(Inputs!$B$3-100)*3)+Inputs!$B$28+Inputs!$B$29)))</f>
        <v/>
      </c>
      <c r="E344">
        <f>INDEX(FactorTable!$B$2:$Y$301, MATCH(ROUND(MIN(300,MAX(1,D344)),0), FactorTable!$A$2:$A$301,0), Skills!M27+1)</f>
        <v/>
      </c>
      <c r="F344">
        <f>IF(Skills!N27=TRUE,(Skills!L27/10)*(E344/1000),Skills!L27/10)+Skills!O27</f>
        <v/>
      </c>
      <c r="G344">
        <f>Calc!G27</f>
        <v/>
      </c>
      <c r="H344">
        <f>Calc!H27</f>
        <v/>
      </c>
      <c r="I344">
        <f>IF(Skills!AA27&lt;&gt;"",1+(Skills!AA27/10)*(U320/1000)/100,1)</f>
        <v/>
      </c>
      <c r="J344" t="inlineStr"/>
      <c r="K344" t="inlineStr"/>
      <c r="L344" t="inlineStr"/>
      <c r="M344" t="inlineStr"/>
      <c r="N344" t="inlineStr"/>
      <c r="O344">
        <f>(1-Summary!$B$11)*T344+Summary!$B$11*V344</f>
        <v/>
      </c>
      <c r="P344">
        <f>IF(B361=0,0,O344/B361)</f>
        <v/>
      </c>
      <c r="Q344" t="n">
        <v>0</v>
      </c>
      <c r="R344" t="n">
        <v>0</v>
      </c>
      <c r="S344">
        <f>IFERROR(O344/N344,0)</f>
        <v/>
      </c>
      <c r="T344" t="n">
        <v>0</v>
      </c>
      <c r="V344" t="n">
        <v>0</v>
      </c>
    </row>
    <row r="345">
      <c r="A345">
        <f>Skills!A28</f>
        <v/>
      </c>
      <c r="B345">
        <f>Skills!B28</f>
        <v/>
      </c>
      <c r="C345">
        <f>Inputs!$B$3&gt;=75</f>
        <v/>
      </c>
      <c r="D345">
        <f>IF(Skills!C28=1,60+Inputs!$B$25+Inputs!$B$29,IF(Skills!C28=2,90+Inputs!$B$26+Inputs!$B$29,IF(Skills!C28=3,120+Inputs!$B$27+Inputs!$B$29,MAX(0,(Inputs!$B$3-100)*3)+Inputs!$B$28+Inputs!$B$29)))</f>
        <v/>
      </c>
      <c r="E345">
        <f>INDEX(FactorTable!$B$2:$Y$301, MATCH(ROUND(MIN(300,MAX(1,D345)),0), FactorTable!$A$2:$A$301,0), Skills!M28+1)</f>
        <v/>
      </c>
      <c r="F345">
        <f>IF(Skills!N28=TRUE,(Skills!L28/10)*(E345/1000),Skills!L28/10)+Skills!O28</f>
        <v/>
      </c>
      <c r="G345">
        <f>Calc!G28</f>
        <v/>
      </c>
      <c r="H345">
        <f>Calc!H28</f>
        <v/>
      </c>
      <c r="I345">
        <f>IF(Skills!AA28&lt;&gt;"",1+(Skills!AA28/10)*(U320/1000)/100,1)</f>
        <v/>
      </c>
      <c r="J345" t="inlineStr"/>
      <c r="K345" t="inlineStr"/>
      <c r="L345" t="inlineStr"/>
      <c r="M345" t="inlineStr"/>
      <c r="N345" t="inlineStr"/>
      <c r="O345">
        <f>(1-Summary!$B$11)*T345+Summary!$B$11*V345</f>
        <v/>
      </c>
      <c r="P345">
        <f>IF(B361=0,0,O345/B361)</f>
        <v/>
      </c>
      <c r="Q345" t="n">
        <v>0</v>
      </c>
      <c r="R345" t="n">
        <v>0</v>
      </c>
      <c r="S345">
        <f>IFERROR(O345/N345,0)</f>
        <v/>
      </c>
      <c r="T345" t="n">
        <v>0</v>
      </c>
      <c r="V345" t="n">
        <v>0</v>
      </c>
    </row>
    <row r="346">
      <c r="A346">
        <f>Skills!A29</f>
        <v/>
      </c>
      <c r="B346">
        <f>Skills!B29</f>
        <v/>
      </c>
      <c r="C346">
        <f>Inputs!$B$3&gt;=120</f>
        <v/>
      </c>
      <c r="D346">
        <f>IF(Skills!C29=1,60+Inputs!$B$25+Inputs!$B$29,IF(Skills!C29=2,90+Inputs!$B$26+Inputs!$B$29,IF(Skills!C29=3,120+Inputs!$B$27+Inputs!$B$29,MAX(0,(Inputs!$B$3-100)*3)+Inputs!$B$28+Inputs!$B$29)))</f>
        <v/>
      </c>
      <c r="E346">
        <f>INDEX(FactorTable!$B$2:$Y$301, MATCH(ROUND(MIN(300,MAX(1,D346)),0), FactorTable!$A$2:$A$301,0), Skills!M29+1)</f>
        <v/>
      </c>
      <c r="F346">
        <f>IF(Skills!N29=TRUE,(Skills!L29/10)*(E346/1000),Skills!L29/10)+Skills!O29</f>
        <v/>
      </c>
      <c r="G346">
        <f>Calc!G29</f>
        <v/>
      </c>
      <c r="H346">
        <f>Calc!H29</f>
        <v/>
      </c>
      <c r="I346">
        <f>IF(Skills!AA29&lt;&gt;"",1+(Skills!AA29/10)*(U320/1000)/100,1)</f>
        <v/>
      </c>
      <c r="J346" t="inlineStr"/>
      <c r="K346" t="inlineStr"/>
      <c r="L346" t="inlineStr"/>
      <c r="M346" t="inlineStr"/>
      <c r="N346" t="inlineStr"/>
      <c r="O346">
        <f>(1-Summary!$B$11)*T346+Summary!$B$11*V346</f>
        <v/>
      </c>
      <c r="P346">
        <f>IF(B361=0,0,O346/B361)</f>
        <v/>
      </c>
      <c r="Q346" t="n">
        <v>0</v>
      </c>
      <c r="R346" t="n">
        <v>0</v>
      </c>
      <c r="S346">
        <f>IFERROR(O346/N346,0)</f>
        <v/>
      </c>
      <c r="T346" t="n">
        <v>0</v>
      </c>
      <c r="V346" t="n">
        <v>0</v>
      </c>
    </row>
    <row r="347">
      <c r="A347">
        <f>Skills!A30</f>
        <v/>
      </c>
      <c r="B347">
        <f>Skills!B30</f>
        <v/>
      </c>
      <c r="C347">
        <f>Inputs!$B$3&gt;=125</f>
        <v/>
      </c>
      <c r="D347">
        <f>IF(Skills!C30=1,60+Inputs!$B$25+Inputs!$B$29,IF(Skills!C30=2,90+Inputs!$B$26+Inputs!$B$29,IF(Skills!C30=3,120+Inputs!$B$27+Inputs!$B$29,MAX(0,(Inputs!$B$3-100)*3)+Inputs!$B$28+Inputs!$B$29)))</f>
        <v/>
      </c>
      <c r="E347">
        <f>INDEX(FactorTable!$B$2:$Y$301, MATCH(ROUND(MIN(300,MAX(1,D347)),0), FactorTable!$A$2:$A$301,0), Skills!M30+1)</f>
        <v/>
      </c>
      <c r="F347">
        <f>IF(Skills!N30=TRUE,(Skills!L30/10)*(E347/1000),Skills!L30/10)+Skills!O30</f>
        <v/>
      </c>
      <c r="G347">
        <f>Calc!G30</f>
        <v/>
      </c>
      <c r="H347">
        <f>Calc!H30</f>
        <v/>
      </c>
      <c r="I347">
        <f>IF(Skills!AA30&lt;&gt;"",1+(Skills!AA30/10)*(U320/1000)/100,1)</f>
        <v/>
      </c>
      <c r="J347" t="inlineStr"/>
      <c r="K347" t="inlineStr"/>
      <c r="L347" t="inlineStr"/>
      <c r="M347" t="inlineStr"/>
      <c r="N347" t="inlineStr"/>
      <c r="O347">
        <f>(1-Summary!$B$11)*T347+Summary!$B$11*V347</f>
        <v/>
      </c>
      <c r="P347">
        <f>IF(B361=0,0,O347/B361)</f>
        <v/>
      </c>
      <c r="Q347" t="n">
        <v>0</v>
      </c>
      <c r="R347" t="n">
        <v>0</v>
      </c>
      <c r="S347">
        <f>IFERROR(O347/N347,0)</f>
        <v/>
      </c>
      <c r="T347" t="n">
        <v>0</v>
      </c>
      <c r="V347" t="n">
        <v>0</v>
      </c>
    </row>
    <row r="348">
      <c r="A348">
        <f>Skills!A31</f>
        <v/>
      </c>
      <c r="B348">
        <f>Skills!B31</f>
        <v/>
      </c>
      <c r="C348">
        <f>Inputs!$B$3&gt;=107</f>
        <v/>
      </c>
      <c r="D348">
        <f>IF(Skills!C31=1,60+Inputs!$B$25+Inputs!$B$29,IF(Skills!C31=2,90+Inputs!$B$26+Inputs!$B$29,IF(Skills!C31=3,120+Inputs!$B$27+Inputs!$B$29,MAX(0,(Inputs!$B$3-100)*3)+Inputs!$B$28+Inputs!$B$29)))</f>
        <v/>
      </c>
      <c r="E348">
        <f>INDEX(FactorTable!$B$2:$Y$301, MATCH(ROUND(MIN(300,MAX(1,D348)),0), FactorTable!$A$2:$A$301,0), Skills!M31+1)</f>
        <v/>
      </c>
      <c r="F348">
        <f>IF(Skills!N31=TRUE,(Skills!L31/10)*(E348/1000),Skills!L31/10)+Skills!O31</f>
        <v/>
      </c>
      <c r="G348">
        <f>Calc!G31</f>
        <v/>
      </c>
      <c r="H348">
        <f>Calc!H31</f>
        <v/>
      </c>
      <c r="I348">
        <f>IF(Skills!AA31&lt;&gt;"",1+(Skills!AA31/10)*(U320/1000)/100,1)</f>
        <v/>
      </c>
      <c r="J348" t="inlineStr"/>
      <c r="K348" t="inlineStr"/>
      <c r="L348" t="inlineStr"/>
      <c r="M348" t="inlineStr"/>
      <c r="N348" t="inlineStr"/>
      <c r="O348">
        <f>(1-Summary!$B$11)*T348+Summary!$B$11*V348</f>
        <v/>
      </c>
      <c r="P348">
        <f>IF(B361=0,0,O348/B361)</f>
        <v/>
      </c>
      <c r="Q348" t="n">
        <v>0</v>
      </c>
      <c r="R348" t="n">
        <v>0</v>
      </c>
      <c r="S348">
        <f>IFERROR(O348/N348,0)</f>
        <v/>
      </c>
      <c r="T348" t="n">
        <v>0</v>
      </c>
      <c r="V348" t="n">
        <v>0</v>
      </c>
    </row>
    <row r="350">
      <c r="A350" t="inlineStr">
        <is>
          <t>Actions Per Second (pre-Adrenalin)</t>
        </is>
      </c>
      <c r="B350">
        <f>1+MIN(150,150*(1-(1-(Inputs!$B$11+((C339=TRUE)*(F339-Calc!F22))+(ArtifactsInput!$M$15-ArtifactsInput!$M$15)*CHOOSE(ArtifactsInput!$N$15+1,8,9.6,11.2,12.8,14.4,16))/150)*(1-((C336=TRUE)*F336*IF(AND(Inputs!$B$39&lt;&gt;"pvp",Inputs!$B$44&gt;0),(((R336-1)*(Skills!Y19*(1+Inputs!$B$34/100))+MIN((Skills!Y19*(1+Inputs!$B$34/100)),MAX(0,Inputs!$B$44-((R336-1)*Skills!D19))))/Inputs!$B$44),IF(Inputs!$B$39="pvp",MIN((Skills!Y19*(1+Inputs!$B$34/100)),15)/15,(Skills!Y19*(1+Inputs!$B$34/100))/Skills!D19)))/150)))/100</f>
        <v/>
      </c>
    </row>
    <row r="351">
      <c r="A351" t="inlineStr">
        <is>
          <t>Alchemic Adrenaline Uptime</t>
        </is>
      </c>
      <c r="B351">
        <f>(Skills!Y6*(1+Inputs!$B$34/100))/((Skills!Y6*(1+Inputs!$B$34/100))+(5/B350))</f>
        <v/>
      </c>
    </row>
    <row r="352">
      <c r="A352" t="inlineStr">
        <is>
          <t>Attack Speed Buff Bonus %</t>
        </is>
      </c>
      <c r="B352">
        <f>((C336=TRUE)*F336*IF(AND(Inputs!$B$39&lt;&gt;"pvp",Inputs!$B$44&gt;0),(((R336-1)*(Skills!Y19*(1+Inputs!$B$34/100))+MIN((Skills!Y19*(1+Inputs!$B$34/100)),MAX(0,Inputs!$B$44-((R336-1)*Skills!D19))))/Inputs!$B$44),IF(Inputs!$B$39="pvp",MIN((Skills!Y19*(1+Inputs!$B$34/100)),15)/15,(Skills!Y19*(1+Inputs!$B$34/100))/Skills!D19)))+((C324=TRUE)*F324*B351)</f>
        <v/>
      </c>
    </row>
    <row r="353">
      <c r="A353" t="inlineStr">
        <is>
          <t>Actions Per Second (final)</t>
        </is>
      </c>
      <c r="B353">
        <f>1+MIN(150,150*(1-(1-(Inputs!$B$11+((C339=TRUE)*(F339-Calc!F22))+(ArtifactsInput!$M$15-ArtifactsInput!$M$15)*CHOOSE(ArtifactsInput!$N$15+1,8,9.6,11.2,12.8,14.4,16))/150)*(1-B352/150)))/100</f>
        <v/>
      </c>
    </row>
    <row r="354">
      <c r="A354" t="inlineStr">
        <is>
          <t>Skill + Buff Cast Rate</t>
        </is>
      </c>
      <c r="B354">
        <f>IF(AND(Inputs!$B$39&lt;&gt;"pvp",Inputs!$B$44&gt;0),SUMPRODUCT((Skills!E2:E31=TRUE)*(C319:C348=TRUE)*R319:R348*Skills!F2:F31)/Inputs!$B$44,SUMPRODUCT((Skills!E2:E31=TRUE)*(C319:C348=TRUE)*Q319:Q348*Skills!F2:F31))</f>
        <v/>
      </c>
    </row>
    <row r="355">
      <c r="A355" t="inlineStr">
        <is>
          <t>Showdown Casts Per Second</t>
        </is>
      </c>
      <c r="B355">
        <f>MAX(0,B353-B354)</f>
        <v/>
      </c>
    </row>
    <row r="356">
      <c r="A356" t="inlineStr">
        <is>
          <t>Average Buff Multiplier</t>
        </is>
      </c>
      <c r="B356">
        <f>(1+(((C338=TRUE)*F338*IF(AND(Inputs!$B$39&lt;&gt;"pvp",Inputs!$B$44&gt;0),(((R338-1)*(Skills!Y21*(1+Inputs!$B$34/100))+MIN((Skills!Y21*(1+Inputs!$B$34/100)),MAX(0,Inputs!$B$44-((R338-1)*Skills!D21))))/Inputs!$B$44),IF(Inputs!$B$39="pvp",MIN((Skills!Y21*(1+Inputs!$B$34/100)),15)/15,(Skills!Y21*(1+Inputs!$B$34/100))/Skills!D21)))+((C345=TRUE)*(F345-Calc!F28))+((C335=TRUE)*(F335-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332=TRUE)*F332*IF(AND(Inputs!$B$39&lt;&gt;"pvp",Inputs!$B$44&gt;0),(((R332-1)*(Skills!Y15*(1+Inputs!$B$34/100))+MIN((Skills!Y15*(1+Inputs!$B$34/100)),MAX(0,Inputs!$B$44-((R332-1)*Skills!D15))))/Inputs!$B$44),IF(Inputs!$B$39="pvp",MIN((Skills!Y15*(1+Inputs!$B$34/100)),15)/15,(Skills!Y15*(1+Inputs!$B$34/100))/Skills!D15)))/100)*(1+((C323=TRUE)*F323*B351)/100)</f>
        <v/>
      </c>
    </row>
    <row r="357">
      <c r="A357" t="inlineStr">
        <is>
          <t>Global Crit Rate Bonus %</t>
        </is>
      </c>
      <c r="B357">
        <f>IF(Inputs!$B$3&gt;=47,8,0)+((C337=TRUE)*F337*IF(AND(Inputs!$B$39&lt;&gt;"pvp",Inputs!$B$44&gt;0),(((R337-1)*(Skills!Y20*(1+Inputs!$B$34/100))+MIN((Skills!Y20*(1+Inputs!$B$34/100)),MAX(0,Inputs!$B$44-((R337-1)*Skills!D20))))/Inputs!$B$44),IF(Inputs!$B$39="pvp",MIN((Skills!Y20*(1+Inputs!$B$34/100)),15)/15,(Skills!Y20*(1+Inputs!$B$34/100))/Skills!D20)))</f>
        <v/>
      </c>
    </row>
    <row r="358">
      <c r="A358" t="inlineStr">
        <is>
          <t>Global Monster Damage-Taken Bonus %</t>
        </is>
      </c>
      <c r="B358">
        <f>IF(Inputs!$B$3&gt;=82,15,0)+((C333=TRUE)*F333*IF(AND(Inputs!$B$39&lt;&gt;"pvp",Inputs!$B$44&gt;0),(((R333-1)*(Skills!Y16*(1+Inputs!$B$34/100))+MIN((Skills!Y16*(1+Inputs!$B$34/100)),MAX(0,Inputs!$B$44-((R333-1)*Skills!D16))))/Inputs!$B$44),IF(Inputs!$B$39="pvp",MIN((Skills!Y16*(1+Inputs!$B$34/100)),15)/15,(Skills!Y16*(1+Inputs!$B$34/100))/Skills!D16)))</f>
        <v/>
      </c>
    </row>
    <row r="359">
      <c r="A359" t="inlineStr">
        <is>
          <t>Shadow Partner Average Multiplier</t>
        </is>
      </c>
      <c r="B359">
        <f>1+((C328=TRUE)*F328*I328*Skills!J11/100)/100</f>
        <v/>
      </c>
    </row>
    <row r="360">
      <c r="A360" t="inlineStr">
        <is>
          <t>Global Critical Damage Bonus % (Frailty Curse Mastery Lv.111)</t>
        </is>
      </c>
      <c r="B360">
        <f>IF(Inputs!$B$3&gt;=111,30,0)*IF(AND(Inputs!$B$39&lt;&gt;"pvp",Inputs!$B$44&gt;0),(((R333-1)*(Skills!Y16*(1+Inputs!$B$34/100))+MIN((Skills!Y16*(1+Inputs!$B$34/100)),MAX(0,Inputs!$B$44-((R333-1)*Skills!D16))))/Inputs!$B$44),IF(Inputs!$B$39="pvp",MIN((Skills!Y16*(1+Inputs!$B$34/100)),15)/15,(Skills!Y16*(1+Inputs!$B$34/100))/Skills!D16))</f>
        <v/>
      </c>
    </row>
    <row r="361">
      <c r="A361" s="6" t="inlineStr">
        <is>
          <t>TOTAL DPS</t>
        </is>
      </c>
      <c r="B361" s="6">
        <f>SUM(O319:O348)</f>
        <v/>
      </c>
    </row>
    <row r="362">
      <c r="A362" t="inlineStr">
        <is>
          <t>Buff-Casting Startup Delay (s, fixed-duration only)</t>
        </is>
      </c>
      <c r="B362">
        <f>IF(AND(Inputs!$B$39&lt;&gt;"pvp",Inputs!$B$44&gt;0),SUMPRODUCT((Skills!Y2:Y31&gt;0)*(Skills!E2:E31=TRUE)*(C319:C348=TRUE))/B353,0)</f>
        <v/>
      </c>
    </row>
    <row r="363">
      <c r="A363" t="inlineStr">
        <is>
          <t>Boss-Only Total DPS (this block's swept value)</t>
        </is>
      </c>
      <c r="B363">
        <f>SUM(T319:T348)</f>
        <v/>
      </c>
    </row>
    <row r="364">
      <c r="A364" t="inlineStr">
        <is>
          <t>Normal-Only Total DPS (this block's swept value)</t>
        </is>
      </c>
      <c r="B364">
        <f>SUM(V319:V348)</f>
        <v/>
      </c>
    </row>
    <row r="366">
      <c r="A366" s="6" t="inlineStr">
        <is>
          <t>Stat: NORMAL_DAMAGE %</t>
        </is>
      </c>
    </row>
    <row r="367">
      <c r="A367" s="5" t="inlineStr">
        <is>
          <t>Key</t>
        </is>
      </c>
      <c r="B367" s="5" t="inlineStr">
        <is>
          <t>Name</t>
        </is>
      </c>
      <c r="C367" s="5" t="inlineStr">
        <is>
          <t>Unlocked</t>
        </is>
      </c>
      <c r="D367" s="5" t="inlineStr">
        <is>
          <t>InputLevel</t>
        </is>
      </c>
      <c r="E367" s="5" t="inlineStr">
        <is>
          <t>Factor</t>
        </is>
      </c>
      <c r="F367" s="5" t="inlineStr">
        <is>
          <t>CoefficientPercent</t>
        </is>
      </c>
      <c r="G367" s="5" t="inlineStr">
        <is>
          <t>EffectiveHits</t>
        </is>
      </c>
      <c r="H367" s="5" t="inlineStr">
        <is>
          <t>ProcProbability</t>
        </is>
      </c>
      <c r="I367" s="5" t="inlineStr">
        <is>
          <t>MapleHeroMultiplier</t>
        </is>
      </c>
      <c r="J367" s="5" t="inlineStr">
        <is>
          <t>BaseDamage</t>
        </is>
      </c>
      <c r="K367" s="5" t="inlineStr">
        <is>
          <t>BaseHitDamage</t>
        </is>
      </c>
      <c r="L367" s="5" t="inlineStr">
        <is>
          <t>NonCritAvg</t>
        </is>
      </c>
      <c r="M367" s="5" t="inlineStr">
        <is>
          <t>CritAvg</t>
        </is>
      </c>
      <c r="N367" s="5" t="inlineStr">
        <is>
          <t>ExpectedDamage(perHit)</t>
        </is>
      </c>
      <c r="O367" s="5" t="inlineStr">
        <is>
          <t>DPS</t>
        </is>
      </c>
      <c r="P367" s="5" t="inlineStr">
        <is>
          <t>% of Total</t>
        </is>
      </c>
      <c r="Q367" s="5" t="inlineStr">
        <is>
          <t>InvCooldown</t>
        </is>
      </c>
      <c r="R367" s="5" t="inlineStr">
        <is>
          <t>CastsInFight</t>
        </is>
      </c>
      <c r="S367" s="5" t="inlineStr">
        <is>
          <t>HitRate(perSec)</t>
        </is>
      </c>
      <c r="U367" t="inlineStr">
        <is>
          <t>helpers</t>
        </is>
      </c>
    </row>
    <row r="368">
      <c r="A368">
        <f>Skills!A2</f>
        <v/>
      </c>
      <c r="B368">
        <f>Skills!B2</f>
        <v/>
      </c>
      <c r="C368">
        <f>Inputs!$B$3&gt;=100</f>
        <v/>
      </c>
      <c r="D368" t="inlineStr"/>
      <c r="E368" t="inlineStr"/>
      <c r="F368">
        <f>U372+Skills!O2</f>
        <v/>
      </c>
      <c r="G368">
        <f>Calc!G2</f>
        <v/>
      </c>
      <c r="H368">
        <f>Calc!H2</f>
        <v/>
      </c>
      <c r="I368">
        <f>IF(Skills!AA2&lt;&gt;"",1+(Skills!AA2/10)*(U369/1000)/100,1)</f>
        <v/>
      </c>
      <c r="J368">
        <f>((Inputs!$B$6*(1+Inputs!$B$7/100))+(((Inputs!$B$12*(1+Inputs!$B$13/100))-(Inputs!$B$12*(1+Inputs!$B$13/100)))+0.25*(Inputs!$B$14-Inputs!$B$14))*(1+Inputs!$B$7/100))*(F368/100)</f>
        <v/>
      </c>
      <c r="K368">
        <f>J368*(1+((Inputs!$B$12*(1+Inputs!$B$13/100))*0.01+Inputs!$B$14*0.0025)/100)*(1+Inputs!$B$15/100)*(1+Inputs!$B$16/100)*(5000/(6000+Inputs!$B$43*(1-(100*(1-(1-(Inputs!$B$19+0)/100)*(1-CHOOSE(ArtifactsInput!$N$40+1,5,6,7,8,9,10)/100)^(ArtifactsInput!$M$40-ArtifactsInput!$M$40)))/100)))*(1+(Inputs!$B$24+((C396=TRUE)*(F396-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389=TRUE)*(F389-Calc!F23))+(((IF(AND(ArtifactsInput!$M$42,((Inputs!$B$9+((C391=TRUE)*(F391-Calc!F25))+B406+(ArtifactsInput!$M$24-ArtifactsInput!$M$24)*CHOOSE(ArtifactsInput!$N$24+1,10,12,14,16,18,20)+IF(ArtifactsInput!$M$10,CHOOSE(ArtifactsInput!$N$10+1,15,18,21,24,27,30)*(IF(Inputs!$B$39="pvp",MIN(15,15)/15,IF(AND(Inputs!$B$39&lt;&gt;"pvp",Inputs!$B$44&gt;0),MIN(15,Inputs!$B$44)/(Inputs!$B$44),0))),0)))&gt;=100),MIN(100,((Inputs!$B$9+((C391=TRUE)*(F391-Calc!F25))+B406+(ArtifactsInput!$M$24-ArtifactsInput!$M$24)*CHOOSE(ArtifactsInput!$N$24+1,10,12,14,16,18,20)+IF(ArtifactsInput!$M$10,CHOOSE(ArtifactsInput!$N$10+1,15,18,21,24,27,30)*(IF(Inputs!$B$39="pvp",MIN(15,15)/15,IF(AND(Inputs!$B$39&lt;&gt;"pvp",Inputs!$B$44&gt;0),MIN(15,Inputs!$B$44)/(Inputs!$B$44),0))),0)))-100),0))*CHOOSE(ArtifactsInput!$N$42+1,0.6,0.72,0.84,0.96,1.08,1.2))),Inputs!$B$18+((C395=TRUE)*(F395-Calc!F29))+(IF(AND(ArtifactsInput!$M$42,((Inputs!$B$9+((C391=TRUE)*(F391-Calc!F25))+B406+(ArtifactsInput!$M$24-ArtifactsInput!$M$24)*CHOOSE(ArtifactsInput!$N$24+1,10,12,14,16,18,20)+IF(ArtifactsInput!$M$10,CHOOSE(ArtifactsInput!$N$10+1,15,18,21,24,27,30)*(IF(Inputs!$B$39="pvp",MIN(15,15)/15,IF(AND(Inputs!$B$39&lt;&gt;"pvp",Inputs!$B$44&gt;0),MIN(15,Inputs!$B$44)/(Inputs!$B$44),0))),0)))&gt;=100),CHOOSE(ArtifactsInput!$N$42+1,40,48,56,64,72,80),0))))/100)*(((1+(((C387=TRUE)*F387*IF(AND(Inputs!$B$39&lt;&gt;"pvp",Inputs!$B$44&gt;0),(((R387-1)*(Skills!Y21*(1+Inputs!$B$34/100))+MIN((Skills!Y21*(1+Inputs!$B$34/100)),MAX(0,Inputs!$B$44-((R387-1)*Skills!D21))))/Inputs!$B$44),IF(Inputs!$B$39="pvp",MIN((Skills!Y21*(1+Inputs!$B$34/100)),15)/15,(Skills!Y21*(1+Inputs!$B$34/100))/Skills!D21)))+((C394=TRUE)*(F394-Calc!F28))+((C384=TRUE)*(F384-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381=TRUE)*F381*IF(AND(Inputs!$B$39&lt;&gt;"pvp",Inputs!$B$44&gt;0),(((R381-1)*(Skills!Y15*(1+Inputs!$B$34/100))+MIN((Skills!Y15*(1+Inputs!$B$34/100)),MAX(0,Inputs!$B$44-((R381-1)*Skills!D15))))/Inputs!$B$44),IF(Inputs!$B$39="pvp",MIN((Skills!Y15*(1+Inputs!$B$34/100)),15)/15,(Skills!Y15*(1+Inputs!$B$34/100))/Skills!D15)))/100)*(1+((C372=TRUE)*F372*B400)/100))*B408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368)</f>
        <v/>
      </c>
      <c r="L368">
        <f>K368*(MIN(Inputs!$B$22+((C390=TRUE)*(F390-Calc!F24)),(Inputs!$B$23+0+(IF(ArtifactsInput!$M$15,CHOOSE(ArtifactsInput!$N$15+1,25,30,35,40,45,50)/100*(Inputs!$B$11-Inputs!$B$11),0))))/100+(Inputs!$B$23+0+(IF(ArtifactsInput!$M$15,CHOOSE(ArtifactsInput!$N$15+1,25,30,35,40,45,50)/100*(Inputs!$B$11-Inputs!$B$11),0)))/100)/2</f>
        <v/>
      </c>
      <c r="M368">
        <f>L368*(1+(Inputs!$B$10+((C392=TRUE)*(F392-Calc!F26))+B409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8">
        <f>L368*(1-MIN((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368*(MIN((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8">
        <f>(1-Summary!$B$11)*T368+Summary!$B$11*V368</f>
        <v/>
      </c>
      <c r="P368">
        <f>IF(B410=0,0,O368/B410)</f>
        <v/>
      </c>
      <c r="Q368" t="n">
        <v>0</v>
      </c>
      <c r="R368" t="n">
        <v>0</v>
      </c>
      <c r="S368">
        <f>IFERROR(O368/N368,0)</f>
        <v/>
      </c>
      <c r="T368">
        <f>IF(C368,(Skills!G2*N368*B404)*IF(Inputs!$B$39="pvp",1,1+(Inputs!$B$20+((C393=TRUE)*(F393-Calc!F27))+Skills!P2+B407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Hunt"),CHOOSE(ArtifactsInput!$N$35+1,15,18,21,24,27,30)*(1-EXP(-(0.2*B402)*5)),0)+IF(AND(ArtifactsInput!$M$22,Inputs!$B$4&lt;&gt;"Chapter Hunt"),CHOOSE(ArtifactsInput!$N$22+1,10,12,14,16,18,20)*((0*(((0.15*B402*5))^0/1)+1*(((0.15*B402*5))^1/1)+2*(((0.15*B402*5))^2/2)+3*(((0.15*B402*5))^3/6)+4*(((0.15*B402*5))^4/24)+5*(((0.15*B402*5))^5/120))/((((0.15*B402*5))^0/1)+(((0.15*B402*5))^1/1)+(((0.15*B402*5))^2/2)+(((0.15*B402*5))^3/6)+(((0.15*B402*5))^4/24)+(((0.15*B402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368*(1-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368*(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368*(1-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368*(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68">
        <f>MAX(0,(Inputs!$B$3-100)*3)+Inputs!$B$28+Inputs!$B$29</f>
        <v/>
      </c>
      <c r="V368">
        <f>IF(C368,(Skills!G2*N368*B404)*IF(Inputs!$B$39="pvp",1,(1+((Inputs!$B$21+1)+Skills!Q2+B407+(IF(ArtifactsInput!$M$33,CHOOSE(ArtifactsInput!$N$33+1,30,36,42,48,54,60),0))+(IF(AND(ArtifactsInput!$M$35,Inputs!$B$4&lt;&gt;"Chapter Hunt"),CHOOSE(ArtifactsInput!$N$35+1,15,18,21,24,27,30)*(1-EXP(-(0.2*B402)*5)),0)+IF(AND(ArtifactsInput!$M$22,Inputs!$B$4&lt;&gt;"Chapter Hunt"),CHOOSE(ArtifactsInput!$N$22+1,10,12,14,16,18,20)*((0*(((0.15*B402*5))^0/1)+1*(((0.15*B402*5))^1/1)+2*(((0.15*B402*5))^2/2)+3*(((0.15*B402*5))^3/6)+4*(((0.15*B402*5))^4/24)+5*(((0.15*B402*5))^5/120))/((((0.15*B402*5))^0/1)+(((0.15*B402*5))^1/1)+(((0.15*B402*5))^2/2)+(((0.15*B402*5))^3/6)+(((0.15*B402*5))^4/24)+(((0.15*B402*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9">
      <c r="A369">
        <f>Skills!A3</f>
        <v/>
      </c>
      <c r="B369">
        <f>Skills!B3</f>
        <v/>
      </c>
      <c r="C369">
        <f>Inputs!$B$3&gt;=35</f>
        <v/>
      </c>
      <c r="D369">
        <f>IF(Skills!C3=1,60+Inputs!$B$25+Inputs!$B$29,IF(Skills!C3=2,90+Inputs!$B$26+Inputs!$B$29,IF(Skills!C3=3,120+Inputs!$B$27+Inputs!$B$29,MAX(0,(Inputs!$B$3-100)*3)+Inputs!$B$28+Inputs!$B$29)))</f>
        <v/>
      </c>
      <c r="E369">
        <f>INDEX(FactorTable!$B$2:$Y$301, MATCH(ROUND(MIN(300,MAX(1,D369)),0), FactorTable!$A$2:$A$301,0), Skills!M3+1)</f>
        <v/>
      </c>
      <c r="F369">
        <f>IF(Skills!N3=TRUE,(Skills!L3/10)*(E369/1000),Skills!L3/10)+Skills!O3</f>
        <v/>
      </c>
      <c r="G369">
        <f>Calc!G3</f>
        <v/>
      </c>
      <c r="H369">
        <f>Calc!H3</f>
        <v/>
      </c>
      <c r="I369">
        <f>IF(Skills!AA3&lt;&gt;"",1+(Skills!AA3/10)*(U369/1000)/100,1)</f>
        <v/>
      </c>
      <c r="J369">
        <f>((Inputs!$B$6*(1+Inputs!$B$7/100))+(((Inputs!$B$12*(1+Inputs!$B$13/100))-(Inputs!$B$12*(1+Inputs!$B$13/100)))+0.25*(Inputs!$B$14-Inputs!$B$14))*(1+Inputs!$B$7/100))*(F369/100)</f>
        <v/>
      </c>
      <c r="K369">
        <f>J369*(1+((Inputs!$B$12*(1+Inputs!$B$13/100))*0.01+Inputs!$B$14*0.0025)/100)*(1+Inputs!$B$15/100)*(1+Inputs!$B$16/100)*(5000/(6000+Inputs!$B$43*(1-(100*(1-(1-(Inputs!$B$19+0)/100)*(1-CHOOSE(ArtifactsInput!$N$40+1,5,6,7,8,9,10)/100)^(ArtifactsInput!$M$40-ArtifactsInput!$M$40)))/100)))*(1+(Inputs!$B$24+((C396=TRUE)*(F396-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389=TRUE)*(F389-Calc!F23))+(((IF(AND(ArtifactsInput!$M$42,((Inputs!$B$9+((C391=TRUE)*(F391-Calc!F25))+B406+(ArtifactsInput!$M$24-ArtifactsInput!$M$24)*CHOOSE(ArtifactsInput!$N$24+1,10,12,14,16,18,20)+IF(ArtifactsInput!$M$10,CHOOSE(ArtifactsInput!$N$10+1,15,18,21,24,27,30)*(IF(Inputs!$B$39="pvp",MIN(15,15)/15,IF(AND(Inputs!$B$39&lt;&gt;"pvp",Inputs!$B$44&gt;0),MIN(15,Inputs!$B$44)/(Inputs!$B$44),0))),0)))&gt;=100),MIN(100,((Inputs!$B$9+((C391=TRUE)*(F391-Calc!F25))+B406+(ArtifactsInput!$M$24-ArtifactsInput!$M$24)*CHOOSE(ArtifactsInput!$N$24+1,10,12,14,16,18,20)+IF(ArtifactsInput!$M$10,CHOOSE(ArtifactsInput!$N$10+1,15,18,21,24,27,30)*(IF(Inputs!$B$39="pvp",MIN(15,15)/15,IF(AND(Inputs!$B$39&lt;&gt;"pvp",Inputs!$B$44&gt;0),MIN(15,Inputs!$B$44)/(Inputs!$B$44),0))),0)))-100),0))*CHOOSE(ArtifactsInput!$N$42+1,0.6,0.72,0.84,0.96,1.08,1.2))),Inputs!$B$18+((C395=TRUE)*(F395-Calc!F29))+(IF(AND(ArtifactsInput!$M$42,((Inputs!$B$9+((C391=TRUE)*(F391-Calc!F25))+B406+(ArtifactsInput!$M$24-ArtifactsInput!$M$24)*CHOOSE(ArtifactsInput!$N$24+1,10,12,14,16,18,20)+IF(ArtifactsInput!$M$10,CHOOSE(ArtifactsInput!$N$10+1,15,18,21,24,27,30)*(IF(Inputs!$B$39="pvp",MIN(15,15)/15,IF(AND(Inputs!$B$39&lt;&gt;"pvp",Inputs!$B$44&gt;0),MIN(15,Inputs!$B$44)/(Inputs!$B$44),0))),0)))&gt;=100),CHOOSE(ArtifactsInput!$N$42+1,40,48,56,64,72,80),0))))/100)*(((1+(((C387=TRUE)*F387*IF(AND(Inputs!$B$39&lt;&gt;"pvp",Inputs!$B$44&gt;0),(((R387-1)*(Skills!Y21*(1+Inputs!$B$34/100))+MIN((Skills!Y21*(1+Inputs!$B$34/100)),MAX(0,Inputs!$B$44-((R387-1)*Skills!D21))))/Inputs!$B$44),IF(Inputs!$B$39="pvp",MIN((Skills!Y21*(1+Inputs!$B$34/100)),15)/15,(Skills!Y21*(1+Inputs!$B$34/100))/Skills!D21)))+((C394=TRUE)*(F394-Calc!F28))+((C384=TRUE)*(F384-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381=TRUE)*F381*IF(AND(Inputs!$B$39&lt;&gt;"pvp",Inputs!$B$44&gt;0),(((R381-1)*(Skills!Y15*(1+Inputs!$B$34/100))+MIN((Skills!Y15*(1+Inputs!$B$34/100)),MAX(0,Inputs!$B$44-((R381-1)*Skills!D15))))/Inputs!$B$44),IF(Inputs!$B$39="pvp",MIN((Skills!Y15*(1+Inputs!$B$34/100)),15)/15,(Skills!Y15*(1+Inputs!$B$34/100))/Skills!D15)))/100)*(1+((C372=TRUE)*F372*B400)/100))*B408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369)</f>
        <v/>
      </c>
      <c r="L369">
        <f>K369*(MIN(Inputs!$B$22+((C390=TRUE)*(F390-Calc!F24)),(Inputs!$B$23+0+(IF(ArtifactsInput!$M$15,CHOOSE(ArtifactsInput!$N$15+1,25,30,35,40,45,50)/100*(Inputs!$B$11-Inputs!$B$11),0))))/100+(Inputs!$B$23+0+(IF(ArtifactsInput!$M$15,CHOOSE(ArtifactsInput!$N$15+1,25,30,35,40,45,50)/100*(Inputs!$B$11-Inputs!$B$11),0)))/100)/2</f>
        <v/>
      </c>
      <c r="M369">
        <f>L369*(1+(Inputs!$B$10+((C392=TRUE)*(F392-Calc!F26))+B409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9">
        <f>L369*(1-MIN((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369*(MIN((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9">
        <f>(1-Summary!$B$11)*T369+Summary!$B$11*V369</f>
        <v/>
      </c>
      <c r="P369">
        <f>IF(B410=0,0,O369/B410)</f>
        <v/>
      </c>
      <c r="Q369">
        <f>IFERROR(1/IF(Inputs!$B$39="pvp",15,MAX(0.1,Skills!D3-IF(Skills!E3=TRUE,Inputs!$B$32,0))),0)</f>
        <v/>
      </c>
      <c r="R369">
        <f>IF(AND(Inputs!$B$39&lt;&gt;"pvp",Inputs!$B$44&gt;0),IF(MAX(0,Inputs!$B$44-B411)&lt;=0,0,(INT(MAX(0,Inputs!$B$44-B411)/IF(Inputs!$B$39="pvp",15,MAX(0.1,Skills!D3-IF(Skills!E3=TRUE,Inputs!$B$32,0))))+1)),0)</f>
        <v/>
      </c>
      <c r="S369">
        <f>IFERROR(O369/N369,0)</f>
        <v/>
      </c>
      <c r="T369">
        <f>IF(C369,(H369*N369*IF(AND(Inputs!$B$39&lt;&gt;"pvp",Inputs!$B$44&gt;0),((Skills!G3*((R369-1)*IF(Skills!H3&gt;0,Skills!I3/Skills!H3,1)+IF(Skills!H3&gt;0,MIN(Skills!I3,MAX(0,MAX(0,Inputs!$B$44-B411)-((R369-1)*IF(Inputs!$B$39="pvp",15,MAX(0.1,Skills!D3-IF(Skills!E3=TRUE,Inputs!$B$32,0))))))/Skills!H3,1)))/Inputs!$B$44),G369*Q369))*IF(Inputs!$B$39="pvp",1,1+(Inputs!$B$20+((C393=TRUE)*(F393-Calc!F27))+Skills!P3+B407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Hunt"),CHOOSE(ArtifactsInput!$N$35+1,15,18,21,24,27,30)*(1-EXP(-(0.2*B402)*5)),0)+IF(AND(ArtifactsInput!$M$22,Inputs!$B$4&lt;&gt;"Chapter Hunt"),CHOOSE(ArtifactsInput!$N$22+1,10,12,14,16,18,20)*((0*(((0.15*B402*5))^0/1)+1*(((0.15*B402*5))^1/1)+2*(((0.15*B402*5))^2/2)+3*(((0.15*B402*5))^3/6)+4*(((0.15*B402*5))^4/24)+5*(((0.15*B402*5))^5/120))/((((0.15*B402*5))^0/1)+(((0.15*B402*5))^1/1)+(((0.15*B402*5))^2/2)+(((0.15*B402*5))^3/6)+(((0.15*B402*5))^4/24)+(((0.15*B402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369*(1-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369*(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369*(1-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369*(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69">
        <f>INDEX(FactorTable!$B$2:$Y$301, MATCH(ROUND(MIN(300,MAX(1,U368)),0), FactorTable!$A$2:$A$301,0), 24)</f>
        <v/>
      </c>
      <c r="V369">
        <f>IF(C369,(H369*N369*IF(AND(Inputs!$B$39&lt;&gt;"pvp",Inputs!$B$44&gt;0),((Skills!G3*((R369-1)*IF(Skills!H3&gt;0,Skills!I3/Skills!H3,1)+IF(Skills!H3&gt;0,MIN(Skills!I3,MAX(0,MAX(0,Inputs!$B$44-B411)-((R369-1)*IF(Inputs!$B$39="pvp",15,MAX(0.1,Skills!D3-IF(Skills!E3=TRUE,Inputs!$B$32,0))))))/Skills!H3,1)))/Inputs!$B$44),G369*Q369))*IF(Inputs!$B$39="pvp",1,(1+((Inputs!$B$21+1)+Skills!Q3+B407+(IF(ArtifactsInput!$M$33,CHOOSE(ArtifactsInput!$N$33+1,30,36,42,48,54,60),0))+(IF(AND(ArtifactsInput!$M$35,Inputs!$B$4&lt;&gt;"Chapter Hunt"),CHOOSE(ArtifactsInput!$N$35+1,15,18,21,24,27,30)*(1-EXP(-(0.2*B402)*5)),0)+IF(AND(ArtifactsInput!$M$22,Inputs!$B$4&lt;&gt;"Chapter Hunt"),CHOOSE(ArtifactsInput!$N$22+1,10,12,14,16,18,20)*((0*(((0.15*B402*5))^0/1)+1*(((0.15*B402*5))^1/1)+2*(((0.15*B402*5))^2/2)+3*(((0.15*B402*5))^3/6)+4*(((0.15*B402*5))^4/24)+5*(((0.15*B402*5))^5/120))/((((0.15*B402*5))^0/1)+(((0.15*B402*5))^1/1)+(((0.15*B402*5))^2/2)+(((0.15*B402*5))^3/6)+(((0.15*B402*5))^4/24)+(((0.15*B402*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0">
      <c r="A370">
        <f>Skills!A4</f>
        <v/>
      </c>
      <c r="B370">
        <f>Skills!B4</f>
        <v/>
      </c>
      <c r="C370">
        <f>Inputs!$B$3&gt;=40</f>
        <v/>
      </c>
      <c r="D370">
        <f>IF(Skills!C4=1,60+Inputs!$B$25+Inputs!$B$29,IF(Skills!C4=2,90+Inputs!$B$26+Inputs!$B$29,IF(Skills!C4=3,120+Inputs!$B$27+Inputs!$B$29,MAX(0,(Inputs!$B$3-100)*3)+Inputs!$B$28+Inputs!$B$29)))</f>
        <v/>
      </c>
      <c r="E370">
        <f>INDEX(FactorTable!$B$2:$Y$301, MATCH(ROUND(MIN(300,MAX(1,D370)),0), FactorTable!$A$2:$A$301,0), Skills!M4+1)</f>
        <v/>
      </c>
      <c r="F370">
        <f>IF(Skills!N4=TRUE,(Skills!L4/10)*(E370/1000),Skills!L4/10)+Skills!O4</f>
        <v/>
      </c>
      <c r="G370">
        <f>Calc!G4</f>
        <v/>
      </c>
      <c r="H370">
        <f>Calc!H4</f>
        <v/>
      </c>
      <c r="I370">
        <f>IF(Skills!AA4&lt;&gt;"",1+(Skills!AA4/10)*(U369/1000)/100,1)</f>
        <v/>
      </c>
      <c r="J370">
        <f>((Inputs!$B$6*(1+Inputs!$B$7/100))+(((Inputs!$B$12*(1+Inputs!$B$13/100))-(Inputs!$B$12*(1+Inputs!$B$13/100)))+0.25*(Inputs!$B$14-Inputs!$B$14))*(1+Inputs!$B$7/100))*(F370/100)</f>
        <v/>
      </c>
      <c r="K370">
        <f>J370*(1+((Inputs!$B$12*(1+Inputs!$B$13/100))*0.01+Inputs!$B$14*0.0025)/100)*(1+Inputs!$B$15/100)*(1+Inputs!$B$16/100)*(5000/(6000+Inputs!$B$43*(1-(100*(1-(1-(Inputs!$B$19+0)/100)*(1-CHOOSE(ArtifactsInput!$N$40+1,5,6,7,8,9,10)/100)^(ArtifactsInput!$M$40-ArtifactsInput!$M$40)))/100)))*(1+(Inputs!$B$24+((C396=TRUE)*(F396-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389=TRUE)*(F389-Calc!F23))+(((IF(AND(ArtifactsInput!$M$42,((Inputs!$B$9+((C391=TRUE)*(F391-Calc!F25))+B406+(ArtifactsInput!$M$24-ArtifactsInput!$M$24)*CHOOSE(ArtifactsInput!$N$24+1,10,12,14,16,18,20)+IF(ArtifactsInput!$M$10,CHOOSE(ArtifactsInput!$N$10+1,15,18,21,24,27,30)*(IF(Inputs!$B$39="pvp",MIN(15,15)/15,IF(AND(Inputs!$B$39&lt;&gt;"pvp",Inputs!$B$44&gt;0),MIN(15,Inputs!$B$44)/(Inputs!$B$44),0))),0)))&gt;=100),MIN(100,((Inputs!$B$9+((C391=TRUE)*(F391-Calc!F25))+B406+(ArtifactsInput!$M$24-ArtifactsInput!$M$24)*CHOOSE(ArtifactsInput!$N$24+1,10,12,14,16,18,20)+IF(ArtifactsInput!$M$10,CHOOSE(ArtifactsInput!$N$10+1,15,18,21,24,27,30)*(IF(Inputs!$B$39="pvp",MIN(15,15)/15,IF(AND(Inputs!$B$39&lt;&gt;"pvp",Inputs!$B$44&gt;0),MIN(15,Inputs!$B$44)/(Inputs!$B$44),0))),0)))-100),0))*CHOOSE(ArtifactsInput!$N$42+1,0.6,0.72,0.84,0.96,1.08,1.2))),Inputs!$B$18+((C395=TRUE)*(F395-Calc!F29))+(IF(AND(ArtifactsInput!$M$42,((Inputs!$B$9+((C391=TRUE)*(F391-Calc!F25))+B406+(ArtifactsInput!$M$24-ArtifactsInput!$M$24)*CHOOSE(ArtifactsInput!$N$24+1,10,12,14,16,18,20)+IF(ArtifactsInput!$M$10,CHOOSE(ArtifactsInput!$N$10+1,15,18,21,24,27,30)*(IF(Inputs!$B$39="pvp",MIN(15,15)/15,IF(AND(Inputs!$B$39&lt;&gt;"pvp",Inputs!$B$44&gt;0),MIN(15,Inputs!$B$44)/(Inputs!$B$44),0))),0)))&gt;=100),CHOOSE(ArtifactsInput!$N$42+1,40,48,56,64,72,80),0))))/100)*(((1+(((C387=TRUE)*F387*IF(AND(Inputs!$B$39&lt;&gt;"pvp",Inputs!$B$44&gt;0),(((R387-1)*(Skills!Y21*(1+Inputs!$B$34/100))+MIN((Skills!Y21*(1+Inputs!$B$34/100)),MAX(0,Inputs!$B$44-((R387-1)*Skills!D21))))/Inputs!$B$44),IF(Inputs!$B$39="pvp",MIN((Skills!Y21*(1+Inputs!$B$34/100)),15)/15,(Skills!Y21*(1+Inputs!$B$34/100))/Skills!D21)))+((C394=TRUE)*(F394-Calc!F28))+((C384=TRUE)*(F384-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381=TRUE)*F381*IF(AND(Inputs!$B$39&lt;&gt;"pvp",Inputs!$B$44&gt;0),(((R381-1)*(Skills!Y15*(1+Inputs!$B$34/100))+MIN((Skills!Y15*(1+Inputs!$B$34/100)),MAX(0,Inputs!$B$44-((R381-1)*Skills!D15))))/Inputs!$B$44),IF(Inputs!$B$39="pvp",MIN((Skills!Y15*(1+Inputs!$B$34/100)),15)/15,(Skills!Y15*(1+Inputs!$B$34/100))/Skills!D15)))/100)*(1+((C372=TRUE)*F372*B400)/100))*B408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370)</f>
        <v/>
      </c>
      <c r="L370">
        <f>K370*(MIN(Inputs!$B$22+((C390=TRUE)*(F390-Calc!F24)),(Inputs!$B$23+0+(IF(ArtifactsInput!$M$15,CHOOSE(ArtifactsInput!$N$15+1,25,30,35,40,45,50)/100*(Inputs!$B$11-Inputs!$B$11),0))))/100+(Inputs!$B$23+0+(IF(ArtifactsInput!$M$15,CHOOSE(ArtifactsInput!$N$15+1,25,30,35,40,45,50)/100*(Inputs!$B$11-Inputs!$B$11),0)))/100)/2</f>
        <v/>
      </c>
      <c r="M370">
        <f>L370*(1+(Inputs!$B$10+((C392=TRUE)*(F392-Calc!F26))+B409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0">
        <f>L370*(1-MIN((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370*(MIN((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0">
        <f>(1-Summary!$B$11)*T370+Summary!$B$11*V370</f>
        <v/>
      </c>
      <c r="P370">
        <f>IF(B410=0,0,O370/B410)</f>
        <v/>
      </c>
      <c r="Q370">
        <f>IFERROR(1/IF(Inputs!$B$39="pvp",15,MAX(0.1,Skills!D4-IF(Skills!E4=TRUE,Inputs!$B$32,0))),0)</f>
        <v/>
      </c>
      <c r="R370">
        <f>IF(AND(Inputs!$B$39&lt;&gt;"pvp",Inputs!$B$44&gt;0),IF(MAX(0,Inputs!$B$44-B411)&lt;=0,0,(INT(MAX(0,Inputs!$B$44-B411)/IF(Inputs!$B$39="pvp",15,MAX(0.1,Skills!D4-IF(Skills!E4=TRUE,Inputs!$B$32,0))))+1)),0)</f>
        <v/>
      </c>
      <c r="S370">
        <f>IFERROR(O370/N370,0)</f>
        <v/>
      </c>
      <c r="T370">
        <f>IF(C370,(H370*N370*IF(AND(Inputs!$B$39&lt;&gt;"pvp",Inputs!$B$44&gt;0),((Skills!G4*((R370-1)*IF(Skills!H4&gt;0,Skills!I4/Skills!H4,1)+IF(Skills!H4&gt;0,MIN(Skills!I4,MAX(0,MAX(0,Inputs!$B$44-B411)-((R370-1)*IF(Inputs!$B$39="pvp",15,MAX(0.1,Skills!D4-IF(Skills!E4=TRUE,Inputs!$B$32,0))))))/Skills!H4,1)))/Inputs!$B$44),G370*Q370))*IF(Inputs!$B$39="pvp",1,1+(Inputs!$B$20+((C393=TRUE)*(F393-Calc!F27))+Skills!P4+B407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Hunt"),CHOOSE(ArtifactsInput!$N$35+1,15,18,21,24,27,30)*(1-EXP(-(0.2*B402)*5)),0)+IF(AND(ArtifactsInput!$M$22,Inputs!$B$4&lt;&gt;"Chapter Hunt"),CHOOSE(ArtifactsInput!$N$22+1,10,12,14,16,18,20)*((0*(((0.15*B402*5))^0/1)+1*(((0.15*B402*5))^1/1)+2*(((0.15*B402*5))^2/2)+3*(((0.15*B402*5))^3/6)+4*(((0.15*B402*5))^4/24)+5*(((0.15*B402*5))^5/120))/((((0.15*B402*5))^0/1)+(((0.15*B402*5))^1/1)+(((0.15*B402*5))^2/2)+(((0.15*B402*5))^3/6)+(((0.15*B402*5))^4/24)+(((0.15*B402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370*(1-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370*(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370*(1-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370*(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70">
        <f>MAX(0,(Inputs!$B$3-100)*3)+Inputs!$B$28+Inputs!$B$29</f>
        <v/>
      </c>
      <c r="V370">
        <f>IF(C370,(H370*N370*IF(AND(Inputs!$B$39&lt;&gt;"pvp",Inputs!$B$44&gt;0),((Skills!G4*((R370-1)*IF(Skills!H4&gt;0,Skills!I4/Skills!H4,1)+IF(Skills!H4&gt;0,MIN(Skills!I4,MAX(0,MAX(0,Inputs!$B$44-B411)-((R370-1)*IF(Inputs!$B$39="pvp",15,MAX(0.1,Skills!D4-IF(Skills!E4=TRUE,Inputs!$B$32,0))))))/Skills!H4,1)))/Inputs!$B$44),G370*Q370))*IF(Inputs!$B$39="pvp",1,(1+((Inputs!$B$21+1)+Skills!Q4+B407+(IF(ArtifactsInput!$M$33,CHOOSE(ArtifactsInput!$N$33+1,30,36,42,48,54,60),0))+(IF(AND(ArtifactsInput!$M$35,Inputs!$B$4&lt;&gt;"Chapter Hunt"),CHOOSE(ArtifactsInput!$N$35+1,15,18,21,24,27,30)*(1-EXP(-(0.2*B402)*5)),0)+IF(AND(ArtifactsInput!$M$22,Inputs!$B$4&lt;&gt;"Chapter Hunt"),CHOOSE(ArtifactsInput!$N$22+1,10,12,14,16,18,20)*((0*(((0.15*B402*5))^0/1)+1*(((0.15*B402*5))^1/1)+2*(((0.15*B402*5))^2/2)+3*(((0.15*B402*5))^3/6)+4*(((0.15*B402*5))^4/24)+5*(((0.15*B402*5))^5/120))/((((0.15*B402*5))^0/1)+(((0.15*B402*5))^1/1)+(((0.15*B402*5))^2/2)+(((0.15*B402*5))^3/6)+(((0.15*B402*5))^4/24)+(((0.15*B402*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1">
      <c r="A371">
        <f>Skills!A5</f>
        <v/>
      </c>
      <c r="B371">
        <f>Skills!B5</f>
        <v/>
      </c>
      <c r="C371">
        <f>Inputs!$B$3&gt;=63</f>
        <v/>
      </c>
      <c r="D371">
        <f>IF(Skills!C5=1,60+Inputs!$B$25+Inputs!$B$29,IF(Skills!C5=2,90+Inputs!$B$26+Inputs!$B$29,IF(Skills!C5=3,120+Inputs!$B$27+Inputs!$B$29,MAX(0,(Inputs!$B$3-100)*3)+Inputs!$B$28+Inputs!$B$29)))</f>
        <v/>
      </c>
      <c r="E371">
        <f>INDEX(FactorTable!$B$2:$Y$301, MATCH(ROUND(MIN(300,MAX(1,D371)),0), FactorTable!$A$2:$A$301,0), Skills!M5+1)</f>
        <v/>
      </c>
      <c r="F371">
        <f>IF(Skills!N5=TRUE,(Skills!L5/10)*(E371/1000),Skills!L5/10)+Skills!O5</f>
        <v/>
      </c>
      <c r="G371">
        <f>Calc!G5</f>
        <v/>
      </c>
      <c r="H371">
        <f>Calc!H5</f>
        <v/>
      </c>
      <c r="I371">
        <f>IF(Skills!AA5&lt;&gt;"",1+(Skills!AA5/10)*(U369/1000)/100,1)</f>
        <v/>
      </c>
      <c r="J371">
        <f>((Inputs!$B$6*(1+Inputs!$B$7/100))+(((Inputs!$B$12*(1+Inputs!$B$13/100))-(Inputs!$B$12*(1+Inputs!$B$13/100)))+0.25*(Inputs!$B$14-Inputs!$B$14))*(1+Inputs!$B$7/100))*(F371/100)</f>
        <v/>
      </c>
      <c r="K371">
        <f>J371*(1+((Inputs!$B$12*(1+Inputs!$B$13/100))*0.01+Inputs!$B$14*0.0025)/100)*(1+Inputs!$B$15/100)*(1+Inputs!$B$16/100)*(5000/(6000+Inputs!$B$43*(1-(100*(1-(1-(Inputs!$B$19+0)/100)*(1-CHOOSE(ArtifactsInput!$N$40+1,5,6,7,8,9,10)/100)^(ArtifactsInput!$M$40-ArtifactsInput!$M$40)))/100)))*(1+(Inputs!$B$24+((C396=TRUE)*(F396-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389=TRUE)*(F389-Calc!F23))+(((IF(AND(ArtifactsInput!$M$42,((Inputs!$B$9+((C391=TRUE)*(F391-Calc!F25))+B406+(ArtifactsInput!$M$24-ArtifactsInput!$M$24)*CHOOSE(ArtifactsInput!$N$24+1,10,12,14,16,18,20)+IF(ArtifactsInput!$M$10,CHOOSE(ArtifactsInput!$N$10+1,15,18,21,24,27,30)*(IF(Inputs!$B$39="pvp",MIN(15,15)/15,IF(AND(Inputs!$B$39&lt;&gt;"pvp",Inputs!$B$44&gt;0),MIN(15,Inputs!$B$44)/(Inputs!$B$44),0))),0)))&gt;=100),MIN(100,((Inputs!$B$9+((C391=TRUE)*(F391-Calc!F25))+B406+(ArtifactsInput!$M$24-ArtifactsInput!$M$24)*CHOOSE(ArtifactsInput!$N$24+1,10,12,14,16,18,20)+IF(ArtifactsInput!$M$10,CHOOSE(ArtifactsInput!$N$10+1,15,18,21,24,27,30)*(IF(Inputs!$B$39="pvp",MIN(15,15)/15,IF(AND(Inputs!$B$39&lt;&gt;"pvp",Inputs!$B$44&gt;0),MIN(15,Inputs!$B$44)/(Inputs!$B$44),0))),0)))-100),0))*CHOOSE(ArtifactsInput!$N$42+1,0.6,0.72,0.84,0.96,1.08,1.2))),Inputs!$B$18+((C395=TRUE)*(F395-Calc!F29))+(IF(AND(ArtifactsInput!$M$42,((Inputs!$B$9+((C391=TRUE)*(F391-Calc!F25))+B406+(ArtifactsInput!$M$24-ArtifactsInput!$M$24)*CHOOSE(ArtifactsInput!$N$24+1,10,12,14,16,18,20)+IF(ArtifactsInput!$M$10,CHOOSE(ArtifactsInput!$N$10+1,15,18,21,24,27,30)*(IF(Inputs!$B$39="pvp",MIN(15,15)/15,IF(AND(Inputs!$B$39&lt;&gt;"pvp",Inputs!$B$44&gt;0),MIN(15,Inputs!$B$44)/(Inputs!$B$44),0))),0)))&gt;=100),CHOOSE(ArtifactsInput!$N$42+1,40,48,56,64,72,80),0))))/100)*(((1+(((C387=TRUE)*F387*IF(AND(Inputs!$B$39&lt;&gt;"pvp",Inputs!$B$44&gt;0),(((R387-1)*(Skills!Y21*(1+Inputs!$B$34/100))+MIN((Skills!Y21*(1+Inputs!$B$34/100)),MAX(0,Inputs!$B$44-((R387-1)*Skills!D21))))/Inputs!$B$44),IF(Inputs!$B$39="pvp",MIN((Skills!Y21*(1+Inputs!$B$34/100)),15)/15,(Skills!Y21*(1+Inputs!$B$34/100))/Skills!D21)))+((C394=TRUE)*(F394-Calc!F28))+((C384=TRUE)*(F384-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381=TRUE)*F381*IF(AND(Inputs!$B$39&lt;&gt;"pvp",Inputs!$B$44&gt;0),(((R381-1)*(Skills!Y15*(1+Inputs!$B$34/100))+MIN((Skills!Y15*(1+Inputs!$B$34/100)),MAX(0,Inputs!$B$44-((R381-1)*Skills!D15))))/Inputs!$B$44),IF(Inputs!$B$39="pvp",MIN((Skills!Y15*(1+Inputs!$B$34/100)),15)/15,(Skills!Y15*(1+Inputs!$B$34/100))/Skills!D15)))/100)*(1+((C372=TRUE)*F372*B400)/100))*B408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371)</f>
        <v/>
      </c>
      <c r="L371">
        <f>K371*(MIN(Inputs!$B$22+((C390=TRUE)*(F390-Calc!F24)),(Inputs!$B$23+0+(IF(ArtifactsInput!$M$15,CHOOSE(ArtifactsInput!$N$15+1,25,30,35,40,45,50)/100*(Inputs!$B$11-Inputs!$B$11),0))))/100+(Inputs!$B$23+0+(IF(ArtifactsInput!$M$15,CHOOSE(ArtifactsInput!$N$15+1,25,30,35,40,45,50)/100*(Inputs!$B$11-Inputs!$B$11),0)))/100)/2</f>
        <v/>
      </c>
      <c r="M371">
        <f>L371*(1+(Inputs!$B$10+((C392=TRUE)*(F392-Calc!F26))+B409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1">
        <f>L371*(1-MIN((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371*(MIN((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1">
        <f>(1-Summary!$B$11)*T371+Summary!$B$11*V371</f>
        <v/>
      </c>
      <c r="P371">
        <f>IF(B410=0,0,O371/B410)</f>
        <v/>
      </c>
      <c r="Q371">
        <f>IFERROR(1/IF(Inputs!$B$39="pvp",15,MAX(0.1,Skills!D5-IF(Skills!E5=TRUE,Inputs!$B$32,0))),0)</f>
        <v/>
      </c>
      <c r="R371">
        <f>IF(AND(Inputs!$B$39&lt;&gt;"pvp",Inputs!$B$44&gt;0),IF(MAX(0,Inputs!$B$44-B411)&lt;=0,0,(INT(MAX(0,Inputs!$B$44-B411)/IF(Inputs!$B$39="pvp",15,MAX(0.1,Skills!D5-IF(Skills!E5=TRUE,Inputs!$B$32,0))))+1)),0)</f>
        <v/>
      </c>
      <c r="S371">
        <f>IFERROR(O371/N371,0)</f>
        <v/>
      </c>
      <c r="T371">
        <f>IF(C371,(H371*N371*IF(AND(Inputs!$B$39&lt;&gt;"pvp",Inputs!$B$44&gt;0),((Skills!G5*((R371-1)*IF(Skills!H5&gt;0,Skills!I5/Skills!H5,1)+IF(Skills!H5&gt;0,MIN(Skills!I5,MAX(0,MAX(0,Inputs!$B$44-B411)-((R371-1)*IF(Inputs!$B$39="pvp",15,MAX(0.1,Skills!D5-IF(Skills!E5=TRUE,Inputs!$B$32,0))))))/Skills!H5,1)))/Inputs!$B$44),G371*Q371))*IF(Inputs!$B$39="pvp",1,1+(Inputs!$B$20+((C393=TRUE)*(F393-Calc!F27))+Skills!P5+B407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Hunt"),CHOOSE(ArtifactsInput!$N$35+1,15,18,21,24,27,30)*(1-EXP(-(0.2*B402)*5)),0)+IF(AND(ArtifactsInput!$M$22,Inputs!$B$4&lt;&gt;"Chapter Hunt"),CHOOSE(ArtifactsInput!$N$22+1,10,12,14,16,18,20)*((0*(((0.15*B402*5))^0/1)+1*(((0.15*B402*5))^1/1)+2*(((0.15*B402*5))^2/2)+3*(((0.15*B402*5))^3/6)+4*(((0.15*B402*5))^4/24)+5*(((0.15*B402*5))^5/120))/((((0.15*B402*5))^0/1)+(((0.15*B402*5))^1/1)+(((0.15*B402*5))^2/2)+(((0.15*B402*5))^3/6)+(((0.15*B402*5))^4/24)+(((0.15*B402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371*(1-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371*(1-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71">
        <f>INDEX(FactorTable!$B$2:$Y$301, MATCH(ROUND(MIN(300,MAX(1,U370)),0), FactorTable!$A$2:$A$301,0), 22)</f>
        <v/>
      </c>
      <c r="V371">
        <f>IF(C371,(H371*N371*IF(AND(Inputs!$B$39&lt;&gt;"pvp",Inputs!$B$44&gt;0),((Skills!G5*((R371-1)*IF(Skills!H5&gt;0,Skills!I5/Skills!H5,1)+IF(Skills!H5&gt;0,MIN(Skills!I5,MAX(0,MAX(0,Inputs!$B$44-B411)-((R371-1)*IF(Inputs!$B$39="pvp",15,MAX(0.1,Skills!D5-IF(Skills!E5=TRUE,Inputs!$B$32,0))))))/Skills!H5,1)))/Inputs!$B$44),G371*Q371))*IF(Inputs!$B$39="pvp",1,(1+((Inputs!$B$21+1)+Skills!Q5+B407+(IF(ArtifactsInput!$M$33,CHOOSE(ArtifactsInput!$N$33+1,30,36,42,48,54,60),0))+(IF(AND(ArtifactsInput!$M$35,Inputs!$B$4&lt;&gt;"Chapter Hunt"),CHOOSE(ArtifactsInput!$N$35+1,15,18,21,24,27,30)*(1-EXP(-(0.2*B402)*5)),0)+IF(AND(ArtifactsInput!$M$22,Inputs!$B$4&lt;&gt;"Chapter Hunt"),CHOOSE(ArtifactsInput!$N$22+1,10,12,14,16,18,20)*((0*(((0.15*B402*5))^0/1)+1*(((0.15*B402*5))^1/1)+2*(((0.15*B402*5))^2/2)+3*(((0.15*B402*5))^3/6)+4*(((0.15*B402*5))^4/24)+5*(((0.15*B402*5))^5/120))/((((0.15*B402*5))^0/1)+(((0.15*B402*5))^1/1)+(((0.15*B402*5))^2/2)+(((0.15*B402*5))^3/6)+(((0.15*B402*5))^4/24)+(((0.15*B402*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2">
      <c r="A372">
        <f>Skills!A6</f>
        <v/>
      </c>
      <c r="B372">
        <f>Skills!B6</f>
        <v/>
      </c>
      <c r="C372">
        <f>Inputs!$B$3&gt;=66</f>
        <v/>
      </c>
      <c r="D372">
        <f>IF(Skills!C6=1,60+Inputs!$B$25+Inputs!$B$29,IF(Skills!C6=2,90+Inputs!$B$26+Inputs!$B$29,IF(Skills!C6=3,120+Inputs!$B$27+Inputs!$B$29,MAX(0,(Inputs!$B$3-100)*3)+Inputs!$B$28+Inputs!$B$29)))</f>
        <v/>
      </c>
      <c r="E372">
        <f>INDEX(FactorTable!$B$2:$Y$301, MATCH(ROUND(MIN(300,MAX(1,D372)),0), FactorTable!$A$2:$A$301,0), Skills!M6+1)</f>
        <v/>
      </c>
      <c r="F372">
        <f>IF(Skills!N6=TRUE,(Skills!L6/10)*(E372/1000),Skills!L6/10)+Skills!O6</f>
        <v/>
      </c>
      <c r="G372">
        <f>Calc!G6</f>
        <v/>
      </c>
      <c r="H372">
        <f>Calc!H6</f>
        <v/>
      </c>
      <c r="I372">
        <f>IF(Skills!AA6&lt;&gt;"",1+(Skills!AA6/10)*(U369/1000)/100,1)</f>
        <v/>
      </c>
      <c r="J372" t="inlineStr"/>
      <c r="K372" t="inlineStr"/>
      <c r="L372" t="inlineStr"/>
      <c r="M372" t="inlineStr"/>
      <c r="N372" t="inlineStr"/>
      <c r="O372">
        <f>(1-Summary!$B$11)*T372+Summary!$B$11*V372</f>
        <v/>
      </c>
      <c r="P372">
        <f>IF(B410=0,0,O372/B410)</f>
        <v/>
      </c>
      <c r="Q372" t="n">
        <v>0</v>
      </c>
      <c r="R372" t="n">
        <v>0</v>
      </c>
      <c r="S372">
        <f>IFERROR(O372/N372,0)</f>
        <v/>
      </c>
      <c r="T372" t="n">
        <v>0</v>
      </c>
      <c r="U372">
        <f>290*U371/1000</f>
        <v/>
      </c>
      <c r="V372" t="n">
        <v>0</v>
      </c>
    </row>
    <row r="373">
      <c r="A373">
        <f>Skills!A7</f>
        <v/>
      </c>
      <c r="B373">
        <f>Skills!B7</f>
        <v/>
      </c>
      <c r="C373">
        <f>Inputs!$B$3&gt;=66</f>
        <v/>
      </c>
      <c r="D373">
        <f>IF(Skills!C7=1,60+Inputs!$B$25+Inputs!$B$29,IF(Skills!C7=2,90+Inputs!$B$26+Inputs!$B$29,IF(Skills!C7=3,120+Inputs!$B$27+Inputs!$B$29,MAX(0,(Inputs!$B$3-100)*3)+Inputs!$B$28+Inputs!$B$29)))</f>
        <v/>
      </c>
      <c r="E373">
        <f>INDEX(FactorTable!$B$2:$Y$301, MATCH(ROUND(MIN(300,MAX(1,D373)),0), FactorTable!$A$2:$A$301,0), Skills!M7+1)</f>
        <v/>
      </c>
      <c r="F373">
        <f>IF(Skills!N7=TRUE,(Skills!L7/10)*(E373/1000),Skills!L7/10)+Skills!O7</f>
        <v/>
      </c>
      <c r="G373">
        <f>Calc!G7</f>
        <v/>
      </c>
      <c r="H373">
        <f>Calc!H7</f>
        <v/>
      </c>
      <c r="I373">
        <f>IF(Skills!AA7&lt;&gt;"",1+(Skills!AA7/10)*(U369/1000)/100,1)</f>
        <v/>
      </c>
      <c r="J373" t="inlineStr"/>
      <c r="K373" t="inlineStr"/>
      <c r="L373" t="inlineStr"/>
      <c r="M373" t="inlineStr"/>
      <c r="N373" t="inlineStr"/>
      <c r="O373">
        <f>(1-Summary!$B$11)*T373+Summary!$B$11*V373</f>
        <v/>
      </c>
      <c r="P373">
        <f>IF(B410=0,0,O373/B410)</f>
        <v/>
      </c>
      <c r="Q373" t="n">
        <v>0</v>
      </c>
      <c r="R373" t="n">
        <v>0</v>
      </c>
      <c r="S373">
        <f>IFERROR(O373/N373,0)</f>
        <v/>
      </c>
      <c r="T373" t="n">
        <v>0</v>
      </c>
      <c r="V373" t="n">
        <v>0</v>
      </c>
    </row>
    <row r="374">
      <c r="A374">
        <f>Skills!A8</f>
        <v/>
      </c>
      <c r="B374">
        <f>Skills!B8</f>
        <v/>
      </c>
      <c r="C374">
        <f>Inputs!$B$3&gt;=69</f>
        <v/>
      </c>
      <c r="D374">
        <f>IF(Skills!C8=1,60+Inputs!$B$25+Inputs!$B$29,IF(Skills!C8=2,90+Inputs!$B$26+Inputs!$B$29,IF(Skills!C8=3,120+Inputs!$B$27+Inputs!$B$29,MAX(0,(Inputs!$B$3-100)*3)+Inputs!$B$28+Inputs!$B$29)))</f>
        <v/>
      </c>
      <c r="E374">
        <f>INDEX(FactorTable!$B$2:$Y$301, MATCH(ROUND(MIN(300,MAX(1,D374)),0), FactorTable!$A$2:$A$301,0), Skills!M8+1)</f>
        <v/>
      </c>
      <c r="F374">
        <f>IF(Skills!N8=TRUE,(Skills!L8/10)*(E374/1000),Skills!L8/10)+Skills!O8</f>
        <v/>
      </c>
      <c r="G374">
        <f>Calc!G8</f>
        <v/>
      </c>
      <c r="H374">
        <f>Calc!H8</f>
        <v/>
      </c>
      <c r="I374">
        <f>IF(Skills!AA8&lt;&gt;"",1+(Skills!AA8/10)*(U369/1000)/100,1)</f>
        <v/>
      </c>
      <c r="J374">
        <f>((Inputs!$B$6*(1+Inputs!$B$7/100))+(((Inputs!$B$12*(1+Inputs!$B$13/100))-(Inputs!$B$12*(1+Inputs!$B$13/100)))+0.25*(Inputs!$B$14-Inputs!$B$14))*(1+Inputs!$B$7/100))*(F374/100)</f>
        <v/>
      </c>
      <c r="K374">
        <f>J374*(1+((Inputs!$B$12*(1+Inputs!$B$13/100))*0.01+Inputs!$B$14*0.0025)/100)*(1+Inputs!$B$15/100)*(1+Inputs!$B$16/100)*(5000/(6000+Inputs!$B$43*(1-(100*(1-(1-(Inputs!$B$19+0)/100)*(1-CHOOSE(ArtifactsInput!$N$40+1,5,6,7,8,9,10)/100)^(ArtifactsInput!$M$40-ArtifactsInput!$M$40)))/100)))*(1+(Inputs!$B$24+((C396=TRUE)*(F396-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389=TRUE)*(F389-Calc!F23))+(((IF(AND(ArtifactsInput!$M$42,((Inputs!$B$9+((C391=TRUE)*(F391-Calc!F25))+B406+(ArtifactsInput!$M$24-ArtifactsInput!$M$24)*CHOOSE(ArtifactsInput!$N$24+1,10,12,14,16,18,20)+IF(ArtifactsInput!$M$10,CHOOSE(ArtifactsInput!$N$10+1,15,18,21,24,27,30)*(IF(Inputs!$B$39="pvp",MIN(15,15)/15,IF(AND(Inputs!$B$39&lt;&gt;"pvp",Inputs!$B$44&gt;0),MIN(15,Inputs!$B$44)/(Inputs!$B$44),0))),0)))&gt;=100),MIN(100,((Inputs!$B$9+((C391=TRUE)*(F391-Calc!F25))+B406+(ArtifactsInput!$M$24-ArtifactsInput!$M$24)*CHOOSE(ArtifactsInput!$N$24+1,10,12,14,16,18,20)+IF(ArtifactsInput!$M$10,CHOOSE(ArtifactsInput!$N$10+1,15,18,21,24,27,30)*(IF(Inputs!$B$39="pvp",MIN(15,15)/15,IF(AND(Inputs!$B$39&lt;&gt;"pvp",Inputs!$B$44&gt;0),MIN(15,Inputs!$B$44)/(Inputs!$B$44),0))),0)))-100),0))*CHOOSE(ArtifactsInput!$N$42+1,0.6,0.72,0.84,0.96,1.08,1.2))),Inputs!$B$18+((C395=TRUE)*(F395-Calc!F29))+(IF(AND(ArtifactsInput!$M$42,((Inputs!$B$9+((C391=TRUE)*(F391-Calc!F25))+B406+(ArtifactsInput!$M$24-ArtifactsInput!$M$24)*CHOOSE(ArtifactsInput!$N$24+1,10,12,14,16,18,20)+IF(ArtifactsInput!$M$10,CHOOSE(ArtifactsInput!$N$10+1,15,18,21,24,27,30)*(IF(Inputs!$B$39="pvp",MIN(15,15)/15,IF(AND(Inputs!$B$39&lt;&gt;"pvp",Inputs!$B$44&gt;0),MIN(15,Inputs!$B$44)/(Inputs!$B$44),0))),0)))&gt;=100),CHOOSE(ArtifactsInput!$N$42+1,40,48,56,64,72,80),0))))/100)*(((1+(((C387=TRUE)*F387*IF(AND(Inputs!$B$39&lt;&gt;"pvp",Inputs!$B$44&gt;0),(((R387-1)*(Skills!Y21*(1+Inputs!$B$34/100))+MIN((Skills!Y21*(1+Inputs!$B$34/100)),MAX(0,Inputs!$B$44-((R387-1)*Skills!D21))))/Inputs!$B$44),IF(Inputs!$B$39="pvp",MIN((Skills!Y21*(1+Inputs!$B$34/100)),15)/15,(Skills!Y21*(1+Inputs!$B$34/100))/Skills!D21)))+((C394=TRUE)*(F394-Calc!F28))+((C384=TRUE)*(F384-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381=TRUE)*F381*IF(AND(Inputs!$B$39&lt;&gt;"pvp",Inputs!$B$44&gt;0),(((R381-1)*(Skills!Y15*(1+Inputs!$B$34/100))+MIN((Skills!Y15*(1+Inputs!$B$34/100)),MAX(0,Inputs!$B$44-((R381-1)*Skills!D15))))/Inputs!$B$44),IF(Inputs!$B$39="pvp",MIN((Skills!Y15*(1+Inputs!$B$34/100)),15)/15,(Skills!Y15*(1+Inputs!$B$34/100))/Skills!D15)))/100)*(1+((C372=TRUE)*F372*B400)/100))*B408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374)</f>
        <v/>
      </c>
      <c r="L374">
        <f>K374*(MIN(Inputs!$B$22+((C390=TRUE)*(F390-Calc!F24)),(Inputs!$B$23+0+(IF(ArtifactsInput!$M$15,CHOOSE(ArtifactsInput!$N$15+1,25,30,35,40,45,50)/100*(Inputs!$B$11-Inputs!$B$11),0))))/100+(Inputs!$B$23+0+(IF(ArtifactsInput!$M$15,CHOOSE(ArtifactsInput!$N$15+1,25,30,35,40,45,50)/100*(Inputs!$B$11-Inputs!$B$11),0)))/100)/2</f>
        <v/>
      </c>
      <c r="M374">
        <f>L374*(1+(Inputs!$B$10+((C392=TRUE)*(F392-Calc!F26))+B409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4">
        <f>L374*(1-MIN((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374*(MIN((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4">
        <f>(1-Summary!$B$11)*T374+Summary!$B$11*V374</f>
        <v/>
      </c>
      <c r="P374">
        <f>IF(B410=0,0,O374/B410)</f>
        <v/>
      </c>
      <c r="Q374">
        <f>IFERROR(1/IF(Inputs!$B$39="pvp",15,MAX(0.1,Skills!D8-IF(Skills!E8=TRUE,Inputs!$B$32,0))),0)</f>
        <v/>
      </c>
      <c r="R374">
        <f>IF(AND(Inputs!$B$39&lt;&gt;"pvp",Inputs!$B$44&gt;0),IF(MAX(0,Inputs!$B$44-B411)&lt;=0,0,(INT(MAX(0,Inputs!$B$44-B411)/IF(Inputs!$B$39="pvp",15,MAX(0.1,Skills!D8-IF(Skills!E8=TRUE,Inputs!$B$32,0))))+1)),0)</f>
        <v/>
      </c>
      <c r="S374">
        <f>IFERROR(O374/N374,0)</f>
        <v/>
      </c>
      <c r="T374">
        <f>IF(C374,(H374*N374*IF(AND(Inputs!$B$39&lt;&gt;"pvp",Inputs!$B$44&gt;0),((Skills!G8*((R374-1)*IF(Skills!H8&gt;0,Skills!I8/Skills!H8,1)+IF(Skills!H8&gt;0,MIN(Skills!I8,MAX(0,MAX(0,Inputs!$B$44-B411)-((R374-1)*IF(Inputs!$B$39="pvp",15,MAX(0.1,Skills!D8-IF(Skills!E8=TRUE,Inputs!$B$32,0))))))/Skills!H8,1)))/Inputs!$B$44),G374*Q374))*IF(Inputs!$B$39="pvp",1,1+(Inputs!$B$20+((C393=TRUE)*(F393-Calc!F27))+Skills!P8+B407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Hunt"),CHOOSE(ArtifactsInput!$N$35+1,15,18,21,24,27,30)*(1-EXP(-(0.2*B402)*5)),0)+IF(AND(ArtifactsInput!$M$22,Inputs!$B$4&lt;&gt;"Chapter Hunt"),CHOOSE(ArtifactsInput!$N$22+1,10,12,14,16,18,20)*((0*(((0.15*B402*5))^0/1)+1*(((0.15*B402*5))^1/1)+2*(((0.15*B402*5))^2/2)+3*(((0.15*B402*5))^3/6)+4*(((0.15*B402*5))^4/24)+5*(((0.15*B402*5))^5/120))/((((0.15*B402*5))^0/1)+(((0.15*B402*5))^1/1)+(((0.15*B402*5))^2/2)+(((0.15*B402*5))^3/6)+(((0.15*B402*5))^4/24)+(((0.15*B402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374*(1-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374*(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374*(1-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374*(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4">
        <f>IF(C374,(H374*N374*IF(AND(Inputs!$B$39&lt;&gt;"pvp",Inputs!$B$44&gt;0),((Skills!G8*((R374-1)*IF(Skills!H8&gt;0,Skills!I8/Skills!H8,1)+IF(Skills!H8&gt;0,MIN(Skills!I8,MAX(0,MAX(0,Inputs!$B$44-B411)-((R374-1)*IF(Inputs!$B$39="pvp",15,MAX(0.1,Skills!D8-IF(Skills!E8=TRUE,Inputs!$B$32,0))))))/Skills!H8,1)))/Inputs!$B$44),G374*Q374))*IF(Inputs!$B$39="pvp",1,(1+((Inputs!$B$21+1)+Skills!Q8+B407+(IF(ArtifactsInput!$M$33,CHOOSE(ArtifactsInput!$N$33+1,30,36,42,48,54,60),0))+(IF(AND(ArtifactsInput!$M$35,Inputs!$B$4&lt;&gt;"Chapter Hunt"),CHOOSE(ArtifactsInput!$N$35+1,15,18,21,24,27,30)*(1-EXP(-(0.2*B402)*5)),0)+IF(AND(ArtifactsInput!$M$22,Inputs!$B$4&lt;&gt;"Chapter Hunt"),CHOOSE(ArtifactsInput!$N$22+1,10,12,14,16,18,20)*((0*(((0.15*B402*5))^0/1)+1*(((0.15*B402*5))^1/1)+2*(((0.15*B402*5))^2/2)+3*(((0.15*B402*5))^3/6)+4*(((0.15*B402*5))^4/24)+5*(((0.15*B402*5))^5/120))/((((0.15*B402*5))^0/1)+(((0.15*B402*5))^1/1)+(((0.15*B402*5))^2/2)+(((0.15*B402*5))^3/6)+(((0.15*B402*5))^4/24)+(((0.15*B402*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5">
      <c r="A375">
        <f>Skills!A9</f>
        <v/>
      </c>
      <c r="B375">
        <f>Skills!B9</f>
        <v/>
      </c>
      <c r="C375">
        <f>Inputs!$B$3&gt;=72</f>
        <v/>
      </c>
      <c r="D375">
        <f>IF(Skills!C9=1,60+Inputs!$B$25+Inputs!$B$29,IF(Skills!C9=2,90+Inputs!$B$26+Inputs!$B$29,IF(Skills!C9=3,120+Inputs!$B$27+Inputs!$B$29,MAX(0,(Inputs!$B$3-100)*3)+Inputs!$B$28+Inputs!$B$29)))</f>
        <v/>
      </c>
      <c r="E375">
        <f>INDEX(FactorTable!$B$2:$Y$301, MATCH(ROUND(MIN(300,MAX(1,D375)),0), FactorTable!$A$2:$A$301,0), Skills!M9+1)</f>
        <v/>
      </c>
      <c r="F375">
        <f>IF(Skills!N9=TRUE,(Skills!L9/10)*(E375/1000),Skills!L9/10)+Skills!O9</f>
        <v/>
      </c>
      <c r="G375">
        <f>Calc!G9</f>
        <v/>
      </c>
      <c r="H375">
        <f>Calc!H9</f>
        <v/>
      </c>
      <c r="I375">
        <f>IF(Skills!AA9&lt;&gt;"",1+(Skills!AA9/10)*(U369/1000)/100,1)</f>
        <v/>
      </c>
      <c r="J375">
        <f>((Inputs!$B$6*(1+Inputs!$B$7/100))+(((Inputs!$B$12*(1+Inputs!$B$13/100))-(Inputs!$B$12*(1+Inputs!$B$13/100)))+0.25*(Inputs!$B$14-Inputs!$B$14))*(1+Inputs!$B$7/100))*(F375/100)</f>
        <v/>
      </c>
      <c r="K375">
        <f>J375*(1+((Inputs!$B$12*(1+Inputs!$B$13/100))*0.01+Inputs!$B$14*0.0025)/100)*(1+Inputs!$B$15/100)*(1+Inputs!$B$16/100)*(5000/(6000+Inputs!$B$43*(1-(100*(1-(1-(Inputs!$B$19+0)/100)*(1-CHOOSE(ArtifactsInput!$N$40+1,5,6,7,8,9,10)/100)^(ArtifactsInput!$M$40-ArtifactsInput!$M$40)))/100)))*(1+(Inputs!$B$24+((C396=TRUE)*(F396-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389=TRUE)*(F389-Calc!F23))+(((IF(AND(ArtifactsInput!$M$42,((Inputs!$B$9+((C391=TRUE)*(F391-Calc!F25))+B406+(ArtifactsInput!$M$24-ArtifactsInput!$M$24)*CHOOSE(ArtifactsInput!$N$24+1,10,12,14,16,18,20)+IF(ArtifactsInput!$M$10,CHOOSE(ArtifactsInput!$N$10+1,15,18,21,24,27,30)*(IF(Inputs!$B$39="pvp",MIN(15,15)/15,IF(AND(Inputs!$B$39&lt;&gt;"pvp",Inputs!$B$44&gt;0),MIN(15,Inputs!$B$44)/(Inputs!$B$44),0))),0)))&gt;=100),MIN(100,((Inputs!$B$9+((C391=TRUE)*(F391-Calc!F25))+B406+(ArtifactsInput!$M$24-ArtifactsInput!$M$24)*CHOOSE(ArtifactsInput!$N$24+1,10,12,14,16,18,20)+IF(ArtifactsInput!$M$10,CHOOSE(ArtifactsInput!$N$10+1,15,18,21,24,27,30)*(IF(Inputs!$B$39="pvp",MIN(15,15)/15,IF(AND(Inputs!$B$39&lt;&gt;"pvp",Inputs!$B$44&gt;0),MIN(15,Inputs!$B$44)/(Inputs!$B$44),0))),0)))-100),0))*CHOOSE(ArtifactsInput!$N$42+1,0.6,0.72,0.84,0.96,1.08,1.2))),Inputs!$B$18+((C395=TRUE)*(F395-Calc!F29))+(IF(AND(ArtifactsInput!$M$42,((Inputs!$B$9+((C391=TRUE)*(F391-Calc!F25))+B406+(ArtifactsInput!$M$24-ArtifactsInput!$M$24)*CHOOSE(ArtifactsInput!$N$24+1,10,12,14,16,18,20)+IF(ArtifactsInput!$M$10,CHOOSE(ArtifactsInput!$N$10+1,15,18,21,24,27,30)*(IF(Inputs!$B$39="pvp",MIN(15,15)/15,IF(AND(Inputs!$B$39&lt;&gt;"pvp",Inputs!$B$44&gt;0),MIN(15,Inputs!$B$44)/(Inputs!$B$44),0))),0)))&gt;=100),CHOOSE(ArtifactsInput!$N$42+1,40,48,56,64,72,80),0))))/100)*(((1+(((C387=TRUE)*F387*IF(AND(Inputs!$B$39&lt;&gt;"pvp",Inputs!$B$44&gt;0),(((R387-1)*(Skills!Y21*(1+Inputs!$B$34/100))+MIN((Skills!Y21*(1+Inputs!$B$34/100)),MAX(0,Inputs!$B$44-((R387-1)*Skills!D21))))/Inputs!$B$44),IF(Inputs!$B$39="pvp",MIN((Skills!Y21*(1+Inputs!$B$34/100)),15)/15,(Skills!Y21*(1+Inputs!$B$34/100))/Skills!D21)))+((C394=TRUE)*(F394-Calc!F28))+((C384=TRUE)*(F384-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381=TRUE)*F381*IF(AND(Inputs!$B$39&lt;&gt;"pvp",Inputs!$B$44&gt;0),(((R381-1)*(Skills!Y15*(1+Inputs!$B$34/100))+MIN((Skills!Y15*(1+Inputs!$B$34/100)),MAX(0,Inputs!$B$44-((R381-1)*Skills!D15))))/Inputs!$B$44),IF(Inputs!$B$39="pvp",MIN((Skills!Y15*(1+Inputs!$B$34/100)),15)/15,(Skills!Y15*(1+Inputs!$B$34/100))/Skills!D15)))/100)*(1+((C372=TRUE)*F372*B400)/100))*B408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375)</f>
        <v/>
      </c>
      <c r="L375">
        <f>K375*(MIN(Inputs!$B$22+((C390=TRUE)*(F390-Calc!F24)),(Inputs!$B$23+0+(IF(ArtifactsInput!$M$15,CHOOSE(ArtifactsInput!$N$15+1,25,30,35,40,45,50)/100*(Inputs!$B$11-Inputs!$B$11),0))))/100+(Inputs!$B$23+0+(IF(ArtifactsInput!$M$15,CHOOSE(ArtifactsInput!$N$15+1,25,30,35,40,45,50)/100*(Inputs!$B$11-Inputs!$B$11),0)))/100)/2</f>
        <v/>
      </c>
      <c r="M375">
        <f>L375*(1+(Inputs!$B$10+((C392=TRUE)*(F392-Calc!F26))+B409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5">
        <f>L375*(1-MIN((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375*(MIN((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5">
        <f>(1-Summary!$B$11)*T375+Summary!$B$11*V375</f>
        <v/>
      </c>
      <c r="P375">
        <f>IF(B410=0,0,O375/B410)</f>
        <v/>
      </c>
      <c r="Q375">
        <f>IFERROR(1/IF(Inputs!$B$39="pvp",15,MAX(0.1,Skills!D9-IF(Skills!E9=TRUE,Inputs!$B$32,0))),0)</f>
        <v/>
      </c>
      <c r="R375">
        <f>IF(AND(Inputs!$B$39&lt;&gt;"pvp",Inputs!$B$44&gt;0),IF(MAX(0,Inputs!$B$44-B411)&lt;=0,0,(INT(MAX(0,Inputs!$B$44-B411)/IF(Inputs!$B$39="pvp",15,MAX(0.1,Skills!D9-IF(Skills!E9=TRUE,Inputs!$B$32,0))))+1)),0)</f>
        <v/>
      </c>
      <c r="S375">
        <f>IFERROR(O375/N375,0)</f>
        <v/>
      </c>
      <c r="T375">
        <f>IF(C375,(H375*N375*IF(AND(Inputs!$B$39&lt;&gt;"pvp",Inputs!$B$44&gt;0),((Skills!G9*((R375-1)*IF(Skills!H9&gt;0,Skills!I9/Skills!H9,1)+IF(Skills!H9&gt;0,MIN(Skills!I9,MAX(0,MAX(0,Inputs!$B$44-B411)-((R375-1)*IF(Inputs!$B$39="pvp",15,MAX(0.1,Skills!D9-IF(Skills!E9=TRUE,Inputs!$B$32,0))))))/Skills!H9,1)))/Inputs!$B$44),G375*Q375))*IF(Inputs!$B$39="pvp",1,1+(Inputs!$B$20+((C393=TRUE)*(F393-Calc!F27))+Skills!P9+B407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Hunt"),CHOOSE(ArtifactsInput!$N$35+1,15,18,21,24,27,30)*(1-EXP(-(0.2*B402)*5)),0)+IF(AND(ArtifactsInput!$M$22,Inputs!$B$4&lt;&gt;"Chapter Hunt"),CHOOSE(ArtifactsInput!$N$22+1,10,12,14,16,18,20)*((0*(((0.15*B402*5))^0/1)+1*(((0.15*B402*5))^1/1)+2*(((0.15*B402*5))^2/2)+3*(((0.15*B402*5))^3/6)+4*(((0.15*B402*5))^4/24)+5*(((0.15*B402*5))^5/120))/((((0.15*B402*5))^0/1)+(((0.15*B402*5))^1/1)+(((0.15*B402*5))^2/2)+(((0.15*B402*5))^3/6)+(((0.15*B402*5))^4/24)+(((0.15*B402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375*(1-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375*(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375*(1-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375*(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5">
        <f>IF(C375,(H375*N375*IF(AND(Inputs!$B$39&lt;&gt;"pvp",Inputs!$B$44&gt;0),((Skills!G9*((R375-1)*IF(Skills!H9&gt;0,Skills!I9/Skills!H9,1)+IF(Skills!H9&gt;0,MIN(Skills!I9,MAX(0,MAX(0,Inputs!$B$44-B411)-((R375-1)*IF(Inputs!$B$39="pvp",15,MAX(0.1,Skills!D9-IF(Skills!E9=TRUE,Inputs!$B$32,0))))))/Skills!H9,1)))/Inputs!$B$44),G375*Q375))*IF(Inputs!$B$39="pvp",1,(1+((Inputs!$B$21+1)+Skills!Q9+B407+(IF(ArtifactsInput!$M$33,CHOOSE(ArtifactsInput!$N$33+1,30,36,42,48,54,60),0))+(IF(AND(ArtifactsInput!$M$35,Inputs!$B$4&lt;&gt;"Chapter Hunt"),CHOOSE(ArtifactsInput!$N$35+1,15,18,21,24,27,30)*(1-EXP(-(0.2*B402)*5)),0)+IF(AND(ArtifactsInput!$M$22,Inputs!$B$4&lt;&gt;"Chapter Hunt"),CHOOSE(ArtifactsInput!$N$22+1,10,12,14,16,18,20)*((0*(((0.15*B402*5))^0/1)+1*(((0.15*B402*5))^1/1)+2*(((0.15*B402*5))^2/2)+3*(((0.15*B402*5))^3/6)+4*(((0.15*B402*5))^4/24)+5*(((0.15*B402*5))^5/120))/((((0.15*B402*5))^0/1)+(((0.15*B402*5))^1/1)+(((0.15*B402*5))^2/2)+(((0.15*B402*5))^3/6)+(((0.15*B402*5))^4/24)+(((0.15*B402*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6">
      <c r="A376">
        <f>Skills!A10</f>
        <v/>
      </c>
      <c r="B376">
        <f>Skills!B10</f>
        <v/>
      </c>
      <c r="C376">
        <f>Inputs!$B$3&gt;=117</f>
        <v/>
      </c>
      <c r="D376">
        <f>IF(Skills!C10=1,60+Inputs!$B$25+Inputs!$B$29,IF(Skills!C10=2,90+Inputs!$B$26+Inputs!$B$29,IF(Skills!C10=3,120+Inputs!$B$27+Inputs!$B$29,MAX(0,(Inputs!$B$3-100)*3)+Inputs!$B$28+Inputs!$B$29)))</f>
        <v/>
      </c>
      <c r="E376">
        <f>INDEX(FactorTable!$B$2:$Y$301, MATCH(ROUND(MIN(300,MAX(1,D376)),0), FactorTable!$A$2:$A$301,0), Skills!M10+1)</f>
        <v/>
      </c>
      <c r="F376">
        <f>IF(Skills!N10=TRUE,(Skills!L10/10)*(E376/1000),Skills!L10/10)+Skills!O10</f>
        <v/>
      </c>
      <c r="G376">
        <f>Calc!G10</f>
        <v/>
      </c>
      <c r="H376">
        <f>Calc!H10</f>
        <v/>
      </c>
      <c r="I376">
        <f>IF(Skills!AA10&lt;&gt;"",1+(Skills!AA10/10)*(U369/1000)/100,1)</f>
        <v/>
      </c>
      <c r="J376">
        <f>((Inputs!$B$6*(1+Inputs!$B$7/100))+(((Inputs!$B$12*(1+Inputs!$B$13/100))-(Inputs!$B$12*(1+Inputs!$B$13/100)))+0.25*(Inputs!$B$14-Inputs!$B$14))*(1+Inputs!$B$7/100))*(F376/100)</f>
        <v/>
      </c>
      <c r="K376">
        <f>J376*(1+((Inputs!$B$12*(1+Inputs!$B$13/100))*0.01+Inputs!$B$14*0.0025)/100)*(1+Inputs!$B$15/100)*(1+Inputs!$B$16/100)*(5000/(6000+Inputs!$B$43*(1-(100*(1-(1-(Inputs!$B$19+0)/100)*(1-CHOOSE(ArtifactsInput!$N$40+1,5,6,7,8,9,10)/100)^(ArtifactsInput!$M$40-ArtifactsInput!$M$40)))/100)))*(1+(Inputs!$B$24+((C396=TRUE)*(F396-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389=TRUE)*(F389-Calc!F23))+(((IF(AND(ArtifactsInput!$M$42,((Inputs!$B$9+((C391=TRUE)*(F391-Calc!F25))+B406+(ArtifactsInput!$M$24-ArtifactsInput!$M$24)*CHOOSE(ArtifactsInput!$N$24+1,10,12,14,16,18,20)+IF(ArtifactsInput!$M$10,CHOOSE(ArtifactsInput!$N$10+1,15,18,21,24,27,30)*(IF(Inputs!$B$39="pvp",MIN(15,15)/15,IF(AND(Inputs!$B$39&lt;&gt;"pvp",Inputs!$B$44&gt;0),MIN(15,Inputs!$B$44)/(Inputs!$B$44),0))),0)))&gt;=100),MIN(100,((Inputs!$B$9+((C391=TRUE)*(F391-Calc!F25))+B406+(ArtifactsInput!$M$24-ArtifactsInput!$M$24)*CHOOSE(ArtifactsInput!$N$24+1,10,12,14,16,18,20)+IF(ArtifactsInput!$M$10,CHOOSE(ArtifactsInput!$N$10+1,15,18,21,24,27,30)*(IF(Inputs!$B$39="pvp",MIN(15,15)/15,IF(AND(Inputs!$B$39&lt;&gt;"pvp",Inputs!$B$44&gt;0),MIN(15,Inputs!$B$44)/(Inputs!$B$44),0))),0)))-100),0))*CHOOSE(ArtifactsInput!$N$42+1,0.6,0.72,0.84,0.96,1.08,1.2))),Inputs!$B$18+((C395=TRUE)*(F395-Calc!F29))+(IF(AND(ArtifactsInput!$M$42,((Inputs!$B$9+((C391=TRUE)*(F391-Calc!F25))+B406+(ArtifactsInput!$M$24-ArtifactsInput!$M$24)*CHOOSE(ArtifactsInput!$N$24+1,10,12,14,16,18,20)+IF(ArtifactsInput!$M$10,CHOOSE(ArtifactsInput!$N$10+1,15,18,21,24,27,30)*(IF(Inputs!$B$39="pvp",MIN(15,15)/15,IF(AND(Inputs!$B$39&lt;&gt;"pvp",Inputs!$B$44&gt;0),MIN(15,Inputs!$B$44)/(Inputs!$B$44),0))),0)))&gt;=100),CHOOSE(ArtifactsInput!$N$42+1,40,48,56,64,72,80),0))))/100)*(((1+(((C387=TRUE)*F387*IF(AND(Inputs!$B$39&lt;&gt;"pvp",Inputs!$B$44&gt;0),(((R387-1)*(Skills!Y21*(1+Inputs!$B$34/100))+MIN((Skills!Y21*(1+Inputs!$B$34/100)),MAX(0,Inputs!$B$44-((R387-1)*Skills!D21))))/Inputs!$B$44),IF(Inputs!$B$39="pvp",MIN((Skills!Y21*(1+Inputs!$B$34/100)),15)/15,(Skills!Y21*(1+Inputs!$B$34/100))/Skills!D21)))+((C394=TRUE)*(F394-Calc!F28))+((C384=TRUE)*(F384-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381=TRUE)*F381*IF(AND(Inputs!$B$39&lt;&gt;"pvp",Inputs!$B$44&gt;0),(((R381-1)*(Skills!Y15*(1+Inputs!$B$34/100))+MIN((Skills!Y15*(1+Inputs!$B$34/100)),MAX(0,Inputs!$B$44-((R381-1)*Skills!D15))))/Inputs!$B$44),IF(Inputs!$B$39="pvp",MIN((Skills!Y15*(1+Inputs!$B$34/100)),15)/15,(Skills!Y15*(1+Inputs!$B$34/100))/Skills!D15)))/100)*(1+((C372=TRUE)*F372*B400)/100))*B408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376)</f>
        <v/>
      </c>
      <c r="L376">
        <f>K376*(MIN(Inputs!$B$22+((C390=TRUE)*(F390-Calc!F24)),(Inputs!$B$23+0+(IF(ArtifactsInput!$M$15,CHOOSE(ArtifactsInput!$N$15+1,25,30,35,40,45,50)/100*(Inputs!$B$11-Inputs!$B$11),0))))/100+(Inputs!$B$23+0+(IF(ArtifactsInput!$M$15,CHOOSE(ArtifactsInput!$N$15+1,25,30,35,40,45,50)/100*(Inputs!$B$11-Inputs!$B$11),0)))/100)/2</f>
        <v/>
      </c>
      <c r="M376">
        <f>L376*(1+(Inputs!$B$10+((C392=TRUE)*(F392-Calc!F26))+B409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6">
        <f>L376*(1-MIN((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376*(MIN((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6">
        <f>(1-Summary!$B$11)*T376+Summary!$B$11*V376</f>
        <v/>
      </c>
      <c r="P376">
        <f>IF(B410=0,0,O376/B410)</f>
        <v/>
      </c>
      <c r="Q376" t="n">
        <v>0</v>
      </c>
      <c r="R376" t="n">
        <v>0</v>
      </c>
      <c r="S376" t="n">
        <v>0</v>
      </c>
      <c r="T376">
        <f>IF(C376,(0.2*SUMPRODUCT((Skills!Z2:Z31=TRUE)*(C368:C397=TRUE)*S368:S397)*N376)*IF(Inputs!$B$39="pvp",1,1+(Inputs!$B$20+((C393=TRUE)*(F393-Calc!F27))+Skills!P10+B407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Hunt"),CHOOSE(ArtifactsInput!$N$35+1,15,18,21,24,27,30)*(1-EXP(-(0.2*B402)*5)),0)+IF(AND(ArtifactsInput!$M$22,Inputs!$B$4&lt;&gt;"Chapter Hunt"),CHOOSE(ArtifactsInput!$N$22+1,10,12,14,16,18,20)*((0*(((0.15*B402*5))^0/1)+1*(((0.15*B402*5))^1/1)+2*(((0.15*B402*5))^2/2)+3*(((0.15*B402*5))^3/6)+4*(((0.15*B402*5))^4/24)+5*(((0.15*B402*5))^5/120))/((((0.15*B402*5))^0/1)+(((0.15*B402*5))^1/1)+(((0.15*B402*5))^2/2)+(((0.15*B402*5))^3/6)+(((0.15*B402*5))^4/24)+(((0.15*B402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376*(1-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376*(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376*(1-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376*(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6">
        <f>IF(C376,(0.2*SUMPRODUCT((Skills!Z2:Z31=TRUE)*(C368:C397=TRUE)*S368:S397)*N376)*IF(Inputs!$B$39="pvp",1,(1+((Inputs!$B$21+1)+Skills!Q10+B407+(IF(ArtifactsInput!$M$33,CHOOSE(ArtifactsInput!$N$33+1,30,36,42,48,54,60),0))+(IF(AND(ArtifactsInput!$M$35,Inputs!$B$4&lt;&gt;"Chapter Hunt"),CHOOSE(ArtifactsInput!$N$35+1,15,18,21,24,27,30)*(1-EXP(-(0.2*B402)*5)),0)+IF(AND(ArtifactsInput!$M$22,Inputs!$B$4&lt;&gt;"Chapter Hunt"),CHOOSE(ArtifactsInput!$N$22+1,10,12,14,16,18,20)*((0*(((0.15*B402*5))^0/1)+1*(((0.15*B402*5))^1/1)+2*(((0.15*B402*5))^2/2)+3*(((0.15*B402*5))^3/6)+4*(((0.15*B402*5))^4/24)+5*(((0.15*B402*5))^5/120))/((((0.15*B402*5))^0/1)+(((0.15*B402*5))^1/1)+(((0.15*B402*5))^2/2)+(((0.15*B402*5))^3/6)+(((0.15*B402*5))^4/24)+(((0.15*B402*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7">
      <c r="A377">
        <f>Skills!A11</f>
        <v/>
      </c>
      <c r="B377">
        <f>Skills!B11</f>
        <v/>
      </c>
      <c r="C377">
        <f>Inputs!$B$3&gt;=60</f>
        <v/>
      </c>
      <c r="D377">
        <f>IF(Skills!C11=1,60+Inputs!$B$25+Inputs!$B$29,IF(Skills!C11=2,90+Inputs!$B$26+Inputs!$B$29,IF(Skills!C11=3,120+Inputs!$B$27+Inputs!$B$29,MAX(0,(Inputs!$B$3-100)*3)+Inputs!$B$28+Inputs!$B$29)))</f>
        <v/>
      </c>
      <c r="E377">
        <f>INDEX(FactorTable!$B$2:$Y$301, MATCH(ROUND(MIN(300,MAX(1,D377)),0), FactorTable!$A$2:$A$301,0), Skills!M11+1)</f>
        <v/>
      </c>
      <c r="F377">
        <f>IF(Skills!N11=TRUE,(Skills!L11/10)*(E377/1000),Skills!L11/10)+Skills!O11</f>
        <v/>
      </c>
      <c r="G377">
        <f>Calc!G11</f>
        <v/>
      </c>
      <c r="H377">
        <f>Calc!H11</f>
        <v/>
      </c>
      <c r="I377">
        <f>IF(Skills!AA11&lt;&gt;"",1+(Skills!AA11/10)*(U369/1000)/100,1)</f>
        <v/>
      </c>
      <c r="J377" t="inlineStr"/>
      <c r="K377" t="inlineStr"/>
      <c r="L377" t="inlineStr"/>
      <c r="M377" t="inlineStr"/>
      <c r="N377" t="inlineStr"/>
      <c r="O377">
        <f>(1-Summary!$B$11)*T377+Summary!$B$11*V377</f>
        <v/>
      </c>
      <c r="P377">
        <f>IF(B410=0,0,O377/B410)</f>
        <v/>
      </c>
      <c r="Q377" t="n">
        <v>0</v>
      </c>
      <c r="R377" t="n">
        <v>0</v>
      </c>
      <c r="S377">
        <f>IFERROR(O377/N377,0)</f>
        <v/>
      </c>
      <c r="T377" t="n">
        <v>0</v>
      </c>
      <c r="V377" t="n">
        <v>0</v>
      </c>
    </row>
    <row r="378">
      <c r="A378">
        <f>Skills!A12</f>
        <v/>
      </c>
      <c r="B378">
        <f>Skills!B12</f>
        <v/>
      </c>
      <c r="C378">
        <f>Inputs!$B$3&gt;=103</f>
        <v/>
      </c>
      <c r="D378">
        <f>IF(Skills!C12=1,60+Inputs!$B$25+Inputs!$B$29,IF(Skills!C12=2,90+Inputs!$B$26+Inputs!$B$29,IF(Skills!C12=3,120+Inputs!$B$27+Inputs!$B$29,MAX(0,(Inputs!$B$3-100)*3)+Inputs!$B$28+Inputs!$B$29)))</f>
        <v/>
      </c>
      <c r="E378">
        <f>INDEX(FactorTable!$B$2:$Y$301, MATCH(ROUND(MIN(300,MAX(1,D378)),0), FactorTable!$A$2:$A$301,0), Skills!M12+1)</f>
        <v/>
      </c>
      <c r="F378">
        <f>IF(Skills!N12=TRUE,(Skills!L12/10)*(E378/1000),Skills!L12/10)+Skills!O12</f>
        <v/>
      </c>
      <c r="G378">
        <f>Calc!G12</f>
        <v/>
      </c>
      <c r="H378">
        <f>Calc!H12</f>
        <v/>
      </c>
      <c r="I378">
        <f>IF(Skills!AA12&lt;&gt;"",1+(Skills!AA12/10)*(U369/1000)/100,1)</f>
        <v/>
      </c>
      <c r="J378">
        <f>((Inputs!$B$6*(1+Inputs!$B$7/100))+(((Inputs!$B$12*(1+Inputs!$B$13/100))-(Inputs!$B$12*(1+Inputs!$B$13/100)))+0.25*(Inputs!$B$14-Inputs!$B$14))*(1+Inputs!$B$7/100))*(F378/100)</f>
        <v/>
      </c>
      <c r="K378">
        <f>J378*(1+((Inputs!$B$12*(1+Inputs!$B$13/100))*0.01+Inputs!$B$14*0.0025)/100)*(1+Inputs!$B$15/100)*(1+Inputs!$B$16/100)*(5000/(6000+Inputs!$B$43*(1-(100*(1-(1-(Inputs!$B$19+0)/100)*(1-CHOOSE(ArtifactsInput!$N$40+1,5,6,7,8,9,10)/100)^(ArtifactsInput!$M$40-ArtifactsInput!$M$40)))/100)))*(1+(Inputs!$B$24+((C396=TRUE)*(F396-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389=TRUE)*(F389-Calc!F23))+(((IF(AND(ArtifactsInput!$M$42,((Inputs!$B$9+((C391=TRUE)*(F391-Calc!F25))+B406+(ArtifactsInput!$M$24-ArtifactsInput!$M$24)*CHOOSE(ArtifactsInput!$N$24+1,10,12,14,16,18,20)+IF(ArtifactsInput!$M$10,CHOOSE(ArtifactsInput!$N$10+1,15,18,21,24,27,30)*(IF(Inputs!$B$39="pvp",MIN(15,15)/15,IF(AND(Inputs!$B$39&lt;&gt;"pvp",Inputs!$B$44&gt;0),MIN(15,Inputs!$B$44)/(Inputs!$B$44),0))),0)))&gt;=100),MIN(100,((Inputs!$B$9+((C391=TRUE)*(F391-Calc!F25))+B406+(ArtifactsInput!$M$24-ArtifactsInput!$M$24)*CHOOSE(ArtifactsInput!$N$24+1,10,12,14,16,18,20)+IF(ArtifactsInput!$M$10,CHOOSE(ArtifactsInput!$N$10+1,15,18,21,24,27,30)*(IF(Inputs!$B$39="pvp",MIN(15,15)/15,IF(AND(Inputs!$B$39&lt;&gt;"pvp",Inputs!$B$44&gt;0),MIN(15,Inputs!$B$44)/(Inputs!$B$44),0))),0)))-100),0))*CHOOSE(ArtifactsInput!$N$42+1,0.6,0.72,0.84,0.96,1.08,1.2))),Inputs!$B$18+((C395=TRUE)*(F395-Calc!F29))+(IF(AND(ArtifactsInput!$M$42,((Inputs!$B$9+((C391=TRUE)*(F391-Calc!F25))+B406+(ArtifactsInput!$M$24-ArtifactsInput!$M$24)*CHOOSE(ArtifactsInput!$N$24+1,10,12,14,16,18,20)+IF(ArtifactsInput!$M$10,CHOOSE(ArtifactsInput!$N$10+1,15,18,21,24,27,30)*(IF(Inputs!$B$39="pvp",MIN(15,15)/15,IF(AND(Inputs!$B$39&lt;&gt;"pvp",Inputs!$B$44&gt;0),MIN(15,Inputs!$B$44)/(Inputs!$B$44),0))),0)))&gt;=100),CHOOSE(ArtifactsInput!$N$42+1,40,48,56,64,72,80),0))))/100)*(((1+(((C387=TRUE)*F387*IF(AND(Inputs!$B$39&lt;&gt;"pvp",Inputs!$B$44&gt;0),(((R387-1)*(Skills!Y21*(1+Inputs!$B$34/100))+MIN((Skills!Y21*(1+Inputs!$B$34/100)),MAX(0,Inputs!$B$44-((R387-1)*Skills!D21))))/Inputs!$B$44),IF(Inputs!$B$39="pvp",MIN((Skills!Y21*(1+Inputs!$B$34/100)),15)/15,(Skills!Y21*(1+Inputs!$B$34/100))/Skills!D21)))+((C394=TRUE)*(F394-Calc!F28))+((C384=TRUE)*(F384-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381=TRUE)*F381*IF(AND(Inputs!$B$39&lt;&gt;"pvp",Inputs!$B$44&gt;0),(((R381-1)*(Skills!Y15*(1+Inputs!$B$34/100))+MIN((Skills!Y15*(1+Inputs!$B$34/100)),MAX(0,Inputs!$B$44-((R381-1)*Skills!D15))))/Inputs!$B$44),IF(Inputs!$B$39="pvp",MIN((Skills!Y15*(1+Inputs!$B$34/100)),15)/15,(Skills!Y15*(1+Inputs!$B$34/100))/Skills!D15)))/100)*(1+((C372=TRUE)*F372*B400)/100))*B408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378)</f>
        <v/>
      </c>
      <c r="L378">
        <f>K378*(MIN(Inputs!$B$22+((C390=TRUE)*(F390-Calc!F24)),(Inputs!$B$23+0+(IF(ArtifactsInput!$M$15,CHOOSE(ArtifactsInput!$N$15+1,25,30,35,40,45,50)/100*(Inputs!$B$11-Inputs!$B$11),0))))/100+(Inputs!$B$23+0+(IF(ArtifactsInput!$M$15,CHOOSE(ArtifactsInput!$N$15+1,25,30,35,40,45,50)/100*(Inputs!$B$11-Inputs!$B$11),0)))/100)/2</f>
        <v/>
      </c>
      <c r="M378">
        <f>L378*(1+(Inputs!$B$10+((C392=TRUE)*(F392-Calc!F26))+B409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8">
        <f>L378*(1-MIN((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378*(MIN((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8">
        <f>(1-Summary!$B$11)*T378+Summary!$B$11*V378</f>
        <v/>
      </c>
      <c r="P378">
        <f>IF(B410=0,0,O378/B410)</f>
        <v/>
      </c>
      <c r="Q378">
        <f>IFERROR(1/IF(Inputs!$B$39="pvp",15,MAX(0.1,Skills!D12-IF(Skills!E12=TRUE,Inputs!$B$32,0))),0)</f>
        <v/>
      </c>
      <c r="R378">
        <f>IF(AND(Inputs!$B$39&lt;&gt;"pvp",Inputs!$B$44&gt;0),IF(MAX(0,Inputs!$B$44-B411)&lt;=0,0,(INT(MAX(0,Inputs!$B$44-B411)/IF(Inputs!$B$39="pvp",15,MAX(0.1,Skills!D12-IF(Skills!E12=TRUE,Inputs!$B$32,0))))+1)),0)</f>
        <v/>
      </c>
      <c r="S378">
        <f>IFERROR(O378/N378,0)</f>
        <v/>
      </c>
      <c r="T378">
        <f>IF(C378,(H378*N378*IF(AND(Inputs!$B$39&lt;&gt;"pvp",Inputs!$B$44&gt;0),((Skills!G12*((R378-1)*IF(Skills!H12&gt;0,Skills!I12/Skills!H12,1)+IF(Skills!H12&gt;0,MIN(Skills!I12,MAX(0,MAX(0,Inputs!$B$44-B411)-((R378-1)*IF(Inputs!$B$39="pvp",15,MAX(0.1,Skills!D12-IF(Skills!E12=TRUE,Inputs!$B$32,0))))))/Skills!H12,1)))/Inputs!$B$44),G378*Q378))*IF(Inputs!$B$39="pvp",1,1+(Inputs!$B$20+((C393=TRUE)*(F393-Calc!F27))+Skills!P12+B407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Hunt"),CHOOSE(ArtifactsInput!$N$35+1,15,18,21,24,27,30)*(1-EXP(-(0.2*B402)*5)),0)+IF(AND(ArtifactsInput!$M$22,Inputs!$B$4&lt;&gt;"Chapter Hunt"),CHOOSE(ArtifactsInput!$N$22+1,10,12,14,16,18,20)*((0*(((0.15*B402*5))^0/1)+1*(((0.15*B402*5))^1/1)+2*(((0.15*B402*5))^2/2)+3*(((0.15*B402*5))^3/6)+4*(((0.15*B402*5))^4/24)+5*(((0.15*B402*5))^5/120))/((((0.15*B402*5))^0/1)+(((0.15*B402*5))^1/1)+(((0.15*B402*5))^2/2)+(((0.15*B402*5))^3/6)+(((0.15*B402*5))^4/24)+(((0.15*B402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378*(1-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378*(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378*(1-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378*(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8">
        <f>IF(C378,(H378*N378*IF(AND(Inputs!$B$39&lt;&gt;"pvp",Inputs!$B$44&gt;0),((Skills!G12*((R378-1)*IF(Skills!H12&gt;0,Skills!I12/Skills!H12,1)+IF(Skills!H12&gt;0,MIN(Skills!I12,MAX(0,MAX(0,Inputs!$B$44-B411)-((R378-1)*IF(Inputs!$B$39="pvp",15,MAX(0.1,Skills!D12-IF(Skills!E12=TRUE,Inputs!$B$32,0))))))/Skills!H12,1)))/Inputs!$B$44),G378*Q378))*IF(Inputs!$B$39="pvp",1,(1+((Inputs!$B$21+1)+Skills!Q12+B407+(IF(ArtifactsInput!$M$33,CHOOSE(ArtifactsInput!$N$33+1,30,36,42,48,54,60),0))+(IF(AND(ArtifactsInput!$M$35,Inputs!$B$4&lt;&gt;"Chapter Hunt"),CHOOSE(ArtifactsInput!$N$35+1,15,18,21,24,27,30)*(1-EXP(-(0.2*B402)*5)),0)+IF(AND(ArtifactsInput!$M$22,Inputs!$B$4&lt;&gt;"Chapter Hunt"),CHOOSE(ArtifactsInput!$N$22+1,10,12,14,16,18,20)*((0*(((0.15*B402*5))^0/1)+1*(((0.15*B402*5))^1/1)+2*(((0.15*B402*5))^2/2)+3*(((0.15*B402*5))^3/6)+4*(((0.15*B402*5))^4/24)+5*(((0.15*B402*5))^5/120))/((((0.15*B402*5))^0/1)+(((0.15*B402*5))^1/1)+(((0.15*B402*5))^2/2)+(((0.15*B402*5))^3/6)+(((0.15*B402*5))^4/24)+(((0.15*B402*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9">
      <c r="A379">
        <f>Skills!A13</f>
        <v/>
      </c>
      <c r="B379">
        <f>Skills!B13</f>
        <v/>
      </c>
      <c r="C379">
        <f>Inputs!$B$3&gt;=105</f>
        <v/>
      </c>
      <c r="D379">
        <f>IF(Skills!C13=1,60+Inputs!$B$25+Inputs!$B$29,IF(Skills!C13=2,90+Inputs!$B$26+Inputs!$B$29,IF(Skills!C13=3,120+Inputs!$B$27+Inputs!$B$29,MAX(0,(Inputs!$B$3-100)*3)+Inputs!$B$28+Inputs!$B$29)))</f>
        <v/>
      </c>
      <c r="E379">
        <f>INDEX(FactorTable!$B$2:$Y$301, MATCH(ROUND(MIN(300,MAX(1,D379)),0), FactorTable!$A$2:$A$301,0), Skills!M13+1)</f>
        <v/>
      </c>
      <c r="F379">
        <f>IF(Skills!N13=TRUE,(Skills!L13/10)*(E379/1000),Skills!L13/10)+Skills!O13</f>
        <v/>
      </c>
      <c r="G379">
        <f>Calc!G13</f>
        <v/>
      </c>
      <c r="H379">
        <f>Calc!H13</f>
        <v/>
      </c>
      <c r="I379">
        <f>IF(Skills!AA13&lt;&gt;"",1+(Skills!AA13/10)*(U369/1000)/100,1)</f>
        <v/>
      </c>
      <c r="J379">
        <f>((Inputs!$B$6*(1+Inputs!$B$7/100))+(((Inputs!$B$12*(1+Inputs!$B$13/100))-(Inputs!$B$12*(1+Inputs!$B$13/100)))+0.25*(Inputs!$B$14-Inputs!$B$14))*(1+Inputs!$B$7/100))*(F379/100)</f>
        <v/>
      </c>
      <c r="K379">
        <f>J379*(1+((Inputs!$B$12*(1+Inputs!$B$13/100))*0.01+Inputs!$B$14*0.0025)/100)*(1+Inputs!$B$15/100)*(1+Inputs!$B$16/100)*(5000/(6000+Inputs!$B$43*(1-(100*(1-(1-(Inputs!$B$19+0)/100)*(1-CHOOSE(ArtifactsInput!$N$40+1,5,6,7,8,9,10)/100)^(ArtifactsInput!$M$40-ArtifactsInput!$M$40)))/100)))*(1+(Inputs!$B$24+((C396=TRUE)*(F396-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389=TRUE)*(F389-Calc!F23))+(((IF(AND(ArtifactsInput!$M$42,((Inputs!$B$9+((C391=TRUE)*(F391-Calc!F25))+B406+(ArtifactsInput!$M$24-ArtifactsInput!$M$24)*CHOOSE(ArtifactsInput!$N$24+1,10,12,14,16,18,20)+IF(ArtifactsInput!$M$10,CHOOSE(ArtifactsInput!$N$10+1,15,18,21,24,27,30)*(IF(Inputs!$B$39="pvp",MIN(15,15)/15,IF(AND(Inputs!$B$39&lt;&gt;"pvp",Inputs!$B$44&gt;0),MIN(15,Inputs!$B$44)/(Inputs!$B$44),0))),0)))&gt;=100),MIN(100,((Inputs!$B$9+((C391=TRUE)*(F391-Calc!F25))+B406+(ArtifactsInput!$M$24-ArtifactsInput!$M$24)*CHOOSE(ArtifactsInput!$N$24+1,10,12,14,16,18,20)+IF(ArtifactsInput!$M$10,CHOOSE(ArtifactsInput!$N$10+1,15,18,21,24,27,30)*(IF(Inputs!$B$39="pvp",MIN(15,15)/15,IF(AND(Inputs!$B$39&lt;&gt;"pvp",Inputs!$B$44&gt;0),MIN(15,Inputs!$B$44)/(Inputs!$B$44),0))),0)))-100),0))*CHOOSE(ArtifactsInput!$N$42+1,0.6,0.72,0.84,0.96,1.08,1.2))),Inputs!$B$18+((C395=TRUE)*(F395-Calc!F29))+(IF(AND(ArtifactsInput!$M$42,((Inputs!$B$9+((C391=TRUE)*(F391-Calc!F25))+B406+(ArtifactsInput!$M$24-ArtifactsInput!$M$24)*CHOOSE(ArtifactsInput!$N$24+1,10,12,14,16,18,20)+IF(ArtifactsInput!$M$10,CHOOSE(ArtifactsInput!$N$10+1,15,18,21,24,27,30)*(IF(Inputs!$B$39="pvp",MIN(15,15)/15,IF(AND(Inputs!$B$39&lt;&gt;"pvp",Inputs!$B$44&gt;0),MIN(15,Inputs!$B$44)/(Inputs!$B$44),0))),0)))&gt;=100),CHOOSE(ArtifactsInput!$N$42+1,40,48,56,64,72,80),0))))/100)*(((1+(((C387=TRUE)*F387*IF(AND(Inputs!$B$39&lt;&gt;"pvp",Inputs!$B$44&gt;0),(((R387-1)*(Skills!Y21*(1+Inputs!$B$34/100))+MIN((Skills!Y21*(1+Inputs!$B$34/100)),MAX(0,Inputs!$B$44-((R387-1)*Skills!D21))))/Inputs!$B$44),IF(Inputs!$B$39="pvp",MIN((Skills!Y21*(1+Inputs!$B$34/100)),15)/15,(Skills!Y21*(1+Inputs!$B$34/100))/Skills!D21)))+((C394=TRUE)*(F394-Calc!F28))+((C384=TRUE)*(F384-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381=TRUE)*F381*IF(AND(Inputs!$B$39&lt;&gt;"pvp",Inputs!$B$44&gt;0),(((R381-1)*(Skills!Y15*(1+Inputs!$B$34/100))+MIN((Skills!Y15*(1+Inputs!$B$34/100)),MAX(0,Inputs!$B$44-((R381-1)*Skills!D15))))/Inputs!$B$44),IF(Inputs!$B$39="pvp",MIN((Skills!Y15*(1+Inputs!$B$34/100)),15)/15,(Skills!Y15*(1+Inputs!$B$34/100))/Skills!D15)))/100)*(1+((C372=TRUE)*F372*B400)/100))*B408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379)</f>
        <v/>
      </c>
      <c r="L379">
        <f>K379*(MIN(Inputs!$B$22+((C390=TRUE)*(F390-Calc!F24)),(Inputs!$B$23+0+(IF(ArtifactsInput!$M$15,CHOOSE(ArtifactsInput!$N$15+1,25,30,35,40,45,50)/100*(Inputs!$B$11-Inputs!$B$11),0))))/100+(Inputs!$B$23+0+(IF(ArtifactsInput!$M$15,CHOOSE(ArtifactsInput!$N$15+1,25,30,35,40,45,50)/100*(Inputs!$B$11-Inputs!$B$11),0)))/100)/2</f>
        <v/>
      </c>
      <c r="M379">
        <f>L379*(1+(Inputs!$B$10+((C392=TRUE)*(F392-Calc!F26))+B409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9">
        <f>L379*(1-MIN((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379*(MIN((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9">
        <f>(1-Summary!$B$11)*T379+Summary!$B$11*V379</f>
        <v/>
      </c>
      <c r="P379">
        <f>IF(B410=0,0,O379/B410)</f>
        <v/>
      </c>
      <c r="Q379">
        <f>IFERROR(1/IF(Inputs!$B$39="pvp",15,MAX(0.1,Skills!D13-IF(Skills!E13=TRUE,Inputs!$B$32,0))),0)</f>
        <v/>
      </c>
      <c r="R379">
        <f>IF(AND(Inputs!$B$39&lt;&gt;"pvp",Inputs!$B$44&gt;0),IF(MAX(0,Inputs!$B$44-B411)&lt;=0,0,(INT(MAX(0,Inputs!$B$44-B411)/IF(Inputs!$B$39="pvp",15,MAX(0.1,Skills!D13-IF(Skills!E13=TRUE,Inputs!$B$32,0))))+1)),0)</f>
        <v/>
      </c>
      <c r="S379">
        <f>IFERROR(O379/N379,0)</f>
        <v/>
      </c>
      <c r="T379">
        <f>IF(C379,(H379*N379*IF(AND(Inputs!$B$39&lt;&gt;"pvp",Inputs!$B$44&gt;0),((Skills!G13*((R379-1)*IF(Skills!H13&gt;0,Skills!I13/Skills!H13,1)+IF(Skills!H13&gt;0,MIN(Skills!I13,MAX(0,MAX(0,Inputs!$B$44-B411)-((R379-1)*IF(Inputs!$B$39="pvp",15,MAX(0.1,Skills!D13-IF(Skills!E13=TRUE,Inputs!$B$32,0))))))/Skills!H13,1)))/Inputs!$B$44),G379*Q379))*IF(Inputs!$B$39="pvp",1,1+(Inputs!$B$20+((C393=TRUE)*(F393-Calc!F27))+Skills!P13+B407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Hunt"),CHOOSE(ArtifactsInput!$N$35+1,15,18,21,24,27,30)*(1-EXP(-(0.2*B402)*5)),0)+IF(AND(ArtifactsInput!$M$22,Inputs!$B$4&lt;&gt;"Chapter Hunt"),CHOOSE(ArtifactsInput!$N$22+1,10,12,14,16,18,20)*((0*(((0.15*B402*5))^0/1)+1*(((0.15*B402*5))^1/1)+2*(((0.15*B402*5))^2/2)+3*(((0.15*B402*5))^3/6)+4*(((0.15*B402*5))^4/24)+5*(((0.15*B402*5))^5/120))/((((0.15*B402*5))^0/1)+(((0.15*B402*5))^1/1)+(((0.15*B402*5))^2/2)+(((0.15*B402*5))^3/6)+(((0.15*B402*5))^4/24)+(((0.15*B402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379*(1-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379*(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379*(1-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379*(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9">
        <f>IF(C379,(H379*N379*IF(AND(Inputs!$B$39&lt;&gt;"pvp",Inputs!$B$44&gt;0),((Skills!G13*((R379-1)*IF(Skills!H13&gt;0,Skills!I13/Skills!H13,1)+IF(Skills!H13&gt;0,MIN(Skills!I13,MAX(0,MAX(0,Inputs!$B$44-B411)-((R379-1)*IF(Inputs!$B$39="pvp",15,MAX(0.1,Skills!D13-IF(Skills!E13=TRUE,Inputs!$B$32,0))))))/Skills!H13,1)))/Inputs!$B$44),G379*Q379))*IF(Inputs!$B$39="pvp",1,(1+((Inputs!$B$21+1)+Skills!Q13+B407+(IF(ArtifactsInput!$M$33,CHOOSE(ArtifactsInput!$N$33+1,30,36,42,48,54,60),0))+(IF(AND(ArtifactsInput!$M$35,Inputs!$B$4&lt;&gt;"Chapter Hunt"),CHOOSE(ArtifactsInput!$N$35+1,15,18,21,24,27,30)*(1-EXP(-(0.2*B402)*5)),0)+IF(AND(ArtifactsInput!$M$22,Inputs!$B$4&lt;&gt;"Chapter Hunt"),CHOOSE(ArtifactsInput!$N$22+1,10,12,14,16,18,20)*((0*(((0.15*B402*5))^0/1)+1*(((0.15*B402*5))^1/1)+2*(((0.15*B402*5))^2/2)+3*(((0.15*B402*5))^3/6)+4*(((0.15*B402*5))^4/24)+5*(((0.15*B402*5))^5/120))/((((0.15*B402*5))^0/1)+(((0.15*B402*5))^1/1)+(((0.15*B402*5))^2/2)+(((0.15*B402*5))^3/6)+(((0.15*B402*5))^4/24)+(((0.15*B402*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80">
      <c r="A380">
        <f>Skills!A14</f>
        <v/>
      </c>
      <c r="B380">
        <f>Skills!B14</f>
        <v/>
      </c>
      <c r="C380">
        <f>Inputs!$B$3&gt;=105</f>
        <v/>
      </c>
      <c r="D380">
        <f>IF(Skills!C14=1,60+Inputs!$B$25+Inputs!$B$29,IF(Skills!C14=2,90+Inputs!$B$26+Inputs!$B$29,IF(Skills!C14=3,120+Inputs!$B$27+Inputs!$B$29,MAX(0,(Inputs!$B$3-100)*3)+Inputs!$B$28+Inputs!$B$29)))</f>
        <v/>
      </c>
      <c r="E380">
        <f>INDEX(FactorTable!$B$2:$Y$301, MATCH(ROUND(MIN(300,MAX(1,D380)),0), FactorTable!$A$2:$A$301,0), Skills!M14+1)</f>
        <v/>
      </c>
      <c r="F380">
        <f>IF(Skills!N14=TRUE,(Skills!L14/10)*(E380/1000),Skills!L14/10)+Skills!O14</f>
        <v/>
      </c>
      <c r="G380">
        <f>Calc!G14</f>
        <v/>
      </c>
      <c r="H380">
        <f>Calc!H14</f>
        <v/>
      </c>
      <c r="I380">
        <f>IF(Skills!AA14&lt;&gt;"",1+(Skills!AA14/10)*(U369/1000)/100,1)</f>
        <v/>
      </c>
      <c r="J380">
        <f>((Inputs!$B$6*(1+Inputs!$B$7/100))+(((Inputs!$B$12*(1+Inputs!$B$13/100))-(Inputs!$B$12*(1+Inputs!$B$13/100)))+0.25*(Inputs!$B$14-Inputs!$B$14))*(1+Inputs!$B$7/100))*(F380/100)</f>
        <v/>
      </c>
      <c r="K380">
        <f>J380*(1+((Inputs!$B$12*(1+Inputs!$B$13/100))*0.01+Inputs!$B$14*0.0025)/100)*(1+Inputs!$B$15/100)*(1+Inputs!$B$16/100)*(5000/(6000+Inputs!$B$43*(1-(100*(1-(1-(Inputs!$B$19+0)/100)*(1-CHOOSE(ArtifactsInput!$N$40+1,5,6,7,8,9,10)/100)^(ArtifactsInput!$M$40-ArtifactsInput!$M$40)))/100)))*(1+(Inputs!$B$24+((C396=TRUE)*(F396-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389=TRUE)*(F389-Calc!F23))+(((IF(AND(ArtifactsInput!$M$42,((Inputs!$B$9+((C391=TRUE)*(F391-Calc!F25))+B406+(ArtifactsInput!$M$24-ArtifactsInput!$M$24)*CHOOSE(ArtifactsInput!$N$24+1,10,12,14,16,18,20)+IF(ArtifactsInput!$M$10,CHOOSE(ArtifactsInput!$N$10+1,15,18,21,24,27,30)*(IF(Inputs!$B$39="pvp",MIN(15,15)/15,IF(AND(Inputs!$B$39&lt;&gt;"pvp",Inputs!$B$44&gt;0),MIN(15,Inputs!$B$44)/(Inputs!$B$44),0))),0)))&gt;=100),MIN(100,((Inputs!$B$9+((C391=TRUE)*(F391-Calc!F25))+B406+(ArtifactsInput!$M$24-ArtifactsInput!$M$24)*CHOOSE(ArtifactsInput!$N$24+1,10,12,14,16,18,20)+IF(ArtifactsInput!$M$10,CHOOSE(ArtifactsInput!$N$10+1,15,18,21,24,27,30)*(IF(Inputs!$B$39="pvp",MIN(15,15)/15,IF(AND(Inputs!$B$39&lt;&gt;"pvp",Inputs!$B$44&gt;0),MIN(15,Inputs!$B$44)/(Inputs!$B$44),0))),0)))-100),0))*CHOOSE(ArtifactsInput!$N$42+1,0.6,0.72,0.84,0.96,1.08,1.2))),Inputs!$B$18+((C395=TRUE)*(F395-Calc!F29))+(IF(AND(ArtifactsInput!$M$42,((Inputs!$B$9+((C391=TRUE)*(F391-Calc!F25))+B406+(ArtifactsInput!$M$24-ArtifactsInput!$M$24)*CHOOSE(ArtifactsInput!$N$24+1,10,12,14,16,18,20)+IF(ArtifactsInput!$M$10,CHOOSE(ArtifactsInput!$N$10+1,15,18,21,24,27,30)*(IF(Inputs!$B$39="pvp",MIN(15,15)/15,IF(AND(Inputs!$B$39&lt;&gt;"pvp",Inputs!$B$44&gt;0),MIN(15,Inputs!$B$44)/(Inputs!$B$44),0))),0)))&gt;=100),CHOOSE(ArtifactsInput!$N$42+1,40,48,56,64,72,80),0))))/100)*(((1+(((C387=TRUE)*F387*IF(AND(Inputs!$B$39&lt;&gt;"pvp",Inputs!$B$44&gt;0),(((R387-1)*(Skills!Y21*(1+Inputs!$B$34/100))+MIN((Skills!Y21*(1+Inputs!$B$34/100)),MAX(0,Inputs!$B$44-((R387-1)*Skills!D21))))/Inputs!$B$44),IF(Inputs!$B$39="pvp",MIN((Skills!Y21*(1+Inputs!$B$34/100)),15)/15,(Skills!Y21*(1+Inputs!$B$34/100))/Skills!D21)))+((C394=TRUE)*(F394-Calc!F28))+((C384=TRUE)*(F384-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381=TRUE)*F381*IF(AND(Inputs!$B$39&lt;&gt;"pvp",Inputs!$B$44&gt;0),(((R381-1)*(Skills!Y15*(1+Inputs!$B$34/100))+MIN((Skills!Y15*(1+Inputs!$B$34/100)),MAX(0,Inputs!$B$44-((R381-1)*Skills!D15))))/Inputs!$B$44),IF(Inputs!$B$39="pvp",MIN((Skills!Y15*(1+Inputs!$B$34/100)),15)/15,(Skills!Y15*(1+Inputs!$B$34/100))/Skills!D15)))/100)*(1+((C372=TRUE)*F372*B400)/100))*B408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380)</f>
        <v/>
      </c>
      <c r="L380">
        <f>K380*(MIN(Inputs!$B$22+((C390=TRUE)*(F390-Calc!F24)),(Inputs!$B$23+0+(IF(ArtifactsInput!$M$15,CHOOSE(ArtifactsInput!$N$15+1,25,30,35,40,45,50)/100*(Inputs!$B$11-Inputs!$B$11),0))))/100+(Inputs!$B$23+0+(IF(ArtifactsInput!$M$15,CHOOSE(ArtifactsInput!$N$15+1,25,30,35,40,45,50)/100*(Inputs!$B$11-Inputs!$B$11),0)))/100)/2</f>
        <v/>
      </c>
      <c r="M380">
        <f>L380*(1+(Inputs!$B$10+((C392=TRUE)*(F392-Calc!F26))+B409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80">
        <f>L380*(1-MIN((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380*(MIN((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80">
        <f>(1-Summary!$B$11)*T380+Summary!$B$11*V380</f>
        <v/>
      </c>
      <c r="P380">
        <f>IF(B410=0,0,O380/B410)</f>
        <v/>
      </c>
      <c r="Q380">
        <f>IFERROR(1/IF(Inputs!$B$39="pvp",15,MAX(0.1,Skills!D14-IF(Skills!E14=TRUE,Inputs!$B$32,0))),0)</f>
        <v/>
      </c>
      <c r="R380">
        <f>IF(AND(Inputs!$B$39&lt;&gt;"pvp",Inputs!$B$44&gt;0),IF(MAX(0,Inputs!$B$44-B411)&lt;=0,0,(INT(MAX(0,Inputs!$B$44-B411)/IF(Inputs!$B$39="pvp",15,MAX(0.1,Skills!D14-IF(Skills!E14=TRUE,Inputs!$B$32,0))))+1)),0)</f>
        <v/>
      </c>
      <c r="S380">
        <f>IFERROR(O380/N380,0)</f>
        <v/>
      </c>
      <c r="T380">
        <f>IF(C380,(H380*N380*IF(AND(Inputs!$B$39&lt;&gt;"pvp",Inputs!$B$44&gt;0),((Skills!G14*((R380-1)*IF(Skills!H14&gt;0,Skills!I14/Skills!H14,1)+IF(Skills!H14&gt;0,MIN(Skills!I14,MAX(0,MAX(0,Inputs!$B$44-B411)-((R380-1)*IF(Inputs!$B$39="pvp",15,MAX(0.1,Skills!D14-IF(Skills!E14=TRUE,Inputs!$B$32,0))))))/Skills!H14,1)))/Inputs!$B$44),G380*Q380))*IF(Inputs!$B$39="pvp",1,1+(Inputs!$B$20+((C393=TRUE)*(F393-Calc!F27))+Skills!P14+B407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Hunt"),CHOOSE(ArtifactsInput!$N$35+1,15,18,21,24,27,30)*(1-EXP(-(0.2*B402)*5)),0)+IF(AND(ArtifactsInput!$M$22,Inputs!$B$4&lt;&gt;"Chapter Hunt"),CHOOSE(ArtifactsInput!$N$22+1,10,12,14,16,18,20)*((0*(((0.15*B402*5))^0/1)+1*(((0.15*B402*5))^1/1)+2*(((0.15*B402*5))^2/2)+3*(((0.15*B402*5))^3/6)+4*(((0.15*B402*5))^4/24)+5*(((0.15*B402*5))^5/120))/((((0.15*B402*5))^0/1)+(((0.15*B402*5))^1/1)+(((0.15*B402*5))^2/2)+(((0.15*B402*5))^3/6)+(((0.15*B402*5))^4/24)+(((0.15*B402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380*(1-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380*(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380*(1-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380*(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80">
        <f>IF(C380,(H380*N380*IF(AND(Inputs!$B$39&lt;&gt;"pvp",Inputs!$B$44&gt;0),((Skills!G14*((R380-1)*IF(Skills!H14&gt;0,Skills!I14/Skills!H14,1)+IF(Skills!H14&gt;0,MIN(Skills!I14,MAX(0,MAX(0,Inputs!$B$44-B411)-((R380-1)*IF(Inputs!$B$39="pvp",15,MAX(0.1,Skills!D14-IF(Skills!E14=TRUE,Inputs!$B$32,0))))))/Skills!H14,1)))/Inputs!$B$44),G380*Q380))*IF(Inputs!$B$39="pvp",1,(1+((Inputs!$B$21+1)+Skills!Q14+B407+(IF(ArtifactsInput!$M$33,CHOOSE(ArtifactsInput!$N$33+1,30,36,42,48,54,60),0))+(IF(AND(ArtifactsInput!$M$35,Inputs!$B$4&lt;&gt;"Chapter Hunt"),CHOOSE(ArtifactsInput!$N$35+1,15,18,21,24,27,30)*(1-EXP(-(0.2*B402)*5)),0)+IF(AND(ArtifactsInput!$M$22,Inputs!$B$4&lt;&gt;"Chapter Hunt"),CHOOSE(ArtifactsInput!$N$22+1,10,12,14,16,18,20)*((0*(((0.15*B402*5))^0/1)+1*(((0.15*B402*5))^1/1)+2*(((0.15*B402*5))^2/2)+3*(((0.15*B402*5))^3/6)+4*(((0.15*B402*5))^4/24)+5*(((0.15*B402*5))^5/120))/((((0.15*B402*5))^0/1)+(((0.15*B402*5))^1/1)+(((0.15*B402*5))^2/2)+(((0.15*B402*5))^3/6)+(((0.15*B402*5))^4/24)+(((0.15*B402*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81">
      <c r="A381">
        <f>Skills!A15</f>
        <v/>
      </c>
      <c r="B381">
        <f>Skills!B15</f>
        <v/>
      </c>
      <c r="C381">
        <f>Inputs!$B$3&gt;=110</f>
        <v/>
      </c>
      <c r="D381">
        <f>IF(Skills!C15=1,60+Inputs!$B$25+Inputs!$B$29,IF(Skills!C15=2,90+Inputs!$B$26+Inputs!$B$29,IF(Skills!C15=3,120+Inputs!$B$27+Inputs!$B$29,MAX(0,(Inputs!$B$3-100)*3)+Inputs!$B$28+Inputs!$B$29)))</f>
        <v/>
      </c>
      <c r="E381">
        <f>INDEX(FactorTable!$B$2:$Y$301, MATCH(ROUND(MIN(300,MAX(1,D381)),0), FactorTable!$A$2:$A$301,0), Skills!M15+1)</f>
        <v/>
      </c>
      <c r="F381">
        <f>IF(Skills!N15=TRUE,(Skills!L15/10)*(E381/1000),Skills!L15/10)+Skills!O15</f>
        <v/>
      </c>
      <c r="G381">
        <f>Calc!G15</f>
        <v/>
      </c>
      <c r="H381">
        <f>Calc!H15</f>
        <v/>
      </c>
      <c r="I381">
        <f>IF(Skills!AA15&lt;&gt;"",1+(Skills!AA15/10)*(U369/1000)/100,1)</f>
        <v/>
      </c>
      <c r="J381" t="inlineStr"/>
      <c r="K381" t="inlineStr"/>
      <c r="L381" t="inlineStr"/>
      <c r="M381" t="inlineStr"/>
      <c r="N381" t="inlineStr"/>
      <c r="O381">
        <f>(1-Summary!$B$11)*T381+Summary!$B$11*V381</f>
        <v/>
      </c>
      <c r="P381">
        <f>IF(B410=0,0,O381/B410)</f>
        <v/>
      </c>
      <c r="Q381">
        <f>IFERROR(1/IF(Inputs!$B$39="pvp",15,MAX(0.1,Skills!D15-IF(Skills!E15=TRUE,Inputs!$B$32,0))),0)</f>
        <v/>
      </c>
      <c r="R381">
        <f>IF(AND(Inputs!$B$39&lt;&gt;"pvp",Inputs!$B$44&gt;0),IF(Inputs!$B$44&lt;=0,0,(INT(Inputs!$B$44/IF(Inputs!$B$39="pvp",15,MAX(0.1,Skills!D15-IF(Skills!E15=TRUE,Inputs!$B$32,0))))+1)),0)</f>
        <v/>
      </c>
      <c r="S381">
        <f>IFERROR(O381/N381,0)</f>
        <v/>
      </c>
      <c r="T381" t="n">
        <v>0</v>
      </c>
      <c r="V381" t="n">
        <v>0</v>
      </c>
    </row>
    <row r="382">
      <c r="A382">
        <f>Skills!A16</f>
        <v/>
      </c>
      <c r="B382">
        <f>Skills!B16</f>
        <v/>
      </c>
      <c r="C382">
        <f>Inputs!$B$3&gt;=110</f>
        <v/>
      </c>
      <c r="D382">
        <f>IF(Skills!C16=1,60+Inputs!$B$25+Inputs!$B$29,IF(Skills!C16=2,90+Inputs!$B$26+Inputs!$B$29,IF(Skills!C16=3,120+Inputs!$B$27+Inputs!$B$29,MAX(0,(Inputs!$B$3-100)*3)+Inputs!$B$28+Inputs!$B$29)))</f>
        <v/>
      </c>
      <c r="E382">
        <f>INDEX(FactorTable!$B$2:$Y$301, MATCH(ROUND(MIN(300,MAX(1,D382)),0), FactorTable!$A$2:$A$301,0), Skills!M16+1)</f>
        <v/>
      </c>
      <c r="F382">
        <f>IF(Skills!N16=TRUE,(Skills!L16/10)*(E382/1000),Skills!L16/10)+Skills!O16</f>
        <v/>
      </c>
      <c r="G382">
        <f>Calc!G16</f>
        <v/>
      </c>
      <c r="H382">
        <f>Calc!H16</f>
        <v/>
      </c>
      <c r="I382">
        <f>IF(Skills!AA16&lt;&gt;"",1+(Skills!AA16/10)*(U369/1000)/100,1)</f>
        <v/>
      </c>
      <c r="J382" t="inlineStr"/>
      <c r="K382" t="inlineStr"/>
      <c r="L382" t="inlineStr"/>
      <c r="M382" t="inlineStr"/>
      <c r="N382" t="inlineStr"/>
      <c r="O382">
        <f>(1-Summary!$B$11)*T382+Summary!$B$11*V382</f>
        <v/>
      </c>
      <c r="P382">
        <f>IF(B410=0,0,O382/B410)</f>
        <v/>
      </c>
      <c r="Q382">
        <f>IFERROR(1/IF(Inputs!$B$39="pvp",15,MAX(0.1,Skills!D16-IF(Skills!E16=TRUE,Inputs!$B$32,0))),0)</f>
        <v/>
      </c>
      <c r="R382">
        <f>IF(AND(Inputs!$B$39&lt;&gt;"pvp",Inputs!$B$44&gt;0),IF(Inputs!$B$44&lt;=0,0,(INT(Inputs!$B$44/IF(Inputs!$B$39="pvp",15,MAX(0.1,Skills!D16-IF(Skills!E16=TRUE,Inputs!$B$32,0))))+1)),0)</f>
        <v/>
      </c>
      <c r="S382">
        <f>IFERROR(O382/N382,0)</f>
        <v/>
      </c>
      <c r="T382" t="n">
        <v>0</v>
      </c>
      <c r="V382" t="n">
        <v>0</v>
      </c>
    </row>
    <row r="383">
      <c r="A383">
        <f>Skills!A17</f>
        <v/>
      </c>
      <c r="B383">
        <f>Skills!B17</f>
        <v/>
      </c>
      <c r="C383">
        <f>Inputs!$B$3&gt;=115</f>
        <v/>
      </c>
      <c r="D383">
        <f>IF(Skills!C17=1,60+Inputs!$B$25+Inputs!$B$29,IF(Skills!C17=2,90+Inputs!$B$26+Inputs!$B$29,IF(Skills!C17=3,120+Inputs!$B$27+Inputs!$B$29,MAX(0,(Inputs!$B$3-100)*3)+Inputs!$B$28+Inputs!$B$29)))</f>
        <v/>
      </c>
      <c r="E383">
        <f>INDEX(FactorTable!$B$2:$Y$301, MATCH(ROUND(MIN(300,MAX(1,D383)),0), FactorTable!$A$2:$A$301,0), Skills!M17+1)</f>
        <v/>
      </c>
      <c r="F383">
        <f>IF(Skills!N17=TRUE,(Skills!L17/10)*(E383/1000),Skills!L17/10)+Skills!O17</f>
        <v/>
      </c>
      <c r="G383">
        <f>Calc!G17</f>
        <v/>
      </c>
      <c r="H383">
        <f>Calc!H17</f>
        <v/>
      </c>
      <c r="I383">
        <f>IF(Skills!AA17&lt;&gt;"",1+(Skills!AA17/10)*(U369/1000)/100,1)</f>
        <v/>
      </c>
      <c r="J383">
        <f>((Inputs!$B$6*(1+Inputs!$B$7/100))+(((Inputs!$B$12*(1+Inputs!$B$13/100))-(Inputs!$B$12*(1+Inputs!$B$13/100)))+0.25*(Inputs!$B$14-Inputs!$B$14))*(1+Inputs!$B$7/100))*(F383/100)</f>
        <v/>
      </c>
      <c r="K383">
        <f>J383*(1+((Inputs!$B$12*(1+Inputs!$B$13/100))*0.01+Inputs!$B$14*0.0025)/100)*(1+Inputs!$B$15/100)*(1+Inputs!$B$16/100)*(5000/(6000+Inputs!$B$43*(1-(100*(1-(1-(Inputs!$B$19+0)/100)*(1-CHOOSE(ArtifactsInput!$N$40+1,5,6,7,8,9,10)/100)^(ArtifactsInput!$M$40-ArtifactsInput!$M$40)))/100)))*(1+(Inputs!$B$24+((C396=TRUE)*(F396-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389=TRUE)*(F389-Calc!F23))+(((IF(AND(ArtifactsInput!$M$42,((Inputs!$B$9+((C391=TRUE)*(F391-Calc!F25))+B406+(ArtifactsInput!$M$24-ArtifactsInput!$M$24)*CHOOSE(ArtifactsInput!$N$24+1,10,12,14,16,18,20)+IF(ArtifactsInput!$M$10,CHOOSE(ArtifactsInput!$N$10+1,15,18,21,24,27,30)*(IF(Inputs!$B$39="pvp",MIN(15,15)/15,IF(AND(Inputs!$B$39&lt;&gt;"pvp",Inputs!$B$44&gt;0),MIN(15,Inputs!$B$44)/(Inputs!$B$44),0))),0)))&gt;=100),MIN(100,((Inputs!$B$9+((C391=TRUE)*(F391-Calc!F25))+B406+(ArtifactsInput!$M$24-ArtifactsInput!$M$24)*CHOOSE(ArtifactsInput!$N$24+1,10,12,14,16,18,20)+IF(ArtifactsInput!$M$10,CHOOSE(ArtifactsInput!$N$10+1,15,18,21,24,27,30)*(IF(Inputs!$B$39="pvp",MIN(15,15)/15,IF(AND(Inputs!$B$39&lt;&gt;"pvp",Inputs!$B$44&gt;0),MIN(15,Inputs!$B$44)/(Inputs!$B$44),0))),0)))-100),0))*CHOOSE(ArtifactsInput!$N$42+1,0.6,0.72,0.84,0.96,1.08,1.2))),Inputs!$B$18+((C395=TRUE)*(F395-Calc!F29))+(IF(AND(ArtifactsInput!$M$42,((Inputs!$B$9+((C391=TRUE)*(F391-Calc!F25))+B406+(ArtifactsInput!$M$24-ArtifactsInput!$M$24)*CHOOSE(ArtifactsInput!$N$24+1,10,12,14,16,18,20)+IF(ArtifactsInput!$M$10,CHOOSE(ArtifactsInput!$N$10+1,15,18,21,24,27,30)*(IF(Inputs!$B$39="pvp",MIN(15,15)/15,IF(AND(Inputs!$B$39&lt;&gt;"pvp",Inputs!$B$44&gt;0),MIN(15,Inputs!$B$44)/(Inputs!$B$44),0))),0)))&gt;=100),CHOOSE(ArtifactsInput!$N$42+1,40,48,56,64,72,80),0))))/100)*(((1+(((C387=TRUE)*F387*IF(AND(Inputs!$B$39&lt;&gt;"pvp",Inputs!$B$44&gt;0),(((R387-1)*(Skills!Y21*(1+Inputs!$B$34/100))+MIN((Skills!Y21*(1+Inputs!$B$34/100)),MAX(0,Inputs!$B$44-((R387-1)*Skills!D21))))/Inputs!$B$44),IF(Inputs!$B$39="pvp",MIN((Skills!Y21*(1+Inputs!$B$34/100)),15)/15,(Skills!Y21*(1+Inputs!$B$34/100))/Skills!D21)))+((C394=TRUE)*(F394-Calc!F28))+((C384=TRUE)*(F384-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381=TRUE)*F381*IF(AND(Inputs!$B$39&lt;&gt;"pvp",Inputs!$B$44&gt;0),(((R381-1)*(Skills!Y15*(1+Inputs!$B$34/100))+MIN((Skills!Y15*(1+Inputs!$B$34/100)),MAX(0,Inputs!$B$44-((R381-1)*Skills!D15))))/Inputs!$B$44),IF(Inputs!$B$39="pvp",MIN((Skills!Y15*(1+Inputs!$B$34/100)),15)/15,(Skills!Y15*(1+Inputs!$B$34/100))/Skills!D15)))/100)*(1+((C372=TRUE)*F372*B400)/100))*B408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383)</f>
        <v/>
      </c>
      <c r="L383">
        <f>K383*(MIN(Inputs!$B$22+((C390=TRUE)*(F390-Calc!F24)),(Inputs!$B$23+0+(IF(ArtifactsInput!$M$15,CHOOSE(ArtifactsInput!$N$15+1,25,30,35,40,45,50)/100*(Inputs!$B$11-Inputs!$B$11),0))))/100+(Inputs!$B$23+0+(IF(ArtifactsInput!$M$15,CHOOSE(ArtifactsInput!$N$15+1,25,30,35,40,45,50)/100*(Inputs!$B$11-Inputs!$B$11),0)))/100)/2</f>
        <v/>
      </c>
      <c r="M383">
        <f>L383*(1+(Inputs!$B$10+((C392=TRUE)*(F392-Calc!F26))+B409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83">
        <f>L383*(1-MIN((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383*(MIN((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83">
        <f>(1-Summary!$B$11)*T383+Summary!$B$11*V383</f>
        <v/>
      </c>
      <c r="P383">
        <f>IF(B410=0,0,O383/B410)</f>
        <v/>
      </c>
      <c r="Q383" t="n">
        <v>0</v>
      </c>
      <c r="R383" t="n">
        <v>0</v>
      </c>
      <c r="S383">
        <f>IFERROR(O383/N383,0)</f>
        <v/>
      </c>
      <c r="T383">
        <f>IF(C383,(Inputs!$B$38*0.2*N383)*IF(Inputs!$B$39="pvp",1,1+(Inputs!$B$20+((C393=TRUE)*(F393-Calc!F27))+Skills!P17+B407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Hunt"),CHOOSE(ArtifactsInput!$N$35+1,15,18,21,24,27,30)*(1-EXP(-(0.2*B402)*5)),0)+IF(AND(ArtifactsInput!$M$22,Inputs!$B$4&lt;&gt;"Chapter Hunt"),CHOOSE(ArtifactsInput!$N$22+1,10,12,14,16,18,20)*((0*(((0.15*B402*5))^0/1)+1*(((0.15*B402*5))^1/1)+2*(((0.15*B402*5))^2/2)+3*(((0.15*B402*5))^3/6)+4*(((0.15*B402*5))^4/24)+5*(((0.15*B402*5))^5/120))/((((0.15*B402*5))^0/1)+(((0.15*B402*5))^1/1)+(((0.15*B402*5))^2/2)+(((0.15*B402*5))^3/6)+(((0.15*B402*5))^4/24)+(((0.15*B402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383*(1-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383*(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383*(1-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383*(MIN(100,(Inputs!$B$9+((C391=TRUE)*(F391-Calc!F25))+B406+(ArtifactsInput!$M$24-ArtifactsInput!$M$24)*CHOOSE(ArtifactsInput!$N$24+1,10,12,14,16,18,20)+(IF(AND(ArtifactsInput!$M$42,((Inputs!$B$9+((C391=TRUE)*(F391-Calc!F25))+B406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83">
        <f>IF(C383,(Inputs!$B$38*0.2*N383)*IF(Inputs!$B$39="pvp",1,(1+((Inputs!$B$21+1)+Skills!Q17+B407+(IF(ArtifactsInput!$M$33,CHOOSE(ArtifactsInput!$N$33+1,30,36,42,48,54,60),0))+(IF(AND(ArtifactsInput!$M$35,Inputs!$B$4&lt;&gt;"Chapter Hunt"),CHOOSE(ArtifactsInput!$N$35+1,15,18,21,24,27,30)*(1-EXP(-(0.2*B402)*5)),0)+IF(AND(ArtifactsInput!$M$22,Inputs!$B$4&lt;&gt;"Chapter Hunt"),CHOOSE(ArtifactsInput!$N$22+1,10,12,14,16,18,20)*((0*(((0.15*B402*5))^0/1)+1*(((0.15*B402*5))^1/1)+2*(((0.15*B402*5))^2/2)+3*(((0.15*B402*5))^3/6)+4*(((0.15*B402*5))^4/24)+5*(((0.15*B402*5))^5/120))/((((0.15*B402*5))^0/1)+(((0.15*B402*5))^1/1)+(((0.15*B402*5))^2/2)+(((0.15*B402*5))^3/6)+(((0.15*B402*5))^4/24)+(((0.15*B402*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84">
      <c r="A384">
        <f>Skills!A18</f>
        <v/>
      </c>
      <c r="B384">
        <f>Skills!B18</f>
        <v/>
      </c>
      <c r="C384">
        <f>Inputs!$B$3&gt;=115</f>
        <v/>
      </c>
      <c r="D384">
        <f>IF(Skills!C18=1,60+Inputs!$B$25+Inputs!$B$29,IF(Skills!C18=2,90+Inputs!$B$26+Inputs!$B$29,IF(Skills!C18=3,120+Inputs!$B$27+Inputs!$B$29,MAX(0,(Inputs!$B$3-100)*3)+Inputs!$B$28+Inputs!$B$29)))</f>
        <v/>
      </c>
      <c r="E384">
        <f>INDEX(FactorTable!$B$2:$Y$301, MATCH(ROUND(MIN(300,MAX(1,D384)),0), FactorTable!$A$2:$A$301,0), Skills!M18+1)</f>
        <v/>
      </c>
      <c r="F384">
        <f>IF(Skills!N18=TRUE,(Skills!L18/10)*(E384/1000),Skills!L18/10)+Skills!O18</f>
        <v/>
      </c>
      <c r="G384">
        <f>Calc!G18</f>
        <v/>
      </c>
      <c r="H384">
        <f>Calc!H18</f>
        <v/>
      </c>
      <c r="I384">
        <f>IF(Skills!AA18&lt;&gt;"",1+(Skills!AA18/10)*(U369/1000)/100,1)</f>
        <v/>
      </c>
      <c r="J384" t="inlineStr"/>
      <c r="K384" t="inlineStr"/>
      <c r="L384" t="inlineStr"/>
      <c r="M384" t="inlineStr"/>
      <c r="N384" t="inlineStr"/>
      <c r="O384">
        <f>(1-Summary!$B$11)*T384+Summary!$B$11*V384</f>
        <v/>
      </c>
      <c r="P384">
        <f>IF(B410=0,0,O384/B410)</f>
        <v/>
      </c>
      <c r="Q384" t="n">
        <v>0</v>
      </c>
      <c r="R384" t="n">
        <v>0</v>
      </c>
      <c r="S384">
        <f>IFERROR(O384/N384,0)</f>
        <v/>
      </c>
      <c r="T384" t="n">
        <v>0</v>
      </c>
      <c r="V384" t="n">
        <v>0</v>
      </c>
    </row>
    <row r="385">
      <c r="A385">
        <f>Skills!A19</f>
        <v/>
      </c>
      <c r="B385">
        <f>Skills!B19</f>
        <v/>
      </c>
      <c r="C385">
        <f>TRUE</f>
        <v/>
      </c>
      <c r="D385">
        <f>IF(Skills!C19=1,60+Inputs!$B$25+Inputs!$B$29,IF(Skills!C19=2,90+Inputs!$B$26+Inputs!$B$29,IF(Skills!C19=3,120+Inputs!$B$27+Inputs!$B$29,MAX(0,(Inputs!$B$3-100)*3)+Inputs!$B$28+Inputs!$B$29)))</f>
        <v/>
      </c>
      <c r="E385">
        <f>INDEX(FactorTable!$B$2:$Y$301, MATCH(ROUND(MIN(300,MAX(1,D385)),0), FactorTable!$A$2:$A$301,0), Skills!M19+1)</f>
        <v/>
      </c>
      <c r="F385">
        <f>IF(Skills!N19=TRUE,(Skills!L19/10)*(E385/1000),Skills!L19/10)+Skills!O19</f>
        <v/>
      </c>
      <c r="G385">
        <f>Calc!G19</f>
        <v/>
      </c>
      <c r="H385">
        <f>Calc!H19</f>
        <v/>
      </c>
      <c r="I385">
        <f>IF(Skills!AA19&lt;&gt;"",1+(Skills!AA19/10)*(U369/1000)/100,1)</f>
        <v/>
      </c>
      <c r="J385" t="inlineStr"/>
      <c r="K385" t="inlineStr"/>
      <c r="L385" t="inlineStr"/>
      <c r="M385" t="inlineStr"/>
      <c r="N385" t="inlineStr"/>
      <c r="O385">
        <f>(1-Summary!$B$11)*T385+Summary!$B$11*V385</f>
        <v/>
      </c>
      <c r="P385">
        <f>IF(B410=0,0,O385/B410)</f>
        <v/>
      </c>
      <c r="Q385">
        <f>IFERROR(1/IF(Inputs!$B$39="pvp",15,MAX(0.1,Skills!D19-IF(Skills!E19=TRUE,Inputs!$B$32,0))),0)</f>
        <v/>
      </c>
      <c r="R385">
        <f>IF(AND(Inputs!$B$39&lt;&gt;"pvp",Inputs!$B$44&gt;0),IF(Inputs!$B$44&lt;=0,0,(INT(Inputs!$B$44/IF(Inputs!$B$39="pvp",15,MAX(0.1,Skills!D19-IF(Skills!E19=TRUE,Inputs!$B$32,0))))+1)),0)</f>
        <v/>
      </c>
      <c r="S385">
        <f>IFERROR(O385/N385,0)</f>
        <v/>
      </c>
      <c r="T385" t="n">
        <v>0</v>
      </c>
      <c r="V385" t="n">
        <v>0</v>
      </c>
    </row>
    <row r="386">
      <c r="A386">
        <f>Skills!A20</f>
        <v/>
      </c>
      <c r="B386">
        <f>Skills!B20</f>
        <v/>
      </c>
      <c r="C386">
        <f>Inputs!$B$3&gt;=15</f>
        <v/>
      </c>
      <c r="D386">
        <f>IF(Skills!C20=1,60+Inputs!$B$25+Inputs!$B$29,IF(Skills!C20=2,90+Inputs!$B$26+Inputs!$B$29,IF(Skills!C20=3,120+Inputs!$B$27+Inputs!$B$29,MAX(0,(Inputs!$B$3-100)*3)+Inputs!$B$28+Inputs!$B$29)))</f>
        <v/>
      </c>
      <c r="E386">
        <f>INDEX(FactorTable!$B$2:$Y$301, MATCH(ROUND(MIN(300,MAX(1,D386)),0), FactorTable!$A$2:$A$301,0), Skills!M20+1)</f>
        <v/>
      </c>
      <c r="F386">
        <f>IF(Skills!N20=TRUE,(Skills!L20/10)*(E386/1000),Skills!L20/10)+Skills!O20</f>
        <v/>
      </c>
      <c r="G386">
        <f>Calc!G20</f>
        <v/>
      </c>
      <c r="H386">
        <f>Calc!H20</f>
        <v/>
      </c>
      <c r="I386">
        <f>IF(Skills!AA20&lt;&gt;"",1+(Skills!AA20/10)*(U369/1000)/100,1)</f>
        <v/>
      </c>
      <c r="J386" t="inlineStr"/>
      <c r="K386" t="inlineStr"/>
      <c r="L386" t="inlineStr"/>
      <c r="M386" t="inlineStr"/>
      <c r="N386" t="inlineStr"/>
      <c r="O386">
        <f>(1-Summary!$B$11)*T386+Summary!$B$11*V386</f>
        <v/>
      </c>
      <c r="P386">
        <f>IF(B410=0,0,O386/B410)</f>
        <v/>
      </c>
      <c r="Q386">
        <f>IFERROR(1/IF(Inputs!$B$39="pvp",15,MAX(0.1,Skills!D20-IF(Skills!E20=TRUE,Inputs!$B$32,0))),0)</f>
        <v/>
      </c>
      <c r="R386">
        <f>IF(AND(Inputs!$B$39&lt;&gt;"pvp",Inputs!$B$44&gt;0),IF(Inputs!$B$44&lt;=0,0,(INT(Inputs!$B$44/IF(Inputs!$B$39="pvp",15,MAX(0.1,Skills!D20-IF(Skills!E20=TRUE,Inputs!$B$32,0))))+1)),0)</f>
        <v/>
      </c>
      <c r="S386">
        <f>IFERROR(O386/N386,0)</f>
        <v/>
      </c>
      <c r="T386" t="n">
        <v>0</v>
      </c>
      <c r="V386" t="n">
        <v>0</v>
      </c>
    </row>
    <row r="387">
      <c r="A387">
        <f>Skills!A21</f>
        <v/>
      </c>
      <c r="B387">
        <f>Skills!B21</f>
        <v/>
      </c>
      <c r="C387">
        <f>Inputs!$B$3&gt;=15</f>
        <v/>
      </c>
      <c r="D387">
        <f>IF(Skills!C21=1,60+Inputs!$B$25+Inputs!$B$29,IF(Skills!C21=2,90+Inputs!$B$26+Inputs!$B$29,IF(Skills!C21=3,120+Inputs!$B$27+Inputs!$B$29,MAX(0,(Inputs!$B$3-100)*3)+Inputs!$B$28+Inputs!$B$29)))</f>
        <v/>
      </c>
      <c r="E387">
        <f>INDEX(FactorTable!$B$2:$Y$301, MATCH(ROUND(MIN(300,MAX(1,D387)),0), FactorTable!$A$2:$A$301,0), Skills!M21+1)</f>
        <v/>
      </c>
      <c r="F387">
        <f>IF(Skills!N21=TRUE,(Skills!L21/10)*(E387/1000),Skills!L21/10)+Skills!O21</f>
        <v/>
      </c>
      <c r="G387">
        <f>Calc!G21</f>
        <v/>
      </c>
      <c r="H387">
        <f>Calc!H21</f>
        <v/>
      </c>
      <c r="I387">
        <f>IF(Skills!AA21&lt;&gt;"",1+(Skills!AA21/10)*(U369/1000)/100,1)</f>
        <v/>
      </c>
      <c r="J387" t="inlineStr"/>
      <c r="K387" t="inlineStr"/>
      <c r="L387" t="inlineStr"/>
      <c r="M387" t="inlineStr"/>
      <c r="N387" t="inlineStr"/>
      <c r="O387">
        <f>(1-Summary!$B$11)*T387+Summary!$B$11*V387</f>
        <v/>
      </c>
      <c r="P387">
        <f>IF(B410=0,0,O387/B410)</f>
        <v/>
      </c>
      <c r="Q387">
        <f>IFERROR(1/IF(Inputs!$B$39="pvp",15,MAX(0.1,Skills!D21-IF(Skills!E21=TRUE,Inputs!$B$32,0))),0)</f>
        <v/>
      </c>
      <c r="R387">
        <f>IF(AND(Inputs!$B$39&lt;&gt;"pvp",Inputs!$B$44&gt;0),IF(Inputs!$B$44&lt;=0,0,(INT(Inputs!$B$44/IF(Inputs!$B$39="pvp",15,MAX(0.1,Skills!D21-IF(Skills!E21=TRUE,Inputs!$B$32,0))))+1)),0)</f>
        <v/>
      </c>
      <c r="S387">
        <f>IFERROR(O387/N387,0)</f>
        <v/>
      </c>
      <c r="T387" t="n">
        <v>0</v>
      </c>
      <c r="V387" t="n">
        <v>0</v>
      </c>
    </row>
    <row r="388">
      <c r="A388">
        <f>Skills!A22</f>
        <v/>
      </c>
      <c r="B388">
        <f>Skills!B22</f>
        <v/>
      </c>
      <c r="C388">
        <f>Inputs!$B$3&gt;=33</f>
        <v/>
      </c>
      <c r="D388">
        <f>IF(Skills!C22=1,60+Inputs!$B$25+Inputs!$B$29,IF(Skills!C22=2,90+Inputs!$B$26+Inputs!$B$29,IF(Skills!C22=3,120+Inputs!$B$27+Inputs!$B$29,MAX(0,(Inputs!$B$3-100)*3)+Inputs!$B$28+Inputs!$B$29)))</f>
        <v/>
      </c>
      <c r="E388">
        <f>INDEX(FactorTable!$B$2:$Y$301, MATCH(ROUND(MIN(300,MAX(1,D388)),0), FactorTable!$A$2:$A$301,0), Skills!M22+1)</f>
        <v/>
      </c>
      <c r="F388">
        <f>IF(Skills!N22=TRUE,(Skills!L22/10)*(E388/1000),Skills!L22/10)+Skills!O22</f>
        <v/>
      </c>
      <c r="G388">
        <f>Calc!G22</f>
        <v/>
      </c>
      <c r="H388">
        <f>Calc!H22</f>
        <v/>
      </c>
      <c r="I388">
        <f>IF(Skills!AA22&lt;&gt;"",1+(Skills!AA22/10)*(U369/1000)/100,1)</f>
        <v/>
      </c>
      <c r="J388" t="inlineStr"/>
      <c r="K388" t="inlineStr"/>
      <c r="L388" t="inlineStr"/>
      <c r="M388" t="inlineStr"/>
      <c r="N388" t="inlineStr"/>
      <c r="O388">
        <f>(1-Summary!$B$11)*T388+Summary!$B$11*V388</f>
        <v/>
      </c>
      <c r="P388">
        <f>IF(B410=0,0,O388/B410)</f>
        <v/>
      </c>
      <c r="Q388" t="n">
        <v>0</v>
      </c>
      <c r="R388" t="n">
        <v>0</v>
      </c>
      <c r="S388">
        <f>IFERROR(O388/N388,0)</f>
        <v/>
      </c>
      <c r="T388" t="n">
        <v>0</v>
      </c>
      <c r="V388" t="n">
        <v>0</v>
      </c>
    </row>
    <row r="389">
      <c r="A389">
        <f>Skills!A23</f>
        <v/>
      </c>
      <c r="B389">
        <f>Skills!B23</f>
        <v/>
      </c>
      <c r="C389">
        <f>Inputs!$B$3&gt;=38</f>
        <v/>
      </c>
      <c r="D389">
        <f>IF(Skills!C23=1,60+Inputs!$B$25+Inputs!$B$29,IF(Skills!C23=2,90+Inputs!$B$26+Inputs!$B$29,IF(Skills!C23=3,120+Inputs!$B$27+Inputs!$B$29,MAX(0,(Inputs!$B$3-100)*3)+Inputs!$B$28+Inputs!$B$29)))</f>
        <v/>
      </c>
      <c r="E389">
        <f>INDEX(FactorTable!$B$2:$Y$301, MATCH(ROUND(MIN(300,MAX(1,D389)),0), FactorTable!$A$2:$A$301,0), Skills!M23+1)</f>
        <v/>
      </c>
      <c r="F389">
        <f>IF(Skills!N23=TRUE,(Skills!L23/10)*(E389/1000),Skills!L23/10)+Skills!O23</f>
        <v/>
      </c>
      <c r="G389">
        <f>Calc!G23</f>
        <v/>
      </c>
      <c r="H389">
        <f>Calc!H23</f>
        <v/>
      </c>
      <c r="I389">
        <f>IF(Skills!AA23&lt;&gt;"",1+(Skills!AA23/10)*(U369/1000)/100,1)</f>
        <v/>
      </c>
      <c r="J389" t="inlineStr"/>
      <c r="K389" t="inlineStr"/>
      <c r="L389" t="inlineStr"/>
      <c r="M389" t="inlineStr"/>
      <c r="N389" t="inlineStr"/>
      <c r="O389">
        <f>(1-Summary!$B$11)*T389+Summary!$B$11*V389</f>
        <v/>
      </c>
      <c r="P389">
        <f>IF(B410=0,0,O389/B410)</f>
        <v/>
      </c>
      <c r="Q389" t="n">
        <v>0</v>
      </c>
      <c r="R389" t="n">
        <v>0</v>
      </c>
      <c r="S389">
        <f>IFERROR(O389/N389,0)</f>
        <v/>
      </c>
      <c r="T389" t="n">
        <v>0</v>
      </c>
      <c r="V389" t="n">
        <v>0</v>
      </c>
    </row>
    <row r="390">
      <c r="A390">
        <f>Skills!A24</f>
        <v/>
      </c>
      <c r="B390">
        <f>Skills!B24</f>
        <v/>
      </c>
      <c r="C390">
        <f>Inputs!$B$3&gt;=40</f>
        <v/>
      </c>
      <c r="D390">
        <f>IF(Skills!C24=1,60+Inputs!$B$25+Inputs!$B$29,IF(Skills!C24=2,90+Inputs!$B$26+Inputs!$B$29,IF(Skills!C24=3,120+Inputs!$B$27+Inputs!$B$29,MAX(0,(Inputs!$B$3-100)*3)+Inputs!$B$28+Inputs!$B$29)))</f>
        <v/>
      </c>
      <c r="E390">
        <f>INDEX(FactorTable!$B$2:$Y$301, MATCH(ROUND(MIN(300,MAX(1,D390)),0), FactorTable!$A$2:$A$301,0), Skills!M24+1)</f>
        <v/>
      </c>
      <c r="F390">
        <f>IF(Skills!N24=TRUE,(Skills!L24/10)*(E390/1000),Skills!L24/10)+Skills!O24</f>
        <v/>
      </c>
      <c r="G390">
        <f>Calc!G24</f>
        <v/>
      </c>
      <c r="H390">
        <f>Calc!H24</f>
        <v/>
      </c>
      <c r="I390">
        <f>IF(Skills!AA24&lt;&gt;"",1+(Skills!AA24/10)*(U369/1000)/100,1)</f>
        <v/>
      </c>
      <c r="J390" t="inlineStr"/>
      <c r="K390" t="inlineStr"/>
      <c r="L390" t="inlineStr"/>
      <c r="M390" t="inlineStr"/>
      <c r="N390" t="inlineStr"/>
      <c r="O390">
        <f>(1-Summary!$B$11)*T390+Summary!$B$11*V390</f>
        <v/>
      </c>
      <c r="P390">
        <f>IF(B410=0,0,O390/B410)</f>
        <v/>
      </c>
      <c r="Q390" t="n">
        <v>0</v>
      </c>
      <c r="R390" t="n">
        <v>0</v>
      </c>
      <c r="S390">
        <f>IFERROR(O390/N390,0)</f>
        <v/>
      </c>
      <c r="T390" t="n">
        <v>0</v>
      </c>
      <c r="V390" t="n">
        <v>0</v>
      </c>
    </row>
    <row r="391">
      <c r="A391">
        <f>Skills!A25</f>
        <v/>
      </c>
      <c r="B391">
        <f>Skills!B25</f>
        <v/>
      </c>
      <c r="C391">
        <f>Inputs!$B$3&gt;=45</f>
        <v/>
      </c>
      <c r="D391">
        <f>IF(Skills!C25=1,60+Inputs!$B$25+Inputs!$B$29,IF(Skills!C25=2,90+Inputs!$B$26+Inputs!$B$29,IF(Skills!C25=3,120+Inputs!$B$27+Inputs!$B$29,MAX(0,(Inputs!$B$3-100)*3)+Inputs!$B$28+Inputs!$B$29)))</f>
        <v/>
      </c>
      <c r="E391">
        <f>INDEX(FactorTable!$B$2:$Y$301, MATCH(ROUND(MIN(300,MAX(1,D391)),0), FactorTable!$A$2:$A$301,0), Skills!M25+1)</f>
        <v/>
      </c>
      <c r="F391">
        <f>IF(Skills!N25=TRUE,(Skills!L25/10)*(E391/1000),Skills!L25/10)+Skills!O25</f>
        <v/>
      </c>
      <c r="G391">
        <f>Calc!G25</f>
        <v/>
      </c>
      <c r="H391">
        <f>Calc!H25</f>
        <v/>
      </c>
      <c r="I391">
        <f>IF(Skills!AA25&lt;&gt;"",1+(Skills!AA25/10)*(U369/1000)/100,1)</f>
        <v/>
      </c>
      <c r="J391" t="inlineStr"/>
      <c r="K391" t="inlineStr"/>
      <c r="L391" t="inlineStr"/>
      <c r="M391" t="inlineStr"/>
      <c r="N391" t="inlineStr"/>
      <c r="O391">
        <f>(1-Summary!$B$11)*T391+Summary!$B$11*V391</f>
        <v/>
      </c>
      <c r="P391">
        <f>IF(B410=0,0,O391/B410)</f>
        <v/>
      </c>
      <c r="Q391" t="n">
        <v>0</v>
      </c>
      <c r="R391" t="n">
        <v>0</v>
      </c>
      <c r="S391">
        <f>IFERROR(O391/N391,0)</f>
        <v/>
      </c>
      <c r="T391" t="n">
        <v>0</v>
      </c>
      <c r="V391" t="n">
        <v>0</v>
      </c>
    </row>
    <row r="392">
      <c r="A392">
        <f>Skills!A26</f>
        <v/>
      </c>
      <c r="B392">
        <f>Skills!B26</f>
        <v/>
      </c>
      <c r="C392">
        <f>Inputs!$B$3&gt;=45</f>
        <v/>
      </c>
      <c r="D392">
        <f>IF(Skills!C26=1,60+Inputs!$B$25+Inputs!$B$29,IF(Skills!C26=2,90+Inputs!$B$26+Inputs!$B$29,IF(Skills!C26=3,120+Inputs!$B$27+Inputs!$B$29,MAX(0,(Inputs!$B$3-100)*3)+Inputs!$B$28+Inputs!$B$29)))</f>
        <v/>
      </c>
      <c r="E392">
        <f>INDEX(FactorTable!$B$2:$Y$301, MATCH(ROUND(MIN(300,MAX(1,D392)),0), FactorTable!$A$2:$A$301,0), Skills!M26+1)</f>
        <v/>
      </c>
      <c r="F392">
        <f>IF(Skills!N26=TRUE,(Skills!L26/10)*(E392/1000),Skills!L26/10)+Skills!O26</f>
        <v/>
      </c>
      <c r="G392">
        <f>Calc!G26</f>
        <v/>
      </c>
      <c r="H392">
        <f>Calc!H26</f>
        <v/>
      </c>
      <c r="I392">
        <f>IF(Skills!AA26&lt;&gt;"",1+(Skills!AA26/10)*(U369/1000)/100,1)</f>
        <v/>
      </c>
      <c r="J392" t="inlineStr"/>
      <c r="K392" t="inlineStr"/>
      <c r="L392" t="inlineStr"/>
      <c r="M392" t="inlineStr"/>
      <c r="N392" t="inlineStr"/>
      <c r="O392">
        <f>(1-Summary!$B$11)*T392+Summary!$B$11*V392</f>
        <v/>
      </c>
      <c r="P392">
        <f>IF(B410=0,0,O392/B410)</f>
        <v/>
      </c>
      <c r="Q392" t="n">
        <v>0</v>
      </c>
      <c r="R392" t="n">
        <v>0</v>
      </c>
      <c r="S392">
        <f>IFERROR(O392/N392,0)</f>
        <v/>
      </c>
      <c r="T392" t="n">
        <v>0</v>
      </c>
      <c r="V392" t="n">
        <v>0</v>
      </c>
    </row>
    <row r="393">
      <c r="A393">
        <f>Skills!A27</f>
        <v/>
      </c>
      <c r="B393">
        <f>Skills!B27</f>
        <v/>
      </c>
      <c r="C393">
        <f>Inputs!$B$3&gt;=72</f>
        <v/>
      </c>
      <c r="D393">
        <f>IF(Skills!C27=1,60+Inputs!$B$25+Inputs!$B$29,IF(Skills!C27=2,90+Inputs!$B$26+Inputs!$B$29,IF(Skills!C27=3,120+Inputs!$B$27+Inputs!$B$29,MAX(0,(Inputs!$B$3-100)*3)+Inputs!$B$28+Inputs!$B$29)))</f>
        <v/>
      </c>
      <c r="E393">
        <f>INDEX(FactorTable!$B$2:$Y$301, MATCH(ROUND(MIN(300,MAX(1,D393)),0), FactorTable!$A$2:$A$301,0), Skills!M27+1)</f>
        <v/>
      </c>
      <c r="F393">
        <f>IF(Skills!N27=TRUE,(Skills!L27/10)*(E393/1000),Skills!L27/10)+Skills!O27</f>
        <v/>
      </c>
      <c r="G393">
        <f>Calc!G27</f>
        <v/>
      </c>
      <c r="H393">
        <f>Calc!H27</f>
        <v/>
      </c>
      <c r="I393">
        <f>IF(Skills!AA27&lt;&gt;"",1+(Skills!AA27/10)*(U369/1000)/100,1)</f>
        <v/>
      </c>
      <c r="J393" t="inlineStr"/>
      <c r="K393" t="inlineStr"/>
      <c r="L393" t="inlineStr"/>
      <c r="M393" t="inlineStr"/>
      <c r="N393" t="inlineStr"/>
      <c r="O393">
        <f>(1-Summary!$B$11)*T393+Summary!$B$11*V393</f>
        <v/>
      </c>
      <c r="P393">
        <f>IF(B410=0,0,O393/B410)</f>
        <v/>
      </c>
      <c r="Q393" t="n">
        <v>0</v>
      </c>
      <c r="R393" t="n">
        <v>0</v>
      </c>
      <c r="S393">
        <f>IFERROR(O393/N393,0)</f>
        <v/>
      </c>
      <c r="T393" t="n">
        <v>0</v>
      </c>
      <c r="V393" t="n">
        <v>0</v>
      </c>
    </row>
    <row r="394">
      <c r="A394">
        <f>Skills!A28</f>
        <v/>
      </c>
      <c r="B394">
        <f>Skills!B28</f>
        <v/>
      </c>
      <c r="C394">
        <f>Inputs!$B$3&gt;=75</f>
        <v/>
      </c>
      <c r="D394">
        <f>IF(Skills!C28=1,60+Inputs!$B$25+Inputs!$B$29,IF(Skills!C28=2,90+Inputs!$B$26+Inputs!$B$29,IF(Skills!C28=3,120+Inputs!$B$27+Inputs!$B$29,MAX(0,(Inputs!$B$3-100)*3)+Inputs!$B$28+Inputs!$B$29)))</f>
        <v/>
      </c>
      <c r="E394">
        <f>INDEX(FactorTable!$B$2:$Y$301, MATCH(ROUND(MIN(300,MAX(1,D394)),0), FactorTable!$A$2:$A$301,0), Skills!M28+1)</f>
        <v/>
      </c>
      <c r="F394">
        <f>IF(Skills!N28=TRUE,(Skills!L28/10)*(E394/1000),Skills!L28/10)+Skills!O28</f>
        <v/>
      </c>
      <c r="G394">
        <f>Calc!G28</f>
        <v/>
      </c>
      <c r="H394">
        <f>Calc!H28</f>
        <v/>
      </c>
      <c r="I394">
        <f>IF(Skills!AA28&lt;&gt;"",1+(Skills!AA28/10)*(U369/1000)/100,1)</f>
        <v/>
      </c>
      <c r="J394" t="inlineStr"/>
      <c r="K394" t="inlineStr"/>
      <c r="L394" t="inlineStr"/>
      <c r="M394" t="inlineStr"/>
      <c r="N394" t="inlineStr"/>
      <c r="O394">
        <f>(1-Summary!$B$11)*T394+Summary!$B$11*V394</f>
        <v/>
      </c>
      <c r="P394">
        <f>IF(B410=0,0,O394/B410)</f>
        <v/>
      </c>
      <c r="Q394" t="n">
        <v>0</v>
      </c>
      <c r="R394" t="n">
        <v>0</v>
      </c>
      <c r="S394">
        <f>IFERROR(O394/N394,0)</f>
        <v/>
      </c>
      <c r="T394" t="n">
        <v>0</v>
      </c>
      <c r="V394" t="n">
        <v>0</v>
      </c>
    </row>
    <row r="395">
      <c r="A395">
        <f>Skills!A29</f>
        <v/>
      </c>
      <c r="B395">
        <f>Skills!B29</f>
        <v/>
      </c>
      <c r="C395">
        <f>Inputs!$B$3&gt;=120</f>
        <v/>
      </c>
      <c r="D395">
        <f>IF(Skills!C29=1,60+Inputs!$B$25+Inputs!$B$29,IF(Skills!C29=2,90+Inputs!$B$26+Inputs!$B$29,IF(Skills!C29=3,120+Inputs!$B$27+Inputs!$B$29,MAX(0,(Inputs!$B$3-100)*3)+Inputs!$B$28+Inputs!$B$29)))</f>
        <v/>
      </c>
      <c r="E395">
        <f>INDEX(FactorTable!$B$2:$Y$301, MATCH(ROUND(MIN(300,MAX(1,D395)),0), FactorTable!$A$2:$A$301,0), Skills!M29+1)</f>
        <v/>
      </c>
      <c r="F395">
        <f>IF(Skills!N29=TRUE,(Skills!L29/10)*(E395/1000),Skills!L29/10)+Skills!O29</f>
        <v/>
      </c>
      <c r="G395">
        <f>Calc!G29</f>
        <v/>
      </c>
      <c r="H395">
        <f>Calc!H29</f>
        <v/>
      </c>
      <c r="I395">
        <f>IF(Skills!AA29&lt;&gt;"",1+(Skills!AA29/10)*(U369/1000)/100,1)</f>
        <v/>
      </c>
      <c r="J395" t="inlineStr"/>
      <c r="K395" t="inlineStr"/>
      <c r="L395" t="inlineStr"/>
      <c r="M395" t="inlineStr"/>
      <c r="N395" t="inlineStr"/>
      <c r="O395">
        <f>(1-Summary!$B$11)*T395+Summary!$B$11*V395</f>
        <v/>
      </c>
      <c r="P395">
        <f>IF(B410=0,0,O395/B410)</f>
        <v/>
      </c>
      <c r="Q395" t="n">
        <v>0</v>
      </c>
      <c r="R395" t="n">
        <v>0</v>
      </c>
      <c r="S395">
        <f>IFERROR(O395/N395,0)</f>
        <v/>
      </c>
      <c r="T395" t="n">
        <v>0</v>
      </c>
      <c r="V395" t="n">
        <v>0</v>
      </c>
    </row>
    <row r="396">
      <c r="A396">
        <f>Skills!A30</f>
        <v/>
      </c>
      <c r="B396">
        <f>Skills!B30</f>
        <v/>
      </c>
      <c r="C396">
        <f>Inputs!$B$3&gt;=125</f>
        <v/>
      </c>
      <c r="D396">
        <f>IF(Skills!C30=1,60+Inputs!$B$25+Inputs!$B$29,IF(Skills!C30=2,90+Inputs!$B$26+Inputs!$B$29,IF(Skills!C30=3,120+Inputs!$B$27+Inputs!$B$29,MAX(0,(Inputs!$B$3-100)*3)+Inputs!$B$28+Inputs!$B$29)))</f>
        <v/>
      </c>
      <c r="E396">
        <f>INDEX(FactorTable!$B$2:$Y$301, MATCH(ROUND(MIN(300,MAX(1,D396)),0), FactorTable!$A$2:$A$301,0), Skills!M30+1)</f>
        <v/>
      </c>
      <c r="F396">
        <f>IF(Skills!N30=TRUE,(Skills!L30/10)*(E396/1000),Skills!L30/10)+Skills!O30</f>
        <v/>
      </c>
      <c r="G396">
        <f>Calc!G30</f>
        <v/>
      </c>
      <c r="H396">
        <f>Calc!H30</f>
        <v/>
      </c>
      <c r="I396">
        <f>IF(Skills!AA30&lt;&gt;"",1+(Skills!AA30/10)*(U369/1000)/100,1)</f>
        <v/>
      </c>
      <c r="J396" t="inlineStr"/>
      <c r="K396" t="inlineStr"/>
      <c r="L396" t="inlineStr"/>
      <c r="M396" t="inlineStr"/>
      <c r="N396" t="inlineStr"/>
      <c r="O396">
        <f>(1-Summary!$B$11)*T396+Summary!$B$11*V396</f>
        <v/>
      </c>
      <c r="P396">
        <f>IF(B410=0,0,O396/B410)</f>
        <v/>
      </c>
      <c r="Q396" t="n">
        <v>0</v>
      </c>
      <c r="R396" t="n">
        <v>0</v>
      </c>
      <c r="S396">
        <f>IFERROR(O396/N396,0)</f>
        <v/>
      </c>
      <c r="T396" t="n">
        <v>0</v>
      </c>
      <c r="V396" t="n">
        <v>0</v>
      </c>
    </row>
    <row r="397">
      <c r="A397">
        <f>Skills!A31</f>
        <v/>
      </c>
      <c r="B397">
        <f>Skills!B31</f>
        <v/>
      </c>
      <c r="C397">
        <f>Inputs!$B$3&gt;=107</f>
        <v/>
      </c>
      <c r="D397">
        <f>IF(Skills!C31=1,60+Inputs!$B$25+Inputs!$B$29,IF(Skills!C31=2,90+Inputs!$B$26+Inputs!$B$29,IF(Skills!C31=3,120+Inputs!$B$27+Inputs!$B$29,MAX(0,(Inputs!$B$3-100)*3)+Inputs!$B$28+Inputs!$B$29)))</f>
        <v/>
      </c>
      <c r="E397">
        <f>INDEX(FactorTable!$B$2:$Y$301, MATCH(ROUND(MIN(300,MAX(1,D397)),0), FactorTable!$A$2:$A$301,0), Skills!M31+1)</f>
        <v/>
      </c>
      <c r="F397">
        <f>IF(Skills!N31=TRUE,(Skills!L31/10)*(E397/1000),Skills!L31/10)+Skills!O31</f>
        <v/>
      </c>
      <c r="G397">
        <f>Calc!G31</f>
        <v/>
      </c>
      <c r="H397">
        <f>Calc!H31</f>
        <v/>
      </c>
      <c r="I397">
        <f>IF(Skills!AA31&lt;&gt;"",1+(Skills!AA31/10)*(U369/1000)/100,1)</f>
        <v/>
      </c>
      <c r="J397" t="inlineStr"/>
      <c r="K397" t="inlineStr"/>
      <c r="L397" t="inlineStr"/>
      <c r="M397" t="inlineStr"/>
      <c r="N397" t="inlineStr"/>
      <c r="O397">
        <f>(1-Summary!$B$11)*T397+Summary!$B$11*V397</f>
        <v/>
      </c>
      <c r="P397">
        <f>IF(B410=0,0,O397/B410)</f>
        <v/>
      </c>
      <c r="Q397" t="n">
        <v>0</v>
      </c>
      <c r="R397" t="n">
        <v>0</v>
      </c>
      <c r="S397">
        <f>IFERROR(O397/N397,0)</f>
        <v/>
      </c>
      <c r="T397" t="n">
        <v>0</v>
      </c>
      <c r="V397" t="n">
        <v>0</v>
      </c>
    </row>
    <row r="399">
      <c r="A399" t="inlineStr">
        <is>
          <t>Actions Per Second (pre-Adrenalin)</t>
        </is>
      </c>
      <c r="B399">
        <f>1+MIN(150,150*(1-(1-(Inputs!$B$11+((C388=TRUE)*(F388-Calc!F22))+(ArtifactsInput!$M$15-ArtifactsInput!$M$15)*CHOOSE(ArtifactsInput!$N$15+1,8,9.6,11.2,12.8,14.4,16))/150)*(1-((C385=TRUE)*F385*IF(AND(Inputs!$B$39&lt;&gt;"pvp",Inputs!$B$44&gt;0),(((R385-1)*(Skills!Y19*(1+Inputs!$B$34/100))+MIN((Skills!Y19*(1+Inputs!$B$34/100)),MAX(0,Inputs!$B$44-((R385-1)*Skills!D19))))/Inputs!$B$44),IF(Inputs!$B$39="pvp",MIN((Skills!Y19*(1+Inputs!$B$34/100)),15)/15,(Skills!Y19*(1+Inputs!$B$34/100))/Skills!D19)))/150)))/100</f>
        <v/>
      </c>
    </row>
    <row r="400">
      <c r="A400" t="inlineStr">
        <is>
          <t>Alchemic Adrenaline Uptime</t>
        </is>
      </c>
      <c r="B400">
        <f>(Skills!Y6*(1+Inputs!$B$34/100))/((Skills!Y6*(1+Inputs!$B$34/100))+(5/B399))</f>
        <v/>
      </c>
    </row>
    <row r="401">
      <c r="A401" t="inlineStr">
        <is>
          <t>Attack Speed Buff Bonus %</t>
        </is>
      </c>
      <c r="B401">
        <f>((C385=TRUE)*F385*IF(AND(Inputs!$B$39&lt;&gt;"pvp",Inputs!$B$44&gt;0),(((R385-1)*(Skills!Y19*(1+Inputs!$B$34/100))+MIN((Skills!Y19*(1+Inputs!$B$34/100)),MAX(0,Inputs!$B$44-((R385-1)*Skills!D19))))/Inputs!$B$44),IF(Inputs!$B$39="pvp",MIN((Skills!Y19*(1+Inputs!$B$34/100)),15)/15,(Skills!Y19*(1+Inputs!$B$34/100))/Skills!D19)))+((C373=TRUE)*F373*B400)</f>
        <v/>
      </c>
    </row>
    <row r="402">
      <c r="A402" t="inlineStr">
        <is>
          <t>Actions Per Second (final)</t>
        </is>
      </c>
      <c r="B402">
        <f>1+MIN(150,150*(1-(1-(Inputs!$B$11+((C388=TRUE)*(F388-Calc!F22))+(ArtifactsInput!$M$15-ArtifactsInput!$M$15)*CHOOSE(ArtifactsInput!$N$15+1,8,9.6,11.2,12.8,14.4,16))/150)*(1-B401/150)))/100</f>
        <v/>
      </c>
    </row>
    <row r="403">
      <c r="A403" t="inlineStr">
        <is>
          <t>Skill + Buff Cast Rate</t>
        </is>
      </c>
      <c r="B403">
        <f>IF(AND(Inputs!$B$39&lt;&gt;"pvp",Inputs!$B$44&gt;0),SUMPRODUCT((Skills!E2:E31=TRUE)*(C368:C397=TRUE)*R368:R397*Skills!F2:F31)/Inputs!$B$44,SUMPRODUCT((Skills!E2:E31=TRUE)*(C368:C397=TRUE)*Q368:Q397*Skills!F2:F31))</f>
        <v/>
      </c>
    </row>
    <row r="404">
      <c r="A404" t="inlineStr">
        <is>
          <t>Showdown Casts Per Second</t>
        </is>
      </c>
      <c r="B404">
        <f>MAX(0,B402-B403)</f>
        <v/>
      </c>
    </row>
    <row r="405">
      <c r="A405" t="inlineStr">
        <is>
          <t>Average Buff Multiplier</t>
        </is>
      </c>
      <c r="B405">
        <f>(1+(((C387=TRUE)*F387*IF(AND(Inputs!$B$39&lt;&gt;"pvp",Inputs!$B$44&gt;0),(((R387-1)*(Skills!Y21*(1+Inputs!$B$34/100))+MIN((Skills!Y21*(1+Inputs!$B$34/100)),MAX(0,Inputs!$B$44-((R387-1)*Skills!D21))))/Inputs!$B$44),IF(Inputs!$B$39="pvp",MIN((Skills!Y21*(1+Inputs!$B$34/100)),15)/15,(Skills!Y21*(1+Inputs!$B$34/100))/Skills!D21)))+((C394=TRUE)*(F394-Calc!F28))+((C384=TRUE)*(F384-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381=TRUE)*F381*IF(AND(Inputs!$B$39&lt;&gt;"pvp",Inputs!$B$44&gt;0),(((R381-1)*(Skills!Y15*(1+Inputs!$B$34/100))+MIN((Skills!Y15*(1+Inputs!$B$34/100)),MAX(0,Inputs!$B$44-((R381-1)*Skills!D15))))/Inputs!$B$44),IF(Inputs!$B$39="pvp",MIN((Skills!Y15*(1+Inputs!$B$34/100)),15)/15,(Skills!Y15*(1+Inputs!$B$34/100))/Skills!D15)))/100)*(1+((C372=TRUE)*F372*B400)/100)</f>
        <v/>
      </c>
    </row>
    <row r="406">
      <c r="A406" t="inlineStr">
        <is>
          <t>Global Crit Rate Bonus %</t>
        </is>
      </c>
      <c r="B406">
        <f>IF(Inputs!$B$3&gt;=47,8,0)+((C386=TRUE)*F386*IF(AND(Inputs!$B$39&lt;&gt;"pvp",Inputs!$B$44&gt;0),(((R386-1)*(Skills!Y20*(1+Inputs!$B$34/100))+MIN((Skills!Y20*(1+Inputs!$B$34/100)),MAX(0,Inputs!$B$44-((R386-1)*Skills!D20))))/Inputs!$B$44),IF(Inputs!$B$39="pvp",MIN((Skills!Y20*(1+Inputs!$B$34/100)),15)/15,(Skills!Y20*(1+Inputs!$B$34/100))/Skills!D20)))</f>
        <v/>
      </c>
    </row>
    <row r="407">
      <c r="A407" t="inlineStr">
        <is>
          <t>Global Monster Damage-Taken Bonus %</t>
        </is>
      </c>
      <c r="B407">
        <f>IF(Inputs!$B$3&gt;=82,15,0)+((C382=TRUE)*F382*IF(AND(Inputs!$B$39&lt;&gt;"pvp",Inputs!$B$44&gt;0),(((R382-1)*(Skills!Y16*(1+Inputs!$B$34/100))+MIN((Skills!Y16*(1+Inputs!$B$34/100)),MAX(0,Inputs!$B$44-((R382-1)*Skills!D16))))/Inputs!$B$44),IF(Inputs!$B$39="pvp",MIN((Skills!Y16*(1+Inputs!$B$34/100)),15)/15,(Skills!Y16*(1+Inputs!$B$34/100))/Skills!D16)))</f>
        <v/>
      </c>
    </row>
    <row r="408">
      <c r="A408" t="inlineStr">
        <is>
          <t>Shadow Partner Average Multiplier</t>
        </is>
      </c>
      <c r="B408">
        <f>1+((C377=TRUE)*F377*I377*Skills!J11/100)/100</f>
        <v/>
      </c>
    </row>
    <row r="409">
      <c r="A409" t="inlineStr">
        <is>
          <t>Global Critical Damage Bonus % (Frailty Curse Mastery Lv.111)</t>
        </is>
      </c>
      <c r="B409">
        <f>IF(Inputs!$B$3&gt;=111,30,0)*IF(AND(Inputs!$B$39&lt;&gt;"pvp",Inputs!$B$44&gt;0),(((R382-1)*(Skills!Y16*(1+Inputs!$B$34/100))+MIN((Skills!Y16*(1+Inputs!$B$34/100)),MAX(0,Inputs!$B$44-((R382-1)*Skills!D16))))/Inputs!$B$44),IF(Inputs!$B$39="pvp",MIN((Skills!Y16*(1+Inputs!$B$34/100)),15)/15,(Skills!Y16*(1+Inputs!$B$34/100))/Skills!D16))</f>
        <v/>
      </c>
    </row>
    <row r="410">
      <c r="A410" s="6" t="inlineStr">
        <is>
          <t>TOTAL DPS</t>
        </is>
      </c>
      <c r="B410" s="6">
        <f>SUM(O368:O397)</f>
        <v/>
      </c>
    </row>
    <row r="411">
      <c r="A411" t="inlineStr">
        <is>
          <t>Buff-Casting Startup Delay (s, fixed-duration only)</t>
        </is>
      </c>
      <c r="B411">
        <f>IF(AND(Inputs!$B$39&lt;&gt;"pvp",Inputs!$B$44&gt;0),SUMPRODUCT((Skills!Y2:Y31&gt;0)*(Skills!E2:E31=TRUE)*(C368:C397=TRUE))/B402,0)</f>
        <v/>
      </c>
    </row>
    <row r="412">
      <c r="A412" t="inlineStr">
        <is>
          <t>Boss-Only Total DPS (this block's swept value)</t>
        </is>
      </c>
      <c r="B412">
        <f>SUM(T368:T397)</f>
        <v/>
      </c>
    </row>
    <row r="413">
      <c r="A413" t="inlineStr">
        <is>
          <t>Normal-Only Total DPS (this block's swept value)</t>
        </is>
      </c>
      <c r="B413">
        <f>SUM(V368:V397)</f>
        <v/>
      </c>
    </row>
    <row r="415">
      <c r="A415" s="6" t="inlineStr">
        <is>
          <t>Stat: FINAL_DAMAGE % (multiplicative source)</t>
        </is>
      </c>
    </row>
    <row r="416">
      <c r="A416" s="5" t="inlineStr">
        <is>
          <t>Key</t>
        </is>
      </c>
      <c r="B416" s="5" t="inlineStr">
        <is>
          <t>Name</t>
        </is>
      </c>
      <c r="C416" s="5" t="inlineStr">
        <is>
          <t>Unlocked</t>
        </is>
      </c>
      <c r="D416" s="5" t="inlineStr">
        <is>
          <t>InputLevel</t>
        </is>
      </c>
      <c r="E416" s="5" t="inlineStr">
        <is>
          <t>Factor</t>
        </is>
      </c>
      <c r="F416" s="5" t="inlineStr">
        <is>
          <t>CoefficientPercent</t>
        </is>
      </c>
      <c r="G416" s="5" t="inlineStr">
        <is>
          <t>EffectiveHits</t>
        </is>
      </c>
      <c r="H416" s="5" t="inlineStr">
        <is>
          <t>ProcProbability</t>
        </is>
      </c>
      <c r="I416" s="5" t="inlineStr">
        <is>
          <t>MapleHeroMultiplier</t>
        </is>
      </c>
      <c r="J416" s="5" t="inlineStr">
        <is>
          <t>BaseDamage</t>
        </is>
      </c>
      <c r="K416" s="5" t="inlineStr">
        <is>
          <t>BaseHitDamage</t>
        </is>
      </c>
      <c r="L416" s="5" t="inlineStr">
        <is>
          <t>NonCritAvg</t>
        </is>
      </c>
      <c r="M416" s="5" t="inlineStr">
        <is>
          <t>CritAvg</t>
        </is>
      </c>
      <c r="N416" s="5" t="inlineStr">
        <is>
          <t>ExpectedDamage(perHit)</t>
        </is>
      </c>
      <c r="O416" s="5" t="inlineStr">
        <is>
          <t>DPS</t>
        </is>
      </c>
      <c r="P416" s="5" t="inlineStr">
        <is>
          <t>% of Total</t>
        </is>
      </c>
      <c r="Q416" s="5" t="inlineStr">
        <is>
          <t>InvCooldown</t>
        </is>
      </c>
      <c r="R416" s="5" t="inlineStr">
        <is>
          <t>CastsInFight</t>
        </is>
      </c>
      <c r="S416" s="5" t="inlineStr">
        <is>
          <t>HitRate(perSec)</t>
        </is>
      </c>
      <c r="U416" t="inlineStr">
        <is>
          <t>helpers</t>
        </is>
      </c>
    </row>
    <row r="417">
      <c r="A417">
        <f>Skills!A2</f>
        <v/>
      </c>
      <c r="B417">
        <f>Skills!B2</f>
        <v/>
      </c>
      <c r="C417">
        <f>Inputs!$B$3&gt;=100</f>
        <v/>
      </c>
      <c r="D417" t="inlineStr"/>
      <c r="E417" t="inlineStr"/>
      <c r="F417">
        <f>U421+Skills!O2</f>
        <v/>
      </c>
      <c r="G417">
        <f>Calc!G2</f>
        <v/>
      </c>
      <c r="H417">
        <f>Calc!H2</f>
        <v/>
      </c>
      <c r="I417">
        <f>IF(Skills!AA2&lt;&gt;"",1+(Skills!AA2/10)*(U418/1000)/100,1)</f>
        <v/>
      </c>
      <c r="J417">
        <f>((Inputs!$B$6*(1+Inputs!$B$7/100))+(((Inputs!$B$12*(1+Inputs!$B$13/100))-(Inputs!$B$12*(1+Inputs!$B$13/100)))+0.25*(Inputs!$B$14-Inputs!$B$14))*(1+Inputs!$B$7/100))*(F417/100)</f>
        <v/>
      </c>
      <c r="K417">
        <f>J417*(1+((Inputs!$B$12*(1+Inputs!$B$13/100))*0.01+Inputs!$B$14*0.0025)/100)*(1+Inputs!$B$15/100)*(1+Inputs!$B$16/100)*(5000/(6000+Inputs!$B$43*(1-(100*(1-(1-(Inputs!$B$19+0)/100)*(1-CHOOSE(ArtifactsInput!$N$40+1,5,6,7,8,9,10)/100)^(ArtifactsInput!$M$40-ArtifactsInput!$M$40)))/100)))*(1+(((((1+Inputs!$B$24/100)*(1.01))-1)*100)+((C445=TRUE)*(F445-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438=TRUE)*(F438-Calc!F23))+(((IF(AND(ArtifactsInput!$M$42,((Inputs!$B$9+((C440=TRUE)*(F440-Calc!F25))+B455+(ArtifactsInput!$M$24-ArtifactsInput!$M$24)*CHOOSE(ArtifactsInput!$N$24+1,10,12,14,16,18,20)+IF(ArtifactsInput!$M$10,CHOOSE(ArtifactsInput!$N$10+1,15,18,21,24,27,30)*(IF(Inputs!$B$39="pvp",MIN(15,15)/15,IF(AND(Inputs!$B$39&lt;&gt;"pvp",Inputs!$B$44&gt;0),MIN(15,Inputs!$B$44)/(Inputs!$B$44),0))),0)))&gt;=100),MIN(100,((Inputs!$B$9+((C440=TRUE)*(F440-Calc!F25))+B455+(ArtifactsInput!$M$24-ArtifactsInput!$M$24)*CHOOSE(ArtifactsInput!$N$24+1,10,12,14,16,18,20)+IF(ArtifactsInput!$M$10,CHOOSE(ArtifactsInput!$N$10+1,15,18,21,24,27,30)*(IF(Inputs!$B$39="pvp",MIN(15,15)/15,IF(AND(Inputs!$B$39&lt;&gt;"pvp",Inputs!$B$44&gt;0),MIN(15,Inputs!$B$44)/(Inputs!$B$44),0))),0)))-100),0))*CHOOSE(ArtifactsInput!$N$42+1,0.6,0.72,0.84,0.96,1.08,1.2))),Inputs!$B$18+((C444=TRUE)*(F444-Calc!F29))+(IF(AND(ArtifactsInput!$M$42,((Inputs!$B$9+((C440=TRUE)*(F440-Calc!F25))+B455+(ArtifactsInput!$M$24-ArtifactsInput!$M$24)*CHOOSE(ArtifactsInput!$N$24+1,10,12,14,16,18,20)+IF(ArtifactsInput!$M$10,CHOOSE(ArtifactsInput!$N$10+1,15,18,21,24,27,30)*(IF(Inputs!$B$39="pvp",MIN(15,15)/15,IF(AND(Inputs!$B$39&lt;&gt;"pvp",Inputs!$B$44&gt;0),MIN(15,Inputs!$B$44)/(Inputs!$B$44),0))),0)))&gt;=100),CHOOSE(ArtifactsInput!$N$42+1,40,48,56,64,72,80),0))))/100)*(((1+(((C436=TRUE)*F436*IF(AND(Inputs!$B$39&lt;&gt;"pvp",Inputs!$B$44&gt;0),(((R436-1)*(Skills!Y21*(1+Inputs!$B$34/100))+MIN((Skills!Y21*(1+Inputs!$B$34/100)),MAX(0,Inputs!$B$44-((R436-1)*Skills!D21))))/Inputs!$B$44),IF(Inputs!$B$39="pvp",MIN((Skills!Y21*(1+Inputs!$B$34/100)),15)/15,(Skills!Y21*(1+Inputs!$B$34/100))/Skills!D21)))+((C443=TRUE)*(F443-Calc!F28))+((C433=TRUE)*(F433-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430=TRUE)*F430*IF(AND(Inputs!$B$39&lt;&gt;"pvp",Inputs!$B$44&gt;0),(((R430-1)*(Skills!Y15*(1+Inputs!$B$34/100))+MIN((Skills!Y15*(1+Inputs!$B$34/100)),MAX(0,Inputs!$B$44-((R430-1)*Skills!D15))))/Inputs!$B$44),IF(Inputs!$B$39="pvp",MIN((Skills!Y15*(1+Inputs!$B$34/100)),15)/15,(Skills!Y15*(1+Inputs!$B$34/100))/Skills!D15)))/100)*(1+((C421=TRUE)*F421*B449)/100))*B457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417)</f>
        <v/>
      </c>
      <c r="L417">
        <f>K417*(MIN(Inputs!$B$22+((C439=TRUE)*(F439-Calc!F24)),(Inputs!$B$23+0+(IF(ArtifactsInput!$M$15,CHOOSE(ArtifactsInput!$N$15+1,25,30,35,40,45,50)/100*(Inputs!$B$11-Inputs!$B$11),0))))/100+(Inputs!$B$23+0+(IF(ArtifactsInput!$M$15,CHOOSE(ArtifactsInput!$N$15+1,25,30,35,40,45,50)/100*(Inputs!$B$11-Inputs!$B$11),0)))/100)/2</f>
        <v/>
      </c>
      <c r="M417">
        <f>L417*(1+(Inputs!$B$10+((C441=TRUE)*(F441-Calc!F26))+B458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17">
        <f>L417*(1-MIN((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417*(MIN((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17">
        <f>(1-Summary!$B$11)*T417+Summary!$B$11*V417</f>
        <v/>
      </c>
      <c r="P417">
        <f>IF(B459=0,0,O417/B459)</f>
        <v/>
      </c>
      <c r="Q417" t="n">
        <v>0</v>
      </c>
      <c r="R417" t="n">
        <v>0</v>
      </c>
      <c r="S417">
        <f>IFERROR(O417/N417,0)</f>
        <v/>
      </c>
      <c r="T417">
        <f>IF(C417,(Skills!G2*N417*B453)*IF(Inputs!$B$39="pvp",1,1+(Inputs!$B$20+((C442=TRUE)*(F442-Calc!F27))+Skills!P2+B456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Hunt"),CHOOSE(ArtifactsInput!$N$35+1,15,18,21,24,27,30)*(1-EXP(-(0.2*B451)*5)),0)+IF(AND(ArtifactsInput!$M$22,Inputs!$B$4&lt;&gt;"Chapter Hunt"),CHOOSE(ArtifactsInput!$N$22+1,10,12,14,16,18,20)*((0*(((0.15*B451*5))^0/1)+1*(((0.15*B451*5))^1/1)+2*(((0.15*B451*5))^2/2)+3*(((0.15*B451*5))^3/6)+4*(((0.15*B451*5))^4/24)+5*(((0.15*B451*5))^5/120))/((((0.15*B451*5))^0/1)+(((0.15*B451*5))^1/1)+(((0.15*B451*5))^2/2)+(((0.15*B451*5))^3/6)+(((0.15*B451*5))^4/24)+(((0.15*B451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417*(1-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417*(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417*(1-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417*(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17">
        <f>MAX(0,(Inputs!$B$3-100)*3)+Inputs!$B$28+Inputs!$B$29</f>
        <v/>
      </c>
      <c r="V417">
        <f>IF(C417,(Skills!G2*N417*B453)*IF(Inputs!$B$39="pvp",1,(1+(Inputs!$B$21+Skills!Q2+B456+(IF(ArtifactsInput!$M$33,CHOOSE(ArtifactsInput!$N$33+1,30,36,42,48,54,60),0))+(IF(AND(ArtifactsInput!$M$35,Inputs!$B$4&lt;&gt;"Chapter Hunt"),CHOOSE(ArtifactsInput!$N$35+1,15,18,21,24,27,30)*(1-EXP(-(0.2*B451)*5)),0)+IF(AND(ArtifactsInput!$M$22,Inputs!$B$4&lt;&gt;"Chapter Hunt"),CHOOSE(ArtifactsInput!$N$22+1,10,12,14,16,18,20)*((0*(((0.15*B451*5))^0/1)+1*(((0.15*B451*5))^1/1)+2*(((0.15*B451*5))^2/2)+3*(((0.15*B451*5))^3/6)+4*(((0.15*B451*5))^4/24)+5*(((0.15*B451*5))^5/120))/((((0.15*B451*5))^0/1)+(((0.15*B451*5))^1/1)+(((0.15*B451*5))^2/2)+(((0.15*B451*5))^3/6)+(((0.15*B451*5))^4/24)+(((0.15*B451*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18">
      <c r="A418">
        <f>Skills!A3</f>
        <v/>
      </c>
      <c r="B418">
        <f>Skills!B3</f>
        <v/>
      </c>
      <c r="C418">
        <f>Inputs!$B$3&gt;=35</f>
        <v/>
      </c>
      <c r="D418">
        <f>IF(Skills!C3=1,60+Inputs!$B$25+Inputs!$B$29,IF(Skills!C3=2,90+Inputs!$B$26+Inputs!$B$29,IF(Skills!C3=3,120+Inputs!$B$27+Inputs!$B$29,MAX(0,(Inputs!$B$3-100)*3)+Inputs!$B$28+Inputs!$B$29)))</f>
        <v/>
      </c>
      <c r="E418">
        <f>INDEX(FactorTable!$B$2:$Y$301, MATCH(ROUND(MIN(300,MAX(1,D418)),0), FactorTable!$A$2:$A$301,0), Skills!M3+1)</f>
        <v/>
      </c>
      <c r="F418">
        <f>IF(Skills!N3=TRUE,(Skills!L3/10)*(E418/1000),Skills!L3/10)+Skills!O3</f>
        <v/>
      </c>
      <c r="G418">
        <f>Calc!G3</f>
        <v/>
      </c>
      <c r="H418">
        <f>Calc!H3</f>
        <v/>
      </c>
      <c r="I418">
        <f>IF(Skills!AA3&lt;&gt;"",1+(Skills!AA3/10)*(U418/1000)/100,1)</f>
        <v/>
      </c>
      <c r="J418">
        <f>((Inputs!$B$6*(1+Inputs!$B$7/100))+(((Inputs!$B$12*(1+Inputs!$B$13/100))-(Inputs!$B$12*(1+Inputs!$B$13/100)))+0.25*(Inputs!$B$14-Inputs!$B$14))*(1+Inputs!$B$7/100))*(F418/100)</f>
        <v/>
      </c>
      <c r="K418">
        <f>J418*(1+((Inputs!$B$12*(1+Inputs!$B$13/100))*0.01+Inputs!$B$14*0.0025)/100)*(1+Inputs!$B$15/100)*(1+Inputs!$B$16/100)*(5000/(6000+Inputs!$B$43*(1-(100*(1-(1-(Inputs!$B$19+0)/100)*(1-CHOOSE(ArtifactsInput!$N$40+1,5,6,7,8,9,10)/100)^(ArtifactsInput!$M$40-ArtifactsInput!$M$40)))/100)))*(1+(((((1+Inputs!$B$24/100)*(1.01))-1)*100)+((C445=TRUE)*(F445-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438=TRUE)*(F438-Calc!F23))+(((IF(AND(ArtifactsInput!$M$42,((Inputs!$B$9+((C440=TRUE)*(F440-Calc!F25))+B455+(ArtifactsInput!$M$24-ArtifactsInput!$M$24)*CHOOSE(ArtifactsInput!$N$24+1,10,12,14,16,18,20)+IF(ArtifactsInput!$M$10,CHOOSE(ArtifactsInput!$N$10+1,15,18,21,24,27,30)*(IF(Inputs!$B$39="pvp",MIN(15,15)/15,IF(AND(Inputs!$B$39&lt;&gt;"pvp",Inputs!$B$44&gt;0),MIN(15,Inputs!$B$44)/(Inputs!$B$44),0))),0)))&gt;=100),MIN(100,((Inputs!$B$9+((C440=TRUE)*(F440-Calc!F25))+B455+(ArtifactsInput!$M$24-ArtifactsInput!$M$24)*CHOOSE(ArtifactsInput!$N$24+1,10,12,14,16,18,20)+IF(ArtifactsInput!$M$10,CHOOSE(ArtifactsInput!$N$10+1,15,18,21,24,27,30)*(IF(Inputs!$B$39="pvp",MIN(15,15)/15,IF(AND(Inputs!$B$39&lt;&gt;"pvp",Inputs!$B$44&gt;0),MIN(15,Inputs!$B$44)/(Inputs!$B$44),0))),0)))-100),0))*CHOOSE(ArtifactsInput!$N$42+1,0.6,0.72,0.84,0.96,1.08,1.2))),Inputs!$B$18+((C444=TRUE)*(F444-Calc!F29))+(IF(AND(ArtifactsInput!$M$42,((Inputs!$B$9+((C440=TRUE)*(F440-Calc!F25))+B455+(ArtifactsInput!$M$24-ArtifactsInput!$M$24)*CHOOSE(ArtifactsInput!$N$24+1,10,12,14,16,18,20)+IF(ArtifactsInput!$M$10,CHOOSE(ArtifactsInput!$N$10+1,15,18,21,24,27,30)*(IF(Inputs!$B$39="pvp",MIN(15,15)/15,IF(AND(Inputs!$B$39&lt;&gt;"pvp",Inputs!$B$44&gt;0),MIN(15,Inputs!$B$44)/(Inputs!$B$44),0))),0)))&gt;=100),CHOOSE(ArtifactsInput!$N$42+1,40,48,56,64,72,80),0))))/100)*(((1+(((C436=TRUE)*F436*IF(AND(Inputs!$B$39&lt;&gt;"pvp",Inputs!$B$44&gt;0),(((R436-1)*(Skills!Y21*(1+Inputs!$B$34/100))+MIN((Skills!Y21*(1+Inputs!$B$34/100)),MAX(0,Inputs!$B$44-((R436-1)*Skills!D21))))/Inputs!$B$44),IF(Inputs!$B$39="pvp",MIN((Skills!Y21*(1+Inputs!$B$34/100)),15)/15,(Skills!Y21*(1+Inputs!$B$34/100))/Skills!D21)))+((C443=TRUE)*(F443-Calc!F28))+((C433=TRUE)*(F433-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430=TRUE)*F430*IF(AND(Inputs!$B$39&lt;&gt;"pvp",Inputs!$B$44&gt;0),(((R430-1)*(Skills!Y15*(1+Inputs!$B$34/100))+MIN((Skills!Y15*(1+Inputs!$B$34/100)),MAX(0,Inputs!$B$44-((R430-1)*Skills!D15))))/Inputs!$B$44),IF(Inputs!$B$39="pvp",MIN((Skills!Y15*(1+Inputs!$B$34/100)),15)/15,(Skills!Y15*(1+Inputs!$B$34/100))/Skills!D15)))/100)*(1+((C421=TRUE)*F421*B449)/100))*B457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418)</f>
        <v/>
      </c>
      <c r="L418">
        <f>K418*(MIN(Inputs!$B$22+((C439=TRUE)*(F439-Calc!F24)),(Inputs!$B$23+0+(IF(ArtifactsInput!$M$15,CHOOSE(ArtifactsInput!$N$15+1,25,30,35,40,45,50)/100*(Inputs!$B$11-Inputs!$B$11),0))))/100+(Inputs!$B$23+0+(IF(ArtifactsInput!$M$15,CHOOSE(ArtifactsInput!$N$15+1,25,30,35,40,45,50)/100*(Inputs!$B$11-Inputs!$B$11),0)))/100)/2</f>
        <v/>
      </c>
      <c r="M418">
        <f>L418*(1+(Inputs!$B$10+((C441=TRUE)*(F441-Calc!F26))+B458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18">
        <f>L418*(1-MIN((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418*(MIN((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18">
        <f>(1-Summary!$B$11)*T418+Summary!$B$11*V418</f>
        <v/>
      </c>
      <c r="P418">
        <f>IF(B459=0,0,O418/B459)</f>
        <v/>
      </c>
      <c r="Q418">
        <f>IFERROR(1/IF(Inputs!$B$39="pvp",15,MAX(0.1,Skills!D3-IF(Skills!E3=TRUE,Inputs!$B$32,0))),0)</f>
        <v/>
      </c>
      <c r="R418">
        <f>IF(AND(Inputs!$B$39&lt;&gt;"pvp",Inputs!$B$44&gt;0),IF(MAX(0,Inputs!$B$44-B460)&lt;=0,0,(INT(MAX(0,Inputs!$B$44-B460)/IF(Inputs!$B$39="pvp",15,MAX(0.1,Skills!D3-IF(Skills!E3=TRUE,Inputs!$B$32,0))))+1)),0)</f>
        <v/>
      </c>
      <c r="S418">
        <f>IFERROR(O418/N418,0)</f>
        <v/>
      </c>
      <c r="T418">
        <f>IF(C418,(H418*N418*IF(AND(Inputs!$B$39&lt;&gt;"pvp",Inputs!$B$44&gt;0),((Skills!G3*((R418-1)*IF(Skills!H3&gt;0,Skills!I3/Skills!H3,1)+IF(Skills!H3&gt;0,MIN(Skills!I3,MAX(0,MAX(0,Inputs!$B$44-B460)-((R418-1)*IF(Inputs!$B$39="pvp",15,MAX(0.1,Skills!D3-IF(Skills!E3=TRUE,Inputs!$B$32,0))))))/Skills!H3,1)))/Inputs!$B$44),G418*Q418))*IF(Inputs!$B$39="pvp",1,1+(Inputs!$B$20+((C442=TRUE)*(F442-Calc!F27))+Skills!P3+B456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Hunt"),CHOOSE(ArtifactsInput!$N$35+1,15,18,21,24,27,30)*(1-EXP(-(0.2*B451)*5)),0)+IF(AND(ArtifactsInput!$M$22,Inputs!$B$4&lt;&gt;"Chapter Hunt"),CHOOSE(ArtifactsInput!$N$22+1,10,12,14,16,18,20)*((0*(((0.15*B451*5))^0/1)+1*(((0.15*B451*5))^1/1)+2*(((0.15*B451*5))^2/2)+3*(((0.15*B451*5))^3/6)+4*(((0.15*B451*5))^4/24)+5*(((0.15*B451*5))^5/120))/((((0.15*B451*5))^0/1)+(((0.15*B451*5))^1/1)+(((0.15*B451*5))^2/2)+(((0.15*B451*5))^3/6)+(((0.15*B451*5))^4/24)+(((0.15*B451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418*(1-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418*(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418*(1-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418*(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18">
        <f>INDEX(FactorTable!$B$2:$Y$301, MATCH(ROUND(MIN(300,MAX(1,U417)),0), FactorTable!$A$2:$A$301,0), 24)</f>
        <v/>
      </c>
      <c r="V418">
        <f>IF(C418,(H418*N418*IF(AND(Inputs!$B$39&lt;&gt;"pvp",Inputs!$B$44&gt;0),((Skills!G3*((R418-1)*IF(Skills!H3&gt;0,Skills!I3/Skills!H3,1)+IF(Skills!H3&gt;0,MIN(Skills!I3,MAX(0,MAX(0,Inputs!$B$44-B460)-((R418-1)*IF(Inputs!$B$39="pvp",15,MAX(0.1,Skills!D3-IF(Skills!E3=TRUE,Inputs!$B$32,0))))))/Skills!H3,1)))/Inputs!$B$44),G418*Q418))*IF(Inputs!$B$39="pvp",1,(1+(Inputs!$B$21+Skills!Q3+B456+(IF(ArtifactsInput!$M$33,CHOOSE(ArtifactsInput!$N$33+1,30,36,42,48,54,60),0))+(IF(AND(ArtifactsInput!$M$35,Inputs!$B$4&lt;&gt;"Chapter Hunt"),CHOOSE(ArtifactsInput!$N$35+1,15,18,21,24,27,30)*(1-EXP(-(0.2*B451)*5)),0)+IF(AND(ArtifactsInput!$M$22,Inputs!$B$4&lt;&gt;"Chapter Hunt"),CHOOSE(ArtifactsInput!$N$22+1,10,12,14,16,18,20)*((0*(((0.15*B451*5))^0/1)+1*(((0.15*B451*5))^1/1)+2*(((0.15*B451*5))^2/2)+3*(((0.15*B451*5))^3/6)+4*(((0.15*B451*5))^4/24)+5*(((0.15*B451*5))^5/120))/((((0.15*B451*5))^0/1)+(((0.15*B451*5))^1/1)+(((0.15*B451*5))^2/2)+(((0.15*B451*5))^3/6)+(((0.15*B451*5))^4/24)+(((0.15*B451*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19">
      <c r="A419">
        <f>Skills!A4</f>
        <v/>
      </c>
      <c r="B419">
        <f>Skills!B4</f>
        <v/>
      </c>
      <c r="C419">
        <f>Inputs!$B$3&gt;=40</f>
        <v/>
      </c>
      <c r="D419">
        <f>IF(Skills!C4=1,60+Inputs!$B$25+Inputs!$B$29,IF(Skills!C4=2,90+Inputs!$B$26+Inputs!$B$29,IF(Skills!C4=3,120+Inputs!$B$27+Inputs!$B$29,MAX(0,(Inputs!$B$3-100)*3)+Inputs!$B$28+Inputs!$B$29)))</f>
        <v/>
      </c>
      <c r="E419">
        <f>INDEX(FactorTable!$B$2:$Y$301, MATCH(ROUND(MIN(300,MAX(1,D419)),0), FactorTable!$A$2:$A$301,0), Skills!M4+1)</f>
        <v/>
      </c>
      <c r="F419">
        <f>IF(Skills!N4=TRUE,(Skills!L4/10)*(E419/1000),Skills!L4/10)+Skills!O4</f>
        <v/>
      </c>
      <c r="G419">
        <f>Calc!G4</f>
        <v/>
      </c>
      <c r="H419">
        <f>Calc!H4</f>
        <v/>
      </c>
      <c r="I419">
        <f>IF(Skills!AA4&lt;&gt;"",1+(Skills!AA4/10)*(U418/1000)/100,1)</f>
        <v/>
      </c>
      <c r="J419">
        <f>((Inputs!$B$6*(1+Inputs!$B$7/100))+(((Inputs!$B$12*(1+Inputs!$B$13/100))-(Inputs!$B$12*(1+Inputs!$B$13/100)))+0.25*(Inputs!$B$14-Inputs!$B$14))*(1+Inputs!$B$7/100))*(F419/100)</f>
        <v/>
      </c>
      <c r="K419">
        <f>J419*(1+((Inputs!$B$12*(1+Inputs!$B$13/100))*0.01+Inputs!$B$14*0.0025)/100)*(1+Inputs!$B$15/100)*(1+Inputs!$B$16/100)*(5000/(6000+Inputs!$B$43*(1-(100*(1-(1-(Inputs!$B$19+0)/100)*(1-CHOOSE(ArtifactsInput!$N$40+1,5,6,7,8,9,10)/100)^(ArtifactsInput!$M$40-ArtifactsInput!$M$40)))/100)))*(1+(((((1+Inputs!$B$24/100)*(1.01))-1)*100)+((C445=TRUE)*(F445-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438=TRUE)*(F438-Calc!F23))+(((IF(AND(ArtifactsInput!$M$42,((Inputs!$B$9+((C440=TRUE)*(F440-Calc!F25))+B455+(ArtifactsInput!$M$24-ArtifactsInput!$M$24)*CHOOSE(ArtifactsInput!$N$24+1,10,12,14,16,18,20)+IF(ArtifactsInput!$M$10,CHOOSE(ArtifactsInput!$N$10+1,15,18,21,24,27,30)*(IF(Inputs!$B$39="pvp",MIN(15,15)/15,IF(AND(Inputs!$B$39&lt;&gt;"pvp",Inputs!$B$44&gt;0),MIN(15,Inputs!$B$44)/(Inputs!$B$44),0))),0)))&gt;=100),MIN(100,((Inputs!$B$9+((C440=TRUE)*(F440-Calc!F25))+B455+(ArtifactsInput!$M$24-ArtifactsInput!$M$24)*CHOOSE(ArtifactsInput!$N$24+1,10,12,14,16,18,20)+IF(ArtifactsInput!$M$10,CHOOSE(ArtifactsInput!$N$10+1,15,18,21,24,27,30)*(IF(Inputs!$B$39="pvp",MIN(15,15)/15,IF(AND(Inputs!$B$39&lt;&gt;"pvp",Inputs!$B$44&gt;0),MIN(15,Inputs!$B$44)/(Inputs!$B$44),0))),0)))-100),0))*CHOOSE(ArtifactsInput!$N$42+1,0.6,0.72,0.84,0.96,1.08,1.2))),Inputs!$B$18+((C444=TRUE)*(F444-Calc!F29))+(IF(AND(ArtifactsInput!$M$42,((Inputs!$B$9+((C440=TRUE)*(F440-Calc!F25))+B455+(ArtifactsInput!$M$24-ArtifactsInput!$M$24)*CHOOSE(ArtifactsInput!$N$24+1,10,12,14,16,18,20)+IF(ArtifactsInput!$M$10,CHOOSE(ArtifactsInput!$N$10+1,15,18,21,24,27,30)*(IF(Inputs!$B$39="pvp",MIN(15,15)/15,IF(AND(Inputs!$B$39&lt;&gt;"pvp",Inputs!$B$44&gt;0),MIN(15,Inputs!$B$44)/(Inputs!$B$44),0))),0)))&gt;=100),CHOOSE(ArtifactsInput!$N$42+1,40,48,56,64,72,80),0))))/100)*(((1+(((C436=TRUE)*F436*IF(AND(Inputs!$B$39&lt;&gt;"pvp",Inputs!$B$44&gt;0),(((R436-1)*(Skills!Y21*(1+Inputs!$B$34/100))+MIN((Skills!Y21*(1+Inputs!$B$34/100)),MAX(0,Inputs!$B$44-((R436-1)*Skills!D21))))/Inputs!$B$44),IF(Inputs!$B$39="pvp",MIN((Skills!Y21*(1+Inputs!$B$34/100)),15)/15,(Skills!Y21*(1+Inputs!$B$34/100))/Skills!D21)))+((C443=TRUE)*(F443-Calc!F28))+((C433=TRUE)*(F433-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430=TRUE)*F430*IF(AND(Inputs!$B$39&lt;&gt;"pvp",Inputs!$B$44&gt;0),(((R430-1)*(Skills!Y15*(1+Inputs!$B$34/100))+MIN((Skills!Y15*(1+Inputs!$B$34/100)),MAX(0,Inputs!$B$44-((R430-1)*Skills!D15))))/Inputs!$B$44),IF(Inputs!$B$39="pvp",MIN((Skills!Y15*(1+Inputs!$B$34/100)),15)/15,(Skills!Y15*(1+Inputs!$B$34/100))/Skills!D15)))/100)*(1+((C421=TRUE)*F421*B449)/100))*B457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419)</f>
        <v/>
      </c>
      <c r="L419">
        <f>K419*(MIN(Inputs!$B$22+((C439=TRUE)*(F439-Calc!F24)),(Inputs!$B$23+0+(IF(ArtifactsInput!$M$15,CHOOSE(ArtifactsInput!$N$15+1,25,30,35,40,45,50)/100*(Inputs!$B$11-Inputs!$B$11),0))))/100+(Inputs!$B$23+0+(IF(ArtifactsInput!$M$15,CHOOSE(ArtifactsInput!$N$15+1,25,30,35,40,45,50)/100*(Inputs!$B$11-Inputs!$B$11),0)))/100)/2</f>
        <v/>
      </c>
      <c r="M419">
        <f>L419*(1+(Inputs!$B$10+((C441=TRUE)*(F441-Calc!F26))+B458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19">
        <f>L419*(1-MIN((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419*(MIN((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19">
        <f>(1-Summary!$B$11)*T419+Summary!$B$11*V419</f>
        <v/>
      </c>
      <c r="P419">
        <f>IF(B459=0,0,O419/B459)</f>
        <v/>
      </c>
      <c r="Q419">
        <f>IFERROR(1/IF(Inputs!$B$39="pvp",15,MAX(0.1,Skills!D4-IF(Skills!E4=TRUE,Inputs!$B$32,0))),0)</f>
        <v/>
      </c>
      <c r="R419">
        <f>IF(AND(Inputs!$B$39&lt;&gt;"pvp",Inputs!$B$44&gt;0),IF(MAX(0,Inputs!$B$44-B460)&lt;=0,0,(INT(MAX(0,Inputs!$B$44-B460)/IF(Inputs!$B$39="pvp",15,MAX(0.1,Skills!D4-IF(Skills!E4=TRUE,Inputs!$B$32,0))))+1)),0)</f>
        <v/>
      </c>
      <c r="S419">
        <f>IFERROR(O419/N419,0)</f>
        <v/>
      </c>
      <c r="T419">
        <f>IF(C419,(H419*N419*IF(AND(Inputs!$B$39&lt;&gt;"pvp",Inputs!$B$44&gt;0),((Skills!G4*((R419-1)*IF(Skills!H4&gt;0,Skills!I4/Skills!H4,1)+IF(Skills!H4&gt;0,MIN(Skills!I4,MAX(0,MAX(0,Inputs!$B$44-B460)-((R419-1)*IF(Inputs!$B$39="pvp",15,MAX(0.1,Skills!D4-IF(Skills!E4=TRUE,Inputs!$B$32,0))))))/Skills!H4,1)))/Inputs!$B$44),G419*Q419))*IF(Inputs!$B$39="pvp",1,1+(Inputs!$B$20+((C442=TRUE)*(F442-Calc!F27))+Skills!P4+B456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Hunt"),CHOOSE(ArtifactsInput!$N$35+1,15,18,21,24,27,30)*(1-EXP(-(0.2*B451)*5)),0)+IF(AND(ArtifactsInput!$M$22,Inputs!$B$4&lt;&gt;"Chapter Hunt"),CHOOSE(ArtifactsInput!$N$22+1,10,12,14,16,18,20)*((0*(((0.15*B451*5))^0/1)+1*(((0.15*B451*5))^1/1)+2*(((0.15*B451*5))^2/2)+3*(((0.15*B451*5))^3/6)+4*(((0.15*B451*5))^4/24)+5*(((0.15*B451*5))^5/120))/((((0.15*B451*5))^0/1)+(((0.15*B451*5))^1/1)+(((0.15*B451*5))^2/2)+(((0.15*B451*5))^3/6)+(((0.15*B451*5))^4/24)+(((0.15*B451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419*(1-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419*(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419*(1-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419*(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19">
        <f>MAX(0,(Inputs!$B$3-100)*3)+Inputs!$B$28+Inputs!$B$29</f>
        <v/>
      </c>
      <c r="V419">
        <f>IF(C419,(H419*N419*IF(AND(Inputs!$B$39&lt;&gt;"pvp",Inputs!$B$44&gt;0),((Skills!G4*((R419-1)*IF(Skills!H4&gt;0,Skills!I4/Skills!H4,1)+IF(Skills!H4&gt;0,MIN(Skills!I4,MAX(0,MAX(0,Inputs!$B$44-B460)-((R419-1)*IF(Inputs!$B$39="pvp",15,MAX(0.1,Skills!D4-IF(Skills!E4=TRUE,Inputs!$B$32,0))))))/Skills!H4,1)))/Inputs!$B$44),G419*Q419))*IF(Inputs!$B$39="pvp",1,(1+(Inputs!$B$21+Skills!Q4+B456+(IF(ArtifactsInput!$M$33,CHOOSE(ArtifactsInput!$N$33+1,30,36,42,48,54,60),0))+(IF(AND(ArtifactsInput!$M$35,Inputs!$B$4&lt;&gt;"Chapter Hunt"),CHOOSE(ArtifactsInput!$N$35+1,15,18,21,24,27,30)*(1-EXP(-(0.2*B451)*5)),0)+IF(AND(ArtifactsInput!$M$22,Inputs!$B$4&lt;&gt;"Chapter Hunt"),CHOOSE(ArtifactsInput!$N$22+1,10,12,14,16,18,20)*((0*(((0.15*B451*5))^0/1)+1*(((0.15*B451*5))^1/1)+2*(((0.15*B451*5))^2/2)+3*(((0.15*B451*5))^3/6)+4*(((0.15*B451*5))^4/24)+5*(((0.15*B451*5))^5/120))/((((0.15*B451*5))^0/1)+(((0.15*B451*5))^1/1)+(((0.15*B451*5))^2/2)+(((0.15*B451*5))^3/6)+(((0.15*B451*5))^4/24)+(((0.15*B451*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20">
      <c r="A420">
        <f>Skills!A5</f>
        <v/>
      </c>
      <c r="B420">
        <f>Skills!B5</f>
        <v/>
      </c>
      <c r="C420">
        <f>Inputs!$B$3&gt;=63</f>
        <v/>
      </c>
      <c r="D420">
        <f>IF(Skills!C5=1,60+Inputs!$B$25+Inputs!$B$29,IF(Skills!C5=2,90+Inputs!$B$26+Inputs!$B$29,IF(Skills!C5=3,120+Inputs!$B$27+Inputs!$B$29,MAX(0,(Inputs!$B$3-100)*3)+Inputs!$B$28+Inputs!$B$29)))</f>
        <v/>
      </c>
      <c r="E420">
        <f>INDEX(FactorTable!$B$2:$Y$301, MATCH(ROUND(MIN(300,MAX(1,D420)),0), FactorTable!$A$2:$A$301,0), Skills!M5+1)</f>
        <v/>
      </c>
      <c r="F420">
        <f>IF(Skills!N5=TRUE,(Skills!L5/10)*(E420/1000),Skills!L5/10)+Skills!O5</f>
        <v/>
      </c>
      <c r="G420">
        <f>Calc!G5</f>
        <v/>
      </c>
      <c r="H420">
        <f>Calc!H5</f>
        <v/>
      </c>
      <c r="I420">
        <f>IF(Skills!AA5&lt;&gt;"",1+(Skills!AA5/10)*(U418/1000)/100,1)</f>
        <v/>
      </c>
      <c r="J420">
        <f>((Inputs!$B$6*(1+Inputs!$B$7/100))+(((Inputs!$B$12*(1+Inputs!$B$13/100))-(Inputs!$B$12*(1+Inputs!$B$13/100)))+0.25*(Inputs!$B$14-Inputs!$B$14))*(1+Inputs!$B$7/100))*(F420/100)</f>
        <v/>
      </c>
      <c r="K420">
        <f>J420*(1+((Inputs!$B$12*(1+Inputs!$B$13/100))*0.01+Inputs!$B$14*0.0025)/100)*(1+Inputs!$B$15/100)*(1+Inputs!$B$16/100)*(5000/(6000+Inputs!$B$43*(1-(100*(1-(1-(Inputs!$B$19+0)/100)*(1-CHOOSE(ArtifactsInput!$N$40+1,5,6,7,8,9,10)/100)^(ArtifactsInput!$M$40-ArtifactsInput!$M$40)))/100)))*(1+(((((1+Inputs!$B$24/100)*(1.01))-1)*100)+((C445=TRUE)*(F445-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438=TRUE)*(F438-Calc!F23))+(((IF(AND(ArtifactsInput!$M$42,((Inputs!$B$9+((C440=TRUE)*(F440-Calc!F25))+B455+(ArtifactsInput!$M$24-ArtifactsInput!$M$24)*CHOOSE(ArtifactsInput!$N$24+1,10,12,14,16,18,20)+IF(ArtifactsInput!$M$10,CHOOSE(ArtifactsInput!$N$10+1,15,18,21,24,27,30)*(IF(Inputs!$B$39="pvp",MIN(15,15)/15,IF(AND(Inputs!$B$39&lt;&gt;"pvp",Inputs!$B$44&gt;0),MIN(15,Inputs!$B$44)/(Inputs!$B$44),0))),0)))&gt;=100),MIN(100,((Inputs!$B$9+((C440=TRUE)*(F440-Calc!F25))+B455+(ArtifactsInput!$M$24-ArtifactsInput!$M$24)*CHOOSE(ArtifactsInput!$N$24+1,10,12,14,16,18,20)+IF(ArtifactsInput!$M$10,CHOOSE(ArtifactsInput!$N$10+1,15,18,21,24,27,30)*(IF(Inputs!$B$39="pvp",MIN(15,15)/15,IF(AND(Inputs!$B$39&lt;&gt;"pvp",Inputs!$B$44&gt;0),MIN(15,Inputs!$B$44)/(Inputs!$B$44),0))),0)))-100),0))*CHOOSE(ArtifactsInput!$N$42+1,0.6,0.72,0.84,0.96,1.08,1.2))),Inputs!$B$18+((C444=TRUE)*(F444-Calc!F29))+(IF(AND(ArtifactsInput!$M$42,((Inputs!$B$9+((C440=TRUE)*(F440-Calc!F25))+B455+(ArtifactsInput!$M$24-ArtifactsInput!$M$24)*CHOOSE(ArtifactsInput!$N$24+1,10,12,14,16,18,20)+IF(ArtifactsInput!$M$10,CHOOSE(ArtifactsInput!$N$10+1,15,18,21,24,27,30)*(IF(Inputs!$B$39="pvp",MIN(15,15)/15,IF(AND(Inputs!$B$39&lt;&gt;"pvp",Inputs!$B$44&gt;0),MIN(15,Inputs!$B$44)/(Inputs!$B$44),0))),0)))&gt;=100),CHOOSE(ArtifactsInput!$N$42+1,40,48,56,64,72,80),0))))/100)*(((1+(((C436=TRUE)*F436*IF(AND(Inputs!$B$39&lt;&gt;"pvp",Inputs!$B$44&gt;0),(((R436-1)*(Skills!Y21*(1+Inputs!$B$34/100))+MIN((Skills!Y21*(1+Inputs!$B$34/100)),MAX(0,Inputs!$B$44-((R436-1)*Skills!D21))))/Inputs!$B$44),IF(Inputs!$B$39="pvp",MIN((Skills!Y21*(1+Inputs!$B$34/100)),15)/15,(Skills!Y21*(1+Inputs!$B$34/100))/Skills!D21)))+((C443=TRUE)*(F443-Calc!F28))+((C433=TRUE)*(F433-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430=TRUE)*F430*IF(AND(Inputs!$B$39&lt;&gt;"pvp",Inputs!$B$44&gt;0),(((R430-1)*(Skills!Y15*(1+Inputs!$B$34/100))+MIN((Skills!Y15*(1+Inputs!$B$34/100)),MAX(0,Inputs!$B$44-((R430-1)*Skills!D15))))/Inputs!$B$44),IF(Inputs!$B$39="pvp",MIN((Skills!Y15*(1+Inputs!$B$34/100)),15)/15,(Skills!Y15*(1+Inputs!$B$34/100))/Skills!D15)))/100)*(1+((C421=TRUE)*F421*B449)/100))*B457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420)</f>
        <v/>
      </c>
      <c r="L420">
        <f>K420*(MIN(Inputs!$B$22+((C439=TRUE)*(F439-Calc!F24)),(Inputs!$B$23+0+(IF(ArtifactsInput!$M$15,CHOOSE(ArtifactsInput!$N$15+1,25,30,35,40,45,50)/100*(Inputs!$B$11-Inputs!$B$11),0))))/100+(Inputs!$B$23+0+(IF(ArtifactsInput!$M$15,CHOOSE(ArtifactsInput!$N$15+1,25,30,35,40,45,50)/100*(Inputs!$B$11-Inputs!$B$11),0)))/100)/2</f>
        <v/>
      </c>
      <c r="M420">
        <f>L420*(1+(Inputs!$B$10+((C441=TRUE)*(F441-Calc!F26))+B458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20">
        <f>L420*(1-MIN((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420*(MIN((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20">
        <f>(1-Summary!$B$11)*T420+Summary!$B$11*V420</f>
        <v/>
      </c>
      <c r="P420">
        <f>IF(B459=0,0,O420/B459)</f>
        <v/>
      </c>
      <c r="Q420">
        <f>IFERROR(1/IF(Inputs!$B$39="pvp",15,MAX(0.1,Skills!D5-IF(Skills!E5=TRUE,Inputs!$B$32,0))),0)</f>
        <v/>
      </c>
      <c r="R420">
        <f>IF(AND(Inputs!$B$39&lt;&gt;"pvp",Inputs!$B$44&gt;0),IF(MAX(0,Inputs!$B$44-B460)&lt;=0,0,(INT(MAX(0,Inputs!$B$44-B460)/IF(Inputs!$B$39="pvp",15,MAX(0.1,Skills!D5-IF(Skills!E5=TRUE,Inputs!$B$32,0))))+1)),0)</f>
        <v/>
      </c>
      <c r="S420">
        <f>IFERROR(O420/N420,0)</f>
        <v/>
      </c>
      <c r="T420">
        <f>IF(C420,(H420*N420*IF(AND(Inputs!$B$39&lt;&gt;"pvp",Inputs!$B$44&gt;0),((Skills!G5*((R420-1)*IF(Skills!H5&gt;0,Skills!I5/Skills!H5,1)+IF(Skills!H5&gt;0,MIN(Skills!I5,MAX(0,MAX(0,Inputs!$B$44-B460)-((R420-1)*IF(Inputs!$B$39="pvp",15,MAX(0.1,Skills!D5-IF(Skills!E5=TRUE,Inputs!$B$32,0))))))/Skills!H5,1)))/Inputs!$B$44),G420*Q420))*IF(Inputs!$B$39="pvp",1,1+(Inputs!$B$20+((C442=TRUE)*(F442-Calc!F27))+Skills!P5+B456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Hunt"),CHOOSE(ArtifactsInput!$N$35+1,15,18,21,24,27,30)*(1-EXP(-(0.2*B451)*5)),0)+IF(AND(ArtifactsInput!$M$22,Inputs!$B$4&lt;&gt;"Chapter Hunt"),CHOOSE(ArtifactsInput!$N$22+1,10,12,14,16,18,20)*((0*(((0.15*B451*5))^0/1)+1*(((0.15*B451*5))^1/1)+2*(((0.15*B451*5))^2/2)+3*(((0.15*B451*5))^3/6)+4*(((0.15*B451*5))^4/24)+5*(((0.15*B451*5))^5/120))/((((0.15*B451*5))^0/1)+(((0.15*B451*5))^1/1)+(((0.15*B451*5))^2/2)+(((0.15*B451*5))^3/6)+(((0.15*B451*5))^4/24)+(((0.15*B451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420*(1-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420*(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420*(1-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420*(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20">
        <f>INDEX(FactorTable!$B$2:$Y$301, MATCH(ROUND(MIN(300,MAX(1,U419)),0), FactorTable!$A$2:$A$301,0), 22)</f>
        <v/>
      </c>
      <c r="V420">
        <f>IF(C420,(H420*N420*IF(AND(Inputs!$B$39&lt;&gt;"pvp",Inputs!$B$44&gt;0),((Skills!G5*((R420-1)*IF(Skills!H5&gt;0,Skills!I5/Skills!H5,1)+IF(Skills!H5&gt;0,MIN(Skills!I5,MAX(0,MAX(0,Inputs!$B$44-B460)-((R420-1)*IF(Inputs!$B$39="pvp",15,MAX(0.1,Skills!D5-IF(Skills!E5=TRUE,Inputs!$B$32,0))))))/Skills!H5,1)))/Inputs!$B$44),G420*Q420))*IF(Inputs!$B$39="pvp",1,(1+(Inputs!$B$21+Skills!Q5+B456+(IF(ArtifactsInput!$M$33,CHOOSE(ArtifactsInput!$N$33+1,30,36,42,48,54,60),0))+(IF(AND(ArtifactsInput!$M$35,Inputs!$B$4&lt;&gt;"Chapter Hunt"),CHOOSE(ArtifactsInput!$N$35+1,15,18,21,24,27,30)*(1-EXP(-(0.2*B451)*5)),0)+IF(AND(ArtifactsInput!$M$22,Inputs!$B$4&lt;&gt;"Chapter Hunt"),CHOOSE(ArtifactsInput!$N$22+1,10,12,14,16,18,20)*((0*(((0.15*B451*5))^0/1)+1*(((0.15*B451*5))^1/1)+2*(((0.15*B451*5))^2/2)+3*(((0.15*B451*5))^3/6)+4*(((0.15*B451*5))^4/24)+5*(((0.15*B451*5))^5/120))/((((0.15*B451*5))^0/1)+(((0.15*B451*5))^1/1)+(((0.15*B451*5))^2/2)+(((0.15*B451*5))^3/6)+(((0.15*B451*5))^4/24)+(((0.15*B451*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21">
      <c r="A421">
        <f>Skills!A6</f>
        <v/>
      </c>
      <c r="B421">
        <f>Skills!B6</f>
        <v/>
      </c>
      <c r="C421">
        <f>Inputs!$B$3&gt;=66</f>
        <v/>
      </c>
      <c r="D421">
        <f>IF(Skills!C6=1,60+Inputs!$B$25+Inputs!$B$29,IF(Skills!C6=2,90+Inputs!$B$26+Inputs!$B$29,IF(Skills!C6=3,120+Inputs!$B$27+Inputs!$B$29,MAX(0,(Inputs!$B$3-100)*3)+Inputs!$B$28+Inputs!$B$29)))</f>
        <v/>
      </c>
      <c r="E421">
        <f>INDEX(FactorTable!$B$2:$Y$301, MATCH(ROUND(MIN(300,MAX(1,D421)),0), FactorTable!$A$2:$A$301,0), Skills!M6+1)</f>
        <v/>
      </c>
      <c r="F421">
        <f>IF(Skills!N6=TRUE,(Skills!L6/10)*(E421/1000),Skills!L6/10)+Skills!O6</f>
        <v/>
      </c>
      <c r="G421">
        <f>Calc!G6</f>
        <v/>
      </c>
      <c r="H421">
        <f>Calc!H6</f>
        <v/>
      </c>
      <c r="I421">
        <f>IF(Skills!AA6&lt;&gt;"",1+(Skills!AA6/10)*(U418/1000)/100,1)</f>
        <v/>
      </c>
      <c r="J421" t="inlineStr"/>
      <c r="K421" t="inlineStr"/>
      <c r="L421" t="inlineStr"/>
      <c r="M421" t="inlineStr"/>
      <c r="N421" t="inlineStr"/>
      <c r="O421">
        <f>(1-Summary!$B$11)*T421+Summary!$B$11*V421</f>
        <v/>
      </c>
      <c r="P421">
        <f>IF(B459=0,0,O421/B459)</f>
        <v/>
      </c>
      <c r="Q421" t="n">
        <v>0</v>
      </c>
      <c r="R421" t="n">
        <v>0</v>
      </c>
      <c r="S421">
        <f>IFERROR(O421/N421,0)</f>
        <v/>
      </c>
      <c r="T421" t="n">
        <v>0</v>
      </c>
      <c r="U421">
        <f>290*U420/1000</f>
        <v/>
      </c>
      <c r="V421" t="n">
        <v>0</v>
      </c>
    </row>
    <row r="422">
      <c r="A422">
        <f>Skills!A7</f>
        <v/>
      </c>
      <c r="B422">
        <f>Skills!B7</f>
        <v/>
      </c>
      <c r="C422">
        <f>Inputs!$B$3&gt;=66</f>
        <v/>
      </c>
      <c r="D422">
        <f>IF(Skills!C7=1,60+Inputs!$B$25+Inputs!$B$29,IF(Skills!C7=2,90+Inputs!$B$26+Inputs!$B$29,IF(Skills!C7=3,120+Inputs!$B$27+Inputs!$B$29,MAX(0,(Inputs!$B$3-100)*3)+Inputs!$B$28+Inputs!$B$29)))</f>
        <v/>
      </c>
      <c r="E422">
        <f>INDEX(FactorTable!$B$2:$Y$301, MATCH(ROUND(MIN(300,MAX(1,D422)),0), FactorTable!$A$2:$A$301,0), Skills!M7+1)</f>
        <v/>
      </c>
      <c r="F422">
        <f>IF(Skills!N7=TRUE,(Skills!L7/10)*(E422/1000),Skills!L7/10)+Skills!O7</f>
        <v/>
      </c>
      <c r="G422">
        <f>Calc!G7</f>
        <v/>
      </c>
      <c r="H422">
        <f>Calc!H7</f>
        <v/>
      </c>
      <c r="I422">
        <f>IF(Skills!AA7&lt;&gt;"",1+(Skills!AA7/10)*(U418/1000)/100,1)</f>
        <v/>
      </c>
      <c r="J422" t="inlineStr"/>
      <c r="K422" t="inlineStr"/>
      <c r="L422" t="inlineStr"/>
      <c r="M422" t="inlineStr"/>
      <c r="N422" t="inlineStr"/>
      <c r="O422">
        <f>(1-Summary!$B$11)*T422+Summary!$B$11*V422</f>
        <v/>
      </c>
      <c r="P422">
        <f>IF(B459=0,0,O422/B459)</f>
        <v/>
      </c>
      <c r="Q422" t="n">
        <v>0</v>
      </c>
      <c r="R422" t="n">
        <v>0</v>
      </c>
      <c r="S422">
        <f>IFERROR(O422/N422,0)</f>
        <v/>
      </c>
      <c r="T422" t="n">
        <v>0</v>
      </c>
      <c r="V422" t="n">
        <v>0</v>
      </c>
    </row>
    <row r="423">
      <c r="A423">
        <f>Skills!A8</f>
        <v/>
      </c>
      <c r="B423">
        <f>Skills!B8</f>
        <v/>
      </c>
      <c r="C423">
        <f>Inputs!$B$3&gt;=69</f>
        <v/>
      </c>
      <c r="D423">
        <f>IF(Skills!C8=1,60+Inputs!$B$25+Inputs!$B$29,IF(Skills!C8=2,90+Inputs!$B$26+Inputs!$B$29,IF(Skills!C8=3,120+Inputs!$B$27+Inputs!$B$29,MAX(0,(Inputs!$B$3-100)*3)+Inputs!$B$28+Inputs!$B$29)))</f>
        <v/>
      </c>
      <c r="E423">
        <f>INDEX(FactorTable!$B$2:$Y$301, MATCH(ROUND(MIN(300,MAX(1,D423)),0), FactorTable!$A$2:$A$301,0), Skills!M8+1)</f>
        <v/>
      </c>
      <c r="F423">
        <f>IF(Skills!N8=TRUE,(Skills!L8/10)*(E423/1000),Skills!L8/10)+Skills!O8</f>
        <v/>
      </c>
      <c r="G423">
        <f>Calc!G8</f>
        <v/>
      </c>
      <c r="H423">
        <f>Calc!H8</f>
        <v/>
      </c>
      <c r="I423">
        <f>IF(Skills!AA8&lt;&gt;"",1+(Skills!AA8/10)*(U418/1000)/100,1)</f>
        <v/>
      </c>
      <c r="J423">
        <f>((Inputs!$B$6*(1+Inputs!$B$7/100))+(((Inputs!$B$12*(1+Inputs!$B$13/100))-(Inputs!$B$12*(1+Inputs!$B$13/100)))+0.25*(Inputs!$B$14-Inputs!$B$14))*(1+Inputs!$B$7/100))*(F423/100)</f>
        <v/>
      </c>
      <c r="K423">
        <f>J423*(1+((Inputs!$B$12*(1+Inputs!$B$13/100))*0.01+Inputs!$B$14*0.0025)/100)*(1+Inputs!$B$15/100)*(1+Inputs!$B$16/100)*(5000/(6000+Inputs!$B$43*(1-(100*(1-(1-(Inputs!$B$19+0)/100)*(1-CHOOSE(ArtifactsInput!$N$40+1,5,6,7,8,9,10)/100)^(ArtifactsInput!$M$40-ArtifactsInput!$M$40)))/100)))*(1+(((((1+Inputs!$B$24/100)*(1.01))-1)*100)+((C445=TRUE)*(F445-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438=TRUE)*(F438-Calc!F23))+(((IF(AND(ArtifactsInput!$M$42,((Inputs!$B$9+((C440=TRUE)*(F440-Calc!F25))+B455+(ArtifactsInput!$M$24-ArtifactsInput!$M$24)*CHOOSE(ArtifactsInput!$N$24+1,10,12,14,16,18,20)+IF(ArtifactsInput!$M$10,CHOOSE(ArtifactsInput!$N$10+1,15,18,21,24,27,30)*(IF(Inputs!$B$39="pvp",MIN(15,15)/15,IF(AND(Inputs!$B$39&lt;&gt;"pvp",Inputs!$B$44&gt;0),MIN(15,Inputs!$B$44)/(Inputs!$B$44),0))),0)))&gt;=100),MIN(100,((Inputs!$B$9+((C440=TRUE)*(F440-Calc!F25))+B455+(ArtifactsInput!$M$24-ArtifactsInput!$M$24)*CHOOSE(ArtifactsInput!$N$24+1,10,12,14,16,18,20)+IF(ArtifactsInput!$M$10,CHOOSE(ArtifactsInput!$N$10+1,15,18,21,24,27,30)*(IF(Inputs!$B$39="pvp",MIN(15,15)/15,IF(AND(Inputs!$B$39&lt;&gt;"pvp",Inputs!$B$44&gt;0),MIN(15,Inputs!$B$44)/(Inputs!$B$44),0))),0)))-100),0))*CHOOSE(ArtifactsInput!$N$42+1,0.6,0.72,0.84,0.96,1.08,1.2))),Inputs!$B$18+((C444=TRUE)*(F444-Calc!F29))+(IF(AND(ArtifactsInput!$M$42,((Inputs!$B$9+((C440=TRUE)*(F440-Calc!F25))+B455+(ArtifactsInput!$M$24-ArtifactsInput!$M$24)*CHOOSE(ArtifactsInput!$N$24+1,10,12,14,16,18,20)+IF(ArtifactsInput!$M$10,CHOOSE(ArtifactsInput!$N$10+1,15,18,21,24,27,30)*(IF(Inputs!$B$39="pvp",MIN(15,15)/15,IF(AND(Inputs!$B$39&lt;&gt;"pvp",Inputs!$B$44&gt;0),MIN(15,Inputs!$B$44)/(Inputs!$B$44),0))),0)))&gt;=100),CHOOSE(ArtifactsInput!$N$42+1,40,48,56,64,72,80),0))))/100)*(((1+(((C436=TRUE)*F436*IF(AND(Inputs!$B$39&lt;&gt;"pvp",Inputs!$B$44&gt;0),(((R436-1)*(Skills!Y21*(1+Inputs!$B$34/100))+MIN((Skills!Y21*(1+Inputs!$B$34/100)),MAX(0,Inputs!$B$44-((R436-1)*Skills!D21))))/Inputs!$B$44),IF(Inputs!$B$39="pvp",MIN((Skills!Y21*(1+Inputs!$B$34/100)),15)/15,(Skills!Y21*(1+Inputs!$B$34/100))/Skills!D21)))+((C443=TRUE)*(F443-Calc!F28))+((C433=TRUE)*(F433-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430=TRUE)*F430*IF(AND(Inputs!$B$39&lt;&gt;"pvp",Inputs!$B$44&gt;0),(((R430-1)*(Skills!Y15*(1+Inputs!$B$34/100))+MIN((Skills!Y15*(1+Inputs!$B$34/100)),MAX(0,Inputs!$B$44-((R430-1)*Skills!D15))))/Inputs!$B$44),IF(Inputs!$B$39="pvp",MIN((Skills!Y15*(1+Inputs!$B$34/100)),15)/15,(Skills!Y15*(1+Inputs!$B$34/100))/Skills!D15)))/100)*(1+((C421=TRUE)*F421*B449)/100))*B457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423)</f>
        <v/>
      </c>
      <c r="L423">
        <f>K423*(MIN(Inputs!$B$22+((C439=TRUE)*(F439-Calc!F24)),(Inputs!$B$23+0+(IF(ArtifactsInput!$M$15,CHOOSE(ArtifactsInput!$N$15+1,25,30,35,40,45,50)/100*(Inputs!$B$11-Inputs!$B$11),0))))/100+(Inputs!$B$23+0+(IF(ArtifactsInput!$M$15,CHOOSE(ArtifactsInput!$N$15+1,25,30,35,40,45,50)/100*(Inputs!$B$11-Inputs!$B$11),0)))/100)/2</f>
        <v/>
      </c>
      <c r="M423">
        <f>L423*(1+(Inputs!$B$10+((C441=TRUE)*(F441-Calc!F26))+B458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23">
        <f>L423*(1-MIN((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423*(MIN((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23">
        <f>(1-Summary!$B$11)*T423+Summary!$B$11*V423</f>
        <v/>
      </c>
      <c r="P423">
        <f>IF(B459=0,0,O423/B459)</f>
        <v/>
      </c>
      <c r="Q423">
        <f>IFERROR(1/IF(Inputs!$B$39="pvp",15,MAX(0.1,Skills!D8-IF(Skills!E8=TRUE,Inputs!$B$32,0))),0)</f>
        <v/>
      </c>
      <c r="R423">
        <f>IF(AND(Inputs!$B$39&lt;&gt;"pvp",Inputs!$B$44&gt;0),IF(MAX(0,Inputs!$B$44-B460)&lt;=0,0,(INT(MAX(0,Inputs!$B$44-B460)/IF(Inputs!$B$39="pvp",15,MAX(0.1,Skills!D8-IF(Skills!E8=TRUE,Inputs!$B$32,0))))+1)),0)</f>
        <v/>
      </c>
      <c r="S423">
        <f>IFERROR(O423/N423,0)</f>
        <v/>
      </c>
      <c r="T423">
        <f>IF(C423,(H423*N423*IF(AND(Inputs!$B$39&lt;&gt;"pvp",Inputs!$B$44&gt;0),((Skills!G8*((R423-1)*IF(Skills!H8&gt;0,Skills!I8/Skills!H8,1)+IF(Skills!H8&gt;0,MIN(Skills!I8,MAX(0,MAX(0,Inputs!$B$44-B460)-((R423-1)*IF(Inputs!$B$39="pvp",15,MAX(0.1,Skills!D8-IF(Skills!E8=TRUE,Inputs!$B$32,0))))))/Skills!H8,1)))/Inputs!$B$44),G423*Q423))*IF(Inputs!$B$39="pvp",1,1+(Inputs!$B$20+((C442=TRUE)*(F442-Calc!F27))+Skills!P8+B456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Hunt"),CHOOSE(ArtifactsInput!$N$35+1,15,18,21,24,27,30)*(1-EXP(-(0.2*B451)*5)),0)+IF(AND(ArtifactsInput!$M$22,Inputs!$B$4&lt;&gt;"Chapter Hunt"),CHOOSE(ArtifactsInput!$N$22+1,10,12,14,16,18,20)*((0*(((0.15*B451*5))^0/1)+1*(((0.15*B451*5))^1/1)+2*(((0.15*B451*5))^2/2)+3*(((0.15*B451*5))^3/6)+4*(((0.15*B451*5))^4/24)+5*(((0.15*B451*5))^5/120))/((((0.15*B451*5))^0/1)+(((0.15*B451*5))^1/1)+(((0.15*B451*5))^2/2)+(((0.15*B451*5))^3/6)+(((0.15*B451*5))^4/24)+(((0.15*B451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423*(1-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423*(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423*(1-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423*(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23">
        <f>IF(C423,(H423*N423*IF(AND(Inputs!$B$39&lt;&gt;"pvp",Inputs!$B$44&gt;0),((Skills!G8*((R423-1)*IF(Skills!H8&gt;0,Skills!I8/Skills!H8,1)+IF(Skills!H8&gt;0,MIN(Skills!I8,MAX(0,MAX(0,Inputs!$B$44-B460)-((R423-1)*IF(Inputs!$B$39="pvp",15,MAX(0.1,Skills!D8-IF(Skills!E8=TRUE,Inputs!$B$32,0))))))/Skills!H8,1)))/Inputs!$B$44),G423*Q423))*IF(Inputs!$B$39="pvp",1,(1+(Inputs!$B$21+Skills!Q8+B456+(IF(ArtifactsInput!$M$33,CHOOSE(ArtifactsInput!$N$33+1,30,36,42,48,54,60),0))+(IF(AND(ArtifactsInput!$M$35,Inputs!$B$4&lt;&gt;"Chapter Hunt"),CHOOSE(ArtifactsInput!$N$35+1,15,18,21,24,27,30)*(1-EXP(-(0.2*B451)*5)),0)+IF(AND(ArtifactsInput!$M$22,Inputs!$B$4&lt;&gt;"Chapter Hunt"),CHOOSE(ArtifactsInput!$N$22+1,10,12,14,16,18,20)*((0*(((0.15*B451*5))^0/1)+1*(((0.15*B451*5))^1/1)+2*(((0.15*B451*5))^2/2)+3*(((0.15*B451*5))^3/6)+4*(((0.15*B451*5))^4/24)+5*(((0.15*B451*5))^5/120))/((((0.15*B451*5))^0/1)+(((0.15*B451*5))^1/1)+(((0.15*B451*5))^2/2)+(((0.15*B451*5))^3/6)+(((0.15*B451*5))^4/24)+(((0.15*B451*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24">
      <c r="A424">
        <f>Skills!A9</f>
        <v/>
      </c>
      <c r="B424">
        <f>Skills!B9</f>
        <v/>
      </c>
      <c r="C424">
        <f>Inputs!$B$3&gt;=72</f>
        <v/>
      </c>
      <c r="D424">
        <f>IF(Skills!C9=1,60+Inputs!$B$25+Inputs!$B$29,IF(Skills!C9=2,90+Inputs!$B$26+Inputs!$B$29,IF(Skills!C9=3,120+Inputs!$B$27+Inputs!$B$29,MAX(0,(Inputs!$B$3-100)*3)+Inputs!$B$28+Inputs!$B$29)))</f>
        <v/>
      </c>
      <c r="E424">
        <f>INDEX(FactorTable!$B$2:$Y$301, MATCH(ROUND(MIN(300,MAX(1,D424)),0), FactorTable!$A$2:$A$301,0), Skills!M9+1)</f>
        <v/>
      </c>
      <c r="F424">
        <f>IF(Skills!N9=TRUE,(Skills!L9/10)*(E424/1000),Skills!L9/10)+Skills!O9</f>
        <v/>
      </c>
      <c r="G424">
        <f>Calc!G9</f>
        <v/>
      </c>
      <c r="H424">
        <f>Calc!H9</f>
        <v/>
      </c>
      <c r="I424">
        <f>IF(Skills!AA9&lt;&gt;"",1+(Skills!AA9/10)*(U418/1000)/100,1)</f>
        <v/>
      </c>
      <c r="J424">
        <f>((Inputs!$B$6*(1+Inputs!$B$7/100))+(((Inputs!$B$12*(1+Inputs!$B$13/100))-(Inputs!$B$12*(1+Inputs!$B$13/100)))+0.25*(Inputs!$B$14-Inputs!$B$14))*(1+Inputs!$B$7/100))*(F424/100)</f>
        <v/>
      </c>
      <c r="K424">
        <f>J424*(1+((Inputs!$B$12*(1+Inputs!$B$13/100))*0.01+Inputs!$B$14*0.0025)/100)*(1+Inputs!$B$15/100)*(1+Inputs!$B$16/100)*(5000/(6000+Inputs!$B$43*(1-(100*(1-(1-(Inputs!$B$19+0)/100)*(1-CHOOSE(ArtifactsInput!$N$40+1,5,6,7,8,9,10)/100)^(ArtifactsInput!$M$40-ArtifactsInput!$M$40)))/100)))*(1+(((((1+Inputs!$B$24/100)*(1.01))-1)*100)+((C445=TRUE)*(F445-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438=TRUE)*(F438-Calc!F23))+(((IF(AND(ArtifactsInput!$M$42,((Inputs!$B$9+((C440=TRUE)*(F440-Calc!F25))+B455+(ArtifactsInput!$M$24-ArtifactsInput!$M$24)*CHOOSE(ArtifactsInput!$N$24+1,10,12,14,16,18,20)+IF(ArtifactsInput!$M$10,CHOOSE(ArtifactsInput!$N$10+1,15,18,21,24,27,30)*(IF(Inputs!$B$39="pvp",MIN(15,15)/15,IF(AND(Inputs!$B$39&lt;&gt;"pvp",Inputs!$B$44&gt;0),MIN(15,Inputs!$B$44)/(Inputs!$B$44),0))),0)))&gt;=100),MIN(100,((Inputs!$B$9+((C440=TRUE)*(F440-Calc!F25))+B455+(ArtifactsInput!$M$24-ArtifactsInput!$M$24)*CHOOSE(ArtifactsInput!$N$24+1,10,12,14,16,18,20)+IF(ArtifactsInput!$M$10,CHOOSE(ArtifactsInput!$N$10+1,15,18,21,24,27,30)*(IF(Inputs!$B$39="pvp",MIN(15,15)/15,IF(AND(Inputs!$B$39&lt;&gt;"pvp",Inputs!$B$44&gt;0),MIN(15,Inputs!$B$44)/(Inputs!$B$44),0))),0)))-100),0))*CHOOSE(ArtifactsInput!$N$42+1,0.6,0.72,0.84,0.96,1.08,1.2))),Inputs!$B$18+((C444=TRUE)*(F444-Calc!F29))+(IF(AND(ArtifactsInput!$M$42,((Inputs!$B$9+((C440=TRUE)*(F440-Calc!F25))+B455+(ArtifactsInput!$M$24-ArtifactsInput!$M$24)*CHOOSE(ArtifactsInput!$N$24+1,10,12,14,16,18,20)+IF(ArtifactsInput!$M$10,CHOOSE(ArtifactsInput!$N$10+1,15,18,21,24,27,30)*(IF(Inputs!$B$39="pvp",MIN(15,15)/15,IF(AND(Inputs!$B$39&lt;&gt;"pvp",Inputs!$B$44&gt;0),MIN(15,Inputs!$B$44)/(Inputs!$B$44),0))),0)))&gt;=100),CHOOSE(ArtifactsInput!$N$42+1,40,48,56,64,72,80),0))))/100)*(((1+(((C436=TRUE)*F436*IF(AND(Inputs!$B$39&lt;&gt;"pvp",Inputs!$B$44&gt;0),(((R436-1)*(Skills!Y21*(1+Inputs!$B$34/100))+MIN((Skills!Y21*(1+Inputs!$B$34/100)),MAX(0,Inputs!$B$44-((R436-1)*Skills!D21))))/Inputs!$B$44),IF(Inputs!$B$39="pvp",MIN((Skills!Y21*(1+Inputs!$B$34/100)),15)/15,(Skills!Y21*(1+Inputs!$B$34/100))/Skills!D21)))+((C443=TRUE)*(F443-Calc!F28))+((C433=TRUE)*(F433-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430=TRUE)*F430*IF(AND(Inputs!$B$39&lt;&gt;"pvp",Inputs!$B$44&gt;0),(((R430-1)*(Skills!Y15*(1+Inputs!$B$34/100))+MIN((Skills!Y15*(1+Inputs!$B$34/100)),MAX(0,Inputs!$B$44-((R430-1)*Skills!D15))))/Inputs!$B$44),IF(Inputs!$B$39="pvp",MIN((Skills!Y15*(1+Inputs!$B$34/100)),15)/15,(Skills!Y15*(1+Inputs!$B$34/100))/Skills!D15)))/100)*(1+((C421=TRUE)*F421*B449)/100))*B457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424)</f>
        <v/>
      </c>
      <c r="L424">
        <f>K424*(MIN(Inputs!$B$22+((C439=TRUE)*(F439-Calc!F24)),(Inputs!$B$23+0+(IF(ArtifactsInput!$M$15,CHOOSE(ArtifactsInput!$N$15+1,25,30,35,40,45,50)/100*(Inputs!$B$11-Inputs!$B$11),0))))/100+(Inputs!$B$23+0+(IF(ArtifactsInput!$M$15,CHOOSE(ArtifactsInput!$N$15+1,25,30,35,40,45,50)/100*(Inputs!$B$11-Inputs!$B$11),0)))/100)/2</f>
        <v/>
      </c>
      <c r="M424">
        <f>L424*(1+(Inputs!$B$10+((C441=TRUE)*(F441-Calc!F26))+B458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24">
        <f>L424*(1-MIN((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424*(MIN((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24">
        <f>(1-Summary!$B$11)*T424+Summary!$B$11*V424</f>
        <v/>
      </c>
      <c r="P424">
        <f>IF(B459=0,0,O424/B459)</f>
        <v/>
      </c>
      <c r="Q424">
        <f>IFERROR(1/IF(Inputs!$B$39="pvp",15,MAX(0.1,Skills!D9-IF(Skills!E9=TRUE,Inputs!$B$32,0))),0)</f>
        <v/>
      </c>
      <c r="R424">
        <f>IF(AND(Inputs!$B$39&lt;&gt;"pvp",Inputs!$B$44&gt;0),IF(MAX(0,Inputs!$B$44-B460)&lt;=0,0,(INT(MAX(0,Inputs!$B$44-B460)/IF(Inputs!$B$39="pvp",15,MAX(0.1,Skills!D9-IF(Skills!E9=TRUE,Inputs!$B$32,0))))+1)),0)</f>
        <v/>
      </c>
      <c r="S424">
        <f>IFERROR(O424/N424,0)</f>
        <v/>
      </c>
      <c r="T424">
        <f>IF(C424,(H424*N424*IF(AND(Inputs!$B$39&lt;&gt;"pvp",Inputs!$B$44&gt;0),((Skills!G9*((R424-1)*IF(Skills!H9&gt;0,Skills!I9/Skills!H9,1)+IF(Skills!H9&gt;0,MIN(Skills!I9,MAX(0,MAX(0,Inputs!$B$44-B460)-((R424-1)*IF(Inputs!$B$39="pvp",15,MAX(0.1,Skills!D9-IF(Skills!E9=TRUE,Inputs!$B$32,0))))))/Skills!H9,1)))/Inputs!$B$44),G424*Q424))*IF(Inputs!$B$39="pvp",1,1+(Inputs!$B$20+((C442=TRUE)*(F442-Calc!F27))+Skills!P9+B456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Hunt"),CHOOSE(ArtifactsInput!$N$35+1,15,18,21,24,27,30)*(1-EXP(-(0.2*B451)*5)),0)+IF(AND(ArtifactsInput!$M$22,Inputs!$B$4&lt;&gt;"Chapter Hunt"),CHOOSE(ArtifactsInput!$N$22+1,10,12,14,16,18,20)*((0*(((0.15*B451*5))^0/1)+1*(((0.15*B451*5))^1/1)+2*(((0.15*B451*5))^2/2)+3*(((0.15*B451*5))^3/6)+4*(((0.15*B451*5))^4/24)+5*(((0.15*B451*5))^5/120))/((((0.15*B451*5))^0/1)+(((0.15*B451*5))^1/1)+(((0.15*B451*5))^2/2)+(((0.15*B451*5))^3/6)+(((0.15*B451*5))^4/24)+(((0.15*B451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424*(1-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424*(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424*(1-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424*(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24">
        <f>IF(C424,(H424*N424*IF(AND(Inputs!$B$39&lt;&gt;"pvp",Inputs!$B$44&gt;0),((Skills!G9*((R424-1)*IF(Skills!H9&gt;0,Skills!I9/Skills!H9,1)+IF(Skills!H9&gt;0,MIN(Skills!I9,MAX(0,MAX(0,Inputs!$B$44-B460)-((R424-1)*IF(Inputs!$B$39="pvp",15,MAX(0.1,Skills!D9-IF(Skills!E9=TRUE,Inputs!$B$32,0))))))/Skills!H9,1)))/Inputs!$B$44),G424*Q424))*IF(Inputs!$B$39="pvp",1,(1+(Inputs!$B$21+Skills!Q9+B456+(IF(ArtifactsInput!$M$33,CHOOSE(ArtifactsInput!$N$33+1,30,36,42,48,54,60),0))+(IF(AND(ArtifactsInput!$M$35,Inputs!$B$4&lt;&gt;"Chapter Hunt"),CHOOSE(ArtifactsInput!$N$35+1,15,18,21,24,27,30)*(1-EXP(-(0.2*B451)*5)),0)+IF(AND(ArtifactsInput!$M$22,Inputs!$B$4&lt;&gt;"Chapter Hunt"),CHOOSE(ArtifactsInput!$N$22+1,10,12,14,16,18,20)*((0*(((0.15*B451*5))^0/1)+1*(((0.15*B451*5))^1/1)+2*(((0.15*B451*5))^2/2)+3*(((0.15*B451*5))^3/6)+4*(((0.15*B451*5))^4/24)+5*(((0.15*B451*5))^5/120))/((((0.15*B451*5))^0/1)+(((0.15*B451*5))^1/1)+(((0.15*B451*5))^2/2)+(((0.15*B451*5))^3/6)+(((0.15*B451*5))^4/24)+(((0.15*B451*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25">
      <c r="A425">
        <f>Skills!A10</f>
        <v/>
      </c>
      <c r="B425">
        <f>Skills!B10</f>
        <v/>
      </c>
      <c r="C425">
        <f>Inputs!$B$3&gt;=117</f>
        <v/>
      </c>
      <c r="D425">
        <f>IF(Skills!C10=1,60+Inputs!$B$25+Inputs!$B$29,IF(Skills!C10=2,90+Inputs!$B$26+Inputs!$B$29,IF(Skills!C10=3,120+Inputs!$B$27+Inputs!$B$29,MAX(0,(Inputs!$B$3-100)*3)+Inputs!$B$28+Inputs!$B$29)))</f>
        <v/>
      </c>
      <c r="E425">
        <f>INDEX(FactorTable!$B$2:$Y$301, MATCH(ROUND(MIN(300,MAX(1,D425)),0), FactorTable!$A$2:$A$301,0), Skills!M10+1)</f>
        <v/>
      </c>
      <c r="F425">
        <f>IF(Skills!N10=TRUE,(Skills!L10/10)*(E425/1000),Skills!L10/10)+Skills!O10</f>
        <v/>
      </c>
      <c r="G425">
        <f>Calc!G10</f>
        <v/>
      </c>
      <c r="H425">
        <f>Calc!H10</f>
        <v/>
      </c>
      <c r="I425">
        <f>IF(Skills!AA10&lt;&gt;"",1+(Skills!AA10/10)*(U418/1000)/100,1)</f>
        <v/>
      </c>
      <c r="J425">
        <f>((Inputs!$B$6*(1+Inputs!$B$7/100))+(((Inputs!$B$12*(1+Inputs!$B$13/100))-(Inputs!$B$12*(1+Inputs!$B$13/100)))+0.25*(Inputs!$B$14-Inputs!$B$14))*(1+Inputs!$B$7/100))*(F425/100)</f>
        <v/>
      </c>
      <c r="K425">
        <f>J425*(1+((Inputs!$B$12*(1+Inputs!$B$13/100))*0.01+Inputs!$B$14*0.0025)/100)*(1+Inputs!$B$15/100)*(1+Inputs!$B$16/100)*(5000/(6000+Inputs!$B$43*(1-(100*(1-(1-(Inputs!$B$19+0)/100)*(1-CHOOSE(ArtifactsInput!$N$40+1,5,6,7,8,9,10)/100)^(ArtifactsInput!$M$40-ArtifactsInput!$M$40)))/100)))*(1+(((((1+Inputs!$B$24/100)*(1.01))-1)*100)+((C445=TRUE)*(F445-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438=TRUE)*(F438-Calc!F23))+(((IF(AND(ArtifactsInput!$M$42,((Inputs!$B$9+((C440=TRUE)*(F440-Calc!F25))+B455+(ArtifactsInput!$M$24-ArtifactsInput!$M$24)*CHOOSE(ArtifactsInput!$N$24+1,10,12,14,16,18,20)+IF(ArtifactsInput!$M$10,CHOOSE(ArtifactsInput!$N$10+1,15,18,21,24,27,30)*(IF(Inputs!$B$39="pvp",MIN(15,15)/15,IF(AND(Inputs!$B$39&lt;&gt;"pvp",Inputs!$B$44&gt;0),MIN(15,Inputs!$B$44)/(Inputs!$B$44),0))),0)))&gt;=100),MIN(100,((Inputs!$B$9+((C440=TRUE)*(F440-Calc!F25))+B455+(ArtifactsInput!$M$24-ArtifactsInput!$M$24)*CHOOSE(ArtifactsInput!$N$24+1,10,12,14,16,18,20)+IF(ArtifactsInput!$M$10,CHOOSE(ArtifactsInput!$N$10+1,15,18,21,24,27,30)*(IF(Inputs!$B$39="pvp",MIN(15,15)/15,IF(AND(Inputs!$B$39&lt;&gt;"pvp",Inputs!$B$44&gt;0),MIN(15,Inputs!$B$44)/(Inputs!$B$44),0))),0)))-100),0))*CHOOSE(ArtifactsInput!$N$42+1,0.6,0.72,0.84,0.96,1.08,1.2))),Inputs!$B$18+((C444=TRUE)*(F444-Calc!F29))+(IF(AND(ArtifactsInput!$M$42,((Inputs!$B$9+((C440=TRUE)*(F440-Calc!F25))+B455+(ArtifactsInput!$M$24-ArtifactsInput!$M$24)*CHOOSE(ArtifactsInput!$N$24+1,10,12,14,16,18,20)+IF(ArtifactsInput!$M$10,CHOOSE(ArtifactsInput!$N$10+1,15,18,21,24,27,30)*(IF(Inputs!$B$39="pvp",MIN(15,15)/15,IF(AND(Inputs!$B$39&lt;&gt;"pvp",Inputs!$B$44&gt;0),MIN(15,Inputs!$B$44)/(Inputs!$B$44),0))),0)))&gt;=100),CHOOSE(ArtifactsInput!$N$42+1,40,48,56,64,72,80),0))))/100)*(((1+(((C436=TRUE)*F436*IF(AND(Inputs!$B$39&lt;&gt;"pvp",Inputs!$B$44&gt;0),(((R436-1)*(Skills!Y21*(1+Inputs!$B$34/100))+MIN((Skills!Y21*(1+Inputs!$B$34/100)),MAX(0,Inputs!$B$44-((R436-1)*Skills!D21))))/Inputs!$B$44),IF(Inputs!$B$39="pvp",MIN((Skills!Y21*(1+Inputs!$B$34/100)),15)/15,(Skills!Y21*(1+Inputs!$B$34/100))/Skills!D21)))+((C443=TRUE)*(F443-Calc!F28))+((C433=TRUE)*(F433-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430=TRUE)*F430*IF(AND(Inputs!$B$39&lt;&gt;"pvp",Inputs!$B$44&gt;0),(((R430-1)*(Skills!Y15*(1+Inputs!$B$34/100))+MIN((Skills!Y15*(1+Inputs!$B$34/100)),MAX(0,Inputs!$B$44-((R430-1)*Skills!D15))))/Inputs!$B$44),IF(Inputs!$B$39="pvp",MIN((Skills!Y15*(1+Inputs!$B$34/100)),15)/15,(Skills!Y15*(1+Inputs!$B$34/100))/Skills!D15)))/100)*(1+((C421=TRUE)*F421*B449)/100))*B457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425)</f>
        <v/>
      </c>
      <c r="L425">
        <f>K425*(MIN(Inputs!$B$22+((C439=TRUE)*(F439-Calc!F24)),(Inputs!$B$23+0+(IF(ArtifactsInput!$M$15,CHOOSE(ArtifactsInput!$N$15+1,25,30,35,40,45,50)/100*(Inputs!$B$11-Inputs!$B$11),0))))/100+(Inputs!$B$23+0+(IF(ArtifactsInput!$M$15,CHOOSE(ArtifactsInput!$N$15+1,25,30,35,40,45,50)/100*(Inputs!$B$11-Inputs!$B$11),0)))/100)/2</f>
        <v/>
      </c>
      <c r="M425">
        <f>L425*(1+(Inputs!$B$10+((C441=TRUE)*(F441-Calc!F26))+B458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25">
        <f>L425*(1-MIN((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425*(MIN((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25">
        <f>(1-Summary!$B$11)*T425+Summary!$B$11*V425</f>
        <v/>
      </c>
      <c r="P425">
        <f>IF(B459=0,0,O425/B459)</f>
        <v/>
      </c>
      <c r="Q425" t="n">
        <v>0</v>
      </c>
      <c r="R425" t="n">
        <v>0</v>
      </c>
      <c r="S425" t="n">
        <v>0</v>
      </c>
      <c r="T425">
        <f>IF(C425,(0.2*SUMPRODUCT((Skills!Z2:Z31=TRUE)*(C417:C446=TRUE)*S417:S446)*N425)*IF(Inputs!$B$39="pvp",1,1+(Inputs!$B$20+((C442=TRUE)*(F442-Calc!F27))+Skills!P10+B456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Hunt"),CHOOSE(ArtifactsInput!$N$35+1,15,18,21,24,27,30)*(1-EXP(-(0.2*B451)*5)),0)+IF(AND(ArtifactsInput!$M$22,Inputs!$B$4&lt;&gt;"Chapter Hunt"),CHOOSE(ArtifactsInput!$N$22+1,10,12,14,16,18,20)*((0*(((0.15*B451*5))^0/1)+1*(((0.15*B451*5))^1/1)+2*(((0.15*B451*5))^2/2)+3*(((0.15*B451*5))^3/6)+4*(((0.15*B451*5))^4/24)+5*(((0.15*B451*5))^5/120))/((((0.15*B451*5))^0/1)+(((0.15*B451*5))^1/1)+(((0.15*B451*5))^2/2)+(((0.15*B451*5))^3/6)+(((0.15*B451*5))^4/24)+(((0.15*B451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425*(1-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425*(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425*(1-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425*(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25">
        <f>IF(C425,(0.2*SUMPRODUCT((Skills!Z2:Z31=TRUE)*(C417:C446=TRUE)*S417:S446)*N425)*IF(Inputs!$B$39="pvp",1,(1+(Inputs!$B$21+Skills!Q10+B456+(IF(ArtifactsInput!$M$33,CHOOSE(ArtifactsInput!$N$33+1,30,36,42,48,54,60),0))+(IF(AND(ArtifactsInput!$M$35,Inputs!$B$4&lt;&gt;"Chapter Hunt"),CHOOSE(ArtifactsInput!$N$35+1,15,18,21,24,27,30)*(1-EXP(-(0.2*B451)*5)),0)+IF(AND(ArtifactsInput!$M$22,Inputs!$B$4&lt;&gt;"Chapter Hunt"),CHOOSE(ArtifactsInput!$N$22+1,10,12,14,16,18,20)*((0*(((0.15*B451*5))^0/1)+1*(((0.15*B451*5))^1/1)+2*(((0.15*B451*5))^2/2)+3*(((0.15*B451*5))^3/6)+4*(((0.15*B451*5))^4/24)+5*(((0.15*B451*5))^5/120))/((((0.15*B451*5))^0/1)+(((0.15*B451*5))^1/1)+(((0.15*B451*5))^2/2)+(((0.15*B451*5))^3/6)+(((0.15*B451*5))^4/24)+(((0.15*B451*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26">
      <c r="A426">
        <f>Skills!A11</f>
        <v/>
      </c>
      <c r="B426">
        <f>Skills!B11</f>
        <v/>
      </c>
      <c r="C426">
        <f>Inputs!$B$3&gt;=60</f>
        <v/>
      </c>
      <c r="D426">
        <f>IF(Skills!C11=1,60+Inputs!$B$25+Inputs!$B$29,IF(Skills!C11=2,90+Inputs!$B$26+Inputs!$B$29,IF(Skills!C11=3,120+Inputs!$B$27+Inputs!$B$29,MAX(0,(Inputs!$B$3-100)*3)+Inputs!$B$28+Inputs!$B$29)))</f>
        <v/>
      </c>
      <c r="E426">
        <f>INDEX(FactorTable!$B$2:$Y$301, MATCH(ROUND(MIN(300,MAX(1,D426)),0), FactorTable!$A$2:$A$301,0), Skills!M11+1)</f>
        <v/>
      </c>
      <c r="F426">
        <f>IF(Skills!N11=TRUE,(Skills!L11/10)*(E426/1000),Skills!L11/10)+Skills!O11</f>
        <v/>
      </c>
      <c r="G426">
        <f>Calc!G11</f>
        <v/>
      </c>
      <c r="H426">
        <f>Calc!H11</f>
        <v/>
      </c>
      <c r="I426">
        <f>IF(Skills!AA11&lt;&gt;"",1+(Skills!AA11/10)*(U418/1000)/100,1)</f>
        <v/>
      </c>
      <c r="J426" t="inlineStr"/>
      <c r="K426" t="inlineStr"/>
      <c r="L426" t="inlineStr"/>
      <c r="M426" t="inlineStr"/>
      <c r="N426" t="inlineStr"/>
      <c r="O426">
        <f>(1-Summary!$B$11)*T426+Summary!$B$11*V426</f>
        <v/>
      </c>
      <c r="P426">
        <f>IF(B459=0,0,O426/B459)</f>
        <v/>
      </c>
      <c r="Q426" t="n">
        <v>0</v>
      </c>
      <c r="R426" t="n">
        <v>0</v>
      </c>
      <c r="S426">
        <f>IFERROR(O426/N426,0)</f>
        <v/>
      </c>
      <c r="T426" t="n">
        <v>0</v>
      </c>
      <c r="V426" t="n">
        <v>0</v>
      </c>
    </row>
    <row r="427">
      <c r="A427">
        <f>Skills!A12</f>
        <v/>
      </c>
      <c r="B427">
        <f>Skills!B12</f>
        <v/>
      </c>
      <c r="C427">
        <f>Inputs!$B$3&gt;=103</f>
        <v/>
      </c>
      <c r="D427">
        <f>IF(Skills!C12=1,60+Inputs!$B$25+Inputs!$B$29,IF(Skills!C12=2,90+Inputs!$B$26+Inputs!$B$29,IF(Skills!C12=3,120+Inputs!$B$27+Inputs!$B$29,MAX(0,(Inputs!$B$3-100)*3)+Inputs!$B$28+Inputs!$B$29)))</f>
        <v/>
      </c>
      <c r="E427">
        <f>INDEX(FactorTable!$B$2:$Y$301, MATCH(ROUND(MIN(300,MAX(1,D427)),0), FactorTable!$A$2:$A$301,0), Skills!M12+1)</f>
        <v/>
      </c>
      <c r="F427">
        <f>IF(Skills!N12=TRUE,(Skills!L12/10)*(E427/1000),Skills!L12/10)+Skills!O12</f>
        <v/>
      </c>
      <c r="G427">
        <f>Calc!G12</f>
        <v/>
      </c>
      <c r="H427">
        <f>Calc!H12</f>
        <v/>
      </c>
      <c r="I427">
        <f>IF(Skills!AA12&lt;&gt;"",1+(Skills!AA12/10)*(U418/1000)/100,1)</f>
        <v/>
      </c>
      <c r="J427">
        <f>((Inputs!$B$6*(1+Inputs!$B$7/100))+(((Inputs!$B$12*(1+Inputs!$B$13/100))-(Inputs!$B$12*(1+Inputs!$B$13/100)))+0.25*(Inputs!$B$14-Inputs!$B$14))*(1+Inputs!$B$7/100))*(F427/100)</f>
        <v/>
      </c>
      <c r="K427">
        <f>J427*(1+((Inputs!$B$12*(1+Inputs!$B$13/100))*0.01+Inputs!$B$14*0.0025)/100)*(1+Inputs!$B$15/100)*(1+Inputs!$B$16/100)*(5000/(6000+Inputs!$B$43*(1-(100*(1-(1-(Inputs!$B$19+0)/100)*(1-CHOOSE(ArtifactsInput!$N$40+1,5,6,7,8,9,10)/100)^(ArtifactsInput!$M$40-ArtifactsInput!$M$40)))/100)))*(1+(((((1+Inputs!$B$24/100)*(1.01))-1)*100)+((C445=TRUE)*(F445-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438=TRUE)*(F438-Calc!F23))+(((IF(AND(ArtifactsInput!$M$42,((Inputs!$B$9+((C440=TRUE)*(F440-Calc!F25))+B455+(ArtifactsInput!$M$24-ArtifactsInput!$M$24)*CHOOSE(ArtifactsInput!$N$24+1,10,12,14,16,18,20)+IF(ArtifactsInput!$M$10,CHOOSE(ArtifactsInput!$N$10+1,15,18,21,24,27,30)*(IF(Inputs!$B$39="pvp",MIN(15,15)/15,IF(AND(Inputs!$B$39&lt;&gt;"pvp",Inputs!$B$44&gt;0),MIN(15,Inputs!$B$44)/(Inputs!$B$44),0))),0)))&gt;=100),MIN(100,((Inputs!$B$9+((C440=TRUE)*(F440-Calc!F25))+B455+(ArtifactsInput!$M$24-ArtifactsInput!$M$24)*CHOOSE(ArtifactsInput!$N$24+1,10,12,14,16,18,20)+IF(ArtifactsInput!$M$10,CHOOSE(ArtifactsInput!$N$10+1,15,18,21,24,27,30)*(IF(Inputs!$B$39="pvp",MIN(15,15)/15,IF(AND(Inputs!$B$39&lt;&gt;"pvp",Inputs!$B$44&gt;0),MIN(15,Inputs!$B$44)/(Inputs!$B$44),0))),0)))-100),0))*CHOOSE(ArtifactsInput!$N$42+1,0.6,0.72,0.84,0.96,1.08,1.2))),Inputs!$B$18+((C444=TRUE)*(F444-Calc!F29))+(IF(AND(ArtifactsInput!$M$42,((Inputs!$B$9+((C440=TRUE)*(F440-Calc!F25))+B455+(ArtifactsInput!$M$24-ArtifactsInput!$M$24)*CHOOSE(ArtifactsInput!$N$24+1,10,12,14,16,18,20)+IF(ArtifactsInput!$M$10,CHOOSE(ArtifactsInput!$N$10+1,15,18,21,24,27,30)*(IF(Inputs!$B$39="pvp",MIN(15,15)/15,IF(AND(Inputs!$B$39&lt;&gt;"pvp",Inputs!$B$44&gt;0),MIN(15,Inputs!$B$44)/(Inputs!$B$44),0))),0)))&gt;=100),CHOOSE(ArtifactsInput!$N$42+1,40,48,56,64,72,80),0))))/100)*(((1+(((C436=TRUE)*F436*IF(AND(Inputs!$B$39&lt;&gt;"pvp",Inputs!$B$44&gt;0),(((R436-1)*(Skills!Y21*(1+Inputs!$B$34/100))+MIN((Skills!Y21*(1+Inputs!$B$34/100)),MAX(0,Inputs!$B$44-((R436-1)*Skills!D21))))/Inputs!$B$44),IF(Inputs!$B$39="pvp",MIN((Skills!Y21*(1+Inputs!$B$34/100)),15)/15,(Skills!Y21*(1+Inputs!$B$34/100))/Skills!D21)))+((C443=TRUE)*(F443-Calc!F28))+((C433=TRUE)*(F433-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430=TRUE)*F430*IF(AND(Inputs!$B$39&lt;&gt;"pvp",Inputs!$B$44&gt;0),(((R430-1)*(Skills!Y15*(1+Inputs!$B$34/100))+MIN((Skills!Y15*(1+Inputs!$B$34/100)),MAX(0,Inputs!$B$44-((R430-1)*Skills!D15))))/Inputs!$B$44),IF(Inputs!$B$39="pvp",MIN((Skills!Y15*(1+Inputs!$B$34/100)),15)/15,(Skills!Y15*(1+Inputs!$B$34/100))/Skills!D15)))/100)*(1+((C421=TRUE)*F421*B449)/100))*B457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427)</f>
        <v/>
      </c>
      <c r="L427">
        <f>K427*(MIN(Inputs!$B$22+((C439=TRUE)*(F439-Calc!F24)),(Inputs!$B$23+0+(IF(ArtifactsInput!$M$15,CHOOSE(ArtifactsInput!$N$15+1,25,30,35,40,45,50)/100*(Inputs!$B$11-Inputs!$B$11),0))))/100+(Inputs!$B$23+0+(IF(ArtifactsInput!$M$15,CHOOSE(ArtifactsInput!$N$15+1,25,30,35,40,45,50)/100*(Inputs!$B$11-Inputs!$B$11),0)))/100)/2</f>
        <v/>
      </c>
      <c r="M427">
        <f>L427*(1+(Inputs!$B$10+((C441=TRUE)*(F441-Calc!F26))+B458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27">
        <f>L427*(1-MIN((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427*(MIN((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27">
        <f>(1-Summary!$B$11)*T427+Summary!$B$11*V427</f>
        <v/>
      </c>
      <c r="P427">
        <f>IF(B459=0,0,O427/B459)</f>
        <v/>
      </c>
      <c r="Q427">
        <f>IFERROR(1/IF(Inputs!$B$39="pvp",15,MAX(0.1,Skills!D12-IF(Skills!E12=TRUE,Inputs!$B$32,0))),0)</f>
        <v/>
      </c>
      <c r="R427">
        <f>IF(AND(Inputs!$B$39&lt;&gt;"pvp",Inputs!$B$44&gt;0),IF(MAX(0,Inputs!$B$44-B460)&lt;=0,0,(INT(MAX(0,Inputs!$B$44-B460)/IF(Inputs!$B$39="pvp",15,MAX(0.1,Skills!D12-IF(Skills!E12=TRUE,Inputs!$B$32,0))))+1)),0)</f>
        <v/>
      </c>
      <c r="S427">
        <f>IFERROR(O427/N427,0)</f>
        <v/>
      </c>
      <c r="T427">
        <f>IF(C427,(H427*N427*IF(AND(Inputs!$B$39&lt;&gt;"pvp",Inputs!$B$44&gt;0),((Skills!G12*((R427-1)*IF(Skills!H12&gt;0,Skills!I12/Skills!H12,1)+IF(Skills!H12&gt;0,MIN(Skills!I12,MAX(0,MAX(0,Inputs!$B$44-B460)-((R427-1)*IF(Inputs!$B$39="pvp",15,MAX(0.1,Skills!D12-IF(Skills!E12=TRUE,Inputs!$B$32,0))))))/Skills!H12,1)))/Inputs!$B$44),G427*Q427))*IF(Inputs!$B$39="pvp",1,1+(Inputs!$B$20+((C442=TRUE)*(F442-Calc!F27))+Skills!P12+B456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Hunt"),CHOOSE(ArtifactsInput!$N$35+1,15,18,21,24,27,30)*(1-EXP(-(0.2*B451)*5)),0)+IF(AND(ArtifactsInput!$M$22,Inputs!$B$4&lt;&gt;"Chapter Hunt"),CHOOSE(ArtifactsInput!$N$22+1,10,12,14,16,18,20)*((0*(((0.15*B451*5))^0/1)+1*(((0.15*B451*5))^1/1)+2*(((0.15*B451*5))^2/2)+3*(((0.15*B451*5))^3/6)+4*(((0.15*B451*5))^4/24)+5*(((0.15*B451*5))^5/120))/((((0.15*B451*5))^0/1)+(((0.15*B451*5))^1/1)+(((0.15*B451*5))^2/2)+(((0.15*B451*5))^3/6)+(((0.15*B451*5))^4/24)+(((0.15*B451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427*(1-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427*(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427*(1-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427*(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27">
        <f>IF(C427,(H427*N427*IF(AND(Inputs!$B$39&lt;&gt;"pvp",Inputs!$B$44&gt;0),((Skills!G12*((R427-1)*IF(Skills!H12&gt;0,Skills!I12/Skills!H12,1)+IF(Skills!H12&gt;0,MIN(Skills!I12,MAX(0,MAX(0,Inputs!$B$44-B460)-((R427-1)*IF(Inputs!$B$39="pvp",15,MAX(0.1,Skills!D12-IF(Skills!E12=TRUE,Inputs!$B$32,0))))))/Skills!H12,1)))/Inputs!$B$44),G427*Q427))*IF(Inputs!$B$39="pvp",1,(1+(Inputs!$B$21+Skills!Q12+B456+(IF(ArtifactsInput!$M$33,CHOOSE(ArtifactsInput!$N$33+1,30,36,42,48,54,60),0))+(IF(AND(ArtifactsInput!$M$35,Inputs!$B$4&lt;&gt;"Chapter Hunt"),CHOOSE(ArtifactsInput!$N$35+1,15,18,21,24,27,30)*(1-EXP(-(0.2*B451)*5)),0)+IF(AND(ArtifactsInput!$M$22,Inputs!$B$4&lt;&gt;"Chapter Hunt"),CHOOSE(ArtifactsInput!$N$22+1,10,12,14,16,18,20)*((0*(((0.15*B451*5))^0/1)+1*(((0.15*B451*5))^1/1)+2*(((0.15*B451*5))^2/2)+3*(((0.15*B451*5))^3/6)+4*(((0.15*B451*5))^4/24)+5*(((0.15*B451*5))^5/120))/((((0.15*B451*5))^0/1)+(((0.15*B451*5))^1/1)+(((0.15*B451*5))^2/2)+(((0.15*B451*5))^3/6)+(((0.15*B451*5))^4/24)+(((0.15*B451*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28">
      <c r="A428">
        <f>Skills!A13</f>
        <v/>
      </c>
      <c r="B428">
        <f>Skills!B13</f>
        <v/>
      </c>
      <c r="C428">
        <f>Inputs!$B$3&gt;=105</f>
        <v/>
      </c>
      <c r="D428">
        <f>IF(Skills!C13=1,60+Inputs!$B$25+Inputs!$B$29,IF(Skills!C13=2,90+Inputs!$B$26+Inputs!$B$29,IF(Skills!C13=3,120+Inputs!$B$27+Inputs!$B$29,MAX(0,(Inputs!$B$3-100)*3)+Inputs!$B$28+Inputs!$B$29)))</f>
        <v/>
      </c>
      <c r="E428">
        <f>INDEX(FactorTable!$B$2:$Y$301, MATCH(ROUND(MIN(300,MAX(1,D428)),0), FactorTable!$A$2:$A$301,0), Skills!M13+1)</f>
        <v/>
      </c>
      <c r="F428">
        <f>IF(Skills!N13=TRUE,(Skills!L13/10)*(E428/1000),Skills!L13/10)+Skills!O13</f>
        <v/>
      </c>
      <c r="G428">
        <f>Calc!G13</f>
        <v/>
      </c>
      <c r="H428">
        <f>Calc!H13</f>
        <v/>
      </c>
      <c r="I428">
        <f>IF(Skills!AA13&lt;&gt;"",1+(Skills!AA13/10)*(U418/1000)/100,1)</f>
        <v/>
      </c>
      <c r="J428">
        <f>((Inputs!$B$6*(1+Inputs!$B$7/100))+(((Inputs!$B$12*(1+Inputs!$B$13/100))-(Inputs!$B$12*(1+Inputs!$B$13/100)))+0.25*(Inputs!$B$14-Inputs!$B$14))*(1+Inputs!$B$7/100))*(F428/100)</f>
        <v/>
      </c>
      <c r="K428">
        <f>J428*(1+((Inputs!$B$12*(1+Inputs!$B$13/100))*0.01+Inputs!$B$14*0.0025)/100)*(1+Inputs!$B$15/100)*(1+Inputs!$B$16/100)*(5000/(6000+Inputs!$B$43*(1-(100*(1-(1-(Inputs!$B$19+0)/100)*(1-CHOOSE(ArtifactsInput!$N$40+1,5,6,7,8,9,10)/100)^(ArtifactsInput!$M$40-ArtifactsInput!$M$40)))/100)))*(1+(((((1+Inputs!$B$24/100)*(1.01))-1)*100)+((C445=TRUE)*(F445-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438=TRUE)*(F438-Calc!F23))+(((IF(AND(ArtifactsInput!$M$42,((Inputs!$B$9+((C440=TRUE)*(F440-Calc!F25))+B455+(ArtifactsInput!$M$24-ArtifactsInput!$M$24)*CHOOSE(ArtifactsInput!$N$24+1,10,12,14,16,18,20)+IF(ArtifactsInput!$M$10,CHOOSE(ArtifactsInput!$N$10+1,15,18,21,24,27,30)*(IF(Inputs!$B$39="pvp",MIN(15,15)/15,IF(AND(Inputs!$B$39&lt;&gt;"pvp",Inputs!$B$44&gt;0),MIN(15,Inputs!$B$44)/(Inputs!$B$44),0))),0)))&gt;=100),MIN(100,((Inputs!$B$9+((C440=TRUE)*(F440-Calc!F25))+B455+(ArtifactsInput!$M$24-ArtifactsInput!$M$24)*CHOOSE(ArtifactsInput!$N$24+1,10,12,14,16,18,20)+IF(ArtifactsInput!$M$10,CHOOSE(ArtifactsInput!$N$10+1,15,18,21,24,27,30)*(IF(Inputs!$B$39="pvp",MIN(15,15)/15,IF(AND(Inputs!$B$39&lt;&gt;"pvp",Inputs!$B$44&gt;0),MIN(15,Inputs!$B$44)/(Inputs!$B$44),0))),0)))-100),0))*CHOOSE(ArtifactsInput!$N$42+1,0.6,0.72,0.84,0.96,1.08,1.2))),Inputs!$B$18+((C444=TRUE)*(F444-Calc!F29))+(IF(AND(ArtifactsInput!$M$42,((Inputs!$B$9+((C440=TRUE)*(F440-Calc!F25))+B455+(ArtifactsInput!$M$24-ArtifactsInput!$M$24)*CHOOSE(ArtifactsInput!$N$24+1,10,12,14,16,18,20)+IF(ArtifactsInput!$M$10,CHOOSE(ArtifactsInput!$N$10+1,15,18,21,24,27,30)*(IF(Inputs!$B$39="pvp",MIN(15,15)/15,IF(AND(Inputs!$B$39&lt;&gt;"pvp",Inputs!$B$44&gt;0),MIN(15,Inputs!$B$44)/(Inputs!$B$44),0))),0)))&gt;=100),CHOOSE(ArtifactsInput!$N$42+1,40,48,56,64,72,80),0))))/100)*(((1+(((C436=TRUE)*F436*IF(AND(Inputs!$B$39&lt;&gt;"pvp",Inputs!$B$44&gt;0),(((R436-1)*(Skills!Y21*(1+Inputs!$B$34/100))+MIN((Skills!Y21*(1+Inputs!$B$34/100)),MAX(0,Inputs!$B$44-((R436-1)*Skills!D21))))/Inputs!$B$44),IF(Inputs!$B$39="pvp",MIN((Skills!Y21*(1+Inputs!$B$34/100)),15)/15,(Skills!Y21*(1+Inputs!$B$34/100))/Skills!D21)))+((C443=TRUE)*(F443-Calc!F28))+((C433=TRUE)*(F433-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430=TRUE)*F430*IF(AND(Inputs!$B$39&lt;&gt;"pvp",Inputs!$B$44&gt;0),(((R430-1)*(Skills!Y15*(1+Inputs!$B$34/100))+MIN((Skills!Y15*(1+Inputs!$B$34/100)),MAX(0,Inputs!$B$44-((R430-1)*Skills!D15))))/Inputs!$B$44),IF(Inputs!$B$39="pvp",MIN((Skills!Y15*(1+Inputs!$B$34/100)),15)/15,(Skills!Y15*(1+Inputs!$B$34/100))/Skills!D15)))/100)*(1+((C421=TRUE)*F421*B449)/100))*B457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428)</f>
        <v/>
      </c>
      <c r="L428">
        <f>K428*(MIN(Inputs!$B$22+((C439=TRUE)*(F439-Calc!F24)),(Inputs!$B$23+0+(IF(ArtifactsInput!$M$15,CHOOSE(ArtifactsInput!$N$15+1,25,30,35,40,45,50)/100*(Inputs!$B$11-Inputs!$B$11),0))))/100+(Inputs!$B$23+0+(IF(ArtifactsInput!$M$15,CHOOSE(ArtifactsInput!$N$15+1,25,30,35,40,45,50)/100*(Inputs!$B$11-Inputs!$B$11),0)))/100)/2</f>
        <v/>
      </c>
      <c r="M428">
        <f>L428*(1+(Inputs!$B$10+((C441=TRUE)*(F441-Calc!F26))+B458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28">
        <f>L428*(1-MIN((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428*(MIN((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28">
        <f>(1-Summary!$B$11)*T428+Summary!$B$11*V428</f>
        <v/>
      </c>
      <c r="P428">
        <f>IF(B459=0,0,O428/B459)</f>
        <v/>
      </c>
      <c r="Q428">
        <f>IFERROR(1/IF(Inputs!$B$39="pvp",15,MAX(0.1,Skills!D13-IF(Skills!E13=TRUE,Inputs!$B$32,0))),0)</f>
        <v/>
      </c>
      <c r="R428">
        <f>IF(AND(Inputs!$B$39&lt;&gt;"pvp",Inputs!$B$44&gt;0),IF(MAX(0,Inputs!$B$44-B460)&lt;=0,0,(INT(MAX(0,Inputs!$B$44-B460)/IF(Inputs!$B$39="pvp",15,MAX(0.1,Skills!D13-IF(Skills!E13=TRUE,Inputs!$B$32,0))))+1)),0)</f>
        <v/>
      </c>
      <c r="S428">
        <f>IFERROR(O428/N428,0)</f>
        <v/>
      </c>
      <c r="T428">
        <f>IF(C428,(H428*N428*IF(AND(Inputs!$B$39&lt;&gt;"pvp",Inputs!$B$44&gt;0),((Skills!G13*((R428-1)*IF(Skills!H13&gt;0,Skills!I13/Skills!H13,1)+IF(Skills!H13&gt;0,MIN(Skills!I13,MAX(0,MAX(0,Inputs!$B$44-B460)-((R428-1)*IF(Inputs!$B$39="pvp",15,MAX(0.1,Skills!D13-IF(Skills!E13=TRUE,Inputs!$B$32,0))))))/Skills!H13,1)))/Inputs!$B$44),G428*Q428))*IF(Inputs!$B$39="pvp",1,1+(Inputs!$B$20+((C442=TRUE)*(F442-Calc!F27))+Skills!P13+B456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Hunt"),CHOOSE(ArtifactsInput!$N$35+1,15,18,21,24,27,30)*(1-EXP(-(0.2*B451)*5)),0)+IF(AND(ArtifactsInput!$M$22,Inputs!$B$4&lt;&gt;"Chapter Hunt"),CHOOSE(ArtifactsInput!$N$22+1,10,12,14,16,18,20)*((0*(((0.15*B451*5))^0/1)+1*(((0.15*B451*5))^1/1)+2*(((0.15*B451*5))^2/2)+3*(((0.15*B451*5))^3/6)+4*(((0.15*B451*5))^4/24)+5*(((0.15*B451*5))^5/120))/((((0.15*B451*5))^0/1)+(((0.15*B451*5))^1/1)+(((0.15*B451*5))^2/2)+(((0.15*B451*5))^3/6)+(((0.15*B451*5))^4/24)+(((0.15*B451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428*(1-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428*(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428*(1-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428*(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28">
        <f>IF(C428,(H428*N428*IF(AND(Inputs!$B$39&lt;&gt;"pvp",Inputs!$B$44&gt;0),((Skills!G13*((R428-1)*IF(Skills!H13&gt;0,Skills!I13/Skills!H13,1)+IF(Skills!H13&gt;0,MIN(Skills!I13,MAX(0,MAX(0,Inputs!$B$44-B460)-((R428-1)*IF(Inputs!$B$39="pvp",15,MAX(0.1,Skills!D13-IF(Skills!E13=TRUE,Inputs!$B$32,0))))))/Skills!H13,1)))/Inputs!$B$44),G428*Q428))*IF(Inputs!$B$39="pvp",1,(1+(Inputs!$B$21+Skills!Q13+B456+(IF(ArtifactsInput!$M$33,CHOOSE(ArtifactsInput!$N$33+1,30,36,42,48,54,60),0))+(IF(AND(ArtifactsInput!$M$35,Inputs!$B$4&lt;&gt;"Chapter Hunt"),CHOOSE(ArtifactsInput!$N$35+1,15,18,21,24,27,30)*(1-EXP(-(0.2*B451)*5)),0)+IF(AND(ArtifactsInput!$M$22,Inputs!$B$4&lt;&gt;"Chapter Hunt"),CHOOSE(ArtifactsInput!$N$22+1,10,12,14,16,18,20)*((0*(((0.15*B451*5))^0/1)+1*(((0.15*B451*5))^1/1)+2*(((0.15*B451*5))^2/2)+3*(((0.15*B451*5))^3/6)+4*(((0.15*B451*5))^4/24)+5*(((0.15*B451*5))^5/120))/((((0.15*B451*5))^0/1)+(((0.15*B451*5))^1/1)+(((0.15*B451*5))^2/2)+(((0.15*B451*5))^3/6)+(((0.15*B451*5))^4/24)+(((0.15*B451*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29">
      <c r="A429">
        <f>Skills!A14</f>
        <v/>
      </c>
      <c r="B429">
        <f>Skills!B14</f>
        <v/>
      </c>
      <c r="C429">
        <f>Inputs!$B$3&gt;=105</f>
        <v/>
      </c>
      <c r="D429">
        <f>IF(Skills!C14=1,60+Inputs!$B$25+Inputs!$B$29,IF(Skills!C14=2,90+Inputs!$B$26+Inputs!$B$29,IF(Skills!C14=3,120+Inputs!$B$27+Inputs!$B$29,MAX(0,(Inputs!$B$3-100)*3)+Inputs!$B$28+Inputs!$B$29)))</f>
        <v/>
      </c>
      <c r="E429">
        <f>INDEX(FactorTable!$B$2:$Y$301, MATCH(ROUND(MIN(300,MAX(1,D429)),0), FactorTable!$A$2:$A$301,0), Skills!M14+1)</f>
        <v/>
      </c>
      <c r="F429">
        <f>IF(Skills!N14=TRUE,(Skills!L14/10)*(E429/1000),Skills!L14/10)+Skills!O14</f>
        <v/>
      </c>
      <c r="G429">
        <f>Calc!G14</f>
        <v/>
      </c>
      <c r="H429">
        <f>Calc!H14</f>
        <v/>
      </c>
      <c r="I429">
        <f>IF(Skills!AA14&lt;&gt;"",1+(Skills!AA14/10)*(U418/1000)/100,1)</f>
        <v/>
      </c>
      <c r="J429">
        <f>((Inputs!$B$6*(1+Inputs!$B$7/100))+(((Inputs!$B$12*(1+Inputs!$B$13/100))-(Inputs!$B$12*(1+Inputs!$B$13/100)))+0.25*(Inputs!$B$14-Inputs!$B$14))*(1+Inputs!$B$7/100))*(F429/100)</f>
        <v/>
      </c>
      <c r="K429">
        <f>J429*(1+((Inputs!$B$12*(1+Inputs!$B$13/100))*0.01+Inputs!$B$14*0.0025)/100)*(1+Inputs!$B$15/100)*(1+Inputs!$B$16/100)*(5000/(6000+Inputs!$B$43*(1-(100*(1-(1-(Inputs!$B$19+0)/100)*(1-CHOOSE(ArtifactsInput!$N$40+1,5,6,7,8,9,10)/100)^(ArtifactsInput!$M$40-ArtifactsInput!$M$40)))/100)))*(1+(((((1+Inputs!$B$24/100)*(1.01))-1)*100)+((C445=TRUE)*(F445-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438=TRUE)*(F438-Calc!F23))+(((IF(AND(ArtifactsInput!$M$42,((Inputs!$B$9+((C440=TRUE)*(F440-Calc!F25))+B455+(ArtifactsInput!$M$24-ArtifactsInput!$M$24)*CHOOSE(ArtifactsInput!$N$24+1,10,12,14,16,18,20)+IF(ArtifactsInput!$M$10,CHOOSE(ArtifactsInput!$N$10+1,15,18,21,24,27,30)*(IF(Inputs!$B$39="pvp",MIN(15,15)/15,IF(AND(Inputs!$B$39&lt;&gt;"pvp",Inputs!$B$44&gt;0),MIN(15,Inputs!$B$44)/(Inputs!$B$44),0))),0)))&gt;=100),MIN(100,((Inputs!$B$9+((C440=TRUE)*(F440-Calc!F25))+B455+(ArtifactsInput!$M$24-ArtifactsInput!$M$24)*CHOOSE(ArtifactsInput!$N$24+1,10,12,14,16,18,20)+IF(ArtifactsInput!$M$10,CHOOSE(ArtifactsInput!$N$10+1,15,18,21,24,27,30)*(IF(Inputs!$B$39="pvp",MIN(15,15)/15,IF(AND(Inputs!$B$39&lt;&gt;"pvp",Inputs!$B$44&gt;0),MIN(15,Inputs!$B$44)/(Inputs!$B$44),0))),0)))-100),0))*CHOOSE(ArtifactsInput!$N$42+1,0.6,0.72,0.84,0.96,1.08,1.2))),Inputs!$B$18+((C444=TRUE)*(F444-Calc!F29))+(IF(AND(ArtifactsInput!$M$42,((Inputs!$B$9+((C440=TRUE)*(F440-Calc!F25))+B455+(ArtifactsInput!$M$24-ArtifactsInput!$M$24)*CHOOSE(ArtifactsInput!$N$24+1,10,12,14,16,18,20)+IF(ArtifactsInput!$M$10,CHOOSE(ArtifactsInput!$N$10+1,15,18,21,24,27,30)*(IF(Inputs!$B$39="pvp",MIN(15,15)/15,IF(AND(Inputs!$B$39&lt;&gt;"pvp",Inputs!$B$44&gt;0),MIN(15,Inputs!$B$44)/(Inputs!$B$44),0))),0)))&gt;=100),CHOOSE(ArtifactsInput!$N$42+1,40,48,56,64,72,80),0))))/100)*(((1+(((C436=TRUE)*F436*IF(AND(Inputs!$B$39&lt;&gt;"pvp",Inputs!$B$44&gt;0),(((R436-1)*(Skills!Y21*(1+Inputs!$B$34/100))+MIN((Skills!Y21*(1+Inputs!$B$34/100)),MAX(0,Inputs!$B$44-((R436-1)*Skills!D21))))/Inputs!$B$44),IF(Inputs!$B$39="pvp",MIN((Skills!Y21*(1+Inputs!$B$34/100)),15)/15,(Skills!Y21*(1+Inputs!$B$34/100))/Skills!D21)))+((C443=TRUE)*(F443-Calc!F28))+((C433=TRUE)*(F433-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430=TRUE)*F430*IF(AND(Inputs!$B$39&lt;&gt;"pvp",Inputs!$B$44&gt;0),(((R430-1)*(Skills!Y15*(1+Inputs!$B$34/100))+MIN((Skills!Y15*(1+Inputs!$B$34/100)),MAX(0,Inputs!$B$44-((R430-1)*Skills!D15))))/Inputs!$B$44),IF(Inputs!$B$39="pvp",MIN((Skills!Y15*(1+Inputs!$B$34/100)),15)/15,(Skills!Y15*(1+Inputs!$B$34/100))/Skills!D15)))/100)*(1+((C421=TRUE)*F421*B449)/100))*B457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429)</f>
        <v/>
      </c>
      <c r="L429">
        <f>K429*(MIN(Inputs!$B$22+((C439=TRUE)*(F439-Calc!F24)),(Inputs!$B$23+0+(IF(ArtifactsInput!$M$15,CHOOSE(ArtifactsInput!$N$15+1,25,30,35,40,45,50)/100*(Inputs!$B$11-Inputs!$B$11),0))))/100+(Inputs!$B$23+0+(IF(ArtifactsInput!$M$15,CHOOSE(ArtifactsInput!$N$15+1,25,30,35,40,45,50)/100*(Inputs!$B$11-Inputs!$B$11),0)))/100)/2</f>
        <v/>
      </c>
      <c r="M429">
        <f>L429*(1+(Inputs!$B$10+((C441=TRUE)*(F441-Calc!F26))+B458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29">
        <f>L429*(1-MIN((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429*(MIN((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29">
        <f>(1-Summary!$B$11)*T429+Summary!$B$11*V429</f>
        <v/>
      </c>
      <c r="P429">
        <f>IF(B459=0,0,O429/B459)</f>
        <v/>
      </c>
      <c r="Q429">
        <f>IFERROR(1/IF(Inputs!$B$39="pvp",15,MAX(0.1,Skills!D14-IF(Skills!E14=TRUE,Inputs!$B$32,0))),0)</f>
        <v/>
      </c>
      <c r="R429">
        <f>IF(AND(Inputs!$B$39&lt;&gt;"pvp",Inputs!$B$44&gt;0),IF(MAX(0,Inputs!$B$44-B460)&lt;=0,0,(INT(MAX(0,Inputs!$B$44-B460)/IF(Inputs!$B$39="pvp",15,MAX(0.1,Skills!D14-IF(Skills!E14=TRUE,Inputs!$B$32,0))))+1)),0)</f>
        <v/>
      </c>
      <c r="S429">
        <f>IFERROR(O429/N429,0)</f>
        <v/>
      </c>
      <c r="T429">
        <f>IF(C429,(H429*N429*IF(AND(Inputs!$B$39&lt;&gt;"pvp",Inputs!$B$44&gt;0),((Skills!G14*((R429-1)*IF(Skills!H14&gt;0,Skills!I14/Skills!H14,1)+IF(Skills!H14&gt;0,MIN(Skills!I14,MAX(0,MAX(0,Inputs!$B$44-B460)-((R429-1)*IF(Inputs!$B$39="pvp",15,MAX(0.1,Skills!D14-IF(Skills!E14=TRUE,Inputs!$B$32,0))))))/Skills!H14,1)))/Inputs!$B$44),G429*Q429))*IF(Inputs!$B$39="pvp",1,1+(Inputs!$B$20+((C442=TRUE)*(F442-Calc!F27))+Skills!P14+B456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Hunt"),CHOOSE(ArtifactsInput!$N$35+1,15,18,21,24,27,30)*(1-EXP(-(0.2*B451)*5)),0)+IF(AND(ArtifactsInput!$M$22,Inputs!$B$4&lt;&gt;"Chapter Hunt"),CHOOSE(ArtifactsInput!$N$22+1,10,12,14,16,18,20)*((0*(((0.15*B451*5))^0/1)+1*(((0.15*B451*5))^1/1)+2*(((0.15*B451*5))^2/2)+3*(((0.15*B451*5))^3/6)+4*(((0.15*B451*5))^4/24)+5*(((0.15*B451*5))^5/120))/((((0.15*B451*5))^0/1)+(((0.15*B451*5))^1/1)+(((0.15*B451*5))^2/2)+(((0.15*B451*5))^3/6)+(((0.15*B451*5))^4/24)+(((0.15*B451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429*(1-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429*(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429*(1-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429*(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29">
        <f>IF(C429,(H429*N429*IF(AND(Inputs!$B$39&lt;&gt;"pvp",Inputs!$B$44&gt;0),((Skills!G14*((R429-1)*IF(Skills!H14&gt;0,Skills!I14/Skills!H14,1)+IF(Skills!H14&gt;0,MIN(Skills!I14,MAX(0,MAX(0,Inputs!$B$44-B460)-((R429-1)*IF(Inputs!$B$39="pvp",15,MAX(0.1,Skills!D14-IF(Skills!E14=TRUE,Inputs!$B$32,0))))))/Skills!H14,1)))/Inputs!$B$44),G429*Q429))*IF(Inputs!$B$39="pvp",1,(1+(Inputs!$B$21+Skills!Q14+B456+(IF(ArtifactsInput!$M$33,CHOOSE(ArtifactsInput!$N$33+1,30,36,42,48,54,60),0))+(IF(AND(ArtifactsInput!$M$35,Inputs!$B$4&lt;&gt;"Chapter Hunt"),CHOOSE(ArtifactsInput!$N$35+1,15,18,21,24,27,30)*(1-EXP(-(0.2*B451)*5)),0)+IF(AND(ArtifactsInput!$M$22,Inputs!$B$4&lt;&gt;"Chapter Hunt"),CHOOSE(ArtifactsInput!$N$22+1,10,12,14,16,18,20)*((0*(((0.15*B451*5))^0/1)+1*(((0.15*B451*5))^1/1)+2*(((0.15*B451*5))^2/2)+3*(((0.15*B451*5))^3/6)+4*(((0.15*B451*5))^4/24)+5*(((0.15*B451*5))^5/120))/((((0.15*B451*5))^0/1)+(((0.15*B451*5))^1/1)+(((0.15*B451*5))^2/2)+(((0.15*B451*5))^3/6)+(((0.15*B451*5))^4/24)+(((0.15*B451*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30">
      <c r="A430">
        <f>Skills!A15</f>
        <v/>
      </c>
      <c r="B430">
        <f>Skills!B15</f>
        <v/>
      </c>
      <c r="C430">
        <f>Inputs!$B$3&gt;=110</f>
        <v/>
      </c>
      <c r="D430">
        <f>IF(Skills!C15=1,60+Inputs!$B$25+Inputs!$B$29,IF(Skills!C15=2,90+Inputs!$B$26+Inputs!$B$29,IF(Skills!C15=3,120+Inputs!$B$27+Inputs!$B$29,MAX(0,(Inputs!$B$3-100)*3)+Inputs!$B$28+Inputs!$B$29)))</f>
        <v/>
      </c>
      <c r="E430">
        <f>INDEX(FactorTable!$B$2:$Y$301, MATCH(ROUND(MIN(300,MAX(1,D430)),0), FactorTable!$A$2:$A$301,0), Skills!M15+1)</f>
        <v/>
      </c>
      <c r="F430">
        <f>IF(Skills!N15=TRUE,(Skills!L15/10)*(E430/1000),Skills!L15/10)+Skills!O15</f>
        <v/>
      </c>
      <c r="G430">
        <f>Calc!G15</f>
        <v/>
      </c>
      <c r="H430">
        <f>Calc!H15</f>
        <v/>
      </c>
      <c r="I430">
        <f>IF(Skills!AA15&lt;&gt;"",1+(Skills!AA15/10)*(U418/1000)/100,1)</f>
        <v/>
      </c>
      <c r="J430" t="inlineStr"/>
      <c r="K430" t="inlineStr"/>
      <c r="L430" t="inlineStr"/>
      <c r="M430" t="inlineStr"/>
      <c r="N430" t="inlineStr"/>
      <c r="O430">
        <f>(1-Summary!$B$11)*T430+Summary!$B$11*V430</f>
        <v/>
      </c>
      <c r="P430">
        <f>IF(B459=0,0,O430/B459)</f>
        <v/>
      </c>
      <c r="Q430">
        <f>IFERROR(1/IF(Inputs!$B$39="pvp",15,MAX(0.1,Skills!D15-IF(Skills!E15=TRUE,Inputs!$B$32,0))),0)</f>
        <v/>
      </c>
      <c r="R430">
        <f>IF(AND(Inputs!$B$39&lt;&gt;"pvp",Inputs!$B$44&gt;0),IF(Inputs!$B$44&lt;=0,0,(INT(Inputs!$B$44/IF(Inputs!$B$39="pvp",15,MAX(0.1,Skills!D15-IF(Skills!E15=TRUE,Inputs!$B$32,0))))+1)),0)</f>
        <v/>
      </c>
      <c r="S430">
        <f>IFERROR(O430/N430,0)</f>
        <v/>
      </c>
      <c r="T430" t="n">
        <v>0</v>
      </c>
      <c r="V430" t="n">
        <v>0</v>
      </c>
    </row>
    <row r="431">
      <c r="A431">
        <f>Skills!A16</f>
        <v/>
      </c>
      <c r="B431">
        <f>Skills!B16</f>
        <v/>
      </c>
      <c r="C431">
        <f>Inputs!$B$3&gt;=110</f>
        <v/>
      </c>
      <c r="D431">
        <f>IF(Skills!C16=1,60+Inputs!$B$25+Inputs!$B$29,IF(Skills!C16=2,90+Inputs!$B$26+Inputs!$B$29,IF(Skills!C16=3,120+Inputs!$B$27+Inputs!$B$29,MAX(0,(Inputs!$B$3-100)*3)+Inputs!$B$28+Inputs!$B$29)))</f>
        <v/>
      </c>
      <c r="E431">
        <f>INDEX(FactorTable!$B$2:$Y$301, MATCH(ROUND(MIN(300,MAX(1,D431)),0), FactorTable!$A$2:$A$301,0), Skills!M16+1)</f>
        <v/>
      </c>
      <c r="F431">
        <f>IF(Skills!N16=TRUE,(Skills!L16/10)*(E431/1000),Skills!L16/10)+Skills!O16</f>
        <v/>
      </c>
      <c r="G431">
        <f>Calc!G16</f>
        <v/>
      </c>
      <c r="H431">
        <f>Calc!H16</f>
        <v/>
      </c>
      <c r="I431">
        <f>IF(Skills!AA16&lt;&gt;"",1+(Skills!AA16/10)*(U418/1000)/100,1)</f>
        <v/>
      </c>
      <c r="J431" t="inlineStr"/>
      <c r="K431" t="inlineStr"/>
      <c r="L431" t="inlineStr"/>
      <c r="M431" t="inlineStr"/>
      <c r="N431" t="inlineStr"/>
      <c r="O431">
        <f>(1-Summary!$B$11)*T431+Summary!$B$11*V431</f>
        <v/>
      </c>
      <c r="P431">
        <f>IF(B459=0,0,O431/B459)</f>
        <v/>
      </c>
      <c r="Q431">
        <f>IFERROR(1/IF(Inputs!$B$39="pvp",15,MAX(0.1,Skills!D16-IF(Skills!E16=TRUE,Inputs!$B$32,0))),0)</f>
        <v/>
      </c>
      <c r="R431">
        <f>IF(AND(Inputs!$B$39&lt;&gt;"pvp",Inputs!$B$44&gt;0),IF(Inputs!$B$44&lt;=0,0,(INT(Inputs!$B$44/IF(Inputs!$B$39="pvp",15,MAX(0.1,Skills!D16-IF(Skills!E16=TRUE,Inputs!$B$32,0))))+1)),0)</f>
        <v/>
      </c>
      <c r="S431">
        <f>IFERROR(O431/N431,0)</f>
        <v/>
      </c>
      <c r="T431" t="n">
        <v>0</v>
      </c>
      <c r="V431" t="n">
        <v>0</v>
      </c>
    </row>
    <row r="432">
      <c r="A432">
        <f>Skills!A17</f>
        <v/>
      </c>
      <c r="B432">
        <f>Skills!B17</f>
        <v/>
      </c>
      <c r="C432">
        <f>Inputs!$B$3&gt;=115</f>
        <v/>
      </c>
      <c r="D432">
        <f>IF(Skills!C17=1,60+Inputs!$B$25+Inputs!$B$29,IF(Skills!C17=2,90+Inputs!$B$26+Inputs!$B$29,IF(Skills!C17=3,120+Inputs!$B$27+Inputs!$B$29,MAX(0,(Inputs!$B$3-100)*3)+Inputs!$B$28+Inputs!$B$29)))</f>
        <v/>
      </c>
      <c r="E432">
        <f>INDEX(FactorTable!$B$2:$Y$301, MATCH(ROUND(MIN(300,MAX(1,D432)),0), FactorTable!$A$2:$A$301,0), Skills!M17+1)</f>
        <v/>
      </c>
      <c r="F432">
        <f>IF(Skills!N17=TRUE,(Skills!L17/10)*(E432/1000),Skills!L17/10)+Skills!O17</f>
        <v/>
      </c>
      <c r="G432">
        <f>Calc!G17</f>
        <v/>
      </c>
      <c r="H432">
        <f>Calc!H17</f>
        <v/>
      </c>
      <c r="I432">
        <f>IF(Skills!AA17&lt;&gt;"",1+(Skills!AA17/10)*(U418/1000)/100,1)</f>
        <v/>
      </c>
      <c r="J432">
        <f>((Inputs!$B$6*(1+Inputs!$B$7/100))+(((Inputs!$B$12*(1+Inputs!$B$13/100))-(Inputs!$B$12*(1+Inputs!$B$13/100)))+0.25*(Inputs!$B$14-Inputs!$B$14))*(1+Inputs!$B$7/100))*(F432/100)</f>
        <v/>
      </c>
      <c r="K432">
        <f>J432*(1+((Inputs!$B$12*(1+Inputs!$B$13/100))*0.01+Inputs!$B$14*0.0025)/100)*(1+Inputs!$B$15/100)*(1+Inputs!$B$16/100)*(5000/(6000+Inputs!$B$43*(1-(100*(1-(1-(Inputs!$B$19+0)/100)*(1-CHOOSE(ArtifactsInput!$N$40+1,5,6,7,8,9,10)/100)^(ArtifactsInput!$M$40-ArtifactsInput!$M$40)))/100)))*(1+(((((1+Inputs!$B$24/100)*(1.01))-1)*100)+((C445=TRUE)*(F445-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438=TRUE)*(F438-Calc!F23))+(((IF(AND(ArtifactsInput!$M$42,((Inputs!$B$9+((C440=TRUE)*(F440-Calc!F25))+B455+(ArtifactsInput!$M$24-ArtifactsInput!$M$24)*CHOOSE(ArtifactsInput!$N$24+1,10,12,14,16,18,20)+IF(ArtifactsInput!$M$10,CHOOSE(ArtifactsInput!$N$10+1,15,18,21,24,27,30)*(IF(Inputs!$B$39="pvp",MIN(15,15)/15,IF(AND(Inputs!$B$39&lt;&gt;"pvp",Inputs!$B$44&gt;0),MIN(15,Inputs!$B$44)/(Inputs!$B$44),0))),0)))&gt;=100),MIN(100,((Inputs!$B$9+((C440=TRUE)*(F440-Calc!F25))+B455+(ArtifactsInput!$M$24-ArtifactsInput!$M$24)*CHOOSE(ArtifactsInput!$N$24+1,10,12,14,16,18,20)+IF(ArtifactsInput!$M$10,CHOOSE(ArtifactsInput!$N$10+1,15,18,21,24,27,30)*(IF(Inputs!$B$39="pvp",MIN(15,15)/15,IF(AND(Inputs!$B$39&lt;&gt;"pvp",Inputs!$B$44&gt;0),MIN(15,Inputs!$B$44)/(Inputs!$B$44),0))),0)))-100),0))*CHOOSE(ArtifactsInput!$N$42+1,0.6,0.72,0.84,0.96,1.08,1.2))),Inputs!$B$18+((C444=TRUE)*(F444-Calc!F29))+(IF(AND(ArtifactsInput!$M$42,((Inputs!$B$9+((C440=TRUE)*(F440-Calc!F25))+B455+(ArtifactsInput!$M$24-ArtifactsInput!$M$24)*CHOOSE(ArtifactsInput!$N$24+1,10,12,14,16,18,20)+IF(ArtifactsInput!$M$10,CHOOSE(ArtifactsInput!$N$10+1,15,18,21,24,27,30)*(IF(Inputs!$B$39="pvp",MIN(15,15)/15,IF(AND(Inputs!$B$39&lt;&gt;"pvp",Inputs!$B$44&gt;0),MIN(15,Inputs!$B$44)/(Inputs!$B$44),0))),0)))&gt;=100),CHOOSE(ArtifactsInput!$N$42+1,40,48,56,64,72,80),0))))/100)*(((1+(((C436=TRUE)*F436*IF(AND(Inputs!$B$39&lt;&gt;"pvp",Inputs!$B$44&gt;0),(((R436-1)*(Skills!Y21*(1+Inputs!$B$34/100))+MIN((Skills!Y21*(1+Inputs!$B$34/100)),MAX(0,Inputs!$B$44-((R436-1)*Skills!D21))))/Inputs!$B$44),IF(Inputs!$B$39="pvp",MIN((Skills!Y21*(1+Inputs!$B$34/100)),15)/15,(Skills!Y21*(1+Inputs!$B$34/100))/Skills!D21)))+((C443=TRUE)*(F443-Calc!F28))+((C433=TRUE)*(F433-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430=TRUE)*F430*IF(AND(Inputs!$B$39&lt;&gt;"pvp",Inputs!$B$44&gt;0),(((R430-1)*(Skills!Y15*(1+Inputs!$B$34/100))+MIN((Skills!Y15*(1+Inputs!$B$34/100)),MAX(0,Inputs!$B$44-((R430-1)*Skills!D15))))/Inputs!$B$44),IF(Inputs!$B$39="pvp",MIN((Skills!Y15*(1+Inputs!$B$34/100)),15)/15,(Skills!Y15*(1+Inputs!$B$34/100))/Skills!D15)))/100)*(1+((C421=TRUE)*F421*B449)/100))*B457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432)</f>
        <v/>
      </c>
      <c r="L432">
        <f>K432*(MIN(Inputs!$B$22+((C439=TRUE)*(F439-Calc!F24)),(Inputs!$B$23+0+(IF(ArtifactsInput!$M$15,CHOOSE(ArtifactsInput!$N$15+1,25,30,35,40,45,50)/100*(Inputs!$B$11-Inputs!$B$11),0))))/100+(Inputs!$B$23+0+(IF(ArtifactsInput!$M$15,CHOOSE(ArtifactsInput!$N$15+1,25,30,35,40,45,50)/100*(Inputs!$B$11-Inputs!$B$11),0)))/100)/2</f>
        <v/>
      </c>
      <c r="M432">
        <f>L432*(1+(Inputs!$B$10+((C441=TRUE)*(F441-Calc!F26))+B458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32">
        <f>L432*(1-MIN((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432*(MIN((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32">
        <f>(1-Summary!$B$11)*T432+Summary!$B$11*V432</f>
        <v/>
      </c>
      <c r="P432">
        <f>IF(B459=0,0,O432/B459)</f>
        <v/>
      </c>
      <c r="Q432" t="n">
        <v>0</v>
      </c>
      <c r="R432" t="n">
        <v>0</v>
      </c>
      <c r="S432">
        <f>IFERROR(O432/N432,0)</f>
        <v/>
      </c>
      <c r="T432">
        <f>IF(C432,(Inputs!$B$38*0.2*N432)*IF(Inputs!$B$39="pvp",1,1+(Inputs!$B$20+((C442=TRUE)*(F442-Calc!F27))+Skills!P17+B456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Hunt"),CHOOSE(ArtifactsInput!$N$35+1,15,18,21,24,27,30)*(1-EXP(-(0.2*B451)*5)),0)+IF(AND(ArtifactsInput!$M$22,Inputs!$B$4&lt;&gt;"Chapter Hunt"),CHOOSE(ArtifactsInput!$N$22+1,10,12,14,16,18,20)*((0*(((0.15*B451*5))^0/1)+1*(((0.15*B451*5))^1/1)+2*(((0.15*B451*5))^2/2)+3*(((0.15*B451*5))^3/6)+4*(((0.15*B451*5))^4/24)+5*(((0.15*B451*5))^5/120))/((((0.15*B451*5))^0/1)+(((0.15*B451*5))^1/1)+(((0.15*B451*5))^2/2)+(((0.15*B451*5))^3/6)+(((0.15*B451*5))^4/24)+(((0.15*B451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432*(1-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432*(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432*(1-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432*(MIN(100,(Inputs!$B$9+((C440=TRUE)*(F440-Calc!F25))+B455+(ArtifactsInput!$M$24-ArtifactsInput!$M$24)*CHOOSE(ArtifactsInput!$N$24+1,10,12,14,16,18,20)+(IF(AND(ArtifactsInput!$M$42,((Inputs!$B$9+((C440=TRUE)*(F440-Calc!F25))+B455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32">
        <f>IF(C432,(Inputs!$B$38*0.2*N432)*IF(Inputs!$B$39="pvp",1,(1+(Inputs!$B$21+Skills!Q17+B456+(IF(ArtifactsInput!$M$33,CHOOSE(ArtifactsInput!$N$33+1,30,36,42,48,54,60),0))+(IF(AND(ArtifactsInput!$M$35,Inputs!$B$4&lt;&gt;"Chapter Hunt"),CHOOSE(ArtifactsInput!$N$35+1,15,18,21,24,27,30)*(1-EXP(-(0.2*B451)*5)),0)+IF(AND(ArtifactsInput!$M$22,Inputs!$B$4&lt;&gt;"Chapter Hunt"),CHOOSE(ArtifactsInput!$N$22+1,10,12,14,16,18,20)*((0*(((0.15*B451*5))^0/1)+1*(((0.15*B451*5))^1/1)+2*(((0.15*B451*5))^2/2)+3*(((0.15*B451*5))^3/6)+4*(((0.15*B451*5))^4/24)+5*(((0.15*B451*5))^5/120))/((((0.15*B451*5))^0/1)+(((0.15*B451*5))^1/1)+(((0.15*B451*5))^2/2)+(((0.15*B451*5))^3/6)+(((0.15*B451*5))^4/24)+(((0.15*B451*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33">
      <c r="A433">
        <f>Skills!A18</f>
        <v/>
      </c>
      <c r="B433">
        <f>Skills!B18</f>
        <v/>
      </c>
      <c r="C433">
        <f>Inputs!$B$3&gt;=115</f>
        <v/>
      </c>
      <c r="D433">
        <f>IF(Skills!C18=1,60+Inputs!$B$25+Inputs!$B$29,IF(Skills!C18=2,90+Inputs!$B$26+Inputs!$B$29,IF(Skills!C18=3,120+Inputs!$B$27+Inputs!$B$29,MAX(0,(Inputs!$B$3-100)*3)+Inputs!$B$28+Inputs!$B$29)))</f>
        <v/>
      </c>
      <c r="E433">
        <f>INDEX(FactorTable!$B$2:$Y$301, MATCH(ROUND(MIN(300,MAX(1,D433)),0), FactorTable!$A$2:$A$301,0), Skills!M18+1)</f>
        <v/>
      </c>
      <c r="F433">
        <f>IF(Skills!N18=TRUE,(Skills!L18/10)*(E433/1000),Skills!L18/10)+Skills!O18</f>
        <v/>
      </c>
      <c r="G433">
        <f>Calc!G18</f>
        <v/>
      </c>
      <c r="H433">
        <f>Calc!H18</f>
        <v/>
      </c>
      <c r="I433">
        <f>IF(Skills!AA18&lt;&gt;"",1+(Skills!AA18/10)*(U418/1000)/100,1)</f>
        <v/>
      </c>
      <c r="J433" t="inlineStr"/>
      <c r="K433" t="inlineStr"/>
      <c r="L433" t="inlineStr"/>
      <c r="M433" t="inlineStr"/>
      <c r="N433" t="inlineStr"/>
      <c r="O433">
        <f>(1-Summary!$B$11)*T433+Summary!$B$11*V433</f>
        <v/>
      </c>
      <c r="P433">
        <f>IF(B459=0,0,O433/B459)</f>
        <v/>
      </c>
      <c r="Q433" t="n">
        <v>0</v>
      </c>
      <c r="R433" t="n">
        <v>0</v>
      </c>
      <c r="S433">
        <f>IFERROR(O433/N433,0)</f>
        <v/>
      </c>
      <c r="T433" t="n">
        <v>0</v>
      </c>
      <c r="V433" t="n">
        <v>0</v>
      </c>
    </row>
    <row r="434">
      <c r="A434">
        <f>Skills!A19</f>
        <v/>
      </c>
      <c r="B434">
        <f>Skills!B19</f>
        <v/>
      </c>
      <c r="C434">
        <f>TRUE</f>
        <v/>
      </c>
      <c r="D434">
        <f>IF(Skills!C19=1,60+Inputs!$B$25+Inputs!$B$29,IF(Skills!C19=2,90+Inputs!$B$26+Inputs!$B$29,IF(Skills!C19=3,120+Inputs!$B$27+Inputs!$B$29,MAX(0,(Inputs!$B$3-100)*3)+Inputs!$B$28+Inputs!$B$29)))</f>
        <v/>
      </c>
      <c r="E434">
        <f>INDEX(FactorTable!$B$2:$Y$301, MATCH(ROUND(MIN(300,MAX(1,D434)),0), FactorTable!$A$2:$A$301,0), Skills!M19+1)</f>
        <v/>
      </c>
      <c r="F434">
        <f>IF(Skills!N19=TRUE,(Skills!L19/10)*(E434/1000),Skills!L19/10)+Skills!O19</f>
        <v/>
      </c>
      <c r="G434">
        <f>Calc!G19</f>
        <v/>
      </c>
      <c r="H434">
        <f>Calc!H19</f>
        <v/>
      </c>
      <c r="I434">
        <f>IF(Skills!AA19&lt;&gt;"",1+(Skills!AA19/10)*(U418/1000)/100,1)</f>
        <v/>
      </c>
      <c r="J434" t="inlineStr"/>
      <c r="K434" t="inlineStr"/>
      <c r="L434" t="inlineStr"/>
      <c r="M434" t="inlineStr"/>
      <c r="N434" t="inlineStr"/>
      <c r="O434">
        <f>(1-Summary!$B$11)*T434+Summary!$B$11*V434</f>
        <v/>
      </c>
      <c r="P434">
        <f>IF(B459=0,0,O434/B459)</f>
        <v/>
      </c>
      <c r="Q434">
        <f>IFERROR(1/IF(Inputs!$B$39="pvp",15,MAX(0.1,Skills!D19-IF(Skills!E19=TRUE,Inputs!$B$32,0))),0)</f>
        <v/>
      </c>
      <c r="R434">
        <f>IF(AND(Inputs!$B$39&lt;&gt;"pvp",Inputs!$B$44&gt;0),IF(Inputs!$B$44&lt;=0,0,(INT(Inputs!$B$44/IF(Inputs!$B$39="pvp",15,MAX(0.1,Skills!D19-IF(Skills!E19=TRUE,Inputs!$B$32,0))))+1)),0)</f>
        <v/>
      </c>
      <c r="S434">
        <f>IFERROR(O434/N434,0)</f>
        <v/>
      </c>
      <c r="T434" t="n">
        <v>0</v>
      </c>
      <c r="V434" t="n">
        <v>0</v>
      </c>
    </row>
    <row r="435">
      <c r="A435">
        <f>Skills!A20</f>
        <v/>
      </c>
      <c r="B435">
        <f>Skills!B20</f>
        <v/>
      </c>
      <c r="C435">
        <f>Inputs!$B$3&gt;=15</f>
        <v/>
      </c>
      <c r="D435">
        <f>IF(Skills!C20=1,60+Inputs!$B$25+Inputs!$B$29,IF(Skills!C20=2,90+Inputs!$B$26+Inputs!$B$29,IF(Skills!C20=3,120+Inputs!$B$27+Inputs!$B$29,MAX(0,(Inputs!$B$3-100)*3)+Inputs!$B$28+Inputs!$B$29)))</f>
        <v/>
      </c>
      <c r="E435">
        <f>INDEX(FactorTable!$B$2:$Y$301, MATCH(ROUND(MIN(300,MAX(1,D435)),0), FactorTable!$A$2:$A$301,0), Skills!M20+1)</f>
        <v/>
      </c>
      <c r="F435">
        <f>IF(Skills!N20=TRUE,(Skills!L20/10)*(E435/1000),Skills!L20/10)+Skills!O20</f>
        <v/>
      </c>
      <c r="G435">
        <f>Calc!G20</f>
        <v/>
      </c>
      <c r="H435">
        <f>Calc!H20</f>
        <v/>
      </c>
      <c r="I435">
        <f>IF(Skills!AA20&lt;&gt;"",1+(Skills!AA20/10)*(U418/1000)/100,1)</f>
        <v/>
      </c>
      <c r="J435" t="inlineStr"/>
      <c r="K435" t="inlineStr"/>
      <c r="L435" t="inlineStr"/>
      <c r="M435" t="inlineStr"/>
      <c r="N435" t="inlineStr"/>
      <c r="O435">
        <f>(1-Summary!$B$11)*T435+Summary!$B$11*V435</f>
        <v/>
      </c>
      <c r="P435">
        <f>IF(B459=0,0,O435/B459)</f>
        <v/>
      </c>
      <c r="Q435">
        <f>IFERROR(1/IF(Inputs!$B$39="pvp",15,MAX(0.1,Skills!D20-IF(Skills!E20=TRUE,Inputs!$B$32,0))),0)</f>
        <v/>
      </c>
      <c r="R435">
        <f>IF(AND(Inputs!$B$39&lt;&gt;"pvp",Inputs!$B$44&gt;0),IF(Inputs!$B$44&lt;=0,0,(INT(Inputs!$B$44/IF(Inputs!$B$39="pvp",15,MAX(0.1,Skills!D20-IF(Skills!E20=TRUE,Inputs!$B$32,0))))+1)),0)</f>
        <v/>
      </c>
      <c r="S435">
        <f>IFERROR(O435/N435,0)</f>
        <v/>
      </c>
      <c r="T435" t="n">
        <v>0</v>
      </c>
      <c r="V435" t="n">
        <v>0</v>
      </c>
    </row>
    <row r="436">
      <c r="A436">
        <f>Skills!A21</f>
        <v/>
      </c>
      <c r="B436">
        <f>Skills!B21</f>
        <v/>
      </c>
      <c r="C436">
        <f>Inputs!$B$3&gt;=15</f>
        <v/>
      </c>
      <c r="D436">
        <f>IF(Skills!C21=1,60+Inputs!$B$25+Inputs!$B$29,IF(Skills!C21=2,90+Inputs!$B$26+Inputs!$B$29,IF(Skills!C21=3,120+Inputs!$B$27+Inputs!$B$29,MAX(0,(Inputs!$B$3-100)*3)+Inputs!$B$28+Inputs!$B$29)))</f>
        <v/>
      </c>
      <c r="E436">
        <f>INDEX(FactorTable!$B$2:$Y$301, MATCH(ROUND(MIN(300,MAX(1,D436)),0), FactorTable!$A$2:$A$301,0), Skills!M21+1)</f>
        <v/>
      </c>
      <c r="F436">
        <f>IF(Skills!N21=TRUE,(Skills!L21/10)*(E436/1000),Skills!L21/10)+Skills!O21</f>
        <v/>
      </c>
      <c r="G436">
        <f>Calc!G21</f>
        <v/>
      </c>
      <c r="H436">
        <f>Calc!H21</f>
        <v/>
      </c>
      <c r="I436">
        <f>IF(Skills!AA21&lt;&gt;"",1+(Skills!AA21/10)*(U418/1000)/100,1)</f>
        <v/>
      </c>
      <c r="J436" t="inlineStr"/>
      <c r="K436" t="inlineStr"/>
      <c r="L436" t="inlineStr"/>
      <c r="M436" t="inlineStr"/>
      <c r="N436" t="inlineStr"/>
      <c r="O436">
        <f>(1-Summary!$B$11)*T436+Summary!$B$11*V436</f>
        <v/>
      </c>
      <c r="P436">
        <f>IF(B459=0,0,O436/B459)</f>
        <v/>
      </c>
      <c r="Q436">
        <f>IFERROR(1/IF(Inputs!$B$39="pvp",15,MAX(0.1,Skills!D21-IF(Skills!E21=TRUE,Inputs!$B$32,0))),0)</f>
        <v/>
      </c>
      <c r="R436">
        <f>IF(AND(Inputs!$B$39&lt;&gt;"pvp",Inputs!$B$44&gt;0),IF(Inputs!$B$44&lt;=0,0,(INT(Inputs!$B$44/IF(Inputs!$B$39="pvp",15,MAX(0.1,Skills!D21-IF(Skills!E21=TRUE,Inputs!$B$32,0))))+1)),0)</f>
        <v/>
      </c>
      <c r="S436">
        <f>IFERROR(O436/N436,0)</f>
        <v/>
      </c>
      <c r="T436" t="n">
        <v>0</v>
      </c>
      <c r="V436" t="n">
        <v>0</v>
      </c>
    </row>
    <row r="437">
      <c r="A437">
        <f>Skills!A22</f>
        <v/>
      </c>
      <c r="B437">
        <f>Skills!B22</f>
        <v/>
      </c>
      <c r="C437">
        <f>Inputs!$B$3&gt;=33</f>
        <v/>
      </c>
      <c r="D437">
        <f>IF(Skills!C22=1,60+Inputs!$B$25+Inputs!$B$29,IF(Skills!C22=2,90+Inputs!$B$26+Inputs!$B$29,IF(Skills!C22=3,120+Inputs!$B$27+Inputs!$B$29,MAX(0,(Inputs!$B$3-100)*3)+Inputs!$B$28+Inputs!$B$29)))</f>
        <v/>
      </c>
      <c r="E437">
        <f>INDEX(FactorTable!$B$2:$Y$301, MATCH(ROUND(MIN(300,MAX(1,D437)),0), FactorTable!$A$2:$A$301,0), Skills!M22+1)</f>
        <v/>
      </c>
      <c r="F437">
        <f>IF(Skills!N22=TRUE,(Skills!L22/10)*(E437/1000),Skills!L22/10)+Skills!O22</f>
        <v/>
      </c>
      <c r="G437">
        <f>Calc!G22</f>
        <v/>
      </c>
      <c r="H437">
        <f>Calc!H22</f>
        <v/>
      </c>
      <c r="I437">
        <f>IF(Skills!AA22&lt;&gt;"",1+(Skills!AA22/10)*(U418/1000)/100,1)</f>
        <v/>
      </c>
      <c r="J437" t="inlineStr"/>
      <c r="K437" t="inlineStr"/>
      <c r="L437" t="inlineStr"/>
      <c r="M437" t="inlineStr"/>
      <c r="N437" t="inlineStr"/>
      <c r="O437">
        <f>(1-Summary!$B$11)*T437+Summary!$B$11*V437</f>
        <v/>
      </c>
      <c r="P437">
        <f>IF(B459=0,0,O437/B459)</f>
        <v/>
      </c>
      <c r="Q437" t="n">
        <v>0</v>
      </c>
      <c r="R437" t="n">
        <v>0</v>
      </c>
      <c r="S437">
        <f>IFERROR(O437/N437,0)</f>
        <v/>
      </c>
      <c r="T437" t="n">
        <v>0</v>
      </c>
      <c r="V437" t="n">
        <v>0</v>
      </c>
    </row>
    <row r="438">
      <c r="A438">
        <f>Skills!A23</f>
        <v/>
      </c>
      <c r="B438">
        <f>Skills!B23</f>
        <v/>
      </c>
      <c r="C438">
        <f>Inputs!$B$3&gt;=38</f>
        <v/>
      </c>
      <c r="D438">
        <f>IF(Skills!C23=1,60+Inputs!$B$25+Inputs!$B$29,IF(Skills!C23=2,90+Inputs!$B$26+Inputs!$B$29,IF(Skills!C23=3,120+Inputs!$B$27+Inputs!$B$29,MAX(0,(Inputs!$B$3-100)*3)+Inputs!$B$28+Inputs!$B$29)))</f>
        <v/>
      </c>
      <c r="E438">
        <f>INDEX(FactorTable!$B$2:$Y$301, MATCH(ROUND(MIN(300,MAX(1,D438)),0), FactorTable!$A$2:$A$301,0), Skills!M23+1)</f>
        <v/>
      </c>
      <c r="F438">
        <f>IF(Skills!N23=TRUE,(Skills!L23/10)*(E438/1000),Skills!L23/10)+Skills!O23</f>
        <v/>
      </c>
      <c r="G438">
        <f>Calc!G23</f>
        <v/>
      </c>
      <c r="H438">
        <f>Calc!H23</f>
        <v/>
      </c>
      <c r="I438">
        <f>IF(Skills!AA23&lt;&gt;"",1+(Skills!AA23/10)*(U418/1000)/100,1)</f>
        <v/>
      </c>
      <c r="J438" t="inlineStr"/>
      <c r="K438" t="inlineStr"/>
      <c r="L438" t="inlineStr"/>
      <c r="M438" t="inlineStr"/>
      <c r="N438" t="inlineStr"/>
      <c r="O438">
        <f>(1-Summary!$B$11)*T438+Summary!$B$11*V438</f>
        <v/>
      </c>
      <c r="P438">
        <f>IF(B459=0,0,O438/B459)</f>
        <v/>
      </c>
      <c r="Q438" t="n">
        <v>0</v>
      </c>
      <c r="R438" t="n">
        <v>0</v>
      </c>
      <c r="S438">
        <f>IFERROR(O438/N438,0)</f>
        <v/>
      </c>
      <c r="T438" t="n">
        <v>0</v>
      </c>
      <c r="V438" t="n">
        <v>0</v>
      </c>
    </row>
    <row r="439">
      <c r="A439">
        <f>Skills!A24</f>
        <v/>
      </c>
      <c r="B439">
        <f>Skills!B24</f>
        <v/>
      </c>
      <c r="C439">
        <f>Inputs!$B$3&gt;=40</f>
        <v/>
      </c>
      <c r="D439">
        <f>IF(Skills!C24=1,60+Inputs!$B$25+Inputs!$B$29,IF(Skills!C24=2,90+Inputs!$B$26+Inputs!$B$29,IF(Skills!C24=3,120+Inputs!$B$27+Inputs!$B$29,MAX(0,(Inputs!$B$3-100)*3)+Inputs!$B$28+Inputs!$B$29)))</f>
        <v/>
      </c>
      <c r="E439">
        <f>INDEX(FactorTable!$B$2:$Y$301, MATCH(ROUND(MIN(300,MAX(1,D439)),0), FactorTable!$A$2:$A$301,0), Skills!M24+1)</f>
        <v/>
      </c>
      <c r="F439">
        <f>IF(Skills!N24=TRUE,(Skills!L24/10)*(E439/1000),Skills!L24/10)+Skills!O24</f>
        <v/>
      </c>
      <c r="G439">
        <f>Calc!G24</f>
        <v/>
      </c>
      <c r="H439">
        <f>Calc!H24</f>
        <v/>
      </c>
      <c r="I439">
        <f>IF(Skills!AA24&lt;&gt;"",1+(Skills!AA24/10)*(U418/1000)/100,1)</f>
        <v/>
      </c>
      <c r="J439" t="inlineStr"/>
      <c r="K439" t="inlineStr"/>
      <c r="L439" t="inlineStr"/>
      <c r="M439" t="inlineStr"/>
      <c r="N439" t="inlineStr"/>
      <c r="O439">
        <f>(1-Summary!$B$11)*T439+Summary!$B$11*V439</f>
        <v/>
      </c>
      <c r="P439">
        <f>IF(B459=0,0,O439/B459)</f>
        <v/>
      </c>
      <c r="Q439" t="n">
        <v>0</v>
      </c>
      <c r="R439" t="n">
        <v>0</v>
      </c>
      <c r="S439">
        <f>IFERROR(O439/N439,0)</f>
        <v/>
      </c>
      <c r="T439" t="n">
        <v>0</v>
      </c>
      <c r="V439" t="n">
        <v>0</v>
      </c>
    </row>
    <row r="440">
      <c r="A440">
        <f>Skills!A25</f>
        <v/>
      </c>
      <c r="B440">
        <f>Skills!B25</f>
        <v/>
      </c>
      <c r="C440">
        <f>Inputs!$B$3&gt;=45</f>
        <v/>
      </c>
      <c r="D440">
        <f>IF(Skills!C25=1,60+Inputs!$B$25+Inputs!$B$29,IF(Skills!C25=2,90+Inputs!$B$26+Inputs!$B$29,IF(Skills!C25=3,120+Inputs!$B$27+Inputs!$B$29,MAX(0,(Inputs!$B$3-100)*3)+Inputs!$B$28+Inputs!$B$29)))</f>
        <v/>
      </c>
      <c r="E440">
        <f>INDEX(FactorTable!$B$2:$Y$301, MATCH(ROUND(MIN(300,MAX(1,D440)),0), FactorTable!$A$2:$A$301,0), Skills!M25+1)</f>
        <v/>
      </c>
      <c r="F440">
        <f>IF(Skills!N25=TRUE,(Skills!L25/10)*(E440/1000),Skills!L25/10)+Skills!O25</f>
        <v/>
      </c>
      <c r="G440">
        <f>Calc!G25</f>
        <v/>
      </c>
      <c r="H440">
        <f>Calc!H25</f>
        <v/>
      </c>
      <c r="I440">
        <f>IF(Skills!AA25&lt;&gt;"",1+(Skills!AA25/10)*(U418/1000)/100,1)</f>
        <v/>
      </c>
      <c r="J440" t="inlineStr"/>
      <c r="K440" t="inlineStr"/>
      <c r="L440" t="inlineStr"/>
      <c r="M440" t="inlineStr"/>
      <c r="N440" t="inlineStr"/>
      <c r="O440">
        <f>(1-Summary!$B$11)*T440+Summary!$B$11*V440</f>
        <v/>
      </c>
      <c r="P440">
        <f>IF(B459=0,0,O440/B459)</f>
        <v/>
      </c>
      <c r="Q440" t="n">
        <v>0</v>
      </c>
      <c r="R440" t="n">
        <v>0</v>
      </c>
      <c r="S440">
        <f>IFERROR(O440/N440,0)</f>
        <v/>
      </c>
      <c r="T440" t="n">
        <v>0</v>
      </c>
      <c r="V440" t="n">
        <v>0</v>
      </c>
    </row>
    <row r="441">
      <c r="A441">
        <f>Skills!A26</f>
        <v/>
      </c>
      <c r="B441">
        <f>Skills!B26</f>
        <v/>
      </c>
      <c r="C441">
        <f>Inputs!$B$3&gt;=45</f>
        <v/>
      </c>
      <c r="D441">
        <f>IF(Skills!C26=1,60+Inputs!$B$25+Inputs!$B$29,IF(Skills!C26=2,90+Inputs!$B$26+Inputs!$B$29,IF(Skills!C26=3,120+Inputs!$B$27+Inputs!$B$29,MAX(0,(Inputs!$B$3-100)*3)+Inputs!$B$28+Inputs!$B$29)))</f>
        <v/>
      </c>
      <c r="E441">
        <f>INDEX(FactorTable!$B$2:$Y$301, MATCH(ROUND(MIN(300,MAX(1,D441)),0), FactorTable!$A$2:$A$301,0), Skills!M26+1)</f>
        <v/>
      </c>
      <c r="F441">
        <f>IF(Skills!N26=TRUE,(Skills!L26/10)*(E441/1000),Skills!L26/10)+Skills!O26</f>
        <v/>
      </c>
      <c r="G441">
        <f>Calc!G26</f>
        <v/>
      </c>
      <c r="H441">
        <f>Calc!H26</f>
        <v/>
      </c>
      <c r="I441">
        <f>IF(Skills!AA26&lt;&gt;"",1+(Skills!AA26/10)*(U418/1000)/100,1)</f>
        <v/>
      </c>
      <c r="J441" t="inlineStr"/>
      <c r="K441" t="inlineStr"/>
      <c r="L441" t="inlineStr"/>
      <c r="M441" t="inlineStr"/>
      <c r="N441" t="inlineStr"/>
      <c r="O441">
        <f>(1-Summary!$B$11)*T441+Summary!$B$11*V441</f>
        <v/>
      </c>
      <c r="P441">
        <f>IF(B459=0,0,O441/B459)</f>
        <v/>
      </c>
      <c r="Q441" t="n">
        <v>0</v>
      </c>
      <c r="R441" t="n">
        <v>0</v>
      </c>
      <c r="S441">
        <f>IFERROR(O441/N441,0)</f>
        <v/>
      </c>
      <c r="T441" t="n">
        <v>0</v>
      </c>
      <c r="V441" t="n">
        <v>0</v>
      </c>
    </row>
    <row r="442">
      <c r="A442">
        <f>Skills!A27</f>
        <v/>
      </c>
      <c r="B442">
        <f>Skills!B27</f>
        <v/>
      </c>
      <c r="C442">
        <f>Inputs!$B$3&gt;=72</f>
        <v/>
      </c>
      <c r="D442">
        <f>IF(Skills!C27=1,60+Inputs!$B$25+Inputs!$B$29,IF(Skills!C27=2,90+Inputs!$B$26+Inputs!$B$29,IF(Skills!C27=3,120+Inputs!$B$27+Inputs!$B$29,MAX(0,(Inputs!$B$3-100)*3)+Inputs!$B$28+Inputs!$B$29)))</f>
        <v/>
      </c>
      <c r="E442">
        <f>INDEX(FactorTable!$B$2:$Y$301, MATCH(ROUND(MIN(300,MAX(1,D442)),0), FactorTable!$A$2:$A$301,0), Skills!M27+1)</f>
        <v/>
      </c>
      <c r="F442">
        <f>IF(Skills!N27=TRUE,(Skills!L27/10)*(E442/1000),Skills!L27/10)+Skills!O27</f>
        <v/>
      </c>
      <c r="G442">
        <f>Calc!G27</f>
        <v/>
      </c>
      <c r="H442">
        <f>Calc!H27</f>
        <v/>
      </c>
      <c r="I442">
        <f>IF(Skills!AA27&lt;&gt;"",1+(Skills!AA27/10)*(U418/1000)/100,1)</f>
        <v/>
      </c>
      <c r="J442" t="inlineStr"/>
      <c r="K442" t="inlineStr"/>
      <c r="L442" t="inlineStr"/>
      <c r="M442" t="inlineStr"/>
      <c r="N442" t="inlineStr"/>
      <c r="O442">
        <f>(1-Summary!$B$11)*T442+Summary!$B$11*V442</f>
        <v/>
      </c>
      <c r="P442">
        <f>IF(B459=0,0,O442/B459)</f>
        <v/>
      </c>
      <c r="Q442" t="n">
        <v>0</v>
      </c>
      <c r="R442" t="n">
        <v>0</v>
      </c>
      <c r="S442">
        <f>IFERROR(O442/N442,0)</f>
        <v/>
      </c>
      <c r="T442" t="n">
        <v>0</v>
      </c>
      <c r="V442" t="n">
        <v>0</v>
      </c>
    </row>
    <row r="443">
      <c r="A443">
        <f>Skills!A28</f>
        <v/>
      </c>
      <c r="B443">
        <f>Skills!B28</f>
        <v/>
      </c>
      <c r="C443">
        <f>Inputs!$B$3&gt;=75</f>
        <v/>
      </c>
      <c r="D443">
        <f>IF(Skills!C28=1,60+Inputs!$B$25+Inputs!$B$29,IF(Skills!C28=2,90+Inputs!$B$26+Inputs!$B$29,IF(Skills!C28=3,120+Inputs!$B$27+Inputs!$B$29,MAX(0,(Inputs!$B$3-100)*3)+Inputs!$B$28+Inputs!$B$29)))</f>
        <v/>
      </c>
      <c r="E443">
        <f>INDEX(FactorTable!$B$2:$Y$301, MATCH(ROUND(MIN(300,MAX(1,D443)),0), FactorTable!$A$2:$A$301,0), Skills!M28+1)</f>
        <v/>
      </c>
      <c r="F443">
        <f>IF(Skills!N28=TRUE,(Skills!L28/10)*(E443/1000),Skills!L28/10)+Skills!O28</f>
        <v/>
      </c>
      <c r="G443">
        <f>Calc!G28</f>
        <v/>
      </c>
      <c r="H443">
        <f>Calc!H28</f>
        <v/>
      </c>
      <c r="I443">
        <f>IF(Skills!AA28&lt;&gt;"",1+(Skills!AA28/10)*(U418/1000)/100,1)</f>
        <v/>
      </c>
      <c r="J443" t="inlineStr"/>
      <c r="K443" t="inlineStr"/>
      <c r="L443" t="inlineStr"/>
      <c r="M443" t="inlineStr"/>
      <c r="N443" t="inlineStr"/>
      <c r="O443">
        <f>(1-Summary!$B$11)*T443+Summary!$B$11*V443</f>
        <v/>
      </c>
      <c r="P443">
        <f>IF(B459=0,0,O443/B459)</f>
        <v/>
      </c>
      <c r="Q443" t="n">
        <v>0</v>
      </c>
      <c r="R443" t="n">
        <v>0</v>
      </c>
      <c r="S443">
        <f>IFERROR(O443/N443,0)</f>
        <v/>
      </c>
      <c r="T443" t="n">
        <v>0</v>
      </c>
      <c r="V443" t="n">
        <v>0</v>
      </c>
    </row>
    <row r="444">
      <c r="A444">
        <f>Skills!A29</f>
        <v/>
      </c>
      <c r="B444">
        <f>Skills!B29</f>
        <v/>
      </c>
      <c r="C444">
        <f>Inputs!$B$3&gt;=120</f>
        <v/>
      </c>
      <c r="D444">
        <f>IF(Skills!C29=1,60+Inputs!$B$25+Inputs!$B$29,IF(Skills!C29=2,90+Inputs!$B$26+Inputs!$B$29,IF(Skills!C29=3,120+Inputs!$B$27+Inputs!$B$29,MAX(0,(Inputs!$B$3-100)*3)+Inputs!$B$28+Inputs!$B$29)))</f>
        <v/>
      </c>
      <c r="E444">
        <f>INDEX(FactorTable!$B$2:$Y$301, MATCH(ROUND(MIN(300,MAX(1,D444)),0), FactorTable!$A$2:$A$301,0), Skills!M29+1)</f>
        <v/>
      </c>
      <c r="F444">
        <f>IF(Skills!N29=TRUE,(Skills!L29/10)*(E444/1000),Skills!L29/10)+Skills!O29</f>
        <v/>
      </c>
      <c r="G444">
        <f>Calc!G29</f>
        <v/>
      </c>
      <c r="H444">
        <f>Calc!H29</f>
        <v/>
      </c>
      <c r="I444">
        <f>IF(Skills!AA29&lt;&gt;"",1+(Skills!AA29/10)*(U418/1000)/100,1)</f>
        <v/>
      </c>
      <c r="J444" t="inlineStr"/>
      <c r="K444" t="inlineStr"/>
      <c r="L444" t="inlineStr"/>
      <c r="M444" t="inlineStr"/>
      <c r="N444" t="inlineStr"/>
      <c r="O444">
        <f>(1-Summary!$B$11)*T444+Summary!$B$11*V444</f>
        <v/>
      </c>
      <c r="P444">
        <f>IF(B459=0,0,O444/B459)</f>
        <v/>
      </c>
      <c r="Q444" t="n">
        <v>0</v>
      </c>
      <c r="R444" t="n">
        <v>0</v>
      </c>
      <c r="S444">
        <f>IFERROR(O444/N444,0)</f>
        <v/>
      </c>
      <c r="T444" t="n">
        <v>0</v>
      </c>
      <c r="V444" t="n">
        <v>0</v>
      </c>
    </row>
    <row r="445">
      <c r="A445">
        <f>Skills!A30</f>
        <v/>
      </c>
      <c r="B445">
        <f>Skills!B30</f>
        <v/>
      </c>
      <c r="C445">
        <f>Inputs!$B$3&gt;=125</f>
        <v/>
      </c>
      <c r="D445">
        <f>IF(Skills!C30=1,60+Inputs!$B$25+Inputs!$B$29,IF(Skills!C30=2,90+Inputs!$B$26+Inputs!$B$29,IF(Skills!C30=3,120+Inputs!$B$27+Inputs!$B$29,MAX(0,(Inputs!$B$3-100)*3)+Inputs!$B$28+Inputs!$B$29)))</f>
        <v/>
      </c>
      <c r="E445">
        <f>INDEX(FactorTable!$B$2:$Y$301, MATCH(ROUND(MIN(300,MAX(1,D445)),0), FactorTable!$A$2:$A$301,0), Skills!M30+1)</f>
        <v/>
      </c>
      <c r="F445">
        <f>IF(Skills!N30=TRUE,(Skills!L30/10)*(E445/1000),Skills!L30/10)+Skills!O30</f>
        <v/>
      </c>
      <c r="G445">
        <f>Calc!G30</f>
        <v/>
      </c>
      <c r="H445">
        <f>Calc!H30</f>
        <v/>
      </c>
      <c r="I445">
        <f>IF(Skills!AA30&lt;&gt;"",1+(Skills!AA30/10)*(U418/1000)/100,1)</f>
        <v/>
      </c>
      <c r="J445" t="inlineStr"/>
      <c r="K445" t="inlineStr"/>
      <c r="L445" t="inlineStr"/>
      <c r="M445" t="inlineStr"/>
      <c r="N445" t="inlineStr"/>
      <c r="O445">
        <f>(1-Summary!$B$11)*T445+Summary!$B$11*V445</f>
        <v/>
      </c>
      <c r="P445">
        <f>IF(B459=0,0,O445/B459)</f>
        <v/>
      </c>
      <c r="Q445" t="n">
        <v>0</v>
      </c>
      <c r="R445" t="n">
        <v>0</v>
      </c>
      <c r="S445">
        <f>IFERROR(O445/N445,0)</f>
        <v/>
      </c>
      <c r="T445" t="n">
        <v>0</v>
      </c>
      <c r="V445" t="n">
        <v>0</v>
      </c>
    </row>
    <row r="446">
      <c r="A446">
        <f>Skills!A31</f>
        <v/>
      </c>
      <c r="B446">
        <f>Skills!B31</f>
        <v/>
      </c>
      <c r="C446">
        <f>Inputs!$B$3&gt;=107</f>
        <v/>
      </c>
      <c r="D446">
        <f>IF(Skills!C31=1,60+Inputs!$B$25+Inputs!$B$29,IF(Skills!C31=2,90+Inputs!$B$26+Inputs!$B$29,IF(Skills!C31=3,120+Inputs!$B$27+Inputs!$B$29,MAX(0,(Inputs!$B$3-100)*3)+Inputs!$B$28+Inputs!$B$29)))</f>
        <v/>
      </c>
      <c r="E446">
        <f>INDEX(FactorTable!$B$2:$Y$301, MATCH(ROUND(MIN(300,MAX(1,D446)),0), FactorTable!$A$2:$A$301,0), Skills!M31+1)</f>
        <v/>
      </c>
      <c r="F446">
        <f>IF(Skills!N31=TRUE,(Skills!L31/10)*(E446/1000),Skills!L31/10)+Skills!O31</f>
        <v/>
      </c>
      <c r="G446">
        <f>Calc!G31</f>
        <v/>
      </c>
      <c r="H446">
        <f>Calc!H31</f>
        <v/>
      </c>
      <c r="I446">
        <f>IF(Skills!AA31&lt;&gt;"",1+(Skills!AA31/10)*(U418/1000)/100,1)</f>
        <v/>
      </c>
      <c r="J446" t="inlineStr"/>
      <c r="K446" t="inlineStr"/>
      <c r="L446" t="inlineStr"/>
      <c r="M446" t="inlineStr"/>
      <c r="N446" t="inlineStr"/>
      <c r="O446">
        <f>(1-Summary!$B$11)*T446+Summary!$B$11*V446</f>
        <v/>
      </c>
      <c r="P446">
        <f>IF(B459=0,0,O446/B459)</f>
        <v/>
      </c>
      <c r="Q446" t="n">
        <v>0</v>
      </c>
      <c r="R446" t="n">
        <v>0</v>
      </c>
      <c r="S446">
        <f>IFERROR(O446/N446,0)</f>
        <v/>
      </c>
      <c r="T446" t="n">
        <v>0</v>
      </c>
      <c r="V446" t="n">
        <v>0</v>
      </c>
    </row>
    <row r="448">
      <c r="A448" t="inlineStr">
        <is>
          <t>Actions Per Second (pre-Adrenalin)</t>
        </is>
      </c>
      <c r="B448">
        <f>1+MIN(150,150*(1-(1-(Inputs!$B$11+((C437=TRUE)*(F437-Calc!F22))+(ArtifactsInput!$M$15-ArtifactsInput!$M$15)*CHOOSE(ArtifactsInput!$N$15+1,8,9.6,11.2,12.8,14.4,16))/150)*(1-((C434=TRUE)*F434*IF(AND(Inputs!$B$39&lt;&gt;"pvp",Inputs!$B$44&gt;0),(((R434-1)*(Skills!Y19*(1+Inputs!$B$34/100))+MIN((Skills!Y19*(1+Inputs!$B$34/100)),MAX(0,Inputs!$B$44-((R434-1)*Skills!D19))))/Inputs!$B$44),IF(Inputs!$B$39="pvp",MIN((Skills!Y19*(1+Inputs!$B$34/100)),15)/15,(Skills!Y19*(1+Inputs!$B$34/100))/Skills!D19)))/150)))/100</f>
        <v/>
      </c>
    </row>
    <row r="449">
      <c r="A449" t="inlineStr">
        <is>
          <t>Alchemic Adrenaline Uptime</t>
        </is>
      </c>
      <c r="B449">
        <f>(Skills!Y6*(1+Inputs!$B$34/100))/((Skills!Y6*(1+Inputs!$B$34/100))+(5/B448))</f>
        <v/>
      </c>
    </row>
    <row r="450">
      <c r="A450" t="inlineStr">
        <is>
          <t>Attack Speed Buff Bonus %</t>
        </is>
      </c>
      <c r="B450">
        <f>((C434=TRUE)*F434*IF(AND(Inputs!$B$39&lt;&gt;"pvp",Inputs!$B$44&gt;0),(((R434-1)*(Skills!Y19*(1+Inputs!$B$34/100))+MIN((Skills!Y19*(1+Inputs!$B$34/100)),MAX(0,Inputs!$B$44-((R434-1)*Skills!D19))))/Inputs!$B$44),IF(Inputs!$B$39="pvp",MIN((Skills!Y19*(1+Inputs!$B$34/100)),15)/15,(Skills!Y19*(1+Inputs!$B$34/100))/Skills!D19)))+((C422=TRUE)*F422*B449)</f>
        <v/>
      </c>
    </row>
    <row r="451">
      <c r="A451" t="inlineStr">
        <is>
          <t>Actions Per Second (final)</t>
        </is>
      </c>
      <c r="B451">
        <f>1+MIN(150,150*(1-(1-(Inputs!$B$11+((C437=TRUE)*(F437-Calc!F22))+(ArtifactsInput!$M$15-ArtifactsInput!$M$15)*CHOOSE(ArtifactsInput!$N$15+1,8,9.6,11.2,12.8,14.4,16))/150)*(1-B450/150)))/100</f>
        <v/>
      </c>
    </row>
    <row r="452">
      <c r="A452" t="inlineStr">
        <is>
          <t>Skill + Buff Cast Rate</t>
        </is>
      </c>
      <c r="B452">
        <f>IF(AND(Inputs!$B$39&lt;&gt;"pvp",Inputs!$B$44&gt;0),SUMPRODUCT((Skills!E2:E31=TRUE)*(C417:C446=TRUE)*R417:R446*Skills!F2:F31)/Inputs!$B$44,SUMPRODUCT((Skills!E2:E31=TRUE)*(C417:C446=TRUE)*Q417:Q446*Skills!F2:F31))</f>
        <v/>
      </c>
    </row>
    <row r="453">
      <c r="A453" t="inlineStr">
        <is>
          <t>Showdown Casts Per Second</t>
        </is>
      </c>
      <c r="B453">
        <f>MAX(0,B451-B452)</f>
        <v/>
      </c>
    </row>
    <row r="454">
      <c r="A454" t="inlineStr">
        <is>
          <t>Average Buff Multiplier</t>
        </is>
      </c>
      <c r="B454">
        <f>(1+(((C436=TRUE)*F436*IF(AND(Inputs!$B$39&lt;&gt;"pvp",Inputs!$B$44&gt;0),(((R436-1)*(Skills!Y21*(1+Inputs!$B$34/100))+MIN((Skills!Y21*(1+Inputs!$B$34/100)),MAX(0,Inputs!$B$44-((R436-1)*Skills!D21))))/Inputs!$B$44),IF(Inputs!$B$39="pvp",MIN((Skills!Y21*(1+Inputs!$B$34/100)),15)/15,(Skills!Y21*(1+Inputs!$B$34/100))/Skills!D21)))+((C443=TRUE)*(F443-Calc!F28))+((C433=TRUE)*(F433-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430=TRUE)*F430*IF(AND(Inputs!$B$39&lt;&gt;"pvp",Inputs!$B$44&gt;0),(((R430-1)*(Skills!Y15*(1+Inputs!$B$34/100))+MIN((Skills!Y15*(1+Inputs!$B$34/100)),MAX(0,Inputs!$B$44-((R430-1)*Skills!D15))))/Inputs!$B$44),IF(Inputs!$B$39="pvp",MIN((Skills!Y15*(1+Inputs!$B$34/100)),15)/15,(Skills!Y15*(1+Inputs!$B$34/100))/Skills!D15)))/100)*(1+((C421=TRUE)*F421*B449)/100)</f>
        <v/>
      </c>
    </row>
    <row r="455">
      <c r="A455" t="inlineStr">
        <is>
          <t>Global Crit Rate Bonus %</t>
        </is>
      </c>
      <c r="B455">
        <f>IF(Inputs!$B$3&gt;=47,8,0)+((C435=TRUE)*F435*IF(AND(Inputs!$B$39&lt;&gt;"pvp",Inputs!$B$44&gt;0),(((R435-1)*(Skills!Y20*(1+Inputs!$B$34/100))+MIN((Skills!Y20*(1+Inputs!$B$34/100)),MAX(0,Inputs!$B$44-((R435-1)*Skills!D20))))/Inputs!$B$44),IF(Inputs!$B$39="pvp",MIN((Skills!Y20*(1+Inputs!$B$34/100)),15)/15,(Skills!Y20*(1+Inputs!$B$34/100))/Skills!D20)))</f>
        <v/>
      </c>
    </row>
    <row r="456">
      <c r="A456" t="inlineStr">
        <is>
          <t>Global Monster Damage-Taken Bonus %</t>
        </is>
      </c>
      <c r="B456">
        <f>IF(Inputs!$B$3&gt;=82,15,0)+((C431=TRUE)*F431*IF(AND(Inputs!$B$39&lt;&gt;"pvp",Inputs!$B$44&gt;0),(((R431-1)*(Skills!Y16*(1+Inputs!$B$34/100))+MIN((Skills!Y16*(1+Inputs!$B$34/100)),MAX(0,Inputs!$B$44-((R431-1)*Skills!D16))))/Inputs!$B$44),IF(Inputs!$B$39="pvp",MIN((Skills!Y16*(1+Inputs!$B$34/100)),15)/15,(Skills!Y16*(1+Inputs!$B$34/100))/Skills!D16)))</f>
        <v/>
      </c>
    </row>
    <row r="457">
      <c r="A457" t="inlineStr">
        <is>
          <t>Shadow Partner Average Multiplier</t>
        </is>
      </c>
      <c r="B457">
        <f>1+((C426=TRUE)*F426*I426*Skills!J11/100)/100</f>
        <v/>
      </c>
    </row>
    <row r="458">
      <c r="A458" t="inlineStr">
        <is>
          <t>Global Critical Damage Bonus % (Frailty Curse Mastery Lv.111)</t>
        </is>
      </c>
      <c r="B458">
        <f>IF(Inputs!$B$3&gt;=111,30,0)*IF(AND(Inputs!$B$39&lt;&gt;"pvp",Inputs!$B$44&gt;0),(((R431-1)*(Skills!Y16*(1+Inputs!$B$34/100))+MIN((Skills!Y16*(1+Inputs!$B$34/100)),MAX(0,Inputs!$B$44-((R431-1)*Skills!D16))))/Inputs!$B$44),IF(Inputs!$B$39="pvp",MIN((Skills!Y16*(1+Inputs!$B$34/100)),15)/15,(Skills!Y16*(1+Inputs!$B$34/100))/Skills!D16))</f>
        <v/>
      </c>
    </row>
    <row r="459">
      <c r="A459" s="6" t="inlineStr">
        <is>
          <t>TOTAL DPS</t>
        </is>
      </c>
      <c r="B459" s="6">
        <f>SUM(O417:O446)</f>
        <v/>
      </c>
    </row>
    <row r="460">
      <c r="A460" t="inlineStr">
        <is>
          <t>Buff-Casting Startup Delay (s, fixed-duration only)</t>
        </is>
      </c>
      <c r="B460">
        <f>IF(AND(Inputs!$B$39&lt;&gt;"pvp",Inputs!$B$44&gt;0),SUMPRODUCT((Skills!Y2:Y31&gt;0)*(Skills!E2:E31=TRUE)*(C417:C446=TRUE))/B451,0)</f>
        <v/>
      </c>
    </row>
    <row r="461">
      <c r="A461" t="inlineStr">
        <is>
          <t>Boss-Only Total DPS (this block's swept value)</t>
        </is>
      </c>
      <c r="B461">
        <f>SUM(T417:T446)</f>
        <v/>
      </c>
    </row>
    <row r="462">
      <c r="A462" t="inlineStr">
        <is>
          <t>Normal-Only Total DPS (this block's swept value)</t>
        </is>
      </c>
      <c r="B462">
        <f>SUM(V417:V446)</f>
        <v/>
      </c>
    </row>
    <row r="464">
      <c r="A464" s="6" t="inlineStr">
        <is>
          <t>Stat: MIN_DAMAGE %</t>
        </is>
      </c>
    </row>
    <row r="465">
      <c r="A465" s="5" t="inlineStr">
        <is>
          <t>Key</t>
        </is>
      </c>
      <c r="B465" s="5" t="inlineStr">
        <is>
          <t>Name</t>
        </is>
      </c>
      <c r="C465" s="5" t="inlineStr">
        <is>
          <t>Unlocked</t>
        </is>
      </c>
      <c r="D465" s="5" t="inlineStr">
        <is>
          <t>InputLevel</t>
        </is>
      </c>
      <c r="E465" s="5" t="inlineStr">
        <is>
          <t>Factor</t>
        </is>
      </c>
      <c r="F465" s="5" t="inlineStr">
        <is>
          <t>CoefficientPercent</t>
        </is>
      </c>
      <c r="G465" s="5" t="inlineStr">
        <is>
          <t>EffectiveHits</t>
        </is>
      </c>
      <c r="H465" s="5" t="inlineStr">
        <is>
          <t>ProcProbability</t>
        </is>
      </c>
      <c r="I465" s="5" t="inlineStr">
        <is>
          <t>MapleHeroMultiplier</t>
        </is>
      </c>
      <c r="J465" s="5" t="inlineStr">
        <is>
          <t>BaseDamage</t>
        </is>
      </c>
      <c r="K465" s="5" t="inlineStr">
        <is>
          <t>BaseHitDamage</t>
        </is>
      </c>
      <c r="L465" s="5" t="inlineStr">
        <is>
          <t>NonCritAvg</t>
        </is>
      </c>
      <c r="M465" s="5" t="inlineStr">
        <is>
          <t>CritAvg</t>
        </is>
      </c>
      <c r="N465" s="5" t="inlineStr">
        <is>
          <t>ExpectedDamage(perHit)</t>
        </is>
      </c>
      <c r="O465" s="5" t="inlineStr">
        <is>
          <t>DPS</t>
        </is>
      </c>
      <c r="P465" s="5" t="inlineStr">
        <is>
          <t>% of Total</t>
        </is>
      </c>
      <c r="Q465" s="5" t="inlineStr">
        <is>
          <t>InvCooldown</t>
        </is>
      </c>
      <c r="R465" s="5" t="inlineStr">
        <is>
          <t>CastsInFight</t>
        </is>
      </c>
      <c r="S465" s="5" t="inlineStr">
        <is>
          <t>HitRate(perSec)</t>
        </is>
      </c>
      <c r="U465" t="inlineStr">
        <is>
          <t>helpers</t>
        </is>
      </c>
    </row>
    <row r="466">
      <c r="A466">
        <f>Skills!A2</f>
        <v/>
      </c>
      <c r="B466">
        <f>Skills!B2</f>
        <v/>
      </c>
      <c r="C466">
        <f>Inputs!$B$3&gt;=100</f>
        <v/>
      </c>
      <c r="D466" t="inlineStr"/>
      <c r="E466" t="inlineStr"/>
      <c r="F466">
        <f>U470+Skills!O2</f>
        <v/>
      </c>
      <c r="G466">
        <f>Calc!G2</f>
        <v/>
      </c>
      <c r="H466">
        <f>Calc!H2</f>
        <v/>
      </c>
      <c r="I466">
        <f>IF(Skills!AA2&lt;&gt;"",1+(Skills!AA2/10)*(U467/1000)/100,1)</f>
        <v/>
      </c>
      <c r="J466">
        <f>((Inputs!$B$6*(1+Inputs!$B$7/100))+(((Inputs!$B$12*(1+Inputs!$B$13/100))-(Inputs!$B$12*(1+Inputs!$B$13/100)))+0.25*(Inputs!$B$14-Inputs!$B$14))*(1+Inputs!$B$7/100))*(F466/100)</f>
        <v/>
      </c>
      <c r="K466">
        <f>J466*(1+((Inputs!$B$12*(1+Inputs!$B$13/100))*0.01+Inputs!$B$14*0.0025)/100)*(1+Inputs!$B$15/100)*(1+Inputs!$B$16/100)*(5000/(6000+Inputs!$B$43*(1-(100*(1-(1-(Inputs!$B$19+0)/100)*(1-CHOOSE(ArtifactsInput!$N$40+1,5,6,7,8,9,10)/100)^(ArtifactsInput!$M$40-ArtifactsInput!$M$40)))/100)))*(1+(Inputs!$B$24+((C494=TRUE)*(F494-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487=TRUE)*(F487-Calc!F23))+(((IF(AND(ArtifactsInput!$M$42,((Inputs!$B$9+((C489=TRUE)*(F489-Calc!F25))+B504+(ArtifactsInput!$M$24-ArtifactsInput!$M$24)*CHOOSE(ArtifactsInput!$N$24+1,10,12,14,16,18,20)+IF(ArtifactsInput!$M$10,CHOOSE(ArtifactsInput!$N$10+1,15,18,21,24,27,30)*(IF(Inputs!$B$39="pvp",MIN(15,15)/15,IF(AND(Inputs!$B$39&lt;&gt;"pvp",Inputs!$B$44&gt;0),MIN(15,Inputs!$B$44)/(Inputs!$B$44),0))),0)))&gt;=100),MIN(100,((Inputs!$B$9+((C489=TRUE)*(F489-Calc!F25))+B504+(ArtifactsInput!$M$24-ArtifactsInput!$M$24)*CHOOSE(ArtifactsInput!$N$24+1,10,12,14,16,18,20)+IF(ArtifactsInput!$M$10,CHOOSE(ArtifactsInput!$N$10+1,15,18,21,24,27,30)*(IF(Inputs!$B$39="pvp",MIN(15,15)/15,IF(AND(Inputs!$B$39&lt;&gt;"pvp",Inputs!$B$44&gt;0),MIN(15,Inputs!$B$44)/(Inputs!$B$44),0))),0)))-100),0))*CHOOSE(ArtifactsInput!$N$42+1,0.6,0.72,0.84,0.96,1.08,1.2))),Inputs!$B$18+((C493=TRUE)*(F493-Calc!F29))+(IF(AND(ArtifactsInput!$M$42,((Inputs!$B$9+((C489=TRUE)*(F489-Calc!F25))+B504+(ArtifactsInput!$M$24-ArtifactsInput!$M$24)*CHOOSE(ArtifactsInput!$N$24+1,10,12,14,16,18,20)+IF(ArtifactsInput!$M$10,CHOOSE(ArtifactsInput!$N$10+1,15,18,21,24,27,30)*(IF(Inputs!$B$39="pvp",MIN(15,15)/15,IF(AND(Inputs!$B$39&lt;&gt;"pvp",Inputs!$B$44&gt;0),MIN(15,Inputs!$B$44)/(Inputs!$B$44),0))),0)))&gt;=100),CHOOSE(ArtifactsInput!$N$42+1,40,48,56,64,72,80),0))))/100)*(((1+(((C485=TRUE)*F485*IF(AND(Inputs!$B$39&lt;&gt;"pvp",Inputs!$B$44&gt;0),(((R485-1)*(Skills!Y21*(1+Inputs!$B$34/100))+MIN((Skills!Y21*(1+Inputs!$B$34/100)),MAX(0,Inputs!$B$44-((R485-1)*Skills!D21))))/Inputs!$B$44),IF(Inputs!$B$39="pvp",MIN((Skills!Y21*(1+Inputs!$B$34/100)),15)/15,(Skills!Y21*(1+Inputs!$B$34/100))/Skills!D21)))+((C492=TRUE)*(F492-Calc!F28))+((C482=TRUE)*(F482-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479=TRUE)*F479*IF(AND(Inputs!$B$39&lt;&gt;"pvp",Inputs!$B$44&gt;0),(((R479-1)*(Skills!Y15*(1+Inputs!$B$34/100))+MIN((Skills!Y15*(1+Inputs!$B$34/100)),MAX(0,Inputs!$B$44-((R479-1)*Skills!D15))))/Inputs!$B$44),IF(Inputs!$B$39="pvp",MIN((Skills!Y15*(1+Inputs!$B$34/100)),15)/15,(Skills!Y15*(1+Inputs!$B$34/100))/Skills!D15)))/100)*(1+((C470=TRUE)*F470*B498)/100))*B506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466)</f>
        <v/>
      </c>
      <c r="L466">
        <f>K466*(MIN((Inputs!$B$22+1)+((C488=TRUE)*(F488-Calc!F24)),(Inputs!$B$23+0+(IF(ArtifactsInput!$M$15,CHOOSE(ArtifactsInput!$N$15+1,25,30,35,40,45,50)/100*(Inputs!$B$11-Inputs!$B$11),0))))/100+(Inputs!$B$23+0+(IF(ArtifactsInput!$M$15,CHOOSE(ArtifactsInput!$N$15+1,25,30,35,40,45,50)/100*(Inputs!$B$11-Inputs!$B$11),0)))/100)/2</f>
        <v/>
      </c>
      <c r="M466">
        <f>L466*(1+(Inputs!$B$10+((C490=TRUE)*(F490-Calc!F26))+B507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66">
        <f>L466*(1-MIN((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466*(MIN((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66">
        <f>(1-Summary!$B$11)*T466+Summary!$B$11*V466</f>
        <v/>
      </c>
      <c r="P466">
        <f>IF(B508=0,0,O466/B508)</f>
        <v/>
      </c>
      <c r="Q466" t="n">
        <v>0</v>
      </c>
      <c r="R466" t="n">
        <v>0</v>
      </c>
      <c r="S466">
        <f>IFERROR(O466/N466,0)</f>
        <v/>
      </c>
      <c r="T466">
        <f>IF(C466,(Skills!G2*N466*B502)*IF(Inputs!$B$39="pvp",1,1+(Inputs!$B$20+((C491=TRUE)*(F491-Calc!F27))+Skills!P2+B505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466*(1-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466*(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466*(1-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466*(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66">
        <f>MAX(0,(Inputs!$B$3-100)*3)+Inputs!$B$28+Inputs!$B$29</f>
        <v/>
      </c>
      <c r="V466">
        <f>IF(C466,(Skills!G2*N466*B502)*IF(Inputs!$B$39="pvp",1,(1+(Inputs!$B$21+Skills!Q2+B505+(IF(ArtifactsInput!$M$33,CHOOSE(ArtifactsInput!$N$33+1,30,36,42,48,54,60),0))+(IF(AND(ArtifactsInput!$M$35,Inputs!$B$4&lt;&gt;"Chapter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67">
      <c r="A467">
        <f>Skills!A3</f>
        <v/>
      </c>
      <c r="B467">
        <f>Skills!B3</f>
        <v/>
      </c>
      <c r="C467">
        <f>Inputs!$B$3&gt;=35</f>
        <v/>
      </c>
      <c r="D467">
        <f>IF(Skills!C3=1,60+Inputs!$B$25+Inputs!$B$29,IF(Skills!C3=2,90+Inputs!$B$26+Inputs!$B$29,IF(Skills!C3=3,120+Inputs!$B$27+Inputs!$B$29,MAX(0,(Inputs!$B$3-100)*3)+Inputs!$B$28+Inputs!$B$29)))</f>
        <v/>
      </c>
      <c r="E467">
        <f>INDEX(FactorTable!$B$2:$Y$301, MATCH(ROUND(MIN(300,MAX(1,D467)),0), FactorTable!$A$2:$A$301,0), Skills!M3+1)</f>
        <v/>
      </c>
      <c r="F467">
        <f>IF(Skills!N3=TRUE,(Skills!L3/10)*(E467/1000),Skills!L3/10)+Skills!O3</f>
        <v/>
      </c>
      <c r="G467">
        <f>Calc!G3</f>
        <v/>
      </c>
      <c r="H467">
        <f>Calc!H3</f>
        <v/>
      </c>
      <c r="I467">
        <f>IF(Skills!AA3&lt;&gt;"",1+(Skills!AA3/10)*(U467/1000)/100,1)</f>
        <v/>
      </c>
      <c r="J467">
        <f>((Inputs!$B$6*(1+Inputs!$B$7/100))+(((Inputs!$B$12*(1+Inputs!$B$13/100))-(Inputs!$B$12*(1+Inputs!$B$13/100)))+0.25*(Inputs!$B$14-Inputs!$B$14))*(1+Inputs!$B$7/100))*(F467/100)</f>
        <v/>
      </c>
      <c r="K467">
        <f>J467*(1+((Inputs!$B$12*(1+Inputs!$B$13/100))*0.01+Inputs!$B$14*0.0025)/100)*(1+Inputs!$B$15/100)*(1+Inputs!$B$16/100)*(5000/(6000+Inputs!$B$43*(1-(100*(1-(1-(Inputs!$B$19+0)/100)*(1-CHOOSE(ArtifactsInput!$N$40+1,5,6,7,8,9,10)/100)^(ArtifactsInput!$M$40-ArtifactsInput!$M$40)))/100)))*(1+(Inputs!$B$24+((C494=TRUE)*(F494-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487=TRUE)*(F487-Calc!F23))+(((IF(AND(ArtifactsInput!$M$42,((Inputs!$B$9+((C489=TRUE)*(F489-Calc!F25))+B504+(ArtifactsInput!$M$24-ArtifactsInput!$M$24)*CHOOSE(ArtifactsInput!$N$24+1,10,12,14,16,18,20)+IF(ArtifactsInput!$M$10,CHOOSE(ArtifactsInput!$N$10+1,15,18,21,24,27,30)*(IF(Inputs!$B$39="pvp",MIN(15,15)/15,IF(AND(Inputs!$B$39&lt;&gt;"pvp",Inputs!$B$44&gt;0),MIN(15,Inputs!$B$44)/(Inputs!$B$44),0))),0)))&gt;=100),MIN(100,((Inputs!$B$9+((C489=TRUE)*(F489-Calc!F25))+B504+(ArtifactsInput!$M$24-ArtifactsInput!$M$24)*CHOOSE(ArtifactsInput!$N$24+1,10,12,14,16,18,20)+IF(ArtifactsInput!$M$10,CHOOSE(ArtifactsInput!$N$10+1,15,18,21,24,27,30)*(IF(Inputs!$B$39="pvp",MIN(15,15)/15,IF(AND(Inputs!$B$39&lt;&gt;"pvp",Inputs!$B$44&gt;0),MIN(15,Inputs!$B$44)/(Inputs!$B$44),0))),0)))-100),0))*CHOOSE(ArtifactsInput!$N$42+1,0.6,0.72,0.84,0.96,1.08,1.2))),Inputs!$B$18+((C493=TRUE)*(F493-Calc!F29))+(IF(AND(ArtifactsInput!$M$42,((Inputs!$B$9+((C489=TRUE)*(F489-Calc!F25))+B504+(ArtifactsInput!$M$24-ArtifactsInput!$M$24)*CHOOSE(ArtifactsInput!$N$24+1,10,12,14,16,18,20)+IF(ArtifactsInput!$M$10,CHOOSE(ArtifactsInput!$N$10+1,15,18,21,24,27,30)*(IF(Inputs!$B$39="pvp",MIN(15,15)/15,IF(AND(Inputs!$B$39&lt;&gt;"pvp",Inputs!$B$44&gt;0),MIN(15,Inputs!$B$44)/(Inputs!$B$44),0))),0)))&gt;=100),CHOOSE(ArtifactsInput!$N$42+1,40,48,56,64,72,80),0))))/100)*(((1+(((C485=TRUE)*F485*IF(AND(Inputs!$B$39&lt;&gt;"pvp",Inputs!$B$44&gt;0),(((R485-1)*(Skills!Y21*(1+Inputs!$B$34/100))+MIN((Skills!Y21*(1+Inputs!$B$34/100)),MAX(0,Inputs!$B$44-((R485-1)*Skills!D21))))/Inputs!$B$44),IF(Inputs!$B$39="pvp",MIN((Skills!Y21*(1+Inputs!$B$34/100)),15)/15,(Skills!Y21*(1+Inputs!$B$34/100))/Skills!D21)))+((C492=TRUE)*(F492-Calc!F28))+((C482=TRUE)*(F482-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479=TRUE)*F479*IF(AND(Inputs!$B$39&lt;&gt;"pvp",Inputs!$B$44&gt;0),(((R479-1)*(Skills!Y15*(1+Inputs!$B$34/100))+MIN((Skills!Y15*(1+Inputs!$B$34/100)),MAX(0,Inputs!$B$44-((R479-1)*Skills!D15))))/Inputs!$B$44),IF(Inputs!$B$39="pvp",MIN((Skills!Y15*(1+Inputs!$B$34/100)),15)/15,(Skills!Y15*(1+Inputs!$B$34/100))/Skills!D15)))/100)*(1+((C470=TRUE)*F470*B498)/100))*B506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467)</f>
        <v/>
      </c>
      <c r="L467">
        <f>K467*(MIN((Inputs!$B$22+1)+((C488=TRUE)*(F488-Calc!F24)),(Inputs!$B$23+0+(IF(ArtifactsInput!$M$15,CHOOSE(ArtifactsInput!$N$15+1,25,30,35,40,45,50)/100*(Inputs!$B$11-Inputs!$B$11),0))))/100+(Inputs!$B$23+0+(IF(ArtifactsInput!$M$15,CHOOSE(ArtifactsInput!$N$15+1,25,30,35,40,45,50)/100*(Inputs!$B$11-Inputs!$B$11),0)))/100)/2</f>
        <v/>
      </c>
      <c r="M467">
        <f>L467*(1+(Inputs!$B$10+((C490=TRUE)*(F490-Calc!F26))+B507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67">
        <f>L467*(1-MIN((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467*(MIN((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67">
        <f>(1-Summary!$B$11)*T467+Summary!$B$11*V467</f>
        <v/>
      </c>
      <c r="P467">
        <f>IF(B508=0,0,O467/B508)</f>
        <v/>
      </c>
      <c r="Q467">
        <f>IFERROR(1/IF(Inputs!$B$39="pvp",15,MAX(0.1,Skills!D3-IF(Skills!E3=TRUE,Inputs!$B$32,0))),0)</f>
        <v/>
      </c>
      <c r="R467">
        <f>IF(AND(Inputs!$B$39&lt;&gt;"pvp",Inputs!$B$44&gt;0),IF(MAX(0,Inputs!$B$44-B509)&lt;=0,0,(INT(MAX(0,Inputs!$B$44-B509)/IF(Inputs!$B$39="pvp",15,MAX(0.1,Skills!D3-IF(Skills!E3=TRUE,Inputs!$B$32,0))))+1)),0)</f>
        <v/>
      </c>
      <c r="S467">
        <f>IFERROR(O467/N467,0)</f>
        <v/>
      </c>
      <c r="T467">
        <f>IF(C467,(H467*N467*IF(AND(Inputs!$B$39&lt;&gt;"pvp",Inputs!$B$44&gt;0),((Skills!G3*((R467-1)*IF(Skills!H3&gt;0,Skills!I3/Skills!H3,1)+IF(Skills!H3&gt;0,MIN(Skills!I3,MAX(0,MAX(0,Inputs!$B$44-B509)-((R467-1)*IF(Inputs!$B$39="pvp",15,MAX(0.1,Skills!D3-IF(Skills!E3=TRUE,Inputs!$B$32,0))))))/Skills!H3,1)))/Inputs!$B$44),G467*Q467))*IF(Inputs!$B$39="pvp",1,1+(Inputs!$B$20+((C491=TRUE)*(F491-Calc!F27))+Skills!P3+B505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467*(1-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467*(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467*(1-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467*(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67">
        <f>INDEX(FactorTable!$B$2:$Y$301, MATCH(ROUND(MIN(300,MAX(1,U466)),0), FactorTable!$A$2:$A$301,0), 24)</f>
        <v/>
      </c>
      <c r="V467">
        <f>IF(C467,(H467*N467*IF(AND(Inputs!$B$39&lt;&gt;"pvp",Inputs!$B$44&gt;0),((Skills!G3*((R467-1)*IF(Skills!H3&gt;0,Skills!I3/Skills!H3,1)+IF(Skills!H3&gt;0,MIN(Skills!I3,MAX(0,MAX(0,Inputs!$B$44-B509)-((R467-1)*IF(Inputs!$B$39="pvp",15,MAX(0.1,Skills!D3-IF(Skills!E3=TRUE,Inputs!$B$32,0))))))/Skills!H3,1)))/Inputs!$B$44),G467*Q467))*IF(Inputs!$B$39="pvp",1,(1+(Inputs!$B$21+Skills!Q3+B505+(IF(ArtifactsInput!$M$33,CHOOSE(ArtifactsInput!$N$33+1,30,36,42,48,54,60)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68">
      <c r="A468">
        <f>Skills!A4</f>
        <v/>
      </c>
      <c r="B468">
        <f>Skills!B4</f>
        <v/>
      </c>
      <c r="C468">
        <f>Inputs!$B$3&gt;=40</f>
        <v/>
      </c>
      <c r="D468">
        <f>IF(Skills!C4=1,60+Inputs!$B$25+Inputs!$B$29,IF(Skills!C4=2,90+Inputs!$B$26+Inputs!$B$29,IF(Skills!C4=3,120+Inputs!$B$27+Inputs!$B$29,MAX(0,(Inputs!$B$3-100)*3)+Inputs!$B$28+Inputs!$B$29)))</f>
        <v/>
      </c>
      <c r="E468">
        <f>INDEX(FactorTable!$B$2:$Y$301, MATCH(ROUND(MIN(300,MAX(1,D468)),0), FactorTable!$A$2:$A$301,0), Skills!M4+1)</f>
        <v/>
      </c>
      <c r="F468">
        <f>IF(Skills!N4=TRUE,(Skills!L4/10)*(E468/1000),Skills!L4/10)+Skills!O4</f>
        <v/>
      </c>
      <c r="G468">
        <f>Calc!G4</f>
        <v/>
      </c>
      <c r="H468">
        <f>Calc!H4</f>
        <v/>
      </c>
      <c r="I468">
        <f>IF(Skills!AA4&lt;&gt;"",1+(Skills!AA4/10)*(U467/1000)/100,1)</f>
        <v/>
      </c>
      <c r="J468">
        <f>((Inputs!$B$6*(1+Inputs!$B$7/100))+(((Inputs!$B$12*(1+Inputs!$B$13/100))-(Inputs!$B$12*(1+Inputs!$B$13/100)))+0.25*(Inputs!$B$14-Inputs!$B$14))*(1+Inputs!$B$7/100))*(F468/100)</f>
        <v/>
      </c>
      <c r="K468">
        <f>J468*(1+((Inputs!$B$12*(1+Inputs!$B$13/100))*0.01+Inputs!$B$14*0.0025)/100)*(1+Inputs!$B$15/100)*(1+Inputs!$B$16/100)*(5000/(6000+Inputs!$B$43*(1-(100*(1-(1-(Inputs!$B$19+0)/100)*(1-CHOOSE(ArtifactsInput!$N$40+1,5,6,7,8,9,10)/100)^(ArtifactsInput!$M$40-ArtifactsInput!$M$40)))/100)))*(1+(Inputs!$B$24+((C494=TRUE)*(F494-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487=TRUE)*(F487-Calc!F23))+(((IF(AND(ArtifactsInput!$M$42,((Inputs!$B$9+((C489=TRUE)*(F489-Calc!F25))+B504+(ArtifactsInput!$M$24-ArtifactsInput!$M$24)*CHOOSE(ArtifactsInput!$N$24+1,10,12,14,16,18,20)+IF(ArtifactsInput!$M$10,CHOOSE(ArtifactsInput!$N$10+1,15,18,21,24,27,30)*(IF(Inputs!$B$39="pvp",MIN(15,15)/15,IF(AND(Inputs!$B$39&lt;&gt;"pvp",Inputs!$B$44&gt;0),MIN(15,Inputs!$B$44)/(Inputs!$B$44),0))),0)))&gt;=100),MIN(100,((Inputs!$B$9+((C489=TRUE)*(F489-Calc!F25))+B504+(ArtifactsInput!$M$24-ArtifactsInput!$M$24)*CHOOSE(ArtifactsInput!$N$24+1,10,12,14,16,18,20)+IF(ArtifactsInput!$M$10,CHOOSE(ArtifactsInput!$N$10+1,15,18,21,24,27,30)*(IF(Inputs!$B$39="pvp",MIN(15,15)/15,IF(AND(Inputs!$B$39&lt;&gt;"pvp",Inputs!$B$44&gt;0),MIN(15,Inputs!$B$44)/(Inputs!$B$44),0))),0)))-100),0))*CHOOSE(ArtifactsInput!$N$42+1,0.6,0.72,0.84,0.96,1.08,1.2))),Inputs!$B$18+((C493=TRUE)*(F493-Calc!F29))+(IF(AND(ArtifactsInput!$M$42,((Inputs!$B$9+((C489=TRUE)*(F489-Calc!F25))+B504+(ArtifactsInput!$M$24-ArtifactsInput!$M$24)*CHOOSE(ArtifactsInput!$N$24+1,10,12,14,16,18,20)+IF(ArtifactsInput!$M$10,CHOOSE(ArtifactsInput!$N$10+1,15,18,21,24,27,30)*(IF(Inputs!$B$39="pvp",MIN(15,15)/15,IF(AND(Inputs!$B$39&lt;&gt;"pvp",Inputs!$B$44&gt;0),MIN(15,Inputs!$B$44)/(Inputs!$B$44),0))),0)))&gt;=100),CHOOSE(ArtifactsInput!$N$42+1,40,48,56,64,72,80),0))))/100)*(((1+(((C485=TRUE)*F485*IF(AND(Inputs!$B$39&lt;&gt;"pvp",Inputs!$B$44&gt;0),(((R485-1)*(Skills!Y21*(1+Inputs!$B$34/100))+MIN((Skills!Y21*(1+Inputs!$B$34/100)),MAX(0,Inputs!$B$44-((R485-1)*Skills!D21))))/Inputs!$B$44),IF(Inputs!$B$39="pvp",MIN((Skills!Y21*(1+Inputs!$B$34/100)),15)/15,(Skills!Y21*(1+Inputs!$B$34/100))/Skills!D21)))+((C492=TRUE)*(F492-Calc!F28))+((C482=TRUE)*(F482-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479=TRUE)*F479*IF(AND(Inputs!$B$39&lt;&gt;"pvp",Inputs!$B$44&gt;0),(((R479-1)*(Skills!Y15*(1+Inputs!$B$34/100))+MIN((Skills!Y15*(1+Inputs!$B$34/100)),MAX(0,Inputs!$B$44-((R479-1)*Skills!D15))))/Inputs!$B$44),IF(Inputs!$B$39="pvp",MIN((Skills!Y15*(1+Inputs!$B$34/100)),15)/15,(Skills!Y15*(1+Inputs!$B$34/100))/Skills!D15)))/100)*(1+((C470=TRUE)*F470*B498)/100))*B506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468)</f>
        <v/>
      </c>
      <c r="L468">
        <f>K468*(MIN((Inputs!$B$22+1)+((C488=TRUE)*(F488-Calc!F24)),(Inputs!$B$23+0+(IF(ArtifactsInput!$M$15,CHOOSE(ArtifactsInput!$N$15+1,25,30,35,40,45,50)/100*(Inputs!$B$11-Inputs!$B$11),0))))/100+(Inputs!$B$23+0+(IF(ArtifactsInput!$M$15,CHOOSE(ArtifactsInput!$N$15+1,25,30,35,40,45,50)/100*(Inputs!$B$11-Inputs!$B$11),0)))/100)/2</f>
        <v/>
      </c>
      <c r="M468">
        <f>L468*(1+(Inputs!$B$10+((C490=TRUE)*(F490-Calc!F26))+B507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68">
        <f>L468*(1-MIN((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468*(MIN((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68">
        <f>(1-Summary!$B$11)*T468+Summary!$B$11*V468</f>
        <v/>
      </c>
      <c r="P468">
        <f>IF(B508=0,0,O468/B508)</f>
        <v/>
      </c>
      <c r="Q468">
        <f>IFERROR(1/IF(Inputs!$B$39="pvp",15,MAX(0.1,Skills!D4-IF(Skills!E4=TRUE,Inputs!$B$32,0))),0)</f>
        <v/>
      </c>
      <c r="R468">
        <f>IF(AND(Inputs!$B$39&lt;&gt;"pvp",Inputs!$B$44&gt;0),IF(MAX(0,Inputs!$B$44-B509)&lt;=0,0,(INT(MAX(0,Inputs!$B$44-B509)/IF(Inputs!$B$39="pvp",15,MAX(0.1,Skills!D4-IF(Skills!E4=TRUE,Inputs!$B$32,0))))+1)),0)</f>
        <v/>
      </c>
      <c r="S468">
        <f>IFERROR(O468/N468,0)</f>
        <v/>
      </c>
      <c r="T468">
        <f>IF(C468,(H468*N468*IF(AND(Inputs!$B$39&lt;&gt;"pvp",Inputs!$B$44&gt;0),((Skills!G4*((R468-1)*IF(Skills!H4&gt;0,Skills!I4/Skills!H4,1)+IF(Skills!H4&gt;0,MIN(Skills!I4,MAX(0,MAX(0,Inputs!$B$44-B509)-((R468-1)*IF(Inputs!$B$39="pvp",15,MAX(0.1,Skills!D4-IF(Skills!E4=TRUE,Inputs!$B$32,0))))))/Skills!H4,1)))/Inputs!$B$44),G468*Q468))*IF(Inputs!$B$39="pvp",1,1+(Inputs!$B$20+((C491=TRUE)*(F491-Calc!F27))+Skills!P4+B505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468*(1-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468*(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468*(1-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468*(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68">
        <f>MAX(0,(Inputs!$B$3-100)*3)+Inputs!$B$28+Inputs!$B$29</f>
        <v/>
      </c>
      <c r="V468">
        <f>IF(C468,(H468*N468*IF(AND(Inputs!$B$39&lt;&gt;"pvp",Inputs!$B$44&gt;0),((Skills!G4*((R468-1)*IF(Skills!H4&gt;0,Skills!I4/Skills!H4,1)+IF(Skills!H4&gt;0,MIN(Skills!I4,MAX(0,MAX(0,Inputs!$B$44-B509)-((R468-1)*IF(Inputs!$B$39="pvp",15,MAX(0.1,Skills!D4-IF(Skills!E4=TRUE,Inputs!$B$32,0))))))/Skills!H4,1)))/Inputs!$B$44),G468*Q468))*IF(Inputs!$B$39="pvp",1,(1+(Inputs!$B$21+Skills!Q4+B505+(IF(ArtifactsInput!$M$33,CHOOSE(ArtifactsInput!$N$33+1,30,36,42,48,54,60)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69">
      <c r="A469">
        <f>Skills!A5</f>
        <v/>
      </c>
      <c r="B469">
        <f>Skills!B5</f>
        <v/>
      </c>
      <c r="C469">
        <f>Inputs!$B$3&gt;=63</f>
        <v/>
      </c>
      <c r="D469">
        <f>IF(Skills!C5=1,60+Inputs!$B$25+Inputs!$B$29,IF(Skills!C5=2,90+Inputs!$B$26+Inputs!$B$29,IF(Skills!C5=3,120+Inputs!$B$27+Inputs!$B$29,MAX(0,(Inputs!$B$3-100)*3)+Inputs!$B$28+Inputs!$B$29)))</f>
        <v/>
      </c>
      <c r="E469">
        <f>INDEX(FactorTable!$B$2:$Y$301, MATCH(ROUND(MIN(300,MAX(1,D469)),0), FactorTable!$A$2:$A$301,0), Skills!M5+1)</f>
        <v/>
      </c>
      <c r="F469">
        <f>IF(Skills!N5=TRUE,(Skills!L5/10)*(E469/1000),Skills!L5/10)+Skills!O5</f>
        <v/>
      </c>
      <c r="G469">
        <f>Calc!G5</f>
        <v/>
      </c>
      <c r="H469">
        <f>Calc!H5</f>
        <v/>
      </c>
      <c r="I469">
        <f>IF(Skills!AA5&lt;&gt;"",1+(Skills!AA5/10)*(U467/1000)/100,1)</f>
        <v/>
      </c>
      <c r="J469">
        <f>((Inputs!$B$6*(1+Inputs!$B$7/100))+(((Inputs!$B$12*(1+Inputs!$B$13/100))-(Inputs!$B$12*(1+Inputs!$B$13/100)))+0.25*(Inputs!$B$14-Inputs!$B$14))*(1+Inputs!$B$7/100))*(F469/100)</f>
        <v/>
      </c>
      <c r="K469">
        <f>J469*(1+((Inputs!$B$12*(1+Inputs!$B$13/100))*0.01+Inputs!$B$14*0.0025)/100)*(1+Inputs!$B$15/100)*(1+Inputs!$B$16/100)*(5000/(6000+Inputs!$B$43*(1-(100*(1-(1-(Inputs!$B$19+0)/100)*(1-CHOOSE(ArtifactsInput!$N$40+1,5,6,7,8,9,10)/100)^(ArtifactsInput!$M$40-ArtifactsInput!$M$40)))/100)))*(1+(Inputs!$B$24+((C494=TRUE)*(F494-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487=TRUE)*(F487-Calc!F23))+(((IF(AND(ArtifactsInput!$M$42,((Inputs!$B$9+((C489=TRUE)*(F489-Calc!F25))+B504+(ArtifactsInput!$M$24-ArtifactsInput!$M$24)*CHOOSE(ArtifactsInput!$N$24+1,10,12,14,16,18,20)+IF(ArtifactsInput!$M$10,CHOOSE(ArtifactsInput!$N$10+1,15,18,21,24,27,30)*(IF(Inputs!$B$39="pvp",MIN(15,15)/15,IF(AND(Inputs!$B$39&lt;&gt;"pvp",Inputs!$B$44&gt;0),MIN(15,Inputs!$B$44)/(Inputs!$B$44),0))),0)))&gt;=100),MIN(100,((Inputs!$B$9+((C489=TRUE)*(F489-Calc!F25))+B504+(ArtifactsInput!$M$24-ArtifactsInput!$M$24)*CHOOSE(ArtifactsInput!$N$24+1,10,12,14,16,18,20)+IF(ArtifactsInput!$M$10,CHOOSE(ArtifactsInput!$N$10+1,15,18,21,24,27,30)*(IF(Inputs!$B$39="pvp",MIN(15,15)/15,IF(AND(Inputs!$B$39&lt;&gt;"pvp",Inputs!$B$44&gt;0),MIN(15,Inputs!$B$44)/(Inputs!$B$44),0))),0)))-100),0))*CHOOSE(ArtifactsInput!$N$42+1,0.6,0.72,0.84,0.96,1.08,1.2))),Inputs!$B$18+((C493=TRUE)*(F493-Calc!F29))+(IF(AND(ArtifactsInput!$M$42,((Inputs!$B$9+((C489=TRUE)*(F489-Calc!F25))+B504+(ArtifactsInput!$M$24-ArtifactsInput!$M$24)*CHOOSE(ArtifactsInput!$N$24+1,10,12,14,16,18,20)+IF(ArtifactsInput!$M$10,CHOOSE(ArtifactsInput!$N$10+1,15,18,21,24,27,30)*(IF(Inputs!$B$39="pvp",MIN(15,15)/15,IF(AND(Inputs!$B$39&lt;&gt;"pvp",Inputs!$B$44&gt;0),MIN(15,Inputs!$B$44)/(Inputs!$B$44),0))),0)))&gt;=100),CHOOSE(ArtifactsInput!$N$42+1,40,48,56,64,72,80),0))))/100)*(((1+(((C485=TRUE)*F485*IF(AND(Inputs!$B$39&lt;&gt;"pvp",Inputs!$B$44&gt;0),(((R485-1)*(Skills!Y21*(1+Inputs!$B$34/100))+MIN((Skills!Y21*(1+Inputs!$B$34/100)),MAX(0,Inputs!$B$44-((R485-1)*Skills!D21))))/Inputs!$B$44),IF(Inputs!$B$39="pvp",MIN((Skills!Y21*(1+Inputs!$B$34/100)),15)/15,(Skills!Y21*(1+Inputs!$B$34/100))/Skills!D21)))+((C492=TRUE)*(F492-Calc!F28))+((C482=TRUE)*(F482-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479=TRUE)*F479*IF(AND(Inputs!$B$39&lt;&gt;"pvp",Inputs!$B$44&gt;0),(((R479-1)*(Skills!Y15*(1+Inputs!$B$34/100))+MIN((Skills!Y15*(1+Inputs!$B$34/100)),MAX(0,Inputs!$B$44-((R479-1)*Skills!D15))))/Inputs!$B$44),IF(Inputs!$B$39="pvp",MIN((Skills!Y15*(1+Inputs!$B$34/100)),15)/15,(Skills!Y15*(1+Inputs!$B$34/100))/Skills!D15)))/100)*(1+((C470=TRUE)*F470*B498)/100))*B506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469)</f>
        <v/>
      </c>
      <c r="L469">
        <f>K469*(MIN((Inputs!$B$22+1)+((C488=TRUE)*(F488-Calc!F24)),(Inputs!$B$23+0+(IF(ArtifactsInput!$M$15,CHOOSE(ArtifactsInput!$N$15+1,25,30,35,40,45,50)/100*(Inputs!$B$11-Inputs!$B$11),0))))/100+(Inputs!$B$23+0+(IF(ArtifactsInput!$M$15,CHOOSE(ArtifactsInput!$N$15+1,25,30,35,40,45,50)/100*(Inputs!$B$11-Inputs!$B$11),0)))/100)/2</f>
        <v/>
      </c>
      <c r="M469">
        <f>L469*(1+(Inputs!$B$10+((C490=TRUE)*(F490-Calc!F26))+B507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69">
        <f>L469*(1-MIN((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469*(MIN((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69">
        <f>(1-Summary!$B$11)*T469+Summary!$B$11*V469</f>
        <v/>
      </c>
      <c r="P469">
        <f>IF(B508=0,0,O469/B508)</f>
        <v/>
      </c>
      <c r="Q469">
        <f>IFERROR(1/IF(Inputs!$B$39="pvp",15,MAX(0.1,Skills!D5-IF(Skills!E5=TRUE,Inputs!$B$32,0))),0)</f>
        <v/>
      </c>
      <c r="R469">
        <f>IF(AND(Inputs!$B$39&lt;&gt;"pvp",Inputs!$B$44&gt;0),IF(MAX(0,Inputs!$B$44-B509)&lt;=0,0,(INT(MAX(0,Inputs!$B$44-B509)/IF(Inputs!$B$39="pvp",15,MAX(0.1,Skills!D5-IF(Skills!E5=TRUE,Inputs!$B$32,0))))+1)),0)</f>
        <v/>
      </c>
      <c r="S469">
        <f>IFERROR(O469/N469,0)</f>
        <v/>
      </c>
      <c r="T469">
        <f>IF(C469,(H469*N469*IF(AND(Inputs!$B$39&lt;&gt;"pvp",Inputs!$B$44&gt;0),((Skills!G5*((R469-1)*IF(Skills!H5&gt;0,Skills!I5/Skills!H5,1)+IF(Skills!H5&gt;0,MIN(Skills!I5,MAX(0,MAX(0,Inputs!$B$44-B509)-((R469-1)*IF(Inputs!$B$39="pvp",15,MAX(0.1,Skills!D5-IF(Skills!E5=TRUE,Inputs!$B$32,0))))))/Skills!H5,1)))/Inputs!$B$44),G469*Q469))*IF(Inputs!$B$39="pvp",1,1+(Inputs!$B$20+((C491=TRUE)*(F491-Calc!F27))+Skills!P5+B505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469*(1-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469*(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469*(1-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469*(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69">
        <f>INDEX(FactorTable!$B$2:$Y$301, MATCH(ROUND(MIN(300,MAX(1,U468)),0), FactorTable!$A$2:$A$301,0), 22)</f>
        <v/>
      </c>
      <c r="V469">
        <f>IF(C469,(H469*N469*IF(AND(Inputs!$B$39&lt;&gt;"pvp",Inputs!$B$44&gt;0),((Skills!G5*((R469-1)*IF(Skills!H5&gt;0,Skills!I5/Skills!H5,1)+IF(Skills!H5&gt;0,MIN(Skills!I5,MAX(0,MAX(0,Inputs!$B$44-B509)-((R469-1)*IF(Inputs!$B$39="pvp",15,MAX(0.1,Skills!D5-IF(Skills!E5=TRUE,Inputs!$B$32,0))))))/Skills!H5,1)))/Inputs!$B$44),G469*Q469))*IF(Inputs!$B$39="pvp",1,(1+(Inputs!$B$21+Skills!Q5+B505+(IF(ArtifactsInput!$M$33,CHOOSE(ArtifactsInput!$N$33+1,30,36,42,48,54,60)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70">
      <c r="A470">
        <f>Skills!A6</f>
        <v/>
      </c>
      <c r="B470">
        <f>Skills!B6</f>
        <v/>
      </c>
      <c r="C470">
        <f>Inputs!$B$3&gt;=66</f>
        <v/>
      </c>
      <c r="D470">
        <f>IF(Skills!C6=1,60+Inputs!$B$25+Inputs!$B$29,IF(Skills!C6=2,90+Inputs!$B$26+Inputs!$B$29,IF(Skills!C6=3,120+Inputs!$B$27+Inputs!$B$29,MAX(0,(Inputs!$B$3-100)*3)+Inputs!$B$28+Inputs!$B$29)))</f>
        <v/>
      </c>
      <c r="E470">
        <f>INDEX(FactorTable!$B$2:$Y$301, MATCH(ROUND(MIN(300,MAX(1,D470)),0), FactorTable!$A$2:$A$301,0), Skills!M6+1)</f>
        <v/>
      </c>
      <c r="F470">
        <f>IF(Skills!N6=TRUE,(Skills!L6/10)*(E470/1000),Skills!L6/10)+Skills!O6</f>
        <v/>
      </c>
      <c r="G470">
        <f>Calc!G6</f>
        <v/>
      </c>
      <c r="H470">
        <f>Calc!H6</f>
        <v/>
      </c>
      <c r="I470">
        <f>IF(Skills!AA6&lt;&gt;"",1+(Skills!AA6/10)*(U467/1000)/100,1)</f>
        <v/>
      </c>
      <c r="J470" t="inlineStr"/>
      <c r="K470" t="inlineStr"/>
      <c r="L470" t="inlineStr"/>
      <c r="M470" t="inlineStr"/>
      <c r="N470" t="inlineStr"/>
      <c r="O470">
        <f>(1-Summary!$B$11)*T470+Summary!$B$11*V470</f>
        <v/>
      </c>
      <c r="P470">
        <f>IF(B508=0,0,O470/B508)</f>
        <v/>
      </c>
      <c r="Q470" t="n">
        <v>0</v>
      </c>
      <c r="R470" t="n">
        <v>0</v>
      </c>
      <c r="S470">
        <f>IFERROR(O470/N470,0)</f>
        <v/>
      </c>
      <c r="T470" t="n">
        <v>0</v>
      </c>
      <c r="U470">
        <f>290*U469/1000</f>
        <v/>
      </c>
      <c r="V470" t="n">
        <v>0</v>
      </c>
    </row>
    <row r="471">
      <c r="A471">
        <f>Skills!A7</f>
        <v/>
      </c>
      <c r="B471">
        <f>Skills!B7</f>
        <v/>
      </c>
      <c r="C471">
        <f>Inputs!$B$3&gt;=66</f>
        <v/>
      </c>
      <c r="D471">
        <f>IF(Skills!C7=1,60+Inputs!$B$25+Inputs!$B$29,IF(Skills!C7=2,90+Inputs!$B$26+Inputs!$B$29,IF(Skills!C7=3,120+Inputs!$B$27+Inputs!$B$29,MAX(0,(Inputs!$B$3-100)*3)+Inputs!$B$28+Inputs!$B$29)))</f>
        <v/>
      </c>
      <c r="E471">
        <f>INDEX(FactorTable!$B$2:$Y$301, MATCH(ROUND(MIN(300,MAX(1,D471)),0), FactorTable!$A$2:$A$301,0), Skills!M7+1)</f>
        <v/>
      </c>
      <c r="F471">
        <f>IF(Skills!N7=TRUE,(Skills!L7/10)*(E471/1000),Skills!L7/10)+Skills!O7</f>
        <v/>
      </c>
      <c r="G471">
        <f>Calc!G7</f>
        <v/>
      </c>
      <c r="H471">
        <f>Calc!H7</f>
        <v/>
      </c>
      <c r="I471">
        <f>IF(Skills!AA7&lt;&gt;"",1+(Skills!AA7/10)*(U467/1000)/100,1)</f>
        <v/>
      </c>
      <c r="J471" t="inlineStr"/>
      <c r="K471" t="inlineStr"/>
      <c r="L471" t="inlineStr"/>
      <c r="M471" t="inlineStr"/>
      <c r="N471" t="inlineStr"/>
      <c r="O471">
        <f>(1-Summary!$B$11)*T471+Summary!$B$11*V471</f>
        <v/>
      </c>
      <c r="P471">
        <f>IF(B508=0,0,O471/B508)</f>
        <v/>
      </c>
      <c r="Q471" t="n">
        <v>0</v>
      </c>
      <c r="R471" t="n">
        <v>0</v>
      </c>
      <c r="S471">
        <f>IFERROR(O471/N471,0)</f>
        <v/>
      </c>
      <c r="T471" t="n">
        <v>0</v>
      </c>
      <c r="V471" t="n">
        <v>0</v>
      </c>
    </row>
    <row r="472">
      <c r="A472">
        <f>Skills!A8</f>
        <v/>
      </c>
      <c r="B472">
        <f>Skills!B8</f>
        <v/>
      </c>
      <c r="C472">
        <f>Inputs!$B$3&gt;=69</f>
        <v/>
      </c>
      <c r="D472">
        <f>IF(Skills!C8=1,60+Inputs!$B$25+Inputs!$B$29,IF(Skills!C8=2,90+Inputs!$B$26+Inputs!$B$29,IF(Skills!C8=3,120+Inputs!$B$27+Inputs!$B$29,MAX(0,(Inputs!$B$3-100)*3)+Inputs!$B$28+Inputs!$B$29)))</f>
        <v/>
      </c>
      <c r="E472">
        <f>INDEX(FactorTable!$B$2:$Y$301, MATCH(ROUND(MIN(300,MAX(1,D472)),0), FactorTable!$A$2:$A$301,0), Skills!M8+1)</f>
        <v/>
      </c>
      <c r="F472">
        <f>IF(Skills!N8=TRUE,(Skills!L8/10)*(E472/1000),Skills!L8/10)+Skills!O8</f>
        <v/>
      </c>
      <c r="G472">
        <f>Calc!G8</f>
        <v/>
      </c>
      <c r="H472">
        <f>Calc!H8</f>
        <v/>
      </c>
      <c r="I472">
        <f>IF(Skills!AA8&lt;&gt;"",1+(Skills!AA8/10)*(U467/1000)/100,1)</f>
        <v/>
      </c>
      <c r="J472">
        <f>((Inputs!$B$6*(1+Inputs!$B$7/100))+(((Inputs!$B$12*(1+Inputs!$B$13/100))-(Inputs!$B$12*(1+Inputs!$B$13/100)))+0.25*(Inputs!$B$14-Inputs!$B$14))*(1+Inputs!$B$7/100))*(F472/100)</f>
        <v/>
      </c>
      <c r="K472">
        <f>J472*(1+((Inputs!$B$12*(1+Inputs!$B$13/100))*0.01+Inputs!$B$14*0.0025)/100)*(1+Inputs!$B$15/100)*(1+Inputs!$B$16/100)*(5000/(6000+Inputs!$B$43*(1-(100*(1-(1-(Inputs!$B$19+0)/100)*(1-CHOOSE(ArtifactsInput!$N$40+1,5,6,7,8,9,10)/100)^(ArtifactsInput!$M$40-ArtifactsInput!$M$40)))/100)))*(1+(Inputs!$B$24+((C494=TRUE)*(F494-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487=TRUE)*(F487-Calc!F23))+(((IF(AND(ArtifactsInput!$M$42,((Inputs!$B$9+((C489=TRUE)*(F489-Calc!F25))+B504+(ArtifactsInput!$M$24-ArtifactsInput!$M$24)*CHOOSE(ArtifactsInput!$N$24+1,10,12,14,16,18,20)+IF(ArtifactsInput!$M$10,CHOOSE(ArtifactsInput!$N$10+1,15,18,21,24,27,30)*(IF(Inputs!$B$39="pvp",MIN(15,15)/15,IF(AND(Inputs!$B$39&lt;&gt;"pvp",Inputs!$B$44&gt;0),MIN(15,Inputs!$B$44)/(Inputs!$B$44),0))),0)))&gt;=100),MIN(100,((Inputs!$B$9+((C489=TRUE)*(F489-Calc!F25))+B504+(ArtifactsInput!$M$24-ArtifactsInput!$M$24)*CHOOSE(ArtifactsInput!$N$24+1,10,12,14,16,18,20)+IF(ArtifactsInput!$M$10,CHOOSE(ArtifactsInput!$N$10+1,15,18,21,24,27,30)*(IF(Inputs!$B$39="pvp",MIN(15,15)/15,IF(AND(Inputs!$B$39&lt;&gt;"pvp",Inputs!$B$44&gt;0),MIN(15,Inputs!$B$44)/(Inputs!$B$44),0))),0)))-100),0))*CHOOSE(ArtifactsInput!$N$42+1,0.6,0.72,0.84,0.96,1.08,1.2))),Inputs!$B$18+((C493=TRUE)*(F493-Calc!F29))+(IF(AND(ArtifactsInput!$M$42,((Inputs!$B$9+((C489=TRUE)*(F489-Calc!F25))+B504+(ArtifactsInput!$M$24-ArtifactsInput!$M$24)*CHOOSE(ArtifactsInput!$N$24+1,10,12,14,16,18,20)+IF(ArtifactsInput!$M$10,CHOOSE(ArtifactsInput!$N$10+1,15,18,21,24,27,30)*(IF(Inputs!$B$39="pvp",MIN(15,15)/15,IF(AND(Inputs!$B$39&lt;&gt;"pvp",Inputs!$B$44&gt;0),MIN(15,Inputs!$B$44)/(Inputs!$B$44),0))),0)))&gt;=100),CHOOSE(ArtifactsInput!$N$42+1,40,48,56,64,72,80),0))))/100)*(((1+(((C485=TRUE)*F485*IF(AND(Inputs!$B$39&lt;&gt;"pvp",Inputs!$B$44&gt;0),(((R485-1)*(Skills!Y21*(1+Inputs!$B$34/100))+MIN((Skills!Y21*(1+Inputs!$B$34/100)),MAX(0,Inputs!$B$44-((R485-1)*Skills!D21))))/Inputs!$B$44),IF(Inputs!$B$39="pvp",MIN((Skills!Y21*(1+Inputs!$B$34/100)),15)/15,(Skills!Y21*(1+Inputs!$B$34/100))/Skills!D21)))+((C492=TRUE)*(F492-Calc!F28))+((C482=TRUE)*(F482-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479=TRUE)*F479*IF(AND(Inputs!$B$39&lt;&gt;"pvp",Inputs!$B$44&gt;0),(((R479-1)*(Skills!Y15*(1+Inputs!$B$34/100))+MIN((Skills!Y15*(1+Inputs!$B$34/100)),MAX(0,Inputs!$B$44-((R479-1)*Skills!D15))))/Inputs!$B$44),IF(Inputs!$B$39="pvp",MIN((Skills!Y15*(1+Inputs!$B$34/100)),15)/15,(Skills!Y15*(1+Inputs!$B$34/100))/Skills!D15)))/100)*(1+((C470=TRUE)*F470*B498)/100))*B506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472)</f>
        <v/>
      </c>
      <c r="L472">
        <f>K472*(MIN((Inputs!$B$22+1)+((C488=TRUE)*(F488-Calc!F24)),(Inputs!$B$23+0+(IF(ArtifactsInput!$M$15,CHOOSE(ArtifactsInput!$N$15+1,25,30,35,40,45,50)/100*(Inputs!$B$11-Inputs!$B$11),0))))/100+(Inputs!$B$23+0+(IF(ArtifactsInput!$M$15,CHOOSE(ArtifactsInput!$N$15+1,25,30,35,40,45,50)/100*(Inputs!$B$11-Inputs!$B$11),0)))/100)/2</f>
        <v/>
      </c>
      <c r="M472">
        <f>L472*(1+(Inputs!$B$10+((C490=TRUE)*(F490-Calc!F26))+B507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72">
        <f>L472*(1-MIN((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472*(MIN((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72">
        <f>(1-Summary!$B$11)*T472+Summary!$B$11*V472</f>
        <v/>
      </c>
      <c r="P472">
        <f>IF(B508=0,0,O472/B508)</f>
        <v/>
      </c>
      <c r="Q472">
        <f>IFERROR(1/IF(Inputs!$B$39="pvp",15,MAX(0.1,Skills!D8-IF(Skills!E8=TRUE,Inputs!$B$32,0))),0)</f>
        <v/>
      </c>
      <c r="R472">
        <f>IF(AND(Inputs!$B$39&lt;&gt;"pvp",Inputs!$B$44&gt;0),IF(MAX(0,Inputs!$B$44-B509)&lt;=0,0,(INT(MAX(0,Inputs!$B$44-B509)/IF(Inputs!$B$39="pvp",15,MAX(0.1,Skills!D8-IF(Skills!E8=TRUE,Inputs!$B$32,0))))+1)),0)</f>
        <v/>
      </c>
      <c r="S472">
        <f>IFERROR(O472/N472,0)</f>
        <v/>
      </c>
      <c r="T472">
        <f>IF(C472,(H472*N472*IF(AND(Inputs!$B$39&lt;&gt;"pvp",Inputs!$B$44&gt;0),((Skills!G8*((R472-1)*IF(Skills!H8&gt;0,Skills!I8/Skills!H8,1)+IF(Skills!H8&gt;0,MIN(Skills!I8,MAX(0,MAX(0,Inputs!$B$44-B509)-((R472-1)*IF(Inputs!$B$39="pvp",15,MAX(0.1,Skills!D8-IF(Skills!E8=TRUE,Inputs!$B$32,0))))))/Skills!H8,1)))/Inputs!$B$44),G472*Q472))*IF(Inputs!$B$39="pvp",1,1+(Inputs!$B$20+((C491=TRUE)*(F491-Calc!F27))+Skills!P8+B505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472*(1-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472*(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472*(1-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472*(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72">
        <f>IF(C472,(H472*N472*IF(AND(Inputs!$B$39&lt;&gt;"pvp",Inputs!$B$44&gt;0),((Skills!G8*((R472-1)*IF(Skills!H8&gt;0,Skills!I8/Skills!H8,1)+IF(Skills!H8&gt;0,MIN(Skills!I8,MAX(0,MAX(0,Inputs!$B$44-B509)-((R472-1)*IF(Inputs!$B$39="pvp",15,MAX(0.1,Skills!D8-IF(Skills!E8=TRUE,Inputs!$B$32,0))))))/Skills!H8,1)))/Inputs!$B$44),G472*Q472))*IF(Inputs!$B$39="pvp",1,(1+(Inputs!$B$21+Skills!Q8+B505+(IF(ArtifactsInput!$M$33,CHOOSE(ArtifactsInput!$N$33+1,30,36,42,48,54,60)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73">
      <c r="A473">
        <f>Skills!A9</f>
        <v/>
      </c>
      <c r="B473">
        <f>Skills!B9</f>
        <v/>
      </c>
      <c r="C473">
        <f>Inputs!$B$3&gt;=72</f>
        <v/>
      </c>
      <c r="D473">
        <f>IF(Skills!C9=1,60+Inputs!$B$25+Inputs!$B$29,IF(Skills!C9=2,90+Inputs!$B$26+Inputs!$B$29,IF(Skills!C9=3,120+Inputs!$B$27+Inputs!$B$29,MAX(0,(Inputs!$B$3-100)*3)+Inputs!$B$28+Inputs!$B$29)))</f>
        <v/>
      </c>
      <c r="E473">
        <f>INDEX(FactorTable!$B$2:$Y$301, MATCH(ROUND(MIN(300,MAX(1,D473)),0), FactorTable!$A$2:$A$301,0), Skills!M9+1)</f>
        <v/>
      </c>
      <c r="F473">
        <f>IF(Skills!N9=TRUE,(Skills!L9/10)*(E473/1000),Skills!L9/10)+Skills!O9</f>
        <v/>
      </c>
      <c r="G473">
        <f>Calc!G9</f>
        <v/>
      </c>
      <c r="H473">
        <f>Calc!H9</f>
        <v/>
      </c>
      <c r="I473">
        <f>IF(Skills!AA9&lt;&gt;"",1+(Skills!AA9/10)*(U467/1000)/100,1)</f>
        <v/>
      </c>
      <c r="J473">
        <f>((Inputs!$B$6*(1+Inputs!$B$7/100))+(((Inputs!$B$12*(1+Inputs!$B$13/100))-(Inputs!$B$12*(1+Inputs!$B$13/100)))+0.25*(Inputs!$B$14-Inputs!$B$14))*(1+Inputs!$B$7/100))*(F473/100)</f>
        <v/>
      </c>
      <c r="K473">
        <f>J473*(1+((Inputs!$B$12*(1+Inputs!$B$13/100))*0.01+Inputs!$B$14*0.0025)/100)*(1+Inputs!$B$15/100)*(1+Inputs!$B$16/100)*(5000/(6000+Inputs!$B$43*(1-(100*(1-(1-(Inputs!$B$19+0)/100)*(1-CHOOSE(ArtifactsInput!$N$40+1,5,6,7,8,9,10)/100)^(ArtifactsInput!$M$40-ArtifactsInput!$M$40)))/100)))*(1+(Inputs!$B$24+((C494=TRUE)*(F494-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487=TRUE)*(F487-Calc!F23))+(((IF(AND(ArtifactsInput!$M$42,((Inputs!$B$9+((C489=TRUE)*(F489-Calc!F25))+B504+(ArtifactsInput!$M$24-ArtifactsInput!$M$24)*CHOOSE(ArtifactsInput!$N$24+1,10,12,14,16,18,20)+IF(ArtifactsInput!$M$10,CHOOSE(ArtifactsInput!$N$10+1,15,18,21,24,27,30)*(IF(Inputs!$B$39="pvp",MIN(15,15)/15,IF(AND(Inputs!$B$39&lt;&gt;"pvp",Inputs!$B$44&gt;0),MIN(15,Inputs!$B$44)/(Inputs!$B$44),0))),0)))&gt;=100),MIN(100,((Inputs!$B$9+((C489=TRUE)*(F489-Calc!F25))+B504+(ArtifactsInput!$M$24-ArtifactsInput!$M$24)*CHOOSE(ArtifactsInput!$N$24+1,10,12,14,16,18,20)+IF(ArtifactsInput!$M$10,CHOOSE(ArtifactsInput!$N$10+1,15,18,21,24,27,30)*(IF(Inputs!$B$39="pvp",MIN(15,15)/15,IF(AND(Inputs!$B$39&lt;&gt;"pvp",Inputs!$B$44&gt;0),MIN(15,Inputs!$B$44)/(Inputs!$B$44),0))),0)))-100),0))*CHOOSE(ArtifactsInput!$N$42+1,0.6,0.72,0.84,0.96,1.08,1.2))),Inputs!$B$18+((C493=TRUE)*(F493-Calc!F29))+(IF(AND(ArtifactsInput!$M$42,((Inputs!$B$9+((C489=TRUE)*(F489-Calc!F25))+B504+(ArtifactsInput!$M$24-ArtifactsInput!$M$24)*CHOOSE(ArtifactsInput!$N$24+1,10,12,14,16,18,20)+IF(ArtifactsInput!$M$10,CHOOSE(ArtifactsInput!$N$10+1,15,18,21,24,27,30)*(IF(Inputs!$B$39="pvp",MIN(15,15)/15,IF(AND(Inputs!$B$39&lt;&gt;"pvp",Inputs!$B$44&gt;0),MIN(15,Inputs!$B$44)/(Inputs!$B$44),0))),0)))&gt;=100),CHOOSE(ArtifactsInput!$N$42+1,40,48,56,64,72,80),0))))/100)*(((1+(((C485=TRUE)*F485*IF(AND(Inputs!$B$39&lt;&gt;"pvp",Inputs!$B$44&gt;0),(((R485-1)*(Skills!Y21*(1+Inputs!$B$34/100))+MIN((Skills!Y21*(1+Inputs!$B$34/100)),MAX(0,Inputs!$B$44-((R485-1)*Skills!D21))))/Inputs!$B$44),IF(Inputs!$B$39="pvp",MIN((Skills!Y21*(1+Inputs!$B$34/100)),15)/15,(Skills!Y21*(1+Inputs!$B$34/100))/Skills!D21)))+((C492=TRUE)*(F492-Calc!F28))+((C482=TRUE)*(F482-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479=TRUE)*F479*IF(AND(Inputs!$B$39&lt;&gt;"pvp",Inputs!$B$44&gt;0),(((R479-1)*(Skills!Y15*(1+Inputs!$B$34/100))+MIN((Skills!Y15*(1+Inputs!$B$34/100)),MAX(0,Inputs!$B$44-((R479-1)*Skills!D15))))/Inputs!$B$44),IF(Inputs!$B$39="pvp",MIN((Skills!Y15*(1+Inputs!$B$34/100)),15)/15,(Skills!Y15*(1+Inputs!$B$34/100))/Skills!D15)))/100)*(1+((C470=TRUE)*F470*B498)/100))*B506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473)</f>
        <v/>
      </c>
      <c r="L473">
        <f>K473*(MIN((Inputs!$B$22+1)+((C488=TRUE)*(F488-Calc!F24)),(Inputs!$B$23+0+(IF(ArtifactsInput!$M$15,CHOOSE(ArtifactsInput!$N$15+1,25,30,35,40,45,50)/100*(Inputs!$B$11-Inputs!$B$11),0))))/100+(Inputs!$B$23+0+(IF(ArtifactsInput!$M$15,CHOOSE(ArtifactsInput!$N$15+1,25,30,35,40,45,50)/100*(Inputs!$B$11-Inputs!$B$11),0)))/100)/2</f>
        <v/>
      </c>
      <c r="M473">
        <f>L473*(1+(Inputs!$B$10+((C490=TRUE)*(F490-Calc!F26))+B507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73">
        <f>L473*(1-MIN((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473*(MIN((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73">
        <f>(1-Summary!$B$11)*T473+Summary!$B$11*V473</f>
        <v/>
      </c>
      <c r="P473">
        <f>IF(B508=0,0,O473/B508)</f>
        <v/>
      </c>
      <c r="Q473">
        <f>IFERROR(1/IF(Inputs!$B$39="pvp",15,MAX(0.1,Skills!D9-IF(Skills!E9=TRUE,Inputs!$B$32,0))),0)</f>
        <v/>
      </c>
      <c r="R473">
        <f>IF(AND(Inputs!$B$39&lt;&gt;"pvp",Inputs!$B$44&gt;0),IF(MAX(0,Inputs!$B$44-B509)&lt;=0,0,(INT(MAX(0,Inputs!$B$44-B509)/IF(Inputs!$B$39="pvp",15,MAX(0.1,Skills!D9-IF(Skills!E9=TRUE,Inputs!$B$32,0))))+1)),0)</f>
        <v/>
      </c>
      <c r="S473">
        <f>IFERROR(O473/N473,0)</f>
        <v/>
      </c>
      <c r="T473">
        <f>IF(C473,(H473*N473*IF(AND(Inputs!$B$39&lt;&gt;"pvp",Inputs!$B$44&gt;0),((Skills!G9*((R473-1)*IF(Skills!H9&gt;0,Skills!I9/Skills!H9,1)+IF(Skills!H9&gt;0,MIN(Skills!I9,MAX(0,MAX(0,Inputs!$B$44-B509)-((R473-1)*IF(Inputs!$B$39="pvp",15,MAX(0.1,Skills!D9-IF(Skills!E9=TRUE,Inputs!$B$32,0))))))/Skills!H9,1)))/Inputs!$B$44),G473*Q473))*IF(Inputs!$B$39="pvp",1,1+(Inputs!$B$20+((C491=TRUE)*(F491-Calc!F27))+Skills!P9+B505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473*(1-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473*(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473*(1-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473*(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73">
        <f>IF(C473,(H473*N473*IF(AND(Inputs!$B$39&lt;&gt;"pvp",Inputs!$B$44&gt;0),((Skills!G9*((R473-1)*IF(Skills!H9&gt;0,Skills!I9/Skills!H9,1)+IF(Skills!H9&gt;0,MIN(Skills!I9,MAX(0,MAX(0,Inputs!$B$44-B509)-((R473-1)*IF(Inputs!$B$39="pvp",15,MAX(0.1,Skills!D9-IF(Skills!E9=TRUE,Inputs!$B$32,0))))))/Skills!H9,1)))/Inputs!$B$44),G473*Q473))*IF(Inputs!$B$39="pvp",1,(1+(Inputs!$B$21+Skills!Q9+B505+(IF(ArtifactsInput!$M$33,CHOOSE(ArtifactsInput!$N$33+1,30,36,42,48,54,60)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74">
      <c r="A474">
        <f>Skills!A10</f>
        <v/>
      </c>
      <c r="B474">
        <f>Skills!B10</f>
        <v/>
      </c>
      <c r="C474">
        <f>Inputs!$B$3&gt;=117</f>
        <v/>
      </c>
      <c r="D474">
        <f>IF(Skills!C10=1,60+Inputs!$B$25+Inputs!$B$29,IF(Skills!C10=2,90+Inputs!$B$26+Inputs!$B$29,IF(Skills!C10=3,120+Inputs!$B$27+Inputs!$B$29,MAX(0,(Inputs!$B$3-100)*3)+Inputs!$B$28+Inputs!$B$29)))</f>
        <v/>
      </c>
      <c r="E474">
        <f>INDEX(FactorTable!$B$2:$Y$301, MATCH(ROUND(MIN(300,MAX(1,D474)),0), FactorTable!$A$2:$A$301,0), Skills!M10+1)</f>
        <v/>
      </c>
      <c r="F474">
        <f>IF(Skills!N10=TRUE,(Skills!L10/10)*(E474/1000),Skills!L10/10)+Skills!O10</f>
        <v/>
      </c>
      <c r="G474">
        <f>Calc!G10</f>
        <v/>
      </c>
      <c r="H474">
        <f>Calc!H10</f>
        <v/>
      </c>
      <c r="I474">
        <f>IF(Skills!AA10&lt;&gt;"",1+(Skills!AA10/10)*(U467/1000)/100,1)</f>
        <v/>
      </c>
      <c r="J474">
        <f>((Inputs!$B$6*(1+Inputs!$B$7/100))+(((Inputs!$B$12*(1+Inputs!$B$13/100))-(Inputs!$B$12*(1+Inputs!$B$13/100)))+0.25*(Inputs!$B$14-Inputs!$B$14))*(1+Inputs!$B$7/100))*(F474/100)</f>
        <v/>
      </c>
      <c r="K474">
        <f>J474*(1+((Inputs!$B$12*(1+Inputs!$B$13/100))*0.01+Inputs!$B$14*0.0025)/100)*(1+Inputs!$B$15/100)*(1+Inputs!$B$16/100)*(5000/(6000+Inputs!$B$43*(1-(100*(1-(1-(Inputs!$B$19+0)/100)*(1-CHOOSE(ArtifactsInput!$N$40+1,5,6,7,8,9,10)/100)^(ArtifactsInput!$M$40-ArtifactsInput!$M$40)))/100)))*(1+(Inputs!$B$24+((C494=TRUE)*(F494-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487=TRUE)*(F487-Calc!F23))+(((IF(AND(ArtifactsInput!$M$42,((Inputs!$B$9+((C489=TRUE)*(F489-Calc!F25))+B504+(ArtifactsInput!$M$24-ArtifactsInput!$M$24)*CHOOSE(ArtifactsInput!$N$24+1,10,12,14,16,18,20)+IF(ArtifactsInput!$M$10,CHOOSE(ArtifactsInput!$N$10+1,15,18,21,24,27,30)*(IF(Inputs!$B$39="pvp",MIN(15,15)/15,IF(AND(Inputs!$B$39&lt;&gt;"pvp",Inputs!$B$44&gt;0),MIN(15,Inputs!$B$44)/(Inputs!$B$44),0))),0)))&gt;=100),MIN(100,((Inputs!$B$9+((C489=TRUE)*(F489-Calc!F25))+B504+(ArtifactsInput!$M$24-ArtifactsInput!$M$24)*CHOOSE(ArtifactsInput!$N$24+1,10,12,14,16,18,20)+IF(ArtifactsInput!$M$10,CHOOSE(ArtifactsInput!$N$10+1,15,18,21,24,27,30)*(IF(Inputs!$B$39="pvp",MIN(15,15)/15,IF(AND(Inputs!$B$39&lt;&gt;"pvp",Inputs!$B$44&gt;0),MIN(15,Inputs!$B$44)/(Inputs!$B$44),0))),0)))-100),0))*CHOOSE(ArtifactsInput!$N$42+1,0.6,0.72,0.84,0.96,1.08,1.2))),Inputs!$B$18+((C493=TRUE)*(F493-Calc!F29))+(IF(AND(ArtifactsInput!$M$42,((Inputs!$B$9+((C489=TRUE)*(F489-Calc!F25))+B504+(ArtifactsInput!$M$24-ArtifactsInput!$M$24)*CHOOSE(ArtifactsInput!$N$24+1,10,12,14,16,18,20)+IF(ArtifactsInput!$M$10,CHOOSE(ArtifactsInput!$N$10+1,15,18,21,24,27,30)*(IF(Inputs!$B$39="pvp",MIN(15,15)/15,IF(AND(Inputs!$B$39&lt;&gt;"pvp",Inputs!$B$44&gt;0),MIN(15,Inputs!$B$44)/(Inputs!$B$44),0))),0)))&gt;=100),CHOOSE(ArtifactsInput!$N$42+1,40,48,56,64,72,80),0))))/100)*(((1+(((C485=TRUE)*F485*IF(AND(Inputs!$B$39&lt;&gt;"pvp",Inputs!$B$44&gt;0),(((R485-1)*(Skills!Y21*(1+Inputs!$B$34/100))+MIN((Skills!Y21*(1+Inputs!$B$34/100)),MAX(0,Inputs!$B$44-((R485-1)*Skills!D21))))/Inputs!$B$44),IF(Inputs!$B$39="pvp",MIN((Skills!Y21*(1+Inputs!$B$34/100)),15)/15,(Skills!Y21*(1+Inputs!$B$34/100))/Skills!D21)))+((C492=TRUE)*(F492-Calc!F28))+((C482=TRUE)*(F482-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479=TRUE)*F479*IF(AND(Inputs!$B$39&lt;&gt;"pvp",Inputs!$B$44&gt;0),(((R479-1)*(Skills!Y15*(1+Inputs!$B$34/100))+MIN((Skills!Y15*(1+Inputs!$B$34/100)),MAX(0,Inputs!$B$44-((R479-1)*Skills!D15))))/Inputs!$B$44),IF(Inputs!$B$39="pvp",MIN((Skills!Y15*(1+Inputs!$B$34/100)),15)/15,(Skills!Y15*(1+Inputs!$B$34/100))/Skills!D15)))/100)*(1+((C470=TRUE)*F470*B498)/100))*B506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474)</f>
        <v/>
      </c>
      <c r="L474">
        <f>K474*(MIN((Inputs!$B$22+1)+((C488=TRUE)*(F488-Calc!F24)),(Inputs!$B$23+0+(IF(ArtifactsInput!$M$15,CHOOSE(ArtifactsInput!$N$15+1,25,30,35,40,45,50)/100*(Inputs!$B$11-Inputs!$B$11),0))))/100+(Inputs!$B$23+0+(IF(ArtifactsInput!$M$15,CHOOSE(ArtifactsInput!$N$15+1,25,30,35,40,45,50)/100*(Inputs!$B$11-Inputs!$B$11),0)))/100)/2</f>
        <v/>
      </c>
      <c r="M474">
        <f>L474*(1+(Inputs!$B$10+((C490=TRUE)*(F490-Calc!F26))+B507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74">
        <f>L474*(1-MIN((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474*(MIN((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74">
        <f>(1-Summary!$B$11)*T474+Summary!$B$11*V474</f>
        <v/>
      </c>
      <c r="P474">
        <f>IF(B508=0,0,O474/B508)</f>
        <v/>
      </c>
      <c r="Q474" t="n">
        <v>0</v>
      </c>
      <c r="R474" t="n">
        <v>0</v>
      </c>
      <c r="S474" t="n">
        <v>0</v>
      </c>
      <c r="T474">
        <f>IF(C474,(0.2*SUMPRODUCT((Skills!Z2:Z31=TRUE)*(C466:C495=TRUE)*S466:S495)*N474)*IF(Inputs!$B$39="pvp",1,1+(Inputs!$B$20+((C491=TRUE)*(F491-Calc!F27))+Skills!P10+B505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474*(1-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474*(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474*(1-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474*(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74">
        <f>IF(C474,(0.2*SUMPRODUCT((Skills!Z2:Z31=TRUE)*(C466:C495=TRUE)*S466:S495)*N474)*IF(Inputs!$B$39="pvp",1,(1+(Inputs!$B$21+Skills!Q10+B505+(IF(ArtifactsInput!$M$33,CHOOSE(ArtifactsInput!$N$33+1,30,36,42,48,54,60),0))+(IF(AND(ArtifactsInput!$M$35,Inputs!$B$4&lt;&gt;"Chapter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75">
      <c r="A475">
        <f>Skills!A11</f>
        <v/>
      </c>
      <c r="B475">
        <f>Skills!B11</f>
        <v/>
      </c>
      <c r="C475">
        <f>Inputs!$B$3&gt;=60</f>
        <v/>
      </c>
      <c r="D475">
        <f>IF(Skills!C11=1,60+Inputs!$B$25+Inputs!$B$29,IF(Skills!C11=2,90+Inputs!$B$26+Inputs!$B$29,IF(Skills!C11=3,120+Inputs!$B$27+Inputs!$B$29,MAX(0,(Inputs!$B$3-100)*3)+Inputs!$B$28+Inputs!$B$29)))</f>
        <v/>
      </c>
      <c r="E475">
        <f>INDEX(FactorTable!$B$2:$Y$301, MATCH(ROUND(MIN(300,MAX(1,D475)),0), FactorTable!$A$2:$A$301,0), Skills!M11+1)</f>
        <v/>
      </c>
      <c r="F475">
        <f>IF(Skills!N11=TRUE,(Skills!L11/10)*(E475/1000),Skills!L11/10)+Skills!O11</f>
        <v/>
      </c>
      <c r="G475">
        <f>Calc!G11</f>
        <v/>
      </c>
      <c r="H475">
        <f>Calc!H11</f>
        <v/>
      </c>
      <c r="I475">
        <f>IF(Skills!AA11&lt;&gt;"",1+(Skills!AA11/10)*(U467/1000)/100,1)</f>
        <v/>
      </c>
      <c r="J475" t="inlineStr"/>
      <c r="K475" t="inlineStr"/>
      <c r="L475" t="inlineStr"/>
      <c r="M475" t="inlineStr"/>
      <c r="N475" t="inlineStr"/>
      <c r="O475">
        <f>(1-Summary!$B$11)*T475+Summary!$B$11*V475</f>
        <v/>
      </c>
      <c r="P475">
        <f>IF(B508=0,0,O475/B508)</f>
        <v/>
      </c>
      <c r="Q475" t="n">
        <v>0</v>
      </c>
      <c r="R475" t="n">
        <v>0</v>
      </c>
      <c r="S475">
        <f>IFERROR(O475/N475,0)</f>
        <v/>
      </c>
      <c r="T475" t="n">
        <v>0</v>
      </c>
      <c r="V475" t="n">
        <v>0</v>
      </c>
    </row>
    <row r="476">
      <c r="A476">
        <f>Skills!A12</f>
        <v/>
      </c>
      <c r="B476">
        <f>Skills!B12</f>
        <v/>
      </c>
      <c r="C476">
        <f>Inputs!$B$3&gt;=103</f>
        <v/>
      </c>
      <c r="D476">
        <f>IF(Skills!C12=1,60+Inputs!$B$25+Inputs!$B$29,IF(Skills!C12=2,90+Inputs!$B$26+Inputs!$B$29,IF(Skills!C12=3,120+Inputs!$B$27+Inputs!$B$29,MAX(0,(Inputs!$B$3-100)*3)+Inputs!$B$28+Inputs!$B$29)))</f>
        <v/>
      </c>
      <c r="E476">
        <f>INDEX(FactorTable!$B$2:$Y$301, MATCH(ROUND(MIN(300,MAX(1,D476)),0), FactorTable!$A$2:$A$301,0), Skills!M12+1)</f>
        <v/>
      </c>
      <c r="F476">
        <f>IF(Skills!N12=TRUE,(Skills!L12/10)*(E476/1000),Skills!L12/10)+Skills!O12</f>
        <v/>
      </c>
      <c r="G476">
        <f>Calc!G12</f>
        <v/>
      </c>
      <c r="H476">
        <f>Calc!H12</f>
        <v/>
      </c>
      <c r="I476">
        <f>IF(Skills!AA12&lt;&gt;"",1+(Skills!AA12/10)*(U467/1000)/100,1)</f>
        <v/>
      </c>
      <c r="J476">
        <f>((Inputs!$B$6*(1+Inputs!$B$7/100))+(((Inputs!$B$12*(1+Inputs!$B$13/100))-(Inputs!$B$12*(1+Inputs!$B$13/100)))+0.25*(Inputs!$B$14-Inputs!$B$14))*(1+Inputs!$B$7/100))*(F476/100)</f>
        <v/>
      </c>
      <c r="K476">
        <f>J476*(1+((Inputs!$B$12*(1+Inputs!$B$13/100))*0.01+Inputs!$B$14*0.0025)/100)*(1+Inputs!$B$15/100)*(1+Inputs!$B$16/100)*(5000/(6000+Inputs!$B$43*(1-(100*(1-(1-(Inputs!$B$19+0)/100)*(1-CHOOSE(ArtifactsInput!$N$40+1,5,6,7,8,9,10)/100)^(ArtifactsInput!$M$40-ArtifactsInput!$M$40)))/100)))*(1+(Inputs!$B$24+((C494=TRUE)*(F494-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487=TRUE)*(F487-Calc!F23))+(((IF(AND(ArtifactsInput!$M$42,((Inputs!$B$9+((C489=TRUE)*(F489-Calc!F25))+B504+(ArtifactsInput!$M$24-ArtifactsInput!$M$24)*CHOOSE(ArtifactsInput!$N$24+1,10,12,14,16,18,20)+IF(ArtifactsInput!$M$10,CHOOSE(ArtifactsInput!$N$10+1,15,18,21,24,27,30)*(IF(Inputs!$B$39="pvp",MIN(15,15)/15,IF(AND(Inputs!$B$39&lt;&gt;"pvp",Inputs!$B$44&gt;0),MIN(15,Inputs!$B$44)/(Inputs!$B$44),0))),0)))&gt;=100),MIN(100,((Inputs!$B$9+((C489=TRUE)*(F489-Calc!F25))+B504+(ArtifactsInput!$M$24-ArtifactsInput!$M$24)*CHOOSE(ArtifactsInput!$N$24+1,10,12,14,16,18,20)+IF(ArtifactsInput!$M$10,CHOOSE(ArtifactsInput!$N$10+1,15,18,21,24,27,30)*(IF(Inputs!$B$39="pvp",MIN(15,15)/15,IF(AND(Inputs!$B$39&lt;&gt;"pvp",Inputs!$B$44&gt;0),MIN(15,Inputs!$B$44)/(Inputs!$B$44),0))),0)))-100),0))*CHOOSE(ArtifactsInput!$N$42+1,0.6,0.72,0.84,0.96,1.08,1.2))),Inputs!$B$18+((C493=TRUE)*(F493-Calc!F29))+(IF(AND(ArtifactsInput!$M$42,((Inputs!$B$9+((C489=TRUE)*(F489-Calc!F25))+B504+(ArtifactsInput!$M$24-ArtifactsInput!$M$24)*CHOOSE(ArtifactsInput!$N$24+1,10,12,14,16,18,20)+IF(ArtifactsInput!$M$10,CHOOSE(ArtifactsInput!$N$10+1,15,18,21,24,27,30)*(IF(Inputs!$B$39="pvp",MIN(15,15)/15,IF(AND(Inputs!$B$39&lt;&gt;"pvp",Inputs!$B$44&gt;0),MIN(15,Inputs!$B$44)/(Inputs!$B$44),0))),0)))&gt;=100),CHOOSE(ArtifactsInput!$N$42+1,40,48,56,64,72,80),0))))/100)*(((1+(((C485=TRUE)*F485*IF(AND(Inputs!$B$39&lt;&gt;"pvp",Inputs!$B$44&gt;0),(((R485-1)*(Skills!Y21*(1+Inputs!$B$34/100))+MIN((Skills!Y21*(1+Inputs!$B$34/100)),MAX(0,Inputs!$B$44-((R485-1)*Skills!D21))))/Inputs!$B$44),IF(Inputs!$B$39="pvp",MIN((Skills!Y21*(1+Inputs!$B$34/100)),15)/15,(Skills!Y21*(1+Inputs!$B$34/100))/Skills!D21)))+((C492=TRUE)*(F492-Calc!F28))+((C482=TRUE)*(F482-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479=TRUE)*F479*IF(AND(Inputs!$B$39&lt;&gt;"pvp",Inputs!$B$44&gt;0),(((R479-1)*(Skills!Y15*(1+Inputs!$B$34/100))+MIN((Skills!Y15*(1+Inputs!$B$34/100)),MAX(0,Inputs!$B$44-((R479-1)*Skills!D15))))/Inputs!$B$44),IF(Inputs!$B$39="pvp",MIN((Skills!Y15*(1+Inputs!$B$34/100)),15)/15,(Skills!Y15*(1+Inputs!$B$34/100))/Skills!D15)))/100)*(1+((C470=TRUE)*F470*B498)/100))*B506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476)</f>
        <v/>
      </c>
      <c r="L476">
        <f>K476*(MIN((Inputs!$B$22+1)+((C488=TRUE)*(F488-Calc!F24)),(Inputs!$B$23+0+(IF(ArtifactsInput!$M$15,CHOOSE(ArtifactsInput!$N$15+1,25,30,35,40,45,50)/100*(Inputs!$B$11-Inputs!$B$11),0))))/100+(Inputs!$B$23+0+(IF(ArtifactsInput!$M$15,CHOOSE(ArtifactsInput!$N$15+1,25,30,35,40,45,50)/100*(Inputs!$B$11-Inputs!$B$11),0)))/100)/2</f>
        <v/>
      </c>
      <c r="M476">
        <f>L476*(1+(Inputs!$B$10+((C490=TRUE)*(F490-Calc!F26))+B507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76">
        <f>L476*(1-MIN((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476*(MIN((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76">
        <f>(1-Summary!$B$11)*T476+Summary!$B$11*V476</f>
        <v/>
      </c>
      <c r="P476">
        <f>IF(B508=0,0,O476/B508)</f>
        <v/>
      </c>
      <c r="Q476">
        <f>IFERROR(1/IF(Inputs!$B$39="pvp",15,MAX(0.1,Skills!D12-IF(Skills!E12=TRUE,Inputs!$B$32,0))),0)</f>
        <v/>
      </c>
      <c r="R476">
        <f>IF(AND(Inputs!$B$39&lt;&gt;"pvp",Inputs!$B$44&gt;0),IF(MAX(0,Inputs!$B$44-B509)&lt;=0,0,(INT(MAX(0,Inputs!$B$44-B509)/IF(Inputs!$B$39="pvp",15,MAX(0.1,Skills!D12-IF(Skills!E12=TRUE,Inputs!$B$32,0))))+1)),0)</f>
        <v/>
      </c>
      <c r="S476">
        <f>IFERROR(O476/N476,0)</f>
        <v/>
      </c>
      <c r="T476">
        <f>IF(C476,(H476*N476*IF(AND(Inputs!$B$39&lt;&gt;"pvp",Inputs!$B$44&gt;0),((Skills!G12*((R476-1)*IF(Skills!H12&gt;0,Skills!I12/Skills!H12,1)+IF(Skills!H12&gt;0,MIN(Skills!I12,MAX(0,MAX(0,Inputs!$B$44-B509)-((R476-1)*IF(Inputs!$B$39="pvp",15,MAX(0.1,Skills!D12-IF(Skills!E12=TRUE,Inputs!$B$32,0))))))/Skills!H12,1)))/Inputs!$B$44),G476*Q476))*IF(Inputs!$B$39="pvp",1,1+(Inputs!$B$20+((C491=TRUE)*(F491-Calc!F27))+Skills!P12+B505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476*(1-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476*(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476*(1-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476*(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76">
        <f>IF(C476,(H476*N476*IF(AND(Inputs!$B$39&lt;&gt;"pvp",Inputs!$B$44&gt;0),((Skills!G12*((R476-1)*IF(Skills!H12&gt;0,Skills!I12/Skills!H12,1)+IF(Skills!H12&gt;0,MIN(Skills!I12,MAX(0,MAX(0,Inputs!$B$44-B509)-((R476-1)*IF(Inputs!$B$39="pvp",15,MAX(0.1,Skills!D12-IF(Skills!E12=TRUE,Inputs!$B$32,0))))))/Skills!H12,1)))/Inputs!$B$44),G476*Q476))*IF(Inputs!$B$39="pvp",1,(1+(Inputs!$B$21+Skills!Q12+B505+(IF(ArtifactsInput!$M$33,CHOOSE(ArtifactsInput!$N$33+1,30,36,42,48,54,60)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77">
      <c r="A477">
        <f>Skills!A13</f>
        <v/>
      </c>
      <c r="B477">
        <f>Skills!B13</f>
        <v/>
      </c>
      <c r="C477">
        <f>Inputs!$B$3&gt;=105</f>
        <v/>
      </c>
      <c r="D477">
        <f>IF(Skills!C13=1,60+Inputs!$B$25+Inputs!$B$29,IF(Skills!C13=2,90+Inputs!$B$26+Inputs!$B$29,IF(Skills!C13=3,120+Inputs!$B$27+Inputs!$B$29,MAX(0,(Inputs!$B$3-100)*3)+Inputs!$B$28+Inputs!$B$29)))</f>
        <v/>
      </c>
      <c r="E477">
        <f>INDEX(FactorTable!$B$2:$Y$301, MATCH(ROUND(MIN(300,MAX(1,D477)),0), FactorTable!$A$2:$A$301,0), Skills!M13+1)</f>
        <v/>
      </c>
      <c r="F477">
        <f>IF(Skills!N13=TRUE,(Skills!L13/10)*(E477/1000),Skills!L13/10)+Skills!O13</f>
        <v/>
      </c>
      <c r="G477">
        <f>Calc!G13</f>
        <v/>
      </c>
      <c r="H477">
        <f>Calc!H13</f>
        <v/>
      </c>
      <c r="I477">
        <f>IF(Skills!AA13&lt;&gt;"",1+(Skills!AA13/10)*(U467/1000)/100,1)</f>
        <v/>
      </c>
      <c r="J477">
        <f>((Inputs!$B$6*(1+Inputs!$B$7/100))+(((Inputs!$B$12*(1+Inputs!$B$13/100))-(Inputs!$B$12*(1+Inputs!$B$13/100)))+0.25*(Inputs!$B$14-Inputs!$B$14))*(1+Inputs!$B$7/100))*(F477/100)</f>
        <v/>
      </c>
      <c r="K477">
        <f>J477*(1+((Inputs!$B$12*(1+Inputs!$B$13/100))*0.01+Inputs!$B$14*0.0025)/100)*(1+Inputs!$B$15/100)*(1+Inputs!$B$16/100)*(5000/(6000+Inputs!$B$43*(1-(100*(1-(1-(Inputs!$B$19+0)/100)*(1-CHOOSE(ArtifactsInput!$N$40+1,5,6,7,8,9,10)/100)^(ArtifactsInput!$M$40-ArtifactsInput!$M$40)))/100)))*(1+(Inputs!$B$24+((C494=TRUE)*(F494-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487=TRUE)*(F487-Calc!F23))+(((IF(AND(ArtifactsInput!$M$42,((Inputs!$B$9+((C489=TRUE)*(F489-Calc!F25))+B504+(ArtifactsInput!$M$24-ArtifactsInput!$M$24)*CHOOSE(ArtifactsInput!$N$24+1,10,12,14,16,18,20)+IF(ArtifactsInput!$M$10,CHOOSE(ArtifactsInput!$N$10+1,15,18,21,24,27,30)*(IF(Inputs!$B$39="pvp",MIN(15,15)/15,IF(AND(Inputs!$B$39&lt;&gt;"pvp",Inputs!$B$44&gt;0),MIN(15,Inputs!$B$44)/(Inputs!$B$44),0))),0)))&gt;=100),MIN(100,((Inputs!$B$9+((C489=TRUE)*(F489-Calc!F25))+B504+(ArtifactsInput!$M$24-ArtifactsInput!$M$24)*CHOOSE(ArtifactsInput!$N$24+1,10,12,14,16,18,20)+IF(ArtifactsInput!$M$10,CHOOSE(ArtifactsInput!$N$10+1,15,18,21,24,27,30)*(IF(Inputs!$B$39="pvp",MIN(15,15)/15,IF(AND(Inputs!$B$39&lt;&gt;"pvp",Inputs!$B$44&gt;0),MIN(15,Inputs!$B$44)/(Inputs!$B$44),0))),0)))-100),0))*CHOOSE(ArtifactsInput!$N$42+1,0.6,0.72,0.84,0.96,1.08,1.2))),Inputs!$B$18+((C493=TRUE)*(F493-Calc!F29))+(IF(AND(ArtifactsInput!$M$42,((Inputs!$B$9+((C489=TRUE)*(F489-Calc!F25))+B504+(ArtifactsInput!$M$24-ArtifactsInput!$M$24)*CHOOSE(ArtifactsInput!$N$24+1,10,12,14,16,18,20)+IF(ArtifactsInput!$M$10,CHOOSE(ArtifactsInput!$N$10+1,15,18,21,24,27,30)*(IF(Inputs!$B$39="pvp",MIN(15,15)/15,IF(AND(Inputs!$B$39&lt;&gt;"pvp",Inputs!$B$44&gt;0),MIN(15,Inputs!$B$44)/(Inputs!$B$44),0))),0)))&gt;=100),CHOOSE(ArtifactsInput!$N$42+1,40,48,56,64,72,80),0))))/100)*(((1+(((C485=TRUE)*F485*IF(AND(Inputs!$B$39&lt;&gt;"pvp",Inputs!$B$44&gt;0),(((R485-1)*(Skills!Y21*(1+Inputs!$B$34/100))+MIN((Skills!Y21*(1+Inputs!$B$34/100)),MAX(0,Inputs!$B$44-((R485-1)*Skills!D21))))/Inputs!$B$44),IF(Inputs!$B$39="pvp",MIN((Skills!Y21*(1+Inputs!$B$34/100)),15)/15,(Skills!Y21*(1+Inputs!$B$34/100))/Skills!D21)))+((C492=TRUE)*(F492-Calc!F28))+((C482=TRUE)*(F482-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479=TRUE)*F479*IF(AND(Inputs!$B$39&lt;&gt;"pvp",Inputs!$B$44&gt;0),(((R479-1)*(Skills!Y15*(1+Inputs!$B$34/100))+MIN((Skills!Y15*(1+Inputs!$B$34/100)),MAX(0,Inputs!$B$44-((R479-1)*Skills!D15))))/Inputs!$B$44),IF(Inputs!$B$39="pvp",MIN((Skills!Y15*(1+Inputs!$B$34/100)),15)/15,(Skills!Y15*(1+Inputs!$B$34/100))/Skills!D15)))/100)*(1+((C470=TRUE)*F470*B498)/100))*B506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477)</f>
        <v/>
      </c>
      <c r="L477">
        <f>K477*(MIN((Inputs!$B$22+1)+((C488=TRUE)*(F488-Calc!F24)),(Inputs!$B$23+0+(IF(ArtifactsInput!$M$15,CHOOSE(ArtifactsInput!$N$15+1,25,30,35,40,45,50)/100*(Inputs!$B$11-Inputs!$B$11),0))))/100+(Inputs!$B$23+0+(IF(ArtifactsInput!$M$15,CHOOSE(ArtifactsInput!$N$15+1,25,30,35,40,45,50)/100*(Inputs!$B$11-Inputs!$B$11),0)))/100)/2</f>
        <v/>
      </c>
      <c r="M477">
        <f>L477*(1+(Inputs!$B$10+((C490=TRUE)*(F490-Calc!F26))+B507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77">
        <f>L477*(1-MIN((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477*(MIN((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77">
        <f>(1-Summary!$B$11)*T477+Summary!$B$11*V477</f>
        <v/>
      </c>
      <c r="P477">
        <f>IF(B508=0,0,O477/B508)</f>
        <v/>
      </c>
      <c r="Q477">
        <f>IFERROR(1/IF(Inputs!$B$39="pvp",15,MAX(0.1,Skills!D13-IF(Skills!E13=TRUE,Inputs!$B$32,0))),0)</f>
        <v/>
      </c>
      <c r="R477">
        <f>IF(AND(Inputs!$B$39&lt;&gt;"pvp",Inputs!$B$44&gt;0),IF(MAX(0,Inputs!$B$44-B509)&lt;=0,0,(INT(MAX(0,Inputs!$B$44-B509)/IF(Inputs!$B$39="pvp",15,MAX(0.1,Skills!D13-IF(Skills!E13=TRUE,Inputs!$B$32,0))))+1)),0)</f>
        <v/>
      </c>
      <c r="S477">
        <f>IFERROR(O477/N477,0)</f>
        <v/>
      </c>
      <c r="T477">
        <f>IF(C477,(H477*N477*IF(AND(Inputs!$B$39&lt;&gt;"pvp",Inputs!$B$44&gt;0),((Skills!G13*((R477-1)*IF(Skills!H13&gt;0,Skills!I13/Skills!H13,1)+IF(Skills!H13&gt;0,MIN(Skills!I13,MAX(0,MAX(0,Inputs!$B$44-B509)-((R477-1)*IF(Inputs!$B$39="pvp",15,MAX(0.1,Skills!D13-IF(Skills!E13=TRUE,Inputs!$B$32,0))))))/Skills!H13,1)))/Inputs!$B$44),G477*Q477))*IF(Inputs!$B$39="pvp",1,1+(Inputs!$B$20+((C491=TRUE)*(F491-Calc!F27))+Skills!P13+B505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477*(1-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477*(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477*(1-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477*(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77">
        <f>IF(C477,(H477*N477*IF(AND(Inputs!$B$39&lt;&gt;"pvp",Inputs!$B$44&gt;0),((Skills!G13*((R477-1)*IF(Skills!H13&gt;0,Skills!I13/Skills!H13,1)+IF(Skills!H13&gt;0,MIN(Skills!I13,MAX(0,MAX(0,Inputs!$B$44-B509)-((R477-1)*IF(Inputs!$B$39="pvp",15,MAX(0.1,Skills!D13-IF(Skills!E13=TRUE,Inputs!$B$32,0))))))/Skills!H13,1)))/Inputs!$B$44),G477*Q477))*IF(Inputs!$B$39="pvp",1,(1+(Inputs!$B$21+Skills!Q13+B505+(IF(ArtifactsInput!$M$33,CHOOSE(ArtifactsInput!$N$33+1,30,36,42,48,54,60)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78">
      <c r="A478">
        <f>Skills!A14</f>
        <v/>
      </c>
      <c r="B478">
        <f>Skills!B14</f>
        <v/>
      </c>
      <c r="C478">
        <f>Inputs!$B$3&gt;=105</f>
        <v/>
      </c>
      <c r="D478">
        <f>IF(Skills!C14=1,60+Inputs!$B$25+Inputs!$B$29,IF(Skills!C14=2,90+Inputs!$B$26+Inputs!$B$29,IF(Skills!C14=3,120+Inputs!$B$27+Inputs!$B$29,MAX(0,(Inputs!$B$3-100)*3)+Inputs!$B$28+Inputs!$B$29)))</f>
        <v/>
      </c>
      <c r="E478">
        <f>INDEX(FactorTable!$B$2:$Y$301, MATCH(ROUND(MIN(300,MAX(1,D478)),0), FactorTable!$A$2:$A$301,0), Skills!M14+1)</f>
        <v/>
      </c>
      <c r="F478">
        <f>IF(Skills!N14=TRUE,(Skills!L14/10)*(E478/1000),Skills!L14/10)+Skills!O14</f>
        <v/>
      </c>
      <c r="G478">
        <f>Calc!G14</f>
        <v/>
      </c>
      <c r="H478">
        <f>Calc!H14</f>
        <v/>
      </c>
      <c r="I478">
        <f>IF(Skills!AA14&lt;&gt;"",1+(Skills!AA14/10)*(U467/1000)/100,1)</f>
        <v/>
      </c>
      <c r="J478">
        <f>((Inputs!$B$6*(1+Inputs!$B$7/100))+(((Inputs!$B$12*(1+Inputs!$B$13/100))-(Inputs!$B$12*(1+Inputs!$B$13/100)))+0.25*(Inputs!$B$14-Inputs!$B$14))*(1+Inputs!$B$7/100))*(F478/100)</f>
        <v/>
      </c>
      <c r="K478">
        <f>J478*(1+((Inputs!$B$12*(1+Inputs!$B$13/100))*0.01+Inputs!$B$14*0.0025)/100)*(1+Inputs!$B$15/100)*(1+Inputs!$B$16/100)*(5000/(6000+Inputs!$B$43*(1-(100*(1-(1-(Inputs!$B$19+0)/100)*(1-CHOOSE(ArtifactsInput!$N$40+1,5,6,7,8,9,10)/100)^(ArtifactsInput!$M$40-ArtifactsInput!$M$40)))/100)))*(1+(Inputs!$B$24+((C494=TRUE)*(F494-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487=TRUE)*(F487-Calc!F23))+(((IF(AND(ArtifactsInput!$M$42,((Inputs!$B$9+((C489=TRUE)*(F489-Calc!F25))+B504+(ArtifactsInput!$M$24-ArtifactsInput!$M$24)*CHOOSE(ArtifactsInput!$N$24+1,10,12,14,16,18,20)+IF(ArtifactsInput!$M$10,CHOOSE(ArtifactsInput!$N$10+1,15,18,21,24,27,30)*(IF(Inputs!$B$39="pvp",MIN(15,15)/15,IF(AND(Inputs!$B$39&lt;&gt;"pvp",Inputs!$B$44&gt;0),MIN(15,Inputs!$B$44)/(Inputs!$B$44),0))),0)))&gt;=100),MIN(100,((Inputs!$B$9+((C489=TRUE)*(F489-Calc!F25))+B504+(ArtifactsInput!$M$24-ArtifactsInput!$M$24)*CHOOSE(ArtifactsInput!$N$24+1,10,12,14,16,18,20)+IF(ArtifactsInput!$M$10,CHOOSE(ArtifactsInput!$N$10+1,15,18,21,24,27,30)*(IF(Inputs!$B$39="pvp",MIN(15,15)/15,IF(AND(Inputs!$B$39&lt;&gt;"pvp",Inputs!$B$44&gt;0),MIN(15,Inputs!$B$44)/(Inputs!$B$44),0))),0)))-100),0))*CHOOSE(ArtifactsInput!$N$42+1,0.6,0.72,0.84,0.96,1.08,1.2))),Inputs!$B$18+((C493=TRUE)*(F493-Calc!F29))+(IF(AND(ArtifactsInput!$M$42,((Inputs!$B$9+((C489=TRUE)*(F489-Calc!F25))+B504+(ArtifactsInput!$M$24-ArtifactsInput!$M$24)*CHOOSE(ArtifactsInput!$N$24+1,10,12,14,16,18,20)+IF(ArtifactsInput!$M$10,CHOOSE(ArtifactsInput!$N$10+1,15,18,21,24,27,30)*(IF(Inputs!$B$39="pvp",MIN(15,15)/15,IF(AND(Inputs!$B$39&lt;&gt;"pvp",Inputs!$B$44&gt;0),MIN(15,Inputs!$B$44)/(Inputs!$B$44),0))),0)))&gt;=100),CHOOSE(ArtifactsInput!$N$42+1,40,48,56,64,72,80),0))))/100)*(((1+(((C485=TRUE)*F485*IF(AND(Inputs!$B$39&lt;&gt;"pvp",Inputs!$B$44&gt;0),(((R485-1)*(Skills!Y21*(1+Inputs!$B$34/100))+MIN((Skills!Y21*(1+Inputs!$B$34/100)),MAX(0,Inputs!$B$44-((R485-1)*Skills!D21))))/Inputs!$B$44),IF(Inputs!$B$39="pvp",MIN((Skills!Y21*(1+Inputs!$B$34/100)),15)/15,(Skills!Y21*(1+Inputs!$B$34/100))/Skills!D21)))+((C492=TRUE)*(F492-Calc!F28))+((C482=TRUE)*(F482-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479=TRUE)*F479*IF(AND(Inputs!$B$39&lt;&gt;"pvp",Inputs!$B$44&gt;0),(((R479-1)*(Skills!Y15*(1+Inputs!$B$34/100))+MIN((Skills!Y15*(1+Inputs!$B$34/100)),MAX(0,Inputs!$B$44-((R479-1)*Skills!D15))))/Inputs!$B$44),IF(Inputs!$B$39="pvp",MIN((Skills!Y15*(1+Inputs!$B$34/100)),15)/15,(Skills!Y15*(1+Inputs!$B$34/100))/Skills!D15)))/100)*(1+((C470=TRUE)*F470*B498)/100))*B506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478)</f>
        <v/>
      </c>
      <c r="L478">
        <f>K478*(MIN((Inputs!$B$22+1)+((C488=TRUE)*(F488-Calc!F24)),(Inputs!$B$23+0+(IF(ArtifactsInput!$M$15,CHOOSE(ArtifactsInput!$N$15+1,25,30,35,40,45,50)/100*(Inputs!$B$11-Inputs!$B$11),0))))/100+(Inputs!$B$23+0+(IF(ArtifactsInput!$M$15,CHOOSE(ArtifactsInput!$N$15+1,25,30,35,40,45,50)/100*(Inputs!$B$11-Inputs!$B$11),0)))/100)/2</f>
        <v/>
      </c>
      <c r="M478">
        <f>L478*(1+(Inputs!$B$10+((C490=TRUE)*(F490-Calc!F26))+B507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78">
        <f>L478*(1-MIN((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478*(MIN((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78">
        <f>(1-Summary!$B$11)*T478+Summary!$B$11*V478</f>
        <v/>
      </c>
      <c r="P478">
        <f>IF(B508=0,0,O478/B508)</f>
        <v/>
      </c>
      <c r="Q478">
        <f>IFERROR(1/IF(Inputs!$B$39="pvp",15,MAX(0.1,Skills!D14-IF(Skills!E14=TRUE,Inputs!$B$32,0))),0)</f>
        <v/>
      </c>
      <c r="R478">
        <f>IF(AND(Inputs!$B$39&lt;&gt;"pvp",Inputs!$B$44&gt;0),IF(MAX(0,Inputs!$B$44-B509)&lt;=0,0,(INT(MAX(0,Inputs!$B$44-B509)/IF(Inputs!$B$39="pvp",15,MAX(0.1,Skills!D14-IF(Skills!E14=TRUE,Inputs!$B$32,0))))+1)),0)</f>
        <v/>
      </c>
      <c r="S478">
        <f>IFERROR(O478/N478,0)</f>
        <v/>
      </c>
      <c r="T478">
        <f>IF(C478,(H478*N478*IF(AND(Inputs!$B$39&lt;&gt;"pvp",Inputs!$B$44&gt;0),((Skills!G14*((R478-1)*IF(Skills!H14&gt;0,Skills!I14/Skills!H14,1)+IF(Skills!H14&gt;0,MIN(Skills!I14,MAX(0,MAX(0,Inputs!$B$44-B509)-((R478-1)*IF(Inputs!$B$39="pvp",15,MAX(0.1,Skills!D14-IF(Skills!E14=TRUE,Inputs!$B$32,0))))))/Skills!H14,1)))/Inputs!$B$44),G478*Q478))*IF(Inputs!$B$39="pvp",1,1+(Inputs!$B$20+((C491=TRUE)*(F491-Calc!F27))+Skills!P14+B505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478*(1-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478*(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478*(1-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478*(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78">
        <f>IF(C478,(H478*N478*IF(AND(Inputs!$B$39&lt;&gt;"pvp",Inputs!$B$44&gt;0),((Skills!G14*((R478-1)*IF(Skills!H14&gt;0,Skills!I14/Skills!H14,1)+IF(Skills!H14&gt;0,MIN(Skills!I14,MAX(0,MAX(0,Inputs!$B$44-B509)-((R478-1)*IF(Inputs!$B$39="pvp",15,MAX(0.1,Skills!D14-IF(Skills!E14=TRUE,Inputs!$B$32,0))))))/Skills!H14,1)))/Inputs!$B$44),G478*Q478))*IF(Inputs!$B$39="pvp",1,(1+(Inputs!$B$21+Skills!Q14+B505+(IF(ArtifactsInput!$M$33,CHOOSE(ArtifactsInput!$N$33+1,30,36,42,48,54,60)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79">
      <c r="A479">
        <f>Skills!A15</f>
        <v/>
      </c>
      <c r="B479">
        <f>Skills!B15</f>
        <v/>
      </c>
      <c r="C479">
        <f>Inputs!$B$3&gt;=110</f>
        <v/>
      </c>
      <c r="D479">
        <f>IF(Skills!C15=1,60+Inputs!$B$25+Inputs!$B$29,IF(Skills!C15=2,90+Inputs!$B$26+Inputs!$B$29,IF(Skills!C15=3,120+Inputs!$B$27+Inputs!$B$29,MAX(0,(Inputs!$B$3-100)*3)+Inputs!$B$28+Inputs!$B$29)))</f>
        <v/>
      </c>
      <c r="E479">
        <f>INDEX(FactorTable!$B$2:$Y$301, MATCH(ROUND(MIN(300,MAX(1,D479)),0), FactorTable!$A$2:$A$301,0), Skills!M15+1)</f>
        <v/>
      </c>
      <c r="F479">
        <f>IF(Skills!N15=TRUE,(Skills!L15/10)*(E479/1000),Skills!L15/10)+Skills!O15</f>
        <v/>
      </c>
      <c r="G479">
        <f>Calc!G15</f>
        <v/>
      </c>
      <c r="H479">
        <f>Calc!H15</f>
        <v/>
      </c>
      <c r="I479">
        <f>IF(Skills!AA15&lt;&gt;"",1+(Skills!AA15/10)*(U467/1000)/100,1)</f>
        <v/>
      </c>
      <c r="J479" t="inlineStr"/>
      <c r="K479" t="inlineStr"/>
      <c r="L479" t="inlineStr"/>
      <c r="M479" t="inlineStr"/>
      <c r="N479" t="inlineStr"/>
      <c r="O479">
        <f>(1-Summary!$B$11)*T479+Summary!$B$11*V479</f>
        <v/>
      </c>
      <c r="P479">
        <f>IF(B508=0,0,O479/B508)</f>
        <v/>
      </c>
      <c r="Q479">
        <f>IFERROR(1/IF(Inputs!$B$39="pvp",15,MAX(0.1,Skills!D15-IF(Skills!E15=TRUE,Inputs!$B$32,0))),0)</f>
        <v/>
      </c>
      <c r="R479">
        <f>IF(AND(Inputs!$B$39&lt;&gt;"pvp",Inputs!$B$44&gt;0),IF(Inputs!$B$44&lt;=0,0,(INT(Inputs!$B$44/IF(Inputs!$B$39="pvp",15,MAX(0.1,Skills!D15-IF(Skills!E15=TRUE,Inputs!$B$32,0))))+1)),0)</f>
        <v/>
      </c>
      <c r="S479">
        <f>IFERROR(O479/N479,0)</f>
        <v/>
      </c>
      <c r="T479" t="n">
        <v>0</v>
      </c>
      <c r="V479" t="n">
        <v>0</v>
      </c>
    </row>
    <row r="480">
      <c r="A480">
        <f>Skills!A16</f>
        <v/>
      </c>
      <c r="B480">
        <f>Skills!B16</f>
        <v/>
      </c>
      <c r="C480">
        <f>Inputs!$B$3&gt;=110</f>
        <v/>
      </c>
      <c r="D480">
        <f>IF(Skills!C16=1,60+Inputs!$B$25+Inputs!$B$29,IF(Skills!C16=2,90+Inputs!$B$26+Inputs!$B$29,IF(Skills!C16=3,120+Inputs!$B$27+Inputs!$B$29,MAX(0,(Inputs!$B$3-100)*3)+Inputs!$B$28+Inputs!$B$29)))</f>
        <v/>
      </c>
      <c r="E480">
        <f>INDEX(FactorTable!$B$2:$Y$301, MATCH(ROUND(MIN(300,MAX(1,D480)),0), FactorTable!$A$2:$A$301,0), Skills!M16+1)</f>
        <v/>
      </c>
      <c r="F480">
        <f>IF(Skills!N16=TRUE,(Skills!L16/10)*(E480/1000),Skills!L16/10)+Skills!O16</f>
        <v/>
      </c>
      <c r="G480">
        <f>Calc!G16</f>
        <v/>
      </c>
      <c r="H480">
        <f>Calc!H16</f>
        <v/>
      </c>
      <c r="I480">
        <f>IF(Skills!AA16&lt;&gt;"",1+(Skills!AA16/10)*(U467/1000)/100,1)</f>
        <v/>
      </c>
      <c r="J480" t="inlineStr"/>
      <c r="K480" t="inlineStr"/>
      <c r="L480" t="inlineStr"/>
      <c r="M480" t="inlineStr"/>
      <c r="N480" t="inlineStr"/>
      <c r="O480">
        <f>(1-Summary!$B$11)*T480+Summary!$B$11*V480</f>
        <v/>
      </c>
      <c r="P480">
        <f>IF(B508=0,0,O480/B508)</f>
        <v/>
      </c>
      <c r="Q480">
        <f>IFERROR(1/IF(Inputs!$B$39="pvp",15,MAX(0.1,Skills!D16-IF(Skills!E16=TRUE,Inputs!$B$32,0))),0)</f>
        <v/>
      </c>
      <c r="R480">
        <f>IF(AND(Inputs!$B$39&lt;&gt;"pvp",Inputs!$B$44&gt;0),IF(Inputs!$B$44&lt;=0,0,(INT(Inputs!$B$44/IF(Inputs!$B$39="pvp",15,MAX(0.1,Skills!D16-IF(Skills!E16=TRUE,Inputs!$B$32,0))))+1)),0)</f>
        <v/>
      </c>
      <c r="S480">
        <f>IFERROR(O480/N480,0)</f>
        <v/>
      </c>
      <c r="T480" t="n">
        <v>0</v>
      </c>
      <c r="V480" t="n">
        <v>0</v>
      </c>
    </row>
    <row r="481">
      <c r="A481">
        <f>Skills!A17</f>
        <v/>
      </c>
      <c r="B481">
        <f>Skills!B17</f>
        <v/>
      </c>
      <c r="C481">
        <f>Inputs!$B$3&gt;=115</f>
        <v/>
      </c>
      <c r="D481">
        <f>IF(Skills!C17=1,60+Inputs!$B$25+Inputs!$B$29,IF(Skills!C17=2,90+Inputs!$B$26+Inputs!$B$29,IF(Skills!C17=3,120+Inputs!$B$27+Inputs!$B$29,MAX(0,(Inputs!$B$3-100)*3)+Inputs!$B$28+Inputs!$B$29)))</f>
        <v/>
      </c>
      <c r="E481">
        <f>INDEX(FactorTable!$B$2:$Y$301, MATCH(ROUND(MIN(300,MAX(1,D481)),0), FactorTable!$A$2:$A$301,0), Skills!M17+1)</f>
        <v/>
      </c>
      <c r="F481">
        <f>IF(Skills!N17=TRUE,(Skills!L17/10)*(E481/1000),Skills!L17/10)+Skills!O17</f>
        <v/>
      </c>
      <c r="G481">
        <f>Calc!G17</f>
        <v/>
      </c>
      <c r="H481">
        <f>Calc!H17</f>
        <v/>
      </c>
      <c r="I481">
        <f>IF(Skills!AA17&lt;&gt;"",1+(Skills!AA17/10)*(U467/1000)/100,1)</f>
        <v/>
      </c>
      <c r="J481">
        <f>((Inputs!$B$6*(1+Inputs!$B$7/100))+(((Inputs!$B$12*(1+Inputs!$B$13/100))-(Inputs!$B$12*(1+Inputs!$B$13/100)))+0.25*(Inputs!$B$14-Inputs!$B$14))*(1+Inputs!$B$7/100))*(F481/100)</f>
        <v/>
      </c>
      <c r="K481">
        <f>J481*(1+((Inputs!$B$12*(1+Inputs!$B$13/100))*0.01+Inputs!$B$14*0.0025)/100)*(1+Inputs!$B$15/100)*(1+Inputs!$B$16/100)*(5000/(6000+Inputs!$B$43*(1-(100*(1-(1-(Inputs!$B$19+0)/100)*(1-CHOOSE(ArtifactsInput!$N$40+1,5,6,7,8,9,10)/100)^(ArtifactsInput!$M$40-ArtifactsInput!$M$40)))/100)))*(1+(Inputs!$B$24+((C494=TRUE)*(F494-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487=TRUE)*(F487-Calc!F23))+(((IF(AND(ArtifactsInput!$M$42,((Inputs!$B$9+((C489=TRUE)*(F489-Calc!F25))+B504+(ArtifactsInput!$M$24-ArtifactsInput!$M$24)*CHOOSE(ArtifactsInput!$N$24+1,10,12,14,16,18,20)+IF(ArtifactsInput!$M$10,CHOOSE(ArtifactsInput!$N$10+1,15,18,21,24,27,30)*(IF(Inputs!$B$39="pvp",MIN(15,15)/15,IF(AND(Inputs!$B$39&lt;&gt;"pvp",Inputs!$B$44&gt;0),MIN(15,Inputs!$B$44)/(Inputs!$B$44),0))),0)))&gt;=100),MIN(100,((Inputs!$B$9+((C489=TRUE)*(F489-Calc!F25))+B504+(ArtifactsInput!$M$24-ArtifactsInput!$M$24)*CHOOSE(ArtifactsInput!$N$24+1,10,12,14,16,18,20)+IF(ArtifactsInput!$M$10,CHOOSE(ArtifactsInput!$N$10+1,15,18,21,24,27,30)*(IF(Inputs!$B$39="pvp",MIN(15,15)/15,IF(AND(Inputs!$B$39&lt;&gt;"pvp",Inputs!$B$44&gt;0),MIN(15,Inputs!$B$44)/(Inputs!$B$44),0))),0)))-100),0))*CHOOSE(ArtifactsInput!$N$42+1,0.6,0.72,0.84,0.96,1.08,1.2))),Inputs!$B$18+((C493=TRUE)*(F493-Calc!F29))+(IF(AND(ArtifactsInput!$M$42,((Inputs!$B$9+((C489=TRUE)*(F489-Calc!F25))+B504+(ArtifactsInput!$M$24-ArtifactsInput!$M$24)*CHOOSE(ArtifactsInput!$N$24+1,10,12,14,16,18,20)+IF(ArtifactsInput!$M$10,CHOOSE(ArtifactsInput!$N$10+1,15,18,21,24,27,30)*(IF(Inputs!$B$39="pvp",MIN(15,15)/15,IF(AND(Inputs!$B$39&lt;&gt;"pvp",Inputs!$B$44&gt;0),MIN(15,Inputs!$B$44)/(Inputs!$B$44),0))),0)))&gt;=100),CHOOSE(ArtifactsInput!$N$42+1,40,48,56,64,72,80),0))))/100)*(((1+(((C485=TRUE)*F485*IF(AND(Inputs!$B$39&lt;&gt;"pvp",Inputs!$B$44&gt;0),(((R485-1)*(Skills!Y21*(1+Inputs!$B$34/100))+MIN((Skills!Y21*(1+Inputs!$B$34/100)),MAX(0,Inputs!$B$44-((R485-1)*Skills!D21))))/Inputs!$B$44),IF(Inputs!$B$39="pvp",MIN((Skills!Y21*(1+Inputs!$B$34/100)),15)/15,(Skills!Y21*(1+Inputs!$B$34/100))/Skills!D21)))+((C492=TRUE)*(F492-Calc!F28))+((C482=TRUE)*(F482-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479=TRUE)*F479*IF(AND(Inputs!$B$39&lt;&gt;"pvp",Inputs!$B$44&gt;0),(((R479-1)*(Skills!Y15*(1+Inputs!$B$34/100))+MIN((Skills!Y15*(1+Inputs!$B$34/100)),MAX(0,Inputs!$B$44-((R479-1)*Skills!D15))))/Inputs!$B$44),IF(Inputs!$B$39="pvp",MIN((Skills!Y15*(1+Inputs!$B$34/100)),15)/15,(Skills!Y15*(1+Inputs!$B$34/100))/Skills!D15)))/100)*(1+((C470=TRUE)*F470*B498)/100))*B506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481)</f>
        <v/>
      </c>
      <c r="L481">
        <f>K481*(MIN((Inputs!$B$22+1)+((C488=TRUE)*(F488-Calc!F24)),(Inputs!$B$23+0+(IF(ArtifactsInput!$M$15,CHOOSE(ArtifactsInput!$N$15+1,25,30,35,40,45,50)/100*(Inputs!$B$11-Inputs!$B$11),0))))/100+(Inputs!$B$23+0+(IF(ArtifactsInput!$M$15,CHOOSE(ArtifactsInput!$N$15+1,25,30,35,40,45,50)/100*(Inputs!$B$11-Inputs!$B$11),0)))/100)/2</f>
        <v/>
      </c>
      <c r="M481">
        <f>L481*(1+(Inputs!$B$10+((C490=TRUE)*(F490-Calc!F26))+B507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81">
        <f>L481*(1-MIN((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481*(MIN((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81">
        <f>(1-Summary!$B$11)*T481+Summary!$B$11*V481</f>
        <v/>
      </c>
      <c r="P481">
        <f>IF(B508=0,0,O481/B508)</f>
        <v/>
      </c>
      <c r="Q481" t="n">
        <v>0</v>
      </c>
      <c r="R481" t="n">
        <v>0</v>
      </c>
      <c r="S481">
        <f>IFERROR(O481/N481,0)</f>
        <v/>
      </c>
      <c r="T481">
        <f>IF(C481,(Inputs!$B$38*0.2*N481)*IF(Inputs!$B$39="pvp",1,1+(Inputs!$B$20+((C491=TRUE)*(F491-Calc!F27))+Skills!P17+B505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481*(1-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481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481*(1-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481*(MIN(100,(Inputs!$B$9+((C489=TRUE)*(F489-Calc!F25))+B504+(ArtifactsInput!$M$24-ArtifactsInput!$M$24)*CHOOSE(ArtifactsInput!$N$24+1,10,12,14,16,18,20)+(IF(AND(ArtifactsInput!$M$42,((Inputs!$B$9+((C489=TRUE)*(F489-Calc!F25))+B504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81">
        <f>IF(C481,(Inputs!$B$38*0.2*N481)*IF(Inputs!$B$39="pvp",1,(1+(Inputs!$B$21+Skills!Q17+B505+(IF(ArtifactsInput!$M$33,CHOOSE(ArtifactsInput!$N$33+1,30,36,42,48,54,60),0))+(IF(AND(ArtifactsInput!$M$35,Inputs!$B$4&lt;&gt;"Chapter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82">
      <c r="A482">
        <f>Skills!A18</f>
        <v/>
      </c>
      <c r="B482">
        <f>Skills!B18</f>
        <v/>
      </c>
      <c r="C482">
        <f>Inputs!$B$3&gt;=115</f>
        <v/>
      </c>
      <c r="D482">
        <f>IF(Skills!C18=1,60+Inputs!$B$25+Inputs!$B$29,IF(Skills!C18=2,90+Inputs!$B$26+Inputs!$B$29,IF(Skills!C18=3,120+Inputs!$B$27+Inputs!$B$29,MAX(0,(Inputs!$B$3-100)*3)+Inputs!$B$28+Inputs!$B$29)))</f>
        <v/>
      </c>
      <c r="E482">
        <f>INDEX(FactorTable!$B$2:$Y$301, MATCH(ROUND(MIN(300,MAX(1,D482)),0), FactorTable!$A$2:$A$301,0), Skills!M18+1)</f>
        <v/>
      </c>
      <c r="F482">
        <f>IF(Skills!N18=TRUE,(Skills!L18/10)*(E482/1000),Skills!L18/10)+Skills!O18</f>
        <v/>
      </c>
      <c r="G482">
        <f>Calc!G18</f>
        <v/>
      </c>
      <c r="H482">
        <f>Calc!H18</f>
        <v/>
      </c>
      <c r="I482">
        <f>IF(Skills!AA18&lt;&gt;"",1+(Skills!AA18/10)*(U467/1000)/100,1)</f>
        <v/>
      </c>
      <c r="J482" t="inlineStr"/>
      <c r="K482" t="inlineStr"/>
      <c r="L482" t="inlineStr"/>
      <c r="M482" t="inlineStr"/>
      <c r="N482" t="inlineStr"/>
      <c r="O482">
        <f>(1-Summary!$B$11)*T482+Summary!$B$11*V482</f>
        <v/>
      </c>
      <c r="P482">
        <f>IF(B508=0,0,O482/B508)</f>
        <v/>
      </c>
      <c r="Q482" t="n">
        <v>0</v>
      </c>
      <c r="R482" t="n">
        <v>0</v>
      </c>
      <c r="S482">
        <f>IFERROR(O482/N482,0)</f>
        <v/>
      </c>
      <c r="T482" t="n">
        <v>0</v>
      </c>
      <c r="V482" t="n">
        <v>0</v>
      </c>
    </row>
    <row r="483">
      <c r="A483">
        <f>Skills!A19</f>
        <v/>
      </c>
      <c r="B483">
        <f>Skills!B19</f>
        <v/>
      </c>
      <c r="C483">
        <f>TRUE</f>
        <v/>
      </c>
      <c r="D483">
        <f>IF(Skills!C19=1,60+Inputs!$B$25+Inputs!$B$29,IF(Skills!C19=2,90+Inputs!$B$26+Inputs!$B$29,IF(Skills!C19=3,120+Inputs!$B$27+Inputs!$B$29,MAX(0,(Inputs!$B$3-100)*3)+Inputs!$B$28+Inputs!$B$29)))</f>
        <v/>
      </c>
      <c r="E483">
        <f>INDEX(FactorTable!$B$2:$Y$301, MATCH(ROUND(MIN(300,MAX(1,D483)),0), FactorTable!$A$2:$A$301,0), Skills!M19+1)</f>
        <v/>
      </c>
      <c r="F483">
        <f>IF(Skills!N19=TRUE,(Skills!L19/10)*(E483/1000),Skills!L19/10)+Skills!O19</f>
        <v/>
      </c>
      <c r="G483">
        <f>Calc!G19</f>
        <v/>
      </c>
      <c r="H483">
        <f>Calc!H19</f>
        <v/>
      </c>
      <c r="I483">
        <f>IF(Skills!AA19&lt;&gt;"",1+(Skills!AA19/10)*(U467/1000)/100,1)</f>
        <v/>
      </c>
      <c r="J483" t="inlineStr"/>
      <c r="K483" t="inlineStr"/>
      <c r="L483" t="inlineStr"/>
      <c r="M483" t="inlineStr"/>
      <c r="N483" t="inlineStr"/>
      <c r="O483">
        <f>(1-Summary!$B$11)*T483+Summary!$B$11*V483</f>
        <v/>
      </c>
      <c r="P483">
        <f>IF(B508=0,0,O483/B508)</f>
        <v/>
      </c>
      <c r="Q483">
        <f>IFERROR(1/IF(Inputs!$B$39="pvp",15,MAX(0.1,Skills!D19-IF(Skills!E19=TRUE,Inputs!$B$32,0))),0)</f>
        <v/>
      </c>
      <c r="R483">
        <f>IF(AND(Inputs!$B$39&lt;&gt;"pvp",Inputs!$B$44&gt;0),IF(Inputs!$B$44&lt;=0,0,(INT(Inputs!$B$44/IF(Inputs!$B$39="pvp",15,MAX(0.1,Skills!D19-IF(Skills!E19=TRUE,Inputs!$B$32,0))))+1)),0)</f>
        <v/>
      </c>
      <c r="S483">
        <f>IFERROR(O483/N483,0)</f>
        <v/>
      </c>
      <c r="T483" t="n">
        <v>0</v>
      </c>
      <c r="V483" t="n">
        <v>0</v>
      </c>
    </row>
    <row r="484">
      <c r="A484">
        <f>Skills!A20</f>
        <v/>
      </c>
      <c r="B484">
        <f>Skills!B20</f>
        <v/>
      </c>
      <c r="C484">
        <f>Inputs!$B$3&gt;=15</f>
        <v/>
      </c>
      <c r="D484">
        <f>IF(Skills!C20=1,60+Inputs!$B$25+Inputs!$B$29,IF(Skills!C20=2,90+Inputs!$B$26+Inputs!$B$29,IF(Skills!C20=3,120+Inputs!$B$27+Inputs!$B$29,MAX(0,(Inputs!$B$3-100)*3)+Inputs!$B$28+Inputs!$B$29)))</f>
        <v/>
      </c>
      <c r="E484">
        <f>INDEX(FactorTable!$B$2:$Y$301, MATCH(ROUND(MIN(300,MAX(1,D484)),0), FactorTable!$A$2:$A$301,0), Skills!M20+1)</f>
        <v/>
      </c>
      <c r="F484">
        <f>IF(Skills!N20=TRUE,(Skills!L20/10)*(E484/1000),Skills!L20/10)+Skills!O20</f>
        <v/>
      </c>
      <c r="G484">
        <f>Calc!G20</f>
        <v/>
      </c>
      <c r="H484">
        <f>Calc!H20</f>
        <v/>
      </c>
      <c r="I484">
        <f>IF(Skills!AA20&lt;&gt;"",1+(Skills!AA20/10)*(U467/1000)/100,1)</f>
        <v/>
      </c>
      <c r="J484" t="inlineStr"/>
      <c r="K484" t="inlineStr"/>
      <c r="L484" t="inlineStr"/>
      <c r="M484" t="inlineStr"/>
      <c r="N484" t="inlineStr"/>
      <c r="O484">
        <f>(1-Summary!$B$11)*T484+Summary!$B$11*V484</f>
        <v/>
      </c>
      <c r="P484">
        <f>IF(B508=0,0,O484/B508)</f>
        <v/>
      </c>
      <c r="Q484">
        <f>IFERROR(1/IF(Inputs!$B$39="pvp",15,MAX(0.1,Skills!D20-IF(Skills!E20=TRUE,Inputs!$B$32,0))),0)</f>
        <v/>
      </c>
      <c r="R484">
        <f>IF(AND(Inputs!$B$39&lt;&gt;"pvp",Inputs!$B$44&gt;0),IF(Inputs!$B$44&lt;=0,0,(INT(Inputs!$B$44/IF(Inputs!$B$39="pvp",15,MAX(0.1,Skills!D20-IF(Skills!E20=TRUE,Inputs!$B$32,0))))+1)),0)</f>
        <v/>
      </c>
      <c r="S484">
        <f>IFERROR(O484/N484,0)</f>
        <v/>
      </c>
      <c r="T484" t="n">
        <v>0</v>
      </c>
      <c r="V484" t="n">
        <v>0</v>
      </c>
    </row>
    <row r="485">
      <c r="A485">
        <f>Skills!A21</f>
        <v/>
      </c>
      <c r="B485">
        <f>Skills!B21</f>
        <v/>
      </c>
      <c r="C485">
        <f>Inputs!$B$3&gt;=15</f>
        <v/>
      </c>
      <c r="D485">
        <f>IF(Skills!C21=1,60+Inputs!$B$25+Inputs!$B$29,IF(Skills!C21=2,90+Inputs!$B$26+Inputs!$B$29,IF(Skills!C21=3,120+Inputs!$B$27+Inputs!$B$29,MAX(0,(Inputs!$B$3-100)*3)+Inputs!$B$28+Inputs!$B$29)))</f>
        <v/>
      </c>
      <c r="E485">
        <f>INDEX(FactorTable!$B$2:$Y$301, MATCH(ROUND(MIN(300,MAX(1,D485)),0), FactorTable!$A$2:$A$301,0), Skills!M21+1)</f>
        <v/>
      </c>
      <c r="F485">
        <f>IF(Skills!N21=TRUE,(Skills!L21/10)*(E485/1000),Skills!L21/10)+Skills!O21</f>
        <v/>
      </c>
      <c r="G485">
        <f>Calc!G21</f>
        <v/>
      </c>
      <c r="H485">
        <f>Calc!H21</f>
        <v/>
      </c>
      <c r="I485">
        <f>IF(Skills!AA21&lt;&gt;"",1+(Skills!AA21/10)*(U467/1000)/100,1)</f>
        <v/>
      </c>
      <c r="J485" t="inlineStr"/>
      <c r="K485" t="inlineStr"/>
      <c r="L485" t="inlineStr"/>
      <c r="M485" t="inlineStr"/>
      <c r="N485" t="inlineStr"/>
      <c r="O485">
        <f>(1-Summary!$B$11)*T485+Summary!$B$11*V485</f>
        <v/>
      </c>
      <c r="P485">
        <f>IF(B508=0,0,O485/B508)</f>
        <v/>
      </c>
      <c r="Q485">
        <f>IFERROR(1/IF(Inputs!$B$39="pvp",15,MAX(0.1,Skills!D21-IF(Skills!E21=TRUE,Inputs!$B$32,0))),0)</f>
        <v/>
      </c>
      <c r="R485">
        <f>IF(AND(Inputs!$B$39&lt;&gt;"pvp",Inputs!$B$44&gt;0),IF(Inputs!$B$44&lt;=0,0,(INT(Inputs!$B$44/IF(Inputs!$B$39="pvp",15,MAX(0.1,Skills!D21-IF(Skills!E21=TRUE,Inputs!$B$32,0))))+1)),0)</f>
        <v/>
      </c>
      <c r="S485">
        <f>IFERROR(O485/N485,0)</f>
        <v/>
      </c>
      <c r="T485" t="n">
        <v>0</v>
      </c>
      <c r="V485" t="n">
        <v>0</v>
      </c>
    </row>
    <row r="486">
      <c r="A486">
        <f>Skills!A22</f>
        <v/>
      </c>
      <c r="B486">
        <f>Skills!B22</f>
        <v/>
      </c>
      <c r="C486">
        <f>Inputs!$B$3&gt;=33</f>
        <v/>
      </c>
      <c r="D486">
        <f>IF(Skills!C22=1,60+Inputs!$B$25+Inputs!$B$29,IF(Skills!C22=2,90+Inputs!$B$26+Inputs!$B$29,IF(Skills!C22=3,120+Inputs!$B$27+Inputs!$B$29,MAX(0,(Inputs!$B$3-100)*3)+Inputs!$B$28+Inputs!$B$29)))</f>
        <v/>
      </c>
      <c r="E486">
        <f>INDEX(FactorTable!$B$2:$Y$301, MATCH(ROUND(MIN(300,MAX(1,D486)),0), FactorTable!$A$2:$A$301,0), Skills!M22+1)</f>
        <v/>
      </c>
      <c r="F486">
        <f>IF(Skills!N22=TRUE,(Skills!L22/10)*(E486/1000),Skills!L22/10)+Skills!O22</f>
        <v/>
      </c>
      <c r="G486">
        <f>Calc!G22</f>
        <v/>
      </c>
      <c r="H486">
        <f>Calc!H22</f>
        <v/>
      </c>
      <c r="I486">
        <f>IF(Skills!AA22&lt;&gt;"",1+(Skills!AA22/10)*(U467/1000)/100,1)</f>
        <v/>
      </c>
      <c r="J486" t="inlineStr"/>
      <c r="K486" t="inlineStr"/>
      <c r="L486" t="inlineStr"/>
      <c r="M486" t="inlineStr"/>
      <c r="N486" t="inlineStr"/>
      <c r="O486">
        <f>(1-Summary!$B$11)*T486+Summary!$B$11*V486</f>
        <v/>
      </c>
      <c r="P486">
        <f>IF(B508=0,0,O486/B508)</f>
        <v/>
      </c>
      <c r="Q486" t="n">
        <v>0</v>
      </c>
      <c r="R486" t="n">
        <v>0</v>
      </c>
      <c r="S486">
        <f>IFERROR(O486/N486,0)</f>
        <v/>
      </c>
      <c r="T486" t="n">
        <v>0</v>
      </c>
      <c r="V486" t="n">
        <v>0</v>
      </c>
    </row>
    <row r="487">
      <c r="A487">
        <f>Skills!A23</f>
        <v/>
      </c>
      <c r="B487">
        <f>Skills!B23</f>
        <v/>
      </c>
      <c r="C487">
        <f>Inputs!$B$3&gt;=38</f>
        <v/>
      </c>
      <c r="D487">
        <f>IF(Skills!C23=1,60+Inputs!$B$25+Inputs!$B$29,IF(Skills!C23=2,90+Inputs!$B$26+Inputs!$B$29,IF(Skills!C23=3,120+Inputs!$B$27+Inputs!$B$29,MAX(0,(Inputs!$B$3-100)*3)+Inputs!$B$28+Inputs!$B$29)))</f>
        <v/>
      </c>
      <c r="E487">
        <f>INDEX(FactorTable!$B$2:$Y$301, MATCH(ROUND(MIN(300,MAX(1,D487)),0), FactorTable!$A$2:$A$301,0), Skills!M23+1)</f>
        <v/>
      </c>
      <c r="F487">
        <f>IF(Skills!N23=TRUE,(Skills!L23/10)*(E487/1000),Skills!L23/10)+Skills!O23</f>
        <v/>
      </c>
      <c r="G487">
        <f>Calc!G23</f>
        <v/>
      </c>
      <c r="H487">
        <f>Calc!H23</f>
        <v/>
      </c>
      <c r="I487">
        <f>IF(Skills!AA23&lt;&gt;"",1+(Skills!AA23/10)*(U467/1000)/100,1)</f>
        <v/>
      </c>
      <c r="J487" t="inlineStr"/>
      <c r="K487" t="inlineStr"/>
      <c r="L487" t="inlineStr"/>
      <c r="M487" t="inlineStr"/>
      <c r="N487" t="inlineStr"/>
      <c r="O487">
        <f>(1-Summary!$B$11)*T487+Summary!$B$11*V487</f>
        <v/>
      </c>
      <c r="P487">
        <f>IF(B508=0,0,O487/B508)</f>
        <v/>
      </c>
      <c r="Q487" t="n">
        <v>0</v>
      </c>
      <c r="R487" t="n">
        <v>0</v>
      </c>
      <c r="S487">
        <f>IFERROR(O487/N487,0)</f>
        <v/>
      </c>
      <c r="T487" t="n">
        <v>0</v>
      </c>
      <c r="V487" t="n">
        <v>0</v>
      </c>
    </row>
    <row r="488">
      <c r="A488">
        <f>Skills!A24</f>
        <v/>
      </c>
      <c r="B488">
        <f>Skills!B24</f>
        <v/>
      </c>
      <c r="C488">
        <f>Inputs!$B$3&gt;=40</f>
        <v/>
      </c>
      <c r="D488">
        <f>IF(Skills!C24=1,60+Inputs!$B$25+Inputs!$B$29,IF(Skills!C24=2,90+Inputs!$B$26+Inputs!$B$29,IF(Skills!C24=3,120+Inputs!$B$27+Inputs!$B$29,MAX(0,(Inputs!$B$3-100)*3)+Inputs!$B$28+Inputs!$B$29)))</f>
        <v/>
      </c>
      <c r="E488">
        <f>INDEX(FactorTable!$B$2:$Y$301, MATCH(ROUND(MIN(300,MAX(1,D488)),0), FactorTable!$A$2:$A$301,0), Skills!M24+1)</f>
        <v/>
      </c>
      <c r="F488">
        <f>IF(Skills!N24=TRUE,(Skills!L24/10)*(E488/1000),Skills!L24/10)+Skills!O24</f>
        <v/>
      </c>
      <c r="G488">
        <f>Calc!G24</f>
        <v/>
      </c>
      <c r="H488">
        <f>Calc!H24</f>
        <v/>
      </c>
      <c r="I488">
        <f>IF(Skills!AA24&lt;&gt;"",1+(Skills!AA24/10)*(U467/1000)/100,1)</f>
        <v/>
      </c>
      <c r="J488" t="inlineStr"/>
      <c r="K488" t="inlineStr"/>
      <c r="L488" t="inlineStr"/>
      <c r="M488" t="inlineStr"/>
      <c r="N488" t="inlineStr"/>
      <c r="O488">
        <f>(1-Summary!$B$11)*T488+Summary!$B$11*V488</f>
        <v/>
      </c>
      <c r="P488">
        <f>IF(B508=0,0,O488/B508)</f>
        <v/>
      </c>
      <c r="Q488" t="n">
        <v>0</v>
      </c>
      <c r="R488" t="n">
        <v>0</v>
      </c>
      <c r="S488">
        <f>IFERROR(O488/N488,0)</f>
        <v/>
      </c>
      <c r="T488" t="n">
        <v>0</v>
      </c>
      <c r="V488" t="n">
        <v>0</v>
      </c>
    </row>
    <row r="489">
      <c r="A489">
        <f>Skills!A25</f>
        <v/>
      </c>
      <c r="B489">
        <f>Skills!B25</f>
        <v/>
      </c>
      <c r="C489">
        <f>Inputs!$B$3&gt;=45</f>
        <v/>
      </c>
      <c r="D489">
        <f>IF(Skills!C25=1,60+Inputs!$B$25+Inputs!$B$29,IF(Skills!C25=2,90+Inputs!$B$26+Inputs!$B$29,IF(Skills!C25=3,120+Inputs!$B$27+Inputs!$B$29,MAX(0,(Inputs!$B$3-100)*3)+Inputs!$B$28+Inputs!$B$29)))</f>
        <v/>
      </c>
      <c r="E489">
        <f>INDEX(FactorTable!$B$2:$Y$301, MATCH(ROUND(MIN(300,MAX(1,D489)),0), FactorTable!$A$2:$A$301,0), Skills!M25+1)</f>
        <v/>
      </c>
      <c r="F489">
        <f>IF(Skills!N25=TRUE,(Skills!L25/10)*(E489/1000),Skills!L25/10)+Skills!O25</f>
        <v/>
      </c>
      <c r="G489">
        <f>Calc!G25</f>
        <v/>
      </c>
      <c r="H489">
        <f>Calc!H25</f>
        <v/>
      </c>
      <c r="I489">
        <f>IF(Skills!AA25&lt;&gt;"",1+(Skills!AA25/10)*(U467/1000)/100,1)</f>
        <v/>
      </c>
      <c r="J489" t="inlineStr"/>
      <c r="K489" t="inlineStr"/>
      <c r="L489" t="inlineStr"/>
      <c r="M489" t="inlineStr"/>
      <c r="N489" t="inlineStr"/>
      <c r="O489">
        <f>(1-Summary!$B$11)*T489+Summary!$B$11*V489</f>
        <v/>
      </c>
      <c r="P489">
        <f>IF(B508=0,0,O489/B508)</f>
        <v/>
      </c>
      <c r="Q489" t="n">
        <v>0</v>
      </c>
      <c r="R489" t="n">
        <v>0</v>
      </c>
      <c r="S489">
        <f>IFERROR(O489/N489,0)</f>
        <v/>
      </c>
      <c r="T489" t="n">
        <v>0</v>
      </c>
      <c r="V489" t="n">
        <v>0</v>
      </c>
    </row>
    <row r="490">
      <c r="A490">
        <f>Skills!A26</f>
        <v/>
      </c>
      <c r="B490">
        <f>Skills!B26</f>
        <v/>
      </c>
      <c r="C490">
        <f>Inputs!$B$3&gt;=45</f>
        <v/>
      </c>
      <c r="D490">
        <f>IF(Skills!C26=1,60+Inputs!$B$25+Inputs!$B$29,IF(Skills!C26=2,90+Inputs!$B$26+Inputs!$B$29,IF(Skills!C26=3,120+Inputs!$B$27+Inputs!$B$29,MAX(0,(Inputs!$B$3-100)*3)+Inputs!$B$28+Inputs!$B$29)))</f>
        <v/>
      </c>
      <c r="E490">
        <f>INDEX(FactorTable!$B$2:$Y$301, MATCH(ROUND(MIN(300,MAX(1,D490)),0), FactorTable!$A$2:$A$301,0), Skills!M26+1)</f>
        <v/>
      </c>
      <c r="F490">
        <f>IF(Skills!N26=TRUE,(Skills!L26/10)*(E490/1000),Skills!L26/10)+Skills!O26</f>
        <v/>
      </c>
      <c r="G490">
        <f>Calc!G26</f>
        <v/>
      </c>
      <c r="H490">
        <f>Calc!H26</f>
        <v/>
      </c>
      <c r="I490">
        <f>IF(Skills!AA26&lt;&gt;"",1+(Skills!AA26/10)*(U467/1000)/100,1)</f>
        <v/>
      </c>
      <c r="J490" t="inlineStr"/>
      <c r="K490" t="inlineStr"/>
      <c r="L490" t="inlineStr"/>
      <c r="M490" t="inlineStr"/>
      <c r="N490" t="inlineStr"/>
      <c r="O490">
        <f>(1-Summary!$B$11)*T490+Summary!$B$11*V490</f>
        <v/>
      </c>
      <c r="P490">
        <f>IF(B508=0,0,O490/B508)</f>
        <v/>
      </c>
      <c r="Q490" t="n">
        <v>0</v>
      </c>
      <c r="R490" t="n">
        <v>0</v>
      </c>
      <c r="S490">
        <f>IFERROR(O490/N490,0)</f>
        <v/>
      </c>
      <c r="T490" t="n">
        <v>0</v>
      </c>
      <c r="V490" t="n">
        <v>0</v>
      </c>
    </row>
    <row r="491">
      <c r="A491">
        <f>Skills!A27</f>
        <v/>
      </c>
      <c r="B491">
        <f>Skills!B27</f>
        <v/>
      </c>
      <c r="C491">
        <f>Inputs!$B$3&gt;=72</f>
        <v/>
      </c>
      <c r="D491">
        <f>IF(Skills!C27=1,60+Inputs!$B$25+Inputs!$B$29,IF(Skills!C27=2,90+Inputs!$B$26+Inputs!$B$29,IF(Skills!C27=3,120+Inputs!$B$27+Inputs!$B$29,MAX(0,(Inputs!$B$3-100)*3)+Inputs!$B$28+Inputs!$B$29)))</f>
        <v/>
      </c>
      <c r="E491">
        <f>INDEX(FactorTable!$B$2:$Y$301, MATCH(ROUND(MIN(300,MAX(1,D491)),0), FactorTable!$A$2:$A$301,0), Skills!M27+1)</f>
        <v/>
      </c>
      <c r="F491">
        <f>IF(Skills!N27=TRUE,(Skills!L27/10)*(E491/1000),Skills!L27/10)+Skills!O27</f>
        <v/>
      </c>
      <c r="G491">
        <f>Calc!G27</f>
        <v/>
      </c>
      <c r="H491">
        <f>Calc!H27</f>
        <v/>
      </c>
      <c r="I491">
        <f>IF(Skills!AA27&lt;&gt;"",1+(Skills!AA27/10)*(U467/1000)/100,1)</f>
        <v/>
      </c>
      <c r="J491" t="inlineStr"/>
      <c r="K491" t="inlineStr"/>
      <c r="L491" t="inlineStr"/>
      <c r="M491" t="inlineStr"/>
      <c r="N491" t="inlineStr"/>
      <c r="O491">
        <f>(1-Summary!$B$11)*T491+Summary!$B$11*V491</f>
        <v/>
      </c>
      <c r="P491">
        <f>IF(B508=0,0,O491/B508)</f>
        <v/>
      </c>
      <c r="Q491" t="n">
        <v>0</v>
      </c>
      <c r="R491" t="n">
        <v>0</v>
      </c>
      <c r="S491">
        <f>IFERROR(O491/N491,0)</f>
        <v/>
      </c>
      <c r="T491" t="n">
        <v>0</v>
      </c>
      <c r="V491" t="n">
        <v>0</v>
      </c>
    </row>
    <row r="492">
      <c r="A492">
        <f>Skills!A28</f>
        <v/>
      </c>
      <c r="B492">
        <f>Skills!B28</f>
        <v/>
      </c>
      <c r="C492">
        <f>Inputs!$B$3&gt;=75</f>
        <v/>
      </c>
      <c r="D492">
        <f>IF(Skills!C28=1,60+Inputs!$B$25+Inputs!$B$29,IF(Skills!C28=2,90+Inputs!$B$26+Inputs!$B$29,IF(Skills!C28=3,120+Inputs!$B$27+Inputs!$B$29,MAX(0,(Inputs!$B$3-100)*3)+Inputs!$B$28+Inputs!$B$29)))</f>
        <v/>
      </c>
      <c r="E492">
        <f>INDEX(FactorTable!$B$2:$Y$301, MATCH(ROUND(MIN(300,MAX(1,D492)),0), FactorTable!$A$2:$A$301,0), Skills!M28+1)</f>
        <v/>
      </c>
      <c r="F492">
        <f>IF(Skills!N28=TRUE,(Skills!L28/10)*(E492/1000),Skills!L28/10)+Skills!O28</f>
        <v/>
      </c>
      <c r="G492">
        <f>Calc!G28</f>
        <v/>
      </c>
      <c r="H492">
        <f>Calc!H28</f>
        <v/>
      </c>
      <c r="I492">
        <f>IF(Skills!AA28&lt;&gt;"",1+(Skills!AA28/10)*(U467/1000)/100,1)</f>
        <v/>
      </c>
      <c r="J492" t="inlineStr"/>
      <c r="K492" t="inlineStr"/>
      <c r="L492" t="inlineStr"/>
      <c r="M492" t="inlineStr"/>
      <c r="N492" t="inlineStr"/>
      <c r="O492">
        <f>(1-Summary!$B$11)*T492+Summary!$B$11*V492</f>
        <v/>
      </c>
      <c r="P492">
        <f>IF(B508=0,0,O492/B508)</f>
        <v/>
      </c>
      <c r="Q492" t="n">
        <v>0</v>
      </c>
      <c r="R492" t="n">
        <v>0</v>
      </c>
      <c r="S492">
        <f>IFERROR(O492/N492,0)</f>
        <v/>
      </c>
      <c r="T492" t="n">
        <v>0</v>
      </c>
      <c r="V492" t="n">
        <v>0</v>
      </c>
    </row>
    <row r="493">
      <c r="A493">
        <f>Skills!A29</f>
        <v/>
      </c>
      <c r="B493">
        <f>Skills!B29</f>
        <v/>
      </c>
      <c r="C493">
        <f>Inputs!$B$3&gt;=120</f>
        <v/>
      </c>
      <c r="D493">
        <f>IF(Skills!C29=1,60+Inputs!$B$25+Inputs!$B$29,IF(Skills!C29=2,90+Inputs!$B$26+Inputs!$B$29,IF(Skills!C29=3,120+Inputs!$B$27+Inputs!$B$29,MAX(0,(Inputs!$B$3-100)*3)+Inputs!$B$28+Inputs!$B$29)))</f>
        <v/>
      </c>
      <c r="E493">
        <f>INDEX(FactorTable!$B$2:$Y$301, MATCH(ROUND(MIN(300,MAX(1,D493)),0), FactorTable!$A$2:$A$301,0), Skills!M29+1)</f>
        <v/>
      </c>
      <c r="F493">
        <f>IF(Skills!N29=TRUE,(Skills!L29/10)*(E493/1000),Skills!L29/10)+Skills!O29</f>
        <v/>
      </c>
      <c r="G493">
        <f>Calc!G29</f>
        <v/>
      </c>
      <c r="H493">
        <f>Calc!H29</f>
        <v/>
      </c>
      <c r="I493">
        <f>IF(Skills!AA29&lt;&gt;"",1+(Skills!AA29/10)*(U467/1000)/100,1)</f>
        <v/>
      </c>
      <c r="J493" t="inlineStr"/>
      <c r="K493" t="inlineStr"/>
      <c r="L493" t="inlineStr"/>
      <c r="M493" t="inlineStr"/>
      <c r="N493" t="inlineStr"/>
      <c r="O493">
        <f>(1-Summary!$B$11)*T493+Summary!$B$11*V493</f>
        <v/>
      </c>
      <c r="P493">
        <f>IF(B508=0,0,O493/B508)</f>
        <v/>
      </c>
      <c r="Q493" t="n">
        <v>0</v>
      </c>
      <c r="R493" t="n">
        <v>0</v>
      </c>
      <c r="S493">
        <f>IFERROR(O493/N493,0)</f>
        <v/>
      </c>
      <c r="T493" t="n">
        <v>0</v>
      </c>
      <c r="V493" t="n">
        <v>0</v>
      </c>
    </row>
    <row r="494">
      <c r="A494">
        <f>Skills!A30</f>
        <v/>
      </c>
      <c r="B494">
        <f>Skills!B30</f>
        <v/>
      </c>
      <c r="C494">
        <f>Inputs!$B$3&gt;=125</f>
        <v/>
      </c>
      <c r="D494">
        <f>IF(Skills!C30=1,60+Inputs!$B$25+Inputs!$B$29,IF(Skills!C30=2,90+Inputs!$B$26+Inputs!$B$29,IF(Skills!C30=3,120+Inputs!$B$27+Inputs!$B$29,MAX(0,(Inputs!$B$3-100)*3)+Inputs!$B$28+Inputs!$B$29)))</f>
        <v/>
      </c>
      <c r="E494">
        <f>INDEX(FactorTable!$B$2:$Y$301, MATCH(ROUND(MIN(300,MAX(1,D494)),0), FactorTable!$A$2:$A$301,0), Skills!M30+1)</f>
        <v/>
      </c>
      <c r="F494">
        <f>IF(Skills!N30=TRUE,(Skills!L30/10)*(E494/1000),Skills!L30/10)+Skills!O30</f>
        <v/>
      </c>
      <c r="G494">
        <f>Calc!G30</f>
        <v/>
      </c>
      <c r="H494">
        <f>Calc!H30</f>
        <v/>
      </c>
      <c r="I494">
        <f>IF(Skills!AA30&lt;&gt;"",1+(Skills!AA30/10)*(U467/1000)/100,1)</f>
        <v/>
      </c>
      <c r="J494" t="inlineStr"/>
      <c r="K494" t="inlineStr"/>
      <c r="L494" t="inlineStr"/>
      <c r="M494" t="inlineStr"/>
      <c r="N494" t="inlineStr"/>
      <c r="O494">
        <f>(1-Summary!$B$11)*T494+Summary!$B$11*V494</f>
        <v/>
      </c>
      <c r="P494">
        <f>IF(B508=0,0,O494/B508)</f>
        <v/>
      </c>
      <c r="Q494" t="n">
        <v>0</v>
      </c>
      <c r="R494" t="n">
        <v>0</v>
      </c>
      <c r="S494">
        <f>IFERROR(O494/N494,0)</f>
        <v/>
      </c>
      <c r="T494" t="n">
        <v>0</v>
      </c>
      <c r="V494" t="n">
        <v>0</v>
      </c>
    </row>
    <row r="495">
      <c r="A495">
        <f>Skills!A31</f>
        <v/>
      </c>
      <c r="B495">
        <f>Skills!B31</f>
        <v/>
      </c>
      <c r="C495">
        <f>Inputs!$B$3&gt;=107</f>
        <v/>
      </c>
      <c r="D495">
        <f>IF(Skills!C31=1,60+Inputs!$B$25+Inputs!$B$29,IF(Skills!C31=2,90+Inputs!$B$26+Inputs!$B$29,IF(Skills!C31=3,120+Inputs!$B$27+Inputs!$B$29,MAX(0,(Inputs!$B$3-100)*3)+Inputs!$B$28+Inputs!$B$29)))</f>
        <v/>
      </c>
      <c r="E495">
        <f>INDEX(FactorTable!$B$2:$Y$301, MATCH(ROUND(MIN(300,MAX(1,D495)),0), FactorTable!$A$2:$A$301,0), Skills!M31+1)</f>
        <v/>
      </c>
      <c r="F495">
        <f>IF(Skills!N31=TRUE,(Skills!L31/10)*(E495/1000),Skills!L31/10)+Skills!O31</f>
        <v/>
      </c>
      <c r="G495">
        <f>Calc!G31</f>
        <v/>
      </c>
      <c r="H495">
        <f>Calc!H31</f>
        <v/>
      </c>
      <c r="I495">
        <f>IF(Skills!AA31&lt;&gt;"",1+(Skills!AA31/10)*(U467/1000)/100,1)</f>
        <v/>
      </c>
      <c r="J495" t="inlineStr"/>
      <c r="K495" t="inlineStr"/>
      <c r="L495" t="inlineStr"/>
      <c r="M495" t="inlineStr"/>
      <c r="N495" t="inlineStr"/>
      <c r="O495">
        <f>(1-Summary!$B$11)*T495+Summary!$B$11*V495</f>
        <v/>
      </c>
      <c r="P495">
        <f>IF(B508=0,0,O495/B508)</f>
        <v/>
      </c>
      <c r="Q495" t="n">
        <v>0</v>
      </c>
      <c r="R495" t="n">
        <v>0</v>
      </c>
      <c r="S495">
        <f>IFERROR(O495/N495,0)</f>
        <v/>
      </c>
      <c r="T495" t="n">
        <v>0</v>
      </c>
      <c r="V495" t="n">
        <v>0</v>
      </c>
    </row>
    <row r="497">
      <c r="A497" t="inlineStr">
        <is>
          <t>Actions Per Second (pre-Adrenalin)</t>
        </is>
      </c>
      <c r="B497">
        <f>1+MIN(150,150*(1-(1-(Inputs!$B$11+((C486=TRUE)*(F486-Calc!F22))+(ArtifactsInput!$M$15-ArtifactsInput!$M$15)*CHOOSE(ArtifactsInput!$N$15+1,8,9.6,11.2,12.8,14.4,16))/150)*(1-((C483=TRUE)*F483*IF(AND(Inputs!$B$39&lt;&gt;"pvp",Inputs!$B$44&gt;0),(((R483-1)*(Skills!Y19*(1+Inputs!$B$34/100))+MIN((Skills!Y19*(1+Inputs!$B$34/100)),MAX(0,Inputs!$B$44-((R483-1)*Skills!D19))))/Inputs!$B$44),IF(Inputs!$B$39="pvp",MIN((Skills!Y19*(1+Inputs!$B$34/100)),15)/15,(Skills!Y19*(1+Inputs!$B$34/100))/Skills!D19)))/150)))/100</f>
        <v/>
      </c>
    </row>
    <row r="498">
      <c r="A498" t="inlineStr">
        <is>
          <t>Alchemic Adrenaline Uptime</t>
        </is>
      </c>
      <c r="B498">
        <f>(Skills!Y6*(1+Inputs!$B$34/100))/((Skills!Y6*(1+Inputs!$B$34/100))+(5/B497))</f>
        <v/>
      </c>
    </row>
    <row r="499">
      <c r="A499" t="inlineStr">
        <is>
          <t>Attack Speed Buff Bonus %</t>
        </is>
      </c>
      <c r="B499">
        <f>((C483=TRUE)*F483*IF(AND(Inputs!$B$39&lt;&gt;"pvp",Inputs!$B$44&gt;0),(((R483-1)*(Skills!Y19*(1+Inputs!$B$34/100))+MIN((Skills!Y19*(1+Inputs!$B$34/100)),MAX(0,Inputs!$B$44-((R483-1)*Skills!D19))))/Inputs!$B$44),IF(Inputs!$B$39="pvp",MIN((Skills!Y19*(1+Inputs!$B$34/100)),15)/15,(Skills!Y19*(1+Inputs!$B$34/100))/Skills!D19)))+((C471=TRUE)*F471*B498)</f>
        <v/>
      </c>
    </row>
    <row r="500">
      <c r="A500" t="inlineStr">
        <is>
          <t>Actions Per Second (final)</t>
        </is>
      </c>
      <c r="B500">
        <f>1+MIN(150,150*(1-(1-(Inputs!$B$11+((C486=TRUE)*(F486-Calc!F22))+(ArtifactsInput!$M$15-ArtifactsInput!$M$15)*CHOOSE(ArtifactsInput!$N$15+1,8,9.6,11.2,12.8,14.4,16))/150)*(1-B499/150)))/100</f>
        <v/>
      </c>
    </row>
    <row r="501">
      <c r="A501" t="inlineStr">
        <is>
          <t>Skill + Buff Cast Rate</t>
        </is>
      </c>
      <c r="B501">
        <f>IF(AND(Inputs!$B$39&lt;&gt;"pvp",Inputs!$B$44&gt;0),SUMPRODUCT((Skills!E2:E31=TRUE)*(C466:C495=TRUE)*R466:R495*Skills!F2:F31)/Inputs!$B$44,SUMPRODUCT((Skills!E2:E31=TRUE)*(C466:C495=TRUE)*Q466:Q495*Skills!F2:F31))</f>
        <v/>
      </c>
    </row>
    <row r="502">
      <c r="A502" t="inlineStr">
        <is>
          <t>Showdown Casts Per Second</t>
        </is>
      </c>
      <c r="B502">
        <f>MAX(0,B500-B501)</f>
        <v/>
      </c>
    </row>
    <row r="503">
      <c r="A503" t="inlineStr">
        <is>
          <t>Average Buff Multiplier</t>
        </is>
      </c>
      <c r="B503">
        <f>(1+(((C485=TRUE)*F485*IF(AND(Inputs!$B$39&lt;&gt;"pvp",Inputs!$B$44&gt;0),(((R485-1)*(Skills!Y21*(1+Inputs!$B$34/100))+MIN((Skills!Y21*(1+Inputs!$B$34/100)),MAX(0,Inputs!$B$44-((R485-1)*Skills!D21))))/Inputs!$B$44),IF(Inputs!$B$39="pvp",MIN((Skills!Y21*(1+Inputs!$B$34/100)),15)/15,(Skills!Y21*(1+Inputs!$B$34/100))/Skills!D21)))+((C492=TRUE)*(F492-Calc!F28))+((C482=TRUE)*(F482-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479=TRUE)*F479*IF(AND(Inputs!$B$39&lt;&gt;"pvp",Inputs!$B$44&gt;0),(((R479-1)*(Skills!Y15*(1+Inputs!$B$34/100))+MIN((Skills!Y15*(1+Inputs!$B$34/100)),MAX(0,Inputs!$B$44-((R479-1)*Skills!D15))))/Inputs!$B$44),IF(Inputs!$B$39="pvp",MIN((Skills!Y15*(1+Inputs!$B$34/100)),15)/15,(Skills!Y15*(1+Inputs!$B$34/100))/Skills!D15)))/100)*(1+((C470=TRUE)*F470*B498)/100)</f>
        <v/>
      </c>
    </row>
    <row r="504">
      <c r="A504" t="inlineStr">
        <is>
          <t>Global Crit Rate Bonus %</t>
        </is>
      </c>
      <c r="B504">
        <f>IF(Inputs!$B$3&gt;=47,8,0)+((C484=TRUE)*F484*IF(AND(Inputs!$B$39&lt;&gt;"pvp",Inputs!$B$44&gt;0),(((R484-1)*(Skills!Y20*(1+Inputs!$B$34/100))+MIN((Skills!Y20*(1+Inputs!$B$34/100)),MAX(0,Inputs!$B$44-((R484-1)*Skills!D20))))/Inputs!$B$44),IF(Inputs!$B$39="pvp",MIN((Skills!Y20*(1+Inputs!$B$34/100)),15)/15,(Skills!Y20*(1+Inputs!$B$34/100))/Skills!D20)))</f>
        <v/>
      </c>
    </row>
    <row r="505">
      <c r="A505" t="inlineStr">
        <is>
          <t>Global Monster Damage-Taken Bonus %</t>
        </is>
      </c>
      <c r="B505">
        <f>IF(Inputs!$B$3&gt;=82,15,0)+((C480=TRUE)*F480*IF(AND(Inputs!$B$39&lt;&gt;"pvp",Inputs!$B$44&gt;0),(((R480-1)*(Skills!Y16*(1+Inputs!$B$34/100))+MIN((Skills!Y16*(1+Inputs!$B$34/100)),MAX(0,Inputs!$B$44-((R480-1)*Skills!D16))))/Inputs!$B$44),IF(Inputs!$B$39="pvp",MIN((Skills!Y16*(1+Inputs!$B$34/100)),15)/15,(Skills!Y16*(1+Inputs!$B$34/100))/Skills!D16)))</f>
        <v/>
      </c>
    </row>
    <row r="506">
      <c r="A506" t="inlineStr">
        <is>
          <t>Shadow Partner Average Multiplier</t>
        </is>
      </c>
      <c r="B506">
        <f>1+((C475=TRUE)*F475*I475*Skills!J11/100)/100</f>
        <v/>
      </c>
    </row>
    <row r="507">
      <c r="A507" t="inlineStr">
        <is>
          <t>Global Critical Damage Bonus % (Frailty Curse Mastery Lv.111)</t>
        </is>
      </c>
      <c r="B507">
        <f>IF(Inputs!$B$3&gt;=111,30,0)*IF(AND(Inputs!$B$39&lt;&gt;"pvp",Inputs!$B$44&gt;0),(((R480-1)*(Skills!Y16*(1+Inputs!$B$34/100))+MIN((Skills!Y16*(1+Inputs!$B$34/100)),MAX(0,Inputs!$B$44-((R480-1)*Skills!D16))))/Inputs!$B$44),IF(Inputs!$B$39="pvp",MIN((Skills!Y16*(1+Inputs!$B$34/100)),15)/15,(Skills!Y16*(1+Inputs!$B$34/100))/Skills!D16))</f>
        <v/>
      </c>
    </row>
    <row r="508">
      <c r="A508" s="6" t="inlineStr">
        <is>
          <t>TOTAL DPS</t>
        </is>
      </c>
      <c r="B508" s="6">
        <f>SUM(O466:O495)</f>
        <v/>
      </c>
    </row>
    <row r="509">
      <c r="A509" t="inlineStr">
        <is>
          <t>Buff-Casting Startup Delay (s, fixed-duration only)</t>
        </is>
      </c>
      <c r="B509">
        <f>IF(AND(Inputs!$B$39&lt;&gt;"pvp",Inputs!$B$44&gt;0),SUMPRODUCT((Skills!Y2:Y31&gt;0)*(Skills!E2:E31=TRUE)*(C466:C495=TRUE))/B500,0)</f>
        <v/>
      </c>
    </row>
    <row r="510">
      <c r="A510" t="inlineStr">
        <is>
          <t>Boss-Only Total DPS (this block's swept value)</t>
        </is>
      </c>
      <c r="B510">
        <f>SUM(T466:T495)</f>
        <v/>
      </c>
    </row>
    <row r="511">
      <c r="A511" t="inlineStr">
        <is>
          <t>Normal-Only Total DPS (this block's swept value)</t>
        </is>
      </c>
      <c r="B511">
        <f>SUM(V466:V495)</f>
        <v/>
      </c>
    </row>
    <row r="513">
      <c r="A513" s="6" t="inlineStr">
        <is>
          <t>Stat: MAX_DAMAGE %</t>
        </is>
      </c>
    </row>
    <row r="514">
      <c r="A514" s="5" t="inlineStr">
        <is>
          <t>Key</t>
        </is>
      </c>
      <c r="B514" s="5" t="inlineStr">
        <is>
          <t>Name</t>
        </is>
      </c>
      <c r="C514" s="5" t="inlineStr">
        <is>
          <t>Unlocked</t>
        </is>
      </c>
      <c r="D514" s="5" t="inlineStr">
        <is>
          <t>InputLevel</t>
        </is>
      </c>
      <c r="E514" s="5" t="inlineStr">
        <is>
          <t>Factor</t>
        </is>
      </c>
      <c r="F514" s="5" t="inlineStr">
        <is>
          <t>CoefficientPercent</t>
        </is>
      </c>
      <c r="G514" s="5" t="inlineStr">
        <is>
          <t>EffectiveHits</t>
        </is>
      </c>
      <c r="H514" s="5" t="inlineStr">
        <is>
          <t>ProcProbability</t>
        </is>
      </c>
      <c r="I514" s="5" t="inlineStr">
        <is>
          <t>MapleHeroMultiplier</t>
        </is>
      </c>
      <c r="J514" s="5" t="inlineStr">
        <is>
          <t>BaseDamage</t>
        </is>
      </c>
      <c r="K514" s="5" t="inlineStr">
        <is>
          <t>BaseHitDamage</t>
        </is>
      </c>
      <c r="L514" s="5" t="inlineStr">
        <is>
          <t>NonCritAvg</t>
        </is>
      </c>
      <c r="M514" s="5" t="inlineStr">
        <is>
          <t>CritAvg</t>
        </is>
      </c>
      <c r="N514" s="5" t="inlineStr">
        <is>
          <t>ExpectedDamage(perHit)</t>
        </is>
      </c>
      <c r="O514" s="5" t="inlineStr">
        <is>
          <t>DPS</t>
        </is>
      </c>
      <c r="P514" s="5" t="inlineStr">
        <is>
          <t>% of Total</t>
        </is>
      </c>
      <c r="Q514" s="5" t="inlineStr">
        <is>
          <t>InvCooldown</t>
        </is>
      </c>
      <c r="R514" s="5" t="inlineStr">
        <is>
          <t>CastsInFight</t>
        </is>
      </c>
      <c r="S514" s="5" t="inlineStr">
        <is>
          <t>HitRate(perSec)</t>
        </is>
      </c>
      <c r="U514" t="inlineStr">
        <is>
          <t>helpers</t>
        </is>
      </c>
    </row>
    <row r="515">
      <c r="A515">
        <f>Skills!A2</f>
        <v/>
      </c>
      <c r="B515">
        <f>Skills!B2</f>
        <v/>
      </c>
      <c r="C515">
        <f>Inputs!$B$3&gt;=100</f>
        <v/>
      </c>
      <c r="D515" t="inlineStr"/>
      <c r="E515" t="inlineStr"/>
      <c r="F515">
        <f>U519+Skills!O2</f>
        <v/>
      </c>
      <c r="G515">
        <f>Calc!G2</f>
        <v/>
      </c>
      <c r="H515">
        <f>Calc!H2</f>
        <v/>
      </c>
      <c r="I515">
        <f>IF(Skills!AA2&lt;&gt;"",1+(Skills!AA2/10)*(U516/1000)/100,1)</f>
        <v/>
      </c>
      <c r="J515">
        <f>((Inputs!$B$6*(1+Inputs!$B$7/100))+(((Inputs!$B$12*(1+Inputs!$B$13/100))-(Inputs!$B$12*(1+Inputs!$B$13/100)))+0.25*(Inputs!$B$14-Inputs!$B$14))*(1+Inputs!$B$7/100))*(F515/100)</f>
        <v/>
      </c>
      <c r="K515">
        <f>J515*(1+((Inputs!$B$12*(1+Inputs!$B$13/100))*0.01+Inputs!$B$14*0.0025)/100)*(1+Inputs!$B$15/100)*(1+Inputs!$B$16/100)*(5000/(6000+Inputs!$B$43*(1-(100*(1-(1-(Inputs!$B$19+0)/100)*(1-CHOOSE(ArtifactsInput!$N$40+1,5,6,7,8,9,10)/100)^(ArtifactsInput!$M$40-ArtifactsInput!$M$40)))/100)))*(1+(Inputs!$B$24+((C543=TRUE)*(F543-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536=TRUE)*(F536-Calc!F23))+(((IF(AND(ArtifactsInput!$M$42,((Inputs!$B$9+((C538=TRUE)*(F538-Calc!F25))+B553+(ArtifactsInput!$M$24-ArtifactsInput!$M$24)*CHOOSE(ArtifactsInput!$N$24+1,10,12,14,16,18,20)+IF(ArtifactsInput!$M$10,CHOOSE(ArtifactsInput!$N$10+1,15,18,21,24,27,30)*(IF(Inputs!$B$39="pvp",MIN(15,15)/15,IF(AND(Inputs!$B$39&lt;&gt;"pvp",Inputs!$B$44&gt;0),MIN(15,Inputs!$B$44)/(Inputs!$B$44),0))),0)))&gt;=100),MIN(100,((Inputs!$B$9+((C538=TRUE)*(F538-Calc!F25))+B553+(ArtifactsInput!$M$24-ArtifactsInput!$M$24)*CHOOSE(ArtifactsInput!$N$24+1,10,12,14,16,18,20)+IF(ArtifactsInput!$M$10,CHOOSE(ArtifactsInput!$N$10+1,15,18,21,24,27,30)*(IF(Inputs!$B$39="pvp",MIN(15,15)/15,IF(AND(Inputs!$B$39&lt;&gt;"pvp",Inputs!$B$44&gt;0),MIN(15,Inputs!$B$44)/(Inputs!$B$44),0))),0)))-100),0))*CHOOSE(ArtifactsInput!$N$42+1,0.6,0.72,0.84,0.96,1.08,1.2))),Inputs!$B$18+((C542=TRUE)*(F542-Calc!F29))+(IF(AND(ArtifactsInput!$M$42,((Inputs!$B$9+((C538=TRUE)*(F538-Calc!F25))+B553+(ArtifactsInput!$M$24-ArtifactsInput!$M$24)*CHOOSE(ArtifactsInput!$N$24+1,10,12,14,16,18,20)+IF(ArtifactsInput!$M$10,CHOOSE(ArtifactsInput!$N$10+1,15,18,21,24,27,30)*(IF(Inputs!$B$39="pvp",MIN(15,15)/15,IF(AND(Inputs!$B$39&lt;&gt;"pvp",Inputs!$B$44&gt;0),MIN(15,Inputs!$B$44)/(Inputs!$B$44),0))),0)))&gt;=100),CHOOSE(ArtifactsInput!$N$42+1,40,48,56,64,72,80),0))))/100)*(((1+(((C534=TRUE)*F534*IF(AND(Inputs!$B$39&lt;&gt;"pvp",Inputs!$B$44&gt;0),(((R534-1)*(Skills!Y21*(1+Inputs!$B$34/100))+MIN((Skills!Y21*(1+Inputs!$B$34/100)),MAX(0,Inputs!$B$44-((R534-1)*Skills!D21))))/Inputs!$B$44),IF(Inputs!$B$39="pvp",MIN((Skills!Y21*(1+Inputs!$B$34/100)),15)/15,(Skills!Y21*(1+Inputs!$B$34/100))/Skills!D21)))+((C541=TRUE)*(F541-Calc!F28))+((C531=TRUE)*(F531-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528=TRUE)*F528*IF(AND(Inputs!$B$39&lt;&gt;"pvp",Inputs!$B$44&gt;0),(((R528-1)*(Skills!Y15*(1+Inputs!$B$34/100))+MIN((Skills!Y15*(1+Inputs!$B$34/100)),MAX(0,Inputs!$B$44-((R528-1)*Skills!D15))))/Inputs!$B$44),IF(Inputs!$B$39="pvp",MIN((Skills!Y15*(1+Inputs!$B$34/100)),15)/15,(Skills!Y15*(1+Inputs!$B$34/100))/Skills!D15)))/100)*(1+((C519=TRUE)*F519*B547)/100))*B555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515)</f>
        <v/>
      </c>
      <c r="L515">
        <f>K515*(MIN(Inputs!$B$22+((C537=TRUE)*(F537-Calc!F24)),((Inputs!$B$23+1)+0+(IF(ArtifactsInput!$M$15,CHOOSE(ArtifactsInput!$N$15+1,25,30,35,40,45,50)/100*(Inputs!$B$11-Inputs!$B$11),0))))/100+((Inputs!$B$23+1)+0+(IF(ArtifactsInput!$M$15,CHOOSE(ArtifactsInput!$N$15+1,25,30,35,40,45,50)/100*(Inputs!$B$11-Inputs!$B$11),0)))/100)/2</f>
        <v/>
      </c>
      <c r="M515">
        <f>L515*(1+(Inputs!$B$10+((C539=TRUE)*(F539-Calc!F26))+B556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515">
        <f>L515*(1-MIN((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515*(MIN((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15">
        <f>(1-Summary!$B$11)*T515+Summary!$B$11*V515</f>
        <v/>
      </c>
      <c r="P515">
        <f>IF(B557=0,0,O515/B557)</f>
        <v/>
      </c>
      <c r="Q515" t="n">
        <v>0</v>
      </c>
      <c r="R515" t="n">
        <v>0</v>
      </c>
      <c r="S515">
        <f>IFERROR(O515/N515,0)</f>
        <v/>
      </c>
      <c r="T515">
        <f>IF(C515,(Skills!G2*N515*B551)*IF(Inputs!$B$39="pvp",1,1+(Inputs!$B$20+((C540=TRUE)*(F540-Calc!F27))+Skills!P2+B554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Hunt"),CHOOSE(ArtifactsInput!$N$35+1,15,18,21,24,27,30)*(1-EXP(-(0.2*B549)*5)),0)+IF(AND(ArtifactsInput!$M$22,Inputs!$B$4&lt;&gt;"Chapter Hunt"),CHOOSE(ArtifactsInput!$N$22+1,10,12,14,16,18,20)*((0*(((0.15*B549*5))^0/1)+1*(((0.15*B549*5))^1/1)+2*(((0.15*B549*5))^2/2)+3*(((0.15*B549*5))^3/6)+4*(((0.15*B549*5))^4/24)+5*(((0.15*B549*5))^5/120))/((((0.15*B549*5))^0/1)+(((0.15*B549*5))^1/1)+(((0.15*B549*5))^2/2)+(((0.15*B549*5))^3/6)+(((0.15*B549*5))^4/24)+(((0.15*B549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515*(1-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515*(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515*(1-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515*(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15">
        <f>MAX(0,(Inputs!$B$3-100)*3)+Inputs!$B$28+Inputs!$B$29</f>
        <v/>
      </c>
      <c r="V515">
        <f>IF(C515,(Skills!G2*N515*B551)*IF(Inputs!$B$39="pvp",1,(1+(Inputs!$B$21+Skills!Q2+B554+(IF(ArtifactsInput!$M$33,CHOOSE(ArtifactsInput!$N$33+1,30,36,42,48,54,60),0))+(IF(AND(ArtifactsInput!$M$35,Inputs!$B$4&lt;&gt;"Chapter Hunt"),CHOOSE(ArtifactsInput!$N$35+1,15,18,21,24,27,30)*(1-EXP(-(0.2*B549)*5)),0)+IF(AND(ArtifactsInput!$M$22,Inputs!$B$4&lt;&gt;"Chapter Hunt"),CHOOSE(ArtifactsInput!$N$22+1,10,12,14,16,18,20)*((0*(((0.15*B549*5))^0/1)+1*(((0.15*B549*5))^1/1)+2*(((0.15*B549*5))^2/2)+3*(((0.15*B549*5))^3/6)+4*(((0.15*B549*5))^4/24)+5*(((0.15*B549*5))^5/120))/((((0.15*B549*5))^0/1)+(((0.15*B549*5))^1/1)+(((0.15*B549*5))^2/2)+(((0.15*B549*5))^3/6)+(((0.15*B549*5))^4/24)+(((0.15*B549*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16">
      <c r="A516">
        <f>Skills!A3</f>
        <v/>
      </c>
      <c r="B516">
        <f>Skills!B3</f>
        <v/>
      </c>
      <c r="C516">
        <f>Inputs!$B$3&gt;=35</f>
        <v/>
      </c>
      <c r="D516">
        <f>IF(Skills!C3=1,60+Inputs!$B$25+Inputs!$B$29,IF(Skills!C3=2,90+Inputs!$B$26+Inputs!$B$29,IF(Skills!C3=3,120+Inputs!$B$27+Inputs!$B$29,MAX(0,(Inputs!$B$3-100)*3)+Inputs!$B$28+Inputs!$B$29)))</f>
        <v/>
      </c>
      <c r="E516">
        <f>INDEX(FactorTable!$B$2:$Y$301, MATCH(ROUND(MIN(300,MAX(1,D516)),0), FactorTable!$A$2:$A$301,0), Skills!M3+1)</f>
        <v/>
      </c>
      <c r="F516">
        <f>IF(Skills!N3=TRUE,(Skills!L3/10)*(E516/1000),Skills!L3/10)+Skills!O3</f>
        <v/>
      </c>
      <c r="G516">
        <f>Calc!G3</f>
        <v/>
      </c>
      <c r="H516">
        <f>Calc!H3</f>
        <v/>
      </c>
      <c r="I516">
        <f>IF(Skills!AA3&lt;&gt;"",1+(Skills!AA3/10)*(U516/1000)/100,1)</f>
        <v/>
      </c>
      <c r="J516">
        <f>((Inputs!$B$6*(1+Inputs!$B$7/100))+(((Inputs!$B$12*(1+Inputs!$B$13/100))-(Inputs!$B$12*(1+Inputs!$B$13/100)))+0.25*(Inputs!$B$14-Inputs!$B$14))*(1+Inputs!$B$7/100))*(F516/100)</f>
        <v/>
      </c>
      <c r="K516">
        <f>J516*(1+((Inputs!$B$12*(1+Inputs!$B$13/100))*0.01+Inputs!$B$14*0.0025)/100)*(1+Inputs!$B$15/100)*(1+Inputs!$B$16/100)*(5000/(6000+Inputs!$B$43*(1-(100*(1-(1-(Inputs!$B$19+0)/100)*(1-CHOOSE(ArtifactsInput!$N$40+1,5,6,7,8,9,10)/100)^(ArtifactsInput!$M$40-ArtifactsInput!$M$40)))/100)))*(1+(Inputs!$B$24+((C543=TRUE)*(F543-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536=TRUE)*(F536-Calc!F23))+(((IF(AND(ArtifactsInput!$M$42,((Inputs!$B$9+((C538=TRUE)*(F538-Calc!F25))+B553+(ArtifactsInput!$M$24-ArtifactsInput!$M$24)*CHOOSE(ArtifactsInput!$N$24+1,10,12,14,16,18,20)+IF(ArtifactsInput!$M$10,CHOOSE(ArtifactsInput!$N$10+1,15,18,21,24,27,30)*(IF(Inputs!$B$39="pvp",MIN(15,15)/15,IF(AND(Inputs!$B$39&lt;&gt;"pvp",Inputs!$B$44&gt;0),MIN(15,Inputs!$B$44)/(Inputs!$B$44),0))),0)))&gt;=100),MIN(100,((Inputs!$B$9+((C538=TRUE)*(F538-Calc!F25))+B553+(ArtifactsInput!$M$24-ArtifactsInput!$M$24)*CHOOSE(ArtifactsInput!$N$24+1,10,12,14,16,18,20)+IF(ArtifactsInput!$M$10,CHOOSE(ArtifactsInput!$N$10+1,15,18,21,24,27,30)*(IF(Inputs!$B$39="pvp",MIN(15,15)/15,IF(AND(Inputs!$B$39&lt;&gt;"pvp",Inputs!$B$44&gt;0),MIN(15,Inputs!$B$44)/(Inputs!$B$44),0))),0)))-100),0))*CHOOSE(ArtifactsInput!$N$42+1,0.6,0.72,0.84,0.96,1.08,1.2))),Inputs!$B$18+((C542=TRUE)*(F542-Calc!F29))+(IF(AND(ArtifactsInput!$M$42,((Inputs!$B$9+((C538=TRUE)*(F538-Calc!F25))+B553+(ArtifactsInput!$M$24-ArtifactsInput!$M$24)*CHOOSE(ArtifactsInput!$N$24+1,10,12,14,16,18,20)+IF(ArtifactsInput!$M$10,CHOOSE(ArtifactsInput!$N$10+1,15,18,21,24,27,30)*(IF(Inputs!$B$39="pvp",MIN(15,15)/15,IF(AND(Inputs!$B$39&lt;&gt;"pvp",Inputs!$B$44&gt;0),MIN(15,Inputs!$B$44)/(Inputs!$B$44),0))),0)))&gt;=100),CHOOSE(ArtifactsInput!$N$42+1,40,48,56,64,72,80),0))))/100)*(((1+(((C534=TRUE)*F534*IF(AND(Inputs!$B$39&lt;&gt;"pvp",Inputs!$B$44&gt;0),(((R534-1)*(Skills!Y21*(1+Inputs!$B$34/100))+MIN((Skills!Y21*(1+Inputs!$B$34/100)),MAX(0,Inputs!$B$44-((R534-1)*Skills!D21))))/Inputs!$B$44),IF(Inputs!$B$39="pvp",MIN((Skills!Y21*(1+Inputs!$B$34/100)),15)/15,(Skills!Y21*(1+Inputs!$B$34/100))/Skills!D21)))+((C541=TRUE)*(F541-Calc!F28))+((C531=TRUE)*(F531-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528=TRUE)*F528*IF(AND(Inputs!$B$39&lt;&gt;"pvp",Inputs!$B$44&gt;0),(((R528-1)*(Skills!Y15*(1+Inputs!$B$34/100))+MIN((Skills!Y15*(1+Inputs!$B$34/100)),MAX(0,Inputs!$B$44-((R528-1)*Skills!D15))))/Inputs!$B$44),IF(Inputs!$B$39="pvp",MIN((Skills!Y15*(1+Inputs!$B$34/100)),15)/15,(Skills!Y15*(1+Inputs!$B$34/100))/Skills!D15)))/100)*(1+((C519=TRUE)*F519*B547)/100))*B555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516)</f>
        <v/>
      </c>
      <c r="L516">
        <f>K516*(MIN(Inputs!$B$22+((C537=TRUE)*(F537-Calc!F24)),((Inputs!$B$23+1)+0+(IF(ArtifactsInput!$M$15,CHOOSE(ArtifactsInput!$N$15+1,25,30,35,40,45,50)/100*(Inputs!$B$11-Inputs!$B$11),0))))/100+((Inputs!$B$23+1)+0+(IF(ArtifactsInput!$M$15,CHOOSE(ArtifactsInput!$N$15+1,25,30,35,40,45,50)/100*(Inputs!$B$11-Inputs!$B$11),0)))/100)/2</f>
        <v/>
      </c>
      <c r="M516">
        <f>L516*(1+(Inputs!$B$10+((C539=TRUE)*(F539-Calc!F26))+B556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516">
        <f>L516*(1-MIN((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516*(MIN((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16">
        <f>(1-Summary!$B$11)*T516+Summary!$B$11*V516</f>
        <v/>
      </c>
      <c r="P516">
        <f>IF(B557=0,0,O516/B557)</f>
        <v/>
      </c>
      <c r="Q516">
        <f>IFERROR(1/IF(Inputs!$B$39="pvp",15,MAX(0.1,Skills!D3-IF(Skills!E3=TRUE,Inputs!$B$32,0))),0)</f>
        <v/>
      </c>
      <c r="R516">
        <f>IF(AND(Inputs!$B$39&lt;&gt;"pvp",Inputs!$B$44&gt;0),IF(MAX(0,Inputs!$B$44-B558)&lt;=0,0,(INT(MAX(0,Inputs!$B$44-B558)/IF(Inputs!$B$39="pvp",15,MAX(0.1,Skills!D3-IF(Skills!E3=TRUE,Inputs!$B$32,0))))+1)),0)</f>
        <v/>
      </c>
      <c r="S516">
        <f>IFERROR(O516/N516,0)</f>
        <v/>
      </c>
      <c r="T516">
        <f>IF(C516,(H516*N516*IF(AND(Inputs!$B$39&lt;&gt;"pvp",Inputs!$B$44&gt;0),((Skills!G3*((R516-1)*IF(Skills!H3&gt;0,Skills!I3/Skills!H3,1)+IF(Skills!H3&gt;0,MIN(Skills!I3,MAX(0,MAX(0,Inputs!$B$44-B558)-((R516-1)*IF(Inputs!$B$39="pvp",15,MAX(0.1,Skills!D3-IF(Skills!E3=TRUE,Inputs!$B$32,0))))))/Skills!H3,1)))/Inputs!$B$44),G516*Q516))*IF(Inputs!$B$39="pvp",1,1+(Inputs!$B$20+((C540=TRUE)*(F540-Calc!F27))+Skills!P3+B554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Hunt"),CHOOSE(ArtifactsInput!$N$35+1,15,18,21,24,27,30)*(1-EXP(-(0.2*B549)*5)),0)+IF(AND(ArtifactsInput!$M$22,Inputs!$B$4&lt;&gt;"Chapter Hunt"),CHOOSE(ArtifactsInput!$N$22+1,10,12,14,16,18,20)*((0*(((0.15*B549*5))^0/1)+1*(((0.15*B549*5))^1/1)+2*(((0.15*B549*5))^2/2)+3*(((0.15*B549*5))^3/6)+4*(((0.15*B549*5))^4/24)+5*(((0.15*B549*5))^5/120))/((((0.15*B549*5))^0/1)+(((0.15*B549*5))^1/1)+(((0.15*B549*5))^2/2)+(((0.15*B549*5))^3/6)+(((0.15*B549*5))^4/24)+(((0.15*B549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516*(1-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516*(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516*(1-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516*(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16">
        <f>INDEX(FactorTable!$B$2:$Y$301, MATCH(ROUND(MIN(300,MAX(1,U515)),0), FactorTable!$A$2:$A$301,0), 24)</f>
        <v/>
      </c>
      <c r="V516">
        <f>IF(C516,(H516*N516*IF(AND(Inputs!$B$39&lt;&gt;"pvp",Inputs!$B$44&gt;0),((Skills!G3*((R516-1)*IF(Skills!H3&gt;0,Skills!I3/Skills!H3,1)+IF(Skills!H3&gt;0,MIN(Skills!I3,MAX(0,MAX(0,Inputs!$B$44-B558)-((R516-1)*IF(Inputs!$B$39="pvp",15,MAX(0.1,Skills!D3-IF(Skills!E3=TRUE,Inputs!$B$32,0))))))/Skills!H3,1)))/Inputs!$B$44),G516*Q516))*IF(Inputs!$B$39="pvp",1,(1+(Inputs!$B$21+Skills!Q3+B554+(IF(ArtifactsInput!$M$33,CHOOSE(ArtifactsInput!$N$33+1,30,36,42,48,54,60),0))+(IF(AND(ArtifactsInput!$M$35,Inputs!$B$4&lt;&gt;"Chapter Hunt"),CHOOSE(ArtifactsInput!$N$35+1,15,18,21,24,27,30)*(1-EXP(-(0.2*B549)*5)),0)+IF(AND(ArtifactsInput!$M$22,Inputs!$B$4&lt;&gt;"Chapter Hunt"),CHOOSE(ArtifactsInput!$N$22+1,10,12,14,16,18,20)*((0*(((0.15*B549*5))^0/1)+1*(((0.15*B549*5))^1/1)+2*(((0.15*B549*5))^2/2)+3*(((0.15*B549*5))^3/6)+4*(((0.15*B549*5))^4/24)+5*(((0.15*B549*5))^5/120))/((((0.15*B549*5))^0/1)+(((0.15*B549*5))^1/1)+(((0.15*B549*5))^2/2)+(((0.15*B549*5))^3/6)+(((0.15*B549*5))^4/24)+(((0.15*B549*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17">
      <c r="A517">
        <f>Skills!A4</f>
        <v/>
      </c>
      <c r="B517">
        <f>Skills!B4</f>
        <v/>
      </c>
      <c r="C517">
        <f>Inputs!$B$3&gt;=40</f>
        <v/>
      </c>
      <c r="D517">
        <f>IF(Skills!C4=1,60+Inputs!$B$25+Inputs!$B$29,IF(Skills!C4=2,90+Inputs!$B$26+Inputs!$B$29,IF(Skills!C4=3,120+Inputs!$B$27+Inputs!$B$29,MAX(0,(Inputs!$B$3-100)*3)+Inputs!$B$28+Inputs!$B$29)))</f>
        <v/>
      </c>
      <c r="E517">
        <f>INDEX(FactorTable!$B$2:$Y$301, MATCH(ROUND(MIN(300,MAX(1,D517)),0), FactorTable!$A$2:$A$301,0), Skills!M4+1)</f>
        <v/>
      </c>
      <c r="F517">
        <f>IF(Skills!N4=TRUE,(Skills!L4/10)*(E517/1000),Skills!L4/10)+Skills!O4</f>
        <v/>
      </c>
      <c r="G517">
        <f>Calc!G4</f>
        <v/>
      </c>
      <c r="H517">
        <f>Calc!H4</f>
        <v/>
      </c>
      <c r="I517">
        <f>IF(Skills!AA4&lt;&gt;"",1+(Skills!AA4/10)*(U516/1000)/100,1)</f>
        <v/>
      </c>
      <c r="J517">
        <f>((Inputs!$B$6*(1+Inputs!$B$7/100))+(((Inputs!$B$12*(1+Inputs!$B$13/100))-(Inputs!$B$12*(1+Inputs!$B$13/100)))+0.25*(Inputs!$B$14-Inputs!$B$14))*(1+Inputs!$B$7/100))*(F517/100)</f>
        <v/>
      </c>
      <c r="K517">
        <f>J517*(1+((Inputs!$B$12*(1+Inputs!$B$13/100))*0.01+Inputs!$B$14*0.0025)/100)*(1+Inputs!$B$15/100)*(1+Inputs!$B$16/100)*(5000/(6000+Inputs!$B$43*(1-(100*(1-(1-(Inputs!$B$19+0)/100)*(1-CHOOSE(ArtifactsInput!$N$40+1,5,6,7,8,9,10)/100)^(ArtifactsInput!$M$40-ArtifactsInput!$M$40)))/100)))*(1+(Inputs!$B$24+((C543=TRUE)*(F543-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536=TRUE)*(F536-Calc!F23))+(((IF(AND(ArtifactsInput!$M$42,((Inputs!$B$9+((C538=TRUE)*(F538-Calc!F25))+B553+(ArtifactsInput!$M$24-ArtifactsInput!$M$24)*CHOOSE(ArtifactsInput!$N$24+1,10,12,14,16,18,20)+IF(ArtifactsInput!$M$10,CHOOSE(ArtifactsInput!$N$10+1,15,18,21,24,27,30)*(IF(Inputs!$B$39="pvp",MIN(15,15)/15,IF(AND(Inputs!$B$39&lt;&gt;"pvp",Inputs!$B$44&gt;0),MIN(15,Inputs!$B$44)/(Inputs!$B$44),0))),0)))&gt;=100),MIN(100,((Inputs!$B$9+((C538=TRUE)*(F538-Calc!F25))+B553+(ArtifactsInput!$M$24-ArtifactsInput!$M$24)*CHOOSE(ArtifactsInput!$N$24+1,10,12,14,16,18,20)+IF(ArtifactsInput!$M$10,CHOOSE(ArtifactsInput!$N$10+1,15,18,21,24,27,30)*(IF(Inputs!$B$39="pvp",MIN(15,15)/15,IF(AND(Inputs!$B$39&lt;&gt;"pvp",Inputs!$B$44&gt;0),MIN(15,Inputs!$B$44)/(Inputs!$B$44),0))),0)))-100),0))*CHOOSE(ArtifactsInput!$N$42+1,0.6,0.72,0.84,0.96,1.08,1.2))),Inputs!$B$18+((C542=TRUE)*(F542-Calc!F29))+(IF(AND(ArtifactsInput!$M$42,((Inputs!$B$9+((C538=TRUE)*(F538-Calc!F25))+B553+(ArtifactsInput!$M$24-ArtifactsInput!$M$24)*CHOOSE(ArtifactsInput!$N$24+1,10,12,14,16,18,20)+IF(ArtifactsInput!$M$10,CHOOSE(ArtifactsInput!$N$10+1,15,18,21,24,27,30)*(IF(Inputs!$B$39="pvp",MIN(15,15)/15,IF(AND(Inputs!$B$39&lt;&gt;"pvp",Inputs!$B$44&gt;0),MIN(15,Inputs!$B$44)/(Inputs!$B$44),0))),0)))&gt;=100),CHOOSE(ArtifactsInput!$N$42+1,40,48,56,64,72,80),0))))/100)*(((1+(((C534=TRUE)*F534*IF(AND(Inputs!$B$39&lt;&gt;"pvp",Inputs!$B$44&gt;0),(((R534-1)*(Skills!Y21*(1+Inputs!$B$34/100))+MIN((Skills!Y21*(1+Inputs!$B$34/100)),MAX(0,Inputs!$B$44-((R534-1)*Skills!D21))))/Inputs!$B$44),IF(Inputs!$B$39="pvp",MIN((Skills!Y21*(1+Inputs!$B$34/100)),15)/15,(Skills!Y21*(1+Inputs!$B$34/100))/Skills!D21)))+((C541=TRUE)*(F541-Calc!F28))+((C531=TRUE)*(F531-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528=TRUE)*F528*IF(AND(Inputs!$B$39&lt;&gt;"pvp",Inputs!$B$44&gt;0),(((R528-1)*(Skills!Y15*(1+Inputs!$B$34/100))+MIN((Skills!Y15*(1+Inputs!$B$34/100)),MAX(0,Inputs!$B$44-((R528-1)*Skills!D15))))/Inputs!$B$44),IF(Inputs!$B$39="pvp",MIN((Skills!Y15*(1+Inputs!$B$34/100)),15)/15,(Skills!Y15*(1+Inputs!$B$34/100))/Skills!D15)))/100)*(1+((C519=TRUE)*F519*B547)/100))*B555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517)</f>
        <v/>
      </c>
      <c r="L517">
        <f>K517*(MIN(Inputs!$B$22+((C537=TRUE)*(F537-Calc!F24)),((Inputs!$B$23+1)+0+(IF(ArtifactsInput!$M$15,CHOOSE(ArtifactsInput!$N$15+1,25,30,35,40,45,50)/100*(Inputs!$B$11-Inputs!$B$11),0))))/100+((Inputs!$B$23+1)+0+(IF(ArtifactsInput!$M$15,CHOOSE(ArtifactsInput!$N$15+1,25,30,35,40,45,50)/100*(Inputs!$B$11-Inputs!$B$11),0)))/100)/2</f>
        <v/>
      </c>
      <c r="M517">
        <f>L517*(1+(Inputs!$B$10+((C539=TRUE)*(F539-Calc!F26))+B556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517">
        <f>L517*(1-MIN((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517*(MIN((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17">
        <f>(1-Summary!$B$11)*T517+Summary!$B$11*V517</f>
        <v/>
      </c>
      <c r="P517">
        <f>IF(B557=0,0,O517/B557)</f>
        <v/>
      </c>
      <c r="Q517">
        <f>IFERROR(1/IF(Inputs!$B$39="pvp",15,MAX(0.1,Skills!D4-IF(Skills!E4=TRUE,Inputs!$B$32,0))),0)</f>
        <v/>
      </c>
      <c r="R517">
        <f>IF(AND(Inputs!$B$39&lt;&gt;"pvp",Inputs!$B$44&gt;0),IF(MAX(0,Inputs!$B$44-B558)&lt;=0,0,(INT(MAX(0,Inputs!$B$44-B558)/IF(Inputs!$B$39="pvp",15,MAX(0.1,Skills!D4-IF(Skills!E4=TRUE,Inputs!$B$32,0))))+1)),0)</f>
        <v/>
      </c>
      <c r="S517">
        <f>IFERROR(O517/N517,0)</f>
        <v/>
      </c>
      <c r="T517">
        <f>IF(C517,(H517*N517*IF(AND(Inputs!$B$39&lt;&gt;"pvp",Inputs!$B$44&gt;0),((Skills!G4*((R517-1)*IF(Skills!H4&gt;0,Skills!I4/Skills!H4,1)+IF(Skills!H4&gt;0,MIN(Skills!I4,MAX(0,MAX(0,Inputs!$B$44-B558)-((R517-1)*IF(Inputs!$B$39="pvp",15,MAX(0.1,Skills!D4-IF(Skills!E4=TRUE,Inputs!$B$32,0))))))/Skills!H4,1)))/Inputs!$B$44),G517*Q517))*IF(Inputs!$B$39="pvp",1,1+(Inputs!$B$20+((C540=TRUE)*(F540-Calc!F27))+Skills!P4+B554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Hunt"),CHOOSE(ArtifactsInput!$N$35+1,15,18,21,24,27,30)*(1-EXP(-(0.2*B549)*5)),0)+IF(AND(ArtifactsInput!$M$22,Inputs!$B$4&lt;&gt;"Chapter Hunt"),CHOOSE(ArtifactsInput!$N$22+1,10,12,14,16,18,20)*((0*(((0.15*B549*5))^0/1)+1*(((0.15*B549*5))^1/1)+2*(((0.15*B549*5))^2/2)+3*(((0.15*B549*5))^3/6)+4*(((0.15*B549*5))^4/24)+5*(((0.15*B549*5))^5/120))/((((0.15*B549*5))^0/1)+(((0.15*B549*5))^1/1)+(((0.15*B549*5))^2/2)+(((0.15*B549*5))^3/6)+(((0.15*B549*5))^4/24)+(((0.15*B549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517*(1-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517*(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517*(1-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517*(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17">
        <f>MAX(0,(Inputs!$B$3-100)*3)+Inputs!$B$28+Inputs!$B$29</f>
        <v/>
      </c>
      <c r="V517">
        <f>IF(C517,(H517*N517*IF(AND(Inputs!$B$39&lt;&gt;"pvp",Inputs!$B$44&gt;0),((Skills!G4*((R517-1)*IF(Skills!H4&gt;0,Skills!I4/Skills!H4,1)+IF(Skills!H4&gt;0,MIN(Skills!I4,MAX(0,MAX(0,Inputs!$B$44-B558)-((R517-1)*IF(Inputs!$B$39="pvp",15,MAX(0.1,Skills!D4-IF(Skills!E4=TRUE,Inputs!$B$32,0))))))/Skills!H4,1)))/Inputs!$B$44),G517*Q517))*IF(Inputs!$B$39="pvp",1,(1+(Inputs!$B$21+Skills!Q4+B554+(IF(ArtifactsInput!$M$33,CHOOSE(ArtifactsInput!$N$33+1,30,36,42,48,54,60),0))+(IF(AND(ArtifactsInput!$M$35,Inputs!$B$4&lt;&gt;"Chapter Hunt"),CHOOSE(ArtifactsInput!$N$35+1,15,18,21,24,27,30)*(1-EXP(-(0.2*B549)*5)),0)+IF(AND(ArtifactsInput!$M$22,Inputs!$B$4&lt;&gt;"Chapter Hunt"),CHOOSE(ArtifactsInput!$N$22+1,10,12,14,16,18,20)*((0*(((0.15*B549*5))^0/1)+1*(((0.15*B549*5))^1/1)+2*(((0.15*B549*5))^2/2)+3*(((0.15*B549*5))^3/6)+4*(((0.15*B549*5))^4/24)+5*(((0.15*B549*5))^5/120))/((((0.15*B549*5))^0/1)+(((0.15*B549*5))^1/1)+(((0.15*B549*5))^2/2)+(((0.15*B549*5))^3/6)+(((0.15*B549*5))^4/24)+(((0.15*B549*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18">
      <c r="A518">
        <f>Skills!A5</f>
        <v/>
      </c>
      <c r="B518">
        <f>Skills!B5</f>
        <v/>
      </c>
      <c r="C518">
        <f>Inputs!$B$3&gt;=63</f>
        <v/>
      </c>
      <c r="D518">
        <f>IF(Skills!C5=1,60+Inputs!$B$25+Inputs!$B$29,IF(Skills!C5=2,90+Inputs!$B$26+Inputs!$B$29,IF(Skills!C5=3,120+Inputs!$B$27+Inputs!$B$29,MAX(0,(Inputs!$B$3-100)*3)+Inputs!$B$28+Inputs!$B$29)))</f>
        <v/>
      </c>
      <c r="E518">
        <f>INDEX(FactorTable!$B$2:$Y$301, MATCH(ROUND(MIN(300,MAX(1,D518)),0), FactorTable!$A$2:$A$301,0), Skills!M5+1)</f>
        <v/>
      </c>
      <c r="F518">
        <f>IF(Skills!N5=TRUE,(Skills!L5/10)*(E518/1000),Skills!L5/10)+Skills!O5</f>
        <v/>
      </c>
      <c r="G518">
        <f>Calc!G5</f>
        <v/>
      </c>
      <c r="H518">
        <f>Calc!H5</f>
        <v/>
      </c>
      <c r="I518">
        <f>IF(Skills!AA5&lt;&gt;"",1+(Skills!AA5/10)*(U516/1000)/100,1)</f>
        <v/>
      </c>
      <c r="J518">
        <f>((Inputs!$B$6*(1+Inputs!$B$7/100))+(((Inputs!$B$12*(1+Inputs!$B$13/100))-(Inputs!$B$12*(1+Inputs!$B$13/100)))+0.25*(Inputs!$B$14-Inputs!$B$14))*(1+Inputs!$B$7/100))*(F518/100)</f>
        <v/>
      </c>
      <c r="K518">
        <f>J518*(1+((Inputs!$B$12*(1+Inputs!$B$13/100))*0.01+Inputs!$B$14*0.0025)/100)*(1+Inputs!$B$15/100)*(1+Inputs!$B$16/100)*(5000/(6000+Inputs!$B$43*(1-(100*(1-(1-(Inputs!$B$19+0)/100)*(1-CHOOSE(ArtifactsInput!$N$40+1,5,6,7,8,9,10)/100)^(ArtifactsInput!$M$40-ArtifactsInput!$M$40)))/100)))*(1+(Inputs!$B$24+((C543=TRUE)*(F543-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536=TRUE)*(F536-Calc!F23))+(((IF(AND(ArtifactsInput!$M$42,((Inputs!$B$9+((C538=TRUE)*(F538-Calc!F25))+B553+(ArtifactsInput!$M$24-ArtifactsInput!$M$24)*CHOOSE(ArtifactsInput!$N$24+1,10,12,14,16,18,20)+IF(ArtifactsInput!$M$10,CHOOSE(ArtifactsInput!$N$10+1,15,18,21,24,27,30)*(IF(Inputs!$B$39="pvp",MIN(15,15)/15,IF(AND(Inputs!$B$39&lt;&gt;"pvp",Inputs!$B$44&gt;0),MIN(15,Inputs!$B$44)/(Inputs!$B$44),0))),0)))&gt;=100),MIN(100,((Inputs!$B$9+((C538=TRUE)*(F538-Calc!F25))+B553+(ArtifactsInput!$M$24-ArtifactsInput!$M$24)*CHOOSE(ArtifactsInput!$N$24+1,10,12,14,16,18,20)+IF(ArtifactsInput!$M$10,CHOOSE(ArtifactsInput!$N$10+1,15,18,21,24,27,30)*(IF(Inputs!$B$39="pvp",MIN(15,15)/15,IF(AND(Inputs!$B$39&lt;&gt;"pvp",Inputs!$B$44&gt;0),MIN(15,Inputs!$B$44)/(Inputs!$B$44),0))),0)))-100),0))*CHOOSE(ArtifactsInput!$N$42+1,0.6,0.72,0.84,0.96,1.08,1.2))),Inputs!$B$18+((C542=TRUE)*(F542-Calc!F29))+(IF(AND(ArtifactsInput!$M$42,((Inputs!$B$9+((C538=TRUE)*(F538-Calc!F25))+B553+(ArtifactsInput!$M$24-ArtifactsInput!$M$24)*CHOOSE(ArtifactsInput!$N$24+1,10,12,14,16,18,20)+IF(ArtifactsInput!$M$10,CHOOSE(ArtifactsInput!$N$10+1,15,18,21,24,27,30)*(IF(Inputs!$B$39="pvp",MIN(15,15)/15,IF(AND(Inputs!$B$39&lt;&gt;"pvp",Inputs!$B$44&gt;0),MIN(15,Inputs!$B$44)/(Inputs!$B$44),0))),0)))&gt;=100),CHOOSE(ArtifactsInput!$N$42+1,40,48,56,64,72,80),0))))/100)*(((1+(((C534=TRUE)*F534*IF(AND(Inputs!$B$39&lt;&gt;"pvp",Inputs!$B$44&gt;0),(((R534-1)*(Skills!Y21*(1+Inputs!$B$34/100))+MIN((Skills!Y21*(1+Inputs!$B$34/100)),MAX(0,Inputs!$B$44-((R534-1)*Skills!D21))))/Inputs!$B$44),IF(Inputs!$B$39="pvp",MIN((Skills!Y21*(1+Inputs!$B$34/100)),15)/15,(Skills!Y21*(1+Inputs!$B$34/100))/Skills!D21)))+((C541=TRUE)*(F541-Calc!F28))+((C531=TRUE)*(F531-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528=TRUE)*F528*IF(AND(Inputs!$B$39&lt;&gt;"pvp",Inputs!$B$44&gt;0),(((R528-1)*(Skills!Y15*(1+Inputs!$B$34/100))+MIN((Skills!Y15*(1+Inputs!$B$34/100)),MAX(0,Inputs!$B$44-((R528-1)*Skills!D15))))/Inputs!$B$44),IF(Inputs!$B$39="pvp",MIN((Skills!Y15*(1+Inputs!$B$34/100)),15)/15,(Skills!Y15*(1+Inputs!$B$34/100))/Skills!D15)))/100)*(1+((C519=TRUE)*F519*B547)/100))*B555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518)</f>
        <v/>
      </c>
      <c r="L518">
        <f>K518*(MIN(Inputs!$B$22+((C537=TRUE)*(F537-Calc!F24)),((Inputs!$B$23+1)+0+(IF(ArtifactsInput!$M$15,CHOOSE(ArtifactsInput!$N$15+1,25,30,35,40,45,50)/100*(Inputs!$B$11-Inputs!$B$11),0))))/100+((Inputs!$B$23+1)+0+(IF(ArtifactsInput!$M$15,CHOOSE(ArtifactsInput!$N$15+1,25,30,35,40,45,50)/100*(Inputs!$B$11-Inputs!$B$11),0)))/100)/2</f>
        <v/>
      </c>
      <c r="M518">
        <f>L518*(1+(Inputs!$B$10+((C539=TRUE)*(F539-Calc!F26))+B556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518">
        <f>L518*(1-MIN((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518*(MIN((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18">
        <f>(1-Summary!$B$11)*T518+Summary!$B$11*V518</f>
        <v/>
      </c>
      <c r="P518">
        <f>IF(B557=0,0,O518/B557)</f>
        <v/>
      </c>
      <c r="Q518">
        <f>IFERROR(1/IF(Inputs!$B$39="pvp",15,MAX(0.1,Skills!D5-IF(Skills!E5=TRUE,Inputs!$B$32,0))),0)</f>
        <v/>
      </c>
      <c r="R518">
        <f>IF(AND(Inputs!$B$39&lt;&gt;"pvp",Inputs!$B$44&gt;0),IF(MAX(0,Inputs!$B$44-B558)&lt;=0,0,(INT(MAX(0,Inputs!$B$44-B558)/IF(Inputs!$B$39="pvp",15,MAX(0.1,Skills!D5-IF(Skills!E5=TRUE,Inputs!$B$32,0))))+1)),0)</f>
        <v/>
      </c>
      <c r="S518">
        <f>IFERROR(O518/N518,0)</f>
        <v/>
      </c>
      <c r="T518">
        <f>IF(C518,(H518*N518*IF(AND(Inputs!$B$39&lt;&gt;"pvp",Inputs!$B$44&gt;0),((Skills!G5*((R518-1)*IF(Skills!H5&gt;0,Skills!I5/Skills!H5,1)+IF(Skills!H5&gt;0,MIN(Skills!I5,MAX(0,MAX(0,Inputs!$B$44-B558)-((R518-1)*IF(Inputs!$B$39="pvp",15,MAX(0.1,Skills!D5-IF(Skills!E5=TRUE,Inputs!$B$32,0))))))/Skills!H5,1)))/Inputs!$B$44),G518*Q518))*IF(Inputs!$B$39="pvp",1,1+(Inputs!$B$20+((C540=TRUE)*(F540-Calc!F27))+Skills!P5+B554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Hunt"),CHOOSE(ArtifactsInput!$N$35+1,15,18,21,24,27,30)*(1-EXP(-(0.2*B549)*5)),0)+IF(AND(ArtifactsInput!$M$22,Inputs!$B$4&lt;&gt;"Chapter Hunt"),CHOOSE(ArtifactsInput!$N$22+1,10,12,14,16,18,20)*((0*(((0.15*B549*5))^0/1)+1*(((0.15*B549*5))^1/1)+2*(((0.15*B549*5))^2/2)+3*(((0.15*B549*5))^3/6)+4*(((0.15*B549*5))^4/24)+5*(((0.15*B549*5))^5/120))/((((0.15*B549*5))^0/1)+(((0.15*B549*5))^1/1)+(((0.15*B549*5))^2/2)+(((0.15*B549*5))^3/6)+(((0.15*B549*5))^4/24)+(((0.15*B549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518*(1-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518*(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518*(1-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518*(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18">
        <f>INDEX(FactorTable!$B$2:$Y$301, MATCH(ROUND(MIN(300,MAX(1,U517)),0), FactorTable!$A$2:$A$301,0), 22)</f>
        <v/>
      </c>
      <c r="V518">
        <f>IF(C518,(H518*N518*IF(AND(Inputs!$B$39&lt;&gt;"pvp",Inputs!$B$44&gt;0),((Skills!G5*((R518-1)*IF(Skills!H5&gt;0,Skills!I5/Skills!H5,1)+IF(Skills!H5&gt;0,MIN(Skills!I5,MAX(0,MAX(0,Inputs!$B$44-B558)-((R518-1)*IF(Inputs!$B$39="pvp",15,MAX(0.1,Skills!D5-IF(Skills!E5=TRUE,Inputs!$B$32,0))))))/Skills!H5,1)))/Inputs!$B$44),G518*Q518))*IF(Inputs!$B$39="pvp",1,(1+(Inputs!$B$21+Skills!Q5+B554+(IF(ArtifactsInput!$M$33,CHOOSE(ArtifactsInput!$N$33+1,30,36,42,48,54,60),0))+(IF(AND(ArtifactsInput!$M$35,Inputs!$B$4&lt;&gt;"Chapter Hunt"),CHOOSE(ArtifactsInput!$N$35+1,15,18,21,24,27,30)*(1-EXP(-(0.2*B549)*5)),0)+IF(AND(ArtifactsInput!$M$22,Inputs!$B$4&lt;&gt;"Chapter Hunt"),CHOOSE(ArtifactsInput!$N$22+1,10,12,14,16,18,20)*((0*(((0.15*B549*5))^0/1)+1*(((0.15*B549*5))^1/1)+2*(((0.15*B549*5))^2/2)+3*(((0.15*B549*5))^3/6)+4*(((0.15*B549*5))^4/24)+5*(((0.15*B549*5))^5/120))/((((0.15*B549*5))^0/1)+(((0.15*B549*5))^1/1)+(((0.15*B549*5))^2/2)+(((0.15*B549*5))^3/6)+(((0.15*B549*5))^4/24)+(((0.15*B549*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19">
      <c r="A519">
        <f>Skills!A6</f>
        <v/>
      </c>
      <c r="B519">
        <f>Skills!B6</f>
        <v/>
      </c>
      <c r="C519">
        <f>Inputs!$B$3&gt;=66</f>
        <v/>
      </c>
      <c r="D519">
        <f>IF(Skills!C6=1,60+Inputs!$B$25+Inputs!$B$29,IF(Skills!C6=2,90+Inputs!$B$26+Inputs!$B$29,IF(Skills!C6=3,120+Inputs!$B$27+Inputs!$B$29,MAX(0,(Inputs!$B$3-100)*3)+Inputs!$B$28+Inputs!$B$29)))</f>
        <v/>
      </c>
      <c r="E519">
        <f>INDEX(FactorTable!$B$2:$Y$301, MATCH(ROUND(MIN(300,MAX(1,D519)),0), FactorTable!$A$2:$A$301,0), Skills!M6+1)</f>
        <v/>
      </c>
      <c r="F519">
        <f>IF(Skills!N6=TRUE,(Skills!L6/10)*(E519/1000),Skills!L6/10)+Skills!O6</f>
        <v/>
      </c>
      <c r="G519">
        <f>Calc!G6</f>
        <v/>
      </c>
      <c r="H519">
        <f>Calc!H6</f>
        <v/>
      </c>
      <c r="I519">
        <f>IF(Skills!AA6&lt;&gt;"",1+(Skills!AA6/10)*(U516/1000)/100,1)</f>
        <v/>
      </c>
      <c r="J519" t="inlineStr"/>
      <c r="K519" t="inlineStr"/>
      <c r="L519" t="inlineStr"/>
      <c r="M519" t="inlineStr"/>
      <c r="N519" t="inlineStr"/>
      <c r="O519">
        <f>(1-Summary!$B$11)*T519+Summary!$B$11*V519</f>
        <v/>
      </c>
      <c r="P519">
        <f>IF(B557=0,0,O519/B557)</f>
        <v/>
      </c>
      <c r="Q519" t="n">
        <v>0</v>
      </c>
      <c r="R519" t="n">
        <v>0</v>
      </c>
      <c r="S519">
        <f>IFERROR(O519/N519,0)</f>
        <v/>
      </c>
      <c r="T519" t="n">
        <v>0</v>
      </c>
      <c r="U519">
        <f>290*U518/1000</f>
        <v/>
      </c>
      <c r="V519" t="n">
        <v>0</v>
      </c>
    </row>
    <row r="520">
      <c r="A520">
        <f>Skills!A7</f>
        <v/>
      </c>
      <c r="B520">
        <f>Skills!B7</f>
        <v/>
      </c>
      <c r="C520">
        <f>Inputs!$B$3&gt;=66</f>
        <v/>
      </c>
      <c r="D520">
        <f>IF(Skills!C7=1,60+Inputs!$B$25+Inputs!$B$29,IF(Skills!C7=2,90+Inputs!$B$26+Inputs!$B$29,IF(Skills!C7=3,120+Inputs!$B$27+Inputs!$B$29,MAX(0,(Inputs!$B$3-100)*3)+Inputs!$B$28+Inputs!$B$29)))</f>
        <v/>
      </c>
      <c r="E520">
        <f>INDEX(FactorTable!$B$2:$Y$301, MATCH(ROUND(MIN(300,MAX(1,D520)),0), FactorTable!$A$2:$A$301,0), Skills!M7+1)</f>
        <v/>
      </c>
      <c r="F520">
        <f>IF(Skills!N7=TRUE,(Skills!L7/10)*(E520/1000),Skills!L7/10)+Skills!O7</f>
        <v/>
      </c>
      <c r="G520">
        <f>Calc!G7</f>
        <v/>
      </c>
      <c r="H520">
        <f>Calc!H7</f>
        <v/>
      </c>
      <c r="I520">
        <f>IF(Skills!AA7&lt;&gt;"",1+(Skills!AA7/10)*(U516/1000)/100,1)</f>
        <v/>
      </c>
      <c r="J520" t="inlineStr"/>
      <c r="K520" t="inlineStr"/>
      <c r="L520" t="inlineStr"/>
      <c r="M520" t="inlineStr"/>
      <c r="N520" t="inlineStr"/>
      <c r="O520">
        <f>(1-Summary!$B$11)*T520+Summary!$B$11*V520</f>
        <v/>
      </c>
      <c r="P520">
        <f>IF(B557=0,0,O520/B557)</f>
        <v/>
      </c>
      <c r="Q520" t="n">
        <v>0</v>
      </c>
      <c r="R520" t="n">
        <v>0</v>
      </c>
      <c r="S520">
        <f>IFERROR(O520/N520,0)</f>
        <v/>
      </c>
      <c r="T520" t="n">
        <v>0</v>
      </c>
      <c r="V520" t="n">
        <v>0</v>
      </c>
    </row>
    <row r="521">
      <c r="A521">
        <f>Skills!A8</f>
        <v/>
      </c>
      <c r="B521">
        <f>Skills!B8</f>
        <v/>
      </c>
      <c r="C521">
        <f>Inputs!$B$3&gt;=69</f>
        <v/>
      </c>
      <c r="D521">
        <f>IF(Skills!C8=1,60+Inputs!$B$25+Inputs!$B$29,IF(Skills!C8=2,90+Inputs!$B$26+Inputs!$B$29,IF(Skills!C8=3,120+Inputs!$B$27+Inputs!$B$29,MAX(0,(Inputs!$B$3-100)*3)+Inputs!$B$28+Inputs!$B$29)))</f>
        <v/>
      </c>
      <c r="E521">
        <f>INDEX(FactorTable!$B$2:$Y$301, MATCH(ROUND(MIN(300,MAX(1,D521)),0), FactorTable!$A$2:$A$301,0), Skills!M8+1)</f>
        <v/>
      </c>
      <c r="F521">
        <f>IF(Skills!N8=TRUE,(Skills!L8/10)*(E521/1000),Skills!L8/10)+Skills!O8</f>
        <v/>
      </c>
      <c r="G521">
        <f>Calc!G8</f>
        <v/>
      </c>
      <c r="H521">
        <f>Calc!H8</f>
        <v/>
      </c>
      <c r="I521">
        <f>IF(Skills!AA8&lt;&gt;"",1+(Skills!AA8/10)*(U516/1000)/100,1)</f>
        <v/>
      </c>
      <c r="J521">
        <f>((Inputs!$B$6*(1+Inputs!$B$7/100))+(((Inputs!$B$12*(1+Inputs!$B$13/100))-(Inputs!$B$12*(1+Inputs!$B$13/100)))+0.25*(Inputs!$B$14-Inputs!$B$14))*(1+Inputs!$B$7/100))*(F521/100)</f>
        <v/>
      </c>
      <c r="K521">
        <f>J521*(1+((Inputs!$B$12*(1+Inputs!$B$13/100))*0.01+Inputs!$B$14*0.0025)/100)*(1+Inputs!$B$15/100)*(1+Inputs!$B$16/100)*(5000/(6000+Inputs!$B$43*(1-(100*(1-(1-(Inputs!$B$19+0)/100)*(1-CHOOSE(ArtifactsInput!$N$40+1,5,6,7,8,9,10)/100)^(ArtifactsInput!$M$40-ArtifactsInput!$M$40)))/100)))*(1+(Inputs!$B$24+((C543=TRUE)*(F543-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536=TRUE)*(F536-Calc!F23))+(((IF(AND(ArtifactsInput!$M$42,((Inputs!$B$9+((C538=TRUE)*(F538-Calc!F25))+B553+(ArtifactsInput!$M$24-ArtifactsInput!$M$24)*CHOOSE(ArtifactsInput!$N$24+1,10,12,14,16,18,20)+IF(ArtifactsInput!$M$10,CHOOSE(ArtifactsInput!$N$10+1,15,18,21,24,27,30)*(IF(Inputs!$B$39="pvp",MIN(15,15)/15,IF(AND(Inputs!$B$39&lt;&gt;"pvp",Inputs!$B$44&gt;0),MIN(15,Inputs!$B$44)/(Inputs!$B$44),0))),0)))&gt;=100),MIN(100,((Inputs!$B$9+((C538=TRUE)*(F538-Calc!F25))+B553+(ArtifactsInput!$M$24-ArtifactsInput!$M$24)*CHOOSE(ArtifactsInput!$N$24+1,10,12,14,16,18,20)+IF(ArtifactsInput!$M$10,CHOOSE(ArtifactsInput!$N$10+1,15,18,21,24,27,30)*(IF(Inputs!$B$39="pvp",MIN(15,15)/15,IF(AND(Inputs!$B$39&lt;&gt;"pvp",Inputs!$B$44&gt;0),MIN(15,Inputs!$B$44)/(Inputs!$B$44),0))),0)))-100),0))*CHOOSE(ArtifactsInput!$N$42+1,0.6,0.72,0.84,0.96,1.08,1.2))),Inputs!$B$18+((C542=TRUE)*(F542-Calc!F29))+(IF(AND(ArtifactsInput!$M$42,((Inputs!$B$9+((C538=TRUE)*(F538-Calc!F25))+B553+(ArtifactsInput!$M$24-ArtifactsInput!$M$24)*CHOOSE(ArtifactsInput!$N$24+1,10,12,14,16,18,20)+IF(ArtifactsInput!$M$10,CHOOSE(ArtifactsInput!$N$10+1,15,18,21,24,27,30)*(IF(Inputs!$B$39="pvp",MIN(15,15)/15,IF(AND(Inputs!$B$39&lt;&gt;"pvp",Inputs!$B$44&gt;0),MIN(15,Inputs!$B$44)/(Inputs!$B$44),0))),0)))&gt;=100),CHOOSE(ArtifactsInput!$N$42+1,40,48,56,64,72,80),0))))/100)*(((1+(((C534=TRUE)*F534*IF(AND(Inputs!$B$39&lt;&gt;"pvp",Inputs!$B$44&gt;0),(((R534-1)*(Skills!Y21*(1+Inputs!$B$34/100))+MIN((Skills!Y21*(1+Inputs!$B$34/100)),MAX(0,Inputs!$B$44-((R534-1)*Skills!D21))))/Inputs!$B$44),IF(Inputs!$B$39="pvp",MIN((Skills!Y21*(1+Inputs!$B$34/100)),15)/15,(Skills!Y21*(1+Inputs!$B$34/100))/Skills!D21)))+((C541=TRUE)*(F541-Calc!F28))+((C531=TRUE)*(F531-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528=TRUE)*F528*IF(AND(Inputs!$B$39&lt;&gt;"pvp",Inputs!$B$44&gt;0),(((R528-1)*(Skills!Y15*(1+Inputs!$B$34/100))+MIN((Skills!Y15*(1+Inputs!$B$34/100)),MAX(0,Inputs!$B$44-((R528-1)*Skills!D15))))/Inputs!$B$44),IF(Inputs!$B$39="pvp",MIN((Skills!Y15*(1+Inputs!$B$34/100)),15)/15,(Skills!Y15*(1+Inputs!$B$34/100))/Skills!D15)))/100)*(1+((C519=TRUE)*F519*B547)/100))*B555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521)</f>
        <v/>
      </c>
      <c r="L521">
        <f>K521*(MIN(Inputs!$B$22+((C537=TRUE)*(F537-Calc!F24)),((Inputs!$B$23+1)+0+(IF(ArtifactsInput!$M$15,CHOOSE(ArtifactsInput!$N$15+1,25,30,35,40,45,50)/100*(Inputs!$B$11-Inputs!$B$11),0))))/100+((Inputs!$B$23+1)+0+(IF(ArtifactsInput!$M$15,CHOOSE(ArtifactsInput!$N$15+1,25,30,35,40,45,50)/100*(Inputs!$B$11-Inputs!$B$11),0)))/100)/2</f>
        <v/>
      </c>
      <c r="M521">
        <f>L521*(1+(Inputs!$B$10+((C539=TRUE)*(F539-Calc!F26))+B556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521">
        <f>L521*(1-MIN((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521*(MIN((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21">
        <f>(1-Summary!$B$11)*T521+Summary!$B$11*V521</f>
        <v/>
      </c>
      <c r="P521">
        <f>IF(B557=0,0,O521/B557)</f>
        <v/>
      </c>
      <c r="Q521">
        <f>IFERROR(1/IF(Inputs!$B$39="pvp",15,MAX(0.1,Skills!D8-IF(Skills!E8=TRUE,Inputs!$B$32,0))),0)</f>
        <v/>
      </c>
      <c r="R521">
        <f>IF(AND(Inputs!$B$39&lt;&gt;"pvp",Inputs!$B$44&gt;0),IF(MAX(0,Inputs!$B$44-B558)&lt;=0,0,(INT(MAX(0,Inputs!$B$44-B558)/IF(Inputs!$B$39="pvp",15,MAX(0.1,Skills!D8-IF(Skills!E8=TRUE,Inputs!$B$32,0))))+1)),0)</f>
        <v/>
      </c>
      <c r="S521">
        <f>IFERROR(O521/N521,0)</f>
        <v/>
      </c>
      <c r="T521">
        <f>IF(C521,(H521*N521*IF(AND(Inputs!$B$39&lt;&gt;"pvp",Inputs!$B$44&gt;0),((Skills!G8*((R521-1)*IF(Skills!H8&gt;0,Skills!I8/Skills!H8,1)+IF(Skills!H8&gt;0,MIN(Skills!I8,MAX(0,MAX(0,Inputs!$B$44-B558)-((R521-1)*IF(Inputs!$B$39="pvp",15,MAX(0.1,Skills!D8-IF(Skills!E8=TRUE,Inputs!$B$32,0))))))/Skills!H8,1)))/Inputs!$B$44),G521*Q521))*IF(Inputs!$B$39="pvp",1,1+(Inputs!$B$20+((C540=TRUE)*(F540-Calc!F27))+Skills!P8+B554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Hunt"),CHOOSE(ArtifactsInput!$N$35+1,15,18,21,24,27,30)*(1-EXP(-(0.2*B549)*5)),0)+IF(AND(ArtifactsInput!$M$22,Inputs!$B$4&lt;&gt;"Chapter Hunt"),CHOOSE(ArtifactsInput!$N$22+1,10,12,14,16,18,20)*((0*(((0.15*B549*5))^0/1)+1*(((0.15*B549*5))^1/1)+2*(((0.15*B549*5))^2/2)+3*(((0.15*B549*5))^3/6)+4*(((0.15*B549*5))^4/24)+5*(((0.15*B549*5))^5/120))/((((0.15*B549*5))^0/1)+(((0.15*B549*5))^1/1)+(((0.15*B549*5))^2/2)+(((0.15*B549*5))^3/6)+(((0.15*B549*5))^4/24)+(((0.15*B549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521*(1-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521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521*(1-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521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21">
        <f>IF(C521,(H521*N521*IF(AND(Inputs!$B$39&lt;&gt;"pvp",Inputs!$B$44&gt;0),((Skills!G8*((R521-1)*IF(Skills!H8&gt;0,Skills!I8/Skills!H8,1)+IF(Skills!H8&gt;0,MIN(Skills!I8,MAX(0,MAX(0,Inputs!$B$44-B558)-((R521-1)*IF(Inputs!$B$39="pvp",15,MAX(0.1,Skills!D8-IF(Skills!E8=TRUE,Inputs!$B$32,0))))))/Skills!H8,1)))/Inputs!$B$44),G521*Q521))*IF(Inputs!$B$39="pvp",1,(1+(Inputs!$B$21+Skills!Q8+B554+(IF(ArtifactsInput!$M$33,CHOOSE(ArtifactsInput!$N$33+1,30,36,42,48,54,60),0))+(IF(AND(ArtifactsInput!$M$35,Inputs!$B$4&lt;&gt;"Chapter Hunt"),CHOOSE(ArtifactsInput!$N$35+1,15,18,21,24,27,30)*(1-EXP(-(0.2*B549)*5)),0)+IF(AND(ArtifactsInput!$M$22,Inputs!$B$4&lt;&gt;"Chapter Hunt"),CHOOSE(ArtifactsInput!$N$22+1,10,12,14,16,18,20)*((0*(((0.15*B549*5))^0/1)+1*(((0.15*B549*5))^1/1)+2*(((0.15*B549*5))^2/2)+3*(((0.15*B549*5))^3/6)+4*(((0.15*B549*5))^4/24)+5*(((0.15*B549*5))^5/120))/((((0.15*B549*5))^0/1)+(((0.15*B549*5))^1/1)+(((0.15*B549*5))^2/2)+(((0.15*B549*5))^3/6)+(((0.15*B549*5))^4/24)+(((0.15*B549*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22">
      <c r="A522">
        <f>Skills!A9</f>
        <v/>
      </c>
      <c r="B522">
        <f>Skills!B9</f>
        <v/>
      </c>
      <c r="C522">
        <f>Inputs!$B$3&gt;=72</f>
        <v/>
      </c>
      <c r="D522">
        <f>IF(Skills!C9=1,60+Inputs!$B$25+Inputs!$B$29,IF(Skills!C9=2,90+Inputs!$B$26+Inputs!$B$29,IF(Skills!C9=3,120+Inputs!$B$27+Inputs!$B$29,MAX(0,(Inputs!$B$3-100)*3)+Inputs!$B$28+Inputs!$B$29)))</f>
        <v/>
      </c>
      <c r="E522">
        <f>INDEX(FactorTable!$B$2:$Y$301, MATCH(ROUND(MIN(300,MAX(1,D522)),0), FactorTable!$A$2:$A$301,0), Skills!M9+1)</f>
        <v/>
      </c>
      <c r="F522">
        <f>IF(Skills!N9=TRUE,(Skills!L9/10)*(E522/1000),Skills!L9/10)+Skills!O9</f>
        <v/>
      </c>
      <c r="G522">
        <f>Calc!G9</f>
        <v/>
      </c>
      <c r="H522">
        <f>Calc!H9</f>
        <v/>
      </c>
      <c r="I522">
        <f>IF(Skills!AA9&lt;&gt;"",1+(Skills!AA9/10)*(U516/1000)/100,1)</f>
        <v/>
      </c>
      <c r="J522">
        <f>((Inputs!$B$6*(1+Inputs!$B$7/100))+(((Inputs!$B$12*(1+Inputs!$B$13/100))-(Inputs!$B$12*(1+Inputs!$B$13/100)))+0.25*(Inputs!$B$14-Inputs!$B$14))*(1+Inputs!$B$7/100))*(F522/100)</f>
        <v/>
      </c>
      <c r="K522">
        <f>J522*(1+((Inputs!$B$12*(1+Inputs!$B$13/100))*0.01+Inputs!$B$14*0.0025)/100)*(1+Inputs!$B$15/100)*(1+Inputs!$B$16/100)*(5000/(6000+Inputs!$B$43*(1-(100*(1-(1-(Inputs!$B$19+0)/100)*(1-CHOOSE(ArtifactsInput!$N$40+1,5,6,7,8,9,10)/100)^(ArtifactsInput!$M$40-ArtifactsInput!$M$40)))/100)))*(1+(Inputs!$B$24+((C543=TRUE)*(F543-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536=TRUE)*(F536-Calc!F23))+(((IF(AND(ArtifactsInput!$M$42,((Inputs!$B$9+((C538=TRUE)*(F538-Calc!F25))+B553+(ArtifactsInput!$M$24-ArtifactsInput!$M$24)*CHOOSE(ArtifactsInput!$N$24+1,10,12,14,16,18,20)+IF(ArtifactsInput!$M$10,CHOOSE(ArtifactsInput!$N$10+1,15,18,21,24,27,30)*(IF(Inputs!$B$39="pvp",MIN(15,15)/15,IF(AND(Inputs!$B$39&lt;&gt;"pvp",Inputs!$B$44&gt;0),MIN(15,Inputs!$B$44)/(Inputs!$B$44),0))),0)))&gt;=100),MIN(100,((Inputs!$B$9+((C538=TRUE)*(F538-Calc!F25))+B553+(ArtifactsInput!$M$24-ArtifactsInput!$M$24)*CHOOSE(ArtifactsInput!$N$24+1,10,12,14,16,18,20)+IF(ArtifactsInput!$M$10,CHOOSE(ArtifactsInput!$N$10+1,15,18,21,24,27,30)*(IF(Inputs!$B$39="pvp",MIN(15,15)/15,IF(AND(Inputs!$B$39&lt;&gt;"pvp",Inputs!$B$44&gt;0),MIN(15,Inputs!$B$44)/(Inputs!$B$44),0))),0)))-100),0))*CHOOSE(ArtifactsInput!$N$42+1,0.6,0.72,0.84,0.96,1.08,1.2))),Inputs!$B$18+((C542=TRUE)*(F542-Calc!F29))+(IF(AND(ArtifactsInput!$M$42,((Inputs!$B$9+((C538=TRUE)*(F538-Calc!F25))+B553+(ArtifactsInput!$M$24-ArtifactsInput!$M$24)*CHOOSE(ArtifactsInput!$N$24+1,10,12,14,16,18,20)+IF(ArtifactsInput!$M$10,CHOOSE(ArtifactsInput!$N$10+1,15,18,21,24,27,30)*(IF(Inputs!$B$39="pvp",MIN(15,15)/15,IF(AND(Inputs!$B$39&lt;&gt;"pvp",Inputs!$B$44&gt;0),MIN(15,Inputs!$B$44)/(Inputs!$B$44),0))),0)))&gt;=100),CHOOSE(ArtifactsInput!$N$42+1,40,48,56,64,72,80),0))))/100)*(((1+(((C534=TRUE)*F534*IF(AND(Inputs!$B$39&lt;&gt;"pvp",Inputs!$B$44&gt;0),(((R534-1)*(Skills!Y21*(1+Inputs!$B$34/100))+MIN((Skills!Y21*(1+Inputs!$B$34/100)),MAX(0,Inputs!$B$44-((R534-1)*Skills!D21))))/Inputs!$B$44),IF(Inputs!$B$39="pvp",MIN((Skills!Y21*(1+Inputs!$B$34/100)),15)/15,(Skills!Y21*(1+Inputs!$B$34/100))/Skills!D21)))+((C541=TRUE)*(F541-Calc!F28))+((C531=TRUE)*(F531-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528=TRUE)*F528*IF(AND(Inputs!$B$39&lt;&gt;"pvp",Inputs!$B$44&gt;0),(((R528-1)*(Skills!Y15*(1+Inputs!$B$34/100))+MIN((Skills!Y15*(1+Inputs!$B$34/100)),MAX(0,Inputs!$B$44-((R528-1)*Skills!D15))))/Inputs!$B$44),IF(Inputs!$B$39="pvp",MIN((Skills!Y15*(1+Inputs!$B$34/100)),15)/15,(Skills!Y15*(1+Inputs!$B$34/100))/Skills!D15)))/100)*(1+((C519=TRUE)*F519*B547)/100))*B555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522)</f>
        <v/>
      </c>
      <c r="L522">
        <f>K522*(MIN(Inputs!$B$22+((C537=TRUE)*(F537-Calc!F24)),((Inputs!$B$23+1)+0+(IF(ArtifactsInput!$M$15,CHOOSE(ArtifactsInput!$N$15+1,25,30,35,40,45,50)/100*(Inputs!$B$11-Inputs!$B$11),0))))/100+((Inputs!$B$23+1)+0+(IF(ArtifactsInput!$M$15,CHOOSE(ArtifactsInput!$N$15+1,25,30,35,40,45,50)/100*(Inputs!$B$11-Inputs!$B$11),0)))/100)/2</f>
        <v/>
      </c>
      <c r="M522">
        <f>L522*(1+(Inputs!$B$10+((C539=TRUE)*(F539-Calc!F26))+B556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522">
        <f>L522*(1-MIN((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522*(MIN((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22">
        <f>(1-Summary!$B$11)*T522+Summary!$B$11*V522</f>
        <v/>
      </c>
      <c r="P522">
        <f>IF(B557=0,0,O522/B557)</f>
        <v/>
      </c>
      <c r="Q522">
        <f>IFERROR(1/IF(Inputs!$B$39="pvp",15,MAX(0.1,Skills!D9-IF(Skills!E9=TRUE,Inputs!$B$32,0))),0)</f>
        <v/>
      </c>
      <c r="R522">
        <f>IF(AND(Inputs!$B$39&lt;&gt;"pvp",Inputs!$B$44&gt;0),IF(MAX(0,Inputs!$B$44-B558)&lt;=0,0,(INT(MAX(0,Inputs!$B$44-B558)/IF(Inputs!$B$39="pvp",15,MAX(0.1,Skills!D9-IF(Skills!E9=TRUE,Inputs!$B$32,0))))+1)),0)</f>
        <v/>
      </c>
      <c r="S522">
        <f>IFERROR(O522/N522,0)</f>
        <v/>
      </c>
      <c r="T522">
        <f>IF(C522,(H522*N522*IF(AND(Inputs!$B$39&lt;&gt;"pvp",Inputs!$B$44&gt;0),((Skills!G9*((R522-1)*IF(Skills!H9&gt;0,Skills!I9/Skills!H9,1)+IF(Skills!H9&gt;0,MIN(Skills!I9,MAX(0,MAX(0,Inputs!$B$44-B558)-((R522-1)*IF(Inputs!$B$39="pvp",15,MAX(0.1,Skills!D9-IF(Skills!E9=TRUE,Inputs!$B$32,0))))))/Skills!H9,1)))/Inputs!$B$44),G522*Q522))*IF(Inputs!$B$39="pvp",1,1+(Inputs!$B$20+((C540=TRUE)*(F540-Calc!F27))+Skills!P9+B554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Hunt"),CHOOSE(ArtifactsInput!$N$35+1,15,18,21,24,27,30)*(1-EXP(-(0.2*B549)*5)),0)+IF(AND(ArtifactsInput!$M$22,Inputs!$B$4&lt;&gt;"Chapter Hunt"),CHOOSE(ArtifactsInput!$N$22+1,10,12,14,16,18,20)*((0*(((0.15*B549*5))^0/1)+1*(((0.15*B549*5))^1/1)+2*(((0.15*B549*5))^2/2)+3*(((0.15*B549*5))^3/6)+4*(((0.15*B549*5))^4/24)+5*(((0.15*B549*5))^5/120))/((((0.15*B549*5))^0/1)+(((0.15*B549*5))^1/1)+(((0.15*B549*5))^2/2)+(((0.15*B549*5))^3/6)+(((0.15*B549*5))^4/24)+(((0.15*B549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522*(1-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522*(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522*(1-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522*(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22">
        <f>IF(C522,(H522*N522*IF(AND(Inputs!$B$39&lt;&gt;"pvp",Inputs!$B$44&gt;0),((Skills!G9*((R522-1)*IF(Skills!H9&gt;0,Skills!I9/Skills!H9,1)+IF(Skills!H9&gt;0,MIN(Skills!I9,MAX(0,MAX(0,Inputs!$B$44-B558)-((R522-1)*IF(Inputs!$B$39="pvp",15,MAX(0.1,Skills!D9-IF(Skills!E9=TRUE,Inputs!$B$32,0))))))/Skills!H9,1)))/Inputs!$B$44),G522*Q522))*IF(Inputs!$B$39="pvp",1,(1+(Inputs!$B$21+Skills!Q9+B554+(IF(ArtifactsInput!$M$33,CHOOSE(ArtifactsInput!$N$33+1,30,36,42,48,54,60),0))+(IF(AND(ArtifactsInput!$M$35,Inputs!$B$4&lt;&gt;"Chapter Hunt"),CHOOSE(ArtifactsInput!$N$35+1,15,18,21,24,27,30)*(1-EXP(-(0.2*B549)*5)),0)+IF(AND(ArtifactsInput!$M$22,Inputs!$B$4&lt;&gt;"Chapter Hunt"),CHOOSE(ArtifactsInput!$N$22+1,10,12,14,16,18,20)*((0*(((0.15*B549*5))^0/1)+1*(((0.15*B549*5))^1/1)+2*(((0.15*B549*5))^2/2)+3*(((0.15*B549*5))^3/6)+4*(((0.15*B549*5))^4/24)+5*(((0.15*B549*5))^5/120))/((((0.15*B549*5))^0/1)+(((0.15*B549*5))^1/1)+(((0.15*B549*5))^2/2)+(((0.15*B549*5))^3/6)+(((0.15*B549*5))^4/24)+(((0.15*B549*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23">
      <c r="A523">
        <f>Skills!A10</f>
        <v/>
      </c>
      <c r="B523">
        <f>Skills!B10</f>
        <v/>
      </c>
      <c r="C523">
        <f>Inputs!$B$3&gt;=117</f>
        <v/>
      </c>
      <c r="D523">
        <f>IF(Skills!C10=1,60+Inputs!$B$25+Inputs!$B$29,IF(Skills!C10=2,90+Inputs!$B$26+Inputs!$B$29,IF(Skills!C10=3,120+Inputs!$B$27+Inputs!$B$29,MAX(0,(Inputs!$B$3-100)*3)+Inputs!$B$28+Inputs!$B$29)))</f>
        <v/>
      </c>
      <c r="E523">
        <f>INDEX(FactorTable!$B$2:$Y$301, MATCH(ROUND(MIN(300,MAX(1,D523)),0), FactorTable!$A$2:$A$301,0), Skills!M10+1)</f>
        <v/>
      </c>
      <c r="F523">
        <f>IF(Skills!N10=TRUE,(Skills!L10/10)*(E523/1000),Skills!L10/10)+Skills!O10</f>
        <v/>
      </c>
      <c r="G523">
        <f>Calc!G10</f>
        <v/>
      </c>
      <c r="H523">
        <f>Calc!H10</f>
        <v/>
      </c>
      <c r="I523">
        <f>IF(Skills!AA10&lt;&gt;"",1+(Skills!AA10/10)*(U516/1000)/100,1)</f>
        <v/>
      </c>
      <c r="J523">
        <f>((Inputs!$B$6*(1+Inputs!$B$7/100))+(((Inputs!$B$12*(1+Inputs!$B$13/100))-(Inputs!$B$12*(1+Inputs!$B$13/100)))+0.25*(Inputs!$B$14-Inputs!$B$14))*(1+Inputs!$B$7/100))*(F523/100)</f>
        <v/>
      </c>
      <c r="K523">
        <f>J523*(1+((Inputs!$B$12*(1+Inputs!$B$13/100))*0.01+Inputs!$B$14*0.0025)/100)*(1+Inputs!$B$15/100)*(1+Inputs!$B$16/100)*(5000/(6000+Inputs!$B$43*(1-(100*(1-(1-(Inputs!$B$19+0)/100)*(1-CHOOSE(ArtifactsInput!$N$40+1,5,6,7,8,9,10)/100)^(ArtifactsInput!$M$40-ArtifactsInput!$M$40)))/100)))*(1+(Inputs!$B$24+((C543=TRUE)*(F543-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536=TRUE)*(F536-Calc!F23))+(((IF(AND(ArtifactsInput!$M$42,((Inputs!$B$9+((C538=TRUE)*(F538-Calc!F25))+B553+(ArtifactsInput!$M$24-ArtifactsInput!$M$24)*CHOOSE(ArtifactsInput!$N$24+1,10,12,14,16,18,20)+IF(ArtifactsInput!$M$10,CHOOSE(ArtifactsInput!$N$10+1,15,18,21,24,27,30)*(IF(Inputs!$B$39="pvp",MIN(15,15)/15,IF(AND(Inputs!$B$39&lt;&gt;"pvp",Inputs!$B$44&gt;0),MIN(15,Inputs!$B$44)/(Inputs!$B$44),0))),0)))&gt;=100),MIN(100,((Inputs!$B$9+((C538=TRUE)*(F538-Calc!F25))+B553+(ArtifactsInput!$M$24-ArtifactsInput!$M$24)*CHOOSE(ArtifactsInput!$N$24+1,10,12,14,16,18,20)+IF(ArtifactsInput!$M$10,CHOOSE(ArtifactsInput!$N$10+1,15,18,21,24,27,30)*(IF(Inputs!$B$39="pvp",MIN(15,15)/15,IF(AND(Inputs!$B$39&lt;&gt;"pvp",Inputs!$B$44&gt;0),MIN(15,Inputs!$B$44)/(Inputs!$B$44),0))),0)))-100),0))*CHOOSE(ArtifactsInput!$N$42+1,0.6,0.72,0.84,0.96,1.08,1.2))),Inputs!$B$18+((C542=TRUE)*(F542-Calc!F29))+(IF(AND(ArtifactsInput!$M$42,((Inputs!$B$9+((C538=TRUE)*(F538-Calc!F25))+B553+(ArtifactsInput!$M$24-ArtifactsInput!$M$24)*CHOOSE(ArtifactsInput!$N$24+1,10,12,14,16,18,20)+IF(ArtifactsInput!$M$10,CHOOSE(ArtifactsInput!$N$10+1,15,18,21,24,27,30)*(IF(Inputs!$B$39="pvp",MIN(15,15)/15,IF(AND(Inputs!$B$39&lt;&gt;"pvp",Inputs!$B$44&gt;0),MIN(15,Inputs!$B$44)/(Inputs!$B$44),0))),0)))&gt;=100),CHOOSE(ArtifactsInput!$N$42+1,40,48,56,64,72,80),0))))/100)*(((1+(((C534=TRUE)*F534*IF(AND(Inputs!$B$39&lt;&gt;"pvp",Inputs!$B$44&gt;0),(((R534-1)*(Skills!Y21*(1+Inputs!$B$34/100))+MIN((Skills!Y21*(1+Inputs!$B$34/100)),MAX(0,Inputs!$B$44-((R534-1)*Skills!D21))))/Inputs!$B$44),IF(Inputs!$B$39="pvp",MIN((Skills!Y21*(1+Inputs!$B$34/100)),15)/15,(Skills!Y21*(1+Inputs!$B$34/100))/Skills!D21)))+((C541=TRUE)*(F541-Calc!F28))+((C531=TRUE)*(F531-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528=TRUE)*F528*IF(AND(Inputs!$B$39&lt;&gt;"pvp",Inputs!$B$44&gt;0),(((R528-1)*(Skills!Y15*(1+Inputs!$B$34/100))+MIN((Skills!Y15*(1+Inputs!$B$34/100)),MAX(0,Inputs!$B$44-((R528-1)*Skills!D15))))/Inputs!$B$44),IF(Inputs!$B$39="pvp",MIN((Skills!Y15*(1+Inputs!$B$34/100)),15)/15,(Skills!Y15*(1+Inputs!$B$34/100))/Skills!D15)))/100)*(1+((C519=TRUE)*F519*B547)/100))*B555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523)</f>
        <v/>
      </c>
      <c r="L523">
        <f>K523*(MIN(Inputs!$B$22+((C537=TRUE)*(F537-Calc!F24)),((Inputs!$B$23+1)+0+(IF(ArtifactsInput!$M$15,CHOOSE(ArtifactsInput!$N$15+1,25,30,35,40,45,50)/100*(Inputs!$B$11-Inputs!$B$11),0))))/100+((Inputs!$B$23+1)+0+(IF(ArtifactsInput!$M$15,CHOOSE(ArtifactsInput!$N$15+1,25,30,35,40,45,50)/100*(Inputs!$B$11-Inputs!$B$11),0)))/100)/2</f>
        <v/>
      </c>
      <c r="M523">
        <f>L523*(1+(Inputs!$B$10+((C539=TRUE)*(F539-Calc!F26))+B556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523">
        <f>L523*(1-MIN((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523*(MIN((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23">
        <f>(1-Summary!$B$11)*T523+Summary!$B$11*V523</f>
        <v/>
      </c>
      <c r="P523">
        <f>IF(B557=0,0,O523/B557)</f>
        <v/>
      </c>
      <c r="Q523" t="n">
        <v>0</v>
      </c>
      <c r="R523" t="n">
        <v>0</v>
      </c>
      <c r="S523" t="n">
        <v>0</v>
      </c>
      <c r="T523">
        <f>IF(C523,(0.2*SUMPRODUCT((Skills!Z2:Z31=TRUE)*(C515:C544=TRUE)*S515:S544)*N523)*IF(Inputs!$B$39="pvp",1,1+(Inputs!$B$20+((C540=TRUE)*(F540-Calc!F27))+Skills!P10+B554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Hunt"),CHOOSE(ArtifactsInput!$N$35+1,15,18,21,24,27,30)*(1-EXP(-(0.2*B549)*5)),0)+IF(AND(ArtifactsInput!$M$22,Inputs!$B$4&lt;&gt;"Chapter Hunt"),CHOOSE(ArtifactsInput!$N$22+1,10,12,14,16,18,20)*((0*(((0.15*B549*5))^0/1)+1*(((0.15*B549*5))^1/1)+2*(((0.15*B549*5))^2/2)+3*(((0.15*B549*5))^3/6)+4*(((0.15*B549*5))^4/24)+5*(((0.15*B549*5))^5/120))/((((0.15*B549*5))^0/1)+(((0.15*B549*5))^1/1)+(((0.15*B549*5))^2/2)+(((0.15*B549*5))^3/6)+(((0.15*B549*5))^4/24)+(((0.15*B549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523*(1-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523*(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523*(1-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523*(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23">
        <f>IF(C523,(0.2*SUMPRODUCT((Skills!Z2:Z31=TRUE)*(C515:C544=TRUE)*S515:S544)*N523)*IF(Inputs!$B$39="pvp",1,(1+(Inputs!$B$21+Skills!Q10+B554+(IF(ArtifactsInput!$M$33,CHOOSE(ArtifactsInput!$N$33+1,30,36,42,48,54,60),0))+(IF(AND(ArtifactsInput!$M$35,Inputs!$B$4&lt;&gt;"Chapter Hunt"),CHOOSE(ArtifactsInput!$N$35+1,15,18,21,24,27,30)*(1-EXP(-(0.2*B549)*5)),0)+IF(AND(ArtifactsInput!$M$22,Inputs!$B$4&lt;&gt;"Chapter Hunt"),CHOOSE(ArtifactsInput!$N$22+1,10,12,14,16,18,20)*((0*(((0.15*B549*5))^0/1)+1*(((0.15*B549*5))^1/1)+2*(((0.15*B549*5))^2/2)+3*(((0.15*B549*5))^3/6)+4*(((0.15*B549*5))^4/24)+5*(((0.15*B549*5))^5/120))/((((0.15*B549*5))^0/1)+(((0.15*B549*5))^1/1)+(((0.15*B549*5))^2/2)+(((0.15*B549*5))^3/6)+(((0.15*B549*5))^4/24)+(((0.15*B549*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24">
      <c r="A524">
        <f>Skills!A11</f>
        <v/>
      </c>
      <c r="B524">
        <f>Skills!B11</f>
        <v/>
      </c>
      <c r="C524">
        <f>Inputs!$B$3&gt;=60</f>
        <v/>
      </c>
      <c r="D524">
        <f>IF(Skills!C11=1,60+Inputs!$B$25+Inputs!$B$29,IF(Skills!C11=2,90+Inputs!$B$26+Inputs!$B$29,IF(Skills!C11=3,120+Inputs!$B$27+Inputs!$B$29,MAX(0,(Inputs!$B$3-100)*3)+Inputs!$B$28+Inputs!$B$29)))</f>
        <v/>
      </c>
      <c r="E524">
        <f>INDEX(FactorTable!$B$2:$Y$301, MATCH(ROUND(MIN(300,MAX(1,D524)),0), FactorTable!$A$2:$A$301,0), Skills!M11+1)</f>
        <v/>
      </c>
      <c r="F524">
        <f>IF(Skills!N11=TRUE,(Skills!L11/10)*(E524/1000),Skills!L11/10)+Skills!O11</f>
        <v/>
      </c>
      <c r="G524">
        <f>Calc!G11</f>
        <v/>
      </c>
      <c r="H524">
        <f>Calc!H11</f>
        <v/>
      </c>
      <c r="I524">
        <f>IF(Skills!AA11&lt;&gt;"",1+(Skills!AA11/10)*(U516/1000)/100,1)</f>
        <v/>
      </c>
      <c r="J524" t="inlineStr"/>
      <c r="K524" t="inlineStr"/>
      <c r="L524" t="inlineStr"/>
      <c r="M524" t="inlineStr"/>
      <c r="N524" t="inlineStr"/>
      <c r="O524">
        <f>(1-Summary!$B$11)*T524+Summary!$B$11*V524</f>
        <v/>
      </c>
      <c r="P524">
        <f>IF(B557=0,0,O524/B557)</f>
        <v/>
      </c>
      <c r="Q524" t="n">
        <v>0</v>
      </c>
      <c r="R524" t="n">
        <v>0</v>
      </c>
      <c r="S524">
        <f>IFERROR(O524/N524,0)</f>
        <v/>
      </c>
      <c r="T524" t="n">
        <v>0</v>
      </c>
      <c r="V524" t="n">
        <v>0</v>
      </c>
    </row>
    <row r="525">
      <c r="A525">
        <f>Skills!A12</f>
        <v/>
      </c>
      <c r="B525">
        <f>Skills!B12</f>
        <v/>
      </c>
      <c r="C525">
        <f>Inputs!$B$3&gt;=103</f>
        <v/>
      </c>
      <c r="D525">
        <f>IF(Skills!C12=1,60+Inputs!$B$25+Inputs!$B$29,IF(Skills!C12=2,90+Inputs!$B$26+Inputs!$B$29,IF(Skills!C12=3,120+Inputs!$B$27+Inputs!$B$29,MAX(0,(Inputs!$B$3-100)*3)+Inputs!$B$28+Inputs!$B$29)))</f>
        <v/>
      </c>
      <c r="E525">
        <f>INDEX(FactorTable!$B$2:$Y$301, MATCH(ROUND(MIN(300,MAX(1,D525)),0), FactorTable!$A$2:$A$301,0), Skills!M12+1)</f>
        <v/>
      </c>
      <c r="F525">
        <f>IF(Skills!N12=TRUE,(Skills!L12/10)*(E525/1000),Skills!L12/10)+Skills!O12</f>
        <v/>
      </c>
      <c r="G525">
        <f>Calc!G12</f>
        <v/>
      </c>
      <c r="H525">
        <f>Calc!H12</f>
        <v/>
      </c>
      <c r="I525">
        <f>IF(Skills!AA12&lt;&gt;"",1+(Skills!AA12/10)*(U516/1000)/100,1)</f>
        <v/>
      </c>
      <c r="J525">
        <f>((Inputs!$B$6*(1+Inputs!$B$7/100))+(((Inputs!$B$12*(1+Inputs!$B$13/100))-(Inputs!$B$12*(1+Inputs!$B$13/100)))+0.25*(Inputs!$B$14-Inputs!$B$14))*(1+Inputs!$B$7/100))*(F525/100)</f>
        <v/>
      </c>
      <c r="K525">
        <f>J525*(1+((Inputs!$B$12*(1+Inputs!$B$13/100))*0.01+Inputs!$B$14*0.0025)/100)*(1+Inputs!$B$15/100)*(1+Inputs!$B$16/100)*(5000/(6000+Inputs!$B$43*(1-(100*(1-(1-(Inputs!$B$19+0)/100)*(1-CHOOSE(ArtifactsInput!$N$40+1,5,6,7,8,9,10)/100)^(ArtifactsInput!$M$40-ArtifactsInput!$M$40)))/100)))*(1+(Inputs!$B$24+((C543=TRUE)*(F543-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536=TRUE)*(F536-Calc!F23))+(((IF(AND(ArtifactsInput!$M$42,((Inputs!$B$9+((C538=TRUE)*(F538-Calc!F25))+B553+(ArtifactsInput!$M$24-ArtifactsInput!$M$24)*CHOOSE(ArtifactsInput!$N$24+1,10,12,14,16,18,20)+IF(ArtifactsInput!$M$10,CHOOSE(ArtifactsInput!$N$10+1,15,18,21,24,27,30)*(IF(Inputs!$B$39="pvp",MIN(15,15)/15,IF(AND(Inputs!$B$39&lt;&gt;"pvp",Inputs!$B$44&gt;0),MIN(15,Inputs!$B$44)/(Inputs!$B$44),0))),0)))&gt;=100),MIN(100,((Inputs!$B$9+((C538=TRUE)*(F538-Calc!F25))+B553+(ArtifactsInput!$M$24-ArtifactsInput!$M$24)*CHOOSE(ArtifactsInput!$N$24+1,10,12,14,16,18,20)+IF(ArtifactsInput!$M$10,CHOOSE(ArtifactsInput!$N$10+1,15,18,21,24,27,30)*(IF(Inputs!$B$39="pvp",MIN(15,15)/15,IF(AND(Inputs!$B$39&lt;&gt;"pvp",Inputs!$B$44&gt;0),MIN(15,Inputs!$B$44)/(Inputs!$B$44),0))),0)))-100),0))*CHOOSE(ArtifactsInput!$N$42+1,0.6,0.72,0.84,0.96,1.08,1.2))),Inputs!$B$18+((C542=TRUE)*(F542-Calc!F29))+(IF(AND(ArtifactsInput!$M$42,((Inputs!$B$9+((C538=TRUE)*(F538-Calc!F25))+B553+(ArtifactsInput!$M$24-ArtifactsInput!$M$24)*CHOOSE(ArtifactsInput!$N$24+1,10,12,14,16,18,20)+IF(ArtifactsInput!$M$10,CHOOSE(ArtifactsInput!$N$10+1,15,18,21,24,27,30)*(IF(Inputs!$B$39="pvp",MIN(15,15)/15,IF(AND(Inputs!$B$39&lt;&gt;"pvp",Inputs!$B$44&gt;0),MIN(15,Inputs!$B$44)/(Inputs!$B$44),0))),0)))&gt;=100),CHOOSE(ArtifactsInput!$N$42+1,40,48,56,64,72,80),0))))/100)*(((1+(((C534=TRUE)*F534*IF(AND(Inputs!$B$39&lt;&gt;"pvp",Inputs!$B$44&gt;0),(((R534-1)*(Skills!Y21*(1+Inputs!$B$34/100))+MIN((Skills!Y21*(1+Inputs!$B$34/100)),MAX(0,Inputs!$B$44-((R534-1)*Skills!D21))))/Inputs!$B$44),IF(Inputs!$B$39="pvp",MIN((Skills!Y21*(1+Inputs!$B$34/100)),15)/15,(Skills!Y21*(1+Inputs!$B$34/100))/Skills!D21)))+((C541=TRUE)*(F541-Calc!F28))+((C531=TRUE)*(F531-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528=TRUE)*F528*IF(AND(Inputs!$B$39&lt;&gt;"pvp",Inputs!$B$44&gt;0),(((R528-1)*(Skills!Y15*(1+Inputs!$B$34/100))+MIN((Skills!Y15*(1+Inputs!$B$34/100)),MAX(0,Inputs!$B$44-((R528-1)*Skills!D15))))/Inputs!$B$44),IF(Inputs!$B$39="pvp",MIN((Skills!Y15*(1+Inputs!$B$34/100)),15)/15,(Skills!Y15*(1+Inputs!$B$34/100))/Skills!D15)))/100)*(1+((C519=TRUE)*F519*B547)/100))*B555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525)</f>
        <v/>
      </c>
      <c r="L525">
        <f>K525*(MIN(Inputs!$B$22+((C537=TRUE)*(F537-Calc!F24)),((Inputs!$B$23+1)+0+(IF(ArtifactsInput!$M$15,CHOOSE(ArtifactsInput!$N$15+1,25,30,35,40,45,50)/100*(Inputs!$B$11-Inputs!$B$11),0))))/100+((Inputs!$B$23+1)+0+(IF(ArtifactsInput!$M$15,CHOOSE(ArtifactsInput!$N$15+1,25,30,35,40,45,50)/100*(Inputs!$B$11-Inputs!$B$11),0)))/100)/2</f>
        <v/>
      </c>
      <c r="M525">
        <f>L525*(1+(Inputs!$B$10+((C539=TRUE)*(F539-Calc!F26))+B556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525">
        <f>L525*(1-MIN((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525*(MIN((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25">
        <f>(1-Summary!$B$11)*T525+Summary!$B$11*V525</f>
        <v/>
      </c>
      <c r="P525">
        <f>IF(B557=0,0,O525/B557)</f>
        <v/>
      </c>
      <c r="Q525">
        <f>IFERROR(1/IF(Inputs!$B$39="pvp",15,MAX(0.1,Skills!D12-IF(Skills!E12=TRUE,Inputs!$B$32,0))),0)</f>
        <v/>
      </c>
      <c r="R525">
        <f>IF(AND(Inputs!$B$39&lt;&gt;"pvp",Inputs!$B$44&gt;0),IF(MAX(0,Inputs!$B$44-B558)&lt;=0,0,(INT(MAX(0,Inputs!$B$44-B558)/IF(Inputs!$B$39="pvp",15,MAX(0.1,Skills!D12-IF(Skills!E12=TRUE,Inputs!$B$32,0))))+1)),0)</f>
        <v/>
      </c>
      <c r="S525">
        <f>IFERROR(O525/N525,0)</f>
        <v/>
      </c>
      <c r="T525">
        <f>IF(C525,(H525*N525*IF(AND(Inputs!$B$39&lt;&gt;"pvp",Inputs!$B$44&gt;0),((Skills!G12*((R525-1)*IF(Skills!H12&gt;0,Skills!I12/Skills!H12,1)+IF(Skills!H12&gt;0,MIN(Skills!I12,MAX(0,MAX(0,Inputs!$B$44-B558)-((R525-1)*IF(Inputs!$B$39="pvp",15,MAX(0.1,Skills!D12-IF(Skills!E12=TRUE,Inputs!$B$32,0))))))/Skills!H12,1)))/Inputs!$B$44),G525*Q525))*IF(Inputs!$B$39="pvp",1,1+(Inputs!$B$20+((C540=TRUE)*(F540-Calc!F27))+Skills!P12+B554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Hunt"),CHOOSE(ArtifactsInput!$N$35+1,15,18,21,24,27,30)*(1-EXP(-(0.2*B549)*5)),0)+IF(AND(ArtifactsInput!$M$22,Inputs!$B$4&lt;&gt;"Chapter Hunt"),CHOOSE(ArtifactsInput!$N$22+1,10,12,14,16,18,20)*((0*(((0.15*B549*5))^0/1)+1*(((0.15*B549*5))^1/1)+2*(((0.15*B549*5))^2/2)+3*(((0.15*B549*5))^3/6)+4*(((0.15*B549*5))^4/24)+5*(((0.15*B549*5))^5/120))/((((0.15*B549*5))^0/1)+(((0.15*B549*5))^1/1)+(((0.15*B549*5))^2/2)+(((0.15*B549*5))^3/6)+(((0.15*B549*5))^4/24)+(((0.15*B549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525*(1-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525*(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525*(1-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525*(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25">
        <f>IF(C525,(H525*N525*IF(AND(Inputs!$B$39&lt;&gt;"pvp",Inputs!$B$44&gt;0),((Skills!G12*((R525-1)*IF(Skills!H12&gt;0,Skills!I12/Skills!H12,1)+IF(Skills!H12&gt;0,MIN(Skills!I12,MAX(0,MAX(0,Inputs!$B$44-B558)-((R525-1)*IF(Inputs!$B$39="pvp",15,MAX(0.1,Skills!D12-IF(Skills!E12=TRUE,Inputs!$B$32,0))))))/Skills!H12,1)))/Inputs!$B$44),G525*Q525))*IF(Inputs!$B$39="pvp",1,(1+(Inputs!$B$21+Skills!Q12+B554+(IF(ArtifactsInput!$M$33,CHOOSE(ArtifactsInput!$N$33+1,30,36,42,48,54,60),0))+(IF(AND(ArtifactsInput!$M$35,Inputs!$B$4&lt;&gt;"Chapter Hunt"),CHOOSE(ArtifactsInput!$N$35+1,15,18,21,24,27,30)*(1-EXP(-(0.2*B549)*5)),0)+IF(AND(ArtifactsInput!$M$22,Inputs!$B$4&lt;&gt;"Chapter Hunt"),CHOOSE(ArtifactsInput!$N$22+1,10,12,14,16,18,20)*((0*(((0.15*B549*5))^0/1)+1*(((0.15*B549*5))^1/1)+2*(((0.15*B549*5))^2/2)+3*(((0.15*B549*5))^3/6)+4*(((0.15*B549*5))^4/24)+5*(((0.15*B549*5))^5/120))/((((0.15*B549*5))^0/1)+(((0.15*B549*5))^1/1)+(((0.15*B549*5))^2/2)+(((0.15*B549*5))^3/6)+(((0.15*B549*5))^4/24)+(((0.15*B549*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26">
      <c r="A526">
        <f>Skills!A13</f>
        <v/>
      </c>
      <c r="B526">
        <f>Skills!B13</f>
        <v/>
      </c>
      <c r="C526">
        <f>Inputs!$B$3&gt;=105</f>
        <v/>
      </c>
      <c r="D526">
        <f>IF(Skills!C13=1,60+Inputs!$B$25+Inputs!$B$29,IF(Skills!C13=2,90+Inputs!$B$26+Inputs!$B$29,IF(Skills!C13=3,120+Inputs!$B$27+Inputs!$B$29,MAX(0,(Inputs!$B$3-100)*3)+Inputs!$B$28+Inputs!$B$29)))</f>
        <v/>
      </c>
      <c r="E526">
        <f>INDEX(FactorTable!$B$2:$Y$301, MATCH(ROUND(MIN(300,MAX(1,D526)),0), FactorTable!$A$2:$A$301,0), Skills!M13+1)</f>
        <v/>
      </c>
      <c r="F526">
        <f>IF(Skills!N13=TRUE,(Skills!L13/10)*(E526/1000),Skills!L13/10)+Skills!O13</f>
        <v/>
      </c>
      <c r="G526">
        <f>Calc!G13</f>
        <v/>
      </c>
      <c r="H526">
        <f>Calc!H13</f>
        <v/>
      </c>
      <c r="I526">
        <f>IF(Skills!AA13&lt;&gt;"",1+(Skills!AA13/10)*(U516/1000)/100,1)</f>
        <v/>
      </c>
      <c r="J526">
        <f>((Inputs!$B$6*(1+Inputs!$B$7/100))+(((Inputs!$B$12*(1+Inputs!$B$13/100))-(Inputs!$B$12*(1+Inputs!$B$13/100)))+0.25*(Inputs!$B$14-Inputs!$B$14))*(1+Inputs!$B$7/100))*(F526/100)</f>
        <v/>
      </c>
      <c r="K526">
        <f>J526*(1+((Inputs!$B$12*(1+Inputs!$B$13/100))*0.01+Inputs!$B$14*0.0025)/100)*(1+Inputs!$B$15/100)*(1+Inputs!$B$16/100)*(5000/(6000+Inputs!$B$43*(1-(100*(1-(1-(Inputs!$B$19+0)/100)*(1-CHOOSE(ArtifactsInput!$N$40+1,5,6,7,8,9,10)/100)^(ArtifactsInput!$M$40-ArtifactsInput!$M$40)))/100)))*(1+(Inputs!$B$24+((C543=TRUE)*(F543-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536=TRUE)*(F536-Calc!F23))+(((IF(AND(ArtifactsInput!$M$42,((Inputs!$B$9+((C538=TRUE)*(F538-Calc!F25))+B553+(ArtifactsInput!$M$24-ArtifactsInput!$M$24)*CHOOSE(ArtifactsInput!$N$24+1,10,12,14,16,18,20)+IF(ArtifactsInput!$M$10,CHOOSE(ArtifactsInput!$N$10+1,15,18,21,24,27,30)*(IF(Inputs!$B$39="pvp",MIN(15,15)/15,IF(AND(Inputs!$B$39&lt;&gt;"pvp",Inputs!$B$44&gt;0),MIN(15,Inputs!$B$44)/(Inputs!$B$44),0))),0)))&gt;=100),MIN(100,((Inputs!$B$9+((C538=TRUE)*(F538-Calc!F25))+B553+(ArtifactsInput!$M$24-ArtifactsInput!$M$24)*CHOOSE(ArtifactsInput!$N$24+1,10,12,14,16,18,20)+IF(ArtifactsInput!$M$10,CHOOSE(ArtifactsInput!$N$10+1,15,18,21,24,27,30)*(IF(Inputs!$B$39="pvp",MIN(15,15)/15,IF(AND(Inputs!$B$39&lt;&gt;"pvp",Inputs!$B$44&gt;0),MIN(15,Inputs!$B$44)/(Inputs!$B$44),0))),0)))-100),0))*CHOOSE(ArtifactsInput!$N$42+1,0.6,0.72,0.84,0.96,1.08,1.2))),Inputs!$B$18+((C542=TRUE)*(F542-Calc!F29))+(IF(AND(ArtifactsInput!$M$42,((Inputs!$B$9+((C538=TRUE)*(F538-Calc!F25))+B553+(ArtifactsInput!$M$24-ArtifactsInput!$M$24)*CHOOSE(ArtifactsInput!$N$24+1,10,12,14,16,18,20)+IF(ArtifactsInput!$M$10,CHOOSE(ArtifactsInput!$N$10+1,15,18,21,24,27,30)*(IF(Inputs!$B$39="pvp",MIN(15,15)/15,IF(AND(Inputs!$B$39&lt;&gt;"pvp",Inputs!$B$44&gt;0),MIN(15,Inputs!$B$44)/(Inputs!$B$44),0))),0)))&gt;=100),CHOOSE(ArtifactsInput!$N$42+1,40,48,56,64,72,80),0))))/100)*(((1+(((C534=TRUE)*F534*IF(AND(Inputs!$B$39&lt;&gt;"pvp",Inputs!$B$44&gt;0),(((R534-1)*(Skills!Y21*(1+Inputs!$B$34/100))+MIN((Skills!Y21*(1+Inputs!$B$34/100)),MAX(0,Inputs!$B$44-((R534-1)*Skills!D21))))/Inputs!$B$44),IF(Inputs!$B$39="pvp",MIN((Skills!Y21*(1+Inputs!$B$34/100)),15)/15,(Skills!Y21*(1+Inputs!$B$34/100))/Skills!D21)))+((C541=TRUE)*(F541-Calc!F28))+((C531=TRUE)*(F531-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528=TRUE)*F528*IF(AND(Inputs!$B$39&lt;&gt;"pvp",Inputs!$B$44&gt;0),(((R528-1)*(Skills!Y15*(1+Inputs!$B$34/100))+MIN((Skills!Y15*(1+Inputs!$B$34/100)),MAX(0,Inputs!$B$44-((R528-1)*Skills!D15))))/Inputs!$B$44),IF(Inputs!$B$39="pvp",MIN((Skills!Y15*(1+Inputs!$B$34/100)),15)/15,(Skills!Y15*(1+Inputs!$B$34/100))/Skills!D15)))/100)*(1+((C519=TRUE)*F519*B547)/100))*B555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526)</f>
        <v/>
      </c>
      <c r="L526">
        <f>K526*(MIN(Inputs!$B$22+((C537=TRUE)*(F537-Calc!F24)),((Inputs!$B$23+1)+0+(IF(ArtifactsInput!$M$15,CHOOSE(ArtifactsInput!$N$15+1,25,30,35,40,45,50)/100*(Inputs!$B$11-Inputs!$B$11),0))))/100+((Inputs!$B$23+1)+0+(IF(ArtifactsInput!$M$15,CHOOSE(ArtifactsInput!$N$15+1,25,30,35,40,45,50)/100*(Inputs!$B$11-Inputs!$B$11),0)))/100)/2</f>
        <v/>
      </c>
      <c r="M526">
        <f>L526*(1+(Inputs!$B$10+((C539=TRUE)*(F539-Calc!F26))+B556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526">
        <f>L526*(1-MIN((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526*(MIN((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26">
        <f>(1-Summary!$B$11)*T526+Summary!$B$11*V526</f>
        <v/>
      </c>
      <c r="P526">
        <f>IF(B557=0,0,O526/B557)</f>
        <v/>
      </c>
      <c r="Q526">
        <f>IFERROR(1/IF(Inputs!$B$39="pvp",15,MAX(0.1,Skills!D13-IF(Skills!E13=TRUE,Inputs!$B$32,0))),0)</f>
        <v/>
      </c>
      <c r="R526">
        <f>IF(AND(Inputs!$B$39&lt;&gt;"pvp",Inputs!$B$44&gt;0),IF(MAX(0,Inputs!$B$44-B558)&lt;=0,0,(INT(MAX(0,Inputs!$B$44-B558)/IF(Inputs!$B$39="pvp",15,MAX(0.1,Skills!D13-IF(Skills!E13=TRUE,Inputs!$B$32,0))))+1)),0)</f>
        <v/>
      </c>
      <c r="S526">
        <f>IFERROR(O526/N526,0)</f>
        <v/>
      </c>
      <c r="T526">
        <f>IF(C526,(H526*N526*IF(AND(Inputs!$B$39&lt;&gt;"pvp",Inputs!$B$44&gt;0),((Skills!G13*((R526-1)*IF(Skills!H13&gt;0,Skills!I13/Skills!H13,1)+IF(Skills!H13&gt;0,MIN(Skills!I13,MAX(0,MAX(0,Inputs!$B$44-B558)-((R526-1)*IF(Inputs!$B$39="pvp",15,MAX(0.1,Skills!D13-IF(Skills!E13=TRUE,Inputs!$B$32,0))))))/Skills!H13,1)))/Inputs!$B$44),G526*Q526))*IF(Inputs!$B$39="pvp",1,1+(Inputs!$B$20+((C540=TRUE)*(F540-Calc!F27))+Skills!P13+B554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Hunt"),CHOOSE(ArtifactsInput!$N$35+1,15,18,21,24,27,30)*(1-EXP(-(0.2*B549)*5)),0)+IF(AND(ArtifactsInput!$M$22,Inputs!$B$4&lt;&gt;"Chapter Hunt"),CHOOSE(ArtifactsInput!$N$22+1,10,12,14,16,18,20)*((0*(((0.15*B549*5))^0/1)+1*(((0.15*B549*5))^1/1)+2*(((0.15*B549*5))^2/2)+3*(((0.15*B549*5))^3/6)+4*(((0.15*B549*5))^4/24)+5*(((0.15*B549*5))^5/120))/((((0.15*B549*5))^0/1)+(((0.15*B549*5))^1/1)+(((0.15*B549*5))^2/2)+(((0.15*B549*5))^3/6)+(((0.15*B549*5))^4/24)+(((0.15*B549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526*(1-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526*(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526*(1-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526*(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26">
        <f>IF(C526,(H526*N526*IF(AND(Inputs!$B$39&lt;&gt;"pvp",Inputs!$B$44&gt;0),((Skills!G13*((R526-1)*IF(Skills!H13&gt;0,Skills!I13/Skills!H13,1)+IF(Skills!H13&gt;0,MIN(Skills!I13,MAX(0,MAX(0,Inputs!$B$44-B558)-((R526-1)*IF(Inputs!$B$39="pvp",15,MAX(0.1,Skills!D13-IF(Skills!E13=TRUE,Inputs!$B$32,0))))))/Skills!H13,1)))/Inputs!$B$44),G526*Q526))*IF(Inputs!$B$39="pvp",1,(1+(Inputs!$B$21+Skills!Q13+B554+(IF(ArtifactsInput!$M$33,CHOOSE(ArtifactsInput!$N$33+1,30,36,42,48,54,60),0))+(IF(AND(ArtifactsInput!$M$35,Inputs!$B$4&lt;&gt;"Chapter Hunt"),CHOOSE(ArtifactsInput!$N$35+1,15,18,21,24,27,30)*(1-EXP(-(0.2*B549)*5)),0)+IF(AND(ArtifactsInput!$M$22,Inputs!$B$4&lt;&gt;"Chapter Hunt"),CHOOSE(ArtifactsInput!$N$22+1,10,12,14,16,18,20)*((0*(((0.15*B549*5))^0/1)+1*(((0.15*B549*5))^1/1)+2*(((0.15*B549*5))^2/2)+3*(((0.15*B549*5))^3/6)+4*(((0.15*B549*5))^4/24)+5*(((0.15*B549*5))^5/120))/((((0.15*B549*5))^0/1)+(((0.15*B549*5))^1/1)+(((0.15*B549*5))^2/2)+(((0.15*B549*5))^3/6)+(((0.15*B549*5))^4/24)+(((0.15*B549*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27">
      <c r="A527">
        <f>Skills!A14</f>
        <v/>
      </c>
      <c r="B527">
        <f>Skills!B14</f>
        <v/>
      </c>
      <c r="C527">
        <f>Inputs!$B$3&gt;=105</f>
        <v/>
      </c>
      <c r="D527">
        <f>IF(Skills!C14=1,60+Inputs!$B$25+Inputs!$B$29,IF(Skills!C14=2,90+Inputs!$B$26+Inputs!$B$29,IF(Skills!C14=3,120+Inputs!$B$27+Inputs!$B$29,MAX(0,(Inputs!$B$3-100)*3)+Inputs!$B$28+Inputs!$B$29)))</f>
        <v/>
      </c>
      <c r="E527">
        <f>INDEX(FactorTable!$B$2:$Y$301, MATCH(ROUND(MIN(300,MAX(1,D527)),0), FactorTable!$A$2:$A$301,0), Skills!M14+1)</f>
        <v/>
      </c>
      <c r="F527">
        <f>IF(Skills!N14=TRUE,(Skills!L14/10)*(E527/1000),Skills!L14/10)+Skills!O14</f>
        <v/>
      </c>
      <c r="G527">
        <f>Calc!G14</f>
        <v/>
      </c>
      <c r="H527">
        <f>Calc!H14</f>
        <v/>
      </c>
      <c r="I527">
        <f>IF(Skills!AA14&lt;&gt;"",1+(Skills!AA14/10)*(U516/1000)/100,1)</f>
        <v/>
      </c>
      <c r="J527">
        <f>((Inputs!$B$6*(1+Inputs!$B$7/100))+(((Inputs!$B$12*(1+Inputs!$B$13/100))-(Inputs!$B$12*(1+Inputs!$B$13/100)))+0.25*(Inputs!$B$14-Inputs!$B$14))*(1+Inputs!$B$7/100))*(F527/100)</f>
        <v/>
      </c>
      <c r="K527">
        <f>J527*(1+((Inputs!$B$12*(1+Inputs!$B$13/100))*0.01+Inputs!$B$14*0.0025)/100)*(1+Inputs!$B$15/100)*(1+Inputs!$B$16/100)*(5000/(6000+Inputs!$B$43*(1-(100*(1-(1-(Inputs!$B$19+0)/100)*(1-CHOOSE(ArtifactsInput!$N$40+1,5,6,7,8,9,10)/100)^(ArtifactsInput!$M$40-ArtifactsInput!$M$40)))/100)))*(1+(Inputs!$B$24+((C543=TRUE)*(F543-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536=TRUE)*(F536-Calc!F23))+(((IF(AND(ArtifactsInput!$M$42,((Inputs!$B$9+((C538=TRUE)*(F538-Calc!F25))+B553+(ArtifactsInput!$M$24-ArtifactsInput!$M$24)*CHOOSE(ArtifactsInput!$N$24+1,10,12,14,16,18,20)+IF(ArtifactsInput!$M$10,CHOOSE(ArtifactsInput!$N$10+1,15,18,21,24,27,30)*(IF(Inputs!$B$39="pvp",MIN(15,15)/15,IF(AND(Inputs!$B$39&lt;&gt;"pvp",Inputs!$B$44&gt;0),MIN(15,Inputs!$B$44)/(Inputs!$B$44),0))),0)))&gt;=100),MIN(100,((Inputs!$B$9+((C538=TRUE)*(F538-Calc!F25))+B553+(ArtifactsInput!$M$24-ArtifactsInput!$M$24)*CHOOSE(ArtifactsInput!$N$24+1,10,12,14,16,18,20)+IF(ArtifactsInput!$M$10,CHOOSE(ArtifactsInput!$N$10+1,15,18,21,24,27,30)*(IF(Inputs!$B$39="pvp",MIN(15,15)/15,IF(AND(Inputs!$B$39&lt;&gt;"pvp",Inputs!$B$44&gt;0),MIN(15,Inputs!$B$44)/(Inputs!$B$44),0))),0)))-100),0))*CHOOSE(ArtifactsInput!$N$42+1,0.6,0.72,0.84,0.96,1.08,1.2))),Inputs!$B$18+((C542=TRUE)*(F542-Calc!F29))+(IF(AND(ArtifactsInput!$M$42,((Inputs!$B$9+((C538=TRUE)*(F538-Calc!F25))+B553+(ArtifactsInput!$M$24-ArtifactsInput!$M$24)*CHOOSE(ArtifactsInput!$N$24+1,10,12,14,16,18,20)+IF(ArtifactsInput!$M$10,CHOOSE(ArtifactsInput!$N$10+1,15,18,21,24,27,30)*(IF(Inputs!$B$39="pvp",MIN(15,15)/15,IF(AND(Inputs!$B$39&lt;&gt;"pvp",Inputs!$B$44&gt;0),MIN(15,Inputs!$B$44)/(Inputs!$B$44),0))),0)))&gt;=100),CHOOSE(ArtifactsInput!$N$42+1,40,48,56,64,72,80),0))))/100)*(((1+(((C534=TRUE)*F534*IF(AND(Inputs!$B$39&lt;&gt;"pvp",Inputs!$B$44&gt;0),(((R534-1)*(Skills!Y21*(1+Inputs!$B$34/100))+MIN((Skills!Y21*(1+Inputs!$B$34/100)),MAX(0,Inputs!$B$44-((R534-1)*Skills!D21))))/Inputs!$B$44),IF(Inputs!$B$39="pvp",MIN((Skills!Y21*(1+Inputs!$B$34/100)),15)/15,(Skills!Y21*(1+Inputs!$B$34/100))/Skills!D21)))+((C541=TRUE)*(F541-Calc!F28))+((C531=TRUE)*(F531-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528=TRUE)*F528*IF(AND(Inputs!$B$39&lt;&gt;"pvp",Inputs!$B$44&gt;0),(((R528-1)*(Skills!Y15*(1+Inputs!$B$34/100))+MIN((Skills!Y15*(1+Inputs!$B$34/100)),MAX(0,Inputs!$B$44-((R528-1)*Skills!D15))))/Inputs!$B$44),IF(Inputs!$B$39="pvp",MIN((Skills!Y15*(1+Inputs!$B$34/100)),15)/15,(Skills!Y15*(1+Inputs!$B$34/100))/Skills!D15)))/100)*(1+((C519=TRUE)*F519*B547)/100))*B555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527)</f>
        <v/>
      </c>
      <c r="L527">
        <f>K527*(MIN(Inputs!$B$22+((C537=TRUE)*(F537-Calc!F24)),((Inputs!$B$23+1)+0+(IF(ArtifactsInput!$M$15,CHOOSE(ArtifactsInput!$N$15+1,25,30,35,40,45,50)/100*(Inputs!$B$11-Inputs!$B$11),0))))/100+((Inputs!$B$23+1)+0+(IF(ArtifactsInput!$M$15,CHOOSE(ArtifactsInput!$N$15+1,25,30,35,40,45,50)/100*(Inputs!$B$11-Inputs!$B$11),0)))/100)/2</f>
        <v/>
      </c>
      <c r="M527">
        <f>L527*(1+(Inputs!$B$10+((C539=TRUE)*(F539-Calc!F26))+B556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527">
        <f>L527*(1-MIN((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527*(MIN((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27">
        <f>(1-Summary!$B$11)*T527+Summary!$B$11*V527</f>
        <v/>
      </c>
      <c r="P527">
        <f>IF(B557=0,0,O527/B557)</f>
        <v/>
      </c>
      <c r="Q527">
        <f>IFERROR(1/IF(Inputs!$B$39="pvp",15,MAX(0.1,Skills!D14-IF(Skills!E14=TRUE,Inputs!$B$32,0))),0)</f>
        <v/>
      </c>
      <c r="R527">
        <f>IF(AND(Inputs!$B$39&lt;&gt;"pvp",Inputs!$B$44&gt;0),IF(MAX(0,Inputs!$B$44-B558)&lt;=0,0,(INT(MAX(0,Inputs!$B$44-B558)/IF(Inputs!$B$39="pvp",15,MAX(0.1,Skills!D14-IF(Skills!E14=TRUE,Inputs!$B$32,0))))+1)),0)</f>
        <v/>
      </c>
      <c r="S527">
        <f>IFERROR(O527/N527,0)</f>
        <v/>
      </c>
      <c r="T527">
        <f>IF(C527,(H527*N527*IF(AND(Inputs!$B$39&lt;&gt;"pvp",Inputs!$B$44&gt;0),((Skills!G14*((R527-1)*IF(Skills!H14&gt;0,Skills!I14/Skills!H14,1)+IF(Skills!H14&gt;0,MIN(Skills!I14,MAX(0,MAX(0,Inputs!$B$44-B558)-((R527-1)*IF(Inputs!$B$39="pvp",15,MAX(0.1,Skills!D14-IF(Skills!E14=TRUE,Inputs!$B$32,0))))))/Skills!H14,1)))/Inputs!$B$44),G527*Q527))*IF(Inputs!$B$39="pvp",1,1+(Inputs!$B$20+((C540=TRUE)*(F540-Calc!F27))+Skills!P14+B554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Hunt"),CHOOSE(ArtifactsInput!$N$35+1,15,18,21,24,27,30)*(1-EXP(-(0.2*B549)*5)),0)+IF(AND(ArtifactsInput!$M$22,Inputs!$B$4&lt;&gt;"Chapter Hunt"),CHOOSE(ArtifactsInput!$N$22+1,10,12,14,16,18,20)*((0*(((0.15*B549*5))^0/1)+1*(((0.15*B549*5))^1/1)+2*(((0.15*B549*5))^2/2)+3*(((0.15*B549*5))^3/6)+4*(((0.15*B549*5))^4/24)+5*(((0.15*B549*5))^5/120))/((((0.15*B549*5))^0/1)+(((0.15*B549*5))^1/1)+(((0.15*B549*5))^2/2)+(((0.15*B549*5))^3/6)+(((0.15*B549*5))^4/24)+(((0.15*B549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527*(1-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527*(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527*(1-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527*(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27">
        <f>IF(C527,(H527*N527*IF(AND(Inputs!$B$39&lt;&gt;"pvp",Inputs!$B$44&gt;0),((Skills!G14*((R527-1)*IF(Skills!H14&gt;0,Skills!I14/Skills!H14,1)+IF(Skills!H14&gt;0,MIN(Skills!I14,MAX(0,MAX(0,Inputs!$B$44-B558)-((R527-1)*IF(Inputs!$B$39="pvp",15,MAX(0.1,Skills!D14-IF(Skills!E14=TRUE,Inputs!$B$32,0))))))/Skills!H14,1)))/Inputs!$B$44),G527*Q527))*IF(Inputs!$B$39="pvp",1,(1+(Inputs!$B$21+Skills!Q14+B554+(IF(ArtifactsInput!$M$33,CHOOSE(ArtifactsInput!$N$33+1,30,36,42,48,54,60),0))+(IF(AND(ArtifactsInput!$M$35,Inputs!$B$4&lt;&gt;"Chapter Hunt"),CHOOSE(ArtifactsInput!$N$35+1,15,18,21,24,27,30)*(1-EXP(-(0.2*B549)*5)),0)+IF(AND(ArtifactsInput!$M$22,Inputs!$B$4&lt;&gt;"Chapter Hunt"),CHOOSE(ArtifactsInput!$N$22+1,10,12,14,16,18,20)*((0*(((0.15*B549*5))^0/1)+1*(((0.15*B549*5))^1/1)+2*(((0.15*B549*5))^2/2)+3*(((0.15*B549*5))^3/6)+4*(((0.15*B549*5))^4/24)+5*(((0.15*B549*5))^5/120))/((((0.15*B549*5))^0/1)+(((0.15*B549*5))^1/1)+(((0.15*B549*5))^2/2)+(((0.15*B549*5))^3/6)+(((0.15*B549*5))^4/24)+(((0.15*B549*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28">
      <c r="A528">
        <f>Skills!A15</f>
        <v/>
      </c>
      <c r="B528">
        <f>Skills!B15</f>
        <v/>
      </c>
      <c r="C528">
        <f>Inputs!$B$3&gt;=110</f>
        <v/>
      </c>
      <c r="D528">
        <f>IF(Skills!C15=1,60+Inputs!$B$25+Inputs!$B$29,IF(Skills!C15=2,90+Inputs!$B$26+Inputs!$B$29,IF(Skills!C15=3,120+Inputs!$B$27+Inputs!$B$29,MAX(0,(Inputs!$B$3-100)*3)+Inputs!$B$28+Inputs!$B$29)))</f>
        <v/>
      </c>
      <c r="E528">
        <f>INDEX(FactorTable!$B$2:$Y$301, MATCH(ROUND(MIN(300,MAX(1,D528)),0), FactorTable!$A$2:$A$301,0), Skills!M15+1)</f>
        <v/>
      </c>
      <c r="F528">
        <f>IF(Skills!N15=TRUE,(Skills!L15/10)*(E528/1000),Skills!L15/10)+Skills!O15</f>
        <v/>
      </c>
      <c r="G528">
        <f>Calc!G15</f>
        <v/>
      </c>
      <c r="H528">
        <f>Calc!H15</f>
        <v/>
      </c>
      <c r="I528">
        <f>IF(Skills!AA15&lt;&gt;"",1+(Skills!AA15/10)*(U516/1000)/100,1)</f>
        <v/>
      </c>
      <c r="J528" t="inlineStr"/>
      <c r="K528" t="inlineStr"/>
      <c r="L528" t="inlineStr"/>
      <c r="M528" t="inlineStr"/>
      <c r="N528" t="inlineStr"/>
      <c r="O528">
        <f>(1-Summary!$B$11)*T528+Summary!$B$11*V528</f>
        <v/>
      </c>
      <c r="P528">
        <f>IF(B557=0,0,O528/B557)</f>
        <v/>
      </c>
      <c r="Q528">
        <f>IFERROR(1/IF(Inputs!$B$39="pvp",15,MAX(0.1,Skills!D15-IF(Skills!E15=TRUE,Inputs!$B$32,0))),0)</f>
        <v/>
      </c>
      <c r="R528">
        <f>IF(AND(Inputs!$B$39&lt;&gt;"pvp",Inputs!$B$44&gt;0),IF(Inputs!$B$44&lt;=0,0,(INT(Inputs!$B$44/IF(Inputs!$B$39="pvp",15,MAX(0.1,Skills!D15-IF(Skills!E15=TRUE,Inputs!$B$32,0))))+1)),0)</f>
        <v/>
      </c>
      <c r="S528">
        <f>IFERROR(O528/N528,0)</f>
        <v/>
      </c>
      <c r="T528" t="n">
        <v>0</v>
      </c>
      <c r="V528" t="n">
        <v>0</v>
      </c>
    </row>
    <row r="529">
      <c r="A529">
        <f>Skills!A16</f>
        <v/>
      </c>
      <c r="B529">
        <f>Skills!B16</f>
        <v/>
      </c>
      <c r="C529">
        <f>Inputs!$B$3&gt;=110</f>
        <v/>
      </c>
      <c r="D529">
        <f>IF(Skills!C16=1,60+Inputs!$B$25+Inputs!$B$29,IF(Skills!C16=2,90+Inputs!$B$26+Inputs!$B$29,IF(Skills!C16=3,120+Inputs!$B$27+Inputs!$B$29,MAX(0,(Inputs!$B$3-100)*3)+Inputs!$B$28+Inputs!$B$29)))</f>
        <v/>
      </c>
      <c r="E529">
        <f>INDEX(FactorTable!$B$2:$Y$301, MATCH(ROUND(MIN(300,MAX(1,D529)),0), FactorTable!$A$2:$A$301,0), Skills!M16+1)</f>
        <v/>
      </c>
      <c r="F529">
        <f>IF(Skills!N16=TRUE,(Skills!L16/10)*(E529/1000),Skills!L16/10)+Skills!O16</f>
        <v/>
      </c>
      <c r="G529">
        <f>Calc!G16</f>
        <v/>
      </c>
      <c r="H529">
        <f>Calc!H16</f>
        <v/>
      </c>
      <c r="I529">
        <f>IF(Skills!AA16&lt;&gt;"",1+(Skills!AA16/10)*(U516/1000)/100,1)</f>
        <v/>
      </c>
      <c r="J529" t="inlineStr"/>
      <c r="K529" t="inlineStr"/>
      <c r="L529" t="inlineStr"/>
      <c r="M529" t="inlineStr"/>
      <c r="N529" t="inlineStr"/>
      <c r="O529">
        <f>(1-Summary!$B$11)*T529+Summary!$B$11*V529</f>
        <v/>
      </c>
      <c r="P529">
        <f>IF(B557=0,0,O529/B557)</f>
        <v/>
      </c>
      <c r="Q529">
        <f>IFERROR(1/IF(Inputs!$B$39="pvp",15,MAX(0.1,Skills!D16-IF(Skills!E16=TRUE,Inputs!$B$32,0))),0)</f>
        <v/>
      </c>
      <c r="R529">
        <f>IF(AND(Inputs!$B$39&lt;&gt;"pvp",Inputs!$B$44&gt;0),IF(Inputs!$B$44&lt;=0,0,(INT(Inputs!$B$44/IF(Inputs!$B$39="pvp",15,MAX(0.1,Skills!D16-IF(Skills!E16=TRUE,Inputs!$B$32,0))))+1)),0)</f>
        <v/>
      </c>
      <c r="S529">
        <f>IFERROR(O529/N529,0)</f>
        <v/>
      </c>
      <c r="T529" t="n">
        <v>0</v>
      </c>
      <c r="V529" t="n">
        <v>0</v>
      </c>
    </row>
    <row r="530">
      <c r="A530">
        <f>Skills!A17</f>
        <v/>
      </c>
      <c r="B530">
        <f>Skills!B17</f>
        <v/>
      </c>
      <c r="C530">
        <f>Inputs!$B$3&gt;=115</f>
        <v/>
      </c>
      <c r="D530">
        <f>IF(Skills!C17=1,60+Inputs!$B$25+Inputs!$B$29,IF(Skills!C17=2,90+Inputs!$B$26+Inputs!$B$29,IF(Skills!C17=3,120+Inputs!$B$27+Inputs!$B$29,MAX(0,(Inputs!$B$3-100)*3)+Inputs!$B$28+Inputs!$B$29)))</f>
        <v/>
      </c>
      <c r="E530">
        <f>INDEX(FactorTable!$B$2:$Y$301, MATCH(ROUND(MIN(300,MAX(1,D530)),0), FactorTable!$A$2:$A$301,0), Skills!M17+1)</f>
        <v/>
      </c>
      <c r="F530">
        <f>IF(Skills!N17=TRUE,(Skills!L17/10)*(E530/1000),Skills!L17/10)+Skills!O17</f>
        <v/>
      </c>
      <c r="G530">
        <f>Calc!G17</f>
        <v/>
      </c>
      <c r="H530">
        <f>Calc!H17</f>
        <v/>
      </c>
      <c r="I530">
        <f>IF(Skills!AA17&lt;&gt;"",1+(Skills!AA17/10)*(U516/1000)/100,1)</f>
        <v/>
      </c>
      <c r="J530">
        <f>((Inputs!$B$6*(1+Inputs!$B$7/100))+(((Inputs!$B$12*(1+Inputs!$B$13/100))-(Inputs!$B$12*(1+Inputs!$B$13/100)))+0.25*(Inputs!$B$14-Inputs!$B$14))*(1+Inputs!$B$7/100))*(F530/100)</f>
        <v/>
      </c>
      <c r="K530">
        <f>J530*(1+((Inputs!$B$12*(1+Inputs!$B$13/100))*0.01+Inputs!$B$14*0.0025)/100)*(1+Inputs!$B$15/100)*(1+Inputs!$B$16/100)*(5000/(6000+Inputs!$B$43*(1-(100*(1-(1-(Inputs!$B$19+0)/100)*(1-CHOOSE(ArtifactsInput!$N$40+1,5,6,7,8,9,10)/100)^(ArtifactsInput!$M$40-ArtifactsInput!$M$40)))/100)))*(1+(Inputs!$B$24+((C543=TRUE)*(F543-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536=TRUE)*(F536-Calc!F23))+(((IF(AND(ArtifactsInput!$M$42,((Inputs!$B$9+((C538=TRUE)*(F538-Calc!F25))+B553+(ArtifactsInput!$M$24-ArtifactsInput!$M$24)*CHOOSE(ArtifactsInput!$N$24+1,10,12,14,16,18,20)+IF(ArtifactsInput!$M$10,CHOOSE(ArtifactsInput!$N$10+1,15,18,21,24,27,30)*(IF(Inputs!$B$39="pvp",MIN(15,15)/15,IF(AND(Inputs!$B$39&lt;&gt;"pvp",Inputs!$B$44&gt;0),MIN(15,Inputs!$B$44)/(Inputs!$B$44),0))),0)))&gt;=100),MIN(100,((Inputs!$B$9+((C538=TRUE)*(F538-Calc!F25))+B553+(ArtifactsInput!$M$24-ArtifactsInput!$M$24)*CHOOSE(ArtifactsInput!$N$24+1,10,12,14,16,18,20)+IF(ArtifactsInput!$M$10,CHOOSE(ArtifactsInput!$N$10+1,15,18,21,24,27,30)*(IF(Inputs!$B$39="pvp",MIN(15,15)/15,IF(AND(Inputs!$B$39&lt;&gt;"pvp",Inputs!$B$44&gt;0),MIN(15,Inputs!$B$44)/(Inputs!$B$44),0))),0)))-100),0))*CHOOSE(ArtifactsInput!$N$42+1,0.6,0.72,0.84,0.96,1.08,1.2))),Inputs!$B$18+((C542=TRUE)*(F542-Calc!F29))+(IF(AND(ArtifactsInput!$M$42,((Inputs!$B$9+((C538=TRUE)*(F538-Calc!F25))+B553+(ArtifactsInput!$M$24-ArtifactsInput!$M$24)*CHOOSE(ArtifactsInput!$N$24+1,10,12,14,16,18,20)+IF(ArtifactsInput!$M$10,CHOOSE(ArtifactsInput!$N$10+1,15,18,21,24,27,30)*(IF(Inputs!$B$39="pvp",MIN(15,15)/15,IF(AND(Inputs!$B$39&lt;&gt;"pvp",Inputs!$B$44&gt;0),MIN(15,Inputs!$B$44)/(Inputs!$B$44),0))),0)))&gt;=100),CHOOSE(ArtifactsInput!$N$42+1,40,48,56,64,72,80),0))))/100)*(((1+(((C534=TRUE)*F534*IF(AND(Inputs!$B$39&lt;&gt;"pvp",Inputs!$B$44&gt;0),(((R534-1)*(Skills!Y21*(1+Inputs!$B$34/100))+MIN((Skills!Y21*(1+Inputs!$B$34/100)),MAX(0,Inputs!$B$44-((R534-1)*Skills!D21))))/Inputs!$B$44),IF(Inputs!$B$39="pvp",MIN((Skills!Y21*(1+Inputs!$B$34/100)),15)/15,(Skills!Y21*(1+Inputs!$B$34/100))/Skills!D21)))+((C541=TRUE)*(F541-Calc!F28))+((C531=TRUE)*(F531-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528=TRUE)*F528*IF(AND(Inputs!$B$39&lt;&gt;"pvp",Inputs!$B$44&gt;0),(((R528-1)*(Skills!Y15*(1+Inputs!$B$34/100))+MIN((Skills!Y15*(1+Inputs!$B$34/100)),MAX(0,Inputs!$B$44-((R528-1)*Skills!D15))))/Inputs!$B$44),IF(Inputs!$B$39="pvp",MIN((Skills!Y15*(1+Inputs!$B$34/100)),15)/15,(Skills!Y15*(1+Inputs!$B$34/100))/Skills!D15)))/100)*(1+((C519=TRUE)*F519*B547)/100))*B555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530)</f>
        <v/>
      </c>
      <c r="L530">
        <f>K530*(MIN(Inputs!$B$22+((C537=TRUE)*(F537-Calc!F24)),((Inputs!$B$23+1)+0+(IF(ArtifactsInput!$M$15,CHOOSE(ArtifactsInput!$N$15+1,25,30,35,40,45,50)/100*(Inputs!$B$11-Inputs!$B$11),0))))/100+((Inputs!$B$23+1)+0+(IF(ArtifactsInput!$M$15,CHOOSE(ArtifactsInput!$N$15+1,25,30,35,40,45,50)/100*(Inputs!$B$11-Inputs!$B$11),0)))/100)/2</f>
        <v/>
      </c>
      <c r="M530">
        <f>L530*(1+(Inputs!$B$10+((C539=TRUE)*(F539-Calc!F26))+B556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530">
        <f>L530*(1-MIN((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530*(MIN((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30">
        <f>(1-Summary!$B$11)*T530+Summary!$B$11*V530</f>
        <v/>
      </c>
      <c r="P530">
        <f>IF(B557=0,0,O530/B557)</f>
        <v/>
      </c>
      <c r="Q530" t="n">
        <v>0</v>
      </c>
      <c r="R530" t="n">
        <v>0</v>
      </c>
      <c r="S530">
        <f>IFERROR(O530/N530,0)</f>
        <v/>
      </c>
      <c r="T530">
        <f>IF(C530,(Inputs!$B$38*0.2*N530)*IF(Inputs!$B$39="pvp",1,1+(Inputs!$B$20+((C540=TRUE)*(F540-Calc!F27))+Skills!P17+B554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Hunt"),CHOOSE(ArtifactsInput!$N$35+1,15,18,21,24,27,30)*(1-EXP(-(0.2*B549)*5)),0)+IF(AND(ArtifactsInput!$M$22,Inputs!$B$4&lt;&gt;"Chapter Hunt"),CHOOSE(ArtifactsInput!$N$22+1,10,12,14,16,18,20)*((0*(((0.15*B549*5))^0/1)+1*(((0.15*B549*5))^1/1)+2*(((0.15*B549*5))^2/2)+3*(((0.15*B549*5))^3/6)+4*(((0.15*B549*5))^4/24)+5*(((0.15*B549*5))^5/120))/((((0.15*B549*5))^0/1)+(((0.15*B549*5))^1/1)+(((0.15*B549*5))^2/2)+(((0.15*B549*5))^3/6)+(((0.15*B549*5))^4/24)+(((0.15*B549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530*(1-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530*(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530*(1-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530*(MIN(100,(Inputs!$B$9+((C538=TRUE)*(F538-Calc!F25))+B553+(ArtifactsInput!$M$24-ArtifactsInput!$M$24)*CHOOSE(ArtifactsInput!$N$24+1,10,12,14,16,18,20)+(IF(AND(ArtifactsInput!$M$42,((Inputs!$B$9+((C538=TRUE)*(F538-Calc!F25))+B553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30">
        <f>IF(C530,(Inputs!$B$38*0.2*N530)*IF(Inputs!$B$39="pvp",1,(1+(Inputs!$B$21+Skills!Q17+B554+(IF(ArtifactsInput!$M$33,CHOOSE(ArtifactsInput!$N$33+1,30,36,42,48,54,60),0))+(IF(AND(ArtifactsInput!$M$35,Inputs!$B$4&lt;&gt;"Chapter Hunt"),CHOOSE(ArtifactsInput!$N$35+1,15,18,21,24,27,30)*(1-EXP(-(0.2*B549)*5)),0)+IF(AND(ArtifactsInput!$M$22,Inputs!$B$4&lt;&gt;"Chapter Hunt"),CHOOSE(ArtifactsInput!$N$22+1,10,12,14,16,18,20)*((0*(((0.15*B549*5))^0/1)+1*(((0.15*B549*5))^1/1)+2*(((0.15*B549*5))^2/2)+3*(((0.15*B549*5))^3/6)+4*(((0.15*B549*5))^4/24)+5*(((0.15*B549*5))^5/120))/((((0.15*B549*5))^0/1)+(((0.15*B549*5))^1/1)+(((0.15*B549*5))^2/2)+(((0.15*B549*5))^3/6)+(((0.15*B549*5))^4/24)+(((0.15*B549*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31">
      <c r="A531">
        <f>Skills!A18</f>
        <v/>
      </c>
      <c r="B531">
        <f>Skills!B18</f>
        <v/>
      </c>
      <c r="C531">
        <f>Inputs!$B$3&gt;=115</f>
        <v/>
      </c>
      <c r="D531">
        <f>IF(Skills!C18=1,60+Inputs!$B$25+Inputs!$B$29,IF(Skills!C18=2,90+Inputs!$B$26+Inputs!$B$29,IF(Skills!C18=3,120+Inputs!$B$27+Inputs!$B$29,MAX(0,(Inputs!$B$3-100)*3)+Inputs!$B$28+Inputs!$B$29)))</f>
        <v/>
      </c>
      <c r="E531">
        <f>INDEX(FactorTable!$B$2:$Y$301, MATCH(ROUND(MIN(300,MAX(1,D531)),0), FactorTable!$A$2:$A$301,0), Skills!M18+1)</f>
        <v/>
      </c>
      <c r="F531">
        <f>IF(Skills!N18=TRUE,(Skills!L18/10)*(E531/1000),Skills!L18/10)+Skills!O18</f>
        <v/>
      </c>
      <c r="G531">
        <f>Calc!G18</f>
        <v/>
      </c>
      <c r="H531">
        <f>Calc!H18</f>
        <v/>
      </c>
      <c r="I531">
        <f>IF(Skills!AA18&lt;&gt;"",1+(Skills!AA18/10)*(U516/1000)/100,1)</f>
        <v/>
      </c>
      <c r="J531" t="inlineStr"/>
      <c r="K531" t="inlineStr"/>
      <c r="L531" t="inlineStr"/>
      <c r="M531" t="inlineStr"/>
      <c r="N531" t="inlineStr"/>
      <c r="O531">
        <f>(1-Summary!$B$11)*T531+Summary!$B$11*V531</f>
        <v/>
      </c>
      <c r="P531">
        <f>IF(B557=0,0,O531/B557)</f>
        <v/>
      </c>
      <c r="Q531" t="n">
        <v>0</v>
      </c>
      <c r="R531" t="n">
        <v>0</v>
      </c>
      <c r="S531">
        <f>IFERROR(O531/N531,0)</f>
        <v/>
      </c>
      <c r="T531" t="n">
        <v>0</v>
      </c>
      <c r="V531" t="n">
        <v>0</v>
      </c>
    </row>
    <row r="532">
      <c r="A532">
        <f>Skills!A19</f>
        <v/>
      </c>
      <c r="B532">
        <f>Skills!B19</f>
        <v/>
      </c>
      <c r="C532">
        <f>TRUE</f>
        <v/>
      </c>
      <c r="D532">
        <f>IF(Skills!C19=1,60+Inputs!$B$25+Inputs!$B$29,IF(Skills!C19=2,90+Inputs!$B$26+Inputs!$B$29,IF(Skills!C19=3,120+Inputs!$B$27+Inputs!$B$29,MAX(0,(Inputs!$B$3-100)*3)+Inputs!$B$28+Inputs!$B$29)))</f>
        <v/>
      </c>
      <c r="E532">
        <f>INDEX(FactorTable!$B$2:$Y$301, MATCH(ROUND(MIN(300,MAX(1,D532)),0), FactorTable!$A$2:$A$301,0), Skills!M19+1)</f>
        <v/>
      </c>
      <c r="F532">
        <f>IF(Skills!N19=TRUE,(Skills!L19/10)*(E532/1000),Skills!L19/10)+Skills!O19</f>
        <v/>
      </c>
      <c r="G532">
        <f>Calc!G19</f>
        <v/>
      </c>
      <c r="H532">
        <f>Calc!H19</f>
        <v/>
      </c>
      <c r="I532">
        <f>IF(Skills!AA19&lt;&gt;"",1+(Skills!AA19/10)*(U516/1000)/100,1)</f>
        <v/>
      </c>
      <c r="J532" t="inlineStr"/>
      <c r="K532" t="inlineStr"/>
      <c r="L532" t="inlineStr"/>
      <c r="M532" t="inlineStr"/>
      <c r="N532" t="inlineStr"/>
      <c r="O532">
        <f>(1-Summary!$B$11)*T532+Summary!$B$11*V532</f>
        <v/>
      </c>
      <c r="P532">
        <f>IF(B557=0,0,O532/B557)</f>
        <v/>
      </c>
      <c r="Q532">
        <f>IFERROR(1/IF(Inputs!$B$39="pvp",15,MAX(0.1,Skills!D19-IF(Skills!E19=TRUE,Inputs!$B$32,0))),0)</f>
        <v/>
      </c>
      <c r="R532">
        <f>IF(AND(Inputs!$B$39&lt;&gt;"pvp",Inputs!$B$44&gt;0),IF(Inputs!$B$44&lt;=0,0,(INT(Inputs!$B$44/IF(Inputs!$B$39="pvp",15,MAX(0.1,Skills!D19-IF(Skills!E19=TRUE,Inputs!$B$32,0))))+1)),0)</f>
        <v/>
      </c>
      <c r="S532">
        <f>IFERROR(O532/N532,0)</f>
        <v/>
      </c>
      <c r="T532" t="n">
        <v>0</v>
      </c>
      <c r="V532" t="n">
        <v>0</v>
      </c>
    </row>
    <row r="533">
      <c r="A533">
        <f>Skills!A20</f>
        <v/>
      </c>
      <c r="B533">
        <f>Skills!B20</f>
        <v/>
      </c>
      <c r="C533">
        <f>Inputs!$B$3&gt;=15</f>
        <v/>
      </c>
      <c r="D533">
        <f>IF(Skills!C20=1,60+Inputs!$B$25+Inputs!$B$29,IF(Skills!C20=2,90+Inputs!$B$26+Inputs!$B$29,IF(Skills!C20=3,120+Inputs!$B$27+Inputs!$B$29,MAX(0,(Inputs!$B$3-100)*3)+Inputs!$B$28+Inputs!$B$29)))</f>
        <v/>
      </c>
      <c r="E533">
        <f>INDEX(FactorTable!$B$2:$Y$301, MATCH(ROUND(MIN(300,MAX(1,D533)),0), FactorTable!$A$2:$A$301,0), Skills!M20+1)</f>
        <v/>
      </c>
      <c r="F533">
        <f>IF(Skills!N20=TRUE,(Skills!L20/10)*(E533/1000),Skills!L20/10)+Skills!O20</f>
        <v/>
      </c>
      <c r="G533">
        <f>Calc!G20</f>
        <v/>
      </c>
      <c r="H533">
        <f>Calc!H20</f>
        <v/>
      </c>
      <c r="I533">
        <f>IF(Skills!AA20&lt;&gt;"",1+(Skills!AA20/10)*(U516/1000)/100,1)</f>
        <v/>
      </c>
      <c r="J533" t="inlineStr"/>
      <c r="K533" t="inlineStr"/>
      <c r="L533" t="inlineStr"/>
      <c r="M533" t="inlineStr"/>
      <c r="N533" t="inlineStr"/>
      <c r="O533">
        <f>(1-Summary!$B$11)*T533+Summary!$B$11*V533</f>
        <v/>
      </c>
      <c r="P533">
        <f>IF(B557=0,0,O533/B557)</f>
        <v/>
      </c>
      <c r="Q533">
        <f>IFERROR(1/IF(Inputs!$B$39="pvp",15,MAX(0.1,Skills!D20-IF(Skills!E20=TRUE,Inputs!$B$32,0))),0)</f>
        <v/>
      </c>
      <c r="R533">
        <f>IF(AND(Inputs!$B$39&lt;&gt;"pvp",Inputs!$B$44&gt;0),IF(Inputs!$B$44&lt;=0,0,(INT(Inputs!$B$44/IF(Inputs!$B$39="pvp",15,MAX(0.1,Skills!D20-IF(Skills!E20=TRUE,Inputs!$B$32,0))))+1)),0)</f>
        <v/>
      </c>
      <c r="S533">
        <f>IFERROR(O533/N533,0)</f>
        <v/>
      </c>
      <c r="T533" t="n">
        <v>0</v>
      </c>
      <c r="V533" t="n">
        <v>0</v>
      </c>
    </row>
    <row r="534">
      <c r="A534">
        <f>Skills!A21</f>
        <v/>
      </c>
      <c r="B534">
        <f>Skills!B21</f>
        <v/>
      </c>
      <c r="C534">
        <f>Inputs!$B$3&gt;=15</f>
        <v/>
      </c>
      <c r="D534">
        <f>IF(Skills!C21=1,60+Inputs!$B$25+Inputs!$B$29,IF(Skills!C21=2,90+Inputs!$B$26+Inputs!$B$29,IF(Skills!C21=3,120+Inputs!$B$27+Inputs!$B$29,MAX(0,(Inputs!$B$3-100)*3)+Inputs!$B$28+Inputs!$B$29)))</f>
        <v/>
      </c>
      <c r="E534">
        <f>INDEX(FactorTable!$B$2:$Y$301, MATCH(ROUND(MIN(300,MAX(1,D534)),0), FactorTable!$A$2:$A$301,0), Skills!M21+1)</f>
        <v/>
      </c>
      <c r="F534">
        <f>IF(Skills!N21=TRUE,(Skills!L21/10)*(E534/1000),Skills!L21/10)+Skills!O21</f>
        <v/>
      </c>
      <c r="G534">
        <f>Calc!G21</f>
        <v/>
      </c>
      <c r="H534">
        <f>Calc!H21</f>
        <v/>
      </c>
      <c r="I534">
        <f>IF(Skills!AA21&lt;&gt;"",1+(Skills!AA21/10)*(U516/1000)/100,1)</f>
        <v/>
      </c>
      <c r="J534" t="inlineStr"/>
      <c r="K534" t="inlineStr"/>
      <c r="L534" t="inlineStr"/>
      <c r="M534" t="inlineStr"/>
      <c r="N534" t="inlineStr"/>
      <c r="O534">
        <f>(1-Summary!$B$11)*T534+Summary!$B$11*V534</f>
        <v/>
      </c>
      <c r="P534">
        <f>IF(B557=0,0,O534/B557)</f>
        <v/>
      </c>
      <c r="Q534">
        <f>IFERROR(1/IF(Inputs!$B$39="pvp",15,MAX(0.1,Skills!D21-IF(Skills!E21=TRUE,Inputs!$B$32,0))),0)</f>
        <v/>
      </c>
      <c r="R534">
        <f>IF(AND(Inputs!$B$39&lt;&gt;"pvp",Inputs!$B$44&gt;0),IF(Inputs!$B$44&lt;=0,0,(INT(Inputs!$B$44/IF(Inputs!$B$39="pvp",15,MAX(0.1,Skills!D21-IF(Skills!E21=TRUE,Inputs!$B$32,0))))+1)),0)</f>
        <v/>
      </c>
      <c r="S534">
        <f>IFERROR(O534/N534,0)</f>
        <v/>
      </c>
      <c r="T534" t="n">
        <v>0</v>
      </c>
      <c r="V534" t="n">
        <v>0</v>
      </c>
    </row>
    <row r="535">
      <c r="A535">
        <f>Skills!A22</f>
        <v/>
      </c>
      <c r="B535">
        <f>Skills!B22</f>
        <v/>
      </c>
      <c r="C535">
        <f>Inputs!$B$3&gt;=33</f>
        <v/>
      </c>
      <c r="D535">
        <f>IF(Skills!C22=1,60+Inputs!$B$25+Inputs!$B$29,IF(Skills!C22=2,90+Inputs!$B$26+Inputs!$B$29,IF(Skills!C22=3,120+Inputs!$B$27+Inputs!$B$29,MAX(0,(Inputs!$B$3-100)*3)+Inputs!$B$28+Inputs!$B$29)))</f>
        <v/>
      </c>
      <c r="E535">
        <f>INDEX(FactorTable!$B$2:$Y$301, MATCH(ROUND(MIN(300,MAX(1,D535)),0), FactorTable!$A$2:$A$301,0), Skills!M22+1)</f>
        <v/>
      </c>
      <c r="F535">
        <f>IF(Skills!N22=TRUE,(Skills!L22/10)*(E535/1000),Skills!L22/10)+Skills!O22</f>
        <v/>
      </c>
      <c r="G535">
        <f>Calc!G22</f>
        <v/>
      </c>
      <c r="H535">
        <f>Calc!H22</f>
        <v/>
      </c>
      <c r="I535">
        <f>IF(Skills!AA22&lt;&gt;"",1+(Skills!AA22/10)*(U516/1000)/100,1)</f>
        <v/>
      </c>
      <c r="J535" t="inlineStr"/>
      <c r="K535" t="inlineStr"/>
      <c r="L535" t="inlineStr"/>
      <c r="M535" t="inlineStr"/>
      <c r="N535" t="inlineStr"/>
      <c r="O535">
        <f>(1-Summary!$B$11)*T535+Summary!$B$11*V535</f>
        <v/>
      </c>
      <c r="P535">
        <f>IF(B557=0,0,O535/B557)</f>
        <v/>
      </c>
      <c r="Q535" t="n">
        <v>0</v>
      </c>
      <c r="R535" t="n">
        <v>0</v>
      </c>
      <c r="S535">
        <f>IFERROR(O535/N535,0)</f>
        <v/>
      </c>
      <c r="T535" t="n">
        <v>0</v>
      </c>
      <c r="V535" t="n">
        <v>0</v>
      </c>
    </row>
    <row r="536">
      <c r="A536">
        <f>Skills!A23</f>
        <v/>
      </c>
      <c r="B536">
        <f>Skills!B23</f>
        <v/>
      </c>
      <c r="C536">
        <f>Inputs!$B$3&gt;=38</f>
        <v/>
      </c>
      <c r="D536">
        <f>IF(Skills!C23=1,60+Inputs!$B$25+Inputs!$B$29,IF(Skills!C23=2,90+Inputs!$B$26+Inputs!$B$29,IF(Skills!C23=3,120+Inputs!$B$27+Inputs!$B$29,MAX(0,(Inputs!$B$3-100)*3)+Inputs!$B$28+Inputs!$B$29)))</f>
        <v/>
      </c>
      <c r="E536">
        <f>INDEX(FactorTable!$B$2:$Y$301, MATCH(ROUND(MIN(300,MAX(1,D536)),0), FactorTable!$A$2:$A$301,0), Skills!M23+1)</f>
        <v/>
      </c>
      <c r="F536">
        <f>IF(Skills!N23=TRUE,(Skills!L23/10)*(E536/1000),Skills!L23/10)+Skills!O23</f>
        <v/>
      </c>
      <c r="G536">
        <f>Calc!G23</f>
        <v/>
      </c>
      <c r="H536">
        <f>Calc!H23</f>
        <v/>
      </c>
      <c r="I536">
        <f>IF(Skills!AA23&lt;&gt;"",1+(Skills!AA23/10)*(U516/1000)/100,1)</f>
        <v/>
      </c>
      <c r="J536" t="inlineStr"/>
      <c r="K536" t="inlineStr"/>
      <c r="L536" t="inlineStr"/>
      <c r="M536" t="inlineStr"/>
      <c r="N536" t="inlineStr"/>
      <c r="O536">
        <f>(1-Summary!$B$11)*T536+Summary!$B$11*V536</f>
        <v/>
      </c>
      <c r="P536">
        <f>IF(B557=0,0,O536/B557)</f>
        <v/>
      </c>
      <c r="Q536" t="n">
        <v>0</v>
      </c>
      <c r="R536" t="n">
        <v>0</v>
      </c>
      <c r="S536">
        <f>IFERROR(O536/N536,0)</f>
        <v/>
      </c>
      <c r="T536" t="n">
        <v>0</v>
      </c>
      <c r="V536" t="n">
        <v>0</v>
      </c>
    </row>
    <row r="537">
      <c r="A537">
        <f>Skills!A24</f>
        <v/>
      </c>
      <c r="B537">
        <f>Skills!B24</f>
        <v/>
      </c>
      <c r="C537">
        <f>Inputs!$B$3&gt;=40</f>
        <v/>
      </c>
      <c r="D537">
        <f>IF(Skills!C24=1,60+Inputs!$B$25+Inputs!$B$29,IF(Skills!C24=2,90+Inputs!$B$26+Inputs!$B$29,IF(Skills!C24=3,120+Inputs!$B$27+Inputs!$B$29,MAX(0,(Inputs!$B$3-100)*3)+Inputs!$B$28+Inputs!$B$29)))</f>
        <v/>
      </c>
      <c r="E537">
        <f>INDEX(FactorTable!$B$2:$Y$301, MATCH(ROUND(MIN(300,MAX(1,D537)),0), FactorTable!$A$2:$A$301,0), Skills!M24+1)</f>
        <v/>
      </c>
      <c r="F537">
        <f>IF(Skills!N24=TRUE,(Skills!L24/10)*(E537/1000),Skills!L24/10)+Skills!O24</f>
        <v/>
      </c>
      <c r="G537">
        <f>Calc!G24</f>
        <v/>
      </c>
      <c r="H537">
        <f>Calc!H24</f>
        <v/>
      </c>
      <c r="I537">
        <f>IF(Skills!AA24&lt;&gt;"",1+(Skills!AA24/10)*(U516/1000)/100,1)</f>
        <v/>
      </c>
      <c r="J537" t="inlineStr"/>
      <c r="K537" t="inlineStr"/>
      <c r="L537" t="inlineStr"/>
      <c r="M537" t="inlineStr"/>
      <c r="N537" t="inlineStr"/>
      <c r="O537">
        <f>(1-Summary!$B$11)*T537+Summary!$B$11*V537</f>
        <v/>
      </c>
      <c r="P537">
        <f>IF(B557=0,0,O537/B557)</f>
        <v/>
      </c>
      <c r="Q537" t="n">
        <v>0</v>
      </c>
      <c r="R537" t="n">
        <v>0</v>
      </c>
      <c r="S537">
        <f>IFERROR(O537/N537,0)</f>
        <v/>
      </c>
      <c r="T537" t="n">
        <v>0</v>
      </c>
      <c r="V537" t="n">
        <v>0</v>
      </c>
    </row>
    <row r="538">
      <c r="A538">
        <f>Skills!A25</f>
        <v/>
      </c>
      <c r="B538">
        <f>Skills!B25</f>
        <v/>
      </c>
      <c r="C538">
        <f>Inputs!$B$3&gt;=45</f>
        <v/>
      </c>
      <c r="D538">
        <f>IF(Skills!C25=1,60+Inputs!$B$25+Inputs!$B$29,IF(Skills!C25=2,90+Inputs!$B$26+Inputs!$B$29,IF(Skills!C25=3,120+Inputs!$B$27+Inputs!$B$29,MAX(0,(Inputs!$B$3-100)*3)+Inputs!$B$28+Inputs!$B$29)))</f>
        <v/>
      </c>
      <c r="E538">
        <f>INDEX(FactorTable!$B$2:$Y$301, MATCH(ROUND(MIN(300,MAX(1,D538)),0), FactorTable!$A$2:$A$301,0), Skills!M25+1)</f>
        <v/>
      </c>
      <c r="F538">
        <f>IF(Skills!N25=TRUE,(Skills!L25/10)*(E538/1000),Skills!L25/10)+Skills!O25</f>
        <v/>
      </c>
      <c r="G538">
        <f>Calc!G25</f>
        <v/>
      </c>
      <c r="H538">
        <f>Calc!H25</f>
        <v/>
      </c>
      <c r="I538">
        <f>IF(Skills!AA25&lt;&gt;"",1+(Skills!AA25/10)*(U516/1000)/100,1)</f>
        <v/>
      </c>
      <c r="J538" t="inlineStr"/>
      <c r="K538" t="inlineStr"/>
      <c r="L538" t="inlineStr"/>
      <c r="M538" t="inlineStr"/>
      <c r="N538" t="inlineStr"/>
      <c r="O538">
        <f>(1-Summary!$B$11)*T538+Summary!$B$11*V538</f>
        <v/>
      </c>
      <c r="P538">
        <f>IF(B557=0,0,O538/B557)</f>
        <v/>
      </c>
      <c r="Q538" t="n">
        <v>0</v>
      </c>
      <c r="R538" t="n">
        <v>0</v>
      </c>
      <c r="S538">
        <f>IFERROR(O538/N538,0)</f>
        <v/>
      </c>
      <c r="T538" t="n">
        <v>0</v>
      </c>
      <c r="V538" t="n">
        <v>0</v>
      </c>
    </row>
    <row r="539">
      <c r="A539">
        <f>Skills!A26</f>
        <v/>
      </c>
      <c r="B539">
        <f>Skills!B26</f>
        <v/>
      </c>
      <c r="C539">
        <f>Inputs!$B$3&gt;=45</f>
        <v/>
      </c>
      <c r="D539">
        <f>IF(Skills!C26=1,60+Inputs!$B$25+Inputs!$B$29,IF(Skills!C26=2,90+Inputs!$B$26+Inputs!$B$29,IF(Skills!C26=3,120+Inputs!$B$27+Inputs!$B$29,MAX(0,(Inputs!$B$3-100)*3)+Inputs!$B$28+Inputs!$B$29)))</f>
        <v/>
      </c>
      <c r="E539">
        <f>INDEX(FactorTable!$B$2:$Y$301, MATCH(ROUND(MIN(300,MAX(1,D539)),0), FactorTable!$A$2:$A$301,0), Skills!M26+1)</f>
        <v/>
      </c>
      <c r="F539">
        <f>IF(Skills!N26=TRUE,(Skills!L26/10)*(E539/1000),Skills!L26/10)+Skills!O26</f>
        <v/>
      </c>
      <c r="G539">
        <f>Calc!G26</f>
        <v/>
      </c>
      <c r="H539">
        <f>Calc!H26</f>
        <v/>
      </c>
      <c r="I539">
        <f>IF(Skills!AA26&lt;&gt;"",1+(Skills!AA26/10)*(U516/1000)/100,1)</f>
        <v/>
      </c>
      <c r="J539" t="inlineStr"/>
      <c r="K539" t="inlineStr"/>
      <c r="L539" t="inlineStr"/>
      <c r="M539" t="inlineStr"/>
      <c r="N539" t="inlineStr"/>
      <c r="O539">
        <f>(1-Summary!$B$11)*T539+Summary!$B$11*V539</f>
        <v/>
      </c>
      <c r="P539">
        <f>IF(B557=0,0,O539/B557)</f>
        <v/>
      </c>
      <c r="Q539" t="n">
        <v>0</v>
      </c>
      <c r="R539" t="n">
        <v>0</v>
      </c>
      <c r="S539">
        <f>IFERROR(O539/N539,0)</f>
        <v/>
      </c>
      <c r="T539" t="n">
        <v>0</v>
      </c>
      <c r="V539" t="n">
        <v>0</v>
      </c>
    </row>
    <row r="540">
      <c r="A540">
        <f>Skills!A27</f>
        <v/>
      </c>
      <c r="B540">
        <f>Skills!B27</f>
        <v/>
      </c>
      <c r="C540">
        <f>Inputs!$B$3&gt;=72</f>
        <v/>
      </c>
      <c r="D540">
        <f>IF(Skills!C27=1,60+Inputs!$B$25+Inputs!$B$29,IF(Skills!C27=2,90+Inputs!$B$26+Inputs!$B$29,IF(Skills!C27=3,120+Inputs!$B$27+Inputs!$B$29,MAX(0,(Inputs!$B$3-100)*3)+Inputs!$B$28+Inputs!$B$29)))</f>
        <v/>
      </c>
      <c r="E540">
        <f>INDEX(FactorTable!$B$2:$Y$301, MATCH(ROUND(MIN(300,MAX(1,D540)),0), FactorTable!$A$2:$A$301,0), Skills!M27+1)</f>
        <v/>
      </c>
      <c r="F540">
        <f>IF(Skills!N27=TRUE,(Skills!L27/10)*(E540/1000),Skills!L27/10)+Skills!O27</f>
        <v/>
      </c>
      <c r="G540">
        <f>Calc!G27</f>
        <v/>
      </c>
      <c r="H540">
        <f>Calc!H27</f>
        <v/>
      </c>
      <c r="I540">
        <f>IF(Skills!AA27&lt;&gt;"",1+(Skills!AA27/10)*(U516/1000)/100,1)</f>
        <v/>
      </c>
      <c r="J540" t="inlineStr"/>
      <c r="K540" t="inlineStr"/>
      <c r="L540" t="inlineStr"/>
      <c r="M540" t="inlineStr"/>
      <c r="N540" t="inlineStr"/>
      <c r="O540">
        <f>(1-Summary!$B$11)*T540+Summary!$B$11*V540</f>
        <v/>
      </c>
      <c r="P540">
        <f>IF(B557=0,0,O540/B557)</f>
        <v/>
      </c>
      <c r="Q540" t="n">
        <v>0</v>
      </c>
      <c r="R540" t="n">
        <v>0</v>
      </c>
      <c r="S540">
        <f>IFERROR(O540/N540,0)</f>
        <v/>
      </c>
      <c r="T540" t="n">
        <v>0</v>
      </c>
      <c r="V540" t="n">
        <v>0</v>
      </c>
    </row>
    <row r="541">
      <c r="A541">
        <f>Skills!A28</f>
        <v/>
      </c>
      <c r="B541">
        <f>Skills!B28</f>
        <v/>
      </c>
      <c r="C541">
        <f>Inputs!$B$3&gt;=75</f>
        <v/>
      </c>
      <c r="D541">
        <f>IF(Skills!C28=1,60+Inputs!$B$25+Inputs!$B$29,IF(Skills!C28=2,90+Inputs!$B$26+Inputs!$B$29,IF(Skills!C28=3,120+Inputs!$B$27+Inputs!$B$29,MAX(0,(Inputs!$B$3-100)*3)+Inputs!$B$28+Inputs!$B$29)))</f>
        <v/>
      </c>
      <c r="E541">
        <f>INDEX(FactorTable!$B$2:$Y$301, MATCH(ROUND(MIN(300,MAX(1,D541)),0), FactorTable!$A$2:$A$301,0), Skills!M28+1)</f>
        <v/>
      </c>
      <c r="F541">
        <f>IF(Skills!N28=TRUE,(Skills!L28/10)*(E541/1000),Skills!L28/10)+Skills!O28</f>
        <v/>
      </c>
      <c r="G541">
        <f>Calc!G28</f>
        <v/>
      </c>
      <c r="H541">
        <f>Calc!H28</f>
        <v/>
      </c>
      <c r="I541">
        <f>IF(Skills!AA28&lt;&gt;"",1+(Skills!AA28/10)*(U516/1000)/100,1)</f>
        <v/>
      </c>
      <c r="J541" t="inlineStr"/>
      <c r="K541" t="inlineStr"/>
      <c r="L541" t="inlineStr"/>
      <c r="M541" t="inlineStr"/>
      <c r="N541" t="inlineStr"/>
      <c r="O541">
        <f>(1-Summary!$B$11)*T541+Summary!$B$11*V541</f>
        <v/>
      </c>
      <c r="P541">
        <f>IF(B557=0,0,O541/B557)</f>
        <v/>
      </c>
      <c r="Q541" t="n">
        <v>0</v>
      </c>
      <c r="R541" t="n">
        <v>0</v>
      </c>
      <c r="S541">
        <f>IFERROR(O541/N541,0)</f>
        <v/>
      </c>
      <c r="T541" t="n">
        <v>0</v>
      </c>
      <c r="V541" t="n">
        <v>0</v>
      </c>
    </row>
    <row r="542">
      <c r="A542">
        <f>Skills!A29</f>
        <v/>
      </c>
      <c r="B542">
        <f>Skills!B29</f>
        <v/>
      </c>
      <c r="C542">
        <f>Inputs!$B$3&gt;=120</f>
        <v/>
      </c>
      <c r="D542">
        <f>IF(Skills!C29=1,60+Inputs!$B$25+Inputs!$B$29,IF(Skills!C29=2,90+Inputs!$B$26+Inputs!$B$29,IF(Skills!C29=3,120+Inputs!$B$27+Inputs!$B$29,MAX(0,(Inputs!$B$3-100)*3)+Inputs!$B$28+Inputs!$B$29)))</f>
        <v/>
      </c>
      <c r="E542">
        <f>INDEX(FactorTable!$B$2:$Y$301, MATCH(ROUND(MIN(300,MAX(1,D542)),0), FactorTable!$A$2:$A$301,0), Skills!M29+1)</f>
        <v/>
      </c>
      <c r="F542">
        <f>IF(Skills!N29=TRUE,(Skills!L29/10)*(E542/1000),Skills!L29/10)+Skills!O29</f>
        <v/>
      </c>
      <c r="G542">
        <f>Calc!G29</f>
        <v/>
      </c>
      <c r="H542">
        <f>Calc!H29</f>
        <v/>
      </c>
      <c r="I542">
        <f>IF(Skills!AA29&lt;&gt;"",1+(Skills!AA29/10)*(U516/1000)/100,1)</f>
        <v/>
      </c>
      <c r="J542" t="inlineStr"/>
      <c r="K542" t="inlineStr"/>
      <c r="L542" t="inlineStr"/>
      <c r="M542" t="inlineStr"/>
      <c r="N542" t="inlineStr"/>
      <c r="O542">
        <f>(1-Summary!$B$11)*T542+Summary!$B$11*V542</f>
        <v/>
      </c>
      <c r="P542">
        <f>IF(B557=0,0,O542/B557)</f>
        <v/>
      </c>
      <c r="Q542" t="n">
        <v>0</v>
      </c>
      <c r="R542" t="n">
        <v>0</v>
      </c>
      <c r="S542">
        <f>IFERROR(O542/N542,0)</f>
        <v/>
      </c>
      <c r="T542" t="n">
        <v>0</v>
      </c>
      <c r="V542" t="n">
        <v>0</v>
      </c>
    </row>
    <row r="543">
      <c r="A543">
        <f>Skills!A30</f>
        <v/>
      </c>
      <c r="B543">
        <f>Skills!B30</f>
        <v/>
      </c>
      <c r="C543">
        <f>Inputs!$B$3&gt;=125</f>
        <v/>
      </c>
      <c r="D543">
        <f>IF(Skills!C30=1,60+Inputs!$B$25+Inputs!$B$29,IF(Skills!C30=2,90+Inputs!$B$26+Inputs!$B$29,IF(Skills!C30=3,120+Inputs!$B$27+Inputs!$B$29,MAX(0,(Inputs!$B$3-100)*3)+Inputs!$B$28+Inputs!$B$29)))</f>
        <v/>
      </c>
      <c r="E543">
        <f>INDEX(FactorTable!$B$2:$Y$301, MATCH(ROUND(MIN(300,MAX(1,D543)),0), FactorTable!$A$2:$A$301,0), Skills!M30+1)</f>
        <v/>
      </c>
      <c r="F543">
        <f>IF(Skills!N30=TRUE,(Skills!L30/10)*(E543/1000),Skills!L30/10)+Skills!O30</f>
        <v/>
      </c>
      <c r="G543">
        <f>Calc!G30</f>
        <v/>
      </c>
      <c r="H543">
        <f>Calc!H30</f>
        <v/>
      </c>
      <c r="I543">
        <f>IF(Skills!AA30&lt;&gt;"",1+(Skills!AA30/10)*(U516/1000)/100,1)</f>
        <v/>
      </c>
      <c r="J543" t="inlineStr"/>
      <c r="K543" t="inlineStr"/>
      <c r="L543" t="inlineStr"/>
      <c r="M543" t="inlineStr"/>
      <c r="N543" t="inlineStr"/>
      <c r="O543">
        <f>(1-Summary!$B$11)*T543+Summary!$B$11*V543</f>
        <v/>
      </c>
      <c r="P543">
        <f>IF(B557=0,0,O543/B557)</f>
        <v/>
      </c>
      <c r="Q543" t="n">
        <v>0</v>
      </c>
      <c r="R543" t="n">
        <v>0</v>
      </c>
      <c r="S543">
        <f>IFERROR(O543/N543,0)</f>
        <v/>
      </c>
      <c r="T543" t="n">
        <v>0</v>
      </c>
      <c r="V543" t="n">
        <v>0</v>
      </c>
    </row>
    <row r="544">
      <c r="A544">
        <f>Skills!A31</f>
        <v/>
      </c>
      <c r="B544">
        <f>Skills!B31</f>
        <v/>
      </c>
      <c r="C544">
        <f>Inputs!$B$3&gt;=107</f>
        <v/>
      </c>
      <c r="D544">
        <f>IF(Skills!C31=1,60+Inputs!$B$25+Inputs!$B$29,IF(Skills!C31=2,90+Inputs!$B$26+Inputs!$B$29,IF(Skills!C31=3,120+Inputs!$B$27+Inputs!$B$29,MAX(0,(Inputs!$B$3-100)*3)+Inputs!$B$28+Inputs!$B$29)))</f>
        <v/>
      </c>
      <c r="E544">
        <f>INDEX(FactorTable!$B$2:$Y$301, MATCH(ROUND(MIN(300,MAX(1,D544)),0), FactorTable!$A$2:$A$301,0), Skills!M31+1)</f>
        <v/>
      </c>
      <c r="F544">
        <f>IF(Skills!N31=TRUE,(Skills!L31/10)*(E544/1000),Skills!L31/10)+Skills!O31</f>
        <v/>
      </c>
      <c r="G544">
        <f>Calc!G31</f>
        <v/>
      </c>
      <c r="H544">
        <f>Calc!H31</f>
        <v/>
      </c>
      <c r="I544">
        <f>IF(Skills!AA31&lt;&gt;"",1+(Skills!AA31/10)*(U516/1000)/100,1)</f>
        <v/>
      </c>
      <c r="J544" t="inlineStr"/>
      <c r="K544" t="inlineStr"/>
      <c r="L544" t="inlineStr"/>
      <c r="M544" t="inlineStr"/>
      <c r="N544" t="inlineStr"/>
      <c r="O544">
        <f>(1-Summary!$B$11)*T544+Summary!$B$11*V544</f>
        <v/>
      </c>
      <c r="P544">
        <f>IF(B557=0,0,O544/B557)</f>
        <v/>
      </c>
      <c r="Q544" t="n">
        <v>0</v>
      </c>
      <c r="R544" t="n">
        <v>0</v>
      </c>
      <c r="S544">
        <f>IFERROR(O544/N544,0)</f>
        <v/>
      </c>
      <c r="T544" t="n">
        <v>0</v>
      </c>
      <c r="V544" t="n">
        <v>0</v>
      </c>
    </row>
    <row r="546">
      <c r="A546" t="inlineStr">
        <is>
          <t>Actions Per Second (pre-Adrenalin)</t>
        </is>
      </c>
      <c r="B546">
        <f>1+MIN(150,150*(1-(1-(Inputs!$B$11+((C535=TRUE)*(F535-Calc!F22))+(ArtifactsInput!$M$15-ArtifactsInput!$M$15)*CHOOSE(ArtifactsInput!$N$15+1,8,9.6,11.2,12.8,14.4,16))/150)*(1-((C532=TRUE)*F532*IF(AND(Inputs!$B$39&lt;&gt;"pvp",Inputs!$B$44&gt;0),(((R532-1)*(Skills!Y19*(1+Inputs!$B$34/100))+MIN((Skills!Y19*(1+Inputs!$B$34/100)),MAX(0,Inputs!$B$44-((R532-1)*Skills!D19))))/Inputs!$B$44),IF(Inputs!$B$39="pvp",MIN((Skills!Y19*(1+Inputs!$B$34/100)),15)/15,(Skills!Y19*(1+Inputs!$B$34/100))/Skills!D19)))/150)))/100</f>
        <v/>
      </c>
    </row>
    <row r="547">
      <c r="A547" t="inlineStr">
        <is>
          <t>Alchemic Adrenaline Uptime</t>
        </is>
      </c>
      <c r="B547">
        <f>(Skills!Y6*(1+Inputs!$B$34/100))/((Skills!Y6*(1+Inputs!$B$34/100))+(5/B546))</f>
        <v/>
      </c>
    </row>
    <row r="548">
      <c r="A548" t="inlineStr">
        <is>
          <t>Attack Speed Buff Bonus %</t>
        </is>
      </c>
      <c r="B548">
        <f>((C532=TRUE)*F532*IF(AND(Inputs!$B$39&lt;&gt;"pvp",Inputs!$B$44&gt;0),(((R532-1)*(Skills!Y19*(1+Inputs!$B$34/100))+MIN((Skills!Y19*(1+Inputs!$B$34/100)),MAX(0,Inputs!$B$44-((R532-1)*Skills!D19))))/Inputs!$B$44),IF(Inputs!$B$39="pvp",MIN((Skills!Y19*(1+Inputs!$B$34/100)),15)/15,(Skills!Y19*(1+Inputs!$B$34/100))/Skills!D19)))+((C520=TRUE)*F520*B547)</f>
        <v/>
      </c>
    </row>
    <row r="549">
      <c r="A549" t="inlineStr">
        <is>
          <t>Actions Per Second (final)</t>
        </is>
      </c>
      <c r="B549">
        <f>1+MIN(150,150*(1-(1-(Inputs!$B$11+((C535=TRUE)*(F535-Calc!F22))+(ArtifactsInput!$M$15-ArtifactsInput!$M$15)*CHOOSE(ArtifactsInput!$N$15+1,8,9.6,11.2,12.8,14.4,16))/150)*(1-B548/150)))/100</f>
        <v/>
      </c>
    </row>
    <row r="550">
      <c r="A550" t="inlineStr">
        <is>
          <t>Skill + Buff Cast Rate</t>
        </is>
      </c>
      <c r="B550">
        <f>IF(AND(Inputs!$B$39&lt;&gt;"pvp",Inputs!$B$44&gt;0),SUMPRODUCT((Skills!E2:E31=TRUE)*(C515:C544=TRUE)*R515:R544*Skills!F2:F31)/Inputs!$B$44,SUMPRODUCT((Skills!E2:E31=TRUE)*(C515:C544=TRUE)*Q515:Q544*Skills!F2:F31))</f>
        <v/>
      </c>
    </row>
    <row r="551">
      <c r="A551" t="inlineStr">
        <is>
          <t>Showdown Casts Per Second</t>
        </is>
      </c>
      <c r="B551">
        <f>MAX(0,B549-B550)</f>
        <v/>
      </c>
    </row>
    <row r="552">
      <c r="A552" t="inlineStr">
        <is>
          <t>Average Buff Multiplier</t>
        </is>
      </c>
      <c r="B552">
        <f>(1+(((C534=TRUE)*F534*IF(AND(Inputs!$B$39&lt;&gt;"pvp",Inputs!$B$44&gt;0),(((R534-1)*(Skills!Y21*(1+Inputs!$B$34/100))+MIN((Skills!Y21*(1+Inputs!$B$34/100)),MAX(0,Inputs!$B$44-((R534-1)*Skills!D21))))/Inputs!$B$44),IF(Inputs!$B$39="pvp",MIN((Skills!Y21*(1+Inputs!$B$34/100)),15)/15,(Skills!Y21*(1+Inputs!$B$34/100))/Skills!D21)))+((C541=TRUE)*(F541-Calc!F28))+((C531=TRUE)*(F531-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528=TRUE)*F528*IF(AND(Inputs!$B$39&lt;&gt;"pvp",Inputs!$B$44&gt;0),(((R528-1)*(Skills!Y15*(1+Inputs!$B$34/100))+MIN((Skills!Y15*(1+Inputs!$B$34/100)),MAX(0,Inputs!$B$44-((R528-1)*Skills!D15))))/Inputs!$B$44),IF(Inputs!$B$39="pvp",MIN((Skills!Y15*(1+Inputs!$B$34/100)),15)/15,(Skills!Y15*(1+Inputs!$B$34/100))/Skills!D15)))/100)*(1+((C519=TRUE)*F519*B547)/100)</f>
        <v/>
      </c>
    </row>
    <row r="553">
      <c r="A553" t="inlineStr">
        <is>
          <t>Global Crit Rate Bonus %</t>
        </is>
      </c>
      <c r="B553">
        <f>IF(Inputs!$B$3&gt;=47,8,0)+((C533=TRUE)*F533*IF(AND(Inputs!$B$39&lt;&gt;"pvp",Inputs!$B$44&gt;0),(((R533-1)*(Skills!Y20*(1+Inputs!$B$34/100))+MIN((Skills!Y20*(1+Inputs!$B$34/100)),MAX(0,Inputs!$B$44-((R533-1)*Skills!D20))))/Inputs!$B$44),IF(Inputs!$B$39="pvp",MIN((Skills!Y20*(1+Inputs!$B$34/100)),15)/15,(Skills!Y20*(1+Inputs!$B$34/100))/Skills!D20)))</f>
        <v/>
      </c>
    </row>
    <row r="554">
      <c r="A554" t="inlineStr">
        <is>
          <t>Global Monster Damage-Taken Bonus %</t>
        </is>
      </c>
      <c r="B554">
        <f>IF(Inputs!$B$3&gt;=82,15,0)+((C529=TRUE)*F529*IF(AND(Inputs!$B$39&lt;&gt;"pvp",Inputs!$B$44&gt;0),(((R529-1)*(Skills!Y16*(1+Inputs!$B$34/100))+MIN((Skills!Y16*(1+Inputs!$B$34/100)),MAX(0,Inputs!$B$44-((R529-1)*Skills!D16))))/Inputs!$B$44),IF(Inputs!$B$39="pvp",MIN((Skills!Y16*(1+Inputs!$B$34/100)),15)/15,(Skills!Y16*(1+Inputs!$B$34/100))/Skills!D16)))</f>
        <v/>
      </c>
    </row>
    <row r="555">
      <c r="A555" t="inlineStr">
        <is>
          <t>Shadow Partner Average Multiplier</t>
        </is>
      </c>
      <c r="B555">
        <f>1+((C524=TRUE)*F524*I524*Skills!J11/100)/100</f>
        <v/>
      </c>
    </row>
    <row r="556">
      <c r="A556" t="inlineStr">
        <is>
          <t>Global Critical Damage Bonus % (Frailty Curse Mastery Lv.111)</t>
        </is>
      </c>
      <c r="B556">
        <f>IF(Inputs!$B$3&gt;=111,30,0)*IF(AND(Inputs!$B$39&lt;&gt;"pvp",Inputs!$B$44&gt;0),(((R529-1)*(Skills!Y16*(1+Inputs!$B$34/100))+MIN((Skills!Y16*(1+Inputs!$B$34/100)),MAX(0,Inputs!$B$44-((R529-1)*Skills!D16))))/Inputs!$B$44),IF(Inputs!$B$39="pvp",MIN((Skills!Y16*(1+Inputs!$B$34/100)),15)/15,(Skills!Y16*(1+Inputs!$B$34/100))/Skills!D16))</f>
        <v/>
      </c>
    </row>
    <row r="557">
      <c r="A557" s="6" t="inlineStr">
        <is>
          <t>TOTAL DPS</t>
        </is>
      </c>
      <c r="B557" s="6">
        <f>SUM(O515:O544)</f>
        <v/>
      </c>
    </row>
    <row r="558">
      <c r="A558" t="inlineStr">
        <is>
          <t>Buff-Casting Startup Delay (s, fixed-duration only)</t>
        </is>
      </c>
      <c r="B558">
        <f>IF(AND(Inputs!$B$39&lt;&gt;"pvp",Inputs!$B$44&gt;0),SUMPRODUCT((Skills!Y2:Y31&gt;0)*(Skills!E2:E31=TRUE)*(C515:C544=TRUE))/B549,0)</f>
        <v/>
      </c>
    </row>
    <row r="559">
      <c r="A559" t="inlineStr">
        <is>
          <t>Boss-Only Total DPS (this block's swept value)</t>
        </is>
      </c>
      <c r="B559">
        <f>SUM(T515:T544)</f>
        <v/>
      </c>
    </row>
    <row r="560">
      <c r="A560" t="inlineStr">
        <is>
          <t>Normal-Only Total DPS (this block's swept value)</t>
        </is>
      </c>
      <c r="B560">
        <f>SUM(V515:V544)</f>
        <v/>
      </c>
    </row>
    <row r="562">
      <c r="A562" s="6" t="inlineStr">
        <is>
          <t>Stat: CRIT_RATE %</t>
        </is>
      </c>
    </row>
    <row r="563">
      <c r="A563" s="5" t="inlineStr">
        <is>
          <t>Key</t>
        </is>
      </c>
      <c r="B563" s="5" t="inlineStr">
        <is>
          <t>Name</t>
        </is>
      </c>
      <c r="C563" s="5" t="inlineStr">
        <is>
          <t>Unlocked</t>
        </is>
      </c>
      <c r="D563" s="5" t="inlineStr">
        <is>
          <t>InputLevel</t>
        </is>
      </c>
      <c r="E563" s="5" t="inlineStr">
        <is>
          <t>Factor</t>
        </is>
      </c>
      <c r="F563" s="5" t="inlineStr">
        <is>
          <t>CoefficientPercent</t>
        </is>
      </c>
      <c r="G563" s="5" t="inlineStr">
        <is>
          <t>EffectiveHits</t>
        </is>
      </c>
      <c r="H563" s="5" t="inlineStr">
        <is>
          <t>ProcProbability</t>
        </is>
      </c>
      <c r="I563" s="5" t="inlineStr">
        <is>
          <t>MapleHeroMultiplier</t>
        </is>
      </c>
      <c r="J563" s="5" t="inlineStr">
        <is>
          <t>BaseDamage</t>
        </is>
      </c>
      <c r="K563" s="5" t="inlineStr">
        <is>
          <t>BaseHitDamage</t>
        </is>
      </c>
      <c r="L563" s="5" t="inlineStr">
        <is>
          <t>NonCritAvg</t>
        </is>
      </c>
      <c r="M563" s="5" t="inlineStr">
        <is>
          <t>CritAvg</t>
        </is>
      </c>
      <c r="N563" s="5" t="inlineStr">
        <is>
          <t>ExpectedDamage(perHit)</t>
        </is>
      </c>
      <c r="O563" s="5" t="inlineStr">
        <is>
          <t>DPS</t>
        </is>
      </c>
      <c r="P563" s="5" t="inlineStr">
        <is>
          <t>% of Total</t>
        </is>
      </c>
      <c r="Q563" s="5" t="inlineStr">
        <is>
          <t>InvCooldown</t>
        </is>
      </c>
      <c r="R563" s="5" t="inlineStr">
        <is>
          <t>CastsInFight</t>
        </is>
      </c>
      <c r="S563" s="5" t="inlineStr">
        <is>
          <t>HitRate(perSec)</t>
        </is>
      </c>
      <c r="U563" t="inlineStr">
        <is>
          <t>helpers</t>
        </is>
      </c>
    </row>
    <row r="564">
      <c r="A564">
        <f>Skills!A2</f>
        <v/>
      </c>
      <c r="B564">
        <f>Skills!B2</f>
        <v/>
      </c>
      <c r="C564">
        <f>Inputs!$B$3&gt;=100</f>
        <v/>
      </c>
      <c r="D564" t="inlineStr"/>
      <c r="E564" t="inlineStr"/>
      <c r="F564">
        <f>U568+Skills!O2</f>
        <v/>
      </c>
      <c r="G564">
        <f>Calc!G2</f>
        <v/>
      </c>
      <c r="H564">
        <f>Calc!H2</f>
        <v/>
      </c>
      <c r="I564">
        <f>IF(Skills!AA2&lt;&gt;"",1+(Skills!AA2/10)*(U565/1000)/100,1)</f>
        <v/>
      </c>
      <c r="J564">
        <f>((Inputs!$B$6*(1+Inputs!$B$7/100))+(((Inputs!$B$12*(1+Inputs!$B$13/100))-(Inputs!$B$12*(1+Inputs!$B$13/100)))+0.25*(Inputs!$B$14-Inputs!$B$14))*(1+Inputs!$B$7/100))*(F564/100)</f>
        <v/>
      </c>
      <c r="K564">
        <f>J564*(1+((Inputs!$B$12*(1+Inputs!$B$13/100))*0.01+Inputs!$B$14*0.0025)/100)*(1+Inputs!$B$15/100)*(1+Inputs!$B$16/100)*(5000/(6000+Inputs!$B$43*(1-(100*(1-(1-(Inputs!$B$19+0)/100)*(1-CHOOSE(ArtifactsInput!$N$40+1,5,6,7,8,9,10)/100)^(ArtifactsInput!$M$40-ArtifactsInput!$M$40)))/100)))*(1+(Inputs!$B$24+((C592=TRUE)*(F592-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585=TRUE)*(F585-Calc!F23))+(((IF(AND(ArtifactsInput!$M$42,(((Inputs!$B$9+1)+((C587=TRUE)*(F587-Calc!F25))+B602+(ArtifactsInput!$M$24-ArtifactsInput!$M$24)*CHOOSE(ArtifactsInput!$N$24+1,10,12,14,16,18,20)+IF(ArtifactsInput!$M$10,CHOOSE(ArtifactsInput!$N$10+1,15,18,21,24,27,30)*(IF(Inputs!$B$39="pvp",MIN(15,15)/15,IF(AND(Inputs!$B$39&lt;&gt;"pvp",Inputs!$B$44&gt;0),MIN(15,Inputs!$B$44)/(Inputs!$B$44),0))),0)))&gt;=100),MIN(100,(((Inputs!$B$9+1)+((C587=TRUE)*(F587-Calc!F25))+B602+(ArtifactsInput!$M$24-ArtifactsInput!$M$24)*CHOOSE(ArtifactsInput!$N$24+1,10,12,14,16,18,20)+IF(ArtifactsInput!$M$10,CHOOSE(ArtifactsInput!$N$10+1,15,18,21,24,27,30)*(IF(Inputs!$B$39="pvp",MIN(15,15)/15,IF(AND(Inputs!$B$39&lt;&gt;"pvp",Inputs!$B$44&gt;0),MIN(15,Inputs!$B$44)/(Inputs!$B$44),0))),0)))-100),0))*CHOOSE(ArtifactsInput!$N$42+1,0.6,0.72,0.84,0.96,1.08,1.2))),Inputs!$B$18+((C591=TRUE)*(F591-Calc!F29))+(IF(AND(ArtifactsInput!$M$42,(((Inputs!$B$9+1)+((C587=TRUE)*(F587-Calc!F25))+B602+(ArtifactsInput!$M$24-ArtifactsInput!$M$24)*CHOOSE(ArtifactsInput!$N$24+1,10,12,14,16,18,20)+IF(ArtifactsInput!$M$10,CHOOSE(ArtifactsInput!$N$10+1,15,18,21,24,27,30)*(IF(Inputs!$B$39="pvp",MIN(15,15)/15,IF(AND(Inputs!$B$39&lt;&gt;"pvp",Inputs!$B$44&gt;0),MIN(15,Inputs!$B$44)/(Inputs!$B$44),0))),0)))&gt;=100),CHOOSE(ArtifactsInput!$N$42+1,40,48,56,64,72,80),0))))/100)*(((1+(((C583=TRUE)*F583*IF(AND(Inputs!$B$39&lt;&gt;"pvp",Inputs!$B$44&gt;0),(((R583-1)*(Skills!Y21*(1+Inputs!$B$34/100))+MIN((Skills!Y21*(1+Inputs!$B$34/100)),MAX(0,Inputs!$B$44-((R583-1)*Skills!D21))))/Inputs!$B$44),IF(Inputs!$B$39="pvp",MIN((Skills!Y21*(1+Inputs!$B$34/100)),15)/15,(Skills!Y21*(1+Inputs!$B$34/100))/Skills!D21)))+((C590=TRUE)*(F590-Calc!F28))+((C580=TRUE)*(F580-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577=TRUE)*F577*IF(AND(Inputs!$B$39&lt;&gt;"pvp",Inputs!$B$44&gt;0),(((R577-1)*(Skills!Y15*(1+Inputs!$B$34/100))+MIN((Skills!Y15*(1+Inputs!$B$34/100)),MAX(0,Inputs!$B$44-((R577-1)*Skills!D15))))/Inputs!$B$44),IF(Inputs!$B$39="pvp",MIN((Skills!Y15*(1+Inputs!$B$34/100)),15)/15,(Skills!Y15*(1+Inputs!$B$34/100))/Skills!D15)))/100)*(1+((C568=TRUE)*F568*B596)/100))*B604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564)</f>
        <v/>
      </c>
      <c r="L564">
        <f>K564*(MIN(Inputs!$B$22+((C586=TRUE)*(F586-Calc!F24)),(Inputs!$B$23+0+(IF(ArtifactsInput!$M$15,CHOOSE(ArtifactsInput!$N$15+1,25,30,35,40,45,50)/100*(Inputs!$B$11-Inputs!$B$11),0))))/100+(Inputs!$B$23+0+(IF(ArtifactsInput!$M$15,CHOOSE(ArtifactsInput!$N$15+1,25,30,35,40,45,50)/100*(Inputs!$B$11-Inputs!$B$11),0)))/100)/2</f>
        <v/>
      </c>
      <c r="M564">
        <f>L564*(1+(Inputs!$B$10+((C588=TRUE)*(F588-Calc!F26))+B605+(IF(ArtifactsInput!$M$24,CHOOSE(ArtifactsInput!$N$24+1,30,36,42,48,54,60)/100*((Inputs!$B$9+1)-Inputs!$B$9),0)+IF(ArtifactsInput!$M$10,CHOOSE(ArtifactsInput!$N$10+1,20,24,28,32,36,40)*(IF(Inputs!$B$39="pvp",MIN(15,15)/15,IF(AND(Inputs!$B$39&lt;&gt;"pvp",Inputs!$B$44&gt;0),MIN(15,Inputs!$B$44)/(Inputs!$B$44),0))),0)+IF(ArtifactsInput!$M$31,1.5*CHOOSE(ArtifactsInput!$N$31+1,20,24,28,32,36,40),0)))/100)</f>
        <v/>
      </c>
      <c r="N564">
        <f>L564*(1-MIN(((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564*(MIN(((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64">
        <f>(1-Summary!$B$11)*T564+Summary!$B$11*V564</f>
        <v/>
      </c>
      <c r="P564">
        <f>IF(B606=0,0,O564/B606)</f>
        <v/>
      </c>
      <c r="Q564" t="n">
        <v>0</v>
      </c>
      <c r="R564" t="n">
        <v>0</v>
      </c>
      <c r="S564">
        <f>IFERROR(O564/N564,0)</f>
        <v/>
      </c>
      <c r="T564">
        <f>IF(C564,(Skills!G2*N564*B600)*IF(Inputs!$B$39="pvp",1,1+(Inputs!$B$20+((C589=TRUE)*(F589-Calc!F27))+Skills!P2+B603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Hunt"),CHOOSE(ArtifactsInput!$N$35+1,15,18,21,24,27,30)*(1-EXP(-(0.2*B598)*5)),0)+IF(AND(ArtifactsInput!$M$22,Inputs!$B$4&lt;&gt;"Chapter Hunt"),CHOOSE(ArtifactsInput!$N$22+1,10,12,14,16,18,20)*((0*(((0.15*B598*5))^0/1)+1*(((0.15*B598*5))^1/1)+2*(((0.15*B598*5))^2/2)+3*(((0.15*B598*5))^3/6)+4*(((0.15*B598*5))^4/24)+5*(((0.15*B598*5))^5/120))/((((0.15*B598*5))^0/1)+(((0.15*B598*5))^1/1)+(((0.15*B598*5))^2/2)+(((0.15*B598*5))^3/6)+(((0.15*B598*5))^4/24)+(((0.15*B598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564*(1-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564*(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564*(1-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564*(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64">
        <f>MAX(0,(Inputs!$B$3-100)*3)+Inputs!$B$28+Inputs!$B$29</f>
        <v/>
      </c>
      <c r="V564">
        <f>IF(C564,(Skills!G2*N564*B600)*IF(Inputs!$B$39="pvp",1,(1+(Inputs!$B$21+Skills!Q2+B603+(IF(ArtifactsInput!$M$33,CHOOSE(ArtifactsInput!$N$33+1,30,36,42,48,54,60),0))+(IF(AND(ArtifactsInput!$M$35,Inputs!$B$4&lt;&gt;"Chapter Hunt"),CHOOSE(ArtifactsInput!$N$35+1,15,18,21,24,27,30)*(1-EXP(-(0.2*B598)*5)),0)+IF(AND(ArtifactsInput!$M$22,Inputs!$B$4&lt;&gt;"Chapter Hunt"),CHOOSE(ArtifactsInput!$N$22+1,10,12,14,16,18,20)*((0*(((0.15*B598*5))^0/1)+1*(((0.15*B598*5))^1/1)+2*(((0.15*B598*5))^2/2)+3*(((0.15*B598*5))^3/6)+4*(((0.15*B598*5))^4/24)+5*(((0.15*B598*5))^5/120))/((((0.15*B598*5))^0/1)+(((0.15*B598*5))^1/1)+(((0.15*B598*5))^2/2)+(((0.15*B598*5))^3/6)+(((0.15*B598*5))^4/24)+(((0.15*B598*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65">
      <c r="A565">
        <f>Skills!A3</f>
        <v/>
      </c>
      <c r="B565">
        <f>Skills!B3</f>
        <v/>
      </c>
      <c r="C565">
        <f>Inputs!$B$3&gt;=35</f>
        <v/>
      </c>
      <c r="D565">
        <f>IF(Skills!C3=1,60+Inputs!$B$25+Inputs!$B$29,IF(Skills!C3=2,90+Inputs!$B$26+Inputs!$B$29,IF(Skills!C3=3,120+Inputs!$B$27+Inputs!$B$29,MAX(0,(Inputs!$B$3-100)*3)+Inputs!$B$28+Inputs!$B$29)))</f>
        <v/>
      </c>
      <c r="E565">
        <f>INDEX(FactorTable!$B$2:$Y$301, MATCH(ROUND(MIN(300,MAX(1,D565)),0), FactorTable!$A$2:$A$301,0), Skills!M3+1)</f>
        <v/>
      </c>
      <c r="F565">
        <f>IF(Skills!N3=TRUE,(Skills!L3/10)*(E565/1000),Skills!L3/10)+Skills!O3</f>
        <v/>
      </c>
      <c r="G565">
        <f>Calc!G3</f>
        <v/>
      </c>
      <c r="H565">
        <f>Calc!H3</f>
        <v/>
      </c>
      <c r="I565">
        <f>IF(Skills!AA3&lt;&gt;"",1+(Skills!AA3/10)*(U565/1000)/100,1)</f>
        <v/>
      </c>
      <c r="J565">
        <f>((Inputs!$B$6*(1+Inputs!$B$7/100))+(((Inputs!$B$12*(1+Inputs!$B$13/100))-(Inputs!$B$12*(1+Inputs!$B$13/100)))+0.25*(Inputs!$B$14-Inputs!$B$14))*(1+Inputs!$B$7/100))*(F565/100)</f>
        <v/>
      </c>
      <c r="K565">
        <f>J565*(1+((Inputs!$B$12*(1+Inputs!$B$13/100))*0.01+Inputs!$B$14*0.0025)/100)*(1+Inputs!$B$15/100)*(1+Inputs!$B$16/100)*(5000/(6000+Inputs!$B$43*(1-(100*(1-(1-(Inputs!$B$19+0)/100)*(1-CHOOSE(ArtifactsInput!$N$40+1,5,6,7,8,9,10)/100)^(ArtifactsInput!$M$40-ArtifactsInput!$M$40)))/100)))*(1+(Inputs!$B$24+((C592=TRUE)*(F592-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585=TRUE)*(F585-Calc!F23))+(((IF(AND(ArtifactsInput!$M$42,(((Inputs!$B$9+1)+((C587=TRUE)*(F587-Calc!F25))+B602+(ArtifactsInput!$M$24-ArtifactsInput!$M$24)*CHOOSE(ArtifactsInput!$N$24+1,10,12,14,16,18,20)+IF(ArtifactsInput!$M$10,CHOOSE(ArtifactsInput!$N$10+1,15,18,21,24,27,30)*(IF(Inputs!$B$39="pvp",MIN(15,15)/15,IF(AND(Inputs!$B$39&lt;&gt;"pvp",Inputs!$B$44&gt;0),MIN(15,Inputs!$B$44)/(Inputs!$B$44),0))),0)))&gt;=100),MIN(100,(((Inputs!$B$9+1)+((C587=TRUE)*(F587-Calc!F25))+B602+(ArtifactsInput!$M$24-ArtifactsInput!$M$24)*CHOOSE(ArtifactsInput!$N$24+1,10,12,14,16,18,20)+IF(ArtifactsInput!$M$10,CHOOSE(ArtifactsInput!$N$10+1,15,18,21,24,27,30)*(IF(Inputs!$B$39="pvp",MIN(15,15)/15,IF(AND(Inputs!$B$39&lt;&gt;"pvp",Inputs!$B$44&gt;0),MIN(15,Inputs!$B$44)/(Inputs!$B$44),0))),0)))-100),0))*CHOOSE(ArtifactsInput!$N$42+1,0.6,0.72,0.84,0.96,1.08,1.2))),Inputs!$B$18+((C591=TRUE)*(F591-Calc!F29))+(IF(AND(ArtifactsInput!$M$42,(((Inputs!$B$9+1)+((C587=TRUE)*(F587-Calc!F25))+B602+(ArtifactsInput!$M$24-ArtifactsInput!$M$24)*CHOOSE(ArtifactsInput!$N$24+1,10,12,14,16,18,20)+IF(ArtifactsInput!$M$10,CHOOSE(ArtifactsInput!$N$10+1,15,18,21,24,27,30)*(IF(Inputs!$B$39="pvp",MIN(15,15)/15,IF(AND(Inputs!$B$39&lt;&gt;"pvp",Inputs!$B$44&gt;0),MIN(15,Inputs!$B$44)/(Inputs!$B$44),0))),0)))&gt;=100),CHOOSE(ArtifactsInput!$N$42+1,40,48,56,64,72,80),0))))/100)*(((1+(((C583=TRUE)*F583*IF(AND(Inputs!$B$39&lt;&gt;"pvp",Inputs!$B$44&gt;0),(((R583-1)*(Skills!Y21*(1+Inputs!$B$34/100))+MIN((Skills!Y21*(1+Inputs!$B$34/100)),MAX(0,Inputs!$B$44-((R583-1)*Skills!D21))))/Inputs!$B$44),IF(Inputs!$B$39="pvp",MIN((Skills!Y21*(1+Inputs!$B$34/100)),15)/15,(Skills!Y21*(1+Inputs!$B$34/100))/Skills!D21)))+((C590=TRUE)*(F590-Calc!F28))+((C580=TRUE)*(F580-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577=TRUE)*F577*IF(AND(Inputs!$B$39&lt;&gt;"pvp",Inputs!$B$44&gt;0),(((R577-1)*(Skills!Y15*(1+Inputs!$B$34/100))+MIN((Skills!Y15*(1+Inputs!$B$34/100)),MAX(0,Inputs!$B$44-((R577-1)*Skills!D15))))/Inputs!$B$44),IF(Inputs!$B$39="pvp",MIN((Skills!Y15*(1+Inputs!$B$34/100)),15)/15,(Skills!Y15*(1+Inputs!$B$34/100))/Skills!D15)))/100)*(1+((C568=TRUE)*F568*B596)/100))*B604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565)</f>
        <v/>
      </c>
      <c r="L565">
        <f>K565*(MIN(Inputs!$B$22+((C586=TRUE)*(F586-Calc!F24)),(Inputs!$B$23+0+(IF(ArtifactsInput!$M$15,CHOOSE(ArtifactsInput!$N$15+1,25,30,35,40,45,50)/100*(Inputs!$B$11-Inputs!$B$11),0))))/100+(Inputs!$B$23+0+(IF(ArtifactsInput!$M$15,CHOOSE(ArtifactsInput!$N$15+1,25,30,35,40,45,50)/100*(Inputs!$B$11-Inputs!$B$11),0)))/100)/2</f>
        <v/>
      </c>
      <c r="M565">
        <f>L565*(1+(Inputs!$B$10+((C588=TRUE)*(F588-Calc!F26))+B605+(IF(ArtifactsInput!$M$24,CHOOSE(ArtifactsInput!$N$24+1,30,36,42,48,54,60)/100*((Inputs!$B$9+1)-Inputs!$B$9),0)+IF(ArtifactsInput!$M$10,CHOOSE(ArtifactsInput!$N$10+1,20,24,28,32,36,40)*(IF(Inputs!$B$39="pvp",MIN(15,15)/15,IF(AND(Inputs!$B$39&lt;&gt;"pvp",Inputs!$B$44&gt;0),MIN(15,Inputs!$B$44)/(Inputs!$B$44),0))),0)+IF(ArtifactsInput!$M$31,1.5*CHOOSE(ArtifactsInput!$N$31+1,20,24,28,32,36,40),0)))/100)</f>
        <v/>
      </c>
      <c r="N565">
        <f>L565*(1-MIN(((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565*(MIN(((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65">
        <f>(1-Summary!$B$11)*T565+Summary!$B$11*V565</f>
        <v/>
      </c>
      <c r="P565">
        <f>IF(B606=0,0,O565/B606)</f>
        <v/>
      </c>
      <c r="Q565">
        <f>IFERROR(1/IF(Inputs!$B$39="pvp",15,MAX(0.1,Skills!D3-IF(Skills!E3=TRUE,Inputs!$B$32,0))),0)</f>
        <v/>
      </c>
      <c r="R565">
        <f>IF(AND(Inputs!$B$39&lt;&gt;"pvp",Inputs!$B$44&gt;0),IF(MAX(0,Inputs!$B$44-B607)&lt;=0,0,(INT(MAX(0,Inputs!$B$44-B607)/IF(Inputs!$B$39="pvp",15,MAX(0.1,Skills!D3-IF(Skills!E3=TRUE,Inputs!$B$32,0))))+1)),0)</f>
        <v/>
      </c>
      <c r="S565">
        <f>IFERROR(O565/N565,0)</f>
        <v/>
      </c>
      <c r="T565">
        <f>IF(C565,(H565*N565*IF(AND(Inputs!$B$39&lt;&gt;"pvp",Inputs!$B$44&gt;0),((Skills!G3*((R565-1)*IF(Skills!H3&gt;0,Skills!I3/Skills!H3,1)+IF(Skills!H3&gt;0,MIN(Skills!I3,MAX(0,MAX(0,Inputs!$B$44-B607)-((R565-1)*IF(Inputs!$B$39="pvp",15,MAX(0.1,Skills!D3-IF(Skills!E3=TRUE,Inputs!$B$32,0))))))/Skills!H3,1)))/Inputs!$B$44),G565*Q565))*IF(Inputs!$B$39="pvp",1,1+(Inputs!$B$20+((C589=TRUE)*(F589-Calc!F27))+Skills!P3+B603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Hunt"),CHOOSE(ArtifactsInput!$N$35+1,15,18,21,24,27,30)*(1-EXP(-(0.2*B598)*5)),0)+IF(AND(ArtifactsInput!$M$22,Inputs!$B$4&lt;&gt;"Chapter Hunt"),CHOOSE(ArtifactsInput!$N$22+1,10,12,14,16,18,20)*((0*(((0.15*B598*5))^0/1)+1*(((0.15*B598*5))^1/1)+2*(((0.15*B598*5))^2/2)+3*(((0.15*B598*5))^3/6)+4*(((0.15*B598*5))^4/24)+5*(((0.15*B598*5))^5/120))/((((0.15*B598*5))^0/1)+(((0.15*B598*5))^1/1)+(((0.15*B598*5))^2/2)+(((0.15*B598*5))^3/6)+(((0.15*B598*5))^4/24)+(((0.15*B598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565*(1-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565*(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565*(1-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565*(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65">
        <f>INDEX(FactorTable!$B$2:$Y$301, MATCH(ROUND(MIN(300,MAX(1,U564)),0), FactorTable!$A$2:$A$301,0), 24)</f>
        <v/>
      </c>
      <c r="V565">
        <f>IF(C565,(H565*N565*IF(AND(Inputs!$B$39&lt;&gt;"pvp",Inputs!$B$44&gt;0),((Skills!G3*((R565-1)*IF(Skills!H3&gt;0,Skills!I3/Skills!H3,1)+IF(Skills!H3&gt;0,MIN(Skills!I3,MAX(0,MAX(0,Inputs!$B$44-B607)-((R565-1)*IF(Inputs!$B$39="pvp",15,MAX(0.1,Skills!D3-IF(Skills!E3=TRUE,Inputs!$B$32,0))))))/Skills!H3,1)))/Inputs!$B$44),G565*Q565))*IF(Inputs!$B$39="pvp",1,(1+(Inputs!$B$21+Skills!Q3+B603+(IF(ArtifactsInput!$M$33,CHOOSE(ArtifactsInput!$N$33+1,30,36,42,48,54,60),0))+(IF(AND(ArtifactsInput!$M$35,Inputs!$B$4&lt;&gt;"Chapter Hunt"),CHOOSE(ArtifactsInput!$N$35+1,15,18,21,24,27,30)*(1-EXP(-(0.2*B598)*5)),0)+IF(AND(ArtifactsInput!$M$22,Inputs!$B$4&lt;&gt;"Chapter Hunt"),CHOOSE(ArtifactsInput!$N$22+1,10,12,14,16,18,20)*((0*(((0.15*B598*5))^0/1)+1*(((0.15*B598*5))^1/1)+2*(((0.15*B598*5))^2/2)+3*(((0.15*B598*5))^3/6)+4*(((0.15*B598*5))^4/24)+5*(((0.15*B598*5))^5/120))/((((0.15*B598*5))^0/1)+(((0.15*B598*5))^1/1)+(((0.15*B598*5))^2/2)+(((0.15*B598*5))^3/6)+(((0.15*B598*5))^4/24)+(((0.15*B598*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66">
      <c r="A566">
        <f>Skills!A4</f>
        <v/>
      </c>
      <c r="B566">
        <f>Skills!B4</f>
        <v/>
      </c>
      <c r="C566">
        <f>Inputs!$B$3&gt;=40</f>
        <v/>
      </c>
      <c r="D566">
        <f>IF(Skills!C4=1,60+Inputs!$B$25+Inputs!$B$29,IF(Skills!C4=2,90+Inputs!$B$26+Inputs!$B$29,IF(Skills!C4=3,120+Inputs!$B$27+Inputs!$B$29,MAX(0,(Inputs!$B$3-100)*3)+Inputs!$B$28+Inputs!$B$29)))</f>
        <v/>
      </c>
      <c r="E566">
        <f>INDEX(FactorTable!$B$2:$Y$301, MATCH(ROUND(MIN(300,MAX(1,D566)),0), FactorTable!$A$2:$A$301,0), Skills!M4+1)</f>
        <v/>
      </c>
      <c r="F566">
        <f>IF(Skills!N4=TRUE,(Skills!L4/10)*(E566/1000),Skills!L4/10)+Skills!O4</f>
        <v/>
      </c>
      <c r="G566">
        <f>Calc!G4</f>
        <v/>
      </c>
      <c r="H566">
        <f>Calc!H4</f>
        <v/>
      </c>
      <c r="I566">
        <f>IF(Skills!AA4&lt;&gt;"",1+(Skills!AA4/10)*(U565/1000)/100,1)</f>
        <v/>
      </c>
      <c r="J566">
        <f>((Inputs!$B$6*(1+Inputs!$B$7/100))+(((Inputs!$B$12*(1+Inputs!$B$13/100))-(Inputs!$B$12*(1+Inputs!$B$13/100)))+0.25*(Inputs!$B$14-Inputs!$B$14))*(1+Inputs!$B$7/100))*(F566/100)</f>
        <v/>
      </c>
      <c r="K566">
        <f>J566*(1+((Inputs!$B$12*(1+Inputs!$B$13/100))*0.01+Inputs!$B$14*0.0025)/100)*(1+Inputs!$B$15/100)*(1+Inputs!$B$16/100)*(5000/(6000+Inputs!$B$43*(1-(100*(1-(1-(Inputs!$B$19+0)/100)*(1-CHOOSE(ArtifactsInput!$N$40+1,5,6,7,8,9,10)/100)^(ArtifactsInput!$M$40-ArtifactsInput!$M$40)))/100)))*(1+(Inputs!$B$24+((C592=TRUE)*(F592-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585=TRUE)*(F585-Calc!F23))+(((IF(AND(ArtifactsInput!$M$42,(((Inputs!$B$9+1)+((C587=TRUE)*(F587-Calc!F25))+B602+(ArtifactsInput!$M$24-ArtifactsInput!$M$24)*CHOOSE(ArtifactsInput!$N$24+1,10,12,14,16,18,20)+IF(ArtifactsInput!$M$10,CHOOSE(ArtifactsInput!$N$10+1,15,18,21,24,27,30)*(IF(Inputs!$B$39="pvp",MIN(15,15)/15,IF(AND(Inputs!$B$39&lt;&gt;"pvp",Inputs!$B$44&gt;0),MIN(15,Inputs!$B$44)/(Inputs!$B$44),0))),0)))&gt;=100),MIN(100,(((Inputs!$B$9+1)+((C587=TRUE)*(F587-Calc!F25))+B602+(ArtifactsInput!$M$24-ArtifactsInput!$M$24)*CHOOSE(ArtifactsInput!$N$24+1,10,12,14,16,18,20)+IF(ArtifactsInput!$M$10,CHOOSE(ArtifactsInput!$N$10+1,15,18,21,24,27,30)*(IF(Inputs!$B$39="pvp",MIN(15,15)/15,IF(AND(Inputs!$B$39&lt;&gt;"pvp",Inputs!$B$44&gt;0),MIN(15,Inputs!$B$44)/(Inputs!$B$44),0))),0)))-100),0))*CHOOSE(ArtifactsInput!$N$42+1,0.6,0.72,0.84,0.96,1.08,1.2))),Inputs!$B$18+((C591=TRUE)*(F591-Calc!F29))+(IF(AND(ArtifactsInput!$M$42,(((Inputs!$B$9+1)+((C587=TRUE)*(F587-Calc!F25))+B602+(ArtifactsInput!$M$24-ArtifactsInput!$M$24)*CHOOSE(ArtifactsInput!$N$24+1,10,12,14,16,18,20)+IF(ArtifactsInput!$M$10,CHOOSE(ArtifactsInput!$N$10+1,15,18,21,24,27,30)*(IF(Inputs!$B$39="pvp",MIN(15,15)/15,IF(AND(Inputs!$B$39&lt;&gt;"pvp",Inputs!$B$44&gt;0),MIN(15,Inputs!$B$44)/(Inputs!$B$44),0))),0)))&gt;=100),CHOOSE(ArtifactsInput!$N$42+1,40,48,56,64,72,80),0))))/100)*(((1+(((C583=TRUE)*F583*IF(AND(Inputs!$B$39&lt;&gt;"pvp",Inputs!$B$44&gt;0),(((R583-1)*(Skills!Y21*(1+Inputs!$B$34/100))+MIN((Skills!Y21*(1+Inputs!$B$34/100)),MAX(0,Inputs!$B$44-((R583-1)*Skills!D21))))/Inputs!$B$44),IF(Inputs!$B$39="pvp",MIN((Skills!Y21*(1+Inputs!$B$34/100)),15)/15,(Skills!Y21*(1+Inputs!$B$34/100))/Skills!D21)))+((C590=TRUE)*(F590-Calc!F28))+((C580=TRUE)*(F580-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577=TRUE)*F577*IF(AND(Inputs!$B$39&lt;&gt;"pvp",Inputs!$B$44&gt;0),(((R577-1)*(Skills!Y15*(1+Inputs!$B$34/100))+MIN((Skills!Y15*(1+Inputs!$B$34/100)),MAX(0,Inputs!$B$44-((R577-1)*Skills!D15))))/Inputs!$B$44),IF(Inputs!$B$39="pvp",MIN((Skills!Y15*(1+Inputs!$B$34/100)),15)/15,(Skills!Y15*(1+Inputs!$B$34/100))/Skills!D15)))/100)*(1+((C568=TRUE)*F568*B596)/100))*B604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566)</f>
        <v/>
      </c>
      <c r="L566">
        <f>K566*(MIN(Inputs!$B$22+((C586=TRUE)*(F586-Calc!F24)),(Inputs!$B$23+0+(IF(ArtifactsInput!$M$15,CHOOSE(ArtifactsInput!$N$15+1,25,30,35,40,45,50)/100*(Inputs!$B$11-Inputs!$B$11),0))))/100+(Inputs!$B$23+0+(IF(ArtifactsInput!$M$15,CHOOSE(ArtifactsInput!$N$15+1,25,30,35,40,45,50)/100*(Inputs!$B$11-Inputs!$B$11),0)))/100)/2</f>
        <v/>
      </c>
      <c r="M566">
        <f>L566*(1+(Inputs!$B$10+((C588=TRUE)*(F588-Calc!F26))+B605+(IF(ArtifactsInput!$M$24,CHOOSE(ArtifactsInput!$N$24+1,30,36,42,48,54,60)/100*((Inputs!$B$9+1)-Inputs!$B$9),0)+IF(ArtifactsInput!$M$10,CHOOSE(ArtifactsInput!$N$10+1,20,24,28,32,36,40)*(IF(Inputs!$B$39="pvp",MIN(15,15)/15,IF(AND(Inputs!$B$39&lt;&gt;"pvp",Inputs!$B$44&gt;0),MIN(15,Inputs!$B$44)/(Inputs!$B$44),0))),0)+IF(ArtifactsInput!$M$31,1.5*CHOOSE(ArtifactsInput!$N$31+1,20,24,28,32,36,40),0)))/100)</f>
        <v/>
      </c>
      <c r="N566">
        <f>L566*(1-MIN(((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566*(MIN(((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66">
        <f>(1-Summary!$B$11)*T566+Summary!$B$11*V566</f>
        <v/>
      </c>
      <c r="P566">
        <f>IF(B606=0,0,O566/B606)</f>
        <v/>
      </c>
      <c r="Q566">
        <f>IFERROR(1/IF(Inputs!$B$39="pvp",15,MAX(0.1,Skills!D4-IF(Skills!E4=TRUE,Inputs!$B$32,0))),0)</f>
        <v/>
      </c>
      <c r="R566">
        <f>IF(AND(Inputs!$B$39&lt;&gt;"pvp",Inputs!$B$44&gt;0),IF(MAX(0,Inputs!$B$44-B607)&lt;=0,0,(INT(MAX(0,Inputs!$B$44-B607)/IF(Inputs!$B$39="pvp",15,MAX(0.1,Skills!D4-IF(Skills!E4=TRUE,Inputs!$B$32,0))))+1)),0)</f>
        <v/>
      </c>
      <c r="S566">
        <f>IFERROR(O566/N566,0)</f>
        <v/>
      </c>
      <c r="T566">
        <f>IF(C566,(H566*N566*IF(AND(Inputs!$B$39&lt;&gt;"pvp",Inputs!$B$44&gt;0),((Skills!G4*((R566-1)*IF(Skills!H4&gt;0,Skills!I4/Skills!H4,1)+IF(Skills!H4&gt;0,MIN(Skills!I4,MAX(0,MAX(0,Inputs!$B$44-B607)-((R566-1)*IF(Inputs!$B$39="pvp",15,MAX(0.1,Skills!D4-IF(Skills!E4=TRUE,Inputs!$B$32,0))))))/Skills!H4,1)))/Inputs!$B$44),G566*Q566))*IF(Inputs!$B$39="pvp",1,1+(Inputs!$B$20+((C589=TRUE)*(F589-Calc!F27))+Skills!P4+B603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Hunt"),CHOOSE(ArtifactsInput!$N$35+1,15,18,21,24,27,30)*(1-EXP(-(0.2*B598)*5)),0)+IF(AND(ArtifactsInput!$M$22,Inputs!$B$4&lt;&gt;"Chapter Hunt"),CHOOSE(ArtifactsInput!$N$22+1,10,12,14,16,18,20)*((0*(((0.15*B598*5))^0/1)+1*(((0.15*B598*5))^1/1)+2*(((0.15*B598*5))^2/2)+3*(((0.15*B598*5))^3/6)+4*(((0.15*B598*5))^4/24)+5*(((0.15*B598*5))^5/120))/((((0.15*B598*5))^0/1)+(((0.15*B598*5))^1/1)+(((0.15*B598*5))^2/2)+(((0.15*B598*5))^3/6)+(((0.15*B598*5))^4/24)+(((0.15*B598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566*(1-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566*(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566*(1-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566*(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66">
        <f>MAX(0,(Inputs!$B$3-100)*3)+Inputs!$B$28+Inputs!$B$29</f>
        <v/>
      </c>
      <c r="V566">
        <f>IF(C566,(H566*N566*IF(AND(Inputs!$B$39&lt;&gt;"pvp",Inputs!$B$44&gt;0),((Skills!G4*((R566-1)*IF(Skills!H4&gt;0,Skills!I4/Skills!H4,1)+IF(Skills!H4&gt;0,MIN(Skills!I4,MAX(0,MAX(0,Inputs!$B$44-B607)-((R566-1)*IF(Inputs!$B$39="pvp",15,MAX(0.1,Skills!D4-IF(Skills!E4=TRUE,Inputs!$B$32,0))))))/Skills!H4,1)))/Inputs!$B$44),G566*Q566))*IF(Inputs!$B$39="pvp",1,(1+(Inputs!$B$21+Skills!Q4+B603+(IF(ArtifactsInput!$M$33,CHOOSE(ArtifactsInput!$N$33+1,30,36,42,48,54,60),0))+(IF(AND(ArtifactsInput!$M$35,Inputs!$B$4&lt;&gt;"Chapter Hunt"),CHOOSE(ArtifactsInput!$N$35+1,15,18,21,24,27,30)*(1-EXP(-(0.2*B598)*5)),0)+IF(AND(ArtifactsInput!$M$22,Inputs!$B$4&lt;&gt;"Chapter Hunt"),CHOOSE(ArtifactsInput!$N$22+1,10,12,14,16,18,20)*((0*(((0.15*B598*5))^0/1)+1*(((0.15*B598*5))^1/1)+2*(((0.15*B598*5))^2/2)+3*(((0.15*B598*5))^3/6)+4*(((0.15*B598*5))^4/24)+5*(((0.15*B598*5))^5/120))/((((0.15*B598*5))^0/1)+(((0.15*B598*5))^1/1)+(((0.15*B598*5))^2/2)+(((0.15*B598*5))^3/6)+(((0.15*B598*5))^4/24)+(((0.15*B598*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67">
      <c r="A567">
        <f>Skills!A5</f>
        <v/>
      </c>
      <c r="B567">
        <f>Skills!B5</f>
        <v/>
      </c>
      <c r="C567">
        <f>Inputs!$B$3&gt;=63</f>
        <v/>
      </c>
      <c r="D567">
        <f>IF(Skills!C5=1,60+Inputs!$B$25+Inputs!$B$29,IF(Skills!C5=2,90+Inputs!$B$26+Inputs!$B$29,IF(Skills!C5=3,120+Inputs!$B$27+Inputs!$B$29,MAX(0,(Inputs!$B$3-100)*3)+Inputs!$B$28+Inputs!$B$29)))</f>
        <v/>
      </c>
      <c r="E567">
        <f>INDEX(FactorTable!$B$2:$Y$301, MATCH(ROUND(MIN(300,MAX(1,D567)),0), FactorTable!$A$2:$A$301,0), Skills!M5+1)</f>
        <v/>
      </c>
      <c r="F567">
        <f>IF(Skills!N5=TRUE,(Skills!L5/10)*(E567/1000),Skills!L5/10)+Skills!O5</f>
        <v/>
      </c>
      <c r="G567">
        <f>Calc!G5</f>
        <v/>
      </c>
      <c r="H567">
        <f>Calc!H5</f>
        <v/>
      </c>
      <c r="I567">
        <f>IF(Skills!AA5&lt;&gt;"",1+(Skills!AA5/10)*(U565/1000)/100,1)</f>
        <v/>
      </c>
      <c r="J567">
        <f>((Inputs!$B$6*(1+Inputs!$B$7/100))+(((Inputs!$B$12*(1+Inputs!$B$13/100))-(Inputs!$B$12*(1+Inputs!$B$13/100)))+0.25*(Inputs!$B$14-Inputs!$B$14))*(1+Inputs!$B$7/100))*(F567/100)</f>
        <v/>
      </c>
      <c r="K567">
        <f>J567*(1+((Inputs!$B$12*(1+Inputs!$B$13/100))*0.01+Inputs!$B$14*0.0025)/100)*(1+Inputs!$B$15/100)*(1+Inputs!$B$16/100)*(5000/(6000+Inputs!$B$43*(1-(100*(1-(1-(Inputs!$B$19+0)/100)*(1-CHOOSE(ArtifactsInput!$N$40+1,5,6,7,8,9,10)/100)^(ArtifactsInput!$M$40-ArtifactsInput!$M$40)))/100)))*(1+(Inputs!$B$24+((C592=TRUE)*(F592-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585=TRUE)*(F585-Calc!F23))+(((IF(AND(ArtifactsInput!$M$42,(((Inputs!$B$9+1)+((C587=TRUE)*(F587-Calc!F25))+B602+(ArtifactsInput!$M$24-ArtifactsInput!$M$24)*CHOOSE(ArtifactsInput!$N$24+1,10,12,14,16,18,20)+IF(ArtifactsInput!$M$10,CHOOSE(ArtifactsInput!$N$10+1,15,18,21,24,27,30)*(IF(Inputs!$B$39="pvp",MIN(15,15)/15,IF(AND(Inputs!$B$39&lt;&gt;"pvp",Inputs!$B$44&gt;0),MIN(15,Inputs!$B$44)/(Inputs!$B$44),0))),0)))&gt;=100),MIN(100,(((Inputs!$B$9+1)+((C587=TRUE)*(F587-Calc!F25))+B602+(ArtifactsInput!$M$24-ArtifactsInput!$M$24)*CHOOSE(ArtifactsInput!$N$24+1,10,12,14,16,18,20)+IF(ArtifactsInput!$M$10,CHOOSE(ArtifactsInput!$N$10+1,15,18,21,24,27,30)*(IF(Inputs!$B$39="pvp",MIN(15,15)/15,IF(AND(Inputs!$B$39&lt;&gt;"pvp",Inputs!$B$44&gt;0),MIN(15,Inputs!$B$44)/(Inputs!$B$44),0))),0)))-100),0))*CHOOSE(ArtifactsInput!$N$42+1,0.6,0.72,0.84,0.96,1.08,1.2))),Inputs!$B$18+((C591=TRUE)*(F591-Calc!F29))+(IF(AND(ArtifactsInput!$M$42,(((Inputs!$B$9+1)+((C587=TRUE)*(F587-Calc!F25))+B602+(ArtifactsInput!$M$24-ArtifactsInput!$M$24)*CHOOSE(ArtifactsInput!$N$24+1,10,12,14,16,18,20)+IF(ArtifactsInput!$M$10,CHOOSE(ArtifactsInput!$N$10+1,15,18,21,24,27,30)*(IF(Inputs!$B$39="pvp",MIN(15,15)/15,IF(AND(Inputs!$B$39&lt;&gt;"pvp",Inputs!$B$44&gt;0),MIN(15,Inputs!$B$44)/(Inputs!$B$44),0))),0)))&gt;=100),CHOOSE(ArtifactsInput!$N$42+1,40,48,56,64,72,80),0))))/100)*(((1+(((C583=TRUE)*F583*IF(AND(Inputs!$B$39&lt;&gt;"pvp",Inputs!$B$44&gt;0),(((R583-1)*(Skills!Y21*(1+Inputs!$B$34/100))+MIN((Skills!Y21*(1+Inputs!$B$34/100)),MAX(0,Inputs!$B$44-((R583-1)*Skills!D21))))/Inputs!$B$44),IF(Inputs!$B$39="pvp",MIN((Skills!Y21*(1+Inputs!$B$34/100)),15)/15,(Skills!Y21*(1+Inputs!$B$34/100))/Skills!D21)))+((C590=TRUE)*(F590-Calc!F28))+((C580=TRUE)*(F580-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577=TRUE)*F577*IF(AND(Inputs!$B$39&lt;&gt;"pvp",Inputs!$B$44&gt;0),(((R577-1)*(Skills!Y15*(1+Inputs!$B$34/100))+MIN((Skills!Y15*(1+Inputs!$B$34/100)),MAX(0,Inputs!$B$44-((R577-1)*Skills!D15))))/Inputs!$B$44),IF(Inputs!$B$39="pvp",MIN((Skills!Y15*(1+Inputs!$B$34/100)),15)/15,(Skills!Y15*(1+Inputs!$B$34/100))/Skills!D15)))/100)*(1+((C568=TRUE)*F568*B596)/100))*B604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567)</f>
        <v/>
      </c>
      <c r="L567">
        <f>K567*(MIN(Inputs!$B$22+((C586=TRUE)*(F586-Calc!F24)),(Inputs!$B$23+0+(IF(ArtifactsInput!$M$15,CHOOSE(ArtifactsInput!$N$15+1,25,30,35,40,45,50)/100*(Inputs!$B$11-Inputs!$B$11),0))))/100+(Inputs!$B$23+0+(IF(ArtifactsInput!$M$15,CHOOSE(ArtifactsInput!$N$15+1,25,30,35,40,45,50)/100*(Inputs!$B$11-Inputs!$B$11),0)))/100)/2</f>
        <v/>
      </c>
      <c r="M567">
        <f>L567*(1+(Inputs!$B$10+((C588=TRUE)*(F588-Calc!F26))+B605+(IF(ArtifactsInput!$M$24,CHOOSE(ArtifactsInput!$N$24+1,30,36,42,48,54,60)/100*((Inputs!$B$9+1)-Inputs!$B$9),0)+IF(ArtifactsInput!$M$10,CHOOSE(ArtifactsInput!$N$10+1,20,24,28,32,36,40)*(IF(Inputs!$B$39="pvp",MIN(15,15)/15,IF(AND(Inputs!$B$39&lt;&gt;"pvp",Inputs!$B$44&gt;0),MIN(15,Inputs!$B$44)/(Inputs!$B$44),0))),0)+IF(ArtifactsInput!$M$31,1.5*CHOOSE(ArtifactsInput!$N$31+1,20,24,28,32,36,40),0)))/100)</f>
        <v/>
      </c>
      <c r="N567">
        <f>L567*(1-MIN(((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567*(MIN(((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67">
        <f>(1-Summary!$B$11)*T567+Summary!$B$11*V567</f>
        <v/>
      </c>
      <c r="P567">
        <f>IF(B606=0,0,O567/B606)</f>
        <v/>
      </c>
      <c r="Q567">
        <f>IFERROR(1/IF(Inputs!$B$39="pvp",15,MAX(0.1,Skills!D5-IF(Skills!E5=TRUE,Inputs!$B$32,0))),0)</f>
        <v/>
      </c>
      <c r="R567">
        <f>IF(AND(Inputs!$B$39&lt;&gt;"pvp",Inputs!$B$44&gt;0),IF(MAX(0,Inputs!$B$44-B607)&lt;=0,0,(INT(MAX(0,Inputs!$B$44-B607)/IF(Inputs!$B$39="pvp",15,MAX(0.1,Skills!D5-IF(Skills!E5=TRUE,Inputs!$B$32,0))))+1)),0)</f>
        <v/>
      </c>
      <c r="S567">
        <f>IFERROR(O567/N567,0)</f>
        <v/>
      </c>
      <c r="T567">
        <f>IF(C567,(H567*N567*IF(AND(Inputs!$B$39&lt;&gt;"pvp",Inputs!$B$44&gt;0),((Skills!G5*((R567-1)*IF(Skills!H5&gt;0,Skills!I5/Skills!H5,1)+IF(Skills!H5&gt;0,MIN(Skills!I5,MAX(0,MAX(0,Inputs!$B$44-B607)-((R567-1)*IF(Inputs!$B$39="pvp",15,MAX(0.1,Skills!D5-IF(Skills!E5=TRUE,Inputs!$B$32,0))))))/Skills!H5,1)))/Inputs!$B$44),G567*Q567))*IF(Inputs!$B$39="pvp",1,1+(Inputs!$B$20+((C589=TRUE)*(F589-Calc!F27))+Skills!P5+B603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Hunt"),CHOOSE(ArtifactsInput!$N$35+1,15,18,21,24,27,30)*(1-EXP(-(0.2*B598)*5)),0)+IF(AND(ArtifactsInput!$M$22,Inputs!$B$4&lt;&gt;"Chapter Hunt"),CHOOSE(ArtifactsInput!$N$22+1,10,12,14,16,18,20)*((0*(((0.15*B598*5))^0/1)+1*(((0.15*B598*5))^1/1)+2*(((0.15*B598*5))^2/2)+3*(((0.15*B598*5))^3/6)+4*(((0.15*B598*5))^4/24)+5*(((0.15*B598*5))^5/120))/((((0.15*B598*5))^0/1)+(((0.15*B598*5))^1/1)+(((0.15*B598*5))^2/2)+(((0.15*B598*5))^3/6)+(((0.15*B598*5))^4/24)+(((0.15*B598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567*(1-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567*(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567*(1-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567*(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67">
        <f>INDEX(FactorTable!$B$2:$Y$301, MATCH(ROUND(MIN(300,MAX(1,U566)),0), FactorTable!$A$2:$A$301,0), 22)</f>
        <v/>
      </c>
      <c r="V567">
        <f>IF(C567,(H567*N567*IF(AND(Inputs!$B$39&lt;&gt;"pvp",Inputs!$B$44&gt;0),((Skills!G5*((R567-1)*IF(Skills!H5&gt;0,Skills!I5/Skills!H5,1)+IF(Skills!H5&gt;0,MIN(Skills!I5,MAX(0,MAX(0,Inputs!$B$44-B607)-((R567-1)*IF(Inputs!$B$39="pvp",15,MAX(0.1,Skills!D5-IF(Skills!E5=TRUE,Inputs!$B$32,0))))))/Skills!H5,1)))/Inputs!$B$44),G567*Q567))*IF(Inputs!$B$39="pvp",1,(1+(Inputs!$B$21+Skills!Q5+B603+(IF(ArtifactsInput!$M$33,CHOOSE(ArtifactsInput!$N$33+1,30,36,42,48,54,60),0))+(IF(AND(ArtifactsInput!$M$35,Inputs!$B$4&lt;&gt;"Chapter Hunt"),CHOOSE(ArtifactsInput!$N$35+1,15,18,21,24,27,30)*(1-EXP(-(0.2*B598)*5)),0)+IF(AND(ArtifactsInput!$M$22,Inputs!$B$4&lt;&gt;"Chapter Hunt"),CHOOSE(ArtifactsInput!$N$22+1,10,12,14,16,18,20)*((0*(((0.15*B598*5))^0/1)+1*(((0.15*B598*5))^1/1)+2*(((0.15*B598*5))^2/2)+3*(((0.15*B598*5))^3/6)+4*(((0.15*B598*5))^4/24)+5*(((0.15*B598*5))^5/120))/((((0.15*B598*5))^0/1)+(((0.15*B598*5))^1/1)+(((0.15*B598*5))^2/2)+(((0.15*B598*5))^3/6)+(((0.15*B598*5))^4/24)+(((0.15*B598*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68">
      <c r="A568">
        <f>Skills!A6</f>
        <v/>
      </c>
      <c r="B568">
        <f>Skills!B6</f>
        <v/>
      </c>
      <c r="C568">
        <f>Inputs!$B$3&gt;=66</f>
        <v/>
      </c>
      <c r="D568">
        <f>IF(Skills!C6=1,60+Inputs!$B$25+Inputs!$B$29,IF(Skills!C6=2,90+Inputs!$B$26+Inputs!$B$29,IF(Skills!C6=3,120+Inputs!$B$27+Inputs!$B$29,MAX(0,(Inputs!$B$3-100)*3)+Inputs!$B$28+Inputs!$B$29)))</f>
        <v/>
      </c>
      <c r="E568">
        <f>INDEX(FactorTable!$B$2:$Y$301, MATCH(ROUND(MIN(300,MAX(1,D568)),0), FactorTable!$A$2:$A$301,0), Skills!M6+1)</f>
        <v/>
      </c>
      <c r="F568">
        <f>IF(Skills!N6=TRUE,(Skills!L6/10)*(E568/1000),Skills!L6/10)+Skills!O6</f>
        <v/>
      </c>
      <c r="G568">
        <f>Calc!G6</f>
        <v/>
      </c>
      <c r="H568">
        <f>Calc!H6</f>
        <v/>
      </c>
      <c r="I568">
        <f>IF(Skills!AA6&lt;&gt;"",1+(Skills!AA6/10)*(U565/1000)/100,1)</f>
        <v/>
      </c>
      <c r="J568" t="inlineStr"/>
      <c r="K568" t="inlineStr"/>
      <c r="L568" t="inlineStr"/>
      <c r="M568" t="inlineStr"/>
      <c r="N568" t="inlineStr"/>
      <c r="O568">
        <f>(1-Summary!$B$11)*T568+Summary!$B$11*V568</f>
        <v/>
      </c>
      <c r="P568">
        <f>IF(B606=0,0,O568/B606)</f>
        <v/>
      </c>
      <c r="Q568" t="n">
        <v>0</v>
      </c>
      <c r="R568" t="n">
        <v>0</v>
      </c>
      <c r="S568">
        <f>IFERROR(O568/N568,0)</f>
        <v/>
      </c>
      <c r="T568" t="n">
        <v>0</v>
      </c>
      <c r="U568">
        <f>290*U567/1000</f>
        <v/>
      </c>
      <c r="V568" t="n">
        <v>0</v>
      </c>
    </row>
    <row r="569">
      <c r="A569">
        <f>Skills!A7</f>
        <v/>
      </c>
      <c r="B569">
        <f>Skills!B7</f>
        <v/>
      </c>
      <c r="C569">
        <f>Inputs!$B$3&gt;=66</f>
        <v/>
      </c>
      <c r="D569">
        <f>IF(Skills!C7=1,60+Inputs!$B$25+Inputs!$B$29,IF(Skills!C7=2,90+Inputs!$B$26+Inputs!$B$29,IF(Skills!C7=3,120+Inputs!$B$27+Inputs!$B$29,MAX(0,(Inputs!$B$3-100)*3)+Inputs!$B$28+Inputs!$B$29)))</f>
        <v/>
      </c>
      <c r="E569">
        <f>INDEX(FactorTable!$B$2:$Y$301, MATCH(ROUND(MIN(300,MAX(1,D569)),0), FactorTable!$A$2:$A$301,0), Skills!M7+1)</f>
        <v/>
      </c>
      <c r="F569">
        <f>IF(Skills!N7=TRUE,(Skills!L7/10)*(E569/1000),Skills!L7/10)+Skills!O7</f>
        <v/>
      </c>
      <c r="G569">
        <f>Calc!G7</f>
        <v/>
      </c>
      <c r="H569">
        <f>Calc!H7</f>
        <v/>
      </c>
      <c r="I569">
        <f>IF(Skills!AA7&lt;&gt;"",1+(Skills!AA7/10)*(U565/1000)/100,1)</f>
        <v/>
      </c>
      <c r="J569" t="inlineStr"/>
      <c r="K569" t="inlineStr"/>
      <c r="L569" t="inlineStr"/>
      <c r="M569" t="inlineStr"/>
      <c r="N569" t="inlineStr"/>
      <c r="O569">
        <f>(1-Summary!$B$11)*T569+Summary!$B$11*V569</f>
        <v/>
      </c>
      <c r="P569">
        <f>IF(B606=0,0,O569/B606)</f>
        <v/>
      </c>
      <c r="Q569" t="n">
        <v>0</v>
      </c>
      <c r="R569" t="n">
        <v>0</v>
      </c>
      <c r="S569">
        <f>IFERROR(O569/N569,0)</f>
        <v/>
      </c>
      <c r="T569" t="n">
        <v>0</v>
      </c>
      <c r="V569" t="n">
        <v>0</v>
      </c>
    </row>
    <row r="570">
      <c r="A570">
        <f>Skills!A8</f>
        <v/>
      </c>
      <c r="B570">
        <f>Skills!B8</f>
        <v/>
      </c>
      <c r="C570">
        <f>Inputs!$B$3&gt;=69</f>
        <v/>
      </c>
      <c r="D570">
        <f>IF(Skills!C8=1,60+Inputs!$B$25+Inputs!$B$29,IF(Skills!C8=2,90+Inputs!$B$26+Inputs!$B$29,IF(Skills!C8=3,120+Inputs!$B$27+Inputs!$B$29,MAX(0,(Inputs!$B$3-100)*3)+Inputs!$B$28+Inputs!$B$29)))</f>
        <v/>
      </c>
      <c r="E570">
        <f>INDEX(FactorTable!$B$2:$Y$301, MATCH(ROUND(MIN(300,MAX(1,D570)),0), FactorTable!$A$2:$A$301,0), Skills!M8+1)</f>
        <v/>
      </c>
      <c r="F570">
        <f>IF(Skills!N8=TRUE,(Skills!L8/10)*(E570/1000),Skills!L8/10)+Skills!O8</f>
        <v/>
      </c>
      <c r="G570">
        <f>Calc!G8</f>
        <v/>
      </c>
      <c r="H570">
        <f>Calc!H8</f>
        <v/>
      </c>
      <c r="I570">
        <f>IF(Skills!AA8&lt;&gt;"",1+(Skills!AA8/10)*(U565/1000)/100,1)</f>
        <v/>
      </c>
      <c r="J570">
        <f>((Inputs!$B$6*(1+Inputs!$B$7/100))+(((Inputs!$B$12*(1+Inputs!$B$13/100))-(Inputs!$B$12*(1+Inputs!$B$13/100)))+0.25*(Inputs!$B$14-Inputs!$B$14))*(1+Inputs!$B$7/100))*(F570/100)</f>
        <v/>
      </c>
      <c r="K570">
        <f>J570*(1+((Inputs!$B$12*(1+Inputs!$B$13/100))*0.01+Inputs!$B$14*0.0025)/100)*(1+Inputs!$B$15/100)*(1+Inputs!$B$16/100)*(5000/(6000+Inputs!$B$43*(1-(100*(1-(1-(Inputs!$B$19+0)/100)*(1-CHOOSE(ArtifactsInput!$N$40+1,5,6,7,8,9,10)/100)^(ArtifactsInput!$M$40-ArtifactsInput!$M$40)))/100)))*(1+(Inputs!$B$24+((C592=TRUE)*(F592-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585=TRUE)*(F585-Calc!F23))+(((IF(AND(ArtifactsInput!$M$42,(((Inputs!$B$9+1)+((C587=TRUE)*(F587-Calc!F25))+B602+(ArtifactsInput!$M$24-ArtifactsInput!$M$24)*CHOOSE(ArtifactsInput!$N$24+1,10,12,14,16,18,20)+IF(ArtifactsInput!$M$10,CHOOSE(ArtifactsInput!$N$10+1,15,18,21,24,27,30)*(IF(Inputs!$B$39="pvp",MIN(15,15)/15,IF(AND(Inputs!$B$39&lt;&gt;"pvp",Inputs!$B$44&gt;0),MIN(15,Inputs!$B$44)/(Inputs!$B$44),0))),0)))&gt;=100),MIN(100,(((Inputs!$B$9+1)+((C587=TRUE)*(F587-Calc!F25))+B602+(ArtifactsInput!$M$24-ArtifactsInput!$M$24)*CHOOSE(ArtifactsInput!$N$24+1,10,12,14,16,18,20)+IF(ArtifactsInput!$M$10,CHOOSE(ArtifactsInput!$N$10+1,15,18,21,24,27,30)*(IF(Inputs!$B$39="pvp",MIN(15,15)/15,IF(AND(Inputs!$B$39&lt;&gt;"pvp",Inputs!$B$44&gt;0),MIN(15,Inputs!$B$44)/(Inputs!$B$44),0))),0)))-100),0))*CHOOSE(ArtifactsInput!$N$42+1,0.6,0.72,0.84,0.96,1.08,1.2))),Inputs!$B$18+((C591=TRUE)*(F591-Calc!F29))+(IF(AND(ArtifactsInput!$M$42,(((Inputs!$B$9+1)+((C587=TRUE)*(F587-Calc!F25))+B602+(ArtifactsInput!$M$24-ArtifactsInput!$M$24)*CHOOSE(ArtifactsInput!$N$24+1,10,12,14,16,18,20)+IF(ArtifactsInput!$M$10,CHOOSE(ArtifactsInput!$N$10+1,15,18,21,24,27,30)*(IF(Inputs!$B$39="pvp",MIN(15,15)/15,IF(AND(Inputs!$B$39&lt;&gt;"pvp",Inputs!$B$44&gt;0),MIN(15,Inputs!$B$44)/(Inputs!$B$44),0))),0)))&gt;=100),CHOOSE(ArtifactsInput!$N$42+1,40,48,56,64,72,80),0))))/100)*(((1+(((C583=TRUE)*F583*IF(AND(Inputs!$B$39&lt;&gt;"pvp",Inputs!$B$44&gt;0),(((R583-1)*(Skills!Y21*(1+Inputs!$B$34/100))+MIN((Skills!Y21*(1+Inputs!$B$34/100)),MAX(0,Inputs!$B$44-((R583-1)*Skills!D21))))/Inputs!$B$44),IF(Inputs!$B$39="pvp",MIN((Skills!Y21*(1+Inputs!$B$34/100)),15)/15,(Skills!Y21*(1+Inputs!$B$34/100))/Skills!D21)))+((C590=TRUE)*(F590-Calc!F28))+((C580=TRUE)*(F580-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577=TRUE)*F577*IF(AND(Inputs!$B$39&lt;&gt;"pvp",Inputs!$B$44&gt;0),(((R577-1)*(Skills!Y15*(1+Inputs!$B$34/100))+MIN((Skills!Y15*(1+Inputs!$B$34/100)),MAX(0,Inputs!$B$44-((R577-1)*Skills!D15))))/Inputs!$B$44),IF(Inputs!$B$39="pvp",MIN((Skills!Y15*(1+Inputs!$B$34/100)),15)/15,(Skills!Y15*(1+Inputs!$B$34/100))/Skills!D15)))/100)*(1+((C568=TRUE)*F568*B596)/100))*B604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570)</f>
        <v/>
      </c>
      <c r="L570">
        <f>K570*(MIN(Inputs!$B$22+((C586=TRUE)*(F586-Calc!F24)),(Inputs!$B$23+0+(IF(ArtifactsInput!$M$15,CHOOSE(ArtifactsInput!$N$15+1,25,30,35,40,45,50)/100*(Inputs!$B$11-Inputs!$B$11),0))))/100+(Inputs!$B$23+0+(IF(ArtifactsInput!$M$15,CHOOSE(ArtifactsInput!$N$15+1,25,30,35,40,45,50)/100*(Inputs!$B$11-Inputs!$B$11),0)))/100)/2</f>
        <v/>
      </c>
      <c r="M570">
        <f>L570*(1+(Inputs!$B$10+((C588=TRUE)*(F588-Calc!F26))+B605+(IF(ArtifactsInput!$M$24,CHOOSE(ArtifactsInput!$N$24+1,30,36,42,48,54,60)/100*((Inputs!$B$9+1)-Inputs!$B$9),0)+IF(ArtifactsInput!$M$10,CHOOSE(ArtifactsInput!$N$10+1,20,24,28,32,36,40)*(IF(Inputs!$B$39="pvp",MIN(15,15)/15,IF(AND(Inputs!$B$39&lt;&gt;"pvp",Inputs!$B$44&gt;0),MIN(15,Inputs!$B$44)/(Inputs!$B$44),0))),0)+IF(ArtifactsInput!$M$31,1.5*CHOOSE(ArtifactsInput!$N$31+1,20,24,28,32,36,40),0)))/100)</f>
        <v/>
      </c>
      <c r="N570">
        <f>L570*(1-MIN(((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570*(MIN(((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70">
        <f>(1-Summary!$B$11)*T570+Summary!$B$11*V570</f>
        <v/>
      </c>
      <c r="P570">
        <f>IF(B606=0,0,O570/B606)</f>
        <v/>
      </c>
      <c r="Q570">
        <f>IFERROR(1/IF(Inputs!$B$39="pvp",15,MAX(0.1,Skills!D8-IF(Skills!E8=TRUE,Inputs!$B$32,0))),0)</f>
        <v/>
      </c>
      <c r="R570">
        <f>IF(AND(Inputs!$B$39&lt;&gt;"pvp",Inputs!$B$44&gt;0),IF(MAX(0,Inputs!$B$44-B607)&lt;=0,0,(INT(MAX(0,Inputs!$B$44-B607)/IF(Inputs!$B$39="pvp",15,MAX(0.1,Skills!D8-IF(Skills!E8=TRUE,Inputs!$B$32,0))))+1)),0)</f>
        <v/>
      </c>
      <c r="S570">
        <f>IFERROR(O570/N570,0)</f>
        <v/>
      </c>
      <c r="T570">
        <f>IF(C570,(H570*N570*IF(AND(Inputs!$B$39&lt;&gt;"pvp",Inputs!$B$44&gt;0),((Skills!G8*((R570-1)*IF(Skills!H8&gt;0,Skills!I8/Skills!H8,1)+IF(Skills!H8&gt;0,MIN(Skills!I8,MAX(0,MAX(0,Inputs!$B$44-B607)-((R570-1)*IF(Inputs!$B$39="pvp",15,MAX(0.1,Skills!D8-IF(Skills!E8=TRUE,Inputs!$B$32,0))))))/Skills!H8,1)))/Inputs!$B$44),G570*Q570))*IF(Inputs!$B$39="pvp",1,1+(Inputs!$B$20+((C589=TRUE)*(F589-Calc!F27))+Skills!P8+B603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Hunt"),CHOOSE(ArtifactsInput!$N$35+1,15,18,21,24,27,30)*(1-EXP(-(0.2*B598)*5)),0)+IF(AND(ArtifactsInput!$M$22,Inputs!$B$4&lt;&gt;"Chapter Hunt"),CHOOSE(ArtifactsInput!$N$22+1,10,12,14,16,18,20)*((0*(((0.15*B598*5))^0/1)+1*(((0.15*B598*5))^1/1)+2*(((0.15*B598*5))^2/2)+3*(((0.15*B598*5))^3/6)+4*(((0.15*B598*5))^4/24)+5*(((0.15*B598*5))^5/120))/((((0.15*B598*5))^0/1)+(((0.15*B598*5))^1/1)+(((0.15*B598*5))^2/2)+(((0.15*B598*5))^3/6)+(((0.15*B598*5))^4/24)+(((0.15*B598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570*(1-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570*(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570*(1-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570*(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70">
        <f>IF(C570,(H570*N570*IF(AND(Inputs!$B$39&lt;&gt;"pvp",Inputs!$B$44&gt;0),((Skills!G8*((R570-1)*IF(Skills!H8&gt;0,Skills!I8/Skills!H8,1)+IF(Skills!H8&gt;0,MIN(Skills!I8,MAX(0,MAX(0,Inputs!$B$44-B607)-((R570-1)*IF(Inputs!$B$39="pvp",15,MAX(0.1,Skills!D8-IF(Skills!E8=TRUE,Inputs!$B$32,0))))))/Skills!H8,1)))/Inputs!$B$44),G570*Q570))*IF(Inputs!$B$39="pvp",1,(1+(Inputs!$B$21+Skills!Q8+B603+(IF(ArtifactsInput!$M$33,CHOOSE(ArtifactsInput!$N$33+1,30,36,42,48,54,60),0))+(IF(AND(ArtifactsInput!$M$35,Inputs!$B$4&lt;&gt;"Chapter Hunt"),CHOOSE(ArtifactsInput!$N$35+1,15,18,21,24,27,30)*(1-EXP(-(0.2*B598)*5)),0)+IF(AND(ArtifactsInput!$M$22,Inputs!$B$4&lt;&gt;"Chapter Hunt"),CHOOSE(ArtifactsInput!$N$22+1,10,12,14,16,18,20)*((0*(((0.15*B598*5))^0/1)+1*(((0.15*B598*5))^1/1)+2*(((0.15*B598*5))^2/2)+3*(((0.15*B598*5))^3/6)+4*(((0.15*B598*5))^4/24)+5*(((0.15*B598*5))^5/120))/((((0.15*B598*5))^0/1)+(((0.15*B598*5))^1/1)+(((0.15*B598*5))^2/2)+(((0.15*B598*5))^3/6)+(((0.15*B598*5))^4/24)+(((0.15*B598*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71">
      <c r="A571">
        <f>Skills!A9</f>
        <v/>
      </c>
      <c r="B571">
        <f>Skills!B9</f>
        <v/>
      </c>
      <c r="C571">
        <f>Inputs!$B$3&gt;=72</f>
        <v/>
      </c>
      <c r="D571">
        <f>IF(Skills!C9=1,60+Inputs!$B$25+Inputs!$B$29,IF(Skills!C9=2,90+Inputs!$B$26+Inputs!$B$29,IF(Skills!C9=3,120+Inputs!$B$27+Inputs!$B$29,MAX(0,(Inputs!$B$3-100)*3)+Inputs!$B$28+Inputs!$B$29)))</f>
        <v/>
      </c>
      <c r="E571">
        <f>INDEX(FactorTable!$B$2:$Y$301, MATCH(ROUND(MIN(300,MAX(1,D571)),0), FactorTable!$A$2:$A$301,0), Skills!M9+1)</f>
        <v/>
      </c>
      <c r="F571">
        <f>IF(Skills!N9=TRUE,(Skills!L9/10)*(E571/1000),Skills!L9/10)+Skills!O9</f>
        <v/>
      </c>
      <c r="G571">
        <f>Calc!G9</f>
        <v/>
      </c>
      <c r="H571">
        <f>Calc!H9</f>
        <v/>
      </c>
      <c r="I571">
        <f>IF(Skills!AA9&lt;&gt;"",1+(Skills!AA9/10)*(U565/1000)/100,1)</f>
        <v/>
      </c>
      <c r="J571">
        <f>((Inputs!$B$6*(1+Inputs!$B$7/100))+(((Inputs!$B$12*(1+Inputs!$B$13/100))-(Inputs!$B$12*(1+Inputs!$B$13/100)))+0.25*(Inputs!$B$14-Inputs!$B$14))*(1+Inputs!$B$7/100))*(F571/100)</f>
        <v/>
      </c>
      <c r="K571">
        <f>J571*(1+((Inputs!$B$12*(1+Inputs!$B$13/100))*0.01+Inputs!$B$14*0.0025)/100)*(1+Inputs!$B$15/100)*(1+Inputs!$B$16/100)*(5000/(6000+Inputs!$B$43*(1-(100*(1-(1-(Inputs!$B$19+0)/100)*(1-CHOOSE(ArtifactsInput!$N$40+1,5,6,7,8,9,10)/100)^(ArtifactsInput!$M$40-ArtifactsInput!$M$40)))/100)))*(1+(Inputs!$B$24+((C592=TRUE)*(F592-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585=TRUE)*(F585-Calc!F23))+(((IF(AND(ArtifactsInput!$M$42,(((Inputs!$B$9+1)+((C587=TRUE)*(F587-Calc!F25))+B602+(ArtifactsInput!$M$24-ArtifactsInput!$M$24)*CHOOSE(ArtifactsInput!$N$24+1,10,12,14,16,18,20)+IF(ArtifactsInput!$M$10,CHOOSE(ArtifactsInput!$N$10+1,15,18,21,24,27,30)*(IF(Inputs!$B$39="pvp",MIN(15,15)/15,IF(AND(Inputs!$B$39&lt;&gt;"pvp",Inputs!$B$44&gt;0),MIN(15,Inputs!$B$44)/(Inputs!$B$44),0))),0)))&gt;=100),MIN(100,(((Inputs!$B$9+1)+((C587=TRUE)*(F587-Calc!F25))+B602+(ArtifactsInput!$M$24-ArtifactsInput!$M$24)*CHOOSE(ArtifactsInput!$N$24+1,10,12,14,16,18,20)+IF(ArtifactsInput!$M$10,CHOOSE(ArtifactsInput!$N$10+1,15,18,21,24,27,30)*(IF(Inputs!$B$39="pvp",MIN(15,15)/15,IF(AND(Inputs!$B$39&lt;&gt;"pvp",Inputs!$B$44&gt;0),MIN(15,Inputs!$B$44)/(Inputs!$B$44),0))),0)))-100),0))*CHOOSE(ArtifactsInput!$N$42+1,0.6,0.72,0.84,0.96,1.08,1.2))),Inputs!$B$18+((C591=TRUE)*(F591-Calc!F29))+(IF(AND(ArtifactsInput!$M$42,(((Inputs!$B$9+1)+((C587=TRUE)*(F587-Calc!F25))+B602+(ArtifactsInput!$M$24-ArtifactsInput!$M$24)*CHOOSE(ArtifactsInput!$N$24+1,10,12,14,16,18,20)+IF(ArtifactsInput!$M$10,CHOOSE(ArtifactsInput!$N$10+1,15,18,21,24,27,30)*(IF(Inputs!$B$39="pvp",MIN(15,15)/15,IF(AND(Inputs!$B$39&lt;&gt;"pvp",Inputs!$B$44&gt;0),MIN(15,Inputs!$B$44)/(Inputs!$B$44),0))),0)))&gt;=100),CHOOSE(ArtifactsInput!$N$42+1,40,48,56,64,72,80),0))))/100)*(((1+(((C583=TRUE)*F583*IF(AND(Inputs!$B$39&lt;&gt;"pvp",Inputs!$B$44&gt;0),(((R583-1)*(Skills!Y21*(1+Inputs!$B$34/100))+MIN((Skills!Y21*(1+Inputs!$B$34/100)),MAX(0,Inputs!$B$44-((R583-1)*Skills!D21))))/Inputs!$B$44),IF(Inputs!$B$39="pvp",MIN((Skills!Y21*(1+Inputs!$B$34/100)),15)/15,(Skills!Y21*(1+Inputs!$B$34/100))/Skills!D21)))+((C590=TRUE)*(F590-Calc!F28))+((C580=TRUE)*(F580-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577=TRUE)*F577*IF(AND(Inputs!$B$39&lt;&gt;"pvp",Inputs!$B$44&gt;0),(((R577-1)*(Skills!Y15*(1+Inputs!$B$34/100))+MIN((Skills!Y15*(1+Inputs!$B$34/100)),MAX(0,Inputs!$B$44-((R577-1)*Skills!D15))))/Inputs!$B$44),IF(Inputs!$B$39="pvp",MIN((Skills!Y15*(1+Inputs!$B$34/100)),15)/15,(Skills!Y15*(1+Inputs!$B$34/100))/Skills!D15)))/100)*(1+((C568=TRUE)*F568*B596)/100))*B604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571)</f>
        <v/>
      </c>
      <c r="L571">
        <f>K571*(MIN(Inputs!$B$22+((C586=TRUE)*(F586-Calc!F24)),(Inputs!$B$23+0+(IF(ArtifactsInput!$M$15,CHOOSE(ArtifactsInput!$N$15+1,25,30,35,40,45,50)/100*(Inputs!$B$11-Inputs!$B$11),0))))/100+(Inputs!$B$23+0+(IF(ArtifactsInput!$M$15,CHOOSE(ArtifactsInput!$N$15+1,25,30,35,40,45,50)/100*(Inputs!$B$11-Inputs!$B$11),0)))/100)/2</f>
        <v/>
      </c>
      <c r="M571">
        <f>L571*(1+(Inputs!$B$10+((C588=TRUE)*(F588-Calc!F26))+B605+(IF(ArtifactsInput!$M$24,CHOOSE(ArtifactsInput!$N$24+1,30,36,42,48,54,60)/100*((Inputs!$B$9+1)-Inputs!$B$9),0)+IF(ArtifactsInput!$M$10,CHOOSE(ArtifactsInput!$N$10+1,20,24,28,32,36,40)*(IF(Inputs!$B$39="pvp",MIN(15,15)/15,IF(AND(Inputs!$B$39&lt;&gt;"pvp",Inputs!$B$44&gt;0),MIN(15,Inputs!$B$44)/(Inputs!$B$44),0))),0)+IF(ArtifactsInput!$M$31,1.5*CHOOSE(ArtifactsInput!$N$31+1,20,24,28,32,36,40),0)))/100)</f>
        <v/>
      </c>
      <c r="N571">
        <f>L571*(1-MIN(((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571*(MIN(((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71">
        <f>(1-Summary!$B$11)*T571+Summary!$B$11*V571</f>
        <v/>
      </c>
      <c r="P571">
        <f>IF(B606=0,0,O571/B606)</f>
        <v/>
      </c>
      <c r="Q571">
        <f>IFERROR(1/IF(Inputs!$B$39="pvp",15,MAX(0.1,Skills!D9-IF(Skills!E9=TRUE,Inputs!$B$32,0))),0)</f>
        <v/>
      </c>
      <c r="R571">
        <f>IF(AND(Inputs!$B$39&lt;&gt;"pvp",Inputs!$B$44&gt;0),IF(MAX(0,Inputs!$B$44-B607)&lt;=0,0,(INT(MAX(0,Inputs!$B$44-B607)/IF(Inputs!$B$39="pvp",15,MAX(0.1,Skills!D9-IF(Skills!E9=TRUE,Inputs!$B$32,0))))+1)),0)</f>
        <v/>
      </c>
      <c r="S571">
        <f>IFERROR(O571/N571,0)</f>
        <v/>
      </c>
      <c r="T571">
        <f>IF(C571,(H571*N571*IF(AND(Inputs!$B$39&lt;&gt;"pvp",Inputs!$B$44&gt;0),((Skills!G9*((R571-1)*IF(Skills!H9&gt;0,Skills!I9/Skills!H9,1)+IF(Skills!H9&gt;0,MIN(Skills!I9,MAX(0,MAX(0,Inputs!$B$44-B607)-((R571-1)*IF(Inputs!$B$39="pvp",15,MAX(0.1,Skills!D9-IF(Skills!E9=TRUE,Inputs!$B$32,0))))))/Skills!H9,1)))/Inputs!$B$44),G571*Q571))*IF(Inputs!$B$39="pvp",1,1+(Inputs!$B$20+((C589=TRUE)*(F589-Calc!F27))+Skills!P9+B603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Hunt"),CHOOSE(ArtifactsInput!$N$35+1,15,18,21,24,27,30)*(1-EXP(-(0.2*B598)*5)),0)+IF(AND(ArtifactsInput!$M$22,Inputs!$B$4&lt;&gt;"Chapter Hunt"),CHOOSE(ArtifactsInput!$N$22+1,10,12,14,16,18,20)*((0*(((0.15*B598*5))^0/1)+1*(((0.15*B598*5))^1/1)+2*(((0.15*B598*5))^2/2)+3*(((0.15*B598*5))^3/6)+4*(((0.15*B598*5))^4/24)+5*(((0.15*B598*5))^5/120))/((((0.15*B598*5))^0/1)+(((0.15*B598*5))^1/1)+(((0.15*B598*5))^2/2)+(((0.15*B598*5))^3/6)+(((0.15*B598*5))^4/24)+(((0.15*B598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571*(1-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571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571*(1-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571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71">
        <f>IF(C571,(H571*N571*IF(AND(Inputs!$B$39&lt;&gt;"pvp",Inputs!$B$44&gt;0),((Skills!G9*((R571-1)*IF(Skills!H9&gt;0,Skills!I9/Skills!H9,1)+IF(Skills!H9&gt;0,MIN(Skills!I9,MAX(0,MAX(0,Inputs!$B$44-B607)-((R571-1)*IF(Inputs!$B$39="pvp",15,MAX(0.1,Skills!D9-IF(Skills!E9=TRUE,Inputs!$B$32,0))))))/Skills!H9,1)))/Inputs!$B$44),G571*Q571))*IF(Inputs!$B$39="pvp",1,(1+(Inputs!$B$21+Skills!Q9+B603+(IF(ArtifactsInput!$M$33,CHOOSE(ArtifactsInput!$N$33+1,30,36,42,48,54,60),0))+(IF(AND(ArtifactsInput!$M$35,Inputs!$B$4&lt;&gt;"Chapter Hunt"),CHOOSE(ArtifactsInput!$N$35+1,15,18,21,24,27,30)*(1-EXP(-(0.2*B598)*5)),0)+IF(AND(ArtifactsInput!$M$22,Inputs!$B$4&lt;&gt;"Chapter Hunt"),CHOOSE(ArtifactsInput!$N$22+1,10,12,14,16,18,20)*((0*(((0.15*B598*5))^0/1)+1*(((0.15*B598*5))^1/1)+2*(((0.15*B598*5))^2/2)+3*(((0.15*B598*5))^3/6)+4*(((0.15*B598*5))^4/24)+5*(((0.15*B598*5))^5/120))/((((0.15*B598*5))^0/1)+(((0.15*B598*5))^1/1)+(((0.15*B598*5))^2/2)+(((0.15*B598*5))^3/6)+(((0.15*B598*5))^4/24)+(((0.15*B598*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72">
      <c r="A572">
        <f>Skills!A10</f>
        <v/>
      </c>
      <c r="B572">
        <f>Skills!B10</f>
        <v/>
      </c>
      <c r="C572">
        <f>Inputs!$B$3&gt;=117</f>
        <v/>
      </c>
      <c r="D572">
        <f>IF(Skills!C10=1,60+Inputs!$B$25+Inputs!$B$29,IF(Skills!C10=2,90+Inputs!$B$26+Inputs!$B$29,IF(Skills!C10=3,120+Inputs!$B$27+Inputs!$B$29,MAX(0,(Inputs!$B$3-100)*3)+Inputs!$B$28+Inputs!$B$29)))</f>
        <v/>
      </c>
      <c r="E572">
        <f>INDEX(FactorTable!$B$2:$Y$301, MATCH(ROUND(MIN(300,MAX(1,D572)),0), FactorTable!$A$2:$A$301,0), Skills!M10+1)</f>
        <v/>
      </c>
      <c r="F572">
        <f>IF(Skills!N10=TRUE,(Skills!L10/10)*(E572/1000),Skills!L10/10)+Skills!O10</f>
        <v/>
      </c>
      <c r="G572">
        <f>Calc!G10</f>
        <v/>
      </c>
      <c r="H572">
        <f>Calc!H10</f>
        <v/>
      </c>
      <c r="I572">
        <f>IF(Skills!AA10&lt;&gt;"",1+(Skills!AA10/10)*(U565/1000)/100,1)</f>
        <v/>
      </c>
      <c r="J572">
        <f>((Inputs!$B$6*(1+Inputs!$B$7/100))+(((Inputs!$B$12*(1+Inputs!$B$13/100))-(Inputs!$B$12*(1+Inputs!$B$13/100)))+0.25*(Inputs!$B$14-Inputs!$B$14))*(1+Inputs!$B$7/100))*(F572/100)</f>
        <v/>
      </c>
      <c r="K572">
        <f>J572*(1+((Inputs!$B$12*(1+Inputs!$B$13/100))*0.01+Inputs!$B$14*0.0025)/100)*(1+Inputs!$B$15/100)*(1+Inputs!$B$16/100)*(5000/(6000+Inputs!$B$43*(1-(100*(1-(1-(Inputs!$B$19+0)/100)*(1-CHOOSE(ArtifactsInput!$N$40+1,5,6,7,8,9,10)/100)^(ArtifactsInput!$M$40-ArtifactsInput!$M$40)))/100)))*(1+(Inputs!$B$24+((C592=TRUE)*(F592-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585=TRUE)*(F585-Calc!F23))+(((IF(AND(ArtifactsInput!$M$42,(((Inputs!$B$9+1)+((C587=TRUE)*(F587-Calc!F25))+B602+(ArtifactsInput!$M$24-ArtifactsInput!$M$24)*CHOOSE(ArtifactsInput!$N$24+1,10,12,14,16,18,20)+IF(ArtifactsInput!$M$10,CHOOSE(ArtifactsInput!$N$10+1,15,18,21,24,27,30)*(IF(Inputs!$B$39="pvp",MIN(15,15)/15,IF(AND(Inputs!$B$39&lt;&gt;"pvp",Inputs!$B$44&gt;0),MIN(15,Inputs!$B$44)/(Inputs!$B$44),0))),0)))&gt;=100),MIN(100,(((Inputs!$B$9+1)+((C587=TRUE)*(F587-Calc!F25))+B602+(ArtifactsInput!$M$24-ArtifactsInput!$M$24)*CHOOSE(ArtifactsInput!$N$24+1,10,12,14,16,18,20)+IF(ArtifactsInput!$M$10,CHOOSE(ArtifactsInput!$N$10+1,15,18,21,24,27,30)*(IF(Inputs!$B$39="pvp",MIN(15,15)/15,IF(AND(Inputs!$B$39&lt;&gt;"pvp",Inputs!$B$44&gt;0),MIN(15,Inputs!$B$44)/(Inputs!$B$44),0))),0)))-100),0))*CHOOSE(ArtifactsInput!$N$42+1,0.6,0.72,0.84,0.96,1.08,1.2))),Inputs!$B$18+((C591=TRUE)*(F591-Calc!F29))+(IF(AND(ArtifactsInput!$M$42,(((Inputs!$B$9+1)+((C587=TRUE)*(F587-Calc!F25))+B602+(ArtifactsInput!$M$24-ArtifactsInput!$M$24)*CHOOSE(ArtifactsInput!$N$24+1,10,12,14,16,18,20)+IF(ArtifactsInput!$M$10,CHOOSE(ArtifactsInput!$N$10+1,15,18,21,24,27,30)*(IF(Inputs!$B$39="pvp",MIN(15,15)/15,IF(AND(Inputs!$B$39&lt;&gt;"pvp",Inputs!$B$44&gt;0),MIN(15,Inputs!$B$44)/(Inputs!$B$44),0))),0)))&gt;=100),CHOOSE(ArtifactsInput!$N$42+1,40,48,56,64,72,80),0))))/100)*(((1+(((C583=TRUE)*F583*IF(AND(Inputs!$B$39&lt;&gt;"pvp",Inputs!$B$44&gt;0),(((R583-1)*(Skills!Y21*(1+Inputs!$B$34/100))+MIN((Skills!Y21*(1+Inputs!$B$34/100)),MAX(0,Inputs!$B$44-((R583-1)*Skills!D21))))/Inputs!$B$44),IF(Inputs!$B$39="pvp",MIN((Skills!Y21*(1+Inputs!$B$34/100)),15)/15,(Skills!Y21*(1+Inputs!$B$34/100))/Skills!D21)))+((C590=TRUE)*(F590-Calc!F28))+((C580=TRUE)*(F580-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577=TRUE)*F577*IF(AND(Inputs!$B$39&lt;&gt;"pvp",Inputs!$B$44&gt;0),(((R577-1)*(Skills!Y15*(1+Inputs!$B$34/100))+MIN((Skills!Y15*(1+Inputs!$B$34/100)),MAX(0,Inputs!$B$44-((R577-1)*Skills!D15))))/Inputs!$B$44),IF(Inputs!$B$39="pvp",MIN((Skills!Y15*(1+Inputs!$B$34/100)),15)/15,(Skills!Y15*(1+Inputs!$B$34/100))/Skills!D15)))/100)*(1+((C568=TRUE)*F568*B596)/100))*B604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572)</f>
        <v/>
      </c>
      <c r="L572">
        <f>K572*(MIN(Inputs!$B$22+((C586=TRUE)*(F586-Calc!F24)),(Inputs!$B$23+0+(IF(ArtifactsInput!$M$15,CHOOSE(ArtifactsInput!$N$15+1,25,30,35,40,45,50)/100*(Inputs!$B$11-Inputs!$B$11),0))))/100+(Inputs!$B$23+0+(IF(ArtifactsInput!$M$15,CHOOSE(ArtifactsInput!$N$15+1,25,30,35,40,45,50)/100*(Inputs!$B$11-Inputs!$B$11),0)))/100)/2</f>
        <v/>
      </c>
      <c r="M572">
        <f>L572*(1+(Inputs!$B$10+((C588=TRUE)*(F588-Calc!F26))+B605+(IF(ArtifactsInput!$M$24,CHOOSE(ArtifactsInput!$N$24+1,30,36,42,48,54,60)/100*((Inputs!$B$9+1)-Inputs!$B$9),0)+IF(ArtifactsInput!$M$10,CHOOSE(ArtifactsInput!$N$10+1,20,24,28,32,36,40)*(IF(Inputs!$B$39="pvp",MIN(15,15)/15,IF(AND(Inputs!$B$39&lt;&gt;"pvp",Inputs!$B$44&gt;0),MIN(15,Inputs!$B$44)/(Inputs!$B$44),0))),0)+IF(ArtifactsInput!$M$31,1.5*CHOOSE(ArtifactsInput!$N$31+1,20,24,28,32,36,40),0)))/100)</f>
        <v/>
      </c>
      <c r="N572">
        <f>L572*(1-MIN(((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572*(MIN(((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72">
        <f>(1-Summary!$B$11)*T572+Summary!$B$11*V572</f>
        <v/>
      </c>
      <c r="P572">
        <f>IF(B606=0,0,O572/B606)</f>
        <v/>
      </c>
      <c r="Q572" t="n">
        <v>0</v>
      </c>
      <c r="R572" t="n">
        <v>0</v>
      </c>
      <c r="S572" t="n">
        <v>0</v>
      </c>
      <c r="T572">
        <f>IF(C572,(0.2*SUMPRODUCT((Skills!Z2:Z31=TRUE)*(C564:C593=TRUE)*S564:S593)*N572)*IF(Inputs!$B$39="pvp",1,1+(Inputs!$B$20+((C589=TRUE)*(F589-Calc!F27))+Skills!P10+B603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Hunt"),CHOOSE(ArtifactsInput!$N$35+1,15,18,21,24,27,30)*(1-EXP(-(0.2*B598)*5)),0)+IF(AND(ArtifactsInput!$M$22,Inputs!$B$4&lt;&gt;"Chapter Hunt"),CHOOSE(ArtifactsInput!$N$22+1,10,12,14,16,18,20)*((0*(((0.15*B598*5))^0/1)+1*(((0.15*B598*5))^1/1)+2*(((0.15*B598*5))^2/2)+3*(((0.15*B598*5))^3/6)+4*(((0.15*B598*5))^4/24)+5*(((0.15*B598*5))^5/120))/((((0.15*B598*5))^0/1)+(((0.15*B598*5))^1/1)+(((0.15*B598*5))^2/2)+(((0.15*B598*5))^3/6)+(((0.15*B598*5))^4/24)+(((0.15*B598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572*(1-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572*(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572*(1-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572*(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72">
        <f>IF(C572,(0.2*SUMPRODUCT((Skills!Z2:Z31=TRUE)*(C564:C593=TRUE)*S564:S593)*N572)*IF(Inputs!$B$39="pvp",1,(1+(Inputs!$B$21+Skills!Q10+B603+(IF(ArtifactsInput!$M$33,CHOOSE(ArtifactsInput!$N$33+1,30,36,42,48,54,60),0))+(IF(AND(ArtifactsInput!$M$35,Inputs!$B$4&lt;&gt;"Chapter Hunt"),CHOOSE(ArtifactsInput!$N$35+1,15,18,21,24,27,30)*(1-EXP(-(0.2*B598)*5)),0)+IF(AND(ArtifactsInput!$M$22,Inputs!$B$4&lt;&gt;"Chapter Hunt"),CHOOSE(ArtifactsInput!$N$22+1,10,12,14,16,18,20)*((0*(((0.15*B598*5))^0/1)+1*(((0.15*B598*5))^1/1)+2*(((0.15*B598*5))^2/2)+3*(((0.15*B598*5))^3/6)+4*(((0.15*B598*5))^4/24)+5*(((0.15*B598*5))^5/120))/((((0.15*B598*5))^0/1)+(((0.15*B598*5))^1/1)+(((0.15*B598*5))^2/2)+(((0.15*B598*5))^3/6)+(((0.15*B598*5))^4/24)+(((0.15*B598*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73">
      <c r="A573">
        <f>Skills!A11</f>
        <v/>
      </c>
      <c r="B573">
        <f>Skills!B11</f>
        <v/>
      </c>
      <c r="C573">
        <f>Inputs!$B$3&gt;=60</f>
        <v/>
      </c>
      <c r="D573">
        <f>IF(Skills!C11=1,60+Inputs!$B$25+Inputs!$B$29,IF(Skills!C11=2,90+Inputs!$B$26+Inputs!$B$29,IF(Skills!C11=3,120+Inputs!$B$27+Inputs!$B$29,MAX(0,(Inputs!$B$3-100)*3)+Inputs!$B$28+Inputs!$B$29)))</f>
        <v/>
      </c>
      <c r="E573">
        <f>INDEX(FactorTable!$B$2:$Y$301, MATCH(ROUND(MIN(300,MAX(1,D573)),0), FactorTable!$A$2:$A$301,0), Skills!M11+1)</f>
        <v/>
      </c>
      <c r="F573">
        <f>IF(Skills!N11=TRUE,(Skills!L11/10)*(E573/1000),Skills!L11/10)+Skills!O11</f>
        <v/>
      </c>
      <c r="G573">
        <f>Calc!G11</f>
        <v/>
      </c>
      <c r="H573">
        <f>Calc!H11</f>
        <v/>
      </c>
      <c r="I573">
        <f>IF(Skills!AA11&lt;&gt;"",1+(Skills!AA11/10)*(U565/1000)/100,1)</f>
        <v/>
      </c>
      <c r="J573" t="inlineStr"/>
      <c r="K573" t="inlineStr"/>
      <c r="L573" t="inlineStr"/>
      <c r="M573" t="inlineStr"/>
      <c r="N573" t="inlineStr"/>
      <c r="O573">
        <f>(1-Summary!$B$11)*T573+Summary!$B$11*V573</f>
        <v/>
      </c>
      <c r="P573">
        <f>IF(B606=0,0,O573/B606)</f>
        <v/>
      </c>
      <c r="Q573" t="n">
        <v>0</v>
      </c>
      <c r="R573" t="n">
        <v>0</v>
      </c>
      <c r="S573">
        <f>IFERROR(O573/N573,0)</f>
        <v/>
      </c>
      <c r="T573" t="n">
        <v>0</v>
      </c>
      <c r="V573" t="n">
        <v>0</v>
      </c>
    </row>
    <row r="574">
      <c r="A574">
        <f>Skills!A12</f>
        <v/>
      </c>
      <c r="B574">
        <f>Skills!B12</f>
        <v/>
      </c>
      <c r="C574">
        <f>Inputs!$B$3&gt;=103</f>
        <v/>
      </c>
      <c r="D574">
        <f>IF(Skills!C12=1,60+Inputs!$B$25+Inputs!$B$29,IF(Skills!C12=2,90+Inputs!$B$26+Inputs!$B$29,IF(Skills!C12=3,120+Inputs!$B$27+Inputs!$B$29,MAX(0,(Inputs!$B$3-100)*3)+Inputs!$B$28+Inputs!$B$29)))</f>
        <v/>
      </c>
      <c r="E574">
        <f>INDEX(FactorTable!$B$2:$Y$301, MATCH(ROUND(MIN(300,MAX(1,D574)),0), FactorTable!$A$2:$A$301,0), Skills!M12+1)</f>
        <v/>
      </c>
      <c r="F574">
        <f>IF(Skills!N12=TRUE,(Skills!L12/10)*(E574/1000),Skills!L12/10)+Skills!O12</f>
        <v/>
      </c>
      <c r="G574">
        <f>Calc!G12</f>
        <v/>
      </c>
      <c r="H574">
        <f>Calc!H12</f>
        <v/>
      </c>
      <c r="I574">
        <f>IF(Skills!AA12&lt;&gt;"",1+(Skills!AA12/10)*(U565/1000)/100,1)</f>
        <v/>
      </c>
      <c r="J574">
        <f>((Inputs!$B$6*(1+Inputs!$B$7/100))+(((Inputs!$B$12*(1+Inputs!$B$13/100))-(Inputs!$B$12*(1+Inputs!$B$13/100)))+0.25*(Inputs!$B$14-Inputs!$B$14))*(1+Inputs!$B$7/100))*(F574/100)</f>
        <v/>
      </c>
      <c r="K574">
        <f>J574*(1+((Inputs!$B$12*(1+Inputs!$B$13/100))*0.01+Inputs!$B$14*0.0025)/100)*(1+Inputs!$B$15/100)*(1+Inputs!$B$16/100)*(5000/(6000+Inputs!$B$43*(1-(100*(1-(1-(Inputs!$B$19+0)/100)*(1-CHOOSE(ArtifactsInput!$N$40+1,5,6,7,8,9,10)/100)^(ArtifactsInput!$M$40-ArtifactsInput!$M$40)))/100)))*(1+(Inputs!$B$24+((C592=TRUE)*(F592-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585=TRUE)*(F585-Calc!F23))+(((IF(AND(ArtifactsInput!$M$42,(((Inputs!$B$9+1)+((C587=TRUE)*(F587-Calc!F25))+B602+(ArtifactsInput!$M$24-ArtifactsInput!$M$24)*CHOOSE(ArtifactsInput!$N$24+1,10,12,14,16,18,20)+IF(ArtifactsInput!$M$10,CHOOSE(ArtifactsInput!$N$10+1,15,18,21,24,27,30)*(IF(Inputs!$B$39="pvp",MIN(15,15)/15,IF(AND(Inputs!$B$39&lt;&gt;"pvp",Inputs!$B$44&gt;0),MIN(15,Inputs!$B$44)/(Inputs!$B$44),0))),0)))&gt;=100),MIN(100,(((Inputs!$B$9+1)+((C587=TRUE)*(F587-Calc!F25))+B602+(ArtifactsInput!$M$24-ArtifactsInput!$M$24)*CHOOSE(ArtifactsInput!$N$24+1,10,12,14,16,18,20)+IF(ArtifactsInput!$M$10,CHOOSE(ArtifactsInput!$N$10+1,15,18,21,24,27,30)*(IF(Inputs!$B$39="pvp",MIN(15,15)/15,IF(AND(Inputs!$B$39&lt;&gt;"pvp",Inputs!$B$44&gt;0),MIN(15,Inputs!$B$44)/(Inputs!$B$44),0))),0)))-100),0))*CHOOSE(ArtifactsInput!$N$42+1,0.6,0.72,0.84,0.96,1.08,1.2))),Inputs!$B$18+((C591=TRUE)*(F591-Calc!F29))+(IF(AND(ArtifactsInput!$M$42,(((Inputs!$B$9+1)+((C587=TRUE)*(F587-Calc!F25))+B602+(ArtifactsInput!$M$24-ArtifactsInput!$M$24)*CHOOSE(ArtifactsInput!$N$24+1,10,12,14,16,18,20)+IF(ArtifactsInput!$M$10,CHOOSE(ArtifactsInput!$N$10+1,15,18,21,24,27,30)*(IF(Inputs!$B$39="pvp",MIN(15,15)/15,IF(AND(Inputs!$B$39&lt;&gt;"pvp",Inputs!$B$44&gt;0),MIN(15,Inputs!$B$44)/(Inputs!$B$44),0))),0)))&gt;=100),CHOOSE(ArtifactsInput!$N$42+1,40,48,56,64,72,80),0))))/100)*(((1+(((C583=TRUE)*F583*IF(AND(Inputs!$B$39&lt;&gt;"pvp",Inputs!$B$44&gt;0),(((R583-1)*(Skills!Y21*(1+Inputs!$B$34/100))+MIN((Skills!Y21*(1+Inputs!$B$34/100)),MAX(0,Inputs!$B$44-((R583-1)*Skills!D21))))/Inputs!$B$44),IF(Inputs!$B$39="pvp",MIN((Skills!Y21*(1+Inputs!$B$34/100)),15)/15,(Skills!Y21*(1+Inputs!$B$34/100))/Skills!D21)))+((C590=TRUE)*(F590-Calc!F28))+((C580=TRUE)*(F580-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577=TRUE)*F577*IF(AND(Inputs!$B$39&lt;&gt;"pvp",Inputs!$B$44&gt;0),(((R577-1)*(Skills!Y15*(1+Inputs!$B$34/100))+MIN((Skills!Y15*(1+Inputs!$B$34/100)),MAX(0,Inputs!$B$44-((R577-1)*Skills!D15))))/Inputs!$B$44),IF(Inputs!$B$39="pvp",MIN((Skills!Y15*(1+Inputs!$B$34/100)),15)/15,(Skills!Y15*(1+Inputs!$B$34/100))/Skills!D15)))/100)*(1+((C568=TRUE)*F568*B596)/100))*B604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574)</f>
        <v/>
      </c>
      <c r="L574">
        <f>K574*(MIN(Inputs!$B$22+((C586=TRUE)*(F586-Calc!F24)),(Inputs!$B$23+0+(IF(ArtifactsInput!$M$15,CHOOSE(ArtifactsInput!$N$15+1,25,30,35,40,45,50)/100*(Inputs!$B$11-Inputs!$B$11),0))))/100+(Inputs!$B$23+0+(IF(ArtifactsInput!$M$15,CHOOSE(ArtifactsInput!$N$15+1,25,30,35,40,45,50)/100*(Inputs!$B$11-Inputs!$B$11),0)))/100)/2</f>
        <v/>
      </c>
      <c r="M574">
        <f>L574*(1+(Inputs!$B$10+((C588=TRUE)*(F588-Calc!F26))+B605+(IF(ArtifactsInput!$M$24,CHOOSE(ArtifactsInput!$N$24+1,30,36,42,48,54,60)/100*((Inputs!$B$9+1)-Inputs!$B$9),0)+IF(ArtifactsInput!$M$10,CHOOSE(ArtifactsInput!$N$10+1,20,24,28,32,36,40)*(IF(Inputs!$B$39="pvp",MIN(15,15)/15,IF(AND(Inputs!$B$39&lt;&gt;"pvp",Inputs!$B$44&gt;0),MIN(15,Inputs!$B$44)/(Inputs!$B$44),0))),0)+IF(ArtifactsInput!$M$31,1.5*CHOOSE(ArtifactsInput!$N$31+1,20,24,28,32,36,40),0)))/100)</f>
        <v/>
      </c>
      <c r="N574">
        <f>L574*(1-MIN(((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574*(MIN(((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74">
        <f>(1-Summary!$B$11)*T574+Summary!$B$11*V574</f>
        <v/>
      </c>
      <c r="P574">
        <f>IF(B606=0,0,O574/B606)</f>
        <v/>
      </c>
      <c r="Q574">
        <f>IFERROR(1/IF(Inputs!$B$39="pvp",15,MAX(0.1,Skills!D12-IF(Skills!E12=TRUE,Inputs!$B$32,0))),0)</f>
        <v/>
      </c>
      <c r="R574">
        <f>IF(AND(Inputs!$B$39&lt;&gt;"pvp",Inputs!$B$44&gt;0),IF(MAX(0,Inputs!$B$44-B607)&lt;=0,0,(INT(MAX(0,Inputs!$B$44-B607)/IF(Inputs!$B$39="pvp",15,MAX(0.1,Skills!D12-IF(Skills!E12=TRUE,Inputs!$B$32,0))))+1)),0)</f>
        <v/>
      </c>
      <c r="S574">
        <f>IFERROR(O574/N574,0)</f>
        <v/>
      </c>
      <c r="T574">
        <f>IF(C574,(H574*N574*IF(AND(Inputs!$B$39&lt;&gt;"pvp",Inputs!$B$44&gt;0),((Skills!G12*((R574-1)*IF(Skills!H12&gt;0,Skills!I12/Skills!H12,1)+IF(Skills!H12&gt;0,MIN(Skills!I12,MAX(0,MAX(0,Inputs!$B$44-B607)-((R574-1)*IF(Inputs!$B$39="pvp",15,MAX(0.1,Skills!D12-IF(Skills!E12=TRUE,Inputs!$B$32,0))))))/Skills!H12,1)))/Inputs!$B$44),G574*Q574))*IF(Inputs!$B$39="pvp",1,1+(Inputs!$B$20+((C589=TRUE)*(F589-Calc!F27))+Skills!P12+B603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Hunt"),CHOOSE(ArtifactsInput!$N$35+1,15,18,21,24,27,30)*(1-EXP(-(0.2*B598)*5)),0)+IF(AND(ArtifactsInput!$M$22,Inputs!$B$4&lt;&gt;"Chapter Hunt"),CHOOSE(ArtifactsInput!$N$22+1,10,12,14,16,18,20)*((0*(((0.15*B598*5))^0/1)+1*(((0.15*B598*5))^1/1)+2*(((0.15*B598*5))^2/2)+3*(((0.15*B598*5))^3/6)+4*(((0.15*B598*5))^4/24)+5*(((0.15*B598*5))^5/120))/((((0.15*B598*5))^0/1)+(((0.15*B598*5))^1/1)+(((0.15*B598*5))^2/2)+(((0.15*B598*5))^3/6)+(((0.15*B598*5))^4/24)+(((0.15*B598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574*(1-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574*(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574*(1-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574*(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74">
        <f>IF(C574,(H574*N574*IF(AND(Inputs!$B$39&lt;&gt;"pvp",Inputs!$B$44&gt;0),((Skills!G12*((R574-1)*IF(Skills!H12&gt;0,Skills!I12/Skills!H12,1)+IF(Skills!H12&gt;0,MIN(Skills!I12,MAX(0,MAX(0,Inputs!$B$44-B607)-((R574-1)*IF(Inputs!$B$39="pvp",15,MAX(0.1,Skills!D12-IF(Skills!E12=TRUE,Inputs!$B$32,0))))))/Skills!H12,1)))/Inputs!$B$44),G574*Q574))*IF(Inputs!$B$39="pvp",1,(1+(Inputs!$B$21+Skills!Q12+B603+(IF(ArtifactsInput!$M$33,CHOOSE(ArtifactsInput!$N$33+1,30,36,42,48,54,60),0))+(IF(AND(ArtifactsInput!$M$35,Inputs!$B$4&lt;&gt;"Chapter Hunt"),CHOOSE(ArtifactsInput!$N$35+1,15,18,21,24,27,30)*(1-EXP(-(0.2*B598)*5)),0)+IF(AND(ArtifactsInput!$M$22,Inputs!$B$4&lt;&gt;"Chapter Hunt"),CHOOSE(ArtifactsInput!$N$22+1,10,12,14,16,18,20)*((0*(((0.15*B598*5))^0/1)+1*(((0.15*B598*5))^1/1)+2*(((0.15*B598*5))^2/2)+3*(((0.15*B598*5))^3/6)+4*(((0.15*B598*5))^4/24)+5*(((0.15*B598*5))^5/120))/((((0.15*B598*5))^0/1)+(((0.15*B598*5))^1/1)+(((0.15*B598*5))^2/2)+(((0.15*B598*5))^3/6)+(((0.15*B598*5))^4/24)+(((0.15*B598*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75">
      <c r="A575">
        <f>Skills!A13</f>
        <v/>
      </c>
      <c r="B575">
        <f>Skills!B13</f>
        <v/>
      </c>
      <c r="C575">
        <f>Inputs!$B$3&gt;=105</f>
        <v/>
      </c>
      <c r="D575">
        <f>IF(Skills!C13=1,60+Inputs!$B$25+Inputs!$B$29,IF(Skills!C13=2,90+Inputs!$B$26+Inputs!$B$29,IF(Skills!C13=3,120+Inputs!$B$27+Inputs!$B$29,MAX(0,(Inputs!$B$3-100)*3)+Inputs!$B$28+Inputs!$B$29)))</f>
        <v/>
      </c>
      <c r="E575">
        <f>INDEX(FactorTable!$B$2:$Y$301, MATCH(ROUND(MIN(300,MAX(1,D575)),0), FactorTable!$A$2:$A$301,0), Skills!M13+1)</f>
        <v/>
      </c>
      <c r="F575">
        <f>IF(Skills!N13=TRUE,(Skills!L13/10)*(E575/1000),Skills!L13/10)+Skills!O13</f>
        <v/>
      </c>
      <c r="G575">
        <f>Calc!G13</f>
        <v/>
      </c>
      <c r="H575">
        <f>Calc!H13</f>
        <v/>
      </c>
      <c r="I575">
        <f>IF(Skills!AA13&lt;&gt;"",1+(Skills!AA13/10)*(U565/1000)/100,1)</f>
        <v/>
      </c>
      <c r="J575">
        <f>((Inputs!$B$6*(1+Inputs!$B$7/100))+(((Inputs!$B$12*(1+Inputs!$B$13/100))-(Inputs!$B$12*(1+Inputs!$B$13/100)))+0.25*(Inputs!$B$14-Inputs!$B$14))*(1+Inputs!$B$7/100))*(F575/100)</f>
        <v/>
      </c>
      <c r="K575">
        <f>J575*(1+((Inputs!$B$12*(1+Inputs!$B$13/100))*0.01+Inputs!$B$14*0.0025)/100)*(1+Inputs!$B$15/100)*(1+Inputs!$B$16/100)*(5000/(6000+Inputs!$B$43*(1-(100*(1-(1-(Inputs!$B$19+0)/100)*(1-CHOOSE(ArtifactsInput!$N$40+1,5,6,7,8,9,10)/100)^(ArtifactsInput!$M$40-ArtifactsInput!$M$40)))/100)))*(1+(Inputs!$B$24+((C592=TRUE)*(F592-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585=TRUE)*(F585-Calc!F23))+(((IF(AND(ArtifactsInput!$M$42,(((Inputs!$B$9+1)+((C587=TRUE)*(F587-Calc!F25))+B602+(ArtifactsInput!$M$24-ArtifactsInput!$M$24)*CHOOSE(ArtifactsInput!$N$24+1,10,12,14,16,18,20)+IF(ArtifactsInput!$M$10,CHOOSE(ArtifactsInput!$N$10+1,15,18,21,24,27,30)*(IF(Inputs!$B$39="pvp",MIN(15,15)/15,IF(AND(Inputs!$B$39&lt;&gt;"pvp",Inputs!$B$44&gt;0),MIN(15,Inputs!$B$44)/(Inputs!$B$44),0))),0)))&gt;=100),MIN(100,(((Inputs!$B$9+1)+((C587=TRUE)*(F587-Calc!F25))+B602+(ArtifactsInput!$M$24-ArtifactsInput!$M$24)*CHOOSE(ArtifactsInput!$N$24+1,10,12,14,16,18,20)+IF(ArtifactsInput!$M$10,CHOOSE(ArtifactsInput!$N$10+1,15,18,21,24,27,30)*(IF(Inputs!$B$39="pvp",MIN(15,15)/15,IF(AND(Inputs!$B$39&lt;&gt;"pvp",Inputs!$B$44&gt;0),MIN(15,Inputs!$B$44)/(Inputs!$B$44),0))),0)))-100),0))*CHOOSE(ArtifactsInput!$N$42+1,0.6,0.72,0.84,0.96,1.08,1.2))),Inputs!$B$18+((C591=TRUE)*(F591-Calc!F29))+(IF(AND(ArtifactsInput!$M$42,(((Inputs!$B$9+1)+((C587=TRUE)*(F587-Calc!F25))+B602+(ArtifactsInput!$M$24-ArtifactsInput!$M$24)*CHOOSE(ArtifactsInput!$N$24+1,10,12,14,16,18,20)+IF(ArtifactsInput!$M$10,CHOOSE(ArtifactsInput!$N$10+1,15,18,21,24,27,30)*(IF(Inputs!$B$39="pvp",MIN(15,15)/15,IF(AND(Inputs!$B$39&lt;&gt;"pvp",Inputs!$B$44&gt;0),MIN(15,Inputs!$B$44)/(Inputs!$B$44),0))),0)))&gt;=100),CHOOSE(ArtifactsInput!$N$42+1,40,48,56,64,72,80),0))))/100)*(((1+(((C583=TRUE)*F583*IF(AND(Inputs!$B$39&lt;&gt;"pvp",Inputs!$B$44&gt;0),(((R583-1)*(Skills!Y21*(1+Inputs!$B$34/100))+MIN((Skills!Y21*(1+Inputs!$B$34/100)),MAX(0,Inputs!$B$44-((R583-1)*Skills!D21))))/Inputs!$B$44),IF(Inputs!$B$39="pvp",MIN((Skills!Y21*(1+Inputs!$B$34/100)),15)/15,(Skills!Y21*(1+Inputs!$B$34/100))/Skills!D21)))+((C590=TRUE)*(F590-Calc!F28))+((C580=TRUE)*(F580-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577=TRUE)*F577*IF(AND(Inputs!$B$39&lt;&gt;"pvp",Inputs!$B$44&gt;0),(((R577-1)*(Skills!Y15*(1+Inputs!$B$34/100))+MIN((Skills!Y15*(1+Inputs!$B$34/100)),MAX(0,Inputs!$B$44-((R577-1)*Skills!D15))))/Inputs!$B$44),IF(Inputs!$B$39="pvp",MIN((Skills!Y15*(1+Inputs!$B$34/100)),15)/15,(Skills!Y15*(1+Inputs!$B$34/100))/Skills!D15)))/100)*(1+((C568=TRUE)*F568*B596)/100))*B604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575)</f>
        <v/>
      </c>
      <c r="L575">
        <f>K575*(MIN(Inputs!$B$22+((C586=TRUE)*(F586-Calc!F24)),(Inputs!$B$23+0+(IF(ArtifactsInput!$M$15,CHOOSE(ArtifactsInput!$N$15+1,25,30,35,40,45,50)/100*(Inputs!$B$11-Inputs!$B$11),0))))/100+(Inputs!$B$23+0+(IF(ArtifactsInput!$M$15,CHOOSE(ArtifactsInput!$N$15+1,25,30,35,40,45,50)/100*(Inputs!$B$11-Inputs!$B$11),0)))/100)/2</f>
        <v/>
      </c>
      <c r="M575">
        <f>L575*(1+(Inputs!$B$10+((C588=TRUE)*(F588-Calc!F26))+B605+(IF(ArtifactsInput!$M$24,CHOOSE(ArtifactsInput!$N$24+1,30,36,42,48,54,60)/100*((Inputs!$B$9+1)-Inputs!$B$9),0)+IF(ArtifactsInput!$M$10,CHOOSE(ArtifactsInput!$N$10+1,20,24,28,32,36,40)*(IF(Inputs!$B$39="pvp",MIN(15,15)/15,IF(AND(Inputs!$B$39&lt;&gt;"pvp",Inputs!$B$44&gt;0),MIN(15,Inputs!$B$44)/(Inputs!$B$44),0))),0)+IF(ArtifactsInput!$M$31,1.5*CHOOSE(ArtifactsInput!$N$31+1,20,24,28,32,36,40),0)))/100)</f>
        <v/>
      </c>
      <c r="N575">
        <f>L575*(1-MIN(((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575*(MIN(((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75">
        <f>(1-Summary!$B$11)*T575+Summary!$B$11*V575</f>
        <v/>
      </c>
      <c r="P575">
        <f>IF(B606=0,0,O575/B606)</f>
        <v/>
      </c>
      <c r="Q575">
        <f>IFERROR(1/IF(Inputs!$B$39="pvp",15,MAX(0.1,Skills!D13-IF(Skills!E13=TRUE,Inputs!$B$32,0))),0)</f>
        <v/>
      </c>
      <c r="R575">
        <f>IF(AND(Inputs!$B$39&lt;&gt;"pvp",Inputs!$B$44&gt;0),IF(MAX(0,Inputs!$B$44-B607)&lt;=0,0,(INT(MAX(0,Inputs!$B$44-B607)/IF(Inputs!$B$39="pvp",15,MAX(0.1,Skills!D13-IF(Skills!E13=TRUE,Inputs!$B$32,0))))+1)),0)</f>
        <v/>
      </c>
      <c r="S575">
        <f>IFERROR(O575/N575,0)</f>
        <v/>
      </c>
      <c r="T575">
        <f>IF(C575,(H575*N575*IF(AND(Inputs!$B$39&lt;&gt;"pvp",Inputs!$B$44&gt;0),((Skills!G13*((R575-1)*IF(Skills!H13&gt;0,Skills!I13/Skills!H13,1)+IF(Skills!H13&gt;0,MIN(Skills!I13,MAX(0,MAX(0,Inputs!$B$44-B607)-((R575-1)*IF(Inputs!$B$39="pvp",15,MAX(0.1,Skills!D13-IF(Skills!E13=TRUE,Inputs!$B$32,0))))))/Skills!H13,1)))/Inputs!$B$44),G575*Q575))*IF(Inputs!$B$39="pvp",1,1+(Inputs!$B$20+((C589=TRUE)*(F589-Calc!F27))+Skills!P13+B603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Hunt"),CHOOSE(ArtifactsInput!$N$35+1,15,18,21,24,27,30)*(1-EXP(-(0.2*B598)*5)),0)+IF(AND(ArtifactsInput!$M$22,Inputs!$B$4&lt;&gt;"Chapter Hunt"),CHOOSE(ArtifactsInput!$N$22+1,10,12,14,16,18,20)*((0*(((0.15*B598*5))^0/1)+1*(((0.15*B598*5))^1/1)+2*(((0.15*B598*5))^2/2)+3*(((0.15*B598*5))^3/6)+4*(((0.15*B598*5))^4/24)+5*(((0.15*B598*5))^5/120))/((((0.15*B598*5))^0/1)+(((0.15*B598*5))^1/1)+(((0.15*B598*5))^2/2)+(((0.15*B598*5))^3/6)+(((0.15*B598*5))^4/24)+(((0.15*B598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575*(1-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575*(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575*(1-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575*(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75">
        <f>IF(C575,(H575*N575*IF(AND(Inputs!$B$39&lt;&gt;"pvp",Inputs!$B$44&gt;0),((Skills!G13*((R575-1)*IF(Skills!H13&gt;0,Skills!I13/Skills!H13,1)+IF(Skills!H13&gt;0,MIN(Skills!I13,MAX(0,MAX(0,Inputs!$B$44-B607)-((R575-1)*IF(Inputs!$B$39="pvp",15,MAX(0.1,Skills!D13-IF(Skills!E13=TRUE,Inputs!$B$32,0))))))/Skills!H13,1)))/Inputs!$B$44),G575*Q575))*IF(Inputs!$B$39="pvp",1,(1+(Inputs!$B$21+Skills!Q13+B603+(IF(ArtifactsInput!$M$33,CHOOSE(ArtifactsInput!$N$33+1,30,36,42,48,54,60),0))+(IF(AND(ArtifactsInput!$M$35,Inputs!$B$4&lt;&gt;"Chapter Hunt"),CHOOSE(ArtifactsInput!$N$35+1,15,18,21,24,27,30)*(1-EXP(-(0.2*B598)*5)),0)+IF(AND(ArtifactsInput!$M$22,Inputs!$B$4&lt;&gt;"Chapter Hunt"),CHOOSE(ArtifactsInput!$N$22+1,10,12,14,16,18,20)*((0*(((0.15*B598*5))^0/1)+1*(((0.15*B598*5))^1/1)+2*(((0.15*B598*5))^2/2)+3*(((0.15*B598*5))^3/6)+4*(((0.15*B598*5))^4/24)+5*(((0.15*B598*5))^5/120))/((((0.15*B598*5))^0/1)+(((0.15*B598*5))^1/1)+(((0.15*B598*5))^2/2)+(((0.15*B598*5))^3/6)+(((0.15*B598*5))^4/24)+(((0.15*B598*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76">
      <c r="A576">
        <f>Skills!A14</f>
        <v/>
      </c>
      <c r="B576">
        <f>Skills!B14</f>
        <v/>
      </c>
      <c r="C576">
        <f>Inputs!$B$3&gt;=105</f>
        <v/>
      </c>
      <c r="D576">
        <f>IF(Skills!C14=1,60+Inputs!$B$25+Inputs!$B$29,IF(Skills!C14=2,90+Inputs!$B$26+Inputs!$B$29,IF(Skills!C14=3,120+Inputs!$B$27+Inputs!$B$29,MAX(0,(Inputs!$B$3-100)*3)+Inputs!$B$28+Inputs!$B$29)))</f>
        <v/>
      </c>
      <c r="E576">
        <f>INDEX(FactorTable!$B$2:$Y$301, MATCH(ROUND(MIN(300,MAX(1,D576)),0), FactorTable!$A$2:$A$301,0), Skills!M14+1)</f>
        <v/>
      </c>
      <c r="F576">
        <f>IF(Skills!N14=TRUE,(Skills!L14/10)*(E576/1000),Skills!L14/10)+Skills!O14</f>
        <v/>
      </c>
      <c r="G576">
        <f>Calc!G14</f>
        <v/>
      </c>
      <c r="H576">
        <f>Calc!H14</f>
        <v/>
      </c>
      <c r="I576">
        <f>IF(Skills!AA14&lt;&gt;"",1+(Skills!AA14/10)*(U565/1000)/100,1)</f>
        <v/>
      </c>
      <c r="J576">
        <f>((Inputs!$B$6*(1+Inputs!$B$7/100))+(((Inputs!$B$12*(1+Inputs!$B$13/100))-(Inputs!$B$12*(1+Inputs!$B$13/100)))+0.25*(Inputs!$B$14-Inputs!$B$14))*(1+Inputs!$B$7/100))*(F576/100)</f>
        <v/>
      </c>
      <c r="K576">
        <f>J576*(1+((Inputs!$B$12*(1+Inputs!$B$13/100))*0.01+Inputs!$B$14*0.0025)/100)*(1+Inputs!$B$15/100)*(1+Inputs!$B$16/100)*(5000/(6000+Inputs!$B$43*(1-(100*(1-(1-(Inputs!$B$19+0)/100)*(1-CHOOSE(ArtifactsInput!$N$40+1,5,6,7,8,9,10)/100)^(ArtifactsInput!$M$40-ArtifactsInput!$M$40)))/100)))*(1+(Inputs!$B$24+((C592=TRUE)*(F592-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585=TRUE)*(F585-Calc!F23))+(((IF(AND(ArtifactsInput!$M$42,(((Inputs!$B$9+1)+((C587=TRUE)*(F587-Calc!F25))+B602+(ArtifactsInput!$M$24-ArtifactsInput!$M$24)*CHOOSE(ArtifactsInput!$N$24+1,10,12,14,16,18,20)+IF(ArtifactsInput!$M$10,CHOOSE(ArtifactsInput!$N$10+1,15,18,21,24,27,30)*(IF(Inputs!$B$39="pvp",MIN(15,15)/15,IF(AND(Inputs!$B$39&lt;&gt;"pvp",Inputs!$B$44&gt;0),MIN(15,Inputs!$B$44)/(Inputs!$B$44),0))),0)))&gt;=100),MIN(100,(((Inputs!$B$9+1)+((C587=TRUE)*(F587-Calc!F25))+B602+(ArtifactsInput!$M$24-ArtifactsInput!$M$24)*CHOOSE(ArtifactsInput!$N$24+1,10,12,14,16,18,20)+IF(ArtifactsInput!$M$10,CHOOSE(ArtifactsInput!$N$10+1,15,18,21,24,27,30)*(IF(Inputs!$B$39="pvp",MIN(15,15)/15,IF(AND(Inputs!$B$39&lt;&gt;"pvp",Inputs!$B$44&gt;0),MIN(15,Inputs!$B$44)/(Inputs!$B$44),0))),0)))-100),0))*CHOOSE(ArtifactsInput!$N$42+1,0.6,0.72,0.84,0.96,1.08,1.2))),Inputs!$B$18+((C591=TRUE)*(F591-Calc!F29))+(IF(AND(ArtifactsInput!$M$42,(((Inputs!$B$9+1)+((C587=TRUE)*(F587-Calc!F25))+B602+(ArtifactsInput!$M$24-ArtifactsInput!$M$24)*CHOOSE(ArtifactsInput!$N$24+1,10,12,14,16,18,20)+IF(ArtifactsInput!$M$10,CHOOSE(ArtifactsInput!$N$10+1,15,18,21,24,27,30)*(IF(Inputs!$B$39="pvp",MIN(15,15)/15,IF(AND(Inputs!$B$39&lt;&gt;"pvp",Inputs!$B$44&gt;0),MIN(15,Inputs!$B$44)/(Inputs!$B$44),0))),0)))&gt;=100),CHOOSE(ArtifactsInput!$N$42+1,40,48,56,64,72,80),0))))/100)*(((1+(((C583=TRUE)*F583*IF(AND(Inputs!$B$39&lt;&gt;"pvp",Inputs!$B$44&gt;0),(((R583-1)*(Skills!Y21*(1+Inputs!$B$34/100))+MIN((Skills!Y21*(1+Inputs!$B$34/100)),MAX(0,Inputs!$B$44-((R583-1)*Skills!D21))))/Inputs!$B$44),IF(Inputs!$B$39="pvp",MIN((Skills!Y21*(1+Inputs!$B$34/100)),15)/15,(Skills!Y21*(1+Inputs!$B$34/100))/Skills!D21)))+((C590=TRUE)*(F590-Calc!F28))+((C580=TRUE)*(F580-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577=TRUE)*F577*IF(AND(Inputs!$B$39&lt;&gt;"pvp",Inputs!$B$44&gt;0),(((R577-1)*(Skills!Y15*(1+Inputs!$B$34/100))+MIN((Skills!Y15*(1+Inputs!$B$34/100)),MAX(0,Inputs!$B$44-((R577-1)*Skills!D15))))/Inputs!$B$44),IF(Inputs!$B$39="pvp",MIN((Skills!Y15*(1+Inputs!$B$34/100)),15)/15,(Skills!Y15*(1+Inputs!$B$34/100))/Skills!D15)))/100)*(1+((C568=TRUE)*F568*B596)/100))*B604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576)</f>
        <v/>
      </c>
      <c r="L576">
        <f>K576*(MIN(Inputs!$B$22+((C586=TRUE)*(F586-Calc!F24)),(Inputs!$B$23+0+(IF(ArtifactsInput!$M$15,CHOOSE(ArtifactsInput!$N$15+1,25,30,35,40,45,50)/100*(Inputs!$B$11-Inputs!$B$11),0))))/100+(Inputs!$B$23+0+(IF(ArtifactsInput!$M$15,CHOOSE(ArtifactsInput!$N$15+1,25,30,35,40,45,50)/100*(Inputs!$B$11-Inputs!$B$11),0)))/100)/2</f>
        <v/>
      </c>
      <c r="M576">
        <f>L576*(1+(Inputs!$B$10+((C588=TRUE)*(F588-Calc!F26))+B605+(IF(ArtifactsInput!$M$24,CHOOSE(ArtifactsInput!$N$24+1,30,36,42,48,54,60)/100*((Inputs!$B$9+1)-Inputs!$B$9),0)+IF(ArtifactsInput!$M$10,CHOOSE(ArtifactsInput!$N$10+1,20,24,28,32,36,40)*(IF(Inputs!$B$39="pvp",MIN(15,15)/15,IF(AND(Inputs!$B$39&lt;&gt;"pvp",Inputs!$B$44&gt;0),MIN(15,Inputs!$B$44)/(Inputs!$B$44),0))),0)+IF(ArtifactsInput!$M$31,1.5*CHOOSE(ArtifactsInput!$N$31+1,20,24,28,32,36,40),0)))/100)</f>
        <v/>
      </c>
      <c r="N576">
        <f>L576*(1-MIN(((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576*(MIN(((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76">
        <f>(1-Summary!$B$11)*T576+Summary!$B$11*V576</f>
        <v/>
      </c>
      <c r="P576">
        <f>IF(B606=0,0,O576/B606)</f>
        <v/>
      </c>
      <c r="Q576">
        <f>IFERROR(1/IF(Inputs!$B$39="pvp",15,MAX(0.1,Skills!D14-IF(Skills!E14=TRUE,Inputs!$B$32,0))),0)</f>
        <v/>
      </c>
      <c r="R576">
        <f>IF(AND(Inputs!$B$39&lt;&gt;"pvp",Inputs!$B$44&gt;0),IF(MAX(0,Inputs!$B$44-B607)&lt;=0,0,(INT(MAX(0,Inputs!$B$44-B607)/IF(Inputs!$B$39="pvp",15,MAX(0.1,Skills!D14-IF(Skills!E14=TRUE,Inputs!$B$32,0))))+1)),0)</f>
        <v/>
      </c>
      <c r="S576">
        <f>IFERROR(O576/N576,0)</f>
        <v/>
      </c>
      <c r="T576">
        <f>IF(C576,(H576*N576*IF(AND(Inputs!$B$39&lt;&gt;"pvp",Inputs!$B$44&gt;0),((Skills!G14*((R576-1)*IF(Skills!H14&gt;0,Skills!I14/Skills!H14,1)+IF(Skills!H14&gt;0,MIN(Skills!I14,MAX(0,MAX(0,Inputs!$B$44-B607)-((R576-1)*IF(Inputs!$B$39="pvp",15,MAX(0.1,Skills!D14-IF(Skills!E14=TRUE,Inputs!$B$32,0))))))/Skills!H14,1)))/Inputs!$B$44),G576*Q576))*IF(Inputs!$B$39="pvp",1,1+(Inputs!$B$20+((C589=TRUE)*(F589-Calc!F27))+Skills!P14+B603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Hunt"),CHOOSE(ArtifactsInput!$N$35+1,15,18,21,24,27,30)*(1-EXP(-(0.2*B598)*5)),0)+IF(AND(ArtifactsInput!$M$22,Inputs!$B$4&lt;&gt;"Chapter Hunt"),CHOOSE(ArtifactsInput!$N$22+1,10,12,14,16,18,20)*((0*(((0.15*B598*5))^0/1)+1*(((0.15*B598*5))^1/1)+2*(((0.15*B598*5))^2/2)+3*(((0.15*B598*5))^3/6)+4*(((0.15*B598*5))^4/24)+5*(((0.15*B598*5))^5/120))/((((0.15*B598*5))^0/1)+(((0.15*B598*5))^1/1)+(((0.15*B598*5))^2/2)+(((0.15*B598*5))^3/6)+(((0.15*B598*5))^4/24)+(((0.15*B598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576*(1-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576*(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576*(1-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576*(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76">
        <f>IF(C576,(H576*N576*IF(AND(Inputs!$B$39&lt;&gt;"pvp",Inputs!$B$44&gt;0),((Skills!G14*((R576-1)*IF(Skills!H14&gt;0,Skills!I14/Skills!H14,1)+IF(Skills!H14&gt;0,MIN(Skills!I14,MAX(0,MAX(0,Inputs!$B$44-B607)-((R576-1)*IF(Inputs!$B$39="pvp",15,MAX(0.1,Skills!D14-IF(Skills!E14=TRUE,Inputs!$B$32,0))))))/Skills!H14,1)))/Inputs!$B$44),G576*Q576))*IF(Inputs!$B$39="pvp",1,(1+(Inputs!$B$21+Skills!Q14+B603+(IF(ArtifactsInput!$M$33,CHOOSE(ArtifactsInput!$N$33+1,30,36,42,48,54,60),0))+(IF(AND(ArtifactsInput!$M$35,Inputs!$B$4&lt;&gt;"Chapter Hunt"),CHOOSE(ArtifactsInput!$N$35+1,15,18,21,24,27,30)*(1-EXP(-(0.2*B598)*5)),0)+IF(AND(ArtifactsInput!$M$22,Inputs!$B$4&lt;&gt;"Chapter Hunt"),CHOOSE(ArtifactsInput!$N$22+1,10,12,14,16,18,20)*((0*(((0.15*B598*5))^0/1)+1*(((0.15*B598*5))^1/1)+2*(((0.15*B598*5))^2/2)+3*(((0.15*B598*5))^3/6)+4*(((0.15*B598*5))^4/24)+5*(((0.15*B598*5))^5/120))/((((0.15*B598*5))^0/1)+(((0.15*B598*5))^1/1)+(((0.15*B598*5))^2/2)+(((0.15*B598*5))^3/6)+(((0.15*B598*5))^4/24)+(((0.15*B598*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77">
      <c r="A577">
        <f>Skills!A15</f>
        <v/>
      </c>
      <c r="B577">
        <f>Skills!B15</f>
        <v/>
      </c>
      <c r="C577">
        <f>Inputs!$B$3&gt;=110</f>
        <v/>
      </c>
      <c r="D577">
        <f>IF(Skills!C15=1,60+Inputs!$B$25+Inputs!$B$29,IF(Skills!C15=2,90+Inputs!$B$26+Inputs!$B$29,IF(Skills!C15=3,120+Inputs!$B$27+Inputs!$B$29,MAX(0,(Inputs!$B$3-100)*3)+Inputs!$B$28+Inputs!$B$29)))</f>
        <v/>
      </c>
      <c r="E577">
        <f>INDEX(FactorTable!$B$2:$Y$301, MATCH(ROUND(MIN(300,MAX(1,D577)),0), FactorTable!$A$2:$A$301,0), Skills!M15+1)</f>
        <v/>
      </c>
      <c r="F577">
        <f>IF(Skills!N15=TRUE,(Skills!L15/10)*(E577/1000),Skills!L15/10)+Skills!O15</f>
        <v/>
      </c>
      <c r="G577">
        <f>Calc!G15</f>
        <v/>
      </c>
      <c r="H577">
        <f>Calc!H15</f>
        <v/>
      </c>
      <c r="I577">
        <f>IF(Skills!AA15&lt;&gt;"",1+(Skills!AA15/10)*(U565/1000)/100,1)</f>
        <v/>
      </c>
      <c r="J577" t="inlineStr"/>
      <c r="K577" t="inlineStr"/>
      <c r="L577" t="inlineStr"/>
      <c r="M577" t="inlineStr"/>
      <c r="N577" t="inlineStr"/>
      <c r="O577">
        <f>(1-Summary!$B$11)*T577+Summary!$B$11*V577</f>
        <v/>
      </c>
      <c r="P577">
        <f>IF(B606=0,0,O577/B606)</f>
        <v/>
      </c>
      <c r="Q577">
        <f>IFERROR(1/IF(Inputs!$B$39="pvp",15,MAX(0.1,Skills!D15-IF(Skills!E15=TRUE,Inputs!$B$32,0))),0)</f>
        <v/>
      </c>
      <c r="R577">
        <f>IF(AND(Inputs!$B$39&lt;&gt;"pvp",Inputs!$B$44&gt;0),IF(Inputs!$B$44&lt;=0,0,(INT(Inputs!$B$44/IF(Inputs!$B$39="pvp",15,MAX(0.1,Skills!D15-IF(Skills!E15=TRUE,Inputs!$B$32,0))))+1)),0)</f>
        <v/>
      </c>
      <c r="S577">
        <f>IFERROR(O577/N577,0)</f>
        <v/>
      </c>
      <c r="T577" t="n">
        <v>0</v>
      </c>
      <c r="V577" t="n">
        <v>0</v>
      </c>
    </row>
    <row r="578">
      <c r="A578">
        <f>Skills!A16</f>
        <v/>
      </c>
      <c r="B578">
        <f>Skills!B16</f>
        <v/>
      </c>
      <c r="C578">
        <f>Inputs!$B$3&gt;=110</f>
        <v/>
      </c>
      <c r="D578">
        <f>IF(Skills!C16=1,60+Inputs!$B$25+Inputs!$B$29,IF(Skills!C16=2,90+Inputs!$B$26+Inputs!$B$29,IF(Skills!C16=3,120+Inputs!$B$27+Inputs!$B$29,MAX(0,(Inputs!$B$3-100)*3)+Inputs!$B$28+Inputs!$B$29)))</f>
        <v/>
      </c>
      <c r="E578">
        <f>INDEX(FactorTable!$B$2:$Y$301, MATCH(ROUND(MIN(300,MAX(1,D578)),0), FactorTable!$A$2:$A$301,0), Skills!M16+1)</f>
        <v/>
      </c>
      <c r="F578">
        <f>IF(Skills!N16=TRUE,(Skills!L16/10)*(E578/1000),Skills!L16/10)+Skills!O16</f>
        <v/>
      </c>
      <c r="G578">
        <f>Calc!G16</f>
        <v/>
      </c>
      <c r="H578">
        <f>Calc!H16</f>
        <v/>
      </c>
      <c r="I578">
        <f>IF(Skills!AA16&lt;&gt;"",1+(Skills!AA16/10)*(U565/1000)/100,1)</f>
        <v/>
      </c>
      <c r="J578" t="inlineStr"/>
      <c r="K578" t="inlineStr"/>
      <c r="L578" t="inlineStr"/>
      <c r="M578" t="inlineStr"/>
      <c r="N578" t="inlineStr"/>
      <c r="O578">
        <f>(1-Summary!$B$11)*T578+Summary!$B$11*V578</f>
        <v/>
      </c>
      <c r="P578">
        <f>IF(B606=0,0,O578/B606)</f>
        <v/>
      </c>
      <c r="Q578">
        <f>IFERROR(1/IF(Inputs!$B$39="pvp",15,MAX(0.1,Skills!D16-IF(Skills!E16=TRUE,Inputs!$B$32,0))),0)</f>
        <v/>
      </c>
      <c r="R578">
        <f>IF(AND(Inputs!$B$39&lt;&gt;"pvp",Inputs!$B$44&gt;0),IF(Inputs!$B$44&lt;=0,0,(INT(Inputs!$B$44/IF(Inputs!$B$39="pvp",15,MAX(0.1,Skills!D16-IF(Skills!E16=TRUE,Inputs!$B$32,0))))+1)),0)</f>
        <v/>
      </c>
      <c r="S578">
        <f>IFERROR(O578/N578,0)</f>
        <v/>
      </c>
      <c r="T578" t="n">
        <v>0</v>
      </c>
      <c r="V578" t="n">
        <v>0</v>
      </c>
    </row>
    <row r="579">
      <c r="A579">
        <f>Skills!A17</f>
        <v/>
      </c>
      <c r="B579">
        <f>Skills!B17</f>
        <v/>
      </c>
      <c r="C579">
        <f>Inputs!$B$3&gt;=115</f>
        <v/>
      </c>
      <c r="D579">
        <f>IF(Skills!C17=1,60+Inputs!$B$25+Inputs!$B$29,IF(Skills!C17=2,90+Inputs!$B$26+Inputs!$B$29,IF(Skills!C17=3,120+Inputs!$B$27+Inputs!$B$29,MAX(0,(Inputs!$B$3-100)*3)+Inputs!$B$28+Inputs!$B$29)))</f>
        <v/>
      </c>
      <c r="E579">
        <f>INDEX(FactorTable!$B$2:$Y$301, MATCH(ROUND(MIN(300,MAX(1,D579)),0), FactorTable!$A$2:$A$301,0), Skills!M17+1)</f>
        <v/>
      </c>
      <c r="F579">
        <f>IF(Skills!N17=TRUE,(Skills!L17/10)*(E579/1000),Skills!L17/10)+Skills!O17</f>
        <v/>
      </c>
      <c r="G579">
        <f>Calc!G17</f>
        <v/>
      </c>
      <c r="H579">
        <f>Calc!H17</f>
        <v/>
      </c>
      <c r="I579">
        <f>IF(Skills!AA17&lt;&gt;"",1+(Skills!AA17/10)*(U565/1000)/100,1)</f>
        <v/>
      </c>
      <c r="J579">
        <f>((Inputs!$B$6*(1+Inputs!$B$7/100))+(((Inputs!$B$12*(1+Inputs!$B$13/100))-(Inputs!$B$12*(1+Inputs!$B$13/100)))+0.25*(Inputs!$B$14-Inputs!$B$14))*(1+Inputs!$B$7/100))*(F579/100)</f>
        <v/>
      </c>
      <c r="K579">
        <f>J579*(1+((Inputs!$B$12*(1+Inputs!$B$13/100))*0.01+Inputs!$B$14*0.0025)/100)*(1+Inputs!$B$15/100)*(1+Inputs!$B$16/100)*(5000/(6000+Inputs!$B$43*(1-(100*(1-(1-(Inputs!$B$19+0)/100)*(1-CHOOSE(ArtifactsInput!$N$40+1,5,6,7,8,9,10)/100)^(ArtifactsInput!$M$40-ArtifactsInput!$M$40)))/100)))*(1+(Inputs!$B$24+((C592=TRUE)*(F592-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585=TRUE)*(F585-Calc!F23))+(((IF(AND(ArtifactsInput!$M$42,(((Inputs!$B$9+1)+((C587=TRUE)*(F587-Calc!F25))+B602+(ArtifactsInput!$M$24-ArtifactsInput!$M$24)*CHOOSE(ArtifactsInput!$N$24+1,10,12,14,16,18,20)+IF(ArtifactsInput!$M$10,CHOOSE(ArtifactsInput!$N$10+1,15,18,21,24,27,30)*(IF(Inputs!$B$39="pvp",MIN(15,15)/15,IF(AND(Inputs!$B$39&lt;&gt;"pvp",Inputs!$B$44&gt;0),MIN(15,Inputs!$B$44)/(Inputs!$B$44),0))),0)))&gt;=100),MIN(100,(((Inputs!$B$9+1)+((C587=TRUE)*(F587-Calc!F25))+B602+(ArtifactsInput!$M$24-ArtifactsInput!$M$24)*CHOOSE(ArtifactsInput!$N$24+1,10,12,14,16,18,20)+IF(ArtifactsInput!$M$10,CHOOSE(ArtifactsInput!$N$10+1,15,18,21,24,27,30)*(IF(Inputs!$B$39="pvp",MIN(15,15)/15,IF(AND(Inputs!$B$39&lt;&gt;"pvp",Inputs!$B$44&gt;0),MIN(15,Inputs!$B$44)/(Inputs!$B$44),0))),0)))-100),0))*CHOOSE(ArtifactsInput!$N$42+1,0.6,0.72,0.84,0.96,1.08,1.2))),Inputs!$B$18+((C591=TRUE)*(F591-Calc!F29))+(IF(AND(ArtifactsInput!$M$42,(((Inputs!$B$9+1)+((C587=TRUE)*(F587-Calc!F25))+B602+(ArtifactsInput!$M$24-ArtifactsInput!$M$24)*CHOOSE(ArtifactsInput!$N$24+1,10,12,14,16,18,20)+IF(ArtifactsInput!$M$10,CHOOSE(ArtifactsInput!$N$10+1,15,18,21,24,27,30)*(IF(Inputs!$B$39="pvp",MIN(15,15)/15,IF(AND(Inputs!$B$39&lt;&gt;"pvp",Inputs!$B$44&gt;0),MIN(15,Inputs!$B$44)/(Inputs!$B$44),0))),0)))&gt;=100),CHOOSE(ArtifactsInput!$N$42+1,40,48,56,64,72,80),0))))/100)*(((1+(((C583=TRUE)*F583*IF(AND(Inputs!$B$39&lt;&gt;"pvp",Inputs!$B$44&gt;0),(((R583-1)*(Skills!Y21*(1+Inputs!$B$34/100))+MIN((Skills!Y21*(1+Inputs!$B$34/100)),MAX(0,Inputs!$B$44-((R583-1)*Skills!D21))))/Inputs!$B$44),IF(Inputs!$B$39="pvp",MIN((Skills!Y21*(1+Inputs!$B$34/100)),15)/15,(Skills!Y21*(1+Inputs!$B$34/100))/Skills!D21)))+((C590=TRUE)*(F590-Calc!F28))+((C580=TRUE)*(F580-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577=TRUE)*F577*IF(AND(Inputs!$B$39&lt;&gt;"pvp",Inputs!$B$44&gt;0),(((R577-1)*(Skills!Y15*(1+Inputs!$B$34/100))+MIN((Skills!Y15*(1+Inputs!$B$34/100)),MAX(0,Inputs!$B$44-((R577-1)*Skills!D15))))/Inputs!$B$44),IF(Inputs!$B$39="pvp",MIN((Skills!Y15*(1+Inputs!$B$34/100)),15)/15,(Skills!Y15*(1+Inputs!$B$34/100))/Skills!D15)))/100)*(1+((C568=TRUE)*F568*B596)/100))*B604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579)</f>
        <v/>
      </c>
      <c r="L579">
        <f>K579*(MIN(Inputs!$B$22+((C586=TRUE)*(F586-Calc!F24)),(Inputs!$B$23+0+(IF(ArtifactsInput!$M$15,CHOOSE(ArtifactsInput!$N$15+1,25,30,35,40,45,50)/100*(Inputs!$B$11-Inputs!$B$11),0))))/100+(Inputs!$B$23+0+(IF(ArtifactsInput!$M$15,CHOOSE(ArtifactsInput!$N$15+1,25,30,35,40,45,50)/100*(Inputs!$B$11-Inputs!$B$11),0)))/100)/2</f>
        <v/>
      </c>
      <c r="M579">
        <f>L579*(1+(Inputs!$B$10+((C588=TRUE)*(F588-Calc!F26))+B605+(IF(ArtifactsInput!$M$24,CHOOSE(ArtifactsInput!$N$24+1,30,36,42,48,54,60)/100*((Inputs!$B$9+1)-Inputs!$B$9),0)+IF(ArtifactsInput!$M$10,CHOOSE(ArtifactsInput!$N$10+1,20,24,28,32,36,40)*(IF(Inputs!$B$39="pvp",MIN(15,15)/15,IF(AND(Inputs!$B$39&lt;&gt;"pvp",Inputs!$B$44&gt;0),MIN(15,Inputs!$B$44)/(Inputs!$B$44),0))),0)+IF(ArtifactsInput!$M$31,1.5*CHOOSE(ArtifactsInput!$N$31+1,20,24,28,32,36,40),0)))/100)</f>
        <v/>
      </c>
      <c r="N579">
        <f>L579*(1-MIN(((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579*(MIN(((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79">
        <f>(1-Summary!$B$11)*T579+Summary!$B$11*V579</f>
        <v/>
      </c>
      <c r="P579">
        <f>IF(B606=0,0,O579/B606)</f>
        <v/>
      </c>
      <c r="Q579" t="n">
        <v>0</v>
      </c>
      <c r="R579" t="n">
        <v>0</v>
      </c>
      <c r="S579">
        <f>IFERROR(O579/N579,0)</f>
        <v/>
      </c>
      <c r="T579">
        <f>IF(C579,(Inputs!$B$38*0.2*N579)*IF(Inputs!$B$39="pvp",1,1+(Inputs!$B$20+((C589=TRUE)*(F589-Calc!F27))+Skills!P17+B603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Hunt"),CHOOSE(ArtifactsInput!$N$35+1,15,18,21,24,27,30)*(1-EXP(-(0.2*B598)*5)),0)+IF(AND(ArtifactsInput!$M$22,Inputs!$B$4&lt;&gt;"Chapter Hunt"),CHOOSE(ArtifactsInput!$N$22+1,10,12,14,16,18,20)*((0*(((0.15*B598*5))^0/1)+1*(((0.15*B598*5))^1/1)+2*(((0.15*B598*5))^2/2)+3*(((0.15*B598*5))^3/6)+4*(((0.15*B598*5))^4/24)+5*(((0.15*B598*5))^5/120))/((((0.15*B598*5))^0/1)+(((0.15*B598*5))^1/1)+(((0.15*B598*5))^2/2)+(((0.15*B598*5))^3/6)+(((0.15*B598*5))^4/24)+(((0.15*B598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579*(1-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579*(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579*(1-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579*(MIN(100,((Inputs!$B$9+1)+((C587=TRUE)*(F587-Calc!F25))+B602+(ArtifactsInput!$M$24-ArtifactsInput!$M$24)*CHOOSE(ArtifactsInput!$N$24+1,10,12,14,16,18,20)+(IF(AND(ArtifactsInput!$M$42,(((Inputs!$B$9+1)+((C587=TRUE)*(F587-Calc!F25))+B602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79">
        <f>IF(C579,(Inputs!$B$38*0.2*N579)*IF(Inputs!$B$39="pvp",1,(1+(Inputs!$B$21+Skills!Q17+B603+(IF(ArtifactsInput!$M$33,CHOOSE(ArtifactsInput!$N$33+1,30,36,42,48,54,60),0))+(IF(AND(ArtifactsInput!$M$35,Inputs!$B$4&lt;&gt;"Chapter Hunt"),CHOOSE(ArtifactsInput!$N$35+1,15,18,21,24,27,30)*(1-EXP(-(0.2*B598)*5)),0)+IF(AND(ArtifactsInput!$M$22,Inputs!$B$4&lt;&gt;"Chapter Hunt"),CHOOSE(ArtifactsInput!$N$22+1,10,12,14,16,18,20)*((0*(((0.15*B598*5))^0/1)+1*(((0.15*B598*5))^1/1)+2*(((0.15*B598*5))^2/2)+3*(((0.15*B598*5))^3/6)+4*(((0.15*B598*5))^4/24)+5*(((0.15*B598*5))^5/120))/((((0.15*B598*5))^0/1)+(((0.15*B598*5))^1/1)+(((0.15*B598*5))^2/2)+(((0.15*B598*5))^3/6)+(((0.15*B598*5))^4/24)+(((0.15*B598*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80">
      <c r="A580">
        <f>Skills!A18</f>
        <v/>
      </c>
      <c r="B580">
        <f>Skills!B18</f>
        <v/>
      </c>
      <c r="C580">
        <f>Inputs!$B$3&gt;=115</f>
        <v/>
      </c>
      <c r="D580">
        <f>IF(Skills!C18=1,60+Inputs!$B$25+Inputs!$B$29,IF(Skills!C18=2,90+Inputs!$B$26+Inputs!$B$29,IF(Skills!C18=3,120+Inputs!$B$27+Inputs!$B$29,MAX(0,(Inputs!$B$3-100)*3)+Inputs!$B$28+Inputs!$B$29)))</f>
        <v/>
      </c>
      <c r="E580">
        <f>INDEX(FactorTable!$B$2:$Y$301, MATCH(ROUND(MIN(300,MAX(1,D580)),0), FactorTable!$A$2:$A$301,0), Skills!M18+1)</f>
        <v/>
      </c>
      <c r="F580">
        <f>IF(Skills!N18=TRUE,(Skills!L18/10)*(E580/1000),Skills!L18/10)+Skills!O18</f>
        <v/>
      </c>
      <c r="G580">
        <f>Calc!G18</f>
        <v/>
      </c>
      <c r="H580">
        <f>Calc!H18</f>
        <v/>
      </c>
      <c r="I580">
        <f>IF(Skills!AA18&lt;&gt;"",1+(Skills!AA18/10)*(U565/1000)/100,1)</f>
        <v/>
      </c>
      <c r="J580" t="inlineStr"/>
      <c r="K580" t="inlineStr"/>
      <c r="L580" t="inlineStr"/>
      <c r="M580" t="inlineStr"/>
      <c r="N580" t="inlineStr"/>
      <c r="O580">
        <f>(1-Summary!$B$11)*T580+Summary!$B$11*V580</f>
        <v/>
      </c>
      <c r="P580">
        <f>IF(B606=0,0,O580/B606)</f>
        <v/>
      </c>
      <c r="Q580" t="n">
        <v>0</v>
      </c>
      <c r="R580" t="n">
        <v>0</v>
      </c>
      <c r="S580">
        <f>IFERROR(O580/N580,0)</f>
        <v/>
      </c>
      <c r="T580" t="n">
        <v>0</v>
      </c>
      <c r="V580" t="n">
        <v>0</v>
      </c>
    </row>
    <row r="581">
      <c r="A581">
        <f>Skills!A19</f>
        <v/>
      </c>
      <c r="B581">
        <f>Skills!B19</f>
        <v/>
      </c>
      <c r="C581">
        <f>TRUE</f>
        <v/>
      </c>
      <c r="D581">
        <f>IF(Skills!C19=1,60+Inputs!$B$25+Inputs!$B$29,IF(Skills!C19=2,90+Inputs!$B$26+Inputs!$B$29,IF(Skills!C19=3,120+Inputs!$B$27+Inputs!$B$29,MAX(0,(Inputs!$B$3-100)*3)+Inputs!$B$28+Inputs!$B$29)))</f>
        <v/>
      </c>
      <c r="E581">
        <f>INDEX(FactorTable!$B$2:$Y$301, MATCH(ROUND(MIN(300,MAX(1,D581)),0), FactorTable!$A$2:$A$301,0), Skills!M19+1)</f>
        <v/>
      </c>
      <c r="F581">
        <f>IF(Skills!N19=TRUE,(Skills!L19/10)*(E581/1000),Skills!L19/10)+Skills!O19</f>
        <v/>
      </c>
      <c r="G581">
        <f>Calc!G19</f>
        <v/>
      </c>
      <c r="H581">
        <f>Calc!H19</f>
        <v/>
      </c>
      <c r="I581">
        <f>IF(Skills!AA19&lt;&gt;"",1+(Skills!AA19/10)*(U565/1000)/100,1)</f>
        <v/>
      </c>
      <c r="J581" t="inlineStr"/>
      <c r="K581" t="inlineStr"/>
      <c r="L581" t="inlineStr"/>
      <c r="M581" t="inlineStr"/>
      <c r="N581" t="inlineStr"/>
      <c r="O581">
        <f>(1-Summary!$B$11)*T581+Summary!$B$11*V581</f>
        <v/>
      </c>
      <c r="P581">
        <f>IF(B606=0,0,O581/B606)</f>
        <v/>
      </c>
      <c r="Q581">
        <f>IFERROR(1/IF(Inputs!$B$39="pvp",15,MAX(0.1,Skills!D19-IF(Skills!E19=TRUE,Inputs!$B$32,0))),0)</f>
        <v/>
      </c>
      <c r="R581">
        <f>IF(AND(Inputs!$B$39&lt;&gt;"pvp",Inputs!$B$44&gt;0),IF(Inputs!$B$44&lt;=0,0,(INT(Inputs!$B$44/IF(Inputs!$B$39="pvp",15,MAX(0.1,Skills!D19-IF(Skills!E19=TRUE,Inputs!$B$32,0))))+1)),0)</f>
        <v/>
      </c>
      <c r="S581">
        <f>IFERROR(O581/N581,0)</f>
        <v/>
      </c>
      <c r="T581" t="n">
        <v>0</v>
      </c>
      <c r="V581" t="n">
        <v>0</v>
      </c>
    </row>
    <row r="582">
      <c r="A582">
        <f>Skills!A20</f>
        <v/>
      </c>
      <c r="B582">
        <f>Skills!B20</f>
        <v/>
      </c>
      <c r="C582">
        <f>Inputs!$B$3&gt;=15</f>
        <v/>
      </c>
      <c r="D582">
        <f>IF(Skills!C20=1,60+Inputs!$B$25+Inputs!$B$29,IF(Skills!C20=2,90+Inputs!$B$26+Inputs!$B$29,IF(Skills!C20=3,120+Inputs!$B$27+Inputs!$B$29,MAX(0,(Inputs!$B$3-100)*3)+Inputs!$B$28+Inputs!$B$29)))</f>
        <v/>
      </c>
      <c r="E582">
        <f>INDEX(FactorTable!$B$2:$Y$301, MATCH(ROUND(MIN(300,MAX(1,D582)),0), FactorTable!$A$2:$A$301,0), Skills!M20+1)</f>
        <v/>
      </c>
      <c r="F582">
        <f>IF(Skills!N20=TRUE,(Skills!L20/10)*(E582/1000),Skills!L20/10)+Skills!O20</f>
        <v/>
      </c>
      <c r="G582">
        <f>Calc!G20</f>
        <v/>
      </c>
      <c r="H582">
        <f>Calc!H20</f>
        <v/>
      </c>
      <c r="I582">
        <f>IF(Skills!AA20&lt;&gt;"",1+(Skills!AA20/10)*(U565/1000)/100,1)</f>
        <v/>
      </c>
      <c r="J582" t="inlineStr"/>
      <c r="K582" t="inlineStr"/>
      <c r="L582" t="inlineStr"/>
      <c r="M582" t="inlineStr"/>
      <c r="N582" t="inlineStr"/>
      <c r="O582">
        <f>(1-Summary!$B$11)*T582+Summary!$B$11*V582</f>
        <v/>
      </c>
      <c r="P582">
        <f>IF(B606=0,0,O582/B606)</f>
        <v/>
      </c>
      <c r="Q582">
        <f>IFERROR(1/IF(Inputs!$B$39="pvp",15,MAX(0.1,Skills!D20-IF(Skills!E20=TRUE,Inputs!$B$32,0))),0)</f>
        <v/>
      </c>
      <c r="R582">
        <f>IF(AND(Inputs!$B$39&lt;&gt;"pvp",Inputs!$B$44&gt;0),IF(Inputs!$B$44&lt;=0,0,(INT(Inputs!$B$44/IF(Inputs!$B$39="pvp",15,MAX(0.1,Skills!D20-IF(Skills!E20=TRUE,Inputs!$B$32,0))))+1)),0)</f>
        <v/>
      </c>
      <c r="S582">
        <f>IFERROR(O582/N582,0)</f>
        <v/>
      </c>
      <c r="T582" t="n">
        <v>0</v>
      </c>
      <c r="V582" t="n">
        <v>0</v>
      </c>
    </row>
    <row r="583">
      <c r="A583">
        <f>Skills!A21</f>
        <v/>
      </c>
      <c r="B583">
        <f>Skills!B21</f>
        <v/>
      </c>
      <c r="C583">
        <f>Inputs!$B$3&gt;=15</f>
        <v/>
      </c>
      <c r="D583">
        <f>IF(Skills!C21=1,60+Inputs!$B$25+Inputs!$B$29,IF(Skills!C21=2,90+Inputs!$B$26+Inputs!$B$29,IF(Skills!C21=3,120+Inputs!$B$27+Inputs!$B$29,MAX(0,(Inputs!$B$3-100)*3)+Inputs!$B$28+Inputs!$B$29)))</f>
        <v/>
      </c>
      <c r="E583">
        <f>INDEX(FactorTable!$B$2:$Y$301, MATCH(ROUND(MIN(300,MAX(1,D583)),0), FactorTable!$A$2:$A$301,0), Skills!M21+1)</f>
        <v/>
      </c>
      <c r="F583">
        <f>IF(Skills!N21=TRUE,(Skills!L21/10)*(E583/1000),Skills!L21/10)+Skills!O21</f>
        <v/>
      </c>
      <c r="G583">
        <f>Calc!G21</f>
        <v/>
      </c>
      <c r="H583">
        <f>Calc!H21</f>
        <v/>
      </c>
      <c r="I583">
        <f>IF(Skills!AA21&lt;&gt;"",1+(Skills!AA21/10)*(U565/1000)/100,1)</f>
        <v/>
      </c>
      <c r="J583" t="inlineStr"/>
      <c r="K583" t="inlineStr"/>
      <c r="L583" t="inlineStr"/>
      <c r="M583" t="inlineStr"/>
      <c r="N583" t="inlineStr"/>
      <c r="O583">
        <f>(1-Summary!$B$11)*T583+Summary!$B$11*V583</f>
        <v/>
      </c>
      <c r="P583">
        <f>IF(B606=0,0,O583/B606)</f>
        <v/>
      </c>
      <c r="Q583">
        <f>IFERROR(1/IF(Inputs!$B$39="pvp",15,MAX(0.1,Skills!D21-IF(Skills!E21=TRUE,Inputs!$B$32,0))),0)</f>
        <v/>
      </c>
      <c r="R583">
        <f>IF(AND(Inputs!$B$39&lt;&gt;"pvp",Inputs!$B$44&gt;0),IF(Inputs!$B$44&lt;=0,0,(INT(Inputs!$B$44/IF(Inputs!$B$39="pvp",15,MAX(0.1,Skills!D21-IF(Skills!E21=TRUE,Inputs!$B$32,0))))+1)),0)</f>
        <v/>
      </c>
      <c r="S583">
        <f>IFERROR(O583/N583,0)</f>
        <v/>
      </c>
      <c r="T583" t="n">
        <v>0</v>
      </c>
      <c r="V583" t="n">
        <v>0</v>
      </c>
    </row>
    <row r="584">
      <c r="A584">
        <f>Skills!A22</f>
        <v/>
      </c>
      <c r="B584">
        <f>Skills!B22</f>
        <v/>
      </c>
      <c r="C584">
        <f>Inputs!$B$3&gt;=33</f>
        <v/>
      </c>
      <c r="D584">
        <f>IF(Skills!C22=1,60+Inputs!$B$25+Inputs!$B$29,IF(Skills!C22=2,90+Inputs!$B$26+Inputs!$B$29,IF(Skills!C22=3,120+Inputs!$B$27+Inputs!$B$29,MAX(0,(Inputs!$B$3-100)*3)+Inputs!$B$28+Inputs!$B$29)))</f>
        <v/>
      </c>
      <c r="E584">
        <f>INDEX(FactorTable!$B$2:$Y$301, MATCH(ROUND(MIN(300,MAX(1,D584)),0), FactorTable!$A$2:$A$301,0), Skills!M22+1)</f>
        <v/>
      </c>
      <c r="F584">
        <f>IF(Skills!N22=TRUE,(Skills!L22/10)*(E584/1000),Skills!L22/10)+Skills!O22</f>
        <v/>
      </c>
      <c r="G584">
        <f>Calc!G22</f>
        <v/>
      </c>
      <c r="H584">
        <f>Calc!H22</f>
        <v/>
      </c>
      <c r="I584">
        <f>IF(Skills!AA22&lt;&gt;"",1+(Skills!AA22/10)*(U565/1000)/100,1)</f>
        <v/>
      </c>
      <c r="J584" t="inlineStr"/>
      <c r="K584" t="inlineStr"/>
      <c r="L584" t="inlineStr"/>
      <c r="M584" t="inlineStr"/>
      <c r="N584" t="inlineStr"/>
      <c r="O584">
        <f>(1-Summary!$B$11)*T584+Summary!$B$11*V584</f>
        <v/>
      </c>
      <c r="P584">
        <f>IF(B606=0,0,O584/B606)</f>
        <v/>
      </c>
      <c r="Q584" t="n">
        <v>0</v>
      </c>
      <c r="R584" t="n">
        <v>0</v>
      </c>
      <c r="S584">
        <f>IFERROR(O584/N584,0)</f>
        <v/>
      </c>
      <c r="T584" t="n">
        <v>0</v>
      </c>
      <c r="V584" t="n">
        <v>0</v>
      </c>
    </row>
    <row r="585">
      <c r="A585">
        <f>Skills!A23</f>
        <v/>
      </c>
      <c r="B585">
        <f>Skills!B23</f>
        <v/>
      </c>
      <c r="C585">
        <f>Inputs!$B$3&gt;=38</f>
        <v/>
      </c>
      <c r="D585">
        <f>IF(Skills!C23=1,60+Inputs!$B$25+Inputs!$B$29,IF(Skills!C23=2,90+Inputs!$B$26+Inputs!$B$29,IF(Skills!C23=3,120+Inputs!$B$27+Inputs!$B$29,MAX(0,(Inputs!$B$3-100)*3)+Inputs!$B$28+Inputs!$B$29)))</f>
        <v/>
      </c>
      <c r="E585">
        <f>INDEX(FactorTable!$B$2:$Y$301, MATCH(ROUND(MIN(300,MAX(1,D585)),0), FactorTable!$A$2:$A$301,0), Skills!M23+1)</f>
        <v/>
      </c>
      <c r="F585">
        <f>IF(Skills!N23=TRUE,(Skills!L23/10)*(E585/1000),Skills!L23/10)+Skills!O23</f>
        <v/>
      </c>
      <c r="G585">
        <f>Calc!G23</f>
        <v/>
      </c>
      <c r="H585">
        <f>Calc!H23</f>
        <v/>
      </c>
      <c r="I585">
        <f>IF(Skills!AA23&lt;&gt;"",1+(Skills!AA23/10)*(U565/1000)/100,1)</f>
        <v/>
      </c>
      <c r="J585" t="inlineStr"/>
      <c r="K585" t="inlineStr"/>
      <c r="L585" t="inlineStr"/>
      <c r="M585" t="inlineStr"/>
      <c r="N585" t="inlineStr"/>
      <c r="O585">
        <f>(1-Summary!$B$11)*T585+Summary!$B$11*V585</f>
        <v/>
      </c>
      <c r="P585">
        <f>IF(B606=0,0,O585/B606)</f>
        <v/>
      </c>
      <c r="Q585" t="n">
        <v>0</v>
      </c>
      <c r="R585" t="n">
        <v>0</v>
      </c>
      <c r="S585">
        <f>IFERROR(O585/N585,0)</f>
        <v/>
      </c>
      <c r="T585" t="n">
        <v>0</v>
      </c>
      <c r="V585" t="n">
        <v>0</v>
      </c>
    </row>
    <row r="586">
      <c r="A586">
        <f>Skills!A24</f>
        <v/>
      </c>
      <c r="B586">
        <f>Skills!B24</f>
        <v/>
      </c>
      <c r="C586">
        <f>Inputs!$B$3&gt;=40</f>
        <v/>
      </c>
      <c r="D586">
        <f>IF(Skills!C24=1,60+Inputs!$B$25+Inputs!$B$29,IF(Skills!C24=2,90+Inputs!$B$26+Inputs!$B$29,IF(Skills!C24=3,120+Inputs!$B$27+Inputs!$B$29,MAX(0,(Inputs!$B$3-100)*3)+Inputs!$B$28+Inputs!$B$29)))</f>
        <v/>
      </c>
      <c r="E586">
        <f>INDEX(FactorTable!$B$2:$Y$301, MATCH(ROUND(MIN(300,MAX(1,D586)),0), FactorTable!$A$2:$A$301,0), Skills!M24+1)</f>
        <v/>
      </c>
      <c r="F586">
        <f>IF(Skills!N24=TRUE,(Skills!L24/10)*(E586/1000),Skills!L24/10)+Skills!O24</f>
        <v/>
      </c>
      <c r="G586">
        <f>Calc!G24</f>
        <v/>
      </c>
      <c r="H586">
        <f>Calc!H24</f>
        <v/>
      </c>
      <c r="I586">
        <f>IF(Skills!AA24&lt;&gt;"",1+(Skills!AA24/10)*(U565/1000)/100,1)</f>
        <v/>
      </c>
      <c r="J586" t="inlineStr"/>
      <c r="K586" t="inlineStr"/>
      <c r="L586" t="inlineStr"/>
      <c r="M586" t="inlineStr"/>
      <c r="N586" t="inlineStr"/>
      <c r="O586">
        <f>(1-Summary!$B$11)*T586+Summary!$B$11*V586</f>
        <v/>
      </c>
      <c r="P586">
        <f>IF(B606=0,0,O586/B606)</f>
        <v/>
      </c>
      <c r="Q586" t="n">
        <v>0</v>
      </c>
      <c r="R586" t="n">
        <v>0</v>
      </c>
      <c r="S586">
        <f>IFERROR(O586/N586,0)</f>
        <v/>
      </c>
      <c r="T586" t="n">
        <v>0</v>
      </c>
      <c r="V586" t="n">
        <v>0</v>
      </c>
    </row>
    <row r="587">
      <c r="A587">
        <f>Skills!A25</f>
        <v/>
      </c>
      <c r="B587">
        <f>Skills!B25</f>
        <v/>
      </c>
      <c r="C587">
        <f>Inputs!$B$3&gt;=45</f>
        <v/>
      </c>
      <c r="D587">
        <f>IF(Skills!C25=1,60+Inputs!$B$25+Inputs!$B$29,IF(Skills!C25=2,90+Inputs!$B$26+Inputs!$B$29,IF(Skills!C25=3,120+Inputs!$B$27+Inputs!$B$29,MAX(0,(Inputs!$B$3-100)*3)+Inputs!$B$28+Inputs!$B$29)))</f>
        <v/>
      </c>
      <c r="E587">
        <f>INDEX(FactorTable!$B$2:$Y$301, MATCH(ROUND(MIN(300,MAX(1,D587)),0), FactorTable!$A$2:$A$301,0), Skills!M25+1)</f>
        <v/>
      </c>
      <c r="F587">
        <f>IF(Skills!N25=TRUE,(Skills!L25/10)*(E587/1000),Skills!L25/10)+Skills!O25</f>
        <v/>
      </c>
      <c r="G587">
        <f>Calc!G25</f>
        <v/>
      </c>
      <c r="H587">
        <f>Calc!H25</f>
        <v/>
      </c>
      <c r="I587">
        <f>IF(Skills!AA25&lt;&gt;"",1+(Skills!AA25/10)*(U565/1000)/100,1)</f>
        <v/>
      </c>
      <c r="J587" t="inlineStr"/>
      <c r="K587" t="inlineStr"/>
      <c r="L587" t="inlineStr"/>
      <c r="M587" t="inlineStr"/>
      <c r="N587" t="inlineStr"/>
      <c r="O587">
        <f>(1-Summary!$B$11)*T587+Summary!$B$11*V587</f>
        <v/>
      </c>
      <c r="P587">
        <f>IF(B606=0,0,O587/B606)</f>
        <v/>
      </c>
      <c r="Q587" t="n">
        <v>0</v>
      </c>
      <c r="R587" t="n">
        <v>0</v>
      </c>
      <c r="S587">
        <f>IFERROR(O587/N587,0)</f>
        <v/>
      </c>
      <c r="T587" t="n">
        <v>0</v>
      </c>
      <c r="V587" t="n">
        <v>0</v>
      </c>
    </row>
    <row r="588">
      <c r="A588">
        <f>Skills!A26</f>
        <v/>
      </c>
      <c r="B588">
        <f>Skills!B26</f>
        <v/>
      </c>
      <c r="C588">
        <f>Inputs!$B$3&gt;=45</f>
        <v/>
      </c>
      <c r="D588">
        <f>IF(Skills!C26=1,60+Inputs!$B$25+Inputs!$B$29,IF(Skills!C26=2,90+Inputs!$B$26+Inputs!$B$29,IF(Skills!C26=3,120+Inputs!$B$27+Inputs!$B$29,MAX(0,(Inputs!$B$3-100)*3)+Inputs!$B$28+Inputs!$B$29)))</f>
        <v/>
      </c>
      <c r="E588">
        <f>INDEX(FactorTable!$B$2:$Y$301, MATCH(ROUND(MIN(300,MAX(1,D588)),0), FactorTable!$A$2:$A$301,0), Skills!M26+1)</f>
        <v/>
      </c>
      <c r="F588">
        <f>IF(Skills!N26=TRUE,(Skills!L26/10)*(E588/1000),Skills!L26/10)+Skills!O26</f>
        <v/>
      </c>
      <c r="G588">
        <f>Calc!G26</f>
        <v/>
      </c>
      <c r="H588">
        <f>Calc!H26</f>
        <v/>
      </c>
      <c r="I588">
        <f>IF(Skills!AA26&lt;&gt;"",1+(Skills!AA26/10)*(U565/1000)/100,1)</f>
        <v/>
      </c>
      <c r="J588" t="inlineStr"/>
      <c r="K588" t="inlineStr"/>
      <c r="L588" t="inlineStr"/>
      <c r="M588" t="inlineStr"/>
      <c r="N588" t="inlineStr"/>
      <c r="O588">
        <f>(1-Summary!$B$11)*T588+Summary!$B$11*V588</f>
        <v/>
      </c>
      <c r="P588">
        <f>IF(B606=0,0,O588/B606)</f>
        <v/>
      </c>
      <c r="Q588" t="n">
        <v>0</v>
      </c>
      <c r="R588" t="n">
        <v>0</v>
      </c>
      <c r="S588">
        <f>IFERROR(O588/N588,0)</f>
        <v/>
      </c>
      <c r="T588" t="n">
        <v>0</v>
      </c>
      <c r="V588" t="n">
        <v>0</v>
      </c>
    </row>
    <row r="589">
      <c r="A589">
        <f>Skills!A27</f>
        <v/>
      </c>
      <c r="B589">
        <f>Skills!B27</f>
        <v/>
      </c>
      <c r="C589">
        <f>Inputs!$B$3&gt;=72</f>
        <v/>
      </c>
      <c r="D589">
        <f>IF(Skills!C27=1,60+Inputs!$B$25+Inputs!$B$29,IF(Skills!C27=2,90+Inputs!$B$26+Inputs!$B$29,IF(Skills!C27=3,120+Inputs!$B$27+Inputs!$B$29,MAX(0,(Inputs!$B$3-100)*3)+Inputs!$B$28+Inputs!$B$29)))</f>
        <v/>
      </c>
      <c r="E589">
        <f>INDEX(FactorTable!$B$2:$Y$301, MATCH(ROUND(MIN(300,MAX(1,D589)),0), FactorTable!$A$2:$A$301,0), Skills!M27+1)</f>
        <v/>
      </c>
      <c r="F589">
        <f>IF(Skills!N27=TRUE,(Skills!L27/10)*(E589/1000),Skills!L27/10)+Skills!O27</f>
        <v/>
      </c>
      <c r="G589">
        <f>Calc!G27</f>
        <v/>
      </c>
      <c r="H589">
        <f>Calc!H27</f>
        <v/>
      </c>
      <c r="I589">
        <f>IF(Skills!AA27&lt;&gt;"",1+(Skills!AA27/10)*(U565/1000)/100,1)</f>
        <v/>
      </c>
      <c r="J589" t="inlineStr"/>
      <c r="K589" t="inlineStr"/>
      <c r="L589" t="inlineStr"/>
      <c r="M589" t="inlineStr"/>
      <c r="N589" t="inlineStr"/>
      <c r="O589">
        <f>(1-Summary!$B$11)*T589+Summary!$B$11*V589</f>
        <v/>
      </c>
      <c r="P589">
        <f>IF(B606=0,0,O589/B606)</f>
        <v/>
      </c>
      <c r="Q589" t="n">
        <v>0</v>
      </c>
      <c r="R589" t="n">
        <v>0</v>
      </c>
      <c r="S589">
        <f>IFERROR(O589/N589,0)</f>
        <v/>
      </c>
      <c r="T589" t="n">
        <v>0</v>
      </c>
      <c r="V589" t="n">
        <v>0</v>
      </c>
    </row>
    <row r="590">
      <c r="A590">
        <f>Skills!A28</f>
        <v/>
      </c>
      <c r="B590">
        <f>Skills!B28</f>
        <v/>
      </c>
      <c r="C590">
        <f>Inputs!$B$3&gt;=75</f>
        <v/>
      </c>
      <c r="D590">
        <f>IF(Skills!C28=1,60+Inputs!$B$25+Inputs!$B$29,IF(Skills!C28=2,90+Inputs!$B$26+Inputs!$B$29,IF(Skills!C28=3,120+Inputs!$B$27+Inputs!$B$29,MAX(0,(Inputs!$B$3-100)*3)+Inputs!$B$28+Inputs!$B$29)))</f>
        <v/>
      </c>
      <c r="E590">
        <f>INDEX(FactorTable!$B$2:$Y$301, MATCH(ROUND(MIN(300,MAX(1,D590)),0), FactorTable!$A$2:$A$301,0), Skills!M28+1)</f>
        <v/>
      </c>
      <c r="F590">
        <f>IF(Skills!N28=TRUE,(Skills!L28/10)*(E590/1000),Skills!L28/10)+Skills!O28</f>
        <v/>
      </c>
      <c r="G590">
        <f>Calc!G28</f>
        <v/>
      </c>
      <c r="H590">
        <f>Calc!H28</f>
        <v/>
      </c>
      <c r="I590">
        <f>IF(Skills!AA28&lt;&gt;"",1+(Skills!AA28/10)*(U565/1000)/100,1)</f>
        <v/>
      </c>
      <c r="J590" t="inlineStr"/>
      <c r="K590" t="inlineStr"/>
      <c r="L590" t="inlineStr"/>
      <c r="M590" t="inlineStr"/>
      <c r="N590" t="inlineStr"/>
      <c r="O590">
        <f>(1-Summary!$B$11)*T590+Summary!$B$11*V590</f>
        <v/>
      </c>
      <c r="P590">
        <f>IF(B606=0,0,O590/B606)</f>
        <v/>
      </c>
      <c r="Q590" t="n">
        <v>0</v>
      </c>
      <c r="R590" t="n">
        <v>0</v>
      </c>
      <c r="S590">
        <f>IFERROR(O590/N590,0)</f>
        <v/>
      </c>
      <c r="T590" t="n">
        <v>0</v>
      </c>
      <c r="V590" t="n">
        <v>0</v>
      </c>
    </row>
    <row r="591">
      <c r="A591">
        <f>Skills!A29</f>
        <v/>
      </c>
      <c r="B591">
        <f>Skills!B29</f>
        <v/>
      </c>
      <c r="C591">
        <f>Inputs!$B$3&gt;=120</f>
        <v/>
      </c>
      <c r="D591">
        <f>IF(Skills!C29=1,60+Inputs!$B$25+Inputs!$B$29,IF(Skills!C29=2,90+Inputs!$B$26+Inputs!$B$29,IF(Skills!C29=3,120+Inputs!$B$27+Inputs!$B$29,MAX(0,(Inputs!$B$3-100)*3)+Inputs!$B$28+Inputs!$B$29)))</f>
        <v/>
      </c>
      <c r="E591">
        <f>INDEX(FactorTable!$B$2:$Y$301, MATCH(ROUND(MIN(300,MAX(1,D591)),0), FactorTable!$A$2:$A$301,0), Skills!M29+1)</f>
        <v/>
      </c>
      <c r="F591">
        <f>IF(Skills!N29=TRUE,(Skills!L29/10)*(E591/1000),Skills!L29/10)+Skills!O29</f>
        <v/>
      </c>
      <c r="G591">
        <f>Calc!G29</f>
        <v/>
      </c>
      <c r="H591">
        <f>Calc!H29</f>
        <v/>
      </c>
      <c r="I591">
        <f>IF(Skills!AA29&lt;&gt;"",1+(Skills!AA29/10)*(U565/1000)/100,1)</f>
        <v/>
      </c>
      <c r="J591" t="inlineStr"/>
      <c r="K591" t="inlineStr"/>
      <c r="L591" t="inlineStr"/>
      <c r="M591" t="inlineStr"/>
      <c r="N591" t="inlineStr"/>
      <c r="O591">
        <f>(1-Summary!$B$11)*T591+Summary!$B$11*V591</f>
        <v/>
      </c>
      <c r="P591">
        <f>IF(B606=0,0,O591/B606)</f>
        <v/>
      </c>
      <c r="Q591" t="n">
        <v>0</v>
      </c>
      <c r="R591" t="n">
        <v>0</v>
      </c>
      <c r="S591">
        <f>IFERROR(O591/N591,0)</f>
        <v/>
      </c>
      <c r="T591" t="n">
        <v>0</v>
      </c>
      <c r="V591" t="n">
        <v>0</v>
      </c>
    </row>
    <row r="592">
      <c r="A592">
        <f>Skills!A30</f>
        <v/>
      </c>
      <c r="B592">
        <f>Skills!B30</f>
        <v/>
      </c>
      <c r="C592">
        <f>Inputs!$B$3&gt;=125</f>
        <v/>
      </c>
      <c r="D592">
        <f>IF(Skills!C30=1,60+Inputs!$B$25+Inputs!$B$29,IF(Skills!C30=2,90+Inputs!$B$26+Inputs!$B$29,IF(Skills!C30=3,120+Inputs!$B$27+Inputs!$B$29,MAX(0,(Inputs!$B$3-100)*3)+Inputs!$B$28+Inputs!$B$29)))</f>
        <v/>
      </c>
      <c r="E592">
        <f>INDEX(FactorTable!$B$2:$Y$301, MATCH(ROUND(MIN(300,MAX(1,D592)),0), FactorTable!$A$2:$A$301,0), Skills!M30+1)</f>
        <v/>
      </c>
      <c r="F592">
        <f>IF(Skills!N30=TRUE,(Skills!L30/10)*(E592/1000),Skills!L30/10)+Skills!O30</f>
        <v/>
      </c>
      <c r="G592">
        <f>Calc!G30</f>
        <v/>
      </c>
      <c r="H592">
        <f>Calc!H30</f>
        <v/>
      </c>
      <c r="I592">
        <f>IF(Skills!AA30&lt;&gt;"",1+(Skills!AA30/10)*(U565/1000)/100,1)</f>
        <v/>
      </c>
      <c r="J592" t="inlineStr"/>
      <c r="K592" t="inlineStr"/>
      <c r="L592" t="inlineStr"/>
      <c r="M592" t="inlineStr"/>
      <c r="N592" t="inlineStr"/>
      <c r="O592">
        <f>(1-Summary!$B$11)*T592+Summary!$B$11*V592</f>
        <v/>
      </c>
      <c r="P592">
        <f>IF(B606=0,0,O592/B606)</f>
        <v/>
      </c>
      <c r="Q592" t="n">
        <v>0</v>
      </c>
      <c r="R592" t="n">
        <v>0</v>
      </c>
      <c r="S592">
        <f>IFERROR(O592/N592,0)</f>
        <v/>
      </c>
      <c r="T592" t="n">
        <v>0</v>
      </c>
      <c r="V592" t="n">
        <v>0</v>
      </c>
    </row>
    <row r="593">
      <c r="A593">
        <f>Skills!A31</f>
        <v/>
      </c>
      <c r="B593">
        <f>Skills!B31</f>
        <v/>
      </c>
      <c r="C593">
        <f>Inputs!$B$3&gt;=107</f>
        <v/>
      </c>
      <c r="D593">
        <f>IF(Skills!C31=1,60+Inputs!$B$25+Inputs!$B$29,IF(Skills!C31=2,90+Inputs!$B$26+Inputs!$B$29,IF(Skills!C31=3,120+Inputs!$B$27+Inputs!$B$29,MAX(0,(Inputs!$B$3-100)*3)+Inputs!$B$28+Inputs!$B$29)))</f>
        <v/>
      </c>
      <c r="E593">
        <f>INDEX(FactorTable!$B$2:$Y$301, MATCH(ROUND(MIN(300,MAX(1,D593)),0), FactorTable!$A$2:$A$301,0), Skills!M31+1)</f>
        <v/>
      </c>
      <c r="F593">
        <f>IF(Skills!N31=TRUE,(Skills!L31/10)*(E593/1000),Skills!L31/10)+Skills!O31</f>
        <v/>
      </c>
      <c r="G593">
        <f>Calc!G31</f>
        <v/>
      </c>
      <c r="H593">
        <f>Calc!H31</f>
        <v/>
      </c>
      <c r="I593">
        <f>IF(Skills!AA31&lt;&gt;"",1+(Skills!AA31/10)*(U565/1000)/100,1)</f>
        <v/>
      </c>
      <c r="J593" t="inlineStr"/>
      <c r="K593" t="inlineStr"/>
      <c r="L593" t="inlineStr"/>
      <c r="M593" t="inlineStr"/>
      <c r="N593" t="inlineStr"/>
      <c r="O593">
        <f>(1-Summary!$B$11)*T593+Summary!$B$11*V593</f>
        <v/>
      </c>
      <c r="P593">
        <f>IF(B606=0,0,O593/B606)</f>
        <v/>
      </c>
      <c r="Q593" t="n">
        <v>0</v>
      </c>
      <c r="R593" t="n">
        <v>0</v>
      </c>
      <c r="S593">
        <f>IFERROR(O593/N593,0)</f>
        <v/>
      </c>
      <c r="T593" t="n">
        <v>0</v>
      </c>
      <c r="V593" t="n">
        <v>0</v>
      </c>
    </row>
    <row r="595">
      <c r="A595" t="inlineStr">
        <is>
          <t>Actions Per Second (pre-Adrenalin)</t>
        </is>
      </c>
      <c r="B595">
        <f>1+MIN(150,150*(1-(1-(Inputs!$B$11+((C584=TRUE)*(F584-Calc!F22))+(ArtifactsInput!$M$15-ArtifactsInput!$M$15)*CHOOSE(ArtifactsInput!$N$15+1,8,9.6,11.2,12.8,14.4,16))/150)*(1-((C581=TRUE)*F581*IF(AND(Inputs!$B$39&lt;&gt;"pvp",Inputs!$B$44&gt;0),(((R581-1)*(Skills!Y19*(1+Inputs!$B$34/100))+MIN((Skills!Y19*(1+Inputs!$B$34/100)),MAX(0,Inputs!$B$44-((R581-1)*Skills!D19))))/Inputs!$B$44),IF(Inputs!$B$39="pvp",MIN((Skills!Y19*(1+Inputs!$B$34/100)),15)/15,(Skills!Y19*(1+Inputs!$B$34/100))/Skills!D19)))/150)))/100</f>
        <v/>
      </c>
    </row>
    <row r="596">
      <c r="A596" t="inlineStr">
        <is>
          <t>Alchemic Adrenaline Uptime</t>
        </is>
      </c>
      <c r="B596">
        <f>(Skills!Y6*(1+Inputs!$B$34/100))/((Skills!Y6*(1+Inputs!$B$34/100))+(5/B595))</f>
        <v/>
      </c>
    </row>
    <row r="597">
      <c r="A597" t="inlineStr">
        <is>
          <t>Attack Speed Buff Bonus %</t>
        </is>
      </c>
      <c r="B597">
        <f>((C581=TRUE)*F581*IF(AND(Inputs!$B$39&lt;&gt;"pvp",Inputs!$B$44&gt;0),(((R581-1)*(Skills!Y19*(1+Inputs!$B$34/100))+MIN((Skills!Y19*(1+Inputs!$B$34/100)),MAX(0,Inputs!$B$44-((R581-1)*Skills!D19))))/Inputs!$B$44),IF(Inputs!$B$39="pvp",MIN((Skills!Y19*(1+Inputs!$B$34/100)),15)/15,(Skills!Y19*(1+Inputs!$B$34/100))/Skills!D19)))+((C569=TRUE)*F569*B596)</f>
        <v/>
      </c>
    </row>
    <row r="598">
      <c r="A598" t="inlineStr">
        <is>
          <t>Actions Per Second (final)</t>
        </is>
      </c>
      <c r="B598">
        <f>1+MIN(150,150*(1-(1-(Inputs!$B$11+((C584=TRUE)*(F584-Calc!F22))+(ArtifactsInput!$M$15-ArtifactsInput!$M$15)*CHOOSE(ArtifactsInput!$N$15+1,8,9.6,11.2,12.8,14.4,16))/150)*(1-B597/150)))/100</f>
        <v/>
      </c>
    </row>
    <row r="599">
      <c r="A599" t="inlineStr">
        <is>
          <t>Skill + Buff Cast Rate</t>
        </is>
      </c>
      <c r="B599">
        <f>IF(AND(Inputs!$B$39&lt;&gt;"pvp",Inputs!$B$44&gt;0),SUMPRODUCT((Skills!E2:E31=TRUE)*(C564:C593=TRUE)*R564:R593*Skills!F2:F31)/Inputs!$B$44,SUMPRODUCT((Skills!E2:E31=TRUE)*(C564:C593=TRUE)*Q564:Q593*Skills!F2:F31))</f>
        <v/>
      </c>
    </row>
    <row r="600">
      <c r="A600" t="inlineStr">
        <is>
          <t>Showdown Casts Per Second</t>
        </is>
      </c>
      <c r="B600">
        <f>MAX(0,B598-B599)</f>
        <v/>
      </c>
    </row>
    <row r="601">
      <c r="A601" t="inlineStr">
        <is>
          <t>Average Buff Multiplier</t>
        </is>
      </c>
      <c r="B601">
        <f>(1+(((C583=TRUE)*F583*IF(AND(Inputs!$B$39&lt;&gt;"pvp",Inputs!$B$44&gt;0),(((R583-1)*(Skills!Y21*(1+Inputs!$B$34/100))+MIN((Skills!Y21*(1+Inputs!$B$34/100)),MAX(0,Inputs!$B$44-((R583-1)*Skills!D21))))/Inputs!$B$44),IF(Inputs!$B$39="pvp",MIN((Skills!Y21*(1+Inputs!$B$34/100)),15)/15,(Skills!Y21*(1+Inputs!$B$34/100))/Skills!D21)))+((C590=TRUE)*(F590-Calc!F28))+((C580=TRUE)*(F580-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577=TRUE)*F577*IF(AND(Inputs!$B$39&lt;&gt;"pvp",Inputs!$B$44&gt;0),(((R577-1)*(Skills!Y15*(1+Inputs!$B$34/100))+MIN((Skills!Y15*(1+Inputs!$B$34/100)),MAX(0,Inputs!$B$44-((R577-1)*Skills!D15))))/Inputs!$B$44),IF(Inputs!$B$39="pvp",MIN((Skills!Y15*(1+Inputs!$B$34/100)),15)/15,(Skills!Y15*(1+Inputs!$B$34/100))/Skills!D15)))/100)*(1+((C568=TRUE)*F568*B596)/100)</f>
        <v/>
      </c>
    </row>
    <row r="602">
      <c r="A602" t="inlineStr">
        <is>
          <t>Global Crit Rate Bonus %</t>
        </is>
      </c>
      <c r="B602">
        <f>IF(Inputs!$B$3&gt;=47,8,0)+((C582=TRUE)*F582*IF(AND(Inputs!$B$39&lt;&gt;"pvp",Inputs!$B$44&gt;0),(((R582-1)*(Skills!Y20*(1+Inputs!$B$34/100))+MIN((Skills!Y20*(1+Inputs!$B$34/100)),MAX(0,Inputs!$B$44-((R582-1)*Skills!D20))))/Inputs!$B$44),IF(Inputs!$B$39="pvp",MIN((Skills!Y20*(1+Inputs!$B$34/100)),15)/15,(Skills!Y20*(1+Inputs!$B$34/100))/Skills!D20)))</f>
        <v/>
      </c>
    </row>
    <row r="603">
      <c r="A603" t="inlineStr">
        <is>
          <t>Global Monster Damage-Taken Bonus %</t>
        </is>
      </c>
      <c r="B603">
        <f>IF(Inputs!$B$3&gt;=82,15,0)+((C578=TRUE)*F578*IF(AND(Inputs!$B$39&lt;&gt;"pvp",Inputs!$B$44&gt;0),(((R578-1)*(Skills!Y16*(1+Inputs!$B$34/100))+MIN((Skills!Y16*(1+Inputs!$B$34/100)),MAX(0,Inputs!$B$44-((R578-1)*Skills!D16))))/Inputs!$B$44),IF(Inputs!$B$39="pvp",MIN((Skills!Y16*(1+Inputs!$B$34/100)),15)/15,(Skills!Y16*(1+Inputs!$B$34/100))/Skills!D16)))</f>
        <v/>
      </c>
    </row>
    <row r="604">
      <c r="A604" t="inlineStr">
        <is>
          <t>Shadow Partner Average Multiplier</t>
        </is>
      </c>
      <c r="B604">
        <f>1+((C573=TRUE)*F573*I573*Skills!J11/100)/100</f>
        <v/>
      </c>
    </row>
    <row r="605">
      <c r="A605" t="inlineStr">
        <is>
          <t>Global Critical Damage Bonus % (Frailty Curse Mastery Lv.111)</t>
        </is>
      </c>
      <c r="B605">
        <f>IF(Inputs!$B$3&gt;=111,30,0)*IF(AND(Inputs!$B$39&lt;&gt;"pvp",Inputs!$B$44&gt;0),(((R578-1)*(Skills!Y16*(1+Inputs!$B$34/100))+MIN((Skills!Y16*(1+Inputs!$B$34/100)),MAX(0,Inputs!$B$44-((R578-1)*Skills!D16))))/Inputs!$B$44),IF(Inputs!$B$39="pvp",MIN((Skills!Y16*(1+Inputs!$B$34/100)),15)/15,(Skills!Y16*(1+Inputs!$B$34/100))/Skills!D16))</f>
        <v/>
      </c>
    </row>
    <row r="606">
      <c r="A606" s="6" t="inlineStr">
        <is>
          <t>TOTAL DPS</t>
        </is>
      </c>
      <c r="B606" s="6">
        <f>SUM(O564:O593)</f>
        <v/>
      </c>
    </row>
    <row r="607">
      <c r="A607" t="inlineStr">
        <is>
          <t>Buff-Casting Startup Delay (s, fixed-duration only)</t>
        </is>
      </c>
      <c r="B607">
        <f>IF(AND(Inputs!$B$39&lt;&gt;"pvp",Inputs!$B$44&gt;0),SUMPRODUCT((Skills!Y2:Y31&gt;0)*(Skills!E2:E31=TRUE)*(C564:C593=TRUE))/B598,0)</f>
        <v/>
      </c>
    </row>
    <row r="608">
      <c r="A608" t="inlineStr">
        <is>
          <t>Boss-Only Total DPS (this block's swept value)</t>
        </is>
      </c>
      <c r="B608">
        <f>SUM(T564:T593)</f>
        <v/>
      </c>
    </row>
    <row r="609">
      <c r="A609" t="inlineStr">
        <is>
          <t>Normal-Only Total DPS (this block's swept value)</t>
        </is>
      </c>
      <c r="B609">
        <f>SUM(V564:V593)</f>
        <v/>
      </c>
    </row>
    <row r="611">
      <c r="A611" s="6" t="inlineStr">
        <is>
          <t>Stat: CRIT_DAMAGE %</t>
        </is>
      </c>
    </row>
    <row r="612">
      <c r="A612" s="5" t="inlineStr">
        <is>
          <t>Key</t>
        </is>
      </c>
      <c r="B612" s="5" t="inlineStr">
        <is>
          <t>Name</t>
        </is>
      </c>
      <c r="C612" s="5" t="inlineStr">
        <is>
          <t>Unlocked</t>
        </is>
      </c>
      <c r="D612" s="5" t="inlineStr">
        <is>
          <t>InputLevel</t>
        </is>
      </c>
      <c r="E612" s="5" t="inlineStr">
        <is>
          <t>Factor</t>
        </is>
      </c>
      <c r="F612" s="5" t="inlineStr">
        <is>
          <t>CoefficientPercent</t>
        </is>
      </c>
      <c r="G612" s="5" t="inlineStr">
        <is>
          <t>EffectiveHits</t>
        </is>
      </c>
      <c r="H612" s="5" t="inlineStr">
        <is>
          <t>ProcProbability</t>
        </is>
      </c>
      <c r="I612" s="5" t="inlineStr">
        <is>
          <t>MapleHeroMultiplier</t>
        </is>
      </c>
      <c r="J612" s="5" t="inlineStr">
        <is>
          <t>BaseDamage</t>
        </is>
      </c>
      <c r="K612" s="5" t="inlineStr">
        <is>
          <t>BaseHitDamage</t>
        </is>
      </c>
      <c r="L612" s="5" t="inlineStr">
        <is>
          <t>NonCritAvg</t>
        </is>
      </c>
      <c r="M612" s="5" t="inlineStr">
        <is>
          <t>CritAvg</t>
        </is>
      </c>
      <c r="N612" s="5" t="inlineStr">
        <is>
          <t>ExpectedDamage(perHit)</t>
        </is>
      </c>
      <c r="O612" s="5" t="inlineStr">
        <is>
          <t>DPS</t>
        </is>
      </c>
      <c r="P612" s="5" t="inlineStr">
        <is>
          <t>% of Total</t>
        </is>
      </c>
      <c r="Q612" s="5" t="inlineStr">
        <is>
          <t>InvCooldown</t>
        </is>
      </c>
      <c r="R612" s="5" t="inlineStr">
        <is>
          <t>CastsInFight</t>
        </is>
      </c>
      <c r="S612" s="5" t="inlineStr">
        <is>
          <t>HitRate(perSec)</t>
        </is>
      </c>
      <c r="U612" t="inlineStr">
        <is>
          <t>helpers</t>
        </is>
      </c>
    </row>
    <row r="613">
      <c r="A613">
        <f>Skills!A2</f>
        <v/>
      </c>
      <c r="B613">
        <f>Skills!B2</f>
        <v/>
      </c>
      <c r="C613">
        <f>Inputs!$B$3&gt;=100</f>
        <v/>
      </c>
      <c r="D613" t="inlineStr"/>
      <c r="E613" t="inlineStr"/>
      <c r="F613">
        <f>U617+Skills!O2</f>
        <v/>
      </c>
      <c r="G613">
        <f>Calc!G2</f>
        <v/>
      </c>
      <c r="H613">
        <f>Calc!H2</f>
        <v/>
      </c>
      <c r="I613">
        <f>IF(Skills!AA2&lt;&gt;"",1+(Skills!AA2/10)*(U614/1000)/100,1)</f>
        <v/>
      </c>
      <c r="J613">
        <f>((Inputs!$B$6*(1+Inputs!$B$7/100))+(((Inputs!$B$12*(1+Inputs!$B$13/100))-(Inputs!$B$12*(1+Inputs!$B$13/100)))+0.25*(Inputs!$B$14-Inputs!$B$14))*(1+Inputs!$B$7/100))*(F613/100)</f>
        <v/>
      </c>
      <c r="K613">
        <f>J613*(1+((Inputs!$B$12*(1+Inputs!$B$13/100))*0.01+Inputs!$B$14*0.0025)/100)*(1+Inputs!$B$15/100)*(1+Inputs!$B$16/100)*(5000/(6000+Inputs!$B$43*(1-(100*(1-(1-(Inputs!$B$19+0)/100)*(1-CHOOSE(ArtifactsInput!$N$40+1,5,6,7,8,9,10)/100)^(ArtifactsInput!$M$40-ArtifactsInput!$M$40)))/100)))*(1+(Inputs!$B$24+((C641=TRUE)*(F641-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634=TRUE)*(F634-Calc!F23))+(((IF(AND(ArtifactsInput!$M$42,((Inputs!$B$9+((C636=TRUE)*(F636-Calc!F25))+B651+(ArtifactsInput!$M$24-ArtifactsInput!$M$24)*CHOOSE(ArtifactsInput!$N$24+1,10,12,14,16,18,20)+IF(ArtifactsInput!$M$10,CHOOSE(ArtifactsInput!$N$10+1,15,18,21,24,27,30)*(IF(Inputs!$B$39="pvp",MIN(15,15)/15,IF(AND(Inputs!$B$39&lt;&gt;"pvp",Inputs!$B$44&gt;0),MIN(15,Inputs!$B$44)/(Inputs!$B$44),0))),0)))&gt;=100),MIN(100,((Inputs!$B$9+((C636=TRUE)*(F636-Calc!F25))+B651+(ArtifactsInput!$M$24-ArtifactsInput!$M$24)*CHOOSE(ArtifactsInput!$N$24+1,10,12,14,16,18,20)+IF(ArtifactsInput!$M$10,CHOOSE(ArtifactsInput!$N$10+1,15,18,21,24,27,30)*(IF(Inputs!$B$39="pvp",MIN(15,15)/15,IF(AND(Inputs!$B$39&lt;&gt;"pvp",Inputs!$B$44&gt;0),MIN(15,Inputs!$B$44)/(Inputs!$B$44),0))),0)))-100),0))*CHOOSE(ArtifactsInput!$N$42+1,0.6,0.72,0.84,0.96,1.08,1.2))),Inputs!$B$18+((C640=TRUE)*(F640-Calc!F29))+(IF(AND(ArtifactsInput!$M$42,((Inputs!$B$9+((C636=TRUE)*(F636-Calc!F25))+B651+(ArtifactsInput!$M$24-ArtifactsInput!$M$24)*CHOOSE(ArtifactsInput!$N$24+1,10,12,14,16,18,20)+IF(ArtifactsInput!$M$10,CHOOSE(ArtifactsInput!$N$10+1,15,18,21,24,27,30)*(IF(Inputs!$B$39="pvp",MIN(15,15)/15,IF(AND(Inputs!$B$39&lt;&gt;"pvp",Inputs!$B$44&gt;0),MIN(15,Inputs!$B$44)/(Inputs!$B$44),0))),0)))&gt;=100),CHOOSE(ArtifactsInput!$N$42+1,40,48,56,64,72,80),0))))/100)*(((1+(((C632=TRUE)*F632*IF(AND(Inputs!$B$39&lt;&gt;"pvp",Inputs!$B$44&gt;0),(((R632-1)*(Skills!Y21*(1+Inputs!$B$34/100))+MIN((Skills!Y21*(1+Inputs!$B$34/100)),MAX(0,Inputs!$B$44-((R632-1)*Skills!D21))))/Inputs!$B$44),IF(Inputs!$B$39="pvp",MIN((Skills!Y21*(1+Inputs!$B$34/100)),15)/15,(Skills!Y21*(1+Inputs!$B$34/100))/Skills!D21)))+((C639=TRUE)*(F639-Calc!F28))+((C629=TRUE)*(F629-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626=TRUE)*F626*IF(AND(Inputs!$B$39&lt;&gt;"pvp",Inputs!$B$44&gt;0),(((R626-1)*(Skills!Y15*(1+Inputs!$B$34/100))+MIN((Skills!Y15*(1+Inputs!$B$34/100)),MAX(0,Inputs!$B$44-((R626-1)*Skills!D15))))/Inputs!$B$44),IF(Inputs!$B$39="pvp",MIN((Skills!Y15*(1+Inputs!$B$34/100)),15)/15,(Skills!Y15*(1+Inputs!$B$34/100))/Skills!D15)))/100)*(1+((C617=TRUE)*F617*B645)/100))*B653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613)</f>
        <v/>
      </c>
      <c r="L613">
        <f>K613*(MIN(Inputs!$B$22+((C635=TRUE)*(F635-Calc!F24)),(Inputs!$B$23+0+(IF(ArtifactsInput!$M$15,CHOOSE(ArtifactsInput!$N$15+1,25,30,35,40,45,50)/100*(Inputs!$B$11-Inputs!$B$11),0))))/100+(Inputs!$B$23+0+(IF(ArtifactsInput!$M$15,CHOOSE(ArtifactsInput!$N$15+1,25,30,35,40,45,50)/100*(Inputs!$B$11-Inputs!$B$11),0)))/100)/2</f>
        <v/>
      </c>
      <c r="M613">
        <f>L613*(1+((Inputs!$B$10+1)+((C637=TRUE)*(F637-Calc!F26))+B654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13">
        <f>L613*(1-MIN((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613*(MIN((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13">
        <f>(1-Summary!$B$11)*T613+Summary!$B$11*V613</f>
        <v/>
      </c>
      <c r="P613">
        <f>IF(B655=0,0,O613/B655)</f>
        <v/>
      </c>
      <c r="Q613" t="n">
        <v>0</v>
      </c>
      <c r="R613" t="n">
        <v>0</v>
      </c>
      <c r="S613">
        <f>IFERROR(O613/N613,0)</f>
        <v/>
      </c>
      <c r="T613">
        <f>IF(C613,(Skills!G2*N613*B649)*IF(Inputs!$B$39="pvp",1,1+(Inputs!$B$20+((C638=TRUE)*(F638-Calc!F27))+Skills!P2+B652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Hunt"),CHOOSE(ArtifactsInput!$N$35+1,15,18,21,24,27,30)*(1-EXP(-(0.2*B647)*5)),0)+IF(AND(ArtifactsInput!$M$22,Inputs!$B$4&lt;&gt;"Chapter Hunt"),CHOOSE(ArtifactsInput!$N$22+1,10,12,14,16,18,20)*((0*(((0.15*B647*5))^0/1)+1*(((0.15*B647*5))^1/1)+2*(((0.15*B647*5))^2/2)+3*(((0.15*B647*5))^3/6)+4*(((0.15*B647*5))^4/24)+5*(((0.15*B647*5))^5/120))/((((0.15*B647*5))^0/1)+(((0.15*B647*5))^1/1)+(((0.15*B647*5))^2/2)+(((0.15*B647*5))^3/6)+(((0.15*B647*5))^4/24)+(((0.15*B647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613*(1-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613*(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613*(1-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613*(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13">
        <f>MAX(0,(Inputs!$B$3-100)*3)+Inputs!$B$28+Inputs!$B$29</f>
        <v/>
      </c>
      <c r="V613">
        <f>IF(C613,(Skills!G2*N613*B649)*IF(Inputs!$B$39="pvp",1,(1+(Inputs!$B$21+Skills!Q2+B652+(IF(ArtifactsInput!$M$33,CHOOSE(ArtifactsInput!$N$33+1,30,36,42,48,54,60),0))+(IF(AND(ArtifactsInput!$M$35,Inputs!$B$4&lt;&gt;"Chapter Hunt"),CHOOSE(ArtifactsInput!$N$35+1,15,18,21,24,27,30)*(1-EXP(-(0.2*B647)*5)),0)+IF(AND(ArtifactsInput!$M$22,Inputs!$B$4&lt;&gt;"Chapter Hunt"),CHOOSE(ArtifactsInput!$N$22+1,10,12,14,16,18,20)*((0*(((0.15*B647*5))^0/1)+1*(((0.15*B647*5))^1/1)+2*(((0.15*B647*5))^2/2)+3*(((0.15*B647*5))^3/6)+4*(((0.15*B647*5))^4/24)+5*(((0.15*B647*5))^5/120))/((((0.15*B647*5))^0/1)+(((0.15*B647*5))^1/1)+(((0.15*B647*5))^2/2)+(((0.15*B647*5))^3/6)+(((0.15*B647*5))^4/24)+(((0.15*B647*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14">
      <c r="A614">
        <f>Skills!A3</f>
        <v/>
      </c>
      <c r="B614">
        <f>Skills!B3</f>
        <v/>
      </c>
      <c r="C614">
        <f>Inputs!$B$3&gt;=35</f>
        <v/>
      </c>
      <c r="D614">
        <f>IF(Skills!C3=1,60+Inputs!$B$25+Inputs!$B$29,IF(Skills!C3=2,90+Inputs!$B$26+Inputs!$B$29,IF(Skills!C3=3,120+Inputs!$B$27+Inputs!$B$29,MAX(0,(Inputs!$B$3-100)*3)+Inputs!$B$28+Inputs!$B$29)))</f>
        <v/>
      </c>
      <c r="E614">
        <f>INDEX(FactorTable!$B$2:$Y$301, MATCH(ROUND(MIN(300,MAX(1,D614)),0), FactorTable!$A$2:$A$301,0), Skills!M3+1)</f>
        <v/>
      </c>
      <c r="F614">
        <f>IF(Skills!N3=TRUE,(Skills!L3/10)*(E614/1000),Skills!L3/10)+Skills!O3</f>
        <v/>
      </c>
      <c r="G614">
        <f>Calc!G3</f>
        <v/>
      </c>
      <c r="H614">
        <f>Calc!H3</f>
        <v/>
      </c>
      <c r="I614">
        <f>IF(Skills!AA3&lt;&gt;"",1+(Skills!AA3/10)*(U614/1000)/100,1)</f>
        <v/>
      </c>
      <c r="J614">
        <f>((Inputs!$B$6*(1+Inputs!$B$7/100))+(((Inputs!$B$12*(1+Inputs!$B$13/100))-(Inputs!$B$12*(1+Inputs!$B$13/100)))+0.25*(Inputs!$B$14-Inputs!$B$14))*(1+Inputs!$B$7/100))*(F614/100)</f>
        <v/>
      </c>
      <c r="K614">
        <f>J614*(1+((Inputs!$B$12*(1+Inputs!$B$13/100))*0.01+Inputs!$B$14*0.0025)/100)*(1+Inputs!$B$15/100)*(1+Inputs!$B$16/100)*(5000/(6000+Inputs!$B$43*(1-(100*(1-(1-(Inputs!$B$19+0)/100)*(1-CHOOSE(ArtifactsInput!$N$40+1,5,6,7,8,9,10)/100)^(ArtifactsInput!$M$40-ArtifactsInput!$M$40)))/100)))*(1+(Inputs!$B$24+((C641=TRUE)*(F641-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634=TRUE)*(F634-Calc!F23))+(((IF(AND(ArtifactsInput!$M$42,((Inputs!$B$9+((C636=TRUE)*(F636-Calc!F25))+B651+(ArtifactsInput!$M$24-ArtifactsInput!$M$24)*CHOOSE(ArtifactsInput!$N$24+1,10,12,14,16,18,20)+IF(ArtifactsInput!$M$10,CHOOSE(ArtifactsInput!$N$10+1,15,18,21,24,27,30)*(IF(Inputs!$B$39="pvp",MIN(15,15)/15,IF(AND(Inputs!$B$39&lt;&gt;"pvp",Inputs!$B$44&gt;0),MIN(15,Inputs!$B$44)/(Inputs!$B$44),0))),0)))&gt;=100),MIN(100,((Inputs!$B$9+((C636=TRUE)*(F636-Calc!F25))+B651+(ArtifactsInput!$M$24-ArtifactsInput!$M$24)*CHOOSE(ArtifactsInput!$N$24+1,10,12,14,16,18,20)+IF(ArtifactsInput!$M$10,CHOOSE(ArtifactsInput!$N$10+1,15,18,21,24,27,30)*(IF(Inputs!$B$39="pvp",MIN(15,15)/15,IF(AND(Inputs!$B$39&lt;&gt;"pvp",Inputs!$B$44&gt;0),MIN(15,Inputs!$B$44)/(Inputs!$B$44),0))),0)))-100),0))*CHOOSE(ArtifactsInput!$N$42+1,0.6,0.72,0.84,0.96,1.08,1.2))),Inputs!$B$18+((C640=TRUE)*(F640-Calc!F29))+(IF(AND(ArtifactsInput!$M$42,((Inputs!$B$9+((C636=TRUE)*(F636-Calc!F25))+B651+(ArtifactsInput!$M$24-ArtifactsInput!$M$24)*CHOOSE(ArtifactsInput!$N$24+1,10,12,14,16,18,20)+IF(ArtifactsInput!$M$10,CHOOSE(ArtifactsInput!$N$10+1,15,18,21,24,27,30)*(IF(Inputs!$B$39="pvp",MIN(15,15)/15,IF(AND(Inputs!$B$39&lt;&gt;"pvp",Inputs!$B$44&gt;0),MIN(15,Inputs!$B$44)/(Inputs!$B$44),0))),0)))&gt;=100),CHOOSE(ArtifactsInput!$N$42+1,40,48,56,64,72,80),0))))/100)*(((1+(((C632=TRUE)*F632*IF(AND(Inputs!$B$39&lt;&gt;"pvp",Inputs!$B$44&gt;0),(((R632-1)*(Skills!Y21*(1+Inputs!$B$34/100))+MIN((Skills!Y21*(1+Inputs!$B$34/100)),MAX(0,Inputs!$B$44-((R632-1)*Skills!D21))))/Inputs!$B$44),IF(Inputs!$B$39="pvp",MIN((Skills!Y21*(1+Inputs!$B$34/100)),15)/15,(Skills!Y21*(1+Inputs!$B$34/100))/Skills!D21)))+((C639=TRUE)*(F639-Calc!F28))+((C629=TRUE)*(F629-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626=TRUE)*F626*IF(AND(Inputs!$B$39&lt;&gt;"pvp",Inputs!$B$44&gt;0),(((R626-1)*(Skills!Y15*(1+Inputs!$B$34/100))+MIN((Skills!Y15*(1+Inputs!$B$34/100)),MAX(0,Inputs!$B$44-((R626-1)*Skills!D15))))/Inputs!$B$44),IF(Inputs!$B$39="pvp",MIN((Skills!Y15*(1+Inputs!$B$34/100)),15)/15,(Skills!Y15*(1+Inputs!$B$34/100))/Skills!D15)))/100)*(1+((C617=TRUE)*F617*B645)/100))*B653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614)</f>
        <v/>
      </c>
      <c r="L614">
        <f>K614*(MIN(Inputs!$B$22+((C635=TRUE)*(F635-Calc!F24)),(Inputs!$B$23+0+(IF(ArtifactsInput!$M$15,CHOOSE(ArtifactsInput!$N$15+1,25,30,35,40,45,50)/100*(Inputs!$B$11-Inputs!$B$11),0))))/100+(Inputs!$B$23+0+(IF(ArtifactsInput!$M$15,CHOOSE(ArtifactsInput!$N$15+1,25,30,35,40,45,50)/100*(Inputs!$B$11-Inputs!$B$11),0)))/100)/2</f>
        <v/>
      </c>
      <c r="M614">
        <f>L614*(1+((Inputs!$B$10+1)+((C637=TRUE)*(F637-Calc!F26))+B654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14">
        <f>L614*(1-MIN((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614*(MIN((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14">
        <f>(1-Summary!$B$11)*T614+Summary!$B$11*V614</f>
        <v/>
      </c>
      <c r="P614">
        <f>IF(B655=0,0,O614/B655)</f>
        <v/>
      </c>
      <c r="Q614">
        <f>IFERROR(1/IF(Inputs!$B$39="pvp",15,MAX(0.1,Skills!D3-IF(Skills!E3=TRUE,Inputs!$B$32,0))),0)</f>
        <v/>
      </c>
      <c r="R614">
        <f>IF(AND(Inputs!$B$39&lt;&gt;"pvp",Inputs!$B$44&gt;0),IF(MAX(0,Inputs!$B$44-B656)&lt;=0,0,(INT(MAX(0,Inputs!$B$44-B656)/IF(Inputs!$B$39="pvp",15,MAX(0.1,Skills!D3-IF(Skills!E3=TRUE,Inputs!$B$32,0))))+1)),0)</f>
        <v/>
      </c>
      <c r="S614">
        <f>IFERROR(O614/N614,0)</f>
        <v/>
      </c>
      <c r="T614">
        <f>IF(C614,(H614*N614*IF(AND(Inputs!$B$39&lt;&gt;"pvp",Inputs!$B$44&gt;0),((Skills!G3*((R614-1)*IF(Skills!H3&gt;0,Skills!I3/Skills!H3,1)+IF(Skills!H3&gt;0,MIN(Skills!I3,MAX(0,MAX(0,Inputs!$B$44-B656)-((R614-1)*IF(Inputs!$B$39="pvp",15,MAX(0.1,Skills!D3-IF(Skills!E3=TRUE,Inputs!$B$32,0))))))/Skills!H3,1)))/Inputs!$B$44),G614*Q614))*IF(Inputs!$B$39="pvp",1,1+(Inputs!$B$20+((C638=TRUE)*(F638-Calc!F27))+Skills!P3+B652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Hunt"),CHOOSE(ArtifactsInput!$N$35+1,15,18,21,24,27,30)*(1-EXP(-(0.2*B647)*5)),0)+IF(AND(ArtifactsInput!$M$22,Inputs!$B$4&lt;&gt;"Chapter Hunt"),CHOOSE(ArtifactsInput!$N$22+1,10,12,14,16,18,20)*((0*(((0.15*B647*5))^0/1)+1*(((0.15*B647*5))^1/1)+2*(((0.15*B647*5))^2/2)+3*(((0.15*B647*5))^3/6)+4*(((0.15*B647*5))^4/24)+5*(((0.15*B647*5))^5/120))/((((0.15*B647*5))^0/1)+(((0.15*B647*5))^1/1)+(((0.15*B647*5))^2/2)+(((0.15*B647*5))^3/6)+(((0.15*B647*5))^4/24)+(((0.15*B647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614*(1-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614*(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614*(1-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614*(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14">
        <f>INDEX(FactorTable!$B$2:$Y$301, MATCH(ROUND(MIN(300,MAX(1,U613)),0), FactorTable!$A$2:$A$301,0), 24)</f>
        <v/>
      </c>
      <c r="V614">
        <f>IF(C614,(H614*N614*IF(AND(Inputs!$B$39&lt;&gt;"pvp",Inputs!$B$44&gt;0),((Skills!G3*((R614-1)*IF(Skills!H3&gt;0,Skills!I3/Skills!H3,1)+IF(Skills!H3&gt;0,MIN(Skills!I3,MAX(0,MAX(0,Inputs!$B$44-B656)-((R614-1)*IF(Inputs!$B$39="pvp",15,MAX(0.1,Skills!D3-IF(Skills!E3=TRUE,Inputs!$B$32,0))))))/Skills!H3,1)))/Inputs!$B$44),G614*Q614))*IF(Inputs!$B$39="pvp",1,(1+(Inputs!$B$21+Skills!Q3+B652+(IF(ArtifactsInput!$M$33,CHOOSE(ArtifactsInput!$N$33+1,30,36,42,48,54,60),0))+(IF(AND(ArtifactsInput!$M$35,Inputs!$B$4&lt;&gt;"Chapter Hunt"),CHOOSE(ArtifactsInput!$N$35+1,15,18,21,24,27,30)*(1-EXP(-(0.2*B647)*5)),0)+IF(AND(ArtifactsInput!$M$22,Inputs!$B$4&lt;&gt;"Chapter Hunt"),CHOOSE(ArtifactsInput!$N$22+1,10,12,14,16,18,20)*((0*(((0.15*B647*5))^0/1)+1*(((0.15*B647*5))^1/1)+2*(((0.15*B647*5))^2/2)+3*(((0.15*B647*5))^3/6)+4*(((0.15*B647*5))^4/24)+5*(((0.15*B647*5))^5/120))/((((0.15*B647*5))^0/1)+(((0.15*B647*5))^1/1)+(((0.15*B647*5))^2/2)+(((0.15*B647*5))^3/6)+(((0.15*B647*5))^4/24)+(((0.15*B647*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15">
      <c r="A615">
        <f>Skills!A4</f>
        <v/>
      </c>
      <c r="B615">
        <f>Skills!B4</f>
        <v/>
      </c>
      <c r="C615">
        <f>Inputs!$B$3&gt;=40</f>
        <v/>
      </c>
      <c r="D615">
        <f>IF(Skills!C4=1,60+Inputs!$B$25+Inputs!$B$29,IF(Skills!C4=2,90+Inputs!$B$26+Inputs!$B$29,IF(Skills!C4=3,120+Inputs!$B$27+Inputs!$B$29,MAX(0,(Inputs!$B$3-100)*3)+Inputs!$B$28+Inputs!$B$29)))</f>
        <v/>
      </c>
      <c r="E615">
        <f>INDEX(FactorTable!$B$2:$Y$301, MATCH(ROUND(MIN(300,MAX(1,D615)),0), FactorTable!$A$2:$A$301,0), Skills!M4+1)</f>
        <v/>
      </c>
      <c r="F615">
        <f>IF(Skills!N4=TRUE,(Skills!L4/10)*(E615/1000),Skills!L4/10)+Skills!O4</f>
        <v/>
      </c>
      <c r="G615">
        <f>Calc!G4</f>
        <v/>
      </c>
      <c r="H615">
        <f>Calc!H4</f>
        <v/>
      </c>
      <c r="I615">
        <f>IF(Skills!AA4&lt;&gt;"",1+(Skills!AA4/10)*(U614/1000)/100,1)</f>
        <v/>
      </c>
      <c r="J615">
        <f>((Inputs!$B$6*(1+Inputs!$B$7/100))+(((Inputs!$B$12*(1+Inputs!$B$13/100))-(Inputs!$B$12*(1+Inputs!$B$13/100)))+0.25*(Inputs!$B$14-Inputs!$B$14))*(1+Inputs!$B$7/100))*(F615/100)</f>
        <v/>
      </c>
      <c r="K615">
        <f>J615*(1+((Inputs!$B$12*(1+Inputs!$B$13/100))*0.01+Inputs!$B$14*0.0025)/100)*(1+Inputs!$B$15/100)*(1+Inputs!$B$16/100)*(5000/(6000+Inputs!$B$43*(1-(100*(1-(1-(Inputs!$B$19+0)/100)*(1-CHOOSE(ArtifactsInput!$N$40+1,5,6,7,8,9,10)/100)^(ArtifactsInput!$M$40-ArtifactsInput!$M$40)))/100)))*(1+(Inputs!$B$24+((C641=TRUE)*(F641-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634=TRUE)*(F634-Calc!F23))+(((IF(AND(ArtifactsInput!$M$42,((Inputs!$B$9+((C636=TRUE)*(F636-Calc!F25))+B651+(ArtifactsInput!$M$24-ArtifactsInput!$M$24)*CHOOSE(ArtifactsInput!$N$24+1,10,12,14,16,18,20)+IF(ArtifactsInput!$M$10,CHOOSE(ArtifactsInput!$N$10+1,15,18,21,24,27,30)*(IF(Inputs!$B$39="pvp",MIN(15,15)/15,IF(AND(Inputs!$B$39&lt;&gt;"pvp",Inputs!$B$44&gt;0),MIN(15,Inputs!$B$44)/(Inputs!$B$44),0))),0)))&gt;=100),MIN(100,((Inputs!$B$9+((C636=TRUE)*(F636-Calc!F25))+B651+(ArtifactsInput!$M$24-ArtifactsInput!$M$24)*CHOOSE(ArtifactsInput!$N$24+1,10,12,14,16,18,20)+IF(ArtifactsInput!$M$10,CHOOSE(ArtifactsInput!$N$10+1,15,18,21,24,27,30)*(IF(Inputs!$B$39="pvp",MIN(15,15)/15,IF(AND(Inputs!$B$39&lt;&gt;"pvp",Inputs!$B$44&gt;0),MIN(15,Inputs!$B$44)/(Inputs!$B$44),0))),0)))-100),0))*CHOOSE(ArtifactsInput!$N$42+1,0.6,0.72,0.84,0.96,1.08,1.2))),Inputs!$B$18+((C640=TRUE)*(F640-Calc!F29))+(IF(AND(ArtifactsInput!$M$42,((Inputs!$B$9+((C636=TRUE)*(F636-Calc!F25))+B651+(ArtifactsInput!$M$24-ArtifactsInput!$M$24)*CHOOSE(ArtifactsInput!$N$24+1,10,12,14,16,18,20)+IF(ArtifactsInput!$M$10,CHOOSE(ArtifactsInput!$N$10+1,15,18,21,24,27,30)*(IF(Inputs!$B$39="pvp",MIN(15,15)/15,IF(AND(Inputs!$B$39&lt;&gt;"pvp",Inputs!$B$44&gt;0),MIN(15,Inputs!$B$44)/(Inputs!$B$44),0))),0)))&gt;=100),CHOOSE(ArtifactsInput!$N$42+1,40,48,56,64,72,80),0))))/100)*(((1+(((C632=TRUE)*F632*IF(AND(Inputs!$B$39&lt;&gt;"pvp",Inputs!$B$44&gt;0),(((R632-1)*(Skills!Y21*(1+Inputs!$B$34/100))+MIN((Skills!Y21*(1+Inputs!$B$34/100)),MAX(0,Inputs!$B$44-((R632-1)*Skills!D21))))/Inputs!$B$44),IF(Inputs!$B$39="pvp",MIN((Skills!Y21*(1+Inputs!$B$34/100)),15)/15,(Skills!Y21*(1+Inputs!$B$34/100))/Skills!D21)))+((C639=TRUE)*(F639-Calc!F28))+((C629=TRUE)*(F629-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626=TRUE)*F626*IF(AND(Inputs!$B$39&lt;&gt;"pvp",Inputs!$B$44&gt;0),(((R626-1)*(Skills!Y15*(1+Inputs!$B$34/100))+MIN((Skills!Y15*(1+Inputs!$B$34/100)),MAX(0,Inputs!$B$44-((R626-1)*Skills!D15))))/Inputs!$B$44),IF(Inputs!$B$39="pvp",MIN((Skills!Y15*(1+Inputs!$B$34/100)),15)/15,(Skills!Y15*(1+Inputs!$B$34/100))/Skills!D15)))/100)*(1+((C617=TRUE)*F617*B645)/100))*B653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615)</f>
        <v/>
      </c>
      <c r="L615">
        <f>K615*(MIN(Inputs!$B$22+((C635=TRUE)*(F635-Calc!F24)),(Inputs!$B$23+0+(IF(ArtifactsInput!$M$15,CHOOSE(ArtifactsInput!$N$15+1,25,30,35,40,45,50)/100*(Inputs!$B$11-Inputs!$B$11),0))))/100+(Inputs!$B$23+0+(IF(ArtifactsInput!$M$15,CHOOSE(ArtifactsInput!$N$15+1,25,30,35,40,45,50)/100*(Inputs!$B$11-Inputs!$B$11),0)))/100)/2</f>
        <v/>
      </c>
      <c r="M615">
        <f>L615*(1+((Inputs!$B$10+1)+((C637=TRUE)*(F637-Calc!F26))+B654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15">
        <f>L615*(1-MIN((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615*(MIN((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15">
        <f>(1-Summary!$B$11)*T615+Summary!$B$11*V615</f>
        <v/>
      </c>
      <c r="P615">
        <f>IF(B655=0,0,O615/B655)</f>
        <v/>
      </c>
      <c r="Q615">
        <f>IFERROR(1/IF(Inputs!$B$39="pvp",15,MAX(0.1,Skills!D4-IF(Skills!E4=TRUE,Inputs!$B$32,0))),0)</f>
        <v/>
      </c>
      <c r="R615">
        <f>IF(AND(Inputs!$B$39&lt;&gt;"pvp",Inputs!$B$44&gt;0),IF(MAX(0,Inputs!$B$44-B656)&lt;=0,0,(INT(MAX(0,Inputs!$B$44-B656)/IF(Inputs!$B$39="pvp",15,MAX(0.1,Skills!D4-IF(Skills!E4=TRUE,Inputs!$B$32,0))))+1)),0)</f>
        <v/>
      </c>
      <c r="S615">
        <f>IFERROR(O615/N615,0)</f>
        <v/>
      </c>
      <c r="T615">
        <f>IF(C615,(H615*N615*IF(AND(Inputs!$B$39&lt;&gt;"pvp",Inputs!$B$44&gt;0),((Skills!G4*((R615-1)*IF(Skills!H4&gt;0,Skills!I4/Skills!H4,1)+IF(Skills!H4&gt;0,MIN(Skills!I4,MAX(0,MAX(0,Inputs!$B$44-B656)-((R615-1)*IF(Inputs!$B$39="pvp",15,MAX(0.1,Skills!D4-IF(Skills!E4=TRUE,Inputs!$B$32,0))))))/Skills!H4,1)))/Inputs!$B$44),G615*Q615))*IF(Inputs!$B$39="pvp",1,1+(Inputs!$B$20+((C638=TRUE)*(F638-Calc!F27))+Skills!P4+B652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Hunt"),CHOOSE(ArtifactsInput!$N$35+1,15,18,21,24,27,30)*(1-EXP(-(0.2*B647)*5)),0)+IF(AND(ArtifactsInput!$M$22,Inputs!$B$4&lt;&gt;"Chapter Hunt"),CHOOSE(ArtifactsInput!$N$22+1,10,12,14,16,18,20)*((0*(((0.15*B647*5))^0/1)+1*(((0.15*B647*5))^1/1)+2*(((0.15*B647*5))^2/2)+3*(((0.15*B647*5))^3/6)+4*(((0.15*B647*5))^4/24)+5*(((0.15*B647*5))^5/120))/((((0.15*B647*5))^0/1)+(((0.15*B647*5))^1/1)+(((0.15*B647*5))^2/2)+(((0.15*B647*5))^3/6)+(((0.15*B647*5))^4/24)+(((0.15*B647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615*(1-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615*(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615*(1-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615*(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15">
        <f>MAX(0,(Inputs!$B$3-100)*3)+Inputs!$B$28+Inputs!$B$29</f>
        <v/>
      </c>
      <c r="V615">
        <f>IF(C615,(H615*N615*IF(AND(Inputs!$B$39&lt;&gt;"pvp",Inputs!$B$44&gt;0),((Skills!G4*((R615-1)*IF(Skills!H4&gt;0,Skills!I4/Skills!H4,1)+IF(Skills!H4&gt;0,MIN(Skills!I4,MAX(0,MAX(0,Inputs!$B$44-B656)-((R615-1)*IF(Inputs!$B$39="pvp",15,MAX(0.1,Skills!D4-IF(Skills!E4=TRUE,Inputs!$B$32,0))))))/Skills!H4,1)))/Inputs!$B$44),G615*Q615))*IF(Inputs!$B$39="pvp",1,(1+(Inputs!$B$21+Skills!Q4+B652+(IF(ArtifactsInput!$M$33,CHOOSE(ArtifactsInput!$N$33+1,30,36,42,48,54,60),0))+(IF(AND(ArtifactsInput!$M$35,Inputs!$B$4&lt;&gt;"Chapter Hunt"),CHOOSE(ArtifactsInput!$N$35+1,15,18,21,24,27,30)*(1-EXP(-(0.2*B647)*5)),0)+IF(AND(ArtifactsInput!$M$22,Inputs!$B$4&lt;&gt;"Chapter Hunt"),CHOOSE(ArtifactsInput!$N$22+1,10,12,14,16,18,20)*((0*(((0.15*B647*5))^0/1)+1*(((0.15*B647*5))^1/1)+2*(((0.15*B647*5))^2/2)+3*(((0.15*B647*5))^3/6)+4*(((0.15*B647*5))^4/24)+5*(((0.15*B647*5))^5/120))/((((0.15*B647*5))^0/1)+(((0.15*B647*5))^1/1)+(((0.15*B647*5))^2/2)+(((0.15*B647*5))^3/6)+(((0.15*B647*5))^4/24)+(((0.15*B647*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16">
      <c r="A616">
        <f>Skills!A5</f>
        <v/>
      </c>
      <c r="B616">
        <f>Skills!B5</f>
        <v/>
      </c>
      <c r="C616">
        <f>Inputs!$B$3&gt;=63</f>
        <v/>
      </c>
      <c r="D616">
        <f>IF(Skills!C5=1,60+Inputs!$B$25+Inputs!$B$29,IF(Skills!C5=2,90+Inputs!$B$26+Inputs!$B$29,IF(Skills!C5=3,120+Inputs!$B$27+Inputs!$B$29,MAX(0,(Inputs!$B$3-100)*3)+Inputs!$B$28+Inputs!$B$29)))</f>
        <v/>
      </c>
      <c r="E616">
        <f>INDEX(FactorTable!$B$2:$Y$301, MATCH(ROUND(MIN(300,MAX(1,D616)),0), FactorTable!$A$2:$A$301,0), Skills!M5+1)</f>
        <v/>
      </c>
      <c r="F616">
        <f>IF(Skills!N5=TRUE,(Skills!L5/10)*(E616/1000),Skills!L5/10)+Skills!O5</f>
        <v/>
      </c>
      <c r="G616">
        <f>Calc!G5</f>
        <v/>
      </c>
      <c r="H616">
        <f>Calc!H5</f>
        <v/>
      </c>
      <c r="I616">
        <f>IF(Skills!AA5&lt;&gt;"",1+(Skills!AA5/10)*(U614/1000)/100,1)</f>
        <v/>
      </c>
      <c r="J616">
        <f>((Inputs!$B$6*(1+Inputs!$B$7/100))+(((Inputs!$B$12*(1+Inputs!$B$13/100))-(Inputs!$B$12*(1+Inputs!$B$13/100)))+0.25*(Inputs!$B$14-Inputs!$B$14))*(1+Inputs!$B$7/100))*(F616/100)</f>
        <v/>
      </c>
      <c r="K616">
        <f>J616*(1+((Inputs!$B$12*(1+Inputs!$B$13/100))*0.01+Inputs!$B$14*0.0025)/100)*(1+Inputs!$B$15/100)*(1+Inputs!$B$16/100)*(5000/(6000+Inputs!$B$43*(1-(100*(1-(1-(Inputs!$B$19+0)/100)*(1-CHOOSE(ArtifactsInput!$N$40+1,5,6,7,8,9,10)/100)^(ArtifactsInput!$M$40-ArtifactsInput!$M$40)))/100)))*(1+(Inputs!$B$24+((C641=TRUE)*(F641-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634=TRUE)*(F634-Calc!F23))+(((IF(AND(ArtifactsInput!$M$42,((Inputs!$B$9+((C636=TRUE)*(F636-Calc!F25))+B651+(ArtifactsInput!$M$24-ArtifactsInput!$M$24)*CHOOSE(ArtifactsInput!$N$24+1,10,12,14,16,18,20)+IF(ArtifactsInput!$M$10,CHOOSE(ArtifactsInput!$N$10+1,15,18,21,24,27,30)*(IF(Inputs!$B$39="pvp",MIN(15,15)/15,IF(AND(Inputs!$B$39&lt;&gt;"pvp",Inputs!$B$44&gt;0),MIN(15,Inputs!$B$44)/(Inputs!$B$44),0))),0)))&gt;=100),MIN(100,((Inputs!$B$9+((C636=TRUE)*(F636-Calc!F25))+B651+(ArtifactsInput!$M$24-ArtifactsInput!$M$24)*CHOOSE(ArtifactsInput!$N$24+1,10,12,14,16,18,20)+IF(ArtifactsInput!$M$10,CHOOSE(ArtifactsInput!$N$10+1,15,18,21,24,27,30)*(IF(Inputs!$B$39="pvp",MIN(15,15)/15,IF(AND(Inputs!$B$39&lt;&gt;"pvp",Inputs!$B$44&gt;0),MIN(15,Inputs!$B$44)/(Inputs!$B$44),0))),0)))-100),0))*CHOOSE(ArtifactsInput!$N$42+1,0.6,0.72,0.84,0.96,1.08,1.2))),Inputs!$B$18+((C640=TRUE)*(F640-Calc!F29))+(IF(AND(ArtifactsInput!$M$42,((Inputs!$B$9+((C636=TRUE)*(F636-Calc!F25))+B651+(ArtifactsInput!$M$24-ArtifactsInput!$M$24)*CHOOSE(ArtifactsInput!$N$24+1,10,12,14,16,18,20)+IF(ArtifactsInput!$M$10,CHOOSE(ArtifactsInput!$N$10+1,15,18,21,24,27,30)*(IF(Inputs!$B$39="pvp",MIN(15,15)/15,IF(AND(Inputs!$B$39&lt;&gt;"pvp",Inputs!$B$44&gt;0),MIN(15,Inputs!$B$44)/(Inputs!$B$44),0))),0)))&gt;=100),CHOOSE(ArtifactsInput!$N$42+1,40,48,56,64,72,80),0))))/100)*(((1+(((C632=TRUE)*F632*IF(AND(Inputs!$B$39&lt;&gt;"pvp",Inputs!$B$44&gt;0),(((R632-1)*(Skills!Y21*(1+Inputs!$B$34/100))+MIN((Skills!Y21*(1+Inputs!$B$34/100)),MAX(0,Inputs!$B$44-((R632-1)*Skills!D21))))/Inputs!$B$44),IF(Inputs!$B$39="pvp",MIN((Skills!Y21*(1+Inputs!$B$34/100)),15)/15,(Skills!Y21*(1+Inputs!$B$34/100))/Skills!D21)))+((C639=TRUE)*(F639-Calc!F28))+((C629=TRUE)*(F629-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626=TRUE)*F626*IF(AND(Inputs!$B$39&lt;&gt;"pvp",Inputs!$B$44&gt;0),(((R626-1)*(Skills!Y15*(1+Inputs!$B$34/100))+MIN((Skills!Y15*(1+Inputs!$B$34/100)),MAX(0,Inputs!$B$44-((R626-1)*Skills!D15))))/Inputs!$B$44),IF(Inputs!$B$39="pvp",MIN((Skills!Y15*(1+Inputs!$B$34/100)),15)/15,(Skills!Y15*(1+Inputs!$B$34/100))/Skills!D15)))/100)*(1+((C617=TRUE)*F617*B645)/100))*B653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616)</f>
        <v/>
      </c>
      <c r="L616">
        <f>K616*(MIN(Inputs!$B$22+((C635=TRUE)*(F635-Calc!F24)),(Inputs!$B$23+0+(IF(ArtifactsInput!$M$15,CHOOSE(ArtifactsInput!$N$15+1,25,30,35,40,45,50)/100*(Inputs!$B$11-Inputs!$B$11),0))))/100+(Inputs!$B$23+0+(IF(ArtifactsInput!$M$15,CHOOSE(ArtifactsInput!$N$15+1,25,30,35,40,45,50)/100*(Inputs!$B$11-Inputs!$B$11),0)))/100)/2</f>
        <v/>
      </c>
      <c r="M616">
        <f>L616*(1+((Inputs!$B$10+1)+((C637=TRUE)*(F637-Calc!F26))+B654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16">
        <f>L616*(1-MIN((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616*(MIN((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16">
        <f>(1-Summary!$B$11)*T616+Summary!$B$11*V616</f>
        <v/>
      </c>
      <c r="P616">
        <f>IF(B655=0,0,O616/B655)</f>
        <v/>
      </c>
      <c r="Q616">
        <f>IFERROR(1/IF(Inputs!$B$39="pvp",15,MAX(0.1,Skills!D5-IF(Skills!E5=TRUE,Inputs!$B$32,0))),0)</f>
        <v/>
      </c>
      <c r="R616">
        <f>IF(AND(Inputs!$B$39&lt;&gt;"pvp",Inputs!$B$44&gt;0),IF(MAX(0,Inputs!$B$44-B656)&lt;=0,0,(INT(MAX(0,Inputs!$B$44-B656)/IF(Inputs!$B$39="pvp",15,MAX(0.1,Skills!D5-IF(Skills!E5=TRUE,Inputs!$B$32,0))))+1)),0)</f>
        <v/>
      </c>
      <c r="S616">
        <f>IFERROR(O616/N616,0)</f>
        <v/>
      </c>
      <c r="T616">
        <f>IF(C616,(H616*N616*IF(AND(Inputs!$B$39&lt;&gt;"pvp",Inputs!$B$44&gt;0),((Skills!G5*((R616-1)*IF(Skills!H5&gt;0,Skills!I5/Skills!H5,1)+IF(Skills!H5&gt;0,MIN(Skills!I5,MAX(0,MAX(0,Inputs!$B$44-B656)-((R616-1)*IF(Inputs!$B$39="pvp",15,MAX(0.1,Skills!D5-IF(Skills!E5=TRUE,Inputs!$B$32,0))))))/Skills!H5,1)))/Inputs!$B$44),G616*Q616))*IF(Inputs!$B$39="pvp",1,1+(Inputs!$B$20+((C638=TRUE)*(F638-Calc!F27))+Skills!P5+B652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Hunt"),CHOOSE(ArtifactsInput!$N$35+1,15,18,21,24,27,30)*(1-EXP(-(0.2*B647)*5)),0)+IF(AND(ArtifactsInput!$M$22,Inputs!$B$4&lt;&gt;"Chapter Hunt"),CHOOSE(ArtifactsInput!$N$22+1,10,12,14,16,18,20)*((0*(((0.15*B647*5))^0/1)+1*(((0.15*B647*5))^1/1)+2*(((0.15*B647*5))^2/2)+3*(((0.15*B647*5))^3/6)+4*(((0.15*B647*5))^4/24)+5*(((0.15*B647*5))^5/120))/((((0.15*B647*5))^0/1)+(((0.15*B647*5))^1/1)+(((0.15*B647*5))^2/2)+(((0.15*B647*5))^3/6)+(((0.15*B647*5))^4/24)+(((0.15*B647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616*(1-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616*(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616*(1-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616*(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16">
        <f>INDEX(FactorTable!$B$2:$Y$301, MATCH(ROUND(MIN(300,MAX(1,U615)),0), FactorTable!$A$2:$A$301,0), 22)</f>
        <v/>
      </c>
      <c r="V616">
        <f>IF(C616,(H616*N616*IF(AND(Inputs!$B$39&lt;&gt;"pvp",Inputs!$B$44&gt;0),((Skills!G5*((R616-1)*IF(Skills!H5&gt;0,Skills!I5/Skills!H5,1)+IF(Skills!H5&gt;0,MIN(Skills!I5,MAX(0,MAX(0,Inputs!$B$44-B656)-((R616-1)*IF(Inputs!$B$39="pvp",15,MAX(0.1,Skills!D5-IF(Skills!E5=TRUE,Inputs!$B$32,0))))))/Skills!H5,1)))/Inputs!$B$44),G616*Q616))*IF(Inputs!$B$39="pvp",1,(1+(Inputs!$B$21+Skills!Q5+B652+(IF(ArtifactsInput!$M$33,CHOOSE(ArtifactsInput!$N$33+1,30,36,42,48,54,60),0))+(IF(AND(ArtifactsInput!$M$35,Inputs!$B$4&lt;&gt;"Chapter Hunt"),CHOOSE(ArtifactsInput!$N$35+1,15,18,21,24,27,30)*(1-EXP(-(0.2*B647)*5)),0)+IF(AND(ArtifactsInput!$M$22,Inputs!$B$4&lt;&gt;"Chapter Hunt"),CHOOSE(ArtifactsInput!$N$22+1,10,12,14,16,18,20)*((0*(((0.15*B647*5))^0/1)+1*(((0.15*B647*5))^1/1)+2*(((0.15*B647*5))^2/2)+3*(((0.15*B647*5))^3/6)+4*(((0.15*B647*5))^4/24)+5*(((0.15*B647*5))^5/120))/((((0.15*B647*5))^0/1)+(((0.15*B647*5))^1/1)+(((0.15*B647*5))^2/2)+(((0.15*B647*5))^3/6)+(((0.15*B647*5))^4/24)+(((0.15*B647*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17">
      <c r="A617">
        <f>Skills!A6</f>
        <v/>
      </c>
      <c r="B617">
        <f>Skills!B6</f>
        <v/>
      </c>
      <c r="C617">
        <f>Inputs!$B$3&gt;=66</f>
        <v/>
      </c>
      <c r="D617">
        <f>IF(Skills!C6=1,60+Inputs!$B$25+Inputs!$B$29,IF(Skills!C6=2,90+Inputs!$B$26+Inputs!$B$29,IF(Skills!C6=3,120+Inputs!$B$27+Inputs!$B$29,MAX(0,(Inputs!$B$3-100)*3)+Inputs!$B$28+Inputs!$B$29)))</f>
        <v/>
      </c>
      <c r="E617">
        <f>INDEX(FactorTable!$B$2:$Y$301, MATCH(ROUND(MIN(300,MAX(1,D617)),0), FactorTable!$A$2:$A$301,0), Skills!M6+1)</f>
        <v/>
      </c>
      <c r="F617">
        <f>IF(Skills!N6=TRUE,(Skills!L6/10)*(E617/1000),Skills!L6/10)+Skills!O6</f>
        <v/>
      </c>
      <c r="G617">
        <f>Calc!G6</f>
        <v/>
      </c>
      <c r="H617">
        <f>Calc!H6</f>
        <v/>
      </c>
      <c r="I617">
        <f>IF(Skills!AA6&lt;&gt;"",1+(Skills!AA6/10)*(U614/1000)/100,1)</f>
        <v/>
      </c>
      <c r="J617" t="inlineStr"/>
      <c r="K617" t="inlineStr"/>
      <c r="L617" t="inlineStr"/>
      <c r="M617" t="inlineStr"/>
      <c r="N617" t="inlineStr"/>
      <c r="O617">
        <f>(1-Summary!$B$11)*T617+Summary!$B$11*V617</f>
        <v/>
      </c>
      <c r="P617">
        <f>IF(B655=0,0,O617/B655)</f>
        <v/>
      </c>
      <c r="Q617" t="n">
        <v>0</v>
      </c>
      <c r="R617" t="n">
        <v>0</v>
      </c>
      <c r="S617">
        <f>IFERROR(O617/N617,0)</f>
        <v/>
      </c>
      <c r="T617" t="n">
        <v>0</v>
      </c>
      <c r="U617">
        <f>290*U616/1000</f>
        <v/>
      </c>
      <c r="V617" t="n">
        <v>0</v>
      </c>
    </row>
    <row r="618">
      <c r="A618">
        <f>Skills!A7</f>
        <v/>
      </c>
      <c r="B618">
        <f>Skills!B7</f>
        <v/>
      </c>
      <c r="C618">
        <f>Inputs!$B$3&gt;=66</f>
        <v/>
      </c>
      <c r="D618">
        <f>IF(Skills!C7=1,60+Inputs!$B$25+Inputs!$B$29,IF(Skills!C7=2,90+Inputs!$B$26+Inputs!$B$29,IF(Skills!C7=3,120+Inputs!$B$27+Inputs!$B$29,MAX(0,(Inputs!$B$3-100)*3)+Inputs!$B$28+Inputs!$B$29)))</f>
        <v/>
      </c>
      <c r="E618">
        <f>INDEX(FactorTable!$B$2:$Y$301, MATCH(ROUND(MIN(300,MAX(1,D618)),0), FactorTable!$A$2:$A$301,0), Skills!M7+1)</f>
        <v/>
      </c>
      <c r="F618">
        <f>IF(Skills!N7=TRUE,(Skills!L7/10)*(E618/1000),Skills!L7/10)+Skills!O7</f>
        <v/>
      </c>
      <c r="G618">
        <f>Calc!G7</f>
        <v/>
      </c>
      <c r="H618">
        <f>Calc!H7</f>
        <v/>
      </c>
      <c r="I618">
        <f>IF(Skills!AA7&lt;&gt;"",1+(Skills!AA7/10)*(U614/1000)/100,1)</f>
        <v/>
      </c>
      <c r="J618" t="inlineStr"/>
      <c r="K618" t="inlineStr"/>
      <c r="L618" t="inlineStr"/>
      <c r="M618" t="inlineStr"/>
      <c r="N618" t="inlineStr"/>
      <c r="O618">
        <f>(1-Summary!$B$11)*T618+Summary!$B$11*V618</f>
        <v/>
      </c>
      <c r="P618">
        <f>IF(B655=0,0,O618/B655)</f>
        <v/>
      </c>
      <c r="Q618" t="n">
        <v>0</v>
      </c>
      <c r="R618" t="n">
        <v>0</v>
      </c>
      <c r="S618">
        <f>IFERROR(O618/N618,0)</f>
        <v/>
      </c>
      <c r="T618" t="n">
        <v>0</v>
      </c>
      <c r="V618" t="n">
        <v>0</v>
      </c>
    </row>
    <row r="619">
      <c r="A619">
        <f>Skills!A8</f>
        <v/>
      </c>
      <c r="B619">
        <f>Skills!B8</f>
        <v/>
      </c>
      <c r="C619">
        <f>Inputs!$B$3&gt;=69</f>
        <v/>
      </c>
      <c r="D619">
        <f>IF(Skills!C8=1,60+Inputs!$B$25+Inputs!$B$29,IF(Skills!C8=2,90+Inputs!$B$26+Inputs!$B$29,IF(Skills!C8=3,120+Inputs!$B$27+Inputs!$B$29,MAX(0,(Inputs!$B$3-100)*3)+Inputs!$B$28+Inputs!$B$29)))</f>
        <v/>
      </c>
      <c r="E619">
        <f>INDEX(FactorTable!$B$2:$Y$301, MATCH(ROUND(MIN(300,MAX(1,D619)),0), FactorTable!$A$2:$A$301,0), Skills!M8+1)</f>
        <v/>
      </c>
      <c r="F619">
        <f>IF(Skills!N8=TRUE,(Skills!L8/10)*(E619/1000),Skills!L8/10)+Skills!O8</f>
        <v/>
      </c>
      <c r="G619">
        <f>Calc!G8</f>
        <v/>
      </c>
      <c r="H619">
        <f>Calc!H8</f>
        <v/>
      </c>
      <c r="I619">
        <f>IF(Skills!AA8&lt;&gt;"",1+(Skills!AA8/10)*(U614/1000)/100,1)</f>
        <v/>
      </c>
      <c r="J619">
        <f>((Inputs!$B$6*(1+Inputs!$B$7/100))+(((Inputs!$B$12*(1+Inputs!$B$13/100))-(Inputs!$B$12*(1+Inputs!$B$13/100)))+0.25*(Inputs!$B$14-Inputs!$B$14))*(1+Inputs!$B$7/100))*(F619/100)</f>
        <v/>
      </c>
      <c r="K619">
        <f>J619*(1+((Inputs!$B$12*(1+Inputs!$B$13/100))*0.01+Inputs!$B$14*0.0025)/100)*(1+Inputs!$B$15/100)*(1+Inputs!$B$16/100)*(5000/(6000+Inputs!$B$43*(1-(100*(1-(1-(Inputs!$B$19+0)/100)*(1-CHOOSE(ArtifactsInput!$N$40+1,5,6,7,8,9,10)/100)^(ArtifactsInput!$M$40-ArtifactsInput!$M$40)))/100)))*(1+(Inputs!$B$24+((C641=TRUE)*(F641-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634=TRUE)*(F634-Calc!F23))+(((IF(AND(ArtifactsInput!$M$42,((Inputs!$B$9+((C636=TRUE)*(F636-Calc!F25))+B651+(ArtifactsInput!$M$24-ArtifactsInput!$M$24)*CHOOSE(ArtifactsInput!$N$24+1,10,12,14,16,18,20)+IF(ArtifactsInput!$M$10,CHOOSE(ArtifactsInput!$N$10+1,15,18,21,24,27,30)*(IF(Inputs!$B$39="pvp",MIN(15,15)/15,IF(AND(Inputs!$B$39&lt;&gt;"pvp",Inputs!$B$44&gt;0),MIN(15,Inputs!$B$44)/(Inputs!$B$44),0))),0)))&gt;=100),MIN(100,((Inputs!$B$9+((C636=TRUE)*(F636-Calc!F25))+B651+(ArtifactsInput!$M$24-ArtifactsInput!$M$24)*CHOOSE(ArtifactsInput!$N$24+1,10,12,14,16,18,20)+IF(ArtifactsInput!$M$10,CHOOSE(ArtifactsInput!$N$10+1,15,18,21,24,27,30)*(IF(Inputs!$B$39="pvp",MIN(15,15)/15,IF(AND(Inputs!$B$39&lt;&gt;"pvp",Inputs!$B$44&gt;0),MIN(15,Inputs!$B$44)/(Inputs!$B$44),0))),0)))-100),0))*CHOOSE(ArtifactsInput!$N$42+1,0.6,0.72,0.84,0.96,1.08,1.2))),Inputs!$B$18+((C640=TRUE)*(F640-Calc!F29))+(IF(AND(ArtifactsInput!$M$42,((Inputs!$B$9+((C636=TRUE)*(F636-Calc!F25))+B651+(ArtifactsInput!$M$24-ArtifactsInput!$M$24)*CHOOSE(ArtifactsInput!$N$24+1,10,12,14,16,18,20)+IF(ArtifactsInput!$M$10,CHOOSE(ArtifactsInput!$N$10+1,15,18,21,24,27,30)*(IF(Inputs!$B$39="pvp",MIN(15,15)/15,IF(AND(Inputs!$B$39&lt;&gt;"pvp",Inputs!$B$44&gt;0),MIN(15,Inputs!$B$44)/(Inputs!$B$44),0))),0)))&gt;=100),CHOOSE(ArtifactsInput!$N$42+1,40,48,56,64,72,80),0))))/100)*(((1+(((C632=TRUE)*F632*IF(AND(Inputs!$B$39&lt;&gt;"pvp",Inputs!$B$44&gt;0),(((R632-1)*(Skills!Y21*(1+Inputs!$B$34/100))+MIN((Skills!Y21*(1+Inputs!$B$34/100)),MAX(0,Inputs!$B$44-((R632-1)*Skills!D21))))/Inputs!$B$44),IF(Inputs!$B$39="pvp",MIN((Skills!Y21*(1+Inputs!$B$34/100)),15)/15,(Skills!Y21*(1+Inputs!$B$34/100))/Skills!D21)))+((C639=TRUE)*(F639-Calc!F28))+((C629=TRUE)*(F629-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626=TRUE)*F626*IF(AND(Inputs!$B$39&lt;&gt;"pvp",Inputs!$B$44&gt;0),(((R626-1)*(Skills!Y15*(1+Inputs!$B$34/100))+MIN((Skills!Y15*(1+Inputs!$B$34/100)),MAX(0,Inputs!$B$44-((R626-1)*Skills!D15))))/Inputs!$B$44),IF(Inputs!$B$39="pvp",MIN((Skills!Y15*(1+Inputs!$B$34/100)),15)/15,(Skills!Y15*(1+Inputs!$B$34/100))/Skills!D15)))/100)*(1+((C617=TRUE)*F617*B645)/100))*B653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619)</f>
        <v/>
      </c>
      <c r="L619">
        <f>K619*(MIN(Inputs!$B$22+((C635=TRUE)*(F635-Calc!F24)),(Inputs!$B$23+0+(IF(ArtifactsInput!$M$15,CHOOSE(ArtifactsInput!$N$15+1,25,30,35,40,45,50)/100*(Inputs!$B$11-Inputs!$B$11),0))))/100+(Inputs!$B$23+0+(IF(ArtifactsInput!$M$15,CHOOSE(ArtifactsInput!$N$15+1,25,30,35,40,45,50)/100*(Inputs!$B$11-Inputs!$B$11),0)))/100)/2</f>
        <v/>
      </c>
      <c r="M619">
        <f>L619*(1+((Inputs!$B$10+1)+((C637=TRUE)*(F637-Calc!F26))+B654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19">
        <f>L619*(1-MIN((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619*(MIN((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19">
        <f>(1-Summary!$B$11)*T619+Summary!$B$11*V619</f>
        <v/>
      </c>
      <c r="P619">
        <f>IF(B655=0,0,O619/B655)</f>
        <v/>
      </c>
      <c r="Q619">
        <f>IFERROR(1/IF(Inputs!$B$39="pvp",15,MAX(0.1,Skills!D8-IF(Skills!E8=TRUE,Inputs!$B$32,0))),0)</f>
        <v/>
      </c>
      <c r="R619">
        <f>IF(AND(Inputs!$B$39&lt;&gt;"pvp",Inputs!$B$44&gt;0),IF(MAX(0,Inputs!$B$44-B656)&lt;=0,0,(INT(MAX(0,Inputs!$B$44-B656)/IF(Inputs!$B$39="pvp",15,MAX(0.1,Skills!D8-IF(Skills!E8=TRUE,Inputs!$B$32,0))))+1)),0)</f>
        <v/>
      </c>
      <c r="S619">
        <f>IFERROR(O619/N619,0)</f>
        <v/>
      </c>
      <c r="T619">
        <f>IF(C619,(H619*N619*IF(AND(Inputs!$B$39&lt;&gt;"pvp",Inputs!$B$44&gt;0),((Skills!G8*((R619-1)*IF(Skills!H8&gt;0,Skills!I8/Skills!H8,1)+IF(Skills!H8&gt;0,MIN(Skills!I8,MAX(0,MAX(0,Inputs!$B$44-B656)-((R619-1)*IF(Inputs!$B$39="pvp",15,MAX(0.1,Skills!D8-IF(Skills!E8=TRUE,Inputs!$B$32,0))))))/Skills!H8,1)))/Inputs!$B$44),G619*Q619))*IF(Inputs!$B$39="pvp",1,1+(Inputs!$B$20+((C638=TRUE)*(F638-Calc!F27))+Skills!P8+B652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Hunt"),CHOOSE(ArtifactsInput!$N$35+1,15,18,21,24,27,30)*(1-EXP(-(0.2*B647)*5)),0)+IF(AND(ArtifactsInput!$M$22,Inputs!$B$4&lt;&gt;"Chapter Hunt"),CHOOSE(ArtifactsInput!$N$22+1,10,12,14,16,18,20)*((0*(((0.15*B647*5))^0/1)+1*(((0.15*B647*5))^1/1)+2*(((0.15*B647*5))^2/2)+3*(((0.15*B647*5))^3/6)+4*(((0.15*B647*5))^4/24)+5*(((0.15*B647*5))^5/120))/((((0.15*B647*5))^0/1)+(((0.15*B647*5))^1/1)+(((0.15*B647*5))^2/2)+(((0.15*B647*5))^3/6)+(((0.15*B647*5))^4/24)+(((0.15*B647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619*(1-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619*(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619*(1-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619*(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19">
        <f>IF(C619,(H619*N619*IF(AND(Inputs!$B$39&lt;&gt;"pvp",Inputs!$B$44&gt;0),((Skills!G8*((R619-1)*IF(Skills!H8&gt;0,Skills!I8/Skills!H8,1)+IF(Skills!H8&gt;0,MIN(Skills!I8,MAX(0,MAX(0,Inputs!$B$44-B656)-((R619-1)*IF(Inputs!$B$39="pvp",15,MAX(0.1,Skills!D8-IF(Skills!E8=TRUE,Inputs!$B$32,0))))))/Skills!H8,1)))/Inputs!$B$44),G619*Q619))*IF(Inputs!$B$39="pvp",1,(1+(Inputs!$B$21+Skills!Q8+B652+(IF(ArtifactsInput!$M$33,CHOOSE(ArtifactsInput!$N$33+1,30,36,42,48,54,60),0))+(IF(AND(ArtifactsInput!$M$35,Inputs!$B$4&lt;&gt;"Chapter Hunt"),CHOOSE(ArtifactsInput!$N$35+1,15,18,21,24,27,30)*(1-EXP(-(0.2*B647)*5)),0)+IF(AND(ArtifactsInput!$M$22,Inputs!$B$4&lt;&gt;"Chapter Hunt"),CHOOSE(ArtifactsInput!$N$22+1,10,12,14,16,18,20)*((0*(((0.15*B647*5))^0/1)+1*(((0.15*B647*5))^1/1)+2*(((0.15*B647*5))^2/2)+3*(((0.15*B647*5))^3/6)+4*(((0.15*B647*5))^4/24)+5*(((0.15*B647*5))^5/120))/((((0.15*B647*5))^0/1)+(((0.15*B647*5))^1/1)+(((0.15*B647*5))^2/2)+(((0.15*B647*5))^3/6)+(((0.15*B647*5))^4/24)+(((0.15*B647*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20">
      <c r="A620">
        <f>Skills!A9</f>
        <v/>
      </c>
      <c r="B620">
        <f>Skills!B9</f>
        <v/>
      </c>
      <c r="C620">
        <f>Inputs!$B$3&gt;=72</f>
        <v/>
      </c>
      <c r="D620">
        <f>IF(Skills!C9=1,60+Inputs!$B$25+Inputs!$B$29,IF(Skills!C9=2,90+Inputs!$B$26+Inputs!$B$29,IF(Skills!C9=3,120+Inputs!$B$27+Inputs!$B$29,MAX(0,(Inputs!$B$3-100)*3)+Inputs!$B$28+Inputs!$B$29)))</f>
        <v/>
      </c>
      <c r="E620">
        <f>INDEX(FactorTable!$B$2:$Y$301, MATCH(ROUND(MIN(300,MAX(1,D620)),0), FactorTable!$A$2:$A$301,0), Skills!M9+1)</f>
        <v/>
      </c>
      <c r="F620">
        <f>IF(Skills!N9=TRUE,(Skills!L9/10)*(E620/1000),Skills!L9/10)+Skills!O9</f>
        <v/>
      </c>
      <c r="G620">
        <f>Calc!G9</f>
        <v/>
      </c>
      <c r="H620">
        <f>Calc!H9</f>
        <v/>
      </c>
      <c r="I620">
        <f>IF(Skills!AA9&lt;&gt;"",1+(Skills!AA9/10)*(U614/1000)/100,1)</f>
        <v/>
      </c>
      <c r="J620">
        <f>((Inputs!$B$6*(1+Inputs!$B$7/100))+(((Inputs!$B$12*(1+Inputs!$B$13/100))-(Inputs!$B$12*(1+Inputs!$B$13/100)))+0.25*(Inputs!$B$14-Inputs!$B$14))*(1+Inputs!$B$7/100))*(F620/100)</f>
        <v/>
      </c>
      <c r="K620">
        <f>J620*(1+((Inputs!$B$12*(1+Inputs!$B$13/100))*0.01+Inputs!$B$14*0.0025)/100)*(1+Inputs!$B$15/100)*(1+Inputs!$B$16/100)*(5000/(6000+Inputs!$B$43*(1-(100*(1-(1-(Inputs!$B$19+0)/100)*(1-CHOOSE(ArtifactsInput!$N$40+1,5,6,7,8,9,10)/100)^(ArtifactsInput!$M$40-ArtifactsInput!$M$40)))/100)))*(1+(Inputs!$B$24+((C641=TRUE)*(F641-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634=TRUE)*(F634-Calc!F23))+(((IF(AND(ArtifactsInput!$M$42,((Inputs!$B$9+((C636=TRUE)*(F636-Calc!F25))+B651+(ArtifactsInput!$M$24-ArtifactsInput!$M$24)*CHOOSE(ArtifactsInput!$N$24+1,10,12,14,16,18,20)+IF(ArtifactsInput!$M$10,CHOOSE(ArtifactsInput!$N$10+1,15,18,21,24,27,30)*(IF(Inputs!$B$39="pvp",MIN(15,15)/15,IF(AND(Inputs!$B$39&lt;&gt;"pvp",Inputs!$B$44&gt;0),MIN(15,Inputs!$B$44)/(Inputs!$B$44),0))),0)))&gt;=100),MIN(100,((Inputs!$B$9+((C636=TRUE)*(F636-Calc!F25))+B651+(ArtifactsInput!$M$24-ArtifactsInput!$M$24)*CHOOSE(ArtifactsInput!$N$24+1,10,12,14,16,18,20)+IF(ArtifactsInput!$M$10,CHOOSE(ArtifactsInput!$N$10+1,15,18,21,24,27,30)*(IF(Inputs!$B$39="pvp",MIN(15,15)/15,IF(AND(Inputs!$B$39&lt;&gt;"pvp",Inputs!$B$44&gt;0),MIN(15,Inputs!$B$44)/(Inputs!$B$44),0))),0)))-100),0))*CHOOSE(ArtifactsInput!$N$42+1,0.6,0.72,0.84,0.96,1.08,1.2))),Inputs!$B$18+((C640=TRUE)*(F640-Calc!F29))+(IF(AND(ArtifactsInput!$M$42,((Inputs!$B$9+((C636=TRUE)*(F636-Calc!F25))+B651+(ArtifactsInput!$M$24-ArtifactsInput!$M$24)*CHOOSE(ArtifactsInput!$N$24+1,10,12,14,16,18,20)+IF(ArtifactsInput!$M$10,CHOOSE(ArtifactsInput!$N$10+1,15,18,21,24,27,30)*(IF(Inputs!$B$39="pvp",MIN(15,15)/15,IF(AND(Inputs!$B$39&lt;&gt;"pvp",Inputs!$B$44&gt;0),MIN(15,Inputs!$B$44)/(Inputs!$B$44),0))),0)))&gt;=100),CHOOSE(ArtifactsInput!$N$42+1,40,48,56,64,72,80),0))))/100)*(((1+(((C632=TRUE)*F632*IF(AND(Inputs!$B$39&lt;&gt;"pvp",Inputs!$B$44&gt;0),(((R632-1)*(Skills!Y21*(1+Inputs!$B$34/100))+MIN((Skills!Y21*(1+Inputs!$B$34/100)),MAX(0,Inputs!$B$44-((R632-1)*Skills!D21))))/Inputs!$B$44),IF(Inputs!$B$39="pvp",MIN((Skills!Y21*(1+Inputs!$B$34/100)),15)/15,(Skills!Y21*(1+Inputs!$B$34/100))/Skills!D21)))+((C639=TRUE)*(F639-Calc!F28))+((C629=TRUE)*(F629-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626=TRUE)*F626*IF(AND(Inputs!$B$39&lt;&gt;"pvp",Inputs!$B$44&gt;0),(((R626-1)*(Skills!Y15*(1+Inputs!$B$34/100))+MIN((Skills!Y15*(1+Inputs!$B$34/100)),MAX(0,Inputs!$B$44-((R626-1)*Skills!D15))))/Inputs!$B$44),IF(Inputs!$B$39="pvp",MIN((Skills!Y15*(1+Inputs!$B$34/100)),15)/15,(Skills!Y15*(1+Inputs!$B$34/100))/Skills!D15)))/100)*(1+((C617=TRUE)*F617*B645)/100))*B653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620)</f>
        <v/>
      </c>
      <c r="L620">
        <f>K620*(MIN(Inputs!$B$22+((C635=TRUE)*(F635-Calc!F24)),(Inputs!$B$23+0+(IF(ArtifactsInput!$M$15,CHOOSE(ArtifactsInput!$N$15+1,25,30,35,40,45,50)/100*(Inputs!$B$11-Inputs!$B$11),0))))/100+(Inputs!$B$23+0+(IF(ArtifactsInput!$M$15,CHOOSE(ArtifactsInput!$N$15+1,25,30,35,40,45,50)/100*(Inputs!$B$11-Inputs!$B$11),0)))/100)/2</f>
        <v/>
      </c>
      <c r="M620">
        <f>L620*(1+((Inputs!$B$10+1)+((C637=TRUE)*(F637-Calc!F26))+B654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20">
        <f>L620*(1-MIN((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620*(MIN((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20">
        <f>(1-Summary!$B$11)*T620+Summary!$B$11*V620</f>
        <v/>
      </c>
      <c r="P620">
        <f>IF(B655=0,0,O620/B655)</f>
        <v/>
      </c>
      <c r="Q620">
        <f>IFERROR(1/IF(Inputs!$B$39="pvp",15,MAX(0.1,Skills!D9-IF(Skills!E9=TRUE,Inputs!$B$32,0))),0)</f>
        <v/>
      </c>
      <c r="R620">
        <f>IF(AND(Inputs!$B$39&lt;&gt;"pvp",Inputs!$B$44&gt;0),IF(MAX(0,Inputs!$B$44-B656)&lt;=0,0,(INT(MAX(0,Inputs!$B$44-B656)/IF(Inputs!$B$39="pvp",15,MAX(0.1,Skills!D9-IF(Skills!E9=TRUE,Inputs!$B$32,0))))+1)),0)</f>
        <v/>
      </c>
      <c r="S620">
        <f>IFERROR(O620/N620,0)</f>
        <v/>
      </c>
      <c r="T620">
        <f>IF(C620,(H620*N620*IF(AND(Inputs!$B$39&lt;&gt;"pvp",Inputs!$B$44&gt;0),((Skills!G9*((R620-1)*IF(Skills!H9&gt;0,Skills!I9/Skills!H9,1)+IF(Skills!H9&gt;0,MIN(Skills!I9,MAX(0,MAX(0,Inputs!$B$44-B656)-((R620-1)*IF(Inputs!$B$39="pvp",15,MAX(0.1,Skills!D9-IF(Skills!E9=TRUE,Inputs!$B$32,0))))))/Skills!H9,1)))/Inputs!$B$44),G620*Q620))*IF(Inputs!$B$39="pvp",1,1+(Inputs!$B$20+((C638=TRUE)*(F638-Calc!F27))+Skills!P9+B652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Hunt"),CHOOSE(ArtifactsInput!$N$35+1,15,18,21,24,27,30)*(1-EXP(-(0.2*B647)*5)),0)+IF(AND(ArtifactsInput!$M$22,Inputs!$B$4&lt;&gt;"Chapter Hunt"),CHOOSE(ArtifactsInput!$N$22+1,10,12,14,16,18,20)*((0*(((0.15*B647*5))^0/1)+1*(((0.15*B647*5))^1/1)+2*(((0.15*B647*5))^2/2)+3*(((0.15*B647*5))^3/6)+4*(((0.15*B647*5))^4/24)+5*(((0.15*B647*5))^5/120))/((((0.15*B647*5))^0/1)+(((0.15*B647*5))^1/1)+(((0.15*B647*5))^2/2)+(((0.15*B647*5))^3/6)+(((0.15*B647*5))^4/24)+(((0.15*B647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620*(1-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620*(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620*(1-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620*(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20">
        <f>IF(C620,(H620*N620*IF(AND(Inputs!$B$39&lt;&gt;"pvp",Inputs!$B$44&gt;0),((Skills!G9*((R620-1)*IF(Skills!H9&gt;0,Skills!I9/Skills!H9,1)+IF(Skills!H9&gt;0,MIN(Skills!I9,MAX(0,MAX(0,Inputs!$B$44-B656)-((R620-1)*IF(Inputs!$B$39="pvp",15,MAX(0.1,Skills!D9-IF(Skills!E9=TRUE,Inputs!$B$32,0))))))/Skills!H9,1)))/Inputs!$B$44),G620*Q620))*IF(Inputs!$B$39="pvp",1,(1+(Inputs!$B$21+Skills!Q9+B652+(IF(ArtifactsInput!$M$33,CHOOSE(ArtifactsInput!$N$33+1,30,36,42,48,54,60),0))+(IF(AND(ArtifactsInput!$M$35,Inputs!$B$4&lt;&gt;"Chapter Hunt"),CHOOSE(ArtifactsInput!$N$35+1,15,18,21,24,27,30)*(1-EXP(-(0.2*B647)*5)),0)+IF(AND(ArtifactsInput!$M$22,Inputs!$B$4&lt;&gt;"Chapter Hunt"),CHOOSE(ArtifactsInput!$N$22+1,10,12,14,16,18,20)*((0*(((0.15*B647*5))^0/1)+1*(((0.15*B647*5))^1/1)+2*(((0.15*B647*5))^2/2)+3*(((0.15*B647*5))^3/6)+4*(((0.15*B647*5))^4/24)+5*(((0.15*B647*5))^5/120))/((((0.15*B647*5))^0/1)+(((0.15*B647*5))^1/1)+(((0.15*B647*5))^2/2)+(((0.15*B647*5))^3/6)+(((0.15*B647*5))^4/24)+(((0.15*B647*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21">
      <c r="A621">
        <f>Skills!A10</f>
        <v/>
      </c>
      <c r="B621">
        <f>Skills!B10</f>
        <v/>
      </c>
      <c r="C621">
        <f>Inputs!$B$3&gt;=117</f>
        <v/>
      </c>
      <c r="D621">
        <f>IF(Skills!C10=1,60+Inputs!$B$25+Inputs!$B$29,IF(Skills!C10=2,90+Inputs!$B$26+Inputs!$B$29,IF(Skills!C10=3,120+Inputs!$B$27+Inputs!$B$29,MAX(0,(Inputs!$B$3-100)*3)+Inputs!$B$28+Inputs!$B$29)))</f>
        <v/>
      </c>
      <c r="E621">
        <f>INDEX(FactorTable!$B$2:$Y$301, MATCH(ROUND(MIN(300,MAX(1,D621)),0), FactorTable!$A$2:$A$301,0), Skills!M10+1)</f>
        <v/>
      </c>
      <c r="F621">
        <f>IF(Skills!N10=TRUE,(Skills!L10/10)*(E621/1000),Skills!L10/10)+Skills!O10</f>
        <v/>
      </c>
      <c r="G621">
        <f>Calc!G10</f>
        <v/>
      </c>
      <c r="H621">
        <f>Calc!H10</f>
        <v/>
      </c>
      <c r="I621">
        <f>IF(Skills!AA10&lt;&gt;"",1+(Skills!AA10/10)*(U614/1000)/100,1)</f>
        <v/>
      </c>
      <c r="J621">
        <f>((Inputs!$B$6*(1+Inputs!$B$7/100))+(((Inputs!$B$12*(1+Inputs!$B$13/100))-(Inputs!$B$12*(1+Inputs!$B$13/100)))+0.25*(Inputs!$B$14-Inputs!$B$14))*(1+Inputs!$B$7/100))*(F621/100)</f>
        <v/>
      </c>
      <c r="K621">
        <f>J621*(1+((Inputs!$B$12*(1+Inputs!$B$13/100))*0.01+Inputs!$B$14*0.0025)/100)*(1+Inputs!$B$15/100)*(1+Inputs!$B$16/100)*(5000/(6000+Inputs!$B$43*(1-(100*(1-(1-(Inputs!$B$19+0)/100)*(1-CHOOSE(ArtifactsInput!$N$40+1,5,6,7,8,9,10)/100)^(ArtifactsInput!$M$40-ArtifactsInput!$M$40)))/100)))*(1+(Inputs!$B$24+((C641=TRUE)*(F641-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634=TRUE)*(F634-Calc!F23))+(((IF(AND(ArtifactsInput!$M$42,((Inputs!$B$9+((C636=TRUE)*(F636-Calc!F25))+B651+(ArtifactsInput!$M$24-ArtifactsInput!$M$24)*CHOOSE(ArtifactsInput!$N$24+1,10,12,14,16,18,20)+IF(ArtifactsInput!$M$10,CHOOSE(ArtifactsInput!$N$10+1,15,18,21,24,27,30)*(IF(Inputs!$B$39="pvp",MIN(15,15)/15,IF(AND(Inputs!$B$39&lt;&gt;"pvp",Inputs!$B$44&gt;0),MIN(15,Inputs!$B$44)/(Inputs!$B$44),0))),0)))&gt;=100),MIN(100,((Inputs!$B$9+((C636=TRUE)*(F636-Calc!F25))+B651+(ArtifactsInput!$M$24-ArtifactsInput!$M$24)*CHOOSE(ArtifactsInput!$N$24+1,10,12,14,16,18,20)+IF(ArtifactsInput!$M$10,CHOOSE(ArtifactsInput!$N$10+1,15,18,21,24,27,30)*(IF(Inputs!$B$39="pvp",MIN(15,15)/15,IF(AND(Inputs!$B$39&lt;&gt;"pvp",Inputs!$B$44&gt;0),MIN(15,Inputs!$B$44)/(Inputs!$B$44),0))),0)))-100),0))*CHOOSE(ArtifactsInput!$N$42+1,0.6,0.72,0.84,0.96,1.08,1.2))),Inputs!$B$18+((C640=TRUE)*(F640-Calc!F29))+(IF(AND(ArtifactsInput!$M$42,((Inputs!$B$9+((C636=TRUE)*(F636-Calc!F25))+B651+(ArtifactsInput!$M$24-ArtifactsInput!$M$24)*CHOOSE(ArtifactsInput!$N$24+1,10,12,14,16,18,20)+IF(ArtifactsInput!$M$10,CHOOSE(ArtifactsInput!$N$10+1,15,18,21,24,27,30)*(IF(Inputs!$B$39="pvp",MIN(15,15)/15,IF(AND(Inputs!$B$39&lt;&gt;"pvp",Inputs!$B$44&gt;0),MIN(15,Inputs!$B$44)/(Inputs!$B$44),0))),0)))&gt;=100),CHOOSE(ArtifactsInput!$N$42+1,40,48,56,64,72,80),0))))/100)*(((1+(((C632=TRUE)*F632*IF(AND(Inputs!$B$39&lt;&gt;"pvp",Inputs!$B$44&gt;0),(((R632-1)*(Skills!Y21*(1+Inputs!$B$34/100))+MIN((Skills!Y21*(1+Inputs!$B$34/100)),MAX(0,Inputs!$B$44-((R632-1)*Skills!D21))))/Inputs!$B$44),IF(Inputs!$B$39="pvp",MIN((Skills!Y21*(1+Inputs!$B$34/100)),15)/15,(Skills!Y21*(1+Inputs!$B$34/100))/Skills!D21)))+((C639=TRUE)*(F639-Calc!F28))+((C629=TRUE)*(F629-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626=TRUE)*F626*IF(AND(Inputs!$B$39&lt;&gt;"pvp",Inputs!$B$44&gt;0),(((R626-1)*(Skills!Y15*(1+Inputs!$B$34/100))+MIN((Skills!Y15*(1+Inputs!$B$34/100)),MAX(0,Inputs!$B$44-((R626-1)*Skills!D15))))/Inputs!$B$44),IF(Inputs!$B$39="pvp",MIN((Skills!Y15*(1+Inputs!$B$34/100)),15)/15,(Skills!Y15*(1+Inputs!$B$34/100))/Skills!D15)))/100)*(1+((C617=TRUE)*F617*B645)/100))*B653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621)</f>
        <v/>
      </c>
      <c r="L621">
        <f>K621*(MIN(Inputs!$B$22+((C635=TRUE)*(F635-Calc!F24)),(Inputs!$B$23+0+(IF(ArtifactsInput!$M$15,CHOOSE(ArtifactsInput!$N$15+1,25,30,35,40,45,50)/100*(Inputs!$B$11-Inputs!$B$11),0))))/100+(Inputs!$B$23+0+(IF(ArtifactsInput!$M$15,CHOOSE(ArtifactsInput!$N$15+1,25,30,35,40,45,50)/100*(Inputs!$B$11-Inputs!$B$11),0)))/100)/2</f>
        <v/>
      </c>
      <c r="M621">
        <f>L621*(1+((Inputs!$B$10+1)+((C637=TRUE)*(F637-Calc!F26))+B654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21">
        <f>L621*(1-MIN((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621*(MIN((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21">
        <f>(1-Summary!$B$11)*T621+Summary!$B$11*V621</f>
        <v/>
      </c>
      <c r="P621">
        <f>IF(B655=0,0,O621/B655)</f>
        <v/>
      </c>
      <c r="Q621" t="n">
        <v>0</v>
      </c>
      <c r="R621" t="n">
        <v>0</v>
      </c>
      <c r="S621" t="n">
        <v>0</v>
      </c>
      <c r="T621">
        <f>IF(C621,(0.2*SUMPRODUCT((Skills!Z2:Z31=TRUE)*(C613:C642=TRUE)*S613:S642)*N621)*IF(Inputs!$B$39="pvp",1,1+(Inputs!$B$20+((C638=TRUE)*(F638-Calc!F27))+Skills!P10+B652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Hunt"),CHOOSE(ArtifactsInput!$N$35+1,15,18,21,24,27,30)*(1-EXP(-(0.2*B647)*5)),0)+IF(AND(ArtifactsInput!$M$22,Inputs!$B$4&lt;&gt;"Chapter Hunt"),CHOOSE(ArtifactsInput!$N$22+1,10,12,14,16,18,20)*((0*(((0.15*B647*5))^0/1)+1*(((0.15*B647*5))^1/1)+2*(((0.15*B647*5))^2/2)+3*(((0.15*B647*5))^3/6)+4*(((0.15*B647*5))^4/24)+5*(((0.15*B647*5))^5/120))/((((0.15*B647*5))^0/1)+(((0.15*B647*5))^1/1)+(((0.15*B647*5))^2/2)+(((0.15*B647*5))^3/6)+(((0.15*B647*5))^4/24)+(((0.15*B647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621*(1-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621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621*(1-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621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21">
        <f>IF(C621,(0.2*SUMPRODUCT((Skills!Z2:Z31=TRUE)*(C613:C642=TRUE)*S613:S642)*N621)*IF(Inputs!$B$39="pvp",1,(1+(Inputs!$B$21+Skills!Q10+B652+(IF(ArtifactsInput!$M$33,CHOOSE(ArtifactsInput!$N$33+1,30,36,42,48,54,60),0))+(IF(AND(ArtifactsInput!$M$35,Inputs!$B$4&lt;&gt;"Chapter Hunt"),CHOOSE(ArtifactsInput!$N$35+1,15,18,21,24,27,30)*(1-EXP(-(0.2*B647)*5)),0)+IF(AND(ArtifactsInput!$M$22,Inputs!$B$4&lt;&gt;"Chapter Hunt"),CHOOSE(ArtifactsInput!$N$22+1,10,12,14,16,18,20)*((0*(((0.15*B647*5))^0/1)+1*(((0.15*B647*5))^1/1)+2*(((0.15*B647*5))^2/2)+3*(((0.15*B647*5))^3/6)+4*(((0.15*B647*5))^4/24)+5*(((0.15*B647*5))^5/120))/((((0.15*B647*5))^0/1)+(((0.15*B647*5))^1/1)+(((0.15*B647*5))^2/2)+(((0.15*B647*5))^3/6)+(((0.15*B647*5))^4/24)+(((0.15*B647*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22">
      <c r="A622">
        <f>Skills!A11</f>
        <v/>
      </c>
      <c r="B622">
        <f>Skills!B11</f>
        <v/>
      </c>
      <c r="C622">
        <f>Inputs!$B$3&gt;=60</f>
        <v/>
      </c>
      <c r="D622">
        <f>IF(Skills!C11=1,60+Inputs!$B$25+Inputs!$B$29,IF(Skills!C11=2,90+Inputs!$B$26+Inputs!$B$29,IF(Skills!C11=3,120+Inputs!$B$27+Inputs!$B$29,MAX(0,(Inputs!$B$3-100)*3)+Inputs!$B$28+Inputs!$B$29)))</f>
        <v/>
      </c>
      <c r="E622">
        <f>INDEX(FactorTable!$B$2:$Y$301, MATCH(ROUND(MIN(300,MAX(1,D622)),0), FactorTable!$A$2:$A$301,0), Skills!M11+1)</f>
        <v/>
      </c>
      <c r="F622">
        <f>IF(Skills!N11=TRUE,(Skills!L11/10)*(E622/1000),Skills!L11/10)+Skills!O11</f>
        <v/>
      </c>
      <c r="G622">
        <f>Calc!G11</f>
        <v/>
      </c>
      <c r="H622">
        <f>Calc!H11</f>
        <v/>
      </c>
      <c r="I622">
        <f>IF(Skills!AA11&lt;&gt;"",1+(Skills!AA11/10)*(U614/1000)/100,1)</f>
        <v/>
      </c>
      <c r="J622" t="inlineStr"/>
      <c r="K622" t="inlineStr"/>
      <c r="L622" t="inlineStr"/>
      <c r="M622" t="inlineStr"/>
      <c r="N622" t="inlineStr"/>
      <c r="O622">
        <f>(1-Summary!$B$11)*T622+Summary!$B$11*V622</f>
        <v/>
      </c>
      <c r="P622">
        <f>IF(B655=0,0,O622/B655)</f>
        <v/>
      </c>
      <c r="Q622" t="n">
        <v>0</v>
      </c>
      <c r="R622" t="n">
        <v>0</v>
      </c>
      <c r="S622">
        <f>IFERROR(O622/N622,0)</f>
        <v/>
      </c>
      <c r="T622" t="n">
        <v>0</v>
      </c>
      <c r="V622" t="n">
        <v>0</v>
      </c>
    </row>
    <row r="623">
      <c r="A623">
        <f>Skills!A12</f>
        <v/>
      </c>
      <c r="B623">
        <f>Skills!B12</f>
        <v/>
      </c>
      <c r="C623">
        <f>Inputs!$B$3&gt;=103</f>
        <v/>
      </c>
      <c r="D623">
        <f>IF(Skills!C12=1,60+Inputs!$B$25+Inputs!$B$29,IF(Skills!C12=2,90+Inputs!$B$26+Inputs!$B$29,IF(Skills!C12=3,120+Inputs!$B$27+Inputs!$B$29,MAX(0,(Inputs!$B$3-100)*3)+Inputs!$B$28+Inputs!$B$29)))</f>
        <v/>
      </c>
      <c r="E623">
        <f>INDEX(FactorTable!$B$2:$Y$301, MATCH(ROUND(MIN(300,MAX(1,D623)),0), FactorTable!$A$2:$A$301,0), Skills!M12+1)</f>
        <v/>
      </c>
      <c r="F623">
        <f>IF(Skills!N12=TRUE,(Skills!L12/10)*(E623/1000),Skills!L12/10)+Skills!O12</f>
        <v/>
      </c>
      <c r="G623">
        <f>Calc!G12</f>
        <v/>
      </c>
      <c r="H623">
        <f>Calc!H12</f>
        <v/>
      </c>
      <c r="I623">
        <f>IF(Skills!AA12&lt;&gt;"",1+(Skills!AA12/10)*(U614/1000)/100,1)</f>
        <v/>
      </c>
      <c r="J623">
        <f>((Inputs!$B$6*(1+Inputs!$B$7/100))+(((Inputs!$B$12*(1+Inputs!$B$13/100))-(Inputs!$B$12*(1+Inputs!$B$13/100)))+0.25*(Inputs!$B$14-Inputs!$B$14))*(1+Inputs!$B$7/100))*(F623/100)</f>
        <v/>
      </c>
      <c r="K623">
        <f>J623*(1+((Inputs!$B$12*(1+Inputs!$B$13/100))*0.01+Inputs!$B$14*0.0025)/100)*(1+Inputs!$B$15/100)*(1+Inputs!$B$16/100)*(5000/(6000+Inputs!$B$43*(1-(100*(1-(1-(Inputs!$B$19+0)/100)*(1-CHOOSE(ArtifactsInput!$N$40+1,5,6,7,8,9,10)/100)^(ArtifactsInput!$M$40-ArtifactsInput!$M$40)))/100)))*(1+(Inputs!$B$24+((C641=TRUE)*(F641-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634=TRUE)*(F634-Calc!F23))+(((IF(AND(ArtifactsInput!$M$42,((Inputs!$B$9+((C636=TRUE)*(F636-Calc!F25))+B651+(ArtifactsInput!$M$24-ArtifactsInput!$M$24)*CHOOSE(ArtifactsInput!$N$24+1,10,12,14,16,18,20)+IF(ArtifactsInput!$M$10,CHOOSE(ArtifactsInput!$N$10+1,15,18,21,24,27,30)*(IF(Inputs!$B$39="pvp",MIN(15,15)/15,IF(AND(Inputs!$B$39&lt;&gt;"pvp",Inputs!$B$44&gt;0),MIN(15,Inputs!$B$44)/(Inputs!$B$44),0))),0)))&gt;=100),MIN(100,((Inputs!$B$9+((C636=TRUE)*(F636-Calc!F25))+B651+(ArtifactsInput!$M$24-ArtifactsInput!$M$24)*CHOOSE(ArtifactsInput!$N$24+1,10,12,14,16,18,20)+IF(ArtifactsInput!$M$10,CHOOSE(ArtifactsInput!$N$10+1,15,18,21,24,27,30)*(IF(Inputs!$B$39="pvp",MIN(15,15)/15,IF(AND(Inputs!$B$39&lt;&gt;"pvp",Inputs!$B$44&gt;0),MIN(15,Inputs!$B$44)/(Inputs!$B$44),0))),0)))-100),0))*CHOOSE(ArtifactsInput!$N$42+1,0.6,0.72,0.84,0.96,1.08,1.2))),Inputs!$B$18+((C640=TRUE)*(F640-Calc!F29))+(IF(AND(ArtifactsInput!$M$42,((Inputs!$B$9+((C636=TRUE)*(F636-Calc!F25))+B651+(ArtifactsInput!$M$24-ArtifactsInput!$M$24)*CHOOSE(ArtifactsInput!$N$24+1,10,12,14,16,18,20)+IF(ArtifactsInput!$M$10,CHOOSE(ArtifactsInput!$N$10+1,15,18,21,24,27,30)*(IF(Inputs!$B$39="pvp",MIN(15,15)/15,IF(AND(Inputs!$B$39&lt;&gt;"pvp",Inputs!$B$44&gt;0),MIN(15,Inputs!$B$44)/(Inputs!$B$44),0))),0)))&gt;=100),CHOOSE(ArtifactsInput!$N$42+1,40,48,56,64,72,80),0))))/100)*(((1+(((C632=TRUE)*F632*IF(AND(Inputs!$B$39&lt;&gt;"pvp",Inputs!$B$44&gt;0),(((R632-1)*(Skills!Y21*(1+Inputs!$B$34/100))+MIN((Skills!Y21*(1+Inputs!$B$34/100)),MAX(0,Inputs!$B$44-((R632-1)*Skills!D21))))/Inputs!$B$44),IF(Inputs!$B$39="pvp",MIN((Skills!Y21*(1+Inputs!$B$34/100)),15)/15,(Skills!Y21*(1+Inputs!$B$34/100))/Skills!D21)))+((C639=TRUE)*(F639-Calc!F28))+((C629=TRUE)*(F629-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626=TRUE)*F626*IF(AND(Inputs!$B$39&lt;&gt;"pvp",Inputs!$B$44&gt;0),(((R626-1)*(Skills!Y15*(1+Inputs!$B$34/100))+MIN((Skills!Y15*(1+Inputs!$B$34/100)),MAX(0,Inputs!$B$44-((R626-1)*Skills!D15))))/Inputs!$B$44),IF(Inputs!$B$39="pvp",MIN((Skills!Y15*(1+Inputs!$B$34/100)),15)/15,(Skills!Y15*(1+Inputs!$B$34/100))/Skills!D15)))/100)*(1+((C617=TRUE)*F617*B645)/100))*B653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623)</f>
        <v/>
      </c>
      <c r="L623">
        <f>K623*(MIN(Inputs!$B$22+((C635=TRUE)*(F635-Calc!F24)),(Inputs!$B$23+0+(IF(ArtifactsInput!$M$15,CHOOSE(ArtifactsInput!$N$15+1,25,30,35,40,45,50)/100*(Inputs!$B$11-Inputs!$B$11),0))))/100+(Inputs!$B$23+0+(IF(ArtifactsInput!$M$15,CHOOSE(ArtifactsInput!$N$15+1,25,30,35,40,45,50)/100*(Inputs!$B$11-Inputs!$B$11),0)))/100)/2</f>
        <v/>
      </c>
      <c r="M623">
        <f>L623*(1+((Inputs!$B$10+1)+((C637=TRUE)*(F637-Calc!F26))+B654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23">
        <f>L623*(1-MIN((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623*(MIN((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23">
        <f>(1-Summary!$B$11)*T623+Summary!$B$11*V623</f>
        <v/>
      </c>
      <c r="P623">
        <f>IF(B655=0,0,O623/B655)</f>
        <v/>
      </c>
      <c r="Q623">
        <f>IFERROR(1/IF(Inputs!$B$39="pvp",15,MAX(0.1,Skills!D12-IF(Skills!E12=TRUE,Inputs!$B$32,0))),0)</f>
        <v/>
      </c>
      <c r="R623">
        <f>IF(AND(Inputs!$B$39&lt;&gt;"pvp",Inputs!$B$44&gt;0),IF(MAX(0,Inputs!$B$44-B656)&lt;=0,0,(INT(MAX(0,Inputs!$B$44-B656)/IF(Inputs!$B$39="pvp",15,MAX(0.1,Skills!D12-IF(Skills!E12=TRUE,Inputs!$B$32,0))))+1)),0)</f>
        <v/>
      </c>
      <c r="S623">
        <f>IFERROR(O623/N623,0)</f>
        <v/>
      </c>
      <c r="T623">
        <f>IF(C623,(H623*N623*IF(AND(Inputs!$B$39&lt;&gt;"pvp",Inputs!$B$44&gt;0),((Skills!G12*((R623-1)*IF(Skills!H12&gt;0,Skills!I12/Skills!H12,1)+IF(Skills!H12&gt;0,MIN(Skills!I12,MAX(0,MAX(0,Inputs!$B$44-B656)-((R623-1)*IF(Inputs!$B$39="pvp",15,MAX(0.1,Skills!D12-IF(Skills!E12=TRUE,Inputs!$B$32,0))))))/Skills!H12,1)))/Inputs!$B$44),G623*Q623))*IF(Inputs!$B$39="pvp",1,1+(Inputs!$B$20+((C638=TRUE)*(F638-Calc!F27))+Skills!P12+B652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Hunt"),CHOOSE(ArtifactsInput!$N$35+1,15,18,21,24,27,30)*(1-EXP(-(0.2*B647)*5)),0)+IF(AND(ArtifactsInput!$M$22,Inputs!$B$4&lt;&gt;"Chapter Hunt"),CHOOSE(ArtifactsInput!$N$22+1,10,12,14,16,18,20)*((0*(((0.15*B647*5))^0/1)+1*(((0.15*B647*5))^1/1)+2*(((0.15*B647*5))^2/2)+3*(((0.15*B647*5))^3/6)+4*(((0.15*B647*5))^4/24)+5*(((0.15*B647*5))^5/120))/((((0.15*B647*5))^0/1)+(((0.15*B647*5))^1/1)+(((0.15*B647*5))^2/2)+(((0.15*B647*5))^3/6)+(((0.15*B647*5))^4/24)+(((0.15*B647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623*(1-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623*(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623*(1-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623*(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23">
        <f>IF(C623,(H623*N623*IF(AND(Inputs!$B$39&lt;&gt;"pvp",Inputs!$B$44&gt;0),((Skills!G12*((R623-1)*IF(Skills!H12&gt;0,Skills!I12/Skills!H12,1)+IF(Skills!H12&gt;0,MIN(Skills!I12,MAX(0,MAX(0,Inputs!$B$44-B656)-((R623-1)*IF(Inputs!$B$39="pvp",15,MAX(0.1,Skills!D12-IF(Skills!E12=TRUE,Inputs!$B$32,0))))))/Skills!H12,1)))/Inputs!$B$44),G623*Q623))*IF(Inputs!$B$39="pvp",1,(1+(Inputs!$B$21+Skills!Q12+B652+(IF(ArtifactsInput!$M$33,CHOOSE(ArtifactsInput!$N$33+1,30,36,42,48,54,60),0))+(IF(AND(ArtifactsInput!$M$35,Inputs!$B$4&lt;&gt;"Chapter Hunt"),CHOOSE(ArtifactsInput!$N$35+1,15,18,21,24,27,30)*(1-EXP(-(0.2*B647)*5)),0)+IF(AND(ArtifactsInput!$M$22,Inputs!$B$4&lt;&gt;"Chapter Hunt"),CHOOSE(ArtifactsInput!$N$22+1,10,12,14,16,18,20)*((0*(((0.15*B647*5))^0/1)+1*(((0.15*B647*5))^1/1)+2*(((0.15*B647*5))^2/2)+3*(((0.15*B647*5))^3/6)+4*(((0.15*B647*5))^4/24)+5*(((0.15*B647*5))^5/120))/((((0.15*B647*5))^0/1)+(((0.15*B647*5))^1/1)+(((0.15*B647*5))^2/2)+(((0.15*B647*5))^3/6)+(((0.15*B647*5))^4/24)+(((0.15*B647*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24">
      <c r="A624">
        <f>Skills!A13</f>
        <v/>
      </c>
      <c r="B624">
        <f>Skills!B13</f>
        <v/>
      </c>
      <c r="C624">
        <f>Inputs!$B$3&gt;=105</f>
        <v/>
      </c>
      <c r="D624">
        <f>IF(Skills!C13=1,60+Inputs!$B$25+Inputs!$B$29,IF(Skills!C13=2,90+Inputs!$B$26+Inputs!$B$29,IF(Skills!C13=3,120+Inputs!$B$27+Inputs!$B$29,MAX(0,(Inputs!$B$3-100)*3)+Inputs!$B$28+Inputs!$B$29)))</f>
        <v/>
      </c>
      <c r="E624">
        <f>INDEX(FactorTable!$B$2:$Y$301, MATCH(ROUND(MIN(300,MAX(1,D624)),0), FactorTable!$A$2:$A$301,0), Skills!M13+1)</f>
        <v/>
      </c>
      <c r="F624">
        <f>IF(Skills!N13=TRUE,(Skills!L13/10)*(E624/1000),Skills!L13/10)+Skills!O13</f>
        <v/>
      </c>
      <c r="G624">
        <f>Calc!G13</f>
        <v/>
      </c>
      <c r="H624">
        <f>Calc!H13</f>
        <v/>
      </c>
      <c r="I624">
        <f>IF(Skills!AA13&lt;&gt;"",1+(Skills!AA13/10)*(U614/1000)/100,1)</f>
        <v/>
      </c>
      <c r="J624">
        <f>((Inputs!$B$6*(1+Inputs!$B$7/100))+(((Inputs!$B$12*(1+Inputs!$B$13/100))-(Inputs!$B$12*(1+Inputs!$B$13/100)))+0.25*(Inputs!$B$14-Inputs!$B$14))*(1+Inputs!$B$7/100))*(F624/100)</f>
        <v/>
      </c>
      <c r="K624">
        <f>J624*(1+((Inputs!$B$12*(1+Inputs!$B$13/100))*0.01+Inputs!$B$14*0.0025)/100)*(1+Inputs!$B$15/100)*(1+Inputs!$B$16/100)*(5000/(6000+Inputs!$B$43*(1-(100*(1-(1-(Inputs!$B$19+0)/100)*(1-CHOOSE(ArtifactsInput!$N$40+1,5,6,7,8,9,10)/100)^(ArtifactsInput!$M$40-ArtifactsInput!$M$40)))/100)))*(1+(Inputs!$B$24+((C641=TRUE)*(F641-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634=TRUE)*(F634-Calc!F23))+(((IF(AND(ArtifactsInput!$M$42,((Inputs!$B$9+((C636=TRUE)*(F636-Calc!F25))+B651+(ArtifactsInput!$M$24-ArtifactsInput!$M$24)*CHOOSE(ArtifactsInput!$N$24+1,10,12,14,16,18,20)+IF(ArtifactsInput!$M$10,CHOOSE(ArtifactsInput!$N$10+1,15,18,21,24,27,30)*(IF(Inputs!$B$39="pvp",MIN(15,15)/15,IF(AND(Inputs!$B$39&lt;&gt;"pvp",Inputs!$B$44&gt;0),MIN(15,Inputs!$B$44)/(Inputs!$B$44),0))),0)))&gt;=100),MIN(100,((Inputs!$B$9+((C636=TRUE)*(F636-Calc!F25))+B651+(ArtifactsInput!$M$24-ArtifactsInput!$M$24)*CHOOSE(ArtifactsInput!$N$24+1,10,12,14,16,18,20)+IF(ArtifactsInput!$M$10,CHOOSE(ArtifactsInput!$N$10+1,15,18,21,24,27,30)*(IF(Inputs!$B$39="pvp",MIN(15,15)/15,IF(AND(Inputs!$B$39&lt;&gt;"pvp",Inputs!$B$44&gt;0),MIN(15,Inputs!$B$44)/(Inputs!$B$44),0))),0)))-100),0))*CHOOSE(ArtifactsInput!$N$42+1,0.6,0.72,0.84,0.96,1.08,1.2))),Inputs!$B$18+((C640=TRUE)*(F640-Calc!F29))+(IF(AND(ArtifactsInput!$M$42,((Inputs!$B$9+((C636=TRUE)*(F636-Calc!F25))+B651+(ArtifactsInput!$M$24-ArtifactsInput!$M$24)*CHOOSE(ArtifactsInput!$N$24+1,10,12,14,16,18,20)+IF(ArtifactsInput!$M$10,CHOOSE(ArtifactsInput!$N$10+1,15,18,21,24,27,30)*(IF(Inputs!$B$39="pvp",MIN(15,15)/15,IF(AND(Inputs!$B$39&lt;&gt;"pvp",Inputs!$B$44&gt;0),MIN(15,Inputs!$B$44)/(Inputs!$B$44),0))),0)))&gt;=100),CHOOSE(ArtifactsInput!$N$42+1,40,48,56,64,72,80),0))))/100)*(((1+(((C632=TRUE)*F632*IF(AND(Inputs!$B$39&lt;&gt;"pvp",Inputs!$B$44&gt;0),(((R632-1)*(Skills!Y21*(1+Inputs!$B$34/100))+MIN((Skills!Y21*(1+Inputs!$B$34/100)),MAX(0,Inputs!$B$44-((R632-1)*Skills!D21))))/Inputs!$B$44),IF(Inputs!$B$39="pvp",MIN((Skills!Y21*(1+Inputs!$B$34/100)),15)/15,(Skills!Y21*(1+Inputs!$B$34/100))/Skills!D21)))+((C639=TRUE)*(F639-Calc!F28))+((C629=TRUE)*(F629-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626=TRUE)*F626*IF(AND(Inputs!$B$39&lt;&gt;"pvp",Inputs!$B$44&gt;0),(((R626-1)*(Skills!Y15*(1+Inputs!$B$34/100))+MIN((Skills!Y15*(1+Inputs!$B$34/100)),MAX(0,Inputs!$B$44-((R626-1)*Skills!D15))))/Inputs!$B$44),IF(Inputs!$B$39="pvp",MIN((Skills!Y15*(1+Inputs!$B$34/100)),15)/15,(Skills!Y15*(1+Inputs!$B$34/100))/Skills!D15)))/100)*(1+((C617=TRUE)*F617*B645)/100))*B653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624)</f>
        <v/>
      </c>
      <c r="L624">
        <f>K624*(MIN(Inputs!$B$22+((C635=TRUE)*(F635-Calc!F24)),(Inputs!$B$23+0+(IF(ArtifactsInput!$M$15,CHOOSE(ArtifactsInput!$N$15+1,25,30,35,40,45,50)/100*(Inputs!$B$11-Inputs!$B$11),0))))/100+(Inputs!$B$23+0+(IF(ArtifactsInput!$M$15,CHOOSE(ArtifactsInput!$N$15+1,25,30,35,40,45,50)/100*(Inputs!$B$11-Inputs!$B$11),0)))/100)/2</f>
        <v/>
      </c>
      <c r="M624">
        <f>L624*(1+((Inputs!$B$10+1)+((C637=TRUE)*(F637-Calc!F26))+B654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24">
        <f>L624*(1-MIN((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624*(MIN((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24">
        <f>(1-Summary!$B$11)*T624+Summary!$B$11*V624</f>
        <v/>
      </c>
      <c r="P624">
        <f>IF(B655=0,0,O624/B655)</f>
        <v/>
      </c>
      <c r="Q624">
        <f>IFERROR(1/IF(Inputs!$B$39="pvp",15,MAX(0.1,Skills!D13-IF(Skills!E13=TRUE,Inputs!$B$32,0))),0)</f>
        <v/>
      </c>
      <c r="R624">
        <f>IF(AND(Inputs!$B$39&lt;&gt;"pvp",Inputs!$B$44&gt;0),IF(MAX(0,Inputs!$B$44-B656)&lt;=0,0,(INT(MAX(0,Inputs!$B$44-B656)/IF(Inputs!$B$39="pvp",15,MAX(0.1,Skills!D13-IF(Skills!E13=TRUE,Inputs!$B$32,0))))+1)),0)</f>
        <v/>
      </c>
      <c r="S624">
        <f>IFERROR(O624/N624,0)</f>
        <v/>
      </c>
      <c r="T624">
        <f>IF(C624,(H624*N624*IF(AND(Inputs!$B$39&lt;&gt;"pvp",Inputs!$B$44&gt;0),((Skills!G13*((R624-1)*IF(Skills!H13&gt;0,Skills!I13/Skills!H13,1)+IF(Skills!H13&gt;0,MIN(Skills!I13,MAX(0,MAX(0,Inputs!$B$44-B656)-((R624-1)*IF(Inputs!$B$39="pvp",15,MAX(0.1,Skills!D13-IF(Skills!E13=TRUE,Inputs!$B$32,0))))))/Skills!H13,1)))/Inputs!$B$44),G624*Q624))*IF(Inputs!$B$39="pvp",1,1+(Inputs!$B$20+((C638=TRUE)*(F638-Calc!F27))+Skills!P13+B652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Hunt"),CHOOSE(ArtifactsInput!$N$35+1,15,18,21,24,27,30)*(1-EXP(-(0.2*B647)*5)),0)+IF(AND(ArtifactsInput!$M$22,Inputs!$B$4&lt;&gt;"Chapter Hunt"),CHOOSE(ArtifactsInput!$N$22+1,10,12,14,16,18,20)*((0*(((0.15*B647*5))^0/1)+1*(((0.15*B647*5))^1/1)+2*(((0.15*B647*5))^2/2)+3*(((0.15*B647*5))^3/6)+4*(((0.15*B647*5))^4/24)+5*(((0.15*B647*5))^5/120))/((((0.15*B647*5))^0/1)+(((0.15*B647*5))^1/1)+(((0.15*B647*5))^2/2)+(((0.15*B647*5))^3/6)+(((0.15*B647*5))^4/24)+(((0.15*B647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624*(1-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624*(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624*(1-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624*(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24">
        <f>IF(C624,(H624*N624*IF(AND(Inputs!$B$39&lt;&gt;"pvp",Inputs!$B$44&gt;0),((Skills!G13*((R624-1)*IF(Skills!H13&gt;0,Skills!I13/Skills!H13,1)+IF(Skills!H13&gt;0,MIN(Skills!I13,MAX(0,MAX(0,Inputs!$B$44-B656)-((R624-1)*IF(Inputs!$B$39="pvp",15,MAX(0.1,Skills!D13-IF(Skills!E13=TRUE,Inputs!$B$32,0))))))/Skills!H13,1)))/Inputs!$B$44),G624*Q624))*IF(Inputs!$B$39="pvp",1,(1+(Inputs!$B$21+Skills!Q13+B652+(IF(ArtifactsInput!$M$33,CHOOSE(ArtifactsInput!$N$33+1,30,36,42,48,54,60),0))+(IF(AND(ArtifactsInput!$M$35,Inputs!$B$4&lt;&gt;"Chapter Hunt"),CHOOSE(ArtifactsInput!$N$35+1,15,18,21,24,27,30)*(1-EXP(-(0.2*B647)*5)),0)+IF(AND(ArtifactsInput!$M$22,Inputs!$B$4&lt;&gt;"Chapter Hunt"),CHOOSE(ArtifactsInput!$N$22+1,10,12,14,16,18,20)*((0*(((0.15*B647*5))^0/1)+1*(((0.15*B647*5))^1/1)+2*(((0.15*B647*5))^2/2)+3*(((0.15*B647*5))^3/6)+4*(((0.15*B647*5))^4/24)+5*(((0.15*B647*5))^5/120))/((((0.15*B647*5))^0/1)+(((0.15*B647*5))^1/1)+(((0.15*B647*5))^2/2)+(((0.15*B647*5))^3/6)+(((0.15*B647*5))^4/24)+(((0.15*B647*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25">
      <c r="A625">
        <f>Skills!A14</f>
        <v/>
      </c>
      <c r="B625">
        <f>Skills!B14</f>
        <v/>
      </c>
      <c r="C625">
        <f>Inputs!$B$3&gt;=105</f>
        <v/>
      </c>
      <c r="D625">
        <f>IF(Skills!C14=1,60+Inputs!$B$25+Inputs!$B$29,IF(Skills!C14=2,90+Inputs!$B$26+Inputs!$B$29,IF(Skills!C14=3,120+Inputs!$B$27+Inputs!$B$29,MAX(0,(Inputs!$B$3-100)*3)+Inputs!$B$28+Inputs!$B$29)))</f>
        <v/>
      </c>
      <c r="E625">
        <f>INDEX(FactorTable!$B$2:$Y$301, MATCH(ROUND(MIN(300,MAX(1,D625)),0), FactorTable!$A$2:$A$301,0), Skills!M14+1)</f>
        <v/>
      </c>
      <c r="F625">
        <f>IF(Skills!N14=TRUE,(Skills!L14/10)*(E625/1000),Skills!L14/10)+Skills!O14</f>
        <v/>
      </c>
      <c r="G625">
        <f>Calc!G14</f>
        <v/>
      </c>
      <c r="H625">
        <f>Calc!H14</f>
        <v/>
      </c>
      <c r="I625">
        <f>IF(Skills!AA14&lt;&gt;"",1+(Skills!AA14/10)*(U614/1000)/100,1)</f>
        <v/>
      </c>
      <c r="J625">
        <f>((Inputs!$B$6*(1+Inputs!$B$7/100))+(((Inputs!$B$12*(1+Inputs!$B$13/100))-(Inputs!$B$12*(1+Inputs!$B$13/100)))+0.25*(Inputs!$B$14-Inputs!$B$14))*(1+Inputs!$B$7/100))*(F625/100)</f>
        <v/>
      </c>
      <c r="K625">
        <f>J625*(1+((Inputs!$B$12*(1+Inputs!$B$13/100))*0.01+Inputs!$B$14*0.0025)/100)*(1+Inputs!$B$15/100)*(1+Inputs!$B$16/100)*(5000/(6000+Inputs!$B$43*(1-(100*(1-(1-(Inputs!$B$19+0)/100)*(1-CHOOSE(ArtifactsInput!$N$40+1,5,6,7,8,9,10)/100)^(ArtifactsInput!$M$40-ArtifactsInput!$M$40)))/100)))*(1+(Inputs!$B$24+((C641=TRUE)*(F641-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634=TRUE)*(F634-Calc!F23))+(((IF(AND(ArtifactsInput!$M$42,((Inputs!$B$9+((C636=TRUE)*(F636-Calc!F25))+B651+(ArtifactsInput!$M$24-ArtifactsInput!$M$24)*CHOOSE(ArtifactsInput!$N$24+1,10,12,14,16,18,20)+IF(ArtifactsInput!$M$10,CHOOSE(ArtifactsInput!$N$10+1,15,18,21,24,27,30)*(IF(Inputs!$B$39="pvp",MIN(15,15)/15,IF(AND(Inputs!$B$39&lt;&gt;"pvp",Inputs!$B$44&gt;0),MIN(15,Inputs!$B$44)/(Inputs!$B$44),0))),0)))&gt;=100),MIN(100,((Inputs!$B$9+((C636=TRUE)*(F636-Calc!F25))+B651+(ArtifactsInput!$M$24-ArtifactsInput!$M$24)*CHOOSE(ArtifactsInput!$N$24+1,10,12,14,16,18,20)+IF(ArtifactsInput!$M$10,CHOOSE(ArtifactsInput!$N$10+1,15,18,21,24,27,30)*(IF(Inputs!$B$39="pvp",MIN(15,15)/15,IF(AND(Inputs!$B$39&lt;&gt;"pvp",Inputs!$B$44&gt;0),MIN(15,Inputs!$B$44)/(Inputs!$B$44),0))),0)))-100),0))*CHOOSE(ArtifactsInput!$N$42+1,0.6,0.72,0.84,0.96,1.08,1.2))),Inputs!$B$18+((C640=TRUE)*(F640-Calc!F29))+(IF(AND(ArtifactsInput!$M$42,((Inputs!$B$9+((C636=TRUE)*(F636-Calc!F25))+B651+(ArtifactsInput!$M$24-ArtifactsInput!$M$24)*CHOOSE(ArtifactsInput!$N$24+1,10,12,14,16,18,20)+IF(ArtifactsInput!$M$10,CHOOSE(ArtifactsInput!$N$10+1,15,18,21,24,27,30)*(IF(Inputs!$B$39="pvp",MIN(15,15)/15,IF(AND(Inputs!$B$39&lt;&gt;"pvp",Inputs!$B$44&gt;0),MIN(15,Inputs!$B$44)/(Inputs!$B$44),0))),0)))&gt;=100),CHOOSE(ArtifactsInput!$N$42+1,40,48,56,64,72,80),0))))/100)*(((1+(((C632=TRUE)*F632*IF(AND(Inputs!$B$39&lt;&gt;"pvp",Inputs!$B$44&gt;0),(((R632-1)*(Skills!Y21*(1+Inputs!$B$34/100))+MIN((Skills!Y21*(1+Inputs!$B$34/100)),MAX(0,Inputs!$B$44-((R632-1)*Skills!D21))))/Inputs!$B$44),IF(Inputs!$B$39="pvp",MIN((Skills!Y21*(1+Inputs!$B$34/100)),15)/15,(Skills!Y21*(1+Inputs!$B$34/100))/Skills!D21)))+((C639=TRUE)*(F639-Calc!F28))+((C629=TRUE)*(F629-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626=TRUE)*F626*IF(AND(Inputs!$B$39&lt;&gt;"pvp",Inputs!$B$44&gt;0),(((R626-1)*(Skills!Y15*(1+Inputs!$B$34/100))+MIN((Skills!Y15*(1+Inputs!$B$34/100)),MAX(0,Inputs!$B$44-((R626-1)*Skills!D15))))/Inputs!$B$44),IF(Inputs!$B$39="pvp",MIN((Skills!Y15*(1+Inputs!$B$34/100)),15)/15,(Skills!Y15*(1+Inputs!$B$34/100))/Skills!D15)))/100)*(1+((C617=TRUE)*F617*B645)/100))*B653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625)</f>
        <v/>
      </c>
      <c r="L625">
        <f>K625*(MIN(Inputs!$B$22+((C635=TRUE)*(F635-Calc!F24)),(Inputs!$B$23+0+(IF(ArtifactsInput!$M$15,CHOOSE(ArtifactsInput!$N$15+1,25,30,35,40,45,50)/100*(Inputs!$B$11-Inputs!$B$11),0))))/100+(Inputs!$B$23+0+(IF(ArtifactsInput!$M$15,CHOOSE(ArtifactsInput!$N$15+1,25,30,35,40,45,50)/100*(Inputs!$B$11-Inputs!$B$11),0)))/100)/2</f>
        <v/>
      </c>
      <c r="M625">
        <f>L625*(1+((Inputs!$B$10+1)+((C637=TRUE)*(F637-Calc!F26))+B654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25">
        <f>L625*(1-MIN((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625*(MIN((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25">
        <f>(1-Summary!$B$11)*T625+Summary!$B$11*V625</f>
        <v/>
      </c>
      <c r="P625">
        <f>IF(B655=0,0,O625/B655)</f>
        <v/>
      </c>
      <c r="Q625">
        <f>IFERROR(1/IF(Inputs!$B$39="pvp",15,MAX(0.1,Skills!D14-IF(Skills!E14=TRUE,Inputs!$B$32,0))),0)</f>
        <v/>
      </c>
      <c r="R625">
        <f>IF(AND(Inputs!$B$39&lt;&gt;"pvp",Inputs!$B$44&gt;0),IF(MAX(0,Inputs!$B$44-B656)&lt;=0,0,(INT(MAX(0,Inputs!$B$44-B656)/IF(Inputs!$B$39="pvp",15,MAX(0.1,Skills!D14-IF(Skills!E14=TRUE,Inputs!$B$32,0))))+1)),0)</f>
        <v/>
      </c>
      <c r="S625">
        <f>IFERROR(O625/N625,0)</f>
        <v/>
      </c>
      <c r="T625">
        <f>IF(C625,(H625*N625*IF(AND(Inputs!$B$39&lt;&gt;"pvp",Inputs!$B$44&gt;0),((Skills!G14*((R625-1)*IF(Skills!H14&gt;0,Skills!I14/Skills!H14,1)+IF(Skills!H14&gt;0,MIN(Skills!I14,MAX(0,MAX(0,Inputs!$B$44-B656)-((R625-1)*IF(Inputs!$B$39="pvp",15,MAX(0.1,Skills!D14-IF(Skills!E14=TRUE,Inputs!$B$32,0))))))/Skills!H14,1)))/Inputs!$B$44),G625*Q625))*IF(Inputs!$B$39="pvp",1,1+(Inputs!$B$20+((C638=TRUE)*(F638-Calc!F27))+Skills!P14+B652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Hunt"),CHOOSE(ArtifactsInput!$N$35+1,15,18,21,24,27,30)*(1-EXP(-(0.2*B647)*5)),0)+IF(AND(ArtifactsInput!$M$22,Inputs!$B$4&lt;&gt;"Chapter Hunt"),CHOOSE(ArtifactsInput!$N$22+1,10,12,14,16,18,20)*((0*(((0.15*B647*5))^0/1)+1*(((0.15*B647*5))^1/1)+2*(((0.15*B647*5))^2/2)+3*(((0.15*B647*5))^3/6)+4*(((0.15*B647*5))^4/24)+5*(((0.15*B647*5))^5/120))/((((0.15*B647*5))^0/1)+(((0.15*B647*5))^1/1)+(((0.15*B647*5))^2/2)+(((0.15*B647*5))^3/6)+(((0.15*B647*5))^4/24)+(((0.15*B647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625*(1-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625*(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625*(1-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625*(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25">
        <f>IF(C625,(H625*N625*IF(AND(Inputs!$B$39&lt;&gt;"pvp",Inputs!$B$44&gt;0),((Skills!G14*((R625-1)*IF(Skills!H14&gt;0,Skills!I14/Skills!H14,1)+IF(Skills!H14&gt;0,MIN(Skills!I14,MAX(0,MAX(0,Inputs!$B$44-B656)-((R625-1)*IF(Inputs!$B$39="pvp",15,MAX(0.1,Skills!D14-IF(Skills!E14=TRUE,Inputs!$B$32,0))))))/Skills!H14,1)))/Inputs!$B$44),G625*Q625))*IF(Inputs!$B$39="pvp",1,(1+(Inputs!$B$21+Skills!Q14+B652+(IF(ArtifactsInput!$M$33,CHOOSE(ArtifactsInput!$N$33+1,30,36,42,48,54,60),0))+(IF(AND(ArtifactsInput!$M$35,Inputs!$B$4&lt;&gt;"Chapter Hunt"),CHOOSE(ArtifactsInput!$N$35+1,15,18,21,24,27,30)*(1-EXP(-(0.2*B647)*5)),0)+IF(AND(ArtifactsInput!$M$22,Inputs!$B$4&lt;&gt;"Chapter Hunt"),CHOOSE(ArtifactsInput!$N$22+1,10,12,14,16,18,20)*((0*(((0.15*B647*5))^0/1)+1*(((0.15*B647*5))^1/1)+2*(((0.15*B647*5))^2/2)+3*(((0.15*B647*5))^3/6)+4*(((0.15*B647*5))^4/24)+5*(((0.15*B647*5))^5/120))/((((0.15*B647*5))^0/1)+(((0.15*B647*5))^1/1)+(((0.15*B647*5))^2/2)+(((0.15*B647*5))^3/6)+(((0.15*B647*5))^4/24)+(((0.15*B647*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26">
      <c r="A626">
        <f>Skills!A15</f>
        <v/>
      </c>
      <c r="B626">
        <f>Skills!B15</f>
        <v/>
      </c>
      <c r="C626">
        <f>Inputs!$B$3&gt;=110</f>
        <v/>
      </c>
      <c r="D626">
        <f>IF(Skills!C15=1,60+Inputs!$B$25+Inputs!$B$29,IF(Skills!C15=2,90+Inputs!$B$26+Inputs!$B$29,IF(Skills!C15=3,120+Inputs!$B$27+Inputs!$B$29,MAX(0,(Inputs!$B$3-100)*3)+Inputs!$B$28+Inputs!$B$29)))</f>
        <v/>
      </c>
      <c r="E626">
        <f>INDEX(FactorTable!$B$2:$Y$301, MATCH(ROUND(MIN(300,MAX(1,D626)),0), FactorTable!$A$2:$A$301,0), Skills!M15+1)</f>
        <v/>
      </c>
      <c r="F626">
        <f>IF(Skills!N15=TRUE,(Skills!L15/10)*(E626/1000),Skills!L15/10)+Skills!O15</f>
        <v/>
      </c>
      <c r="G626">
        <f>Calc!G15</f>
        <v/>
      </c>
      <c r="H626">
        <f>Calc!H15</f>
        <v/>
      </c>
      <c r="I626">
        <f>IF(Skills!AA15&lt;&gt;"",1+(Skills!AA15/10)*(U614/1000)/100,1)</f>
        <v/>
      </c>
      <c r="J626" t="inlineStr"/>
      <c r="K626" t="inlineStr"/>
      <c r="L626" t="inlineStr"/>
      <c r="M626" t="inlineStr"/>
      <c r="N626" t="inlineStr"/>
      <c r="O626">
        <f>(1-Summary!$B$11)*T626+Summary!$B$11*V626</f>
        <v/>
      </c>
      <c r="P626">
        <f>IF(B655=0,0,O626/B655)</f>
        <v/>
      </c>
      <c r="Q626">
        <f>IFERROR(1/IF(Inputs!$B$39="pvp",15,MAX(0.1,Skills!D15-IF(Skills!E15=TRUE,Inputs!$B$32,0))),0)</f>
        <v/>
      </c>
      <c r="R626">
        <f>IF(AND(Inputs!$B$39&lt;&gt;"pvp",Inputs!$B$44&gt;0),IF(Inputs!$B$44&lt;=0,0,(INT(Inputs!$B$44/IF(Inputs!$B$39="pvp",15,MAX(0.1,Skills!D15-IF(Skills!E15=TRUE,Inputs!$B$32,0))))+1)),0)</f>
        <v/>
      </c>
      <c r="S626">
        <f>IFERROR(O626/N626,0)</f>
        <v/>
      </c>
      <c r="T626" t="n">
        <v>0</v>
      </c>
      <c r="V626" t="n">
        <v>0</v>
      </c>
    </row>
    <row r="627">
      <c r="A627">
        <f>Skills!A16</f>
        <v/>
      </c>
      <c r="B627">
        <f>Skills!B16</f>
        <v/>
      </c>
      <c r="C627">
        <f>Inputs!$B$3&gt;=110</f>
        <v/>
      </c>
      <c r="D627">
        <f>IF(Skills!C16=1,60+Inputs!$B$25+Inputs!$B$29,IF(Skills!C16=2,90+Inputs!$B$26+Inputs!$B$29,IF(Skills!C16=3,120+Inputs!$B$27+Inputs!$B$29,MAX(0,(Inputs!$B$3-100)*3)+Inputs!$B$28+Inputs!$B$29)))</f>
        <v/>
      </c>
      <c r="E627">
        <f>INDEX(FactorTable!$B$2:$Y$301, MATCH(ROUND(MIN(300,MAX(1,D627)),0), FactorTable!$A$2:$A$301,0), Skills!M16+1)</f>
        <v/>
      </c>
      <c r="F627">
        <f>IF(Skills!N16=TRUE,(Skills!L16/10)*(E627/1000),Skills!L16/10)+Skills!O16</f>
        <v/>
      </c>
      <c r="G627">
        <f>Calc!G16</f>
        <v/>
      </c>
      <c r="H627">
        <f>Calc!H16</f>
        <v/>
      </c>
      <c r="I627">
        <f>IF(Skills!AA16&lt;&gt;"",1+(Skills!AA16/10)*(U614/1000)/100,1)</f>
        <v/>
      </c>
      <c r="J627" t="inlineStr"/>
      <c r="K627" t="inlineStr"/>
      <c r="L627" t="inlineStr"/>
      <c r="M627" t="inlineStr"/>
      <c r="N627" t="inlineStr"/>
      <c r="O627">
        <f>(1-Summary!$B$11)*T627+Summary!$B$11*V627</f>
        <v/>
      </c>
      <c r="P627">
        <f>IF(B655=0,0,O627/B655)</f>
        <v/>
      </c>
      <c r="Q627">
        <f>IFERROR(1/IF(Inputs!$B$39="pvp",15,MAX(0.1,Skills!D16-IF(Skills!E16=TRUE,Inputs!$B$32,0))),0)</f>
        <v/>
      </c>
      <c r="R627">
        <f>IF(AND(Inputs!$B$39&lt;&gt;"pvp",Inputs!$B$44&gt;0),IF(Inputs!$B$44&lt;=0,0,(INT(Inputs!$B$44/IF(Inputs!$B$39="pvp",15,MAX(0.1,Skills!D16-IF(Skills!E16=TRUE,Inputs!$B$32,0))))+1)),0)</f>
        <v/>
      </c>
      <c r="S627">
        <f>IFERROR(O627/N627,0)</f>
        <v/>
      </c>
      <c r="T627" t="n">
        <v>0</v>
      </c>
      <c r="V627" t="n">
        <v>0</v>
      </c>
    </row>
    <row r="628">
      <c r="A628">
        <f>Skills!A17</f>
        <v/>
      </c>
      <c r="B628">
        <f>Skills!B17</f>
        <v/>
      </c>
      <c r="C628">
        <f>Inputs!$B$3&gt;=115</f>
        <v/>
      </c>
      <c r="D628">
        <f>IF(Skills!C17=1,60+Inputs!$B$25+Inputs!$B$29,IF(Skills!C17=2,90+Inputs!$B$26+Inputs!$B$29,IF(Skills!C17=3,120+Inputs!$B$27+Inputs!$B$29,MAX(0,(Inputs!$B$3-100)*3)+Inputs!$B$28+Inputs!$B$29)))</f>
        <v/>
      </c>
      <c r="E628">
        <f>INDEX(FactorTable!$B$2:$Y$301, MATCH(ROUND(MIN(300,MAX(1,D628)),0), FactorTable!$A$2:$A$301,0), Skills!M17+1)</f>
        <v/>
      </c>
      <c r="F628">
        <f>IF(Skills!N17=TRUE,(Skills!L17/10)*(E628/1000),Skills!L17/10)+Skills!O17</f>
        <v/>
      </c>
      <c r="G628">
        <f>Calc!G17</f>
        <v/>
      </c>
      <c r="H628">
        <f>Calc!H17</f>
        <v/>
      </c>
      <c r="I628">
        <f>IF(Skills!AA17&lt;&gt;"",1+(Skills!AA17/10)*(U614/1000)/100,1)</f>
        <v/>
      </c>
      <c r="J628">
        <f>((Inputs!$B$6*(1+Inputs!$B$7/100))+(((Inputs!$B$12*(1+Inputs!$B$13/100))-(Inputs!$B$12*(1+Inputs!$B$13/100)))+0.25*(Inputs!$B$14-Inputs!$B$14))*(1+Inputs!$B$7/100))*(F628/100)</f>
        <v/>
      </c>
      <c r="K628">
        <f>J628*(1+((Inputs!$B$12*(1+Inputs!$B$13/100))*0.01+Inputs!$B$14*0.0025)/100)*(1+Inputs!$B$15/100)*(1+Inputs!$B$16/100)*(5000/(6000+Inputs!$B$43*(1-(100*(1-(1-(Inputs!$B$19+0)/100)*(1-CHOOSE(ArtifactsInput!$N$40+1,5,6,7,8,9,10)/100)^(ArtifactsInput!$M$40-ArtifactsInput!$M$40)))/100)))*(1+(Inputs!$B$24+((C641=TRUE)*(F641-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634=TRUE)*(F634-Calc!F23))+(((IF(AND(ArtifactsInput!$M$42,((Inputs!$B$9+((C636=TRUE)*(F636-Calc!F25))+B651+(ArtifactsInput!$M$24-ArtifactsInput!$M$24)*CHOOSE(ArtifactsInput!$N$24+1,10,12,14,16,18,20)+IF(ArtifactsInput!$M$10,CHOOSE(ArtifactsInput!$N$10+1,15,18,21,24,27,30)*(IF(Inputs!$B$39="pvp",MIN(15,15)/15,IF(AND(Inputs!$B$39&lt;&gt;"pvp",Inputs!$B$44&gt;0),MIN(15,Inputs!$B$44)/(Inputs!$B$44),0))),0)))&gt;=100),MIN(100,((Inputs!$B$9+((C636=TRUE)*(F636-Calc!F25))+B651+(ArtifactsInput!$M$24-ArtifactsInput!$M$24)*CHOOSE(ArtifactsInput!$N$24+1,10,12,14,16,18,20)+IF(ArtifactsInput!$M$10,CHOOSE(ArtifactsInput!$N$10+1,15,18,21,24,27,30)*(IF(Inputs!$B$39="pvp",MIN(15,15)/15,IF(AND(Inputs!$B$39&lt;&gt;"pvp",Inputs!$B$44&gt;0),MIN(15,Inputs!$B$44)/(Inputs!$B$44),0))),0)))-100),0))*CHOOSE(ArtifactsInput!$N$42+1,0.6,0.72,0.84,0.96,1.08,1.2))),Inputs!$B$18+((C640=TRUE)*(F640-Calc!F29))+(IF(AND(ArtifactsInput!$M$42,((Inputs!$B$9+((C636=TRUE)*(F636-Calc!F25))+B651+(ArtifactsInput!$M$24-ArtifactsInput!$M$24)*CHOOSE(ArtifactsInput!$N$24+1,10,12,14,16,18,20)+IF(ArtifactsInput!$M$10,CHOOSE(ArtifactsInput!$N$10+1,15,18,21,24,27,30)*(IF(Inputs!$B$39="pvp",MIN(15,15)/15,IF(AND(Inputs!$B$39&lt;&gt;"pvp",Inputs!$B$44&gt;0),MIN(15,Inputs!$B$44)/(Inputs!$B$44),0))),0)))&gt;=100),CHOOSE(ArtifactsInput!$N$42+1,40,48,56,64,72,80),0))))/100)*(((1+(((C632=TRUE)*F632*IF(AND(Inputs!$B$39&lt;&gt;"pvp",Inputs!$B$44&gt;0),(((R632-1)*(Skills!Y21*(1+Inputs!$B$34/100))+MIN((Skills!Y21*(1+Inputs!$B$34/100)),MAX(0,Inputs!$B$44-((R632-1)*Skills!D21))))/Inputs!$B$44),IF(Inputs!$B$39="pvp",MIN((Skills!Y21*(1+Inputs!$B$34/100)),15)/15,(Skills!Y21*(1+Inputs!$B$34/100))/Skills!D21)))+((C639=TRUE)*(F639-Calc!F28))+((C629=TRUE)*(F629-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626=TRUE)*F626*IF(AND(Inputs!$B$39&lt;&gt;"pvp",Inputs!$B$44&gt;0),(((R626-1)*(Skills!Y15*(1+Inputs!$B$34/100))+MIN((Skills!Y15*(1+Inputs!$B$34/100)),MAX(0,Inputs!$B$44-((R626-1)*Skills!D15))))/Inputs!$B$44),IF(Inputs!$B$39="pvp",MIN((Skills!Y15*(1+Inputs!$B$34/100)),15)/15,(Skills!Y15*(1+Inputs!$B$34/100))/Skills!D15)))/100)*(1+((C617=TRUE)*F617*B645)/100))*B653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628)</f>
        <v/>
      </c>
      <c r="L628">
        <f>K628*(MIN(Inputs!$B$22+((C635=TRUE)*(F635-Calc!F24)),(Inputs!$B$23+0+(IF(ArtifactsInput!$M$15,CHOOSE(ArtifactsInput!$N$15+1,25,30,35,40,45,50)/100*(Inputs!$B$11-Inputs!$B$11),0))))/100+(Inputs!$B$23+0+(IF(ArtifactsInput!$M$15,CHOOSE(ArtifactsInput!$N$15+1,25,30,35,40,45,50)/100*(Inputs!$B$11-Inputs!$B$11),0)))/100)/2</f>
        <v/>
      </c>
      <c r="M628">
        <f>L628*(1+((Inputs!$B$10+1)+((C637=TRUE)*(F637-Calc!F26))+B654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28">
        <f>L628*(1-MIN((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628*(MIN((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28">
        <f>(1-Summary!$B$11)*T628+Summary!$B$11*V628</f>
        <v/>
      </c>
      <c r="P628">
        <f>IF(B655=0,0,O628/B655)</f>
        <v/>
      </c>
      <c r="Q628" t="n">
        <v>0</v>
      </c>
      <c r="R628" t="n">
        <v>0</v>
      </c>
      <c r="S628">
        <f>IFERROR(O628/N628,0)</f>
        <v/>
      </c>
      <c r="T628">
        <f>IF(C628,(Inputs!$B$38*0.2*N628)*IF(Inputs!$B$39="pvp",1,1+(Inputs!$B$20+((C638=TRUE)*(F638-Calc!F27))+Skills!P17+B652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Hunt"),CHOOSE(ArtifactsInput!$N$35+1,15,18,21,24,27,30)*(1-EXP(-(0.2*B647)*5)),0)+IF(AND(ArtifactsInput!$M$22,Inputs!$B$4&lt;&gt;"Chapter Hunt"),CHOOSE(ArtifactsInput!$N$22+1,10,12,14,16,18,20)*((0*(((0.15*B647*5))^0/1)+1*(((0.15*B647*5))^1/1)+2*(((0.15*B647*5))^2/2)+3*(((0.15*B647*5))^3/6)+4*(((0.15*B647*5))^4/24)+5*(((0.15*B647*5))^5/120))/((((0.15*B647*5))^0/1)+(((0.15*B647*5))^1/1)+(((0.15*B647*5))^2/2)+(((0.15*B647*5))^3/6)+(((0.15*B647*5))^4/24)+(((0.15*B647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628*(1-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628*(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628*(1-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628*(MIN(100,(Inputs!$B$9+((C636=TRUE)*(F636-Calc!F25))+B651+(ArtifactsInput!$M$24-ArtifactsInput!$M$24)*CHOOSE(ArtifactsInput!$N$24+1,10,12,14,16,18,20)+(IF(AND(ArtifactsInput!$M$42,((Inputs!$B$9+((C636=TRUE)*(F636-Calc!F25))+B651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28">
        <f>IF(C628,(Inputs!$B$38*0.2*N628)*IF(Inputs!$B$39="pvp",1,(1+(Inputs!$B$21+Skills!Q17+B652+(IF(ArtifactsInput!$M$33,CHOOSE(ArtifactsInput!$N$33+1,30,36,42,48,54,60),0))+(IF(AND(ArtifactsInput!$M$35,Inputs!$B$4&lt;&gt;"Chapter Hunt"),CHOOSE(ArtifactsInput!$N$35+1,15,18,21,24,27,30)*(1-EXP(-(0.2*B647)*5)),0)+IF(AND(ArtifactsInput!$M$22,Inputs!$B$4&lt;&gt;"Chapter Hunt"),CHOOSE(ArtifactsInput!$N$22+1,10,12,14,16,18,20)*((0*(((0.15*B647*5))^0/1)+1*(((0.15*B647*5))^1/1)+2*(((0.15*B647*5))^2/2)+3*(((0.15*B647*5))^3/6)+4*(((0.15*B647*5))^4/24)+5*(((0.15*B647*5))^5/120))/((((0.15*B647*5))^0/1)+(((0.15*B647*5))^1/1)+(((0.15*B647*5))^2/2)+(((0.15*B647*5))^3/6)+(((0.15*B647*5))^4/24)+(((0.15*B647*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29">
      <c r="A629">
        <f>Skills!A18</f>
        <v/>
      </c>
      <c r="B629">
        <f>Skills!B18</f>
        <v/>
      </c>
      <c r="C629">
        <f>Inputs!$B$3&gt;=115</f>
        <v/>
      </c>
      <c r="D629">
        <f>IF(Skills!C18=1,60+Inputs!$B$25+Inputs!$B$29,IF(Skills!C18=2,90+Inputs!$B$26+Inputs!$B$29,IF(Skills!C18=3,120+Inputs!$B$27+Inputs!$B$29,MAX(0,(Inputs!$B$3-100)*3)+Inputs!$B$28+Inputs!$B$29)))</f>
        <v/>
      </c>
      <c r="E629">
        <f>INDEX(FactorTable!$B$2:$Y$301, MATCH(ROUND(MIN(300,MAX(1,D629)),0), FactorTable!$A$2:$A$301,0), Skills!M18+1)</f>
        <v/>
      </c>
      <c r="F629">
        <f>IF(Skills!N18=TRUE,(Skills!L18/10)*(E629/1000),Skills!L18/10)+Skills!O18</f>
        <v/>
      </c>
      <c r="G629">
        <f>Calc!G18</f>
        <v/>
      </c>
      <c r="H629">
        <f>Calc!H18</f>
        <v/>
      </c>
      <c r="I629">
        <f>IF(Skills!AA18&lt;&gt;"",1+(Skills!AA18/10)*(U614/1000)/100,1)</f>
        <v/>
      </c>
      <c r="J629" t="inlineStr"/>
      <c r="K629" t="inlineStr"/>
      <c r="L629" t="inlineStr"/>
      <c r="M629" t="inlineStr"/>
      <c r="N629" t="inlineStr"/>
      <c r="O629">
        <f>(1-Summary!$B$11)*T629+Summary!$B$11*V629</f>
        <v/>
      </c>
      <c r="P629">
        <f>IF(B655=0,0,O629/B655)</f>
        <v/>
      </c>
      <c r="Q629" t="n">
        <v>0</v>
      </c>
      <c r="R629" t="n">
        <v>0</v>
      </c>
      <c r="S629">
        <f>IFERROR(O629/N629,0)</f>
        <v/>
      </c>
      <c r="T629" t="n">
        <v>0</v>
      </c>
      <c r="V629" t="n">
        <v>0</v>
      </c>
    </row>
    <row r="630">
      <c r="A630">
        <f>Skills!A19</f>
        <v/>
      </c>
      <c r="B630">
        <f>Skills!B19</f>
        <v/>
      </c>
      <c r="C630">
        <f>TRUE</f>
        <v/>
      </c>
      <c r="D630">
        <f>IF(Skills!C19=1,60+Inputs!$B$25+Inputs!$B$29,IF(Skills!C19=2,90+Inputs!$B$26+Inputs!$B$29,IF(Skills!C19=3,120+Inputs!$B$27+Inputs!$B$29,MAX(0,(Inputs!$B$3-100)*3)+Inputs!$B$28+Inputs!$B$29)))</f>
        <v/>
      </c>
      <c r="E630">
        <f>INDEX(FactorTable!$B$2:$Y$301, MATCH(ROUND(MIN(300,MAX(1,D630)),0), FactorTable!$A$2:$A$301,0), Skills!M19+1)</f>
        <v/>
      </c>
      <c r="F630">
        <f>IF(Skills!N19=TRUE,(Skills!L19/10)*(E630/1000),Skills!L19/10)+Skills!O19</f>
        <v/>
      </c>
      <c r="G630">
        <f>Calc!G19</f>
        <v/>
      </c>
      <c r="H630">
        <f>Calc!H19</f>
        <v/>
      </c>
      <c r="I630">
        <f>IF(Skills!AA19&lt;&gt;"",1+(Skills!AA19/10)*(U614/1000)/100,1)</f>
        <v/>
      </c>
      <c r="J630" t="inlineStr"/>
      <c r="K630" t="inlineStr"/>
      <c r="L630" t="inlineStr"/>
      <c r="M630" t="inlineStr"/>
      <c r="N630" t="inlineStr"/>
      <c r="O630">
        <f>(1-Summary!$B$11)*T630+Summary!$B$11*V630</f>
        <v/>
      </c>
      <c r="P630">
        <f>IF(B655=0,0,O630/B655)</f>
        <v/>
      </c>
      <c r="Q630">
        <f>IFERROR(1/IF(Inputs!$B$39="pvp",15,MAX(0.1,Skills!D19-IF(Skills!E19=TRUE,Inputs!$B$32,0))),0)</f>
        <v/>
      </c>
      <c r="R630">
        <f>IF(AND(Inputs!$B$39&lt;&gt;"pvp",Inputs!$B$44&gt;0),IF(Inputs!$B$44&lt;=0,0,(INT(Inputs!$B$44/IF(Inputs!$B$39="pvp",15,MAX(0.1,Skills!D19-IF(Skills!E19=TRUE,Inputs!$B$32,0))))+1)),0)</f>
        <v/>
      </c>
      <c r="S630">
        <f>IFERROR(O630/N630,0)</f>
        <v/>
      </c>
      <c r="T630" t="n">
        <v>0</v>
      </c>
      <c r="V630" t="n">
        <v>0</v>
      </c>
    </row>
    <row r="631">
      <c r="A631">
        <f>Skills!A20</f>
        <v/>
      </c>
      <c r="B631">
        <f>Skills!B20</f>
        <v/>
      </c>
      <c r="C631">
        <f>Inputs!$B$3&gt;=15</f>
        <v/>
      </c>
      <c r="D631">
        <f>IF(Skills!C20=1,60+Inputs!$B$25+Inputs!$B$29,IF(Skills!C20=2,90+Inputs!$B$26+Inputs!$B$29,IF(Skills!C20=3,120+Inputs!$B$27+Inputs!$B$29,MAX(0,(Inputs!$B$3-100)*3)+Inputs!$B$28+Inputs!$B$29)))</f>
        <v/>
      </c>
      <c r="E631">
        <f>INDEX(FactorTable!$B$2:$Y$301, MATCH(ROUND(MIN(300,MAX(1,D631)),0), FactorTable!$A$2:$A$301,0), Skills!M20+1)</f>
        <v/>
      </c>
      <c r="F631">
        <f>IF(Skills!N20=TRUE,(Skills!L20/10)*(E631/1000),Skills!L20/10)+Skills!O20</f>
        <v/>
      </c>
      <c r="G631">
        <f>Calc!G20</f>
        <v/>
      </c>
      <c r="H631">
        <f>Calc!H20</f>
        <v/>
      </c>
      <c r="I631">
        <f>IF(Skills!AA20&lt;&gt;"",1+(Skills!AA20/10)*(U614/1000)/100,1)</f>
        <v/>
      </c>
      <c r="J631" t="inlineStr"/>
      <c r="K631" t="inlineStr"/>
      <c r="L631" t="inlineStr"/>
      <c r="M631" t="inlineStr"/>
      <c r="N631" t="inlineStr"/>
      <c r="O631">
        <f>(1-Summary!$B$11)*T631+Summary!$B$11*V631</f>
        <v/>
      </c>
      <c r="P631">
        <f>IF(B655=0,0,O631/B655)</f>
        <v/>
      </c>
      <c r="Q631">
        <f>IFERROR(1/IF(Inputs!$B$39="pvp",15,MAX(0.1,Skills!D20-IF(Skills!E20=TRUE,Inputs!$B$32,0))),0)</f>
        <v/>
      </c>
      <c r="R631">
        <f>IF(AND(Inputs!$B$39&lt;&gt;"pvp",Inputs!$B$44&gt;0),IF(Inputs!$B$44&lt;=0,0,(INT(Inputs!$B$44/IF(Inputs!$B$39="pvp",15,MAX(0.1,Skills!D20-IF(Skills!E20=TRUE,Inputs!$B$32,0))))+1)),0)</f>
        <v/>
      </c>
      <c r="S631">
        <f>IFERROR(O631/N631,0)</f>
        <v/>
      </c>
      <c r="T631" t="n">
        <v>0</v>
      </c>
      <c r="V631" t="n">
        <v>0</v>
      </c>
    </row>
    <row r="632">
      <c r="A632">
        <f>Skills!A21</f>
        <v/>
      </c>
      <c r="B632">
        <f>Skills!B21</f>
        <v/>
      </c>
      <c r="C632">
        <f>Inputs!$B$3&gt;=15</f>
        <v/>
      </c>
      <c r="D632">
        <f>IF(Skills!C21=1,60+Inputs!$B$25+Inputs!$B$29,IF(Skills!C21=2,90+Inputs!$B$26+Inputs!$B$29,IF(Skills!C21=3,120+Inputs!$B$27+Inputs!$B$29,MAX(0,(Inputs!$B$3-100)*3)+Inputs!$B$28+Inputs!$B$29)))</f>
        <v/>
      </c>
      <c r="E632">
        <f>INDEX(FactorTable!$B$2:$Y$301, MATCH(ROUND(MIN(300,MAX(1,D632)),0), FactorTable!$A$2:$A$301,0), Skills!M21+1)</f>
        <v/>
      </c>
      <c r="F632">
        <f>IF(Skills!N21=TRUE,(Skills!L21/10)*(E632/1000),Skills!L21/10)+Skills!O21</f>
        <v/>
      </c>
      <c r="G632">
        <f>Calc!G21</f>
        <v/>
      </c>
      <c r="H632">
        <f>Calc!H21</f>
        <v/>
      </c>
      <c r="I632">
        <f>IF(Skills!AA21&lt;&gt;"",1+(Skills!AA21/10)*(U614/1000)/100,1)</f>
        <v/>
      </c>
      <c r="J632" t="inlineStr"/>
      <c r="K632" t="inlineStr"/>
      <c r="L632" t="inlineStr"/>
      <c r="M632" t="inlineStr"/>
      <c r="N632" t="inlineStr"/>
      <c r="O632">
        <f>(1-Summary!$B$11)*T632+Summary!$B$11*V632</f>
        <v/>
      </c>
      <c r="P632">
        <f>IF(B655=0,0,O632/B655)</f>
        <v/>
      </c>
      <c r="Q632">
        <f>IFERROR(1/IF(Inputs!$B$39="pvp",15,MAX(0.1,Skills!D21-IF(Skills!E21=TRUE,Inputs!$B$32,0))),0)</f>
        <v/>
      </c>
      <c r="R632">
        <f>IF(AND(Inputs!$B$39&lt;&gt;"pvp",Inputs!$B$44&gt;0),IF(Inputs!$B$44&lt;=0,0,(INT(Inputs!$B$44/IF(Inputs!$B$39="pvp",15,MAX(0.1,Skills!D21-IF(Skills!E21=TRUE,Inputs!$B$32,0))))+1)),0)</f>
        <v/>
      </c>
      <c r="S632">
        <f>IFERROR(O632/N632,0)</f>
        <v/>
      </c>
      <c r="T632" t="n">
        <v>0</v>
      </c>
      <c r="V632" t="n">
        <v>0</v>
      </c>
    </row>
    <row r="633">
      <c r="A633">
        <f>Skills!A22</f>
        <v/>
      </c>
      <c r="B633">
        <f>Skills!B22</f>
        <v/>
      </c>
      <c r="C633">
        <f>Inputs!$B$3&gt;=33</f>
        <v/>
      </c>
      <c r="D633">
        <f>IF(Skills!C22=1,60+Inputs!$B$25+Inputs!$B$29,IF(Skills!C22=2,90+Inputs!$B$26+Inputs!$B$29,IF(Skills!C22=3,120+Inputs!$B$27+Inputs!$B$29,MAX(0,(Inputs!$B$3-100)*3)+Inputs!$B$28+Inputs!$B$29)))</f>
        <v/>
      </c>
      <c r="E633">
        <f>INDEX(FactorTable!$B$2:$Y$301, MATCH(ROUND(MIN(300,MAX(1,D633)),0), FactorTable!$A$2:$A$301,0), Skills!M22+1)</f>
        <v/>
      </c>
      <c r="F633">
        <f>IF(Skills!N22=TRUE,(Skills!L22/10)*(E633/1000),Skills!L22/10)+Skills!O22</f>
        <v/>
      </c>
      <c r="G633">
        <f>Calc!G22</f>
        <v/>
      </c>
      <c r="H633">
        <f>Calc!H22</f>
        <v/>
      </c>
      <c r="I633">
        <f>IF(Skills!AA22&lt;&gt;"",1+(Skills!AA22/10)*(U614/1000)/100,1)</f>
        <v/>
      </c>
      <c r="J633" t="inlineStr"/>
      <c r="K633" t="inlineStr"/>
      <c r="L633" t="inlineStr"/>
      <c r="M633" t="inlineStr"/>
      <c r="N633" t="inlineStr"/>
      <c r="O633">
        <f>(1-Summary!$B$11)*T633+Summary!$B$11*V633</f>
        <v/>
      </c>
      <c r="P633">
        <f>IF(B655=0,0,O633/B655)</f>
        <v/>
      </c>
      <c r="Q633" t="n">
        <v>0</v>
      </c>
      <c r="R633" t="n">
        <v>0</v>
      </c>
      <c r="S633">
        <f>IFERROR(O633/N633,0)</f>
        <v/>
      </c>
      <c r="T633" t="n">
        <v>0</v>
      </c>
      <c r="V633" t="n">
        <v>0</v>
      </c>
    </row>
    <row r="634">
      <c r="A634">
        <f>Skills!A23</f>
        <v/>
      </c>
      <c r="B634">
        <f>Skills!B23</f>
        <v/>
      </c>
      <c r="C634">
        <f>Inputs!$B$3&gt;=38</f>
        <v/>
      </c>
      <c r="D634">
        <f>IF(Skills!C23=1,60+Inputs!$B$25+Inputs!$B$29,IF(Skills!C23=2,90+Inputs!$B$26+Inputs!$B$29,IF(Skills!C23=3,120+Inputs!$B$27+Inputs!$B$29,MAX(0,(Inputs!$B$3-100)*3)+Inputs!$B$28+Inputs!$B$29)))</f>
        <v/>
      </c>
      <c r="E634">
        <f>INDEX(FactorTable!$B$2:$Y$301, MATCH(ROUND(MIN(300,MAX(1,D634)),0), FactorTable!$A$2:$A$301,0), Skills!M23+1)</f>
        <v/>
      </c>
      <c r="F634">
        <f>IF(Skills!N23=TRUE,(Skills!L23/10)*(E634/1000),Skills!L23/10)+Skills!O23</f>
        <v/>
      </c>
      <c r="G634">
        <f>Calc!G23</f>
        <v/>
      </c>
      <c r="H634">
        <f>Calc!H23</f>
        <v/>
      </c>
      <c r="I634">
        <f>IF(Skills!AA23&lt;&gt;"",1+(Skills!AA23/10)*(U614/1000)/100,1)</f>
        <v/>
      </c>
      <c r="J634" t="inlineStr"/>
      <c r="K634" t="inlineStr"/>
      <c r="L634" t="inlineStr"/>
      <c r="M634" t="inlineStr"/>
      <c r="N634" t="inlineStr"/>
      <c r="O634">
        <f>(1-Summary!$B$11)*T634+Summary!$B$11*V634</f>
        <v/>
      </c>
      <c r="P634">
        <f>IF(B655=0,0,O634/B655)</f>
        <v/>
      </c>
      <c r="Q634" t="n">
        <v>0</v>
      </c>
      <c r="R634" t="n">
        <v>0</v>
      </c>
      <c r="S634">
        <f>IFERROR(O634/N634,0)</f>
        <v/>
      </c>
      <c r="T634" t="n">
        <v>0</v>
      </c>
      <c r="V634" t="n">
        <v>0</v>
      </c>
    </row>
    <row r="635">
      <c r="A635">
        <f>Skills!A24</f>
        <v/>
      </c>
      <c r="B635">
        <f>Skills!B24</f>
        <v/>
      </c>
      <c r="C635">
        <f>Inputs!$B$3&gt;=40</f>
        <v/>
      </c>
      <c r="D635">
        <f>IF(Skills!C24=1,60+Inputs!$B$25+Inputs!$B$29,IF(Skills!C24=2,90+Inputs!$B$26+Inputs!$B$29,IF(Skills!C24=3,120+Inputs!$B$27+Inputs!$B$29,MAX(0,(Inputs!$B$3-100)*3)+Inputs!$B$28+Inputs!$B$29)))</f>
        <v/>
      </c>
      <c r="E635">
        <f>INDEX(FactorTable!$B$2:$Y$301, MATCH(ROUND(MIN(300,MAX(1,D635)),0), FactorTable!$A$2:$A$301,0), Skills!M24+1)</f>
        <v/>
      </c>
      <c r="F635">
        <f>IF(Skills!N24=TRUE,(Skills!L24/10)*(E635/1000),Skills!L24/10)+Skills!O24</f>
        <v/>
      </c>
      <c r="G635">
        <f>Calc!G24</f>
        <v/>
      </c>
      <c r="H635">
        <f>Calc!H24</f>
        <v/>
      </c>
      <c r="I635">
        <f>IF(Skills!AA24&lt;&gt;"",1+(Skills!AA24/10)*(U614/1000)/100,1)</f>
        <v/>
      </c>
      <c r="J635" t="inlineStr"/>
      <c r="K635" t="inlineStr"/>
      <c r="L635" t="inlineStr"/>
      <c r="M635" t="inlineStr"/>
      <c r="N635" t="inlineStr"/>
      <c r="O635">
        <f>(1-Summary!$B$11)*T635+Summary!$B$11*V635</f>
        <v/>
      </c>
      <c r="P635">
        <f>IF(B655=0,0,O635/B655)</f>
        <v/>
      </c>
      <c r="Q635" t="n">
        <v>0</v>
      </c>
      <c r="R635" t="n">
        <v>0</v>
      </c>
      <c r="S635">
        <f>IFERROR(O635/N635,0)</f>
        <v/>
      </c>
      <c r="T635" t="n">
        <v>0</v>
      </c>
      <c r="V635" t="n">
        <v>0</v>
      </c>
    </row>
    <row r="636">
      <c r="A636">
        <f>Skills!A25</f>
        <v/>
      </c>
      <c r="B636">
        <f>Skills!B25</f>
        <v/>
      </c>
      <c r="C636">
        <f>Inputs!$B$3&gt;=45</f>
        <v/>
      </c>
      <c r="D636">
        <f>IF(Skills!C25=1,60+Inputs!$B$25+Inputs!$B$29,IF(Skills!C25=2,90+Inputs!$B$26+Inputs!$B$29,IF(Skills!C25=3,120+Inputs!$B$27+Inputs!$B$29,MAX(0,(Inputs!$B$3-100)*3)+Inputs!$B$28+Inputs!$B$29)))</f>
        <v/>
      </c>
      <c r="E636">
        <f>INDEX(FactorTable!$B$2:$Y$301, MATCH(ROUND(MIN(300,MAX(1,D636)),0), FactorTable!$A$2:$A$301,0), Skills!M25+1)</f>
        <v/>
      </c>
      <c r="F636">
        <f>IF(Skills!N25=TRUE,(Skills!L25/10)*(E636/1000),Skills!L25/10)+Skills!O25</f>
        <v/>
      </c>
      <c r="G636">
        <f>Calc!G25</f>
        <v/>
      </c>
      <c r="H636">
        <f>Calc!H25</f>
        <v/>
      </c>
      <c r="I636">
        <f>IF(Skills!AA25&lt;&gt;"",1+(Skills!AA25/10)*(U614/1000)/100,1)</f>
        <v/>
      </c>
      <c r="J636" t="inlineStr"/>
      <c r="K636" t="inlineStr"/>
      <c r="L636" t="inlineStr"/>
      <c r="M636" t="inlineStr"/>
      <c r="N636" t="inlineStr"/>
      <c r="O636">
        <f>(1-Summary!$B$11)*T636+Summary!$B$11*V636</f>
        <v/>
      </c>
      <c r="P636">
        <f>IF(B655=0,0,O636/B655)</f>
        <v/>
      </c>
      <c r="Q636" t="n">
        <v>0</v>
      </c>
      <c r="R636" t="n">
        <v>0</v>
      </c>
      <c r="S636">
        <f>IFERROR(O636/N636,0)</f>
        <v/>
      </c>
      <c r="T636" t="n">
        <v>0</v>
      </c>
      <c r="V636" t="n">
        <v>0</v>
      </c>
    </row>
    <row r="637">
      <c r="A637">
        <f>Skills!A26</f>
        <v/>
      </c>
      <c r="B637">
        <f>Skills!B26</f>
        <v/>
      </c>
      <c r="C637">
        <f>Inputs!$B$3&gt;=45</f>
        <v/>
      </c>
      <c r="D637">
        <f>IF(Skills!C26=1,60+Inputs!$B$25+Inputs!$B$29,IF(Skills!C26=2,90+Inputs!$B$26+Inputs!$B$29,IF(Skills!C26=3,120+Inputs!$B$27+Inputs!$B$29,MAX(0,(Inputs!$B$3-100)*3)+Inputs!$B$28+Inputs!$B$29)))</f>
        <v/>
      </c>
      <c r="E637">
        <f>INDEX(FactorTable!$B$2:$Y$301, MATCH(ROUND(MIN(300,MAX(1,D637)),0), FactorTable!$A$2:$A$301,0), Skills!M26+1)</f>
        <v/>
      </c>
      <c r="F637">
        <f>IF(Skills!N26=TRUE,(Skills!L26/10)*(E637/1000),Skills!L26/10)+Skills!O26</f>
        <v/>
      </c>
      <c r="G637">
        <f>Calc!G26</f>
        <v/>
      </c>
      <c r="H637">
        <f>Calc!H26</f>
        <v/>
      </c>
      <c r="I637">
        <f>IF(Skills!AA26&lt;&gt;"",1+(Skills!AA26/10)*(U614/1000)/100,1)</f>
        <v/>
      </c>
      <c r="J637" t="inlineStr"/>
      <c r="K637" t="inlineStr"/>
      <c r="L637" t="inlineStr"/>
      <c r="M637" t="inlineStr"/>
      <c r="N637" t="inlineStr"/>
      <c r="O637">
        <f>(1-Summary!$B$11)*T637+Summary!$B$11*V637</f>
        <v/>
      </c>
      <c r="P637">
        <f>IF(B655=0,0,O637/B655)</f>
        <v/>
      </c>
      <c r="Q637" t="n">
        <v>0</v>
      </c>
      <c r="R637" t="n">
        <v>0</v>
      </c>
      <c r="S637">
        <f>IFERROR(O637/N637,0)</f>
        <v/>
      </c>
      <c r="T637" t="n">
        <v>0</v>
      </c>
      <c r="V637" t="n">
        <v>0</v>
      </c>
    </row>
    <row r="638">
      <c r="A638">
        <f>Skills!A27</f>
        <v/>
      </c>
      <c r="B638">
        <f>Skills!B27</f>
        <v/>
      </c>
      <c r="C638">
        <f>Inputs!$B$3&gt;=72</f>
        <v/>
      </c>
      <c r="D638">
        <f>IF(Skills!C27=1,60+Inputs!$B$25+Inputs!$B$29,IF(Skills!C27=2,90+Inputs!$B$26+Inputs!$B$29,IF(Skills!C27=3,120+Inputs!$B$27+Inputs!$B$29,MAX(0,(Inputs!$B$3-100)*3)+Inputs!$B$28+Inputs!$B$29)))</f>
        <v/>
      </c>
      <c r="E638">
        <f>INDEX(FactorTable!$B$2:$Y$301, MATCH(ROUND(MIN(300,MAX(1,D638)),0), FactorTable!$A$2:$A$301,0), Skills!M27+1)</f>
        <v/>
      </c>
      <c r="F638">
        <f>IF(Skills!N27=TRUE,(Skills!L27/10)*(E638/1000),Skills!L27/10)+Skills!O27</f>
        <v/>
      </c>
      <c r="G638">
        <f>Calc!G27</f>
        <v/>
      </c>
      <c r="H638">
        <f>Calc!H27</f>
        <v/>
      </c>
      <c r="I638">
        <f>IF(Skills!AA27&lt;&gt;"",1+(Skills!AA27/10)*(U614/1000)/100,1)</f>
        <v/>
      </c>
      <c r="J638" t="inlineStr"/>
      <c r="K638" t="inlineStr"/>
      <c r="L638" t="inlineStr"/>
      <c r="M638" t="inlineStr"/>
      <c r="N638" t="inlineStr"/>
      <c r="O638">
        <f>(1-Summary!$B$11)*T638+Summary!$B$11*V638</f>
        <v/>
      </c>
      <c r="P638">
        <f>IF(B655=0,0,O638/B655)</f>
        <v/>
      </c>
      <c r="Q638" t="n">
        <v>0</v>
      </c>
      <c r="R638" t="n">
        <v>0</v>
      </c>
      <c r="S638">
        <f>IFERROR(O638/N638,0)</f>
        <v/>
      </c>
      <c r="T638" t="n">
        <v>0</v>
      </c>
      <c r="V638" t="n">
        <v>0</v>
      </c>
    </row>
    <row r="639">
      <c r="A639">
        <f>Skills!A28</f>
        <v/>
      </c>
      <c r="B639">
        <f>Skills!B28</f>
        <v/>
      </c>
      <c r="C639">
        <f>Inputs!$B$3&gt;=75</f>
        <v/>
      </c>
      <c r="D639">
        <f>IF(Skills!C28=1,60+Inputs!$B$25+Inputs!$B$29,IF(Skills!C28=2,90+Inputs!$B$26+Inputs!$B$29,IF(Skills!C28=3,120+Inputs!$B$27+Inputs!$B$29,MAX(0,(Inputs!$B$3-100)*3)+Inputs!$B$28+Inputs!$B$29)))</f>
        <v/>
      </c>
      <c r="E639">
        <f>INDEX(FactorTable!$B$2:$Y$301, MATCH(ROUND(MIN(300,MAX(1,D639)),0), FactorTable!$A$2:$A$301,0), Skills!M28+1)</f>
        <v/>
      </c>
      <c r="F639">
        <f>IF(Skills!N28=TRUE,(Skills!L28/10)*(E639/1000),Skills!L28/10)+Skills!O28</f>
        <v/>
      </c>
      <c r="G639">
        <f>Calc!G28</f>
        <v/>
      </c>
      <c r="H639">
        <f>Calc!H28</f>
        <v/>
      </c>
      <c r="I639">
        <f>IF(Skills!AA28&lt;&gt;"",1+(Skills!AA28/10)*(U614/1000)/100,1)</f>
        <v/>
      </c>
      <c r="J639" t="inlineStr"/>
      <c r="K639" t="inlineStr"/>
      <c r="L639" t="inlineStr"/>
      <c r="M639" t="inlineStr"/>
      <c r="N639" t="inlineStr"/>
      <c r="O639">
        <f>(1-Summary!$B$11)*T639+Summary!$B$11*V639</f>
        <v/>
      </c>
      <c r="P639">
        <f>IF(B655=0,0,O639/B655)</f>
        <v/>
      </c>
      <c r="Q639" t="n">
        <v>0</v>
      </c>
      <c r="R639" t="n">
        <v>0</v>
      </c>
      <c r="S639">
        <f>IFERROR(O639/N639,0)</f>
        <v/>
      </c>
      <c r="T639" t="n">
        <v>0</v>
      </c>
      <c r="V639" t="n">
        <v>0</v>
      </c>
    </row>
    <row r="640">
      <c r="A640">
        <f>Skills!A29</f>
        <v/>
      </c>
      <c r="B640">
        <f>Skills!B29</f>
        <v/>
      </c>
      <c r="C640">
        <f>Inputs!$B$3&gt;=120</f>
        <v/>
      </c>
      <c r="D640">
        <f>IF(Skills!C29=1,60+Inputs!$B$25+Inputs!$B$29,IF(Skills!C29=2,90+Inputs!$B$26+Inputs!$B$29,IF(Skills!C29=3,120+Inputs!$B$27+Inputs!$B$29,MAX(0,(Inputs!$B$3-100)*3)+Inputs!$B$28+Inputs!$B$29)))</f>
        <v/>
      </c>
      <c r="E640">
        <f>INDEX(FactorTable!$B$2:$Y$301, MATCH(ROUND(MIN(300,MAX(1,D640)),0), FactorTable!$A$2:$A$301,0), Skills!M29+1)</f>
        <v/>
      </c>
      <c r="F640">
        <f>IF(Skills!N29=TRUE,(Skills!L29/10)*(E640/1000),Skills!L29/10)+Skills!O29</f>
        <v/>
      </c>
      <c r="G640">
        <f>Calc!G29</f>
        <v/>
      </c>
      <c r="H640">
        <f>Calc!H29</f>
        <v/>
      </c>
      <c r="I640">
        <f>IF(Skills!AA29&lt;&gt;"",1+(Skills!AA29/10)*(U614/1000)/100,1)</f>
        <v/>
      </c>
      <c r="J640" t="inlineStr"/>
      <c r="K640" t="inlineStr"/>
      <c r="L640" t="inlineStr"/>
      <c r="M640" t="inlineStr"/>
      <c r="N640" t="inlineStr"/>
      <c r="O640">
        <f>(1-Summary!$B$11)*T640+Summary!$B$11*V640</f>
        <v/>
      </c>
      <c r="P640">
        <f>IF(B655=0,0,O640/B655)</f>
        <v/>
      </c>
      <c r="Q640" t="n">
        <v>0</v>
      </c>
      <c r="R640" t="n">
        <v>0</v>
      </c>
      <c r="S640">
        <f>IFERROR(O640/N640,0)</f>
        <v/>
      </c>
      <c r="T640" t="n">
        <v>0</v>
      </c>
      <c r="V640" t="n">
        <v>0</v>
      </c>
    </row>
    <row r="641">
      <c r="A641">
        <f>Skills!A30</f>
        <v/>
      </c>
      <c r="B641">
        <f>Skills!B30</f>
        <v/>
      </c>
      <c r="C641">
        <f>Inputs!$B$3&gt;=125</f>
        <v/>
      </c>
      <c r="D641">
        <f>IF(Skills!C30=1,60+Inputs!$B$25+Inputs!$B$29,IF(Skills!C30=2,90+Inputs!$B$26+Inputs!$B$29,IF(Skills!C30=3,120+Inputs!$B$27+Inputs!$B$29,MAX(0,(Inputs!$B$3-100)*3)+Inputs!$B$28+Inputs!$B$29)))</f>
        <v/>
      </c>
      <c r="E641">
        <f>INDEX(FactorTable!$B$2:$Y$301, MATCH(ROUND(MIN(300,MAX(1,D641)),0), FactorTable!$A$2:$A$301,0), Skills!M30+1)</f>
        <v/>
      </c>
      <c r="F641">
        <f>IF(Skills!N30=TRUE,(Skills!L30/10)*(E641/1000),Skills!L30/10)+Skills!O30</f>
        <v/>
      </c>
      <c r="G641">
        <f>Calc!G30</f>
        <v/>
      </c>
      <c r="H641">
        <f>Calc!H30</f>
        <v/>
      </c>
      <c r="I641">
        <f>IF(Skills!AA30&lt;&gt;"",1+(Skills!AA30/10)*(U614/1000)/100,1)</f>
        <v/>
      </c>
      <c r="J641" t="inlineStr"/>
      <c r="K641" t="inlineStr"/>
      <c r="L641" t="inlineStr"/>
      <c r="M641" t="inlineStr"/>
      <c r="N641" t="inlineStr"/>
      <c r="O641">
        <f>(1-Summary!$B$11)*T641+Summary!$B$11*V641</f>
        <v/>
      </c>
      <c r="P641">
        <f>IF(B655=0,0,O641/B655)</f>
        <v/>
      </c>
      <c r="Q641" t="n">
        <v>0</v>
      </c>
      <c r="R641" t="n">
        <v>0</v>
      </c>
      <c r="S641">
        <f>IFERROR(O641/N641,0)</f>
        <v/>
      </c>
      <c r="T641" t="n">
        <v>0</v>
      </c>
      <c r="V641" t="n">
        <v>0</v>
      </c>
    </row>
    <row r="642">
      <c r="A642">
        <f>Skills!A31</f>
        <v/>
      </c>
      <c r="B642">
        <f>Skills!B31</f>
        <v/>
      </c>
      <c r="C642">
        <f>Inputs!$B$3&gt;=107</f>
        <v/>
      </c>
      <c r="D642">
        <f>IF(Skills!C31=1,60+Inputs!$B$25+Inputs!$B$29,IF(Skills!C31=2,90+Inputs!$B$26+Inputs!$B$29,IF(Skills!C31=3,120+Inputs!$B$27+Inputs!$B$29,MAX(0,(Inputs!$B$3-100)*3)+Inputs!$B$28+Inputs!$B$29)))</f>
        <v/>
      </c>
      <c r="E642">
        <f>INDEX(FactorTable!$B$2:$Y$301, MATCH(ROUND(MIN(300,MAX(1,D642)),0), FactorTable!$A$2:$A$301,0), Skills!M31+1)</f>
        <v/>
      </c>
      <c r="F642">
        <f>IF(Skills!N31=TRUE,(Skills!L31/10)*(E642/1000),Skills!L31/10)+Skills!O31</f>
        <v/>
      </c>
      <c r="G642">
        <f>Calc!G31</f>
        <v/>
      </c>
      <c r="H642">
        <f>Calc!H31</f>
        <v/>
      </c>
      <c r="I642">
        <f>IF(Skills!AA31&lt;&gt;"",1+(Skills!AA31/10)*(U614/1000)/100,1)</f>
        <v/>
      </c>
      <c r="J642" t="inlineStr"/>
      <c r="K642" t="inlineStr"/>
      <c r="L642" t="inlineStr"/>
      <c r="M642" t="inlineStr"/>
      <c r="N642" t="inlineStr"/>
      <c r="O642">
        <f>(1-Summary!$B$11)*T642+Summary!$B$11*V642</f>
        <v/>
      </c>
      <c r="P642">
        <f>IF(B655=0,0,O642/B655)</f>
        <v/>
      </c>
      <c r="Q642" t="n">
        <v>0</v>
      </c>
      <c r="R642" t="n">
        <v>0</v>
      </c>
      <c r="S642">
        <f>IFERROR(O642/N642,0)</f>
        <v/>
      </c>
      <c r="T642" t="n">
        <v>0</v>
      </c>
      <c r="V642" t="n">
        <v>0</v>
      </c>
    </row>
    <row r="644">
      <c r="A644" t="inlineStr">
        <is>
          <t>Actions Per Second (pre-Adrenalin)</t>
        </is>
      </c>
      <c r="B644">
        <f>1+MIN(150,150*(1-(1-(Inputs!$B$11+((C633=TRUE)*(F633-Calc!F22))+(ArtifactsInput!$M$15-ArtifactsInput!$M$15)*CHOOSE(ArtifactsInput!$N$15+1,8,9.6,11.2,12.8,14.4,16))/150)*(1-((C630=TRUE)*F630*IF(AND(Inputs!$B$39&lt;&gt;"pvp",Inputs!$B$44&gt;0),(((R630-1)*(Skills!Y19*(1+Inputs!$B$34/100))+MIN((Skills!Y19*(1+Inputs!$B$34/100)),MAX(0,Inputs!$B$44-((R630-1)*Skills!D19))))/Inputs!$B$44),IF(Inputs!$B$39="pvp",MIN((Skills!Y19*(1+Inputs!$B$34/100)),15)/15,(Skills!Y19*(1+Inputs!$B$34/100))/Skills!D19)))/150)))/100</f>
        <v/>
      </c>
    </row>
    <row r="645">
      <c r="A645" t="inlineStr">
        <is>
          <t>Alchemic Adrenaline Uptime</t>
        </is>
      </c>
      <c r="B645">
        <f>(Skills!Y6*(1+Inputs!$B$34/100))/((Skills!Y6*(1+Inputs!$B$34/100))+(5/B644))</f>
        <v/>
      </c>
    </row>
    <row r="646">
      <c r="A646" t="inlineStr">
        <is>
          <t>Attack Speed Buff Bonus %</t>
        </is>
      </c>
      <c r="B646">
        <f>((C630=TRUE)*F630*IF(AND(Inputs!$B$39&lt;&gt;"pvp",Inputs!$B$44&gt;0),(((R630-1)*(Skills!Y19*(1+Inputs!$B$34/100))+MIN((Skills!Y19*(1+Inputs!$B$34/100)),MAX(0,Inputs!$B$44-((R630-1)*Skills!D19))))/Inputs!$B$44),IF(Inputs!$B$39="pvp",MIN((Skills!Y19*(1+Inputs!$B$34/100)),15)/15,(Skills!Y19*(1+Inputs!$B$34/100))/Skills!D19)))+((C618=TRUE)*F618*B645)</f>
        <v/>
      </c>
    </row>
    <row r="647">
      <c r="A647" t="inlineStr">
        <is>
          <t>Actions Per Second (final)</t>
        </is>
      </c>
      <c r="B647">
        <f>1+MIN(150,150*(1-(1-(Inputs!$B$11+((C633=TRUE)*(F633-Calc!F22))+(ArtifactsInput!$M$15-ArtifactsInput!$M$15)*CHOOSE(ArtifactsInput!$N$15+1,8,9.6,11.2,12.8,14.4,16))/150)*(1-B646/150)))/100</f>
        <v/>
      </c>
    </row>
    <row r="648">
      <c r="A648" t="inlineStr">
        <is>
          <t>Skill + Buff Cast Rate</t>
        </is>
      </c>
      <c r="B648">
        <f>IF(AND(Inputs!$B$39&lt;&gt;"pvp",Inputs!$B$44&gt;0),SUMPRODUCT((Skills!E2:E31=TRUE)*(C613:C642=TRUE)*R613:R642*Skills!F2:F31)/Inputs!$B$44,SUMPRODUCT((Skills!E2:E31=TRUE)*(C613:C642=TRUE)*Q613:Q642*Skills!F2:F31))</f>
        <v/>
      </c>
    </row>
    <row r="649">
      <c r="A649" t="inlineStr">
        <is>
          <t>Showdown Casts Per Second</t>
        </is>
      </c>
      <c r="B649">
        <f>MAX(0,B647-B648)</f>
        <v/>
      </c>
    </row>
    <row r="650">
      <c r="A650" t="inlineStr">
        <is>
          <t>Average Buff Multiplier</t>
        </is>
      </c>
      <c r="B650">
        <f>(1+(((C632=TRUE)*F632*IF(AND(Inputs!$B$39&lt;&gt;"pvp",Inputs!$B$44&gt;0),(((R632-1)*(Skills!Y21*(1+Inputs!$B$34/100))+MIN((Skills!Y21*(1+Inputs!$B$34/100)),MAX(0,Inputs!$B$44-((R632-1)*Skills!D21))))/Inputs!$B$44),IF(Inputs!$B$39="pvp",MIN((Skills!Y21*(1+Inputs!$B$34/100)),15)/15,(Skills!Y21*(1+Inputs!$B$34/100))/Skills!D21)))+((C639=TRUE)*(F639-Calc!F28))+((C629=TRUE)*(F629-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626=TRUE)*F626*IF(AND(Inputs!$B$39&lt;&gt;"pvp",Inputs!$B$44&gt;0),(((R626-1)*(Skills!Y15*(1+Inputs!$B$34/100))+MIN((Skills!Y15*(1+Inputs!$B$34/100)),MAX(0,Inputs!$B$44-((R626-1)*Skills!D15))))/Inputs!$B$44),IF(Inputs!$B$39="pvp",MIN((Skills!Y15*(1+Inputs!$B$34/100)),15)/15,(Skills!Y15*(1+Inputs!$B$34/100))/Skills!D15)))/100)*(1+((C617=TRUE)*F617*B645)/100)</f>
        <v/>
      </c>
    </row>
    <row r="651">
      <c r="A651" t="inlineStr">
        <is>
          <t>Global Crit Rate Bonus %</t>
        </is>
      </c>
      <c r="B651">
        <f>IF(Inputs!$B$3&gt;=47,8,0)+((C631=TRUE)*F631*IF(AND(Inputs!$B$39&lt;&gt;"pvp",Inputs!$B$44&gt;0),(((R631-1)*(Skills!Y20*(1+Inputs!$B$34/100))+MIN((Skills!Y20*(1+Inputs!$B$34/100)),MAX(0,Inputs!$B$44-((R631-1)*Skills!D20))))/Inputs!$B$44),IF(Inputs!$B$39="pvp",MIN((Skills!Y20*(1+Inputs!$B$34/100)),15)/15,(Skills!Y20*(1+Inputs!$B$34/100))/Skills!D20)))</f>
        <v/>
      </c>
    </row>
    <row r="652">
      <c r="A652" t="inlineStr">
        <is>
          <t>Global Monster Damage-Taken Bonus %</t>
        </is>
      </c>
      <c r="B652">
        <f>IF(Inputs!$B$3&gt;=82,15,0)+((C627=TRUE)*F627*IF(AND(Inputs!$B$39&lt;&gt;"pvp",Inputs!$B$44&gt;0),(((R627-1)*(Skills!Y16*(1+Inputs!$B$34/100))+MIN((Skills!Y16*(1+Inputs!$B$34/100)),MAX(0,Inputs!$B$44-((R627-1)*Skills!D16))))/Inputs!$B$44),IF(Inputs!$B$39="pvp",MIN((Skills!Y16*(1+Inputs!$B$34/100)),15)/15,(Skills!Y16*(1+Inputs!$B$34/100))/Skills!D16)))</f>
        <v/>
      </c>
    </row>
    <row r="653">
      <c r="A653" t="inlineStr">
        <is>
          <t>Shadow Partner Average Multiplier</t>
        </is>
      </c>
      <c r="B653">
        <f>1+((C622=TRUE)*F622*I622*Skills!J11/100)/100</f>
        <v/>
      </c>
    </row>
    <row r="654">
      <c r="A654" t="inlineStr">
        <is>
          <t>Global Critical Damage Bonus % (Frailty Curse Mastery Lv.111)</t>
        </is>
      </c>
      <c r="B654">
        <f>IF(Inputs!$B$3&gt;=111,30,0)*IF(AND(Inputs!$B$39&lt;&gt;"pvp",Inputs!$B$44&gt;0),(((R627-1)*(Skills!Y16*(1+Inputs!$B$34/100))+MIN((Skills!Y16*(1+Inputs!$B$34/100)),MAX(0,Inputs!$B$44-((R627-1)*Skills!D16))))/Inputs!$B$44),IF(Inputs!$B$39="pvp",MIN((Skills!Y16*(1+Inputs!$B$34/100)),15)/15,(Skills!Y16*(1+Inputs!$B$34/100))/Skills!D16))</f>
        <v/>
      </c>
    </row>
    <row r="655">
      <c r="A655" s="6" t="inlineStr">
        <is>
          <t>TOTAL DPS</t>
        </is>
      </c>
      <c r="B655" s="6">
        <f>SUM(O613:O642)</f>
        <v/>
      </c>
    </row>
    <row r="656">
      <c r="A656" t="inlineStr">
        <is>
          <t>Buff-Casting Startup Delay (s, fixed-duration only)</t>
        </is>
      </c>
      <c r="B656">
        <f>IF(AND(Inputs!$B$39&lt;&gt;"pvp",Inputs!$B$44&gt;0),SUMPRODUCT((Skills!Y2:Y31&gt;0)*(Skills!E2:E31=TRUE)*(C613:C642=TRUE))/B647,0)</f>
        <v/>
      </c>
    </row>
    <row r="657">
      <c r="A657" t="inlineStr">
        <is>
          <t>Boss-Only Total DPS (this block's swept value)</t>
        </is>
      </c>
      <c r="B657">
        <f>SUM(T613:T642)</f>
        <v/>
      </c>
    </row>
    <row r="658">
      <c r="A658" t="inlineStr">
        <is>
          <t>Normal-Only Total DPS (this block's swept value)</t>
        </is>
      </c>
      <c r="B658">
        <f>SUM(V613:V642)</f>
        <v/>
      </c>
    </row>
    <row r="660">
      <c r="A660" s="6" t="inlineStr">
        <is>
          <t>Stat: ATTACK_SPEED % (diminishing returns, factor 150)</t>
        </is>
      </c>
    </row>
    <row r="661">
      <c r="A661" s="5" t="inlineStr">
        <is>
          <t>Key</t>
        </is>
      </c>
      <c r="B661" s="5" t="inlineStr">
        <is>
          <t>Name</t>
        </is>
      </c>
      <c r="C661" s="5" t="inlineStr">
        <is>
          <t>Unlocked</t>
        </is>
      </c>
      <c r="D661" s="5" t="inlineStr">
        <is>
          <t>InputLevel</t>
        </is>
      </c>
      <c r="E661" s="5" t="inlineStr">
        <is>
          <t>Factor</t>
        </is>
      </c>
      <c r="F661" s="5" t="inlineStr">
        <is>
          <t>CoefficientPercent</t>
        </is>
      </c>
      <c r="G661" s="5" t="inlineStr">
        <is>
          <t>EffectiveHits</t>
        </is>
      </c>
      <c r="H661" s="5" t="inlineStr">
        <is>
          <t>ProcProbability</t>
        </is>
      </c>
      <c r="I661" s="5" t="inlineStr">
        <is>
          <t>MapleHeroMultiplier</t>
        </is>
      </c>
      <c r="J661" s="5" t="inlineStr">
        <is>
          <t>BaseDamage</t>
        </is>
      </c>
      <c r="K661" s="5" t="inlineStr">
        <is>
          <t>BaseHitDamage</t>
        </is>
      </c>
      <c r="L661" s="5" t="inlineStr">
        <is>
          <t>NonCritAvg</t>
        </is>
      </c>
      <c r="M661" s="5" t="inlineStr">
        <is>
          <t>CritAvg</t>
        </is>
      </c>
      <c r="N661" s="5" t="inlineStr">
        <is>
          <t>ExpectedDamage(perHit)</t>
        </is>
      </c>
      <c r="O661" s="5" t="inlineStr">
        <is>
          <t>DPS</t>
        </is>
      </c>
      <c r="P661" s="5" t="inlineStr">
        <is>
          <t>% of Total</t>
        </is>
      </c>
      <c r="Q661" s="5" t="inlineStr">
        <is>
          <t>InvCooldown</t>
        </is>
      </c>
      <c r="R661" s="5" t="inlineStr">
        <is>
          <t>CastsInFight</t>
        </is>
      </c>
      <c r="S661" s="5" t="inlineStr">
        <is>
          <t>HitRate(perSec)</t>
        </is>
      </c>
      <c r="U661" t="inlineStr">
        <is>
          <t>helpers</t>
        </is>
      </c>
    </row>
    <row r="662">
      <c r="A662">
        <f>Skills!A2</f>
        <v/>
      </c>
      <c r="B662">
        <f>Skills!B2</f>
        <v/>
      </c>
      <c r="C662">
        <f>Inputs!$B$3&gt;=100</f>
        <v/>
      </c>
      <c r="D662" t="inlineStr"/>
      <c r="E662" t="inlineStr"/>
      <c r="F662">
        <f>U666+Skills!O2</f>
        <v/>
      </c>
      <c r="G662">
        <f>Calc!G2</f>
        <v/>
      </c>
      <c r="H662">
        <f>Calc!H2</f>
        <v/>
      </c>
      <c r="I662">
        <f>IF(Skills!AA2&lt;&gt;"",1+(Skills!AA2/10)*(U663/1000)/100,1)</f>
        <v/>
      </c>
      <c r="J662">
        <f>((Inputs!$B$6*(1+Inputs!$B$7/100))+(((Inputs!$B$12*(1+Inputs!$B$13/100))-(Inputs!$B$12*(1+Inputs!$B$13/100)))+0.25*(Inputs!$B$14-Inputs!$B$14))*(1+Inputs!$B$7/100))*(F662/100)</f>
        <v/>
      </c>
      <c r="K662">
        <f>J662*(1+((Inputs!$B$12*(1+Inputs!$B$13/100))*0.01+Inputs!$B$14*0.0025)/100)*(1+Inputs!$B$15/100)*(1+Inputs!$B$16/100)*(5000/(6000+Inputs!$B$43*(1-(100*(1-(1-(Inputs!$B$19+0)/100)*(1-CHOOSE(ArtifactsInput!$N$40+1,5,6,7,8,9,10)/100)^(ArtifactsInput!$M$40-ArtifactsInput!$M$40)))/100)))*(1+(Inputs!$B$24+((C690=TRUE)*(F690-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2="SHOWDOWN",Inputs!$B$17+((C683=TRUE)*(F683-Calc!F23))+(((IF(AND(ArtifactsInput!$M$42,((Inputs!$B$9+((C685=TRUE)*(F685-Calc!F25))+B700+(ArtifactsInput!$M$24-ArtifactsInput!$M$24)*CHOOSE(ArtifactsInput!$N$24+1,10,12,14,16,18,20)+IF(ArtifactsInput!$M$10,CHOOSE(ArtifactsInput!$N$10+1,15,18,21,24,27,30)*(IF(Inputs!$B$39="pvp",MIN(15,15)/15,IF(AND(Inputs!$B$39&lt;&gt;"pvp",Inputs!$B$44&gt;0),MIN(15,Inputs!$B$44)/(Inputs!$B$44),0))),0)))&gt;=100),MIN(100,((Inputs!$B$9+((C685=TRUE)*(F685-Calc!F25))+B700+(ArtifactsInput!$M$24-ArtifactsInput!$M$24)*CHOOSE(ArtifactsInput!$N$24+1,10,12,14,16,18,20)+IF(ArtifactsInput!$M$10,CHOOSE(ArtifactsInput!$N$10+1,15,18,21,24,27,30)*(IF(Inputs!$B$39="pvp",MIN(15,15)/15,IF(AND(Inputs!$B$39&lt;&gt;"pvp",Inputs!$B$44&gt;0),MIN(15,Inputs!$B$44)/(Inputs!$B$44),0))),0)))-100),0))*CHOOSE(ArtifactsInput!$N$42+1,0.6,0.72,0.84,0.96,1.08,1.2))),Inputs!$B$18+((C689=TRUE)*(F689-Calc!F29))+(IF(AND(ArtifactsInput!$M$42,((Inputs!$B$9+((C685=TRUE)*(F685-Calc!F25))+B700+(ArtifactsInput!$M$24-ArtifactsInput!$M$24)*CHOOSE(ArtifactsInput!$N$24+1,10,12,14,16,18,20)+IF(ArtifactsInput!$M$10,CHOOSE(ArtifactsInput!$N$10+1,15,18,21,24,27,30)*(IF(Inputs!$B$39="pvp",MIN(15,15)/15,IF(AND(Inputs!$B$39&lt;&gt;"pvp",Inputs!$B$44&gt;0),MIN(15,Inputs!$B$44)/(Inputs!$B$44),0))),0)))&gt;=100),CHOOSE(ArtifactsInput!$N$42+1,40,48,56,64,72,80),0))))/100)*(((1+(((C681=TRUE)*F681*IF(AND(Inputs!$B$39&lt;&gt;"pvp",Inputs!$B$44&gt;0),(((R681-1)*(Skills!Y21*(1+Inputs!$B$34/100))+MIN((Skills!Y21*(1+Inputs!$B$34/100)),MAX(0,Inputs!$B$44-((R681-1)*Skills!D21))))/Inputs!$B$44),IF(Inputs!$B$39="pvp",MIN((Skills!Y21*(1+Inputs!$B$34/100)),15)/15,(Skills!Y21*(1+Inputs!$B$34/100))/Skills!D21)))+((C688=TRUE)*(F688-Calc!F28))+((C678=TRUE)*(F678-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675=TRUE)*F675*IF(AND(Inputs!$B$39&lt;&gt;"pvp",Inputs!$B$44&gt;0),(((R675-1)*(Skills!Y15*(1+Inputs!$B$34/100))+MIN((Skills!Y15*(1+Inputs!$B$34/100)),MAX(0,Inputs!$B$44-((R675-1)*Skills!D15))))/Inputs!$B$44),IF(Inputs!$B$39="pvp",MIN((Skills!Y15*(1+Inputs!$B$34/100)),15)/15,(Skills!Y15*(1+Inputs!$B$34/100))/Skills!D15)))/100)*(1+((C666=TRUE)*F666*B694)/100))*B702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662)</f>
        <v/>
      </c>
      <c r="L662">
        <f>K662*(MIN(Inputs!$B$22+((C684=TRUE)*(F684-Calc!F24)),(Inputs!$B$23+0+(IF(ArtifactsInput!$M$15,CHOOSE(ArtifactsInput!$N$15+1,25,30,35,40,45,50)/100*(((1-(1-Inputs!$B$11/150)*(1-1/150))*150)-Inputs!$B$11),0))))/100+(Inputs!$B$23+0+(IF(ArtifactsInput!$M$15,CHOOSE(ArtifactsInput!$N$15+1,25,30,35,40,45,50)/100*(((1-(1-Inputs!$B$11/150)*(1-1/150))*150)-Inputs!$B$11),0)))/100)/2</f>
        <v/>
      </c>
      <c r="M662">
        <f>L662*(1+(Inputs!$B$10+((C686=TRUE)*(F686-Calc!F26))+B703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62">
        <f>L662*(1-MIN((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662*(MIN((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62">
        <f>(1-Summary!$B$11)*T662+Summary!$B$11*V662</f>
        <v/>
      </c>
      <c r="P662">
        <f>IF(B704=0,0,O662/B704)</f>
        <v/>
      </c>
      <c r="Q662" t="n">
        <v>0</v>
      </c>
      <c r="R662" t="n">
        <v>0</v>
      </c>
      <c r="S662">
        <f>IFERROR(O662/N662,0)</f>
        <v/>
      </c>
      <c r="T662">
        <f>IF(C662,(Skills!G2*N662*B698)*IF(Inputs!$B$39="pvp",1,1+(Inputs!$B$20+((C687=TRUE)*(F687-Calc!F27))+Skills!P2+B701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Hunt"),CHOOSE(ArtifactsInput!$N$35+1,15,18,21,24,27,30)*(1-EXP(-(0.2*B696)*5)),0)+IF(AND(ArtifactsInput!$M$22,Inputs!$B$4&lt;&gt;"Chapter Hunt"),CHOOSE(ArtifactsInput!$N$22+1,10,12,14,16,18,20)*((0*(((0.15*B696*5))^0/1)+1*(((0.15*B696*5))^1/1)+2*(((0.15*B696*5))^2/2)+3*(((0.15*B696*5))^3/6)+4*(((0.15*B696*5))^4/24)+5*(((0.15*B696*5))^5/120))/((((0.15*B696*5))^0/1)+(((0.15*B696*5))^1/1)+(((0.15*B696*5))^2/2)+(((0.15*B696*5))^3/6)+(((0.15*B696*5))^4/24)+(((0.15*B696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662*(1-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662*(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662*(1-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662*(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62">
        <f>MAX(0,(Inputs!$B$3-100)*3)+Inputs!$B$28+Inputs!$B$29</f>
        <v/>
      </c>
      <c r="V662">
        <f>IF(C662,(Skills!G2*N662*B698)*IF(Inputs!$B$39="pvp",1,(1+(Inputs!$B$21+Skills!Q2+B701+(IF(ArtifactsInput!$M$33,CHOOSE(ArtifactsInput!$N$33+1,30,36,42,48,54,60),0))+(IF(AND(ArtifactsInput!$M$35,Inputs!$B$4&lt;&gt;"Chapter Hunt"),CHOOSE(ArtifactsInput!$N$35+1,15,18,21,24,27,30)*(1-EXP(-(0.2*B696)*5)),0)+IF(AND(ArtifactsInput!$M$22,Inputs!$B$4&lt;&gt;"Chapter Hunt"),CHOOSE(ArtifactsInput!$N$22+1,10,12,14,16,18,20)*((0*(((0.15*B696*5))^0/1)+1*(((0.15*B696*5))^1/1)+2*(((0.15*B696*5))^2/2)+3*(((0.15*B696*5))^3/6)+4*(((0.15*B696*5))^4/24)+5*(((0.15*B696*5))^5/120))/((((0.15*B696*5))^0/1)+(((0.15*B696*5))^1/1)+(((0.15*B696*5))^2/2)+(((0.15*B696*5))^3/6)+(((0.15*B696*5))^4/24)+(((0.15*B696*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63">
      <c r="A663">
        <f>Skills!A3</f>
        <v/>
      </c>
      <c r="B663">
        <f>Skills!B3</f>
        <v/>
      </c>
      <c r="C663">
        <f>Inputs!$B$3&gt;=35</f>
        <v/>
      </c>
      <c r="D663">
        <f>IF(Skills!C3=1,60+Inputs!$B$25+Inputs!$B$29,IF(Skills!C3=2,90+Inputs!$B$26+Inputs!$B$29,IF(Skills!C3=3,120+Inputs!$B$27+Inputs!$B$29,MAX(0,(Inputs!$B$3-100)*3)+Inputs!$B$28+Inputs!$B$29)))</f>
        <v/>
      </c>
      <c r="E663">
        <f>INDEX(FactorTable!$B$2:$Y$301, MATCH(ROUND(MIN(300,MAX(1,D663)),0), FactorTable!$A$2:$A$301,0), Skills!M3+1)</f>
        <v/>
      </c>
      <c r="F663">
        <f>IF(Skills!N3=TRUE,(Skills!L3/10)*(E663/1000),Skills!L3/10)+Skills!O3</f>
        <v/>
      </c>
      <c r="G663">
        <f>Calc!G3</f>
        <v/>
      </c>
      <c r="H663">
        <f>Calc!H3</f>
        <v/>
      </c>
      <c r="I663">
        <f>IF(Skills!AA3&lt;&gt;"",1+(Skills!AA3/10)*(U663/1000)/100,1)</f>
        <v/>
      </c>
      <c r="J663">
        <f>((Inputs!$B$6*(1+Inputs!$B$7/100))+(((Inputs!$B$12*(1+Inputs!$B$13/100))-(Inputs!$B$12*(1+Inputs!$B$13/100)))+0.25*(Inputs!$B$14-Inputs!$B$14))*(1+Inputs!$B$7/100))*(F663/100)</f>
        <v/>
      </c>
      <c r="K663">
        <f>J663*(1+((Inputs!$B$12*(1+Inputs!$B$13/100))*0.01+Inputs!$B$14*0.0025)/100)*(1+Inputs!$B$15/100)*(1+Inputs!$B$16/100)*(5000/(6000+Inputs!$B$43*(1-(100*(1-(1-(Inputs!$B$19+0)/100)*(1-CHOOSE(ArtifactsInput!$N$40+1,5,6,7,8,9,10)/100)^(ArtifactsInput!$M$40-ArtifactsInput!$M$40)))/100)))*(1+(Inputs!$B$24+((C690=TRUE)*(F690-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3="SHOWDOWN",Inputs!$B$17+((C683=TRUE)*(F683-Calc!F23))+(((IF(AND(ArtifactsInput!$M$42,((Inputs!$B$9+((C685=TRUE)*(F685-Calc!F25))+B700+(ArtifactsInput!$M$24-ArtifactsInput!$M$24)*CHOOSE(ArtifactsInput!$N$24+1,10,12,14,16,18,20)+IF(ArtifactsInput!$M$10,CHOOSE(ArtifactsInput!$N$10+1,15,18,21,24,27,30)*(IF(Inputs!$B$39="pvp",MIN(15,15)/15,IF(AND(Inputs!$B$39&lt;&gt;"pvp",Inputs!$B$44&gt;0),MIN(15,Inputs!$B$44)/(Inputs!$B$44),0))),0)))&gt;=100),MIN(100,((Inputs!$B$9+((C685=TRUE)*(F685-Calc!F25))+B700+(ArtifactsInput!$M$24-ArtifactsInput!$M$24)*CHOOSE(ArtifactsInput!$N$24+1,10,12,14,16,18,20)+IF(ArtifactsInput!$M$10,CHOOSE(ArtifactsInput!$N$10+1,15,18,21,24,27,30)*(IF(Inputs!$B$39="pvp",MIN(15,15)/15,IF(AND(Inputs!$B$39&lt;&gt;"pvp",Inputs!$B$44&gt;0),MIN(15,Inputs!$B$44)/(Inputs!$B$44),0))),0)))-100),0))*CHOOSE(ArtifactsInput!$N$42+1,0.6,0.72,0.84,0.96,1.08,1.2))),Inputs!$B$18+((C689=TRUE)*(F689-Calc!F29))+(IF(AND(ArtifactsInput!$M$42,((Inputs!$B$9+((C685=TRUE)*(F685-Calc!F25))+B700+(ArtifactsInput!$M$24-ArtifactsInput!$M$24)*CHOOSE(ArtifactsInput!$N$24+1,10,12,14,16,18,20)+IF(ArtifactsInput!$M$10,CHOOSE(ArtifactsInput!$N$10+1,15,18,21,24,27,30)*(IF(Inputs!$B$39="pvp",MIN(15,15)/15,IF(AND(Inputs!$B$39&lt;&gt;"pvp",Inputs!$B$44&gt;0),MIN(15,Inputs!$B$44)/(Inputs!$B$44),0))),0)))&gt;=100),CHOOSE(ArtifactsInput!$N$42+1,40,48,56,64,72,80),0))))/100)*(((1+(((C681=TRUE)*F681*IF(AND(Inputs!$B$39&lt;&gt;"pvp",Inputs!$B$44&gt;0),(((R681-1)*(Skills!Y21*(1+Inputs!$B$34/100))+MIN((Skills!Y21*(1+Inputs!$B$34/100)),MAX(0,Inputs!$B$44-((R681-1)*Skills!D21))))/Inputs!$B$44),IF(Inputs!$B$39="pvp",MIN((Skills!Y21*(1+Inputs!$B$34/100)),15)/15,(Skills!Y21*(1+Inputs!$B$34/100))/Skills!D21)))+((C688=TRUE)*(F688-Calc!F28))+((C678=TRUE)*(F678-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675=TRUE)*F675*IF(AND(Inputs!$B$39&lt;&gt;"pvp",Inputs!$B$44&gt;0),(((R675-1)*(Skills!Y15*(1+Inputs!$B$34/100))+MIN((Skills!Y15*(1+Inputs!$B$34/100)),MAX(0,Inputs!$B$44-((R675-1)*Skills!D15))))/Inputs!$B$44),IF(Inputs!$B$39="pvp",MIN((Skills!Y15*(1+Inputs!$B$34/100)),15)/15,(Skills!Y15*(1+Inputs!$B$34/100))/Skills!D15)))/100)*(1+((C666=TRUE)*F666*B694)/100))*B702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663)</f>
        <v/>
      </c>
      <c r="L663">
        <f>K663*(MIN(Inputs!$B$22+((C684=TRUE)*(F684-Calc!F24)),(Inputs!$B$23+0+(IF(ArtifactsInput!$M$15,CHOOSE(ArtifactsInput!$N$15+1,25,30,35,40,45,50)/100*(((1-(1-Inputs!$B$11/150)*(1-1/150))*150)-Inputs!$B$11),0))))/100+(Inputs!$B$23+0+(IF(ArtifactsInput!$M$15,CHOOSE(ArtifactsInput!$N$15+1,25,30,35,40,45,50)/100*(((1-(1-Inputs!$B$11/150)*(1-1/150))*150)-Inputs!$B$11),0)))/100)/2</f>
        <v/>
      </c>
      <c r="M663">
        <f>L663*(1+(Inputs!$B$10+((C686=TRUE)*(F686-Calc!F26))+B703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63">
        <f>L663*(1-MIN((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663*(MIN((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63">
        <f>(1-Summary!$B$11)*T663+Summary!$B$11*V663</f>
        <v/>
      </c>
      <c r="P663">
        <f>IF(B704=0,0,O663/B704)</f>
        <v/>
      </c>
      <c r="Q663">
        <f>IFERROR(1/IF(Inputs!$B$39="pvp",15,MAX(0.1,Skills!D3-IF(Skills!E3=TRUE,Inputs!$B$32,0))),0)</f>
        <v/>
      </c>
      <c r="R663">
        <f>IF(AND(Inputs!$B$39&lt;&gt;"pvp",Inputs!$B$44&gt;0),IF(MAX(0,Inputs!$B$44-B705)&lt;=0,0,(INT(MAX(0,Inputs!$B$44-B705)/IF(Inputs!$B$39="pvp",15,MAX(0.1,Skills!D3-IF(Skills!E3=TRUE,Inputs!$B$32,0))))+1)),0)</f>
        <v/>
      </c>
      <c r="S663">
        <f>IFERROR(O663/N663,0)</f>
        <v/>
      </c>
      <c r="T663">
        <f>IF(C663,(H663*N663*IF(AND(Inputs!$B$39&lt;&gt;"pvp",Inputs!$B$44&gt;0),((Skills!G3*((R663-1)*IF(Skills!H3&gt;0,Skills!I3/Skills!H3,1)+IF(Skills!H3&gt;0,MIN(Skills!I3,MAX(0,MAX(0,Inputs!$B$44-B705)-((R663-1)*IF(Inputs!$B$39="pvp",15,MAX(0.1,Skills!D3-IF(Skills!E3=TRUE,Inputs!$B$32,0))))))/Skills!H3,1)))/Inputs!$B$44),G663*Q663))*IF(Inputs!$B$39="pvp",1,1+(Inputs!$B$20+((C687=TRUE)*(F687-Calc!F27))+Skills!P3+B701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Hunt"),CHOOSE(ArtifactsInput!$N$35+1,15,18,21,24,27,30)*(1-EXP(-(0.2*B696)*5)),0)+IF(AND(ArtifactsInput!$M$22,Inputs!$B$4&lt;&gt;"Chapter Hunt"),CHOOSE(ArtifactsInput!$N$22+1,10,12,14,16,18,20)*((0*(((0.15*B696*5))^0/1)+1*(((0.15*B696*5))^1/1)+2*(((0.15*B696*5))^2/2)+3*(((0.15*B696*5))^3/6)+4*(((0.15*B696*5))^4/24)+5*(((0.15*B696*5))^5/120))/((((0.15*B696*5))^0/1)+(((0.15*B696*5))^1/1)+(((0.15*B696*5))^2/2)+(((0.15*B696*5))^3/6)+(((0.15*B696*5))^4/24)+(((0.15*B696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663*(1-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663*(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663*(1-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663*(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63">
        <f>INDEX(FactorTable!$B$2:$Y$301, MATCH(ROUND(MIN(300,MAX(1,U662)),0), FactorTable!$A$2:$A$301,0), 24)</f>
        <v/>
      </c>
      <c r="V663">
        <f>IF(C663,(H663*N663*IF(AND(Inputs!$B$39&lt;&gt;"pvp",Inputs!$B$44&gt;0),((Skills!G3*((R663-1)*IF(Skills!H3&gt;0,Skills!I3/Skills!H3,1)+IF(Skills!H3&gt;0,MIN(Skills!I3,MAX(0,MAX(0,Inputs!$B$44-B705)-((R663-1)*IF(Inputs!$B$39="pvp",15,MAX(0.1,Skills!D3-IF(Skills!E3=TRUE,Inputs!$B$32,0))))))/Skills!H3,1)))/Inputs!$B$44),G663*Q663))*IF(Inputs!$B$39="pvp",1,(1+(Inputs!$B$21+Skills!Q3+B701+(IF(ArtifactsInput!$M$33,CHOOSE(ArtifactsInput!$N$33+1,30,36,42,48,54,60),0))+(IF(AND(ArtifactsInput!$M$35,Inputs!$B$4&lt;&gt;"Chapter Hunt"),CHOOSE(ArtifactsInput!$N$35+1,15,18,21,24,27,30)*(1-EXP(-(0.2*B696)*5)),0)+IF(AND(ArtifactsInput!$M$22,Inputs!$B$4&lt;&gt;"Chapter Hunt"),CHOOSE(ArtifactsInput!$N$22+1,10,12,14,16,18,20)*((0*(((0.15*B696*5))^0/1)+1*(((0.15*B696*5))^1/1)+2*(((0.15*B696*5))^2/2)+3*(((0.15*B696*5))^3/6)+4*(((0.15*B696*5))^4/24)+5*(((0.15*B696*5))^5/120))/((((0.15*B696*5))^0/1)+(((0.15*B696*5))^1/1)+(((0.15*B696*5))^2/2)+(((0.15*B696*5))^3/6)+(((0.15*B696*5))^4/24)+(((0.15*B696*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64">
      <c r="A664">
        <f>Skills!A4</f>
        <v/>
      </c>
      <c r="B664">
        <f>Skills!B4</f>
        <v/>
      </c>
      <c r="C664">
        <f>Inputs!$B$3&gt;=40</f>
        <v/>
      </c>
      <c r="D664">
        <f>IF(Skills!C4=1,60+Inputs!$B$25+Inputs!$B$29,IF(Skills!C4=2,90+Inputs!$B$26+Inputs!$B$29,IF(Skills!C4=3,120+Inputs!$B$27+Inputs!$B$29,MAX(0,(Inputs!$B$3-100)*3)+Inputs!$B$28+Inputs!$B$29)))</f>
        <v/>
      </c>
      <c r="E664">
        <f>INDEX(FactorTable!$B$2:$Y$301, MATCH(ROUND(MIN(300,MAX(1,D664)),0), FactorTable!$A$2:$A$301,0), Skills!M4+1)</f>
        <v/>
      </c>
      <c r="F664">
        <f>IF(Skills!N4=TRUE,(Skills!L4/10)*(E664/1000),Skills!L4/10)+Skills!O4</f>
        <v/>
      </c>
      <c r="G664">
        <f>Calc!G4</f>
        <v/>
      </c>
      <c r="H664">
        <f>Calc!H4</f>
        <v/>
      </c>
      <c r="I664">
        <f>IF(Skills!AA4&lt;&gt;"",1+(Skills!AA4/10)*(U663/1000)/100,1)</f>
        <v/>
      </c>
      <c r="J664">
        <f>((Inputs!$B$6*(1+Inputs!$B$7/100))+(((Inputs!$B$12*(1+Inputs!$B$13/100))-(Inputs!$B$12*(1+Inputs!$B$13/100)))+0.25*(Inputs!$B$14-Inputs!$B$14))*(1+Inputs!$B$7/100))*(F664/100)</f>
        <v/>
      </c>
      <c r="K664">
        <f>J664*(1+((Inputs!$B$12*(1+Inputs!$B$13/100))*0.01+Inputs!$B$14*0.0025)/100)*(1+Inputs!$B$15/100)*(1+Inputs!$B$16/100)*(5000/(6000+Inputs!$B$43*(1-(100*(1-(1-(Inputs!$B$19+0)/100)*(1-CHOOSE(ArtifactsInput!$N$40+1,5,6,7,8,9,10)/100)^(ArtifactsInput!$M$40-ArtifactsInput!$M$40)))/100)))*(1+(Inputs!$B$24+((C690=TRUE)*(F690-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4="SHOWDOWN",Inputs!$B$17+((C683=TRUE)*(F683-Calc!F23))+(((IF(AND(ArtifactsInput!$M$42,((Inputs!$B$9+((C685=TRUE)*(F685-Calc!F25))+B700+(ArtifactsInput!$M$24-ArtifactsInput!$M$24)*CHOOSE(ArtifactsInput!$N$24+1,10,12,14,16,18,20)+IF(ArtifactsInput!$M$10,CHOOSE(ArtifactsInput!$N$10+1,15,18,21,24,27,30)*(IF(Inputs!$B$39="pvp",MIN(15,15)/15,IF(AND(Inputs!$B$39&lt;&gt;"pvp",Inputs!$B$44&gt;0),MIN(15,Inputs!$B$44)/(Inputs!$B$44),0))),0)))&gt;=100),MIN(100,((Inputs!$B$9+((C685=TRUE)*(F685-Calc!F25))+B700+(ArtifactsInput!$M$24-ArtifactsInput!$M$24)*CHOOSE(ArtifactsInput!$N$24+1,10,12,14,16,18,20)+IF(ArtifactsInput!$M$10,CHOOSE(ArtifactsInput!$N$10+1,15,18,21,24,27,30)*(IF(Inputs!$B$39="pvp",MIN(15,15)/15,IF(AND(Inputs!$B$39&lt;&gt;"pvp",Inputs!$B$44&gt;0),MIN(15,Inputs!$B$44)/(Inputs!$B$44),0))),0)))-100),0))*CHOOSE(ArtifactsInput!$N$42+1,0.6,0.72,0.84,0.96,1.08,1.2))),Inputs!$B$18+((C689=TRUE)*(F689-Calc!F29))+(IF(AND(ArtifactsInput!$M$42,((Inputs!$B$9+((C685=TRUE)*(F685-Calc!F25))+B700+(ArtifactsInput!$M$24-ArtifactsInput!$M$24)*CHOOSE(ArtifactsInput!$N$24+1,10,12,14,16,18,20)+IF(ArtifactsInput!$M$10,CHOOSE(ArtifactsInput!$N$10+1,15,18,21,24,27,30)*(IF(Inputs!$B$39="pvp",MIN(15,15)/15,IF(AND(Inputs!$B$39&lt;&gt;"pvp",Inputs!$B$44&gt;0),MIN(15,Inputs!$B$44)/(Inputs!$B$44),0))),0)))&gt;=100),CHOOSE(ArtifactsInput!$N$42+1,40,48,56,64,72,80),0))))/100)*(((1+(((C681=TRUE)*F681*IF(AND(Inputs!$B$39&lt;&gt;"pvp",Inputs!$B$44&gt;0),(((R681-1)*(Skills!Y21*(1+Inputs!$B$34/100))+MIN((Skills!Y21*(1+Inputs!$B$34/100)),MAX(0,Inputs!$B$44-((R681-1)*Skills!D21))))/Inputs!$B$44),IF(Inputs!$B$39="pvp",MIN((Skills!Y21*(1+Inputs!$B$34/100)),15)/15,(Skills!Y21*(1+Inputs!$B$34/100))/Skills!D21)))+((C688=TRUE)*(F688-Calc!F28))+((C678=TRUE)*(F678-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675=TRUE)*F675*IF(AND(Inputs!$B$39&lt;&gt;"pvp",Inputs!$B$44&gt;0),(((R675-1)*(Skills!Y15*(1+Inputs!$B$34/100))+MIN((Skills!Y15*(1+Inputs!$B$34/100)),MAX(0,Inputs!$B$44-((R675-1)*Skills!D15))))/Inputs!$B$44),IF(Inputs!$B$39="pvp",MIN((Skills!Y15*(1+Inputs!$B$34/100)),15)/15,(Skills!Y15*(1+Inputs!$B$34/100))/Skills!D15)))/100)*(1+((C666=TRUE)*F666*B694)/100))*B702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664)</f>
        <v/>
      </c>
      <c r="L664">
        <f>K664*(MIN(Inputs!$B$22+((C684=TRUE)*(F684-Calc!F24)),(Inputs!$B$23+0+(IF(ArtifactsInput!$M$15,CHOOSE(ArtifactsInput!$N$15+1,25,30,35,40,45,50)/100*(((1-(1-Inputs!$B$11/150)*(1-1/150))*150)-Inputs!$B$11),0))))/100+(Inputs!$B$23+0+(IF(ArtifactsInput!$M$15,CHOOSE(ArtifactsInput!$N$15+1,25,30,35,40,45,50)/100*(((1-(1-Inputs!$B$11/150)*(1-1/150))*150)-Inputs!$B$11),0)))/100)/2</f>
        <v/>
      </c>
      <c r="M664">
        <f>L664*(1+(Inputs!$B$10+((C686=TRUE)*(F686-Calc!F26))+B703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64">
        <f>L664*(1-MIN((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664*(MIN((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64">
        <f>(1-Summary!$B$11)*T664+Summary!$B$11*V664</f>
        <v/>
      </c>
      <c r="P664">
        <f>IF(B704=0,0,O664/B704)</f>
        <v/>
      </c>
      <c r="Q664">
        <f>IFERROR(1/IF(Inputs!$B$39="pvp",15,MAX(0.1,Skills!D4-IF(Skills!E4=TRUE,Inputs!$B$32,0))),0)</f>
        <v/>
      </c>
      <c r="R664">
        <f>IF(AND(Inputs!$B$39&lt;&gt;"pvp",Inputs!$B$44&gt;0),IF(MAX(0,Inputs!$B$44-B705)&lt;=0,0,(INT(MAX(0,Inputs!$B$44-B705)/IF(Inputs!$B$39="pvp",15,MAX(0.1,Skills!D4-IF(Skills!E4=TRUE,Inputs!$B$32,0))))+1)),0)</f>
        <v/>
      </c>
      <c r="S664">
        <f>IFERROR(O664/N664,0)</f>
        <v/>
      </c>
      <c r="T664">
        <f>IF(C664,(H664*N664*IF(AND(Inputs!$B$39&lt;&gt;"pvp",Inputs!$B$44&gt;0),((Skills!G4*((R664-1)*IF(Skills!H4&gt;0,Skills!I4/Skills!H4,1)+IF(Skills!H4&gt;0,MIN(Skills!I4,MAX(0,MAX(0,Inputs!$B$44-B705)-((R664-1)*IF(Inputs!$B$39="pvp",15,MAX(0.1,Skills!D4-IF(Skills!E4=TRUE,Inputs!$B$32,0))))))/Skills!H4,1)))/Inputs!$B$44),G664*Q664))*IF(Inputs!$B$39="pvp",1,1+(Inputs!$B$20+((C687=TRUE)*(F687-Calc!F27))+Skills!P4+B701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Hunt"),CHOOSE(ArtifactsInput!$N$35+1,15,18,21,24,27,30)*(1-EXP(-(0.2*B696)*5)),0)+IF(AND(ArtifactsInput!$M$22,Inputs!$B$4&lt;&gt;"Chapter Hunt"),CHOOSE(ArtifactsInput!$N$22+1,10,12,14,16,18,20)*((0*(((0.15*B696*5))^0/1)+1*(((0.15*B696*5))^1/1)+2*(((0.15*B696*5))^2/2)+3*(((0.15*B696*5))^3/6)+4*(((0.15*B696*5))^4/24)+5*(((0.15*B696*5))^5/120))/((((0.15*B696*5))^0/1)+(((0.15*B696*5))^1/1)+(((0.15*B696*5))^2/2)+(((0.15*B696*5))^3/6)+(((0.15*B696*5))^4/24)+(((0.15*B696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664*(1-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664*(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664*(1-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664*(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64">
        <f>MAX(0,(Inputs!$B$3-100)*3)+Inputs!$B$28+Inputs!$B$29</f>
        <v/>
      </c>
      <c r="V664">
        <f>IF(C664,(H664*N664*IF(AND(Inputs!$B$39&lt;&gt;"pvp",Inputs!$B$44&gt;0),((Skills!G4*((R664-1)*IF(Skills!H4&gt;0,Skills!I4/Skills!H4,1)+IF(Skills!H4&gt;0,MIN(Skills!I4,MAX(0,MAX(0,Inputs!$B$44-B705)-((R664-1)*IF(Inputs!$B$39="pvp",15,MAX(0.1,Skills!D4-IF(Skills!E4=TRUE,Inputs!$B$32,0))))))/Skills!H4,1)))/Inputs!$B$44),G664*Q664))*IF(Inputs!$B$39="pvp",1,(1+(Inputs!$B$21+Skills!Q4+B701+(IF(ArtifactsInput!$M$33,CHOOSE(ArtifactsInput!$N$33+1,30,36,42,48,54,60),0))+(IF(AND(ArtifactsInput!$M$35,Inputs!$B$4&lt;&gt;"Chapter Hunt"),CHOOSE(ArtifactsInput!$N$35+1,15,18,21,24,27,30)*(1-EXP(-(0.2*B696)*5)),0)+IF(AND(ArtifactsInput!$M$22,Inputs!$B$4&lt;&gt;"Chapter Hunt"),CHOOSE(ArtifactsInput!$N$22+1,10,12,14,16,18,20)*((0*(((0.15*B696*5))^0/1)+1*(((0.15*B696*5))^1/1)+2*(((0.15*B696*5))^2/2)+3*(((0.15*B696*5))^3/6)+4*(((0.15*B696*5))^4/24)+5*(((0.15*B696*5))^5/120))/((((0.15*B696*5))^0/1)+(((0.15*B696*5))^1/1)+(((0.15*B696*5))^2/2)+(((0.15*B696*5))^3/6)+(((0.15*B696*5))^4/24)+(((0.15*B696*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65">
      <c r="A665">
        <f>Skills!A5</f>
        <v/>
      </c>
      <c r="B665">
        <f>Skills!B5</f>
        <v/>
      </c>
      <c r="C665">
        <f>Inputs!$B$3&gt;=63</f>
        <v/>
      </c>
      <c r="D665">
        <f>IF(Skills!C5=1,60+Inputs!$B$25+Inputs!$B$29,IF(Skills!C5=2,90+Inputs!$B$26+Inputs!$B$29,IF(Skills!C5=3,120+Inputs!$B$27+Inputs!$B$29,MAX(0,(Inputs!$B$3-100)*3)+Inputs!$B$28+Inputs!$B$29)))</f>
        <v/>
      </c>
      <c r="E665">
        <f>INDEX(FactorTable!$B$2:$Y$301, MATCH(ROUND(MIN(300,MAX(1,D665)),0), FactorTable!$A$2:$A$301,0), Skills!M5+1)</f>
        <v/>
      </c>
      <c r="F665">
        <f>IF(Skills!N5=TRUE,(Skills!L5/10)*(E665/1000),Skills!L5/10)+Skills!O5</f>
        <v/>
      </c>
      <c r="G665">
        <f>Calc!G5</f>
        <v/>
      </c>
      <c r="H665">
        <f>Calc!H5</f>
        <v/>
      </c>
      <c r="I665">
        <f>IF(Skills!AA5&lt;&gt;"",1+(Skills!AA5/10)*(U663/1000)/100,1)</f>
        <v/>
      </c>
      <c r="J665">
        <f>((Inputs!$B$6*(1+Inputs!$B$7/100))+(((Inputs!$B$12*(1+Inputs!$B$13/100))-(Inputs!$B$12*(1+Inputs!$B$13/100)))+0.25*(Inputs!$B$14-Inputs!$B$14))*(1+Inputs!$B$7/100))*(F665/100)</f>
        <v/>
      </c>
      <c r="K665">
        <f>J665*(1+((Inputs!$B$12*(1+Inputs!$B$13/100))*0.01+Inputs!$B$14*0.0025)/100)*(1+Inputs!$B$15/100)*(1+Inputs!$B$16/100)*(5000/(6000+Inputs!$B$43*(1-(100*(1-(1-(Inputs!$B$19+0)/100)*(1-CHOOSE(ArtifactsInput!$N$40+1,5,6,7,8,9,10)/100)^(ArtifactsInput!$M$40-ArtifactsInput!$M$40)))/100)))*(1+(Inputs!$B$24+((C690=TRUE)*(F690-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5="SHOWDOWN",Inputs!$B$17+((C683=TRUE)*(F683-Calc!F23))+(((IF(AND(ArtifactsInput!$M$42,((Inputs!$B$9+((C685=TRUE)*(F685-Calc!F25))+B700+(ArtifactsInput!$M$24-ArtifactsInput!$M$24)*CHOOSE(ArtifactsInput!$N$24+1,10,12,14,16,18,20)+IF(ArtifactsInput!$M$10,CHOOSE(ArtifactsInput!$N$10+1,15,18,21,24,27,30)*(IF(Inputs!$B$39="pvp",MIN(15,15)/15,IF(AND(Inputs!$B$39&lt;&gt;"pvp",Inputs!$B$44&gt;0),MIN(15,Inputs!$B$44)/(Inputs!$B$44),0))),0)))&gt;=100),MIN(100,((Inputs!$B$9+((C685=TRUE)*(F685-Calc!F25))+B700+(ArtifactsInput!$M$24-ArtifactsInput!$M$24)*CHOOSE(ArtifactsInput!$N$24+1,10,12,14,16,18,20)+IF(ArtifactsInput!$M$10,CHOOSE(ArtifactsInput!$N$10+1,15,18,21,24,27,30)*(IF(Inputs!$B$39="pvp",MIN(15,15)/15,IF(AND(Inputs!$B$39&lt;&gt;"pvp",Inputs!$B$44&gt;0),MIN(15,Inputs!$B$44)/(Inputs!$B$44),0))),0)))-100),0))*CHOOSE(ArtifactsInput!$N$42+1,0.6,0.72,0.84,0.96,1.08,1.2))),Inputs!$B$18+((C689=TRUE)*(F689-Calc!F29))+(IF(AND(ArtifactsInput!$M$42,((Inputs!$B$9+((C685=TRUE)*(F685-Calc!F25))+B700+(ArtifactsInput!$M$24-ArtifactsInput!$M$24)*CHOOSE(ArtifactsInput!$N$24+1,10,12,14,16,18,20)+IF(ArtifactsInput!$M$10,CHOOSE(ArtifactsInput!$N$10+1,15,18,21,24,27,30)*(IF(Inputs!$B$39="pvp",MIN(15,15)/15,IF(AND(Inputs!$B$39&lt;&gt;"pvp",Inputs!$B$44&gt;0),MIN(15,Inputs!$B$44)/(Inputs!$B$44),0))),0)))&gt;=100),CHOOSE(ArtifactsInput!$N$42+1,40,48,56,64,72,80),0))))/100)*(((1+(((C681=TRUE)*F681*IF(AND(Inputs!$B$39&lt;&gt;"pvp",Inputs!$B$44&gt;0),(((R681-1)*(Skills!Y21*(1+Inputs!$B$34/100))+MIN((Skills!Y21*(1+Inputs!$B$34/100)),MAX(0,Inputs!$B$44-((R681-1)*Skills!D21))))/Inputs!$B$44),IF(Inputs!$B$39="pvp",MIN((Skills!Y21*(1+Inputs!$B$34/100)),15)/15,(Skills!Y21*(1+Inputs!$B$34/100))/Skills!D21)))+((C688=TRUE)*(F688-Calc!F28))+((C678=TRUE)*(F678-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675=TRUE)*F675*IF(AND(Inputs!$B$39&lt;&gt;"pvp",Inputs!$B$44&gt;0),(((R675-1)*(Skills!Y15*(1+Inputs!$B$34/100))+MIN((Skills!Y15*(1+Inputs!$B$34/100)),MAX(0,Inputs!$B$44-((R675-1)*Skills!D15))))/Inputs!$B$44),IF(Inputs!$B$39="pvp",MIN((Skills!Y15*(1+Inputs!$B$34/100)),15)/15,(Skills!Y15*(1+Inputs!$B$34/100))/Skills!D15)))/100)*(1+((C666=TRUE)*F666*B694)/100))*B702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665)</f>
        <v/>
      </c>
      <c r="L665">
        <f>K665*(MIN(Inputs!$B$22+((C684=TRUE)*(F684-Calc!F24)),(Inputs!$B$23+0+(IF(ArtifactsInput!$M$15,CHOOSE(ArtifactsInput!$N$15+1,25,30,35,40,45,50)/100*(((1-(1-Inputs!$B$11/150)*(1-1/150))*150)-Inputs!$B$11),0))))/100+(Inputs!$B$23+0+(IF(ArtifactsInput!$M$15,CHOOSE(ArtifactsInput!$N$15+1,25,30,35,40,45,50)/100*(((1-(1-Inputs!$B$11/150)*(1-1/150))*150)-Inputs!$B$11),0)))/100)/2</f>
        <v/>
      </c>
      <c r="M665">
        <f>L665*(1+(Inputs!$B$10+((C686=TRUE)*(F686-Calc!F26))+B703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65">
        <f>L665*(1-MIN((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665*(MIN((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65">
        <f>(1-Summary!$B$11)*T665+Summary!$B$11*V665</f>
        <v/>
      </c>
      <c r="P665">
        <f>IF(B704=0,0,O665/B704)</f>
        <v/>
      </c>
      <c r="Q665">
        <f>IFERROR(1/IF(Inputs!$B$39="pvp",15,MAX(0.1,Skills!D5-IF(Skills!E5=TRUE,Inputs!$B$32,0))),0)</f>
        <v/>
      </c>
      <c r="R665">
        <f>IF(AND(Inputs!$B$39&lt;&gt;"pvp",Inputs!$B$44&gt;0),IF(MAX(0,Inputs!$B$44-B705)&lt;=0,0,(INT(MAX(0,Inputs!$B$44-B705)/IF(Inputs!$B$39="pvp",15,MAX(0.1,Skills!D5-IF(Skills!E5=TRUE,Inputs!$B$32,0))))+1)),0)</f>
        <v/>
      </c>
      <c r="S665">
        <f>IFERROR(O665/N665,0)</f>
        <v/>
      </c>
      <c r="T665">
        <f>IF(C665,(H665*N665*IF(AND(Inputs!$B$39&lt;&gt;"pvp",Inputs!$B$44&gt;0),((Skills!G5*((R665-1)*IF(Skills!H5&gt;0,Skills!I5/Skills!H5,1)+IF(Skills!H5&gt;0,MIN(Skills!I5,MAX(0,MAX(0,Inputs!$B$44-B705)-((R665-1)*IF(Inputs!$B$39="pvp",15,MAX(0.1,Skills!D5-IF(Skills!E5=TRUE,Inputs!$B$32,0))))))/Skills!H5,1)))/Inputs!$B$44),G665*Q665))*IF(Inputs!$B$39="pvp",1,1+(Inputs!$B$20+((C687=TRUE)*(F687-Calc!F27))+Skills!P5+B701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Hunt"),CHOOSE(ArtifactsInput!$N$35+1,15,18,21,24,27,30)*(1-EXP(-(0.2*B696)*5)),0)+IF(AND(ArtifactsInput!$M$22,Inputs!$B$4&lt;&gt;"Chapter Hunt"),CHOOSE(ArtifactsInput!$N$22+1,10,12,14,16,18,20)*((0*(((0.15*B696*5))^0/1)+1*(((0.15*B696*5))^1/1)+2*(((0.15*B696*5))^2/2)+3*(((0.15*B696*5))^3/6)+4*(((0.15*B696*5))^4/24)+5*(((0.15*B696*5))^5/120))/((((0.15*B696*5))^0/1)+(((0.15*B696*5))^1/1)+(((0.15*B696*5))^2/2)+(((0.15*B696*5))^3/6)+(((0.15*B696*5))^4/24)+(((0.15*B696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665*(1-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665*(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665*(1-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665*(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65">
        <f>INDEX(FactorTable!$B$2:$Y$301, MATCH(ROUND(MIN(300,MAX(1,U664)),0), FactorTable!$A$2:$A$301,0), 22)</f>
        <v/>
      </c>
      <c r="V665">
        <f>IF(C665,(H665*N665*IF(AND(Inputs!$B$39&lt;&gt;"pvp",Inputs!$B$44&gt;0),((Skills!G5*((R665-1)*IF(Skills!H5&gt;0,Skills!I5/Skills!H5,1)+IF(Skills!H5&gt;0,MIN(Skills!I5,MAX(0,MAX(0,Inputs!$B$44-B705)-((R665-1)*IF(Inputs!$B$39="pvp",15,MAX(0.1,Skills!D5-IF(Skills!E5=TRUE,Inputs!$B$32,0))))))/Skills!H5,1)))/Inputs!$B$44),G665*Q665))*IF(Inputs!$B$39="pvp",1,(1+(Inputs!$B$21+Skills!Q5+B701+(IF(ArtifactsInput!$M$33,CHOOSE(ArtifactsInput!$N$33+1,30,36,42,48,54,60),0))+(IF(AND(ArtifactsInput!$M$35,Inputs!$B$4&lt;&gt;"Chapter Hunt"),CHOOSE(ArtifactsInput!$N$35+1,15,18,21,24,27,30)*(1-EXP(-(0.2*B696)*5)),0)+IF(AND(ArtifactsInput!$M$22,Inputs!$B$4&lt;&gt;"Chapter Hunt"),CHOOSE(ArtifactsInput!$N$22+1,10,12,14,16,18,20)*((0*(((0.15*B696*5))^0/1)+1*(((0.15*B696*5))^1/1)+2*(((0.15*B696*5))^2/2)+3*(((0.15*B696*5))^3/6)+4*(((0.15*B696*5))^4/24)+5*(((0.15*B696*5))^5/120))/((((0.15*B696*5))^0/1)+(((0.15*B696*5))^1/1)+(((0.15*B696*5))^2/2)+(((0.15*B696*5))^3/6)+(((0.15*B696*5))^4/24)+(((0.15*B696*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66">
      <c r="A666">
        <f>Skills!A6</f>
        <v/>
      </c>
      <c r="B666">
        <f>Skills!B6</f>
        <v/>
      </c>
      <c r="C666">
        <f>Inputs!$B$3&gt;=66</f>
        <v/>
      </c>
      <c r="D666">
        <f>IF(Skills!C6=1,60+Inputs!$B$25+Inputs!$B$29,IF(Skills!C6=2,90+Inputs!$B$26+Inputs!$B$29,IF(Skills!C6=3,120+Inputs!$B$27+Inputs!$B$29,MAX(0,(Inputs!$B$3-100)*3)+Inputs!$B$28+Inputs!$B$29)))</f>
        <v/>
      </c>
      <c r="E666">
        <f>INDEX(FactorTable!$B$2:$Y$301, MATCH(ROUND(MIN(300,MAX(1,D666)),0), FactorTable!$A$2:$A$301,0), Skills!M6+1)</f>
        <v/>
      </c>
      <c r="F666">
        <f>IF(Skills!N6=TRUE,(Skills!L6/10)*(E666/1000),Skills!L6/10)+Skills!O6</f>
        <v/>
      </c>
      <c r="G666">
        <f>Calc!G6</f>
        <v/>
      </c>
      <c r="H666">
        <f>Calc!H6</f>
        <v/>
      </c>
      <c r="I666">
        <f>IF(Skills!AA6&lt;&gt;"",1+(Skills!AA6/10)*(U663/1000)/100,1)</f>
        <v/>
      </c>
      <c r="J666" t="inlineStr"/>
      <c r="K666" t="inlineStr"/>
      <c r="L666" t="inlineStr"/>
      <c r="M666" t="inlineStr"/>
      <c r="N666" t="inlineStr"/>
      <c r="O666">
        <f>(1-Summary!$B$11)*T666+Summary!$B$11*V666</f>
        <v/>
      </c>
      <c r="P666">
        <f>IF(B704=0,0,O666/B704)</f>
        <v/>
      </c>
      <c r="Q666" t="n">
        <v>0</v>
      </c>
      <c r="R666" t="n">
        <v>0</v>
      </c>
      <c r="S666">
        <f>IFERROR(O666/N666,0)</f>
        <v/>
      </c>
      <c r="T666" t="n">
        <v>0</v>
      </c>
      <c r="U666">
        <f>290*U665/1000</f>
        <v/>
      </c>
      <c r="V666" t="n">
        <v>0</v>
      </c>
    </row>
    <row r="667">
      <c r="A667">
        <f>Skills!A7</f>
        <v/>
      </c>
      <c r="B667">
        <f>Skills!B7</f>
        <v/>
      </c>
      <c r="C667">
        <f>Inputs!$B$3&gt;=66</f>
        <v/>
      </c>
      <c r="D667">
        <f>IF(Skills!C7=1,60+Inputs!$B$25+Inputs!$B$29,IF(Skills!C7=2,90+Inputs!$B$26+Inputs!$B$29,IF(Skills!C7=3,120+Inputs!$B$27+Inputs!$B$29,MAX(0,(Inputs!$B$3-100)*3)+Inputs!$B$28+Inputs!$B$29)))</f>
        <v/>
      </c>
      <c r="E667">
        <f>INDEX(FactorTable!$B$2:$Y$301, MATCH(ROUND(MIN(300,MAX(1,D667)),0), FactorTable!$A$2:$A$301,0), Skills!M7+1)</f>
        <v/>
      </c>
      <c r="F667">
        <f>IF(Skills!N7=TRUE,(Skills!L7/10)*(E667/1000),Skills!L7/10)+Skills!O7</f>
        <v/>
      </c>
      <c r="G667">
        <f>Calc!G7</f>
        <v/>
      </c>
      <c r="H667">
        <f>Calc!H7</f>
        <v/>
      </c>
      <c r="I667">
        <f>IF(Skills!AA7&lt;&gt;"",1+(Skills!AA7/10)*(U663/1000)/100,1)</f>
        <v/>
      </c>
      <c r="J667" t="inlineStr"/>
      <c r="K667" t="inlineStr"/>
      <c r="L667" t="inlineStr"/>
      <c r="M667" t="inlineStr"/>
      <c r="N667" t="inlineStr"/>
      <c r="O667">
        <f>(1-Summary!$B$11)*T667+Summary!$B$11*V667</f>
        <v/>
      </c>
      <c r="P667">
        <f>IF(B704=0,0,O667/B704)</f>
        <v/>
      </c>
      <c r="Q667" t="n">
        <v>0</v>
      </c>
      <c r="R667" t="n">
        <v>0</v>
      </c>
      <c r="S667">
        <f>IFERROR(O667/N667,0)</f>
        <v/>
      </c>
      <c r="T667" t="n">
        <v>0</v>
      </c>
      <c r="V667" t="n">
        <v>0</v>
      </c>
    </row>
    <row r="668">
      <c r="A668">
        <f>Skills!A8</f>
        <v/>
      </c>
      <c r="B668">
        <f>Skills!B8</f>
        <v/>
      </c>
      <c r="C668">
        <f>Inputs!$B$3&gt;=69</f>
        <v/>
      </c>
      <c r="D668">
        <f>IF(Skills!C8=1,60+Inputs!$B$25+Inputs!$B$29,IF(Skills!C8=2,90+Inputs!$B$26+Inputs!$B$29,IF(Skills!C8=3,120+Inputs!$B$27+Inputs!$B$29,MAX(0,(Inputs!$B$3-100)*3)+Inputs!$B$28+Inputs!$B$29)))</f>
        <v/>
      </c>
      <c r="E668">
        <f>INDEX(FactorTable!$B$2:$Y$301, MATCH(ROUND(MIN(300,MAX(1,D668)),0), FactorTable!$A$2:$A$301,0), Skills!M8+1)</f>
        <v/>
      </c>
      <c r="F668">
        <f>IF(Skills!N8=TRUE,(Skills!L8/10)*(E668/1000),Skills!L8/10)+Skills!O8</f>
        <v/>
      </c>
      <c r="G668">
        <f>Calc!G8</f>
        <v/>
      </c>
      <c r="H668">
        <f>Calc!H8</f>
        <v/>
      </c>
      <c r="I668">
        <f>IF(Skills!AA8&lt;&gt;"",1+(Skills!AA8/10)*(U663/1000)/100,1)</f>
        <v/>
      </c>
      <c r="J668">
        <f>((Inputs!$B$6*(1+Inputs!$B$7/100))+(((Inputs!$B$12*(1+Inputs!$B$13/100))-(Inputs!$B$12*(1+Inputs!$B$13/100)))+0.25*(Inputs!$B$14-Inputs!$B$14))*(1+Inputs!$B$7/100))*(F668/100)</f>
        <v/>
      </c>
      <c r="K668">
        <f>J668*(1+((Inputs!$B$12*(1+Inputs!$B$13/100))*0.01+Inputs!$B$14*0.0025)/100)*(1+Inputs!$B$15/100)*(1+Inputs!$B$16/100)*(5000/(6000+Inputs!$B$43*(1-(100*(1-(1-(Inputs!$B$19+0)/100)*(1-CHOOSE(ArtifactsInput!$N$40+1,5,6,7,8,9,10)/100)^(ArtifactsInput!$M$40-ArtifactsInput!$M$40)))/100)))*(1+(Inputs!$B$24+((C690=TRUE)*(F690-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8="SHOWDOWN",Inputs!$B$17+((C683=TRUE)*(F683-Calc!F23))+(((IF(AND(ArtifactsInput!$M$42,((Inputs!$B$9+((C685=TRUE)*(F685-Calc!F25))+B700+(ArtifactsInput!$M$24-ArtifactsInput!$M$24)*CHOOSE(ArtifactsInput!$N$24+1,10,12,14,16,18,20)+IF(ArtifactsInput!$M$10,CHOOSE(ArtifactsInput!$N$10+1,15,18,21,24,27,30)*(IF(Inputs!$B$39="pvp",MIN(15,15)/15,IF(AND(Inputs!$B$39&lt;&gt;"pvp",Inputs!$B$44&gt;0),MIN(15,Inputs!$B$44)/(Inputs!$B$44),0))),0)))&gt;=100),MIN(100,((Inputs!$B$9+((C685=TRUE)*(F685-Calc!F25))+B700+(ArtifactsInput!$M$24-ArtifactsInput!$M$24)*CHOOSE(ArtifactsInput!$N$24+1,10,12,14,16,18,20)+IF(ArtifactsInput!$M$10,CHOOSE(ArtifactsInput!$N$10+1,15,18,21,24,27,30)*(IF(Inputs!$B$39="pvp",MIN(15,15)/15,IF(AND(Inputs!$B$39&lt;&gt;"pvp",Inputs!$B$44&gt;0),MIN(15,Inputs!$B$44)/(Inputs!$B$44),0))),0)))-100),0))*CHOOSE(ArtifactsInput!$N$42+1,0.6,0.72,0.84,0.96,1.08,1.2))),Inputs!$B$18+((C689=TRUE)*(F689-Calc!F29))+(IF(AND(ArtifactsInput!$M$42,((Inputs!$B$9+((C685=TRUE)*(F685-Calc!F25))+B700+(ArtifactsInput!$M$24-ArtifactsInput!$M$24)*CHOOSE(ArtifactsInput!$N$24+1,10,12,14,16,18,20)+IF(ArtifactsInput!$M$10,CHOOSE(ArtifactsInput!$N$10+1,15,18,21,24,27,30)*(IF(Inputs!$B$39="pvp",MIN(15,15)/15,IF(AND(Inputs!$B$39&lt;&gt;"pvp",Inputs!$B$44&gt;0),MIN(15,Inputs!$B$44)/(Inputs!$B$44),0))),0)))&gt;=100),CHOOSE(ArtifactsInput!$N$42+1,40,48,56,64,72,80),0))))/100)*(((1+(((C681=TRUE)*F681*IF(AND(Inputs!$B$39&lt;&gt;"pvp",Inputs!$B$44&gt;0),(((R681-1)*(Skills!Y21*(1+Inputs!$B$34/100))+MIN((Skills!Y21*(1+Inputs!$B$34/100)),MAX(0,Inputs!$B$44-((R681-1)*Skills!D21))))/Inputs!$B$44),IF(Inputs!$B$39="pvp",MIN((Skills!Y21*(1+Inputs!$B$34/100)),15)/15,(Skills!Y21*(1+Inputs!$B$34/100))/Skills!D21)))+((C688=TRUE)*(F688-Calc!F28))+((C678=TRUE)*(F678-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675=TRUE)*F675*IF(AND(Inputs!$B$39&lt;&gt;"pvp",Inputs!$B$44&gt;0),(((R675-1)*(Skills!Y15*(1+Inputs!$B$34/100))+MIN((Skills!Y15*(1+Inputs!$B$34/100)),MAX(0,Inputs!$B$44-((R675-1)*Skills!D15))))/Inputs!$B$44),IF(Inputs!$B$39="pvp",MIN((Skills!Y15*(1+Inputs!$B$34/100)),15)/15,(Skills!Y15*(1+Inputs!$B$34/100))/Skills!D15)))/100)*(1+((C666=TRUE)*F666*B694)/100))*B702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668)</f>
        <v/>
      </c>
      <c r="L668">
        <f>K668*(MIN(Inputs!$B$22+((C684=TRUE)*(F684-Calc!F24)),(Inputs!$B$23+0+(IF(ArtifactsInput!$M$15,CHOOSE(ArtifactsInput!$N$15+1,25,30,35,40,45,50)/100*(((1-(1-Inputs!$B$11/150)*(1-1/150))*150)-Inputs!$B$11),0))))/100+(Inputs!$B$23+0+(IF(ArtifactsInput!$M$15,CHOOSE(ArtifactsInput!$N$15+1,25,30,35,40,45,50)/100*(((1-(1-Inputs!$B$11/150)*(1-1/150))*150)-Inputs!$B$11),0)))/100)/2</f>
        <v/>
      </c>
      <c r="M668">
        <f>L668*(1+(Inputs!$B$10+((C686=TRUE)*(F686-Calc!F26))+B703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68">
        <f>L668*(1-MIN((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668*(MIN((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68">
        <f>(1-Summary!$B$11)*T668+Summary!$B$11*V668</f>
        <v/>
      </c>
      <c r="P668">
        <f>IF(B704=0,0,O668/B704)</f>
        <v/>
      </c>
      <c r="Q668">
        <f>IFERROR(1/IF(Inputs!$B$39="pvp",15,MAX(0.1,Skills!D8-IF(Skills!E8=TRUE,Inputs!$B$32,0))),0)</f>
        <v/>
      </c>
      <c r="R668">
        <f>IF(AND(Inputs!$B$39&lt;&gt;"pvp",Inputs!$B$44&gt;0),IF(MAX(0,Inputs!$B$44-B705)&lt;=0,0,(INT(MAX(0,Inputs!$B$44-B705)/IF(Inputs!$B$39="pvp",15,MAX(0.1,Skills!D8-IF(Skills!E8=TRUE,Inputs!$B$32,0))))+1)),0)</f>
        <v/>
      </c>
      <c r="S668">
        <f>IFERROR(O668/N668,0)</f>
        <v/>
      </c>
      <c r="T668">
        <f>IF(C668,(H668*N668*IF(AND(Inputs!$B$39&lt;&gt;"pvp",Inputs!$B$44&gt;0),((Skills!G8*((R668-1)*IF(Skills!H8&gt;0,Skills!I8/Skills!H8,1)+IF(Skills!H8&gt;0,MIN(Skills!I8,MAX(0,MAX(0,Inputs!$B$44-B705)-((R668-1)*IF(Inputs!$B$39="pvp",15,MAX(0.1,Skills!D8-IF(Skills!E8=TRUE,Inputs!$B$32,0))))))/Skills!H8,1)))/Inputs!$B$44),G668*Q668))*IF(Inputs!$B$39="pvp",1,1+(Inputs!$B$20+((C687=TRUE)*(F687-Calc!F27))+Skills!P8+B701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Hunt"),CHOOSE(ArtifactsInput!$N$35+1,15,18,21,24,27,30)*(1-EXP(-(0.2*B696)*5)),0)+IF(AND(ArtifactsInput!$M$22,Inputs!$B$4&lt;&gt;"Chapter Hunt"),CHOOSE(ArtifactsInput!$N$22+1,10,12,14,16,18,20)*((0*(((0.15*B696*5))^0/1)+1*(((0.15*B696*5))^1/1)+2*(((0.15*B696*5))^2/2)+3*(((0.15*B696*5))^3/6)+4*(((0.15*B696*5))^4/24)+5*(((0.15*B696*5))^5/120))/((((0.15*B696*5))^0/1)+(((0.15*B696*5))^1/1)+(((0.15*B696*5))^2/2)+(((0.15*B696*5))^3/6)+(((0.15*B696*5))^4/24)+(((0.15*B696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668*(1-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668*(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668*(1-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668*(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68">
        <f>IF(C668,(H668*N668*IF(AND(Inputs!$B$39&lt;&gt;"pvp",Inputs!$B$44&gt;0),((Skills!G8*((R668-1)*IF(Skills!H8&gt;0,Skills!I8/Skills!H8,1)+IF(Skills!H8&gt;0,MIN(Skills!I8,MAX(0,MAX(0,Inputs!$B$44-B705)-((R668-1)*IF(Inputs!$B$39="pvp",15,MAX(0.1,Skills!D8-IF(Skills!E8=TRUE,Inputs!$B$32,0))))))/Skills!H8,1)))/Inputs!$B$44),G668*Q668))*IF(Inputs!$B$39="pvp",1,(1+(Inputs!$B$21+Skills!Q8+B701+(IF(ArtifactsInput!$M$33,CHOOSE(ArtifactsInput!$N$33+1,30,36,42,48,54,60),0))+(IF(AND(ArtifactsInput!$M$35,Inputs!$B$4&lt;&gt;"Chapter Hunt"),CHOOSE(ArtifactsInput!$N$35+1,15,18,21,24,27,30)*(1-EXP(-(0.2*B696)*5)),0)+IF(AND(ArtifactsInput!$M$22,Inputs!$B$4&lt;&gt;"Chapter Hunt"),CHOOSE(ArtifactsInput!$N$22+1,10,12,14,16,18,20)*((0*(((0.15*B696*5))^0/1)+1*(((0.15*B696*5))^1/1)+2*(((0.15*B696*5))^2/2)+3*(((0.15*B696*5))^3/6)+4*(((0.15*B696*5))^4/24)+5*(((0.15*B696*5))^5/120))/((((0.15*B696*5))^0/1)+(((0.15*B696*5))^1/1)+(((0.15*B696*5))^2/2)+(((0.15*B696*5))^3/6)+(((0.15*B696*5))^4/24)+(((0.15*B696*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69">
      <c r="A669">
        <f>Skills!A9</f>
        <v/>
      </c>
      <c r="B669">
        <f>Skills!B9</f>
        <v/>
      </c>
      <c r="C669">
        <f>Inputs!$B$3&gt;=72</f>
        <v/>
      </c>
      <c r="D669">
        <f>IF(Skills!C9=1,60+Inputs!$B$25+Inputs!$B$29,IF(Skills!C9=2,90+Inputs!$B$26+Inputs!$B$29,IF(Skills!C9=3,120+Inputs!$B$27+Inputs!$B$29,MAX(0,(Inputs!$B$3-100)*3)+Inputs!$B$28+Inputs!$B$29)))</f>
        <v/>
      </c>
      <c r="E669">
        <f>INDEX(FactorTable!$B$2:$Y$301, MATCH(ROUND(MIN(300,MAX(1,D669)),0), FactorTable!$A$2:$A$301,0), Skills!M9+1)</f>
        <v/>
      </c>
      <c r="F669">
        <f>IF(Skills!N9=TRUE,(Skills!L9/10)*(E669/1000),Skills!L9/10)+Skills!O9</f>
        <v/>
      </c>
      <c r="G669">
        <f>Calc!G9</f>
        <v/>
      </c>
      <c r="H669">
        <f>Calc!H9</f>
        <v/>
      </c>
      <c r="I669">
        <f>IF(Skills!AA9&lt;&gt;"",1+(Skills!AA9/10)*(U663/1000)/100,1)</f>
        <v/>
      </c>
      <c r="J669">
        <f>((Inputs!$B$6*(1+Inputs!$B$7/100))+(((Inputs!$B$12*(1+Inputs!$B$13/100))-(Inputs!$B$12*(1+Inputs!$B$13/100)))+0.25*(Inputs!$B$14-Inputs!$B$14))*(1+Inputs!$B$7/100))*(F669/100)</f>
        <v/>
      </c>
      <c r="K669">
        <f>J669*(1+((Inputs!$B$12*(1+Inputs!$B$13/100))*0.01+Inputs!$B$14*0.0025)/100)*(1+Inputs!$B$15/100)*(1+Inputs!$B$16/100)*(5000/(6000+Inputs!$B$43*(1-(100*(1-(1-(Inputs!$B$19+0)/100)*(1-CHOOSE(ArtifactsInput!$N$40+1,5,6,7,8,9,10)/100)^(ArtifactsInput!$M$40-ArtifactsInput!$M$40)))/100)))*(1+(Inputs!$B$24+((C690=TRUE)*(F690-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9="SHOWDOWN",Inputs!$B$17+((C683=TRUE)*(F683-Calc!F23))+(((IF(AND(ArtifactsInput!$M$42,((Inputs!$B$9+((C685=TRUE)*(F685-Calc!F25))+B700+(ArtifactsInput!$M$24-ArtifactsInput!$M$24)*CHOOSE(ArtifactsInput!$N$24+1,10,12,14,16,18,20)+IF(ArtifactsInput!$M$10,CHOOSE(ArtifactsInput!$N$10+1,15,18,21,24,27,30)*(IF(Inputs!$B$39="pvp",MIN(15,15)/15,IF(AND(Inputs!$B$39&lt;&gt;"pvp",Inputs!$B$44&gt;0),MIN(15,Inputs!$B$44)/(Inputs!$B$44),0))),0)))&gt;=100),MIN(100,((Inputs!$B$9+((C685=TRUE)*(F685-Calc!F25))+B700+(ArtifactsInput!$M$24-ArtifactsInput!$M$24)*CHOOSE(ArtifactsInput!$N$24+1,10,12,14,16,18,20)+IF(ArtifactsInput!$M$10,CHOOSE(ArtifactsInput!$N$10+1,15,18,21,24,27,30)*(IF(Inputs!$B$39="pvp",MIN(15,15)/15,IF(AND(Inputs!$B$39&lt;&gt;"pvp",Inputs!$B$44&gt;0),MIN(15,Inputs!$B$44)/(Inputs!$B$44),0))),0)))-100),0))*CHOOSE(ArtifactsInput!$N$42+1,0.6,0.72,0.84,0.96,1.08,1.2))),Inputs!$B$18+((C689=TRUE)*(F689-Calc!F29))+(IF(AND(ArtifactsInput!$M$42,((Inputs!$B$9+((C685=TRUE)*(F685-Calc!F25))+B700+(ArtifactsInput!$M$24-ArtifactsInput!$M$24)*CHOOSE(ArtifactsInput!$N$24+1,10,12,14,16,18,20)+IF(ArtifactsInput!$M$10,CHOOSE(ArtifactsInput!$N$10+1,15,18,21,24,27,30)*(IF(Inputs!$B$39="pvp",MIN(15,15)/15,IF(AND(Inputs!$B$39&lt;&gt;"pvp",Inputs!$B$44&gt;0),MIN(15,Inputs!$B$44)/(Inputs!$B$44),0))),0)))&gt;=100),CHOOSE(ArtifactsInput!$N$42+1,40,48,56,64,72,80),0))))/100)*(((1+(((C681=TRUE)*F681*IF(AND(Inputs!$B$39&lt;&gt;"pvp",Inputs!$B$44&gt;0),(((R681-1)*(Skills!Y21*(1+Inputs!$B$34/100))+MIN((Skills!Y21*(1+Inputs!$B$34/100)),MAX(0,Inputs!$B$44-((R681-1)*Skills!D21))))/Inputs!$B$44),IF(Inputs!$B$39="pvp",MIN((Skills!Y21*(1+Inputs!$B$34/100)),15)/15,(Skills!Y21*(1+Inputs!$B$34/100))/Skills!D21)))+((C688=TRUE)*(F688-Calc!F28))+((C678=TRUE)*(F678-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675=TRUE)*F675*IF(AND(Inputs!$B$39&lt;&gt;"pvp",Inputs!$B$44&gt;0),(((R675-1)*(Skills!Y15*(1+Inputs!$B$34/100))+MIN((Skills!Y15*(1+Inputs!$B$34/100)),MAX(0,Inputs!$B$44-((R675-1)*Skills!D15))))/Inputs!$B$44),IF(Inputs!$B$39="pvp",MIN((Skills!Y15*(1+Inputs!$B$34/100)),15)/15,(Skills!Y15*(1+Inputs!$B$34/100))/Skills!D15)))/100)*(1+((C666=TRUE)*F666*B694)/100))*B702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669)</f>
        <v/>
      </c>
      <c r="L669">
        <f>K669*(MIN(Inputs!$B$22+((C684=TRUE)*(F684-Calc!F24)),(Inputs!$B$23+0+(IF(ArtifactsInput!$M$15,CHOOSE(ArtifactsInput!$N$15+1,25,30,35,40,45,50)/100*(((1-(1-Inputs!$B$11/150)*(1-1/150))*150)-Inputs!$B$11),0))))/100+(Inputs!$B$23+0+(IF(ArtifactsInput!$M$15,CHOOSE(ArtifactsInput!$N$15+1,25,30,35,40,45,50)/100*(((1-(1-Inputs!$B$11/150)*(1-1/150))*150)-Inputs!$B$11),0)))/100)/2</f>
        <v/>
      </c>
      <c r="M669">
        <f>L669*(1+(Inputs!$B$10+((C686=TRUE)*(F686-Calc!F26))+B703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69">
        <f>L669*(1-MIN((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669*(MIN((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69">
        <f>(1-Summary!$B$11)*T669+Summary!$B$11*V669</f>
        <v/>
      </c>
      <c r="P669">
        <f>IF(B704=0,0,O669/B704)</f>
        <v/>
      </c>
      <c r="Q669">
        <f>IFERROR(1/IF(Inputs!$B$39="pvp",15,MAX(0.1,Skills!D9-IF(Skills!E9=TRUE,Inputs!$B$32,0))),0)</f>
        <v/>
      </c>
      <c r="R669">
        <f>IF(AND(Inputs!$B$39&lt;&gt;"pvp",Inputs!$B$44&gt;0),IF(MAX(0,Inputs!$B$44-B705)&lt;=0,0,(INT(MAX(0,Inputs!$B$44-B705)/IF(Inputs!$B$39="pvp",15,MAX(0.1,Skills!D9-IF(Skills!E9=TRUE,Inputs!$B$32,0))))+1)),0)</f>
        <v/>
      </c>
      <c r="S669">
        <f>IFERROR(O669/N669,0)</f>
        <v/>
      </c>
      <c r="T669">
        <f>IF(C669,(H669*N669*IF(AND(Inputs!$B$39&lt;&gt;"pvp",Inputs!$B$44&gt;0),((Skills!G9*((R669-1)*IF(Skills!H9&gt;0,Skills!I9/Skills!H9,1)+IF(Skills!H9&gt;0,MIN(Skills!I9,MAX(0,MAX(0,Inputs!$B$44-B705)-((R669-1)*IF(Inputs!$B$39="pvp",15,MAX(0.1,Skills!D9-IF(Skills!E9=TRUE,Inputs!$B$32,0))))))/Skills!H9,1)))/Inputs!$B$44),G669*Q669))*IF(Inputs!$B$39="pvp",1,1+(Inputs!$B$20+((C687=TRUE)*(F687-Calc!F27))+Skills!P9+B701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Hunt"),CHOOSE(ArtifactsInput!$N$35+1,15,18,21,24,27,30)*(1-EXP(-(0.2*B696)*5)),0)+IF(AND(ArtifactsInput!$M$22,Inputs!$B$4&lt;&gt;"Chapter Hunt"),CHOOSE(ArtifactsInput!$N$22+1,10,12,14,16,18,20)*((0*(((0.15*B696*5))^0/1)+1*(((0.15*B696*5))^1/1)+2*(((0.15*B696*5))^2/2)+3*(((0.15*B696*5))^3/6)+4*(((0.15*B696*5))^4/24)+5*(((0.15*B696*5))^5/120))/((((0.15*B696*5))^0/1)+(((0.15*B696*5))^1/1)+(((0.15*B696*5))^2/2)+(((0.15*B696*5))^3/6)+(((0.15*B696*5))^4/24)+(((0.15*B696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669*(1-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669*(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669*(1-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669*(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69">
        <f>IF(C669,(H669*N669*IF(AND(Inputs!$B$39&lt;&gt;"pvp",Inputs!$B$44&gt;0),((Skills!G9*((R669-1)*IF(Skills!H9&gt;0,Skills!I9/Skills!H9,1)+IF(Skills!H9&gt;0,MIN(Skills!I9,MAX(0,MAX(0,Inputs!$B$44-B705)-((R669-1)*IF(Inputs!$B$39="pvp",15,MAX(0.1,Skills!D9-IF(Skills!E9=TRUE,Inputs!$B$32,0))))))/Skills!H9,1)))/Inputs!$B$44),G669*Q669))*IF(Inputs!$B$39="pvp",1,(1+(Inputs!$B$21+Skills!Q9+B701+(IF(ArtifactsInput!$M$33,CHOOSE(ArtifactsInput!$N$33+1,30,36,42,48,54,60),0))+(IF(AND(ArtifactsInput!$M$35,Inputs!$B$4&lt;&gt;"Chapter Hunt"),CHOOSE(ArtifactsInput!$N$35+1,15,18,21,24,27,30)*(1-EXP(-(0.2*B696)*5)),0)+IF(AND(ArtifactsInput!$M$22,Inputs!$B$4&lt;&gt;"Chapter Hunt"),CHOOSE(ArtifactsInput!$N$22+1,10,12,14,16,18,20)*((0*(((0.15*B696*5))^0/1)+1*(((0.15*B696*5))^1/1)+2*(((0.15*B696*5))^2/2)+3*(((0.15*B696*5))^3/6)+4*(((0.15*B696*5))^4/24)+5*(((0.15*B696*5))^5/120))/((((0.15*B696*5))^0/1)+(((0.15*B696*5))^1/1)+(((0.15*B696*5))^2/2)+(((0.15*B696*5))^3/6)+(((0.15*B696*5))^4/24)+(((0.15*B696*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70">
      <c r="A670">
        <f>Skills!A10</f>
        <v/>
      </c>
      <c r="B670">
        <f>Skills!B10</f>
        <v/>
      </c>
      <c r="C670">
        <f>Inputs!$B$3&gt;=117</f>
        <v/>
      </c>
      <c r="D670">
        <f>IF(Skills!C10=1,60+Inputs!$B$25+Inputs!$B$29,IF(Skills!C10=2,90+Inputs!$B$26+Inputs!$B$29,IF(Skills!C10=3,120+Inputs!$B$27+Inputs!$B$29,MAX(0,(Inputs!$B$3-100)*3)+Inputs!$B$28+Inputs!$B$29)))</f>
        <v/>
      </c>
      <c r="E670">
        <f>INDEX(FactorTable!$B$2:$Y$301, MATCH(ROUND(MIN(300,MAX(1,D670)),0), FactorTable!$A$2:$A$301,0), Skills!M10+1)</f>
        <v/>
      </c>
      <c r="F670">
        <f>IF(Skills!N10=TRUE,(Skills!L10/10)*(E670/1000),Skills!L10/10)+Skills!O10</f>
        <v/>
      </c>
      <c r="G670">
        <f>Calc!G10</f>
        <v/>
      </c>
      <c r="H670">
        <f>Calc!H10</f>
        <v/>
      </c>
      <c r="I670">
        <f>IF(Skills!AA10&lt;&gt;"",1+(Skills!AA10/10)*(U663/1000)/100,1)</f>
        <v/>
      </c>
      <c r="J670">
        <f>((Inputs!$B$6*(1+Inputs!$B$7/100))+(((Inputs!$B$12*(1+Inputs!$B$13/100))-(Inputs!$B$12*(1+Inputs!$B$13/100)))+0.25*(Inputs!$B$14-Inputs!$B$14))*(1+Inputs!$B$7/100))*(F670/100)</f>
        <v/>
      </c>
      <c r="K670">
        <f>J670*(1+((Inputs!$B$12*(1+Inputs!$B$13/100))*0.01+Inputs!$B$14*0.0025)/100)*(1+Inputs!$B$15/100)*(1+Inputs!$B$16/100)*(5000/(6000+Inputs!$B$43*(1-(100*(1-(1-(Inputs!$B$19+0)/100)*(1-CHOOSE(ArtifactsInput!$N$40+1,5,6,7,8,9,10)/100)^(ArtifactsInput!$M$40-ArtifactsInput!$M$40)))/100)))*(1+(Inputs!$B$24+((C690=TRUE)*(F690-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10="SHOWDOWN",Inputs!$B$17+((C683=TRUE)*(F683-Calc!F23))+(((IF(AND(ArtifactsInput!$M$42,((Inputs!$B$9+((C685=TRUE)*(F685-Calc!F25))+B700+(ArtifactsInput!$M$24-ArtifactsInput!$M$24)*CHOOSE(ArtifactsInput!$N$24+1,10,12,14,16,18,20)+IF(ArtifactsInput!$M$10,CHOOSE(ArtifactsInput!$N$10+1,15,18,21,24,27,30)*(IF(Inputs!$B$39="pvp",MIN(15,15)/15,IF(AND(Inputs!$B$39&lt;&gt;"pvp",Inputs!$B$44&gt;0),MIN(15,Inputs!$B$44)/(Inputs!$B$44),0))),0)))&gt;=100),MIN(100,((Inputs!$B$9+((C685=TRUE)*(F685-Calc!F25))+B700+(ArtifactsInput!$M$24-ArtifactsInput!$M$24)*CHOOSE(ArtifactsInput!$N$24+1,10,12,14,16,18,20)+IF(ArtifactsInput!$M$10,CHOOSE(ArtifactsInput!$N$10+1,15,18,21,24,27,30)*(IF(Inputs!$B$39="pvp",MIN(15,15)/15,IF(AND(Inputs!$B$39&lt;&gt;"pvp",Inputs!$B$44&gt;0),MIN(15,Inputs!$B$44)/(Inputs!$B$44),0))),0)))-100),0))*CHOOSE(ArtifactsInput!$N$42+1,0.6,0.72,0.84,0.96,1.08,1.2))),Inputs!$B$18+((C689=TRUE)*(F689-Calc!F29))+(IF(AND(ArtifactsInput!$M$42,((Inputs!$B$9+((C685=TRUE)*(F685-Calc!F25))+B700+(ArtifactsInput!$M$24-ArtifactsInput!$M$24)*CHOOSE(ArtifactsInput!$N$24+1,10,12,14,16,18,20)+IF(ArtifactsInput!$M$10,CHOOSE(ArtifactsInput!$N$10+1,15,18,21,24,27,30)*(IF(Inputs!$B$39="pvp",MIN(15,15)/15,IF(AND(Inputs!$B$39&lt;&gt;"pvp",Inputs!$B$44&gt;0),MIN(15,Inputs!$B$44)/(Inputs!$B$44),0))),0)))&gt;=100),CHOOSE(ArtifactsInput!$N$42+1,40,48,56,64,72,80),0))))/100)*(((1+(((C681=TRUE)*F681*IF(AND(Inputs!$B$39&lt;&gt;"pvp",Inputs!$B$44&gt;0),(((R681-1)*(Skills!Y21*(1+Inputs!$B$34/100))+MIN((Skills!Y21*(1+Inputs!$B$34/100)),MAX(0,Inputs!$B$44-((R681-1)*Skills!D21))))/Inputs!$B$44),IF(Inputs!$B$39="pvp",MIN((Skills!Y21*(1+Inputs!$B$34/100)),15)/15,(Skills!Y21*(1+Inputs!$B$34/100))/Skills!D21)))+((C688=TRUE)*(F688-Calc!F28))+((C678=TRUE)*(F678-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675=TRUE)*F675*IF(AND(Inputs!$B$39&lt;&gt;"pvp",Inputs!$B$44&gt;0),(((R675-1)*(Skills!Y15*(1+Inputs!$B$34/100))+MIN((Skills!Y15*(1+Inputs!$B$34/100)),MAX(0,Inputs!$B$44-((R675-1)*Skills!D15))))/Inputs!$B$44),IF(Inputs!$B$39="pvp",MIN((Skills!Y15*(1+Inputs!$B$34/100)),15)/15,(Skills!Y15*(1+Inputs!$B$34/100))/Skills!D15)))/100)*(1+((C666=TRUE)*F666*B694)/100))*B702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670)</f>
        <v/>
      </c>
      <c r="L670">
        <f>K670*(MIN(Inputs!$B$22+((C684=TRUE)*(F684-Calc!F24)),(Inputs!$B$23+0+(IF(ArtifactsInput!$M$15,CHOOSE(ArtifactsInput!$N$15+1,25,30,35,40,45,50)/100*(((1-(1-Inputs!$B$11/150)*(1-1/150))*150)-Inputs!$B$11),0))))/100+(Inputs!$B$23+0+(IF(ArtifactsInput!$M$15,CHOOSE(ArtifactsInput!$N$15+1,25,30,35,40,45,50)/100*(((1-(1-Inputs!$B$11/150)*(1-1/150))*150)-Inputs!$B$11),0)))/100)/2</f>
        <v/>
      </c>
      <c r="M670">
        <f>L670*(1+(Inputs!$B$10+((C686=TRUE)*(F686-Calc!F26))+B703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70">
        <f>L670*(1-MIN((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670*(MIN((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70">
        <f>(1-Summary!$B$11)*T670+Summary!$B$11*V670</f>
        <v/>
      </c>
      <c r="P670">
        <f>IF(B704=0,0,O670/B704)</f>
        <v/>
      </c>
      <c r="Q670" t="n">
        <v>0</v>
      </c>
      <c r="R670" t="n">
        <v>0</v>
      </c>
      <c r="S670" t="n">
        <v>0</v>
      </c>
      <c r="T670">
        <f>IF(C670,(0.2*SUMPRODUCT((Skills!Z2:Z31=TRUE)*(C662:C691=TRUE)*S662:S691)*N670)*IF(Inputs!$B$39="pvp",1,1+(Inputs!$B$20+((C687=TRUE)*(F687-Calc!F27))+Skills!P10+B701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Hunt"),CHOOSE(ArtifactsInput!$N$35+1,15,18,21,24,27,30)*(1-EXP(-(0.2*B696)*5)),0)+IF(AND(ArtifactsInput!$M$22,Inputs!$B$4&lt;&gt;"Chapter Hunt"),CHOOSE(ArtifactsInput!$N$22+1,10,12,14,16,18,20)*((0*(((0.15*B696*5))^0/1)+1*(((0.15*B696*5))^1/1)+2*(((0.15*B696*5))^2/2)+3*(((0.15*B696*5))^3/6)+4*(((0.15*B696*5))^4/24)+5*(((0.15*B696*5))^5/120))/((((0.15*B696*5))^0/1)+(((0.15*B696*5))^1/1)+(((0.15*B696*5))^2/2)+(((0.15*B696*5))^3/6)+(((0.15*B696*5))^4/24)+(((0.15*B696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670*(1-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670*(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670*(1-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670*(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70">
        <f>IF(C670,(0.2*SUMPRODUCT((Skills!Z2:Z31=TRUE)*(C662:C691=TRUE)*S662:S691)*N670)*IF(Inputs!$B$39="pvp",1,(1+(Inputs!$B$21+Skills!Q10+B701+(IF(ArtifactsInput!$M$33,CHOOSE(ArtifactsInput!$N$33+1,30,36,42,48,54,60),0))+(IF(AND(ArtifactsInput!$M$35,Inputs!$B$4&lt;&gt;"Chapter Hunt"),CHOOSE(ArtifactsInput!$N$35+1,15,18,21,24,27,30)*(1-EXP(-(0.2*B696)*5)),0)+IF(AND(ArtifactsInput!$M$22,Inputs!$B$4&lt;&gt;"Chapter Hunt"),CHOOSE(ArtifactsInput!$N$22+1,10,12,14,16,18,20)*((0*(((0.15*B696*5))^0/1)+1*(((0.15*B696*5))^1/1)+2*(((0.15*B696*5))^2/2)+3*(((0.15*B696*5))^3/6)+4*(((0.15*B696*5))^4/24)+5*(((0.15*B696*5))^5/120))/((((0.15*B696*5))^0/1)+(((0.15*B696*5))^1/1)+(((0.15*B696*5))^2/2)+(((0.15*B696*5))^3/6)+(((0.15*B696*5))^4/24)+(((0.15*B696*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71">
      <c r="A671">
        <f>Skills!A11</f>
        <v/>
      </c>
      <c r="B671">
        <f>Skills!B11</f>
        <v/>
      </c>
      <c r="C671">
        <f>Inputs!$B$3&gt;=60</f>
        <v/>
      </c>
      <c r="D671">
        <f>IF(Skills!C11=1,60+Inputs!$B$25+Inputs!$B$29,IF(Skills!C11=2,90+Inputs!$B$26+Inputs!$B$29,IF(Skills!C11=3,120+Inputs!$B$27+Inputs!$B$29,MAX(0,(Inputs!$B$3-100)*3)+Inputs!$B$28+Inputs!$B$29)))</f>
        <v/>
      </c>
      <c r="E671">
        <f>INDEX(FactorTable!$B$2:$Y$301, MATCH(ROUND(MIN(300,MAX(1,D671)),0), FactorTable!$A$2:$A$301,0), Skills!M11+1)</f>
        <v/>
      </c>
      <c r="F671">
        <f>IF(Skills!N11=TRUE,(Skills!L11/10)*(E671/1000),Skills!L11/10)+Skills!O11</f>
        <v/>
      </c>
      <c r="G671">
        <f>Calc!G11</f>
        <v/>
      </c>
      <c r="H671">
        <f>Calc!H11</f>
        <v/>
      </c>
      <c r="I671">
        <f>IF(Skills!AA11&lt;&gt;"",1+(Skills!AA11/10)*(U663/1000)/100,1)</f>
        <v/>
      </c>
      <c r="J671" t="inlineStr"/>
      <c r="K671" t="inlineStr"/>
      <c r="L671" t="inlineStr"/>
      <c r="M671" t="inlineStr"/>
      <c r="N671" t="inlineStr"/>
      <c r="O671">
        <f>(1-Summary!$B$11)*T671+Summary!$B$11*V671</f>
        <v/>
      </c>
      <c r="P671">
        <f>IF(B704=0,0,O671/B704)</f>
        <v/>
      </c>
      <c r="Q671" t="n">
        <v>0</v>
      </c>
      <c r="R671" t="n">
        <v>0</v>
      </c>
      <c r="S671">
        <f>IFERROR(O671/N671,0)</f>
        <v/>
      </c>
      <c r="T671" t="n">
        <v>0</v>
      </c>
      <c r="V671" t="n">
        <v>0</v>
      </c>
    </row>
    <row r="672">
      <c r="A672">
        <f>Skills!A12</f>
        <v/>
      </c>
      <c r="B672">
        <f>Skills!B12</f>
        <v/>
      </c>
      <c r="C672">
        <f>Inputs!$B$3&gt;=103</f>
        <v/>
      </c>
      <c r="D672">
        <f>IF(Skills!C12=1,60+Inputs!$B$25+Inputs!$B$29,IF(Skills!C12=2,90+Inputs!$B$26+Inputs!$B$29,IF(Skills!C12=3,120+Inputs!$B$27+Inputs!$B$29,MAX(0,(Inputs!$B$3-100)*3)+Inputs!$B$28+Inputs!$B$29)))</f>
        <v/>
      </c>
      <c r="E672">
        <f>INDEX(FactorTable!$B$2:$Y$301, MATCH(ROUND(MIN(300,MAX(1,D672)),0), FactorTable!$A$2:$A$301,0), Skills!M12+1)</f>
        <v/>
      </c>
      <c r="F672">
        <f>IF(Skills!N12=TRUE,(Skills!L12/10)*(E672/1000),Skills!L12/10)+Skills!O12</f>
        <v/>
      </c>
      <c r="G672">
        <f>Calc!G12</f>
        <v/>
      </c>
      <c r="H672">
        <f>Calc!H12</f>
        <v/>
      </c>
      <c r="I672">
        <f>IF(Skills!AA12&lt;&gt;"",1+(Skills!AA12/10)*(U663/1000)/100,1)</f>
        <v/>
      </c>
      <c r="J672">
        <f>((Inputs!$B$6*(1+Inputs!$B$7/100))+(((Inputs!$B$12*(1+Inputs!$B$13/100))-(Inputs!$B$12*(1+Inputs!$B$13/100)))+0.25*(Inputs!$B$14-Inputs!$B$14))*(1+Inputs!$B$7/100))*(F672/100)</f>
        <v/>
      </c>
      <c r="K672">
        <f>J672*(1+((Inputs!$B$12*(1+Inputs!$B$13/100))*0.01+Inputs!$B$14*0.0025)/100)*(1+Inputs!$B$15/100)*(1+Inputs!$B$16/100)*(5000/(6000+Inputs!$B$43*(1-(100*(1-(1-(Inputs!$B$19+0)/100)*(1-CHOOSE(ArtifactsInput!$N$40+1,5,6,7,8,9,10)/100)^(ArtifactsInput!$M$40-ArtifactsInput!$M$40)))/100)))*(1+(Inputs!$B$24+((C690=TRUE)*(F690-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12="SHOWDOWN",Inputs!$B$17+((C683=TRUE)*(F683-Calc!F23))+(((IF(AND(ArtifactsInput!$M$42,((Inputs!$B$9+((C685=TRUE)*(F685-Calc!F25))+B700+(ArtifactsInput!$M$24-ArtifactsInput!$M$24)*CHOOSE(ArtifactsInput!$N$24+1,10,12,14,16,18,20)+IF(ArtifactsInput!$M$10,CHOOSE(ArtifactsInput!$N$10+1,15,18,21,24,27,30)*(IF(Inputs!$B$39="pvp",MIN(15,15)/15,IF(AND(Inputs!$B$39&lt;&gt;"pvp",Inputs!$B$44&gt;0),MIN(15,Inputs!$B$44)/(Inputs!$B$44),0))),0)))&gt;=100),MIN(100,((Inputs!$B$9+((C685=TRUE)*(F685-Calc!F25))+B700+(ArtifactsInput!$M$24-ArtifactsInput!$M$24)*CHOOSE(ArtifactsInput!$N$24+1,10,12,14,16,18,20)+IF(ArtifactsInput!$M$10,CHOOSE(ArtifactsInput!$N$10+1,15,18,21,24,27,30)*(IF(Inputs!$B$39="pvp",MIN(15,15)/15,IF(AND(Inputs!$B$39&lt;&gt;"pvp",Inputs!$B$44&gt;0),MIN(15,Inputs!$B$44)/(Inputs!$B$44),0))),0)))-100),0))*CHOOSE(ArtifactsInput!$N$42+1,0.6,0.72,0.84,0.96,1.08,1.2))),Inputs!$B$18+((C689=TRUE)*(F689-Calc!F29))+(IF(AND(ArtifactsInput!$M$42,((Inputs!$B$9+((C685=TRUE)*(F685-Calc!F25))+B700+(ArtifactsInput!$M$24-ArtifactsInput!$M$24)*CHOOSE(ArtifactsInput!$N$24+1,10,12,14,16,18,20)+IF(ArtifactsInput!$M$10,CHOOSE(ArtifactsInput!$N$10+1,15,18,21,24,27,30)*(IF(Inputs!$B$39="pvp",MIN(15,15)/15,IF(AND(Inputs!$B$39&lt;&gt;"pvp",Inputs!$B$44&gt;0),MIN(15,Inputs!$B$44)/(Inputs!$B$44),0))),0)))&gt;=100),CHOOSE(ArtifactsInput!$N$42+1,40,48,56,64,72,80),0))))/100)*(((1+(((C681=TRUE)*F681*IF(AND(Inputs!$B$39&lt;&gt;"pvp",Inputs!$B$44&gt;0),(((R681-1)*(Skills!Y21*(1+Inputs!$B$34/100))+MIN((Skills!Y21*(1+Inputs!$B$34/100)),MAX(0,Inputs!$B$44-((R681-1)*Skills!D21))))/Inputs!$B$44),IF(Inputs!$B$39="pvp",MIN((Skills!Y21*(1+Inputs!$B$34/100)),15)/15,(Skills!Y21*(1+Inputs!$B$34/100))/Skills!D21)))+((C688=TRUE)*(F688-Calc!F28))+((C678=TRUE)*(F678-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675=TRUE)*F675*IF(AND(Inputs!$B$39&lt;&gt;"pvp",Inputs!$B$44&gt;0),(((R675-1)*(Skills!Y15*(1+Inputs!$B$34/100))+MIN((Skills!Y15*(1+Inputs!$B$34/100)),MAX(0,Inputs!$B$44-((R675-1)*Skills!D15))))/Inputs!$B$44),IF(Inputs!$B$39="pvp",MIN((Skills!Y15*(1+Inputs!$B$34/100)),15)/15,(Skills!Y15*(1+Inputs!$B$34/100))/Skills!D15)))/100)*(1+((C666=TRUE)*F666*B694)/100))*B702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672)</f>
        <v/>
      </c>
      <c r="L672">
        <f>K672*(MIN(Inputs!$B$22+((C684=TRUE)*(F684-Calc!F24)),(Inputs!$B$23+0+(IF(ArtifactsInput!$M$15,CHOOSE(ArtifactsInput!$N$15+1,25,30,35,40,45,50)/100*(((1-(1-Inputs!$B$11/150)*(1-1/150))*150)-Inputs!$B$11),0))))/100+(Inputs!$B$23+0+(IF(ArtifactsInput!$M$15,CHOOSE(ArtifactsInput!$N$15+1,25,30,35,40,45,50)/100*(((1-(1-Inputs!$B$11/150)*(1-1/150))*150)-Inputs!$B$11),0)))/100)/2</f>
        <v/>
      </c>
      <c r="M672">
        <f>L672*(1+(Inputs!$B$10+((C686=TRUE)*(F686-Calc!F26))+B703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72">
        <f>L672*(1-MIN((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672*(MIN((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72">
        <f>(1-Summary!$B$11)*T672+Summary!$B$11*V672</f>
        <v/>
      </c>
      <c r="P672">
        <f>IF(B704=0,0,O672/B704)</f>
        <v/>
      </c>
      <c r="Q672">
        <f>IFERROR(1/IF(Inputs!$B$39="pvp",15,MAX(0.1,Skills!D12-IF(Skills!E12=TRUE,Inputs!$B$32,0))),0)</f>
        <v/>
      </c>
      <c r="R672">
        <f>IF(AND(Inputs!$B$39&lt;&gt;"pvp",Inputs!$B$44&gt;0),IF(MAX(0,Inputs!$B$44-B705)&lt;=0,0,(INT(MAX(0,Inputs!$B$44-B705)/IF(Inputs!$B$39="pvp",15,MAX(0.1,Skills!D12-IF(Skills!E12=TRUE,Inputs!$B$32,0))))+1)),0)</f>
        <v/>
      </c>
      <c r="S672">
        <f>IFERROR(O672/N672,0)</f>
        <v/>
      </c>
      <c r="T672">
        <f>IF(C672,(H672*N672*IF(AND(Inputs!$B$39&lt;&gt;"pvp",Inputs!$B$44&gt;0),((Skills!G12*((R672-1)*IF(Skills!H12&gt;0,Skills!I12/Skills!H12,1)+IF(Skills!H12&gt;0,MIN(Skills!I12,MAX(0,MAX(0,Inputs!$B$44-B705)-((R672-1)*IF(Inputs!$B$39="pvp",15,MAX(0.1,Skills!D12-IF(Skills!E12=TRUE,Inputs!$B$32,0))))))/Skills!H12,1)))/Inputs!$B$44),G672*Q672))*IF(Inputs!$B$39="pvp",1,1+(Inputs!$B$20+((C687=TRUE)*(F687-Calc!F27))+Skills!P12+B701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Hunt"),CHOOSE(ArtifactsInput!$N$35+1,15,18,21,24,27,30)*(1-EXP(-(0.2*B696)*5)),0)+IF(AND(ArtifactsInput!$M$22,Inputs!$B$4&lt;&gt;"Chapter Hunt"),CHOOSE(ArtifactsInput!$N$22+1,10,12,14,16,18,20)*((0*(((0.15*B696*5))^0/1)+1*(((0.15*B696*5))^1/1)+2*(((0.15*B696*5))^2/2)+3*(((0.15*B696*5))^3/6)+4*(((0.15*B696*5))^4/24)+5*(((0.15*B696*5))^5/120))/((((0.15*B696*5))^0/1)+(((0.15*B696*5))^1/1)+(((0.15*B696*5))^2/2)+(((0.15*B696*5))^3/6)+(((0.15*B696*5))^4/24)+(((0.15*B696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672*(1-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672*(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672*(1-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672*(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72">
        <f>IF(C672,(H672*N672*IF(AND(Inputs!$B$39&lt;&gt;"pvp",Inputs!$B$44&gt;0),((Skills!G12*((R672-1)*IF(Skills!H12&gt;0,Skills!I12/Skills!H12,1)+IF(Skills!H12&gt;0,MIN(Skills!I12,MAX(0,MAX(0,Inputs!$B$44-B705)-((R672-1)*IF(Inputs!$B$39="pvp",15,MAX(0.1,Skills!D12-IF(Skills!E12=TRUE,Inputs!$B$32,0))))))/Skills!H12,1)))/Inputs!$B$44),G672*Q672))*IF(Inputs!$B$39="pvp",1,(1+(Inputs!$B$21+Skills!Q12+B701+(IF(ArtifactsInput!$M$33,CHOOSE(ArtifactsInput!$N$33+1,30,36,42,48,54,60),0))+(IF(AND(ArtifactsInput!$M$35,Inputs!$B$4&lt;&gt;"Chapter Hunt"),CHOOSE(ArtifactsInput!$N$35+1,15,18,21,24,27,30)*(1-EXP(-(0.2*B696)*5)),0)+IF(AND(ArtifactsInput!$M$22,Inputs!$B$4&lt;&gt;"Chapter Hunt"),CHOOSE(ArtifactsInput!$N$22+1,10,12,14,16,18,20)*((0*(((0.15*B696*5))^0/1)+1*(((0.15*B696*5))^1/1)+2*(((0.15*B696*5))^2/2)+3*(((0.15*B696*5))^3/6)+4*(((0.15*B696*5))^4/24)+5*(((0.15*B696*5))^5/120))/((((0.15*B696*5))^0/1)+(((0.15*B696*5))^1/1)+(((0.15*B696*5))^2/2)+(((0.15*B696*5))^3/6)+(((0.15*B696*5))^4/24)+(((0.15*B696*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73">
      <c r="A673">
        <f>Skills!A13</f>
        <v/>
      </c>
      <c r="B673">
        <f>Skills!B13</f>
        <v/>
      </c>
      <c r="C673">
        <f>Inputs!$B$3&gt;=105</f>
        <v/>
      </c>
      <c r="D673">
        <f>IF(Skills!C13=1,60+Inputs!$B$25+Inputs!$B$29,IF(Skills!C13=2,90+Inputs!$B$26+Inputs!$B$29,IF(Skills!C13=3,120+Inputs!$B$27+Inputs!$B$29,MAX(0,(Inputs!$B$3-100)*3)+Inputs!$B$28+Inputs!$B$29)))</f>
        <v/>
      </c>
      <c r="E673">
        <f>INDEX(FactorTable!$B$2:$Y$301, MATCH(ROUND(MIN(300,MAX(1,D673)),0), FactorTable!$A$2:$A$301,0), Skills!M13+1)</f>
        <v/>
      </c>
      <c r="F673">
        <f>IF(Skills!N13=TRUE,(Skills!L13/10)*(E673/1000),Skills!L13/10)+Skills!O13</f>
        <v/>
      </c>
      <c r="G673">
        <f>Calc!G13</f>
        <v/>
      </c>
      <c r="H673">
        <f>Calc!H13</f>
        <v/>
      </c>
      <c r="I673">
        <f>IF(Skills!AA13&lt;&gt;"",1+(Skills!AA13/10)*(U663/1000)/100,1)</f>
        <v/>
      </c>
      <c r="J673">
        <f>((Inputs!$B$6*(1+Inputs!$B$7/100))+(((Inputs!$B$12*(1+Inputs!$B$13/100))-(Inputs!$B$12*(1+Inputs!$B$13/100)))+0.25*(Inputs!$B$14-Inputs!$B$14))*(1+Inputs!$B$7/100))*(F673/100)</f>
        <v/>
      </c>
      <c r="K673">
        <f>J673*(1+((Inputs!$B$12*(1+Inputs!$B$13/100))*0.01+Inputs!$B$14*0.0025)/100)*(1+Inputs!$B$15/100)*(1+Inputs!$B$16/100)*(5000/(6000+Inputs!$B$43*(1-(100*(1-(1-(Inputs!$B$19+0)/100)*(1-CHOOSE(ArtifactsInput!$N$40+1,5,6,7,8,9,10)/100)^(ArtifactsInput!$M$40-ArtifactsInput!$M$40)))/100)))*(1+(Inputs!$B$24+((C690=TRUE)*(F690-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13="SHOWDOWN",Inputs!$B$17+((C683=TRUE)*(F683-Calc!F23))+(((IF(AND(ArtifactsInput!$M$42,((Inputs!$B$9+((C685=TRUE)*(F685-Calc!F25))+B700+(ArtifactsInput!$M$24-ArtifactsInput!$M$24)*CHOOSE(ArtifactsInput!$N$24+1,10,12,14,16,18,20)+IF(ArtifactsInput!$M$10,CHOOSE(ArtifactsInput!$N$10+1,15,18,21,24,27,30)*(IF(Inputs!$B$39="pvp",MIN(15,15)/15,IF(AND(Inputs!$B$39&lt;&gt;"pvp",Inputs!$B$44&gt;0),MIN(15,Inputs!$B$44)/(Inputs!$B$44),0))),0)))&gt;=100),MIN(100,((Inputs!$B$9+((C685=TRUE)*(F685-Calc!F25))+B700+(ArtifactsInput!$M$24-ArtifactsInput!$M$24)*CHOOSE(ArtifactsInput!$N$24+1,10,12,14,16,18,20)+IF(ArtifactsInput!$M$10,CHOOSE(ArtifactsInput!$N$10+1,15,18,21,24,27,30)*(IF(Inputs!$B$39="pvp",MIN(15,15)/15,IF(AND(Inputs!$B$39&lt;&gt;"pvp",Inputs!$B$44&gt;0),MIN(15,Inputs!$B$44)/(Inputs!$B$44),0))),0)))-100),0))*CHOOSE(ArtifactsInput!$N$42+1,0.6,0.72,0.84,0.96,1.08,1.2))),Inputs!$B$18+((C689=TRUE)*(F689-Calc!F29))+(IF(AND(ArtifactsInput!$M$42,((Inputs!$B$9+((C685=TRUE)*(F685-Calc!F25))+B700+(ArtifactsInput!$M$24-ArtifactsInput!$M$24)*CHOOSE(ArtifactsInput!$N$24+1,10,12,14,16,18,20)+IF(ArtifactsInput!$M$10,CHOOSE(ArtifactsInput!$N$10+1,15,18,21,24,27,30)*(IF(Inputs!$B$39="pvp",MIN(15,15)/15,IF(AND(Inputs!$B$39&lt;&gt;"pvp",Inputs!$B$44&gt;0),MIN(15,Inputs!$B$44)/(Inputs!$B$44),0))),0)))&gt;=100),CHOOSE(ArtifactsInput!$N$42+1,40,48,56,64,72,80),0))))/100)*(((1+(((C681=TRUE)*F681*IF(AND(Inputs!$B$39&lt;&gt;"pvp",Inputs!$B$44&gt;0),(((R681-1)*(Skills!Y21*(1+Inputs!$B$34/100))+MIN((Skills!Y21*(1+Inputs!$B$34/100)),MAX(0,Inputs!$B$44-((R681-1)*Skills!D21))))/Inputs!$B$44),IF(Inputs!$B$39="pvp",MIN((Skills!Y21*(1+Inputs!$B$34/100)),15)/15,(Skills!Y21*(1+Inputs!$B$34/100))/Skills!D21)))+((C688=TRUE)*(F688-Calc!F28))+((C678=TRUE)*(F678-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675=TRUE)*F675*IF(AND(Inputs!$B$39&lt;&gt;"pvp",Inputs!$B$44&gt;0),(((R675-1)*(Skills!Y15*(1+Inputs!$B$34/100))+MIN((Skills!Y15*(1+Inputs!$B$34/100)),MAX(0,Inputs!$B$44-((R675-1)*Skills!D15))))/Inputs!$B$44),IF(Inputs!$B$39="pvp",MIN((Skills!Y15*(1+Inputs!$B$34/100)),15)/15,(Skills!Y15*(1+Inputs!$B$34/100))/Skills!D15)))/100)*(1+((C666=TRUE)*F666*B694)/100))*B702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673)</f>
        <v/>
      </c>
      <c r="L673">
        <f>K673*(MIN(Inputs!$B$22+((C684=TRUE)*(F684-Calc!F24)),(Inputs!$B$23+0+(IF(ArtifactsInput!$M$15,CHOOSE(ArtifactsInput!$N$15+1,25,30,35,40,45,50)/100*(((1-(1-Inputs!$B$11/150)*(1-1/150))*150)-Inputs!$B$11),0))))/100+(Inputs!$B$23+0+(IF(ArtifactsInput!$M$15,CHOOSE(ArtifactsInput!$N$15+1,25,30,35,40,45,50)/100*(((1-(1-Inputs!$B$11/150)*(1-1/150))*150)-Inputs!$B$11),0)))/100)/2</f>
        <v/>
      </c>
      <c r="M673">
        <f>L673*(1+(Inputs!$B$10+((C686=TRUE)*(F686-Calc!F26))+B703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73">
        <f>L673*(1-MIN((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673*(MIN((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73">
        <f>(1-Summary!$B$11)*T673+Summary!$B$11*V673</f>
        <v/>
      </c>
      <c r="P673">
        <f>IF(B704=0,0,O673/B704)</f>
        <v/>
      </c>
      <c r="Q673">
        <f>IFERROR(1/IF(Inputs!$B$39="pvp",15,MAX(0.1,Skills!D13-IF(Skills!E13=TRUE,Inputs!$B$32,0))),0)</f>
        <v/>
      </c>
      <c r="R673">
        <f>IF(AND(Inputs!$B$39&lt;&gt;"pvp",Inputs!$B$44&gt;0),IF(MAX(0,Inputs!$B$44-B705)&lt;=0,0,(INT(MAX(0,Inputs!$B$44-B705)/IF(Inputs!$B$39="pvp",15,MAX(0.1,Skills!D13-IF(Skills!E13=TRUE,Inputs!$B$32,0))))+1)),0)</f>
        <v/>
      </c>
      <c r="S673">
        <f>IFERROR(O673/N673,0)</f>
        <v/>
      </c>
      <c r="T673">
        <f>IF(C673,(H673*N673*IF(AND(Inputs!$B$39&lt;&gt;"pvp",Inputs!$B$44&gt;0),((Skills!G13*((R673-1)*IF(Skills!H13&gt;0,Skills!I13/Skills!H13,1)+IF(Skills!H13&gt;0,MIN(Skills!I13,MAX(0,MAX(0,Inputs!$B$44-B705)-((R673-1)*IF(Inputs!$B$39="pvp",15,MAX(0.1,Skills!D13-IF(Skills!E13=TRUE,Inputs!$B$32,0))))))/Skills!H13,1)))/Inputs!$B$44),G673*Q673))*IF(Inputs!$B$39="pvp",1,1+(Inputs!$B$20+((C687=TRUE)*(F687-Calc!F27))+Skills!P13+B701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Hunt"),CHOOSE(ArtifactsInput!$N$35+1,15,18,21,24,27,30)*(1-EXP(-(0.2*B696)*5)),0)+IF(AND(ArtifactsInput!$M$22,Inputs!$B$4&lt;&gt;"Chapter Hunt"),CHOOSE(ArtifactsInput!$N$22+1,10,12,14,16,18,20)*((0*(((0.15*B696*5))^0/1)+1*(((0.15*B696*5))^1/1)+2*(((0.15*B696*5))^2/2)+3*(((0.15*B696*5))^3/6)+4*(((0.15*B696*5))^4/24)+5*(((0.15*B696*5))^5/120))/((((0.15*B696*5))^0/1)+(((0.15*B696*5))^1/1)+(((0.15*B696*5))^2/2)+(((0.15*B696*5))^3/6)+(((0.15*B696*5))^4/24)+(((0.15*B696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673*(1-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673*(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673*(1-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673*(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73">
        <f>IF(C673,(H673*N673*IF(AND(Inputs!$B$39&lt;&gt;"pvp",Inputs!$B$44&gt;0),((Skills!G13*((R673-1)*IF(Skills!H13&gt;0,Skills!I13/Skills!H13,1)+IF(Skills!H13&gt;0,MIN(Skills!I13,MAX(0,MAX(0,Inputs!$B$44-B705)-((R673-1)*IF(Inputs!$B$39="pvp",15,MAX(0.1,Skills!D13-IF(Skills!E13=TRUE,Inputs!$B$32,0))))))/Skills!H13,1)))/Inputs!$B$44),G673*Q673))*IF(Inputs!$B$39="pvp",1,(1+(Inputs!$B$21+Skills!Q13+B701+(IF(ArtifactsInput!$M$33,CHOOSE(ArtifactsInput!$N$33+1,30,36,42,48,54,60),0))+(IF(AND(ArtifactsInput!$M$35,Inputs!$B$4&lt;&gt;"Chapter Hunt"),CHOOSE(ArtifactsInput!$N$35+1,15,18,21,24,27,30)*(1-EXP(-(0.2*B696)*5)),0)+IF(AND(ArtifactsInput!$M$22,Inputs!$B$4&lt;&gt;"Chapter Hunt"),CHOOSE(ArtifactsInput!$N$22+1,10,12,14,16,18,20)*((0*(((0.15*B696*5))^0/1)+1*(((0.15*B696*5))^1/1)+2*(((0.15*B696*5))^2/2)+3*(((0.15*B696*5))^3/6)+4*(((0.15*B696*5))^4/24)+5*(((0.15*B696*5))^5/120))/((((0.15*B696*5))^0/1)+(((0.15*B696*5))^1/1)+(((0.15*B696*5))^2/2)+(((0.15*B696*5))^3/6)+(((0.15*B696*5))^4/24)+(((0.15*B696*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74">
      <c r="A674">
        <f>Skills!A14</f>
        <v/>
      </c>
      <c r="B674">
        <f>Skills!B14</f>
        <v/>
      </c>
      <c r="C674">
        <f>Inputs!$B$3&gt;=105</f>
        <v/>
      </c>
      <c r="D674">
        <f>IF(Skills!C14=1,60+Inputs!$B$25+Inputs!$B$29,IF(Skills!C14=2,90+Inputs!$B$26+Inputs!$B$29,IF(Skills!C14=3,120+Inputs!$B$27+Inputs!$B$29,MAX(0,(Inputs!$B$3-100)*3)+Inputs!$B$28+Inputs!$B$29)))</f>
        <v/>
      </c>
      <c r="E674">
        <f>INDEX(FactorTable!$B$2:$Y$301, MATCH(ROUND(MIN(300,MAX(1,D674)),0), FactorTable!$A$2:$A$301,0), Skills!M14+1)</f>
        <v/>
      </c>
      <c r="F674">
        <f>IF(Skills!N14=TRUE,(Skills!L14/10)*(E674/1000),Skills!L14/10)+Skills!O14</f>
        <v/>
      </c>
      <c r="G674">
        <f>Calc!G14</f>
        <v/>
      </c>
      <c r="H674">
        <f>Calc!H14</f>
        <v/>
      </c>
      <c r="I674">
        <f>IF(Skills!AA14&lt;&gt;"",1+(Skills!AA14/10)*(U663/1000)/100,1)</f>
        <v/>
      </c>
      <c r="J674">
        <f>((Inputs!$B$6*(1+Inputs!$B$7/100))+(((Inputs!$B$12*(1+Inputs!$B$13/100))-(Inputs!$B$12*(1+Inputs!$B$13/100)))+0.25*(Inputs!$B$14-Inputs!$B$14))*(1+Inputs!$B$7/100))*(F674/100)</f>
        <v/>
      </c>
      <c r="K674">
        <f>J674*(1+((Inputs!$B$12*(1+Inputs!$B$13/100))*0.01+Inputs!$B$14*0.0025)/100)*(1+Inputs!$B$15/100)*(1+Inputs!$B$16/100)*(5000/(6000+Inputs!$B$43*(1-(100*(1-(1-(Inputs!$B$19+0)/100)*(1-CHOOSE(ArtifactsInput!$N$40+1,5,6,7,8,9,10)/100)^(ArtifactsInput!$M$40-ArtifactsInput!$M$40)))/100)))*(1+(Inputs!$B$24+((C690=TRUE)*(F690-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14="SHOWDOWN",Inputs!$B$17+((C683=TRUE)*(F683-Calc!F23))+(((IF(AND(ArtifactsInput!$M$42,((Inputs!$B$9+((C685=TRUE)*(F685-Calc!F25))+B700+(ArtifactsInput!$M$24-ArtifactsInput!$M$24)*CHOOSE(ArtifactsInput!$N$24+1,10,12,14,16,18,20)+IF(ArtifactsInput!$M$10,CHOOSE(ArtifactsInput!$N$10+1,15,18,21,24,27,30)*(IF(Inputs!$B$39="pvp",MIN(15,15)/15,IF(AND(Inputs!$B$39&lt;&gt;"pvp",Inputs!$B$44&gt;0),MIN(15,Inputs!$B$44)/(Inputs!$B$44),0))),0)))&gt;=100),MIN(100,((Inputs!$B$9+((C685=TRUE)*(F685-Calc!F25))+B700+(ArtifactsInput!$M$24-ArtifactsInput!$M$24)*CHOOSE(ArtifactsInput!$N$24+1,10,12,14,16,18,20)+IF(ArtifactsInput!$M$10,CHOOSE(ArtifactsInput!$N$10+1,15,18,21,24,27,30)*(IF(Inputs!$B$39="pvp",MIN(15,15)/15,IF(AND(Inputs!$B$39&lt;&gt;"pvp",Inputs!$B$44&gt;0),MIN(15,Inputs!$B$44)/(Inputs!$B$44),0))),0)))-100),0))*CHOOSE(ArtifactsInput!$N$42+1,0.6,0.72,0.84,0.96,1.08,1.2))),Inputs!$B$18+((C689=TRUE)*(F689-Calc!F29))+(IF(AND(ArtifactsInput!$M$42,((Inputs!$B$9+((C685=TRUE)*(F685-Calc!F25))+B700+(ArtifactsInput!$M$24-ArtifactsInput!$M$24)*CHOOSE(ArtifactsInput!$N$24+1,10,12,14,16,18,20)+IF(ArtifactsInput!$M$10,CHOOSE(ArtifactsInput!$N$10+1,15,18,21,24,27,30)*(IF(Inputs!$B$39="pvp",MIN(15,15)/15,IF(AND(Inputs!$B$39&lt;&gt;"pvp",Inputs!$B$44&gt;0),MIN(15,Inputs!$B$44)/(Inputs!$B$44),0))),0)))&gt;=100),CHOOSE(ArtifactsInput!$N$42+1,40,48,56,64,72,80),0))))/100)*(((1+(((C681=TRUE)*F681*IF(AND(Inputs!$B$39&lt;&gt;"pvp",Inputs!$B$44&gt;0),(((R681-1)*(Skills!Y21*(1+Inputs!$B$34/100))+MIN((Skills!Y21*(1+Inputs!$B$34/100)),MAX(0,Inputs!$B$44-((R681-1)*Skills!D21))))/Inputs!$B$44),IF(Inputs!$B$39="pvp",MIN((Skills!Y21*(1+Inputs!$B$34/100)),15)/15,(Skills!Y21*(1+Inputs!$B$34/100))/Skills!D21)))+((C688=TRUE)*(F688-Calc!F28))+((C678=TRUE)*(F678-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675=TRUE)*F675*IF(AND(Inputs!$B$39&lt;&gt;"pvp",Inputs!$B$44&gt;0),(((R675-1)*(Skills!Y15*(1+Inputs!$B$34/100))+MIN((Skills!Y15*(1+Inputs!$B$34/100)),MAX(0,Inputs!$B$44-((R675-1)*Skills!D15))))/Inputs!$B$44),IF(Inputs!$B$39="pvp",MIN((Skills!Y15*(1+Inputs!$B$34/100)),15)/15,(Skills!Y15*(1+Inputs!$B$34/100))/Skills!D15)))/100)*(1+((C666=TRUE)*F666*B694)/100))*B702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674)</f>
        <v/>
      </c>
      <c r="L674">
        <f>K674*(MIN(Inputs!$B$22+((C684=TRUE)*(F684-Calc!F24)),(Inputs!$B$23+0+(IF(ArtifactsInput!$M$15,CHOOSE(ArtifactsInput!$N$15+1,25,30,35,40,45,50)/100*(((1-(1-Inputs!$B$11/150)*(1-1/150))*150)-Inputs!$B$11),0))))/100+(Inputs!$B$23+0+(IF(ArtifactsInput!$M$15,CHOOSE(ArtifactsInput!$N$15+1,25,30,35,40,45,50)/100*(((1-(1-Inputs!$B$11/150)*(1-1/150))*150)-Inputs!$B$11),0)))/100)/2</f>
        <v/>
      </c>
      <c r="M674">
        <f>L674*(1+(Inputs!$B$10+((C686=TRUE)*(F686-Calc!F26))+B703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74">
        <f>L674*(1-MIN((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674*(MIN((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74">
        <f>(1-Summary!$B$11)*T674+Summary!$B$11*V674</f>
        <v/>
      </c>
      <c r="P674">
        <f>IF(B704=0,0,O674/B704)</f>
        <v/>
      </c>
      <c r="Q674">
        <f>IFERROR(1/IF(Inputs!$B$39="pvp",15,MAX(0.1,Skills!D14-IF(Skills!E14=TRUE,Inputs!$B$32,0))),0)</f>
        <v/>
      </c>
      <c r="R674">
        <f>IF(AND(Inputs!$B$39&lt;&gt;"pvp",Inputs!$B$44&gt;0),IF(MAX(0,Inputs!$B$44-B705)&lt;=0,0,(INT(MAX(0,Inputs!$B$44-B705)/IF(Inputs!$B$39="pvp",15,MAX(0.1,Skills!D14-IF(Skills!E14=TRUE,Inputs!$B$32,0))))+1)),0)</f>
        <v/>
      </c>
      <c r="S674">
        <f>IFERROR(O674/N674,0)</f>
        <v/>
      </c>
      <c r="T674">
        <f>IF(C674,(H674*N674*IF(AND(Inputs!$B$39&lt;&gt;"pvp",Inputs!$B$44&gt;0),((Skills!G14*((R674-1)*IF(Skills!H14&gt;0,Skills!I14/Skills!H14,1)+IF(Skills!H14&gt;0,MIN(Skills!I14,MAX(0,MAX(0,Inputs!$B$44-B705)-((R674-1)*IF(Inputs!$B$39="pvp",15,MAX(0.1,Skills!D14-IF(Skills!E14=TRUE,Inputs!$B$32,0))))))/Skills!H14,1)))/Inputs!$B$44),G674*Q674))*IF(Inputs!$B$39="pvp",1,1+(Inputs!$B$20+((C687=TRUE)*(F687-Calc!F27))+Skills!P14+B701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Hunt"),CHOOSE(ArtifactsInput!$N$35+1,15,18,21,24,27,30)*(1-EXP(-(0.2*B696)*5)),0)+IF(AND(ArtifactsInput!$M$22,Inputs!$B$4&lt;&gt;"Chapter Hunt"),CHOOSE(ArtifactsInput!$N$22+1,10,12,14,16,18,20)*((0*(((0.15*B696*5))^0/1)+1*(((0.15*B696*5))^1/1)+2*(((0.15*B696*5))^2/2)+3*(((0.15*B696*5))^3/6)+4*(((0.15*B696*5))^4/24)+5*(((0.15*B696*5))^5/120))/((((0.15*B696*5))^0/1)+(((0.15*B696*5))^1/1)+(((0.15*B696*5))^2/2)+(((0.15*B696*5))^3/6)+(((0.15*B696*5))^4/24)+(((0.15*B696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674*(1-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674*(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674*(1-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674*(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74">
        <f>IF(C674,(H674*N674*IF(AND(Inputs!$B$39&lt;&gt;"pvp",Inputs!$B$44&gt;0),((Skills!G14*((R674-1)*IF(Skills!H14&gt;0,Skills!I14/Skills!H14,1)+IF(Skills!H14&gt;0,MIN(Skills!I14,MAX(0,MAX(0,Inputs!$B$44-B705)-((R674-1)*IF(Inputs!$B$39="pvp",15,MAX(0.1,Skills!D14-IF(Skills!E14=TRUE,Inputs!$B$32,0))))))/Skills!H14,1)))/Inputs!$B$44),G674*Q674))*IF(Inputs!$B$39="pvp",1,(1+(Inputs!$B$21+Skills!Q14+B701+(IF(ArtifactsInput!$M$33,CHOOSE(ArtifactsInput!$N$33+1,30,36,42,48,54,60),0))+(IF(AND(ArtifactsInput!$M$35,Inputs!$B$4&lt;&gt;"Chapter Hunt"),CHOOSE(ArtifactsInput!$N$35+1,15,18,21,24,27,30)*(1-EXP(-(0.2*B696)*5)),0)+IF(AND(ArtifactsInput!$M$22,Inputs!$B$4&lt;&gt;"Chapter Hunt"),CHOOSE(ArtifactsInput!$N$22+1,10,12,14,16,18,20)*((0*(((0.15*B696*5))^0/1)+1*(((0.15*B696*5))^1/1)+2*(((0.15*B696*5))^2/2)+3*(((0.15*B696*5))^3/6)+4*(((0.15*B696*5))^4/24)+5*(((0.15*B696*5))^5/120))/((((0.15*B696*5))^0/1)+(((0.15*B696*5))^1/1)+(((0.15*B696*5))^2/2)+(((0.15*B696*5))^3/6)+(((0.15*B696*5))^4/24)+(((0.15*B696*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75">
      <c r="A675">
        <f>Skills!A15</f>
        <v/>
      </c>
      <c r="B675">
        <f>Skills!B15</f>
        <v/>
      </c>
      <c r="C675">
        <f>Inputs!$B$3&gt;=110</f>
        <v/>
      </c>
      <c r="D675">
        <f>IF(Skills!C15=1,60+Inputs!$B$25+Inputs!$B$29,IF(Skills!C15=2,90+Inputs!$B$26+Inputs!$B$29,IF(Skills!C15=3,120+Inputs!$B$27+Inputs!$B$29,MAX(0,(Inputs!$B$3-100)*3)+Inputs!$B$28+Inputs!$B$29)))</f>
        <v/>
      </c>
      <c r="E675">
        <f>INDEX(FactorTable!$B$2:$Y$301, MATCH(ROUND(MIN(300,MAX(1,D675)),0), FactorTable!$A$2:$A$301,0), Skills!M15+1)</f>
        <v/>
      </c>
      <c r="F675">
        <f>IF(Skills!N15=TRUE,(Skills!L15/10)*(E675/1000),Skills!L15/10)+Skills!O15</f>
        <v/>
      </c>
      <c r="G675">
        <f>Calc!G15</f>
        <v/>
      </c>
      <c r="H675">
        <f>Calc!H15</f>
        <v/>
      </c>
      <c r="I675">
        <f>IF(Skills!AA15&lt;&gt;"",1+(Skills!AA15/10)*(U663/1000)/100,1)</f>
        <v/>
      </c>
      <c r="J675" t="inlineStr"/>
      <c r="K675" t="inlineStr"/>
      <c r="L675" t="inlineStr"/>
      <c r="M675" t="inlineStr"/>
      <c r="N675" t="inlineStr"/>
      <c r="O675">
        <f>(1-Summary!$B$11)*T675+Summary!$B$11*V675</f>
        <v/>
      </c>
      <c r="P675">
        <f>IF(B704=0,0,O675/B704)</f>
        <v/>
      </c>
      <c r="Q675">
        <f>IFERROR(1/IF(Inputs!$B$39="pvp",15,MAX(0.1,Skills!D15-IF(Skills!E15=TRUE,Inputs!$B$32,0))),0)</f>
        <v/>
      </c>
      <c r="R675">
        <f>IF(AND(Inputs!$B$39&lt;&gt;"pvp",Inputs!$B$44&gt;0),IF(Inputs!$B$44&lt;=0,0,(INT(Inputs!$B$44/IF(Inputs!$B$39="pvp",15,MAX(0.1,Skills!D15-IF(Skills!E15=TRUE,Inputs!$B$32,0))))+1)),0)</f>
        <v/>
      </c>
      <c r="S675">
        <f>IFERROR(O675/N675,0)</f>
        <v/>
      </c>
      <c r="T675" t="n">
        <v>0</v>
      </c>
      <c r="V675" t="n">
        <v>0</v>
      </c>
    </row>
    <row r="676">
      <c r="A676">
        <f>Skills!A16</f>
        <v/>
      </c>
      <c r="B676">
        <f>Skills!B16</f>
        <v/>
      </c>
      <c r="C676">
        <f>Inputs!$B$3&gt;=110</f>
        <v/>
      </c>
      <c r="D676">
        <f>IF(Skills!C16=1,60+Inputs!$B$25+Inputs!$B$29,IF(Skills!C16=2,90+Inputs!$B$26+Inputs!$B$29,IF(Skills!C16=3,120+Inputs!$B$27+Inputs!$B$29,MAX(0,(Inputs!$B$3-100)*3)+Inputs!$B$28+Inputs!$B$29)))</f>
        <v/>
      </c>
      <c r="E676">
        <f>INDEX(FactorTable!$B$2:$Y$301, MATCH(ROUND(MIN(300,MAX(1,D676)),0), FactorTable!$A$2:$A$301,0), Skills!M16+1)</f>
        <v/>
      </c>
      <c r="F676">
        <f>IF(Skills!N16=TRUE,(Skills!L16/10)*(E676/1000),Skills!L16/10)+Skills!O16</f>
        <v/>
      </c>
      <c r="G676">
        <f>Calc!G16</f>
        <v/>
      </c>
      <c r="H676">
        <f>Calc!H16</f>
        <v/>
      </c>
      <c r="I676">
        <f>IF(Skills!AA16&lt;&gt;"",1+(Skills!AA16/10)*(U663/1000)/100,1)</f>
        <v/>
      </c>
      <c r="J676" t="inlineStr"/>
      <c r="K676" t="inlineStr"/>
      <c r="L676" t="inlineStr"/>
      <c r="M676" t="inlineStr"/>
      <c r="N676" t="inlineStr"/>
      <c r="O676">
        <f>(1-Summary!$B$11)*T676+Summary!$B$11*V676</f>
        <v/>
      </c>
      <c r="P676">
        <f>IF(B704=0,0,O676/B704)</f>
        <v/>
      </c>
      <c r="Q676">
        <f>IFERROR(1/IF(Inputs!$B$39="pvp",15,MAX(0.1,Skills!D16-IF(Skills!E16=TRUE,Inputs!$B$32,0))),0)</f>
        <v/>
      </c>
      <c r="R676">
        <f>IF(AND(Inputs!$B$39&lt;&gt;"pvp",Inputs!$B$44&gt;0),IF(Inputs!$B$44&lt;=0,0,(INT(Inputs!$B$44/IF(Inputs!$B$39="pvp",15,MAX(0.1,Skills!D16-IF(Skills!E16=TRUE,Inputs!$B$32,0))))+1)),0)</f>
        <v/>
      </c>
      <c r="S676">
        <f>IFERROR(O676/N676,0)</f>
        <v/>
      </c>
      <c r="T676" t="n">
        <v>0</v>
      </c>
      <c r="V676" t="n">
        <v>0</v>
      </c>
    </row>
    <row r="677">
      <c r="A677">
        <f>Skills!A17</f>
        <v/>
      </c>
      <c r="B677">
        <f>Skills!B17</f>
        <v/>
      </c>
      <c r="C677">
        <f>Inputs!$B$3&gt;=115</f>
        <v/>
      </c>
      <c r="D677">
        <f>IF(Skills!C17=1,60+Inputs!$B$25+Inputs!$B$29,IF(Skills!C17=2,90+Inputs!$B$26+Inputs!$B$29,IF(Skills!C17=3,120+Inputs!$B$27+Inputs!$B$29,MAX(0,(Inputs!$B$3-100)*3)+Inputs!$B$28+Inputs!$B$29)))</f>
        <v/>
      </c>
      <c r="E677">
        <f>INDEX(FactorTable!$B$2:$Y$301, MATCH(ROUND(MIN(300,MAX(1,D677)),0), FactorTable!$A$2:$A$301,0), Skills!M17+1)</f>
        <v/>
      </c>
      <c r="F677">
        <f>IF(Skills!N17=TRUE,(Skills!L17/10)*(E677/1000),Skills!L17/10)+Skills!O17</f>
        <v/>
      </c>
      <c r="G677">
        <f>Calc!G17</f>
        <v/>
      </c>
      <c r="H677">
        <f>Calc!H17</f>
        <v/>
      </c>
      <c r="I677">
        <f>IF(Skills!AA17&lt;&gt;"",1+(Skills!AA17/10)*(U663/1000)/100,1)</f>
        <v/>
      </c>
      <c r="J677">
        <f>((Inputs!$B$6*(1+Inputs!$B$7/100))+(((Inputs!$B$12*(1+Inputs!$B$13/100))-(Inputs!$B$12*(1+Inputs!$B$13/100)))+0.25*(Inputs!$B$14-Inputs!$B$14))*(1+Inputs!$B$7/100))*(F677/100)</f>
        <v/>
      </c>
      <c r="K677">
        <f>J677*(1+((Inputs!$B$12*(1+Inputs!$B$13/100))*0.01+Inputs!$B$14*0.0025)/100)*(1+Inputs!$B$15/100)*(1+Inputs!$B$16/100)*(5000/(6000+Inputs!$B$43*(1-(100*(1-(1-(Inputs!$B$19+0)/100)*(1-CHOOSE(ArtifactsInput!$N$40+1,5,6,7,8,9,10)/100)^(ArtifactsInput!$M$40-ArtifactsInput!$M$40)))/100)))*(1+(Inputs!$B$24+((C690=TRUE)*(F690-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17="SHOWDOWN",Inputs!$B$17+((C683=TRUE)*(F683-Calc!F23))+(((IF(AND(ArtifactsInput!$M$42,((Inputs!$B$9+((C685=TRUE)*(F685-Calc!F25))+B700+(ArtifactsInput!$M$24-ArtifactsInput!$M$24)*CHOOSE(ArtifactsInput!$N$24+1,10,12,14,16,18,20)+IF(ArtifactsInput!$M$10,CHOOSE(ArtifactsInput!$N$10+1,15,18,21,24,27,30)*(IF(Inputs!$B$39="pvp",MIN(15,15)/15,IF(AND(Inputs!$B$39&lt;&gt;"pvp",Inputs!$B$44&gt;0),MIN(15,Inputs!$B$44)/(Inputs!$B$44),0))),0)))&gt;=100),MIN(100,((Inputs!$B$9+((C685=TRUE)*(F685-Calc!F25))+B700+(ArtifactsInput!$M$24-ArtifactsInput!$M$24)*CHOOSE(ArtifactsInput!$N$24+1,10,12,14,16,18,20)+IF(ArtifactsInput!$M$10,CHOOSE(ArtifactsInput!$N$10+1,15,18,21,24,27,30)*(IF(Inputs!$B$39="pvp",MIN(15,15)/15,IF(AND(Inputs!$B$39&lt;&gt;"pvp",Inputs!$B$44&gt;0),MIN(15,Inputs!$B$44)/(Inputs!$B$44),0))),0)))-100),0))*CHOOSE(ArtifactsInput!$N$42+1,0.6,0.72,0.84,0.96,1.08,1.2))),Inputs!$B$18+((C689=TRUE)*(F689-Calc!F29))+(IF(AND(ArtifactsInput!$M$42,((Inputs!$B$9+((C685=TRUE)*(F685-Calc!F25))+B700+(ArtifactsInput!$M$24-ArtifactsInput!$M$24)*CHOOSE(ArtifactsInput!$N$24+1,10,12,14,16,18,20)+IF(ArtifactsInput!$M$10,CHOOSE(ArtifactsInput!$N$10+1,15,18,21,24,27,30)*(IF(Inputs!$B$39="pvp",MIN(15,15)/15,IF(AND(Inputs!$B$39&lt;&gt;"pvp",Inputs!$B$44&gt;0),MIN(15,Inputs!$B$44)/(Inputs!$B$44),0))),0)))&gt;=100),CHOOSE(ArtifactsInput!$N$42+1,40,48,56,64,72,80),0))))/100)*(((1+(((C681=TRUE)*F681*IF(AND(Inputs!$B$39&lt;&gt;"pvp",Inputs!$B$44&gt;0),(((R681-1)*(Skills!Y21*(1+Inputs!$B$34/100))+MIN((Skills!Y21*(1+Inputs!$B$34/100)),MAX(0,Inputs!$B$44-((R681-1)*Skills!D21))))/Inputs!$B$44),IF(Inputs!$B$39="pvp",MIN((Skills!Y21*(1+Inputs!$B$34/100)),15)/15,(Skills!Y21*(1+Inputs!$B$34/100))/Skills!D21)))+((C688=TRUE)*(F688-Calc!F28))+((C678=TRUE)*(F678-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675=TRUE)*F675*IF(AND(Inputs!$B$39&lt;&gt;"pvp",Inputs!$B$44&gt;0),(((R675-1)*(Skills!Y15*(1+Inputs!$B$34/100))+MIN((Skills!Y15*(1+Inputs!$B$34/100)),MAX(0,Inputs!$B$44-((R675-1)*Skills!D15))))/Inputs!$B$44),IF(Inputs!$B$39="pvp",MIN((Skills!Y15*(1+Inputs!$B$34/100)),15)/15,(Skills!Y15*(1+Inputs!$B$34/100))/Skills!D15)))/100)*(1+((C666=TRUE)*F666*B694)/100))*B702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677)</f>
        <v/>
      </c>
      <c r="L677">
        <f>K677*(MIN(Inputs!$B$22+((C684=TRUE)*(F684-Calc!F24)),(Inputs!$B$23+0+(IF(ArtifactsInput!$M$15,CHOOSE(ArtifactsInput!$N$15+1,25,30,35,40,45,50)/100*(((1-(1-Inputs!$B$11/150)*(1-1/150))*150)-Inputs!$B$11),0))))/100+(Inputs!$B$23+0+(IF(ArtifactsInput!$M$15,CHOOSE(ArtifactsInput!$N$15+1,25,30,35,40,45,50)/100*(((1-(1-Inputs!$B$11/150)*(1-1/150))*150)-Inputs!$B$11),0)))/100)/2</f>
        <v/>
      </c>
      <c r="M677">
        <f>L677*(1+(Inputs!$B$10+((C686=TRUE)*(F686-Calc!F26))+B703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77">
        <f>L677*(1-MIN((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677*(MIN((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77">
        <f>(1-Summary!$B$11)*T677+Summary!$B$11*V677</f>
        <v/>
      </c>
      <c r="P677">
        <f>IF(B704=0,0,O677/B704)</f>
        <v/>
      </c>
      <c r="Q677" t="n">
        <v>0</v>
      </c>
      <c r="R677" t="n">
        <v>0</v>
      </c>
      <c r="S677">
        <f>IFERROR(O677/N677,0)</f>
        <v/>
      </c>
      <c r="T677">
        <f>IF(C677,(Inputs!$B$38*0.2*N677)*IF(Inputs!$B$39="pvp",1,1+(Inputs!$B$20+((C687=TRUE)*(F687-Calc!F27))+Skills!P17+B701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Hunt"),CHOOSE(ArtifactsInput!$N$35+1,15,18,21,24,27,30)*(1-EXP(-(0.2*B696)*5)),0)+IF(AND(ArtifactsInput!$M$22,Inputs!$B$4&lt;&gt;"Chapter Hunt"),CHOOSE(ArtifactsInput!$N$22+1,10,12,14,16,18,20)*((0*(((0.15*B696*5))^0/1)+1*(((0.15*B696*5))^1/1)+2*(((0.15*B696*5))^2/2)+3*(((0.15*B696*5))^3/6)+4*(((0.15*B696*5))^4/24)+5*(((0.15*B696*5))^5/120))/((((0.15*B696*5))^0/1)+(((0.15*B696*5))^1/1)+(((0.15*B696*5))^2/2)+(((0.15*B696*5))^3/6)+(((0.15*B696*5))^4/24)+(((0.15*B696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677*(1-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677*(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677*(1-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677*(MIN(100,(Inputs!$B$9+((C685=TRUE)*(F685-Calc!F25))+B700+(ArtifactsInput!$M$24-ArtifactsInput!$M$24)*CHOOSE(ArtifactsInput!$N$24+1,10,12,14,16,18,20)+(IF(AND(ArtifactsInput!$M$42,((Inputs!$B$9+((C685=TRUE)*(F685-Calc!F25))+B700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77">
        <f>IF(C677,(Inputs!$B$38*0.2*N677)*IF(Inputs!$B$39="pvp",1,(1+(Inputs!$B$21+Skills!Q17+B701+(IF(ArtifactsInput!$M$33,CHOOSE(ArtifactsInput!$N$33+1,30,36,42,48,54,60),0))+(IF(AND(ArtifactsInput!$M$35,Inputs!$B$4&lt;&gt;"Chapter Hunt"),CHOOSE(ArtifactsInput!$N$35+1,15,18,21,24,27,30)*(1-EXP(-(0.2*B696)*5)),0)+IF(AND(ArtifactsInput!$M$22,Inputs!$B$4&lt;&gt;"Chapter Hunt"),CHOOSE(ArtifactsInput!$N$22+1,10,12,14,16,18,20)*((0*(((0.15*B696*5))^0/1)+1*(((0.15*B696*5))^1/1)+2*(((0.15*B696*5))^2/2)+3*(((0.15*B696*5))^3/6)+4*(((0.15*B696*5))^4/24)+5*(((0.15*B696*5))^5/120))/((((0.15*B696*5))^0/1)+(((0.15*B696*5))^1/1)+(((0.15*B696*5))^2/2)+(((0.15*B696*5))^3/6)+(((0.15*B696*5))^4/24)+(((0.15*B696*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78">
      <c r="A678">
        <f>Skills!A18</f>
        <v/>
      </c>
      <c r="B678">
        <f>Skills!B18</f>
        <v/>
      </c>
      <c r="C678">
        <f>Inputs!$B$3&gt;=115</f>
        <v/>
      </c>
      <c r="D678">
        <f>IF(Skills!C18=1,60+Inputs!$B$25+Inputs!$B$29,IF(Skills!C18=2,90+Inputs!$B$26+Inputs!$B$29,IF(Skills!C18=3,120+Inputs!$B$27+Inputs!$B$29,MAX(0,(Inputs!$B$3-100)*3)+Inputs!$B$28+Inputs!$B$29)))</f>
        <v/>
      </c>
      <c r="E678">
        <f>INDEX(FactorTable!$B$2:$Y$301, MATCH(ROUND(MIN(300,MAX(1,D678)),0), FactorTable!$A$2:$A$301,0), Skills!M18+1)</f>
        <v/>
      </c>
      <c r="F678">
        <f>IF(Skills!N18=TRUE,(Skills!L18/10)*(E678/1000),Skills!L18/10)+Skills!O18</f>
        <v/>
      </c>
      <c r="G678">
        <f>Calc!G18</f>
        <v/>
      </c>
      <c r="H678">
        <f>Calc!H18</f>
        <v/>
      </c>
      <c r="I678">
        <f>IF(Skills!AA18&lt;&gt;"",1+(Skills!AA18/10)*(U663/1000)/100,1)</f>
        <v/>
      </c>
      <c r="J678" t="inlineStr"/>
      <c r="K678" t="inlineStr"/>
      <c r="L678" t="inlineStr"/>
      <c r="M678" t="inlineStr"/>
      <c r="N678" t="inlineStr"/>
      <c r="O678">
        <f>(1-Summary!$B$11)*T678+Summary!$B$11*V678</f>
        <v/>
      </c>
      <c r="P678">
        <f>IF(B704=0,0,O678/B704)</f>
        <v/>
      </c>
      <c r="Q678" t="n">
        <v>0</v>
      </c>
      <c r="R678" t="n">
        <v>0</v>
      </c>
      <c r="S678">
        <f>IFERROR(O678/N678,0)</f>
        <v/>
      </c>
      <c r="T678" t="n">
        <v>0</v>
      </c>
      <c r="V678" t="n">
        <v>0</v>
      </c>
    </row>
    <row r="679">
      <c r="A679">
        <f>Skills!A19</f>
        <v/>
      </c>
      <c r="B679">
        <f>Skills!B19</f>
        <v/>
      </c>
      <c r="C679">
        <f>TRUE</f>
        <v/>
      </c>
      <c r="D679">
        <f>IF(Skills!C19=1,60+Inputs!$B$25+Inputs!$B$29,IF(Skills!C19=2,90+Inputs!$B$26+Inputs!$B$29,IF(Skills!C19=3,120+Inputs!$B$27+Inputs!$B$29,MAX(0,(Inputs!$B$3-100)*3)+Inputs!$B$28+Inputs!$B$29)))</f>
        <v/>
      </c>
      <c r="E679">
        <f>INDEX(FactorTable!$B$2:$Y$301, MATCH(ROUND(MIN(300,MAX(1,D679)),0), FactorTable!$A$2:$A$301,0), Skills!M19+1)</f>
        <v/>
      </c>
      <c r="F679">
        <f>IF(Skills!N19=TRUE,(Skills!L19/10)*(E679/1000),Skills!L19/10)+Skills!O19</f>
        <v/>
      </c>
      <c r="G679">
        <f>Calc!G19</f>
        <v/>
      </c>
      <c r="H679">
        <f>Calc!H19</f>
        <v/>
      </c>
      <c r="I679">
        <f>IF(Skills!AA19&lt;&gt;"",1+(Skills!AA19/10)*(U663/1000)/100,1)</f>
        <v/>
      </c>
      <c r="J679" t="inlineStr"/>
      <c r="K679" t="inlineStr"/>
      <c r="L679" t="inlineStr"/>
      <c r="M679" t="inlineStr"/>
      <c r="N679" t="inlineStr"/>
      <c r="O679">
        <f>(1-Summary!$B$11)*T679+Summary!$B$11*V679</f>
        <v/>
      </c>
      <c r="P679">
        <f>IF(B704=0,0,O679/B704)</f>
        <v/>
      </c>
      <c r="Q679">
        <f>IFERROR(1/IF(Inputs!$B$39="pvp",15,MAX(0.1,Skills!D19-IF(Skills!E19=TRUE,Inputs!$B$32,0))),0)</f>
        <v/>
      </c>
      <c r="R679">
        <f>IF(AND(Inputs!$B$39&lt;&gt;"pvp",Inputs!$B$44&gt;0),IF(Inputs!$B$44&lt;=0,0,(INT(Inputs!$B$44/IF(Inputs!$B$39="pvp",15,MAX(0.1,Skills!D19-IF(Skills!E19=TRUE,Inputs!$B$32,0))))+1)),0)</f>
        <v/>
      </c>
      <c r="S679">
        <f>IFERROR(O679/N679,0)</f>
        <v/>
      </c>
      <c r="T679" t="n">
        <v>0</v>
      </c>
      <c r="V679" t="n">
        <v>0</v>
      </c>
    </row>
    <row r="680">
      <c r="A680">
        <f>Skills!A20</f>
        <v/>
      </c>
      <c r="B680">
        <f>Skills!B20</f>
        <v/>
      </c>
      <c r="C680">
        <f>Inputs!$B$3&gt;=15</f>
        <v/>
      </c>
      <c r="D680">
        <f>IF(Skills!C20=1,60+Inputs!$B$25+Inputs!$B$29,IF(Skills!C20=2,90+Inputs!$B$26+Inputs!$B$29,IF(Skills!C20=3,120+Inputs!$B$27+Inputs!$B$29,MAX(0,(Inputs!$B$3-100)*3)+Inputs!$B$28+Inputs!$B$29)))</f>
        <v/>
      </c>
      <c r="E680">
        <f>INDEX(FactorTable!$B$2:$Y$301, MATCH(ROUND(MIN(300,MAX(1,D680)),0), FactorTable!$A$2:$A$301,0), Skills!M20+1)</f>
        <v/>
      </c>
      <c r="F680">
        <f>IF(Skills!N20=TRUE,(Skills!L20/10)*(E680/1000),Skills!L20/10)+Skills!O20</f>
        <v/>
      </c>
      <c r="G680">
        <f>Calc!G20</f>
        <v/>
      </c>
      <c r="H680">
        <f>Calc!H20</f>
        <v/>
      </c>
      <c r="I680">
        <f>IF(Skills!AA20&lt;&gt;"",1+(Skills!AA20/10)*(U663/1000)/100,1)</f>
        <v/>
      </c>
      <c r="J680" t="inlineStr"/>
      <c r="K680" t="inlineStr"/>
      <c r="L680" t="inlineStr"/>
      <c r="M680" t="inlineStr"/>
      <c r="N680" t="inlineStr"/>
      <c r="O680">
        <f>(1-Summary!$B$11)*T680+Summary!$B$11*V680</f>
        <v/>
      </c>
      <c r="P680">
        <f>IF(B704=0,0,O680/B704)</f>
        <v/>
      </c>
      <c r="Q680">
        <f>IFERROR(1/IF(Inputs!$B$39="pvp",15,MAX(0.1,Skills!D20-IF(Skills!E20=TRUE,Inputs!$B$32,0))),0)</f>
        <v/>
      </c>
      <c r="R680">
        <f>IF(AND(Inputs!$B$39&lt;&gt;"pvp",Inputs!$B$44&gt;0),IF(Inputs!$B$44&lt;=0,0,(INT(Inputs!$B$44/IF(Inputs!$B$39="pvp",15,MAX(0.1,Skills!D20-IF(Skills!E20=TRUE,Inputs!$B$32,0))))+1)),0)</f>
        <v/>
      </c>
      <c r="S680">
        <f>IFERROR(O680/N680,0)</f>
        <v/>
      </c>
      <c r="T680" t="n">
        <v>0</v>
      </c>
      <c r="V680" t="n">
        <v>0</v>
      </c>
    </row>
    <row r="681">
      <c r="A681">
        <f>Skills!A21</f>
        <v/>
      </c>
      <c r="B681">
        <f>Skills!B21</f>
        <v/>
      </c>
      <c r="C681">
        <f>Inputs!$B$3&gt;=15</f>
        <v/>
      </c>
      <c r="D681">
        <f>IF(Skills!C21=1,60+Inputs!$B$25+Inputs!$B$29,IF(Skills!C21=2,90+Inputs!$B$26+Inputs!$B$29,IF(Skills!C21=3,120+Inputs!$B$27+Inputs!$B$29,MAX(0,(Inputs!$B$3-100)*3)+Inputs!$B$28+Inputs!$B$29)))</f>
        <v/>
      </c>
      <c r="E681">
        <f>INDEX(FactorTable!$B$2:$Y$301, MATCH(ROUND(MIN(300,MAX(1,D681)),0), FactorTable!$A$2:$A$301,0), Skills!M21+1)</f>
        <v/>
      </c>
      <c r="F681">
        <f>IF(Skills!N21=TRUE,(Skills!L21/10)*(E681/1000),Skills!L21/10)+Skills!O21</f>
        <v/>
      </c>
      <c r="G681">
        <f>Calc!G21</f>
        <v/>
      </c>
      <c r="H681">
        <f>Calc!H21</f>
        <v/>
      </c>
      <c r="I681">
        <f>IF(Skills!AA21&lt;&gt;"",1+(Skills!AA21/10)*(U663/1000)/100,1)</f>
        <v/>
      </c>
      <c r="J681" t="inlineStr"/>
      <c r="K681" t="inlineStr"/>
      <c r="L681" t="inlineStr"/>
      <c r="M681" t="inlineStr"/>
      <c r="N681" t="inlineStr"/>
      <c r="O681">
        <f>(1-Summary!$B$11)*T681+Summary!$B$11*V681</f>
        <v/>
      </c>
      <c r="P681">
        <f>IF(B704=0,0,O681/B704)</f>
        <v/>
      </c>
      <c r="Q681">
        <f>IFERROR(1/IF(Inputs!$B$39="pvp",15,MAX(0.1,Skills!D21-IF(Skills!E21=TRUE,Inputs!$B$32,0))),0)</f>
        <v/>
      </c>
      <c r="R681">
        <f>IF(AND(Inputs!$B$39&lt;&gt;"pvp",Inputs!$B$44&gt;0),IF(Inputs!$B$44&lt;=0,0,(INT(Inputs!$B$44/IF(Inputs!$B$39="pvp",15,MAX(0.1,Skills!D21-IF(Skills!E21=TRUE,Inputs!$B$32,0))))+1)),0)</f>
        <v/>
      </c>
      <c r="S681">
        <f>IFERROR(O681/N681,0)</f>
        <v/>
      </c>
      <c r="T681" t="n">
        <v>0</v>
      </c>
      <c r="V681" t="n">
        <v>0</v>
      </c>
    </row>
    <row r="682">
      <c r="A682">
        <f>Skills!A22</f>
        <v/>
      </c>
      <c r="B682">
        <f>Skills!B22</f>
        <v/>
      </c>
      <c r="C682">
        <f>Inputs!$B$3&gt;=33</f>
        <v/>
      </c>
      <c r="D682">
        <f>IF(Skills!C22=1,60+Inputs!$B$25+Inputs!$B$29,IF(Skills!C22=2,90+Inputs!$B$26+Inputs!$B$29,IF(Skills!C22=3,120+Inputs!$B$27+Inputs!$B$29,MAX(0,(Inputs!$B$3-100)*3)+Inputs!$B$28+Inputs!$B$29)))</f>
        <v/>
      </c>
      <c r="E682">
        <f>INDEX(FactorTable!$B$2:$Y$301, MATCH(ROUND(MIN(300,MAX(1,D682)),0), FactorTable!$A$2:$A$301,0), Skills!M22+1)</f>
        <v/>
      </c>
      <c r="F682">
        <f>IF(Skills!N22=TRUE,(Skills!L22/10)*(E682/1000),Skills!L22/10)+Skills!O22</f>
        <v/>
      </c>
      <c r="G682">
        <f>Calc!G22</f>
        <v/>
      </c>
      <c r="H682">
        <f>Calc!H22</f>
        <v/>
      </c>
      <c r="I682">
        <f>IF(Skills!AA22&lt;&gt;"",1+(Skills!AA22/10)*(U663/1000)/100,1)</f>
        <v/>
      </c>
      <c r="J682" t="inlineStr"/>
      <c r="K682" t="inlineStr"/>
      <c r="L682" t="inlineStr"/>
      <c r="M682" t="inlineStr"/>
      <c r="N682" t="inlineStr"/>
      <c r="O682">
        <f>(1-Summary!$B$11)*T682+Summary!$B$11*V682</f>
        <v/>
      </c>
      <c r="P682">
        <f>IF(B704=0,0,O682/B704)</f>
        <v/>
      </c>
      <c r="Q682" t="n">
        <v>0</v>
      </c>
      <c r="R682" t="n">
        <v>0</v>
      </c>
      <c r="S682">
        <f>IFERROR(O682/N682,0)</f>
        <v/>
      </c>
      <c r="T682" t="n">
        <v>0</v>
      </c>
      <c r="V682" t="n">
        <v>0</v>
      </c>
    </row>
    <row r="683">
      <c r="A683">
        <f>Skills!A23</f>
        <v/>
      </c>
      <c r="B683">
        <f>Skills!B23</f>
        <v/>
      </c>
      <c r="C683">
        <f>Inputs!$B$3&gt;=38</f>
        <v/>
      </c>
      <c r="D683">
        <f>IF(Skills!C23=1,60+Inputs!$B$25+Inputs!$B$29,IF(Skills!C23=2,90+Inputs!$B$26+Inputs!$B$29,IF(Skills!C23=3,120+Inputs!$B$27+Inputs!$B$29,MAX(0,(Inputs!$B$3-100)*3)+Inputs!$B$28+Inputs!$B$29)))</f>
        <v/>
      </c>
      <c r="E683">
        <f>INDEX(FactorTable!$B$2:$Y$301, MATCH(ROUND(MIN(300,MAX(1,D683)),0), FactorTable!$A$2:$A$301,0), Skills!M23+1)</f>
        <v/>
      </c>
      <c r="F683">
        <f>IF(Skills!N23=TRUE,(Skills!L23/10)*(E683/1000),Skills!L23/10)+Skills!O23</f>
        <v/>
      </c>
      <c r="G683">
        <f>Calc!G23</f>
        <v/>
      </c>
      <c r="H683">
        <f>Calc!H23</f>
        <v/>
      </c>
      <c r="I683">
        <f>IF(Skills!AA23&lt;&gt;"",1+(Skills!AA23/10)*(U663/1000)/100,1)</f>
        <v/>
      </c>
      <c r="J683" t="inlineStr"/>
      <c r="K683" t="inlineStr"/>
      <c r="L683" t="inlineStr"/>
      <c r="M683" t="inlineStr"/>
      <c r="N683" t="inlineStr"/>
      <c r="O683">
        <f>(1-Summary!$B$11)*T683+Summary!$B$11*V683</f>
        <v/>
      </c>
      <c r="P683">
        <f>IF(B704=0,0,O683/B704)</f>
        <v/>
      </c>
      <c r="Q683" t="n">
        <v>0</v>
      </c>
      <c r="R683" t="n">
        <v>0</v>
      </c>
      <c r="S683">
        <f>IFERROR(O683/N683,0)</f>
        <v/>
      </c>
      <c r="T683" t="n">
        <v>0</v>
      </c>
      <c r="V683" t="n">
        <v>0</v>
      </c>
    </row>
    <row r="684">
      <c r="A684">
        <f>Skills!A24</f>
        <v/>
      </c>
      <c r="B684">
        <f>Skills!B24</f>
        <v/>
      </c>
      <c r="C684">
        <f>Inputs!$B$3&gt;=40</f>
        <v/>
      </c>
      <c r="D684">
        <f>IF(Skills!C24=1,60+Inputs!$B$25+Inputs!$B$29,IF(Skills!C24=2,90+Inputs!$B$26+Inputs!$B$29,IF(Skills!C24=3,120+Inputs!$B$27+Inputs!$B$29,MAX(0,(Inputs!$B$3-100)*3)+Inputs!$B$28+Inputs!$B$29)))</f>
        <v/>
      </c>
      <c r="E684">
        <f>INDEX(FactorTable!$B$2:$Y$301, MATCH(ROUND(MIN(300,MAX(1,D684)),0), FactorTable!$A$2:$A$301,0), Skills!M24+1)</f>
        <v/>
      </c>
      <c r="F684">
        <f>IF(Skills!N24=TRUE,(Skills!L24/10)*(E684/1000),Skills!L24/10)+Skills!O24</f>
        <v/>
      </c>
      <c r="G684">
        <f>Calc!G24</f>
        <v/>
      </c>
      <c r="H684">
        <f>Calc!H24</f>
        <v/>
      </c>
      <c r="I684">
        <f>IF(Skills!AA24&lt;&gt;"",1+(Skills!AA24/10)*(U663/1000)/100,1)</f>
        <v/>
      </c>
      <c r="J684" t="inlineStr"/>
      <c r="K684" t="inlineStr"/>
      <c r="L684" t="inlineStr"/>
      <c r="M684" t="inlineStr"/>
      <c r="N684" t="inlineStr"/>
      <c r="O684">
        <f>(1-Summary!$B$11)*T684+Summary!$B$11*V684</f>
        <v/>
      </c>
      <c r="P684">
        <f>IF(B704=0,0,O684/B704)</f>
        <v/>
      </c>
      <c r="Q684" t="n">
        <v>0</v>
      </c>
      <c r="R684" t="n">
        <v>0</v>
      </c>
      <c r="S684">
        <f>IFERROR(O684/N684,0)</f>
        <v/>
      </c>
      <c r="T684" t="n">
        <v>0</v>
      </c>
      <c r="V684" t="n">
        <v>0</v>
      </c>
    </row>
    <row r="685">
      <c r="A685">
        <f>Skills!A25</f>
        <v/>
      </c>
      <c r="B685">
        <f>Skills!B25</f>
        <v/>
      </c>
      <c r="C685">
        <f>Inputs!$B$3&gt;=45</f>
        <v/>
      </c>
      <c r="D685">
        <f>IF(Skills!C25=1,60+Inputs!$B$25+Inputs!$B$29,IF(Skills!C25=2,90+Inputs!$B$26+Inputs!$B$29,IF(Skills!C25=3,120+Inputs!$B$27+Inputs!$B$29,MAX(0,(Inputs!$B$3-100)*3)+Inputs!$B$28+Inputs!$B$29)))</f>
        <v/>
      </c>
      <c r="E685">
        <f>INDEX(FactorTable!$B$2:$Y$301, MATCH(ROUND(MIN(300,MAX(1,D685)),0), FactorTable!$A$2:$A$301,0), Skills!M25+1)</f>
        <v/>
      </c>
      <c r="F685">
        <f>IF(Skills!N25=TRUE,(Skills!L25/10)*(E685/1000),Skills!L25/10)+Skills!O25</f>
        <v/>
      </c>
      <c r="G685">
        <f>Calc!G25</f>
        <v/>
      </c>
      <c r="H685">
        <f>Calc!H25</f>
        <v/>
      </c>
      <c r="I685">
        <f>IF(Skills!AA25&lt;&gt;"",1+(Skills!AA25/10)*(U663/1000)/100,1)</f>
        <v/>
      </c>
      <c r="J685" t="inlineStr"/>
      <c r="K685" t="inlineStr"/>
      <c r="L685" t="inlineStr"/>
      <c r="M685" t="inlineStr"/>
      <c r="N685" t="inlineStr"/>
      <c r="O685">
        <f>(1-Summary!$B$11)*T685+Summary!$B$11*V685</f>
        <v/>
      </c>
      <c r="P685">
        <f>IF(B704=0,0,O685/B704)</f>
        <v/>
      </c>
      <c r="Q685" t="n">
        <v>0</v>
      </c>
      <c r="R685" t="n">
        <v>0</v>
      </c>
      <c r="S685">
        <f>IFERROR(O685/N685,0)</f>
        <v/>
      </c>
      <c r="T685" t="n">
        <v>0</v>
      </c>
      <c r="V685" t="n">
        <v>0</v>
      </c>
    </row>
    <row r="686">
      <c r="A686">
        <f>Skills!A26</f>
        <v/>
      </c>
      <c r="B686">
        <f>Skills!B26</f>
        <v/>
      </c>
      <c r="C686">
        <f>Inputs!$B$3&gt;=45</f>
        <v/>
      </c>
      <c r="D686">
        <f>IF(Skills!C26=1,60+Inputs!$B$25+Inputs!$B$29,IF(Skills!C26=2,90+Inputs!$B$26+Inputs!$B$29,IF(Skills!C26=3,120+Inputs!$B$27+Inputs!$B$29,MAX(0,(Inputs!$B$3-100)*3)+Inputs!$B$28+Inputs!$B$29)))</f>
        <v/>
      </c>
      <c r="E686">
        <f>INDEX(FactorTable!$B$2:$Y$301, MATCH(ROUND(MIN(300,MAX(1,D686)),0), FactorTable!$A$2:$A$301,0), Skills!M26+1)</f>
        <v/>
      </c>
      <c r="F686">
        <f>IF(Skills!N26=TRUE,(Skills!L26/10)*(E686/1000),Skills!L26/10)+Skills!O26</f>
        <v/>
      </c>
      <c r="G686">
        <f>Calc!G26</f>
        <v/>
      </c>
      <c r="H686">
        <f>Calc!H26</f>
        <v/>
      </c>
      <c r="I686">
        <f>IF(Skills!AA26&lt;&gt;"",1+(Skills!AA26/10)*(U663/1000)/100,1)</f>
        <v/>
      </c>
      <c r="J686" t="inlineStr"/>
      <c r="K686" t="inlineStr"/>
      <c r="L686" t="inlineStr"/>
      <c r="M686" t="inlineStr"/>
      <c r="N686" t="inlineStr"/>
      <c r="O686">
        <f>(1-Summary!$B$11)*T686+Summary!$B$11*V686</f>
        <v/>
      </c>
      <c r="P686">
        <f>IF(B704=0,0,O686/B704)</f>
        <v/>
      </c>
      <c r="Q686" t="n">
        <v>0</v>
      </c>
      <c r="R686" t="n">
        <v>0</v>
      </c>
      <c r="S686">
        <f>IFERROR(O686/N686,0)</f>
        <v/>
      </c>
      <c r="T686" t="n">
        <v>0</v>
      </c>
      <c r="V686" t="n">
        <v>0</v>
      </c>
    </row>
    <row r="687">
      <c r="A687">
        <f>Skills!A27</f>
        <v/>
      </c>
      <c r="B687">
        <f>Skills!B27</f>
        <v/>
      </c>
      <c r="C687">
        <f>Inputs!$B$3&gt;=72</f>
        <v/>
      </c>
      <c r="D687">
        <f>IF(Skills!C27=1,60+Inputs!$B$25+Inputs!$B$29,IF(Skills!C27=2,90+Inputs!$B$26+Inputs!$B$29,IF(Skills!C27=3,120+Inputs!$B$27+Inputs!$B$29,MAX(0,(Inputs!$B$3-100)*3)+Inputs!$B$28+Inputs!$B$29)))</f>
        <v/>
      </c>
      <c r="E687">
        <f>INDEX(FactorTable!$B$2:$Y$301, MATCH(ROUND(MIN(300,MAX(1,D687)),0), FactorTable!$A$2:$A$301,0), Skills!M27+1)</f>
        <v/>
      </c>
      <c r="F687">
        <f>IF(Skills!N27=TRUE,(Skills!L27/10)*(E687/1000),Skills!L27/10)+Skills!O27</f>
        <v/>
      </c>
      <c r="G687">
        <f>Calc!G27</f>
        <v/>
      </c>
      <c r="H687">
        <f>Calc!H27</f>
        <v/>
      </c>
      <c r="I687">
        <f>IF(Skills!AA27&lt;&gt;"",1+(Skills!AA27/10)*(U663/1000)/100,1)</f>
        <v/>
      </c>
      <c r="J687" t="inlineStr"/>
      <c r="K687" t="inlineStr"/>
      <c r="L687" t="inlineStr"/>
      <c r="M687" t="inlineStr"/>
      <c r="N687" t="inlineStr"/>
      <c r="O687">
        <f>(1-Summary!$B$11)*T687+Summary!$B$11*V687</f>
        <v/>
      </c>
      <c r="P687">
        <f>IF(B704=0,0,O687/B704)</f>
        <v/>
      </c>
      <c r="Q687" t="n">
        <v>0</v>
      </c>
      <c r="R687" t="n">
        <v>0</v>
      </c>
      <c r="S687">
        <f>IFERROR(O687/N687,0)</f>
        <v/>
      </c>
      <c r="T687" t="n">
        <v>0</v>
      </c>
      <c r="V687" t="n">
        <v>0</v>
      </c>
    </row>
    <row r="688">
      <c r="A688">
        <f>Skills!A28</f>
        <v/>
      </c>
      <c r="B688">
        <f>Skills!B28</f>
        <v/>
      </c>
      <c r="C688">
        <f>Inputs!$B$3&gt;=75</f>
        <v/>
      </c>
      <c r="D688">
        <f>IF(Skills!C28=1,60+Inputs!$B$25+Inputs!$B$29,IF(Skills!C28=2,90+Inputs!$B$26+Inputs!$B$29,IF(Skills!C28=3,120+Inputs!$B$27+Inputs!$B$29,MAX(0,(Inputs!$B$3-100)*3)+Inputs!$B$28+Inputs!$B$29)))</f>
        <v/>
      </c>
      <c r="E688">
        <f>INDEX(FactorTable!$B$2:$Y$301, MATCH(ROUND(MIN(300,MAX(1,D688)),0), FactorTable!$A$2:$A$301,0), Skills!M28+1)</f>
        <v/>
      </c>
      <c r="F688">
        <f>IF(Skills!N28=TRUE,(Skills!L28/10)*(E688/1000),Skills!L28/10)+Skills!O28</f>
        <v/>
      </c>
      <c r="G688">
        <f>Calc!G28</f>
        <v/>
      </c>
      <c r="H688">
        <f>Calc!H28</f>
        <v/>
      </c>
      <c r="I688">
        <f>IF(Skills!AA28&lt;&gt;"",1+(Skills!AA28/10)*(U663/1000)/100,1)</f>
        <v/>
      </c>
      <c r="J688" t="inlineStr"/>
      <c r="K688" t="inlineStr"/>
      <c r="L688" t="inlineStr"/>
      <c r="M688" t="inlineStr"/>
      <c r="N688" t="inlineStr"/>
      <c r="O688">
        <f>(1-Summary!$B$11)*T688+Summary!$B$11*V688</f>
        <v/>
      </c>
      <c r="P688">
        <f>IF(B704=0,0,O688/B704)</f>
        <v/>
      </c>
      <c r="Q688" t="n">
        <v>0</v>
      </c>
      <c r="R688" t="n">
        <v>0</v>
      </c>
      <c r="S688">
        <f>IFERROR(O688/N688,0)</f>
        <v/>
      </c>
      <c r="T688" t="n">
        <v>0</v>
      </c>
      <c r="V688" t="n">
        <v>0</v>
      </c>
    </row>
    <row r="689">
      <c r="A689">
        <f>Skills!A29</f>
        <v/>
      </c>
      <c r="B689">
        <f>Skills!B29</f>
        <v/>
      </c>
      <c r="C689">
        <f>Inputs!$B$3&gt;=120</f>
        <v/>
      </c>
      <c r="D689">
        <f>IF(Skills!C29=1,60+Inputs!$B$25+Inputs!$B$29,IF(Skills!C29=2,90+Inputs!$B$26+Inputs!$B$29,IF(Skills!C29=3,120+Inputs!$B$27+Inputs!$B$29,MAX(0,(Inputs!$B$3-100)*3)+Inputs!$B$28+Inputs!$B$29)))</f>
        <v/>
      </c>
      <c r="E689">
        <f>INDEX(FactorTable!$B$2:$Y$301, MATCH(ROUND(MIN(300,MAX(1,D689)),0), FactorTable!$A$2:$A$301,0), Skills!M29+1)</f>
        <v/>
      </c>
      <c r="F689">
        <f>IF(Skills!N29=TRUE,(Skills!L29/10)*(E689/1000),Skills!L29/10)+Skills!O29</f>
        <v/>
      </c>
      <c r="G689">
        <f>Calc!G29</f>
        <v/>
      </c>
      <c r="H689">
        <f>Calc!H29</f>
        <v/>
      </c>
      <c r="I689">
        <f>IF(Skills!AA29&lt;&gt;"",1+(Skills!AA29/10)*(U663/1000)/100,1)</f>
        <v/>
      </c>
      <c r="J689" t="inlineStr"/>
      <c r="K689" t="inlineStr"/>
      <c r="L689" t="inlineStr"/>
      <c r="M689" t="inlineStr"/>
      <c r="N689" t="inlineStr"/>
      <c r="O689">
        <f>(1-Summary!$B$11)*T689+Summary!$B$11*V689</f>
        <v/>
      </c>
      <c r="P689">
        <f>IF(B704=0,0,O689/B704)</f>
        <v/>
      </c>
      <c r="Q689" t="n">
        <v>0</v>
      </c>
      <c r="R689" t="n">
        <v>0</v>
      </c>
      <c r="S689">
        <f>IFERROR(O689/N689,0)</f>
        <v/>
      </c>
      <c r="T689" t="n">
        <v>0</v>
      </c>
      <c r="V689" t="n">
        <v>0</v>
      </c>
    </row>
    <row r="690">
      <c r="A690">
        <f>Skills!A30</f>
        <v/>
      </c>
      <c r="B690">
        <f>Skills!B30</f>
        <v/>
      </c>
      <c r="C690">
        <f>Inputs!$B$3&gt;=125</f>
        <v/>
      </c>
      <c r="D690">
        <f>IF(Skills!C30=1,60+Inputs!$B$25+Inputs!$B$29,IF(Skills!C30=2,90+Inputs!$B$26+Inputs!$B$29,IF(Skills!C30=3,120+Inputs!$B$27+Inputs!$B$29,MAX(0,(Inputs!$B$3-100)*3)+Inputs!$B$28+Inputs!$B$29)))</f>
        <v/>
      </c>
      <c r="E690">
        <f>INDEX(FactorTable!$B$2:$Y$301, MATCH(ROUND(MIN(300,MAX(1,D690)),0), FactorTable!$A$2:$A$301,0), Skills!M30+1)</f>
        <v/>
      </c>
      <c r="F690">
        <f>IF(Skills!N30=TRUE,(Skills!L30/10)*(E690/1000),Skills!L30/10)+Skills!O30</f>
        <v/>
      </c>
      <c r="G690">
        <f>Calc!G30</f>
        <v/>
      </c>
      <c r="H690">
        <f>Calc!H30</f>
        <v/>
      </c>
      <c r="I690">
        <f>IF(Skills!AA30&lt;&gt;"",1+(Skills!AA30/10)*(U663/1000)/100,1)</f>
        <v/>
      </c>
      <c r="J690" t="inlineStr"/>
      <c r="K690" t="inlineStr"/>
      <c r="L690" t="inlineStr"/>
      <c r="M690" t="inlineStr"/>
      <c r="N690" t="inlineStr"/>
      <c r="O690">
        <f>(1-Summary!$B$11)*T690+Summary!$B$11*V690</f>
        <v/>
      </c>
      <c r="P690">
        <f>IF(B704=0,0,O690/B704)</f>
        <v/>
      </c>
      <c r="Q690" t="n">
        <v>0</v>
      </c>
      <c r="R690" t="n">
        <v>0</v>
      </c>
      <c r="S690">
        <f>IFERROR(O690/N690,0)</f>
        <v/>
      </c>
      <c r="T690" t="n">
        <v>0</v>
      </c>
      <c r="V690" t="n">
        <v>0</v>
      </c>
    </row>
    <row r="691">
      <c r="A691">
        <f>Skills!A31</f>
        <v/>
      </c>
      <c r="B691">
        <f>Skills!B31</f>
        <v/>
      </c>
      <c r="C691">
        <f>Inputs!$B$3&gt;=107</f>
        <v/>
      </c>
      <c r="D691">
        <f>IF(Skills!C31=1,60+Inputs!$B$25+Inputs!$B$29,IF(Skills!C31=2,90+Inputs!$B$26+Inputs!$B$29,IF(Skills!C31=3,120+Inputs!$B$27+Inputs!$B$29,MAX(0,(Inputs!$B$3-100)*3)+Inputs!$B$28+Inputs!$B$29)))</f>
        <v/>
      </c>
      <c r="E691">
        <f>INDEX(FactorTable!$B$2:$Y$301, MATCH(ROUND(MIN(300,MAX(1,D691)),0), FactorTable!$A$2:$A$301,0), Skills!M31+1)</f>
        <v/>
      </c>
      <c r="F691">
        <f>IF(Skills!N31=TRUE,(Skills!L31/10)*(E691/1000),Skills!L31/10)+Skills!O31</f>
        <v/>
      </c>
      <c r="G691">
        <f>Calc!G31</f>
        <v/>
      </c>
      <c r="H691">
        <f>Calc!H31</f>
        <v/>
      </c>
      <c r="I691">
        <f>IF(Skills!AA31&lt;&gt;"",1+(Skills!AA31/10)*(U663/1000)/100,1)</f>
        <v/>
      </c>
      <c r="J691" t="inlineStr"/>
      <c r="K691" t="inlineStr"/>
      <c r="L691" t="inlineStr"/>
      <c r="M691" t="inlineStr"/>
      <c r="N691" t="inlineStr"/>
      <c r="O691">
        <f>(1-Summary!$B$11)*T691+Summary!$B$11*V691</f>
        <v/>
      </c>
      <c r="P691">
        <f>IF(B704=0,0,O691/B704)</f>
        <v/>
      </c>
      <c r="Q691" t="n">
        <v>0</v>
      </c>
      <c r="R691" t="n">
        <v>0</v>
      </c>
      <c r="S691">
        <f>IFERROR(O691/N691,0)</f>
        <v/>
      </c>
      <c r="T691" t="n">
        <v>0</v>
      </c>
      <c r="V691" t="n">
        <v>0</v>
      </c>
    </row>
    <row r="693">
      <c r="A693" t="inlineStr">
        <is>
          <t>Actions Per Second (pre-Adrenalin)</t>
        </is>
      </c>
      <c r="B693">
        <f>1+MIN(150,150*(1-(1-(((1-(1-Inputs!$B$11/150)*(1-1/150))*150)+((C682=TRUE)*(F682-Calc!F22))+(ArtifactsInput!$M$15-ArtifactsInput!$M$15)*CHOOSE(ArtifactsInput!$N$15+1,8,9.6,11.2,12.8,14.4,16))/150)*(1-((C679=TRUE)*F679*IF(AND(Inputs!$B$39&lt;&gt;"pvp",Inputs!$B$44&gt;0),(((R679-1)*(Skills!Y19*(1+Inputs!$B$34/100))+MIN((Skills!Y19*(1+Inputs!$B$34/100)),MAX(0,Inputs!$B$44-((R679-1)*Skills!D19))))/Inputs!$B$44),IF(Inputs!$B$39="pvp",MIN((Skills!Y19*(1+Inputs!$B$34/100)),15)/15,(Skills!Y19*(1+Inputs!$B$34/100))/Skills!D19)))/150)))/100</f>
        <v/>
      </c>
    </row>
    <row r="694">
      <c r="A694" t="inlineStr">
        <is>
          <t>Alchemic Adrenaline Uptime</t>
        </is>
      </c>
      <c r="B694">
        <f>(Skills!Y6*(1+Inputs!$B$34/100))/((Skills!Y6*(1+Inputs!$B$34/100))+(5/B693))</f>
        <v/>
      </c>
    </row>
    <row r="695">
      <c r="A695" t="inlineStr">
        <is>
          <t>Attack Speed Buff Bonus %</t>
        </is>
      </c>
      <c r="B695">
        <f>((C679=TRUE)*F679*IF(AND(Inputs!$B$39&lt;&gt;"pvp",Inputs!$B$44&gt;0),(((R679-1)*(Skills!Y19*(1+Inputs!$B$34/100))+MIN((Skills!Y19*(1+Inputs!$B$34/100)),MAX(0,Inputs!$B$44-((R679-1)*Skills!D19))))/Inputs!$B$44),IF(Inputs!$B$39="pvp",MIN((Skills!Y19*(1+Inputs!$B$34/100)),15)/15,(Skills!Y19*(1+Inputs!$B$34/100))/Skills!D19)))+((C667=TRUE)*F667*B694)</f>
        <v/>
      </c>
    </row>
    <row r="696">
      <c r="A696" t="inlineStr">
        <is>
          <t>Actions Per Second (final)</t>
        </is>
      </c>
      <c r="B696">
        <f>1+MIN(150,150*(1-(1-(((1-(1-Inputs!$B$11/150)*(1-1/150))*150)+((C682=TRUE)*(F682-Calc!F22))+(ArtifactsInput!$M$15-ArtifactsInput!$M$15)*CHOOSE(ArtifactsInput!$N$15+1,8,9.6,11.2,12.8,14.4,16))/150)*(1-B695/150)))/100</f>
        <v/>
      </c>
    </row>
    <row r="697">
      <c r="A697" t="inlineStr">
        <is>
          <t>Skill + Buff Cast Rate</t>
        </is>
      </c>
      <c r="B697">
        <f>IF(AND(Inputs!$B$39&lt;&gt;"pvp",Inputs!$B$44&gt;0),SUMPRODUCT((Skills!E2:E31=TRUE)*(C662:C691=TRUE)*R662:R691*Skills!F2:F31)/Inputs!$B$44,SUMPRODUCT((Skills!E2:E31=TRUE)*(C662:C691=TRUE)*Q662:Q691*Skills!F2:F31))</f>
        <v/>
      </c>
    </row>
    <row r="698">
      <c r="A698" t="inlineStr">
        <is>
          <t>Showdown Casts Per Second</t>
        </is>
      </c>
      <c r="B698">
        <f>MAX(0,B696-B697)</f>
        <v/>
      </c>
    </row>
    <row r="699">
      <c r="A699" t="inlineStr">
        <is>
          <t>Average Buff Multiplier</t>
        </is>
      </c>
      <c r="B699">
        <f>(1+(((C681=TRUE)*F681*IF(AND(Inputs!$B$39&lt;&gt;"pvp",Inputs!$B$44&gt;0),(((R681-1)*(Skills!Y21*(1+Inputs!$B$34/100))+MIN((Skills!Y21*(1+Inputs!$B$34/100)),MAX(0,Inputs!$B$44-((R681-1)*Skills!D21))))/Inputs!$B$44),IF(Inputs!$B$39="pvp",MIN((Skills!Y21*(1+Inputs!$B$34/100)),15)/15,(Skills!Y21*(1+Inputs!$B$34/100))/Skills!D21)))+((C688=TRUE)*(F688-Calc!F28))+((C678=TRUE)*(F678-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675=TRUE)*F675*IF(AND(Inputs!$B$39&lt;&gt;"pvp",Inputs!$B$44&gt;0),(((R675-1)*(Skills!Y15*(1+Inputs!$B$34/100))+MIN((Skills!Y15*(1+Inputs!$B$34/100)),MAX(0,Inputs!$B$44-((R675-1)*Skills!D15))))/Inputs!$B$44),IF(Inputs!$B$39="pvp",MIN((Skills!Y15*(1+Inputs!$B$34/100)),15)/15,(Skills!Y15*(1+Inputs!$B$34/100))/Skills!D15)))/100)*(1+((C666=TRUE)*F666*B694)/100)</f>
        <v/>
      </c>
    </row>
    <row r="700">
      <c r="A700" t="inlineStr">
        <is>
          <t>Global Crit Rate Bonus %</t>
        </is>
      </c>
      <c r="B700">
        <f>IF(Inputs!$B$3&gt;=47,8,0)+((C680=TRUE)*F680*IF(AND(Inputs!$B$39&lt;&gt;"pvp",Inputs!$B$44&gt;0),(((R680-1)*(Skills!Y20*(1+Inputs!$B$34/100))+MIN((Skills!Y20*(1+Inputs!$B$34/100)),MAX(0,Inputs!$B$44-((R680-1)*Skills!D20))))/Inputs!$B$44),IF(Inputs!$B$39="pvp",MIN((Skills!Y20*(1+Inputs!$B$34/100)),15)/15,(Skills!Y20*(1+Inputs!$B$34/100))/Skills!D20)))</f>
        <v/>
      </c>
    </row>
    <row r="701">
      <c r="A701" t="inlineStr">
        <is>
          <t>Global Monster Damage-Taken Bonus %</t>
        </is>
      </c>
      <c r="B701">
        <f>IF(Inputs!$B$3&gt;=82,15,0)+((C676=TRUE)*F676*IF(AND(Inputs!$B$39&lt;&gt;"pvp",Inputs!$B$44&gt;0),(((R676-1)*(Skills!Y16*(1+Inputs!$B$34/100))+MIN((Skills!Y16*(1+Inputs!$B$34/100)),MAX(0,Inputs!$B$44-((R676-1)*Skills!D16))))/Inputs!$B$44),IF(Inputs!$B$39="pvp",MIN((Skills!Y16*(1+Inputs!$B$34/100)),15)/15,(Skills!Y16*(1+Inputs!$B$34/100))/Skills!D16)))</f>
        <v/>
      </c>
    </row>
    <row r="702">
      <c r="A702" t="inlineStr">
        <is>
          <t>Shadow Partner Average Multiplier</t>
        </is>
      </c>
      <c r="B702">
        <f>1+((C671=TRUE)*F671*I671*Skills!J11/100)/100</f>
        <v/>
      </c>
    </row>
    <row r="703">
      <c r="A703" t="inlineStr">
        <is>
          <t>Global Critical Damage Bonus % (Frailty Curse Mastery Lv.111)</t>
        </is>
      </c>
      <c r="B703">
        <f>IF(Inputs!$B$3&gt;=111,30,0)*IF(AND(Inputs!$B$39&lt;&gt;"pvp",Inputs!$B$44&gt;0),(((R676-1)*(Skills!Y16*(1+Inputs!$B$34/100))+MIN((Skills!Y16*(1+Inputs!$B$34/100)),MAX(0,Inputs!$B$44-((R676-1)*Skills!D16))))/Inputs!$B$44),IF(Inputs!$B$39="pvp",MIN((Skills!Y16*(1+Inputs!$B$34/100)),15)/15,(Skills!Y16*(1+Inputs!$B$34/100))/Skills!D16))</f>
        <v/>
      </c>
    </row>
    <row r="704">
      <c r="A704" s="6" t="inlineStr">
        <is>
          <t>TOTAL DPS</t>
        </is>
      </c>
      <c r="B704" s="6">
        <f>SUM(O662:O691)</f>
        <v/>
      </c>
    </row>
    <row r="705">
      <c r="A705" t="inlineStr">
        <is>
          <t>Buff-Casting Startup Delay (s, fixed-duration only)</t>
        </is>
      </c>
      <c r="B705">
        <f>IF(AND(Inputs!$B$39&lt;&gt;"pvp",Inputs!$B$44&gt;0),SUMPRODUCT((Skills!Y2:Y31&gt;0)*(Skills!E2:E31=TRUE)*(C662:C691=TRUE))/B696,0)</f>
        <v/>
      </c>
    </row>
    <row r="706">
      <c r="A706" t="inlineStr">
        <is>
          <t>Boss-Only Total DPS (this block's swept value)</t>
        </is>
      </c>
      <c r="B706">
        <f>SUM(T662:T691)</f>
        <v/>
      </c>
    </row>
    <row r="707">
      <c r="A707" t="inlineStr">
        <is>
          <t>Normal-Only Total DPS (this block's swept value)</t>
        </is>
      </c>
      <c r="B707">
        <f>SUM(V662:V691)</f>
        <v/>
      </c>
    </row>
    <row r="709">
      <c r="A709" s="6" t="inlineStr">
        <is>
          <t>Stat: DEF_PEN % (diminishing returns, factor 100)</t>
        </is>
      </c>
    </row>
    <row r="710">
      <c r="A710" s="5" t="inlineStr">
        <is>
          <t>Key</t>
        </is>
      </c>
      <c r="B710" s="5" t="inlineStr">
        <is>
          <t>Name</t>
        </is>
      </c>
      <c r="C710" s="5" t="inlineStr">
        <is>
          <t>Unlocked</t>
        </is>
      </c>
      <c r="D710" s="5" t="inlineStr">
        <is>
          <t>InputLevel</t>
        </is>
      </c>
      <c r="E710" s="5" t="inlineStr">
        <is>
          <t>Factor</t>
        </is>
      </c>
      <c r="F710" s="5" t="inlineStr">
        <is>
          <t>CoefficientPercent</t>
        </is>
      </c>
      <c r="G710" s="5" t="inlineStr">
        <is>
          <t>EffectiveHits</t>
        </is>
      </c>
      <c r="H710" s="5" t="inlineStr">
        <is>
          <t>ProcProbability</t>
        </is>
      </c>
      <c r="I710" s="5" t="inlineStr">
        <is>
          <t>MapleHeroMultiplier</t>
        </is>
      </c>
      <c r="J710" s="5" t="inlineStr">
        <is>
          <t>BaseDamage</t>
        </is>
      </c>
      <c r="K710" s="5" t="inlineStr">
        <is>
          <t>BaseHitDamage</t>
        </is>
      </c>
      <c r="L710" s="5" t="inlineStr">
        <is>
          <t>NonCritAvg</t>
        </is>
      </c>
      <c r="M710" s="5" t="inlineStr">
        <is>
          <t>CritAvg</t>
        </is>
      </c>
      <c r="N710" s="5" t="inlineStr">
        <is>
          <t>ExpectedDamage(perHit)</t>
        </is>
      </c>
      <c r="O710" s="5" t="inlineStr">
        <is>
          <t>DPS</t>
        </is>
      </c>
      <c r="P710" s="5" t="inlineStr">
        <is>
          <t>% of Total</t>
        </is>
      </c>
      <c r="Q710" s="5" t="inlineStr">
        <is>
          <t>InvCooldown</t>
        </is>
      </c>
      <c r="R710" s="5" t="inlineStr">
        <is>
          <t>CastsInFight</t>
        </is>
      </c>
      <c r="S710" s="5" t="inlineStr">
        <is>
          <t>HitRate(perSec)</t>
        </is>
      </c>
      <c r="U710" t="inlineStr">
        <is>
          <t>helpers</t>
        </is>
      </c>
    </row>
    <row r="711">
      <c r="A711">
        <f>Skills!A2</f>
        <v/>
      </c>
      <c r="B711">
        <f>Skills!B2</f>
        <v/>
      </c>
      <c r="C711">
        <f>Inputs!$B$3&gt;=100</f>
        <v/>
      </c>
      <c r="D711" t="inlineStr"/>
      <c r="E711" t="inlineStr"/>
      <c r="F711">
        <f>U715+Skills!O2</f>
        <v/>
      </c>
      <c r="G711">
        <f>Calc!G2</f>
        <v/>
      </c>
      <c r="H711">
        <f>Calc!H2</f>
        <v/>
      </c>
      <c r="I711">
        <f>IF(Skills!AA2&lt;&gt;"",1+(Skills!AA2/10)*(U712/1000)/100,1)</f>
        <v/>
      </c>
      <c r="J711">
        <f>((Inputs!$B$6*(1+Inputs!$B$7/100))+(((Inputs!$B$12*(1+Inputs!$B$13/100))-(Inputs!$B$12*(1+Inputs!$B$13/100)))+0.25*(Inputs!$B$14-Inputs!$B$14))*(1+Inputs!$B$7/100))*(F711/100)</f>
        <v/>
      </c>
      <c r="K711">
        <f>J711*(1+((Inputs!$B$12*(1+Inputs!$B$13/100))*0.01+Inputs!$B$14*0.0025)/100)*(1+Inputs!$B$15/100)*(1+Inputs!$B$16/100)*(5000/(6000+Inputs!$B$43*(1-(100*(1-(1-(((1-(1-Inputs!$B$19/100)*(1-1/100))*100)+0)/100)*(1-CHOOSE(ArtifactsInput!$N$40+1,5,6,7,8,9,10)/100)^(ArtifactsInput!$M$40-ArtifactsInput!$M$40)))/100)))*(1+(Inputs!$B$24+((C739=TRUE)*(F739-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732=TRUE)*(F732-Calc!F23))+(((IF(AND(ArtifactsInput!$M$42,((Inputs!$B$9+((C734=TRUE)*(F734-Calc!F25))+B749+(ArtifactsInput!$M$24-ArtifactsInput!$M$24)*CHOOSE(ArtifactsInput!$N$24+1,10,12,14,16,18,20)+IF(ArtifactsInput!$M$10,CHOOSE(ArtifactsInput!$N$10+1,15,18,21,24,27,30)*(IF(Inputs!$B$39="pvp",MIN(15,15)/15,IF(AND(Inputs!$B$39&lt;&gt;"pvp",Inputs!$B$44&gt;0),MIN(15,Inputs!$B$44)/(Inputs!$B$44),0))),0)))&gt;=100),MIN(100,((Inputs!$B$9+((C734=TRUE)*(F734-Calc!F25))+B749+(ArtifactsInput!$M$24-ArtifactsInput!$M$24)*CHOOSE(ArtifactsInput!$N$24+1,10,12,14,16,18,20)+IF(ArtifactsInput!$M$10,CHOOSE(ArtifactsInput!$N$10+1,15,18,21,24,27,30)*(IF(Inputs!$B$39="pvp",MIN(15,15)/15,IF(AND(Inputs!$B$39&lt;&gt;"pvp",Inputs!$B$44&gt;0),MIN(15,Inputs!$B$44)/(Inputs!$B$44),0))),0)))-100),0))*CHOOSE(ArtifactsInput!$N$42+1,0.6,0.72,0.84,0.96,1.08,1.2))),Inputs!$B$18+((C738=TRUE)*(F738-Calc!F29))+(IF(AND(ArtifactsInput!$M$42,((Inputs!$B$9+((C734=TRUE)*(F734-Calc!F25))+B749+(ArtifactsInput!$M$24-ArtifactsInput!$M$24)*CHOOSE(ArtifactsInput!$N$24+1,10,12,14,16,18,20)+IF(ArtifactsInput!$M$10,CHOOSE(ArtifactsInput!$N$10+1,15,18,21,24,27,30)*(IF(Inputs!$B$39="pvp",MIN(15,15)/15,IF(AND(Inputs!$B$39&lt;&gt;"pvp",Inputs!$B$44&gt;0),MIN(15,Inputs!$B$44)/(Inputs!$B$44),0))),0)))&gt;=100),CHOOSE(ArtifactsInput!$N$42+1,40,48,56,64,72,80),0))))/100)*(((1+(((C730=TRUE)*F730*IF(AND(Inputs!$B$39&lt;&gt;"pvp",Inputs!$B$44&gt;0),(((R730-1)*(Skills!Y21*(1+Inputs!$B$34/100))+MIN((Skills!Y21*(1+Inputs!$B$34/100)),MAX(0,Inputs!$B$44-((R730-1)*Skills!D21))))/Inputs!$B$44),IF(Inputs!$B$39="pvp",MIN((Skills!Y21*(1+Inputs!$B$34/100)),15)/15,(Skills!Y21*(1+Inputs!$B$34/100))/Skills!D21)))+((C737=TRUE)*(F737-Calc!F28))+((C727=TRUE)*(F727-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724=TRUE)*F724*IF(AND(Inputs!$B$39&lt;&gt;"pvp",Inputs!$B$44&gt;0),(((R724-1)*(Skills!Y15*(1+Inputs!$B$34/100))+MIN((Skills!Y15*(1+Inputs!$B$34/100)),MAX(0,Inputs!$B$44-((R724-1)*Skills!D15))))/Inputs!$B$44),IF(Inputs!$B$39="pvp",MIN((Skills!Y15*(1+Inputs!$B$34/100)),15)/15,(Skills!Y15*(1+Inputs!$B$34/100))/Skills!D15)))/100)*(1+((C715=TRUE)*F715*B743)/100))*B751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711)</f>
        <v/>
      </c>
      <c r="L711">
        <f>K711*(MIN(Inputs!$B$22+((C733=TRUE)*(F733-Calc!F24)),(Inputs!$B$23+0+(IF(ArtifactsInput!$M$15,CHOOSE(ArtifactsInput!$N$15+1,25,30,35,40,45,50)/100*(Inputs!$B$11-Inputs!$B$11),0))))/100+(Inputs!$B$23+0+(IF(ArtifactsInput!$M$15,CHOOSE(ArtifactsInput!$N$15+1,25,30,35,40,45,50)/100*(Inputs!$B$11-Inputs!$B$11),0)))/100)/2</f>
        <v/>
      </c>
      <c r="M711">
        <f>L711*(1+(Inputs!$B$10+((C735=TRUE)*(F735-Calc!F26))+B752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11">
        <f>L711*(1-MIN((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711*(MIN((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11">
        <f>(1-Summary!$B$11)*T711+Summary!$B$11*V711</f>
        <v/>
      </c>
      <c r="P711">
        <f>IF(B753=0,0,O711/B753)</f>
        <v/>
      </c>
      <c r="Q711" t="n">
        <v>0</v>
      </c>
      <c r="R711" t="n">
        <v>0</v>
      </c>
      <c r="S711">
        <f>IFERROR(O711/N711,0)</f>
        <v/>
      </c>
      <c r="T711">
        <f>IF(C711,(Skills!G2*N711*B747)*IF(Inputs!$B$39="pvp",1,1+(Inputs!$B$20+((C736=TRUE)*(F736-Calc!F27))+Skills!P2+B750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Hunt"),CHOOSE(ArtifactsInput!$N$35+1,15,18,21,24,27,30)*(1-EXP(-(0.2*B745)*5)),0)+IF(AND(ArtifactsInput!$M$22,Inputs!$B$4&lt;&gt;"Chapter Hunt"),CHOOSE(ArtifactsInput!$N$22+1,10,12,14,16,18,20)*((0*(((0.15*B745*5))^0/1)+1*(((0.15*B745*5))^1/1)+2*(((0.15*B745*5))^2/2)+3*(((0.15*B745*5))^3/6)+4*(((0.15*B745*5))^4/24)+5*(((0.15*B745*5))^5/120))/((((0.15*B745*5))^0/1)+(((0.15*B745*5))^1/1)+(((0.15*B745*5))^2/2)+(((0.15*B745*5))^3/6)+(((0.15*B745*5))^4/24)+(((0.15*B745*5))^5/120))),0)))/100)*((((5000/(6000+Inputs!$B$43*(1-(100*(1-(1-(100*(1-(1-(((1-(1-Inputs!$B$19/100)*(1-1/100))*100)+0)/100)*(1-CHOOSE(ArtifactsInput!$N$40+1,5,6,7,8,9,10)/100)^(ArtifactsInput!$M$40-ArtifactsInput!$M$40)))/100)*(1-IF(ArtifactsInput!$M$40,CHOOSE(ArtifactsInput!$N$40+1,5,6,7,8,9,10),0)/100)^IF(Inputs!$B$39="pvp",1,2)))/100)))/(5000/(6000+Inputs!$B$43*(1-(100*(1-(1-(((1-(1-Inputs!$B$19/100)*(1-1/100))*100)+0)/100)*(1-CHOOSE(ArtifactsInput!$N$40+1,5,6,7,8,9,10)/100)^(ArtifactsInput!$M$40-ArtifactsInput!$M$40)))/100))))*((L711*(1-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711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711*(1-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711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11">
        <f>MAX(0,(Inputs!$B$3-100)*3)+Inputs!$B$28+Inputs!$B$29</f>
        <v/>
      </c>
      <c r="V711">
        <f>IF(C711,(Skills!G2*N711*B747)*IF(Inputs!$B$39="pvp",1,(1+(Inputs!$B$21+Skills!Q2+B750+(IF(ArtifactsInput!$M$33,CHOOSE(ArtifactsInput!$N$33+1,30,36,42,48,54,60),0))+(IF(AND(ArtifactsInput!$M$35,Inputs!$B$4&lt;&gt;"Chapter Hunt"),CHOOSE(ArtifactsInput!$N$35+1,15,18,21,24,27,30)*(1-EXP(-(0.2*B745)*5)),0)+IF(AND(ArtifactsInput!$M$22,Inputs!$B$4&lt;&gt;"Chapter Hunt"),CHOOSE(ArtifactsInput!$N$22+1,10,12,14,16,18,20)*((0*(((0.15*B745*5))^0/1)+1*(((0.15*B745*5))^1/1)+2*(((0.15*B745*5))^2/2)+3*(((0.15*B745*5))^3/6)+4*(((0.15*B745*5))^4/24)+5*(((0.15*B745*5))^5/120))/((((0.15*B745*5))^0/1)+(((0.15*B745*5))^1/1)+(((0.15*B745*5))^2/2)+(((0.15*B745*5))^3/6)+(((0.15*B745*5))^4/24)+(((0.15*B745*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12">
      <c r="A712">
        <f>Skills!A3</f>
        <v/>
      </c>
      <c r="B712">
        <f>Skills!B3</f>
        <v/>
      </c>
      <c r="C712">
        <f>Inputs!$B$3&gt;=35</f>
        <v/>
      </c>
      <c r="D712">
        <f>IF(Skills!C3=1,60+Inputs!$B$25+Inputs!$B$29,IF(Skills!C3=2,90+Inputs!$B$26+Inputs!$B$29,IF(Skills!C3=3,120+Inputs!$B$27+Inputs!$B$29,MAX(0,(Inputs!$B$3-100)*3)+Inputs!$B$28+Inputs!$B$29)))</f>
        <v/>
      </c>
      <c r="E712">
        <f>INDEX(FactorTable!$B$2:$Y$301, MATCH(ROUND(MIN(300,MAX(1,D712)),0), FactorTable!$A$2:$A$301,0), Skills!M3+1)</f>
        <v/>
      </c>
      <c r="F712">
        <f>IF(Skills!N3=TRUE,(Skills!L3/10)*(E712/1000),Skills!L3/10)+Skills!O3</f>
        <v/>
      </c>
      <c r="G712">
        <f>Calc!G3</f>
        <v/>
      </c>
      <c r="H712">
        <f>Calc!H3</f>
        <v/>
      </c>
      <c r="I712">
        <f>IF(Skills!AA3&lt;&gt;"",1+(Skills!AA3/10)*(U712/1000)/100,1)</f>
        <v/>
      </c>
      <c r="J712">
        <f>((Inputs!$B$6*(1+Inputs!$B$7/100))+(((Inputs!$B$12*(1+Inputs!$B$13/100))-(Inputs!$B$12*(1+Inputs!$B$13/100)))+0.25*(Inputs!$B$14-Inputs!$B$14))*(1+Inputs!$B$7/100))*(F712/100)</f>
        <v/>
      </c>
      <c r="K712">
        <f>J712*(1+((Inputs!$B$12*(1+Inputs!$B$13/100))*0.01+Inputs!$B$14*0.0025)/100)*(1+Inputs!$B$15/100)*(1+Inputs!$B$16/100)*(5000/(6000+Inputs!$B$43*(1-(100*(1-(1-(((1-(1-Inputs!$B$19/100)*(1-1/100))*100)+0)/100)*(1-CHOOSE(ArtifactsInput!$N$40+1,5,6,7,8,9,10)/100)^(ArtifactsInput!$M$40-ArtifactsInput!$M$40)))/100)))*(1+(Inputs!$B$24+((C739=TRUE)*(F739-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732=TRUE)*(F732-Calc!F23))+(((IF(AND(ArtifactsInput!$M$42,((Inputs!$B$9+((C734=TRUE)*(F734-Calc!F25))+B749+(ArtifactsInput!$M$24-ArtifactsInput!$M$24)*CHOOSE(ArtifactsInput!$N$24+1,10,12,14,16,18,20)+IF(ArtifactsInput!$M$10,CHOOSE(ArtifactsInput!$N$10+1,15,18,21,24,27,30)*(IF(Inputs!$B$39="pvp",MIN(15,15)/15,IF(AND(Inputs!$B$39&lt;&gt;"pvp",Inputs!$B$44&gt;0),MIN(15,Inputs!$B$44)/(Inputs!$B$44),0))),0)))&gt;=100),MIN(100,((Inputs!$B$9+((C734=TRUE)*(F734-Calc!F25))+B749+(ArtifactsInput!$M$24-ArtifactsInput!$M$24)*CHOOSE(ArtifactsInput!$N$24+1,10,12,14,16,18,20)+IF(ArtifactsInput!$M$10,CHOOSE(ArtifactsInput!$N$10+1,15,18,21,24,27,30)*(IF(Inputs!$B$39="pvp",MIN(15,15)/15,IF(AND(Inputs!$B$39&lt;&gt;"pvp",Inputs!$B$44&gt;0),MIN(15,Inputs!$B$44)/(Inputs!$B$44),0))),0)))-100),0))*CHOOSE(ArtifactsInput!$N$42+1,0.6,0.72,0.84,0.96,1.08,1.2))),Inputs!$B$18+((C738=TRUE)*(F738-Calc!F29))+(IF(AND(ArtifactsInput!$M$42,((Inputs!$B$9+((C734=TRUE)*(F734-Calc!F25))+B749+(ArtifactsInput!$M$24-ArtifactsInput!$M$24)*CHOOSE(ArtifactsInput!$N$24+1,10,12,14,16,18,20)+IF(ArtifactsInput!$M$10,CHOOSE(ArtifactsInput!$N$10+1,15,18,21,24,27,30)*(IF(Inputs!$B$39="pvp",MIN(15,15)/15,IF(AND(Inputs!$B$39&lt;&gt;"pvp",Inputs!$B$44&gt;0),MIN(15,Inputs!$B$44)/(Inputs!$B$44),0))),0)))&gt;=100),CHOOSE(ArtifactsInput!$N$42+1,40,48,56,64,72,80),0))))/100)*(((1+(((C730=TRUE)*F730*IF(AND(Inputs!$B$39&lt;&gt;"pvp",Inputs!$B$44&gt;0),(((R730-1)*(Skills!Y21*(1+Inputs!$B$34/100))+MIN((Skills!Y21*(1+Inputs!$B$34/100)),MAX(0,Inputs!$B$44-((R730-1)*Skills!D21))))/Inputs!$B$44),IF(Inputs!$B$39="pvp",MIN((Skills!Y21*(1+Inputs!$B$34/100)),15)/15,(Skills!Y21*(1+Inputs!$B$34/100))/Skills!D21)))+((C737=TRUE)*(F737-Calc!F28))+((C727=TRUE)*(F727-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724=TRUE)*F724*IF(AND(Inputs!$B$39&lt;&gt;"pvp",Inputs!$B$44&gt;0),(((R724-1)*(Skills!Y15*(1+Inputs!$B$34/100))+MIN((Skills!Y15*(1+Inputs!$B$34/100)),MAX(0,Inputs!$B$44-((R724-1)*Skills!D15))))/Inputs!$B$44),IF(Inputs!$B$39="pvp",MIN((Skills!Y15*(1+Inputs!$B$34/100)),15)/15,(Skills!Y15*(1+Inputs!$B$34/100))/Skills!D15)))/100)*(1+((C715=TRUE)*F715*B743)/100))*B751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712)</f>
        <v/>
      </c>
      <c r="L712">
        <f>K712*(MIN(Inputs!$B$22+((C733=TRUE)*(F733-Calc!F24)),(Inputs!$B$23+0+(IF(ArtifactsInput!$M$15,CHOOSE(ArtifactsInput!$N$15+1,25,30,35,40,45,50)/100*(Inputs!$B$11-Inputs!$B$11),0))))/100+(Inputs!$B$23+0+(IF(ArtifactsInput!$M$15,CHOOSE(ArtifactsInput!$N$15+1,25,30,35,40,45,50)/100*(Inputs!$B$11-Inputs!$B$11),0)))/100)/2</f>
        <v/>
      </c>
      <c r="M712">
        <f>L712*(1+(Inputs!$B$10+((C735=TRUE)*(F735-Calc!F26))+B752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12">
        <f>L712*(1-MIN((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712*(MIN((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12">
        <f>(1-Summary!$B$11)*T712+Summary!$B$11*V712</f>
        <v/>
      </c>
      <c r="P712">
        <f>IF(B753=0,0,O712/B753)</f>
        <v/>
      </c>
      <c r="Q712">
        <f>IFERROR(1/IF(Inputs!$B$39="pvp",15,MAX(0.1,Skills!D3-IF(Skills!E3=TRUE,Inputs!$B$32,0))),0)</f>
        <v/>
      </c>
      <c r="R712">
        <f>IF(AND(Inputs!$B$39&lt;&gt;"pvp",Inputs!$B$44&gt;0),IF(MAX(0,Inputs!$B$44-B754)&lt;=0,0,(INT(MAX(0,Inputs!$B$44-B754)/IF(Inputs!$B$39="pvp",15,MAX(0.1,Skills!D3-IF(Skills!E3=TRUE,Inputs!$B$32,0))))+1)),0)</f>
        <v/>
      </c>
      <c r="S712">
        <f>IFERROR(O712/N712,0)</f>
        <v/>
      </c>
      <c r="T712">
        <f>IF(C712,(H712*N712*IF(AND(Inputs!$B$39&lt;&gt;"pvp",Inputs!$B$44&gt;0),((Skills!G3*((R712-1)*IF(Skills!H3&gt;0,Skills!I3/Skills!H3,1)+IF(Skills!H3&gt;0,MIN(Skills!I3,MAX(0,MAX(0,Inputs!$B$44-B754)-((R712-1)*IF(Inputs!$B$39="pvp",15,MAX(0.1,Skills!D3-IF(Skills!E3=TRUE,Inputs!$B$32,0))))))/Skills!H3,1)))/Inputs!$B$44),G712*Q712))*IF(Inputs!$B$39="pvp",1,1+(Inputs!$B$20+((C736=TRUE)*(F736-Calc!F27))+Skills!P3+B750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Hunt"),CHOOSE(ArtifactsInput!$N$35+1,15,18,21,24,27,30)*(1-EXP(-(0.2*B745)*5)),0)+IF(AND(ArtifactsInput!$M$22,Inputs!$B$4&lt;&gt;"Chapter Hunt"),CHOOSE(ArtifactsInput!$N$22+1,10,12,14,16,18,20)*((0*(((0.15*B745*5))^0/1)+1*(((0.15*B745*5))^1/1)+2*(((0.15*B745*5))^2/2)+3*(((0.15*B745*5))^3/6)+4*(((0.15*B745*5))^4/24)+5*(((0.15*B745*5))^5/120))/((((0.15*B745*5))^0/1)+(((0.15*B745*5))^1/1)+(((0.15*B745*5))^2/2)+(((0.15*B745*5))^3/6)+(((0.15*B745*5))^4/24)+(((0.15*B745*5))^5/120))),0)))/100)*((((5000/(6000+Inputs!$B$43*(1-(100*(1-(1-(100*(1-(1-(((1-(1-Inputs!$B$19/100)*(1-1/100))*100)+0)/100)*(1-CHOOSE(ArtifactsInput!$N$40+1,5,6,7,8,9,10)/100)^(ArtifactsInput!$M$40-ArtifactsInput!$M$40)))/100)*(1-IF(ArtifactsInput!$M$40,CHOOSE(ArtifactsInput!$N$40+1,5,6,7,8,9,10),0)/100)^IF(Inputs!$B$39="pvp",1,2)))/100)))/(5000/(6000+Inputs!$B$43*(1-(100*(1-(1-(((1-(1-Inputs!$B$19/100)*(1-1/100))*100)+0)/100)*(1-CHOOSE(ArtifactsInput!$N$40+1,5,6,7,8,9,10)/100)^(ArtifactsInput!$M$40-ArtifactsInput!$M$40)))/100))))*((L712*(1-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712*(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712*(1-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712*(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12">
        <f>INDEX(FactorTable!$B$2:$Y$301, MATCH(ROUND(MIN(300,MAX(1,U711)),0), FactorTable!$A$2:$A$301,0), 24)</f>
        <v/>
      </c>
      <c r="V712">
        <f>IF(C712,(H712*N712*IF(AND(Inputs!$B$39&lt;&gt;"pvp",Inputs!$B$44&gt;0),((Skills!G3*((R712-1)*IF(Skills!H3&gt;0,Skills!I3/Skills!H3,1)+IF(Skills!H3&gt;0,MIN(Skills!I3,MAX(0,MAX(0,Inputs!$B$44-B754)-((R712-1)*IF(Inputs!$B$39="pvp",15,MAX(0.1,Skills!D3-IF(Skills!E3=TRUE,Inputs!$B$32,0))))))/Skills!H3,1)))/Inputs!$B$44),G712*Q712))*IF(Inputs!$B$39="pvp",1,(1+(Inputs!$B$21+Skills!Q3+B750+(IF(ArtifactsInput!$M$33,CHOOSE(ArtifactsInput!$N$33+1,30,36,42,48,54,60),0))+(IF(AND(ArtifactsInput!$M$35,Inputs!$B$4&lt;&gt;"Chapter Hunt"),CHOOSE(ArtifactsInput!$N$35+1,15,18,21,24,27,30)*(1-EXP(-(0.2*B745)*5)),0)+IF(AND(ArtifactsInput!$M$22,Inputs!$B$4&lt;&gt;"Chapter Hunt"),CHOOSE(ArtifactsInput!$N$22+1,10,12,14,16,18,20)*((0*(((0.15*B745*5))^0/1)+1*(((0.15*B745*5))^1/1)+2*(((0.15*B745*5))^2/2)+3*(((0.15*B745*5))^3/6)+4*(((0.15*B745*5))^4/24)+5*(((0.15*B745*5))^5/120))/((((0.15*B745*5))^0/1)+(((0.15*B745*5))^1/1)+(((0.15*B745*5))^2/2)+(((0.15*B745*5))^3/6)+(((0.15*B745*5))^4/24)+(((0.15*B745*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13">
      <c r="A713">
        <f>Skills!A4</f>
        <v/>
      </c>
      <c r="B713">
        <f>Skills!B4</f>
        <v/>
      </c>
      <c r="C713">
        <f>Inputs!$B$3&gt;=40</f>
        <v/>
      </c>
      <c r="D713">
        <f>IF(Skills!C4=1,60+Inputs!$B$25+Inputs!$B$29,IF(Skills!C4=2,90+Inputs!$B$26+Inputs!$B$29,IF(Skills!C4=3,120+Inputs!$B$27+Inputs!$B$29,MAX(0,(Inputs!$B$3-100)*3)+Inputs!$B$28+Inputs!$B$29)))</f>
        <v/>
      </c>
      <c r="E713">
        <f>INDEX(FactorTable!$B$2:$Y$301, MATCH(ROUND(MIN(300,MAX(1,D713)),0), FactorTable!$A$2:$A$301,0), Skills!M4+1)</f>
        <v/>
      </c>
      <c r="F713">
        <f>IF(Skills!N4=TRUE,(Skills!L4/10)*(E713/1000),Skills!L4/10)+Skills!O4</f>
        <v/>
      </c>
      <c r="G713">
        <f>Calc!G4</f>
        <v/>
      </c>
      <c r="H713">
        <f>Calc!H4</f>
        <v/>
      </c>
      <c r="I713">
        <f>IF(Skills!AA4&lt;&gt;"",1+(Skills!AA4/10)*(U712/1000)/100,1)</f>
        <v/>
      </c>
      <c r="J713">
        <f>((Inputs!$B$6*(1+Inputs!$B$7/100))+(((Inputs!$B$12*(1+Inputs!$B$13/100))-(Inputs!$B$12*(1+Inputs!$B$13/100)))+0.25*(Inputs!$B$14-Inputs!$B$14))*(1+Inputs!$B$7/100))*(F713/100)</f>
        <v/>
      </c>
      <c r="K713">
        <f>J713*(1+((Inputs!$B$12*(1+Inputs!$B$13/100))*0.01+Inputs!$B$14*0.0025)/100)*(1+Inputs!$B$15/100)*(1+Inputs!$B$16/100)*(5000/(6000+Inputs!$B$43*(1-(100*(1-(1-(((1-(1-Inputs!$B$19/100)*(1-1/100))*100)+0)/100)*(1-CHOOSE(ArtifactsInput!$N$40+1,5,6,7,8,9,10)/100)^(ArtifactsInput!$M$40-ArtifactsInput!$M$40)))/100)))*(1+(Inputs!$B$24+((C739=TRUE)*(F739-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732=TRUE)*(F732-Calc!F23))+(((IF(AND(ArtifactsInput!$M$42,((Inputs!$B$9+((C734=TRUE)*(F734-Calc!F25))+B749+(ArtifactsInput!$M$24-ArtifactsInput!$M$24)*CHOOSE(ArtifactsInput!$N$24+1,10,12,14,16,18,20)+IF(ArtifactsInput!$M$10,CHOOSE(ArtifactsInput!$N$10+1,15,18,21,24,27,30)*(IF(Inputs!$B$39="pvp",MIN(15,15)/15,IF(AND(Inputs!$B$39&lt;&gt;"pvp",Inputs!$B$44&gt;0),MIN(15,Inputs!$B$44)/(Inputs!$B$44),0))),0)))&gt;=100),MIN(100,((Inputs!$B$9+((C734=TRUE)*(F734-Calc!F25))+B749+(ArtifactsInput!$M$24-ArtifactsInput!$M$24)*CHOOSE(ArtifactsInput!$N$24+1,10,12,14,16,18,20)+IF(ArtifactsInput!$M$10,CHOOSE(ArtifactsInput!$N$10+1,15,18,21,24,27,30)*(IF(Inputs!$B$39="pvp",MIN(15,15)/15,IF(AND(Inputs!$B$39&lt;&gt;"pvp",Inputs!$B$44&gt;0),MIN(15,Inputs!$B$44)/(Inputs!$B$44),0))),0)))-100),0))*CHOOSE(ArtifactsInput!$N$42+1,0.6,0.72,0.84,0.96,1.08,1.2))),Inputs!$B$18+((C738=TRUE)*(F738-Calc!F29))+(IF(AND(ArtifactsInput!$M$42,((Inputs!$B$9+((C734=TRUE)*(F734-Calc!F25))+B749+(ArtifactsInput!$M$24-ArtifactsInput!$M$24)*CHOOSE(ArtifactsInput!$N$24+1,10,12,14,16,18,20)+IF(ArtifactsInput!$M$10,CHOOSE(ArtifactsInput!$N$10+1,15,18,21,24,27,30)*(IF(Inputs!$B$39="pvp",MIN(15,15)/15,IF(AND(Inputs!$B$39&lt;&gt;"pvp",Inputs!$B$44&gt;0),MIN(15,Inputs!$B$44)/(Inputs!$B$44),0))),0)))&gt;=100),CHOOSE(ArtifactsInput!$N$42+1,40,48,56,64,72,80),0))))/100)*(((1+(((C730=TRUE)*F730*IF(AND(Inputs!$B$39&lt;&gt;"pvp",Inputs!$B$44&gt;0),(((R730-1)*(Skills!Y21*(1+Inputs!$B$34/100))+MIN((Skills!Y21*(1+Inputs!$B$34/100)),MAX(0,Inputs!$B$44-((R730-1)*Skills!D21))))/Inputs!$B$44),IF(Inputs!$B$39="pvp",MIN((Skills!Y21*(1+Inputs!$B$34/100)),15)/15,(Skills!Y21*(1+Inputs!$B$34/100))/Skills!D21)))+((C737=TRUE)*(F737-Calc!F28))+((C727=TRUE)*(F727-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724=TRUE)*F724*IF(AND(Inputs!$B$39&lt;&gt;"pvp",Inputs!$B$44&gt;0),(((R724-1)*(Skills!Y15*(1+Inputs!$B$34/100))+MIN((Skills!Y15*(1+Inputs!$B$34/100)),MAX(0,Inputs!$B$44-((R724-1)*Skills!D15))))/Inputs!$B$44),IF(Inputs!$B$39="pvp",MIN((Skills!Y15*(1+Inputs!$B$34/100)),15)/15,(Skills!Y15*(1+Inputs!$B$34/100))/Skills!D15)))/100)*(1+((C715=TRUE)*F715*B743)/100))*B751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713)</f>
        <v/>
      </c>
      <c r="L713">
        <f>K713*(MIN(Inputs!$B$22+((C733=TRUE)*(F733-Calc!F24)),(Inputs!$B$23+0+(IF(ArtifactsInput!$M$15,CHOOSE(ArtifactsInput!$N$15+1,25,30,35,40,45,50)/100*(Inputs!$B$11-Inputs!$B$11),0))))/100+(Inputs!$B$23+0+(IF(ArtifactsInput!$M$15,CHOOSE(ArtifactsInput!$N$15+1,25,30,35,40,45,50)/100*(Inputs!$B$11-Inputs!$B$11),0)))/100)/2</f>
        <v/>
      </c>
      <c r="M713">
        <f>L713*(1+(Inputs!$B$10+((C735=TRUE)*(F735-Calc!F26))+B752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13">
        <f>L713*(1-MIN((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713*(MIN((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13">
        <f>(1-Summary!$B$11)*T713+Summary!$B$11*V713</f>
        <v/>
      </c>
      <c r="P713">
        <f>IF(B753=0,0,O713/B753)</f>
        <v/>
      </c>
      <c r="Q713">
        <f>IFERROR(1/IF(Inputs!$B$39="pvp",15,MAX(0.1,Skills!D4-IF(Skills!E4=TRUE,Inputs!$B$32,0))),0)</f>
        <v/>
      </c>
      <c r="R713">
        <f>IF(AND(Inputs!$B$39&lt;&gt;"pvp",Inputs!$B$44&gt;0),IF(MAX(0,Inputs!$B$44-B754)&lt;=0,0,(INT(MAX(0,Inputs!$B$44-B754)/IF(Inputs!$B$39="pvp",15,MAX(0.1,Skills!D4-IF(Skills!E4=TRUE,Inputs!$B$32,0))))+1)),0)</f>
        <v/>
      </c>
      <c r="S713">
        <f>IFERROR(O713/N713,0)</f>
        <v/>
      </c>
      <c r="T713">
        <f>IF(C713,(H713*N713*IF(AND(Inputs!$B$39&lt;&gt;"pvp",Inputs!$B$44&gt;0),((Skills!G4*((R713-1)*IF(Skills!H4&gt;0,Skills!I4/Skills!H4,1)+IF(Skills!H4&gt;0,MIN(Skills!I4,MAX(0,MAX(0,Inputs!$B$44-B754)-((R713-1)*IF(Inputs!$B$39="pvp",15,MAX(0.1,Skills!D4-IF(Skills!E4=TRUE,Inputs!$B$32,0))))))/Skills!H4,1)))/Inputs!$B$44),G713*Q713))*IF(Inputs!$B$39="pvp",1,1+(Inputs!$B$20+((C736=TRUE)*(F736-Calc!F27))+Skills!P4+B750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Hunt"),CHOOSE(ArtifactsInput!$N$35+1,15,18,21,24,27,30)*(1-EXP(-(0.2*B745)*5)),0)+IF(AND(ArtifactsInput!$M$22,Inputs!$B$4&lt;&gt;"Chapter Hunt"),CHOOSE(ArtifactsInput!$N$22+1,10,12,14,16,18,20)*((0*(((0.15*B745*5))^0/1)+1*(((0.15*B745*5))^1/1)+2*(((0.15*B745*5))^2/2)+3*(((0.15*B745*5))^3/6)+4*(((0.15*B745*5))^4/24)+5*(((0.15*B745*5))^5/120))/((((0.15*B745*5))^0/1)+(((0.15*B745*5))^1/1)+(((0.15*B745*5))^2/2)+(((0.15*B745*5))^3/6)+(((0.15*B745*5))^4/24)+(((0.15*B745*5))^5/120))),0)))/100)*((((5000/(6000+Inputs!$B$43*(1-(100*(1-(1-(100*(1-(1-(((1-(1-Inputs!$B$19/100)*(1-1/100))*100)+0)/100)*(1-CHOOSE(ArtifactsInput!$N$40+1,5,6,7,8,9,10)/100)^(ArtifactsInput!$M$40-ArtifactsInput!$M$40)))/100)*(1-IF(ArtifactsInput!$M$40,CHOOSE(ArtifactsInput!$N$40+1,5,6,7,8,9,10),0)/100)^IF(Inputs!$B$39="pvp",1,2)))/100)))/(5000/(6000+Inputs!$B$43*(1-(100*(1-(1-(((1-(1-Inputs!$B$19/100)*(1-1/100))*100)+0)/100)*(1-CHOOSE(ArtifactsInput!$N$40+1,5,6,7,8,9,10)/100)^(ArtifactsInput!$M$40-ArtifactsInput!$M$40)))/100))))*((L713*(1-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713*(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713*(1-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713*(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13">
        <f>MAX(0,(Inputs!$B$3-100)*3)+Inputs!$B$28+Inputs!$B$29</f>
        <v/>
      </c>
      <c r="V713">
        <f>IF(C713,(H713*N713*IF(AND(Inputs!$B$39&lt;&gt;"pvp",Inputs!$B$44&gt;0),((Skills!G4*((R713-1)*IF(Skills!H4&gt;0,Skills!I4/Skills!H4,1)+IF(Skills!H4&gt;0,MIN(Skills!I4,MAX(0,MAX(0,Inputs!$B$44-B754)-((R713-1)*IF(Inputs!$B$39="pvp",15,MAX(0.1,Skills!D4-IF(Skills!E4=TRUE,Inputs!$B$32,0))))))/Skills!H4,1)))/Inputs!$B$44),G713*Q713))*IF(Inputs!$B$39="pvp",1,(1+(Inputs!$B$21+Skills!Q4+B750+(IF(ArtifactsInput!$M$33,CHOOSE(ArtifactsInput!$N$33+1,30,36,42,48,54,60),0))+(IF(AND(ArtifactsInput!$M$35,Inputs!$B$4&lt;&gt;"Chapter Hunt"),CHOOSE(ArtifactsInput!$N$35+1,15,18,21,24,27,30)*(1-EXP(-(0.2*B745)*5)),0)+IF(AND(ArtifactsInput!$M$22,Inputs!$B$4&lt;&gt;"Chapter Hunt"),CHOOSE(ArtifactsInput!$N$22+1,10,12,14,16,18,20)*((0*(((0.15*B745*5))^0/1)+1*(((0.15*B745*5))^1/1)+2*(((0.15*B745*5))^2/2)+3*(((0.15*B745*5))^3/6)+4*(((0.15*B745*5))^4/24)+5*(((0.15*B745*5))^5/120))/((((0.15*B745*5))^0/1)+(((0.15*B745*5))^1/1)+(((0.15*B745*5))^2/2)+(((0.15*B745*5))^3/6)+(((0.15*B745*5))^4/24)+(((0.15*B745*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14">
      <c r="A714">
        <f>Skills!A5</f>
        <v/>
      </c>
      <c r="B714">
        <f>Skills!B5</f>
        <v/>
      </c>
      <c r="C714">
        <f>Inputs!$B$3&gt;=63</f>
        <v/>
      </c>
      <c r="D714">
        <f>IF(Skills!C5=1,60+Inputs!$B$25+Inputs!$B$29,IF(Skills!C5=2,90+Inputs!$B$26+Inputs!$B$29,IF(Skills!C5=3,120+Inputs!$B$27+Inputs!$B$29,MAX(0,(Inputs!$B$3-100)*3)+Inputs!$B$28+Inputs!$B$29)))</f>
        <v/>
      </c>
      <c r="E714">
        <f>INDEX(FactorTable!$B$2:$Y$301, MATCH(ROUND(MIN(300,MAX(1,D714)),0), FactorTable!$A$2:$A$301,0), Skills!M5+1)</f>
        <v/>
      </c>
      <c r="F714">
        <f>IF(Skills!N5=TRUE,(Skills!L5/10)*(E714/1000),Skills!L5/10)+Skills!O5</f>
        <v/>
      </c>
      <c r="G714">
        <f>Calc!G5</f>
        <v/>
      </c>
      <c r="H714">
        <f>Calc!H5</f>
        <v/>
      </c>
      <c r="I714">
        <f>IF(Skills!AA5&lt;&gt;"",1+(Skills!AA5/10)*(U712/1000)/100,1)</f>
        <v/>
      </c>
      <c r="J714">
        <f>((Inputs!$B$6*(1+Inputs!$B$7/100))+(((Inputs!$B$12*(1+Inputs!$B$13/100))-(Inputs!$B$12*(1+Inputs!$B$13/100)))+0.25*(Inputs!$B$14-Inputs!$B$14))*(1+Inputs!$B$7/100))*(F714/100)</f>
        <v/>
      </c>
      <c r="K714">
        <f>J714*(1+((Inputs!$B$12*(1+Inputs!$B$13/100))*0.01+Inputs!$B$14*0.0025)/100)*(1+Inputs!$B$15/100)*(1+Inputs!$B$16/100)*(5000/(6000+Inputs!$B$43*(1-(100*(1-(1-(((1-(1-Inputs!$B$19/100)*(1-1/100))*100)+0)/100)*(1-CHOOSE(ArtifactsInput!$N$40+1,5,6,7,8,9,10)/100)^(ArtifactsInput!$M$40-ArtifactsInput!$M$40)))/100)))*(1+(Inputs!$B$24+((C739=TRUE)*(F739-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732=TRUE)*(F732-Calc!F23))+(((IF(AND(ArtifactsInput!$M$42,((Inputs!$B$9+((C734=TRUE)*(F734-Calc!F25))+B749+(ArtifactsInput!$M$24-ArtifactsInput!$M$24)*CHOOSE(ArtifactsInput!$N$24+1,10,12,14,16,18,20)+IF(ArtifactsInput!$M$10,CHOOSE(ArtifactsInput!$N$10+1,15,18,21,24,27,30)*(IF(Inputs!$B$39="pvp",MIN(15,15)/15,IF(AND(Inputs!$B$39&lt;&gt;"pvp",Inputs!$B$44&gt;0),MIN(15,Inputs!$B$44)/(Inputs!$B$44),0))),0)))&gt;=100),MIN(100,((Inputs!$B$9+((C734=TRUE)*(F734-Calc!F25))+B749+(ArtifactsInput!$M$24-ArtifactsInput!$M$24)*CHOOSE(ArtifactsInput!$N$24+1,10,12,14,16,18,20)+IF(ArtifactsInput!$M$10,CHOOSE(ArtifactsInput!$N$10+1,15,18,21,24,27,30)*(IF(Inputs!$B$39="pvp",MIN(15,15)/15,IF(AND(Inputs!$B$39&lt;&gt;"pvp",Inputs!$B$44&gt;0),MIN(15,Inputs!$B$44)/(Inputs!$B$44),0))),0)))-100),0))*CHOOSE(ArtifactsInput!$N$42+1,0.6,0.72,0.84,0.96,1.08,1.2))),Inputs!$B$18+((C738=TRUE)*(F738-Calc!F29))+(IF(AND(ArtifactsInput!$M$42,((Inputs!$B$9+((C734=TRUE)*(F734-Calc!F25))+B749+(ArtifactsInput!$M$24-ArtifactsInput!$M$24)*CHOOSE(ArtifactsInput!$N$24+1,10,12,14,16,18,20)+IF(ArtifactsInput!$M$10,CHOOSE(ArtifactsInput!$N$10+1,15,18,21,24,27,30)*(IF(Inputs!$B$39="pvp",MIN(15,15)/15,IF(AND(Inputs!$B$39&lt;&gt;"pvp",Inputs!$B$44&gt;0),MIN(15,Inputs!$B$44)/(Inputs!$B$44),0))),0)))&gt;=100),CHOOSE(ArtifactsInput!$N$42+1,40,48,56,64,72,80),0))))/100)*(((1+(((C730=TRUE)*F730*IF(AND(Inputs!$B$39&lt;&gt;"pvp",Inputs!$B$44&gt;0),(((R730-1)*(Skills!Y21*(1+Inputs!$B$34/100))+MIN((Skills!Y21*(1+Inputs!$B$34/100)),MAX(0,Inputs!$B$44-((R730-1)*Skills!D21))))/Inputs!$B$44),IF(Inputs!$B$39="pvp",MIN((Skills!Y21*(1+Inputs!$B$34/100)),15)/15,(Skills!Y21*(1+Inputs!$B$34/100))/Skills!D21)))+((C737=TRUE)*(F737-Calc!F28))+((C727=TRUE)*(F727-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724=TRUE)*F724*IF(AND(Inputs!$B$39&lt;&gt;"pvp",Inputs!$B$44&gt;0),(((R724-1)*(Skills!Y15*(1+Inputs!$B$34/100))+MIN((Skills!Y15*(1+Inputs!$B$34/100)),MAX(0,Inputs!$B$44-((R724-1)*Skills!D15))))/Inputs!$B$44),IF(Inputs!$B$39="pvp",MIN((Skills!Y15*(1+Inputs!$B$34/100)),15)/15,(Skills!Y15*(1+Inputs!$B$34/100))/Skills!D15)))/100)*(1+((C715=TRUE)*F715*B743)/100))*B751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714)</f>
        <v/>
      </c>
      <c r="L714">
        <f>K714*(MIN(Inputs!$B$22+((C733=TRUE)*(F733-Calc!F24)),(Inputs!$B$23+0+(IF(ArtifactsInput!$M$15,CHOOSE(ArtifactsInput!$N$15+1,25,30,35,40,45,50)/100*(Inputs!$B$11-Inputs!$B$11),0))))/100+(Inputs!$B$23+0+(IF(ArtifactsInput!$M$15,CHOOSE(ArtifactsInput!$N$15+1,25,30,35,40,45,50)/100*(Inputs!$B$11-Inputs!$B$11),0)))/100)/2</f>
        <v/>
      </c>
      <c r="M714">
        <f>L714*(1+(Inputs!$B$10+((C735=TRUE)*(F735-Calc!F26))+B752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14">
        <f>L714*(1-MIN((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714*(MIN((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14">
        <f>(1-Summary!$B$11)*T714+Summary!$B$11*V714</f>
        <v/>
      </c>
      <c r="P714">
        <f>IF(B753=0,0,O714/B753)</f>
        <v/>
      </c>
      <c r="Q714">
        <f>IFERROR(1/IF(Inputs!$B$39="pvp",15,MAX(0.1,Skills!D5-IF(Skills!E5=TRUE,Inputs!$B$32,0))),0)</f>
        <v/>
      </c>
      <c r="R714">
        <f>IF(AND(Inputs!$B$39&lt;&gt;"pvp",Inputs!$B$44&gt;0),IF(MAX(0,Inputs!$B$44-B754)&lt;=0,0,(INT(MAX(0,Inputs!$B$44-B754)/IF(Inputs!$B$39="pvp",15,MAX(0.1,Skills!D5-IF(Skills!E5=TRUE,Inputs!$B$32,0))))+1)),0)</f>
        <v/>
      </c>
      <c r="S714">
        <f>IFERROR(O714/N714,0)</f>
        <v/>
      </c>
      <c r="T714">
        <f>IF(C714,(H714*N714*IF(AND(Inputs!$B$39&lt;&gt;"pvp",Inputs!$B$44&gt;0),((Skills!G5*((R714-1)*IF(Skills!H5&gt;0,Skills!I5/Skills!H5,1)+IF(Skills!H5&gt;0,MIN(Skills!I5,MAX(0,MAX(0,Inputs!$B$44-B754)-((R714-1)*IF(Inputs!$B$39="pvp",15,MAX(0.1,Skills!D5-IF(Skills!E5=TRUE,Inputs!$B$32,0))))))/Skills!H5,1)))/Inputs!$B$44),G714*Q714))*IF(Inputs!$B$39="pvp",1,1+(Inputs!$B$20+((C736=TRUE)*(F736-Calc!F27))+Skills!P5+B750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Hunt"),CHOOSE(ArtifactsInput!$N$35+1,15,18,21,24,27,30)*(1-EXP(-(0.2*B745)*5)),0)+IF(AND(ArtifactsInput!$M$22,Inputs!$B$4&lt;&gt;"Chapter Hunt"),CHOOSE(ArtifactsInput!$N$22+1,10,12,14,16,18,20)*((0*(((0.15*B745*5))^0/1)+1*(((0.15*B745*5))^1/1)+2*(((0.15*B745*5))^2/2)+3*(((0.15*B745*5))^3/6)+4*(((0.15*B745*5))^4/24)+5*(((0.15*B745*5))^5/120))/((((0.15*B745*5))^0/1)+(((0.15*B745*5))^1/1)+(((0.15*B745*5))^2/2)+(((0.15*B745*5))^3/6)+(((0.15*B745*5))^4/24)+(((0.15*B745*5))^5/120))),0)))/100)*((((5000/(6000+Inputs!$B$43*(1-(100*(1-(1-(100*(1-(1-(((1-(1-Inputs!$B$19/100)*(1-1/100))*100)+0)/100)*(1-CHOOSE(ArtifactsInput!$N$40+1,5,6,7,8,9,10)/100)^(ArtifactsInput!$M$40-ArtifactsInput!$M$40)))/100)*(1-IF(ArtifactsInput!$M$40,CHOOSE(ArtifactsInput!$N$40+1,5,6,7,8,9,10),0)/100)^IF(Inputs!$B$39="pvp",1,2)))/100)))/(5000/(6000+Inputs!$B$43*(1-(100*(1-(1-(((1-(1-Inputs!$B$19/100)*(1-1/100))*100)+0)/100)*(1-CHOOSE(ArtifactsInput!$N$40+1,5,6,7,8,9,10)/100)^(ArtifactsInput!$M$40-ArtifactsInput!$M$40)))/100))))*((L714*(1-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714*(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714*(1-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714*(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14">
        <f>INDEX(FactorTable!$B$2:$Y$301, MATCH(ROUND(MIN(300,MAX(1,U713)),0), FactorTable!$A$2:$A$301,0), 22)</f>
        <v/>
      </c>
      <c r="V714">
        <f>IF(C714,(H714*N714*IF(AND(Inputs!$B$39&lt;&gt;"pvp",Inputs!$B$44&gt;0),((Skills!G5*((R714-1)*IF(Skills!H5&gt;0,Skills!I5/Skills!H5,1)+IF(Skills!H5&gt;0,MIN(Skills!I5,MAX(0,MAX(0,Inputs!$B$44-B754)-((R714-1)*IF(Inputs!$B$39="pvp",15,MAX(0.1,Skills!D5-IF(Skills!E5=TRUE,Inputs!$B$32,0))))))/Skills!H5,1)))/Inputs!$B$44),G714*Q714))*IF(Inputs!$B$39="pvp",1,(1+(Inputs!$B$21+Skills!Q5+B750+(IF(ArtifactsInput!$M$33,CHOOSE(ArtifactsInput!$N$33+1,30,36,42,48,54,60),0))+(IF(AND(ArtifactsInput!$M$35,Inputs!$B$4&lt;&gt;"Chapter Hunt"),CHOOSE(ArtifactsInput!$N$35+1,15,18,21,24,27,30)*(1-EXP(-(0.2*B745)*5)),0)+IF(AND(ArtifactsInput!$M$22,Inputs!$B$4&lt;&gt;"Chapter Hunt"),CHOOSE(ArtifactsInput!$N$22+1,10,12,14,16,18,20)*((0*(((0.15*B745*5))^0/1)+1*(((0.15*B745*5))^1/1)+2*(((0.15*B745*5))^2/2)+3*(((0.15*B745*5))^3/6)+4*(((0.15*B745*5))^4/24)+5*(((0.15*B745*5))^5/120))/((((0.15*B745*5))^0/1)+(((0.15*B745*5))^1/1)+(((0.15*B745*5))^2/2)+(((0.15*B745*5))^3/6)+(((0.15*B745*5))^4/24)+(((0.15*B745*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15">
      <c r="A715">
        <f>Skills!A6</f>
        <v/>
      </c>
      <c r="B715">
        <f>Skills!B6</f>
        <v/>
      </c>
      <c r="C715">
        <f>Inputs!$B$3&gt;=66</f>
        <v/>
      </c>
      <c r="D715">
        <f>IF(Skills!C6=1,60+Inputs!$B$25+Inputs!$B$29,IF(Skills!C6=2,90+Inputs!$B$26+Inputs!$B$29,IF(Skills!C6=3,120+Inputs!$B$27+Inputs!$B$29,MAX(0,(Inputs!$B$3-100)*3)+Inputs!$B$28+Inputs!$B$29)))</f>
        <v/>
      </c>
      <c r="E715">
        <f>INDEX(FactorTable!$B$2:$Y$301, MATCH(ROUND(MIN(300,MAX(1,D715)),0), FactorTable!$A$2:$A$301,0), Skills!M6+1)</f>
        <v/>
      </c>
      <c r="F715">
        <f>IF(Skills!N6=TRUE,(Skills!L6/10)*(E715/1000),Skills!L6/10)+Skills!O6</f>
        <v/>
      </c>
      <c r="G715">
        <f>Calc!G6</f>
        <v/>
      </c>
      <c r="H715">
        <f>Calc!H6</f>
        <v/>
      </c>
      <c r="I715">
        <f>IF(Skills!AA6&lt;&gt;"",1+(Skills!AA6/10)*(U712/1000)/100,1)</f>
        <v/>
      </c>
      <c r="J715" t="inlineStr"/>
      <c r="K715" t="inlineStr"/>
      <c r="L715" t="inlineStr"/>
      <c r="M715" t="inlineStr"/>
      <c r="N715" t="inlineStr"/>
      <c r="O715">
        <f>(1-Summary!$B$11)*T715+Summary!$B$11*V715</f>
        <v/>
      </c>
      <c r="P715">
        <f>IF(B753=0,0,O715/B753)</f>
        <v/>
      </c>
      <c r="Q715" t="n">
        <v>0</v>
      </c>
      <c r="R715" t="n">
        <v>0</v>
      </c>
      <c r="S715">
        <f>IFERROR(O715/N715,0)</f>
        <v/>
      </c>
      <c r="T715" t="n">
        <v>0</v>
      </c>
      <c r="U715">
        <f>290*U714/1000</f>
        <v/>
      </c>
      <c r="V715" t="n">
        <v>0</v>
      </c>
    </row>
    <row r="716">
      <c r="A716">
        <f>Skills!A7</f>
        <v/>
      </c>
      <c r="B716">
        <f>Skills!B7</f>
        <v/>
      </c>
      <c r="C716">
        <f>Inputs!$B$3&gt;=66</f>
        <v/>
      </c>
      <c r="D716">
        <f>IF(Skills!C7=1,60+Inputs!$B$25+Inputs!$B$29,IF(Skills!C7=2,90+Inputs!$B$26+Inputs!$B$29,IF(Skills!C7=3,120+Inputs!$B$27+Inputs!$B$29,MAX(0,(Inputs!$B$3-100)*3)+Inputs!$B$28+Inputs!$B$29)))</f>
        <v/>
      </c>
      <c r="E716">
        <f>INDEX(FactorTable!$B$2:$Y$301, MATCH(ROUND(MIN(300,MAX(1,D716)),0), FactorTable!$A$2:$A$301,0), Skills!M7+1)</f>
        <v/>
      </c>
      <c r="F716">
        <f>IF(Skills!N7=TRUE,(Skills!L7/10)*(E716/1000),Skills!L7/10)+Skills!O7</f>
        <v/>
      </c>
      <c r="G716">
        <f>Calc!G7</f>
        <v/>
      </c>
      <c r="H716">
        <f>Calc!H7</f>
        <v/>
      </c>
      <c r="I716">
        <f>IF(Skills!AA7&lt;&gt;"",1+(Skills!AA7/10)*(U712/1000)/100,1)</f>
        <v/>
      </c>
      <c r="J716" t="inlineStr"/>
      <c r="K716" t="inlineStr"/>
      <c r="L716" t="inlineStr"/>
      <c r="M716" t="inlineStr"/>
      <c r="N716" t="inlineStr"/>
      <c r="O716">
        <f>(1-Summary!$B$11)*T716+Summary!$B$11*V716</f>
        <v/>
      </c>
      <c r="P716">
        <f>IF(B753=0,0,O716/B753)</f>
        <v/>
      </c>
      <c r="Q716" t="n">
        <v>0</v>
      </c>
      <c r="R716" t="n">
        <v>0</v>
      </c>
      <c r="S716">
        <f>IFERROR(O716/N716,0)</f>
        <v/>
      </c>
      <c r="T716" t="n">
        <v>0</v>
      </c>
      <c r="V716" t="n">
        <v>0</v>
      </c>
    </row>
    <row r="717">
      <c r="A717">
        <f>Skills!A8</f>
        <v/>
      </c>
      <c r="B717">
        <f>Skills!B8</f>
        <v/>
      </c>
      <c r="C717">
        <f>Inputs!$B$3&gt;=69</f>
        <v/>
      </c>
      <c r="D717">
        <f>IF(Skills!C8=1,60+Inputs!$B$25+Inputs!$B$29,IF(Skills!C8=2,90+Inputs!$B$26+Inputs!$B$29,IF(Skills!C8=3,120+Inputs!$B$27+Inputs!$B$29,MAX(0,(Inputs!$B$3-100)*3)+Inputs!$B$28+Inputs!$B$29)))</f>
        <v/>
      </c>
      <c r="E717">
        <f>INDEX(FactorTable!$B$2:$Y$301, MATCH(ROUND(MIN(300,MAX(1,D717)),0), FactorTable!$A$2:$A$301,0), Skills!M8+1)</f>
        <v/>
      </c>
      <c r="F717">
        <f>IF(Skills!N8=TRUE,(Skills!L8/10)*(E717/1000),Skills!L8/10)+Skills!O8</f>
        <v/>
      </c>
      <c r="G717">
        <f>Calc!G8</f>
        <v/>
      </c>
      <c r="H717">
        <f>Calc!H8</f>
        <v/>
      </c>
      <c r="I717">
        <f>IF(Skills!AA8&lt;&gt;"",1+(Skills!AA8/10)*(U712/1000)/100,1)</f>
        <v/>
      </c>
      <c r="J717">
        <f>((Inputs!$B$6*(1+Inputs!$B$7/100))+(((Inputs!$B$12*(1+Inputs!$B$13/100))-(Inputs!$B$12*(1+Inputs!$B$13/100)))+0.25*(Inputs!$B$14-Inputs!$B$14))*(1+Inputs!$B$7/100))*(F717/100)</f>
        <v/>
      </c>
      <c r="K717">
        <f>J717*(1+((Inputs!$B$12*(1+Inputs!$B$13/100))*0.01+Inputs!$B$14*0.0025)/100)*(1+Inputs!$B$15/100)*(1+Inputs!$B$16/100)*(5000/(6000+Inputs!$B$43*(1-(100*(1-(1-(((1-(1-Inputs!$B$19/100)*(1-1/100))*100)+0)/100)*(1-CHOOSE(ArtifactsInput!$N$40+1,5,6,7,8,9,10)/100)^(ArtifactsInput!$M$40-ArtifactsInput!$M$40)))/100)))*(1+(Inputs!$B$24+((C739=TRUE)*(F739-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732=TRUE)*(F732-Calc!F23))+(((IF(AND(ArtifactsInput!$M$42,((Inputs!$B$9+((C734=TRUE)*(F734-Calc!F25))+B749+(ArtifactsInput!$M$24-ArtifactsInput!$M$24)*CHOOSE(ArtifactsInput!$N$24+1,10,12,14,16,18,20)+IF(ArtifactsInput!$M$10,CHOOSE(ArtifactsInput!$N$10+1,15,18,21,24,27,30)*(IF(Inputs!$B$39="pvp",MIN(15,15)/15,IF(AND(Inputs!$B$39&lt;&gt;"pvp",Inputs!$B$44&gt;0),MIN(15,Inputs!$B$44)/(Inputs!$B$44),0))),0)))&gt;=100),MIN(100,((Inputs!$B$9+((C734=TRUE)*(F734-Calc!F25))+B749+(ArtifactsInput!$M$24-ArtifactsInput!$M$24)*CHOOSE(ArtifactsInput!$N$24+1,10,12,14,16,18,20)+IF(ArtifactsInput!$M$10,CHOOSE(ArtifactsInput!$N$10+1,15,18,21,24,27,30)*(IF(Inputs!$B$39="pvp",MIN(15,15)/15,IF(AND(Inputs!$B$39&lt;&gt;"pvp",Inputs!$B$44&gt;0),MIN(15,Inputs!$B$44)/(Inputs!$B$44),0))),0)))-100),0))*CHOOSE(ArtifactsInput!$N$42+1,0.6,0.72,0.84,0.96,1.08,1.2))),Inputs!$B$18+((C738=TRUE)*(F738-Calc!F29))+(IF(AND(ArtifactsInput!$M$42,((Inputs!$B$9+((C734=TRUE)*(F734-Calc!F25))+B749+(ArtifactsInput!$M$24-ArtifactsInput!$M$24)*CHOOSE(ArtifactsInput!$N$24+1,10,12,14,16,18,20)+IF(ArtifactsInput!$M$10,CHOOSE(ArtifactsInput!$N$10+1,15,18,21,24,27,30)*(IF(Inputs!$B$39="pvp",MIN(15,15)/15,IF(AND(Inputs!$B$39&lt;&gt;"pvp",Inputs!$B$44&gt;0),MIN(15,Inputs!$B$44)/(Inputs!$B$44),0))),0)))&gt;=100),CHOOSE(ArtifactsInput!$N$42+1,40,48,56,64,72,80),0))))/100)*(((1+(((C730=TRUE)*F730*IF(AND(Inputs!$B$39&lt;&gt;"pvp",Inputs!$B$44&gt;0),(((R730-1)*(Skills!Y21*(1+Inputs!$B$34/100))+MIN((Skills!Y21*(1+Inputs!$B$34/100)),MAX(0,Inputs!$B$44-((R730-1)*Skills!D21))))/Inputs!$B$44),IF(Inputs!$B$39="pvp",MIN((Skills!Y21*(1+Inputs!$B$34/100)),15)/15,(Skills!Y21*(1+Inputs!$B$34/100))/Skills!D21)))+((C737=TRUE)*(F737-Calc!F28))+((C727=TRUE)*(F727-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724=TRUE)*F724*IF(AND(Inputs!$B$39&lt;&gt;"pvp",Inputs!$B$44&gt;0),(((R724-1)*(Skills!Y15*(1+Inputs!$B$34/100))+MIN((Skills!Y15*(1+Inputs!$B$34/100)),MAX(0,Inputs!$B$44-((R724-1)*Skills!D15))))/Inputs!$B$44),IF(Inputs!$B$39="pvp",MIN((Skills!Y15*(1+Inputs!$B$34/100)),15)/15,(Skills!Y15*(1+Inputs!$B$34/100))/Skills!D15)))/100)*(1+((C715=TRUE)*F715*B743)/100))*B751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717)</f>
        <v/>
      </c>
      <c r="L717">
        <f>K717*(MIN(Inputs!$B$22+((C733=TRUE)*(F733-Calc!F24)),(Inputs!$B$23+0+(IF(ArtifactsInput!$M$15,CHOOSE(ArtifactsInput!$N$15+1,25,30,35,40,45,50)/100*(Inputs!$B$11-Inputs!$B$11),0))))/100+(Inputs!$B$23+0+(IF(ArtifactsInput!$M$15,CHOOSE(ArtifactsInput!$N$15+1,25,30,35,40,45,50)/100*(Inputs!$B$11-Inputs!$B$11),0)))/100)/2</f>
        <v/>
      </c>
      <c r="M717">
        <f>L717*(1+(Inputs!$B$10+((C735=TRUE)*(F735-Calc!F26))+B752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17">
        <f>L717*(1-MIN((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717*(MIN((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17">
        <f>(1-Summary!$B$11)*T717+Summary!$B$11*V717</f>
        <v/>
      </c>
      <c r="P717">
        <f>IF(B753=0,0,O717/B753)</f>
        <v/>
      </c>
      <c r="Q717">
        <f>IFERROR(1/IF(Inputs!$B$39="pvp",15,MAX(0.1,Skills!D8-IF(Skills!E8=TRUE,Inputs!$B$32,0))),0)</f>
        <v/>
      </c>
      <c r="R717">
        <f>IF(AND(Inputs!$B$39&lt;&gt;"pvp",Inputs!$B$44&gt;0),IF(MAX(0,Inputs!$B$44-B754)&lt;=0,0,(INT(MAX(0,Inputs!$B$44-B754)/IF(Inputs!$B$39="pvp",15,MAX(0.1,Skills!D8-IF(Skills!E8=TRUE,Inputs!$B$32,0))))+1)),0)</f>
        <v/>
      </c>
      <c r="S717">
        <f>IFERROR(O717/N717,0)</f>
        <v/>
      </c>
      <c r="T717">
        <f>IF(C717,(H717*N717*IF(AND(Inputs!$B$39&lt;&gt;"pvp",Inputs!$B$44&gt;0),((Skills!G8*((R717-1)*IF(Skills!H8&gt;0,Skills!I8/Skills!H8,1)+IF(Skills!H8&gt;0,MIN(Skills!I8,MAX(0,MAX(0,Inputs!$B$44-B754)-((R717-1)*IF(Inputs!$B$39="pvp",15,MAX(0.1,Skills!D8-IF(Skills!E8=TRUE,Inputs!$B$32,0))))))/Skills!H8,1)))/Inputs!$B$44),G717*Q717))*IF(Inputs!$B$39="pvp",1,1+(Inputs!$B$20+((C736=TRUE)*(F736-Calc!F27))+Skills!P8+B750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Hunt"),CHOOSE(ArtifactsInput!$N$35+1,15,18,21,24,27,30)*(1-EXP(-(0.2*B745)*5)),0)+IF(AND(ArtifactsInput!$M$22,Inputs!$B$4&lt;&gt;"Chapter Hunt"),CHOOSE(ArtifactsInput!$N$22+1,10,12,14,16,18,20)*((0*(((0.15*B745*5))^0/1)+1*(((0.15*B745*5))^1/1)+2*(((0.15*B745*5))^2/2)+3*(((0.15*B745*5))^3/6)+4*(((0.15*B745*5))^4/24)+5*(((0.15*B745*5))^5/120))/((((0.15*B745*5))^0/1)+(((0.15*B745*5))^1/1)+(((0.15*B745*5))^2/2)+(((0.15*B745*5))^3/6)+(((0.15*B745*5))^4/24)+(((0.15*B745*5))^5/120))),0)))/100)*((((5000/(6000+Inputs!$B$43*(1-(100*(1-(1-(100*(1-(1-(((1-(1-Inputs!$B$19/100)*(1-1/100))*100)+0)/100)*(1-CHOOSE(ArtifactsInput!$N$40+1,5,6,7,8,9,10)/100)^(ArtifactsInput!$M$40-ArtifactsInput!$M$40)))/100)*(1-IF(ArtifactsInput!$M$40,CHOOSE(ArtifactsInput!$N$40+1,5,6,7,8,9,10),0)/100)^IF(Inputs!$B$39="pvp",1,2)))/100)))/(5000/(6000+Inputs!$B$43*(1-(100*(1-(1-(((1-(1-Inputs!$B$19/100)*(1-1/100))*100)+0)/100)*(1-CHOOSE(ArtifactsInput!$N$40+1,5,6,7,8,9,10)/100)^(ArtifactsInput!$M$40-ArtifactsInput!$M$40)))/100))))*((L717*(1-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717*(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717*(1-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717*(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17">
        <f>IF(C717,(H717*N717*IF(AND(Inputs!$B$39&lt;&gt;"pvp",Inputs!$B$44&gt;0),((Skills!G8*((R717-1)*IF(Skills!H8&gt;0,Skills!I8/Skills!H8,1)+IF(Skills!H8&gt;0,MIN(Skills!I8,MAX(0,MAX(0,Inputs!$B$44-B754)-((R717-1)*IF(Inputs!$B$39="pvp",15,MAX(0.1,Skills!D8-IF(Skills!E8=TRUE,Inputs!$B$32,0))))))/Skills!H8,1)))/Inputs!$B$44),G717*Q717))*IF(Inputs!$B$39="pvp",1,(1+(Inputs!$B$21+Skills!Q8+B750+(IF(ArtifactsInput!$M$33,CHOOSE(ArtifactsInput!$N$33+1,30,36,42,48,54,60),0))+(IF(AND(ArtifactsInput!$M$35,Inputs!$B$4&lt;&gt;"Chapter Hunt"),CHOOSE(ArtifactsInput!$N$35+1,15,18,21,24,27,30)*(1-EXP(-(0.2*B745)*5)),0)+IF(AND(ArtifactsInput!$M$22,Inputs!$B$4&lt;&gt;"Chapter Hunt"),CHOOSE(ArtifactsInput!$N$22+1,10,12,14,16,18,20)*((0*(((0.15*B745*5))^0/1)+1*(((0.15*B745*5))^1/1)+2*(((0.15*B745*5))^2/2)+3*(((0.15*B745*5))^3/6)+4*(((0.15*B745*5))^4/24)+5*(((0.15*B745*5))^5/120))/((((0.15*B745*5))^0/1)+(((0.15*B745*5))^1/1)+(((0.15*B745*5))^2/2)+(((0.15*B745*5))^3/6)+(((0.15*B745*5))^4/24)+(((0.15*B745*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18">
      <c r="A718">
        <f>Skills!A9</f>
        <v/>
      </c>
      <c r="B718">
        <f>Skills!B9</f>
        <v/>
      </c>
      <c r="C718">
        <f>Inputs!$B$3&gt;=72</f>
        <v/>
      </c>
      <c r="D718">
        <f>IF(Skills!C9=1,60+Inputs!$B$25+Inputs!$B$29,IF(Skills!C9=2,90+Inputs!$B$26+Inputs!$B$29,IF(Skills!C9=3,120+Inputs!$B$27+Inputs!$B$29,MAX(0,(Inputs!$B$3-100)*3)+Inputs!$B$28+Inputs!$B$29)))</f>
        <v/>
      </c>
      <c r="E718">
        <f>INDEX(FactorTable!$B$2:$Y$301, MATCH(ROUND(MIN(300,MAX(1,D718)),0), FactorTable!$A$2:$A$301,0), Skills!M9+1)</f>
        <v/>
      </c>
      <c r="F718">
        <f>IF(Skills!N9=TRUE,(Skills!L9/10)*(E718/1000),Skills!L9/10)+Skills!O9</f>
        <v/>
      </c>
      <c r="G718">
        <f>Calc!G9</f>
        <v/>
      </c>
      <c r="H718">
        <f>Calc!H9</f>
        <v/>
      </c>
      <c r="I718">
        <f>IF(Skills!AA9&lt;&gt;"",1+(Skills!AA9/10)*(U712/1000)/100,1)</f>
        <v/>
      </c>
      <c r="J718">
        <f>((Inputs!$B$6*(1+Inputs!$B$7/100))+(((Inputs!$B$12*(1+Inputs!$B$13/100))-(Inputs!$B$12*(1+Inputs!$B$13/100)))+0.25*(Inputs!$B$14-Inputs!$B$14))*(1+Inputs!$B$7/100))*(F718/100)</f>
        <v/>
      </c>
      <c r="K718">
        <f>J718*(1+((Inputs!$B$12*(1+Inputs!$B$13/100))*0.01+Inputs!$B$14*0.0025)/100)*(1+Inputs!$B$15/100)*(1+Inputs!$B$16/100)*(5000/(6000+Inputs!$B$43*(1-(100*(1-(1-(((1-(1-Inputs!$B$19/100)*(1-1/100))*100)+0)/100)*(1-CHOOSE(ArtifactsInput!$N$40+1,5,6,7,8,9,10)/100)^(ArtifactsInput!$M$40-ArtifactsInput!$M$40)))/100)))*(1+(Inputs!$B$24+((C739=TRUE)*(F739-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732=TRUE)*(F732-Calc!F23))+(((IF(AND(ArtifactsInput!$M$42,((Inputs!$B$9+((C734=TRUE)*(F734-Calc!F25))+B749+(ArtifactsInput!$M$24-ArtifactsInput!$M$24)*CHOOSE(ArtifactsInput!$N$24+1,10,12,14,16,18,20)+IF(ArtifactsInput!$M$10,CHOOSE(ArtifactsInput!$N$10+1,15,18,21,24,27,30)*(IF(Inputs!$B$39="pvp",MIN(15,15)/15,IF(AND(Inputs!$B$39&lt;&gt;"pvp",Inputs!$B$44&gt;0),MIN(15,Inputs!$B$44)/(Inputs!$B$44),0))),0)))&gt;=100),MIN(100,((Inputs!$B$9+((C734=TRUE)*(F734-Calc!F25))+B749+(ArtifactsInput!$M$24-ArtifactsInput!$M$24)*CHOOSE(ArtifactsInput!$N$24+1,10,12,14,16,18,20)+IF(ArtifactsInput!$M$10,CHOOSE(ArtifactsInput!$N$10+1,15,18,21,24,27,30)*(IF(Inputs!$B$39="pvp",MIN(15,15)/15,IF(AND(Inputs!$B$39&lt;&gt;"pvp",Inputs!$B$44&gt;0),MIN(15,Inputs!$B$44)/(Inputs!$B$44),0))),0)))-100),0))*CHOOSE(ArtifactsInput!$N$42+1,0.6,0.72,0.84,0.96,1.08,1.2))),Inputs!$B$18+((C738=TRUE)*(F738-Calc!F29))+(IF(AND(ArtifactsInput!$M$42,((Inputs!$B$9+((C734=TRUE)*(F734-Calc!F25))+B749+(ArtifactsInput!$M$24-ArtifactsInput!$M$24)*CHOOSE(ArtifactsInput!$N$24+1,10,12,14,16,18,20)+IF(ArtifactsInput!$M$10,CHOOSE(ArtifactsInput!$N$10+1,15,18,21,24,27,30)*(IF(Inputs!$B$39="pvp",MIN(15,15)/15,IF(AND(Inputs!$B$39&lt;&gt;"pvp",Inputs!$B$44&gt;0),MIN(15,Inputs!$B$44)/(Inputs!$B$44),0))),0)))&gt;=100),CHOOSE(ArtifactsInput!$N$42+1,40,48,56,64,72,80),0))))/100)*(((1+(((C730=TRUE)*F730*IF(AND(Inputs!$B$39&lt;&gt;"pvp",Inputs!$B$44&gt;0),(((R730-1)*(Skills!Y21*(1+Inputs!$B$34/100))+MIN((Skills!Y21*(1+Inputs!$B$34/100)),MAX(0,Inputs!$B$44-((R730-1)*Skills!D21))))/Inputs!$B$44),IF(Inputs!$B$39="pvp",MIN((Skills!Y21*(1+Inputs!$B$34/100)),15)/15,(Skills!Y21*(1+Inputs!$B$34/100))/Skills!D21)))+((C737=TRUE)*(F737-Calc!F28))+((C727=TRUE)*(F727-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724=TRUE)*F724*IF(AND(Inputs!$B$39&lt;&gt;"pvp",Inputs!$B$44&gt;0),(((R724-1)*(Skills!Y15*(1+Inputs!$B$34/100))+MIN((Skills!Y15*(1+Inputs!$B$34/100)),MAX(0,Inputs!$B$44-((R724-1)*Skills!D15))))/Inputs!$B$44),IF(Inputs!$B$39="pvp",MIN((Skills!Y15*(1+Inputs!$B$34/100)),15)/15,(Skills!Y15*(1+Inputs!$B$34/100))/Skills!D15)))/100)*(1+((C715=TRUE)*F715*B743)/100))*B751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718)</f>
        <v/>
      </c>
      <c r="L718">
        <f>K718*(MIN(Inputs!$B$22+((C733=TRUE)*(F733-Calc!F24)),(Inputs!$B$23+0+(IF(ArtifactsInput!$M$15,CHOOSE(ArtifactsInput!$N$15+1,25,30,35,40,45,50)/100*(Inputs!$B$11-Inputs!$B$11),0))))/100+(Inputs!$B$23+0+(IF(ArtifactsInput!$M$15,CHOOSE(ArtifactsInput!$N$15+1,25,30,35,40,45,50)/100*(Inputs!$B$11-Inputs!$B$11),0)))/100)/2</f>
        <v/>
      </c>
      <c r="M718">
        <f>L718*(1+(Inputs!$B$10+((C735=TRUE)*(F735-Calc!F26))+B752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18">
        <f>L718*(1-MIN((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718*(MIN((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18">
        <f>(1-Summary!$B$11)*T718+Summary!$B$11*V718</f>
        <v/>
      </c>
      <c r="P718">
        <f>IF(B753=0,0,O718/B753)</f>
        <v/>
      </c>
      <c r="Q718">
        <f>IFERROR(1/IF(Inputs!$B$39="pvp",15,MAX(0.1,Skills!D9-IF(Skills!E9=TRUE,Inputs!$B$32,0))),0)</f>
        <v/>
      </c>
      <c r="R718">
        <f>IF(AND(Inputs!$B$39&lt;&gt;"pvp",Inputs!$B$44&gt;0),IF(MAX(0,Inputs!$B$44-B754)&lt;=0,0,(INT(MAX(0,Inputs!$B$44-B754)/IF(Inputs!$B$39="pvp",15,MAX(0.1,Skills!D9-IF(Skills!E9=TRUE,Inputs!$B$32,0))))+1)),0)</f>
        <v/>
      </c>
      <c r="S718">
        <f>IFERROR(O718/N718,0)</f>
        <v/>
      </c>
      <c r="T718">
        <f>IF(C718,(H718*N718*IF(AND(Inputs!$B$39&lt;&gt;"pvp",Inputs!$B$44&gt;0),((Skills!G9*((R718-1)*IF(Skills!H9&gt;0,Skills!I9/Skills!H9,1)+IF(Skills!H9&gt;0,MIN(Skills!I9,MAX(0,MAX(0,Inputs!$B$44-B754)-((R718-1)*IF(Inputs!$B$39="pvp",15,MAX(0.1,Skills!D9-IF(Skills!E9=TRUE,Inputs!$B$32,0))))))/Skills!H9,1)))/Inputs!$B$44),G718*Q718))*IF(Inputs!$B$39="pvp",1,1+(Inputs!$B$20+((C736=TRUE)*(F736-Calc!F27))+Skills!P9+B750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Hunt"),CHOOSE(ArtifactsInput!$N$35+1,15,18,21,24,27,30)*(1-EXP(-(0.2*B745)*5)),0)+IF(AND(ArtifactsInput!$M$22,Inputs!$B$4&lt;&gt;"Chapter Hunt"),CHOOSE(ArtifactsInput!$N$22+1,10,12,14,16,18,20)*((0*(((0.15*B745*5))^0/1)+1*(((0.15*B745*5))^1/1)+2*(((0.15*B745*5))^2/2)+3*(((0.15*B745*5))^3/6)+4*(((0.15*B745*5))^4/24)+5*(((0.15*B745*5))^5/120))/((((0.15*B745*5))^0/1)+(((0.15*B745*5))^1/1)+(((0.15*B745*5))^2/2)+(((0.15*B745*5))^3/6)+(((0.15*B745*5))^4/24)+(((0.15*B745*5))^5/120))),0)))/100)*((((5000/(6000+Inputs!$B$43*(1-(100*(1-(1-(100*(1-(1-(((1-(1-Inputs!$B$19/100)*(1-1/100))*100)+0)/100)*(1-CHOOSE(ArtifactsInput!$N$40+1,5,6,7,8,9,10)/100)^(ArtifactsInput!$M$40-ArtifactsInput!$M$40)))/100)*(1-IF(ArtifactsInput!$M$40,CHOOSE(ArtifactsInput!$N$40+1,5,6,7,8,9,10),0)/100)^IF(Inputs!$B$39="pvp",1,2)))/100)))/(5000/(6000+Inputs!$B$43*(1-(100*(1-(1-(((1-(1-Inputs!$B$19/100)*(1-1/100))*100)+0)/100)*(1-CHOOSE(ArtifactsInput!$N$40+1,5,6,7,8,9,10)/100)^(ArtifactsInput!$M$40-ArtifactsInput!$M$40)))/100))))*((L718*(1-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718*(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718*(1-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718*(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18">
        <f>IF(C718,(H718*N718*IF(AND(Inputs!$B$39&lt;&gt;"pvp",Inputs!$B$44&gt;0),((Skills!G9*((R718-1)*IF(Skills!H9&gt;0,Skills!I9/Skills!H9,1)+IF(Skills!H9&gt;0,MIN(Skills!I9,MAX(0,MAX(0,Inputs!$B$44-B754)-((R718-1)*IF(Inputs!$B$39="pvp",15,MAX(0.1,Skills!D9-IF(Skills!E9=TRUE,Inputs!$B$32,0))))))/Skills!H9,1)))/Inputs!$B$44),G718*Q718))*IF(Inputs!$B$39="pvp",1,(1+(Inputs!$B$21+Skills!Q9+B750+(IF(ArtifactsInput!$M$33,CHOOSE(ArtifactsInput!$N$33+1,30,36,42,48,54,60),0))+(IF(AND(ArtifactsInput!$M$35,Inputs!$B$4&lt;&gt;"Chapter Hunt"),CHOOSE(ArtifactsInput!$N$35+1,15,18,21,24,27,30)*(1-EXP(-(0.2*B745)*5)),0)+IF(AND(ArtifactsInput!$M$22,Inputs!$B$4&lt;&gt;"Chapter Hunt"),CHOOSE(ArtifactsInput!$N$22+1,10,12,14,16,18,20)*((0*(((0.15*B745*5))^0/1)+1*(((0.15*B745*5))^1/1)+2*(((0.15*B745*5))^2/2)+3*(((0.15*B745*5))^3/6)+4*(((0.15*B745*5))^4/24)+5*(((0.15*B745*5))^5/120))/((((0.15*B745*5))^0/1)+(((0.15*B745*5))^1/1)+(((0.15*B745*5))^2/2)+(((0.15*B745*5))^3/6)+(((0.15*B745*5))^4/24)+(((0.15*B745*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19">
      <c r="A719">
        <f>Skills!A10</f>
        <v/>
      </c>
      <c r="B719">
        <f>Skills!B10</f>
        <v/>
      </c>
      <c r="C719">
        <f>Inputs!$B$3&gt;=117</f>
        <v/>
      </c>
      <c r="D719">
        <f>IF(Skills!C10=1,60+Inputs!$B$25+Inputs!$B$29,IF(Skills!C10=2,90+Inputs!$B$26+Inputs!$B$29,IF(Skills!C10=3,120+Inputs!$B$27+Inputs!$B$29,MAX(0,(Inputs!$B$3-100)*3)+Inputs!$B$28+Inputs!$B$29)))</f>
        <v/>
      </c>
      <c r="E719">
        <f>INDEX(FactorTable!$B$2:$Y$301, MATCH(ROUND(MIN(300,MAX(1,D719)),0), FactorTable!$A$2:$A$301,0), Skills!M10+1)</f>
        <v/>
      </c>
      <c r="F719">
        <f>IF(Skills!N10=TRUE,(Skills!L10/10)*(E719/1000),Skills!L10/10)+Skills!O10</f>
        <v/>
      </c>
      <c r="G719">
        <f>Calc!G10</f>
        <v/>
      </c>
      <c r="H719">
        <f>Calc!H10</f>
        <v/>
      </c>
      <c r="I719">
        <f>IF(Skills!AA10&lt;&gt;"",1+(Skills!AA10/10)*(U712/1000)/100,1)</f>
        <v/>
      </c>
      <c r="J719">
        <f>((Inputs!$B$6*(1+Inputs!$B$7/100))+(((Inputs!$B$12*(1+Inputs!$B$13/100))-(Inputs!$B$12*(1+Inputs!$B$13/100)))+0.25*(Inputs!$B$14-Inputs!$B$14))*(1+Inputs!$B$7/100))*(F719/100)</f>
        <v/>
      </c>
      <c r="K719">
        <f>J719*(1+((Inputs!$B$12*(1+Inputs!$B$13/100))*0.01+Inputs!$B$14*0.0025)/100)*(1+Inputs!$B$15/100)*(1+Inputs!$B$16/100)*(5000/(6000+Inputs!$B$43*(1-(100*(1-(1-(((1-(1-Inputs!$B$19/100)*(1-1/100))*100)+0)/100)*(1-CHOOSE(ArtifactsInput!$N$40+1,5,6,7,8,9,10)/100)^(ArtifactsInput!$M$40-ArtifactsInput!$M$40)))/100)))*(1+(Inputs!$B$24+((C739=TRUE)*(F739-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732=TRUE)*(F732-Calc!F23))+(((IF(AND(ArtifactsInput!$M$42,((Inputs!$B$9+((C734=TRUE)*(F734-Calc!F25))+B749+(ArtifactsInput!$M$24-ArtifactsInput!$M$24)*CHOOSE(ArtifactsInput!$N$24+1,10,12,14,16,18,20)+IF(ArtifactsInput!$M$10,CHOOSE(ArtifactsInput!$N$10+1,15,18,21,24,27,30)*(IF(Inputs!$B$39="pvp",MIN(15,15)/15,IF(AND(Inputs!$B$39&lt;&gt;"pvp",Inputs!$B$44&gt;0),MIN(15,Inputs!$B$44)/(Inputs!$B$44),0))),0)))&gt;=100),MIN(100,((Inputs!$B$9+((C734=TRUE)*(F734-Calc!F25))+B749+(ArtifactsInput!$M$24-ArtifactsInput!$M$24)*CHOOSE(ArtifactsInput!$N$24+1,10,12,14,16,18,20)+IF(ArtifactsInput!$M$10,CHOOSE(ArtifactsInput!$N$10+1,15,18,21,24,27,30)*(IF(Inputs!$B$39="pvp",MIN(15,15)/15,IF(AND(Inputs!$B$39&lt;&gt;"pvp",Inputs!$B$44&gt;0),MIN(15,Inputs!$B$44)/(Inputs!$B$44),0))),0)))-100),0))*CHOOSE(ArtifactsInput!$N$42+1,0.6,0.72,0.84,0.96,1.08,1.2))),Inputs!$B$18+((C738=TRUE)*(F738-Calc!F29))+(IF(AND(ArtifactsInput!$M$42,((Inputs!$B$9+((C734=TRUE)*(F734-Calc!F25))+B749+(ArtifactsInput!$M$24-ArtifactsInput!$M$24)*CHOOSE(ArtifactsInput!$N$24+1,10,12,14,16,18,20)+IF(ArtifactsInput!$M$10,CHOOSE(ArtifactsInput!$N$10+1,15,18,21,24,27,30)*(IF(Inputs!$B$39="pvp",MIN(15,15)/15,IF(AND(Inputs!$B$39&lt;&gt;"pvp",Inputs!$B$44&gt;0),MIN(15,Inputs!$B$44)/(Inputs!$B$44),0))),0)))&gt;=100),CHOOSE(ArtifactsInput!$N$42+1,40,48,56,64,72,80),0))))/100)*(((1+(((C730=TRUE)*F730*IF(AND(Inputs!$B$39&lt;&gt;"pvp",Inputs!$B$44&gt;0),(((R730-1)*(Skills!Y21*(1+Inputs!$B$34/100))+MIN((Skills!Y21*(1+Inputs!$B$34/100)),MAX(0,Inputs!$B$44-((R730-1)*Skills!D21))))/Inputs!$B$44),IF(Inputs!$B$39="pvp",MIN((Skills!Y21*(1+Inputs!$B$34/100)),15)/15,(Skills!Y21*(1+Inputs!$B$34/100))/Skills!D21)))+((C737=TRUE)*(F737-Calc!F28))+((C727=TRUE)*(F727-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724=TRUE)*F724*IF(AND(Inputs!$B$39&lt;&gt;"pvp",Inputs!$B$44&gt;0),(((R724-1)*(Skills!Y15*(1+Inputs!$B$34/100))+MIN((Skills!Y15*(1+Inputs!$B$34/100)),MAX(0,Inputs!$B$44-((R724-1)*Skills!D15))))/Inputs!$B$44),IF(Inputs!$B$39="pvp",MIN((Skills!Y15*(1+Inputs!$B$34/100)),15)/15,(Skills!Y15*(1+Inputs!$B$34/100))/Skills!D15)))/100)*(1+((C715=TRUE)*F715*B743)/100))*B751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719)</f>
        <v/>
      </c>
      <c r="L719">
        <f>K719*(MIN(Inputs!$B$22+((C733=TRUE)*(F733-Calc!F24)),(Inputs!$B$23+0+(IF(ArtifactsInput!$M$15,CHOOSE(ArtifactsInput!$N$15+1,25,30,35,40,45,50)/100*(Inputs!$B$11-Inputs!$B$11),0))))/100+(Inputs!$B$23+0+(IF(ArtifactsInput!$M$15,CHOOSE(ArtifactsInput!$N$15+1,25,30,35,40,45,50)/100*(Inputs!$B$11-Inputs!$B$11),0)))/100)/2</f>
        <v/>
      </c>
      <c r="M719">
        <f>L719*(1+(Inputs!$B$10+((C735=TRUE)*(F735-Calc!F26))+B752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19">
        <f>L719*(1-MIN((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719*(MIN((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19">
        <f>(1-Summary!$B$11)*T719+Summary!$B$11*V719</f>
        <v/>
      </c>
      <c r="P719">
        <f>IF(B753=0,0,O719/B753)</f>
        <v/>
      </c>
      <c r="Q719" t="n">
        <v>0</v>
      </c>
      <c r="R719" t="n">
        <v>0</v>
      </c>
      <c r="S719" t="n">
        <v>0</v>
      </c>
      <c r="T719">
        <f>IF(C719,(0.2*SUMPRODUCT((Skills!Z2:Z31=TRUE)*(C711:C740=TRUE)*S711:S740)*N719)*IF(Inputs!$B$39="pvp",1,1+(Inputs!$B$20+((C736=TRUE)*(F736-Calc!F27))+Skills!P10+B750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Hunt"),CHOOSE(ArtifactsInput!$N$35+1,15,18,21,24,27,30)*(1-EXP(-(0.2*B745)*5)),0)+IF(AND(ArtifactsInput!$M$22,Inputs!$B$4&lt;&gt;"Chapter Hunt"),CHOOSE(ArtifactsInput!$N$22+1,10,12,14,16,18,20)*((0*(((0.15*B745*5))^0/1)+1*(((0.15*B745*5))^1/1)+2*(((0.15*B745*5))^2/2)+3*(((0.15*B745*5))^3/6)+4*(((0.15*B745*5))^4/24)+5*(((0.15*B745*5))^5/120))/((((0.15*B745*5))^0/1)+(((0.15*B745*5))^1/1)+(((0.15*B745*5))^2/2)+(((0.15*B745*5))^3/6)+(((0.15*B745*5))^4/24)+(((0.15*B745*5))^5/120))),0)))/100)*((((5000/(6000+Inputs!$B$43*(1-(100*(1-(1-(100*(1-(1-(((1-(1-Inputs!$B$19/100)*(1-1/100))*100)+0)/100)*(1-CHOOSE(ArtifactsInput!$N$40+1,5,6,7,8,9,10)/100)^(ArtifactsInput!$M$40-ArtifactsInput!$M$40)))/100)*(1-IF(ArtifactsInput!$M$40,CHOOSE(ArtifactsInput!$N$40+1,5,6,7,8,9,10),0)/100)^IF(Inputs!$B$39="pvp",1,2)))/100)))/(5000/(6000+Inputs!$B$43*(1-(100*(1-(1-(((1-(1-Inputs!$B$19/100)*(1-1/100))*100)+0)/100)*(1-CHOOSE(ArtifactsInput!$N$40+1,5,6,7,8,9,10)/100)^(ArtifactsInput!$M$40-ArtifactsInput!$M$40)))/100))))*((L719*(1-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719*(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719*(1-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719*(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19">
        <f>IF(C719,(0.2*SUMPRODUCT((Skills!Z2:Z31=TRUE)*(C711:C740=TRUE)*S711:S740)*N719)*IF(Inputs!$B$39="pvp",1,(1+(Inputs!$B$21+Skills!Q10+B750+(IF(ArtifactsInput!$M$33,CHOOSE(ArtifactsInput!$N$33+1,30,36,42,48,54,60),0))+(IF(AND(ArtifactsInput!$M$35,Inputs!$B$4&lt;&gt;"Chapter Hunt"),CHOOSE(ArtifactsInput!$N$35+1,15,18,21,24,27,30)*(1-EXP(-(0.2*B745)*5)),0)+IF(AND(ArtifactsInput!$M$22,Inputs!$B$4&lt;&gt;"Chapter Hunt"),CHOOSE(ArtifactsInput!$N$22+1,10,12,14,16,18,20)*((0*(((0.15*B745*5))^0/1)+1*(((0.15*B745*5))^1/1)+2*(((0.15*B745*5))^2/2)+3*(((0.15*B745*5))^3/6)+4*(((0.15*B745*5))^4/24)+5*(((0.15*B745*5))^5/120))/((((0.15*B745*5))^0/1)+(((0.15*B745*5))^1/1)+(((0.15*B745*5))^2/2)+(((0.15*B745*5))^3/6)+(((0.15*B745*5))^4/24)+(((0.15*B745*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20">
      <c r="A720">
        <f>Skills!A11</f>
        <v/>
      </c>
      <c r="B720">
        <f>Skills!B11</f>
        <v/>
      </c>
      <c r="C720">
        <f>Inputs!$B$3&gt;=60</f>
        <v/>
      </c>
      <c r="D720">
        <f>IF(Skills!C11=1,60+Inputs!$B$25+Inputs!$B$29,IF(Skills!C11=2,90+Inputs!$B$26+Inputs!$B$29,IF(Skills!C11=3,120+Inputs!$B$27+Inputs!$B$29,MAX(0,(Inputs!$B$3-100)*3)+Inputs!$B$28+Inputs!$B$29)))</f>
        <v/>
      </c>
      <c r="E720">
        <f>INDEX(FactorTable!$B$2:$Y$301, MATCH(ROUND(MIN(300,MAX(1,D720)),0), FactorTable!$A$2:$A$301,0), Skills!M11+1)</f>
        <v/>
      </c>
      <c r="F720">
        <f>IF(Skills!N11=TRUE,(Skills!L11/10)*(E720/1000),Skills!L11/10)+Skills!O11</f>
        <v/>
      </c>
      <c r="G720">
        <f>Calc!G11</f>
        <v/>
      </c>
      <c r="H720">
        <f>Calc!H11</f>
        <v/>
      </c>
      <c r="I720">
        <f>IF(Skills!AA11&lt;&gt;"",1+(Skills!AA11/10)*(U712/1000)/100,1)</f>
        <v/>
      </c>
      <c r="J720" t="inlineStr"/>
      <c r="K720" t="inlineStr"/>
      <c r="L720" t="inlineStr"/>
      <c r="M720" t="inlineStr"/>
      <c r="N720" t="inlineStr"/>
      <c r="O720">
        <f>(1-Summary!$B$11)*T720+Summary!$B$11*V720</f>
        <v/>
      </c>
      <c r="P720">
        <f>IF(B753=0,0,O720/B753)</f>
        <v/>
      </c>
      <c r="Q720" t="n">
        <v>0</v>
      </c>
      <c r="R720" t="n">
        <v>0</v>
      </c>
      <c r="S720">
        <f>IFERROR(O720/N720,0)</f>
        <v/>
      </c>
      <c r="T720" t="n">
        <v>0</v>
      </c>
      <c r="V720" t="n">
        <v>0</v>
      </c>
    </row>
    <row r="721">
      <c r="A721">
        <f>Skills!A12</f>
        <v/>
      </c>
      <c r="B721">
        <f>Skills!B12</f>
        <v/>
      </c>
      <c r="C721">
        <f>Inputs!$B$3&gt;=103</f>
        <v/>
      </c>
      <c r="D721">
        <f>IF(Skills!C12=1,60+Inputs!$B$25+Inputs!$B$29,IF(Skills!C12=2,90+Inputs!$B$26+Inputs!$B$29,IF(Skills!C12=3,120+Inputs!$B$27+Inputs!$B$29,MAX(0,(Inputs!$B$3-100)*3)+Inputs!$B$28+Inputs!$B$29)))</f>
        <v/>
      </c>
      <c r="E721">
        <f>INDEX(FactorTable!$B$2:$Y$301, MATCH(ROUND(MIN(300,MAX(1,D721)),0), FactorTable!$A$2:$A$301,0), Skills!M12+1)</f>
        <v/>
      </c>
      <c r="F721">
        <f>IF(Skills!N12=TRUE,(Skills!L12/10)*(E721/1000),Skills!L12/10)+Skills!O12</f>
        <v/>
      </c>
      <c r="G721">
        <f>Calc!G12</f>
        <v/>
      </c>
      <c r="H721">
        <f>Calc!H12</f>
        <v/>
      </c>
      <c r="I721">
        <f>IF(Skills!AA12&lt;&gt;"",1+(Skills!AA12/10)*(U712/1000)/100,1)</f>
        <v/>
      </c>
      <c r="J721">
        <f>((Inputs!$B$6*(1+Inputs!$B$7/100))+(((Inputs!$B$12*(1+Inputs!$B$13/100))-(Inputs!$B$12*(1+Inputs!$B$13/100)))+0.25*(Inputs!$B$14-Inputs!$B$14))*(1+Inputs!$B$7/100))*(F721/100)</f>
        <v/>
      </c>
      <c r="K721">
        <f>J721*(1+((Inputs!$B$12*(1+Inputs!$B$13/100))*0.01+Inputs!$B$14*0.0025)/100)*(1+Inputs!$B$15/100)*(1+Inputs!$B$16/100)*(5000/(6000+Inputs!$B$43*(1-(100*(1-(1-(((1-(1-Inputs!$B$19/100)*(1-1/100))*100)+0)/100)*(1-CHOOSE(ArtifactsInput!$N$40+1,5,6,7,8,9,10)/100)^(ArtifactsInput!$M$40-ArtifactsInput!$M$40)))/100)))*(1+(Inputs!$B$24+((C739=TRUE)*(F739-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732=TRUE)*(F732-Calc!F23))+(((IF(AND(ArtifactsInput!$M$42,((Inputs!$B$9+((C734=TRUE)*(F734-Calc!F25))+B749+(ArtifactsInput!$M$24-ArtifactsInput!$M$24)*CHOOSE(ArtifactsInput!$N$24+1,10,12,14,16,18,20)+IF(ArtifactsInput!$M$10,CHOOSE(ArtifactsInput!$N$10+1,15,18,21,24,27,30)*(IF(Inputs!$B$39="pvp",MIN(15,15)/15,IF(AND(Inputs!$B$39&lt;&gt;"pvp",Inputs!$B$44&gt;0),MIN(15,Inputs!$B$44)/(Inputs!$B$44),0))),0)))&gt;=100),MIN(100,((Inputs!$B$9+((C734=TRUE)*(F734-Calc!F25))+B749+(ArtifactsInput!$M$24-ArtifactsInput!$M$24)*CHOOSE(ArtifactsInput!$N$24+1,10,12,14,16,18,20)+IF(ArtifactsInput!$M$10,CHOOSE(ArtifactsInput!$N$10+1,15,18,21,24,27,30)*(IF(Inputs!$B$39="pvp",MIN(15,15)/15,IF(AND(Inputs!$B$39&lt;&gt;"pvp",Inputs!$B$44&gt;0),MIN(15,Inputs!$B$44)/(Inputs!$B$44),0))),0)))-100),0))*CHOOSE(ArtifactsInput!$N$42+1,0.6,0.72,0.84,0.96,1.08,1.2))),Inputs!$B$18+((C738=TRUE)*(F738-Calc!F29))+(IF(AND(ArtifactsInput!$M$42,((Inputs!$B$9+((C734=TRUE)*(F734-Calc!F25))+B749+(ArtifactsInput!$M$24-ArtifactsInput!$M$24)*CHOOSE(ArtifactsInput!$N$24+1,10,12,14,16,18,20)+IF(ArtifactsInput!$M$10,CHOOSE(ArtifactsInput!$N$10+1,15,18,21,24,27,30)*(IF(Inputs!$B$39="pvp",MIN(15,15)/15,IF(AND(Inputs!$B$39&lt;&gt;"pvp",Inputs!$B$44&gt;0),MIN(15,Inputs!$B$44)/(Inputs!$B$44),0))),0)))&gt;=100),CHOOSE(ArtifactsInput!$N$42+1,40,48,56,64,72,80),0))))/100)*(((1+(((C730=TRUE)*F730*IF(AND(Inputs!$B$39&lt;&gt;"pvp",Inputs!$B$44&gt;0),(((R730-1)*(Skills!Y21*(1+Inputs!$B$34/100))+MIN((Skills!Y21*(1+Inputs!$B$34/100)),MAX(0,Inputs!$B$44-((R730-1)*Skills!D21))))/Inputs!$B$44),IF(Inputs!$B$39="pvp",MIN((Skills!Y21*(1+Inputs!$B$34/100)),15)/15,(Skills!Y21*(1+Inputs!$B$34/100))/Skills!D21)))+((C737=TRUE)*(F737-Calc!F28))+((C727=TRUE)*(F727-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724=TRUE)*F724*IF(AND(Inputs!$B$39&lt;&gt;"pvp",Inputs!$B$44&gt;0),(((R724-1)*(Skills!Y15*(1+Inputs!$B$34/100))+MIN((Skills!Y15*(1+Inputs!$B$34/100)),MAX(0,Inputs!$B$44-((R724-1)*Skills!D15))))/Inputs!$B$44),IF(Inputs!$B$39="pvp",MIN((Skills!Y15*(1+Inputs!$B$34/100)),15)/15,(Skills!Y15*(1+Inputs!$B$34/100))/Skills!D15)))/100)*(1+((C715=TRUE)*F715*B743)/100))*B751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721)</f>
        <v/>
      </c>
      <c r="L721">
        <f>K721*(MIN(Inputs!$B$22+((C733=TRUE)*(F733-Calc!F24)),(Inputs!$B$23+0+(IF(ArtifactsInput!$M$15,CHOOSE(ArtifactsInput!$N$15+1,25,30,35,40,45,50)/100*(Inputs!$B$11-Inputs!$B$11),0))))/100+(Inputs!$B$23+0+(IF(ArtifactsInput!$M$15,CHOOSE(ArtifactsInput!$N$15+1,25,30,35,40,45,50)/100*(Inputs!$B$11-Inputs!$B$11),0)))/100)/2</f>
        <v/>
      </c>
      <c r="M721">
        <f>L721*(1+(Inputs!$B$10+((C735=TRUE)*(F735-Calc!F26))+B752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21">
        <f>L721*(1-MIN((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721*(MIN((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21">
        <f>(1-Summary!$B$11)*T721+Summary!$B$11*V721</f>
        <v/>
      </c>
      <c r="P721">
        <f>IF(B753=0,0,O721/B753)</f>
        <v/>
      </c>
      <c r="Q721">
        <f>IFERROR(1/IF(Inputs!$B$39="pvp",15,MAX(0.1,Skills!D12-IF(Skills!E12=TRUE,Inputs!$B$32,0))),0)</f>
        <v/>
      </c>
      <c r="R721">
        <f>IF(AND(Inputs!$B$39&lt;&gt;"pvp",Inputs!$B$44&gt;0),IF(MAX(0,Inputs!$B$44-B754)&lt;=0,0,(INT(MAX(0,Inputs!$B$44-B754)/IF(Inputs!$B$39="pvp",15,MAX(0.1,Skills!D12-IF(Skills!E12=TRUE,Inputs!$B$32,0))))+1)),0)</f>
        <v/>
      </c>
      <c r="S721">
        <f>IFERROR(O721/N721,0)</f>
        <v/>
      </c>
      <c r="T721">
        <f>IF(C721,(H721*N721*IF(AND(Inputs!$B$39&lt;&gt;"pvp",Inputs!$B$44&gt;0),((Skills!G12*((R721-1)*IF(Skills!H12&gt;0,Skills!I12/Skills!H12,1)+IF(Skills!H12&gt;0,MIN(Skills!I12,MAX(0,MAX(0,Inputs!$B$44-B754)-((R721-1)*IF(Inputs!$B$39="pvp",15,MAX(0.1,Skills!D12-IF(Skills!E12=TRUE,Inputs!$B$32,0))))))/Skills!H12,1)))/Inputs!$B$44),G721*Q721))*IF(Inputs!$B$39="pvp",1,1+(Inputs!$B$20+((C736=TRUE)*(F736-Calc!F27))+Skills!P12+B750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Hunt"),CHOOSE(ArtifactsInput!$N$35+1,15,18,21,24,27,30)*(1-EXP(-(0.2*B745)*5)),0)+IF(AND(ArtifactsInput!$M$22,Inputs!$B$4&lt;&gt;"Chapter Hunt"),CHOOSE(ArtifactsInput!$N$22+1,10,12,14,16,18,20)*((0*(((0.15*B745*5))^0/1)+1*(((0.15*B745*5))^1/1)+2*(((0.15*B745*5))^2/2)+3*(((0.15*B745*5))^3/6)+4*(((0.15*B745*5))^4/24)+5*(((0.15*B745*5))^5/120))/((((0.15*B745*5))^0/1)+(((0.15*B745*5))^1/1)+(((0.15*B745*5))^2/2)+(((0.15*B745*5))^3/6)+(((0.15*B745*5))^4/24)+(((0.15*B745*5))^5/120))),0)))/100)*((((5000/(6000+Inputs!$B$43*(1-(100*(1-(1-(100*(1-(1-(((1-(1-Inputs!$B$19/100)*(1-1/100))*100)+0)/100)*(1-CHOOSE(ArtifactsInput!$N$40+1,5,6,7,8,9,10)/100)^(ArtifactsInput!$M$40-ArtifactsInput!$M$40)))/100)*(1-IF(ArtifactsInput!$M$40,CHOOSE(ArtifactsInput!$N$40+1,5,6,7,8,9,10),0)/100)^IF(Inputs!$B$39="pvp",1,2)))/100)))/(5000/(6000+Inputs!$B$43*(1-(100*(1-(1-(((1-(1-Inputs!$B$19/100)*(1-1/100))*100)+0)/100)*(1-CHOOSE(ArtifactsInput!$N$40+1,5,6,7,8,9,10)/100)^(ArtifactsInput!$M$40-ArtifactsInput!$M$40)))/100))))*((L721*(1-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721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721*(1-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721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21">
        <f>IF(C721,(H721*N721*IF(AND(Inputs!$B$39&lt;&gt;"pvp",Inputs!$B$44&gt;0),((Skills!G12*((R721-1)*IF(Skills!H12&gt;0,Skills!I12/Skills!H12,1)+IF(Skills!H12&gt;0,MIN(Skills!I12,MAX(0,MAX(0,Inputs!$B$44-B754)-((R721-1)*IF(Inputs!$B$39="pvp",15,MAX(0.1,Skills!D12-IF(Skills!E12=TRUE,Inputs!$B$32,0))))))/Skills!H12,1)))/Inputs!$B$44),G721*Q721))*IF(Inputs!$B$39="pvp",1,(1+(Inputs!$B$21+Skills!Q12+B750+(IF(ArtifactsInput!$M$33,CHOOSE(ArtifactsInput!$N$33+1,30,36,42,48,54,60),0))+(IF(AND(ArtifactsInput!$M$35,Inputs!$B$4&lt;&gt;"Chapter Hunt"),CHOOSE(ArtifactsInput!$N$35+1,15,18,21,24,27,30)*(1-EXP(-(0.2*B745)*5)),0)+IF(AND(ArtifactsInput!$M$22,Inputs!$B$4&lt;&gt;"Chapter Hunt"),CHOOSE(ArtifactsInput!$N$22+1,10,12,14,16,18,20)*((0*(((0.15*B745*5))^0/1)+1*(((0.15*B745*5))^1/1)+2*(((0.15*B745*5))^2/2)+3*(((0.15*B745*5))^3/6)+4*(((0.15*B745*5))^4/24)+5*(((0.15*B745*5))^5/120))/((((0.15*B745*5))^0/1)+(((0.15*B745*5))^1/1)+(((0.15*B745*5))^2/2)+(((0.15*B745*5))^3/6)+(((0.15*B745*5))^4/24)+(((0.15*B745*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22">
      <c r="A722">
        <f>Skills!A13</f>
        <v/>
      </c>
      <c r="B722">
        <f>Skills!B13</f>
        <v/>
      </c>
      <c r="C722">
        <f>Inputs!$B$3&gt;=105</f>
        <v/>
      </c>
      <c r="D722">
        <f>IF(Skills!C13=1,60+Inputs!$B$25+Inputs!$B$29,IF(Skills!C13=2,90+Inputs!$B$26+Inputs!$B$29,IF(Skills!C13=3,120+Inputs!$B$27+Inputs!$B$29,MAX(0,(Inputs!$B$3-100)*3)+Inputs!$B$28+Inputs!$B$29)))</f>
        <v/>
      </c>
      <c r="E722">
        <f>INDEX(FactorTable!$B$2:$Y$301, MATCH(ROUND(MIN(300,MAX(1,D722)),0), FactorTable!$A$2:$A$301,0), Skills!M13+1)</f>
        <v/>
      </c>
      <c r="F722">
        <f>IF(Skills!N13=TRUE,(Skills!L13/10)*(E722/1000),Skills!L13/10)+Skills!O13</f>
        <v/>
      </c>
      <c r="G722">
        <f>Calc!G13</f>
        <v/>
      </c>
      <c r="H722">
        <f>Calc!H13</f>
        <v/>
      </c>
      <c r="I722">
        <f>IF(Skills!AA13&lt;&gt;"",1+(Skills!AA13/10)*(U712/1000)/100,1)</f>
        <v/>
      </c>
      <c r="J722">
        <f>((Inputs!$B$6*(1+Inputs!$B$7/100))+(((Inputs!$B$12*(1+Inputs!$B$13/100))-(Inputs!$B$12*(1+Inputs!$B$13/100)))+0.25*(Inputs!$B$14-Inputs!$B$14))*(1+Inputs!$B$7/100))*(F722/100)</f>
        <v/>
      </c>
      <c r="K722">
        <f>J722*(1+((Inputs!$B$12*(1+Inputs!$B$13/100))*0.01+Inputs!$B$14*0.0025)/100)*(1+Inputs!$B$15/100)*(1+Inputs!$B$16/100)*(5000/(6000+Inputs!$B$43*(1-(100*(1-(1-(((1-(1-Inputs!$B$19/100)*(1-1/100))*100)+0)/100)*(1-CHOOSE(ArtifactsInput!$N$40+1,5,6,7,8,9,10)/100)^(ArtifactsInput!$M$40-ArtifactsInput!$M$40)))/100)))*(1+(Inputs!$B$24+((C739=TRUE)*(F739-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732=TRUE)*(F732-Calc!F23))+(((IF(AND(ArtifactsInput!$M$42,((Inputs!$B$9+((C734=TRUE)*(F734-Calc!F25))+B749+(ArtifactsInput!$M$24-ArtifactsInput!$M$24)*CHOOSE(ArtifactsInput!$N$24+1,10,12,14,16,18,20)+IF(ArtifactsInput!$M$10,CHOOSE(ArtifactsInput!$N$10+1,15,18,21,24,27,30)*(IF(Inputs!$B$39="pvp",MIN(15,15)/15,IF(AND(Inputs!$B$39&lt;&gt;"pvp",Inputs!$B$44&gt;0),MIN(15,Inputs!$B$44)/(Inputs!$B$44),0))),0)))&gt;=100),MIN(100,((Inputs!$B$9+((C734=TRUE)*(F734-Calc!F25))+B749+(ArtifactsInput!$M$24-ArtifactsInput!$M$24)*CHOOSE(ArtifactsInput!$N$24+1,10,12,14,16,18,20)+IF(ArtifactsInput!$M$10,CHOOSE(ArtifactsInput!$N$10+1,15,18,21,24,27,30)*(IF(Inputs!$B$39="pvp",MIN(15,15)/15,IF(AND(Inputs!$B$39&lt;&gt;"pvp",Inputs!$B$44&gt;0),MIN(15,Inputs!$B$44)/(Inputs!$B$44),0))),0)))-100),0))*CHOOSE(ArtifactsInput!$N$42+1,0.6,0.72,0.84,0.96,1.08,1.2))),Inputs!$B$18+((C738=TRUE)*(F738-Calc!F29))+(IF(AND(ArtifactsInput!$M$42,((Inputs!$B$9+((C734=TRUE)*(F734-Calc!F25))+B749+(ArtifactsInput!$M$24-ArtifactsInput!$M$24)*CHOOSE(ArtifactsInput!$N$24+1,10,12,14,16,18,20)+IF(ArtifactsInput!$M$10,CHOOSE(ArtifactsInput!$N$10+1,15,18,21,24,27,30)*(IF(Inputs!$B$39="pvp",MIN(15,15)/15,IF(AND(Inputs!$B$39&lt;&gt;"pvp",Inputs!$B$44&gt;0),MIN(15,Inputs!$B$44)/(Inputs!$B$44),0))),0)))&gt;=100),CHOOSE(ArtifactsInput!$N$42+1,40,48,56,64,72,80),0))))/100)*(((1+(((C730=TRUE)*F730*IF(AND(Inputs!$B$39&lt;&gt;"pvp",Inputs!$B$44&gt;0),(((R730-1)*(Skills!Y21*(1+Inputs!$B$34/100))+MIN((Skills!Y21*(1+Inputs!$B$34/100)),MAX(0,Inputs!$B$44-((R730-1)*Skills!D21))))/Inputs!$B$44),IF(Inputs!$B$39="pvp",MIN((Skills!Y21*(1+Inputs!$B$34/100)),15)/15,(Skills!Y21*(1+Inputs!$B$34/100))/Skills!D21)))+((C737=TRUE)*(F737-Calc!F28))+((C727=TRUE)*(F727-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724=TRUE)*F724*IF(AND(Inputs!$B$39&lt;&gt;"pvp",Inputs!$B$44&gt;0),(((R724-1)*(Skills!Y15*(1+Inputs!$B$34/100))+MIN((Skills!Y15*(1+Inputs!$B$34/100)),MAX(0,Inputs!$B$44-((R724-1)*Skills!D15))))/Inputs!$B$44),IF(Inputs!$B$39="pvp",MIN((Skills!Y15*(1+Inputs!$B$34/100)),15)/15,(Skills!Y15*(1+Inputs!$B$34/100))/Skills!D15)))/100)*(1+((C715=TRUE)*F715*B743)/100))*B751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722)</f>
        <v/>
      </c>
      <c r="L722">
        <f>K722*(MIN(Inputs!$B$22+((C733=TRUE)*(F733-Calc!F24)),(Inputs!$B$23+0+(IF(ArtifactsInput!$M$15,CHOOSE(ArtifactsInput!$N$15+1,25,30,35,40,45,50)/100*(Inputs!$B$11-Inputs!$B$11),0))))/100+(Inputs!$B$23+0+(IF(ArtifactsInput!$M$15,CHOOSE(ArtifactsInput!$N$15+1,25,30,35,40,45,50)/100*(Inputs!$B$11-Inputs!$B$11),0)))/100)/2</f>
        <v/>
      </c>
      <c r="M722">
        <f>L722*(1+(Inputs!$B$10+((C735=TRUE)*(F735-Calc!F26))+B752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22">
        <f>L722*(1-MIN((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722*(MIN((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22">
        <f>(1-Summary!$B$11)*T722+Summary!$B$11*V722</f>
        <v/>
      </c>
      <c r="P722">
        <f>IF(B753=0,0,O722/B753)</f>
        <v/>
      </c>
      <c r="Q722">
        <f>IFERROR(1/IF(Inputs!$B$39="pvp",15,MAX(0.1,Skills!D13-IF(Skills!E13=TRUE,Inputs!$B$32,0))),0)</f>
        <v/>
      </c>
      <c r="R722">
        <f>IF(AND(Inputs!$B$39&lt;&gt;"pvp",Inputs!$B$44&gt;0),IF(MAX(0,Inputs!$B$44-B754)&lt;=0,0,(INT(MAX(0,Inputs!$B$44-B754)/IF(Inputs!$B$39="pvp",15,MAX(0.1,Skills!D13-IF(Skills!E13=TRUE,Inputs!$B$32,0))))+1)),0)</f>
        <v/>
      </c>
      <c r="S722">
        <f>IFERROR(O722/N722,0)</f>
        <v/>
      </c>
      <c r="T722">
        <f>IF(C722,(H722*N722*IF(AND(Inputs!$B$39&lt;&gt;"pvp",Inputs!$B$44&gt;0),((Skills!G13*((R722-1)*IF(Skills!H13&gt;0,Skills!I13/Skills!H13,1)+IF(Skills!H13&gt;0,MIN(Skills!I13,MAX(0,MAX(0,Inputs!$B$44-B754)-((R722-1)*IF(Inputs!$B$39="pvp",15,MAX(0.1,Skills!D13-IF(Skills!E13=TRUE,Inputs!$B$32,0))))))/Skills!H13,1)))/Inputs!$B$44),G722*Q722))*IF(Inputs!$B$39="pvp",1,1+(Inputs!$B$20+((C736=TRUE)*(F736-Calc!F27))+Skills!P13+B750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Hunt"),CHOOSE(ArtifactsInput!$N$35+1,15,18,21,24,27,30)*(1-EXP(-(0.2*B745)*5)),0)+IF(AND(ArtifactsInput!$M$22,Inputs!$B$4&lt;&gt;"Chapter Hunt"),CHOOSE(ArtifactsInput!$N$22+1,10,12,14,16,18,20)*((0*(((0.15*B745*5))^0/1)+1*(((0.15*B745*5))^1/1)+2*(((0.15*B745*5))^2/2)+3*(((0.15*B745*5))^3/6)+4*(((0.15*B745*5))^4/24)+5*(((0.15*B745*5))^5/120))/((((0.15*B745*5))^0/1)+(((0.15*B745*5))^1/1)+(((0.15*B745*5))^2/2)+(((0.15*B745*5))^3/6)+(((0.15*B745*5))^4/24)+(((0.15*B745*5))^5/120))),0)))/100)*((((5000/(6000+Inputs!$B$43*(1-(100*(1-(1-(100*(1-(1-(((1-(1-Inputs!$B$19/100)*(1-1/100))*100)+0)/100)*(1-CHOOSE(ArtifactsInput!$N$40+1,5,6,7,8,9,10)/100)^(ArtifactsInput!$M$40-ArtifactsInput!$M$40)))/100)*(1-IF(ArtifactsInput!$M$40,CHOOSE(ArtifactsInput!$N$40+1,5,6,7,8,9,10),0)/100)^IF(Inputs!$B$39="pvp",1,2)))/100)))/(5000/(6000+Inputs!$B$43*(1-(100*(1-(1-(((1-(1-Inputs!$B$19/100)*(1-1/100))*100)+0)/100)*(1-CHOOSE(ArtifactsInput!$N$40+1,5,6,7,8,9,10)/100)^(ArtifactsInput!$M$40-ArtifactsInput!$M$40)))/100))))*((L722*(1-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722*(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722*(1-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722*(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22">
        <f>IF(C722,(H722*N722*IF(AND(Inputs!$B$39&lt;&gt;"pvp",Inputs!$B$44&gt;0),((Skills!G13*((R722-1)*IF(Skills!H13&gt;0,Skills!I13/Skills!H13,1)+IF(Skills!H13&gt;0,MIN(Skills!I13,MAX(0,MAX(0,Inputs!$B$44-B754)-((R722-1)*IF(Inputs!$B$39="pvp",15,MAX(0.1,Skills!D13-IF(Skills!E13=TRUE,Inputs!$B$32,0))))))/Skills!H13,1)))/Inputs!$B$44),G722*Q722))*IF(Inputs!$B$39="pvp",1,(1+(Inputs!$B$21+Skills!Q13+B750+(IF(ArtifactsInput!$M$33,CHOOSE(ArtifactsInput!$N$33+1,30,36,42,48,54,60),0))+(IF(AND(ArtifactsInput!$M$35,Inputs!$B$4&lt;&gt;"Chapter Hunt"),CHOOSE(ArtifactsInput!$N$35+1,15,18,21,24,27,30)*(1-EXP(-(0.2*B745)*5)),0)+IF(AND(ArtifactsInput!$M$22,Inputs!$B$4&lt;&gt;"Chapter Hunt"),CHOOSE(ArtifactsInput!$N$22+1,10,12,14,16,18,20)*((0*(((0.15*B745*5))^0/1)+1*(((0.15*B745*5))^1/1)+2*(((0.15*B745*5))^2/2)+3*(((0.15*B745*5))^3/6)+4*(((0.15*B745*5))^4/24)+5*(((0.15*B745*5))^5/120))/((((0.15*B745*5))^0/1)+(((0.15*B745*5))^1/1)+(((0.15*B745*5))^2/2)+(((0.15*B745*5))^3/6)+(((0.15*B745*5))^4/24)+(((0.15*B745*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23">
      <c r="A723">
        <f>Skills!A14</f>
        <v/>
      </c>
      <c r="B723">
        <f>Skills!B14</f>
        <v/>
      </c>
      <c r="C723">
        <f>Inputs!$B$3&gt;=105</f>
        <v/>
      </c>
      <c r="D723">
        <f>IF(Skills!C14=1,60+Inputs!$B$25+Inputs!$B$29,IF(Skills!C14=2,90+Inputs!$B$26+Inputs!$B$29,IF(Skills!C14=3,120+Inputs!$B$27+Inputs!$B$29,MAX(0,(Inputs!$B$3-100)*3)+Inputs!$B$28+Inputs!$B$29)))</f>
        <v/>
      </c>
      <c r="E723">
        <f>INDEX(FactorTable!$B$2:$Y$301, MATCH(ROUND(MIN(300,MAX(1,D723)),0), FactorTable!$A$2:$A$301,0), Skills!M14+1)</f>
        <v/>
      </c>
      <c r="F723">
        <f>IF(Skills!N14=TRUE,(Skills!L14/10)*(E723/1000),Skills!L14/10)+Skills!O14</f>
        <v/>
      </c>
      <c r="G723">
        <f>Calc!G14</f>
        <v/>
      </c>
      <c r="H723">
        <f>Calc!H14</f>
        <v/>
      </c>
      <c r="I723">
        <f>IF(Skills!AA14&lt;&gt;"",1+(Skills!AA14/10)*(U712/1000)/100,1)</f>
        <v/>
      </c>
      <c r="J723">
        <f>((Inputs!$B$6*(1+Inputs!$B$7/100))+(((Inputs!$B$12*(1+Inputs!$B$13/100))-(Inputs!$B$12*(1+Inputs!$B$13/100)))+0.25*(Inputs!$B$14-Inputs!$B$14))*(1+Inputs!$B$7/100))*(F723/100)</f>
        <v/>
      </c>
      <c r="K723">
        <f>J723*(1+((Inputs!$B$12*(1+Inputs!$B$13/100))*0.01+Inputs!$B$14*0.0025)/100)*(1+Inputs!$B$15/100)*(1+Inputs!$B$16/100)*(5000/(6000+Inputs!$B$43*(1-(100*(1-(1-(((1-(1-Inputs!$B$19/100)*(1-1/100))*100)+0)/100)*(1-CHOOSE(ArtifactsInput!$N$40+1,5,6,7,8,9,10)/100)^(ArtifactsInput!$M$40-ArtifactsInput!$M$40)))/100)))*(1+(Inputs!$B$24+((C739=TRUE)*(F739-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732=TRUE)*(F732-Calc!F23))+(((IF(AND(ArtifactsInput!$M$42,((Inputs!$B$9+((C734=TRUE)*(F734-Calc!F25))+B749+(ArtifactsInput!$M$24-ArtifactsInput!$M$24)*CHOOSE(ArtifactsInput!$N$24+1,10,12,14,16,18,20)+IF(ArtifactsInput!$M$10,CHOOSE(ArtifactsInput!$N$10+1,15,18,21,24,27,30)*(IF(Inputs!$B$39="pvp",MIN(15,15)/15,IF(AND(Inputs!$B$39&lt;&gt;"pvp",Inputs!$B$44&gt;0),MIN(15,Inputs!$B$44)/(Inputs!$B$44),0))),0)))&gt;=100),MIN(100,((Inputs!$B$9+((C734=TRUE)*(F734-Calc!F25))+B749+(ArtifactsInput!$M$24-ArtifactsInput!$M$24)*CHOOSE(ArtifactsInput!$N$24+1,10,12,14,16,18,20)+IF(ArtifactsInput!$M$10,CHOOSE(ArtifactsInput!$N$10+1,15,18,21,24,27,30)*(IF(Inputs!$B$39="pvp",MIN(15,15)/15,IF(AND(Inputs!$B$39&lt;&gt;"pvp",Inputs!$B$44&gt;0),MIN(15,Inputs!$B$44)/(Inputs!$B$44),0))),0)))-100),0))*CHOOSE(ArtifactsInput!$N$42+1,0.6,0.72,0.84,0.96,1.08,1.2))),Inputs!$B$18+((C738=TRUE)*(F738-Calc!F29))+(IF(AND(ArtifactsInput!$M$42,((Inputs!$B$9+((C734=TRUE)*(F734-Calc!F25))+B749+(ArtifactsInput!$M$24-ArtifactsInput!$M$24)*CHOOSE(ArtifactsInput!$N$24+1,10,12,14,16,18,20)+IF(ArtifactsInput!$M$10,CHOOSE(ArtifactsInput!$N$10+1,15,18,21,24,27,30)*(IF(Inputs!$B$39="pvp",MIN(15,15)/15,IF(AND(Inputs!$B$39&lt;&gt;"pvp",Inputs!$B$44&gt;0),MIN(15,Inputs!$B$44)/(Inputs!$B$44),0))),0)))&gt;=100),CHOOSE(ArtifactsInput!$N$42+1,40,48,56,64,72,80),0))))/100)*(((1+(((C730=TRUE)*F730*IF(AND(Inputs!$B$39&lt;&gt;"pvp",Inputs!$B$44&gt;0),(((R730-1)*(Skills!Y21*(1+Inputs!$B$34/100))+MIN((Skills!Y21*(1+Inputs!$B$34/100)),MAX(0,Inputs!$B$44-((R730-1)*Skills!D21))))/Inputs!$B$44),IF(Inputs!$B$39="pvp",MIN((Skills!Y21*(1+Inputs!$B$34/100)),15)/15,(Skills!Y21*(1+Inputs!$B$34/100))/Skills!D21)))+((C737=TRUE)*(F737-Calc!F28))+((C727=TRUE)*(F727-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724=TRUE)*F724*IF(AND(Inputs!$B$39&lt;&gt;"pvp",Inputs!$B$44&gt;0),(((R724-1)*(Skills!Y15*(1+Inputs!$B$34/100))+MIN((Skills!Y15*(1+Inputs!$B$34/100)),MAX(0,Inputs!$B$44-((R724-1)*Skills!D15))))/Inputs!$B$44),IF(Inputs!$B$39="pvp",MIN((Skills!Y15*(1+Inputs!$B$34/100)),15)/15,(Skills!Y15*(1+Inputs!$B$34/100))/Skills!D15)))/100)*(1+((C715=TRUE)*F715*B743)/100))*B751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723)</f>
        <v/>
      </c>
      <c r="L723">
        <f>K723*(MIN(Inputs!$B$22+((C733=TRUE)*(F733-Calc!F24)),(Inputs!$B$23+0+(IF(ArtifactsInput!$M$15,CHOOSE(ArtifactsInput!$N$15+1,25,30,35,40,45,50)/100*(Inputs!$B$11-Inputs!$B$11),0))))/100+(Inputs!$B$23+0+(IF(ArtifactsInput!$M$15,CHOOSE(ArtifactsInput!$N$15+1,25,30,35,40,45,50)/100*(Inputs!$B$11-Inputs!$B$11),0)))/100)/2</f>
        <v/>
      </c>
      <c r="M723">
        <f>L723*(1+(Inputs!$B$10+((C735=TRUE)*(F735-Calc!F26))+B752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23">
        <f>L723*(1-MIN((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723*(MIN((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23">
        <f>(1-Summary!$B$11)*T723+Summary!$B$11*V723</f>
        <v/>
      </c>
      <c r="P723">
        <f>IF(B753=0,0,O723/B753)</f>
        <v/>
      </c>
      <c r="Q723">
        <f>IFERROR(1/IF(Inputs!$B$39="pvp",15,MAX(0.1,Skills!D14-IF(Skills!E14=TRUE,Inputs!$B$32,0))),0)</f>
        <v/>
      </c>
      <c r="R723">
        <f>IF(AND(Inputs!$B$39&lt;&gt;"pvp",Inputs!$B$44&gt;0),IF(MAX(0,Inputs!$B$44-B754)&lt;=0,0,(INT(MAX(0,Inputs!$B$44-B754)/IF(Inputs!$B$39="pvp",15,MAX(0.1,Skills!D14-IF(Skills!E14=TRUE,Inputs!$B$32,0))))+1)),0)</f>
        <v/>
      </c>
      <c r="S723">
        <f>IFERROR(O723/N723,0)</f>
        <v/>
      </c>
      <c r="T723">
        <f>IF(C723,(H723*N723*IF(AND(Inputs!$B$39&lt;&gt;"pvp",Inputs!$B$44&gt;0),((Skills!G14*((R723-1)*IF(Skills!H14&gt;0,Skills!I14/Skills!H14,1)+IF(Skills!H14&gt;0,MIN(Skills!I14,MAX(0,MAX(0,Inputs!$B$44-B754)-((R723-1)*IF(Inputs!$B$39="pvp",15,MAX(0.1,Skills!D14-IF(Skills!E14=TRUE,Inputs!$B$32,0))))))/Skills!H14,1)))/Inputs!$B$44),G723*Q723))*IF(Inputs!$B$39="pvp",1,1+(Inputs!$B$20+((C736=TRUE)*(F736-Calc!F27))+Skills!P14+B750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Hunt"),CHOOSE(ArtifactsInput!$N$35+1,15,18,21,24,27,30)*(1-EXP(-(0.2*B745)*5)),0)+IF(AND(ArtifactsInput!$M$22,Inputs!$B$4&lt;&gt;"Chapter Hunt"),CHOOSE(ArtifactsInput!$N$22+1,10,12,14,16,18,20)*((0*(((0.15*B745*5))^0/1)+1*(((0.15*B745*5))^1/1)+2*(((0.15*B745*5))^2/2)+3*(((0.15*B745*5))^3/6)+4*(((0.15*B745*5))^4/24)+5*(((0.15*B745*5))^5/120))/((((0.15*B745*5))^0/1)+(((0.15*B745*5))^1/1)+(((0.15*B745*5))^2/2)+(((0.15*B745*5))^3/6)+(((0.15*B745*5))^4/24)+(((0.15*B745*5))^5/120))),0)))/100)*((((5000/(6000+Inputs!$B$43*(1-(100*(1-(1-(100*(1-(1-(((1-(1-Inputs!$B$19/100)*(1-1/100))*100)+0)/100)*(1-CHOOSE(ArtifactsInput!$N$40+1,5,6,7,8,9,10)/100)^(ArtifactsInput!$M$40-ArtifactsInput!$M$40)))/100)*(1-IF(ArtifactsInput!$M$40,CHOOSE(ArtifactsInput!$N$40+1,5,6,7,8,9,10),0)/100)^IF(Inputs!$B$39="pvp",1,2)))/100)))/(5000/(6000+Inputs!$B$43*(1-(100*(1-(1-(((1-(1-Inputs!$B$19/100)*(1-1/100))*100)+0)/100)*(1-CHOOSE(ArtifactsInput!$N$40+1,5,6,7,8,9,10)/100)^(ArtifactsInput!$M$40-ArtifactsInput!$M$40)))/100))))*((L723*(1-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723*(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723*(1-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723*(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23">
        <f>IF(C723,(H723*N723*IF(AND(Inputs!$B$39&lt;&gt;"pvp",Inputs!$B$44&gt;0),((Skills!G14*((R723-1)*IF(Skills!H14&gt;0,Skills!I14/Skills!H14,1)+IF(Skills!H14&gt;0,MIN(Skills!I14,MAX(0,MAX(0,Inputs!$B$44-B754)-((R723-1)*IF(Inputs!$B$39="pvp",15,MAX(0.1,Skills!D14-IF(Skills!E14=TRUE,Inputs!$B$32,0))))))/Skills!H14,1)))/Inputs!$B$44),G723*Q723))*IF(Inputs!$B$39="pvp",1,(1+(Inputs!$B$21+Skills!Q14+B750+(IF(ArtifactsInput!$M$33,CHOOSE(ArtifactsInput!$N$33+1,30,36,42,48,54,60),0))+(IF(AND(ArtifactsInput!$M$35,Inputs!$B$4&lt;&gt;"Chapter Hunt"),CHOOSE(ArtifactsInput!$N$35+1,15,18,21,24,27,30)*(1-EXP(-(0.2*B745)*5)),0)+IF(AND(ArtifactsInput!$M$22,Inputs!$B$4&lt;&gt;"Chapter Hunt"),CHOOSE(ArtifactsInput!$N$22+1,10,12,14,16,18,20)*((0*(((0.15*B745*5))^0/1)+1*(((0.15*B745*5))^1/1)+2*(((0.15*B745*5))^2/2)+3*(((0.15*B745*5))^3/6)+4*(((0.15*B745*5))^4/24)+5*(((0.15*B745*5))^5/120))/((((0.15*B745*5))^0/1)+(((0.15*B745*5))^1/1)+(((0.15*B745*5))^2/2)+(((0.15*B745*5))^3/6)+(((0.15*B745*5))^4/24)+(((0.15*B745*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24">
      <c r="A724">
        <f>Skills!A15</f>
        <v/>
      </c>
      <c r="B724">
        <f>Skills!B15</f>
        <v/>
      </c>
      <c r="C724">
        <f>Inputs!$B$3&gt;=110</f>
        <v/>
      </c>
      <c r="D724">
        <f>IF(Skills!C15=1,60+Inputs!$B$25+Inputs!$B$29,IF(Skills!C15=2,90+Inputs!$B$26+Inputs!$B$29,IF(Skills!C15=3,120+Inputs!$B$27+Inputs!$B$29,MAX(0,(Inputs!$B$3-100)*3)+Inputs!$B$28+Inputs!$B$29)))</f>
        <v/>
      </c>
      <c r="E724">
        <f>INDEX(FactorTable!$B$2:$Y$301, MATCH(ROUND(MIN(300,MAX(1,D724)),0), FactorTable!$A$2:$A$301,0), Skills!M15+1)</f>
        <v/>
      </c>
      <c r="F724">
        <f>IF(Skills!N15=TRUE,(Skills!L15/10)*(E724/1000),Skills!L15/10)+Skills!O15</f>
        <v/>
      </c>
      <c r="G724">
        <f>Calc!G15</f>
        <v/>
      </c>
      <c r="H724">
        <f>Calc!H15</f>
        <v/>
      </c>
      <c r="I724">
        <f>IF(Skills!AA15&lt;&gt;"",1+(Skills!AA15/10)*(U712/1000)/100,1)</f>
        <v/>
      </c>
      <c r="J724" t="inlineStr"/>
      <c r="K724" t="inlineStr"/>
      <c r="L724" t="inlineStr"/>
      <c r="M724" t="inlineStr"/>
      <c r="N724" t="inlineStr"/>
      <c r="O724">
        <f>(1-Summary!$B$11)*T724+Summary!$B$11*V724</f>
        <v/>
      </c>
      <c r="P724">
        <f>IF(B753=0,0,O724/B753)</f>
        <v/>
      </c>
      <c r="Q724">
        <f>IFERROR(1/IF(Inputs!$B$39="pvp",15,MAX(0.1,Skills!D15-IF(Skills!E15=TRUE,Inputs!$B$32,0))),0)</f>
        <v/>
      </c>
      <c r="R724">
        <f>IF(AND(Inputs!$B$39&lt;&gt;"pvp",Inputs!$B$44&gt;0),IF(Inputs!$B$44&lt;=0,0,(INT(Inputs!$B$44/IF(Inputs!$B$39="pvp",15,MAX(0.1,Skills!D15-IF(Skills!E15=TRUE,Inputs!$B$32,0))))+1)),0)</f>
        <v/>
      </c>
      <c r="S724">
        <f>IFERROR(O724/N724,0)</f>
        <v/>
      </c>
      <c r="T724" t="n">
        <v>0</v>
      </c>
      <c r="V724" t="n">
        <v>0</v>
      </c>
    </row>
    <row r="725">
      <c r="A725">
        <f>Skills!A16</f>
        <v/>
      </c>
      <c r="B725">
        <f>Skills!B16</f>
        <v/>
      </c>
      <c r="C725">
        <f>Inputs!$B$3&gt;=110</f>
        <v/>
      </c>
      <c r="D725">
        <f>IF(Skills!C16=1,60+Inputs!$B$25+Inputs!$B$29,IF(Skills!C16=2,90+Inputs!$B$26+Inputs!$B$29,IF(Skills!C16=3,120+Inputs!$B$27+Inputs!$B$29,MAX(0,(Inputs!$B$3-100)*3)+Inputs!$B$28+Inputs!$B$29)))</f>
        <v/>
      </c>
      <c r="E725">
        <f>INDEX(FactorTable!$B$2:$Y$301, MATCH(ROUND(MIN(300,MAX(1,D725)),0), FactorTable!$A$2:$A$301,0), Skills!M16+1)</f>
        <v/>
      </c>
      <c r="F725">
        <f>IF(Skills!N16=TRUE,(Skills!L16/10)*(E725/1000),Skills!L16/10)+Skills!O16</f>
        <v/>
      </c>
      <c r="G725">
        <f>Calc!G16</f>
        <v/>
      </c>
      <c r="H725">
        <f>Calc!H16</f>
        <v/>
      </c>
      <c r="I725">
        <f>IF(Skills!AA16&lt;&gt;"",1+(Skills!AA16/10)*(U712/1000)/100,1)</f>
        <v/>
      </c>
      <c r="J725" t="inlineStr"/>
      <c r="K725" t="inlineStr"/>
      <c r="L725" t="inlineStr"/>
      <c r="M725" t="inlineStr"/>
      <c r="N725" t="inlineStr"/>
      <c r="O725">
        <f>(1-Summary!$B$11)*T725+Summary!$B$11*V725</f>
        <v/>
      </c>
      <c r="P725">
        <f>IF(B753=0,0,O725/B753)</f>
        <v/>
      </c>
      <c r="Q725">
        <f>IFERROR(1/IF(Inputs!$B$39="pvp",15,MAX(0.1,Skills!D16-IF(Skills!E16=TRUE,Inputs!$B$32,0))),0)</f>
        <v/>
      </c>
      <c r="R725">
        <f>IF(AND(Inputs!$B$39&lt;&gt;"pvp",Inputs!$B$44&gt;0),IF(Inputs!$B$44&lt;=0,0,(INT(Inputs!$B$44/IF(Inputs!$B$39="pvp",15,MAX(0.1,Skills!D16-IF(Skills!E16=TRUE,Inputs!$B$32,0))))+1)),0)</f>
        <v/>
      </c>
      <c r="S725">
        <f>IFERROR(O725/N725,0)</f>
        <v/>
      </c>
      <c r="T725" t="n">
        <v>0</v>
      </c>
      <c r="V725" t="n">
        <v>0</v>
      </c>
    </row>
    <row r="726">
      <c r="A726">
        <f>Skills!A17</f>
        <v/>
      </c>
      <c r="B726">
        <f>Skills!B17</f>
        <v/>
      </c>
      <c r="C726">
        <f>Inputs!$B$3&gt;=115</f>
        <v/>
      </c>
      <c r="D726">
        <f>IF(Skills!C17=1,60+Inputs!$B$25+Inputs!$B$29,IF(Skills!C17=2,90+Inputs!$B$26+Inputs!$B$29,IF(Skills!C17=3,120+Inputs!$B$27+Inputs!$B$29,MAX(0,(Inputs!$B$3-100)*3)+Inputs!$B$28+Inputs!$B$29)))</f>
        <v/>
      </c>
      <c r="E726">
        <f>INDEX(FactorTable!$B$2:$Y$301, MATCH(ROUND(MIN(300,MAX(1,D726)),0), FactorTable!$A$2:$A$301,0), Skills!M17+1)</f>
        <v/>
      </c>
      <c r="F726">
        <f>IF(Skills!N17=TRUE,(Skills!L17/10)*(E726/1000),Skills!L17/10)+Skills!O17</f>
        <v/>
      </c>
      <c r="G726">
        <f>Calc!G17</f>
        <v/>
      </c>
      <c r="H726">
        <f>Calc!H17</f>
        <v/>
      </c>
      <c r="I726">
        <f>IF(Skills!AA17&lt;&gt;"",1+(Skills!AA17/10)*(U712/1000)/100,1)</f>
        <v/>
      </c>
      <c r="J726">
        <f>((Inputs!$B$6*(1+Inputs!$B$7/100))+(((Inputs!$B$12*(1+Inputs!$B$13/100))-(Inputs!$B$12*(1+Inputs!$B$13/100)))+0.25*(Inputs!$B$14-Inputs!$B$14))*(1+Inputs!$B$7/100))*(F726/100)</f>
        <v/>
      </c>
      <c r="K726">
        <f>J726*(1+((Inputs!$B$12*(1+Inputs!$B$13/100))*0.01+Inputs!$B$14*0.0025)/100)*(1+Inputs!$B$15/100)*(1+Inputs!$B$16/100)*(5000/(6000+Inputs!$B$43*(1-(100*(1-(1-(((1-(1-Inputs!$B$19/100)*(1-1/100))*100)+0)/100)*(1-CHOOSE(ArtifactsInput!$N$40+1,5,6,7,8,9,10)/100)^(ArtifactsInput!$M$40-ArtifactsInput!$M$40)))/100)))*(1+(Inputs!$B$24+((C739=TRUE)*(F739-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732=TRUE)*(F732-Calc!F23))+(((IF(AND(ArtifactsInput!$M$42,((Inputs!$B$9+((C734=TRUE)*(F734-Calc!F25))+B749+(ArtifactsInput!$M$24-ArtifactsInput!$M$24)*CHOOSE(ArtifactsInput!$N$24+1,10,12,14,16,18,20)+IF(ArtifactsInput!$M$10,CHOOSE(ArtifactsInput!$N$10+1,15,18,21,24,27,30)*(IF(Inputs!$B$39="pvp",MIN(15,15)/15,IF(AND(Inputs!$B$39&lt;&gt;"pvp",Inputs!$B$44&gt;0),MIN(15,Inputs!$B$44)/(Inputs!$B$44),0))),0)))&gt;=100),MIN(100,((Inputs!$B$9+((C734=TRUE)*(F734-Calc!F25))+B749+(ArtifactsInput!$M$24-ArtifactsInput!$M$24)*CHOOSE(ArtifactsInput!$N$24+1,10,12,14,16,18,20)+IF(ArtifactsInput!$M$10,CHOOSE(ArtifactsInput!$N$10+1,15,18,21,24,27,30)*(IF(Inputs!$B$39="pvp",MIN(15,15)/15,IF(AND(Inputs!$B$39&lt;&gt;"pvp",Inputs!$B$44&gt;0),MIN(15,Inputs!$B$44)/(Inputs!$B$44),0))),0)))-100),0))*CHOOSE(ArtifactsInput!$N$42+1,0.6,0.72,0.84,0.96,1.08,1.2))),Inputs!$B$18+((C738=TRUE)*(F738-Calc!F29))+(IF(AND(ArtifactsInput!$M$42,((Inputs!$B$9+((C734=TRUE)*(F734-Calc!F25))+B749+(ArtifactsInput!$M$24-ArtifactsInput!$M$24)*CHOOSE(ArtifactsInput!$N$24+1,10,12,14,16,18,20)+IF(ArtifactsInput!$M$10,CHOOSE(ArtifactsInput!$N$10+1,15,18,21,24,27,30)*(IF(Inputs!$B$39="pvp",MIN(15,15)/15,IF(AND(Inputs!$B$39&lt;&gt;"pvp",Inputs!$B$44&gt;0),MIN(15,Inputs!$B$44)/(Inputs!$B$44),0))),0)))&gt;=100),CHOOSE(ArtifactsInput!$N$42+1,40,48,56,64,72,80),0))))/100)*(((1+(((C730=TRUE)*F730*IF(AND(Inputs!$B$39&lt;&gt;"pvp",Inputs!$B$44&gt;0),(((R730-1)*(Skills!Y21*(1+Inputs!$B$34/100))+MIN((Skills!Y21*(1+Inputs!$B$34/100)),MAX(0,Inputs!$B$44-((R730-1)*Skills!D21))))/Inputs!$B$44),IF(Inputs!$B$39="pvp",MIN((Skills!Y21*(1+Inputs!$B$34/100)),15)/15,(Skills!Y21*(1+Inputs!$B$34/100))/Skills!D21)))+((C737=TRUE)*(F737-Calc!F28))+((C727=TRUE)*(F727-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724=TRUE)*F724*IF(AND(Inputs!$B$39&lt;&gt;"pvp",Inputs!$B$44&gt;0),(((R724-1)*(Skills!Y15*(1+Inputs!$B$34/100))+MIN((Skills!Y15*(1+Inputs!$B$34/100)),MAX(0,Inputs!$B$44-((R724-1)*Skills!D15))))/Inputs!$B$44),IF(Inputs!$B$39="pvp",MIN((Skills!Y15*(1+Inputs!$B$34/100)),15)/15,(Skills!Y15*(1+Inputs!$B$34/100))/Skills!D15)))/100)*(1+((C715=TRUE)*F715*B743)/100))*B751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726)</f>
        <v/>
      </c>
      <c r="L726">
        <f>K726*(MIN(Inputs!$B$22+((C733=TRUE)*(F733-Calc!F24)),(Inputs!$B$23+0+(IF(ArtifactsInput!$M$15,CHOOSE(ArtifactsInput!$N$15+1,25,30,35,40,45,50)/100*(Inputs!$B$11-Inputs!$B$11),0))))/100+(Inputs!$B$23+0+(IF(ArtifactsInput!$M$15,CHOOSE(ArtifactsInput!$N$15+1,25,30,35,40,45,50)/100*(Inputs!$B$11-Inputs!$B$11),0)))/100)/2</f>
        <v/>
      </c>
      <c r="M726">
        <f>L726*(1+(Inputs!$B$10+((C735=TRUE)*(F735-Calc!F26))+B752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26">
        <f>L726*(1-MIN((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726*(MIN((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26">
        <f>(1-Summary!$B$11)*T726+Summary!$B$11*V726</f>
        <v/>
      </c>
      <c r="P726">
        <f>IF(B753=0,0,O726/B753)</f>
        <v/>
      </c>
      <c r="Q726" t="n">
        <v>0</v>
      </c>
      <c r="R726" t="n">
        <v>0</v>
      </c>
      <c r="S726">
        <f>IFERROR(O726/N726,0)</f>
        <v/>
      </c>
      <c r="T726">
        <f>IF(C726,(Inputs!$B$38*0.2*N726)*IF(Inputs!$B$39="pvp",1,1+(Inputs!$B$20+((C736=TRUE)*(F736-Calc!F27))+Skills!P17+B750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Hunt"),CHOOSE(ArtifactsInput!$N$35+1,15,18,21,24,27,30)*(1-EXP(-(0.2*B745)*5)),0)+IF(AND(ArtifactsInput!$M$22,Inputs!$B$4&lt;&gt;"Chapter Hunt"),CHOOSE(ArtifactsInput!$N$22+1,10,12,14,16,18,20)*((0*(((0.15*B745*5))^0/1)+1*(((0.15*B745*5))^1/1)+2*(((0.15*B745*5))^2/2)+3*(((0.15*B745*5))^3/6)+4*(((0.15*B745*5))^4/24)+5*(((0.15*B745*5))^5/120))/((((0.15*B745*5))^0/1)+(((0.15*B745*5))^1/1)+(((0.15*B745*5))^2/2)+(((0.15*B745*5))^3/6)+(((0.15*B745*5))^4/24)+(((0.15*B745*5))^5/120))),0)))/100)*((((5000/(6000+Inputs!$B$43*(1-(100*(1-(1-(100*(1-(1-(((1-(1-Inputs!$B$19/100)*(1-1/100))*100)+0)/100)*(1-CHOOSE(ArtifactsInput!$N$40+1,5,6,7,8,9,10)/100)^(ArtifactsInput!$M$40-ArtifactsInput!$M$40)))/100)*(1-IF(ArtifactsInput!$M$40,CHOOSE(ArtifactsInput!$N$40+1,5,6,7,8,9,10),0)/100)^IF(Inputs!$B$39="pvp",1,2)))/100)))/(5000/(6000+Inputs!$B$43*(1-(100*(1-(1-(((1-(1-Inputs!$B$19/100)*(1-1/100))*100)+0)/100)*(1-CHOOSE(ArtifactsInput!$N$40+1,5,6,7,8,9,10)/100)^(ArtifactsInput!$M$40-ArtifactsInput!$M$40)))/100))))*((L726*(1-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726*(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726*(1-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726*(MIN(100,(Inputs!$B$9+((C734=TRUE)*(F734-Calc!F25))+B749+(ArtifactsInput!$M$24-ArtifactsInput!$M$24)*CHOOSE(ArtifactsInput!$N$24+1,10,12,14,16,18,20)+(IF(AND(ArtifactsInput!$M$42,((Inputs!$B$9+((C734=TRUE)*(F734-Calc!F25))+B749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26">
        <f>IF(C726,(Inputs!$B$38*0.2*N726)*IF(Inputs!$B$39="pvp",1,(1+(Inputs!$B$21+Skills!Q17+B750+(IF(ArtifactsInput!$M$33,CHOOSE(ArtifactsInput!$N$33+1,30,36,42,48,54,60),0))+(IF(AND(ArtifactsInput!$M$35,Inputs!$B$4&lt;&gt;"Chapter Hunt"),CHOOSE(ArtifactsInput!$N$35+1,15,18,21,24,27,30)*(1-EXP(-(0.2*B745)*5)),0)+IF(AND(ArtifactsInput!$M$22,Inputs!$B$4&lt;&gt;"Chapter Hunt"),CHOOSE(ArtifactsInput!$N$22+1,10,12,14,16,18,20)*((0*(((0.15*B745*5))^0/1)+1*(((0.15*B745*5))^1/1)+2*(((0.15*B745*5))^2/2)+3*(((0.15*B745*5))^3/6)+4*(((0.15*B745*5))^4/24)+5*(((0.15*B745*5))^5/120))/((((0.15*B745*5))^0/1)+(((0.15*B745*5))^1/1)+(((0.15*B745*5))^2/2)+(((0.15*B745*5))^3/6)+(((0.15*B745*5))^4/24)+(((0.15*B745*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27">
      <c r="A727">
        <f>Skills!A18</f>
        <v/>
      </c>
      <c r="B727">
        <f>Skills!B18</f>
        <v/>
      </c>
      <c r="C727">
        <f>Inputs!$B$3&gt;=115</f>
        <v/>
      </c>
      <c r="D727">
        <f>IF(Skills!C18=1,60+Inputs!$B$25+Inputs!$B$29,IF(Skills!C18=2,90+Inputs!$B$26+Inputs!$B$29,IF(Skills!C18=3,120+Inputs!$B$27+Inputs!$B$29,MAX(0,(Inputs!$B$3-100)*3)+Inputs!$B$28+Inputs!$B$29)))</f>
        <v/>
      </c>
      <c r="E727">
        <f>INDEX(FactorTable!$B$2:$Y$301, MATCH(ROUND(MIN(300,MAX(1,D727)),0), FactorTable!$A$2:$A$301,0), Skills!M18+1)</f>
        <v/>
      </c>
      <c r="F727">
        <f>IF(Skills!N18=TRUE,(Skills!L18/10)*(E727/1000),Skills!L18/10)+Skills!O18</f>
        <v/>
      </c>
      <c r="G727">
        <f>Calc!G18</f>
        <v/>
      </c>
      <c r="H727">
        <f>Calc!H18</f>
        <v/>
      </c>
      <c r="I727">
        <f>IF(Skills!AA18&lt;&gt;"",1+(Skills!AA18/10)*(U712/1000)/100,1)</f>
        <v/>
      </c>
      <c r="J727" t="inlineStr"/>
      <c r="K727" t="inlineStr"/>
      <c r="L727" t="inlineStr"/>
      <c r="M727" t="inlineStr"/>
      <c r="N727" t="inlineStr"/>
      <c r="O727">
        <f>(1-Summary!$B$11)*T727+Summary!$B$11*V727</f>
        <v/>
      </c>
      <c r="P727">
        <f>IF(B753=0,0,O727/B753)</f>
        <v/>
      </c>
      <c r="Q727" t="n">
        <v>0</v>
      </c>
      <c r="R727" t="n">
        <v>0</v>
      </c>
      <c r="S727">
        <f>IFERROR(O727/N727,0)</f>
        <v/>
      </c>
      <c r="T727" t="n">
        <v>0</v>
      </c>
      <c r="V727" t="n">
        <v>0</v>
      </c>
    </row>
    <row r="728">
      <c r="A728">
        <f>Skills!A19</f>
        <v/>
      </c>
      <c r="B728">
        <f>Skills!B19</f>
        <v/>
      </c>
      <c r="C728">
        <f>TRUE</f>
        <v/>
      </c>
      <c r="D728">
        <f>IF(Skills!C19=1,60+Inputs!$B$25+Inputs!$B$29,IF(Skills!C19=2,90+Inputs!$B$26+Inputs!$B$29,IF(Skills!C19=3,120+Inputs!$B$27+Inputs!$B$29,MAX(0,(Inputs!$B$3-100)*3)+Inputs!$B$28+Inputs!$B$29)))</f>
        <v/>
      </c>
      <c r="E728">
        <f>INDEX(FactorTable!$B$2:$Y$301, MATCH(ROUND(MIN(300,MAX(1,D728)),0), FactorTable!$A$2:$A$301,0), Skills!M19+1)</f>
        <v/>
      </c>
      <c r="F728">
        <f>IF(Skills!N19=TRUE,(Skills!L19/10)*(E728/1000),Skills!L19/10)+Skills!O19</f>
        <v/>
      </c>
      <c r="G728">
        <f>Calc!G19</f>
        <v/>
      </c>
      <c r="H728">
        <f>Calc!H19</f>
        <v/>
      </c>
      <c r="I728">
        <f>IF(Skills!AA19&lt;&gt;"",1+(Skills!AA19/10)*(U712/1000)/100,1)</f>
        <v/>
      </c>
      <c r="J728" t="inlineStr"/>
      <c r="K728" t="inlineStr"/>
      <c r="L728" t="inlineStr"/>
      <c r="M728" t="inlineStr"/>
      <c r="N728" t="inlineStr"/>
      <c r="O728">
        <f>(1-Summary!$B$11)*T728+Summary!$B$11*V728</f>
        <v/>
      </c>
      <c r="P728">
        <f>IF(B753=0,0,O728/B753)</f>
        <v/>
      </c>
      <c r="Q728">
        <f>IFERROR(1/IF(Inputs!$B$39="pvp",15,MAX(0.1,Skills!D19-IF(Skills!E19=TRUE,Inputs!$B$32,0))),0)</f>
        <v/>
      </c>
      <c r="R728">
        <f>IF(AND(Inputs!$B$39&lt;&gt;"pvp",Inputs!$B$44&gt;0),IF(Inputs!$B$44&lt;=0,0,(INT(Inputs!$B$44/IF(Inputs!$B$39="pvp",15,MAX(0.1,Skills!D19-IF(Skills!E19=TRUE,Inputs!$B$32,0))))+1)),0)</f>
        <v/>
      </c>
      <c r="S728">
        <f>IFERROR(O728/N728,0)</f>
        <v/>
      </c>
      <c r="T728" t="n">
        <v>0</v>
      </c>
      <c r="V728" t="n">
        <v>0</v>
      </c>
    </row>
    <row r="729">
      <c r="A729">
        <f>Skills!A20</f>
        <v/>
      </c>
      <c r="B729">
        <f>Skills!B20</f>
        <v/>
      </c>
      <c r="C729">
        <f>Inputs!$B$3&gt;=15</f>
        <v/>
      </c>
      <c r="D729">
        <f>IF(Skills!C20=1,60+Inputs!$B$25+Inputs!$B$29,IF(Skills!C20=2,90+Inputs!$B$26+Inputs!$B$29,IF(Skills!C20=3,120+Inputs!$B$27+Inputs!$B$29,MAX(0,(Inputs!$B$3-100)*3)+Inputs!$B$28+Inputs!$B$29)))</f>
        <v/>
      </c>
      <c r="E729">
        <f>INDEX(FactorTable!$B$2:$Y$301, MATCH(ROUND(MIN(300,MAX(1,D729)),0), FactorTable!$A$2:$A$301,0), Skills!M20+1)</f>
        <v/>
      </c>
      <c r="F729">
        <f>IF(Skills!N20=TRUE,(Skills!L20/10)*(E729/1000),Skills!L20/10)+Skills!O20</f>
        <v/>
      </c>
      <c r="G729">
        <f>Calc!G20</f>
        <v/>
      </c>
      <c r="H729">
        <f>Calc!H20</f>
        <v/>
      </c>
      <c r="I729">
        <f>IF(Skills!AA20&lt;&gt;"",1+(Skills!AA20/10)*(U712/1000)/100,1)</f>
        <v/>
      </c>
      <c r="J729" t="inlineStr"/>
      <c r="K729" t="inlineStr"/>
      <c r="L729" t="inlineStr"/>
      <c r="M729" t="inlineStr"/>
      <c r="N729" t="inlineStr"/>
      <c r="O729">
        <f>(1-Summary!$B$11)*T729+Summary!$B$11*V729</f>
        <v/>
      </c>
      <c r="P729">
        <f>IF(B753=0,0,O729/B753)</f>
        <v/>
      </c>
      <c r="Q729">
        <f>IFERROR(1/IF(Inputs!$B$39="pvp",15,MAX(0.1,Skills!D20-IF(Skills!E20=TRUE,Inputs!$B$32,0))),0)</f>
        <v/>
      </c>
      <c r="R729">
        <f>IF(AND(Inputs!$B$39&lt;&gt;"pvp",Inputs!$B$44&gt;0),IF(Inputs!$B$44&lt;=0,0,(INT(Inputs!$B$44/IF(Inputs!$B$39="pvp",15,MAX(0.1,Skills!D20-IF(Skills!E20=TRUE,Inputs!$B$32,0))))+1)),0)</f>
        <v/>
      </c>
      <c r="S729">
        <f>IFERROR(O729/N729,0)</f>
        <v/>
      </c>
      <c r="T729" t="n">
        <v>0</v>
      </c>
      <c r="V729" t="n">
        <v>0</v>
      </c>
    </row>
    <row r="730">
      <c r="A730">
        <f>Skills!A21</f>
        <v/>
      </c>
      <c r="B730">
        <f>Skills!B21</f>
        <v/>
      </c>
      <c r="C730">
        <f>Inputs!$B$3&gt;=15</f>
        <v/>
      </c>
      <c r="D730">
        <f>IF(Skills!C21=1,60+Inputs!$B$25+Inputs!$B$29,IF(Skills!C21=2,90+Inputs!$B$26+Inputs!$B$29,IF(Skills!C21=3,120+Inputs!$B$27+Inputs!$B$29,MAX(0,(Inputs!$B$3-100)*3)+Inputs!$B$28+Inputs!$B$29)))</f>
        <v/>
      </c>
      <c r="E730">
        <f>INDEX(FactorTable!$B$2:$Y$301, MATCH(ROUND(MIN(300,MAX(1,D730)),0), FactorTable!$A$2:$A$301,0), Skills!M21+1)</f>
        <v/>
      </c>
      <c r="F730">
        <f>IF(Skills!N21=TRUE,(Skills!L21/10)*(E730/1000),Skills!L21/10)+Skills!O21</f>
        <v/>
      </c>
      <c r="G730">
        <f>Calc!G21</f>
        <v/>
      </c>
      <c r="H730">
        <f>Calc!H21</f>
        <v/>
      </c>
      <c r="I730">
        <f>IF(Skills!AA21&lt;&gt;"",1+(Skills!AA21/10)*(U712/1000)/100,1)</f>
        <v/>
      </c>
      <c r="J730" t="inlineStr"/>
      <c r="K730" t="inlineStr"/>
      <c r="L730" t="inlineStr"/>
      <c r="M730" t="inlineStr"/>
      <c r="N730" t="inlineStr"/>
      <c r="O730">
        <f>(1-Summary!$B$11)*T730+Summary!$B$11*V730</f>
        <v/>
      </c>
      <c r="P730">
        <f>IF(B753=0,0,O730/B753)</f>
        <v/>
      </c>
      <c r="Q730">
        <f>IFERROR(1/IF(Inputs!$B$39="pvp",15,MAX(0.1,Skills!D21-IF(Skills!E21=TRUE,Inputs!$B$32,0))),0)</f>
        <v/>
      </c>
      <c r="R730">
        <f>IF(AND(Inputs!$B$39&lt;&gt;"pvp",Inputs!$B$44&gt;0),IF(Inputs!$B$44&lt;=0,0,(INT(Inputs!$B$44/IF(Inputs!$B$39="pvp",15,MAX(0.1,Skills!D21-IF(Skills!E21=TRUE,Inputs!$B$32,0))))+1)),0)</f>
        <v/>
      </c>
      <c r="S730">
        <f>IFERROR(O730/N730,0)</f>
        <v/>
      </c>
      <c r="T730" t="n">
        <v>0</v>
      </c>
      <c r="V730" t="n">
        <v>0</v>
      </c>
    </row>
    <row r="731">
      <c r="A731">
        <f>Skills!A22</f>
        <v/>
      </c>
      <c r="B731">
        <f>Skills!B22</f>
        <v/>
      </c>
      <c r="C731">
        <f>Inputs!$B$3&gt;=33</f>
        <v/>
      </c>
      <c r="D731">
        <f>IF(Skills!C22=1,60+Inputs!$B$25+Inputs!$B$29,IF(Skills!C22=2,90+Inputs!$B$26+Inputs!$B$29,IF(Skills!C22=3,120+Inputs!$B$27+Inputs!$B$29,MAX(0,(Inputs!$B$3-100)*3)+Inputs!$B$28+Inputs!$B$29)))</f>
        <v/>
      </c>
      <c r="E731">
        <f>INDEX(FactorTable!$B$2:$Y$301, MATCH(ROUND(MIN(300,MAX(1,D731)),0), FactorTable!$A$2:$A$301,0), Skills!M22+1)</f>
        <v/>
      </c>
      <c r="F731">
        <f>IF(Skills!N22=TRUE,(Skills!L22/10)*(E731/1000),Skills!L22/10)+Skills!O22</f>
        <v/>
      </c>
      <c r="G731">
        <f>Calc!G22</f>
        <v/>
      </c>
      <c r="H731">
        <f>Calc!H22</f>
        <v/>
      </c>
      <c r="I731">
        <f>IF(Skills!AA22&lt;&gt;"",1+(Skills!AA22/10)*(U712/1000)/100,1)</f>
        <v/>
      </c>
      <c r="J731" t="inlineStr"/>
      <c r="K731" t="inlineStr"/>
      <c r="L731" t="inlineStr"/>
      <c r="M731" t="inlineStr"/>
      <c r="N731" t="inlineStr"/>
      <c r="O731">
        <f>(1-Summary!$B$11)*T731+Summary!$B$11*V731</f>
        <v/>
      </c>
      <c r="P731">
        <f>IF(B753=0,0,O731/B753)</f>
        <v/>
      </c>
      <c r="Q731" t="n">
        <v>0</v>
      </c>
      <c r="R731" t="n">
        <v>0</v>
      </c>
      <c r="S731">
        <f>IFERROR(O731/N731,0)</f>
        <v/>
      </c>
      <c r="T731" t="n">
        <v>0</v>
      </c>
      <c r="V731" t="n">
        <v>0</v>
      </c>
    </row>
    <row r="732">
      <c r="A732">
        <f>Skills!A23</f>
        <v/>
      </c>
      <c r="B732">
        <f>Skills!B23</f>
        <v/>
      </c>
      <c r="C732">
        <f>Inputs!$B$3&gt;=38</f>
        <v/>
      </c>
      <c r="D732">
        <f>IF(Skills!C23=1,60+Inputs!$B$25+Inputs!$B$29,IF(Skills!C23=2,90+Inputs!$B$26+Inputs!$B$29,IF(Skills!C23=3,120+Inputs!$B$27+Inputs!$B$29,MAX(0,(Inputs!$B$3-100)*3)+Inputs!$B$28+Inputs!$B$29)))</f>
        <v/>
      </c>
      <c r="E732">
        <f>INDEX(FactorTable!$B$2:$Y$301, MATCH(ROUND(MIN(300,MAX(1,D732)),0), FactorTable!$A$2:$A$301,0), Skills!M23+1)</f>
        <v/>
      </c>
      <c r="F732">
        <f>IF(Skills!N23=TRUE,(Skills!L23/10)*(E732/1000),Skills!L23/10)+Skills!O23</f>
        <v/>
      </c>
      <c r="G732">
        <f>Calc!G23</f>
        <v/>
      </c>
      <c r="H732">
        <f>Calc!H23</f>
        <v/>
      </c>
      <c r="I732">
        <f>IF(Skills!AA23&lt;&gt;"",1+(Skills!AA23/10)*(U712/1000)/100,1)</f>
        <v/>
      </c>
      <c r="J732" t="inlineStr"/>
      <c r="K732" t="inlineStr"/>
      <c r="L732" t="inlineStr"/>
      <c r="M732" t="inlineStr"/>
      <c r="N732" t="inlineStr"/>
      <c r="O732">
        <f>(1-Summary!$B$11)*T732+Summary!$B$11*V732</f>
        <v/>
      </c>
      <c r="P732">
        <f>IF(B753=0,0,O732/B753)</f>
        <v/>
      </c>
      <c r="Q732" t="n">
        <v>0</v>
      </c>
      <c r="R732" t="n">
        <v>0</v>
      </c>
      <c r="S732">
        <f>IFERROR(O732/N732,0)</f>
        <v/>
      </c>
      <c r="T732" t="n">
        <v>0</v>
      </c>
      <c r="V732" t="n">
        <v>0</v>
      </c>
    </row>
    <row r="733">
      <c r="A733">
        <f>Skills!A24</f>
        <v/>
      </c>
      <c r="B733">
        <f>Skills!B24</f>
        <v/>
      </c>
      <c r="C733">
        <f>Inputs!$B$3&gt;=40</f>
        <v/>
      </c>
      <c r="D733">
        <f>IF(Skills!C24=1,60+Inputs!$B$25+Inputs!$B$29,IF(Skills!C24=2,90+Inputs!$B$26+Inputs!$B$29,IF(Skills!C24=3,120+Inputs!$B$27+Inputs!$B$29,MAX(0,(Inputs!$B$3-100)*3)+Inputs!$B$28+Inputs!$B$29)))</f>
        <v/>
      </c>
      <c r="E733">
        <f>INDEX(FactorTable!$B$2:$Y$301, MATCH(ROUND(MIN(300,MAX(1,D733)),0), FactorTable!$A$2:$A$301,0), Skills!M24+1)</f>
        <v/>
      </c>
      <c r="F733">
        <f>IF(Skills!N24=TRUE,(Skills!L24/10)*(E733/1000),Skills!L24/10)+Skills!O24</f>
        <v/>
      </c>
      <c r="G733">
        <f>Calc!G24</f>
        <v/>
      </c>
      <c r="H733">
        <f>Calc!H24</f>
        <v/>
      </c>
      <c r="I733">
        <f>IF(Skills!AA24&lt;&gt;"",1+(Skills!AA24/10)*(U712/1000)/100,1)</f>
        <v/>
      </c>
      <c r="J733" t="inlineStr"/>
      <c r="K733" t="inlineStr"/>
      <c r="L733" t="inlineStr"/>
      <c r="M733" t="inlineStr"/>
      <c r="N733" t="inlineStr"/>
      <c r="O733">
        <f>(1-Summary!$B$11)*T733+Summary!$B$11*V733</f>
        <v/>
      </c>
      <c r="P733">
        <f>IF(B753=0,0,O733/B753)</f>
        <v/>
      </c>
      <c r="Q733" t="n">
        <v>0</v>
      </c>
      <c r="R733" t="n">
        <v>0</v>
      </c>
      <c r="S733">
        <f>IFERROR(O733/N733,0)</f>
        <v/>
      </c>
      <c r="T733" t="n">
        <v>0</v>
      </c>
      <c r="V733" t="n">
        <v>0</v>
      </c>
    </row>
    <row r="734">
      <c r="A734">
        <f>Skills!A25</f>
        <v/>
      </c>
      <c r="B734">
        <f>Skills!B25</f>
        <v/>
      </c>
      <c r="C734">
        <f>Inputs!$B$3&gt;=45</f>
        <v/>
      </c>
      <c r="D734">
        <f>IF(Skills!C25=1,60+Inputs!$B$25+Inputs!$B$29,IF(Skills!C25=2,90+Inputs!$B$26+Inputs!$B$29,IF(Skills!C25=3,120+Inputs!$B$27+Inputs!$B$29,MAX(0,(Inputs!$B$3-100)*3)+Inputs!$B$28+Inputs!$B$29)))</f>
        <v/>
      </c>
      <c r="E734">
        <f>INDEX(FactorTable!$B$2:$Y$301, MATCH(ROUND(MIN(300,MAX(1,D734)),0), FactorTable!$A$2:$A$301,0), Skills!M25+1)</f>
        <v/>
      </c>
      <c r="F734">
        <f>IF(Skills!N25=TRUE,(Skills!L25/10)*(E734/1000),Skills!L25/10)+Skills!O25</f>
        <v/>
      </c>
      <c r="G734">
        <f>Calc!G25</f>
        <v/>
      </c>
      <c r="H734">
        <f>Calc!H25</f>
        <v/>
      </c>
      <c r="I734">
        <f>IF(Skills!AA25&lt;&gt;"",1+(Skills!AA25/10)*(U712/1000)/100,1)</f>
        <v/>
      </c>
      <c r="J734" t="inlineStr"/>
      <c r="K734" t="inlineStr"/>
      <c r="L734" t="inlineStr"/>
      <c r="M734" t="inlineStr"/>
      <c r="N734" t="inlineStr"/>
      <c r="O734">
        <f>(1-Summary!$B$11)*T734+Summary!$B$11*V734</f>
        <v/>
      </c>
      <c r="P734">
        <f>IF(B753=0,0,O734/B753)</f>
        <v/>
      </c>
      <c r="Q734" t="n">
        <v>0</v>
      </c>
      <c r="R734" t="n">
        <v>0</v>
      </c>
      <c r="S734">
        <f>IFERROR(O734/N734,0)</f>
        <v/>
      </c>
      <c r="T734" t="n">
        <v>0</v>
      </c>
      <c r="V734" t="n">
        <v>0</v>
      </c>
    </row>
    <row r="735">
      <c r="A735">
        <f>Skills!A26</f>
        <v/>
      </c>
      <c r="B735">
        <f>Skills!B26</f>
        <v/>
      </c>
      <c r="C735">
        <f>Inputs!$B$3&gt;=45</f>
        <v/>
      </c>
      <c r="D735">
        <f>IF(Skills!C26=1,60+Inputs!$B$25+Inputs!$B$29,IF(Skills!C26=2,90+Inputs!$B$26+Inputs!$B$29,IF(Skills!C26=3,120+Inputs!$B$27+Inputs!$B$29,MAX(0,(Inputs!$B$3-100)*3)+Inputs!$B$28+Inputs!$B$29)))</f>
        <v/>
      </c>
      <c r="E735">
        <f>INDEX(FactorTable!$B$2:$Y$301, MATCH(ROUND(MIN(300,MAX(1,D735)),0), FactorTable!$A$2:$A$301,0), Skills!M26+1)</f>
        <v/>
      </c>
      <c r="F735">
        <f>IF(Skills!N26=TRUE,(Skills!L26/10)*(E735/1000),Skills!L26/10)+Skills!O26</f>
        <v/>
      </c>
      <c r="G735">
        <f>Calc!G26</f>
        <v/>
      </c>
      <c r="H735">
        <f>Calc!H26</f>
        <v/>
      </c>
      <c r="I735">
        <f>IF(Skills!AA26&lt;&gt;"",1+(Skills!AA26/10)*(U712/1000)/100,1)</f>
        <v/>
      </c>
      <c r="J735" t="inlineStr"/>
      <c r="K735" t="inlineStr"/>
      <c r="L735" t="inlineStr"/>
      <c r="M735" t="inlineStr"/>
      <c r="N735" t="inlineStr"/>
      <c r="O735">
        <f>(1-Summary!$B$11)*T735+Summary!$B$11*V735</f>
        <v/>
      </c>
      <c r="P735">
        <f>IF(B753=0,0,O735/B753)</f>
        <v/>
      </c>
      <c r="Q735" t="n">
        <v>0</v>
      </c>
      <c r="R735" t="n">
        <v>0</v>
      </c>
      <c r="S735">
        <f>IFERROR(O735/N735,0)</f>
        <v/>
      </c>
      <c r="T735" t="n">
        <v>0</v>
      </c>
      <c r="V735" t="n">
        <v>0</v>
      </c>
    </row>
    <row r="736">
      <c r="A736">
        <f>Skills!A27</f>
        <v/>
      </c>
      <c r="B736">
        <f>Skills!B27</f>
        <v/>
      </c>
      <c r="C736">
        <f>Inputs!$B$3&gt;=72</f>
        <v/>
      </c>
      <c r="D736">
        <f>IF(Skills!C27=1,60+Inputs!$B$25+Inputs!$B$29,IF(Skills!C27=2,90+Inputs!$B$26+Inputs!$B$29,IF(Skills!C27=3,120+Inputs!$B$27+Inputs!$B$29,MAX(0,(Inputs!$B$3-100)*3)+Inputs!$B$28+Inputs!$B$29)))</f>
        <v/>
      </c>
      <c r="E736">
        <f>INDEX(FactorTable!$B$2:$Y$301, MATCH(ROUND(MIN(300,MAX(1,D736)),0), FactorTable!$A$2:$A$301,0), Skills!M27+1)</f>
        <v/>
      </c>
      <c r="F736">
        <f>IF(Skills!N27=TRUE,(Skills!L27/10)*(E736/1000),Skills!L27/10)+Skills!O27</f>
        <v/>
      </c>
      <c r="G736">
        <f>Calc!G27</f>
        <v/>
      </c>
      <c r="H736">
        <f>Calc!H27</f>
        <v/>
      </c>
      <c r="I736">
        <f>IF(Skills!AA27&lt;&gt;"",1+(Skills!AA27/10)*(U712/1000)/100,1)</f>
        <v/>
      </c>
      <c r="J736" t="inlineStr"/>
      <c r="K736" t="inlineStr"/>
      <c r="L736" t="inlineStr"/>
      <c r="M736" t="inlineStr"/>
      <c r="N736" t="inlineStr"/>
      <c r="O736">
        <f>(1-Summary!$B$11)*T736+Summary!$B$11*V736</f>
        <v/>
      </c>
      <c r="P736">
        <f>IF(B753=0,0,O736/B753)</f>
        <v/>
      </c>
      <c r="Q736" t="n">
        <v>0</v>
      </c>
      <c r="R736" t="n">
        <v>0</v>
      </c>
      <c r="S736">
        <f>IFERROR(O736/N736,0)</f>
        <v/>
      </c>
      <c r="T736" t="n">
        <v>0</v>
      </c>
      <c r="V736" t="n">
        <v>0</v>
      </c>
    </row>
    <row r="737">
      <c r="A737">
        <f>Skills!A28</f>
        <v/>
      </c>
      <c r="B737">
        <f>Skills!B28</f>
        <v/>
      </c>
      <c r="C737">
        <f>Inputs!$B$3&gt;=75</f>
        <v/>
      </c>
      <c r="D737">
        <f>IF(Skills!C28=1,60+Inputs!$B$25+Inputs!$B$29,IF(Skills!C28=2,90+Inputs!$B$26+Inputs!$B$29,IF(Skills!C28=3,120+Inputs!$B$27+Inputs!$B$29,MAX(0,(Inputs!$B$3-100)*3)+Inputs!$B$28+Inputs!$B$29)))</f>
        <v/>
      </c>
      <c r="E737">
        <f>INDEX(FactorTable!$B$2:$Y$301, MATCH(ROUND(MIN(300,MAX(1,D737)),0), FactorTable!$A$2:$A$301,0), Skills!M28+1)</f>
        <v/>
      </c>
      <c r="F737">
        <f>IF(Skills!N28=TRUE,(Skills!L28/10)*(E737/1000),Skills!L28/10)+Skills!O28</f>
        <v/>
      </c>
      <c r="G737">
        <f>Calc!G28</f>
        <v/>
      </c>
      <c r="H737">
        <f>Calc!H28</f>
        <v/>
      </c>
      <c r="I737">
        <f>IF(Skills!AA28&lt;&gt;"",1+(Skills!AA28/10)*(U712/1000)/100,1)</f>
        <v/>
      </c>
      <c r="J737" t="inlineStr"/>
      <c r="K737" t="inlineStr"/>
      <c r="L737" t="inlineStr"/>
      <c r="M737" t="inlineStr"/>
      <c r="N737" t="inlineStr"/>
      <c r="O737">
        <f>(1-Summary!$B$11)*T737+Summary!$B$11*V737</f>
        <v/>
      </c>
      <c r="P737">
        <f>IF(B753=0,0,O737/B753)</f>
        <v/>
      </c>
      <c r="Q737" t="n">
        <v>0</v>
      </c>
      <c r="R737" t="n">
        <v>0</v>
      </c>
      <c r="S737">
        <f>IFERROR(O737/N737,0)</f>
        <v/>
      </c>
      <c r="T737" t="n">
        <v>0</v>
      </c>
      <c r="V737" t="n">
        <v>0</v>
      </c>
    </row>
    <row r="738">
      <c r="A738">
        <f>Skills!A29</f>
        <v/>
      </c>
      <c r="B738">
        <f>Skills!B29</f>
        <v/>
      </c>
      <c r="C738">
        <f>Inputs!$B$3&gt;=120</f>
        <v/>
      </c>
      <c r="D738">
        <f>IF(Skills!C29=1,60+Inputs!$B$25+Inputs!$B$29,IF(Skills!C29=2,90+Inputs!$B$26+Inputs!$B$29,IF(Skills!C29=3,120+Inputs!$B$27+Inputs!$B$29,MAX(0,(Inputs!$B$3-100)*3)+Inputs!$B$28+Inputs!$B$29)))</f>
        <v/>
      </c>
      <c r="E738">
        <f>INDEX(FactorTable!$B$2:$Y$301, MATCH(ROUND(MIN(300,MAX(1,D738)),0), FactorTable!$A$2:$A$301,0), Skills!M29+1)</f>
        <v/>
      </c>
      <c r="F738">
        <f>IF(Skills!N29=TRUE,(Skills!L29/10)*(E738/1000),Skills!L29/10)+Skills!O29</f>
        <v/>
      </c>
      <c r="G738">
        <f>Calc!G29</f>
        <v/>
      </c>
      <c r="H738">
        <f>Calc!H29</f>
        <v/>
      </c>
      <c r="I738">
        <f>IF(Skills!AA29&lt;&gt;"",1+(Skills!AA29/10)*(U712/1000)/100,1)</f>
        <v/>
      </c>
      <c r="J738" t="inlineStr"/>
      <c r="K738" t="inlineStr"/>
      <c r="L738" t="inlineStr"/>
      <c r="M738" t="inlineStr"/>
      <c r="N738" t="inlineStr"/>
      <c r="O738">
        <f>(1-Summary!$B$11)*T738+Summary!$B$11*V738</f>
        <v/>
      </c>
      <c r="P738">
        <f>IF(B753=0,0,O738/B753)</f>
        <v/>
      </c>
      <c r="Q738" t="n">
        <v>0</v>
      </c>
      <c r="R738" t="n">
        <v>0</v>
      </c>
      <c r="S738">
        <f>IFERROR(O738/N738,0)</f>
        <v/>
      </c>
      <c r="T738" t="n">
        <v>0</v>
      </c>
      <c r="V738" t="n">
        <v>0</v>
      </c>
    </row>
    <row r="739">
      <c r="A739">
        <f>Skills!A30</f>
        <v/>
      </c>
      <c r="B739">
        <f>Skills!B30</f>
        <v/>
      </c>
      <c r="C739">
        <f>Inputs!$B$3&gt;=125</f>
        <v/>
      </c>
      <c r="D739">
        <f>IF(Skills!C30=1,60+Inputs!$B$25+Inputs!$B$29,IF(Skills!C30=2,90+Inputs!$B$26+Inputs!$B$29,IF(Skills!C30=3,120+Inputs!$B$27+Inputs!$B$29,MAX(0,(Inputs!$B$3-100)*3)+Inputs!$B$28+Inputs!$B$29)))</f>
        <v/>
      </c>
      <c r="E739">
        <f>INDEX(FactorTable!$B$2:$Y$301, MATCH(ROUND(MIN(300,MAX(1,D739)),0), FactorTable!$A$2:$A$301,0), Skills!M30+1)</f>
        <v/>
      </c>
      <c r="F739">
        <f>IF(Skills!N30=TRUE,(Skills!L30/10)*(E739/1000),Skills!L30/10)+Skills!O30</f>
        <v/>
      </c>
      <c r="G739">
        <f>Calc!G30</f>
        <v/>
      </c>
      <c r="H739">
        <f>Calc!H30</f>
        <v/>
      </c>
      <c r="I739">
        <f>IF(Skills!AA30&lt;&gt;"",1+(Skills!AA30/10)*(U712/1000)/100,1)</f>
        <v/>
      </c>
      <c r="J739" t="inlineStr"/>
      <c r="K739" t="inlineStr"/>
      <c r="L739" t="inlineStr"/>
      <c r="M739" t="inlineStr"/>
      <c r="N739" t="inlineStr"/>
      <c r="O739">
        <f>(1-Summary!$B$11)*T739+Summary!$B$11*V739</f>
        <v/>
      </c>
      <c r="P739">
        <f>IF(B753=0,0,O739/B753)</f>
        <v/>
      </c>
      <c r="Q739" t="n">
        <v>0</v>
      </c>
      <c r="R739" t="n">
        <v>0</v>
      </c>
      <c r="S739">
        <f>IFERROR(O739/N739,0)</f>
        <v/>
      </c>
      <c r="T739" t="n">
        <v>0</v>
      </c>
      <c r="V739" t="n">
        <v>0</v>
      </c>
    </row>
    <row r="740">
      <c r="A740">
        <f>Skills!A31</f>
        <v/>
      </c>
      <c r="B740">
        <f>Skills!B31</f>
        <v/>
      </c>
      <c r="C740">
        <f>Inputs!$B$3&gt;=107</f>
        <v/>
      </c>
      <c r="D740">
        <f>IF(Skills!C31=1,60+Inputs!$B$25+Inputs!$B$29,IF(Skills!C31=2,90+Inputs!$B$26+Inputs!$B$29,IF(Skills!C31=3,120+Inputs!$B$27+Inputs!$B$29,MAX(0,(Inputs!$B$3-100)*3)+Inputs!$B$28+Inputs!$B$29)))</f>
        <v/>
      </c>
      <c r="E740">
        <f>INDEX(FactorTable!$B$2:$Y$301, MATCH(ROUND(MIN(300,MAX(1,D740)),0), FactorTable!$A$2:$A$301,0), Skills!M31+1)</f>
        <v/>
      </c>
      <c r="F740">
        <f>IF(Skills!N31=TRUE,(Skills!L31/10)*(E740/1000),Skills!L31/10)+Skills!O31</f>
        <v/>
      </c>
      <c r="G740">
        <f>Calc!G31</f>
        <v/>
      </c>
      <c r="H740">
        <f>Calc!H31</f>
        <v/>
      </c>
      <c r="I740">
        <f>IF(Skills!AA31&lt;&gt;"",1+(Skills!AA31/10)*(U712/1000)/100,1)</f>
        <v/>
      </c>
      <c r="J740" t="inlineStr"/>
      <c r="K740" t="inlineStr"/>
      <c r="L740" t="inlineStr"/>
      <c r="M740" t="inlineStr"/>
      <c r="N740" t="inlineStr"/>
      <c r="O740">
        <f>(1-Summary!$B$11)*T740+Summary!$B$11*V740</f>
        <v/>
      </c>
      <c r="P740">
        <f>IF(B753=0,0,O740/B753)</f>
        <v/>
      </c>
      <c r="Q740" t="n">
        <v>0</v>
      </c>
      <c r="R740" t="n">
        <v>0</v>
      </c>
      <c r="S740">
        <f>IFERROR(O740/N740,0)</f>
        <v/>
      </c>
      <c r="T740" t="n">
        <v>0</v>
      </c>
      <c r="V740" t="n">
        <v>0</v>
      </c>
    </row>
    <row r="742">
      <c r="A742" t="inlineStr">
        <is>
          <t>Actions Per Second (pre-Adrenalin)</t>
        </is>
      </c>
      <c r="B742">
        <f>1+MIN(150,150*(1-(1-(Inputs!$B$11+((C731=TRUE)*(F731-Calc!F22))+(ArtifactsInput!$M$15-ArtifactsInput!$M$15)*CHOOSE(ArtifactsInput!$N$15+1,8,9.6,11.2,12.8,14.4,16))/150)*(1-((C728=TRUE)*F728*IF(AND(Inputs!$B$39&lt;&gt;"pvp",Inputs!$B$44&gt;0),(((R728-1)*(Skills!Y19*(1+Inputs!$B$34/100))+MIN((Skills!Y19*(1+Inputs!$B$34/100)),MAX(0,Inputs!$B$44-((R728-1)*Skills!D19))))/Inputs!$B$44),IF(Inputs!$B$39="pvp",MIN((Skills!Y19*(1+Inputs!$B$34/100)),15)/15,(Skills!Y19*(1+Inputs!$B$34/100))/Skills!D19)))/150)))/100</f>
        <v/>
      </c>
    </row>
    <row r="743">
      <c r="A743" t="inlineStr">
        <is>
          <t>Alchemic Adrenaline Uptime</t>
        </is>
      </c>
      <c r="B743">
        <f>(Skills!Y6*(1+Inputs!$B$34/100))/((Skills!Y6*(1+Inputs!$B$34/100))+(5/B742))</f>
        <v/>
      </c>
    </row>
    <row r="744">
      <c r="A744" t="inlineStr">
        <is>
          <t>Attack Speed Buff Bonus %</t>
        </is>
      </c>
      <c r="B744">
        <f>((C728=TRUE)*F728*IF(AND(Inputs!$B$39&lt;&gt;"pvp",Inputs!$B$44&gt;0),(((R728-1)*(Skills!Y19*(1+Inputs!$B$34/100))+MIN((Skills!Y19*(1+Inputs!$B$34/100)),MAX(0,Inputs!$B$44-((R728-1)*Skills!D19))))/Inputs!$B$44),IF(Inputs!$B$39="pvp",MIN((Skills!Y19*(1+Inputs!$B$34/100)),15)/15,(Skills!Y19*(1+Inputs!$B$34/100))/Skills!D19)))+((C716=TRUE)*F716*B743)</f>
        <v/>
      </c>
    </row>
    <row r="745">
      <c r="A745" t="inlineStr">
        <is>
          <t>Actions Per Second (final)</t>
        </is>
      </c>
      <c r="B745">
        <f>1+MIN(150,150*(1-(1-(Inputs!$B$11+((C731=TRUE)*(F731-Calc!F22))+(ArtifactsInput!$M$15-ArtifactsInput!$M$15)*CHOOSE(ArtifactsInput!$N$15+1,8,9.6,11.2,12.8,14.4,16))/150)*(1-B744/150)))/100</f>
        <v/>
      </c>
    </row>
    <row r="746">
      <c r="A746" t="inlineStr">
        <is>
          <t>Skill + Buff Cast Rate</t>
        </is>
      </c>
      <c r="B746">
        <f>IF(AND(Inputs!$B$39&lt;&gt;"pvp",Inputs!$B$44&gt;0),SUMPRODUCT((Skills!E2:E31=TRUE)*(C711:C740=TRUE)*R711:R740*Skills!F2:F31)/Inputs!$B$44,SUMPRODUCT((Skills!E2:E31=TRUE)*(C711:C740=TRUE)*Q711:Q740*Skills!F2:F31))</f>
        <v/>
      </c>
    </row>
    <row r="747">
      <c r="A747" t="inlineStr">
        <is>
          <t>Showdown Casts Per Second</t>
        </is>
      </c>
      <c r="B747">
        <f>MAX(0,B745-B746)</f>
        <v/>
      </c>
    </row>
    <row r="748">
      <c r="A748" t="inlineStr">
        <is>
          <t>Average Buff Multiplier</t>
        </is>
      </c>
      <c r="B748">
        <f>(1+(((C730=TRUE)*F730*IF(AND(Inputs!$B$39&lt;&gt;"pvp",Inputs!$B$44&gt;0),(((R730-1)*(Skills!Y21*(1+Inputs!$B$34/100))+MIN((Skills!Y21*(1+Inputs!$B$34/100)),MAX(0,Inputs!$B$44-((R730-1)*Skills!D21))))/Inputs!$B$44),IF(Inputs!$B$39="pvp",MIN((Skills!Y21*(1+Inputs!$B$34/100)),15)/15,(Skills!Y21*(1+Inputs!$B$34/100))/Skills!D21)))+((C737=TRUE)*(F737-Calc!F28))+((C727=TRUE)*(F727-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724=TRUE)*F724*IF(AND(Inputs!$B$39&lt;&gt;"pvp",Inputs!$B$44&gt;0),(((R724-1)*(Skills!Y15*(1+Inputs!$B$34/100))+MIN((Skills!Y15*(1+Inputs!$B$34/100)),MAX(0,Inputs!$B$44-((R724-1)*Skills!D15))))/Inputs!$B$44),IF(Inputs!$B$39="pvp",MIN((Skills!Y15*(1+Inputs!$B$34/100)),15)/15,(Skills!Y15*(1+Inputs!$B$34/100))/Skills!D15)))/100)*(1+((C715=TRUE)*F715*B743)/100)</f>
        <v/>
      </c>
    </row>
    <row r="749">
      <c r="A749" t="inlineStr">
        <is>
          <t>Global Crit Rate Bonus %</t>
        </is>
      </c>
      <c r="B749">
        <f>IF(Inputs!$B$3&gt;=47,8,0)+((C729=TRUE)*F729*IF(AND(Inputs!$B$39&lt;&gt;"pvp",Inputs!$B$44&gt;0),(((R729-1)*(Skills!Y20*(1+Inputs!$B$34/100))+MIN((Skills!Y20*(1+Inputs!$B$34/100)),MAX(0,Inputs!$B$44-((R729-1)*Skills!D20))))/Inputs!$B$44),IF(Inputs!$B$39="pvp",MIN((Skills!Y20*(1+Inputs!$B$34/100)),15)/15,(Skills!Y20*(1+Inputs!$B$34/100))/Skills!D20)))</f>
        <v/>
      </c>
    </row>
    <row r="750">
      <c r="A750" t="inlineStr">
        <is>
          <t>Global Monster Damage-Taken Bonus %</t>
        </is>
      </c>
      <c r="B750">
        <f>IF(Inputs!$B$3&gt;=82,15,0)+((C725=TRUE)*F725*IF(AND(Inputs!$B$39&lt;&gt;"pvp",Inputs!$B$44&gt;0),(((R725-1)*(Skills!Y16*(1+Inputs!$B$34/100))+MIN((Skills!Y16*(1+Inputs!$B$34/100)),MAX(0,Inputs!$B$44-((R725-1)*Skills!D16))))/Inputs!$B$44),IF(Inputs!$B$39="pvp",MIN((Skills!Y16*(1+Inputs!$B$34/100)),15)/15,(Skills!Y16*(1+Inputs!$B$34/100))/Skills!D16)))</f>
        <v/>
      </c>
    </row>
    <row r="751">
      <c r="A751" t="inlineStr">
        <is>
          <t>Shadow Partner Average Multiplier</t>
        </is>
      </c>
      <c r="B751">
        <f>1+((C720=TRUE)*F720*I720*Skills!J11/100)/100</f>
        <v/>
      </c>
    </row>
    <row r="752">
      <c r="A752" t="inlineStr">
        <is>
          <t>Global Critical Damage Bonus % (Frailty Curse Mastery Lv.111)</t>
        </is>
      </c>
      <c r="B752">
        <f>IF(Inputs!$B$3&gt;=111,30,0)*IF(AND(Inputs!$B$39&lt;&gt;"pvp",Inputs!$B$44&gt;0),(((R725-1)*(Skills!Y16*(1+Inputs!$B$34/100))+MIN((Skills!Y16*(1+Inputs!$B$34/100)),MAX(0,Inputs!$B$44-((R725-1)*Skills!D16))))/Inputs!$B$44),IF(Inputs!$B$39="pvp",MIN((Skills!Y16*(1+Inputs!$B$34/100)),15)/15,(Skills!Y16*(1+Inputs!$B$34/100))/Skills!D16))</f>
        <v/>
      </c>
    </row>
    <row r="753">
      <c r="A753" s="6" t="inlineStr">
        <is>
          <t>TOTAL DPS</t>
        </is>
      </c>
      <c r="B753" s="6">
        <f>SUM(O711:O740)</f>
        <v/>
      </c>
    </row>
    <row r="754">
      <c r="A754" t="inlineStr">
        <is>
          <t>Buff-Casting Startup Delay (s, fixed-duration only)</t>
        </is>
      </c>
      <c r="B754">
        <f>IF(AND(Inputs!$B$39&lt;&gt;"pvp",Inputs!$B$44&gt;0),SUMPRODUCT((Skills!Y2:Y31&gt;0)*(Skills!E2:E31=TRUE)*(C711:C740=TRUE))/B745,0)</f>
        <v/>
      </c>
    </row>
    <row r="755">
      <c r="A755" t="inlineStr">
        <is>
          <t>Boss-Only Total DPS (this block's swept value)</t>
        </is>
      </c>
      <c r="B755">
        <f>SUM(T711:T740)</f>
        <v/>
      </c>
    </row>
    <row r="756">
      <c r="A756" t="inlineStr">
        <is>
          <t>Normal-Only Total DPS (this block's swept value)</t>
        </is>
      </c>
      <c r="B756">
        <f>SUM(V711:V740)</f>
        <v/>
      </c>
    </row>
    <row r="758">
      <c r="A758" s="6" t="inlineStr">
        <is>
          <t>Stat: BASIC_ATTACK_DAMAGE %</t>
        </is>
      </c>
    </row>
    <row r="759">
      <c r="A759" s="5" t="inlineStr">
        <is>
          <t>Key</t>
        </is>
      </c>
      <c r="B759" s="5" t="inlineStr">
        <is>
          <t>Name</t>
        </is>
      </c>
      <c r="C759" s="5" t="inlineStr">
        <is>
          <t>Unlocked</t>
        </is>
      </c>
      <c r="D759" s="5" t="inlineStr">
        <is>
          <t>InputLevel</t>
        </is>
      </c>
      <c r="E759" s="5" t="inlineStr">
        <is>
          <t>Factor</t>
        </is>
      </c>
      <c r="F759" s="5" t="inlineStr">
        <is>
          <t>CoefficientPercent</t>
        </is>
      </c>
      <c r="G759" s="5" t="inlineStr">
        <is>
          <t>EffectiveHits</t>
        </is>
      </c>
      <c r="H759" s="5" t="inlineStr">
        <is>
          <t>ProcProbability</t>
        </is>
      </c>
      <c r="I759" s="5" t="inlineStr">
        <is>
          <t>MapleHeroMultiplier</t>
        </is>
      </c>
      <c r="J759" s="5" t="inlineStr">
        <is>
          <t>BaseDamage</t>
        </is>
      </c>
      <c r="K759" s="5" t="inlineStr">
        <is>
          <t>BaseHitDamage</t>
        </is>
      </c>
      <c r="L759" s="5" t="inlineStr">
        <is>
          <t>NonCritAvg</t>
        </is>
      </c>
      <c r="M759" s="5" t="inlineStr">
        <is>
          <t>CritAvg</t>
        </is>
      </c>
      <c r="N759" s="5" t="inlineStr">
        <is>
          <t>ExpectedDamage(perHit)</t>
        </is>
      </c>
      <c r="O759" s="5" t="inlineStr">
        <is>
          <t>DPS</t>
        </is>
      </c>
      <c r="P759" s="5" t="inlineStr">
        <is>
          <t>% of Total</t>
        </is>
      </c>
      <c r="Q759" s="5" t="inlineStr">
        <is>
          <t>InvCooldown</t>
        </is>
      </c>
      <c r="R759" s="5" t="inlineStr">
        <is>
          <t>CastsInFight</t>
        </is>
      </c>
      <c r="S759" s="5" t="inlineStr">
        <is>
          <t>HitRate(perSec)</t>
        </is>
      </c>
      <c r="U759" t="inlineStr">
        <is>
          <t>helpers</t>
        </is>
      </c>
    </row>
    <row r="760">
      <c r="A760">
        <f>Skills!A2</f>
        <v/>
      </c>
      <c r="B760">
        <f>Skills!B2</f>
        <v/>
      </c>
      <c r="C760">
        <f>Inputs!$B$3&gt;=100</f>
        <v/>
      </c>
      <c r="D760" t="inlineStr"/>
      <c r="E760" t="inlineStr"/>
      <c r="F760">
        <f>U764+Skills!O2</f>
        <v/>
      </c>
      <c r="G760">
        <f>Calc!G2</f>
        <v/>
      </c>
      <c r="H760">
        <f>Calc!H2</f>
        <v/>
      </c>
      <c r="I760">
        <f>IF(Skills!AA2&lt;&gt;"",1+(Skills!AA2/10)*(U761/1000)/100,1)</f>
        <v/>
      </c>
      <c r="J760">
        <f>((Inputs!$B$6*(1+Inputs!$B$7/100))+(((Inputs!$B$12*(1+Inputs!$B$13/100))-(Inputs!$B$12*(1+Inputs!$B$13/100)))+0.25*(Inputs!$B$14-Inputs!$B$14))*(1+Inputs!$B$7/100))*(F760/100)</f>
        <v/>
      </c>
      <c r="K760">
        <f>J760*(1+((Inputs!$B$12*(1+Inputs!$B$13/100))*0.01+Inputs!$B$14*0.0025)/100)*(1+Inputs!$B$15/100)*(1+Inputs!$B$16/100)*(5000/(6000+Inputs!$B$43*(1-(100*(1-(1-(Inputs!$B$19+0)/100)*(1-CHOOSE(ArtifactsInput!$N$40+1,5,6,7,8,9,10)/100)^(ArtifactsInput!$M$40-ArtifactsInput!$M$40)))/100)))*(1+(Inputs!$B$24+((C788=TRUE)*(F788-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+1)+((C781=TRUE)*(F781-Calc!F23))+(((IF(AND(ArtifactsInput!$M$42,((Inputs!$B$9+((C783=TRUE)*(F783-Calc!F25))+B798+(ArtifactsInput!$M$24-ArtifactsInput!$M$24)*CHOOSE(ArtifactsInput!$N$24+1,10,12,14,16,18,20)+IF(ArtifactsInput!$M$10,CHOOSE(ArtifactsInput!$N$10+1,15,18,21,24,27,30)*(IF(Inputs!$B$39="pvp",MIN(15,15)/15,IF(AND(Inputs!$B$39&lt;&gt;"pvp",Inputs!$B$44&gt;0),MIN(15,Inputs!$B$44)/(Inputs!$B$44),0))),0)))&gt;=100),MIN(100,((Inputs!$B$9+((C783=TRUE)*(F783-Calc!F25))+B798+(ArtifactsInput!$M$24-ArtifactsInput!$M$24)*CHOOSE(ArtifactsInput!$N$24+1,10,12,14,16,18,20)+IF(ArtifactsInput!$M$10,CHOOSE(ArtifactsInput!$N$10+1,15,18,21,24,27,30)*(IF(Inputs!$B$39="pvp",MIN(15,15)/15,IF(AND(Inputs!$B$39&lt;&gt;"pvp",Inputs!$B$44&gt;0),MIN(15,Inputs!$B$44)/(Inputs!$B$44),0))),0)))-100),0))*CHOOSE(ArtifactsInput!$N$42+1,0.6,0.72,0.84,0.96,1.08,1.2))),Inputs!$B$18+((C787=TRUE)*(F787-Calc!F29))+(IF(AND(ArtifactsInput!$M$42,((Inputs!$B$9+((C783=TRUE)*(F783-Calc!F25))+B798+(ArtifactsInput!$M$24-ArtifactsInput!$M$24)*CHOOSE(ArtifactsInput!$N$24+1,10,12,14,16,18,20)+IF(ArtifactsInput!$M$10,CHOOSE(ArtifactsInput!$N$10+1,15,18,21,24,27,30)*(IF(Inputs!$B$39="pvp",MIN(15,15)/15,IF(AND(Inputs!$B$39&lt;&gt;"pvp",Inputs!$B$44&gt;0),MIN(15,Inputs!$B$44)/(Inputs!$B$44),0))),0)))&gt;=100),CHOOSE(ArtifactsInput!$N$42+1,40,48,56,64,72,80),0))))/100)*(((1+(((C779=TRUE)*F779*IF(AND(Inputs!$B$39&lt;&gt;"pvp",Inputs!$B$44&gt;0),(((R779-1)*(Skills!Y21*(1+Inputs!$B$34/100))+MIN((Skills!Y21*(1+Inputs!$B$34/100)),MAX(0,Inputs!$B$44-((R779-1)*Skills!D21))))/Inputs!$B$44),IF(Inputs!$B$39="pvp",MIN((Skills!Y21*(1+Inputs!$B$34/100)),15)/15,(Skills!Y21*(1+Inputs!$B$34/100))/Skills!D21)))+((C786=TRUE)*(F786-Calc!F28))+((C776=TRUE)*(F776-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773=TRUE)*F773*IF(AND(Inputs!$B$39&lt;&gt;"pvp",Inputs!$B$44&gt;0),(((R773-1)*(Skills!Y15*(1+Inputs!$B$34/100))+MIN((Skills!Y15*(1+Inputs!$B$34/100)),MAX(0,Inputs!$B$44-((R773-1)*Skills!D15))))/Inputs!$B$44),IF(Inputs!$B$39="pvp",MIN((Skills!Y15*(1+Inputs!$B$34/100)),15)/15,(Skills!Y15*(1+Inputs!$B$34/100))/Skills!D15)))/100)*(1+((C764=TRUE)*F764*B792)/100))*B800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760)</f>
        <v/>
      </c>
      <c r="L760">
        <f>K760*(MIN(Inputs!$B$22+((C782=TRUE)*(F782-Calc!F24)),(Inputs!$B$23+0+(IF(ArtifactsInput!$M$15,CHOOSE(ArtifactsInput!$N$15+1,25,30,35,40,45,50)/100*(Inputs!$B$11-Inputs!$B$11),0))))/100+(Inputs!$B$23+0+(IF(ArtifactsInput!$M$15,CHOOSE(ArtifactsInput!$N$15+1,25,30,35,40,45,50)/100*(Inputs!$B$11-Inputs!$B$11),0)))/100)/2</f>
        <v/>
      </c>
      <c r="M760">
        <f>L760*(1+(Inputs!$B$10+((C784=TRUE)*(F784-Calc!F26))+B801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60">
        <f>L760*(1-MIN((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760*(MIN((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60">
        <f>(1-Summary!$B$11)*T760+Summary!$B$11*V760</f>
        <v/>
      </c>
      <c r="P760">
        <f>IF(B802=0,0,O760/B802)</f>
        <v/>
      </c>
      <c r="Q760" t="n">
        <v>0</v>
      </c>
      <c r="R760" t="n">
        <v>0</v>
      </c>
      <c r="S760">
        <f>IFERROR(O760/N760,0)</f>
        <v/>
      </c>
      <c r="T760">
        <f>IF(C760,(Skills!G2*N760*B796)*IF(Inputs!$B$39="pvp",1,1+(Inputs!$B$20+((C785=TRUE)*(F785-Calc!F27))+Skills!P2+B799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760*(1-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760*(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760*(1-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760*(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60">
        <f>MAX(0,(Inputs!$B$3-100)*3)+Inputs!$B$28+Inputs!$B$29</f>
        <v/>
      </c>
      <c r="V760">
        <f>IF(C760,(Skills!G2*N760*B796)*IF(Inputs!$B$39="pvp",1,(1+(Inputs!$B$21+Skills!Q2+B799+(IF(ArtifactsInput!$M$33,CHOOSE(ArtifactsInput!$N$33+1,30,36,42,48,54,60),0))+(IF(AND(ArtifactsInput!$M$35,Inputs!$B$4&lt;&gt;"Chapter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61">
      <c r="A761">
        <f>Skills!A3</f>
        <v/>
      </c>
      <c r="B761">
        <f>Skills!B3</f>
        <v/>
      </c>
      <c r="C761">
        <f>Inputs!$B$3&gt;=35</f>
        <v/>
      </c>
      <c r="D761">
        <f>IF(Skills!C3=1,60+Inputs!$B$25+Inputs!$B$29,IF(Skills!C3=2,90+Inputs!$B$26+Inputs!$B$29,IF(Skills!C3=3,120+Inputs!$B$27+Inputs!$B$29,MAX(0,(Inputs!$B$3-100)*3)+Inputs!$B$28+Inputs!$B$29)))</f>
        <v/>
      </c>
      <c r="E761">
        <f>INDEX(FactorTable!$B$2:$Y$301, MATCH(ROUND(MIN(300,MAX(1,D761)),0), FactorTable!$A$2:$A$301,0), Skills!M3+1)</f>
        <v/>
      </c>
      <c r="F761">
        <f>IF(Skills!N3=TRUE,(Skills!L3/10)*(E761/1000),Skills!L3/10)+Skills!O3</f>
        <v/>
      </c>
      <c r="G761">
        <f>Calc!G3</f>
        <v/>
      </c>
      <c r="H761">
        <f>Calc!H3</f>
        <v/>
      </c>
      <c r="I761">
        <f>IF(Skills!AA3&lt;&gt;"",1+(Skills!AA3/10)*(U761/1000)/100,1)</f>
        <v/>
      </c>
      <c r="J761">
        <f>((Inputs!$B$6*(1+Inputs!$B$7/100))+(((Inputs!$B$12*(1+Inputs!$B$13/100))-(Inputs!$B$12*(1+Inputs!$B$13/100)))+0.25*(Inputs!$B$14-Inputs!$B$14))*(1+Inputs!$B$7/100))*(F761/100)</f>
        <v/>
      </c>
      <c r="K761">
        <f>J761*(1+((Inputs!$B$12*(1+Inputs!$B$13/100))*0.01+Inputs!$B$14*0.0025)/100)*(1+Inputs!$B$15/100)*(1+Inputs!$B$16/100)*(5000/(6000+Inputs!$B$43*(1-(100*(1-(1-(Inputs!$B$19+0)/100)*(1-CHOOSE(ArtifactsInput!$N$40+1,5,6,7,8,9,10)/100)^(ArtifactsInput!$M$40-ArtifactsInput!$M$40)))/100)))*(1+(Inputs!$B$24+((C788=TRUE)*(F788-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+1)+((C781=TRUE)*(F781-Calc!F23))+(((IF(AND(ArtifactsInput!$M$42,((Inputs!$B$9+((C783=TRUE)*(F783-Calc!F25))+B798+(ArtifactsInput!$M$24-ArtifactsInput!$M$24)*CHOOSE(ArtifactsInput!$N$24+1,10,12,14,16,18,20)+IF(ArtifactsInput!$M$10,CHOOSE(ArtifactsInput!$N$10+1,15,18,21,24,27,30)*(IF(Inputs!$B$39="pvp",MIN(15,15)/15,IF(AND(Inputs!$B$39&lt;&gt;"pvp",Inputs!$B$44&gt;0),MIN(15,Inputs!$B$44)/(Inputs!$B$44),0))),0)))&gt;=100),MIN(100,((Inputs!$B$9+((C783=TRUE)*(F783-Calc!F25))+B798+(ArtifactsInput!$M$24-ArtifactsInput!$M$24)*CHOOSE(ArtifactsInput!$N$24+1,10,12,14,16,18,20)+IF(ArtifactsInput!$M$10,CHOOSE(ArtifactsInput!$N$10+1,15,18,21,24,27,30)*(IF(Inputs!$B$39="pvp",MIN(15,15)/15,IF(AND(Inputs!$B$39&lt;&gt;"pvp",Inputs!$B$44&gt;0),MIN(15,Inputs!$B$44)/(Inputs!$B$44),0))),0)))-100),0))*CHOOSE(ArtifactsInput!$N$42+1,0.6,0.72,0.84,0.96,1.08,1.2))),Inputs!$B$18+((C787=TRUE)*(F787-Calc!F29))+(IF(AND(ArtifactsInput!$M$42,((Inputs!$B$9+((C783=TRUE)*(F783-Calc!F25))+B798+(ArtifactsInput!$M$24-ArtifactsInput!$M$24)*CHOOSE(ArtifactsInput!$N$24+1,10,12,14,16,18,20)+IF(ArtifactsInput!$M$10,CHOOSE(ArtifactsInput!$N$10+1,15,18,21,24,27,30)*(IF(Inputs!$B$39="pvp",MIN(15,15)/15,IF(AND(Inputs!$B$39&lt;&gt;"pvp",Inputs!$B$44&gt;0),MIN(15,Inputs!$B$44)/(Inputs!$B$44),0))),0)))&gt;=100),CHOOSE(ArtifactsInput!$N$42+1,40,48,56,64,72,80),0))))/100)*(((1+(((C779=TRUE)*F779*IF(AND(Inputs!$B$39&lt;&gt;"pvp",Inputs!$B$44&gt;0),(((R779-1)*(Skills!Y21*(1+Inputs!$B$34/100))+MIN((Skills!Y21*(1+Inputs!$B$34/100)),MAX(0,Inputs!$B$44-((R779-1)*Skills!D21))))/Inputs!$B$44),IF(Inputs!$B$39="pvp",MIN((Skills!Y21*(1+Inputs!$B$34/100)),15)/15,(Skills!Y21*(1+Inputs!$B$34/100))/Skills!D21)))+((C786=TRUE)*(F786-Calc!F28))+((C776=TRUE)*(F776-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773=TRUE)*F773*IF(AND(Inputs!$B$39&lt;&gt;"pvp",Inputs!$B$44&gt;0),(((R773-1)*(Skills!Y15*(1+Inputs!$B$34/100))+MIN((Skills!Y15*(1+Inputs!$B$34/100)),MAX(0,Inputs!$B$44-((R773-1)*Skills!D15))))/Inputs!$B$44),IF(Inputs!$B$39="pvp",MIN((Skills!Y15*(1+Inputs!$B$34/100)),15)/15,(Skills!Y15*(1+Inputs!$B$34/100))/Skills!D15)))/100)*(1+((C764=TRUE)*F764*B792)/100))*B800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761)</f>
        <v/>
      </c>
      <c r="L761">
        <f>K761*(MIN(Inputs!$B$22+((C782=TRUE)*(F782-Calc!F24)),(Inputs!$B$23+0+(IF(ArtifactsInput!$M$15,CHOOSE(ArtifactsInput!$N$15+1,25,30,35,40,45,50)/100*(Inputs!$B$11-Inputs!$B$11),0))))/100+(Inputs!$B$23+0+(IF(ArtifactsInput!$M$15,CHOOSE(ArtifactsInput!$N$15+1,25,30,35,40,45,50)/100*(Inputs!$B$11-Inputs!$B$11),0)))/100)/2</f>
        <v/>
      </c>
      <c r="M761">
        <f>L761*(1+(Inputs!$B$10+((C784=TRUE)*(F784-Calc!F26))+B801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61">
        <f>L761*(1-MIN((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761*(MIN((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61">
        <f>(1-Summary!$B$11)*T761+Summary!$B$11*V761</f>
        <v/>
      </c>
      <c r="P761">
        <f>IF(B802=0,0,O761/B802)</f>
        <v/>
      </c>
      <c r="Q761">
        <f>IFERROR(1/IF(Inputs!$B$39="pvp",15,MAX(0.1,Skills!D3-IF(Skills!E3=TRUE,Inputs!$B$32,0))),0)</f>
        <v/>
      </c>
      <c r="R761">
        <f>IF(AND(Inputs!$B$39&lt;&gt;"pvp",Inputs!$B$44&gt;0),IF(MAX(0,Inputs!$B$44-B803)&lt;=0,0,(INT(MAX(0,Inputs!$B$44-B803)/IF(Inputs!$B$39="pvp",15,MAX(0.1,Skills!D3-IF(Skills!E3=TRUE,Inputs!$B$32,0))))+1)),0)</f>
        <v/>
      </c>
      <c r="S761">
        <f>IFERROR(O761/N761,0)</f>
        <v/>
      </c>
      <c r="T761">
        <f>IF(C761,(H761*N761*IF(AND(Inputs!$B$39&lt;&gt;"pvp",Inputs!$B$44&gt;0),((Skills!G3*((R761-1)*IF(Skills!H3&gt;0,Skills!I3/Skills!H3,1)+IF(Skills!H3&gt;0,MIN(Skills!I3,MAX(0,MAX(0,Inputs!$B$44-B803)-((R761-1)*IF(Inputs!$B$39="pvp",15,MAX(0.1,Skills!D3-IF(Skills!E3=TRUE,Inputs!$B$32,0))))))/Skills!H3,1)))/Inputs!$B$44),G761*Q761))*IF(Inputs!$B$39="pvp",1,1+(Inputs!$B$20+((C785=TRUE)*(F785-Calc!F27))+Skills!P3+B799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761*(1-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761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761*(1-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761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61">
        <f>INDEX(FactorTable!$B$2:$Y$301, MATCH(ROUND(MIN(300,MAX(1,U760)),0), FactorTable!$A$2:$A$301,0), 24)</f>
        <v/>
      </c>
      <c r="V761">
        <f>IF(C761,(H761*N761*IF(AND(Inputs!$B$39&lt;&gt;"pvp",Inputs!$B$44&gt;0),((Skills!G3*((R761-1)*IF(Skills!H3&gt;0,Skills!I3/Skills!H3,1)+IF(Skills!H3&gt;0,MIN(Skills!I3,MAX(0,MAX(0,Inputs!$B$44-B803)-((R761-1)*IF(Inputs!$B$39="pvp",15,MAX(0.1,Skills!D3-IF(Skills!E3=TRUE,Inputs!$B$32,0))))))/Skills!H3,1)))/Inputs!$B$44),G761*Q761))*IF(Inputs!$B$39="pvp",1,(1+(Inputs!$B$21+Skills!Q3+B799+(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62">
      <c r="A762">
        <f>Skills!A4</f>
        <v/>
      </c>
      <c r="B762">
        <f>Skills!B4</f>
        <v/>
      </c>
      <c r="C762">
        <f>Inputs!$B$3&gt;=40</f>
        <v/>
      </c>
      <c r="D762">
        <f>IF(Skills!C4=1,60+Inputs!$B$25+Inputs!$B$29,IF(Skills!C4=2,90+Inputs!$B$26+Inputs!$B$29,IF(Skills!C4=3,120+Inputs!$B$27+Inputs!$B$29,MAX(0,(Inputs!$B$3-100)*3)+Inputs!$B$28+Inputs!$B$29)))</f>
        <v/>
      </c>
      <c r="E762">
        <f>INDEX(FactorTable!$B$2:$Y$301, MATCH(ROUND(MIN(300,MAX(1,D762)),0), FactorTable!$A$2:$A$301,0), Skills!M4+1)</f>
        <v/>
      </c>
      <c r="F762">
        <f>IF(Skills!N4=TRUE,(Skills!L4/10)*(E762/1000),Skills!L4/10)+Skills!O4</f>
        <v/>
      </c>
      <c r="G762">
        <f>Calc!G4</f>
        <v/>
      </c>
      <c r="H762">
        <f>Calc!H4</f>
        <v/>
      </c>
      <c r="I762">
        <f>IF(Skills!AA4&lt;&gt;"",1+(Skills!AA4/10)*(U761/1000)/100,1)</f>
        <v/>
      </c>
      <c r="J762">
        <f>((Inputs!$B$6*(1+Inputs!$B$7/100))+(((Inputs!$B$12*(1+Inputs!$B$13/100))-(Inputs!$B$12*(1+Inputs!$B$13/100)))+0.25*(Inputs!$B$14-Inputs!$B$14))*(1+Inputs!$B$7/100))*(F762/100)</f>
        <v/>
      </c>
      <c r="K762">
        <f>J762*(1+((Inputs!$B$12*(1+Inputs!$B$13/100))*0.01+Inputs!$B$14*0.0025)/100)*(1+Inputs!$B$15/100)*(1+Inputs!$B$16/100)*(5000/(6000+Inputs!$B$43*(1-(100*(1-(1-(Inputs!$B$19+0)/100)*(1-CHOOSE(ArtifactsInput!$N$40+1,5,6,7,8,9,10)/100)^(ArtifactsInput!$M$40-ArtifactsInput!$M$40)))/100)))*(1+(Inputs!$B$24+((C788=TRUE)*(F788-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+1)+((C781=TRUE)*(F781-Calc!F23))+(((IF(AND(ArtifactsInput!$M$42,((Inputs!$B$9+((C783=TRUE)*(F783-Calc!F25))+B798+(ArtifactsInput!$M$24-ArtifactsInput!$M$24)*CHOOSE(ArtifactsInput!$N$24+1,10,12,14,16,18,20)+IF(ArtifactsInput!$M$10,CHOOSE(ArtifactsInput!$N$10+1,15,18,21,24,27,30)*(IF(Inputs!$B$39="pvp",MIN(15,15)/15,IF(AND(Inputs!$B$39&lt;&gt;"pvp",Inputs!$B$44&gt;0),MIN(15,Inputs!$B$44)/(Inputs!$B$44),0))),0)))&gt;=100),MIN(100,((Inputs!$B$9+((C783=TRUE)*(F783-Calc!F25))+B798+(ArtifactsInput!$M$24-ArtifactsInput!$M$24)*CHOOSE(ArtifactsInput!$N$24+1,10,12,14,16,18,20)+IF(ArtifactsInput!$M$10,CHOOSE(ArtifactsInput!$N$10+1,15,18,21,24,27,30)*(IF(Inputs!$B$39="pvp",MIN(15,15)/15,IF(AND(Inputs!$B$39&lt;&gt;"pvp",Inputs!$B$44&gt;0),MIN(15,Inputs!$B$44)/(Inputs!$B$44),0))),0)))-100),0))*CHOOSE(ArtifactsInput!$N$42+1,0.6,0.72,0.84,0.96,1.08,1.2))),Inputs!$B$18+((C787=TRUE)*(F787-Calc!F29))+(IF(AND(ArtifactsInput!$M$42,((Inputs!$B$9+((C783=TRUE)*(F783-Calc!F25))+B798+(ArtifactsInput!$M$24-ArtifactsInput!$M$24)*CHOOSE(ArtifactsInput!$N$24+1,10,12,14,16,18,20)+IF(ArtifactsInput!$M$10,CHOOSE(ArtifactsInput!$N$10+1,15,18,21,24,27,30)*(IF(Inputs!$B$39="pvp",MIN(15,15)/15,IF(AND(Inputs!$B$39&lt;&gt;"pvp",Inputs!$B$44&gt;0),MIN(15,Inputs!$B$44)/(Inputs!$B$44),0))),0)))&gt;=100),CHOOSE(ArtifactsInput!$N$42+1,40,48,56,64,72,80),0))))/100)*(((1+(((C779=TRUE)*F779*IF(AND(Inputs!$B$39&lt;&gt;"pvp",Inputs!$B$44&gt;0),(((R779-1)*(Skills!Y21*(1+Inputs!$B$34/100))+MIN((Skills!Y21*(1+Inputs!$B$34/100)),MAX(0,Inputs!$B$44-((R779-1)*Skills!D21))))/Inputs!$B$44),IF(Inputs!$B$39="pvp",MIN((Skills!Y21*(1+Inputs!$B$34/100)),15)/15,(Skills!Y21*(1+Inputs!$B$34/100))/Skills!D21)))+((C786=TRUE)*(F786-Calc!F28))+((C776=TRUE)*(F776-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773=TRUE)*F773*IF(AND(Inputs!$B$39&lt;&gt;"pvp",Inputs!$B$44&gt;0),(((R773-1)*(Skills!Y15*(1+Inputs!$B$34/100))+MIN((Skills!Y15*(1+Inputs!$B$34/100)),MAX(0,Inputs!$B$44-((R773-1)*Skills!D15))))/Inputs!$B$44),IF(Inputs!$B$39="pvp",MIN((Skills!Y15*(1+Inputs!$B$34/100)),15)/15,(Skills!Y15*(1+Inputs!$B$34/100))/Skills!D15)))/100)*(1+((C764=TRUE)*F764*B792)/100))*B800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762)</f>
        <v/>
      </c>
      <c r="L762">
        <f>K762*(MIN(Inputs!$B$22+((C782=TRUE)*(F782-Calc!F24)),(Inputs!$B$23+0+(IF(ArtifactsInput!$M$15,CHOOSE(ArtifactsInput!$N$15+1,25,30,35,40,45,50)/100*(Inputs!$B$11-Inputs!$B$11),0))))/100+(Inputs!$B$23+0+(IF(ArtifactsInput!$M$15,CHOOSE(ArtifactsInput!$N$15+1,25,30,35,40,45,50)/100*(Inputs!$B$11-Inputs!$B$11),0)))/100)/2</f>
        <v/>
      </c>
      <c r="M762">
        <f>L762*(1+(Inputs!$B$10+((C784=TRUE)*(F784-Calc!F26))+B801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62">
        <f>L762*(1-MIN((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762*(MIN((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62">
        <f>(1-Summary!$B$11)*T762+Summary!$B$11*V762</f>
        <v/>
      </c>
      <c r="P762">
        <f>IF(B802=0,0,O762/B802)</f>
        <v/>
      </c>
      <c r="Q762">
        <f>IFERROR(1/IF(Inputs!$B$39="pvp",15,MAX(0.1,Skills!D4-IF(Skills!E4=TRUE,Inputs!$B$32,0))),0)</f>
        <v/>
      </c>
      <c r="R762">
        <f>IF(AND(Inputs!$B$39&lt;&gt;"pvp",Inputs!$B$44&gt;0),IF(MAX(0,Inputs!$B$44-B803)&lt;=0,0,(INT(MAX(0,Inputs!$B$44-B803)/IF(Inputs!$B$39="pvp",15,MAX(0.1,Skills!D4-IF(Skills!E4=TRUE,Inputs!$B$32,0))))+1)),0)</f>
        <v/>
      </c>
      <c r="S762">
        <f>IFERROR(O762/N762,0)</f>
        <v/>
      </c>
      <c r="T762">
        <f>IF(C762,(H762*N762*IF(AND(Inputs!$B$39&lt;&gt;"pvp",Inputs!$B$44&gt;0),((Skills!G4*((R762-1)*IF(Skills!H4&gt;0,Skills!I4/Skills!H4,1)+IF(Skills!H4&gt;0,MIN(Skills!I4,MAX(0,MAX(0,Inputs!$B$44-B803)-((R762-1)*IF(Inputs!$B$39="pvp",15,MAX(0.1,Skills!D4-IF(Skills!E4=TRUE,Inputs!$B$32,0))))))/Skills!H4,1)))/Inputs!$B$44),G762*Q762))*IF(Inputs!$B$39="pvp",1,1+(Inputs!$B$20+((C785=TRUE)*(F785-Calc!F27))+Skills!P4+B799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762*(1-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762*(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762*(1-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762*(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62">
        <f>MAX(0,(Inputs!$B$3-100)*3)+Inputs!$B$28+Inputs!$B$29</f>
        <v/>
      </c>
      <c r="V762">
        <f>IF(C762,(H762*N762*IF(AND(Inputs!$B$39&lt;&gt;"pvp",Inputs!$B$44&gt;0),((Skills!G4*((R762-1)*IF(Skills!H4&gt;0,Skills!I4/Skills!H4,1)+IF(Skills!H4&gt;0,MIN(Skills!I4,MAX(0,MAX(0,Inputs!$B$44-B803)-((R762-1)*IF(Inputs!$B$39="pvp",15,MAX(0.1,Skills!D4-IF(Skills!E4=TRUE,Inputs!$B$32,0))))))/Skills!H4,1)))/Inputs!$B$44),G762*Q762))*IF(Inputs!$B$39="pvp",1,(1+(Inputs!$B$21+Skills!Q4+B799+(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63">
      <c r="A763">
        <f>Skills!A5</f>
        <v/>
      </c>
      <c r="B763">
        <f>Skills!B5</f>
        <v/>
      </c>
      <c r="C763">
        <f>Inputs!$B$3&gt;=63</f>
        <v/>
      </c>
      <c r="D763">
        <f>IF(Skills!C5=1,60+Inputs!$B$25+Inputs!$B$29,IF(Skills!C5=2,90+Inputs!$B$26+Inputs!$B$29,IF(Skills!C5=3,120+Inputs!$B$27+Inputs!$B$29,MAX(0,(Inputs!$B$3-100)*3)+Inputs!$B$28+Inputs!$B$29)))</f>
        <v/>
      </c>
      <c r="E763">
        <f>INDEX(FactorTable!$B$2:$Y$301, MATCH(ROUND(MIN(300,MAX(1,D763)),0), FactorTable!$A$2:$A$301,0), Skills!M5+1)</f>
        <v/>
      </c>
      <c r="F763">
        <f>IF(Skills!N5=TRUE,(Skills!L5/10)*(E763/1000),Skills!L5/10)+Skills!O5</f>
        <v/>
      </c>
      <c r="G763">
        <f>Calc!G5</f>
        <v/>
      </c>
      <c r="H763">
        <f>Calc!H5</f>
        <v/>
      </c>
      <c r="I763">
        <f>IF(Skills!AA5&lt;&gt;"",1+(Skills!AA5/10)*(U761/1000)/100,1)</f>
        <v/>
      </c>
      <c r="J763">
        <f>((Inputs!$B$6*(1+Inputs!$B$7/100))+(((Inputs!$B$12*(1+Inputs!$B$13/100))-(Inputs!$B$12*(1+Inputs!$B$13/100)))+0.25*(Inputs!$B$14-Inputs!$B$14))*(1+Inputs!$B$7/100))*(F763/100)</f>
        <v/>
      </c>
      <c r="K763">
        <f>J763*(1+((Inputs!$B$12*(1+Inputs!$B$13/100))*0.01+Inputs!$B$14*0.0025)/100)*(1+Inputs!$B$15/100)*(1+Inputs!$B$16/100)*(5000/(6000+Inputs!$B$43*(1-(100*(1-(1-(Inputs!$B$19+0)/100)*(1-CHOOSE(ArtifactsInput!$N$40+1,5,6,7,8,9,10)/100)^(ArtifactsInput!$M$40-ArtifactsInput!$M$40)))/100)))*(1+(Inputs!$B$24+((C788=TRUE)*(F788-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+1)+((C781=TRUE)*(F781-Calc!F23))+(((IF(AND(ArtifactsInput!$M$42,((Inputs!$B$9+((C783=TRUE)*(F783-Calc!F25))+B798+(ArtifactsInput!$M$24-ArtifactsInput!$M$24)*CHOOSE(ArtifactsInput!$N$24+1,10,12,14,16,18,20)+IF(ArtifactsInput!$M$10,CHOOSE(ArtifactsInput!$N$10+1,15,18,21,24,27,30)*(IF(Inputs!$B$39="pvp",MIN(15,15)/15,IF(AND(Inputs!$B$39&lt;&gt;"pvp",Inputs!$B$44&gt;0),MIN(15,Inputs!$B$44)/(Inputs!$B$44),0))),0)))&gt;=100),MIN(100,((Inputs!$B$9+((C783=TRUE)*(F783-Calc!F25))+B798+(ArtifactsInput!$M$24-ArtifactsInput!$M$24)*CHOOSE(ArtifactsInput!$N$24+1,10,12,14,16,18,20)+IF(ArtifactsInput!$M$10,CHOOSE(ArtifactsInput!$N$10+1,15,18,21,24,27,30)*(IF(Inputs!$B$39="pvp",MIN(15,15)/15,IF(AND(Inputs!$B$39&lt;&gt;"pvp",Inputs!$B$44&gt;0),MIN(15,Inputs!$B$44)/(Inputs!$B$44),0))),0)))-100),0))*CHOOSE(ArtifactsInput!$N$42+1,0.6,0.72,0.84,0.96,1.08,1.2))),Inputs!$B$18+((C787=TRUE)*(F787-Calc!F29))+(IF(AND(ArtifactsInput!$M$42,((Inputs!$B$9+((C783=TRUE)*(F783-Calc!F25))+B798+(ArtifactsInput!$M$24-ArtifactsInput!$M$24)*CHOOSE(ArtifactsInput!$N$24+1,10,12,14,16,18,20)+IF(ArtifactsInput!$M$10,CHOOSE(ArtifactsInput!$N$10+1,15,18,21,24,27,30)*(IF(Inputs!$B$39="pvp",MIN(15,15)/15,IF(AND(Inputs!$B$39&lt;&gt;"pvp",Inputs!$B$44&gt;0),MIN(15,Inputs!$B$44)/(Inputs!$B$44),0))),0)))&gt;=100),CHOOSE(ArtifactsInput!$N$42+1,40,48,56,64,72,80),0))))/100)*(((1+(((C779=TRUE)*F779*IF(AND(Inputs!$B$39&lt;&gt;"pvp",Inputs!$B$44&gt;0),(((R779-1)*(Skills!Y21*(1+Inputs!$B$34/100))+MIN((Skills!Y21*(1+Inputs!$B$34/100)),MAX(0,Inputs!$B$44-((R779-1)*Skills!D21))))/Inputs!$B$44),IF(Inputs!$B$39="pvp",MIN((Skills!Y21*(1+Inputs!$B$34/100)),15)/15,(Skills!Y21*(1+Inputs!$B$34/100))/Skills!D21)))+((C786=TRUE)*(F786-Calc!F28))+((C776=TRUE)*(F776-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773=TRUE)*F773*IF(AND(Inputs!$B$39&lt;&gt;"pvp",Inputs!$B$44&gt;0),(((R773-1)*(Skills!Y15*(1+Inputs!$B$34/100))+MIN((Skills!Y15*(1+Inputs!$B$34/100)),MAX(0,Inputs!$B$44-((R773-1)*Skills!D15))))/Inputs!$B$44),IF(Inputs!$B$39="pvp",MIN((Skills!Y15*(1+Inputs!$B$34/100)),15)/15,(Skills!Y15*(1+Inputs!$B$34/100))/Skills!D15)))/100)*(1+((C764=TRUE)*F764*B792)/100))*B800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763)</f>
        <v/>
      </c>
      <c r="L763">
        <f>K763*(MIN(Inputs!$B$22+((C782=TRUE)*(F782-Calc!F24)),(Inputs!$B$23+0+(IF(ArtifactsInput!$M$15,CHOOSE(ArtifactsInput!$N$15+1,25,30,35,40,45,50)/100*(Inputs!$B$11-Inputs!$B$11),0))))/100+(Inputs!$B$23+0+(IF(ArtifactsInput!$M$15,CHOOSE(ArtifactsInput!$N$15+1,25,30,35,40,45,50)/100*(Inputs!$B$11-Inputs!$B$11),0)))/100)/2</f>
        <v/>
      </c>
      <c r="M763">
        <f>L763*(1+(Inputs!$B$10+((C784=TRUE)*(F784-Calc!F26))+B801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63">
        <f>L763*(1-MIN((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763*(MIN((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63">
        <f>(1-Summary!$B$11)*T763+Summary!$B$11*V763</f>
        <v/>
      </c>
      <c r="P763">
        <f>IF(B802=0,0,O763/B802)</f>
        <v/>
      </c>
      <c r="Q763">
        <f>IFERROR(1/IF(Inputs!$B$39="pvp",15,MAX(0.1,Skills!D5-IF(Skills!E5=TRUE,Inputs!$B$32,0))),0)</f>
        <v/>
      </c>
      <c r="R763">
        <f>IF(AND(Inputs!$B$39&lt;&gt;"pvp",Inputs!$B$44&gt;0),IF(MAX(0,Inputs!$B$44-B803)&lt;=0,0,(INT(MAX(0,Inputs!$B$44-B803)/IF(Inputs!$B$39="pvp",15,MAX(0.1,Skills!D5-IF(Skills!E5=TRUE,Inputs!$B$32,0))))+1)),0)</f>
        <v/>
      </c>
      <c r="S763">
        <f>IFERROR(O763/N763,0)</f>
        <v/>
      </c>
      <c r="T763">
        <f>IF(C763,(H763*N763*IF(AND(Inputs!$B$39&lt;&gt;"pvp",Inputs!$B$44&gt;0),((Skills!G5*((R763-1)*IF(Skills!H5&gt;0,Skills!I5/Skills!H5,1)+IF(Skills!H5&gt;0,MIN(Skills!I5,MAX(0,MAX(0,Inputs!$B$44-B803)-((R763-1)*IF(Inputs!$B$39="pvp",15,MAX(0.1,Skills!D5-IF(Skills!E5=TRUE,Inputs!$B$32,0))))))/Skills!H5,1)))/Inputs!$B$44),G763*Q763))*IF(Inputs!$B$39="pvp",1,1+(Inputs!$B$20+((C785=TRUE)*(F785-Calc!F27))+Skills!P5+B799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763*(1-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763*(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763*(1-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763*(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63">
        <f>INDEX(FactorTable!$B$2:$Y$301, MATCH(ROUND(MIN(300,MAX(1,U762)),0), FactorTable!$A$2:$A$301,0), 22)</f>
        <v/>
      </c>
      <c r="V763">
        <f>IF(C763,(H763*N763*IF(AND(Inputs!$B$39&lt;&gt;"pvp",Inputs!$B$44&gt;0),((Skills!G5*((R763-1)*IF(Skills!H5&gt;0,Skills!I5/Skills!H5,1)+IF(Skills!H5&gt;0,MIN(Skills!I5,MAX(0,MAX(0,Inputs!$B$44-B803)-((R763-1)*IF(Inputs!$B$39="pvp",15,MAX(0.1,Skills!D5-IF(Skills!E5=TRUE,Inputs!$B$32,0))))))/Skills!H5,1)))/Inputs!$B$44),G763*Q763))*IF(Inputs!$B$39="pvp",1,(1+(Inputs!$B$21+Skills!Q5+B799+(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64">
      <c r="A764">
        <f>Skills!A6</f>
        <v/>
      </c>
      <c r="B764">
        <f>Skills!B6</f>
        <v/>
      </c>
      <c r="C764">
        <f>Inputs!$B$3&gt;=66</f>
        <v/>
      </c>
      <c r="D764">
        <f>IF(Skills!C6=1,60+Inputs!$B$25+Inputs!$B$29,IF(Skills!C6=2,90+Inputs!$B$26+Inputs!$B$29,IF(Skills!C6=3,120+Inputs!$B$27+Inputs!$B$29,MAX(0,(Inputs!$B$3-100)*3)+Inputs!$B$28+Inputs!$B$29)))</f>
        <v/>
      </c>
      <c r="E764">
        <f>INDEX(FactorTable!$B$2:$Y$301, MATCH(ROUND(MIN(300,MAX(1,D764)),0), FactorTable!$A$2:$A$301,0), Skills!M6+1)</f>
        <v/>
      </c>
      <c r="F764">
        <f>IF(Skills!N6=TRUE,(Skills!L6/10)*(E764/1000),Skills!L6/10)+Skills!O6</f>
        <v/>
      </c>
      <c r="G764">
        <f>Calc!G6</f>
        <v/>
      </c>
      <c r="H764">
        <f>Calc!H6</f>
        <v/>
      </c>
      <c r="I764">
        <f>IF(Skills!AA6&lt;&gt;"",1+(Skills!AA6/10)*(U761/1000)/100,1)</f>
        <v/>
      </c>
      <c r="J764" t="inlineStr"/>
      <c r="K764" t="inlineStr"/>
      <c r="L764" t="inlineStr"/>
      <c r="M764" t="inlineStr"/>
      <c r="N764" t="inlineStr"/>
      <c r="O764">
        <f>(1-Summary!$B$11)*T764+Summary!$B$11*V764</f>
        <v/>
      </c>
      <c r="P764">
        <f>IF(B802=0,0,O764/B802)</f>
        <v/>
      </c>
      <c r="Q764" t="n">
        <v>0</v>
      </c>
      <c r="R764" t="n">
        <v>0</v>
      </c>
      <c r="S764">
        <f>IFERROR(O764/N764,0)</f>
        <v/>
      </c>
      <c r="T764" t="n">
        <v>0</v>
      </c>
      <c r="U764">
        <f>290*U763/1000</f>
        <v/>
      </c>
      <c r="V764" t="n">
        <v>0</v>
      </c>
    </row>
    <row r="765">
      <c r="A765">
        <f>Skills!A7</f>
        <v/>
      </c>
      <c r="B765">
        <f>Skills!B7</f>
        <v/>
      </c>
      <c r="C765">
        <f>Inputs!$B$3&gt;=66</f>
        <v/>
      </c>
      <c r="D765">
        <f>IF(Skills!C7=1,60+Inputs!$B$25+Inputs!$B$29,IF(Skills!C7=2,90+Inputs!$B$26+Inputs!$B$29,IF(Skills!C7=3,120+Inputs!$B$27+Inputs!$B$29,MAX(0,(Inputs!$B$3-100)*3)+Inputs!$B$28+Inputs!$B$29)))</f>
        <v/>
      </c>
      <c r="E765">
        <f>INDEX(FactorTable!$B$2:$Y$301, MATCH(ROUND(MIN(300,MAX(1,D765)),0), FactorTable!$A$2:$A$301,0), Skills!M7+1)</f>
        <v/>
      </c>
      <c r="F765">
        <f>IF(Skills!N7=TRUE,(Skills!L7/10)*(E765/1000),Skills!L7/10)+Skills!O7</f>
        <v/>
      </c>
      <c r="G765">
        <f>Calc!G7</f>
        <v/>
      </c>
      <c r="H765">
        <f>Calc!H7</f>
        <v/>
      </c>
      <c r="I765">
        <f>IF(Skills!AA7&lt;&gt;"",1+(Skills!AA7/10)*(U761/1000)/100,1)</f>
        <v/>
      </c>
      <c r="J765" t="inlineStr"/>
      <c r="K765" t="inlineStr"/>
      <c r="L765" t="inlineStr"/>
      <c r="M765" t="inlineStr"/>
      <c r="N765" t="inlineStr"/>
      <c r="O765">
        <f>(1-Summary!$B$11)*T765+Summary!$B$11*V765</f>
        <v/>
      </c>
      <c r="P765">
        <f>IF(B802=0,0,O765/B802)</f>
        <v/>
      </c>
      <c r="Q765" t="n">
        <v>0</v>
      </c>
      <c r="R765" t="n">
        <v>0</v>
      </c>
      <c r="S765">
        <f>IFERROR(O765/N765,0)</f>
        <v/>
      </c>
      <c r="T765" t="n">
        <v>0</v>
      </c>
      <c r="V765" t="n">
        <v>0</v>
      </c>
    </row>
    <row r="766">
      <c r="A766">
        <f>Skills!A8</f>
        <v/>
      </c>
      <c r="B766">
        <f>Skills!B8</f>
        <v/>
      </c>
      <c r="C766">
        <f>Inputs!$B$3&gt;=69</f>
        <v/>
      </c>
      <c r="D766">
        <f>IF(Skills!C8=1,60+Inputs!$B$25+Inputs!$B$29,IF(Skills!C8=2,90+Inputs!$B$26+Inputs!$B$29,IF(Skills!C8=3,120+Inputs!$B$27+Inputs!$B$29,MAX(0,(Inputs!$B$3-100)*3)+Inputs!$B$28+Inputs!$B$29)))</f>
        <v/>
      </c>
      <c r="E766">
        <f>INDEX(FactorTable!$B$2:$Y$301, MATCH(ROUND(MIN(300,MAX(1,D766)),0), FactorTable!$A$2:$A$301,0), Skills!M8+1)</f>
        <v/>
      </c>
      <c r="F766">
        <f>IF(Skills!N8=TRUE,(Skills!L8/10)*(E766/1000),Skills!L8/10)+Skills!O8</f>
        <v/>
      </c>
      <c r="G766">
        <f>Calc!G8</f>
        <v/>
      </c>
      <c r="H766">
        <f>Calc!H8</f>
        <v/>
      </c>
      <c r="I766">
        <f>IF(Skills!AA8&lt;&gt;"",1+(Skills!AA8/10)*(U761/1000)/100,1)</f>
        <v/>
      </c>
      <c r="J766">
        <f>((Inputs!$B$6*(1+Inputs!$B$7/100))+(((Inputs!$B$12*(1+Inputs!$B$13/100))-(Inputs!$B$12*(1+Inputs!$B$13/100)))+0.25*(Inputs!$B$14-Inputs!$B$14))*(1+Inputs!$B$7/100))*(F766/100)</f>
        <v/>
      </c>
      <c r="K766">
        <f>J766*(1+((Inputs!$B$12*(1+Inputs!$B$13/100))*0.01+Inputs!$B$14*0.0025)/100)*(1+Inputs!$B$15/100)*(1+Inputs!$B$16/100)*(5000/(6000+Inputs!$B$43*(1-(100*(1-(1-(Inputs!$B$19+0)/100)*(1-CHOOSE(ArtifactsInput!$N$40+1,5,6,7,8,9,10)/100)^(ArtifactsInput!$M$40-ArtifactsInput!$M$40)))/100)))*(1+(Inputs!$B$24+((C788=TRUE)*(F788-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+1)+((C781=TRUE)*(F781-Calc!F23))+(((IF(AND(ArtifactsInput!$M$42,((Inputs!$B$9+((C783=TRUE)*(F783-Calc!F25))+B798+(ArtifactsInput!$M$24-ArtifactsInput!$M$24)*CHOOSE(ArtifactsInput!$N$24+1,10,12,14,16,18,20)+IF(ArtifactsInput!$M$10,CHOOSE(ArtifactsInput!$N$10+1,15,18,21,24,27,30)*(IF(Inputs!$B$39="pvp",MIN(15,15)/15,IF(AND(Inputs!$B$39&lt;&gt;"pvp",Inputs!$B$44&gt;0),MIN(15,Inputs!$B$44)/(Inputs!$B$44),0))),0)))&gt;=100),MIN(100,((Inputs!$B$9+((C783=TRUE)*(F783-Calc!F25))+B798+(ArtifactsInput!$M$24-ArtifactsInput!$M$24)*CHOOSE(ArtifactsInput!$N$24+1,10,12,14,16,18,20)+IF(ArtifactsInput!$M$10,CHOOSE(ArtifactsInput!$N$10+1,15,18,21,24,27,30)*(IF(Inputs!$B$39="pvp",MIN(15,15)/15,IF(AND(Inputs!$B$39&lt;&gt;"pvp",Inputs!$B$44&gt;0),MIN(15,Inputs!$B$44)/(Inputs!$B$44),0))),0)))-100),0))*CHOOSE(ArtifactsInput!$N$42+1,0.6,0.72,0.84,0.96,1.08,1.2))),Inputs!$B$18+((C787=TRUE)*(F787-Calc!F29))+(IF(AND(ArtifactsInput!$M$42,((Inputs!$B$9+((C783=TRUE)*(F783-Calc!F25))+B798+(ArtifactsInput!$M$24-ArtifactsInput!$M$24)*CHOOSE(ArtifactsInput!$N$24+1,10,12,14,16,18,20)+IF(ArtifactsInput!$M$10,CHOOSE(ArtifactsInput!$N$10+1,15,18,21,24,27,30)*(IF(Inputs!$B$39="pvp",MIN(15,15)/15,IF(AND(Inputs!$B$39&lt;&gt;"pvp",Inputs!$B$44&gt;0),MIN(15,Inputs!$B$44)/(Inputs!$B$44),0))),0)))&gt;=100),CHOOSE(ArtifactsInput!$N$42+1,40,48,56,64,72,80),0))))/100)*(((1+(((C779=TRUE)*F779*IF(AND(Inputs!$B$39&lt;&gt;"pvp",Inputs!$B$44&gt;0),(((R779-1)*(Skills!Y21*(1+Inputs!$B$34/100))+MIN((Skills!Y21*(1+Inputs!$B$34/100)),MAX(0,Inputs!$B$44-((R779-1)*Skills!D21))))/Inputs!$B$44),IF(Inputs!$B$39="pvp",MIN((Skills!Y21*(1+Inputs!$B$34/100)),15)/15,(Skills!Y21*(1+Inputs!$B$34/100))/Skills!D21)))+((C786=TRUE)*(F786-Calc!F28))+((C776=TRUE)*(F776-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773=TRUE)*F773*IF(AND(Inputs!$B$39&lt;&gt;"pvp",Inputs!$B$44&gt;0),(((R773-1)*(Skills!Y15*(1+Inputs!$B$34/100))+MIN((Skills!Y15*(1+Inputs!$B$34/100)),MAX(0,Inputs!$B$44-((R773-1)*Skills!D15))))/Inputs!$B$44),IF(Inputs!$B$39="pvp",MIN((Skills!Y15*(1+Inputs!$B$34/100)),15)/15,(Skills!Y15*(1+Inputs!$B$34/100))/Skills!D15)))/100)*(1+((C764=TRUE)*F764*B792)/100))*B800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766)</f>
        <v/>
      </c>
      <c r="L766">
        <f>K766*(MIN(Inputs!$B$22+((C782=TRUE)*(F782-Calc!F24)),(Inputs!$B$23+0+(IF(ArtifactsInput!$M$15,CHOOSE(ArtifactsInput!$N$15+1,25,30,35,40,45,50)/100*(Inputs!$B$11-Inputs!$B$11),0))))/100+(Inputs!$B$23+0+(IF(ArtifactsInput!$M$15,CHOOSE(ArtifactsInput!$N$15+1,25,30,35,40,45,50)/100*(Inputs!$B$11-Inputs!$B$11),0)))/100)/2</f>
        <v/>
      </c>
      <c r="M766">
        <f>L766*(1+(Inputs!$B$10+((C784=TRUE)*(F784-Calc!F26))+B801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66">
        <f>L766*(1-MIN((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766*(MIN((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66">
        <f>(1-Summary!$B$11)*T766+Summary!$B$11*V766</f>
        <v/>
      </c>
      <c r="P766">
        <f>IF(B802=0,0,O766/B802)</f>
        <v/>
      </c>
      <c r="Q766">
        <f>IFERROR(1/IF(Inputs!$B$39="pvp",15,MAX(0.1,Skills!D8-IF(Skills!E8=TRUE,Inputs!$B$32,0))),0)</f>
        <v/>
      </c>
      <c r="R766">
        <f>IF(AND(Inputs!$B$39&lt;&gt;"pvp",Inputs!$B$44&gt;0),IF(MAX(0,Inputs!$B$44-B803)&lt;=0,0,(INT(MAX(0,Inputs!$B$44-B803)/IF(Inputs!$B$39="pvp",15,MAX(0.1,Skills!D8-IF(Skills!E8=TRUE,Inputs!$B$32,0))))+1)),0)</f>
        <v/>
      </c>
      <c r="S766">
        <f>IFERROR(O766/N766,0)</f>
        <v/>
      </c>
      <c r="T766">
        <f>IF(C766,(H766*N766*IF(AND(Inputs!$B$39&lt;&gt;"pvp",Inputs!$B$44&gt;0),((Skills!G8*((R766-1)*IF(Skills!H8&gt;0,Skills!I8/Skills!H8,1)+IF(Skills!H8&gt;0,MIN(Skills!I8,MAX(0,MAX(0,Inputs!$B$44-B803)-((R766-1)*IF(Inputs!$B$39="pvp",15,MAX(0.1,Skills!D8-IF(Skills!E8=TRUE,Inputs!$B$32,0))))))/Skills!H8,1)))/Inputs!$B$44),G766*Q766))*IF(Inputs!$B$39="pvp",1,1+(Inputs!$B$20+((C785=TRUE)*(F785-Calc!F27))+Skills!P8+B799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766*(1-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766*(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766*(1-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766*(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66">
        <f>IF(C766,(H766*N766*IF(AND(Inputs!$B$39&lt;&gt;"pvp",Inputs!$B$44&gt;0),((Skills!G8*((R766-1)*IF(Skills!H8&gt;0,Skills!I8/Skills!H8,1)+IF(Skills!H8&gt;0,MIN(Skills!I8,MAX(0,MAX(0,Inputs!$B$44-B803)-((R766-1)*IF(Inputs!$B$39="pvp",15,MAX(0.1,Skills!D8-IF(Skills!E8=TRUE,Inputs!$B$32,0))))))/Skills!H8,1)))/Inputs!$B$44),G766*Q766))*IF(Inputs!$B$39="pvp",1,(1+(Inputs!$B$21+Skills!Q8+B799+(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67">
      <c r="A767">
        <f>Skills!A9</f>
        <v/>
      </c>
      <c r="B767">
        <f>Skills!B9</f>
        <v/>
      </c>
      <c r="C767">
        <f>Inputs!$B$3&gt;=72</f>
        <v/>
      </c>
      <c r="D767">
        <f>IF(Skills!C9=1,60+Inputs!$B$25+Inputs!$B$29,IF(Skills!C9=2,90+Inputs!$B$26+Inputs!$B$29,IF(Skills!C9=3,120+Inputs!$B$27+Inputs!$B$29,MAX(0,(Inputs!$B$3-100)*3)+Inputs!$B$28+Inputs!$B$29)))</f>
        <v/>
      </c>
      <c r="E767">
        <f>INDEX(FactorTable!$B$2:$Y$301, MATCH(ROUND(MIN(300,MAX(1,D767)),0), FactorTable!$A$2:$A$301,0), Skills!M9+1)</f>
        <v/>
      </c>
      <c r="F767">
        <f>IF(Skills!N9=TRUE,(Skills!L9/10)*(E767/1000),Skills!L9/10)+Skills!O9</f>
        <v/>
      </c>
      <c r="G767">
        <f>Calc!G9</f>
        <v/>
      </c>
      <c r="H767">
        <f>Calc!H9</f>
        <v/>
      </c>
      <c r="I767">
        <f>IF(Skills!AA9&lt;&gt;"",1+(Skills!AA9/10)*(U761/1000)/100,1)</f>
        <v/>
      </c>
      <c r="J767">
        <f>((Inputs!$B$6*(1+Inputs!$B$7/100))+(((Inputs!$B$12*(1+Inputs!$B$13/100))-(Inputs!$B$12*(1+Inputs!$B$13/100)))+0.25*(Inputs!$B$14-Inputs!$B$14))*(1+Inputs!$B$7/100))*(F767/100)</f>
        <v/>
      </c>
      <c r="K767">
        <f>J767*(1+((Inputs!$B$12*(1+Inputs!$B$13/100))*0.01+Inputs!$B$14*0.0025)/100)*(1+Inputs!$B$15/100)*(1+Inputs!$B$16/100)*(5000/(6000+Inputs!$B$43*(1-(100*(1-(1-(Inputs!$B$19+0)/100)*(1-CHOOSE(ArtifactsInput!$N$40+1,5,6,7,8,9,10)/100)^(ArtifactsInput!$M$40-ArtifactsInput!$M$40)))/100)))*(1+(Inputs!$B$24+((C788=TRUE)*(F788-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+1)+((C781=TRUE)*(F781-Calc!F23))+(((IF(AND(ArtifactsInput!$M$42,((Inputs!$B$9+((C783=TRUE)*(F783-Calc!F25))+B798+(ArtifactsInput!$M$24-ArtifactsInput!$M$24)*CHOOSE(ArtifactsInput!$N$24+1,10,12,14,16,18,20)+IF(ArtifactsInput!$M$10,CHOOSE(ArtifactsInput!$N$10+1,15,18,21,24,27,30)*(IF(Inputs!$B$39="pvp",MIN(15,15)/15,IF(AND(Inputs!$B$39&lt;&gt;"pvp",Inputs!$B$44&gt;0),MIN(15,Inputs!$B$44)/(Inputs!$B$44),0))),0)))&gt;=100),MIN(100,((Inputs!$B$9+((C783=TRUE)*(F783-Calc!F25))+B798+(ArtifactsInput!$M$24-ArtifactsInput!$M$24)*CHOOSE(ArtifactsInput!$N$24+1,10,12,14,16,18,20)+IF(ArtifactsInput!$M$10,CHOOSE(ArtifactsInput!$N$10+1,15,18,21,24,27,30)*(IF(Inputs!$B$39="pvp",MIN(15,15)/15,IF(AND(Inputs!$B$39&lt;&gt;"pvp",Inputs!$B$44&gt;0),MIN(15,Inputs!$B$44)/(Inputs!$B$44),0))),0)))-100),0))*CHOOSE(ArtifactsInput!$N$42+1,0.6,0.72,0.84,0.96,1.08,1.2))),Inputs!$B$18+((C787=TRUE)*(F787-Calc!F29))+(IF(AND(ArtifactsInput!$M$42,((Inputs!$B$9+((C783=TRUE)*(F783-Calc!F25))+B798+(ArtifactsInput!$M$24-ArtifactsInput!$M$24)*CHOOSE(ArtifactsInput!$N$24+1,10,12,14,16,18,20)+IF(ArtifactsInput!$M$10,CHOOSE(ArtifactsInput!$N$10+1,15,18,21,24,27,30)*(IF(Inputs!$B$39="pvp",MIN(15,15)/15,IF(AND(Inputs!$B$39&lt;&gt;"pvp",Inputs!$B$44&gt;0),MIN(15,Inputs!$B$44)/(Inputs!$B$44),0))),0)))&gt;=100),CHOOSE(ArtifactsInput!$N$42+1,40,48,56,64,72,80),0))))/100)*(((1+(((C779=TRUE)*F779*IF(AND(Inputs!$B$39&lt;&gt;"pvp",Inputs!$B$44&gt;0),(((R779-1)*(Skills!Y21*(1+Inputs!$B$34/100))+MIN((Skills!Y21*(1+Inputs!$B$34/100)),MAX(0,Inputs!$B$44-((R779-1)*Skills!D21))))/Inputs!$B$44),IF(Inputs!$B$39="pvp",MIN((Skills!Y21*(1+Inputs!$B$34/100)),15)/15,(Skills!Y21*(1+Inputs!$B$34/100))/Skills!D21)))+((C786=TRUE)*(F786-Calc!F28))+((C776=TRUE)*(F776-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773=TRUE)*F773*IF(AND(Inputs!$B$39&lt;&gt;"pvp",Inputs!$B$44&gt;0),(((R773-1)*(Skills!Y15*(1+Inputs!$B$34/100))+MIN((Skills!Y15*(1+Inputs!$B$34/100)),MAX(0,Inputs!$B$44-((R773-1)*Skills!D15))))/Inputs!$B$44),IF(Inputs!$B$39="pvp",MIN((Skills!Y15*(1+Inputs!$B$34/100)),15)/15,(Skills!Y15*(1+Inputs!$B$34/100))/Skills!D15)))/100)*(1+((C764=TRUE)*F764*B792)/100))*B800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767)</f>
        <v/>
      </c>
      <c r="L767">
        <f>K767*(MIN(Inputs!$B$22+((C782=TRUE)*(F782-Calc!F24)),(Inputs!$B$23+0+(IF(ArtifactsInput!$M$15,CHOOSE(ArtifactsInput!$N$15+1,25,30,35,40,45,50)/100*(Inputs!$B$11-Inputs!$B$11),0))))/100+(Inputs!$B$23+0+(IF(ArtifactsInput!$M$15,CHOOSE(ArtifactsInput!$N$15+1,25,30,35,40,45,50)/100*(Inputs!$B$11-Inputs!$B$11),0)))/100)/2</f>
        <v/>
      </c>
      <c r="M767">
        <f>L767*(1+(Inputs!$B$10+((C784=TRUE)*(F784-Calc!F26))+B801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67">
        <f>L767*(1-MIN((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767*(MIN((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67">
        <f>(1-Summary!$B$11)*T767+Summary!$B$11*V767</f>
        <v/>
      </c>
      <c r="P767">
        <f>IF(B802=0,0,O767/B802)</f>
        <v/>
      </c>
      <c r="Q767">
        <f>IFERROR(1/IF(Inputs!$B$39="pvp",15,MAX(0.1,Skills!D9-IF(Skills!E9=TRUE,Inputs!$B$32,0))),0)</f>
        <v/>
      </c>
      <c r="R767">
        <f>IF(AND(Inputs!$B$39&lt;&gt;"pvp",Inputs!$B$44&gt;0),IF(MAX(0,Inputs!$B$44-B803)&lt;=0,0,(INT(MAX(0,Inputs!$B$44-B803)/IF(Inputs!$B$39="pvp",15,MAX(0.1,Skills!D9-IF(Skills!E9=TRUE,Inputs!$B$32,0))))+1)),0)</f>
        <v/>
      </c>
      <c r="S767">
        <f>IFERROR(O767/N767,0)</f>
        <v/>
      </c>
      <c r="T767">
        <f>IF(C767,(H767*N767*IF(AND(Inputs!$B$39&lt;&gt;"pvp",Inputs!$B$44&gt;0),((Skills!G9*((R767-1)*IF(Skills!H9&gt;0,Skills!I9/Skills!H9,1)+IF(Skills!H9&gt;0,MIN(Skills!I9,MAX(0,MAX(0,Inputs!$B$44-B803)-((R767-1)*IF(Inputs!$B$39="pvp",15,MAX(0.1,Skills!D9-IF(Skills!E9=TRUE,Inputs!$B$32,0))))))/Skills!H9,1)))/Inputs!$B$44),G767*Q767))*IF(Inputs!$B$39="pvp",1,1+(Inputs!$B$20+((C785=TRUE)*(F785-Calc!F27))+Skills!P9+B799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767*(1-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767*(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767*(1-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767*(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67">
        <f>IF(C767,(H767*N767*IF(AND(Inputs!$B$39&lt;&gt;"pvp",Inputs!$B$44&gt;0),((Skills!G9*((R767-1)*IF(Skills!H9&gt;0,Skills!I9/Skills!H9,1)+IF(Skills!H9&gt;0,MIN(Skills!I9,MAX(0,MAX(0,Inputs!$B$44-B803)-((R767-1)*IF(Inputs!$B$39="pvp",15,MAX(0.1,Skills!D9-IF(Skills!E9=TRUE,Inputs!$B$32,0))))))/Skills!H9,1)))/Inputs!$B$44),G767*Q767))*IF(Inputs!$B$39="pvp",1,(1+(Inputs!$B$21+Skills!Q9+B799+(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68">
      <c r="A768">
        <f>Skills!A10</f>
        <v/>
      </c>
      <c r="B768">
        <f>Skills!B10</f>
        <v/>
      </c>
      <c r="C768">
        <f>Inputs!$B$3&gt;=117</f>
        <v/>
      </c>
      <c r="D768">
        <f>IF(Skills!C10=1,60+Inputs!$B$25+Inputs!$B$29,IF(Skills!C10=2,90+Inputs!$B$26+Inputs!$B$29,IF(Skills!C10=3,120+Inputs!$B$27+Inputs!$B$29,MAX(0,(Inputs!$B$3-100)*3)+Inputs!$B$28+Inputs!$B$29)))</f>
        <v/>
      </c>
      <c r="E768">
        <f>INDEX(FactorTable!$B$2:$Y$301, MATCH(ROUND(MIN(300,MAX(1,D768)),0), FactorTable!$A$2:$A$301,0), Skills!M10+1)</f>
        <v/>
      </c>
      <c r="F768">
        <f>IF(Skills!N10=TRUE,(Skills!L10/10)*(E768/1000),Skills!L10/10)+Skills!O10</f>
        <v/>
      </c>
      <c r="G768">
        <f>Calc!G10</f>
        <v/>
      </c>
      <c r="H768">
        <f>Calc!H10</f>
        <v/>
      </c>
      <c r="I768">
        <f>IF(Skills!AA10&lt;&gt;"",1+(Skills!AA10/10)*(U761/1000)/100,1)</f>
        <v/>
      </c>
      <c r="J768">
        <f>((Inputs!$B$6*(1+Inputs!$B$7/100))+(((Inputs!$B$12*(1+Inputs!$B$13/100))-(Inputs!$B$12*(1+Inputs!$B$13/100)))+0.25*(Inputs!$B$14-Inputs!$B$14))*(1+Inputs!$B$7/100))*(F768/100)</f>
        <v/>
      </c>
      <c r="K768">
        <f>J768*(1+((Inputs!$B$12*(1+Inputs!$B$13/100))*0.01+Inputs!$B$14*0.0025)/100)*(1+Inputs!$B$15/100)*(1+Inputs!$B$16/100)*(5000/(6000+Inputs!$B$43*(1-(100*(1-(1-(Inputs!$B$19+0)/100)*(1-CHOOSE(ArtifactsInput!$N$40+1,5,6,7,8,9,10)/100)^(ArtifactsInput!$M$40-ArtifactsInput!$M$40)))/100)))*(1+(Inputs!$B$24+((C788=TRUE)*(F788-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+1)+((C781=TRUE)*(F781-Calc!F23))+(((IF(AND(ArtifactsInput!$M$42,((Inputs!$B$9+((C783=TRUE)*(F783-Calc!F25))+B798+(ArtifactsInput!$M$24-ArtifactsInput!$M$24)*CHOOSE(ArtifactsInput!$N$24+1,10,12,14,16,18,20)+IF(ArtifactsInput!$M$10,CHOOSE(ArtifactsInput!$N$10+1,15,18,21,24,27,30)*(IF(Inputs!$B$39="pvp",MIN(15,15)/15,IF(AND(Inputs!$B$39&lt;&gt;"pvp",Inputs!$B$44&gt;0),MIN(15,Inputs!$B$44)/(Inputs!$B$44),0))),0)))&gt;=100),MIN(100,((Inputs!$B$9+((C783=TRUE)*(F783-Calc!F25))+B798+(ArtifactsInput!$M$24-ArtifactsInput!$M$24)*CHOOSE(ArtifactsInput!$N$24+1,10,12,14,16,18,20)+IF(ArtifactsInput!$M$10,CHOOSE(ArtifactsInput!$N$10+1,15,18,21,24,27,30)*(IF(Inputs!$B$39="pvp",MIN(15,15)/15,IF(AND(Inputs!$B$39&lt;&gt;"pvp",Inputs!$B$44&gt;0),MIN(15,Inputs!$B$44)/(Inputs!$B$44),0))),0)))-100),0))*CHOOSE(ArtifactsInput!$N$42+1,0.6,0.72,0.84,0.96,1.08,1.2))),Inputs!$B$18+((C787=TRUE)*(F787-Calc!F29))+(IF(AND(ArtifactsInput!$M$42,((Inputs!$B$9+((C783=TRUE)*(F783-Calc!F25))+B798+(ArtifactsInput!$M$24-ArtifactsInput!$M$24)*CHOOSE(ArtifactsInput!$N$24+1,10,12,14,16,18,20)+IF(ArtifactsInput!$M$10,CHOOSE(ArtifactsInput!$N$10+1,15,18,21,24,27,30)*(IF(Inputs!$B$39="pvp",MIN(15,15)/15,IF(AND(Inputs!$B$39&lt;&gt;"pvp",Inputs!$B$44&gt;0),MIN(15,Inputs!$B$44)/(Inputs!$B$44),0))),0)))&gt;=100),CHOOSE(ArtifactsInput!$N$42+1,40,48,56,64,72,80),0))))/100)*(((1+(((C779=TRUE)*F779*IF(AND(Inputs!$B$39&lt;&gt;"pvp",Inputs!$B$44&gt;0),(((R779-1)*(Skills!Y21*(1+Inputs!$B$34/100))+MIN((Skills!Y21*(1+Inputs!$B$34/100)),MAX(0,Inputs!$B$44-((R779-1)*Skills!D21))))/Inputs!$B$44),IF(Inputs!$B$39="pvp",MIN((Skills!Y21*(1+Inputs!$B$34/100)),15)/15,(Skills!Y21*(1+Inputs!$B$34/100))/Skills!D21)))+((C786=TRUE)*(F786-Calc!F28))+((C776=TRUE)*(F776-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773=TRUE)*F773*IF(AND(Inputs!$B$39&lt;&gt;"pvp",Inputs!$B$44&gt;0),(((R773-1)*(Skills!Y15*(1+Inputs!$B$34/100))+MIN((Skills!Y15*(1+Inputs!$B$34/100)),MAX(0,Inputs!$B$44-((R773-1)*Skills!D15))))/Inputs!$B$44),IF(Inputs!$B$39="pvp",MIN((Skills!Y15*(1+Inputs!$B$34/100)),15)/15,(Skills!Y15*(1+Inputs!$B$34/100))/Skills!D15)))/100)*(1+((C764=TRUE)*F764*B792)/100))*B800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768)</f>
        <v/>
      </c>
      <c r="L768">
        <f>K768*(MIN(Inputs!$B$22+((C782=TRUE)*(F782-Calc!F24)),(Inputs!$B$23+0+(IF(ArtifactsInput!$M$15,CHOOSE(ArtifactsInput!$N$15+1,25,30,35,40,45,50)/100*(Inputs!$B$11-Inputs!$B$11),0))))/100+(Inputs!$B$23+0+(IF(ArtifactsInput!$M$15,CHOOSE(ArtifactsInput!$N$15+1,25,30,35,40,45,50)/100*(Inputs!$B$11-Inputs!$B$11),0)))/100)/2</f>
        <v/>
      </c>
      <c r="M768">
        <f>L768*(1+(Inputs!$B$10+((C784=TRUE)*(F784-Calc!F26))+B801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68">
        <f>L768*(1-MIN((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768*(MIN((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68">
        <f>(1-Summary!$B$11)*T768+Summary!$B$11*V768</f>
        <v/>
      </c>
      <c r="P768">
        <f>IF(B802=0,0,O768/B802)</f>
        <v/>
      </c>
      <c r="Q768" t="n">
        <v>0</v>
      </c>
      <c r="R768" t="n">
        <v>0</v>
      </c>
      <c r="S768" t="n">
        <v>0</v>
      </c>
      <c r="T768">
        <f>IF(C768,(0.2*SUMPRODUCT((Skills!Z2:Z31=TRUE)*(C760:C789=TRUE)*S760:S789)*N768)*IF(Inputs!$B$39="pvp",1,1+(Inputs!$B$20+((C785=TRUE)*(F785-Calc!F27))+Skills!P10+B799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768*(1-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768*(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768*(1-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768*(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68">
        <f>IF(C768,(0.2*SUMPRODUCT((Skills!Z2:Z31=TRUE)*(C760:C789=TRUE)*S760:S789)*N768)*IF(Inputs!$B$39="pvp",1,(1+(Inputs!$B$21+Skills!Q10+B799+(IF(ArtifactsInput!$M$33,CHOOSE(ArtifactsInput!$N$33+1,30,36,42,48,54,60),0))+(IF(AND(ArtifactsInput!$M$35,Inputs!$B$4&lt;&gt;"Chapter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69">
      <c r="A769">
        <f>Skills!A11</f>
        <v/>
      </c>
      <c r="B769">
        <f>Skills!B11</f>
        <v/>
      </c>
      <c r="C769">
        <f>Inputs!$B$3&gt;=60</f>
        <v/>
      </c>
      <c r="D769">
        <f>IF(Skills!C11=1,60+Inputs!$B$25+Inputs!$B$29,IF(Skills!C11=2,90+Inputs!$B$26+Inputs!$B$29,IF(Skills!C11=3,120+Inputs!$B$27+Inputs!$B$29,MAX(0,(Inputs!$B$3-100)*3)+Inputs!$B$28+Inputs!$B$29)))</f>
        <v/>
      </c>
      <c r="E769">
        <f>INDEX(FactorTable!$B$2:$Y$301, MATCH(ROUND(MIN(300,MAX(1,D769)),0), FactorTable!$A$2:$A$301,0), Skills!M11+1)</f>
        <v/>
      </c>
      <c r="F769">
        <f>IF(Skills!N11=TRUE,(Skills!L11/10)*(E769/1000),Skills!L11/10)+Skills!O11</f>
        <v/>
      </c>
      <c r="G769">
        <f>Calc!G11</f>
        <v/>
      </c>
      <c r="H769">
        <f>Calc!H11</f>
        <v/>
      </c>
      <c r="I769">
        <f>IF(Skills!AA11&lt;&gt;"",1+(Skills!AA11/10)*(U761/1000)/100,1)</f>
        <v/>
      </c>
      <c r="J769" t="inlineStr"/>
      <c r="K769" t="inlineStr"/>
      <c r="L769" t="inlineStr"/>
      <c r="M769" t="inlineStr"/>
      <c r="N769" t="inlineStr"/>
      <c r="O769">
        <f>(1-Summary!$B$11)*T769+Summary!$B$11*V769</f>
        <v/>
      </c>
      <c r="P769">
        <f>IF(B802=0,0,O769/B802)</f>
        <v/>
      </c>
      <c r="Q769" t="n">
        <v>0</v>
      </c>
      <c r="R769" t="n">
        <v>0</v>
      </c>
      <c r="S769">
        <f>IFERROR(O769/N769,0)</f>
        <v/>
      </c>
      <c r="T769" t="n">
        <v>0</v>
      </c>
      <c r="V769" t="n">
        <v>0</v>
      </c>
    </row>
    <row r="770">
      <c r="A770">
        <f>Skills!A12</f>
        <v/>
      </c>
      <c r="B770">
        <f>Skills!B12</f>
        <v/>
      </c>
      <c r="C770">
        <f>Inputs!$B$3&gt;=103</f>
        <v/>
      </c>
      <c r="D770">
        <f>IF(Skills!C12=1,60+Inputs!$B$25+Inputs!$B$29,IF(Skills!C12=2,90+Inputs!$B$26+Inputs!$B$29,IF(Skills!C12=3,120+Inputs!$B$27+Inputs!$B$29,MAX(0,(Inputs!$B$3-100)*3)+Inputs!$B$28+Inputs!$B$29)))</f>
        <v/>
      </c>
      <c r="E770">
        <f>INDEX(FactorTable!$B$2:$Y$301, MATCH(ROUND(MIN(300,MAX(1,D770)),0), FactorTable!$A$2:$A$301,0), Skills!M12+1)</f>
        <v/>
      </c>
      <c r="F770">
        <f>IF(Skills!N12=TRUE,(Skills!L12/10)*(E770/1000),Skills!L12/10)+Skills!O12</f>
        <v/>
      </c>
      <c r="G770">
        <f>Calc!G12</f>
        <v/>
      </c>
      <c r="H770">
        <f>Calc!H12</f>
        <v/>
      </c>
      <c r="I770">
        <f>IF(Skills!AA12&lt;&gt;"",1+(Skills!AA12/10)*(U761/1000)/100,1)</f>
        <v/>
      </c>
      <c r="J770">
        <f>((Inputs!$B$6*(1+Inputs!$B$7/100))+(((Inputs!$B$12*(1+Inputs!$B$13/100))-(Inputs!$B$12*(1+Inputs!$B$13/100)))+0.25*(Inputs!$B$14-Inputs!$B$14))*(1+Inputs!$B$7/100))*(F770/100)</f>
        <v/>
      </c>
      <c r="K770">
        <f>J770*(1+((Inputs!$B$12*(1+Inputs!$B$13/100))*0.01+Inputs!$B$14*0.0025)/100)*(1+Inputs!$B$15/100)*(1+Inputs!$B$16/100)*(5000/(6000+Inputs!$B$43*(1-(100*(1-(1-(Inputs!$B$19+0)/100)*(1-CHOOSE(ArtifactsInput!$N$40+1,5,6,7,8,9,10)/100)^(ArtifactsInput!$M$40-ArtifactsInput!$M$40)))/100)))*(1+(Inputs!$B$24+((C788=TRUE)*(F788-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+1)+((C781=TRUE)*(F781-Calc!F23))+(((IF(AND(ArtifactsInput!$M$42,((Inputs!$B$9+((C783=TRUE)*(F783-Calc!F25))+B798+(ArtifactsInput!$M$24-ArtifactsInput!$M$24)*CHOOSE(ArtifactsInput!$N$24+1,10,12,14,16,18,20)+IF(ArtifactsInput!$M$10,CHOOSE(ArtifactsInput!$N$10+1,15,18,21,24,27,30)*(IF(Inputs!$B$39="pvp",MIN(15,15)/15,IF(AND(Inputs!$B$39&lt;&gt;"pvp",Inputs!$B$44&gt;0),MIN(15,Inputs!$B$44)/(Inputs!$B$44),0))),0)))&gt;=100),MIN(100,((Inputs!$B$9+((C783=TRUE)*(F783-Calc!F25))+B798+(ArtifactsInput!$M$24-ArtifactsInput!$M$24)*CHOOSE(ArtifactsInput!$N$24+1,10,12,14,16,18,20)+IF(ArtifactsInput!$M$10,CHOOSE(ArtifactsInput!$N$10+1,15,18,21,24,27,30)*(IF(Inputs!$B$39="pvp",MIN(15,15)/15,IF(AND(Inputs!$B$39&lt;&gt;"pvp",Inputs!$B$44&gt;0),MIN(15,Inputs!$B$44)/(Inputs!$B$44),0))),0)))-100),0))*CHOOSE(ArtifactsInput!$N$42+1,0.6,0.72,0.84,0.96,1.08,1.2))),Inputs!$B$18+((C787=TRUE)*(F787-Calc!F29))+(IF(AND(ArtifactsInput!$M$42,((Inputs!$B$9+((C783=TRUE)*(F783-Calc!F25))+B798+(ArtifactsInput!$M$24-ArtifactsInput!$M$24)*CHOOSE(ArtifactsInput!$N$24+1,10,12,14,16,18,20)+IF(ArtifactsInput!$M$10,CHOOSE(ArtifactsInput!$N$10+1,15,18,21,24,27,30)*(IF(Inputs!$B$39="pvp",MIN(15,15)/15,IF(AND(Inputs!$B$39&lt;&gt;"pvp",Inputs!$B$44&gt;0),MIN(15,Inputs!$B$44)/(Inputs!$B$44),0))),0)))&gt;=100),CHOOSE(ArtifactsInput!$N$42+1,40,48,56,64,72,80),0))))/100)*(((1+(((C779=TRUE)*F779*IF(AND(Inputs!$B$39&lt;&gt;"pvp",Inputs!$B$44&gt;0),(((R779-1)*(Skills!Y21*(1+Inputs!$B$34/100))+MIN((Skills!Y21*(1+Inputs!$B$34/100)),MAX(0,Inputs!$B$44-((R779-1)*Skills!D21))))/Inputs!$B$44),IF(Inputs!$B$39="pvp",MIN((Skills!Y21*(1+Inputs!$B$34/100)),15)/15,(Skills!Y21*(1+Inputs!$B$34/100))/Skills!D21)))+((C786=TRUE)*(F786-Calc!F28))+((C776=TRUE)*(F776-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773=TRUE)*F773*IF(AND(Inputs!$B$39&lt;&gt;"pvp",Inputs!$B$44&gt;0),(((R773-1)*(Skills!Y15*(1+Inputs!$B$34/100))+MIN((Skills!Y15*(1+Inputs!$B$34/100)),MAX(0,Inputs!$B$44-((R773-1)*Skills!D15))))/Inputs!$B$44),IF(Inputs!$B$39="pvp",MIN((Skills!Y15*(1+Inputs!$B$34/100)),15)/15,(Skills!Y15*(1+Inputs!$B$34/100))/Skills!D15)))/100)*(1+((C764=TRUE)*F764*B792)/100))*B800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770)</f>
        <v/>
      </c>
      <c r="L770">
        <f>K770*(MIN(Inputs!$B$22+((C782=TRUE)*(F782-Calc!F24)),(Inputs!$B$23+0+(IF(ArtifactsInput!$M$15,CHOOSE(ArtifactsInput!$N$15+1,25,30,35,40,45,50)/100*(Inputs!$B$11-Inputs!$B$11),0))))/100+(Inputs!$B$23+0+(IF(ArtifactsInput!$M$15,CHOOSE(ArtifactsInput!$N$15+1,25,30,35,40,45,50)/100*(Inputs!$B$11-Inputs!$B$11),0)))/100)/2</f>
        <v/>
      </c>
      <c r="M770">
        <f>L770*(1+(Inputs!$B$10+((C784=TRUE)*(F784-Calc!F26))+B801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70">
        <f>L770*(1-MIN((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770*(MIN((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70">
        <f>(1-Summary!$B$11)*T770+Summary!$B$11*V770</f>
        <v/>
      </c>
      <c r="P770">
        <f>IF(B802=0,0,O770/B802)</f>
        <v/>
      </c>
      <c r="Q770">
        <f>IFERROR(1/IF(Inputs!$B$39="pvp",15,MAX(0.1,Skills!D12-IF(Skills!E12=TRUE,Inputs!$B$32,0))),0)</f>
        <v/>
      </c>
      <c r="R770">
        <f>IF(AND(Inputs!$B$39&lt;&gt;"pvp",Inputs!$B$44&gt;0),IF(MAX(0,Inputs!$B$44-B803)&lt;=0,0,(INT(MAX(0,Inputs!$B$44-B803)/IF(Inputs!$B$39="pvp",15,MAX(0.1,Skills!D12-IF(Skills!E12=TRUE,Inputs!$B$32,0))))+1)),0)</f>
        <v/>
      </c>
      <c r="S770">
        <f>IFERROR(O770/N770,0)</f>
        <v/>
      </c>
      <c r="T770">
        <f>IF(C770,(H770*N770*IF(AND(Inputs!$B$39&lt;&gt;"pvp",Inputs!$B$44&gt;0),((Skills!G12*((R770-1)*IF(Skills!H12&gt;0,Skills!I12/Skills!H12,1)+IF(Skills!H12&gt;0,MIN(Skills!I12,MAX(0,MAX(0,Inputs!$B$44-B803)-((R770-1)*IF(Inputs!$B$39="pvp",15,MAX(0.1,Skills!D12-IF(Skills!E12=TRUE,Inputs!$B$32,0))))))/Skills!H12,1)))/Inputs!$B$44),G770*Q770))*IF(Inputs!$B$39="pvp",1,1+(Inputs!$B$20+((C785=TRUE)*(F785-Calc!F27))+Skills!P12+B799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770*(1-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770*(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770*(1-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770*(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70">
        <f>IF(C770,(H770*N770*IF(AND(Inputs!$B$39&lt;&gt;"pvp",Inputs!$B$44&gt;0),((Skills!G12*((R770-1)*IF(Skills!H12&gt;0,Skills!I12/Skills!H12,1)+IF(Skills!H12&gt;0,MIN(Skills!I12,MAX(0,MAX(0,Inputs!$B$44-B803)-((R770-1)*IF(Inputs!$B$39="pvp",15,MAX(0.1,Skills!D12-IF(Skills!E12=TRUE,Inputs!$B$32,0))))))/Skills!H12,1)))/Inputs!$B$44),G770*Q770))*IF(Inputs!$B$39="pvp",1,(1+(Inputs!$B$21+Skills!Q12+B799+(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71">
      <c r="A771">
        <f>Skills!A13</f>
        <v/>
      </c>
      <c r="B771">
        <f>Skills!B13</f>
        <v/>
      </c>
      <c r="C771">
        <f>Inputs!$B$3&gt;=105</f>
        <v/>
      </c>
      <c r="D771">
        <f>IF(Skills!C13=1,60+Inputs!$B$25+Inputs!$B$29,IF(Skills!C13=2,90+Inputs!$B$26+Inputs!$B$29,IF(Skills!C13=3,120+Inputs!$B$27+Inputs!$B$29,MAX(0,(Inputs!$B$3-100)*3)+Inputs!$B$28+Inputs!$B$29)))</f>
        <v/>
      </c>
      <c r="E771">
        <f>INDEX(FactorTable!$B$2:$Y$301, MATCH(ROUND(MIN(300,MAX(1,D771)),0), FactorTable!$A$2:$A$301,0), Skills!M13+1)</f>
        <v/>
      </c>
      <c r="F771">
        <f>IF(Skills!N13=TRUE,(Skills!L13/10)*(E771/1000),Skills!L13/10)+Skills!O13</f>
        <v/>
      </c>
      <c r="G771">
        <f>Calc!G13</f>
        <v/>
      </c>
      <c r="H771">
        <f>Calc!H13</f>
        <v/>
      </c>
      <c r="I771">
        <f>IF(Skills!AA13&lt;&gt;"",1+(Skills!AA13/10)*(U761/1000)/100,1)</f>
        <v/>
      </c>
      <c r="J771">
        <f>((Inputs!$B$6*(1+Inputs!$B$7/100))+(((Inputs!$B$12*(1+Inputs!$B$13/100))-(Inputs!$B$12*(1+Inputs!$B$13/100)))+0.25*(Inputs!$B$14-Inputs!$B$14))*(1+Inputs!$B$7/100))*(F771/100)</f>
        <v/>
      </c>
      <c r="K771">
        <f>J771*(1+((Inputs!$B$12*(1+Inputs!$B$13/100))*0.01+Inputs!$B$14*0.0025)/100)*(1+Inputs!$B$15/100)*(1+Inputs!$B$16/100)*(5000/(6000+Inputs!$B$43*(1-(100*(1-(1-(Inputs!$B$19+0)/100)*(1-CHOOSE(ArtifactsInput!$N$40+1,5,6,7,8,9,10)/100)^(ArtifactsInput!$M$40-ArtifactsInput!$M$40)))/100)))*(1+(Inputs!$B$24+((C788=TRUE)*(F788-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+1)+((C781=TRUE)*(F781-Calc!F23))+(((IF(AND(ArtifactsInput!$M$42,((Inputs!$B$9+((C783=TRUE)*(F783-Calc!F25))+B798+(ArtifactsInput!$M$24-ArtifactsInput!$M$24)*CHOOSE(ArtifactsInput!$N$24+1,10,12,14,16,18,20)+IF(ArtifactsInput!$M$10,CHOOSE(ArtifactsInput!$N$10+1,15,18,21,24,27,30)*(IF(Inputs!$B$39="pvp",MIN(15,15)/15,IF(AND(Inputs!$B$39&lt;&gt;"pvp",Inputs!$B$44&gt;0),MIN(15,Inputs!$B$44)/(Inputs!$B$44),0))),0)))&gt;=100),MIN(100,((Inputs!$B$9+((C783=TRUE)*(F783-Calc!F25))+B798+(ArtifactsInput!$M$24-ArtifactsInput!$M$24)*CHOOSE(ArtifactsInput!$N$24+1,10,12,14,16,18,20)+IF(ArtifactsInput!$M$10,CHOOSE(ArtifactsInput!$N$10+1,15,18,21,24,27,30)*(IF(Inputs!$B$39="pvp",MIN(15,15)/15,IF(AND(Inputs!$B$39&lt;&gt;"pvp",Inputs!$B$44&gt;0),MIN(15,Inputs!$B$44)/(Inputs!$B$44),0))),0)))-100),0))*CHOOSE(ArtifactsInput!$N$42+1,0.6,0.72,0.84,0.96,1.08,1.2))),Inputs!$B$18+((C787=TRUE)*(F787-Calc!F29))+(IF(AND(ArtifactsInput!$M$42,((Inputs!$B$9+((C783=TRUE)*(F783-Calc!F25))+B798+(ArtifactsInput!$M$24-ArtifactsInput!$M$24)*CHOOSE(ArtifactsInput!$N$24+1,10,12,14,16,18,20)+IF(ArtifactsInput!$M$10,CHOOSE(ArtifactsInput!$N$10+1,15,18,21,24,27,30)*(IF(Inputs!$B$39="pvp",MIN(15,15)/15,IF(AND(Inputs!$B$39&lt;&gt;"pvp",Inputs!$B$44&gt;0),MIN(15,Inputs!$B$44)/(Inputs!$B$44),0))),0)))&gt;=100),CHOOSE(ArtifactsInput!$N$42+1,40,48,56,64,72,80),0))))/100)*(((1+(((C779=TRUE)*F779*IF(AND(Inputs!$B$39&lt;&gt;"pvp",Inputs!$B$44&gt;0),(((R779-1)*(Skills!Y21*(1+Inputs!$B$34/100))+MIN((Skills!Y21*(1+Inputs!$B$34/100)),MAX(0,Inputs!$B$44-((R779-1)*Skills!D21))))/Inputs!$B$44),IF(Inputs!$B$39="pvp",MIN((Skills!Y21*(1+Inputs!$B$34/100)),15)/15,(Skills!Y21*(1+Inputs!$B$34/100))/Skills!D21)))+((C786=TRUE)*(F786-Calc!F28))+((C776=TRUE)*(F776-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773=TRUE)*F773*IF(AND(Inputs!$B$39&lt;&gt;"pvp",Inputs!$B$44&gt;0),(((R773-1)*(Skills!Y15*(1+Inputs!$B$34/100))+MIN((Skills!Y15*(1+Inputs!$B$34/100)),MAX(0,Inputs!$B$44-((R773-1)*Skills!D15))))/Inputs!$B$44),IF(Inputs!$B$39="pvp",MIN((Skills!Y15*(1+Inputs!$B$34/100)),15)/15,(Skills!Y15*(1+Inputs!$B$34/100))/Skills!D15)))/100)*(1+((C764=TRUE)*F764*B792)/100))*B800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771)</f>
        <v/>
      </c>
      <c r="L771">
        <f>K771*(MIN(Inputs!$B$22+((C782=TRUE)*(F782-Calc!F24)),(Inputs!$B$23+0+(IF(ArtifactsInput!$M$15,CHOOSE(ArtifactsInput!$N$15+1,25,30,35,40,45,50)/100*(Inputs!$B$11-Inputs!$B$11),0))))/100+(Inputs!$B$23+0+(IF(ArtifactsInput!$M$15,CHOOSE(ArtifactsInput!$N$15+1,25,30,35,40,45,50)/100*(Inputs!$B$11-Inputs!$B$11),0)))/100)/2</f>
        <v/>
      </c>
      <c r="M771">
        <f>L771*(1+(Inputs!$B$10+((C784=TRUE)*(F784-Calc!F26))+B801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71">
        <f>L771*(1-MIN((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771*(MIN((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71">
        <f>(1-Summary!$B$11)*T771+Summary!$B$11*V771</f>
        <v/>
      </c>
      <c r="P771">
        <f>IF(B802=0,0,O771/B802)</f>
        <v/>
      </c>
      <c r="Q771">
        <f>IFERROR(1/IF(Inputs!$B$39="pvp",15,MAX(0.1,Skills!D13-IF(Skills!E13=TRUE,Inputs!$B$32,0))),0)</f>
        <v/>
      </c>
      <c r="R771">
        <f>IF(AND(Inputs!$B$39&lt;&gt;"pvp",Inputs!$B$44&gt;0),IF(MAX(0,Inputs!$B$44-B803)&lt;=0,0,(INT(MAX(0,Inputs!$B$44-B803)/IF(Inputs!$B$39="pvp",15,MAX(0.1,Skills!D13-IF(Skills!E13=TRUE,Inputs!$B$32,0))))+1)),0)</f>
        <v/>
      </c>
      <c r="S771">
        <f>IFERROR(O771/N771,0)</f>
        <v/>
      </c>
      <c r="T771">
        <f>IF(C771,(H771*N771*IF(AND(Inputs!$B$39&lt;&gt;"pvp",Inputs!$B$44&gt;0),((Skills!G13*((R771-1)*IF(Skills!H13&gt;0,Skills!I13/Skills!H13,1)+IF(Skills!H13&gt;0,MIN(Skills!I13,MAX(0,MAX(0,Inputs!$B$44-B803)-((R771-1)*IF(Inputs!$B$39="pvp",15,MAX(0.1,Skills!D13-IF(Skills!E13=TRUE,Inputs!$B$32,0))))))/Skills!H13,1)))/Inputs!$B$44),G771*Q771))*IF(Inputs!$B$39="pvp",1,1+(Inputs!$B$20+((C785=TRUE)*(F785-Calc!F27))+Skills!P13+B799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771*(1-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771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771*(1-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771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71">
        <f>IF(C771,(H771*N771*IF(AND(Inputs!$B$39&lt;&gt;"pvp",Inputs!$B$44&gt;0),((Skills!G13*((R771-1)*IF(Skills!H13&gt;0,Skills!I13/Skills!H13,1)+IF(Skills!H13&gt;0,MIN(Skills!I13,MAX(0,MAX(0,Inputs!$B$44-B803)-((R771-1)*IF(Inputs!$B$39="pvp",15,MAX(0.1,Skills!D13-IF(Skills!E13=TRUE,Inputs!$B$32,0))))))/Skills!H13,1)))/Inputs!$B$44),G771*Q771))*IF(Inputs!$B$39="pvp",1,(1+(Inputs!$B$21+Skills!Q13+B799+(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72">
      <c r="A772">
        <f>Skills!A14</f>
        <v/>
      </c>
      <c r="B772">
        <f>Skills!B14</f>
        <v/>
      </c>
      <c r="C772">
        <f>Inputs!$B$3&gt;=105</f>
        <v/>
      </c>
      <c r="D772">
        <f>IF(Skills!C14=1,60+Inputs!$B$25+Inputs!$B$29,IF(Skills!C14=2,90+Inputs!$B$26+Inputs!$B$29,IF(Skills!C14=3,120+Inputs!$B$27+Inputs!$B$29,MAX(0,(Inputs!$B$3-100)*3)+Inputs!$B$28+Inputs!$B$29)))</f>
        <v/>
      </c>
      <c r="E772">
        <f>INDEX(FactorTable!$B$2:$Y$301, MATCH(ROUND(MIN(300,MAX(1,D772)),0), FactorTable!$A$2:$A$301,0), Skills!M14+1)</f>
        <v/>
      </c>
      <c r="F772">
        <f>IF(Skills!N14=TRUE,(Skills!L14/10)*(E772/1000),Skills!L14/10)+Skills!O14</f>
        <v/>
      </c>
      <c r="G772">
        <f>Calc!G14</f>
        <v/>
      </c>
      <c r="H772">
        <f>Calc!H14</f>
        <v/>
      </c>
      <c r="I772">
        <f>IF(Skills!AA14&lt;&gt;"",1+(Skills!AA14/10)*(U761/1000)/100,1)</f>
        <v/>
      </c>
      <c r="J772">
        <f>((Inputs!$B$6*(1+Inputs!$B$7/100))+(((Inputs!$B$12*(1+Inputs!$B$13/100))-(Inputs!$B$12*(1+Inputs!$B$13/100)))+0.25*(Inputs!$B$14-Inputs!$B$14))*(1+Inputs!$B$7/100))*(F772/100)</f>
        <v/>
      </c>
      <c r="K772">
        <f>J772*(1+((Inputs!$B$12*(1+Inputs!$B$13/100))*0.01+Inputs!$B$14*0.0025)/100)*(1+Inputs!$B$15/100)*(1+Inputs!$B$16/100)*(5000/(6000+Inputs!$B$43*(1-(100*(1-(1-(Inputs!$B$19+0)/100)*(1-CHOOSE(ArtifactsInput!$N$40+1,5,6,7,8,9,10)/100)^(ArtifactsInput!$M$40-ArtifactsInput!$M$40)))/100)))*(1+(Inputs!$B$24+((C788=TRUE)*(F788-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+1)+((C781=TRUE)*(F781-Calc!F23))+(((IF(AND(ArtifactsInput!$M$42,((Inputs!$B$9+((C783=TRUE)*(F783-Calc!F25))+B798+(ArtifactsInput!$M$24-ArtifactsInput!$M$24)*CHOOSE(ArtifactsInput!$N$24+1,10,12,14,16,18,20)+IF(ArtifactsInput!$M$10,CHOOSE(ArtifactsInput!$N$10+1,15,18,21,24,27,30)*(IF(Inputs!$B$39="pvp",MIN(15,15)/15,IF(AND(Inputs!$B$39&lt;&gt;"pvp",Inputs!$B$44&gt;0),MIN(15,Inputs!$B$44)/(Inputs!$B$44),0))),0)))&gt;=100),MIN(100,((Inputs!$B$9+((C783=TRUE)*(F783-Calc!F25))+B798+(ArtifactsInput!$M$24-ArtifactsInput!$M$24)*CHOOSE(ArtifactsInput!$N$24+1,10,12,14,16,18,20)+IF(ArtifactsInput!$M$10,CHOOSE(ArtifactsInput!$N$10+1,15,18,21,24,27,30)*(IF(Inputs!$B$39="pvp",MIN(15,15)/15,IF(AND(Inputs!$B$39&lt;&gt;"pvp",Inputs!$B$44&gt;0),MIN(15,Inputs!$B$44)/(Inputs!$B$44),0))),0)))-100),0))*CHOOSE(ArtifactsInput!$N$42+1,0.6,0.72,0.84,0.96,1.08,1.2))),Inputs!$B$18+((C787=TRUE)*(F787-Calc!F29))+(IF(AND(ArtifactsInput!$M$42,((Inputs!$B$9+((C783=TRUE)*(F783-Calc!F25))+B798+(ArtifactsInput!$M$24-ArtifactsInput!$M$24)*CHOOSE(ArtifactsInput!$N$24+1,10,12,14,16,18,20)+IF(ArtifactsInput!$M$10,CHOOSE(ArtifactsInput!$N$10+1,15,18,21,24,27,30)*(IF(Inputs!$B$39="pvp",MIN(15,15)/15,IF(AND(Inputs!$B$39&lt;&gt;"pvp",Inputs!$B$44&gt;0),MIN(15,Inputs!$B$44)/(Inputs!$B$44),0))),0)))&gt;=100),CHOOSE(ArtifactsInput!$N$42+1,40,48,56,64,72,80),0))))/100)*(((1+(((C779=TRUE)*F779*IF(AND(Inputs!$B$39&lt;&gt;"pvp",Inputs!$B$44&gt;0),(((R779-1)*(Skills!Y21*(1+Inputs!$B$34/100))+MIN((Skills!Y21*(1+Inputs!$B$34/100)),MAX(0,Inputs!$B$44-((R779-1)*Skills!D21))))/Inputs!$B$44),IF(Inputs!$B$39="pvp",MIN((Skills!Y21*(1+Inputs!$B$34/100)),15)/15,(Skills!Y21*(1+Inputs!$B$34/100))/Skills!D21)))+((C786=TRUE)*(F786-Calc!F28))+((C776=TRUE)*(F776-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773=TRUE)*F773*IF(AND(Inputs!$B$39&lt;&gt;"pvp",Inputs!$B$44&gt;0),(((R773-1)*(Skills!Y15*(1+Inputs!$B$34/100))+MIN((Skills!Y15*(1+Inputs!$B$34/100)),MAX(0,Inputs!$B$44-((R773-1)*Skills!D15))))/Inputs!$B$44),IF(Inputs!$B$39="pvp",MIN((Skills!Y15*(1+Inputs!$B$34/100)),15)/15,(Skills!Y15*(1+Inputs!$B$34/100))/Skills!D15)))/100)*(1+((C764=TRUE)*F764*B792)/100))*B800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772)</f>
        <v/>
      </c>
      <c r="L772">
        <f>K772*(MIN(Inputs!$B$22+((C782=TRUE)*(F782-Calc!F24)),(Inputs!$B$23+0+(IF(ArtifactsInput!$M$15,CHOOSE(ArtifactsInput!$N$15+1,25,30,35,40,45,50)/100*(Inputs!$B$11-Inputs!$B$11),0))))/100+(Inputs!$B$23+0+(IF(ArtifactsInput!$M$15,CHOOSE(ArtifactsInput!$N$15+1,25,30,35,40,45,50)/100*(Inputs!$B$11-Inputs!$B$11),0)))/100)/2</f>
        <v/>
      </c>
      <c r="M772">
        <f>L772*(1+(Inputs!$B$10+((C784=TRUE)*(F784-Calc!F26))+B801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72">
        <f>L772*(1-MIN((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772*(MIN((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72">
        <f>(1-Summary!$B$11)*T772+Summary!$B$11*V772</f>
        <v/>
      </c>
      <c r="P772">
        <f>IF(B802=0,0,O772/B802)</f>
        <v/>
      </c>
      <c r="Q772">
        <f>IFERROR(1/IF(Inputs!$B$39="pvp",15,MAX(0.1,Skills!D14-IF(Skills!E14=TRUE,Inputs!$B$32,0))),0)</f>
        <v/>
      </c>
      <c r="R772">
        <f>IF(AND(Inputs!$B$39&lt;&gt;"pvp",Inputs!$B$44&gt;0),IF(MAX(0,Inputs!$B$44-B803)&lt;=0,0,(INT(MAX(0,Inputs!$B$44-B803)/IF(Inputs!$B$39="pvp",15,MAX(0.1,Skills!D14-IF(Skills!E14=TRUE,Inputs!$B$32,0))))+1)),0)</f>
        <v/>
      </c>
      <c r="S772">
        <f>IFERROR(O772/N772,0)</f>
        <v/>
      </c>
      <c r="T772">
        <f>IF(C772,(H772*N772*IF(AND(Inputs!$B$39&lt;&gt;"pvp",Inputs!$B$44&gt;0),((Skills!G14*((R772-1)*IF(Skills!H14&gt;0,Skills!I14/Skills!H14,1)+IF(Skills!H14&gt;0,MIN(Skills!I14,MAX(0,MAX(0,Inputs!$B$44-B803)-((R772-1)*IF(Inputs!$B$39="pvp",15,MAX(0.1,Skills!D14-IF(Skills!E14=TRUE,Inputs!$B$32,0))))))/Skills!H14,1)))/Inputs!$B$44),G772*Q772))*IF(Inputs!$B$39="pvp",1,1+(Inputs!$B$20+((C785=TRUE)*(F785-Calc!F27))+Skills!P14+B799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772*(1-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772*(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772*(1-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772*(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72">
        <f>IF(C772,(H772*N772*IF(AND(Inputs!$B$39&lt;&gt;"pvp",Inputs!$B$44&gt;0),((Skills!G14*((R772-1)*IF(Skills!H14&gt;0,Skills!I14/Skills!H14,1)+IF(Skills!H14&gt;0,MIN(Skills!I14,MAX(0,MAX(0,Inputs!$B$44-B803)-((R772-1)*IF(Inputs!$B$39="pvp",15,MAX(0.1,Skills!D14-IF(Skills!E14=TRUE,Inputs!$B$32,0))))))/Skills!H14,1)))/Inputs!$B$44),G772*Q772))*IF(Inputs!$B$39="pvp",1,(1+(Inputs!$B$21+Skills!Q14+B799+(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73">
      <c r="A773">
        <f>Skills!A15</f>
        <v/>
      </c>
      <c r="B773">
        <f>Skills!B15</f>
        <v/>
      </c>
      <c r="C773">
        <f>Inputs!$B$3&gt;=110</f>
        <v/>
      </c>
      <c r="D773">
        <f>IF(Skills!C15=1,60+Inputs!$B$25+Inputs!$B$29,IF(Skills!C15=2,90+Inputs!$B$26+Inputs!$B$29,IF(Skills!C15=3,120+Inputs!$B$27+Inputs!$B$29,MAX(0,(Inputs!$B$3-100)*3)+Inputs!$B$28+Inputs!$B$29)))</f>
        <v/>
      </c>
      <c r="E773">
        <f>INDEX(FactorTable!$B$2:$Y$301, MATCH(ROUND(MIN(300,MAX(1,D773)),0), FactorTable!$A$2:$A$301,0), Skills!M15+1)</f>
        <v/>
      </c>
      <c r="F773">
        <f>IF(Skills!N15=TRUE,(Skills!L15/10)*(E773/1000),Skills!L15/10)+Skills!O15</f>
        <v/>
      </c>
      <c r="G773">
        <f>Calc!G15</f>
        <v/>
      </c>
      <c r="H773">
        <f>Calc!H15</f>
        <v/>
      </c>
      <c r="I773">
        <f>IF(Skills!AA15&lt;&gt;"",1+(Skills!AA15/10)*(U761/1000)/100,1)</f>
        <v/>
      </c>
      <c r="J773" t="inlineStr"/>
      <c r="K773" t="inlineStr"/>
      <c r="L773" t="inlineStr"/>
      <c r="M773" t="inlineStr"/>
      <c r="N773" t="inlineStr"/>
      <c r="O773">
        <f>(1-Summary!$B$11)*T773+Summary!$B$11*V773</f>
        <v/>
      </c>
      <c r="P773">
        <f>IF(B802=0,0,O773/B802)</f>
        <v/>
      </c>
      <c r="Q773">
        <f>IFERROR(1/IF(Inputs!$B$39="pvp",15,MAX(0.1,Skills!D15-IF(Skills!E15=TRUE,Inputs!$B$32,0))),0)</f>
        <v/>
      </c>
      <c r="R773">
        <f>IF(AND(Inputs!$B$39&lt;&gt;"pvp",Inputs!$B$44&gt;0),IF(Inputs!$B$44&lt;=0,0,(INT(Inputs!$B$44/IF(Inputs!$B$39="pvp",15,MAX(0.1,Skills!D15-IF(Skills!E15=TRUE,Inputs!$B$32,0))))+1)),0)</f>
        <v/>
      </c>
      <c r="S773">
        <f>IFERROR(O773/N773,0)</f>
        <v/>
      </c>
      <c r="T773" t="n">
        <v>0</v>
      </c>
      <c r="V773" t="n">
        <v>0</v>
      </c>
    </row>
    <row r="774">
      <c r="A774">
        <f>Skills!A16</f>
        <v/>
      </c>
      <c r="B774">
        <f>Skills!B16</f>
        <v/>
      </c>
      <c r="C774">
        <f>Inputs!$B$3&gt;=110</f>
        <v/>
      </c>
      <c r="D774">
        <f>IF(Skills!C16=1,60+Inputs!$B$25+Inputs!$B$29,IF(Skills!C16=2,90+Inputs!$B$26+Inputs!$B$29,IF(Skills!C16=3,120+Inputs!$B$27+Inputs!$B$29,MAX(0,(Inputs!$B$3-100)*3)+Inputs!$B$28+Inputs!$B$29)))</f>
        <v/>
      </c>
      <c r="E774">
        <f>INDEX(FactorTable!$B$2:$Y$301, MATCH(ROUND(MIN(300,MAX(1,D774)),0), FactorTable!$A$2:$A$301,0), Skills!M16+1)</f>
        <v/>
      </c>
      <c r="F774">
        <f>IF(Skills!N16=TRUE,(Skills!L16/10)*(E774/1000),Skills!L16/10)+Skills!O16</f>
        <v/>
      </c>
      <c r="G774">
        <f>Calc!G16</f>
        <v/>
      </c>
      <c r="H774">
        <f>Calc!H16</f>
        <v/>
      </c>
      <c r="I774">
        <f>IF(Skills!AA16&lt;&gt;"",1+(Skills!AA16/10)*(U761/1000)/100,1)</f>
        <v/>
      </c>
      <c r="J774" t="inlineStr"/>
      <c r="K774" t="inlineStr"/>
      <c r="L774" t="inlineStr"/>
      <c r="M774" t="inlineStr"/>
      <c r="N774" t="inlineStr"/>
      <c r="O774">
        <f>(1-Summary!$B$11)*T774+Summary!$B$11*V774</f>
        <v/>
      </c>
      <c r="P774">
        <f>IF(B802=0,0,O774/B802)</f>
        <v/>
      </c>
      <c r="Q774">
        <f>IFERROR(1/IF(Inputs!$B$39="pvp",15,MAX(0.1,Skills!D16-IF(Skills!E16=TRUE,Inputs!$B$32,0))),0)</f>
        <v/>
      </c>
      <c r="R774">
        <f>IF(AND(Inputs!$B$39&lt;&gt;"pvp",Inputs!$B$44&gt;0),IF(Inputs!$B$44&lt;=0,0,(INT(Inputs!$B$44/IF(Inputs!$B$39="pvp",15,MAX(0.1,Skills!D16-IF(Skills!E16=TRUE,Inputs!$B$32,0))))+1)),0)</f>
        <v/>
      </c>
      <c r="S774">
        <f>IFERROR(O774/N774,0)</f>
        <v/>
      </c>
      <c r="T774" t="n">
        <v>0</v>
      </c>
      <c r="V774" t="n">
        <v>0</v>
      </c>
    </row>
    <row r="775">
      <c r="A775">
        <f>Skills!A17</f>
        <v/>
      </c>
      <c r="B775">
        <f>Skills!B17</f>
        <v/>
      </c>
      <c r="C775">
        <f>Inputs!$B$3&gt;=115</f>
        <v/>
      </c>
      <c r="D775">
        <f>IF(Skills!C17=1,60+Inputs!$B$25+Inputs!$B$29,IF(Skills!C17=2,90+Inputs!$B$26+Inputs!$B$29,IF(Skills!C17=3,120+Inputs!$B$27+Inputs!$B$29,MAX(0,(Inputs!$B$3-100)*3)+Inputs!$B$28+Inputs!$B$29)))</f>
        <v/>
      </c>
      <c r="E775">
        <f>INDEX(FactorTable!$B$2:$Y$301, MATCH(ROUND(MIN(300,MAX(1,D775)),0), FactorTable!$A$2:$A$301,0), Skills!M17+1)</f>
        <v/>
      </c>
      <c r="F775">
        <f>IF(Skills!N17=TRUE,(Skills!L17/10)*(E775/1000),Skills!L17/10)+Skills!O17</f>
        <v/>
      </c>
      <c r="G775">
        <f>Calc!G17</f>
        <v/>
      </c>
      <c r="H775">
        <f>Calc!H17</f>
        <v/>
      </c>
      <c r="I775">
        <f>IF(Skills!AA17&lt;&gt;"",1+(Skills!AA17/10)*(U761/1000)/100,1)</f>
        <v/>
      </c>
      <c r="J775">
        <f>((Inputs!$B$6*(1+Inputs!$B$7/100))+(((Inputs!$B$12*(1+Inputs!$B$13/100))-(Inputs!$B$12*(1+Inputs!$B$13/100)))+0.25*(Inputs!$B$14-Inputs!$B$14))*(1+Inputs!$B$7/100))*(F775/100)</f>
        <v/>
      </c>
      <c r="K775">
        <f>J775*(1+((Inputs!$B$12*(1+Inputs!$B$13/100))*0.01+Inputs!$B$14*0.0025)/100)*(1+Inputs!$B$15/100)*(1+Inputs!$B$16/100)*(5000/(6000+Inputs!$B$43*(1-(100*(1-(1-(Inputs!$B$19+0)/100)*(1-CHOOSE(ArtifactsInput!$N$40+1,5,6,7,8,9,10)/100)^(ArtifactsInput!$M$40-ArtifactsInput!$M$40)))/100)))*(1+(Inputs!$B$24+((C788=TRUE)*(F788-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+1)+((C781=TRUE)*(F781-Calc!F23))+(((IF(AND(ArtifactsInput!$M$42,((Inputs!$B$9+((C783=TRUE)*(F783-Calc!F25))+B798+(ArtifactsInput!$M$24-ArtifactsInput!$M$24)*CHOOSE(ArtifactsInput!$N$24+1,10,12,14,16,18,20)+IF(ArtifactsInput!$M$10,CHOOSE(ArtifactsInput!$N$10+1,15,18,21,24,27,30)*(IF(Inputs!$B$39="pvp",MIN(15,15)/15,IF(AND(Inputs!$B$39&lt;&gt;"pvp",Inputs!$B$44&gt;0),MIN(15,Inputs!$B$44)/(Inputs!$B$44),0))),0)))&gt;=100),MIN(100,((Inputs!$B$9+((C783=TRUE)*(F783-Calc!F25))+B798+(ArtifactsInput!$M$24-ArtifactsInput!$M$24)*CHOOSE(ArtifactsInput!$N$24+1,10,12,14,16,18,20)+IF(ArtifactsInput!$M$10,CHOOSE(ArtifactsInput!$N$10+1,15,18,21,24,27,30)*(IF(Inputs!$B$39="pvp",MIN(15,15)/15,IF(AND(Inputs!$B$39&lt;&gt;"pvp",Inputs!$B$44&gt;0),MIN(15,Inputs!$B$44)/(Inputs!$B$44),0))),0)))-100),0))*CHOOSE(ArtifactsInput!$N$42+1,0.6,0.72,0.84,0.96,1.08,1.2))),Inputs!$B$18+((C787=TRUE)*(F787-Calc!F29))+(IF(AND(ArtifactsInput!$M$42,((Inputs!$B$9+((C783=TRUE)*(F783-Calc!F25))+B798+(ArtifactsInput!$M$24-ArtifactsInput!$M$24)*CHOOSE(ArtifactsInput!$N$24+1,10,12,14,16,18,20)+IF(ArtifactsInput!$M$10,CHOOSE(ArtifactsInput!$N$10+1,15,18,21,24,27,30)*(IF(Inputs!$B$39="pvp",MIN(15,15)/15,IF(AND(Inputs!$B$39&lt;&gt;"pvp",Inputs!$B$44&gt;0),MIN(15,Inputs!$B$44)/(Inputs!$B$44),0))),0)))&gt;=100),CHOOSE(ArtifactsInput!$N$42+1,40,48,56,64,72,80),0))))/100)*(((1+(((C779=TRUE)*F779*IF(AND(Inputs!$B$39&lt;&gt;"pvp",Inputs!$B$44&gt;0),(((R779-1)*(Skills!Y21*(1+Inputs!$B$34/100))+MIN((Skills!Y21*(1+Inputs!$B$34/100)),MAX(0,Inputs!$B$44-((R779-1)*Skills!D21))))/Inputs!$B$44),IF(Inputs!$B$39="pvp",MIN((Skills!Y21*(1+Inputs!$B$34/100)),15)/15,(Skills!Y21*(1+Inputs!$B$34/100))/Skills!D21)))+((C786=TRUE)*(F786-Calc!F28))+((C776=TRUE)*(F776-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773=TRUE)*F773*IF(AND(Inputs!$B$39&lt;&gt;"pvp",Inputs!$B$44&gt;0),(((R773-1)*(Skills!Y15*(1+Inputs!$B$34/100))+MIN((Skills!Y15*(1+Inputs!$B$34/100)),MAX(0,Inputs!$B$44-((R773-1)*Skills!D15))))/Inputs!$B$44),IF(Inputs!$B$39="pvp",MIN((Skills!Y15*(1+Inputs!$B$34/100)),15)/15,(Skills!Y15*(1+Inputs!$B$34/100))/Skills!D15)))/100)*(1+((C764=TRUE)*F764*B792)/100))*B800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775)</f>
        <v/>
      </c>
      <c r="L775">
        <f>K775*(MIN(Inputs!$B$22+((C782=TRUE)*(F782-Calc!F24)),(Inputs!$B$23+0+(IF(ArtifactsInput!$M$15,CHOOSE(ArtifactsInput!$N$15+1,25,30,35,40,45,50)/100*(Inputs!$B$11-Inputs!$B$11),0))))/100+(Inputs!$B$23+0+(IF(ArtifactsInput!$M$15,CHOOSE(ArtifactsInput!$N$15+1,25,30,35,40,45,50)/100*(Inputs!$B$11-Inputs!$B$11),0)))/100)/2</f>
        <v/>
      </c>
      <c r="M775">
        <f>L775*(1+(Inputs!$B$10+((C784=TRUE)*(F784-Calc!F26))+B801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75">
        <f>L775*(1-MIN((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775*(MIN((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75">
        <f>(1-Summary!$B$11)*T775+Summary!$B$11*V775</f>
        <v/>
      </c>
      <c r="P775">
        <f>IF(B802=0,0,O775/B802)</f>
        <v/>
      </c>
      <c r="Q775" t="n">
        <v>0</v>
      </c>
      <c r="R775" t="n">
        <v>0</v>
      </c>
      <c r="S775">
        <f>IFERROR(O775/N775,0)</f>
        <v/>
      </c>
      <c r="T775">
        <f>IF(C775,(Inputs!$B$38*0.2*N775)*IF(Inputs!$B$39="pvp",1,1+(Inputs!$B$20+((C785=TRUE)*(F785-Calc!F27))+Skills!P17+B799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775*(1-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775*(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775*(1-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775*(MIN(100,(Inputs!$B$9+((C783=TRUE)*(F783-Calc!F25))+B798+(ArtifactsInput!$M$24-ArtifactsInput!$M$24)*CHOOSE(ArtifactsInput!$N$24+1,10,12,14,16,18,20)+(IF(AND(ArtifactsInput!$M$42,((Inputs!$B$9+((C783=TRUE)*(F783-Calc!F25))+B798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75">
        <f>IF(C775,(Inputs!$B$38*0.2*N775)*IF(Inputs!$B$39="pvp",1,(1+(Inputs!$B$21+Skills!Q17+B799+(IF(ArtifactsInput!$M$33,CHOOSE(ArtifactsInput!$N$33+1,30,36,42,48,54,60),0))+(IF(AND(ArtifactsInput!$M$35,Inputs!$B$4&lt;&gt;"Chapter Hunt"),CHOOSE(ArtifactsInput!$N$35+1,15,18,21,24,27,30)*(1-EXP(-(0.2*B794)*5)),0)+IF(AND(ArtifactsInput!$M$22,Inputs!$B$4&lt;&gt;"Chapter Hunt"),CHOOSE(ArtifactsInput!$N$22+1,10,12,14,16,18,20)*((0*(((0.15*B794*5))^0/1)+1*(((0.15*B794*5))^1/1)+2*(((0.15*B794*5))^2/2)+3*(((0.15*B794*5))^3/6)+4*(((0.15*B794*5))^4/24)+5*(((0.15*B794*5))^5/120))/((((0.15*B794*5))^0/1)+(((0.15*B794*5))^1/1)+(((0.15*B794*5))^2/2)+(((0.15*B794*5))^3/6)+(((0.15*B794*5))^4/24)+(((0.15*B794*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76">
      <c r="A776">
        <f>Skills!A18</f>
        <v/>
      </c>
      <c r="B776">
        <f>Skills!B18</f>
        <v/>
      </c>
      <c r="C776">
        <f>Inputs!$B$3&gt;=115</f>
        <v/>
      </c>
      <c r="D776">
        <f>IF(Skills!C18=1,60+Inputs!$B$25+Inputs!$B$29,IF(Skills!C18=2,90+Inputs!$B$26+Inputs!$B$29,IF(Skills!C18=3,120+Inputs!$B$27+Inputs!$B$29,MAX(0,(Inputs!$B$3-100)*3)+Inputs!$B$28+Inputs!$B$29)))</f>
        <v/>
      </c>
      <c r="E776">
        <f>INDEX(FactorTable!$B$2:$Y$301, MATCH(ROUND(MIN(300,MAX(1,D776)),0), FactorTable!$A$2:$A$301,0), Skills!M18+1)</f>
        <v/>
      </c>
      <c r="F776">
        <f>IF(Skills!N18=TRUE,(Skills!L18/10)*(E776/1000),Skills!L18/10)+Skills!O18</f>
        <v/>
      </c>
      <c r="G776">
        <f>Calc!G18</f>
        <v/>
      </c>
      <c r="H776">
        <f>Calc!H18</f>
        <v/>
      </c>
      <c r="I776">
        <f>IF(Skills!AA18&lt;&gt;"",1+(Skills!AA18/10)*(U761/1000)/100,1)</f>
        <v/>
      </c>
      <c r="J776" t="inlineStr"/>
      <c r="K776" t="inlineStr"/>
      <c r="L776" t="inlineStr"/>
      <c r="M776" t="inlineStr"/>
      <c r="N776" t="inlineStr"/>
      <c r="O776">
        <f>(1-Summary!$B$11)*T776+Summary!$B$11*V776</f>
        <v/>
      </c>
      <c r="P776">
        <f>IF(B802=0,0,O776/B802)</f>
        <v/>
      </c>
      <c r="Q776" t="n">
        <v>0</v>
      </c>
      <c r="R776" t="n">
        <v>0</v>
      </c>
      <c r="S776">
        <f>IFERROR(O776/N776,0)</f>
        <v/>
      </c>
      <c r="T776" t="n">
        <v>0</v>
      </c>
      <c r="V776" t="n">
        <v>0</v>
      </c>
    </row>
    <row r="777">
      <c r="A777">
        <f>Skills!A19</f>
        <v/>
      </c>
      <c r="B777">
        <f>Skills!B19</f>
        <v/>
      </c>
      <c r="C777">
        <f>TRUE</f>
        <v/>
      </c>
      <c r="D777">
        <f>IF(Skills!C19=1,60+Inputs!$B$25+Inputs!$B$29,IF(Skills!C19=2,90+Inputs!$B$26+Inputs!$B$29,IF(Skills!C19=3,120+Inputs!$B$27+Inputs!$B$29,MAX(0,(Inputs!$B$3-100)*3)+Inputs!$B$28+Inputs!$B$29)))</f>
        <v/>
      </c>
      <c r="E777">
        <f>INDEX(FactorTable!$B$2:$Y$301, MATCH(ROUND(MIN(300,MAX(1,D777)),0), FactorTable!$A$2:$A$301,0), Skills!M19+1)</f>
        <v/>
      </c>
      <c r="F777">
        <f>IF(Skills!N19=TRUE,(Skills!L19/10)*(E777/1000),Skills!L19/10)+Skills!O19</f>
        <v/>
      </c>
      <c r="G777">
        <f>Calc!G19</f>
        <v/>
      </c>
      <c r="H777">
        <f>Calc!H19</f>
        <v/>
      </c>
      <c r="I777">
        <f>IF(Skills!AA19&lt;&gt;"",1+(Skills!AA19/10)*(U761/1000)/100,1)</f>
        <v/>
      </c>
      <c r="J777" t="inlineStr"/>
      <c r="K777" t="inlineStr"/>
      <c r="L777" t="inlineStr"/>
      <c r="M777" t="inlineStr"/>
      <c r="N777" t="inlineStr"/>
      <c r="O777">
        <f>(1-Summary!$B$11)*T777+Summary!$B$11*V777</f>
        <v/>
      </c>
      <c r="P777">
        <f>IF(B802=0,0,O777/B802)</f>
        <v/>
      </c>
      <c r="Q777">
        <f>IFERROR(1/IF(Inputs!$B$39="pvp",15,MAX(0.1,Skills!D19-IF(Skills!E19=TRUE,Inputs!$B$32,0))),0)</f>
        <v/>
      </c>
      <c r="R777">
        <f>IF(AND(Inputs!$B$39&lt;&gt;"pvp",Inputs!$B$44&gt;0),IF(Inputs!$B$44&lt;=0,0,(INT(Inputs!$B$44/IF(Inputs!$B$39="pvp",15,MAX(0.1,Skills!D19-IF(Skills!E19=TRUE,Inputs!$B$32,0))))+1)),0)</f>
        <v/>
      </c>
      <c r="S777">
        <f>IFERROR(O777/N777,0)</f>
        <v/>
      </c>
      <c r="T777" t="n">
        <v>0</v>
      </c>
      <c r="V777" t="n">
        <v>0</v>
      </c>
    </row>
    <row r="778">
      <c r="A778">
        <f>Skills!A20</f>
        <v/>
      </c>
      <c r="B778">
        <f>Skills!B20</f>
        <v/>
      </c>
      <c r="C778">
        <f>Inputs!$B$3&gt;=15</f>
        <v/>
      </c>
      <c r="D778">
        <f>IF(Skills!C20=1,60+Inputs!$B$25+Inputs!$B$29,IF(Skills!C20=2,90+Inputs!$B$26+Inputs!$B$29,IF(Skills!C20=3,120+Inputs!$B$27+Inputs!$B$29,MAX(0,(Inputs!$B$3-100)*3)+Inputs!$B$28+Inputs!$B$29)))</f>
        <v/>
      </c>
      <c r="E778">
        <f>INDEX(FactorTable!$B$2:$Y$301, MATCH(ROUND(MIN(300,MAX(1,D778)),0), FactorTable!$A$2:$A$301,0), Skills!M20+1)</f>
        <v/>
      </c>
      <c r="F778">
        <f>IF(Skills!N20=TRUE,(Skills!L20/10)*(E778/1000),Skills!L20/10)+Skills!O20</f>
        <v/>
      </c>
      <c r="G778">
        <f>Calc!G20</f>
        <v/>
      </c>
      <c r="H778">
        <f>Calc!H20</f>
        <v/>
      </c>
      <c r="I778">
        <f>IF(Skills!AA20&lt;&gt;"",1+(Skills!AA20/10)*(U761/1000)/100,1)</f>
        <v/>
      </c>
      <c r="J778" t="inlineStr"/>
      <c r="K778" t="inlineStr"/>
      <c r="L778" t="inlineStr"/>
      <c r="M778" t="inlineStr"/>
      <c r="N778" t="inlineStr"/>
      <c r="O778">
        <f>(1-Summary!$B$11)*T778+Summary!$B$11*V778</f>
        <v/>
      </c>
      <c r="P778">
        <f>IF(B802=0,0,O778/B802)</f>
        <v/>
      </c>
      <c r="Q778">
        <f>IFERROR(1/IF(Inputs!$B$39="pvp",15,MAX(0.1,Skills!D20-IF(Skills!E20=TRUE,Inputs!$B$32,0))),0)</f>
        <v/>
      </c>
      <c r="R778">
        <f>IF(AND(Inputs!$B$39&lt;&gt;"pvp",Inputs!$B$44&gt;0),IF(Inputs!$B$44&lt;=0,0,(INT(Inputs!$B$44/IF(Inputs!$B$39="pvp",15,MAX(0.1,Skills!D20-IF(Skills!E20=TRUE,Inputs!$B$32,0))))+1)),0)</f>
        <v/>
      </c>
      <c r="S778">
        <f>IFERROR(O778/N778,0)</f>
        <v/>
      </c>
      <c r="T778" t="n">
        <v>0</v>
      </c>
      <c r="V778" t="n">
        <v>0</v>
      </c>
    </row>
    <row r="779">
      <c r="A779">
        <f>Skills!A21</f>
        <v/>
      </c>
      <c r="B779">
        <f>Skills!B21</f>
        <v/>
      </c>
      <c r="C779">
        <f>Inputs!$B$3&gt;=15</f>
        <v/>
      </c>
      <c r="D779">
        <f>IF(Skills!C21=1,60+Inputs!$B$25+Inputs!$B$29,IF(Skills!C21=2,90+Inputs!$B$26+Inputs!$B$29,IF(Skills!C21=3,120+Inputs!$B$27+Inputs!$B$29,MAX(0,(Inputs!$B$3-100)*3)+Inputs!$B$28+Inputs!$B$29)))</f>
        <v/>
      </c>
      <c r="E779">
        <f>INDEX(FactorTable!$B$2:$Y$301, MATCH(ROUND(MIN(300,MAX(1,D779)),0), FactorTable!$A$2:$A$301,0), Skills!M21+1)</f>
        <v/>
      </c>
      <c r="F779">
        <f>IF(Skills!N21=TRUE,(Skills!L21/10)*(E779/1000),Skills!L21/10)+Skills!O21</f>
        <v/>
      </c>
      <c r="G779">
        <f>Calc!G21</f>
        <v/>
      </c>
      <c r="H779">
        <f>Calc!H21</f>
        <v/>
      </c>
      <c r="I779">
        <f>IF(Skills!AA21&lt;&gt;"",1+(Skills!AA21/10)*(U761/1000)/100,1)</f>
        <v/>
      </c>
      <c r="J779" t="inlineStr"/>
      <c r="K779" t="inlineStr"/>
      <c r="L779" t="inlineStr"/>
      <c r="M779" t="inlineStr"/>
      <c r="N779" t="inlineStr"/>
      <c r="O779">
        <f>(1-Summary!$B$11)*T779+Summary!$B$11*V779</f>
        <v/>
      </c>
      <c r="P779">
        <f>IF(B802=0,0,O779/B802)</f>
        <v/>
      </c>
      <c r="Q779">
        <f>IFERROR(1/IF(Inputs!$B$39="pvp",15,MAX(0.1,Skills!D21-IF(Skills!E21=TRUE,Inputs!$B$32,0))),0)</f>
        <v/>
      </c>
      <c r="R779">
        <f>IF(AND(Inputs!$B$39&lt;&gt;"pvp",Inputs!$B$44&gt;0),IF(Inputs!$B$44&lt;=0,0,(INT(Inputs!$B$44/IF(Inputs!$B$39="pvp",15,MAX(0.1,Skills!D21-IF(Skills!E21=TRUE,Inputs!$B$32,0))))+1)),0)</f>
        <v/>
      </c>
      <c r="S779">
        <f>IFERROR(O779/N779,0)</f>
        <v/>
      </c>
      <c r="T779" t="n">
        <v>0</v>
      </c>
      <c r="V779" t="n">
        <v>0</v>
      </c>
    </row>
    <row r="780">
      <c r="A780">
        <f>Skills!A22</f>
        <v/>
      </c>
      <c r="B780">
        <f>Skills!B22</f>
        <v/>
      </c>
      <c r="C780">
        <f>Inputs!$B$3&gt;=33</f>
        <v/>
      </c>
      <c r="D780">
        <f>IF(Skills!C22=1,60+Inputs!$B$25+Inputs!$B$29,IF(Skills!C22=2,90+Inputs!$B$26+Inputs!$B$29,IF(Skills!C22=3,120+Inputs!$B$27+Inputs!$B$29,MAX(0,(Inputs!$B$3-100)*3)+Inputs!$B$28+Inputs!$B$29)))</f>
        <v/>
      </c>
      <c r="E780">
        <f>INDEX(FactorTable!$B$2:$Y$301, MATCH(ROUND(MIN(300,MAX(1,D780)),0), FactorTable!$A$2:$A$301,0), Skills!M22+1)</f>
        <v/>
      </c>
      <c r="F780">
        <f>IF(Skills!N22=TRUE,(Skills!L22/10)*(E780/1000),Skills!L22/10)+Skills!O22</f>
        <v/>
      </c>
      <c r="G780">
        <f>Calc!G22</f>
        <v/>
      </c>
      <c r="H780">
        <f>Calc!H22</f>
        <v/>
      </c>
      <c r="I780">
        <f>IF(Skills!AA22&lt;&gt;"",1+(Skills!AA22/10)*(U761/1000)/100,1)</f>
        <v/>
      </c>
      <c r="J780" t="inlineStr"/>
      <c r="K780" t="inlineStr"/>
      <c r="L780" t="inlineStr"/>
      <c r="M780" t="inlineStr"/>
      <c r="N780" t="inlineStr"/>
      <c r="O780">
        <f>(1-Summary!$B$11)*T780+Summary!$B$11*V780</f>
        <v/>
      </c>
      <c r="P780">
        <f>IF(B802=0,0,O780/B802)</f>
        <v/>
      </c>
      <c r="Q780" t="n">
        <v>0</v>
      </c>
      <c r="R780" t="n">
        <v>0</v>
      </c>
      <c r="S780">
        <f>IFERROR(O780/N780,0)</f>
        <v/>
      </c>
      <c r="T780" t="n">
        <v>0</v>
      </c>
      <c r="V780" t="n">
        <v>0</v>
      </c>
    </row>
    <row r="781">
      <c r="A781">
        <f>Skills!A23</f>
        <v/>
      </c>
      <c r="B781">
        <f>Skills!B23</f>
        <v/>
      </c>
      <c r="C781">
        <f>Inputs!$B$3&gt;=38</f>
        <v/>
      </c>
      <c r="D781">
        <f>IF(Skills!C23=1,60+Inputs!$B$25+Inputs!$B$29,IF(Skills!C23=2,90+Inputs!$B$26+Inputs!$B$29,IF(Skills!C23=3,120+Inputs!$B$27+Inputs!$B$29,MAX(0,(Inputs!$B$3-100)*3)+Inputs!$B$28+Inputs!$B$29)))</f>
        <v/>
      </c>
      <c r="E781">
        <f>INDEX(FactorTable!$B$2:$Y$301, MATCH(ROUND(MIN(300,MAX(1,D781)),0), FactorTable!$A$2:$A$301,0), Skills!M23+1)</f>
        <v/>
      </c>
      <c r="F781">
        <f>IF(Skills!N23=TRUE,(Skills!L23/10)*(E781/1000),Skills!L23/10)+Skills!O23</f>
        <v/>
      </c>
      <c r="G781">
        <f>Calc!G23</f>
        <v/>
      </c>
      <c r="H781">
        <f>Calc!H23</f>
        <v/>
      </c>
      <c r="I781">
        <f>IF(Skills!AA23&lt;&gt;"",1+(Skills!AA23/10)*(U761/1000)/100,1)</f>
        <v/>
      </c>
      <c r="J781" t="inlineStr"/>
      <c r="K781" t="inlineStr"/>
      <c r="L781" t="inlineStr"/>
      <c r="M781" t="inlineStr"/>
      <c r="N781" t="inlineStr"/>
      <c r="O781">
        <f>(1-Summary!$B$11)*T781+Summary!$B$11*V781</f>
        <v/>
      </c>
      <c r="P781">
        <f>IF(B802=0,0,O781/B802)</f>
        <v/>
      </c>
      <c r="Q781" t="n">
        <v>0</v>
      </c>
      <c r="R781" t="n">
        <v>0</v>
      </c>
      <c r="S781">
        <f>IFERROR(O781/N781,0)</f>
        <v/>
      </c>
      <c r="T781" t="n">
        <v>0</v>
      </c>
      <c r="V781" t="n">
        <v>0</v>
      </c>
    </row>
    <row r="782">
      <c r="A782">
        <f>Skills!A24</f>
        <v/>
      </c>
      <c r="B782">
        <f>Skills!B24</f>
        <v/>
      </c>
      <c r="C782">
        <f>Inputs!$B$3&gt;=40</f>
        <v/>
      </c>
      <c r="D782">
        <f>IF(Skills!C24=1,60+Inputs!$B$25+Inputs!$B$29,IF(Skills!C24=2,90+Inputs!$B$26+Inputs!$B$29,IF(Skills!C24=3,120+Inputs!$B$27+Inputs!$B$29,MAX(0,(Inputs!$B$3-100)*3)+Inputs!$B$28+Inputs!$B$29)))</f>
        <v/>
      </c>
      <c r="E782">
        <f>INDEX(FactorTable!$B$2:$Y$301, MATCH(ROUND(MIN(300,MAX(1,D782)),0), FactorTable!$A$2:$A$301,0), Skills!M24+1)</f>
        <v/>
      </c>
      <c r="F782">
        <f>IF(Skills!N24=TRUE,(Skills!L24/10)*(E782/1000),Skills!L24/10)+Skills!O24</f>
        <v/>
      </c>
      <c r="G782">
        <f>Calc!G24</f>
        <v/>
      </c>
      <c r="H782">
        <f>Calc!H24</f>
        <v/>
      </c>
      <c r="I782">
        <f>IF(Skills!AA24&lt;&gt;"",1+(Skills!AA24/10)*(U761/1000)/100,1)</f>
        <v/>
      </c>
      <c r="J782" t="inlineStr"/>
      <c r="K782" t="inlineStr"/>
      <c r="L782" t="inlineStr"/>
      <c r="M782" t="inlineStr"/>
      <c r="N782" t="inlineStr"/>
      <c r="O782">
        <f>(1-Summary!$B$11)*T782+Summary!$B$11*V782</f>
        <v/>
      </c>
      <c r="P782">
        <f>IF(B802=0,0,O782/B802)</f>
        <v/>
      </c>
      <c r="Q782" t="n">
        <v>0</v>
      </c>
      <c r="R782" t="n">
        <v>0</v>
      </c>
      <c r="S782">
        <f>IFERROR(O782/N782,0)</f>
        <v/>
      </c>
      <c r="T782" t="n">
        <v>0</v>
      </c>
      <c r="V782" t="n">
        <v>0</v>
      </c>
    </row>
    <row r="783">
      <c r="A783">
        <f>Skills!A25</f>
        <v/>
      </c>
      <c r="B783">
        <f>Skills!B25</f>
        <v/>
      </c>
      <c r="C783">
        <f>Inputs!$B$3&gt;=45</f>
        <v/>
      </c>
      <c r="D783">
        <f>IF(Skills!C25=1,60+Inputs!$B$25+Inputs!$B$29,IF(Skills!C25=2,90+Inputs!$B$26+Inputs!$B$29,IF(Skills!C25=3,120+Inputs!$B$27+Inputs!$B$29,MAX(0,(Inputs!$B$3-100)*3)+Inputs!$B$28+Inputs!$B$29)))</f>
        <v/>
      </c>
      <c r="E783">
        <f>INDEX(FactorTable!$B$2:$Y$301, MATCH(ROUND(MIN(300,MAX(1,D783)),0), FactorTable!$A$2:$A$301,0), Skills!M25+1)</f>
        <v/>
      </c>
      <c r="F783">
        <f>IF(Skills!N25=TRUE,(Skills!L25/10)*(E783/1000),Skills!L25/10)+Skills!O25</f>
        <v/>
      </c>
      <c r="G783">
        <f>Calc!G25</f>
        <v/>
      </c>
      <c r="H783">
        <f>Calc!H25</f>
        <v/>
      </c>
      <c r="I783">
        <f>IF(Skills!AA25&lt;&gt;"",1+(Skills!AA25/10)*(U761/1000)/100,1)</f>
        <v/>
      </c>
      <c r="J783" t="inlineStr"/>
      <c r="K783" t="inlineStr"/>
      <c r="L783" t="inlineStr"/>
      <c r="M783" t="inlineStr"/>
      <c r="N783" t="inlineStr"/>
      <c r="O783">
        <f>(1-Summary!$B$11)*T783+Summary!$B$11*V783</f>
        <v/>
      </c>
      <c r="P783">
        <f>IF(B802=0,0,O783/B802)</f>
        <v/>
      </c>
      <c r="Q783" t="n">
        <v>0</v>
      </c>
      <c r="R783" t="n">
        <v>0</v>
      </c>
      <c r="S783">
        <f>IFERROR(O783/N783,0)</f>
        <v/>
      </c>
      <c r="T783" t="n">
        <v>0</v>
      </c>
      <c r="V783" t="n">
        <v>0</v>
      </c>
    </row>
    <row r="784">
      <c r="A784">
        <f>Skills!A26</f>
        <v/>
      </c>
      <c r="B784">
        <f>Skills!B26</f>
        <v/>
      </c>
      <c r="C784">
        <f>Inputs!$B$3&gt;=45</f>
        <v/>
      </c>
      <c r="D784">
        <f>IF(Skills!C26=1,60+Inputs!$B$25+Inputs!$B$29,IF(Skills!C26=2,90+Inputs!$B$26+Inputs!$B$29,IF(Skills!C26=3,120+Inputs!$B$27+Inputs!$B$29,MAX(0,(Inputs!$B$3-100)*3)+Inputs!$B$28+Inputs!$B$29)))</f>
        <v/>
      </c>
      <c r="E784">
        <f>INDEX(FactorTable!$B$2:$Y$301, MATCH(ROUND(MIN(300,MAX(1,D784)),0), FactorTable!$A$2:$A$301,0), Skills!M26+1)</f>
        <v/>
      </c>
      <c r="F784">
        <f>IF(Skills!N26=TRUE,(Skills!L26/10)*(E784/1000),Skills!L26/10)+Skills!O26</f>
        <v/>
      </c>
      <c r="G784">
        <f>Calc!G26</f>
        <v/>
      </c>
      <c r="H784">
        <f>Calc!H26</f>
        <v/>
      </c>
      <c r="I784">
        <f>IF(Skills!AA26&lt;&gt;"",1+(Skills!AA26/10)*(U761/1000)/100,1)</f>
        <v/>
      </c>
      <c r="J784" t="inlineStr"/>
      <c r="K784" t="inlineStr"/>
      <c r="L784" t="inlineStr"/>
      <c r="M784" t="inlineStr"/>
      <c r="N784" t="inlineStr"/>
      <c r="O784">
        <f>(1-Summary!$B$11)*T784+Summary!$B$11*V784</f>
        <v/>
      </c>
      <c r="P784">
        <f>IF(B802=0,0,O784/B802)</f>
        <v/>
      </c>
      <c r="Q784" t="n">
        <v>0</v>
      </c>
      <c r="R784" t="n">
        <v>0</v>
      </c>
      <c r="S784">
        <f>IFERROR(O784/N784,0)</f>
        <v/>
      </c>
      <c r="T784" t="n">
        <v>0</v>
      </c>
      <c r="V784" t="n">
        <v>0</v>
      </c>
    </row>
    <row r="785">
      <c r="A785">
        <f>Skills!A27</f>
        <v/>
      </c>
      <c r="B785">
        <f>Skills!B27</f>
        <v/>
      </c>
      <c r="C785">
        <f>Inputs!$B$3&gt;=72</f>
        <v/>
      </c>
      <c r="D785">
        <f>IF(Skills!C27=1,60+Inputs!$B$25+Inputs!$B$29,IF(Skills!C27=2,90+Inputs!$B$26+Inputs!$B$29,IF(Skills!C27=3,120+Inputs!$B$27+Inputs!$B$29,MAX(0,(Inputs!$B$3-100)*3)+Inputs!$B$28+Inputs!$B$29)))</f>
        <v/>
      </c>
      <c r="E785">
        <f>INDEX(FactorTable!$B$2:$Y$301, MATCH(ROUND(MIN(300,MAX(1,D785)),0), FactorTable!$A$2:$A$301,0), Skills!M27+1)</f>
        <v/>
      </c>
      <c r="F785">
        <f>IF(Skills!N27=TRUE,(Skills!L27/10)*(E785/1000),Skills!L27/10)+Skills!O27</f>
        <v/>
      </c>
      <c r="G785">
        <f>Calc!G27</f>
        <v/>
      </c>
      <c r="H785">
        <f>Calc!H27</f>
        <v/>
      </c>
      <c r="I785">
        <f>IF(Skills!AA27&lt;&gt;"",1+(Skills!AA27/10)*(U761/1000)/100,1)</f>
        <v/>
      </c>
      <c r="J785" t="inlineStr"/>
      <c r="K785" t="inlineStr"/>
      <c r="L785" t="inlineStr"/>
      <c r="M785" t="inlineStr"/>
      <c r="N785" t="inlineStr"/>
      <c r="O785">
        <f>(1-Summary!$B$11)*T785+Summary!$B$11*V785</f>
        <v/>
      </c>
      <c r="P785">
        <f>IF(B802=0,0,O785/B802)</f>
        <v/>
      </c>
      <c r="Q785" t="n">
        <v>0</v>
      </c>
      <c r="R785" t="n">
        <v>0</v>
      </c>
      <c r="S785">
        <f>IFERROR(O785/N785,0)</f>
        <v/>
      </c>
      <c r="T785" t="n">
        <v>0</v>
      </c>
      <c r="V785" t="n">
        <v>0</v>
      </c>
    </row>
    <row r="786">
      <c r="A786">
        <f>Skills!A28</f>
        <v/>
      </c>
      <c r="B786">
        <f>Skills!B28</f>
        <v/>
      </c>
      <c r="C786">
        <f>Inputs!$B$3&gt;=75</f>
        <v/>
      </c>
      <c r="D786">
        <f>IF(Skills!C28=1,60+Inputs!$B$25+Inputs!$B$29,IF(Skills!C28=2,90+Inputs!$B$26+Inputs!$B$29,IF(Skills!C28=3,120+Inputs!$B$27+Inputs!$B$29,MAX(0,(Inputs!$B$3-100)*3)+Inputs!$B$28+Inputs!$B$29)))</f>
        <v/>
      </c>
      <c r="E786">
        <f>INDEX(FactorTable!$B$2:$Y$301, MATCH(ROUND(MIN(300,MAX(1,D786)),0), FactorTable!$A$2:$A$301,0), Skills!M28+1)</f>
        <v/>
      </c>
      <c r="F786">
        <f>IF(Skills!N28=TRUE,(Skills!L28/10)*(E786/1000),Skills!L28/10)+Skills!O28</f>
        <v/>
      </c>
      <c r="G786">
        <f>Calc!G28</f>
        <v/>
      </c>
      <c r="H786">
        <f>Calc!H28</f>
        <v/>
      </c>
      <c r="I786">
        <f>IF(Skills!AA28&lt;&gt;"",1+(Skills!AA28/10)*(U761/1000)/100,1)</f>
        <v/>
      </c>
      <c r="J786" t="inlineStr"/>
      <c r="K786" t="inlineStr"/>
      <c r="L786" t="inlineStr"/>
      <c r="M786" t="inlineStr"/>
      <c r="N786" t="inlineStr"/>
      <c r="O786">
        <f>(1-Summary!$B$11)*T786+Summary!$B$11*V786</f>
        <v/>
      </c>
      <c r="P786">
        <f>IF(B802=0,0,O786/B802)</f>
        <v/>
      </c>
      <c r="Q786" t="n">
        <v>0</v>
      </c>
      <c r="R786" t="n">
        <v>0</v>
      </c>
      <c r="S786">
        <f>IFERROR(O786/N786,0)</f>
        <v/>
      </c>
      <c r="T786" t="n">
        <v>0</v>
      </c>
      <c r="V786" t="n">
        <v>0</v>
      </c>
    </row>
    <row r="787">
      <c r="A787">
        <f>Skills!A29</f>
        <v/>
      </c>
      <c r="B787">
        <f>Skills!B29</f>
        <v/>
      </c>
      <c r="C787">
        <f>Inputs!$B$3&gt;=120</f>
        <v/>
      </c>
      <c r="D787">
        <f>IF(Skills!C29=1,60+Inputs!$B$25+Inputs!$B$29,IF(Skills!C29=2,90+Inputs!$B$26+Inputs!$B$29,IF(Skills!C29=3,120+Inputs!$B$27+Inputs!$B$29,MAX(0,(Inputs!$B$3-100)*3)+Inputs!$B$28+Inputs!$B$29)))</f>
        <v/>
      </c>
      <c r="E787">
        <f>INDEX(FactorTable!$B$2:$Y$301, MATCH(ROUND(MIN(300,MAX(1,D787)),0), FactorTable!$A$2:$A$301,0), Skills!M29+1)</f>
        <v/>
      </c>
      <c r="F787">
        <f>IF(Skills!N29=TRUE,(Skills!L29/10)*(E787/1000),Skills!L29/10)+Skills!O29</f>
        <v/>
      </c>
      <c r="G787">
        <f>Calc!G29</f>
        <v/>
      </c>
      <c r="H787">
        <f>Calc!H29</f>
        <v/>
      </c>
      <c r="I787">
        <f>IF(Skills!AA29&lt;&gt;"",1+(Skills!AA29/10)*(U761/1000)/100,1)</f>
        <v/>
      </c>
      <c r="J787" t="inlineStr"/>
      <c r="K787" t="inlineStr"/>
      <c r="L787" t="inlineStr"/>
      <c r="M787" t="inlineStr"/>
      <c r="N787" t="inlineStr"/>
      <c r="O787">
        <f>(1-Summary!$B$11)*T787+Summary!$B$11*V787</f>
        <v/>
      </c>
      <c r="P787">
        <f>IF(B802=0,0,O787/B802)</f>
        <v/>
      </c>
      <c r="Q787" t="n">
        <v>0</v>
      </c>
      <c r="R787" t="n">
        <v>0</v>
      </c>
      <c r="S787">
        <f>IFERROR(O787/N787,0)</f>
        <v/>
      </c>
      <c r="T787" t="n">
        <v>0</v>
      </c>
      <c r="V787" t="n">
        <v>0</v>
      </c>
    </row>
    <row r="788">
      <c r="A788">
        <f>Skills!A30</f>
        <v/>
      </c>
      <c r="B788">
        <f>Skills!B30</f>
        <v/>
      </c>
      <c r="C788">
        <f>Inputs!$B$3&gt;=125</f>
        <v/>
      </c>
      <c r="D788">
        <f>IF(Skills!C30=1,60+Inputs!$B$25+Inputs!$B$29,IF(Skills!C30=2,90+Inputs!$B$26+Inputs!$B$29,IF(Skills!C30=3,120+Inputs!$B$27+Inputs!$B$29,MAX(0,(Inputs!$B$3-100)*3)+Inputs!$B$28+Inputs!$B$29)))</f>
        <v/>
      </c>
      <c r="E788">
        <f>INDEX(FactorTable!$B$2:$Y$301, MATCH(ROUND(MIN(300,MAX(1,D788)),0), FactorTable!$A$2:$A$301,0), Skills!M30+1)</f>
        <v/>
      </c>
      <c r="F788">
        <f>IF(Skills!N30=TRUE,(Skills!L30/10)*(E788/1000),Skills!L30/10)+Skills!O30</f>
        <v/>
      </c>
      <c r="G788">
        <f>Calc!G30</f>
        <v/>
      </c>
      <c r="H788">
        <f>Calc!H30</f>
        <v/>
      </c>
      <c r="I788">
        <f>IF(Skills!AA30&lt;&gt;"",1+(Skills!AA30/10)*(U761/1000)/100,1)</f>
        <v/>
      </c>
      <c r="J788" t="inlineStr"/>
      <c r="K788" t="inlineStr"/>
      <c r="L788" t="inlineStr"/>
      <c r="M788" t="inlineStr"/>
      <c r="N788" t="inlineStr"/>
      <c r="O788">
        <f>(1-Summary!$B$11)*T788+Summary!$B$11*V788</f>
        <v/>
      </c>
      <c r="P788">
        <f>IF(B802=0,0,O788/B802)</f>
        <v/>
      </c>
      <c r="Q788" t="n">
        <v>0</v>
      </c>
      <c r="R788" t="n">
        <v>0</v>
      </c>
      <c r="S788">
        <f>IFERROR(O788/N788,0)</f>
        <v/>
      </c>
      <c r="T788" t="n">
        <v>0</v>
      </c>
      <c r="V788" t="n">
        <v>0</v>
      </c>
    </row>
    <row r="789">
      <c r="A789">
        <f>Skills!A31</f>
        <v/>
      </c>
      <c r="B789">
        <f>Skills!B31</f>
        <v/>
      </c>
      <c r="C789">
        <f>Inputs!$B$3&gt;=107</f>
        <v/>
      </c>
      <c r="D789">
        <f>IF(Skills!C31=1,60+Inputs!$B$25+Inputs!$B$29,IF(Skills!C31=2,90+Inputs!$B$26+Inputs!$B$29,IF(Skills!C31=3,120+Inputs!$B$27+Inputs!$B$29,MAX(0,(Inputs!$B$3-100)*3)+Inputs!$B$28+Inputs!$B$29)))</f>
        <v/>
      </c>
      <c r="E789">
        <f>INDEX(FactorTable!$B$2:$Y$301, MATCH(ROUND(MIN(300,MAX(1,D789)),0), FactorTable!$A$2:$A$301,0), Skills!M31+1)</f>
        <v/>
      </c>
      <c r="F789">
        <f>IF(Skills!N31=TRUE,(Skills!L31/10)*(E789/1000),Skills!L31/10)+Skills!O31</f>
        <v/>
      </c>
      <c r="G789">
        <f>Calc!G31</f>
        <v/>
      </c>
      <c r="H789">
        <f>Calc!H31</f>
        <v/>
      </c>
      <c r="I789">
        <f>IF(Skills!AA31&lt;&gt;"",1+(Skills!AA31/10)*(U761/1000)/100,1)</f>
        <v/>
      </c>
      <c r="J789" t="inlineStr"/>
      <c r="K789" t="inlineStr"/>
      <c r="L789" t="inlineStr"/>
      <c r="M789" t="inlineStr"/>
      <c r="N789" t="inlineStr"/>
      <c r="O789">
        <f>(1-Summary!$B$11)*T789+Summary!$B$11*V789</f>
        <v/>
      </c>
      <c r="P789">
        <f>IF(B802=0,0,O789/B802)</f>
        <v/>
      </c>
      <c r="Q789" t="n">
        <v>0</v>
      </c>
      <c r="R789" t="n">
        <v>0</v>
      </c>
      <c r="S789">
        <f>IFERROR(O789/N789,0)</f>
        <v/>
      </c>
      <c r="T789" t="n">
        <v>0</v>
      </c>
      <c r="V789" t="n">
        <v>0</v>
      </c>
    </row>
    <row r="791">
      <c r="A791" t="inlineStr">
        <is>
          <t>Actions Per Second (pre-Adrenalin)</t>
        </is>
      </c>
      <c r="B791">
        <f>1+MIN(150,150*(1-(1-(Inputs!$B$11+((C780=TRUE)*(F780-Calc!F22))+(ArtifactsInput!$M$15-ArtifactsInput!$M$15)*CHOOSE(ArtifactsInput!$N$15+1,8,9.6,11.2,12.8,14.4,16))/150)*(1-((C777=TRUE)*F777*IF(AND(Inputs!$B$39&lt;&gt;"pvp",Inputs!$B$44&gt;0),(((R777-1)*(Skills!Y19*(1+Inputs!$B$34/100))+MIN((Skills!Y19*(1+Inputs!$B$34/100)),MAX(0,Inputs!$B$44-((R777-1)*Skills!D19))))/Inputs!$B$44),IF(Inputs!$B$39="pvp",MIN((Skills!Y19*(1+Inputs!$B$34/100)),15)/15,(Skills!Y19*(1+Inputs!$B$34/100))/Skills!D19)))/150)))/100</f>
        <v/>
      </c>
    </row>
    <row r="792">
      <c r="A792" t="inlineStr">
        <is>
          <t>Alchemic Adrenaline Uptime</t>
        </is>
      </c>
      <c r="B792">
        <f>(Skills!Y6*(1+Inputs!$B$34/100))/((Skills!Y6*(1+Inputs!$B$34/100))+(5/B791))</f>
        <v/>
      </c>
    </row>
    <row r="793">
      <c r="A793" t="inlineStr">
        <is>
          <t>Attack Speed Buff Bonus %</t>
        </is>
      </c>
      <c r="B793">
        <f>((C777=TRUE)*F777*IF(AND(Inputs!$B$39&lt;&gt;"pvp",Inputs!$B$44&gt;0),(((R777-1)*(Skills!Y19*(1+Inputs!$B$34/100))+MIN((Skills!Y19*(1+Inputs!$B$34/100)),MAX(0,Inputs!$B$44-((R777-1)*Skills!D19))))/Inputs!$B$44),IF(Inputs!$B$39="pvp",MIN((Skills!Y19*(1+Inputs!$B$34/100)),15)/15,(Skills!Y19*(1+Inputs!$B$34/100))/Skills!D19)))+((C765=TRUE)*F765*B792)</f>
        <v/>
      </c>
    </row>
    <row r="794">
      <c r="A794" t="inlineStr">
        <is>
          <t>Actions Per Second (final)</t>
        </is>
      </c>
      <c r="B794">
        <f>1+MIN(150,150*(1-(1-(Inputs!$B$11+((C780=TRUE)*(F780-Calc!F22))+(ArtifactsInput!$M$15-ArtifactsInput!$M$15)*CHOOSE(ArtifactsInput!$N$15+1,8,9.6,11.2,12.8,14.4,16))/150)*(1-B793/150)))/100</f>
        <v/>
      </c>
    </row>
    <row r="795">
      <c r="A795" t="inlineStr">
        <is>
          <t>Skill + Buff Cast Rate</t>
        </is>
      </c>
      <c r="B795">
        <f>IF(AND(Inputs!$B$39&lt;&gt;"pvp",Inputs!$B$44&gt;0),SUMPRODUCT((Skills!E2:E31=TRUE)*(C760:C789=TRUE)*R760:R789*Skills!F2:F31)/Inputs!$B$44,SUMPRODUCT((Skills!E2:E31=TRUE)*(C760:C789=TRUE)*Q760:Q789*Skills!F2:F31))</f>
        <v/>
      </c>
    </row>
    <row r="796">
      <c r="A796" t="inlineStr">
        <is>
          <t>Showdown Casts Per Second</t>
        </is>
      </c>
      <c r="B796">
        <f>MAX(0,B794-B795)</f>
        <v/>
      </c>
    </row>
    <row r="797">
      <c r="A797" t="inlineStr">
        <is>
          <t>Average Buff Multiplier</t>
        </is>
      </c>
      <c r="B797">
        <f>(1+(((C779=TRUE)*F779*IF(AND(Inputs!$B$39&lt;&gt;"pvp",Inputs!$B$44&gt;0),(((R779-1)*(Skills!Y21*(1+Inputs!$B$34/100))+MIN((Skills!Y21*(1+Inputs!$B$34/100)),MAX(0,Inputs!$B$44-((R779-1)*Skills!D21))))/Inputs!$B$44),IF(Inputs!$B$39="pvp",MIN((Skills!Y21*(1+Inputs!$B$34/100)),15)/15,(Skills!Y21*(1+Inputs!$B$34/100))/Skills!D21)))+((C786=TRUE)*(F786-Calc!F28))+((C776=TRUE)*(F776-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773=TRUE)*F773*IF(AND(Inputs!$B$39&lt;&gt;"pvp",Inputs!$B$44&gt;0),(((R773-1)*(Skills!Y15*(1+Inputs!$B$34/100))+MIN((Skills!Y15*(1+Inputs!$B$34/100)),MAX(0,Inputs!$B$44-((R773-1)*Skills!D15))))/Inputs!$B$44),IF(Inputs!$B$39="pvp",MIN((Skills!Y15*(1+Inputs!$B$34/100)),15)/15,(Skills!Y15*(1+Inputs!$B$34/100))/Skills!D15)))/100)*(1+((C764=TRUE)*F764*B792)/100)</f>
        <v/>
      </c>
    </row>
    <row r="798">
      <c r="A798" t="inlineStr">
        <is>
          <t>Global Crit Rate Bonus %</t>
        </is>
      </c>
      <c r="B798">
        <f>IF(Inputs!$B$3&gt;=47,8,0)+((C778=TRUE)*F778*IF(AND(Inputs!$B$39&lt;&gt;"pvp",Inputs!$B$44&gt;0),(((R778-1)*(Skills!Y20*(1+Inputs!$B$34/100))+MIN((Skills!Y20*(1+Inputs!$B$34/100)),MAX(0,Inputs!$B$44-((R778-1)*Skills!D20))))/Inputs!$B$44),IF(Inputs!$B$39="pvp",MIN((Skills!Y20*(1+Inputs!$B$34/100)),15)/15,(Skills!Y20*(1+Inputs!$B$34/100))/Skills!D20)))</f>
        <v/>
      </c>
    </row>
    <row r="799">
      <c r="A799" t="inlineStr">
        <is>
          <t>Global Monster Damage-Taken Bonus %</t>
        </is>
      </c>
      <c r="B799">
        <f>IF(Inputs!$B$3&gt;=82,15,0)+((C774=TRUE)*F774*IF(AND(Inputs!$B$39&lt;&gt;"pvp",Inputs!$B$44&gt;0),(((R774-1)*(Skills!Y16*(1+Inputs!$B$34/100))+MIN((Skills!Y16*(1+Inputs!$B$34/100)),MAX(0,Inputs!$B$44-((R774-1)*Skills!D16))))/Inputs!$B$44),IF(Inputs!$B$39="pvp",MIN((Skills!Y16*(1+Inputs!$B$34/100)),15)/15,(Skills!Y16*(1+Inputs!$B$34/100))/Skills!D16)))</f>
        <v/>
      </c>
    </row>
    <row r="800">
      <c r="A800" t="inlineStr">
        <is>
          <t>Shadow Partner Average Multiplier</t>
        </is>
      </c>
      <c r="B800">
        <f>1+((C769=TRUE)*F769*I769*Skills!J11/100)/100</f>
        <v/>
      </c>
    </row>
    <row r="801">
      <c r="A801" t="inlineStr">
        <is>
          <t>Global Critical Damage Bonus % (Frailty Curse Mastery Lv.111)</t>
        </is>
      </c>
      <c r="B801">
        <f>IF(Inputs!$B$3&gt;=111,30,0)*IF(AND(Inputs!$B$39&lt;&gt;"pvp",Inputs!$B$44&gt;0),(((R774-1)*(Skills!Y16*(1+Inputs!$B$34/100))+MIN((Skills!Y16*(1+Inputs!$B$34/100)),MAX(0,Inputs!$B$44-((R774-1)*Skills!D16))))/Inputs!$B$44),IF(Inputs!$B$39="pvp",MIN((Skills!Y16*(1+Inputs!$B$34/100)),15)/15,(Skills!Y16*(1+Inputs!$B$34/100))/Skills!D16))</f>
        <v/>
      </c>
    </row>
    <row r="802">
      <c r="A802" s="6" t="inlineStr">
        <is>
          <t>TOTAL DPS</t>
        </is>
      </c>
      <c r="B802" s="6">
        <f>SUM(O760:O789)</f>
        <v/>
      </c>
    </row>
    <row r="803">
      <c r="A803" t="inlineStr">
        <is>
          <t>Buff-Casting Startup Delay (s, fixed-duration only)</t>
        </is>
      </c>
      <c r="B803">
        <f>IF(AND(Inputs!$B$39&lt;&gt;"pvp",Inputs!$B$44&gt;0),SUMPRODUCT((Skills!Y2:Y31&gt;0)*(Skills!E2:E31=TRUE)*(C760:C789=TRUE))/B794,0)</f>
        <v/>
      </c>
    </row>
    <row r="804">
      <c r="A804" t="inlineStr">
        <is>
          <t>Boss-Only Total DPS (this block's swept value)</t>
        </is>
      </c>
      <c r="B804">
        <f>SUM(T760:T789)</f>
        <v/>
      </c>
    </row>
    <row r="805">
      <c r="A805" t="inlineStr">
        <is>
          <t>Normal-Only Total DPS (this block's swept value)</t>
        </is>
      </c>
      <c r="B805">
        <f>SUM(V760:V789)</f>
        <v/>
      </c>
    </row>
    <row r="807">
      <c r="A807" s="6" t="inlineStr">
        <is>
          <t>Stat: SKILL_DAMAGE %</t>
        </is>
      </c>
    </row>
    <row r="808">
      <c r="A808" s="5" t="inlineStr">
        <is>
          <t>Key</t>
        </is>
      </c>
      <c r="B808" s="5" t="inlineStr">
        <is>
          <t>Name</t>
        </is>
      </c>
      <c r="C808" s="5" t="inlineStr">
        <is>
          <t>Unlocked</t>
        </is>
      </c>
      <c r="D808" s="5" t="inlineStr">
        <is>
          <t>InputLevel</t>
        </is>
      </c>
      <c r="E808" s="5" t="inlineStr">
        <is>
          <t>Factor</t>
        </is>
      </c>
      <c r="F808" s="5" t="inlineStr">
        <is>
          <t>CoefficientPercent</t>
        </is>
      </c>
      <c r="G808" s="5" t="inlineStr">
        <is>
          <t>EffectiveHits</t>
        </is>
      </c>
      <c r="H808" s="5" t="inlineStr">
        <is>
          <t>ProcProbability</t>
        </is>
      </c>
      <c r="I808" s="5" t="inlineStr">
        <is>
          <t>MapleHeroMultiplier</t>
        </is>
      </c>
      <c r="J808" s="5" t="inlineStr">
        <is>
          <t>BaseDamage</t>
        </is>
      </c>
      <c r="K808" s="5" t="inlineStr">
        <is>
          <t>BaseHitDamage</t>
        </is>
      </c>
      <c r="L808" s="5" t="inlineStr">
        <is>
          <t>NonCritAvg</t>
        </is>
      </c>
      <c r="M808" s="5" t="inlineStr">
        <is>
          <t>CritAvg</t>
        </is>
      </c>
      <c r="N808" s="5" t="inlineStr">
        <is>
          <t>ExpectedDamage(perHit)</t>
        </is>
      </c>
      <c r="O808" s="5" t="inlineStr">
        <is>
          <t>DPS</t>
        </is>
      </c>
      <c r="P808" s="5" t="inlineStr">
        <is>
          <t>% of Total</t>
        </is>
      </c>
      <c r="Q808" s="5" t="inlineStr">
        <is>
          <t>InvCooldown</t>
        </is>
      </c>
      <c r="R808" s="5" t="inlineStr">
        <is>
          <t>CastsInFight</t>
        </is>
      </c>
      <c r="S808" s="5" t="inlineStr">
        <is>
          <t>HitRate(perSec)</t>
        </is>
      </c>
      <c r="U808" t="inlineStr">
        <is>
          <t>helpers</t>
        </is>
      </c>
    </row>
    <row r="809">
      <c r="A809">
        <f>Skills!A2</f>
        <v/>
      </c>
      <c r="B809">
        <f>Skills!B2</f>
        <v/>
      </c>
      <c r="C809">
        <f>Inputs!$B$3&gt;=100</f>
        <v/>
      </c>
      <c r="D809" t="inlineStr"/>
      <c r="E809" t="inlineStr"/>
      <c r="F809">
        <f>U813+Skills!O2</f>
        <v/>
      </c>
      <c r="G809">
        <f>Calc!G2</f>
        <v/>
      </c>
      <c r="H809">
        <f>Calc!H2</f>
        <v/>
      </c>
      <c r="I809">
        <f>IF(Skills!AA2&lt;&gt;"",1+(Skills!AA2/10)*(U810/1000)/100,1)</f>
        <v/>
      </c>
      <c r="J809">
        <f>((Inputs!$B$6*(1+Inputs!$B$7/100))+(((Inputs!$B$12*(1+Inputs!$B$13/100))-(Inputs!$B$12*(1+Inputs!$B$13/100)))+0.25*(Inputs!$B$14-Inputs!$B$14))*(1+Inputs!$B$7/100))*(F809/100)</f>
        <v/>
      </c>
      <c r="K809">
        <f>J809*(1+((Inputs!$B$12*(1+Inputs!$B$13/100))*0.01+Inputs!$B$14*0.0025)/100)*(1+Inputs!$B$15/100)*(1+Inputs!$B$16/100)*(5000/(6000+Inputs!$B$43*(1-(100*(1-(1-(Inputs!$B$19+0)/100)*(1-CHOOSE(ArtifactsInput!$N$40+1,5,6,7,8,9,10)/100)^(ArtifactsInput!$M$40-ArtifactsInput!$M$40)))/100)))*(1+(Inputs!$B$24+((C837=TRUE)*(F837-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830=TRUE)*(F830-Calc!F23))+(((IF(AND(ArtifactsInput!$M$42,((Inputs!$B$9+((C832=TRUE)*(F832-Calc!F25))+B847+(ArtifactsInput!$M$24-ArtifactsInput!$M$24)*CHOOSE(ArtifactsInput!$N$24+1,10,12,14,16,18,20)+IF(ArtifactsInput!$M$10,CHOOSE(ArtifactsInput!$N$10+1,15,18,21,24,27,30)*(IF(Inputs!$B$39="pvp",MIN(15,15)/15,IF(AND(Inputs!$B$39&lt;&gt;"pvp",Inputs!$B$44&gt;0),MIN(15,Inputs!$B$44)/(Inputs!$B$44),0))),0)))&gt;=100),MIN(100,((Inputs!$B$9+((C832=TRUE)*(F832-Calc!F25))+B847+(ArtifactsInput!$M$24-ArtifactsInput!$M$24)*CHOOSE(ArtifactsInput!$N$24+1,10,12,14,16,18,20)+IF(ArtifactsInput!$M$10,CHOOSE(ArtifactsInput!$N$10+1,15,18,21,24,27,30)*(IF(Inputs!$B$39="pvp",MIN(15,15)/15,IF(AND(Inputs!$B$39&lt;&gt;"pvp",Inputs!$B$44&gt;0),MIN(15,Inputs!$B$44)/(Inputs!$B$44),0))),0)))-100),0))*CHOOSE(ArtifactsInput!$N$42+1,0.6,0.72,0.84,0.96,1.08,1.2))),(Inputs!$B$18+1)+((C836=TRUE)*(F836-Calc!F29))+(IF(AND(ArtifactsInput!$M$42,((Inputs!$B$9+((C832=TRUE)*(F832-Calc!F25))+B847+(ArtifactsInput!$M$24-ArtifactsInput!$M$24)*CHOOSE(ArtifactsInput!$N$24+1,10,12,14,16,18,20)+IF(ArtifactsInput!$M$10,CHOOSE(ArtifactsInput!$N$10+1,15,18,21,24,27,30)*(IF(Inputs!$B$39="pvp",MIN(15,15)/15,IF(AND(Inputs!$B$39&lt;&gt;"pvp",Inputs!$B$44&gt;0),MIN(15,Inputs!$B$44)/(Inputs!$B$44),0))),0)))&gt;=100),CHOOSE(ArtifactsInput!$N$42+1,40,48,56,64,72,80),0))))/100)*(((1+(((C828=TRUE)*F828*IF(AND(Inputs!$B$39&lt;&gt;"pvp",Inputs!$B$44&gt;0),(((R828-1)*(Skills!Y21*(1+Inputs!$B$34/100))+MIN((Skills!Y21*(1+Inputs!$B$34/100)),MAX(0,Inputs!$B$44-((R828-1)*Skills!D21))))/Inputs!$B$44),IF(Inputs!$B$39="pvp",MIN((Skills!Y21*(1+Inputs!$B$34/100)),15)/15,(Skills!Y21*(1+Inputs!$B$34/100))/Skills!D21)))+((C835=TRUE)*(F835-Calc!F28))+((C825=TRUE)*(F825-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822=TRUE)*F822*IF(AND(Inputs!$B$39&lt;&gt;"pvp",Inputs!$B$44&gt;0),(((R822-1)*(Skills!Y15*(1+Inputs!$B$34/100))+MIN((Skills!Y15*(1+Inputs!$B$34/100)),MAX(0,Inputs!$B$44-((R822-1)*Skills!D15))))/Inputs!$B$44),IF(Inputs!$B$39="pvp",MIN((Skills!Y15*(1+Inputs!$B$34/100)),15)/15,(Skills!Y15*(1+Inputs!$B$34/100))/Skills!D15)))/100)*(1+((C813=TRUE)*F813*B841)/100))*B849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809)</f>
        <v/>
      </c>
      <c r="L809">
        <f>K809*(MIN(Inputs!$B$22+((C831=TRUE)*(F831-Calc!F24)),(Inputs!$B$23+0+(IF(ArtifactsInput!$M$15,CHOOSE(ArtifactsInput!$N$15+1,25,30,35,40,45,50)/100*(Inputs!$B$11-Inputs!$B$11),0))))/100+(Inputs!$B$23+0+(IF(ArtifactsInput!$M$15,CHOOSE(ArtifactsInput!$N$15+1,25,30,35,40,45,50)/100*(Inputs!$B$11-Inputs!$B$11),0)))/100)/2</f>
        <v/>
      </c>
      <c r="M809">
        <f>L809*(1+(Inputs!$B$10+((C833=TRUE)*(F833-Calc!F26))+B850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09">
        <f>L809*(1-MIN((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809*(MIN((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09">
        <f>(1-Summary!$B$11)*T809+Summary!$B$11*V809</f>
        <v/>
      </c>
      <c r="P809">
        <f>IF(B851=0,0,O809/B851)</f>
        <v/>
      </c>
      <c r="Q809" t="n">
        <v>0</v>
      </c>
      <c r="R809" t="n">
        <v>0</v>
      </c>
      <c r="S809">
        <f>IFERROR(O809/N809,0)</f>
        <v/>
      </c>
      <c r="T809">
        <f>IF(C809,(Skills!G2*N809*B845)*IF(Inputs!$B$39="pvp",1,1+(Inputs!$B$20+((C834=TRUE)*(F834-Calc!F27))+Skills!P2+B848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Hunt"),CHOOSE(ArtifactsInput!$N$35+1,15,18,21,24,27,30)*(1-EXP(-(0.2*B843)*5)),0)+IF(AND(ArtifactsInput!$M$22,Inputs!$B$4&lt;&gt;"Chapter Hunt"),CHOOSE(ArtifactsInput!$N$22+1,10,12,14,16,18,20)*((0*(((0.15*B843*5))^0/1)+1*(((0.15*B843*5))^1/1)+2*(((0.15*B843*5))^2/2)+3*(((0.15*B843*5))^3/6)+4*(((0.15*B843*5))^4/24)+5*(((0.15*B843*5))^5/120))/((((0.15*B843*5))^0/1)+(((0.15*B843*5))^1/1)+(((0.15*B843*5))^2/2)+(((0.15*B843*5))^3/6)+(((0.15*B843*5))^4/24)+(((0.15*B843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809*(1-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809*(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809*(1-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809*(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09">
        <f>MAX(0,(Inputs!$B$3-100)*3)+Inputs!$B$28+Inputs!$B$29</f>
        <v/>
      </c>
      <c r="V809">
        <f>IF(C809,(Skills!G2*N809*B845)*IF(Inputs!$B$39="pvp",1,(1+(Inputs!$B$21+Skills!Q2+B848+(IF(ArtifactsInput!$M$33,CHOOSE(ArtifactsInput!$N$33+1,30,36,42,48,54,60),0))+(IF(AND(ArtifactsInput!$M$35,Inputs!$B$4&lt;&gt;"Chapter Hunt"),CHOOSE(ArtifactsInput!$N$35+1,15,18,21,24,27,30)*(1-EXP(-(0.2*B843)*5)),0)+IF(AND(ArtifactsInput!$M$22,Inputs!$B$4&lt;&gt;"Chapter Hunt"),CHOOSE(ArtifactsInput!$N$22+1,10,12,14,16,18,20)*((0*(((0.15*B843*5))^0/1)+1*(((0.15*B843*5))^1/1)+2*(((0.15*B843*5))^2/2)+3*(((0.15*B843*5))^3/6)+4*(((0.15*B843*5))^4/24)+5*(((0.15*B843*5))^5/120))/((((0.15*B843*5))^0/1)+(((0.15*B843*5))^1/1)+(((0.15*B843*5))^2/2)+(((0.15*B843*5))^3/6)+(((0.15*B843*5))^4/24)+(((0.15*B843*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10">
      <c r="A810">
        <f>Skills!A3</f>
        <v/>
      </c>
      <c r="B810">
        <f>Skills!B3</f>
        <v/>
      </c>
      <c r="C810">
        <f>Inputs!$B$3&gt;=35</f>
        <v/>
      </c>
      <c r="D810">
        <f>IF(Skills!C3=1,60+Inputs!$B$25+Inputs!$B$29,IF(Skills!C3=2,90+Inputs!$B$26+Inputs!$B$29,IF(Skills!C3=3,120+Inputs!$B$27+Inputs!$B$29,MAX(0,(Inputs!$B$3-100)*3)+Inputs!$B$28+Inputs!$B$29)))</f>
        <v/>
      </c>
      <c r="E810">
        <f>INDEX(FactorTable!$B$2:$Y$301, MATCH(ROUND(MIN(300,MAX(1,D810)),0), FactorTable!$A$2:$A$301,0), Skills!M3+1)</f>
        <v/>
      </c>
      <c r="F810">
        <f>IF(Skills!N3=TRUE,(Skills!L3/10)*(E810/1000),Skills!L3/10)+Skills!O3</f>
        <v/>
      </c>
      <c r="G810">
        <f>Calc!G3</f>
        <v/>
      </c>
      <c r="H810">
        <f>Calc!H3</f>
        <v/>
      </c>
      <c r="I810">
        <f>IF(Skills!AA3&lt;&gt;"",1+(Skills!AA3/10)*(U810/1000)/100,1)</f>
        <v/>
      </c>
      <c r="J810">
        <f>((Inputs!$B$6*(1+Inputs!$B$7/100))+(((Inputs!$B$12*(1+Inputs!$B$13/100))-(Inputs!$B$12*(1+Inputs!$B$13/100)))+0.25*(Inputs!$B$14-Inputs!$B$14))*(1+Inputs!$B$7/100))*(F810/100)</f>
        <v/>
      </c>
      <c r="K810">
        <f>J810*(1+((Inputs!$B$12*(1+Inputs!$B$13/100))*0.01+Inputs!$B$14*0.0025)/100)*(1+Inputs!$B$15/100)*(1+Inputs!$B$16/100)*(5000/(6000+Inputs!$B$43*(1-(100*(1-(1-(Inputs!$B$19+0)/100)*(1-CHOOSE(ArtifactsInput!$N$40+1,5,6,7,8,9,10)/100)^(ArtifactsInput!$M$40-ArtifactsInput!$M$40)))/100)))*(1+(Inputs!$B$24+((C837=TRUE)*(F837-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830=TRUE)*(F830-Calc!F23))+(((IF(AND(ArtifactsInput!$M$42,((Inputs!$B$9+((C832=TRUE)*(F832-Calc!F25))+B847+(ArtifactsInput!$M$24-ArtifactsInput!$M$24)*CHOOSE(ArtifactsInput!$N$24+1,10,12,14,16,18,20)+IF(ArtifactsInput!$M$10,CHOOSE(ArtifactsInput!$N$10+1,15,18,21,24,27,30)*(IF(Inputs!$B$39="pvp",MIN(15,15)/15,IF(AND(Inputs!$B$39&lt;&gt;"pvp",Inputs!$B$44&gt;0),MIN(15,Inputs!$B$44)/(Inputs!$B$44),0))),0)))&gt;=100),MIN(100,((Inputs!$B$9+((C832=TRUE)*(F832-Calc!F25))+B847+(ArtifactsInput!$M$24-ArtifactsInput!$M$24)*CHOOSE(ArtifactsInput!$N$24+1,10,12,14,16,18,20)+IF(ArtifactsInput!$M$10,CHOOSE(ArtifactsInput!$N$10+1,15,18,21,24,27,30)*(IF(Inputs!$B$39="pvp",MIN(15,15)/15,IF(AND(Inputs!$B$39&lt;&gt;"pvp",Inputs!$B$44&gt;0),MIN(15,Inputs!$B$44)/(Inputs!$B$44),0))),0)))-100),0))*CHOOSE(ArtifactsInput!$N$42+1,0.6,0.72,0.84,0.96,1.08,1.2))),(Inputs!$B$18+1)+((C836=TRUE)*(F836-Calc!F29))+(IF(AND(ArtifactsInput!$M$42,((Inputs!$B$9+((C832=TRUE)*(F832-Calc!F25))+B847+(ArtifactsInput!$M$24-ArtifactsInput!$M$24)*CHOOSE(ArtifactsInput!$N$24+1,10,12,14,16,18,20)+IF(ArtifactsInput!$M$10,CHOOSE(ArtifactsInput!$N$10+1,15,18,21,24,27,30)*(IF(Inputs!$B$39="pvp",MIN(15,15)/15,IF(AND(Inputs!$B$39&lt;&gt;"pvp",Inputs!$B$44&gt;0),MIN(15,Inputs!$B$44)/(Inputs!$B$44),0))),0)))&gt;=100),CHOOSE(ArtifactsInput!$N$42+1,40,48,56,64,72,80),0))))/100)*(((1+(((C828=TRUE)*F828*IF(AND(Inputs!$B$39&lt;&gt;"pvp",Inputs!$B$44&gt;0),(((R828-1)*(Skills!Y21*(1+Inputs!$B$34/100))+MIN((Skills!Y21*(1+Inputs!$B$34/100)),MAX(0,Inputs!$B$44-((R828-1)*Skills!D21))))/Inputs!$B$44),IF(Inputs!$B$39="pvp",MIN((Skills!Y21*(1+Inputs!$B$34/100)),15)/15,(Skills!Y21*(1+Inputs!$B$34/100))/Skills!D21)))+((C835=TRUE)*(F835-Calc!F28))+((C825=TRUE)*(F825-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822=TRUE)*F822*IF(AND(Inputs!$B$39&lt;&gt;"pvp",Inputs!$B$44&gt;0),(((R822-1)*(Skills!Y15*(1+Inputs!$B$34/100))+MIN((Skills!Y15*(1+Inputs!$B$34/100)),MAX(0,Inputs!$B$44-((R822-1)*Skills!D15))))/Inputs!$B$44),IF(Inputs!$B$39="pvp",MIN((Skills!Y15*(1+Inputs!$B$34/100)),15)/15,(Skills!Y15*(1+Inputs!$B$34/100))/Skills!D15)))/100)*(1+((C813=TRUE)*F813*B841)/100))*B849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810)</f>
        <v/>
      </c>
      <c r="L810">
        <f>K810*(MIN(Inputs!$B$22+((C831=TRUE)*(F831-Calc!F24)),(Inputs!$B$23+0+(IF(ArtifactsInput!$M$15,CHOOSE(ArtifactsInput!$N$15+1,25,30,35,40,45,50)/100*(Inputs!$B$11-Inputs!$B$11),0))))/100+(Inputs!$B$23+0+(IF(ArtifactsInput!$M$15,CHOOSE(ArtifactsInput!$N$15+1,25,30,35,40,45,50)/100*(Inputs!$B$11-Inputs!$B$11),0)))/100)/2</f>
        <v/>
      </c>
      <c r="M810">
        <f>L810*(1+(Inputs!$B$10+((C833=TRUE)*(F833-Calc!F26))+B850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10">
        <f>L810*(1-MIN((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810*(MIN((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10">
        <f>(1-Summary!$B$11)*T810+Summary!$B$11*V810</f>
        <v/>
      </c>
      <c r="P810">
        <f>IF(B851=0,0,O810/B851)</f>
        <v/>
      </c>
      <c r="Q810">
        <f>IFERROR(1/IF(Inputs!$B$39="pvp",15,MAX(0.1,Skills!D3-IF(Skills!E3=TRUE,Inputs!$B$32,0))),0)</f>
        <v/>
      </c>
      <c r="R810">
        <f>IF(AND(Inputs!$B$39&lt;&gt;"pvp",Inputs!$B$44&gt;0),IF(MAX(0,Inputs!$B$44-B852)&lt;=0,0,(INT(MAX(0,Inputs!$B$44-B852)/IF(Inputs!$B$39="pvp",15,MAX(0.1,Skills!D3-IF(Skills!E3=TRUE,Inputs!$B$32,0))))+1)),0)</f>
        <v/>
      </c>
      <c r="S810">
        <f>IFERROR(O810/N810,0)</f>
        <v/>
      </c>
      <c r="T810">
        <f>IF(C810,(H810*N810*IF(AND(Inputs!$B$39&lt;&gt;"pvp",Inputs!$B$44&gt;0),((Skills!G3*((R810-1)*IF(Skills!H3&gt;0,Skills!I3/Skills!H3,1)+IF(Skills!H3&gt;0,MIN(Skills!I3,MAX(0,MAX(0,Inputs!$B$44-B852)-((R810-1)*IF(Inputs!$B$39="pvp",15,MAX(0.1,Skills!D3-IF(Skills!E3=TRUE,Inputs!$B$32,0))))))/Skills!H3,1)))/Inputs!$B$44),G810*Q810))*IF(Inputs!$B$39="pvp",1,1+(Inputs!$B$20+((C834=TRUE)*(F834-Calc!F27))+Skills!P3+B848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Hunt"),CHOOSE(ArtifactsInput!$N$35+1,15,18,21,24,27,30)*(1-EXP(-(0.2*B843)*5)),0)+IF(AND(ArtifactsInput!$M$22,Inputs!$B$4&lt;&gt;"Chapter Hunt"),CHOOSE(ArtifactsInput!$N$22+1,10,12,14,16,18,20)*((0*(((0.15*B843*5))^0/1)+1*(((0.15*B843*5))^1/1)+2*(((0.15*B843*5))^2/2)+3*(((0.15*B843*5))^3/6)+4*(((0.15*B843*5))^4/24)+5*(((0.15*B843*5))^5/120))/((((0.15*B843*5))^0/1)+(((0.15*B843*5))^1/1)+(((0.15*B843*5))^2/2)+(((0.15*B843*5))^3/6)+(((0.15*B843*5))^4/24)+(((0.15*B843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810*(1-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810*(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810*(1-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810*(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10">
        <f>INDEX(FactorTable!$B$2:$Y$301, MATCH(ROUND(MIN(300,MAX(1,U809)),0), FactorTable!$A$2:$A$301,0), 24)</f>
        <v/>
      </c>
      <c r="V810">
        <f>IF(C810,(H810*N810*IF(AND(Inputs!$B$39&lt;&gt;"pvp",Inputs!$B$44&gt;0),((Skills!G3*((R810-1)*IF(Skills!H3&gt;0,Skills!I3/Skills!H3,1)+IF(Skills!H3&gt;0,MIN(Skills!I3,MAX(0,MAX(0,Inputs!$B$44-B852)-((R810-1)*IF(Inputs!$B$39="pvp",15,MAX(0.1,Skills!D3-IF(Skills!E3=TRUE,Inputs!$B$32,0))))))/Skills!H3,1)))/Inputs!$B$44),G810*Q810))*IF(Inputs!$B$39="pvp",1,(1+(Inputs!$B$21+Skills!Q3+B848+(IF(ArtifactsInput!$M$33,CHOOSE(ArtifactsInput!$N$33+1,30,36,42,48,54,60),0))+(IF(AND(ArtifactsInput!$M$35,Inputs!$B$4&lt;&gt;"Chapter Hunt"),CHOOSE(ArtifactsInput!$N$35+1,15,18,21,24,27,30)*(1-EXP(-(0.2*B843)*5)),0)+IF(AND(ArtifactsInput!$M$22,Inputs!$B$4&lt;&gt;"Chapter Hunt"),CHOOSE(ArtifactsInput!$N$22+1,10,12,14,16,18,20)*((0*(((0.15*B843*5))^0/1)+1*(((0.15*B843*5))^1/1)+2*(((0.15*B843*5))^2/2)+3*(((0.15*B843*5))^3/6)+4*(((0.15*B843*5))^4/24)+5*(((0.15*B843*5))^5/120))/((((0.15*B843*5))^0/1)+(((0.15*B843*5))^1/1)+(((0.15*B843*5))^2/2)+(((0.15*B843*5))^3/6)+(((0.15*B843*5))^4/24)+(((0.15*B843*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11">
      <c r="A811">
        <f>Skills!A4</f>
        <v/>
      </c>
      <c r="B811">
        <f>Skills!B4</f>
        <v/>
      </c>
      <c r="C811">
        <f>Inputs!$B$3&gt;=40</f>
        <v/>
      </c>
      <c r="D811">
        <f>IF(Skills!C4=1,60+Inputs!$B$25+Inputs!$B$29,IF(Skills!C4=2,90+Inputs!$B$26+Inputs!$B$29,IF(Skills!C4=3,120+Inputs!$B$27+Inputs!$B$29,MAX(0,(Inputs!$B$3-100)*3)+Inputs!$B$28+Inputs!$B$29)))</f>
        <v/>
      </c>
      <c r="E811">
        <f>INDEX(FactorTable!$B$2:$Y$301, MATCH(ROUND(MIN(300,MAX(1,D811)),0), FactorTable!$A$2:$A$301,0), Skills!M4+1)</f>
        <v/>
      </c>
      <c r="F811">
        <f>IF(Skills!N4=TRUE,(Skills!L4/10)*(E811/1000),Skills!L4/10)+Skills!O4</f>
        <v/>
      </c>
      <c r="G811">
        <f>Calc!G4</f>
        <v/>
      </c>
      <c r="H811">
        <f>Calc!H4</f>
        <v/>
      </c>
      <c r="I811">
        <f>IF(Skills!AA4&lt;&gt;"",1+(Skills!AA4/10)*(U810/1000)/100,1)</f>
        <v/>
      </c>
      <c r="J811">
        <f>((Inputs!$B$6*(1+Inputs!$B$7/100))+(((Inputs!$B$12*(1+Inputs!$B$13/100))-(Inputs!$B$12*(1+Inputs!$B$13/100)))+0.25*(Inputs!$B$14-Inputs!$B$14))*(1+Inputs!$B$7/100))*(F811/100)</f>
        <v/>
      </c>
      <c r="K811">
        <f>J811*(1+((Inputs!$B$12*(1+Inputs!$B$13/100))*0.01+Inputs!$B$14*0.0025)/100)*(1+Inputs!$B$15/100)*(1+Inputs!$B$16/100)*(5000/(6000+Inputs!$B$43*(1-(100*(1-(1-(Inputs!$B$19+0)/100)*(1-CHOOSE(ArtifactsInput!$N$40+1,5,6,7,8,9,10)/100)^(ArtifactsInput!$M$40-ArtifactsInput!$M$40)))/100)))*(1+(Inputs!$B$24+((C837=TRUE)*(F837-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830=TRUE)*(F830-Calc!F23))+(((IF(AND(ArtifactsInput!$M$42,((Inputs!$B$9+((C832=TRUE)*(F832-Calc!F25))+B847+(ArtifactsInput!$M$24-ArtifactsInput!$M$24)*CHOOSE(ArtifactsInput!$N$24+1,10,12,14,16,18,20)+IF(ArtifactsInput!$M$10,CHOOSE(ArtifactsInput!$N$10+1,15,18,21,24,27,30)*(IF(Inputs!$B$39="pvp",MIN(15,15)/15,IF(AND(Inputs!$B$39&lt;&gt;"pvp",Inputs!$B$44&gt;0),MIN(15,Inputs!$B$44)/(Inputs!$B$44),0))),0)))&gt;=100),MIN(100,((Inputs!$B$9+((C832=TRUE)*(F832-Calc!F25))+B847+(ArtifactsInput!$M$24-ArtifactsInput!$M$24)*CHOOSE(ArtifactsInput!$N$24+1,10,12,14,16,18,20)+IF(ArtifactsInput!$M$10,CHOOSE(ArtifactsInput!$N$10+1,15,18,21,24,27,30)*(IF(Inputs!$B$39="pvp",MIN(15,15)/15,IF(AND(Inputs!$B$39&lt;&gt;"pvp",Inputs!$B$44&gt;0),MIN(15,Inputs!$B$44)/(Inputs!$B$44),0))),0)))-100),0))*CHOOSE(ArtifactsInput!$N$42+1,0.6,0.72,0.84,0.96,1.08,1.2))),(Inputs!$B$18+1)+((C836=TRUE)*(F836-Calc!F29))+(IF(AND(ArtifactsInput!$M$42,((Inputs!$B$9+((C832=TRUE)*(F832-Calc!F25))+B847+(ArtifactsInput!$M$24-ArtifactsInput!$M$24)*CHOOSE(ArtifactsInput!$N$24+1,10,12,14,16,18,20)+IF(ArtifactsInput!$M$10,CHOOSE(ArtifactsInput!$N$10+1,15,18,21,24,27,30)*(IF(Inputs!$B$39="pvp",MIN(15,15)/15,IF(AND(Inputs!$B$39&lt;&gt;"pvp",Inputs!$B$44&gt;0),MIN(15,Inputs!$B$44)/(Inputs!$B$44),0))),0)))&gt;=100),CHOOSE(ArtifactsInput!$N$42+1,40,48,56,64,72,80),0))))/100)*(((1+(((C828=TRUE)*F828*IF(AND(Inputs!$B$39&lt;&gt;"pvp",Inputs!$B$44&gt;0),(((R828-1)*(Skills!Y21*(1+Inputs!$B$34/100))+MIN((Skills!Y21*(1+Inputs!$B$34/100)),MAX(0,Inputs!$B$44-((R828-1)*Skills!D21))))/Inputs!$B$44),IF(Inputs!$B$39="pvp",MIN((Skills!Y21*(1+Inputs!$B$34/100)),15)/15,(Skills!Y21*(1+Inputs!$B$34/100))/Skills!D21)))+((C835=TRUE)*(F835-Calc!F28))+((C825=TRUE)*(F825-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822=TRUE)*F822*IF(AND(Inputs!$B$39&lt;&gt;"pvp",Inputs!$B$44&gt;0),(((R822-1)*(Skills!Y15*(1+Inputs!$B$34/100))+MIN((Skills!Y15*(1+Inputs!$B$34/100)),MAX(0,Inputs!$B$44-((R822-1)*Skills!D15))))/Inputs!$B$44),IF(Inputs!$B$39="pvp",MIN((Skills!Y15*(1+Inputs!$B$34/100)),15)/15,(Skills!Y15*(1+Inputs!$B$34/100))/Skills!D15)))/100)*(1+((C813=TRUE)*F813*B841)/100))*B849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811)</f>
        <v/>
      </c>
      <c r="L811">
        <f>K811*(MIN(Inputs!$B$22+((C831=TRUE)*(F831-Calc!F24)),(Inputs!$B$23+0+(IF(ArtifactsInput!$M$15,CHOOSE(ArtifactsInput!$N$15+1,25,30,35,40,45,50)/100*(Inputs!$B$11-Inputs!$B$11),0))))/100+(Inputs!$B$23+0+(IF(ArtifactsInput!$M$15,CHOOSE(ArtifactsInput!$N$15+1,25,30,35,40,45,50)/100*(Inputs!$B$11-Inputs!$B$11),0)))/100)/2</f>
        <v/>
      </c>
      <c r="M811">
        <f>L811*(1+(Inputs!$B$10+((C833=TRUE)*(F833-Calc!F26))+B850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11">
        <f>L811*(1-MIN((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811*(MIN((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11">
        <f>(1-Summary!$B$11)*T811+Summary!$B$11*V811</f>
        <v/>
      </c>
      <c r="P811">
        <f>IF(B851=0,0,O811/B851)</f>
        <v/>
      </c>
      <c r="Q811">
        <f>IFERROR(1/IF(Inputs!$B$39="pvp",15,MAX(0.1,Skills!D4-IF(Skills!E4=TRUE,Inputs!$B$32,0))),0)</f>
        <v/>
      </c>
      <c r="R811">
        <f>IF(AND(Inputs!$B$39&lt;&gt;"pvp",Inputs!$B$44&gt;0),IF(MAX(0,Inputs!$B$44-B852)&lt;=0,0,(INT(MAX(0,Inputs!$B$44-B852)/IF(Inputs!$B$39="pvp",15,MAX(0.1,Skills!D4-IF(Skills!E4=TRUE,Inputs!$B$32,0))))+1)),0)</f>
        <v/>
      </c>
      <c r="S811">
        <f>IFERROR(O811/N811,0)</f>
        <v/>
      </c>
      <c r="T811">
        <f>IF(C811,(H811*N811*IF(AND(Inputs!$B$39&lt;&gt;"pvp",Inputs!$B$44&gt;0),((Skills!G4*((R811-1)*IF(Skills!H4&gt;0,Skills!I4/Skills!H4,1)+IF(Skills!H4&gt;0,MIN(Skills!I4,MAX(0,MAX(0,Inputs!$B$44-B852)-((R811-1)*IF(Inputs!$B$39="pvp",15,MAX(0.1,Skills!D4-IF(Skills!E4=TRUE,Inputs!$B$32,0))))))/Skills!H4,1)))/Inputs!$B$44),G811*Q811))*IF(Inputs!$B$39="pvp",1,1+(Inputs!$B$20+((C834=TRUE)*(F834-Calc!F27))+Skills!P4+B848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Hunt"),CHOOSE(ArtifactsInput!$N$35+1,15,18,21,24,27,30)*(1-EXP(-(0.2*B843)*5)),0)+IF(AND(ArtifactsInput!$M$22,Inputs!$B$4&lt;&gt;"Chapter Hunt"),CHOOSE(ArtifactsInput!$N$22+1,10,12,14,16,18,20)*((0*(((0.15*B843*5))^0/1)+1*(((0.15*B843*5))^1/1)+2*(((0.15*B843*5))^2/2)+3*(((0.15*B843*5))^3/6)+4*(((0.15*B843*5))^4/24)+5*(((0.15*B843*5))^5/120))/((((0.15*B843*5))^0/1)+(((0.15*B843*5))^1/1)+(((0.15*B843*5))^2/2)+(((0.15*B843*5))^3/6)+(((0.15*B843*5))^4/24)+(((0.15*B843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811*(1-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811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811*(1-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811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11">
        <f>MAX(0,(Inputs!$B$3-100)*3)+Inputs!$B$28+Inputs!$B$29</f>
        <v/>
      </c>
      <c r="V811">
        <f>IF(C811,(H811*N811*IF(AND(Inputs!$B$39&lt;&gt;"pvp",Inputs!$B$44&gt;0),((Skills!G4*((R811-1)*IF(Skills!H4&gt;0,Skills!I4/Skills!H4,1)+IF(Skills!H4&gt;0,MIN(Skills!I4,MAX(0,MAX(0,Inputs!$B$44-B852)-((R811-1)*IF(Inputs!$B$39="pvp",15,MAX(0.1,Skills!D4-IF(Skills!E4=TRUE,Inputs!$B$32,0))))))/Skills!H4,1)))/Inputs!$B$44),G811*Q811))*IF(Inputs!$B$39="pvp",1,(1+(Inputs!$B$21+Skills!Q4+B848+(IF(ArtifactsInput!$M$33,CHOOSE(ArtifactsInput!$N$33+1,30,36,42,48,54,60),0))+(IF(AND(ArtifactsInput!$M$35,Inputs!$B$4&lt;&gt;"Chapter Hunt"),CHOOSE(ArtifactsInput!$N$35+1,15,18,21,24,27,30)*(1-EXP(-(0.2*B843)*5)),0)+IF(AND(ArtifactsInput!$M$22,Inputs!$B$4&lt;&gt;"Chapter Hunt"),CHOOSE(ArtifactsInput!$N$22+1,10,12,14,16,18,20)*((0*(((0.15*B843*5))^0/1)+1*(((0.15*B843*5))^1/1)+2*(((0.15*B843*5))^2/2)+3*(((0.15*B843*5))^3/6)+4*(((0.15*B843*5))^4/24)+5*(((0.15*B843*5))^5/120))/((((0.15*B843*5))^0/1)+(((0.15*B843*5))^1/1)+(((0.15*B843*5))^2/2)+(((0.15*B843*5))^3/6)+(((0.15*B843*5))^4/24)+(((0.15*B843*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12">
      <c r="A812">
        <f>Skills!A5</f>
        <v/>
      </c>
      <c r="B812">
        <f>Skills!B5</f>
        <v/>
      </c>
      <c r="C812">
        <f>Inputs!$B$3&gt;=63</f>
        <v/>
      </c>
      <c r="D812">
        <f>IF(Skills!C5=1,60+Inputs!$B$25+Inputs!$B$29,IF(Skills!C5=2,90+Inputs!$B$26+Inputs!$B$29,IF(Skills!C5=3,120+Inputs!$B$27+Inputs!$B$29,MAX(0,(Inputs!$B$3-100)*3)+Inputs!$B$28+Inputs!$B$29)))</f>
        <v/>
      </c>
      <c r="E812">
        <f>INDEX(FactorTable!$B$2:$Y$301, MATCH(ROUND(MIN(300,MAX(1,D812)),0), FactorTable!$A$2:$A$301,0), Skills!M5+1)</f>
        <v/>
      </c>
      <c r="F812">
        <f>IF(Skills!N5=TRUE,(Skills!L5/10)*(E812/1000),Skills!L5/10)+Skills!O5</f>
        <v/>
      </c>
      <c r="G812">
        <f>Calc!G5</f>
        <v/>
      </c>
      <c r="H812">
        <f>Calc!H5</f>
        <v/>
      </c>
      <c r="I812">
        <f>IF(Skills!AA5&lt;&gt;"",1+(Skills!AA5/10)*(U810/1000)/100,1)</f>
        <v/>
      </c>
      <c r="J812">
        <f>((Inputs!$B$6*(1+Inputs!$B$7/100))+(((Inputs!$B$12*(1+Inputs!$B$13/100))-(Inputs!$B$12*(1+Inputs!$B$13/100)))+0.25*(Inputs!$B$14-Inputs!$B$14))*(1+Inputs!$B$7/100))*(F812/100)</f>
        <v/>
      </c>
      <c r="K812">
        <f>J812*(1+((Inputs!$B$12*(1+Inputs!$B$13/100))*0.01+Inputs!$B$14*0.0025)/100)*(1+Inputs!$B$15/100)*(1+Inputs!$B$16/100)*(5000/(6000+Inputs!$B$43*(1-(100*(1-(1-(Inputs!$B$19+0)/100)*(1-CHOOSE(ArtifactsInput!$N$40+1,5,6,7,8,9,10)/100)^(ArtifactsInput!$M$40-ArtifactsInput!$M$40)))/100)))*(1+(Inputs!$B$24+((C837=TRUE)*(F837-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830=TRUE)*(F830-Calc!F23))+(((IF(AND(ArtifactsInput!$M$42,((Inputs!$B$9+((C832=TRUE)*(F832-Calc!F25))+B847+(ArtifactsInput!$M$24-ArtifactsInput!$M$24)*CHOOSE(ArtifactsInput!$N$24+1,10,12,14,16,18,20)+IF(ArtifactsInput!$M$10,CHOOSE(ArtifactsInput!$N$10+1,15,18,21,24,27,30)*(IF(Inputs!$B$39="pvp",MIN(15,15)/15,IF(AND(Inputs!$B$39&lt;&gt;"pvp",Inputs!$B$44&gt;0),MIN(15,Inputs!$B$44)/(Inputs!$B$44),0))),0)))&gt;=100),MIN(100,((Inputs!$B$9+((C832=TRUE)*(F832-Calc!F25))+B847+(ArtifactsInput!$M$24-ArtifactsInput!$M$24)*CHOOSE(ArtifactsInput!$N$24+1,10,12,14,16,18,20)+IF(ArtifactsInput!$M$10,CHOOSE(ArtifactsInput!$N$10+1,15,18,21,24,27,30)*(IF(Inputs!$B$39="pvp",MIN(15,15)/15,IF(AND(Inputs!$B$39&lt;&gt;"pvp",Inputs!$B$44&gt;0),MIN(15,Inputs!$B$44)/(Inputs!$B$44),0))),0)))-100),0))*CHOOSE(ArtifactsInput!$N$42+1,0.6,0.72,0.84,0.96,1.08,1.2))),(Inputs!$B$18+1)+((C836=TRUE)*(F836-Calc!F29))+(IF(AND(ArtifactsInput!$M$42,((Inputs!$B$9+((C832=TRUE)*(F832-Calc!F25))+B847+(ArtifactsInput!$M$24-ArtifactsInput!$M$24)*CHOOSE(ArtifactsInput!$N$24+1,10,12,14,16,18,20)+IF(ArtifactsInput!$M$10,CHOOSE(ArtifactsInput!$N$10+1,15,18,21,24,27,30)*(IF(Inputs!$B$39="pvp",MIN(15,15)/15,IF(AND(Inputs!$B$39&lt;&gt;"pvp",Inputs!$B$44&gt;0),MIN(15,Inputs!$B$44)/(Inputs!$B$44),0))),0)))&gt;=100),CHOOSE(ArtifactsInput!$N$42+1,40,48,56,64,72,80),0))))/100)*(((1+(((C828=TRUE)*F828*IF(AND(Inputs!$B$39&lt;&gt;"pvp",Inputs!$B$44&gt;0),(((R828-1)*(Skills!Y21*(1+Inputs!$B$34/100))+MIN((Skills!Y21*(1+Inputs!$B$34/100)),MAX(0,Inputs!$B$44-((R828-1)*Skills!D21))))/Inputs!$B$44),IF(Inputs!$B$39="pvp",MIN((Skills!Y21*(1+Inputs!$B$34/100)),15)/15,(Skills!Y21*(1+Inputs!$B$34/100))/Skills!D21)))+((C835=TRUE)*(F835-Calc!F28))+((C825=TRUE)*(F825-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822=TRUE)*F822*IF(AND(Inputs!$B$39&lt;&gt;"pvp",Inputs!$B$44&gt;0),(((R822-1)*(Skills!Y15*(1+Inputs!$B$34/100))+MIN((Skills!Y15*(1+Inputs!$B$34/100)),MAX(0,Inputs!$B$44-((R822-1)*Skills!D15))))/Inputs!$B$44),IF(Inputs!$B$39="pvp",MIN((Skills!Y15*(1+Inputs!$B$34/100)),15)/15,(Skills!Y15*(1+Inputs!$B$34/100))/Skills!D15)))/100)*(1+((C813=TRUE)*F813*B841)/100))*B849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812)</f>
        <v/>
      </c>
      <c r="L812">
        <f>K812*(MIN(Inputs!$B$22+((C831=TRUE)*(F831-Calc!F24)),(Inputs!$B$23+0+(IF(ArtifactsInput!$M$15,CHOOSE(ArtifactsInput!$N$15+1,25,30,35,40,45,50)/100*(Inputs!$B$11-Inputs!$B$11),0))))/100+(Inputs!$B$23+0+(IF(ArtifactsInput!$M$15,CHOOSE(ArtifactsInput!$N$15+1,25,30,35,40,45,50)/100*(Inputs!$B$11-Inputs!$B$11),0)))/100)/2</f>
        <v/>
      </c>
      <c r="M812">
        <f>L812*(1+(Inputs!$B$10+((C833=TRUE)*(F833-Calc!F26))+B850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12">
        <f>L812*(1-MIN((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812*(MIN((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12">
        <f>(1-Summary!$B$11)*T812+Summary!$B$11*V812</f>
        <v/>
      </c>
      <c r="P812">
        <f>IF(B851=0,0,O812/B851)</f>
        <v/>
      </c>
      <c r="Q812">
        <f>IFERROR(1/IF(Inputs!$B$39="pvp",15,MAX(0.1,Skills!D5-IF(Skills!E5=TRUE,Inputs!$B$32,0))),0)</f>
        <v/>
      </c>
      <c r="R812">
        <f>IF(AND(Inputs!$B$39&lt;&gt;"pvp",Inputs!$B$44&gt;0),IF(MAX(0,Inputs!$B$44-B852)&lt;=0,0,(INT(MAX(0,Inputs!$B$44-B852)/IF(Inputs!$B$39="pvp",15,MAX(0.1,Skills!D5-IF(Skills!E5=TRUE,Inputs!$B$32,0))))+1)),0)</f>
        <v/>
      </c>
      <c r="S812">
        <f>IFERROR(O812/N812,0)</f>
        <v/>
      </c>
      <c r="T812">
        <f>IF(C812,(H812*N812*IF(AND(Inputs!$B$39&lt;&gt;"pvp",Inputs!$B$44&gt;0),((Skills!G5*((R812-1)*IF(Skills!H5&gt;0,Skills!I5/Skills!H5,1)+IF(Skills!H5&gt;0,MIN(Skills!I5,MAX(0,MAX(0,Inputs!$B$44-B852)-((R812-1)*IF(Inputs!$B$39="pvp",15,MAX(0.1,Skills!D5-IF(Skills!E5=TRUE,Inputs!$B$32,0))))))/Skills!H5,1)))/Inputs!$B$44),G812*Q812))*IF(Inputs!$B$39="pvp",1,1+(Inputs!$B$20+((C834=TRUE)*(F834-Calc!F27))+Skills!P5+B848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Hunt"),CHOOSE(ArtifactsInput!$N$35+1,15,18,21,24,27,30)*(1-EXP(-(0.2*B843)*5)),0)+IF(AND(ArtifactsInput!$M$22,Inputs!$B$4&lt;&gt;"Chapter Hunt"),CHOOSE(ArtifactsInput!$N$22+1,10,12,14,16,18,20)*((0*(((0.15*B843*5))^0/1)+1*(((0.15*B843*5))^1/1)+2*(((0.15*B843*5))^2/2)+3*(((0.15*B843*5))^3/6)+4*(((0.15*B843*5))^4/24)+5*(((0.15*B843*5))^5/120))/((((0.15*B843*5))^0/1)+(((0.15*B843*5))^1/1)+(((0.15*B843*5))^2/2)+(((0.15*B843*5))^3/6)+(((0.15*B843*5))^4/24)+(((0.15*B843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812*(1-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812*(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812*(1-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812*(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12">
        <f>INDEX(FactorTable!$B$2:$Y$301, MATCH(ROUND(MIN(300,MAX(1,U811)),0), FactorTable!$A$2:$A$301,0), 22)</f>
        <v/>
      </c>
      <c r="V812">
        <f>IF(C812,(H812*N812*IF(AND(Inputs!$B$39&lt;&gt;"pvp",Inputs!$B$44&gt;0),((Skills!G5*((R812-1)*IF(Skills!H5&gt;0,Skills!I5/Skills!H5,1)+IF(Skills!H5&gt;0,MIN(Skills!I5,MAX(0,MAX(0,Inputs!$B$44-B852)-((R812-1)*IF(Inputs!$B$39="pvp",15,MAX(0.1,Skills!D5-IF(Skills!E5=TRUE,Inputs!$B$32,0))))))/Skills!H5,1)))/Inputs!$B$44),G812*Q812))*IF(Inputs!$B$39="pvp",1,(1+(Inputs!$B$21+Skills!Q5+B848+(IF(ArtifactsInput!$M$33,CHOOSE(ArtifactsInput!$N$33+1,30,36,42,48,54,60),0))+(IF(AND(ArtifactsInput!$M$35,Inputs!$B$4&lt;&gt;"Chapter Hunt"),CHOOSE(ArtifactsInput!$N$35+1,15,18,21,24,27,30)*(1-EXP(-(0.2*B843)*5)),0)+IF(AND(ArtifactsInput!$M$22,Inputs!$B$4&lt;&gt;"Chapter Hunt"),CHOOSE(ArtifactsInput!$N$22+1,10,12,14,16,18,20)*((0*(((0.15*B843*5))^0/1)+1*(((0.15*B843*5))^1/1)+2*(((0.15*B843*5))^2/2)+3*(((0.15*B843*5))^3/6)+4*(((0.15*B843*5))^4/24)+5*(((0.15*B843*5))^5/120))/((((0.15*B843*5))^0/1)+(((0.15*B843*5))^1/1)+(((0.15*B843*5))^2/2)+(((0.15*B843*5))^3/6)+(((0.15*B843*5))^4/24)+(((0.15*B843*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13">
      <c r="A813">
        <f>Skills!A6</f>
        <v/>
      </c>
      <c r="B813">
        <f>Skills!B6</f>
        <v/>
      </c>
      <c r="C813">
        <f>Inputs!$B$3&gt;=66</f>
        <v/>
      </c>
      <c r="D813">
        <f>IF(Skills!C6=1,60+Inputs!$B$25+Inputs!$B$29,IF(Skills!C6=2,90+Inputs!$B$26+Inputs!$B$29,IF(Skills!C6=3,120+Inputs!$B$27+Inputs!$B$29,MAX(0,(Inputs!$B$3-100)*3)+Inputs!$B$28+Inputs!$B$29)))</f>
        <v/>
      </c>
      <c r="E813">
        <f>INDEX(FactorTable!$B$2:$Y$301, MATCH(ROUND(MIN(300,MAX(1,D813)),0), FactorTable!$A$2:$A$301,0), Skills!M6+1)</f>
        <v/>
      </c>
      <c r="F813">
        <f>IF(Skills!N6=TRUE,(Skills!L6/10)*(E813/1000),Skills!L6/10)+Skills!O6</f>
        <v/>
      </c>
      <c r="G813">
        <f>Calc!G6</f>
        <v/>
      </c>
      <c r="H813">
        <f>Calc!H6</f>
        <v/>
      </c>
      <c r="I813">
        <f>IF(Skills!AA6&lt;&gt;"",1+(Skills!AA6/10)*(U810/1000)/100,1)</f>
        <v/>
      </c>
      <c r="J813" t="inlineStr"/>
      <c r="K813" t="inlineStr"/>
      <c r="L813" t="inlineStr"/>
      <c r="M813" t="inlineStr"/>
      <c r="N813" t="inlineStr"/>
      <c r="O813">
        <f>(1-Summary!$B$11)*T813+Summary!$B$11*V813</f>
        <v/>
      </c>
      <c r="P813">
        <f>IF(B851=0,0,O813/B851)</f>
        <v/>
      </c>
      <c r="Q813" t="n">
        <v>0</v>
      </c>
      <c r="R813" t="n">
        <v>0</v>
      </c>
      <c r="S813">
        <f>IFERROR(O813/N813,0)</f>
        <v/>
      </c>
      <c r="T813" t="n">
        <v>0</v>
      </c>
      <c r="U813">
        <f>290*U812/1000</f>
        <v/>
      </c>
      <c r="V813" t="n">
        <v>0</v>
      </c>
    </row>
    <row r="814">
      <c r="A814">
        <f>Skills!A7</f>
        <v/>
      </c>
      <c r="B814">
        <f>Skills!B7</f>
        <v/>
      </c>
      <c r="C814">
        <f>Inputs!$B$3&gt;=66</f>
        <v/>
      </c>
      <c r="D814">
        <f>IF(Skills!C7=1,60+Inputs!$B$25+Inputs!$B$29,IF(Skills!C7=2,90+Inputs!$B$26+Inputs!$B$29,IF(Skills!C7=3,120+Inputs!$B$27+Inputs!$B$29,MAX(0,(Inputs!$B$3-100)*3)+Inputs!$B$28+Inputs!$B$29)))</f>
        <v/>
      </c>
      <c r="E814">
        <f>INDEX(FactorTable!$B$2:$Y$301, MATCH(ROUND(MIN(300,MAX(1,D814)),0), FactorTable!$A$2:$A$301,0), Skills!M7+1)</f>
        <v/>
      </c>
      <c r="F814">
        <f>IF(Skills!N7=TRUE,(Skills!L7/10)*(E814/1000),Skills!L7/10)+Skills!O7</f>
        <v/>
      </c>
      <c r="G814">
        <f>Calc!G7</f>
        <v/>
      </c>
      <c r="H814">
        <f>Calc!H7</f>
        <v/>
      </c>
      <c r="I814">
        <f>IF(Skills!AA7&lt;&gt;"",1+(Skills!AA7/10)*(U810/1000)/100,1)</f>
        <v/>
      </c>
      <c r="J814" t="inlineStr"/>
      <c r="K814" t="inlineStr"/>
      <c r="L814" t="inlineStr"/>
      <c r="M814" t="inlineStr"/>
      <c r="N814" t="inlineStr"/>
      <c r="O814">
        <f>(1-Summary!$B$11)*T814+Summary!$B$11*V814</f>
        <v/>
      </c>
      <c r="P814">
        <f>IF(B851=0,0,O814/B851)</f>
        <v/>
      </c>
      <c r="Q814" t="n">
        <v>0</v>
      </c>
      <c r="R814" t="n">
        <v>0</v>
      </c>
      <c r="S814">
        <f>IFERROR(O814/N814,0)</f>
        <v/>
      </c>
      <c r="T814" t="n">
        <v>0</v>
      </c>
      <c r="V814" t="n">
        <v>0</v>
      </c>
    </row>
    <row r="815">
      <c r="A815">
        <f>Skills!A8</f>
        <v/>
      </c>
      <c r="B815">
        <f>Skills!B8</f>
        <v/>
      </c>
      <c r="C815">
        <f>Inputs!$B$3&gt;=69</f>
        <v/>
      </c>
      <c r="D815">
        <f>IF(Skills!C8=1,60+Inputs!$B$25+Inputs!$B$29,IF(Skills!C8=2,90+Inputs!$B$26+Inputs!$B$29,IF(Skills!C8=3,120+Inputs!$B$27+Inputs!$B$29,MAX(0,(Inputs!$B$3-100)*3)+Inputs!$B$28+Inputs!$B$29)))</f>
        <v/>
      </c>
      <c r="E815">
        <f>INDEX(FactorTable!$B$2:$Y$301, MATCH(ROUND(MIN(300,MAX(1,D815)),0), FactorTable!$A$2:$A$301,0), Skills!M8+1)</f>
        <v/>
      </c>
      <c r="F815">
        <f>IF(Skills!N8=TRUE,(Skills!L8/10)*(E815/1000),Skills!L8/10)+Skills!O8</f>
        <v/>
      </c>
      <c r="G815">
        <f>Calc!G8</f>
        <v/>
      </c>
      <c r="H815">
        <f>Calc!H8</f>
        <v/>
      </c>
      <c r="I815">
        <f>IF(Skills!AA8&lt;&gt;"",1+(Skills!AA8/10)*(U810/1000)/100,1)</f>
        <v/>
      </c>
      <c r="J815">
        <f>((Inputs!$B$6*(1+Inputs!$B$7/100))+(((Inputs!$B$12*(1+Inputs!$B$13/100))-(Inputs!$B$12*(1+Inputs!$B$13/100)))+0.25*(Inputs!$B$14-Inputs!$B$14))*(1+Inputs!$B$7/100))*(F815/100)</f>
        <v/>
      </c>
      <c r="K815">
        <f>J815*(1+((Inputs!$B$12*(1+Inputs!$B$13/100))*0.01+Inputs!$B$14*0.0025)/100)*(1+Inputs!$B$15/100)*(1+Inputs!$B$16/100)*(5000/(6000+Inputs!$B$43*(1-(100*(1-(1-(Inputs!$B$19+0)/100)*(1-CHOOSE(ArtifactsInput!$N$40+1,5,6,7,8,9,10)/100)^(ArtifactsInput!$M$40-ArtifactsInput!$M$40)))/100)))*(1+(Inputs!$B$24+((C837=TRUE)*(F837-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830=TRUE)*(F830-Calc!F23))+(((IF(AND(ArtifactsInput!$M$42,((Inputs!$B$9+((C832=TRUE)*(F832-Calc!F25))+B847+(ArtifactsInput!$M$24-ArtifactsInput!$M$24)*CHOOSE(ArtifactsInput!$N$24+1,10,12,14,16,18,20)+IF(ArtifactsInput!$M$10,CHOOSE(ArtifactsInput!$N$10+1,15,18,21,24,27,30)*(IF(Inputs!$B$39="pvp",MIN(15,15)/15,IF(AND(Inputs!$B$39&lt;&gt;"pvp",Inputs!$B$44&gt;0),MIN(15,Inputs!$B$44)/(Inputs!$B$44),0))),0)))&gt;=100),MIN(100,((Inputs!$B$9+((C832=TRUE)*(F832-Calc!F25))+B847+(ArtifactsInput!$M$24-ArtifactsInput!$M$24)*CHOOSE(ArtifactsInput!$N$24+1,10,12,14,16,18,20)+IF(ArtifactsInput!$M$10,CHOOSE(ArtifactsInput!$N$10+1,15,18,21,24,27,30)*(IF(Inputs!$B$39="pvp",MIN(15,15)/15,IF(AND(Inputs!$B$39&lt;&gt;"pvp",Inputs!$B$44&gt;0),MIN(15,Inputs!$B$44)/(Inputs!$B$44),0))),0)))-100),0))*CHOOSE(ArtifactsInput!$N$42+1,0.6,0.72,0.84,0.96,1.08,1.2))),(Inputs!$B$18+1)+((C836=TRUE)*(F836-Calc!F29))+(IF(AND(ArtifactsInput!$M$42,((Inputs!$B$9+((C832=TRUE)*(F832-Calc!F25))+B847+(ArtifactsInput!$M$24-ArtifactsInput!$M$24)*CHOOSE(ArtifactsInput!$N$24+1,10,12,14,16,18,20)+IF(ArtifactsInput!$M$10,CHOOSE(ArtifactsInput!$N$10+1,15,18,21,24,27,30)*(IF(Inputs!$B$39="pvp",MIN(15,15)/15,IF(AND(Inputs!$B$39&lt;&gt;"pvp",Inputs!$B$44&gt;0),MIN(15,Inputs!$B$44)/(Inputs!$B$44),0))),0)))&gt;=100),CHOOSE(ArtifactsInput!$N$42+1,40,48,56,64,72,80),0))))/100)*(((1+(((C828=TRUE)*F828*IF(AND(Inputs!$B$39&lt;&gt;"pvp",Inputs!$B$44&gt;0),(((R828-1)*(Skills!Y21*(1+Inputs!$B$34/100))+MIN((Skills!Y21*(1+Inputs!$B$34/100)),MAX(0,Inputs!$B$44-((R828-1)*Skills!D21))))/Inputs!$B$44),IF(Inputs!$B$39="pvp",MIN((Skills!Y21*(1+Inputs!$B$34/100)),15)/15,(Skills!Y21*(1+Inputs!$B$34/100))/Skills!D21)))+((C835=TRUE)*(F835-Calc!F28))+((C825=TRUE)*(F825-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822=TRUE)*F822*IF(AND(Inputs!$B$39&lt;&gt;"pvp",Inputs!$B$44&gt;0),(((R822-1)*(Skills!Y15*(1+Inputs!$B$34/100))+MIN((Skills!Y15*(1+Inputs!$B$34/100)),MAX(0,Inputs!$B$44-((R822-1)*Skills!D15))))/Inputs!$B$44),IF(Inputs!$B$39="pvp",MIN((Skills!Y15*(1+Inputs!$B$34/100)),15)/15,(Skills!Y15*(1+Inputs!$B$34/100))/Skills!D15)))/100)*(1+((C813=TRUE)*F813*B841)/100))*B849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815)</f>
        <v/>
      </c>
      <c r="L815">
        <f>K815*(MIN(Inputs!$B$22+((C831=TRUE)*(F831-Calc!F24)),(Inputs!$B$23+0+(IF(ArtifactsInput!$M$15,CHOOSE(ArtifactsInput!$N$15+1,25,30,35,40,45,50)/100*(Inputs!$B$11-Inputs!$B$11),0))))/100+(Inputs!$B$23+0+(IF(ArtifactsInput!$M$15,CHOOSE(ArtifactsInput!$N$15+1,25,30,35,40,45,50)/100*(Inputs!$B$11-Inputs!$B$11),0)))/100)/2</f>
        <v/>
      </c>
      <c r="M815">
        <f>L815*(1+(Inputs!$B$10+((C833=TRUE)*(F833-Calc!F26))+B850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15">
        <f>L815*(1-MIN((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815*(MIN((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15">
        <f>(1-Summary!$B$11)*T815+Summary!$B$11*V815</f>
        <v/>
      </c>
      <c r="P815">
        <f>IF(B851=0,0,O815/B851)</f>
        <v/>
      </c>
      <c r="Q815">
        <f>IFERROR(1/IF(Inputs!$B$39="pvp",15,MAX(0.1,Skills!D8-IF(Skills!E8=TRUE,Inputs!$B$32,0))),0)</f>
        <v/>
      </c>
      <c r="R815">
        <f>IF(AND(Inputs!$B$39&lt;&gt;"pvp",Inputs!$B$44&gt;0),IF(MAX(0,Inputs!$B$44-B852)&lt;=0,0,(INT(MAX(0,Inputs!$B$44-B852)/IF(Inputs!$B$39="pvp",15,MAX(0.1,Skills!D8-IF(Skills!E8=TRUE,Inputs!$B$32,0))))+1)),0)</f>
        <v/>
      </c>
      <c r="S815">
        <f>IFERROR(O815/N815,0)</f>
        <v/>
      </c>
      <c r="T815">
        <f>IF(C815,(H815*N815*IF(AND(Inputs!$B$39&lt;&gt;"pvp",Inputs!$B$44&gt;0),((Skills!G8*((R815-1)*IF(Skills!H8&gt;0,Skills!I8/Skills!H8,1)+IF(Skills!H8&gt;0,MIN(Skills!I8,MAX(0,MAX(0,Inputs!$B$44-B852)-((R815-1)*IF(Inputs!$B$39="pvp",15,MAX(0.1,Skills!D8-IF(Skills!E8=TRUE,Inputs!$B$32,0))))))/Skills!H8,1)))/Inputs!$B$44),G815*Q815))*IF(Inputs!$B$39="pvp",1,1+(Inputs!$B$20+((C834=TRUE)*(F834-Calc!F27))+Skills!P8+B848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Hunt"),CHOOSE(ArtifactsInput!$N$35+1,15,18,21,24,27,30)*(1-EXP(-(0.2*B843)*5)),0)+IF(AND(ArtifactsInput!$M$22,Inputs!$B$4&lt;&gt;"Chapter Hunt"),CHOOSE(ArtifactsInput!$N$22+1,10,12,14,16,18,20)*((0*(((0.15*B843*5))^0/1)+1*(((0.15*B843*5))^1/1)+2*(((0.15*B843*5))^2/2)+3*(((0.15*B843*5))^3/6)+4*(((0.15*B843*5))^4/24)+5*(((0.15*B843*5))^5/120))/((((0.15*B843*5))^0/1)+(((0.15*B843*5))^1/1)+(((0.15*B843*5))^2/2)+(((0.15*B843*5))^3/6)+(((0.15*B843*5))^4/24)+(((0.15*B843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815*(1-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815*(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815*(1-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815*(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15">
        <f>IF(C815,(H815*N815*IF(AND(Inputs!$B$39&lt;&gt;"pvp",Inputs!$B$44&gt;0),((Skills!G8*((R815-1)*IF(Skills!H8&gt;0,Skills!I8/Skills!H8,1)+IF(Skills!H8&gt;0,MIN(Skills!I8,MAX(0,MAX(0,Inputs!$B$44-B852)-((R815-1)*IF(Inputs!$B$39="pvp",15,MAX(0.1,Skills!D8-IF(Skills!E8=TRUE,Inputs!$B$32,0))))))/Skills!H8,1)))/Inputs!$B$44),G815*Q815))*IF(Inputs!$B$39="pvp",1,(1+(Inputs!$B$21+Skills!Q8+B848+(IF(ArtifactsInput!$M$33,CHOOSE(ArtifactsInput!$N$33+1,30,36,42,48,54,60),0))+(IF(AND(ArtifactsInput!$M$35,Inputs!$B$4&lt;&gt;"Chapter Hunt"),CHOOSE(ArtifactsInput!$N$35+1,15,18,21,24,27,30)*(1-EXP(-(0.2*B843)*5)),0)+IF(AND(ArtifactsInput!$M$22,Inputs!$B$4&lt;&gt;"Chapter Hunt"),CHOOSE(ArtifactsInput!$N$22+1,10,12,14,16,18,20)*((0*(((0.15*B843*5))^0/1)+1*(((0.15*B843*5))^1/1)+2*(((0.15*B843*5))^2/2)+3*(((0.15*B843*5))^3/6)+4*(((0.15*B843*5))^4/24)+5*(((0.15*B843*5))^5/120))/((((0.15*B843*5))^0/1)+(((0.15*B843*5))^1/1)+(((0.15*B843*5))^2/2)+(((0.15*B843*5))^3/6)+(((0.15*B843*5))^4/24)+(((0.15*B843*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16">
      <c r="A816">
        <f>Skills!A9</f>
        <v/>
      </c>
      <c r="B816">
        <f>Skills!B9</f>
        <v/>
      </c>
      <c r="C816">
        <f>Inputs!$B$3&gt;=72</f>
        <v/>
      </c>
      <c r="D816">
        <f>IF(Skills!C9=1,60+Inputs!$B$25+Inputs!$B$29,IF(Skills!C9=2,90+Inputs!$B$26+Inputs!$B$29,IF(Skills!C9=3,120+Inputs!$B$27+Inputs!$B$29,MAX(0,(Inputs!$B$3-100)*3)+Inputs!$B$28+Inputs!$B$29)))</f>
        <v/>
      </c>
      <c r="E816">
        <f>INDEX(FactorTable!$B$2:$Y$301, MATCH(ROUND(MIN(300,MAX(1,D816)),0), FactorTable!$A$2:$A$301,0), Skills!M9+1)</f>
        <v/>
      </c>
      <c r="F816">
        <f>IF(Skills!N9=TRUE,(Skills!L9/10)*(E816/1000),Skills!L9/10)+Skills!O9</f>
        <v/>
      </c>
      <c r="G816">
        <f>Calc!G9</f>
        <v/>
      </c>
      <c r="H816">
        <f>Calc!H9</f>
        <v/>
      </c>
      <c r="I816">
        <f>IF(Skills!AA9&lt;&gt;"",1+(Skills!AA9/10)*(U810/1000)/100,1)</f>
        <v/>
      </c>
      <c r="J816">
        <f>((Inputs!$B$6*(1+Inputs!$B$7/100))+(((Inputs!$B$12*(1+Inputs!$B$13/100))-(Inputs!$B$12*(1+Inputs!$B$13/100)))+0.25*(Inputs!$B$14-Inputs!$B$14))*(1+Inputs!$B$7/100))*(F816/100)</f>
        <v/>
      </c>
      <c r="K816">
        <f>J816*(1+((Inputs!$B$12*(1+Inputs!$B$13/100))*0.01+Inputs!$B$14*0.0025)/100)*(1+Inputs!$B$15/100)*(1+Inputs!$B$16/100)*(5000/(6000+Inputs!$B$43*(1-(100*(1-(1-(Inputs!$B$19+0)/100)*(1-CHOOSE(ArtifactsInput!$N$40+1,5,6,7,8,9,10)/100)^(ArtifactsInput!$M$40-ArtifactsInput!$M$40)))/100)))*(1+(Inputs!$B$24+((C837=TRUE)*(F837-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830=TRUE)*(F830-Calc!F23))+(((IF(AND(ArtifactsInput!$M$42,((Inputs!$B$9+((C832=TRUE)*(F832-Calc!F25))+B847+(ArtifactsInput!$M$24-ArtifactsInput!$M$24)*CHOOSE(ArtifactsInput!$N$24+1,10,12,14,16,18,20)+IF(ArtifactsInput!$M$10,CHOOSE(ArtifactsInput!$N$10+1,15,18,21,24,27,30)*(IF(Inputs!$B$39="pvp",MIN(15,15)/15,IF(AND(Inputs!$B$39&lt;&gt;"pvp",Inputs!$B$44&gt;0),MIN(15,Inputs!$B$44)/(Inputs!$B$44),0))),0)))&gt;=100),MIN(100,((Inputs!$B$9+((C832=TRUE)*(F832-Calc!F25))+B847+(ArtifactsInput!$M$24-ArtifactsInput!$M$24)*CHOOSE(ArtifactsInput!$N$24+1,10,12,14,16,18,20)+IF(ArtifactsInput!$M$10,CHOOSE(ArtifactsInput!$N$10+1,15,18,21,24,27,30)*(IF(Inputs!$B$39="pvp",MIN(15,15)/15,IF(AND(Inputs!$B$39&lt;&gt;"pvp",Inputs!$B$44&gt;0),MIN(15,Inputs!$B$44)/(Inputs!$B$44),0))),0)))-100),0))*CHOOSE(ArtifactsInput!$N$42+1,0.6,0.72,0.84,0.96,1.08,1.2))),(Inputs!$B$18+1)+((C836=TRUE)*(F836-Calc!F29))+(IF(AND(ArtifactsInput!$M$42,((Inputs!$B$9+((C832=TRUE)*(F832-Calc!F25))+B847+(ArtifactsInput!$M$24-ArtifactsInput!$M$24)*CHOOSE(ArtifactsInput!$N$24+1,10,12,14,16,18,20)+IF(ArtifactsInput!$M$10,CHOOSE(ArtifactsInput!$N$10+1,15,18,21,24,27,30)*(IF(Inputs!$B$39="pvp",MIN(15,15)/15,IF(AND(Inputs!$B$39&lt;&gt;"pvp",Inputs!$B$44&gt;0),MIN(15,Inputs!$B$44)/(Inputs!$B$44),0))),0)))&gt;=100),CHOOSE(ArtifactsInput!$N$42+1,40,48,56,64,72,80),0))))/100)*(((1+(((C828=TRUE)*F828*IF(AND(Inputs!$B$39&lt;&gt;"pvp",Inputs!$B$44&gt;0),(((R828-1)*(Skills!Y21*(1+Inputs!$B$34/100))+MIN((Skills!Y21*(1+Inputs!$B$34/100)),MAX(0,Inputs!$B$44-((R828-1)*Skills!D21))))/Inputs!$B$44),IF(Inputs!$B$39="pvp",MIN((Skills!Y21*(1+Inputs!$B$34/100)),15)/15,(Skills!Y21*(1+Inputs!$B$34/100))/Skills!D21)))+((C835=TRUE)*(F835-Calc!F28))+((C825=TRUE)*(F825-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822=TRUE)*F822*IF(AND(Inputs!$B$39&lt;&gt;"pvp",Inputs!$B$44&gt;0),(((R822-1)*(Skills!Y15*(1+Inputs!$B$34/100))+MIN((Skills!Y15*(1+Inputs!$B$34/100)),MAX(0,Inputs!$B$44-((R822-1)*Skills!D15))))/Inputs!$B$44),IF(Inputs!$B$39="pvp",MIN((Skills!Y15*(1+Inputs!$B$34/100)),15)/15,(Skills!Y15*(1+Inputs!$B$34/100))/Skills!D15)))/100)*(1+((C813=TRUE)*F813*B841)/100))*B849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816)</f>
        <v/>
      </c>
      <c r="L816">
        <f>K816*(MIN(Inputs!$B$22+((C831=TRUE)*(F831-Calc!F24)),(Inputs!$B$23+0+(IF(ArtifactsInput!$M$15,CHOOSE(ArtifactsInput!$N$15+1,25,30,35,40,45,50)/100*(Inputs!$B$11-Inputs!$B$11),0))))/100+(Inputs!$B$23+0+(IF(ArtifactsInput!$M$15,CHOOSE(ArtifactsInput!$N$15+1,25,30,35,40,45,50)/100*(Inputs!$B$11-Inputs!$B$11),0)))/100)/2</f>
        <v/>
      </c>
      <c r="M816">
        <f>L816*(1+(Inputs!$B$10+((C833=TRUE)*(F833-Calc!F26))+B850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16">
        <f>L816*(1-MIN((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816*(MIN((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16">
        <f>(1-Summary!$B$11)*T816+Summary!$B$11*V816</f>
        <v/>
      </c>
      <c r="P816">
        <f>IF(B851=0,0,O816/B851)</f>
        <v/>
      </c>
      <c r="Q816">
        <f>IFERROR(1/IF(Inputs!$B$39="pvp",15,MAX(0.1,Skills!D9-IF(Skills!E9=TRUE,Inputs!$B$32,0))),0)</f>
        <v/>
      </c>
      <c r="R816">
        <f>IF(AND(Inputs!$B$39&lt;&gt;"pvp",Inputs!$B$44&gt;0),IF(MAX(0,Inputs!$B$44-B852)&lt;=0,0,(INT(MAX(0,Inputs!$B$44-B852)/IF(Inputs!$B$39="pvp",15,MAX(0.1,Skills!D9-IF(Skills!E9=TRUE,Inputs!$B$32,0))))+1)),0)</f>
        <v/>
      </c>
      <c r="S816">
        <f>IFERROR(O816/N816,0)</f>
        <v/>
      </c>
      <c r="T816">
        <f>IF(C816,(H816*N816*IF(AND(Inputs!$B$39&lt;&gt;"pvp",Inputs!$B$44&gt;0),((Skills!G9*((R816-1)*IF(Skills!H9&gt;0,Skills!I9/Skills!H9,1)+IF(Skills!H9&gt;0,MIN(Skills!I9,MAX(0,MAX(0,Inputs!$B$44-B852)-((R816-1)*IF(Inputs!$B$39="pvp",15,MAX(0.1,Skills!D9-IF(Skills!E9=TRUE,Inputs!$B$32,0))))))/Skills!H9,1)))/Inputs!$B$44),G816*Q816))*IF(Inputs!$B$39="pvp",1,1+(Inputs!$B$20+((C834=TRUE)*(F834-Calc!F27))+Skills!P9+B848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Hunt"),CHOOSE(ArtifactsInput!$N$35+1,15,18,21,24,27,30)*(1-EXP(-(0.2*B843)*5)),0)+IF(AND(ArtifactsInput!$M$22,Inputs!$B$4&lt;&gt;"Chapter Hunt"),CHOOSE(ArtifactsInput!$N$22+1,10,12,14,16,18,20)*((0*(((0.15*B843*5))^0/1)+1*(((0.15*B843*5))^1/1)+2*(((0.15*B843*5))^2/2)+3*(((0.15*B843*5))^3/6)+4*(((0.15*B843*5))^4/24)+5*(((0.15*B843*5))^5/120))/((((0.15*B843*5))^0/1)+(((0.15*B843*5))^1/1)+(((0.15*B843*5))^2/2)+(((0.15*B843*5))^3/6)+(((0.15*B843*5))^4/24)+(((0.15*B843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816*(1-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816*(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816*(1-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816*(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16">
        <f>IF(C816,(H816*N816*IF(AND(Inputs!$B$39&lt;&gt;"pvp",Inputs!$B$44&gt;0),((Skills!G9*((R816-1)*IF(Skills!H9&gt;0,Skills!I9/Skills!H9,1)+IF(Skills!H9&gt;0,MIN(Skills!I9,MAX(0,MAX(0,Inputs!$B$44-B852)-((R816-1)*IF(Inputs!$B$39="pvp",15,MAX(0.1,Skills!D9-IF(Skills!E9=TRUE,Inputs!$B$32,0))))))/Skills!H9,1)))/Inputs!$B$44),G816*Q816))*IF(Inputs!$B$39="pvp",1,(1+(Inputs!$B$21+Skills!Q9+B848+(IF(ArtifactsInput!$M$33,CHOOSE(ArtifactsInput!$N$33+1,30,36,42,48,54,60),0))+(IF(AND(ArtifactsInput!$M$35,Inputs!$B$4&lt;&gt;"Chapter Hunt"),CHOOSE(ArtifactsInput!$N$35+1,15,18,21,24,27,30)*(1-EXP(-(0.2*B843)*5)),0)+IF(AND(ArtifactsInput!$M$22,Inputs!$B$4&lt;&gt;"Chapter Hunt"),CHOOSE(ArtifactsInput!$N$22+1,10,12,14,16,18,20)*((0*(((0.15*B843*5))^0/1)+1*(((0.15*B843*5))^1/1)+2*(((0.15*B843*5))^2/2)+3*(((0.15*B843*5))^3/6)+4*(((0.15*B843*5))^4/24)+5*(((0.15*B843*5))^5/120))/((((0.15*B843*5))^0/1)+(((0.15*B843*5))^1/1)+(((0.15*B843*5))^2/2)+(((0.15*B843*5))^3/6)+(((0.15*B843*5))^4/24)+(((0.15*B843*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17">
      <c r="A817">
        <f>Skills!A10</f>
        <v/>
      </c>
      <c r="B817">
        <f>Skills!B10</f>
        <v/>
      </c>
      <c r="C817">
        <f>Inputs!$B$3&gt;=117</f>
        <v/>
      </c>
      <c r="D817">
        <f>IF(Skills!C10=1,60+Inputs!$B$25+Inputs!$B$29,IF(Skills!C10=2,90+Inputs!$B$26+Inputs!$B$29,IF(Skills!C10=3,120+Inputs!$B$27+Inputs!$B$29,MAX(0,(Inputs!$B$3-100)*3)+Inputs!$B$28+Inputs!$B$29)))</f>
        <v/>
      </c>
      <c r="E817">
        <f>INDEX(FactorTable!$B$2:$Y$301, MATCH(ROUND(MIN(300,MAX(1,D817)),0), FactorTable!$A$2:$A$301,0), Skills!M10+1)</f>
        <v/>
      </c>
      <c r="F817">
        <f>IF(Skills!N10=TRUE,(Skills!L10/10)*(E817/1000),Skills!L10/10)+Skills!O10</f>
        <v/>
      </c>
      <c r="G817">
        <f>Calc!G10</f>
        <v/>
      </c>
      <c r="H817">
        <f>Calc!H10</f>
        <v/>
      </c>
      <c r="I817">
        <f>IF(Skills!AA10&lt;&gt;"",1+(Skills!AA10/10)*(U810/1000)/100,1)</f>
        <v/>
      </c>
      <c r="J817">
        <f>((Inputs!$B$6*(1+Inputs!$B$7/100))+(((Inputs!$B$12*(1+Inputs!$B$13/100))-(Inputs!$B$12*(1+Inputs!$B$13/100)))+0.25*(Inputs!$B$14-Inputs!$B$14))*(1+Inputs!$B$7/100))*(F817/100)</f>
        <v/>
      </c>
      <c r="K817">
        <f>J817*(1+((Inputs!$B$12*(1+Inputs!$B$13/100))*0.01+Inputs!$B$14*0.0025)/100)*(1+Inputs!$B$15/100)*(1+Inputs!$B$16/100)*(5000/(6000+Inputs!$B$43*(1-(100*(1-(1-(Inputs!$B$19+0)/100)*(1-CHOOSE(ArtifactsInput!$N$40+1,5,6,7,8,9,10)/100)^(ArtifactsInput!$M$40-ArtifactsInput!$M$40)))/100)))*(1+(Inputs!$B$24+((C837=TRUE)*(F837-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830=TRUE)*(F830-Calc!F23))+(((IF(AND(ArtifactsInput!$M$42,((Inputs!$B$9+((C832=TRUE)*(F832-Calc!F25))+B847+(ArtifactsInput!$M$24-ArtifactsInput!$M$24)*CHOOSE(ArtifactsInput!$N$24+1,10,12,14,16,18,20)+IF(ArtifactsInput!$M$10,CHOOSE(ArtifactsInput!$N$10+1,15,18,21,24,27,30)*(IF(Inputs!$B$39="pvp",MIN(15,15)/15,IF(AND(Inputs!$B$39&lt;&gt;"pvp",Inputs!$B$44&gt;0),MIN(15,Inputs!$B$44)/(Inputs!$B$44),0))),0)))&gt;=100),MIN(100,((Inputs!$B$9+((C832=TRUE)*(F832-Calc!F25))+B847+(ArtifactsInput!$M$24-ArtifactsInput!$M$24)*CHOOSE(ArtifactsInput!$N$24+1,10,12,14,16,18,20)+IF(ArtifactsInput!$M$10,CHOOSE(ArtifactsInput!$N$10+1,15,18,21,24,27,30)*(IF(Inputs!$B$39="pvp",MIN(15,15)/15,IF(AND(Inputs!$B$39&lt;&gt;"pvp",Inputs!$B$44&gt;0),MIN(15,Inputs!$B$44)/(Inputs!$B$44),0))),0)))-100),0))*CHOOSE(ArtifactsInput!$N$42+1,0.6,0.72,0.84,0.96,1.08,1.2))),(Inputs!$B$18+1)+((C836=TRUE)*(F836-Calc!F29))+(IF(AND(ArtifactsInput!$M$42,((Inputs!$B$9+((C832=TRUE)*(F832-Calc!F25))+B847+(ArtifactsInput!$M$24-ArtifactsInput!$M$24)*CHOOSE(ArtifactsInput!$N$24+1,10,12,14,16,18,20)+IF(ArtifactsInput!$M$10,CHOOSE(ArtifactsInput!$N$10+1,15,18,21,24,27,30)*(IF(Inputs!$B$39="pvp",MIN(15,15)/15,IF(AND(Inputs!$B$39&lt;&gt;"pvp",Inputs!$B$44&gt;0),MIN(15,Inputs!$B$44)/(Inputs!$B$44),0))),0)))&gt;=100),CHOOSE(ArtifactsInput!$N$42+1,40,48,56,64,72,80),0))))/100)*(((1+(((C828=TRUE)*F828*IF(AND(Inputs!$B$39&lt;&gt;"pvp",Inputs!$B$44&gt;0),(((R828-1)*(Skills!Y21*(1+Inputs!$B$34/100))+MIN((Skills!Y21*(1+Inputs!$B$34/100)),MAX(0,Inputs!$B$44-((R828-1)*Skills!D21))))/Inputs!$B$44),IF(Inputs!$B$39="pvp",MIN((Skills!Y21*(1+Inputs!$B$34/100)),15)/15,(Skills!Y21*(1+Inputs!$B$34/100))/Skills!D21)))+((C835=TRUE)*(F835-Calc!F28))+((C825=TRUE)*(F825-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822=TRUE)*F822*IF(AND(Inputs!$B$39&lt;&gt;"pvp",Inputs!$B$44&gt;0),(((R822-1)*(Skills!Y15*(1+Inputs!$B$34/100))+MIN((Skills!Y15*(1+Inputs!$B$34/100)),MAX(0,Inputs!$B$44-((R822-1)*Skills!D15))))/Inputs!$B$44),IF(Inputs!$B$39="pvp",MIN((Skills!Y15*(1+Inputs!$B$34/100)),15)/15,(Skills!Y15*(1+Inputs!$B$34/100))/Skills!D15)))/100)*(1+((C813=TRUE)*F813*B841)/100))*B849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817)</f>
        <v/>
      </c>
      <c r="L817">
        <f>K817*(MIN(Inputs!$B$22+((C831=TRUE)*(F831-Calc!F24)),(Inputs!$B$23+0+(IF(ArtifactsInput!$M$15,CHOOSE(ArtifactsInput!$N$15+1,25,30,35,40,45,50)/100*(Inputs!$B$11-Inputs!$B$11),0))))/100+(Inputs!$B$23+0+(IF(ArtifactsInput!$M$15,CHOOSE(ArtifactsInput!$N$15+1,25,30,35,40,45,50)/100*(Inputs!$B$11-Inputs!$B$11),0)))/100)/2</f>
        <v/>
      </c>
      <c r="M817">
        <f>L817*(1+(Inputs!$B$10+((C833=TRUE)*(F833-Calc!F26))+B850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17">
        <f>L817*(1-MIN((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817*(MIN((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17">
        <f>(1-Summary!$B$11)*T817+Summary!$B$11*V817</f>
        <v/>
      </c>
      <c r="P817">
        <f>IF(B851=0,0,O817/B851)</f>
        <v/>
      </c>
      <c r="Q817" t="n">
        <v>0</v>
      </c>
      <c r="R817" t="n">
        <v>0</v>
      </c>
      <c r="S817" t="n">
        <v>0</v>
      </c>
      <c r="T817">
        <f>IF(C817,(0.2*SUMPRODUCT((Skills!Z2:Z31=TRUE)*(C809:C838=TRUE)*S809:S838)*N817)*IF(Inputs!$B$39="pvp",1,1+(Inputs!$B$20+((C834=TRUE)*(F834-Calc!F27))+Skills!P10+B848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Hunt"),CHOOSE(ArtifactsInput!$N$35+1,15,18,21,24,27,30)*(1-EXP(-(0.2*B843)*5)),0)+IF(AND(ArtifactsInput!$M$22,Inputs!$B$4&lt;&gt;"Chapter Hunt"),CHOOSE(ArtifactsInput!$N$22+1,10,12,14,16,18,20)*((0*(((0.15*B843*5))^0/1)+1*(((0.15*B843*5))^1/1)+2*(((0.15*B843*5))^2/2)+3*(((0.15*B843*5))^3/6)+4*(((0.15*B843*5))^4/24)+5*(((0.15*B843*5))^5/120))/((((0.15*B843*5))^0/1)+(((0.15*B843*5))^1/1)+(((0.15*B843*5))^2/2)+(((0.15*B843*5))^3/6)+(((0.15*B843*5))^4/24)+(((0.15*B843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817*(1-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817*(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817*(1-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817*(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17">
        <f>IF(C817,(0.2*SUMPRODUCT((Skills!Z2:Z31=TRUE)*(C809:C838=TRUE)*S809:S838)*N817)*IF(Inputs!$B$39="pvp",1,(1+(Inputs!$B$21+Skills!Q10+B848+(IF(ArtifactsInput!$M$33,CHOOSE(ArtifactsInput!$N$33+1,30,36,42,48,54,60),0))+(IF(AND(ArtifactsInput!$M$35,Inputs!$B$4&lt;&gt;"Chapter Hunt"),CHOOSE(ArtifactsInput!$N$35+1,15,18,21,24,27,30)*(1-EXP(-(0.2*B843)*5)),0)+IF(AND(ArtifactsInput!$M$22,Inputs!$B$4&lt;&gt;"Chapter Hunt"),CHOOSE(ArtifactsInput!$N$22+1,10,12,14,16,18,20)*((0*(((0.15*B843*5))^0/1)+1*(((0.15*B843*5))^1/1)+2*(((0.15*B843*5))^2/2)+3*(((0.15*B843*5))^3/6)+4*(((0.15*B843*5))^4/24)+5*(((0.15*B843*5))^5/120))/((((0.15*B843*5))^0/1)+(((0.15*B843*5))^1/1)+(((0.15*B843*5))^2/2)+(((0.15*B843*5))^3/6)+(((0.15*B843*5))^4/24)+(((0.15*B843*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18">
      <c r="A818">
        <f>Skills!A11</f>
        <v/>
      </c>
      <c r="B818">
        <f>Skills!B11</f>
        <v/>
      </c>
      <c r="C818">
        <f>Inputs!$B$3&gt;=60</f>
        <v/>
      </c>
      <c r="D818">
        <f>IF(Skills!C11=1,60+Inputs!$B$25+Inputs!$B$29,IF(Skills!C11=2,90+Inputs!$B$26+Inputs!$B$29,IF(Skills!C11=3,120+Inputs!$B$27+Inputs!$B$29,MAX(0,(Inputs!$B$3-100)*3)+Inputs!$B$28+Inputs!$B$29)))</f>
        <v/>
      </c>
      <c r="E818">
        <f>INDEX(FactorTable!$B$2:$Y$301, MATCH(ROUND(MIN(300,MAX(1,D818)),0), FactorTable!$A$2:$A$301,0), Skills!M11+1)</f>
        <v/>
      </c>
      <c r="F818">
        <f>IF(Skills!N11=TRUE,(Skills!L11/10)*(E818/1000),Skills!L11/10)+Skills!O11</f>
        <v/>
      </c>
      <c r="G818">
        <f>Calc!G11</f>
        <v/>
      </c>
      <c r="H818">
        <f>Calc!H11</f>
        <v/>
      </c>
      <c r="I818">
        <f>IF(Skills!AA11&lt;&gt;"",1+(Skills!AA11/10)*(U810/1000)/100,1)</f>
        <v/>
      </c>
      <c r="J818" t="inlineStr"/>
      <c r="K818" t="inlineStr"/>
      <c r="L818" t="inlineStr"/>
      <c r="M818" t="inlineStr"/>
      <c r="N818" t="inlineStr"/>
      <c r="O818">
        <f>(1-Summary!$B$11)*T818+Summary!$B$11*V818</f>
        <v/>
      </c>
      <c r="P818">
        <f>IF(B851=0,0,O818/B851)</f>
        <v/>
      </c>
      <c r="Q818" t="n">
        <v>0</v>
      </c>
      <c r="R818" t="n">
        <v>0</v>
      </c>
      <c r="S818">
        <f>IFERROR(O818/N818,0)</f>
        <v/>
      </c>
      <c r="T818" t="n">
        <v>0</v>
      </c>
      <c r="V818" t="n">
        <v>0</v>
      </c>
    </row>
    <row r="819">
      <c r="A819">
        <f>Skills!A12</f>
        <v/>
      </c>
      <c r="B819">
        <f>Skills!B12</f>
        <v/>
      </c>
      <c r="C819">
        <f>Inputs!$B$3&gt;=103</f>
        <v/>
      </c>
      <c r="D819">
        <f>IF(Skills!C12=1,60+Inputs!$B$25+Inputs!$B$29,IF(Skills!C12=2,90+Inputs!$B$26+Inputs!$B$29,IF(Skills!C12=3,120+Inputs!$B$27+Inputs!$B$29,MAX(0,(Inputs!$B$3-100)*3)+Inputs!$B$28+Inputs!$B$29)))</f>
        <v/>
      </c>
      <c r="E819">
        <f>INDEX(FactorTable!$B$2:$Y$301, MATCH(ROUND(MIN(300,MAX(1,D819)),0), FactorTable!$A$2:$A$301,0), Skills!M12+1)</f>
        <v/>
      </c>
      <c r="F819">
        <f>IF(Skills!N12=TRUE,(Skills!L12/10)*(E819/1000),Skills!L12/10)+Skills!O12</f>
        <v/>
      </c>
      <c r="G819">
        <f>Calc!G12</f>
        <v/>
      </c>
      <c r="H819">
        <f>Calc!H12</f>
        <v/>
      </c>
      <c r="I819">
        <f>IF(Skills!AA12&lt;&gt;"",1+(Skills!AA12/10)*(U810/1000)/100,1)</f>
        <v/>
      </c>
      <c r="J819">
        <f>((Inputs!$B$6*(1+Inputs!$B$7/100))+(((Inputs!$B$12*(1+Inputs!$B$13/100))-(Inputs!$B$12*(1+Inputs!$B$13/100)))+0.25*(Inputs!$B$14-Inputs!$B$14))*(1+Inputs!$B$7/100))*(F819/100)</f>
        <v/>
      </c>
      <c r="K819">
        <f>J819*(1+((Inputs!$B$12*(1+Inputs!$B$13/100))*0.01+Inputs!$B$14*0.0025)/100)*(1+Inputs!$B$15/100)*(1+Inputs!$B$16/100)*(5000/(6000+Inputs!$B$43*(1-(100*(1-(1-(Inputs!$B$19+0)/100)*(1-CHOOSE(ArtifactsInput!$N$40+1,5,6,7,8,9,10)/100)^(ArtifactsInput!$M$40-ArtifactsInput!$M$40)))/100)))*(1+(Inputs!$B$24+((C837=TRUE)*(F837-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830=TRUE)*(F830-Calc!F23))+(((IF(AND(ArtifactsInput!$M$42,((Inputs!$B$9+((C832=TRUE)*(F832-Calc!F25))+B847+(ArtifactsInput!$M$24-ArtifactsInput!$M$24)*CHOOSE(ArtifactsInput!$N$24+1,10,12,14,16,18,20)+IF(ArtifactsInput!$M$10,CHOOSE(ArtifactsInput!$N$10+1,15,18,21,24,27,30)*(IF(Inputs!$B$39="pvp",MIN(15,15)/15,IF(AND(Inputs!$B$39&lt;&gt;"pvp",Inputs!$B$44&gt;0),MIN(15,Inputs!$B$44)/(Inputs!$B$44),0))),0)))&gt;=100),MIN(100,((Inputs!$B$9+((C832=TRUE)*(F832-Calc!F25))+B847+(ArtifactsInput!$M$24-ArtifactsInput!$M$24)*CHOOSE(ArtifactsInput!$N$24+1,10,12,14,16,18,20)+IF(ArtifactsInput!$M$10,CHOOSE(ArtifactsInput!$N$10+1,15,18,21,24,27,30)*(IF(Inputs!$B$39="pvp",MIN(15,15)/15,IF(AND(Inputs!$B$39&lt;&gt;"pvp",Inputs!$B$44&gt;0),MIN(15,Inputs!$B$44)/(Inputs!$B$44),0))),0)))-100),0))*CHOOSE(ArtifactsInput!$N$42+1,0.6,0.72,0.84,0.96,1.08,1.2))),(Inputs!$B$18+1)+((C836=TRUE)*(F836-Calc!F29))+(IF(AND(ArtifactsInput!$M$42,((Inputs!$B$9+((C832=TRUE)*(F832-Calc!F25))+B847+(ArtifactsInput!$M$24-ArtifactsInput!$M$24)*CHOOSE(ArtifactsInput!$N$24+1,10,12,14,16,18,20)+IF(ArtifactsInput!$M$10,CHOOSE(ArtifactsInput!$N$10+1,15,18,21,24,27,30)*(IF(Inputs!$B$39="pvp",MIN(15,15)/15,IF(AND(Inputs!$B$39&lt;&gt;"pvp",Inputs!$B$44&gt;0),MIN(15,Inputs!$B$44)/(Inputs!$B$44),0))),0)))&gt;=100),CHOOSE(ArtifactsInput!$N$42+1,40,48,56,64,72,80),0))))/100)*(((1+(((C828=TRUE)*F828*IF(AND(Inputs!$B$39&lt;&gt;"pvp",Inputs!$B$44&gt;0),(((R828-1)*(Skills!Y21*(1+Inputs!$B$34/100))+MIN((Skills!Y21*(1+Inputs!$B$34/100)),MAX(0,Inputs!$B$44-((R828-1)*Skills!D21))))/Inputs!$B$44),IF(Inputs!$B$39="pvp",MIN((Skills!Y21*(1+Inputs!$B$34/100)),15)/15,(Skills!Y21*(1+Inputs!$B$34/100))/Skills!D21)))+((C835=TRUE)*(F835-Calc!F28))+((C825=TRUE)*(F825-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822=TRUE)*F822*IF(AND(Inputs!$B$39&lt;&gt;"pvp",Inputs!$B$44&gt;0),(((R822-1)*(Skills!Y15*(1+Inputs!$B$34/100))+MIN((Skills!Y15*(1+Inputs!$B$34/100)),MAX(0,Inputs!$B$44-((R822-1)*Skills!D15))))/Inputs!$B$44),IF(Inputs!$B$39="pvp",MIN((Skills!Y15*(1+Inputs!$B$34/100)),15)/15,(Skills!Y15*(1+Inputs!$B$34/100))/Skills!D15)))/100)*(1+((C813=TRUE)*F813*B841)/100))*B849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819)</f>
        <v/>
      </c>
      <c r="L819">
        <f>K819*(MIN(Inputs!$B$22+((C831=TRUE)*(F831-Calc!F24)),(Inputs!$B$23+0+(IF(ArtifactsInput!$M$15,CHOOSE(ArtifactsInput!$N$15+1,25,30,35,40,45,50)/100*(Inputs!$B$11-Inputs!$B$11),0))))/100+(Inputs!$B$23+0+(IF(ArtifactsInput!$M$15,CHOOSE(ArtifactsInput!$N$15+1,25,30,35,40,45,50)/100*(Inputs!$B$11-Inputs!$B$11),0)))/100)/2</f>
        <v/>
      </c>
      <c r="M819">
        <f>L819*(1+(Inputs!$B$10+((C833=TRUE)*(F833-Calc!F26))+B850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19">
        <f>L819*(1-MIN((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819*(MIN((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19">
        <f>(1-Summary!$B$11)*T819+Summary!$B$11*V819</f>
        <v/>
      </c>
      <c r="P819">
        <f>IF(B851=0,0,O819/B851)</f>
        <v/>
      </c>
      <c r="Q819">
        <f>IFERROR(1/IF(Inputs!$B$39="pvp",15,MAX(0.1,Skills!D12-IF(Skills!E12=TRUE,Inputs!$B$32,0))),0)</f>
        <v/>
      </c>
      <c r="R819">
        <f>IF(AND(Inputs!$B$39&lt;&gt;"pvp",Inputs!$B$44&gt;0),IF(MAX(0,Inputs!$B$44-B852)&lt;=0,0,(INT(MAX(0,Inputs!$B$44-B852)/IF(Inputs!$B$39="pvp",15,MAX(0.1,Skills!D12-IF(Skills!E12=TRUE,Inputs!$B$32,0))))+1)),0)</f>
        <v/>
      </c>
      <c r="S819">
        <f>IFERROR(O819/N819,0)</f>
        <v/>
      </c>
      <c r="T819">
        <f>IF(C819,(H819*N819*IF(AND(Inputs!$B$39&lt;&gt;"pvp",Inputs!$B$44&gt;0),((Skills!G12*((R819-1)*IF(Skills!H12&gt;0,Skills!I12/Skills!H12,1)+IF(Skills!H12&gt;0,MIN(Skills!I12,MAX(0,MAX(0,Inputs!$B$44-B852)-((R819-1)*IF(Inputs!$B$39="pvp",15,MAX(0.1,Skills!D12-IF(Skills!E12=TRUE,Inputs!$B$32,0))))))/Skills!H12,1)))/Inputs!$B$44),G819*Q819))*IF(Inputs!$B$39="pvp",1,1+(Inputs!$B$20+((C834=TRUE)*(F834-Calc!F27))+Skills!P12+B848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Hunt"),CHOOSE(ArtifactsInput!$N$35+1,15,18,21,24,27,30)*(1-EXP(-(0.2*B843)*5)),0)+IF(AND(ArtifactsInput!$M$22,Inputs!$B$4&lt;&gt;"Chapter Hunt"),CHOOSE(ArtifactsInput!$N$22+1,10,12,14,16,18,20)*((0*(((0.15*B843*5))^0/1)+1*(((0.15*B843*5))^1/1)+2*(((0.15*B843*5))^2/2)+3*(((0.15*B843*5))^3/6)+4*(((0.15*B843*5))^4/24)+5*(((0.15*B843*5))^5/120))/((((0.15*B843*5))^0/1)+(((0.15*B843*5))^1/1)+(((0.15*B843*5))^2/2)+(((0.15*B843*5))^3/6)+(((0.15*B843*5))^4/24)+(((0.15*B843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819*(1-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819*(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819*(1-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819*(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19">
        <f>IF(C819,(H819*N819*IF(AND(Inputs!$B$39&lt;&gt;"pvp",Inputs!$B$44&gt;0),((Skills!G12*((R819-1)*IF(Skills!H12&gt;0,Skills!I12/Skills!H12,1)+IF(Skills!H12&gt;0,MIN(Skills!I12,MAX(0,MAX(0,Inputs!$B$44-B852)-((R819-1)*IF(Inputs!$B$39="pvp",15,MAX(0.1,Skills!D12-IF(Skills!E12=TRUE,Inputs!$B$32,0))))))/Skills!H12,1)))/Inputs!$B$44),G819*Q819))*IF(Inputs!$B$39="pvp",1,(1+(Inputs!$B$21+Skills!Q12+B848+(IF(ArtifactsInput!$M$33,CHOOSE(ArtifactsInput!$N$33+1,30,36,42,48,54,60),0))+(IF(AND(ArtifactsInput!$M$35,Inputs!$B$4&lt;&gt;"Chapter Hunt"),CHOOSE(ArtifactsInput!$N$35+1,15,18,21,24,27,30)*(1-EXP(-(0.2*B843)*5)),0)+IF(AND(ArtifactsInput!$M$22,Inputs!$B$4&lt;&gt;"Chapter Hunt"),CHOOSE(ArtifactsInput!$N$22+1,10,12,14,16,18,20)*((0*(((0.15*B843*5))^0/1)+1*(((0.15*B843*5))^1/1)+2*(((0.15*B843*5))^2/2)+3*(((0.15*B843*5))^3/6)+4*(((0.15*B843*5))^4/24)+5*(((0.15*B843*5))^5/120))/((((0.15*B843*5))^0/1)+(((0.15*B843*5))^1/1)+(((0.15*B843*5))^2/2)+(((0.15*B843*5))^3/6)+(((0.15*B843*5))^4/24)+(((0.15*B843*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20">
      <c r="A820">
        <f>Skills!A13</f>
        <v/>
      </c>
      <c r="B820">
        <f>Skills!B13</f>
        <v/>
      </c>
      <c r="C820">
        <f>Inputs!$B$3&gt;=105</f>
        <v/>
      </c>
      <c r="D820">
        <f>IF(Skills!C13=1,60+Inputs!$B$25+Inputs!$B$29,IF(Skills!C13=2,90+Inputs!$B$26+Inputs!$B$29,IF(Skills!C13=3,120+Inputs!$B$27+Inputs!$B$29,MAX(0,(Inputs!$B$3-100)*3)+Inputs!$B$28+Inputs!$B$29)))</f>
        <v/>
      </c>
      <c r="E820">
        <f>INDEX(FactorTable!$B$2:$Y$301, MATCH(ROUND(MIN(300,MAX(1,D820)),0), FactorTable!$A$2:$A$301,0), Skills!M13+1)</f>
        <v/>
      </c>
      <c r="F820">
        <f>IF(Skills!N13=TRUE,(Skills!L13/10)*(E820/1000),Skills!L13/10)+Skills!O13</f>
        <v/>
      </c>
      <c r="G820">
        <f>Calc!G13</f>
        <v/>
      </c>
      <c r="H820">
        <f>Calc!H13</f>
        <v/>
      </c>
      <c r="I820">
        <f>IF(Skills!AA13&lt;&gt;"",1+(Skills!AA13/10)*(U810/1000)/100,1)</f>
        <v/>
      </c>
      <c r="J820">
        <f>((Inputs!$B$6*(1+Inputs!$B$7/100))+(((Inputs!$B$12*(1+Inputs!$B$13/100))-(Inputs!$B$12*(1+Inputs!$B$13/100)))+0.25*(Inputs!$B$14-Inputs!$B$14))*(1+Inputs!$B$7/100))*(F820/100)</f>
        <v/>
      </c>
      <c r="K820">
        <f>J820*(1+((Inputs!$B$12*(1+Inputs!$B$13/100))*0.01+Inputs!$B$14*0.0025)/100)*(1+Inputs!$B$15/100)*(1+Inputs!$B$16/100)*(5000/(6000+Inputs!$B$43*(1-(100*(1-(1-(Inputs!$B$19+0)/100)*(1-CHOOSE(ArtifactsInput!$N$40+1,5,6,7,8,9,10)/100)^(ArtifactsInput!$M$40-ArtifactsInput!$M$40)))/100)))*(1+(Inputs!$B$24+((C837=TRUE)*(F837-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830=TRUE)*(F830-Calc!F23))+(((IF(AND(ArtifactsInput!$M$42,((Inputs!$B$9+((C832=TRUE)*(F832-Calc!F25))+B847+(ArtifactsInput!$M$24-ArtifactsInput!$M$24)*CHOOSE(ArtifactsInput!$N$24+1,10,12,14,16,18,20)+IF(ArtifactsInput!$M$10,CHOOSE(ArtifactsInput!$N$10+1,15,18,21,24,27,30)*(IF(Inputs!$B$39="pvp",MIN(15,15)/15,IF(AND(Inputs!$B$39&lt;&gt;"pvp",Inputs!$B$44&gt;0),MIN(15,Inputs!$B$44)/(Inputs!$B$44),0))),0)))&gt;=100),MIN(100,((Inputs!$B$9+((C832=TRUE)*(F832-Calc!F25))+B847+(ArtifactsInput!$M$24-ArtifactsInput!$M$24)*CHOOSE(ArtifactsInput!$N$24+1,10,12,14,16,18,20)+IF(ArtifactsInput!$M$10,CHOOSE(ArtifactsInput!$N$10+1,15,18,21,24,27,30)*(IF(Inputs!$B$39="pvp",MIN(15,15)/15,IF(AND(Inputs!$B$39&lt;&gt;"pvp",Inputs!$B$44&gt;0),MIN(15,Inputs!$B$44)/(Inputs!$B$44),0))),0)))-100),0))*CHOOSE(ArtifactsInput!$N$42+1,0.6,0.72,0.84,0.96,1.08,1.2))),(Inputs!$B$18+1)+((C836=TRUE)*(F836-Calc!F29))+(IF(AND(ArtifactsInput!$M$42,((Inputs!$B$9+((C832=TRUE)*(F832-Calc!F25))+B847+(ArtifactsInput!$M$24-ArtifactsInput!$M$24)*CHOOSE(ArtifactsInput!$N$24+1,10,12,14,16,18,20)+IF(ArtifactsInput!$M$10,CHOOSE(ArtifactsInput!$N$10+1,15,18,21,24,27,30)*(IF(Inputs!$B$39="pvp",MIN(15,15)/15,IF(AND(Inputs!$B$39&lt;&gt;"pvp",Inputs!$B$44&gt;0),MIN(15,Inputs!$B$44)/(Inputs!$B$44),0))),0)))&gt;=100),CHOOSE(ArtifactsInput!$N$42+1,40,48,56,64,72,80),0))))/100)*(((1+(((C828=TRUE)*F828*IF(AND(Inputs!$B$39&lt;&gt;"pvp",Inputs!$B$44&gt;0),(((R828-1)*(Skills!Y21*(1+Inputs!$B$34/100))+MIN((Skills!Y21*(1+Inputs!$B$34/100)),MAX(0,Inputs!$B$44-((R828-1)*Skills!D21))))/Inputs!$B$44),IF(Inputs!$B$39="pvp",MIN((Skills!Y21*(1+Inputs!$B$34/100)),15)/15,(Skills!Y21*(1+Inputs!$B$34/100))/Skills!D21)))+((C835=TRUE)*(F835-Calc!F28))+((C825=TRUE)*(F825-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822=TRUE)*F822*IF(AND(Inputs!$B$39&lt;&gt;"pvp",Inputs!$B$44&gt;0),(((R822-1)*(Skills!Y15*(1+Inputs!$B$34/100))+MIN((Skills!Y15*(1+Inputs!$B$34/100)),MAX(0,Inputs!$B$44-((R822-1)*Skills!D15))))/Inputs!$B$44),IF(Inputs!$B$39="pvp",MIN((Skills!Y15*(1+Inputs!$B$34/100)),15)/15,(Skills!Y15*(1+Inputs!$B$34/100))/Skills!D15)))/100)*(1+((C813=TRUE)*F813*B841)/100))*B849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820)</f>
        <v/>
      </c>
      <c r="L820">
        <f>K820*(MIN(Inputs!$B$22+((C831=TRUE)*(F831-Calc!F24)),(Inputs!$B$23+0+(IF(ArtifactsInput!$M$15,CHOOSE(ArtifactsInput!$N$15+1,25,30,35,40,45,50)/100*(Inputs!$B$11-Inputs!$B$11),0))))/100+(Inputs!$B$23+0+(IF(ArtifactsInput!$M$15,CHOOSE(ArtifactsInput!$N$15+1,25,30,35,40,45,50)/100*(Inputs!$B$11-Inputs!$B$11),0)))/100)/2</f>
        <v/>
      </c>
      <c r="M820">
        <f>L820*(1+(Inputs!$B$10+((C833=TRUE)*(F833-Calc!F26))+B850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20">
        <f>L820*(1-MIN((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820*(MIN((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20">
        <f>(1-Summary!$B$11)*T820+Summary!$B$11*V820</f>
        <v/>
      </c>
      <c r="P820">
        <f>IF(B851=0,0,O820/B851)</f>
        <v/>
      </c>
      <c r="Q820">
        <f>IFERROR(1/IF(Inputs!$B$39="pvp",15,MAX(0.1,Skills!D13-IF(Skills!E13=TRUE,Inputs!$B$32,0))),0)</f>
        <v/>
      </c>
      <c r="R820">
        <f>IF(AND(Inputs!$B$39&lt;&gt;"pvp",Inputs!$B$44&gt;0),IF(MAX(0,Inputs!$B$44-B852)&lt;=0,0,(INT(MAX(0,Inputs!$B$44-B852)/IF(Inputs!$B$39="pvp",15,MAX(0.1,Skills!D13-IF(Skills!E13=TRUE,Inputs!$B$32,0))))+1)),0)</f>
        <v/>
      </c>
      <c r="S820">
        <f>IFERROR(O820/N820,0)</f>
        <v/>
      </c>
      <c r="T820">
        <f>IF(C820,(H820*N820*IF(AND(Inputs!$B$39&lt;&gt;"pvp",Inputs!$B$44&gt;0),((Skills!G13*((R820-1)*IF(Skills!H13&gt;0,Skills!I13/Skills!H13,1)+IF(Skills!H13&gt;0,MIN(Skills!I13,MAX(0,MAX(0,Inputs!$B$44-B852)-((R820-1)*IF(Inputs!$B$39="pvp",15,MAX(0.1,Skills!D13-IF(Skills!E13=TRUE,Inputs!$B$32,0))))))/Skills!H13,1)))/Inputs!$B$44),G820*Q820))*IF(Inputs!$B$39="pvp",1,1+(Inputs!$B$20+((C834=TRUE)*(F834-Calc!F27))+Skills!P13+B848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Hunt"),CHOOSE(ArtifactsInput!$N$35+1,15,18,21,24,27,30)*(1-EXP(-(0.2*B843)*5)),0)+IF(AND(ArtifactsInput!$M$22,Inputs!$B$4&lt;&gt;"Chapter Hunt"),CHOOSE(ArtifactsInput!$N$22+1,10,12,14,16,18,20)*((0*(((0.15*B843*5))^0/1)+1*(((0.15*B843*5))^1/1)+2*(((0.15*B843*5))^2/2)+3*(((0.15*B843*5))^3/6)+4*(((0.15*B843*5))^4/24)+5*(((0.15*B843*5))^5/120))/((((0.15*B843*5))^0/1)+(((0.15*B843*5))^1/1)+(((0.15*B843*5))^2/2)+(((0.15*B843*5))^3/6)+(((0.15*B843*5))^4/24)+(((0.15*B843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820*(1-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820*(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820*(1-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820*(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20">
        <f>IF(C820,(H820*N820*IF(AND(Inputs!$B$39&lt;&gt;"pvp",Inputs!$B$44&gt;0),((Skills!G13*((R820-1)*IF(Skills!H13&gt;0,Skills!I13/Skills!H13,1)+IF(Skills!H13&gt;0,MIN(Skills!I13,MAX(0,MAX(0,Inputs!$B$44-B852)-((R820-1)*IF(Inputs!$B$39="pvp",15,MAX(0.1,Skills!D13-IF(Skills!E13=TRUE,Inputs!$B$32,0))))))/Skills!H13,1)))/Inputs!$B$44),G820*Q820))*IF(Inputs!$B$39="pvp",1,(1+(Inputs!$B$21+Skills!Q13+B848+(IF(ArtifactsInput!$M$33,CHOOSE(ArtifactsInput!$N$33+1,30,36,42,48,54,60),0))+(IF(AND(ArtifactsInput!$M$35,Inputs!$B$4&lt;&gt;"Chapter Hunt"),CHOOSE(ArtifactsInput!$N$35+1,15,18,21,24,27,30)*(1-EXP(-(0.2*B843)*5)),0)+IF(AND(ArtifactsInput!$M$22,Inputs!$B$4&lt;&gt;"Chapter Hunt"),CHOOSE(ArtifactsInput!$N$22+1,10,12,14,16,18,20)*((0*(((0.15*B843*5))^0/1)+1*(((0.15*B843*5))^1/1)+2*(((0.15*B843*5))^2/2)+3*(((0.15*B843*5))^3/6)+4*(((0.15*B843*5))^4/24)+5*(((0.15*B843*5))^5/120))/((((0.15*B843*5))^0/1)+(((0.15*B843*5))^1/1)+(((0.15*B843*5))^2/2)+(((0.15*B843*5))^3/6)+(((0.15*B843*5))^4/24)+(((0.15*B843*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21">
      <c r="A821">
        <f>Skills!A14</f>
        <v/>
      </c>
      <c r="B821">
        <f>Skills!B14</f>
        <v/>
      </c>
      <c r="C821">
        <f>Inputs!$B$3&gt;=105</f>
        <v/>
      </c>
      <c r="D821">
        <f>IF(Skills!C14=1,60+Inputs!$B$25+Inputs!$B$29,IF(Skills!C14=2,90+Inputs!$B$26+Inputs!$B$29,IF(Skills!C14=3,120+Inputs!$B$27+Inputs!$B$29,MAX(0,(Inputs!$B$3-100)*3)+Inputs!$B$28+Inputs!$B$29)))</f>
        <v/>
      </c>
      <c r="E821">
        <f>INDEX(FactorTable!$B$2:$Y$301, MATCH(ROUND(MIN(300,MAX(1,D821)),0), FactorTable!$A$2:$A$301,0), Skills!M14+1)</f>
        <v/>
      </c>
      <c r="F821">
        <f>IF(Skills!N14=TRUE,(Skills!L14/10)*(E821/1000),Skills!L14/10)+Skills!O14</f>
        <v/>
      </c>
      <c r="G821">
        <f>Calc!G14</f>
        <v/>
      </c>
      <c r="H821">
        <f>Calc!H14</f>
        <v/>
      </c>
      <c r="I821">
        <f>IF(Skills!AA14&lt;&gt;"",1+(Skills!AA14/10)*(U810/1000)/100,1)</f>
        <v/>
      </c>
      <c r="J821">
        <f>((Inputs!$B$6*(1+Inputs!$B$7/100))+(((Inputs!$B$12*(1+Inputs!$B$13/100))-(Inputs!$B$12*(1+Inputs!$B$13/100)))+0.25*(Inputs!$B$14-Inputs!$B$14))*(1+Inputs!$B$7/100))*(F821/100)</f>
        <v/>
      </c>
      <c r="K821">
        <f>J821*(1+((Inputs!$B$12*(1+Inputs!$B$13/100))*0.01+Inputs!$B$14*0.0025)/100)*(1+Inputs!$B$15/100)*(1+Inputs!$B$16/100)*(5000/(6000+Inputs!$B$43*(1-(100*(1-(1-(Inputs!$B$19+0)/100)*(1-CHOOSE(ArtifactsInput!$N$40+1,5,6,7,8,9,10)/100)^(ArtifactsInput!$M$40-ArtifactsInput!$M$40)))/100)))*(1+(Inputs!$B$24+((C837=TRUE)*(F837-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830=TRUE)*(F830-Calc!F23))+(((IF(AND(ArtifactsInput!$M$42,((Inputs!$B$9+((C832=TRUE)*(F832-Calc!F25))+B847+(ArtifactsInput!$M$24-ArtifactsInput!$M$24)*CHOOSE(ArtifactsInput!$N$24+1,10,12,14,16,18,20)+IF(ArtifactsInput!$M$10,CHOOSE(ArtifactsInput!$N$10+1,15,18,21,24,27,30)*(IF(Inputs!$B$39="pvp",MIN(15,15)/15,IF(AND(Inputs!$B$39&lt;&gt;"pvp",Inputs!$B$44&gt;0),MIN(15,Inputs!$B$44)/(Inputs!$B$44),0))),0)))&gt;=100),MIN(100,((Inputs!$B$9+((C832=TRUE)*(F832-Calc!F25))+B847+(ArtifactsInput!$M$24-ArtifactsInput!$M$24)*CHOOSE(ArtifactsInput!$N$24+1,10,12,14,16,18,20)+IF(ArtifactsInput!$M$10,CHOOSE(ArtifactsInput!$N$10+1,15,18,21,24,27,30)*(IF(Inputs!$B$39="pvp",MIN(15,15)/15,IF(AND(Inputs!$B$39&lt;&gt;"pvp",Inputs!$B$44&gt;0),MIN(15,Inputs!$B$44)/(Inputs!$B$44),0))),0)))-100),0))*CHOOSE(ArtifactsInput!$N$42+1,0.6,0.72,0.84,0.96,1.08,1.2))),(Inputs!$B$18+1)+((C836=TRUE)*(F836-Calc!F29))+(IF(AND(ArtifactsInput!$M$42,((Inputs!$B$9+((C832=TRUE)*(F832-Calc!F25))+B847+(ArtifactsInput!$M$24-ArtifactsInput!$M$24)*CHOOSE(ArtifactsInput!$N$24+1,10,12,14,16,18,20)+IF(ArtifactsInput!$M$10,CHOOSE(ArtifactsInput!$N$10+1,15,18,21,24,27,30)*(IF(Inputs!$B$39="pvp",MIN(15,15)/15,IF(AND(Inputs!$B$39&lt;&gt;"pvp",Inputs!$B$44&gt;0),MIN(15,Inputs!$B$44)/(Inputs!$B$44),0))),0)))&gt;=100),CHOOSE(ArtifactsInput!$N$42+1,40,48,56,64,72,80),0))))/100)*(((1+(((C828=TRUE)*F828*IF(AND(Inputs!$B$39&lt;&gt;"pvp",Inputs!$B$44&gt;0),(((R828-1)*(Skills!Y21*(1+Inputs!$B$34/100))+MIN((Skills!Y21*(1+Inputs!$B$34/100)),MAX(0,Inputs!$B$44-((R828-1)*Skills!D21))))/Inputs!$B$44),IF(Inputs!$B$39="pvp",MIN((Skills!Y21*(1+Inputs!$B$34/100)),15)/15,(Skills!Y21*(1+Inputs!$B$34/100))/Skills!D21)))+((C835=TRUE)*(F835-Calc!F28))+((C825=TRUE)*(F825-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822=TRUE)*F822*IF(AND(Inputs!$B$39&lt;&gt;"pvp",Inputs!$B$44&gt;0),(((R822-1)*(Skills!Y15*(1+Inputs!$B$34/100))+MIN((Skills!Y15*(1+Inputs!$B$34/100)),MAX(0,Inputs!$B$44-((R822-1)*Skills!D15))))/Inputs!$B$44),IF(Inputs!$B$39="pvp",MIN((Skills!Y15*(1+Inputs!$B$34/100)),15)/15,(Skills!Y15*(1+Inputs!$B$34/100))/Skills!D15)))/100)*(1+((C813=TRUE)*F813*B841)/100))*B849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821)</f>
        <v/>
      </c>
      <c r="L821">
        <f>K821*(MIN(Inputs!$B$22+((C831=TRUE)*(F831-Calc!F24)),(Inputs!$B$23+0+(IF(ArtifactsInput!$M$15,CHOOSE(ArtifactsInput!$N$15+1,25,30,35,40,45,50)/100*(Inputs!$B$11-Inputs!$B$11),0))))/100+(Inputs!$B$23+0+(IF(ArtifactsInput!$M$15,CHOOSE(ArtifactsInput!$N$15+1,25,30,35,40,45,50)/100*(Inputs!$B$11-Inputs!$B$11),0)))/100)/2</f>
        <v/>
      </c>
      <c r="M821">
        <f>L821*(1+(Inputs!$B$10+((C833=TRUE)*(F833-Calc!F26))+B850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21">
        <f>L821*(1-MIN((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821*(MIN((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21">
        <f>(1-Summary!$B$11)*T821+Summary!$B$11*V821</f>
        <v/>
      </c>
      <c r="P821">
        <f>IF(B851=0,0,O821/B851)</f>
        <v/>
      </c>
      <c r="Q821">
        <f>IFERROR(1/IF(Inputs!$B$39="pvp",15,MAX(0.1,Skills!D14-IF(Skills!E14=TRUE,Inputs!$B$32,0))),0)</f>
        <v/>
      </c>
      <c r="R821">
        <f>IF(AND(Inputs!$B$39&lt;&gt;"pvp",Inputs!$B$44&gt;0),IF(MAX(0,Inputs!$B$44-B852)&lt;=0,0,(INT(MAX(0,Inputs!$B$44-B852)/IF(Inputs!$B$39="pvp",15,MAX(0.1,Skills!D14-IF(Skills!E14=TRUE,Inputs!$B$32,0))))+1)),0)</f>
        <v/>
      </c>
      <c r="S821">
        <f>IFERROR(O821/N821,0)</f>
        <v/>
      </c>
      <c r="T821">
        <f>IF(C821,(H821*N821*IF(AND(Inputs!$B$39&lt;&gt;"pvp",Inputs!$B$44&gt;0),((Skills!G14*((R821-1)*IF(Skills!H14&gt;0,Skills!I14/Skills!H14,1)+IF(Skills!H14&gt;0,MIN(Skills!I14,MAX(0,MAX(0,Inputs!$B$44-B852)-((R821-1)*IF(Inputs!$B$39="pvp",15,MAX(0.1,Skills!D14-IF(Skills!E14=TRUE,Inputs!$B$32,0))))))/Skills!H14,1)))/Inputs!$B$44),G821*Q821))*IF(Inputs!$B$39="pvp",1,1+(Inputs!$B$20+((C834=TRUE)*(F834-Calc!F27))+Skills!P14+B848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Hunt"),CHOOSE(ArtifactsInput!$N$35+1,15,18,21,24,27,30)*(1-EXP(-(0.2*B843)*5)),0)+IF(AND(ArtifactsInput!$M$22,Inputs!$B$4&lt;&gt;"Chapter Hunt"),CHOOSE(ArtifactsInput!$N$22+1,10,12,14,16,18,20)*((0*(((0.15*B843*5))^0/1)+1*(((0.15*B843*5))^1/1)+2*(((0.15*B843*5))^2/2)+3*(((0.15*B843*5))^3/6)+4*(((0.15*B843*5))^4/24)+5*(((0.15*B843*5))^5/120))/((((0.15*B843*5))^0/1)+(((0.15*B843*5))^1/1)+(((0.15*B843*5))^2/2)+(((0.15*B843*5))^3/6)+(((0.15*B843*5))^4/24)+(((0.15*B843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821*(1-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821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821*(1-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821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21">
        <f>IF(C821,(H821*N821*IF(AND(Inputs!$B$39&lt;&gt;"pvp",Inputs!$B$44&gt;0),((Skills!G14*((R821-1)*IF(Skills!H14&gt;0,Skills!I14/Skills!H14,1)+IF(Skills!H14&gt;0,MIN(Skills!I14,MAX(0,MAX(0,Inputs!$B$44-B852)-((R821-1)*IF(Inputs!$B$39="pvp",15,MAX(0.1,Skills!D14-IF(Skills!E14=TRUE,Inputs!$B$32,0))))))/Skills!H14,1)))/Inputs!$B$44),G821*Q821))*IF(Inputs!$B$39="pvp",1,(1+(Inputs!$B$21+Skills!Q14+B848+(IF(ArtifactsInput!$M$33,CHOOSE(ArtifactsInput!$N$33+1,30,36,42,48,54,60),0))+(IF(AND(ArtifactsInput!$M$35,Inputs!$B$4&lt;&gt;"Chapter Hunt"),CHOOSE(ArtifactsInput!$N$35+1,15,18,21,24,27,30)*(1-EXP(-(0.2*B843)*5)),0)+IF(AND(ArtifactsInput!$M$22,Inputs!$B$4&lt;&gt;"Chapter Hunt"),CHOOSE(ArtifactsInput!$N$22+1,10,12,14,16,18,20)*((0*(((0.15*B843*5))^0/1)+1*(((0.15*B843*5))^1/1)+2*(((0.15*B843*5))^2/2)+3*(((0.15*B843*5))^3/6)+4*(((0.15*B843*5))^4/24)+5*(((0.15*B843*5))^5/120))/((((0.15*B843*5))^0/1)+(((0.15*B843*5))^1/1)+(((0.15*B843*5))^2/2)+(((0.15*B843*5))^3/6)+(((0.15*B843*5))^4/24)+(((0.15*B843*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22">
      <c r="A822">
        <f>Skills!A15</f>
        <v/>
      </c>
      <c r="B822">
        <f>Skills!B15</f>
        <v/>
      </c>
      <c r="C822">
        <f>Inputs!$B$3&gt;=110</f>
        <v/>
      </c>
      <c r="D822">
        <f>IF(Skills!C15=1,60+Inputs!$B$25+Inputs!$B$29,IF(Skills!C15=2,90+Inputs!$B$26+Inputs!$B$29,IF(Skills!C15=3,120+Inputs!$B$27+Inputs!$B$29,MAX(0,(Inputs!$B$3-100)*3)+Inputs!$B$28+Inputs!$B$29)))</f>
        <v/>
      </c>
      <c r="E822">
        <f>INDEX(FactorTable!$B$2:$Y$301, MATCH(ROUND(MIN(300,MAX(1,D822)),0), FactorTable!$A$2:$A$301,0), Skills!M15+1)</f>
        <v/>
      </c>
      <c r="F822">
        <f>IF(Skills!N15=TRUE,(Skills!L15/10)*(E822/1000),Skills!L15/10)+Skills!O15</f>
        <v/>
      </c>
      <c r="G822">
        <f>Calc!G15</f>
        <v/>
      </c>
      <c r="H822">
        <f>Calc!H15</f>
        <v/>
      </c>
      <c r="I822">
        <f>IF(Skills!AA15&lt;&gt;"",1+(Skills!AA15/10)*(U810/1000)/100,1)</f>
        <v/>
      </c>
      <c r="J822" t="inlineStr"/>
      <c r="K822" t="inlineStr"/>
      <c r="L822" t="inlineStr"/>
      <c r="M822" t="inlineStr"/>
      <c r="N822" t="inlineStr"/>
      <c r="O822">
        <f>(1-Summary!$B$11)*T822+Summary!$B$11*V822</f>
        <v/>
      </c>
      <c r="P822">
        <f>IF(B851=0,0,O822/B851)</f>
        <v/>
      </c>
      <c r="Q822">
        <f>IFERROR(1/IF(Inputs!$B$39="pvp",15,MAX(0.1,Skills!D15-IF(Skills!E15=TRUE,Inputs!$B$32,0))),0)</f>
        <v/>
      </c>
      <c r="R822">
        <f>IF(AND(Inputs!$B$39&lt;&gt;"pvp",Inputs!$B$44&gt;0),IF(Inputs!$B$44&lt;=0,0,(INT(Inputs!$B$44/IF(Inputs!$B$39="pvp",15,MAX(0.1,Skills!D15-IF(Skills!E15=TRUE,Inputs!$B$32,0))))+1)),0)</f>
        <v/>
      </c>
      <c r="S822">
        <f>IFERROR(O822/N822,0)</f>
        <v/>
      </c>
      <c r="T822" t="n">
        <v>0</v>
      </c>
      <c r="V822" t="n">
        <v>0</v>
      </c>
    </row>
    <row r="823">
      <c r="A823">
        <f>Skills!A16</f>
        <v/>
      </c>
      <c r="B823">
        <f>Skills!B16</f>
        <v/>
      </c>
      <c r="C823">
        <f>Inputs!$B$3&gt;=110</f>
        <v/>
      </c>
      <c r="D823">
        <f>IF(Skills!C16=1,60+Inputs!$B$25+Inputs!$B$29,IF(Skills!C16=2,90+Inputs!$B$26+Inputs!$B$29,IF(Skills!C16=3,120+Inputs!$B$27+Inputs!$B$29,MAX(0,(Inputs!$B$3-100)*3)+Inputs!$B$28+Inputs!$B$29)))</f>
        <v/>
      </c>
      <c r="E823">
        <f>INDEX(FactorTable!$B$2:$Y$301, MATCH(ROUND(MIN(300,MAX(1,D823)),0), FactorTable!$A$2:$A$301,0), Skills!M16+1)</f>
        <v/>
      </c>
      <c r="F823">
        <f>IF(Skills!N16=TRUE,(Skills!L16/10)*(E823/1000),Skills!L16/10)+Skills!O16</f>
        <v/>
      </c>
      <c r="G823">
        <f>Calc!G16</f>
        <v/>
      </c>
      <c r="H823">
        <f>Calc!H16</f>
        <v/>
      </c>
      <c r="I823">
        <f>IF(Skills!AA16&lt;&gt;"",1+(Skills!AA16/10)*(U810/1000)/100,1)</f>
        <v/>
      </c>
      <c r="J823" t="inlineStr"/>
      <c r="K823" t="inlineStr"/>
      <c r="L823" t="inlineStr"/>
      <c r="M823" t="inlineStr"/>
      <c r="N823" t="inlineStr"/>
      <c r="O823">
        <f>(1-Summary!$B$11)*T823+Summary!$B$11*V823</f>
        <v/>
      </c>
      <c r="P823">
        <f>IF(B851=0,0,O823/B851)</f>
        <v/>
      </c>
      <c r="Q823">
        <f>IFERROR(1/IF(Inputs!$B$39="pvp",15,MAX(0.1,Skills!D16-IF(Skills!E16=TRUE,Inputs!$B$32,0))),0)</f>
        <v/>
      </c>
      <c r="R823">
        <f>IF(AND(Inputs!$B$39&lt;&gt;"pvp",Inputs!$B$44&gt;0),IF(Inputs!$B$44&lt;=0,0,(INT(Inputs!$B$44/IF(Inputs!$B$39="pvp",15,MAX(0.1,Skills!D16-IF(Skills!E16=TRUE,Inputs!$B$32,0))))+1)),0)</f>
        <v/>
      </c>
      <c r="S823">
        <f>IFERROR(O823/N823,0)</f>
        <v/>
      </c>
      <c r="T823" t="n">
        <v>0</v>
      </c>
      <c r="V823" t="n">
        <v>0</v>
      </c>
    </row>
    <row r="824">
      <c r="A824">
        <f>Skills!A17</f>
        <v/>
      </c>
      <c r="B824">
        <f>Skills!B17</f>
        <v/>
      </c>
      <c r="C824">
        <f>Inputs!$B$3&gt;=115</f>
        <v/>
      </c>
      <c r="D824">
        <f>IF(Skills!C17=1,60+Inputs!$B$25+Inputs!$B$29,IF(Skills!C17=2,90+Inputs!$B$26+Inputs!$B$29,IF(Skills!C17=3,120+Inputs!$B$27+Inputs!$B$29,MAX(0,(Inputs!$B$3-100)*3)+Inputs!$B$28+Inputs!$B$29)))</f>
        <v/>
      </c>
      <c r="E824">
        <f>INDEX(FactorTable!$B$2:$Y$301, MATCH(ROUND(MIN(300,MAX(1,D824)),0), FactorTable!$A$2:$A$301,0), Skills!M17+1)</f>
        <v/>
      </c>
      <c r="F824">
        <f>IF(Skills!N17=TRUE,(Skills!L17/10)*(E824/1000),Skills!L17/10)+Skills!O17</f>
        <v/>
      </c>
      <c r="G824">
        <f>Calc!G17</f>
        <v/>
      </c>
      <c r="H824">
        <f>Calc!H17</f>
        <v/>
      </c>
      <c r="I824">
        <f>IF(Skills!AA17&lt;&gt;"",1+(Skills!AA17/10)*(U810/1000)/100,1)</f>
        <v/>
      </c>
      <c r="J824">
        <f>((Inputs!$B$6*(1+Inputs!$B$7/100))+(((Inputs!$B$12*(1+Inputs!$B$13/100))-(Inputs!$B$12*(1+Inputs!$B$13/100)))+0.25*(Inputs!$B$14-Inputs!$B$14))*(1+Inputs!$B$7/100))*(F824/100)</f>
        <v/>
      </c>
      <c r="K824">
        <f>J824*(1+((Inputs!$B$12*(1+Inputs!$B$13/100))*0.01+Inputs!$B$14*0.0025)/100)*(1+Inputs!$B$15/100)*(1+Inputs!$B$16/100)*(5000/(6000+Inputs!$B$43*(1-(100*(1-(1-(Inputs!$B$19+0)/100)*(1-CHOOSE(ArtifactsInput!$N$40+1,5,6,7,8,9,10)/100)^(ArtifactsInput!$M$40-ArtifactsInput!$M$40)))/100)))*(1+(Inputs!$B$24+((C837=TRUE)*(F837-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830=TRUE)*(F830-Calc!F23))+(((IF(AND(ArtifactsInput!$M$42,((Inputs!$B$9+((C832=TRUE)*(F832-Calc!F25))+B847+(ArtifactsInput!$M$24-ArtifactsInput!$M$24)*CHOOSE(ArtifactsInput!$N$24+1,10,12,14,16,18,20)+IF(ArtifactsInput!$M$10,CHOOSE(ArtifactsInput!$N$10+1,15,18,21,24,27,30)*(IF(Inputs!$B$39="pvp",MIN(15,15)/15,IF(AND(Inputs!$B$39&lt;&gt;"pvp",Inputs!$B$44&gt;0),MIN(15,Inputs!$B$44)/(Inputs!$B$44),0))),0)))&gt;=100),MIN(100,((Inputs!$B$9+((C832=TRUE)*(F832-Calc!F25))+B847+(ArtifactsInput!$M$24-ArtifactsInput!$M$24)*CHOOSE(ArtifactsInput!$N$24+1,10,12,14,16,18,20)+IF(ArtifactsInput!$M$10,CHOOSE(ArtifactsInput!$N$10+1,15,18,21,24,27,30)*(IF(Inputs!$B$39="pvp",MIN(15,15)/15,IF(AND(Inputs!$B$39&lt;&gt;"pvp",Inputs!$B$44&gt;0),MIN(15,Inputs!$B$44)/(Inputs!$B$44),0))),0)))-100),0))*CHOOSE(ArtifactsInput!$N$42+1,0.6,0.72,0.84,0.96,1.08,1.2))),(Inputs!$B$18+1)+((C836=TRUE)*(F836-Calc!F29))+(IF(AND(ArtifactsInput!$M$42,((Inputs!$B$9+((C832=TRUE)*(F832-Calc!F25))+B847+(ArtifactsInput!$M$24-ArtifactsInput!$M$24)*CHOOSE(ArtifactsInput!$N$24+1,10,12,14,16,18,20)+IF(ArtifactsInput!$M$10,CHOOSE(ArtifactsInput!$N$10+1,15,18,21,24,27,30)*(IF(Inputs!$B$39="pvp",MIN(15,15)/15,IF(AND(Inputs!$B$39&lt;&gt;"pvp",Inputs!$B$44&gt;0),MIN(15,Inputs!$B$44)/(Inputs!$B$44),0))),0)))&gt;=100),CHOOSE(ArtifactsInput!$N$42+1,40,48,56,64,72,80),0))))/100)*(((1+(((C828=TRUE)*F828*IF(AND(Inputs!$B$39&lt;&gt;"pvp",Inputs!$B$44&gt;0),(((R828-1)*(Skills!Y21*(1+Inputs!$B$34/100))+MIN((Skills!Y21*(1+Inputs!$B$34/100)),MAX(0,Inputs!$B$44-((R828-1)*Skills!D21))))/Inputs!$B$44),IF(Inputs!$B$39="pvp",MIN((Skills!Y21*(1+Inputs!$B$34/100)),15)/15,(Skills!Y21*(1+Inputs!$B$34/100))/Skills!D21)))+((C835=TRUE)*(F835-Calc!F28))+((C825=TRUE)*(F825-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822=TRUE)*F822*IF(AND(Inputs!$B$39&lt;&gt;"pvp",Inputs!$B$44&gt;0),(((R822-1)*(Skills!Y15*(1+Inputs!$B$34/100))+MIN((Skills!Y15*(1+Inputs!$B$34/100)),MAX(0,Inputs!$B$44-((R822-1)*Skills!D15))))/Inputs!$B$44),IF(Inputs!$B$39="pvp",MIN((Skills!Y15*(1+Inputs!$B$34/100)),15)/15,(Skills!Y15*(1+Inputs!$B$34/100))/Skills!D15)))/100)*(1+((C813=TRUE)*F813*B841)/100))*B849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824)</f>
        <v/>
      </c>
      <c r="L824">
        <f>K824*(MIN(Inputs!$B$22+((C831=TRUE)*(F831-Calc!F24)),(Inputs!$B$23+0+(IF(ArtifactsInput!$M$15,CHOOSE(ArtifactsInput!$N$15+1,25,30,35,40,45,50)/100*(Inputs!$B$11-Inputs!$B$11),0))))/100+(Inputs!$B$23+0+(IF(ArtifactsInput!$M$15,CHOOSE(ArtifactsInput!$N$15+1,25,30,35,40,45,50)/100*(Inputs!$B$11-Inputs!$B$11),0)))/100)/2</f>
        <v/>
      </c>
      <c r="M824">
        <f>L824*(1+(Inputs!$B$10+((C833=TRUE)*(F833-Calc!F26))+B850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24">
        <f>L824*(1-MIN((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824*(MIN((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24">
        <f>(1-Summary!$B$11)*T824+Summary!$B$11*V824</f>
        <v/>
      </c>
      <c r="P824">
        <f>IF(B851=0,0,O824/B851)</f>
        <v/>
      </c>
      <c r="Q824" t="n">
        <v>0</v>
      </c>
      <c r="R824" t="n">
        <v>0</v>
      </c>
      <c r="S824">
        <f>IFERROR(O824/N824,0)</f>
        <v/>
      </c>
      <c r="T824">
        <f>IF(C824,(Inputs!$B$38*0.2*N824)*IF(Inputs!$B$39="pvp",1,1+(Inputs!$B$20+((C834=TRUE)*(F834-Calc!F27))+Skills!P17+B848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Hunt"),CHOOSE(ArtifactsInput!$N$35+1,15,18,21,24,27,30)*(1-EXP(-(0.2*B843)*5)),0)+IF(AND(ArtifactsInput!$M$22,Inputs!$B$4&lt;&gt;"Chapter Hunt"),CHOOSE(ArtifactsInput!$N$22+1,10,12,14,16,18,20)*((0*(((0.15*B843*5))^0/1)+1*(((0.15*B843*5))^1/1)+2*(((0.15*B843*5))^2/2)+3*(((0.15*B843*5))^3/6)+4*(((0.15*B843*5))^4/24)+5*(((0.15*B843*5))^5/120))/((((0.15*B843*5))^0/1)+(((0.15*B843*5))^1/1)+(((0.15*B843*5))^2/2)+(((0.15*B843*5))^3/6)+(((0.15*B843*5))^4/24)+(((0.15*B843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824*(1-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824*(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824*(1-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824*(MIN(100,(Inputs!$B$9+((C832=TRUE)*(F832-Calc!F25))+B847+(ArtifactsInput!$M$24-ArtifactsInput!$M$24)*CHOOSE(ArtifactsInput!$N$24+1,10,12,14,16,18,20)+(IF(AND(ArtifactsInput!$M$42,((Inputs!$B$9+((C832=TRUE)*(F832-Calc!F25))+B847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24">
        <f>IF(C824,(Inputs!$B$38*0.2*N824)*IF(Inputs!$B$39="pvp",1,(1+(Inputs!$B$21+Skills!Q17+B848+(IF(ArtifactsInput!$M$33,CHOOSE(ArtifactsInput!$N$33+1,30,36,42,48,54,60),0))+(IF(AND(ArtifactsInput!$M$35,Inputs!$B$4&lt;&gt;"Chapter Hunt"),CHOOSE(ArtifactsInput!$N$35+1,15,18,21,24,27,30)*(1-EXP(-(0.2*B843)*5)),0)+IF(AND(ArtifactsInput!$M$22,Inputs!$B$4&lt;&gt;"Chapter Hunt"),CHOOSE(ArtifactsInput!$N$22+1,10,12,14,16,18,20)*((0*(((0.15*B843*5))^0/1)+1*(((0.15*B843*5))^1/1)+2*(((0.15*B843*5))^2/2)+3*(((0.15*B843*5))^3/6)+4*(((0.15*B843*5))^4/24)+5*(((0.15*B843*5))^5/120))/((((0.15*B843*5))^0/1)+(((0.15*B843*5))^1/1)+(((0.15*B843*5))^2/2)+(((0.15*B843*5))^3/6)+(((0.15*B843*5))^4/24)+(((0.15*B843*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25">
      <c r="A825">
        <f>Skills!A18</f>
        <v/>
      </c>
      <c r="B825">
        <f>Skills!B18</f>
        <v/>
      </c>
      <c r="C825">
        <f>Inputs!$B$3&gt;=115</f>
        <v/>
      </c>
      <c r="D825">
        <f>IF(Skills!C18=1,60+Inputs!$B$25+Inputs!$B$29,IF(Skills!C18=2,90+Inputs!$B$26+Inputs!$B$29,IF(Skills!C18=3,120+Inputs!$B$27+Inputs!$B$29,MAX(0,(Inputs!$B$3-100)*3)+Inputs!$B$28+Inputs!$B$29)))</f>
        <v/>
      </c>
      <c r="E825">
        <f>INDEX(FactorTable!$B$2:$Y$301, MATCH(ROUND(MIN(300,MAX(1,D825)),0), FactorTable!$A$2:$A$301,0), Skills!M18+1)</f>
        <v/>
      </c>
      <c r="F825">
        <f>IF(Skills!N18=TRUE,(Skills!L18/10)*(E825/1000),Skills!L18/10)+Skills!O18</f>
        <v/>
      </c>
      <c r="G825">
        <f>Calc!G18</f>
        <v/>
      </c>
      <c r="H825">
        <f>Calc!H18</f>
        <v/>
      </c>
      <c r="I825">
        <f>IF(Skills!AA18&lt;&gt;"",1+(Skills!AA18/10)*(U810/1000)/100,1)</f>
        <v/>
      </c>
      <c r="J825" t="inlineStr"/>
      <c r="K825" t="inlineStr"/>
      <c r="L825" t="inlineStr"/>
      <c r="M825" t="inlineStr"/>
      <c r="N825" t="inlineStr"/>
      <c r="O825">
        <f>(1-Summary!$B$11)*T825+Summary!$B$11*V825</f>
        <v/>
      </c>
      <c r="P825">
        <f>IF(B851=0,0,O825/B851)</f>
        <v/>
      </c>
      <c r="Q825" t="n">
        <v>0</v>
      </c>
      <c r="R825" t="n">
        <v>0</v>
      </c>
      <c r="S825">
        <f>IFERROR(O825/N825,0)</f>
        <v/>
      </c>
      <c r="T825" t="n">
        <v>0</v>
      </c>
      <c r="V825" t="n">
        <v>0</v>
      </c>
    </row>
    <row r="826">
      <c r="A826">
        <f>Skills!A19</f>
        <v/>
      </c>
      <c r="B826">
        <f>Skills!B19</f>
        <v/>
      </c>
      <c r="C826">
        <f>TRUE</f>
        <v/>
      </c>
      <c r="D826">
        <f>IF(Skills!C19=1,60+Inputs!$B$25+Inputs!$B$29,IF(Skills!C19=2,90+Inputs!$B$26+Inputs!$B$29,IF(Skills!C19=3,120+Inputs!$B$27+Inputs!$B$29,MAX(0,(Inputs!$B$3-100)*3)+Inputs!$B$28+Inputs!$B$29)))</f>
        <v/>
      </c>
      <c r="E826">
        <f>INDEX(FactorTable!$B$2:$Y$301, MATCH(ROUND(MIN(300,MAX(1,D826)),0), FactorTable!$A$2:$A$301,0), Skills!M19+1)</f>
        <v/>
      </c>
      <c r="F826">
        <f>IF(Skills!N19=TRUE,(Skills!L19/10)*(E826/1000),Skills!L19/10)+Skills!O19</f>
        <v/>
      </c>
      <c r="G826">
        <f>Calc!G19</f>
        <v/>
      </c>
      <c r="H826">
        <f>Calc!H19</f>
        <v/>
      </c>
      <c r="I826">
        <f>IF(Skills!AA19&lt;&gt;"",1+(Skills!AA19/10)*(U810/1000)/100,1)</f>
        <v/>
      </c>
      <c r="J826" t="inlineStr"/>
      <c r="K826" t="inlineStr"/>
      <c r="L826" t="inlineStr"/>
      <c r="M826" t="inlineStr"/>
      <c r="N826" t="inlineStr"/>
      <c r="O826">
        <f>(1-Summary!$B$11)*T826+Summary!$B$11*V826</f>
        <v/>
      </c>
      <c r="P826">
        <f>IF(B851=0,0,O826/B851)</f>
        <v/>
      </c>
      <c r="Q826">
        <f>IFERROR(1/IF(Inputs!$B$39="pvp",15,MAX(0.1,Skills!D19-IF(Skills!E19=TRUE,Inputs!$B$32,0))),0)</f>
        <v/>
      </c>
      <c r="R826">
        <f>IF(AND(Inputs!$B$39&lt;&gt;"pvp",Inputs!$B$44&gt;0),IF(Inputs!$B$44&lt;=0,0,(INT(Inputs!$B$44/IF(Inputs!$B$39="pvp",15,MAX(0.1,Skills!D19-IF(Skills!E19=TRUE,Inputs!$B$32,0))))+1)),0)</f>
        <v/>
      </c>
      <c r="S826">
        <f>IFERROR(O826/N826,0)</f>
        <v/>
      </c>
      <c r="T826" t="n">
        <v>0</v>
      </c>
      <c r="V826" t="n">
        <v>0</v>
      </c>
    </row>
    <row r="827">
      <c r="A827">
        <f>Skills!A20</f>
        <v/>
      </c>
      <c r="B827">
        <f>Skills!B20</f>
        <v/>
      </c>
      <c r="C827">
        <f>Inputs!$B$3&gt;=15</f>
        <v/>
      </c>
      <c r="D827">
        <f>IF(Skills!C20=1,60+Inputs!$B$25+Inputs!$B$29,IF(Skills!C20=2,90+Inputs!$B$26+Inputs!$B$29,IF(Skills!C20=3,120+Inputs!$B$27+Inputs!$B$29,MAX(0,(Inputs!$B$3-100)*3)+Inputs!$B$28+Inputs!$B$29)))</f>
        <v/>
      </c>
      <c r="E827">
        <f>INDEX(FactorTable!$B$2:$Y$301, MATCH(ROUND(MIN(300,MAX(1,D827)),0), FactorTable!$A$2:$A$301,0), Skills!M20+1)</f>
        <v/>
      </c>
      <c r="F827">
        <f>IF(Skills!N20=TRUE,(Skills!L20/10)*(E827/1000),Skills!L20/10)+Skills!O20</f>
        <v/>
      </c>
      <c r="G827">
        <f>Calc!G20</f>
        <v/>
      </c>
      <c r="H827">
        <f>Calc!H20</f>
        <v/>
      </c>
      <c r="I827">
        <f>IF(Skills!AA20&lt;&gt;"",1+(Skills!AA20/10)*(U810/1000)/100,1)</f>
        <v/>
      </c>
      <c r="J827" t="inlineStr"/>
      <c r="K827" t="inlineStr"/>
      <c r="L827" t="inlineStr"/>
      <c r="M827" t="inlineStr"/>
      <c r="N827" t="inlineStr"/>
      <c r="O827">
        <f>(1-Summary!$B$11)*T827+Summary!$B$11*V827</f>
        <v/>
      </c>
      <c r="P827">
        <f>IF(B851=0,0,O827/B851)</f>
        <v/>
      </c>
      <c r="Q827">
        <f>IFERROR(1/IF(Inputs!$B$39="pvp",15,MAX(0.1,Skills!D20-IF(Skills!E20=TRUE,Inputs!$B$32,0))),0)</f>
        <v/>
      </c>
      <c r="R827">
        <f>IF(AND(Inputs!$B$39&lt;&gt;"pvp",Inputs!$B$44&gt;0),IF(Inputs!$B$44&lt;=0,0,(INT(Inputs!$B$44/IF(Inputs!$B$39="pvp",15,MAX(0.1,Skills!D20-IF(Skills!E20=TRUE,Inputs!$B$32,0))))+1)),0)</f>
        <v/>
      </c>
      <c r="S827">
        <f>IFERROR(O827/N827,0)</f>
        <v/>
      </c>
      <c r="T827" t="n">
        <v>0</v>
      </c>
      <c r="V827" t="n">
        <v>0</v>
      </c>
    </row>
    <row r="828">
      <c r="A828">
        <f>Skills!A21</f>
        <v/>
      </c>
      <c r="B828">
        <f>Skills!B21</f>
        <v/>
      </c>
      <c r="C828">
        <f>Inputs!$B$3&gt;=15</f>
        <v/>
      </c>
      <c r="D828">
        <f>IF(Skills!C21=1,60+Inputs!$B$25+Inputs!$B$29,IF(Skills!C21=2,90+Inputs!$B$26+Inputs!$B$29,IF(Skills!C21=3,120+Inputs!$B$27+Inputs!$B$29,MAX(0,(Inputs!$B$3-100)*3)+Inputs!$B$28+Inputs!$B$29)))</f>
        <v/>
      </c>
      <c r="E828">
        <f>INDEX(FactorTable!$B$2:$Y$301, MATCH(ROUND(MIN(300,MAX(1,D828)),0), FactorTable!$A$2:$A$301,0), Skills!M21+1)</f>
        <v/>
      </c>
      <c r="F828">
        <f>IF(Skills!N21=TRUE,(Skills!L21/10)*(E828/1000),Skills!L21/10)+Skills!O21</f>
        <v/>
      </c>
      <c r="G828">
        <f>Calc!G21</f>
        <v/>
      </c>
      <c r="H828">
        <f>Calc!H21</f>
        <v/>
      </c>
      <c r="I828">
        <f>IF(Skills!AA21&lt;&gt;"",1+(Skills!AA21/10)*(U810/1000)/100,1)</f>
        <v/>
      </c>
      <c r="J828" t="inlineStr"/>
      <c r="K828" t="inlineStr"/>
      <c r="L828" t="inlineStr"/>
      <c r="M828" t="inlineStr"/>
      <c r="N828" t="inlineStr"/>
      <c r="O828">
        <f>(1-Summary!$B$11)*T828+Summary!$B$11*V828</f>
        <v/>
      </c>
      <c r="P828">
        <f>IF(B851=0,0,O828/B851)</f>
        <v/>
      </c>
      <c r="Q828">
        <f>IFERROR(1/IF(Inputs!$B$39="pvp",15,MAX(0.1,Skills!D21-IF(Skills!E21=TRUE,Inputs!$B$32,0))),0)</f>
        <v/>
      </c>
      <c r="R828">
        <f>IF(AND(Inputs!$B$39&lt;&gt;"pvp",Inputs!$B$44&gt;0),IF(Inputs!$B$44&lt;=0,0,(INT(Inputs!$B$44/IF(Inputs!$B$39="pvp",15,MAX(0.1,Skills!D21-IF(Skills!E21=TRUE,Inputs!$B$32,0))))+1)),0)</f>
        <v/>
      </c>
      <c r="S828">
        <f>IFERROR(O828/N828,0)</f>
        <v/>
      </c>
      <c r="T828" t="n">
        <v>0</v>
      </c>
      <c r="V828" t="n">
        <v>0</v>
      </c>
    </row>
    <row r="829">
      <c r="A829">
        <f>Skills!A22</f>
        <v/>
      </c>
      <c r="B829">
        <f>Skills!B22</f>
        <v/>
      </c>
      <c r="C829">
        <f>Inputs!$B$3&gt;=33</f>
        <v/>
      </c>
      <c r="D829">
        <f>IF(Skills!C22=1,60+Inputs!$B$25+Inputs!$B$29,IF(Skills!C22=2,90+Inputs!$B$26+Inputs!$B$29,IF(Skills!C22=3,120+Inputs!$B$27+Inputs!$B$29,MAX(0,(Inputs!$B$3-100)*3)+Inputs!$B$28+Inputs!$B$29)))</f>
        <v/>
      </c>
      <c r="E829">
        <f>INDEX(FactorTable!$B$2:$Y$301, MATCH(ROUND(MIN(300,MAX(1,D829)),0), FactorTable!$A$2:$A$301,0), Skills!M22+1)</f>
        <v/>
      </c>
      <c r="F829">
        <f>IF(Skills!N22=TRUE,(Skills!L22/10)*(E829/1000),Skills!L22/10)+Skills!O22</f>
        <v/>
      </c>
      <c r="G829">
        <f>Calc!G22</f>
        <v/>
      </c>
      <c r="H829">
        <f>Calc!H22</f>
        <v/>
      </c>
      <c r="I829">
        <f>IF(Skills!AA22&lt;&gt;"",1+(Skills!AA22/10)*(U810/1000)/100,1)</f>
        <v/>
      </c>
      <c r="J829" t="inlineStr"/>
      <c r="K829" t="inlineStr"/>
      <c r="L829" t="inlineStr"/>
      <c r="M829" t="inlineStr"/>
      <c r="N829" t="inlineStr"/>
      <c r="O829">
        <f>(1-Summary!$B$11)*T829+Summary!$B$11*V829</f>
        <v/>
      </c>
      <c r="P829">
        <f>IF(B851=0,0,O829/B851)</f>
        <v/>
      </c>
      <c r="Q829" t="n">
        <v>0</v>
      </c>
      <c r="R829" t="n">
        <v>0</v>
      </c>
      <c r="S829">
        <f>IFERROR(O829/N829,0)</f>
        <v/>
      </c>
      <c r="T829" t="n">
        <v>0</v>
      </c>
      <c r="V829" t="n">
        <v>0</v>
      </c>
    </row>
    <row r="830">
      <c r="A830">
        <f>Skills!A23</f>
        <v/>
      </c>
      <c r="B830">
        <f>Skills!B23</f>
        <v/>
      </c>
      <c r="C830">
        <f>Inputs!$B$3&gt;=38</f>
        <v/>
      </c>
      <c r="D830">
        <f>IF(Skills!C23=1,60+Inputs!$B$25+Inputs!$B$29,IF(Skills!C23=2,90+Inputs!$B$26+Inputs!$B$29,IF(Skills!C23=3,120+Inputs!$B$27+Inputs!$B$29,MAX(0,(Inputs!$B$3-100)*3)+Inputs!$B$28+Inputs!$B$29)))</f>
        <v/>
      </c>
      <c r="E830">
        <f>INDEX(FactorTable!$B$2:$Y$301, MATCH(ROUND(MIN(300,MAX(1,D830)),0), FactorTable!$A$2:$A$301,0), Skills!M23+1)</f>
        <v/>
      </c>
      <c r="F830">
        <f>IF(Skills!N23=TRUE,(Skills!L23/10)*(E830/1000),Skills!L23/10)+Skills!O23</f>
        <v/>
      </c>
      <c r="G830">
        <f>Calc!G23</f>
        <v/>
      </c>
      <c r="H830">
        <f>Calc!H23</f>
        <v/>
      </c>
      <c r="I830">
        <f>IF(Skills!AA23&lt;&gt;"",1+(Skills!AA23/10)*(U810/1000)/100,1)</f>
        <v/>
      </c>
      <c r="J830" t="inlineStr"/>
      <c r="K830" t="inlineStr"/>
      <c r="L830" t="inlineStr"/>
      <c r="M830" t="inlineStr"/>
      <c r="N830" t="inlineStr"/>
      <c r="O830">
        <f>(1-Summary!$B$11)*T830+Summary!$B$11*V830</f>
        <v/>
      </c>
      <c r="P830">
        <f>IF(B851=0,0,O830/B851)</f>
        <v/>
      </c>
      <c r="Q830" t="n">
        <v>0</v>
      </c>
      <c r="R830" t="n">
        <v>0</v>
      </c>
      <c r="S830">
        <f>IFERROR(O830/N830,0)</f>
        <v/>
      </c>
      <c r="T830" t="n">
        <v>0</v>
      </c>
      <c r="V830" t="n">
        <v>0</v>
      </c>
    </row>
    <row r="831">
      <c r="A831">
        <f>Skills!A24</f>
        <v/>
      </c>
      <c r="B831">
        <f>Skills!B24</f>
        <v/>
      </c>
      <c r="C831">
        <f>Inputs!$B$3&gt;=40</f>
        <v/>
      </c>
      <c r="D831">
        <f>IF(Skills!C24=1,60+Inputs!$B$25+Inputs!$B$29,IF(Skills!C24=2,90+Inputs!$B$26+Inputs!$B$29,IF(Skills!C24=3,120+Inputs!$B$27+Inputs!$B$29,MAX(0,(Inputs!$B$3-100)*3)+Inputs!$B$28+Inputs!$B$29)))</f>
        <v/>
      </c>
      <c r="E831">
        <f>INDEX(FactorTable!$B$2:$Y$301, MATCH(ROUND(MIN(300,MAX(1,D831)),0), FactorTable!$A$2:$A$301,0), Skills!M24+1)</f>
        <v/>
      </c>
      <c r="F831">
        <f>IF(Skills!N24=TRUE,(Skills!L24/10)*(E831/1000),Skills!L24/10)+Skills!O24</f>
        <v/>
      </c>
      <c r="G831">
        <f>Calc!G24</f>
        <v/>
      </c>
      <c r="H831">
        <f>Calc!H24</f>
        <v/>
      </c>
      <c r="I831">
        <f>IF(Skills!AA24&lt;&gt;"",1+(Skills!AA24/10)*(U810/1000)/100,1)</f>
        <v/>
      </c>
      <c r="J831" t="inlineStr"/>
      <c r="K831" t="inlineStr"/>
      <c r="L831" t="inlineStr"/>
      <c r="M831" t="inlineStr"/>
      <c r="N831" t="inlineStr"/>
      <c r="O831">
        <f>(1-Summary!$B$11)*T831+Summary!$B$11*V831</f>
        <v/>
      </c>
      <c r="P831">
        <f>IF(B851=0,0,O831/B851)</f>
        <v/>
      </c>
      <c r="Q831" t="n">
        <v>0</v>
      </c>
      <c r="R831" t="n">
        <v>0</v>
      </c>
      <c r="S831">
        <f>IFERROR(O831/N831,0)</f>
        <v/>
      </c>
      <c r="T831" t="n">
        <v>0</v>
      </c>
      <c r="V831" t="n">
        <v>0</v>
      </c>
    </row>
    <row r="832">
      <c r="A832">
        <f>Skills!A25</f>
        <v/>
      </c>
      <c r="B832">
        <f>Skills!B25</f>
        <v/>
      </c>
      <c r="C832">
        <f>Inputs!$B$3&gt;=45</f>
        <v/>
      </c>
      <c r="D832">
        <f>IF(Skills!C25=1,60+Inputs!$B$25+Inputs!$B$29,IF(Skills!C25=2,90+Inputs!$B$26+Inputs!$B$29,IF(Skills!C25=3,120+Inputs!$B$27+Inputs!$B$29,MAX(0,(Inputs!$B$3-100)*3)+Inputs!$B$28+Inputs!$B$29)))</f>
        <v/>
      </c>
      <c r="E832">
        <f>INDEX(FactorTable!$B$2:$Y$301, MATCH(ROUND(MIN(300,MAX(1,D832)),0), FactorTable!$A$2:$A$301,0), Skills!M25+1)</f>
        <v/>
      </c>
      <c r="F832">
        <f>IF(Skills!N25=TRUE,(Skills!L25/10)*(E832/1000),Skills!L25/10)+Skills!O25</f>
        <v/>
      </c>
      <c r="G832">
        <f>Calc!G25</f>
        <v/>
      </c>
      <c r="H832">
        <f>Calc!H25</f>
        <v/>
      </c>
      <c r="I832">
        <f>IF(Skills!AA25&lt;&gt;"",1+(Skills!AA25/10)*(U810/1000)/100,1)</f>
        <v/>
      </c>
      <c r="J832" t="inlineStr"/>
      <c r="K832" t="inlineStr"/>
      <c r="L832" t="inlineStr"/>
      <c r="M832" t="inlineStr"/>
      <c r="N832" t="inlineStr"/>
      <c r="O832">
        <f>(1-Summary!$B$11)*T832+Summary!$B$11*V832</f>
        <v/>
      </c>
      <c r="P832">
        <f>IF(B851=0,0,O832/B851)</f>
        <v/>
      </c>
      <c r="Q832" t="n">
        <v>0</v>
      </c>
      <c r="R832" t="n">
        <v>0</v>
      </c>
      <c r="S832">
        <f>IFERROR(O832/N832,0)</f>
        <v/>
      </c>
      <c r="T832" t="n">
        <v>0</v>
      </c>
      <c r="V832" t="n">
        <v>0</v>
      </c>
    </row>
    <row r="833">
      <c r="A833">
        <f>Skills!A26</f>
        <v/>
      </c>
      <c r="B833">
        <f>Skills!B26</f>
        <v/>
      </c>
      <c r="C833">
        <f>Inputs!$B$3&gt;=45</f>
        <v/>
      </c>
      <c r="D833">
        <f>IF(Skills!C26=1,60+Inputs!$B$25+Inputs!$B$29,IF(Skills!C26=2,90+Inputs!$B$26+Inputs!$B$29,IF(Skills!C26=3,120+Inputs!$B$27+Inputs!$B$29,MAX(0,(Inputs!$B$3-100)*3)+Inputs!$B$28+Inputs!$B$29)))</f>
        <v/>
      </c>
      <c r="E833">
        <f>INDEX(FactorTable!$B$2:$Y$301, MATCH(ROUND(MIN(300,MAX(1,D833)),0), FactorTable!$A$2:$A$301,0), Skills!M26+1)</f>
        <v/>
      </c>
      <c r="F833">
        <f>IF(Skills!N26=TRUE,(Skills!L26/10)*(E833/1000),Skills!L26/10)+Skills!O26</f>
        <v/>
      </c>
      <c r="G833">
        <f>Calc!G26</f>
        <v/>
      </c>
      <c r="H833">
        <f>Calc!H26</f>
        <v/>
      </c>
      <c r="I833">
        <f>IF(Skills!AA26&lt;&gt;"",1+(Skills!AA26/10)*(U810/1000)/100,1)</f>
        <v/>
      </c>
      <c r="J833" t="inlineStr"/>
      <c r="K833" t="inlineStr"/>
      <c r="L833" t="inlineStr"/>
      <c r="M833" t="inlineStr"/>
      <c r="N833" t="inlineStr"/>
      <c r="O833">
        <f>(1-Summary!$B$11)*T833+Summary!$B$11*V833</f>
        <v/>
      </c>
      <c r="P833">
        <f>IF(B851=0,0,O833/B851)</f>
        <v/>
      </c>
      <c r="Q833" t="n">
        <v>0</v>
      </c>
      <c r="R833" t="n">
        <v>0</v>
      </c>
      <c r="S833">
        <f>IFERROR(O833/N833,0)</f>
        <v/>
      </c>
      <c r="T833" t="n">
        <v>0</v>
      </c>
      <c r="V833" t="n">
        <v>0</v>
      </c>
    </row>
    <row r="834">
      <c r="A834">
        <f>Skills!A27</f>
        <v/>
      </c>
      <c r="B834">
        <f>Skills!B27</f>
        <v/>
      </c>
      <c r="C834">
        <f>Inputs!$B$3&gt;=72</f>
        <v/>
      </c>
      <c r="D834">
        <f>IF(Skills!C27=1,60+Inputs!$B$25+Inputs!$B$29,IF(Skills!C27=2,90+Inputs!$B$26+Inputs!$B$29,IF(Skills!C27=3,120+Inputs!$B$27+Inputs!$B$29,MAX(0,(Inputs!$B$3-100)*3)+Inputs!$B$28+Inputs!$B$29)))</f>
        <v/>
      </c>
      <c r="E834">
        <f>INDEX(FactorTable!$B$2:$Y$301, MATCH(ROUND(MIN(300,MAX(1,D834)),0), FactorTable!$A$2:$A$301,0), Skills!M27+1)</f>
        <v/>
      </c>
      <c r="F834">
        <f>IF(Skills!N27=TRUE,(Skills!L27/10)*(E834/1000),Skills!L27/10)+Skills!O27</f>
        <v/>
      </c>
      <c r="G834">
        <f>Calc!G27</f>
        <v/>
      </c>
      <c r="H834">
        <f>Calc!H27</f>
        <v/>
      </c>
      <c r="I834">
        <f>IF(Skills!AA27&lt;&gt;"",1+(Skills!AA27/10)*(U810/1000)/100,1)</f>
        <v/>
      </c>
      <c r="J834" t="inlineStr"/>
      <c r="K834" t="inlineStr"/>
      <c r="L834" t="inlineStr"/>
      <c r="M834" t="inlineStr"/>
      <c r="N834" t="inlineStr"/>
      <c r="O834">
        <f>(1-Summary!$B$11)*T834+Summary!$B$11*V834</f>
        <v/>
      </c>
      <c r="P834">
        <f>IF(B851=0,0,O834/B851)</f>
        <v/>
      </c>
      <c r="Q834" t="n">
        <v>0</v>
      </c>
      <c r="R834" t="n">
        <v>0</v>
      </c>
      <c r="S834">
        <f>IFERROR(O834/N834,0)</f>
        <v/>
      </c>
      <c r="T834" t="n">
        <v>0</v>
      </c>
      <c r="V834" t="n">
        <v>0</v>
      </c>
    </row>
    <row r="835">
      <c r="A835">
        <f>Skills!A28</f>
        <v/>
      </c>
      <c r="B835">
        <f>Skills!B28</f>
        <v/>
      </c>
      <c r="C835">
        <f>Inputs!$B$3&gt;=75</f>
        <v/>
      </c>
      <c r="D835">
        <f>IF(Skills!C28=1,60+Inputs!$B$25+Inputs!$B$29,IF(Skills!C28=2,90+Inputs!$B$26+Inputs!$B$29,IF(Skills!C28=3,120+Inputs!$B$27+Inputs!$B$29,MAX(0,(Inputs!$B$3-100)*3)+Inputs!$B$28+Inputs!$B$29)))</f>
        <v/>
      </c>
      <c r="E835">
        <f>INDEX(FactorTable!$B$2:$Y$301, MATCH(ROUND(MIN(300,MAX(1,D835)),0), FactorTable!$A$2:$A$301,0), Skills!M28+1)</f>
        <v/>
      </c>
      <c r="F835">
        <f>IF(Skills!N28=TRUE,(Skills!L28/10)*(E835/1000),Skills!L28/10)+Skills!O28</f>
        <v/>
      </c>
      <c r="G835">
        <f>Calc!G28</f>
        <v/>
      </c>
      <c r="H835">
        <f>Calc!H28</f>
        <v/>
      </c>
      <c r="I835">
        <f>IF(Skills!AA28&lt;&gt;"",1+(Skills!AA28/10)*(U810/1000)/100,1)</f>
        <v/>
      </c>
      <c r="J835" t="inlineStr"/>
      <c r="K835" t="inlineStr"/>
      <c r="L835" t="inlineStr"/>
      <c r="M835" t="inlineStr"/>
      <c r="N835" t="inlineStr"/>
      <c r="O835">
        <f>(1-Summary!$B$11)*T835+Summary!$B$11*V835</f>
        <v/>
      </c>
      <c r="P835">
        <f>IF(B851=0,0,O835/B851)</f>
        <v/>
      </c>
      <c r="Q835" t="n">
        <v>0</v>
      </c>
      <c r="R835" t="n">
        <v>0</v>
      </c>
      <c r="S835">
        <f>IFERROR(O835/N835,0)</f>
        <v/>
      </c>
      <c r="T835" t="n">
        <v>0</v>
      </c>
      <c r="V835" t="n">
        <v>0</v>
      </c>
    </row>
    <row r="836">
      <c r="A836">
        <f>Skills!A29</f>
        <v/>
      </c>
      <c r="B836">
        <f>Skills!B29</f>
        <v/>
      </c>
      <c r="C836">
        <f>Inputs!$B$3&gt;=120</f>
        <v/>
      </c>
      <c r="D836">
        <f>IF(Skills!C29=1,60+Inputs!$B$25+Inputs!$B$29,IF(Skills!C29=2,90+Inputs!$B$26+Inputs!$B$29,IF(Skills!C29=3,120+Inputs!$B$27+Inputs!$B$29,MAX(0,(Inputs!$B$3-100)*3)+Inputs!$B$28+Inputs!$B$29)))</f>
        <v/>
      </c>
      <c r="E836">
        <f>INDEX(FactorTable!$B$2:$Y$301, MATCH(ROUND(MIN(300,MAX(1,D836)),0), FactorTable!$A$2:$A$301,0), Skills!M29+1)</f>
        <v/>
      </c>
      <c r="F836">
        <f>IF(Skills!N29=TRUE,(Skills!L29/10)*(E836/1000),Skills!L29/10)+Skills!O29</f>
        <v/>
      </c>
      <c r="G836">
        <f>Calc!G29</f>
        <v/>
      </c>
      <c r="H836">
        <f>Calc!H29</f>
        <v/>
      </c>
      <c r="I836">
        <f>IF(Skills!AA29&lt;&gt;"",1+(Skills!AA29/10)*(U810/1000)/100,1)</f>
        <v/>
      </c>
      <c r="J836" t="inlineStr"/>
      <c r="K836" t="inlineStr"/>
      <c r="L836" t="inlineStr"/>
      <c r="M836" t="inlineStr"/>
      <c r="N836" t="inlineStr"/>
      <c r="O836">
        <f>(1-Summary!$B$11)*T836+Summary!$B$11*V836</f>
        <v/>
      </c>
      <c r="P836">
        <f>IF(B851=0,0,O836/B851)</f>
        <v/>
      </c>
      <c r="Q836" t="n">
        <v>0</v>
      </c>
      <c r="R836" t="n">
        <v>0</v>
      </c>
      <c r="S836">
        <f>IFERROR(O836/N836,0)</f>
        <v/>
      </c>
      <c r="T836" t="n">
        <v>0</v>
      </c>
      <c r="V836" t="n">
        <v>0</v>
      </c>
    </row>
    <row r="837">
      <c r="A837">
        <f>Skills!A30</f>
        <v/>
      </c>
      <c r="B837">
        <f>Skills!B30</f>
        <v/>
      </c>
      <c r="C837">
        <f>Inputs!$B$3&gt;=125</f>
        <v/>
      </c>
      <c r="D837">
        <f>IF(Skills!C30=1,60+Inputs!$B$25+Inputs!$B$29,IF(Skills!C30=2,90+Inputs!$B$26+Inputs!$B$29,IF(Skills!C30=3,120+Inputs!$B$27+Inputs!$B$29,MAX(0,(Inputs!$B$3-100)*3)+Inputs!$B$28+Inputs!$B$29)))</f>
        <v/>
      </c>
      <c r="E837">
        <f>INDEX(FactorTable!$B$2:$Y$301, MATCH(ROUND(MIN(300,MAX(1,D837)),0), FactorTable!$A$2:$A$301,0), Skills!M30+1)</f>
        <v/>
      </c>
      <c r="F837">
        <f>IF(Skills!N30=TRUE,(Skills!L30/10)*(E837/1000),Skills!L30/10)+Skills!O30</f>
        <v/>
      </c>
      <c r="G837">
        <f>Calc!G30</f>
        <v/>
      </c>
      <c r="H837">
        <f>Calc!H30</f>
        <v/>
      </c>
      <c r="I837">
        <f>IF(Skills!AA30&lt;&gt;"",1+(Skills!AA30/10)*(U810/1000)/100,1)</f>
        <v/>
      </c>
      <c r="J837" t="inlineStr"/>
      <c r="K837" t="inlineStr"/>
      <c r="L837" t="inlineStr"/>
      <c r="M837" t="inlineStr"/>
      <c r="N837" t="inlineStr"/>
      <c r="O837">
        <f>(1-Summary!$B$11)*T837+Summary!$B$11*V837</f>
        <v/>
      </c>
      <c r="P837">
        <f>IF(B851=0,0,O837/B851)</f>
        <v/>
      </c>
      <c r="Q837" t="n">
        <v>0</v>
      </c>
      <c r="R837" t="n">
        <v>0</v>
      </c>
      <c r="S837">
        <f>IFERROR(O837/N837,0)</f>
        <v/>
      </c>
      <c r="T837" t="n">
        <v>0</v>
      </c>
      <c r="V837" t="n">
        <v>0</v>
      </c>
    </row>
    <row r="838">
      <c r="A838">
        <f>Skills!A31</f>
        <v/>
      </c>
      <c r="B838">
        <f>Skills!B31</f>
        <v/>
      </c>
      <c r="C838">
        <f>Inputs!$B$3&gt;=107</f>
        <v/>
      </c>
      <c r="D838">
        <f>IF(Skills!C31=1,60+Inputs!$B$25+Inputs!$B$29,IF(Skills!C31=2,90+Inputs!$B$26+Inputs!$B$29,IF(Skills!C31=3,120+Inputs!$B$27+Inputs!$B$29,MAX(0,(Inputs!$B$3-100)*3)+Inputs!$B$28+Inputs!$B$29)))</f>
        <v/>
      </c>
      <c r="E838">
        <f>INDEX(FactorTable!$B$2:$Y$301, MATCH(ROUND(MIN(300,MAX(1,D838)),0), FactorTable!$A$2:$A$301,0), Skills!M31+1)</f>
        <v/>
      </c>
      <c r="F838">
        <f>IF(Skills!N31=TRUE,(Skills!L31/10)*(E838/1000),Skills!L31/10)+Skills!O31</f>
        <v/>
      </c>
      <c r="G838">
        <f>Calc!G31</f>
        <v/>
      </c>
      <c r="H838">
        <f>Calc!H31</f>
        <v/>
      </c>
      <c r="I838">
        <f>IF(Skills!AA31&lt;&gt;"",1+(Skills!AA31/10)*(U810/1000)/100,1)</f>
        <v/>
      </c>
      <c r="J838" t="inlineStr"/>
      <c r="K838" t="inlineStr"/>
      <c r="L838" t="inlineStr"/>
      <c r="M838" t="inlineStr"/>
      <c r="N838" t="inlineStr"/>
      <c r="O838">
        <f>(1-Summary!$B$11)*T838+Summary!$B$11*V838</f>
        <v/>
      </c>
      <c r="P838">
        <f>IF(B851=0,0,O838/B851)</f>
        <v/>
      </c>
      <c r="Q838" t="n">
        <v>0</v>
      </c>
      <c r="R838" t="n">
        <v>0</v>
      </c>
      <c r="S838">
        <f>IFERROR(O838/N838,0)</f>
        <v/>
      </c>
      <c r="T838" t="n">
        <v>0</v>
      </c>
      <c r="V838" t="n">
        <v>0</v>
      </c>
    </row>
    <row r="840">
      <c r="A840" t="inlineStr">
        <is>
          <t>Actions Per Second (pre-Adrenalin)</t>
        </is>
      </c>
      <c r="B840">
        <f>1+MIN(150,150*(1-(1-(Inputs!$B$11+((C829=TRUE)*(F829-Calc!F22))+(ArtifactsInput!$M$15-ArtifactsInput!$M$15)*CHOOSE(ArtifactsInput!$N$15+1,8,9.6,11.2,12.8,14.4,16))/150)*(1-((C826=TRUE)*F826*IF(AND(Inputs!$B$39&lt;&gt;"pvp",Inputs!$B$44&gt;0),(((R826-1)*(Skills!Y19*(1+Inputs!$B$34/100))+MIN((Skills!Y19*(1+Inputs!$B$34/100)),MAX(0,Inputs!$B$44-((R826-1)*Skills!D19))))/Inputs!$B$44),IF(Inputs!$B$39="pvp",MIN((Skills!Y19*(1+Inputs!$B$34/100)),15)/15,(Skills!Y19*(1+Inputs!$B$34/100))/Skills!D19)))/150)))/100</f>
        <v/>
      </c>
    </row>
    <row r="841">
      <c r="A841" t="inlineStr">
        <is>
          <t>Alchemic Adrenaline Uptime</t>
        </is>
      </c>
      <c r="B841">
        <f>(Skills!Y6*(1+Inputs!$B$34/100))/((Skills!Y6*(1+Inputs!$B$34/100))+(5/B840))</f>
        <v/>
      </c>
    </row>
    <row r="842">
      <c r="A842" t="inlineStr">
        <is>
          <t>Attack Speed Buff Bonus %</t>
        </is>
      </c>
      <c r="B842">
        <f>((C826=TRUE)*F826*IF(AND(Inputs!$B$39&lt;&gt;"pvp",Inputs!$B$44&gt;0),(((R826-1)*(Skills!Y19*(1+Inputs!$B$34/100))+MIN((Skills!Y19*(1+Inputs!$B$34/100)),MAX(0,Inputs!$B$44-((R826-1)*Skills!D19))))/Inputs!$B$44),IF(Inputs!$B$39="pvp",MIN((Skills!Y19*(1+Inputs!$B$34/100)),15)/15,(Skills!Y19*(1+Inputs!$B$34/100))/Skills!D19)))+((C814=TRUE)*F814*B841)</f>
        <v/>
      </c>
    </row>
    <row r="843">
      <c r="A843" t="inlineStr">
        <is>
          <t>Actions Per Second (final)</t>
        </is>
      </c>
      <c r="B843">
        <f>1+MIN(150,150*(1-(1-(Inputs!$B$11+((C829=TRUE)*(F829-Calc!F22))+(ArtifactsInput!$M$15-ArtifactsInput!$M$15)*CHOOSE(ArtifactsInput!$N$15+1,8,9.6,11.2,12.8,14.4,16))/150)*(1-B842/150)))/100</f>
        <v/>
      </c>
    </row>
    <row r="844">
      <c r="A844" t="inlineStr">
        <is>
          <t>Skill + Buff Cast Rate</t>
        </is>
      </c>
      <c r="B844">
        <f>IF(AND(Inputs!$B$39&lt;&gt;"pvp",Inputs!$B$44&gt;0),SUMPRODUCT((Skills!E2:E31=TRUE)*(C809:C838=TRUE)*R809:R838*Skills!F2:F31)/Inputs!$B$44,SUMPRODUCT((Skills!E2:E31=TRUE)*(C809:C838=TRUE)*Q809:Q838*Skills!F2:F31))</f>
        <v/>
      </c>
    </row>
    <row r="845">
      <c r="A845" t="inlineStr">
        <is>
          <t>Showdown Casts Per Second</t>
        </is>
      </c>
      <c r="B845">
        <f>MAX(0,B843-B844)</f>
        <v/>
      </c>
    </row>
    <row r="846">
      <c r="A846" t="inlineStr">
        <is>
          <t>Average Buff Multiplier</t>
        </is>
      </c>
      <c r="B846">
        <f>(1+(((C828=TRUE)*F828*IF(AND(Inputs!$B$39&lt;&gt;"pvp",Inputs!$B$44&gt;0),(((R828-1)*(Skills!Y21*(1+Inputs!$B$34/100))+MIN((Skills!Y21*(1+Inputs!$B$34/100)),MAX(0,Inputs!$B$44-((R828-1)*Skills!D21))))/Inputs!$B$44),IF(Inputs!$B$39="pvp",MIN((Skills!Y21*(1+Inputs!$B$34/100)),15)/15,(Skills!Y21*(1+Inputs!$B$34/100))/Skills!D21)))+((C835=TRUE)*(F835-Calc!F28))+((C825=TRUE)*(F825-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822=TRUE)*F822*IF(AND(Inputs!$B$39&lt;&gt;"pvp",Inputs!$B$44&gt;0),(((R822-1)*(Skills!Y15*(1+Inputs!$B$34/100))+MIN((Skills!Y15*(1+Inputs!$B$34/100)),MAX(0,Inputs!$B$44-((R822-1)*Skills!D15))))/Inputs!$B$44),IF(Inputs!$B$39="pvp",MIN((Skills!Y15*(1+Inputs!$B$34/100)),15)/15,(Skills!Y15*(1+Inputs!$B$34/100))/Skills!D15)))/100)*(1+((C813=TRUE)*F813*B841)/100)</f>
        <v/>
      </c>
    </row>
    <row r="847">
      <c r="A847" t="inlineStr">
        <is>
          <t>Global Crit Rate Bonus %</t>
        </is>
      </c>
      <c r="B847">
        <f>IF(Inputs!$B$3&gt;=47,8,0)+((C827=TRUE)*F827*IF(AND(Inputs!$B$39&lt;&gt;"pvp",Inputs!$B$44&gt;0),(((R827-1)*(Skills!Y20*(1+Inputs!$B$34/100))+MIN((Skills!Y20*(1+Inputs!$B$34/100)),MAX(0,Inputs!$B$44-((R827-1)*Skills!D20))))/Inputs!$B$44),IF(Inputs!$B$39="pvp",MIN((Skills!Y20*(1+Inputs!$B$34/100)),15)/15,(Skills!Y20*(1+Inputs!$B$34/100))/Skills!D20)))</f>
        <v/>
      </c>
    </row>
    <row r="848">
      <c r="A848" t="inlineStr">
        <is>
          <t>Global Monster Damage-Taken Bonus %</t>
        </is>
      </c>
      <c r="B848">
        <f>IF(Inputs!$B$3&gt;=82,15,0)+((C823=TRUE)*F823*IF(AND(Inputs!$B$39&lt;&gt;"pvp",Inputs!$B$44&gt;0),(((R823-1)*(Skills!Y16*(1+Inputs!$B$34/100))+MIN((Skills!Y16*(1+Inputs!$B$34/100)),MAX(0,Inputs!$B$44-((R823-1)*Skills!D16))))/Inputs!$B$44),IF(Inputs!$B$39="pvp",MIN((Skills!Y16*(1+Inputs!$B$34/100)),15)/15,(Skills!Y16*(1+Inputs!$B$34/100))/Skills!D16)))</f>
        <v/>
      </c>
    </row>
    <row r="849">
      <c r="A849" t="inlineStr">
        <is>
          <t>Shadow Partner Average Multiplier</t>
        </is>
      </c>
      <c r="B849">
        <f>1+((C818=TRUE)*F818*I818*Skills!J11/100)/100</f>
        <v/>
      </c>
    </row>
    <row r="850">
      <c r="A850" t="inlineStr">
        <is>
          <t>Global Critical Damage Bonus % (Frailty Curse Mastery Lv.111)</t>
        </is>
      </c>
      <c r="B850">
        <f>IF(Inputs!$B$3&gt;=111,30,0)*IF(AND(Inputs!$B$39&lt;&gt;"pvp",Inputs!$B$44&gt;0),(((R823-1)*(Skills!Y16*(1+Inputs!$B$34/100))+MIN((Skills!Y16*(1+Inputs!$B$34/100)),MAX(0,Inputs!$B$44-((R823-1)*Skills!D16))))/Inputs!$B$44),IF(Inputs!$B$39="pvp",MIN((Skills!Y16*(1+Inputs!$B$34/100)),15)/15,(Skills!Y16*(1+Inputs!$B$34/100))/Skills!D16))</f>
        <v/>
      </c>
    </row>
    <row r="851">
      <c r="A851" s="6" t="inlineStr">
        <is>
          <t>TOTAL DPS</t>
        </is>
      </c>
      <c r="B851" s="6">
        <f>SUM(O809:O838)</f>
        <v/>
      </c>
    </row>
    <row r="852">
      <c r="A852" t="inlineStr">
        <is>
          <t>Buff-Casting Startup Delay (s, fixed-duration only)</t>
        </is>
      </c>
      <c r="B852">
        <f>IF(AND(Inputs!$B$39&lt;&gt;"pvp",Inputs!$B$44&gt;0),SUMPRODUCT((Skills!Y2:Y31&gt;0)*(Skills!E2:E31=TRUE)*(C809:C838=TRUE))/B843,0)</f>
        <v/>
      </c>
    </row>
    <row r="853">
      <c r="A853" t="inlineStr">
        <is>
          <t>Boss-Only Total DPS (this block's swept value)</t>
        </is>
      </c>
      <c r="B853">
        <f>SUM(T809:T838)</f>
        <v/>
      </c>
    </row>
    <row r="854">
      <c r="A854" t="inlineStr">
        <is>
          <t>Normal-Only Total DPS (this block's swept value)</t>
        </is>
      </c>
      <c r="B854">
        <f>SUM(V809:V838)</f>
        <v/>
      </c>
    </row>
    <row r="856">
      <c r="A856" s="6" t="inlineStr">
        <is>
          <t>Stat: Skill Level Bonus — 1st Job</t>
        </is>
      </c>
    </row>
    <row r="857">
      <c r="A857" s="5" t="inlineStr">
        <is>
          <t>Key</t>
        </is>
      </c>
      <c r="B857" s="5" t="inlineStr">
        <is>
          <t>Name</t>
        </is>
      </c>
      <c r="C857" s="5" t="inlineStr">
        <is>
          <t>Unlocked</t>
        </is>
      </c>
      <c r="D857" s="5" t="inlineStr">
        <is>
          <t>InputLevel</t>
        </is>
      </c>
      <c r="E857" s="5" t="inlineStr">
        <is>
          <t>Factor</t>
        </is>
      </c>
      <c r="F857" s="5" t="inlineStr">
        <is>
          <t>CoefficientPercent</t>
        </is>
      </c>
      <c r="G857" s="5" t="inlineStr">
        <is>
          <t>EffectiveHits</t>
        </is>
      </c>
      <c r="H857" s="5" t="inlineStr">
        <is>
          <t>ProcProbability</t>
        </is>
      </c>
      <c r="I857" s="5" t="inlineStr">
        <is>
          <t>MapleHeroMultiplier</t>
        </is>
      </c>
      <c r="J857" s="5" t="inlineStr">
        <is>
          <t>BaseDamage</t>
        </is>
      </c>
      <c r="K857" s="5" t="inlineStr">
        <is>
          <t>BaseHitDamage</t>
        </is>
      </c>
      <c r="L857" s="5" t="inlineStr">
        <is>
          <t>NonCritAvg</t>
        </is>
      </c>
      <c r="M857" s="5" t="inlineStr">
        <is>
          <t>CritAvg</t>
        </is>
      </c>
      <c r="N857" s="5" t="inlineStr">
        <is>
          <t>ExpectedDamage(perHit)</t>
        </is>
      </c>
      <c r="O857" s="5" t="inlineStr">
        <is>
          <t>DPS</t>
        </is>
      </c>
      <c r="P857" s="5" t="inlineStr">
        <is>
          <t>% of Total</t>
        </is>
      </c>
      <c r="Q857" s="5" t="inlineStr">
        <is>
          <t>InvCooldown</t>
        </is>
      </c>
      <c r="R857" s="5" t="inlineStr">
        <is>
          <t>CastsInFight</t>
        </is>
      </c>
      <c r="S857" s="5" t="inlineStr">
        <is>
          <t>HitRate(perSec)</t>
        </is>
      </c>
      <c r="U857" t="inlineStr">
        <is>
          <t>helpers</t>
        </is>
      </c>
    </row>
    <row r="858">
      <c r="A858">
        <f>Skills!A2</f>
        <v/>
      </c>
      <c r="B858">
        <f>Skills!B2</f>
        <v/>
      </c>
      <c r="C858">
        <f>Inputs!$B$3&gt;=100</f>
        <v/>
      </c>
      <c r="D858" t="inlineStr"/>
      <c r="E858" t="inlineStr"/>
      <c r="F858">
        <f>U862+Skills!O2</f>
        <v/>
      </c>
      <c r="G858">
        <f>Calc!G2</f>
        <v/>
      </c>
      <c r="H858">
        <f>Calc!H2</f>
        <v/>
      </c>
      <c r="I858">
        <f>IF(Skills!AA2&lt;&gt;"",1+(Skills!AA2/10)*(U859/1000)/100,1)</f>
        <v/>
      </c>
      <c r="J858">
        <f>((Inputs!$B$6*(1+Inputs!$B$7/100))+(((Inputs!$B$12*(1+Inputs!$B$13/100))-(Inputs!$B$12*(1+Inputs!$B$13/100)))+0.25*(Inputs!$B$14-Inputs!$B$14))*(1+Inputs!$B$7/100))*(F858/100)</f>
        <v/>
      </c>
      <c r="K858">
        <f>J858*(1+((Inputs!$B$12*(1+Inputs!$B$13/100))*0.01+Inputs!$B$14*0.0025)/100)*(1+Inputs!$B$15/100)*(1+Inputs!$B$16/100)*(5000/(6000+Inputs!$B$43*(1-(100*(1-(1-(Inputs!$B$19+0)/100)*(1-CHOOSE(ArtifactsInput!$N$40+1,5,6,7,8,9,10)/100)^(ArtifactsInput!$M$40-ArtifactsInput!$M$40)))/100)))*(1+(Inputs!$B$24+((C886=TRUE)*(F886-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879=TRUE)*(F879-Calc!F23))+(((IF(AND(ArtifactsInput!$M$42,((Inputs!$B$9+((C881=TRUE)*(F881-Calc!F25))+B896+(ArtifactsInput!$M$24-ArtifactsInput!$M$24)*CHOOSE(ArtifactsInput!$N$24+1,10,12,14,16,18,20)+IF(ArtifactsInput!$M$10,CHOOSE(ArtifactsInput!$N$10+1,15,18,21,24,27,30)*(IF(Inputs!$B$39="pvp",MIN(15,15)/15,IF(AND(Inputs!$B$39&lt;&gt;"pvp",Inputs!$B$44&gt;0),MIN(15,Inputs!$B$44)/(Inputs!$B$44),0))),0)))&gt;=100),MIN(100,((Inputs!$B$9+((C881=TRUE)*(F881-Calc!F25))+B896+(ArtifactsInput!$M$24-ArtifactsInput!$M$24)*CHOOSE(ArtifactsInput!$N$24+1,10,12,14,16,18,20)+IF(ArtifactsInput!$M$10,CHOOSE(ArtifactsInput!$N$10+1,15,18,21,24,27,30)*(IF(Inputs!$B$39="pvp",MIN(15,15)/15,IF(AND(Inputs!$B$39&lt;&gt;"pvp",Inputs!$B$44&gt;0),MIN(15,Inputs!$B$44)/(Inputs!$B$44),0))),0)))-100),0))*CHOOSE(ArtifactsInput!$N$42+1,0.6,0.72,0.84,0.96,1.08,1.2))),Inputs!$B$18+((C885=TRUE)*(F885-Calc!F29))+(IF(AND(ArtifactsInput!$M$42,((Inputs!$B$9+((C881=TRUE)*(F881-Calc!F25))+B896+(ArtifactsInput!$M$24-ArtifactsInput!$M$24)*CHOOSE(ArtifactsInput!$N$24+1,10,12,14,16,18,20)+IF(ArtifactsInput!$M$10,CHOOSE(ArtifactsInput!$N$10+1,15,18,21,24,27,30)*(IF(Inputs!$B$39="pvp",MIN(15,15)/15,IF(AND(Inputs!$B$39&lt;&gt;"pvp",Inputs!$B$44&gt;0),MIN(15,Inputs!$B$44)/(Inputs!$B$44),0))),0)))&gt;=100),CHOOSE(ArtifactsInput!$N$42+1,40,48,56,64,72,80),0))))/100)*(((1+(((C877=TRUE)*F877*IF(AND(Inputs!$B$39&lt;&gt;"pvp",Inputs!$B$44&gt;0),(((R877-1)*(Skills!Y21*(1+Inputs!$B$34/100))+MIN((Skills!Y21*(1+Inputs!$B$34/100)),MAX(0,Inputs!$B$44-((R877-1)*Skills!D21))))/Inputs!$B$44),IF(Inputs!$B$39="pvp",MIN((Skills!Y21*(1+Inputs!$B$34/100)),15)/15,(Skills!Y21*(1+Inputs!$B$34/100))/Skills!D21)))+((C884=TRUE)*(F884-Calc!F28))+((C874=TRUE)*(F874-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871=TRUE)*F871*IF(AND(Inputs!$B$39&lt;&gt;"pvp",Inputs!$B$44&gt;0),(((R871-1)*(Skills!Y15*(1+Inputs!$B$34/100))+MIN((Skills!Y15*(1+Inputs!$B$34/100)),MAX(0,Inputs!$B$44-((R871-1)*Skills!D15))))/Inputs!$B$44),IF(Inputs!$B$39="pvp",MIN((Skills!Y15*(1+Inputs!$B$34/100)),15)/15,(Skills!Y15*(1+Inputs!$B$34/100))/Skills!D15)))/100)*(1+((C862=TRUE)*F862*B890)/100))*B898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858)</f>
        <v/>
      </c>
      <c r="L858">
        <f>K858*(MIN(Inputs!$B$22+((C880=TRUE)*(F880-Calc!F24)),(Inputs!$B$23+0+(IF(ArtifactsInput!$M$15,CHOOSE(ArtifactsInput!$N$15+1,25,30,35,40,45,50)/100*(Inputs!$B$11-Inputs!$B$11),0))))/100+(Inputs!$B$23+0+(IF(ArtifactsInput!$M$15,CHOOSE(ArtifactsInput!$N$15+1,25,30,35,40,45,50)/100*(Inputs!$B$11-Inputs!$B$11),0)))/100)/2</f>
        <v/>
      </c>
      <c r="M858">
        <f>L858*(1+(Inputs!$B$10+((C882=TRUE)*(F882-Calc!F26))+B899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58">
        <f>L858*(1-MIN((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858*(MIN((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58">
        <f>(1-Summary!$B$11)*T858+Summary!$B$11*V858</f>
        <v/>
      </c>
      <c r="P858">
        <f>IF(B900=0,0,O858/B900)</f>
        <v/>
      </c>
      <c r="Q858" t="n">
        <v>0</v>
      </c>
      <c r="R858" t="n">
        <v>0</v>
      </c>
      <c r="S858">
        <f>IFERROR(O858/N858,0)</f>
        <v/>
      </c>
      <c r="T858">
        <f>IF(C858,(Skills!G2*N858*B894)*IF(Inputs!$B$39="pvp",1,1+(Inputs!$B$20+((C883=TRUE)*(F883-Calc!F27))+Skills!P2+B897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Hunt"),CHOOSE(ArtifactsInput!$N$35+1,15,18,21,24,27,30)*(1-EXP(-(0.2*B892)*5)),0)+IF(AND(ArtifactsInput!$M$22,Inputs!$B$4&lt;&gt;"Chapter Hunt"),CHOOSE(ArtifactsInput!$N$22+1,10,12,14,16,18,20)*((0*(((0.15*B892*5))^0/1)+1*(((0.15*B892*5))^1/1)+2*(((0.15*B892*5))^2/2)+3*(((0.15*B892*5))^3/6)+4*(((0.15*B892*5))^4/24)+5*(((0.15*B892*5))^5/120))/((((0.15*B892*5))^0/1)+(((0.15*B892*5))^1/1)+(((0.15*B892*5))^2/2)+(((0.15*B892*5))^3/6)+(((0.15*B892*5))^4/24)+(((0.15*B892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858*(1-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858*(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858*(1-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858*(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58">
        <f>MAX(0,(Inputs!$B$3-100)*3)+Inputs!$B$28+Inputs!$B$29</f>
        <v/>
      </c>
      <c r="V858">
        <f>IF(C858,(Skills!G2*N858*B894)*IF(Inputs!$B$39="pvp",1,(1+(Inputs!$B$21+Skills!Q2+B897+(IF(ArtifactsInput!$M$33,CHOOSE(ArtifactsInput!$N$33+1,30,36,42,48,54,60),0))+(IF(AND(ArtifactsInput!$M$35,Inputs!$B$4&lt;&gt;"Chapter Hunt"),CHOOSE(ArtifactsInput!$N$35+1,15,18,21,24,27,30)*(1-EXP(-(0.2*B892)*5)),0)+IF(AND(ArtifactsInput!$M$22,Inputs!$B$4&lt;&gt;"Chapter Hunt"),CHOOSE(ArtifactsInput!$N$22+1,10,12,14,16,18,20)*((0*(((0.15*B892*5))^0/1)+1*(((0.15*B892*5))^1/1)+2*(((0.15*B892*5))^2/2)+3*(((0.15*B892*5))^3/6)+4*(((0.15*B892*5))^4/24)+5*(((0.15*B892*5))^5/120))/((((0.15*B892*5))^0/1)+(((0.15*B892*5))^1/1)+(((0.15*B892*5))^2/2)+(((0.15*B892*5))^3/6)+(((0.15*B892*5))^4/24)+(((0.15*B892*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59">
      <c r="A859">
        <f>Skills!A3</f>
        <v/>
      </c>
      <c r="B859">
        <f>Skills!B3</f>
        <v/>
      </c>
      <c r="C859">
        <f>Inputs!$B$3&gt;=35</f>
        <v/>
      </c>
      <c r="D859">
        <f>IF(Skills!C3=1,60+(Inputs!$B$25+1)+Inputs!$B$29,IF(Skills!C3=2,90+Inputs!$B$26+Inputs!$B$29,IF(Skills!C3=3,120+Inputs!$B$27+Inputs!$B$29,MAX(0,(Inputs!$B$3-100)*3)+Inputs!$B$28+Inputs!$B$29)))</f>
        <v/>
      </c>
      <c r="E859">
        <f>INDEX(FactorTable!$B$2:$Y$301, MATCH(ROUND(MIN(300,MAX(1,D859)),0), FactorTable!$A$2:$A$301,0), Skills!M3+1)</f>
        <v/>
      </c>
      <c r="F859">
        <f>IF(Skills!N3=TRUE,(Skills!L3/10)*(E859/1000),Skills!L3/10)+Skills!O3</f>
        <v/>
      </c>
      <c r="G859">
        <f>Calc!G3</f>
        <v/>
      </c>
      <c r="H859">
        <f>Calc!H3</f>
        <v/>
      </c>
      <c r="I859">
        <f>IF(Skills!AA3&lt;&gt;"",1+(Skills!AA3/10)*(U859/1000)/100,1)</f>
        <v/>
      </c>
      <c r="J859">
        <f>((Inputs!$B$6*(1+Inputs!$B$7/100))+(((Inputs!$B$12*(1+Inputs!$B$13/100))-(Inputs!$B$12*(1+Inputs!$B$13/100)))+0.25*(Inputs!$B$14-Inputs!$B$14))*(1+Inputs!$B$7/100))*(F859/100)</f>
        <v/>
      </c>
      <c r="K859">
        <f>J859*(1+((Inputs!$B$12*(1+Inputs!$B$13/100))*0.01+Inputs!$B$14*0.0025)/100)*(1+Inputs!$B$15/100)*(1+Inputs!$B$16/100)*(5000/(6000+Inputs!$B$43*(1-(100*(1-(1-(Inputs!$B$19+0)/100)*(1-CHOOSE(ArtifactsInput!$N$40+1,5,6,7,8,9,10)/100)^(ArtifactsInput!$M$40-ArtifactsInput!$M$40)))/100)))*(1+(Inputs!$B$24+((C886=TRUE)*(F886-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879=TRUE)*(F879-Calc!F23))+(((IF(AND(ArtifactsInput!$M$42,((Inputs!$B$9+((C881=TRUE)*(F881-Calc!F25))+B896+(ArtifactsInput!$M$24-ArtifactsInput!$M$24)*CHOOSE(ArtifactsInput!$N$24+1,10,12,14,16,18,20)+IF(ArtifactsInput!$M$10,CHOOSE(ArtifactsInput!$N$10+1,15,18,21,24,27,30)*(IF(Inputs!$B$39="pvp",MIN(15,15)/15,IF(AND(Inputs!$B$39&lt;&gt;"pvp",Inputs!$B$44&gt;0),MIN(15,Inputs!$B$44)/(Inputs!$B$44),0))),0)))&gt;=100),MIN(100,((Inputs!$B$9+((C881=TRUE)*(F881-Calc!F25))+B896+(ArtifactsInput!$M$24-ArtifactsInput!$M$24)*CHOOSE(ArtifactsInput!$N$24+1,10,12,14,16,18,20)+IF(ArtifactsInput!$M$10,CHOOSE(ArtifactsInput!$N$10+1,15,18,21,24,27,30)*(IF(Inputs!$B$39="pvp",MIN(15,15)/15,IF(AND(Inputs!$B$39&lt;&gt;"pvp",Inputs!$B$44&gt;0),MIN(15,Inputs!$B$44)/(Inputs!$B$44),0))),0)))-100),0))*CHOOSE(ArtifactsInput!$N$42+1,0.6,0.72,0.84,0.96,1.08,1.2))),Inputs!$B$18+((C885=TRUE)*(F885-Calc!F29))+(IF(AND(ArtifactsInput!$M$42,((Inputs!$B$9+((C881=TRUE)*(F881-Calc!F25))+B896+(ArtifactsInput!$M$24-ArtifactsInput!$M$24)*CHOOSE(ArtifactsInput!$N$24+1,10,12,14,16,18,20)+IF(ArtifactsInput!$M$10,CHOOSE(ArtifactsInput!$N$10+1,15,18,21,24,27,30)*(IF(Inputs!$B$39="pvp",MIN(15,15)/15,IF(AND(Inputs!$B$39&lt;&gt;"pvp",Inputs!$B$44&gt;0),MIN(15,Inputs!$B$44)/(Inputs!$B$44),0))),0)))&gt;=100),CHOOSE(ArtifactsInput!$N$42+1,40,48,56,64,72,80),0))))/100)*(((1+(((C877=TRUE)*F877*IF(AND(Inputs!$B$39&lt;&gt;"pvp",Inputs!$B$44&gt;0),(((R877-1)*(Skills!Y21*(1+Inputs!$B$34/100))+MIN((Skills!Y21*(1+Inputs!$B$34/100)),MAX(0,Inputs!$B$44-((R877-1)*Skills!D21))))/Inputs!$B$44),IF(Inputs!$B$39="pvp",MIN((Skills!Y21*(1+Inputs!$B$34/100)),15)/15,(Skills!Y21*(1+Inputs!$B$34/100))/Skills!D21)))+((C884=TRUE)*(F884-Calc!F28))+((C874=TRUE)*(F874-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871=TRUE)*F871*IF(AND(Inputs!$B$39&lt;&gt;"pvp",Inputs!$B$44&gt;0),(((R871-1)*(Skills!Y15*(1+Inputs!$B$34/100))+MIN((Skills!Y15*(1+Inputs!$B$34/100)),MAX(0,Inputs!$B$44-((R871-1)*Skills!D15))))/Inputs!$B$44),IF(Inputs!$B$39="pvp",MIN((Skills!Y15*(1+Inputs!$B$34/100)),15)/15,(Skills!Y15*(1+Inputs!$B$34/100))/Skills!D15)))/100)*(1+((C862=TRUE)*F862*B890)/100))*B898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859)</f>
        <v/>
      </c>
      <c r="L859">
        <f>K859*(MIN(Inputs!$B$22+((C880=TRUE)*(F880-Calc!F24)),(Inputs!$B$23+0+(IF(ArtifactsInput!$M$15,CHOOSE(ArtifactsInput!$N$15+1,25,30,35,40,45,50)/100*(Inputs!$B$11-Inputs!$B$11),0))))/100+(Inputs!$B$23+0+(IF(ArtifactsInput!$M$15,CHOOSE(ArtifactsInput!$N$15+1,25,30,35,40,45,50)/100*(Inputs!$B$11-Inputs!$B$11),0)))/100)/2</f>
        <v/>
      </c>
      <c r="M859">
        <f>L859*(1+(Inputs!$B$10+((C882=TRUE)*(F882-Calc!F26))+B899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59">
        <f>L859*(1-MIN((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859*(MIN((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59">
        <f>(1-Summary!$B$11)*T859+Summary!$B$11*V859</f>
        <v/>
      </c>
      <c r="P859">
        <f>IF(B900=0,0,O859/B900)</f>
        <v/>
      </c>
      <c r="Q859">
        <f>IFERROR(1/IF(Inputs!$B$39="pvp",15,MAX(0.1,Skills!D3-IF(Skills!E3=TRUE,Inputs!$B$32,0))),0)</f>
        <v/>
      </c>
      <c r="R859">
        <f>IF(AND(Inputs!$B$39&lt;&gt;"pvp",Inputs!$B$44&gt;0),IF(MAX(0,Inputs!$B$44-B901)&lt;=0,0,(INT(MAX(0,Inputs!$B$44-B901)/IF(Inputs!$B$39="pvp",15,MAX(0.1,Skills!D3-IF(Skills!E3=TRUE,Inputs!$B$32,0))))+1)),0)</f>
        <v/>
      </c>
      <c r="S859">
        <f>IFERROR(O859/N859,0)</f>
        <v/>
      </c>
      <c r="T859">
        <f>IF(C859,(H859*N859*IF(AND(Inputs!$B$39&lt;&gt;"pvp",Inputs!$B$44&gt;0),((Skills!G3*((R859-1)*IF(Skills!H3&gt;0,Skills!I3/Skills!H3,1)+IF(Skills!H3&gt;0,MIN(Skills!I3,MAX(0,MAX(0,Inputs!$B$44-B901)-((R859-1)*IF(Inputs!$B$39="pvp",15,MAX(0.1,Skills!D3-IF(Skills!E3=TRUE,Inputs!$B$32,0))))))/Skills!H3,1)))/Inputs!$B$44),G859*Q859))*IF(Inputs!$B$39="pvp",1,1+(Inputs!$B$20+((C883=TRUE)*(F883-Calc!F27))+Skills!P3+B897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Hunt"),CHOOSE(ArtifactsInput!$N$35+1,15,18,21,24,27,30)*(1-EXP(-(0.2*B892)*5)),0)+IF(AND(ArtifactsInput!$M$22,Inputs!$B$4&lt;&gt;"Chapter Hunt"),CHOOSE(ArtifactsInput!$N$22+1,10,12,14,16,18,20)*((0*(((0.15*B892*5))^0/1)+1*(((0.15*B892*5))^1/1)+2*(((0.15*B892*5))^2/2)+3*(((0.15*B892*5))^3/6)+4*(((0.15*B892*5))^4/24)+5*(((0.15*B892*5))^5/120))/((((0.15*B892*5))^0/1)+(((0.15*B892*5))^1/1)+(((0.15*B892*5))^2/2)+(((0.15*B892*5))^3/6)+(((0.15*B892*5))^4/24)+(((0.15*B892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859*(1-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859*(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859*(1-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859*(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59">
        <f>INDEX(FactorTable!$B$2:$Y$301, MATCH(ROUND(MIN(300,MAX(1,U858)),0), FactorTable!$A$2:$A$301,0), 24)</f>
        <v/>
      </c>
      <c r="V859">
        <f>IF(C859,(H859*N859*IF(AND(Inputs!$B$39&lt;&gt;"pvp",Inputs!$B$44&gt;0),((Skills!G3*((R859-1)*IF(Skills!H3&gt;0,Skills!I3/Skills!H3,1)+IF(Skills!H3&gt;0,MIN(Skills!I3,MAX(0,MAX(0,Inputs!$B$44-B901)-((R859-1)*IF(Inputs!$B$39="pvp",15,MAX(0.1,Skills!D3-IF(Skills!E3=TRUE,Inputs!$B$32,0))))))/Skills!H3,1)))/Inputs!$B$44),G859*Q859))*IF(Inputs!$B$39="pvp",1,(1+(Inputs!$B$21+Skills!Q3+B897+(IF(ArtifactsInput!$M$33,CHOOSE(ArtifactsInput!$N$33+1,30,36,42,48,54,60),0))+(IF(AND(ArtifactsInput!$M$35,Inputs!$B$4&lt;&gt;"Chapter Hunt"),CHOOSE(ArtifactsInput!$N$35+1,15,18,21,24,27,30)*(1-EXP(-(0.2*B892)*5)),0)+IF(AND(ArtifactsInput!$M$22,Inputs!$B$4&lt;&gt;"Chapter Hunt"),CHOOSE(ArtifactsInput!$N$22+1,10,12,14,16,18,20)*((0*(((0.15*B892*5))^0/1)+1*(((0.15*B892*5))^1/1)+2*(((0.15*B892*5))^2/2)+3*(((0.15*B892*5))^3/6)+4*(((0.15*B892*5))^4/24)+5*(((0.15*B892*5))^5/120))/((((0.15*B892*5))^0/1)+(((0.15*B892*5))^1/1)+(((0.15*B892*5))^2/2)+(((0.15*B892*5))^3/6)+(((0.15*B892*5))^4/24)+(((0.15*B892*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60">
      <c r="A860">
        <f>Skills!A4</f>
        <v/>
      </c>
      <c r="B860">
        <f>Skills!B4</f>
        <v/>
      </c>
      <c r="C860">
        <f>Inputs!$B$3&gt;=40</f>
        <v/>
      </c>
      <c r="D860">
        <f>IF(Skills!C4=1,60+(Inputs!$B$25+1)+Inputs!$B$29,IF(Skills!C4=2,90+Inputs!$B$26+Inputs!$B$29,IF(Skills!C4=3,120+Inputs!$B$27+Inputs!$B$29,MAX(0,(Inputs!$B$3-100)*3)+Inputs!$B$28+Inputs!$B$29)))</f>
        <v/>
      </c>
      <c r="E860">
        <f>INDEX(FactorTable!$B$2:$Y$301, MATCH(ROUND(MIN(300,MAX(1,D860)),0), FactorTable!$A$2:$A$301,0), Skills!M4+1)</f>
        <v/>
      </c>
      <c r="F860">
        <f>IF(Skills!N4=TRUE,(Skills!L4/10)*(E860/1000),Skills!L4/10)+Skills!O4</f>
        <v/>
      </c>
      <c r="G860">
        <f>Calc!G4</f>
        <v/>
      </c>
      <c r="H860">
        <f>Calc!H4</f>
        <v/>
      </c>
      <c r="I860">
        <f>IF(Skills!AA4&lt;&gt;"",1+(Skills!AA4/10)*(U859/1000)/100,1)</f>
        <v/>
      </c>
      <c r="J860">
        <f>((Inputs!$B$6*(1+Inputs!$B$7/100))+(((Inputs!$B$12*(1+Inputs!$B$13/100))-(Inputs!$B$12*(1+Inputs!$B$13/100)))+0.25*(Inputs!$B$14-Inputs!$B$14))*(1+Inputs!$B$7/100))*(F860/100)</f>
        <v/>
      </c>
      <c r="K860">
        <f>J860*(1+((Inputs!$B$12*(1+Inputs!$B$13/100))*0.01+Inputs!$B$14*0.0025)/100)*(1+Inputs!$B$15/100)*(1+Inputs!$B$16/100)*(5000/(6000+Inputs!$B$43*(1-(100*(1-(1-(Inputs!$B$19+0)/100)*(1-CHOOSE(ArtifactsInput!$N$40+1,5,6,7,8,9,10)/100)^(ArtifactsInput!$M$40-ArtifactsInput!$M$40)))/100)))*(1+(Inputs!$B$24+((C886=TRUE)*(F886-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879=TRUE)*(F879-Calc!F23))+(((IF(AND(ArtifactsInput!$M$42,((Inputs!$B$9+((C881=TRUE)*(F881-Calc!F25))+B896+(ArtifactsInput!$M$24-ArtifactsInput!$M$24)*CHOOSE(ArtifactsInput!$N$24+1,10,12,14,16,18,20)+IF(ArtifactsInput!$M$10,CHOOSE(ArtifactsInput!$N$10+1,15,18,21,24,27,30)*(IF(Inputs!$B$39="pvp",MIN(15,15)/15,IF(AND(Inputs!$B$39&lt;&gt;"pvp",Inputs!$B$44&gt;0),MIN(15,Inputs!$B$44)/(Inputs!$B$44),0))),0)))&gt;=100),MIN(100,((Inputs!$B$9+((C881=TRUE)*(F881-Calc!F25))+B896+(ArtifactsInput!$M$24-ArtifactsInput!$M$24)*CHOOSE(ArtifactsInput!$N$24+1,10,12,14,16,18,20)+IF(ArtifactsInput!$M$10,CHOOSE(ArtifactsInput!$N$10+1,15,18,21,24,27,30)*(IF(Inputs!$B$39="pvp",MIN(15,15)/15,IF(AND(Inputs!$B$39&lt;&gt;"pvp",Inputs!$B$44&gt;0),MIN(15,Inputs!$B$44)/(Inputs!$B$44),0))),0)))-100),0))*CHOOSE(ArtifactsInput!$N$42+1,0.6,0.72,0.84,0.96,1.08,1.2))),Inputs!$B$18+((C885=TRUE)*(F885-Calc!F29))+(IF(AND(ArtifactsInput!$M$42,((Inputs!$B$9+((C881=TRUE)*(F881-Calc!F25))+B896+(ArtifactsInput!$M$24-ArtifactsInput!$M$24)*CHOOSE(ArtifactsInput!$N$24+1,10,12,14,16,18,20)+IF(ArtifactsInput!$M$10,CHOOSE(ArtifactsInput!$N$10+1,15,18,21,24,27,30)*(IF(Inputs!$B$39="pvp",MIN(15,15)/15,IF(AND(Inputs!$B$39&lt;&gt;"pvp",Inputs!$B$44&gt;0),MIN(15,Inputs!$B$44)/(Inputs!$B$44),0))),0)))&gt;=100),CHOOSE(ArtifactsInput!$N$42+1,40,48,56,64,72,80),0))))/100)*(((1+(((C877=TRUE)*F877*IF(AND(Inputs!$B$39&lt;&gt;"pvp",Inputs!$B$44&gt;0),(((R877-1)*(Skills!Y21*(1+Inputs!$B$34/100))+MIN((Skills!Y21*(1+Inputs!$B$34/100)),MAX(0,Inputs!$B$44-((R877-1)*Skills!D21))))/Inputs!$B$44),IF(Inputs!$B$39="pvp",MIN((Skills!Y21*(1+Inputs!$B$34/100)),15)/15,(Skills!Y21*(1+Inputs!$B$34/100))/Skills!D21)))+((C884=TRUE)*(F884-Calc!F28))+((C874=TRUE)*(F874-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871=TRUE)*F871*IF(AND(Inputs!$B$39&lt;&gt;"pvp",Inputs!$B$44&gt;0),(((R871-1)*(Skills!Y15*(1+Inputs!$B$34/100))+MIN((Skills!Y15*(1+Inputs!$B$34/100)),MAX(0,Inputs!$B$44-((R871-1)*Skills!D15))))/Inputs!$B$44),IF(Inputs!$B$39="pvp",MIN((Skills!Y15*(1+Inputs!$B$34/100)),15)/15,(Skills!Y15*(1+Inputs!$B$34/100))/Skills!D15)))/100)*(1+((C862=TRUE)*F862*B890)/100))*B898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860)</f>
        <v/>
      </c>
      <c r="L860">
        <f>K860*(MIN(Inputs!$B$22+((C880=TRUE)*(F880-Calc!F24)),(Inputs!$B$23+0+(IF(ArtifactsInput!$M$15,CHOOSE(ArtifactsInput!$N$15+1,25,30,35,40,45,50)/100*(Inputs!$B$11-Inputs!$B$11),0))))/100+(Inputs!$B$23+0+(IF(ArtifactsInput!$M$15,CHOOSE(ArtifactsInput!$N$15+1,25,30,35,40,45,50)/100*(Inputs!$B$11-Inputs!$B$11),0)))/100)/2</f>
        <v/>
      </c>
      <c r="M860">
        <f>L860*(1+(Inputs!$B$10+((C882=TRUE)*(F882-Calc!F26))+B899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60">
        <f>L860*(1-MIN((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860*(MIN((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60">
        <f>(1-Summary!$B$11)*T860+Summary!$B$11*V860</f>
        <v/>
      </c>
      <c r="P860">
        <f>IF(B900=0,0,O860/B900)</f>
        <v/>
      </c>
      <c r="Q860">
        <f>IFERROR(1/IF(Inputs!$B$39="pvp",15,MAX(0.1,Skills!D4-IF(Skills!E4=TRUE,Inputs!$B$32,0))),0)</f>
        <v/>
      </c>
      <c r="R860">
        <f>IF(AND(Inputs!$B$39&lt;&gt;"pvp",Inputs!$B$44&gt;0),IF(MAX(0,Inputs!$B$44-B901)&lt;=0,0,(INT(MAX(0,Inputs!$B$44-B901)/IF(Inputs!$B$39="pvp",15,MAX(0.1,Skills!D4-IF(Skills!E4=TRUE,Inputs!$B$32,0))))+1)),0)</f>
        <v/>
      </c>
      <c r="S860">
        <f>IFERROR(O860/N860,0)</f>
        <v/>
      </c>
      <c r="T860">
        <f>IF(C860,(H860*N860*IF(AND(Inputs!$B$39&lt;&gt;"pvp",Inputs!$B$44&gt;0),((Skills!G4*((R860-1)*IF(Skills!H4&gt;0,Skills!I4/Skills!H4,1)+IF(Skills!H4&gt;0,MIN(Skills!I4,MAX(0,MAX(0,Inputs!$B$44-B901)-((R860-1)*IF(Inputs!$B$39="pvp",15,MAX(0.1,Skills!D4-IF(Skills!E4=TRUE,Inputs!$B$32,0))))))/Skills!H4,1)))/Inputs!$B$44),G860*Q860))*IF(Inputs!$B$39="pvp",1,1+(Inputs!$B$20+((C883=TRUE)*(F883-Calc!F27))+Skills!P4+B897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Hunt"),CHOOSE(ArtifactsInput!$N$35+1,15,18,21,24,27,30)*(1-EXP(-(0.2*B892)*5)),0)+IF(AND(ArtifactsInput!$M$22,Inputs!$B$4&lt;&gt;"Chapter Hunt"),CHOOSE(ArtifactsInput!$N$22+1,10,12,14,16,18,20)*((0*(((0.15*B892*5))^0/1)+1*(((0.15*B892*5))^1/1)+2*(((0.15*B892*5))^2/2)+3*(((0.15*B892*5))^3/6)+4*(((0.15*B892*5))^4/24)+5*(((0.15*B892*5))^5/120))/((((0.15*B892*5))^0/1)+(((0.15*B892*5))^1/1)+(((0.15*B892*5))^2/2)+(((0.15*B892*5))^3/6)+(((0.15*B892*5))^4/24)+(((0.15*B892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860*(1-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860*(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860*(1-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860*(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60">
        <f>MAX(0,(Inputs!$B$3-100)*3)+Inputs!$B$28+Inputs!$B$29</f>
        <v/>
      </c>
      <c r="V860">
        <f>IF(C860,(H860*N860*IF(AND(Inputs!$B$39&lt;&gt;"pvp",Inputs!$B$44&gt;0),((Skills!G4*((R860-1)*IF(Skills!H4&gt;0,Skills!I4/Skills!H4,1)+IF(Skills!H4&gt;0,MIN(Skills!I4,MAX(0,MAX(0,Inputs!$B$44-B901)-((R860-1)*IF(Inputs!$B$39="pvp",15,MAX(0.1,Skills!D4-IF(Skills!E4=TRUE,Inputs!$B$32,0))))))/Skills!H4,1)))/Inputs!$B$44),G860*Q860))*IF(Inputs!$B$39="pvp",1,(1+(Inputs!$B$21+Skills!Q4+B897+(IF(ArtifactsInput!$M$33,CHOOSE(ArtifactsInput!$N$33+1,30,36,42,48,54,60),0))+(IF(AND(ArtifactsInput!$M$35,Inputs!$B$4&lt;&gt;"Chapter Hunt"),CHOOSE(ArtifactsInput!$N$35+1,15,18,21,24,27,30)*(1-EXP(-(0.2*B892)*5)),0)+IF(AND(ArtifactsInput!$M$22,Inputs!$B$4&lt;&gt;"Chapter Hunt"),CHOOSE(ArtifactsInput!$N$22+1,10,12,14,16,18,20)*((0*(((0.15*B892*5))^0/1)+1*(((0.15*B892*5))^1/1)+2*(((0.15*B892*5))^2/2)+3*(((0.15*B892*5))^3/6)+4*(((0.15*B892*5))^4/24)+5*(((0.15*B892*5))^5/120))/((((0.15*B892*5))^0/1)+(((0.15*B892*5))^1/1)+(((0.15*B892*5))^2/2)+(((0.15*B892*5))^3/6)+(((0.15*B892*5))^4/24)+(((0.15*B892*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61">
      <c r="A861">
        <f>Skills!A5</f>
        <v/>
      </c>
      <c r="B861">
        <f>Skills!B5</f>
        <v/>
      </c>
      <c r="C861">
        <f>Inputs!$B$3&gt;=63</f>
        <v/>
      </c>
      <c r="D861">
        <f>IF(Skills!C5=1,60+(Inputs!$B$25+1)+Inputs!$B$29,IF(Skills!C5=2,90+Inputs!$B$26+Inputs!$B$29,IF(Skills!C5=3,120+Inputs!$B$27+Inputs!$B$29,MAX(0,(Inputs!$B$3-100)*3)+Inputs!$B$28+Inputs!$B$29)))</f>
        <v/>
      </c>
      <c r="E861">
        <f>INDEX(FactorTable!$B$2:$Y$301, MATCH(ROUND(MIN(300,MAX(1,D861)),0), FactorTable!$A$2:$A$301,0), Skills!M5+1)</f>
        <v/>
      </c>
      <c r="F861">
        <f>IF(Skills!N5=TRUE,(Skills!L5/10)*(E861/1000),Skills!L5/10)+Skills!O5</f>
        <v/>
      </c>
      <c r="G861">
        <f>Calc!G5</f>
        <v/>
      </c>
      <c r="H861">
        <f>Calc!H5</f>
        <v/>
      </c>
      <c r="I861">
        <f>IF(Skills!AA5&lt;&gt;"",1+(Skills!AA5/10)*(U859/1000)/100,1)</f>
        <v/>
      </c>
      <c r="J861">
        <f>((Inputs!$B$6*(1+Inputs!$B$7/100))+(((Inputs!$B$12*(1+Inputs!$B$13/100))-(Inputs!$B$12*(1+Inputs!$B$13/100)))+0.25*(Inputs!$B$14-Inputs!$B$14))*(1+Inputs!$B$7/100))*(F861/100)</f>
        <v/>
      </c>
      <c r="K861">
        <f>J861*(1+((Inputs!$B$12*(1+Inputs!$B$13/100))*0.01+Inputs!$B$14*0.0025)/100)*(1+Inputs!$B$15/100)*(1+Inputs!$B$16/100)*(5000/(6000+Inputs!$B$43*(1-(100*(1-(1-(Inputs!$B$19+0)/100)*(1-CHOOSE(ArtifactsInput!$N$40+1,5,6,7,8,9,10)/100)^(ArtifactsInput!$M$40-ArtifactsInput!$M$40)))/100)))*(1+(Inputs!$B$24+((C886=TRUE)*(F886-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879=TRUE)*(F879-Calc!F23))+(((IF(AND(ArtifactsInput!$M$42,((Inputs!$B$9+((C881=TRUE)*(F881-Calc!F25))+B896+(ArtifactsInput!$M$24-ArtifactsInput!$M$24)*CHOOSE(ArtifactsInput!$N$24+1,10,12,14,16,18,20)+IF(ArtifactsInput!$M$10,CHOOSE(ArtifactsInput!$N$10+1,15,18,21,24,27,30)*(IF(Inputs!$B$39="pvp",MIN(15,15)/15,IF(AND(Inputs!$B$39&lt;&gt;"pvp",Inputs!$B$44&gt;0),MIN(15,Inputs!$B$44)/(Inputs!$B$44),0))),0)))&gt;=100),MIN(100,((Inputs!$B$9+((C881=TRUE)*(F881-Calc!F25))+B896+(ArtifactsInput!$M$24-ArtifactsInput!$M$24)*CHOOSE(ArtifactsInput!$N$24+1,10,12,14,16,18,20)+IF(ArtifactsInput!$M$10,CHOOSE(ArtifactsInput!$N$10+1,15,18,21,24,27,30)*(IF(Inputs!$B$39="pvp",MIN(15,15)/15,IF(AND(Inputs!$B$39&lt;&gt;"pvp",Inputs!$B$44&gt;0),MIN(15,Inputs!$B$44)/(Inputs!$B$44),0))),0)))-100),0))*CHOOSE(ArtifactsInput!$N$42+1,0.6,0.72,0.84,0.96,1.08,1.2))),Inputs!$B$18+((C885=TRUE)*(F885-Calc!F29))+(IF(AND(ArtifactsInput!$M$42,((Inputs!$B$9+((C881=TRUE)*(F881-Calc!F25))+B896+(ArtifactsInput!$M$24-ArtifactsInput!$M$24)*CHOOSE(ArtifactsInput!$N$24+1,10,12,14,16,18,20)+IF(ArtifactsInput!$M$10,CHOOSE(ArtifactsInput!$N$10+1,15,18,21,24,27,30)*(IF(Inputs!$B$39="pvp",MIN(15,15)/15,IF(AND(Inputs!$B$39&lt;&gt;"pvp",Inputs!$B$44&gt;0),MIN(15,Inputs!$B$44)/(Inputs!$B$44),0))),0)))&gt;=100),CHOOSE(ArtifactsInput!$N$42+1,40,48,56,64,72,80),0))))/100)*(((1+(((C877=TRUE)*F877*IF(AND(Inputs!$B$39&lt;&gt;"pvp",Inputs!$B$44&gt;0),(((R877-1)*(Skills!Y21*(1+Inputs!$B$34/100))+MIN((Skills!Y21*(1+Inputs!$B$34/100)),MAX(0,Inputs!$B$44-((R877-1)*Skills!D21))))/Inputs!$B$44),IF(Inputs!$B$39="pvp",MIN((Skills!Y21*(1+Inputs!$B$34/100)),15)/15,(Skills!Y21*(1+Inputs!$B$34/100))/Skills!D21)))+((C884=TRUE)*(F884-Calc!F28))+((C874=TRUE)*(F874-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871=TRUE)*F871*IF(AND(Inputs!$B$39&lt;&gt;"pvp",Inputs!$B$44&gt;0),(((R871-1)*(Skills!Y15*(1+Inputs!$B$34/100))+MIN((Skills!Y15*(1+Inputs!$B$34/100)),MAX(0,Inputs!$B$44-((R871-1)*Skills!D15))))/Inputs!$B$44),IF(Inputs!$B$39="pvp",MIN((Skills!Y15*(1+Inputs!$B$34/100)),15)/15,(Skills!Y15*(1+Inputs!$B$34/100))/Skills!D15)))/100)*(1+((C862=TRUE)*F862*B890)/100))*B898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861)</f>
        <v/>
      </c>
      <c r="L861">
        <f>K861*(MIN(Inputs!$B$22+((C880=TRUE)*(F880-Calc!F24)),(Inputs!$B$23+0+(IF(ArtifactsInput!$M$15,CHOOSE(ArtifactsInput!$N$15+1,25,30,35,40,45,50)/100*(Inputs!$B$11-Inputs!$B$11),0))))/100+(Inputs!$B$23+0+(IF(ArtifactsInput!$M$15,CHOOSE(ArtifactsInput!$N$15+1,25,30,35,40,45,50)/100*(Inputs!$B$11-Inputs!$B$11),0)))/100)/2</f>
        <v/>
      </c>
      <c r="M861">
        <f>L861*(1+(Inputs!$B$10+((C882=TRUE)*(F882-Calc!F26))+B899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61">
        <f>L861*(1-MIN((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861*(MIN((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61">
        <f>(1-Summary!$B$11)*T861+Summary!$B$11*V861</f>
        <v/>
      </c>
      <c r="P861">
        <f>IF(B900=0,0,O861/B900)</f>
        <v/>
      </c>
      <c r="Q861">
        <f>IFERROR(1/IF(Inputs!$B$39="pvp",15,MAX(0.1,Skills!D5-IF(Skills!E5=TRUE,Inputs!$B$32,0))),0)</f>
        <v/>
      </c>
      <c r="R861">
        <f>IF(AND(Inputs!$B$39&lt;&gt;"pvp",Inputs!$B$44&gt;0),IF(MAX(0,Inputs!$B$44-B901)&lt;=0,0,(INT(MAX(0,Inputs!$B$44-B901)/IF(Inputs!$B$39="pvp",15,MAX(0.1,Skills!D5-IF(Skills!E5=TRUE,Inputs!$B$32,0))))+1)),0)</f>
        <v/>
      </c>
      <c r="S861">
        <f>IFERROR(O861/N861,0)</f>
        <v/>
      </c>
      <c r="T861">
        <f>IF(C861,(H861*N861*IF(AND(Inputs!$B$39&lt;&gt;"pvp",Inputs!$B$44&gt;0),((Skills!G5*((R861-1)*IF(Skills!H5&gt;0,Skills!I5/Skills!H5,1)+IF(Skills!H5&gt;0,MIN(Skills!I5,MAX(0,MAX(0,Inputs!$B$44-B901)-((R861-1)*IF(Inputs!$B$39="pvp",15,MAX(0.1,Skills!D5-IF(Skills!E5=TRUE,Inputs!$B$32,0))))))/Skills!H5,1)))/Inputs!$B$44),G861*Q861))*IF(Inputs!$B$39="pvp",1,1+(Inputs!$B$20+((C883=TRUE)*(F883-Calc!F27))+Skills!P5+B897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Hunt"),CHOOSE(ArtifactsInput!$N$35+1,15,18,21,24,27,30)*(1-EXP(-(0.2*B892)*5)),0)+IF(AND(ArtifactsInput!$M$22,Inputs!$B$4&lt;&gt;"Chapter Hunt"),CHOOSE(ArtifactsInput!$N$22+1,10,12,14,16,18,20)*((0*(((0.15*B892*5))^0/1)+1*(((0.15*B892*5))^1/1)+2*(((0.15*B892*5))^2/2)+3*(((0.15*B892*5))^3/6)+4*(((0.15*B892*5))^4/24)+5*(((0.15*B892*5))^5/120))/((((0.15*B892*5))^0/1)+(((0.15*B892*5))^1/1)+(((0.15*B892*5))^2/2)+(((0.15*B892*5))^3/6)+(((0.15*B892*5))^4/24)+(((0.15*B892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861*(1-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861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861*(1-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861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61">
        <f>INDEX(FactorTable!$B$2:$Y$301, MATCH(ROUND(MIN(300,MAX(1,U860)),0), FactorTable!$A$2:$A$301,0), 22)</f>
        <v/>
      </c>
      <c r="V861">
        <f>IF(C861,(H861*N861*IF(AND(Inputs!$B$39&lt;&gt;"pvp",Inputs!$B$44&gt;0),((Skills!G5*((R861-1)*IF(Skills!H5&gt;0,Skills!I5/Skills!H5,1)+IF(Skills!H5&gt;0,MIN(Skills!I5,MAX(0,MAX(0,Inputs!$B$44-B901)-((R861-1)*IF(Inputs!$B$39="pvp",15,MAX(0.1,Skills!D5-IF(Skills!E5=TRUE,Inputs!$B$32,0))))))/Skills!H5,1)))/Inputs!$B$44),G861*Q861))*IF(Inputs!$B$39="pvp",1,(1+(Inputs!$B$21+Skills!Q5+B897+(IF(ArtifactsInput!$M$33,CHOOSE(ArtifactsInput!$N$33+1,30,36,42,48,54,60),0))+(IF(AND(ArtifactsInput!$M$35,Inputs!$B$4&lt;&gt;"Chapter Hunt"),CHOOSE(ArtifactsInput!$N$35+1,15,18,21,24,27,30)*(1-EXP(-(0.2*B892)*5)),0)+IF(AND(ArtifactsInput!$M$22,Inputs!$B$4&lt;&gt;"Chapter Hunt"),CHOOSE(ArtifactsInput!$N$22+1,10,12,14,16,18,20)*((0*(((0.15*B892*5))^0/1)+1*(((0.15*B892*5))^1/1)+2*(((0.15*B892*5))^2/2)+3*(((0.15*B892*5))^3/6)+4*(((0.15*B892*5))^4/24)+5*(((0.15*B892*5))^5/120))/((((0.15*B892*5))^0/1)+(((0.15*B892*5))^1/1)+(((0.15*B892*5))^2/2)+(((0.15*B892*5))^3/6)+(((0.15*B892*5))^4/24)+(((0.15*B892*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62">
      <c r="A862">
        <f>Skills!A6</f>
        <v/>
      </c>
      <c r="B862">
        <f>Skills!B6</f>
        <v/>
      </c>
      <c r="C862">
        <f>Inputs!$B$3&gt;=66</f>
        <v/>
      </c>
      <c r="D862">
        <f>IF(Skills!C6=1,60+(Inputs!$B$25+1)+Inputs!$B$29,IF(Skills!C6=2,90+Inputs!$B$26+Inputs!$B$29,IF(Skills!C6=3,120+Inputs!$B$27+Inputs!$B$29,MAX(0,(Inputs!$B$3-100)*3)+Inputs!$B$28+Inputs!$B$29)))</f>
        <v/>
      </c>
      <c r="E862">
        <f>INDEX(FactorTable!$B$2:$Y$301, MATCH(ROUND(MIN(300,MAX(1,D862)),0), FactorTable!$A$2:$A$301,0), Skills!M6+1)</f>
        <v/>
      </c>
      <c r="F862">
        <f>IF(Skills!N6=TRUE,(Skills!L6/10)*(E862/1000),Skills!L6/10)+Skills!O6</f>
        <v/>
      </c>
      <c r="G862">
        <f>Calc!G6</f>
        <v/>
      </c>
      <c r="H862">
        <f>Calc!H6</f>
        <v/>
      </c>
      <c r="I862">
        <f>IF(Skills!AA6&lt;&gt;"",1+(Skills!AA6/10)*(U859/1000)/100,1)</f>
        <v/>
      </c>
      <c r="J862" t="inlineStr"/>
      <c r="K862" t="inlineStr"/>
      <c r="L862" t="inlineStr"/>
      <c r="M862" t="inlineStr"/>
      <c r="N862" t="inlineStr"/>
      <c r="O862">
        <f>(1-Summary!$B$11)*T862+Summary!$B$11*V862</f>
        <v/>
      </c>
      <c r="P862">
        <f>IF(B900=0,0,O862/B900)</f>
        <v/>
      </c>
      <c r="Q862" t="n">
        <v>0</v>
      </c>
      <c r="R862" t="n">
        <v>0</v>
      </c>
      <c r="S862">
        <f>IFERROR(O862/N862,0)</f>
        <v/>
      </c>
      <c r="T862" t="n">
        <v>0</v>
      </c>
      <c r="U862">
        <f>290*U861/1000</f>
        <v/>
      </c>
      <c r="V862" t="n">
        <v>0</v>
      </c>
    </row>
    <row r="863">
      <c r="A863">
        <f>Skills!A7</f>
        <v/>
      </c>
      <c r="B863">
        <f>Skills!B7</f>
        <v/>
      </c>
      <c r="C863">
        <f>Inputs!$B$3&gt;=66</f>
        <v/>
      </c>
      <c r="D863">
        <f>IF(Skills!C7=1,60+(Inputs!$B$25+1)+Inputs!$B$29,IF(Skills!C7=2,90+Inputs!$B$26+Inputs!$B$29,IF(Skills!C7=3,120+Inputs!$B$27+Inputs!$B$29,MAX(0,(Inputs!$B$3-100)*3)+Inputs!$B$28+Inputs!$B$29)))</f>
        <v/>
      </c>
      <c r="E863">
        <f>INDEX(FactorTable!$B$2:$Y$301, MATCH(ROUND(MIN(300,MAX(1,D863)),0), FactorTable!$A$2:$A$301,0), Skills!M7+1)</f>
        <v/>
      </c>
      <c r="F863">
        <f>IF(Skills!N7=TRUE,(Skills!L7/10)*(E863/1000),Skills!L7/10)+Skills!O7</f>
        <v/>
      </c>
      <c r="G863">
        <f>Calc!G7</f>
        <v/>
      </c>
      <c r="H863">
        <f>Calc!H7</f>
        <v/>
      </c>
      <c r="I863">
        <f>IF(Skills!AA7&lt;&gt;"",1+(Skills!AA7/10)*(U859/1000)/100,1)</f>
        <v/>
      </c>
      <c r="J863" t="inlineStr"/>
      <c r="K863" t="inlineStr"/>
      <c r="L863" t="inlineStr"/>
      <c r="M863" t="inlineStr"/>
      <c r="N863" t="inlineStr"/>
      <c r="O863">
        <f>(1-Summary!$B$11)*T863+Summary!$B$11*V863</f>
        <v/>
      </c>
      <c r="P863">
        <f>IF(B900=0,0,O863/B900)</f>
        <v/>
      </c>
      <c r="Q863" t="n">
        <v>0</v>
      </c>
      <c r="R863" t="n">
        <v>0</v>
      </c>
      <c r="S863">
        <f>IFERROR(O863/N863,0)</f>
        <v/>
      </c>
      <c r="T863" t="n">
        <v>0</v>
      </c>
      <c r="V863" t="n">
        <v>0</v>
      </c>
    </row>
    <row r="864">
      <c r="A864">
        <f>Skills!A8</f>
        <v/>
      </c>
      <c r="B864">
        <f>Skills!B8</f>
        <v/>
      </c>
      <c r="C864">
        <f>Inputs!$B$3&gt;=69</f>
        <v/>
      </c>
      <c r="D864">
        <f>IF(Skills!C8=1,60+(Inputs!$B$25+1)+Inputs!$B$29,IF(Skills!C8=2,90+Inputs!$B$26+Inputs!$B$29,IF(Skills!C8=3,120+Inputs!$B$27+Inputs!$B$29,MAX(0,(Inputs!$B$3-100)*3)+Inputs!$B$28+Inputs!$B$29)))</f>
        <v/>
      </c>
      <c r="E864">
        <f>INDEX(FactorTable!$B$2:$Y$301, MATCH(ROUND(MIN(300,MAX(1,D864)),0), FactorTable!$A$2:$A$301,0), Skills!M8+1)</f>
        <v/>
      </c>
      <c r="F864">
        <f>IF(Skills!N8=TRUE,(Skills!L8/10)*(E864/1000),Skills!L8/10)+Skills!O8</f>
        <v/>
      </c>
      <c r="G864">
        <f>Calc!G8</f>
        <v/>
      </c>
      <c r="H864">
        <f>Calc!H8</f>
        <v/>
      </c>
      <c r="I864">
        <f>IF(Skills!AA8&lt;&gt;"",1+(Skills!AA8/10)*(U859/1000)/100,1)</f>
        <v/>
      </c>
      <c r="J864">
        <f>((Inputs!$B$6*(1+Inputs!$B$7/100))+(((Inputs!$B$12*(1+Inputs!$B$13/100))-(Inputs!$B$12*(1+Inputs!$B$13/100)))+0.25*(Inputs!$B$14-Inputs!$B$14))*(1+Inputs!$B$7/100))*(F864/100)</f>
        <v/>
      </c>
      <c r="K864">
        <f>J864*(1+((Inputs!$B$12*(1+Inputs!$B$13/100))*0.01+Inputs!$B$14*0.0025)/100)*(1+Inputs!$B$15/100)*(1+Inputs!$B$16/100)*(5000/(6000+Inputs!$B$43*(1-(100*(1-(1-(Inputs!$B$19+0)/100)*(1-CHOOSE(ArtifactsInput!$N$40+1,5,6,7,8,9,10)/100)^(ArtifactsInput!$M$40-ArtifactsInput!$M$40)))/100)))*(1+(Inputs!$B$24+((C886=TRUE)*(F886-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879=TRUE)*(F879-Calc!F23))+(((IF(AND(ArtifactsInput!$M$42,((Inputs!$B$9+((C881=TRUE)*(F881-Calc!F25))+B896+(ArtifactsInput!$M$24-ArtifactsInput!$M$24)*CHOOSE(ArtifactsInput!$N$24+1,10,12,14,16,18,20)+IF(ArtifactsInput!$M$10,CHOOSE(ArtifactsInput!$N$10+1,15,18,21,24,27,30)*(IF(Inputs!$B$39="pvp",MIN(15,15)/15,IF(AND(Inputs!$B$39&lt;&gt;"pvp",Inputs!$B$44&gt;0),MIN(15,Inputs!$B$44)/(Inputs!$B$44),0))),0)))&gt;=100),MIN(100,((Inputs!$B$9+((C881=TRUE)*(F881-Calc!F25))+B896+(ArtifactsInput!$M$24-ArtifactsInput!$M$24)*CHOOSE(ArtifactsInput!$N$24+1,10,12,14,16,18,20)+IF(ArtifactsInput!$M$10,CHOOSE(ArtifactsInput!$N$10+1,15,18,21,24,27,30)*(IF(Inputs!$B$39="pvp",MIN(15,15)/15,IF(AND(Inputs!$B$39&lt;&gt;"pvp",Inputs!$B$44&gt;0),MIN(15,Inputs!$B$44)/(Inputs!$B$44),0))),0)))-100),0))*CHOOSE(ArtifactsInput!$N$42+1,0.6,0.72,0.84,0.96,1.08,1.2))),Inputs!$B$18+((C885=TRUE)*(F885-Calc!F29))+(IF(AND(ArtifactsInput!$M$42,((Inputs!$B$9+((C881=TRUE)*(F881-Calc!F25))+B896+(ArtifactsInput!$M$24-ArtifactsInput!$M$24)*CHOOSE(ArtifactsInput!$N$24+1,10,12,14,16,18,20)+IF(ArtifactsInput!$M$10,CHOOSE(ArtifactsInput!$N$10+1,15,18,21,24,27,30)*(IF(Inputs!$B$39="pvp",MIN(15,15)/15,IF(AND(Inputs!$B$39&lt;&gt;"pvp",Inputs!$B$44&gt;0),MIN(15,Inputs!$B$44)/(Inputs!$B$44),0))),0)))&gt;=100),CHOOSE(ArtifactsInput!$N$42+1,40,48,56,64,72,80),0))))/100)*(((1+(((C877=TRUE)*F877*IF(AND(Inputs!$B$39&lt;&gt;"pvp",Inputs!$B$44&gt;0),(((R877-1)*(Skills!Y21*(1+Inputs!$B$34/100))+MIN((Skills!Y21*(1+Inputs!$B$34/100)),MAX(0,Inputs!$B$44-((R877-1)*Skills!D21))))/Inputs!$B$44),IF(Inputs!$B$39="pvp",MIN((Skills!Y21*(1+Inputs!$B$34/100)),15)/15,(Skills!Y21*(1+Inputs!$B$34/100))/Skills!D21)))+((C884=TRUE)*(F884-Calc!F28))+((C874=TRUE)*(F874-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871=TRUE)*F871*IF(AND(Inputs!$B$39&lt;&gt;"pvp",Inputs!$B$44&gt;0),(((R871-1)*(Skills!Y15*(1+Inputs!$B$34/100))+MIN((Skills!Y15*(1+Inputs!$B$34/100)),MAX(0,Inputs!$B$44-((R871-1)*Skills!D15))))/Inputs!$B$44),IF(Inputs!$B$39="pvp",MIN((Skills!Y15*(1+Inputs!$B$34/100)),15)/15,(Skills!Y15*(1+Inputs!$B$34/100))/Skills!D15)))/100)*(1+((C862=TRUE)*F862*B890)/100))*B898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864)</f>
        <v/>
      </c>
      <c r="L864">
        <f>K864*(MIN(Inputs!$B$22+((C880=TRUE)*(F880-Calc!F24)),(Inputs!$B$23+0+(IF(ArtifactsInput!$M$15,CHOOSE(ArtifactsInput!$N$15+1,25,30,35,40,45,50)/100*(Inputs!$B$11-Inputs!$B$11),0))))/100+(Inputs!$B$23+0+(IF(ArtifactsInput!$M$15,CHOOSE(ArtifactsInput!$N$15+1,25,30,35,40,45,50)/100*(Inputs!$B$11-Inputs!$B$11),0)))/100)/2</f>
        <v/>
      </c>
      <c r="M864">
        <f>L864*(1+(Inputs!$B$10+((C882=TRUE)*(F882-Calc!F26))+B899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64">
        <f>L864*(1-MIN((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864*(MIN((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64">
        <f>(1-Summary!$B$11)*T864+Summary!$B$11*V864</f>
        <v/>
      </c>
      <c r="P864">
        <f>IF(B900=0,0,O864/B900)</f>
        <v/>
      </c>
      <c r="Q864">
        <f>IFERROR(1/IF(Inputs!$B$39="pvp",15,MAX(0.1,Skills!D8-IF(Skills!E8=TRUE,Inputs!$B$32,0))),0)</f>
        <v/>
      </c>
      <c r="R864">
        <f>IF(AND(Inputs!$B$39&lt;&gt;"pvp",Inputs!$B$44&gt;0),IF(MAX(0,Inputs!$B$44-B901)&lt;=0,0,(INT(MAX(0,Inputs!$B$44-B901)/IF(Inputs!$B$39="pvp",15,MAX(0.1,Skills!D8-IF(Skills!E8=TRUE,Inputs!$B$32,0))))+1)),0)</f>
        <v/>
      </c>
      <c r="S864">
        <f>IFERROR(O864/N864,0)</f>
        <v/>
      </c>
      <c r="T864">
        <f>IF(C864,(H864*N864*IF(AND(Inputs!$B$39&lt;&gt;"pvp",Inputs!$B$44&gt;0),((Skills!G8*((R864-1)*IF(Skills!H8&gt;0,Skills!I8/Skills!H8,1)+IF(Skills!H8&gt;0,MIN(Skills!I8,MAX(0,MAX(0,Inputs!$B$44-B901)-((R864-1)*IF(Inputs!$B$39="pvp",15,MAX(0.1,Skills!D8-IF(Skills!E8=TRUE,Inputs!$B$32,0))))))/Skills!H8,1)))/Inputs!$B$44),G864*Q864))*IF(Inputs!$B$39="pvp",1,1+(Inputs!$B$20+((C883=TRUE)*(F883-Calc!F27))+Skills!P8+B897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Hunt"),CHOOSE(ArtifactsInput!$N$35+1,15,18,21,24,27,30)*(1-EXP(-(0.2*B892)*5)),0)+IF(AND(ArtifactsInput!$M$22,Inputs!$B$4&lt;&gt;"Chapter Hunt"),CHOOSE(ArtifactsInput!$N$22+1,10,12,14,16,18,20)*((0*(((0.15*B892*5))^0/1)+1*(((0.15*B892*5))^1/1)+2*(((0.15*B892*5))^2/2)+3*(((0.15*B892*5))^3/6)+4*(((0.15*B892*5))^4/24)+5*(((0.15*B892*5))^5/120))/((((0.15*B892*5))^0/1)+(((0.15*B892*5))^1/1)+(((0.15*B892*5))^2/2)+(((0.15*B892*5))^3/6)+(((0.15*B892*5))^4/24)+(((0.15*B892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864*(1-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864*(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864*(1-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864*(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64">
        <f>IF(C864,(H864*N864*IF(AND(Inputs!$B$39&lt;&gt;"pvp",Inputs!$B$44&gt;0),((Skills!G8*((R864-1)*IF(Skills!H8&gt;0,Skills!I8/Skills!H8,1)+IF(Skills!H8&gt;0,MIN(Skills!I8,MAX(0,MAX(0,Inputs!$B$44-B901)-((R864-1)*IF(Inputs!$B$39="pvp",15,MAX(0.1,Skills!D8-IF(Skills!E8=TRUE,Inputs!$B$32,0))))))/Skills!H8,1)))/Inputs!$B$44),G864*Q864))*IF(Inputs!$B$39="pvp",1,(1+(Inputs!$B$21+Skills!Q8+B897+(IF(ArtifactsInput!$M$33,CHOOSE(ArtifactsInput!$N$33+1,30,36,42,48,54,60),0))+(IF(AND(ArtifactsInput!$M$35,Inputs!$B$4&lt;&gt;"Chapter Hunt"),CHOOSE(ArtifactsInput!$N$35+1,15,18,21,24,27,30)*(1-EXP(-(0.2*B892)*5)),0)+IF(AND(ArtifactsInput!$M$22,Inputs!$B$4&lt;&gt;"Chapter Hunt"),CHOOSE(ArtifactsInput!$N$22+1,10,12,14,16,18,20)*((0*(((0.15*B892*5))^0/1)+1*(((0.15*B892*5))^1/1)+2*(((0.15*B892*5))^2/2)+3*(((0.15*B892*5))^3/6)+4*(((0.15*B892*5))^4/24)+5*(((0.15*B892*5))^5/120))/((((0.15*B892*5))^0/1)+(((0.15*B892*5))^1/1)+(((0.15*B892*5))^2/2)+(((0.15*B892*5))^3/6)+(((0.15*B892*5))^4/24)+(((0.15*B892*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65">
      <c r="A865">
        <f>Skills!A9</f>
        <v/>
      </c>
      <c r="B865">
        <f>Skills!B9</f>
        <v/>
      </c>
      <c r="C865">
        <f>Inputs!$B$3&gt;=72</f>
        <v/>
      </c>
      <c r="D865">
        <f>IF(Skills!C9=1,60+(Inputs!$B$25+1)+Inputs!$B$29,IF(Skills!C9=2,90+Inputs!$B$26+Inputs!$B$29,IF(Skills!C9=3,120+Inputs!$B$27+Inputs!$B$29,MAX(0,(Inputs!$B$3-100)*3)+Inputs!$B$28+Inputs!$B$29)))</f>
        <v/>
      </c>
      <c r="E865">
        <f>INDEX(FactorTable!$B$2:$Y$301, MATCH(ROUND(MIN(300,MAX(1,D865)),0), FactorTable!$A$2:$A$301,0), Skills!M9+1)</f>
        <v/>
      </c>
      <c r="F865">
        <f>IF(Skills!N9=TRUE,(Skills!L9/10)*(E865/1000),Skills!L9/10)+Skills!O9</f>
        <v/>
      </c>
      <c r="G865">
        <f>Calc!G9</f>
        <v/>
      </c>
      <c r="H865">
        <f>Calc!H9</f>
        <v/>
      </c>
      <c r="I865">
        <f>IF(Skills!AA9&lt;&gt;"",1+(Skills!AA9/10)*(U859/1000)/100,1)</f>
        <v/>
      </c>
      <c r="J865">
        <f>((Inputs!$B$6*(1+Inputs!$B$7/100))+(((Inputs!$B$12*(1+Inputs!$B$13/100))-(Inputs!$B$12*(1+Inputs!$B$13/100)))+0.25*(Inputs!$B$14-Inputs!$B$14))*(1+Inputs!$B$7/100))*(F865/100)</f>
        <v/>
      </c>
      <c r="K865">
        <f>J865*(1+((Inputs!$B$12*(1+Inputs!$B$13/100))*0.01+Inputs!$B$14*0.0025)/100)*(1+Inputs!$B$15/100)*(1+Inputs!$B$16/100)*(5000/(6000+Inputs!$B$43*(1-(100*(1-(1-(Inputs!$B$19+0)/100)*(1-CHOOSE(ArtifactsInput!$N$40+1,5,6,7,8,9,10)/100)^(ArtifactsInput!$M$40-ArtifactsInput!$M$40)))/100)))*(1+(Inputs!$B$24+((C886=TRUE)*(F886-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879=TRUE)*(F879-Calc!F23))+(((IF(AND(ArtifactsInput!$M$42,((Inputs!$B$9+((C881=TRUE)*(F881-Calc!F25))+B896+(ArtifactsInput!$M$24-ArtifactsInput!$M$24)*CHOOSE(ArtifactsInput!$N$24+1,10,12,14,16,18,20)+IF(ArtifactsInput!$M$10,CHOOSE(ArtifactsInput!$N$10+1,15,18,21,24,27,30)*(IF(Inputs!$B$39="pvp",MIN(15,15)/15,IF(AND(Inputs!$B$39&lt;&gt;"pvp",Inputs!$B$44&gt;0),MIN(15,Inputs!$B$44)/(Inputs!$B$44),0))),0)))&gt;=100),MIN(100,((Inputs!$B$9+((C881=TRUE)*(F881-Calc!F25))+B896+(ArtifactsInput!$M$24-ArtifactsInput!$M$24)*CHOOSE(ArtifactsInput!$N$24+1,10,12,14,16,18,20)+IF(ArtifactsInput!$M$10,CHOOSE(ArtifactsInput!$N$10+1,15,18,21,24,27,30)*(IF(Inputs!$B$39="pvp",MIN(15,15)/15,IF(AND(Inputs!$B$39&lt;&gt;"pvp",Inputs!$B$44&gt;0),MIN(15,Inputs!$B$44)/(Inputs!$B$44),0))),0)))-100),0))*CHOOSE(ArtifactsInput!$N$42+1,0.6,0.72,0.84,0.96,1.08,1.2))),Inputs!$B$18+((C885=TRUE)*(F885-Calc!F29))+(IF(AND(ArtifactsInput!$M$42,((Inputs!$B$9+((C881=TRUE)*(F881-Calc!F25))+B896+(ArtifactsInput!$M$24-ArtifactsInput!$M$24)*CHOOSE(ArtifactsInput!$N$24+1,10,12,14,16,18,20)+IF(ArtifactsInput!$M$10,CHOOSE(ArtifactsInput!$N$10+1,15,18,21,24,27,30)*(IF(Inputs!$B$39="pvp",MIN(15,15)/15,IF(AND(Inputs!$B$39&lt;&gt;"pvp",Inputs!$B$44&gt;0),MIN(15,Inputs!$B$44)/(Inputs!$B$44),0))),0)))&gt;=100),CHOOSE(ArtifactsInput!$N$42+1,40,48,56,64,72,80),0))))/100)*(((1+(((C877=TRUE)*F877*IF(AND(Inputs!$B$39&lt;&gt;"pvp",Inputs!$B$44&gt;0),(((R877-1)*(Skills!Y21*(1+Inputs!$B$34/100))+MIN((Skills!Y21*(1+Inputs!$B$34/100)),MAX(0,Inputs!$B$44-((R877-1)*Skills!D21))))/Inputs!$B$44),IF(Inputs!$B$39="pvp",MIN((Skills!Y21*(1+Inputs!$B$34/100)),15)/15,(Skills!Y21*(1+Inputs!$B$34/100))/Skills!D21)))+((C884=TRUE)*(F884-Calc!F28))+((C874=TRUE)*(F874-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871=TRUE)*F871*IF(AND(Inputs!$B$39&lt;&gt;"pvp",Inputs!$B$44&gt;0),(((R871-1)*(Skills!Y15*(1+Inputs!$B$34/100))+MIN((Skills!Y15*(1+Inputs!$B$34/100)),MAX(0,Inputs!$B$44-((R871-1)*Skills!D15))))/Inputs!$B$44),IF(Inputs!$B$39="pvp",MIN((Skills!Y15*(1+Inputs!$B$34/100)),15)/15,(Skills!Y15*(1+Inputs!$B$34/100))/Skills!D15)))/100)*(1+((C862=TRUE)*F862*B890)/100))*B898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865)</f>
        <v/>
      </c>
      <c r="L865">
        <f>K865*(MIN(Inputs!$B$22+((C880=TRUE)*(F880-Calc!F24)),(Inputs!$B$23+0+(IF(ArtifactsInput!$M$15,CHOOSE(ArtifactsInput!$N$15+1,25,30,35,40,45,50)/100*(Inputs!$B$11-Inputs!$B$11),0))))/100+(Inputs!$B$23+0+(IF(ArtifactsInput!$M$15,CHOOSE(ArtifactsInput!$N$15+1,25,30,35,40,45,50)/100*(Inputs!$B$11-Inputs!$B$11),0)))/100)/2</f>
        <v/>
      </c>
      <c r="M865">
        <f>L865*(1+(Inputs!$B$10+((C882=TRUE)*(F882-Calc!F26))+B899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65">
        <f>L865*(1-MIN((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865*(MIN((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65">
        <f>(1-Summary!$B$11)*T865+Summary!$B$11*V865</f>
        <v/>
      </c>
      <c r="P865">
        <f>IF(B900=0,0,O865/B900)</f>
        <v/>
      </c>
      <c r="Q865">
        <f>IFERROR(1/IF(Inputs!$B$39="pvp",15,MAX(0.1,Skills!D9-IF(Skills!E9=TRUE,Inputs!$B$32,0))),0)</f>
        <v/>
      </c>
      <c r="R865">
        <f>IF(AND(Inputs!$B$39&lt;&gt;"pvp",Inputs!$B$44&gt;0),IF(MAX(0,Inputs!$B$44-B901)&lt;=0,0,(INT(MAX(0,Inputs!$B$44-B901)/IF(Inputs!$B$39="pvp",15,MAX(0.1,Skills!D9-IF(Skills!E9=TRUE,Inputs!$B$32,0))))+1)),0)</f>
        <v/>
      </c>
      <c r="S865">
        <f>IFERROR(O865/N865,0)</f>
        <v/>
      </c>
      <c r="T865">
        <f>IF(C865,(H865*N865*IF(AND(Inputs!$B$39&lt;&gt;"pvp",Inputs!$B$44&gt;0),((Skills!G9*((R865-1)*IF(Skills!H9&gt;0,Skills!I9/Skills!H9,1)+IF(Skills!H9&gt;0,MIN(Skills!I9,MAX(0,MAX(0,Inputs!$B$44-B901)-((R865-1)*IF(Inputs!$B$39="pvp",15,MAX(0.1,Skills!D9-IF(Skills!E9=TRUE,Inputs!$B$32,0))))))/Skills!H9,1)))/Inputs!$B$44),G865*Q865))*IF(Inputs!$B$39="pvp",1,1+(Inputs!$B$20+((C883=TRUE)*(F883-Calc!F27))+Skills!P9+B897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Hunt"),CHOOSE(ArtifactsInput!$N$35+1,15,18,21,24,27,30)*(1-EXP(-(0.2*B892)*5)),0)+IF(AND(ArtifactsInput!$M$22,Inputs!$B$4&lt;&gt;"Chapter Hunt"),CHOOSE(ArtifactsInput!$N$22+1,10,12,14,16,18,20)*((0*(((0.15*B892*5))^0/1)+1*(((0.15*B892*5))^1/1)+2*(((0.15*B892*5))^2/2)+3*(((0.15*B892*5))^3/6)+4*(((0.15*B892*5))^4/24)+5*(((0.15*B892*5))^5/120))/((((0.15*B892*5))^0/1)+(((0.15*B892*5))^1/1)+(((0.15*B892*5))^2/2)+(((0.15*B892*5))^3/6)+(((0.15*B892*5))^4/24)+(((0.15*B892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865*(1-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865*(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865*(1-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865*(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65">
        <f>IF(C865,(H865*N865*IF(AND(Inputs!$B$39&lt;&gt;"pvp",Inputs!$B$44&gt;0),((Skills!G9*((R865-1)*IF(Skills!H9&gt;0,Skills!I9/Skills!H9,1)+IF(Skills!H9&gt;0,MIN(Skills!I9,MAX(0,MAX(0,Inputs!$B$44-B901)-((R865-1)*IF(Inputs!$B$39="pvp",15,MAX(0.1,Skills!D9-IF(Skills!E9=TRUE,Inputs!$B$32,0))))))/Skills!H9,1)))/Inputs!$B$44),G865*Q865))*IF(Inputs!$B$39="pvp",1,(1+(Inputs!$B$21+Skills!Q9+B897+(IF(ArtifactsInput!$M$33,CHOOSE(ArtifactsInput!$N$33+1,30,36,42,48,54,60),0))+(IF(AND(ArtifactsInput!$M$35,Inputs!$B$4&lt;&gt;"Chapter Hunt"),CHOOSE(ArtifactsInput!$N$35+1,15,18,21,24,27,30)*(1-EXP(-(0.2*B892)*5)),0)+IF(AND(ArtifactsInput!$M$22,Inputs!$B$4&lt;&gt;"Chapter Hunt"),CHOOSE(ArtifactsInput!$N$22+1,10,12,14,16,18,20)*((0*(((0.15*B892*5))^0/1)+1*(((0.15*B892*5))^1/1)+2*(((0.15*B892*5))^2/2)+3*(((0.15*B892*5))^3/6)+4*(((0.15*B892*5))^4/24)+5*(((0.15*B892*5))^5/120))/((((0.15*B892*5))^0/1)+(((0.15*B892*5))^1/1)+(((0.15*B892*5))^2/2)+(((0.15*B892*5))^3/6)+(((0.15*B892*5))^4/24)+(((0.15*B892*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66">
      <c r="A866">
        <f>Skills!A10</f>
        <v/>
      </c>
      <c r="B866">
        <f>Skills!B10</f>
        <v/>
      </c>
      <c r="C866">
        <f>Inputs!$B$3&gt;=117</f>
        <v/>
      </c>
      <c r="D866">
        <f>IF(Skills!C10=1,60+(Inputs!$B$25+1)+Inputs!$B$29,IF(Skills!C10=2,90+Inputs!$B$26+Inputs!$B$29,IF(Skills!C10=3,120+Inputs!$B$27+Inputs!$B$29,MAX(0,(Inputs!$B$3-100)*3)+Inputs!$B$28+Inputs!$B$29)))</f>
        <v/>
      </c>
      <c r="E866">
        <f>INDEX(FactorTable!$B$2:$Y$301, MATCH(ROUND(MIN(300,MAX(1,D866)),0), FactorTable!$A$2:$A$301,0), Skills!M10+1)</f>
        <v/>
      </c>
      <c r="F866">
        <f>IF(Skills!N10=TRUE,(Skills!L10/10)*(E866/1000),Skills!L10/10)+Skills!O10</f>
        <v/>
      </c>
      <c r="G866">
        <f>Calc!G10</f>
        <v/>
      </c>
      <c r="H866">
        <f>Calc!H10</f>
        <v/>
      </c>
      <c r="I866">
        <f>IF(Skills!AA10&lt;&gt;"",1+(Skills!AA10/10)*(U859/1000)/100,1)</f>
        <v/>
      </c>
      <c r="J866">
        <f>((Inputs!$B$6*(1+Inputs!$B$7/100))+(((Inputs!$B$12*(1+Inputs!$B$13/100))-(Inputs!$B$12*(1+Inputs!$B$13/100)))+0.25*(Inputs!$B$14-Inputs!$B$14))*(1+Inputs!$B$7/100))*(F866/100)</f>
        <v/>
      </c>
      <c r="K866">
        <f>J866*(1+((Inputs!$B$12*(1+Inputs!$B$13/100))*0.01+Inputs!$B$14*0.0025)/100)*(1+Inputs!$B$15/100)*(1+Inputs!$B$16/100)*(5000/(6000+Inputs!$B$43*(1-(100*(1-(1-(Inputs!$B$19+0)/100)*(1-CHOOSE(ArtifactsInput!$N$40+1,5,6,7,8,9,10)/100)^(ArtifactsInput!$M$40-ArtifactsInput!$M$40)))/100)))*(1+(Inputs!$B$24+((C886=TRUE)*(F886-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879=TRUE)*(F879-Calc!F23))+(((IF(AND(ArtifactsInput!$M$42,((Inputs!$B$9+((C881=TRUE)*(F881-Calc!F25))+B896+(ArtifactsInput!$M$24-ArtifactsInput!$M$24)*CHOOSE(ArtifactsInput!$N$24+1,10,12,14,16,18,20)+IF(ArtifactsInput!$M$10,CHOOSE(ArtifactsInput!$N$10+1,15,18,21,24,27,30)*(IF(Inputs!$B$39="pvp",MIN(15,15)/15,IF(AND(Inputs!$B$39&lt;&gt;"pvp",Inputs!$B$44&gt;0),MIN(15,Inputs!$B$44)/(Inputs!$B$44),0))),0)))&gt;=100),MIN(100,((Inputs!$B$9+((C881=TRUE)*(F881-Calc!F25))+B896+(ArtifactsInput!$M$24-ArtifactsInput!$M$24)*CHOOSE(ArtifactsInput!$N$24+1,10,12,14,16,18,20)+IF(ArtifactsInput!$M$10,CHOOSE(ArtifactsInput!$N$10+1,15,18,21,24,27,30)*(IF(Inputs!$B$39="pvp",MIN(15,15)/15,IF(AND(Inputs!$B$39&lt;&gt;"pvp",Inputs!$B$44&gt;0),MIN(15,Inputs!$B$44)/(Inputs!$B$44),0))),0)))-100),0))*CHOOSE(ArtifactsInput!$N$42+1,0.6,0.72,0.84,0.96,1.08,1.2))),Inputs!$B$18+((C885=TRUE)*(F885-Calc!F29))+(IF(AND(ArtifactsInput!$M$42,((Inputs!$B$9+((C881=TRUE)*(F881-Calc!F25))+B896+(ArtifactsInput!$M$24-ArtifactsInput!$M$24)*CHOOSE(ArtifactsInput!$N$24+1,10,12,14,16,18,20)+IF(ArtifactsInput!$M$10,CHOOSE(ArtifactsInput!$N$10+1,15,18,21,24,27,30)*(IF(Inputs!$B$39="pvp",MIN(15,15)/15,IF(AND(Inputs!$B$39&lt;&gt;"pvp",Inputs!$B$44&gt;0),MIN(15,Inputs!$B$44)/(Inputs!$B$44),0))),0)))&gt;=100),CHOOSE(ArtifactsInput!$N$42+1,40,48,56,64,72,80),0))))/100)*(((1+(((C877=TRUE)*F877*IF(AND(Inputs!$B$39&lt;&gt;"pvp",Inputs!$B$44&gt;0),(((R877-1)*(Skills!Y21*(1+Inputs!$B$34/100))+MIN((Skills!Y21*(1+Inputs!$B$34/100)),MAX(0,Inputs!$B$44-((R877-1)*Skills!D21))))/Inputs!$B$44),IF(Inputs!$B$39="pvp",MIN((Skills!Y21*(1+Inputs!$B$34/100)),15)/15,(Skills!Y21*(1+Inputs!$B$34/100))/Skills!D21)))+((C884=TRUE)*(F884-Calc!F28))+((C874=TRUE)*(F874-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871=TRUE)*F871*IF(AND(Inputs!$B$39&lt;&gt;"pvp",Inputs!$B$44&gt;0),(((R871-1)*(Skills!Y15*(1+Inputs!$B$34/100))+MIN((Skills!Y15*(1+Inputs!$B$34/100)),MAX(0,Inputs!$B$44-((R871-1)*Skills!D15))))/Inputs!$B$44),IF(Inputs!$B$39="pvp",MIN((Skills!Y15*(1+Inputs!$B$34/100)),15)/15,(Skills!Y15*(1+Inputs!$B$34/100))/Skills!D15)))/100)*(1+((C862=TRUE)*F862*B890)/100))*B898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866)</f>
        <v/>
      </c>
      <c r="L866">
        <f>K866*(MIN(Inputs!$B$22+((C880=TRUE)*(F880-Calc!F24)),(Inputs!$B$23+0+(IF(ArtifactsInput!$M$15,CHOOSE(ArtifactsInput!$N$15+1,25,30,35,40,45,50)/100*(Inputs!$B$11-Inputs!$B$11),0))))/100+(Inputs!$B$23+0+(IF(ArtifactsInput!$M$15,CHOOSE(ArtifactsInput!$N$15+1,25,30,35,40,45,50)/100*(Inputs!$B$11-Inputs!$B$11),0)))/100)/2</f>
        <v/>
      </c>
      <c r="M866">
        <f>L866*(1+(Inputs!$B$10+((C882=TRUE)*(F882-Calc!F26))+B899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66">
        <f>L866*(1-MIN((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866*(MIN((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66">
        <f>(1-Summary!$B$11)*T866+Summary!$B$11*V866</f>
        <v/>
      </c>
      <c r="P866">
        <f>IF(B900=0,0,O866/B900)</f>
        <v/>
      </c>
      <c r="Q866" t="n">
        <v>0</v>
      </c>
      <c r="R866" t="n">
        <v>0</v>
      </c>
      <c r="S866" t="n">
        <v>0</v>
      </c>
      <c r="T866">
        <f>IF(C866,(0.2*SUMPRODUCT((Skills!Z2:Z31=TRUE)*(C858:C887=TRUE)*S858:S887)*N866)*IF(Inputs!$B$39="pvp",1,1+(Inputs!$B$20+((C883=TRUE)*(F883-Calc!F27))+Skills!P10+B897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Hunt"),CHOOSE(ArtifactsInput!$N$35+1,15,18,21,24,27,30)*(1-EXP(-(0.2*B892)*5)),0)+IF(AND(ArtifactsInput!$M$22,Inputs!$B$4&lt;&gt;"Chapter Hunt"),CHOOSE(ArtifactsInput!$N$22+1,10,12,14,16,18,20)*((0*(((0.15*B892*5))^0/1)+1*(((0.15*B892*5))^1/1)+2*(((0.15*B892*5))^2/2)+3*(((0.15*B892*5))^3/6)+4*(((0.15*B892*5))^4/24)+5*(((0.15*B892*5))^5/120))/((((0.15*B892*5))^0/1)+(((0.15*B892*5))^1/1)+(((0.15*B892*5))^2/2)+(((0.15*B892*5))^3/6)+(((0.15*B892*5))^4/24)+(((0.15*B892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866*(1-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866*(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866*(1-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866*(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66">
        <f>IF(C866,(0.2*SUMPRODUCT((Skills!Z2:Z31=TRUE)*(C858:C887=TRUE)*S858:S887)*N866)*IF(Inputs!$B$39="pvp",1,(1+(Inputs!$B$21+Skills!Q10+B897+(IF(ArtifactsInput!$M$33,CHOOSE(ArtifactsInput!$N$33+1,30,36,42,48,54,60),0))+(IF(AND(ArtifactsInput!$M$35,Inputs!$B$4&lt;&gt;"Chapter Hunt"),CHOOSE(ArtifactsInput!$N$35+1,15,18,21,24,27,30)*(1-EXP(-(0.2*B892)*5)),0)+IF(AND(ArtifactsInput!$M$22,Inputs!$B$4&lt;&gt;"Chapter Hunt"),CHOOSE(ArtifactsInput!$N$22+1,10,12,14,16,18,20)*((0*(((0.15*B892*5))^0/1)+1*(((0.15*B892*5))^1/1)+2*(((0.15*B892*5))^2/2)+3*(((0.15*B892*5))^3/6)+4*(((0.15*B892*5))^4/24)+5*(((0.15*B892*5))^5/120))/((((0.15*B892*5))^0/1)+(((0.15*B892*5))^1/1)+(((0.15*B892*5))^2/2)+(((0.15*B892*5))^3/6)+(((0.15*B892*5))^4/24)+(((0.15*B892*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67">
      <c r="A867">
        <f>Skills!A11</f>
        <v/>
      </c>
      <c r="B867">
        <f>Skills!B11</f>
        <v/>
      </c>
      <c r="C867">
        <f>Inputs!$B$3&gt;=60</f>
        <v/>
      </c>
      <c r="D867">
        <f>IF(Skills!C11=1,60+(Inputs!$B$25+1)+Inputs!$B$29,IF(Skills!C11=2,90+Inputs!$B$26+Inputs!$B$29,IF(Skills!C11=3,120+Inputs!$B$27+Inputs!$B$29,MAX(0,(Inputs!$B$3-100)*3)+Inputs!$B$28+Inputs!$B$29)))</f>
        <v/>
      </c>
      <c r="E867">
        <f>INDEX(FactorTable!$B$2:$Y$301, MATCH(ROUND(MIN(300,MAX(1,D867)),0), FactorTable!$A$2:$A$301,0), Skills!M11+1)</f>
        <v/>
      </c>
      <c r="F867">
        <f>IF(Skills!N11=TRUE,(Skills!L11/10)*(E867/1000),Skills!L11/10)+Skills!O11</f>
        <v/>
      </c>
      <c r="G867">
        <f>Calc!G11</f>
        <v/>
      </c>
      <c r="H867">
        <f>Calc!H11</f>
        <v/>
      </c>
      <c r="I867">
        <f>IF(Skills!AA11&lt;&gt;"",1+(Skills!AA11/10)*(U859/1000)/100,1)</f>
        <v/>
      </c>
      <c r="J867" t="inlineStr"/>
      <c r="K867" t="inlineStr"/>
      <c r="L867" t="inlineStr"/>
      <c r="M867" t="inlineStr"/>
      <c r="N867" t="inlineStr"/>
      <c r="O867">
        <f>(1-Summary!$B$11)*T867+Summary!$B$11*V867</f>
        <v/>
      </c>
      <c r="P867">
        <f>IF(B900=0,0,O867/B900)</f>
        <v/>
      </c>
      <c r="Q867" t="n">
        <v>0</v>
      </c>
      <c r="R867" t="n">
        <v>0</v>
      </c>
      <c r="S867">
        <f>IFERROR(O867/N867,0)</f>
        <v/>
      </c>
      <c r="T867" t="n">
        <v>0</v>
      </c>
      <c r="V867" t="n">
        <v>0</v>
      </c>
    </row>
    <row r="868">
      <c r="A868">
        <f>Skills!A12</f>
        <v/>
      </c>
      <c r="B868">
        <f>Skills!B12</f>
        <v/>
      </c>
      <c r="C868">
        <f>Inputs!$B$3&gt;=103</f>
        <v/>
      </c>
      <c r="D868">
        <f>IF(Skills!C12=1,60+(Inputs!$B$25+1)+Inputs!$B$29,IF(Skills!C12=2,90+Inputs!$B$26+Inputs!$B$29,IF(Skills!C12=3,120+Inputs!$B$27+Inputs!$B$29,MAX(0,(Inputs!$B$3-100)*3)+Inputs!$B$28+Inputs!$B$29)))</f>
        <v/>
      </c>
      <c r="E868">
        <f>INDEX(FactorTable!$B$2:$Y$301, MATCH(ROUND(MIN(300,MAX(1,D868)),0), FactorTable!$A$2:$A$301,0), Skills!M12+1)</f>
        <v/>
      </c>
      <c r="F868">
        <f>IF(Skills!N12=TRUE,(Skills!L12/10)*(E868/1000),Skills!L12/10)+Skills!O12</f>
        <v/>
      </c>
      <c r="G868">
        <f>Calc!G12</f>
        <v/>
      </c>
      <c r="H868">
        <f>Calc!H12</f>
        <v/>
      </c>
      <c r="I868">
        <f>IF(Skills!AA12&lt;&gt;"",1+(Skills!AA12/10)*(U859/1000)/100,1)</f>
        <v/>
      </c>
      <c r="J868">
        <f>((Inputs!$B$6*(1+Inputs!$B$7/100))+(((Inputs!$B$12*(1+Inputs!$B$13/100))-(Inputs!$B$12*(1+Inputs!$B$13/100)))+0.25*(Inputs!$B$14-Inputs!$B$14))*(1+Inputs!$B$7/100))*(F868/100)</f>
        <v/>
      </c>
      <c r="K868">
        <f>J868*(1+((Inputs!$B$12*(1+Inputs!$B$13/100))*0.01+Inputs!$B$14*0.0025)/100)*(1+Inputs!$B$15/100)*(1+Inputs!$B$16/100)*(5000/(6000+Inputs!$B$43*(1-(100*(1-(1-(Inputs!$B$19+0)/100)*(1-CHOOSE(ArtifactsInput!$N$40+1,5,6,7,8,9,10)/100)^(ArtifactsInput!$M$40-ArtifactsInput!$M$40)))/100)))*(1+(Inputs!$B$24+((C886=TRUE)*(F886-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879=TRUE)*(F879-Calc!F23))+(((IF(AND(ArtifactsInput!$M$42,((Inputs!$B$9+((C881=TRUE)*(F881-Calc!F25))+B896+(ArtifactsInput!$M$24-ArtifactsInput!$M$24)*CHOOSE(ArtifactsInput!$N$24+1,10,12,14,16,18,20)+IF(ArtifactsInput!$M$10,CHOOSE(ArtifactsInput!$N$10+1,15,18,21,24,27,30)*(IF(Inputs!$B$39="pvp",MIN(15,15)/15,IF(AND(Inputs!$B$39&lt;&gt;"pvp",Inputs!$B$44&gt;0),MIN(15,Inputs!$B$44)/(Inputs!$B$44),0))),0)))&gt;=100),MIN(100,((Inputs!$B$9+((C881=TRUE)*(F881-Calc!F25))+B896+(ArtifactsInput!$M$24-ArtifactsInput!$M$24)*CHOOSE(ArtifactsInput!$N$24+1,10,12,14,16,18,20)+IF(ArtifactsInput!$M$10,CHOOSE(ArtifactsInput!$N$10+1,15,18,21,24,27,30)*(IF(Inputs!$B$39="pvp",MIN(15,15)/15,IF(AND(Inputs!$B$39&lt;&gt;"pvp",Inputs!$B$44&gt;0),MIN(15,Inputs!$B$44)/(Inputs!$B$44),0))),0)))-100),0))*CHOOSE(ArtifactsInput!$N$42+1,0.6,0.72,0.84,0.96,1.08,1.2))),Inputs!$B$18+((C885=TRUE)*(F885-Calc!F29))+(IF(AND(ArtifactsInput!$M$42,((Inputs!$B$9+((C881=TRUE)*(F881-Calc!F25))+B896+(ArtifactsInput!$M$24-ArtifactsInput!$M$24)*CHOOSE(ArtifactsInput!$N$24+1,10,12,14,16,18,20)+IF(ArtifactsInput!$M$10,CHOOSE(ArtifactsInput!$N$10+1,15,18,21,24,27,30)*(IF(Inputs!$B$39="pvp",MIN(15,15)/15,IF(AND(Inputs!$B$39&lt;&gt;"pvp",Inputs!$B$44&gt;0),MIN(15,Inputs!$B$44)/(Inputs!$B$44),0))),0)))&gt;=100),CHOOSE(ArtifactsInput!$N$42+1,40,48,56,64,72,80),0))))/100)*(((1+(((C877=TRUE)*F877*IF(AND(Inputs!$B$39&lt;&gt;"pvp",Inputs!$B$44&gt;0),(((R877-1)*(Skills!Y21*(1+Inputs!$B$34/100))+MIN((Skills!Y21*(1+Inputs!$B$34/100)),MAX(0,Inputs!$B$44-((R877-1)*Skills!D21))))/Inputs!$B$44),IF(Inputs!$B$39="pvp",MIN((Skills!Y21*(1+Inputs!$B$34/100)),15)/15,(Skills!Y21*(1+Inputs!$B$34/100))/Skills!D21)))+((C884=TRUE)*(F884-Calc!F28))+((C874=TRUE)*(F874-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871=TRUE)*F871*IF(AND(Inputs!$B$39&lt;&gt;"pvp",Inputs!$B$44&gt;0),(((R871-1)*(Skills!Y15*(1+Inputs!$B$34/100))+MIN((Skills!Y15*(1+Inputs!$B$34/100)),MAX(0,Inputs!$B$44-((R871-1)*Skills!D15))))/Inputs!$B$44),IF(Inputs!$B$39="pvp",MIN((Skills!Y15*(1+Inputs!$B$34/100)),15)/15,(Skills!Y15*(1+Inputs!$B$34/100))/Skills!D15)))/100)*(1+((C862=TRUE)*F862*B890)/100))*B898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868)</f>
        <v/>
      </c>
      <c r="L868">
        <f>K868*(MIN(Inputs!$B$22+((C880=TRUE)*(F880-Calc!F24)),(Inputs!$B$23+0+(IF(ArtifactsInput!$M$15,CHOOSE(ArtifactsInput!$N$15+1,25,30,35,40,45,50)/100*(Inputs!$B$11-Inputs!$B$11),0))))/100+(Inputs!$B$23+0+(IF(ArtifactsInput!$M$15,CHOOSE(ArtifactsInput!$N$15+1,25,30,35,40,45,50)/100*(Inputs!$B$11-Inputs!$B$11),0)))/100)/2</f>
        <v/>
      </c>
      <c r="M868">
        <f>L868*(1+(Inputs!$B$10+((C882=TRUE)*(F882-Calc!F26))+B899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68">
        <f>L868*(1-MIN((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868*(MIN((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68">
        <f>(1-Summary!$B$11)*T868+Summary!$B$11*V868</f>
        <v/>
      </c>
      <c r="P868">
        <f>IF(B900=0,0,O868/B900)</f>
        <v/>
      </c>
      <c r="Q868">
        <f>IFERROR(1/IF(Inputs!$B$39="pvp",15,MAX(0.1,Skills!D12-IF(Skills!E12=TRUE,Inputs!$B$32,0))),0)</f>
        <v/>
      </c>
      <c r="R868">
        <f>IF(AND(Inputs!$B$39&lt;&gt;"pvp",Inputs!$B$44&gt;0),IF(MAX(0,Inputs!$B$44-B901)&lt;=0,0,(INT(MAX(0,Inputs!$B$44-B901)/IF(Inputs!$B$39="pvp",15,MAX(0.1,Skills!D12-IF(Skills!E12=TRUE,Inputs!$B$32,0))))+1)),0)</f>
        <v/>
      </c>
      <c r="S868">
        <f>IFERROR(O868/N868,0)</f>
        <v/>
      </c>
      <c r="T868">
        <f>IF(C868,(H868*N868*IF(AND(Inputs!$B$39&lt;&gt;"pvp",Inputs!$B$44&gt;0),((Skills!G12*((R868-1)*IF(Skills!H12&gt;0,Skills!I12/Skills!H12,1)+IF(Skills!H12&gt;0,MIN(Skills!I12,MAX(0,MAX(0,Inputs!$B$44-B901)-((R868-1)*IF(Inputs!$B$39="pvp",15,MAX(0.1,Skills!D12-IF(Skills!E12=TRUE,Inputs!$B$32,0))))))/Skills!H12,1)))/Inputs!$B$44),G868*Q868))*IF(Inputs!$B$39="pvp",1,1+(Inputs!$B$20+((C883=TRUE)*(F883-Calc!F27))+Skills!P12+B897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Hunt"),CHOOSE(ArtifactsInput!$N$35+1,15,18,21,24,27,30)*(1-EXP(-(0.2*B892)*5)),0)+IF(AND(ArtifactsInput!$M$22,Inputs!$B$4&lt;&gt;"Chapter Hunt"),CHOOSE(ArtifactsInput!$N$22+1,10,12,14,16,18,20)*((0*(((0.15*B892*5))^0/1)+1*(((0.15*B892*5))^1/1)+2*(((0.15*B892*5))^2/2)+3*(((0.15*B892*5))^3/6)+4*(((0.15*B892*5))^4/24)+5*(((0.15*B892*5))^5/120))/((((0.15*B892*5))^0/1)+(((0.15*B892*5))^1/1)+(((0.15*B892*5))^2/2)+(((0.15*B892*5))^3/6)+(((0.15*B892*5))^4/24)+(((0.15*B892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868*(1-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868*(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868*(1-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868*(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68">
        <f>IF(C868,(H868*N868*IF(AND(Inputs!$B$39&lt;&gt;"pvp",Inputs!$B$44&gt;0),((Skills!G12*((R868-1)*IF(Skills!H12&gt;0,Skills!I12/Skills!H12,1)+IF(Skills!H12&gt;0,MIN(Skills!I12,MAX(0,MAX(0,Inputs!$B$44-B901)-((R868-1)*IF(Inputs!$B$39="pvp",15,MAX(0.1,Skills!D12-IF(Skills!E12=TRUE,Inputs!$B$32,0))))))/Skills!H12,1)))/Inputs!$B$44),G868*Q868))*IF(Inputs!$B$39="pvp",1,(1+(Inputs!$B$21+Skills!Q12+B897+(IF(ArtifactsInput!$M$33,CHOOSE(ArtifactsInput!$N$33+1,30,36,42,48,54,60),0))+(IF(AND(ArtifactsInput!$M$35,Inputs!$B$4&lt;&gt;"Chapter Hunt"),CHOOSE(ArtifactsInput!$N$35+1,15,18,21,24,27,30)*(1-EXP(-(0.2*B892)*5)),0)+IF(AND(ArtifactsInput!$M$22,Inputs!$B$4&lt;&gt;"Chapter Hunt"),CHOOSE(ArtifactsInput!$N$22+1,10,12,14,16,18,20)*((0*(((0.15*B892*5))^0/1)+1*(((0.15*B892*5))^1/1)+2*(((0.15*B892*5))^2/2)+3*(((0.15*B892*5))^3/6)+4*(((0.15*B892*5))^4/24)+5*(((0.15*B892*5))^5/120))/((((0.15*B892*5))^0/1)+(((0.15*B892*5))^1/1)+(((0.15*B892*5))^2/2)+(((0.15*B892*5))^3/6)+(((0.15*B892*5))^4/24)+(((0.15*B892*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69">
      <c r="A869">
        <f>Skills!A13</f>
        <v/>
      </c>
      <c r="B869">
        <f>Skills!B13</f>
        <v/>
      </c>
      <c r="C869">
        <f>Inputs!$B$3&gt;=105</f>
        <v/>
      </c>
      <c r="D869">
        <f>IF(Skills!C13=1,60+(Inputs!$B$25+1)+Inputs!$B$29,IF(Skills!C13=2,90+Inputs!$B$26+Inputs!$B$29,IF(Skills!C13=3,120+Inputs!$B$27+Inputs!$B$29,MAX(0,(Inputs!$B$3-100)*3)+Inputs!$B$28+Inputs!$B$29)))</f>
        <v/>
      </c>
      <c r="E869">
        <f>INDEX(FactorTable!$B$2:$Y$301, MATCH(ROUND(MIN(300,MAX(1,D869)),0), FactorTable!$A$2:$A$301,0), Skills!M13+1)</f>
        <v/>
      </c>
      <c r="F869">
        <f>IF(Skills!N13=TRUE,(Skills!L13/10)*(E869/1000),Skills!L13/10)+Skills!O13</f>
        <v/>
      </c>
      <c r="G869">
        <f>Calc!G13</f>
        <v/>
      </c>
      <c r="H869">
        <f>Calc!H13</f>
        <v/>
      </c>
      <c r="I869">
        <f>IF(Skills!AA13&lt;&gt;"",1+(Skills!AA13/10)*(U859/1000)/100,1)</f>
        <v/>
      </c>
      <c r="J869">
        <f>((Inputs!$B$6*(1+Inputs!$B$7/100))+(((Inputs!$B$12*(1+Inputs!$B$13/100))-(Inputs!$B$12*(1+Inputs!$B$13/100)))+0.25*(Inputs!$B$14-Inputs!$B$14))*(1+Inputs!$B$7/100))*(F869/100)</f>
        <v/>
      </c>
      <c r="K869">
        <f>J869*(1+((Inputs!$B$12*(1+Inputs!$B$13/100))*0.01+Inputs!$B$14*0.0025)/100)*(1+Inputs!$B$15/100)*(1+Inputs!$B$16/100)*(5000/(6000+Inputs!$B$43*(1-(100*(1-(1-(Inputs!$B$19+0)/100)*(1-CHOOSE(ArtifactsInput!$N$40+1,5,6,7,8,9,10)/100)^(ArtifactsInput!$M$40-ArtifactsInput!$M$40)))/100)))*(1+(Inputs!$B$24+((C886=TRUE)*(F886-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879=TRUE)*(F879-Calc!F23))+(((IF(AND(ArtifactsInput!$M$42,((Inputs!$B$9+((C881=TRUE)*(F881-Calc!F25))+B896+(ArtifactsInput!$M$24-ArtifactsInput!$M$24)*CHOOSE(ArtifactsInput!$N$24+1,10,12,14,16,18,20)+IF(ArtifactsInput!$M$10,CHOOSE(ArtifactsInput!$N$10+1,15,18,21,24,27,30)*(IF(Inputs!$B$39="pvp",MIN(15,15)/15,IF(AND(Inputs!$B$39&lt;&gt;"pvp",Inputs!$B$44&gt;0),MIN(15,Inputs!$B$44)/(Inputs!$B$44),0))),0)))&gt;=100),MIN(100,((Inputs!$B$9+((C881=TRUE)*(F881-Calc!F25))+B896+(ArtifactsInput!$M$24-ArtifactsInput!$M$24)*CHOOSE(ArtifactsInput!$N$24+1,10,12,14,16,18,20)+IF(ArtifactsInput!$M$10,CHOOSE(ArtifactsInput!$N$10+1,15,18,21,24,27,30)*(IF(Inputs!$B$39="pvp",MIN(15,15)/15,IF(AND(Inputs!$B$39&lt;&gt;"pvp",Inputs!$B$44&gt;0),MIN(15,Inputs!$B$44)/(Inputs!$B$44),0))),0)))-100),0))*CHOOSE(ArtifactsInput!$N$42+1,0.6,0.72,0.84,0.96,1.08,1.2))),Inputs!$B$18+((C885=TRUE)*(F885-Calc!F29))+(IF(AND(ArtifactsInput!$M$42,((Inputs!$B$9+((C881=TRUE)*(F881-Calc!F25))+B896+(ArtifactsInput!$M$24-ArtifactsInput!$M$24)*CHOOSE(ArtifactsInput!$N$24+1,10,12,14,16,18,20)+IF(ArtifactsInput!$M$10,CHOOSE(ArtifactsInput!$N$10+1,15,18,21,24,27,30)*(IF(Inputs!$B$39="pvp",MIN(15,15)/15,IF(AND(Inputs!$B$39&lt;&gt;"pvp",Inputs!$B$44&gt;0),MIN(15,Inputs!$B$44)/(Inputs!$B$44),0))),0)))&gt;=100),CHOOSE(ArtifactsInput!$N$42+1,40,48,56,64,72,80),0))))/100)*(((1+(((C877=TRUE)*F877*IF(AND(Inputs!$B$39&lt;&gt;"pvp",Inputs!$B$44&gt;0),(((R877-1)*(Skills!Y21*(1+Inputs!$B$34/100))+MIN((Skills!Y21*(1+Inputs!$B$34/100)),MAX(0,Inputs!$B$44-((R877-1)*Skills!D21))))/Inputs!$B$44),IF(Inputs!$B$39="pvp",MIN((Skills!Y21*(1+Inputs!$B$34/100)),15)/15,(Skills!Y21*(1+Inputs!$B$34/100))/Skills!D21)))+((C884=TRUE)*(F884-Calc!F28))+((C874=TRUE)*(F874-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871=TRUE)*F871*IF(AND(Inputs!$B$39&lt;&gt;"pvp",Inputs!$B$44&gt;0),(((R871-1)*(Skills!Y15*(1+Inputs!$B$34/100))+MIN((Skills!Y15*(1+Inputs!$B$34/100)),MAX(0,Inputs!$B$44-((R871-1)*Skills!D15))))/Inputs!$B$44),IF(Inputs!$B$39="pvp",MIN((Skills!Y15*(1+Inputs!$B$34/100)),15)/15,(Skills!Y15*(1+Inputs!$B$34/100))/Skills!D15)))/100)*(1+((C862=TRUE)*F862*B890)/100))*B898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869)</f>
        <v/>
      </c>
      <c r="L869">
        <f>K869*(MIN(Inputs!$B$22+((C880=TRUE)*(F880-Calc!F24)),(Inputs!$B$23+0+(IF(ArtifactsInput!$M$15,CHOOSE(ArtifactsInput!$N$15+1,25,30,35,40,45,50)/100*(Inputs!$B$11-Inputs!$B$11),0))))/100+(Inputs!$B$23+0+(IF(ArtifactsInput!$M$15,CHOOSE(ArtifactsInput!$N$15+1,25,30,35,40,45,50)/100*(Inputs!$B$11-Inputs!$B$11),0)))/100)/2</f>
        <v/>
      </c>
      <c r="M869">
        <f>L869*(1+(Inputs!$B$10+((C882=TRUE)*(F882-Calc!F26))+B899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69">
        <f>L869*(1-MIN((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869*(MIN((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69">
        <f>(1-Summary!$B$11)*T869+Summary!$B$11*V869</f>
        <v/>
      </c>
      <c r="P869">
        <f>IF(B900=0,0,O869/B900)</f>
        <v/>
      </c>
      <c r="Q869">
        <f>IFERROR(1/IF(Inputs!$B$39="pvp",15,MAX(0.1,Skills!D13-IF(Skills!E13=TRUE,Inputs!$B$32,0))),0)</f>
        <v/>
      </c>
      <c r="R869">
        <f>IF(AND(Inputs!$B$39&lt;&gt;"pvp",Inputs!$B$44&gt;0),IF(MAX(0,Inputs!$B$44-B901)&lt;=0,0,(INT(MAX(0,Inputs!$B$44-B901)/IF(Inputs!$B$39="pvp",15,MAX(0.1,Skills!D13-IF(Skills!E13=TRUE,Inputs!$B$32,0))))+1)),0)</f>
        <v/>
      </c>
      <c r="S869">
        <f>IFERROR(O869/N869,0)</f>
        <v/>
      </c>
      <c r="T869">
        <f>IF(C869,(H869*N869*IF(AND(Inputs!$B$39&lt;&gt;"pvp",Inputs!$B$44&gt;0),((Skills!G13*((R869-1)*IF(Skills!H13&gt;0,Skills!I13/Skills!H13,1)+IF(Skills!H13&gt;0,MIN(Skills!I13,MAX(0,MAX(0,Inputs!$B$44-B901)-((R869-1)*IF(Inputs!$B$39="pvp",15,MAX(0.1,Skills!D13-IF(Skills!E13=TRUE,Inputs!$B$32,0))))))/Skills!H13,1)))/Inputs!$B$44),G869*Q869))*IF(Inputs!$B$39="pvp",1,1+(Inputs!$B$20+((C883=TRUE)*(F883-Calc!F27))+Skills!P13+B897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Hunt"),CHOOSE(ArtifactsInput!$N$35+1,15,18,21,24,27,30)*(1-EXP(-(0.2*B892)*5)),0)+IF(AND(ArtifactsInput!$M$22,Inputs!$B$4&lt;&gt;"Chapter Hunt"),CHOOSE(ArtifactsInput!$N$22+1,10,12,14,16,18,20)*((0*(((0.15*B892*5))^0/1)+1*(((0.15*B892*5))^1/1)+2*(((0.15*B892*5))^2/2)+3*(((0.15*B892*5))^3/6)+4*(((0.15*B892*5))^4/24)+5*(((0.15*B892*5))^5/120))/((((0.15*B892*5))^0/1)+(((0.15*B892*5))^1/1)+(((0.15*B892*5))^2/2)+(((0.15*B892*5))^3/6)+(((0.15*B892*5))^4/24)+(((0.15*B892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869*(1-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869*(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869*(1-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869*(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69">
        <f>IF(C869,(H869*N869*IF(AND(Inputs!$B$39&lt;&gt;"pvp",Inputs!$B$44&gt;0),((Skills!G13*((R869-1)*IF(Skills!H13&gt;0,Skills!I13/Skills!H13,1)+IF(Skills!H13&gt;0,MIN(Skills!I13,MAX(0,MAX(0,Inputs!$B$44-B901)-((R869-1)*IF(Inputs!$B$39="pvp",15,MAX(0.1,Skills!D13-IF(Skills!E13=TRUE,Inputs!$B$32,0))))))/Skills!H13,1)))/Inputs!$B$44),G869*Q869))*IF(Inputs!$B$39="pvp",1,(1+(Inputs!$B$21+Skills!Q13+B897+(IF(ArtifactsInput!$M$33,CHOOSE(ArtifactsInput!$N$33+1,30,36,42,48,54,60),0))+(IF(AND(ArtifactsInput!$M$35,Inputs!$B$4&lt;&gt;"Chapter Hunt"),CHOOSE(ArtifactsInput!$N$35+1,15,18,21,24,27,30)*(1-EXP(-(0.2*B892)*5)),0)+IF(AND(ArtifactsInput!$M$22,Inputs!$B$4&lt;&gt;"Chapter Hunt"),CHOOSE(ArtifactsInput!$N$22+1,10,12,14,16,18,20)*((0*(((0.15*B892*5))^0/1)+1*(((0.15*B892*5))^1/1)+2*(((0.15*B892*5))^2/2)+3*(((0.15*B892*5))^3/6)+4*(((0.15*B892*5))^4/24)+5*(((0.15*B892*5))^5/120))/((((0.15*B892*5))^0/1)+(((0.15*B892*5))^1/1)+(((0.15*B892*5))^2/2)+(((0.15*B892*5))^3/6)+(((0.15*B892*5))^4/24)+(((0.15*B892*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70">
      <c r="A870">
        <f>Skills!A14</f>
        <v/>
      </c>
      <c r="B870">
        <f>Skills!B14</f>
        <v/>
      </c>
      <c r="C870">
        <f>Inputs!$B$3&gt;=105</f>
        <v/>
      </c>
      <c r="D870">
        <f>IF(Skills!C14=1,60+(Inputs!$B$25+1)+Inputs!$B$29,IF(Skills!C14=2,90+Inputs!$B$26+Inputs!$B$29,IF(Skills!C14=3,120+Inputs!$B$27+Inputs!$B$29,MAX(0,(Inputs!$B$3-100)*3)+Inputs!$B$28+Inputs!$B$29)))</f>
        <v/>
      </c>
      <c r="E870">
        <f>INDEX(FactorTable!$B$2:$Y$301, MATCH(ROUND(MIN(300,MAX(1,D870)),0), FactorTable!$A$2:$A$301,0), Skills!M14+1)</f>
        <v/>
      </c>
      <c r="F870">
        <f>IF(Skills!N14=TRUE,(Skills!L14/10)*(E870/1000),Skills!L14/10)+Skills!O14</f>
        <v/>
      </c>
      <c r="G870">
        <f>Calc!G14</f>
        <v/>
      </c>
      <c r="H870">
        <f>Calc!H14</f>
        <v/>
      </c>
      <c r="I870">
        <f>IF(Skills!AA14&lt;&gt;"",1+(Skills!AA14/10)*(U859/1000)/100,1)</f>
        <v/>
      </c>
      <c r="J870">
        <f>((Inputs!$B$6*(1+Inputs!$B$7/100))+(((Inputs!$B$12*(1+Inputs!$B$13/100))-(Inputs!$B$12*(1+Inputs!$B$13/100)))+0.25*(Inputs!$B$14-Inputs!$B$14))*(1+Inputs!$B$7/100))*(F870/100)</f>
        <v/>
      </c>
      <c r="K870">
        <f>J870*(1+((Inputs!$B$12*(1+Inputs!$B$13/100))*0.01+Inputs!$B$14*0.0025)/100)*(1+Inputs!$B$15/100)*(1+Inputs!$B$16/100)*(5000/(6000+Inputs!$B$43*(1-(100*(1-(1-(Inputs!$B$19+0)/100)*(1-CHOOSE(ArtifactsInput!$N$40+1,5,6,7,8,9,10)/100)^(ArtifactsInput!$M$40-ArtifactsInput!$M$40)))/100)))*(1+(Inputs!$B$24+((C886=TRUE)*(F886-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879=TRUE)*(F879-Calc!F23))+(((IF(AND(ArtifactsInput!$M$42,((Inputs!$B$9+((C881=TRUE)*(F881-Calc!F25))+B896+(ArtifactsInput!$M$24-ArtifactsInput!$M$24)*CHOOSE(ArtifactsInput!$N$24+1,10,12,14,16,18,20)+IF(ArtifactsInput!$M$10,CHOOSE(ArtifactsInput!$N$10+1,15,18,21,24,27,30)*(IF(Inputs!$B$39="pvp",MIN(15,15)/15,IF(AND(Inputs!$B$39&lt;&gt;"pvp",Inputs!$B$44&gt;0),MIN(15,Inputs!$B$44)/(Inputs!$B$44),0))),0)))&gt;=100),MIN(100,((Inputs!$B$9+((C881=TRUE)*(F881-Calc!F25))+B896+(ArtifactsInput!$M$24-ArtifactsInput!$M$24)*CHOOSE(ArtifactsInput!$N$24+1,10,12,14,16,18,20)+IF(ArtifactsInput!$M$10,CHOOSE(ArtifactsInput!$N$10+1,15,18,21,24,27,30)*(IF(Inputs!$B$39="pvp",MIN(15,15)/15,IF(AND(Inputs!$B$39&lt;&gt;"pvp",Inputs!$B$44&gt;0),MIN(15,Inputs!$B$44)/(Inputs!$B$44),0))),0)))-100),0))*CHOOSE(ArtifactsInput!$N$42+1,0.6,0.72,0.84,0.96,1.08,1.2))),Inputs!$B$18+((C885=TRUE)*(F885-Calc!F29))+(IF(AND(ArtifactsInput!$M$42,((Inputs!$B$9+((C881=TRUE)*(F881-Calc!F25))+B896+(ArtifactsInput!$M$24-ArtifactsInput!$M$24)*CHOOSE(ArtifactsInput!$N$24+1,10,12,14,16,18,20)+IF(ArtifactsInput!$M$10,CHOOSE(ArtifactsInput!$N$10+1,15,18,21,24,27,30)*(IF(Inputs!$B$39="pvp",MIN(15,15)/15,IF(AND(Inputs!$B$39&lt;&gt;"pvp",Inputs!$B$44&gt;0),MIN(15,Inputs!$B$44)/(Inputs!$B$44),0))),0)))&gt;=100),CHOOSE(ArtifactsInput!$N$42+1,40,48,56,64,72,80),0))))/100)*(((1+(((C877=TRUE)*F877*IF(AND(Inputs!$B$39&lt;&gt;"pvp",Inputs!$B$44&gt;0),(((R877-1)*(Skills!Y21*(1+Inputs!$B$34/100))+MIN((Skills!Y21*(1+Inputs!$B$34/100)),MAX(0,Inputs!$B$44-((R877-1)*Skills!D21))))/Inputs!$B$44),IF(Inputs!$B$39="pvp",MIN((Skills!Y21*(1+Inputs!$B$34/100)),15)/15,(Skills!Y21*(1+Inputs!$B$34/100))/Skills!D21)))+((C884=TRUE)*(F884-Calc!F28))+((C874=TRUE)*(F874-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871=TRUE)*F871*IF(AND(Inputs!$B$39&lt;&gt;"pvp",Inputs!$B$44&gt;0),(((R871-1)*(Skills!Y15*(1+Inputs!$B$34/100))+MIN((Skills!Y15*(1+Inputs!$B$34/100)),MAX(0,Inputs!$B$44-((R871-1)*Skills!D15))))/Inputs!$B$44),IF(Inputs!$B$39="pvp",MIN((Skills!Y15*(1+Inputs!$B$34/100)),15)/15,(Skills!Y15*(1+Inputs!$B$34/100))/Skills!D15)))/100)*(1+((C862=TRUE)*F862*B890)/100))*B898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870)</f>
        <v/>
      </c>
      <c r="L870">
        <f>K870*(MIN(Inputs!$B$22+((C880=TRUE)*(F880-Calc!F24)),(Inputs!$B$23+0+(IF(ArtifactsInput!$M$15,CHOOSE(ArtifactsInput!$N$15+1,25,30,35,40,45,50)/100*(Inputs!$B$11-Inputs!$B$11),0))))/100+(Inputs!$B$23+0+(IF(ArtifactsInput!$M$15,CHOOSE(ArtifactsInput!$N$15+1,25,30,35,40,45,50)/100*(Inputs!$B$11-Inputs!$B$11),0)))/100)/2</f>
        <v/>
      </c>
      <c r="M870">
        <f>L870*(1+(Inputs!$B$10+((C882=TRUE)*(F882-Calc!F26))+B899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70">
        <f>L870*(1-MIN((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870*(MIN((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70">
        <f>(1-Summary!$B$11)*T870+Summary!$B$11*V870</f>
        <v/>
      </c>
      <c r="P870">
        <f>IF(B900=0,0,O870/B900)</f>
        <v/>
      </c>
      <c r="Q870">
        <f>IFERROR(1/IF(Inputs!$B$39="pvp",15,MAX(0.1,Skills!D14-IF(Skills!E14=TRUE,Inputs!$B$32,0))),0)</f>
        <v/>
      </c>
      <c r="R870">
        <f>IF(AND(Inputs!$B$39&lt;&gt;"pvp",Inputs!$B$44&gt;0),IF(MAX(0,Inputs!$B$44-B901)&lt;=0,0,(INT(MAX(0,Inputs!$B$44-B901)/IF(Inputs!$B$39="pvp",15,MAX(0.1,Skills!D14-IF(Skills!E14=TRUE,Inputs!$B$32,0))))+1)),0)</f>
        <v/>
      </c>
      <c r="S870">
        <f>IFERROR(O870/N870,0)</f>
        <v/>
      </c>
      <c r="T870">
        <f>IF(C870,(H870*N870*IF(AND(Inputs!$B$39&lt;&gt;"pvp",Inputs!$B$44&gt;0),((Skills!G14*((R870-1)*IF(Skills!H14&gt;0,Skills!I14/Skills!H14,1)+IF(Skills!H14&gt;0,MIN(Skills!I14,MAX(0,MAX(0,Inputs!$B$44-B901)-((R870-1)*IF(Inputs!$B$39="pvp",15,MAX(0.1,Skills!D14-IF(Skills!E14=TRUE,Inputs!$B$32,0))))))/Skills!H14,1)))/Inputs!$B$44),G870*Q870))*IF(Inputs!$B$39="pvp",1,1+(Inputs!$B$20+((C883=TRUE)*(F883-Calc!F27))+Skills!P14+B897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Hunt"),CHOOSE(ArtifactsInput!$N$35+1,15,18,21,24,27,30)*(1-EXP(-(0.2*B892)*5)),0)+IF(AND(ArtifactsInput!$M$22,Inputs!$B$4&lt;&gt;"Chapter Hunt"),CHOOSE(ArtifactsInput!$N$22+1,10,12,14,16,18,20)*((0*(((0.15*B892*5))^0/1)+1*(((0.15*B892*5))^1/1)+2*(((0.15*B892*5))^2/2)+3*(((0.15*B892*5))^3/6)+4*(((0.15*B892*5))^4/24)+5*(((0.15*B892*5))^5/120))/((((0.15*B892*5))^0/1)+(((0.15*B892*5))^1/1)+(((0.15*B892*5))^2/2)+(((0.15*B892*5))^3/6)+(((0.15*B892*5))^4/24)+(((0.15*B892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870*(1-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870*(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870*(1-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870*(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70">
        <f>IF(C870,(H870*N870*IF(AND(Inputs!$B$39&lt;&gt;"pvp",Inputs!$B$44&gt;0),((Skills!G14*((R870-1)*IF(Skills!H14&gt;0,Skills!I14/Skills!H14,1)+IF(Skills!H14&gt;0,MIN(Skills!I14,MAX(0,MAX(0,Inputs!$B$44-B901)-((R870-1)*IF(Inputs!$B$39="pvp",15,MAX(0.1,Skills!D14-IF(Skills!E14=TRUE,Inputs!$B$32,0))))))/Skills!H14,1)))/Inputs!$B$44),G870*Q870))*IF(Inputs!$B$39="pvp",1,(1+(Inputs!$B$21+Skills!Q14+B897+(IF(ArtifactsInput!$M$33,CHOOSE(ArtifactsInput!$N$33+1,30,36,42,48,54,60),0))+(IF(AND(ArtifactsInput!$M$35,Inputs!$B$4&lt;&gt;"Chapter Hunt"),CHOOSE(ArtifactsInput!$N$35+1,15,18,21,24,27,30)*(1-EXP(-(0.2*B892)*5)),0)+IF(AND(ArtifactsInput!$M$22,Inputs!$B$4&lt;&gt;"Chapter Hunt"),CHOOSE(ArtifactsInput!$N$22+1,10,12,14,16,18,20)*((0*(((0.15*B892*5))^0/1)+1*(((0.15*B892*5))^1/1)+2*(((0.15*B892*5))^2/2)+3*(((0.15*B892*5))^3/6)+4*(((0.15*B892*5))^4/24)+5*(((0.15*B892*5))^5/120))/((((0.15*B892*5))^0/1)+(((0.15*B892*5))^1/1)+(((0.15*B892*5))^2/2)+(((0.15*B892*5))^3/6)+(((0.15*B892*5))^4/24)+(((0.15*B892*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71">
      <c r="A871">
        <f>Skills!A15</f>
        <v/>
      </c>
      <c r="B871">
        <f>Skills!B15</f>
        <v/>
      </c>
      <c r="C871">
        <f>Inputs!$B$3&gt;=110</f>
        <v/>
      </c>
      <c r="D871">
        <f>IF(Skills!C15=1,60+(Inputs!$B$25+1)+Inputs!$B$29,IF(Skills!C15=2,90+Inputs!$B$26+Inputs!$B$29,IF(Skills!C15=3,120+Inputs!$B$27+Inputs!$B$29,MAX(0,(Inputs!$B$3-100)*3)+Inputs!$B$28+Inputs!$B$29)))</f>
        <v/>
      </c>
      <c r="E871">
        <f>INDEX(FactorTable!$B$2:$Y$301, MATCH(ROUND(MIN(300,MAX(1,D871)),0), FactorTable!$A$2:$A$301,0), Skills!M15+1)</f>
        <v/>
      </c>
      <c r="F871">
        <f>IF(Skills!N15=TRUE,(Skills!L15/10)*(E871/1000),Skills!L15/10)+Skills!O15</f>
        <v/>
      </c>
      <c r="G871">
        <f>Calc!G15</f>
        <v/>
      </c>
      <c r="H871">
        <f>Calc!H15</f>
        <v/>
      </c>
      <c r="I871">
        <f>IF(Skills!AA15&lt;&gt;"",1+(Skills!AA15/10)*(U859/1000)/100,1)</f>
        <v/>
      </c>
      <c r="J871" t="inlineStr"/>
      <c r="K871" t="inlineStr"/>
      <c r="L871" t="inlineStr"/>
      <c r="M871" t="inlineStr"/>
      <c r="N871" t="inlineStr"/>
      <c r="O871">
        <f>(1-Summary!$B$11)*T871+Summary!$B$11*V871</f>
        <v/>
      </c>
      <c r="P871">
        <f>IF(B900=0,0,O871/B900)</f>
        <v/>
      </c>
      <c r="Q871">
        <f>IFERROR(1/IF(Inputs!$B$39="pvp",15,MAX(0.1,Skills!D15-IF(Skills!E15=TRUE,Inputs!$B$32,0))),0)</f>
        <v/>
      </c>
      <c r="R871">
        <f>IF(AND(Inputs!$B$39&lt;&gt;"pvp",Inputs!$B$44&gt;0),IF(Inputs!$B$44&lt;=0,0,(INT(Inputs!$B$44/IF(Inputs!$B$39="pvp",15,MAX(0.1,Skills!D15-IF(Skills!E15=TRUE,Inputs!$B$32,0))))+1)),0)</f>
        <v/>
      </c>
      <c r="S871">
        <f>IFERROR(O871/N871,0)</f>
        <v/>
      </c>
      <c r="T871" t="n">
        <v>0</v>
      </c>
      <c r="V871" t="n">
        <v>0</v>
      </c>
    </row>
    <row r="872">
      <c r="A872">
        <f>Skills!A16</f>
        <v/>
      </c>
      <c r="B872">
        <f>Skills!B16</f>
        <v/>
      </c>
      <c r="C872">
        <f>Inputs!$B$3&gt;=110</f>
        <v/>
      </c>
      <c r="D872">
        <f>IF(Skills!C16=1,60+(Inputs!$B$25+1)+Inputs!$B$29,IF(Skills!C16=2,90+Inputs!$B$26+Inputs!$B$29,IF(Skills!C16=3,120+Inputs!$B$27+Inputs!$B$29,MAX(0,(Inputs!$B$3-100)*3)+Inputs!$B$28+Inputs!$B$29)))</f>
        <v/>
      </c>
      <c r="E872">
        <f>INDEX(FactorTable!$B$2:$Y$301, MATCH(ROUND(MIN(300,MAX(1,D872)),0), FactorTable!$A$2:$A$301,0), Skills!M16+1)</f>
        <v/>
      </c>
      <c r="F872">
        <f>IF(Skills!N16=TRUE,(Skills!L16/10)*(E872/1000),Skills!L16/10)+Skills!O16</f>
        <v/>
      </c>
      <c r="G872">
        <f>Calc!G16</f>
        <v/>
      </c>
      <c r="H872">
        <f>Calc!H16</f>
        <v/>
      </c>
      <c r="I872">
        <f>IF(Skills!AA16&lt;&gt;"",1+(Skills!AA16/10)*(U859/1000)/100,1)</f>
        <v/>
      </c>
      <c r="J872" t="inlineStr"/>
      <c r="K872" t="inlineStr"/>
      <c r="L872" t="inlineStr"/>
      <c r="M872" t="inlineStr"/>
      <c r="N872" t="inlineStr"/>
      <c r="O872">
        <f>(1-Summary!$B$11)*T872+Summary!$B$11*V872</f>
        <v/>
      </c>
      <c r="P872">
        <f>IF(B900=0,0,O872/B900)</f>
        <v/>
      </c>
      <c r="Q872">
        <f>IFERROR(1/IF(Inputs!$B$39="pvp",15,MAX(0.1,Skills!D16-IF(Skills!E16=TRUE,Inputs!$B$32,0))),0)</f>
        <v/>
      </c>
      <c r="R872">
        <f>IF(AND(Inputs!$B$39&lt;&gt;"pvp",Inputs!$B$44&gt;0),IF(Inputs!$B$44&lt;=0,0,(INT(Inputs!$B$44/IF(Inputs!$B$39="pvp",15,MAX(0.1,Skills!D16-IF(Skills!E16=TRUE,Inputs!$B$32,0))))+1)),0)</f>
        <v/>
      </c>
      <c r="S872">
        <f>IFERROR(O872/N872,0)</f>
        <v/>
      </c>
      <c r="T872" t="n">
        <v>0</v>
      </c>
      <c r="V872" t="n">
        <v>0</v>
      </c>
    </row>
    <row r="873">
      <c r="A873">
        <f>Skills!A17</f>
        <v/>
      </c>
      <c r="B873">
        <f>Skills!B17</f>
        <v/>
      </c>
      <c r="C873">
        <f>Inputs!$B$3&gt;=115</f>
        <v/>
      </c>
      <c r="D873">
        <f>IF(Skills!C17=1,60+(Inputs!$B$25+1)+Inputs!$B$29,IF(Skills!C17=2,90+Inputs!$B$26+Inputs!$B$29,IF(Skills!C17=3,120+Inputs!$B$27+Inputs!$B$29,MAX(0,(Inputs!$B$3-100)*3)+Inputs!$B$28+Inputs!$B$29)))</f>
        <v/>
      </c>
      <c r="E873">
        <f>INDEX(FactorTable!$B$2:$Y$301, MATCH(ROUND(MIN(300,MAX(1,D873)),0), FactorTable!$A$2:$A$301,0), Skills!M17+1)</f>
        <v/>
      </c>
      <c r="F873">
        <f>IF(Skills!N17=TRUE,(Skills!L17/10)*(E873/1000),Skills!L17/10)+Skills!O17</f>
        <v/>
      </c>
      <c r="G873">
        <f>Calc!G17</f>
        <v/>
      </c>
      <c r="H873">
        <f>Calc!H17</f>
        <v/>
      </c>
      <c r="I873">
        <f>IF(Skills!AA17&lt;&gt;"",1+(Skills!AA17/10)*(U859/1000)/100,1)</f>
        <v/>
      </c>
      <c r="J873">
        <f>((Inputs!$B$6*(1+Inputs!$B$7/100))+(((Inputs!$B$12*(1+Inputs!$B$13/100))-(Inputs!$B$12*(1+Inputs!$B$13/100)))+0.25*(Inputs!$B$14-Inputs!$B$14))*(1+Inputs!$B$7/100))*(F873/100)</f>
        <v/>
      </c>
      <c r="K873">
        <f>J873*(1+((Inputs!$B$12*(1+Inputs!$B$13/100))*0.01+Inputs!$B$14*0.0025)/100)*(1+Inputs!$B$15/100)*(1+Inputs!$B$16/100)*(5000/(6000+Inputs!$B$43*(1-(100*(1-(1-(Inputs!$B$19+0)/100)*(1-CHOOSE(ArtifactsInput!$N$40+1,5,6,7,8,9,10)/100)^(ArtifactsInput!$M$40-ArtifactsInput!$M$40)))/100)))*(1+(Inputs!$B$24+((C886=TRUE)*(F886-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879=TRUE)*(F879-Calc!F23))+(((IF(AND(ArtifactsInput!$M$42,((Inputs!$B$9+((C881=TRUE)*(F881-Calc!F25))+B896+(ArtifactsInput!$M$24-ArtifactsInput!$M$24)*CHOOSE(ArtifactsInput!$N$24+1,10,12,14,16,18,20)+IF(ArtifactsInput!$M$10,CHOOSE(ArtifactsInput!$N$10+1,15,18,21,24,27,30)*(IF(Inputs!$B$39="pvp",MIN(15,15)/15,IF(AND(Inputs!$B$39&lt;&gt;"pvp",Inputs!$B$44&gt;0),MIN(15,Inputs!$B$44)/(Inputs!$B$44),0))),0)))&gt;=100),MIN(100,((Inputs!$B$9+((C881=TRUE)*(F881-Calc!F25))+B896+(ArtifactsInput!$M$24-ArtifactsInput!$M$24)*CHOOSE(ArtifactsInput!$N$24+1,10,12,14,16,18,20)+IF(ArtifactsInput!$M$10,CHOOSE(ArtifactsInput!$N$10+1,15,18,21,24,27,30)*(IF(Inputs!$B$39="pvp",MIN(15,15)/15,IF(AND(Inputs!$B$39&lt;&gt;"pvp",Inputs!$B$44&gt;0),MIN(15,Inputs!$B$44)/(Inputs!$B$44),0))),0)))-100),0))*CHOOSE(ArtifactsInput!$N$42+1,0.6,0.72,0.84,0.96,1.08,1.2))),Inputs!$B$18+((C885=TRUE)*(F885-Calc!F29))+(IF(AND(ArtifactsInput!$M$42,((Inputs!$B$9+((C881=TRUE)*(F881-Calc!F25))+B896+(ArtifactsInput!$M$24-ArtifactsInput!$M$24)*CHOOSE(ArtifactsInput!$N$24+1,10,12,14,16,18,20)+IF(ArtifactsInput!$M$10,CHOOSE(ArtifactsInput!$N$10+1,15,18,21,24,27,30)*(IF(Inputs!$B$39="pvp",MIN(15,15)/15,IF(AND(Inputs!$B$39&lt;&gt;"pvp",Inputs!$B$44&gt;0),MIN(15,Inputs!$B$44)/(Inputs!$B$44),0))),0)))&gt;=100),CHOOSE(ArtifactsInput!$N$42+1,40,48,56,64,72,80),0))))/100)*(((1+(((C877=TRUE)*F877*IF(AND(Inputs!$B$39&lt;&gt;"pvp",Inputs!$B$44&gt;0),(((R877-1)*(Skills!Y21*(1+Inputs!$B$34/100))+MIN((Skills!Y21*(1+Inputs!$B$34/100)),MAX(0,Inputs!$B$44-((R877-1)*Skills!D21))))/Inputs!$B$44),IF(Inputs!$B$39="pvp",MIN((Skills!Y21*(1+Inputs!$B$34/100)),15)/15,(Skills!Y21*(1+Inputs!$B$34/100))/Skills!D21)))+((C884=TRUE)*(F884-Calc!F28))+((C874=TRUE)*(F874-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871=TRUE)*F871*IF(AND(Inputs!$B$39&lt;&gt;"pvp",Inputs!$B$44&gt;0),(((R871-1)*(Skills!Y15*(1+Inputs!$B$34/100))+MIN((Skills!Y15*(1+Inputs!$B$34/100)),MAX(0,Inputs!$B$44-((R871-1)*Skills!D15))))/Inputs!$B$44),IF(Inputs!$B$39="pvp",MIN((Skills!Y15*(1+Inputs!$B$34/100)),15)/15,(Skills!Y15*(1+Inputs!$B$34/100))/Skills!D15)))/100)*(1+((C862=TRUE)*F862*B890)/100))*B898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873)</f>
        <v/>
      </c>
      <c r="L873">
        <f>K873*(MIN(Inputs!$B$22+((C880=TRUE)*(F880-Calc!F24)),(Inputs!$B$23+0+(IF(ArtifactsInput!$M$15,CHOOSE(ArtifactsInput!$N$15+1,25,30,35,40,45,50)/100*(Inputs!$B$11-Inputs!$B$11),0))))/100+(Inputs!$B$23+0+(IF(ArtifactsInput!$M$15,CHOOSE(ArtifactsInput!$N$15+1,25,30,35,40,45,50)/100*(Inputs!$B$11-Inputs!$B$11),0)))/100)/2</f>
        <v/>
      </c>
      <c r="M873">
        <f>L873*(1+(Inputs!$B$10+((C882=TRUE)*(F882-Calc!F26))+B899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73">
        <f>L873*(1-MIN((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873*(MIN((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73">
        <f>(1-Summary!$B$11)*T873+Summary!$B$11*V873</f>
        <v/>
      </c>
      <c r="P873">
        <f>IF(B900=0,0,O873/B900)</f>
        <v/>
      </c>
      <c r="Q873" t="n">
        <v>0</v>
      </c>
      <c r="R873" t="n">
        <v>0</v>
      </c>
      <c r="S873">
        <f>IFERROR(O873/N873,0)</f>
        <v/>
      </c>
      <c r="T873">
        <f>IF(C873,(Inputs!$B$38*0.2*N873)*IF(Inputs!$B$39="pvp",1,1+(Inputs!$B$20+((C883=TRUE)*(F883-Calc!F27))+Skills!P17+B897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Hunt"),CHOOSE(ArtifactsInput!$N$35+1,15,18,21,24,27,30)*(1-EXP(-(0.2*B892)*5)),0)+IF(AND(ArtifactsInput!$M$22,Inputs!$B$4&lt;&gt;"Chapter Hunt"),CHOOSE(ArtifactsInput!$N$22+1,10,12,14,16,18,20)*((0*(((0.15*B892*5))^0/1)+1*(((0.15*B892*5))^1/1)+2*(((0.15*B892*5))^2/2)+3*(((0.15*B892*5))^3/6)+4*(((0.15*B892*5))^4/24)+5*(((0.15*B892*5))^5/120))/((((0.15*B892*5))^0/1)+(((0.15*B892*5))^1/1)+(((0.15*B892*5))^2/2)+(((0.15*B892*5))^3/6)+(((0.15*B892*5))^4/24)+(((0.15*B892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873*(1-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873*(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873*(1-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873*(MIN(100,(Inputs!$B$9+((C881=TRUE)*(F881-Calc!F25))+B896+(ArtifactsInput!$M$24-ArtifactsInput!$M$24)*CHOOSE(ArtifactsInput!$N$24+1,10,12,14,16,18,20)+(IF(AND(ArtifactsInput!$M$42,((Inputs!$B$9+((C881=TRUE)*(F881-Calc!F25))+B896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73">
        <f>IF(C873,(Inputs!$B$38*0.2*N873)*IF(Inputs!$B$39="pvp",1,(1+(Inputs!$B$21+Skills!Q17+B897+(IF(ArtifactsInput!$M$33,CHOOSE(ArtifactsInput!$N$33+1,30,36,42,48,54,60),0))+(IF(AND(ArtifactsInput!$M$35,Inputs!$B$4&lt;&gt;"Chapter Hunt"),CHOOSE(ArtifactsInput!$N$35+1,15,18,21,24,27,30)*(1-EXP(-(0.2*B892)*5)),0)+IF(AND(ArtifactsInput!$M$22,Inputs!$B$4&lt;&gt;"Chapter Hunt"),CHOOSE(ArtifactsInput!$N$22+1,10,12,14,16,18,20)*((0*(((0.15*B892*5))^0/1)+1*(((0.15*B892*5))^1/1)+2*(((0.15*B892*5))^2/2)+3*(((0.15*B892*5))^3/6)+4*(((0.15*B892*5))^4/24)+5*(((0.15*B892*5))^5/120))/((((0.15*B892*5))^0/1)+(((0.15*B892*5))^1/1)+(((0.15*B892*5))^2/2)+(((0.15*B892*5))^3/6)+(((0.15*B892*5))^4/24)+(((0.15*B892*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74">
      <c r="A874">
        <f>Skills!A18</f>
        <v/>
      </c>
      <c r="B874">
        <f>Skills!B18</f>
        <v/>
      </c>
      <c r="C874">
        <f>Inputs!$B$3&gt;=115</f>
        <v/>
      </c>
      <c r="D874">
        <f>IF(Skills!C18=1,60+(Inputs!$B$25+1)+Inputs!$B$29,IF(Skills!C18=2,90+Inputs!$B$26+Inputs!$B$29,IF(Skills!C18=3,120+Inputs!$B$27+Inputs!$B$29,MAX(0,(Inputs!$B$3-100)*3)+Inputs!$B$28+Inputs!$B$29)))</f>
        <v/>
      </c>
      <c r="E874">
        <f>INDEX(FactorTable!$B$2:$Y$301, MATCH(ROUND(MIN(300,MAX(1,D874)),0), FactorTable!$A$2:$A$301,0), Skills!M18+1)</f>
        <v/>
      </c>
      <c r="F874">
        <f>IF(Skills!N18=TRUE,(Skills!L18/10)*(E874/1000),Skills!L18/10)+Skills!O18</f>
        <v/>
      </c>
      <c r="G874">
        <f>Calc!G18</f>
        <v/>
      </c>
      <c r="H874">
        <f>Calc!H18</f>
        <v/>
      </c>
      <c r="I874">
        <f>IF(Skills!AA18&lt;&gt;"",1+(Skills!AA18/10)*(U859/1000)/100,1)</f>
        <v/>
      </c>
      <c r="J874" t="inlineStr"/>
      <c r="K874" t="inlineStr"/>
      <c r="L874" t="inlineStr"/>
      <c r="M874" t="inlineStr"/>
      <c r="N874" t="inlineStr"/>
      <c r="O874">
        <f>(1-Summary!$B$11)*T874+Summary!$B$11*V874</f>
        <v/>
      </c>
      <c r="P874">
        <f>IF(B900=0,0,O874/B900)</f>
        <v/>
      </c>
      <c r="Q874" t="n">
        <v>0</v>
      </c>
      <c r="R874" t="n">
        <v>0</v>
      </c>
      <c r="S874">
        <f>IFERROR(O874/N874,0)</f>
        <v/>
      </c>
      <c r="T874" t="n">
        <v>0</v>
      </c>
      <c r="V874" t="n">
        <v>0</v>
      </c>
    </row>
    <row r="875">
      <c r="A875">
        <f>Skills!A19</f>
        <v/>
      </c>
      <c r="B875">
        <f>Skills!B19</f>
        <v/>
      </c>
      <c r="C875">
        <f>TRUE</f>
        <v/>
      </c>
      <c r="D875">
        <f>IF(Skills!C19=1,60+(Inputs!$B$25+1)+Inputs!$B$29,IF(Skills!C19=2,90+Inputs!$B$26+Inputs!$B$29,IF(Skills!C19=3,120+Inputs!$B$27+Inputs!$B$29,MAX(0,(Inputs!$B$3-100)*3)+Inputs!$B$28+Inputs!$B$29)))</f>
        <v/>
      </c>
      <c r="E875">
        <f>INDEX(FactorTable!$B$2:$Y$301, MATCH(ROUND(MIN(300,MAX(1,D875)),0), FactorTable!$A$2:$A$301,0), Skills!M19+1)</f>
        <v/>
      </c>
      <c r="F875">
        <f>IF(Skills!N19=TRUE,(Skills!L19/10)*(E875/1000),Skills!L19/10)+Skills!O19</f>
        <v/>
      </c>
      <c r="G875">
        <f>Calc!G19</f>
        <v/>
      </c>
      <c r="H875">
        <f>Calc!H19</f>
        <v/>
      </c>
      <c r="I875">
        <f>IF(Skills!AA19&lt;&gt;"",1+(Skills!AA19/10)*(U859/1000)/100,1)</f>
        <v/>
      </c>
      <c r="J875" t="inlineStr"/>
      <c r="K875" t="inlineStr"/>
      <c r="L875" t="inlineStr"/>
      <c r="M875" t="inlineStr"/>
      <c r="N875" t="inlineStr"/>
      <c r="O875">
        <f>(1-Summary!$B$11)*T875+Summary!$B$11*V875</f>
        <v/>
      </c>
      <c r="P875">
        <f>IF(B900=0,0,O875/B900)</f>
        <v/>
      </c>
      <c r="Q875">
        <f>IFERROR(1/IF(Inputs!$B$39="pvp",15,MAX(0.1,Skills!D19-IF(Skills!E19=TRUE,Inputs!$B$32,0))),0)</f>
        <v/>
      </c>
      <c r="R875">
        <f>IF(AND(Inputs!$B$39&lt;&gt;"pvp",Inputs!$B$44&gt;0),IF(Inputs!$B$44&lt;=0,0,(INT(Inputs!$B$44/IF(Inputs!$B$39="pvp",15,MAX(0.1,Skills!D19-IF(Skills!E19=TRUE,Inputs!$B$32,0))))+1)),0)</f>
        <v/>
      </c>
      <c r="S875">
        <f>IFERROR(O875/N875,0)</f>
        <v/>
      </c>
      <c r="T875" t="n">
        <v>0</v>
      </c>
      <c r="V875" t="n">
        <v>0</v>
      </c>
    </row>
    <row r="876">
      <c r="A876">
        <f>Skills!A20</f>
        <v/>
      </c>
      <c r="B876">
        <f>Skills!B20</f>
        <v/>
      </c>
      <c r="C876">
        <f>Inputs!$B$3&gt;=15</f>
        <v/>
      </c>
      <c r="D876">
        <f>IF(Skills!C20=1,60+(Inputs!$B$25+1)+Inputs!$B$29,IF(Skills!C20=2,90+Inputs!$B$26+Inputs!$B$29,IF(Skills!C20=3,120+Inputs!$B$27+Inputs!$B$29,MAX(0,(Inputs!$B$3-100)*3)+Inputs!$B$28+Inputs!$B$29)))</f>
        <v/>
      </c>
      <c r="E876">
        <f>INDEX(FactorTable!$B$2:$Y$301, MATCH(ROUND(MIN(300,MAX(1,D876)),0), FactorTable!$A$2:$A$301,0), Skills!M20+1)</f>
        <v/>
      </c>
      <c r="F876">
        <f>IF(Skills!N20=TRUE,(Skills!L20/10)*(E876/1000),Skills!L20/10)+Skills!O20</f>
        <v/>
      </c>
      <c r="G876">
        <f>Calc!G20</f>
        <v/>
      </c>
      <c r="H876">
        <f>Calc!H20</f>
        <v/>
      </c>
      <c r="I876">
        <f>IF(Skills!AA20&lt;&gt;"",1+(Skills!AA20/10)*(U859/1000)/100,1)</f>
        <v/>
      </c>
      <c r="J876" t="inlineStr"/>
      <c r="K876" t="inlineStr"/>
      <c r="L876" t="inlineStr"/>
      <c r="M876" t="inlineStr"/>
      <c r="N876" t="inlineStr"/>
      <c r="O876">
        <f>(1-Summary!$B$11)*T876+Summary!$B$11*V876</f>
        <v/>
      </c>
      <c r="P876">
        <f>IF(B900=0,0,O876/B900)</f>
        <v/>
      </c>
      <c r="Q876">
        <f>IFERROR(1/IF(Inputs!$B$39="pvp",15,MAX(0.1,Skills!D20-IF(Skills!E20=TRUE,Inputs!$B$32,0))),0)</f>
        <v/>
      </c>
      <c r="R876">
        <f>IF(AND(Inputs!$B$39&lt;&gt;"pvp",Inputs!$B$44&gt;0),IF(Inputs!$B$44&lt;=0,0,(INT(Inputs!$B$44/IF(Inputs!$B$39="pvp",15,MAX(0.1,Skills!D20-IF(Skills!E20=TRUE,Inputs!$B$32,0))))+1)),0)</f>
        <v/>
      </c>
      <c r="S876">
        <f>IFERROR(O876/N876,0)</f>
        <v/>
      </c>
      <c r="T876" t="n">
        <v>0</v>
      </c>
      <c r="V876" t="n">
        <v>0</v>
      </c>
    </row>
    <row r="877">
      <c r="A877">
        <f>Skills!A21</f>
        <v/>
      </c>
      <c r="B877">
        <f>Skills!B21</f>
        <v/>
      </c>
      <c r="C877">
        <f>Inputs!$B$3&gt;=15</f>
        <v/>
      </c>
      <c r="D877">
        <f>IF(Skills!C21=1,60+(Inputs!$B$25+1)+Inputs!$B$29,IF(Skills!C21=2,90+Inputs!$B$26+Inputs!$B$29,IF(Skills!C21=3,120+Inputs!$B$27+Inputs!$B$29,MAX(0,(Inputs!$B$3-100)*3)+Inputs!$B$28+Inputs!$B$29)))</f>
        <v/>
      </c>
      <c r="E877">
        <f>INDEX(FactorTable!$B$2:$Y$301, MATCH(ROUND(MIN(300,MAX(1,D877)),0), FactorTable!$A$2:$A$301,0), Skills!M21+1)</f>
        <v/>
      </c>
      <c r="F877">
        <f>IF(Skills!N21=TRUE,(Skills!L21/10)*(E877/1000),Skills!L21/10)+Skills!O21</f>
        <v/>
      </c>
      <c r="G877">
        <f>Calc!G21</f>
        <v/>
      </c>
      <c r="H877">
        <f>Calc!H21</f>
        <v/>
      </c>
      <c r="I877">
        <f>IF(Skills!AA21&lt;&gt;"",1+(Skills!AA21/10)*(U859/1000)/100,1)</f>
        <v/>
      </c>
      <c r="J877" t="inlineStr"/>
      <c r="K877" t="inlineStr"/>
      <c r="L877" t="inlineStr"/>
      <c r="M877" t="inlineStr"/>
      <c r="N877" t="inlineStr"/>
      <c r="O877">
        <f>(1-Summary!$B$11)*T877+Summary!$B$11*V877</f>
        <v/>
      </c>
      <c r="P877">
        <f>IF(B900=0,0,O877/B900)</f>
        <v/>
      </c>
      <c r="Q877">
        <f>IFERROR(1/IF(Inputs!$B$39="pvp",15,MAX(0.1,Skills!D21-IF(Skills!E21=TRUE,Inputs!$B$32,0))),0)</f>
        <v/>
      </c>
      <c r="R877">
        <f>IF(AND(Inputs!$B$39&lt;&gt;"pvp",Inputs!$B$44&gt;0),IF(Inputs!$B$44&lt;=0,0,(INT(Inputs!$B$44/IF(Inputs!$B$39="pvp",15,MAX(0.1,Skills!D21-IF(Skills!E21=TRUE,Inputs!$B$32,0))))+1)),0)</f>
        <v/>
      </c>
      <c r="S877">
        <f>IFERROR(O877/N877,0)</f>
        <v/>
      </c>
      <c r="T877" t="n">
        <v>0</v>
      </c>
      <c r="V877" t="n">
        <v>0</v>
      </c>
    </row>
    <row r="878">
      <c r="A878">
        <f>Skills!A22</f>
        <v/>
      </c>
      <c r="B878">
        <f>Skills!B22</f>
        <v/>
      </c>
      <c r="C878">
        <f>Inputs!$B$3&gt;=33</f>
        <v/>
      </c>
      <c r="D878">
        <f>IF(Skills!C22=1,60+(Inputs!$B$25+1)+Inputs!$B$29,IF(Skills!C22=2,90+Inputs!$B$26+Inputs!$B$29,IF(Skills!C22=3,120+Inputs!$B$27+Inputs!$B$29,MAX(0,(Inputs!$B$3-100)*3)+Inputs!$B$28+Inputs!$B$29)))</f>
        <v/>
      </c>
      <c r="E878">
        <f>INDEX(FactorTable!$B$2:$Y$301, MATCH(ROUND(MIN(300,MAX(1,D878)),0), FactorTable!$A$2:$A$301,0), Skills!M22+1)</f>
        <v/>
      </c>
      <c r="F878">
        <f>IF(Skills!N22=TRUE,(Skills!L22/10)*(E878/1000),Skills!L22/10)+Skills!O22</f>
        <v/>
      </c>
      <c r="G878">
        <f>Calc!G22</f>
        <v/>
      </c>
      <c r="H878">
        <f>Calc!H22</f>
        <v/>
      </c>
      <c r="I878">
        <f>IF(Skills!AA22&lt;&gt;"",1+(Skills!AA22/10)*(U859/1000)/100,1)</f>
        <v/>
      </c>
      <c r="J878" t="inlineStr"/>
      <c r="K878" t="inlineStr"/>
      <c r="L878" t="inlineStr"/>
      <c r="M878" t="inlineStr"/>
      <c r="N878" t="inlineStr"/>
      <c r="O878">
        <f>(1-Summary!$B$11)*T878+Summary!$B$11*V878</f>
        <v/>
      </c>
      <c r="P878">
        <f>IF(B900=0,0,O878/B900)</f>
        <v/>
      </c>
      <c r="Q878" t="n">
        <v>0</v>
      </c>
      <c r="R878" t="n">
        <v>0</v>
      </c>
      <c r="S878">
        <f>IFERROR(O878/N878,0)</f>
        <v/>
      </c>
      <c r="T878" t="n">
        <v>0</v>
      </c>
      <c r="V878" t="n">
        <v>0</v>
      </c>
    </row>
    <row r="879">
      <c r="A879">
        <f>Skills!A23</f>
        <v/>
      </c>
      <c r="B879">
        <f>Skills!B23</f>
        <v/>
      </c>
      <c r="C879">
        <f>Inputs!$B$3&gt;=38</f>
        <v/>
      </c>
      <c r="D879">
        <f>IF(Skills!C23=1,60+(Inputs!$B$25+1)+Inputs!$B$29,IF(Skills!C23=2,90+Inputs!$B$26+Inputs!$B$29,IF(Skills!C23=3,120+Inputs!$B$27+Inputs!$B$29,MAX(0,(Inputs!$B$3-100)*3)+Inputs!$B$28+Inputs!$B$29)))</f>
        <v/>
      </c>
      <c r="E879">
        <f>INDEX(FactorTable!$B$2:$Y$301, MATCH(ROUND(MIN(300,MAX(1,D879)),0), FactorTable!$A$2:$A$301,0), Skills!M23+1)</f>
        <v/>
      </c>
      <c r="F879">
        <f>IF(Skills!N23=TRUE,(Skills!L23/10)*(E879/1000),Skills!L23/10)+Skills!O23</f>
        <v/>
      </c>
      <c r="G879">
        <f>Calc!G23</f>
        <v/>
      </c>
      <c r="H879">
        <f>Calc!H23</f>
        <v/>
      </c>
      <c r="I879">
        <f>IF(Skills!AA23&lt;&gt;"",1+(Skills!AA23/10)*(U859/1000)/100,1)</f>
        <v/>
      </c>
      <c r="J879" t="inlineStr"/>
      <c r="K879" t="inlineStr"/>
      <c r="L879" t="inlineStr"/>
      <c r="M879" t="inlineStr"/>
      <c r="N879" t="inlineStr"/>
      <c r="O879">
        <f>(1-Summary!$B$11)*T879+Summary!$B$11*V879</f>
        <v/>
      </c>
      <c r="P879">
        <f>IF(B900=0,0,O879/B900)</f>
        <v/>
      </c>
      <c r="Q879" t="n">
        <v>0</v>
      </c>
      <c r="R879" t="n">
        <v>0</v>
      </c>
      <c r="S879">
        <f>IFERROR(O879/N879,0)</f>
        <v/>
      </c>
      <c r="T879" t="n">
        <v>0</v>
      </c>
      <c r="V879" t="n">
        <v>0</v>
      </c>
    </row>
    <row r="880">
      <c r="A880">
        <f>Skills!A24</f>
        <v/>
      </c>
      <c r="B880">
        <f>Skills!B24</f>
        <v/>
      </c>
      <c r="C880">
        <f>Inputs!$B$3&gt;=40</f>
        <v/>
      </c>
      <c r="D880">
        <f>IF(Skills!C24=1,60+(Inputs!$B$25+1)+Inputs!$B$29,IF(Skills!C24=2,90+Inputs!$B$26+Inputs!$B$29,IF(Skills!C24=3,120+Inputs!$B$27+Inputs!$B$29,MAX(0,(Inputs!$B$3-100)*3)+Inputs!$B$28+Inputs!$B$29)))</f>
        <v/>
      </c>
      <c r="E880">
        <f>INDEX(FactorTable!$B$2:$Y$301, MATCH(ROUND(MIN(300,MAX(1,D880)),0), FactorTable!$A$2:$A$301,0), Skills!M24+1)</f>
        <v/>
      </c>
      <c r="F880">
        <f>IF(Skills!N24=TRUE,(Skills!L24/10)*(E880/1000),Skills!L24/10)+Skills!O24</f>
        <v/>
      </c>
      <c r="G880">
        <f>Calc!G24</f>
        <v/>
      </c>
      <c r="H880">
        <f>Calc!H24</f>
        <v/>
      </c>
      <c r="I880">
        <f>IF(Skills!AA24&lt;&gt;"",1+(Skills!AA24/10)*(U859/1000)/100,1)</f>
        <v/>
      </c>
      <c r="J880" t="inlineStr"/>
      <c r="K880" t="inlineStr"/>
      <c r="L880" t="inlineStr"/>
      <c r="M880" t="inlineStr"/>
      <c r="N880" t="inlineStr"/>
      <c r="O880">
        <f>(1-Summary!$B$11)*T880+Summary!$B$11*V880</f>
        <v/>
      </c>
      <c r="P880">
        <f>IF(B900=0,0,O880/B900)</f>
        <v/>
      </c>
      <c r="Q880" t="n">
        <v>0</v>
      </c>
      <c r="R880" t="n">
        <v>0</v>
      </c>
      <c r="S880">
        <f>IFERROR(O880/N880,0)</f>
        <v/>
      </c>
      <c r="T880" t="n">
        <v>0</v>
      </c>
      <c r="V880" t="n">
        <v>0</v>
      </c>
    </row>
    <row r="881">
      <c r="A881">
        <f>Skills!A25</f>
        <v/>
      </c>
      <c r="B881">
        <f>Skills!B25</f>
        <v/>
      </c>
      <c r="C881">
        <f>Inputs!$B$3&gt;=45</f>
        <v/>
      </c>
      <c r="D881">
        <f>IF(Skills!C25=1,60+(Inputs!$B$25+1)+Inputs!$B$29,IF(Skills!C25=2,90+Inputs!$B$26+Inputs!$B$29,IF(Skills!C25=3,120+Inputs!$B$27+Inputs!$B$29,MAX(0,(Inputs!$B$3-100)*3)+Inputs!$B$28+Inputs!$B$29)))</f>
        <v/>
      </c>
      <c r="E881">
        <f>INDEX(FactorTable!$B$2:$Y$301, MATCH(ROUND(MIN(300,MAX(1,D881)),0), FactorTable!$A$2:$A$301,0), Skills!M25+1)</f>
        <v/>
      </c>
      <c r="F881">
        <f>IF(Skills!N25=TRUE,(Skills!L25/10)*(E881/1000),Skills!L25/10)+Skills!O25</f>
        <v/>
      </c>
      <c r="G881">
        <f>Calc!G25</f>
        <v/>
      </c>
      <c r="H881">
        <f>Calc!H25</f>
        <v/>
      </c>
      <c r="I881">
        <f>IF(Skills!AA25&lt;&gt;"",1+(Skills!AA25/10)*(U859/1000)/100,1)</f>
        <v/>
      </c>
      <c r="J881" t="inlineStr"/>
      <c r="K881" t="inlineStr"/>
      <c r="L881" t="inlineStr"/>
      <c r="M881" t="inlineStr"/>
      <c r="N881" t="inlineStr"/>
      <c r="O881">
        <f>(1-Summary!$B$11)*T881+Summary!$B$11*V881</f>
        <v/>
      </c>
      <c r="P881">
        <f>IF(B900=0,0,O881/B900)</f>
        <v/>
      </c>
      <c r="Q881" t="n">
        <v>0</v>
      </c>
      <c r="R881" t="n">
        <v>0</v>
      </c>
      <c r="S881">
        <f>IFERROR(O881/N881,0)</f>
        <v/>
      </c>
      <c r="T881" t="n">
        <v>0</v>
      </c>
      <c r="V881" t="n">
        <v>0</v>
      </c>
    </row>
    <row r="882">
      <c r="A882">
        <f>Skills!A26</f>
        <v/>
      </c>
      <c r="B882">
        <f>Skills!B26</f>
        <v/>
      </c>
      <c r="C882">
        <f>Inputs!$B$3&gt;=45</f>
        <v/>
      </c>
      <c r="D882">
        <f>IF(Skills!C26=1,60+(Inputs!$B$25+1)+Inputs!$B$29,IF(Skills!C26=2,90+Inputs!$B$26+Inputs!$B$29,IF(Skills!C26=3,120+Inputs!$B$27+Inputs!$B$29,MAX(0,(Inputs!$B$3-100)*3)+Inputs!$B$28+Inputs!$B$29)))</f>
        <v/>
      </c>
      <c r="E882">
        <f>INDEX(FactorTable!$B$2:$Y$301, MATCH(ROUND(MIN(300,MAX(1,D882)),0), FactorTable!$A$2:$A$301,0), Skills!M26+1)</f>
        <v/>
      </c>
      <c r="F882">
        <f>IF(Skills!N26=TRUE,(Skills!L26/10)*(E882/1000),Skills!L26/10)+Skills!O26</f>
        <v/>
      </c>
      <c r="G882">
        <f>Calc!G26</f>
        <v/>
      </c>
      <c r="H882">
        <f>Calc!H26</f>
        <v/>
      </c>
      <c r="I882">
        <f>IF(Skills!AA26&lt;&gt;"",1+(Skills!AA26/10)*(U859/1000)/100,1)</f>
        <v/>
      </c>
      <c r="J882" t="inlineStr"/>
      <c r="K882" t="inlineStr"/>
      <c r="L882" t="inlineStr"/>
      <c r="M882" t="inlineStr"/>
      <c r="N882" t="inlineStr"/>
      <c r="O882">
        <f>(1-Summary!$B$11)*T882+Summary!$B$11*V882</f>
        <v/>
      </c>
      <c r="P882">
        <f>IF(B900=0,0,O882/B900)</f>
        <v/>
      </c>
      <c r="Q882" t="n">
        <v>0</v>
      </c>
      <c r="R882" t="n">
        <v>0</v>
      </c>
      <c r="S882">
        <f>IFERROR(O882/N882,0)</f>
        <v/>
      </c>
      <c r="T882" t="n">
        <v>0</v>
      </c>
      <c r="V882" t="n">
        <v>0</v>
      </c>
    </row>
    <row r="883">
      <c r="A883">
        <f>Skills!A27</f>
        <v/>
      </c>
      <c r="B883">
        <f>Skills!B27</f>
        <v/>
      </c>
      <c r="C883">
        <f>Inputs!$B$3&gt;=72</f>
        <v/>
      </c>
      <c r="D883">
        <f>IF(Skills!C27=1,60+(Inputs!$B$25+1)+Inputs!$B$29,IF(Skills!C27=2,90+Inputs!$B$26+Inputs!$B$29,IF(Skills!C27=3,120+Inputs!$B$27+Inputs!$B$29,MAX(0,(Inputs!$B$3-100)*3)+Inputs!$B$28+Inputs!$B$29)))</f>
        <v/>
      </c>
      <c r="E883">
        <f>INDEX(FactorTable!$B$2:$Y$301, MATCH(ROUND(MIN(300,MAX(1,D883)),0), FactorTable!$A$2:$A$301,0), Skills!M27+1)</f>
        <v/>
      </c>
      <c r="F883">
        <f>IF(Skills!N27=TRUE,(Skills!L27/10)*(E883/1000),Skills!L27/10)+Skills!O27</f>
        <v/>
      </c>
      <c r="G883">
        <f>Calc!G27</f>
        <v/>
      </c>
      <c r="H883">
        <f>Calc!H27</f>
        <v/>
      </c>
      <c r="I883">
        <f>IF(Skills!AA27&lt;&gt;"",1+(Skills!AA27/10)*(U859/1000)/100,1)</f>
        <v/>
      </c>
      <c r="J883" t="inlineStr"/>
      <c r="K883" t="inlineStr"/>
      <c r="L883" t="inlineStr"/>
      <c r="M883" t="inlineStr"/>
      <c r="N883" t="inlineStr"/>
      <c r="O883">
        <f>(1-Summary!$B$11)*T883+Summary!$B$11*V883</f>
        <v/>
      </c>
      <c r="P883">
        <f>IF(B900=0,0,O883/B900)</f>
        <v/>
      </c>
      <c r="Q883" t="n">
        <v>0</v>
      </c>
      <c r="R883" t="n">
        <v>0</v>
      </c>
      <c r="S883">
        <f>IFERROR(O883/N883,0)</f>
        <v/>
      </c>
      <c r="T883" t="n">
        <v>0</v>
      </c>
      <c r="V883" t="n">
        <v>0</v>
      </c>
    </row>
    <row r="884">
      <c r="A884">
        <f>Skills!A28</f>
        <v/>
      </c>
      <c r="B884">
        <f>Skills!B28</f>
        <v/>
      </c>
      <c r="C884">
        <f>Inputs!$B$3&gt;=75</f>
        <v/>
      </c>
      <c r="D884">
        <f>IF(Skills!C28=1,60+(Inputs!$B$25+1)+Inputs!$B$29,IF(Skills!C28=2,90+Inputs!$B$26+Inputs!$B$29,IF(Skills!C28=3,120+Inputs!$B$27+Inputs!$B$29,MAX(0,(Inputs!$B$3-100)*3)+Inputs!$B$28+Inputs!$B$29)))</f>
        <v/>
      </c>
      <c r="E884">
        <f>INDEX(FactorTable!$B$2:$Y$301, MATCH(ROUND(MIN(300,MAX(1,D884)),0), FactorTable!$A$2:$A$301,0), Skills!M28+1)</f>
        <v/>
      </c>
      <c r="F884">
        <f>IF(Skills!N28=TRUE,(Skills!L28/10)*(E884/1000),Skills!L28/10)+Skills!O28</f>
        <v/>
      </c>
      <c r="G884">
        <f>Calc!G28</f>
        <v/>
      </c>
      <c r="H884">
        <f>Calc!H28</f>
        <v/>
      </c>
      <c r="I884">
        <f>IF(Skills!AA28&lt;&gt;"",1+(Skills!AA28/10)*(U859/1000)/100,1)</f>
        <v/>
      </c>
      <c r="J884" t="inlineStr"/>
      <c r="K884" t="inlineStr"/>
      <c r="L884" t="inlineStr"/>
      <c r="M884" t="inlineStr"/>
      <c r="N884" t="inlineStr"/>
      <c r="O884">
        <f>(1-Summary!$B$11)*T884+Summary!$B$11*V884</f>
        <v/>
      </c>
      <c r="P884">
        <f>IF(B900=0,0,O884/B900)</f>
        <v/>
      </c>
      <c r="Q884" t="n">
        <v>0</v>
      </c>
      <c r="R884" t="n">
        <v>0</v>
      </c>
      <c r="S884">
        <f>IFERROR(O884/N884,0)</f>
        <v/>
      </c>
      <c r="T884" t="n">
        <v>0</v>
      </c>
      <c r="V884" t="n">
        <v>0</v>
      </c>
    </row>
    <row r="885">
      <c r="A885">
        <f>Skills!A29</f>
        <v/>
      </c>
      <c r="B885">
        <f>Skills!B29</f>
        <v/>
      </c>
      <c r="C885">
        <f>Inputs!$B$3&gt;=120</f>
        <v/>
      </c>
      <c r="D885">
        <f>IF(Skills!C29=1,60+(Inputs!$B$25+1)+Inputs!$B$29,IF(Skills!C29=2,90+Inputs!$B$26+Inputs!$B$29,IF(Skills!C29=3,120+Inputs!$B$27+Inputs!$B$29,MAX(0,(Inputs!$B$3-100)*3)+Inputs!$B$28+Inputs!$B$29)))</f>
        <v/>
      </c>
      <c r="E885">
        <f>INDEX(FactorTable!$B$2:$Y$301, MATCH(ROUND(MIN(300,MAX(1,D885)),0), FactorTable!$A$2:$A$301,0), Skills!M29+1)</f>
        <v/>
      </c>
      <c r="F885">
        <f>IF(Skills!N29=TRUE,(Skills!L29/10)*(E885/1000),Skills!L29/10)+Skills!O29</f>
        <v/>
      </c>
      <c r="G885">
        <f>Calc!G29</f>
        <v/>
      </c>
      <c r="H885">
        <f>Calc!H29</f>
        <v/>
      </c>
      <c r="I885">
        <f>IF(Skills!AA29&lt;&gt;"",1+(Skills!AA29/10)*(U859/1000)/100,1)</f>
        <v/>
      </c>
      <c r="J885" t="inlineStr"/>
      <c r="K885" t="inlineStr"/>
      <c r="L885" t="inlineStr"/>
      <c r="M885" t="inlineStr"/>
      <c r="N885" t="inlineStr"/>
      <c r="O885">
        <f>(1-Summary!$B$11)*T885+Summary!$B$11*V885</f>
        <v/>
      </c>
      <c r="P885">
        <f>IF(B900=0,0,O885/B900)</f>
        <v/>
      </c>
      <c r="Q885" t="n">
        <v>0</v>
      </c>
      <c r="R885" t="n">
        <v>0</v>
      </c>
      <c r="S885">
        <f>IFERROR(O885/N885,0)</f>
        <v/>
      </c>
      <c r="T885" t="n">
        <v>0</v>
      </c>
      <c r="V885" t="n">
        <v>0</v>
      </c>
    </row>
    <row r="886">
      <c r="A886">
        <f>Skills!A30</f>
        <v/>
      </c>
      <c r="B886">
        <f>Skills!B30</f>
        <v/>
      </c>
      <c r="C886">
        <f>Inputs!$B$3&gt;=125</f>
        <v/>
      </c>
      <c r="D886">
        <f>IF(Skills!C30=1,60+(Inputs!$B$25+1)+Inputs!$B$29,IF(Skills!C30=2,90+Inputs!$B$26+Inputs!$B$29,IF(Skills!C30=3,120+Inputs!$B$27+Inputs!$B$29,MAX(0,(Inputs!$B$3-100)*3)+Inputs!$B$28+Inputs!$B$29)))</f>
        <v/>
      </c>
      <c r="E886">
        <f>INDEX(FactorTable!$B$2:$Y$301, MATCH(ROUND(MIN(300,MAX(1,D886)),0), FactorTable!$A$2:$A$301,0), Skills!M30+1)</f>
        <v/>
      </c>
      <c r="F886">
        <f>IF(Skills!N30=TRUE,(Skills!L30/10)*(E886/1000),Skills!L30/10)+Skills!O30</f>
        <v/>
      </c>
      <c r="G886">
        <f>Calc!G30</f>
        <v/>
      </c>
      <c r="H886">
        <f>Calc!H30</f>
        <v/>
      </c>
      <c r="I886">
        <f>IF(Skills!AA30&lt;&gt;"",1+(Skills!AA30/10)*(U859/1000)/100,1)</f>
        <v/>
      </c>
      <c r="J886" t="inlineStr"/>
      <c r="K886" t="inlineStr"/>
      <c r="L886" t="inlineStr"/>
      <c r="M886" t="inlineStr"/>
      <c r="N886" t="inlineStr"/>
      <c r="O886">
        <f>(1-Summary!$B$11)*T886+Summary!$B$11*V886</f>
        <v/>
      </c>
      <c r="P886">
        <f>IF(B900=0,0,O886/B900)</f>
        <v/>
      </c>
      <c r="Q886" t="n">
        <v>0</v>
      </c>
      <c r="R886" t="n">
        <v>0</v>
      </c>
      <c r="S886">
        <f>IFERROR(O886/N886,0)</f>
        <v/>
      </c>
      <c r="T886" t="n">
        <v>0</v>
      </c>
      <c r="V886" t="n">
        <v>0</v>
      </c>
    </row>
    <row r="887">
      <c r="A887">
        <f>Skills!A31</f>
        <v/>
      </c>
      <c r="B887">
        <f>Skills!B31</f>
        <v/>
      </c>
      <c r="C887">
        <f>Inputs!$B$3&gt;=107</f>
        <v/>
      </c>
      <c r="D887">
        <f>IF(Skills!C31=1,60+(Inputs!$B$25+1)+Inputs!$B$29,IF(Skills!C31=2,90+Inputs!$B$26+Inputs!$B$29,IF(Skills!C31=3,120+Inputs!$B$27+Inputs!$B$29,MAX(0,(Inputs!$B$3-100)*3)+Inputs!$B$28+Inputs!$B$29)))</f>
        <v/>
      </c>
      <c r="E887">
        <f>INDEX(FactorTable!$B$2:$Y$301, MATCH(ROUND(MIN(300,MAX(1,D887)),0), FactorTable!$A$2:$A$301,0), Skills!M31+1)</f>
        <v/>
      </c>
      <c r="F887">
        <f>IF(Skills!N31=TRUE,(Skills!L31/10)*(E887/1000),Skills!L31/10)+Skills!O31</f>
        <v/>
      </c>
      <c r="G887">
        <f>Calc!G31</f>
        <v/>
      </c>
      <c r="H887">
        <f>Calc!H31</f>
        <v/>
      </c>
      <c r="I887">
        <f>IF(Skills!AA31&lt;&gt;"",1+(Skills!AA31/10)*(U859/1000)/100,1)</f>
        <v/>
      </c>
      <c r="J887" t="inlineStr"/>
      <c r="K887" t="inlineStr"/>
      <c r="L887" t="inlineStr"/>
      <c r="M887" t="inlineStr"/>
      <c r="N887" t="inlineStr"/>
      <c r="O887">
        <f>(1-Summary!$B$11)*T887+Summary!$B$11*V887</f>
        <v/>
      </c>
      <c r="P887">
        <f>IF(B900=0,0,O887/B900)</f>
        <v/>
      </c>
      <c r="Q887" t="n">
        <v>0</v>
      </c>
      <c r="R887" t="n">
        <v>0</v>
      </c>
      <c r="S887">
        <f>IFERROR(O887/N887,0)</f>
        <v/>
      </c>
      <c r="T887" t="n">
        <v>0</v>
      </c>
      <c r="V887" t="n">
        <v>0</v>
      </c>
    </row>
    <row r="889">
      <c r="A889" t="inlineStr">
        <is>
          <t>Actions Per Second (pre-Adrenalin)</t>
        </is>
      </c>
      <c r="B889">
        <f>1+MIN(150,150*(1-(1-(Inputs!$B$11+((C878=TRUE)*(F878-Calc!F22))+(ArtifactsInput!$M$15-ArtifactsInput!$M$15)*CHOOSE(ArtifactsInput!$N$15+1,8,9.6,11.2,12.8,14.4,16))/150)*(1-((C875=TRUE)*F875*IF(AND(Inputs!$B$39&lt;&gt;"pvp",Inputs!$B$44&gt;0),(((R875-1)*(Skills!Y19*(1+Inputs!$B$34/100))+MIN((Skills!Y19*(1+Inputs!$B$34/100)),MAX(0,Inputs!$B$44-((R875-1)*Skills!D19))))/Inputs!$B$44),IF(Inputs!$B$39="pvp",MIN((Skills!Y19*(1+Inputs!$B$34/100)),15)/15,(Skills!Y19*(1+Inputs!$B$34/100))/Skills!D19)))/150)))/100</f>
        <v/>
      </c>
    </row>
    <row r="890">
      <c r="A890" t="inlineStr">
        <is>
          <t>Alchemic Adrenaline Uptime</t>
        </is>
      </c>
      <c r="B890">
        <f>(Skills!Y6*(1+Inputs!$B$34/100))/((Skills!Y6*(1+Inputs!$B$34/100))+(5/B889))</f>
        <v/>
      </c>
    </row>
    <row r="891">
      <c r="A891" t="inlineStr">
        <is>
          <t>Attack Speed Buff Bonus %</t>
        </is>
      </c>
      <c r="B891">
        <f>((C875=TRUE)*F875*IF(AND(Inputs!$B$39&lt;&gt;"pvp",Inputs!$B$44&gt;0),(((R875-1)*(Skills!Y19*(1+Inputs!$B$34/100))+MIN((Skills!Y19*(1+Inputs!$B$34/100)),MAX(0,Inputs!$B$44-((R875-1)*Skills!D19))))/Inputs!$B$44),IF(Inputs!$B$39="pvp",MIN((Skills!Y19*(1+Inputs!$B$34/100)),15)/15,(Skills!Y19*(1+Inputs!$B$34/100))/Skills!D19)))+((C863=TRUE)*F863*B890)</f>
        <v/>
      </c>
    </row>
    <row r="892">
      <c r="A892" t="inlineStr">
        <is>
          <t>Actions Per Second (final)</t>
        </is>
      </c>
      <c r="B892">
        <f>1+MIN(150,150*(1-(1-(Inputs!$B$11+((C878=TRUE)*(F878-Calc!F22))+(ArtifactsInput!$M$15-ArtifactsInput!$M$15)*CHOOSE(ArtifactsInput!$N$15+1,8,9.6,11.2,12.8,14.4,16))/150)*(1-B891/150)))/100</f>
        <v/>
      </c>
    </row>
    <row r="893">
      <c r="A893" t="inlineStr">
        <is>
          <t>Skill + Buff Cast Rate</t>
        </is>
      </c>
      <c r="B893">
        <f>IF(AND(Inputs!$B$39&lt;&gt;"pvp",Inputs!$B$44&gt;0),SUMPRODUCT((Skills!E2:E31=TRUE)*(C858:C887=TRUE)*R858:R887*Skills!F2:F31)/Inputs!$B$44,SUMPRODUCT((Skills!E2:E31=TRUE)*(C858:C887=TRUE)*Q858:Q887*Skills!F2:F31))</f>
        <v/>
      </c>
    </row>
    <row r="894">
      <c r="A894" t="inlineStr">
        <is>
          <t>Showdown Casts Per Second</t>
        </is>
      </c>
      <c r="B894">
        <f>MAX(0,B892-B893)</f>
        <v/>
      </c>
    </row>
    <row r="895">
      <c r="A895" t="inlineStr">
        <is>
          <t>Average Buff Multiplier</t>
        </is>
      </c>
      <c r="B895">
        <f>(1+(((C877=TRUE)*F877*IF(AND(Inputs!$B$39&lt;&gt;"pvp",Inputs!$B$44&gt;0),(((R877-1)*(Skills!Y21*(1+Inputs!$B$34/100))+MIN((Skills!Y21*(1+Inputs!$B$34/100)),MAX(0,Inputs!$B$44-((R877-1)*Skills!D21))))/Inputs!$B$44),IF(Inputs!$B$39="pvp",MIN((Skills!Y21*(1+Inputs!$B$34/100)),15)/15,(Skills!Y21*(1+Inputs!$B$34/100))/Skills!D21)))+((C884=TRUE)*(F884-Calc!F28))+((C874=TRUE)*(F874-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871=TRUE)*F871*IF(AND(Inputs!$B$39&lt;&gt;"pvp",Inputs!$B$44&gt;0),(((R871-1)*(Skills!Y15*(1+Inputs!$B$34/100))+MIN((Skills!Y15*(1+Inputs!$B$34/100)),MAX(0,Inputs!$B$44-((R871-1)*Skills!D15))))/Inputs!$B$44),IF(Inputs!$B$39="pvp",MIN((Skills!Y15*(1+Inputs!$B$34/100)),15)/15,(Skills!Y15*(1+Inputs!$B$34/100))/Skills!D15)))/100)*(1+((C862=TRUE)*F862*B890)/100)</f>
        <v/>
      </c>
    </row>
    <row r="896">
      <c r="A896" t="inlineStr">
        <is>
          <t>Global Crit Rate Bonus %</t>
        </is>
      </c>
      <c r="B896">
        <f>IF(Inputs!$B$3&gt;=47,8,0)+((C876=TRUE)*F876*IF(AND(Inputs!$B$39&lt;&gt;"pvp",Inputs!$B$44&gt;0),(((R876-1)*(Skills!Y20*(1+Inputs!$B$34/100))+MIN((Skills!Y20*(1+Inputs!$B$34/100)),MAX(0,Inputs!$B$44-((R876-1)*Skills!D20))))/Inputs!$B$44),IF(Inputs!$B$39="pvp",MIN((Skills!Y20*(1+Inputs!$B$34/100)),15)/15,(Skills!Y20*(1+Inputs!$B$34/100))/Skills!D20)))</f>
        <v/>
      </c>
    </row>
    <row r="897">
      <c r="A897" t="inlineStr">
        <is>
          <t>Global Monster Damage-Taken Bonus %</t>
        </is>
      </c>
      <c r="B897">
        <f>IF(Inputs!$B$3&gt;=82,15,0)+((C872=TRUE)*F872*IF(AND(Inputs!$B$39&lt;&gt;"pvp",Inputs!$B$44&gt;0),(((R872-1)*(Skills!Y16*(1+Inputs!$B$34/100))+MIN((Skills!Y16*(1+Inputs!$B$34/100)),MAX(0,Inputs!$B$44-((R872-1)*Skills!D16))))/Inputs!$B$44),IF(Inputs!$B$39="pvp",MIN((Skills!Y16*(1+Inputs!$B$34/100)),15)/15,(Skills!Y16*(1+Inputs!$B$34/100))/Skills!D16)))</f>
        <v/>
      </c>
    </row>
    <row r="898">
      <c r="A898" t="inlineStr">
        <is>
          <t>Shadow Partner Average Multiplier</t>
        </is>
      </c>
      <c r="B898">
        <f>1+((C867=TRUE)*F867*I867*Skills!J11/100)/100</f>
        <v/>
      </c>
    </row>
    <row r="899">
      <c r="A899" t="inlineStr">
        <is>
          <t>Global Critical Damage Bonus % (Frailty Curse Mastery Lv.111)</t>
        </is>
      </c>
      <c r="B899">
        <f>IF(Inputs!$B$3&gt;=111,30,0)*IF(AND(Inputs!$B$39&lt;&gt;"pvp",Inputs!$B$44&gt;0),(((R872-1)*(Skills!Y16*(1+Inputs!$B$34/100))+MIN((Skills!Y16*(1+Inputs!$B$34/100)),MAX(0,Inputs!$B$44-((R872-1)*Skills!D16))))/Inputs!$B$44),IF(Inputs!$B$39="pvp",MIN((Skills!Y16*(1+Inputs!$B$34/100)),15)/15,(Skills!Y16*(1+Inputs!$B$34/100))/Skills!D16))</f>
        <v/>
      </c>
    </row>
    <row r="900">
      <c r="A900" s="6" t="inlineStr">
        <is>
          <t>TOTAL DPS</t>
        </is>
      </c>
      <c r="B900" s="6">
        <f>SUM(O858:O887)</f>
        <v/>
      </c>
    </row>
    <row r="901">
      <c r="A901" t="inlineStr">
        <is>
          <t>Buff-Casting Startup Delay (s, fixed-duration only)</t>
        </is>
      </c>
      <c r="B901">
        <f>IF(AND(Inputs!$B$39&lt;&gt;"pvp",Inputs!$B$44&gt;0),SUMPRODUCT((Skills!Y2:Y31&gt;0)*(Skills!E2:E31=TRUE)*(C858:C887=TRUE))/B892,0)</f>
        <v/>
      </c>
    </row>
    <row r="902">
      <c r="A902" t="inlineStr">
        <is>
          <t>Boss-Only Total DPS (this block's swept value)</t>
        </is>
      </c>
      <c r="B902">
        <f>SUM(T858:T887)</f>
        <v/>
      </c>
    </row>
    <row r="903">
      <c r="A903" t="inlineStr">
        <is>
          <t>Normal-Only Total DPS (this block's swept value)</t>
        </is>
      </c>
      <c r="B903">
        <f>SUM(V858:V887)</f>
        <v/>
      </c>
    </row>
    <row r="905">
      <c r="A905" s="6" t="inlineStr">
        <is>
          <t>Stat: Skill Level Bonus — 2nd Job</t>
        </is>
      </c>
    </row>
    <row r="906">
      <c r="A906" s="5" t="inlineStr">
        <is>
          <t>Key</t>
        </is>
      </c>
      <c r="B906" s="5" t="inlineStr">
        <is>
          <t>Name</t>
        </is>
      </c>
      <c r="C906" s="5" t="inlineStr">
        <is>
          <t>Unlocked</t>
        </is>
      </c>
      <c r="D906" s="5" t="inlineStr">
        <is>
          <t>InputLevel</t>
        </is>
      </c>
      <c r="E906" s="5" t="inlineStr">
        <is>
          <t>Factor</t>
        </is>
      </c>
      <c r="F906" s="5" t="inlineStr">
        <is>
          <t>CoefficientPercent</t>
        </is>
      </c>
      <c r="G906" s="5" t="inlineStr">
        <is>
          <t>EffectiveHits</t>
        </is>
      </c>
      <c r="H906" s="5" t="inlineStr">
        <is>
          <t>ProcProbability</t>
        </is>
      </c>
      <c r="I906" s="5" t="inlineStr">
        <is>
          <t>MapleHeroMultiplier</t>
        </is>
      </c>
      <c r="J906" s="5" t="inlineStr">
        <is>
          <t>BaseDamage</t>
        </is>
      </c>
      <c r="K906" s="5" t="inlineStr">
        <is>
          <t>BaseHitDamage</t>
        </is>
      </c>
      <c r="L906" s="5" t="inlineStr">
        <is>
          <t>NonCritAvg</t>
        </is>
      </c>
      <c r="M906" s="5" t="inlineStr">
        <is>
          <t>CritAvg</t>
        </is>
      </c>
      <c r="N906" s="5" t="inlineStr">
        <is>
          <t>ExpectedDamage(perHit)</t>
        </is>
      </c>
      <c r="O906" s="5" t="inlineStr">
        <is>
          <t>DPS</t>
        </is>
      </c>
      <c r="P906" s="5" t="inlineStr">
        <is>
          <t>% of Total</t>
        </is>
      </c>
      <c r="Q906" s="5" t="inlineStr">
        <is>
          <t>InvCooldown</t>
        </is>
      </c>
      <c r="R906" s="5" t="inlineStr">
        <is>
          <t>CastsInFight</t>
        </is>
      </c>
      <c r="S906" s="5" t="inlineStr">
        <is>
          <t>HitRate(perSec)</t>
        </is>
      </c>
      <c r="U906" t="inlineStr">
        <is>
          <t>helpers</t>
        </is>
      </c>
    </row>
    <row r="907">
      <c r="A907">
        <f>Skills!A2</f>
        <v/>
      </c>
      <c r="B907">
        <f>Skills!B2</f>
        <v/>
      </c>
      <c r="C907">
        <f>Inputs!$B$3&gt;=100</f>
        <v/>
      </c>
      <c r="D907" t="inlineStr"/>
      <c r="E907" t="inlineStr"/>
      <c r="F907">
        <f>U911+Skills!O2</f>
        <v/>
      </c>
      <c r="G907">
        <f>Calc!G2</f>
        <v/>
      </c>
      <c r="H907">
        <f>Calc!H2</f>
        <v/>
      </c>
      <c r="I907">
        <f>IF(Skills!AA2&lt;&gt;"",1+(Skills!AA2/10)*(U908/1000)/100,1)</f>
        <v/>
      </c>
      <c r="J907">
        <f>((Inputs!$B$6*(1+Inputs!$B$7/100))+(((Inputs!$B$12*(1+Inputs!$B$13/100))-(Inputs!$B$12*(1+Inputs!$B$13/100)))+0.25*(Inputs!$B$14-Inputs!$B$14))*(1+Inputs!$B$7/100))*(F907/100)</f>
        <v/>
      </c>
      <c r="K907">
        <f>J907*(1+((Inputs!$B$12*(1+Inputs!$B$13/100))*0.01+Inputs!$B$14*0.0025)/100)*(1+Inputs!$B$15/100)*(1+Inputs!$B$16/100)*(5000/(6000+Inputs!$B$43*(1-(100*(1-(1-(Inputs!$B$19+0)/100)*(1-CHOOSE(ArtifactsInput!$N$40+1,5,6,7,8,9,10)/100)^(ArtifactsInput!$M$40-ArtifactsInput!$M$40)))/100)))*(1+(Inputs!$B$24+((C935=TRUE)*(F935-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928=TRUE)*(F928-Calc!F23))+(((IF(AND(ArtifactsInput!$M$42,((Inputs!$B$9+((C930=TRUE)*(F930-Calc!F25))+B945+(ArtifactsInput!$M$24-ArtifactsInput!$M$24)*CHOOSE(ArtifactsInput!$N$24+1,10,12,14,16,18,20)+IF(ArtifactsInput!$M$10,CHOOSE(ArtifactsInput!$N$10+1,15,18,21,24,27,30)*(IF(Inputs!$B$39="pvp",MIN(15,15)/15,IF(AND(Inputs!$B$39&lt;&gt;"pvp",Inputs!$B$44&gt;0),MIN(15,Inputs!$B$44)/(Inputs!$B$44),0))),0)))&gt;=100),MIN(100,((Inputs!$B$9+((C930=TRUE)*(F930-Calc!F25))+B945+(ArtifactsInput!$M$24-ArtifactsInput!$M$24)*CHOOSE(ArtifactsInput!$N$24+1,10,12,14,16,18,20)+IF(ArtifactsInput!$M$10,CHOOSE(ArtifactsInput!$N$10+1,15,18,21,24,27,30)*(IF(Inputs!$B$39="pvp",MIN(15,15)/15,IF(AND(Inputs!$B$39&lt;&gt;"pvp",Inputs!$B$44&gt;0),MIN(15,Inputs!$B$44)/(Inputs!$B$44),0))),0)))-100),0))*CHOOSE(ArtifactsInput!$N$42+1,0.6,0.72,0.84,0.96,1.08,1.2))),Inputs!$B$18+((C934=TRUE)*(F934-Calc!F29))+(IF(AND(ArtifactsInput!$M$42,((Inputs!$B$9+((C930=TRUE)*(F930-Calc!F25))+B945+(ArtifactsInput!$M$24-ArtifactsInput!$M$24)*CHOOSE(ArtifactsInput!$N$24+1,10,12,14,16,18,20)+IF(ArtifactsInput!$M$10,CHOOSE(ArtifactsInput!$N$10+1,15,18,21,24,27,30)*(IF(Inputs!$B$39="pvp",MIN(15,15)/15,IF(AND(Inputs!$B$39&lt;&gt;"pvp",Inputs!$B$44&gt;0),MIN(15,Inputs!$B$44)/(Inputs!$B$44),0))),0)))&gt;=100),CHOOSE(ArtifactsInput!$N$42+1,40,48,56,64,72,80),0))))/100)*(((1+(((C926=TRUE)*F926*IF(AND(Inputs!$B$39&lt;&gt;"pvp",Inputs!$B$44&gt;0),(((R926-1)*(Skills!Y21*(1+Inputs!$B$34/100))+MIN((Skills!Y21*(1+Inputs!$B$34/100)),MAX(0,Inputs!$B$44-((R926-1)*Skills!D21))))/Inputs!$B$44),IF(Inputs!$B$39="pvp",MIN((Skills!Y21*(1+Inputs!$B$34/100)),15)/15,(Skills!Y21*(1+Inputs!$B$34/100))/Skills!D21)))+((C933=TRUE)*(F933-Calc!F28))+((C923=TRUE)*(F923-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920=TRUE)*F920*IF(AND(Inputs!$B$39&lt;&gt;"pvp",Inputs!$B$44&gt;0),(((R920-1)*(Skills!Y15*(1+Inputs!$B$34/100))+MIN((Skills!Y15*(1+Inputs!$B$34/100)),MAX(0,Inputs!$B$44-((R920-1)*Skills!D15))))/Inputs!$B$44),IF(Inputs!$B$39="pvp",MIN((Skills!Y15*(1+Inputs!$B$34/100)),15)/15,(Skills!Y15*(1+Inputs!$B$34/100))/Skills!D15)))/100)*(1+((C911=TRUE)*F911*B939)/100))*B947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907)</f>
        <v/>
      </c>
      <c r="L907">
        <f>K907*(MIN(Inputs!$B$22+((C929=TRUE)*(F929-Calc!F24)),(Inputs!$B$23+0+(IF(ArtifactsInput!$M$15,CHOOSE(ArtifactsInput!$N$15+1,25,30,35,40,45,50)/100*(Inputs!$B$11-Inputs!$B$11),0))))/100+(Inputs!$B$23+0+(IF(ArtifactsInput!$M$15,CHOOSE(ArtifactsInput!$N$15+1,25,30,35,40,45,50)/100*(Inputs!$B$11-Inputs!$B$11),0)))/100)/2</f>
        <v/>
      </c>
      <c r="M907">
        <f>L907*(1+(Inputs!$B$10+((C931=TRUE)*(F931-Calc!F26))+B948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07">
        <f>L907*(1-MIN((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907*(MIN((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07">
        <f>(1-Summary!$B$11)*T907+Summary!$B$11*V907</f>
        <v/>
      </c>
      <c r="P907">
        <f>IF(B949=0,0,O907/B949)</f>
        <v/>
      </c>
      <c r="Q907" t="n">
        <v>0</v>
      </c>
      <c r="R907" t="n">
        <v>0</v>
      </c>
      <c r="S907">
        <f>IFERROR(O907/N907,0)</f>
        <v/>
      </c>
      <c r="T907">
        <f>IF(C907,(Skills!G2*N907*B943)*IF(Inputs!$B$39="pvp",1,1+(Inputs!$B$20+((C932=TRUE)*(F932-Calc!F27))+Skills!P2+B946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Hunt"),CHOOSE(ArtifactsInput!$N$35+1,15,18,21,24,27,30)*(1-EXP(-(0.2*B941)*5)),0)+IF(AND(ArtifactsInput!$M$22,Inputs!$B$4&lt;&gt;"Chapter Hunt"),CHOOSE(ArtifactsInput!$N$22+1,10,12,14,16,18,20)*((0*(((0.15*B941*5))^0/1)+1*(((0.15*B941*5))^1/1)+2*(((0.15*B941*5))^2/2)+3*(((0.15*B941*5))^3/6)+4*(((0.15*B941*5))^4/24)+5*(((0.15*B941*5))^5/120))/((((0.15*B941*5))^0/1)+(((0.15*B941*5))^1/1)+(((0.15*B941*5))^2/2)+(((0.15*B941*5))^3/6)+(((0.15*B941*5))^4/24)+(((0.15*B941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907*(1-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907*(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907*(1-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907*(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07">
        <f>MAX(0,(Inputs!$B$3-100)*3)+Inputs!$B$28+Inputs!$B$29</f>
        <v/>
      </c>
      <c r="V907">
        <f>IF(C907,(Skills!G2*N907*B943)*IF(Inputs!$B$39="pvp",1,(1+(Inputs!$B$21+Skills!Q2+B946+(IF(ArtifactsInput!$M$33,CHOOSE(ArtifactsInput!$N$33+1,30,36,42,48,54,60),0))+(IF(AND(ArtifactsInput!$M$35,Inputs!$B$4&lt;&gt;"Chapter Hunt"),CHOOSE(ArtifactsInput!$N$35+1,15,18,21,24,27,30)*(1-EXP(-(0.2*B941)*5)),0)+IF(AND(ArtifactsInput!$M$22,Inputs!$B$4&lt;&gt;"Chapter Hunt"),CHOOSE(ArtifactsInput!$N$22+1,10,12,14,16,18,20)*((0*(((0.15*B941*5))^0/1)+1*(((0.15*B941*5))^1/1)+2*(((0.15*B941*5))^2/2)+3*(((0.15*B941*5))^3/6)+4*(((0.15*B941*5))^4/24)+5*(((0.15*B941*5))^5/120))/((((0.15*B941*5))^0/1)+(((0.15*B941*5))^1/1)+(((0.15*B941*5))^2/2)+(((0.15*B941*5))^3/6)+(((0.15*B941*5))^4/24)+(((0.15*B941*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08">
      <c r="A908">
        <f>Skills!A3</f>
        <v/>
      </c>
      <c r="B908">
        <f>Skills!B3</f>
        <v/>
      </c>
      <c r="C908">
        <f>Inputs!$B$3&gt;=35</f>
        <v/>
      </c>
      <c r="D908">
        <f>IF(Skills!C3=1,60+Inputs!$B$25+Inputs!$B$29,IF(Skills!C3=2,90+(Inputs!$B$26+1)+Inputs!$B$29,IF(Skills!C3=3,120+Inputs!$B$27+Inputs!$B$29,MAX(0,(Inputs!$B$3-100)*3)+Inputs!$B$28+Inputs!$B$29)))</f>
        <v/>
      </c>
      <c r="E908">
        <f>INDEX(FactorTable!$B$2:$Y$301, MATCH(ROUND(MIN(300,MAX(1,D908)),0), FactorTable!$A$2:$A$301,0), Skills!M3+1)</f>
        <v/>
      </c>
      <c r="F908">
        <f>IF(Skills!N3=TRUE,(Skills!L3/10)*(E908/1000),Skills!L3/10)+Skills!O3</f>
        <v/>
      </c>
      <c r="G908">
        <f>Calc!G3</f>
        <v/>
      </c>
      <c r="H908">
        <f>Calc!H3</f>
        <v/>
      </c>
      <c r="I908">
        <f>IF(Skills!AA3&lt;&gt;"",1+(Skills!AA3/10)*(U908/1000)/100,1)</f>
        <v/>
      </c>
      <c r="J908">
        <f>((Inputs!$B$6*(1+Inputs!$B$7/100))+(((Inputs!$B$12*(1+Inputs!$B$13/100))-(Inputs!$B$12*(1+Inputs!$B$13/100)))+0.25*(Inputs!$B$14-Inputs!$B$14))*(1+Inputs!$B$7/100))*(F908/100)</f>
        <v/>
      </c>
      <c r="K908">
        <f>J908*(1+((Inputs!$B$12*(1+Inputs!$B$13/100))*0.01+Inputs!$B$14*0.0025)/100)*(1+Inputs!$B$15/100)*(1+Inputs!$B$16/100)*(5000/(6000+Inputs!$B$43*(1-(100*(1-(1-(Inputs!$B$19+0)/100)*(1-CHOOSE(ArtifactsInput!$N$40+1,5,6,7,8,9,10)/100)^(ArtifactsInput!$M$40-ArtifactsInput!$M$40)))/100)))*(1+(Inputs!$B$24+((C935=TRUE)*(F935-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928=TRUE)*(F928-Calc!F23))+(((IF(AND(ArtifactsInput!$M$42,((Inputs!$B$9+((C930=TRUE)*(F930-Calc!F25))+B945+(ArtifactsInput!$M$24-ArtifactsInput!$M$24)*CHOOSE(ArtifactsInput!$N$24+1,10,12,14,16,18,20)+IF(ArtifactsInput!$M$10,CHOOSE(ArtifactsInput!$N$10+1,15,18,21,24,27,30)*(IF(Inputs!$B$39="pvp",MIN(15,15)/15,IF(AND(Inputs!$B$39&lt;&gt;"pvp",Inputs!$B$44&gt;0),MIN(15,Inputs!$B$44)/(Inputs!$B$44),0))),0)))&gt;=100),MIN(100,((Inputs!$B$9+((C930=TRUE)*(F930-Calc!F25))+B945+(ArtifactsInput!$M$24-ArtifactsInput!$M$24)*CHOOSE(ArtifactsInput!$N$24+1,10,12,14,16,18,20)+IF(ArtifactsInput!$M$10,CHOOSE(ArtifactsInput!$N$10+1,15,18,21,24,27,30)*(IF(Inputs!$B$39="pvp",MIN(15,15)/15,IF(AND(Inputs!$B$39&lt;&gt;"pvp",Inputs!$B$44&gt;0),MIN(15,Inputs!$B$44)/(Inputs!$B$44),0))),0)))-100),0))*CHOOSE(ArtifactsInput!$N$42+1,0.6,0.72,0.84,0.96,1.08,1.2))),Inputs!$B$18+((C934=TRUE)*(F934-Calc!F29))+(IF(AND(ArtifactsInput!$M$42,((Inputs!$B$9+((C930=TRUE)*(F930-Calc!F25))+B945+(ArtifactsInput!$M$24-ArtifactsInput!$M$24)*CHOOSE(ArtifactsInput!$N$24+1,10,12,14,16,18,20)+IF(ArtifactsInput!$M$10,CHOOSE(ArtifactsInput!$N$10+1,15,18,21,24,27,30)*(IF(Inputs!$B$39="pvp",MIN(15,15)/15,IF(AND(Inputs!$B$39&lt;&gt;"pvp",Inputs!$B$44&gt;0),MIN(15,Inputs!$B$44)/(Inputs!$B$44),0))),0)))&gt;=100),CHOOSE(ArtifactsInput!$N$42+1,40,48,56,64,72,80),0))))/100)*(((1+(((C926=TRUE)*F926*IF(AND(Inputs!$B$39&lt;&gt;"pvp",Inputs!$B$44&gt;0),(((R926-1)*(Skills!Y21*(1+Inputs!$B$34/100))+MIN((Skills!Y21*(1+Inputs!$B$34/100)),MAX(0,Inputs!$B$44-((R926-1)*Skills!D21))))/Inputs!$B$44),IF(Inputs!$B$39="pvp",MIN((Skills!Y21*(1+Inputs!$B$34/100)),15)/15,(Skills!Y21*(1+Inputs!$B$34/100))/Skills!D21)))+((C933=TRUE)*(F933-Calc!F28))+((C923=TRUE)*(F923-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920=TRUE)*F920*IF(AND(Inputs!$B$39&lt;&gt;"pvp",Inputs!$B$44&gt;0),(((R920-1)*(Skills!Y15*(1+Inputs!$B$34/100))+MIN((Skills!Y15*(1+Inputs!$B$34/100)),MAX(0,Inputs!$B$44-((R920-1)*Skills!D15))))/Inputs!$B$44),IF(Inputs!$B$39="pvp",MIN((Skills!Y15*(1+Inputs!$B$34/100)),15)/15,(Skills!Y15*(1+Inputs!$B$34/100))/Skills!D15)))/100)*(1+((C911=TRUE)*F911*B939)/100))*B947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908)</f>
        <v/>
      </c>
      <c r="L908">
        <f>K908*(MIN(Inputs!$B$22+((C929=TRUE)*(F929-Calc!F24)),(Inputs!$B$23+0+(IF(ArtifactsInput!$M$15,CHOOSE(ArtifactsInput!$N$15+1,25,30,35,40,45,50)/100*(Inputs!$B$11-Inputs!$B$11),0))))/100+(Inputs!$B$23+0+(IF(ArtifactsInput!$M$15,CHOOSE(ArtifactsInput!$N$15+1,25,30,35,40,45,50)/100*(Inputs!$B$11-Inputs!$B$11),0)))/100)/2</f>
        <v/>
      </c>
      <c r="M908">
        <f>L908*(1+(Inputs!$B$10+((C931=TRUE)*(F931-Calc!F26))+B948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08">
        <f>L908*(1-MIN((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908*(MIN((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08">
        <f>(1-Summary!$B$11)*T908+Summary!$B$11*V908</f>
        <v/>
      </c>
      <c r="P908">
        <f>IF(B949=0,0,O908/B949)</f>
        <v/>
      </c>
      <c r="Q908">
        <f>IFERROR(1/IF(Inputs!$B$39="pvp",15,MAX(0.1,Skills!D3-IF(Skills!E3=TRUE,Inputs!$B$32,0))),0)</f>
        <v/>
      </c>
      <c r="R908">
        <f>IF(AND(Inputs!$B$39&lt;&gt;"pvp",Inputs!$B$44&gt;0),IF(MAX(0,Inputs!$B$44-B950)&lt;=0,0,(INT(MAX(0,Inputs!$B$44-B950)/IF(Inputs!$B$39="pvp",15,MAX(0.1,Skills!D3-IF(Skills!E3=TRUE,Inputs!$B$32,0))))+1)),0)</f>
        <v/>
      </c>
      <c r="S908">
        <f>IFERROR(O908/N908,0)</f>
        <v/>
      </c>
      <c r="T908">
        <f>IF(C908,(H908*N908*IF(AND(Inputs!$B$39&lt;&gt;"pvp",Inputs!$B$44&gt;0),((Skills!G3*((R908-1)*IF(Skills!H3&gt;0,Skills!I3/Skills!H3,1)+IF(Skills!H3&gt;0,MIN(Skills!I3,MAX(0,MAX(0,Inputs!$B$44-B950)-((R908-1)*IF(Inputs!$B$39="pvp",15,MAX(0.1,Skills!D3-IF(Skills!E3=TRUE,Inputs!$B$32,0))))))/Skills!H3,1)))/Inputs!$B$44),G908*Q908))*IF(Inputs!$B$39="pvp",1,1+(Inputs!$B$20+((C932=TRUE)*(F932-Calc!F27))+Skills!P3+B946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Hunt"),CHOOSE(ArtifactsInput!$N$35+1,15,18,21,24,27,30)*(1-EXP(-(0.2*B941)*5)),0)+IF(AND(ArtifactsInput!$M$22,Inputs!$B$4&lt;&gt;"Chapter Hunt"),CHOOSE(ArtifactsInput!$N$22+1,10,12,14,16,18,20)*((0*(((0.15*B941*5))^0/1)+1*(((0.15*B941*5))^1/1)+2*(((0.15*B941*5))^2/2)+3*(((0.15*B941*5))^3/6)+4*(((0.15*B941*5))^4/24)+5*(((0.15*B941*5))^5/120))/((((0.15*B941*5))^0/1)+(((0.15*B941*5))^1/1)+(((0.15*B941*5))^2/2)+(((0.15*B941*5))^3/6)+(((0.15*B941*5))^4/24)+(((0.15*B941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908*(1-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908*(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908*(1-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908*(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08">
        <f>INDEX(FactorTable!$B$2:$Y$301, MATCH(ROUND(MIN(300,MAX(1,U907)),0), FactorTable!$A$2:$A$301,0), 24)</f>
        <v/>
      </c>
      <c r="V908">
        <f>IF(C908,(H908*N908*IF(AND(Inputs!$B$39&lt;&gt;"pvp",Inputs!$B$44&gt;0),((Skills!G3*((R908-1)*IF(Skills!H3&gt;0,Skills!I3/Skills!H3,1)+IF(Skills!H3&gt;0,MIN(Skills!I3,MAX(0,MAX(0,Inputs!$B$44-B950)-((R908-1)*IF(Inputs!$B$39="pvp",15,MAX(0.1,Skills!D3-IF(Skills!E3=TRUE,Inputs!$B$32,0))))))/Skills!H3,1)))/Inputs!$B$44),G908*Q908))*IF(Inputs!$B$39="pvp",1,(1+(Inputs!$B$21+Skills!Q3+B946+(IF(ArtifactsInput!$M$33,CHOOSE(ArtifactsInput!$N$33+1,30,36,42,48,54,60),0))+(IF(AND(ArtifactsInput!$M$35,Inputs!$B$4&lt;&gt;"Chapter Hunt"),CHOOSE(ArtifactsInput!$N$35+1,15,18,21,24,27,30)*(1-EXP(-(0.2*B941)*5)),0)+IF(AND(ArtifactsInput!$M$22,Inputs!$B$4&lt;&gt;"Chapter Hunt"),CHOOSE(ArtifactsInput!$N$22+1,10,12,14,16,18,20)*((0*(((0.15*B941*5))^0/1)+1*(((0.15*B941*5))^1/1)+2*(((0.15*B941*5))^2/2)+3*(((0.15*B941*5))^3/6)+4*(((0.15*B941*5))^4/24)+5*(((0.15*B941*5))^5/120))/((((0.15*B941*5))^0/1)+(((0.15*B941*5))^1/1)+(((0.15*B941*5))^2/2)+(((0.15*B941*5))^3/6)+(((0.15*B941*5))^4/24)+(((0.15*B941*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09">
      <c r="A909">
        <f>Skills!A4</f>
        <v/>
      </c>
      <c r="B909">
        <f>Skills!B4</f>
        <v/>
      </c>
      <c r="C909">
        <f>Inputs!$B$3&gt;=40</f>
        <v/>
      </c>
      <c r="D909">
        <f>IF(Skills!C4=1,60+Inputs!$B$25+Inputs!$B$29,IF(Skills!C4=2,90+(Inputs!$B$26+1)+Inputs!$B$29,IF(Skills!C4=3,120+Inputs!$B$27+Inputs!$B$29,MAX(0,(Inputs!$B$3-100)*3)+Inputs!$B$28+Inputs!$B$29)))</f>
        <v/>
      </c>
      <c r="E909">
        <f>INDEX(FactorTable!$B$2:$Y$301, MATCH(ROUND(MIN(300,MAX(1,D909)),0), FactorTable!$A$2:$A$301,0), Skills!M4+1)</f>
        <v/>
      </c>
      <c r="F909">
        <f>IF(Skills!N4=TRUE,(Skills!L4/10)*(E909/1000),Skills!L4/10)+Skills!O4</f>
        <v/>
      </c>
      <c r="G909">
        <f>Calc!G4</f>
        <v/>
      </c>
      <c r="H909">
        <f>Calc!H4</f>
        <v/>
      </c>
      <c r="I909">
        <f>IF(Skills!AA4&lt;&gt;"",1+(Skills!AA4/10)*(U908/1000)/100,1)</f>
        <v/>
      </c>
      <c r="J909">
        <f>((Inputs!$B$6*(1+Inputs!$B$7/100))+(((Inputs!$B$12*(1+Inputs!$B$13/100))-(Inputs!$B$12*(1+Inputs!$B$13/100)))+0.25*(Inputs!$B$14-Inputs!$B$14))*(1+Inputs!$B$7/100))*(F909/100)</f>
        <v/>
      </c>
      <c r="K909">
        <f>J909*(1+((Inputs!$B$12*(1+Inputs!$B$13/100))*0.01+Inputs!$B$14*0.0025)/100)*(1+Inputs!$B$15/100)*(1+Inputs!$B$16/100)*(5000/(6000+Inputs!$B$43*(1-(100*(1-(1-(Inputs!$B$19+0)/100)*(1-CHOOSE(ArtifactsInput!$N$40+1,5,6,7,8,9,10)/100)^(ArtifactsInput!$M$40-ArtifactsInput!$M$40)))/100)))*(1+(Inputs!$B$24+((C935=TRUE)*(F935-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928=TRUE)*(F928-Calc!F23))+(((IF(AND(ArtifactsInput!$M$42,((Inputs!$B$9+((C930=TRUE)*(F930-Calc!F25))+B945+(ArtifactsInput!$M$24-ArtifactsInput!$M$24)*CHOOSE(ArtifactsInput!$N$24+1,10,12,14,16,18,20)+IF(ArtifactsInput!$M$10,CHOOSE(ArtifactsInput!$N$10+1,15,18,21,24,27,30)*(IF(Inputs!$B$39="pvp",MIN(15,15)/15,IF(AND(Inputs!$B$39&lt;&gt;"pvp",Inputs!$B$44&gt;0),MIN(15,Inputs!$B$44)/(Inputs!$B$44),0))),0)))&gt;=100),MIN(100,((Inputs!$B$9+((C930=TRUE)*(F930-Calc!F25))+B945+(ArtifactsInput!$M$24-ArtifactsInput!$M$24)*CHOOSE(ArtifactsInput!$N$24+1,10,12,14,16,18,20)+IF(ArtifactsInput!$M$10,CHOOSE(ArtifactsInput!$N$10+1,15,18,21,24,27,30)*(IF(Inputs!$B$39="pvp",MIN(15,15)/15,IF(AND(Inputs!$B$39&lt;&gt;"pvp",Inputs!$B$44&gt;0),MIN(15,Inputs!$B$44)/(Inputs!$B$44),0))),0)))-100),0))*CHOOSE(ArtifactsInput!$N$42+1,0.6,0.72,0.84,0.96,1.08,1.2))),Inputs!$B$18+((C934=TRUE)*(F934-Calc!F29))+(IF(AND(ArtifactsInput!$M$42,((Inputs!$B$9+((C930=TRUE)*(F930-Calc!F25))+B945+(ArtifactsInput!$M$24-ArtifactsInput!$M$24)*CHOOSE(ArtifactsInput!$N$24+1,10,12,14,16,18,20)+IF(ArtifactsInput!$M$10,CHOOSE(ArtifactsInput!$N$10+1,15,18,21,24,27,30)*(IF(Inputs!$B$39="pvp",MIN(15,15)/15,IF(AND(Inputs!$B$39&lt;&gt;"pvp",Inputs!$B$44&gt;0),MIN(15,Inputs!$B$44)/(Inputs!$B$44),0))),0)))&gt;=100),CHOOSE(ArtifactsInput!$N$42+1,40,48,56,64,72,80),0))))/100)*(((1+(((C926=TRUE)*F926*IF(AND(Inputs!$B$39&lt;&gt;"pvp",Inputs!$B$44&gt;0),(((R926-1)*(Skills!Y21*(1+Inputs!$B$34/100))+MIN((Skills!Y21*(1+Inputs!$B$34/100)),MAX(0,Inputs!$B$44-((R926-1)*Skills!D21))))/Inputs!$B$44),IF(Inputs!$B$39="pvp",MIN((Skills!Y21*(1+Inputs!$B$34/100)),15)/15,(Skills!Y21*(1+Inputs!$B$34/100))/Skills!D21)))+((C933=TRUE)*(F933-Calc!F28))+((C923=TRUE)*(F923-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920=TRUE)*F920*IF(AND(Inputs!$B$39&lt;&gt;"pvp",Inputs!$B$44&gt;0),(((R920-1)*(Skills!Y15*(1+Inputs!$B$34/100))+MIN((Skills!Y15*(1+Inputs!$B$34/100)),MAX(0,Inputs!$B$44-((R920-1)*Skills!D15))))/Inputs!$B$44),IF(Inputs!$B$39="pvp",MIN((Skills!Y15*(1+Inputs!$B$34/100)),15)/15,(Skills!Y15*(1+Inputs!$B$34/100))/Skills!D15)))/100)*(1+((C911=TRUE)*F911*B939)/100))*B947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909)</f>
        <v/>
      </c>
      <c r="L909">
        <f>K909*(MIN(Inputs!$B$22+((C929=TRUE)*(F929-Calc!F24)),(Inputs!$B$23+0+(IF(ArtifactsInput!$M$15,CHOOSE(ArtifactsInput!$N$15+1,25,30,35,40,45,50)/100*(Inputs!$B$11-Inputs!$B$11),0))))/100+(Inputs!$B$23+0+(IF(ArtifactsInput!$M$15,CHOOSE(ArtifactsInput!$N$15+1,25,30,35,40,45,50)/100*(Inputs!$B$11-Inputs!$B$11),0)))/100)/2</f>
        <v/>
      </c>
      <c r="M909">
        <f>L909*(1+(Inputs!$B$10+((C931=TRUE)*(F931-Calc!F26))+B948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09">
        <f>L909*(1-MIN((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909*(MIN((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09">
        <f>(1-Summary!$B$11)*T909+Summary!$B$11*V909</f>
        <v/>
      </c>
      <c r="P909">
        <f>IF(B949=0,0,O909/B949)</f>
        <v/>
      </c>
      <c r="Q909">
        <f>IFERROR(1/IF(Inputs!$B$39="pvp",15,MAX(0.1,Skills!D4-IF(Skills!E4=TRUE,Inputs!$B$32,0))),0)</f>
        <v/>
      </c>
      <c r="R909">
        <f>IF(AND(Inputs!$B$39&lt;&gt;"pvp",Inputs!$B$44&gt;0),IF(MAX(0,Inputs!$B$44-B950)&lt;=0,0,(INT(MAX(0,Inputs!$B$44-B950)/IF(Inputs!$B$39="pvp",15,MAX(0.1,Skills!D4-IF(Skills!E4=TRUE,Inputs!$B$32,0))))+1)),0)</f>
        <v/>
      </c>
      <c r="S909">
        <f>IFERROR(O909/N909,0)</f>
        <v/>
      </c>
      <c r="T909">
        <f>IF(C909,(H909*N909*IF(AND(Inputs!$B$39&lt;&gt;"pvp",Inputs!$B$44&gt;0),((Skills!G4*((R909-1)*IF(Skills!H4&gt;0,Skills!I4/Skills!H4,1)+IF(Skills!H4&gt;0,MIN(Skills!I4,MAX(0,MAX(0,Inputs!$B$44-B950)-((R909-1)*IF(Inputs!$B$39="pvp",15,MAX(0.1,Skills!D4-IF(Skills!E4=TRUE,Inputs!$B$32,0))))))/Skills!H4,1)))/Inputs!$B$44),G909*Q909))*IF(Inputs!$B$39="pvp",1,1+(Inputs!$B$20+((C932=TRUE)*(F932-Calc!F27))+Skills!P4+B946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Hunt"),CHOOSE(ArtifactsInput!$N$35+1,15,18,21,24,27,30)*(1-EXP(-(0.2*B941)*5)),0)+IF(AND(ArtifactsInput!$M$22,Inputs!$B$4&lt;&gt;"Chapter Hunt"),CHOOSE(ArtifactsInput!$N$22+1,10,12,14,16,18,20)*((0*(((0.15*B941*5))^0/1)+1*(((0.15*B941*5))^1/1)+2*(((0.15*B941*5))^2/2)+3*(((0.15*B941*5))^3/6)+4*(((0.15*B941*5))^4/24)+5*(((0.15*B941*5))^5/120))/((((0.15*B941*5))^0/1)+(((0.15*B941*5))^1/1)+(((0.15*B941*5))^2/2)+(((0.15*B941*5))^3/6)+(((0.15*B941*5))^4/24)+(((0.15*B941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909*(1-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909*(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909*(1-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909*(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09">
        <f>MAX(0,(Inputs!$B$3-100)*3)+Inputs!$B$28+Inputs!$B$29</f>
        <v/>
      </c>
      <c r="V909">
        <f>IF(C909,(H909*N909*IF(AND(Inputs!$B$39&lt;&gt;"pvp",Inputs!$B$44&gt;0),((Skills!G4*((R909-1)*IF(Skills!H4&gt;0,Skills!I4/Skills!H4,1)+IF(Skills!H4&gt;0,MIN(Skills!I4,MAX(0,MAX(0,Inputs!$B$44-B950)-((R909-1)*IF(Inputs!$B$39="pvp",15,MAX(0.1,Skills!D4-IF(Skills!E4=TRUE,Inputs!$B$32,0))))))/Skills!H4,1)))/Inputs!$B$44),G909*Q909))*IF(Inputs!$B$39="pvp",1,(1+(Inputs!$B$21+Skills!Q4+B946+(IF(ArtifactsInput!$M$33,CHOOSE(ArtifactsInput!$N$33+1,30,36,42,48,54,60),0))+(IF(AND(ArtifactsInput!$M$35,Inputs!$B$4&lt;&gt;"Chapter Hunt"),CHOOSE(ArtifactsInput!$N$35+1,15,18,21,24,27,30)*(1-EXP(-(0.2*B941)*5)),0)+IF(AND(ArtifactsInput!$M$22,Inputs!$B$4&lt;&gt;"Chapter Hunt"),CHOOSE(ArtifactsInput!$N$22+1,10,12,14,16,18,20)*((0*(((0.15*B941*5))^0/1)+1*(((0.15*B941*5))^1/1)+2*(((0.15*B941*5))^2/2)+3*(((0.15*B941*5))^3/6)+4*(((0.15*B941*5))^4/24)+5*(((0.15*B941*5))^5/120))/((((0.15*B941*5))^0/1)+(((0.15*B941*5))^1/1)+(((0.15*B941*5))^2/2)+(((0.15*B941*5))^3/6)+(((0.15*B941*5))^4/24)+(((0.15*B941*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10">
      <c r="A910">
        <f>Skills!A5</f>
        <v/>
      </c>
      <c r="B910">
        <f>Skills!B5</f>
        <v/>
      </c>
      <c r="C910">
        <f>Inputs!$B$3&gt;=63</f>
        <v/>
      </c>
      <c r="D910">
        <f>IF(Skills!C5=1,60+Inputs!$B$25+Inputs!$B$29,IF(Skills!C5=2,90+(Inputs!$B$26+1)+Inputs!$B$29,IF(Skills!C5=3,120+Inputs!$B$27+Inputs!$B$29,MAX(0,(Inputs!$B$3-100)*3)+Inputs!$B$28+Inputs!$B$29)))</f>
        <v/>
      </c>
      <c r="E910">
        <f>INDEX(FactorTable!$B$2:$Y$301, MATCH(ROUND(MIN(300,MAX(1,D910)),0), FactorTable!$A$2:$A$301,0), Skills!M5+1)</f>
        <v/>
      </c>
      <c r="F910">
        <f>IF(Skills!N5=TRUE,(Skills!L5/10)*(E910/1000),Skills!L5/10)+Skills!O5</f>
        <v/>
      </c>
      <c r="G910">
        <f>Calc!G5</f>
        <v/>
      </c>
      <c r="H910">
        <f>Calc!H5</f>
        <v/>
      </c>
      <c r="I910">
        <f>IF(Skills!AA5&lt;&gt;"",1+(Skills!AA5/10)*(U908/1000)/100,1)</f>
        <v/>
      </c>
      <c r="J910">
        <f>((Inputs!$B$6*(1+Inputs!$B$7/100))+(((Inputs!$B$12*(1+Inputs!$B$13/100))-(Inputs!$B$12*(1+Inputs!$B$13/100)))+0.25*(Inputs!$B$14-Inputs!$B$14))*(1+Inputs!$B$7/100))*(F910/100)</f>
        <v/>
      </c>
      <c r="K910">
        <f>J910*(1+((Inputs!$B$12*(1+Inputs!$B$13/100))*0.01+Inputs!$B$14*0.0025)/100)*(1+Inputs!$B$15/100)*(1+Inputs!$B$16/100)*(5000/(6000+Inputs!$B$43*(1-(100*(1-(1-(Inputs!$B$19+0)/100)*(1-CHOOSE(ArtifactsInput!$N$40+1,5,6,7,8,9,10)/100)^(ArtifactsInput!$M$40-ArtifactsInput!$M$40)))/100)))*(1+(Inputs!$B$24+((C935=TRUE)*(F935-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928=TRUE)*(F928-Calc!F23))+(((IF(AND(ArtifactsInput!$M$42,((Inputs!$B$9+((C930=TRUE)*(F930-Calc!F25))+B945+(ArtifactsInput!$M$24-ArtifactsInput!$M$24)*CHOOSE(ArtifactsInput!$N$24+1,10,12,14,16,18,20)+IF(ArtifactsInput!$M$10,CHOOSE(ArtifactsInput!$N$10+1,15,18,21,24,27,30)*(IF(Inputs!$B$39="pvp",MIN(15,15)/15,IF(AND(Inputs!$B$39&lt;&gt;"pvp",Inputs!$B$44&gt;0),MIN(15,Inputs!$B$44)/(Inputs!$B$44),0))),0)))&gt;=100),MIN(100,((Inputs!$B$9+((C930=TRUE)*(F930-Calc!F25))+B945+(ArtifactsInput!$M$24-ArtifactsInput!$M$24)*CHOOSE(ArtifactsInput!$N$24+1,10,12,14,16,18,20)+IF(ArtifactsInput!$M$10,CHOOSE(ArtifactsInput!$N$10+1,15,18,21,24,27,30)*(IF(Inputs!$B$39="pvp",MIN(15,15)/15,IF(AND(Inputs!$B$39&lt;&gt;"pvp",Inputs!$B$44&gt;0),MIN(15,Inputs!$B$44)/(Inputs!$B$44),0))),0)))-100),0))*CHOOSE(ArtifactsInput!$N$42+1,0.6,0.72,0.84,0.96,1.08,1.2))),Inputs!$B$18+((C934=TRUE)*(F934-Calc!F29))+(IF(AND(ArtifactsInput!$M$42,((Inputs!$B$9+((C930=TRUE)*(F930-Calc!F25))+B945+(ArtifactsInput!$M$24-ArtifactsInput!$M$24)*CHOOSE(ArtifactsInput!$N$24+1,10,12,14,16,18,20)+IF(ArtifactsInput!$M$10,CHOOSE(ArtifactsInput!$N$10+1,15,18,21,24,27,30)*(IF(Inputs!$B$39="pvp",MIN(15,15)/15,IF(AND(Inputs!$B$39&lt;&gt;"pvp",Inputs!$B$44&gt;0),MIN(15,Inputs!$B$44)/(Inputs!$B$44),0))),0)))&gt;=100),CHOOSE(ArtifactsInput!$N$42+1,40,48,56,64,72,80),0))))/100)*(((1+(((C926=TRUE)*F926*IF(AND(Inputs!$B$39&lt;&gt;"pvp",Inputs!$B$44&gt;0),(((R926-1)*(Skills!Y21*(1+Inputs!$B$34/100))+MIN((Skills!Y21*(1+Inputs!$B$34/100)),MAX(0,Inputs!$B$44-((R926-1)*Skills!D21))))/Inputs!$B$44),IF(Inputs!$B$39="pvp",MIN((Skills!Y21*(1+Inputs!$B$34/100)),15)/15,(Skills!Y21*(1+Inputs!$B$34/100))/Skills!D21)))+((C933=TRUE)*(F933-Calc!F28))+((C923=TRUE)*(F923-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920=TRUE)*F920*IF(AND(Inputs!$B$39&lt;&gt;"pvp",Inputs!$B$44&gt;0),(((R920-1)*(Skills!Y15*(1+Inputs!$B$34/100))+MIN((Skills!Y15*(1+Inputs!$B$34/100)),MAX(0,Inputs!$B$44-((R920-1)*Skills!D15))))/Inputs!$B$44),IF(Inputs!$B$39="pvp",MIN((Skills!Y15*(1+Inputs!$B$34/100)),15)/15,(Skills!Y15*(1+Inputs!$B$34/100))/Skills!D15)))/100)*(1+((C911=TRUE)*F911*B939)/100))*B947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910)</f>
        <v/>
      </c>
      <c r="L910">
        <f>K910*(MIN(Inputs!$B$22+((C929=TRUE)*(F929-Calc!F24)),(Inputs!$B$23+0+(IF(ArtifactsInput!$M$15,CHOOSE(ArtifactsInput!$N$15+1,25,30,35,40,45,50)/100*(Inputs!$B$11-Inputs!$B$11),0))))/100+(Inputs!$B$23+0+(IF(ArtifactsInput!$M$15,CHOOSE(ArtifactsInput!$N$15+1,25,30,35,40,45,50)/100*(Inputs!$B$11-Inputs!$B$11),0)))/100)/2</f>
        <v/>
      </c>
      <c r="M910">
        <f>L910*(1+(Inputs!$B$10+((C931=TRUE)*(F931-Calc!F26))+B948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10">
        <f>L910*(1-MIN((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910*(MIN((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10">
        <f>(1-Summary!$B$11)*T910+Summary!$B$11*V910</f>
        <v/>
      </c>
      <c r="P910">
        <f>IF(B949=0,0,O910/B949)</f>
        <v/>
      </c>
      <c r="Q910">
        <f>IFERROR(1/IF(Inputs!$B$39="pvp",15,MAX(0.1,Skills!D5-IF(Skills!E5=TRUE,Inputs!$B$32,0))),0)</f>
        <v/>
      </c>
      <c r="R910">
        <f>IF(AND(Inputs!$B$39&lt;&gt;"pvp",Inputs!$B$44&gt;0),IF(MAX(0,Inputs!$B$44-B950)&lt;=0,0,(INT(MAX(0,Inputs!$B$44-B950)/IF(Inputs!$B$39="pvp",15,MAX(0.1,Skills!D5-IF(Skills!E5=TRUE,Inputs!$B$32,0))))+1)),0)</f>
        <v/>
      </c>
      <c r="S910">
        <f>IFERROR(O910/N910,0)</f>
        <v/>
      </c>
      <c r="T910">
        <f>IF(C910,(H910*N910*IF(AND(Inputs!$B$39&lt;&gt;"pvp",Inputs!$B$44&gt;0),((Skills!G5*((R910-1)*IF(Skills!H5&gt;0,Skills!I5/Skills!H5,1)+IF(Skills!H5&gt;0,MIN(Skills!I5,MAX(0,MAX(0,Inputs!$B$44-B950)-((R910-1)*IF(Inputs!$B$39="pvp",15,MAX(0.1,Skills!D5-IF(Skills!E5=TRUE,Inputs!$B$32,0))))))/Skills!H5,1)))/Inputs!$B$44),G910*Q910))*IF(Inputs!$B$39="pvp",1,1+(Inputs!$B$20+((C932=TRUE)*(F932-Calc!F27))+Skills!P5+B946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Hunt"),CHOOSE(ArtifactsInput!$N$35+1,15,18,21,24,27,30)*(1-EXP(-(0.2*B941)*5)),0)+IF(AND(ArtifactsInput!$M$22,Inputs!$B$4&lt;&gt;"Chapter Hunt"),CHOOSE(ArtifactsInput!$N$22+1,10,12,14,16,18,20)*((0*(((0.15*B941*5))^0/1)+1*(((0.15*B941*5))^1/1)+2*(((0.15*B941*5))^2/2)+3*(((0.15*B941*5))^3/6)+4*(((0.15*B941*5))^4/24)+5*(((0.15*B941*5))^5/120))/((((0.15*B941*5))^0/1)+(((0.15*B941*5))^1/1)+(((0.15*B941*5))^2/2)+(((0.15*B941*5))^3/6)+(((0.15*B941*5))^4/24)+(((0.15*B941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910*(1-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910*(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910*(1-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910*(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10">
        <f>INDEX(FactorTable!$B$2:$Y$301, MATCH(ROUND(MIN(300,MAX(1,U909)),0), FactorTable!$A$2:$A$301,0), 22)</f>
        <v/>
      </c>
      <c r="V910">
        <f>IF(C910,(H910*N910*IF(AND(Inputs!$B$39&lt;&gt;"pvp",Inputs!$B$44&gt;0),((Skills!G5*((R910-1)*IF(Skills!H5&gt;0,Skills!I5/Skills!H5,1)+IF(Skills!H5&gt;0,MIN(Skills!I5,MAX(0,MAX(0,Inputs!$B$44-B950)-((R910-1)*IF(Inputs!$B$39="pvp",15,MAX(0.1,Skills!D5-IF(Skills!E5=TRUE,Inputs!$B$32,0))))))/Skills!H5,1)))/Inputs!$B$44),G910*Q910))*IF(Inputs!$B$39="pvp",1,(1+(Inputs!$B$21+Skills!Q5+B946+(IF(ArtifactsInput!$M$33,CHOOSE(ArtifactsInput!$N$33+1,30,36,42,48,54,60),0))+(IF(AND(ArtifactsInput!$M$35,Inputs!$B$4&lt;&gt;"Chapter Hunt"),CHOOSE(ArtifactsInput!$N$35+1,15,18,21,24,27,30)*(1-EXP(-(0.2*B941)*5)),0)+IF(AND(ArtifactsInput!$M$22,Inputs!$B$4&lt;&gt;"Chapter Hunt"),CHOOSE(ArtifactsInput!$N$22+1,10,12,14,16,18,20)*((0*(((0.15*B941*5))^0/1)+1*(((0.15*B941*5))^1/1)+2*(((0.15*B941*5))^2/2)+3*(((0.15*B941*5))^3/6)+4*(((0.15*B941*5))^4/24)+5*(((0.15*B941*5))^5/120))/((((0.15*B941*5))^0/1)+(((0.15*B941*5))^1/1)+(((0.15*B941*5))^2/2)+(((0.15*B941*5))^3/6)+(((0.15*B941*5))^4/24)+(((0.15*B941*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11">
      <c r="A911">
        <f>Skills!A6</f>
        <v/>
      </c>
      <c r="B911">
        <f>Skills!B6</f>
        <v/>
      </c>
      <c r="C911">
        <f>Inputs!$B$3&gt;=66</f>
        <v/>
      </c>
      <c r="D911">
        <f>IF(Skills!C6=1,60+Inputs!$B$25+Inputs!$B$29,IF(Skills!C6=2,90+(Inputs!$B$26+1)+Inputs!$B$29,IF(Skills!C6=3,120+Inputs!$B$27+Inputs!$B$29,MAX(0,(Inputs!$B$3-100)*3)+Inputs!$B$28+Inputs!$B$29)))</f>
        <v/>
      </c>
      <c r="E911">
        <f>INDEX(FactorTable!$B$2:$Y$301, MATCH(ROUND(MIN(300,MAX(1,D911)),0), FactorTable!$A$2:$A$301,0), Skills!M6+1)</f>
        <v/>
      </c>
      <c r="F911">
        <f>IF(Skills!N6=TRUE,(Skills!L6/10)*(E911/1000),Skills!L6/10)+Skills!O6</f>
        <v/>
      </c>
      <c r="G911">
        <f>Calc!G6</f>
        <v/>
      </c>
      <c r="H911">
        <f>Calc!H6</f>
        <v/>
      </c>
      <c r="I911">
        <f>IF(Skills!AA6&lt;&gt;"",1+(Skills!AA6/10)*(U908/1000)/100,1)</f>
        <v/>
      </c>
      <c r="J911" t="inlineStr"/>
      <c r="K911" t="inlineStr"/>
      <c r="L911" t="inlineStr"/>
      <c r="M911" t="inlineStr"/>
      <c r="N911" t="inlineStr"/>
      <c r="O911">
        <f>(1-Summary!$B$11)*T911+Summary!$B$11*V911</f>
        <v/>
      </c>
      <c r="P911">
        <f>IF(B949=0,0,O911/B949)</f>
        <v/>
      </c>
      <c r="Q911" t="n">
        <v>0</v>
      </c>
      <c r="R911" t="n">
        <v>0</v>
      </c>
      <c r="S911">
        <f>IFERROR(O911/N911,0)</f>
        <v/>
      </c>
      <c r="T911" t="n">
        <v>0</v>
      </c>
      <c r="U911">
        <f>290*U910/1000</f>
        <v/>
      </c>
      <c r="V911" t="n">
        <v>0</v>
      </c>
    </row>
    <row r="912">
      <c r="A912">
        <f>Skills!A7</f>
        <v/>
      </c>
      <c r="B912">
        <f>Skills!B7</f>
        <v/>
      </c>
      <c r="C912">
        <f>Inputs!$B$3&gt;=66</f>
        <v/>
      </c>
      <c r="D912">
        <f>IF(Skills!C7=1,60+Inputs!$B$25+Inputs!$B$29,IF(Skills!C7=2,90+(Inputs!$B$26+1)+Inputs!$B$29,IF(Skills!C7=3,120+Inputs!$B$27+Inputs!$B$29,MAX(0,(Inputs!$B$3-100)*3)+Inputs!$B$28+Inputs!$B$29)))</f>
        <v/>
      </c>
      <c r="E912">
        <f>INDEX(FactorTable!$B$2:$Y$301, MATCH(ROUND(MIN(300,MAX(1,D912)),0), FactorTable!$A$2:$A$301,0), Skills!M7+1)</f>
        <v/>
      </c>
      <c r="F912">
        <f>IF(Skills!N7=TRUE,(Skills!L7/10)*(E912/1000),Skills!L7/10)+Skills!O7</f>
        <v/>
      </c>
      <c r="G912">
        <f>Calc!G7</f>
        <v/>
      </c>
      <c r="H912">
        <f>Calc!H7</f>
        <v/>
      </c>
      <c r="I912">
        <f>IF(Skills!AA7&lt;&gt;"",1+(Skills!AA7/10)*(U908/1000)/100,1)</f>
        <v/>
      </c>
      <c r="J912" t="inlineStr"/>
      <c r="K912" t="inlineStr"/>
      <c r="L912" t="inlineStr"/>
      <c r="M912" t="inlineStr"/>
      <c r="N912" t="inlineStr"/>
      <c r="O912">
        <f>(1-Summary!$B$11)*T912+Summary!$B$11*V912</f>
        <v/>
      </c>
      <c r="P912">
        <f>IF(B949=0,0,O912/B949)</f>
        <v/>
      </c>
      <c r="Q912" t="n">
        <v>0</v>
      </c>
      <c r="R912" t="n">
        <v>0</v>
      </c>
      <c r="S912">
        <f>IFERROR(O912/N912,0)</f>
        <v/>
      </c>
      <c r="T912" t="n">
        <v>0</v>
      </c>
      <c r="V912" t="n">
        <v>0</v>
      </c>
    </row>
    <row r="913">
      <c r="A913">
        <f>Skills!A8</f>
        <v/>
      </c>
      <c r="B913">
        <f>Skills!B8</f>
        <v/>
      </c>
      <c r="C913">
        <f>Inputs!$B$3&gt;=69</f>
        <v/>
      </c>
      <c r="D913">
        <f>IF(Skills!C8=1,60+Inputs!$B$25+Inputs!$B$29,IF(Skills!C8=2,90+(Inputs!$B$26+1)+Inputs!$B$29,IF(Skills!C8=3,120+Inputs!$B$27+Inputs!$B$29,MAX(0,(Inputs!$B$3-100)*3)+Inputs!$B$28+Inputs!$B$29)))</f>
        <v/>
      </c>
      <c r="E913">
        <f>INDEX(FactorTable!$B$2:$Y$301, MATCH(ROUND(MIN(300,MAX(1,D913)),0), FactorTable!$A$2:$A$301,0), Skills!M8+1)</f>
        <v/>
      </c>
      <c r="F913">
        <f>IF(Skills!N8=TRUE,(Skills!L8/10)*(E913/1000),Skills!L8/10)+Skills!O8</f>
        <v/>
      </c>
      <c r="G913">
        <f>Calc!G8</f>
        <v/>
      </c>
      <c r="H913">
        <f>Calc!H8</f>
        <v/>
      </c>
      <c r="I913">
        <f>IF(Skills!AA8&lt;&gt;"",1+(Skills!AA8/10)*(U908/1000)/100,1)</f>
        <v/>
      </c>
      <c r="J913">
        <f>((Inputs!$B$6*(1+Inputs!$B$7/100))+(((Inputs!$B$12*(1+Inputs!$B$13/100))-(Inputs!$B$12*(1+Inputs!$B$13/100)))+0.25*(Inputs!$B$14-Inputs!$B$14))*(1+Inputs!$B$7/100))*(F913/100)</f>
        <v/>
      </c>
      <c r="K913">
        <f>J913*(1+((Inputs!$B$12*(1+Inputs!$B$13/100))*0.01+Inputs!$B$14*0.0025)/100)*(1+Inputs!$B$15/100)*(1+Inputs!$B$16/100)*(5000/(6000+Inputs!$B$43*(1-(100*(1-(1-(Inputs!$B$19+0)/100)*(1-CHOOSE(ArtifactsInput!$N$40+1,5,6,7,8,9,10)/100)^(ArtifactsInput!$M$40-ArtifactsInput!$M$40)))/100)))*(1+(Inputs!$B$24+((C935=TRUE)*(F935-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928=TRUE)*(F928-Calc!F23))+(((IF(AND(ArtifactsInput!$M$42,((Inputs!$B$9+((C930=TRUE)*(F930-Calc!F25))+B945+(ArtifactsInput!$M$24-ArtifactsInput!$M$24)*CHOOSE(ArtifactsInput!$N$24+1,10,12,14,16,18,20)+IF(ArtifactsInput!$M$10,CHOOSE(ArtifactsInput!$N$10+1,15,18,21,24,27,30)*(IF(Inputs!$B$39="pvp",MIN(15,15)/15,IF(AND(Inputs!$B$39&lt;&gt;"pvp",Inputs!$B$44&gt;0),MIN(15,Inputs!$B$44)/(Inputs!$B$44),0))),0)))&gt;=100),MIN(100,((Inputs!$B$9+((C930=TRUE)*(F930-Calc!F25))+B945+(ArtifactsInput!$M$24-ArtifactsInput!$M$24)*CHOOSE(ArtifactsInput!$N$24+1,10,12,14,16,18,20)+IF(ArtifactsInput!$M$10,CHOOSE(ArtifactsInput!$N$10+1,15,18,21,24,27,30)*(IF(Inputs!$B$39="pvp",MIN(15,15)/15,IF(AND(Inputs!$B$39&lt;&gt;"pvp",Inputs!$B$44&gt;0),MIN(15,Inputs!$B$44)/(Inputs!$B$44),0))),0)))-100),0))*CHOOSE(ArtifactsInput!$N$42+1,0.6,0.72,0.84,0.96,1.08,1.2))),Inputs!$B$18+((C934=TRUE)*(F934-Calc!F29))+(IF(AND(ArtifactsInput!$M$42,((Inputs!$B$9+((C930=TRUE)*(F930-Calc!F25))+B945+(ArtifactsInput!$M$24-ArtifactsInput!$M$24)*CHOOSE(ArtifactsInput!$N$24+1,10,12,14,16,18,20)+IF(ArtifactsInput!$M$10,CHOOSE(ArtifactsInput!$N$10+1,15,18,21,24,27,30)*(IF(Inputs!$B$39="pvp",MIN(15,15)/15,IF(AND(Inputs!$B$39&lt;&gt;"pvp",Inputs!$B$44&gt;0),MIN(15,Inputs!$B$44)/(Inputs!$B$44),0))),0)))&gt;=100),CHOOSE(ArtifactsInput!$N$42+1,40,48,56,64,72,80),0))))/100)*(((1+(((C926=TRUE)*F926*IF(AND(Inputs!$B$39&lt;&gt;"pvp",Inputs!$B$44&gt;0),(((R926-1)*(Skills!Y21*(1+Inputs!$B$34/100))+MIN((Skills!Y21*(1+Inputs!$B$34/100)),MAX(0,Inputs!$B$44-((R926-1)*Skills!D21))))/Inputs!$B$44),IF(Inputs!$B$39="pvp",MIN((Skills!Y21*(1+Inputs!$B$34/100)),15)/15,(Skills!Y21*(1+Inputs!$B$34/100))/Skills!D21)))+((C933=TRUE)*(F933-Calc!F28))+((C923=TRUE)*(F923-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920=TRUE)*F920*IF(AND(Inputs!$B$39&lt;&gt;"pvp",Inputs!$B$44&gt;0),(((R920-1)*(Skills!Y15*(1+Inputs!$B$34/100))+MIN((Skills!Y15*(1+Inputs!$B$34/100)),MAX(0,Inputs!$B$44-((R920-1)*Skills!D15))))/Inputs!$B$44),IF(Inputs!$B$39="pvp",MIN((Skills!Y15*(1+Inputs!$B$34/100)),15)/15,(Skills!Y15*(1+Inputs!$B$34/100))/Skills!D15)))/100)*(1+((C911=TRUE)*F911*B939)/100))*B947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913)</f>
        <v/>
      </c>
      <c r="L913">
        <f>K913*(MIN(Inputs!$B$22+((C929=TRUE)*(F929-Calc!F24)),(Inputs!$B$23+0+(IF(ArtifactsInput!$M$15,CHOOSE(ArtifactsInput!$N$15+1,25,30,35,40,45,50)/100*(Inputs!$B$11-Inputs!$B$11),0))))/100+(Inputs!$B$23+0+(IF(ArtifactsInput!$M$15,CHOOSE(ArtifactsInput!$N$15+1,25,30,35,40,45,50)/100*(Inputs!$B$11-Inputs!$B$11),0)))/100)/2</f>
        <v/>
      </c>
      <c r="M913">
        <f>L913*(1+(Inputs!$B$10+((C931=TRUE)*(F931-Calc!F26))+B948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13">
        <f>L913*(1-MIN((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913*(MIN((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13">
        <f>(1-Summary!$B$11)*T913+Summary!$B$11*V913</f>
        <v/>
      </c>
      <c r="P913">
        <f>IF(B949=0,0,O913/B949)</f>
        <v/>
      </c>
      <c r="Q913">
        <f>IFERROR(1/IF(Inputs!$B$39="pvp",15,MAX(0.1,Skills!D8-IF(Skills!E8=TRUE,Inputs!$B$32,0))),0)</f>
        <v/>
      </c>
      <c r="R913">
        <f>IF(AND(Inputs!$B$39&lt;&gt;"pvp",Inputs!$B$44&gt;0),IF(MAX(0,Inputs!$B$44-B950)&lt;=0,0,(INT(MAX(0,Inputs!$B$44-B950)/IF(Inputs!$B$39="pvp",15,MAX(0.1,Skills!D8-IF(Skills!E8=TRUE,Inputs!$B$32,0))))+1)),0)</f>
        <v/>
      </c>
      <c r="S913">
        <f>IFERROR(O913/N913,0)</f>
        <v/>
      </c>
      <c r="T913">
        <f>IF(C913,(H913*N913*IF(AND(Inputs!$B$39&lt;&gt;"pvp",Inputs!$B$44&gt;0),((Skills!G8*((R913-1)*IF(Skills!H8&gt;0,Skills!I8/Skills!H8,1)+IF(Skills!H8&gt;0,MIN(Skills!I8,MAX(0,MAX(0,Inputs!$B$44-B950)-((R913-1)*IF(Inputs!$B$39="pvp",15,MAX(0.1,Skills!D8-IF(Skills!E8=TRUE,Inputs!$B$32,0))))))/Skills!H8,1)))/Inputs!$B$44),G913*Q913))*IF(Inputs!$B$39="pvp",1,1+(Inputs!$B$20+((C932=TRUE)*(F932-Calc!F27))+Skills!P8+B946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Hunt"),CHOOSE(ArtifactsInput!$N$35+1,15,18,21,24,27,30)*(1-EXP(-(0.2*B941)*5)),0)+IF(AND(ArtifactsInput!$M$22,Inputs!$B$4&lt;&gt;"Chapter Hunt"),CHOOSE(ArtifactsInput!$N$22+1,10,12,14,16,18,20)*((0*(((0.15*B941*5))^0/1)+1*(((0.15*B941*5))^1/1)+2*(((0.15*B941*5))^2/2)+3*(((0.15*B941*5))^3/6)+4*(((0.15*B941*5))^4/24)+5*(((0.15*B941*5))^5/120))/((((0.15*B941*5))^0/1)+(((0.15*B941*5))^1/1)+(((0.15*B941*5))^2/2)+(((0.15*B941*5))^3/6)+(((0.15*B941*5))^4/24)+(((0.15*B941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913*(1-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913*(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913*(1-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913*(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13">
        <f>IF(C913,(H913*N913*IF(AND(Inputs!$B$39&lt;&gt;"pvp",Inputs!$B$44&gt;0),((Skills!G8*((R913-1)*IF(Skills!H8&gt;0,Skills!I8/Skills!H8,1)+IF(Skills!H8&gt;0,MIN(Skills!I8,MAX(0,MAX(0,Inputs!$B$44-B950)-((R913-1)*IF(Inputs!$B$39="pvp",15,MAX(0.1,Skills!D8-IF(Skills!E8=TRUE,Inputs!$B$32,0))))))/Skills!H8,1)))/Inputs!$B$44),G913*Q913))*IF(Inputs!$B$39="pvp",1,(1+(Inputs!$B$21+Skills!Q8+B946+(IF(ArtifactsInput!$M$33,CHOOSE(ArtifactsInput!$N$33+1,30,36,42,48,54,60),0))+(IF(AND(ArtifactsInput!$M$35,Inputs!$B$4&lt;&gt;"Chapter Hunt"),CHOOSE(ArtifactsInput!$N$35+1,15,18,21,24,27,30)*(1-EXP(-(0.2*B941)*5)),0)+IF(AND(ArtifactsInput!$M$22,Inputs!$B$4&lt;&gt;"Chapter Hunt"),CHOOSE(ArtifactsInput!$N$22+1,10,12,14,16,18,20)*((0*(((0.15*B941*5))^0/1)+1*(((0.15*B941*5))^1/1)+2*(((0.15*B941*5))^2/2)+3*(((0.15*B941*5))^3/6)+4*(((0.15*B941*5))^4/24)+5*(((0.15*B941*5))^5/120))/((((0.15*B941*5))^0/1)+(((0.15*B941*5))^1/1)+(((0.15*B941*5))^2/2)+(((0.15*B941*5))^3/6)+(((0.15*B941*5))^4/24)+(((0.15*B941*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14">
      <c r="A914">
        <f>Skills!A9</f>
        <v/>
      </c>
      <c r="B914">
        <f>Skills!B9</f>
        <v/>
      </c>
      <c r="C914">
        <f>Inputs!$B$3&gt;=72</f>
        <v/>
      </c>
      <c r="D914">
        <f>IF(Skills!C9=1,60+Inputs!$B$25+Inputs!$B$29,IF(Skills!C9=2,90+(Inputs!$B$26+1)+Inputs!$B$29,IF(Skills!C9=3,120+Inputs!$B$27+Inputs!$B$29,MAX(0,(Inputs!$B$3-100)*3)+Inputs!$B$28+Inputs!$B$29)))</f>
        <v/>
      </c>
      <c r="E914">
        <f>INDEX(FactorTable!$B$2:$Y$301, MATCH(ROUND(MIN(300,MAX(1,D914)),0), FactorTable!$A$2:$A$301,0), Skills!M9+1)</f>
        <v/>
      </c>
      <c r="F914">
        <f>IF(Skills!N9=TRUE,(Skills!L9/10)*(E914/1000),Skills!L9/10)+Skills!O9</f>
        <v/>
      </c>
      <c r="G914">
        <f>Calc!G9</f>
        <v/>
      </c>
      <c r="H914">
        <f>Calc!H9</f>
        <v/>
      </c>
      <c r="I914">
        <f>IF(Skills!AA9&lt;&gt;"",1+(Skills!AA9/10)*(U908/1000)/100,1)</f>
        <v/>
      </c>
      <c r="J914">
        <f>((Inputs!$B$6*(1+Inputs!$B$7/100))+(((Inputs!$B$12*(1+Inputs!$B$13/100))-(Inputs!$B$12*(1+Inputs!$B$13/100)))+0.25*(Inputs!$B$14-Inputs!$B$14))*(1+Inputs!$B$7/100))*(F914/100)</f>
        <v/>
      </c>
      <c r="K914">
        <f>J914*(1+((Inputs!$B$12*(1+Inputs!$B$13/100))*0.01+Inputs!$B$14*0.0025)/100)*(1+Inputs!$B$15/100)*(1+Inputs!$B$16/100)*(5000/(6000+Inputs!$B$43*(1-(100*(1-(1-(Inputs!$B$19+0)/100)*(1-CHOOSE(ArtifactsInput!$N$40+1,5,6,7,8,9,10)/100)^(ArtifactsInput!$M$40-ArtifactsInput!$M$40)))/100)))*(1+(Inputs!$B$24+((C935=TRUE)*(F935-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928=TRUE)*(F928-Calc!F23))+(((IF(AND(ArtifactsInput!$M$42,((Inputs!$B$9+((C930=TRUE)*(F930-Calc!F25))+B945+(ArtifactsInput!$M$24-ArtifactsInput!$M$24)*CHOOSE(ArtifactsInput!$N$24+1,10,12,14,16,18,20)+IF(ArtifactsInput!$M$10,CHOOSE(ArtifactsInput!$N$10+1,15,18,21,24,27,30)*(IF(Inputs!$B$39="pvp",MIN(15,15)/15,IF(AND(Inputs!$B$39&lt;&gt;"pvp",Inputs!$B$44&gt;0),MIN(15,Inputs!$B$44)/(Inputs!$B$44),0))),0)))&gt;=100),MIN(100,((Inputs!$B$9+((C930=TRUE)*(F930-Calc!F25))+B945+(ArtifactsInput!$M$24-ArtifactsInput!$M$24)*CHOOSE(ArtifactsInput!$N$24+1,10,12,14,16,18,20)+IF(ArtifactsInput!$M$10,CHOOSE(ArtifactsInput!$N$10+1,15,18,21,24,27,30)*(IF(Inputs!$B$39="pvp",MIN(15,15)/15,IF(AND(Inputs!$B$39&lt;&gt;"pvp",Inputs!$B$44&gt;0),MIN(15,Inputs!$B$44)/(Inputs!$B$44),0))),0)))-100),0))*CHOOSE(ArtifactsInput!$N$42+1,0.6,0.72,0.84,0.96,1.08,1.2))),Inputs!$B$18+((C934=TRUE)*(F934-Calc!F29))+(IF(AND(ArtifactsInput!$M$42,((Inputs!$B$9+((C930=TRUE)*(F930-Calc!F25))+B945+(ArtifactsInput!$M$24-ArtifactsInput!$M$24)*CHOOSE(ArtifactsInput!$N$24+1,10,12,14,16,18,20)+IF(ArtifactsInput!$M$10,CHOOSE(ArtifactsInput!$N$10+1,15,18,21,24,27,30)*(IF(Inputs!$B$39="pvp",MIN(15,15)/15,IF(AND(Inputs!$B$39&lt;&gt;"pvp",Inputs!$B$44&gt;0),MIN(15,Inputs!$B$44)/(Inputs!$B$44),0))),0)))&gt;=100),CHOOSE(ArtifactsInput!$N$42+1,40,48,56,64,72,80),0))))/100)*(((1+(((C926=TRUE)*F926*IF(AND(Inputs!$B$39&lt;&gt;"pvp",Inputs!$B$44&gt;0),(((R926-1)*(Skills!Y21*(1+Inputs!$B$34/100))+MIN((Skills!Y21*(1+Inputs!$B$34/100)),MAX(0,Inputs!$B$44-((R926-1)*Skills!D21))))/Inputs!$B$44),IF(Inputs!$B$39="pvp",MIN((Skills!Y21*(1+Inputs!$B$34/100)),15)/15,(Skills!Y21*(1+Inputs!$B$34/100))/Skills!D21)))+((C933=TRUE)*(F933-Calc!F28))+((C923=TRUE)*(F923-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920=TRUE)*F920*IF(AND(Inputs!$B$39&lt;&gt;"pvp",Inputs!$B$44&gt;0),(((R920-1)*(Skills!Y15*(1+Inputs!$B$34/100))+MIN((Skills!Y15*(1+Inputs!$B$34/100)),MAX(0,Inputs!$B$44-((R920-1)*Skills!D15))))/Inputs!$B$44),IF(Inputs!$B$39="pvp",MIN((Skills!Y15*(1+Inputs!$B$34/100)),15)/15,(Skills!Y15*(1+Inputs!$B$34/100))/Skills!D15)))/100)*(1+((C911=TRUE)*F911*B939)/100))*B947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914)</f>
        <v/>
      </c>
      <c r="L914">
        <f>K914*(MIN(Inputs!$B$22+((C929=TRUE)*(F929-Calc!F24)),(Inputs!$B$23+0+(IF(ArtifactsInput!$M$15,CHOOSE(ArtifactsInput!$N$15+1,25,30,35,40,45,50)/100*(Inputs!$B$11-Inputs!$B$11),0))))/100+(Inputs!$B$23+0+(IF(ArtifactsInput!$M$15,CHOOSE(ArtifactsInput!$N$15+1,25,30,35,40,45,50)/100*(Inputs!$B$11-Inputs!$B$11),0)))/100)/2</f>
        <v/>
      </c>
      <c r="M914">
        <f>L914*(1+(Inputs!$B$10+((C931=TRUE)*(F931-Calc!F26))+B948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14">
        <f>L914*(1-MIN((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914*(MIN((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14">
        <f>(1-Summary!$B$11)*T914+Summary!$B$11*V914</f>
        <v/>
      </c>
      <c r="P914">
        <f>IF(B949=0,0,O914/B949)</f>
        <v/>
      </c>
      <c r="Q914">
        <f>IFERROR(1/IF(Inputs!$B$39="pvp",15,MAX(0.1,Skills!D9-IF(Skills!E9=TRUE,Inputs!$B$32,0))),0)</f>
        <v/>
      </c>
      <c r="R914">
        <f>IF(AND(Inputs!$B$39&lt;&gt;"pvp",Inputs!$B$44&gt;0),IF(MAX(0,Inputs!$B$44-B950)&lt;=0,0,(INT(MAX(0,Inputs!$B$44-B950)/IF(Inputs!$B$39="pvp",15,MAX(0.1,Skills!D9-IF(Skills!E9=TRUE,Inputs!$B$32,0))))+1)),0)</f>
        <v/>
      </c>
      <c r="S914">
        <f>IFERROR(O914/N914,0)</f>
        <v/>
      </c>
      <c r="T914">
        <f>IF(C914,(H914*N914*IF(AND(Inputs!$B$39&lt;&gt;"pvp",Inputs!$B$44&gt;0),((Skills!G9*((R914-1)*IF(Skills!H9&gt;0,Skills!I9/Skills!H9,1)+IF(Skills!H9&gt;0,MIN(Skills!I9,MAX(0,MAX(0,Inputs!$B$44-B950)-((R914-1)*IF(Inputs!$B$39="pvp",15,MAX(0.1,Skills!D9-IF(Skills!E9=TRUE,Inputs!$B$32,0))))))/Skills!H9,1)))/Inputs!$B$44),G914*Q914))*IF(Inputs!$B$39="pvp",1,1+(Inputs!$B$20+((C932=TRUE)*(F932-Calc!F27))+Skills!P9+B946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Hunt"),CHOOSE(ArtifactsInput!$N$35+1,15,18,21,24,27,30)*(1-EXP(-(0.2*B941)*5)),0)+IF(AND(ArtifactsInput!$M$22,Inputs!$B$4&lt;&gt;"Chapter Hunt"),CHOOSE(ArtifactsInput!$N$22+1,10,12,14,16,18,20)*((0*(((0.15*B941*5))^0/1)+1*(((0.15*B941*5))^1/1)+2*(((0.15*B941*5))^2/2)+3*(((0.15*B941*5))^3/6)+4*(((0.15*B941*5))^4/24)+5*(((0.15*B941*5))^5/120))/((((0.15*B941*5))^0/1)+(((0.15*B941*5))^1/1)+(((0.15*B941*5))^2/2)+(((0.15*B941*5))^3/6)+(((0.15*B941*5))^4/24)+(((0.15*B941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914*(1-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914*(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914*(1-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914*(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14">
        <f>IF(C914,(H914*N914*IF(AND(Inputs!$B$39&lt;&gt;"pvp",Inputs!$B$44&gt;0),((Skills!G9*((R914-1)*IF(Skills!H9&gt;0,Skills!I9/Skills!H9,1)+IF(Skills!H9&gt;0,MIN(Skills!I9,MAX(0,MAX(0,Inputs!$B$44-B950)-((R914-1)*IF(Inputs!$B$39="pvp",15,MAX(0.1,Skills!D9-IF(Skills!E9=TRUE,Inputs!$B$32,0))))))/Skills!H9,1)))/Inputs!$B$44),G914*Q914))*IF(Inputs!$B$39="pvp",1,(1+(Inputs!$B$21+Skills!Q9+B946+(IF(ArtifactsInput!$M$33,CHOOSE(ArtifactsInput!$N$33+1,30,36,42,48,54,60),0))+(IF(AND(ArtifactsInput!$M$35,Inputs!$B$4&lt;&gt;"Chapter Hunt"),CHOOSE(ArtifactsInput!$N$35+1,15,18,21,24,27,30)*(1-EXP(-(0.2*B941)*5)),0)+IF(AND(ArtifactsInput!$M$22,Inputs!$B$4&lt;&gt;"Chapter Hunt"),CHOOSE(ArtifactsInput!$N$22+1,10,12,14,16,18,20)*((0*(((0.15*B941*5))^0/1)+1*(((0.15*B941*5))^1/1)+2*(((0.15*B941*5))^2/2)+3*(((0.15*B941*5))^3/6)+4*(((0.15*B941*5))^4/24)+5*(((0.15*B941*5))^5/120))/((((0.15*B941*5))^0/1)+(((0.15*B941*5))^1/1)+(((0.15*B941*5))^2/2)+(((0.15*B941*5))^3/6)+(((0.15*B941*5))^4/24)+(((0.15*B941*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15">
      <c r="A915">
        <f>Skills!A10</f>
        <v/>
      </c>
      <c r="B915">
        <f>Skills!B10</f>
        <v/>
      </c>
      <c r="C915">
        <f>Inputs!$B$3&gt;=117</f>
        <v/>
      </c>
      <c r="D915">
        <f>IF(Skills!C10=1,60+Inputs!$B$25+Inputs!$B$29,IF(Skills!C10=2,90+(Inputs!$B$26+1)+Inputs!$B$29,IF(Skills!C10=3,120+Inputs!$B$27+Inputs!$B$29,MAX(0,(Inputs!$B$3-100)*3)+Inputs!$B$28+Inputs!$B$29)))</f>
        <v/>
      </c>
      <c r="E915">
        <f>INDEX(FactorTable!$B$2:$Y$301, MATCH(ROUND(MIN(300,MAX(1,D915)),0), FactorTable!$A$2:$A$301,0), Skills!M10+1)</f>
        <v/>
      </c>
      <c r="F915">
        <f>IF(Skills!N10=TRUE,(Skills!L10/10)*(E915/1000),Skills!L10/10)+Skills!O10</f>
        <v/>
      </c>
      <c r="G915">
        <f>Calc!G10</f>
        <v/>
      </c>
      <c r="H915">
        <f>Calc!H10</f>
        <v/>
      </c>
      <c r="I915">
        <f>IF(Skills!AA10&lt;&gt;"",1+(Skills!AA10/10)*(U908/1000)/100,1)</f>
        <v/>
      </c>
      <c r="J915">
        <f>((Inputs!$B$6*(1+Inputs!$B$7/100))+(((Inputs!$B$12*(1+Inputs!$B$13/100))-(Inputs!$B$12*(1+Inputs!$B$13/100)))+0.25*(Inputs!$B$14-Inputs!$B$14))*(1+Inputs!$B$7/100))*(F915/100)</f>
        <v/>
      </c>
      <c r="K915">
        <f>J915*(1+((Inputs!$B$12*(1+Inputs!$B$13/100))*0.01+Inputs!$B$14*0.0025)/100)*(1+Inputs!$B$15/100)*(1+Inputs!$B$16/100)*(5000/(6000+Inputs!$B$43*(1-(100*(1-(1-(Inputs!$B$19+0)/100)*(1-CHOOSE(ArtifactsInput!$N$40+1,5,6,7,8,9,10)/100)^(ArtifactsInput!$M$40-ArtifactsInput!$M$40)))/100)))*(1+(Inputs!$B$24+((C935=TRUE)*(F935-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928=TRUE)*(F928-Calc!F23))+(((IF(AND(ArtifactsInput!$M$42,((Inputs!$B$9+((C930=TRUE)*(F930-Calc!F25))+B945+(ArtifactsInput!$M$24-ArtifactsInput!$M$24)*CHOOSE(ArtifactsInput!$N$24+1,10,12,14,16,18,20)+IF(ArtifactsInput!$M$10,CHOOSE(ArtifactsInput!$N$10+1,15,18,21,24,27,30)*(IF(Inputs!$B$39="pvp",MIN(15,15)/15,IF(AND(Inputs!$B$39&lt;&gt;"pvp",Inputs!$B$44&gt;0),MIN(15,Inputs!$B$44)/(Inputs!$B$44),0))),0)))&gt;=100),MIN(100,((Inputs!$B$9+((C930=TRUE)*(F930-Calc!F25))+B945+(ArtifactsInput!$M$24-ArtifactsInput!$M$24)*CHOOSE(ArtifactsInput!$N$24+1,10,12,14,16,18,20)+IF(ArtifactsInput!$M$10,CHOOSE(ArtifactsInput!$N$10+1,15,18,21,24,27,30)*(IF(Inputs!$B$39="pvp",MIN(15,15)/15,IF(AND(Inputs!$B$39&lt;&gt;"pvp",Inputs!$B$44&gt;0),MIN(15,Inputs!$B$44)/(Inputs!$B$44),0))),0)))-100),0))*CHOOSE(ArtifactsInput!$N$42+1,0.6,0.72,0.84,0.96,1.08,1.2))),Inputs!$B$18+((C934=TRUE)*(F934-Calc!F29))+(IF(AND(ArtifactsInput!$M$42,((Inputs!$B$9+((C930=TRUE)*(F930-Calc!F25))+B945+(ArtifactsInput!$M$24-ArtifactsInput!$M$24)*CHOOSE(ArtifactsInput!$N$24+1,10,12,14,16,18,20)+IF(ArtifactsInput!$M$10,CHOOSE(ArtifactsInput!$N$10+1,15,18,21,24,27,30)*(IF(Inputs!$B$39="pvp",MIN(15,15)/15,IF(AND(Inputs!$B$39&lt;&gt;"pvp",Inputs!$B$44&gt;0),MIN(15,Inputs!$B$44)/(Inputs!$B$44),0))),0)))&gt;=100),CHOOSE(ArtifactsInput!$N$42+1,40,48,56,64,72,80),0))))/100)*(((1+(((C926=TRUE)*F926*IF(AND(Inputs!$B$39&lt;&gt;"pvp",Inputs!$B$44&gt;0),(((R926-1)*(Skills!Y21*(1+Inputs!$B$34/100))+MIN((Skills!Y21*(1+Inputs!$B$34/100)),MAX(0,Inputs!$B$44-((R926-1)*Skills!D21))))/Inputs!$B$44),IF(Inputs!$B$39="pvp",MIN((Skills!Y21*(1+Inputs!$B$34/100)),15)/15,(Skills!Y21*(1+Inputs!$B$34/100))/Skills!D21)))+((C933=TRUE)*(F933-Calc!F28))+((C923=TRUE)*(F923-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920=TRUE)*F920*IF(AND(Inputs!$B$39&lt;&gt;"pvp",Inputs!$B$44&gt;0),(((R920-1)*(Skills!Y15*(1+Inputs!$B$34/100))+MIN((Skills!Y15*(1+Inputs!$B$34/100)),MAX(0,Inputs!$B$44-((R920-1)*Skills!D15))))/Inputs!$B$44),IF(Inputs!$B$39="pvp",MIN((Skills!Y15*(1+Inputs!$B$34/100)),15)/15,(Skills!Y15*(1+Inputs!$B$34/100))/Skills!D15)))/100)*(1+((C911=TRUE)*F911*B939)/100))*B947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915)</f>
        <v/>
      </c>
      <c r="L915">
        <f>K915*(MIN(Inputs!$B$22+((C929=TRUE)*(F929-Calc!F24)),(Inputs!$B$23+0+(IF(ArtifactsInput!$M$15,CHOOSE(ArtifactsInput!$N$15+1,25,30,35,40,45,50)/100*(Inputs!$B$11-Inputs!$B$11),0))))/100+(Inputs!$B$23+0+(IF(ArtifactsInput!$M$15,CHOOSE(ArtifactsInput!$N$15+1,25,30,35,40,45,50)/100*(Inputs!$B$11-Inputs!$B$11),0)))/100)/2</f>
        <v/>
      </c>
      <c r="M915">
        <f>L915*(1+(Inputs!$B$10+((C931=TRUE)*(F931-Calc!F26))+B948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15">
        <f>L915*(1-MIN((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915*(MIN((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15">
        <f>(1-Summary!$B$11)*T915+Summary!$B$11*V915</f>
        <v/>
      </c>
      <c r="P915">
        <f>IF(B949=0,0,O915/B949)</f>
        <v/>
      </c>
      <c r="Q915" t="n">
        <v>0</v>
      </c>
      <c r="R915" t="n">
        <v>0</v>
      </c>
      <c r="S915" t="n">
        <v>0</v>
      </c>
      <c r="T915">
        <f>IF(C915,(0.2*SUMPRODUCT((Skills!Z2:Z31=TRUE)*(C907:C936=TRUE)*S907:S936)*N915)*IF(Inputs!$B$39="pvp",1,1+(Inputs!$B$20+((C932=TRUE)*(F932-Calc!F27))+Skills!P10+B946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Hunt"),CHOOSE(ArtifactsInput!$N$35+1,15,18,21,24,27,30)*(1-EXP(-(0.2*B941)*5)),0)+IF(AND(ArtifactsInput!$M$22,Inputs!$B$4&lt;&gt;"Chapter Hunt"),CHOOSE(ArtifactsInput!$N$22+1,10,12,14,16,18,20)*((0*(((0.15*B941*5))^0/1)+1*(((0.15*B941*5))^1/1)+2*(((0.15*B941*5))^2/2)+3*(((0.15*B941*5))^3/6)+4*(((0.15*B941*5))^4/24)+5*(((0.15*B941*5))^5/120))/((((0.15*B941*5))^0/1)+(((0.15*B941*5))^1/1)+(((0.15*B941*5))^2/2)+(((0.15*B941*5))^3/6)+(((0.15*B941*5))^4/24)+(((0.15*B941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915*(1-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915*(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915*(1-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915*(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15">
        <f>IF(C915,(0.2*SUMPRODUCT((Skills!Z2:Z31=TRUE)*(C907:C936=TRUE)*S907:S936)*N915)*IF(Inputs!$B$39="pvp",1,(1+(Inputs!$B$21+Skills!Q10+B946+(IF(ArtifactsInput!$M$33,CHOOSE(ArtifactsInput!$N$33+1,30,36,42,48,54,60),0))+(IF(AND(ArtifactsInput!$M$35,Inputs!$B$4&lt;&gt;"Chapter Hunt"),CHOOSE(ArtifactsInput!$N$35+1,15,18,21,24,27,30)*(1-EXP(-(0.2*B941)*5)),0)+IF(AND(ArtifactsInput!$M$22,Inputs!$B$4&lt;&gt;"Chapter Hunt"),CHOOSE(ArtifactsInput!$N$22+1,10,12,14,16,18,20)*((0*(((0.15*B941*5))^0/1)+1*(((0.15*B941*5))^1/1)+2*(((0.15*B941*5))^2/2)+3*(((0.15*B941*5))^3/6)+4*(((0.15*B941*5))^4/24)+5*(((0.15*B941*5))^5/120))/((((0.15*B941*5))^0/1)+(((0.15*B941*5))^1/1)+(((0.15*B941*5))^2/2)+(((0.15*B941*5))^3/6)+(((0.15*B941*5))^4/24)+(((0.15*B941*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16">
      <c r="A916">
        <f>Skills!A11</f>
        <v/>
      </c>
      <c r="B916">
        <f>Skills!B11</f>
        <v/>
      </c>
      <c r="C916">
        <f>Inputs!$B$3&gt;=60</f>
        <v/>
      </c>
      <c r="D916">
        <f>IF(Skills!C11=1,60+Inputs!$B$25+Inputs!$B$29,IF(Skills!C11=2,90+(Inputs!$B$26+1)+Inputs!$B$29,IF(Skills!C11=3,120+Inputs!$B$27+Inputs!$B$29,MAX(0,(Inputs!$B$3-100)*3)+Inputs!$B$28+Inputs!$B$29)))</f>
        <v/>
      </c>
      <c r="E916">
        <f>INDEX(FactorTable!$B$2:$Y$301, MATCH(ROUND(MIN(300,MAX(1,D916)),0), FactorTable!$A$2:$A$301,0), Skills!M11+1)</f>
        <v/>
      </c>
      <c r="F916">
        <f>IF(Skills!N11=TRUE,(Skills!L11/10)*(E916/1000),Skills!L11/10)+Skills!O11</f>
        <v/>
      </c>
      <c r="G916">
        <f>Calc!G11</f>
        <v/>
      </c>
      <c r="H916">
        <f>Calc!H11</f>
        <v/>
      </c>
      <c r="I916">
        <f>IF(Skills!AA11&lt;&gt;"",1+(Skills!AA11/10)*(U908/1000)/100,1)</f>
        <v/>
      </c>
      <c r="J916" t="inlineStr"/>
      <c r="K916" t="inlineStr"/>
      <c r="L916" t="inlineStr"/>
      <c r="M916" t="inlineStr"/>
      <c r="N916" t="inlineStr"/>
      <c r="O916">
        <f>(1-Summary!$B$11)*T916+Summary!$B$11*V916</f>
        <v/>
      </c>
      <c r="P916">
        <f>IF(B949=0,0,O916/B949)</f>
        <v/>
      </c>
      <c r="Q916" t="n">
        <v>0</v>
      </c>
      <c r="R916" t="n">
        <v>0</v>
      </c>
      <c r="S916">
        <f>IFERROR(O916/N916,0)</f>
        <v/>
      </c>
      <c r="T916" t="n">
        <v>0</v>
      </c>
      <c r="V916" t="n">
        <v>0</v>
      </c>
    </row>
    <row r="917">
      <c r="A917">
        <f>Skills!A12</f>
        <v/>
      </c>
      <c r="B917">
        <f>Skills!B12</f>
        <v/>
      </c>
      <c r="C917">
        <f>Inputs!$B$3&gt;=103</f>
        <v/>
      </c>
      <c r="D917">
        <f>IF(Skills!C12=1,60+Inputs!$B$25+Inputs!$B$29,IF(Skills!C12=2,90+(Inputs!$B$26+1)+Inputs!$B$29,IF(Skills!C12=3,120+Inputs!$B$27+Inputs!$B$29,MAX(0,(Inputs!$B$3-100)*3)+Inputs!$B$28+Inputs!$B$29)))</f>
        <v/>
      </c>
      <c r="E917">
        <f>INDEX(FactorTable!$B$2:$Y$301, MATCH(ROUND(MIN(300,MAX(1,D917)),0), FactorTable!$A$2:$A$301,0), Skills!M12+1)</f>
        <v/>
      </c>
      <c r="F917">
        <f>IF(Skills!N12=TRUE,(Skills!L12/10)*(E917/1000),Skills!L12/10)+Skills!O12</f>
        <v/>
      </c>
      <c r="G917">
        <f>Calc!G12</f>
        <v/>
      </c>
      <c r="H917">
        <f>Calc!H12</f>
        <v/>
      </c>
      <c r="I917">
        <f>IF(Skills!AA12&lt;&gt;"",1+(Skills!AA12/10)*(U908/1000)/100,1)</f>
        <v/>
      </c>
      <c r="J917">
        <f>((Inputs!$B$6*(1+Inputs!$B$7/100))+(((Inputs!$B$12*(1+Inputs!$B$13/100))-(Inputs!$B$12*(1+Inputs!$B$13/100)))+0.25*(Inputs!$B$14-Inputs!$B$14))*(1+Inputs!$B$7/100))*(F917/100)</f>
        <v/>
      </c>
      <c r="K917">
        <f>J917*(1+((Inputs!$B$12*(1+Inputs!$B$13/100))*0.01+Inputs!$B$14*0.0025)/100)*(1+Inputs!$B$15/100)*(1+Inputs!$B$16/100)*(5000/(6000+Inputs!$B$43*(1-(100*(1-(1-(Inputs!$B$19+0)/100)*(1-CHOOSE(ArtifactsInput!$N$40+1,5,6,7,8,9,10)/100)^(ArtifactsInput!$M$40-ArtifactsInput!$M$40)))/100)))*(1+(Inputs!$B$24+((C935=TRUE)*(F935-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928=TRUE)*(F928-Calc!F23))+(((IF(AND(ArtifactsInput!$M$42,((Inputs!$B$9+((C930=TRUE)*(F930-Calc!F25))+B945+(ArtifactsInput!$M$24-ArtifactsInput!$M$24)*CHOOSE(ArtifactsInput!$N$24+1,10,12,14,16,18,20)+IF(ArtifactsInput!$M$10,CHOOSE(ArtifactsInput!$N$10+1,15,18,21,24,27,30)*(IF(Inputs!$B$39="pvp",MIN(15,15)/15,IF(AND(Inputs!$B$39&lt;&gt;"pvp",Inputs!$B$44&gt;0),MIN(15,Inputs!$B$44)/(Inputs!$B$44),0))),0)))&gt;=100),MIN(100,((Inputs!$B$9+((C930=TRUE)*(F930-Calc!F25))+B945+(ArtifactsInput!$M$24-ArtifactsInput!$M$24)*CHOOSE(ArtifactsInput!$N$24+1,10,12,14,16,18,20)+IF(ArtifactsInput!$M$10,CHOOSE(ArtifactsInput!$N$10+1,15,18,21,24,27,30)*(IF(Inputs!$B$39="pvp",MIN(15,15)/15,IF(AND(Inputs!$B$39&lt;&gt;"pvp",Inputs!$B$44&gt;0),MIN(15,Inputs!$B$44)/(Inputs!$B$44),0))),0)))-100),0))*CHOOSE(ArtifactsInput!$N$42+1,0.6,0.72,0.84,0.96,1.08,1.2))),Inputs!$B$18+((C934=TRUE)*(F934-Calc!F29))+(IF(AND(ArtifactsInput!$M$42,((Inputs!$B$9+((C930=TRUE)*(F930-Calc!F25))+B945+(ArtifactsInput!$M$24-ArtifactsInput!$M$24)*CHOOSE(ArtifactsInput!$N$24+1,10,12,14,16,18,20)+IF(ArtifactsInput!$M$10,CHOOSE(ArtifactsInput!$N$10+1,15,18,21,24,27,30)*(IF(Inputs!$B$39="pvp",MIN(15,15)/15,IF(AND(Inputs!$B$39&lt;&gt;"pvp",Inputs!$B$44&gt;0),MIN(15,Inputs!$B$44)/(Inputs!$B$44),0))),0)))&gt;=100),CHOOSE(ArtifactsInput!$N$42+1,40,48,56,64,72,80),0))))/100)*(((1+(((C926=TRUE)*F926*IF(AND(Inputs!$B$39&lt;&gt;"pvp",Inputs!$B$44&gt;0),(((R926-1)*(Skills!Y21*(1+Inputs!$B$34/100))+MIN((Skills!Y21*(1+Inputs!$B$34/100)),MAX(0,Inputs!$B$44-((R926-1)*Skills!D21))))/Inputs!$B$44),IF(Inputs!$B$39="pvp",MIN((Skills!Y21*(1+Inputs!$B$34/100)),15)/15,(Skills!Y21*(1+Inputs!$B$34/100))/Skills!D21)))+((C933=TRUE)*(F933-Calc!F28))+((C923=TRUE)*(F923-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920=TRUE)*F920*IF(AND(Inputs!$B$39&lt;&gt;"pvp",Inputs!$B$44&gt;0),(((R920-1)*(Skills!Y15*(1+Inputs!$B$34/100))+MIN((Skills!Y15*(1+Inputs!$B$34/100)),MAX(0,Inputs!$B$44-((R920-1)*Skills!D15))))/Inputs!$B$44),IF(Inputs!$B$39="pvp",MIN((Skills!Y15*(1+Inputs!$B$34/100)),15)/15,(Skills!Y15*(1+Inputs!$B$34/100))/Skills!D15)))/100)*(1+((C911=TRUE)*F911*B939)/100))*B947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917)</f>
        <v/>
      </c>
      <c r="L917">
        <f>K917*(MIN(Inputs!$B$22+((C929=TRUE)*(F929-Calc!F24)),(Inputs!$B$23+0+(IF(ArtifactsInput!$M$15,CHOOSE(ArtifactsInput!$N$15+1,25,30,35,40,45,50)/100*(Inputs!$B$11-Inputs!$B$11),0))))/100+(Inputs!$B$23+0+(IF(ArtifactsInput!$M$15,CHOOSE(ArtifactsInput!$N$15+1,25,30,35,40,45,50)/100*(Inputs!$B$11-Inputs!$B$11),0)))/100)/2</f>
        <v/>
      </c>
      <c r="M917">
        <f>L917*(1+(Inputs!$B$10+((C931=TRUE)*(F931-Calc!F26))+B948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17">
        <f>L917*(1-MIN((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917*(MIN((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17">
        <f>(1-Summary!$B$11)*T917+Summary!$B$11*V917</f>
        <v/>
      </c>
      <c r="P917">
        <f>IF(B949=0,0,O917/B949)</f>
        <v/>
      </c>
      <c r="Q917">
        <f>IFERROR(1/IF(Inputs!$B$39="pvp",15,MAX(0.1,Skills!D12-IF(Skills!E12=TRUE,Inputs!$B$32,0))),0)</f>
        <v/>
      </c>
      <c r="R917">
        <f>IF(AND(Inputs!$B$39&lt;&gt;"pvp",Inputs!$B$44&gt;0),IF(MAX(0,Inputs!$B$44-B950)&lt;=0,0,(INT(MAX(0,Inputs!$B$44-B950)/IF(Inputs!$B$39="pvp",15,MAX(0.1,Skills!D12-IF(Skills!E12=TRUE,Inputs!$B$32,0))))+1)),0)</f>
        <v/>
      </c>
      <c r="S917">
        <f>IFERROR(O917/N917,0)</f>
        <v/>
      </c>
      <c r="T917">
        <f>IF(C917,(H917*N917*IF(AND(Inputs!$B$39&lt;&gt;"pvp",Inputs!$B$44&gt;0),((Skills!G12*((R917-1)*IF(Skills!H12&gt;0,Skills!I12/Skills!H12,1)+IF(Skills!H12&gt;0,MIN(Skills!I12,MAX(0,MAX(0,Inputs!$B$44-B950)-((R917-1)*IF(Inputs!$B$39="pvp",15,MAX(0.1,Skills!D12-IF(Skills!E12=TRUE,Inputs!$B$32,0))))))/Skills!H12,1)))/Inputs!$B$44),G917*Q917))*IF(Inputs!$B$39="pvp",1,1+(Inputs!$B$20+((C932=TRUE)*(F932-Calc!F27))+Skills!P12+B946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Hunt"),CHOOSE(ArtifactsInput!$N$35+1,15,18,21,24,27,30)*(1-EXP(-(0.2*B941)*5)),0)+IF(AND(ArtifactsInput!$M$22,Inputs!$B$4&lt;&gt;"Chapter Hunt"),CHOOSE(ArtifactsInput!$N$22+1,10,12,14,16,18,20)*((0*(((0.15*B941*5))^0/1)+1*(((0.15*B941*5))^1/1)+2*(((0.15*B941*5))^2/2)+3*(((0.15*B941*5))^3/6)+4*(((0.15*B941*5))^4/24)+5*(((0.15*B941*5))^5/120))/((((0.15*B941*5))^0/1)+(((0.15*B941*5))^1/1)+(((0.15*B941*5))^2/2)+(((0.15*B941*5))^3/6)+(((0.15*B941*5))^4/24)+(((0.15*B941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917*(1-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917*(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917*(1-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917*(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17">
        <f>IF(C917,(H917*N917*IF(AND(Inputs!$B$39&lt;&gt;"pvp",Inputs!$B$44&gt;0),((Skills!G12*((R917-1)*IF(Skills!H12&gt;0,Skills!I12/Skills!H12,1)+IF(Skills!H12&gt;0,MIN(Skills!I12,MAX(0,MAX(0,Inputs!$B$44-B950)-((R917-1)*IF(Inputs!$B$39="pvp",15,MAX(0.1,Skills!D12-IF(Skills!E12=TRUE,Inputs!$B$32,0))))))/Skills!H12,1)))/Inputs!$B$44),G917*Q917))*IF(Inputs!$B$39="pvp",1,(1+(Inputs!$B$21+Skills!Q12+B946+(IF(ArtifactsInput!$M$33,CHOOSE(ArtifactsInput!$N$33+1,30,36,42,48,54,60),0))+(IF(AND(ArtifactsInput!$M$35,Inputs!$B$4&lt;&gt;"Chapter Hunt"),CHOOSE(ArtifactsInput!$N$35+1,15,18,21,24,27,30)*(1-EXP(-(0.2*B941)*5)),0)+IF(AND(ArtifactsInput!$M$22,Inputs!$B$4&lt;&gt;"Chapter Hunt"),CHOOSE(ArtifactsInput!$N$22+1,10,12,14,16,18,20)*((0*(((0.15*B941*5))^0/1)+1*(((0.15*B941*5))^1/1)+2*(((0.15*B941*5))^2/2)+3*(((0.15*B941*5))^3/6)+4*(((0.15*B941*5))^4/24)+5*(((0.15*B941*5))^5/120))/((((0.15*B941*5))^0/1)+(((0.15*B941*5))^1/1)+(((0.15*B941*5))^2/2)+(((0.15*B941*5))^3/6)+(((0.15*B941*5))^4/24)+(((0.15*B941*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18">
      <c r="A918">
        <f>Skills!A13</f>
        <v/>
      </c>
      <c r="B918">
        <f>Skills!B13</f>
        <v/>
      </c>
      <c r="C918">
        <f>Inputs!$B$3&gt;=105</f>
        <v/>
      </c>
      <c r="D918">
        <f>IF(Skills!C13=1,60+Inputs!$B$25+Inputs!$B$29,IF(Skills!C13=2,90+(Inputs!$B$26+1)+Inputs!$B$29,IF(Skills!C13=3,120+Inputs!$B$27+Inputs!$B$29,MAX(0,(Inputs!$B$3-100)*3)+Inputs!$B$28+Inputs!$B$29)))</f>
        <v/>
      </c>
      <c r="E918">
        <f>INDEX(FactorTable!$B$2:$Y$301, MATCH(ROUND(MIN(300,MAX(1,D918)),0), FactorTable!$A$2:$A$301,0), Skills!M13+1)</f>
        <v/>
      </c>
      <c r="F918">
        <f>IF(Skills!N13=TRUE,(Skills!L13/10)*(E918/1000),Skills!L13/10)+Skills!O13</f>
        <v/>
      </c>
      <c r="G918">
        <f>Calc!G13</f>
        <v/>
      </c>
      <c r="H918">
        <f>Calc!H13</f>
        <v/>
      </c>
      <c r="I918">
        <f>IF(Skills!AA13&lt;&gt;"",1+(Skills!AA13/10)*(U908/1000)/100,1)</f>
        <v/>
      </c>
      <c r="J918">
        <f>((Inputs!$B$6*(1+Inputs!$B$7/100))+(((Inputs!$B$12*(1+Inputs!$B$13/100))-(Inputs!$B$12*(1+Inputs!$B$13/100)))+0.25*(Inputs!$B$14-Inputs!$B$14))*(1+Inputs!$B$7/100))*(F918/100)</f>
        <v/>
      </c>
      <c r="K918">
        <f>J918*(1+((Inputs!$B$12*(1+Inputs!$B$13/100))*0.01+Inputs!$B$14*0.0025)/100)*(1+Inputs!$B$15/100)*(1+Inputs!$B$16/100)*(5000/(6000+Inputs!$B$43*(1-(100*(1-(1-(Inputs!$B$19+0)/100)*(1-CHOOSE(ArtifactsInput!$N$40+1,5,6,7,8,9,10)/100)^(ArtifactsInput!$M$40-ArtifactsInput!$M$40)))/100)))*(1+(Inputs!$B$24+((C935=TRUE)*(F935-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928=TRUE)*(F928-Calc!F23))+(((IF(AND(ArtifactsInput!$M$42,((Inputs!$B$9+((C930=TRUE)*(F930-Calc!F25))+B945+(ArtifactsInput!$M$24-ArtifactsInput!$M$24)*CHOOSE(ArtifactsInput!$N$24+1,10,12,14,16,18,20)+IF(ArtifactsInput!$M$10,CHOOSE(ArtifactsInput!$N$10+1,15,18,21,24,27,30)*(IF(Inputs!$B$39="pvp",MIN(15,15)/15,IF(AND(Inputs!$B$39&lt;&gt;"pvp",Inputs!$B$44&gt;0),MIN(15,Inputs!$B$44)/(Inputs!$B$44),0))),0)))&gt;=100),MIN(100,((Inputs!$B$9+((C930=TRUE)*(F930-Calc!F25))+B945+(ArtifactsInput!$M$24-ArtifactsInput!$M$24)*CHOOSE(ArtifactsInput!$N$24+1,10,12,14,16,18,20)+IF(ArtifactsInput!$M$10,CHOOSE(ArtifactsInput!$N$10+1,15,18,21,24,27,30)*(IF(Inputs!$B$39="pvp",MIN(15,15)/15,IF(AND(Inputs!$B$39&lt;&gt;"pvp",Inputs!$B$44&gt;0),MIN(15,Inputs!$B$44)/(Inputs!$B$44),0))),0)))-100),0))*CHOOSE(ArtifactsInput!$N$42+1,0.6,0.72,0.84,0.96,1.08,1.2))),Inputs!$B$18+((C934=TRUE)*(F934-Calc!F29))+(IF(AND(ArtifactsInput!$M$42,((Inputs!$B$9+((C930=TRUE)*(F930-Calc!F25))+B945+(ArtifactsInput!$M$24-ArtifactsInput!$M$24)*CHOOSE(ArtifactsInput!$N$24+1,10,12,14,16,18,20)+IF(ArtifactsInput!$M$10,CHOOSE(ArtifactsInput!$N$10+1,15,18,21,24,27,30)*(IF(Inputs!$B$39="pvp",MIN(15,15)/15,IF(AND(Inputs!$B$39&lt;&gt;"pvp",Inputs!$B$44&gt;0),MIN(15,Inputs!$B$44)/(Inputs!$B$44),0))),0)))&gt;=100),CHOOSE(ArtifactsInput!$N$42+1,40,48,56,64,72,80),0))))/100)*(((1+(((C926=TRUE)*F926*IF(AND(Inputs!$B$39&lt;&gt;"pvp",Inputs!$B$44&gt;0),(((R926-1)*(Skills!Y21*(1+Inputs!$B$34/100))+MIN((Skills!Y21*(1+Inputs!$B$34/100)),MAX(0,Inputs!$B$44-((R926-1)*Skills!D21))))/Inputs!$B$44),IF(Inputs!$B$39="pvp",MIN((Skills!Y21*(1+Inputs!$B$34/100)),15)/15,(Skills!Y21*(1+Inputs!$B$34/100))/Skills!D21)))+((C933=TRUE)*(F933-Calc!F28))+((C923=TRUE)*(F923-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920=TRUE)*F920*IF(AND(Inputs!$B$39&lt;&gt;"pvp",Inputs!$B$44&gt;0),(((R920-1)*(Skills!Y15*(1+Inputs!$B$34/100))+MIN((Skills!Y15*(1+Inputs!$B$34/100)),MAX(0,Inputs!$B$44-((R920-1)*Skills!D15))))/Inputs!$B$44),IF(Inputs!$B$39="pvp",MIN((Skills!Y15*(1+Inputs!$B$34/100)),15)/15,(Skills!Y15*(1+Inputs!$B$34/100))/Skills!D15)))/100)*(1+((C911=TRUE)*F911*B939)/100))*B947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918)</f>
        <v/>
      </c>
      <c r="L918">
        <f>K918*(MIN(Inputs!$B$22+((C929=TRUE)*(F929-Calc!F24)),(Inputs!$B$23+0+(IF(ArtifactsInput!$M$15,CHOOSE(ArtifactsInput!$N$15+1,25,30,35,40,45,50)/100*(Inputs!$B$11-Inputs!$B$11),0))))/100+(Inputs!$B$23+0+(IF(ArtifactsInput!$M$15,CHOOSE(ArtifactsInput!$N$15+1,25,30,35,40,45,50)/100*(Inputs!$B$11-Inputs!$B$11),0)))/100)/2</f>
        <v/>
      </c>
      <c r="M918">
        <f>L918*(1+(Inputs!$B$10+((C931=TRUE)*(F931-Calc!F26))+B948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18">
        <f>L918*(1-MIN((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918*(MIN((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18">
        <f>(1-Summary!$B$11)*T918+Summary!$B$11*V918</f>
        <v/>
      </c>
      <c r="P918">
        <f>IF(B949=0,0,O918/B949)</f>
        <v/>
      </c>
      <c r="Q918">
        <f>IFERROR(1/IF(Inputs!$B$39="pvp",15,MAX(0.1,Skills!D13-IF(Skills!E13=TRUE,Inputs!$B$32,0))),0)</f>
        <v/>
      </c>
      <c r="R918">
        <f>IF(AND(Inputs!$B$39&lt;&gt;"pvp",Inputs!$B$44&gt;0),IF(MAX(0,Inputs!$B$44-B950)&lt;=0,0,(INT(MAX(0,Inputs!$B$44-B950)/IF(Inputs!$B$39="pvp",15,MAX(0.1,Skills!D13-IF(Skills!E13=TRUE,Inputs!$B$32,0))))+1)),0)</f>
        <v/>
      </c>
      <c r="S918">
        <f>IFERROR(O918/N918,0)</f>
        <v/>
      </c>
      <c r="T918">
        <f>IF(C918,(H918*N918*IF(AND(Inputs!$B$39&lt;&gt;"pvp",Inputs!$B$44&gt;0),((Skills!G13*((R918-1)*IF(Skills!H13&gt;0,Skills!I13/Skills!H13,1)+IF(Skills!H13&gt;0,MIN(Skills!I13,MAX(0,MAX(0,Inputs!$B$44-B950)-((R918-1)*IF(Inputs!$B$39="pvp",15,MAX(0.1,Skills!D13-IF(Skills!E13=TRUE,Inputs!$B$32,0))))))/Skills!H13,1)))/Inputs!$B$44),G918*Q918))*IF(Inputs!$B$39="pvp",1,1+(Inputs!$B$20+((C932=TRUE)*(F932-Calc!F27))+Skills!P13+B946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Hunt"),CHOOSE(ArtifactsInput!$N$35+1,15,18,21,24,27,30)*(1-EXP(-(0.2*B941)*5)),0)+IF(AND(ArtifactsInput!$M$22,Inputs!$B$4&lt;&gt;"Chapter Hunt"),CHOOSE(ArtifactsInput!$N$22+1,10,12,14,16,18,20)*((0*(((0.15*B941*5))^0/1)+1*(((0.15*B941*5))^1/1)+2*(((0.15*B941*5))^2/2)+3*(((0.15*B941*5))^3/6)+4*(((0.15*B941*5))^4/24)+5*(((0.15*B941*5))^5/120))/((((0.15*B941*5))^0/1)+(((0.15*B941*5))^1/1)+(((0.15*B941*5))^2/2)+(((0.15*B941*5))^3/6)+(((0.15*B941*5))^4/24)+(((0.15*B941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918*(1-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918*(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918*(1-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918*(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18">
        <f>IF(C918,(H918*N918*IF(AND(Inputs!$B$39&lt;&gt;"pvp",Inputs!$B$44&gt;0),((Skills!G13*((R918-1)*IF(Skills!H13&gt;0,Skills!I13/Skills!H13,1)+IF(Skills!H13&gt;0,MIN(Skills!I13,MAX(0,MAX(0,Inputs!$B$44-B950)-((R918-1)*IF(Inputs!$B$39="pvp",15,MAX(0.1,Skills!D13-IF(Skills!E13=TRUE,Inputs!$B$32,0))))))/Skills!H13,1)))/Inputs!$B$44),G918*Q918))*IF(Inputs!$B$39="pvp",1,(1+(Inputs!$B$21+Skills!Q13+B946+(IF(ArtifactsInput!$M$33,CHOOSE(ArtifactsInput!$N$33+1,30,36,42,48,54,60),0))+(IF(AND(ArtifactsInput!$M$35,Inputs!$B$4&lt;&gt;"Chapter Hunt"),CHOOSE(ArtifactsInput!$N$35+1,15,18,21,24,27,30)*(1-EXP(-(0.2*B941)*5)),0)+IF(AND(ArtifactsInput!$M$22,Inputs!$B$4&lt;&gt;"Chapter Hunt"),CHOOSE(ArtifactsInput!$N$22+1,10,12,14,16,18,20)*((0*(((0.15*B941*5))^0/1)+1*(((0.15*B941*5))^1/1)+2*(((0.15*B941*5))^2/2)+3*(((0.15*B941*5))^3/6)+4*(((0.15*B941*5))^4/24)+5*(((0.15*B941*5))^5/120))/((((0.15*B941*5))^0/1)+(((0.15*B941*5))^1/1)+(((0.15*B941*5))^2/2)+(((0.15*B941*5))^3/6)+(((0.15*B941*5))^4/24)+(((0.15*B941*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19">
      <c r="A919">
        <f>Skills!A14</f>
        <v/>
      </c>
      <c r="B919">
        <f>Skills!B14</f>
        <v/>
      </c>
      <c r="C919">
        <f>Inputs!$B$3&gt;=105</f>
        <v/>
      </c>
      <c r="D919">
        <f>IF(Skills!C14=1,60+Inputs!$B$25+Inputs!$B$29,IF(Skills!C14=2,90+(Inputs!$B$26+1)+Inputs!$B$29,IF(Skills!C14=3,120+Inputs!$B$27+Inputs!$B$29,MAX(0,(Inputs!$B$3-100)*3)+Inputs!$B$28+Inputs!$B$29)))</f>
        <v/>
      </c>
      <c r="E919">
        <f>INDEX(FactorTable!$B$2:$Y$301, MATCH(ROUND(MIN(300,MAX(1,D919)),0), FactorTable!$A$2:$A$301,0), Skills!M14+1)</f>
        <v/>
      </c>
      <c r="F919">
        <f>IF(Skills!N14=TRUE,(Skills!L14/10)*(E919/1000),Skills!L14/10)+Skills!O14</f>
        <v/>
      </c>
      <c r="G919">
        <f>Calc!G14</f>
        <v/>
      </c>
      <c r="H919">
        <f>Calc!H14</f>
        <v/>
      </c>
      <c r="I919">
        <f>IF(Skills!AA14&lt;&gt;"",1+(Skills!AA14/10)*(U908/1000)/100,1)</f>
        <v/>
      </c>
      <c r="J919">
        <f>((Inputs!$B$6*(1+Inputs!$B$7/100))+(((Inputs!$B$12*(1+Inputs!$B$13/100))-(Inputs!$B$12*(1+Inputs!$B$13/100)))+0.25*(Inputs!$B$14-Inputs!$B$14))*(1+Inputs!$B$7/100))*(F919/100)</f>
        <v/>
      </c>
      <c r="K919">
        <f>J919*(1+((Inputs!$B$12*(1+Inputs!$B$13/100))*0.01+Inputs!$B$14*0.0025)/100)*(1+Inputs!$B$15/100)*(1+Inputs!$B$16/100)*(5000/(6000+Inputs!$B$43*(1-(100*(1-(1-(Inputs!$B$19+0)/100)*(1-CHOOSE(ArtifactsInput!$N$40+1,5,6,7,8,9,10)/100)^(ArtifactsInput!$M$40-ArtifactsInput!$M$40)))/100)))*(1+(Inputs!$B$24+((C935=TRUE)*(F935-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928=TRUE)*(F928-Calc!F23))+(((IF(AND(ArtifactsInput!$M$42,((Inputs!$B$9+((C930=TRUE)*(F930-Calc!F25))+B945+(ArtifactsInput!$M$24-ArtifactsInput!$M$24)*CHOOSE(ArtifactsInput!$N$24+1,10,12,14,16,18,20)+IF(ArtifactsInput!$M$10,CHOOSE(ArtifactsInput!$N$10+1,15,18,21,24,27,30)*(IF(Inputs!$B$39="pvp",MIN(15,15)/15,IF(AND(Inputs!$B$39&lt;&gt;"pvp",Inputs!$B$44&gt;0),MIN(15,Inputs!$B$44)/(Inputs!$B$44),0))),0)))&gt;=100),MIN(100,((Inputs!$B$9+((C930=TRUE)*(F930-Calc!F25))+B945+(ArtifactsInput!$M$24-ArtifactsInput!$M$24)*CHOOSE(ArtifactsInput!$N$24+1,10,12,14,16,18,20)+IF(ArtifactsInput!$M$10,CHOOSE(ArtifactsInput!$N$10+1,15,18,21,24,27,30)*(IF(Inputs!$B$39="pvp",MIN(15,15)/15,IF(AND(Inputs!$B$39&lt;&gt;"pvp",Inputs!$B$44&gt;0),MIN(15,Inputs!$B$44)/(Inputs!$B$44),0))),0)))-100),0))*CHOOSE(ArtifactsInput!$N$42+1,0.6,0.72,0.84,0.96,1.08,1.2))),Inputs!$B$18+((C934=TRUE)*(F934-Calc!F29))+(IF(AND(ArtifactsInput!$M$42,((Inputs!$B$9+((C930=TRUE)*(F930-Calc!F25))+B945+(ArtifactsInput!$M$24-ArtifactsInput!$M$24)*CHOOSE(ArtifactsInput!$N$24+1,10,12,14,16,18,20)+IF(ArtifactsInput!$M$10,CHOOSE(ArtifactsInput!$N$10+1,15,18,21,24,27,30)*(IF(Inputs!$B$39="pvp",MIN(15,15)/15,IF(AND(Inputs!$B$39&lt;&gt;"pvp",Inputs!$B$44&gt;0),MIN(15,Inputs!$B$44)/(Inputs!$B$44),0))),0)))&gt;=100),CHOOSE(ArtifactsInput!$N$42+1,40,48,56,64,72,80),0))))/100)*(((1+(((C926=TRUE)*F926*IF(AND(Inputs!$B$39&lt;&gt;"pvp",Inputs!$B$44&gt;0),(((R926-1)*(Skills!Y21*(1+Inputs!$B$34/100))+MIN((Skills!Y21*(1+Inputs!$B$34/100)),MAX(0,Inputs!$B$44-((R926-1)*Skills!D21))))/Inputs!$B$44),IF(Inputs!$B$39="pvp",MIN((Skills!Y21*(1+Inputs!$B$34/100)),15)/15,(Skills!Y21*(1+Inputs!$B$34/100))/Skills!D21)))+((C933=TRUE)*(F933-Calc!F28))+((C923=TRUE)*(F923-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920=TRUE)*F920*IF(AND(Inputs!$B$39&lt;&gt;"pvp",Inputs!$B$44&gt;0),(((R920-1)*(Skills!Y15*(1+Inputs!$B$34/100))+MIN((Skills!Y15*(1+Inputs!$B$34/100)),MAX(0,Inputs!$B$44-((R920-1)*Skills!D15))))/Inputs!$B$44),IF(Inputs!$B$39="pvp",MIN((Skills!Y15*(1+Inputs!$B$34/100)),15)/15,(Skills!Y15*(1+Inputs!$B$34/100))/Skills!D15)))/100)*(1+((C911=TRUE)*F911*B939)/100))*B947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919)</f>
        <v/>
      </c>
      <c r="L919">
        <f>K919*(MIN(Inputs!$B$22+((C929=TRUE)*(F929-Calc!F24)),(Inputs!$B$23+0+(IF(ArtifactsInput!$M$15,CHOOSE(ArtifactsInput!$N$15+1,25,30,35,40,45,50)/100*(Inputs!$B$11-Inputs!$B$11),0))))/100+(Inputs!$B$23+0+(IF(ArtifactsInput!$M$15,CHOOSE(ArtifactsInput!$N$15+1,25,30,35,40,45,50)/100*(Inputs!$B$11-Inputs!$B$11),0)))/100)/2</f>
        <v/>
      </c>
      <c r="M919">
        <f>L919*(1+(Inputs!$B$10+((C931=TRUE)*(F931-Calc!F26))+B948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19">
        <f>L919*(1-MIN((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919*(MIN((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19">
        <f>(1-Summary!$B$11)*T919+Summary!$B$11*V919</f>
        <v/>
      </c>
      <c r="P919">
        <f>IF(B949=0,0,O919/B949)</f>
        <v/>
      </c>
      <c r="Q919">
        <f>IFERROR(1/IF(Inputs!$B$39="pvp",15,MAX(0.1,Skills!D14-IF(Skills!E14=TRUE,Inputs!$B$32,0))),0)</f>
        <v/>
      </c>
      <c r="R919">
        <f>IF(AND(Inputs!$B$39&lt;&gt;"pvp",Inputs!$B$44&gt;0),IF(MAX(0,Inputs!$B$44-B950)&lt;=0,0,(INT(MAX(0,Inputs!$B$44-B950)/IF(Inputs!$B$39="pvp",15,MAX(0.1,Skills!D14-IF(Skills!E14=TRUE,Inputs!$B$32,0))))+1)),0)</f>
        <v/>
      </c>
      <c r="S919">
        <f>IFERROR(O919/N919,0)</f>
        <v/>
      </c>
      <c r="T919">
        <f>IF(C919,(H919*N919*IF(AND(Inputs!$B$39&lt;&gt;"pvp",Inputs!$B$44&gt;0),((Skills!G14*((R919-1)*IF(Skills!H14&gt;0,Skills!I14/Skills!H14,1)+IF(Skills!H14&gt;0,MIN(Skills!I14,MAX(0,MAX(0,Inputs!$B$44-B950)-((R919-1)*IF(Inputs!$B$39="pvp",15,MAX(0.1,Skills!D14-IF(Skills!E14=TRUE,Inputs!$B$32,0))))))/Skills!H14,1)))/Inputs!$B$44),G919*Q919))*IF(Inputs!$B$39="pvp",1,1+(Inputs!$B$20+((C932=TRUE)*(F932-Calc!F27))+Skills!P14+B946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Hunt"),CHOOSE(ArtifactsInput!$N$35+1,15,18,21,24,27,30)*(1-EXP(-(0.2*B941)*5)),0)+IF(AND(ArtifactsInput!$M$22,Inputs!$B$4&lt;&gt;"Chapter Hunt"),CHOOSE(ArtifactsInput!$N$22+1,10,12,14,16,18,20)*((0*(((0.15*B941*5))^0/1)+1*(((0.15*B941*5))^1/1)+2*(((0.15*B941*5))^2/2)+3*(((0.15*B941*5))^3/6)+4*(((0.15*B941*5))^4/24)+5*(((0.15*B941*5))^5/120))/((((0.15*B941*5))^0/1)+(((0.15*B941*5))^1/1)+(((0.15*B941*5))^2/2)+(((0.15*B941*5))^3/6)+(((0.15*B941*5))^4/24)+(((0.15*B941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919*(1-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919*(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919*(1-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919*(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19">
        <f>IF(C919,(H919*N919*IF(AND(Inputs!$B$39&lt;&gt;"pvp",Inputs!$B$44&gt;0),((Skills!G14*((R919-1)*IF(Skills!H14&gt;0,Skills!I14/Skills!H14,1)+IF(Skills!H14&gt;0,MIN(Skills!I14,MAX(0,MAX(0,Inputs!$B$44-B950)-((R919-1)*IF(Inputs!$B$39="pvp",15,MAX(0.1,Skills!D14-IF(Skills!E14=TRUE,Inputs!$B$32,0))))))/Skills!H14,1)))/Inputs!$B$44),G919*Q919))*IF(Inputs!$B$39="pvp",1,(1+(Inputs!$B$21+Skills!Q14+B946+(IF(ArtifactsInput!$M$33,CHOOSE(ArtifactsInput!$N$33+1,30,36,42,48,54,60),0))+(IF(AND(ArtifactsInput!$M$35,Inputs!$B$4&lt;&gt;"Chapter Hunt"),CHOOSE(ArtifactsInput!$N$35+1,15,18,21,24,27,30)*(1-EXP(-(0.2*B941)*5)),0)+IF(AND(ArtifactsInput!$M$22,Inputs!$B$4&lt;&gt;"Chapter Hunt"),CHOOSE(ArtifactsInput!$N$22+1,10,12,14,16,18,20)*((0*(((0.15*B941*5))^0/1)+1*(((0.15*B941*5))^1/1)+2*(((0.15*B941*5))^2/2)+3*(((0.15*B941*5))^3/6)+4*(((0.15*B941*5))^4/24)+5*(((0.15*B941*5))^5/120))/((((0.15*B941*5))^0/1)+(((0.15*B941*5))^1/1)+(((0.15*B941*5))^2/2)+(((0.15*B941*5))^3/6)+(((0.15*B941*5))^4/24)+(((0.15*B941*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20">
      <c r="A920">
        <f>Skills!A15</f>
        <v/>
      </c>
      <c r="B920">
        <f>Skills!B15</f>
        <v/>
      </c>
      <c r="C920">
        <f>Inputs!$B$3&gt;=110</f>
        <v/>
      </c>
      <c r="D920">
        <f>IF(Skills!C15=1,60+Inputs!$B$25+Inputs!$B$29,IF(Skills!C15=2,90+(Inputs!$B$26+1)+Inputs!$B$29,IF(Skills!C15=3,120+Inputs!$B$27+Inputs!$B$29,MAX(0,(Inputs!$B$3-100)*3)+Inputs!$B$28+Inputs!$B$29)))</f>
        <v/>
      </c>
      <c r="E920">
        <f>INDEX(FactorTable!$B$2:$Y$301, MATCH(ROUND(MIN(300,MAX(1,D920)),0), FactorTable!$A$2:$A$301,0), Skills!M15+1)</f>
        <v/>
      </c>
      <c r="F920">
        <f>IF(Skills!N15=TRUE,(Skills!L15/10)*(E920/1000),Skills!L15/10)+Skills!O15</f>
        <v/>
      </c>
      <c r="G920">
        <f>Calc!G15</f>
        <v/>
      </c>
      <c r="H920">
        <f>Calc!H15</f>
        <v/>
      </c>
      <c r="I920">
        <f>IF(Skills!AA15&lt;&gt;"",1+(Skills!AA15/10)*(U908/1000)/100,1)</f>
        <v/>
      </c>
      <c r="J920" t="inlineStr"/>
      <c r="K920" t="inlineStr"/>
      <c r="L920" t="inlineStr"/>
      <c r="M920" t="inlineStr"/>
      <c r="N920" t="inlineStr"/>
      <c r="O920">
        <f>(1-Summary!$B$11)*T920+Summary!$B$11*V920</f>
        <v/>
      </c>
      <c r="P920">
        <f>IF(B949=0,0,O920/B949)</f>
        <v/>
      </c>
      <c r="Q920">
        <f>IFERROR(1/IF(Inputs!$B$39="pvp",15,MAX(0.1,Skills!D15-IF(Skills!E15=TRUE,Inputs!$B$32,0))),0)</f>
        <v/>
      </c>
      <c r="R920">
        <f>IF(AND(Inputs!$B$39&lt;&gt;"pvp",Inputs!$B$44&gt;0),IF(Inputs!$B$44&lt;=0,0,(INT(Inputs!$B$44/IF(Inputs!$B$39="pvp",15,MAX(0.1,Skills!D15-IF(Skills!E15=TRUE,Inputs!$B$32,0))))+1)),0)</f>
        <v/>
      </c>
      <c r="S920">
        <f>IFERROR(O920/N920,0)</f>
        <v/>
      </c>
      <c r="T920" t="n">
        <v>0</v>
      </c>
      <c r="V920" t="n">
        <v>0</v>
      </c>
    </row>
    <row r="921">
      <c r="A921">
        <f>Skills!A16</f>
        <v/>
      </c>
      <c r="B921">
        <f>Skills!B16</f>
        <v/>
      </c>
      <c r="C921">
        <f>Inputs!$B$3&gt;=110</f>
        <v/>
      </c>
      <c r="D921">
        <f>IF(Skills!C16=1,60+Inputs!$B$25+Inputs!$B$29,IF(Skills!C16=2,90+(Inputs!$B$26+1)+Inputs!$B$29,IF(Skills!C16=3,120+Inputs!$B$27+Inputs!$B$29,MAX(0,(Inputs!$B$3-100)*3)+Inputs!$B$28+Inputs!$B$29)))</f>
        <v/>
      </c>
      <c r="E921">
        <f>INDEX(FactorTable!$B$2:$Y$301, MATCH(ROUND(MIN(300,MAX(1,D921)),0), FactorTable!$A$2:$A$301,0), Skills!M16+1)</f>
        <v/>
      </c>
      <c r="F921">
        <f>IF(Skills!N16=TRUE,(Skills!L16/10)*(E921/1000),Skills!L16/10)+Skills!O16</f>
        <v/>
      </c>
      <c r="G921">
        <f>Calc!G16</f>
        <v/>
      </c>
      <c r="H921">
        <f>Calc!H16</f>
        <v/>
      </c>
      <c r="I921">
        <f>IF(Skills!AA16&lt;&gt;"",1+(Skills!AA16/10)*(U908/1000)/100,1)</f>
        <v/>
      </c>
      <c r="J921" t="inlineStr"/>
      <c r="K921" t="inlineStr"/>
      <c r="L921" t="inlineStr"/>
      <c r="M921" t="inlineStr"/>
      <c r="N921" t="inlineStr"/>
      <c r="O921">
        <f>(1-Summary!$B$11)*T921+Summary!$B$11*V921</f>
        <v/>
      </c>
      <c r="P921">
        <f>IF(B949=0,0,O921/B949)</f>
        <v/>
      </c>
      <c r="Q921">
        <f>IFERROR(1/IF(Inputs!$B$39="pvp",15,MAX(0.1,Skills!D16-IF(Skills!E16=TRUE,Inputs!$B$32,0))),0)</f>
        <v/>
      </c>
      <c r="R921">
        <f>IF(AND(Inputs!$B$39&lt;&gt;"pvp",Inputs!$B$44&gt;0),IF(Inputs!$B$44&lt;=0,0,(INT(Inputs!$B$44/IF(Inputs!$B$39="pvp",15,MAX(0.1,Skills!D16-IF(Skills!E16=TRUE,Inputs!$B$32,0))))+1)),0)</f>
        <v/>
      </c>
      <c r="S921">
        <f>IFERROR(O921/N921,0)</f>
        <v/>
      </c>
      <c r="T921" t="n">
        <v>0</v>
      </c>
      <c r="V921" t="n">
        <v>0</v>
      </c>
    </row>
    <row r="922">
      <c r="A922">
        <f>Skills!A17</f>
        <v/>
      </c>
      <c r="B922">
        <f>Skills!B17</f>
        <v/>
      </c>
      <c r="C922">
        <f>Inputs!$B$3&gt;=115</f>
        <v/>
      </c>
      <c r="D922">
        <f>IF(Skills!C17=1,60+Inputs!$B$25+Inputs!$B$29,IF(Skills!C17=2,90+(Inputs!$B$26+1)+Inputs!$B$29,IF(Skills!C17=3,120+Inputs!$B$27+Inputs!$B$29,MAX(0,(Inputs!$B$3-100)*3)+Inputs!$B$28+Inputs!$B$29)))</f>
        <v/>
      </c>
      <c r="E922">
        <f>INDEX(FactorTable!$B$2:$Y$301, MATCH(ROUND(MIN(300,MAX(1,D922)),0), FactorTable!$A$2:$A$301,0), Skills!M17+1)</f>
        <v/>
      </c>
      <c r="F922">
        <f>IF(Skills!N17=TRUE,(Skills!L17/10)*(E922/1000),Skills!L17/10)+Skills!O17</f>
        <v/>
      </c>
      <c r="G922">
        <f>Calc!G17</f>
        <v/>
      </c>
      <c r="H922">
        <f>Calc!H17</f>
        <v/>
      </c>
      <c r="I922">
        <f>IF(Skills!AA17&lt;&gt;"",1+(Skills!AA17/10)*(U908/1000)/100,1)</f>
        <v/>
      </c>
      <c r="J922">
        <f>((Inputs!$B$6*(1+Inputs!$B$7/100))+(((Inputs!$B$12*(1+Inputs!$B$13/100))-(Inputs!$B$12*(1+Inputs!$B$13/100)))+0.25*(Inputs!$B$14-Inputs!$B$14))*(1+Inputs!$B$7/100))*(F922/100)</f>
        <v/>
      </c>
      <c r="K922">
        <f>J922*(1+((Inputs!$B$12*(1+Inputs!$B$13/100))*0.01+Inputs!$B$14*0.0025)/100)*(1+Inputs!$B$15/100)*(1+Inputs!$B$16/100)*(5000/(6000+Inputs!$B$43*(1-(100*(1-(1-(Inputs!$B$19+0)/100)*(1-CHOOSE(ArtifactsInput!$N$40+1,5,6,7,8,9,10)/100)^(ArtifactsInput!$M$40-ArtifactsInput!$M$40)))/100)))*(1+(Inputs!$B$24+((C935=TRUE)*(F935-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928=TRUE)*(F928-Calc!F23))+(((IF(AND(ArtifactsInput!$M$42,((Inputs!$B$9+((C930=TRUE)*(F930-Calc!F25))+B945+(ArtifactsInput!$M$24-ArtifactsInput!$M$24)*CHOOSE(ArtifactsInput!$N$24+1,10,12,14,16,18,20)+IF(ArtifactsInput!$M$10,CHOOSE(ArtifactsInput!$N$10+1,15,18,21,24,27,30)*(IF(Inputs!$B$39="pvp",MIN(15,15)/15,IF(AND(Inputs!$B$39&lt;&gt;"pvp",Inputs!$B$44&gt;0),MIN(15,Inputs!$B$44)/(Inputs!$B$44),0))),0)))&gt;=100),MIN(100,((Inputs!$B$9+((C930=TRUE)*(F930-Calc!F25))+B945+(ArtifactsInput!$M$24-ArtifactsInput!$M$24)*CHOOSE(ArtifactsInput!$N$24+1,10,12,14,16,18,20)+IF(ArtifactsInput!$M$10,CHOOSE(ArtifactsInput!$N$10+1,15,18,21,24,27,30)*(IF(Inputs!$B$39="pvp",MIN(15,15)/15,IF(AND(Inputs!$B$39&lt;&gt;"pvp",Inputs!$B$44&gt;0),MIN(15,Inputs!$B$44)/(Inputs!$B$44),0))),0)))-100),0))*CHOOSE(ArtifactsInput!$N$42+1,0.6,0.72,0.84,0.96,1.08,1.2))),Inputs!$B$18+((C934=TRUE)*(F934-Calc!F29))+(IF(AND(ArtifactsInput!$M$42,((Inputs!$B$9+((C930=TRUE)*(F930-Calc!F25))+B945+(ArtifactsInput!$M$24-ArtifactsInput!$M$24)*CHOOSE(ArtifactsInput!$N$24+1,10,12,14,16,18,20)+IF(ArtifactsInput!$M$10,CHOOSE(ArtifactsInput!$N$10+1,15,18,21,24,27,30)*(IF(Inputs!$B$39="pvp",MIN(15,15)/15,IF(AND(Inputs!$B$39&lt;&gt;"pvp",Inputs!$B$44&gt;0),MIN(15,Inputs!$B$44)/(Inputs!$B$44),0))),0)))&gt;=100),CHOOSE(ArtifactsInput!$N$42+1,40,48,56,64,72,80),0))))/100)*(((1+(((C926=TRUE)*F926*IF(AND(Inputs!$B$39&lt;&gt;"pvp",Inputs!$B$44&gt;0),(((R926-1)*(Skills!Y21*(1+Inputs!$B$34/100))+MIN((Skills!Y21*(1+Inputs!$B$34/100)),MAX(0,Inputs!$B$44-((R926-1)*Skills!D21))))/Inputs!$B$44),IF(Inputs!$B$39="pvp",MIN((Skills!Y21*(1+Inputs!$B$34/100)),15)/15,(Skills!Y21*(1+Inputs!$B$34/100))/Skills!D21)))+((C933=TRUE)*(F933-Calc!F28))+((C923=TRUE)*(F923-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920=TRUE)*F920*IF(AND(Inputs!$B$39&lt;&gt;"pvp",Inputs!$B$44&gt;0),(((R920-1)*(Skills!Y15*(1+Inputs!$B$34/100))+MIN((Skills!Y15*(1+Inputs!$B$34/100)),MAX(0,Inputs!$B$44-((R920-1)*Skills!D15))))/Inputs!$B$44),IF(Inputs!$B$39="pvp",MIN((Skills!Y15*(1+Inputs!$B$34/100)),15)/15,(Skills!Y15*(1+Inputs!$B$34/100))/Skills!D15)))/100)*(1+((C911=TRUE)*F911*B939)/100))*B947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922)</f>
        <v/>
      </c>
      <c r="L922">
        <f>K922*(MIN(Inputs!$B$22+((C929=TRUE)*(F929-Calc!F24)),(Inputs!$B$23+0+(IF(ArtifactsInput!$M$15,CHOOSE(ArtifactsInput!$N$15+1,25,30,35,40,45,50)/100*(Inputs!$B$11-Inputs!$B$11),0))))/100+(Inputs!$B$23+0+(IF(ArtifactsInput!$M$15,CHOOSE(ArtifactsInput!$N$15+1,25,30,35,40,45,50)/100*(Inputs!$B$11-Inputs!$B$11),0)))/100)/2</f>
        <v/>
      </c>
      <c r="M922">
        <f>L922*(1+(Inputs!$B$10+((C931=TRUE)*(F931-Calc!F26))+B948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22">
        <f>L922*(1-MIN((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922*(MIN((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22">
        <f>(1-Summary!$B$11)*T922+Summary!$B$11*V922</f>
        <v/>
      </c>
      <c r="P922">
        <f>IF(B949=0,0,O922/B949)</f>
        <v/>
      </c>
      <c r="Q922" t="n">
        <v>0</v>
      </c>
      <c r="R922" t="n">
        <v>0</v>
      </c>
      <c r="S922">
        <f>IFERROR(O922/N922,0)</f>
        <v/>
      </c>
      <c r="T922">
        <f>IF(C922,(Inputs!$B$38*0.2*N922)*IF(Inputs!$B$39="pvp",1,1+(Inputs!$B$20+((C932=TRUE)*(F932-Calc!F27))+Skills!P17+B946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Hunt"),CHOOSE(ArtifactsInput!$N$35+1,15,18,21,24,27,30)*(1-EXP(-(0.2*B941)*5)),0)+IF(AND(ArtifactsInput!$M$22,Inputs!$B$4&lt;&gt;"Chapter Hunt"),CHOOSE(ArtifactsInput!$N$22+1,10,12,14,16,18,20)*((0*(((0.15*B941*5))^0/1)+1*(((0.15*B941*5))^1/1)+2*(((0.15*B941*5))^2/2)+3*(((0.15*B941*5))^3/6)+4*(((0.15*B941*5))^4/24)+5*(((0.15*B941*5))^5/120))/((((0.15*B941*5))^0/1)+(((0.15*B941*5))^1/1)+(((0.15*B941*5))^2/2)+(((0.15*B941*5))^3/6)+(((0.15*B941*5))^4/24)+(((0.15*B941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922*(1-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922*(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922*(1-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922*(MIN(100,(Inputs!$B$9+((C930=TRUE)*(F930-Calc!F25))+B945+(ArtifactsInput!$M$24-ArtifactsInput!$M$24)*CHOOSE(ArtifactsInput!$N$24+1,10,12,14,16,18,20)+(IF(AND(ArtifactsInput!$M$42,((Inputs!$B$9+((C930=TRUE)*(F930-Calc!F25))+B945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22">
        <f>IF(C922,(Inputs!$B$38*0.2*N922)*IF(Inputs!$B$39="pvp",1,(1+(Inputs!$B$21+Skills!Q17+B946+(IF(ArtifactsInput!$M$33,CHOOSE(ArtifactsInput!$N$33+1,30,36,42,48,54,60),0))+(IF(AND(ArtifactsInput!$M$35,Inputs!$B$4&lt;&gt;"Chapter Hunt"),CHOOSE(ArtifactsInput!$N$35+1,15,18,21,24,27,30)*(1-EXP(-(0.2*B941)*5)),0)+IF(AND(ArtifactsInput!$M$22,Inputs!$B$4&lt;&gt;"Chapter Hunt"),CHOOSE(ArtifactsInput!$N$22+1,10,12,14,16,18,20)*((0*(((0.15*B941*5))^0/1)+1*(((0.15*B941*5))^1/1)+2*(((0.15*B941*5))^2/2)+3*(((0.15*B941*5))^3/6)+4*(((0.15*B941*5))^4/24)+5*(((0.15*B941*5))^5/120))/((((0.15*B941*5))^0/1)+(((0.15*B941*5))^1/1)+(((0.15*B941*5))^2/2)+(((0.15*B941*5))^3/6)+(((0.15*B941*5))^4/24)+(((0.15*B941*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23">
      <c r="A923">
        <f>Skills!A18</f>
        <v/>
      </c>
      <c r="B923">
        <f>Skills!B18</f>
        <v/>
      </c>
      <c r="C923">
        <f>Inputs!$B$3&gt;=115</f>
        <v/>
      </c>
      <c r="D923">
        <f>IF(Skills!C18=1,60+Inputs!$B$25+Inputs!$B$29,IF(Skills!C18=2,90+(Inputs!$B$26+1)+Inputs!$B$29,IF(Skills!C18=3,120+Inputs!$B$27+Inputs!$B$29,MAX(0,(Inputs!$B$3-100)*3)+Inputs!$B$28+Inputs!$B$29)))</f>
        <v/>
      </c>
      <c r="E923">
        <f>INDEX(FactorTable!$B$2:$Y$301, MATCH(ROUND(MIN(300,MAX(1,D923)),0), FactorTable!$A$2:$A$301,0), Skills!M18+1)</f>
        <v/>
      </c>
      <c r="F923">
        <f>IF(Skills!N18=TRUE,(Skills!L18/10)*(E923/1000),Skills!L18/10)+Skills!O18</f>
        <v/>
      </c>
      <c r="G923">
        <f>Calc!G18</f>
        <v/>
      </c>
      <c r="H923">
        <f>Calc!H18</f>
        <v/>
      </c>
      <c r="I923">
        <f>IF(Skills!AA18&lt;&gt;"",1+(Skills!AA18/10)*(U908/1000)/100,1)</f>
        <v/>
      </c>
      <c r="J923" t="inlineStr"/>
      <c r="K923" t="inlineStr"/>
      <c r="L923" t="inlineStr"/>
      <c r="M923" t="inlineStr"/>
      <c r="N923" t="inlineStr"/>
      <c r="O923">
        <f>(1-Summary!$B$11)*T923+Summary!$B$11*V923</f>
        <v/>
      </c>
      <c r="P923">
        <f>IF(B949=0,0,O923/B949)</f>
        <v/>
      </c>
      <c r="Q923" t="n">
        <v>0</v>
      </c>
      <c r="R923" t="n">
        <v>0</v>
      </c>
      <c r="S923">
        <f>IFERROR(O923/N923,0)</f>
        <v/>
      </c>
      <c r="T923" t="n">
        <v>0</v>
      </c>
      <c r="V923" t="n">
        <v>0</v>
      </c>
    </row>
    <row r="924">
      <c r="A924">
        <f>Skills!A19</f>
        <v/>
      </c>
      <c r="B924">
        <f>Skills!B19</f>
        <v/>
      </c>
      <c r="C924">
        <f>TRUE</f>
        <v/>
      </c>
      <c r="D924">
        <f>IF(Skills!C19=1,60+Inputs!$B$25+Inputs!$B$29,IF(Skills!C19=2,90+(Inputs!$B$26+1)+Inputs!$B$29,IF(Skills!C19=3,120+Inputs!$B$27+Inputs!$B$29,MAX(0,(Inputs!$B$3-100)*3)+Inputs!$B$28+Inputs!$B$29)))</f>
        <v/>
      </c>
      <c r="E924">
        <f>INDEX(FactorTable!$B$2:$Y$301, MATCH(ROUND(MIN(300,MAX(1,D924)),0), FactorTable!$A$2:$A$301,0), Skills!M19+1)</f>
        <v/>
      </c>
      <c r="F924">
        <f>IF(Skills!N19=TRUE,(Skills!L19/10)*(E924/1000),Skills!L19/10)+Skills!O19</f>
        <v/>
      </c>
      <c r="G924">
        <f>Calc!G19</f>
        <v/>
      </c>
      <c r="H924">
        <f>Calc!H19</f>
        <v/>
      </c>
      <c r="I924">
        <f>IF(Skills!AA19&lt;&gt;"",1+(Skills!AA19/10)*(U908/1000)/100,1)</f>
        <v/>
      </c>
      <c r="J924" t="inlineStr"/>
      <c r="K924" t="inlineStr"/>
      <c r="L924" t="inlineStr"/>
      <c r="M924" t="inlineStr"/>
      <c r="N924" t="inlineStr"/>
      <c r="O924">
        <f>(1-Summary!$B$11)*T924+Summary!$B$11*V924</f>
        <v/>
      </c>
      <c r="P924">
        <f>IF(B949=0,0,O924/B949)</f>
        <v/>
      </c>
      <c r="Q924">
        <f>IFERROR(1/IF(Inputs!$B$39="pvp",15,MAX(0.1,Skills!D19-IF(Skills!E19=TRUE,Inputs!$B$32,0))),0)</f>
        <v/>
      </c>
      <c r="R924">
        <f>IF(AND(Inputs!$B$39&lt;&gt;"pvp",Inputs!$B$44&gt;0),IF(Inputs!$B$44&lt;=0,0,(INT(Inputs!$B$44/IF(Inputs!$B$39="pvp",15,MAX(0.1,Skills!D19-IF(Skills!E19=TRUE,Inputs!$B$32,0))))+1)),0)</f>
        <v/>
      </c>
      <c r="S924">
        <f>IFERROR(O924/N924,0)</f>
        <v/>
      </c>
      <c r="T924" t="n">
        <v>0</v>
      </c>
      <c r="V924" t="n">
        <v>0</v>
      </c>
    </row>
    <row r="925">
      <c r="A925">
        <f>Skills!A20</f>
        <v/>
      </c>
      <c r="B925">
        <f>Skills!B20</f>
        <v/>
      </c>
      <c r="C925">
        <f>Inputs!$B$3&gt;=15</f>
        <v/>
      </c>
      <c r="D925">
        <f>IF(Skills!C20=1,60+Inputs!$B$25+Inputs!$B$29,IF(Skills!C20=2,90+(Inputs!$B$26+1)+Inputs!$B$29,IF(Skills!C20=3,120+Inputs!$B$27+Inputs!$B$29,MAX(0,(Inputs!$B$3-100)*3)+Inputs!$B$28+Inputs!$B$29)))</f>
        <v/>
      </c>
      <c r="E925">
        <f>INDEX(FactorTable!$B$2:$Y$301, MATCH(ROUND(MIN(300,MAX(1,D925)),0), FactorTable!$A$2:$A$301,0), Skills!M20+1)</f>
        <v/>
      </c>
      <c r="F925">
        <f>IF(Skills!N20=TRUE,(Skills!L20/10)*(E925/1000),Skills!L20/10)+Skills!O20</f>
        <v/>
      </c>
      <c r="G925">
        <f>Calc!G20</f>
        <v/>
      </c>
      <c r="H925">
        <f>Calc!H20</f>
        <v/>
      </c>
      <c r="I925">
        <f>IF(Skills!AA20&lt;&gt;"",1+(Skills!AA20/10)*(U908/1000)/100,1)</f>
        <v/>
      </c>
      <c r="J925" t="inlineStr"/>
      <c r="K925" t="inlineStr"/>
      <c r="L925" t="inlineStr"/>
      <c r="M925" t="inlineStr"/>
      <c r="N925" t="inlineStr"/>
      <c r="O925">
        <f>(1-Summary!$B$11)*T925+Summary!$B$11*V925</f>
        <v/>
      </c>
      <c r="P925">
        <f>IF(B949=0,0,O925/B949)</f>
        <v/>
      </c>
      <c r="Q925">
        <f>IFERROR(1/IF(Inputs!$B$39="pvp",15,MAX(0.1,Skills!D20-IF(Skills!E20=TRUE,Inputs!$B$32,0))),0)</f>
        <v/>
      </c>
      <c r="R925">
        <f>IF(AND(Inputs!$B$39&lt;&gt;"pvp",Inputs!$B$44&gt;0),IF(Inputs!$B$44&lt;=0,0,(INT(Inputs!$B$44/IF(Inputs!$B$39="pvp",15,MAX(0.1,Skills!D20-IF(Skills!E20=TRUE,Inputs!$B$32,0))))+1)),0)</f>
        <v/>
      </c>
      <c r="S925">
        <f>IFERROR(O925/N925,0)</f>
        <v/>
      </c>
      <c r="T925" t="n">
        <v>0</v>
      </c>
      <c r="V925" t="n">
        <v>0</v>
      </c>
    </row>
    <row r="926">
      <c r="A926">
        <f>Skills!A21</f>
        <v/>
      </c>
      <c r="B926">
        <f>Skills!B21</f>
        <v/>
      </c>
      <c r="C926">
        <f>Inputs!$B$3&gt;=15</f>
        <v/>
      </c>
      <c r="D926">
        <f>IF(Skills!C21=1,60+Inputs!$B$25+Inputs!$B$29,IF(Skills!C21=2,90+(Inputs!$B$26+1)+Inputs!$B$29,IF(Skills!C21=3,120+Inputs!$B$27+Inputs!$B$29,MAX(0,(Inputs!$B$3-100)*3)+Inputs!$B$28+Inputs!$B$29)))</f>
        <v/>
      </c>
      <c r="E926">
        <f>INDEX(FactorTable!$B$2:$Y$301, MATCH(ROUND(MIN(300,MAX(1,D926)),0), FactorTable!$A$2:$A$301,0), Skills!M21+1)</f>
        <v/>
      </c>
      <c r="F926">
        <f>IF(Skills!N21=TRUE,(Skills!L21/10)*(E926/1000),Skills!L21/10)+Skills!O21</f>
        <v/>
      </c>
      <c r="G926">
        <f>Calc!G21</f>
        <v/>
      </c>
      <c r="H926">
        <f>Calc!H21</f>
        <v/>
      </c>
      <c r="I926">
        <f>IF(Skills!AA21&lt;&gt;"",1+(Skills!AA21/10)*(U908/1000)/100,1)</f>
        <v/>
      </c>
      <c r="J926" t="inlineStr"/>
      <c r="K926" t="inlineStr"/>
      <c r="L926" t="inlineStr"/>
      <c r="M926" t="inlineStr"/>
      <c r="N926" t="inlineStr"/>
      <c r="O926">
        <f>(1-Summary!$B$11)*T926+Summary!$B$11*V926</f>
        <v/>
      </c>
      <c r="P926">
        <f>IF(B949=0,0,O926/B949)</f>
        <v/>
      </c>
      <c r="Q926">
        <f>IFERROR(1/IF(Inputs!$B$39="pvp",15,MAX(0.1,Skills!D21-IF(Skills!E21=TRUE,Inputs!$B$32,0))),0)</f>
        <v/>
      </c>
      <c r="R926">
        <f>IF(AND(Inputs!$B$39&lt;&gt;"pvp",Inputs!$B$44&gt;0),IF(Inputs!$B$44&lt;=0,0,(INT(Inputs!$B$44/IF(Inputs!$B$39="pvp",15,MAX(0.1,Skills!D21-IF(Skills!E21=TRUE,Inputs!$B$32,0))))+1)),0)</f>
        <v/>
      </c>
      <c r="S926">
        <f>IFERROR(O926/N926,0)</f>
        <v/>
      </c>
      <c r="T926" t="n">
        <v>0</v>
      </c>
      <c r="V926" t="n">
        <v>0</v>
      </c>
    </row>
    <row r="927">
      <c r="A927">
        <f>Skills!A22</f>
        <v/>
      </c>
      <c r="B927">
        <f>Skills!B22</f>
        <v/>
      </c>
      <c r="C927">
        <f>Inputs!$B$3&gt;=33</f>
        <v/>
      </c>
      <c r="D927">
        <f>IF(Skills!C22=1,60+Inputs!$B$25+Inputs!$B$29,IF(Skills!C22=2,90+(Inputs!$B$26+1)+Inputs!$B$29,IF(Skills!C22=3,120+Inputs!$B$27+Inputs!$B$29,MAX(0,(Inputs!$B$3-100)*3)+Inputs!$B$28+Inputs!$B$29)))</f>
        <v/>
      </c>
      <c r="E927">
        <f>INDEX(FactorTable!$B$2:$Y$301, MATCH(ROUND(MIN(300,MAX(1,D927)),0), FactorTable!$A$2:$A$301,0), Skills!M22+1)</f>
        <v/>
      </c>
      <c r="F927">
        <f>IF(Skills!N22=TRUE,(Skills!L22/10)*(E927/1000),Skills!L22/10)+Skills!O22</f>
        <v/>
      </c>
      <c r="G927">
        <f>Calc!G22</f>
        <v/>
      </c>
      <c r="H927">
        <f>Calc!H22</f>
        <v/>
      </c>
      <c r="I927">
        <f>IF(Skills!AA22&lt;&gt;"",1+(Skills!AA22/10)*(U908/1000)/100,1)</f>
        <v/>
      </c>
      <c r="J927" t="inlineStr"/>
      <c r="K927" t="inlineStr"/>
      <c r="L927" t="inlineStr"/>
      <c r="M927" t="inlineStr"/>
      <c r="N927" t="inlineStr"/>
      <c r="O927">
        <f>(1-Summary!$B$11)*T927+Summary!$B$11*V927</f>
        <v/>
      </c>
      <c r="P927">
        <f>IF(B949=0,0,O927/B949)</f>
        <v/>
      </c>
      <c r="Q927" t="n">
        <v>0</v>
      </c>
      <c r="R927" t="n">
        <v>0</v>
      </c>
      <c r="S927">
        <f>IFERROR(O927/N927,0)</f>
        <v/>
      </c>
      <c r="T927" t="n">
        <v>0</v>
      </c>
      <c r="V927" t="n">
        <v>0</v>
      </c>
    </row>
    <row r="928">
      <c r="A928">
        <f>Skills!A23</f>
        <v/>
      </c>
      <c r="B928">
        <f>Skills!B23</f>
        <v/>
      </c>
      <c r="C928">
        <f>Inputs!$B$3&gt;=38</f>
        <v/>
      </c>
      <c r="D928">
        <f>IF(Skills!C23=1,60+Inputs!$B$25+Inputs!$B$29,IF(Skills!C23=2,90+(Inputs!$B$26+1)+Inputs!$B$29,IF(Skills!C23=3,120+Inputs!$B$27+Inputs!$B$29,MAX(0,(Inputs!$B$3-100)*3)+Inputs!$B$28+Inputs!$B$29)))</f>
        <v/>
      </c>
      <c r="E928">
        <f>INDEX(FactorTable!$B$2:$Y$301, MATCH(ROUND(MIN(300,MAX(1,D928)),0), FactorTable!$A$2:$A$301,0), Skills!M23+1)</f>
        <v/>
      </c>
      <c r="F928">
        <f>IF(Skills!N23=TRUE,(Skills!L23/10)*(E928/1000),Skills!L23/10)+Skills!O23</f>
        <v/>
      </c>
      <c r="G928">
        <f>Calc!G23</f>
        <v/>
      </c>
      <c r="H928">
        <f>Calc!H23</f>
        <v/>
      </c>
      <c r="I928">
        <f>IF(Skills!AA23&lt;&gt;"",1+(Skills!AA23/10)*(U908/1000)/100,1)</f>
        <v/>
      </c>
      <c r="J928" t="inlineStr"/>
      <c r="K928" t="inlineStr"/>
      <c r="L928" t="inlineStr"/>
      <c r="M928" t="inlineStr"/>
      <c r="N928" t="inlineStr"/>
      <c r="O928">
        <f>(1-Summary!$B$11)*T928+Summary!$B$11*V928</f>
        <v/>
      </c>
      <c r="P928">
        <f>IF(B949=0,0,O928/B949)</f>
        <v/>
      </c>
      <c r="Q928" t="n">
        <v>0</v>
      </c>
      <c r="R928" t="n">
        <v>0</v>
      </c>
      <c r="S928">
        <f>IFERROR(O928/N928,0)</f>
        <v/>
      </c>
      <c r="T928" t="n">
        <v>0</v>
      </c>
      <c r="V928" t="n">
        <v>0</v>
      </c>
    </row>
    <row r="929">
      <c r="A929">
        <f>Skills!A24</f>
        <v/>
      </c>
      <c r="B929">
        <f>Skills!B24</f>
        <v/>
      </c>
      <c r="C929">
        <f>Inputs!$B$3&gt;=40</f>
        <v/>
      </c>
      <c r="D929">
        <f>IF(Skills!C24=1,60+Inputs!$B$25+Inputs!$B$29,IF(Skills!C24=2,90+(Inputs!$B$26+1)+Inputs!$B$29,IF(Skills!C24=3,120+Inputs!$B$27+Inputs!$B$29,MAX(0,(Inputs!$B$3-100)*3)+Inputs!$B$28+Inputs!$B$29)))</f>
        <v/>
      </c>
      <c r="E929">
        <f>INDEX(FactorTable!$B$2:$Y$301, MATCH(ROUND(MIN(300,MAX(1,D929)),0), FactorTable!$A$2:$A$301,0), Skills!M24+1)</f>
        <v/>
      </c>
      <c r="F929">
        <f>IF(Skills!N24=TRUE,(Skills!L24/10)*(E929/1000),Skills!L24/10)+Skills!O24</f>
        <v/>
      </c>
      <c r="G929">
        <f>Calc!G24</f>
        <v/>
      </c>
      <c r="H929">
        <f>Calc!H24</f>
        <v/>
      </c>
      <c r="I929">
        <f>IF(Skills!AA24&lt;&gt;"",1+(Skills!AA24/10)*(U908/1000)/100,1)</f>
        <v/>
      </c>
      <c r="J929" t="inlineStr"/>
      <c r="K929" t="inlineStr"/>
      <c r="L929" t="inlineStr"/>
      <c r="M929" t="inlineStr"/>
      <c r="N929" t="inlineStr"/>
      <c r="O929">
        <f>(1-Summary!$B$11)*T929+Summary!$B$11*V929</f>
        <v/>
      </c>
      <c r="P929">
        <f>IF(B949=0,0,O929/B949)</f>
        <v/>
      </c>
      <c r="Q929" t="n">
        <v>0</v>
      </c>
      <c r="R929" t="n">
        <v>0</v>
      </c>
      <c r="S929">
        <f>IFERROR(O929/N929,0)</f>
        <v/>
      </c>
      <c r="T929" t="n">
        <v>0</v>
      </c>
      <c r="V929" t="n">
        <v>0</v>
      </c>
    </row>
    <row r="930">
      <c r="A930">
        <f>Skills!A25</f>
        <v/>
      </c>
      <c r="B930">
        <f>Skills!B25</f>
        <v/>
      </c>
      <c r="C930">
        <f>Inputs!$B$3&gt;=45</f>
        <v/>
      </c>
      <c r="D930">
        <f>IF(Skills!C25=1,60+Inputs!$B$25+Inputs!$B$29,IF(Skills!C25=2,90+(Inputs!$B$26+1)+Inputs!$B$29,IF(Skills!C25=3,120+Inputs!$B$27+Inputs!$B$29,MAX(0,(Inputs!$B$3-100)*3)+Inputs!$B$28+Inputs!$B$29)))</f>
        <v/>
      </c>
      <c r="E930">
        <f>INDEX(FactorTable!$B$2:$Y$301, MATCH(ROUND(MIN(300,MAX(1,D930)),0), FactorTable!$A$2:$A$301,0), Skills!M25+1)</f>
        <v/>
      </c>
      <c r="F930">
        <f>IF(Skills!N25=TRUE,(Skills!L25/10)*(E930/1000),Skills!L25/10)+Skills!O25</f>
        <v/>
      </c>
      <c r="G930">
        <f>Calc!G25</f>
        <v/>
      </c>
      <c r="H930">
        <f>Calc!H25</f>
        <v/>
      </c>
      <c r="I930">
        <f>IF(Skills!AA25&lt;&gt;"",1+(Skills!AA25/10)*(U908/1000)/100,1)</f>
        <v/>
      </c>
      <c r="J930" t="inlineStr"/>
      <c r="K930" t="inlineStr"/>
      <c r="L930" t="inlineStr"/>
      <c r="M930" t="inlineStr"/>
      <c r="N930" t="inlineStr"/>
      <c r="O930">
        <f>(1-Summary!$B$11)*T930+Summary!$B$11*V930</f>
        <v/>
      </c>
      <c r="P930">
        <f>IF(B949=0,0,O930/B949)</f>
        <v/>
      </c>
      <c r="Q930" t="n">
        <v>0</v>
      </c>
      <c r="R930" t="n">
        <v>0</v>
      </c>
      <c r="S930">
        <f>IFERROR(O930/N930,0)</f>
        <v/>
      </c>
      <c r="T930" t="n">
        <v>0</v>
      </c>
      <c r="V930" t="n">
        <v>0</v>
      </c>
    </row>
    <row r="931">
      <c r="A931">
        <f>Skills!A26</f>
        <v/>
      </c>
      <c r="B931">
        <f>Skills!B26</f>
        <v/>
      </c>
      <c r="C931">
        <f>Inputs!$B$3&gt;=45</f>
        <v/>
      </c>
      <c r="D931">
        <f>IF(Skills!C26=1,60+Inputs!$B$25+Inputs!$B$29,IF(Skills!C26=2,90+(Inputs!$B$26+1)+Inputs!$B$29,IF(Skills!C26=3,120+Inputs!$B$27+Inputs!$B$29,MAX(0,(Inputs!$B$3-100)*3)+Inputs!$B$28+Inputs!$B$29)))</f>
        <v/>
      </c>
      <c r="E931">
        <f>INDEX(FactorTable!$B$2:$Y$301, MATCH(ROUND(MIN(300,MAX(1,D931)),0), FactorTable!$A$2:$A$301,0), Skills!M26+1)</f>
        <v/>
      </c>
      <c r="F931">
        <f>IF(Skills!N26=TRUE,(Skills!L26/10)*(E931/1000),Skills!L26/10)+Skills!O26</f>
        <v/>
      </c>
      <c r="G931">
        <f>Calc!G26</f>
        <v/>
      </c>
      <c r="H931">
        <f>Calc!H26</f>
        <v/>
      </c>
      <c r="I931">
        <f>IF(Skills!AA26&lt;&gt;"",1+(Skills!AA26/10)*(U908/1000)/100,1)</f>
        <v/>
      </c>
      <c r="J931" t="inlineStr"/>
      <c r="K931" t="inlineStr"/>
      <c r="L931" t="inlineStr"/>
      <c r="M931" t="inlineStr"/>
      <c r="N931" t="inlineStr"/>
      <c r="O931">
        <f>(1-Summary!$B$11)*T931+Summary!$B$11*V931</f>
        <v/>
      </c>
      <c r="P931">
        <f>IF(B949=0,0,O931/B949)</f>
        <v/>
      </c>
      <c r="Q931" t="n">
        <v>0</v>
      </c>
      <c r="R931" t="n">
        <v>0</v>
      </c>
      <c r="S931">
        <f>IFERROR(O931/N931,0)</f>
        <v/>
      </c>
      <c r="T931" t="n">
        <v>0</v>
      </c>
      <c r="V931" t="n">
        <v>0</v>
      </c>
    </row>
    <row r="932">
      <c r="A932">
        <f>Skills!A27</f>
        <v/>
      </c>
      <c r="B932">
        <f>Skills!B27</f>
        <v/>
      </c>
      <c r="C932">
        <f>Inputs!$B$3&gt;=72</f>
        <v/>
      </c>
      <c r="D932">
        <f>IF(Skills!C27=1,60+Inputs!$B$25+Inputs!$B$29,IF(Skills!C27=2,90+(Inputs!$B$26+1)+Inputs!$B$29,IF(Skills!C27=3,120+Inputs!$B$27+Inputs!$B$29,MAX(0,(Inputs!$B$3-100)*3)+Inputs!$B$28+Inputs!$B$29)))</f>
        <v/>
      </c>
      <c r="E932">
        <f>INDEX(FactorTable!$B$2:$Y$301, MATCH(ROUND(MIN(300,MAX(1,D932)),0), FactorTable!$A$2:$A$301,0), Skills!M27+1)</f>
        <v/>
      </c>
      <c r="F932">
        <f>IF(Skills!N27=TRUE,(Skills!L27/10)*(E932/1000),Skills!L27/10)+Skills!O27</f>
        <v/>
      </c>
      <c r="G932">
        <f>Calc!G27</f>
        <v/>
      </c>
      <c r="H932">
        <f>Calc!H27</f>
        <v/>
      </c>
      <c r="I932">
        <f>IF(Skills!AA27&lt;&gt;"",1+(Skills!AA27/10)*(U908/1000)/100,1)</f>
        <v/>
      </c>
      <c r="J932" t="inlineStr"/>
      <c r="K932" t="inlineStr"/>
      <c r="L932" t="inlineStr"/>
      <c r="M932" t="inlineStr"/>
      <c r="N932" t="inlineStr"/>
      <c r="O932">
        <f>(1-Summary!$B$11)*T932+Summary!$B$11*V932</f>
        <v/>
      </c>
      <c r="P932">
        <f>IF(B949=0,0,O932/B949)</f>
        <v/>
      </c>
      <c r="Q932" t="n">
        <v>0</v>
      </c>
      <c r="R932" t="n">
        <v>0</v>
      </c>
      <c r="S932">
        <f>IFERROR(O932/N932,0)</f>
        <v/>
      </c>
      <c r="T932" t="n">
        <v>0</v>
      </c>
      <c r="V932" t="n">
        <v>0</v>
      </c>
    </row>
    <row r="933">
      <c r="A933">
        <f>Skills!A28</f>
        <v/>
      </c>
      <c r="B933">
        <f>Skills!B28</f>
        <v/>
      </c>
      <c r="C933">
        <f>Inputs!$B$3&gt;=75</f>
        <v/>
      </c>
      <c r="D933">
        <f>IF(Skills!C28=1,60+Inputs!$B$25+Inputs!$B$29,IF(Skills!C28=2,90+(Inputs!$B$26+1)+Inputs!$B$29,IF(Skills!C28=3,120+Inputs!$B$27+Inputs!$B$29,MAX(0,(Inputs!$B$3-100)*3)+Inputs!$B$28+Inputs!$B$29)))</f>
        <v/>
      </c>
      <c r="E933">
        <f>INDEX(FactorTable!$B$2:$Y$301, MATCH(ROUND(MIN(300,MAX(1,D933)),0), FactorTable!$A$2:$A$301,0), Skills!M28+1)</f>
        <v/>
      </c>
      <c r="F933">
        <f>IF(Skills!N28=TRUE,(Skills!L28/10)*(E933/1000),Skills!L28/10)+Skills!O28</f>
        <v/>
      </c>
      <c r="G933">
        <f>Calc!G28</f>
        <v/>
      </c>
      <c r="H933">
        <f>Calc!H28</f>
        <v/>
      </c>
      <c r="I933">
        <f>IF(Skills!AA28&lt;&gt;"",1+(Skills!AA28/10)*(U908/1000)/100,1)</f>
        <v/>
      </c>
      <c r="J933" t="inlineStr"/>
      <c r="K933" t="inlineStr"/>
      <c r="L933" t="inlineStr"/>
      <c r="M933" t="inlineStr"/>
      <c r="N933" t="inlineStr"/>
      <c r="O933">
        <f>(1-Summary!$B$11)*T933+Summary!$B$11*V933</f>
        <v/>
      </c>
      <c r="P933">
        <f>IF(B949=0,0,O933/B949)</f>
        <v/>
      </c>
      <c r="Q933" t="n">
        <v>0</v>
      </c>
      <c r="R933" t="n">
        <v>0</v>
      </c>
      <c r="S933">
        <f>IFERROR(O933/N933,0)</f>
        <v/>
      </c>
      <c r="T933" t="n">
        <v>0</v>
      </c>
      <c r="V933" t="n">
        <v>0</v>
      </c>
    </row>
    <row r="934">
      <c r="A934">
        <f>Skills!A29</f>
        <v/>
      </c>
      <c r="B934">
        <f>Skills!B29</f>
        <v/>
      </c>
      <c r="C934">
        <f>Inputs!$B$3&gt;=120</f>
        <v/>
      </c>
      <c r="D934">
        <f>IF(Skills!C29=1,60+Inputs!$B$25+Inputs!$B$29,IF(Skills!C29=2,90+(Inputs!$B$26+1)+Inputs!$B$29,IF(Skills!C29=3,120+Inputs!$B$27+Inputs!$B$29,MAX(0,(Inputs!$B$3-100)*3)+Inputs!$B$28+Inputs!$B$29)))</f>
        <v/>
      </c>
      <c r="E934">
        <f>INDEX(FactorTable!$B$2:$Y$301, MATCH(ROUND(MIN(300,MAX(1,D934)),0), FactorTable!$A$2:$A$301,0), Skills!M29+1)</f>
        <v/>
      </c>
      <c r="F934">
        <f>IF(Skills!N29=TRUE,(Skills!L29/10)*(E934/1000),Skills!L29/10)+Skills!O29</f>
        <v/>
      </c>
      <c r="G934">
        <f>Calc!G29</f>
        <v/>
      </c>
      <c r="H934">
        <f>Calc!H29</f>
        <v/>
      </c>
      <c r="I934">
        <f>IF(Skills!AA29&lt;&gt;"",1+(Skills!AA29/10)*(U908/1000)/100,1)</f>
        <v/>
      </c>
      <c r="J934" t="inlineStr"/>
      <c r="K934" t="inlineStr"/>
      <c r="L934" t="inlineStr"/>
      <c r="M934" t="inlineStr"/>
      <c r="N934" t="inlineStr"/>
      <c r="O934">
        <f>(1-Summary!$B$11)*T934+Summary!$B$11*V934</f>
        <v/>
      </c>
      <c r="P934">
        <f>IF(B949=0,0,O934/B949)</f>
        <v/>
      </c>
      <c r="Q934" t="n">
        <v>0</v>
      </c>
      <c r="R934" t="n">
        <v>0</v>
      </c>
      <c r="S934">
        <f>IFERROR(O934/N934,0)</f>
        <v/>
      </c>
      <c r="T934" t="n">
        <v>0</v>
      </c>
      <c r="V934" t="n">
        <v>0</v>
      </c>
    </row>
    <row r="935">
      <c r="A935">
        <f>Skills!A30</f>
        <v/>
      </c>
      <c r="B935">
        <f>Skills!B30</f>
        <v/>
      </c>
      <c r="C935">
        <f>Inputs!$B$3&gt;=125</f>
        <v/>
      </c>
      <c r="D935">
        <f>IF(Skills!C30=1,60+Inputs!$B$25+Inputs!$B$29,IF(Skills!C30=2,90+(Inputs!$B$26+1)+Inputs!$B$29,IF(Skills!C30=3,120+Inputs!$B$27+Inputs!$B$29,MAX(0,(Inputs!$B$3-100)*3)+Inputs!$B$28+Inputs!$B$29)))</f>
        <v/>
      </c>
      <c r="E935">
        <f>INDEX(FactorTable!$B$2:$Y$301, MATCH(ROUND(MIN(300,MAX(1,D935)),0), FactorTable!$A$2:$A$301,0), Skills!M30+1)</f>
        <v/>
      </c>
      <c r="F935">
        <f>IF(Skills!N30=TRUE,(Skills!L30/10)*(E935/1000),Skills!L30/10)+Skills!O30</f>
        <v/>
      </c>
      <c r="G935">
        <f>Calc!G30</f>
        <v/>
      </c>
      <c r="H935">
        <f>Calc!H30</f>
        <v/>
      </c>
      <c r="I935">
        <f>IF(Skills!AA30&lt;&gt;"",1+(Skills!AA30/10)*(U908/1000)/100,1)</f>
        <v/>
      </c>
      <c r="J935" t="inlineStr"/>
      <c r="K935" t="inlineStr"/>
      <c r="L935" t="inlineStr"/>
      <c r="M935" t="inlineStr"/>
      <c r="N935" t="inlineStr"/>
      <c r="O935">
        <f>(1-Summary!$B$11)*T935+Summary!$B$11*V935</f>
        <v/>
      </c>
      <c r="P935">
        <f>IF(B949=0,0,O935/B949)</f>
        <v/>
      </c>
      <c r="Q935" t="n">
        <v>0</v>
      </c>
      <c r="R935" t="n">
        <v>0</v>
      </c>
      <c r="S935">
        <f>IFERROR(O935/N935,0)</f>
        <v/>
      </c>
      <c r="T935" t="n">
        <v>0</v>
      </c>
      <c r="V935" t="n">
        <v>0</v>
      </c>
    </row>
    <row r="936">
      <c r="A936">
        <f>Skills!A31</f>
        <v/>
      </c>
      <c r="B936">
        <f>Skills!B31</f>
        <v/>
      </c>
      <c r="C936">
        <f>Inputs!$B$3&gt;=107</f>
        <v/>
      </c>
      <c r="D936">
        <f>IF(Skills!C31=1,60+Inputs!$B$25+Inputs!$B$29,IF(Skills!C31=2,90+(Inputs!$B$26+1)+Inputs!$B$29,IF(Skills!C31=3,120+Inputs!$B$27+Inputs!$B$29,MAX(0,(Inputs!$B$3-100)*3)+Inputs!$B$28+Inputs!$B$29)))</f>
        <v/>
      </c>
      <c r="E936">
        <f>INDEX(FactorTable!$B$2:$Y$301, MATCH(ROUND(MIN(300,MAX(1,D936)),0), FactorTable!$A$2:$A$301,0), Skills!M31+1)</f>
        <v/>
      </c>
      <c r="F936">
        <f>IF(Skills!N31=TRUE,(Skills!L31/10)*(E936/1000),Skills!L31/10)+Skills!O31</f>
        <v/>
      </c>
      <c r="G936">
        <f>Calc!G31</f>
        <v/>
      </c>
      <c r="H936">
        <f>Calc!H31</f>
        <v/>
      </c>
      <c r="I936">
        <f>IF(Skills!AA31&lt;&gt;"",1+(Skills!AA31/10)*(U908/1000)/100,1)</f>
        <v/>
      </c>
      <c r="J936" t="inlineStr"/>
      <c r="K936" t="inlineStr"/>
      <c r="L936" t="inlineStr"/>
      <c r="M936" t="inlineStr"/>
      <c r="N936" t="inlineStr"/>
      <c r="O936">
        <f>(1-Summary!$B$11)*T936+Summary!$B$11*V936</f>
        <v/>
      </c>
      <c r="P936">
        <f>IF(B949=0,0,O936/B949)</f>
        <v/>
      </c>
      <c r="Q936" t="n">
        <v>0</v>
      </c>
      <c r="R936" t="n">
        <v>0</v>
      </c>
      <c r="S936">
        <f>IFERROR(O936/N936,0)</f>
        <v/>
      </c>
      <c r="T936" t="n">
        <v>0</v>
      </c>
      <c r="V936" t="n">
        <v>0</v>
      </c>
    </row>
    <row r="938">
      <c r="A938" t="inlineStr">
        <is>
          <t>Actions Per Second (pre-Adrenalin)</t>
        </is>
      </c>
      <c r="B938">
        <f>1+MIN(150,150*(1-(1-(Inputs!$B$11+((C927=TRUE)*(F927-Calc!F22))+(ArtifactsInput!$M$15-ArtifactsInput!$M$15)*CHOOSE(ArtifactsInput!$N$15+1,8,9.6,11.2,12.8,14.4,16))/150)*(1-((C924=TRUE)*F924*IF(AND(Inputs!$B$39&lt;&gt;"pvp",Inputs!$B$44&gt;0),(((R924-1)*(Skills!Y19*(1+Inputs!$B$34/100))+MIN((Skills!Y19*(1+Inputs!$B$34/100)),MAX(0,Inputs!$B$44-((R924-1)*Skills!D19))))/Inputs!$B$44),IF(Inputs!$B$39="pvp",MIN((Skills!Y19*(1+Inputs!$B$34/100)),15)/15,(Skills!Y19*(1+Inputs!$B$34/100))/Skills!D19)))/150)))/100</f>
        <v/>
      </c>
    </row>
    <row r="939">
      <c r="A939" t="inlineStr">
        <is>
          <t>Alchemic Adrenaline Uptime</t>
        </is>
      </c>
      <c r="B939">
        <f>(Skills!Y6*(1+Inputs!$B$34/100))/((Skills!Y6*(1+Inputs!$B$34/100))+(5/B938))</f>
        <v/>
      </c>
    </row>
    <row r="940">
      <c r="A940" t="inlineStr">
        <is>
          <t>Attack Speed Buff Bonus %</t>
        </is>
      </c>
      <c r="B940">
        <f>((C924=TRUE)*F924*IF(AND(Inputs!$B$39&lt;&gt;"pvp",Inputs!$B$44&gt;0),(((R924-1)*(Skills!Y19*(1+Inputs!$B$34/100))+MIN((Skills!Y19*(1+Inputs!$B$34/100)),MAX(0,Inputs!$B$44-((R924-1)*Skills!D19))))/Inputs!$B$44),IF(Inputs!$B$39="pvp",MIN((Skills!Y19*(1+Inputs!$B$34/100)),15)/15,(Skills!Y19*(1+Inputs!$B$34/100))/Skills!D19)))+((C912=TRUE)*F912*B939)</f>
        <v/>
      </c>
    </row>
    <row r="941">
      <c r="A941" t="inlineStr">
        <is>
          <t>Actions Per Second (final)</t>
        </is>
      </c>
      <c r="B941">
        <f>1+MIN(150,150*(1-(1-(Inputs!$B$11+((C927=TRUE)*(F927-Calc!F22))+(ArtifactsInput!$M$15-ArtifactsInput!$M$15)*CHOOSE(ArtifactsInput!$N$15+1,8,9.6,11.2,12.8,14.4,16))/150)*(1-B940/150)))/100</f>
        <v/>
      </c>
    </row>
    <row r="942">
      <c r="A942" t="inlineStr">
        <is>
          <t>Skill + Buff Cast Rate</t>
        </is>
      </c>
      <c r="B942">
        <f>IF(AND(Inputs!$B$39&lt;&gt;"pvp",Inputs!$B$44&gt;0),SUMPRODUCT((Skills!E2:E31=TRUE)*(C907:C936=TRUE)*R907:R936*Skills!F2:F31)/Inputs!$B$44,SUMPRODUCT((Skills!E2:E31=TRUE)*(C907:C936=TRUE)*Q907:Q936*Skills!F2:F31))</f>
        <v/>
      </c>
    </row>
    <row r="943">
      <c r="A943" t="inlineStr">
        <is>
          <t>Showdown Casts Per Second</t>
        </is>
      </c>
      <c r="B943">
        <f>MAX(0,B941-B942)</f>
        <v/>
      </c>
    </row>
    <row r="944">
      <c r="A944" t="inlineStr">
        <is>
          <t>Average Buff Multiplier</t>
        </is>
      </c>
      <c r="B944">
        <f>(1+(((C926=TRUE)*F926*IF(AND(Inputs!$B$39&lt;&gt;"pvp",Inputs!$B$44&gt;0),(((R926-1)*(Skills!Y21*(1+Inputs!$B$34/100))+MIN((Skills!Y21*(1+Inputs!$B$34/100)),MAX(0,Inputs!$B$44-((R926-1)*Skills!D21))))/Inputs!$B$44),IF(Inputs!$B$39="pvp",MIN((Skills!Y21*(1+Inputs!$B$34/100)),15)/15,(Skills!Y21*(1+Inputs!$B$34/100))/Skills!D21)))+((C933=TRUE)*(F933-Calc!F28))+((C923=TRUE)*(F923-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920=TRUE)*F920*IF(AND(Inputs!$B$39&lt;&gt;"pvp",Inputs!$B$44&gt;0),(((R920-1)*(Skills!Y15*(1+Inputs!$B$34/100))+MIN((Skills!Y15*(1+Inputs!$B$34/100)),MAX(0,Inputs!$B$44-((R920-1)*Skills!D15))))/Inputs!$B$44),IF(Inputs!$B$39="pvp",MIN((Skills!Y15*(1+Inputs!$B$34/100)),15)/15,(Skills!Y15*(1+Inputs!$B$34/100))/Skills!D15)))/100)*(1+((C911=TRUE)*F911*B939)/100)</f>
        <v/>
      </c>
    </row>
    <row r="945">
      <c r="A945" t="inlineStr">
        <is>
          <t>Global Crit Rate Bonus %</t>
        </is>
      </c>
      <c r="B945">
        <f>IF(Inputs!$B$3&gt;=47,8,0)+((C925=TRUE)*F925*IF(AND(Inputs!$B$39&lt;&gt;"pvp",Inputs!$B$44&gt;0),(((R925-1)*(Skills!Y20*(1+Inputs!$B$34/100))+MIN((Skills!Y20*(1+Inputs!$B$34/100)),MAX(0,Inputs!$B$44-((R925-1)*Skills!D20))))/Inputs!$B$44),IF(Inputs!$B$39="pvp",MIN((Skills!Y20*(1+Inputs!$B$34/100)),15)/15,(Skills!Y20*(1+Inputs!$B$34/100))/Skills!D20)))</f>
        <v/>
      </c>
    </row>
    <row r="946">
      <c r="A946" t="inlineStr">
        <is>
          <t>Global Monster Damage-Taken Bonus %</t>
        </is>
      </c>
      <c r="B946">
        <f>IF(Inputs!$B$3&gt;=82,15,0)+((C921=TRUE)*F921*IF(AND(Inputs!$B$39&lt;&gt;"pvp",Inputs!$B$44&gt;0),(((R921-1)*(Skills!Y16*(1+Inputs!$B$34/100))+MIN((Skills!Y16*(1+Inputs!$B$34/100)),MAX(0,Inputs!$B$44-((R921-1)*Skills!D16))))/Inputs!$B$44),IF(Inputs!$B$39="pvp",MIN((Skills!Y16*(1+Inputs!$B$34/100)),15)/15,(Skills!Y16*(1+Inputs!$B$34/100))/Skills!D16)))</f>
        <v/>
      </c>
    </row>
    <row r="947">
      <c r="A947" t="inlineStr">
        <is>
          <t>Shadow Partner Average Multiplier</t>
        </is>
      </c>
      <c r="B947">
        <f>1+((C916=TRUE)*F916*I916*Skills!J11/100)/100</f>
        <v/>
      </c>
    </row>
    <row r="948">
      <c r="A948" t="inlineStr">
        <is>
          <t>Global Critical Damage Bonus % (Frailty Curse Mastery Lv.111)</t>
        </is>
      </c>
      <c r="B948">
        <f>IF(Inputs!$B$3&gt;=111,30,0)*IF(AND(Inputs!$B$39&lt;&gt;"pvp",Inputs!$B$44&gt;0),(((R921-1)*(Skills!Y16*(1+Inputs!$B$34/100))+MIN((Skills!Y16*(1+Inputs!$B$34/100)),MAX(0,Inputs!$B$44-((R921-1)*Skills!D16))))/Inputs!$B$44),IF(Inputs!$B$39="pvp",MIN((Skills!Y16*(1+Inputs!$B$34/100)),15)/15,(Skills!Y16*(1+Inputs!$B$34/100))/Skills!D16))</f>
        <v/>
      </c>
    </row>
    <row r="949">
      <c r="A949" s="6" t="inlineStr">
        <is>
          <t>TOTAL DPS</t>
        </is>
      </c>
      <c r="B949" s="6">
        <f>SUM(O907:O936)</f>
        <v/>
      </c>
    </row>
    <row r="950">
      <c r="A950" t="inlineStr">
        <is>
          <t>Buff-Casting Startup Delay (s, fixed-duration only)</t>
        </is>
      </c>
      <c r="B950">
        <f>IF(AND(Inputs!$B$39&lt;&gt;"pvp",Inputs!$B$44&gt;0),SUMPRODUCT((Skills!Y2:Y31&gt;0)*(Skills!E2:E31=TRUE)*(C907:C936=TRUE))/B941,0)</f>
        <v/>
      </c>
    </row>
    <row r="951">
      <c r="A951" t="inlineStr">
        <is>
          <t>Boss-Only Total DPS (this block's swept value)</t>
        </is>
      </c>
      <c r="B951">
        <f>SUM(T907:T936)</f>
        <v/>
      </c>
    </row>
    <row r="952">
      <c r="A952" t="inlineStr">
        <is>
          <t>Normal-Only Total DPS (this block's swept value)</t>
        </is>
      </c>
      <c r="B952">
        <f>SUM(V907:V936)</f>
        <v/>
      </c>
    </row>
    <row r="954">
      <c r="A954" s="6" t="inlineStr">
        <is>
          <t>Stat: Skill Level Bonus — 3rd Job</t>
        </is>
      </c>
    </row>
    <row r="955">
      <c r="A955" s="5" t="inlineStr">
        <is>
          <t>Key</t>
        </is>
      </c>
      <c r="B955" s="5" t="inlineStr">
        <is>
          <t>Name</t>
        </is>
      </c>
      <c r="C955" s="5" t="inlineStr">
        <is>
          <t>Unlocked</t>
        </is>
      </c>
      <c r="D955" s="5" t="inlineStr">
        <is>
          <t>InputLevel</t>
        </is>
      </c>
      <c r="E955" s="5" t="inlineStr">
        <is>
          <t>Factor</t>
        </is>
      </c>
      <c r="F955" s="5" t="inlineStr">
        <is>
          <t>CoefficientPercent</t>
        </is>
      </c>
      <c r="G955" s="5" t="inlineStr">
        <is>
          <t>EffectiveHits</t>
        </is>
      </c>
      <c r="H955" s="5" t="inlineStr">
        <is>
          <t>ProcProbability</t>
        </is>
      </c>
      <c r="I955" s="5" t="inlineStr">
        <is>
          <t>MapleHeroMultiplier</t>
        </is>
      </c>
      <c r="J955" s="5" t="inlineStr">
        <is>
          <t>BaseDamage</t>
        </is>
      </c>
      <c r="K955" s="5" t="inlineStr">
        <is>
          <t>BaseHitDamage</t>
        </is>
      </c>
      <c r="L955" s="5" t="inlineStr">
        <is>
          <t>NonCritAvg</t>
        </is>
      </c>
      <c r="M955" s="5" t="inlineStr">
        <is>
          <t>CritAvg</t>
        </is>
      </c>
      <c r="N955" s="5" t="inlineStr">
        <is>
          <t>ExpectedDamage(perHit)</t>
        </is>
      </c>
      <c r="O955" s="5" t="inlineStr">
        <is>
          <t>DPS</t>
        </is>
      </c>
      <c r="P955" s="5" t="inlineStr">
        <is>
          <t>% of Total</t>
        </is>
      </c>
      <c r="Q955" s="5" t="inlineStr">
        <is>
          <t>InvCooldown</t>
        </is>
      </c>
      <c r="R955" s="5" t="inlineStr">
        <is>
          <t>CastsInFight</t>
        </is>
      </c>
      <c r="S955" s="5" t="inlineStr">
        <is>
          <t>HitRate(perSec)</t>
        </is>
      </c>
      <c r="U955" t="inlineStr">
        <is>
          <t>helpers</t>
        </is>
      </c>
    </row>
    <row r="956">
      <c r="A956">
        <f>Skills!A2</f>
        <v/>
      </c>
      <c r="B956">
        <f>Skills!B2</f>
        <v/>
      </c>
      <c r="C956">
        <f>Inputs!$B$3&gt;=100</f>
        <v/>
      </c>
      <c r="D956" t="inlineStr"/>
      <c r="E956" t="inlineStr"/>
      <c r="F956">
        <f>U960+Skills!O2</f>
        <v/>
      </c>
      <c r="G956">
        <f>Calc!G2</f>
        <v/>
      </c>
      <c r="H956">
        <f>Calc!H2</f>
        <v/>
      </c>
      <c r="I956">
        <f>IF(Skills!AA2&lt;&gt;"",1+(Skills!AA2/10)*(U957/1000)/100,1)</f>
        <v/>
      </c>
      <c r="J956">
        <f>((Inputs!$B$6*(1+Inputs!$B$7/100))+(((Inputs!$B$12*(1+Inputs!$B$13/100))-(Inputs!$B$12*(1+Inputs!$B$13/100)))+0.25*(Inputs!$B$14-Inputs!$B$14))*(1+Inputs!$B$7/100))*(F956/100)</f>
        <v/>
      </c>
      <c r="K956">
        <f>J956*(1+((Inputs!$B$12*(1+Inputs!$B$13/100))*0.01+Inputs!$B$14*0.0025)/100)*(1+Inputs!$B$15/100)*(1+Inputs!$B$16/100)*(5000/(6000+Inputs!$B$43*(1-(100*(1-(1-(Inputs!$B$19+0)/100)*(1-CHOOSE(ArtifactsInput!$N$40+1,5,6,7,8,9,10)/100)^(ArtifactsInput!$M$40-ArtifactsInput!$M$40)))/100)))*(1+(Inputs!$B$24+((C984=TRUE)*(F984-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977=TRUE)*(F977-Calc!F23))+(((IF(AND(ArtifactsInput!$M$42,((Inputs!$B$9+((C979=TRUE)*(F979-Calc!F25))+B994+(ArtifactsInput!$M$24-ArtifactsInput!$M$24)*CHOOSE(ArtifactsInput!$N$24+1,10,12,14,16,18,20)+IF(ArtifactsInput!$M$10,CHOOSE(ArtifactsInput!$N$10+1,15,18,21,24,27,30)*(IF(Inputs!$B$39="pvp",MIN(15,15)/15,IF(AND(Inputs!$B$39&lt;&gt;"pvp",Inputs!$B$44&gt;0),MIN(15,Inputs!$B$44)/(Inputs!$B$44),0))),0)))&gt;=100),MIN(100,((Inputs!$B$9+((C979=TRUE)*(F979-Calc!F25))+B994+(ArtifactsInput!$M$24-ArtifactsInput!$M$24)*CHOOSE(ArtifactsInput!$N$24+1,10,12,14,16,18,20)+IF(ArtifactsInput!$M$10,CHOOSE(ArtifactsInput!$N$10+1,15,18,21,24,27,30)*(IF(Inputs!$B$39="pvp",MIN(15,15)/15,IF(AND(Inputs!$B$39&lt;&gt;"pvp",Inputs!$B$44&gt;0),MIN(15,Inputs!$B$44)/(Inputs!$B$44),0))),0)))-100),0))*CHOOSE(ArtifactsInput!$N$42+1,0.6,0.72,0.84,0.96,1.08,1.2))),Inputs!$B$18+((C983=TRUE)*(F983-Calc!F29))+(IF(AND(ArtifactsInput!$M$42,((Inputs!$B$9+((C979=TRUE)*(F979-Calc!F25))+B994+(ArtifactsInput!$M$24-ArtifactsInput!$M$24)*CHOOSE(ArtifactsInput!$N$24+1,10,12,14,16,18,20)+IF(ArtifactsInput!$M$10,CHOOSE(ArtifactsInput!$N$10+1,15,18,21,24,27,30)*(IF(Inputs!$B$39="pvp",MIN(15,15)/15,IF(AND(Inputs!$B$39&lt;&gt;"pvp",Inputs!$B$44&gt;0),MIN(15,Inputs!$B$44)/(Inputs!$B$44),0))),0)))&gt;=100),CHOOSE(ArtifactsInput!$N$42+1,40,48,56,64,72,80),0))))/100)*(((1+(((C975=TRUE)*F975*IF(AND(Inputs!$B$39&lt;&gt;"pvp",Inputs!$B$44&gt;0),(((R975-1)*(Skills!Y21*(1+Inputs!$B$34/100))+MIN((Skills!Y21*(1+Inputs!$B$34/100)),MAX(0,Inputs!$B$44-((R975-1)*Skills!D21))))/Inputs!$B$44),IF(Inputs!$B$39="pvp",MIN((Skills!Y21*(1+Inputs!$B$34/100)),15)/15,(Skills!Y21*(1+Inputs!$B$34/100))/Skills!D21)))+((C982=TRUE)*(F982-Calc!F28))+((C972=TRUE)*(F972-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969=TRUE)*F969*IF(AND(Inputs!$B$39&lt;&gt;"pvp",Inputs!$B$44&gt;0),(((R969-1)*(Skills!Y15*(1+Inputs!$B$34/100))+MIN((Skills!Y15*(1+Inputs!$B$34/100)),MAX(0,Inputs!$B$44-((R969-1)*Skills!D15))))/Inputs!$B$44),IF(Inputs!$B$39="pvp",MIN((Skills!Y15*(1+Inputs!$B$34/100)),15)/15,(Skills!Y15*(1+Inputs!$B$34/100))/Skills!D15)))/100)*(1+((C960=TRUE)*F960*B988)/100))*B996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956)</f>
        <v/>
      </c>
      <c r="L956">
        <f>K956*(MIN(Inputs!$B$22+((C978=TRUE)*(F978-Calc!F24)),(Inputs!$B$23+0+(IF(ArtifactsInput!$M$15,CHOOSE(ArtifactsInput!$N$15+1,25,30,35,40,45,50)/100*(Inputs!$B$11-Inputs!$B$11),0))))/100+(Inputs!$B$23+0+(IF(ArtifactsInput!$M$15,CHOOSE(ArtifactsInput!$N$15+1,25,30,35,40,45,50)/100*(Inputs!$B$11-Inputs!$B$11),0)))/100)/2</f>
        <v/>
      </c>
      <c r="M956">
        <f>L956*(1+(Inputs!$B$10+((C980=TRUE)*(F980-Calc!F26))+B997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56">
        <f>L956*(1-MIN((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956*(MIN((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56">
        <f>(1-Summary!$B$11)*T956+Summary!$B$11*V956</f>
        <v/>
      </c>
      <c r="P956">
        <f>IF(B998=0,0,O956/B998)</f>
        <v/>
      </c>
      <c r="Q956" t="n">
        <v>0</v>
      </c>
      <c r="R956" t="n">
        <v>0</v>
      </c>
      <c r="S956">
        <f>IFERROR(O956/N956,0)</f>
        <v/>
      </c>
      <c r="T956">
        <f>IF(C956,(Skills!G2*N956*B992)*IF(Inputs!$B$39="pvp",1,1+(Inputs!$B$20+((C981=TRUE)*(F981-Calc!F27))+Skills!P2+B995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Hunt"),CHOOSE(ArtifactsInput!$N$35+1,15,18,21,24,27,30)*(1-EXP(-(0.2*B990)*5)),0)+IF(AND(ArtifactsInput!$M$22,Inputs!$B$4&lt;&gt;"Chapter Hunt"),CHOOSE(ArtifactsInput!$N$22+1,10,12,14,16,18,20)*((0*(((0.15*B990*5))^0/1)+1*(((0.15*B990*5))^1/1)+2*(((0.15*B990*5))^2/2)+3*(((0.15*B990*5))^3/6)+4*(((0.15*B990*5))^4/24)+5*(((0.15*B990*5))^5/120))/((((0.15*B990*5))^0/1)+(((0.15*B990*5))^1/1)+(((0.15*B990*5))^2/2)+(((0.15*B990*5))^3/6)+(((0.15*B990*5))^4/24)+(((0.15*B990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956*(1-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956*(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956*(1-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956*(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56">
        <f>MAX(0,(Inputs!$B$3-100)*3)+Inputs!$B$28+Inputs!$B$29</f>
        <v/>
      </c>
      <c r="V956">
        <f>IF(C956,(Skills!G2*N956*B992)*IF(Inputs!$B$39="pvp",1,(1+(Inputs!$B$21+Skills!Q2+B995+(IF(ArtifactsInput!$M$33,CHOOSE(ArtifactsInput!$N$33+1,30,36,42,48,54,60),0))+(IF(AND(ArtifactsInput!$M$35,Inputs!$B$4&lt;&gt;"Chapter Hunt"),CHOOSE(ArtifactsInput!$N$35+1,15,18,21,24,27,30)*(1-EXP(-(0.2*B990)*5)),0)+IF(AND(ArtifactsInput!$M$22,Inputs!$B$4&lt;&gt;"Chapter Hunt"),CHOOSE(ArtifactsInput!$N$22+1,10,12,14,16,18,20)*((0*(((0.15*B990*5))^0/1)+1*(((0.15*B990*5))^1/1)+2*(((0.15*B990*5))^2/2)+3*(((0.15*B990*5))^3/6)+4*(((0.15*B990*5))^4/24)+5*(((0.15*B990*5))^5/120))/((((0.15*B990*5))^0/1)+(((0.15*B990*5))^1/1)+(((0.15*B990*5))^2/2)+(((0.15*B990*5))^3/6)+(((0.15*B990*5))^4/24)+(((0.15*B990*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57">
      <c r="A957">
        <f>Skills!A3</f>
        <v/>
      </c>
      <c r="B957">
        <f>Skills!B3</f>
        <v/>
      </c>
      <c r="C957">
        <f>Inputs!$B$3&gt;=35</f>
        <v/>
      </c>
      <c r="D957">
        <f>IF(Skills!C3=1,60+Inputs!$B$25+Inputs!$B$29,IF(Skills!C3=2,90+Inputs!$B$26+Inputs!$B$29,IF(Skills!C3=3,120+(Inputs!$B$27+1)+Inputs!$B$29,MAX(0,(Inputs!$B$3-100)*3)+Inputs!$B$28+Inputs!$B$29)))</f>
        <v/>
      </c>
      <c r="E957">
        <f>INDEX(FactorTable!$B$2:$Y$301, MATCH(ROUND(MIN(300,MAX(1,D957)),0), FactorTable!$A$2:$A$301,0), Skills!M3+1)</f>
        <v/>
      </c>
      <c r="F957">
        <f>IF(Skills!N3=TRUE,(Skills!L3/10)*(E957/1000),Skills!L3/10)+Skills!O3</f>
        <v/>
      </c>
      <c r="G957">
        <f>Calc!G3</f>
        <v/>
      </c>
      <c r="H957">
        <f>Calc!H3</f>
        <v/>
      </c>
      <c r="I957">
        <f>IF(Skills!AA3&lt;&gt;"",1+(Skills!AA3/10)*(U957/1000)/100,1)</f>
        <v/>
      </c>
      <c r="J957">
        <f>((Inputs!$B$6*(1+Inputs!$B$7/100))+(((Inputs!$B$12*(1+Inputs!$B$13/100))-(Inputs!$B$12*(1+Inputs!$B$13/100)))+0.25*(Inputs!$B$14-Inputs!$B$14))*(1+Inputs!$B$7/100))*(F957/100)</f>
        <v/>
      </c>
      <c r="K957">
        <f>J957*(1+((Inputs!$B$12*(1+Inputs!$B$13/100))*0.01+Inputs!$B$14*0.0025)/100)*(1+Inputs!$B$15/100)*(1+Inputs!$B$16/100)*(5000/(6000+Inputs!$B$43*(1-(100*(1-(1-(Inputs!$B$19+0)/100)*(1-CHOOSE(ArtifactsInput!$N$40+1,5,6,7,8,9,10)/100)^(ArtifactsInput!$M$40-ArtifactsInput!$M$40)))/100)))*(1+(Inputs!$B$24+((C984=TRUE)*(F984-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977=TRUE)*(F977-Calc!F23))+(((IF(AND(ArtifactsInput!$M$42,((Inputs!$B$9+((C979=TRUE)*(F979-Calc!F25))+B994+(ArtifactsInput!$M$24-ArtifactsInput!$M$24)*CHOOSE(ArtifactsInput!$N$24+1,10,12,14,16,18,20)+IF(ArtifactsInput!$M$10,CHOOSE(ArtifactsInput!$N$10+1,15,18,21,24,27,30)*(IF(Inputs!$B$39="pvp",MIN(15,15)/15,IF(AND(Inputs!$B$39&lt;&gt;"pvp",Inputs!$B$44&gt;0),MIN(15,Inputs!$B$44)/(Inputs!$B$44),0))),0)))&gt;=100),MIN(100,((Inputs!$B$9+((C979=TRUE)*(F979-Calc!F25))+B994+(ArtifactsInput!$M$24-ArtifactsInput!$M$24)*CHOOSE(ArtifactsInput!$N$24+1,10,12,14,16,18,20)+IF(ArtifactsInput!$M$10,CHOOSE(ArtifactsInput!$N$10+1,15,18,21,24,27,30)*(IF(Inputs!$B$39="pvp",MIN(15,15)/15,IF(AND(Inputs!$B$39&lt;&gt;"pvp",Inputs!$B$44&gt;0),MIN(15,Inputs!$B$44)/(Inputs!$B$44),0))),0)))-100),0))*CHOOSE(ArtifactsInput!$N$42+1,0.6,0.72,0.84,0.96,1.08,1.2))),Inputs!$B$18+((C983=TRUE)*(F983-Calc!F29))+(IF(AND(ArtifactsInput!$M$42,((Inputs!$B$9+((C979=TRUE)*(F979-Calc!F25))+B994+(ArtifactsInput!$M$24-ArtifactsInput!$M$24)*CHOOSE(ArtifactsInput!$N$24+1,10,12,14,16,18,20)+IF(ArtifactsInput!$M$10,CHOOSE(ArtifactsInput!$N$10+1,15,18,21,24,27,30)*(IF(Inputs!$B$39="pvp",MIN(15,15)/15,IF(AND(Inputs!$B$39&lt;&gt;"pvp",Inputs!$B$44&gt;0),MIN(15,Inputs!$B$44)/(Inputs!$B$44),0))),0)))&gt;=100),CHOOSE(ArtifactsInput!$N$42+1,40,48,56,64,72,80),0))))/100)*(((1+(((C975=TRUE)*F975*IF(AND(Inputs!$B$39&lt;&gt;"pvp",Inputs!$B$44&gt;0),(((R975-1)*(Skills!Y21*(1+Inputs!$B$34/100))+MIN((Skills!Y21*(1+Inputs!$B$34/100)),MAX(0,Inputs!$B$44-((R975-1)*Skills!D21))))/Inputs!$B$44),IF(Inputs!$B$39="pvp",MIN((Skills!Y21*(1+Inputs!$B$34/100)),15)/15,(Skills!Y21*(1+Inputs!$B$34/100))/Skills!D21)))+((C982=TRUE)*(F982-Calc!F28))+((C972=TRUE)*(F972-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969=TRUE)*F969*IF(AND(Inputs!$B$39&lt;&gt;"pvp",Inputs!$B$44&gt;0),(((R969-1)*(Skills!Y15*(1+Inputs!$B$34/100))+MIN((Skills!Y15*(1+Inputs!$B$34/100)),MAX(0,Inputs!$B$44-((R969-1)*Skills!D15))))/Inputs!$B$44),IF(Inputs!$B$39="pvp",MIN((Skills!Y15*(1+Inputs!$B$34/100)),15)/15,(Skills!Y15*(1+Inputs!$B$34/100))/Skills!D15)))/100)*(1+((C960=TRUE)*F960*B988)/100))*B996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957)</f>
        <v/>
      </c>
      <c r="L957">
        <f>K957*(MIN(Inputs!$B$22+((C978=TRUE)*(F978-Calc!F24)),(Inputs!$B$23+0+(IF(ArtifactsInput!$M$15,CHOOSE(ArtifactsInput!$N$15+1,25,30,35,40,45,50)/100*(Inputs!$B$11-Inputs!$B$11),0))))/100+(Inputs!$B$23+0+(IF(ArtifactsInput!$M$15,CHOOSE(ArtifactsInput!$N$15+1,25,30,35,40,45,50)/100*(Inputs!$B$11-Inputs!$B$11),0)))/100)/2</f>
        <v/>
      </c>
      <c r="M957">
        <f>L957*(1+(Inputs!$B$10+((C980=TRUE)*(F980-Calc!F26))+B997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57">
        <f>L957*(1-MIN((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957*(MIN((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57">
        <f>(1-Summary!$B$11)*T957+Summary!$B$11*V957</f>
        <v/>
      </c>
      <c r="P957">
        <f>IF(B998=0,0,O957/B998)</f>
        <v/>
      </c>
      <c r="Q957">
        <f>IFERROR(1/IF(Inputs!$B$39="pvp",15,MAX(0.1,Skills!D3-IF(Skills!E3=TRUE,Inputs!$B$32,0))),0)</f>
        <v/>
      </c>
      <c r="R957">
        <f>IF(AND(Inputs!$B$39&lt;&gt;"pvp",Inputs!$B$44&gt;0),IF(MAX(0,Inputs!$B$44-B999)&lt;=0,0,(INT(MAX(0,Inputs!$B$44-B999)/IF(Inputs!$B$39="pvp",15,MAX(0.1,Skills!D3-IF(Skills!E3=TRUE,Inputs!$B$32,0))))+1)),0)</f>
        <v/>
      </c>
      <c r="S957">
        <f>IFERROR(O957/N957,0)</f>
        <v/>
      </c>
      <c r="T957">
        <f>IF(C957,(H957*N957*IF(AND(Inputs!$B$39&lt;&gt;"pvp",Inputs!$B$44&gt;0),((Skills!G3*((R957-1)*IF(Skills!H3&gt;0,Skills!I3/Skills!H3,1)+IF(Skills!H3&gt;0,MIN(Skills!I3,MAX(0,MAX(0,Inputs!$B$44-B999)-((R957-1)*IF(Inputs!$B$39="pvp",15,MAX(0.1,Skills!D3-IF(Skills!E3=TRUE,Inputs!$B$32,0))))))/Skills!H3,1)))/Inputs!$B$44),G957*Q957))*IF(Inputs!$B$39="pvp",1,1+(Inputs!$B$20+((C981=TRUE)*(F981-Calc!F27))+Skills!P3+B995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Hunt"),CHOOSE(ArtifactsInput!$N$35+1,15,18,21,24,27,30)*(1-EXP(-(0.2*B990)*5)),0)+IF(AND(ArtifactsInput!$M$22,Inputs!$B$4&lt;&gt;"Chapter Hunt"),CHOOSE(ArtifactsInput!$N$22+1,10,12,14,16,18,20)*((0*(((0.15*B990*5))^0/1)+1*(((0.15*B990*5))^1/1)+2*(((0.15*B990*5))^2/2)+3*(((0.15*B990*5))^3/6)+4*(((0.15*B990*5))^4/24)+5*(((0.15*B990*5))^5/120))/((((0.15*B990*5))^0/1)+(((0.15*B990*5))^1/1)+(((0.15*B990*5))^2/2)+(((0.15*B990*5))^3/6)+(((0.15*B990*5))^4/24)+(((0.15*B990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957*(1-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957*(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957*(1-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957*(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57">
        <f>INDEX(FactorTable!$B$2:$Y$301, MATCH(ROUND(MIN(300,MAX(1,U956)),0), FactorTable!$A$2:$A$301,0), 24)</f>
        <v/>
      </c>
      <c r="V957">
        <f>IF(C957,(H957*N957*IF(AND(Inputs!$B$39&lt;&gt;"pvp",Inputs!$B$44&gt;0),((Skills!G3*((R957-1)*IF(Skills!H3&gt;0,Skills!I3/Skills!H3,1)+IF(Skills!H3&gt;0,MIN(Skills!I3,MAX(0,MAX(0,Inputs!$B$44-B999)-((R957-1)*IF(Inputs!$B$39="pvp",15,MAX(0.1,Skills!D3-IF(Skills!E3=TRUE,Inputs!$B$32,0))))))/Skills!H3,1)))/Inputs!$B$44),G957*Q957))*IF(Inputs!$B$39="pvp",1,(1+(Inputs!$B$21+Skills!Q3+B995+(IF(ArtifactsInput!$M$33,CHOOSE(ArtifactsInput!$N$33+1,30,36,42,48,54,60),0))+(IF(AND(ArtifactsInput!$M$35,Inputs!$B$4&lt;&gt;"Chapter Hunt"),CHOOSE(ArtifactsInput!$N$35+1,15,18,21,24,27,30)*(1-EXP(-(0.2*B990)*5)),0)+IF(AND(ArtifactsInput!$M$22,Inputs!$B$4&lt;&gt;"Chapter Hunt"),CHOOSE(ArtifactsInput!$N$22+1,10,12,14,16,18,20)*((0*(((0.15*B990*5))^0/1)+1*(((0.15*B990*5))^1/1)+2*(((0.15*B990*5))^2/2)+3*(((0.15*B990*5))^3/6)+4*(((0.15*B990*5))^4/24)+5*(((0.15*B990*5))^5/120))/((((0.15*B990*5))^0/1)+(((0.15*B990*5))^1/1)+(((0.15*B990*5))^2/2)+(((0.15*B990*5))^3/6)+(((0.15*B990*5))^4/24)+(((0.15*B990*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58">
      <c r="A958">
        <f>Skills!A4</f>
        <v/>
      </c>
      <c r="B958">
        <f>Skills!B4</f>
        <v/>
      </c>
      <c r="C958">
        <f>Inputs!$B$3&gt;=40</f>
        <v/>
      </c>
      <c r="D958">
        <f>IF(Skills!C4=1,60+Inputs!$B$25+Inputs!$B$29,IF(Skills!C4=2,90+Inputs!$B$26+Inputs!$B$29,IF(Skills!C4=3,120+(Inputs!$B$27+1)+Inputs!$B$29,MAX(0,(Inputs!$B$3-100)*3)+Inputs!$B$28+Inputs!$B$29)))</f>
        <v/>
      </c>
      <c r="E958">
        <f>INDEX(FactorTable!$B$2:$Y$301, MATCH(ROUND(MIN(300,MAX(1,D958)),0), FactorTable!$A$2:$A$301,0), Skills!M4+1)</f>
        <v/>
      </c>
      <c r="F958">
        <f>IF(Skills!N4=TRUE,(Skills!L4/10)*(E958/1000),Skills!L4/10)+Skills!O4</f>
        <v/>
      </c>
      <c r="G958">
        <f>Calc!G4</f>
        <v/>
      </c>
      <c r="H958">
        <f>Calc!H4</f>
        <v/>
      </c>
      <c r="I958">
        <f>IF(Skills!AA4&lt;&gt;"",1+(Skills!AA4/10)*(U957/1000)/100,1)</f>
        <v/>
      </c>
      <c r="J958">
        <f>((Inputs!$B$6*(1+Inputs!$B$7/100))+(((Inputs!$B$12*(1+Inputs!$B$13/100))-(Inputs!$B$12*(1+Inputs!$B$13/100)))+0.25*(Inputs!$B$14-Inputs!$B$14))*(1+Inputs!$B$7/100))*(F958/100)</f>
        <v/>
      </c>
      <c r="K958">
        <f>J958*(1+((Inputs!$B$12*(1+Inputs!$B$13/100))*0.01+Inputs!$B$14*0.0025)/100)*(1+Inputs!$B$15/100)*(1+Inputs!$B$16/100)*(5000/(6000+Inputs!$B$43*(1-(100*(1-(1-(Inputs!$B$19+0)/100)*(1-CHOOSE(ArtifactsInput!$N$40+1,5,6,7,8,9,10)/100)^(ArtifactsInput!$M$40-ArtifactsInput!$M$40)))/100)))*(1+(Inputs!$B$24+((C984=TRUE)*(F984-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977=TRUE)*(F977-Calc!F23))+(((IF(AND(ArtifactsInput!$M$42,((Inputs!$B$9+((C979=TRUE)*(F979-Calc!F25))+B994+(ArtifactsInput!$M$24-ArtifactsInput!$M$24)*CHOOSE(ArtifactsInput!$N$24+1,10,12,14,16,18,20)+IF(ArtifactsInput!$M$10,CHOOSE(ArtifactsInput!$N$10+1,15,18,21,24,27,30)*(IF(Inputs!$B$39="pvp",MIN(15,15)/15,IF(AND(Inputs!$B$39&lt;&gt;"pvp",Inputs!$B$44&gt;0),MIN(15,Inputs!$B$44)/(Inputs!$B$44),0))),0)))&gt;=100),MIN(100,((Inputs!$B$9+((C979=TRUE)*(F979-Calc!F25))+B994+(ArtifactsInput!$M$24-ArtifactsInput!$M$24)*CHOOSE(ArtifactsInput!$N$24+1,10,12,14,16,18,20)+IF(ArtifactsInput!$M$10,CHOOSE(ArtifactsInput!$N$10+1,15,18,21,24,27,30)*(IF(Inputs!$B$39="pvp",MIN(15,15)/15,IF(AND(Inputs!$B$39&lt;&gt;"pvp",Inputs!$B$44&gt;0),MIN(15,Inputs!$B$44)/(Inputs!$B$44),0))),0)))-100),0))*CHOOSE(ArtifactsInput!$N$42+1,0.6,0.72,0.84,0.96,1.08,1.2))),Inputs!$B$18+((C983=TRUE)*(F983-Calc!F29))+(IF(AND(ArtifactsInput!$M$42,((Inputs!$B$9+((C979=TRUE)*(F979-Calc!F25))+B994+(ArtifactsInput!$M$24-ArtifactsInput!$M$24)*CHOOSE(ArtifactsInput!$N$24+1,10,12,14,16,18,20)+IF(ArtifactsInput!$M$10,CHOOSE(ArtifactsInput!$N$10+1,15,18,21,24,27,30)*(IF(Inputs!$B$39="pvp",MIN(15,15)/15,IF(AND(Inputs!$B$39&lt;&gt;"pvp",Inputs!$B$44&gt;0),MIN(15,Inputs!$B$44)/(Inputs!$B$44),0))),0)))&gt;=100),CHOOSE(ArtifactsInput!$N$42+1,40,48,56,64,72,80),0))))/100)*(((1+(((C975=TRUE)*F975*IF(AND(Inputs!$B$39&lt;&gt;"pvp",Inputs!$B$44&gt;0),(((R975-1)*(Skills!Y21*(1+Inputs!$B$34/100))+MIN((Skills!Y21*(1+Inputs!$B$34/100)),MAX(0,Inputs!$B$44-((R975-1)*Skills!D21))))/Inputs!$B$44),IF(Inputs!$B$39="pvp",MIN((Skills!Y21*(1+Inputs!$B$34/100)),15)/15,(Skills!Y21*(1+Inputs!$B$34/100))/Skills!D21)))+((C982=TRUE)*(F982-Calc!F28))+((C972=TRUE)*(F972-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969=TRUE)*F969*IF(AND(Inputs!$B$39&lt;&gt;"pvp",Inputs!$B$44&gt;0),(((R969-1)*(Skills!Y15*(1+Inputs!$B$34/100))+MIN((Skills!Y15*(1+Inputs!$B$34/100)),MAX(0,Inputs!$B$44-((R969-1)*Skills!D15))))/Inputs!$B$44),IF(Inputs!$B$39="pvp",MIN((Skills!Y15*(1+Inputs!$B$34/100)),15)/15,(Skills!Y15*(1+Inputs!$B$34/100))/Skills!D15)))/100)*(1+((C960=TRUE)*F960*B988)/100))*B996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958)</f>
        <v/>
      </c>
      <c r="L958">
        <f>K958*(MIN(Inputs!$B$22+((C978=TRUE)*(F978-Calc!F24)),(Inputs!$B$23+0+(IF(ArtifactsInput!$M$15,CHOOSE(ArtifactsInput!$N$15+1,25,30,35,40,45,50)/100*(Inputs!$B$11-Inputs!$B$11),0))))/100+(Inputs!$B$23+0+(IF(ArtifactsInput!$M$15,CHOOSE(ArtifactsInput!$N$15+1,25,30,35,40,45,50)/100*(Inputs!$B$11-Inputs!$B$11),0)))/100)/2</f>
        <v/>
      </c>
      <c r="M958">
        <f>L958*(1+(Inputs!$B$10+((C980=TRUE)*(F980-Calc!F26))+B997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58">
        <f>L958*(1-MIN((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958*(MIN((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58">
        <f>(1-Summary!$B$11)*T958+Summary!$B$11*V958</f>
        <v/>
      </c>
      <c r="P958">
        <f>IF(B998=0,0,O958/B998)</f>
        <v/>
      </c>
      <c r="Q958">
        <f>IFERROR(1/IF(Inputs!$B$39="pvp",15,MAX(0.1,Skills!D4-IF(Skills!E4=TRUE,Inputs!$B$32,0))),0)</f>
        <v/>
      </c>
      <c r="R958">
        <f>IF(AND(Inputs!$B$39&lt;&gt;"pvp",Inputs!$B$44&gt;0),IF(MAX(0,Inputs!$B$44-B999)&lt;=0,0,(INT(MAX(0,Inputs!$B$44-B999)/IF(Inputs!$B$39="pvp",15,MAX(0.1,Skills!D4-IF(Skills!E4=TRUE,Inputs!$B$32,0))))+1)),0)</f>
        <v/>
      </c>
      <c r="S958">
        <f>IFERROR(O958/N958,0)</f>
        <v/>
      </c>
      <c r="T958">
        <f>IF(C958,(H958*N958*IF(AND(Inputs!$B$39&lt;&gt;"pvp",Inputs!$B$44&gt;0),((Skills!G4*((R958-1)*IF(Skills!H4&gt;0,Skills!I4/Skills!H4,1)+IF(Skills!H4&gt;0,MIN(Skills!I4,MAX(0,MAX(0,Inputs!$B$44-B999)-((R958-1)*IF(Inputs!$B$39="pvp",15,MAX(0.1,Skills!D4-IF(Skills!E4=TRUE,Inputs!$B$32,0))))))/Skills!H4,1)))/Inputs!$B$44),G958*Q958))*IF(Inputs!$B$39="pvp",1,1+(Inputs!$B$20+((C981=TRUE)*(F981-Calc!F27))+Skills!P4+B995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Hunt"),CHOOSE(ArtifactsInput!$N$35+1,15,18,21,24,27,30)*(1-EXP(-(0.2*B990)*5)),0)+IF(AND(ArtifactsInput!$M$22,Inputs!$B$4&lt;&gt;"Chapter Hunt"),CHOOSE(ArtifactsInput!$N$22+1,10,12,14,16,18,20)*((0*(((0.15*B990*5))^0/1)+1*(((0.15*B990*5))^1/1)+2*(((0.15*B990*5))^2/2)+3*(((0.15*B990*5))^3/6)+4*(((0.15*B990*5))^4/24)+5*(((0.15*B990*5))^5/120))/((((0.15*B990*5))^0/1)+(((0.15*B990*5))^1/1)+(((0.15*B990*5))^2/2)+(((0.15*B990*5))^3/6)+(((0.15*B990*5))^4/24)+(((0.15*B990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958*(1-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958*(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958*(1-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958*(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58">
        <f>MAX(0,(Inputs!$B$3-100)*3)+Inputs!$B$28+Inputs!$B$29</f>
        <v/>
      </c>
      <c r="V958">
        <f>IF(C958,(H958*N958*IF(AND(Inputs!$B$39&lt;&gt;"pvp",Inputs!$B$44&gt;0),((Skills!G4*((R958-1)*IF(Skills!H4&gt;0,Skills!I4/Skills!H4,1)+IF(Skills!H4&gt;0,MIN(Skills!I4,MAX(0,MAX(0,Inputs!$B$44-B999)-((R958-1)*IF(Inputs!$B$39="pvp",15,MAX(0.1,Skills!D4-IF(Skills!E4=TRUE,Inputs!$B$32,0))))))/Skills!H4,1)))/Inputs!$B$44),G958*Q958))*IF(Inputs!$B$39="pvp",1,(1+(Inputs!$B$21+Skills!Q4+B995+(IF(ArtifactsInput!$M$33,CHOOSE(ArtifactsInput!$N$33+1,30,36,42,48,54,60),0))+(IF(AND(ArtifactsInput!$M$35,Inputs!$B$4&lt;&gt;"Chapter Hunt"),CHOOSE(ArtifactsInput!$N$35+1,15,18,21,24,27,30)*(1-EXP(-(0.2*B990)*5)),0)+IF(AND(ArtifactsInput!$M$22,Inputs!$B$4&lt;&gt;"Chapter Hunt"),CHOOSE(ArtifactsInput!$N$22+1,10,12,14,16,18,20)*((0*(((0.15*B990*5))^0/1)+1*(((0.15*B990*5))^1/1)+2*(((0.15*B990*5))^2/2)+3*(((0.15*B990*5))^3/6)+4*(((0.15*B990*5))^4/24)+5*(((0.15*B990*5))^5/120))/((((0.15*B990*5))^0/1)+(((0.15*B990*5))^1/1)+(((0.15*B990*5))^2/2)+(((0.15*B990*5))^3/6)+(((0.15*B990*5))^4/24)+(((0.15*B990*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59">
      <c r="A959">
        <f>Skills!A5</f>
        <v/>
      </c>
      <c r="B959">
        <f>Skills!B5</f>
        <v/>
      </c>
      <c r="C959">
        <f>Inputs!$B$3&gt;=63</f>
        <v/>
      </c>
      <c r="D959">
        <f>IF(Skills!C5=1,60+Inputs!$B$25+Inputs!$B$29,IF(Skills!C5=2,90+Inputs!$B$26+Inputs!$B$29,IF(Skills!C5=3,120+(Inputs!$B$27+1)+Inputs!$B$29,MAX(0,(Inputs!$B$3-100)*3)+Inputs!$B$28+Inputs!$B$29)))</f>
        <v/>
      </c>
      <c r="E959">
        <f>INDEX(FactorTable!$B$2:$Y$301, MATCH(ROUND(MIN(300,MAX(1,D959)),0), FactorTable!$A$2:$A$301,0), Skills!M5+1)</f>
        <v/>
      </c>
      <c r="F959">
        <f>IF(Skills!N5=TRUE,(Skills!L5/10)*(E959/1000),Skills!L5/10)+Skills!O5</f>
        <v/>
      </c>
      <c r="G959">
        <f>Calc!G5</f>
        <v/>
      </c>
      <c r="H959">
        <f>Calc!H5</f>
        <v/>
      </c>
      <c r="I959">
        <f>IF(Skills!AA5&lt;&gt;"",1+(Skills!AA5/10)*(U957/1000)/100,1)</f>
        <v/>
      </c>
      <c r="J959">
        <f>((Inputs!$B$6*(1+Inputs!$B$7/100))+(((Inputs!$B$12*(1+Inputs!$B$13/100))-(Inputs!$B$12*(1+Inputs!$B$13/100)))+0.25*(Inputs!$B$14-Inputs!$B$14))*(1+Inputs!$B$7/100))*(F959/100)</f>
        <v/>
      </c>
      <c r="K959">
        <f>J959*(1+((Inputs!$B$12*(1+Inputs!$B$13/100))*0.01+Inputs!$B$14*0.0025)/100)*(1+Inputs!$B$15/100)*(1+Inputs!$B$16/100)*(5000/(6000+Inputs!$B$43*(1-(100*(1-(1-(Inputs!$B$19+0)/100)*(1-CHOOSE(ArtifactsInput!$N$40+1,5,6,7,8,9,10)/100)^(ArtifactsInput!$M$40-ArtifactsInput!$M$40)))/100)))*(1+(Inputs!$B$24+((C984=TRUE)*(F984-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977=TRUE)*(F977-Calc!F23))+(((IF(AND(ArtifactsInput!$M$42,((Inputs!$B$9+((C979=TRUE)*(F979-Calc!F25))+B994+(ArtifactsInput!$M$24-ArtifactsInput!$M$24)*CHOOSE(ArtifactsInput!$N$24+1,10,12,14,16,18,20)+IF(ArtifactsInput!$M$10,CHOOSE(ArtifactsInput!$N$10+1,15,18,21,24,27,30)*(IF(Inputs!$B$39="pvp",MIN(15,15)/15,IF(AND(Inputs!$B$39&lt;&gt;"pvp",Inputs!$B$44&gt;0),MIN(15,Inputs!$B$44)/(Inputs!$B$44),0))),0)))&gt;=100),MIN(100,((Inputs!$B$9+((C979=TRUE)*(F979-Calc!F25))+B994+(ArtifactsInput!$M$24-ArtifactsInput!$M$24)*CHOOSE(ArtifactsInput!$N$24+1,10,12,14,16,18,20)+IF(ArtifactsInput!$M$10,CHOOSE(ArtifactsInput!$N$10+1,15,18,21,24,27,30)*(IF(Inputs!$B$39="pvp",MIN(15,15)/15,IF(AND(Inputs!$B$39&lt;&gt;"pvp",Inputs!$B$44&gt;0),MIN(15,Inputs!$B$44)/(Inputs!$B$44),0))),0)))-100),0))*CHOOSE(ArtifactsInput!$N$42+1,0.6,0.72,0.84,0.96,1.08,1.2))),Inputs!$B$18+((C983=TRUE)*(F983-Calc!F29))+(IF(AND(ArtifactsInput!$M$42,((Inputs!$B$9+((C979=TRUE)*(F979-Calc!F25))+B994+(ArtifactsInput!$M$24-ArtifactsInput!$M$24)*CHOOSE(ArtifactsInput!$N$24+1,10,12,14,16,18,20)+IF(ArtifactsInput!$M$10,CHOOSE(ArtifactsInput!$N$10+1,15,18,21,24,27,30)*(IF(Inputs!$B$39="pvp",MIN(15,15)/15,IF(AND(Inputs!$B$39&lt;&gt;"pvp",Inputs!$B$44&gt;0),MIN(15,Inputs!$B$44)/(Inputs!$B$44),0))),0)))&gt;=100),CHOOSE(ArtifactsInput!$N$42+1,40,48,56,64,72,80),0))))/100)*(((1+(((C975=TRUE)*F975*IF(AND(Inputs!$B$39&lt;&gt;"pvp",Inputs!$B$44&gt;0),(((R975-1)*(Skills!Y21*(1+Inputs!$B$34/100))+MIN((Skills!Y21*(1+Inputs!$B$34/100)),MAX(0,Inputs!$B$44-((R975-1)*Skills!D21))))/Inputs!$B$44),IF(Inputs!$B$39="pvp",MIN((Skills!Y21*(1+Inputs!$B$34/100)),15)/15,(Skills!Y21*(1+Inputs!$B$34/100))/Skills!D21)))+((C982=TRUE)*(F982-Calc!F28))+((C972=TRUE)*(F972-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969=TRUE)*F969*IF(AND(Inputs!$B$39&lt;&gt;"pvp",Inputs!$B$44&gt;0),(((R969-1)*(Skills!Y15*(1+Inputs!$B$34/100))+MIN((Skills!Y15*(1+Inputs!$B$34/100)),MAX(0,Inputs!$B$44-((R969-1)*Skills!D15))))/Inputs!$B$44),IF(Inputs!$B$39="pvp",MIN((Skills!Y15*(1+Inputs!$B$34/100)),15)/15,(Skills!Y15*(1+Inputs!$B$34/100))/Skills!D15)))/100)*(1+((C960=TRUE)*F960*B988)/100))*B996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959)</f>
        <v/>
      </c>
      <c r="L959">
        <f>K959*(MIN(Inputs!$B$22+((C978=TRUE)*(F978-Calc!F24)),(Inputs!$B$23+0+(IF(ArtifactsInput!$M$15,CHOOSE(ArtifactsInput!$N$15+1,25,30,35,40,45,50)/100*(Inputs!$B$11-Inputs!$B$11),0))))/100+(Inputs!$B$23+0+(IF(ArtifactsInput!$M$15,CHOOSE(ArtifactsInput!$N$15+1,25,30,35,40,45,50)/100*(Inputs!$B$11-Inputs!$B$11),0)))/100)/2</f>
        <v/>
      </c>
      <c r="M959">
        <f>L959*(1+(Inputs!$B$10+((C980=TRUE)*(F980-Calc!F26))+B997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59">
        <f>L959*(1-MIN((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959*(MIN((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59">
        <f>(1-Summary!$B$11)*T959+Summary!$B$11*V959</f>
        <v/>
      </c>
      <c r="P959">
        <f>IF(B998=0,0,O959/B998)</f>
        <v/>
      </c>
      <c r="Q959">
        <f>IFERROR(1/IF(Inputs!$B$39="pvp",15,MAX(0.1,Skills!D5-IF(Skills!E5=TRUE,Inputs!$B$32,0))),0)</f>
        <v/>
      </c>
      <c r="R959">
        <f>IF(AND(Inputs!$B$39&lt;&gt;"pvp",Inputs!$B$44&gt;0),IF(MAX(0,Inputs!$B$44-B999)&lt;=0,0,(INT(MAX(0,Inputs!$B$44-B999)/IF(Inputs!$B$39="pvp",15,MAX(0.1,Skills!D5-IF(Skills!E5=TRUE,Inputs!$B$32,0))))+1)),0)</f>
        <v/>
      </c>
      <c r="S959">
        <f>IFERROR(O959/N959,0)</f>
        <v/>
      </c>
      <c r="T959">
        <f>IF(C959,(H959*N959*IF(AND(Inputs!$B$39&lt;&gt;"pvp",Inputs!$B$44&gt;0),((Skills!G5*((R959-1)*IF(Skills!H5&gt;0,Skills!I5/Skills!H5,1)+IF(Skills!H5&gt;0,MIN(Skills!I5,MAX(0,MAX(0,Inputs!$B$44-B999)-((R959-1)*IF(Inputs!$B$39="pvp",15,MAX(0.1,Skills!D5-IF(Skills!E5=TRUE,Inputs!$B$32,0))))))/Skills!H5,1)))/Inputs!$B$44),G959*Q959))*IF(Inputs!$B$39="pvp",1,1+(Inputs!$B$20+((C981=TRUE)*(F981-Calc!F27))+Skills!P5+B995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Hunt"),CHOOSE(ArtifactsInput!$N$35+1,15,18,21,24,27,30)*(1-EXP(-(0.2*B990)*5)),0)+IF(AND(ArtifactsInput!$M$22,Inputs!$B$4&lt;&gt;"Chapter Hunt"),CHOOSE(ArtifactsInput!$N$22+1,10,12,14,16,18,20)*((0*(((0.15*B990*5))^0/1)+1*(((0.15*B990*5))^1/1)+2*(((0.15*B990*5))^2/2)+3*(((0.15*B990*5))^3/6)+4*(((0.15*B990*5))^4/24)+5*(((0.15*B990*5))^5/120))/((((0.15*B990*5))^0/1)+(((0.15*B990*5))^1/1)+(((0.15*B990*5))^2/2)+(((0.15*B990*5))^3/6)+(((0.15*B990*5))^4/24)+(((0.15*B990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959*(1-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959*(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959*(1-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959*(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59">
        <f>INDEX(FactorTable!$B$2:$Y$301, MATCH(ROUND(MIN(300,MAX(1,U958)),0), FactorTable!$A$2:$A$301,0), 22)</f>
        <v/>
      </c>
      <c r="V959">
        <f>IF(C959,(H959*N959*IF(AND(Inputs!$B$39&lt;&gt;"pvp",Inputs!$B$44&gt;0),((Skills!G5*((R959-1)*IF(Skills!H5&gt;0,Skills!I5/Skills!H5,1)+IF(Skills!H5&gt;0,MIN(Skills!I5,MAX(0,MAX(0,Inputs!$B$44-B999)-((R959-1)*IF(Inputs!$B$39="pvp",15,MAX(0.1,Skills!D5-IF(Skills!E5=TRUE,Inputs!$B$32,0))))))/Skills!H5,1)))/Inputs!$B$44),G959*Q959))*IF(Inputs!$B$39="pvp",1,(1+(Inputs!$B$21+Skills!Q5+B995+(IF(ArtifactsInput!$M$33,CHOOSE(ArtifactsInput!$N$33+1,30,36,42,48,54,60),0))+(IF(AND(ArtifactsInput!$M$35,Inputs!$B$4&lt;&gt;"Chapter Hunt"),CHOOSE(ArtifactsInput!$N$35+1,15,18,21,24,27,30)*(1-EXP(-(0.2*B990)*5)),0)+IF(AND(ArtifactsInput!$M$22,Inputs!$B$4&lt;&gt;"Chapter Hunt"),CHOOSE(ArtifactsInput!$N$22+1,10,12,14,16,18,20)*((0*(((0.15*B990*5))^0/1)+1*(((0.15*B990*5))^1/1)+2*(((0.15*B990*5))^2/2)+3*(((0.15*B990*5))^3/6)+4*(((0.15*B990*5))^4/24)+5*(((0.15*B990*5))^5/120))/((((0.15*B990*5))^0/1)+(((0.15*B990*5))^1/1)+(((0.15*B990*5))^2/2)+(((0.15*B990*5))^3/6)+(((0.15*B990*5))^4/24)+(((0.15*B990*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60">
      <c r="A960">
        <f>Skills!A6</f>
        <v/>
      </c>
      <c r="B960">
        <f>Skills!B6</f>
        <v/>
      </c>
      <c r="C960">
        <f>Inputs!$B$3&gt;=66</f>
        <v/>
      </c>
      <c r="D960">
        <f>IF(Skills!C6=1,60+Inputs!$B$25+Inputs!$B$29,IF(Skills!C6=2,90+Inputs!$B$26+Inputs!$B$29,IF(Skills!C6=3,120+(Inputs!$B$27+1)+Inputs!$B$29,MAX(0,(Inputs!$B$3-100)*3)+Inputs!$B$28+Inputs!$B$29)))</f>
        <v/>
      </c>
      <c r="E960">
        <f>INDEX(FactorTable!$B$2:$Y$301, MATCH(ROUND(MIN(300,MAX(1,D960)),0), FactorTable!$A$2:$A$301,0), Skills!M6+1)</f>
        <v/>
      </c>
      <c r="F960">
        <f>IF(Skills!N6=TRUE,(Skills!L6/10)*(E960/1000),Skills!L6/10)+Skills!O6</f>
        <v/>
      </c>
      <c r="G960">
        <f>Calc!G6</f>
        <v/>
      </c>
      <c r="H960">
        <f>Calc!H6</f>
        <v/>
      </c>
      <c r="I960">
        <f>IF(Skills!AA6&lt;&gt;"",1+(Skills!AA6/10)*(U957/1000)/100,1)</f>
        <v/>
      </c>
      <c r="J960" t="inlineStr"/>
      <c r="K960" t="inlineStr"/>
      <c r="L960" t="inlineStr"/>
      <c r="M960" t="inlineStr"/>
      <c r="N960" t="inlineStr"/>
      <c r="O960">
        <f>(1-Summary!$B$11)*T960+Summary!$B$11*V960</f>
        <v/>
      </c>
      <c r="P960">
        <f>IF(B998=0,0,O960/B998)</f>
        <v/>
      </c>
      <c r="Q960" t="n">
        <v>0</v>
      </c>
      <c r="R960" t="n">
        <v>0</v>
      </c>
      <c r="S960">
        <f>IFERROR(O960/N960,0)</f>
        <v/>
      </c>
      <c r="T960" t="n">
        <v>0</v>
      </c>
      <c r="U960">
        <f>290*U959/1000</f>
        <v/>
      </c>
      <c r="V960" t="n">
        <v>0</v>
      </c>
    </row>
    <row r="961">
      <c r="A961">
        <f>Skills!A7</f>
        <v/>
      </c>
      <c r="B961">
        <f>Skills!B7</f>
        <v/>
      </c>
      <c r="C961">
        <f>Inputs!$B$3&gt;=66</f>
        <v/>
      </c>
      <c r="D961">
        <f>IF(Skills!C7=1,60+Inputs!$B$25+Inputs!$B$29,IF(Skills!C7=2,90+Inputs!$B$26+Inputs!$B$29,IF(Skills!C7=3,120+(Inputs!$B$27+1)+Inputs!$B$29,MAX(0,(Inputs!$B$3-100)*3)+Inputs!$B$28+Inputs!$B$29)))</f>
        <v/>
      </c>
      <c r="E961">
        <f>INDEX(FactorTable!$B$2:$Y$301, MATCH(ROUND(MIN(300,MAX(1,D961)),0), FactorTable!$A$2:$A$301,0), Skills!M7+1)</f>
        <v/>
      </c>
      <c r="F961">
        <f>IF(Skills!N7=TRUE,(Skills!L7/10)*(E961/1000),Skills!L7/10)+Skills!O7</f>
        <v/>
      </c>
      <c r="G961">
        <f>Calc!G7</f>
        <v/>
      </c>
      <c r="H961">
        <f>Calc!H7</f>
        <v/>
      </c>
      <c r="I961">
        <f>IF(Skills!AA7&lt;&gt;"",1+(Skills!AA7/10)*(U957/1000)/100,1)</f>
        <v/>
      </c>
      <c r="J961" t="inlineStr"/>
      <c r="K961" t="inlineStr"/>
      <c r="L961" t="inlineStr"/>
      <c r="M961" t="inlineStr"/>
      <c r="N961" t="inlineStr"/>
      <c r="O961">
        <f>(1-Summary!$B$11)*T961+Summary!$B$11*V961</f>
        <v/>
      </c>
      <c r="P961">
        <f>IF(B998=0,0,O961/B998)</f>
        <v/>
      </c>
      <c r="Q961" t="n">
        <v>0</v>
      </c>
      <c r="R961" t="n">
        <v>0</v>
      </c>
      <c r="S961">
        <f>IFERROR(O961/N961,0)</f>
        <v/>
      </c>
      <c r="T961" t="n">
        <v>0</v>
      </c>
      <c r="V961" t="n">
        <v>0</v>
      </c>
    </row>
    <row r="962">
      <c r="A962">
        <f>Skills!A8</f>
        <v/>
      </c>
      <c r="B962">
        <f>Skills!B8</f>
        <v/>
      </c>
      <c r="C962">
        <f>Inputs!$B$3&gt;=69</f>
        <v/>
      </c>
      <c r="D962">
        <f>IF(Skills!C8=1,60+Inputs!$B$25+Inputs!$B$29,IF(Skills!C8=2,90+Inputs!$B$26+Inputs!$B$29,IF(Skills!C8=3,120+(Inputs!$B$27+1)+Inputs!$B$29,MAX(0,(Inputs!$B$3-100)*3)+Inputs!$B$28+Inputs!$B$29)))</f>
        <v/>
      </c>
      <c r="E962">
        <f>INDEX(FactorTable!$B$2:$Y$301, MATCH(ROUND(MIN(300,MAX(1,D962)),0), FactorTable!$A$2:$A$301,0), Skills!M8+1)</f>
        <v/>
      </c>
      <c r="F962">
        <f>IF(Skills!N8=TRUE,(Skills!L8/10)*(E962/1000),Skills!L8/10)+Skills!O8</f>
        <v/>
      </c>
      <c r="G962">
        <f>Calc!G8</f>
        <v/>
      </c>
      <c r="H962">
        <f>Calc!H8</f>
        <v/>
      </c>
      <c r="I962">
        <f>IF(Skills!AA8&lt;&gt;"",1+(Skills!AA8/10)*(U957/1000)/100,1)</f>
        <v/>
      </c>
      <c r="J962">
        <f>((Inputs!$B$6*(1+Inputs!$B$7/100))+(((Inputs!$B$12*(1+Inputs!$B$13/100))-(Inputs!$B$12*(1+Inputs!$B$13/100)))+0.25*(Inputs!$B$14-Inputs!$B$14))*(1+Inputs!$B$7/100))*(F962/100)</f>
        <v/>
      </c>
      <c r="K962">
        <f>J962*(1+((Inputs!$B$12*(1+Inputs!$B$13/100))*0.01+Inputs!$B$14*0.0025)/100)*(1+Inputs!$B$15/100)*(1+Inputs!$B$16/100)*(5000/(6000+Inputs!$B$43*(1-(100*(1-(1-(Inputs!$B$19+0)/100)*(1-CHOOSE(ArtifactsInput!$N$40+1,5,6,7,8,9,10)/100)^(ArtifactsInput!$M$40-ArtifactsInput!$M$40)))/100)))*(1+(Inputs!$B$24+((C984=TRUE)*(F984-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977=TRUE)*(F977-Calc!F23))+(((IF(AND(ArtifactsInput!$M$42,((Inputs!$B$9+((C979=TRUE)*(F979-Calc!F25))+B994+(ArtifactsInput!$M$24-ArtifactsInput!$M$24)*CHOOSE(ArtifactsInput!$N$24+1,10,12,14,16,18,20)+IF(ArtifactsInput!$M$10,CHOOSE(ArtifactsInput!$N$10+1,15,18,21,24,27,30)*(IF(Inputs!$B$39="pvp",MIN(15,15)/15,IF(AND(Inputs!$B$39&lt;&gt;"pvp",Inputs!$B$44&gt;0),MIN(15,Inputs!$B$44)/(Inputs!$B$44),0))),0)))&gt;=100),MIN(100,((Inputs!$B$9+((C979=TRUE)*(F979-Calc!F25))+B994+(ArtifactsInput!$M$24-ArtifactsInput!$M$24)*CHOOSE(ArtifactsInput!$N$24+1,10,12,14,16,18,20)+IF(ArtifactsInput!$M$10,CHOOSE(ArtifactsInput!$N$10+1,15,18,21,24,27,30)*(IF(Inputs!$B$39="pvp",MIN(15,15)/15,IF(AND(Inputs!$B$39&lt;&gt;"pvp",Inputs!$B$44&gt;0),MIN(15,Inputs!$B$44)/(Inputs!$B$44),0))),0)))-100),0))*CHOOSE(ArtifactsInput!$N$42+1,0.6,0.72,0.84,0.96,1.08,1.2))),Inputs!$B$18+((C983=TRUE)*(F983-Calc!F29))+(IF(AND(ArtifactsInput!$M$42,((Inputs!$B$9+((C979=TRUE)*(F979-Calc!F25))+B994+(ArtifactsInput!$M$24-ArtifactsInput!$M$24)*CHOOSE(ArtifactsInput!$N$24+1,10,12,14,16,18,20)+IF(ArtifactsInput!$M$10,CHOOSE(ArtifactsInput!$N$10+1,15,18,21,24,27,30)*(IF(Inputs!$B$39="pvp",MIN(15,15)/15,IF(AND(Inputs!$B$39&lt;&gt;"pvp",Inputs!$B$44&gt;0),MIN(15,Inputs!$B$44)/(Inputs!$B$44),0))),0)))&gt;=100),CHOOSE(ArtifactsInput!$N$42+1,40,48,56,64,72,80),0))))/100)*(((1+(((C975=TRUE)*F975*IF(AND(Inputs!$B$39&lt;&gt;"pvp",Inputs!$B$44&gt;0),(((R975-1)*(Skills!Y21*(1+Inputs!$B$34/100))+MIN((Skills!Y21*(1+Inputs!$B$34/100)),MAX(0,Inputs!$B$44-((R975-1)*Skills!D21))))/Inputs!$B$44),IF(Inputs!$B$39="pvp",MIN((Skills!Y21*(1+Inputs!$B$34/100)),15)/15,(Skills!Y21*(1+Inputs!$B$34/100))/Skills!D21)))+((C982=TRUE)*(F982-Calc!F28))+((C972=TRUE)*(F972-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969=TRUE)*F969*IF(AND(Inputs!$B$39&lt;&gt;"pvp",Inputs!$B$44&gt;0),(((R969-1)*(Skills!Y15*(1+Inputs!$B$34/100))+MIN((Skills!Y15*(1+Inputs!$B$34/100)),MAX(0,Inputs!$B$44-((R969-1)*Skills!D15))))/Inputs!$B$44),IF(Inputs!$B$39="pvp",MIN((Skills!Y15*(1+Inputs!$B$34/100)),15)/15,(Skills!Y15*(1+Inputs!$B$34/100))/Skills!D15)))/100)*(1+((C960=TRUE)*F960*B988)/100))*B996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962)</f>
        <v/>
      </c>
      <c r="L962">
        <f>K962*(MIN(Inputs!$B$22+((C978=TRUE)*(F978-Calc!F24)),(Inputs!$B$23+0+(IF(ArtifactsInput!$M$15,CHOOSE(ArtifactsInput!$N$15+1,25,30,35,40,45,50)/100*(Inputs!$B$11-Inputs!$B$11),0))))/100+(Inputs!$B$23+0+(IF(ArtifactsInput!$M$15,CHOOSE(ArtifactsInput!$N$15+1,25,30,35,40,45,50)/100*(Inputs!$B$11-Inputs!$B$11),0)))/100)/2</f>
        <v/>
      </c>
      <c r="M962">
        <f>L962*(1+(Inputs!$B$10+((C980=TRUE)*(F980-Calc!F26))+B997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62">
        <f>L962*(1-MIN((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962*(MIN((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62">
        <f>(1-Summary!$B$11)*T962+Summary!$B$11*V962</f>
        <v/>
      </c>
      <c r="P962">
        <f>IF(B998=0,0,O962/B998)</f>
        <v/>
      </c>
      <c r="Q962">
        <f>IFERROR(1/IF(Inputs!$B$39="pvp",15,MAX(0.1,Skills!D8-IF(Skills!E8=TRUE,Inputs!$B$32,0))),0)</f>
        <v/>
      </c>
      <c r="R962">
        <f>IF(AND(Inputs!$B$39&lt;&gt;"pvp",Inputs!$B$44&gt;0),IF(MAX(0,Inputs!$B$44-B999)&lt;=0,0,(INT(MAX(0,Inputs!$B$44-B999)/IF(Inputs!$B$39="pvp",15,MAX(0.1,Skills!D8-IF(Skills!E8=TRUE,Inputs!$B$32,0))))+1)),0)</f>
        <v/>
      </c>
      <c r="S962">
        <f>IFERROR(O962/N962,0)</f>
        <v/>
      </c>
      <c r="T962">
        <f>IF(C962,(H962*N962*IF(AND(Inputs!$B$39&lt;&gt;"pvp",Inputs!$B$44&gt;0),((Skills!G8*((R962-1)*IF(Skills!H8&gt;0,Skills!I8/Skills!H8,1)+IF(Skills!H8&gt;0,MIN(Skills!I8,MAX(0,MAX(0,Inputs!$B$44-B999)-((R962-1)*IF(Inputs!$B$39="pvp",15,MAX(0.1,Skills!D8-IF(Skills!E8=TRUE,Inputs!$B$32,0))))))/Skills!H8,1)))/Inputs!$B$44),G962*Q962))*IF(Inputs!$B$39="pvp",1,1+(Inputs!$B$20+((C981=TRUE)*(F981-Calc!F27))+Skills!P8+B995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Hunt"),CHOOSE(ArtifactsInput!$N$35+1,15,18,21,24,27,30)*(1-EXP(-(0.2*B990)*5)),0)+IF(AND(ArtifactsInput!$M$22,Inputs!$B$4&lt;&gt;"Chapter Hunt"),CHOOSE(ArtifactsInput!$N$22+1,10,12,14,16,18,20)*((0*(((0.15*B990*5))^0/1)+1*(((0.15*B990*5))^1/1)+2*(((0.15*B990*5))^2/2)+3*(((0.15*B990*5))^3/6)+4*(((0.15*B990*5))^4/24)+5*(((0.15*B990*5))^5/120))/((((0.15*B990*5))^0/1)+(((0.15*B990*5))^1/1)+(((0.15*B990*5))^2/2)+(((0.15*B990*5))^3/6)+(((0.15*B990*5))^4/24)+(((0.15*B990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962*(1-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962*(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962*(1-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962*(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62">
        <f>IF(C962,(H962*N962*IF(AND(Inputs!$B$39&lt;&gt;"pvp",Inputs!$B$44&gt;0),((Skills!G8*((R962-1)*IF(Skills!H8&gt;0,Skills!I8/Skills!H8,1)+IF(Skills!H8&gt;0,MIN(Skills!I8,MAX(0,MAX(0,Inputs!$B$44-B999)-((R962-1)*IF(Inputs!$B$39="pvp",15,MAX(0.1,Skills!D8-IF(Skills!E8=TRUE,Inputs!$B$32,0))))))/Skills!H8,1)))/Inputs!$B$44),G962*Q962))*IF(Inputs!$B$39="pvp",1,(1+(Inputs!$B$21+Skills!Q8+B995+(IF(ArtifactsInput!$M$33,CHOOSE(ArtifactsInput!$N$33+1,30,36,42,48,54,60),0))+(IF(AND(ArtifactsInput!$M$35,Inputs!$B$4&lt;&gt;"Chapter Hunt"),CHOOSE(ArtifactsInput!$N$35+1,15,18,21,24,27,30)*(1-EXP(-(0.2*B990)*5)),0)+IF(AND(ArtifactsInput!$M$22,Inputs!$B$4&lt;&gt;"Chapter Hunt"),CHOOSE(ArtifactsInput!$N$22+1,10,12,14,16,18,20)*((0*(((0.15*B990*5))^0/1)+1*(((0.15*B990*5))^1/1)+2*(((0.15*B990*5))^2/2)+3*(((0.15*B990*5))^3/6)+4*(((0.15*B990*5))^4/24)+5*(((0.15*B990*5))^5/120))/((((0.15*B990*5))^0/1)+(((0.15*B990*5))^1/1)+(((0.15*B990*5))^2/2)+(((0.15*B990*5))^3/6)+(((0.15*B990*5))^4/24)+(((0.15*B990*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63">
      <c r="A963">
        <f>Skills!A9</f>
        <v/>
      </c>
      <c r="B963">
        <f>Skills!B9</f>
        <v/>
      </c>
      <c r="C963">
        <f>Inputs!$B$3&gt;=72</f>
        <v/>
      </c>
      <c r="D963">
        <f>IF(Skills!C9=1,60+Inputs!$B$25+Inputs!$B$29,IF(Skills!C9=2,90+Inputs!$B$26+Inputs!$B$29,IF(Skills!C9=3,120+(Inputs!$B$27+1)+Inputs!$B$29,MAX(0,(Inputs!$B$3-100)*3)+Inputs!$B$28+Inputs!$B$29)))</f>
        <v/>
      </c>
      <c r="E963">
        <f>INDEX(FactorTable!$B$2:$Y$301, MATCH(ROUND(MIN(300,MAX(1,D963)),0), FactorTable!$A$2:$A$301,0), Skills!M9+1)</f>
        <v/>
      </c>
      <c r="F963">
        <f>IF(Skills!N9=TRUE,(Skills!L9/10)*(E963/1000),Skills!L9/10)+Skills!O9</f>
        <v/>
      </c>
      <c r="G963">
        <f>Calc!G9</f>
        <v/>
      </c>
      <c r="H963">
        <f>Calc!H9</f>
        <v/>
      </c>
      <c r="I963">
        <f>IF(Skills!AA9&lt;&gt;"",1+(Skills!AA9/10)*(U957/1000)/100,1)</f>
        <v/>
      </c>
      <c r="J963">
        <f>((Inputs!$B$6*(1+Inputs!$B$7/100))+(((Inputs!$B$12*(1+Inputs!$B$13/100))-(Inputs!$B$12*(1+Inputs!$B$13/100)))+0.25*(Inputs!$B$14-Inputs!$B$14))*(1+Inputs!$B$7/100))*(F963/100)</f>
        <v/>
      </c>
      <c r="K963">
        <f>J963*(1+((Inputs!$B$12*(1+Inputs!$B$13/100))*0.01+Inputs!$B$14*0.0025)/100)*(1+Inputs!$B$15/100)*(1+Inputs!$B$16/100)*(5000/(6000+Inputs!$B$43*(1-(100*(1-(1-(Inputs!$B$19+0)/100)*(1-CHOOSE(ArtifactsInput!$N$40+1,5,6,7,8,9,10)/100)^(ArtifactsInput!$M$40-ArtifactsInput!$M$40)))/100)))*(1+(Inputs!$B$24+((C984=TRUE)*(F984-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977=TRUE)*(F977-Calc!F23))+(((IF(AND(ArtifactsInput!$M$42,((Inputs!$B$9+((C979=TRUE)*(F979-Calc!F25))+B994+(ArtifactsInput!$M$24-ArtifactsInput!$M$24)*CHOOSE(ArtifactsInput!$N$24+1,10,12,14,16,18,20)+IF(ArtifactsInput!$M$10,CHOOSE(ArtifactsInput!$N$10+1,15,18,21,24,27,30)*(IF(Inputs!$B$39="pvp",MIN(15,15)/15,IF(AND(Inputs!$B$39&lt;&gt;"pvp",Inputs!$B$44&gt;0),MIN(15,Inputs!$B$44)/(Inputs!$B$44),0))),0)))&gt;=100),MIN(100,((Inputs!$B$9+((C979=TRUE)*(F979-Calc!F25))+B994+(ArtifactsInput!$M$24-ArtifactsInput!$M$24)*CHOOSE(ArtifactsInput!$N$24+1,10,12,14,16,18,20)+IF(ArtifactsInput!$M$10,CHOOSE(ArtifactsInput!$N$10+1,15,18,21,24,27,30)*(IF(Inputs!$B$39="pvp",MIN(15,15)/15,IF(AND(Inputs!$B$39&lt;&gt;"pvp",Inputs!$B$44&gt;0),MIN(15,Inputs!$B$44)/(Inputs!$B$44),0))),0)))-100),0))*CHOOSE(ArtifactsInput!$N$42+1,0.6,0.72,0.84,0.96,1.08,1.2))),Inputs!$B$18+((C983=TRUE)*(F983-Calc!F29))+(IF(AND(ArtifactsInput!$M$42,((Inputs!$B$9+((C979=TRUE)*(F979-Calc!F25))+B994+(ArtifactsInput!$M$24-ArtifactsInput!$M$24)*CHOOSE(ArtifactsInput!$N$24+1,10,12,14,16,18,20)+IF(ArtifactsInput!$M$10,CHOOSE(ArtifactsInput!$N$10+1,15,18,21,24,27,30)*(IF(Inputs!$B$39="pvp",MIN(15,15)/15,IF(AND(Inputs!$B$39&lt;&gt;"pvp",Inputs!$B$44&gt;0),MIN(15,Inputs!$B$44)/(Inputs!$B$44),0))),0)))&gt;=100),CHOOSE(ArtifactsInput!$N$42+1,40,48,56,64,72,80),0))))/100)*(((1+(((C975=TRUE)*F975*IF(AND(Inputs!$B$39&lt;&gt;"pvp",Inputs!$B$44&gt;0),(((R975-1)*(Skills!Y21*(1+Inputs!$B$34/100))+MIN((Skills!Y21*(1+Inputs!$B$34/100)),MAX(0,Inputs!$B$44-((R975-1)*Skills!D21))))/Inputs!$B$44),IF(Inputs!$B$39="pvp",MIN((Skills!Y21*(1+Inputs!$B$34/100)),15)/15,(Skills!Y21*(1+Inputs!$B$34/100))/Skills!D21)))+((C982=TRUE)*(F982-Calc!F28))+((C972=TRUE)*(F972-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969=TRUE)*F969*IF(AND(Inputs!$B$39&lt;&gt;"pvp",Inputs!$B$44&gt;0),(((R969-1)*(Skills!Y15*(1+Inputs!$B$34/100))+MIN((Skills!Y15*(1+Inputs!$B$34/100)),MAX(0,Inputs!$B$44-((R969-1)*Skills!D15))))/Inputs!$B$44),IF(Inputs!$B$39="pvp",MIN((Skills!Y15*(1+Inputs!$B$34/100)),15)/15,(Skills!Y15*(1+Inputs!$B$34/100))/Skills!D15)))/100)*(1+((C960=TRUE)*F960*B988)/100))*B996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963)</f>
        <v/>
      </c>
      <c r="L963">
        <f>K963*(MIN(Inputs!$B$22+((C978=TRUE)*(F978-Calc!F24)),(Inputs!$B$23+0+(IF(ArtifactsInput!$M$15,CHOOSE(ArtifactsInput!$N$15+1,25,30,35,40,45,50)/100*(Inputs!$B$11-Inputs!$B$11),0))))/100+(Inputs!$B$23+0+(IF(ArtifactsInput!$M$15,CHOOSE(ArtifactsInput!$N$15+1,25,30,35,40,45,50)/100*(Inputs!$B$11-Inputs!$B$11),0)))/100)/2</f>
        <v/>
      </c>
      <c r="M963">
        <f>L963*(1+(Inputs!$B$10+((C980=TRUE)*(F980-Calc!F26))+B997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63">
        <f>L963*(1-MIN((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963*(MIN((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63">
        <f>(1-Summary!$B$11)*T963+Summary!$B$11*V963</f>
        <v/>
      </c>
      <c r="P963">
        <f>IF(B998=0,0,O963/B998)</f>
        <v/>
      </c>
      <c r="Q963">
        <f>IFERROR(1/IF(Inputs!$B$39="pvp",15,MAX(0.1,Skills!D9-IF(Skills!E9=TRUE,Inputs!$B$32,0))),0)</f>
        <v/>
      </c>
      <c r="R963">
        <f>IF(AND(Inputs!$B$39&lt;&gt;"pvp",Inputs!$B$44&gt;0),IF(MAX(0,Inputs!$B$44-B999)&lt;=0,0,(INT(MAX(0,Inputs!$B$44-B999)/IF(Inputs!$B$39="pvp",15,MAX(0.1,Skills!D9-IF(Skills!E9=TRUE,Inputs!$B$32,0))))+1)),0)</f>
        <v/>
      </c>
      <c r="S963">
        <f>IFERROR(O963/N963,0)</f>
        <v/>
      </c>
      <c r="T963">
        <f>IF(C963,(H963*N963*IF(AND(Inputs!$B$39&lt;&gt;"pvp",Inputs!$B$44&gt;0),((Skills!G9*((R963-1)*IF(Skills!H9&gt;0,Skills!I9/Skills!H9,1)+IF(Skills!H9&gt;0,MIN(Skills!I9,MAX(0,MAX(0,Inputs!$B$44-B999)-((R963-1)*IF(Inputs!$B$39="pvp",15,MAX(0.1,Skills!D9-IF(Skills!E9=TRUE,Inputs!$B$32,0))))))/Skills!H9,1)))/Inputs!$B$44),G963*Q963))*IF(Inputs!$B$39="pvp",1,1+(Inputs!$B$20+((C981=TRUE)*(F981-Calc!F27))+Skills!P9+B995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Hunt"),CHOOSE(ArtifactsInput!$N$35+1,15,18,21,24,27,30)*(1-EXP(-(0.2*B990)*5)),0)+IF(AND(ArtifactsInput!$M$22,Inputs!$B$4&lt;&gt;"Chapter Hunt"),CHOOSE(ArtifactsInput!$N$22+1,10,12,14,16,18,20)*((0*(((0.15*B990*5))^0/1)+1*(((0.15*B990*5))^1/1)+2*(((0.15*B990*5))^2/2)+3*(((0.15*B990*5))^3/6)+4*(((0.15*B990*5))^4/24)+5*(((0.15*B990*5))^5/120))/((((0.15*B990*5))^0/1)+(((0.15*B990*5))^1/1)+(((0.15*B990*5))^2/2)+(((0.15*B990*5))^3/6)+(((0.15*B990*5))^4/24)+(((0.15*B990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963*(1-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963*(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963*(1-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963*(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63">
        <f>IF(C963,(H963*N963*IF(AND(Inputs!$B$39&lt;&gt;"pvp",Inputs!$B$44&gt;0),((Skills!G9*((R963-1)*IF(Skills!H9&gt;0,Skills!I9/Skills!H9,1)+IF(Skills!H9&gt;0,MIN(Skills!I9,MAX(0,MAX(0,Inputs!$B$44-B999)-((R963-1)*IF(Inputs!$B$39="pvp",15,MAX(0.1,Skills!D9-IF(Skills!E9=TRUE,Inputs!$B$32,0))))))/Skills!H9,1)))/Inputs!$B$44),G963*Q963))*IF(Inputs!$B$39="pvp",1,(1+(Inputs!$B$21+Skills!Q9+B995+(IF(ArtifactsInput!$M$33,CHOOSE(ArtifactsInput!$N$33+1,30,36,42,48,54,60),0))+(IF(AND(ArtifactsInput!$M$35,Inputs!$B$4&lt;&gt;"Chapter Hunt"),CHOOSE(ArtifactsInput!$N$35+1,15,18,21,24,27,30)*(1-EXP(-(0.2*B990)*5)),0)+IF(AND(ArtifactsInput!$M$22,Inputs!$B$4&lt;&gt;"Chapter Hunt"),CHOOSE(ArtifactsInput!$N$22+1,10,12,14,16,18,20)*((0*(((0.15*B990*5))^0/1)+1*(((0.15*B990*5))^1/1)+2*(((0.15*B990*5))^2/2)+3*(((0.15*B990*5))^3/6)+4*(((0.15*B990*5))^4/24)+5*(((0.15*B990*5))^5/120))/((((0.15*B990*5))^0/1)+(((0.15*B990*5))^1/1)+(((0.15*B990*5))^2/2)+(((0.15*B990*5))^3/6)+(((0.15*B990*5))^4/24)+(((0.15*B990*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64">
      <c r="A964">
        <f>Skills!A10</f>
        <v/>
      </c>
      <c r="B964">
        <f>Skills!B10</f>
        <v/>
      </c>
      <c r="C964">
        <f>Inputs!$B$3&gt;=117</f>
        <v/>
      </c>
      <c r="D964">
        <f>IF(Skills!C10=1,60+Inputs!$B$25+Inputs!$B$29,IF(Skills!C10=2,90+Inputs!$B$26+Inputs!$B$29,IF(Skills!C10=3,120+(Inputs!$B$27+1)+Inputs!$B$29,MAX(0,(Inputs!$B$3-100)*3)+Inputs!$B$28+Inputs!$B$29)))</f>
        <v/>
      </c>
      <c r="E964">
        <f>INDEX(FactorTable!$B$2:$Y$301, MATCH(ROUND(MIN(300,MAX(1,D964)),0), FactorTable!$A$2:$A$301,0), Skills!M10+1)</f>
        <v/>
      </c>
      <c r="F964">
        <f>IF(Skills!N10=TRUE,(Skills!L10/10)*(E964/1000),Skills!L10/10)+Skills!O10</f>
        <v/>
      </c>
      <c r="G964">
        <f>Calc!G10</f>
        <v/>
      </c>
      <c r="H964">
        <f>Calc!H10</f>
        <v/>
      </c>
      <c r="I964">
        <f>IF(Skills!AA10&lt;&gt;"",1+(Skills!AA10/10)*(U957/1000)/100,1)</f>
        <v/>
      </c>
      <c r="J964">
        <f>((Inputs!$B$6*(1+Inputs!$B$7/100))+(((Inputs!$B$12*(1+Inputs!$B$13/100))-(Inputs!$B$12*(1+Inputs!$B$13/100)))+0.25*(Inputs!$B$14-Inputs!$B$14))*(1+Inputs!$B$7/100))*(F964/100)</f>
        <v/>
      </c>
      <c r="K964">
        <f>J964*(1+((Inputs!$B$12*(1+Inputs!$B$13/100))*0.01+Inputs!$B$14*0.0025)/100)*(1+Inputs!$B$15/100)*(1+Inputs!$B$16/100)*(5000/(6000+Inputs!$B$43*(1-(100*(1-(1-(Inputs!$B$19+0)/100)*(1-CHOOSE(ArtifactsInput!$N$40+1,5,6,7,8,9,10)/100)^(ArtifactsInput!$M$40-ArtifactsInput!$M$40)))/100)))*(1+(Inputs!$B$24+((C984=TRUE)*(F984-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977=TRUE)*(F977-Calc!F23))+(((IF(AND(ArtifactsInput!$M$42,((Inputs!$B$9+((C979=TRUE)*(F979-Calc!F25))+B994+(ArtifactsInput!$M$24-ArtifactsInput!$M$24)*CHOOSE(ArtifactsInput!$N$24+1,10,12,14,16,18,20)+IF(ArtifactsInput!$M$10,CHOOSE(ArtifactsInput!$N$10+1,15,18,21,24,27,30)*(IF(Inputs!$B$39="pvp",MIN(15,15)/15,IF(AND(Inputs!$B$39&lt;&gt;"pvp",Inputs!$B$44&gt;0),MIN(15,Inputs!$B$44)/(Inputs!$B$44),0))),0)))&gt;=100),MIN(100,((Inputs!$B$9+((C979=TRUE)*(F979-Calc!F25))+B994+(ArtifactsInput!$M$24-ArtifactsInput!$M$24)*CHOOSE(ArtifactsInput!$N$24+1,10,12,14,16,18,20)+IF(ArtifactsInput!$M$10,CHOOSE(ArtifactsInput!$N$10+1,15,18,21,24,27,30)*(IF(Inputs!$B$39="pvp",MIN(15,15)/15,IF(AND(Inputs!$B$39&lt;&gt;"pvp",Inputs!$B$44&gt;0),MIN(15,Inputs!$B$44)/(Inputs!$B$44),0))),0)))-100),0))*CHOOSE(ArtifactsInput!$N$42+1,0.6,0.72,0.84,0.96,1.08,1.2))),Inputs!$B$18+((C983=TRUE)*(F983-Calc!F29))+(IF(AND(ArtifactsInput!$M$42,((Inputs!$B$9+((C979=TRUE)*(F979-Calc!F25))+B994+(ArtifactsInput!$M$24-ArtifactsInput!$M$24)*CHOOSE(ArtifactsInput!$N$24+1,10,12,14,16,18,20)+IF(ArtifactsInput!$M$10,CHOOSE(ArtifactsInput!$N$10+1,15,18,21,24,27,30)*(IF(Inputs!$B$39="pvp",MIN(15,15)/15,IF(AND(Inputs!$B$39&lt;&gt;"pvp",Inputs!$B$44&gt;0),MIN(15,Inputs!$B$44)/(Inputs!$B$44),0))),0)))&gt;=100),CHOOSE(ArtifactsInput!$N$42+1,40,48,56,64,72,80),0))))/100)*(((1+(((C975=TRUE)*F975*IF(AND(Inputs!$B$39&lt;&gt;"pvp",Inputs!$B$44&gt;0),(((R975-1)*(Skills!Y21*(1+Inputs!$B$34/100))+MIN((Skills!Y21*(1+Inputs!$B$34/100)),MAX(0,Inputs!$B$44-((R975-1)*Skills!D21))))/Inputs!$B$44),IF(Inputs!$B$39="pvp",MIN((Skills!Y21*(1+Inputs!$B$34/100)),15)/15,(Skills!Y21*(1+Inputs!$B$34/100))/Skills!D21)))+((C982=TRUE)*(F982-Calc!F28))+((C972=TRUE)*(F972-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969=TRUE)*F969*IF(AND(Inputs!$B$39&lt;&gt;"pvp",Inputs!$B$44&gt;0),(((R969-1)*(Skills!Y15*(1+Inputs!$B$34/100))+MIN((Skills!Y15*(1+Inputs!$B$34/100)),MAX(0,Inputs!$B$44-((R969-1)*Skills!D15))))/Inputs!$B$44),IF(Inputs!$B$39="pvp",MIN((Skills!Y15*(1+Inputs!$B$34/100)),15)/15,(Skills!Y15*(1+Inputs!$B$34/100))/Skills!D15)))/100)*(1+((C960=TRUE)*F960*B988)/100))*B996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964)</f>
        <v/>
      </c>
      <c r="L964">
        <f>K964*(MIN(Inputs!$B$22+((C978=TRUE)*(F978-Calc!F24)),(Inputs!$B$23+0+(IF(ArtifactsInput!$M$15,CHOOSE(ArtifactsInput!$N$15+1,25,30,35,40,45,50)/100*(Inputs!$B$11-Inputs!$B$11),0))))/100+(Inputs!$B$23+0+(IF(ArtifactsInput!$M$15,CHOOSE(ArtifactsInput!$N$15+1,25,30,35,40,45,50)/100*(Inputs!$B$11-Inputs!$B$11),0)))/100)/2</f>
        <v/>
      </c>
      <c r="M964">
        <f>L964*(1+(Inputs!$B$10+((C980=TRUE)*(F980-Calc!F26))+B997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64">
        <f>L964*(1-MIN((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964*(MIN((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64">
        <f>(1-Summary!$B$11)*T964+Summary!$B$11*V964</f>
        <v/>
      </c>
      <c r="P964">
        <f>IF(B998=0,0,O964/B998)</f>
        <v/>
      </c>
      <c r="Q964" t="n">
        <v>0</v>
      </c>
      <c r="R964" t="n">
        <v>0</v>
      </c>
      <c r="S964" t="n">
        <v>0</v>
      </c>
      <c r="T964">
        <f>IF(C964,(0.2*SUMPRODUCT((Skills!Z2:Z31=TRUE)*(C956:C985=TRUE)*S956:S985)*N964)*IF(Inputs!$B$39="pvp",1,1+(Inputs!$B$20+((C981=TRUE)*(F981-Calc!F27))+Skills!P10+B995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Hunt"),CHOOSE(ArtifactsInput!$N$35+1,15,18,21,24,27,30)*(1-EXP(-(0.2*B990)*5)),0)+IF(AND(ArtifactsInput!$M$22,Inputs!$B$4&lt;&gt;"Chapter Hunt"),CHOOSE(ArtifactsInput!$N$22+1,10,12,14,16,18,20)*((0*(((0.15*B990*5))^0/1)+1*(((0.15*B990*5))^1/1)+2*(((0.15*B990*5))^2/2)+3*(((0.15*B990*5))^3/6)+4*(((0.15*B990*5))^4/24)+5*(((0.15*B990*5))^5/120))/((((0.15*B990*5))^0/1)+(((0.15*B990*5))^1/1)+(((0.15*B990*5))^2/2)+(((0.15*B990*5))^3/6)+(((0.15*B990*5))^4/24)+(((0.15*B990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964*(1-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964*(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964*(1-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964*(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64">
        <f>IF(C964,(0.2*SUMPRODUCT((Skills!Z2:Z31=TRUE)*(C956:C985=TRUE)*S956:S985)*N964)*IF(Inputs!$B$39="pvp",1,(1+(Inputs!$B$21+Skills!Q10+B995+(IF(ArtifactsInput!$M$33,CHOOSE(ArtifactsInput!$N$33+1,30,36,42,48,54,60),0))+(IF(AND(ArtifactsInput!$M$35,Inputs!$B$4&lt;&gt;"Chapter Hunt"),CHOOSE(ArtifactsInput!$N$35+1,15,18,21,24,27,30)*(1-EXP(-(0.2*B990)*5)),0)+IF(AND(ArtifactsInput!$M$22,Inputs!$B$4&lt;&gt;"Chapter Hunt"),CHOOSE(ArtifactsInput!$N$22+1,10,12,14,16,18,20)*((0*(((0.15*B990*5))^0/1)+1*(((0.15*B990*5))^1/1)+2*(((0.15*B990*5))^2/2)+3*(((0.15*B990*5))^3/6)+4*(((0.15*B990*5))^4/24)+5*(((0.15*B990*5))^5/120))/((((0.15*B990*5))^0/1)+(((0.15*B990*5))^1/1)+(((0.15*B990*5))^2/2)+(((0.15*B990*5))^3/6)+(((0.15*B990*5))^4/24)+(((0.15*B990*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65">
      <c r="A965">
        <f>Skills!A11</f>
        <v/>
      </c>
      <c r="B965">
        <f>Skills!B11</f>
        <v/>
      </c>
      <c r="C965">
        <f>Inputs!$B$3&gt;=60</f>
        <v/>
      </c>
      <c r="D965">
        <f>IF(Skills!C11=1,60+Inputs!$B$25+Inputs!$B$29,IF(Skills!C11=2,90+Inputs!$B$26+Inputs!$B$29,IF(Skills!C11=3,120+(Inputs!$B$27+1)+Inputs!$B$29,MAX(0,(Inputs!$B$3-100)*3)+Inputs!$B$28+Inputs!$B$29)))</f>
        <v/>
      </c>
      <c r="E965">
        <f>INDEX(FactorTable!$B$2:$Y$301, MATCH(ROUND(MIN(300,MAX(1,D965)),0), FactorTable!$A$2:$A$301,0), Skills!M11+1)</f>
        <v/>
      </c>
      <c r="F965">
        <f>IF(Skills!N11=TRUE,(Skills!L11/10)*(E965/1000),Skills!L11/10)+Skills!O11</f>
        <v/>
      </c>
      <c r="G965">
        <f>Calc!G11</f>
        <v/>
      </c>
      <c r="H965">
        <f>Calc!H11</f>
        <v/>
      </c>
      <c r="I965">
        <f>IF(Skills!AA11&lt;&gt;"",1+(Skills!AA11/10)*(U957/1000)/100,1)</f>
        <v/>
      </c>
      <c r="J965" t="inlineStr"/>
      <c r="K965" t="inlineStr"/>
      <c r="L965" t="inlineStr"/>
      <c r="M965" t="inlineStr"/>
      <c r="N965" t="inlineStr"/>
      <c r="O965">
        <f>(1-Summary!$B$11)*T965+Summary!$B$11*V965</f>
        <v/>
      </c>
      <c r="P965">
        <f>IF(B998=0,0,O965/B998)</f>
        <v/>
      </c>
      <c r="Q965" t="n">
        <v>0</v>
      </c>
      <c r="R965" t="n">
        <v>0</v>
      </c>
      <c r="S965">
        <f>IFERROR(O965/N965,0)</f>
        <v/>
      </c>
      <c r="T965" t="n">
        <v>0</v>
      </c>
      <c r="V965" t="n">
        <v>0</v>
      </c>
    </row>
    <row r="966">
      <c r="A966">
        <f>Skills!A12</f>
        <v/>
      </c>
      <c r="B966">
        <f>Skills!B12</f>
        <v/>
      </c>
      <c r="C966">
        <f>Inputs!$B$3&gt;=103</f>
        <v/>
      </c>
      <c r="D966">
        <f>IF(Skills!C12=1,60+Inputs!$B$25+Inputs!$B$29,IF(Skills!C12=2,90+Inputs!$B$26+Inputs!$B$29,IF(Skills!C12=3,120+(Inputs!$B$27+1)+Inputs!$B$29,MAX(0,(Inputs!$B$3-100)*3)+Inputs!$B$28+Inputs!$B$29)))</f>
        <v/>
      </c>
      <c r="E966">
        <f>INDEX(FactorTable!$B$2:$Y$301, MATCH(ROUND(MIN(300,MAX(1,D966)),0), FactorTable!$A$2:$A$301,0), Skills!M12+1)</f>
        <v/>
      </c>
      <c r="F966">
        <f>IF(Skills!N12=TRUE,(Skills!L12/10)*(E966/1000),Skills!L12/10)+Skills!O12</f>
        <v/>
      </c>
      <c r="G966">
        <f>Calc!G12</f>
        <v/>
      </c>
      <c r="H966">
        <f>Calc!H12</f>
        <v/>
      </c>
      <c r="I966">
        <f>IF(Skills!AA12&lt;&gt;"",1+(Skills!AA12/10)*(U957/1000)/100,1)</f>
        <v/>
      </c>
      <c r="J966">
        <f>((Inputs!$B$6*(1+Inputs!$B$7/100))+(((Inputs!$B$12*(1+Inputs!$B$13/100))-(Inputs!$B$12*(1+Inputs!$B$13/100)))+0.25*(Inputs!$B$14-Inputs!$B$14))*(1+Inputs!$B$7/100))*(F966/100)</f>
        <v/>
      </c>
      <c r="K966">
        <f>J966*(1+((Inputs!$B$12*(1+Inputs!$B$13/100))*0.01+Inputs!$B$14*0.0025)/100)*(1+Inputs!$B$15/100)*(1+Inputs!$B$16/100)*(5000/(6000+Inputs!$B$43*(1-(100*(1-(1-(Inputs!$B$19+0)/100)*(1-CHOOSE(ArtifactsInput!$N$40+1,5,6,7,8,9,10)/100)^(ArtifactsInput!$M$40-ArtifactsInput!$M$40)))/100)))*(1+(Inputs!$B$24+((C984=TRUE)*(F984-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977=TRUE)*(F977-Calc!F23))+(((IF(AND(ArtifactsInput!$M$42,((Inputs!$B$9+((C979=TRUE)*(F979-Calc!F25))+B994+(ArtifactsInput!$M$24-ArtifactsInput!$M$24)*CHOOSE(ArtifactsInput!$N$24+1,10,12,14,16,18,20)+IF(ArtifactsInput!$M$10,CHOOSE(ArtifactsInput!$N$10+1,15,18,21,24,27,30)*(IF(Inputs!$B$39="pvp",MIN(15,15)/15,IF(AND(Inputs!$B$39&lt;&gt;"pvp",Inputs!$B$44&gt;0),MIN(15,Inputs!$B$44)/(Inputs!$B$44),0))),0)))&gt;=100),MIN(100,((Inputs!$B$9+((C979=TRUE)*(F979-Calc!F25))+B994+(ArtifactsInput!$M$24-ArtifactsInput!$M$24)*CHOOSE(ArtifactsInput!$N$24+1,10,12,14,16,18,20)+IF(ArtifactsInput!$M$10,CHOOSE(ArtifactsInput!$N$10+1,15,18,21,24,27,30)*(IF(Inputs!$B$39="pvp",MIN(15,15)/15,IF(AND(Inputs!$B$39&lt;&gt;"pvp",Inputs!$B$44&gt;0),MIN(15,Inputs!$B$44)/(Inputs!$B$44),0))),0)))-100),0))*CHOOSE(ArtifactsInput!$N$42+1,0.6,0.72,0.84,0.96,1.08,1.2))),Inputs!$B$18+((C983=TRUE)*(F983-Calc!F29))+(IF(AND(ArtifactsInput!$M$42,((Inputs!$B$9+((C979=TRUE)*(F979-Calc!F25))+B994+(ArtifactsInput!$M$24-ArtifactsInput!$M$24)*CHOOSE(ArtifactsInput!$N$24+1,10,12,14,16,18,20)+IF(ArtifactsInput!$M$10,CHOOSE(ArtifactsInput!$N$10+1,15,18,21,24,27,30)*(IF(Inputs!$B$39="pvp",MIN(15,15)/15,IF(AND(Inputs!$B$39&lt;&gt;"pvp",Inputs!$B$44&gt;0),MIN(15,Inputs!$B$44)/(Inputs!$B$44),0))),0)))&gt;=100),CHOOSE(ArtifactsInput!$N$42+1,40,48,56,64,72,80),0))))/100)*(((1+(((C975=TRUE)*F975*IF(AND(Inputs!$B$39&lt;&gt;"pvp",Inputs!$B$44&gt;0),(((R975-1)*(Skills!Y21*(1+Inputs!$B$34/100))+MIN((Skills!Y21*(1+Inputs!$B$34/100)),MAX(0,Inputs!$B$44-((R975-1)*Skills!D21))))/Inputs!$B$44),IF(Inputs!$B$39="pvp",MIN((Skills!Y21*(1+Inputs!$B$34/100)),15)/15,(Skills!Y21*(1+Inputs!$B$34/100))/Skills!D21)))+((C982=TRUE)*(F982-Calc!F28))+((C972=TRUE)*(F972-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969=TRUE)*F969*IF(AND(Inputs!$B$39&lt;&gt;"pvp",Inputs!$B$44&gt;0),(((R969-1)*(Skills!Y15*(1+Inputs!$B$34/100))+MIN((Skills!Y15*(1+Inputs!$B$34/100)),MAX(0,Inputs!$B$44-((R969-1)*Skills!D15))))/Inputs!$B$44),IF(Inputs!$B$39="pvp",MIN((Skills!Y15*(1+Inputs!$B$34/100)),15)/15,(Skills!Y15*(1+Inputs!$B$34/100))/Skills!D15)))/100)*(1+((C960=TRUE)*F960*B988)/100))*B996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966)</f>
        <v/>
      </c>
      <c r="L966">
        <f>K966*(MIN(Inputs!$B$22+((C978=TRUE)*(F978-Calc!F24)),(Inputs!$B$23+0+(IF(ArtifactsInput!$M$15,CHOOSE(ArtifactsInput!$N$15+1,25,30,35,40,45,50)/100*(Inputs!$B$11-Inputs!$B$11),0))))/100+(Inputs!$B$23+0+(IF(ArtifactsInput!$M$15,CHOOSE(ArtifactsInput!$N$15+1,25,30,35,40,45,50)/100*(Inputs!$B$11-Inputs!$B$11),0)))/100)/2</f>
        <v/>
      </c>
      <c r="M966">
        <f>L966*(1+(Inputs!$B$10+((C980=TRUE)*(F980-Calc!F26))+B997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66">
        <f>L966*(1-MIN((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966*(MIN((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66">
        <f>(1-Summary!$B$11)*T966+Summary!$B$11*V966</f>
        <v/>
      </c>
      <c r="P966">
        <f>IF(B998=0,0,O966/B998)</f>
        <v/>
      </c>
      <c r="Q966">
        <f>IFERROR(1/IF(Inputs!$B$39="pvp",15,MAX(0.1,Skills!D12-IF(Skills!E12=TRUE,Inputs!$B$32,0))),0)</f>
        <v/>
      </c>
      <c r="R966">
        <f>IF(AND(Inputs!$B$39&lt;&gt;"pvp",Inputs!$B$44&gt;0),IF(MAX(0,Inputs!$B$44-B999)&lt;=0,0,(INT(MAX(0,Inputs!$B$44-B999)/IF(Inputs!$B$39="pvp",15,MAX(0.1,Skills!D12-IF(Skills!E12=TRUE,Inputs!$B$32,0))))+1)),0)</f>
        <v/>
      </c>
      <c r="S966">
        <f>IFERROR(O966/N966,0)</f>
        <v/>
      </c>
      <c r="T966">
        <f>IF(C966,(H966*N966*IF(AND(Inputs!$B$39&lt;&gt;"pvp",Inputs!$B$44&gt;0),((Skills!G12*((R966-1)*IF(Skills!H12&gt;0,Skills!I12/Skills!H12,1)+IF(Skills!H12&gt;0,MIN(Skills!I12,MAX(0,MAX(0,Inputs!$B$44-B999)-((R966-1)*IF(Inputs!$B$39="pvp",15,MAX(0.1,Skills!D12-IF(Skills!E12=TRUE,Inputs!$B$32,0))))))/Skills!H12,1)))/Inputs!$B$44),G966*Q966))*IF(Inputs!$B$39="pvp",1,1+(Inputs!$B$20+((C981=TRUE)*(F981-Calc!F27))+Skills!P12+B995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Hunt"),CHOOSE(ArtifactsInput!$N$35+1,15,18,21,24,27,30)*(1-EXP(-(0.2*B990)*5)),0)+IF(AND(ArtifactsInput!$M$22,Inputs!$B$4&lt;&gt;"Chapter Hunt"),CHOOSE(ArtifactsInput!$N$22+1,10,12,14,16,18,20)*((0*(((0.15*B990*5))^0/1)+1*(((0.15*B990*5))^1/1)+2*(((0.15*B990*5))^2/2)+3*(((0.15*B990*5))^3/6)+4*(((0.15*B990*5))^4/24)+5*(((0.15*B990*5))^5/120))/((((0.15*B990*5))^0/1)+(((0.15*B990*5))^1/1)+(((0.15*B990*5))^2/2)+(((0.15*B990*5))^3/6)+(((0.15*B990*5))^4/24)+(((0.15*B990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966*(1-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966*(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966*(1-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966*(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66">
        <f>IF(C966,(H966*N966*IF(AND(Inputs!$B$39&lt;&gt;"pvp",Inputs!$B$44&gt;0),((Skills!G12*((R966-1)*IF(Skills!H12&gt;0,Skills!I12/Skills!H12,1)+IF(Skills!H12&gt;0,MIN(Skills!I12,MAX(0,MAX(0,Inputs!$B$44-B999)-((R966-1)*IF(Inputs!$B$39="pvp",15,MAX(0.1,Skills!D12-IF(Skills!E12=TRUE,Inputs!$B$32,0))))))/Skills!H12,1)))/Inputs!$B$44),G966*Q966))*IF(Inputs!$B$39="pvp",1,(1+(Inputs!$B$21+Skills!Q12+B995+(IF(ArtifactsInput!$M$33,CHOOSE(ArtifactsInput!$N$33+1,30,36,42,48,54,60),0))+(IF(AND(ArtifactsInput!$M$35,Inputs!$B$4&lt;&gt;"Chapter Hunt"),CHOOSE(ArtifactsInput!$N$35+1,15,18,21,24,27,30)*(1-EXP(-(0.2*B990)*5)),0)+IF(AND(ArtifactsInput!$M$22,Inputs!$B$4&lt;&gt;"Chapter Hunt"),CHOOSE(ArtifactsInput!$N$22+1,10,12,14,16,18,20)*((0*(((0.15*B990*5))^0/1)+1*(((0.15*B990*5))^1/1)+2*(((0.15*B990*5))^2/2)+3*(((0.15*B990*5))^3/6)+4*(((0.15*B990*5))^4/24)+5*(((0.15*B990*5))^5/120))/((((0.15*B990*5))^0/1)+(((0.15*B990*5))^1/1)+(((0.15*B990*5))^2/2)+(((0.15*B990*5))^3/6)+(((0.15*B990*5))^4/24)+(((0.15*B990*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67">
      <c r="A967">
        <f>Skills!A13</f>
        <v/>
      </c>
      <c r="B967">
        <f>Skills!B13</f>
        <v/>
      </c>
      <c r="C967">
        <f>Inputs!$B$3&gt;=105</f>
        <v/>
      </c>
      <c r="D967">
        <f>IF(Skills!C13=1,60+Inputs!$B$25+Inputs!$B$29,IF(Skills!C13=2,90+Inputs!$B$26+Inputs!$B$29,IF(Skills!C13=3,120+(Inputs!$B$27+1)+Inputs!$B$29,MAX(0,(Inputs!$B$3-100)*3)+Inputs!$B$28+Inputs!$B$29)))</f>
        <v/>
      </c>
      <c r="E967">
        <f>INDEX(FactorTable!$B$2:$Y$301, MATCH(ROUND(MIN(300,MAX(1,D967)),0), FactorTable!$A$2:$A$301,0), Skills!M13+1)</f>
        <v/>
      </c>
      <c r="F967">
        <f>IF(Skills!N13=TRUE,(Skills!L13/10)*(E967/1000),Skills!L13/10)+Skills!O13</f>
        <v/>
      </c>
      <c r="G967">
        <f>Calc!G13</f>
        <v/>
      </c>
      <c r="H967">
        <f>Calc!H13</f>
        <v/>
      </c>
      <c r="I967">
        <f>IF(Skills!AA13&lt;&gt;"",1+(Skills!AA13/10)*(U957/1000)/100,1)</f>
        <v/>
      </c>
      <c r="J967">
        <f>((Inputs!$B$6*(1+Inputs!$B$7/100))+(((Inputs!$B$12*(1+Inputs!$B$13/100))-(Inputs!$B$12*(1+Inputs!$B$13/100)))+0.25*(Inputs!$B$14-Inputs!$B$14))*(1+Inputs!$B$7/100))*(F967/100)</f>
        <v/>
      </c>
      <c r="K967">
        <f>J967*(1+((Inputs!$B$12*(1+Inputs!$B$13/100))*0.01+Inputs!$B$14*0.0025)/100)*(1+Inputs!$B$15/100)*(1+Inputs!$B$16/100)*(5000/(6000+Inputs!$B$43*(1-(100*(1-(1-(Inputs!$B$19+0)/100)*(1-CHOOSE(ArtifactsInput!$N$40+1,5,6,7,8,9,10)/100)^(ArtifactsInput!$M$40-ArtifactsInput!$M$40)))/100)))*(1+(Inputs!$B$24+((C984=TRUE)*(F984-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977=TRUE)*(F977-Calc!F23))+(((IF(AND(ArtifactsInput!$M$42,((Inputs!$B$9+((C979=TRUE)*(F979-Calc!F25))+B994+(ArtifactsInput!$M$24-ArtifactsInput!$M$24)*CHOOSE(ArtifactsInput!$N$24+1,10,12,14,16,18,20)+IF(ArtifactsInput!$M$10,CHOOSE(ArtifactsInput!$N$10+1,15,18,21,24,27,30)*(IF(Inputs!$B$39="pvp",MIN(15,15)/15,IF(AND(Inputs!$B$39&lt;&gt;"pvp",Inputs!$B$44&gt;0),MIN(15,Inputs!$B$44)/(Inputs!$B$44),0))),0)))&gt;=100),MIN(100,((Inputs!$B$9+((C979=TRUE)*(F979-Calc!F25))+B994+(ArtifactsInput!$M$24-ArtifactsInput!$M$24)*CHOOSE(ArtifactsInput!$N$24+1,10,12,14,16,18,20)+IF(ArtifactsInput!$M$10,CHOOSE(ArtifactsInput!$N$10+1,15,18,21,24,27,30)*(IF(Inputs!$B$39="pvp",MIN(15,15)/15,IF(AND(Inputs!$B$39&lt;&gt;"pvp",Inputs!$B$44&gt;0),MIN(15,Inputs!$B$44)/(Inputs!$B$44),0))),0)))-100),0))*CHOOSE(ArtifactsInput!$N$42+1,0.6,0.72,0.84,0.96,1.08,1.2))),Inputs!$B$18+((C983=TRUE)*(F983-Calc!F29))+(IF(AND(ArtifactsInput!$M$42,((Inputs!$B$9+((C979=TRUE)*(F979-Calc!F25))+B994+(ArtifactsInput!$M$24-ArtifactsInput!$M$24)*CHOOSE(ArtifactsInput!$N$24+1,10,12,14,16,18,20)+IF(ArtifactsInput!$M$10,CHOOSE(ArtifactsInput!$N$10+1,15,18,21,24,27,30)*(IF(Inputs!$B$39="pvp",MIN(15,15)/15,IF(AND(Inputs!$B$39&lt;&gt;"pvp",Inputs!$B$44&gt;0),MIN(15,Inputs!$B$44)/(Inputs!$B$44),0))),0)))&gt;=100),CHOOSE(ArtifactsInput!$N$42+1,40,48,56,64,72,80),0))))/100)*(((1+(((C975=TRUE)*F975*IF(AND(Inputs!$B$39&lt;&gt;"pvp",Inputs!$B$44&gt;0),(((R975-1)*(Skills!Y21*(1+Inputs!$B$34/100))+MIN((Skills!Y21*(1+Inputs!$B$34/100)),MAX(0,Inputs!$B$44-((R975-1)*Skills!D21))))/Inputs!$B$44),IF(Inputs!$B$39="pvp",MIN((Skills!Y21*(1+Inputs!$B$34/100)),15)/15,(Skills!Y21*(1+Inputs!$B$34/100))/Skills!D21)))+((C982=TRUE)*(F982-Calc!F28))+((C972=TRUE)*(F972-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969=TRUE)*F969*IF(AND(Inputs!$B$39&lt;&gt;"pvp",Inputs!$B$44&gt;0),(((R969-1)*(Skills!Y15*(1+Inputs!$B$34/100))+MIN((Skills!Y15*(1+Inputs!$B$34/100)),MAX(0,Inputs!$B$44-((R969-1)*Skills!D15))))/Inputs!$B$44),IF(Inputs!$B$39="pvp",MIN((Skills!Y15*(1+Inputs!$B$34/100)),15)/15,(Skills!Y15*(1+Inputs!$B$34/100))/Skills!D15)))/100)*(1+((C960=TRUE)*F960*B988)/100))*B996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967)</f>
        <v/>
      </c>
      <c r="L967">
        <f>K967*(MIN(Inputs!$B$22+((C978=TRUE)*(F978-Calc!F24)),(Inputs!$B$23+0+(IF(ArtifactsInput!$M$15,CHOOSE(ArtifactsInput!$N$15+1,25,30,35,40,45,50)/100*(Inputs!$B$11-Inputs!$B$11),0))))/100+(Inputs!$B$23+0+(IF(ArtifactsInput!$M$15,CHOOSE(ArtifactsInput!$N$15+1,25,30,35,40,45,50)/100*(Inputs!$B$11-Inputs!$B$11),0)))/100)/2</f>
        <v/>
      </c>
      <c r="M967">
        <f>L967*(1+(Inputs!$B$10+((C980=TRUE)*(F980-Calc!F26))+B997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67">
        <f>L967*(1-MIN((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967*(MIN((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67">
        <f>(1-Summary!$B$11)*T967+Summary!$B$11*V967</f>
        <v/>
      </c>
      <c r="P967">
        <f>IF(B998=0,0,O967/B998)</f>
        <v/>
      </c>
      <c r="Q967">
        <f>IFERROR(1/IF(Inputs!$B$39="pvp",15,MAX(0.1,Skills!D13-IF(Skills!E13=TRUE,Inputs!$B$32,0))),0)</f>
        <v/>
      </c>
      <c r="R967">
        <f>IF(AND(Inputs!$B$39&lt;&gt;"pvp",Inputs!$B$44&gt;0),IF(MAX(0,Inputs!$B$44-B999)&lt;=0,0,(INT(MAX(0,Inputs!$B$44-B999)/IF(Inputs!$B$39="pvp",15,MAX(0.1,Skills!D13-IF(Skills!E13=TRUE,Inputs!$B$32,0))))+1)),0)</f>
        <v/>
      </c>
      <c r="S967">
        <f>IFERROR(O967/N967,0)</f>
        <v/>
      </c>
      <c r="T967">
        <f>IF(C967,(H967*N967*IF(AND(Inputs!$B$39&lt;&gt;"pvp",Inputs!$B$44&gt;0),((Skills!G13*((R967-1)*IF(Skills!H13&gt;0,Skills!I13/Skills!H13,1)+IF(Skills!H13&gt;0,MIN(Skills!I13,MAX(0,MAX(0,Inputs!$B$44-B999)-((R967-1)*IF(Inputs!$B$39="pvp",15,MAX(0.1,Skills!D13-IF(Skills!E13=TRUE,Inputs!$B$32,0))))))/Skills!H13,1)))/Inputs!$B$44),G967*Q967))*IF(Inputs!$B$39="pvp",1,1+(Inputs!$B$20+((C981=TRUE)*(F981-Calc!F27))+Skills!P13+B995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Hunt"),CHOOSE(ArtifactsInput!$N$35+1,15,18,21,24,27,30)*(1-EXP(-(0.2*B990)*5)),0)+IF(AND(ArtifactsInput!$M$22,Inputs!$B$4&lt;&gt;"Chapter Hunt"),CHOOSE(ArtifactsInput!$N$22+1,10,12,14,16,18,20)*((0*(((0.15*B990*5))^0/1)+1*(((0.15*B990*5))^1/1)+2*(((0.15*B990*5))^2/2)+3*(((0.15*B990*5))^3/6)+4*(((0.15*B990*5))^4/24)+5*(((0.15*B990*5))^5/120))/((((0.15*B990*5))^0/1)+(((0.15*B990*5))^1/1)+(((0.15*B990*5))^2/2)+(((0.15*B990*5))^3/6)+(((0.15*B990*5))^4/24)+(((0.15*B990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967*(1-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967*(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967*(1-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967*(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67">
        <f>IF(C967,(H967*N967*IF(AND(Inputs!$B$39&lt;&gt;"pvp",Inputs!$B$44&gt;0),((Skills!G13*((R967-1)*IF(Skills!H13&gt;0,Skills!I13/Skills!H13,1)+IF(Skills!H13&gt;0,MIN(Skills!I13,MAX(0,MAX(0,Inputs!$B$44-B999)-((R967-1)*IF(Inputs!$B$39="pvp",15,MAX(0.1,Skills!D13-IF(Skills!E13=TRUE,Inputs!$B$32,0))))))/Skills!H13,1)))/Inputs!$B$44),G967*Q967))*IF(Inputs!$B$39="pvp",1,(1+(Inputs!$B$21+Skills!Q13+B995+(IF(ArtifactsInput!$M$33,CHOOSE(ArtifactsInput!$N$33+1,30,36,42,48,54,60),0))+(IF(AND(ArtifactsInput!$M$35,Inputs!$B$4&lt;&gt;"Chapter Hunt"),CHOOSE(ArtifactsInput!$N$35+1,15,18,21,24,27,30)*(1-EXP(-(0.2*B990)*5)),0)+IF(AND(ArtifactsInput!$M$22,Inputs!$B$4&lt;&gt;"Chapter Hunt"),CHOOSE(ArtifactsInput!$N$22+1,10,12,14,16,18,20)*((0*(((0.15*B990*5))^0/1)+1*(((0.15*B990*5))^1/1)+2*(((0.15*B990*5))^2/2)+3*(((0.15*B990*5))^3/6)+4*(((0.15*B990*5))^4/24)+5*(((0.15*B990*5))^5/120))/((((0.15*B990*5))^0/1)+(((0.15*B990*5))^1/1)+(((0.15*B990*5))^2/2)+(((0.15*B990*5))^3/6)+(((0.15*B990*5))^4/24)+(((0.15*B990*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68">
      <c r="A968">
        <f>Skills!A14</f>
        <v/>
      </c>
      <c r="B968">
        <f>Skills!B14</f>
        <v/>
      </c>
      <c r="C968">
        <f>Inputs!$B$3&gt;=105</f>
        <v/>
      </c>
      <c r="D968">
        <f>IF(Skills!C14=1,60+Inputs!$B$25+Inputs!$B$29,IF(Skills!C14=2,90+Inputs!$B$26+Inputs!$B$29,IF(Skills!C14=3,120+(Inputs!$B$27+1)+Inputs!$B$29,MAX(0,(Inputs!$B$3-100)*3)+Inputs!$B$28+Inputs!$B$29)))</f>
        <v/>
      </c>
      <c r="E968">
        <f>INDEX(FactorTable!$B$2:$Y$301, MATCH(ROUND(MIN(300,MAX(1,D968)),0), FactorTable!$A$2:$A$301,0), Skills!M14+1)</f>
        <v/>
      </c>
      <c r="F968">
        <f>IF(Skills!N14=TRUE,(Skills!L14/10)*(E968/1000),Skills!L14/10)+Skills!O14</f>
        <v/>
      </c>
      <c r="G968">
        <f>Calc!G14</f>
        <v/>
      </c>
      <c r="H968">
        <f>Calc!H14</f>
        <v/>
      </c>
      <c r="I968">
        <f>IF(Skills!AA14&lt;&gt;"",1+(Skills!AA14/10)*(U957/1000)/100,1)</f>
        <v/>
      </c>
      <c r="J968">
        <f>((Inputs!$B$6*(1+Inputs!$B$7/100))+(((Inputs!$B$12*(1+Inputs!$B$13/100))-(Inputs!$B$12*(1+Inputs!$B$13/100)))+0.25*(Inputs!$B$14-Inputs!$B$14))*(1+Inputs!$B$7/100))*(F968/100)</f>
        <v/>
      </c>
      <c r="K968">
        <f>J968*(1+((Inputs!$B$12*(1+Inputs!$B$13/100))*0.01+Inputs!$B$14*0.0025)/100)*(1+Inputs!$B$15/100)*(1+Inputs!$B$16/100)*(5000/(6000+Inputs!$B$43*(1-(100*(1-(1-(Inputs!$B$19+0)/100)*(1-CHOOSE(ArtifactsInput!$N$40+1,5,6,7,8,9,10)/100)^(ArtifactsInput!$M$40-ArtifactsInput!$M$40)))/100)))*(1+(Inputs!$B$24+((C984=TRUE)*(F984-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977=TRUE)*(F977-Calc!F23))+(((IF(AND(ArtifactsInput!$M$42,((Inputs!$B$9+((C979=TRUE)*(F979-Calc!F25))+B994+(ArtifactsInput!$M$24-ArtifactsInput!$M$24)*CHOOSE(ArtifactsInput!$N$24+1,10,12,14,16,18,20)+IF(ArtifactsInput!$M$10,CHOOSE(ArtifactsInput!$N$10+1,15,18,21,24,27,30)*(IF(Inputs!$B$39="pvp",MIN(15,15)/15,IF(AND(Inputs!$B$39&lt;&gt;"pvp",Inputs!$B$44&gt;0),MIN(15,Inputs!$B$44)/(Inputs!$B$44),0))),0)))&gt;=100),MIN(100,((Inputs!$B$9+((C979=TRUE)*(F979-Calc!F25))+B994+(ArtifactsInput!$M$24-ArtifactsInput!$M$24)*CHOOSE(ArtifactsInput!$N$24+1,10,12,14,16,18,20)+IF(ArtifactsInput!$M$10,CHOOSE(ArtifactsInput!$N$10+1,15,18,21,24,27,30)*(IF(Inputs!$B$39="pvp",MIN(15,15)/15,IF(AND(Inputs!$B$39&lt;&gt;"pvp",Inputs!$B$44&gt;0),MIN(15,Inputs!$B$44)/(Inputs!$B$44),0))),0)))-100),0))*CHOOSE(ArtifactsInput!$N$42+1,0.6,0.72,0.84,0.96,1.08,1.2))),Inputs!$B$18+((C983=TRUE)*(F983-Calc!F29))+(IF(AND(ArtifactsInput!$M$42,((Inputs!$B$9+((C979=TRUE)*(F979-Calc!F25))+B994+(ArtifactsInput!$M$24-ArtifactsInput!$M$24)*CHOOSE(ArtifactsInput!$N$24+1,10,12,14,16,18,20)+IF(ArtifactsInput!$M$10,CHOOSE(ArtifactsInput!$N$10+1,15,18,21,24,27,30)*(IF(Inputs!$B$39="pvp",MIN(15,15)/15,IF(AND(Inputs!$B$39&lt;&gt;"pvp",Inputs!$B$44&gt;0),MIN(15,Inputs!$B$44)/(Inputs!$B$44),0))),0)))&gt;=100),CHOOSE(ArtifactsInput!$N$42+1,40,48,56,64,72,80),0))))/100)*(((1+(((C975=TRUE)*F975*IF(AND(Inputs!$B$39&lt;&gt;"pvp",Inputs!$B$44&gt;0),(((R975-1)*(Skills!Y21*(1+Inputs!$B$34/100))+MIN((Skills!Y21*(1+Inputs!$B$34/100)),MAX(0,Inputs!$B$44-((R975-1)*Skills!D21))))/Inputs!$B$44),IF(Inputs!$B$39="pvp",MIN((Skills!Y21*(1+Inputs!$B$34/100)),15)/15,(Skills!Y21*(1+Inputs!$B$34/100))/Skills!D21)))+((C982=TRUE)*(F982-Calc!F28))+((C972=TRUE)*(F972-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969=TRUE)*F969*IF(AND(Inputs!$B$39&lt;&gt;"pvp",Inputs!$B$44&gt;0),(((R969-1)*(Skills!Y15*(1+Inputs!$B$34/100))+MIN((Skills!Y15*(1+Inputs!$B$34/100)),MAX(0,Inputs!$B$44-((R969-1)*Skills!D15))))/Inputs!$B$44),IF(Inputs!$B$39="pvp",MIN((Skills!Y15*(1+Inputs!$B$34/100)),15)/15,(Skills!Y15*(1+Inputs!$B$34/100))/Skills!D15)))/100)*(1+((C960=TRUE)*F960*B988)/100))*B996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968)</f>
        <v/>
      </c>
      <c r="L968">
        <f>K968*(MIN(Inputs!$B$22+((C978=TRUE)*(F978-Calc!F24)),(Inputs!$B$23+0+(IF(ArtifactsInput!$M$15,CHOOSE(ArtifactsInput!$N$15+1,25,30,35,40,45,50)/100*(Inputs!$B$11-Inputs!$B$11),0))))/100+(Inputs!$B$23+0+(IF(ArtifactsInput!$M$15,CHOOSE(ArtifactsInput!$N$15+1,25,30,35,40,45,50)/100*(Inputs!$B$11-Inputs!$B$11),0)))/100)/2</f>
        <v/>
      </c>
      <c r="M968">
        <f>L968*(1+(Inputs!$B$10+((C980=TRUE)*(F980-Calc!F26))+B997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68">
        <f>L968*(1-MIN((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968*(MIN((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68">
        <f>(1-Summary!$B$11)*T968+Summary!$B$11*V968</f>
        <v/>
      </c>
      <c r="P968">
        <f>IF(B998=0,0,O968/B998)</f>
        <v/>
      </c>
      <c r="Q968">
        <f>IFERROR(1/IF(Inputs!$B$39="pvp",15,MAX(0.1,Skills!D14-IF(Skills!E14=TRUE,Inputs!$B$32,0))),0)</f>
        <v/>
      </c>
      <c r="R968">
        <f>IF(AND(Inputs!$B$39&lt;&gt;"pvp",Inputs!$B$44&gt;0),IF(MAX(0,Inputs!$B$44-B999)&lt;=0,0,(INT(MAX(0,Inputs!$B$44-B999)/IF(Inputs!$B$39="pvp",15,MAX(0.1,Skills!D14-IF(Skills!E14=TRUE,Inputs!$B$32,0))))+1)),0)</f>
        <v/>
      </c>
      <c r="S968">
        <f>IFERROR(O968/N968,0)</f>
        <v/>
      </c>
      <c r="T968">
        <f>IF(C968,(H968*N968*IF(AND(Inputs!$B$39&lt;&gt;"pvp",Inputs!$B$44&gt;0),((Skills!G14*((R968-1)*IF(Skills!H14&gt;0,Skills!I14/Skills!H14,1)+IF(Skills!H14&gt;0,MIN(Skills!I14,MAX(0,MAX(0,Inputs!$B$44-B999)-((R968-1)*IF(Inputs!$B$39="pvp",15,MAX(0.1,Skills!D14-IF(Skills!E14=TRUE,Inputs!$B$32,0))))))/Skills!H14,1)))/Inputs!$B$44),G968*Q968))*IF(Inputs!$B$39="pvp",1,1+(Inputs!$B$20+((C981=TRUE)*(F981-Calc!F27))+Skills!P14+B995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Hunt"),CHOOSE(ArtifactsInput!$N$35+1,15,18,21,24,27,30)*(1-EXP(-(0.2*B990)*5)),0)+IF(AND(ArtifactsInput!$M$22,Inputs!$B$4&lt;&gt;"Chapter Hunt"),CHOOSE(ArtifactsInput!$N$22+1,10,12,14,16,18,20)*((0*(((0.15*B990*5))^0/1)+1*(((0.15*B990*5))^1/1)+2*(((0.15*B990*5))^2/2)+3*(((0.15*B990*5))^3/6)+4*(((0.15*B990*5))^4/24)+5*(((0.15*B990*5))^5/120))/((((0.15*B990*5))^0/1)+(((0.15*B990*5))^1/1)+(((0.15*B990*5))^2/2)+(((0.15*B990*5))^3/6)+(((0.15*B990*5))^4/24)+(((0.15*B990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968*(1-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968*(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968*(1-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968*(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68">
        <f>IF(C968,(H968*N968*IF(AND(Inputs!$B$39&lt;&gt;"pvp",Inputs!$B$44&gt;0),((Skills!G14*((R968-1)*IF(Skills!H14&gt;0,Skills!I14/Skills!H14,1)+IF(Skills!H14&gt;0,MIN(Skills!I14,MAX(0,MAX(0,Inputs!$B$44-B999)-((R968-1)*IF(Inputs!$B$39="pvp",15,MAX(0.1,Skills!D14-IF(Skills!E14=TRUE,Inputs!$B$32,0))))))/Skills!H14,1)))/Inputs!$B$44),G968*Q968))*IF(Inputs!$B$39="pvp",1,(1+(Inputs!$B$21+Skills!Q14+B995+(IF(ArtifactsInput!$M$33,CHOOSE(ArtifactsInput!$N$33+1,30,36,42,48,54,60),0))+(IF(AND(ArtifactsInput!$M$35,Inputs!$B$4&lt;&gt;"Chapter Hunt"),CHOOSE(ArtifactsInput!$N$35+1,15,18,21,24,27,30)*(1-EXP(-(0.2*B990)*5)),0)+IF(AND(ArtifactsInput!$M$22,Inputs!$B$4&lt;&gt;"Chapter Hunt"),CHOOSE(ArtifactsInput!$N$22+1,10,12,14,16,18,20)*((0*(((0.15*B990*5))^0/1)+1*(((0.15*B990*5))^1/1)+2*(((0.15*B990*5))^2/2)+3*(((0.15*B990*5))^3/6)+4*(((0.15*B990*5))^4/24)+5*(((0.15*B990*5))^5/120))/((((0.15*B990*5))^0/1)+(((0.15*B990*5))^1/1)+(((0.15*B990*5))^2/2)+(((0.15*B990*5))^3/6)+(((0.15*B990*5))^4/24)+(((0.15*B990*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69">
      <c r="A969">
        <f>Skills!A15</f>
        <v/>
      </c>
      <c r="B969">
        <f>Skills!B15</f>
        <v/>
      </c>
      <c r="C969">
        <f>Inputs!$B$3&gt;=110</f>
        <v/>
      </c>
      <c r="D969">
        <f>IF(Skills!C15=1,60+Inputs!$B$25+Inputs!$B$29,IF(Skills!C15=2,90+Inputs!$B$26+Inputs!$B$29,IF(Skills!C15=3,120+(Inputs!$B$27+1)+Inputs!$B$29,MAX(0,(Inputs!$B$3-100)*3)+Inputs!$B$28+Inputs!$B$29)))</f>
        <v/>
      </c>
      <c r="E969">
        <f>INDEX(FactorTable!$B$2:$Y$301, MATCH(ROUND(MIN(300,MAX(1,D969)),0), FactorTable!$A$2:$A$301,0), Skills!M15+1)</f>
        <v/>
      </c>
      <c r="F969">
        <f>IF(Skills!N15=TRUE,(Skills!L15/10)*(E969/1000),Skills!L15/10)+Skills!O15</f>
        <v/>
      </c>
      <c r="G969">
        <f>Calc!G15</f>
        <v/>
      </c>
      <c r="H969">
        <f>Calc!H15</f>
        <v/>
      </c>
      <c r="I969">
        <f>IF(Skills!AA15&lt;&gt;"",1+(Skills!AA15/10)*(U957/1000)/100,1)</f>
        <v/>
      </c>
      <c r="J969" t="inlineStr"/>
      <c r="K969" t="inlineStr"/>
      <c r="L969" t="inlineStr"/>
      <c r="M969" t="inlineStr"/>
      <c r="N969" t="inlineStr"/>
      <c r="O969">
        <f>(1-Summary!$B$11)*T969+Summary!$B$11*V969</f>
        <v/>
      </c>
      <c r="P969">
        <f>IF(B998=0,0,O969/B998)</f>
        <v/>
      </c>
      <c r="Q969">
        <f>IFERROR(1/IF(Inputs!$B$39="pvp",15,MAX(0.1,Skills!D15-IF(Skills!E15=TRUE,Inputs!$B$32,0))),0)</f>
        <v/>
      </c>
      <c r="R969">
        <f>IF(AND(Inputs!$B$39&lt;&gt;"pvp",Inputs!$B$44&gt;0),IF(Inputs!$B$44&lt;=0,0,(INT(Inputs!$B$44/IF(Inputs!$B$39="pvp",15,MAX(0.1,Skills!D15-IF(Skills!E15=TRUE,Inputs!$B$32,0))))+1)),0)</f>
        <v/>
      </c>
      <c r="S969">
        <f>IFERROR(O969/N969,0)</f>
        <v/>
      </c>
      <c r="T969" t="n">
        <v>0</v>
      </c>
      <c r="V969" t="n">
        <v>0</v>
      </c>
    </row>
    <row r="970">
      <c r="A970">
        <f>Skills!A16</f>
        <v/>
      </c>
      <c r="B970">
        <f>Skills!B16</f>
        <v/>
      </c>
      <c r="C970">
        <f>Inputs!$B$3&gt;=110</f>
        <v/>
      </c>
      <c r="D970">
        <f>IF(Skills!C16=1,60+Inputs!$B$25+Inputs!$B$29,IF(Skills!C16=2,90+Inputs!$B$26+Inputs!$B$29,IF(Skills!C16=3,120+(Inputs!$B$27+1)+Inputs!$B$29,MAX(0,(Inputs!$B$3-100)*3)+Inputs!$B$28+Inputs!$B$29)))</f>
        <v/>
      </c>
      <c r="E970">
        <f>INDEX(FactorTable!$B$2:$Y$301, MATCH(ROUND(MIN(300,MAX(1,D970)),0), FactorTable!$A$2:$A$301,0), Skills!M16+1)</f>
        <v/>
      </c>
      <c r="F970">
        <f>IF(Skills!N16=TRUE,(Skills!L16/10)*(E970/1000),Skills!L16/10)+Skills!O16</f>
        <v/>
      </c>
      <c r="G970">
        <f>Calc!G16</f>
        <v/>
      </c>
      <c r="H970">
        <f>Calc!H16</f>
        <v/>
      </c>
      <c r="I970">
        <f>IF(Skills!AA16&lt;&gt;"",1+(Skills!AA16/10)*(U957/1000)/100,1)</f>
        <v/>
      </c>
      <c r="J970" t="inlineStr"/>
      <c r="K970" t="inlineStr"/>
      <c r="L970" t="inlineStr"/>
      <c r="M970" t="inlineStr"/>
      <c r="N970" t="inlineStr"/>
      <c r="O970">
        <f>(1-Summary!$B$11)*T970+Summary!$B$11*V970</f>
        <v/>
      </c>
      <c r="P970">
        <f>IF(B998=0,0,O970/B998)</f>
        <v/>
      </c>
      <c r="Q970">
        <f>IFERROR(1/IF(Inputs!$B$39="pvp",15,MAX(0.1,Skills!D16-IF(Skills!E16=TRUE,Inputs!$B$32,0))),0)</f>
        <v/>
      </c>
      <c r="R970">
        <f>IF(AND(Inputs!$B$39&lt;&gt;"pvp",Inputs!$B$44&gt;0),IF(Inputs!$B$44&lt;=0,0,(INT(Inputs!$B$44/IF(Inputs!$B$39="pvp",15,MAX(0.1,Skills!D16-IF(Skills!E16=TRUE,Inputs!$B$32,0))))+1)),0)</f>
        <v/>
      </c>
      <c r="S970">
        <f>IFERROR(O970/N970,0)</f>
        <v/>
      </c>
      <c r="T970" t="n">
        <v>0</v>
      </c>
      <c r="V970" t="n">
        <v>0</v>
      </c>
    </row>
    <row r="971">
      <c r="A971">
        <f>Skills!A17</f>
        <v/>
      </c>
      <c r="B971">
        <f>Skills!B17</f>
        <v/>
      </c>
      <c r="C971">
        <f>Inputs!$B$3&gt;=115</f>
        <v/>
      </c>
      <c r="D971">
        <f>IF(Skills!C17=1,60+Inputs!$B$25+Inputs!$B$29,IF(Skills!C17=2,90+Inputs!$B$26+Inputs!$B$29,IF(Skills!C17=3,120+(Inputs!$B$27+1)+Inputs!$B$29,MAX(0,(Inputs!$B$3-100)*3)+Inputs!$B$28+Inputs!$B$29)))</f>
        <v/>
      </c>
      <c r="E971">
        <f>INDEX(FactorTable!$B$2:$Y$301, MATCH(ROUND(MIN(300,MAX(1,D971)),0), FactorTable!$A$2:$A$301,0), Skills!M17+1)</f>
        <v/>
      </c>
      <c r="F971">
        <f>IF(Skills!N17=TRUE,(Skills!L17/10)*(E971/1000),Skills!L17/10)+Skills!O17</f>
        <v/>
      </c>
      <c r="G971">
        <f>Calc!G17</f>
        <v/>
      </c>
      <c r="H971">
        <f>Calc!H17</f>
        <v/>
      </c>
      <c r="I971">
        <f>IF(Skills!AA17&lt;&gt;"",1+(Skills!AA17/10)*(U957/1000)/100,1)</f>
        <v/>
      </c>
      <c r="J971">
        <f>((Inputs!$B$6*(1+Inputs!$B$7/100))+(((Inputs!$B$12*(1+Inputs!$B$13/100))-(Inputs!$B$12*(1+Inputs!$B$13/100)))+0.25*(Inputs!$B$14-Inputs!$B$14))*(1+Inputs!$B$7/100))*(F971/100)</f>
        <v/>
      </c>
      <c r="K971">
        <f>J971*(1+((Inputs!$B$12*(1+Inputs!$B$13/100))*0.01+Inputs!$B$14*0.0025)/100)*(1+Inputs!$B$15/100)*(1+Inputs!$B$16/100)*(5000/(6000+Inputs!$B$43*(1-(100*(1-(1-(Inputs!$B$19+0)/100)*(1-CHOOSE(ArtifactsInput!$N$40+1,5,6,7,8,9,10)/100)^(ArtifactsInput!$M$40-ArtifactsInput!$M$40)))/100)))*(1+(Inputs!$B$24+((C984=TRUE)*(F984-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977=TRUE)*(F977-Calc!F23))+(((IF(AND(ArtifactsInput!$M$42,((Inputs!$B$9+((C979=TRUE)*(F979-Calc!F25))+B994+(ArtifactsInput!$M$24-ArtifactsInput!$M$24)*CHOOSE(ArtifactsInput!$N$24+1,10,12,14,16,18,20)+IF(ArtifactsInput!$M$10,CHOOSE(ArtifactsInput!$N$10+1,15,18,21,24,27,30)*(IF(Inputs!$B$39="pvp",MIN(15,15)/15,IF(AND(Inputs!$B$39&lt;&gt;"pvp",Inputs!$B$44&gt;0),MIN(15,Inputs!$B$44)/(Inputs!$B$44),0))),0)))&gt;=100),MIN(100,((Inputs!$B$9+((C979=TRUE)*(F979-Calc!F25))+B994+(ArtifactsInput!$M$24-ArtifactsInput!$M$24)*CHOOSE(ArtifactsInput!$N$24+1,10,12,14,16,18,20)+IF(ArtifactsInput!$M$10,CHOOSE(ArtifactsInput!$N$10+1,15,18,21,24,27,30)*(IF(Inputs!$B$39="pvp",MIN(15,15)/15,IF(AND(Inputs!$B$39&lt;&gt;"pvp",Inputs!$B$44&gt;0),MIN(15,Inputs!$B$44)/(Inputs!$B$44),0))),0)))-100),0))*CHOOSE(ArtifactsInput!$N$42+1,0.6,0.72,0.84,0.96,1.08,1.2))),Inputs!$B$18+((C983=TRUE)*(F983-Calc!F29))+(IF(AND(ArtifactsInput!$M$42,((Inputs!$B$9+((C979=TRUE)*(F979-Calc!F25))+B994+(ArtifactsInput!$M$24-ArtifactsInput!$M$24)*CHOOSE(ArtifactsInput!$N$24+1,10,12,14,16,18,20)+IF(ArtifactsInput!$M$10,CHOOSE(ArtifactsInput!$N$10+1,15,18,21,24,27,30)*(IF(Inputs!$B$39="pvp",MIN(15,15)/15,IF(AND(Inputs!$B$39&lt;&gt;"pvp",Inputs!$B$44&gt;0),MIN(15,Inputs!$B$44)/(Inputs!$B$44),0))),0)))&gt;=100),CHOOSE(ArtifactsInput!$N$42+1,40,48,56,64,72,80),0))))/100)*(((1+(((C975=TRUE)*F975*IF(AND(Inputs!$B$39&lt;&gt;"pvp",Inputs!$B$44&gt;0),(((R975-1)*(Skills!Y21*(1+Inputs!$B$34/100))+MIN((Skills!Y21*(1+Inputs!$B$34/100)),MAX(0,Inputs!$B$44-((R975-1)*Skills!D21))))/Inputs!$B$44),IF(Inputs!$B$39="pvp",MIN((Skills!Y21*(1+Inputs!$B$34/100)),15)/15,(Skills!Y21*(1+Inputs!$B$34/100))/Skills!D21)))+((C982=TRUE)*(F982-Calc!F28))+((C972=TRUE)*(F972-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969=TRUE)*F969*IF(AND(Inputs!$B$39&lt;&gt;"pvp",Inputs!$B$44&gt;0),(((R969-1)*(Skills!Y15*(1+Inputs!$B$34/100))+MIN((Skills!Y15*(1+Inputs!$B$34/100)),MAX(0,Inputs!$B$44-((R969-1)*Skills!D15))))/Inputs!$B$44),IF(Inputs!$B$39="pvp",MIN((Skills!Y15*(1+Inputs!$B$34/100)),15)/15,(Skills!Y15*(1+Inputs!$B$34/100))/Skills!D15)))/100)*(1+((C960=TRUE)*F960*B988)/100))*B996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971)</f>
        <v/>
      </c>
      <c r="L971">
        <f>K971*(MIN(Inputs!$B$22+((C978=TRUE)*(F978-Calc!F24)),(Inputs!$B$23+0+(IF(ArtifactsInput!$M$15,CHOOSE(ArtifactsInput!$N$15+1,25,30,35,40,45,50)/100*(Inputs!$B$11-Inputs!$B$11),0))))/100+(Inputs!$B$23+0+(IF(ArtifactsInput!$M$15,CHOOSE(ArtifactsInput!$N$15+1,25,30,35,40,45,50)/100*(Inputs!$B$11-Inputs!$B$11),0)))/100)/2</f>
        <v/>
      </c>
      <c r="M971">
        <f>L971*(1+(Inputs!$B$10+((C980=TRUE)*(F980-Calc!F26))+B997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71">
        <f>L971*(1-MIN((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971*(MIN((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71">
        <f>(1-Summary!$B$11)*T971+Summary!$B$11*V971</f>
        <v/>
      </c>
      <c r="P971">
        <f>IF(B998=0,0,O971/B998)</f>
        <v/>
      </c>
      <c r="Q971" t="n">
        <v>0</v>
      </c>
      <c r="R971" t="n">
        <v>0</v>
      </c>
      <c r="S971">
        <f>IFERROR(O971/N971,0)</f>
        <v/>
      </c>
      <c r="T971">
        <f>IF(C971,(Inputs!$B$38*0.2*N971)*IF(Inputs!$B$39="pvp",1,1+(Inputs!$B$20+((C981=TRUE)*(F981-Calc!F27))+Skills!P17+B995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Hunt"),CHOOSE(ArtifactsInput!$N$35+1,15,18,21,24,27,30)*(1-EXP(-(0.2*B990)*5)),0)+IF(AND(ArtifactsInput!$M$22,Inputs!$B$4&lt;&gt;"Chapter Hunt"),CHOOSE(ArtifactsInput!$N$22+1,10,12,14,16,18,20)*((0*(((0.15*B990*5))^0/1)+1*(((0.15*B990*5))^1/1)+2*(((0.15*B990*5))^2/2)+3*(((0.15*B990*5))^3/6)+4*(((0.15*B990*5))^4/24)+5*(((0.15*B990*5))^5/120))/((((0.15*B990*5))^0/1)+(((0.15*B990*5))^1/1)+(((0.15*B990*5))^2/2)+(((0.15*B990*5))^3/6)+(((0.15*B990*5))^4/24)+(((0.15*B990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971*(1-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971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971*(1-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971*(MIN(100,(Inputs!$B$9+((C979=TRUE)*(F979-Calc!F25))+B994+(ArtifactsInput!$M$24-ArtifactsInput!$M$24)*CHOOSE(ArtifactsInput!$N$24+1,10,12,14,16,18,20)+(IF(AND(ArtifactsInput!$M$42,((Inputs!$B$9+((C979=TRUE)*(F979-Calc!F25))+B994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71">
        <f>IF(C971,(Inputs!$B$38*0.2*N971)*IF(Inputs!$B$39="pvp",1,(1+(Inputs!$B$21+Skills!Q17+B995+(IF(ArtifactsInput!$M$33,CHOOSE(ArtifactsInput!$N$33+1,30,36,42,48,54,60),0))+(IF(AND(ArtifactsInput!$M$35,Inputs!$B$4&lt;&gt;"Chapter Hunt"),CHOOSE(ArtifactsInput!$N$35+1,15,18,21,24,27,30)*(1-EXP(-(0.2*B990)*5)),0)+IF(AND(ArtifactsInput!$M$22,Inputs!$B$4&lt;&gt;"Chapter Hunt"),CHOOSE(ArtifactsInput!$N$22+1,10,12,14,16,18,20)*((0*(((0.15*B990*5))^0/1)+1*(((0.15*B990*5))^1/1)+2*(((0.15*B990*5))^2/2)+3*(((0.15*B990*5))^3/6)+4*(((0.15*B990*5))^4/24)+5*(((0.15*B990*5))^5/120))/((((0.15*B990*5))^0/1)+(((0.15*B990*5))^1/1)+(((0.15*B990*5))^2/2)+(((0.15*B990*5))^3/6)+(((0.15*B990*5))^4/24)+(((0.15*B990*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72">
      <c r="A972">
        <f>Skills!A18</f>
        <v/>
      </c>
      <c r="B972">
        <f>Skills!B18</f>
        <v/>
      </c>
      <c r="C972">
        <f>Inputs!$B$3&gt;=115</f>
        <v/>
      </c>
      <c r="D972">
        <f>IF(Skills!C18=1,60+Inputs!$B$25+Inputs!$B$29,IF(Skills!C18=2,90+Inputs!$B$26+Inputs!$B$29,IF(Skills!C18=3,120+(Inputs!$B$27+1)+Inputs!$B$29,MAX(0,(Inputs!$B$3-100)*3)+Inputs!$B$28+Inputs!$B$29)))</f>
        <v/>
      </c>
      <c r="E972">
        <f>INDEX(FactorTable!$B$2:$Y$301, MATCH(ROUND(MIN(300,MAX(1,D972)),0), FactorTable!$A$2:$A$301,0), Skills!M18+1)</f>
        <v/>
      </c>
      <c r="F972">
        <f>IF(Skills!N18=TRUE,(Skills!L18/10)*(E972/1000),Skills!L18/10)+Skills!O18</f>
        <v/>
      </c>
      <c r="G972">
        <f>Calc!G18</f>
        <v/>
      </c>
      <c r="H972">
        <f>Calc!H18</f>
        <v/>
      </c>
      <c r="I972">
        <f>IF(Skills!AA18&lt;&gt;"",1+(Skills!AA18/10)*(U957/1000)/100,1)</f>
        <v/>
      </c>
      <c r="J972" t="inlineStr"/>
      <c r="K972" t="inlineStr"/>
      <c r="L972" t="inlineStr"/>
      <c r="M972" t="inlineStr"/>
      <c r="N972" t="inlineStr"/>
      <c r="O972">
        <f>(1-Summary!$B$11)*T972+Summary!$B$11*V972</f>
        <v/>
      </c>
      <c r="P972">
        <f>IF(B998=0,0,O972/B998)</f>
        <v/>
      </c>
      <c r="Q972" t="n">
        <v>0</v>
      </c>
      <c r="R972" t="n">
        <v>0</v>
      </c>
      <c r="S972">
        <f>IFERROR(O972/N972,0)</f>
        <v/>
      </c>
      <c r="T972" t="n">
        <v>0</v>
      </c>
      <c r="V972" t="n">
        <v>0</v>
      </c>
    </row>
    <row r="973">
      <c r="A973">
        <f>Skills!A19</f>
        <v/>
      </c>
      <c r="B973">
        <f>Skills!B19</f>
        <v/>
      </c>
      <c r="C973">
        <f>TRUE</f>
        <v/>
      </c>
      <c r="D973">
        <f>IF(Skills!C19=1,60+Inputs!$B$25+Inputs!$B$29,IF(Skills!C19=2,90+Inputs!$B$26+Inputs!$B$29,IF(Skills!C19=3,120+(Inputs!$B$27+1)+Inputs!$B$29,MAX(0,(Inputs!$B$3-100)*3)+Inputs!$B$28+Inputs!$B$29)))</f>
        <v/>
      </c>
      <c r="E973">
        <f>INDEX(FactorTable!$B$2:$Y$301, MATCH(ROUND(MIN(300,MAX(1,D973)),0), FactorTable!$A$2:$A$301,0), Skills!M19+1)</f>
        <v/>
      </c>
      <c r="F973">
        <f>IF(Skills!N19=TRUE,(Skills!L19/10)*(E973/1000),Skills!L19/10)+Skills!O19</f>
        <v/>
      </c>
      <c r="G973">
        <f>Calc!G19</f>
        <v/>
      </c>
      <c r="H973">
        <f>Calc!H19</f>
        <v/>
      </c>
      <c r="I973">
        <f>IF(Skills!AA19&lt;&gt;"",1+(Skills!AA19/10)*(U957/1000)/100,1)</f>
        <v/>
      </c>
      <c r="J973" t="inlineStr"/>
      <c r="K973" t="inlineStr"/>
      <c r="L973" t="inlineStr"/>
      <c r="M973" t="inlineStr"/>
      <c r="N973" t="inlineStr"/>
      <c r="O973">
        <f>(1-Summary!$B$11)*T973+Summary!$B$11*V973</f>
        <v/>
      </c>
      <c r="P973">
        <f>IF(B998=0,0,O973/B998)</f>
        <v/>
      </c>
      <c r="Q973">
        <f>IFERROR(1/IF(Inputs!$B$39="pvp",15,MAX(0.1,Skills!D19-IF(Skills!E19=TRUE,Inputs!$B$32,0))),0)</f>
        <v/>
      </c>
      <c r="R973">
        <f>IF(AND(Inputs!$B$39&lt;&gt;"pvp",Inputs!$B$44&gt;0),IF(Inputs!$B$44&lt;=0,0,(INT(Inputs!$B$44/IF(Inputs!$B$39="pvp",15,MAX(0.1,Skills!D19-IF(Skills!E19=TRUE,Inputs!$B$32,0))))+1)),0)</f>
        <v/>
      </c>
      <c r="S973">
        <f>IFERROR(O973/N973,0)</f>
        <v/>
      </c>
      <c r="T973" t="n">
        <v>0</v>
      </c>
      <c r="V973" t="n">
        <v>0</v>
      </c>
    </row>
    <row r="974">
      <c r="A974">
        <f>Skills!A20</f>
        <v/>
      </c>
      <c r="B974">
        <f>Skills!B20</f>
        <v/>
      </c>
      <c r="C974">
        <f>Inputs!$B$3&gt;=15</f>
        <v/>
      </c>
      <c r="D974">
        <f>IF(Skills!C20=1,60+Inputs!$B$25+Inputs!$B$29,IF(Skills!C20=2,90+Inputs!$B$26+Inputs!$B$29,IF(Skills!C20=3,120+(Inputs!$B$27+1)+Inputs!$B$29,MAX(0,(Inputs!$B$3-100)*3)+Inputs!$B$28+Inputs!$B$29)))</f>
        <v/>
      </c>
      <c r="E974">
        <f>INDEX(FactorTable!$B$2:$Y$301, MATCH(ROUND(MIN(300,MAX(1,D974)),0), FactorTable!$A$2:$A$301,0), Skills!M20+1)</f>
        <v/>
      </c>
      <c r="F974">
        <f>IF(Skills!N20=TRUE,(Skills!L20/10)*(E974/1000),Skills!L20/10)+Skills!O20</f>
        <v/>
      </c>
      <c r="G974">
        <f>Calc!G20</f>
        <v/>
      </c>
      <c r="H974">
        <f>Calc!H20</f>
        <v/>
      </c>
      <c r="I974">
        <f>IF(Skills!AA20&lt;&gt;"",1+(Skills!AA20/10)*(U957/1000)/100,1)</f>
        <v/>
      </c>
      <c r="J974" t="inlineStr"/>
      <c r="K974" t="inlineStr"/>
      <c r="L974" t="inlineStr"/>
      <c r="M974" t="inlineStr"/>
      <c r="N974" t="inlineStr"/>
      <c r="O974">
        <f>(1-Summary!$B$11)*T974+Summary!$B$11*V974</f>
        <v/>
      </c>
      <c r="P974">
        <f>IF(B998=0,0,O974/B998)</f>
        <v/>
      </c>
      <c r="Q974">
        <f>IFERROR(1/IF(Inputs!$B$39="pvp",15,MAX(0.1,Skills!D20-IF(Skills!E20=TRUE,Inputs!$B$32,0))),0)</f>
        <v/>
      </c>
      <c r="R974">
        <f>IF(AND(Inputs!$B$39&lt;&gt;"pvp",Inputs!$B$44&gt;0),IF(Inputs!$B$44&lt;=0,0,(INT(Inputs!$B$44/IF(Inputs!$B$39="pvp",15,MAX(0.1,Skills!D20-IF(Skills!E20=TRUE,Inputs!$B$32,0))))+1)),0)</f>
        <v/>
      </c>
      <c r="S974">
        <f>IFERROR(O974/N974,0)</f>
        <v/>
      </c>
      <c r="T974" t="n">
        <v>0</v>
      </c>
      <c r="V974" t="n">
        <v>0</v>
      </c>
    </row>
    <row r="975">
      <c r="A975">
        <f>Skills!A21</f>
        <v/>
      </c>
      <c r="B975">
        <f>Skills!B21</f>
        <v/>
      </c>
      <c r="C975">
        <f>Inputs!$B$3&gt;=15</f>
        <v/>
      </c>
      <c r="D975">
        <f>IF(Skills!C21=1,60+Inputs!$B$25+Inputs!$B$29,IF(Skills!C21=2,90+Inputs!$B$26+Inputs!$B$29,IF(Skills!C21=3,120+(Inputs!$B$27+1)+Inputs!$B$29,MAX(0,(Inputs!$B$3-100)*3)+Inputs!$B$28+Inputs!$B$29)))</f>
        <v/>
      </c>
      <c r="E975">
        <f>INDEX(FactorTable!$B$2:$Y$301, MATCH(ROUND(MIN(300,MAX(1,D975)),0), FactorTable!$A$2:$A$301,0), Skills!M21+1)</f>
        <v/>
      </c>
      <c r="F975">
        <f>IF(Skills!N21=TRUE,(Skills!L21/10)*(E975/1000),Skills!L21/10)+Skills!O21</f>
        <v/>
      </c>
      <c r="G975">
        <f>Calc!G21</f>
        <v/>
      </c>
      <c r="H975">
        <f>Calc!H21</f>
        <v/>
      </c>
      <c r="I975">
        <f>IF(Skills!AA21&lt;&gt;"",1+(Skills!AA21/10)*(U957/1000)/100,1)</f>
        <v/>
      </c>
      <c r="J975" t="inlineStr"/>
      <c r="K975" t="inlineStr"/>
      <c r="L975" t="inlineStr"/>
      <c r="M975" t="inlineStr"/>
      <c r="N975" t="inlineStr"/>
      <c r="O975">
        <f>(1-Summary!$B$11)*T975+Summary!$B$11*V975</f>
        <v/>
      </c>
      <c r="P975">
        <f>IF(B998=0,0,O975/B998)</f>
        <v/>
      </c>
      <c r="Q975">
        <f>IFERROR(1/IF(Inputs!$B$39="pvp",15,MAX(0.1,Skills!D21-IF(Skills!E21=TRUE,Inputs!$B$32,0))),0)</f>
        <v/>
      </c>
      <c r="R975">
        <f>IF(AND(Inputs!$B$39&lt;&gt;"pvp",Inputs!$B$44&gt;0),IF(Inputs!$B$44&lt;=0,0,(INT(Inputs!$B$44/IF(Inputs!$B$39="pvp",15,MAX(0.1,Skills!D21-IF(Skills!E21=TRUE,Inputs!$B$32,0))))+1)),0)</f>
        <v/>
      </c>
      <c r="S975">
        <f>IFERROR(O975/N975,0)</f>
        <v/>
      </c>
      <c r="T975" t="n">
        <v>0</v>
      </c>
      <c r="V975" t="n">
        <v>0</v>
      </c>
    </row>
    <row r="976">
      <c r="A976">
        <f>Skills!A22</f>
        <v/>
      </c>
      <c r="B976">
        <f>Skills!B22</f>
        <v/>
      </c>
      <c r="C976">
        <f>Inputs!$B$3&gt;=33</f>
        <v/>
      </c>
      <c r="D976">
        <f>IF(Skills!C22=1,60+Inputs!$B$25+Inputs!$B$29,IF(Skills!C22=2,90+Inputs!$B$26+Inputs!$B$29,IF(Skills!C22=3,120+(Inputs!$B$27+1)+Inputs!$B$29,MAX(0,(Inputs!$B$3-100)*3)+Inputs!$B$28+Inputs!$B$29)))</f>
        <v/>
      </c>
      <c r="E976">
        <f>INDEX(FactorTable!$B$2:$Y$301, MATCH(ROUND(MIN(300,MAX(1,D976)),0), FactorTable!$A$2:$A$301,0), Skills!M22+1)</f>
        <v/>
      </c>
      <c r="F976">
        <f>IF(Skills!N22=TRUE,(Skills!L22/10)*(E976/1000),Skills!L22/10)+Skills!O22</f>
        <v/>
      </c>
      <c r="G976">
        <f>Calc!G22</f>
        <v/>
      </c>
      <c r="H976">
        <f>Calc!H22</f>
        <v/>
      </c>
      <c r="I976">
        <f>IF(Skills!AA22&lt;&gt;"",1+(Skills!AA22/10)*(U957/1000)/100,1)</f>
        <v/>
      </c>
      <c r="J976" t="inlineStr"/>
      <c r="K976" t="inlineStr"/>
      <c r="L976" t="inlineStr"/>
      <c r="M976" t="inlineStr"/>
      <c r="N976" t="inlineStr"/>
      <c r="O976">
        <f>(1-Summary!$B$11)*T976+Summary!$B$11*V976</f>
        <v/>
      </c>
      <c r="P976">
        <f>IF(B998=0,0,O976/B998)</f>
        <v/>
      </c>
      <c r="Q976" t="n">
        <v>0</v>
      </c>
      <c r="R976" t="n">
        <v>0</v>
      </c>
      <c r="S976">
        <f>IFERROR(O976/N976,0)</f>
        <v/>
      </c>
      <c r="T976" t="n">
        <v>0</v>
      </c>
      <c r="V976" t="n">
        <v>0</v>
      </c>
    </row>
    <row r="977">
      <c r="A977">
        <f>Skills!A23</f>
        <v/>
      </c>
      <c r="B977">
        <f>Skills!B23</f>
        <v/>
      </c>
      <c r="C977">
        <f>Inputs!$B$3&gt;=38</f>
        <v/>
      </c>
      <c r="D977">
        <f>IF(Skills!C23=1,60+Inputs!$B$25+Inputs!$B$29,IF(Skills!C23=2,90+Inputs!$B$26+Inputs!$B$29,IF(Skills!C23=3,120+(Inputs!$B$27+1)+Inputs!$B$29,MAX(0,(Inputs!$B$3-100)*3)+Inputs!$B$28+Inputs!$B$29)))</f>
        <v/>
      </c>
      <c r="E977">
        <f>INDEX(FactorTable!$B$2:$Y$301, MATCH(ROUND(MIN(300,MAX(1,D977)),0), FactorTable!$A$2:$A$301,0), Skills!M23+1)</f>
        <v/>
      </c>
      <c r="F977">
        <f>IF(Skills!N23=TRUE,(Skills!L23/10)*(E977/1000),Skills!L23/10)+Skills!O23</f>
        <v/>
      </c>
      <c r="G977">
        <f>Calc!G23</f>
        <v/>
      </c>
      <c r="H977">
        <f>Calc!H23</f>
        <v/>
      </c>
      <c r="I977">
        <f>IF(Skills!AA23&lt;&gt;"",1+(Skills!AA23/10)*(U957/1000)/100,1)</f>
        <v/>
      </c>
      <c r="J977" t="inlineStr"/>
      <c r="K977" t="inlineStr"/>
      <c r="L977" t="inlineStr"/>
      <c r="M977" t="inlineStr"/>
      <c r="N977" t="inlineStr"/>
      <c r="O977">
        <f>(1-Summary!$B$11)*T977+Summary!$B$11*V977</f>
        <v/>
      </c>
      <c r="P977">
        <f>IF(B998=0,0,O977/B998)</f>
        <v/>
      </c>
      <c r="Q977" t="n">
        <v>0</v>
      </c>
      <c r="R977" t="n">
        <v>0</v>
      </c>
      <c r="S977">
        <f>IFERROR(O977/N977,0)</f>
        <v/>
      </c>
      <c r="T977" t="n">
        <v>0</v>
      </c>
      <c r="V977" t="n">
        <v>0</v>
      </c>
    </row>
    <row r="978">
      <c r="A978">
        <f>Skills!A24</f>
        <v/>
      </c>
      <c r="B978">
        <f>Skills!B24</f>
        <v/>
      </c>
      <c r="C978">
        <f>Inputs!$B$3&gt;=40</f>
        <v/>
      </c>
      <c r="D978">
        <f>IF(Skills!C24=1,60+Inputs!$B$25+Inputs!$B$29,IF(Skills!C24=2,90+Inputs!$B$26+Inputs!$B$29,IF(Skills!C24=3,120+(Inputs!$B$27+1)+Inputs!$B$29,MAX(0,(Inputs!$B$3-100)*3)+Inputs!$B$28+Inputs!$B$29)))</f>
        <v/>
      </c>
      <c r="E978">
        <f>INDEX(FactorTable!$B$2:$Y$301, MATCH(ROUND(MIN(300,MAX(1,D978)),0), FactorTable!$A$2:$A$301,0), Skills!M24+1)</f>
        <v/>
      </c>
      <c r="F978">
        <f>IF(Skills!N24=TRUE,(Skills!L24/10)*(E978/1000),Skills!L24/10)+Skills!O24</f>
        <v/>
      </c>
      <c r="G978">
        <f>Calc!G24</f>
        <v/>
      </c>
      <c r="H978">
        <f>Calc!H24</f>
        <v/>
      </c>
      <c r="I978">
        <f>IF(Skills!AA24&lt;&gt;"",1+(Skills!AA24/10)*(U957/1000)/100,1)</f>
        <v/>
      </c>
      <c r="J978" t="inlineStr"/>
      <c r="K978" t="inlineStr"/>
      <c r="L978" t="inlineStr"/>
      <c r="M978" t="inlineStr"/>
      <c r="N978" t="inlineStr"/>
      <c r="O978">
        <f>(1-Summary!$B$11)*T978+Summary!$B$11*V978</f>
        <v/>
      </c>
      <c r="P978">
        <f>IF(B998=0,0,O978/B998)</f>
        <v/>
      </c>
      <c r="Q978" t="n">
        <v>0</v>
      </c>
      <c r="R978" t="n">
        <v>0</v>
      </c>
      <c r="S978">
        <f>IFERROR(O978/N978,0)</f>
        <v/>
      </c>
      <c r="T978" t="n">
        <v>0</v>
      </c>
      <c r="V978" t="n">
        <v>0</v>
      </c>
    </row>
    <row r="979">
      <c r="A979">
        <f>Skills!A25</f>
        <v/>
      </c>
      <c r="B979">
        <f>Skills!B25</f>
        <v/>
      </c>
      <c r="C979">
        <f>Inputs!$B$3&gt;=45</f>
        <v/>
      </c>
      <c r="D979">
        <f>IF(Skills!C25=1,60+Inputs!$B$25+Inputs!$B$29,IF(Skills!C25=2,90+Inputs!$B$26+Inputs!$B$29,IF(Skills!C25=3,120+(Inputs!$B$27+1)+Inputs!$B$29,MAX(0,(Inputs!$B$3-100)*3)+Inputs!$B$28+Inputs!$B$29)))</f>
        <v/>
      </c>
      <c r="E979">
        <f>INDEX(FactorTable!$B$2:$Y$301, MATCH(ROUND(MIN(300,MAX(1,D979)),0), FactorTable!$A$2:$A$301,0), Skills!M25+1)</f>
        <v/>
      </c>
      <c r="F979">
        <f>IF(Skills!N25=TRUE,(Skills!L25/10)*(E979/1000),Skills!L25/10)+Skills!O25</f>
        <v/>
      </c>
      <c r="G979">
        <f>Calc!G25</f>
        <v/>
      </c>
      <c r="H979">
        <f>Calc!H25</f>
        <v/>
      </c>
      <c r="I979">
        <f>IF(Skills!AA25&lt;&gt;"",1+(Skills!AA25/10)*(U957/1000)/100,1)</f>
        <v/>
      </c>
      <c r="J979" t="inlineStr"/>
      <c r="K979" t="inlineStr"/>
      <c r="L979" t="inlineStr"/>
      <c r="M979" t="inlineStr"/>
      <c r="N979" t="inlineStr"/>
      <c r="O979">
        <f>(1-Summary!$B$11)*T979+Summary!$B$11*V979</f>
        <v/>
      </c>
      <c r="P979">
        <f>IF(B998=0,0,O979/B998)</f>
        <v/>
      </c>
      <c r="Q979" t="n">
        <v>0</v>
      </c>
      <c r="R979" t="n">
        <v>0</v>
      </c>
      <c r="S979">
        <f>IFERROR(O979/N979,0)</f>
        <v/>
      </c>
      <c r="T979" t="n">
        <v>0</v>
      </c>
      <c r="V979" t="n">
        <v>0</v>
      </c>
    </row>
    <row r="980">
      <c r="A980">
        <f>Skills!A26</f>
        <v/>
      </c>
      <c r="B980">
        <f>Skills!B26</f>
        <v/>
      </c>
      <c r="C980">
        <f>Inputs!$B$3&gt;=45</f>
        <v/>
      </c>
      <c r="D980">
        <f>IF(Skills!C26=1,60+Inputs!$B$25+Inputs!$B$29,IF(Skills!C26=2,90+Inputs!$B$26+Inputs!$B$29,IF(Skills!C26=3,120+(Inputs!$B$27+1)+Inputs!$B$29,MAX(0,(Inputs!$B$3-100)*3)+Inputs!$B$28+Inputs!$B$29)))</f>
        <v/>
      </c>
      <c r="E980">
        <f>INDEX(FactorTable!$B$2:$Y$301, MATCH(ROUND(MIN(300,MAX(1,D980)),0), FactorTable!$A$2:$A$301,0), Skills!M26+1)</f>
        <v/>
      </c>
      <c r="F980">
        <f>IF(Skills!N26=TRUE,(Skills!L26/10)*(E980/1000),Skills!L26/10)+Skills!O26</f>
        <v/>
      </c>
      <c r="G980">
        <f>Calc!G26</f>
        <v/>
      </c>
      <c r="H980">
        <f>Calc!H26</f>
        <v/>
      </c>
      <c r="I980">
        <f>IF(Skills!AA26&lt;&gt;"",1+(Skills!AA26/10)*(U957/1000)/100,1)</f>
        <v/>
      </c>
      <c r="J980" t="inlineStr"/>
      <c r="K980" t="inlineStr"/>
      <c r="L980" t="inlineStr"/>
      <c r="M980" t="inlineStr"/>
      <c r="N980" t="inlineStr"/>
      <c r="O980">
        <f>(1-Summary!$B$11)*T980+Summary!$B$11*V980</f>
        <v/>
      </c>
      <c r="P980">
        <f>IF(B998=0,0,O980/B998)</f>
        <v/>
      </c>
      <c r="Q980" t="n">
        <v>0</v>
      </c>
      <c r="R980" t="n">
        <v>0</v>
      </c>
      <c r="S980">
        <f>IFERROR(O980/N980,0)</f>
        <v/>
      </c>
      <c r="T980" t="n">
        <v>0</v>
      </c>
      <c r="V980" t="n">
        <v>0</v>
      </c>
    </row>
    <row r="981">
      <c r="A981">
        <f>Skills!A27</f>
        <v/>
      </c>
      <c r="B981">
        <f>Skills!B27</f>
        <v/>
      </c>
      <c r="C981">
        <f>Inputs!$B$3&gt;=72</f>
        <v/>
      </c>
      <c r="D981">
        <f>IF(Skills!C27=1,60+Inputs!$B$25+Inputs!$B$29,IF(Skills!C27=2,90+Inputs!$B$26+Inputs!$B$29,IF(Skills!C27=3,120+(Inputs!$B$27+1)+Inputs!$B$29,MAX(0,(Inputs!$B$3-100)*3)+Inputs!$B$28+Inputs!$B$29)))</f>
        <v/>
      </c>
      <c r="E981">
        <f>INDEX(FactorTable!$B$2:$Y$301, MATCH(ROUND(MIN(300,MAX(1,D981)),0), FactorTable!$A$2:$A$301,0), Skills!M27+1)</f>
        <v/>
      </c>
      <c r="F981">
        <f>IF(Skills!N27=TRUE,(Skills!L27/10)*(E981/1000),Skills!L27/10)+Skills!O27</f>
        <v/>
      </c>
      <c r="G981">
        <f>Calc!G27</f>
        <v/>
      </c>
      <c r="H981">
        <f>Calc!H27</f>
        <v/>
      </c>
      <c r="I981">
        <f>IF(Skills!AA27&lt;&gt;"",1+(Skills!AA27/10)*(U957/1000)/100,1)</f>
        <v/>
      </c>
      <c r="J981" t="inlineStr"/>
      <c r="K981" t="inlineStr"/>
      <c r="L981" t="inlineStr"/>
      <c r="M981" t="inlineStr"/>
      <c r="N981" t="inlineStr"/>
      <c r="O981">
        <f>(1-Summary!$B$11)*T981+Summary!$B$11*V981</f>
        <v/>
      </c>
      <c r="P981">
        <f>IF(B998=0,0,O981/B998)</f>
        <v/>
      </c>
      <c r="Q981" t="n">
        <v>0</v>
      </c>
      <c r="R981" t="n">
        <v>0</v>
      </c>
      <c r="S981">
        <f>IFERROR(O981/N981,0)</f>
        <v/>
      </c>
      <c r="T981" t="n">
        <v>0</v>
      </c>
      <c r="V981" t="n">
        <v>0</v>
      </c>
    </row>
    <row r="982">
      <c r="A982">
        <f>Skills!A28</f>
        <v/>
      </c>
      <c r="B982">
        <f>Skills!B28</f>
        <v/>
      </c>
      <c r="C982">
        <f>Inputs!$B$3&gt;=75</f>
        <v/>
      </c>
      <c r="D982">
        <f>IF(Skills!C28=1,60+Inputs!$B$25+Inputs!$B$29,IF(Skills!C28=2,90+Inputs!$B$26+Inputs!$B$29,IF(Skills!C28=3,120+(Inputs!$B$27+1)+Inputs!$B$29,MAX(0,(Inputs!$B$3-100)*3)+Inputs!$B$28+Inputs!$B$29)))</f>
        <v/>
      </c>
      <c r="E982">
        <f>INDEX(FactorTable!$B$2:$Y$301, MATCH(ROUND(MIN(300,MAX(1,D982)),0), FactorTable!$A$2:$A$301,0), Skills!M28+1)</f>
        <v/>
      </c>
      <c r="F982">
        <f>IF(Skills!N28=TRUE,(Skills!L28/10)*(E982/1000),Skills!L28/10)+Skills!O28</f>
        <v/>
      </c>
      <c r="G982">
        <f>Calc!G28</f>
        <v/>
      </c>
      <c r="H982">
        <f>Calc!H28</f>
        <v/>
      </c>
      <c r="I982">
        <f>IF(Skills!AA28&lt;&gt;"",1+(Skills!AA28/10)*(U957/1000)/100,1)</f>
        <v/>
      </c>
      <c r="J982" t="inlineStr"/>
      <c r="K982" t="inlineStr"/>
      <c r="L982" t="inlineStr"/>
      <c r="M982" t="inlineStr"/>
      <c r="N982" t="inlineStr"/>
      <c r="O982">
        <f>(1-Summary!$B$11)*T982+Summary!$B$11*V982</f>
        <v/>
      </c>
      <c r="P982">
        <f>IF(B998=0,0,O982/B998)</f>
        <v/>
      </c>
      <c r="Q982" t="n">
        <v>0</v>
      </c>
      <c r="R982" t="n">
        <v>0</v>
      </c>
      <c r="S982">
        <f>IFERROR(O982/N982,0)</f>
        <v/>
      </c>
      <c r="T982" t="n">
        <v>0</v>
      </c>
      <c r="V982" t="n">
        <v>0</v>
      </c>
    </row>
    <row r="983">
      <c r="A983">
        <f>Skills!A29</f>
        <v/>
      </c>
      <c r="B983">
        <f>Skills!B29</f>
        <v/>
      </c>
      <c r="C983">
        <f>Inputs!$B$3&gt;=120</f>
        <v/>
      </c>
      <c r="D983">
        <f>IF(Skills!C29=1,60+Inputs!$B$25+Inputs!$B$29,IF(Skills!C29=2,90+Inputs!$B$26+Inputs!$B$29,IF(Skills!C29=3,120+(Inputs!$B$27+1)+Inputs!$B$29,MAX(0,(Inputs!$B$3-100)*3)+Inputs!$B$28+Inputs!$B$29)))</f>
        <v/>
      </c>
      <c r="E983">
        <f>INDEX(FactorTable!$B$2:$Y$301, MATCH(ROUND(MIN(300,MAX(1,D983)),0), FactorTable!$A$2:$A$301,0), Skills!M29+1)</f>
        <v/>
      </c>
      <c r="F983">
        <f>IF(Skills!N29=TRUE,(Skills!L29/10)*(E983/1000),Skills!L29/10)+Skills!O29</f>
        <v/>
      </c>
      <c r="G983">
        <f>Calc!G29</f>
        <v/>
      </c>
      <c r="H983">
        <f>Calc!H29</f>
        <v/>
      </c>
      <c r="I983">
        <f>IF(Skills!AA29&lt;&gt;"",1+(Skills!AA29/10)*(U957/1000)/100,1)</f>
        <v/>
      </c>
      <c r="J983" t="inlineStr"/>
      <c r="K983" t="inlineStr"/>
      <c r="L983" t="inlineStr"/>
      <c r="M983" t="inlineStr"/>
      <c r="N983" t="inlineStr"/>
      <c r="O983">
        <f>(1-Summary!$B$11)*T983+Summary!$B$11*V983</f>
        <v/>
      </c>
      <c r="P983">
        <f>IF(B998=0,0,O983/B998)</f>
        <v/>
      </c>
      <c r="Q983" t="n">
        <v>0</v>
      </c>
      <c r="R983" t="n">
        <v>0</v>
      </c>
      <c r="S983">
        <f>IFERROR(O983/N983,0)</f>
        <v/>
      </c>
      <c r="T983" t="n">
        <v>0</v>
      </c>
      <c r="V983" t="n">
        <v>0</v>
      </c>
    </row>
    <row r="984">
      <c r="A984">
        <f>Skills!A30</f>
        <v/>
      </c>
      <c r="B984">
        <f>Skills!B30</f>
        <v/>
      </c>
      <c r="C984">
        <f>Inputs!$B$3&gt;=125</f>
        <v/>
      </c>
      <c r="D984">
        <f>IF(Skills!C30=1,60+Inputs!$B$25+Inputs!$B$29,IF(Skills!C30=2,90+Inputs!$B$26+Inputs!$B$29,IF(Skills!C30=3,120+(Inputs!$B$27+1)+Inputs!$B$29,MAX(0,(Inputs!$B$3-100)*3)+Inputs!$B$28+Inputs!$B$29)))</f>
        <v/>
      </c>
      <c r="E984">
        <f>INDEX(FactorTable!$B$2:$Y$301, MATCH(ROUND(MIN(300,MAX(1,D984)),0), FactorTable!$A$2:$A$301,0), Skills!M30+1)</f>
        <v/>
      </c>
      <c r="F984">
        <f>IF(Skills!N30=TRUE,(Skills!L30/10)*(E984/1000),Skills!L30/10)+Skills!O30</f>
        <v/>
      </c>
      <c r="G984">
        <f>Calc!G30</f>
        <v/>
      </c>
      <c r="H984">
        <f>Calc!H30</f>
        <v/>
      </c>
      <c r="I984">
        <f>IF(Skills!AA30&lt;&gt;"",1+(Skills!AA30/10)*(U957/1000)/100,1)</f>
        <v/>
      </c>
      <c r="J984" t="inlineStr"/>
      <c r="K984" t="inlineStr"/>
      <c r="L984" t="inlineStr"/>
      <c r="M984" t="inlineStr"/>
      <c r="N984" t="inlineStr"/>
      <c r="O984">
        <f>(1-Summary!$B$11)*T984+Summary!$B$11*V984</f>
        <v/>
      </c>
      <c r="P984">
        <f>IF(B998=0,0,O984/B998)</f>
        <v/>
      </c>
      <c r="Q984" t="n">
        <v>0</v>
      </c>
      <c r="R984" t="n">
        <v>0</v>
      </c>
      <c r="S984">
        <f>IFERROR(O984/N984,0)</f>
        <v/>
      </c>
      <c r="T984" t="n">
        <v>0</v>
      </c>
      <c r="V984" t="n">
        <v>0</v>
      </c>
    </row>
    <row r="985">
      <c r="A985">
        <f>Skills!A31</f>
        <v/>
      </c>
      <c r="B985">
        <f>Skills!B31</f>
        <v/>
      </c>
      <c r="C985">
        <f>Inputs!$B$3&gt;=107</f>
        <v/>
      </c>
      <c r="D985">
        <f>IF(Skills!C31=1,60+Inputs!$B$25+Inputs!$B$29,IF(Skills!C31=2,90+Inputs!$B$26+Inputs!$B$29,IF(Skills!C31=3,120+(Inputs!$B$27+1)+Inputs!$B$29,MAX(0,(Inputs!$B$3-100)*3)+Inputs!$B$28+Inputs!$B$29)))</f>
        <v/>
      </c>
      <c r="E985">
        <f>INDEX(FactorTable!$B$2:$Y$301, MATCH(ROUND(MIN(300,MAX(1,D985)),0), FactorTable!$A$2:$A$301,0), Skills!M31+1)</f>
        <v/>
      </c>
      <c r="F985">
        <f>IF(Skills!N31=TRUE,(Skills!L31/10)*(E985/1000),Skills!L31/10)+Skills!O31</f>
        <v/>
      </c>
      <c r="G985">
        <f>Calc!G31</f>
        <v/>
      </c>
      <c r="H985">
        <f>Calc!H31</f>
        <v/>
      </c>
      <c r="I985">
        <f>IF(Skills!AA31&lt;&gt;"",1+(Skills!AA31/10)*(U957/1000)/100,1)</f>
        <v/>
      </c>
      <c r="J985" t="inlineStr"/>
      <c r="K985" t="inlineStr"/>
      <c r="L985" t="inlineStr"/>
      <c r="M985" t="inlineStr"/>
      <c r="N985" t="inlineStr"/>
      <c r="O985">
        <f>(1-Summary!$B$11)*T985+Summary!$B$11*V985</f>
        <v/>
      </c>
      <c r="P985">
        <f>IF(B998=0,0,O985/B998)</f>
        <v/>
      </c>
      <c r="Q985" t="n">
        <v>0</v>
      </c>
      <c r="R985" t="n">
        <v>0</v>
      </c>
      <c r="S985">
        <f>IFERROR(O985/N985,0)</f>
        <v/>
      </c>
      <c r="T985" t="n">
        <v>0</v>
      </c>
      <c r="V985" t="n">
        <v>0</v>
      </c>
    </row>
    <row r="987">
      <c r="A987" t="inlineStr">
        <is>
          <t>Actions Per Second (pre-Adrenalin)</t>
        </is>
      </c>
      <c r="B987">
        <f>1+MIN(150,150*(1-(1-(Inputs!$B$11+((C976=TRUE)*(F976-Calc!F22))+(ArtifactsInput!$M$15-ArtifactsInput!$M$15)*CHOOSE(ArtifactsInput!$N$15+1,8,9.6,11.2,12.8,14.4,16))/150)*(1-((C973=TRUE)*F973*IF(AND(Inputs!$B$39&lt;&gt;"pvp",Inputs!$B$44&gt;0),(((R973-1)*(Skills!Y19*(1+Inputs!$B$34/100))+MIN((Skills!Y19*(1+Inputs!$B$34/100)),MAX(0,Inputs!$B$44-((R973-1)*Skills!D19))))/Inputs!$B$44),IF(Inputs!$B$39="pvp",MIN((Skills!Y19*(1+Inputs!$B$34/100)),15)/15,(Skills!Y19*(1+Inputs!$B$34/100))/Skills!D19)))/150)))/100</f>
        <v/>
      </c>
    </row>
    <row r="988">
      <c r="A988" t="inlineStr">
        <is>
          <t>Alchemic Adrenaline Uptime</t>
        </is>
      </c>
      <c r="B988">
        <f>(Skills!Y6*(1+Inputs!$B$34/100))/((Skills!Y6*(1+Inputs!$B$34/100))+(5/B987))</f>
        <v/>
      </c>
    </row>
    <row r="989">
      <c r="A989" t="inlineStr">
        <is>
          <t>Attack Speed Buff Bonus %</t>
        </is>
      </c>
      <c r="B989">
        <f>((C973=TRUE)*F973*IF(AND(Inputs!$B$39&lt;&gt;"pvp",Inputs!$B$44&gt;0),(((R973-1)*(Skills!Y19*(1+Inputs!$B$34/100))+MIN((Skills!Y19*(1+Inputs!$B$34/100)),MAX(0,Inputs!$B$44-((R973-1)*Skills!D19))))/Inputs!$B$44),IF(Inputs!$B$39="pvp",MIN((Skills!Y19*(1+Inputs!$B$34/100)),15)/15,(Skills!Y19*(1+Inputs!$B$34/100))/Skills!D19)))+((C961=TRUE)*F961*B988)</f>
        <v/>
      </c>
    </row>
    <row r="990">
      <c r="A990" t="inlineStr">
        <is>
          <t>Actions Per Second (final)</t>
        </is>
      </c>
      <c r="B990">
        <f>1+MIN(150,150*(1-(1-(Inputs!$B$11+((C976=TRUE)*(F976-Calc!F22))+(ArtifactsInput!$M$15-ArtifactsInput!$M$15)*CHOOSE(ArtifactsInput!$N$15+1,8,9.6,11.2,12.8,14.4,16))/150)*(1-B989/150)))/100</f>
        <v/>
      </c>
    </row>
    <row r="991">
      <c r="A991" t="inlineStr">
        <is>
          <t>Skill + Buff Cast Rate</t>
        </is>
      </c>
      <c r="B991">
        <f>IF(AND(Inputs!$B$39&lt;&gt;"pvp",Inputs!$B$44&gt;0),SUMPRODUCT((Skills!E2:E31=TRUE)*(C956:C985=TRUE)*R956:R985*Skills!F2:F31)/Inputs!$B$44,SUMPRODUCT((Skills!E2:E31=TRUE)*(C956:C985=TRUE)*Q956:Q985*Skills!F2:F31))</f>
        <v/>
      </c>
    </row>
    <row r="992">
      <c r="A992" t="inlineStr">
        <is>
          <t>Showdown Casts Per Second</t>
        </is>
      </c>
      <c r="B992">
        <f>MAX(0,B990-B991)</f>
        <v/>
      </c>
    </row>
    <row r="993">
      <c r="A993" t="inlineStr">
        <is>
          <t>Average Buff Multiplier</t>
        </is>
      </c>
      <c r="B993">
        <f>(1+(((C975=TRUE)*F975*IF(AND(Inputs!$B$39&lt;&gt;"pvp",Inputs!$B$44&gt;0),(((R975-1)*(Skills!Y21*(1+Inputs!$B$34/100))+MIN((Skills!Y21*(1+Inputs!$B$34/100)),MAX(0,Inputs!$B$44-((R975-1)*Skills!D21))))/Inputs!$B$44),IF(Inputs!$B$39="pvp",MIN((Skills!Y21*(1+Inputs!$B$34/100)),15)/15,(Skills!Y21*(1+Inputs!$B$34/100))/Skills!D21)))+((C982=TRUE)*(F982-Calc!F28))+((C972=TRUE)*(F972-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969=TRUE)*F969*IF(AND(Inputs!$B$39&lt;&gt;"pvp",Inputs!$B$44&gt;0),(((R969-1)*(Skills!Y15*(1+Inputs!$B$34/100))+MIN((Skills!Y15*(1+Inputs!$B$34/100)),MAX(0,Inputs!$B$44-((R969-1)*Skills!D15))))/Inputs!$B$44),IF(Inputs!$B$39="pvp",MIN((Skills!Y15*(1+Inputs!$B$34/100)),15)/15,(Skills!Y15*(1+Inputs!$B$34/100))/Skills!D15)))/100)*(1+((C960=TRUE)*F960*B988)/100)</f>
        <v/>
      </c>
    </row>
    <row r="994">
      <c r="A994" t="inlineStr">
        <is>
          <t>Global Crit Rate Bonus %</t>
        </is>
      </c>
      <c r="B994">
        <f>IF(Inputs!$B$3&gt;=47,8,0)+((C974=TRUE)*F974*IF(AND(Inputs!$B$39&lt;&gt;"pvp",Inputs!$B$44&gt;0),(((R974-1)*(Skills!Y20*(1+Inputs!$B$34/100))+MIN((Skills!Y20*(1+Inputs!$B$34/100)),MAX(0,Inputs!$B$44-((R974-1)*Skills!D20))))/Inputs!$B$44),IF(Inputs!$B$39="pvp",MIN((Skills!Y20*(1+Inputs!$B$34/100)),15)/15,(Skills!Y20*(1+Inputs!$B$34/100))/Skills!D20)))</f>
        <v/>
      </c>
    </row>
    <row r="995">
      <c r="A995" t="inlineStr">
        <is>
          <t>Global Monster Damage-Taken Bonus %</t>
        </is>
      </c>
      <c r="B995">
        <f>IF(Inputs!$B$3&gt;=82,15,0)+((C970=TRUE)*F970*IF(AND(Inputs!$B$39&lt;&gt;"pvp",Inputs!$B$44&gt;0),(((R970-1)*(Skills!Y16*(1+Inputs!$B$34/100))+MIN((Skills!Y16*(1+Inputs!$B$34/100)),MAX(0,Inputs!$B$44-((R970-1)*Skills!D16))))/Inputs!$B$44),IF(Inputs!$B$39="pvp",MIN((Skills!Y16*(1+Inputs!$B$34/100)),15)/15,(Skills!Y16*(1+Inputs!$B$34/100))/Skills!D16)))</f>
        <v/>
      </c>
    </row>
    <row r="996">
      <c r="A996" t="inlineStr">
        <is>
          <t>Shadow Partner Average Multiplier</t>
        </is>
      </c>
      <c r="B996">
        <f>1+((C965=TRUE)*F965*I965*Skills!J11/100)/100</f>
        <v/>
      </c>
    </row>
    <row r="997">
      <c r="A997" t="inlineStr">
        <is>
          <t>Global Critical Damage Bonus % (Frailty Curse Mastery Lv.111)</t>
        </is>
      </c>
      <c r="B997">
        <f>IF(Inputs!$B$3&gt;=111,30,0)*IF(AND(Inputs!$B$39&lt;&gt;"pvp",Inputs!$B$44&gt;0),(((R970-1)*(Skills!Y16*(1+Inputs!$B$34/100))+MIN((Skills!Y16*(1+Inputs!$B$34/100)),MAX(0,Inputs!$B$44-((R970-1)*Skills!D16))))/Inputs!$B$44),IF(Inputs!$B$39="pvp",MIN((Skills!Y16*(1+Inputs!$B$34/100)),15)/15,(Skills!Y16*(1+Inputs!$B$34/100))/Skills!D16))</f>
        <v/>
      </c>
    </row>
    <row r="998">
      <c r="A998" s="6" t="inlineStr">
        <is>
          <t>TOTAL DPS</t>
        </is>
      </c>
      <c r="B998" s="6">
        <f>SUM(O956:O985)</f>
        <v/>
      </c>
    </row>
    <row r="999">
      <c r="A999" t="inlineStr">
        <is>
          <t>Buff-Casting Startup Delay (s, fixed-duration only)</t>
        </is>
      </c>
      <c r="B999">
        <f>IF(AND(Inputs!$B$39&lt;&gt;"pvp",Inputs!$B$44&gt;0),SUMPRODUCT((Skills!Y2:Y31&gt;0)*(Skills!E2:E31=TRUE)*(C956:C985=TRUE))/B990,0)</f>
        <v/>
      </c>
    </row>
    <row r="1000">
      <c r="A1000" t="inlineStr">
        <is>
          <t>Boss-Only Total DPS (this block's swept value)</t>
        </is>
      </c>
      <c r="B1000">
        <f>SUM(T956:T985)</f>
        <v/>
      </c>
    </row>
    <row r="1001">
      <c r="A1001" t="inlineStr">
        <is>
          <t>Normal-Only Total DPS (this block's swept value)</t>
        </is>
      </c>
      <c r="B1001">
        <f>SUM(V956:V985)</f>
        <v/>
      </c>
    </row>
    <row r="1003">
      <c r="A1003" s="6" t="inlineStr">
        <is>
          <t>Stat: Skill Level Bonus — 4th Job</t>
        </is>
      </c>
    </row>
    <row r="1004">
      <c r="A1004" s="5" t="inlineStr">
        <is>
          <t>Key</t>
        </is>
      </c>
      <c r="B1004" s="5" t="inlineStr">
        <is>
          <t>Name</t>
        </is>
      </c>
      <c r="C1004" s="5" t="inlineStr">
        <is>
          <t>Unlocked</t>
        </is>
      </c>
      <c r="D1004" s="5" t="inlineStr">
        <is>
          <t>InputLevel</t>
        </is>
      </c>
      <c r="E1004" s="5" t="inlineStr">
        <is>
          <t>Factor</t>
        </is>
      </c>
      <c r="F1004" s="5" t="inlineStr">
        <is>
          <t>CoefficientPercent</t>
        </is>
      </c>
      <c r="G1004" s="5" t="inlineStr">
        <is>
          <t>EffectiveHits</t>
        </is>
      </c>
      <c r="H1004" s="5" t="inlineStr">
        <is>
          <t>ProcProbability</t>
        </is>
      </c>
      <c r="I1004" s="5" t="inlineStr">
        <is>
          <t>MapleHeroMultiplier</t>
        </is>
      </c>
      <c r="J1004" s="5" t="inlineStr">
        <is>
          <t>BaseDamage</t>
        </is>
      </c>
      <c r="K1004" s="5" t="inlineStr">
        <is>
          <t>BaseHitDamage</t>
        </is>
      </c>
      <c r="L1004" s="5" t="inlineStr">
        <is>
          <t>NonCritAvg</t>
        </is>
      </c>
      <c r="M1004" s="5" t="inlineStr">
        <is>
          <t>CritAvg</t>
        </is>
      </c>
      <c r="N1004" s="5" t="inlineStr">
        <is>
          <t>ExpectedDamage(perHit)</t>
        </is>
      </c>
      <c r="O1004" s="5" t="inlineStr">
        <is>
          <t>DPS</t>
        </is>
      </c>
      <c r="P1004" s="5" t="inlineStr">
        <is>
          <t>% of Total</t>
        </is>
      </c>
      <c r="Q1004" s="5" t="inlineStr">
        <is>
          <t>InvCooldown</t>
        </is>
      </c>
      <c r="R1004" s="5" t="inlineStr">
        <is>
          <t>CastsInFight</t>
        </is>
      </c>
      <c r="S1004" s="5" t="inlineStr">
        <is>
          <t>HitRate(perSec)</t>
        </is>
      </c>
      <c r="U1004" t="inlineStr">
        <is>
          <t>helpers</t>
        </is>
      </c>
    </row>
    <row r="1005">
      <c r="A1005">
        <f>Skills!A2</f>
        <v/>
      </c>
      <c r="B1005">
        <f>Skills!B2</f>
        <v/>
      </c>
      <c r="C1005">
        <f>Inputs!$B$3&gt;=100</f>
        <v/>
      </c>
      <c r="D1005" t="inlineStr"/>
      <c r="E1005" t="inlineStr"/>
      <c r="F1005">
        <f>U1009+Skills!O2</f>
        <v/>
      </c>
      <c r="G1005">
        <f>Calc!G2</f>
        <v/>
      </c>
      <c r="H1005">
        <f>Calc!H2</f>
        <v/>
      </c>
      <c r="I1005">
        <f>IF(Skills!AA2&lt;&gt;"",1+(Skills!AA2/10)*(U1006/1000)/100,1)</f>
        <v/>
      </c>
      <c r="J1005">
        <f>((Inputs!$B$6*(1+Inputs!$B$7/100))+(((Inputs!$B$12*(1+Inputs!$B$13/100))-(Inputs!$B$12*(1+Inputs!$B$13/100)))+0.25*(Inputs!$B$14-Inputs!$B$14))*(1+Inputs!$B$7/100))*(F1005/100)</f>
        <v/>
      </c>
      <c r="K1005">
        <f>J1005*(1+((Inputs!$B$12*(1+Inputs!$B$13/100))*0.01+Inputs!$B$14*0.0025)/100)*(1+Inputs!$B$15/100)*(1+Inputs!$B$16/100)*(5000/(6000+Inputs!$B$43*(1-(100*(1-(1-(Inputs!$B$19+0)/100)*(1-CHOOSE(ArtifactsInput!$N$40+1,5,6,7,8,9,10)/100)^(ArtifactsInput!$M$40-ArtifactsInput!$M$40)))/100)))*(1+(Inputs!$B$24+((C1033=TRUE)*(F1033-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1026=TRUE)*(F1026-Calc!F23))+(((IF(AND(ArtifactsInput!$M$42,((Inputs!$B$9+((C1028=TRUE)*(F1028-Calc!F25))+B1043+(ArtifactsInput!$M$24-ArtifactsInput!$M$24)*CHOOSE(ArtifactsInput!$N$24+1,10,12,14,16,18,20)+IF(ArtifactsInput!$M$10,CHOOSE(ArtifactsInput!$N$10+1,15,18,21,24,27,30)*(IF(Inputs!$B$39="pvp",MIN(15,15)/15,IF(AND(Inputs!$B$39&lt;&gt;"pvp",Inputs!$B$44&gt;0),MIN(15,Inputs!$B$44)/(Inputs!$B$44),0))),0)))&gt;=100),MIN(100,((Inputs!$B$9+((C1028=TRUE)*(F1028-Calc!F25))+B1043+(ArtifactsInput!$M$24-ArtifactsInput!$M$24)*CHOOSE(ArtifactsInput!$N$24+1,10,12,14,16,18,20)+IF(ArtifactsInput!$M$10,CHOOSE(ArtifactsInput!$N$10+1,15,18,21,24,27,30)*(IF(Inputs!$B$39="pvp",MIN(15,15)/15,IF(AND(Inputs!$B$39&lt;&gt;"pvp",Inputs!$B$44&gt;0),MIN(15,Inputs!$B$44)/(Inputs!$B$44),0))),0)))-100),0))*CHOOSE(ArtifactsInput!$N$42+1,0.6,0.72,0.84,0.96,1.08,1.2))),Inputs!$B$18+((C1032=TRUE)*(F1032-Calc!F29))+(IF(AND(ArtifactsInput!$M$42,((Inputs!$B$9+((C1028=TRUE)*(F1028-Calc!F25))+B1043+(ArtifactsInput!$M$24-ArtifactsInput!$M$24)*CHOOSE(ArtifactsInput!$N$24+1,10,12,14,16,18,20)+IF(ArtifactsInput!$M$10,CHOOSE(ArtifactsInput!$N$10+1,15,18,21,24,27,30)*(IF(Inputs!$B$39="pvp",MIN(15,15)/15,IF(AND(Inputs!$B$39&lt;&gt;"pvp",Inputs!$B$44&gt;0),MIN(15,Inputs!$B$44)/(Inputs!$B$44),0))),0)))&gt;=100),CHOOSE(ArtifactsInput!$N$42+1,40,48,56,64,72,80),0))))/100)*(((1+(((C1024=TRUE)*F1024*IF(AND(Inputs!$B$39&lt;&gt;"pvp",Inputs!$B$44&gt;0),(((R1024-1)*(Skills!Y21*(1+Inputs!$B$34/100))+MIN((Skills!Y21*(1+Inputs!$B$34/100)),MAX(0,Inputs!$B$44-((R1024-1)*Skills!D21))))/Inputs!$B$44),IF(Inputs!$B$39="pvp",MIN((Skills!Y21*(1+Inputs!$B$34/100)),15)/15,(Skills!Y21*(1+Inputs!$B$34/100))/Skills!D21)))+((C1031=TRUE)*(F1031-Calc!F28))+((C1021=TRUE)*(F1021-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1018=TRUE)*F1018*IF(AND(Inputs!$B$39&lt;&gt;"pvp",Inputs!$B$44&gt;0),(((R1018-1)*(Skills!Y15*(1+Inputs!$B$34/100))+MIN((Skills!Y15*(1+Inputs!$B$34/100)),MAX(0,Inputs!$B$44-((R1018-1)*Skills!D15))))/Inputs!$B$44),IF(Inputs!$B$39="pvp",MIN((Skills!Y15*(1+Inputs!$B$34/100)),15)/15,(Skills!Y15*(1+Inputs!$B$34/100))/Skills!D15)))/100)*(1+((C1009=TRUE)*F1009*B1037)/100))*B1045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1005)</f>
        <v/>
      </c>
      <c r="L1005">
        <f>K1005*(MIN(Inputs!$B$22+((C1027=TRUE)*(F1027-Calc!F24)),(Inputs!$B$23+0+(IF(ArtifactsInput!$M$15,CHOOSE(ArtifactsInput!$N$15+1,25,30,35,40,45,50)/100*(Inputs!$B$11-Inputs!$B$11),0))))/100+(Inputs!$B$23+0+(IF(ArtifactsInput!$M$15,CHOOSE(ArtifactsInput!$N$15+1,25,30,35,40,45,50)/100*(Inputs!$B$11-Inputs!$B$11),0)))/100)/2</f>
        <v/>
      </c>
      <c r="M1005">
        <f>L1005*(1+(Inputs!$B$10+((C1029=TRUE)*(F1029-Calc!F26))+B1046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05">
        <f>L1005*(1-MIN((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1005*(MIN((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05">
        <f>(1-Summary!$B$11)*T1005+Summary!$B$11*V1005</f>
        <v/>
      </c>
      <c r="P1005">
        <f>IF(B1047=0,0,O1005/B1047)</f>
        <v/>
      </c>
      <c r="Q1005" t="n">
        <v>0</v>
      </c>
      <c r="R1005" t="n">
        <v>0</v>
      </c>
      <c r="S1005">
        <f>IFERROR(O1005/N1005,0)</f>
        <v/>
      </c>
      <c r="T1005">
        <f>IF(C1005,(Skills!G2*N1005*B1041)*IF(Inputs!$B$39="pvp",1,1+(Inputs!$B$20+((C1030=TRUE)*(F1030-Calc!F27))+Skills!P2+B1044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Hunt"),CHOOSE(ArtifactsInput!$N$35+1,15,18,21,24,27,30)*(1-EXP(-(0.2*B1039)*5)),0)+IF(AND(ArtifactsInput!$M$22,Inputs!$B$4&lt;&gt;"Chapter Hunt"),CHOOSE(ArtifactsInput!$N$22+1,10,12,14,16,18,20)*((0*(((0.15*B1039*5))^0/1)+1*(((0.15*B1039*5))^1/1)+2*(((0.15*B1039*5))^2/2)+3*(((0.15*B1039*5))^3/6)+4*(((0.15*B1039*5))^4/24)+5*(((0.15*B1039*5))^5/120))/((((0.15*B1039*5))^0/1)+(((0.15*B1039*5))^1/1)+(((0.15*B1039*5))^2/2)+(((0.15*B1039*5))^3/6)+(((0.15*B1039*5))^4/24)+(((0.15*B1039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1005*(1-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1005*(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1005*(1-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1005*(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05">
        <f>MAX(0,(Inputs!$B$3-100)*3)+(Inputs!$B$28+1)+Inputs!$B$29</f>
        <v/>
      </c>
      <c r="V1005">
        <f>IF(C1005,(Skills!G2*N1005*B1041)*IF(Inputs!$B$39="pvp",1,(1+(Inputs!$B$21+Skills!Q2+B1044+(IF(ArtifactsInput!$M$33,CHOOSE(ArtifactsInput!$N$33+1,30,36,42,48,54,60),0))+(IF(AND(ArtifactsInput!$M$35,Inputs!$B$4&lt;&gt;"Chapter Hunt"),CHOOSE(ArtifactsInput!$N$35+1,15,18,21,24,27,30)*(1-EXP(-(0.2*B1039)*5)),0)+IF(AND(ArtifactsInput!$M$22,Inputs!$B$4&lt;&gt;"Chapter Hunt"),CHOOSE(ArtifactsInput!$N$22+1,10,12,14,16,18,20)*((0*(((0.15*B1039*5))^0/1)+1*(((0.15*B1039*5))^1/1)+2*(((0.15*B1039*5))^2/2)+3*(((0.15*B1039*5))^3/6)+4*(((0.15*B1039*5))^4/24)+5*(((0.15*B1039*5))^5/120))/((((0.15*B1039*5))^0/1)+(((0.15*B1039*5))^1/1)+(((0.15*B1039*5))^2/2)+(((0.15*B1039*5))^3/6)+(((0.15*B1039*5))^4/24)+(((0.15*B1039*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06">
      <c r="A1006">
        <f>Skills!A3</f>
        <v/>
      </c>
      <c r="B1006">
        <f>Skills!B3</f>
        <v/>
      </c>
      <c r="C1006">
        <f>Inputs!$B$3&gt;=35</f>
        <v/>
      </c>
      <c r="D1006">
        <f>IF(Skills!C3=1,60+Inputs!$B$25+Inputs!$B$29,IF(Skills!C3=2,90+Inputs!$B$26+Inputs!$B$29,IF(Skills!C3=3,120+Inputs!$B$27+Inputs!$B$29,MAX(0,(Inputs!$B$3-100)*3)+(Inputs!$B$28+1)+Inputs!$B$29)))</f>
        <v/>
      </c>
      <c r="E1006">
        <f>INDEX(FactorTable!$B$2:$Y$301, MATCH(ROUND(MIN(300,MAX(1,D1006)),0), FactorTable!$A$2:$A$301,0), Skills!M3+1)</f>
        <v/>
      </c>
      <c r="F1006">
        <f>IF(Skills!N3=TRUE,(Skills!L3/10)*(E1006/1000),Skills!L3/10)+Skills!O3</f>
        <v/>
      </c>
      <c r="G1006">
        <f>Calc!G3</f>
        <v/>
      </c>
      <c r="H1006">
        <f>Calc!H3</f>
        <v/>
      </c>
      <c r="I1006">
        <f>IF(Skills!AA3&lt;&gt;"",1+(Skills!AA3/10)*(U1006/1000)/100,1)</f>
        <v/>
      </c>
      <c r="J1006">
        <f>((Inputs!$B$6*(1+Inputs!$B$7/100))+(((Inputs!$B$12*(1+Inputs!$B$13/100))-(Inputs!$B$12*(1+Inputs!$B$13/100)))+0.25*(Inputs!$B$14-Inputs!$B$14))*(1+Inputs!$B$7/100))*(F1006/100)</f>
        <v/>
      </c>
      <c r="K1006">
        <f>J1006*(1+((Inputs!$B$12*(1+Inputs!$B$13/100))*0.01+Inputs!$B$14*0.0025)/100)*(1+Inputs!$B$15/100)*(1+Inputs!$B$16/100)*(5000/(6000+Inputs!$B$43*(1-(100*(1-(1-(Inputs!$B$19+0)/100)*(1-CHOOSE(ArtifactsInput!$N$40+1,5,6,7,8,9,10)/100)^(ArtifactsInput!$M$40-ArtifactsInput!$M$40)))/100)))*(1+(Inputs!$B$24+((C1033=TRUE)*(F1033-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1026=TRUE)*(F1026-Calc!F23))+(((IF(AND(ArtifactsInput!$M$42,((Inputs!$B$9+((C1028=TRUE)*(F1028-Calc!F25))+B1043+(ArtifactsInput!$M$24-ArtifactsInput!$M$24)*CHOOSE(ArtifactsInput!$N$24+1,10,12,14,16,18,20)+IF(ArtifactsInput!$M$10,CHOOSE(ArtifactsInput!$N$10+1,15,18,21,24,27,30)*(IF(Inputs!$B$39="pvp",MIN(15,15)/15,IF(AND(Inputs!$B$39&lt;&gt;"pvp",Inputs!$B$44&gt;0),MIN(15,Inputs!$B$44)/(Inputs!$B$44),0))),0)))&gt;=100),MIN(100,((Inputs!$B$9+((C1028=TRUE)*(F1028-Calc!F25))+B1043+(ArtifactsInput!$M$24-ArtifactsInput!$M$24)*CHOOSE(ArtifactsInput!$N$24+1,10,12,14,16,18,20)+IF(ArtifactsInput!$M$10,CHOOSE(ArtifactsInput!$N$10+1,15,18,21,24,27,30)*(IF(Inputs!$B$39="pvp",MIN(15,15)/15,IF(AND(Inputs!$B$39&lt;&gt;"pvp",Inputs!$B$44&gt;0),MIN(15,Inputs!$B$44)/(Inputs!$B$44),0))),0)))-100),0))*CHOOSE(ArtifactsInput!$N$42+1,0.6,0.72,0.84,0.96,1.08,1.2))),Inputs!$B$18+((C1032=TRUE)*(F1032-Calc!F29))+(IF(AND(ArtifactsInput!$M$42,((Inputs!$B$9+((C1028=TRUE)*(F1028-Calc!F25))+B1043+(ArtifactsInput!$M$24-ArtifactsInput!$M$24)*CHOOSE(ArtifactsInput!$N$24+1,10,12,14,16,18,20)+IF(ArtifactsInput!$M$10,CHOOSE(ArtifactsInput!$N$10+1,15,18,21,24,27,30)*(IF(Inputs!$B$39="pvp",MIN(15,15)/15,IF(AND(Inputs!$B$39&lt;&gt;"pvp",Inputs!$B$44&gt;0),MIN(15,Inputs!$B$44)/(Inputs!$B$44),0))),0)))&gt;=100),CHOOSE(ArtifactsInput!$N$42+1,40,48,56,64,72,80),0))))/100)*(((1+(((C1024=TRUE)*F1024*IF(AND(Inputs!$B$39&lt;&gt;"pvp",Inputs!$B$44&gt;0),(((R1024-1)*(Skills!Y21*(1+Inputs!$B$34/100))+MIN((Skills!Y21*(1+Inputs!$B$34/100)),MAX(0,Inputs!$B$44-((R1024-1)*Skills!D21))))/Inputs!$B$44),IF(Inputs!$B$39="pvp",MIN((Skills!Y21*(1+Inputs!$B$34/100)),15)/15,(Skills!Y21*(1+Inputs!$B$34/100))/Skills!D21)))+((C1031=TRUE)*(F1031-Calc!F28))+((C1021=TRUE)*(F1021-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1018=TRUE)*F1018*IF(AND(Inputs!$B$39&lt;&gt;"pvp",Inputs!$B$44&gt;0),(((R1018-1)*(Skills!Y15*(1+Inputs!$B$34/100))+MIN((Skills!Y15*(1+Inputs!$B$34/100)),MAX(0,Inputs!$B$44-((R1018-1)*Skills!D15))))/Inputs!$B$44),IF(Inputs!$B$39="pvp",MIN((Skills!Y15*(1+Inputs!$B$34/100)),15)/15,(Skills!Y15*(1+Inputs!$B$34/100))/Skills!D15)))/100)*(1+((C1009=TRUE)*F1009*B1037)/100))*B1045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1006)</f>
        <v/>
      </c>
      <c r="L1006">
        <f>K1006*(MIN(Inputs!$B$22+((C1027=TRUE)*(F1027-Calc!F24)),(Inputs!$B$23+0+(IF(ArtifactsInput!$M$15,CHOOSE(ArtifactsInput!$N$15+1,25,30,35,40,45,50)/100*(Inputs!$B$11-Inputs!$B$11),0))))/100+(Inputs!$B$23+0+(IF(ArtifactsInput!$M$15,CHOOSE(ArtifactsInput!$N$15+1,25,30,35,40,45,50)/100*(Inputs!$B$11-Inputs!$B$11),0)))/100)/2</f>
        <v/>
      </c>
      <c r="M1006">
        <f>L1006*(1+(Inputs!$B$10+((C1029=TRUE)*(F1029-Calc!F26))+B1046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06">
        <f>L1006*(1-MIN((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1006*(MIN((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06">
        <f>(1-Summary!$B$11)*T1006+Summary!$B$11*V1006</f>
        <v/>
      </c>
      <c r="P1006">
        <f>IF(B1047=0,0,O1006/B1047)</f>
        <v/>
      </c>
      <c r="Q1006">
        <f>IFERROR(1/IF(Inputs!$B$39="pvp",15,MAX(0.1,Skills!D3-IF(Skills!E3=TRUE,Inputs!$B$32,0))),0)</f>
        <v/>
      </c>
      <c r="R1006">
        <f>IF(AND(Inputs!$B$39&lt;&gt;"pvp",Inputs!$B$44&gt;0),IF(MAX(0,Inputs!$B$44-B1048)&lt;=0,0,(INT(MAX(0,Inputs!$B$44-B1048)/IF(Inputs!$B$39="pvp",15,MAX(0.1,Skills!D3-IF(Skills!E3=TRUE,Inputs!$B$32,0))))+1)),0)</f>
        <v/>
      </c>
      <c r="S1006">
        <f>IFERROR(O1006/N1006,0)</f>
        <v/>
      </c>
      <c r="T1006">
        <f>IF(C1006,(H1006*N1006*IF(AND(Inputs!$B$39&lt;&gt;"pvp",Inputs!$B$44&gt;0),((Skills!G3*((R1006-1)*IF(Skills!H3&gt;0,Skills!I3/Skills!H3,1)+IF(Skills!H3&gt;0,MIN(Skills!I3,MAX(0,MAX(0,Inputs!$B$44-B1048)-((R1006-1)*IF(Inputs!$B$39="pvp",15,MAX(0.1,Skills!D3-IF(Skills!E3=TRUE,Inputs!$B$32,0))))))/Skills!H3,1)))/Inputs!$B$44),G1006*Q1006))*IF(Inputs!$B$39="pvp",1,1+(Inputs!$B$20+((C1030=TRUE)*(F1030-Calc!F27))+Skills!P3+B1044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Hunt"),CHOOSE(ArtifactsInput!$N$35+1,15,18,21,24,27,30)*(1-EXP(-(0.2*B1039)*5)),0)+IF(AND(ArtifactsInput!$M$22,Inputs!$B$4&lt;&gt;"Chapter Hunt"),CHOOSE(ArtifactsInput!$N$22+1,10,12,14,16,18,20)*((0*(((0.15*B1039*5))^0/1)+1*(((0.15*B1039*5))^1/1)+2*(((0.15*B1039*5))^2/2)+3*(((0.15*B1039*5))^3/6)+4*(((0.15*B1039*5))^4/24)+5*(((0.15*B1039*5))^5/120))/((((0.15*B1039*5))^0/1)+(((0.15*B1039*5))^1/1)+(((0.15*B1039*5))^2/2)+(((0.15*B1039*5))^3/6)+(((0.15*B1039*5))^4/24)+(((0.15*B1039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1006*(1-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1006*(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1006*(1-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1006*(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06">
        <f>INDEX(FactorTable!$B$2:$Y$301, MATCH(ROUND(MIN(300,MAX(1,U1005)),0), FactorTable!$A$2:$A$301,0), 24)</f>
        <v/>
      </c>
      <c r="V1006">
        <f>IF(C1006,(H1006*N1006*IF(AND(Inputs!$B$39&lt;&gt;"pvp",Inputs!$B$44&gt;0),((Skills!G3*((R1006-1)*IF(Skills!H3&gt;0,Skills!I3/Skills!H3,1)+IF(Skills!H3&gt;0,MIN(Skills!I3,MAX(0,MAX(0,Inputs!$B$44-B1048)-((R1006-1)*IF(Inputs!$B$39="pvp",15,MAX(0.1,Skills!D3-IF(Skills!E3=TRUE,Inputs!$B$32,0))))))/Skills!H3,1)))/Inputs!$B$44),G1006*Q1006))*IF(Inputs!$B$39="pvp",1,(1+(Inputs!$B$21+Skills!Q3+B1044+(IF(ArtifactsInput!$M$33,CHOOSE(ArtifactsInput!$N$33+1,30,36,42,48,54,60),0))+(IF(AND(ArtifactsInput!$M$35,Inputs!$B$4&lt;&gt;"Chapter Hunt"),CHOOSE(ArtifactsInput!$N$35+1,15,18,21,24,27,30)*(1-EXP(-(0.2*B1039)*5)),0)+IF(AND(ArtifactsInput!$M$22,Inputs!$B$4&lt;&gt;"Chapter Hunt"),CHOOSE(ArtifactsInput!$N$22+1,10,12,14,16,18,20)*((0*(((0.15*B1039*5))^0/1)+1*(((0.15*B1039*5))^1/1)+2*(((0.15*B1039*5))^2/2)+3*(((0.15*B1039*5))^3/6)+4*(((0.15*B1039*5))^4/24)+5*(((0.15*B1039*5))^5/120))/((((0.15*B1039*5))^0/1)+(((0.15*B1039*5))^1/1)+(((0.15*B1039*5))^2/2)+(((0.15*B1039*5))^3/6)+(((0.15*B1039*5))^4/24)+(((0.15*B1039*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07">
      <c r="A1007">
        <f>Skills!A4</f>
        <v/>
      </c>
      <c r="B1007">
        <f>Skills!B4</f>
        <v/>
      </c>
      <c r="C1007">
        <f>Inputs!$B$3&gt;=40</f>
        <v/>
      </c>
      <c r="D1007">
        <f>IF(Skills!C4=1,60+Inputs!$B$25+Inputs!$B$29,IF(Skills!C4=2,90+Inputs!$B$26+Inputs!$B$29,IF(Skills!C4=3,120+Inputs!$B$27+Inputs!$B$29,MAX(0,(Inputs!$B$3-100)*3)+(Inputs!$B$28+1)+Inputs!$B$29)))</f>
        <v/>
      </c>
      <c r="E1007">
        <f>INDEX(FactorTable!$B$2:$Y$301, MATCH(ROUND(MIN(300,MAX(1,D1007)),0), FactorTable!$A$2:$A$301,0), Skills!M4+1)</f>
        <v/>
      </c>
      <c r="F1007">
        <f>IF(Skills!N4=TRUE,(Skills!L4/10)*(E1007/1000),Skills!L4/10)+Skills!O4</f>
        <v/>
      </c>
      <c r="G1007">
        <f>Calc!G4</f>
        <v/>
      </c>
      <c r="H1007">
        <f>Calc!H4</f>
        <v/>
      </c>
      <c r="I1007">
        <f>IF(Skills!AA4&lt;&gt;"",1+(Skills!AA4/10)*(U1006/1000)/100,1)</f>
        <v/>
      </c>
      <c r="J1007">
        <f>((Inputs!$B$6*(1+Inputs!$B$7/100))+(((Inputs!$B$12*(1+Inputs!$B$13/100))-(Inputs!$B$12*(1+Inputs!$B$13/100)))+0.25*(Inputs!$B$14-Inputs!$B$14))*(1+Inputs!$B$7/100))*(F1007/100)</f>
        <v/>
      </c>
      <c r="K1007">
        <f>J1007*(1+((Inputs!$B$12*(1+Inputs!$B$13/100))*0.01+Inputs!$B$14*0.0025)/100)*(1+Inputs!$B$15/100)*(1+Inputs!$B$16/100)*(5000/(6000+Inputs!$B$43*(1-(100*(1-(1-(Inputs!$B$19+0)/100)*(1-CHOOSE(ArtifactsInput!$N$40+1,5,6,7,8,9,10)/100)^(ArtifactsInput!$M$40-ArtifactsInput!$M$40)))/100)))*(1+(Inputs!$B$24+((C1033=TRUE)*(F1033-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1026=TRUE)*(F1026-Calc!F23))+(((IF(AND(ArtifactsInput!$M$42,((Inputs!$B$9+((C1028=TRUE)*(F1028-Calc!F25))+B1043+(ArtifactsInput!$M$24-ArtifactsInput!$M$24)*CHOOSE(ArtifactsInput!$N$24+1,10,12,14,16,18,20)+IF(ArtifactsInput!$M$10,CHOOSE(ArtifactsInput!$N$10+1,15,18,21,24,27,30)*(IF(Inputs!$B$39="pvp",MIN(15,15)/15,IF(AND(Inputs!$B$39&lt;&gt;"pvp",Inputs!$B$44&gt;0),MIN(15,Inputs!$B$44)/(Inputs!$B$44),0))),0)))&gt;=100),MIN(100,((Inputs!$B$9+((C1028=TRUE)*(F1028-Calc!F25))+B1043+(ArtifactsInput!$M$24-ArtifactsInput!$M$24)*CHOOSE(ArtifactsInput!$N$24+1,10,12,14,16,18,20)+IF(ArtifactsInput!$M$10,CHOOSE(ArtifactsInput!$N$10+1,15,18,21,24,27,30)*(IF(Inputs!$B$39="pvp",MIN(15,15)/15,IF(AND(Inputs!$B$39&lt;&gt;"pvp",Inputs!$B$44&gt;0),MIN(15,Inputs!$B$44)/(Inputs!$B$44),0))),0)))-100),0))*CHOOSE(ArtifactsInput!$N$42+1,0.6,0.72,0.84,0.96,1.08,1.2))),Inputs!$B$18+((C1032=TRUE)*(F1032-Calc!F29))+(IF(AND(ArtifactsInput!$M$42,((Inputs!$B$9+((C1028=TRUE)*(F1028-Calc!F25))+B1043+(ArtifactsInput!$M$24-ArtifactsInput!$M$24)*CHOOSE(ArtifactsInput!$N$24+1,10,12,14,16,18,20)+IF(ArtifactsInput!$M$10,CHOOSE(ArtifactsInput!$N$10+1,15,18,21,24,27,30)*(IF(Inputs!$B$39="pvp",MIN(15,15)/15,IF(AND(Inputs!$B$39&lt;&gt;"pvp",Inputs!$B$44&gt;0),MIN(15,Inputs!$B$44)/(Inputs!$B$44),0))),0)))&gt;=100),CHOOSE(ArtifactsInput!$N$42+1,40,48,56,64,72,80),0))))/100)*(((1+(((C1024=TRUE)*F1024*IF(AND(Inputs!$B$39&lt;&gt;"pvp",Inputs!$B$44&gt;0),(((R1024-1)*(Skills!Y21*(1+Inputs!$B$34/100))+MIN((Skills!Y21*(1+Inputs!$B$34/100)),MAX(0,Inputs!$B$44-((R1024-1)*Skills!D21))))/Inputs!$B$44),IF(Inputs!$B$39="pvp",MIN((Skills!Y21*(1+Inputs!$B$34/100)),15)/15,(Skills!Y21*(1+Inputs!$B$34/100))/Skills!D21)))+((C1031=TRUE)*(F1031-Calc!F28))+((C1021=TRUE)*(F1021-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1018=TRUE)*F1018*IF(AND(Inputs!$B$39&lt;&gt;"pvp",Inputs!$B$44&gt;0),(((R1018-1)*(Skills!Y15*(1+Inputs!$B$34/100))+MIN((Skills!Y15*(1+Inputs!$B$34/100)),MAX(0,Inputs!$B$44-((R1018-1)*Skills!D15))))/Inputs!$B$44),IF(Inputs!$B$39="pvp",MIN((Skills!Y15*(1+Inputs!$B$34/100)),15)/15,(Skills!Y15*(1+Inputs!$B$34/100))/Skills!D15)))/100)*(1+((C1009=TRUE)*F1009*B1037)/100))*B1045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1007)</f>
        <v/>
      </c>
      <c r="L1007">
        <f>K1007*(MIN(Inputs!$B$22+((C1027=TRUE)*(F1027-Calc!F24)),(Inputs!$B$23+0+(IF(ArtifactsInput!$M$15,CHOOSE(ArtifactsInput!$N$15+1,25,30,35,40,45,50)/100*(Inputs!$B$11-Inputs!$B$11),0))))/100+(Inputs!$B$23+0+(IF(ArtifactsInput!$M$15,CHOOSE(ArtifactsInput!$N$15+1,25,30,35,40,45,50)/100*(Inputs!$B$11-Inputs!$B$11),0)))/100)/2</f>
        <v/>
      </c>
      <c r="M1007">
        <f>L1007*(1+(Inputs!$B$10+((C1029=TRUE)*(F1029-Calc!F26))+B1046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07">
        <f>L1007*(1-MIN((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1007*(MIN((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07">
        <f>(1-Summary!$B$11)*T1007+Summary!$B$11*V1007</f>
        <v/>
      </c>
      <c r="P1007">
        <f>IF(B1047=0,0,O1007/B1047)</f>
        <v/>
      </c>
      <c r="Q1007">
        <f>IFERROR(1/IF(Inputs!$B$39="pvp",15,MAX(0.1,Skills!D4-IF(Skills!E4=TRUE,Inputs!$B$32,0))),0)</f>
        <v/>
      </c>
      <c r="R1007">
        <f>IF(AND(Inputs!$B$39&lt;&gt;"pvp",Inputs!$B$44&gt;0),IF(MAX(0,Inputs!$B$44-B1048)&lt;=0,0,(INT(MAX(0,Inputs!$B$44-B1048)/IF(Inputs!$B$39="pvp",15,MAX(0.1,Skills!D4-IF(Skills!E4=TRUE,Inputs!$B$32,0))))+1)),0)</f>
        <v/>
      </c>
      <c r="S1007">
        <f>IFERROR(O1007/N1007,0)</f>
        <v/>
      </c>
      <c r="T1007">
        <f>IF(C1007,(H1007*N1007*IF(AND(Inputs!$B$39&lt;&gt;"pvp",Inputs!$B$44&gt;0),((Skills!G4*((R1007-1)*IF(Skills!H4&gt;0,Skills!I4/Skills!H4,1)+IF(Skills!H4&gt;0,MIN(Skills!I4,MAX(0,MAX(0,Inputs!$B$44-B1048)-((R1007-1)*IF(Inputs!$B$39="pvp",15,MAX(0.1,Skills!D4-IF(Skills!E4=TRUE,Inputs!$B$32,0))))))/Skills!H4,1)))/Inputs!$B$44),G1007*Q1007))*IF(Inputs!$B$39="pvp",1,1+(Inputs!$B$20+((C1030=TRUE)*(F1030-Calc!F27))+Skills!P4+B1044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Hunt"),CHOOSE(ArtifactsInput!$N$35+1,15,18,21,24,27,30)*(1-EXP(-(0.2*B1039)*5)),0)+IF(AND(ArtifactsInput!$M$22,Inputs!$B$4&lt;&gt;"Chapter Hunt"),CHOOSE(ArtifactsInput!$N$22+1,10,12,14,16,18,20)*((0*(((0.15*B1039*5))^0/1)+1*(((0.15*B1039*5))^1/1)+2*(((0.15*B1039*5))^2/2)+3*(((0.15*B1039*5))^3/6)+4*(((0.15*B1039*5))^4/24)+5*(((0.15*B1039*5))^5/120))/((((0.15*B1039*5))^0/1)+(((0.15*B1039*5))^1/1)+(((0.15*B1039*5))^2/2)+(((0.15*B1039*5))^3/6)+(((0.15*B1039*5))^4/24)+(((0.15*B1039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1007*(1-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1007*(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1007*(1-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1007*(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07">
        <f>MAX(0,(Inputs!$B$3-100)*3)+(Inputs!$B$28+1)+Inputs!$B$29</f>
        <v/>
      </c>
      <c r="V1007">
        <f>IF(C1007,(H1007*N1007*IF(AND(Inputs!$B$39&lt;&gt;"pvp",Inputs!$B$44&gt;0),((Skills!G4*((R1007-1)*IF(Skills!H4&gt;0,Skills!I4/Skills!H4,1)+IF(Skills!H4&gt;0,MIN(Skills!I4,MAX(0,MAX(0,Inputs!$B$44-B1048)-((R1007-1)*IF(Inputs!$B$39="pvp",15,MAX(0.1,Skills!D4-IF(Skills!E4=TRUE,Inputs!$B$32,0))))))/Skills!H4,1)))/Inputs!$B$44),G1007*Q1007))*IF(Inputs!$B$39="pvp",1,(1+(Inputs!$B$21+Skills!Q4+B1044+(IF(ArtifactsInput!$M$33,CHOOSE(ArtifactsInput!$N$33+1,30,36,42,48,54,60),0))+(IF(AND(ArtifactsInput!$M$35,Inputs!$B$4&lt;&gt;"Chapter Hunt"),CHOOSE(ArtifactsInput!$N$35+1,15,18,21,24,27,30)*(1-EXP(-(0.2*B1039)*5)),0)+IF(AND(ArtifactsInput!$M$22,Inputs!$B$4&lt;&gt;"Chapter Hunt"),CHOOSE(ArtifactsInput!$N$22+1,10,12,14,16,18,20)*((0*(((0.15*B1039*5))^0/1)+1*(((0.15*B1039*5))^1/1)+2*(((0.15*B1039*5))^2/2)+3*(((0.15*B1039*5))^3/6)+4*(((0.15*B1039*5))^4/24)+5*(((0.15*B1039*5))^5/120))/((((0.15*B1039*5))^0/1)+(((0.15*B1039*5))^1/1)+(((0.15*B1039*5))^2/2)+(((0.15*B1039*5))^3/6)+(((0.15*B1039*5))^4/24)+(((0.15*B1039*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08">
      <c r="A1008">
        <f>Skills!A5</f>
        <v/>
      </c>
      <c r="B1008">
        <f>Skills!B5</f>
        <v/>
      </c>
      <c r="C1008">
        <f>Inputs!$B$3&gt;=63</f>
        <v/>
      </c>
      <c r="D1008">
        <f>IF(Skills!C5=1,60+Inputs!$B$25+Inputs!$B$29,IF(Skills!C5=2,90+Inputs!$B$26+Inputs!$B$29,IF(Skills!C5=3,120+Inputs!$B$27+Inputs!$B$29,MAX(0,(Inputs!$B$3-100)*3)+(Inputs!$B$28+1)+Inputs!$B$29)))</f>
        <v/>
      </c>
      <c r="E1008">
        <f>INDEX(FactorTable!$B$2:$Y$301, MATCH(ROUND(MIN(300,MAX(1,D1008)),0), FactorTable!$A$2:$A$301,0), Skills!M5+1)</f>
        <v/>
      </c>
      <c r="F1008">
        <f>IF(Skills!N5=TRUE,(Skills!L5/10)*(E1008/1000),Skills!L5/10)+Skills!O5</f>
        <v/>
      </c>
      <c r="G1008">
        <f>Calc!G5</f>
        <v/>
      </c>
      <c r="H1008">
        <f>Calc!H5</f>
        <v/>
      </c>
      <c r="I1008">
        <f>IF(Skills!AA5&lt;&gt;"",1+(Skills!AA5/10)*(U1006/1000)/100,1)</f>
        <v/>
      </c>
      <c r="J1008">
        <f>((Inputs!$B$6*(1+Inputs!$B$7/100))+(((Inputs!$B$12*(1+Inputs!$B$13/100))-(Inputs!$B$12*(1+Inputs!$B$13/100)))+0.25*(Inputs!$B$14-Inputs!$B$14))*(1+Inputs!$B$7/100))*(F1008/100)</f>
        <v/>
      </c>
      <c r="K1008">
        <f>J1008*(1+((Inputs!$B$12*(1+Inputs!$B$13/100))*0.01+Inputs!$B$14*0.0025)/100)*(1+Inputs!$B$15/100)*(1+Inputs!$B$16/100)*(5000/(6000+Inputs!$B$43*(1-(100*(1-(1-(Inputs!$B$19+0)/100)*(1-CHOOSE(ArtifactsInput!$N$40+1,5,6,7,8,9,10)/100)^(ArtifactsInput!$M$40-ArtifactsInput!$M$40)))/100)))*(1+(Inputs!$B$24+((C1033=TRUE)*(F1033-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1026=TRUE)*(F1026-Calc!F23))+(((IF(AND(ArtifactsInput!$M$42,((Inputs!$B$9+((C1028=TRUE)*(F1028-Calc!F25))+B1043+(ArtifactsInput!$M$24-ArtifactsInput!$M$24)*CHOOSE(ArtifactsInput!$N$24+1,10,12,14,16,18,20)+IF(ArtifactsInput!$M$10,CHOOSE(ArtifactsInput!$N$10+1,15,18,21,24,27,30)*(IF(Inputs!$B$39="pvp",MIN(15,15)/15,IF(AND(Inputs!$B$39&lt;&gt;"pvp",Inputs!$B$44&gt;0),MIN(15,Inputs!$B$44)/(Inputs!$B$44),0))),0)))&gt;=100),MIN(100,((Inputs!$B$9+((C1028=TRUE)*(F1028-Calc!F25))+B1043+(ArtifactsInput!$M$24-ArtifactsInput!$M$24)*CHOOSE(ArtifactsInput!$N$24+1,10,12,14,16,18,20)+IF(ArtifactsInput!$M$10,CHOOSE(ArtifactsInput!$N$10+1,15,18,21,24,27,30)*(IF(Inputs!$B$39="pvp",MIN(15,15)/15,IF(AND(Inputs!$B$39&lt;&gt;"pvp",Inputs!$B$44&gt;0),MIN(15,Inputs!$B$44)/(Inputs!$B$44),0))),0)))-100),0))*CHOOSE(ArtifactsInput!$N$42+1,0.6,0.72,0.84,0.96,1.08,1.2))),Inputs!$B$18+((C1032=TRUE)*(F1032-Calc!F29))+(IF(AND(ArtifactsInput!$M$42,((Inputs!$B$9+((C1028=TRUE)*(F1028-Calc!F25))+B1043+(ArtifactsInput!$M$24-ArtifactsInput!$M$24)*CHOOSE(ArtifactsInput!$N$24+1,10,12,14,16,18,20)+IF(ArtifactsInput!$M$10,CHOOSE(ArtifactsInput!$N$10+1,15,18,21,24,27,30)*(IF(Inputs!$B$39="pvp",MIN(15,15)/15,IF(AND(Inputs!$B$39&lt;&gt;"pvp",Inputs!$B$44&gt;0),MIN(15,Inputs!$B$44)/(Inputs!$B$44),0))),0)))&gt;=100),CHOOSE(ArtifactsInput!$N$42+1,40,48,56,64,72,80),0))))/100)*(((1+(((C1024=TRUE)*F1024*IF(AND(Inputs!$B$39&lt;&gt;"pvp",Inputs!$B$44&gt;0),(((R1024-1)*(Skills!Y21*(1+Inputs!$B$34/100))+MIN((Skills!Y21*(1+Inputs!$B$34/100)),MAX(0,Inputs!$B$44-((R1024-1)*Skills!D21))))/Inputs!$B$44),IF(Inputs!$B$39="pvp",MIN((Skills!Y21*(1+Inputs!$B$34/100)),15)/15,(Skills!Y21*(1+Inputs!$B$34/100))/Skills!D21)))+((C1031=TRUE)*(F1031-Calc!F28))+((C1021=TRUE)*(F1021-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1018=TRUE)*F1018*IF(AND(Inputs!$B$39&lt;&gt;"pvp",Inputs!$B$44&gt;0),(((R1018-1)*(Skills!Y15*(1+Inputs!$B$34/100))+MIN((Skills!Y15*(1+Inputs!$B$34/100)),MAX(0,Inputs!$B$44-((R1018-1)*Skills!D15))))/Inputs!$B$44),IF(Inputs!$B$39="pvp",MIN((Skills!Y15*(1+Inputs!$B$34/100)),15)/15,(Skills!Y15*(1+Inputs!$B$34/100))/Skills!D15)))/100)*(1+((C1009=TRUE)*F1009*B1037)/100))*B1045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1008)</f>
        <v/>
      </c>
      <c r="L1008">
        <f>K1008*(MIN(Inputs!$B$22+((C1027=TRUE)*(F1027-Calc!F24)),(Inputs!$B$23+0+(IF(ArtifactsInput!$M$15,CHOOSE(ArtifactsInput!$N$15+1,25,30,35,40,45,50)/100*(Inputs!$B$11-Inputs!$B$11),0))))/100+(Inputs!$B$23+0+(IF(ArtifactsInput!$M$15,CHOOSE(ArtifactsInput!$N$15+1,25,30,35,40,45,50)/100*(Inputs!$B$11-Inputs!$B$11),0)))/100)/2</f>
        <v/>
      </c>
      <c r="M1008">
        <f>L1008*(1+(Inputs!$B$10+((C1029=TRUE)*(F1029-Calc!F26))+B1046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08">
        <f>L1008*(1-MIN((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1008*(MIN((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08">
        <f>(1-Summary!$B$11)*T1008+Summary!$B$11*V1008</f>
        <v/>
      </c>
      <c r="P1008">
        <f>IF(B1047=0,0,O1008/B1047)</f>
        <v/>
      </c>
      <c r="Q1008">
        <f>IFERROR(1/IF(Inputs!$B$39="pvp",15,MAX(0.1,Skills!D5-IF(Skills!E5=TRUE,Inputs!$B$32,0))),0)</f>
        <v/>
      </c>
      <c r="R1008">
        <f>IF(AND(Inputs!$B$39&lt;&gt;"pvp",Inputs!$B$44&gt;0),IF(MAX(0,Inputs!$B$44-B1048)&lt;=0,0,(INT(MAX(0,Inputs!$B$44-B1048)/IF(Inputs!$B$39="pvp",15,MAX(0.1,Skills!D5-IF(Skills!E5=TRUE,Inputs!$B$32,0))))+1)),0)</f>
        <v/>
      </c>
      <c r="S1008">
        <f>IFERROR(O1008/N1008,0)</f>
        <v/>
      </c>
      <c r="T1008">
        <f>IF(C1008,(H1008*N1008*IF(AND(Inputs!$B$39&lt;&gt;"pvp",Inputs!$B$44&gt;0),((Skills!G5*((R1008-1)*IF(Skills!H5&gt;0,Skills!I5/Skills!H5,1)+IF(Skills!H5&gt;0,MIN(Skills!I5,MAX(0,MAX(0,Inputs!$B$44-B1048)-((R1008-1)*IF(Inputs!$B$39="pvp",15,MAX(0.1,Skills!D5-IF(Skills!E5=TRUE,Inputs!$B$32,0))))))/Skills!H5,1)))/Inputs!$B$44),G1008*Q1008))*IF(Inputs!$B$39="pvp",1,1+(Inputs!$B$20+((C1030=TRUE)*(F1030-Calc!F27))+Skills!P5+B1044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Hunt"),CHOOSE(ArtifactsInput!$N$35+1,15,18,21,24,27,30)*(1-EXP(-(0.2*B1039)*5)),0)+IF(AND(ArtifactsInput!$M$22,Inputs!$B$4&lt;&gt;"Chapter Hunt"),CHOOSE(ArtifactsInput!$N$22+1,10,12,14,16,18,20)*((0*(((0.15*B1039*5))^0/1)+1*(((0.15*B1039*5))^1/1)+2*(((0.15*B1039*5))^2/2)+3*(((0.15*B1039*5))^3/6)+4*(((0.15*B1039*5))^4/24)+5*(((0.15*B1039*5))^5/120))/((((0.15*B1039*5))^0/1)+(((0.15*B1039*5))^1/1)+(((0.15*B1039*5))^2/2)+(((0.15*B1039*5))^3/6)+(((0.15*B1039*5))^4/24)+(((0.15*B1039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1008*(1-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1008*(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1008*(1-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1008*(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08">
        <f>INDEX(FactorTable!$B$2:$Y$301, MATCH(ROUND(MIN(300,MAX(1,U1007)),0), FactorTable!$A$2:$A$301,0), 22)</f>
        <v/>
      </c>
      <c r="V1008">
        <f>IF(C1008,(H1008*N1008*IF(AND(Inputs!$B$39&lt;&gt;"pvp",Inputs!$B$44&gt;0),((Skills!G5*((R1008-1)*IF(Skills!H5&gt;0,Skills!I5/Skills!H5,1)+IF(Skills!H5&gt;0,MIN(Skills!I5,MAX(0,MAX(0,Inputs!$B$44-B1048)-((R1008-1)*IF(Inputs!$B$39="pvp",15,MAX(0.1,Skills!D5-IF(Skills!E5=TRUE,Inputs!$B$32,0))))))/Skills!H5,1)))/Inputs!$B$44),G1008*Q1008))*IF(Inputs!$B$39="pvp",1,(1+(Inputs!$B$21+Skills!Q5+B1044+(IF(ArtifactsInput!$M$33,CHOOSE(ArtifactsInput!$N$33+1,30,36,42,48,54,60),0))+(IF(AND(ArtifactsInput!$M$35,Inputs!$B$4&lt;&gt;"Chapter Hunt"),CHOOSE(ArtifactsInput!$N$35+1,15,18,21,24,27,30)*(1-EXP(-(0.2*B1039)*5)),0)+IF(AND(ArtifactsInput!$M$22,Inputs!$B$4&lt;&gt;"Chapter Hunt"),CHOOSE(ArtifactsInput!$N$22+1,10,12,14,16,18,20)*((0*(((0.15*B1039*5))^0/1)+1*(((0.15*B1039*5))^1/1)+2*(((0.15*B1039*5))^2/2)+3*(((0.15*B1039*5))^3/6)+4*(((0.15*B1039*5))^4/24)+5*(((0.15*B1039*5))^5/120))/((((0.15*B1039*5))^0/1)+(((0.15*B1039*5))^1/1)+(((0.15*B1039*5))^2/2)+(((0.15*B1039*5))^3/6)+(((0.15*B1039*5))^4/24)+(((0.15*B1039*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09">
      <c r="A1009">
        <f>Skills!A6</f>
        <v/>
      </c>
      <c r="B1009">
        <f>Skills!B6</f>
        <v/>
      </c>
      <c r="C1009">
        <f>Inputs!$B$3&gt;=66</f>
        <v/>
      </c>
      <c r="D1009">
        <f>IF(Skills!C6=1,60+Inputs!$B$25+Inputs!$B$29,IF(Skills!C6=2,90+Inputs!$B$26+Inputs!$B$29,IF(Skills!C6=3,120+Inputs!$B$27+Inputs!$B$29,MAX(0,(Inputs!$B$3-100)*3)+(Inputs!$B$28+1)+Inputs!$B$29)))</f>
        <v/>
      </c>
      <c r="E1009">
        <f>INDEX(FactorTable!$B$2:$Y$301, MATCH(ROUND(MIN(300,MAX(1,D1009)),0), FactorTable!$A$2:$A$301,0), Skills!M6+1)</f>
        <v/>
      </c>
      <c r="F1009">
        <f>IF(Skills!N6=TRUE,(Skills!L6/10)*(E1009/1000),Skills!L6/10)+Skills!O6</f>
        <v/>
      </c>
      <c r="G1009">
        <f>Calc!G6</f>
        <v/>
      </c>
      <c r="H1009">
        <f>Calc!H6</f>
        <v/>
      </c>
      <c r="I1009">
        <f>IF(Skills!AA6&lt;&gt;"",1+(Skills!AA6/10)*(U1006/1000)/100,1)</f>
        <v/>
      </c>
      <c r="J1009" t="inlineStr"/>
      <c r="K1009" t="inlineStr"/>
      <c r="L1009" t="inlineStr"/>
      <c r="M1009" t="inlineStr"/>
      <c r="N1009" t="inlineStr"/>
      <c r="O1009">
        <f>(1-Summary!$B$11)*T1009+Summary!$B$11*V1009</f>
        <v/>
      </c>
      <c r="P1009">
        <f>IF(B1047=0,0,O1009/B1047)</f>
        <v/>
      </c>
      <c r="Q1009" t="n">
        <v>0</v>
      </c>
      <c r="R1009" t="n">
        <v>0</v>
      </c>
      <c r="S1009">
        <f>IFERROR(O1009/N1009,0)</f>
        <v/>
      </c>
      <c r="T1009" t="n">
        <v>0</v>
      </c>
      <c r="U1009">
        <f>290*U1008/1000</f>
        <v/>
      </c>
      <c r="V1009" t="n">
        <v>0</v>
      </c>
    </row>
    <row r="1010">
      <c r="A1010">
        <f>Skills!A7</f>
        <v/>
      </c>
      <c r="B1010">
        <f>Skills!B7</f>
        <v/>
      </c>
      <c r="C1010">
        <f>Inputs!$B$3&gt;=66</f>
        <v/>
      </c>
      <c r="D1010">
        <f>IF(Skills!C7=1,60+Inputs!$B$25+Inputs!$B$29,IF(Skills!C7=2,90+Inputs!$B$26+Inputs!$B$29,IF(Skills!C7=3,120+Inputs!$B$27+Inputs!$B$29,MAX(0,(Inputs!$B$3-100)*3)+(Inputs!$B$28+1)+Inputs!$B$29)))</f>
        <v/>
      </c>
      <c r="E1010">
        <f>INDEX(FactorTable!$B$2:$Y$301, MATCH(ROUND(MIN(300,MAX(1,D1010)),0), FactorTable!$A$2:$A$301,0), Skills!M7+1)</f>
        <v/>
      </c>
      <c r="F1010">
        <f>IF(Skills!N7=TRUE,(Skills!L7/10)*(E1010/1000),Skills!L7/10)+Skills!O7</f>
        <v/>
      </c>
      <c r="G1010">
        <f>Calc!G7</f>
        <v/>
      </c>
      <c r="H1010">
        <f>Calc!H7</f>
        <v/>
      </c>
      <c r="I1010">
        <f>IF(Skills!AA7&lt;&gt;"",1+(Skills!AA7/10)*(U1006/1000)/100,1)</f>
        <v/>
      </c>
      <c r="J1010" t="inlineStr"/>
      <c r="K1010" t="inlineStr"/>
      <c r="L1010" t="inlineStr"/>
      <c r="M1010" t="inlineStr"/>
      <c r="N1010" t="inlineStr"/>
      <c r="O1010">
        <f>(1-Summary!$B$11)*T1010+Summary!$B$11*V1010</f>
        <v/>
      </c>
      <c r="P1010">
        <f>IF(B1047=0,0,O1010/B1047)</f>
        <v/>
      </c>
      <c r="Q1010" t="n">
        <v>0</v>
      </c>
      <c r="R1010" t="n">
        <v>0</v>
      </c>
      <c r="S1010">
        <f>IFERROR(O1010/N1010,0)</f>
        <v/>
      </c>
      <c r="T1010" t="n">
        <v>0</v>
      </c>
      <c r="V1010" t="n">
        <v>0</v>
      </c>
    </row>
    <row r="1011">
      <c r="A1011">
        <f>Skills!A8</f>
        <v/>
      </c>
      <c r="B1011">
        <f>Skills!B8</f>
        <v/>
      </c>
      <c r="C1011">
        <f>Inputs!$B$3&gt;=69</f>
        <v/>
      </c>
      <c r="D1011">
        <f>IF(Skills!C8=1,60+Inputs!$B$25+Inputs!$B$29,IF(Skills!C8=2,90+Inputs!$B$26+Inputs!$B$29,IF(Skills!C8=3,120+Inputs!$B$27+Inputs!$B$29,MAX(0,(Inputs!$B$3-100)*3)+(Inputs!$B$28+1)+Inputs!$B$29)))</f>
        <v/>
      </c>
      <c r="E1011">
        <f>INDEX(FactorTable!$B$2:$Y$301, MATCH(ROUND(MIN(300,MAX(1,D1011)),0), FactorTable!$A$2:$A$301,0), Skills!M8+1)</f>
        <v/>
      </c>
      <c r="F1011">
        <f>IF(Skills!N8=TRUE,(Skills!L8/10)*(E1011/1000),Skills!L8/10)+Skills!O8</f>
        <v/>
      </c>
      <c r="G1011">
        <f>Calc!G8</f>
        <v/>
      </c>
      <c r="H1011">
        <f>Calc!H8</f>
        <v/>
      </c>
      <c r="I1011">
        <f>IF(Skills!AA8&lt;&gt;"",1+(Skills!AA8/10)*(U1006/1000)/100,1)</f>
        <v/>
      </c>
      <c r="J1011">
        <f>((Inputs!$B$6*(1+Inputs!$B$7/100))+(((Inputs!$B$12*(1+Inputs!$B$13/100))-(Inputs!$B$12*(1+Inputs!$B$13/100)))+0.25*(Inputs!$B$14-Inputs!$B$14))*(1+Inputs!$B$7/100))*(F1011/100)</f>
        <v/>
      </c>
      <c r="K1011">
        <f>J1011*(1+((Inputs!$B$12*(1+Inputs!$B$13/100))*0.01+Inputs!$B$14*0.0025)/100)*(1+Inputs!$B$15/100)*(1+Inputs!$B$16/100)*(5000/(6000+Inputs!$B$43*(1-(100*(1-(1-(Inputs!$B$19+0)/100)*(1-CHOOSE(ArtifactsInput!$N$40+1,5,6,7,8,9,10)/100)^(ArtifactsInput!$M$40-ArtifactsInput!$M$40)))/100)))*(1+(Inputs!$B$24+((C1033=TRUE)*(F1033-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1026=TRUE)*(F1026-Calc!F23))+(((IF(AND(ArtifactsInput!$M$42,((Inputs!$B$9+((C1028=TRUE)*(F1028-Calc!F25))+B1043+(ArtifactsInput!$M$24-ArtifactsInput!$M$24)*CHOOSE(ArtifactsInput!$N$24+1,10,12,14,16,18,20)+IF(ArtifactsInput!$M$10,CHOOSE(ArtifactsInput!$N$10+1,15,18,21,24,27,30)*(IF(Inputs!$B$39="pvp",MIN(15,15)/15,IF(AND(Inputs!$B$39&lt;&gt;"pvp",Inputs!$B$44&gt;0),MIN(15,Inputs!$B$44)/(Inputs!$B$44),0))),0)))&gt;=100),MIN(100,((Inputs!$B$9+((C1028=TRUE)*(F1028-Calc!F25))+B1043+(ArtifactsInput!$M$24-ArtifactsInput!$M$24)*CHOOSE(ArtifactsInput!$N$24+1,10,12,14,16,18,20)+IF(ArtifactsInput!$M$10,CHOOSE(ArtifactsInput!$N$10+1,15,18,21,24,27,30)*(IF(Inputs!$B$39="pvp",MIN(15,15)/15,IF(AND(Inputs!$B$39&lt;&gt;"pvp",Inputs!$B$44&gt;0),MIN(15,Inputs!$B$44)/(Inputs!$B$44),0))),0)))-100),0))*CHOOSE(ArtifactsInput!$N$42+1,0.6,0.72,0.84,0.96,1.08,1.2))),Inputs!$B$18+((C1032=TRUE)*(F1032-Calc!F29))+(IF(AND(ArtifactsInput!$M$42,((Inputs!$B$9+((C1028=TRUE)*(F1028-Calc!F25))+B1043+(ArtifactsInput!$M$24-ArtifactsInput!$M$24)*CHOOSE(ArtifactsInput!$N$24+1,10,12,14,16,18,20)+IF(ArtifactsInput!$M$10,CHOOSE(ArtifactsInput!$N$10+1,15,18,21,24,27,30)*(IF(Inputs!$B$39="pvp",MIN(15,15)/15,IF(AND(Inputs!$B$39&lt;&gt;"pvp",Inputs!$B$44&gt;0),MIN(15,Inputs!$B$44)/(Inputs!$B$44),0))),0)))&gt;=100),CHOOSE(ArtifactsInput!$N$42+1,40,48,56,64,72,80),0))))/100)*(((1+(((C1024=TRUE)*F1024*IF(AND(Inputs!$B$39&lt;&gt;"pvp",Inputs!$B$44&gt;0),(((R1024-1)*(Skills!Y21*(1+Inputs!$B$34/100))+MIN((Skills!Y21*(1+Inputs!$B$34/100)),MAX(0,Inputs!$B$44-((R1024-1)*Skills!D21))))/Inputs!$B$44),IF(Inputs!$B$39="pvp",MIN((Skills!Y21*(1+Inputs!$B$34/100)),15)/15,(Skills!Y21*(1+Inputs!$B$34/100))/Skills!D21)))+((C1031=TRUE)*(F1031-Calc!F28))+((C1021=TRUE)*(F1021-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1018=TRUE)*F1018*IF(AND(Inputs!$B$39&lt;&gt;"pvp",Inputs!$B$44&gt;0),(((R1018-1)*(Skills!Y15*(1+Inputs!$B$34/100))+MIN((Skills!Y15*(1+Inputs!$B$34/100)),MAX(0,Inputs!$B$44-((R1018-1)*Skills!D15))))/Inputs!$B$44),IF(Inputs!$B$39="pvp",MIN((Skills!Y15*(1+Inputs!$B$34/100)),15)/15,(Skills!Y15*(1+Inputs!$B$34/100))/Skills!D15)))/100)*(1+((C1009=TRUE)*F1009*B1037)/100))*B1045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1011)</f>
        <v/>
      </c>
      <c r="L1011">
        <f>K1011*(MIN(Inputs!$B$22+((C1027=TRUE)*(F1027-Calc!F24)),(Inputs!$B$23+0+(IF(ArtifactsInput!$M$15,CHOOSE(ArtifactsInput!$N$15+1,25,30,35,40,45,50)/100*(Inputs!$B$11-Inputs!$B$11),0))))/100+(Inputs!$B$23+0+(IF(ArtifactsInput!$M$15,CHOOSE(ArtifactsInput!$N$15+1,25,30,35,40,45,50)/100*(Inputs!$B$11-Inputs!$B$11),0)))/100)/2</f>
        <v/>
      </c>
      <c r="M1011">
        <f>L1011*(1+(Inputs!$B$10+((C1029=TRUE)*(F1029-Calc!F26))+B1046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11">
        <f>L1011*(1-MIN((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1011*(MIN((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11">
        <f>(1-Summary!$B$11)*T1011+Summary!$B$11*V1011</f>
        <v/>
      </c>
      <c r="P1011">
        <f>IF(B1047=0,0,O1011/B1047)</f>
        <v/>
      </c>
      <c r="Q1011">
        <f>IFERROR(1/IF(Inputs!$B$39="pvp",15,MAX(0.1,Skills!D8-IF(Skills!E8=TRUE,Inputs!$B$32,0))),0)</f>
        <v/>
      </c>
      <c r="R1011">
        <f>IF(AND(Inputs!$B$39&lt;&gt;"pvp",Inputs!$B$44&gt;0),IF(MAX(0,Inputs!$B$44-B1048)&lt;=0,0,(INT(MAX(0,Inputs!$B$44-B1048)/IF(Inputs!$B$39="pvp",15,MAX(0.1,Skills!D8-IF(Skills!E8=TRUE,Inputs!$B$32,0))))+1)),0)</f>
        <v/>
      </c>
      <c r="S1011">
        <f>IFERROR(O1011/N1011,0)</f>
        <v/>
      </c>
      <c r="T1011">
        <f>IF(C1011,(H1011*N1011*IF(AND(Inputs!$B$39&lt;&gt;"pvp",Inputs!$B$44&gt;0),((Skills!G8*((R1011-1)*IF(Skills!H8&gt;0,Skills!I8/Skills!H8,1)+IF(Skills!H8&gt;0,MIN(Skills!I8,MAX(0,MAX(0,Inputs!$B$44-B1048)-((R1011-1)*IF(Inputs!$B$39="pvp",15,MAX(0.1,Skills!D8-IF(Skills!E8=TRUE,Inputs!$B$32,0))))))/Skills!H8,1)))/Inputs!$B$44),G1011*Q1011))*IF(Inputs!$B$39="pvp",1,1+(Inputs!$B$20+((C1030=TRUE)*(F1030-Calc!F27))+Skills!P8+B1044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Hunt"),CHOOSE(ArtifactsInput!$N$35+1,15,18,21,24,27,30)*(1-EXP(-(0.2*B1039)*5)),0)+IF(AND(ArtifactsInput!$M$22,Inputs!$B$4&lt;&gt;"Chapter Hunt"),CHOOSE(ArtifactsInput!$N$22+1,10,12,14,16,18,20)*((0*(((0.15*B1039*5))^0/1)+1*(((0.15*B1039*5))^1/1)+2*(((0.15*B1039*5))^2/2)+3*(((0.15*B1039*5))^3/6)+4*(((0.15*B1039*5))^4/24)+5*(((0.15*B1039*5))^5/120))/((((0.15*B1039*5))^0/1)+(((0.15*B1039*5))^1/1)+(((0.15*B1039*5))^2/2)+(((0.15*B1039*5))^3/6)+(((0.15*B1039*5))^4/24)+(((0.15*B1039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1011*(1-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1011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1011*(1-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1011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11">
        <f>IF(C1011,(H1011*N1011*IF(AND(Inputs!$B$39&lt;&gt;"pvp",Inputs!$B$44&gt;0),((Skills!G8*((R1011-1)*IF(Skills!H8&gt;0,Skills!I8/Skills!H8,1)+IF(Skills!H8&gt;0,MIN(Skills!I8,MAX(0,MAX(0,Inputs!$B$44-B1048)-((R1011-1)*IF(Inputs!$B$39="pvp",15,MAX(0.1,Skills!D8-IF(Skills!E8=TRUE,Inputs!$B$32,0))))))/Skills!H8,1)))/Inputs!$B$44),G1011*Q1011))*IF(Inputs!$B$39="pvp",1,(1+(Inputs!$B$21+Skills!Q8+B1044+(IF(ArtifactsInput!$M$33,CHOOSE(ArtifactsInput!$N$33+1,30,36,42,48,54,60),0))+(IF(AND(ArtifactsInput!$M$35,Inputs!$B$4&lt;&gt;"Chapter Hunt"),CHOOSE(ArtifactsInput!$N$35+1,15,18,21,24,27,30)*(1-EXP(-(0.2*B1039)*5)),0)+IF(AND(ArtifactsInput!$M$22,Inputs!$B$4&lt;&gt;"Chapter Hunt"),CHOOSE(ArtifactsInput!$N$22+1,10,12,14,16,18,20)*((0*(((0.15*B1039*5))^0/1)+1*(((0.15*B1039*5))^1/1)+2*(((0.15*B1039*5))^2/2)+3*(((0.15*B1039*5))^3/6)+4*(((0.15*B1039*5))^4/24)+5*(((0.15*B1039*5))^5/120))/((((0.15*B1039*5))^0/1)+(((0.15*B1039*5))^1/1)+(((0.15*B1039*5))^2/2)+(((0.15*B1039*5))^3/6)+(((0.15*B1039*5))^4/24)+(((0.15*B1039*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12">
      <c r="A1012">
        <f>Skills!A9</f>
        <v/>
      </c>
      <c r="B1012">
        <f>Skills!B9</f>
        <v/>
      </c>
      <c r="C1012">
        <f>Inputs!$B$3&gt;=72</f>
        <v/>
      </c>
      <c r="D1012">
        <f>IF(Skills!C9=1,60+Inputs!$B$25+Inputs!$B$29,IF(Skills!C9=2,90+Inputs!$B$26+Inputs!$B$29,IF(Skills!C9=3,120+Inputs!$B$27+Inputs!$B$29,MAX(0,(Inputs!$B$3-100)*3)+(Inputs!$B$28+1)+Inputs!$B$29)))</f>
        <v/>
      </c>
      <c r="E1012">
        <f>INDEX(FactorTable!$B$2:$Y$301, MATCH(ROUND(MIN(300,MAX(1,D1012)),0), FactorTable!$A$2:$A$301,0), Skills!M9+1)</f>
        <v/>
      </c>
      <c r="F1012">
        <f>IF(Skills!N9=TRUE,(Skills!L9/10)*(E1012/1000),Skills!L9/10)+Skills!O9</f>
        <v/>
      </c>
      <c r="G1012">
        <f>Calc!G9</f>
        <v/>
      </c>
      <c r="H1012">
        <f>Calc!H9</f>
        <v/>
      </c>
      <c r="I1012">
        <f>IF(Skills!AA9&lt;&gt;"",1+(Skills!AA9/10)*(U1006/1000)/100,1)</f>
        <v/>
      </c>
      <c r="J1012">
        <f>((Inputs!$B$6*(1+Inputs!$B$7/100))+(((Inputs!$B$12*(1+Inputs!$B$13/100))-(Inputs!$B$12*(1+Inputs!$B$13/100)))+0.25*(Inputs!$B$14-Inputs!$B$14))*(1+Inputs!$B$7/100))*(F1012/100)</f>
        <v/>
      </c>
      <c r="K1012">
        <f>J1012*(1+((Inputs!$B$12*(1+Inputs!$B$13/100))*0.01+Inputs!$B$14*0.0025)/100)*(1+Inputs!$B$15/100)*(1+Inputs!$B$16/100)*(5000/(6000+Inputs!$B$43*(1-(100*(1-(1-(Inputs!$B$19+0)/100)*(1-CHOOSE(ArtifactsInput!$N$40+1,5,6,7,8,9,10)/100)^(ArtifactsInput!$M$40-ArtifactsInput!$M$40)))/100)))*(1+(Inputs!$B$24+((C1033=TRUE)*(F1033-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1026=TRUE)*(F1026-Calc!F23))+(((IF(AND(ArtifactsInput!$M$42,((Inputs!$B$9+((C1028=TRUE)*(F1028-Calc!F25))+B1043+(ArtifactsInput!$M$24-ArtifactsInput!$M$24)*CHOOSE(ArtifactsInput!$N$24+1,10,12,14,16,18,20)+IF(ArtifactsInput!$M$10,CHOOSE(ArtifactsInput!$N$10+1,15,18,21,24,27,30)*(IF(Inputs!$B$39="pvp",MIN(15,15)/15,IF(AND(Inputs!$B$39&lt;&gt;"pvp",Inputs!$B$44&gt;0),MIN(15,Inputs!$B$44)/(Inputs!$B$44),0))),0)))&gt;=100),MIN(100,((Inputs!$B$9+((C1028=TRUE)*(F1028-Calc!F25))+B1043+(ArtifactsInput!$M$24-ArtifactsInput!$M$24)*CHOOSE(ArtifactsInput!$N$24+1,10,12,14,16,18,20)+IF(ArtifactsInput!$M$10,CHOOSE(ArtifactsInput!$N$10+1,15,18,21,24,27,30)*(IF(Inputs!$B$39="pvp",MIN(15,15)/15,IF(AND(Inputs!$B$39&lt;&gt;"pvp",Inputs!$B$44&gt;0),MIN(15,Inputs!$B$44)/(Inputs!$B$44),0))),0)))-100),0))*CHOOSE(ArtifactsInput!$N$42+1,0.6,0.72,0.84,0.96,1.08,1.2))),Inputs!$B$18+((C1032=TRUE)*(F1032-Calc!F29))+(IF(AND(ArtifactsInput!$M$42,((Inputs!$B$9+((C1028=TRUE)*(F1028-Calc!F25))+B1043+(ArtifactsInput!$M$24-ArtifactsInput!$M$24)*CHOOSE(ArtifactsInput!$N$24+1,10,12,14,16,18,20)+IF(ArtifactsInput!$M$10,CHOOSE(ArtifactsInput!$N$10+1,15,18,21,24,27,30)*(IF(Inputs!$B$39="pvp",MIN(15,15)/15,IF(AND(Inputs!$B$39&lt;&gt;"pvp",Inputs!$B$44&gt;0),MIN(15,Inputs!$B$44)/(Inputs!$B$44),0))),0)))&gt;=100),CHOOSE(ArtifactsInput!$N$42+1,40,48,56,64,72,80),0))))/100)*(((1+(((C1024=TRUE)*F1024*IF(AND(Inputs!$B$39&lt;&gt;"pvp",Inputs!$B$44&gt;0),(((R1024-1)*(Skills!Y21*(1+Inputs!$B$34/100))+MIN((Skills!Y21*(1+Inputs!$B$34/100)),MAX(0,Inputs!$B$44-((R1024-1)*Skills!D21))))/Inputs!$B$44),IF(Inputs!$B$39="pvp",MIN((Skills!Y21*(1+Inputs!$B$34/100)),15)/15,(Skills!Y21*(1+Inputs!$B$34/100))/Skills!D21)))+((C1031=TRUE)*(F1031-Calc!F28))+((C1021=TRUE)*(F1021-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1018=TRUE)*F1018*IF(AND(Inputs!$B$39&lt;&gt;"pvp",Inputs!$B$44&gt;0),(((R1018-1)*(Skills!Y15*(1+Inputs!$B$34/100))+MIN((Skills!Y15*(1+Inputs!$B$34/100)),MAX(0,Inputs!$B$44-((R1018-1)*Skills!D15))))/Inputs!$B$44),IF(Inputs!$B$39="pvp",MIN((Skills!Y15*(1+Inputs!$B$34/100)),15)/15,(Skills!Y15*(1+Inputs!$B$34/100))/Skills!D15)))/100)*(1+((C1009=TRUE)*F1009*B1037)/100))*B1045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1012)</f>
        <v/>
      </c>
      <c r="L1012">
        <f>K1012*(MIN(Inputs!$B$22+((C1027=TRUE)*(F1027-Calc!F24)),(Inputs!$B$23+0+(IF(ArtifactsInput!$M$15,CHOOSE(ArtifactsInput!$N$15+1,25,30,35,40,45,50)/100*(Inputs!$B$11-Inputs!$B$11),0))))/100+(Inputs!$B$23+0+(IF(ArtifactsInput!$M$15,CHOOSE(ArtifactsInput!$N$15+1,25,30,35,40,45,50)/100*(Inputs!$B$11-Inputs!$B$11),0)))/100)/2</f>
        <v/>
      </c>
      <c r="M1012">
        <f>L1012*(1+(Inputs!$B$10+((C1029=TRUE)*(F1029-Calc!F26))+B1046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12">
        <f>L1012*(1-MIN((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1012*(MIN((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12">
        <f>(1-Summary!$B$11)*T1012+Summary!$B$11*V1012</f>
        <v/>
      </c>
      <c r="P1012">
        <f>IF(B1047=0,0,O1012/B1047)</f>
        <v/>
      </c>
      <c r="Q1012">
        <f>IFERROR(1/IF(Inputs!$B$39="pvp",15,MAX(0.1,Skills!D9-IF(Skills!E9=TRUE,Inputs!$B$32,0))),0)</f>
        <v/>
      </c>
      <c r="R1012">
        <f>IF(AND(Inputs!$B$39&lt;&gt;"pvp",Inputs!$B$44&gt;0),IF(MAX(0,Inputs!$B$44-B1048)&lt;=0,0,(INT(MAX(0,Inputs!$B$44-B1048)/IF(Inputs!$B$39="pvp",15,MAX(0.1,Skills!D9-IF(Skills!E9=TRUE,Inputs!$B$32,0))))+1)),0)</f>
        <v/>
      </c>
      <c r="S1012">
        <f>IFERROR(O1012/N1012,0)</f>
        <v/>
      </c>
      <c r="T1012">
        <f>IF(C1012,(H1012*N1012*IF(AND(Inputs!$B$39&lt;&gt;"pvp",Inputs!$B$44&gt;0),((Skills!G9*((R1012-1)*IF(Skills!H9&gt;0,Skills!I9/Skills!H9,1)+IF(Skills!H9&gt;0,MIN(Skills!I9,MAX(0,MAX(0,Inputs!$B$44-B1048)-((R1012-1)*IF(Inputs!$B$39="pvp",15,MAX(0.1,Skills!D9-IF(Skills!E9=TRUE,Inputs!$B$32,0))))))/Skills!H9,1)))/Inputs!$B$44),G1012*Q1012))*IF(Inputs!$B$39="pvp",1,1+(Inputs!$B$20+((C1030=TRUE)*(F1030-Calc!F27))+Skills!P9+B1044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Hunt"),CHOOSE(ArtifactsInput!$N$35+1,15,18,21,24,27,30)*(1-EXP(-(0.2*B1039)*5)),0)+IF(AND(ArtifactsInput!$M$22,Inputs!$B$4&lt;&gt;"Chapter Hunt"),CHOOSE(ArtifactsInput!$N$22+1,10,12,14,16,18,20)*((0*(((0.15*B1039*5))^0/1)+1*(((0.15*B1039*5))^1/1)+2*(((0.15*B1039*5))^2/2)+3*(((0.15*B1039*5))^3/6)+4*(((0.15*B1039*5))^4/24)+5*(((0.15*B1039*5))^5/120))/((((0.15*B1039*5))^0/1)+(((0.15*B1039*5))^1/1)+(((0.15*B1039*5))^2/2)+(((0.15*B1039*5))^3/6)+(((0.15*B1039*5))^4/24)+(((0.15*B1039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1012*(1-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1012*(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1012*(1-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1012*(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12">
        <f>IF(C1012,(H1012*N1012*IF(AND(Inputs!$B$39&lt;&gt;"pvp",Inputs!$B$44&gt;0),((Skills!G9*((R1012-1)*IF(Skills!H9&gt;0,Skills!I9/Skills!H9,1)+IF(Skills!H9&gt;0,MIN(Skills!I9,MAX(0,MAX(0,Inputs!$B$44-B1048)-((R1012-1)*IF(Inputs!$B$39="pvp",15,MAX(0.1,Skills!D9-IF(Skills!E9=TRUE,Inputs!$B$32,0))))))/Skills!H9,1)))/Inputs!$B$44),G1012*Q1012))*IF(Inputs!$B$39="pvp",1,(1+(Inputs!$B$21+Skills!Q9+B1044+(IF(ArtifactsInput!$M$33,CHOOSE(ArtifactsInput!$N$33+1,30,36,42,48,54,60),0))+(IF(AND(ArtifactsInput!$M$35,Inputs!$B$4&lt;&gt;"Chapter Hunt"),CHOOSE(ArtifactsInput!$N$35+1,15,18,21,24,27,30)*(1-EXP(-(0.2*B1039)*5)),0)+IF(AND(ArtifactsInput!$M$22,Inputs!$B$4&lt;&gt;"Chapter Hunt"),CHOOSE(ArtifactsInput!$N$22+1,10,12,14,16,18,20)*((0*(((0.15*B1039*5))^0/1)+1*(((0.15*B1039*5))^1/1)+2*(((0.15*B1039*5))^2/2)+3*(((0.15*B1039*5))^3/6)+4*(((0.15*B1039*5))^4/24)+5*(((0.15*B1039*5))^5/120))/((((0.15*B1039*5))^0/1)+(((0.15*B1039*5))^1/1)+(((0.15*B1039*5))^2/2)+(((0.15*B1039*5))^3/6)+(((0.15*B1039*5))^4/24)+(((0.15*B1039*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13">
      <c r="A1013">
        <f>Skills!A10</f>
        <v/>
      </c>
      <c r="B1013">
        <f>Skills!B10</f>
        <v/>
      </c>
      <c r="C1013">
        <f>Inputs!$B$3&gt;=117</f>
        <v/>
      </c>
      <c r="D1013">
        <f>IF(Skills!C10=1,60+Inputs!$B$25+Inputs!$B$29,IF(Skills!C10=2,90+Inputs!$B$26+Inputs!$B$29,IF(Skills!C10=3,120+Inputs!$B$27+Inputs!$B$29,MAX(0,(Inputs!$B$3-100)*3)+(Inputs!$B$28+1)+Inputs!$B$29)))</f>
        <v/>
      </c>
      <c r="E1013">
        <f>INDEX(FactorTable!$B$2:$Y$301, MATCH(ROUND(MIN(300,MAX(1,D1013)),0), FactorTable!$A$2:$A$301,0), Skills!M10+1)</f>
        <v/>
      </c>
      <c r="F1013">
        <f>IF(Skills!N10=TRUE,(Skills!L10/10)*(E1013/1000),Skills!L10/10)+Skills!O10</f>
        <v/>
      </c>
      <c r="G1013">
        <f>Calc!G10</f>
        <v/>
      </c>
      <c r="H1013">
        <f>Calc!H10</f>
        <v/>
      </c>
      <c r="I1013">
        <f>IF(Skills!AA10&lt;&gt;"",1+(Skills!AA10/10)*(U1006/1000)/100,1)</f>
        <v/>
      </c>
      <c r="J1013">
        <f>((Inputs!$B$6*(1+Inputs!$B$7/100))+(((Inputs!$B$12*(1+Inputs!$B$13/100))-(Inputs!$B$12*(1+Inputs!$B$13/100)))+0.25*(Inputs!$B$14-Inputs!$B$14))*(1+Inputs!$B$7/100))*(F1013/100)</f>
        <v/>
      </c>
      <c r="K1013">
        <f>J1013*(1+((Inputs!$B$12*(1+Inputs!$B$13/100))*0.01+Inputs!$B$14*0.0025)/100)*(1+Inputs!$B$15/100)*(1+Inputs!$B$16/100)*(5000/(6000+Inputs!$B$43*(1-(100*(1-(1-(Inputs!$B$19+0)/100)*(1-CHOOSE(ArtifactsInput!$N$40+1,5,6,7,8,9,10)/100)^(ArtifactsInput!$M$40-ArtifactsInput!$M$40)))/100)))*(1+(Inputs!$B$24+((C1033=TRUE)*(F1033-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1026=TRUE)*(F1026-Calc!F23))+(((IF(AND(ArtifactsInput!$M$42,((Inputs!$B$9+((C1028=TRUE)*(F1028-Calc!F25))+B1043+(ArtifactsInput!$M$24-ArtifactsInput!$M$24)*CHOOSE(ArtifactsInput!$N$24+1,10,12,14,16,18,20)+IF(ArtifactsInput!$M$10,CHOOSE(ArtifactsInput!$N$10+1,15,18,21,24,27,30)*(IF(Inputs!$B$39="pvp",MIN(15,15)/15,IF(AND(Inputs!$B$39&lt;&gt;"pvp",Inputs!$B$44&gt;0),MIN(15,Inputs!$B$44)/(Inputs!$B$44),0))),0)))&gt;=100),MIN(100,((Inputs!$B$9+((C1028=TRUE)*(F1028-Calc!F25))+B1043+(ArtifactsInput!$M$24-ArtifactsInput!$M$24)*CHOOSE(ArtifactsInput!$N$24+1,10,12,14,16,18,20)+IF(ArtifactsInput!$M$10,CHOOSE(ArtifactsInput!$N$10+1,15,18,21,24,27,30)*(IF(Inputs!$B$39="pvp",MIN(15,15)/15,IF(AND(Inputs!$B$39&lt;&gt;"pvp",Inputs!$B$44&gt;0),MIN(15,Inputs!$B$44)/(Inputs!$B$44),0))),0)))-100),0))*CHOOSE(ArtifactsInput!$N$42+1,0.6,0.72,0.84,0.96,1.08,1.2))),Inputs!$B$18+((C1032=TRUE)*(F1032-Calc!F29))+(IF(AND(ArtifactsInput!$M$42,((Inputs!$B$9+((C1028=TRUE)*(F1028-Calc!F25))+B1043+(ArtifactsInput!$M$24-ArtifactsInput!$M$24)*CHOOSE(ArtifactsInput!$N$24+1,10,12,14,16,18,20)+IF(ArtifactsInput!$M$10,CHOOSE(ArtifactsInput!$N$10+1,15,18,21,24,27,30)*(IF(Inputs!$B$39="pvp",MIN(15,15)/15,IF(AND(Inputs!$B$39&lt;&gt;"pvp",Inputs!$B$44&gt;0),MIN(15,Inputs!$B$44)/(Inputs!$B$44),0))),0)))&gt;=100),CHOOSE(ArtifactsInput!$N$42+1,40,48,56,64,72,80),0))))/100)*(((1+(((C1024=TRUE)*F1024*IF(AND(Inputs!$B$39&lt;&gt;"pvp",Inputs!$B$44&gt;0),(((R1024-1)*(Skills!Y21*(1+Inputs!$B$34/100))+MIN((Skills!Y21*(1+Inputs!$B$34/100)),MAX(0,Inputs!$B$44-((R1024-1)*Skills!D21))))/Inputs!$B$44),IF(Inputs!$B$39="pvp",MIN((Skills!Y21*(1+Inputs!$B$34/100)),15)/15,(Skills!Y21*(1+Inputs!$B$34/100))/Skills!D21)))+((C1031=TRUE)*(F1031-Calc!F28))+((C1021=TRUE)*(F1021-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1018=TRUE)*F1018*IF(AND(Inputs!$B$39&lt;&gt;"pvp",Inputs!$B$44&gt;0),(((R1018-1)*(Skills!Y15*(1+Inputs!$B$34/100))+MIN((Skills!Y15*(1+Inputs!$B$34/100)),MAX(0,Inputs!$B$44-((R1018-1)*Skills!D15))))/Inputs!$B$44),IF(Inputs!$B$39="pvp",MIN((Skills!Y15*(1+Inputs!$B$34/100)),15)/15,(Skills!Y15*(1+Inputs!$B$34/100))/Skills!D15)))/100)*(1+((C1009=TRUE)*F1009*B1037)/100))*B1045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1013)</f>
        <v/>
      </c>
      <c r="L1013">
        <f>K1013*(MIN(Inputs!$B$22+((C1027=TRUE)*(F1027-Calc!F24)),(Inputs!$B$23+0+(IF(ArtifactsInput!$M$15,CHOOSE(ArtifactsInput!$N$15+1,25,30,35,40,45,50)/100*(Inputs!$B$11-Inputs!$B$11),0))))/100+(Inputs!$B$23+0+(IF(ArtifactsInput!$M$15,CHOOSE(ArtifactsInput!$N$15+1,25,30,35,40,45,50)/100*(Inputs!$B$11-Inputs!$B$11),0)))/100)/2</f>
        <v/>
      </c>
      <c r="M1013">
        <f>L1013*(1+(Inputs!$B$10+((C1029=TRUE)*(F1029-Calc!F26))+B1046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13">
        <f>L1013*(1-MIN((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1013*(MIN((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13">
        <f>(1-Summary!$B$11)*T1013+Summary!$B$11*V1013</f>
        <v/>
      </c>
      <c r="P1013">
        <f>IF(B1047=0,0,O1013/B1047)</f>
        <v/>
      </c>
      <c r="Q1013" t="n">
        <v>0</v>
      </c>
      <c r="R1013" t="n">
        <v>0</v>
      </c>
      <c r="S1013" t="n">
        <v>0</v>
      </c>
      <c r="T1013">
        <f>IF(C1013,(0.2*SUMPRODUCT((Skills!Z2:Z31=TRUE)*(C1005:C1034=TRUE)*S1005:S1034)*N1013)*IF(Inputs!$B$39="pvp",1,1+(Inputs!$B$20+((C1030=TRUE)*(F1030-Calc!F27))+Skills!P10+B1044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Hunt"),CHOOSE(ArtifactsInput!$N$35+1,15,18,21,24,27,30)*(1-EXP(-(0.2*B1039)*5)),0)+IF(AND(ArtifactsInput!$M$22,Inputs!$B$4&lt;&gt;"Chapter Hunt"),CHOOSE(ArtifactsInput!$N$22+1,10,12,14,16,18,20)*((0*(((0.15*B1039*5))^0/1)+1*(((0.15*B1039*5))^1/1)+2*(((0.15*B1039*5))^2/2)+3*(((0.15*B1039*5))^3/6)+4*(((0.15*B1039*5))^4/24)+5*(((0.15*B1039*5))^5/120))/((((0.15*B1039*5))^0/1)+(((0.15*B1039*5))^1/1)+(((0.15*B1039*5))^2/2)+(((0.15*B1039*5))^3/6)+(((0.15*B1039*5))^4/24)+(((0.15*B1039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1013*(1-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1013*(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1013*(1-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1013*(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13">
        <f>IF(C1013,(0.2*SUMPRODUCT((Skills!Z2:Z31=TRUE)*(C1005:C1034=TRUE)*S1005:S1034)*N1013)*IF(Inputs!$B$39="pvp",1,(1+(Inputs!$B$21+Skills!Q10+B1044+(IF(ArtifactsInput!$M$33,CHOOSE(ArtifactsInput!$N$33+1,30,36,42,48,54,60),0))+(IF(AND(ArtifactsInput!$M$35,Inputs!$B$4&lt;&gt;"Chapter Hunt"),CHOOSE(ArtifactsInput!$N$35+1,15,18,21,24,27,30)*(1-EXP(-(0.2*B1039)*5)),0)+IF(AND(ArtifactsInput!$M$22,Inputs!$B$4&lt;&gt;"Chapter Hunt"),CHOOSE(ArtifactsInput!$N$22+1,10,12,14,16,18,20)*((0*(((0.15*B1039*5))^0/1)+1*(((0.15*B1039*5))^1/1)+2*(((0.15*B1039*5))^2/2)+3*(((0.15*B1039*5))^3/6)+4*(((0.15*B1039*5))^4/24)+5*(((0.15*B1039*5))^5/120))/((((0.15*B1039*5))^0/1)+(((0.15*B1039*5))^1/1)+(((0.15*B1039*5))^2/2)+(((0.15*B1039*5))^3/6)+(((0.15*B1039*5))^4/24)+(((0.15*B1039*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14">
      <c r="A1014">
        <f>Skills!A11</f>
        <v/>
      </c>
      <c r="B1014">
        <f>Skills!B11</f>
        <v/>
      </c>
      <c r="C1014">
        <f>Inputs!$B$3&gt;=60</f>
        <v/>
      </c>
      <c r="D1014">
        <f>IF(Skills!C11=1,60+Inputs!$B$25+Inputs!$B$29,IF(Skills!C11=2,90+Inputs!$B$26+Inputs!$B$29,IF(Skills!C11=3,120+Inputs!$B$27+Inputs!$B$29,MAX(0,(Inputs!$B$3-100)*3)+(Inputs!$B$28+1)+Inputs!$B$29)))</f>
        <v/>
      </c>
      <c r="E1014">
        <f>INDEX(FactorTable!$B$2:$Y$301, MATCH(ROUND(MIN(300,MAX(1,D1014)),0), FactorTable!$A$2:$A$301,0), Skills!M11+1)</f>
        <v/>
      </c>
      <c r="F1014">
        <f>IF(Skills!N11=TRUE,(Skills!L11/10)*(E1014/1000),Skills!L11/10)+Skills!O11</f>
        <v/>
      </c>
      <c r="G1014">
        <f>Calc!G11</f>
        <v/>
      </c>
      <c r="H1014">
        <f>Calc!H11</f>
        <v/>
      </c>
      <c r="I1014">
        <f>IF(Skills!AA11&lt;&gt;"",1+(Skills!AA11/10)*(U1006/1000)/100,1)</f>
        <v/>
      </c>
      <c r="J1014" t="inlineStr"/>
      <c r="K1014" t="inlineStr"/>
      <c r="L1014" t="inlineStr"/>
      <c r="M1014" t="inlineStr"/>
      <c r="N1014" t="inlineStr"/>
      <c r="O1014">
        <f>(1-Summary!$B$11)*T1014+Summary!$B$11*V1014</f>
        <v/>
      </c>
      <c r="P1014">
        <f>IF(B1047=0,0,O1014/B1047)</f>
        <v/>
      </c>
      <c r="Q1014" t="n">
        <v>0</v>
      </c>
      <c r="R1014" t="n">
        <v>0</v>
      </c>
      <c r="S1014">
        <f>IFERROR(O1014/N1014,0)</f>
        <v/>
      </c>
      <c r="T1014" t="n">
        <v>0</v>
      </c>
      <c r="V1014" t="n">
        <v>0</v>
      </c>
    </row>
    <row r="1015">
      <c r="A1015">
        <f>Skills!A12</f>
        <v/>
      </c>
      <c r="B1015">
        <f>Skills!B12</f>
        <v/>
      </c>
      <c r="C1015">
        <f>Inputs!$B$3&gt;=103</f>
        <v/>
      </c>
      <c r="D1015">
        <f>IF(Skills!C12=1,60+Inputs!$B$25+Inputs!$B$29,IF(Skills!C12=2,90+Inputs!$B$26+Inputs!$B$29,IF(Skills!C12=3,120+Inputs!$B$27+Inputs!$B$29,MAX(0,(Inputs!$B$3-100)*3)+(Inputs!$B$28+1)+Inputs!$B$29)))</f>
        <v/>
      </c>
      <c r="E1015">
        <f>INDEX(FactorTable!$B$2:$Y$301, MATCH(ROUND(MIN(300,MAX(1,D1015)),0), FactorTable!$A$2:$A$301,0), Skills!M12+1)</f>
        <v/>
      </c>
      <c r="F1015">
        <f>IF(Skills!N12=TRUE,(Skills!L12/10)*(E1015/1000),Skills!L12/10)+Skills!O12</f>
        <v/>
      </c>
      <c r="G1015">
        <f>Calc!G12</f>
        <v/>
      </c>
      <c r="H1015">
        <f>Calc!H12</f>
        <v/>
      </c>
      <c r="I1015">
        <f>IF(Skills!AA12&lt;&gt;"",1+(Skills!AA12/10)*(U1006/1000)/100,1)</f>
        <v/>
      </c>
      <c r="J1015">
        <f>((Inputs!$B$6*(1+Inputs!$B$7/100))+(((Inputs!$B$12*(1+Inputs!$B$13/100))-(Inputs!$B$12*(1+Inputs!$B$13/100)))+0.25*(Inputs!$B$14-Inputs!$B$14))*(1+Inputs!$B$7/100))*(F1015/100)</f>
        <v/>
      </c>
      <c r="K1015">
        <f>J1015*(1+((Inputs!$B$12*(1+Inputs!$B$13/100))*0.01+Inputs!$B$14*0.0025)/100)*(1+Inputs!$B$15/100)*(1+Inputs!$B$16/100)*(5000/(6000+Inputs!$B$43*(1-(100*(1-(1-(Inputs!$B$19+0)/100)*(1-CHOOSE(ArtifactsInput!$N$40+1,5,6,7,8,9,10)/100)^(ArtifactsInput!$M$40-ArtifactsInput!$M$40)))/100)))*(1+(Inputs!$B$24+((C1033=TRUE)*(F1033-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1026=TRUE)*(F1026-Calc!F23))+(((IF(AND(ArtifactsInput!$M$42,((Inputs!$B$9+((C1028=TRUE)*(F1028-Calc!F25))+B1043+(ArtifactsInput!$M$24-ArtifactsInput!$M$24)*CHOOSE(ArtifactsInput!$N$24+1,10,12,14,16,18,20)+IF(ArtifactsInput!$M$10,CHOOSE(ArtifactsInput!$N$10+1,15,18,21,24,27,30)*(IF(Inputs!$B$39="pvp",MIN(15,15)/15,IF(AND(Inputs!$B$39&lt;&gt;"pvp",Inputs!$B$44&gt;0),MIN(15,Inputs!$B$44)/(Inputs!$B$44),0))),0)))&gt;=100),MIN(100,((Inputs!$B$9+((C1028=TRUE)*(F1028-Calc!F25))+B1043+(ArtifactsInput!$M$24-ArtifactsInput!$M$24)*CHOOSE(ArtifactsInput!$N$24+1,10,12,14,16,18,20)+IF(ArtifactsInput!$M$10,CHOOSE(ArtifactsInput!$N$10+1,15,18,21,24,27,30)*(IF(Inputs!$B$39="pvp",MIN(15,15)/15,IF(AND(Inputs!$B$39&lt;&gt;"pvp",Inputs!$B$44&gt;0),MIN(15,Inputs!$B$44)/(Inputs!$B$44),0))),0)))-100),0))*CHOOSE(ArtifactsInput!$N$42+1,0.6,0.72,0.84,0.96,1.08,1.2))),Inputs!$B$18+((C1032=TRUE)*(F1032-Calc!F29))+(IF(AND(ArtifactsInput!$M$42,((Inputs!$B$9+((C1028=TRUE)*(F1028-Calc!F25))+B1043+(ArtifactsInput!$M$24-ArtifactsInput!$M$24)*CHOOSE(ArtifactsInput!$N$24+1,10,12,14,16,18,20)+IF(ArtifactsInput!$M$10,CHOOSE(ArtifactsInput!$N$10+1,15,18,21,24,27,30)*(IF(Inputs!$B$39="pvp",MIN(15,15)/15,IF(AND(Inputs!$B$39&lt;&gt;"pvp",Inputs!$B$44&gt;0),MIN(15,Inputs!$B$44)/(Inputs!$B$44),0))),0)))&gt;=100),CHOOSE(ArtifactsInput!$N$42+1,40,48,56,64,72,80),0))))/100)*(((1+(((C1024=TRUE)*F1024*IF(AND(Inputs!$B$39&lt;&gt;"pvp",Inputs!$B$44&gt;0),(((R1024-1)*(Skills!Y21*(1+Inputs!$B$34/100))+MIN((Skills!Y21*(1+Inputs!$B$34/100)),MAX(0,Inputs!$B$44-((R1024-1)*Skills!D21))))/Inputs!$B$44),IF(Inputs!$B$39="pvp",MIN((Skills!Y21*(1+Inputs!$B$34/100)),15)/15,(Skills!Y21*(1+Inputs!$B$34/100))/Skills!D21)))+((C1031=TRUE)*(F1031-Calc!F28))+((C1021=TRUE)*(F1021-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1018=TRUE)*F1018*IF(AND(Inputs!$B$39&lt;&gt;"pvp",Inputs!$B$44&gt;0),(((R1018-1)*(Skills!Y15*(1+Inputs!$B$34/100))+MIN((Skills!Y15*(1+Inputs!$B$34/100)),MAX(0,Inputs!$B$44-((R1018-1)*Skills!D15))))/Inputs!$B$44),IF(Inputs!$B$39="pvp",MIN((Skills!Y15*(1+Inputs!$B$34/100)),15)/15,(Skills!Y15*(1+Inputs!$B$34/100))/Skills!D15)))/100)*(1+((C1009=TRUE)*F1009*B1037)/100))*B1045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1015)</f>
        <v/>
      </c>
      <c r="L1015">
        <f>K1015*(MIN(Inputs!$B$22+((C1027=TRUE)*(F1027-Calc!F24)),(Inputs!$B$23+0+(IF(ArtifactsInput!$M$15,CHOOSE(ArtifactsInput!$N$15+1,25,30,35,40,45,50)/100*(Inputs!$B$11-Inputs!$B$11),0))))/100+(Inputs!$B$23+0+(IF(ArtifactsInput!$M$15,CHOOSE(ArtifactsInput!$N$15+1,25,30,35,40,45,50)/100*(Inputs!$B$11-Inputs!$B$11),0)))/100)/2</f>
        <v/>
      </c>
      <c r="M1015">
        <f>L1015*(1+(Inputs!$B$10+((C1029=TRUE)*(F1029-Calc!F26))+B1046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15">
        <f>L1015*(1-MIN((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1015*(MIN((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15">
        <f>(1-Summary!$B$11)*T1015+Summary!$B$11*V1015</f>
        <v/>
      </c>
      <c r="P1015">
        <f>IF(B1047=0,0,O1015/B1047)</f>
        <v/>
      </c>
      <c r="Q1015">
        <f>IFERROR(1/IF(Inputs!$B$39="pvp",15,MAX(0.1,Skills!D12-IF(Skills!E12=TRUE,Inputs!$B$32,0))),0)</f>
        <v/>
      </c>
      <c r="R1015">
        <f>IF(AND(Inputs!$B$39&lt;&gt;"pvp",Inputs!$B$44&gt;0),IF(MAX(0,Inputs!$B$44-B1048)&lt;=0,0,(INT(MAX(0,Inputs!$B$44-B1048)/IF(Inputs!$B$39="pvp",15,MAX(0.1,Skills!D12-IF(Skills!E12=TRUE,Inputs!$B$32,0))))+1)),0)</f>
        <v/>
      </c>
      <c r="S1015">
        <f>IFERROR(O1015/N1015,0)</f>
        <v/>
      </c>
      <c r="T1015">
        <f>IF(C1015,(H1015*N1015*IF(AND(Inputs!$B$39&lt;&gt;"pvp",Inputs!$B$44&gt;0),((Skills!G12*((R1015-1)*IF(Skills!H12&gt;0,Skills!I12/Skills!H12,1)+IF(Skills!H12&gt;0,MIN(Skills!I12,MAX(0,MAX(0,Inputs!$B$44-B1048)-((R1015-1)*IF(Inputs!$B$39="pvp",15,MAX(0.1,Skills!D12-IF(Skills!E12=TRUE,Inputs!$B$32,0))))))/Skills!H12,1)))/Inputs!$B$44),G1015*Q1015))*IF(Inputs!$B$39="pvp",1,1+(Inputs!$B$20+((C1030=TRUE)*(F1030-Calc!F27))+Skills!P12+B1044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Hunt"),CHOOSE(ArtifactsInput!$N$35+1,15,18,21,24,27,30)*(1-EXP(-(0.2*B1039)*5)),0)+IF(AND(ArtifactsInput!$M$22,Inputs!$B$4&lt;&gt;"Chapter Hunt"),CHOOSE(ArtifactsInput!$N$22+1,10,12,14,16,18,20)*((0*(((0.15*B1039*5))^0/1)+1*(((0.15*B1039*5))^1/1)+2*(((0.15*B1039*5))^2/2)+3*(((0.15*B1039*5))^3/6)+4*(((0.15*B1039*5))^4/24)+5*(((0.15*B1039*5))^5/120))/((((0.15*B1039*5))^0/1)+(((0.15*B1039*5))^1/1)+(((0.15*B1039*5))^2/2)+(((0.15*B1039*5))^3/6)+(((0.15*B1039*5))^4/24)+(((0.15*B1039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1015*(1-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1015*(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1015*(1-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1015*(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15">
        <f>IF(C1015,(H1015*N1015*IF(AND(Inputs!$B$39&lt;&gt;"pvp",Inputs!$B$44&gt;0),((Skills!G12*((R1015-1)*IF(Skills!H12&gt;0,Skills!I12/Skills!H12,1)+IF(Skills!H12&gt;0,MIN(Skills!I12,MAX(0,MAX(0,Inputs!$B$44-B1048)-((R1015-1)*IF(Inputs!$B$39="pvp",15,MAX(0.1,Skills!D12-IF(Skills!E12=TRUE,Inputs!$B$32,0))))))/Skills!H12,1)))/Inputs!$B$44),G1015*Q1015))*IF(Inputs!$B$39="pvp",1,(1+(Inputs!$B$21+Skills!Q12+B1044+(IF(ArtifactsInput!$M$33,CHOOSE(ArtifactsInput!$N$33+1,30,36,42,48,54,60),0))+(IF(AND(ArtifactsInput!$M$35,Inputs!$B$4&lt;&gt;"Chapter Hunt"),CHOOSE(ArtifactsInput!$N$35+1,15,18,21,24,27,30)*(1-EXP(-(0.2*B1039)*5)),0)+IF(AND(ArtifactsInput!$M$22,Inputs!$B$4&lt;&gt;"Chapter Hunt"),CHOOSE(ArtifactsInput!$N$22+1,10,12,14,16,18,20)*((0*(((0.15*B1039*5))^0/1)+1*(((0.15*B1039*5))^1/1)+2*(((0.15*B1039*5))^2/2)+3*(((0.15*B1039*5))^3/6)+4*(((0.15*B1039*5))^4/24)+5*(((0.15*B1039*5))^5/120))/((((0.15*B1039*5))^0/1)+(((0.15*B1039*5))^1/1)+(((0.15*B1039*5))^2/2)+(((0.15*B1039*5))^3/6)+(((0.15*B1039*5))^4/24)+(((0.15*B1039*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16">
      <c r="A1016">
        <f>Skills!A13</f>
        <v/>
      </c>
      <c r="B1016">
        <f>Skills!B13</f>
        <v/>
      </c>
      <c r="C1016">
        <f>Inputs!$B$3&gt;=105</f>
        <v/>
      </c>
      <c r="D1016">
        <f>IF(Skills!C13=1,60+Inputs!$B$25+Inputs!$B$29,IF(Skills!C13=2,90+Inputs!$B$26+Inputs!$B$29,IF(Skills!C13=3,120+Inputs!$B$27+Inputs!$B$29,MAX(0,(Inputs!$B$3-100)*3)+(Inputs!$B$28+1)+Inputs!$B$29)))</f>
        <v/>
      </c>
      <c r="E1016">
        <f>INDEX(FactorTable!$B$2:$Y$301, MATCH(ROUND(MIN(300,MAX(1,D1016)),0), FactorTable!$A$2:$A$301,0), Skills!M13+1)</f>
        <v/>
      </c>
      <c r="F1016">
        <f>IF(Skills!N13=TRUE,(Skills!L13/10)*(E1016/1000),Skills!L13/10)+Skills!O13</f>
        <v/>
      </c>
      <c r="G1016">
        <f>Calc!G13</f>
        <v/>
      </c>
      <c r="H1016">
        <f>Calc!H13</f>
        <v/>
      </c>
      <c r="I1016">
        <f>IF(Skills!AA13&lt;&gt;"",1+(Skills!AA13/10)*(U1006/1000)/100,1)</f>
        <v/>
      </c>
      <c r="J1016">
        <f>((Inputs!$B$6*(1+Inputs!$B$7/100))+(((Inputs!$B$12*(1+Inputs!$B$13/100))-(Inputs!$B$12*(1+Inputs!$B$13/100)))+0.25*(Inputs!$B$14-Inputs!$B$14))*(1+Inputs!$B$7/100))*(F1016/100)</f>
        <v/>
      </c>
      <c r="K1016">
        <f>J1016*(1+((Inputs!$B$12*(1+Inputs!$B$13/100))*0.01+Inputs!$B$14*0.0025)/100)*(1+Inputs!$B$15/100)*(1+Inputs!$B$16/100)*(5000/(6000+Inputs!$B$43*(1-(100*(1-(1-(Inputs!$B$19+0)/100)*(1-CHOOSE(ArtifactsInput!$N$40+1,5,6,7,8,9,10)/100)^(ArtifactsInput!$M$40-ArtifactsInput!$M$40)))/100)))*(1+(Inputs!$B$24+((C1033=TRUE)*(F1033-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1026=TRUE)*(F1026-Calc!F23))+(((IF(AND(ArtifactsInput!$M$42,((Inputs!$B$9+((C1028=TRUE)*(F1028-Calc!F25))+B1043+(ArtifactsInput!$M$24-ArtifactsInput!$M$24)*CHOOSE(ArtifactsInput!$N$24+1,10,12,14,16,18,20)+IF(ArtifactsInput!$M$10,CHOOSE(ArtifactsInput!$N$10+1,15,18,21,24,27,30)*(IF(Inputs!$B$39="pvp",MIN(15,15)/15,IF(AND(Inputs!$B$39&lt;&gt;"pvp",Inputs!$B$44&gt;0),MIN(15,Inputs!$B$44)/(Inputs!$B$44),0))),0)))&gt;=100),MIN(100,((Inputs!$B$9+((C1028=TRUE)*(F1028-Calc!F25))+B1043+(ArtifactsInput!$M$24-ArtifactsInput!$M$24)*CHOOSE(ArtifactsInput!$N$24+1,10,12,14,16,18,20)+IF(ArtifactsInput!$M$10,CHOOSE(ArtifactsInput!$N$10+1,15,18,21,24,27,30)*(IF(Inputs!$B$39="pvp",MIN(15,15)/15,IF(AND(Inputs!$B$39&lt;&gt;"pvp",Inputs!$B$44&gt;0),MIN(15,Inputs!$B$44)/(Inputs!$B$44),0))),0)))-100),0))*CHOOSE(ArtifactsInput!$N$42+1,0.6,0.72,0.84,0.96,1.08,1.2))),Inputs!$B$18+((C1032=TRUE)*(F1032-Calc!F29))+(IF(AND(ArtifactsInput!$M$42,((Inputs!$B$9+((C1028=TRUE)*(F1028-Calc!F25))+B1043+(ArtifactsInput!$M$24-ArtifactsInput!$M$24)*CHOOSE(ArtifactsInput!$N$24+1,10,12,14,16,18,20)+IF(ArtifactsInput!$M$10,CHOOSE(ArtifactsInput!$N$10+1,15,18,21,24,27,30)*(IF(Inputs!$B$39="pvp",MIN(15,15)/15,IF(AND(Inputs!$B$39&lt;&gt;"pvp",Inputs!$B$44&gt;0),MIN(15,Inputs!$B$44)/(Inputs!$B$44),0))),0)))&gt;=100),CHOOSE(ArtifactsInput!$N$42+1,40,48,56,64,72,80),0))))/100)*(((1+(((C1024=TRUE)*F1024*IF(AND(Inputs!$B$39&lt;&gt;"pvp",Inputs!$B$44&gt;0),(((R1024-1)*(Skills!Y21*(1+Inputs!$B$34/100))+MIN((Skills!Y21*(1+Inputs!$B$34/100)),MAX(0,Inputs!$B$44-((R1024-1)*Skills!D21))))/Inputs!$B$44),IF(Inputs!$B$39="pvp",MIN((Skills!Y21*(1+Inputs!$B$34/100)),15)/15,(Skills!Y21*(1+Inputs!$B$34/100))/Skills!D21)))+((C1031=TRUE)*(F1031-Calc!F28))+((C1021=TRUE)*(F1021-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1018=TRUE)*F1018*IF(AND(Inputs!$B$39&lt;&gt;"pvp",Inputs!$B$44&gt;0),(((R1018-1)*(Skills!Y15*(1+Inputs!$B$34/100))+MIN((Skills!Y15*(1+Inputs!$B$34/100)),MAX(0,Inputs!$B$44-((R1018-1)*Skills!D15))))/Inputs!$B$44),IF(Inputs!$B$39="pvp",MIN((Skills!Y15*(1+Inputs!$B$34/100)),15)/15,(Skills!Y15*(1+Inputs!$B$34/100))/Skills!D15)))/100)*(1+((C1009=TRUE)*F1009*B1037)/100))*B1045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1016)</f>
        <v/>
      </c>
      <c r="L1016">
        <f>K1016*(MIN(Inputs!$B$22+((C1027=TRUE)*(F1027-Calc!F24)),(Inputs!$B$23+0+(IF(ArtifactsInput!$M$15,CHOOSE(ArtifactsInput!$N$15+1,25,30,35,40,45,50)/100*(Inputs!$B$11-Inputs!$B$11),0))))/100+(Inputs!$B$23+0+(IF(ArtifactsInput!$M$15,CHOOSE(ArtifactsInput!$N$15+1,25,30,35,40,45,50)/100*(Inputs!$B$11-Inputs!$B$11),0)))/100)/2</f>
        <v/>
      </c>
      <c r="M1016">
        <f>L1016*(1+(Inputs!$B$10+((C1029=TRUE)*(F1029-Calc!F26))+B1046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16">
        <f>L1016*(1-MIN((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1016*(MIN((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16">
        <f>(1-Summary!$B$11)*T1016+Summary!$B$11*V1016</f>
        <v/>
      </c>
      <c r="P1016">
        <f>IF(B1047=0,0,O1016/B1047)</f>
        <v/>
      </c>
      <c r="Q1016">
        <f>IFERROR(1/IF(Inputs!$B$39="pvp",15,MAX(0.1,Skills!D13-IF(Skills!E13=TRUE,Inputs!$B$32,0))),0)</f>
        <v/>
      </c>
      <c r="R1016">
        <f>IF(AND(Inputs!$B$39&lt;&gt;"pvp",Inputs!$B$44&gt;0),IF(MAX(0,Inputs!$B$44-B1048)&lt;=0,0,(INT(MAX(0,Inputs!$B$44-B1048)/IF(Inputs!$B$39="pvp",15,MAX(0.1,Skills!D13-IF(Skills!E13=TRUE,Inputs!$B$32,0))))+1)),0)</f>
        <v/>
      </c>
      <c r="S1016">
        <f>IFERROR(O1016/N1016,0)</f>
        <v/>
      </c>
      <c r="T1016">
        <f>IF(C1016,(H1016*N1016*IF(AND(Inputs!$B$39&lt;&gt;"pvp",Inputs!$B$44&gt;0),((Skills!G13*((R1016-1)*IF(Skills!H13&gt;0,Skills!I13/Skills!H13,1)+IF(Skills!H13&gt;0,MIN(Skills!I13,MAX(0,MAX(0,Inputs!$B$44-B1048)-((R1016-1)*IF(Inputs!$B$39="pvp",15,MAX(0.1,Skills!D13-IF(Skills!E13=TRUE,Inputs!$B$32,0))))))/Skills!H13,1)))/Inputs!$B$44),G1016*Q1016))*IF(Inputs!$B$39="pvp",1,1+(Inputs!$B$20+((C1030=TRUE)*(F1030-Calc!F27))+Skills!P13+B1044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Hunt"),CHOOSE(ArtifactsInput!$N$35+1,15,18,21,24,27,30)*(1-EXP(-(0.2*B1039)*5)),0)+IF(AND(ArtifactsInput!$M$22,Inputs!$B$4&lt;&gt;"Chapter Hunt"),CHOOSE(ArtifactsInput!$N$22+1,10,12,14,16,18,20)*((0*(((0.15*B1039*5))^0/1)+1*(((0.15*B1039*5))^1/1)+2*(((0.15*B1039*5))^2/2)+3*(((0.15*B1039*5))^3/6)+4*(((0.15*B1039*5))^4/24)+5*(((0.15*B1039*5))^5/120))/((((0.15*B1039*5))^0/1)+(((0.15*B1039*5))^1/1)+(((0.15*B1039*5))^2/2)+(((0.15*B1039*5))^3/6)+(((0.15*B1039*5))^4/24)+(((0.15*B1039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1016*(1-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1016*(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1016*(1-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1016*(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16">
        <f>IF(C1016,(H1016*N1016*IF(AND(Inputs!$B$39&lt;&gt;"pvp",Inputs!$B$44&gt;0),((Skills!G13*((R1016-1)*IF(Skills!H13&gt;0,Skills!I13/Skills!H13,1)+IF(Skills!H13&gt;0,MIN(Skills!I13,MAX(0,MAX(0,Inputs!$B$44-B1048)-((R1016-1)*IF(Inputs!$B$39="pvp",15,MAX(0.1,Skills!D13-IF(Skills!E13=TRUE,Inputs!$B$32,0))))))/Skills!H13,1)))/Inputs!$B$44),G1016*Q1016))*IF(Inputs!$B$39="pvp",1,(1+(Inputs!$B$21+Skills!Q13+B1044+(IF(ArtifactsInput!$M$33,CHOOSE(ArtifactsInput!$N$33+1,30,36,42,48,54,60),0))+(IF(AND(ArtifactsInput!$M$35,Inputs!$B$4&lt;&gt;"Chapter Hunt"),CHOOSE(ArtifactsInput!$N$35+1,15,18,21,24,27,30)*(1-EXP(-(0.2*B1039)*5)),0)+IF(AND(ArtifactsInput!$M$22,Inputs!$B$4&lt;&gt;"Chapter Hunt"),CHOOSE(ArtifactsInput!$N$22+1,10,12,14,16,18,20)*((0*(((0.15*B1039*5))^0/1)+1*(((0.15*B1039*5))^1/1)+2*(((0.15*B1039*5))^2/2)+3*(((0.15*B1039*5))^3/6)+4*(((0.15*B1039*5))^4/24)+5*(((0.15*B1039*5))^5/120))/((((0.15*B1039*5))^0/1)+(((0.15*B1039*5))^1/1)+(((0.15*B1039*5))^2/2)+(((0.15*B1039*5))^3/6)+(((0.15*B1039*5))^4/24)+(((0.15*B1039*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17">
      <c r="A1017">
        <f>Skills!A14</f>
        <v/>
      </c>
      <c r="B1017">
        <f>Skills!B14</f>
        <v/>
      </c>
      <c r="C1017">
        <f>Inputs!$B$3&gt;=105</f>
        <v/>
      </c>
      <c r="D1017">
        <f>IF(Skills!C14=1,60+Inputs!$B$25+Inputs!$B$29,IF(Skills!C14=2,90+Inputs!$B$26+Inputs!$B$29,IF(Skills!C14=3,120+Inputs!$B$27+Inputs!$B$29,MAX(0,(Inputs!$B$3-100)*3)+(Inputs!$B$28+1)+Inputs!$B$29)))</f>
        <v/>
      </c>
      <c r="E1017">
        <f>INDEX(FactorTable!$B$2:$Y$301, MATCH(ROUND(MIN(300,MAX(1,D1017)),0), FactorTable!$A$2:$A$301,0), Skills!M14+1)</f>
        <v/>
      </c>
      <c r="F1017">
        <f>IF(Skills!N14=TRUE,(Skills!L14/10)*(E1017/1000),Skills!L14/10)+Skills!O14</f>
        <v/>
      </c>
      <c r="G1017">
        <f>Calc!G14</f>
        <v/>
      </c>
      <c r="H1017">
        <f>Calc!H14</f>
        <v/>
      </c>
      <c r="I1017">
        <f>IF(Skills!AA14&lt;&gt;"",1+(Skills!AA14/10)*(U1006/1000)/100,1)</f>
        <v/>
      </c>
      <c r="J1017">
        <f>((Inputs!$B$6*(1+Inputs!$B$7/100))+(((Inputs!$B$12*(1+Inputs!$B$13/100))-(Inputs!$B$12*(1+Inputs!$B$13/100)))+0.25*(Inputs!$B$14-Inputs!$B$14))*(1+Inputs!$B$7/100))*(F1017/100)</f>
        <v/>
      </c>
      <c r="K1017">
        <f>J1017*(1+((Inputs!$B$12*(1+Inputs!$B$13/100))*0.01+Inputs!$B$14*0.0025)/100)*(1+Inputs!$B$15/100)*(1+Inputs!$B$16/100)*(5000/(6000+Inputs!$B$43*(1-(100*(1-(1-(Inputs!$B$19+0)/100)*(1-CHOOSE(ArtifactsInput!$N$40+1,5,6,7,8,9,10)/100)^(ArtifactsInput!$M$40-ArtifactsInput!$M$40)))/100)))*(1+(Inputs!$B$24+((C1033=TRUE)*(F1033-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1026=TRUE)*(F1026-Calc!F23))+(((IF(AND(ArtifactsInput!$M$42,((Inputs!$B$9+((C1028=TRUE)*(F1028-Calc!F25))+B1043+(ArtifactsInput!$M$24-ArtifactsInput!$M$24)*CHOOSE(ArtifactsInput!$N$24+1,10,12,14,16,18,20)+IF(ArtifactsInput!$M$10,CHOOSE(ArtifactsInput!$N$10+1,15,18,21,24,27,30)*(IF(Inputs!$B$39="pvp",MIN(15,15)/15,IF(AND(Inputs!$B$39&lt;&gt;"pvp",Inputs!$B$44&gt;0),MIN(15,Inputs!$B$44)/(Inputs!$B$44),0))),0)))&gt;=100),MIN(100,((Inputs!$B$9+((C1028=TRUE)*(F1028-Calc!F25))+B1043+(ArtifactsInput!$M$24-ArtifactsInput!$M$24)*CHOOSE(ArtifactsInput!$N$24+1,10,12,14,16,18,20)+IF(ArtifactsInput!$M$10,CHOOSE(ArtifactsInput!$N$10+1,15,18,21,24,27,30)*(IF(Inputs!$B$39="pvp",MIN(15,15)/15,IF(AND(Inputs!$B$39&lt;&gt;"pvp",Inputs!$B$44&gt;0),MIN(15,Inputs!$B$44)/(Inputs!$B$44),0))),0)))-100),0))*CHOOSE(ArtifactsInput!$N$42+1,0.6,0.72,0.84,0.96,1.08,1.2))),Inputs!$B$18+((C1032=TRUE)*(F1032-Calc!F29))+(IF(AND(ArtifactsInput!$M$42,((Inputs!$B$9+((C1028=TRUE)*(F1028-Calc!F25))+B1043+(ArtifactsInput!$M$24-ArtifactsInput!$M$24)*CHOOSE(ArtifactsInput!$N$24+1,10,12,14,16,18,20)+IF(ArtifactsInput!$M$10,CHOOSE(ArtifactsInput!$N$10+1,15,18,21,24,27,30)*(IF(Inputs!$B$39="pvp",MIN(15,15)/15,IF(AND(Inputs!$B$39&lt;&gt;"pvp",Inputs!$B$44&gt;0),MIN(15,Inputs!$B$44)/(Inputs!$B$44),0))),0)))&gt;=100),CHOOSE(ArtifactsInput!$N$42+1,40,48,56,64,72,80),0))))/100)*(((1+(((C1024=TRUE)*F1024*IF(AND(Inputs!$B$39&lt;&gt;"pvp",Inputs!$B$44&gt;0),(((R1024-1)*(Skills!Y21*(1+Inputs!$B$34/100))+MIN((Skills!Y21*(1+Inputs!$B$34/100)),MAX(0,Inputs!$B$44-((R1024-1)*Skills!D21))))/Inputs!$B$44),IF(Inputs!$B$39="pvp",MIN((Skills!Y21*(1+Inputs!$B$34/100)),15)/15,(Skills!Y21*(1+Inputs!$B$34/100))/Skills!D21)))+((C1031=TRUE)*(F1031-Calc!F28))+((C1021=TRUE)*(F1021-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1018=TRUE)*F1018*IF(AND(Inputs!$B$39&lt;&gt;"pvp",Inputs!$B$44&gt;0),(((R1018-1)*(Skills!Y15*(1+Inputs!$B$34/100))+MIN((Skills!Y15*(1+Inputs!$B$34/100)),MAX(0,Inputs!$B$44-((R1018-1)*Skills!D15))))/Inputs!$B$44),IF(Inputs!$B$39="pvp",MIN((Skills!Y15*(1+Inputs!$B$34/100)),15)/15,(Skills!Y15*(1+Inputs!$B$34/100))/Skills!D15)))/100)*(1+((C1009=TRUE)*F1009*B1037)/100))*B1045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1017)</f>
        <v/>
      </c>
      <c r="L1017">
        <f>K1017*(MIN(Inputs!$B$22+((C1027=TRUE)*(F1027-Calc!F24)),(Inputs!$B$23+0+(IF(ArtifactsInput!$M$15,CHOOSE(ArtifactsInput!$N$15+1,25,30,35,40,45,50)/100*(Inputs!$B$11-Inputs!$B$11),0))))/100+(Inputs!$B$23+0+(IF(ArtifactsInput!$M$15,CHOOSE(ArtifactsInput!$N$15+1,25,30,35,40,45,50)/100*(Inputs!$B$11-Inputs!$B$11),0)))/100)/2</f>
        <v/>
      </c>
      <c r="M1017">
        <f>L1017*(1+(Inputs!$B$10+((C1029=TRUE)*(F1029-Calc!F26))+B1046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17">
        <f>L1017*(1-MIN((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1017*(MIN((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17">
        <f>(1-Summary!$B$11)*T1017+Summary!$B$11*V1017</f>
        <v/>
      </c>
      <c r="P1017">
        <f>IF(B1047=0,0,O1017/B1047)</f>
        <v/>
      </c>
      <c r="Q1017">
        <f>IFERROR(1/IF(Inputs!$B$39="pvp",15,MAX(0.1,Skills!D14-IF(Skills!E14=TRUE,Inputs!$B$32,0))),0)</f>
        <v/>
      </c>
      <c r="R1017">
        <f>IF(AND(Inputs!$B$39&lt;&gt;"pvp",Inputs!$B$44&gt;0),IF(MAX(0,Inputs!$B$44-B1048)&lt;=0,0,(INT(MAX(0,Inputs!$B$44-B1048)/IF(Inputs!$B$39="pvp",15,MAX(0.1,Skills!D14-IF(Skills!E14=TRUE,Inputs!$B$32,0))))+1)),0)</f>
        <v/>
      </c>
      <c r="S1017">
        <f>IFERROR(O1017/N1017,0)</f>
        <v/>
      </c>
      <c r="T1017">
        <f>IF(C1017,(H1017*N1017*IF(AND(Inputs!$B$39&lt;&gt;"pvp",Inputs!$B$44&gt;0),((Skills!G14*((R1017-1)*IF(Skills!H14&gt;0,Skills!I14/Skills!H14,1)+IF(Skills!H14&gt;0,MIN(Skills!I14,MAX(0,MAX(0,Inputs!$B$44-B1048)-((R1017-1)*IF(Inputs!$B$39="pvp",15,MAX(0.1,Skills!D14-IF(Skills!E14=TRUE,Inputs!$B$32,0))))))/Skills!H14,1)))/Inputs!$B$44),G1017*Q1017))*IF(Inputs!$B$39="pvp",1,1+(Inputs!$B$20+((C1030=TRUE)*(F1030-Calc!F27))+Skills!P14+B1044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Hunt"),CHOOSE(ArtifactsInput!$N$35+1,15,18,21,24,27,30)*(1-EXP(-(0.2*B1039)*5)),0)+IF(AND(ArtifactsInput!$M$22,Inputs!$B$4&lt;&gt;"Chapter Hunt"),CHOOSE(ArtifactsInput!$N$22+1,10,12,14,16,18,20)*((0*(((0.15*B1039*5))^0/1)+1*(((0.15*B1039*5))^1/1)+2*(((0.15*B1039*5))^2/2)+3*(((0.15*B1039*5))^3/6)+4*(((0.15*B1039*5))^4/24)+5*(((0.15*B1039*5))^5/120))/((((0.15*B1039*5))^0/1)+(((0.15*B1039*5))^1/1)+(((0.15*B1039*5))^2/2)+(((0.15*B1039*5))^3/6)+(((0.15*B1039*5))^4/24)+(((0.15*B1039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1017*(1-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1017*(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1017*(1-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1017*(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17">
        <f>IF(C1017,(H1017*N1017*IF(AND(Inputs!$B$39&lt;&gt;"pvp",Inputs!$B$44&gt;0),((Skills!G14*((R1017-1)*IF(Skills!H14&gt;0,Skills!I14/Skills!H14,1)+IF(Skills!H14&gt;0,MIN(Skills!I14,MAX(0,MAX(0,Inputs!$B$44-B1048)-((R1017-1)*IF(Inputs!$B$39="pvp",15,MAX(0.1,Skills!D14-IF(Skills!E14=TRUE,Inputs!$B$32,0))))))/Skills!H14,1)))/Inputs!$B$44),G1017*Q1017))*IF(Inputs!$B$39="pvp",1,(1+(Inputs!$B$21+Skills!Q14+B1044+(IF(ArtifactsInput!$M$33,CHOOSE(ArtifactsInput!$N$33+1,30,36,42,48,54,60),0))+(IF(AND(ArtifactsInput!$M$35,Inputs!$B$4&lt;&gt;"Chapter Hunt"),CHOOSE(ArtifactsInput!$N$35+1,15,18,21,24,27,30)*(1-EXP(-(0.2*B1039)*5)),0)+IF(AND(ArtifactsInput!$M$22,Inputs!$B$4&lt;&gt;"Chapter Hunt"),CHOOSE(ArtifactsInput!$N$22+1,10,12,14,16,18,20)*((0*(((0.15*B1039*5))^0/1)+1*(((0.15*B1039*5))^1/1)+2*(((0.15*B1039*5))^2/2)+3*(((0.15*B1039*5))^3/6)+4*(((0.15*B1039*5))^4/24)+5*(((0.15*B1039*5))^5/120))/((((0.15*B1039*5))^0/1)+(((0.15*B1039*5))^1/1)+(((0.15*B1039*5))^2/2)+(((0.15*B1039*5))^3/6)+(((0.15*B1039*5))^4/24)+(((0.15*B1039*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18">
      <c r="A1018">
        <f>Skills!A15</f>
        <v/>
      </c>
      <c r="B1018">
        <f>Skills!B15</f>
        <v/>
      </c>
      <c r="C1018">
        <f>Inputs!$B$3&gt;=110</f>
        <v/>
      </c>
      <c r="D1018">
        <f>IF(Skills!C15=1,60+Inputs!$B$25+Inputs!$B$29,IF(Skills!C15=2,90+Inputs!$B$26+Inputs!$B$29,IF(Skills!C15=3,120+Inputs!$B$27+Inputs!$B$29,MAX(0,(Inputs!$B$3-100)*3)+(Inputs!$B$28+1)+Inputs!$B$29)))</f>
        <v/>
      </c>
      <c r="E1018">
        <f>INDEX(FactorTable!$B$2:$Y$301, MATCH(ROUND(MIN(300,MAX(1,D1018)),0), FactorTable!$A$2:$A$301,0), Skills!M15+1)</f>
        <v/>
      </c>
      <c r="F1018">
        <f>IF(Skills!N15=TRUE,(Skills!L15/10)*(E1018/1000),Skills!L15/10)+Skills!O15</f>
        <v/>
      </c>
      <c r="G1018">
        <f>Calc!G15</f>
        <v/>
      </c>
      <c r="H1018">
        <f>Calc!H15</f>
        <v/>
      </c>
      <c r="I1018">
        <f>IF(Skills!AA15&lt;&gt;"",1+(Skills!AA15/10)*(U1006/1000)/100,1)</f>
        <v/>
      </c>
      <c r="J1018" t="inlineStr"/>
      <c r="K1018" t="inlineStr"/>
      <c r="L1018" t="inlineStr"/>
      <c r="M1018" t="inlineStr"/>
      <c r="N1018" t="inlineStr"/>
      <c r="O1018">
        <f>(1-Summary!$B$11)*T1018+Summary!$B$11*V1018</f>
        <v/>
      </c>
      <c r="P1018">
        <f>IF(B1047=0,0,O1018/B1047)</f>
        <v/>
      </c>
      <c r="Q1018">
        <f>IFERROR(1/IF(Inputs!$B$39="pvp",15,MAX(0.1,Skills!D15-IF(Skills!E15=TRUE,Inputs!$B$32,0))),0)</f>
        <v/>
      </c>
      <c r="R1018">
        <f>IF(AND(Inputs!$B$39&lt;&gt;"pvp",Inputs!$B$44&gt;0),IF(Inputs!$B$44&lt;=0,0,(INT(Inputs!$B$44/IF(Inputs!$B$39="pvp",15,MAX(0.1,Skills!D15-IF(Skills!E15=TRUE,Inputs!$B$32,0))))+1)),0)</f>
        <v/>
      </c>
      <c r="S1018">
        <f>IFERROR(O1018/N1018,0)</f>
        <v/>
      </c>
      <c r="T1018" t="n">
        <v>0</v>
      </c>
      <c r="V1018" t="n">
        <v>0</v>
      </c>
    </row>
    <row r="1019">
      <c r="A1019">
        <f>Skills!A16</f>
        <v/>
      </c>
      <c r="B1019">
        <f>Skills!B16</f>
        <v/>
      </c>
      <c r="C1019">
        <f>Inputs!$B$3&gt;=110</f>
        <v/>
      </c>
      <c r="D1019">
        <f>IF(Skills!C16=1,60+Inputs!$B$25+Inputs!$B$29,IF(Skills!C16=2,90+Inputs!$B$26+Inputs!$B$29,IF(Skills!C16=3,120+Inputs!$B$27+Inputs!$B$29,MAX(0,(Inputs!$B$3-100)*3)+(Inputs!$B$28+1)+Inputs!$B$29)))</f>
        <v/>
      </c>
      <c r="E1019">
        <f>INDEX(FactorTable!$B$2:$Y$301, MATCH(ROUND(MIN(300,MAX(1,D1019)),0), FactorTable!$A$2:$A$301,0), Skills!M16+1)</f>
        <v/>
      </c>
      <c r="F1019">
        <f>IF(Skills!N16=TRUE,(Skills!L16/10)*(E1019/1000),Skills!L16/10)+Skills!O16</f>
        <v/>
      </c>
      <c r="G1019">
        <f>Calc!G16</f>
        <v/>
      </c>
      <c r="H1019">
        <f>Calc!H16</f>
        <v/>
      </c>
      <c r="I1019">
        <f>IF(Skills!AA16&lt;&gt;"",1+(Skills!AA16/10)*(U1006/1000)/100,1)</f>
        <v/>
      </c>
      <c r="J1019" t="inlineStr"/>
      <c r="K1019" t="inlineStr"/>
      <c r="L1019" t="inlineStr"/>
      <c r="M1019" t="inlineStr"/>
      <c r="N1019" t="inlineStr"/>
      <c r="O1019">
        <f>(1-Summary!$B$11)*T1019+Summary!$B$11*V1019</f>
        <v/>
      </c>
      <c r="P1019">
        <f>IF(B1047=0,0,O1019/B1047)</f>
        <v/>
      </c>
      <c r="Q1019">
        <f>IFERROR(1/IF(Inputs!$B$39="pvp",15,MAX(0.1,Skills!D16-IF(Skills!E16=TRUE,Inputs!$B$32,0))),0)</f>
        <v/>
      </c>
      <c r="R1019">
        <f>IF(AND(Inputs!$B$39&lt;&gt;"pvp",Inputs!$B$44&gt;0),IF(Inputs!$B$44&lt;=0,0,(INT(Inputs!$B$44/IF(Inputs!$B$39="pvp",15,MAX(0.1,Skills!D16-IF(Skills!E16=TRUE,Inputs!$B$32,0))))+1)),0)</f>
        <v/>
      </c>
      <c r="S1019">
        <f>IFERROR(O1019/N1019,0)</f>
        <v/>
      </c>
      <c r="T1019" t="n">
        <v>0</v>
      </c>
      <c r="V1019" t="n">
        <v>0</v>
      </c>
    </row>
    <row r="1020">
      <c r="A1020">
        <f>Skills!A17</f>
        <v/>
      </c>
      <c r="B1020">
        <f>Skills!B17</f>
        <v/>
      </c>
      <c r="C1020">
        <f>Inputs!$B$3&gt;=115</f>
        <v/>
      </c>
      <c r="D1020">
        <f>IF(Skills!C17=1,60+Inputs!$B$25+Inputs!$B$29,IF(Skills!C17=2,90+Inputs!$B$26+Inputs!$B$29,IF(Skills!C17=3,120+Inputs!$B$27+Inputs!$B$29,MAX(0,(Inputs!$B$3-100)*3)+(Inputs!$B$28+1)+Inputs!$B$29)))</f>
        <v/>
      </c>
      <c r="E1020">
        <f>INDEX(FactorTable!$B$2:$Y$301, MATCH(ROUND(MIN(300,MAX(1,D1020)),0), FactorTable!$A$2:$A$301,0), Skills!M17+1)</f>
        <v/>
      </c>
      <c r="F1020">
        <f>IF(Skills!N17=TRUE,(Skills!L17/10)*(E1020/1000),Skills!L17/10)+Skills!O17</f>
        <v/>
      </c>
      <c r="G1020">
        <f>Calc!G17</f>
        <v/>
      </c>
      <c r="H1020">
        <f>Calc!H17</f>
        <v/>
      </c>
      <c r="I1020">
        <f>IF(Skills!AA17&lt;&gt;"",1+(Skills!AA17/10)*(U1006/1000)/100,1)</f>
        <v/>
      </c>
      <c r="J1020">
        <f>((Inputs!$B$6*(1+Inputs!$B$7/100))+(((Inputs!$B$12*(1+Inputs!$B$13/100))-(Inputs!$B$12*(1+Inputs!$B$13/100)))+0.25*(Inputs!$B$14-Inputs!$B$14))*(1+Inputs!$B$7/100))*(F1020/100)</f>
        <v/>
      </c>
      <c r="K1020">
        <f>J1020*(1+((Inputs!$B$12*(1+Inputs!$B$13/100))*0.01+Inputs!$B$14*0.0025)/100)*(1+Inputs!$B$15/100)*(1+Inputs!$B$16/100)*(5000/(6000+Inputs!$B$43*(1-(100*(1-(1-(Inputs!$B$19+0)/100)*(1-CHOOSE(ArtifactsInput!$N$40+1,5,6,7,8,9,10)/100)^(ArtifactsInput!$M$40-ArtifactsInput!$M$40)))/100)))*(1+(Inputs!$B$24+((C1033=TRUE)*(F1033-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1026=TRUE)*(F1026-Calc!F23))+(((IF(AND(ArtifactsInput!$M$42,((Inputs!$B$9+((C1028=TRUE)*(F1028-Calc!F25))+B1043+(ArtifactsInput!$M$24-ArtifactsInput!$M$24)*CHOOSE(ArtifactsInput!$N$24+1,10,12,14,16,18,20)+IF(ArtifactsInput!$M$10,CHOOSE(ArtifactsInput!$N$10+1,15,18,21,24,27,30)*(IF(Inputs!$B$39="pvp",MIN(15,15)/15,IF(AND(Inputs!$B$39&lt;&gt;"pvp",Inputs!$B$44&gt;0),MIN(15,Inputs!$B$44)/(Inputs!$B$44),0))),0)))&gt;=100),MIN(100,((Inputs!$B$9+((C1028=TRUE)*(F1028-Calc!F25))+B1043+(ArtifactsInput!$M$24-ArtifactsInput!$M$24)*CHOOSE(ArtifactsInput!$N$24+1,10,12,14,16,18,20)+IF(ArtifactsInput!$M$10,CHOOSE(ArtifactsInput!$N$10+1,15,18,21,24,27,30)*(IF(Inputs!$B$39="pvp",MIN(15,15)/15,IF(AND(Inputs!$B$39&lt;&gt;"pvp",Inputs!$B$44&gt;0),MIN(15,Inputs!$B$44)/(Inputs!$B$44),0))),0)))-100),0))*CHOOSE(ArtifactsInput!$N$42+1,0.6,0.72,0.84,0.96,1.08,1.2))),Inputs!$B$18+((C1032=TRUE)*(F1032-Calc!F29))+(IF(AND(ArtifactsInput!$M$42,((Inputs!$B$9+((C1028=TRUE)*(F1028-Calc!F25))+B1043+(ArtifactsInput!$M$24-ArtifactsInput!$M$24)*CHOOSE(ArtifactsInput!$N$24+1,10,12,14,16,18,20)+IF(ArtifactsInput!$M$10,CHOOSE(ArtifactsInput!$N$10+1,15,18,21,24,27,30)*(IF(Inputs!$B$39="pvp",MIN(15,15)/15,IF(AND(Inputs!$B$39&lt;&gt;"pvp",Inputs!$B$44&gt;0),MIN(15,Inputs!$B$44)/(Inputs!$B$44),0))),0)))&gt;=100),CHOOSE(ArtifactsInput!$N$42+1,40,48,56,64,72,80),0))))/100)*(((1+(((C1024=TRUE)*F1024*IF(AND(Inputs!$B$39&lt;&gt;"pvp",Inputs!$B$44&gt;0),(((R1024-1)*(Skills!Y21*(1+Inputs!$B$34/100))+MIN((Skills!Y21*(1+Inputs!$B$34/100)),MAX(0,Inputs!$B$44-((R1024-1)*Skills!D21))))/Inputs!$B$44),IF(Inputs!$B$39="pvp",MIN((Skills!Y21*(1+Inputs!$B$34/100)),15)/15,(Skills!Y21*(1+Inputs!$B$34/100))/Skills!D21)))+((C1031=TRUE)*(F1031-Calc!F28))+((C1021=TRUE)*(F1021-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1018=TRUE)*F1018*IF(AND(Inputs!$B$39&lt;&gt;"pvp",Inputs!$B$44&gt;0),(((R1018-1)*(Skills!Y15*(1+Inputs!$B$34/100))+MIN((Skills!Y15*(1+Inputs!$B$34/100)),MAX(0,Inputs!$B$44-((R1018-1)*Skills!D15))))/Inputs!$B$44),IF(Inputs!$B$39="pvp",MIN((Skills!Y15*(1+Inputs!$B$34/100)),15)/15,(Skills!Y15*(1+Inputs!$B$34/100))/Skills!D15)))/100)*(1+((C1009=TRUE)*F1009*B1037)/100))*B1045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1020)</f>
        <v/>
      </c>
      <c r="L1020">
        <f>K1020*(MIN(Inputs!$B$22+((C1027=TRUE)*(F1027-Calc!F24)),(Inputs!$B$23+0+(IF(ArtifactsInput!$M$15,CHOOSE(ArtifactsInput!$N$15+1,25,30,35,40,45,50)/100*(Inputs!$B$11-Inputs!$B$11),0))))/100+(Inputs!$B$23+0+(IF(ArtifactsInput!$M$15,CHOOSE(ArtifactsInput!$N$15+1,25,30,35,40,45,50)/100*(Inputs!$B$11-Inputs!$B$11),0)))/100)/2</f>
        <v/>
      </c>
      <c r="M1020">
        <f>L1020*(1+(Inputs!$B$10+((C1029=TRUE)*(F1029-Calc!F26))+B1046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20">
        <f>L1020*(1-MIN((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1020*(MIN((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20">
        <f>(1-Summary!$B$11)*T1020+Summary!$B$11*V1020</f>
        <v/>
      </c>
      <c r="P1020">
        <f>IF(B1047=0,0,O1020/B1047)</f>
        <v/>
      </c>
      <c r="Q1020" t="n">
        <v>0</v>
      </c>
      <c r="R1020" t="n">
        <v>0</v>
      </c>
      <c r="S1020">
        <f>IFERROR(O1020/N1020,0)</f>
        <v/>
      </c>
      <c r="T1020">
        <f>IF(C1020,(Inputs!$B$38*0.2*N1020)*IF(Inputs!$B$39="pvp",1,1+(Inputs!$B$20+((C1030=TRUE)*(F1030-Calc!F27))+Skills!P17+B1044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Hunt"),CHOOSE(ArtifactsInput!$N$35+1,15,18,21,24,27,30)*(1-EXP(-(0.2*B1039)*5)),0)+IF(AND(ArtifactsInput!$M$22,Inputs!$B$4&lt;&gt;"Chapter Hunt"),CHOOSE(ArtifactsInput!$N$22+1,10,12,14,16,18,20)*((0*(((0.15*B1039*5))^0/1)+1*(((0.15*B1039*5))^1/1)+2*(((0.15*B1039*5))^2/2)+3*(((0.15*B1039*5))^3/6)+4*(((0.15*B1039*5))^4/24)+5*(((0.15*B1039*5))^5/120))/((((0.15*B1039*5))^0/1)+(((0.15*B1039*5))^1/1)+(((0.15*B1039*5))^2/2)+(((0.15*B1039*5))^3/6)+(((0.15*B1039*5))^4/24)+(((0.15*B1039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1020*(1-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1020*(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1020*(1-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1020*(MIN(100,(Inputs!$B$9+((C1028=TRUE)*(F1028-Calc!F25))+B1043+(ArtifactsInput!$M$24-ArtifactsInput!$M$24)*CHOOSE(ArtifactsInput!$N$24+1,10,12,14,16,18,20)+(IF(AND(ArtifactsInput!$M$42,((Inputs!$B$9+((C1028=TRUE)*(F1028-Calc!F25))+B1043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20">
        <f>IF(C1020,(Inputs!$B$38*0.2*N1020)*IF(Inputs!$B$39="pvp",1,(1+(Inputs!$B$21+Skills!Q17+B1044+(IF(ArtifactsInput!$M$33,CHOOSE(ArtifactsInput!$N$33+1,30,36,42,48,54,60),0))+(IF(AND(ArtifactsInput!$M$35,Inputs!$B$4&lt;&gt;"Chapter Hunt"),CHOOSE(ArtifactsInput!$N$35+1,15,18,21,24,27,30)*(1-EXP(-(0.2*B1039)*5)),0)+IF(AND(ArtifactsInput!$M$22,Inputs!$B$4&lt;&gt;"Chapter Hunt"),CHOOSE(ArtifactsInput!$N$22+1,10,12,14,16,18,20)*((0*(((0.15*B1039*5))^0/1)+1*(((0.15*B1039*5))^1/1)+2*(((0.15*B1039*5))^2/2)+3*(((0.15*B1039*5))^3/6)+4*(((0.15*B1039*5))^4/24)+5*(((0.15*B1039*5))^5/120))/((((0.15*B1039*5))^0/1)+(((0.15*B1039*5))^1/1)+(((0.15*B1039*5))^2/2)+(((0.15*B1039*5))^3/6)+(((0.15*B1039*5))^4/24)+(((0.15*B1039*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21">
      <c r="A1021">
        <f>Skills!A18</f>
        <v/>
      </c>
      <c r="B1021">
        <f>Skills!B18</f>
        <v/>
      </c>
      <c r="C1021">
        <f>Inputs!$B$3&gt;=115</f>
        <v/>
      </c>
      <c r="D1021">
        <f>IF(Skills!C18=1,60+Inputs!$B$25+Inputs!$B$29,IF(Skills!C18=2,90+Inputs!$B$26+Inputs!$B$29,IF(Skills!C18=3,120+Inputs!$B$27+Inputs!$B$29,MAX(0,(Inputs!$B$3-100)*3)+(Inputs!$B$28+1)+Inputs!$B$29)))</f>
        <v/>
      </c>
      <c r="E1021">
        <f>INDEX(FactorTable!$B$2:$Y$301, MATCH(ROUND(MIN(300,MAX(1,D1021)),0), FactorTable!$A$2:$A$301,0), Skills!M18+1)</f>
        <v/>
      </c>
      <c r="F1021">
        <f>IF(Skills!N18=TRUE,(Skills!L18/10)*(E1021/1000),Skills!L18/10)+Skills!O18</f>
        <v/>
      </c>
      <c r="G1021">
        <f>Calc!G18</f>
        <v/>
      </c>
      <c r="H1021">
        <f>Calc!H18</f>
        <v/>
      </c>
      <c r="I1021">
        <f>IF(Skills!AA18&lt;&gt;"",1+(Skills!AA18/10)*(U1006/1000)/100,1)</f>
        <v/>
      </c>
      <c r="J1021" t="inlineStr"/>
      <c r="K1021" t="inlineStr"/>
      <c r="L1021" t="inlineStr"/>
      <c r="M1021" t="inlineStr"/>
      <c r="N1021" t="inlineStr"/>
      <c r="O1021">
        <f>(1-Summary!$B$11)*T1021+Summary!$B$11*V1021</f>
        <v/>
      </c>
      <c r="P1021">
        <f>IF(B1047=0,0,O1021/B1047)</f>
        <v/>
      </c>
      <c r="Q1021" t="n">
        <v>0</v>
      </c>
      <c r="R1021" t="n">
        <v>0</v>
      </c>
      <c r="S1021">
        <f>IFERROR(O1021/N1021,0)</f>
        <v/>
      </c>
      <c r="T1021" t="n">
        <v>0</v>
      </c>
      <c r="V1021" t="n">
        <v>0</v>
      </c>
    </row>
    <row r="1022">
      <c r="A1022">
        <f>Skills!A19</f>
        <v/>
      </c>
      <c r="B1022">
        <f>Skills!B19</f>
        <v/>
      </c>
      <c r="C1022">
        <f>TRUE</f>
        <v/>
      </c>
      <c r="D1022">
        <f>IF(Skills!C19=1,60+Inputs!$B$25+Inputs!$B$29,IF(Skills!C19=2,90+Inputs!$B$26+Inputs!$B$29,IF(Skills!C19=3,120+Inputs!$B$27+Inputs!$B$29,MAX(0,(Inputs!$B$3-100)*3)+(Inputs!$B$28+1)+Inputs!$B$29)))</f>
        <v/>
      </c>
      <c r="E1022">
        <f>INDEX(FactorTable!$B$2:$Y$301, MATCH(ROUND(MIN(300,MAX(1,D1022)),0), FactorTable!$A$2:$A$301,0), Skills!M19+1)</f>
        <v/>
      </c>
      <c r="F1022">
        <f>IF(Skills!N19=TRUE,(Skills!L19/10)*(E1022/1000),Skills!L19/10)+Skills!O19</f>
        <v/>
      </c>
      <c r="G1022">
        <f>Calc!G19</f>
        <v/>
      </c>
      <c r="H1022">
        <f>Calc!H19</f>
        <v/>
      </c>
      <c r="I1022">
        <f>IF(Skills!AA19&lt;&gt;"",1+(Skills!AA19/10)*(U1006/1000)/100,1)</f>
        <v/>
      </c>
      <c r="J1022" t="inlineStr"/>
      <c r="K1022" t="inlineStr"/>
      <c r="L1022" t="inlineStr"/>
      <c r="M1022" t="inlineStr"/>
      <c r="N1022" t="inlineStr"/>
      <c r="O1022">
        <f>(1-Summary!$B$11)*T1022+Summary!$B$11*V1022</f>
        <v/>
      </c>
      <c r="P1022">
        <f>IF(B1047=0,0,O1022/B1047)</f>
        <v/>
      </c>
      <c r="Q1022">
        <f>IFERROR(1/IF(Inputs!$B$39="pvp",15,MAX(0.1,Skills!D19-IF(Skills!E19=TRUE,Inputs!$B$32,0))),0)</f>
        <v/>
      </c>
      <c r="R1022">
        <f>IF(AND(Inputs!$B$39&lt;&gt;"pvp",Inputs!$B$44&gt;0),IF(Inputs!$B$44&lt;=0,0,(INT(Inputs!$B$44/IF(Inputs!$B$39="pvp",15,MAX(0.1,Skills!D19-IF(Skills!E19=TRUE,Inputs!$B$32,0))))+1)),0)</f>
        <v/>
      </c>
      <c r="S1022">
        <f>IFERROR(O1022/N1022,0)</f>
        <v/>
      </c>
      <c r="T1022" t="n">
        <v>0</v>
      </c>
      <c r="V1022" t="n">
        <v>0</v>
      </c>
    </row>
    <row r="1023">
      <c r="A1023">
        <f>Skills!A20</f>
        <v/>
      </c>
      <c r="B1023">
        <f>Skills!B20</f>
        <v/>
      </c>
      <c r="C1023">
        <f>Inputs!$B$3&gt;=15</f>
        <v/>
      </c>
      <c r="D1023">
        <f>IF(Skills!C20=1,60+Inputs!$B$25+Inputs!$B$29,IF(Skills!C20=2,90+Inputs!$B$26+Inputs!$B$29,IF(Skills!C20=3,120+Inputs!$B$27+Inputs!$B$29,MAX(0,(Inputs!$B$3-100)*3)+(Inputs!$B$28+1)+Inputs!$B$29)))</f>
        <v/>
      </c>
      <c r="E1023">
        <f>INDEX(FactorTable!$B$2:$Y$301, MATCH(ROUND(MIN(300,MAX(1,D1023)),0), FactorTable!$A$2:$A$301,0), Skills!M20+1)</f>
        <v/>
      </c>
      <c r="F1023">
        <f>IF(Skills!N20=TRUE,(Skills!L20/10)*(E1023/1000),Skills!L20/10)+Skills!O20</f>
        <v/>
      </c>
      <c r="G1023">
        <f>Calc!G20</f>
        <v/>
      </c>
      <c r="H1023">
        <f>Calc!H20</f>
        <v/>
      </c>
      <c r="I1023">
        <f>IF(Skills!AA20&lt;&gt;"",1+(Skills!AA20/10)*(U1006/1000)/100,1)</f>
        <v/>
      </c>
      <c r="J1023" t="inlineStr"/>
      <c r="K1023" t="inlineStr"/>
      <c r="L1023" t="inlineStr"/>
      <c r="M1023" t="inlineStr"/>
      <c r="N1023" t="inlineStr"/>
      <c r="O1023">
        <f>(1-Summary!$B$11)*T1023+Summary!$B$11*V1023</f>
        <v/>
      </c>
      <c r="P1023">
        <f>IF(B1047=0,0,O1023/B1047)</f>
        <v/>
      </c>
      <c r="Q1023">
        <f>IFERROR(1/IF(Inputs!$B$39="pvp",15,MAX(0.1,Skills!D20-IF(Skills!E20=TRUE,Inputs!$B$32,0))),0)</f>
        <v/>
      </c>
      <c r="R1023">
        <f>IF(AND(Inputs!$B$39&lt;&gt;"pvp",Inputs!$B$44&gt;0),IF(Inputs!$B$44&lt;=0,0,(INT(Inputs!$B$44/IF(Inputs!$B$39="pvp",15,MAX(0.1,Skills!D20-IF(Skills!E20=TRUE,Inputs!$B$32,0))))+1)),0)</f>
        <v/>
      </c>
      <c r="S1023">
        <f>IFERROR(O1023/N1023,0)</f>
        <v/>
      </c>
      <c r="T1023" t="n">
        <v>0</v>
      </c>
      <c r="V1023" t="n">
        <v>0</v>
      </c>
    </row>
    <row r="1024">
      <c r="A1024">
        <f>Skills!A21</f>
        <v/>
      </c>
      <c r="B1024">
        <f>Skills!B21</f>
        <v/>
      </c>
      <c r="C1024">
        <f>Inputs!$B$3&gt;=15</f>
        <v/>
      </c>
      <c r="D1024">
        <f>IF(Skills!C21=1,60+Inputs!$B$25+Inputs!$B$29,IF(Skills!C21=2,90+Inputs!$B$26+Inputs!$B$29,IF(Skills!C21=3,120+Inputs!$B$27+Inputs!$B$29,MAX(0,(Inputs!$B$3-100)*3)+(Inputs!$B$28+1)+Inputs!$B$29)))</f>
        <v/>
      </c>
      <c r="E1024">
        <f>INDEX(FactorTable!$B$2:$Y$301, MATCH(ROUND(MIN(300,MAX(1,D1024)),0), FactorTable!$A$2:$A$301,0), Skills!M21+1)</f>
        <v/>
      </c>
      <c r="F1024">
        <f>IF(Skills!N21=TRUE,(Skills!L21/10)*(E1024/1000),Skills!L21/10)+Skills!O21</f>
        <v/>
      </c>
      <c r="G1024">
        <f>Calc!G21</f>
        <v/>
      </c>
      <c r="H1024">
        <f>Calc!H21</f>
        <v/>
      </c>
      <c r="I1024">
        <f>IF(Skills!AA21&lt;&gt;"",1+(Skills!AA21/10)*(U1006/1000)/100,1)</f>
        <v/>
      </c>
      <c r="J1024" t="inlineStr"/>
      <c r="K1024" t="inlineStr"/>
      <c r="L1024" t="inlineStr"/>
      <c r="M1024" t="inlineStr"/>
      <c r="N1024" t="inlineStr"/>
      <c r="O1024">
        <f>(1-Summary!$B$11)*T1024+Summary!$B$11*V1024</f>
        <v/>
      </c>
      <c r="P1024">
        <f>IF(B1047=0,0,O1024/B1047)</f>
        <v/>
      </c>
      <c r="Q1024">
        <f>IFERROR(1/IF(Inputs!$B$39="pvp",15,MAX(0.1,Skills!D21-IF(Skills!E21=TRUE,Inputs!$B$32,0))),0)</f>
        <v/>
      </c>
      <c r="R1024">
        <f>IF(AND(Inputs!$B$39&lt;&gt;"pvp",Inputs!$B$44&gt;0),IF(Inputs!$B$44&lt;=0,0,(INT(Inputs!$B$44/IF(Inputs!$B$39="pvp",15,MAX(0.1,Skills!D21-IF(Skills!E21=TRUE,Inputs!$B$32,0))))+1)),0)</f>
        <v/>
      </c>
      <c r="S1024">
        <f>IFERROR(O1024/N1024,0)</f>
        <v/>
      </c>
      <c r="T1024" t="n">
        <v>0</v>
      </c>
      <c r="V1024" t="n">
        <v>0</v>
      </c>
    </row>
    <row r="1025">
      <c r="A1025">
        <f>Skills!A22</f>
        <v/>
      </c>
      <c r="B1025">
        <f>Skills!B22</f>
        <v/>
      </c>
      <c r="C1025">
        <f>Inputs!$B$3&gt;=33</f>
        <v/>
      </c>
      <c r="D1025">
        <f>IF(Skills!C22=1,60+Inputs!$B$25+Inputs!$B$29,IF(Skills!C22=2,90+Inputs!$B$26+Inputs!$B$29,IF(Skills!C22=3,120+Inputs!$B$27+Inputs!$B$29,MAX(0,(Inputs!$B$3-100)*3)+(Inputs!$B$28+1)+Inputs!$B$29)))</f>
        <v/>
      </c>
      <c r="E1025">
        <f>INDEX(FactorTable!$B$2:$Y$301, MATCH(ROUND(MIN(300,MAX(1,D1025)),0), FactorTable!$A$2:$A$301,0), Skills!M22+1)</f>
        <v/>
      </c>
      <c r="F1025">
        <f>IF(Skills!N22=TRUE,(Skills!L22/10)*(E1025/1000),Skills!L22/10)+Skills!O22</f>
        <v/>
      </c>
      <c r="G1025">
        <f>Calc!G22</f>
        <v/>
      </c>
      <c r="H1025">
        <f>Calc!H22</f>
        <v/>
      </c>
      <c r="I1025">
        <f>IF(Skills!AA22&lt;&gt;"",1+(Skills!AA22/10)*(U1006/1000)/100,1)</f>
        <v/>
      </c>
      <c r="J1025" t="inlineStr"/>
      <c r="K1025" t="inlineStr"/>
      <c r="L1025" t="inlineStr"/>
      <c r="M1025" t="inlineStr"/>
      <c r="N1025" t="inlineStr"/>
      <c r="O1025">
        <f>(1-Summary!$B$11)*T1025+Summary!$B$11*V1025</f>
        <v/>
      </c>
      <c r="P1025">
        <f>IF(B1047=0,0,O1025/B1047)</f>
        <v/>
      </c>
      <c r="Q1025" t="n">
        <v>0</v>
      </c>
      <c r="R1025" t="n">
        <v>0</v>
      </c>
      <c r="S1025">
        <f>IFERROR(O1025/N1025,0)</f>
        <v/>
      </c>
      <c r="T1025" t="n">
        <v>0</v>
      </c>
      <c r="V1025" t="n">
        <v>0</v>
      </c>
    </row>
    <row r="1026">
      <c r="A1026">
        <f>Skills!A23</f>
        <v/>
      </c>
      <c r="B1026">
        <f>Skills!B23</f>
        <v/>
      </c>
      <c r="C1026">
        <f>Inputs!$B$3&gt;=38</f>
        <v/>
      </c>
      <c r="D1026">
        <f>IF(Skills!C23=1,60+Inputs!$B$25+Inputs!$B$29,IF(Skills!C23=2,90+Inputs!$B$26+Inputs!$B$29,IF(Skills!C23=3,120+Inputs!$B$27+Inputs!$B$29,MAX(0,(Inputs!$B$3-100)*3)+(Inputs!$B$28+1)+Inputs!$B$29)))</f>
        <v/>
      </c>
      <c r="E1026">
        <f>INDEX(FactorTable!$B$2:$Y$301, MATCH(ROUND(MIN(300,MAX(1,D1026)),0), FactorTable!$A$2:$A$301,0), Skills!M23+1)</f>
        <v/>
      </c>
      <c r="F1026">
        <f>IF(Skills!N23=TRUE,(Skills!L23/10)*(E1026/1000),Skills!L23/10)+Skills!O23</f>
        <v/>
      </c>
      <c r="G1026">
        <f>Calc!G23</f>
        <v/>
      </c>
      <c r="H1026">
        <f>Calc!H23</f>
        <v/>
      </c>
      <c r="I1026">
        <f>IF(Skills!AA23&lt;&gt;"",1+(Skills!AA23/10)*(U1006/1000)/100,1)</f>
        <v/>
      </c>
      <c r="J1026" t="inlineStr"/>
      <c r="K1026" t="inlineStr"/>
      <c r="L1026" t="inlineStr"/>
      <c r="M1026" t="inlineStr"/>
      <c r="N1026" t="inlineStr"/>
      <c r="O1026">
        <f>(1-Summary!$B$11)*T1026+Summary!$B$11*V1026</f>
        <v/>
      </c>
      <c r="P1026">
        <f>IF(B1047=0,0,O1026/B1047)</f>
        <v/>
      </c>
      <c r="Q1026" t="n">
        <v>0</v>
      </c>
      <c r="R1026" t="n">
        <v>0</v>
      </c>
      <c r="S1026">
        <f>IFERROR(O1026/N1026,0)</f>
        <v/>
      </c>
      <c r="T1026" t="n">
        <v>0</v>
      </c>
      <c r="V1026" t="n">
        <v>0</v>
      </c>
    </row>
    <row r="1027">
      <c r="A1027">
        <f>Skills!A24</f>
        <v/>
      </c>
      <c r="B1027">
        <f>Skills!B24</f>
        <v/>
      </c>
      <c r="C1027">
        <f>Inputs!$B$3&gt;=40</f>
        <v/>
      </c>
      <c r="D1027">
        <f>IF(Skills!C24=1,60+Inputs!$B$25+Inputs!$B$29,IF(Skills!C24=2,90+Inputs!$B$26+Inputs!$B$29,IF(Skills!C24=3,120+Inputs!$B$27+Inputs!$B$29,MAX(0,(Inputs!$B$3-100)*3)+(Inputs!$B$28+1)+Inputs!$B$29)))</f>
        <v/>
      </c>
      <c r="E1027">
        <f>INDEX(FactorTable!$B$2:$Y$301, MATCH(ROUND(MIN(300,MAX(1,D1027)),0), FactorTable!$A$2:$A$301,0), Skills!M24+1)</f>
        <v/>
      </c>
      <c r="F1027">
        <f>IF(Skills!N24=TRUE,(Skills!L24/10)*(E1027/1000),Skills!L24/10)+Skills!O24</f>
        <v/>
      </c>
      <c r="G1027">
        <f>Calc!G24</f>
        <v/>
      </c>
      <c r="H1027">
        <f>Calc!H24</f>
        <v/>
      </c>
      <c r="I1027">
        <f>IF(Skills!AA24&lt;&gt;"",1+(Skills!AA24/10)*(U1006/1000)/100,1)</f>
        <v/>
      </c>
      <c r="J1027" t="inlineStr"/>
      <c r="K1027" t="inlineStr"/>
      <c r="L1027" t="inlineStr"/>
      <c r="M1027" t="inlineStr"/>
      <c r="N1027" t="inlineStr"/>
      <c r="O1027">
        <f>(1-Summary!$B$11)*T1027+Summary!$B$11*V1027</f>
        <v/>
      </c>
      <c r="P1027">
        <f>IF(B1047=0,0,O1027/B1047)</f>
        <v/>
      </c>
      <c r="Q1027" t="n">
        <v>0</v>
      </c>
      <c r="R1027" t="n">
        <v>0</v>
      </c>
      <c r="S1027">
        <f>IFERROR(O1027/N1027,0)</f>
        <v/>
      </c>
      <c r="T1027" t="n">
        <v>0</v>
      </c>
      <c r="V1027" t="n">
        <v>0</v>
      </c>
    </row>
    <row r="1028">
      <c r="A1028">
        <f>Skills!A25</f>
        <v/>
      </c>
      <c r="B1028">
        <f>Skills!B25</f>
        <v/>
      </c>
      <c r="C1028">
        <f>Inputs!$B$3&gt;=45</f>
        <v/>
      </c>
      <c r="D1028">
        <f>IF(Skills!C25=1,60+Inputs!$B$25+Inputs!$B$29,IF(Skills!C25=2,90+Inputs!$B$26+Inputs!$B$29,IF(Skills!C25=3,120+Inputs!$B$27+Inputs!$B$29,MAX(0,(Inputs!$B$3-100)*3)+(Inputs!$B$28+1)+Inputs!$B$29)))</f>
        <v/>
      </c>
      <c r="E1028">
        <f>INDEX(FactorTable!$B$2:$Y$301, MATCH(ROUND(MIN(300,MAX(1,D1028)),0), FactorTable!$A$2:$A$301,0), Skills!M25+1)</f>
        <v/>
      </c>
      <c r="F1028">
        <f>IF(Skills!N25=TRUE,(Skills!L25/10)*(E1028/1000),Skills!L25/10)+Skills!O25</f>
        <v/>
      </c>
      <c r="G1028">
        <f>Calc!G25</f>
        <v/>
      </c>
      <c r="H1028">
        <f>Calc!H25</f>
        <v/>
      </c>
      <c r="I1028">
        <f>IF(Skills!AA25&lt;&gt;"",1+(Skills!AA25/10)*(U1006/1000)/100,1)</f>
        <v/>
      </c>
      <c r="J1028" t="inlineStr"/>
      <c r="K1028" t="inlineStr"/>
      <c r="L1028" t="inlineStr"/>
      <c r="M1028" t="inlineStr"/>
      <c r="N1028" t="inlineStr"/>
      <c r="O1028">
        <f>(1-Summary!$B$11)*T1028+Summary!$B$11*V1028</f>
        <v/>
      </c>
      <c r="P1028">
        <f>IF(B1047=0,0,O1028/B1047)</f>
        <v/>
      </c>
      <c r="Q1028" t="n">
        <v>0</v>
      </c>
      <c r="R1028" t="n">
        <v>0</v>
      </c>
      <c r="S1028">
        <f>IFERROR(O1028/N1028,0)</f>
        <v/>
      </c>
      <c r="T1028" t="n">
        <v>0</v>
      </c>
      <c r="V1028" t="n">
        <v>0</v>
      </c>
    </row>
    <row r="1029">
      <c r="A1029">
        <f>Skills!A26</f>
        <v/>
      </c>
      <c r="B1029">
        <f>Skills!B26</f>
        <v/>
      </c>
      <c r="C1029">
        <f>Inputs!$B$3&gt;=45</f>
        <v/>
      </c>
      <c r="D1029">
        <f>IF(Skills!C26=1,60+Inputs!$B$25+Inputs!$B$29,IF(Skills!C26=2,90+Inputs!$B$26+Inputs!$B$29,IF(Skills!C26=3,120+Inputs!$B$27+Inputs!$B$29,MAX(0,(Inputs!$B$3-100)*3)+(Inputs!$B$28+1)+Inputs!$B$29)))</f>
        <v/>
      </c>
      <c r="E1029">
        <f>INDEX(FactorTable!$B$2:$Y$301, MATCH(ROUND(MIN(300,MAX(1,D1029)),0), FactorTable!$A$2:$A$301,0), Skills!M26+1)</f>
        <v/>
      </c>
      <c r="F1029">
        <f>IF(Skills!N26=TRUE,(Skills!L26/10)*(E1029/1000),Skills!L26/10)+Skills!O26</f>
        <v/>
      </c>
      <c r="G1029">
        <f>Calc!G26</f>
        <v/>
      </c>
      <c r="H1029">
        <f>Calc!H26</f>
        <v/>
      </c>
      <c r="I1029">
        <f>IF(Skills!AA26&lt;&gt;"",1+(Skills!AA26/10)*(U1006/1000)/100,1)</f>
        <v/>
      </c>
      <c r="J1029" t="inlineStr"/>
      <c r="K1029" t="inlineStr"/>
      <c r="L1029" t="inlineStr"/>
      <c r="M1029" t="inlineStr"/>
      <c r="N1029" t="inlineStr"/>
      <c r="O1029">
        <f>(1-Summary!$B$11)*T1029+Summary!$B$11*V1029</f>
        <v/>
      </c>
      <c r="P1029">
        <f>IF(B1047=0,0,O1029/B1047)</f>
        <v/>
      </c>
      <c r="Q1029" t="n">
        <v>0</v>
      </c>
      <c r="R1029" t="n">
        <v>0</v>
      </c>
      <c r="S1029">
        <f>IFERROR(O1029/N1029,0)</f>
        <v/>
      </c>
      <c r="T1029" t="n">
        <v>0</v>
      </c>
      <c r="V1029" t="n">
        <v>0</v>
      </c>
    </row>
    <row r="1030">
      <c r="A1030">
        <f>Skills!A27</f>
        <v/>
      </c>
      <c r="B1030">
        <f>Skills!B27</f>
        <v/>
      </c>
      <c r="C1030">
        <f>Inputs!$B$3&gt;=72</f>
        <v/>
      </c>
      <c r="D1030">
        <f>IF(Skills!C27=1,60+Inputs!$B$25+Inputs!$B$29,IF(Skills!C27=2,90+Inputs!$B$26+Inputs!$B$29,IF(Skills!C27=3,120+Inputs!$B$27+Inputs!$B$29,MAX(0,(Inputs!$B$3-100)*3)+(Inputs!$B$28+1)+Inputs!$B$29)))</f>
        <v/>
      </c>
      <c r="E1030">
        <f>INDEX(FactorTable!$B$2:$Y$301, MATCH(ROUND(MIN(300,MAX(1,D1030)),0), FactorTable!$A$2:$A$301,0), Skills!M27+1)</f>
        <v/>
      </c>
      <c r="F1030">
        <f>IF(Skills!N27=TRUE,(Skills!L27/10)*(E1030/1000),Skills!L27/10)+Skills!O27</f>
        <v/>
      </c>
      <c r="G1030">
        <f>Calc!G27</f>
        <v/>
      </c>
      <c r="H1030">
        <f>Calc!H27</f>
        <v/>
      </c>
      <c r="I1030">
        <f>IF(Skills!AA27&lt;&gt;"",1+(Skills!AA27/10)*(U1006/1000)/100,1)</f>
        <v/>
      </c>
      <c r="J1030" t="inlineStr"/>
      <c r="K1030" t="inlineStr"/>
      <c r="L1030" t="inlineStr"/>
      <c r="M1030" t="inlineStr"/>
      <c r="N1030" t="inlineStr"/>
      <c r="O1030">
        <f>(1-Summary!$B$11)*T1030+Summary!$B$11*V1030</f>
        <v/>
      </c>
      <c r="P1030">
        <f>IF(B1047=0,0,O1030/B1047)</f>
        <v/>
      </c>
      <c r="Q1030" t="n">
        <v>0</v>
      </c>
      <c r="R1030" t="n">
        <v>0</v>
      </c>
      <c r="S1030">
        <f>IFERROR(O1030/N1030,0)</f>
        <v/>
      </c>
      <c r="T1030" t="n">
        <v>0</v>
      </c>
      <c r="V1030" t="n">
        <v>0</v>
      </c>
    </row>
    <row r="1031">
      <c r="A1031">
        <f>Skills!A28</f>
        <v/>
      </c>
      <c r="B1031">
        <f>Skills!B28</f>
        <v/>
      </c>
      <c r="C1031">
        <f>Inputs!$B$3&gt;=75</f>
        <v/>
      </c>
      <c r="D1031">
        <f>IF(Skills!C28=1,60+Inputs!$B$25+Inputs!$B$29,IF(Skills!C28=2,90+Inputs!$B$26+Inputs!$B$29,IF(Skills!C28=3,120+Inputs!$B$27+Inputs!$B$29,MAX(0,(Inputs!$B$3-100)*3)+(Inputs!$B$28+1)+Inputs!$B$29)))</f>
        <v/>
      </c>
      <c r="E1031">
        <f>INDEX(FactorTable!$B$2:$Y$301, MATCH(ROUND(MIN(300,MAX(1,D1031)),0), FactorTable!$A$2:$A$301,0), Skills!M28+1)</f>
        <v/>
      </c>
      <c r="F1031">
        <f>IF(Skills!N28=TRUE,(Skills!L28/10)*(E1031/1000),Skills!L28/10)+Skills!O28</f>
        <v/>
      </c>
      <c r="G1031">
        <f>Calc!G28</f>
        <v/>
      </c>
      <c r="H1031">
        <f>Calc!H28</f>
        <v/>
      </c>
      <c r="I1031">
        <f>IF(Skills!AA28&lt;&gt;"",1+(Skills!AA28/10)*(U1006/1000)/100,1)</f>
        <v/>
      </c>
      <c r="J1031" t="inlineStr"/>
      <c r="K1031" t="inlineStr"/>
      <c r="L1031" t="inlineStr"/>
      <c r="M1031" t="inlineStr"/>
      <c r="N1031" t="inlineStr"/>
      <c r="O1031">
        <f>(1-Summary!$B$11)*T1031+Summary!$B$11*V1031</f>
        <v/>
      </c>
      <c r="P1031">
        <f>IF(B1047=0,0,O1031/B1047)</f>
        <v/>
      </c>
      <c r="Q1031" t="n">
        <v>0</v>
      </c>
      <c r="R1031" t="n">
        <v>0</v>
      </c>
      <c r="S1031">
        <f>IFERROR(O1031/N1031,0)</f>
        <v/>
      </c>
      <c r="T1031" t="n">
        <v>0</v>
      </c>
      <c r="V1031" t="n">
        <v>0</v>
      </c>
    </row>
    <row r="1032">
      <c r="A1032">
        <f>Skills!A29</f>
        <v/>
      </c>
      <c r="B1032">
        <f>Skills!B29</f>
        <v/>
      </c>
      <c r="C1032">
        <f>Inputs!$B$3&gt;=120</f>
        <v/>
      </c>
      <c r="D1032">
        <f>IF(Skills!C29=1,60+Inputs!$B$25+Inputs!$B$29,IF(Skills!C29=2,90+Inputs!$B$26+Inputs!$B$29,IF(Skills!C29=3,120+Inputs!$B$27+Inputs!$B$29,MAX(0,(Inputs!$B$3-100)*3)+(Inputs!$B$28+1)+Inputs!$B$29)))</f>
        <v/>
      </c>
      <c r="E1032">
        <f>INDEX(FactorTable!$B$2:$Y$301, MATCH(ROUND(MIN(300,MAX(1,D1032)),0), FactorTable!$A$2:$A$301,0), Skills!M29+1)</f>
        <v/>
      </c>
      <c r="F1032">
        <f>IF(Skills!N29=TRUE,(Skills!L29/10)*(E1032/1000),Skills!L29/10)+Skills!O29</f>
        <v/>
      </c>
      <c r="G1032">
        <f>Calc!G29</f>
        <v/>
      </c>
      <c r="H1032">
        <f>Calc!H29</f>
        <v/>
      </c>
      <c r="I1032">
        <f>IF(Skills!AA29&lt;&gt;"",1+(Skills!AA29/10)*(U1006/1000)/100,1)</f>
        <v/>
      </c>
      <c r="J1032" t="inlineStr"/>
      <c r="K1032" t="inlineStr"/>
      <c r="L1032" t="inlineStr"/>
      <c r="M1032" t="inlineStr"/>
      <c r="N1032" t="inlineStr"/>
      <c r="O1032">
        <f>(1-Summary!$B$11)*T1032+Summary!$B$11*V1032</f>
        <v/>
      </c>
      <c r="P1032">
        <f>IF(B1047=0,0,O1032/B1047)</f>
        <v/>
      </c>
      <c r="Q1032" t="n">
        <v>0</v>
      </c>
      <c r="R1032" t="n">
        <v>0</v>
      </c>
      <c r="S1032">
        <f>IFERROR(O1032/N1032,0)</f>
        <v/>
      </c>
      <c r="T1032" t="n">
        <v>0</v>
      </c>
      <c r="V1032" t="n">
        <v>0</v>
      </c>
    </row>
    <row r="1033">
      <c r="A1033">
        <f>Skills!A30</f>
        <v/>
      </c>
      <c r="B1033">
        <f>Skills!B30</f>
        <v/>
      </c>
      <c r="C1033">
        <f>Inputs!$B$3&gt;=125</f>
        <v/>
      </c>
      <c r="D1033">
        <f>IF(Skills!C30=1,60+Inputs!$B$25+Inputs!$B$29,IF(Skills!C30=2,90+Inputs!$B$26+Inputs!$B$29,IF(Skills!C30=3,120+Inputs!$B$27+Inputs!$B$29,MAX(0,(Inputs!$B$3-100)*3)+(Inputs!$B$28+1)+Inputs!$B$29)))</f>
        <v/>
      </c>
      <c r="E1033">
        <f>INDEX(FactorTable!$B$2:$Y$301, MATCH(ROUND(MIN(300,MAX(1,D1033)),0), FactorTable!$A$2:$A$301,0), Skills!M30+1)</f>
        <v/>
      </c>
      <c r="F1033">
        <f>IF(Skills!N30=TRUE,(Skills!L30/10)*(E1033/1000),Skills!L30/10)+Skills!O30</f>
        <v/>
      </c>
      <c r="G1033">
        <f>Calc!G30</f>
        <v/>
      </c>
      <c r="H1033">
        <f>Calc!H30</f>
        <v/>
      </c>
      <c r="I1033">
        <f>IF(Skills!AA30&lt;&gt;"",1+(Skills!AA30/10)*(U1006/1000)/100,1)</f>
        <v/>
      </c>
      <c r="J1033" t="inlineStr"/>
      <c r="K1033" t="inlineStr"/>
      <c r="L1033" t="inlineStr"/>
      <c r="M1033" t="inlineStr"/>
      <c r="N1033" t="inlineStr"/>
      <c r="O1033">
        <f>(1-Summary!$B$11)*T1033+Summary!$B$11*V1033</f>
        <v/>
      </c>
      <c r="P1033">
        <f>IF(B1047=0,0,O1033/B1047)</f>
        <v/>
      </c>
      <c r="Q1033" t="n">
        <v>0</v>
      </c>
      <c r="R1033" t="n">
        <v>0</v>
      </c>
      <c r="S1033">
        <f>IFERROR(O1033/N1033,0)</f>
        <v/>
      </c>
      <c r="T1033" t="n">
        <v>0</v>
      </c>
      <c r="V1033" t="n">
        <v>0</v>
      </c>
    </row>
    <row r="1034">
      <c r="A1034">
        <f>Skills!A31</f>
        <v/>
      </c>
      <c r="B1034">
        <f>Skills!B31</f>
        <v/>
      </c>
      <c r="C1034">
        <f>Inputs!$B$3&gt;=107</f>
        <v/>
      </c>
      <c r="D1034">
        <f>IF(Skills!C31=1,60+Inputs!$B$25+Inputs!$B$29,IF(Skills!C31=2,90+Inputs!$B$26+Inputs!$B$29,IF(Skills!C31=3,120+Inputs!$B$27+Inputs!$B$29,MAX(0,(Inputs!$B$3-100)*3)+(Inputs!$B$28+1)+Inputs!$B$29)))</f>
        <v/>
      </c>
      <c r="E1034">
        <f>INDEX(FactorTable!$B$2:$Y$301, MATCH(ROUND(MIN(300,MAX(1,D1034)),0), FactorTable!$A$2:$A$301,0), Skills!M31+1)</f>
        <v/>
      </c>
      <c r="F1034">
        <f>IF(Skills!N31=TRUE,(Skills!L31/10)*(E1034/1000),Skills!L31/10)+Skills!O31</f>
        <v/>
      </c>
      <c r="G1034">
        <f>Calc!G31</f>
        <v/>
      </c>
      <c r="H1034">
        <f>Calc!H31</f>
        <v/>
      </c>
      <c r="I1034">
        <f>IF(Skills!AA31&lt;&gt;"",1+(Skills!AA31/10)*(U1006/1000)/100,1)</f>
        <v/>
      </c>
      <c r="J1034" t="inlineStr"/>
      <c r="K1034" t="inlineStr"/>
      <c r="L1034" t="inlineStr"/>
      <c r="M1034" t="inlineStr"/>
      <c r="N1034" t="inlineStr"/>
      <c r="O1034">
        <f>(1-Summary!$B$11)*T1034+Summary!$B$11*V1034</f>
        <v/>
      </c>
      <c r="P1034">
        <f>IF(B1047=0,0,O1034/B1047)</f>
        <v/>
      </c>
      <c r="Q1034" t="n">
        <v>0</v>
      </c>
      <c r="R1034" t="n">
        <v>0</v>
      </c>
      <c r="S1034">
        <f>IFERROR(O1034/N1034,0)</f>
        <v/>
      </c>
      <c r="T1034" t="n">
        <v>0</v>
      </c>
      <c r="V1034" t="n">
        <v>0</v>
      </c>
    </row>
    <row r="1036">
      <c r="A1036" t="inlineStr">
        <is>
          <t>Actions Per Second (pre-Adrenalin)</t>
        </is>
      </c>
      <c r="B1036">
        <f>1+MIN(150,150*(1-(1-(Inputs!$B$11+((C1025=TRUE)*(F1025-Calc!F22))+(ArtifactsInput!$M$15-ArtifactsInput!$M$15)*CHOOSE(ArtifactsInput!$N$15+1,8,9.6,11.2,12.8,14.4,16))/150)*(1-((C1022=TRUE)*F1022*IF(AND(Inputs!$B$39&lt;&gt;"pvp",Inputs!$B$44&gt;0),(((R1022-1)*(Skills!Y19*(1+Inputs!$B$34/100))+MIN((Skills!Y19*(1+Inputs!$B$34/100)),MAX(0,Inputs!$B$44-((R1022-1)*Skills!D19))))/Inputs!$B$44),IF(Inputs!$B$39="pvp",MIN((Skills!Y19*(1+Inputs!$B$34/100)),15)/15,(Skills!Y19*(1+Inputs!$B$34/100))/Skills!D19)))/150)))/100</f>
        <v/>
      </c>
    </row>
    <row r="1037">
      <c r="A1037" t="inlineStr">
        <is>
          <t>Alchemic Adrenaline Uptime</t>
        </is>
      </c>
      <c r="B1037">
        <f>(Skills!Y6*(1+Inputs!$B$34/100))/((Skills!Y6*(1+Inputs!$B$34/100))+(5/B1036))</f>
        <v/>
      </c>
    </row>
    <row r="1038">
      <c r="A1038" t="inlineStr">
        <is>
          <t>Attack Speed Buff Bonus %</t>
        </is>
      </c>
      <c r="B1038">
        <f>((C1022=TRUE)*F1022*IF(AND(Inputs!$B$39&lt;&gt;"pvp",Inputs!$B$44&gt;0),(((R1022-1)*(Skills!Y19*(1+Inputs!$B$34/100))+MIN((Skills!Y19*(1+Inputs!$B$34/100)),MAX(0,Inputs!$B$44-((R1022-1)*Skills!D19))))/Inputs!$B$44),IF(Inputs!$B$39="pvp",MIN((Skills!Y19*(1+Inputs!$B$34/100)),15)/15,(Skills!Y19*(1+Inputs!$B$34/100))/Skills!D19)))+((C1010=TRUE)*F1010*B1037)</f>
        <v/>
      </c>
    </row>
    <row r="1039">
      <c r="A1039" t="inlineStr">
        <is>
          <t>Actions Per Second (final)</t>
        </is>
      </c>
      <c r="B1039">
        <f>1+MIN(150,150*(1-(1-(Inputs!$B$11+((C1025=TRUE)*(F1025-Calc!F22))+(ArtifactsInput!$M$15-ArtifactsInput!$M$15)*CHOOSE(ArtifactsInput!$N$15+1,8,9.6,11.2,12.8,14.4,16))/150)*(1-B1038/150)))/100</f>
        <v/>
      </c>
    </row>
    <row r="1040">
      <c r="A1040" t="inlineStr">
        <is>
          <t>Skill + Buff Cast Rate</t>
        </is>
      </c>
      <c r="B1040">
        <f>IF(AND(Inputs!$B$39&lt;&gt;"pvp",Inputs!$B$44&gt;0),SUMPRODUCT((Skills!E2:E31=TRUE)*(C1005:C1034=TRUE)*R1005:R1034*Skills!F2:F31)/Inputs!$B$44,SUMPRODUCT((Skills!E2:E31=TRUE)*(C1005:C1034=TRUE)*Q1005:Q1034*Skills!F2:F31))</f>
        <v/>
      </c>
    </row>
    <row r="1041">
      <c r="A1041" t="inlineStr">
        <is>
          <t>Showdown Casts Per Second</t>
        </is>
      </c>
      <c r="B1041">
        <f>MAX(0,B1039-B1040)</f>
        <v/>
      </c>
    </row>
    <row r="1042">
      <c r="A1042" t="inlineStr">
        <is>
          <t>Average Buff Multiplier</t>
        </is>
      </c>
      <c r="B1042">
        <f>(1+(((C1024=TRUE)*F1024*IF(AND(Inputs!$B$39&lt;&gt;"pvp",Inputs!$B$44&gt;0),(((R1024-1)*(Skills!Y21*(1+Inputs!$B$34/100))+MIN((Skills!Y21*(1+Inputs!$B$34/100)),MAX(0,Inputs!$B$44-((R1024-1)*Skills!D21))))/Inputs!$B$44),IF(Inputs!$B$39="pvp",MIN((Skills!Y21*(1+Inputs!$B$34/100)),15)/15,(Skills!Y21*(1+Inputs!$B$34/100))/Skills!D21)))+((C1031=TRUE)*(F1031-Calc!F28))+((C1021=TRUE)*(F1021-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1018=TRUE)*F1018*IF(AND(Inputs!$B$39&lt;&gt;"pvp",Inputs!$B$44&gt;0),(((R1018-1)*(Skills!Y15*(1+Inputs!$B$34/100))+MIN((Skills!Y15*(1+Inputs!$B$34/100)),MAX(0,Inputs!$B$44-((R1018-1)*Skills!D15))))/Inputs!$B$44),IF(Inputs!$B$39="pvp",MIN((Skills!Y15*(1+Inputs!$B$34/100)),15)/15,(Skills!Y15*(1+Inputs!$B$34/100))/Skills!D15)))/100)*(1+((C1009=TRUE)*F1009*B1037)/100)</f>
        <v/>
      </c>
    </row>
    <row r="1043">
      <c r="A1043" t="inlineStr">
        <is>
          <t>Global Crit Rate Bonus %</t>
        </is>
      </c>
      <c r="B1043">
        <f>IF(Inputs!$B$3&gt;=47,8,0)+((C1023=TRUE)*F1023*IF(AND(Inputs!$B$39&lt;&gt;"pvp",Inputs!$B$44&gt;0),(((R1023-1)*(Skills!Y20*(1+Inputs!$B$34/100))+MIN((Skills!Y20*(1+Inputs!$B$34/100)),MAX(0,Inputs!$B$44-((R1023-1)*Skills!D20))))/Inputs!$B$44),IF(Inputs!$B$39="pvp",MIN((Skills!Y20*(1+Inputs!$B$34/100)),15)/15,(Skills!Y20*(1+Inputs!$B$34/100))/Skills!D20)))</f>
        <v/>
      </c>
    </row>
    <row r="1044">
      <c r="A1044" t="inlineStr">
        <is>
          <t>Global Monster Damage-Taken Bonus %</t>
        </is>
      </c>
      <c r="B1044">
        <f>IF(Inputs!$B$3&gt;=82,15,0)+((C1019=TRUE)*F1019*IF(AND(Inputs!$B$39&lt;&gt;"pvp",Inputs!$B$44&gt;0),(((R1019-1)*(Skills!Y16*(1+Inputs!$B$34/100))+MIN((Skills!Y16*(1+Inputs!$B$34/100)),MAX(0,Inputs!$B$44-((R1019-1)*Skills!D16))))/Inputs!$B$44),IF(Inputs!$B$39="pvp",MIN((Skills!Y16*(1+Inputs!$B$34/100)),15)/15,(Skills!Y16*(1+Inputs!$B$34/100))/Skills!D16)))</f>
        <v/>
      </c>
    </row>
    <row r="1045">
      <c r="A1045" t="inlineStr">
        <is>
          <t>Shadow Partner Average Multiplier</t>
        </is>
      </c>
      <c r="B1045">
        <f>1+((C1014=TRUE)*F1014*I1014*Skills!J11/100)/100</f>
        <v/>
      </c>
    </row>
    <row r="1046">
      <c r="A1046" t="inlineStr">
        <is>
          <t>Global Critical Damage Bonus % (Frailty Curse Mastery Lv.111)</t>
        </is>
      </c>
      <c r="B1046">
        <f>IF(Inputs!$B$3&gt;=111,30,0)*IF(AND(Inputs!$B$39&lt;&gt;"pvp",Inputs!$B$44&gt;0),(((R1019-1)*(Skills!Y16*(1+Inputs!$B$34/100))+MIN((Skills!Y16*(1+Inputs!$B$34/100)),MAX(0,Inputs!$B$44-((R1019-1)*Skills!D16))))/Inputs!$B$44),IF(Inputs!$B$39="pvp",MIN((Skills!Y16*(1+Inputs!$B$34/100)),15)/15,(Skills!Y16*(1+Inputs!$B$34/100))/Skills!D16))</f>
        <v/>
      </c>
    </row>
    <row r="1047">
      <c r="A1047" s="6" t="inlineStr">
        <is>
          <t>TOTAL DPS</t>
        </is>
      </c>
      <c r="B1047" s="6">
        <f>SUM(O1005:O1034)</f>
        <v/>
      </c>
    </row>
    <row r="1048">
      <c r="A1048" t="inlineStr">
        <is>
          <t>Buff-Casting Startup Delay (s, fixed-duration only)</t>
        </is>
      </c>
      <c r="B1048">
        <f>IF(AND(Inputs!$B$39&lt;&gt;"pvp",Inputs!$B$44&gt;0),SUMPRODUCT((Skills!Y2:Y31&gt;0)*(Skills!E2:E31=TRUE)*(C1005:C1034=TRUE))/B1039,0)</f>
        <v/>
      </c>
    </row>
    <row r="1049">
      <c r="A1049" t="inlineStr">
        <is>
          <t>Boss-Only Total DPS (this block's swept value)</t>
        </is>
      </c>
      <c r="B1049">
        <f>SUM(T1005:T1034)</f>
        <v/>
      </c>
    </row>
    <row r="1050">
      <c r="A1050" t="inlineStr">
        <is>
          <t>Normal-Only Total DPS (this block's swept value)</t>
        </is>
      </c>
      <c r="B1050">
        <f>SUM(V1005:V1034)</f>
        <v/>
      </c>
    </row>
    <row r="1052">
      <c r="A1052" s="6" t="inlineStr">
        <is>
          <t>Stat: Skill Level Bonus — All Skills</t>
        </is>
      </c>
    </row>
    <row r="1053">
      <c r="A1053" s="5" t="inlineStr">
        <is>
          <t>Key</t>
        </is>
      </c>
      <c r="B1053" s="5" t="inlineStr">
        <is>
          <t>Name</t>
        </is>
      </c>
      <c r="C1053" s="5" t="inlineStr">
        <is>
          <t>Unlocked</t>
        </is>
      </c>
      <c r="D1053" s="5" t="inlineStr">
        <is>
          <t>InputLevel</t>
        </is>
      </c>
      <c r="E1053" s="5" t="inlineStr">
        <is>
          <t>Factor</t>
        </is>
      </c>
      <c r="F1053" s="5" t="inlineStr">
        <is>
          <t>CoefficientPercent</t>
        </is>
      </c>
      <c r="G1053" s="5" t="inlineStr">
        <is>
          <t>EffectiveHits</t>
        </is>
      </c>
      <c r="H1053" s="5" t="inlineStr">
        <is>
          <t>ProcProbability</t>
        </is>
      </c>
      <c r="I1053" s="5" t="inlineStr">
        <is>
          <t>MapleHeroMultiplier</t>
        </is>
      </c>
      <c r="J1053" s="5" t="inlineStr">
        <is>
          <t>BaseDamage</t>
        </is>
      </c>
      <c r="K1053" s="5" t="inlineStr">
        <is>
          <t>BaseHitDamage</t>
        </is>
      </c>
      <c r="L1053" s="5" t="inlineStr">
        <is>
          <t>NonCritAvg</t>
        </is>
      </c>
      <c r="M1053" s="5" t="inlineStr">
        <is>
          <t>CritAvg</t>
        </is>
      </c>
      <c r="N1053" s="5" t="inlineStr">
        <is>
          <t>ExpectedDamage(perHit)</t>
        </is>
      </c>
      <c r="O1053" s="5" t="inlineStr">
        <is>
          <t>DPS</t>
        </is>
      </c>
      <c r="P1053" s="5" t="inlineStr">
        <is>
          <t>% of Total</t>
        </is>
      </c>
      <c r="Q1053" s="5" t="inlineStr">
        <is>
          <t>InvCooldown</t>
        </is>
      </c>
      <c r="R1053" s="5" t="inlineStr">
        <is>
          <t>CastsInFight</t>
        </is>
      </c>
      <c r="S1053" s="5" t="inlineStr">
        <is>
          <t>HitRate(perSec)</t>
        </is>
      </c>
      <c r="U1053" t="inlineStr">
        <is>
          <t>helpers</t>
        </is>
      </c>
    </row>
    <row r="1054">
      <c r="A1054">
        <f>Skills!A2</f>
        <v/>
      </c>
      <c r="B1054">
        <f>Skills!B2</f>
        <v/>
      </c>
      <c r="C1054">
        <f>Inputs!$B$3&gt;=100</f>
        <v/>
      </c>
      <c r="D1054" t="inlineStr"/>
      <c r="E1054" t="inlineStr"/>
      <c r="F1054">
        <f>U1058+Skills!O2</f>
        <v/>
      </c>
      <c r="G1054">
        <f>Calc!G2</f>
        <v/>
      </c>
      <c r="H1054">
        <f>Calc!H2</f>
        <v/>
      </c>
      <c r="I1054">
        <f>IF(Skills!AA2&lt;&gt;"",1+(Skills!AA2/10)*(U1055/1000)/100,1)</f>
        <v/>
      </c>
      <c r="J1054">
        <f>((Inputs!$B$6*(1+Inputs!$B$7/100))+(((Inputs!$B$12*(1+Inputs!$B$13/100))-(Inputs!$B$12*(1+Inputs!$B$13/100)))+0.25*(Inputs!$B$14-Inputs!$B$14))*(1+Inputs!$B$7/100))*(F1054/100)</f>
        <v/>
      </c>
      <c r="K1054">
        <f>J1054*(1+((Inputs!$B$12*(1+Inputs!$B$13/100))*0.01+Inputs!$B$14*0.0025)/100)*(1+Inputs!$B$15/100)*(1+Inputs!$B$16/100)*(5000/(6000+Inputs!$B$43*(1-(100*(1-(1-(Inputs!$B$19+0)/100)*(1-CHOOSE(ArtifactsInput!$N$40+1,5,6,7,8,9,10)/100)^(ArtifactsInput!$M$40-ArtifactsInput!$M$40)))/100)))*(1+(Inputs!$B$24+((C1082=TRUE)*(F1082-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1075=TRUE)*(F1075-Calc!F23))+(((IF(AND(ArtifactsInput!$M$42,((Inputs!$B$9+((C1077=TRUE)*(F1077-Calc!F25))+B1092+(ArtifactsInput!$M$24-ArtifactsInput!$M$24)*CHOOSE(ArtifactsInput!$N$24+1,10,12,14,16,18,20)+IF(ArtifactsInput!$M$10,CHOOSE(ArtifactsInput!$N$10+1,15,18,21,24,27,30)*(IF(Inputs!$B$39="pvp",MIN(15,15)/15,IF(AND(Inputs!$B$39&lt;&gt;"pvp",Inputs!$B$44&gt;0),MIN(15,Inputs!$B$44)/(Inputs!$B$44),0))),0)))&gt;=100),MIN(100,((Inputs!$B$9+((C1077=TRUE)*(F1077-Calc!F25))+B1092+(ArtifactsInput!$M$24-ArtifactsInput!$M$24)*CHOOSE(ArtifactsInput!$N$24+1,10,12,14,16,18,20)+IF(ArtifactsInput!$M$10,CHOOSE(ArtifactsInput!$N$10+1,15,18,21,24,27,30)*(IF(Inputs!$B$39="pvp",MIN(15,15)/15,IF(AND(Inputs!$B$39&lt;&gt;"pvp",Inputs!$B$44&gt;0),MIN(15,Inputs!$B$44)/(Inputs!$B$44),0))),0)))-100),0))*CHOOSE(ArtifactsInput!$N$42+1,0.6,0.72,0.84,0.96,1.08,1.2))),Inputs!$B$18+((C1081=TRUE)*(F1081-Calc!F29))+(IF(AND(ArtifactsInput!$M$42,((Inputs!$B$9+((C1077=TRUE)*(F1077-Calc!F25))+B1092+(ArtifactsInput!$M$24-ArtifactsInput!$M$24)*CHOOSE(ArtifactsInput!$N$24+1,10,12,14,16,18,20)+IF(ArtifactsInput!$M$10,CHOOSE(ArtifactsInput!$N$10+1,15,18,21,24,27,30)*(IF(Inputs!$B$39="pvp",MIN(15,15)/15,IF(AND(Inputs!$B$39&lt;&gt;"pvp",Inputs!$B$44&gt;0),MIN(15,Inputs!$B$44)/(Inputs!$B$44),0))),0)))&gt;=100),CHOOSE(ArtifactsInput!$N$42+1,40,48,56,64,72,80),0))))/100)*(((1+(((C1073=TRUE)*F1073*IF(AND(Inputs!$B$39&lt;&gt;"pvp",Inputs!$B$44&gt;0),(((R1073-1)*(Skills!Y21*(1+Inputs!$B$34/100))+MIN((Skills!Y21*(1+Inputs!$B$34/100)),MAX(0,Inputs!$B$44-((R1073-1)*Skills!D21))))/Inputs!$B$44),IF(Inputs!$B$39="pvp",MIN((Skills!Y21*(1+Inputs!$B$34/100)),15)/15,(Skills!Y21*(1+Inputs!$B$34/100))/Skills!D21)))+((C1080=TRUE)*(F1080-Calc!F28))+((C1070=TRUE)*(F1070-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1067=TRUE)*F1067*IF(AND(Inputs!$B$39&lt;&gt;"pvp",Inputs!$B$44&gt;0),(((R1067-1)*(Skills!Y15*(1+Inputs!$B$34/100))+MIN((Skills!Y15*(1+Inputs!$B$34/100)),MAX(0,Inputs!$B$44-((R1067-1)*Skills!D15))))/Inputs!$B$44),IF(Inputs!$B$39="pvp",MIN((Skills!Y15*(1+Inputs!$B$34/100)),15)/15,(Skills!Y15*(1+Inputs!$B$34/100))/Skills!D15)))/100)*(1+((C1058=TRUE)*F1058*B1086)/100))*B1094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1054)</f>
        <v/>
      </c>
      <c r="L1054">
        <f>K1054*(MIN(Inputs!$B$22+((C1076=TRUE)*(F1076-Calc!F24)),(Inputs!$B$23+0+(IF(ArtifactsInput!$M$15,CHOOSE(ArtifactsInput!$N$15+1,25,30,35,40,45,50)/100*(Inputs!$B$11-Inputs!$B$11),0))))/100+(Inputs!$B$23+0+(IF(ArtifactsInput!$M$15,CHOOSE(ArtifactsInput!$N$15+1,25,30,35,40,45,50)/100*(Inputs!$B$11-Inputs!$B$11),0)))/100)/2</f>
        <v/>
      </c>
      <c r="M1054">
        <f>L1054*(1+(Inputs!$B$10+((C1078=TRUE)*(F1078-Calc!F26))+B1095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54">
        <f>L1054*(1-MIN((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1054*(MIN((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54">
        <f>(1-Summary!$B$11)*T1054+Summary!$B$11*V1054</f>
        <v/>
      </c>
      <c r="P1054">
        <f>IF(B1096=0,0,O1054/B1096)</f>
        <v/>
      </c>
      <c r="Q1054" t="n">
        <v>0</v>
      </c>
      <c r="R1054" t="n">
        <v>0</v>
      </c>
      <c r="S1054">
        <f>IFERROR(O1054/N1054,0)</f>
        <v/>
      </c>
      <c r="T1054">
        <f>IF(C1054,(Skills!G2*N1054*B1090)*IF(Inputs!$B$39="pvp",1,1+(Inputs!$B$20+((C1079=TRUE)*(F1079-Calc!F27))+Skills!P2+B1093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Hunt"),CHOOSE(ArtifactsInput!$N$35+1,15,18,21,24,27,30)*(1-EXP(-(0.2*B1088)*5)),0)+IF(AND(ArtifactsInput!$M$22,Inputs!$B$4&lt;&gt;"Chapter Hunt"),CHOOSE(ArtifactsInput!$N$22+1,10,12,14,16,18,20)*((0*(((0.15*B1088*5))^0/1)+1*(((0.15*B1088*5))^1/1)+2*(((0.15*B1088*5))^2/2)+3*(((0.15*B1088*5))^3/6)+4*(((0.15*B1088*5))^4/24)+5*(((0.15*B1088*5))^5/120))/((((0.15*B1088*5))^0/1)+(((0.15*B1088*5))^1/1)+(((0.15*B1088*5))^2/2)+(((0.15*B1088*5))^3/6)+(((0.15*B1088*5))^4/24)+(((0.15*B1088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1054*(1-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1054*(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1054*(1-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1054*(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54">
        <f>MAX(0,(Inputs!$B$3-100)*3)+Inputs!$B$28+(Inputs!$B$29+1)</f>
        <v/>
      </c>
      <c r="V1054">
        <f>IF(C1054,(Skills!G2*N1054*B1090)*IF(Inputs!$B$39="pvp",1,(1+(Inputs!$B$21+Skills!Q2+B1093+(IF(ArtifactsInput!$M$33,CHOOSE(ArtifactsInput!$N$33+1,30,36,42,48,54,60),0))+(IF(AND(ArtifactsInput!$M$35,Inputs!$B$4&lt;&gt;"Chapter Hunt"),CHOOSE(ArtifactsInput!$N$35+1,15,18,21,24,27,30)*(1-EXP(-(0.2*B1088)*5)),0)+IF(AND(ArtifactsInput!$M$22,Inputs!$B$4&lt;&gt;"Chapter Hunt"),CHOOSE(ArtifactsInput!$N$22+1,10,12,14,16,18,20)*((0*(((0.15*B1088*5))^0/1)+1*(((0.15*B1088*5))^1/1)+2*(((0.15*B1088*5))^2/2)+3*(((0.15*B1088*5))^3/6)+4*(((0.15*B1088*5))^4/24)+5*(((0.15*B1088*5))^5/120))/((((0.15*B1088*5))^0/1)+(((0.15*B1088*5))^1/1)+(((0.15*B1088*5))^2/2)+(((0.15*B1088*5))^3/6)+(((0.15*B1088*5))^4/24)+(((0.15*B1088*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55">
      <c r="A1055">
        <f>Skills!A3</f>
        <v/>
      </c>
      <c r="B1055">
        <f>Skills!B3</f>
        <v/>
      </c>
      <c r="C1055">
        <f>Inputs!$B$3&gt;=35</f>
        <v/>
      </c>
      <c r="D1055">
        <f>IF(Skills!C3=1,60+Inputs!$B$25+(Inputs!$B$29+1),IF(Skills!C3=2,90+Inputs!$B$26+(Inputs!$B$29+1),IF(Skills!C3=3,120+Inputs!$B$27+(Inputs!$B$29+1),MAX(0,(Inputs!$B$3-100)*3)+Inputs!$B$28+(Inputs!$B$29+1))))</f>
        <v/>
      </c>
      <c r="E1055">
        <f>INDEX(FactorTable!$B$2:$Y$301, MATCH(ROUND(MIN(300,MAX(1,D1055)),0), FactorTable!$A$2:$A$301,0), Skills!M3+1)</f>
        <v/>
      </c>
      <c r="F1055">
        <f>IF(Skills!N3=TRUE,(Skills!L3/10)*(E1055/1000),Skills!L3/10)+Skills!O3</f>
        <v/>
      </c>
      <c r="G1055">
        <f>Calc!G3</f>
        <v/>
      </c>
      <c r="H1055">
        <f>Calc!H3</f>
        <v/>
      </c>
      <c r="I1055">
        <f>IF(Skills!AA3&lt;&gt;"",1+(Skills!AA3/10)*(U1055/1000)/100,1)</f>
        <v/>
      </c>
      <c r="J1055">
        <f>((Inputs!$B$6*(1+Inputs!$B$7/100))+(((Inputs!$B$12*(1+Inputs!$B$13/100))-(Inputs!$B$12*(1+Inputs!$B$13/100)))+0.25*(Inputs!$B$14-Inputs!$B$14))*(1+Inputs!$B$7/100))*(F1055/100)</f>
        <v/>
      </c>
      <c r="K1055">
        <f>J1055*(1+((Inputs!$B$12*(1+Inputs!$B$13/100))*0.01+Inputs!$B$14*0.0025)/100)*(1+Inputs!$B$15/100)*(1+Inputs!$B$16/100)*(5000/(6000+Inputs!$B$43*(1-(100*(1-(1-(Inputs!$B$19+0)/100)*(1-CHOOSE(ArtifactsInput!$N$40+1,5,6,7,8,9,10)/100)^(ArtifactsInput!$M$40-ArtifactsInput!$M$40)))/100)))*(1+(Inputs!$B$24+((C1082=TRUE)*(F1082-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1075=TRUE)*(F1075-Calc!F23))+(((IF(AND(ArtifactsInput!$M$42,((Inputs!$B$9+((C1077=TRUE)*(F1077-Calc!F25))+B1092+(ArtifactsInput!$M$24-ArtifactsInput!$M$24)*CHOOSE(ArtifactsInput!$N$24+1,10,12,14,16,18,20)+IF(ArtifactsInput!$M$10,CHOOSE(ArtifactsInput!$N$10+1,15,18,21,24,27,30)*(IF(Inputs!$B$39="pvp",MIN(15,15)/15,IF(AND(Inputs!$B$39&lt;&gt;"pvp",Inputs!$B$44&gt;0),MIN(15,Inputs!$B$44)/(Inputs!$B$44),0))),0)))&gt;=100),MIN(100,((Inputs!$B$9+((C1077=TRUE)*(F1077-Calc!F25))+B1092+(ArtifactsInput!$M$24-ArtifactsInput!$M$24)*CHOOSE(ArtifactsInput!$N$24+1,10,12,14,16,18,20)+IF(ArtifactsInput!$M$10,CHOOSE(ArtifactsInput!$N$10+1,15,18,21,24,27,30)*(IF(Inputs!$B$39="pvp",MIN(15,15)/15,IF(AND(Inputs!$B$39&lt;&gt;"pvp",Inputs!$B$44&gt;0),MIN(15,Inputs!$B$44)/(Inputs!$B$44),0))),0)))-100),0))*CHOOSE(ArtifactsInput!$N$42+1,0.6,0.72,0.84,0.96,1.08,1.2))),Inputs!$B$18+((C1081=TRUE)*(F1081-Calc!F29))+(IF(AND(ArtifactsInput!$M$42,((Inputs!$B$9+((C1077=TRUE)*(F1077-Calc!F25))+B1092+(ArtifactsInput!$M$24-ArtifactsInput!$M$24)*CHOOSE(ArtifactsInput!$N$24+1,10,12,14,16,18,20)+IF(ArtifactsInput!$M$10,CHOOSE(ArtifactsInput!$N$10+1,15,18,21,24,27,30)*(IF(Inputs!$B$39="pvp",MIN(15,15)/15,IF(AND(Inputs!$B$39&lt;&gt;"pvp",Inputs!$B$44&gt;0),MIN(15,Inputs!$B$44)/(Inputs!$B$44),0))),0)))&gt;=100),CHOOSE(ArtifactsInput!$N$42+1,40,48,56,64,72,80),0))))/100)*(((1+(((C1073=TRUE)*F1073*IF(AND(Inputs!$B$39&lt;&gt;"pvp",Inputs!$B$44&gt;0),(((R1073-1)*(Skills!Y21*(1+Inputs!$B$34/100))+MIN((Skills!Y21*(1+Inputs!$B$34/100)),MAX(0,Inputs!$B$44-((R1073-1)*Skills!D21))))/Inputs!$B$44),IF(Inputs!$B$39="pvp",MIN((Skills!Y21*(1+Inputs!$B$34/100)),15)/15,(Skills!Y21*(1+Inputs!$B$34/100))/Skills!D21)))+((C1080=TRUE)*(F1080-Calc!F28))+((C1070=TRUE)*(F1070-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1067=TRUE)*F1067*IF(AND(Inputs!$B$39&lt;&gt;"pvp",Inputs!$B$44&gt;0),(((R1067-1)*(Skills!Y15*(1+Inputs!$B$34/100))+MIN((Skills!Y15*(1+Inputs!$B$34/100)),MAX(0,Inputs!$B$44-((R1067-1)*Skills!D15))))/Inputs!$B$44),IF(Inputs!$B$39="pvp",MIN((Skills!Y15*(1+Inputs!$B$34/100)),15)/15,(Skills!Y15*(1+Inputs!$B$34/100))/Skills!D15)))/100)*(1+((C1058=TRUE)*F1058*B1086)/100))*B1094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1055)</f>
        <v/>
      </c>
      <c r="L1055">
        <f>K1055*(MIN(Inputs!$B$22+((C1076=TRUE)*(F1076-Calc!F24)),(Inputs!$B$23+0+(IF(ArtifactsInput!$M$15,CHOOSE(ArtifactsInput!$N$15+1,25,30,35,40,45,50)/100*(Inputs!$B$11-Inputs!$B$11),0))))/100+(Inputs!$B$23+0+(IF(ArtifactsInput!$M$15,CHOOSE(ArtifactsInput!$N$15+1,25,30,35,40,45,50)/100*(Inputs!$B$11-Inputs!$B$11),0)))/100)/2</f>
        <v/>
      </c>
      <c r="M1055">
        <f>L1055*(1+(Inputs!$B$10+((C1078=TRUE)*(F1078-Calc!F26))+B1095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55">
        <f>L1055*(1-MIN((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1055*(MIN((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55">
        <f>(1-Summary!$B$11)*T1055+Summary!$B$11*V1055</f>
        <v/>
      </c>
      <c r="P1055">
        <f>IF(B1096=0,0,O1055/B1096)</f>
        <v/>
      </c>
      <c r="Q1055">
        <f>IFERROR(1/IF(Inputs!$B$39="pvp",15,MAX(0.1,Skills!D3-IF(Skills!E3=TRUE,Inputs!$B$32,0))),0)</f>
        <v/>
      </c>
      <c r="R1055">
        <f>IF(AND(Inputs!$B$39&lt;&gt;"pvp",Inputs!$B$44&gt;0),IF(MAX(0,Inputs!$B$44-B1097)&lt;=0,0,(INT(MAX(0,Inputs!$B$44-B1097)/IF(Inputs!$B$39="pvp",15,MAX(0.1,Skills!D3-IF(Skills!E3=TRUE,Inputs!$B$32,0))))+1)),0)</f>
        <v/>
      </c>
      <c r="S1055">
        <f>IFERROR(O1055/N1055,0)</f>
        <v/>
      </c>
      <c r="T1055">
        <f>IF(C1055,(H1055*N1055*IF(AND(Inputs!$B$39&lt;&gt;"pvp",Inputs!$B$44&gt;0),((Skills!G3*((R1055-1)*IF(Skills!H3&gt;0,Skills!I3/Skills!H3,1)+IF(Skills!H3&gt;0,MIN(Skills!I3,MAX(0,MAX(0,Inputs!$B$44-B1097)-((R1055-1)*IF(Inputs!$B$39="pvp",15,MAX(0.1,Skills!D3-IF(Skills!E3=TRUE,Inputs!$B$32,0))))))/Skills!H3,1)))/Inputs!$B$44),G1055*Q1055))*IF(Inputs!$B$39="pvp",1,1+(Inputs!$B$20+((C1079=TRUE)*(F1079-Calc!F27))+Skills!P3+B1093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Hunt"),CHOOSE(ArtifactsInput!$N$35+1,15,18,21,24,27,30)*(1-EXP(-(0.2*B1088)*5)),0)+IF(AND(ArtifactsInput!$M$22,Inputs!$B$4&lt;&gt;"Chapter Hunt"),CHOOSE(ArtifactsInput!$N$22+1,10,12,14,16,18,20)*((0*(((0.15*B1088*5))^0/1)+1*(((0.15*B1088*5))^1/1)+2*(((0.15*B1088*5))^2/2)+3*(((0.15*B1088*5))^3/6)+4*(((0.15*B1088*5))^4/24)+5*(((0.15*B1088*5))^5/120))/((((0.15*B1088*5))^0/1)+(((0.15*B1088*5))^1/1)+(((0.15*B1088*5))^2/2)+(((0.15*B1088*5))^3/6)+(((0.15*B1088*5))^4/24)+(((0.15*B1088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1055*(1-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1055*(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1055*(1-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1055*(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55">
        <f>INDEX(FactorTable!$B$2:$Y$301, MATCH(ROUND(MIN(300,MAX(1,U1054)),0), FactorTable!$A$2:$A$301,0), 24)</f>
        <v/>
      </c>
      <c r="V1055">
        <f>IF(C1055,(H1055*N1055*IF(AND(Inputs!$B$39&lt;&gt;"pvp",Inputs!$B$44&gt;0),((Skills!G3*((R1055-1)*IF(Skills!H3&gt;0,Skills!I3/Skills!H3,1)+IF(Skills!H3&gt;0,MIN(Skills!I3,MAX(0,MAX(0,Inputs!$B$44-B1097)-((R1055-1)*IF(Inputs!$B$39="pvp",15,MAX(0.1,Skills!D3-IF(Skills!E3=TRUE,Inputs!$B$32,0))))))/Skills!H3,1)))/Inputs!$B$44),G1055*Q1055))*IF(Inputs!$B$39="pvp",1,(1+(Inputs!$B$21+Skills!Q3+B1093+(IF(ArtifactsInput!$M$33,CHOOSE(ArtifactsInput!$N$33+1,30,36,42,48,54,60),0))+(IF(AND(ArtifactsInput!$M$35,Inputs!$B$4&lt;&gt;"Chapter Hunt"),CHOOSE(ArtifactsInput!$N$35+1,15,18,21,24,27,30)*(1-EXP(-(0.2*B1088)*5)),0)+IF(AND(ArtifactsInput!$M$22,Inputs!$B$4&lt;&gt;"Chapter Hunt"),CHOOSE(ArtifactsInput!$N$22+1,10,12,14,16,18,20)*((0*(((0.15*B1088*5))^0/1)+1*(((0.15*B1088*5))^1/1)+2*(((0.15*B1088*5))^2/2)+3*(((0.15*B1088*5))^3/6)+4*(((0.15*B1088*5))^4/24)+5*(((0.15*B1088*5))^5/120))/((((0.15*B1088*5))^0/1)+(((0.15*B1088*5))^1/1)+(((0.15*B1088*5))^2/2)+(((0.15*B1088*5))^3/6)+(((0.15*B1088*5))^4/24)+(((0.15*B1088*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56">
      <c r="A1056">
        <f>Skills!A4</f>
        <v/>
      </c>
      <c r="B1056">
        <f>Skills!B4</f>
        <v/>
      </c>
      <c r="C1056">
        <f>Inputs!$B$3&gt;=40</f>
        <v/>
      </c>
      <c r="D1056">
        <f>IF(Skills!C4=1,60+Inputs!$B$25+(Inputs!$B$29+1),IF(Skills!C4=2,90+Inputs!$B$26+(Inputs!$B$29+1),IF(Skills!C4=3,120+Inputs!$B$27+(Inputs!$B$29+1),MAX(0,(Inputs!$B$3-100)*3)+Inputs!$B$28+(Inputs!$B$29+1))))</f>
        <v/>
      </c>
      <c r="E1056">
        <f>INDEX(FactorTable!$B$2:$Y$301, MATCH(ROUND(MIN(300,MAX(1,D1056)),0), FactorTable!$A$2:$A$301,0), Skills!M4+1)</f>
        <v/>
      </c>
      <c r="F1056">
        <f>IF(Skills!N4=TRUE,(Skills!L4/10)*(E1056/1000),Skills!L4/10)+Skills!O4</f>
        <v/>
      </c>
      <c r="G1056">
        <f>Calc!G4</f>
        <v/>
      </c>
      <c r="H1056">
        <f>Calc!H4</f>
        <v/>
      </c>
      <c r="I1056">
        <f>IF(Skills!AA4&lt;&gt;"",1+(Skills!AA4/10)*(U1055/1000)/100,1)</f>
        <v/>
      </c>
      <c r="J1056">
        <f>((Inputs!$B$6*(1+Inputs!$B$7/100))+(((Inputs!$B$12*(1+Inputs!$B$13/100))-(Inputs!$B$12*(1+Inputs!$B$13/100)))+0.25*(Inputs!$B$14-Inputs!$B$14))*(1+Inputs!$B$7/100))*(F1056/100)</f>
        <v/>
      </c>
      <c r="K1056">
        <f>J1056*(1+((Inputs!$B$12*(1+Inputs!$B$13/100))*0.01+Inputs!$B$14*0.0025)/100)*(1+Inputs!$B$15/100)*(1+Inputs!$B$16/100)*(5000/(6000+Inputs!$B$43*(1-(100*(1-(1-(Inputs!$B$19+0)/100)*(1-CHOOSE(ArtifactsInput!$N$40+1,5,6,7,8,9,10)/100)^(ArtifactsInput!$M$40-ArtifactsInput!$M$40)))/100)))*(1+(Inputs!$B$24+((C1082=TRUE)*(F1082-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1075=TRUE)*(F1075-Calc!F23))+(((IF(AND(ArtifactsInput!$M$42,((Inputs!$B$9+((C1077=TRUE)*(F1077-Calc!F25))+B1092+(ArtifactsInput!$M$24-ArtifactsInput!$M$24)*CHOOSE(ArtifactsInput!$N$24+1,10,12,14,16,18,20)+IF(ArtifactsInput!$M$10,CHOOSE(ArtifactsInput!$N$10+1,15,18,21,24,27,30)*(IF(Inputs!$B$39="pvp",MIN(15,15)/15,IF(AND(Inputs!$B$39&lt;&gt;"pvp",Inputs!$B$44&gt;0),MIN(15,Inputs!$B$44)/(Inputs!$B$44),0))),0)))&gt;=100),MIN(100,((Inputs!$B$9+((C1077=TRUE)*(F1077-Calc!F25))+B1092+(ArtifactsInput!$M$24-ArtifactsInput!$M$24)*CHOOSE(ArtifactsInput!$N$24+1,10,12,14,16,18,20)+IF(ArtifactsInput!$M$10,CHOOSE(ArtifactsInput!$N$10+1,15,18,21,24,27,30)*(IF(Inputs!$B$39="pvp",MIN(15,15)/15,IF(AND(Inputs!$B$39&lt;&gt;"pvp",Inputs!$B$44&gt;0),MIN(15,Inputs!$B$44)/(Inputs!$B$44),0))),0)))-100),0))*CHOOSE(ArtifactsInput!$N$42+1,0.6,0.72,0.84,0.96,1.08,1.2))),Inputs!$B$18+((C1081=TRUE)*(F1081-Calc!F29))+(IF(AND(ArtifactsInput!$M$42,((Inputs!$B$9+((C1077=TRUE)*(F1077-Calc!F25))+B1092+(ArtifactsInput!$M$24-ArtifactsInput!$M$24)*CHOOSE(ArtifactsInput!$N$24+1,10,12,14,16,18,20)+IF(ArtifactsInput!$M$10,CHOOSE(ArtifactsInput!$N$10+1,15,18,21,24,27,30)*(IF(Inputs!$B$39="pvp",MIN(15,15)/15,IF(AND(Inputs!$B$39&lt;&gt;"pvp",Inputs!$B$44&gt;0),MIN(15,Inputs!$B$44)/(Inputs!$B$44),0))),0)))&gt;=100),CHOOSE(ArtifactsInput!$N$42+1,40,48,56,64,72,80),0))))/100)*(((1+(((C1073=TRUE)*F1073*IF(AND(Inputs!$B$39&lt;&gt;"pvp",Inputs!$B$44&gt;0),(((R1073-1)*(Skills!Y21*(1+Inputs!$B$34/100))+MIN((Skills!Y21*(1+Inputs!$B$34/100)),MAX(0,Inputs!$B$44-((R1073-1)*Skills!D21))))/Inputs!$B$44),IF(Inputs!$B$39="pvp",MIN((Skills!Y21*(1+Inputs!$B$34/100)),15)/15,(Skills!Y21*(1+Inputs!$B$34/100))/Skills!D21)))+((C1080=TRUE)*(F1080-Calc!F28))+((C1070=TRUE)*(F1070-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1067=TRUE)*F1067*IF(AND(Inputs!$B$39&lt;&gt;"pvp",Inputs!$B$44&gt;0),(((R1067-1)*(Skills!Y15*(1+Inputs!$B$34/100))+MIN((Skills!Y15*(1+Inputs!$B$34/100)),MAX(0,Inputs!$B$44-((R1067-1)*Skills!D15))))/Inputs!$B$44),IF(Inputs!$B$39="pvp",MIN((Skills!Y15*(1+Inputs!$B$34/100)),15)/15,(Skills!Y15*(1+Inputs!$B$34/100))/Skills!D15)))/100)*(1+((C1058=TRUE)*F1058*B1086)/100))*B1094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1056)</f>
        <v/>
      </c>
      <c r="L1056">
        <f>K1056*(MIN(Inputs!$B$22+((C1076=TRUE)*(F1076-Calc!F24)),(Inputs!$B$23+0+(IF(ArtifactsInput!$M$15,CHOOSE(ArtifactsInput!$N$15+1,25,30,35,40,45,50)/100*(Inputs!$B$11-Inputs!$B$11),0))))/100+(Inputs!$B$23+0+(IF(ArtifactsInput!$M$15,CHOOSE(ArtifactsInput!$N$15+1,25,30,35,40,45,50)/100*(Inputs!$B$11-Inputs!$B$11),0)))/100)/2</f>
        <v/>
      </c>
      <c r="M1056">
        <f>L1056*(1+(Inputs!$B$10+((C1078=TRUE)*(F1078-Calc!F26))+B1095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56">
        <f>L1056*(1-MIN((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1056*(MIN((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56">
        <f>(1-Summary!$B$11)*T1056+Summary!$B$11*V1056</f>
        <v/>
      </c>
      <c r="P1056">
        <f>IF(B1096=0,0,O1056/B1096)</f>
        <v/>
      </c>
      <c r="Q1056">
        <f>IFERROR(1/IF(Inputs!$B$39="pvp",15,MAX(0.1,Skills!D4-IF(Skills!E4=TRUE,Inputs!$B$32,0))),0)</f>
        <v/>
      </c>
      <c r="R1056">
        <f>IF(AND(Inputs!$B$39&lt;&gt;"pvp",Inputs!$B$44&gt;0),IF(MAX(0,Inputs!$B$44-B1097)&lt;=0,0,(INT(MAX(0,Inputs!$B$44-B1097)/IF(Inputs!$B$39="pvp",15,MAX(0.1,Skills!D4-IF(Skills!E4=TRUE,Inputs!$B$32,0))))+1)),0)</f>
        <v/>
      </c>
      <c r="S1056">
        <f>IFERROR(O1056/N1056,0)</f>
        <v/>
      </c>
      <c r="T1056">
        <f>IF(C1056,(H1056*N1056*IF(AND(Inputs!$B$39&lt;&gt;"pvp",Inputs!$B$44&gt;0),((Skills!G4*((R1056-1)*IF(Skills!H4&gt;0,Skills!I4/Skills!H4,1)+IF(Skills!H4&gt;0,MIN(Skills!I4,MAX(0,MAX(0,Inputs!$B$44-B1097)-((R1056-1)*IF(Inputs!$B$39="pvp",15,MAX(0.1,Skills!D4-IF(Skills!E4=TRUE,Inputs!$B$32,0))))))/Skills!H4,1)))/Inputs!$B$44),G1056*Q1056))*IF(Inputs!$B$39="pvp",1,1+(Inputs!$B$20+((C1079=TRUE)*(F1079-Calc!F27))+Skills!P4+B1093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Hunt"),CHOOSE(ArtifactsInput!$N$35+1,15,18,21,24,27,30)*(1-EXP(-(0.2*B1088)*5)),0)+IF(AND(ArtifactsInput!$M$22,Inputs!$B$4&lt;&gt;"Chapter Hunt"),CHOOSE(ArtifactsInput!$N$22+1,10,12,14,16,18,20)*((0*(((0.15*B1088*5))^0/1)+1*(((0.15*B1088*5))^1/1)+2*(((0.15*B1088*5))^2/2)+3*(((0.15*B1088*5))^3/6)+4*(((0.15*B1088*5))^4/24)+5*(((0.15*B1088*5))^5/120))/((((0.15*B1088*5))^0/1)+(((0.15*B1088*5))^1/1)+(((0.15*B1088*5))^2/2)+(((0.15*B1088*5))^3/6)+(((0.15*B1088*5))^4/24)+(((0.15*B1088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1056*(1-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1056*(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1056*(1-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1056*(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56">
        <f>MAX(0,(Inputs!$B$3-100)*3)+Inputs!$B$28+(Inputs!$B$29+1)</f>
        <v/>
      </c>
      <c r="V1056">
        <f>IF(C1056,(H1056*N1056*IF(AND(Inputs!$B$39&lt;&gt;"pvp",Inputs!$B$44&gt;0),((Skills!G4*((R1056-1)*IF(Skills!H4&gt;0,Skills!I4/Skills!H4,1)+IF(Skills!H4&gt;0,MIN(Skills!I4,MAX(0,MAX(0,Inputs!$B$44-B1097)-((R1056-1)*IF(Inputs!$B$39="pvp",15,MAX(0.1,Skills!D4-IF(Skills!E4=TRUE,Inputs!$B$32,0))))))/Skills!H4,1)))/Inputs!$B$44),G1056*Q1056))*IF(Inputs!$B$39="pvp",1,(1+(Inputs!$B$21+Skills!Q4+B1093+(IF(ArtifactsInput!$M$33,CHOOSE(ArtifactsInput!$N$33+1,30,36,42,48,54,60),0))+(IF(AND(ArtifactsInput!$M$35,Inputs!$B$4&lt;&gt;"Chapter Hunt"),CHOOSE(ArtifactsInput!$N$35+1,15,18,21,24,27,30)*(1-EXP(-(0.2*B1088)*5)),0)+IF(AND(ArtifactsInput!$M$22,Inputs!$B$4&lt;&gt;"Chapter Hunt"),CHOOSE(ArtifactsInput!$N$22+1,10,12,14,16,18,20)*((0*(((0.15*B1088*5))^0/1)+1*(((0.15*B1088*5))^1/1)+2*(((0.15*B1088*5))^2/2)+3*(((0.15*B1088*5))^3/6)+4*(((0.15*B1088*5))^4/24)+5*(((0.15*B1088*5))^5/120))/((((0.15*B1088*5))^0/1)+(((0.15*B1088*5))^1/1)+(((0.15*B1088*5))^2/2)+(((0.15*B1088*5))^3/6)+(((0.15*B1088*5))^4/24)+(((0.15*B1088*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57">
      <c r="A1057">
        <f>Skills!A5</f>
        <v/>
      </c>
      <c r="B1057">
        <f>Skills!B5</f>
        <v/>
      </c>
      <c r="C1057">
        <f>Inputs!$B$3&gt;=63</f>
        <v/>
      </c>
      <c r="D1057">
        <f>IF(Skills!C5=1,60+Inputs!$B$25+(Inputs!$B$29+1),IF(Skills!C5=2,90+Inputs!$B$26+(Inputs!$B$29+1),IF(Skills!C5=3,120+Inputs!$B$27+(Inputs!$B$29+1),MAX(0,(Inputs!$B$3-100)*3)+Inputs!$B$28+(Inputs!$B$29+1))))</f>
        <v/>
      </c>
      <c r="E1057">
        <f>INDEX(FactorTable!$B$2:$Y$301, MATCH(ROUND(MIN(300,MAX(1,D1057)),0), FactorTable!$A$2:$A$301,0), Skills!M5+1)</f>
        <v/>
      </c>
      <c r="F1057">
        <f>IF(Skills!N5=TRUE,(Skills!L5/10)*(E1057/1000),Skills!L5/10)+Skills!O5</f>
        <v/>
      </c>
      <c r="G1057">
        <f>Calc!G5</f>
        <v/>
      </c>
      <c r="H1057">
        <f>Calc!H5</f>
        <v/>
      </c>
      <c r="I1057">
        <f>IF(Skills!AA5&lt;&gt;"",1+(Skills!AA5/10)*(U1055/1000)/100,1)</f>
        <v/>
      </c>
      <c r="J1057">
        <f>((Inputs!$B$6*(1+Inputs!$B$7/100))+(((Inputs!$B$12*(1+Inputs!$B$13/100))-(Inputs!$B$12*(1+Inputs!$B$13/100)))+0.25*(Inputs!$B$14-Inputs!$B$14))*(1+Inputs!$B$7/100))*(F1057/100)</f>
        <v/>
      </c>
      <c r="K1057">
        <f>J1057*(1+((Inputs!$B$12*(1+Inputs!$B$13/100))*0.01+Inputs!$B$14*0.0025)/100)*(1+Inputs!$B$15/100)*(1+Inputs!$B$16/100)*(5000/(6000+Inputs!$B$43*(1-(100*(1-(1-(Inputs!$B$19+0)/100)*(1-CHOOSE(ArtifactsInput!$N$40+1,5,6,7,8,9,10)/100)^(ArtifactsInput!$M$40-ArtifactsInput!$M$40)))/100)))*(1+(Inputs!$B$24+((C1082=TRUE)*(F1082-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1075=TRUE)*(F1075-Calc!F23))+(((IF(AND(ArtifactsInput!$M$42,((Inputs!$B$9+((C1077=TRUE)*(F1077-Calc!F25))+B1092+(ArtifactsInput!$M$24-ArtifactsInput!$M$24)*CHOOSE(ArtifactsInput!$N$24+1,10,12,14,16,18,20)+IF(ArtifactsInput!$M$10,CHOOSE(ArtifactsInput!$N$10+1,15,18,21,24,27,30)*(IF(Inputs!$B$39="pvp",MIN(15,15)/15,IF(AND(Inputs!$B$39&lt;&gt;"pvp",Inputs!$B$44&gt;0),MIN(15,Inputs!$B$44)/(Inputs!$B$44),0))),0)))&gt;=100),MIN(100,((Inputs!$B$9+((C1077=TRUE)*(F1077-Calc!F25))+B1092+(ArtifactsInput!$M$24-ArtifactsInput!$M$24)*CHOOSE(ArtifactsInput!$N$24+1,10,12,14,16,18,20)+IF(ArtifactsInput!$M$10,CHOOSE(ArtifactsInput!$N$10+1,15,18,21,24,27,30)*(IF(Inputs!$B$39="pvp",MIN(15,15)/15,IF(AND(Inputs!$B$39&lt;&gt;"pvp",Inputs!$B$44&gt;0),MIN(15,Inputs!$B$44)/(Inputs!$B$44),0))),0)))-100),0))*CHOOSE(ArtifactsInput!$N$42+1,0.6,0.72,0.84,0.96,1.08,1.2))),Inputs!$B$18+((C1081=TRUE)*(F1081-Calc!F29))+(IF(AND(ArtifactsInput!$M$42,((Inputs!$B$9+((C1077=TRUE)*(F1077-Calc!F25))+B1092+(ArtifactsInput!$M$24-ArtifactsInput!$M$24)*CHOOSE(ArtifactsInput!$N$24+1,10,12,14,16,18,20)+IF(ArtifactsInput!$M$10,CHOOSE(ArtifactsInput!$N$10+1,15,18,21,24,27,30)*(IF(Inputs!$B$39="pvp",MIN(15,15)/15,IF(AND(Inputs!$B$39&lt;&gt;"pvp",Inputs!$B$44&gt;0),MIN(15,Inputs!$B$44)/(Inputs!$B$44),0))),0)))&gt;=100),CHOOSE(ArtifactsInput!$N$42+1,40,48,56,64,72,80),0))))/100)*(((1+(((C1073=TRUE)*F1073*IF(AND(Inputs!$B$39&lt;&gt;"pvp",Inputs!$B$44&gt;0),(((R1073-1)*(Skills!Y21*(1+Inputs!$B$34/100))+MIN((Skills!Y21*(1+Inputs!$B$34/100)),MAX(0,Inputs!$B$44-((R1073-1)*Skills!D21))))/Inputs!$B$44),IF(Inputs!$B$39="pvp",MIN((Skills!Y21*(1+Inputs!$B$34/100)),15)/15,(Skills!Y21*(1+Inputs!$B$34/100))/Skills!D21)))+((C1080=TRUE)*(F1080-Calc!F28))+((C1070=TRUE)*(F1070-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1067=TRUE)*F1067*IF(AND(Inputs!$B$39&lt;&gt;"pvp",Inputs!$B$44&gt;0),(((R1067-1)*(Skills!Y15*(1+Inputs!$B$34/100))+MIN((Skills!Y15*(1+Inputs!$B$34/100)),MAX(0,Inputs!$B$44-((R1067-1)*Skills!D15))))/Inputs!$B$44),IF(Inputs!$B$39="pvp",MIN((Skills!Y15*(1+Inputs!$B$34/100)),15)/15,(Skills!Y15*(1+Inputs!$B$34/100))/Skills!D15)))/100)*(1+((C1058=TRUE)*F1058*B1086)/100))*B1094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1057)</f>
        <v/>
      </c>
      <c r="L1057">
        <f>K1057*(MIN(Inputs!$B$22+((C1076=TRUE)*(F1076-Calc!F24)),(Inputs!$B$23+0+(IF(ArtifactsInput!$M$15,CHOOSE(ArtifactsInput!$N$15+1,25,30,35,40,45,50)/100*(Inputs!$B$11-Inputs!$B$11),0))))/100+(Inputs!$B$23+0+(IF(ArtifactsInput!$M$15,CHOOSE(ArtifactsInput!$N$15+1,25,30,35,40,45,50)/100*(Inputs!$B$11-Inputs!$B$11),0)))/100)/2</f>
        <v/>
      </c>
      <c r="M1057">
        <f>L1057*(1+(Inputs!$B$10+((C1078=TRUE)*(F1078-Calc!F26))+B1095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57">
        <f>L1057*(1-MIN((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1057*(MIN((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57">
        <f>(1-Summary!$B$11)*T1057+Summary!$B$11*V1057</f>
        <v/>
      </c>
      <c r="P1057">
        <f>IF(B1096=0,0,O1057/B1096)</f>
        <v/>
      </c>
      <c r="Q1057">
        <f>IFERROR(1/IF(Inputs!$B$39="pvp",15,MAX(0.1,Skills!D5-IF(Skills!E5=TRUE,Inputs!$B$32,0))),0)</f>
        <v/>
      </c>
      <c r="R1057">
        <f>IF(AND(Inputs!$B$39&lt;&gt;"pvp",Inputs!$B$44&gt;0),IF(MAX(0,Inputs!$B$44-B1097)&lt;=0,0,(INT(MAX(0,Inputs!$B$44-B1097)/IF(Inputs!$B$39="pvp",15,MAX(0.1,Skills!D5-IF(Skills!E5=TRUE,Inputs!$B$32,0))))+1)),0)</f>
        <v/>
      </c>
      <c r="S1057">
        <f>IFERROR(O1057/N1057,0)</f>
        <v/>
      </c>
      <c r="T1057">
        <f>IF(C1057,(H1057*N1057*IF(AND(Inputs!$B$39&lt;&gt;"pvp",Inputs!$B$44&gt;0),((Skills!G5*((R1057-1)*IF(Skills!H5&gt;0,Skills!I5/Skills!H5,1)+IF(Skills!H5&gt;0,MIN(Skills!I5,MAX(0,MAX(0,Inputs!$B$44-B1097)-((R1057-1)*IF(Inputs!$B$39="pvp",15,MAX(0.1,Skills!D5-IF(Skills!E5=TRUE,Inputs!$B$32,0))))))/Skills!H5,1)))/Inputs!$B$44),G1057*Q1057))*IF(Inputs!$B$39="pvp",1,1+(Inputs!$B$20+((C1079=TRUE)*(F1079-Calc!F27))+Skills!P5+B1093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Hunt"),CHOOSE(ArtifactsInput!$N$35+1,15,18,21,24,27,30)*(1-EXP(-(0.2*B1088)*5)),0)+IF(AND(ArtifactsInput!$M$22,Inputs!$B$4&lt;&gt;"Chapter Hunt"),CHOOSE(ArtifactsInput!$N$22+1,10,12,14,16,18,20)*((0*(((0.15*B1088*5))^0/1)+1*(((0.15*B1088*5))^1/1)+2*(((0.15*B1088*5))^2/2)+3*(((0.15*B1088*5))^3/6)+4*(((0.15*B1088*5))^4/24)+5*(((0.15*B1088*5))^5/120))/((((0.15*B1088*5))^0/1)+(((0.15*B1088*5))^1/1)+(((0.15*B1088*5))^2/2)+(((0.15*B1088*5))^3/6)+(((0.15*B1088*5))^4/24)+(((0.15*B1088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1057*(1-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1057*(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1057*(1-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1057*(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57">
        <f>INDEX(FactorTable!$B$2:$Y$301, MATCH(ROUND(MIN(300,MAX(1,U1056)),0), FactorTable!$A$2:$A$301,0), 22)</f>
        <v/>
      </c>
      <c r="V1057">
        <f>IF(C1057,(H1057*N1057*IF(AND(Inputs!$B$39&lt;&gt;"pvp",Inputs!$B$44&gt;0),((Skills!G5*((R1057-1)*IF(Skills!H5&gt;0,Skills!I5/Skills!H5,1)+IF(Skills!H5&gt;0,MIN(Skills!I5,MAX(0,MAX(0,Inputs!$B$44-B1097)-((R1057-1)*IF(Inputs!$B$39="pvp",15,MAX(0.1,Skills!D5-IF(Skills!E5=TRUE,Inputs!$B$32,0))))))/Skills!H5,1)))/Inputs!$B$44),G1057*Q1057))*IF(Inputs!$B$39="pvp",1,(1+(Inputs!$B$21+Skills!Q5+B1093+(IF(ArtifactsInput!$M$33,CHOOSE(ArtifactsInput!$N$33+1,30,36,42,48,54,60),0))+(IF(AND(ArtifactsInput!$M$35,Inputs!$B$4&lt;&gt;"Chapter Hunt"),CHOOSE(ArtifactsInput!$N$35+1,15,18,21,24,27,30)*(1-EXP(-(0.2*B1088)*5)),0)+IF(AND(ArtifactsInput!$M$22,Inputs!$B$4&lt;&gt;"Chapter Hunt"),CHOOSE(ArtifactsInput!$N$22+1,10,12,14,16,18,20)*((0*(((0.15*B1088*5))^0/1)+1*(((0.15*B1088*5))^1/1)+2*(((0.15*B1088*5))^2/2)+3*(((0.15*B1088*5))^3/6)+4*(((0.15*B1088*5))^4/24)+5*(((0.15*B1088*5))^5/120))/((((0.15*B1088*5))^0/1)+(((0.15*B1088*5))^1/1)+(((0.15*B1088*5))^2/2)+(((0.15*B1088*5))^3/6)+(((0.15*B1088*5))^4/24)+(((0.15*B1088*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58">
      <c r="A1058">
        <f>Skills!A6</f>
        <v/>
      </c>
      <c r="B1058">
        <f>Skills!B6</f>
        <v/>
      </c>
      <c r="C1058">
        <f>Inputs!$B$3&gt;=66</f>
        <v/>
      </c>
      <c r="D1058">
        <f>IF(Skills!C6=1,60+Inputs!$B$25+(Inputs!$B$29+1),IF(Skills!C6=2,90+Inputs!$B$26+(Inputs!$B$29+1),IF(Skills!C6=3,120+Inputs!$B$27+(Inputs!$B$29+1),MAX(0,(Inputs!$B$3-100)*3)+Inputs!$B$28+(Inputs!$B$29+1))))</f>
        <v/>
      </c>
      <c r="E1058">
        <f>INDEX(FactorTable!$B$2:$Y$301, MATCH(ROUND(MIN(300,MAX(1,D1058)),0), FactorTable!$A$2:$A$301,0), Skills!M6+1)</f>
        <v/>
      </c>
      <c r="F1058">
        <f>IF(Skills!N6=TRUE,(Skills!L6/10)*(E1058/1000),Skills!L6/10)+Skills!O6</f>
        <v/>
      </c>
      <c r="G1058">
        <f>Calc!G6</f>
        <v/>
      </c>
      <c r="H1058">
        <f>Calc!H6</f>
        <v/>
      </c>
      <c r="I1058">
        <f>IF(Skills!AA6&lt;&gt;"",1+(Skills!AA6/10)*(U1055/1000)/100,1)</f>
        <v/>
      </c>
      <c r="J1058" t="inlineStr"/>
      <c r="K1058" t="inlineStr"/>
      <c r="L1058" t="inlineStr"/>
      <c r="M1058" t="inlineStr"/>
      <c r="N1058" t="inlineStr"/>
      <c r="O1058">
        <f>(1-Summary!$B$11)*T1058+Summary!$B$11*V1058</f>
        <v/>
      </c>
      <c r="P1058">
        <f>IF(B1096=0,0,O1058/B1096)</f>
        <v/>
      </c>
      <c r="Q1058" t="n">
        <v>0</v>
      </c>
      <c r="R1058" t="n">
        <v>0</v>
      </c>
      <c r="S1058">
        <f>IFERROR(O1058/N1058,0)</f>
        <v/>
      </c>
      <c r="T1058" t="n">
        <v>0</v>
      </c>
      <c r="U1058">
        <f>290*U1057/1000</f>
        <v/>
      </c>
      <c r="V1058" t="n">
        <v>0</v>
      </c>
    </row>
    <row r="1059">
      <c r="A1059">
        <f>Skills!A7</f>
        <v/>
      </c>
      <c r="B1059">
        <f>Skills!B7</f>
        <v/>
      </c>
      <c r="C1059">
        <f>Inputs!$B$3&gt;=66</f>
        <v/>
      </c>
      <c r="D1059">
        <f>IF(Skills!C7=1,60+Inputs!$B$25+(Inputs!$B$29+1),IF(Skills!C7=2,90+Inputs!$B$26+(Inputs!$B$29+1),IF(Skills!C7=3,120+Inputs!$B$27+(Inputs!$B$29+1),MAX(0,(Inputs!$B$3-100)*3)+Inputs!$B$28+(Inputs!$B$29+1))))</f>
        <v/>
      </c>
      <c r="E1059">
        <f>INDEX(FactorTable!$B$2:$Y$301, MATCH(ROUND(MIN(300,MAX(1,D1059)),0), FactorTable!$A$2:$A$301,0), Skills!M7+1)</f>
        <v/>
      </c>
      <c r="F1059">
        <f>IF(Skills!N7=TRUE,(Skills!L7/10)*(E1059/1000),Skills!L7/10)+Skills!O7</f>
        <v/>
      </c>
      <c r="G1059">
        <f>Calc!G7</f>
        <v/>
      </c>
      <c r="H1059">
        <f>Calc!H7</f>
        <v/>
      </c>
      <c r="I1059">
        <f>IF(Skills!AA7&lt;&gt;"",1+(Skills!AA7/10)*(U1055/1000)/100,1)</f>
        <v/>
      </c>
      <c r="J1059" t="inlineStr"/>
      <c r="K1059" t="inlineStr"/>
      <c r="L1059" t="inlineStr"/>
      <c r="M1059" t="inlineStr"/>
      <c r="N1059" t="inlineStr"/>
      <c r="O1059">
        <f>(1-Summary!$B$11)*T1059+Summary!$B$11*V1059</f>
        <v/>
      </c>
      <c r="P1059">
        <f>IF(B1096=0,0,O1059/B1096)</f>
        <v/>
      </c>
      <c r="Q1059" t="n">
        <v>0</v>
      </c>
      <c r="R1059" t="n">
        <v>0</v>
      </c>
      <c r="S1059">
        <f>IFERROR(O1059/N1059,0)</f>
        <v/>
      </c>
      <c r="T1059" t="n">
        <v>0</v>
      </c>
      <c r="V1059" t="n">
        <v>0</v>
      </c>
    </row>
    <row r="1060">
      <c r="A1060">
        <f>Skills!A8</f>
        <v/>
      </c>
      <c r="B1060">
        <f>Skills!B8</f>
        <v/>
      </c>
      <c r="C1060">
        <f>Inputs!$B$3&gt;=69</f>
        <v/>
      </c>
      <c r="D1060">
        <f>IF(Skills!C8=1,60+Inputs!$B$25+(Inputs!$B$29+1),IF(Skills!C8=2,90+Inputs!$B$26+(Inputs!$B$29+1),IF(Skills!C8=3,120+Inputs!$B$27+(Inputs!$B$29+1),MAX(0,(Inputs!$B$3-100)*3)+Inputs!$B$28+(Inputs!$B$29+1))))</f>
        <v/>
      </c>
      <c r="E1060">
        <f>INDEX(FactorTable!$B$2:$Y$301, MATCH(ROUND(MIN(300,MAX(1,D1060)),0), FactorTable!$A$2:$A$301,0), Skills!M8+1)</f>
        <v/>
      </c>
      <c r="F1060">
        <f>IF(Skills!N8=TRUE,(Skills!L8/10)*(E1060/1000),Skills!L8/10)+Skills!O8</f>
        <v/>
      </c>
      <c r="G1060">
        <f>Calc!G8</f>
        <v/>
      </c>
      <c r="H1060">
        <f>Calc!H8</f>
        <v/>
      </c>
      <c r="I1060">
        <f>IF(Skills!AA8&lt;&gt;"",1+(Skills!AA8/10)*(U1055/1000)/100,1)</f>
        <v/>
      </c>
      <c r="J1060">
        <f>((Inputs!$B$6*(1+Inputs!$B$7/100))+(((Inputs!$B$12*(1+Inputs!$B$13/100))-(Inputs!$B$12*(1+Inputs!$B$13/100)))+0.25*(Inputs!$B$14-Inputs!$B$14))*(1+Inputs!$B$7/100))*(F1060/100)</f>
        <v/>
      </c>
      <c r="K1060">
        <f>J1060*(1+((Inputs!$B$12*(1+Inputs!$B$13/100))*0.01+Inputs!$B$14*0.0025)/100)*(1+Inputs!$B$15/100)*(1+Inputs!$B$16/100)*(5000/(6000+Inputs!$B$43*(1-(100*(1-(1-(Inputs!$B$19+0)/100)*(1-CHOOSE(ArtifactsInput!$N$40+1,5,6,7,8,9,10)/100)^(ArtifactsInput!$M$40-ArtifactsInput!$M$40)))/100)))*(1+(Inputs!$B$24+((C1082=TRUE)*(F1082-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1075=TRUE)*(F1075-Calc!F23))+(((IF(AND(ArtifactsInput!$M$42,((Inputs!$B$9+((C1077=TRUE)*(F1077-Calc!F25))+B1092+(ArtifactsInput!$M$24-ArtifactsInput!$M$24)*CHOOSE(ArtifactsInput!$N$24+1,10,12,14,16,18,20)+IF(ArtifactsInput!$M$10,CHOOSE(ArtifactsInput!$N$10+1,15,18,21,24,27,30)*(IF(Inputs!$B$39="pvp",MIN(15,15)/15,IF(AND(Inputs!$B$39&lt;&gt;"pvp",Inputs!$B$44&gt;0),MIN(15,Inputs!$B$44)/(Inputs!$B$44),0))),0)))&gt;=100),MIN(100,((Inputs!$B$9+((C1077=TRUE)*(F1077-Calc!F25))+B1092+(ArtifactsInput!$M$24-ArtifactsInput!$M$24)*CHOOSE(ArtifactsInput!$N$24+1,10,12,14,16,18,20)+IF(ArtifactsInput!$M$10,CHOOSE(ArtifactsInput!$N$10+1,15,18,21,24,27,30)*(IF(Inputs!$B$39="pvp",MIN(15,15)/15,IF(AND(Inputs!$B$39&lt;&gt;"pvp",Inputs!$B$44&gt;0),MIN(15,Inputs!$B$44)/(Inputs!$B$44),0))),0)))-100),0))*CHOOSE(ArtifactsInput!$N$42+1,0.6,0.72,0.84,0.96,1.08,1.2))),Inputs!$B$18+((C1081=TRUE)*(F1081-Calc!F29))+(IF(AND(ArtifactsInput!$M$42,((Inputs!$B$9+((C1077=TRUE)*(F1077-Calc!F25))+B1092+(ArtifactsInput!$M$24-ArtifactsInput!$M$24)*CHOOSE(ArtifactsInput!$N$24+1,10,12,14,16,18,20)+IF(ArtifactsInput!$M$10,CHOOSE(ArtifactsInput!$N$10+1,15,18,21,24,27,30)*(IF(Inputs!$B$39="pvp",MIN(15,15)/15,IF(AND(Inputs!$B$39&lt;&gt;"pvp",Inputs!$B$44&gt;0),MIN(15,Inputs!$B$44)/(Inputs!$B$44),0))),0)))&gt;=100),CHOOSE(ArtifactsInput!$N$42+1,40,48,56,64,72,80),0))))/100)*(((1+(((C1073=TRUE)*F1073*IF(AND(Inputs!$B$39&lt;&gt;"pvp",Inputs!$B$44&gt;0),(((R1073-1)*(Skills!Y21*(1+Inputs!$B$34/100))+MIN((Skills!Y21*(1+Inputs!$B$34/100)),MAX(0,Inputs!$B$44-((R1073-1)*Skills!D21))))/Inputs!$B$44),IF(Inputs!$B$39="pvp",MIN((Skills!Y21*(1+Inputs!$B$34/100)),15)/15,(Skills!Y21*(1+Inputs!$B$34/100))/Skills!D21)))+((C1080=TRUE)*(F1080-Calc!F28))+((C1070=TRUE)*(F1070-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1067=TRUE)*F1067*IF(AND(Inputs!$B$39&lt;&gt;"pvp",Inputs!$B$44&gt;0),(((R1067-1)*(Skills!Y15*(1+Inputs!$B$34/100))+MIN((Skills!Y15*(1+Inputs!$B$34/100)),MAX(0,Inputs!$B$44-((R1067-1)*Skills!D15))))/Inputs!$B$44),IF(Inputs!$B$39="pvp",MIN((Skills!Y15*(1+Inputs!$B$34/100)),15)/15,(Skills!Y15*(1+Inputs!$B$34/100))/Skills!D15)))/100)*(1+((C1058=TRUE)*F1058*B1086)/100))*B1094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1060)</f>
        <v/>
      </c>
      <c r="L1060">
        <f>K1060*(MIN(Inputs!$B$22+((C1076=TRUE)*(F1076-Calc!F24)),(Inputs!$B$23+0+(IF(ArtifactsInput!$M$15,CHOOSE(ArtifactsInput!$N$15+1,25,30,35,40,45,50)/100*(Inputs!$B$11-Inputs!$B$11),0))))/100+(Inputs!$B$23+0+(IF(ArtifactsInput!$M$15,CHOOSE(ArtifactsInput!$N$15+1,25,30,35,40,45,50)/100*(Inputs!$B$11-Inputs!$B$11),0)))/100)/2</f>
        <v/>
      </c>
      <c r="M1060">
        <f>L1060*(1+(Inputs!$B$10+((C1078=TRUE)*(F1078-Calc!F26))+B1095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60">
        <f>L1060*(1-MIN((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1060*(MIN((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60">
        <f>(1-Summary!$B$11)*T1060+Summary!$B$11*V1060</f>
        <v/>
      </c>
      <c r="P1060">
        <f>IF(B1096=0,0,O1060/B1096)</f>
        <v/>
      </c>
      <c r="Q1060">
        <f>IFERROR(1/IF(Inputs!$B$39="pvp",15,MAX(0.1,Skills!D8-IF(Skills!E8=TRUE,Inputs!$B$32,0))),0)</f>
        <v/>
      </c>
      <c r="R1060">
        <f>IF(AND(Inputs!$B$39&lt;&gt;"pvp",Inputs!$B$44&gt;0),IF(MAX(0,Inputs!$B$44-B1097)&lt;=0,0,(INT(MAX(0,Inputs!$B$44-B1097)/IF(Inputs!$B$39="pvp",15,MAX(0.1,Skills!D8-IF(Skills!E8=TRUE,Inputs!$B$32,0))))+1)),0)</f>
        <v/>
      </c>
      <c r="S1060">
        <f>IFERROR(O1060/N1060,0)</f>
        <v/>
      </c>
      <c r="T1060">
        <f>IF(C1060,(H1060*N1060*IF(AND(Inputs!$B$39&lt;&gt;"pvp",Inputs!$B$44&gt;0),((Skills!G8*((R1060-1)*IF(Skills!H8&gt;0,Skills!I8/Skills!H8,1)+IF(Skills!H8&gt;0,MIN(Skills!I8,MAX(0,MAX(0,Inputs!$B$44-B1097)-((R1060-1)*IF(Inputs!$B$39="pvp",15,MAX(0.1,Skills!D8-IF(Skills!E8=TRUE,Inputs!$B$32,0))))))/Skills!H8,1)))/Inputs!$B$44),G1060*Q1060))*IF(Inputs!$B$39="pvp",1,1+(Inputs!$B$20+((C1079=TRUE)*(F1079-Calc!F27))+Skills!P8+B1093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Hunt"),CHOOSE(ArtifactsInput!$N$35+1,15,18,21,24,27,30)*(1-EXP(-(0.2*B1088)*5)),0)+IF(AND(ArtifactsInput!$M$22,Inputs!$B$4&lt;&gt;"Chapter Hunt"),CHOOSE(ArtifactsInput!$N$22+1,10,12,14,16,18,20)*((0*(((0.15*B1088*5))^0/1)+1*(((0.15*B1088*5))^1/1)+2*(((0.15*B1088*5))^2/2)+3*(((0.15*B1088*5))^3/6)+4*(((0.15*B1088*5))^4/24)+5*(((0.15*B1088*5))^5/120))/((((0.15*B1088*5))^0/1)+(((0.15*B1088*5))^1/1)+(((0.15*B1088*5))^2/2)+(((0.15*B1088*5))^3/6)+(((0.15*B1088*5))^4/24)+(((0.15*B1088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1060*(1-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1060*(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1060*(1-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1060*(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60">
        <f>IF(C1060,(H1060*N1060*IF(AND(Inputs!$B$39&lt;&gt;"pvp",Inputs!$B$44&gt;0),((Skills!G8*((R1060-1)*IF(Skills!H8&gt;0,Skills!I8/Skills!H8,1)+IF(Skills!H8&gt;0,MIN(Skills!I8,MAX(0,MAX(0,Inputs!$B$44-B1097)-((R1060-1)*IF(Inputs!$B$39="pvp",15,MAX(0.1,Skills!D8-IF(Skills!E8=TRUE,Inputs!$B$32,0))))))/Skills!H8,1)))/Inputs!$B$44),G1060*Q1060))*IF(Inputs!$B$39="pvp",1,(1+(Inputs!$B$21+Skills!Q8+B1093+(IF(ArtifactsInput!$M$33,CHOOSE(ArtifactsInput!$N$33+1,30,36,42,48,54,60),0))+(IF(AND(ArtifactsInput!$M$35,Inputs!$B$4&lt;&gt;"Chapter Hunt"),CHOOSE(ArtifactsInput!$N$35+1,15,18,21,24,27,30)*(1-EXP(-(0.2*B1088)*5)),0)+IF(AND(ArtifactsInput!$M$22,Inputs!$B$4&lt;&gt;"Chapter Hunt"),CHOOSE(ArtifactsInput!$N$22+1,10,12,14,16,18,20)*((0*(((0.15*B1088*5))^0/1)+1*(((0.15*B1088*5))^1/1)+2*(((0.15*B1088*5))^2/2)+3*(((0.15*B1088*5))^3/6)+4*(((0.15*B1088*5))^4/24)+5*(((0.15*B1088*5))^5/120))/((((0.15*B1088*5))^0/1)+(((0.15*B1088*5))^1/1)+(((0.15*B1088*5))^2/2)+(((0.15*B1088*5))^3/6)+(((0.15*B1088*5))^4/24)+(((0.15*B1088*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61">
      <c r="A1061">
        <f>Skills!A9</f>
        <v/>
      </c>
      <c r="B1061">
        <f>Skills!B9</f>
        <v/>
      </c>
      <c r="C1061">
        <f>Inputs!$B$3&gt;=72</f>
        <v/>
      </c>
      <c r="D1061">
        <f>IF(Skills!C9=1,60+Inputs!$B$25+(Inputs!$B$29+1),IF(Skills!C9=2,90+Inputs!$B$26+(Inputs!$B$29+1),IF(Skills!C9=3,120+Inputs!$B$27+(Inputs!$B$29+1),MAX(0,(Inputs!$B$3-100)*3)+Inputs!$B$28+(Inputs!$B$29+1))))</f>
        <v/>
      </c>
      <c r="E1061">
        <f>INDEX(FactorTable!$B$2:$Y$301, MATCH(ROUND(MIN(300,MAX(1,D1061)),0), FactorTable!$A$2:$A$301,0), Skills!M9+1)</f>
        <v/>
      </c>
      <c r="F1061">
        <f>IF(Skills!N9=TRUE,(Skills!L9/10)*(E1061/1000),Skills!L9/10)+Skills!O9</f>
        <v/>
      </c>
      <c r="G1061">
        <f>Calc!G9</f>
        <v/>
      </c>
      <c r="H1061">
        <f>Calc!H9</f>
        <v/>
      </c>
      <c r="I1061">
        <f>IF(Skills!AA9&lt;&gt;"",1+(Skills!AA9/10)*(U1055/1000)/100,1)</f>
        <v/>
      </c>
      <c r="J1061">
        <f>((Inputs!$B$6*(1+Inputs!$B$7/100))+(((Inputs!$B$12*(1+Inputs!$B$13/100))-(Inputs!$B$12*(1+Inputs!$B$13/100)))+0.25*(Inputs!$B$14-Inputs!$B$14))*(1+Inputs!$B$7/100))*(F1061/100)</f>
        <v/>
      </c>
      <c r="K1061">
        <f>J1061*(1+((Inputs!$B$12*(1+Inputs!$B$13/100))*0.01+Inputs!$B$14*0.0025)/100)*(1+Inputs!$B$15/100)*(1+Inputs!$B$16/100)*(5000/(6000+Inputs!$B$43*(1-(100*(1-(1-(Inputs!$B$19+0)/100)*(1-CHOOSE(ArtifactsInput!$N$40+1,5,6,7,8,9,10)/100)^(ArtifactsInput!$M$40-ArtifactsInput!$M$40)))/100)))*(1+(Inputs!$B$24+((C1082=TRUE)*(F1082-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1075=TRUE)*(F1075-Calc!F23))+(((IF(AND(ArtifactsInput!$M$42,((Inputs!$B$9+((C1077=TRUE)*(F1077-Calc!F25))+B1092+(ArtifactsInput!$M$24-ArtifactsInput!$M$24)*CHOOSE(ArtifactsInput!$N$24+1,10,12,14,16,18,20)+IF(ArtifactsInput!$M$10,CHOOSE(ArtifactsInput!$N$10+1,15,18,21,24,27,30)*(IF(Inputs!$B$39="pvp",MIN(15,15)/15,IF(AND(Inputs!$B$39&lt;&gt;"pvp",Inputs!$B$44&gt;0),MIN(15,Inputs!$B$44)/(Inputs!$B$44),0))),0)))&gt;=100),MIN(100,((Inputs!$B$9+((C1077=TRUE)*(F1077-Calc!F25))+B1092+(ArtifactsInput!$M$24-ArtifactsInput!$M$24)*CHOOSE(ArtifactsInput!$N$24+1,10,12,14,16,18,20)+IF(ArtifactsInput!$M$10,CHOOSE(ArtifactsInput!$N$10+1,15,18,21,24,27,30)*(IF(Inputs!$B$39="pvp",MIN(15,15)/15,IF(AND(Inputs!$B$39&lt;&gt;"pvp",Inputs!$B$44&gt;0),MIN(15,Inputs!$B$44)/(Inputs!$B$44),0))),0)))-100),0))*CHOOSE(ArtifactsInput!$N$42+1,0.6,0.72,0.84,0.96,1.08,1.2))),Inputs!$B$18+((C1081=TRUE)*(F1081-Calc!F29))+(IF(AND(ArtifactsInput!$M$42,((Inputs!$B$9+((C1077=TRUE)*(F1077-Calc!F25))+B1092+(ArtifactsInput!$M$24-ArtifactsInput!$M$24)*CHOOSE(ArtifactsInput!$N$24+1,10,12,14,16,18,20)+IF(ArtifactsInput!$M$10,CHOOSE(ArtifactsInput!$N$10+1,15,18,21,24,27,30)*(IF(Inputs!$B$39="pvp",MIN(15,15)/15,IF(AND(Inputs!$B$39&lt;&gt;"pvp",Inputs!$B$44&gt;0),MIN(15,Inputs!$B$44)/(Inputs!$B$44),0))),0)))&gt;=100),CHOOSE(ArtifactsInput!$N$42+1,40,48,56,64,72,80),0))))/100)*(((1+(((C1073=TRUE)*F1073*IF(AND(Inputs!$B$39&lt;&gt;"pvp",Inputs!$B$44&gt;0),(((R1073-1)*(Skills!Y21*(1+Inputs!$B$34/100))+MIN((Skills!Y21*(1+Inputs!$B$34/100)),MAX(0,Inputs!$B$44-((R1073-1)*Skills!D21))))/Inputs!$B$44),IF(Inputs!$B$39="pvp",MIN((Skills!Y21*(1+Inputs!$B$34/100)),15)/15,(Skills!Y21*(1+Inputs!$B$34/100))/Skills!D21)))+((C1080=TRUE)*(F1080-Calc!F28))+((C1070=TRUE)*(F1070-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1067=TRUE)*F1067*IF(AND(Inputs!$B$39&lt;&gt;"pvp",Inputs!$B$44&gt;0),(((R1067-1)*(Skills!Y15*(1+Inputs!$B$34/100))+MIN((Skills!Y15*(1+Inputs!$B$34/100)),MAX(0,Inputs!$B$44-((R1067-1)*Skills!D15))))/Inputs!$B$44),IF(Inputs!$B$39="pvp",MIN((Skills!Y15*(1+Inputs!$B$34/100)),15)/15,(Skills!Y15*(1+Inputs!$B$34/100))/Skills!D15)))/100)*(1+((C1058=TRUE)*F1058*B1086)/100))*B1094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1061)</f>
        <v/>
      </c>
      <c r="L1061">
        <f>K1061*(MIN(Inputs!$B$22+((C1076=TRUE)*(F1076-Calc!F24)),(Inputs!$B$23+0+(IF(ArtifactsInput!$M$15,CHOOSE(ArtifactsInput!$N$15+1,25,30,35,40,45,50)/100*(Inputs!$B$11-Inputs!$B$11),0))))/100+(Inputs!$B$23+0+(IF(ArtifactsInput!$M$15,CHOOSE(ArtifactsInput!$N$15+1,25,30,35,40,45,50)/100*(Inputs!$B$11-Inputs!$B$11),0)))/100)/2</f>
        <v/>
      </c>
      <c r="M1061">
        <f>L1061*(1+(Inputs!$B$10+((C1078=TRUE)*(F1078-Calc!F26))+B1095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61">
        <f>L1061*(1-MIN((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1061*(MIN((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61">
        <f>(1-Summary!$B$11)*T1061+Summary!$B$11*V1061</f>
        <v/>
      </c>
      <c r="P1061">
        <f>IF(B1096=0,0,O1061/B1096)</f>
        <v/>
      </c>
      <c r="Q1061">
        <f>IFERROR(1/IF(Inputs!$B$39="pvp",15,MAX(0.1,Skills!D9-IF(Skills!E9=TRUE,Inputs!$B$32,0))),0)</f>
        <v/>
      </c>
      <c r="R1061">
        <f>IF(AND(Inputs!$B$39&lt;&gt;"pvp",Inputs!$B$44&gt;0),IF(MAX(0,Inputs!$B$44-B1097)&lt;=0,0,(INT(MAX(0,Inputs!$B$44-B1097)/IF(Inputs!$B$39="pvp",15,MAX(0.1,Skills!D9-IF(Skills!E9=TRUE,Inputs!$B$32,0))))+1)),0)</f>
        <v/>
      </c>
      <c r="S1061">
        <f>IFERROR(O1061/N1061,0)</f>
        <v/>
      </c>
      <c r="T1061">
        <f>IF(C1061,(H1061*N1061*IF(AND(Inputs!$B$39&lt;&gt;"pvp",Inputs!$B$44&gt;0),((Skills!G9*((R1061-1)*IF(Skills!H9&gt;0,Skills!I9/Skills!H9,1)+IF(Skills!H9&gt;0,MIN(Skills!I9,MAX(0,MAX(0,Inputs!$B$44-B1097)-((R1061-1)*IF(Inputs!$B$39="pvp",15,MAX(0.1,Skills!D9-IF(Skills!E9=TRUE,Inputs!$B$32,0))))))/Skills!H9,1)))/Inputs!$B$44),G1061*Q1061))*IF(Inputs!$B$39="pvp",1,1+(Inputs!$B$20+((C1079=TRUE)*(F1079-Calc!F27))+Skills!P9+B1093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Hunt"),CHOOSE(ArtifactsInput!$N$35+1,15,18,21,24,27,30)*(1-EXP(-(0.2*B1088)*5)),0)+IF(AND(ArtifactsInput!$M$22,Inputs!$B$4&lt;&gt;"Chapter Hunt"),CHOOSE(ArtifactsInput!$N$22+1,10,12,14,16,18,20)*((0*(((0.15*B1088*5))^0/1)+1*(((0.15*B1088*5))^1/1)+2*(((0.15*B1088*5))^2/2)+3*(((0.15*B1088*5))^3/6)+4*(((0.15*B1088*5))^4/24)+5*(((0.15*B1088*5))^5/120))/((((0.15*B1088*5))^0/1)+(((0.15*B1088*5))^1/1)+(((0.15*B1088*5))^2/2)+(((0.15*B1088*5))^3/6)+(((0.15*B1088*5))^4/24)+(((0.15*B1088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1061*(1-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1061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1061*(1-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1061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61">
        <f>IF(C1061,(H1061*N1061*IF(AND(Inputs!$B$39&lt;&gt;"pvp",Inputs!$B$44&gt;0),((Skills!G9*((R1061-1)*IF(Skills!H9&gt;0,Skills!I9/Skills!H9,1)+IF(Skills!H9&gt;0,MIN(Skills!I9,MAX(0,MAX(0,Inputs!$B$44-B1097)-((R1061-1)*IF(Inputs!$B$39="pvp",15,MAX(0.1,Skills!D9-IF(Skills!E9=TRUE,Inputs!$B$32,0))))))/Skills!H9,1)))/Inputs!$B$44),G1061*Q1061))*IF(Inputs!$B$39="pvp",1,(1+(Inputs!$B$21+Skills!Q9+B1093+(IF(ArtifactsInput!$M$33,CHOOSE(ArtifactsInput!$N$33+1,30,36,42,48,54,60),0))+(IF(AND(ArtifactsInput!$M$35,Inputs!$B$4&lt;&gt;"Chapter Hunt"),CHOOSE(ArtifactsInput!$N$35+1,15,18,21,24,27,30)*(1-EXP(-(0.2*B1088)*5)),0)+IF(AND(ArtifactsInput!$M$22,Inputs!$B$4&lt;&gt;"Chapter Hunt"),CHOOSE(ArtifactsInput!$N$22+1,10,12,14,16,18,20)*((0*(((0.15*B1088*5))^0/1)+1*(((0.15*B1088*5))^1/1)+2*(((0.15*B1088*5))^2/2)+3*(((0.15*B1088*5))^3/6)+4*(((0.15*B1088*5))^4/24)+5*(((0.15*B1088*5))^5/120))/((((0.15*B1088*5))^0/1)+(((0.15*B1088*5))^1/1)+(((0.15*B1088*5))^2/2)+(((0.15*B1088*5))^3/6)+(((0.15*B1088*5))^4/24)+(((0.15*B1088*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62">
      <c r="A1062">
        <f>Skills!A10</f>
        <v/>
      </c>
      <c r="B1062">
        <f>Skills!B10</f>
        <v/>
      </c>
      <c r="C1062">
        <f>Inputs!$B$3&gt;=117</f>
        <v/>
      </c>
      <c r="D1062">
        <f>IF(Skills!C10=1,60+Inputs!$B$25+(Inputs!$B$29+1),IF(Skills!C10=2,90+Inputs!$B$26+(Inputs!$B$29+1),IF(Skills!C10=3,120+Inputs!$B$27+(Inputs!$B$29+1),MAX(0,(Inputs!$B$3-100)*3)+Inputs!$B$28+(Inputs!$B$29+1))))</f>
        <v/>
      </c>
      <c r="E1062">
        <f>INDEX(FactorTable!$B$2:$Y$301, MATCH(ROUND(MIN(300,MAX(1,D1062)),0), FactorTable!$A$2:$A$301,0), Skills!M10+1)</f>
        <v/>
      </c>
      <c r="F1062">
        <f>IF(Skills!N10=TRUE,(Skills!L10/10)*(E1062/1000),Skills!L10/10)+Skills!O10</f>
        <v/>
      </c>
      <c r="G1062">
        <f>Calc!G10</f>
        <v/>
      </c>
      <c r="H1062">
        <f>Calc!H10</f>
        <v/>
      </c>
      <c r="I1062">
        <f>IF(Skills!AA10&lt;&gt;"",1+(Skills!AA10/10)*(U1055/1000)/100,1)</f>
        <v/>
      </c>
      <c r="J1062">
        <f>((Inputs!$B$6*(1+Inputs!$B$7/100))+(((Inputs!$B$12*(1+Inputs!$B$13/100))-(Inputs!$B$12*(1+Inputs!$B$13/100)))+0.25*(Inputs!$B$14-Inputs!$B$14))*(1+Inputs!$B$7/100))*(F1062/100)</f>
        <v/>
      </c>
      <c r="K1062">
        <f>J1062*(1+((Inputs!$B$12*(1+Inputs!$B$13/100))*0.01+Inputs!$B$14*0.0025)/100)*(1+Inputs!$B$15/100)*(1+Inputs!$B$16/100)*(5000/(6000+Inputs!$B$43*(1-(100*(1-(1-(Inputs!$B$19+0)/100)*(1-CHOOSE(ArtifactsInput!$N$40+1,5,6,7,8,9,10)/100)^(ArtifactsInput!$M$40-ArtifactsInput!$M$40)))/100)))*(1+(Inputs!$B$24+((C1082=TRUE)*(F1082-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1075=TRUE)*(F1075-Calc!F23))+(((IF(AND(ArtifactsInput!$M$42,((Inputs!$B$9+((C1077=TRUE)*(F1077-Calc!F25))+B1092+(ArtifactsInput!$M$24-ArtifactsInput!$M$24)*CHOOSE(ArtifactsInput!$N$24+1,10,12,14,16,18,20)+IF(ArtifactsInput!$M$10,CHOOSE(ArtifactsInput!$N$10+1,15,18,21,24,27,30)*(IF(Inputs!$B$39="pvp",MIN(15,15)/15,IF(AND(Inputs!$B$39&lt;&gt;"pvp",Inputs!$B$44&gt;0),MIN(15,Inputs!$B$44)/(Inputs!$B$44),0))),0)))&gt;=100),MIN(100,((Inputs!$B$9+((C1077=TRUE)*(F1077-Calc!F25))+B1092+(ArtifactsInput!$M$24-ArtifactsInput!$M$24)*CHOOSE(ArtifactsInput!$N$24+1,10,12,14,16,18,20)+IF(ArtifactsInput!$M$10,CHOOSE(ArtifactsInput!$N$10+1,15,18,21,24,27,30)*(IF(Inputs!$B$39="pvp",MIN(15,15)/15,IF(AND(Inputs!$B$39&lt;&gt;"pvp",Inputs!$B$44&gt;0),MIN(15,Inputs!$B$44)/(Inputs!$B$44),0))),0)))-100),0))*CHOOSE(ArtifactsInput!$N$42+1,0.6,0.72,0.84,0.96,1.08,1.2))),Inputs!$B$18+((C1081=TRUE)*(F1081-Calc!F29))+(IF(AND(ArtifactsInput!$M$42,((Inputs!$B$9+((C1077=TRUE)*(F1077-Calc!F25))+B1092+(ArtifactsInput!$M$24-ArtifactsInput!$M$24)*CHOOSE(ArtifactsInput!$N$24+1,10,12,14,16,18,20)+IF(ArtifactsInput!$M$10,CHOOSE(ArtifactsInput!$N$10+1,15,18,21,24,27,30)*(IF(Inputs!$B$39="pvp",MIN(15,15)/15,IF(AND(Inputs!$B$39&lt;&gt;"pvp",Inputs!$B$44&gt;0),MIN(15,Inputs!$B$44)/(Inputs!$B$44),0))),0)))&gt;=100),CHOOSE(ArtifactsInput!$N$42+1,40,48,56,64,72,80),0))))/100)*(((1+(((C1073=TRUE)*F1073*IF(AND(Inputs!$B$39&lt;&gt;"pvp",Inputs!$B$44&gt;0),(((R1073-1)*(Skills!Y21*(1+Inputs!$B$34/100))+MIN((Skills!Y21*(1+Inputs!$B$34/100)),MAX(0,Inputs!$B$44-((R1073-1)*Skills!D21))))/Inputs!$B$44),IF(Inputs!$B$39="pvp",MIN((Skills!Y21*(1+Inputs!$B$34/100)),15)/15,(Skills!Y21*(1+Inputs!$B$34/100))/Skills!D21)))+((C1080=TRUE)*(F1080-Calc!F28))+((C1070=TRUE)*(F1070-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1067=TRUE)*F1067*IF(AND(Inputs!$B$39&lt;&gt;"pvp",Inputs!$B$44&gt;0),(((R1067-1)*(Skills!Y15*(1+Inputs!$B$34/100))+MIN((Skills!Y15*(1+Inputs!$B$34/100)),MAX(0,Inputs!$B$44-((R1067-1)*Skills!D15))))/Inputs!$B$44),IF(Inputs!$B$39="pvp",MIN((Skills!Y15*(1+Inputs!$B$34/100)),15)/15,(Skills!Y15*(1+Inputs!$B$34/100))/Skills!D15)))/100)*(1+((C1058=TRUE)*F1058*B1086)/100))*B1094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1062)</f>
        <v/>
      </c>
      <c r="L1062">
        <f>K1062*(MIN(Inputs!$B$22+((C1076=TRUE)*(F1076-Calc!F24)),(Inputs!$B$23+0+(IF(ArtifactsInput!$M$15,CHOOSE(ArtifactsInput!$N$15+1,25,30,35,40,45,50)/100*(Inputs!$B$11-Inputs!$B$11),0))))/100+(Inputs!$B$23+0+(IF(ArtifactsInput!$M$15,CHOOSE(ArtifactsInput!$N$15+1,25,30,35,40,45,50)/100*(Inputs!$B$11-Inputs!$B$11),0)))/100)/2</f>
        <v/>
      </c>
      <c r="M1062">
        <f>L1062*(1+(Inputs!$B$10+((C1078=TRUE)*(F1078-Calc!F26))+B1095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62">
        <f>L1062*(1-MIN((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1062*(MIN((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62">
        <f>(1-Summary!$B$11)*T1062+Summary!$B$11*V1062</f>
        <v/>
      </c>
      <c r="P1062">
        <f>IF(B1096=0,0,O1062/B1096)</f>
        <v/>
      </c>
      <c r="Q1062" t="n">
        <v>0</v>
      </c>
      <c r="R1062" t="n">
        <v>0</v>
      </c>
      <c r="S1062" t="n">
        <v>0</v>
      </c>
      <c r="T1062">
        <f>IF(C1062,(0.2*SUMPRODUCT((Skills!Z2:Z31=TRUE)*(C1054:C1083=TRUE)*S1054:S1083)*N1062)*IF(Inputs!$B$39="pvp",1,1+(Inputs!$B$20+((C1079=TRUE)*(F1079-Calc!F27))+Skills!P10+B1093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Hunt"),CHOOSE(ArtifactsInput!$N$35+1,15,18,21,24,27,30)*(1-EXP(-(0.2*B1088)*5)),0)+IF(AND(ArtifactsInput!$M$22,Inputs!$B$4&lt;&gt;"Chapter Hunt"),CHOOSE(ArtifactsInput!$N$22+1,10,12,14,16,18,20)*((0*(((0.15*B1088*5))^0/1)+1*(((0.15*B1088*5))^1/1)+2*(((0.15*B1088*5))^2/2)+3*(((0.15*B1088*5))^3/6)+4*(((0.15*B1088*5))^4/24)+5*(((0.15*B1088*5))^5/120))/((((0.15*B1088*5))^0/1)+(((0.15*B1088*5))^1/1)+(((0.15*B1088*5))^2/2)+(((0.15*B1088*5))^3/6)+(((0.15*B1088*5))^4/24)+(((0.15*B1088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1062*(1-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1062*(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1062*(1-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1062*(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62">
        <f>IF(C1062,(0.2*SUMPRODUCT((Skills!Z2:Z31=TRUE)*(C1054:C1083=TRUE)*S1054:S1083)*N1062)*IF(Inputs!$B$39="pvp",1,(1+(Inputs!$B$21+Skills!Q10+B1093+(IF(ArtifactsInput!$M$33,CHOOSE(ArtifactsInput!$N$33+1,30,36,42,48,54,60),0))+(IF(AND(ArtifactsInput!$M$35,Inputs!$B$4&lt;&gt;"Chapter Hunt"),CHOOSE(ArtifactsInput!$N$35+1,15,18,21,24,27,30)*(1-EXP(-(0.2*B1088)*5)),0)+IF(AND(ArtifactsInput!$M$22,Inputs!$B$4&lt;&gt;"Chapter Hunt"),CHOOSE(ArtifactsInput!$N$22+1,10,12,14,16,18,20)*((0*(((0.15*B1088*5))^0/1)+1*(((0.15*B1088*5))^1/1)+2*(((0.15*B1088*5))^2/2)+3*(((0.15*B1088*5))^3/6)+4*(((0.15*B1088*5))^4/24)+5*(((0.15*B1088*5))^5/120))/((((0.15*B1088*5))^0/1)+(((0.15*B1088*5))^1/1)+(((0.15*B1088*5))^2/2)+(((0.15*B1088*5))^3/6)+(((0.15*B1088*5))^4/24)+(((0.15*B1088*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63">
      <c r="A1063">
        <f>Skills!A11</f>
        <v/>
      </c>
      <c r="B1063">
        <f>Skills!B11</f>
        <v/>
      </c>
      <c r="C1063">
        <f>Inputs!$B$3&gt;=60</f>
        <v/>
      </c>
      <c r="D1063">
        <f>IF(Skills!C11=1,60+Inputs!$B$25+(Inputs!$B$29+1),IF(Skills!C11=2,90+Inputs!$B$26+(Inputs!$B$29+1),IF(Skills!C11=3,120+Inputs!$B$27+(Inputs!$B$29+1),MAX(0,(Inputs!$B$3-100)*3)+Inputs!$B$28+(Inputs!$B$29+1))))</f>
        <v/>
      </c>
      <c r="E1063">
        <f>INDEX(FactorTable!$B$2:$Y$301, MATCH(ROUND(MIN(300,MAX(1,D1063)),0), FactorTable!$A$2:$A$301,0), Skills!M11+1)</f>
        <v/>
      </c>
      <c r="F1063">
        <f>IF(Skills!N11=TRUE,(Skills!L11/10)*(E1063/1000),Skills!L11/10)+Skills!O11</f>
        <v/>
      </c>
      <c r="G1063">
        <f>Calc!G11</f>
        <v/>
      </c>
      <c r="H1063">
        <f>Calc!H11</f>
        <v/>
      </c>
      <c r="I1063">
        <f>IF(Skills!AA11&lt;&gt;"",1+(Skills!AA11/10)*(U1055/1000)/100,1)</f>
        <v/>
      </c>
      <c r="J1063" t="inlineStr"/>
      <c r="K1063" t="inlineStr"/>
      <c r="L1063" t="inlineStr"/>
      <c r="M1063" t="inlineStr"/>
      <c r="N1063" t="inlineStr"/>
      <c r="O1063">
        <f>(1-Summary!$B$11)*T1063+Summary!$B$11*V1063</f>
        <v/>
      </c>
      <c r="P1063">
        <f>IF(B1096=0,0,O1063/B1096)</f>
        <v/>
      </c>
      <c r="Q1063" t="n">
        <v>0</v>
      </c>
      <c r="R1063" t="n">
        <v>0</v>
      </c>
      <c r="S1063">
        <f>IFERROR(O1063/N1063,0)</f>
        <v/>
      </c>
      <c r="T1063" t="n">
        <v>0</v>
      </c>
      <c r="V1063" t="n">
        <v>0</v>
      </c>
    </row>
    <row r="1064">
      <c r="A1064">
        <f>Skills!A12</f>
        <v/>
      </c>
      <c r="B1064">
        <f>Skills!B12</f>
        <v/>
      </c>
      <c r="C1064">
        <f>Inputs!$B$3&gt;=103</f>
        <v/>
      </c>
      <c r="D1064">
        <f>IF(Skills!C12=1,60+Inputs!$B$25+(Inputs!$B$29+1),IF(Skills!C12=2,90+Inputs!$B$26+(Inputs!$B$29+1),IF(Skills!C12=3,120+Inputs!$B$27+(Inputs!$B$29+1),MAX(0,(Inputs!$B$3-100)*3)+Inputs!$B$28+(Inputs!$B$29+1))))</f>
        <v/>
      </c>
      <c r="E1064">
        <f>INDEX(FactorTable!$B$2:$Y$301, MATCH(ROUND(MIN(300,MAX(1,D1064)),0), FactorTable!$A$2:$A$301,0), Skills!M12+1)</f>
        <v/>
      </c>
      <c r="F1064">
        <f>IF(Skills!N12=TRUE,(Skills!L12/10)*(E1064/1000),Skills!L12/10)+Skills!O12</f>
        <v/>
      </c>
      <c r="G1064">
        <f>Calc!G12</f>
        <v/>
      </c>
      <c r="H1064">
        <f>Calc!H12</f>
        <v/>
      </c>
      <c r="I1064">
        <f>IF(Skills!AA12&lt;&gt;"",1+(Skills!AA12/10)*(U1055/1000)/100,1)</f>
        <v/>
      </c>
      <c r="J1064">
        <f>((Inputs!$B$6*(1+Inputs!$B$7/100))+(((Inputs!$B$12*(1+Inputs!$B$13/100))-(Inputs!$B$12*(1+Inputs!$B$13/100)))+0.25*(Inputs!$B$14-Inputs!$B$14))*(1+Inputs!$B$7/100))*(F1064/100)</f>
        <v/>
      </c>
      <c r="K1064">
        <f>J1064*(1+((Inputs!$B$12*(1+Inputs!$B$13/100))*0.01+Inputs!$B$14*0.0025)/100)*(1+Inputs!$B$15/100)*(1+Inputs!$B$16/100)*(5000/(6000+Inputs!$B$43*(1-(100*(1-(1-(Inputs!$B$19+0)/100)*(1-CHOOSE(ArtifactsInput!$N$40+1,5,6,7,8,9,10)/100)^(ArtifactsInput!$M$40-ArtifactsInput!$M$40)))/100)))*(1+(Inputs!$B$24+((C1082=TRUE)*(F1082-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1075=TRUE)*(F1075-Calc!F23))+(((IF(AND(ArtifactsInput!$M$42,((Inputs!$B$9+((C1077=TRUE)*(F1077-Calc!F25))+B1092+(ArtifactsInput!$M$24-ArtifactsInput!$M$24)*CHOOSE(ArtifactsInput!$N$24+1,10,12,14,16,18,20)+IF(ArtifactsInput!$M$10,CHOOSE(ArtifactsInput!$N$10+1,15,18,21,24,27,30)*(IF(Inputs!$B$39="pvp",MIN(15,15)/15,IF(AND(Inputs!$B$39&lt;&gt;"pvp",Inputs!$B$44&gt;0),MIN(15,Inputs!$B$44)/(Inputs!$B$44),0))),0)))&gt;=100),MIN(100,((Inputs!$B$9+((C1077=TRUE)*(F1077-Calc!F25))+B1092+(ArtifactsInput!$M$24-ArtifactsInput!$M$24)*CHOOSE(ArtifactsInput!$N$24+1,10,12,14,16,18,20)+IF(ArtifactsInput!$M$10,CHOOSE(ArtifactsInput!$N$10+1,15,18,21,24,27,30)*(IF(Inputs!$B$39="pvp",MIN(15,15)/15,IF(AND(Inputs!$B$39&lt;&gt;"pvp",Inputs!$B$44&gt;0),MIN(15,Inputs!$B$44)/(Inputs!$B$44),0))),0)))-100),0))*CHOOSE(ArtifactsInput!$N$42+1,0.6,0.72,0.84,0.96,1.08,1.2))),Inputs!$B$18+((C1081=TRUE)*(F1081-Calc!F29))+(IF(AND(ArtifactsInput!$M$42,((Inputs!$B$9+((C1077=TRUE)*(F1077-Calc!F25))+B1092+(ArtifactsInput!$M$24-ArtifactsInput!$M$24)*CHOOSE(ArtifactsInput!$N$24+1,10,12,14,16,18,20)+IF(ArtifactsInput!$M$10,CHOOSE(ArtifactsInput!$N$10+1,15,18,21,24,27,30)*(IF(Inputs!$B$39="pvp",MIN(15,15)/15,IF(AND(Inputs!$B$39&lt;&gt;"pvp",Inputs!$B$44&gt;0),MIN(15,Inputs!$B$44)/(Inputs!$B$44),0))),0)))&gt;=100),CHOOSE(ArtifactsInput!$N$42+1,40,48,56,64,72,80),0))))/100)*(((1+(((C1073=TRUE)*F1073*IF(AND(Inputs!$B$39&lt;&gt;"pvp",Inputs!$B$44&gt;0),(((R1073-1)*(Skills!Y21*(1+Inputs!$B$34/100))+MIN((Skills!Y21*(1+Inputs!$B$34/100)),MAX(0,Inputs!$B$44-((R1073-1)*Skills!D21))))/Inputs!$B$44),IF(Inputs!$B$39="pvp",MIN((Skills!Y21*(1+Inputs!$B$34/100)),15)/15,(Skills!Y21*(1+Inputs!$B$34/100))/Skills!D21)))+((C1080=TRUE)*(F1080-Calc!F28))+((C1070=TRUE)*(F1070-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1067=TRUE)*F1067*IF(AND(Inputs!$B$39&lt;&gt;"pvp",Inputs!$B$44&gt;0),(((R1067-1)*(Skills!Y15*(1+Inputs!$B$34/100))+MIN((Skills!Y15*(1+Inputs!$B$34/100)),MAX(0,Inputs!$B$44-((R1067-1)*Skills!D15))))/Inputs!$B$44),IF(Inputs!$B$39="pvp",MIN((Skills!Y15*(1+Inputs!$B$34/100)),15)/15,(Skills!Y15*(1+Inputs!$B$34/100))/Skills!D15)))/100)*(1+((C1058=TRUE)*F1058*B1086)/100))*B1094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1064)</f>
        <v/>
      </c>
      <c r="L1064">
        <f>K1064*(MIN(Inputs!$B$22+((C1076=TRUE)*(F1076-Calc!F24)),(Inputs!$B$23+0+(IF(ArtifactsInput!$M$15,CHOOSE(ArtifactsInput!$N$15+1,25,30,35,40,45,50)/100*(Inputs!$B$11-Inputs!$B$11),0))))/100+(Inputs!$B$23+0+(IF(ArtifactsInput!$M$15,CHOOSE(ArtifactsInput!$N$15+1,25,30,35,40,45,50)/100*(Inputs!$B$11-Inputs!$B$11),0)))/100)/2</f>
        <v/>
      </c>
      <c r="M1064">
        <f>L1064*(1+(Inputs!$B$10+((C1078=TRUE)*(F1078-Calc!F26))+B1095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64">
        <f>L1064*(1-MIN((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1064*(MIN((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64">
        <f>(1-Summary!$B$11)*T1064+Summary!$B$11*V1064</f>
        <v/>
      </c>
      <c r="P1064">
        <f>IF(B1096=0,0,O1064/B1096)</f>
        <v/>
      </c>
      <c r="Q1064">
        <f>IFERROR(1/IF(Inputs!$B$39="pvp",15,MAX(0.1,Skills!D12-IF(Skills!E12=TRUE,Inputs!$B$32,0))),0)</f>
        <v/>
      </c>
      <c r="R1064">
        <f>IF(AND(Inputs!$B$39&lt;&gt;"pvp",Inputs!$B$44&gt;0),IF(MAX(0,Inputs!$B$44-B1097)&lt;=0,0,(INT(MAX(0,Inputs!$B$44-B1097)/IF(Inputs!$B$39="pvp",15,MAX(0.1,Skills!D12-IF(Skills!E12=TRUE,Inputs!$B$32,0))))+1)),0)</f>
        <v/>
      </c>
      <c r="S1064">
        <f>IFERROR(O1064/N1064,0)</f>
        <v/>
      </c>
      <c r="T1064">
        <f>IF(C1064,(H1064*N1064*IF(AND(Inputs!$B$39&lt;&gt;"pvp",Inputs!$B$44&gt;0),((Skills!G12*((R1064-1)*IF(Skills!H12&gt;0,Skills!I12/Skills!H12,1)+IF(Skills!H12&gt;0,MIN(Skills!I12,MAX(0,MAX(0,Inputs!$B$44-B1097)-((R1064-1)*IF(Inputs!$B$39="pvp",15,MAX(0.1,Skills!D12-IF(Skills!E12=TRUE,Inputs!$B$32,0))))))/Skills!H12,1)))/Inputs!$B$44),G1064*Q1064))*IF(Inputs!$B$39="pvp",1,1+(Inputs!$B$20+((C1079=TRUE)*(F1079-Calc!F27))+Skills!P12+B1093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Hunt"),CHOOSE(ArtifactsInput!$N$35+1,15,18,21,24,27,30)*(1-EXP(-(0.2*B1088)*5)),0)+IF(AND(ArtifactsInput!$M$22,Inputs!$B$4&lt;&gt;"Chapter Hunt"),CHOOSE(ArtifactsInput!$N$22+1,10,12,14,16,18,20)*((0*(((0.15*B1088*5))^0/1)+1*(((0.15*B1088*5))^1/1)+2*(((0.15*B1088*5))^2/2)+3*(((0.15*B1088*5))^3/6)+4*(((0.15*B1088*5))^4/24)+5*(((0.15*B1088*5))^5/120))/((((0.15*B1088*5))^0/1)+(((0.15*B1088*5))^1/1)+(((0.15*B1088*5))^2/2)+(((0.15*B1088*5))^3/6)+(((0.15*B1088*5))^4/24)+(((0.15*B1088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1064*(1-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1064*(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1064*(1-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1064*(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64">
        <f>IF(C1064,(H1064*N1064*IF(AND(Inputs!$B$39&lt;&gt;"pvp",Inputs!$B$44&gt;0),((Skills!G12*((R1064-1)*IF(Skills!H12&gt;0,Skills!I12/Skills!H12,1)+IF(Skills!H12&gt;0,MIN(Skills!I12,MAX(0,MAX(0,Inputs!$B$44-B1097)-((R1064-1)*IF(Inputs!$B$39="pvp",15,MAX(0.1,Skills!D12-IF(Skills!E12=TRUE,Inputs!$B$32,0))))))/Skills!H12,1)))/Inputs!$B$44),G1064*Q1064))*IF(Inputs!$B$39="pvp",1,(1+(Inputs!$B$21+Skills!Q12+B1093+(IF(ArtifactsInput!$M$33,CHOOSE(ArtifactsInput!$N$33+1,30,36,42,48,54,60),0))+(IF(AND(ArtifactsInput!$M$35,Inputs!$B$4&lt;&gt;"Chapter Hunt"),CHOOSE(ArtifactsInput!$N$35+1,15,18,21,24,27,30)*(1-EXP(-(0.2*B1088)*5)),0)+IF(AND(ArtifactsInput!$M$22,Inputs!$B$4&lt;&gt;"Chapter Hunt"),CHOOSE(ArtifactsInput!$N$22+1,10,12,14,16,18,20)*((0*(((0.15*B1088*5))^0/1)+1*(((0.15*B1088*5))^1/1)+2*(((0.15*B1088*5))^2/2)+3*(((0.15*B1088*5))^3/6)+4*(((0.15*B1088*5))^4/24)+5*(((0.15*B1088*5))^5/120))/((((0.15*B1088*5))^0/1)+(((0.15*B1088*5))^1/1)+(((0.15*B1088*5))^2/2)+(((0.15*B1088*5))^3/6)+(((0.15*B1088*5))^4/24)+(((0.15*B1088*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65">
      <c r="A1065">
        <f>Skills!A13</f>
        <v/>
      </c>
      <c r="B1065">
        <f>Skills!B13</f>
        <v/>
      </c>
      <c r="C1065">
        <f>Inputs!$B$3&gt;=105</f>
        <v/>
      </c>
      <c r="D1065">
        <f>IF(Skills!C13=1,60+Inputs!$B$25+(Inputs!$B$29+1),IF(Skills!C13=2,90+Inputs!$B$26+(Inputs!$B$29+1),IF(Skills!C13=3,120+Inputs!$B$27+(Inputs!$B$29+1),MAX(0,(Inputs!$B$3-100)*3)+Inputs!$B$28+(Inputs!$B$29+1))))</f>
        <v/>
      </c>
      <c r="E1065">
        <f>INDEX(FactorTable!$B$2:$Y$301, MATCH(ROUND(MIN(300,MAX(1,D1065)),0), FactorTable!$A$2:$A$301,0), Skills!M13+1)</f>
        <v/>
      </c>
      <c r="F1065">
        <f>IF(Skills!N13=TRUE,(Skills!L13/10)*(E1065/1000),Skills!L13/10)+Skills!O13</f>
        <v/>
      </c>
      <c r="G1065">
        <f>Calc!G13</f>
        <v/>
      </c>
      <c r="H1065">
        <f>Calc!H13</f>
        <v/>
      </c>
      <c r="I1065">
        <f>IF(Skills!AA13&lt;&gt;"",1+(Skills!AA13/10)*(U1055/1000)/100,1)</f>
        <v/>
      </c>
      <c r="J1065">
        <f>((Inputs!$B$6*(1+Inputs!$B$7/100))+(((Inputs!$B$12*(1+Inputs!$B$13/100))-(Inputs!$B$12*(1+Inputs!$B$13/100)))+0.25*(Inputs!$B$14-Inputs!$B$14))*(1+Inputs!$B$7/100))*(F1065/100)</f>
        <v/>
      </c>
      <c r="K1065">
        <f>J1065*(1+((Inputs!$B$12*(1+Inputs!$B$13/100))*0.01+Inputs!$B$14*0.0025)/100)*(1+Inputs!$B$15/100)*(1+Inputs!$B$16/100)*(5000/(6000+Inputs!$B$43*(1-(100*(1-(1-(Inputs!$B$19+0)/100)*(1-CHOOSE(ArtifactsInput!$N$40+1,5,6,7,8,9,10)/100)^(ArtifactsInput!$M$40-ArtifactsInput!$M$40)))/100)))*(1+(Inputs!$B$24+((C1082=TRUE)*(F1082-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1075=TRUE)*(F1075-Calc!F23))+(((IF(AND(ArtifactsInput!$M$42,((Inputs!$B$9+((C1077=TRUE)*(F1077-Calc!F25))+B1092+(ArtifactsInput!$M$24-ArtifactsInput!$M$24)*CHOOSE(ArtifactsInput!$N$24+1,10,12,14,16,18,20)+IF(ArtifactsInput!$M$10,CHOOSE(ArtifactsInput!$N$10+1,15,18,21,24,27,30)*(IF(Inputs!$B$39="pvp",MIN(15,15)/15,IF(AND(Inputs!$B$39&lt;&gt;"pvp",Inputs!$B$44&gt;0),MIN(15,Inputs!$B$44)/(Inputs!$B$44),0))),0)))&gt;=100),MIN(100,((Inputs!$B$9+((C1077=TRUE)*(F1077-Calc!F25))+B1092+(ArtifactsInput!$M$24-ArtifactsInput!$M$24)*CHOOSE(ArtifactsInput!$N$24+1,10,12,14,16,18,20)+IF(ArtifactsInput!$M$10,CHOOSE(ArtifactsInput!$N$10+1,15,18,21,24,27,30)*(IF(Inputs!$B$39="pvp",MIN(15,15)/15,IF(AND(Inputs!$B$39&lt;&gt;"pvp",Inputs!$B$44&gt;0),MIN(15,Inputs!$B$44)/(Inputs!$B$44),0))),0)))-100),0))*CHOOSE(ArtifactsInput!$N$42+1,0.6,0.72,0.84,0.96,1.08,1.2))),Inputs!$B$18+((C1081=TRUE)*(F1081-Calc!F29))+(IF(AND(ArtifactsInput!$M$42,((Inputs!$B$9+((C1077=TRUE)*(F1077-Calc!F25))+B1092+(ArtifactsInput!$M$24-ArtifactsInput!$M$24)*CHOOSE(ArtifactsInput!$N$24+1,10,12,14,16,18,20)+IF(ArtifactsInput!$M$10,CHOOSE(ArtifactsInput!$N$10+1,15,18,21,24,27,30)*(IF(Inputs!$B$39="pvp",MIN(15,15)/15,IF(AND(Inputs!$B$39&lt;&gt;"pvp",Inputs!$B$44&gt;0),MIN(15,Inputs!$B$44)/(Inputs!$B$44),0))),0)))&gt;=100),CHOOSE(ArtifactsInput!$N$42+1,40,48,56,64,72,80),0))))/100)*(((1+(((C1073=TRUE)*F1073*IF(AND(Inputs!$B$39&lt;&gt;"pvp",Inputs!$B$44&gt;0),(((R1073-1)*(Skills!Y21*(1+Inputs!$B$34/100))+MIN((Skills!Y21*(1+Inputs!$B$34/100)),MAX(0,Inputs!$B$44-((R1073-1)*Skills!D21))))/Inputs!$B$44),IF(Inputs!$B$39="pvp",MIN((Skills!Y21*(1+Inputs!$B$34/100)),15)/15,(Skills!Y21*(1+Inputs!$B$34/100))/Skills!D21)))+((C1080=TRUE)*(F1080-Calc!F28))+((C1070=TRUE)*(F1070-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1067=TRUE)*F1067*IF(AND(Inputs!$B$39&lt;&gt;"pvp",Inputs!$B$44&gt;0),(((R1067-1)*(Skills!Y15*(1+Inputs!$B$34/100))+MIN((Skills!Y15*(1+Inputs!$B$34/100)),MAX(0,Inputs!$B$44-((R1067-1)*Skills!D15))))/Inputs!$B$44),IF(Inputs!$B$39="pvp",MIN((Skills!Y15*(1+Inputs!$B$34/100)),15)/15,(Skills!Y15*(1+Inputs!$B$34/100))/Skills!D15)))/100)*(1+((C1058=TRUE)*F1058*B1086)/100))*B1094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1065)</f>
        <v/>
      </c>
      <c r="L1065">
        <f>K1065*(MIN(Inputs!$B$22+((C1076=TRUE)*(F1076-Calc!F24)),(Inputs!$B$23+0+(IF(ArtifactsInput!$M$15,CHOOSE(ArtifactsInput!$N$15+1,25,30,35,40,45,50)/100*(Inputs!$B$11-Inputs!$B$11),0))))/100+(Inputs!$B$23+0+(IF(ArtifactsInput!$M$15,CHOOSE(ArtifactsInput!$N$15+1,25,30,35,40,45,50)/100*(Inputs!$B$11-Inputs!$B$11),0)))/100)/2</f>
        <v/>
      </c>
      <c r="M1065">
        <f>L1065*(1+(Inputs!$B$10+((C1078=TRUE)*(F1078-Calc!F26))+B1095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65">
        <f>L1065*(1-MIN((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1065*(MIN((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65">
        <f>(1-Summary!$B$11)*T1065+Summary!$B$11*V1065</f>
        <v/>
      </c>
      <c r="P1065">
        <f>IF(B1096=0,0,O1065/B1096)</f>
        <v/>
      </c>
      <c r="Q1065">
        <f>IFERROR(1/IF(Inputs!$B$39="pvp",15,MAX(0.1,Skills!D13-IF(Skills!E13=TRUE,Inputs!$B$32,0))),0)</f>
        <v/>
      </c>
      <c r="R1065">
        <f>IF(AND(Inputs!$B$39&lt;&gt;"pvp",Inputs!$B$44&gt;0),IF(MAX(0,Inputs!$B$44-B1097)&lt;=0,0,(INT(MAX(0,Inputs!$B$44-B1097)/IF(Inputs!$B$39="pvp",15,MAX(0.1,Skills!D13-IF(Skills!E13=TRUE,Inputs!$B$32,0))))+1)),0)</f>
        <v/>
      </c>
      <c r="S1065">
        <f>IFERROR(O1065/N1065,0)</f>
        <v/>
      </c>
      <c r="T1065">
        <f>IF(C1065,(H1065*N1065*IF(AND(Inputs!$B$39&lt;&gt;"pvp",Inputs!$B$44&gt;0),((Skills!G13*((R1065-1)*IF(Skills!H13&gt;0,Skills!I13/Skills!H13,1)+IF(Skills!H13&gt;0,MIN(Skills!I13,MAX(0,MAX(0,Inputs!$B$44-B1097)-((R1065-1)*IF(Inputs!$B$39="pvp",15,MAX(0.1,Skills!D13-IF(Skills!E13=TRUE,Inputs!$B$32,0))))))/Skills!H13,1)))/Inputs!$B$44),G1065*Q1065))*IF(Inputs!$B$39="pvp",1,1+(Inputs!$B$20+((C1079=TRUE)*(F1079-Calc!F27))+Skills!P13+B1093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Hunt"),CHOOSE(ArtifactsInput!$N$35+1,15,18,21,24,27,30)*(1-EXP(-(0.2*B1088)*5)),0)+IF(AND(ArtifactsInput!$M$22,Inputs!$B$4&lt;&gt;"Chapter Hunt"),CHOOSE(ArtifactsInput!$N$22+1,10,12,14,16,18,20)*((0*(((0.15*B1088*5))^0/1)+1*(((0.15*B1088*5))^1/1)+2*(((0.15*B1088*5))^2/2)+3*(((0.15*B1088*5))^3/6)+4*(((0.15*B1088*5))^4/24)+5*(((0.15*B1088*5))^5/120))/((((0.15*B1088*5))^0/1)+(((0.15*B1088*5))^1/1)+(((0.15*B1088*5))^2/2)+(((0.15*B1088*5))^3/6)+(((0.15*B1088*5))^4/24)+(((0.15*B1088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1065*(1-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1065*(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1065*(1-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1065*(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65">
        <f>IF(C1065,(H1065*N1065*IF(AND(Inputs!$B$39&lt;&gt;"pvp",Inputs!$B$44&gt;0),((Skills!G13*((R1065-1)*IF(Skills!H13&gt;0,Skills!I13/Skills!H13,1)+IF(Skills!H13&gt;0,MIN(Skills!I13,MAX(0,MAX(0,Inputs!$B$44-B1097)-((R1065-1)*IF(Inputs!$B$39="pvp",15,MAX(0.1,Skills!D13-IF(Skills!E13=TRUE,Inputs!$B$32,0))))))/Skills!H13,1)))/Inputs!$B$44),G1065*Q1065))*IF(Inputs!$B$39="pvp",1,(1+(Inputs!$B$21+Skills!Q13+B1093+(IF(ArtifactsInput!$M$33,CHOOSE(ArtifactsInput!$N$33+1,30,36,42,48,54,60),0))+(IF(AND(ArtifactsInput!$M$35,Inputs!$B$4&lt;&gt;"Chapter Hunt"),CHOOSE(ArtifactsInput!$N$35+1,15,18,21,24,27,30)*(1-EXP(-(0.2*B1088)*5)),0)+IF(AND(ArtifactsInput!$M$22,Inputs!$B$4&lt;&gt;"Chapter Hunt"),CHOOSE(ArtifactsInput!$N$22+1,10,12,14,16,18,20)*((0*(((0.15*B1088*5))^0/1)+1*(((0.15*B1088*5))^1/1)+2*(((0.15*B1088*5))^2/2)+3*(((0.15*B1088*5))^3/6)+4*(((0.15*B1088*5))^4/24)+5*(((0.15*B1088*5))^5/120))/((((0.15*B1088*5))^0/1)+(((0.15*B1088*5))^1/1)+(((0.15*B1088*5))^2/2)+(((0.15*B1088*5))^3/6)+(((0.15*B1088*5))^4/24)+(((0.15*B1088*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66">
      <c r="A1066">
        <f>Skills!A14</f>
        <v/>
      </c>
      <c r="B1066">
        <f>Skills!B14</f>
        <v/>
      </c>
      <c r="C1066">
        <f>Inputs!$B$3&gt;=105</f>
        <v/>
      </c>
      <c r="D1066">
        <f>IF(Skills!C14=1,60+Inputs!$B$25+(Inputs!$B$29+1),IF(Skills!C14=2,90+Inputs!$B$26+(Inputs!$B$29+1),IF(Skills!C14=3,120+Inputs!$B$27+(Inputs!$B$29+1),MAX(0,(Inputs!$B$3-100)*3)+Inputs!$B$28+(Inputs!$B$29+1))))</f>
        <v/>
      </c>
      <c r="E1066">
        <f>INDEX(FactorTable!$B$2:$Y$301, MATCH(ROUND(MIN(300,MAX(1,D1066)),0), FactorTable!$A$2:$A$301,0), Skills!M14+1)</f>
        <v/>
      </c>
      <c r="F1066">
        <f>IF(Skills!N14=TRUE,(Skills!L14/10)*(E1066/1000),Skills!L14/10)+Skills!O14</f>
        <v/>
      </c>
      <c r="G1066">
        <f>Calc!G14</f>
        <v/>
      </c>
      <c r="H1066">
        <f>Calc!H14</f>
        <v/>
      </c>
      <c r="I1066">
        <f>IF(Skills!AA14&lt;&gt;"",1+(Skills!AA14/10)*(U1055/1000)/100,1)</f>
        <v/>
      </c>
      <c r="J1066">
        <f>((Inputs!$B$6*(1+Inputs!$B$7/100))+(((Inputs!$B$12*(1+Inputs!$B$13/100))-(Inputs!$B$12*(1+Inputs!$B$13/100)))+0.25*(Inputs!$B$14-Inputs!$B$14))*(1+Inputs!$B$7/100))*(F1066/100)</f>
        <v/>
      </c>
      <c r="K1066">
        <f>J1066*(1+((Inputs!$B$12*(1+Inputs!$B$13/100))*0.01+Inputs!$B$14*0.0025)/100)*(1+Inputs!$B$15/100)*(1+Inputs!$B$16/100)*(5000/(6000+Inputs!$B$43*(1-(100*(1-(1-(Inputs!$B$19+0)/100)*(1-CHOOSE(ArtifactsInput!$N$40+1,5,6,7,8,9,10)/100)^(ArtifactsInput!$M$40-ArtifactsInput!$M$40)))/100)))*(1+(Inputs!$B$24+((C1082=TRUE)*(F1082-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1075=TRUE)*(F1075-Calc!F23))+(((IF(AND(ArtifactsInput!$M$42,((Inputs!$B$9+((C1077=TRUE)*(F1077-Calc!F25))+B1092+(ArtifactsInput!$M$24-ArtifactsInput!$M$24)*CHOOSE(ArtifactsInput!$N$24+1,10,12,14,16,18,20)+IF(ArtifactsInput!$M$10,CHOOSE(ArtifactsInput!$N$10+1,15,18,21,24,27,30)*(IF(Inputs!$B$39="pvp",MIN(15,15)/15,IF(AND(Inputs!$B$39&lt;&gt;"pvp",Inputs!$B$44&gt;0),MIN(15,Inputs!$B$44)/(Inputs!$B$44),0))),0)))&gt;=100),MIN(100,((Inputs!$B$9+((C1077=TRUE)*(F1077-Calc!F25))+B1092+(ArtifactsInput!$M$24-ArtifactsInput!$M$24)*CHOOSE(ArtifactsInput!$N$24+1,10,12,14,16,18,20)+IF(ArtifactsInput!$M$10,CHOOSE(ArtifactsInput!$N$10+1,15,18,21,24,27,30)*(IF(Inputs!$B$39="pvp",MIN(15,15)/15,IF(AND(Inputs!$B$39&lt;&gt;"pvp",Inputs!$B$44&gt;0),MIN(15,Inputs!$B$44)/(Inputs!$B$44),0))),0)))-100),0))*CHOOSE(ArtifactsInput!$N$42+1,0.6,0.72,0.84,0.96,1.08,1.2))),Inputs!$B$18+((C1081=TRUE)*(F1081-Calc!F29))+(IF(AND(ArtifactsInput!$M$42,((Inputs!$B$9+((C1077=TRUE)*(F1077-Calc!F25))+B1092+(ArtifactsInput!$M$24-ArtifactsInput!$M$24)*CHOOSE(ArtifactsInput!$N$24+1,10,12,14,16,18,20)+IF(ArtifactsInput!$M$10,CHOOSE(ArtifactsInput!$N$10+1,15,18,21,24,27,30)*(IF(Inputs!$B$39="pvp",MIN(15,15)/15,IF(AND(Inputs!$B$39&lt;&gt;"pvp",Inputs!$B$44&gt;0),MIN(15,Inputs!$B$44)/(Inputs!$B$44),0))),0)))&gt;=100),CHOOSE(ArtifactsInput!$N$42+1,40,48,56,64,72,80),0))))/100)*(((1+(((C1073=TRUE)*F1073*IF(AND(Inputs!$B$39&lt;&gt;"pvp",Inputs!$B$44&gt;0),(((R1073-1)*(Skills!Y21*(1+Inputs!$B$34/100))+MIN((Skills!Y21*(1+Inputs!$B$34/100)),MAX(0,Inputs!$B$44-((R1073-1)*Skills!D21))))/Inputs!$B$44),IF(Inputs!$B$39="pvp",MIN((Skills!Y21*(1+Inputs!$B$34/100)),15)/15,(Skills!Y21*(1+Inputs!$B$34/100))/Skills!D21)))+((C1080=TRUE)*(F1080-Calc!F28))+((C1070=TRUE)*(F1070-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1067=TRUE)*F1067*IF(AND(Inputs!$B$39&lt;&gt;"pvp",Inputs!$B$44&gt;0),(((R1067-1)*(Skills!Y15*(1+Inputs!$B$34/100))+MIN((Skills!Y15*(1+Inputs!$B$34/100)),MAX(0,Inputs!$B$44-((R1067-1)*Skills!D15))))/Inputs!$B$44),IF(Inputs!$B$39="pvp",MIN((Skills!Y15*(1+Inputs!$B$34/100)),15)/15,(Skills!Y15*(1+Inputs!$B$34/100))/Skills!D15)))/100)*(1+((C1058=TRUE)*F1058*B1086)/100))*B1094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1066)</f>
        <v/>
      </c>
      <c r="L1066">
        <f>K1066*(MIN(Inputs!$B$22+((C1076=TRUE)*(F1076-Calc!F24)),(Inputs!$B$23+0+(IF(ArtifactsInput!$M$15,CHOOSE(ArtifactsInput!$N$15+1,25,30,35,40,45,50)/100*(Inputs!$B$11-Inputs!$B$11),0))))/100+(Inputs!$B$23+0+(IF(ArtifactsInput!$M$15,CHOOSE(ArtifactsInput!$N$15+1,25,30,35,40,45,50)/100*(Inputs!$B$11-Inputs!$B$11),0)))/100)/2</f>
        <v/>
      </c>
      <c r="M1066">
        <f>L1066*(1+(Inputs!$B$10+((C1078=TRUE)*(F1078-Calc!F26))+B1095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66">
        <f>L1066*(1-MIN((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1066*(MIN((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66">
        <f>(1-Summary!$B$11)*T1066+Summary!$B$11*V1066</f>
        <v/>
      </c>
      <c r="P1066">
        <f>IF(B1096=0,0,O1066/B1096)</f>
        <v/>
      </c>
      <c r="Q1066">
        <f>IFERROR(1/IF(Inputs!$B$39="pvp",15,MAX(0.1,Skills!D14-IF(Skills!E14=TRUE,Inputs!$B$32,0))),0)</f>
        <v/>
      </c>
      <c r="R1066">
        <f>IF(AND(Inputs!$B$39&lt;&gt;"pvp",Inputs!$B$44&gt;0),IF(MAX(0,Inputs!$B$44-B1097)&lt;=0,0,(INT(MAX(0,Inputs!$B$44-B1097)/IF(Inputs!$B$39="pvp",15,MAX(0.1,Skills!D14-IF(Skills!E14=TRUE,Inputs!$B$32,0))))+1)),0)</f>
        <v/>
      </c>
      <c r="S1066">
        <f>IFERROR(O1066/N1066,0)</f>
        <v/>
      </c>
      <c r="T1066">
        <f>IF(C1066,(H1066*N1066*IF(AND(Inputs!$B$39&lt;&gt;"pvp",Inputs!$B$44&gt;0),((Skills!G14*((R1066-1)*IF(Skills!H14&gt;0,Skills!I14/Skills!H14,1)+IF(Skills!H14&gt;0,MIN(Skills!I14,MAX(0,MAX(0,Inputs!$B$44-B1097)-((R1066-1)*IF(Inputs!$B$39="pvp",15,MAX(0.1,Skills!D14-IF(Skills!E14=TRUE,Inputs!$B$32,0))))))/Skills!H14,1)))/Inputs!$B$44),G1066*Q1066))*IF(Inputs!$B$39="pvp",1,1+(Inputs!$B$20+((C1079=TRUE)*(F1079-Calc!F27))+Skills!P14+B1093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Hunt"),CHOOSE(ArtifactsInput!$N$35+1,15,18,21,24,27,30)*(1-EXP(-(0.2*B1088)*5)),0)+IF(AND(ArtifactsInput!$M$22,Inputs!$B$4&lt;&gt;"Chapter Hunt"),CHOOSE(ArtifactsInput!$N$22+1,10,12,14,16,18,20)*((0*(((0.15*B1088*5))^0/1)+1*(((0.15*B1088*5))^1/1)+2*(((0.15*B1088*5))^2/2)+3*(((0.15*B1088*5))^3/6)+4*(((0.15*B1088*5))^4/24)+5*(((0.15*B1088*5))^5/120))/((((0.15*B1088*5))^0/1)+(((0.15*B1088*5))^1/1)+(((0.15*B1088*5))^2/2)+(((0.15*B1088*5))^3/6)+(((0.15*B1088*5))^4/24)+(((0.15*B1088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1066*(1-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1066*(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1066*(1-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1066*(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66">
        <f>IF(C1066,(H1066*N1066*IF(AND(Inputs!$B$39&lt;&gt;"pvp",Inputs!$B$44&gt;0),((Skills!G14*((R1066-1)*IF(Skills!H14&gt;0,Skills!I14/Skills!H14,1)+IF(Skills!H14&gt;0,MIN(Skills!I14,MAX(0,MAX(0,Inputs!$B$44-B1097)-((R1066-1)*IF(Inputs!$B$39="pvp",15,MAX(0.1,Skills!D14-IF(Skills!E14=TRUE,Inputs!$B$32,0))))))/Skills!H14,1)))/Inputs!$B$44),G1066*Q1066))*IF(Inputs!$B$39="pvp",1,(1+(Inputs!$B$21+Skills!Q14+B1093+(IF(ArtifactsInput!$M$33,CHOOSE(ArtifactsInput!$N$33+1,30,36,42,48,54,60),0))+(IF(AND(ArtifactsInput!$M$35,Inputs!$B$4&lt;&gt;"Chapter Hunt"),CHOOSE(ArtifactsInput!$N$35+1,15,18,21,24,27,30)*(1-EXP(-(0.2*B1088)*5)),0)+IF(AND(ArtifactsInput!$M$22,Inputs!$B$4&lt;&gt;"Chapter Hunt"),CHOOSE(ArtifactsInput!$N$22+1,10,12,14,16,18,20)*((0*(((0.15*B1088*5))^0/1)+1*(((0.15*B1088*5))^1/1)+2*(((0.15*B1088*5))^2/2)+3*(((0.15*B1088*5))^3/6)+4*(((0.15*B1088*5))^4/24)+5*(((0.15*B1088*5))^5/120))/((((0.15*B1088*5))^0/1)+(((0.15*B1088*5))^1/1)+(((0.15*B1088*5))^2/2)+(((0.15*B1088*5))^3/6)+(((0.15*B1088*5))^4/24)+(((0.15*B1088*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67">
      <c r="A1067">
        <f>Skills!A15</f>
        <v/>
      </c>
      <c r="B1067">
        <f>Skills!B15</f>
        <v/>
      </c>
      <c r="C1067">
        <f>Inputs!$B$3&gt;=110</f>
        <v/>
      </c>
      <c r="D1067">
        <f>IF(Skills!C15=1,60+Inputs!$B$25+(Inputs!$B$29+1),IF(Skills!C15=2,90+Inputs!$B$26+(Inputs!$B$29+1),IF(Skills!C15=3,120+Inputs!$B$27+(Inputs!$B$29+1),MAX(0,(Inputs!$B$3-100)*3)+Inputs!$B$28+(Inputs!$B$29+1))))</f>
        <v/>
      </c>
      <c r="E1067">
        <f>INDEX(FactorTable!$B$2:$Y$301, MATCH(ROUND(MIN(300,MAX(1,D1067)),0), FactorTable!$A$2:$A$301,0), Skills!M15+1)</f>
        <v/>
      </c>
      <c r="F1067">
        <f>IF(Skills!N15=TRUE,(Skills!L15/10)*(E1067/1000),Skills!L15/10)+Skills!O15</f>
        <v/>
      </c>
      <c r="G1067">
        <f>Calc!G15</f>
        <v/>
      </c>
      <c r="H1067">
        <f>Calc!H15</f>
        <v/>
      </c>
      <c r="I1067">
        <f>IF(Skills!AA15&lt;&gt;"",1+(Skills!AA15/10)*(U1055/1000)/100,1)</f>
        <v/>
      </c>
      <c r="J1067" t="inlineStr"/>
      <c r="K1067" t="inlineStr"/>
      <c r="L1067" t="inlineStr"/>
      <c r="M1067" t="inlineStr"/>
      <c r="N1067" t="inlineStr"/>
      <c r="O1067">
        <f>(1-Summary!$B$11)*T1067+Summary!$B$11*V1067</f>
        <v/>
      </c>
      <c r="P1067">
        <f>IF(B1096=0,0,O1067/B1096)</f>
        <v/>
      </c>
      <c r="Q1067">
        <f>IFERROR(1/IF(Inputs!$B$39="pvp",15,MAX(0.1,Skills!D15-IF(Skills!E15=TRUE,Inputs!$B$32,0))),0)</f>
        <v/>
      </c>
      <c r="R1067">
        <f>IF(AND(Inputs!$B$39&lt;&gt;"pvp",Inputs!$B$44&gt;0),IF(Inputs!$B$44&lt;=0,0,(INT(Inputs!$B$44/IF(Inputs!$B$39="pvp",15,MAX(0.1,Skills!D15-IF(Skills!E15=TRUE,Inputs!$B$32,0))))+1)),0)</f>
        <v/>
      </c>
      <c r="S1067">
        <f>IFERROR(O1067/N1067,0)</f>
        <v/>
      </c>
      <c r="T1067" t="n">
        <v>0</v>
      </c>
      <c r="V1067" t="n">
        <v>0</v>
      </c>
    </row>
    <row r="1068">
      <c r="A1068">
        <f>Skills!A16</f>
        <v/>
      </c>
      <c r="B1068">
        <f>Skills!B16</f>
        <v/>
      </c>
      <c r="C1068">
        <f>Inputs!$B$3&gt;=110</f>
        <v/>
      </c>
      <c r="D1068">
        <f>IF(Skills!C16=1,60+Inputs!$B$25+(Inputs!$B$29+1),IF(Skills!C16=2,90+Inputs!$B$26+(Inputs!$B$29+1),IF(Skills!C16=3,120+Inputs!$B$27+(Inputs!$B$29+1),MAX(0,(Inputs!$B$3-100)*3)+Inputs!$B$28+(Inputs!$B$29+1))))</f>
        <v/>
      </c>
      <c r="E1068">
        <f>INDEX(FactorTable!$B$2:$Y$301, MATCH(ROUND(MIN(300,MAX(1,D1068)),0), FactorTable!$A$2:$A$301,0), Skills!M16+1)</f>
        <v/>
      </c>
      <c r="F1068">
        <f>IF(Skills!N16=TRUE,(Skills!L16/10)*(E1068/1000),Skills!L16/10)+Skills!O16</f>
        <v/>
      </c>
      <c r="G1068">
        <f>Calc!G16</f>
        <v/>
      </c>
      <c r="H1068">
        <f>Calc!H16</f>
        <v/>
      </c>
      <c r="I1068">
        <f>IF(Skills!AA16&lt;&gt;"",1+(Skills!AA16/10)*(U1055/1000)/100,1)</f>
        <v/>
      </c>
      <c r="J1068" t="inlineStr"/>
      <c r="K1068" t="inlineStr"/>
      <c r="L1068" t="inlineStr"/>
      <c r="M1068" t="inlineStr"/>
      <c r="N1068" t="inlineStr"/>
      <c r="O1068">
        <f>(1-Summary!$B$11)*T1068+Summary!$B$11*V1068</f>
        <v/>
      </c>
      <c r="P1068">
        <f>IF(B1096=0,0,O1068/B1096)</f>
        <v/>
      </c>
      <c r="Q1068">
        <f>IFERROR(1/IF(Inputs!$B$39="pvp",15,MAX(0.1,Skills!D16-IF(Skills!E16=TRUE,Inputs!$B$32,0))),0)</f>
        <v/>
      </c>
      <c r="R1068">
        <f>IF(AND(Inputs!$B$39&lt;&gt;"pvp",Inputs!$B$44&gt;0),IF(Inputs!$B$44&lt;=0,0,(INT(Inputs!$B$44/IF(Inputs!$B$39="pvp",15,MAX(0.1,Skills!D16-IF(Skills!E16=TRUE,Inputs!$B$32,0))))+1)),0)</f>
        <v/>
      </c>
      <c r="S1068">
        <f>IFERROR(O1068/N1068,0)</f>
        <v/>
      </c>
      <c r="T1068" t="n">
        <v>0</v>
      </c>
      <c r="V1068" t="n">
        <v>0</v>
      </c>
    </row>
    <row r="1069">
      <c r="A1069">
        <f>Skills!A17</f>
        <v/>
      </c>
      <c r="B1069">
        <f>Skills!B17</f>
        <v/>
      </c>
      <c r="C1069">
        <f>Inputs!$B$3&gt;=115</f>
        <v/>
      </c>
      <c r="D1069">
        <f>IF(Skills!C17=1,60+Inputs!$B$25+(Inputs!$B$29+1),IF(Skills!C17=2,90+Inputs!$B$26+(Inputs!$B$29+1),IF(Skills!C17=3,120+Inputs!$B$27+(Inputs!$B$29+1),MAX(0,(Inputs!$B$3-100)*3)+Inputs!$B$28+(Inputs!$B$29+1))))</f>
        <v/>
      </c>
      <c r="E1069">
        <f>INDEX(FactorTable!$B$2:$Y$301, MATCH(ROUND(MIN(300,MAX(1,D1069)),0), FactorTable!$A$2:$A$301,0), Skills!M17+1)</f>
        <v/>
      </c>
      <c r="F1069">
        <f>IF(Skills!N17=TRUE,(Skills!L17/10)*(E1069/1000),Skills!L17/10)+Skills!O17</f>
        <v/>
      </c>
      <c r="G1069">
        <f>Calc!G17</f>
        <v/>
      </c>
      <c r="H1069">
        <f>Calc!H17</f>
        <v/>
      </c>
      <c r="I1069">
        <f>IF(Skills!AA17&lt;&gt;"",1+(Skills!AA17/10)*(U1055/1000)/100,1)</f>
        <v/>
      </c>
      <c r="J1069">
        <f>((Inputs!$B$6*(1+Inputs!$B$7/100))+(((Inputs!$B$12*(1+Inputs!$B$13/100))-(Inputs!$B$12*(1+Inputs!$B$13/100)))+0.25*(Inputs!$B$14-Inputs!$B$14))*(1+Inputs!$B$7/100))*(F1069/100)</f>
        <v/>
      </c>
      <c r="K1069">
        <f>J1069*(1+((Inputs!$B$12*(1+Inputs!$B$13/100))*0.01+Inputs!$B$14*0.0025)/100)*(1+Inputs!$B$15/100)*(1+Inputs!$B$16/100)*(5000/(6000+Inputs!$B$43*(1-(100*(1-(1-(Inputs!$B$19+0)/100)*(1-CHOOSE(ArtifactsInput!$N$40+1,5,6,7,8,9,10)/100)^(ArtifactsInput!$M$40-ArtifactsInput!$M$40)))/100)))*(1+(Inputs!$B$24+((C1082=TRUE)*(F1082-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1075=TRUE)*(F1075-Calc!F23))+(((IF(AND(ArtifactsInput!$M$42,((Inputs!$B$9+((C1077=TRUE)*(F1077-Calc!F25))+B1092+(ArtifactsInput!$M$24-ArtifactsInput!$M$24)*CHOOSE(ArtifactsInput!$N$24+1,10,12,14,16,18,20)+IF(ArtifactsInput!$M$10,CHOOSE(ArtifactsInput!$N$10+1,15,18,21,24,27,30)*(IF(Inputs!$B$39="pvp",MIN(15,15)/15,IF(AND(Inputs!$B$39&lt;&gt;"pvp",Inputs!$B$44&gt;0),MIN(15,Inputs!$B$44)/(Inputs!$B$44),0))),0)))&gt;=100),MIN(100,((Inputs!$B$9+((C1077=TRUE)*(F1077-Calc!F25))+B1092+(ArtifactsInput!$M$24-ArtifactsInput!$M$24)*CHOOSE(ArtifactsInput!$N$24+1,10,12,14,16,18,20)+IF(ArtifactsInput!$M$10,CHOOSE(ArtifactsInput!$N$10+1,15,18,21,24,27,30)*(IF(Inputs!$B$39="pvp",MIN(15,15)/15,IF(AND(Inputs!$B$39&lt;&gt;"pvp",Inputs!$B$44&gt;0),MIN(15,Inputs!$B$44)/(Inputs!$B$44),0))),0)))-100),0))*CHOOSE(ArtifactsInput!$N$42+1,0.6,0.72,0.84,0.96,1.08,1.2))),Inputs!$B$18+((C1081=TRUE)*(F1081-Calc!F29))+(IF(AND(ArtifactsInput!$M$42,((Inputs!$B$9+((C1077=TRUE)*(F1077-Calc!F25))+B1092+(ArtifactsInput!$M$24-ArtifactsInput!$M$24)*CHOOSE(ArtifactsInput!$N$24+1,10,12,14,16,18,20)+IF(ArtifactsInput!$M$10,CHOOSE(ArtifactsInput!$N$10+1,15,18,21,24,27,30)*(IF(Inputs!$B$39="pvp",MIN(15,15)/15,IF(AND(Inputs!$B$39&lt;&gt;"pvp",Inputs!$B$44&gt;0),MIN(15,Inputs!$B$44)/(Inputs!$B$44),0))),0)))&gt;=100),CHOOSE(ArtifactsInput!$N$42+1,40,48,56,64,72,80),0))))/100)*(((1+(((C1073=TRUE)*F1073*IF(AND(Inputs!$B$39&lt;&gt;"pvp",Inputs!$B$44&gt;0),(((R1073-1)*(Skills!Y21*(1+Inputs!$B$34/100))+MIN((Skills!Y21*(1+Inputs!$B$34/100)),MAX(0,Inputs!$B$44-((R1073-1)*Skills!D21))))/Inputs!$B$44),IF(Inputs!$B$39="pvp",MIN((Skills!Y21*(1+Inputs!$B$34/100)),15)/15,(Skills!Y21*(1+Inputs!$B$34/100))/Skills!D21)))+((C1080=TRUE)*(F1080-Calc!F28))+((C1070=TRUE)*(F1070-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1067=TRUE)*F1067*IF(AND(Inputs!$B$39&lt;&gt;"pvp",Inputs!$B$44&gt;0),(((R1067-1)*(Skills!Y15*(1+Inputs!$B$34/100))+MIN((Skills!Y15*(1+Inputs!$B$34/100)),MAX(0,Inputs!$B$44-((R1067-1)*Skills!D15))))/Inputs!$B$44),IF(Inputs!$B$39="pvp",MIN((Skills!Y15*(1+Inputs!$B$34/100)),15)/15,(Skills!Y15*(1+Inputs!$B$34/100))/Skills!D15)))/100)*(1+((C1058=TRUE)*F1058*B1086)/100))*B1094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1069)</f>
        <v/>
      </c>
      <c r="L1069">
        <f>K1069*(MIN(Inputs!$B$22+((C1076=TRUE)*(F1076-Calc!F24)),(Inputs!$B$23+0+(IF(ArtifactsInput!$M$15,CHOOSE(ArtifactsInput!$N$15+1,25,30,35,40,45,50)/100*(Inputs!$B$11-Inputs!$B$11),0))))/100+(Inputs!$B$23+0+(IF(ArtifactsInput!$M$15,CHOOSE(ArtifactsInput!$N$15+1,25,30,35,40,45,50)/100*(Inputs!$B$11-Inputs!$B$11),0)))/100)/2</f>
        <v/>
      </c>
      <c r="M1069">
        <f>L1069*(1+(Inputs!$B$10+((C1078=TRUE)*(F1078-Calc!F26))+B1095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69">
        <f>L1069*(1-MIN((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1069*(MIN((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69">
        <f>(1-Summary!$B$11)*T1069+Summary!$B$11*V1069</f>
        <v/>
      </c>
      <c r="P1069">
        <f>IF(B1096=0,0,O1069/B1096)</f>
        <v/>
      </c>
      <c r="Q1069" t="n">
        <v>0</v>
      </c>
      <c r="R1069" t="n">
        <v>0</v>
      </c>
      <c r="S1069">
        <f>IFERROR(O1069/N1069,0)</f>
        <v/>
      </c>
      <c r="T1069">
        <f>IF(C1069,(Inputs!$B$38*0.2*N1069)*IF(Inputs!$B$39="pvp",1,1+(Inputs!$B$20+((C1079=TRUE)*(F1079-Calc!F27))+Skills!P17+B1093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Hunt"),CHOOSE(ArtifactsInput!$N$35+1,15,18,21,24,27,30)*(1-EXP(-(0.2*B1088)*5)),0)+IF(AND(ArtifactsInput!$M$22,Inputs!$B$4&lt;&gt;"Chapter Hunt"),CHOOSE(ArtifactsInput!$N$22+1,10,12,14,16,18,20)*((0*(((0.15*B1088*5))^0/1)+1*(((0.15*B1088*5))^1/1)+2*(((0.15*B1088*5))^2/2)+3*(((0.15*B1088*5))^3/6)+4*(((0.15*B1088*5))^4/24)+5*(((0.15*B1088*5))^5/120))/((((0.15*B1088*5))^0/1)+(((0.15*B1088*5))^1/1)+(((0.15*B1088*5))^2/2)+(((0.15*B1088*5))^3/6)+(((0.15*B1088*5))^4/24)+(((0.15*B1088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1069*(1-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1069*(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1069*(1-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1069*(MIN(100,(Inputs!$B$9+((C1077=TRUE)*(F1077-Calc!F25))+B1092+(ArtifactsInput!$M$24-ArtifactsInput!$M$24)*CHOOSE(ArtifactsInput!$N$24+1,10,12,14,16,18,20)+(IF(AND(ArtifactsInput!$M$42,((Inputs!$B$9+((C1077=TRUE)*(F1077-Calc!F25))+B1092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69">
        <f>IF(C1069,(Inputs!$B$38*0.2*N1069)*IF(Inputs!$B$39="pvp",1,(1+(Inputs!$B$21+Skills!Q17+B1093+(IF(ArtifactsInput!$M$33,CHOOSE(ArtifactsInput!$N$33+1,30,36,42,48,54,60),0))+(IF(AND(ArtifactsInput!$M$35,Inputs!$B$4&lt;&gt;"Chapter Hunt"),CHOOSE(ArtifactsInput!$N$35+1,15,18,21,24,27,30)*(1-EXP(-(0.2*B1088)*5)),0)+IF(AND(ArtifactsInput!$M$22,Inputs!$B$4&lt;&gt;"Chapter Hunt"),CHOOSE(ArtifactsInput!$N$22+1,10,12,14,16,18,20)*((0*(((0.15*B1088*5))^0/1)+1*(((0.15*B1088*5))^1/1)+2*(((0.15*B1088*5))^2/2)+3*(((0.15*B1088*5))^3/6)+4*(((0.15*B1088*5))^4/24)+5*(((0.15*B1088*5))^5/120))/((((0.15*B1088*5))^0/1)+(((0.15*B1088*5))^1/1)+(((0.15*B1088*5))^2/2)+(((0.15*B1088*5))^3/6)+(((0.15*B1088*5))^4/24)+(((0.15*B1088*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70">
      <c r="A1070">
        <f>Skills!A18</f>
        <v/>
      </c>
      <c r="B1070">
        <f>Skills!B18</f>
        <v/>
      </c>
      <c r="C1070">
        <f>Inputs!$B$3&gt;=115</f>
        <v/>
      </c>
      <c r="D1070">
        <f>IF(Skills!C18=1,60+Inputs!$B$25+(Inputs!$B$29+1),IF(Skills!C18=2,90+Inputs!$B$26+(Inputs!$B$29+1),IF(Skills!C18=3,120+Inputs!$B$27+(Inputs!$B$29+1),MAX(0,(Inputs!$B$3-100)*3)+Inputs!$B$28+(Inputs!$B$29+1))))</f>
        <v/>
      </c>
      <c r="E1070">
        <f>INDEX(FactorTable!$B$2:$Y$301, MATCH(ROUND(MIN(300,MAX(1,D1070)),0), FactorTable!$A$2:$A$301,0), Skills!M18+1)</f>
        <v/>
      </c>
      <c r="F1070">
        <f>IF(Skills!N18=TRUE,(Skills!L18/10)*(E1070/1000),Skills!L18/10)+Skills!O18</f>
        <v/>
      </c>
      <c r="G1070">
        <f>Calc!G18</f>
        <v/>
      </c>
      <c r="H1070">
        <f>Calc!H18</f>
        <v/>
      </c>
      <c r="I1070">
        <f>IF(Skills!AA18&lt;&gt;"",1+(Skills!AA18/10)*(U1055/1000)/100,1)</f>
        <v/>
      </c>
      <c r="J1070" t="inlineStr"/>
      <c r="K1070" t="inlineStr"/>
      <c r="L1070" t="inlineStr"/>
      <c r="M1070" t="inlineStr"/>
      <c r="N1070" t="inlineStr"/>
      <c r="O1070">
        <f>(1-Summary!$B$11)*T1070+Summary!$B$11*V1070</f>
        <v/>
      </c>
      <c r="P1070">
        <f>IF(B1096=0,0,O1070/B1096)</f>
        <v/>
      </c>
      <c r="Q1070" t="n">
        <v>0</v>
      </c>
      <c r="R1070" t="n">
        <v>0</v>
      </c>
      <c r="S1070">
        <f>IFERROR(O1070/N1070,0)</f>
        <v/>
      </c>
      <c r="T1070" t="n">
        <v>0</v>
      </c>
      <c r="V1070" t="n">
        <v>0</v>
      </c>
    </row>
    <row r="1071">
      <c r="A1071">
        <f>Skills!A19</f>
        <v/>
      </c>
      <c r="B1071">
        <f>Skills!B19</f>
        <v/>
      </c>
      <c r="C1071">
        <f>TRUE</f>
        <v/>
      </c>
      <c r="D1071">
        <f>IF(Skills!C19=1,60+Inputs!$B$25+(Inputs!$B$29+1),IF(Skills!C19=2,90+Inputs!$B$26+(Inputs!$B$29+1),IF(Skills!C19=3,120+Inputs!$B$27+(Inputs!$B$29+1),MAX(0,(Inputs!$B$3-100)*3)+Inputs!$B$28+(Inputs!$B$29+1))))</f>
        <v/>
      </c>
      <c r="E1071">
        <f>INDEX(FactorTable!$B$2:$Y$301, MATCH(ROUND(MIN(300,MAX(1,D1071)),0), FactorTable!$A$2:$A$301,0), Skills!M19+1)</f>
        <v/>
      </c>
      <c r="F1071">
        <f>IF(Skills!N19=TRUE,(Skills!L19/10)*(E1071/1000),Skills!L19/10)+Skills!O19</f>
        <v/>
      </c>
      <c r="G1071">
        <f>Calc!G19</f>
        <v/>
      </c>
      <c r="H1071">
        <f>Calc!H19</f>
        <v/>
      </c>
      <c r="I1071">
        <f>IF(Skills!AA19&lt;&gt;"",1+(Skills!AA19/10)*(U1055/1000)/100,1)</f>
        <v/>
      </c>
      <c r="J1071" t="inlineStr"/>
      <c r="K1071" t="inlineStr"/>
      <c r="L1071" t="inlineStr"/>
      <c r="M1071" t="inlineStr"/>
      <c r="N1071" t="inlineStr"/>
      <c r="O1071">
        <f>(1-Summary!$B$11)*T1071+Summary!$B$11*V1071</f>
        <v/>
      </c>
      <c r="P1071">
        <f>IF(B1096=0,0,O1071/B1096)</f>
        <v/>
      </c>
      <c r="Q1071">
        <f>IFERROR(1/IF(Inputs!$B$39="pvp",15,MAX(0.1,Skills!D19-IF(Skills!E19=TRUE,Inputs!$B$32,0))),0)</f>
        <v/>
      </c>
      <c r="R1071">
        <f>IF(AND(Inputs!$B$39&lt;&gt;"pvp",Inputs!$B$44&gt;0),IF(Inputs!$B$44&lt;=0,0,(INT(Inputs!$B$44/IF(Inputs!$B$39="pvp",15,MAX(0.1,Skills!D19-IF(Skills!E19=TRUE,Inputs!$B$32,0))))+1)),0)</f>
        <v/>
      </c>
      <c r="S1071">
        <f>IFERROR(O1071/N1071,0)</f>
        <v/>
      </c>
      <c r="T1071" t="n">
        <v>0</v>
      </c>
      <c r="V1071" t="n">
        <v>0</v>
      </c>
    </row>
    <row r="1072">
      <c r="A1072">
        <f>Skills!A20</f>
        <v/>
      </c>
      <c r="B1072">
        <f>Skills!B20</f>
        <v/>
      </c>
      <c r="C1072">
        <f>Inputs!$B$3&gt;=15</f>
        <v/>
      </c>
      <c r="D1072">
        <f>IF(Skills!C20=1,60+Inputs!$B$25+(Inputs!$B$29+1),IF(Skills!C20=2,90+Inputs!$B$26+(Inputs!$B$29+1),IF(Skills!C20=3,120+Inputs!$B$27+(Inputs!$B$29+1),MAX(0,(Inputs!$B$3-100)*3)+Inputs!$B$28+(Inputs!$B$29+1))))</f>
        <v/>
      </c>
      <c r="E1072">
        <f>INDEX(FactorTable!$B$2:$Y$301, MATCH(ROUND(MIN(300,MAX(1,D1072)),0), FactorTable!$A$2:$A$301,0), Skills!M20+1)</f>
        <v/>
      </c>
      <c r="F1072">
        <f>IF(Skills!N20=TRUE,(Skills!L20/10)*(E1072/1000),Skills!L20/10)+Skills!O20</f>
        <v/>
      </c>
      <c r="G1072">
        <f>Calc!G20</f>
        <v/>
      </c>
      <c r="H1072">
        <f>Calc!H20</f>
        <v/>
      </c>
      <c r="I1072">
        <f>IF(Skills!AA20&lt;&gt;"",1+(Skills!AA20/10)*(U1055/1000)/100,1)</f>
        <v/>
      </c>
      <c r="J1072" t="inlineStr"/>
      <c r="K1072" t="inlineStr"/>
      <c r="L1072" t="inlineStr"/>
      <c r="M1072" t="inlineStr"/>
      <c r="N1072" t="inlineStr"/>
      <c r="O1072">
        <f>(1-Summary!$B$11)*T1072+Summary!$B$11*V1072</f>
        <v/>
      </c>
      <c r="P1072">
        <f>IF(B1096=0,0,O1072/B1096)</f>
        <v/>
      </c>
      <c r="Q1072">
        <f>IFERROR(1/IF(Inputs!$B$39="pvp",15,MAX(0.1,Skills!D20-IF(Skills!E20=TRUE,Inputs!$B$32,0))),0)</f>
        <v/>
      </c>
      <c r="R1072">
        <f>IF(AND(Inputs!$B$39&lt;&gt;"pvp",Inputs!$B$44&gt;0),IF(Inputs!$B$44&lt;=0,0,(INT(Inputs!$B$44/IF(Inputs!$B$39="pvp",15,MAX(0.1,Skills!D20-IF(Skills!E20=TRUE,Inputs!$B$32,0))))+1)),0)</f>
        <v/>
      </c>
      <c r="S1072">
        <f>IFERROR(O1072/N1072,0)</f>
        <v/>
      </c>
      <c r="T1072" t="n">
        <v>0</v>
      </c>
      <c r="V1072" t="n">
        <v>0</v>
      </c>
    </row>
    <row r="1073">
      <c r="A1073">
        <f>Skills!A21</f>
        <v/>
      </c>
      <c r="B1073">
        <f>Skills!B21</f>
        <v/>
      </c>
      <c r="C1073">
        <f>Inputs!$B$3&gt;=15</f>
        <v/>
      </c>
      <c r="D1073">
        <f>IF(Skills!C21=1,60+Inputs!$B$25+(Inputs!$B$29+1),IF(Skills!C21=2,90+Inputs!$B$26+(Inputs!$B$29+1),IF(Skills!C21=3,120+Inputs!$B$27+(Inputs!$B$29+1),MAX(0,(Inputs!$B$3-100)*3)+Inputs!$B$28+(Inputs!$B$29+1))))</f>
        <v/>
      </c>
      <c r="E1073">
        <f>INDEX(FactorTable!$B$2:$Y$301, MATCH(ROUND(MIN(300,MAX(1,D1073)),0), FactorTable!$A$2:$A$301,0), Skills!M21+1)</f>
        <v/>
      </c>
      <c r="F1073">
        <f>IF(Skills!N21=TRUE,(Skills!L21/10)*(E1073/1000),Skills!L21/10)+Skills!O21</f>
        <v/>
      </c>
      <c r="G1073">
        <f>Calc!G21</f>
        <v/>
      </c>
      <c r="H1073">
        <f>Calc!H21</f>
        <v/>
      </c>
      <c r="I1073">
        <f>IF(Skills!AA21&lt;&gt;"",1+(Skills!AA21/10)*(U1055/1000)/100,1)</f>
        <v/>
      </c>
      <c r="J1073" t="inlineStr"/>
      <c r="K1073" t="inlineStr"/>
      <c r="L1073" t="inlineStr"/>
      <c r="M1073" t="inlineStr"/>
      <c r="N1073" t="inlineStr"/>
      <c r="O1073">
        <f>(1-Summary!$B$11)*T1073+Summary!$B$11*V1073</f>
        <v/>
      </c>
      <c r="P1073">
        <f>IF(B1096=0,0,O1073/B1096)</f>
        <v/>
      </c>
      <c r="Q1073">
        <f>IFERROR(1/IF(Inputs!$B$39="pvp",15,MAX(0.1,Skills!D21-IF(Skills!E21=TRUE,Inputs!$B$32,0))),0)</f>
        <v/>
      </c>
      <c r="R1073">
        <f>IF(AND(Inputs!$B$39&lt;&gt;"pvp",Inputs!$B$44&gt;0),IF(Inputs!$B$44&lt;=0,0,(INT(Inputs!$B$44/IF(Inputs!$B$39="pvp",15,MAX(0.1,Skills!D21-IF(Skills!E21=TRUE,Inputs!$B$32,0))))+1)),0)</f>
        <v/>
      </c>
      <c r="S1073">
        <f>IFERROR(O1073/N1073,0)</f>
        <v/>
      </c>
      <c r="T1073" t="n">
        <v>0</v>
      </c>
      <c r="V1073" t="n">
        <v>0</v>
      </c>
    </row>
    <row r="1074">
      <c r="A1074">
        <f>Skills!A22</f>
        <v/>
      </c>
      <c r="B1074">
        <f>Skills!B22</f>
        <v/>
      </c>
      <c r="C1074">
        <f>Inputs!$B$3&gt;=33</f>
        <v/>
      </c>
      <c r="D1074">
        <f>IF(Skills!C22=1,60+Inputs!$B$25+(Inputs!$B$29+1),IF(Skills!C22=2,90+Inputs!$B$26+(Inputs!$B$29+1),IF(Skills!C22=3,120+Inputs!$B$27+(Inputs!$B$29+1),MAX(0,(Inputs!$B$3-100)*3)+Inputs!$B$28+(Inputs!$B$29+1))))</f>
        <v/>
      </c>
      <c r="E1074">
        <f>INDEX(FactorTable!$B$2:$Y$301, MATCH(ROUND(MIN(300,MAX(1,D1074)),0), FactorTable!$A$2:$A$301,0), Skills!M22+1)</f>
        <v/>
      </c>
      <c r="F1074">
        <f>IF(Skills!N22=TRUE,(Skills!L22/10)*(E1074/1000),Skills!L22/10)+Skills!O22</f>
        <v/>
      </c>
      <c r="G1074">
        <f>Calc!G22</f>
        <v/>
      </c>
      <c r="H1074">
        <f>Calc!H22</f>
        <v/>
      </c>
      <c r="I1074">
        <f>IF(Skills!AA22&lt;&gt;"",1+(Skills!AA22/10)*(U1055/1000)/100,1)</f>
        <v/>
      </c>
      <c r="J1074" t="inlineStr"/>
      <c r="K1074" t="inlineStr"/>
      <c r="L1074" t="inlineStr"/>
      <c r="M1074" t="inlineStr"/>
      <c r="N1074" t="inlineStr"/>
      <c r="O1074">
        <f>(1-Summary!$B$11)*T1074+Summary!$B$11*V1074</f>
        <v/>
      </c>
      <c r="P1074">
        <f>IF(B1096=0,0,O1074/B1096)</f>
        <v/>
      </c>
      <c r="Q1074" t="n">
        <v>0</v>
      </c>
      <c r="R1074" t="n">
        <v>0</v>
      </c>
      <c r="S1074">
        <f>IFERROR(O1074/N1074,0)</f>
        <v/>
      </c>
      <c r="T1074" t="n">
        <v>0</v>
      </c>
      <c r="V1074" t="n">
        <v>0</v>
      </c>
    </row>
    <row r="1075">
      <c r="A1075">
        <f>Skills!A23</f>
        <v/>
      </c>
      <c r="B1075">
        <f>Skills!B23</f>
        <v/>
      </c>
      <c r="C1075">
        <f>Inputs!$B$3&gt;=38</f>
        <v/>
      </c>
      <c r="D1075">
        <f>IF(Skills!C23=1,60+Inputs!$B$25+(Inputs!$B$29+1),IF(Skills!C23=2,90+Inputs!$B$26+(Inputs!$B$29+1),IF(Skills!C23=3,120+Inputs!$B$27+(Inputs!$B$29+1),MAX(0,(Inputs!$B$3-100)*3)+Inputs!$B$28+(Inputs!$B$29+1))))</f>
        <v/>
      </c>
      <c r="E1075">
        <f>INDEX(FactorTable!$B$2:$Y$301, MATCH(ROUND(MIN(300,MAX(1,D1075)),0), FactorTable!$A$2:$A$301,0), Skills!M23+1)</f>
        <v/>
      </c>
      <c r="F1075">
        <f>IF(Skills!N23=TRUE,(Skills!L23/10)*(E1075/1000),Skills!L23/10)+Skills!O23</f>
        <v/>
      </c>
      <c r="G1075">
        <f>Calc!G23</f>
        <v/>
      </c>
      <c r="H1075">
        <f>Calc!H23</f>
        <v/>
      </c>
      <c r="I1075">
        <f>IF(Skills!AA23&lt;&gt;"",1+(Skills!AA23/10)*(U1055/1000)/100,1)</f>
        <v/>
      </c>
      <c r="J1075" t="inlineStr"/>
      <c r="K1075" t="inlineStr"/>
      <c r="L1075" t="inlineStr"/>
      <c r="M1075" t="inlineStr"/>
      <c r="N1075" t="inlineStr"/>
      <c r="O1075">
        <f>(1-Summary!$B$11)*T1075+Summary!$B$11*V1075</f>
        <v/>
      </c>
      <c r="P1075">
        <f>IF(B1096=0,0,O1075/B1096)</f>
        <v/>
      </c>
      <c r="Q1075" t="n">
        <v>0</v>
      </c>
      <c r="R1075" t="n">
        <v>0</v>
      </c>
      <c r="S1075">
        <f>IFERROR(O1075/N1075,0)</f>
        <v/>
      </c>
      <c r="T1075" t="n">
        <v>0</v>
      </c>
      <c r="V1075" t="n">
        <v>0</v>
      </c>
    </row>
    <row r="1076">
      <c r="A1076">
        <f>Skills!A24</f>
        <v/>
      </c>
      <c r="B1076">
        <f>Skills!B24</f>
        <v/>
      </c>
      <c r="C1076">
        <f>Inputs!$B$3&gt;=40</f>
        <v/>
      </c>
      <c r="D1076">
        <f>IF(Skills!C24=1,60+Inputs!$B$25+(Inputs!$B$29+1),IF(Skills!C24=2,90+Inputs!$B$26+(Inputs!$B$29+1),IF(Skills!C24=3,120+Inputs!$B$27+(Inputs!$B$29+1),MAX(0,(Inputs!$B$3-100)*3)+Inputs!$B$28+(Inputs!$B$29+1))))</f>
        <v/>
      </c>
      <c r="E1076">
        <f>INDEX(FactorTable!$B$2:$Y$301, MATCH(ROUND(MIN(300,MAX(1,D1076)),0), FactorTable!$A$2:$A$301,0), Skills!M24+1)</f>
        <v/>
      </c>
      <c r="F1076">
        <f>IF(Skills!N24=TRUE,(Skills!L24/10)*(E1076/1000),Skills!L24/10)+Skills!O24</f>
        <v/>
      </c>
      <c r="G1076">
        <f>Calc!G24</f>
        <v/>
      </c>
      <c r="H1076">
        <f>Calc!H24</f>
        <v/>
      </c>
      <c r="I1076">
        <f>IF(Skills!AA24&lt;&gt;"",1+(Skills!AA24/10)*(U1055/1000)/100,1)</f>
        <v/>
      </c>
      <c r="J1076" t="inlineStr"/>
      <c r="K1076" t="inlineStr"/>
      <c r="L1076" t="inlineStr"/>
      <c r="M1076" t="inlineStr"/>
      <c r="N1076" t="inlineStr"/>
      <c r="O1076">
        <f>(1-Summary!$B$11)*T1076+Summary!$B$11*V1076</f>
        <v/>
      </c>
      <c r="P1076">
        <f>IF(B1096=0,0,O1076/B1096)</f>
        <v/>
      </c>
      <c r="Q1076" t="n">
        <v>0</v>
      </c>
      <c r="R1076" t="n">
        <v>0</v>
      </c>
      <c r="S1076">
        <f>IFERROR(O1076/N1076,0)</f>
        <v/>
      </c>
      <c r="T1076" t="n">
        <v>0</v>
      </c>
      <c r="V1076" t="n">
        <v>0</v>
      </c>
    </row>
    <row r="1077">
      <c r="A1077">
        <f>Skills!A25</f>
        <v/>
      </c>
      <c r="B1077">
        <f>Skills!B25</f>
        <v/>
      </c>
      <c r="C1077">
        <f>Inputs!$B$3&gt;=45</f>
        <v/>
      </c>
      <c r="D1077">
        <f>IF(Skills!C25=1,60+Inputs!$B$25+(Inputs!$B$29+1),IF(Skills!C25=2,90+Inputs!$B$26+(Inputs!$B$29+1),IF(Skills!C25=3,120+Inputs!$B$27+(Inputs!$B$29+1),MAX(0,(Inputs!$B$3-100)*3)+Inputs!$B$28+(Inputs!$B$29+1))))</f>
        <v/>
      </c>
      <c r="E1077">
        <f>INDEX(FactorTable!$B$2:$Y$301, MATCH(ROUND(MIN(300,MAX(1,D1077)),0), FactorTable!$A$2:$A$301,0), Skills!M25+1)</f>
        <v/>
      </c>
      <c r="F1077">
        <f>IF(Skills!N25=TRUE,(Skills!L25/10)*(E1077/1000),Skills!L25/10)+Skills!O25</f>
        <v/>
      </c>
      <c r="G1077">
        <f>Calc!G25</f>
        <v/>
      </c>
      <c r="H1077">
        <f>Calc!H25</f>
        <v/>
      </c>
      <c r="I1077">
        <f>IF(Skills!AA25&lt;&gt;"",1+(Skills!AA25/10)*(U1055/1000)/100,1)</f>
        <v/>
      </c>
      <c r="J1077" t="inlineStr"/>
      <c r="K1077" t="inlineStr"/>
      <c r="L1077" t="inlineStr"/>
      <c r="M1077" t="inlineStr"/>
      <c r="N1077" t="inlineStr"/>
      <c r="O1077">
        <f>(1-Summary!$B$11)*T1077+Summary!$B$11*V1077</f>
        <v/>
      </c>
      <c r="P1077">
        <f>IF(B1096=0,0,O1077/B1096)</f>
        <v/>
      </c>
      <c r="Q1077" t="n">
        <v>0</v>
      </c>
      <c r="R1077" t="n">
        <v>0</v>
      </c>
      <c r="S1077">
        <f>IFERROR(O1077/N1077,0)</f>
        <v/>
      </c>
      <c r="T1077" t="n">
        <v>0</v>
      </c>
      <c r="V1077" t="n">
        <v>0</v>
      </c>
    </row>
    <row r="1078">
      <c r="A1078">
        <f>Skills!A26</f>
        <v/>
      </c>
      <c r="B1078">
        <f>Skills!B26</f>
        <v/>
      </c>
      <c r="C1078">
        <f>Inputs!$B$3&gt;=45</f>
        <v/>
      </c>
      <c r="D1078">
        <f>IF(Skills!C26=1,60+Inputs!$B$25+(Inputs!$B$29+1),IF(Skills!C26=2,90+Inputs!$B$26+(Inputs!$B$29+1),IF(Skills!C26=3,120+Inputs!$B$27+(Inputs!$B$29+1),MAX(0,(Inputs!$B$3-100)*3)+Inputs!$B$28+(Inputs!$B$29+1))))</f>
        <v/>
      </c>
      <c r="E1078">
        <f>INDEX(FactorTable!$B$2:$Y$301, MATCH(ROUND(MIN(300,MAX(1,D1078)),0), FactorTable!$A$2:$A$301,0), Skills!M26+1)</f>
        <v/>
      </c>
      <c r="F1078">
        <f>IF(Skills!N26=TRUE,(Skills!L26/10)*(E1078/1000),Skills!L26/10)+Skills!O26</f>
        <v/>
      </c>
      <c r="G1078">
        <f>Calc!G26</f>
        <v/>
      </c>
      <c r="H1078">
        <f>Calc!H26</f>
        <v/>
      </c>
      <c r="I1078">
        <f>IF(Skills!AA26&lt;&gt;"",1+(Skills!AA26/10)*(U1055/1000)/100,1)</f>
        <v/>
      </c>
      <c r="J1078" t="inlineStr"/>
      <c r="K1078" t="inlineStr"/>
      <c r="L1078" t="inlineStr"/>
      <c r="M1078" t="inlineStr"/>
      <c r="N1078" t="inlineStr"/>
      <c r="O1078">
        <f>(1-Summary!$B$11)*T1078+Summary!$B$11*V1078</f>
        <v/>
      </c>
      <c r="P1078">
        <f>IF(B1096=0,0,O1078/B1096)</f>
        <v/>
      </c>
      <c r="Q1078" t="n">
        <v>0</v>
      </c>
      <c r="R1078" t="n">
        <v>0</v>
      </c>
      <c r="S1078">
        <f>IFERROR(O1078/N1078,0)</f>
        <v/>
      </c>
      <c r="T1078" t="n">
        <v>0</v>
      </c>
      <c r="V1078" t="n">
        <v>0</v>
      </c>
    </row>
    <row r="1079">
      <c r="A1079">
        <f>Skills!A27</f>
        <v/>
      </c>
      <c r="B1079">
        <f>Skills!B27</f>
        <v/>
      </c>
      <c r="C1079">
        <f>Inputs!$B$3&gt;=72</f>
        <v/>
      </c>
      <c r="D1079">
        <f>IF(Skills!C27=1,60+Inputs!$B$25+(Inputs!$B$29+1),IF(Skills!C27=2,90+Inputs!$B$26+(Inputs!$B$29+1),IF(Skills!C27=3,120+Inputs!$B$27+(Inputs!$B$29+1),MAX(0,(Inputs!$B$3-100)*3)+Inputs!$B$28+(Inputs!$B$29+1))))</f>
        <v/>
      </c>
      <c r="E1079">
        <f>INDEX(FactorTable!$B$2:$Y$301, MATCH(ROUND(MIN(300,MAX(1,D1079)),0), FactorTable!$A$2:$A$301,0), Skills!M27+1)</f>
        <v/>
      </c>
      <c r="F1079">
        <f>IF(Skills!N27=TRUE,(Skills!L27/10)*(E1079/1000),Skills!L27/10)+Skills!O27</f>
        <v/>
      </c>
      <c r="G1079">
        <f>Calc!G27</f>
        <v/>
      </c>
      <c r="H1079">
        <f>Calc!H27</f>
        <v/>
      </c>
      <c r="I1079">
        <f>IF(Skills!AA27&lt;&gt;"",1+(Skills!AA27/10)*(U1055/1000)/100,1)</f>
        <v/>
      </c>
      <c r="J1079" t="inlineStr"/>
      <c r="K1079" t="inlineStr"/>
      <c r="L1079" t="inlineStr"/>
      <c r="M1079" t="inlineStr"/>
      <c r="N1079" t="inlineStr"/>
      <c r="O1079">
        <f>(1-Summary!$B$11)*T1079+Summary!$B$11*V1079</f>
        <v/>
      </c>
      <c r="P1079">
        <f>IF(B1096=0,0,O1079/B1096)</f>
        <v/>
      </c>
      <c r="Q1079" t="n">
        <v>0</v>
      </c>
      <c r="R1079" t="n">
        <v>0</v>
      </c>
      <c r="S1079">
        <f>IFERROR(O1079/N1079,0)</f>
        <v/>
      </c>
      <c r="T1079" t="n">
        <v>0</v>
      </c>
      <c r="V1079" t="n">
        <v>0</v>
      </c>
    </row>
    <row r="1080">
      <c r="A1080">
        <f>Skills!A28</f>
        <v/>
      </c>
      <c r="B1080">
        <f>Skills!B28</f>
        <v/>
      </c>
      <c r="C1080">
        <f>Inputs!$B$3&gt;=75</f>
        <v/>
      </c>
      <c r="D1080">
        <f>IF(Skills!C28=1,60+Inputs!$B$25+(Inputs!$B$29+1),IF(Skills!C28=2,90+Inputs!$B$26+(Inputs!$B$29+1),IF(Skills!C28=3,120+Inputs!$B$27+(Inputs!$B$29+1),MAX(0,(Inputs!$B$3-100)*3)+Inputs!$B$28+(Inputs!$B$29+1))))</f>
        <v/>
      </c>
      <c r="E1080">
        <f>INDEX(FactorTable!$B$2:$Y$301, MATCH(ROUND(MIN(300,MAX(1,D1080)),0), FactorTable!$A$2:$A$301,0), Skills!M28+1)</f>
        <v/>
      </c>
      <c r="F1080">
        <f>IF(Skills!N28=TRUE,(Skills!L28/10)*(E1080/1000),Skills!L28/10)+Skills!O28</f>
        <v/>
      </c>
      <c r="G1080">
        <f>Calc!G28</f>
        <v/>
      </c>
      <c r="H1080">
        <f>Calc!H28</f>
        <v/>
      </c>
      <c r="I1080">
        <f>IF(Skills!AA28&lt;&gt;"",1+(Skills!AA28/10)*(U1055/1000)/100,1)</f>
        <v/>
      </c>
      <c r="J1080" t="inlineStr"/>
      <c r="K1080" t="inlineStr"/>
      <c r="L1080" t="inlineStr"/>
      <c r="M1080" t="inlineStr"/>
      <c r="N1080" t="inlineStr"/>
      <c r="O1080">
        <f>(1-Summary!$B$11)*T1080+Summary!$B$11*V1080</f>
        <v/>
      </c>
      <c r="P1080">
        <f>IF(B1096=0,0,O1080/B1096)</f>
        <v/>
      </c>
      <c r="Q1080" t="n">
        <v>0</v>
      </c>
      <c r="R1080" t="n">
        <v>0</v>
      </c>
      <c r="S1080">
        <f>IFERROR(O1080/N1080,0)</f>
        <v/>
      </c>
      <c r="T1080" t="n">
        <v>0</v>
      </c>
      <c r="V1080" t="n">
        <v>0</v>
      </c>
    </row>
    <row r="1081">
      <c r="A1081">
        <f>Skills!A29</f>
        <v/>
      </c>
      <c r="B1081">
        <f>Skills!B29</f>
        <v/>
      </c>
      <c r="C1081">
        <f>Inputs!$B$3&gt;=120</f>
        <v/>
      </c>
      <c r="D1081">
        <f>IF(Skills!C29=1,60+Inputs!$B$25+(Inputs!$B$29+1),IF(Skills!C29=2,90+Inputs!$B$26+(Inputs!$B$29+1),IF(Skills!C29=3,120+Inputs!$B$27+(Inputs!$B$29+1),MAX(0,(Inputs!$B$3-100)*3)+Inputs!$B$28+(Inputs!$B$29+1))))</f>
        <v/>
      </c>
      <c r="E1081">
        <f>INDEX(FactorTable!$B$2:$Y$301, MATCH(ROUND(MIN(300,MAX(1,D1081)),0), FactorTable!$A$2:$A$301,0), Skills!M29+1)</f>
        <v/>
      </c>
      <c r="F1081">
        <f>IF(Skills!N29=TRUE,(Skills!L29/10)*(E1081/1000),Skills!L29/10)+Skills!O29</f>
        <v/>
      </c>
      <c r="G1081">
        <f>Calc!G29</f>
        <v/>
      </c>
      <c r="H1081">
        <f>Calc!H29</f>
        <v/>
      </c>
      <c r="I1081">
        <f>IF(Skills!AA29&lt;&gt;"",1+(Skills!AA29/10)*(U1055/1000)/100,1)</f>
        <v/>
      </c>
      <c r="J1081" t="inlineStr"/>
      <c r="K1081" t="inlineStr"/>
      <c r="L1081" t="inlineStr"/>
      <c r="M1081" t="inlineStr"/>
      <c r="N1081" t="inlineStr"/>
      <c r="O1081">
        <f>(1-Summary!$B$11)*T1081+Summary!$B$11*V1081</f>
        <v/>
      </c>
      <c r="P1081">
        <f>IF(B1096=0,0,O1081/B1096)</f>
        <v/>
      </c>
      <c r="Q1081" t="n">
        <v>0</v>
      </c>
      <c r="R1081" t="n">
        <v>0</v>
      </c>
      <c r="S1081">
        <f>IFERROR(O1081/N1081,0)</f>
        <v/>
      </c>
      <c r="T1081" t="n">
        <v>0</v>
      </c>
      <c r="V1081" t="n">
        <v>0</v>
      </c>
    </row>
    <row r="1082">
      <c r="A1082">
        <f>Skills!A30</f>
        <v/>
      </c>
      <c r="B1082">
        <f>Skills!B30</f>
        <v/>
      </c>
      <c r="C1082">
        <f>Inputs!$B$3&gt;=125</f>
        <v/>
      </c>
      <c r="D1082">
        <f>IF(Skills!C30=1,60+Inputs!$B$25+(Inputs!$B$29+1),IF(Skills!C30=2,90+Inputs!$B$26+(Inputs!$B$29+1),IF(Skills!C30=3,120+Inputs!$B$27+(Inputs!$B$29+1),MAX(0,(Inputs!$B$3-100)*3)+Inputs!$B$28+(Inputs!$B$29+1))))</f>
        <v/>
      </c>
      <c r="E1082">
        <f>INDEX(FactorTable!$B$2:$Y$301, MATCH(ROUND(MIN(300,MAX(1,D1082)),0), FactorTable!$A$2:$A$301,0), Skills!M30+1)</f>
        <v/>
      </c>
      <c r="F1082">
        <f>IF(Skills!N30=TRUE,(Skills!L30/10)*(E1082/1000),Skills!L30/10)+Skills!O30</f>
        <v/>
      </c>
      <c r="G1082">
        <f>Calc!G30</f>
        <v/>
      </c>
      <c r="H1082">
        <f>Calc!H30</f>
        <v/>
      </c>
      <c r="I1082">
        <f>IF(Skills!AA30&lt;&gt;"",1+(Skills!AA30/10)*(U1055/1000)/100,1)</f>
        <v/>
      </c>
      <c r="J1082" t="inlineStr"/>
      <c r="K1082" t="inlineStr"/>
      <c r="L1082" t="inlineStr"/>
      <c r="M1082" t="inlineStr"/>
      <c r="N1082" t="inlineStr"/>
      <c r="O1082">
        <f>(1-Summary!$B$11)*T1082+Summary!$B$11*V1082</f>
        <v/>
      </c>
      <c r="P1082">
        <f>IF(B1096=0,0,O1082/B1096)</f>
        <v/>
      </c>
      <c r="Q1082" t="n">
        <v>0</v>
      </c>
      <c r="R1082" t="n">
        <v>0</v>
      </c>
      <c r="S1082">
        <f>IFERROR(O1082/N1082,0)</f>
        <v/>
      </c>
      <c r="T1082" t="n">
        <v>0</v>
      </c>
      <c r="V1082" t="n">
        <v>0</v>
      </c>
    </row>
    <row r="1083">
      <c r="A1083">
        <f>Skills!A31</f>
        <v/>
      </c>
      <c r="B1083">
        <f>Skills!B31</f>
        <v/>
      </c>
      <c r="C1083">
        <f>Inputs!$B$3&gt;=107</f>
        <v/>
      </c>
      <c r="D1083">
        <f>IF(Skills!C31=1,60+Inputs!$B$25+(Inputs!$B$29+1),IF(Skills!C31=2,90+Inputs!$B$26+(Inputs!$B$29+1),IF(Skills!C31=3,120+Inputs!$B$27+(Inputs!$B$29+1),MAX(0,(Inputs!$B$3-100)*3)+Inputs!$B$28+(Inputs!$B$29+1))))</f>
        <v/>
      </c>
      <c r="E1083">
        <f>INDEX(FactorTable!$B$2:$Y$301, MATCH(ROUND(MIN(300,MAX(1,D1083)),0), FactorTable!$A$2:$A$301,0), Skills!M31+1)</f>
        <v/>
      </c>
      <c r="F1083">
        <f>IF(Skills!N31=TRUE,(Skills!L31/10)*(E1083/1000),Skills!L31/10)+Skills!O31</f>
        <v/>
      </c>
      <c r="G1083">
        <f>Calc!G31</f>
        <v/>
      </c>
      <c r="H1083">
        <f>Calc!H31</f>
        <v/>
      </c>
      <c r="I1083">
        <f>IF(Skills!AA31&lt;&gt;"",1+(Skills!AA31/10)*(U1055/1000)/100,1)</f>
        <v/>
      </c>
      <c r="J1083" t="inlineStr"/>
      <c r="K1083" t="inlineStr"/>
      <c r="L1083" t="inlineStr"/>
      <c r="M1083" t="inlineStr"/>
      <c r="N1083" t="inlineStr"/>
      <c r="O1083">
        <f>(1-Summary!$B$11)*T1083+Summary!$B$11*V1083</f>
        <v/>
      </c>
      <c r="P1083">
        <f>IF(B1096=0,0,O1083/B1096)</f>
        <v/>
      </c>
      <c r="Q1083" t="n">
        <v>0</v>
      </c>
      <c r="R1083" t="n">
        <v>0</v>
      </c>
      <c r="S1083">
        <f>IFERROR(O1083/N1083,0)</f>
        <v/>
      </c>
      <c r="T1083" t="n">
        <v>0</v>
      </c>
      <c r="V1083" t="n">
        <v>0</v>
      </c>
    </row>
    <row r="1085">
      <c r="A1085" t="inlineStr">
        <is>
          <t>Actions Per Second (pre-Adrenalin)</t>
        </is>
      </c>
      <c r="B1085">
        <f>1+MIN(150,150*(1-(1-(Inputs!$B$11+((C1074=TRUE)*(F1074-Calc!F22))+(ArtifactsInput!$M$15-ArtifactsInput!$M$15)*CHOOSE(ArtifactsInput!$N$15+1,8,9.6,11.2,12.8,14.4,16))/150)*(1-((C1071=TRUE)*F1071*IF(AND(Inputs!$B$39&lt;&gt;"pvp",Inputs!$B$44&gt;0),(((R1071-1)*(Skills!Y19*(1+Inputs!$B$34/100))+MIN((Skills!Y19*(1+Inputs!$B$34/100)),MAX(0,Inputs!$B$44-((R1071-1)*Skills!D19))))/Inputs!$B$44),IF(Inputs!$B$39="pvp",MIN((Skills!Y19*(1+Inputs!$B$34/100)),15)/15,(Skills!Y19*(1+Inputs!$B$34/100))/Skills!D19)))/150)))/100</f>
        <v/>
      </c>
    </row>
    <row r="1086">
      <c r="A1086" t="inlineStr">
        <is>
          <t>Alchemic Adrenaline Uptime</t>
        </is>
      </c>
      <c r="B1086">
        <f>(Skills!Y6*(1+Inputs!$B$34/100))/((Skills!Y6*(1+Inputs!$B$34/100))+(5/B1085))</f>
        <v/>
      </c>
    </row>
    <row r="1087">
      <c r="A1087" t="inlineStr">
        <is>
          <t>Attack Speed Buff Bonus %</t>
        </is>
      </c>
      <c r="B1087">
        <f>((C1071=TRUE)*F1071*IF(AND(Inputs!$B$39&lt;&gt;"pvp",Inputs!$B$44&gt;0),(((R1071-1)*(Skills!Y19*(1+Inputs!$B$34/100))+MIN((Skills!Y19*(1+Inputs!$B$34/100)),MAX(0,Inputs!$B$44-((R1071-1)*Skills!D19))))/Inputs!$B$44),IF(Inputs!$B$39="pvp",MIN((Skills!Y19*(1+Inputs!$B$34/100)),15)/15,(Skills!Y19*(1+Inputs!$B$34/100))/Skills!D19)))+((C1059=TRUE)*F1059*B1086)</f>
        <v/>
      </c>
    </row>
    <row r="1088">
      <c r="A1088" t="inlineStr">
        <is>
          <t>Actions Per Second (final)</t>
        </is>
      </c>
      <c r="B1088">
        <f>1+MIN(150,150*(1-(1-(Inputs!$B$11+((C1074=TRUE)*(F1074-Calc!F22))+(ArtifactsInput!$M$15-ArtifactsInput!$M$15)*CHOOSE(ArtifactsInput!$N$15+1,8,9.6,11.2,12.8,14.4,16))/150)*(1-B1087/150)))/100</f>
        <v/>
      </c>
    </row>
    <row r="1089">
      <c r="A1089" t="inlineStr">
        <is>
          <t>Skill + Buff Cast Rate</t>
        </is>
      </c>
      <c r="B1089">
        <f>IF(AND(Inputs!$B$39&lt;&gt;"pvp",Inputs!$B$44&gt;0),SUMPRODUCT((Skills!E2:E31=TRUE)*(C1054:C1083=TRUE)*R1054:R1083*Skills!F2:F31)/Inputs!$B$44,SUMPRODUCT((Skills!E2:E31=TRUE)*(C1054:C1083=TRUE)*Q1054:Q1083*Skills!F2:F31))</f>
        <v/>
      </c>
    </row>
    <row r="1090">
      <c r="A1090" t="inlineStr">
        <is>
          <t>Showdown Casts Per Second</t>
        </is>
      </c>
      <c r="B1090">
        <f>MAX(0,B1088-B1089)</f>
        <v/>
      </c>
    </row>
    <row r="1091">
      <c r="A1091" t="inlineStr">
        <is>
          <t>Average Buff Multiplier</t>
        </is>
      </c>
      <c r="B1091">
        <f>(1+(((C1073=TRUE)*F1073*IF(AND(Inputs!$B$39&lt;&gt;"pvp",Inputs!$B$44&gt;0),(((R1073-1)*(Skills!Y21*(1+Inputs!$B$34/100))+MIN((Skills!Y21*(1+Inputs!$B$34/100)),MAX(0,Inputs!$B$44-((R1073-1)*Skills!D21))))/Inputs!$B$44),IF(Inputs!$B$39="pvp",MIN((Skills!Y21*(1+Inputs!$B$34/100)),15)/15,(Skills!Y21*(1+Inputs!$B$34/100))/Skills!D21)))+((C1080=TRUE)*(F1080-Calc!F28))+((C1070=TRUE)*(F1070-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1067=TRUE)*F1067*IF(AND(Inputs!$B$39&lt;&gt;"pvp",Inputs!$B$44&gt;0),(((R1067-1)*(Skills!Y15*(1+Inputs!$B$34/100))+MIN((Skills!Y15*(1+Inputs!$B$34/100)),MAX(0,Inputs!$B$44-((R1067-1)*Skills!D15))))/Inputs!$B$44),IF(Inputs!$B$39="pvp",MIN((Skills!Y15*(1+Inputs!$B$34/100)),15)/15,(Skills!Y15*(1+Inputs!$B$34/100))/Skills!D15)))/100)*(1+((C1058=TRUE)*F1058*B1086)/100)</f>
        <v/>
      </c>
    </row>
    <row r="1092">
      <c r="A1092" t="inlineStr">
        <is>
          <t>Global Crit Rate Bonus %</t>
        </is>
      </c>
      <c r="B1092">
        <f>IF(Inputs!$B$3&gt;=47,8,0)+((C1072=TRUE)*F1072*IF(AND(Inputs!$B$39&lt;&gt;"pvp",Inputs!$B$44&gt;0),(((R1072-1)*(Skills!Y20*(1+Inputs!$B$34/100))+MIN((Skills!Y20*(1+Inputs!$B$34/100)),MAX(0,Inputs!$B$44-((R1072-1)*Skills!D20))))/Inputs!$B$44),IF(Inputs!$B$39="pvp",MIN((Skills!Y20*(1+Inputs!$B$34/100)),15)/15,(Skills!Y20*(1+Inputs!$B$34/100))/Skills!D20)))</f>
        <v/>
      </c>
    </row>
    <row r="1093">
      <c r="A1093" t="inlineStr">
        <is>
          <t>Global Monster Damage-Taken Bonus %</t>
        </is>
      </c>
      <c r="B1093">
        <f>IF(Inputs!$B$3&gt;=82,15,0)+((C1068=TRUE)*F1068*IF(AND(Inputs!$B$39&lt;&gt;"pvp",Inputs!$B$44&gt;0),(((R1068-1)*(Skills!Y16*(1+Inputs!$B$34/100))+MIN((Skills!Y16*(1+Inputs!$B$34/100)),MAX(0,Inputs!$B$44-((R1068-1)*Skills!D16))))/Inputs!$B$44),IF(Inputs!$B$39="pvp",MIN((Skills!Y16*(1+Inputs!$B$34/100)),15)/15,(Skills!Y16*(1+Inputs!$B$34/100))/Skills!D16)))</f>
        <v/>
      </c>
    </row>
    <row r="1094">
      <c r="A1094" t="inlineStr">
        <is>
          <t>Shadow Partner Average Multiplier</t>
        </is>
      </c>
      <c r="B1094">
        <f>1+((C1063=TRUE)*F1063*I1063*Skills!J11/100)/100</f>
        <v/>
      </c>
    </row>
    <row r="1095">
      <c r="A1095" t="inlineStr">
        <is>
          <t>Global Critical Damage Bonus % (Frailty Curse Mastery Lv.111)</t>
        </is>
      </c>
      <c r="B1095">
        <f>IF(Inputs!$B$3&gt;=111,30,0)*IF(AND(Inputs!$B$39&lt;&gt;"pvp",Inputs!$B$44&gt;0),(((R1068-1)*(Skills!Y16*(1+Inputs!$B$34/100))+MIN((Skills!Y16*(1+Inputs!$B$34/100)),MAX(0,Inputs!$B$44-((R1068-1)*Skills!D16))))/Inputs!$B$44),IF(Inputs!$B$39="pvp",MIN((Skills!Y16*(1+Inputs!$B$34/100)),15)/15,(Skills!Y16*(1+Inputs!$B$34/100))/Skills!D16))</f>
        <v/>
      </c>
    </row>
    <row r="1096">
      <c r="A1096" s="6" t="inlineStr">
        <is>
          <t>TOTAL DPS</t>
        </is>
      </c>
      <c r="B1096" s="6">
        <f>SUM(O1054:O1083)</f>
        <v/>
      </c>
    </row>
    <row r="1097">
      <c r="A1097" t="inlineStr">
        <is>
          <t>Buff-Casting Startup Delay (s, fixed-duration only)</t>
        </is>
      </c>
      <c r="B1097">
        <f>IF(AND(Inputs!$B$39&lt;&gt;"pvp",Inputs!$B$44&gt;0),SUMPRODUCT((Skills!Y2:Y31&gt;0)*(Skills!E2:E31=TRUE)*(C1054:C1083=TRUE))/B1088,0)</f>
        <v/>
      </c>
    </row>
    <row r="1098">
      <c r="A1098" t="inlineStr">
        <is>
          <t>Boss-Only Total DPS (this block's swept value)</t>
        </is>
      </c>
      <c r="B1098">
        <f>SUM(T1054:T1083)</f>
        <v/>
      </c>
    </row>
    <row r="1099">
      <c r="A1099" t="inlineStr">
        <is>
          <t>Normal-Only Total DPS (this block's swept value)</t>
        </is>
      </c>
      <c r="B1099">
        <f>SUM(V1054:V1083)</f>
        <v/>
      </c>
    </row>
    <row r="1101">
      <c r="A1101" s="6" t="inlineStr">
        <is>
          <t>Stat: Flat ATTACK</t>
        </is>
      </c>
    </row>
    <row r="1102">
      <c r="A1102" s="5" t="inlineStr">
        <is>
          <t>Key</t>
        </is>
      </c>
      <c r="B1102" s="5" t="inlineStr">
        <is>
          <t>Name</t>
        </is>
      </c>
      <c r="C1102" s="5" t="inlineStr">
        <is>
          <t>Unlocked</t>
        </is>
      </c>
      <c r="D1102" s="5" t="inlineStr">
        <is>
          <t>InputLevel</t>
        </is>
      </c>
      <c r="E1102" s="5" t="inlineStr">
        <is>
          <t>Factor</t>
        </is>
      </c>
      <c r="F1102" s="5" t="inlineStr">
        <is>
          <t>CoefficientPercent</t>
        </is>
      </c>
      <c r="G1102" s="5" t="inlineStr">
        <is>
          <t>EffectiveHits</t>
        </is>
      </c>
      <c r="H1102" s="5" t="inlineStr">
        <is>
          <t>ProcProbability</t>
        </is>
      </c>
      <c r="I1102" s="5" t="inlineStr">
        <is>
          <t>MapleHeroMultiplier</t>
        </is>
      </c>
      <c r="J1102" s="5" t="inlineStr">
        <is>
          <t>BaseDamage</t>
        </is>
      </c>
      <c r="K1102" s="5" t="inlineStr">
        <is>
          <t>BaseHitDamage</t>
        </is>
      </c>
      <c r="L1102" s="5" t="inlineStr">
        <is>
          <t>NonCritAvg</t>
        </is>
      </c>
      <c r="M1102" s="5" t="inlineStr">
        <is>
          <t>CritAvg</t>
        </is>
      </c>
      <c r="N1102" s="5" t="inlineStr">
        <is>
          <t>ExpectedDamage(perHit)</t>
        </is>
      </c>
      <c r="O1102" s="5" t="inlineStr">
        <is>
          <t>DPS</t>
        </is>
      </c>
      <c r="P1102" s="5" t="inlineStr">
        <is>
          <t>% of Total</t>
        </is>
      </c>
      <c r="Q1102" s="5" t="inlineStr">
        <is>
          <t>InvCooldown</t>
        </is>
      </c>
      <c r="R1102" s="5" t="inlineStr">
        <is>
          <t>CastsInFight</t>
        </is>
      </c>
      <c r="S1102" s="5" t="inlineStr">
        <is>
          <t>HitRate(perSec)</t>
        </is>
      </c>
      <c r="U1102" t="inlineStr">
        <is>
          <t>helpers</t>
        </is>
      </c>
    </row>
    <row r="1103">
      <c r="A1103">
        <f>Skills!A2</f>
        <v/>
      </c>
      <c r="B1103">
        <f>Skills!B2</f>
        <v/>
      </c>
      <c r="C1103">
        <f>Inputs!$B$3&gt;=100</f>
        <v/>
      </c>
      <c r="D1103" t="inlineStr"/>
      <c r="E1103" t="inlineStr"/>
      <c r="F1103">
        <f>U1107+Skills!O2</f>
        <v/>
      </c>
      <c r="G1103">
        <f>Calc!G2</f>
        <v/>
      </c>
      <c r="H1103">
        <f>Calc!H2</f>
        <v/>
      </c>
      <c r="I1103">
        <f>IF(Skills!AA2&lt;&gt;"",1+(Skills!AA2/10)*(U1104/1000)/100,1)</f>
        <v/>
      </c>
      <c r="J1103">
        <f>(((Inputs!$B$6+1)*(1+Inputs!$B$7/100))+(((Inputs!$B$12*(1+Inputs!$B$13/100))-(Inputs!$B$12*(1+Inputs!$B$13/100)))+0.25*(Inputs!$B$14-Inputs!$B$14))*(1+Inputs!$B$7/100))*(F1103/100)</f>
        <v/>
      </c>
      <c r="K1103">
        <f>J1103*(1+((Inputs!$B$12*(1+Inputs!$B$13/100))*0.01+Inputs!$B$14*0.0025)/100)*(1+Inputs!$B$15/100)*(1+Inputs!$B$16/100)*(5000/(6000+Inputs!$B$43*(1-(100*(1-(1-(Inputs!$B$19+0)/100)*(1-CHOOSE(ArtifactsInput!$N$40+1,5,6,7,8,9,10)/100)^(ArtifactsInput!$M$40-ArtifactsInput!$M$40)))/100)))*(1+(Inputs!$B$24+((C1131=TRUE)*(F1131-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1124=TRUE)*(F1124-Calc!F23))+(((IF(AND(ArtifactsInput!$M$42,((Inputs!$B$9+((C1126=TRUE)*(F1126-Calc!F25))+B1141+(ArtifactsInput!$M$24-ArtifactsInput!$M$24)*CHOOSE(ArtifactsInput!$N$24+1,10,12,14,16,18,20)+IF(ArtifactsInput!$M$10,CHOOSE(ArtifactsInput!$N$10+1,15,18,21,24,27,30)*(IF(Inputs!$B$39="pvp",MIN(15,15)/15,IF(AND(Inputs!$B$39&lt;&gt;"pvp",Inputs!$B$44&gt;0),MIN(15,Inputs!$B$44)/(Inputs!$B$44),0))),0)))&gt;=100),MIN(100,((Inputs!$B$9+((C1126=TRUE)*(F1126-Calc!F25))+B1141+(ArtifactsInput!$M$24-ArtifactsInput!$M$24)*CHOOSE(ArtifactsInput!$N$24+1,10,12,14,16,18,20)+IF(ArtifactsInput!$M$10,CHOOSE(ArtifactsInput!$N$10+1,15,18,21,24,27,30)*(IF(Inputs!$B$39="pvp",MIN(15,15)/15,IF(AND(Inputs!$B$39&lt;&gt;"pvp",Inputs!$B$44&gt;0),MIN(15,Inputs!$B$44)/(Inputs!$B$44),0))),0)))-100),0))*CHOOSE(ArtifactsInput!$N$42+1,0.6,0.72,0.84,0.96,1.08,1.2))),Inputs!$B$18+((C1130=TRUE)*(F1130-Calc!F29))+(IF(AND(ArtifactsInput!$M$42,((Inputs!$B$9+((C1126=TRUE)*(F1126-Calc!F25))+B1141+(ArtifactsInput!$M$24-ArtifactsInput!$M$24)*CHOOSE(ArtifactsInput!$N$24+1,10,12,14,16,18,20)+IF(ArtifactsInput!$M$10,CHOOSE(ArtifactsInput!$N$10+1,15,18,21,24,27,30)*(IF(Inputs!$B$39="pvp",MIN(15,15)/15,IF(AND(Inputs!$B$39&lt;&gt;"pvp",Inputs!$B$44&gt;0),MIN(15,Inputs!$B$44)/(Inputs!$B$44),0))),0)))&gt;=100),CHOOSE(ArtifactsInput!$N$42+1,40,48,56,64,72,80),0))))/100)*(((1+(((C1122=TRUE)*F1122*IF(AND(Inputs!$B$39&lt;&gt;"pvp",Inputs!$B$44&gt;0),(((R1122-1)*(Skills!Y21*(1+Inputs!$B$34/100))+MIN((Skills!Y21*(1+Inputs!$B$34/100)),MAX(0,Inputs!$B$44-((R1122-1)*Skills!D21))))/Inputs!$B$44),IF(Inputs!$B$39="pvp",MIN((Skills!Y21*(1+Inputs!$B$34/100)),15)/15,(Skills!Y21*(1+Inputs!$B$34/100))/Skills!D21)))+((C1129=TRUE)*(F1129-Calc!F28))+((C1119=TRUE)*(F1119-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1116=TRUE)*F1116*IF(AND(Inputs!$B$39&lt;&gt;"pvp",Inputs!$B$44&gt;0),(((R1116-1)*(Skills!Y15*(1+Inputs!$B$34/100))+MIN((Skills!Y15*(1+Inputs!$B$34/100)),MAX(0,Inputs!$B$44-((R1116-1)*Skills!D15))))/Inputs!$B$44),IF(Inputs!$B$39="pvp",MIN((Skills!Y15*(1+Inputs!$B$34/100)),15)/15,(Skills!Y15*(1+Inputs!$B$34/100))/Skills!D15)))/100)*(1+((C1107=TRUE)*F1107*B1135)/100))*B1143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1103)</f>
        <v/>
      </c>
      <c r="L1103">
        <f>K1103*(MIN(Inputs!$B$22+((C1125=TRUE)*(F1125-Calc!F24)),(Inputs!$B$23+0+(IF(ArtifactsInput!$M$15,CHOOSE(ArtifactsInput!$N$15+1,25,30,35,40,45,50)/100*(Inputs!$B$11-Inputs!$B$11),0))))/100+(Inputs!$B$23+0+(IF(ArtifactsInput!$M$15,CHOOSE(ArtifactsInput!$N$15+1,25,30,35,40,45,50)/100*(Inputs!$B$11-Inputs!$B$11),0)))/100)/2</f>
        <v/>
      </c>
      <c r="M1103">
        <f>L1103*(1+(Inputs!$B$10+((C1127=TRUE)*(F1127-Calc!F26))+B1144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03">
        <f>L1103*(1-MIN((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1103*(MIN((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03">
        <f>(1-Summary!$B$11)*T1103+Summary!$B$11*V1103</f>
        <v/>
      </c>
      <c r="P1103">
        <f>IF(B1145=0,0,O1103/B1145)</f>
        <v/>
      </c>
      <c r="Q1103" t="n">
        <v>0</v>
      </c>
      <c r="R1103" t="n">
        <v>0</v>
      </c>
      <c r="S1103">
        <f>IFERROR(O1103/N1103,0)</f>
        <v/>
      </c>
      <c r="T1103">
        <f>IF(C1103,(Skills!G2*N1103*B1139)*IF(Inputs!$B$39="pvp",1,1+(Inputs!$B$20+((C1128=TRUE)*(F1128-Calc!F27))+Skills!P2+B1142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1103*(1-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1103*(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1103*(1-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1103*(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03">
        <f>MAX(0,(Inputs!$B$3-100)*3)+Inputs!$B$28+Inputs!$B$29</f>
        <v/>
      </c>
      <c r="V1103">
        <f>IF(C1103,(Skills!G2*N1103*B1139)*IF(Inputs!$B$39="pvp",1,(1+(Inputs!$B$21+Skills!Q2+B1142+(IF(ArtifactsInput!$M$33,CHOOSE(ArtifactsInput!$N$33+1,30,36,42,48,54,60),0))+(IF(AND(ArtifactsInput!$M$35,Inputs!$B$4&lt;&gt;"Chapter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04">
      <c r="A1104">
        <f>Skills!A3</f>
        <v/>
      </c>
      <c r="B1104">
        <f>Skills!B3</f>
        <v/>
      </c>
      <c r="C1104">
        <f>Inputs!$B$3&gt;=35</f>
        <v/>
      </c>
      <c r="D1104">
        <f>IF(Skills!C3=1,60+Inputs!$B$25+Inputs!$B$29,IF(Skills!C3=2,90+Inputs!$B$26+Inputs!$B$29,IF(Skills!C3=3,120+Inputs!$B$27+Inputs!$B$29,MAX(0,(Inputs!$B$3-100)*3)+Inputs!$B$28+Inputs!$B$29)))</f>
        <v/>
      </c>
      <c r="E1104">
        <f>INDEX(FactorTable!$B$2:$Y$301, MATCH(ROUND(MIN(300,MAX(1,D1104)),0), FactorTable!$A$2:$A$301,0), Skills!M3+1)</f>
        <v/>
      </c>
      <c r="F1104">
        <f>IF(Skills!N3=TRUE,(Skills!L3/10)*(E1104/1000),Skills!L3/10)+Skills!O3</f>
        <v/>
      </c>
      <c r="G1104">
        <f>Calc!G3</f>
        <v/>
      </c>
      <c r="H1104">
        <f>Calc!H3</f>
        <v/>
      </c>
      <c r="I1104">
        <f>IF(Skills!AA3&lt;&gt;"",1+(Skills!AA3/10)*(U1104/1000)/100,1)</f>
        <v/>
      </c>
      <c r="J1104">
        <f>(((Inputs!$B$6+1)*(1+Inputs!$B$7/100))+(((Inputs!$B$12*(1+Inputs!$B$13/100))-(Inputs!$B$12*(1+Inputs!$B$13/100)))+0.25*(Inputs!$B$14-Inputs!$B$14))*(1+Inputs!$B$7/100))*(F1104/100)</f>
        <v/>
      </c>
      <c r="K1104">
        <f>J1104*(1+((Inputs!$B$12*(1+Inputs!$B$13/100))*0.01+Inputs!$B$14*0.0025)/100)*(1+Inputs!$B$15/100)*(1+Inputs!$B$16/100)*(5000/(6000+Inputs!$B$43*(1-(100*(1-(1-(Inputs!$B$19+0)/100)*(1-CHOOSE(ArtifactsInput!$N$40+1,5,6,7,8,9,10)/100)^(ArtifactsInput!$M$40-ArtifactsInput!$M$40)))/100)))*(1+(Inputs!$B$24+((C1131=TRUE)*(F1131-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1124=TRUE)*(F1124-Calc!F23))+(((IF(AND(ArtifactsInput!$M$42,((Inputs!$B$9+((C1126=TRUE)*(F1126-Calc!F25))+B1141+(ArtifactsInput!$M$24-ArtifactsInput!$M$24)*CHOOSE(ArtifactsInput!$N$24+1,10,12,14,16,18,20)+IF(ArtifactsInput!$M$10,CHOOSE(ArtifactsInput!$N$10+1,15,18,21,24,27,30)*(IF(Inputs!$B$39="pvp",MIN(15,15)/15,IF(AND(Inputs!$B$39&lt;&gt;"pvp",Inputs!$B$44&gt;0),MIN(15,Inputs!$B$44)/(Inputs!$B$44),0))),0)))&gt;=100),MIN(100,((Inputs!$B$9+((C1126=TRUE)*(F1126-Calc!F25))+B1141+(ArtifactsInput!$M$24-ArtifactsInput!$M$24)*CHOOSE(ArtifactsInput!$N$24+1,10,12,14,16,18,20)+IF(ArtifactsInput!$M$10,CHOOSE(ArtifactsInput!$N$10+1,15,18,21,24,27,30)*(IF(Inputs!$B$39="pvp",MIN(15,15)/15,IF(AND(Inputs!$B$39&lt;&gt;"pvp",Inputs!$B$44&gt;0),MIN(15,Inputs!$B$44)/(Inputs!$B$44),0))),0)))-100),0))*CHOOSE(ArtifactsInput!$N$42+1,0.6,0.72,0.84,0.96,1.08,1.2))),Inputs!$B$18+((C1130=TRUE)*(F1130-Calc!F29))+(IF(AND(ArtifactsInput!$M$42,((Inputs!$B$9+((C1126=TRUE)*(F1126-Calc!F25))+B1141+(ArtifactsInput!$M$24-ArtifactsInput!$M$24)*CHOOSE(ArtifactsInput!$N$24+1,10,12,14,16,18,20)+IF(ArtifactsInput!$M$10,CHOOSE(ArtifactsInput!$N$10+1,15,18,21,24,27,30)*(IF(Inputs!$B$39="pvp",MIN(15,15)/15,IF(AND(Inputs!$B$39&lt;&gt;"pvp",Inputs!$B$44&gt;0),MIN(15,Inputs!$B$44)/(Inputs!$B$44),0))),0)))&gt;=100),CHOOSE(ArtifactsInput!$N$42+1,40,48,56,64,72,80),0))))/100)*(((1+(((C1122=TRUE)*F1122*IF(AND(Inputs!$B$39&lt;&gt;"pvp",Inputs!$B$44&gt;0),(((R1122-1)*(Skills!Y21*(1+Inputs!$B$34/100))+MIN((Skills!Y21*(1+Inputs!$B$34/100)),MAX(0,Inputs!$B$44-((R1122-1)*Skills!D21))))/Inputs!$B$44),IF(Inputs!$B$39="pvp",MIN((Skills!Y21*(1+Inputs!$B$34/100)),15)/15,(Skills!Y21*(1+Inputs!$B$34/100))/Skills!D21)))+((C1129=TRUE)*(F1129-Calc!F28))+((C1119=TRUE)*(F1119-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1116=TRUE)*F1116*IF(AND(Inputs!$B$39&lt;&gt;"pvp",Inputs!$B$44&gt;0),(((R1116-1)*(Skills!Y15*(1+Inputs!$B$34/100))+MIN((Skills!Y15*(1+Inputs!$B$34/100)),MAX(0,Inputs!$B$44-((R1116-1)*Skills!D15))))/Inputs!$B$44),IF(Inputs!$B$39="pvp",MIN((Skills!Y15*(1+Inputs!$B$34/100)),15)/15,(Skills!Y15*(1+Inputs!$B$34/100))/Skills!D15)))/100)*(1+((C1107=TRUE)*F1107*B1135)/100))*B1143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1104)</f>
        <v/>
      </c>
      <c r="L1104">
        <f>K1104*(MIN(Inputs!$B$22+((C1125=TRUE)*(F1125-Calc!F24)),(Inputs!$B$23+0+(IF(ArtifactsInput!$M$15,CHOOSE(ArtifactsInput!$N$15+1,25,30,35,40,45,50)/100*(Inputs!$B$11-Inputs!$B$11),0))))/100+(Inputs!$B$23+0+(IF(ArtifactsInput!$M$15,CHOOSE(ArtifactsInput!$N$15+1,25,30,35,40,45,50)/100*(Inputs!$B$11-Inputs!$B$11),0)))/100)/2</f>
        <v/>
      </c>
      <c r="M1104">
        <f>L1104*(1+(Inputs!$B$10+((C1127=TRUE)*(F1127-Calc!F26))+B1144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04">
        <f>L1104*(1-MIN((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1104*(MIN((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04">
        <f>(1-Summary!$B$11)*T1104+Summary!$B$11*V1104</f>
        <v/>
      </c>
      <c r="P1104">
        <f>IF(B1145=0,0,O1104/B1145)</f>
        <v/>
      </c>
      <c r="Q1104">
        <f>IFERROR(1/IF(Inputs!$B$39="pvp",15,MAX(0.1,Skills!D3-IF(Skills!E3=TRUE,Inputs!$B$32,0))),0)</f>
        <v/>
      </c>
      <c r="R1104">
        <f>IF(AND(Inputs!$B$39&lt;&gt;"pvp",Inputs!$B$44&gt;0),IF(MAX(0,Inputs!$B$44-B1146)&lt;=0,0,(INT(MAX(0,Inputs!$B$44-B1146)/IF(Inputs!$B$39="pvp",15,MAX(0.1,Skills!D3-IF(Skills!E3=TRUE,Inputs!$B$32,0))))+1)),0)</f>
        <v/>
      </c>
      <c r="S1104">
        <f>IFERROR(O1104/N1104,0)</f>
        <v/>
      </c>
      <c r="T1104">
        <f>IF(C1104,(H1104*N1104*IF(AND(Inputs!$B$39&lt;&gt;"pvp",Inputs!$B$44&gt;0),((Skills!G3*((R1104-1)*IF(Skills!H3&gt;0,Skills!I3/Skills!H3,1)+IF(Skills!H3&gt;0,MIN(Skills!I3,MAX(0,MAX(0,Inputs!$B$44-B1146)-((R1104-1)*IF(Inputs!$B$39="pvp",15,MAX(0.1,Skills!D3-IF(Skills!E3=TRUE,Inputs!$B$32,0))))))/Skills!H3,1)))/Inputs!$B$44),G1104*Q1104))*IF(Inputs!$B$39="pvp",1,1+(Inputs!$B$20+((C1128=TRUE)*(F1128-Calc!F27))+Skills!P3+B1142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1104*(1-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1104*(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1104*(1-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1104*(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04">
        <f>INDEX(FactorTable!$B$2:$Y$301, MATCH(ROUND(MIN(300,MAX(1,U1103)),0), FactorTable!$A$2:$A$301,0), 24)</f>
        <v/>
      </c>
      <c r="V1104">
        <f>IF(C1104,(H1104*N1104*IF(AND(Inputs!$B$39&lt;&gt;"pvp",Inputs!$B$44&gt;0),((Skills!G3*((R1104-1)*IF(Skills!H3&gt;0,Skills!I3/Skills!H3,1)+IF(Skills!H3&gt;0,MIN(Skills!I3,MAX(0,MAX(0,Inputs!$B$44-B1146)-((R1104-1)*IF(Inputs!$B$39="pvp",15,MAX(0.1,Skills!D3-IF(Skills!E3=TRUE,Inputs!$B$32,0))))))/Skills!H3,1)))/Inputs!$B$44),G1104*Q1104))*IF(Inputs!$B$39="pvp",1,(1+(Inputs!$B$21+Skills!Q3+B1142+(IF(ArtifactsInput!$M$33,CHOOSE(ArtifactsInput!$N$33+1,30,36,42,48,54,60)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05">
      <c r="A1105">
        <f>Skills!A4</f>
        <v/>
      </c>
      <c r="B1105">
        <f>Skills!B4</f>
        <v/>
      </c>
      <c r="C1105">
        <f>Inputs!$B$3&gt;=40</f>
        <v/>
      </c>
      <c r="D1105">
        <f>IF(Skills!C4=1,60+Inputs!$B$25+Inputs!$B$29,IF(Skills!C4=2,90+Inputs!$B$26+Inputs!$B$29,IF(Skills!C4=3,120+Inputs!$B$27+Inputs!$B$29,MAX(0,(Inputs!$B$3-100)*3)+Inputs!$B$28+Inputs!$B$29)))</f>
        <v/>
      </c>
      <c r="E1105">
        <f>INDEX(FactorTable!$B$2:$Y$301, MATCH(ROUND(MIN(300,MAX(1,D1105)),0), FactorTable!$A$2:$A$301,0), Skills!M4+1)</f>
        <v/>
      </c>
      <c r="F1105">
        <f>IF(Skills!N4=TRUE,(Skills!L4/10)*(E1105/1000),Skills!L4/10)+Skills!O4</f>
        <v/>
      </c>
      <c r="G1105">
        <f>Calc!G4</f>
        <v/>
      </c>
      <c r="H1105">
        <f>Calc!H4</f>
        <v/>
      </c>
      <c r="I1105">
        <f>IF(Skills!AA4&lt;&gt;"",1+(Skills!AA4/10)*(U1104/1000)/100,1)</f>
        <v/>
      </c>
      <c r="J1105">
        <f>(((Inputs!$B$6+1)*(1+Inputs!$B$7/100))+(((Inputs!$B$12*(1+Inputs!$B$13/100))-(Inputs!$B$12*(1+Inputs!$B$13/100)))+0.25*(Inputs!$B$14-Inputs!$B$14))*(1+Inputs!$B$7/100))*(F1105/100)</f>
        <v/>
      </c>
      <c r="K1105">
        <f>J1105*(1+((Inputs!$B$12*(1+Inputs!$B$13/100))*0.01+Inputs!$B$14*0.0025)/100)*(1+Inputs!$B$15/100)*(1+Inputs!$B$16/100)*(5000/(6000+Inputs!$B$43*(1-(100*(1-(1-(Inputs!$B$19+0)/100)*(1-CHOOSE(ArtifactsInput!$N$40+1,5,6,7,8,9,10)/100)^(ArtifactsInput!$M$40-ArtifactsInput!$M$40)))/100)))*(1+(Inputs!$B$24+((C1131=TRUE)*(F1131-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1124=TRUE)*(F1124-Calc!F23))+(((IF(AND(ArtifactsInput!$M$42,((Inputs!$B$9+((C1126=TRUE)*(F1126-Calc!F25))+B1141+(ArtifactsInput!$M$24-ArtifactsInput!$M$24)*CHOOSE(ArtifactsInput!$N$24+1,10,12,14,16,18,20)+IF(ArtifactsInput!$M$10,CHOOSE(ArtifactsInput!$N$10+1,15,18,21,24,27,30)*(IF(Inputs!$B$39="pvp",MIN(15,15)/15,IF(AND(Inputs!$B$39&lt;&gt;"pvp",Inputs!$B$44&gt;0),MIN(15,Inputs!$B$44)/(Inputs!$B$44),0))),0)))&gt;=100),MIN(100,((Inputs!$B$9+((C1126=TRUE)*(F1126-Calc!F25))+B1141+(ArtifactsInput!$M$24-ArtifactsInput!$M$24)*CHOOSE(ArtifactsInput!$N$24+1,10,12,14,16,18,20)+IF(ArtifactsInput!$M$10,CHOOSE(ArtifactsInput!$N$10+1,15,18,21,24,27,30)*(IF(Inputs!$B$39="pvp",MIN(15,15)/15,IF(AND(Inputs!$B$39&lt;&gt;"pvp",Inputs!$B$44&gt;0),MIN(15,Inputs!$B$44)/(Inputs!$B$44),0))),0)))-100),0))*CHOOSE(ArtifactsInput!$N$42+1,0.6,0.72,0.84,0.96,1.08,1.2))),Inputs!$B$18+((C1130=TRUE)*(F1130-Calc!F29))+(IF(AND(ArtifactsInput!$M$42,((Inputs!$B$9+((C1126=TRUE)*(F1126-Calc!F25))+B1141+(ArtifactsInput!$M$24-ArtifactsInput!$M$24)*CHOOSE(ArtifactsInput!$N$24+1,10,12,14,16,18,20)+IF(ArtifactsInput!$M$10,CHOOSE(ArtifactsInput!$N$10+1,15,18,21,24,27,30)*(IF(Inputs!$B$39="pvp",MIN(15,15)/15,IF(AND(Inputs!$B$39&lt;&gt;"pvp",Inputs!$B$44&gt;0),MIN(15,Inputs!$B$44)/(Inputs!$B$44),0))),0)))&gt;=100),CHOOSE(ArtifactsInput!$N$42+1,40,48,56,64,72,80),0))))/100)*(((1+(((C1122=TRUE)*F1122*IF(AND(Inputs!$B$39&lt;&gt;"pvp",Inputs!$B$44&gt;0),(((R1122-1)*(Skills!Y21*(1+Inputs!$B$34/100))+MIN((Skills!Y21*(1+Inputs!$B$34/100)),MAX(0,Inputs!$B$44-((R1122-1)*Skills!D21))))/Inputs!$B$44),IF(Inputs!$B$39="pvp",MIN((Skills!Y21*(1+Inputs!$B$34/100)),15)/15,(Skills!Y21*(1+Inputs!$B$34/100))/Skills!D21)))+((C1129=TRUE)*(F1129-Calc!F28))+((C1119=TRUE)*(F1119-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1116=TRUE)*F1116*IF(AND(Inputs!$B$39&lt;&gt;"pvp",Inputs!$B$44&gt;0),(((R1116-1)*(Skills!Y15*(1+Inputs!$B$34/100))+MIN((Skills!Y15*(1+Inputs!$B$34/100)),MAX(0,Inputs!$B$44-((R1116-1)*Skills!D15))))/Inputs!$B$44),IF(Inputs!$B$39="pvp",MIN((Skills!Y15*(1+Inputs!$B$34/100)),15)/15,(Skills!Y15*(1+Inputs!$B$34/100))/Skills!D15)))/100)*(1+((C1107=TRUE)*F1107*B1135)/100))*B1143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1105)</f>
        <v/>
      </c>
      <c r="L1105">
        <f>K1105*(MIN(Inputs!$B$22+((C1125=TRUE)*(F1125-Calc!F24)),(Inputs!$B$23+0+(IF(ArtifactsInput!$M$15,CHOOSE(ArtifactsInput!$N$15+1,25,30,35,40,45,50)/100*(Inputs!$B$11-Inputs!$B$11),0))))/100+(Inputs!$B$23+0+(IF(ArtifactsInput!$M$15,CHOOSE(ArtifactsInput!$N$15+1,25,30,35,40,45,50)/100*(Inputs!$B$11-Inputs!$B$11),0)))/100)/2</f>
        <v/>
      </c>
      <c r="M1105">
        <f>L1105*(1+(Inputs!$B$10+((C1127=TRUE)*(F1127-Calc!F26))+B1144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05">
        <f>L1105*(1-MIN((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1105*(MIN((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05">
        <f>(1-Summary!$B$11)*T1105+Summary!$B$11*V1105</f>
        <v/>
      </c>
      <c r="P1105">
        <f>IF(B1145=0,0,O1105/B1145)</f>
        <v/>
      </c>
      <c r="Q1105">
        <f>IFERROR(1/IF(Inputs!$B$39="pvp",15,MAX(0.1,Skills!D4-IF(Skills!E4=TRUE,Inputs!$B$32,0))),0)</f>
        <v/>
      </c>
      <c r="R1105">
        <f>IF(AND(Inputs!$B$39&lt;&gt;"pvp",Inputs!$B$44&gt;0),IF(MAX(0,Inputs!$B$44-B1146)&lt;=0,0,(INT(MAX(0,Inputs!$B$44-B1146)/IF(Inputs!$B$39="pvp",15,MAX(0.1,Skills!D4-IF(Skills!E4=TRUE,Inputs!$B$32,0))))+1)),0)</f>
        <v/>
      </c>
      <c r="S1105">
        <f>IFERROR(O1105/N1105,0)</f>
        <v/>
      </c>
      <c r="T1105">
        <f>IF(C1105,(H1105*N1105*IF(AND(Inputs!$B$39&lt;&gt;"pvp",Inputs!$B$44&gt;0),((Skills!G4*((R1105-1)*IF(Skills!H4&gt;0,Skills!I4/Skills!H4,1)+IF(Skills!H4&gt;0,MIN(Skills!I4,MAX(0,MAX(0,Inputs!$B$44-B1146)-((R1105-1)*IF(Inputs!$B$39="pvp",15,MAX(0.1,Skills!D4-IF(Skills!E4=TRUE,Inputs!$B$32,0))))))/Skills!H4,1)))/Inputs!$B$44),G1105*Q1105))*IF(Inputs!$B$39="pvp",1,1+(Inputs!$B$20+((C1128=TRUE)*(F1128-Calc!F27))+Skills!P4+B1142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1105*(1-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1105*(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1105*(1-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1105*(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05">
        <f>MAX(0,(Inputs!$B$3-100)*3)+Inputs!$B$28+Inputs!$B$29</f>
        <v/>
      </c>
      <c r="V1105">
        <f>IF(C1105,(H1105*N1105*IF(AND(Inputs!$B$39&lt;&gt;"pvp",Inputs!$B$44&gt;0),((Skills!G4*((R1105-1)*IF(Skills!H4&gt;0,Skills!I4/Skills!H4,1)+IF(Skills!H4&gt;0,MIN(Skills!I4,MAX(0,MAX(0,Inputs!$B$44-B1146)-((R1105-1)*IF(Inputs!$B$39="pvp",15,MAX(0.1,Skills!D4-IF(Skills!E4=TRUE,Inputs!$B$32,0))))))/Skills!H4,1)))/Inputs!$B$44),G1105*Q1105))*IF(Inputs!$B$39="pvp",1,(1+(Inputs!$B$21+Skills!Q4+B1142+(IF(ArtifactsInput!$M$33,CHOOSE(ArtifactsInput!$N$33+1,30,36,42,48,54,60)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06">
      <c r="A1106">
        <f>Skills!A5</f>
        <v/>
      </c>
      <c r="B1106">
        <f>Skills!B5</f>
        <v/>
      </c>
      <c r="C1106">
        <f>Inputs!$B$3&gt;=63</f>
        <v/>
      </c>
      <c r="D1106">
        <f>IF(Skills!C5=1,60+Inputs!$B$25+Inputs!$B$29,IF(Skills!C5=2,90+Inputs!$B$26+Inputs!$B$29,IF(Skills!C5=3,120+Inputs!$B$27+Inputs!$B$29,MAX(0,(Inputs!$B$3-100)*3)+Inputs!$B$28+Inputs!$B$29)))</f>
        <v/>
      </c>
      <c r="E1106">
        <f>INDEX(FactorTable!$B$2:$Y$301, MATCH(ROUND(MIN(300,MAX(1,D1106)),0), FactorTable!$A$2:$A$301,0), Skills!M5+1)</f>
        <v/>
      </c>
      <c r="F1106">
        <f>IF(Skills!N5=TRUE,(Skills!L5/10)*(E1106/1000),Skills!L5/10)+Skills!O5</f>
        <v/>
      </c>
      <c r="G1106">
        <f>Calc!G5</f>
        <v/>
      </c>
      <c r="H1106">
        <f>Calc!H5</f>
        <v/>
      </c>
      <c r="I1106">
        <f>IF(Skills!AA5&lt;&gt;"",1+(Skills!AA5/10)*(U1104/1000)/100,1)</f>
        <v/>
      </c>
      <c r="J1106">
        <f>(((Inputs!$B$6+1)*(1+Inputs!$B$7/100))+(((Inputs!$B$12*(1+Inputs!$B$13/100))-(Inputs!$B$12*(1+Inputs!$B$13/100)))+0.25*(Inputs!$B$14-Inputs!$B$14))*(1+Inputs!$B$7/100))*(F1106/100)</f>
        <v/>
      </c>
      <c r="K1106">
        <f>J1106*(1+((Inputs!$B$12*(1+Inputs!$B$13/100))*0.01+Inputs!$B$14*0.0025)/100)*(1+Inputs!$B$15/100)*(1+Inputs!$B$16/100)*(5000/(6000+Inputs!$B$43*(1-(100*(1-(1-(Inputs!$B$19+0)/100)*(1-CHOOSE(ArtifactsInput!$N$40+1,5,6,7,8,9,10)/100)^(ArtifactsInput!$M$40-ArtifactsInput!$M$40)))/100)))*(1+(Inputs!$B$24+((C1131=TRUE)*(F1131-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1124=TRUE)*(F1124-Calc!F23))+(((IF(AND(ArtifactsInput!$M$42,((Inputs!$B$9+((C1126=TRUE)*(F1126-Calc!F25))+B1141+(ArtifactsInput!$M$24-ArtifactsInput!$M$24)*CHOOSE(ArtifactsInput!$N$24+1,10,12,14,16,18,20)+IF(ArtifactsInput!$M$10,CHOOSE(ArtifactsInput!$N$10+1,15,18,21,24,27,30)*(IF(Inputs!$B$39="pvp",MIN(15,15)/15,IF(AND(Inputs!$B$39&lt;&gt;"pvp",Inputs!$B$44&gt;0),MIN(15,Inputs!$B$44)/(Inputs!$B$44),0))),0)))&gt;=100),MIN(100,((Inputs!$B$9+((C1126=TRUE)*(F1126-Calc!F25))+B1141+(ArtifactsInput!$M$24-ArtifactsInput!$M$24)*CHOOSE(ArtifactsInput!$N$24+1,10,12,14,16,18,20)+IF(ArtifactsInput!$M$10,CHOOSE(ArtifactsInput!$N$10+1,15,18,21,24,27,30)*(IF(Inputs!$B$39="pvp",MIN(15,15)/15,IF(AND(Inputs!$B$39&lt;&gt;"pvp",Inputs!$B$44&gt;0),MIN(15,Inputs!$B$44)/(Inputs!$B$44),0))),0)))-100),0))*CHOOSE(ArtifactsInput!$N$42+1,0.6,0.72,0.84,0.96,1.08,1.2))),Inputs!$B$18+((C1130=TRUE)*(F1130-Calc!F29))+(IF(AND(ArtifactsInput!$M$42,((Inputs!$B$9+((C1126=TRUE)*(F1126-Calc!F25))+B1141+(ArtifactsInput!$M$24-ArtifactsInput!$M$24)*CHOOSE(ArtifactsInput!$N$24+1,10,12,14,16,18,20)+IF(ArtifactsInput!$M$10,CHOOSE(ArtifactsInput!$N$10+1,15,18,21,24,27,30)*(IF(Inputs!$B$39="pvp",MIN(15,15)/15,IF(AND(Inputs!$B$39&lt;&gt;"pvp",Inputs!$B$44&gt;0),MIN(15,Inputs!$B$44)/(Inputs!$B$44),0))),0)))&gt;=100),CHOOSE(ArtifactsInput!$N$42+1,40,48,56,64,72,80),0))))/100)*(((1+(((C1122=TRUE)*F1122*IF(AND(Inputs!$B$39&lt;&gt;"pvp",Inputs!$B$44&gt;0),(((R1122-1)*(Skills!Y21*(1+Inputs!$B$34/100))+MIN((Skills!Y21*(1+Inputs!$B$34/100)),MAX(0,Inputs!$B$44-((R1122-1)*Skills!D21))))/Inputs!$B$44),IF(Inputs!$B$39="pvp",MIN((Skills!Y21*(1+Inputs!$B$34/100)),15)/15,(Skills!Y21*(1+Inputs!$B$34/100))/Skills!D21)))+((C1129=TRUE)*(F1129-Calc!F28))+((C1119=TRUE)*(F1119-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1116=TRUE)*F1116*IF(AND(Inputs!$B$39&lt;&gt;"pvp",Inputs!$B$44&gt;0),(((R1116-1)*(Skills!Y15*(1+Inputs!$B$34/100))+MIN((Skills!Y15*(1+Inputs!$B$34/100)),MAX(0,Inputs!$B$44-((R1116-1)*Skills!D15))))/Inputs!$B$44),IF(Inputs!$B$39="pvp",MIN((Skills!Y15*(1+Inputs!$B$34/100)),15)/15,(Skills!Y15*(1+Inputs!$B$34/100))/Skills!D15)))/100)*(1+((C1107=TRUE)*F1107*B1135)/100))*B1143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1106)</f>
        <v/>
      </c>
      <c r="L1106">
        <f>K1106*(MIN(Inputs!$B$22+((C1125=TRUE)*(F1125-Calc!F24)),(Inputs!$B$23+0+(IF(ArtifactsInput!$M$15,CHOOSE(ArtifactsInput!$N$15+1,25,30,35,40,45,50)/100*(Inputs!$B$11-Inputs!$B$11),0))))/100+(Inputs!$B$23+0+(IF(ArtifactsInput!$M$15,CHOOSE(ArtifactsInput!$N$15+1,25,30,35,40,45,50)/100*(Inputs!$B$11-Inputs!$B$11),0)))/100)/2</f>
        <v/>
      </c>
      <c r="M1106">
        <f>L1106*(1+(Inputs!$B$10+((C1127=TRUE)*(F1127-Calc!F26))+B1144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06">
        <f>L1106*(1-MIN((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1106*(MIN((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06">
        <f>(1-Summary!$B$11)*T1106+Summary!$B$11*V1106</f>
        <v/>
      </c>
      <c r="P1106">
        <f>IF(B1145=0,0,O1106/B1145)</f>
        <v/>
      </c>
      <c r="Q1106">
        <f>IFERROR(1/IF(Inputs!$B$39="pvp",15,MAX(0.1,Skills!D5-IF(Skills!E5=TRUE,Inputs!$B$32,0))),0)</f>
        <v/>
      </c>
      <c r="R1106">
        <f>IF(AND(Inputs!$B$39&lt;&gt;"pvp",Inputs!$B$44&gt;0),IF(MAX(0,Inputs!$B$44-B1146)&lt;=0,0,(INT(MAX(0,Inputs!$B$44-B1146)/IF(Inputs!$B$39="pvp",15,MAX(0.1,Skills!D5-IF(Skills!E5=TRUE,Inputs!$B$32,0))))+1)),0)</f>
        <v/>
      </c>
      <c r="S1106">
        <f>IFERROR(O1106/N1106,0)</f>
        <v/>
      </c>
      <c r="T1106">
        <f>IF(C1106,(H1106*N1106*IF(AND(Inputs!$B$39&lt;&gt;"pvp",Inputs!$B$44&gt;0),((Skills!G5*((R1106-1)*IF(Skills!H5&gt;0,Skills!I5/Skills!H5,1)+IF(Skills!H5&gt;0,MIN(Skills!I5,MAX(0,MAX(0,Inputs!$B$44-B1146)-((R1106-1)*IF(Inputs!$B$39="pvp",15,MAX(0.1,Skills!D5-IF(Skills!E5=TRUE,Inputs!$B$32,0))))))/Skills!H5,1)))/Inputs!$B$44),G1106*Q1106))*IF(Inputs!$B$39="pvp",1,1+(Inputs!$B$20+((C1128=TRUE)*(F1128-Calc!F27))+Skills!P5+B1142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1106*(1-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1106*(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1106*(1-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1106*(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06">
        <f>INDEX(FactorTable!$B$2:$Y$301, MATCH(ROUND(MIN(300,MAX(1,U1105)),0), FactorTable!$A$2:$A$301,0), 22)</f>
        <v/>
      </c>
      <c r="V1106">
        <f>IF(C1106,(H1106*N1106*IF(AND(Inputs!$B$39&lt;&gt;"pvp",Inputs!$B$44&gt;0),((Skills!G5*((R1106-1)*IF(Skills!H5&gt;0,Skills!I5/Skills!H5,1)+IF(Skills!H5&gt;0,MIN(Skills!I5,MAX(0,MAX(0,Inputs!$B$44-B1146)-((R1106-1)*IF(Inputs!$B$39="pvp",15,MAX(0.1,Skills!D5-IF(Skills!E5=TRUE,Inputs!$B$32,0))))))/Skills!H5,1)))/Inputs!$B$44),G1106*Q1106))*IF(Inputs!$B$39="pvp",1,(1+(Inputs!$B$21+Skills!Q5+B1142+(IF(ArtifactsInput!$M$33,CHOOSE(ArtifactsInput!$N$33+1,30,36,42,48,54,60)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07">
      <c r="A1107">
        <f>Skills!A6</f>
        <v/>
      </c>
      <c r="B1107">
        <f>Skills!B6</f>
        <v/>
      </c>
      <c r="C1107">
        <f>Inputs!$B$3&gt;=66</f>
        <v/>
      </c>
      <c r="D1107">
        <f>IF(Skills!C6=1,60+Inputs!$B$25+Inputs!$B$29,IF(Skills!C6=2,90+Inputs!$B$26+Inputs!$B$29,IF(Skills!C6=3,120+Inputs!$B$27+Inputs!$B$29,MAX(0,(Inputs!$B$3-100)*3)+Inputs!$B$28+Inputs!$B$29)))</f>
        <v/>
      </c>
      <c r="E1107">
        <f>INDEX(FactorTable!$B$2:$Y$301, MATCH(ROUND(MIN(300,MAX(1,D1107)),0), FactorTable!$A$2:$A$301,0), Skills!M6+1)</f>
        <v/>
      </c>
      <c r="F1107">
        <f>IF(Skills!N6=TRUE,(Skills!L6/10)*(E1107/1000),Skills!L6/10)+Skills!O6</f>
        <v/>
      </c>
      <c r="G1107">
        <f>Calc!G6</f>
        <v/>
      </c>
      <c r="H1107">
        <f>Calc!H6</f>
        <v/>
      </c>
      <c r="I1107">
        <f>IF(Skills!AA6&lt;&gt;"",1+(Skills!AA6/10)*(U1104/1000)/100,1)</f>
        <v/>
      </c>
      <c r="J1107" t="inlineStr"/>
      <c r="K1107" t="inlineStr"/>
      <c r="L1107" t="inlineStr"/>
      <c r="M1107" t="inlineStr"/>
      <c r="N1107" t="inlineStr"/>
      <c r="O1107">
        <f>(1-Summary!$B$11)*T1107+Summary!$B$11*V1107</f>
        <v/>
      </c>
      <c r="P1107">
        <f>IF(B1145=0,0,O1107/B1145)</f>
        <v/>
      </c>
      <c r="Q1107" t="n">
        <v>0</v>
      </c>
      <c r="R1107" t="n">
        <v>0</v>
      </c>
      <c r="S1107">
        <f>IFERROR(O1107/N1107,0)</f>
        <v/>
      </c>
      <c r="T1107" t="n">
        <v>0</v>
      </c>
      <c r="U1107">
        <f>290*U1106/1000</f>
        <v/>
      </c>
      <c r="V1107" t="n">
        <v>0</v>
      </c>
    </row>
    <row r="1108">
      <c r="A1108">
        <f>Skills!A7</f>
        <v/>
      </c>
      <c r="B1108">
        <f>Skills!B7</f>
        <v/>
      </c>
      <c r="C1108">
        <f>Inputs!$B$3&gt;=66</f>
        <v/>
      </c>
      <c r="D1108">
        <f>IF(Skills!C7=1,60+Inputs!$B$25+Inputs!$B$29,IF(Skills!C7=2,90+Inputs!$B$26+Inputs!$B$29,IF(Skills!C7=3,120+Inputs!$B$27+Inputs!$B$29,MAX(0,(Inputs!$B$3-100)*3)+Inputs!$B$28+Inputs!$B$29)))</f>
        <v/>
      </c>
      <c r="E1108">
        <f>INDEX(FactorTable!$B$2:$Y$301, MATCH(ROUND(MIN(300,MAX(1,D1108)),0), FactorTable!$A$2:$A$301,0), Skills!M7+1)</f>
        <v/>
      </c>
      <c r="F1108">
        <f>IF(Skills!N7=TRUE,(Skills!L7/10)*(E1108/1000),Skills!L7/10)+Skills!O7</f>
        <v/>
      </c>
      <c r="G1108">
        <f>Calc!G7</f>
        <v/>
      </c>
      <c r="H1108">
        <f>Calc!H7</f>
        <v/>
      </c>
      <c r="I1108">
        <f>IF(Skills!AA7&lt;&gt;"",1+(Skills!AA7/10)*(U1104/1000)/100,1)</f>
        <v/>
      </c>
      <c r="J1108" t="inlineStr"/>
      <c r="K1108" t="inlineStr"/>
      <c r="L1108" t="inlineStr"/>
      <c r="M1108" t="inlineStr"/>
      <c r="N1108" t="inlineStr"/>
      <c r="O1108">
        <f>(1-Summary!$B$11)*T1108+Summary!$B$11*V1108</f>
        <v/>
      </c>
      <c r="P1108">
        <f>IF(B1145=0,0,O1108/B1145)</f>
        <v/>
      </c>
      <c r="Q1108" t="n">
        <v>0</v>
      </c>
      <c r="R1108" t="n">
        <v>0</v>
      </c>
      <c r="S1108">
        <f>IFERROR(O1108/N1108,0)</f>
        <v/>
      </c>
      <c r="T1108" t="n">
        <v>0</v>
      </c>
      <c r="V1108" t="n">
        <v>0</v>
      </c>
    </row>
    <row r="1109">
      <c r="A1109">
        <f>Skills!A8</f>
        <v/>
      </c>
      <c r="B1109">
        <f>Skills!B8</f>
        <v/>
      </c>
      <c r="C1109">
        <f>Inputs!$B$3&gt;=69</f>
        <v/>
      </c>
      <c r="D1109">
        <f>IF(Skills!C8=1,60+Inputs!$B$25+Inputs!$B$29,IF(Skills!C8=2,90+Inputs!$B$26+Inputs!$B$29,IF(Skills!C8=3,120+Inputs!$B$27+Inputs!$B$29,MAX(0,(Inputs!$B$3-100)*3)+Inputs!$B$28+Inputs!$B$29)))</f>
        <v/>
      </c>
      <c r="E1109">
        <f>INDEX(FactorTable!$B$2:$Y$301, MATCH(ROUND(MIN(300,MAX(1,D1109)),0), FactorTable!$A$2:$A$301,0), Skills!M8+1)</f>
        <v/>
      </c>
      <c r="F1109">
        <f>IF(Skills!N8=TRUE,(Skills!L8/10)*(E1109/1000),Skills!L8/10)+Skills!O8</f>
        <v/>
      </c>
      <c r="G1109">
        <f>Calc!G8</f>
        <v/>
      </c>
      <c r="H1109">
        <f>Calc!H8</f>
        <v/>
      </c>
      <c r="I1109">
        <f>IF(Skills!AA8&lt;&gt;"",1+(Skills!AA8/10)*(U1104/1000)/100,1)</f>
        <v/>
      </c>
      <c r="J1109">
        <f>(((Inputs!$B$6+1)*(1+Inputs!$B$7/100))+(((Inputs!$B$12*(1+Inputs!$B$13/100))-(Inputs!$B$12*(1+Inputs!$B$13/100)))+0.25*(Inputs!$B$14-Inputs!$B$14))*(1+Inputs!$B$7/100))*(F1109/100)</f>
        <v/>
      </c>
      <c r="K1109">
        <f>J1109*(1+((Inputs!$B$12*(1+Inputs!$B$13/100))*0.01+Inputs!$B$14*0.0025)/100)*(1+Inputs!$B$15/100)*(1+Inputs!$B$16/100)*(5000/(6000+Inputs!$B$43*(1-(100*(1-(1-(Inputs!$B$19+0)/100)*(1-CHOOSE(ArtifactsInput!$N$40+1,5,6,7,8,9,10)/100)^(ArtifactsInput!$M$40-ArtifactsInput!$M$40)))/100)))*(1+(Inputs!$B$24+((C1131=TRUE)*(F1131-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1124=TRUE)*(F1124-Calc!F23))+(((IF(AND(ArtifactsInput!$M$42,((Inputs!$B$9+((C1126=TRUE)*(F1126-Calc!F25))+B1141+(ArtifactsInput!$M$24-ArtifactsInput!$M$24)*CHOOSE(ArtifactsInput!$N$24+1,10,12,14,16,18,20)+IF(ArtifactsInput!$M$10,CHOOSE(ArtifactsInput!$N$10+1,15,18,21,24,27,30)*(IF(Inputs!$B$39="pvp",MIN(15,15)/15,IF(AND(Inputs!$B$39&lt;&gt;"pvp",Inputs!$B$44&gt;0),MIN(15,Inputs!$B$44)/(Inputs!$B$44),0))),0)))&gt;=100),MIN(100,((Inputs!$B$9+((C1126=TRUE)*(F1126-Calc!F25))+B1141+(ArtifactsInput!$M$24-ArtifactsInput!$M$24)*CHOOSE(ArtifactsInput!$N$24+1,10,12,14,16,18,20)+IF(ArtifactsInput!$M$10,CHOOSE(ArtifactsInput!$N$10+1,15,18,21,24,27,30)*(IF(Inputs!$B$39="pvp",MIN(15,15)/15,IF(AND(Inputs!$B$39&lt;&gt;"pvp",Inputs!$B$44&gt;0),MIN(15,Inputs!$B$44)/(Inputs!$B$44),0))),0)))-100),0))*CHOOSE(ArtifactsInput!$N$42+1,0.6,0.72,0.84,0.96,1.08,1.2))),Inputs!$B$18+((C1130=TRUE)*(F1130-Calc!F29))+(IF(AND(ArtifactsInput!$M$42,((Inputs!$B$9+((C1126=TRUE)*(F1126-Calc!F25))+B1141+(ArtifactsInput!$M$24-ArtifactsInput!$M$24)*CHOOSE(ArtifactsInput!$N$24+1,10,12,14,16,18,20)+IF(ArtifactsInput!$M$10,CHOOSE(ArtifactsInput!$N$10+1,15,18,21,24,27,30)*(IF(Inputs!$B$39="pvp",MIN(15,15)/15,IF(AND(Inputs!$B$39&lt;&gt;"pvp",Inputs!$B$44&gt;0),MIN(15,Inputs!$B$44)/(Inputs!$B$44),0))),0)))&gt;=100),CHOOSE(ArtifactsInput!$N$42+1,40,48,56,64,72,80),0))))/100)*(((1+(((C1122=TRUE)*F1122*IF(AND(Inputs!$B$39&lt;&gt;"pvp",Inputs!$B$44&gt;0),(((R1122-1)*(Skills!Y21*(1+Inputs!$B$34/100))+MIN((Skills!Y21*(1+Inputs!$B$34/100)),MAX(0,Inputs!$B$44-((R1122-1)*Skills!D21))))/Inputs!$B$44),IF(Inputs!$B$39="pvp",MIN((Skills!Y21*(1+Inputs!$B$34/100)),15)/15,(Skills!Y21*(1+Inputs!$B$34/100))/Skills!D21)))+((C1129=TRUE)*(F1129-Calc!F28))+((C1119=TRUE)*(F1119-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1116=TRUE)*F1116*IF(AND(Inputs!$B$39&lt;&gt;"pvp",Inputs!$B$44&gt;0),(((R1116-1)*(Skills!Y15*(1+Inputs!$B$34/100))+MIN((Skills!Y15*(1+Inputs!$B$34/100)),MAX(0,Inputs!$B$44-((R1116-1)*Skills!D15))))/Inputs!$B$44),IF(Inputs!$B$39="pvp",MIN((Skills!Y15*(1+Inputs!$B$34/100)),15)/15,(Skills!Y15*(1+Inputs!$B$34/100))/Skills!D15)))/100)*(1+((C1107=TRUE)*F1107*B1135)/100))*B1143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1109)</f>
        <v/>
      </c>
      <c r="L1109">
        <f>K1109*(MIN(Inputs!$B$22+((C1125=TRUE)*(F1125-Calc!F24)),(Inputs!$B$23+0+(IF(ArtifactsInput!$M$15,CHOOSE(ArtifactsInput!$N$15+1,25,30,35,40,45,50)/100*(Inputs!$B$11-Inputs!$B$11),0))))/100+(Inputs!$B$23+0+(IF(ArtifactsInput!$M$15,CHOOSE(ArtifactsInput!$N$15+1,25,30,35,40,45,50)/100*(Inputs!$B$11-Inputs!$B$11),0)))/100)/2</f>
        <v/>
      </c>
      <c r="M1109">
        <f>L1109*(1+(Inputs!$B$10+((C1127=TRUE)*(F1127-Calc!F26))+B1144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09">
        <f>L1109*(1-MIN((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1109*(MIN((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09">
        <f>(1-Summary!$B$11)*T1109+Summary!$B$11*V1109</f>
        <v/>
      </c>
      <c r="P1109">
        <f>IF(B1145=0,0,O1109/B1145)</f>
        <v/>
      </c>
      <c r="Q1109">
        <f>IFERROR(1/IF(Inputs!$B$39="pvp",15,MAX(0.1,Skills!D8-IF(Skills!E8=TRUE,Inputs!$B$32,0))),0)</f>
        <v/>
      </c>
      <c r="R1109">
        <f>IF(AND(Inputs!$B$39&lt;&gt;"pvp",Inputs!$B$44&gt;0),IF(MAX(0,Inputs!$B$44-B1146)&lt;=0,0,(INT(MAX(0,Inputs!$B$44-B1146)/IF(Inputs!$B$39="pvp",15,MAX(0.1,Skills!D8-IF(Skills!E8=TRUE,Inputs!$B$32,0))))+1)),0)</f>
        <v/>
      </c>
      <c r="S1109">
        <f>IFERROR(O1109/N1109,0)</f>
        <v/>
      </c>
      <c r="T1109">
        <f>IF(C1109,(H1109*N1109*IF(AND(Inputs!$B$39&lt;&gt;"pvp",Inputs!$B$44&gt;0),((Skills!G8*((R1109-1)*IF(Skills!H8&gt;0,Skills!I8/Skills!H8,1)+IF(Skills!H8&gt;0,MIN(Skills!I8,MAX(0,MAX(0,Inputs!$B$44-B1146)-((R1109-1)*IF(Inputs!$B$39="pvp",15,MAX(0.1,Skills!D8-IF(Skills!E8=TRUE,Inputs!$B$32,0))))))/Skills!H8,1)))/Inputs!$B$44),G1109*Q1109))*IF(Inputs!$B$39="pvp",1,1+(Inputs!$B$20+((C1128=TRUE)*(F1128-Calc!F27))+Skills!P8+B1142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1109*(1-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1109*(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1109*(1-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1109*(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09">
        <f>IF(C1109,(H1109*N1109*IF(AND(Inputs!$B$39&lt;&gt;"pvp",Inputs!$B$44&gt;0),((Skills!G8*((R1109-1)*IF(Skills!H8&gt;0,Skills!I8/Skills!H8,1)+IF(Skills!H8&gt;0,MIN(Skills!I8,MAX(0,MAX(0,Inputs!$B$44-B1146)-((R1109-1)*IF(Inputs!$B$39="pvp",15,MAX(0.1,Skills!D8-IF(Skills!E8=TRUE,Inputs!$B$32,0))))))/Skills!H8,1)))/Inputs!$B$44),G1109*Q1109))*IF(Inputs!$B$39="pvp",1,(1+(Inputs!$B$21+Skills!Q8+B1142+(IF(ArtifactsInput!$M$33,CHOOSE(ArtifactsInput!$N$33+1,30,36,42,48,54,60)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10">
      <c r="A1110">
        <f>Skills!A9</f>
        <v/>
      </c>
      <c r="B1110">
        <f>Skills!B9</f>
        <v/>
      </c>
      <c r="C1110">
        <f>Inputs!$B$3&gt;=72</f>
        <v/>
      </c>
      <c r="D1110">
        <f>IF(Skills!C9=1,60+Inputs!$B$25+Inputs!$B$29,IF(Skills!C9=2,90+Inputs!$B$26+Inputs!$B$29,IF(Skills!C9=3,120+Inputs!$B$27+Inputs!$B$29,MAX(0,(Inputs!$B$3-100)*3)+Inputs!$B$28+Inputs!$B$29)))</f>
        <v/>
      </c>
      <c r="E1110">
        <f>INDEX(FactorTable!$B$2:$Y$301, MATCH(ROUND(MIN(300,MAX(1,D1110)),0), FactorTable!$A$2:$A$301,0), Skills!M9+1)</f>
        <v/>
      </c>
      <c r="F1110">
        <f>IF(Skills!N9=TRUE,(Skills!L9/10)*(E1110/1000),Skills!L9/10)+Skills!O9</f>
        <v/>
      </c>
      <c r="G1110">
        <f>Calc!G9</f>
        <v/>
      </c>
      <c r="H1110">
        <f>Calc!H9</f>
        <v/>
      </c>
      <c r="I1110">
        <f>IF(Skills!AA9&lt;&gt;"",1+(Skills!AA9/10)*(U1104/1000)/100,1)</f>
        <v/>
      </c>
      <c r="J1110">
        <f>(((Inputs!$B$6+1)*(1+Inputs!$B$7/100))+(((Inputs!$B$12*(1+Inputs!$B$13/100))-(Inputs!$B$12*(1+Inputs!$B$13/100)))+0.25*(Inputs!$B$14-Inputs!$B$14))*(1+Inputs!$B$7/100))*(F1110/100)</f>
        <v/>
      </c>
      <c r="K1110">
        <f>J1110*(1+((Inputs!$B$12*(1+Inputs!$B$13/100))*0.01+Inputs!$B$14*0.0025)/100)*(1+Inputs!$B$15/100)*(1+Inputs!$B$16/100)*(5000/(6000+Inputs!$B$43*(1-(100*(1-(1-(Inputs!$B$19+0)/100)*(1-CHOOSE(ArtifactsInput!$N$40+1,5,6,7,8,9,10)/100)^(ArtifactsInput!$M$40-ArtifactsInput!$M$40)))/100)))*(1+(Inputs!$B$24+((C1131=TRUE)*(F1131-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1124=TRUE)*(F1124-Calc!F23))+(((IF(AND(ArtifactsInput!$M$42,((Inputs!$B$9+((C1126=TRUE)*(F1126-Calc!F25))+B1141+(ArtifactsInput!$M$24-ArtifactsInput!$M$24)*CHOOSE(ArtifactsInput!$N$24+1,10,12,14,16,18,20)+IF(ArtifactsInput!$M$10,CHOOSE(ArtifactsInput!$N$10+1,15,18,21,24,27,30)*(IF(Inputs!$B$39="pvp",MIN(15,15)/15,IF(AND(Inputs!$B$39&lt;&gt;"pvp",Inputs!$B$44&gt;0),MIN(15,Inputs!$B$44)/(Inputs!$B$44),0))),0)))&gt;=100),MIN(100,((Inputs!$B$9+((C1126=TRUE)*(F1126-Calc!F25))+B1141+(ArtifactsInput!$M$24-ArtifactsInput!$M$24)*CHOOSE(ArtifactsInput!$N$24+1,10,12,14,16,18,20)+IF(ArtifactsInput!$M$10,CHOOSE(ArtifactsInput!$N$10+1,15,18,21,24,27,30)*(IF(Inputs!$B$39="pvp",MIN(15,15)/15,IF(AND(Inputs!$B$39&lt;&gt;"pvp",Inputs!$B$44&gt;0),MIN(15,Inputs!$B$44)/(Inputs!$B$44),0))),0)))-100),0))*CHOOSE(ArtifactsInput!$N$42+1,0.6,0.72,0.84,0.96,1.08,1.2))),Inputs!$B$18+((C1130=TRUE)*(F1130-Calc!F29))+(IF(AND(ArtifactsInput!$M$42,((Inputs!$B$9+((C1126=TRUE)*(F1126-Calc!F25))+B1141+(ArtifactsInput!$M$24-ArtifactsInput!$M$24)*CHOOSE(ArtifactsInput!$N$24+1,10,12,14,16,18,20)+IF(ArtifactsInput!$M$10,CHOOSE(ArtifactsInput!$N$10+1,15,18,21,24,27,30)*(IF(Inputs!$B$39="pvp",MIN(15,15)/15,IF(AND(Inputs!$B$39&lt;&gt;"pvp",Inputs!$B$44&gt;0),MIN(15,Inputs!$B$44)/(Inputs!$B$44),0))),0)))&gt;=100),CHOOSE(ArtifactsInput!$N$42+1,40,48,56,64,72,80),0))))/100)*(((1+(((C1122=TRUE)*F1122*IF(AND(Inputs!$B$39&lt;&gt;"pvp",Inputs!$B$44&gt;0),(((R1122-1)*(Skills!Y21*(1+Inputs!$B$34/100))+MIN((Skills!Y21*(1+Inputs!$B$34/100)),MAX(0,Inputs!$B$44-((R1122-1)*Skills!D21))))/Inputs!$B$44),IF(Inputs!$B$39="pvp",MIN((Skills!Y21*(1+Inputs!$B$34/100)),15)/15,(Skills!Y21*(1+Inputs!$B$34/100))/Skills!D21)))+((C1129=TRUE)*(F1129-Calc!F28))+((C1119=TRUE)*(F1119-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1116=TRUE)*F1116*IF(AND(Inputs!$B$39&lt;&gt;"pvp",Inputs!$B$44&gt;0),(((R1116-1)*(Skills!Y15*(1+Inputs!$B$34/100))+MIN((Skills!Y15*(1+Inputs!$B$34/100)),MAX(0,Inputs!$B$44-((R1116-1)*Skills!D15))))/Inputs!$B$44),IF(Inputs!$B$39="pvp",MIN((Skills!Y15*(1+Inputs!$B$34/100)),15)/15,(Skills!Y15*(1+Inputs!$B$34/100))/Skills!D15)))/100)*(1+((C1107=TRUE)*F1107*B1135)/100))*B1143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1110)</f>
        <v/>
      </c>
      <c r="L1110">
        <f>K1110*(MIN(Inputs!$B$22+((C1125=TRUE)*(F1125-Calc!F24)),(Inputs!$B$23+0+(IF(ArtifactsInput!$M$15,CHOOSE(ArtifactsInput!$N$15+1,25,30,35,40,45,50)/100*(Inputs!$B$11-Inputs!$B$11),0))))/100+(Inputs!$B$23+0+(IF(ArtifactsInput!$M$15,CHOOSE(ArtifactsInput!$N$15+1,25,30,35,40,45,50)/100*(Inputs!$B$11-Inputs!$B$11),0)))/100)/2</f>
        <v/>
      </c>
      <c r="M1110">
        <f>L1110*(1+(Inputs!$B$10+((C1127=TRUE)*(F1127-Calc!F26))+B1144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10">
        <f>L1110*(1-MIN((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1110*(MIN((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10">
        <f>(1-Summary!$B$11)*T1110+Summary!$B$11*V1110</f>
        <v/>
      </c>
      <c r="P1110">
        <f>IF(B1145=0,0,O1110/B1145)</f>
        <v/>
      </c>
      <c r="Q1110">
        <f>IFERROR(1/IF(Inputs!$B$39="pvp",15,MAX(0.1,Skills!D9-IF(Skills!E9=TRUE,Inputs!$B$32,0))),0)</f>
        <v/>
      </c>
      <c r="R1110">
        <f>IF(AND(Inputs!$B$39&lt;&gt;"pvp",Inputs!$B$44&gt;0),IF(MAX(0,Inputs!$B$44-B1146)&lt;=0,0,(INT(MAX(0,Inputs!$B$44-B1146)/IF(Inputs!$B$39="pvp",15,MAX(0.1,Skills!D9-IF(Skills!E9=TRUE,Inputs!$B$32,0))))+1)),0)</f>
        <v/>
      </c>
      <c r="S1110">
        <f>IFERROR(O1110/N1110,0)</f>
        <v/>
      </c>
      <c r="T1110">
        <f>IF(C1110,(H1110*N1110*IF(AND(Inputs!$B$39&lt;&gt;"pvp",Inputs!$B$44&gt;0),((Skills!G9*((R1110-1)*IF(Skills!H9&gt;0,Skills!I9/Skills!H9,1)+IF(Skills!H9&gt;0,MIN(Skills!I9,MAX(0,MAX(0,Inputs!$B$44-B1146)-((R1110-1)*IF(Inputs!$B$39="pvp",15,MAX(0.1,Skills!D9-IF(Skills!E9=TRUE,Inputs!$B$32,0))))))/Skills!H9,1)))/Inputs!$B$44),G1110*Q1110))*IF(Inputs!$B$39="pvp",1,1+(Inputs!$B$20+((C1128=TRUE)*(F1128-Calc!F27))+Skills!P9+B1142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1110*(1-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1110*(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1110*(1-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1110*(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10">
        <f>IF(C1110,(H1110*N1110*IF(AND(Inputs!$B$39&lt;&gt;"pvp",Inputs!$B$44&gt;0),((Skills!G9*((R1110-1)*IF(Skills!H9&gt;0,Skills!I9/Skills!H9,1)+IF(Skills!H9&gt;0,MIN(Skills!I9,MAX(0,MAX(0,Inputs!$B$44-B1146)-((R1110-1)*IF(Inputs!$B$39="pvp",15,MAX(0.1,Skills!D9-IF(Skills!E9=TRUE,Inputs!$B$32,0))))))/Skills!H9,1)))/Inputs!$B$44),G1110*Q1110))*IF(Inputs!$B$39="pvp",1,(1+(Inputs!$B$21+Skills!Q9+B1142+(IF(ArtifactsInput!$M$33,CHOOSE(ArtifactsInput!$N$33+1,30,36,42,48,54,60)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11">
      <c r="A1111">
        <f>Skills!A10</f>
        <v/>
      </c>
      <c r="B1111">
        <f>Skills!B10</f>
        <v/>
      </c>
      <c r="C1111">
        <f>Inputs!$B$3&gt;=117</f>
        <v/>
      </c>
      <c r="D1111">
        <f>IF(Skills!C10=1,60+Inputs!$B$25+Inputs!$B$29,IF(Skills!C10=2,90+Inputs!$B$26+Inputs!$B$29,IF(Skills!C10=3,120+Inputs!$B$27+Inputs!$B$29,MAX(0,(Inputs!$B$3-100)*3)+Inputs!$B$28+Inputs!$B$29)))</f>
        <v/>
      </c>
      <c r="E1111">
        <f>INDEX(FactorTable!$B$2:$Y$301, MATCH(ROUND(MIN(300,MAX(1,D1111)),0), FactorTable!$A$2:$A$301,0), Skills!M10+1)</f>
        <v/>
      </c>
      <c r="F1111">
        <f>IF(Skills!N10=TRUE,(Skills!L10/10)*(E1111/1000),Skills!L10/10)+Skills!O10</f>
        <v/>
      </c>
      <c r="G1111">
        <f>Calc!G10</f>
        <v/>
      </c>
      <c r="H1111">
        <f>Calc!H10</f>
        <v/>
      </c>
      <c r="I1111">
        <f>IF(Skills!AA10&lt;&gt;"",1+(Skills!AA10/10)*(U1104/1000)/100,1)</f>
        <v/>
      </c>
      <c r="J1111">
        <f>(((Inputs!$B$6+1)*(1+Inputs!$B$7/100))+(((Inputs!$B$12*(1+Inputs!$B$13/100))-(Inputs!$B$12*(1+Inputs!$B$13/100)))+0.25*(Inputs!$B$14-Inputs!$B$14))*(1+Inputs!$B$7/100))*(F1111/100)</f>
        <v/>
      </c>
      <c r="K1111">
        <f>J1111*(1+((Inputs!$B$12*(1+Inputs!$B$13/100))*0.01+Inputs!$B$14*0.0025)/100)*(1+Inputs!$B$15/100)*(1+Inputs!$B$16/100)*(5000/(6000+Inputs!$B$43*(1-(100*(1-(1-(Inputs!$B$19+0)/100)*(1-CHOOSE(ArtifactsInput!$N$40+1,5,6,7,8,9,10)/100)^(ArtifactsInput!$M$40-ArtifactsInput!$M$40)))/100)))*(1+(Inputs!$B$24+((C1131=TRUE)*(F1131-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1124=TRUE)*(F1124-Calc!F23))+(((IF(AND(ArtifactsInput!$M$42,((Inputs!$B$9+((C1126=TRUE)*(F1126-Calc!F25))+B1141+(ArtifactsInput!$M$24-ArtifactsInput!$M$24)*CHOOSE(ArtifactsInput!$N$24+1,10,12,14,16,18,20)+IF(ArtifactsInput!$M$10,CHOOSE(ArtifactsInput!$N$10+1,15,18,21,24,27,30)*(IF(Inputs!$B$39="pvp",MIN(15,15)/15,IF(AND(Inputs!$B$39&lt;&gt;"pvp",Inputs!$B$44&gt;0),MIN(15,Inputs!$B$44)/(Inputs!$B$44),0))),0)))&gt;=100),MIN(100,((Inputs!$B$9+((C1126=TRUE)*(F1126-Calc!F25))+B1141+(ArtifactsInput!$M$24-ArtifactsInput!$M$24)*CHOOSE(ArtifactsInput!$N$24+1,10,12,14,16,18,20)+IF(ArtifactsInput!$M$10,CHOOSE(ArtifactsInput!$N$10+1,15,18,21,24,27,30)*(IF(Inputs!$B$39="pvp",MIN(15,15)/15,IF(AND(Inputs!$B$39&lt;&gt;"pvp",Inputs!$B$44&gt;0),MIN(15,Inputs!$B$44)/(Inputs!$B$44),0))),0)))-100),0))*CHOOSE(ArtifactsInput!$N$42+1,0.6,0.72,0.84,0.96,1.08,1.2))),Inputs!$B$18+((C1130=TRUE)*(F1130-Calc!F29))+(IF(AND(ArtifactsInput!$M$42,((Inputs!$B$9+((C1126=TRUE)*(F1126-Calc!F25))+B1141+(ArtifactsInput!$M$24-ArtifactsInput!$M$24)*CHOOSE(ArtifactsInput!$N$24+1,10,12,14,16,18,20)+IF(ArtifactsInput!$M$10,CHOOSE(ArtifactsInput!$N$10+1,15,18,21,24,27,30)*(IF(Inputs!$B$39="pvp",MIN(15,15)/15,IF(AND(Inputs!$B$39&lt;&gt;"pvp",Inputs!$B$44&gt;0),MIN(15,Inputs!$B$44)/(Inputs!$B$44),0))),0)))&gt;=100),CHOOSE(ArtifactsInput!$N$42+1,40,48,56,64,72,80),0))))/100)*(((1+(((C1122=TRUE)*F1122*IF(AND(Inputs!$B$39&lt;&gt;"pvp",Inputs!$B$44&gt;0),(((R1122-1)*(Skills!Y21*(1+Inputs!$B$34/100))+MIN((Skills!Y21*(1+Inputs!$B$34/100)),MAX(0,Inputs!$B$44-((R1122-1)*Skills!D21))))/Inputs!$B$44),IF(Inputs!$B$39="pvp",MIN((Skills!Y21*(1+Inputs!$B$34/100)),15)/15,(Skills!Y21*(1+Inputs!$B$34/100))/Skills!D21)))+((C1129=TRUE)*(F1129-Calc!F28))+((C1119=TRUE)*(F1119-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1116=TRUE)*F1116*IF(AND(Inputs!$B$39&lt;&gt;"pvp",Inputs!$B$44&gt;0),(((R1116-1)*(Skills!Y15*(1+Inputs!$B$34/100))+MIN((Skills!Y15*(1+Inputs!$B$34/100)),MAX(0,Inputs!$B$44-((R1116-1)*Skills!D15))))/Inputs!$B$44),IF(Inputs!$B$39="pvp",MIN((Skills!Y15*(1+Inputs!$B$34/100)),15)/15,(Skills!Y15*(1+Inputs!$B$34/100))/Skills!D15)))/100)*(1+((C1107=TRUE)*F1107*B1135)/100))*B1143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1111)</f>
        <v/>
      </c>
      <c r="L1111">
        <f>K1111*(MIN(Inputs!$B$22+((C1125=TRUE)*(F1125-Calc!F24)),(Inputs!$B$23+0+(IF(ArtifactsInput!$M$15,CHOOSE(ArtifactsInput!$N$15+1,25,30,35,40,45,50)/100*(Inputs!$B$11-Inputs!$B$11),0))))/100+(Inputs!$B$23+0+(IF(ArtifactsInput!$M$15,CHOOSE(ArtifactsInput!$N$15+1,25,30,35,40,45,50)/100*(Inputs!$B$11-Inputs!$B$11),0)))/100)/2</f>
        <v/>
      </c>
      <c r="M1111">
        <f>L1111*(1+(Inputs!$B$10+((C1127=TRUE)*(F1127-Calc!F26))+B1144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11">
        <f>L1111*(1-MIN((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1111*(MIN((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11">
        <f>(1-Summary!$B$11)*T1111+Summary!$B$11*V1111</f>
        <v/>
      </c>
      <c r="P1111">
        <f>IF(B1145=0,0,O1111/B1145)</f>
        <v/>
      </c>
      <c r="Q1111" t="n">
        <v>0</v>
      </c>
      <c r="R1111" t="n">
        <v>0</v>
      </c>
      <c r="S1111" t="n">
        <v>0</v>
      </c>
      <c r="T1111">
        <f>IF(C1111,(0.2*SUMPRODUCT((Skills!Z2:Z31=TRUE)*(C1103:C1132=TRUE)*S1103:S1132)*N1111)*IF(Inputs!$B$39="pvp",1,1+(Inputs!$B$20+((C1128=TRUE)*(F1128-Calc!F27))+Skills!P10+B1142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1111*(1-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1111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1111*(1-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1111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11">
        <f>IF(C1111,(0.2*SUMPRODUCT((Skills!Z2:Z31=TRUE)*(C1103:C1132=TRUE)*S1103:S1132)*N1111)*IF(Inputs!$B$39="pvp",1,(1+(Inputs!$B$21+Skills!Q10+B1142+(IF(ArtifactsInput!$M$33,CHOOSE(ArtifactsInput!$N$33+1,30,36,42,48,54,60),0))+(IF(AND(ArtifactsInput!$M$35,Inputs!$B$4&lt;&gt;"Chapter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12">
      <c r="A1112">
        <f>Skills!A11</f>
        <v/>
      </c>
      <c r="B1112">
        <f>Skills!B11</f>
        <v/>
      </c>
      <c r="C1112">
        <f>Inputs!$B$3&gt;=60</f>
        <v/>
      </c>
      <c r="D1112">
        <f>IF(Skills!C11=1,60+Inputs!$B$25+Inputs!$B$29,IF(Skills!C11=2,90+Inputs!$B$26+Inputs!$B$29,IF(Skills!C11=3,120+Inputs!$B$27+Inputs!$B$29,MAX(0,(Inputs!$B$3-100)*3)+Inputs!$B$28+Inputs!$B$29)))</f>
        <v/>
      </c>
      <c r="E1112">
        <f>INDEX(FactorTable!$B$2:$Y$301, MATCH(ROUND(MIN(300,MAX(1,D1112)),0), FactorTable!$A$2:$A$301,0), Skills!M11+1)</f>
        <v/>
      </c>
      <c r="F1112">
        <f>IF(Skills!N11=TRUE,(Skills!L11/10)*(E1112/1000),Skills!L11/10)+Skills!O11</f>
        <v/>
      </c>
      <c r="G1112">
        <f>Calc!G11</f>
        <v/>
      </c>
      <c r="H1112">
        <f>Calc!H11</f>
        <v/>
      </c>
      <c r="I1112">
        <f>IF(Skills!AA11&lt;&gt;"",1+(Skills!AA11/10)*(U1104/1000)/100,1)</f>
        <v/>
      </c>
      <c r="J1112" t="inlineStr"/>
      <c r="K1112" t="inlineStr"/>
      <c r="L1112" t="inlineStr"/>
      <c r="M1112" t="inlineStr"/>
      <c r="N1112" t="inlineStr"/>
      <c r="O1112">
        <f>(1-Summary!$B$11)*T1112+Summary!$B$11*V1112</f>
        <v/>
      </c>
      <c r="P1112">
        <f>IF(B1145=0,0,O1112/B1145)</f>
        <v/>
      </c>
      <c r="Q1112" t="n">
        <v>0</v>
      </c>
      <c r="R1112" t="n">
        <v>0</v>
      </c>
      <c r="S1112">
        <f>IFERROR(O1112/N1112,0)</f>
        <v/>
      </c>
      <c r="T1112" t="n">
        <v>0</v>
      </c>
      <c r="V1112" t="n">
        <v>0</v>
      </c>
    </row>
    <row r="1113">
      <c r="A1113">
        <f>Skills!A12</f>
        <v/>
      </c>
      <c r="B1113">
        <f>Skills!B12</f>
        <v/>
      </c>
      <c r="C1113">
        <f>Inputs!$B$3&gt;=103</f>
        <v/>
      </c>
      <c r="D1113">
        <f>IF(Skills!C12=1,60+Inputs!$B$25+Inputs!$B$29,IF(Skills!C12=2,90+Inputs!$B$26+Inputs!$B$29,IF(Skills!C12=3,120+Inputs!$B$27+Inputs!$B$29,MAX(0,(Inputs!$B$3-100)*3)+Inputs!$B$28+Inputs!$B$29)))</f>
        <v/>
      </c>
      <c r="E1113">
        <f>INDEX(FactorTable!$B$2:$Y$301, MATCH(ROUND(MIN(300,MAX(1,D1113)),0), FactorTable!$A$2:$A$301,0), Skills!M12+1)</f>
        <v/>
      </c>
      <c r="F1113">
        <f>IF(Skills!N12=TRUE,(Skills!L12/10)*(E1113/1000),Skills!L12/10)+Skills!O12</f>
        <v/>
      </c>
      <c r="G1113">
        <f>Calc!G12</f>
        <v/>
      </c>
      <c r="H1113">
        <f>Calc!H12</f>
        <v/>
      </c>
      <c r="I1113">
        <f>IF(Skills!AA12&lt;&gt;"",1+(Skills!AA12/10)*(U1104/1000)/100,1)</f>
        <v/>
      </c>
      <c r="J1113">
        <f>(((Inputs!$B$6+1)*(1+Inputs!$B$7/100))+(((Inputs!$B$12*(1+Inputs!$B$13/100))-(Inputs!$B$12*(1+Inputs!$B$13/100)))+0.25*(Inputs!$B$14-Inputs!$B$14))*(1+Inputs!$B$7/100))*(F1113/100)</f>
        <v/>
      </c>
      <c r="K1113">
        <f>J1113*(1+((Inputs!$B$12*(1+Inputs!$B$13/100))*0.01+Inputs!$B$14*0.0025)/100)*(1+Inputs!$B$15/100)*(1+Inputs!$B$16/100)*(5000/(6000+Inputs!$B$43*(1-(100*(1-(1-(Inputs!$B$19+0)/100)*(1-CHOOSE(ArtifactsInput!$N$40+1,5,6,7,8,9,10)/100)^(ArtifactsInput!$M$40-ArtifactsInput!$M$40)))/100)))*(1+(Inputs!$B$24+((C1131=TRUE)*(F1131-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1124=TRUE)*(F1124-Calc!F23))+(((IF(AND(ArtifactsInput!$M$42,((Inputs!$B$9+((C1126=TRUE)*(F1126-Calc!F25))+B1141+(ArtifactsInput!$M$24-ArtifactsInput!$M$24)*CHOOSE(ArtifactsInput!$N$24+1,10,12,14,16,18,20)+IF(ArtifactsInput!$M$10,CHOOSE(ArtifactsInput!$N$10+1,15,18,21,24,27,30)*(IF(Inputs!$B$39="pvp",MIN(15,15)/15,IF(AND(Inputs!$B$39&lt;&gt;"pvp",Inputs!$B$44&gt;0),MIN(15,Inputs!$B$44)/(Inputs!$B$44),0))),0)))&gt;=100),MIN(100,((Inputs!$B$9+((C1126=TRUE)*(F1126-Calc!F25))+B1141+(ArtifactsInput!$M$24-ArtifactsInput!$M$24)*CHOOSE(ArtifactsInput!$N$24+1,10,12,14,16,18,20)+IF(ArtifactsInput!$M$10,CHOOSE(ArtifactsInput!$N$10+1,15,18,21,24,27,30)*(IF(Inputs!$B$39="pvp",MIN(15,15)/15,IF(AND(Inputs!$B$39&lt;&gt;"pvp",Inputs!$B$44&gt;0),MIN(15,Inputs!$B$44)/(Inputs!$B$44),0))),0)))-100),0))*CHOOSE(ArtifactsInput!$N$42+1,0.6,0.72,0.84,0.96,1.08,1.2))),Inputs!$B$18+((C1130=TRUE)*(F1130-Calc!F29))+(IF(AND(ArtifactsInput!$M$42,((Inputs!$B$9+((C1126=TRUE)*(F1126-Calc!F25))+B1141+(ArtifactsInput!$M$24-ArtifactsInput!$M$24)*CHOOSE(ArtifactsInput!$N$24+1,10,12,14,16,18,20)+IF(ArtifactsInput!$M$10,CHOOSE(ArtifactsInput!$N$10+1,15,18,21,24,27,30)*(IF(Inputs!$B$39="pvp",MIN(15,15)/15,IF(AND(Inputs!$B$39&lt;&gt;"pvp",Inputs!$B$44&gt;0),MIN(15,Inputs!$B$44)/(Inputs!$B$44),0))),0)))&gt;=100),CHOOSE(ArtifactsInput!$N$42+1,40,48,56,64,72,80),0))))/100)*(((1+(((C1122=TRUE)*F1122*IF(AND(Inputs!$B$39&lt;&gt;"pvp",Inputs!$B$44&gt;0),(((R1122-1)*(Skills!Y21*(1+Inputs!$B$34/100))+MIN((Skills!Y21*(1+Inputs!$B$34/100)),MAX(0,Inputs!$B$44-((R1122-1)*Skills!D21))))/Inputs!$B$44),IF(Inputs!$B$39="pvp",MIN((Skills!Y21*(1+Inputs!$B$34/100)),15)/15,(Skills!Y21*(1+Inputs!$B$34/100))/Skills!D21)))+((C1129=TRUE)*(F1129-Calc!F28))+((C1119=TRUE)*(F1119-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1116=TRUE)*F1116*IF(AND(Inputs!$B$39&lt;&gt;"pvp",Inputs!$B$44&gt;0),(((R1116-1)*(Skills!Y15*(1+Inputs!$B$34/100))+MIN((Skills!Y15*(1+Inputs!$B$34/100)),MAX(0,Inputs!$B$44-((R1116-1)*Skills!D15))))/Inputs!$B$44),IF(Inputs!$B$39="pvp",MIN((Skills!Y15*(1+Inputs!$B$34/100)),15)/15,(Skills!Y15*(1+Inputs!$B$34/100))/Skills!D15)))/100)*(1+((C1107=TRUE)*F1107*B1135)/100))*B1143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1113)</f>
        <v/>
      </c>
      <c r="L1113">
        <f>K1113*(MIN(Inputs!$B$22+((C1125=TRUE)*(F1125-Calc!F24)),(Inputs!$B$23+0+(IF(ArtifactsInput!$M$15,CHOOSE(ArtifactsInput!$N$15+1,25,30,35,40,45,50)/100*(Inputs!$B$11-Inputs!$B$11),0))))/100+(Inputs!$B$23+0+(IF(ArtifactsInput!$M$15,CHOOSE(ArtifactsInput!$N$15+1,25,30,35,40,45,50)/100*(Inputs!$B$11-Inputs!$B$11),0)))/100)/2</f>
        <v/>
      </c>
      <c r="M1113">
        <f>L1113*(1+(Inputs!$B$10+((C1127=TRUE)*(F1127-Calc!F26))+B1144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13">
        <f>L1113*(1-MIN((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1113*(MIN((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13">
        <f>(1-Summary!$B$11)*T1113+Summary!$B$11*V1113</f>
        <v/>
      </c>
      <c r="P1113">
        <f>IF(B1145=0,0,O1113/B1145)</f>
        <v/>
      </c>
      <c r="Q1113">
        <f>IFERROR(1/IF(Inputs!$B$39="pvp",15,MAX(0.1,Skills!D12-IF(Skills!E12=TRUE,Inputs!$B$32,0))),0)</f>
        <v/>
      </c>
      <c r="R1113">
        <f>IF(AND(Inputs!$B$39&lt;&gt;"pvp",Inputs!$B$44&gt;0),IF(MAX(0,Inputs!$B$44-B1146)&lt;=0,0,(INT(MAX(0,Inputs!$B$44-B1146)/IF(Inputs!$B$39="pvp",15,MAX(0.1,Skills!D12-IF(Skills!E12=TRUE,Inputs!$B$32,0))))+1)),0)</f>
        <v/>
      </c>
      <c r="S1113">
        <f>IFERROR(O1113/N1113,0)</f>
        <v/>
      </c>
      <c r="T1113">
        <f>IF(C1113,(H1113*N1113*IF(AND(Inputs!$B$39&lt;&gt;"pvp",Inputs!$B$44&gt;0),((Skills!G12*((R1113-1)*IF(Skills!H12&gt;0,Skills!I12/Skills!H12,1)+IF(Skills!H12&gt;0,MIN(Skills!I12,MAX(0,MAX(0,Inputs!$B$44-B1146)-((R1113-1)*IF(Inputs!$B$39="pvp",15,MAX(0.1,Skills!D12-IF(Skills!E12=TRUE,Inputs!$B$32,0))))))/Skills!H12,1)))/Inputs!$B$44),G1113*Q1113))*IF(Inputs!$B$39="pvp",1,1+(Inputs!$B$20+((C1128=TRUE)*(F1128-Calc!F27))+Skills!P12+B1142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1113*(1-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1113*(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1113*(1-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1113*(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13">
        <f>IF(C1113,(H1113*N1113*IF(AND(Inputs!$B$39&lt;&gt;"pvp",Inputs!$B$44&gt;0),((Skills!G12*((R1113-1)*IF(Skills!H12&gt;0,Skills!I12/Skills!H12,1)+IF(Skills!H12&gt;0,MIN(Skills!I12,MAX(0,MAX(0,Inputs!$B$44-B1146)-((R1113-1)*IF(Inputs!$B$39="pvp",15,MAX(0.1,Skills!D12-IF(Skills!E12=TRUE,Inputs!$B$32,0))))))/Skills!H12,1)))/Inputs!$B$44),G1113*Q1113))*IF(Inputs!$B$39="pvp",1,(1+(Inputs!$B$21+Skills!Q12+B1142+(IF(ArtifactsInput!$M$33,CHOOSE(ArtifactsInput!$N$33+1,30,36,42,48,54,60)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14">
      <c r="A1114">
        <f>Skills!A13</f>
        <v/>
      </c>
      <c r="B1114">
        <f>Skills!B13</f>
        <v/>
      </c>
      <c r="C1114">
        <f>Inputs!$B$3&gt;=105</f>
        <v/>
      </c>
      <c r="D1114">
        <f>IF(Skills!C13=1,60+Inputs!$B$25+Inputs!$B$29,IF(Skills!C13=2,90+Inputs!$B$26+Inputs!$B$29,IF(Skills!C13=3,120+Inputs!$B$27+Inputs!$B$29,MAX(0,(Inputs!$B$3-100)*3)+Inputs!$B$28+Inputs!$B$29)))</f>
        <v/>
      </c>
      <c r="E1114">
        <f>INDEX(FactorTable!$B$2:$Y$301, MATCH(ROUND(MIN(300,MAX(1,D1114)),0), FactorTable!$A$2:$A$301,0), Skills!M13+1)</f>
        <v/>
      </c>
      <c r="F1114">
        <f>IF(Skills!N13=TRUE,(Skills!L13/10)*(E1114/1000),Skills!L13/10)+Skills!O13</f>
        <v/>
      </c>
      <c r="G1114">
        <f>Calc!G13</f>
        <v/>
      </c>
      <c r="H1114">
        <f>Calc!H13</f>
        <v/>
      </c>
      <c r="I1114">
        <f>IF(Skills!AA13&lt;&gt;"",1+(Skills!AA13/10)*(U1104/1000)/100,1)</f>
        <v/>
      </c>
      <c r="J1114">
        <f>(((Inputs!$B$6+1)*(1+Inputs!$B$7/100))+(((Inputs!$B$12*(1+Inputs!$B$13/100))-(Inputs!$B$12*(1+Inputs!$B$13/100)))+0.25*(Inputs!$B$14-Inputs!$B$14))*(1+Inputs!$B$7/100))*(F1114/100)</f>
        <v/>
      </c>
      <c r="K1114">
        <f>J1114*(1+((Inputs!$B$12*(1+Inputs!$B$13/100))*0.01+Inputs!$B$14*0.0025)/100)*(1+Inputs!$B$15/100)*(1+Inputs!$B$16/100)*(5000/(6000+Inputs!$B$43*(1-(100*(1-(1-(Inputs!$B$19+0)/100)*(1-CHOOSE(ArtifactsInput!$N$40+1,5,6,7,8,9,10)/100)^(ArtifactsInput!$M$40-ArtifactsInput!$M$40)))/100)))*(1+(Inputs!$B$24+((C1131=TRUE)*(F1131-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1124=TRUE)*(F1124-Calc!F23))+(((IF(AND(ArtifactsInput!$M$42,((Inputs!$B$9+((C1126=TRUE)*(F1126-Calc!F25))+B1141+(ArtifactsInput!$M$24-ArtifactsInput!$M$24)*CHOOSE(ArtifactsInput!$N$24+1,10,12,14,16,18,20)+IF(ArtifactsInput!$M$10,CHOOSE(ArtifactsInput!$N$10+1,15,18,21,24,27,30)*(IF(Inputs!$B$39="pvp",MIN(15,15)/15,IF(AND(Inputs!$B$39&lt;&gt;"pvp",Inputs!$B$44&gt;0),MIN(15,Inputs!$B$44)/(Inputs!$B$44),0))),0)))&gt;=100),MIN(100,((Inputs!$B$9+((C1126=TRUE)*(F1126-Calc!F25))+B1141+(ArtifactsInput!$M$24-ArtifactsInput!$M$24)*CHOOSE(ArtifactsInput!$N$24+1,10,12,14,16,18,20)+IF(ArtifactsInput!$M$10,CHOOSE(ArtifactsInput!$N$10+1,15,18,21,24,27,30)*(IF(Inputs!$B$39="pvp",MIN(15,15)/15,IF(AND(Inputs!$B$39&lt;&gt;"pvp",Inputs!$B$44&gt;0),MIN(15,Inputs!$B$44)/(Inputs!$B$44),0))),0)))-100),0))*CHOOSE(ArtifactsInput!$N$42+1,0.6,0.72,0.84,0.96,1.08,1.2))),Inputs!$B$18+((C1130=TRUE)*(F1130-Calc!F29))+(IF(AND(ArtifactsInput!$M$42,((Inputs!$B$9+((C1126=TRUE)*(F1126-Calc!F25))+B1141+(ArtifactsInput!$M$24-ArtifactsInput!$M$24)*CHOOSE(ArtifactsInput!$N$24+1,10,12,14,16,18,20)+IF(ArtifactsInput!$M$10,CHOOSE(ArtifactsInput!$N$10+1,15,18,21,24,27,30)*(IF(Inputs!$B$39="pvp",MIN(15,15)/15,IF(AND(Inputs!$B$39&lt;&gt;"pvp",Inputs!$B$44&gt;0),MIN(15,Inputs!$B$44)/(Inputs!$B$44),0))),0)))&gt;=100),CHOOSE(ArtifactsInput!$N$42+1,40,48,56,64,72,80),0))))/100)*(((1+(((C1122=TRUE)*F1122*IF(AND(Inputs!$B$39&lt;&gt;"pvp",Inputs!$B$44&gt;0),(((R1122-1)*(Skills!Y21*(1+Inputs!$B$34/100))+MIN((Skills!Y21*(1+Inputs!$B$34/100)),MAX(0,Inputs!$B$44-((R1122-1)*Skills!D21))))/Inputs!$B$44),IF(Inputs!$B$39="pvp",MIN((Skills!Y21*(1+Inputs!$B$34/100)),15)/15,(Skills!Y21*(1+Inputs!$B$34/100))/Skills!D21)))+((C1129=TRUE)*(F1129-Calc!F28))+((C1119=TRUE)*(F1119-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1116=TRUE)*F1116*IF(AND(Inputs!$B$39&lt;&gt;"pvp",Inputs!$B$44&gt;0),(((R1116-1)*(Skills!Y15*(1+Inputs!$B$34/100))+MIN((Skills!Y15*(1+Inputs!$B$34/100)),MAX(0,Inputs!$B$44-((R1116-1)*Skills!D15))))/Inputs!$B$44),IF(Inputs!$B$39="pvp",MIN((Skills!Y15*(1+Inputs!$B$34/100)),15)/15,(Skills!Y15*(1+Inputs!$B$34/100))/Skills!D15)))/100)*(1+((C1107=TRUE)*F1107*B1135)/100))*B1143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1114)</f>
        <v/>
      </c>
      <c r="L1114">
        <f>K1114*(MIN(Inputs!$B$22+((C1125=TRUE)*(F1125-Calc!F24)),(Inputs!$B$23+0+(IF(ArtifactsInput!$M$15,CHOOSE(ArtifactsInput!$N$15+1,25,30,35,40,45,50)/100*(Inputs!$B$11-Inputs!$B$11),0))))/100+(Inputs!$B$23+0+(IF(ArtifactsInput!$M$15,CHOOSE(ArtifactsInput!$N$15+1,25,30,35,40,45,50)/100*(Inputs!$B$11-Inputs!$B$11),0)))/100)/2</f>
        <v/>
      </c>
      <c r="M1114">
        <f>L1114*(1+(Inputs!$B$10+((C1127=TRUE)*(F1127-Calc!F26))+B1144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14">
        <f>L1114*(1-MIN((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1114*(MIN((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14">
        <f>(1-Summary!$B$11)*T1114+Summary!$B$11*V1114</f>
        <v/>
      </c>
      <c r="P1114">
        <f>IF(B1145=0,0,O1114/B1145)</f>
        <v/>
      </c>
      <c r="Q1114">
        <f>IFERROR(1/IF(Inputs!$B$39="pvp",15,MAX(0.1,Skills!D13-IF(Skills!E13=TRUE,Inputs!$B$32,0))),0)</f>
        <v/>
      </c>
      <c r="R1114">
        <f>IF(AND(Inputs!$B$39&lt;&gt;"pvp",Inputs!$B$44&gt;0),IF(MAX(0,Inputs!$B$44-B1146)&lt;=0,0,(INT(MAX(0,Inputs!$B$44-B1146)/IF(Inputs!$B$39="pvp",15,MAX(0.1,Skills!D13-IF(Skills!E13=TRUE,Inputs!$B$32,0))))+1)),0)</f>
        <v/>
      </c>
      <c r="S1114">
        <f>IFERROR(O1114/N1114,0)</f>
        <v/>
      </c>
      <c r="T1114">
        <f>IF(C1114,(H1114*N1114*IF(AND(Inputs!$B$39&lt;&gt;"pvp",Inputs!$B$44&gt;0),((Skills!G13*((R1114-1)*IF(Skills!H13&gt;0,Skills!I13/Skills!H13,1)+IF(Skills!H13&gt;0,MIN(Skills!I13,MAX(0,MAX(0,Inputs!$B$44-B1146)-((R1114-1)*IF(Inputs!$B$39="pvp",15,MAX(0.1,Skills!D13-IF(Skills!E13=TRUE,Inputs!$B$32,0))))))/Skills!H13,1)))/Inputs!$B$44),G1114*Q1114))*IF(Inputs!$B$39="pvp",1,1+(Inputs!$B$20+((C1128=TRUE)*(F1128-Calc!F27))+Skills!P13+B1142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1114*(1-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1114*(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1114*(1-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1114*(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14">
        <f>IF(C1114,(H1114*N1114*IF(AND(Inputs!$B$39&lt;&gt;"pvp",Inputs!$B$44&gt;0),((Skills!G13*((R1114-1)*IF(Skills!H13&gt;0,Skills!I13/Skills!H13,1)+IF(Skills!H13&gt;0,MIN(Skills!I13,MAX(0,MAX(0,Inputs!$B$44-B1146)-((R1114-1)*IF(Inputs!$B$39="pvp",15,MAX(0.1,Skills!D13-IF(Skills!E13=TRUE,Inputs!$B$32,0))))))/Skills!H13,1)))/Inputs!$B$44),G1114*Q1114))*IF(Inputs!$B$39="pvp",1,(1+(Inputs!$B$21+Skills!Q13+B1142+(IF(ArtifactsInput!$M$33,CHOOSE(ArtifactsInput!$N$33+1,30,36,42,48,54,60)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15">
      <c r="A1115">
        <f>Skills!A14</f>
        <v/>
      </c>
      <c r="B1115">
        <f>Skills!B14</f>
        <v/>
      </c>
      <c r="C1115">
        <f>Inputs!$B$3&gt;=105</f>
        <v/>
      </c>
      <c r="D1115">
        <f>IF(Skills!C14=1,60+Inputs!$B$25+Inputs!$B$29,IF(Skills!C14=2,90+Inputs!$B$26+Inputs!$B$29,IF(Skills!C14=3,120+Inputs!$B$27+Inputs!$B$29,MAX(0,(Inputs!$B$3-100)*3)+Inputs!$B$28+Inputs!$B$29)))</f>
        <v/>
      </c>
      <c r="E1115">
        <f>INDEX(FactorTable!$B$2:$Y$301, MATCH(ROUND(MIN(300,MAX(1,D1115)),0), FactorTable!$A$2:$A$301,0), Skills!M14+1)</f>
        <v/>
      </c>
      <c r="F1115">
        <f>IF(Skills!N14=TRUE,(Skills!L14/10)*(E1115/1000),Skills!L14/10)+Skills!O14</f>
        <v/>
      </c>
      <c r="G1115">
        <f>Calc!G14</f>
        <v/>
      </c>
      <c r="H1115">
        <f>Calc!H14</f>
        <v/>
      </c>
      <c r="I1115">
        <f>IF(Skills!AA14&lt;&gt;"",1+(Skills!AA14/10)*(U1104/1000)/100,1)</f>
        <v/>
      </c>
      <c r="J1115">
        <f>(((Inputs!$B$6+1)*(1+Inputs!$B$7/100))+(((Inputs!$B$12*(1+Inputs!$B$13/100))-(Inputs!$B$12*(1+Inputs!$B$13/100)))+0.25*(Inputs!$B$14-Inputs!$B$14))*(1+Inputs!$B$7/100))*(F1115/100)</f>
        <v/>
      </c>
      <c r="K1115">
        <f>J1115*(1+((Inputs!$B$12*(1+Inputs!$B$13/100))*0.01+Inputs!$B$14*0.0025)/100)*(1+Inputs!$B$15/100)*(1+Inputs!$B$16/100)*(5000/(6000+Inputs!$B$43*(1-(100*(1-(1-(Inputs!$B$19+0)/100)*(1-CHOOSE(ArtifactsInput!$N$40+1,5,6,7,8,9,10)/100)^(ArtifactsInput!$M$40-ArtifactsInput!$M$40)))/100)))*(1+(Inputs!$B$24+((C1131=TRUE)*(F1131-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1124=TRUE)*(F1124-Calc!F23))+(((IF(AND(ArtifactsInput!$M$42,((Inputs!$B$9+((C1126=TRUE)*(F1126-Calc!F25))+B1141+(ArtifactsInput!$M$24-ArtifactsInput!$M$24)*CHOOSE(ArtifactsInput!$N$24+1,10,12,14,16,18,20)+IF(ArtifactsInput!$M$10,CHOOSE(ArtifactsInput!$N$10+1,15,18,21,24,27,30)*(IF(Inputs!$B$39="pvp",MIN(15,15)/15,IF(AND(Inputs!$B$39&lt;&gt;"pvp",Inputs!$B$44&gt;0),MIN(15,Inputs!$B$44)/(Inputs!$B$44),0))),0)))&gt;=100),MIN(100,((Inputs!$B$9+((C1126=TRUE)*(F1126-Calc!F25))+B1141+(ArtifactsInput!$M$24-ArtifactsInput!$M$24)*CHOOSE(ArtifactsInput!$N$24+1,10,12,14,16,18,20)+IF(ArtifactsInput!$M$10,CHOOSE(ArtifactsInput!$N$10+1,15,18,21,24,27,30)*(IF(Inputs!$B$39="pvp",MIN(15,15)/15,IF(AND(Inputs!$B$39&lt;&gt;"pvp",Inputs!$B$44&gt;0),MIN(15,Inputs!$B$44)/(Inputs!$B$44),0))),0)))-100),0))*CHOOSE(ArtifactsInput!$N$42+1,0.6,0.72,0.84,0.96,1.08,1.2))),Inputs!$B$18+((C1130=TRUE)*(F1130-Calc!F29))+(IF(AND(ArtifactsInput!$M$42,((Inputs!$B$9+((C1126=TRUE)*(F1126-Calc!F25))+B1141+(ArtifactsInput!$M$24-ArtifactsInput!$M$24)*CHOOSE(ArtifactsInput!$N$24+1,10,12,14,16,18,20)+IF(ArtifactsInput!$M$10,CHOOSE(ArtifactsInput!$N$10+1,15,18,21,24,27,30)*(IF(Inputs!$B$39="pvp",MIN(15,15)/15,IF(AND(Inputs!$B$39&lt;&gt;"pvp",Inputs!$B$44&gt;0),MIN(15,Inputs!$B$44)/(Inputs!$B$44),0))),0)))&gt;=100),CHOOSE(ArtifactsInput!$N$42+1,40,48,56,64,72,80),0))))/100)*(((1+(((C1122=TRUE)*F1122*IF(AND(Inputs!$B$39&lt;&gt;"pvp",Inputs!$B$44&gt;0),(((R1122-1)*(Skills!Y21*(1+Inputs!$B$34/100))+MIN((Skills!Y21*(1+Inputs!$B$34/100)),MAX(0,Inputs!$B$44-((R1122-1)*Skills!D21))))/Inputs!$B$44),IF(Inputs!$B$39="pvp",MIN((Skills!Y21*(1+Inputs!$B$34/100)),15)/15,(Skills!Y21*(1+Inputs!$B$34/100))/Skills!D21)))+((C1129=TRUE)*(F1129-Calc!F28))+((C1119=TRUE)*(F1119-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1116=TRUE)*F1116*IF(AND(Inputs!$B$39&lt;&gt;"pvp",Inputs!$B$44&gt;0),(((R1116-1)*(Skills!Y15*(1+Inputs!$B$34/100))+MIN((Skills!Y15*(1+Inputs!$B$34/100)),MAX(0,Inputs!$B$44-((R1116-1)*Skills!D15))))/Inputs!$B$44),IF(Inputs!$B$39="pvp",MIN((Skills!Y15*(1+Inputs!$B$34/100)),15)/15,(Skills!Y15*(1+Inputs!$B$34/100))/Skills!D15)))/100)*(1+((C1107=TRUE)*F1107*B1135)/100))*B1143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1115)</f>
        <v/>
      </c>
      <c r="L1115">
        <f>K1115*(MIN(Inputs!$B$22+((C1125=TRUE)*(F1125-Calc!F24)),(Inputs!$B$23+0+(IF(ArtifactsInput!$M$15,CHOOSE(ArtifactsInput!$N$15+1,25,30,35,40,45,50)/100*(Inputs!$B$11-Inputs!$B$11),0))))/100+(Inputs!$B$23+0+(IF(ArtifactsInput!$M$15,CHOOSE(ArtifactsInput!$N$15+1,25,30,35,40,45,50)/100*(Inputs!$B$11-Inputs!$B$11),0)))/100)/2</f>
        <v/>
      </c>
      <c r="M1115">
        <f>L1115*(1+(Inputs!$B$10+((C1127=TRUE)*(F1127-Calc!F26))+B1144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15">
        <f>L1115*(1-MIN((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1115*(MIN((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15">
        <f>(1-Summary!$B$11)*T1115+Summary!$B$11*V1115</f>
        <v/>
      </c>
      <c r="P1115">
        <f>IF(B1145=0,0,O1115/B1145)</f>
        <v/>
      </c>
      <c r="Q1115">
        <f>IFERROR(1/IF(Inputs!$B$39="pvp",15,MAX(0.1,Skills!D14-IF(Skills!E14=TRUE,Inputs!$B$32,0))),0)</f>
        <v/>
      </c>
      <c r="R1115">
        <f>IF(AND(Inputs!$B$39&lt;&gt;"pvp",Inputs!$B$44&gt;0),IF(MAX(0,Inputs!$B$44-B1146)&lt;=0,0,(INT(MAX(0,Inputs!$B$44-B1146)/IF(Inputs!$B$39="pvp",15,MAX(0.1,Skills!D14-IF(Skills!E14=TRUE,Inputs!$B$32,0))))+1)),0)</f>
        <v/>
      </c>
      <c r="S1115">
        <f>IFERROR(O1115/N1115,0)</f>
        <v/>
      </c>
      <c r="T1115">
        <f>IF(C1115,(H1115*N1115*IF(AND(Inputs!$B$39&lt;&gt;"pvp",Inputs!$B$44&gt;0),((Skills!G14*((R1115-1)*IF(Skills!H14&gt;0,Skills!I14/Skills!H14,1)+IF(Skills!H14&gt;0,MIN(Skills!I14,MAX(0,MAX(0,Inputs!$B$44-B1146)-((R1115-1)*IF(Inputs!$B$39="pvp",15,MAX(0.1,Skills!D14-IF(Skills!E14=TRUE,Inputs!$B$32,0))))))/Skills!H14,1)))/Inputs!$B$44),G1115*Q1115))*IF(Inputs!$B$39="pvp",1,1+(Inputs!$B$20+((C1128=TRUE)*(F1128-Calc!F27))+Skills!P14+B1142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1115*(1-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1115*(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1115*(1-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1115*(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15">
        <f>IF(C1115,(H1115*N1115*IF(AND(Inputs!$B$39&lt;&gt;"pvp",Inputs!$B$44&gt;0),((Skills!G14*((R1115-1)*IF(Skills!H14&gt;0,Skills!I14/Skills!H14,1)+IF(Skills!H14&gt;0,MIN(Skills!I14,MAX(0,MAX(0,Inputs!$B$44-B1146)-((R1115-1)*IF(Inputs!$B$39="pvp",15,MAX(0.1,Skills!D14-IF(Skills!E14=TRUE,Inputs!$B$32,0))))))/Skills!H14,1)))/Inputs!$B$44),G1115*Q1115))*IF(Inputs!$B$39="pvp",1,(1+(Inputs!$B$21+Skills!Q14+B1142+(IF(ArtifactsInput!$M$33,CHOOSE(ArtifactsInput!$N$33+1,30,36,42,48,54,60)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16">
      <c r="A1116">
        <f>Skills!A15</f>
        <v/>
      </c>
      <c r="B1116">
        <f>Skills!B15</f>
        <v/>
      </c>
      <c r="C1116">
        <f>Inputs!$B$3&gt;=110</f>
        <v/>
      </c>
      <c r="D1116">
        <f>IF(Skills!C15=1,60+Inputs!$B$25+Inputs!$B$29,IF(Skills!C15=2,90+Inputs!$B$26+Inputs!$B$29,IF(Skills!C15=3,120+Inputs!$B$27+Inputs!$B$29,MAX(0,(Inputs!$B$3-100)*3)+Inputs!$B$28+Inputs!$B$29)))</f>
        <v/>
      </c>
      <c r="E1116">
        <f>INDEX(FactorTable!$B$2:$Y$301, MATCH(ROUND(MIN(300,MAX(1,D1116)),0), FactorTable!$A$2:$A$301,0), Skills!M15+1)</f>
        <v/>
      </c>
      <c r="F1116">
        <f>IF(Skills!N15=TRUE,(Skills!L15/10)*(E1116/1000),Skills!L15/10)+Skills!O15</f>
        <v/>
      </c>
      <c r="G1116">
        <f>Calc!G15</f>
        <v/>
      </c>
      <c r="H1116">
        <f>Calc!H15</f>
        <v/>
      </c>
      <c r="I1116">
        <f>IF(Skills!AA15&lt;&gt;"",1+(Skills!AA15/10)*(U1104/1000)/100,1)</f>
        <v/>
      </c>
      <c r="J1116" t="inlineStr"/>
      <c r="K1116" t="inlineStr"/>
      <c r="L1116" t="inlineStr"/>
      <c r="M1116" t="inlineStr"/>
      <c r="N1116" t="inlineStr"/>
      <c r="O1116">
        <f>(1-Summary!$B$11)*T1116+Summary!$B$11*V1116</f>
        <v/>
      </c>
      <c r="P1116">
        <f>IF(B1145=0,0,O1116/B1145)</f>
        <v/>
      </c>
      <c r="Q1116">
        <f>IFERROR(1/IF(Inputs!$B$39="pvp",15,MAX(0.1,Skills!D15-IF(Skills!E15=TRUE,Inputs!$B$32,0))),0)</f>
        <v/>
      </c>
      <c r="R1116">
        <f>IF(AND(Inputs!$B$39&lt;&gt;"pvp",Inputs!$B$44&gt;0),IF(Inputs!$B$44&lt;=0,0,(INT(Inputs!$B$44/IF(Inputs!$B$39="pvp",15,MAX(0.1,Skills!D15-IF(Skills!E15=TRUE,Inputs!$B$32,0))))+1)),0)</f>
        <v/>
      </c>
      <c r="S1116">
        <f>IFERROR(O1116/N1116,0)</f>
        <v/>
      </c>
      <c r="T1116" t="n">
        <v>0</v>
      </c>
      <c r="V1116" t="n">
        <v>0</v>
      </c>
    </row>
    <row r="1117">
      <c r="A1117">
        <f>Skills!A16</f>
        <v/>
      </c>
      <c r="B1117">
        <f>Skills!B16</f>
        <v/>
      </c>
      <c r="C1117">
        <f>Inputs!$B$3&gt;=110</f>
        <v/>
      </c>
      <c r="D1117">
        <f>IF(Skills!C16=1,60+Inputs!$B$25+Inputs!$B$29,IF(Skills!C16=2,90+Inputs!$B$26+Inputs!$B$29,IF(Skills!C16=3,120+Inputs!$B$27+Inputs!$B$29,MAX(0,(Inputs!$B$3-100)*3)+Inputs!$B$28+Inputs!$B$29)))</f>
        <v/>
      </c>
      <c r="E1117">
        <f>INDEX(FactorTable!$B$2:$Y$301, MATCH(ROUND(MIN(300,MAX(1,D1117)),0), FactorTable!$A$2:$A$301,0), Skills!M16+1)</f>
        <v/>
      </c>
      <c r="F1117">
        <f>IF(Skills!N16=TRUE,(Skills!L16/10)*(E1117/1000),Skills!L16/10)+Skills!O16</f>
        <v/>
      </c>
      <c r="G1117">
        <f>Calc!G16</f>
        <v/>
      </c>
      <c r="H1117">
        <f>Calc!H16</f>
        <v/>
      </c>
      <c r="I1117">
        <f>IF(Skills!AA16&lt;&gt;"",1+(Skills!AA16/10)*(U1104/1000)/100,1)</f>
        <v/>
      </c>
      <c r="J1117" t="inlineStr"/>
      <c r="K1117" t="inlineStr"/>
      <c r="L1117" t="inlineStr"/>
      <c r="M1117" t="inlineStr"/>
      <c r="N1117" t="inlineStr"/>
      <c r="O1117">
        <f>(1-Summary!$B$11)*T1117+Summary!$B$11*V1117</f>
        <v/>
      </c>
      <c r="P1117">
        <f>IF(B1145=0,0,O1117/B1145)</f>
        <v/>
      </c>
      <c r="Q1117">
        <f>IFERROR(1/IF(Inputs!$B$39="pvp",15,MAX(0.1,Skills!D16-IF(Skills!E16=TRUE,Inputs!$B$32,0))),0)</f>
        <v/>
      </c>
      <c r="R1117">
        <f>IF(AND(Inputs!$B$39&lt;&gt;"pvp",Inputs!$B$44&gt;0),IF(Inputs!$B$44&lt;=0,0,(INT(Inputs!$B$44/IF(Inputs!$B$39="pvp",15,MAX(0.1,Skills!D16-IF(Skills!E16=TRUE,Inputs!$B$32,0))))+1)),0)</f>
        <v/>
      </c>
      <c r="S1117">
        <f>IFERROR(O1117/N1117,0)</f>
        <v/>
      </c>
      <c r="T1117" t="n">
        <v>0</v>
      </c>
      <c r="V1117" t="n">
        <v>0</v>
      </c>
    </row>
    <row r="1118">
      <c r="A1118">
        <f>Skills!A17</f>
        <v/>
      </c>
      <c r="B1118">
        <f>Skills!B17</f>
        <v/>
      </c>
      <c r="C1118">
        <f>Inputs!$B$3&gt;=115</f>
        <v/>
      </c>
      <c r="D1118">
        <f>IF(Skills!C17=1,60+Inputs!$B$25+Inputs!$B$29,IF(Skills!C17=2,90+Inputs!$B$26+Inputs!$B$29,IF(Skills!C17=3,120+Inputs!$B$27+Inputs!$B$29,MAX(0,(Inputs!$B$3-100)*3)+Inputs!$B$28+Inputs!$B$29)))</f>
        <v/>
      </c>
      <c r="E1118">
        <f>INDEX(FactorTable!$B$2:$Y$301, MATCH(ROUND(MIN(300,MAX(1,D1118)),0), FactorTable!$A$2:$A$301,0), Skills!M17+1)</f>
        <v/>
      </c>
      <c r="F1118">
        <f>IF(Skills!N17=TRUE,(Skills!L17/10)*(E1118/1000),Skills!L17/10)+Skills!O17</f>
        <v/>
      </c>
      <c r="G1118">
        <f>Calc!G17</f>
        <v/>
      </c>
      <c r="H1118">
        <f>Calc!H17</f>
        <v/>
      </c>
      <c r="I1118">
        <f>IF(Skills!AA17&lt;&gt;"",1+(Skills!AA17/10)*(U1104/1000)/100,1)</f>
        <v/>
      </c>
      <c r="J1118">
        <f>(((Inputs!$B$6+1)*(1+Inputs!$B$7/100))+(((Inputs!$B$12*(1+Inputs!$B$13/100))-(Inputs!$B$12*(1+Inputs!$B$13/100)))+0.25*(Inputs!$B$14-Inputs!$B$14))*(1+Inputs!$B$7/100))*(F1118/100)</f>
        <v/>
      </c>
      <c r="K1118">
        <f>J1118*(1+((Inputs!$B$12*(1+Inputs!$B$13/100))*0.01+Inputs!$B$14*0.0025)/100)*(1+Inputs!$B$15/100)*(1+Inputs!$B$16/100)*(5000/(6000+Inputs!$B$43*(1-(100*(1-(1-(Inputs!$B$19+0)/100)*(1-CHOOSE(ArtifactsInput!$N$40+1,5,6,7,8,9,10)/100)^(ArtifactsInput!$M$40-ArtifactsInput!$M$40)))/100)))*(1+(Inputs!$B$24+((C1131=TRUE)*(F1131-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1124=TRUE)*(F1124-Calc!F23))+(((IF(AND(ArtifactsInput!$M$42,((Inputs!$B$9+((C1126=TRUE)*(F1126-Calc!F25))+B1141+(ArtifactsInput!$M$24-ArtifactsInput!$M$24)*CHOOSE(ArtifactsInput!$N$24+1,10,12,14,16,18,20)+IF(ArtifactsInput!$M$10,CHOOSE(ArtifactsInput!$N$10+1,15,18,21,24,27,30)*(IF(Inputs!$B$39="pvp",MIN(15,15)/15,IF(AND(Inputs!$B$39&lt;&gt;"pvp",Inputs!$B$44&gt;0),MIN(15,Inputs!$B$44)/(Inputs!$B$44),0))),0)))&gt;=100),MIN(100,((Inputs!$B$9+((C1126=TRUE)*(F1126-Calc!F25))+B1141+(ArtifactsInput!$M$24-ArtifactsInput!$M$24)*CHOOSE(ArtifactsInput!$N$24+1,10,12,14,16,18,20)+IF(ArtifactsInput!$M$10,CHOOSE(ArtifactsInput!$N$10+1,15,18,21,24,27,30)*(IF(Inputs!$B$39="pvp",MIN(15,15)/15,IF(AND(Inputs!$B$39&lt;&gt;"pvp",Inputs!$B$44&gt;0),MIN(15,Inputs!$B$44)/(Inputs!$B$44),0))),0)))-100),0))*CHOOSE(ArtifactsInput!$N$42+1,0.6,0.72,0.84,0.96,1.08,1.2))),Inputs!$B$18+((C1130=TRUE)*(F1130-Calc!F29))+(IF(AND(ArtifactsInput!$M$42,((Inputs!$B$9+((C1126=TRUE)*(F1126-Calc!F25))+B1141+(ArtifactsInput!$M$24-ArtifactsInput!$M$24)*CHOOSE(ArtifactsInput!$N$24+1,10,12,14,16,18,20)+IF(ArtifactsInput!$M$10,CHOOSE(ArtifactsInput!$N$10+1,15,18,21,24,27,30)*(IF(Inputs!$B$39="pvp",MIN(15,15)/15,IF(AND(Inputs!$B$39&lt;&gt;"pvp",Inputs!$B$44&gt;0),MIN(15,Inputs!$B$44)/(Inputs!$B$44),0))),0)))&gt;=100),CHOOSE(ArtifactsInput!$N$42+1,40,48,56,64,72,80),0))))/100)*(((1+(((C1122=TRUE)*F1122*IF(AND(Inputs!$B$39&lt;&gt;"pvp",Inputs!$B$44&gt;0),(((R1122-1)*(Skills!Y21*(1+Inputs!$B$34/100))+MIN((Skills!Y21*(1+Inputs!$B$34/100)),MAX(0,Inputs!$B$44-((R1122-1)*Skills!D21))))/Inputs!$B$44),IF(Inputs!$B$39="pvp",MIN((Skills!Y21*(1+Inputs!$B$34/100)),15)/15,(Skills!Y21*(1+Inputs!$B$34/100))/Skills!D21)))+((C1129=TRUE)*(F1129-Calc!F28))+((C1119=TRUE)*(F1119-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1116=TRUE)*F1116*IF(AND(Inputs!$B$39&lt;&gt;"pvp",Inputs!$B$44&gt;0),(((R1116-1)*(Skills!Y15*(1+Inputs!$B$34/100))+MIN((Skills!Y15*(1+Inputs!$B$34/100)),MAX(0,Inputs!$B$44-((R1116-1)*Skills!D15))))/Inputs!$B$44),IF(Inputs!$B$39="pvp",MIN((Skills!Y15*(1+Inputs!$B$34/100)),15)/15,(Skills!Y15*(1+Inputs!$B$34/100))/Skills!D15)))/100)*(1+((C1107=TRUE)*F1107*B1135)/100))*B1143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1118)</f>
        <v/>
      </c>
      <c r="L1118">
        <f>K1118*(MIN(Inputs!$B$22+((C1125=TRUE)*(F1125-Calc!F24)),(Inputs!$B$23+0+(IF(ArtifactsInput!$M$15,CHOOSE(ArtifactsInput!$N$15+1,25,30,35,40,45,50)/100*(Inputs!$B$11-Inputs!$B$11),0))))/100+(Inputs!$B$23+0+(IF(ArtifactsInput!$M$15,CHOOSE(ArtifactsInput!$N$15+1,25,30,35,40,45,50)/100*(Inputs!$B$11-Inputs!$B$11),0)))/100)/2</f>
        <v/>
      </c>
      <c r="M1118">
        <f>L1118*(1+(Inputs!$B$10+((C1127=TRUE)*(F1127-Calc!F26))+B1144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18">
        <f>L1118*(1-MIN((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1118*(MIN((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18">
        <f>(1-Summary!$B$11)*T1118+Summary!$B$11*V1118</f>
        <v/>
      </c>
      <c r="P1118">
        <f>IF(B1145=0,0,O1118/B1145)</f>
        <v/>
      </c>
      <c r="Q1118" t="n">
        <v>0</v>
      </c>
      <c r="R1118" t="n">
        <v>0</v>
      </c>
      <c r="S1118">
        <f>IFERROR(O1118/N1118,0)</f>
        <v/>
      </c>
      <c r="T1118">
        <f>IF(C1118,(Inputs!$B$38*0.2*N1118)*IF(Inputs!$B$39="pvp",1,1+(Inputs!$B$20+((C1128=TRUE)*(F1128-Calc!F27))+Skills!P17+B1142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1118*(1-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1118*(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1118*(1-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1118*(MIN(100,(Inputs!$B$9+((C1126=TRUE)*(F1126-Calc!F25))+B1141+(ArtifactsInput!$M$24-ArtifactsInput!$M$24)*CHOOSE(ArtifactsInput!$N$24+1,10,12,14,16,18,20)+(IF(AND(ArtifactsInput!$M$42,((Inputs!$B$9+((C1126=TRUE)*(F1126-Calc!F25))+B1141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18">
        <f>IF(C1118,(Inputs!$B$38*0.2*N1118)*IF(Inputs!$B$39="pvp",1,(1+(Inputs!$B$21+Skills!Q17+B1142+(IF(ArtifactsInput!$M$33,CHOOSE(ArtifactsInput!$N$33+1,30,36,42,48,54,60),0))+(IF(AND(ArtifactsInput!$M$35,Inputs!$B$4&lt;&gt;"Chapter Hunt"),CHOOSE(ArtifactsInput!$N$35+1,15,18,21,24,27,30)*(1-EXP(-(0.2*B1137)*5)),0)+IF(AND(ArtifactsInput!$M$22,Inputs!$B$4&lt;&gt;"Chapter Hunt"),CHOOSE(ArtifactsInput!$N$22+1,10,12,14,16,18,20)*((0*(((0.15*B1137*5))^0/1)+1*(((0.15*B1137*5))^1/1)+2*(((0.15*B1137*5))^2/2)+3*(((0.15*B1137*5))^3/6)+4*(((0.15*B1137*5))^4/24)+5*(((0.15*B1137*5))^5/120))/((((0.15*B1137*5))^0/1)+(((0.15*B1137*5))^1/1)+(((0.15*B1137*5))^2/2)+(((0.15*B1137*5))^3/6)+(((0.15*B1137*5))^4/24)+(((0.15*B1137*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19">
      <c r="A1119">
        <f>Skills!A18</f>
        <v/>
      </c>
      <c r="B1119">
        <f>Skills!B18</f>
        <v/>
      </c>
      <c r="C1119">
        <f>Inputs!$B$3&gt;=115</f>
        <v/>
      </c>
      <c r="D1119">
        <f>IF(Skills!C18=1,60+Inputs!$B$25+Inputs!$B$29,IF(Skills!C18=2,90+Inputs!$B$26+Inputs!$B$29,IF(Skills!C18=3,120+Inputs!$B$27+Inputs!$B$29,MAX(0,(Inputs!$B$3-100)*3)+Inputs!$B$28+Inputs!$B$29)))</f>
        <v/>
      </c>
      <c r="E1119">
        <f>INDEX(FactorTable!$B$2:$Y$301, MATCH(ROUND(MIN(300,MAX(1,D1119)),0), FactorTable!$A$2:$A$301,0), Skills!M18+1)</f>
        <v/>
      </c>
      <c r="F1119">
        <f>IF(Skills!N18=TRUE,(Skills!L18/10)*(E1119/1000),Skills!L18/10)+Skills!O18</f>
        <v/>
      </c>
      <c r="G1119">
        <f>Calc!G18</f>
        <v/>
      </c>
      <c r="H1119">
        <f>Calc!H18</f>
        <v/>
      </c>
      <c r="I1119">
        <f>IF(Skills!AA18&lt;&gt;"",1+(Skills!AA18/10)*(U1104/1000)/100,1)</f>
        <v/>
      </c>
      <c r="J1119" t="inlineStr"/>
      <c r="K1119" t="inlineStr"/>
      <c r="L1119" t="inlineStr"/>
      <c r="M1119" t="inlineStr"/>
      <c r="N1119" t="inlineStr"/>
      <c r="O1119">
        <f>(1-Summary!$B$11)*T1119+Summary!$B$11*V1119</f>
        <v/>
      </c>
      <c r="P1119">
        <f>IF(B1145=0,0,O1119/B1145)</f>
        <v/>
      </c>
      <c r="Q1119" t="n">
        <v>0</v>
      </c>
      <c r="R1119" t="n">
        <v>0</v>
      </c>
      <c r="S1119">
        <f>IFERROR(O1119/N1119,0)</f>
        <v/>
      </c>
      <c r="T1119" t="n">
        <v>0</v>
      </c>
      <c r="V1119" t="n">
        <v>0</v>
      </c>
    </row>
    <row r="1120">
      <c r="A1120">
        <f>Skills!A19</f>
        <v/>
      </c>
      <c r="B1120">
        <f>Skills!B19</f>
        <v/>
      </c>
      <c r="C1120">
        <f>TRUE</f>
        <v/>
      </c>
      <c r="D1120">
        <f>IF(Skills!C19=1,60+Inputs!$B$25+Inputs!$B$29,IF(Skills!C19=2,90+Inputs!$B$26+Inputs!$B$29,IF(Skills!C19=3,120+Inputs!$B$27+Inputs!$B$29,MAX(0,(Inputs!$B$3-100)*3)+Inputs!$B$28+Inputs!$B$29)))</f>
        <v/>
      </c>
      <c r="E1120">
        <f>INDEX(FactorTable!$B$2:$Y$301, MATCH(ROUND(MIN(300,MAX(1,D1120)),0), FactorTable!$A$2:$A$301,0), Skills!M19+1)</f>
        <v/>
      </c>
      <c r="F1120">
        <f>IF(Skills!N19=TRUE,(Skills!L19/10)*(E1120/1000),Skills!L19/10)+Skills!O19</f>
        <v/>
      </c>
      <c r="G1120">
        <f>Calc!G19</f>
        <v/>
      </c>
      <c r="H1120">
        <f>Calc!H19</f>
        <v/>
      </c>
      <c r="I1120">
        <f>IF(Skills!AA19&lt;&gt;"",1+(Skills!AA19/10)*(U1104/1000)/100,1)</f>
        <v/>
      </c>
      <c r="J1120" t="inlineStr"/>
      <c r="K1120" t="inlineStr"/>
      <c r="L1120" t="inlineStr"/>
      <c r="M1120" t="inlineStr"/>
      <c r="N1120" t="inlineStr"/>
      <c r="O1120">
        <f>(1-Summary!$B$11)*T1120+Summary!$B$11*V1120</f>
        <v/>
      </c>
      <c r="P1120">
        <f>IF(B1145=0,0,O1120/B1145)</f>
        <v/>
      </c>
      <c r="Q1120">
        <f>IFERROR(1/IF(Inputs!$B$39="pvp",15,MAX(0.1,Skills!D19-IF(Skills!E19=TRUE,Inputs!$B$32,0))),0)</f>
        <v/>
      </c>
      <c r="R1120">
        <f>IF(AND(Inputs!$B$39&lt;&gt;"pvp",Inputs!$B$44&gt;0),IF(Inputs!$B$44&lt;=0,0,(INT(Inputs!$B$44/IF(Inputs!$B$39="pvp",15,MAX(0.1,Skills!D19-IF(Skills!E19=TRUE,Inputs!$B$32,0))))+1)),0)</f>
        <v/>
      </c>
      <c r="S1120">
        <f>IFERROR(O1120/N1120,0)</f>
        <v/>
      </c>
      <c r="T1120" t="n">
        <v>0</v>
      </c>
      <c r="V1120" t="n">
        <v>0</v>
      </c>
    </row>
    <row r="1121">
      <c r="A1121">
        <f>Skills!A20</f>
        <v/>
      </c>
      <c r="B1121">
        <f>Skills!B20</f>
        <v/>
      </c>
      <c r="C1121">
        <f>Inputs!$B$3&gt;=15</f>
        <v/>
      </c>
      <c r="D1121">
        <f>IF(Skills!C20=1,60+Inputs!$B$25+Inputs!$B$29,IF(Skills!C20=2,90+Inputs!$B$26+Inputs!$B$29,IF(Skills!C20=3,120+Inputs!$B$27+Inputs!$B$29,MAX(0,(Inputs!$B$3-100)*3)+Inputs!$B$28+Inputs!$B$29)))</f>
        <v/>
      </c>
      <c r="E1121">
        <f>INDEX(FactorTable!$B$2:$Y$301, MATCH(ROUND(MIN(300,MAX(1,D1121)),0), FactorTable!$A$2:$A$301,0), Skills!M20+1)</f>
        <v/>
      </c>
      <c r="F1121">
        <f>IF(Skills!N20=TRUE,(Skills!L20/10)*(E1121/1000),Skills!L20/10)+Skills!O20</f>
        <v/>
      </c>
      <c r="G1121">
        <f>Calc!G20</f>
        <v/>
      </c>
      <c r="H1121">
        <f>Calc!H20</f>
        <v/>
      </c>
      <c r="I1121">
        <f>IF(Skills!AA20&lt;&gt;"",1+(Skills!AA20/10)*(U1104/1000)/100,1)</f>
        <v/>
      </c>
      <c r="J1121" t="inlineStr"/>
      <c r="K1121" t="inlineStr"/>
      <c r="L1121" t="inlineStr"/>
      <c r="M1121" t="inlineStr"/>
      <c r="N1121" t="inlineStr"/>
      <c r="O1121">
        <f>(1-Summary!$B$11)*T1121+Summary!$B$11*V1121</f>
        <v/>
      </c>
      <c r="P1121">
        <f>IF(B1145=0,0,O1121/B1145)</f>
        <v/>
      </c>
      <c r="Q1121">
        <f>IFERROR(1/IF(Inputs!$B$39="pvp",15,MAX(0.1,Skills!D20-IF(Skills!E20=TRUE,Inputs!$B$32,0))),0)</f>
        <v/>
      </c>
      <c r="R1121">
        <f>IF(AND(Inputs!$B$39&lt;&gt;"pvp",Inputs!$B$44&gt;0),IF(Inputs!$B$44&lt;=0,0,(INT(Inputs!$B$44/IF(Inputs!$B$39="pvp",15,MAX(0.1,Skills!D20-IF(Skills!E20=TRUE,Inputs!$B$32,0))))+1)),0)</f>
        <v/>
      </c>
      <c r="S1121">
        <f>IFERROR(O1121/N1121,0)</f>
        <v/>
      </c>
      <c r="T1121" t="n">
        <v>0</v>
      </c>
      <c r="V1121" t="n">
        <v>0</v>
      </c>
    </row>
    <row r="1122">
      <c r="A1122">
        <f>Skills!A21</f>
        <v/>
      </c>
      <c r="B1122">
        <f>Skills!B21</f>
        <v/>
      </c>
      <c r="C1122">
        <f>Inputs!$B$3&gt;=15</f>
        <v/>
      </c>
      <c r="D1122">
        <f>IF(Skills!C21=1,60+Inputs!$B$25+Inputs!$B$29,IF(Skills!C21=2,90+Inputs!$B$26+Inputs!$B$29,IF(Skills!C21=3,120+Inputs!$B$27+Inputs!$B$29,MAX(0,(Inputs!$B$3-100)*3)+Inputs!$B$28+Inputs!$B$29)))</f>
        <v/>
      </c>
      <c r="E1122">
        <f>INDEX(FactorTable!$B$2:$Y$301, MATCH(ROUND(MIN(300,MAX(1,D1122)),0), FactorTable!$A$2:$A$301,0), Skills!M21+1)</f>
        <v/>
      </c>
      <c r="F1122">
        <f>IF(Skills!N21=TRUE,(Skills!L21/10)*(E1122/1000),Skills!L21/10)+Skills!O21</f>
        <v/>
      </c>
      <c r="G1122">
        <f>Calc!G21</f>
        <v/>
      </c>
      <c r="H1122">
        <f>Calc!H21</f>
        <v/>
      </c>
      <c r="I1122">
        <f>IF(Skills!AA21&lt;&gt;"",1+(Skills!AA21/10)*(U1104/1000)/100,1)</f>
        <v/>
      </c>
      <c r="J1122" t="inlineStr"/>
      <c r="K1122" t="inlineStr"/>
      <c r="L1122" t="inlineStr"/>
      <c r="M1122" t="inlineStr"/>
      <c r="N1122" t="inlineStr"/>
      <c r="O1122">
        <f>(1-Summary!$B$11)*T1122+Summary!$B$11*V1122</f>
        <v/>
      </c>
      <c r="P1122">
        <f>IF(B1145=0,0,O1122/B1145)</f>
        <v/>
      </c>
      <c r="Q1122">
        <f>IFERROR(1/IF(Inputs!$B$39="pvp",15,MAX(0.1,Skills!D21-IF(Skills!E21=TRUE,Inputs!$B$32,0))),0)</f>
        <v/>
      </c>
      <c r="R1122">
        <f>IF(AND(Inputs!$B$39&lt;&gt;"pvp",Inputs!$B$44&gt;0),IF(Inputs!$B$44&lt;=0,0,(INT(Inputs!$B$44/IF(Inputs!$B$39="pvp",15,MAX(0.1,Skills!D21-IF(Skills!E21=TRUE,Inputs!$B$32,0))))+1)),0)</f>
        <v/>
      </c>
      <c r="S1122">
        <f>IFERROR(O1122/N1122,0)</f>
        <v/>
      </c>
      <c r="T1122" t="n">
        <v>0</v>
      </c>
      <c r="V1122" t="n">
        <v>0</v>
      </c>
    </row>
    <row r="1123">
      <c r="A1123">
        <f>Skills!A22</f>
        <v/>
      </c>
      <c r="B1123">
        <f>Skills!B22</f>
        <v/>
      </c>
      <c r="C1123">
        <f>Inputs!$B$3&gt;=33</f>
        <v/>
      </c>
      <c r="D1123">
        <f>IF(Skills!C22=1,60+Inputs!$B$25+Inputs!$B$29,IF(Skills!C22=2,90+Inputs!$B$26+Inputs!$B$29,IF(Skills!C22=3,120+Inputs!$B$27+Inputs!$B$29,MAX(0,(Inputs!$B$3-100)*3)+Inputs!$B$28+Inputs!$B$29)))</f>
        <v/>
      </c>
      <c r="E1123">
        <f>INDEX(FactorTable!$B$2:$Y$301, MATCH(ROUND(MIN(300,MAX(1,D1123)),0), FactorTable!$A$2:$A$301,0), Skills!M22+1)</f>
        <v/>
      </c>
      <c r="F1123">
        <f>IF(Skills!N22=TRUE,(Skills!L22/10)*(E1123/1000),Skills!L22/10)+Skills!O22</f>
        <v/>
      </c>
      <c r="G1123">
        <f>Calc!G22</f>
        <v/>
      </c>
      <c r="H1123">
        <f>Calc!H22</f>
        <v/>
      </c>
      <c r="I1123">
        <f>IF(Skills!AA22&lt;&gt;"",1+(Skills!AA22/10)*(U1104/1000)/100,1)</f>
        <v/>
      </c>
      <c r="J1123" t="inlineStr"/>
      <c r="K1123" t="inlineStr"/>
      <c r="L1123" t="inlineStr"/>
      <c r="M1123" t="inlineStr"/>
      <c r="N1123" t="inlineStr"/>
      <c r="O1123">
        <f>(1-Summary!$B$11)*T1123+Summary!$B$11*V1123</f>
        <v/>
      </c>
      <c r="P1123">
        <f>IF(B1145=0,0,O1123/B1145)</f>
        <v/>
      </c>
      <c r="Q1123" t="n">
        <v>0</v>
      </c>
      <c r="R1123" t="n">
        <v>0</v>
      </c>
      <c r="S1123">
        <f>IFERROR(O1123/N1123,0)</f>
        <v/>
      </c>
      <c r="T1123" t="n">
        <v>0</v>
      </c>
      <c r="V1123" t="n">
        <v>0</v>
      </c>
    </row>
    <row r="1124">
      <c r="A1124">
        <f>Skills!A23</f>
        <v/>
      </c>
      <c r="B1124">
        <f>Skills!B23</f>
        <v/>
      </c>
      <c r="C1124">
        <f>Inputs!$B$3&gt;=38</f>
        <v/>
      </c>
      <c r="D1124">
        <f>IF(Skills!C23=1,60+Inputs!$B$25+Inputs!$B$29,IF(Skills!C23=2,90+Inputs!$B$26+Inputs!$B$29,IF(Skills!C23=3,120+Inputs!$B$27+Inputs!$B$29,MAX(0,(Inputs!$B$3-100)*3)+Inputs!$B$28+Inputs!$B$29)))</f>
        <v/>
      </c>
      <c r="E1124">
        <f>INDEX(FactorTable!$B$2:$Y$301, MATCH(ROUND(MIN(300,MAX(1,D1124)),0), FactorTable!$A$2:$A$301,0), Skills!M23+1)</f>
        <v/>
      </c>
      <c r="F1124">
        <f>IF(Skills!N23=TRUE,(Skills!L23/10)*(E1124/1000),Skills!L23/10)+Skills!O23</f>
        <v/>
      </c>
      <c r="G1124">
        <f>Calc!G23</f>
        <v/>
      </c>
      <c r="H1124">
        <f>Calc!H23</f>
        <v/>
      </c>
      <c r="I1124">
        <f>IF(Skills!AA23&lt;&gt;"",1+(Skills!AA23/10)*(U1104/1000)/100,1)</f>
        <v/>
      </c>
      <c r="J1124" t="inlineStr"/>
      <c r="K1124" t="inlineStr"/>
      <c r="L1124" t="inlineStr"/>
      <c r="M1124" t="inlineStr"/>
      <c r="N1124" t="inlineStr"/>
      <c r="O1124">
        <f>(1-Summary!$B$11)*T1124+Summary!$B$11*V1124</f>
        <v/>
      </c>
      <c r="P1124">
        <f>IF(B1145=0,0,O1124/B1145)</f>
        <v/>
      </c>
      <c r="Q1124" t="n">
        <v>0</v>
      </c>
      <c r="R1124" t="n">
        <v>0</v>
      </c>
      <c r="S1124">
        <f>IFERROR(O1124/N1124,0)</f>
        <v/>
      </c>
      <c r="T1124" t="n">
        <v>0</v>
      </c>
      <c r="V1124" t="n">
        <v>0</v>
      </c>
    </row>
    <row r="1125">
      <c r="A1125">
        <f>Skills!A24</f>
        <v/>
      </c>
      <c r="B1125">
        <f>Skills!B24</f>
        <v/>
      </c>
      <c r="C1125">
        <f>Inputs!$B$3&gt;=40</f>
        <v/>
      </c>
      <c r="D1125">
        <f>IF(Skills!C24=1,60+Inputs!$B$25+Inputs!$B$29,IF(Skills!C24=2,90+Inputs!$B$26+Inputs!$B$29,IF(Skills!C24=3,120+Inputs!$B$27+Inputs!$B$29,MAX(0,(Inputs!$B$3-100)*3)+Inputs!$B$28+Inputs!$B$29)))</f>
        <v/>
      </c>
      <c r="E1125">
        <f>INDEX(FactorTable!$B$2:$Y$301, MATCH(ROUND(MIN(300,MAX(1,D1125)),0), FactorTable!$A$2:$A$301,0), Skills!M24+1)</f>
        <v/>
      </c>
      <c r="F1125">
        <f>IF(Skills!N24=TRUE,(Skills!L24/10)*(E1125/1000),Skills!L24/10)+Skills!O24</f>
        <v/>
      </c>
      <c r="G1125">
        <f>Calc!G24</f>
        <v/>
      </c>
      <c r="H1125">
        <f>Calc!H24</f>
        <v/>
      </c>
      <c r="I1125">
        <f>IF(Skills!AA24&lt;&gt;"",1+(Skills!AA24/10)*(U1104/1000)/100,1)</f>
        <v/>
      </c>
      <c r="J1125" t="inlineStr"/>
      <c r="K1125" t="inlineStr"/>
      <c r="L1125" t="inlineStr"/>
      <c r="M1125" t="inlineStr"/>
      <c r="N1125" t="inlineStr"/>
      <c r="O1125">
        <f>(1-Summary!$B$11)*T1125+Summary!$B$11*V1125</f>
        <v/>
      </c>
      <c r="P1125">
        <f>IF(B1145=0,0,O1125/B1145)</f>
        <v/>
      </c>
      <c r="Q1125" t="n">
        <v>0</v>
      </c>
      <c r="R1125" t="n">
        <v>0</v>
      </c>
      <c r="S1125">
        <f>IFERROR(O1125/N1125,0)</f>
        <v/>
      </c>
      <c r="T1125" t="n">
        <v>0</v>
      </c>
      <c r="V1125" t="n">
        <v>0</v>
      </c>
    </row>
    <row r="1126">
      <c r="A1126">
        <f>Skills!A25</f>
        <v/>
      </c>
      <c r="B1126">
        <f>Skills!B25</f>
        <v/>
      </c>
      <c r="C1126">
        <f>Inputs!$B$3&gt;=45</f>
        <v/>
      </c>
      <c r="D1126">
        <f>IF(Skills!C25=1,60+Inputs!$B$25+Inputs!$B$29,IF(Skills!C25=2,90+Inputs!$B$26+Inputs!$B$29,IF(Skills!C25=3,120+Inputs!$B$27+Inputs!$B$29,MAX(0,(Inputs!$B$3-100)*3)+Inputs!$B$28+Inputs!$B$29)))</f>
        <v/>
      </c>
      <c r="E1126">
        <f>INDEX(FactorTable!$B$2:$Y$301, MATCH(ROUND(MIN(300,MAX(1,D1126)),0), FactorTable!$A$2:$A$301,0), Skills!M25+1)</f>
        <v/>
      </c>
      <c r="F1126">
        <f>IF(Skills!N25=TRUE,(Skills!L25/10)*(E1126/1000),Skills!L25/10)+Skills!O25</f>
        <v/>
      </c>
      <c r="G1126">
        <f>Calc!G25</f>
        <v/>
      </c>
      <c r="H1126">
        <f>Calc!H25</f>
        <v/>
      </c>
      <c r="I1126">
        <f>IF(Skills!AA25&lt;&gt;"",1+(Skills!AA25/10)*(U1104/1000)/100,1)</f>
        <v/>
      </c>
      <c r="J1126" t="inlineStr"/>
      <c r="K1126" t="inlineStr"/>
      <c r="L1126" t="inlineStr"/>
      <c r="M1126" t="inlineStr"/>
      <c r="N1126" t="inlineStr"/>
      <c r="O1126">
        <f>(1-Summary!$B$11)*T1126+Summary!$B$11*V1126</f>
        <v/>
      </c>
      <c r="P1126">
        <f>IF(B1145=0,0,O1126/B1145)</f>
        <v/>
      </c>
      <c r="Q1126" t="n">
        <v>0</v>
      </c>
      <c r="R1126" t="n">
        <v>0</v>
      </c>
      <c r="S1126">
        <f>IFERROR(O1126/N1126,0)</f>
        <v/>
      </c>
      <c r="T1126" t="n">
        <v>0</v>
      </c>
      <c r="V1126" t="n">
        <v>0</v>
      </c>
    </row>
    <row r="1127">
      <c r="A1127">
        <f>Skills!A26</f>
        <v/>
      </c>
      <c r="B1127">
        <f>Skills!B26</f>
        <v/>
      </c>
      <c r="C1127">
        <f>Inputs!$B$3&gt;=45</f>
        <v/>
      </c>
      <c r="D1127">
        <f>IF(Skills!C26=1,60+Inputs!$B$25+Inputs!$B$29,IF(Skills!C26=2,90+Inputs!$B$26+Inputs!$B$29,IF(Skills!C26=3,120+Inputs!$B$27+Inputs!$B$29,MAX(0,(Inputs!$B$3-100)*3)+Inputs!$B$28+Inputs!$B$29)))</f>
        <v/>
      </c>
      <c r="E1127">
        <f>INDEX(FactorTable!$B$2:$Y$301, MATCH(ROUND(MIN(300,MAX(1,D1127)),0), FactorTable!$A$2:$A$301,0), Skills!M26+1)</f>
        <v/>
      </c>
      <c r="F1127">
        <f>IF(Skills!N26=TRUE,(Skills!L26/10)*(E1127/1000),Skills!L26/10)+Skills!O26</f>
        <v/>
      </c>
      <c r="G1127">
        <f>Calc!G26</f>
        <v/>
      </c>
      <c r="H1127">
        <f>Calc!H26</f>
        <v/>
      </c>
      <c r="I1127">
        <f>IF(Skills!AA26&lt;&gt;"",1+(Skills!AA26/10)*(U1104/1000)/100,1)</f>
        <v/>
      </c>
      <c r="J1127" t="inlineStr"/>
      <c r="K1127" t="inlineStr"/>
      <c r="L1127" t="inlineStr"/>
      <c r="M1127" t="inlineStr"/>
      <c r="N1127" t="inlineStr"/>
      <c r="O1127">
        <f>(1-Summary!$B$11)*T1127+Summary!$B$11*V1127</f>
        <v/>
      </c>
      <c r="P1127">
        <f>IF(B1145=0,0,O1127/B1145)</f>
        <v/>
      </c>
      <c r="Q1127" t="n">
        <v>0</v>
      </c>
      <c r="R1127" t="n">
        <v>0</v>
      </c>
      <c r="S1127">
        <f>IFERROR(O1127/N1127,0)</f>
        <v/>
      </c>
      <c r="T1127" t="n">
        <v>0</v>
      </c>
      <c r="V1127" t="n">
        <v>0</v>
      </c>
    </row>
    <row r="1128">
      <c r="A1128">
        <f>Skills!A27</f>
        <v/>
      </c>
      <c r="B1128">
        <f>Skills!B27</f>
        <v/>
      </c>
      <c r="C1128">
        <f>Inputs!$B$3&gt;=72</f>
        <v/>
      </c>
      <c r="D1128">
        <f>IF(Skills!C27=1,60+Inputs!$B$25+Inputs!$B$29,IF(Skills!C27=2,90+Inputs!$B$26+Inputs!$B$29,IF(Skills!C27=3,120+Inputs!$B$27+Inputs!$B$29,MAX(0,(Inputs!$B$3-100)*3)+Inputs!$B$28+Inputs!$B$29)))</f>
        <v/>
      </c>
      <c r="E1128">
        <f>INDEX(FactorTable!$B$2:$Y$301, MATCH(ROUND(MIN(300,MAX(1,D1128)),0), FactorTable!$A$2:$A$301,0), Skills!M27+1)</f>
        <v/>
      </c>
      <c r="F1128">
        <f>IF(Skills!N27=TRUE,(Skills!L27/10)*(E1128/1000),Skills!L27/10)+Skills!O27</f>
        <v/>
      </c>
      <c r="G1128">
        <f>Calc!G27</f>
        <v/>
      </c>
      <c r="H1128">
        <f>Calc!H27</f>
        <v/>
      </c>
      <c r="I1128">
        <f>IF(Skills!AA27&lt;&gt;"",1+(Skills!AA27/10)*(U1104/1000)/100,1)</f>
        <v/>
      </c>
      <c r="J1128" t="inlineStr"/>
      <c r="K1128" t="inlineStr"/>
      <c r="L1128" t="inlineStr"/>
      <c r="M1128" t="inlineStr"/>
      <c r="N1128" t="inlineStr"/>
      <c r="O1128">
        <f>(1-Summary!$B$11)*T1128+Summary!$B$11*V1128</f>
        <v/>
      </c>
      <c r="P1128">
        <f>IF(B1145=0,0,O1128/B1145)</f>
        <v/>
      </c>
      <c r="Q1128" t="n">
        <v>0</v>
      </c>
      <c r="R1128" t="n">
        <v>0</v>
      </c>
      <c r="S1128">
        <f>IFERROR(O1128/N1128,0)</f>
        <v/>
      </c>
      <c r="T1128" t="n">
        <v>0</v>
      </c>
      <c r="V1128" t="n">
        <v>0</v>
      </c>
    </row>
    <row r="1129">
      <c r="A1129">
        <f>Skills!A28</f>
        <v/>
      </c>
      <c r="B1129">
        <f>Skills!B28</f>
        <v/>
      </c>
      <c r="C1129">
        <f>Inputs!$B$3&gt;=75</f>
        <v/>
      </c>
      <c r="D1129">
        <f>IF(Skills!C28=1,60+Inputs!$B$25+Inputs!$B$29,IF(Skills!C28=2,90+Inputs!$B$26+Inputs!$B$29,IF(Skills!C28=3,120+Inputs!$B$27+Inputs!$B$29,MAX(0,(Inputs!$B$3-100)*3)+Inputs!$B$28+Inputs!$B$29)))</f>
        <v/>
      </c>
      <c r="E1129">
        <f>INDEX(FactorTable!$B$2:$Y$301, MATCH(ROUND(MIN(300,MAX(1,D1129)),0), FactorTable!$A$2:$A$301,0), Skills!M28+1)</f>
        <v/>
      </c>
      <c r="F1129">
        <f>IF(Skills!N28=TRUE,(Skills!L28/10)*(E1129/1000),Skills!L28/10)+Skills!O28</f>
        <v/>
      </c>
      <c r="G1129">
        <f>Calc!G28</f>
        <v/>
      </c>
      <c r="H1129">
        <f>Calc!H28</f>
        <v/>
      </c>
      <c r="I1129">
        <f>IF(Skills!AA28&lt;&gt;"",1+(Skills!AA28/10)*(U1104/1000)/100,1)</f>
        <v/>
      </c>
      <c r="J1129" t="inlineStr"/>
      <c r="K1129" t="inlineStr"/>
      <c r="L1129" t="inlineStr"/>
      <c r="M1129" t="inlineStr"/>
      <c r="N1129" t="inlineStr"/>
      <c r="O1129">
        <f>(1-Summary!$B$11)*T1129+Summary!$B$11*V1129</f>
        <v/>
      </c>
      <c r="P1129">
        <f>IF(B1145=0,0,O1129/B1145)</f>
        <v/>
      </c>
      <c r="Q1129" t="n">
        <v>0</v>
      </c>
      <c r="R1129" t="n">
        <v>0</v>
      </c>
      <c r="S1129">
        <f>IFERROR(O1129/N1129,0)</f>
        <v/>
      </c>
      <c r="T1129" t="n">
        <v>0</v>
      </c>
      <c r="V1129" t="n">
        <v>0</v>
      </c>
    </row>
    <row r="1130">
      <c r="A1130">
        <f>Skills!A29</f>
        <v/>
      </c>
      <c r="B1130">
        <f>Skills!B29</f>
        <v/>
      </c>
      <c r="C1130">
        <f>Inputs!$B$3&gt;=120</f>
        <v/>
      </c>
      <c r="D1130">
        <f>IF(Skills!C29=1,60+Inputs!$B$25+Inputs!$B$29,IF(Skills!C29=2,90+Inputs!$B$26+Inputs!$B$29,IF(Skills!C29=3,120+Inputs!$B$27+Inputs!$B$29,MAX(0,(Inputs!$B$3-100)*3)+Inputs!$B$28+Inputs!$B$29)))</f>
        <v/>
      </c>
      <c r="E1130">
        <f>INDEX(FactorTable!$B$2:$Y$301, MATCH(ROUND(MIN(300,MAX(1,D1130)),0), FactorTable!$A$2:$A$301,0), Skills!M29+1)</f>
        <v/>
      </c>
      <c r="F1130">
        <f>IF(Skills!N29=TRUE,(Skills!L29/10)*(E1130/1000),Skills!L29/10)+Skills!O29</f>
        <v/>
      </c>
      <c r="G1130">
        <f>Calc!G29</f>
        <v/>
      </c>
      <c r="H1130">
        <f>Calc!H29</f>
        <v/>
      </c>
      <c r="I1130">
        <f>IF(Skills!AA29&lt;&gt;"",1+(Skills!AA29/10)*(U1104/1000)/100,1)</f>
        <v/>
      </c>
      <c r="J1130" t="inlineStr"/>
      <c r="K1130" t="inlineStr"/>
      <c r="L1130" t="inlineStr"/>
      <c r="M1130" t="inlineStr"/>
      <c r="N1130" t="inlineStr"/>
      <c r="O1130">
        <f>(1-Summary!$B$11)*T1130+Summary!$B$11*V1130</f>
        <v/>
      </c>
      <c r="P1130">
        <f>IF(B1145=0,0,O1130/B1145)</f>
        <v/>
      </c>
      <c r="Q1130" t="n">
        <v>0</v>
      </c>
      <c r="R1130" t="n">
        <v>0</v>
      </c>
      <c r="S1130">
        <f>IFERROR(O1130/N1130,0)</f>
        <v/>
      </c>
      <c r="T1130" t="n">
        <v>0</v>
      </c>
      <c r="V1130" t="n">
        <v>0</v>
      </c>
    </row>
    <row r="1131">
      <c r="A1131">
        <f>Skills!A30</f>
        <v/>
      </c>
      <c r="B1131">
        <f>Skills!B30</f>
        <v/>
      </c>
      <c r="C1131">
        <f>Inputs!$B$3&gt;=125</f>
        <v/>
      </c>
      <c r="D1131">
        <f>IF(Skills!C30=1,60+Inputs!$B$25+Inputs!$B$29,IF(Skills!C30=2,90+Inputs!$B$26+Inputs!$B$29,IF(Skills!C30=3,120+Inputs!$B$27+Inputs!$B$29,MAX(0,(Inputs!$B$3-100)*3)+Inputs!$B$28+Inputs!$B$29)))</f>
        <v/>
      </c>
      <c r="E1131">
        <f>INDEX(FactorTable!$B$2:$Y$301, MATCH(ROUND(MIN(300,MAX(1,D1131)),0), FactorTable!$A$2:$A$301,0), Skills!M30+1)</f>
        <v/>
      </c>
      <c r="F1131">
        <f>IF(Skills!N30=TRUE,(Skills!L30/10)*(E1131/1000),Skills!L30/10)+Skills!O30</f>
        <v/>
      </c>
      <c r="G1131">
        <f>Calc!G30</f>
        <v/>
      </c>
      <c r="H1131">
        <f>Calc!H30</f>
        <v/>
      </c>
      <c r="I1131">
        <f>IF(Skills!AA30&lt;&gt;"",1+(Skills!AA30/10)*(U1104/1000)/100,1)</f>
        <v/>
      </c>
      <c r="J1131" t="inlineStr"/>
      <c r="K1131" t="inlineStr"/>
      <c r="L1131" t="inlineStr"/>
      <c r="M1131" t="inlineStr"/>
      <c r="N1131" t="inlineStr"/>
      <c r="O1131">
        <f>(1-Summary!$B$11)*T1131+Summary!$B$11*V1131</f>
        <v/>
      </c>
      <c r="P1131">
        <f>IF(B1145=0,0,O1131/B1145)</f>
        <v/>
      </c>
      <c r="Q1131" t="n">
        <v>0</v>
      </c>
      <c r="R1131" t="n">
        <v>0</v>
      </c>
      <c r="S1131">
        <f>IFERROR(O1131/N1131,0)</f>
        <v/>
      </c>
      <c r="T1131" t="n">
        <v>0</v>
      </c>
      <c r="V1131" t="n">
        <v>0</v>
      </c>
    </row>
    <row r="1132">
      <c r="A1132">
        <f>Skills!A31</f>
        <v/>
      </c>
      <c r="B1132">
        <f>Skills!B31</f>
        <v/>
      </c>
      <c r="C1132">
        <f>Inputs!$B$3&gt;=107</f>
        <v/>
      </c>
      <c r="D1132">
        <f>IF(Skills!C31=1,60+Inputs!$B$25+Inputs!$B$29,IF(Skills!C31=2,90+Inputs!$B$26+Inputs!$B$29,IF(Skills!C31=3,120+Inputs!$B$27+Inputs!$B$29,MAX(0,(Inputs!$B$3-100)*3)+Inputs!$B$28+Inputs!$B$29)))</f>
        <v/>
      </c>
      <c r="E1132">
        <f>INDEX(FactorTable!$B$2:$Y$301, MATCH(ROUND(MIN(300,MAX(1,D1132)),0), FactorTable!$A$2:$A$301,0), Skills!M31+1)</f>
        <v/>
      </c>
      <c r="F1132">
        <f>IF(Skills!N31=TRUE,(Skills!L31/10)*(E1132/1000),Skills!L31/10)+Skills!O31</f>
        <v/>
      </c>
      <c r="G1132">
        <f>Calc!G31</f>
        <v/>
      </c>
      <c r="H1132">
        <f>Calc!H31</f>
        <v/>
      </c>
      <c r="I1132">
        <f>IF(Skills!AA31&lt;&gt;"",1+(Skills!AA31/10)*(U1104/1000)/100,1)</f>
        <v/>
      </c>
      <c r="J1132" t="inlineStr"/>
      <c r="K1132" t="inlineStr"/>
      <c r="L1132" t="inlineStr"/>
      <c r="M1132" t="inlineStr"/>
      <c r="N1132" t="inlineStr"/>
      <c r="O1132">
        <f>(1-Summary!$B$11)*T1132+Summary!$B$11*V1132</f>
        <v/>
      </c>
      <c r="P1132">
        <f>IF(B1145=0,0,O1132/B1145)</f>
        <v/>
      </c>
      <c r="Q1132" t="n">
        <v>0</v>
      </c>
      <c r="R1132" t="n">
        <v>0</v>
      </c>
      <c r="S1132">
        <f>IFERROR(O1132/N1132,0)</f>
        <v/>
      </c>
      <c r="T1132" t="n">
        <v>0</v>
      </c>
      <c r="V1132" t="n">
        <v>0</v>
      </c>
    </row>
    <row r="1134">
      <c r="A1134" t="inlineStr">
        <is>
          <t>Actions Per Second (pre-Adrenalin)</t>
        </is>
      </c>
      <c r="B1134">
        <f>1+MIN(150,150*(1-(1-(Inputs!$B$11+((C1123=TRUE)*(F1123-Calc!F22))+(ArtifactsInput!$M$15-ArtifactsInput!$M$15)*CHOOSE(ArtifactsInput!$N$15+1,8,9.6,11.2,12.8,14.4,16))/150)*(1-((C1120=TRUE)*F1120*IF(AND(Inputs!$B$39&lt;&gt;"pvp",Inputs!$B$44&gt;0),(((R1120-1)*(Skills!Y19*(1+Inputs!$B$34/100))+MIN((Skills!Y19*(1+Inputs!$B$34/100)),MAX(0,Inputs!$B$44-((R1120-1)*Skills!D19))))/Inputs!$B$44),IF(Inputs!$B$39="pvp",MIN((Skills!Y19*(1+Inputs!$B$34/100)),15)/15,(Skills!Y19*(1+Inputs!$B$34/100))/Skills!D19)))/150)))/100</f>
        <v/>
      </c>
    </row>
    <row r="1135">
      <c r="A1135" t="inlineStr">
        <is>
          <t>Alchemic Adrenaline Uptime</t>
        </is>
      </c>
      <c r="B1135">
        <f>(Skills!Y6*(1+Inputs!$B$34/100))/((Skills!Y6*(1+Inputs!$B$34/100))+(5/B1134))</f>
        <v/>
      </c>
    </row>
    <row r="1136">
      <c r="A1136" t="inlineStr">
        <is>
          <t>Attack Speed Buff Bonus %</t>
        </is>
      </c>
      <c r="B1136">
        <f>((C1120=TRUE)*F1120*IF(AND(Inputs!$B$39&lt;&gt;"pvp",Inputs!$B$44&gt;0),(((R1120-1)*(Skills!Y19*(1+Inputs!$B$34/100))+MIN((Skills!Y19*(1+Inputs!$B$34/100)),MAX(0,Inputs!$B$44-((R1120-1)*Skills!D19))))/Inputs!$B$44),IF(Inputs!$B$39="pvp",MIN((Skills!Y19*(1+Inputs!$B$34/100)),15)/15,(Skills!Y19*(1+Inputs!$B$34/100))/Skills!D19)))+((C1108=TRUE)*F1108*B1135)</f>
        <v/>
      </c>
    </row>
    <row r="1137">
      <c r="A1137" t="inlineStr">
        <is>
          <t>Actions Per Second (final)</t>
        </is>
      </c>
      <c r="B1137">
        <f>1+MIN(150,150*(1-(1-(Inputs!$B$11+((C1123=TRUE)*(F1123-Calc!F22))+(ArtifactsInput!$M$15-ArtifactsInput!$M$15)*CHOOSE(ArtifactsInput!$N$15+1,8,9.6,11.2,12.8,14.4,16))/150)*(1-B1136/150)))/100</f>
        <v/>
      </c>
    </row>
    <row r="1138">
      <c r="A1138" t="inlineStr">
        <is>
          <t>Skill + Buff Cast Rate</t>
        </is>
      </c>
      <c r="B1138">
        <f>IF(AND(Inputs!$B$39&lt;&gt;"pvp",Inputs!$B$44&gt;0),SUMPRODUCT((Skills!E2:E31=TRUE)*(C1103:C1132=TRUE)*R1103:R1132*Skills!F2:F31)/Inputs!$B$44,SUMPRODUCT((Skills!E2:E31=TRUE)*(C1103:C1132=TRUE)*Q1103:Q1132*Skills!F2:F31))</f>
        <v/>
      </c>
    </row>
    <row r="1139">
      <c r="A1139" t="inlineStr">
        <is>
          <t>Showdown Casts Per Second</t>
        </is>
      </c>
      <c r="B1139">
        <f>MAX(0,B1137-B1138)</f>
        <v/>
      </c>
    </row>
    <row r="1140">
      <c r="A1140" t="inlineStr">
        <is>
          <t>Average Buff Multiplier</t>
        </is>
      </c>
      <c r="B1140">
        <f>(1+(((C1122=TRUE)*F1122*IF(AND(Inputs!$B$39&lt;&gt;"pvp",Inputs!$B$44&gt;0),(((R1122-1)*(Skills!Y21*(1+Inputs!$B$34/100))+MIN((Skills!Y21*(1+Inputs!$B$34/100)),MAX(0,Inputs!$B$44-((R1122-1)*Skills!D21))))/Inputs!$B$44),IF(Inputs!$B$39="pvp",MIN((Skills!Y21*(1+Inputs!$B$34/100)),15)/15,(Skills!Y21*(1+Inputs!$B$34/100))/Skills!D21)))+((C1129=TRUE)*(F1129-Calc!F28))+((C1119=TRUE)*(F1119-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1116=TRUE)*F1116*IF(AND(Inputs!$B$39&lt;&gt;"pvp",Inputs!$B$44&gt;0),(((R1116-1)*(Skills!Y15*(1+Inputs!$B$34/100))+MIN((Skills!Y15*(1+Inputs!$B$34/100)),MAX(0,Inputs!$B$44-((R1116-1)*Skills!D15))))/Inputs!$B$44),IF(Inputs!$B$39="pvp",MIN((Skills!Y15*(1+Inputs!$B$34/100)),15)/15,(Skills!Y15*(1+Inputs!$B$34/100))/Skills!D15)))/100)*(1+((C1107=TRUE)*F1107*B1135)/100)</f>
        <v/>
      </c>
    </row>
    <row r="1141">
      <c r="A1141" t="inlineStr">
        <is>
          <t>Global Crit Rate Bonus %</t>
        </is>
      </c>
      <c r="B1141">
        <f>IF(Inputs!$B$3&gt;=47,8,0)+((C1121=TRUE)*F1121*IF(AND(Inputs!$B$39&lt;&gt;"pvp",Inputs!$B$44&gt;0),(((R1121-1)*(Skills!Y20*(1+Inputs!$B$34/100))+MIN((Skills!Y20*(1+Inputs!$B$34/100)),MAX(0,Inputs!$B$44-((R1121-1)*Skills!D20))))/Inputs!$B$44),IF(Inputs!$B$39="pvp",MIN((Skills!Y20*(1+Inputs!$B$34/100)),15)/15,(Skills!Y20*(1+Inputs!$B$34/100))/Skills!D20)))</f>
        <v/>
      </c>
    </row>
    <row r="1142">
      <c r="A1142" t="inlineStr">
        <is>
          <t>Global Monster Damage-Taken Bonus %</t>
        </is>
      </c>
      <c r="B1142">
        <f>IF(Inputs!$B$3&gt;=82,15,0)+((C1117=TRUE)*F1117*IF(AND(Inputs!$B$39&lt;&gt;"pvp",Inputs!$B$44&gt;0),(((R1117-1)*(Skills!Y16*(1+Inputs!$B$34/100))+MIN((Skills!Y16*(1+Inputs!$B$34/100)),MAX(0,Inputs!$B$44-((R1117-1)*Skills!D16))))/Inputs!$B$44),IF(Inputs!$B$39="pvp",MIN((Skills!Y16*(1+Inputs!$B$34/100)),15)/15,(Skills!Y16*(1+Inputs!$B$34/100))/Skills!D16)))</f>
        <v/>
      </c>
    </row>
    <row r="1143">
      <c r="A1143" t="inlineStr">
        <is>
          <t>Shadow Partner Average Multiplier</t>
        </is>
      </c>
      <c r="B1143">
        <f>1+((C1112=TRUE)*F1112*I1112*Skills!J11/100)/100</f>
        <v/>
      </c>
    </row>
    <row r="1144">
      <c r="A1144" t="inlineStr">
        <is>
          <t>Global Critical Damage Bonus % (Frailty Curse Mastery Lv.111)</t>
        </is>
      </c>
      <c r="B1144">
        <f>IF(Inputs!$B$3&gt;=111,30,0)*IF(AND(Inputs!$B$39&lt;&gt;"pvp",Inputs!$B$44&gt;0),(((R1117-1)*(Skills!Y16*(1+Inputs!$B$34/100))+MIN((Skills!Y16*(1+Inputs!$B$34/100)),MAX(0,Inputs!$B$44-((R1117-1)*Skills!D16))))/Inputs!$B$44),IF(Inputs!$B$39="pvp",MIN((Skills!Y16*(1+Inputs!$B$34/100)),15)/15,(Skills!Y16*(1+Inputs!$B$34/100))/Skills!D16))</f>
        <v/>
      </c>
    </row>
    <row r="1145">
      <c r="A1145" s="6" t="inlineStr">
        <is>
          <t>TOTAL DPS</t>
        </is>
      </c>
      <c r="B1145" s="6">
        <f>SUM(O1103:O1132)</f>
        <v/>
      </c>
    </row>
    <row r="1146">
      <c r="A1146" t="inlineStr">
        <is>
          <t>Buff-Casting Startup Delay (s, fixed-duration only)</t>
        </is>
      </c>
      <c r="B1146">
        <f>IF(AND(Inputs!$B$39&lt;&gt;"pvp",Inputs!$B$44&gt;0),SUMPRODUCT((Skills!Y2:Y31&gt;0)*(Skills!E2:E31=TRUE)*(C1103:C1132=TRUE))/B1137,0)</f>
        <v/>
      </c>
    </row>
    <row r="1147">
      <c r="A1147" t="inlineStr">
        <is>
          <t>Boss-Only Total DPS (this block's swept value)</t>
        </is>
      </c>
      <c r="B1147">
        <f>SUM(T1103:T1132)</f>
        <v/>
      </c>
    </row>
    <row r="1148">
      <c r="A1148" t="inlineStr">
        <is>
          <t>Normal-Only Total DPS (this block's swept value)</t>
        </is>
      </c>
      <c r="B1148">
        <f>SUM(V1103:V1132)</f>
        <v/>
      </c>
    </row>
    <row r="1150">
      <c r="A1150" s="6" t="inlineStr">
        <is>
          <t>Stat: ATTACK %</t>
        </is>
      </c>
    </row>
    <row r="1151">
      <c r="A1151" s="5" t="inlineStr">
        <is>
          <t>Key</t>
        </is>
      </c>
      <c r="B1151" s="5" t="inlineStr">
        <is>
          <t>Name</t>
        </is>
      </c>
      <c r="C1151" s="5" t="inlineStr">
        <is>
          <t>Unlocked</t>
        </is>
      </c>
      <c r="D1151" s="5" t="inlineStr">
        <is>
          <t>InputLevel</t>
        </is>
      </c>
      <c r="E1151" s="5" t="inlineStr">
        <is>
          <t>Factor</t>
        </is>
      </c>
      <c r="F1151" s="5" t="inlineStr">
        <is>
          <t>CoefficientPercent</t>
        </is>
      </c>
      <c r="G1151" s="5" t="inlineStr">
        <is>
          <t>EffectiveHits</t>
        </is>
      </c>
      <c r="H1151" s="5" t="inlineStr">
        <is>
          <t>ProcProbability</t>
        </is>
      </c>
      <c r="I1151" s="5" t="inlineStr">
        <is>
          <t>MapleHeroMultiplier</t>
        </is>
      </c>
      <c r="J1151" s="5" t="inlineStr">
        <is>
          <t>BaseDamage</t>
        </is>
      </c>
      <c r="K1151" s="5" t="inlineStr">
        <is>
          <t>BaseHitDamage</t>
        </is>
      </c>
      <c r="L1151" s="5" t="inlineStr">
        <is>
          <t>NonCritAvg</t>
        </is>
      </c>
      <c r="M1151" s="5" t="inlineStr">
        <is>
          <t>CritAvg</t>
        </is>
      </c>
      <c r="N1151" s="5" t="inlineStr">
        <is>
          <t>ExpectedDamage(perHit)</t>
        </is>
      </c>
      <c r="O1151" s="5" t="inlineStr">
        <is>
          <t>DPS</t>
        </is>
      </c>
      <c r="P1151" s="5" t="inlineStr">
        <is>
          <t>% of Total</t>
        </is>
      </c>
      <c r="Q1151" s="5" t="inlineStr">
        <is>
          <t>InvCooldown</t>
        </is>
      </c>
      <c r="R1151" s="5" t="inlineStr">
        <is>
          <t>CastsInFight</t>
        </is>
      </c>
      <c r="S1151" s="5" t="inlineStr">
        <is>
          <t>HitRate(perSec)</t>
        </is>
      </c>
      <c r="U1151" t="inlineStr">
        <is>
          <t>helpers</t>
        </is>
      </c>
    </row>
    <row r="1152">
      <c r="A1152">
        <f>Skills!A2</f>
        <v/>
      </c>
      <c r="B1152">
        <f>Skills!B2</f>
        <v/>
      </c>
      <c r="C1152">
        <f>Inputs!$B$3&gt;=100</f>
        <v/>
      </c>
      <c r="D1152" t="inlineStr"/>
      <c r="E1152" t="inlineStr"/>
      <c r="F1152">
        <f>U1156+Skills!O2</f>
        <v/>
      </c>
      <c r="G1152">
        <f>Calc!G2</f>
        <v/>
      </c>
      <c r="H1152">
        <f>Calc!H2</f>
        <v/>
      </c>
      <c r="I1152">
        <f>IF(Skills!AA2&lt;&gt;"",1+(Skills!AA2/10)*(U1153/1000)/100,1)</f>
        <v/>
      </c>
      <c r="J1152">
        <f>((Inputs!$B$6*(1+(Inputs!$B$7+1)/100))+(((Inputs!$B$12*(1+Inputs!$B$13/100))-(Inputs!$B$12*(1+Inputs!$B$13/100)))+0.25*(Inputs!$B$14-Inputs!$B$14))*(1+(Inputs!$B$7+1)/100))*(F1152/100)</f>
        <v/>
      </c>
      <c r="K1152">
        <f>J1152*(1+((Inputs!$B$12*(1+Inputs!$B$13/100))*0.01+Inputs!$B$14*0.0025)/100)*(1+Inputs!$B$15/100)*(1+Inputs!$B$16/100)*(5000/(6000+Inputs!$B$43*(1-(100*(1-(1-(Inputs!$B$19+0)/100)*(1-CHOOSE(ArtifactsInput!$N$40+1,5,6,7,8,9,10)/100)^(ArtifactsInput!$M$40-ArtifactsInput!$M$40)))/100)))*(1+(Inputs!$B$24+((C1180=TRUE)*(F1180-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1173=TRUE)*(F1173-Calc!F23))+(((IF(AND(ArtifactsInput!$M$42,((Inputs!$B$9+((C1175=TRUE)*(F1175-Calc!F25))+B1190+(ArtifactsInput!$M$24-ArtifactsInput!$M$24)*CHOOSE(ArtifactsInput!$N$24+1,10,12,14,16,18,20)+IF(ArtifactsInput!$M$10,CHOOSE(ArtifactsInput!$N$10+1,15,18,21,24,27,30)*(IF(Inputs!$B$39="pvp",MIN(15,15)/15,IF(AND(Inputs!$B$39&lt;&gt;"pvp",Inputs!$B$44&gt;0),MIN(15,Inputs!$B$44)/(Inputs!$B$44),0))),0)))&gt;=100),MIN(100,((Inputs!$B$9+((C1175=TRUE)*(F1175-Calc!F25))+B1190+(ArtifactsInput!$M$24-ArtifactsInput!$M$24)*CHOOSE(ArtifactsInput!$N$24+1,10,12,14,16,18,20)+IF(ArtifactsInput!$M$10,CHOOSE(ArtifactsInput!$N$10+1,15,18,21,24,27,30)*(IF(Inputs!$B$39="pvp",MIN(15,15)/15,IF(AND(Inputs!$B$39&lt;&gt;"pvp",Inputs!$B$44&gt;0),MIN(15,Inputs!$B$44)/(Inputs!$B$44),0))),0)))-100),0))*CHOOSE(ArtifactsInput!$N$42+1,0.6,0.72,0.84,0.96,1.08,1.2))),Inputs!$B$18+((C1179=TRUE)*(F1179-Calc!F29))+(IF(AND(ArtifactsInput!$M$42,((Inputs!$B$9+((C1175=TRUE)*(F1175-Calc!F25))+B1190+(ArtifactsInput!$M$24-ArtifactsInput!$M$24)*CHOOSE(ArtifactsInput!$N$24+1,10,12,14,16,18,20)+IF(ArtifactsInput!$M$10,CHOOSE(ArtifactsInput!$N$10+1,15,18,21,24,27,30)*(IF(Inputs!$B$39="pvp",MIN(15,15)/15,IF(AND(Inputs!$B$39&lt;&gt;"pvp",Inputs!$B$44&gt;0),MIN(15,Inputs!$B$44)/(Inputs!$B$44),0))),0)))&gt;=100),CHOOSE(ArtifactsInput!$N$42+1,40,48,56,64,72,80),0))))/100)*(((1+(((C1171=TRUE)*F1171*IF(AND(Inputs!$B$39&lt;&gt;"pvp",Inputs!$B$44&gt;0),(((R1171-1)*(Skills!Y21*(1+Inputs!$B$34/100))+MIN((Skills!Y21*(1+Inputs!$B$34/100)),MAX(0,Inputs!$B$44-((R1171-1)*Skills!D21))))/Inputs!$B$44),IF(Inputs!$B$39="pvp",MIN((Skills!Y21*(1+Inputs!$B$34/100)),15)/15,(Skills!Y21*(1+Inputs!$B$34/100))/Skills!D21)))+((C1178=TRUE)*(F1178-Calc!F28))+((C1168=TRUE)*(F1168-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1165=TRUE)*F1165*IF(AND(Inputs!$B$39&lt;&gt;"pvp",Inputs!$B$44&gt;0),(((R1165-1)*(Skills!Y15*(1+Inputs!$B$34/100))+MIN((Skills!Y15*(1+Inputs!$B$34/100)),MAX(0,Inputs!$B$44-((R1165-1)*Skills!D15))))/Inputs!$B$44),IF(Inputs!$B$39="pvp",MIN((Skills!Y15*(1+Inputs!$B$34/100)),15)/15,(Skills!Y15*(1+Inputs!$B$34/100))/Skills!D15)))/100)*(1+((C1156=TRUE)*F1156*B1184)/100))*B1192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1152)</f>
        <v/>
      </c>
      <c r="L1152">
        <f>K1152*(MIN(Inputs!$B$22+((C1174=TRUE)*(F1174-Calc!F24)),(Inputs!$B$23+0+(IF(ArtifactsInput!$M$15,CHOOSE(ArtifactsInput!$N$15+1,25,30,35,40,45,50)/100*(Inputs!$B$11-Inputs!$B$11),0))))/100+(Inputs!$B$23+0+(IF(ArtifactsInput!$M$15,CHOOSE(ArtifactsInput!$N$15+1,25,30,35,40,45,50)/100*(Inputs!$B$11-Inputs!$B$11),0)))/100)/2</f>
        <v/>
      </c>
      <c r="M1152">
        <f>L1152*(1+(Inputs!$B$10+((C1176=TRUE)*(F1176-Calc!F26))+B1193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52">
        <f>L1152*(1-MIN((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1152*(MIN((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52">
        <f>(1-Summary!$B$11)*T1152+Summary!$B$11*V1152</f>
        <v/>
      </c>
      <c r="P1152">
        <f>IF(B1194=0,0,O1152/B1194)</f>
        <v/>
      </c>
      <c r="Q1152" t="n">
        <v>0</v>
      </c>
      <c r="R1152" t="n">
        <v>0</v>
      </c>
      <c r="S1152">
        <f>IFERROR(O1152/N1152,0)</f>
        <v/>
      </c>
      <c r="T1152">
        <f>IF(C1152,(Skills!G2*N1152*B1188)*IF(Inputs!$B$39="pvp",1,1+(Inputs!$B$20+((C1177=TRUE)*(F1177-Calc!F27))+Skills!P2+B1191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Hunt"),CHOOSE(ArtifactsInput!$N$35+1,15,18,21,24,27,30)*(1-EXP(-(0.2*B1186)*5)),0)+IF(AND(ArtifactsInput!$M$22,Inputs!$B$4&lt;&gt;"Chapter Hunt"),CHOOSE(ArtifactsInput!$N$22+1,10,12,14,16,18,20)*((0*(((0.15*B1186*5))^0/1)+1*(((0.15*B1186*5))^1/1)+2*(((0.15*B1186*5))^2/2)+3*(((0.15*B1186*5))^3/6)+4*(((0.15*B1186*5))^4/24)+5*(((0.15*B1186*5))^5/120))/((((0.15*B1186*5))^0/1)+(((0.15*B1186*5))^1/1)+(((0.15*B1186*5))^2/2)+(((0.15*B1186*5))^3/6)+(((0.15*B1186*5))^4/24)+(((0.15*B1186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1152*(1-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1152*(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1152*(1-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1152*(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52">
        <f>MAX(0,(Inputs!$B$3-100)*3)+Inputs!$B$28+Inputs!$B$29</f>
        <v/>
      </c>
      <c r="V1152">
        <f>IF(C1152,(Skills!G2*N1152*B1188)*IF(Inputs!$B$39="pvp",1,(1+(Inputs!$B$21+Skills!Q2+B1191+(IF(ArtifactsInput!$M$33,CHOOSE(ArtifactsInput!$N$33+1,30,36,42,48,54,60),0))+(IF(AND(ArtifactsInput!$M$35,Inputs!$B$4&lt;&gt;"Chapter Hunt"),CHOOSE(ArtifactsInput!$N$35+1,15,18,21,24,27,30)*(1-EXP(-(0.2*B1186)*5)),0)+IF(AND(ArtifactsInput!$M$22,Inputs!$B$4&lt;&gt;"Chapter Hunt"),CHOOSE(ArtifactsInput!$N$22+1,10,12,14,16,18,20)*((0*(((0.15*B1186*5))^0/1)+1*(((0.15*B1186*5))^1/1)+2*(((0.15*B1186*5))^2/2)+3*(((0.15*B1186*5))^3/6)+4*(((0.15*B1186*5))^4/24)+5*(((0.15*B1186*5))^5/120))/((((0.15*B1186*5))^0/1)+(((0.15*B1186*5))^1/1)+(((0.15*B1186*5))^2/2)+(((0.15*B1186*5))^3/6)+(((0.15*B1186*5))^4/24)+(((0.15*B1186*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53">
      <c r="A1153">
        <f>Skills!A3</f>
        <v/>
      </c>
      <c r="B1153">
        <f>Skills!B3</f>
        <v/>
      </c>
      <c r="C1153">
        <f>Inputs!$B$3&gt;=35</f>
        <v/>
      </c>
      <c r="D1153">
        <f>IF(Skills!C3=1,60+Inputs!$B$25+Inputs!$B$29,IF(Skills!C3=2,90+Inputs!$B$26+Inputs!$B$29,IF(Skills!C3=3,120+Inputs!$B$27+Inputs!$B$29,MAX(0,(Inputs!$B$3-100)*3)+Inputs!$B$28+Inputs!$B$29)))</f>
        <v/>
      </c>
      <c r="E1153">
        <f>INDEX(FactorTable!$B$2:$Y$301, MATCH(ROUND(MIN(300,MAX(1,D1153)),0), FactorTable!$A$2:$A$301,0), Skills!M3+1)</f>
        <v/>
      </c>
      <c r="F1153">
        <f>IF(Skills!N3=TRUE,(Skills!L3/10)*(E1153/1000),Skills!L3/10)+Skills!O3</f>
        <v/>
      </c>
      <c r="G1153">
        <f>Calc!G3</f>
        <v/>
      </c>
      <c r="H1153">
        <f>Calc!H3</f>
        <v/>
      </c>
      <c r="I1153">
        <f>IF(Skills!AA3&lt;&gt;"",1+(Skills!AA3/10)*(U1153/1000)/100,1)</f>
        <v/>
      </c>
      <c r="J1153">
        <f>((Inputs!$B$6*(1+(Inputs!$B$7+1)/100))+(((Inputs!$B$12*(1+Inputs!$B$13/100))-(Inputs!$B$12*(1+Inputs!$B$13/100)))+0.25*(Inputs!$B$14-Inputs!$B$14))*(1+(Inputs!$B$7+1)/100))*(F1153/100)</f>
        <v/>
      </c>
      <c r="K1153">
        <f>J1153*(1+((Inputs!$B$12*(1+Inputs!$B$13/100))*0.01+Inputs!$B$14*0.0025)/100)*(1+Inputs!$B$15/100)*(1+Inputs!$B$16/100)*(5000/(6000+Inputs!$B$43*(1-(100*(1-(1-(Inputs!$B$19+0)/100)*(1-CHOOSE(ArtifactsInput!$N$40+1,5,6,7,8,9,10)/100)^(ArtifactsInput!$M$40-ArtifactsInput!$M$40)))/100)))*(1+(Inputs!$B$24+((C1180=TRUE)*(F1180-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1173=TRUE)*(F1173-Calc!F23))+(((IF(AND(ArtifactsInput!$M$42,((Inputs!$B$9+((C1175=TRUE)*(F1175-Calc!F25))+B1190+(ArtifactsInput!$M$24-ArtifactsInput!$M$24)*CHOOSE(ArtifactsInput!$N$24+1,10,12,14,16,18,20)+IF(ArtifactsInput!$M$10,CHOOSE(ArtifactsInput!$N$10+1,15,18,21,24,27,30)*(IF(Inputs!$B$39="pvp",MIN(15,15)/15,IF(AND(Inputs!$B$39&lt;&gt;"pvp",Inputs!$B$44&gt;0),MIN(15,Inputs!$B$44)/(Inputs!$B$44),0))),0)))&gt;=100),MIN(100,((Inputs!$B$9+((C1175=TRUE)*(F1175-Calc!F25))+B1190+(ArtifactsInput!$M$24-ArtifactsInput!$M$24)*CHOOSE(ArtifactsInput!$N$24+1,10,12,14,16,18,20)+IF(ArtifactsInput!$M$10,CHOOSE(ArtifactsInput!$N$10+1,15,18,21,24,27,30)*(IF(Inputs!$B$39="pvp",MIN(15,15)/15,IF(AND(Inputs!$B$39&lt;&gt;"pvp",Inputs!$B$44&gt;0),MIN(15,Inputs!$B$44)/(Inputs!$B$44),0))),0)))-100),0))*CHOOSE(ArtifactsInput!$N$42+1,0.6,0.72,0.84,0.96,1.08,1.2))),Inputs!$B$18+((C1179=TRUE)*(F1179-Calc!F29))+(IF(AND(ArtifactsInput!$M$42,((Inputs!$B$9+((C1175=TRUE)*(F1175-Calc!F25))+B1190+(ArtifactsInput!$M$24-ArtifactsInput!$M$24)*CHOOSE(ArtifactsInput!$N$24+1,10,12,14,16,18,20)+IF(ArtifactsInput!$M$10,CHOOSE(ArtifactsInput!$N$10+1,15,18,21,24,27,30)*(IF(Inputs!$B$39="pvp",MIN(15,15)/15,IF(AND(Inputs!$B$39&lt;&gt;"pvp",Inputs!$B$44&gt;0),MIN(15,Inputs!$B$44)/(Inputs!$B$44),0))),0)))&gt;=100),CHOOSE(ArtifactsInput!$N$42+1,40,48,56,64,72,80),0))))/100)*(((1+(((C1171=TRUE)*F1171*IF(AND(Inputs!$B$39&lt;&gt;"pvp",Inputs!$B$44&gt;0),(((R1171-1)*(Skills!Y21*(1+Inputs!$B$34/100))+MIN((Skills!Y21*(1+Inputs!$B$34/100)),MAX(0,Inputs!$B$44-((R1171-1)*Skills!D21))))/Inputs!$B$44),IF(Inputs!$B$39="pvp",MIN((Skills!Y21*(1+Inputs!$B$34/100)),15)/15,(Skills!Y21*(1+Inputs!$B$34/100))/Skills!D21)))+((C1178=TRUE)*(F1178-Calc!F28))+((C1168=TRUE)*(F1168-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1165=TRUE)*F1165*IF(AND(Inputs!$B$39&lt;&gt;"pvp",Inputs!$B$44&gt;0),(((R1165-1)*(Skills!Y15*(1+Inputs!$B$34/100))+MIN((Skills!Y15*(1+Inputs!$B$34/100)),MAX(0,Inputs!$B$44-((R1165-1)*Skills!D15))))/Inputs!$B$44),IF(Inputs!$B$39="pvp",MIN((Skills!Y15*(1+Inputs!$B$34/100)),15)/15,(Skills!Y15*(1+Inputs!$B$34/100))/Skills!D15)))/100)*(1+((C1156=TRUE)*F1156*B1184)/100))*B1192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1153)</f>
        <v/>
      </c>
      <c r="L1153">
        <f>K1153*(MIN(Inputs!$B$22+((C1174=TRUE)*(F1174-Calc!F24)),(Inputs!$B$23+0+(IF(ArtifactsInput!$M$15,CHOOSE(ArtifactsInput!$N$15+1,25,30,35,40,45,50)/100*(Inputs!$B$11-Inputs!$B$11),0))))/100+(Inputs!$B$23+0+(IF(ArtifactsInput!$M$15,CHOOSE(ArtifactsInput!$N$15+1,25,30,35,40,45,50)/100*(Inputs!$B$11-Inputs!$B$11),0)))/100)/2</f>
        <v/>
      </c>
      <c r="M1153">
        <f>L1153*(1+(Inputs!$B$10+((C1176=TRUE)*(F1176-Calc!F26))+B1193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53">
        <f>L1153*(1-MIN((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1153*(MIN((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53">
        <f>(1-Summary!$B$11)*T1153+Summary!$B$11*V1153</f>
        <v/>
      </c>
      <c r="P1153">
        <f>IF(B1194=0,0,O1153/B1194)</f>
        <v/>
      </c>
      <c r="Q1153">
        <f>IFERROR(1/IF(Inputs!$B$39="pvp",15,MAX(0.1,Skills!D3-IF(Skills!E3=TRUE,Inputs!$B$32,0))),0)</f>
        <v/>
      </c>
      <c r="R1153">
        <f>IF(AND(Inputs!$B$39&lt;&gt;"pvp",Inputs!$B$44&gt;0),IF(MAX(0,Inputs!$B$44-B1195)&lt;=0,0,(INT(MAX(0,Inputs!$B$44-B1195)/IF(Inputs!$B$39="pvp",15,MAX(0.1,Skills!D3-IF(Skills!E3=TRUE,Inputs!$B$32,0))))+1)),0)</f>
        <v/>
      </c>
      <c r="S1153">
        <f>IFERROR(O1153/N1153,0)</f>
        <v/>
      </c>
      <c r="T1153">
        <f>IF(C1153,(H1153*N1153*IF(AND(Inputs!$B$39&lt;&gt;"pvp",Inputs!$B$44&gt;0),((Skills!G3*((R1153-1)*IF(Skills!H3&gt;0,Skills!I3/Skills!H3,1)+IF(Skills!H3&gt;0,MIN(Skills!I3,MAX(0,MAX(0,Inputs!$B$44-B1195)-((R1153-1)*IF(Inputs!$B$39="pvp",15,MAX(0.1,Skills!D3-IF(Skills!E3=TRUE,Inputs!$B$32,0))))))/Skills!H3,1)))/Inputs!$B$44),G1153*Q1153))*IF(Inputs!$B$39="pvp",1,1+(Inputs!$B$20+((C1177=TRUE)*(F1177-Calc!F27))+Skills!P3+B1191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Hunt"),CHOOSE(ArtifactsInput!$N$35+1,15,18,21,24,27,30)*(1-EXP(-(0.2*B1186)*5)),0)+IF(AND(ArtifactsInput!$M$22,Inputs!$B$4&lt;&gt;"Chapter Hunt"),CHOOSE(ArtifactsInput!$N$22+1,10,12,14,16,18,20)*((0*(((0.15*B1186*5))^0/1)+1*(((0.15*B1186*5))^1/1)+2*(((0.15*B1186*5))^2/2)+3*(((0.15*B1186*5))^3/6)+4*(((0.15*B1186*5))^4/24)+5*(((0.15*B1186*5))^5/120))/((((0.15*B1186*5))^0/1)+(((0.15*B1186*5))^1/1)+(((0.15*B1186*5))^2/2)+(((0.15*B1186*5))^3/6)+(((0.15*B1186*5))^4/24)+(((0.15*B1186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1153*(1-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1153*(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1153*(1-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1153*(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53">
        <f>INDEX(FactorTable!$B$2:$Y$301, MATCH(ROUND(MIN(300,MAX(1,U1152)),0), FactorTable!$A$2:$A$301,0), 24)</f>
        <v/>
      </c>
      <c r="V1153">
        <f>IF(C1153,(H1153*N1153*IF(AND(Inputs!$B$39&lt;&gt;"pvp",Inputs!$B$44&gt;0),((Skills!G3*((R1153-1)*IF(Skills!H3&gt;0,Skills!I3/Skills!H3,1)+IF(Skills!H3&gt;0,MIN(Skills!I3,MAX(0,MAX(0,Inputs!$B$44-B1195)-((R1153-1)*IF(Inputs!$B$39="pvp",15,MAX(0.1,Skills!D3-IF(Skills!E3=TRUE,Inputs!$B$32,0))))))/Skills!H3,1)))/Inputs!$B$44),G1153*Q1153))*IF(Inputs!$B$39="pvp",1,(1+(Inputs!$B$21+Skills!Q3+B1191+(IF(ArtifactsInput!$M$33,CHOOSE(ArtifactsInput!$N$33+1,30,36,42,48,54,60),0))+(IF(AND(ArtifactsInput!$M$35,Inputs!$B$4&lt;&gt;"Chapter Hunt"),CHOOSE(ArtifactsInput!$N$35+1,15,18,21,24,27,30)*(1-EXP(-(0.2*B1186)*5)),0)+IF(AND(ArtifactsInput!$M$22,Inputs!$B$4&lt;&gt;"Chapter Hunt"),CHOOSE(ArtifactsInput!$N$22+1,10,12,14,16,18,20)*((0*(((0.15*B1186*5))^0/1)+1*(((0.15*B1186*5))^1/1)+2*(((0.15*B1186*5))^2/2)+3*(((0.15*B1186*5))^3/6)+4*(((0.15*B1186*5))^4/24)+5*(((0.15*B1186*5))^5/120))/((((0.15*B1186*5))^0/1)+(((0.15*B1186*5))^1/1)+(((0.15*B1186*5))^2/2)+(((0.15*B1186*5))^3/6)+(((0.15*B1186*5))^4/24)+(((0.15*B1186*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54">
      <c r="A1154">
        <f>Skills!A4</f>
        <v/>
      </c>
      <c r="B1154">
        <f>Skills!B4</f>
        <v/>
      </c>
      <c r="C1154">
        <f>Inputs!$B$3&gt;=40</f>
        <v/>
      </c>
      <c r="D1154">
        <f>IF(Skills!C4=1,60+Inputs!$B$25+Inputs!$B$29,IF(Skills!C4=2,90+Inputs!$B$26+Inputs!$B$29,IF(Skills!C4=3,120+Inputs!$B$27+Inputs!$B$29,MAX(0,(Inputs!$B$3-100)*3)+Inputs!$B$28+Inputs!$B$29)))</f>
        <v/>
      </c>
      <c r="E1154">
        <f>INDEX(FactorTable!$B$2:$Y$301, MATCH(ROUND(MIN(300,MAX(1,D1154)),0), FactorTable!$A$2:$A$301,0), Skills!M4+1)</f>
        <v/>
      </c>
      <c r="F1154">
        <f>IF(Skills!N4=TRUE,(Skills!L4/10)*(E1154/1000),Skills!L4/10)+Skills!O4</f>
        <v/>
      </c>
      <c r="G1154">
        <f>Calc!G4</f>
        <v/>
      </c>
      <c r="H1154">
        <f>Calc!H4</f>
        <v/>
      </c>
      <c r="I1154">
        <f>IF(Skills!AA4&lt;&gt;"",1+(Skills!AA4/10)*(U1153/1000)/100,1)</f>
        <v/>
      </c>
      <c r="J1154">
        <f>((Inputs!$B$6*(1+(Inputs!$B$7+1)/100))+(((Inputs!$B$12*(1+Inputs!$B$13/100))-(Inputs!$B$12*(1+Inputs!$B$13/100)))+0.25*(Inputs!$B$14-Inputs!$B$14))*(1+(Inputs!$B$7+1)/100))*(F1154/100)</f>
        <v/>
      </c>
      <c r="K1154">
        <f>J1154*(1+((Inputs!$B$12*(1+Inputs!$B$13/100))*0.01+Inputs!$B$14*0.0025)/100)*(1+Inputs!$B$15/100)*(1+Inputs!$B$16/100)*(5000/(6000+Inputs!$B$43*(1-(100*(1-(1-(Inputs!$B$19+0)/100)*(1-CHOOSE(ArtifactsInput!$N$40+1,5,6,7,8,9,10)/100)^(ArtifactsInput!$M$40-ArtifactsInput!$M$40)))/100)))*(1+(Inputs!$B$24+((C1180=TRUE)*(F1180-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1173=TRUE)*(F1173-Calc!F23))+(((IF(AND(ArtifactsInput!$M$42,((Inputs!$B$9+((C1175=TRUE)*(F1175-Calc!F25))+B1190+(ArtifactsInput!$M$24-ArtifactsInput!$M$24)*CHOOSE(ArtifactsInput!$N$24+1,10,12,14,16,18,20)+IF(ArtifactsInput!$M$10,CHOOSE(ArtifactsInput!$N$10+1,15,18,21,24,27,30)*(IF(Inputs!$B$39="pvp",MIN(15,15)/15,IF(AND(Inputs!$B$39&lt;&gt;"pvp",Inputs!$B$44&gt;0),MIN(15,Inputs!$B$44)/(Inputs!$B$44),0))),0)))&gt;=100),MIN(100,((Inputs!$B$9+((C1175=TRUE)*(F1175-Calc!F25))+B1190+(ArtifactsInput!$M$24-ArtifactsInput!$M$24)*CHOOSE(ArtifactsInput!$N$24+1,10,12,14,16,18,20)+IF(ArtifactsInput!$M$10,CHOOSE(ArtifactsInput!$N$10+1,15,18,21,24,27,30)*(IF(Inputs!$B$39="pvp",MIN(15,15)/15,IF(AND(Inputs!$B$39&lt;&gt;"pvp",Inputs!$B$44&gt;0),MIN(15,Inputs!$B$44)/(Inputs!$B$44),0))),0)))-100),0))*CHOOSE(ArtifactsInput!$N$42+1,0.6,0.72,0.84,0.96,1.08,1.2))),Inputs!$B$18+((C1179=TRUE)*(F1179-Calc!F29))+(IF(AND(ArtifactsInput!$M$42,((Inputs!$B$9+((C1175=TRUE)*(F1175-Calc!F25))+B1190+(ArtifactsInput!$M$24-ArtifactsInput!$M$24)*CHOOSE(ArtifactsInput!$N$24+1,10,12,14,16,18,20)+IF(ArtifactsInput!$M$10,CHOOSE(ArtifactsInput!$N$10+1,15,18,21,24,27,30)*(IF(Inputs!$B$39="pvp",MIN(15,15)/15,IF(AND(Inputs!$B$39&lt;&gt;"pvp",Inputs!$B$44&gt;0),MIN(15,Inputs!$B$44)/(Inputs!$B$44),0))),0)))&gt;=100),CHOOSE(ArtifactsInput!$N$42+1,40,48,56,64,72,80),0))))/100)*(((1+(((C1171=TRUE)*F1171*IF(AND(Inputs!$B$39&lt;&gt;"pvp",Inputs!$B$44&gt;0),(((R1171-1)*(Skills!Y21*(1+Inputs!$B$34/100))+MIN((Skills!Y21*(1+Inputs!$B$34/100)),MAX(0,Inputs!$B$44-((R1171-1)*Skills!D21))))/Inputs!$B$44),IF(Inputs!$B$39="pvp",MIN((Skills!Y21*(1+Inputs!$B$34/100)),15)/15,(Skills!Y21*(1+Inputs!$B$34/100))/Skills!D21)))+((C1178=TRUE)*(F1178-Calc!F28))+((C1168=TRUE)*(F1168-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1165=TRUE)*F1165*IF(AND(Inputs!$B$39&lt;&gt;"pvp",Inputs!$B$44&gt;0),(((R1165-1)*(Skills!Y15*(1+Inputs!$B$34/100))+MIN((Skills!Y15*(1+Inputs!$B$34/100)),MAX(0,Inputs!$B$44-((R1165-1)*Skills!D15))))/Inputs!$B$44),IF(Inputs!$B$39="pvp",MIN((Skills!Y15*(1+Inputs!$B$34/100)),15)/15,(Skills!Y15*(1+Inputs!$B$34/100))/Skills!D15)))/100)*(1+((C1156=TRUE)*F1156*B1184)/100))*B1192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1154)</f>
        <v/>
      </c>
      <c r="L1154">
        <f>K1154*(MIN(Inputs!$B$22+((C1174=TRUE)*(F1174-Calc!F24)),(Inputs!$B$23+0+(IF(ArtifactsInput!$M$15,CHOOSE(ArtifactsInput!$N$15+1,25,30,35,40,45,50)/100*(Inputs!$B$11-Inputs!$B$11),0))))/100+(Inputs!$B$23+0+(IF(ArtifactsInput!$M$15,CHOOSE(ArtifactsInput!$N$15+1,25,30,35,40,45,50)/100*(Inputs!$B$11-Inputs!$B$11),0)))/100)/2</f>
        <v/>
      </c>
      <c r="M1154">
        <f>L1154*(1+(Inputs!$B$10+((C1176=TRUE)*(F1176-Calc!F26))+B1193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54">
        <f>L1154*(1-MIN((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1154*(MIN((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54">
        <f>(1-Summary!$B$11)*T1154+Summary!$B$11*V1154</f>
        <v/>
      </c>
      <c r="P1154">
        <f>IF(B1194=0,0,O1154/B1194)</f>
        <v/>
      </c>
      <c r="Q1154">
        <f>IFERROR(1/IF(Inputs!$B$39="pvp",15,MAX(0.1,Skills!D4-IF(Skills!E4=TRUE,Inputs!$B$32,0))),0)</f>
        <v/>
      </c>
      <c r="R1154">
        <f>IF(AND(Inputs!$B$39&lt;&gt;"pvp",Inputs!$B$44&gt;0),IF(MAX(0,Inputs!$B$44-B1195)&lt;=0,0,(INT(MAX(0,Inputs!$B$44-B1195)/IF(Inputs!$B$39="pvp",15,MAX(0.1,Skills!D4-IF(Skills!E4=TRUE,Inputs!$B$32,0))))+1)),0)</f>
        <v/>
      </c>
      <c r="S1154">
        <f>IFERROR(O1154/N1154,0)</f>
        <v/>
      </c>
      <c r="T1154">
        <f>IF(C1154,(H1154*N1154*IF(AND(Inputs!$B$39&lt;&gt;"pvp",Inputs!$B$44&gt;0),((Skills!G4*((R1154-1)*IF(Skills!H4&gt;0,Skills!I4/Skills!H4,1)+IF(Skills!H4&gt;0,MIN(Skills!I4,MAX(0,MAX(0,Inputs!$B$44-B1195)-((R1154-1)*IF(Inputs!$B$39="pvp",15,MAX(0.1,Skills!D4-IF(Skills!E4=TRUE,Inputs!$B$32,0))))))/Skills!H4,1)))/Inputs!$B$44),G1154*Q1154))*IF(Inputs!$B$39="pvp",1,1+(Inputs!$B$20+((C1177=TRUE)*(F1177-Calc!F27))+Skills!P4+B1191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Hunt"),CHOOSE(ArtifactsInput!$N$35+1,15,18,21,24,27,30)*(1-EXP(-(0.2*B1186)*5)),0)+IF(AND(ArtifactsInput!$M$22,Inputs!$B$4&lt;&gt;"Chapter Hunt"),CHOOSE(ArtifactsInput!$N$22+1,10,12,14,16,18,20)*((0*(((0.15*B1186*5))^0/1)+1*(((0.15*B1186*5))^1/1)+2*(((0.15*B1186*5))^2/2)+3*(((0.15*B1186*5))^3/6)+4*(((0.15*B1186*5))^4/24)+5*(((0.15*B1186*5))^5/120))/((((0.15*B1186*5))^0/1)+(((0.15*B1186*5))^1/1)+(((0.15*B1186*5))^2/2)+(((0.15*B1186*5))^3/6)+(((0.15*B1186*5))^4/24)+(((0.15*B1186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1154*(1-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1154*(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1154*(1-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1154*(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54">
        <f>MAX(0,(Inputs!$B$3-100)*3)+Inputs!$B$28+Inputs!$B$29</f>
        <v/>
      </c>
      <c r="V1154">
        <f>IF(C1154,(H1154*N1154*IF(AND(Inputs!$B$39&lt;&gt;"pvp",Inputs!$B$44&gt;0),((Skills!G4*((R1154-1)*IF(Skills!H4&gt;0,Skills!I4/Skills!H4,1)+IF(Skills!H4&gt;0,MIN(Skills!I4,MAX(0,MAX(0,Inputs!$B$44-B1195)-((R1154-1)*IF(Inputs!$B$39="pvp",15,MAX(0.1,Skills!D4-IF(Skills!E4=TRUE,Inputs!$B$32,0))))))/Skills!H4,1)))/Inputs!$B$44),G1154*Q1154))*IF(Inputs!$B$39="pvp",1,(1+(Inputs!$B$21+Skills!Q4+B1191+(IF(ArtifactsInput!$M$33,CHOOSE(ArtifactsInput!$N$33+1,30,36,42,48,54,60),0))+(IF(AND(ArtifactsInput!$M$35,Inputs!$B$4&lt;&gt;"Chapter Hunt"),CHOOSE(ArtifactsInput!$N$35+1,15,18,21,24,27,30)*(1-EXP(-(0.2*B1186)*5)),0)+IF(AND(ArtifactsInput!$M$22,Inputs!$B$4&lt;&gt;"Chapter Hunt"),CHOOSE(ArtifactsInput!$N$22+1,10,12,14,16,18,20)*((0*(((0.15*B1186*5))^0/1)+1*(((0.15*B1186*5))^1/1)+2*(((0.15*B1186*5))^2/2)+3*(((0.15*B1186*5))^3/6)+4*(((0.15*B1186*5))^4/24)+5*(((0.15*B1186*5))^5/120))/((((0.15*B1186*5))^0/1)+(((0.15*B1186*5))^1/1)+(((0.15*B1186*5))^2/2)+(((0.15*B1186*5))^3/6)+(((0.15*B1186*5))^4/24)+(((0.15*B1186*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55">
      <c r="A1155">
        <f>Skills!A5</f>
        <v/>
      </c>
      <c r="B1155">
        <f>Skills!B5</f>
        <v/>
      </c>
      <c r="C1155">
        <f>Inputs!$B$3&gt;=63</f>
        <v/>
      </c>
      <c r="D1155">
        <f>IF(Skills!C5=1,60+Inputs!$B$25+Inputs!$B$29,IF(Skills!C5=2,90+Inputs!$B$26+Inputs!$B$29,IF(Skills!C5=3,120+Inputs!$B$27+Inputs!$B$29,MAX(0,(Inputs!$B$3-100)*3)+Inputs!$B$28+Inputs!$B$29)))</f>
        <v/>
      </c>
      <c r="E1155">
        <f>INDEX(FactorTable!$B$2:$Y$301, MATCH(ROUND(MIN(300,MAX(1,D1155)),0), FactorTable!$A$2:$A$301,0), Skills!M5+1)</f>
        <v/>
      </c>
      <c r="F1155">
        <f>IF(Skills!N5=TRUE,(Skills!L5/10)*(E1155/1000),Skills!L5/10)+Skills!O5</f>
        <v/>
      </c>
      <c r="G1155">
        <f>Calc!G5</f>
        <v/>
      </c>
      <c r="H1155">
        <f>Calc!H5</f>
        <v/>
      </c>
      <c r="I1155">
        <f>IF(Skills!AA5&lt;&gt;"",1+(Skills!AA5/10)*(U1153/1000)/100,1)</f>
        <v/>
      </c>
      <c r="J1155">
        <f>((Inputs!$B$6*(1+(Inputs!$B$7+1)/100))+(((Inputs!$B$12*(1+Inputs!$B$13/100))-(Inputs!$B$12*(1+Inputs!$B$13/100)))+0.25*(Inputs!$B$14-Inputs!$B$14))*(1+(Inputs!$B$7+1)/100))*(F1155/100)</f>
        <v/>
      </c>
      <c r="K1155">
        <f>J1155*(1+((Inputs!$B$12*(1+Inputs!$B$13/100))*0.01+Inputs!$B$14*0.0025)/100)*(1+Inputs!$B$15/100)*(1+Inputs!$B$16/100)*(5000/(6000+Inputs!$B$43*(1-(100*(1-(1-(Inputs!$B$19+0)/100)*(1-CHOOSE(ArtifactsInput!$N$40+1,5,6,7,8,9,10)/100)^(ArtifactsInput!$M$40-ArtifactsInput!$M$40)))/100)))*(1+(Inputs!$B$24+((C1180=TRUE)*(F1180-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1173=TRUE)*(F1173-Calc!F23))+(((IF(AND(ArtifactsInput!$M$42,((Inputs!$B$9+((C1175=TRUE)*(F1175-Calc!F25))+B1190+(ArtifactsInput!$M$24-ArtifactsInput!$M$24)*CHOOSE(ArtifactsInput!$N$24+1,10,12,14,16,18,20)+IF(ArtifactsInput!$M$10,CHOOSE(ArtifactsInput!$N$10+1,15,18,21,24,27,30)*(IF(Inputs!$B$39="pvp",MIN(15,15)/15,IF(AND(Inputs!$B$39&lt;&gt;"pvp",Inputs!$B$44&gt;0),MIN(15,Inputs!$B$44)/(Inputs!$B$44),0))),0)))&gt;=100),MIN(100,((Inputs!$B$9+((C1175=TRUE)*(F1175-Calc!F25))+B1190+(ArtifactsInput!$M$24-ArtifactsInput!$M$24)*CHOOSE(ArtifactsInput!$N$24+1,10,12,14,16,18,20)+IF(ArtifactsInput!$M$10,CHOOSE(ArtifactsInput!$N$10+1,15,18,21,24,27,30)*(IF(Inputs!$B$39="pvp",MIN(15,15)/15,IF(AND(Inputs!$B$39&lt;&gt;"pvp",Inputs!$B$44&gt;0),MIN(15,Inputs!$B$44)/(Inputs!$B$44),0))),0)))-100),0))*CHOOSE(ArtifactsInput!$N$42+1,0.6,0.72,0.84,0.96,1.08,1.2))),Inputs!$B$18+((C1179=TRUE)*(F1179-Calc!F29))+(IF(AND(ArtifactsInput!$M$42,((Inputs!$B$9+((C1175=TRUE)*(F1175-Calc!F25))+B1190+(ArtifactsInput!$M$24-ArtifactsInput!$M$24)*CHOOSE(ArtifactsInput!$N$24+1,10,12,14,16,18,20)+IF(ArtifactsInput!$M$10,CHOOSE(ArtifactsInput!$N$10+1,15,18,21,24,27,30)*(IF(Inputs!$B$39="pvp",MIN(15,15)/15,IF(AND(Inputs!$B$39&lt;&gt;"pvp",Inputs!$B$44&gt;0),MIN(15,Inputs!$B$44)/(Inputs!$B$44),0))),0)))&gt;=100),CHOOSE(ArtifactsInput!$N$42+1,40,48,56,64,72,80),0))))/100)*(((1+(((C1171=TRUE)*F1171*IF(AND(Inputs!$B$39&lt;&gt;"pvp",Inputs!$B$44&gt;0),(((R1171-1)*(Skills!Y21*(1+Inputs!$B$34/100))+MIN((Skills!Y21*(1+Inputs!$B$34/100)),MAX(0,Inputs!$B$44-((R1171-1)*Skills!D21))))/Inputs!$B$44),IF(Inputs!$B$39="pvp",MIN((Skills!Y21*(1+Inputs!$B$34/100)),15)/15,(Skills!Y21*(1+Inputs!$B$34/100))/Skills!D21)))+((C1178=TRUE)*(F1178-Calc!F28))+((C1168=TRUE)*(F1168-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1165=TRUE)*F1165*IF(AND(Inputs!$B$39&lt;&gt;"pvp",Inputs!$B$44&gt;0),(((R1165-1)*(Skills!Y15*(1+Inputs!$B$34/100))+MIN((Skills!Y15*(1+Inputs!$B$34/100)),MAX(0,Inputs!$B$44-((R1165-1)*Skills!D15))))/Inputs!$B$44),IF(Inputs!$B$39="pvp",MIN((Skills!Y15*(1+Inputs!$B$34/100)),15)/15,(Skills!Y15*(1+Inputs!$B$34/100))/Skills!D15)))/100)*(1+((C1156=TRUE)*F1156*B1184)/100))*B1192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1155)</f>
        <v/>
      </c>
      <c r="L1155">
        <f>K1155*(MIN(Inputs!$B$22+((C1174=TRUE)*(F1174-Calc!F24)),(Inputs!$B$23+0+(IF(ArtifactsInput!$M$15,CHOOSE(ArtifactsInput!$N$15+1,25,30,35,40,45,50)/100*(Inputs!$B$11-Inputs!$B$11),0))))/100+(Inputs!$B$23+0+(IF(ArtifactsInput!$M$15,CHOOSE(ArtifactsInput!$N$15+1,25,30,35,40,45,50)/100*(Inputs!$B$11-Inputs!$B$11),0)))/100)/2</f>
        <v/>
      </c>
      <c r="M1155">
        <f>L1155*(1+(Inputs!$B$10+((C1176=TRUE)*(F1176-Calc!F26))+B1193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55">
        <f>L1155*(1-MIN((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1155*(MIN((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55">
        <f>(1-Summary!$B$11)*T1155+Summary!$B$11*V1155</f>
        <v/>
      </c>
      <c r="P1155">
        <f>IF(B1194=0,0,O1155/B1194)</f>
        <v/>
      </c>
      <c r="Q1155">
        <f>IFERROR(1/IF(Inputs!$B$39="pvp",15,MAX(0.1,Skills!D5-IF(Skills!E5=TRUE,Inputs!$B$32,0))),0)</f>
        <v/>
      </c>
      <c r="R1155">
        <f>IF(AND(Inputs!$B$39&lt;&gt;"pvp",Inputs!$B$44&gt;0),IF(MAX(0,Inputs!$B$44-B1195)&lt;=0,0,(INT(MAX(0,Inputs!$B$44-B1195)/IF(Inputs!$B$39="pvp",15,MAX(0.1,Skills!D5-IF(Skills!E5=TRUE,Inputs!$B$32,0))))+1)),0)</f>
        <v/>
      </c>
      <c r="S1155">
        <f>IFERROR(O1155/N1155,0)</f>
        <v/>
      </c>
      <c r="T1155">
        <f>IF(C1155,(H1155*N1155*IF(AND(Inputs!$B$39&lt;&gt;"pvp",Inputs!$B$44&gt;0),((Skills!G5*((R1155-1)*IF(Skills!H5&gt;0,Skills!I5/Skills!H5,1)+IF(Skills!H5&gt;0,MIN(Skills!I5,MAX(0,MAX(0,Inputs!$B$44-B1195)-((R1155-1)*IF(Inputs!$B$39="pvp",15,MAX(0.1,Skills!D5-IF(Skills!E5=TRUE,Inputs!$B$32,0))))))/Skills!H5,1)))/Inputs!$B$44),G1155*Q1155))*IF(Inputs!$B$39="pvp",1,1+(Inputs!$B$20+((C1177=TRUE)*(F1177-Calc!F27))+Skills!P5+B1191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Hunt"),CHOOSE(ArtifactsInput!$N$35+1,15,18,21,24,27,30)*(1-EXP(-(0.2*B1186)*5)),0)+IF(AND(ArtifactsInput!$M$22,Inputs!$B$4&lt;&gt;"Chapter Hunt"),CHOOSE(ArtifactsInput!$N$22+1,10,12,14,16,18,20)*((0*(((0.15*B1186*5))^0/1)+1*(((0.15*B1186*5))^1/1)+2*(((0.15*B1186*5))^2/2)+3*(((0.15*B1186*5))^3/6)+4*(((0.15*B1186*5))^4/24)+5*(((0.15*B1186*5))^5/120))/((((0.15*B1186*5))^0/1)+(((0.15*B1186*5))^1/1)+(((0.15*B1186*5))^2/2)+(((0.15*B1186*5))^3/6)+(((0.15*B1186*5))^4/24)+(((0.15*B1186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1155*(1-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1155*(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1155*(1-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1155*(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55">
        <f>INDEX(FactorTable!$B$2:$Y$301, MATCH(ROUND(MIN(300,MAX(1,U1154)),0), FactorTable!$A$2:$A$301,0), 22)</f>
        <v/>
      </c>
      <c r="V1155">
        <f>IF(C1155,(H1155*N1155*IF(AND(Inputs!$B$39&lt;&gt;"pvp",Inputs!$B$44&gt;0),((Skills!G5*((R1155-1)*IF(Skills!H5&gt;0,Skills!I5/Skills!H5,1)+IF(Skills!H5&gt;0,MIN(Skills!I5,MAX(0,MAX(0,Inputs!$B$44-B1195)-((R1155-1)*IF(Inputs!$B$39="pvp",15,MAX(0.1,Skills!D5-IF(Skills!E5=TRUE,Inputs!$B$32,0))))))/Skills!H5,1)))/Inputs!$B$44),G1155*Q1155))*IF(Inputs!$B$39="pvp",1,(1+(Inputs!$B$21+Skills!Q5+B1191+(IF(ArtifactsInput!$M$33,CHOOSE(ArtifactsInput!$N$33+1,30,36,42,48,54,60),0))+(IF(AND(ArtifactsInput!$M$35,Inputs!$B$4&lt;&gt;"Chapter Hunt"),CHOOSE(ArtifactsInput!$N$35+1,15,18,21,24,27,30)*(1-EXP(-(0.2*B1186)*5)),0)+IF(AND(ArtifactsInput!$M$22,Inputs!$B$4&lt;&gt;"Chapter Hunt"),CHOOSE(ArtifactsInput!$N$22+1,10,12,14,16,18,20)*((0*(((0.15*B1186*5))^0/1)+1*(((0.15*B1186*5))^1/1)+2*(((0.15*B1186*5))^2/2)+3*(((0.15*B1186*5))^3/6)+4*(((0.15*B1186*5))^4/24)+5*(((0.15*B1186*5))^5/120))/((((0.15*B1186*5))^0/1)+(((0.15*B1186*5))^1/1)+(((0.15*B1186*5))^2/2)+(((0.15*B1186*5))^3/6)+(((0.15*B1186*5))^4/24)+(((0.15*B1186*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56">
      <c r="A1156">
        <f>Skills!A6</f>
        <v/>
      </c>
      <c r="B1156">
        <f>Skills!B6</f>
        <v/>
      </c>
      <c r="C1156">
        <f>Inputs!$B$3&gt;=66</f>
        <v/>
      </c>
      <c r="D1156">
        <f>IF(Skills!C6=1,60+Inputs!$B$25+Inputs!$B$29,IF(Skills!C6=2,90+Inputs!$B$26+Inputs!$B$29,IF(Skills!C6=3,120+Inputs!$B$27+Inputs!$B$29,MAX(0,(Inputs!$B$3-100)*3)+Inputs!$B$28+Inputs!$B$29)))</f>
        <v/>
      </c>
      <c r="E1156">
        <f>INDEX(FactorTable!$B$2:$Y$301, MATCH(ROUND(MIN(300,MAX(1,D1156)),0), FactorTable!$A$2:$A$301,0), Skills!M6+1)</f>
        <v/>
      </c>
      <c r="F1156">
        <f>IF(Skills!N6=TRUE,(Skills!L6/10)*(E1156/1000),Skills!L6/10)+Skills!O6</f>
        <v/>
      </c>
      <c r="G1156">
        <f>Calc!G6</f>
        <v/>
      </c>
      <c r="H1156">
        <f>Calc!H6</f>
        <v/>
      </c>
      <c r="I1156">
        <f>IF(Skills!AA6&lt;&gt;"",1+(Skills!AA6/10)*(U1153/1000)/100,1)</f>
        <v/>
      </c>
      <c r="J1156" t="inlineStr"/>
      <c r="K1156" t="inlineStr"/>
      <c r="L1156" t="inlineStr"/>
      <c r="M1156" t="inlineStr"/>
      <c r="N1156" t="inlineStr"/>
      <c r="O1156">
        <f>(1-Summary!$B$11)*T1156+Summary!$B$11*V1156</f>
        <v/>
      </c>
      <c r="P1156">
        <f>IF(B1194=0,0,O1156/B1194)</f>
        <v/>
      </c>
      <c r="Q1156" t="n">
        <v>0</v>
      </c>
      <c r="R1156" t="n">
        <v>0</v>
      </c>
      <c r="S1156">
        <f>IFERROR(O1156/N1156,0)</f>
        <v/>
      </c>
      <c r="T1156" t="n">
        <v>0</v>
      </c>
      <c r="U1156">
        <f>290*U1155/1000</f>
        <v/>
      </c>
      <c r="V1156" t="n">
        <v>0</v>
      </c>
    </row>
    <row r="1157">
      <c r="A1157">
        <f>Skills!A7</f>
        <v/>
      </c>
      <c r="B1157">
        <f>Skills!B7</f>
        <v/>
      </c>
      <c r="C1157">
        <f>Inputs!$B$3&gt;=66</f>
        <v/>
      </c>
      <c r="D1157">
        <f>IF(Skills!C7=1,60+Inputs!$B$25+Inputs!$B$29,IF(Skills!C7=2,90+Inputs!$B$26+Inputs!$B$29,IF(Skills!C7=3,120+Inputs!$B$27+Inputs!$B$29,MAX(0,(Inputs!$B$3-100)*3)+Inputs!$B$28+Inputs!$B$29)))</f>
        <v/>
      </c>
      <c r="E1157">
        <f>INDEX(FactorTable!$B$2:$Y$301, MATCH(ROUND(MIN(300,MAX(1,D1157)),0), FactorTable!$A$2:$A$301,0), Skills!M7+1)</f>
        <v/>
      </c>
      <c r="F1157">
        <f>IF(Skills!N7=TRUE,(Skills!L7/10)*(E1157/1000),Skills!L7/10)+Skills!O7</f>
        <v/>
      </c>
      <c r="G1157">
        <f>Calc!G7</f>
        <v/>
      </c>
      <c r="H1157">
        <f>Calc!H7</f>
        <v/>
      </c>
      <c r="I1157">
        <f>IF(Skills!AA7&lt;&gt;"",1+(Skills!AA7/10)*(U1153/1000)/100,1)</f>
        <v/>
      </c>
      <c r="J1157" t="inlineStr"/>
      <c r="K1157" t="inlineStr"/>
      <c r="L1157" t="inlineStr"/>
      <c r="M1157" t="inlineStr"/>
      <c r="N1157" t="inlineStr"/>
      <c r="O1157">
        <f>(1-Summary!$B$11)*T1157+Summary!$B$11*V1157</f>
        <v/>
      </c>
      <c r="P1157">
        <f>IF(B1194=0,0,O1157/B1194)</f>
        <v/>
      </c>
      <c r="Q1157" t="n">
        <v>0</v>
      </c>
      <c r="R1157" t="n">
        <v>0</v>
      </c>
      <c r="S1157">
        <f>IFERROR(O1157/N1157,0)</f>
        <v/>
      </c>
      <c r="T1157" t="n">
        <v>0</v>
      </c>
      <c r="V1157" t="n">
        <v>0</v>
      </c>
    </row>
    <row r="1158">
      <c r="A1158">
        <f>Skills!A8</f>
        <v/>
      </c>
      <c r="B1158">
        <f>Skills!B8</f>
        <v/>
      </c>
      <c r="C1158">
        <f>Inputs!$B$3&gt;=69</f>
        <v/>
      </c>
      <c r="D1158">
        <f>IF(Skills!C8=1,60+Inputs!$B$25+Inputs!$B$29,IF(Skills!C8=2,90+Inputs!$B$26+Inputs!$B$29,IF(Skills!C8=3,120+Inputs!$B$27+Inputs!$B$29,MAX(0,(Inputs!$B$3-100)*3)+Inputs!$B$28+Inputs!$B$29)))</f>
        <v/>
      </c>
      <c r="E1158">
        <f>INDEX(FactorTable!$B$2:$Y$301, MATCH(ROUND(MIN(300,MAX(1,D1158)),0), FactorTable!$A$2:$A$301,0), Skills!M8+1)</f>
        <v/>
      </c>
      <c r="F1158">
        <f>IF(Skills!N8=TRUE,(Skills!L8/10)*(E1158/1000),Skills!L8/10)+Skills!O8</f>
        <v/>
      </c>
      <c r="G1158">
        <f>Calc!G8</f>
        <v/>
      </c>
      <c r="H1158">
        <f>Calc!H8</f>
        <v/>
      </c>
      <c r="I1158">
        <f>IF(Skills!AA8&lt;&gt;"",1+(Skills!AA8/10)*(U1153/1000)/100,1)</f>
        <v/>
      </c>
      <c r="J1158">
        <f>((Inputs!$B$6*(1+(Inputs!$B$7+1)/100))+(((Inputs!$B$12*(1+Inputs!$B$13/100))-(Inputs!$B$12*(1+Inputs!$B$13/100)))+0.25*(Inputs!$B$14-Inputs!$B$14))*(1+(Inputs!$B$7+1)/100))*(F1158/100)</f>
        <v/>
      </c>
      <c r="K1158">
        <f>J1158*(1+((Inputs!$B$12*(1+Inputs!$B$13/100))*0.01+Inputs!$B$14*0.0025)/100)*(1+Inputs!$B$15/100)*(1+Inputs!$B$16/100)*(5000/(6000+Inputs!$B$43*(1-(100*(1-(1-(Inputs!$B$19+0)/100)*(1-CHOOSE(ArtifactsInput!$N$40+1,5,6,7,8,9,10)/100)^(ArtifactsInput!$M$40-ArtifactsInput!$M$40)))/100)))*(1+(Inputs!$B$24+((C1180=TRUE)*(F1180-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1173=TRUE)*(F1173-Calc!F23))+(((IF(AND(ArtifactsInput!$M$42,((Inputs!$B$9+((C1175=TRUE)*(F1175-Calc!F25))+B1190+(ArtifactsInput!$M$24-ArtifactsInput!$M$24)*CHOOSE(ArtifactsInput!$N$24+1,10,12,14,16,18,20)+IF(ArtifactsInput!$M$10,CHOOSE(ArtifactsInput!$N$10+1,15,18,21,24,27,30)*(IF(Inputs!$B$39="pvp",MIN(15,15)/15,IF(AND(Inputs!$B$39&lt;&gt;"pvp",Inputs!$B$44&gt;0),MIN(15,Inputs!$B$44)/(Inputs!$B$44),0))),0)))&gt;=100),MIN(100,((Inputs!$B$9+((C1175=TRUE)*(F1175-Calc!F25))+B1190+(ArtifactsInput!$M$24-ArtifactsInput!$M$24)*CHOOSE(ArtifactsInput!$N$24+1,10,12,14,16,18,20)+IF(ArtifactsInput!$M$10,CHOOSE(ArtifactsInput!$N$10+1,15,18,21,24,27,30)*(IF(Inputs!$B$39="pvp",MIN(15,15)/15,IF(AND(Inputs!$B$39&lt;&gt;"pvp",Inputs!$B$44&gt;0),MIN(15,Inputs!$B$44)/(Inputs!$B$44),0))),0)))-100),0))*CHOOSE(ArtifactsInput!$N$42+1,0.6,0.72,0.84,0.96,1.08,1.2))),Inputs!$B$18+((C1179=TRUE)*(F1179-Calc!F29))+(IF(AND(ArtifactsInput!$M$42,((Inputs!$B$9+((C1175=TRUE)*(F1175-Calc!F25))+B1190+(ArtifactsInput!$M$24-ArtifactsInput!$M$24)*CHOOSE(ArtifactsInput!$N$24+1,10,12,14,16,18,20)+IF(ArtifactsInput!$M$10,CHOOSE(ArtifactsInput!$N$10+1,15,18,21,24,27,30)*(IF(Inputs!$B$39="pvp",MIN(15,15)/15,IF(AND(Inputs!$B$39&lt;&gt;"pvp",Inputs!$B$44&gt;0),MIN(15,Inputs!$B$44)/(Inputs!$B$44),0))),0)))&gt;=100),CHOOSE(ArtifactsInput!$N$42+1,40,48,56,64,72,80),0))))/100)*(((1+(((C1171=TRUE)*F1171*IF(AND(Inputs!$B$39&lt;&gt;"pvp",Inputs!$B$44&gt;0),(((R1171-1)*(Skills!Y21*(1+Inputs!$B$34/100))+MIN((Skills!Y21*(1+Inputs!$B$34/100)),MAX(0,Inputs!$B$44-((R1171-1)*Skills!D21))))/Inputs!$B$44),IF(Inputs!$B$39="pvp",MIN((Skills!Y21*(1+Inputs!$B$34/100)),15)/15,(Skills!Y21*(1+Inputs!$B$34/100))/Skills!D21)))+((C1178=TRUE)*(F1178-Calc!F28))+((C1168=TRUE)*(F1168-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1165=TRUE)*F1165*IF(AND(Inputs!$B$39&lt;&gt;"pvp",Inputs!$B$44&gt;0),(((R1165-1)*(Skills!Y15*(1+Inputs!$B$34/100))+MIN((Skills!Y15*(1+Inputs!$B$34/100)),MAX(0,Inputs!$B$44-((R1165-1)*Skills!D15))))/Inputs!$B$44),IF(Inputs!$B$39="pvp",MIN((Skills!Y15*(1+Inputs!$B$34/100)),15)/15,(Skills!Y15*(1+Inputs!$B$34/100))/Skills!D15)))/100)*(1+((C1156=TRUE)*F1156*B1184)/100))*B1192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1158)</f>
        <v/>
      </c>
      <c r="L1158">
        <f>K1158*(MIN(Inputs!$B$22+((C1174=TRUE)*(F1174-Calc!F24)),(Inputs!$B$23+0+(IF(ArtifactsInput!$M$15,CHOOSE(ArtifactsInput!$N$15+1,25,30,35,40,45,50)/100*(Inputs!$B$11-Inputs!$B$11),0))))/100+(Inputs!$B$23+0+(IF(ArtifactsInput!$M$15,CHOOSE(ArtifactsInput!$N$15+1,25,30,35,40,45,50)/100*(Inputs!$B$11-Inputs!$B$11),0)))/100)/2</f>
        <v/>
      </c>
      <c r="M1158">
        <f>L1158*(1+(Inputs!$B$10+((C1176=TRUE)*(F1176-Calc!F26))+B1193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58">
        <f>L1158*(1-MIN((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1158*(MIN((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58">
        <f>(1-Summary!$B$11)*T1158+Summary!$B$11*V1158</f>
        <v/>
      </c>
      <c r="P1158">
        <f>IF(B1194=0,0,O1158/B1194)</f>
        <v/>
      </c>
      <c r="Q1158">
        <f>IFERROR(1/IF(Inputs!$B$39="pvp",15,MAX(0.1,Skills!D8-IF(Skills!E8=TRUE,Inputs!$B$32,0))),0)</f>
        <v/>
      </c>
      <c r="R1158">
        <f>IF(AND(Inputs!$B$39&lt;&gt;"pvp",Inputs!$B$44&gt;0),IF(MAX(0,Inputs!$B$44-B1195)&lt;=0,0,(INT(MAX(0,Inputs!$B$44-B1195)/IF(Inputs!$B$39="pvp",15,MAX(0.1,Skills!D8-IF(Skills!E8=TRUE,Inputs!$B$32,0))))+1)),0)</f>
        <v/>
      </c>
      <c r="S1158">
        <f>IFERROR(O1158/N1158,0)</f>
        <v/>
      </c>
      <c r="T1158">
        <f>IF(C1158,(H1158*N1158*IF(AND(Inputs!$B$39&lt;&gt;"pvp",Inputs!$B$44&gt;0),((Skills!G8*((R1158-1)*IF(Skills!H8&gt;0,Skills!I8/Skills!H8,1)+IF(Skills!H8&gt;0,MIN(Skills!I8,MAX(0,MAX(0,Inputs!$B$44-B1195)-((R1158-1)*IF(Inputs!$B$39="pvp",15,MAX(0.1,Skills!D8-IF(Skills!E8=TRUE,Inputs!$B$32,0))))))/Skills!H8,1)))/Inputs!$B$44),G1158*Q1158))*IF(Inputs!$B$39="pvp",1,1+(Inputs!$B$20+((C1177=TRUE)*(F1177-Calc!F27))+Skills!P8+B1191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Hunt"),CHOOSE(ArtifactsInput!$N$35+1,15,18,21,24,27,30)*(1-EXP(-(0.2*B1186)*5)),0)+IF(AND(ArtifactsInput!$M$22,Inputs!$B$4&lt;&gt;"Chapter Hunt"),CHOOSE(ArtifactsInput!$N$22+1,10,12,14,16,18,20)*((0*(((0.15*B1186*5))^0/1)+1*(((0.15*B1186*5))^1/1)+2*(((0.15*B1186*5))^2/2)+3*(((0.15*B1186*5))^3/6)+4*(((0.15*B1186*5))^4/24)+5*(((0.15*B1186*5))^5/120))/((((0.15*B1186*5))^0/1)+(((0.15*B1186*5))^1/1)+(((0.15*B1186*5))^2/2)+(((0.15*B1186*5))^3/6)+(((0.15*B1186*5))^4/24)+(((0.15*B1186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1158*(1-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1158*(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1158*(1-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1158*(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58">
        <f>IF(C1158,(H1158*N1158*IF(AND(Inputs!$B$39&lt;&gt;"pvp",Inputs!$B$44&gt;0),((Skills!G8*((R1158-1)*IF(Skills!H8&gt;0,Skills!I8/Skills!H8,1)+IF(Skills!H8&gt;0,MIN(Skills!I8,MAX(0,MAX(0,Inputs!$B$44-B1195)-((R1158-1)*IF(Inputs!$B$39="pvp",15,MAX(0.1,Skills!D8-IF(Skills!E8=TRUE,Inputs!$B$32,0))))))/Skills!H8,1)))/Inputs!$B$44),G1158*Q1158))*IF(Inputs!$B$39="pvp",1,(1+(Inputs!$B$21+Skills!Q8+B1191+(IF(ArtifactsInput!$M$33,CHOOSE(ArtifactsInput!$N$33+1,30,36,42,48,54,60),0))+(IF(AND(ArtifactsInput!$M$35,Inputs!$B$4&lt;&gt;"Chapter Hunt"),CHOOSE(ArtifactsInput!$N$35+1,15,18,21,24,27,30)*(1-EXP(-(0.2*B1186)*5)),0)+IF(AND(ArtifactsInput!$M$22,Inputs!$B$4&lt;&gt;"Chapter Hunt"),CHOOSE(ArtifactsInput!$N$22+1,10,12,14,16,18,20)*((0*(((0.15*B1186*5))^0/1)+1*(((0.15*B1186*5))^1/1)+2*(((0.15*B1186*5))^2/2)+3*(((0.15*B1186*5))^3/6)+4*(((0.15*B1186*5))^4/24)+5*(((0.15*B1186*5))^5/120))/((((0.15*B1186*5))^0/1)+(((0.15*B1186*5))^1/1)+(((0.15*B1186*5))^2/2)+(((0.15*B1186*5))^3/6)+(((0.15*B1186*5))^4/24)+(((0.15*B1186*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59">
      <c r="A1159">
        <f>Skills!A9</f>
        <v/>
      </c>
      <c r="B1159">
        <f>Skills!B9</f>
        <v/>
      </c>
      <c r="C1159">
        <f>Inputs!$B$3&gt;=72</f>
        <v/>
      </c>
      <c r="D1159">
        <f>IF(Skills!C9=1,60+Inputs!$B$25+Inputs!$B$29,IF(Skills!C9=2,90+Inputs!$B$26+Inputs!$B$29,IF(Skills!C9=3,120+Inputs!$B$27+Inputs!$B$29,MAX(0,(Inputs!$B$3-100)*3)+Inputs!$B$28+Inputs!$B$29)))</f>
        <v/>
      </c>
      <c r="E1159">
        <f>INDEX(FactorTable!$B$2:$Y$301, MATCH(ROUND(MIN(300,MAX(1,D1159)),0), FactorTable!$A$2:$A$301,0), Skills!M9+1)</f>
        <v/>
      </c>
      <c r="F1159">
        <f>IF(Skills!N9=TRUE,(Skills!L9/10)*(E1159/1000),Skills!L9/10)+Skills!O9</f>
        <v/>
      </c>
      <c r="G1159">
        <f>Calc!G9</f>
        <v/>
      </c>
      <c r="H1159">
        <f>Calc!H9</f>
        <v/>
      </c>
      <c r="I1159">
        <f>IF(Skills!AA9&lt;&gt;"",1+(Skills!AA9/10)*(U1153/1000)/100,1)</f>
        <v/>
      </c>
      <c r="J1159">
        <f>((Inputs!$B$6*(1+(Inputs!$B$7+1)/100))+(((Inputs!$B$12*(1+Inputs!$B$13/100))-(Inputs!$B$12*(1+Inputs!$B$13/100)))+0.25*(Inputs!$B$14-Inputs!$B$14))*(1+(Inputs!$B$7+1)/100))*(F1159/100)</f>
        <v/>
      </c>
      <c r="K1159">
        <f>J1159*(1+((Inputs!$B$12*(1+Inputs!$B$13/100))*0.01+Inputs!$B$14*0.0025)/100)*(1+Inputs!$B$15/100)*(1+Inputs!$B$16/100)*(5000/(6000+Inputs!$B$43*(1-(100*(1-(1-(Inputs!$B$19+0)/100)*(1-CHOOSE(ArtifactsInput!$N$40+1,5,6,7,8,9,10)/100)^(ArtifactsInput!$M$40-ArtifactsInput!$M$40)))/100)))*(1+(Inputs!$B$24+((C1180=TRUE)*(F1180-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1173=TRUE)*(F1173-Calc!F23))+(((IF(AND(ArtifactsInput!$M$42,((Inputs!$B$9+((C1175=TRUE)*(F1175-Calc!F25))+B1190+(ArtifactsInput!$M$24-ArtifactsInput!$M$24)*CHOOSE(ArtifactsInput!$N$24+1,10,12,14,16,18,20)+IF(ArtifactsInput!$M$10,CHOOSE(ArtifactsInput!$N$10+1,15,18,21,24,27,30)*(IF(Inputs!$B$39="pvp",MIN(15,15)/15,IF(AND(Inputs!$B$39&lt;&gt;"pvp",Inputs!$B$44&gt;0),MIN(15,Inputs!$B$44)/(Inputs!$B$44),0))),0)))&gt;=100),MIN(100,((Inputs!$B$9+((C1175=TRUE)*(F1175-Calc!F25))+B1190+(ArtifactsInput!$M$24-ArtifactsInput!$M$24)*CHOOSE(ArtifactsInput!$N$24+1,10,12,14,16,18,20)+IF(ArtifactsInput!$M$10,CHOOSE(ArtifactsInput!$N$10+1,15,18,21,24,27,30)*(IF(Inputs!$B$39="pvp",MIN(15,15)/15,IF(AND(Inputs!$B$39&lt;&gt;"pvp",Inputs!$B$44&gt;0),MIN(15,Inputs!$B$44)/(Inputs!$B$44),0))),0)))-100),0))*CHOOSE(ArtifactsInput!$N$42+1,0.6,0.72,0.84,0.96,1.08,1.2))),Inputs!$B$18+((C1179=TRUE)*(F1179-Calc!F29))+(IF(AND(ArtifactsInput!$M$42,((Inputs!$B$9+((C1175=TRUE)*(F1175-Calc!F25))+B1190+(ArtifactsInput!$M$24-ArtifactsInput!$M$24)*CHOOSE(ArtifactsInput!$N$24+1,10,12,14,16,18,20)+IF(ArtifactsInput!$M$10,CHOOSE(ArtifactsInput!$N$10+1,15,18,21,24,27,30)*(IF(Inputs!$B$39="pvp",MIN(15,15)/15,IF(AND(Inputs!$B$39&lt;&gt;"pvp",Inputs!$B$44&gt;0),MIN(15,Inputs!$B$44)/(Inputs!$B$44),0))),0)))&gt;=100),CHOOSE(ArtifactsInput!$N$42+1,40,48,56,64,72,80),0))))/100)*(((1+(((C1171=TRUE)*F1171*IF(AND(Inputs!$B$39&lt;&gt;"pvp",Inputs!$B$44&gt;0),(((R1171-1)*(Skills!Y21*(1+Inputs!$B$34/100))+MIN((Skills!Y21*(1+Inputs!$B$34/100)),MAX(0,Inputs!$B$44-((R1171-1)*Skills!D21))))/Inputs!$B$44),IF(Inputs!$B$39="pvp",MIN((Skills!Y21*(1+Inputs!$B$34/100)),15)/15,(Skills!Y21*(1+Inputs!$B$34/100))/Skills!D21)))+((C1178=TRUE)*(F1178-Calc!F28))+((C1168=TRUE)*(F1168-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1165=TRUE)*F1165*IF(AND(Inputs!$B$39&lt;&gt;"pvp",Inputs!$B$44&gt;0),(((R1165-1)*(Skills!Y15*(1+Inputs!$B$34/100))+MIN((Skills!Y15*(1+Inputs!$B$34/100)),MAX(0,Inputs!$B$44-((R1165-1)*Skills!D15))))/Inputs!$B$44),IF(Inputs!$B$39="pvp",MIN((Skills!Y15*(1+Inputs!$B$34/100)),15)/15,(Skills!Y15*(1+Inputs!$B$34/100))/Skills!D15)))/100)*(1+((C1156=TRUE)*F1156*B1184)/100))*B1192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1159)</f>
        <v/>
      </c>
      <c r="L1159">
        <f>K1159*(MIN(Inputs!$B$22+((C1174=TRUE)*(F1174-Calc!F24)),(Inputs!$B$23+0+(IF(ArtifactsInput!$M$15,CHOOSE(ArtifactsInput!$N$15+1,25,30,35,40,45,50)/100*(Inputs!$B$11-Inputs!$B$11),0))))/100+(Inputs!$B$23+0+(IF(ArtifactsInput!$M$15,CHOOSE(ArtifactsInput!$N$15+1,25,30,35,40,45,50)/100*(Inputs!$B$11-Inputs!$B$11),0)))/100)/2</f>
        <v/>
      </c>
      <c r="M1159">
        <f>L1159*(1+(Inputs!$B$10+((C1176=TRUE)*(F1176-Calc!F26))+B1193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59">
        <f>L1159*(1-MIN((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1159*(MIN((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59">
        <f>(1-Summary!$B$11)*T1159+Summary!$B$11*V1159</f>
        <v/>
      </c>
      <c r="P1159">
        <f>IF(B1194=0,0,O1159/B1194)</f>
        <v/>
      </c>
      <c r="Q1159">
        <f>IFERROR(1/IF(Inputs!$B$39="pvp",15,MAX(0.1,Skills!D9-IF(Skills!E9=TRUE,Inputs!$B$32,0))),0)</f>
        <v/>
      </c>
      <c r="R1159">
        <f>IF(AND(Inputs!$B$39&lt;&gt;"pvp",Inputs!$B$44&gt;0),IF(MAX(0,Inputs!$B$44-B1195)&lt;=0,0,(INT(MAX(0,Inputs!$B$44-B1195)/IF(Inputs!$B$39="pvp",15,MAX(0.1,Skills!D9-IF(Skills!E9=TRUE,Inputs!$B$32,0))))+1)),0)</f>
        <v/>
      </c>
      <c r="S1159">
        <f>IFERROR(O1159/N1159,0)</f>
        <v/>
      </c>
      <c r="T1159">
        <f>IF(C1159,(H1159*N1159*IF(AND(Inputs!$B$39&lt;&gt;"pvp",Inputs!$B$44&gt;0),((Skills!G9*((R1159-1)*IF(Skills!H9&gt;0,Skills!I9/Skills!H9,1)+IF(Skills!H9&gt;0,MIN(Skills!I9,MAX(0,MAX(0,Inputs!$B$44-B1195)-((R1159-1)*IF(Inputs!$B$39="pvp",15,MAX(0.1,Skills!D9-IF(Skills!E9=TRUE,Inputs!$B$32,0))))))/Skills!H9,1)))/Inputs!$B$44),G1159*Q1159))*IF(Inputs!$B$39="pvp",1,1+(Inputs!$B$20+((C1177=TRUE)*(F1177-Calc!F27))+Skills!P9+B1191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Hunt"),CHOOSE(ArtifactsInput!$N$35+1,15,18,21,24,27,30)*(1-EXP(-(0.2*B1186)*5)),0)+IF(AND(ArtifactsInput!$M$22,Inputs!$B$4&lt;&gt;"Chapter Hunt"),CHOOSE(ArtifactsInput!$N$22+1,10,12,14,16,18,20)*((0*(((0.15*B1186*5))^0/1)+1*(((0.15*B1186*5))^1/1)+2*(((0.15*B1186*5))^2/2)+3*(((0.15*B1186*5))^3/6)+4*(((0.15*B1186*5))^4/24)+5*(((0.15*B1186*5))^5/120))/((((0.15*B1186*5))^0/1)+(((0.15*B1186*5))^1/1)+(((0.15*B1186*5))^2/2)+(((0.15*B1186*5))^3/6)+(((0.15*B1186*5))^4/24)+(((0.15*B1186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1159*(1-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1159*(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1159*(1-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1159*(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59">
        <f>IF(C1159,(H1159*N1159*IF(AND(Inputs!$B$39&lt;&gt;"pvp",Inputs!$B$44&gt;0),((Skills!G9*((R1159-1)*IF(Skills!H9&gt;0,Skills!I9/Skills!H9,1)+IF(Skills!H9&gt;0,MIN(Skills!I9,MAX(0,MAX(0,Inputs!$B$44-B1195)-((R1159-1)*IF(Inputs!$B$39="pvp",15,MAX(0.1,Skills!D9-IF(Skills!E9=TRUE,Inputs!$B$32,0))))))/Skills!H9,1)))/Inputs!$B$44),G1159*Q1159))*IF(Inputs!$B$39="pvp",1,(1+(Inputs!$B$21+Skills!Q9+B1191+(IF(ArtifactsInput!$M$33,CHOOSE(ArtifactsInput!$N$33+1,30,36,42,48,54,60),0))+(IF(AND(ArtifactsInput!$M$35,Inputs!$B$4&lt;&gt;"Chapter Hunt"),CHOOSE(ArtifactsInput!$N$35+1,15,18,21,24,27,30)*(1-EXP(-(0.2*B1186)*5)),0)+IF(AND(ArtifactsInput!$M$22,Inputs!$B$4&lt;&gt;"Chapter Hunt"),CHOOSE(ArtifactsInput!$N$22+1,10,12,14,16,18,20)*((0*(((0.15*B1186*5))^0/1)+1*(((0.15*B1186*5))^1/1)+2*(((0.15*B1186*5))^2/2)+3*(((0.15*B1186*5))^3/6)+4*(((0.15*B1186*5))^4/24)+5*(((0.15*B1186*5))^5/120))/((((0.15*B1186*5))^0/1)+(((0.15*B1186*5))^1/1)+(((0.15*B1186*5))^2/2)+(((0.15*B1186*5))^3/6)+(((0.15*B1186*5))^4/24)+(((0.15*B1186*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60">
      <c r="A1160">
        <f>Skills!A10</f>
        <v/>
      </c>
      <c r="B1160">
        <f>Skills!B10</f>
        <v/>
      </c>
      <c r="C1160">
        <f>Inputs!$B$3&gt;=117</f>
        <v/>
      </c>
      <c r="D1160">
        <f>IF(Skills!C10=1,60+Inputs!$B$25+Inputs!$B$29,IF(Skills!C10=2,90+Inputs!$B$26+Inputs!$B$29,IF(Skills!C10=3,120+Inputs!$B$27+Inputs!$B$29,MAX(0,(Inputs!$B$3-100)*3)+Inputs!$B$28+Inputs!$B$29)))</f>
        <v/>
      </c>
      <c r="E1160">
        <f>INDEX(FactorTable!$B$2:$Y$301, MATCH(ROUND(MIN(300,MAX(1,D1160)),0), FactorTable!$A$2:$A$301,0), Skills!M10+1)</f>
        <v/>
      </c>
      <c r="F1160">
        <f>IF(Skills!N10=TRUE,(Skills!L10/10)*(E1160/1000),Skills!L10/10)+Skills!O10</f>
        <v/>
      </c>
      <c r="G1160">
        <f>Calc!G10</f>
        <v/>
      </c>
      <c r="H1160">
        <f>Calc!H10</f>
        <v/>
      </c>
      <c r="I1160">
        <f>IF(Skills!AA10&lt;&gt;"",1+(Skills!AA10/10)*(U1153/1000)/100,1)</f>
        <v/>
      </c>
      <c r="J1160">
        <f>((Inputs!$B$6*(1+(Inputs!$B$7+1)/100))+(((Inputs!$B$12*(1+Inputs!$B$13/100))-(Inputs!$B$12*(1+Inputs!$B$13/100)))+0.25*(Inputs!$B$14-Inputs!$B$14))*(1+(Inputs!$B$7+1)/100))*(F1160/100)</f>
        <v/>
      </c>
      <c r="K1160">
        <f>J1160*(1+((Inputs!$B$12*(1+Inputs!$B$13/100))*0.01+Inputs!$B$14*0.0025)/100)*(1+Inputs!$B$15/100)*(1+Inputs!$B$16/100)*(5000/(6000+Inputs!$B$43*(1-(100*(1-(1-(Inputs!$B$19+0)/100)*(1-CHOOSE(ArtifactsInput!$N$40+1,5,6,7,8,9,10)/100)^(ArtifactsInput!$M$40-ArtifactsInput!$M$40)))/100)))*(1+(Inputs!$B$24+((C1180=TRUE)*(F1180-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1173=TRUE)*(F1173-Calc!F23))+(((IF(AND(ArtifactsInput!$M$42,((Inputs!$B$9+((C1175=TRUE)*(F1175-Calc!F25))+B1190+(ArtifactsInput!$M$24-ArtifactsInput!$M$24)*CHOOSE(ArtifactsInput!$N$24+1,10,12,14,16,18,20)+IF(ArtifactsInput!$M$10,CHOOSE(ArtifactsInput!$N$10+1,15,18,21,24,27,30)*(IF(Inputs!$B$39="pvp",MIN(15,15)/15,IF(AND(Inputs!$B$39&lt;&gt;"pvp",Inputs!$B$44&gt;0),MIN(15,Inputs!$B$44)/(Inputs!$B$44),0))),0)))&gt;=100),MIN(100,((Inputs!$B$9+((C1175=TRUE)*(F1175-Calc!F25))+B1190+(ArtifactsInput!$M$24-ArtifactsInput!$M$24)*CHOOSE(ArtifactsInput!$N$24+1,10,12,14,16,18,20)+IF(ArtifactsInput!$M$10,CHOOSE(ArtifactsInput!$N$10+1,15,18,21,24,27,30)*(IF(Inputs!$B$39="pvp",MIN(15,15)/15,IF(AND(Inputs!$B$39&lt;&gt;"pvp",Inputs!$B$44&gt;0),MIN(15,Inputs!$B$44)/(Inputs!$B$44),0))),0)))-100),0))*CHOOSE(ArtifactsInput!$N$42+1,0.6,0.72,0.84,0.96,1.08,1.2))),Inputs!$B$18+((C1179=TRUE)*(F1179-Calc!F29))+(IF(AND(ArtifactsInput!$M$42,((Inputs!$B$9+((C1175=TRUE)*(F1175-Calc!F25))+B1190+(ArtifactsInput!$M$24-ArtifactsInput!$M$24)*CHOOSE(ArtifactsInput!$N$24+1,10,12,14,16,18,20)+IF(ArtifactsInput!$M$10,CHOOSE(ArtifactsInput!$N$10+1,15,18,21,24,27,30)*(IF(Inputs!$B$39="pvp",MIN(15,15)/15,IF(AND(Inputs!$B$39&lt;&gt;"pvp",Inputs!$B$44&gt;0),MIN(15,Inputs!$B$44)/(Inputs!$B$44),0))),0)))&gt;=100),CHOOSE(ArtifactsInput!$N$42+1,40,48,56,64,72,80),0))))/100)*(((1+(((C1171=TRUE)*F1171*IF(AND(Inputs!$B$39&lt;&gt;"pvp",Inputs!$B$44&gt;0),(((R1171-1)*(Skills!Y21*(1+Inputs!$B$34/100))+MIN((Skills!Y21*(1+Inputs!$B$34/100)),MAX(0,Inputs!$B$44-((R1171-1)*Skills!D21))))/Inputs!$B$44),IF(Inputs!$B$39="pvp",MIN((Skills!Y21*(1+Inputs!$B$34/100)),15)/15,(Skills!Y21*(1+Inputs!$B$34/100))/Skills!D21)))+((C1178=TRUE)*(F1178-Calc!F28))+((C1168=TRUE)*(F1168-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1165=TRUE)*F1165*IF(AND(Inputs!$B$39&lt;&gt;"pvp",Inputs!$B$44&gt;0),(((R1165-1)*(Skills!Y15*(1+Inputs!$B$34/100))+MIN((Skills!Y15*(1+Inputs!$B$34/100)),MAX(0,Inputs!$B$44-((R1165-1)*Skills!D15))))/Inputs!$B$44),IF(Inputs!$B$39="pvp",MIN((Skills!Y15*(1+Inputs!$B$34/100)),15)/15,(Skills!Y15*(1+Inputs!$B$34/100))/Skills!D15)))/100)*(1+((C1156=TRUE)*F1156*B1184)/100))*B1192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1160)</f>
        <v/>
      </c>
      <c r="L1160">
        <f>K1160*(MIN(Inputs!$B$22+((C1174=TRUE)*(F1174-Calc!F24)),(Inputs!$B$23+0+(IF(ArtifactsInput!$M$15,CHOOSE(ArtifactsInput!$N$15+1,25,30,35,40,45,50)/100*(Inputs!$B$11-Inputs!$B$11),0))))/100+(Inputs!$B$23+0+(IF(ArtifactsInput!$M$15,CHOOSE(ArtifactsInput!$N$15+1,25,30,35,40,45,50)/100*(Inputs!$B$11-Inputs!$B$11),0)))/100)/2</f>
        <v/>
      </c>
      <c r="M1160">
        <f>L1160*(1+(Inputs!$B$10+((C1176=TRUE)*(F1176-Calc!F26))+B1193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60">
        <f>L1160*(1-MIN((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1160*(MIN((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60">
        <f>(1-Summary!$B$11)*T1160+Summary!$B$11*V1160</f>
        <v/>
      </c>
      <c r="P1160">
        <f>IF(B1194=0,0,O1160/B1194)</f>
        <v/>
      </c>
      <c r="Q1160" t="n">
        <v>0</v>
      </c>
      <c r="R1160" t="n">
        <v>0</v>
      </c>
      <c r="S1160" t="n">
        <v>0</v>
      </c>
      <c r="T1160">
        <f>IF(C1160,(0.2*SUMPRODUCT((Skills!Z2:Z31=TRUE)*(C1152:C1181=TRUE)*S1152:S1181)*N1160)*IF(Inputs!$B$39="pvp",1,1+(Inputs!$B$20+((C1177=TRUE)*(F1177-Calc!F27))+Skills!P10+B1191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Hunt"),CHOOSE(ArtifactsInput!$N$35+1,15,18,21,24,27,30)*(1-EXP(-(0.2*B1186)*5)),0)+IF(AND(ArtifactsInput!$M$22,Inputs!$B$4&lt;&gt;"Chapter Hunt"),CHOOSE(ArtifactsInput!$N$22+1,10,12,14,16,18,20)*((0*(((0.15*B1186*5))^0/1)+1*(((0.15*B1186*5))^1/1)+2*(((0.15*B1186*5))^2/2)+3*(((0.15*B1186*5))^3/6)+4*(((0.15*B1186*5))^4/24)+5*(((0.15*B1186*5))^5/120))/((((0.15*B1186*5))^0/1)+(((0.15*B1186*5))^1/1)+(((0.15*B1186*5))^2/2)+(((0.15*B1186*5))^3/6)+(((0.15*B1186*5))^4/24)+(((0.15*B1186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1160*(1-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1160*(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1160*(1-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1160*(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60">
        <f>IF(C1160,(0.2*SUMPRODUCT((Skills!Z2:Z31=TRUE)*(C1152:C1181=TRUE)*S1152:S1181)*N1160)*IF(Inputs!$B$39="pvp",1,(1+(Inputs!$B$21+Skills!Q10+B1191+(IF(ArtifactsInput!$M$33,CHOOSE(ArtifactsInput!$N$33+1,30,36,42,48,54,60),0))+(IF(AND(ArtifactsInput!$M$35,Inputs!$B$4&lt;&gt;"Chapter Hunt"),CHOOSE(ArtifactsInput!$N$35+1,15,18,21,24,27,30)*(1-EXP(-(0.2*B1186)*5)),0)+IF(AND(ArtifactsInput!$M$22,Inputs!$B$4&lt;&gt;"Chapter Hunt"),CHOOSE(ArtifactsInput!$N$22+1,10,12,14,16,18,20)*((0*(((0.15*B1186*5))^0/1)+1*(((0.15*B1186*5))^1/1)+2*(((0.15*B1186*5))^2/2)+3*(((0.15*B1186*5))^3/6)+4*(((0.15*B1186*5))^4/24)+5*(((0.15*B1186*5))^5/120))/((((0.15*B1186*5))^0/1)+(((0.15*B1186*5))^1/1)+(((0.15*B1186*5))^2/2)+(((0.15*B1186*5))^3/6)+(((0.15*B1186*5))^4/24)+(((0.15*B1186*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61">
      <c r="A1161">
        <f>Skills!A11</f>
        <v/>
      </c>
      <c r="B1161">
        <f>Skills!B11</f>
        <v/>
      </c>
      <c r="C1161">
        <f>Inputs!$B$3&gt;=60</f>
        <v/>
      </c>
      <c r="D1161">
        <f>IF(Skills!C11=1,60+Inputs!$B$25+Inputs!$B$29,IF(Skills!C11=2,90+Inputs!$B$26+Inputs!$B$29,IF(Skills!C11=3,120+Inputs!$B$27+Inputs!$B$29,MAX(0,(Inputs!$B$3-100)*3)+Inputs!$B$28+Inputs!$B$29)))</f>
        <v/>
      </c>
      <c r="E1161">
        <f>INDEX(FactorTable!$B$2:$Y$301, MATCH(ROUND(MIN(300,MAX(1,D1161)),0), FactorTable!$A$2:$A$301,0), Skills!M11+1)</f>
        <v/>
      </c>
      <c r="F1161">
        <f>IF(Skills!N11=TRUE,(Skills!L11/10)*(E1161/1000),Skills!L11/10)+Skills!O11</f>
        <v/>
      </c>
      <c r="G1161">
        <f>Calc!G11</f>
        <v/>
      </c>
      <c r="H1161">
        <f>Calc!H11</f>
        <v/>
      </c>
      <c r="I1161">
        <f>IF(Skills!AA11&lt;&gt;"",1+(Skills!AA11/10)*(U1153/1000)/100,1)</f>
        <v/>
      </c>
      <c r="J1161" t="inlineStr"/>
      <c r="K1161" t="inlineStr"/>
      <c r="L1161" t="inlineStr"/>
      <c r="M1161" t="inlineStr"/>
      <c r="N1161" t="inlineStr"/>
      <c r="O1161">
        <f>(1-Summary!$B$11)*T1161+Summary!$B$11*V1161</f>
        <v/>
      </c>
      <c r="P1161">
        <f>IF(B1194=0,0,O1161/B1194)</f>
        <v/>
      </c>
      <c r="Q1161" t="n">
        <v>0</v>
      </c>
      <c r="R1161" t="n">
        <v>0</v>
      </c>
      <c r="S1161">
        <f>IFERROR(O1161/N1161,0)</f>
        <v/>
      </c>
      <c r="T1161" t="n">
        <v>0</v>
      </c>
      <c r="V1161" t="n">
        <v>0</v>
      </c>
    </row>
    <row r="1162">
      <c r="A1162">
        <f>Skills!A12</f>
        <v/>
      </c>
      <c r="B1162">
        <f>Skills!B12</f>
        <v/>
      </c>
      <c r="C1162">
        <f>Inputs!$B$3&gt;=103</f>
        <v/>
      </c>
      <c r="D1162">
        <f>IF(Skills!C12=1,60+Inputs!$B$25+Inputs!$B$29,IF(Skills!C12=2,90+Inputs!$B$26+Inputs!$B$29,IF(Skills!C12=3,120+Inputs!$B$27+Inputs!$B$29,MAX(0,(Inputs!$B$3-100)*3)+Inputs!$B$28+Inputs!$B$29)))</f>
        <v/>
      </c>
      <c r="E1162">
        <f>INDEX(FactorTable!$B$2:$Y$301, MATCH(ROUND(MIN(300,MAX(1,D1162)),0), FactorTable!$A$2:$A$301,0), Skills!M12+1)</f>
        <v/>
      </c>
      <c r="F1162">
        <f>IF(Skills!N12=TRUE,(Skills!L12/10)*(E1162/1000),Skills!L12/10)+Skills!O12</f>
        <v/>
      </c>
      <c r="G1162">
        <f>Calc!G12</f>
        <v/>
      </c>
      <c r="H1162">
        <f>Calc!H12</f>
        <v/>
      </c>
      <c r="I1162">
        <f>IF(Skills!AA12&lt;&gt;"",1+(Skills!AA12/10)*(U1153/1000)/100,1)</f>
        <v/>
      </c>
      <c r="J1162">
        <f>((Inputs!$B$6*(1+(Inputs!$B$7+1)/100))+(((Inputs!$B$12*(1+Inputs!$B$13/100))-(Inputs!$B$12*(1+Inputs!$B$13/100)))+0.25*(Inputs!$B$14-Inputs!$B$14))*(1+(Inputs!$B$7+1)/100))*(F1162/100)</f>
        <v/>
      </c>
      <c r="K1162">
        <f>J1162*(1+((Inputs!$B$12*(1+Inputs!$B$13/100))*0.01+Inputs!$B$14*0.0025)/100)*(1+Inputs!$B$15/100)*(1+Inputs!$B$16/100)*(5000/(6000+Inputs!$B$43*(1-(100*(1-(1-(Inputs!$B$19+0)/100)*(1-CHOOSE(ArtifactsInput!$N$40+1,5,6,7,8,9,10)/100)^(ArtifactsInput!$M$40-ArtifactsInput!$M$40)))/100)))*(1+(Inputs!$B$24+((C1180=TRUE)*(F1180-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1173=TRUE)*(F1173-Calc!F23))+(((IF(AND(ArtifactsInput!$M$42,((Inputs!$B$9+((C1175=TRUE)*(F1175-Calc!F25))+B1190+(ArtifactsInput!$M$24-ArtifactsInput!$M$24)*CHOOSE(ArtifactsInput!$N$24+1,10,12,14,16,18,20)+IF(ArtifactsInput!$M$10,CHOOSE(ArtifactsInput!$N$10+1,15,18,21,24,27,30)*(IF(Inputs!$B$39="pvp",MIN(15,15)/15,IF(AND(Inputs!$B$39&lt;&gt;"pvp",Inputs!$B$44&gt;0),MIN(15,Inputs!$B$44)/(Inputs!$B$44),0))),0)))&gt;=100),MIN(100,((Inputs!$B$9+((C1175=TRUE)*(F1175-Calc!F25))+B1190+(ArtifactsInput!$M$24-ArtifactsInput!$M$24)*CHOOSE(ArtifactsInput!$N$24+1,10,12,14,16,18,20)+IF(ArtifactsInput!$M$10,CHOOSE(ArtifactsInput!$N$10+1,15,18,21,24,27,30)*(IF(Inputs!$B$39="pvp",MIN(15,15)/15,IF(AND(Inputs!$B$39&lt;&gt;"pvp",Inputs!$B$44&gt;0),MIN(15,Inputs!$B$44)/(Inputs!$B$44),0))),0)))-100),0))*CHOOSE(ArtifactsInput!$N$42+1,0.6,0.72,0.84,0.96,1.08,1.2))),Inputs!$B$18+((C1179=TRUE)*(F1179-Calc!F29))+(IF(AND(ArtifactsInput!$M$42,((Inputs!$B$9+((C1175=TRUE)*(F1175-Calc!F25))+B1190+(ArtifactsInput!$M$24-ArtifactsInput!$M$24)*CHOOSE(ArtifactsInput!$N$24+1,10,12,14,16,18,20)+IF(ArtifactsInput!$M$10,CHOOSE(ArtifactsInput!$N$10+1,15,18,21,24,27,30)*(IF(Inputs!$B$39="pvp",MIN(15,15)/15,IF(AND(Inputs!$B$39&lt;&gt;"pvp",Inputs!$B$44&gt;0),MIN(15,Inputs!$B$44)/(Inputs!$B$44),0))),0)))&gt;=100),CHOOSE(ArtifactsInput!$N$42+1,40,48,56,64,72,80),0))))/100)*(((1+(((C1171=TRUE)*F1171*IF(AND(Inputs!$B$39&lt;&gt;"pvp",Inputs!$B$44&gt;0),(((R1171-1)*(Skills!Y21*(1+Inputs!$B$34/100))+MIN((Skills!Y21*(1+Inputs!$B$34/100)),MAX(0,Inputs!$B$44-((R1171-1)*Skills!D21))))/Inputs!$B$44),IF(Inputs!$B$39="pvp",MIN((Skills!Y21*(1+Inputs!$B$34/100)),15)/15,(Skills!Y21*(1+Inputs!$B$34/100))/Skills!D21)))+((C1178=TRUE)*(F1178-Calc!F28))+((C1168=TRUE)*(F1168-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1165=TRUE)*F1165*IF(AND(Inputs!$B$39&lt;&gt;"pvp",Inputs!$B$44&gt;0),(((R1165-1)*(Skills!Y15*(1+Inputs!$B$34/100))+MIN((Skills!Y15*(1+Inputs!$B$34/100)),MAX(0,Inputs!$B$44-((R1165-1)*Skills!D15))))/Inputs!$B$44),IF(Inputs!$B$39="pvp",MIN((Skills!Y15*(1+Inputs!$B$34/100)),15)/15,(Skills!Y15*(1+Inputs!$B$34/100))/Skills!D15)))/100)*(1+((C1156=TRUE)*F1156*B1184)/100))*B1192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1162)</f>
        <v/>
      </c>
      <c r="L1162">
        <f>K1162*(MIN(Inputs!$B$22+((C1174=TRUE)*(F1174-Calc!F24)),(Inputs!$B$23+0+(IF(ArtifactsInput!$M$15,CHOOSE(ArtifactsInput!$N$15+1,25,30,35,40,45,50)/100*(Inputs!$B$11-Inputs!$B$11),0))))/100+(Inputs!$B$23+0+(IF(ArtifactsInput!$M$15,CHOOSE(ArtifactsInput!$N$15+1,25,30,35,40,45,50)/100*(Inputs!$B$11-Inputs!$B$11),0)))/100)/2</f>
        <v/>
      </c>
      <c r="M1162">
        <f>L1162*(1+(Inputs!$B$10+((C1176=TRUE)*(F1176-Calc!F26))+B1193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62">
        <f>L1162*(1-MIN((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1162*(MIN((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62">
        <f>(1-Summary!$B$11)*T1162+Summary!$B$11*V1162</f>
        <v/>
      </c>
      <c r="P1162">
        <f>IF(B1194=0,0,O1162/B1194)</f>
        <v/>
      </c>
      <c r="Q1162">
        <f>IFERROR(1/IF(Inputs!$B$39="pvp",15,MAX(0.1,Skills!D12-IF(Skills!E12=TRUE,Inputs!$B$32,0))),0)</f>
        <v/>
      </c>
      <c r="R1162">
        <f>IF(AND(Inputs!$B$39&lt;&gt;"pvp",Inputs!$B$44&gt;0),IF(MAX(0,Inputs!$B$44-B1195)&lt;=0,0,(INT(MAX(0,Inputs!$B$44-B1195)/IF(Inputs!$B$39="pvp",15,MAX(0.1,Skills!D12-IF(Skills!E12=TRUE,Inputs!$B$32,0))))+1)),0)</f>
        <v/>
      </c>
      <c r="S1162">
        <f>IFERROR(O1162/N1162,0)</f>
        <v/>
      </c>
      <c r="T1162">
        <f>IF(C1162,(H1162*N1162*IF(AND(Inputs!$B$39&lt;&gt;"pvp",Inputs!$B$44&gt;0),((Skills!G12*((R1162-1)*IF(Skills!H12&gt;0,Skills!I12/Skills!H12,1)+IF(Skills!H12&gt;0,MIN(Skills!I12,MAX(0,MAX(0,Inputs!$B$44-B1195)-((R1162-1)*IF(Inputs!$B$39="pvp",15,MAX(0.1,Skills!D12-IF(Skills!E12=TRUE,Inputs!$B$32,0))))))/Skills!H12,1)))/Inputs!$B$44),G1162*Q1162))*IF(Inputs!$B$39="pvp",1,1+(Inputs!$B$20+((C1177=TRUE)*(F1177-Calc!F27))+Skills!P12+B1191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Hunt"),CHOOSE(ArtifactsInput!$N$35+1,15,18,21,24,27,30)*(1-EXP(-(0.2*B1186)*5)),0)+IF(AND(ArtifactsInput!$M$22,Inputs!$B$4&lt;&gt;"Chapter Hunt"),CHOOSE(ArtifactsInput!$N$22+1,10,12,14,16,18,20)*((0*(((0.15*B1186*5))^0/1)+1*(((0.15*B1186*5))^1/1)+2*(((0.15*B1186*5))^2/2)+3*(((0.15*B1186*5))^3/6)+4*(((0.15*B1186*5))^4/24)+5*(((0.15*B1186*5))^5/120))/((((0.15*B1186*5))^0/1)+(((0.15*B1186*5))^1/1)+(((0.15*B1186*5))^2/2)+(((0.15*B1186*5))^3/6)+(((0.15*B1186*5))^4/24)+(((0.15*B1186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1162*(1-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1162*(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1162*(1-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1162*(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62">
        <f>IF(C1162,(H1162*N1162*IF(AND(Inputs!$B$39&lt;&gt;"pvp",Inputs!$B$44&gt;0),((Skills!G12*((R1162-1)*IF(Skills!H12&gt;0,Skills!I12/Skills!H12,1)+IF(Skills!H12&gt;0,MIN(Skills!I12,MAX(0,MAX(0,Inputs!$B$44-B1195)-((R1162-1)*IF(Inputs!$B$39="pvp",15,MAX(0.1,Skills!D12-IF(Skills!E12=TRUE,Inputs!$B$32,0))))))/Skills!H12,1)))/Inputs!$B$44),G1162*Q1162))*IF(Inputs!$B$39="pvp",1,(1+(Inputs!$B$21+Skills!Q12+B1191+(IF(ArtifactsInput!$M$33,CHOOSE(ArtifactsInput!$N$33+1,30,36,42,48,54,60),0))+(IF(AND(ArtifactsInput!$M$35,Inputs!$B$4&lt;&gt;"Chapter Hunt"),CHOOSE(ArtifactsInput!$N$35+1,15,18,21,24,27,30)*(1-EXP(-(0.2*B1186)*5)),0)+IF(AND(ArtifactsInput!$M$22,Inputs!$B$4&lt;&gt;"Chapter Hunt"),CHOOSE(ArtifactsInput!$N$22+1,10,12,14,16,18,20)*((0*(((0.15*B1186*5))^0/1)+1*(((0.15*B1186*5))^1/1)+2*(((0.15*B1186*5))^2/2)+3*(((0.15*B1186*5))^3/6)+4*(((0.15*B1186*5))^4/24)+5*(((0.15*B1186*5))^5/120))/((((0.15*B1186*5))^0/1)+(((0.15*B1186*5))^1/1)+(((0.15*B1186*5))^2/2)+(((0.15*B1186*5))^3/6)+(((0.15*B1186*5))^4/24)+(((0.15*B1186*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63">
      <c r="A1163">
        <f>Skills!A13</f>
        <v/>
      </c>
      <c r="B1163">
        <f>Skills!B13</f>
        <v/>
      </c>
      <c r="C1163">
        <f>Inputs!$B$3&gt;=105</f>
        <v/>
      </c>
      <c r="D1163">
        <f>IF(Skills!C13=1,60+Inputs!$B$25+Inputs!$B$29,IF(Skills!C13=2,90+Inputs!$B$26+Inputs!$B$29,IF(Skills!C13=3,120+Inputs!$B$27+Inputs!$B$29,MAX(0,(Inputs!$B$3-100)*3)+Inputs!$B$28+Inputs!$B$29)))</f>
        <v/>
      </c>
      <c r="E1163">
        <f>INDEX(FactorTable!$B$2:$Y$301, MATCH(ROUND(MIN(300,MAX(1,D1163)),0), FactorTable!$A$2:$A$301,0), Skills!M13+1)</f>
        <v/>
      </c>
      <c r="F1163">
        <f>IF(Skills!N13=TRUE,(Skills!L13/10)*(E1163/1000),Skills!L13/10)+Skills!O13</f>
        <v/>
      </c>
      <c r="G1163">
        <f>Calc!G13</f>
        <v/>
      </c>
      <c r="H1163">
        <f>Calc!H13</f>
        <v/>
      </c>
      <c r="I1163">
        <f>IF(Skills!AA13&lt;&gt;"",1+(Skills!AA13/10)*(U1153/1000)/100,1)</f>
        <v/>
      </c>
      <c r="J1163">
        <f>((Inputs!$B$6*(1+(Inputs!$B$7+1)/100))+(((Inputs!$B$12*(1+Inputs!$B$13/100))-(Inputs!$B$12*(1+Inputs!$B$13/100)))+0.25*(Inputs!$B$14-Inputs!$B$14))*(1+(Inputs!$B$7+1)/100))*(F1163/100)</f>
        <v/>
      </c>
      <c r="K1163">
        <f>J1163*(1+((Inputs!$B$12*(1+Inputs!$B$13/100))*0.01+Inputs!$B$14*0.0025)/100)*(1+Inputs!$B$15/100)*(1+Inputs!$B$16/100)*(5000/(6000+Inputs!$B$43*(1-(100*(1-(1-(Inputs!$B$19+0)/100)*(1-CHOOSE(ArtifactsInput!$N$40+1,5,6,7,8,9,10)/100)^(ArtifactsInput!$M$40-ArtifactsInput!$M$40)))/100)))*(1+(Inputs!$B$24+((C1180=TRUE)*(F1180-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1173=TRUE)*(F1173-Calc!F23))+(((IF(AND(ArtifactsInput!$M$42,((Inputs!$B$9+((C1175=TRUE)*(F1175-Calc!F25))+B1190+(ArtifactsInput!$M$24-ArtifactsInput!$M$24)*CHOOSE(ArtifactsInput!$N$24+1,10,12,14,16,18,20)+IF(ArtifactsInput!$M$10,CHOOSE(ArtifactsInput!$N$10+1,15,18,21,24,27,30)*(IF(Inputs!$B$39="pvp",MIN(15,15)/15,IF(AND(Inputs!$B$39&lt;&gt;"pvp",Inputs!$B$44&gt;0),MIN(15,Inputs!$B$44)/(Inputs!$B$44),0))),0)))&gt;=100),MIN(100,((Inputs!$B$9+((C1175=TRUE)*(F1175-Calc!F25))+B1190+(ArtifactsInput!$M$24-ArtifactsInput!$M$24)*CHOOSE(ArtifactsInput!$N$24+1,10,12,14,16,18,20)+IF(ArtifactsInput!$M$10,CHOOSE(ArtifactsInput!$N$10+1,15,18,21,24,27,30)*(IF(Inputs!$B$39="pvp",MIN(15,15)/15,IF(AND(Inputs!$B$39&lt;&gt;"pvp",Inputs!$B$44&gt;0),MIN(15,Inputs!$B$44)/(Inputs!$B$44),0))),0)))-100),0))*CHOOSE(ArtifactsInput!$N$42+1,0.6,0.72,0.84,0.96,1.08,1.2))),Inputs!$B$18+((C1179=TRUE)*(F1179-Calc!F29))+(IF(AND(ArtifactsInput!$M$42,((Inputs!$B$9+((C1175=TRUE)*(F1175-Calc!F25))+B1190+(ArtifactsInput!$M$24-ArtifactsInput!$M$24)*CHOOSE(ArtifactsInput!$N$24+1,10,12,14,16,18,20)+IF(ArtifactsInput!$M$10,CHOOSE(ArtifactsInput!$N$10+1,15,18,21,24,27,30)*(IF(Inputs!$B$39="pvp",MIN(15,15)/15,IF(AND(Inputs!$B$39&lt;&gt;"pvp",Inputs!$B$44&gt;0),MIN(15,Inputs!$B$44)/(Inputs!$B$44),0))),0)))&gt;=100),CHOOSE(ArtifactsInput!$N$42+1,40,48,56,64,72,80),0))))/100)*(((1+(((C1171=TRUE)*F1171*IF(AND(Inputs!$B$39&lt;&gt;"pvp",Inputs!$B$44&gt;0),(((R1171-1)*(Skills!Y21*(1+Inputs!$B$34/100))+MIN((Skills!Y21*(1+Inputs!$B$34/100)),MAX(0,Inputs!$B$44-((R1171-1)*Skills!D21))))/Inputs!$B$44),IF(Inputs!$B$39="pvp",MIN((Skills!Y21*(1+Inputs!$B$34/100)),15)/15,(Skills!Y21*(1+Inputs!$B$34/100))/Skills!D21)))+((C1178=TRUE)*(F1178-Calc!F28))+((C1168=TRUE)*(F1168-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1165=TRUE)*F1165*IF(AND(Inputs!$B$39&lt;&gt;"pvp",Inputs!$B$44&gt;0),(((R1165-1)*(Skills!Y15*(1+Inputs!$B$34/100))+MIN((Skills!Y15*(1+Inputs!$B$34/100)),MAX(0,Inputs!$B$44-((R1165-1)*Skills!D15))))/Inputs!$B$44),IF(Inputs!$B$39="pvp",MIN((Skills!Y15*(1+Inputs!$B$34/100)),15)/15,(Skills!Y15*(1+Inputs!$B$34/100))/Skills!D15)))/100)*(1+((C1156=TRUE)*F1156*B1184)/100))*B1192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1163)</f>
        <v/>
      </c>
      <c r="L1163">
        <f>K1163*(MIN(Inputs!$B$22+((C1174=TRUE)*(F1174-Calc!F24)),(Inputs!$B$23+0+(IF(ArtifactsInput!$M$15,CHOOSE(ArtifactsInput!$N$15+1,25,30,35,40,45,50)/100*(Inputs!$B$11-Inputs!$B$11),0))))/100+(Inputs!$B$23+0+(IF(ArtifactsInput!$M$15,CHOOSE(ArtifactsInput!$N$15+1,25,30,35,40,45,50)/100*(Inputs!$B$11-Inputs!$B$11),0)))/100)/2</f>
        <v/>
      </c>
      <c r="M1163">
        <f>L1163*(1+(Inputs!$B$10+((C1176=TRUE)*(F1176-Calc!F26))+B1193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63">
        <f>L1163*(1-MIN((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1163*(MIN((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63">
        <f>(1-Summary!$B$11)*T1163+Summary!$B$11*V1163</f>
        <v/>
      </c>
      <c r="P1163">
        <f>IF(B1194=0,0,O1163/B1194)</f>
        <v/>
      </c>
      <c r="Q1163">
        <f>IFERROR(1/IF(Inputs!$B$39="pvp",15,MAX(0.1,Skills!D13-IF(Skills!E13=TRUE,Inputs!$B$32,0))),0)</f>
        <v/>
      </c>
      <c r="R1163">
        <f>IF(AND(Inputs!$B$39&lt;&gt;"pvp",Inputs!$B$44&gt;0),IF(MAX(0,Inputs!$B$44-B1195)&lt;=0,0,(INT(MAX(0,Inputs!$B$44-B1195)/IF(Inputs!$B$39="pvp",15,MAX(0.1,Skills!D13-IF(Skills!E13=TRUE,Inputs!$B$32,0))))+1)),0)</f>
        <v/>
      </c>
      <c r="S1163">
        <f>IFERROR(O1163/N1163,0)</f>
        <v/>
      </c>
      <c r="T1163">
        <f>IF(C1163,(H1163*N1163*IF(AND(Inputs!$B$39&lt;&gt;"pvp",Inputs!$B$44&gt;0),((Skills!G13*((R1163-1)*IF(Skills!H13&gt;0,Skills!I13/Skills!H13,1)+IF(Skills!H13&gt;0,MIN(Skills!I13,MAX(0,MAX(0,Inputs!$B$44-B1195)-((R1163-1)*IF(Inputs!$B$39="pvp",15,MAX(0.1,Skills!D13-IF(Skills!E13=TRUE,Inputs!$B$32,0))))))/Skills!H13,1)))/Inputs!$B$44),G1163*Q1163))*IF(Inputs!$B$39="pvp",1,1+(Inputs!$B$20+((C1177=TRUE)*(F1177-Calc!F27))+Skills!P13+B1191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Hunt"),CHOOSE(ArtifactsInput!$N$35+1,15,18,21,24,27,30)*(1-EXP(-(0.2*B1186)*5)),0)+IF(AND(ArtifactsInput!$M$22,Inputs!$B$4&lt;&gt;"Chapter Hunt"),CHOOSE(ArtifactsInput!$N$22+1,10,12,14,16,18,20)*((0*(((0.15*B1186*5))^0/1)+1*(((0.15*B1186*5))^1/1)+2*(((0.15*B1186*5))^2/2)+3*(((0.15*B1186*5))^3/6)+4*(((0.15*B1186*5))^4/24)+5*(((0.15*B1186*5))^5/120))/((((0.15*B1186*5))^0/1)+(((0.15*B1186*5))^1/1)+(((0.15*B1186*5))^2/2)+(((0.15*B1186*5))^3/6)+(((0.15*B1186*5))^4/24)+(((0.15*B1186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1163*(1-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1163*(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1163*(1-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1163*(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63">
        <f>IF(C1163,(H1163*N1163*IF(AND(Inputs!$B$39&lt;&gt;"pvp",Inputs!$B$44&gt;0),((Skills!G13*((R1163-1)*IF(Skills!H13&gt;0,Skills!I13/Skills!H13,1)+IF(Skills!H13&gt;0,MIN(Skills!I13,MAX(0,MAX(0,Inputs!$B$44-B1195)-((R1163-1)*IF(Inputs!$B$39="pvp",15,MAX(0.1,Skills!D13-IF(Skills!E13=TRUE,Inputs!$B$32,0))))))/Skills!H13,1)))/Inputs!$B$44),G1163*Q1163))*IF(Inputs!$B$39="pvp",1,(1+(Inputs!$B$21+Skills!Q13+B1191+(IF(ArtifactsInput!$M$33,CHOOSE(ArtifactsInput!$N$33+1,30,36,42,48,54,60),0))+(IF(AND(ArtifactsInput!$M$35,Inputs!$B$4&lt;&gt;"Chapter Hunt"),CHOOSE(ArtifactsInput!$N$35+1,15,18,21,24,27,30)*(1-EXP(-(0.2*B1186)*5)),0)+IF(AND(ArtifactsInput!$M$22,Inputs!$B$4&lt;&gt;"Chapter Hunt"),CHOOSE(ArtifactsInput!$N$22+1,10,12,14,16,18,20)*((0*(((0.15*B1186*5))^0/1)+1*(((0.15*B1186*5))^1/1)+2*(((0.15*B1186*5))^2/2)+3*(((0.15*B1186*5))^3/6)+4*(((0.15*B1186*5))^4/24)+5*(((0.15*B1186*5))^5/120))/((((0.15*B1186*5))^0/1)+(((0.15*B1186*5))^1/1)+(((0.15*B1186*5))^2/2)+(((0.15*B1186*5))^3/6)+(((0.15*B1186*5))^4/24)+(((0.15*B1186*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64">
      <c r="A1164">
        <f>Skills!A14</f>
        <v/>
      </c>
      <c r="B1164">
        <f>Skills!B14</f>
        <v/>
      </c>
      <c r="C1164">
        <f>Inputs!$B$3&gt;=105</f>
        <v/>
      </c>
      <c r="D1164">
        <f>IF(Skills!C14=1,60+Inputs!$B$25+Inputs!$B$29,IF(Skills!C14=2,90+Inputs!$B$26+Inputs!$B$29,IF(Skills!C14=3,120+Inputs!$B$27+Inputs!$B$29,MAX(0,(Inputs!$B$3-100)*3)+Inputs!$B$28+Inputs!$B$29)))</f>
        <v/>
      </c>
      <c r="E1164">
        <f>INDEX(FactorTable!$B$2:$Y$301, MATCH(ROUND(MIN(300,MAX(1,D1164)),0), FactorTable!$A$2:$A$301,0), Skills!M14+1)</f>
        <v/>
      </c>
      <c r="F1164">
        <f>IF(Skills!N14=TRUE,(Skills!L14/10)*(E1164/1000),Skills!L14/10)+Skills!O14</f>
        <v/>
      </c>
      <c r="G1164">
        <f>Calc!G14</f>
        <v/>
      </c>
      <c r="H1164">
        <f>Calc!H14</f>
        <v/>
      </c>
      <c r="I1164">
        <f>IF(Skills!AA14&lt;&gt;"",1+(Skills!AA14/10)*(U1153/1000)/100,1)</f>
        <v/>
      </c>
      <c r="J1164">
        <f>((Inputs!$B$6*(1+(Inputs!$B$7+1)/100))+(((Inputs!$B$12*(1+Inputs!$B$13/100))-(Inputs!$B$12*(1+Inputs!$B$13/100)))+0.25*(Inputs!$B$14-Inputs!$B$14))*(1+(Inputs!$B$7+1)/100))*(F1164/100)</f>
        <v/>
      </c>
      <c r="K1164">
        <f>J1164*(1+((Inputs!$B$12*(1+Inputs!$B$13/100))*0.01+Inputs!$B$14*0.0025)/100)*(1+Inputs!$B$15/100)*(1+Inputs!$B$16/100)*(5000/(6000+Inputs!$B$43*(1-(100*(1-(1-(Inputs!$B$19+0)/100)*(1-CHOOSE(ArtifactsInput!$N$40+1,5,6,7,8,9,10)/100)^(ArtifactsInput!$M$40-ArtifactsInput!$M$40)))/100)))*(1+(Inputs!$B$24+((C1180=TRUE)*(F1180-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1173=TRUE)*(F1173-Calc!F23))+(((IF(AND(ArtifactsInput!$M$42,((Inputs!$B$9+((C1175=TRUE)*(F1175-Calc!F25))+B1190+(ArtifactsInput!$M$24-ArtifactsInput!$M$24)*CHOOSE(ArtifactsInput!$N$24+1,10,12,14,16,18,20)+IF(ArtifactsInput!$M$10,CHOOSE(ArtifactsInput!$N$10+1,15,18,21,24,27,30)*(IF(Inputs!$B$39="pvp",MIN(15,15)/15,IF(AND(Inputs!$B$39&lt;&gt;"pvp",Inputs!$B$44&gt;0),MIN(15,Inputs!$B$44)/(Inputs!$B$44),0))),0)))&gt;=100),MIN(100,((Inputs!$B$9+((C1175=TRUE)*(F1175-Calc!F25))+B1190+(ArtifactsInput!$M$24-ArtifactsInput!$M$24)*CHOOSE(ArtifactsInput!$N$24+1,10,12,14,16,18,20)+IF(ArtifactsInput!$M$10,CHOOSE(ArtifactsInput!$N$10+1,15,18,21,24,27,30)*(IF(Inputs!$B$39="pvp",MIN(15,15)/15,IF(AND(Inputs!$B$39&lt;&gt;"pvp",Inputs!$B$44&gt;0),MIN(15,Inputs!$B$44)/(Inputs!$B$44),0))),0)))-100),0))*CHOOSE(ArtifactsInput!$N$42+1,0.6,0.72,0.84,0.96,1.08,1.2))),Inputs!$B$18+((C1179=TRUE)*(F1179-Calc!F29))+(IF(AND(ArtifactsInput!$M$42,((Inputs!$B$9+((C1175=TRUE)*(F1175-Calc!F25))+B1190+(ArtifactsInput!$M$24-ArtifactsInput!$M$24)*CHOOSE(ArtifactsInput!$N$24+1,10,12,14,16,18,20)+IF(ArtifactsInput!$M$10,CHOOSE(ArtifactsInput!$N$10+1,15,18,21,24,27,30)*(IF(Inputs!$B$39="pvp",MIN(15,15)/15,IF(AND(Inputs!$B$39&lt;&gt;"pvp",Inputs!$B$44&gt;0),MIN(15,Inputs!$B$44)/(Inputs!$B$44),0))),0)))&gt;=100),CHOOSE(ArtifactsInput!$N$42+1,40,48,56,64,72,80),0))))/100)*(((1+(((C1171=TRUE)*F1171*IF(AND(Inputs!$B$39&lt;&gt;"pvp",Inputs!$B$44&gt;0),(((R1171-1)*(Skills!Y21*(1+Inputs!$B$34/100))+MIN((Skills!Y21*(1+Inputs!$B$34/100)),MAX(0,Inputs!$B$44-((R1171-1)*Skills!D21))))/Inputs!$B$44),IF(Inputs!$B$39="pvp",MIN((Skills!Y21*(1+Inputs!$B$34/100)),15)/15,(Skills!Y21*(1+Inputs!$B$34/100))/Skills!D21)))+((C1178=TRUE)*(F1178-Calc!F28))+((C1168=TRUE)*(F1168-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1165=TRUE)*F1165*IF(AND(Inputs!$B$39&lt;&gt;"pvp",Inputs!$B$44&gt;0),(((R1165-1)*(Skills!Y15*(1+Inputs!$B$34/100))+MIN((Skills!Y15*(1+Inputs!$B$34/100)),MAX(0,Inputs!$B$44-((R1165-1)*Skills!D15))))/Inputs!$B$44),IF(Inputs!$B$39="pvp",MIN((Skills!Y15*(1+Inputs!$B$34/100)),15)/15,(Skills!Y15*(1+Inputs!$B$34/100))/Skills!D15)))/100)*(1+((C1156=TRUE)*F1156*B1184)/100))*B1192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1164)</f>
        <v/>
      </c>
      <c r="L1164">
        <f>K1164*(MIN(Inputs!$B$22+((C1174=TRUE)*(F1174-Calc!F24)),(Inputs!$B$23+0+(IF(ArtifactsInput!$M$15,CHOOSE(ArtifactsInput!$N$15+1,25,30,35,40,45,50)/100*(Inputs!$B$11-Inputs!$B$11),0))))/100+(Inputs!$B$23+0+(IF(ArtifactsInput!$M$15,CHOOSE(ArtifactsInput!$N$15+1,25,30,35,40,45,50)/100*(Inputs!$B$11-Inputs!$B$11),0)))/100)/2</f>
        <v/>
      </c>
      <c r="M1164">
        <f>L1164*(1+(Inputs!$B$10+((C1176=TRUE)*(F1176-Calc!F26))+B1193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64">
        <f>L1164*(1-MIN((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1164*(MIN((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64">
        <f>(1-Summary!$B$11)*T1164+Summary!$B$11*V1164</f>
        <v/>
      </c>
      <c r="P1164">
        <f>IF(B1194=0,0,O1164/B1194)</f>
        <v/>
      </c>
      <c r="Q1164">
        <f>IFERROR(1/IF(Inputs!$B$39="pvp",15,MAX(0.1,Skills!D14-IF(Skills!E14=TRUE,Inputs!$B$32,0))),0)</f>
        <v/>
      </c>
      <c r="R1164">
        <f>IF(AND(Inputs!$B$39&lt;&gt;"pvp",Inputs!$B$44&gt;0),IF(MAX(0,Inputs!$B$44-B1195)&lt;=0,0,(INT(MAX(0,Inputs!$B$44-B1195)/IF(Inputs!$B$39="pvp",15,MAX(0.1,Skills!D14-IF(Skills!E14=TRUE,Inputs!$B$32,0))))+1)),0)</f>
        <v/>
      </c>
      <c r="S1164">
        <f>IFERROR(O1164/N1164,0)</f>
        <v/>
      </c>
      <c r="T1164">
        <f>IF(C1164,(H1164*N1164*IF(AND(Inputs!$B$39&lt;&gt;"pvp",Inputs!$B$44&gt;0),((Skills!G14*((R1164-1)*IF(Skills!H14&gt;0,Skills!I14/Skills!H14,1)+IF(Skills!H14&gt;0,MIN(Skills!I14,MAX(0,MAX(0,Inputs!$B$44-B1195)-((R1164-1)*IF(Inputs!$B$39="pvp",15,MAX(0.1,Skills!D14-IF(Skills!E14=TRUE,Inputs!$B$32,0))))))/Skills!H14,1)))/Inputs!$B$44),G1164*Q1164))*IF(Inputs!$B$39="pvp",1,1+(Inputs!$B$20+((C1177=TRUE)*(F1177-Calc!F27))+Skills!P14+B1191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Hunt"),CHOOSE(ArtifactsInput!$N$35+1,15,18,21,24,27,30)*(1-EXP(-(0.2*B1186)*5)),0)+IF(AND(ArtifactsInput!$M$22,Inputs!$B$4&lt;&gt;"Chapter Hunt"),CHOOSE(ArtifactsInput!$N$22+1,10,12,14,16,18,20)*((0*(((0.15*B1186*5))^0/1)+1*(((0.15*B1186*5))^1/1)+2*(((0.15*B1186*5))^2/2)+3*(((0.15*B1186*5))^3/6)+4*(((0.15*B1186*5))^4/24)+5*(((0.15*B1186*5))^5/120))/((((0.15*B1186*5))^0/1)+(((0.15*B1186*5))^1/1)+(((0.15*B1186*5))^2/2)+(((0.15*B1186*5))^3/6)+(((0.15*B1186*5))^4/24)+(((0.15*B1186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1164*(1-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1164*(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1164*(1-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1164*(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64">
        <f>IF(C1164,(H1164*N1164*IF(AND(Inputs!$B$39&lt;&gt;"pvp",Inputs!$B$44&gt;0),((Skills!G14*((R1164-1)*IF(Skills!H14&gt;0,Skills!I14/Skills!H14,1)+IF(Skills!H14&gt;0,MIN(Skills!I14,MAX(0,MAX(0,Inputs!$B$44-B1195)-((R1164-1)*IF(Inputs!$B$39="pvp",15,MAX(0.1,Skills!D14-IF(Skills!E14=TRUE,Inputs!$B$32,0))))))/Skills!H14,1)))/Inputs!$B$44),G1164*Q1164))*IF(Inputs!$B$39="pvp",1,(1+(Inputs!$B$21+Skills!Q14+B1191+(IF(ArtifactsInput!$M$33,CHOOSE(ArtifactsInput!$N$33+1,30,36,42,48,54,60),0))+(IF(AND(ArtifactsInput!$M$35,Inputs!$B$4&lt;&gt;"Chapter Hunt"),CHOOSE(ArtifactsInput!$N$35+1,15,18,21,24,27,30)*(1-EXP(-(0.2*B1186)*5)),0)+IF(AND(ArtifactsInput!$M$22,Inputs!$B$4&lt;&gt;"Chapter Hunt"),CHOOSE(ArtifactsInput!$N$22+1,10,12,14,16,18,20)*((0*(((0.15*B1186*5))^0/1)+1*(((0.15*B1186*5))^1/1)+2*(((0.15*B1186*5))^2/2)+3*(((0.15*B1186*5))^3/6)+4*(((0.15*B1186*5))^4/24)+5*(((0.15*B1186*5))^5/120))/((((0.15*B1186*5))^0/1)+(((0.15*B1186*5))^1/1)+(((0.15*B1186*5))^2/2)+(((0.15*B1186*5))^3/6)+(((0.15*B1186*5))^4/24)+(((0.15*B1186*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65">
      <c r="A1165">
        <f>Skills!A15</f>
        <v/>
      </c>
      <c r="B1165">
        <f>Skills!B15</f>
        <v/>
      </c>
      <c r="C1165">
        <f>Inputs!$B$3&gt;=110</f>
        <v/>
      </c>
      <c r="D1165">
        <f>IF(Skills!C15=1,60+Inputs!$B$25+Inputs!$B$29,IF(Skills!C15=2,90+Inputs!$B$26+Inputs!$B$29,IF(Skills!C15=3,120+Inputs!$B$27+Inputs!$B$29,MAX(0,(Inputs!$B$3-100)*3)+Inputs!$B$28+Inputs!$B$29)))</f>
        <v/>
      </c>
      <c r="E1165">
        <f>INDEX(FactorTable!$B$2:$Y$301, MATCH(ROUND(MIN(300,MAX(1,D1165)),0), FactorTable!$A$2:$A$301,0), Skills!M15+1)</f>
        <v/>
      </c>
      <c r="F1165">
        <f>IF(Skills!N15=TRUE,(Skills!L15/10)*(E1165/1000),Skills!L15/10)+Skills!O15</f>
        <v/>
      </c>
      <c r="G1165">
        <f>Calc!G15</f>
        <v/>
      </c>
      <c r="H1165">
        <f>Calc!H15</f>
        <v/>
      </c>
      <c r="I1165">
        <f>IF(Skills!AA15&lt;&gt;"",1+(Skills!AA15/10)*(U1153/1000)/100,1)</f>
        <v/>
      </c>
      <c r="J1165" t="inlineStr"/>
      <c r="K1165" t="inlineStr"/>
      <c r="L1165" t="inlineStr"/>
      <c r="M1165" t="inlineStr"/>
      <c r="N1165" t="inlineStr"/>
      <c r="O1165">
        <f>(1-Summary!$B$11)*T1165+Summary!$B$11*V1165</f>
        <v/>
      </c>
      <c r="P1165">
        <f>IF(B1194=0,0,O1165/B1194)</f>
        <v/>
      </c>
      <c r="Q1165">
        <f>IFERROR(1/IF(Inputs!$B$39="pvp",15,MAX(0.1,Skills!D15-IF(Skills!E15=TRUE,Inputs!$B$32,0))),0)</f>
        <v/>
      </c>
      <c r="R1165">
        <f>IF(AND(Inputs!$B$39&lt;&gt;"pvp",Inputs!$B$44&gt;0),IF(Inputs!$B$44&lt;=0,0,(INT(Inputs!$B$44/IF(Inputs!$B$39="pvp",15,MAX(0.1,Skills!D15-IF(Skills!E15=TRUE,Inputs!$B$32,0))))+1)),0)</f>
        <v/>
      </c>
      <c r="S1165">
        <f>IFERROR(O1165/N1165,0)</f>
        <v/>
      </c>
      <c r="T1165" t="n">
        <v>0</v>
      </c>
      <c r="V1165" t="n">
        <v>0</v>
      </c>
    </row>
    <row r="1166">
      <c r="A1166">
        <f>Skills!A16</f>
        <v/>
      </c>
      <c r="B1166">
        <f>Skills!B16</f>
        <v/>
      </c>
      <c r="C1166">
        <f>Inputs!$B$3&gt;=110</f>
        <v/>
      </c>
      <c r="D1166">
        <f>IF(Skills!C16=1,60+Inputs!$B$25+Inputs!$B$29,IF(Skills!C16=2,90+Inputs!$B$26+Inputs!$B$29,IF(Skills!C16=3,120+Inputs!$B$27+Inputs!$B$29,MAX(0,(Inputs!$B$3-100)*3)+Inputs!$B$28+Inputs!$B$29)))</f>
        <v/>
      </c>
      <c r="E1166">
        <f>INDEX(FactorTable!$B$2:$Y$301, MATCH(ROUND(MIN(300,MAX(1,D1166)),0), FactorTable!$A$2:$A$301,0), Skills!M16+1)</f>
        <v/>
      </c>
      <c r="F1166">
        <f>IF(Skills!N16=TRUE,(Skills!L16/10)*(E1166/1000),Skills!L16/10)+Skills!O16</f>
        <v/>
      </c>
      <c r="G1166">
        <f>Calc!G16</f>
        <v/>
      </c>
      <c r="H1166">
        <f>Calc!H16</f>
        <v/>
      </c>
      <c r="I1166">
        <f>IF(Skills!AA16&lt;&gt;"",1+(Skills!AA16/10)*(U1153/1000)/100,1)</f>
        <v/>
      </c>
      <c r="J1166" t="inlineStr"/>
      <c r="K1166" t="inlineStr"/>
      <c r="L1166" t="inlineStr"/>
      <c r="M1166" t="inlineStr"/>
      <c r="N1166" t="inlineStr"/>
      <c r="O1166">
        <f>(1-Summary!$B$11)*T1166+Summary!$B$11*V1166</f>
        <v/>
      </c>
      <c r="P1166">
        <f>IF(B1194=0,0,O1166/B1194)</f>
        <v/>
      </c>
      <c r="Q1166">
        <f>IFERROR(1/IF(Inputs!$B$39="pvp",15,MAX(0.1,Skills!D16-IF(Skills!E16=TRUE,Inputs!$B$32,0))),0)</f>
        <v/>
      </c>
      <c r="R1166">
        <f>IF(AND(Inputs!$B$39&lt;&gt;"pvp",Inputs!$B$44&gt;0),IF(Inputs!$B$44&lt;=0,0,(INT(Inputs!$B$44/IF(Inputs!$B$39="pvp",15,MAX(0.1,Skills!D16-IF(Skills!E16=TRUE,Inputs!$B$32,0))))+1)),0)</f>
        <v/>
      </c>
      <c r="S1166">
        <f>IFERROR(O1166/N1166,0)</f>
        <v/>
      </c>
      <c r="T1166" t="n">
        <v>0</v>
      </c>
      <c r="V1166" t="n">
        <v>0</v>
      </c>
    </row>
    <row r="1167">
      <c r="A1167">
        <f>Skills!A17</f>
        <v/>
      </c>
      <c r="B1167">
        <f>Skills!B17</f>
        <v/>
      </c>
      <c r="C1167">
        <f>Inputs!$B$3&gt;=115</f>
        <v/>
      </c>
      <c r="D1167">
        <f>IF(Skills!C17=1,60+Inputs!$B$25+Inputs!$B$29,IF(Skills!C17=2,90+Inputs!$B$26+Inputs!$B$29,IF(Skills!C17=3,120+Inputs!$B$27+Inputs!$B$29,MAX(0,(Inputs!$B$3-100)*3)+Inputs!$B$28+Inputs!$B$29)))</f>
        <v/>
      </c>
      <c r="E1167">
        <f>INDEX(FactorTable!$B$2:$Y$301, MATCH(ROUND(MIN(300,MAX(1,D1167)),0), FactorTable!$A$2:$A$301,0), Skills!M17+1)</f>
        <v/>
      </c>
      <c r="F1167">
        <f>IF(Skills!N17=TRUE,(Skills!L17/10)*(E1167/1000),Skills!L17/10)+Skills!O17</f>
        <v/>
      </c>
      <c r="G1167">
        <f>Calc!G17</f>
        <v/>
      </c>
      <c r="H1167">
        <f>Calc!H17</f>
        <v/>
      </c>
      <c r="I1167">
        <f>IF(Skills!AA17&lt;&gt;"",1+(Skills!AA17/10)*(U1153/1000)/100,1)</f>
        <v/>
      </c>
      <c r="J1167">
        <f>((Inputs!$B$6*(1+(Inputs!$B$7+1)/100))+(((Inputs!$B$12*(1+Inputs!$B$13/100))-(Inputs!$B$12*(1+Inputs!$B$13/100)))+0.25*(Inputs!$B$14-Inputs!$B$14))*(1+(Inputs!$B$7+1)/100))*(F1167/100)</f>
        <v/>
      </c>
      <c r="K1167">
        <f>J1167*(1+((Inputs!$B$12*(1+Inputs!$B$13/100))*0.01+Inputs!$B$14*0.0025)/100)*(1+Inputs!$B$15/100)*(1+Inputs!$B$16/100)*(5000/(6000+Inputs!$B$43*(1-(100*(1-(1-(Inputs!$B$19+0)/100)*(1-CHOOSE(ArtifactsInput!$N$40+1,5,6,7,8,9,10)/100)^(ArtifactsInput!$M$40-ArtifactsInput!$M$40)))/100)))*(1+(Inputs!$B$24+((C1180=TRUE)*(F1180-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1173=TRUE)*(F1173-Calc!F23))+(((IF(AND(ArtifactsInput!$M$42,((Inputs!$B$9+((C1175=TRUE)*(F1175-Calc!F25))+B1190+(ArtifactsInput!$M$24-ArtifactsInput!$M$24)*CHOOSE(ArtifactsInput!$N$24+1,10,12,14,16,18,20)+IF(ArtifactsInput!$M$10,CHOOSE(ArtifactsInput!$N$10+1,15,18,21,24,27,30)*(IF(Inputs!$B$39="pvp",MIN(15,15)/15,IF(AND(Inputs!$B$39&lt;&gt;"pvp",Inputs!$B$44&gt;0),MIN(15,Inputs!$B$44)/(Inputs!$B$44),0))),0)))&gt;=100),MIN(100,((Inputs!$B$9+((C1175=TRUE)*(F1175-Calc!F25))+B1190+(ArtifactsInput!$M$24-ArtifactsInput!$M$24)*CHOOSE(ArtifactsInput!$N$24+1,10,12,14,16,18,20)+IF(ArtifactsInput!$M$10,CHOOSE(ArtifactsInput!$N$10+1,15,18,21,24,27,30)*(IF(Inputs!$B$39="pvp",MIN(15,15)/15,IF(AND(Inputs!$B$39&lt;&gt;"pvp",Inputs!$B$44&gt;0),MIN(15,Inputs!$B$44)/(Inputs!$B$44),0))),0)))-100),0))*CHOOSE(ArtifactsInput!$N$42+1,0.6,0.72,0.84,0.96,1.08,1.2))),Inputs!$B$18+((C1179=TRUE)*(F1179-Calc!F29))+(IF(AND(ArtifactsInput!$M$42,((Inputs!$B$9+((C1175=TRUE)*(F1175-Calc!F25))+B1190+(ArtifactsInput!$M$24-ArtifactsInput!$M$24)*CHOOSE(ArtifactsInput!$N$24+1,10,12,14,16,18,20)+IF(ArtifactsInput!$M$10,CHOOSE(ArtifactsInput!$N$10+1,15,18,21,24,27,30)*(IF(Inputs!$B$39="pvp",MIN(15,15)/15,IF(AND(Inputs!$B$39&lt;&gt;"pvp",Inputs!$B$44&gt;0),MIN(15,Inputs!$B$44)/(Inputs!$B$44),0))),0)))&gt;=100),CHOOSE(ArtifactsInput!$N$42+1,40,48,56,64,72,80),0))))/100)*(((1+(((C1171=TRUE)*F1171*IF(AND(Inputs!$B$39&lt;&gt;"pvp",Inputs!$B$44&gt;0),(((R1171-1)*(Skills!Y21*(1+Inputs!$B$34/100))+MIN((Skills!Y21*(1+Inputs!$B$34/100)),MAX(0,Inputs!$B$44-((R1171-1)*Skills!D21))))/Inputs!$B$44),IF(Inputs!$B$39="pvp",MIN((Skills!Y21*(1+Inputs!$B$34/100)),15)/15,(Skills!Y21*(1+Inputs!$B$34/100))/Skills!D21)))+((C1178=TRUE)*(F1178-Calc!F28))+((C1168=TRUE)*(F1168-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1165=TRUE)*F1165*IF(AND(Inputs!$B$39&lt;&gt;"pvp",Inputs!$B$44&gt;0),(((R1165-1)*(Skills!Y15*(1+Inputs!$B$34/100))+MIN((Skills!Y15*(1+Inputs!$B$34/100)),MAX(0,Inputs!$B$44-((R1165-1)*Skills!D15))))/Inputs!$B$44),IF(Inputs!$B$39="pvp",MIN((Skills!Y15*(1+Inputs!$B$34/100)),15)/15,(Skills!Y15*(1+Inputs!$B$34/100))/Skills!D15)))/100)*(1+((C1156=TRUE)*F1156*B1184)/100))*B1192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1167)</f>
        <v/>
      </c>
      <c r="L1167">
        <f>K1167*(MIN(Inputs!$B$22+((C1174=TRUE)*(F1174-Calc!F24)),(Inputs!$B$23+0+(IF(ArtifactsInput!$M$15,CHOOSE(ArtifactsInput!$N$15+1,25,30,35,40,45,50)/100*(Inputs!$B$11-Inputs!$B$11),0))))/100+(Inputs!$B$23+0+(IF(ArtifactsInput!$M$15,CHOOSE(ArtifactsInput!$N$15+1,25,30,35,40,45,50)/100*(Inputs!$B$11-Inputs!$B$11),0)))/100)/2</f>
        <v/>
      </c>
      <c r="M1167">
        <f>L1167*(1+(Inputs!$B$10+((C1176=TRUE)*(F1176-Calc!F26))+B1193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67">
        <f>L1167*(1-MIN((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1167*(MIN((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67">
        <f>(1-Summary!$B$11)*T1167+Summary!$B$11*V1167</f>
        <v/>
      </c>
      <c r="P1167">
        <f>IF(B1194=0,0,O1167/B1194)</f>
        <v/>
      </c>
      <c r="Q1167" t="n">
        <v>0</v>
      </c>
      <c r="R1167" t="n">
        <v>0</v>
      </c>
      <c r="S1167">
        <f>IFERROR(O1167/N1167,0)</f>
        <v/>
      </c>
      <c r="T1167">
        <f>IF(C1167,(Inputs!$B$38*0.2*N1167)*IF(Inputs!$B$39="pvp",1,1+(Inputs!$B$20+((C1177=TRUE)*(F1177-Calc!F27))+Skills!P17+B1191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Hunt"),CHOOSE(ArtifactsInput!$N$35+1,15,18,21,24,27,30)*(1-EXP(-(0.2*B1186)*5)),0)+IF(AND(ArtifactsInput!$M$22,Inputs!$B$4&lt;&gt;"Chapter Hunt"),CHOOSE(ArtifactsInput!$N$22+1,10,12,14,16,18,20)*((0*(((0.15*B1186*5))^0/1)+1*(((0.15*B1186*5))^1/1)+2*(((0.15*B1186*5))^2/2)+3*(((0.15*B1186*5))^3/6)+4*(((0.15*B1186*5))^4/24)+5*(((0.15*B1186*5))^5/120))/((((0.15*B1186*5))^0/1)+(((0.15*B1186*5))^1/1)+(((0.15*B1186*5))^2/2)+(((0.15*B1186*5))^3/6)+(((0.15*B1186*5))^4/24)+(((0.15*B1186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1167*(1-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1167*(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1167*(1-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1167*(MIN(100,(Inputs!$B$9+((C1175=TRUE)*(F1175-Calc!F25))+B1190+(ArtifactsInput!$M$24-ArtifactsInput!$M$24)*CHOOSE(ArtifactsInput!$N$24+1,10,12,14,16,18,20)+(IF(AND(ArtifactsInput!$M$42,((Inputs!$B$9+((C1175=TRUE)*(F1175-Calc!F25))+B1190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67">
        <f>IF(C1167,(Inputs!$B$38*0.2*N1167)*IF(Inputs!$B$39="pvp",1,(1+(Inputs!$B$21+Skills!Q17+B1191+(IF(ArtifactsInput!$M$33,CHOOSE(ArtifactsInput!$N$33+1,30,36,42,48,54,60),0))+(IF(AND(ArtifactsInput!$M$35,Inputs!$B$4&lt;&gt;"Chapter Hunt"),CHOOSE(ArtifactsInput!$N$35+1,15,18,21,24,27,30)*(1-EXP(-(0.2*B1186)*5)),0)+IF(AND(ArtifactsInput!$M$22,Inputs!$B$4&lt;&gt;"Chapter Hunt"),CHOOSE(ArtifactsInput!$N$22+1,10,12,14,16,18,20)*((0*(((0.15*B1186*5))^0/1)+1*(((0.15*B1186*5))^1/1)+2*(((0.15*B1186*5))^2/2)+3*(((0.15*B1186*5))^3/6)+4*(((0.15*B1186*5))^4/24)+5*(((0.15*B1186*5))^5/120))/((((0.15*B1186*5))^0/1)+(((0.15*B1186*5))^1/1)+(((0.15*B1186*5))^2/2)+(((0.15*B1186*5))^3/6)+(((0.15*B1186*5))^4/24)+(((0.15*B1186*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68">
      <c r="A1168">
        <f>Skills!A18</f>
        <v/>
      </c>
      <c r="B1168">
        <f>Skills!B18</f>
        <v/>
      </c>
      <c r="C1168">
        <f>Inputs!$B$3&gt;=115</f>
        <v/>
      </c>
      <c r="D1168">
        <f>IF(Skills!C18=1,60+Inputs!$B$25+Inputs!$B$29,IF(Skills!C18=2,90+Inputs!$B$26+Inputs!$B$29,IF(Skills!C18=3,120+Inputs!$B$27+Inputs!$B$29,MAX(0,(Inputs!$B$3-100)*3)+Inputs!$B$28+Inputs!$B$29)))</f>
        <v/>
      </c>
      <c r="E1168">
        <f>INDEX(FactorTable!$B$2:$Y$301, MATCH(ROUND(MIN(300,MAX(1,D1168)),0), FactorTable!$A$2:$A$301,0), Skills!M18+1)</f>
        <v/>
      </c>
      <c r="F1168">
        <f>IF(Skills!N18=TRUE,(Skills!L18/10)*(E1168/1000),Skills!L18/10)+Skills!O18</f>
        <v/>
      </c>
      <c r="G1168">
        <f>Calc!G18</f>
        <v/>
      </c>
      <c r="H1168">
        <f>Calc!H18</f>
        <v/>
      </c>
      <c r="I1168">
        <f>IF(Skills!AA18&lt;&gt;"",1+(Skills!AA18/10)*(U1153/1000)/100,1)</f>
        <v/>
      </c>
      <c r="J1168" t="inlineStr"/>
      <c r="K1168" t="inlineStr"/>
      <c r="L1168" t="inlineStr"/>
      <c r="M1168" t="inlineStr"/>
      <c r="N1168" t="inlineStr"/>
      <c r="O1168">
        <f>(1-Summary!$B$11)*T1168+Summary!$B$11*V1168</f>
        <v/>
      </c>
      <c r="P1168">
        <f>IF(B1194=0,0,O1168/B1194)</f>
        <v/>
      </c>
      <c r="Q1168" t="n">
        <v>0</v>
      </c>
      <c r="R1168" t="n">
        <v>0</v>
      </c>
      <c r="S1168">
        <f>IFERROR(O1168/N1168,0)</f>
        <v/>
      </c>
      <c r="T1168" t="n">
        <v>0</v>
      </c>
      <c r="V1168" t="n">
        <v>0</v>
      </c>
    </row>
    <row r="1169">
      <c r="A1169">
        <f>Skills!A19</f>
        <v/>
      </c>
      <c r="B1169">
        <f>Skills!B19</f>
        <v/>
      </c>
      <c r="C1169">
        <f>TRUE</f>
        <v/>
      </c>
      <c r="D1169">
        <f>IF(Skills!C19=1,60+Inputs!$B$25+Inputs!$B$29,IF(Skills!C19=2,90+Inputs!$B$26+Inputs!$B$29,IF(Skills!C19=3,120+Inputs!$B$27+Inputs!$B$29,MAX(0,(Inputs!$B$3-100)*3)+Inputs!$B$28+Inputs!$B$29)))</f>
        <v/>
      </c>
      <c r="E1169">
        <f>INDEX(FactorTable!$B$2:$Y$301, MATCH(ROUND(MIN(300,MAX(1,D1169)),0), FactorTable!$A$2:$A$301,0), Skills!M19+1)</f>
        <v/>
      </c>
      <c r="F1169">
        <f>IF(Skills!N19=TRUE,(Skills!L19/10)*(E1169/1000),Skills!L19/10)+Skills!O19</f>
        <v/>
      </c>
      <c r="G1169">
        <f>Calc!G19</f>
        <v/>
      </c>
      <c r="H1169">
        <f>Calc!H19</f>
        <v/>
      </c>
      <c r="I1169">
        <f>IF(Skills!AA19&lt;&gt;"",1+(Skills!AA19/10)*(U1153/1000)/100,1)</f>
        <v/>
      </c>
      <c r="J1169" t="inlineStr"/>
      <c r="K1169" t="inlineStr"/>
      <c r="L1169" t="inlineStr"/>
      <c r="M1169" t="inlineStr"/>
      <c r="N1169" t="inlineStr"/>
      <c r="O1169">
        <f>(1-Summary!$B$11)*T1169+Summary!$B$11*V1169</f>
        <v/>
      </c>
      <c r="P1169">
        <f>IF(B1194=0,0,O1169/B1194)</f>
        <v/>
      </c>
      <c r="Q1169">
        <f>IFERROR(1/IF(Inputs!$B$39="pvp",15,MAX(0.1,Skills!D19-IF(Skills!E19=TRUE,Inputs!$B$32,0))),0)</f>
        <v/>
      </c>
      <c r="R1169">
        <f>IF(AND(Inputs!$B$39&lt;&gt;"pvp",Inputs!$B$44&gt;0),IF(Inputs!$B$44&lt;=0,0,(INT(Inputs!$B$44/IF(Inputs!$B$39="pvp",15,MAX(0.1,Skills!D19-IF(Skills!E19=TRUE,Inputs!$B$32,0))))+1)),0)</f>
        <v/>
      </c>
      <c r="S1169">
        <f>IFERROR(O1169/N1169,0)</f>
        <v/>
      </c>
      <c r="T1169" t="n">
        <v>0</v>
      </c>
      <c r="V1169" t="n">
        <v>0</v>
      </c>
    </row>
    <row r="1170">
      <c r="A1170">
        <f>Skills!A20</f>
        <v/>
      </c>
      <c r="B1170">
        <f>Skills!B20</f>
        <v/>
      </c>
      <c r="C1170">
        <f>Inputs!$B$3&gt;=15</f>
        <v/>
      </c>
      <c r="D1170">
        <f>IF(Skills!C20=1,60+Inputs!$B$25+Inputs!$B$29,IF(Skills!C20=2,90+Inputs!$B$26+Inputs!$B$29,IF(Skills!C20=3,120+Inputs!$B$27+Inputs!$B$29,MAX(0,(Inputs!$B$3-100)*3)+Inputs!$B$28+Inputs!$B$29)))</f>
        <v/>
      </c>
      <c r="E1170">
        <f>INDEX(FactorTable!$B$2:$Y$301, MATCH(ROUND(MIN(300,MAX(1,D1170)),0), FactorTable!$A$2:$A$301,0), Skills!M20+1)</f>
        <v/>
      </c>
      <c r="F1170">
        <f>IF(Skills!N20=TRUE,(Skills!L20/10)*(E1170/1000),Skills!L20/10)+Skills!O20</f>
        <v/>
      </c>
      <c r="G1170">
        <f>Calc!G20</f>
        <v/>
      </c>
      <c r="H1170">
        <f>Calc!H20</f>
        <v/>
      </c>
      <c r="I1170">
        <f>IF(Skills!AA20&lt;&gt;"",1+(Skills!AA20/10)*(U1153/1000)/100,1)</f>
        <v/>
      </c>
      <c r="J1170" t="inlineStr"/>
      <c r="K1170" t="inlineStr"/>
      <c r="L1170" t="inlineStr"/>
      <c r="M1170" t="inlineStr"/>
      <c r="N1170" t="inlineStr"/>
      <c r="O1170">
        <f>(1-Summary!$B$11)*T1170+Summary!$B$11*V1170</f>
        <v/>
      </c>
      <c r="P1170">
        <f>IF(B1194=0,0,O1170/B1194)</f>
        <v/>
      </c>
      <c r="Q1170">
        <f>IFERROR(1/IF(Inputs!$B$39="pvp",15,MAX(0.1,Skills!D20-IF(Skills!E20=TRUE,Inputs!$B$32,0))),0)</f>
        <v/>
      </c>
      <c r="R1170">
        <f>IF(AND(Inputs!$B$39&lt;&gt;"pvp",Inputs!$B$44&gt;0),IF(Inputs!$B$44&lt;=0,0,(INT(Inputs!$B$44/IF(Inputs!$B$39="pvp",15,MAX(0.1,Skills!D20-IF(Skills!E20=TRUE,Inputs!$B$32,0))))+1)),0)</f>
        <v/>
      </c>
      <c r="S1170">
        <f>IFERROR(O1170/N1170,0)</f>
        <v/>
      </c>
      <c r="T1170" t="n">
        <v>0</v>
      </c>
      <c r="V1170" t="n">
        <v>0</v>
      </c>
    </row>
    <row r="1171">
      <c r="A1171">
        <f>Skills!A21</f>
        <v/>
      </c>
      <c r="B1171">
        <f>Skills!B21</f>
        <v/>
      </c>
      <c r="C1171">
        <f>Inputs!$B$3&gt;=15</f>
        <v/>
      </c>
      <c r="D1171">
        <f>IF(Skills!C21=1,60+Inputs!$B$25+Inputs!$B$29,IF(Skills!C21=2,90+Inputs!$B$26+Inputs!$B$29,IF(Skills!C21=3,120+Inputs!$B$27+Inputs!$B$29,MAX(0,(Inputs!$B$3-100)*3)+Inputs!$B$28+Inputs!$B$29)))</f>
        <v/>
      </c>
      <c r="E1171">
        <f>INDEX(FactorTable!$B$2:$Y$301, MATCH(ROUND(MIN(300,MAX(1,D1171)),0), FactorTable!$A$2:$A$301,0), Skills!M21+1)</f>
        <v/>
      </c>
      <c r="F1171">
        <f>IF(Skills!N21=TRUE,(Skills!L21/10)*(E1171/1000),Skills!L21/10)+Skills!O21</f>
        <v/>
      </c>
      <c r="G1171">
        <f>Calc!G21</f>
        <v/>
      </c>
      <c r="H1171">
        <f>Calc!H21</f>
        <v/>
      </c>
      <c r="I1171">
        <f>IF(Skills!AA21&lt;&gt;"",1+(Skills!AA21/10)*(U1153/1000)/100,1)</f>
        <v/>
      </c>
      <c r="J1171" t="inlineStr"/>
      <c r="K1171" t="inlineStr"/>
      <c r="L1171" t="inlineStr"/>
      <c r="M1171" t="inlineStr"/>
      <c r="N1171" t="inlineStr"/>
      <c r="O1171">
        <f>(1-Summary!$B$11)*T1171+Summary!$B$11*V1171</f>
        <v/>
      </c>
      <c r="P1171">
        <f>IF(B1194=0,0,O1171/B1194)</f>
        <v/>
      </c>
      <c r="Q1171">
        <f>IFERROR(1/IF(Inputs!$B$39="pvp",15,MAX(0.1,Skills!D21-IF(Skills!E21=TRUE,Inputs!$B$32,0))),0)</f>
        <v/>
      </c>
      <c r="R1171">
        <f>IF(AND(Inputs!$B$39&lt;&gt;"pvp",Inputs!$B$44&gt;0),IF(Inputs!$B$44&lt;=0,0,(INT(Inputs!$B$44/IF(Inputs!$B$39="pvp",15,MAX(0.1,Skills!D21-IF(Skills!E21=TRUE,Inputs!$B$32,0))))+1)),0)</f>
        <v/>
      </c>
      <c r="S1171">
        <f>IFERROR(O1171/N1171,0)</f>
        <v/>
      </c>
      <c r="T1171" t="n">
        <v>0</v>
      </c>
      <c r="V1171" t="n">
        <v>0</v>
      </c>
    </row>
    <row r="1172">
      <c r="A1172">
        <f>Skills!A22</f>
        <v/>
      </c>
      <c r="B1172">
        <f>Skills!B22</f>
        <v/>
      </c>
      <c r="C1172">
        <f>Inputs!$B$3&gt;=33</f>
        <v/>
      </c>
      <c r="D1172">
        <f>IF(Skills!C22=1,60+Inputs!$B$25+Inputs!$B$29,IF(Skills!C22=2,90+Inputs!$B$26+Inputs!$B$29,IF(Skills!C22=3,120+Inputs!$B$27+Inputs!$B$29,MAX(0,(Inputs!$B$3-100)*3)+Inputs!$B$28+Inputs!$B$29)))</f>
        <v/>
      </c>
      <c r="E1172">
        <f>INDEX(FactorTable!$B$2:$Y$301, MATCH(ROUND(MIN(300,MAX(1,D1172)),0), FactorTable!$A$2:$A$301,0), Skills!M22+1)</f>
        <v/>
      </c>
      <c r="F1172">
        <f>IF(Skills!N22=TRUE,(Skills!L22/10)*(E1172/1000),Skills!L22/10)+Skills!O22</f>
        <v/>
      </c>
      <c r="G1172">
        <f>Calc!G22</f>
        <v/>
      </c>
      <c r="H1172">
        <f>Calc!H22</f>
        <v/>
      </c>
      <c r="I1172">
        <f>IF(Skills!AA22&lt;&gt;"",1+(Skills!AA22/10)*(U1153/1000)/100,1)</f>
        <v/>
      </c>
      <c r="J1172" t="inlineStr"/>
      <c r="K1172" t="inlineStr"/>
      <c r="L1172" t="inlineStr"/>
      <c r="M1172" t="inlineStr"/>
      <c r="N1172" t="inlineStr"/>
      <c r="O1172">
        <f>(1-Summary!$B$11)*T1172+Summary!$B$11*V1172</f>
        <v/>
      </c>
      <c r="P1172">
        <f>IF(B1194=0,0,O1172/B1194)</f>
        <v/>
      </c>
      <c r="Q1172" t="n">
        <v>0</v>
      </c>
      <c r="R1172" t="n">
        <v>0</v>
      </c>
      <c r="S1172">
        <f>IFERROR(O1172/N1172,0)</f>
        <v/>
      </c>
      <c r="T1172" t="n">
        <v>0</v>
      </c>
      <c r="V1172" t="n">
        <v>0</v>
      </c>
    </row>
    <row r="1173">
      <c r="A1173">
        <f>Skills!A23</f>
        <v/>
      </c>
      <c r="B1173">
        <f>Skills!B23</f>
        <v/>
      </c>
      <c r="C1173">
        <f>Inputs!$B$3&gt;=38</f>
        <v/>
      </c>
      <c r="D1173">
        <f>IF(Skills!C23=1,60+Inputs!$B$25+Inputs!$B$29,IF(Skills!C23=2,90+Inputs!$B$26+Inputs!$B$29,IF(Skills!C23=3,120+Inputs!$B$27+Inputs!$B$29,MAX(0,(Inputs!$B$3-100)*3)+Inputs!$B$28+Inputs!$B$29)))</f>
        <v/>
      </c>
      <c r="E1173">
        <f>INDEX(FactorTable!$B$2:$Y$301, MATCH(ROUND(MIN(300,MAX(1,D1173)),0), FactorTable!$A$2:$A$301,0), Skills!M23+1)</f>
        <v/>
      </c>
      <c r="F1173">
        <f>IF(Skills!N23=TRUE,(Skills!L23/10)*(E1173/1000),Skills!L23/10)+Skills!O23</f>
        <v/>
      </c>
      <c r="G1173">
        <f>Calc!G23</f>
        <v/>
      </c>
      <c r="H1173">
        <f>Calc!H23</f>
        <v/>
      </c>
      <c r="I1173">
        <f>IF(Skills!AA23&lt;&gt;"",1+(Skills!AA23/10)*(U1153/1000)/100,1)</f>
        <v/>
      </c>
      <c r="J1173" t="inlineStr"/>
      <c r="K1173" t="inlineStr"/>
      <c r="L1173" t="inlineStr"/>
      <c r="M1173" t="inlineStr"/>
      <c r="N1173" t="inlineStr"/>
      <c r="O1173">
        <f>(1-Summary!$B$11)*T1173+Summary!$B$11*V1173</f>
        <v/>
      </c>
      <c r="P1173">
        <f>IF(B1194=0,0,O1173/B1194)</f>
        <v/>
      </c>
      <c r="Q1173" t="n">
        <v>0</v>
      </c>
      <c r="R1173" t="n">
        <v>0</v>
      </c>
      <c r="S1173">
        <f>IFERROR(O1173/N1173,0)</f>
        <v/>
      </c>
      <c r="T1173" t="n">
        <v>0</v>
      </c>
      <c r="V1173" t="n">
        <v>0</v>
      </c>
    </row>
    <row r="1174">
      <c r="A1174">
        <f>Skills!A24</f>
        <v/>
      </c>
      <c r="B1174">
        <f>Skills!B24</f>
        <v/>
      </c>
      <c r="C1174">
        <f>Inputs!$B$3&gt;=40</f>
        <v/>
      </c>
      <c r="D1174">
        <f>IF(Skills!C24=1,60+Inputs!$B$25+Inputs!$B$29,IF(Skills!C24=2,90+Inputs!$B$26+Inputs!$B$29,IF(Skills!C24=3,120+Inputs!$B$27+Inputs!$B$29,MAX(0,(Inputs!$B$3-100)*3)+Inputs!$B$28+Inputs!$B$29)))</f>
        <v/>
      </c>
      <c r="E1174">
        <f>INDEX(FactorTable!$B$2:$Y$301, MATCH(ROUND(MIN(300,MAX(1,D1174)),0), FactorTable!$A$2:$A$301,0), Skills!M24+1)</f>
        <v/>
      </c>
      <c r="F1174">
        <f>IF(Skills!N24=TRUE,(Skills!L24/10)*(E1174/1000),Skills!L24/10)+Skills!O24</f>
        <v/>
      </c>
      <c r="G1174">
        <f>Calc!G24</f>
        <v/>
      </c>
      <c r="H1174">
        <f>Calc!H24</f>
        <v/>
      </c>
      <c r="I1174">
        <f>IF(Skills!AA24&lt;&gt;"",1+(Skills!AA24/10)*(U1153/1000)/100,1)</f>
        <v/>
      </c>
      <c r="J1174" t="inlineStr"/>
      <c r="K1174" t="inlineStr"/>
      <c r="L1174" t="inlineStr"/>
      <c r="M1174" t="inlineStr"/>
      <c r="N1174" t="inlineStr"/>
      <c r="O1174">
        <f>(1-Summary!$B$11)*T1174+Summary!$B$11*V1174</f>
        <v/>
      </c>
      <c r="P1174">
        <f>IF(B1194=0,0,O1174/B1194)</f>
        <v/>
      </c>
      <c r="Q1174" t="n">
        <v>0</v>
      </c>
      <c r="R1174" t="n">
        <v>0</v>
      </c>
      <c r="S1174">
        <f>IFERROR(O1174/N1174,0)</f>
        <v/>
      </c>
      <c r="T1174" t="n">
        <v>0</v>
      </c>
      <c r="V1174" t="n">
        <v>0</v>
      </c>
    </row>
    <row r="1175">
      <c r="A1175">
        <f>Skills!A25</f>
        <v/>
      </c>
      <c r="B1175">
        <f>Skills!B25</f>
        <v/>
      </c>
      <c r="C1175">
        <f>Inputs!$B$3&gt;=45</f>
        <v/>
      </c>
      <c r="D1175">
        <f>IF(Skills!C25=1,60+Inputs!$B$25+Inputs!$B$29,IF(Skills!C25=2,90+Inputs!$B$26+Inputs!$B$29,IF(Skills!C25=3,120+Inputs!$B$27+Inputs!$B$29,MAX(0,(Inputs!$B$3-100)*3)+Inputs!$B$28+Inputs!$B$29)))</f>
        <v/>
      </c>
      <c r="E1175">
        <f>INDEX(FactorTable!$B$2:$Y$301, MATCH(ROUND(MIN(300,MAX(1,D1175)),0), FactorTable!$A$2:$A$301,0), Skills!M25+1)</f>
        <v/>
      </c>
      <c r="F1175">
        <f>IF(Skills!N25=TRUE,(Skills!L25/10)*(E1175/1000),Skills!L25/10)+Skills!O25</f>
        <v/>
      </c>
      <c r="G1175">
        <f>Calc!G25</f>
        <v/>
      </c>
      <c r="H1175">
        <f>Calc!H25</f>
        <v/>
      </c>
      <c r="I1175">
        <f>IF(Skills!AA25&lt;&gt;"",1+(Skills!AA25/10)*(U1153/1000)/100,1)</f>
        <v/>
      </c>
      <c r="J1175" t="inlineStr"/>
      <c r="K1175" t="inlineStr"/>
      <c r="L1175" t="inlineStr"/>
      <c r="M1175" t="inlineStr"/>
      <c r="N1175" t="inlineStr"/>
      <c r="O1175">
        <f>(1-Summary!$B$11)*T1175+Summary!$B$11*V1175</f>
        <v/>
      </c>
      <c r="P1175">
        <f>IF(B1194=0,0,O1175/B1194)</f>
        <v/>
      </c>
      <c r="Q1175" t="n">
        <v>0</v>
      </c>
      <c r="R1175" t="n">
        <v>0</v>
      </c>
      <c r="S1175">
        <f>IFERROR(O1175/N1175,0)</f>
        <v/>
      </c>
      <c r="T1175" t="n">
        <v>0</v>
      </c>
      <c r="V1175" t="n">
        <v>0</v>
      </c>
    </row>
    <row r="1176">
      <c r="A1176">
        <f>Skills!A26</f>
        <v/>
      </c>
      <c r="B1176">
        <f>Skills!B26</f>
        <v/>
      </c>
      <c r="C1176">
        <f>Inputs!$B$3&gt;=45</f>
        <v/>
      </c>
      <c r="D1176">
        <f>IF(Skills!C26=1,60+Inputs!$B$25+Inputs!$B$29,IF(Skills!C26=2,90+Inputs!$B$26+Inputs!$B$29,IF(Skills!C26=3,120+Inputs!$B$27+Inputs!$B$29,MAX(0,(Inputs!$B$3-100)*3)+Inputs!$B$28+Inputs!$B$29)))</f>
        <v/>
      </c>
      <c r="E1176">
        <f>INDEX(FactorTable!$B$2:$Y$301, MATCH(ROUND(MIN(300,MAX(1,D1176)),0), FactorTable!$A$2:$A$301,0), Skills!M26+1)</f>
        <v/>
      </c>
      <c r="F1176">
        <f>IF(Skills!N26=TRUE,(Skills!L26/10)*(E1176/1000),Skills!L26/10)+Skills!O26</f>
        <v/>
      </c>
      <c r="G1176">
        <f>Calc!G26</f>
        <v/>
      </c>
      <c r="H1176">
        <f>Calc!H26</f>
        <v/>
      </c>
      <c r="I1176">
        <f>IF(Skills!AA26&lt;&gt;"",1+(Skills!AA26/10)*(U1153/1000)/100,1)</f>
        <v/>
      </c>
      <c r="J1176" t="inlineStr"/>
      <c r="K1176" t="inlineStr"/>
      <c r="L1176" t="inlineStr"/>
      <c r="M1176" t="inlineStr"/>
      <c r="N1176" t="inlineStr"/>
      <c r="O1176">
        <f>(1-Summary!$B$11)*T1176+Summary!$B$11*V1176</f>
        <v/>
      </c>
      <c r="P1176">
        <f>IF(B1194=0,0,O1176/B1194)</f>
        <v/>
      </c>
      <c r="Q1176" t="n">
        <v>0</v>
      </c>
      <c r="R1176" t="n">
        <v>0</v>
      </c>
      <c r="S1176">
        <f>IFERROR(O1176/N1176,0)</f>
        <v/>
      </c>
      <c r="T1176" t="n">
        <v>0</v>
      </c>
      <c r="V1176" t="n">
        <v>0</v>
      </c>
    </row>
    <row r="1177">
      <c r="A1177">
        <f>Skills!A27</f>
        <v/>
      </c>
      <c r="B1177">
        <f>Skills!B27</f>
        <v/>
      </c>
      <c r="C1177">
        <f>Inputs!$B$3&gt;=72</f>
        <v/>
      </c>
      <c r="D1177">
        <f>IF(Skills!C27=1,60+Inputs!$B$25+Inputs!$B$29,IF(Skills!C27=2,90+Inputs!$B$26+Inputs!$B$29,IF(Skills!C27=3,120+Inputs!$B$27+Inputs!$B$29,MAX(0,(Inputs!$B$3-100)*3)+Inputs!$B$28+Inputs!$B$29)))</f>
        <v/>
      </c>
      <c r="E1177">
        <f>INDEX(FactorTable!$B$2:$Y$301, MATCH(ROUND(MIN(300,MAX(1,D1177)),0), FactorTable!$A$2:$A$301,0), Skills!M27+1)</f>
        <v/>
      </c>
      <c r="F1177">
        <f>IF(Skills!N27=TRUE,(Skills!L27/10)*(E1177/1000),Skills!L27/10)+Skills!O27</f>
        <v/>
      </c>
      <c r="G1177">
        <f>Calc!G27</f>
        <v/>
      </c>
      <c r="H1177">
        <f>Calc!H27</f>
        <v/>
      </c>
      <c r="I1177">
        <f>IF(Skills!AA27&lt;&gt;"",1+(Skills!AA27/10)*(U1153/1000)/100,1)</f>
        <v/>
      </c>
      <c r="J1177" t="inlineStr"/>
      <c r="K1177" t="inlineStr"/>
      <c r="L1177" t="inlineStr"/>
      <c r="M1177" t="inlineStr"/>
      <c r="N1177" t="inlineStr"/>
      <c r="O1177">
        <f>(1-Summary!$B$11)*T1177+Summary!$B$11*V1177</f>
        <v/>
      </c>
      <c r="P1177">
        <f>IF(B1194=0,0,O1177/B1194)</f>
        <v/>
      </c>
      <c r="Q1177" t="n">
        <v>0</v>
      </c>
      <c r="R1177" t="n">
        <v>0</v>
      </c>
      <c r="S1177">
        <f>IFERROR(O1177/N1177,0)</f>
        <v/>
      </c>
      <c r="T1177" t="n">
        <v>0</v>
      </c>
      <c r="V1177" t="n">
        <v>0</v>
      </c>
    </row>
    <row r="1178">
      <c r="A1178">
        <f>Skills!A28</f>
        <v/>
      </c>
      <c r="B1178">
        <f>Skills!B28</f>
        <v/>
      </c>
      <c r="C1178">
        <f>Inputs!$B$3&gt;=75</f>
        <v/>
      </c>
      <c r="D1178">
        <f>IF(Skills!C28=1,60+Inputs!$B$25+Inputs!$B$29,IF(Skills!C28=2,90+Inputs!$B$26+Inputs!$B$29,IF(Skills!C28=3,120+Inputs!$B$27+Inputs!$B$29,MAX(0,(Inputs!$B$3-100)*3)+Inputs!$B$28+Inputs!$B$29)))</f>
        <v/>
      </c>
      <c r="E1178">
        <f>INDEX(FactorTable!$B$2:$Y$301, MATCH(ROUND(MIN(300,MAX(1,D1178)),0), FactorTable!$A$2:$A$301,0), Skills!M28+1)</f>
        <v/>
      </c>
      <c r="F1178">
        <f>IF(Skills!N28=TRUE,(Skills!L28/10)*(E1178/1000),Skills!L28/10)+Skills!O28</f>
        <v/>
      </c>
      <c r="G1178">
        <f>Calc!G28</f>
        <v/>
      </c>
      <c r="H1178">
        <f>Calc!H28</f>
        <v/>
      </c>
      <c r="I1178">
        <f>IF(Skills!AA28&lt;&gt;"",1+(Skills!AA28/10)*(U1153/1000)/100,1)</f>
        <v/>
      </c>
      <c r="J1178" t="inlineStr"/>
      <c r="K1178" t="inlineStr"/>
      <c r="L1178" t="inlineStr"/>
      <c r="M1178" t="inlineStr"/>
      <c r="N1178" t="inlineStr"/>
      <c r="O1178">
        <f>(1-Summary!$B$11)*T1178+Summary!$B$11*V1178</f>
        <v/>
      </c>
      <c r="P1178">
        <f>IF(B1194=0,0,O1178/B1194)</f>
        <v/>
      </c>
      <c r="Q1178" t="n">
        <v>0</v>
      </c>
      <c r="R1178" t="n">
        <v>0</v>
      </c>
      <c r="S1178">
        <f>IFERROR(O1178/N1178,0)</f>
        <v/>
      </c>
      <c r="T1178" t="n">
        <v>0</v>
      </c>
      <c r="V1178" t="n">
        <v>0</v>
      </c>
    </row>
    <row r="1179">
      <c r="A1179">
        <f>Skills!A29</f>
        <v/>
      </c>
      <c r="B1179">
        <f>Skills!B29</f>
        <v/>
      </c>
      <c r="C1179">
        <f>Inputs!$B$3&gt;=120</f>
        <v/>
      </c>
      <c r="D1179">
        <f>IF(Skills!C29=1,60+Inputs!$B$25+Inputs!$B$29,IF(Skills!C29=2,90+Inputs!$B$26+Inputs!$B$29,IF(Skills!C29=3,120+Inputs!$B$27+Inputs!$B$29,MAX(0,(Inputs!$B$3-100)*3)+Inputs!$B$28+Inputs!$B$29)))</f>
        <v/>
      </c>
      <c r="E1179">
        <f>INDEX(FactorTable!$B$2:$Y$301, MATCH(ROUND(MIN(300,MAX(1,D1179)),0), FactorTable!$A$2:$A$301,0), Skills!M29+1)</f>
        <v/>
      </c>
      <c r="F1179">
        <f>IF(Skills!N29=TRUE,(Skills!L29/10)*(E1179/1000),Skills!L29/10)+Skills!O29</f>
        <v/>
      </c>
      <c r="G1179">
        <f>Calc!G29</f>
        <v/>
      </c>
      <c r="H1179">
        <f>Calc!H29</f>
        <v/>
      </c>
      <c r="I1179">
        <f>IF(Skills!AA29&lt;&gt;"",1+(Skills!AA29/10)*(U1153/1000)/100,1)</f>
        <v/>
      </c>
      <c r="J1179" t="inlineStr"/>
      <c r="K1179" t="inlineStr"/>
      <c r="L1179" t="inlineStr"/>
      <c r="M1179" t="inlineStr"/>
      <c r="N1179" t="inlineStr"/>
      <c r="O1179">
        <f>(1-Summary!$B$11)*T1179+Summary!$B$11*V1179</f>
        <v/>
      </c>
      <c r="P1179">
        <f>IF(B1194=0,0,O1179/B1194)</f>
        <v/>
      </c>
      <c r="Q1179" t="n">
        <v>0</v>
      </c>
      <c r="R1179" t="n">
        <v>0</v>
      </c>
      <c r="S1179">
        <f>IFERROR(O1179/N1179,0)</f>
        <v/>
      </c>
      <c r="T1179" t="n">
        <v>0</v>
      </c>
      <c r="V1179" t="n">
        <v>0</v>
      </c>
    </row>
    <row r="1180">
      <c r="A1180">
        <f>Skills!A30</f>
        <v/>
      </c>
      <c r="B1180">
        <f>Skills!B30</f>
        <v/>
      </c>
      <c r="C1180">
        <f>Inputs!$B$3&gt;=125</f>
        <v/>
      </c>
      <c r="D1180">
        <f>IF(Skills!C30=1,60+Inputs!$B$25+Inputs!$B$29,IF(Skills!C30=2,90+Inputs!$B$26+Inputs!$B$29,IF(Skills!C30=3,120+Inputs!$B$27+Inputs!$B$29,MAX(0,(Inputs!$B$3-100)*3)+Inputs!$B$28+Inputs!$B$29)))</f>
        <v/>
      </c>
      <c r="E1180">
        <f>INDEX(FactorTable!$B$2:$Y$301, MATCH(ROUND(MIN(300,MAX(1,D1180)),0), FactorTable!$A$2:$A$301,0), Skills!M30+1)</f>
        <v/>
      </c>
      <c r="F1180">
        <f>IF(Skills!N30=TRUE,(Skills!L30/10)*(E1180/1000),Skills!L30/10)+Skills!O30</f>
        <v/>
      </c>
      <c r="G1180">
        <f>Calc!G30</f>
        <v/>
      </c>
      <c r="H1180">
        <f>Calc!H30</f>
        <v/>
      </c>
      <c r="I1180">
        <f>IF(Skills!AA30&lt;&gt;"",1+(Skills!AA30/10)*(U1153/1000)/100,1)</f>
        <v/>
      </c>
      <c r="J1180" t="inlineStr"/>
      <c r="K1180" t="inlineStr"/>
      <c r="L1180" t="inlineStr"/>
      <c r="M1180" t="inlineStr"/>
      <c r="N1180" t="inlineStr"/>
      <c r="O1180">
        <f>(1-Summary!$B$11)*T1180+Summary!$B$11*V1180</f>
        <v/>
      </c>
      <c r="P1180">
        <f>IF(B1194=0,0,O1180/B1194)</f>
        <v/>
      </c>
      <c r="Q1180" t="n">
        <v>0</v>
      </c>
      <c r="R1180" t="n">
        <v>0</v>
      </c>
      <c r="S1180">
        <f>IFERROR(O1180/N1180,0)</f>
        <v/>
      </c>
      <c r="T1180" t="n">
        <v>0</v>
      </c>
      <c r="V1180" t="n">
        <v>0</v>
      </c>
    </row>
    <row r="1181">
      <c r="A1181">
        <f>Skills!A31</f>
        <v/>
      </c>
      <c r="B1181">
        <f>Skills!B31</f>
        <v/>
      </c>
      <c r="C1181">
        <f>Inputs!$B$3&gt;=107</f>
        <v/>
      </c>
      <c r="D1181">
        <f>IF(Skills!C31=1,60+Inputs!$B$25+Inputs!$B$29,IF(Skills!C31=2,90+Inputs!$B$26+Inputs!$B$29,IF(Skills!C31=3,120+Inputs!$B$27+Inputs!$B$29,MAX(0,(Inputs!$B$3-100)*3)+Inputs!$B$28+Inputs!$B$29)))</f>
        <v/>
      </c>
      <c r="E1181">
        <f>INDEX(FactorTable!$B$2:$Y$301, MATCH(ROUND(MIN(300,MAX(1,D1181)),0), FactorTable!$A$2:$A$301,0), Skills!M31+1)</f>
        <v/>
      </c>
      <c r="F1181">
        <f>IF(Skills!N31=TRUE,(Skills!L31/10)*(E1181/1000),Skills!L31/10)+Skills!O31</f>
        <v/>
      </c>
      <c r="G1181">
        <f>Calc!G31</f>
        <v/>
      </c>
      <c r="H1181">
        <f>Calc!H31</f>
        <v/>
      </c>
      <c r="I1181">
        <f>IF(Skills!AA31&lt;&gt;"",1+(Skills!AA31/10)*(U1153/1000)/100,1)</f>
        <v/>
      </c>
      <c r="J1181" t="inlineStr"/>
      <c r="K1181" t="inlineStr"/>
      <c r="L1181" t="inlineStr"/>
      <c r="M1181" t="inlineStr"/>
      <c r="N1181" t="inlineStr"/>
      <c r="O1181">
        <f>(1-Summary!$B$11)*T1181+Summary!$B$11*V1181</f>
        <v/>
      </c>
      <c r="P1181">
        <f>IF(B1194=0,0,O1181/B1194)</f>
        <v/>
      </c>
      <c r="Q1181" t="n">
        <v>0</v>
      </c>
      <c r="R1181" t="n">
        <v>0</v>
      </c>
      <c r="S1181">
        <f>IFERROR(O1181/N1181,0)</f>
        <v/>
      </c>
      <c r="T1181" t="n">
        <v>0</v>
      </c>
      <c r="V1181" t="n">
        <v>0</v>
      </c>
    </row>
    <row r="1183">
      <c r="A1183" t="inlineStr">
        <is>
          <t>Actions Per Second (pre-Adrenalin)</t>
        </is>
      </c>
      <c r="B1183">
        <f>1+MIN(150,150*(1-(1-(Inputs!$B$11+((C1172=TRUE)*(F1172-Calc!F22))+(ArtifactsInput!$M$15-ArtifactsInput!$M$15)*CHOOSE(ArtifactsInput!$N$15+1,8,9.6,11.2,12.8,14.4,16))/150)*(1-((C1169=TRUE)*F1169*IF(AND(Inputs!$B$39&lt;&gt;"pvp",Inputs!$B$44&gt;0),(((R1169-1)*(Skills!Y19*(1+Inputs!$B$34/100))+MIN((Skills!Y19*(1+Inputs!$B$34/100)),MAX(0,Inputs!$B$44-((R1169-1)*Skills!D19))))/Inputs!$B$44),IF(Inputs!$B$39="pvp",MIN((Skills!Y19*(1+Inputs!$B$34/100)),15)/15,(Skills!Y19*(1+Inputs!$B$34/100))/Skills!D19)))/150)))/100</f>
        <v/>
      </c>
    </row>
    <row r="1184">
      <c r="A1184" t="inlineStr">
        <is>
          <t>Alchemic Adrenaline Uptime</t>
        </is>
      </c>
      <c r="B1184">
        <f>(Skills!Y6*(1+Inputs!$B$34/100))/((Skills!Y6*(1+Inputs!$B$34/100))+(5/B1183))</f>
        <v/>
      </c>
    </row>
    <row r="1185">
      <c r="A1185" t="inlineStr">
        <is>
          <t>Attack Speed Buff Bonus %</t>
        </is>
      </c>
      <c r="B1185">
        <f>((C1169=TRUE)*F1169*IF(AND(Inputs!$B$39&lt;&gt;"pvp",Inputs!$B$44&gt;0),(((R1169-1)*(Skills!Y19*(1+Inputs!$B$34/100))+MIN((Skills!Y19*(1+Inputs!$B$34/100)),MAX(0,Inputs!$B$44-((R1169-1)*Skills!D19))))/Inputs!$B$44),IF(Inputs!$B$39="pvp",MIN((Skills!Y19*(1+Inputs!$B$34/100)),15)/15,(Skills!Y19*(1+Inputs!$B$34/100))/Skills!D19)))+((C1157=TRUE)*F1157*B1184)</f>
        <v/>
      </c>
    </row>
    <row r="1186">
      <c r="A1186" t="inlineStr">
        <is>
          <t>Actions Per Second (final)</t>
        </is>
      </c>
      <c r="B1186">
        <f>1+MIN(150,150*(1-(1-(Inputs!$B$11+((C1172=TRUE)*(F1172-Calc!F22))+(ArtifactsInput!$M$15-ArtifactsInput!$M$15)*CHOOSE(ArtifactsInput!$N$15+1,8,9.6,11.2,12.8,14.4,16))/150)*(1-B1185/150)))/100</f>
        <v/>
      </c>
    </row>
    <row r="1187">
      <c r="A1187" t="inlineStr">
        <is>
          <t>Skill + Buff Cast Rate</t>
        </is>
      </c>
      <c r="B1187">
        <f>IF(AND(Inputs!$B$39&lt;&gt;"pvp",Inputs!$B$44&gt;0),SUMPRODUCT((Skills!E2:E31=TRUE)*(C1152:C1181=TRUE)*R1152:R1181*Skills!F2:F31)/Inputs!$B$44,SUMPRODUCT((Skills!E2:E31=TRUE)*(C1152:C1181=TRUE)*Q1152:Q1181*Skills!F2:F31))</f>
        <v/>
      </c>
    </row>
    <row r="1188">
      <c r="A1188" t="inlineStr">
        <is>
          <t>Showdown Casts Per Second</t>
        </is>
      </c>
      <c r="B1188">
        <f>MAX(0,B1186-B1187)</f>
        <v/>
      </c>
    </row>
    <row r="1189">
      <c r="A1189" t="inlineStr">
        <is>
          <t>Average Buff Multiplier</t>
        </is>
      </c>
      <c r="B1189">
        <f>(1+(((C1171=TRUE)*F1171*IF(AND(Inputs!$B$39&lt;&gt;"pvp",Inputs!$B$44&gt;0),(((R1171-1)*(Skills!Y21*(1+Inputs!$B$34/100))+MIN((Skills!Y21*(1+Inputs!$B$34/100)),MAX(0,Inputs!$B$44-((R1171-1)*Skills!D21))))/Inputs!$B$44),IF(Inputs!$B$39="pvp",MIN((Skills!Y21*(1+Inputs!$B$34/100)),15)/15,(Skills!Y21*(1+Inputs!$B$34/100))/Skills!D21)))+((C1178=TRUE)*(F1178-Calc!F28))+((C1168=TRUE)*(F1168-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1165=TRUE)*F1165*IF(AND(Inputs!$B$39&lt;&gt;"pvp",Inputs!$B$44&gt;0),(((R1165-1)*(Skills!Y15*(1+Inputs!$B$34/100))+MIN((Skills!Y15*(1+Inputs!$B$34/100)),MAX(0,Inputs!$B$44-((R1165-1)*Skills!D15))))/Inputs!$B$44),IF(Inputs!$B$39="pvp",MIN((Skills!Y15*(1+Inputs!$B$34/100)),15)/15,(Skills!Y15*(1+Inputs!$B$34/100))/Skills!D15)))/100)*(1+((C1156=TRUE)*F1156*B1184)/100)</f>
        <v/>
      </c>
    </row>
    <row r="1190">
      <c r="A1190" t="inlineStr">
        <is>
          <t>Global Crit Rate Bonus %</t>
        </is>
      </c>
      <c r="B1190">
        <f>IF(Inputs!$B$3&gt;=47,8,0)+((C1170=TRUE)*F1170*IF(AND(Inputs!$B$39&lt;&gt;"pvp",Inputs!$B$44&gt;0),(((R1170-1)*(Skills!Y20*(1+Inputs!$B$34/100))+MIN((Skills!Y20*(1+Inputs!$B$34/100)),MAX(0,Inputs!$B$44-((R1170-1)*Skills!D20))))/Inputs!$B$44),IF(Inputs!$B$39="pvp",MIN((Skills!Y20*(1+Inputs!$B$34/100)),15)/15,(Skills!Y20*(1+Inputs!$B$34/100))/Skills!D20)))</f>
        <v/>
      </c>
    </row>
    <row r="1191">
      <c r="A1191" t="inlineStr">
        <is>
          <t>Global Monster Damage-Taken Bonus %</t>
        </is>
      </c>
      <c r="B1191">
        <f>IF(Inputs!$B$3&gt;=82,15,0)+((C1166=TRUE)*F1166*IF(AND(Inputs!$B$39&lt;&gt;"pvp",Inputs!$B$44&gt;0),(((R1166-1)*(Skills!Y16*(1+Inputs!$B$34/100))+MIN((Skills!Y16*(1+Inputs!$B$34/100)),MAX(0,Inputs!$B$44-((R1166-1)*Skills!D16))))/Inputs!$B$44),IF(Inputs!$B$39="pvp",MIN((Skills!Y16*(1+Inputs!$B$34/100)),15)/15,(Skills!Y16*(1+Inputs!$B$34/100))/Skills!D16)))</f>
        <v/>
      </c>
    </row>
    <row r="1192">
      <c r="A1192" t="inlineStr">
        <is>
          <t>Shadow Partner Average Multiplier</t>
        </is>
      </c>
      <c r="B1192">
        <f>1+((C1161=TRUE)*F1161*I1161*Skills!J11/100)/100</f>
        <v/>
      </c>
    </row>
    <row r="1193">
      <c r="A1193" t="inlineStr">
        <is>
          <t>Global Critical Damage Bonus % (Frailty Curse Mastery Lv.111)</t>
        </is>
      </c>
      <c r="B1193">
        <f>IF(Inputs!$B$3&gt;=111,30,0)*IF(AND(Inputs!$B$39&lt;&gt;"pvp",Inputs!$B$44&gt;0),(((R1166-1)*(Skills!Y16*(1+Inputs!$B$34/100))+MIN((Skills!Y16*(1+Inputs!$B$34/100)),MAX(0,Inputs!$B$44-((R1166-1)*Skills!D16))))/Inputs!$B$44),IF(Inputs!$B$39="pvp",MIN((Skills!Y16*(1+Inputs!$B$34/100)),15)/15,(Skills!Y16*(1+Inputs!$B$34/100))/Skills!D16))</f>
        <v/>
      </c>
    </row>
    <row r="1194">
      <c r="A1194" s="6" t="inlineStr">
        <is>
          <t>TOTAL DPS</t>
        </is>
      </c>
      <c r="B1194" s="6">
        <f>SUM(O1152:O1181)</f>
        <v/>
      </c>
    </row>
    <row r="1195">
      <c r="A1195" t="inlineStr">
        <is>
          <t>Buff-Casting Startup Delay (s, fixed-duration only)</t>
        </is>
      </c>
      <c r="B1195">
        <f>IF(AND(Inputs!$B$39&lt;&gt;"pvp",Inputs!$B$44&gt;0),SUMPRODUCT((Skills!Y2:Y31&gt;0)*(Skills!E2:E31=TRUE)*(C1152:C1181=TRUE))/B1186,0)</f>
        <v/>
      </c>
    </row>
    <row r="1196">
      <c r="A1196" t="inlineStr">
        <is>
          <t>Boss-Only Total DPS (this block's swept value)</t>
        </is>
      </c>
      <c r="B1196">
        <f>SUM(T1152:T1181)</f>
        <v/>
      </c>
    </row>
    <row r="1197">
      <c r="A1197" t="inlineStr">
        <is>
          <t>Normal-Only Total DPS (this block's swept value)</t>
        </is>
      </c>
      <c r="B1197">
        <f>SUM(V1152:V1181)</f>
        <v/>
      </c>
    </row>
    <row r="1199">
      <c r="A1199" s="6" t="inlineStr">
        <is>
          <t>Stat: Skill Cooldown Decrease (seconds)</t>
        </is>
      </c>
    </row>
    <row r="1200">
      <c r="A1200" s="5" t="inlineStr">
        <is>
          <t>Key</t>
        </is>
      </c>
      <c r="B1200" s="5" t="inlineStr">
        <is>
          <t>Name</t>
        </is>
      </c>
      <c r="C1200" s="5" t="inlineStr">
        <is>
          <t>Unlocked</t>
        </is>
      </c>
      <c r="D1200" s="5" t="inlineStr">
        <is>
          <t>InputLevel</t>
        </is>
      </c>
      <c r="E1200" s="5" t="inlineStr">
        <is>
          <t>Factor</t>
        </is>
      </c>
      <c r="F1200" s="5" t="inlineStr">
        <is>
          <t>CoefficientPercent</t>
        </is>
      </c>
      <c r="G1200" s="5" t="inlineStr">
        <is>
          <t>EffectiveHits</t>
        </is>
      </c>
      <c r="H1200" s="5" t="inlineStr">
        <is>
          <t>ProcProbability</t>
        </is>
      </c>
      <c r="I1200" s="5" t="inlineStr">
        <is>
          <t>MapleHeroMultiplier</t>
        </is>
      </c>
      <c r="J1200" s="5" t="inlineStr">
        <is>
          <t>BaseDamage</t>
        </is>
      </c>
      <c r="K1200" s="5" t="inlineStr">
        <is>
          <t>BaseHitDamage</t>
        </is>
      </c>
      <c r="L1200" s="5" t="inlineStr">
        <is>
          <t>NonCritAvg</t>
        </is>
      </c>
      <c r="M1200" s="5" t="inlineStr">
        <is>
          <t>CritAvg</t>
        </is>
      </c>
      <c r="N1200" s="5" t="inlineStr">
        <is>
          <t>ExpectedDamage(perHit)</t>
        </is>
      </c>
      <c r="O1200" s="5" t="inlineStr">
        <is>
          <t>DPS</t>
        </is>
      </c>
      <c r="P1200" s="5" t="inlineStr">
        <is>
          <t>% of Total</t>
        </is>
      </c>
      <c r="Q1200" s="5" t="inlineStr">
        <is>
          <t>InvCooldown</t>
        </is>
      </c>
      <c r="R1200" s="5" t="inlineStr">
        <is>
          <t>CastsInFight</t>
        </is>
      </c>
      <c r="S1200" s="5" t="inlineStr">
        <is>
          <t>HitRate(perSec)</t>
        </is>
      </c>
      <c r="U1200" t="inlineStr">
        <is>
          <t>helpers</t>
        </is>
      </c>
    </row>
    <row r="1201">
      <c r="A1201">
        <f>Skills!A2</f>
        <v/>
      </c>
      <c r="B1201">
        <f>Skills!B2</f>
        <v/>
      </c>
      <c r="C1201">
        <f>Inputs!$B$3&gt;=100</f>
        <v/>
      </c>
      <c r="D1201" t="inlineStr"/>
      <c r="E1201" t="inlineStr"/>
      <c r="F1201">
        <f>U1205+Skills!O2</f>
        <v/>
      </c>
      <c r="G1201">
        <f>Calc!G2</f>
        <v/>
      </c>
      <c r="H1201">
        <f>Calc!H2</f>
        <v/>
      </c>
      <c r="I1201">
        <f>IF(Skills!AA2&lt;&gt;"",1+(Skills!AA2/10)*(U1202/1000)/100,1)</f>
        <v/>
      </c>
      <c r="J1201">
        <f>((Inputs!$B$6*(1+Inputs!$B$7/100))+(((Inputs!$B$12*(1+Inputs!$B$13/100))-(Inputs!$B$12*(1+Inputs!$B$13/100)))+0.25*(Inputs!$B$14-Inputs!$B$14))*(1+Inputs!$B$7/100))*(F1201/100)</f>
        <v/>
      </c>
      <c r="K1201">
        <f>J1201*(1+((Inputs!$B$12*(1+Inputs!$B$13/100))*0.01+Inputs!$B$14*0.0025)/100)*(1+Inputs!$B$15/100)*(1+Inputs!$B$16/100)*(5000/(6000+Inputs!$B$43*(1-(100*(1-(1-(Inputs!$B$19+0)/100)*(1-CHOOSE(ArtifactsInput!$N$40+1,5,6,7,8,9,10)/100)^(ArtifactsInput!$M$40-ArtifactsInput!$M$40)))/100)))*(1+(Inputs!$B$24+((C1229=TRUE)*(F1229-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1222=TRUE)*(F1222-Calc!F23))+(((IF(AND(ArtifactsInput!$M$42,((Inputs!$B$9+((C1224=TRUE)*(F1224-Calc!F25))+B1239+(ArtifactsInput!$M$24-ArtifactsInput!$M$24)*CHOOSE(ArtifactsInput!$N$24+1,10,12,14,16,18,20)+IF(ArtifactsInput!$M$10,CHOOSE(ArtifactsInput!$N$10+1,15,18,21,24,27,30)*(IF(Inputs!$B$39="pvp",MIN(15,15)/15,IF(AND(Inputs!$B$39&lt;&gt;"pvp",Inputs!$B$44&gt;0),MIN(15,Inputs!$B$44)/(Inputs!$B$44),0))),0)))&gt;=100),MIN(100,((Inputs!$B$9+((C1224=TRUE)*(F1224-Calc!F25))+B1239+(ArtifactsInput!$M$24-ArtifactsInput!$M$24)*CHOOSE(ArtifactsInput!$N$24+1,10,12,14,16,18,20)+IF(ArtifactsInput!$M$10,CHOOSE(ArtifactsInput!$N$10+1,15,18,21,24,27,30)*(IF(Inputs!$B$39="pvp",MIN(15,15)/15,IF(AND(Inputs!$B$39&lt;&gt;"pvp",Inputs!$B$44&gt;0),MIN(15,Inputs!$B$44)/(Inputs!$B$44),0))),0)))-100),0))*CHOOSE(ArtifactsInput!$N$42+1,0.6,0.72,0.84,0.96,1.08,1.2))),Inputs!$B$18+((C1228=TRUE)*(F1228-Calc!F29))+(IF(AND(ArtifactsInput!$M$42,((Inputs!$B$9+((C1224=TRUE)*(F1224-Calc!F25))+B1239+(ArtifactsInput!$M$24-ArtifactsInput!$M$24)*CHOOSE(ArtifactsInput!$N$24+1,10,12,14,16,18,20)+IF(ArtifactsInput!$M$10,CHOOSE(ArtifactsInput!$N$10+1,15,18,21,24,27,30)*(IF(Inputs!$B$39="pvp",MIN(15,15)/15,IF(AND(Inputs!$B$39&lt;&gt;"pvp",Inputs!$B$44&gt;0),MIN(15,Inputs!$B$44)/(Inputs!$B$44),0))),0)))&gt;=100),CHOOSE(ArtifactsInput!$N$42+1,40,48,56,64,72,80),0))))/100)*(((1+(((C1220=TRUE)*F1220*IF(AND(Inputs!$B$39&lt;&gt;"pvp",Inputs!$B$44&gt;0),(((R1220-1)*(Skills!Y21*(1+Inputs!$B$34/100))+MIN((Skills!Y21*(1+Inputs!$B$34/100)),MAX(0,Inputs!$B$44-((R1220-1)*Skills!D21))))/Inputs!$B$44),IF(Inputs!$B$39="pvp",MIN((Skills!Y21*(1+Inputs!$B$34/100)),15)/15,(Skills!Y21*(1+Inputs!$B$34/100))/Skills!D21)))+((C1227=TRUE)*(F1227-Calc!F28))+((C1217=TRUE)*(F1217-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1214=TRUE)*F1214*IF(AND(Inputs!$B$39&lt;&gt;"pvp",Inputs!$B$44&gt;0),(((R1214-1)*(Skills!Y15*(1+Inputs!$B$34/100))+MIN((Skills!Y15*(1+Inputs!$B$34/100)),MAX(0,Inputs!$B$44-((R1214-1)*Skills!D15))))/Inputs!$B$44),IF(Inputs!$B$39="pvp",MIN((Skills!Y15*(1+Inputs!$B$34/100)),15)/15,(Skills!Y15*(1+Inputs!$B$34/100))/Skills!D15)))/100)*(1+((C1205=TRUE)*F1205*B1233)/100))*B1241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1201)</f>
        <v/>
      </c>
      <c r="L1201">
        <f>K1201*(MIN(Inputs!$B$22+((C1223=TRUE)*(F1223-Calc!F24)),(Inputs!$B$23+0+(IF(ArtifactsInput!$M$15,CHOOSE(ArtifactsInput!$N$15+1,25,30,35,40,45,50)/100*(Inputs!$B$11-Inputs!$B$11),0))))/100+(Inputs!$B$23+0+(IF(ArtifactsInput!$M$15,CHOOSE(ArtifactsInput!$N$15+1,25,30,35,40,45,50)/100*(Inputs!$B$11-Inputs!$B$11),0)))/100)/2</f>
        <v/>
      </c>
      <c r="M1201">
        <f>L1201*(1+(Inputs!$B$10+((C1225=TRUE)*(F1225-Calc!F26))+B1242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01">
        <f>L1201*(1-MIN((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1201*(MIN((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01">
        <f>(1-Summary!$B$11)*T1201+Summary!$B$11*V1201</f>
        <v/>
      </c>
      <c r="P1201">
        <f>IF(B1243=0,0,O1201/B1243)</f>
        <v/>
      </c>
      <c r="Q1201" t="n">
        <v>0</v>
      </c>
      <c r="R1201" t="n">
        <v>0</v>
      </c>
      <c r="S1201">
        <f>IFERROR(O1201/N1201,0)</f>
        <v/>
      </c>
      <c r="T1201">
        <f>IF(C1201,(Skills!G2*N1201*B1237)*IF(Inputs!$B$39="pvp",1,1+(Inputs!$B$20+((C1226=TRUE)*(F1226-Calc!F27))+Skills!P2+B1240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1201*(1-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1201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1201*(1-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1201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01">
        <f>MAX(0,(Inputs!$B$3-100)*3)+Inputs!$B$28+Inputs!$B$29</f>
        <v/>
      </c>
      <c r="V1201">
        <f>IF(C1201,(Skills!G2*N1201*B1237)*IF(Inputs!$B$39="pvp",1,(1+(Inputs!$B$21+Skills!Q2+B1240+(IF(ArtifactsInput!$M$33,CHOOSE(ArtifactsInput!$N$33+1,30,36,42,48,54,60),0))+(IF(AND(ArtifactsInput!$M$35,Inputs!$B$4&lt;&gt;"Chapter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02">
      <c r="A1202">
        <f>Skills!A3</f>
        <v/>
      </c>
      <c r="B1202">
        <f>Skills!B3</f>
        <v/>
      </c>
      <c r="C1202">
        <f>Inputs!$B$3&gt;=35</f>
        <v/>
      </c>
      <c r="D1202">
        <f>IF(Skills!C3=1,60+Inputs!$B$25+Inputs!$B$29,IF(Skills!C3=2,90+Inputs!$B$26+Inputs!$B$29,IF(Skills!C3=3,120+Inputs!$B$27+Inputs!$B$29,MAX(0,(Inputs!$B$3-100)*3)+Inputs!$B$28+Inputs!$B$29)))</f>
        <v/>
      </c>
      <c r="E1202">
        <f>INDEX(FactorTable!$B$2:$Y$301, MATCH(ROUND(MIN(300,MAX(1,D1202)),0), FactorTable!$A$2:$A$301,0), Skills!M3+1)</f>
        <v/>
      </c>
      <c r="F1202">
        <f>IF(Skills!N3=TRUE,(Skills!L3/10)*(E1202/1000),Skills!L3/10)+Skills!O3</f>
        <v/>
      </c>
      <c r="G1202">
        <f>Calc!G3</f>
        <v/>
      </c>
      <c r="H1202">
        <f>Calc!H3</f>
        <v/>
      </c>
      <c r="I1202">
        <f>IF(Skills!AA3&lt;&gt;"",1+(Skills!AA3/10)*(U1202/1000)/100,1)</f>
        <v/>
      </c>
      <c r="J1202">
        <f>((Inputs!$B$6*(1+Inputs!$B$7/100))+(((Inputs!$B$12*(1+Inputs!$B$13/100))-(Inputs!$B$12*(1+Inputs!$B$13/100)))+0.25*(Inputs!$B$14-Inputs!$B$14))*(1+Inputs!$B$7/100))*(F1202/100)</f>
        <v/>
      </c>
      <c r="K1202">
        <f>J1202*(1+((Inputs!$B$12*(1+Inputs!$B$13/100))*0.01+Inputs!$B$14*0.0025)/100)*(1+Inputs!$B$15/100)*(1+Inputs!$B$16/100)*(5000/(6000+Inputs!$B$43*(1-(100*(1-(1-(Inputs!$B$19+0)/100)*(1-CHOOSE(ArtifactsInput!$N$40+1,5,6,7,8,9,10)/100)^(ArtifactsInput!$M$40-ArtifactsInput!$M$40)))/100)))*(1+(Inputs!$B$24+((C1229=TRUE)*(F1229-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1222=TRUE)*(F1222-Calc!F23))+(((IF(AND(ArtifactsInput!$M$42,((Inputs!$B$9+((C1224=TRUE)*(F1224-Calc!F25))+B1239+(ArtifactsInput!$M$24-ArtifactsInput!$M$24)*CHOOSE(ArtifactsInput!$N$24+1,10,12,14,16,18,20)+IF(ArtifactsInput!$M$10,CHOOSE(ArtifactsInput!$N$10+1,15,18,21,24,27,30)*(IF(Inputs!$B$39="pvp",MIN(15,15)/15,IF(AND(Inputs!$B$39&lt;&gt;"pvp",Inputs!$B$44&gt;0),MIN(15,Inputs!$B$44)/(Inputs!$B$44),0))),0)))&gt;=100),MIN(100,((Inputs!$B$9+((C1224=TRUE)*(F1224-Calc!F25))+B1239+(ArtifactsInput!$M$24-ArtifactsInput!$M$24)*CHOOSE(ArtifactsInput!$N$24+1,10,12,14,16,18,20)+IF(ArtifactsInput!$M$10,CHOOSE(ArtifactsInput!$N$10+1,15,18,21,24,27,30)*(IF(Inputs!$B$39="pvp",MIN(15,15)/15,IF(AND(Inputs!$B$39&lt;&gt;"pvp",Inputs!$B$44&gt;0),MIN(15,Inputs!$B$44)/(Inputs!$B$44),0))),0)))-100),0))*CHOOSE(ArtifactsInput!$N$42+1,0.6,0.72,0.84,0.96,1.08,1.2))),Inputs!$B$18+((C1228=TRUE)*(F1228-Calc!F29))+(IF(AND(ArtifactsInput!$M$42,((Inputs!$B$9+((C1224=TRUE)*(F1224-Calc!F25))+B1239+(ArtifactsInput!$M$24-ArtifactsInput!$M$24)*CHOOSE(ArtifactsInput!$N$24+1,10,12,14,16,18,20)+IF(ArtifactsInput!$M$10,CHOOSE(ArtifactsInput!$N$10+1,15,18,21,24,27,30)*(IF(Inputs!$B$39="pvp",MIN(15,15)/15,IF(AND(Inputs!$B$39&lt;&gt;"pvp",Inputs!$B$44&gt;0),MIN(15,Inputs!$B$44)/(Inputs!$B$44),0))),0)))&gt;=100),CHOOSE(ArtifactsInput!$N$42+1,40,48,56,64,72,80),0))))/100)*(((1+(((C1220=TRUE)*F1220*IF(AND(Inputs!$B$39&lt;&gt;"pvp",Inputs!$B$44&gt;0),(((R1220-1)*(Skills!Y21*(1+Inputs!$B$34/100))+MIN((Skills!Y21*(1+Inputs!$B$34/100)),MAX(0,Inputs!$B$44-((R1220-1)*Skills!D21))))/Inputs!$B$44),IF(Inputs!$B$39="pvp",MIN((Skills!Y21*(1+Inputs!$B$34/100)),15)/15,(Skills!Y21*(1+Inputs!$B$34/100))/Skills!D21)))+((C1227=TRUE)*(F1227-Calc!F28))+((C1217=TRUE)*(F1217-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1214=TRUE)*F1214*IF(AND(Inputs!$B$39&lt;&gt;"pvp",Inputs!$B$44&gt;0),(((R1214-1)*(Skills!Y15*(1+Inputs!$B$34/100))+MIN((Skills!Y15*(1+Inputs!$B$34/100)),MAX(0,Inputs!$B$44-((R1214-1)*Skills!D15))))/Inputs!$B$44),IF(Inputs!$B$39="pvp",MIN((Skills!Y15*(1+Inputs!$B$34/100)),15)/15,(Skills!Y15*(1+Inputs!$B$34/100))/Skills!D15)))/100)*(1+((C1205=TRUE)*F1205*B1233)/100))*B1241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1202)</f>
        <v/>
      </c>
      <c r="L1202">
        <f>K1202*(MIN(Inputs!$B$22+((C1223=TRUE)*(F1223-Calc!F24)),(Inputs!$B$23+0+(IF(ArtifactsInput!$M$15,CHOOSE(ArtifactsInput!$N$15+1,25,30,35,40,45,50)/100*(Inputs!$B$11-Inputs!$B$11),0))))/100+(Inputs!$B$23+0+(IF(ArtifactsInput!$M$15,CHOOSE(ArtifactsInput!$N$15+1,25,30,35,40,45,50)/100*(Inputs!$B$11-Inputs!$B$11),0)))/100)/2</f>
        <v/>
      </c>
      <c r="M1202">
        <f>L1202*(1+(Inputs!$B$10+((C1225=TRUE)*(F1225-Calc!F26))+B1242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02">
        <f>L1202*(1-MIN((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1202*(MIN((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02">
        <f>(1-Summary!$B$11)*T1202+Summary!$B$11*V1202</f>
        <v/>
      </c>
      <c r="P1202">
        <f>IF(B1243=0,0,O1202/B1243)</f>
        <v/>
      </c>
      <c r="Q1202">
        <f>IFERROR(1/IF(Inputs!$B$39="pvp",15,MAX(0.1,Skills!D3-IF(Skills!E3=TRUE,(Inputs!$B$32+1),0))),0)</f>
        <v/>
      </c>
      <c r="R1202">
        <f>IF(AND(Inputs!$B$39&lt;&gt;"pvp",Inputs!$B$44&gt;0),IF(MAX(0,Inputs!$B$44-B1244)&lt;=0,0,(INT(MAX(0,Inputs!$B$44-B1244)/IF(Inputs!$B$39="pvp",15,MAX(0.1,Skills!D3-IF(Skills!E3=TRUE,(Inputs!$B$32+1),0))))+1)),0)</f>
        <v/>
      </c>
      <c r="S1202">
        <f>IFERROR(O1202/N1202,0)</f>
        <v/>
      </c>
      <c r="T1202">
        <f>IF(C1202,(H1202*N1202*IF(AND(Inputs!$B$39&lt;&gt;"pvp",Inputs!$B$44&gt;0),((Skills!G3*((R1202-1)*IF(Skills!H3&gt;0,Skills!I3/Skills!H3,1)+IF(Skills!H3&gt;0,MIN(Skills!I3,MAX(0,MAX(0,Inputs!$B$44-B1244)-((R1202-1)*IF(Inputs!$B$39="pvp",15,MAX(0.1,Skills!D3-IF(Skills!E3=TRUE,(Inputs!$B$32+1),0))))))/Skills!H3,1)))/Inputs!$B$44),G1202*Q1202))*IF(Inputs!$B$39="pvp",1,1+(Inputs!$B$20+((C1226=TRUE)*(F1226-Calc!F27))+Skills!P3+B1240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1202*(1-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1202*(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1202*(1-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1202*(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02">
        <f>INDEX(FactorTable!$B$2:$Y$301, MATCH(ROUND(MIN(300,MAX(1,U1201)),0), FactorTable!$A$2:$A$301,0), 24)</f>
        <v/>
      </c>
      <c r="V1202">
        <f>IF(C1202,(H1202*N1202*IF(AND(Inputs!$B$39&lt;&gt;"pvp",Inputs!$B$44&gt;0),((Skills!G3*((R1202-1)*IF(Skills!H3&gt;0,Skills!I3/Skills!H3,1)+IF(Skills!H3&gt;0,MIN(Skills!I3,MAX(0,MAX(0,Inputs!$B$44-B1244)-((R1202-1)*IF(Inputs!$B$39="pvp",15,MAX(0.1,Skills!D3-IF(Skills!E3=TRUE,(Inputs!$B$32+1),0))))))/Skills!H3,1)))/Inputs!$B$44),G1202*Q1202))*IF(Inputs!$B$39="pvp",1,(1+(Inputs!$B$21+Skills!Q3+B1240+(IF(ArtifactsInput!$M$33,CHOOSE(ArtifactsInput!$N$33+1,30,36,42,48,54,60)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03">
      <c r="A1203">
        <f>Skills!A4</f>
        <v/>
      </c>
      <c r="B1203">
        <f>Skills!B4</f>
        <v/>
      </c>
      <c r="C1203">
        <f>Inputs!$B$3&gt;=40</f>
        <v/>
      </c>
      <c r="D1203">
        <f>IF(Skills!C4=1,60+Inputs!$B$25+Inputs!$B$29,IF(Skills!C4=2,90+Inputs!$B$26+Inputs!$B$29,IF(Skills!C4=3,120+Inputs!$B$27+Inputs!$B$29,MAX(0,(Inputs!$B$3-100)*3)+Inputs!$B$28+Inputs!$B$29)))</f>
        <v/>
      </c>
      <c r="E1203">
        <f>INDEX(FactorTable!$B$2:$Y$301, MATCH(ROUND(MIN(300,MAX(1,D1203)),0), FactorTable!$A$2:$A$301,0), Skills!M4+1)</f>
        <v/>
      </c>
      <c r="F1203">
        <f>IF(Skills!N4=TRUE,(Skills!L4/10)*(E1203/1000),Skills!L4/10)+Skills!O4</f>
        <v/>
      </c>
      <c r="G1203">
        <f>Calc!G4</f>
        <v/>
      </c>
      <c r="H1203">
        <f>Calc!H4</f>
        <v/>
      </c>
      <c r="I1203">
        <f>IF(Skills!AA4&lt;&gt;"",1+(Skills!AA4/10)*(U1202/1000)/100,1)</f>
        <v/>
      </c>
      <c r="J1203">
        <f>((Inputs!$B$6*(1+Inputs!$B$7/100))+(((Inputs!$B$12*(1+Inputs!$B$13/100))-(Inputs!$B$12*(1+Inputs!$B$13/100)))+0.25*(Inputs!$B$14-Inputs!$B$14))*(1+Inputs!$B$7/100))*(F1203/100)</f>
        <v/>
      </c>
      <c r="K1203">
        <f>J1203*(1+((Inputs!$B$12*(1+Inputs!$B$13/100))*0.01+Inputs!$B$14*0.0025)/100)*(1+Inputs!$B$15/100)*(1+Inputs!$B$16/100)*(5000/(6000+Inputs!$B$43*(1-(100*(1-(1-(Inputs!$B$19+0)/100)*(1-CHOOSE(ArtifactsInput!$N$40+1,5,6,7,8,9,10)/100)^(ArtifactsInput!$M$40-ArtifactsInput!$M$40)))/100)))*(1+(Inputs!$B$24+((C1229=TRUE)*(F1229-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1222=TRUE)*(F1222-Calc!F23))+(((IF(AND(ArtifactsInput!$M$42,((Inputs!$B$9+((C1224=TRUE)*(F1224-Calc!F25))+B1239+(ArtifactsInput!$M$24-ArtifactsInput!$M$24)*CHOOSE(ArtifactsInput!$N$24+1,10,12,14,16,18,20)+IF(ArtifactsInput!$M$10,CHOOSE(ArtifactsInput!$N$10+1,15,18,21,24,27,30)*(IF(Inputs!$B$39="pvp",MIN(15,15)/15,IF(AND(Inputs!$B$39&lt;&gt;"pvp",Inputs!$B$44&gt;0),MIN(15,Inputs!$B$44)/(Inputs!$B$44),0))),0)))&gt;=100),MIN(100,((Inputs!$B$9+((C1224=TRUE)*(F1224-Calc!F25))+B1239+(ArtifactsInput!$M$24-ArtifactsInput!$M$24)*CHOOSE(ArtifactsInput!$N$24+1,10,12,14,16,18,20)+IF(ArtifactsInput!$M$10,CHOOSE(ArtifactsInput!$N$10+1,15,18,21,24,27,30)*(IF(Inputs!$B$39="pvp",MIN(15,15)/15,IF(AND(Inputs!$B$39&lt;&gt;"pvp",Inputs!$B$44&gt;0),MIN(15,Inputs!$B$44)/(Inputs!$B$44),0))),0)))-100),0))*CHOOSE(ArtifactsInput!$N$42+1,0.6,0.72,0.84,0.96,1.08,1.2))),Inputs!$B$18+((C1228=TRUE)*(F1228-Calc!F29))+(IF(AND(ArtifactsInput!$M$42,((Inputs!$B$9+((C1224=TRUE)*(F1224-Calc!F25))+B1239+(ArtifactsInput!$M$24-ArtifactsInput!$M$24)*CHOOSE(ArtifactsInput!$N$24+1,10,12,14,16,18,20)+IF(ArtifactsInput!$M$10,CHOOSE(ArtifactsInput!$N$10+1,15,18,21,24,27,30)*(IF(Inputs!$B$39="pvp",MIN(15,15)/15,IF(AND(Inputs!$B$39&lt;&gt;"pvp",Inputs!$B$44&gt;0),MIN(15,Inputs!$B$44)/(Inputs!$B$44),0))),0)))&gt;=100),CHOOSE(ArtifactsInput!$N$42+1,40,48,56,64,72,80),0))))/100)*(((1+(((C1220=TRUE)*F1220*IF(AND(Inputs!$B$39&lt;&gt;"pvp",Inputs!$B$44&gt;0),(((R1220-1)*(Skills!Y21*(1+Inputs!$B$34/100))+MIN((Skills!Y21*(1+Inputs!$B$34/100)),MAX(0,Inputs!$B$44-((R1220-1)*Skills!D21))))/Inputs!$B$44),IF(Inputs!$B$39="pvp",MIN((Skills!Y21*(1+Inputs!$B$34/100)),15)/15,(Skills!Y21*(1+Inputs!$B$34/100))/Skills!D21)))+((C1227=TRUE)*(F1227-Calc!F28))+((C1217=TRUE)*(F1217-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1214=TRUE)*F1214*IF(AND(Inputs!$B$39&lt;&gt;"pvp",Inputs!$B$44&gt;0),(((R1214-1)*(Skills!Y15*(1+Inputs!$B$34/100))+MIN((Skills!Y15*(1+Inputs!$B$34/100)),MAX(0,Inputs!$B$44-((R1214-1)*Skills!D15))))/Inputs!$B$44),IF(Inputs!$B$39="pvp",MIN((Skills!Y15*(1+Inputs!$B$34/100)),15)/15,(Skills!Y15*(1+Inputs!$B$34/100))/Skills!D15)))/100)*(1+((C1205=TRUE)*F1205*B1233)/100))*B1241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1203)</f>
        <v/>
      </c>
      <c r="L1203">
        <f>K1203*(MIN(Inputs!$B$22+((C1223=TRUE)*(F1223-Calc!F24)),(Inputs!$B$23+0+(IF(ArtifactsInput!$M$15,CHOOSE(ArtifactsInput!$N$15+1,25,30,35,40,45,50)/100*(Inputs!$B$11-Inputs!$B$11),0))))/100+(Inputs!$B$23+0+(IF(ArtifactsInput!$M$15,CHOOSE(ArtifactsInput!$N$15+1,25,30,35,40,45,50)/100*(Inputs!$B$11-Inputs!$B$11),0)))/100)/2</f>
        <v/>
      </c>
      <c r="M1203">
        <f>L1203*(1+(Inputs!$B$10+((C1225=TRUE)*(F1225-Calc!F26))+B1242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03">
        <f>L1203*(1-MIN((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1203*(MIN((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03">
        <f>(1-Summary!$B$11)*T1203+Summary!$B$11*V1203</f>
        <v/>
      </c>
      <c r="P1203">
        <f>IF(B1243=0,0,O1203/B1243)</f>
        <v/>
      </c>
      <c r="Q1203">
        <f>IFERROR(1/IF(Inputs!$B$39="pvp",15,MAX(0.1,Skills!D4-IF(Skills!E4=TRUE,(Inputs!$B$32+1),0))),0)</f>
        <v/>
      </c>
      <c r="R1203">
        <f>IF(AND(Inputs!$B$39&lt;&gt;"pvp",Inputs!$B$44&gt;0),IF(MAX(0,Inputs!$B$44-B1244)&lt;=0,0,(INT(MAX(0,Inputs!$B$44-B1244)/IF(Inputs!$B$39="pvp",15,MAX(0.1,Skills!D4-IF(Skills!E4=TRUE,(Inputs!$B$32+1),0))))+1)),0)</f>
        <v/>
      </c>
      <c r="S1203">
        <f>IFERROR(O1203/N1203,0)</f>
        <v/>
      </c>
      <c r="T1203">
        <f>IF(C1203,(H1203*N1203*IF(AND(Inputs!$B$39&lt;&gt;"pvp",Inputs!$B$44&gt;0),((Skills!G4*((R1203-1)*IF(Skills!H4&gt;0,Skills!I4/Skills!H4,1)+IF(Skills!H4&gt;0,MIN(Skills!I4,MAX(0,MAX(0,Inputs!$B$44-B1244)-((R1203-1)*IF(Inputs!$B$39="pvp",15,MAX(0.1,Skills!D4-IF(Skills!E4=TRUE,(Inputs!$B$32+1),0))))))/Skills!H4,1)))/Inputs!$B$44),G1203*Q1203))*IF(Inputs!$B$39="pvp",1,1+(Inputs!$B$20+((C1226=TRUE)*(F1226-Calc!F27))+Skills!P4+B1240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1203*(1-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1203*(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1203*(1-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1203*(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03">
        <f>MAX(0,(Inputs!$B$3-100)*3)+Inputs!$B$28+Inputs!$B$29</f>
        <v/>
      </c>
      <c r="V1203">
        <f>IF(C1203,(H1203*N1203*IF(AND(Inputs!$B$39&lt;&gt;"pvp",Inputs!$B$44&gt;0),((Skills!G4*((R1203-1)*IF(Skills!H4&gt;0,Skills!I4/Skills!H4,1)+IF(Skills!H4&gt;0,MIN(Skills!I4,MAX(0,MAX(0,Inputs!$B$44-B1244)-((R1203-1)*IF(Inputs!$B$39="pvp",15,MAX(0.1,Skills!D4-IF(Skills!E4=TRUE,(Inputs!$B$32+1),0))))))/Skills!H4,1)))/Inputs!$B$44),G1203*Q1203))*IF(Inputs!$B$39="pvp",1,(1+(Inputs!$B$21+Skills!Q4+B1240+(IF(ArtifactsInput!$M$33,CHOOSE(ArtifactsInput!$N$33+1,30,36,42,48,54,60)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04">
      <c r="A1204">
        <f>Skills!A5</f>
        <v/>
      </c>
      <c r="B1204">
        <f>Skills!B5</f>
        <v/>
      </c>
      <c r="C1204">
        <f>Inputs!$B$3&gt;=63</f>
        <v/>
      </c>
      <c r="D1204">
        <f>IF(Skills!C5=1,60+Inputs!$B$25+Inputs!$B$29,IF(Skills!C5=2,90+Inputs!$B$26+Inputs!$B$29,IF(Skills!C5=3,120+Inputs!$B$27+Inputs!$B$29,MAX(0,(Inputs!$B$3-100)*3)+Inputs!$B$28+Inputs!$B$29)))</f>
        <v/>
      </c>
      <c r="E1204">
        <f>INDEX(FactorTable!$B$2:$Y$301, MATCH(ROUND(MIN(300,MAX(1,D1204)),0), FactorTable!$A$2:$A$301,0), Skills!M5+1)</f>
        <v/>
      </c>
      <c r="F1204">
        <f>IF(Skills!N5=TRUE,(Skills!L5/10)*(E1204/1000),Skills!L5/10)+Skills!O5</f>
        <v/>
      </c>
      <c r="G1204">
        <f>Calc!G5</f>
        <v/>
      </c>
      <c r="H1204">
        <f>Calc!H5</f>
        <v/>
      </c>
      <c r="I1204">
        <f>IF(Skills!AA5&lt;&gt;"",1+(Skills!AA5/10)*(U1202/1000)/100,1)</f>
        <v/>
      </c>
      <c r="J1204">
        <f>((Inputs!$B$6*(1+Inputs!$B$7/100))+(((Inputs!$B$12*(1+Inputs!$B$13/100))-(Inputs!$B$12*(1+Inputs!$B$13/100)))+0.25*(Inputs!$B$14-Inputs!$B$14))*(1+Inputs!$B$7/100))*(F1204/100)</f>
        <v/>
      </c>
      <c r="K1204">
        <f>J1204*(1+((Inputs!$B$12*(1+Inputs!$B$13/100))*0.01+Inputs!$B$14*0.0025)/100)*(1+Inputs!$B$15/100)*(1+Inputs!$B$16/100)*(5000/(6000+Inputs!$B$43*(1-(100*(1-(1-(Inputs!$B$19+0)/100)*(1-CHOOSE(ArtifactsInput!$N$40+1,5,6,7,8,9,10)/100)^(ArtifactsInput!$M$40-ArtifactsInput!$M$40)))/100)))*(1+(Inputs!$B$24+((C1229=TRUE)*(F1229-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1222=TRUE)*(F1222-Calc!F23))+(((IF(AND(ArtifactsInput!$M$42,((Inputs!$B$9+((C1224=TRUE)*(F1224-Calc!F25))+B1239+(ArtifactsInput!$M$24-ArtifactsInput!$M$24)*CHOOSE(ArtifactsInput!$N$24+1,10,12,14,16,18,20)+IF(ArtifactsInput!$M$10,CHOOSE(ArtifactsInput!$N$10+1,15,18,21,24,27,30)*(IF(Inputs!$B$39="pvp",MIN(15,15)/15,IF(AND(Inputs!$B$39&lt;&gt;"pvp",Inputs!$B$44&gt;0),MIN(15,Inputs!$B$44)/(Inputs!$B$44),0))),0)))&gt;=100),MIN(100,((Inputs!$B$9+((C1224=TRUE)*(F1224-Calc!F25))+B1239+(ArtifactsInput!$M$24-ArtifactsInput!$M$24)*CHOOSE(ArtifactsInput!$N$24+1,10,12,14,16,18,20)+IF(ArtifactsInput!$M$10,CHOOSE(ArtifactsInput!$N$10+1,15,18,21,24,27,30)*(IF(Inputs!$B$39="pvp",MIN(15,15)/15,IF(AND(Inputs!$B$39&lt;&gt;"pvp",Inputs!$B$44&gt;0),MIN(15,Inputs!$B$44)/(Inputs!$B$44),0))),0)))-100),0))*CHOOSE(ArtifactsInput!$N$42+1,0.6,0.72,0.84,0.96,1.08,1.2))),Inputs!$B$18+((C1228=TRUE)*(F1228-Calc!F29))+(IF(AND(ArtifactsInput!$M$42,((Inputs!$B$9+((C1224=TRUE)*(F1224-Calc!F25))+B1239+(ArtifactsInput!$M$24-ArtifactsInput!$M$24)*CHOOSE(ArtifactsInput!$N$24+1,10,12,14,16,18,20)+IF(ArtifactsInput!$M$10,CHOOSE(ArtifactsInput!$N$10+1,15,18,21,24,27,30)*(IF(Inputs!$B$39="pvp",MIN(15,15)/15,IF(AND(Inputs!$B$39&lt;&gt;"pvp",Inputs!$B$44&gt;0),MIN(15,Inputs!$B$44)/(Inputs!$B$44),0))),0)))&gt;=100),CHOOSE(ArtifactsInput!$N$42+1,40,48,56,64,72,80),0))))/100)*(((1+(((C1220=TRUE)*F1220*IF(AND(Inputs!$B$39&lt;&gt;"pvp",Inputs!$B$44&gt;0),(((R1220-1)*(Skills!Y21*(1+Inputs!$B$34/100))+MIN((Skills!Y21*(1+Inputs!$B$34/100)),MAX(0,Inputs!$B$44-((R1220-1)*Skills!D21))))/Inputs!$B$44),IF(Inputs!$B$39="pvp",MIN((Skills!Y21*(1+Inputs!$B$34/100)),15)/15,(Skills!Y21*(1+Inputs!$B$34/100))/Skills!D21)))+((C1227=TRUE)*(F1227-Calc!F28))+((C1217=TRUE)*(F1217-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1214=TRUE)*F1214*IF(AND(Inputs!$B$39&lt;&gt;"pvp",Inputs!$B$44&gt;0),(((R1214-1)*(Skills!Y15*(1+Inputs!$B$34/100))+MIN((Skills!Y15*(1+Inputs!$B$34/100)),MAX(0,Inputs!$B$44-((R1214-1)*Skills!D15))))/Inputs!$B$44),IF(Inputs!$B$39="pvp",MIN((Skills!Y15*(1+Inputs!$B$34/100)),15)/15,(Skills!Y15*(1+Inputs!$B$34/100))/Skills!D15)))/100)*(1+((C1205=TRUE)*F1205*B1233)/100))*B1241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1204)</f>
        <v/>
      </c>
      <c r="L1204">
        <f>K1204*(MIN(Inputs!$B$22+((C1223=TRUE)*(F1223-Calc!F24)),(Inputs!$B$23+0+(IF(ArtifactsInput!$M$15,CHOOSE(ArtifactsInput!$N$15+1,25,30,35,40,45,50)/100*(Inputs!$B$11-Inputs!$B$11),0))))/100+(Inputs!$B$23+0+(IF(ArtifactsInput!$M$15,CHOOSE(ArtifactsInput!$N$15+1,25,30,35,40,45,50)/100*(Inputs!$B$11-Inputs!$B$11),0)))/100)/2</f>
        <v/>
      </c>
      <c r="M1204">
        <f>L1204*(1+(Inputs!$B$10+((C1225=TRUE)*(F1225-Calc!F26))+B1242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04">
        <f>L1204*(1-MIN((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1204*(MIN((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04">
        <f>(1-Summary!$B$11)*T1204+Summary!$B$11*V1204</f>
        <v/>
      </c>
      <c r="P1204">
        <f>IF(B1243=0,0,O1204/B1243)</f>
        <v/>
      </c>
      <c r="Q1204">
        <f>IFERROR(1/IF(Inputs!$B$39="pvp",15,MAX(0.1,Skills!D5-IF(Skills!E5=TRUE,(Inputs!$B$32+1),0))),0)</f>
        <v/>
      </c>
      <c r="R1204">
        <f>IF(AND(Inputs!$B$39&lt;&gt;"pvp",Inputs!$B$44&gt;0),IF(MAX(0,Inputs!$B$44-B1244)&lt;=0,0,(INT(MAX(0,Inputs!$B$44-B1244)/IF(Inputs!$B$39="pvp",15,MAX(0.1,Skills!D5-IF(Skills!E5=TRUE,(Inputs!$B$32+1),0))))+1)),0)</f>
        <v/>
      </c>
      <c r="S1204">
        <f>IFERROR(O1204/N1204,0)</f>
        <v/>
      </c>
      <c r="T1204">
        <f>IF(C1204,(H1204*N1204*IF(AND(Inputs!$B$39&lt;&gt;"pvp",Inputs!$B$44&gt;0),((Skills!G5*((R1204-1)*IF(Skills!H5&gt;0,Skills!I5/Skills!H5,1)+IF(Skills!H5&gt;0,MIN(Skills!I5,MAX(0,MAX(0,Inputs!$B$44-B1244)-((R1204-1)*IF(Inputs!$B$39="pvp",15,MAX(0.1,Skills!D5-IF(Skills!E5=TRUE,(Inputs!$B$32+1),0))))))/Skills!H5,1)))/Inputs!$B$44),G1204*Q1204))*IF(Inputs!$B$39="pvp",1,1+(Inputs!$B$20+((C1226=TRUE)*(F1226-Calc!F27))+Skills!P5+B1240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1204*(1-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1204*(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1204*(1-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1204*(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04">
        <f>INDEX(FactorTable!$B$2:$Y$301, MATCH(ROUND(MIN(300,MAX(1,U1203)),0), FactorTable!$A$2:$A$301,0), 22)</f>
        <v/>
      </c>
      <c r="V1204">
        <f>IF(C1204,(H1204*N1204*IF(AND(Inputs!$B$39&lt;&gt;"pvp",Inputs!$B$44&gt;0),((Skills!G5*((R1204-1)*IF(Skills!H5&gt;0,Skills!I5/Skills!H5,1)+IF(Skills!H5&gt;0,MIN(Skills!I5,MAX(0,MAX(0,Inputs!$B$44-B1244)-((R1204-1)*IF(Inputs!$B$39="pvp",15,MAX(0.1,Skills!D5-IF(Skills!E5=TRUE,(Inputs!$B$32+1),0))))))/Skills!H5,1)))/Inputs!$B$44),G1204*Q1204))*IF(Inputs!$B$39="pvp",1,(1+(Inputs!$B$21+Skills!Q5+B1240+(IF(ArtifactsInput!$M$33,CHOOSE(ArtifactsInput!$N$33+1,30,36,42,48,54,60)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05">
      <c r="A1205">
        <f>Skills!A6</f>
        <v/>
      </c>
      <c r="B1205">
        <f>Skills!B6</f>
        <v/>
      </c>
      <c r="C1205">
        <f>Inputs!$B$3&gt;=66</f>
        <v/>
      </c>
      <c r="D1205">
        <f>IF(Skills!C6=1,60+Inputs!$B$25+Inputs!$B$29,IF(Skills!C6=2,90+Inputs!$B$26+Inputs!$B$29,IF(Skills!C6=3,120+Inputs!$B$27+Inputs!$B$29,MAX(0,(Inputs!$B$3-100)*3)+Inputs!$B$28+Inputs!$B$29)))</f>
        <v/>
      </c>
      <c r="E1205">
        <f>INDEX(FactorTable!$B$2:$Y$301, MATCH(ROUND(MIN(300,MAX(1,D1205)),0), FactorTable!$A$2:$A$301,0), Skills!M6+1)</f>
        <v/>
      </c>
      <c r="F1205">
        <f>IF(Skills!N6=TRUE,(Skills!L6/10)*(E1205/1000),Skills!L6/10)+Skills!O6</f>
        <v/>
      </c>
      <c r="G1205">
        <f>Calc!G6</f>
        <v/>
      </c>
      <c r="H1205">
        <f>Calc!H6</f>
        <v/>
      </c>
      <c r="I1205">
        <f>IF(Skills!AA6&lt;&gt;"",1+(Skills!AA6/10)*(U1202/1000)/100,1)</f>
        <v/>
      </c>
      <c r="J1205" t="inlineStr"/>
      <c r="K1205" t="inlineStr"/>
      <c r="L1205" t="inlineStr"/>
      <c r="M1205" t="inlineStr"/>
      <c r="N1205" t="inlineStr"/>
      <c r="O1205">
        <f>(1-Summary!$B$11)*T1205+Summary!$B$11*V1205</f>
        <v/>
      </c>
      <c r="P1205">
        <f>IF(B1243=0,0,O1205/B1243)</f>
        <v/>
      </c>
      <c r="Q1205" t="n">
        <v>0</v>
      </c>
      <c r="R1205" t="n">
        <v>0</v>
      </c>
      <c r="S1205">
        <f>IFERROR(O1205/N1205,0)</f>
        <v/>
      </c>
      <c r="T1205" t="n">
        <v>0</v>
      </c>
      <c r="U1205">
        <f>290*U1204/1000</f>
        <v/>
      </c>
      <c r="V1205" t="n">
        <v>0</v>
      </c>
    </row>
    <row r="1206">
      <c r="A1206">
        <f>Skills!A7</f>
        <v/>
      </c>
      <c r="B1206">
        <f>Skills!B7</f>
        <v/>
      </c>
      <c r="C1206">
        <f>Inputs!$B$3&gt;=66</f>
        <v/>
      </c>
      <c r="D1206">
        <f>IF(Skills!C7=1,60+Inputs!$B$25+Inputs!$B$29,IF(Skills!C7=2,90+Inputs!$B$26+Inputs!$B$29,IF(Skills!C7=3,120+Inputs!$B$27+Inputs!$B$29,MAX(0,(Inputs!$B$3-100)*3)+Inputs!$B$28+Inputs!$B$29)))</f>
        <v/>
      </c>
      <c r="E1206">
        <f>INDEX(FactorTable!$B$2:$Y$301, MATCH(ROUND(MIN(300,MAX(1,D1206)),0), FactorTable!$A$2:$A$301,0), Skills!M7+1)</f>
        <v/>
      </c>
      <c r="F1206">
        <f>IF(Skills!N7=TRUE,(Skills!L7/10)*(E1206/1000),Skills!L7/10)+Skills!O7</f>
        <v/>
      </c>
      <c r="G1206">
        <f>Calc!G7</f>
        <v/>
      </c>
      <c r="H1206">
        <f>Calc!H7</f>
        <v/>
      </c>
      <c r="I1206">
        <f>IF(Skills!AA7&lt;&gt;"",1+(Skills!AA7/10)*(U1202/1000)/100,1)</f>
        <v/>
      </c>
      <c r="J1206" t="inlineStr"/>
      <c r="K1206" t="inlineStr"/>
      <c r="L1206" t="inlineStr"/>
      <c r="M1206" t="inlineStr"/>
      <c r="N1206" t="inlineStr"/>
      <c r="O1206">
        <f>(1-Summary!$B$11)*T1206+Summary!$B$11*V1206</f>
        <v/>
      </c>
      <c r="P1206">
        <f>IF(B1243=0,0,O1206/B1243)</f>
        <v/>
      </c>
      <c r="Q1206" t="n">
        <v>0</v>
      </c>
      <c r="R1206" t="n">
        <v>0</v>
      </c>
      <c r="S1206">
        <f>IFERROR(O1206/N1206,0)</f>
        <v/>
      </c>
      <c r="T1206" t="n">
        <v>0</v>
      </c>
      <c r="V1206" t="n">
        <v>0</v>
      </c>
    </row>
    <row r="1207">
      <c r="A1207">
        <f>Skills!A8</f>
        <v/>
      </c>
      <c r="B1207">
        <f>Skills!B8</f>
        <v/>
      </c>
      <c r="C1207">
        <f>Inputs!$B$3&gt;=69</f>
        <v/>
      </c>
      <c r="D1207">
        <f>IF(Skills!C8=1,60+Inputs!$B$25+Inputs!$B$29,IF(Skills!C8=2,90+Inputs!$B$26+Inputs!$B$29,IF(Skills!C8=3,120+Inputs!$B$27+Inputs!$B$29,MAX(0,(Inputs!$B$3-100)*3)+Inputs!$B$28+Inputs!$B$29)))</f>
        <v/>
      </c>
      <c r="E1207">
        <f>INDEX(FactorTable!$B$2:$Y$301, MATCH(ROUND(MIN(300,MAX(1,D1207)),0), FactorTable!$A$2:$A$301,0), Skills!M8+1)</f>
        <v/>
      </c>
      <c r="F1207">
        <f>IF(Skills!N8=TRUE,(Skills!L8/10)*(E1207/1000),Skills!L8/10)+Skills!O8</f>
        <v/>
      </c>
      <c r="G1207">
        <f>Calc!G8</f>
        <v/>
      </c>
      <c r="H1207">
        <f>Calc!H8</f>
        <v/>
      </c>
      <c r="I1207">
        <f>IF(Skills!AA8&lt;&gt;"",1+(Skills!AA8/10)*(U1202/1000)/100,1)</f>
        <v/>
      </c>
      <c r="J1207">
        <f>((Inputs!$B$6*(1+Inputs!$B$7/100))+(((Inputs!$B$12*(1+Inputs!$B$13/100))-(Inputs!$B$12*(1+Inputs!$B$13/100)))+0.25*(Inputs!$B$14-Inputs!$B$14))*(1+Inputs!$B$7/100))*(F1207/100)</f>
        <v/>
      </c>
      <c r="K1207">
        <f>J1207*(1+((Inputs!$B$12*(1+Inputs!$B$13/100))*0.01+Inputs!$B$14*0.0025)/100)*(1+Inputs!$B$15/100)*(1+Inputs!$B$16/100)*(5000/(6000+Inputs!$B$43*(1-(100*(1-(1-(Inputs!$B$19+0)/100)*(1-CHOOSE(ArtifactsInput!$N$40+1,5,6,7,8,9,10)/100)^(ArtifactsInput!$M$40-ArtifactsInput!$M$40)))/100)))*(1+(Inputs!$B$24+((C1229=TRUE)*(F1229-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1222=TRUE)*(F1222-Calc!F23))+(((IF(AND(ArtifactsInput!$M$42,((Inputs!$B$9+((C1224=TRUE)*(F1224-Calc!F25))+B1239+(ArtifactsInput!$M$24-ArtifactsInput!$M$24)*CHOOSE(ArtifactsInput!$N$24+1,10,12,14,16,18,20)+IF(ArtifactsInput!$M$10,CHOOSE(ArtifactsInput!$N$10+1,15,18,21,24,27,30)*(IF(Inputs!$B$39="pvp",MIN(15,15)/15,IF(AND(Inputs!$B$39&lt;&gt;"pvp",Inputs!$B$44&gt;0),MIN(15,Inputs!$B$44)/(Inputs!$B$44),0))),0)))&gt;=100),MIN(100,((Inputs!$B$9+((C1224=TRUE)*(F1224-Calc!F25))+B1239+(ArtifactsInput!$M$24-ArtifactsInput!$M$24)*CHOOSE(ArtifactsInput!$N$24+1,10,12,14,16,18,20)+IF(ArtifactsInput!$M$10,CHOOSE(ArtifactsInput!$N$10+1,15,18,21,24,27,30)*(IF(Inputs!$B$39="pvp",MIN(15,15)/15,IF(AND(Inputs!$B$39&lt;&gt;"pvp",Inputs!$B$44&gt;0),MIN(15,Inputs!$B$44)/(Inputs!$B$44),0))),0)))-100),0))*CHOOSE(ArtifactsInput!$N$42+1,0.6,0.72,0.84,0.96,1.08,1.2))),Inputs!$B$18+((C1228=TRUE)*(F1228-Calc!F29))+(IF(AND(ArtifactsInput!$M$42,((Inputs!$B$9+((C1224=TRUE)*(F1224-Calc!F25))+B1239+(ArtifactsInput!$M$24-ArtifactsInput!$M$24)*CHOOSE(ArtifactsInput!$N$24+1,10,12,14,16,18,20)+IF(ArtifactsInput!$M$10,CHOOSE(ArtifactsInput!$N$10+1,15,18,21,24,27,30)*(IF(Inputs!$B$39="pvp",MIN(15,15)/15,IF(AND(Inputs!$B$39&lt;&gt;"pvp",Inputs!$B$44&gt;0),MIN(15,Inputs!$B$44)/(Inputs!$B$44),0))),0)))&gt;=100),CHOOSE(ArtifactsInput!$N$42+1,40,48,56,64,72,80),0))))/100)*(((1+(((C1220=TRUE)*F1220*IF(AND(Inputs!$B$39&lt;&gt;"pvp",Inputs!$B$44&gt;0),(((R1220-1)*(Skills!Y21*(1+Inputs!$B$34/100))+MIN((Skills!Y21*(1+Inputs!$B$34/100)),MAX(0,Inputs!$B$44-((R1220-1)*Skills!D21))))/Inputs!$B$44),IF(Inputs!$B$39="pvp",MIN((Skills!Y21*(1+Inputs!$B$34/100)),15)/15,(Skills!Y21*(1+Inputs!$B$34/100))/Skills!D21)))+((C1227=TRUE)*(F1227-Calc!F28))+((C1217=TRUE)*(F1217-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1214=TRUE)*F1214*IF(AND(Inputs!$B$39&lt;&gt;"pvp",Inputs!$B$44&gt;0),(((R1214-1)*(Skills!Y15*(1+Inputs!$B$34/100))+MIN((Skills!Y15*(1+Inputs!$B$34/100)),MAX(0,Inputs!$B$44-((R1214-1)*Skills!D15))))/Inputs!$B$44),IF(Inputs!$B$39="pvp",MIN((Skills!Y15*(1+Inputs!$B$34/100)),15)/15,(Skills!Y15*(1+Inputs!$B$34/100))/Skills!D15)))/100)*(1+((C1205=TRUE)*F1205*B1233)/100))*B1241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1207)</f>
        <v/>
      </c>
      <c r="L1207">
        <f>K1207*(MIN(Inputs!$B$22+((C1223=TRUE)*(F1223-Calc!F24)),(Inputs!$B$23+0+(IF(ArtifactsInput!$M$15,CHOOSE(ArtifactsInput!$N$15+1,25,30,35,40,45,50)/100*(Inputs!$B$11-Inputs!$B$11),0))))/100+(Inputs!$B$23+0+(IF(ArtifactsInput!$M$15,CHOOSE(ArtifactsInput!$N$15+1,25,30,35,40,45,50)/100*(Inputs!$B$11-Inputs!$B$11),0)))/100)/2</f>
        <v/>
      </c>
      <c r="M1207">
        <f>L1207*(1+(Inputs!$B$10+((C1225=TRUE)*(F1225-Calc!F26))+B1242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07">
        <f>L1207*(1-MIN((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1207*(MIN((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07">
        <f>(1-Summary!$B$11)*T1207+Summary!$B$11*V1207</f>
        <v/>
      </c>
      <c r="P1207">
        <f>IF(B1243=0,0,O1207/B1243)</f>
        <v/>
      </c>
      <c r="Q1207">
        <f>IFERROR(1/IF(Inputs!$B$39="pvp",15,MAX(0.1,Skills!D8-IF(Skills!E8=TRUE,(Inputs!$B$32+1),0))),0)</f>
        <v/>
      </c>
      <c r="R1207">
        <f>IF(AND(Inputs!$B$39&lt;&gt;"pvp",Inputs!$B$44&gt;0),IF(MAX(0,Inputs!$B$44-B1244)&lt;=0,0,(INT(MAX(0,Inputs!$B$44-B1244)/IF(Inputs!$B$39="pvp",15,MAX(0.1,Skills!D8-IF(Skills!E8=TRUE,(Inputs!$B$32+1),0))))+1)),0)</f>
        <v/>
      </c>
      <c r="S1207">
        <f>IFERROR(O1207/N1207,0)</f>
        <v/>
      </c>
      <c r="T1207">
        <f>IF(C1207,(H1207*N1207*IF(AND(Inputs!$B$39&lt;&gt;"pvp",Inputs!$B$44&gt;0),((Skills!G8*((R1207-1)*IF(Skills!H8&gt;0,Skills!I8/Skills!H8,1)+IF(Skills!H8&gt;0,MIN(Skills!I8,MAX(0,MAX(0,Inputs!$B$44-B1244)-((R1207-1)*IF(Inputs!$B$39="pvp",15,MAX(0.1,Skills!D8-IF(Skills!E8=TRUE,(Inputs!$B$32+1),0))))))/Skills!H8,1)))/Inputs!$B$44),G1207*Q1207))*IF(Inputs!$B$39="pvp",1,1+(Inputs!$B$20+((C1226=TRUE)*(F1226-Calc!F27))+Skills!P8+B1240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1207*(1-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1207*(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1207*(1-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1207*(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07">
        <f>IF(C1207,(H1207*N1207*IF(AND(Inputs!$B$39&lt;&gt;"pvp",Inputs!$B$44&gt;0),((Skills!G8*((R1207-1)*IF(Skills!H8&gt;0,Skills!I8/Skills!H8,1)+IF(Skills!H8&gt;0,MIN(Skills!I8,MAX(0,MAX(0,Inputs!$B$44-B1244)-((R1207-1)*IF(Inputs!$B$39="pvp",15,MAX(0.1,Skills!D8-IF(Skills!E8=TRUE,(Inputs!$B$32+1),0))))))/Skills!H8,1)))/Inputs!$B$44),G1207*Q1207))*IF(Inputs!$B$39="pvp",1,(1+(Inputs!$B$21+Skills!Q8+B1240+(IF(ArtifactsInput!$M$33,CHOOSE(ArtifactsInput!$N$33+1,30,36,42,48,54,60)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08">
      <c r="A1208">
        <f>Skills!A9</f>
        <v/>
      </c>
      <c r="B1208">
        <f>Skills!B9</f>
        <v/>
      </c>
      <c r="C1208">
        <f>Inputs!$B$3&gt;=72</f>
        <v/>
      </c>
      <c r="D1208">
        <f>IF(Skills!C9=1,60+Inputs!$B$25+Inputs!$B$29,IF(Skills!C9=2,90+Inputs!$B$26+Inputs!$B$29,IF(Skills!C9=3,120+Inputs!$B$27+Inputs!$B$29,MAX(0,(Inputs!$B$3-100)*3)+Inputs!$B$28+Inputs!$B$29)))</f>
        <v/>
      </c>
      <c r="E1208">
        <f>INDEX(FactorTable!$B$2:$Y$301, MATCH(ROUND(MIN(300,MAX(1,D1208)),0), FactorTable!$A$2:$A$301,0), Skills!M9+1)</f>
        <v/>
      </c>
      <c r="F1208">
        <f>IF(Skills!N9=TRUE,(Skills!L9/10)*(E1208/1000),Skills!L9/10)+Skills!O9</f>
        <v/>
      </c>
      <c r="G1208">
        <f>Calc!G9</f>
        <v/>
      </c>
      <c r="H1208">
        <f>Calc!H9</f>
        <v/>
      </c>
      <c r="I1208">
        <f>IF(Skills!AA9&lt;&gt;"",1+(Skills!AA9/10)*(U1202/1000)/100,1)</f>
        <v/>
      </c>
      <c r="J1208">
        <f>((Inputs!$B$6*(1+Inputs!$B$7/100))+(((Inputs!$B$12*(1+Inputs!$B$13/100))-(Inputs!$B$12*(1+Inputs!$B$13/100)))+0.25*(Inputs!$B$14-Inputs!$B$14))*(1+Inputs!$B$7/100))*(F1208/100)</f>
        <v/>
      </c>
      <c r="K1208">
        <f>J1208*(1+((Inputs!$B$12*(1+Inputs!$B$13/100))*0.01+Inputs!$B$14*0.0025)/100)*(1+Inputs!$B$15/100)*(1+Inputs!$B$16/100)*(5000/(6000+Inputs!$B$43*(1-(100*(1-(1-(Inputs!$B$19+0)/100)*(1-CHOOSE(ArtifactsInput!$N$40+1,5,6,7,8,9,10)/100)^(ArtifactsInput!$M$40-ArtifactsInput!$M$40)))/100)))*(1+(Inputs!$B$24+((C1229=TRUE)*(F1229-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1222=TRUE)*(F1222-Calc!F23))+(((IF(AND(ArtifactsInput!$M$42,((Inputs!$B$9+((C1224=TRUE)*(F1224-Calc!F25))+B1239+(ArtifactsInput!$M$24-ArtifactsInput!$M$24)*CHOOSE(ArtifactsInput!$N$24+1,10,12,14,16,18,20)+IF(ArtifactsInput!$M$10,CHOOSE(ArtifactsInput!$N$10+1,15,18,21,24,27,30)*(IF(Inputs!$B$39="pvp",MIN(15,15)/15,IF(AND(Inputs!$B$39&lt;&gt;"pvp",Inputs!$B$44&gt;0),MIN(15,Inputs!$B$44)/(Inputs!$B$44),0))),0)))&gt;=100),MIN(100,((Inputs!$B$9+((C1224=TRUE)*(F1224-Calc!F25))+B1239+(ArtifactsInput!$M$24-ArtifactsInput!$M$24)*CHOOSE(ArtifactsInput!$N$24+1,10,12,14,16,18,20)+IF(ArtifactsInput!$M$10,CHOOSE(ArtifactsInput!$N$10+1,15,18,21,24,27,30)*(IF(Inputs!$B$39="pvp",MIN(15,15)/15,IF(AND(Inputs!$B$39&lt;&gt;"pvp",Inputs!$B$44&gt;0),MIN(15,Inputs!$B$44)/(Inputs!$B$44),0))),0)))-100),0))*CHOOSE(ArtifactsInput!$N$42+1,0.6,0.72,0.84,0.96,1.08,1.2))),Inputs!$B$18+((C1228=TRUE)*(F1228-Calc!F29))+(IF(AND(ArtifactsInput!$M$42,((Inputs!$B$9+((C1224=TRUE)*(F1224-Calc!F25))+B1239+(ArtifactsInput!$M$24-ArtifactsInput!$M$24)*CHOOSE(ArtifactsInput!$N$24+1,10,12,14,16,18,20)+IF(ArtifactsInput!$M$10,CHOOSE(ArtifactsInput!$N$10+1,15,18,21,24,27,30)*(IF(Inputs!$B$39="pvp",MIN(15,15)/15,IF(AND(Inputs!$B$39&lt;&gt;"pvp",Inputs!$B$44&gt;0),MIN(15,Inputs!$B$44)/(Inputs!$B$44),0))),0)))&gt;=100),CHOOSE(ArtifactsInput!$N$42+1,40,48,56,64,72,80),0))))/100)*(((1+(((C1220=TRUE)*F1220*IF(AND(Inputs!$B$39&lt;&gt;"pvp",Inputs!$B$44&gt;0),(((R1220-1)*(Skills!Y21*(1+Inputs!$B$34/100))+MIN((Skills!Y21*(1+Inputs!$B$34/100)),MAX(0,Inputs!$B$44-((R1220-1)*Skills!D21))))/Inputs!$B$44),IF(Inputs!$B$39="pvp",MIN((Skills!Y21*(1+Inputs!$B$34/100)),15)/15,(Skills!Y21*(1+Inputs!$B$34/100))/Skills!D21)))+((C1227=TRUE)*(F1227-Calc!F28))+((C1217=TRUE)*(F1217-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1214=TRUE)*F1214*IF(AND(Inputs!$B$39&lt;&gt;"pvp",Inputs!$B$44&gt;0),(((R1214-1)*(Skills!Y15*(1+Inputs!$B$34/100))+MIN((Skills!Y15*(1+Inputs!$B$34/100)),MAX(0,Inputs!$B$44-((R1214-1)*Skills!D15))))/Inputs!$B$44),IF(Inputs!$B$39="pvp",MIN((Skills!Y15*(1+Inputs!$B$34/100)),15)/15,(Skills!Y15*(1+Inputs!$B$34/100))/Skills!D15)))/100)*(1+((C1205=TRUE)*F1205*B1233)/100))*B1241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1208)</f>
        <v/>
      </c>
      <c r="L1208">
        <f>K1208*(MIN(Inputs!$B$22+((C1223=TRUE)*(F1223-Calc!F24)),(Inputs!$B$23+0+(IF(ArtifactsInput!$M$15,CHOOSE(ArtifactsInput!$N$15+1,25,30,35,40,45,50)/100*(Inputs!$B$11-Inputs!$B$11),0))))/100+(Inputs!$B$23+0+(IF(ArtifactsInput!$M$15,CHOOSE(ArtifactsInput!$N$15+1,25,30,35,40,45,50)/100*(Inputs!$B$11-Inputs!$B$11),0)))/100)/2</f>
        <v/>
      </c>
      <c r="M1208">
        <f>L1208*(1+(Inputs!$B$10+((C1225=TRUE)*(F1225-Calc!F26))+B1242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08">
        <f>L1208*(1-MIN((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1208*(MIN((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08">
        <f>(1-Summary!$B$11)*T1208+Summary!$B$11*V1208</f>
        <v/>
      </c>
      <c r="P1208">
        <f>IF(B1243=0,0,O1208/B1243)</f>
        <v/>
      </c>
      <c r="Q1208">
        <f>IFERROR(1/IF(Inputs!$B$39="pvp",15,MAX(0.1,Skills!D9-IF(Skills!E9=TRUE,(Inputs!$B$32+1),0))),0)</f>
        <v/>
      </c>
      <c r="R1208">
        <f>IF(AND(Inputs!$B$39&lt;&gt;"pvp",Inputs!$B$44&gt;0),IF(MAX(0,Inputs!$B$44-B1244)&lt;=0,0,(INT(MAX(0,Inputs!$B$44-B1244)/IF(Inputs!$B$39="pvp",15,MAX(0.1,Skills!D9-IF(Skills!E9=TRUE,(Inputs!$B$32+1),0))))+1)),0)</f>
        <v/>
      </c>
      <c r="S1208">
        <f>IFERROR(O1208/N1208,0)</f>
        <v/>
      </c>
      <c r="T1208">
        <f>IF(C1208,(H1208*N1208*IF(AND(Inputs!$B$39&lt;&gt;"pvp",Inputs!$B$44&gt;0),((Skills!G9*((R1208-1)*IF(Skills!H9&gt;0,Skills!I9/Skills!H9,1)+IF(Skills!H9&gt;0,MIN(Skills!I9,MAX(0,MAX(0,Inputs!$B$44-B1244)-((R1208-1)*IF(Inputs!$B$39="pvp",15,MAX(0.1,Skills!D9-IF(Skills!E9=TRUE,(Inputs!$B$32+1),0))))))/Skills!H9,1)))/Inputs!$B$44),G1208*Q1208))*IF(Inputs!$B$39="pvp",1,1+(Inputs!$B$20+((C1226=TRUE)*(F1226-Calc!F27))+Skills!P9+B1240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1208*(1-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1208*(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1208*(1-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1208*(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08">
        <f>IF(C1208,(H1208*N1208*IF(AND(Inputs!$B$39&lt;&gt;"pvp",Inputs!$B$44&gt;0),((Skills!G9*((R1208-1)*IF(Skills!H9&gt;0,Skills!I9/Skills!H9,1)+IF(Skills!H9&gt;0,MIN(Skills!I9,MAX(0,MAX(0,Inputs!$B$44-B1244)-((R1208-1)*IF(Inputs!$B$39="pvp",15,MAX(0.1,Skills!D9-IF(Skills!E9=TRUE,(Inputs!$B$32+1),0))))))/Skills!H9,1)))/Inputs!$B$44),G1208*Q1208))*IF(Inputs!$B$39="pvp",1,(1+(Inputs!$B$21+Skills!Q9+B1240+(IF(ArtifactsInput!$M$33,CHOOSE(ArtifactsInput!$N$33+1,30,36,42,48,54,60)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09">
      <c r="A1209">
        <f>Skills!A10</f>
        <v/>
      </c>
      <c r="B1209">
        <f>Skills!B10</f>
        <v/>
      </c>
      <c r="C1209">
        <f>Inputs!$B$3&gt;=117</f>
        <v/>
      </c>
      <c r="D1209">
        <f>IF(Skills!C10=1,60+Inputs!$B$25+Inputs!$B$29,IF(Skills!C10=2,90+Inputs!$B$26+Inputs!$B$29,IF(Skills!C10=3,120+Inputs!$B$27+Inputs!$B$29,MAX(0,(Inputs!$B$3-100)*3)+Inputs!$B$28+Inputs!$B$29)))</f>
        <v/>
      </c>
      <c r="E1209">
        <f>INDEX(FactorTable!$B$2:$Y$301, MATCH(ROUND(MIN(300,MAX(1,D1209)),0), FactorTable!$A$2:$A$301,0), Skills!M10+1)</f>
        <v/>
      </c>
      <c r="F1209">
        <f>IF(Skills!N10=TRUE,(Skills!L10/10)*(E1209/1000),Skills!L10/10)+Skills!O10</f>
        <v/>
      </c>
      <c r="G1209">
        <f>Calc!G10</f>
        <v/>
      </c>
      <c r="H1209">
        <f>Calc!H10</f>
        <v/>
      </c>
      <c r="I1209">
        <f>IF(Skills!AA10&lt;&gt;"",1+(Skills!AA10/10)*(U1202/1000)/100,1)</f>
        <v/>
      </c>
      <c r="J1209">
        <f>((Inputs!$B$6*(1+Inputs!$B$7/100))+(((Inputs!$B$12*(1+Inputs!$B$13/100))-(Inputs!$B$12*(1+Inputs!$B$13/100)))+0.25*(Inputs!$B$14-Inputs!$B$14))*(1+Inputs!$B$7/100))*(F1209/100)</f>
        <v/>
      </c>
      <c r="K1209">
        <f>J1209*(1+((Inputs!$B$12*(1+Inputs!$B$13/100))*0.01+Inputs!$B$14*0.0025)/100)*(1+Inputs!$B$15/100)*(1+Inputs!$B$16/100)*(5000/(6000+Inputs!$B$43*(1-(100*(1-(1-(Inputs!$B$19+0)/100)*(1-CHOOSE(ArtifactsInput!$N$40+1,5,6,7,8,9,10)/100)^(ArtifactsInput!$M$40-ArtifactsInput!$M$40)))/100)))*(1+(Inputs!$B$24+((C1229=TRUE)*(F1229-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1222=TRUE)*(F1222-Calc!F23))+(((IF(AND(ArtifactsInput!$M$42,((Inputs!$B$9+((C1224=TRUE)*(F1224-Calc!F25))+B1239+(ArtifactsInput!$M$24-ArtifactsInput!$M$24)*CHOOSE(ArtifactsInput!$N$24+1,10,12,14,16,18,20)+IF(ArtifactsInput!$M$10,CHOOSE(ArtifactsInput!$N$10+1,15,18,21,24,27,30)*(IF(Inputs!$B$39="pvp",MIN(15,15)/15,IF(AND(Inputs!$B$39&lt;&gt;"pvp",Inputs!$B$44&gt;0),MIN(15,Inputs!$B$44)/(Inputs!$B$44),0))),0)))&gt;=100),MIN(100,((Inputs!$B$9+((C1224=TRUE)*(F1224-Calc!F25))+B1239+(ArtifactsInput!$M$24-ArtifactsInput!$M$24)*CHOOSE(ArtifactsInput!$N$24+1,10,12,14,16,18,20)+IF(ArtifactsInput!$M$10,CHOOSE(ArtifactsInput!$N$10+1,15,18,21,24,27,30)*(IF(Inputs!$B$39="pvp",MIN(15,15)/15,IF(AND(Inputs!$B$39&lt;&gt;"pvp",Inputs!$B$44&gt;0),MIN(15,Inputs!$B$44)/(Inputs!$B$44),0))),0)))-100),0))*CHOOSE(ArtifactsInput!$N$42+1,0.6,0.72,0.84,0.96,1.08,1.2))),Inputs!$B$18+((C1228=TRUE)*(F1228-Calc!F29))+(IF(AND(ArtifactsInput!$M$42,((Inputs!$B$9+((C1224=TRUE)*(F1224-Calc!F25))+B1239+(ArtifactsInput!$M$24-ArtifactsInput!$M$24)*CHOOSE(ArtifactsInput!$N$24+1,10,12,14,16,18,20)+IF(ArtifactsInput!$M$10,CHOOSE(ArtifactsInput!$N$10+1,15,18,21,24,27,30)*(IF(Inputs!$B$39="pvp",MIN(15,15)/15,IF(AND(Inputs!$B$39&lt;&gt;"pvp",Inputs!$B$44&gt;0),MIN(15,Inputs!$B$44)/(Inputs!$B$44),0))),0)))&gt;=100),CHOOSE(ArtifactsInput!$N$42+1,40,48,56,64,72,80),0))))/100)*(((1+(((C1220=TRUE)*F1220*IF(AND(Inputs!$B$39&lt;&gt;"pvp",Inputs!$B$44&gt;0),(((R1220-1)*(Skills!Y21*(1+Inputs!$B$34/100))+MIN((Skills!Y21*(1+Inputs!$B$34/100)),MAX(0,Inputs!$B$44-((R1220-1)*Skills!D21))))/Inputs!$B$44),IF(Inputs!$B$39="pvp",MIN((Skills!Y21*(1+Inputs!$B$34/100)),15)/15,(Skills!Y21*(1+Inputs!$B$34/100))/Skills!D21)))+((C1227=TRUE)*(F1227-Calc!F28))+((C1217=TRUE)*(F1217-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1214=TRUE)*F1214*IF(AND(Inputs!$B$39&lt;&gt;"pvp",Inputs!$B$44&gt;0),(((R1214-1)*(Skills!Y15*(1+Inputs!$B$34/100))+MIN((Skills!Y15*(1+Inputs!$B$34/100)),MAX(0,Inputs!$B$44-((R1214-1)*Skills!D15))))/Inputs!$B$44),IF(Inputs!$B$39="pvp",MIN((Skills!Y15*(1+Inputs!$B$34/100)),15)/15,(Skills!Y15*(1+Inputs!$B$34/100))/Skills!D15)))/100)*(1+((C1205=TRUE)*F1205*B1233)/100))*B1241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1209)</f>
        <v/>
      </c>
      <c r="L1209">
        <f>K1209*(MIN(Inputs!$B$22+((C1223=TRUE)*(F1223-Calc!F24)),(Inputs!$B$23+0+(IF(ArtifactsInput!$M$15,CHOOSE(ArtifactsInput!$N$15+1,25,30,35,40,45,50)/100*(Inputs!$B$11-Inputs!$B$11),0))))/100+(Inputs!$B$23+0+(IF(ArtifactsInput!$M$15,CHOOSE(ArtifactsInput!$N$15+1,25,30,35,40,45,50)/100*(Inputs!$B$11-Inputs!$B$11),0)))/100)/2</f>
        <v/>
      </c>
      <c r="M1209">
        <f>L1209*(1+(Inputs!$B$10+((C1225=TRUE)*(F1225-Calc!F26))+B1242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09">
        <f>L1209*(1-MIN((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1209*(MIN((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09">
        <f>(1-Summary!$B$11)*T1209+Summary!$B$11*V1209</f>
        <v/>
      </c>
      <c r="P1209">
        <f>IF(B1243=0,0,O1209/B1243)</f>
        <v/>
      </c>
      <c r="Q1209" t="n">
        <v>0</v>
      </c>
      <c r="R1209" t="n">
        <v>0</v>
      </c>
      <c r="S1209" t="n">
        <v>0</v>
      </c>
      <c r="T1209">
        <f>IF(C1209,(0.2*SUMPRODUCT((Skills!Z2:Z31=TRUE)*(C1201:C1230=TRUE)*S1201:S1230)*N1209)*IF(Inputs!$B$39="pvp",1,1+(Inputs!$B$20+((C1226=TRUE)*(F1226-Calc!F27))+Skills!P10+B1240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1209*(1-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1209*(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1209*(1-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1209*(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09">
        <f>IF(C1209,(0.2*SUMPRODUCT((Skills!Z2:Z31=TRUE)*(C1201:C1230=TRUE)*S1201:S1230)*N1209)*IF(Inputs!$B$39="pvp",1,(1+(Inputs!$B$21+Skills!Q10+B1240+(IF(ArtifactsInput!$M$33,CHOOSE(ArtifactsInput!$N$33+1,30,36,42,48,54,60),0))+(IF(AND(ArtifactsInput!$M$35,Inputs!$B$4&lt;&gt;"Chapter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10">
      <c r="A1210">
        <f>Skills!A11</f>
        <v/>
      </c>
      <c r="B1210">
        <f>Skills!B11</f>
        <v/>
      </c>
      <c r="C1210">
        <f>Inputs!$B$3&gt;=60</f>
        <v/>
      </c>
      <c r="D1210">
        <f>IF(Skills!C11=1,60+Inputs!$B$25+Inputs!$B$29,IF(Skills!C11=2,90+Inputs!$B$26+Inputs!$B$29,IF(Skills!C11=3,120+Inputs!$B$27+Inputs!$B$29,MAX(0,(Inputs!$B$3-100)*3)+Inputs!$B$28+Inputs!$B$29)))</f>
        <v/>
      </c>
      <c r="E1210">
        <f>INDEX(FactorTable!$B$2:$Y$301, MATCH(ROUND(MIN(300,MAX(1,D1210)),0), FactorTable!$A$2:$A$301,0), Skills!M11+1)</f>
        <v/>
      </c>
      <c r="F1210">
        <f>IF(Skills!N11=TRUE,(Skills!L11/10)*(E1210/1000),Skills!L11/10)+Skills!O11</f>
        <v/>
      </c>
      <c r="G1210">
        <f>Calc!G11</f>
        <v/>
      </c>
      <c r="H1210">
        <f>Calc!H11</f>
        <v/>
      </c>
      <c r="I1210">
        <f>IF(Skills!AA11&lt;&gt;"",1+(Skills!AA11/10)*(U1202/1000)/100,1)</f>
        <v/>
      </c>
      <c r="J1210" t="inlineStr"/>
      <c r="K1210" t="inlineStr"/>
      <c r="L1210" t="inlineStr"/>
      <c r="M1210" t="inlineStr"/>
      <c r="N1210" t="inlineStr"/>
      <c r="O1210">
        <f>(1-Summary!$B$11)*T1210+Summary!$B$11*V1210</f>
        <v/>
      </c>
      <c r="P1210">
        <f>IF(B1243=0,0,O1210/B1243)</f>
        <v/>
      </c>
      <c r="Q1210" t="n">
        <v>0</v>
      </c>
      <c r="R1210" t="n">
        <v>0</v>
      </c>
      <c r="S1210">
        <f>IFERROR(O1210/N1210,0)</f>
        <v/>
      </c>
      <c r="T1210" t="n">
        <v>0</v>
      </c>
      <c r="V1210" t="n">
        <v>0</v>
      </c>
    </row>
    <row r="1211">
      <c r="A1211">
        <f>Skills!A12</f>
        <v/>
      </c>
      <c r="B1211">
        <f>Skills!B12</f>
        <v/>
      </c>
      <c r="C1211">
        <f>Inputs!$B$3&gt;=103</f>
        <v/>
      </c>
      <c r="D1211">
        <f>IF(Skills!C12=1,60+Inputs!$B$25+Inputs!$B$29,IF(Skills!C12=2,90+Inputs!$B$26+Inputs!$B$29,IF(Skills!C12=3,120+Inputs!$B$27+Inputs!$B$29,MAX(0,(Inputs!$B$3-100)*3)+Inputs!$B$28+Inputs!$B$29)))</f>
        <v/>
      </c>
      <c r="E1211">
        <f>INDEX(FactorTable!$B$2:$Y$301, MATCH(ROUND(MIN(300,MAX(1,D1211)),0), FactorTable!$A$2:$A$301,0), Skills!M12+1)</f>
        <v/>
      </c>
      <c r="F1211">
        <f>IF(Skills!N12=TRUE,(Skills!L12/10)*(E1211/1000),Skills!L12/10)+Skills!O12</f>
        <v/>
      </c>
      <c r="G1211">
        <f>Calc!G12</f>
        <v/>
      </c>
      <c r="H1211">
        <f>Calc!H12</f>
        <v/>
      </c>
      <c r="I1211">
        <f>IF(Skills!AA12&lt;&gt;"",1+(Skills!AA12/10)*(U1202/1000)/100,1)</f>
        <v/>
      </c>
      <c r="J1211">
        <f>((Inputs!$B$6*(1+Inputs!$B$7/100))+(((Inputs!$B$12*(1+Inputs!$B$13/100))-(Inputs!$B$12*(1+Inputs!$B$13/100)))+0.25*(Inputs!$B$14-Inputs!$B$14))*(1+Inputs!$B$7/100))*(F1211/100)</f>
        <v/>
      </c>
      <c r="K1211">
        <f>J1211*(1+((Inputs!$B$12*(1+Inputs!$B$13/100))*0.01+Inputs!$B$14*0.0025)/100)*(1+Inputs!$B$15/100)*(1+Inputs!$B$16/100)*(5000/(6000+Inputs!$B$43*(1-(100*(1-(1-(Inputs!$B$19+0)/100)*(1-CHOOSE(ArtifactsInput!$N$40+1,5,6,7,8,9,10)/100)^(ArtifactsInput!$M$40-ArtifactsInput!$M$40)))/100)))*(1+(Inputs!$B$24+((C1229=TRUE)*(F1229-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1222=TRUE)*(F1222-Calc!F23))+(((IF(AND(ArtifactsInput!$M$42,((Inputs!$B$9+((C1224=TRUE)*(F1224-Calc!F25))+B1239+(ArtifactsInput!$M$24-ArtifactsInput!$M$24)*CHOOSE(ArtifactsInput!$N$24+1,10,12,14,16,18,20)+IF(ArtifactsInput!$M$10,CHOOSE(ArtifactsInput!$N$10+1,15,18,21,24,27,30)*(IF(Inputs!$B$39="pvp",MIN(15,15)/15,IF(AND(Inputs!$B$39&lt;&gt;"pvp",Inputs!$B$44&gt;0),MIN(15,Inputs!$B$44)/(Inputs!$B$44),0))),0)))&gt;=100),MIN(100,((Inputs!$B$9+((C1224=TRUE)*(F1224-Calc!F25))+B1239+(ArtifactsInput!$M$24-ArtifactsInput!$M$24)*CHOOSE(ArtifactsInput!$N$24+1,10,12,14,16,18,20)+IF(ArtifactsInput!$M$10,CHOOSE(ArtifactsInput!$N$10+1,15,18,21,24,27,30)*(IF(Inputs!$B$39="pvp",MIN(15,15)/15,IF(AND(Inputs!$B$39&lt;&gt;"pvp",Inputs!$B$44&gt;0),MIN(15,Inputs!$B$44)/(Inputs!$B$44),0))),0)))-100),0))*CHOOSE(ArtifactsInput!$N$42+1,0.6,0.72,0.84,0.96,1.08,1.2))),Inputs!$B$18+((C1228=TRUE)*(F1228-Calc!F29))+(IF(AND(ArtifactsInput!$M$42,((Inputs!$B$9+((C1224=TRUE)*(F1224-Calc!F25))+B1239+(ArtifactsInput!$M$24-ArtifactsInput!$M$24)*CHOOSE(ArtifactsInput!$N$24+1,10,12,14,16,18,20)+IF(ArtifactsInput!$M$10,CHOOSE(ArtifactsInput!$N$10+1,15,18,21,24,27,30)*(IF(Inputs!$B$39="pvp",MIN(15,15)/15,IF(AND(Inputs!$B$39&lt;&gt;"pvp",Inputs!$B$44&gt;0),MIN(15,Inputs!$B$44)/(Inputs!$B$44),0))),0)))&gt;=100),CHOOSE(ArtifactsInput!$N$42+1,40,48,56,64,72,80),0))))/100)*(((1+(((C1220=TRUE)*F1220*IF(AND(Inputs!$B$39&lt;&gt;"pvp",Inputs!$B$44&gt;0),(((R1220-1)*(Skills!Y21*(1+Inputs!$B$34/100))+MIN((Skills!Y21*(1+Inputs!$B$34/100)),MAX(0,Inputs!$B$44-((R1220-1)*Skills!D21))))/Inputs!$B$44),IF(Inputs!$B$39="pvp",MIN((Skills!Y21*(1+Inputs!$B$34/100)),15)/15,(Skills!Y21*(1+Inputs!$B$34/100))/Skills!D21)))+((C1227=TRUE)*(F1227-Calc!F28))+((C1217=TRUE)*(F1217-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1214=TRUE)*F1214*IF(AND(Inputs!$B$39&lt;&gt;"pvp",Inputs!$B$44&gt;0),(((R1214-1)*(Skills!Y15*(1+Inputs!$B$34/100))+MIN((Skills!Y15*(1+Inputs!$B$34/100)),MAX(0,Inputs!$B$44-((R1214-1)*Skills!D15))))/Inputs!$B$44),IF(Inputs!$B$39="pvp",MIN((Skills!Y15*(1+Inputs!$B$34/100)),15)/15,(Skills!Y15*(1+Inputs!$B$34/100))/Skills!D15)))/100)*(1+((C1205=TRUE)*F1205*B1233)/100))*B1241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1211)</f>
        <v/>
      </c>
      <c r="L1211">
        <f>K1211*(MIN(Inputs!$B$22+((C1223=TRUE)*(F1223-Calc!F24)),(Inputs!$B$23+0+(IF(ArtifactsInput!$M$15,CHOOSE(ArtifactsInput!$N$15+1,25,30,35,40,45,50)/100*(Inputs!$B$11-Inputs!$B$11),0))))/100+(Inputs!$B$23+0+(IF(ArtifactsInput!$M$15,CHOOSE(ArtifactsInput!$N$15+1,25,30,35,40,45,50)/100*(Inputs!$B$11-Inputs!$B$11),0)))/100)/2</f>
        <v/>
      </c>
      <c r="M1211">
        <f>L1211*(1+(Inputs!$B$10+((C1225=TRUE)*(F1225-Calc!F26))+B1242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11">
        <f>L1211*(1-MIN((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1211*(MIN((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11">
        <f>(1-Summary!$B$11)*T1211+Summary!$B$11*V1211</f>
        <v/>
      </c>
      <c r="P1211">
        <f>IF(B1243=0,0,O1211/B1243)</f>
        <v/>
      </c>
      <c r="Q1211">
        <f>IFERROR(1/IF(Inputs!$B$39="pvp",15,MAX(0.1,Skills!D12-IF(Skills!E12=TRUE,(Inputs!$B$32+1),0))),0)</f>
        <v/>
      </c>
      <c r="R1211">
        <f>IF(AND(Inputs!$B$39&lt;&gt;"pvp",Inputs!$B$44&gt;0),IF(MAX(0,Inputs!$B$44-B1244)&lt;=0,0,(INT(MAX(0,Inputs!$B$44-B1244)/IF(Inputs!$B$39="pvp",15,MAX(0.1,Skills!D12-IF(Skills!E12=TRUE,(Inputs!$B$32+1),0))))+1)),0)</f>
        <v/>
      </c>
      <c r="S1211">
        <f>IFERROR(O1211/N1211,0)</f>
        <v/>
      </c>
      <c r="T1211">
        <f>IF(C1211,(H1211*N1211*IF(AND(Inputs!$B$39&lt;&gt;"pvp",Inputs!$B$44&gt;0),((Skills!G12*((R1211-1)*IF(Skills!H12&gt;0,Skills!I12/Skills!H12,1)+IF(Skills!H12&gt;0,MIN(Skills!I12,MAX(0,MAX(0,Inputs!$B$44-B1244)-((R1211-1)*IF(Inputs!$B$39="pvp",15,MAX(0.1,Skills!D12-IF(Skills!E12=TRUE,(Inputs!$B$32+1),0))))))/Skills!H12,1)))/Inputs!$B$44),G1211*Q1211))*IF(Inputs!$B$39="pvp",1,1+(Inputs!$B$20+((C1226=TRUE)*(F1226-Calc!F27))+Skills!P12+B1240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1211*(1-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1211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1211*(1-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1211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11">
        <f>IF(C1211,(H1211*N1211*IF(AND(Inputs!$B$39&lt;&gt;"pvp",Inputs!$B$44&gt;0),((Skills!G12*((R1211-1)*IF(Skills!H12&gt;0,Skills!I12/Skills!H12,1)+IF(Skills!H12&gt;0,MIN(Skills!I12,MAX(0,MAX(0,Inputs!$B$44-B1244)-((R1211-1)*IF(Inputs!$B$39="pvp",15,MAX(0.1,Skills!D12-IF(Skills!E12=TRUE,(Inputs!$B$32+1),0))))))/Skills!H12,1)))/Inputs!$B$44),G1211*Q1211))*IF(Inputs!$B$39="pvp",1,(1+(Inputs!$B$21+Skills!Q12+B1240+(IF(ArtifactsInput!$M$33,CHOOSE(ArtifactsInput!$N$33+1,30,36,42,48,54,60)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12">
      <c r="A1212">
        <f>Skills!A13</f>
        <v/>
      </c>
      <c r="B1212">
        <f>Skills!B13</f>
        <v/>
      </c>
      <c r="C1212">
        <f>Inputs!$B$3&gt;=105</f>
        <v/>
      </c>
      <c r="D1212">
        <f>IF(Skills!C13=1,60+Inputs!$B$25+Inputs!$B$29,IF(Skills!C13=2,90+Inputs!$B$26+Inputs!$B$29,IF(Skills!C13=3,120+Inputs!$B$27+Inputs!$B$29,MAX(0,(Inputs!$B$3-100)*3)+Inputs!$B$28+Inputs!$B$29)))</f>
        <v/>
      </c>
      <c r="E1212">
        <f>INDEX(FactorTable!$B$2:$Y$301, MATCH(ROUND(MIN(300,MAX(1,D1212)),0), FactorTable!$A$2:$A$301,0), Skills!M13+1)</f>
        <v/>
      </c>
      <c r="F1212">
        <f>IF(Skills!N13=TRUE,(Skills!L13/10)*(E1212/1000),Skills!L13/10)+Skills!O13</f>
        <v/>
      </c>
      <c r="G1212">
        <f>Calc!G13</f>
        <v/>
      </c>
      <c r="H1212">
        <f>Calc!H13</f>
        <v/>
      </c>
      <c r="I1212">
        <f>IF(Skills!AA13&lt;&gt;"",1+(Skills!AA13/10)*(U1202/1000)/100,1)</f>
        <v/>
      </c>
      <c r="J1212">
        <f>((Inputs!$B$6*(1+Inputs!$B$7/100))+(((Inputs!$B$12*(1+Inputs!$B$13/100))-(Inputs!$B$12*(1+Inputs!$B$13/100)))+0.25*(Inputs!$B$14-Inputs!$B$14))*(1+Inputs!$B$7/100))*(F1212/100)</f>
        <v/>
      </c>
      <c r="K1212">
        <f>J1212*(1+((Inputs!$B$12*(1+Inputs!$B$13/100))*0.01+Inputs!$B$14*0.0025)/100)*(1+Inputs!$B$15/100)*(1+Inputs!$B$16/100)*(5000/(6000+Inputs!$B$43*(1-(100*(1-(1-(Inputs!$B$19+0)/100)*(1-CHOOSE(ArtifactsInput!$N$40+1,5,6,7,8,9,10)/100)^(ArtifactsInput!$M$40-ArtifactsInput!$M$40)))/100)))*(1+(Inputs!$B$24+((C1229=TRUE)*(F1229-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1222=TRUE)*(F1222-Calc!F23))+(((IF(AND(ArtifactsInput!$M$42,((Inputs!$B$9+((C1224=TRUE)*(F1224-Calc!F25))+B1239+(ArtifactsInput!$M$24-ArtifactsInput!$M$24)*CHOOSE(ArtifactsInput!$N$24+1,10,12,14,16,18,20)+IF(ArtifactsInput!$M$10,CHOOSE(ArtifactsInput!$N$10+1,15,18,21,24,27,30)*(IF(Inputs!$B$39="pvp",MIN(15,15)/15,IF(AND(Inputs!$B$39&lt;&gt;"pvp",Inputs!$B$44&gt;0),MIN(15,Inputs!$B$44)/(Inputs!$B$44),0))),0)))&gt;=100),MIN(100,((Inputs!$B$9+((C1224=TRUE)*(F1224-Calc!F25))+B1239+(ArtifactsInput!$M$24-ArtifactsInput!$M$24)*CHOOSE(ArtifactsInput!$N$24+1,10,12,14,16,18,20)+IF(ArtifactsInput!$M$10,CHOOSE(ArtifactsInput!$N$10+1,15,18,21,24,27,30)*(IF(Inputs!$B$39="pvp",MIN(15,15)/15,IF(AND(Inputs!$B$39&lt;&gt;"pvp",Inputs!$B$44&gt;0),MIN(15,Inputs!$B$44)/(Inputs!$B$44),0))),0)))-100),0))*CHOOSE(ArtifactsInput!$N$42+1,0.6,0.72,0.84,0.96,1.08,1.2))),Inputs!$B$18+((C1228=TRUE)*(F1228-Calc!F29))+(IF(AND(ArtifactsInput!$M$42,((Inputs!$B$9+((C1224=TRUE)*(F1224-Calc!F25))+B1239+(ArtifactsInput!$M$24-ArtifactsInput!$M$24)*CHOOSE(ArtifactsInput!$N$24+1,10,12,14,16,18,20)+IF(ArtifactsInput!$M$10,CHOOSE(ArtifactsInput!$N$10+1,15,18,21,24,27,30)*(IF(Inputs!$B$39="pvp",MIN(15,15)/15,IF(AND(Inputs!$B$39&lt;&gt;"pvp",Inputs!$B$44&gt;0),MIN(15,Inputs!$B$44)/(Inputs!$B$44),0))),0)))&gt;=100),CHOOSE(ArtifactsInput!$N$42+1,40,48,56,64,72,80),0))))/100)*(((1+(((C1220=TRUE)*F1220*IF(AND(Inputs!$B$39&lt;&gt;"pvp",Inputs!$B$44&gt;0),(((R1220-1)*(Skills!Y21*(1+Inputs!$B$34/100))+MIN((Skills!Y21*(1+Inputs!$B$34/100)),MAX(0,Inputs!$B$44-((R1220-1)*Skills!D21))))/Inputs!$B$44),IF(Inputs!$B$39="pvp",MIN((Skills!Y21*(1+Inputs!$B$34/100)),15)/15,(Skills!Y21*(1+Inputs!$B$34/100))/Skills!D21)))+((C1227=TRUE)*(F1227-Calc!F28))+((C1217=TRUE)*(F1217-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1214=TRUE)*F1214*IF(AND(Inputs!$B$39&lt;&gt;"pvp",Inputs!$B$44&gt;0),(((R1214-1)*(Skills!Y15*(1+Inputs!$B$34/100))+MIN((Skills!Y15*(1+Inputs!$B$34/100)),MAX(0,Inputs!$B$44-((R1214-1)*Skills!D15))))/Inputs!$B$44),IF(Inputs!$B$39="pvp",MIN((Skills!Y15*(1+Inputs!$B$34/100)),15)/15,(Skills!Y15*(1+Inputs!$B$34/100))/Skills!D15)))/100)*(1+((C1205=TRUE)*F1205*B1233)/100))*B1241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1212)</f>
        <v/>
      </c>
      <c r="L1212">
        <f>K1212*(MIN(Inputs!$B$22+((C1223=TRUE)*(F1223-Calc!F24)),(Inputs!$B$23+0+(IF(ArtifactsInput!$M$15,CHOOSE(ArtifactsInput!$N$15+1,25,30,35,40,45,50)/100*(Inputs!$B$11-Inputs!$B$11),0))))/100+(Inputs!$B$23+0+(IF(ArtifactsInput!$M$15,CHOOSE(ArtifactsInput!$N$15+1,25,30,35,40,45,50)/100*(Inputs!$B$11-Inputs!$B$11),0)))/100)/2</f>
        <v/>
      </c>
      <c r="M1212">
        <f>L1212*(1+(Inputs!$B$10+((C1225=TRUE)*(F1225-Calc!F26))+B1242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12">
        <f>L1212*(1-MIN((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1212*(MIN((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12">
        <f>(1-Summary!$B$11)*T1212+Summary!$B$11*V1212</f>
        <v/>
      </c>
      <c r="P1212">
        <f>IF(B1243=0,0,O1212/B1243)</f>
        <v/>
      </c>
      <c r="Q1212">
        <f>IFERROR(1/IF(Inputs!$B$39="pvp",15,MAX(0.1,Skills!D13-IF(Skills!E13=TRUE,(Inputs!$B$32+1),0))),0)</f>
        <v/>
      </c>
      <c r="R1212">
        <f>IF(AND(Inputs!$B$39&lt;&gt;"pvp",Inputs!$B$44&gt;0),IF(MAX(0,Inputs!$B$44-B1244)&lt;=0,0,(INT(MAX(0,Inputs!$B$44-B1244)/IF(Inputs!$B$39="pvp",15,MAX(0.1,Skills!D13-IF(Skills!E13=TRUE,(Inputs!$B$32+1),0))))+1)),0)</f>
        <v/>
      </c>
      <c r="S1212">
        <f>IFERROR(O1212/N1212,0)</f>
        <v/>
      </c>
      <c r="T1212">
        <f>IF(C1212,(H1212*N1212*IF(AND(Inputs!$B$39&lt;&gt;"pvp",Inputs!$B$44&gt;0),((Skills!G13*((R1212-1)*IF(Skills!H13&gt;0,Skills!I13/Skills!H13,1)+IF(Skills!H13&gt;0,MIN(Skills!I13,MAX(0,MAX(0,Inputs!$B$44-B1244)-((R1212-1)*IF(Inputs!$B$39="pvp",15,MAX(0.1,Skills!D13-IF(Skills!E13=TRUE,(Inputs!$B$32+1),0))))))/Skills!H13,1)))/Inputs!$B$44),G1212*Q1212))*IF(Inputs!$B$39="pvp",1,1+(Inputs!$B$20+((C1226=TRUE)*(F1226-Calc!F27))+Skills!P13+B1240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1212*(1-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1212*(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1212*(1-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1212*(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12">
        <f>IF(C1212,(H1212*N1212*IF(AND(Inputs!$B$39&lt;&gt;"pvp",Inputs!$B$44&gt;0),((Skills!G13*((R1212-1)*IF(Skills!H13&gt;0,Skills!I13/Skills!H13,1)+IF(Skills!H13&gt;0,MIN(Skills!I13,MAX(0,MAX(0,Inputs!$B$44-B1244)-((R1212-1)*IF(Inputs!$B$39="pvp",15,MAX(0.1,Skills!D13-IF(Skills!E13=TRUE,(Inputs!$B$32+1),0))))))/Skills!H13,1)))/Inputs!$B$44),G1212*Q1212))*IF(Inputs!$B$39="pvp",1,(1+(Inputs!$B$21+Skills!Q13+B1240+(IF(ArtifactsInput!$M$33,CHOOSE(ArtifactsInput!$N$33+1,30,36,42,48,54,60)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13">
      <c r="A1213">
        <f>Skills!A14</f>
        <v/>
      </c>
      <c r="B1213">
        <f>Skills!B14</f>
        <v/>
      </c>
      <c r="C1213">
        <f>Inputs!$B$3&gt;=105</f>
        <v/>
      </c>
      <c r="D1213">
        <f>IF(Skills!C14=1,60+Inputs!$B$25+Inputs!$B$29,IF(Skills!C14=2,90+Inputs!$B$26+Inputs!$B$29,IF(Skills!C14=3,120+Inputs!$B$27+Inputs!$B$29,MAX(0,(Inputs!$B$3-100)*3)+Inputs!$B$28+Inputs!$B$29)))</f>
        <v/>
      </c>
      <c r="E1213">
        <f>INDEX(FactorTable!$B$2:$Y$301, MATCH(ROUND(MIN(300,MAX(1,D1213)),0), FactorTable!$A$2:$A$301,0), Skills!M14+1)</f>
        <v/>
      </c>
      <c r="F1213">
        <f>IF(Skills!N14=TRUE,(Skills!L14/10)*(E1213/1000),Skills!L14/10)+Skills!O14</f>
        <v/>
      </c>
      <c r="G1213">
        <f>Calc!G14</f>
        <v/>
      </c>
      <c r="H1213">
        <f>Calc!H14</f>
        <v/>
      </c>
      <c r="I1213">
        <f>IF(Skills!AA14&lt;&gt;"",1+(Skills!AA14/10)*(U1202/1000)/100,1)</f>
        <v/>
      </c>
      <c r="J1213">
        <f>((Inputs!$B$6*(1+Inputs!$B$7/100))+(((Inputs!$B$12*(1+Inputs!$B$13/100))-(Inputs!$B$12*(1+Inputs!$B$13/100)))+0.25*(Inputs!$B$14-Inputs!$B$14))*(1+Inputs!$B$7/100))*(F1213/100)</f>
        <v/>
      </c>
      <c r="K1213">
        <f>J1213*(1+((Inputs!$B$12*(1+Inputs!$B$13/100))*0.01+Inputs!$B$14*0.0025)/100)*(1+Inputs!$B$15/100)*(1+Inputs!$B$16/100)*(5000/(6000+Inputs!$B$43*(1-(100*(1-(1-(Inputs!$B$19+0)/100)*(1-CHOOSE(ArtifactsInput!$N$40+1,5,6,7,8,9,10)/100)^(ArtifactsInput!$M$40-ArtifactsInput!$M$40)))/100)))*(1+(Inputs!$B$24+((C1229=TRUE)*(F1229-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1222=TRUE)*(F1222-Calc!F23))+(((IF(AND(ArtifactsInput!$M$42,((Inputs!$B$9+((C1224=TRUE)*(F1224-Calc!F25))+B1239+(ArtifactsInput!$M$24-ArtifactsInput!$M$24)*CHOOSE(ArtifactsInput!$N$24+1,10,12,14,16,18,20)+IF(ArtifactsInput!$M$10,CHOOSE(ArtifactsInput!$N$10+1,15,18,21,24,27,30)*(IF(Inputs!$B$39="pvp",MIN(15,15)/15,IF(AND(Inputs!$B$39&lt;&gt;"pvp",Inputs!$B$44&gt;0),MIN(15,Inputs!$B$44)/(Inputs!$B$44),0))),0)))&gt;=100),MIN(100,((Inputs!$B$9+((C1224=TRUE)*(F1224-Calc!F25))+B1239+(ArtifactsInput!$M$24-ArtifactsInput!$M$24)*CHOOSE(ArtifactsInput!$N$24+1,10,12,14,16,18,20)+IF(ArtifactsInput!$M$10,CHOOSE(ArtifactsInput!$N$10+1,15,18,21,24,27,30)*(IF(Inputs!$B$39="pvp",MIN(15,15)/15,IF(AND(Inputs!$B$39&lt;&gt;"pvp",Inputs!$B$44&gt;0),MIN(15,Inputs!$B$44)/(Inputs!$B$44),0))),0)))-100),0))*CHOOSE(ArtifactsInput!$N$42+1,0.6,0.72,0.84,0.96,1.08,1.2))),Inputs!$B$18+((C1228=TRUE)*(F1228-Calc!F29))+(IF(AND(ArtifactsInput!$M$42,((Inputs!$B$9+((C1224=TRUE)*(F1224-Calc!F25))+B1239+(ArtifactsInput!$M$24-ArtifactsInput!$M$24)*CHOOSE(ArtifactsInput!$N$24+1,10,12,14,16,18,20)+IF(ArtifactsInput!$M$10,CHOOSE(ArtifactsInput!$N$10+1,15,18,21,24,27,30)*(IF(Inputs!$B$39="pvp",MIN(15,15)/15,IF(AND(Inputs!$B$39&lt;&gt;"pvp",Inputs!$B$44&gt;0),MIN(15,Inputs!$B$44)/(Inputs!$B$44),0))),0)))&gt;=100),CHOOSE(ArtifactsInput!$N$42+1,40,48,56,64,72,80),0))))/100)*(((1+(((C1220=TRUE)*F1220*IF(AND(Inputs!$B$39&lt;&gt;"pvp",Inputs!$B$44&gt;0),(((R1220-1)*(Skills!Y21*(1+Inputs!$B$34/100))+MIN((Skills!Y21*(1+Inputs!$B$34/100)),MAX(0,Inputs!$B$44-((R1220-1)*Skills!D21))))/Inputs!$B$44),IF(Inputs!$B$39="pvp",MIN((Skills!Y21*(1+Inputs!$B$34/100)),15)/15,(Skills!Y21*(1+Inputs!$B$34/100))/Skills!D21)))+((C1227=TRUE)*(F1227-Calc!F28))+((C1217=TRUE)*(F1217-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1214=TRUE)*F1214*IF(AND(Inputs!$B$39&lt;&gt;"pvp",Inputs!$B$44&gt;0),(((R1214-1)*(Skills!Y15*(1+Inputs!$B$34/100))+MIN((Skills!Y15*(1+Inputs!$B$34/100)),MAX(0,Inputs!$B$44-((R1214-1)*Skills!D15))))/Inputs!$B$44),IF(Inputs!$B$39="pvp",MIN((Skills!Y15*(1+Inputs!$B$34/100)),15)/15,(Skills!Y15*(1+Inputs!$B$34/100))/Skills!D15)))/100)*(1+((C1205=TRUE)*F1205*B1233)/100))*B1241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1213)</f>
        <v/>
      </c>
      <c r="L1213">
        <f>K1213*(MIN(Inputs!$B$22+((C1223=TRUE)*(F1223-Calc!F24)),(Inputs!$B$23+0+(IF(ArtifactsInput!$M$15,CHOOSE(ArtifactsInput!$N$15+1,25,30,35,40,45,50)/100*(Inputs!$B$11-Inputs!$B$11),0))))/100+(Inputs!$B$23+0+(IF(ArtifactsInput!$M$15,CHOOSE(ArtifactsInput!$N$15+1,25,30,35,40,45,50)/100*(Inputs!$B$11-Inputs!$B$11),0)))/100)/2</f>
        <v/>
      </c>
      <c r="M1213">
        <f>L1213*(1+(Inputs!$B$10+((C1225=TRUE)*(F1225-Calc!F26))+B1242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13">
        <f>L1213*(1-MIN((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1213*(MIN((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13">
        <f>(1-Summary!$B$11)*T1213+Summary!$B$11*V1213</f>
        <v/>
      </c>
      <c r="P1213">
        <f>IF(B1243=0,0,O1213/B1243)</f>
        <v/>
      </c>
      <c r="Q1213">
        <f>IFERROR(1/IF(Inputs!$B$39="pvp",15,MAX(0.1,Skills!D14-IF(Skills!E14=TRUE,(Inputs!$B$32+1),0))),0)</f>
        <v/>
      </c>
      <c r="R1213">
        <f>IF(AND(Inputs!$B$39&lt;&gt;"pvp",Inputs!$B$44&gt;0),IF(MAX(0,Inputs!$B$44-B1244)&lt;=0,0,(INT(MAX(0,Inputs!$B$44-B1244)/IF(Inputs!$B$39="pvp",15,MAX(0.1,Skills!D14-IF(Skills!E14=TRUE,(Inputs!$B$32+1),0))))+1)),0)</f>
        <v/>
      </c>
      <c r="S1213">
        <f>IFERROR(O1213/N1213,0)</f>
        <v/>
      </c>
      <c r="T1213">
        <f>IF(C1213,(H1213*N1213*IF(AND(Inputs!$B$39&lt;&gt;"pvp",Inputs!$B$44&gt;0),((Skills!G14*((R1213-1)*IF(Skills!H14&gt;0,Skills!I14/Skills!H14,1)+IF(Skills!H14&gt;0,MIN(Skills!I14,MAX(0,MAX(0,Inputs!$B$44-B1244)-((R1213-1)*IF(Inputs!$B$39="pvp",15,MAX(0.1,Skills!D14-IF(Skills!E14=TRUE,(Inputs!$B$32+1),0))))))/Skills!H14,1)))/Inputs!$B$44),G1213*Q1213))*IF(Inputs!$B$39="pvp",1,1+(Inputs!$B$20+((C1226=TRUE)*(F1226-Calc!F27))+Skills!P14+B1240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1213*(1-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1213*(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1213*(1-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1213*(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13">
        <f>IF(C1213,(H1213*N1213*IF(AND(Inputs!$B$39&lt;&gt;"pvp",Inputs!$B$44&gt;0),((Skills!G14*((R1213-1)*IF(Skills!H14&gt;0,Skills!I14/Skills!H14,1)+IF(Skills!H14&gt;0,MIN(Skills!I14,MAX(0,MAX(0,Inputs!$B$44-B1244)-((R1213-1)*IF(Inputs!$B$39="pvp",15,MAX(0.1,Skills!D14-IF(Skills!E14=TRUE,(Inputs!$B$32+1),0))))))/Skills!H14,1)))/Inputs!$B$44),G1213*Q1213))*IF(Inputs!$B$39="pvp",1,(1+(Inputs!$B$21+Skills!Q14+B1240+(IF(ArtifactsInput!$M$33,CHOOSE(ArtifactsInput!$N$33+1,30,36,42,48,54,60)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14">
      <c r="A1214">
        <f>Skills!A15</f>
        <v/>
      </c>
      <c r="B1214">
        <f>Skills!B15</f>
        <v/>
      </c>
      <c r="C1214">
        <f>Inputs!$B$3&gt;=110</f>
        <v/>
      </c>
      <c r="D1214">
        <f>IF(Skills!C15=1,60+Inputs!$B$25+Inputs!$B$29,IF(Skills!C15=2,90+Inputs!$B$26+Inputs!$B$29,IF(Skills!C15=3,120+Inputs!$B$27+Inputs!$B$29,MAX(0,(Inputs!$B$3-100)*3)+Inputs!$B$28+Inputs!$B$29)))</f>
        <v/>
      </c>
      <c r="E1214">
        <f>INDEX(FactorTable!$B$2:$Y$301, MATCH(ROUND(MIN(300,MAX(1,D1214)),0), FactorTable!$A$2:$A$301,0), Skills!M15+1)</f>
        <v/>
      </c>
      <c r="F1214">
        <f>IF(Skills!N15=TRUE,(Skills!L15/10)*(E1214/1000),Skills!L15/10)+Skills!O15</f>
        <v/>
      </c>
      <c r="G1214">
        <f>Calc!G15</f>
        <v/>
      </c>
      <c r="H1214">
        <f>Calc!H15</f>
        <v/>
      </c>
      <c r="I1214">
        <f>IF(Skills!AA15&lt;&gt;"",1+(Skills!AA15/10)*(U1202/1000)/100,1)</f>
        <v/>
      </c>
      <c r="J1214" t="inlineStr"/>
      <c r="K1214" t="inlineStr"/>
      <c r="L1214" t="inlineStr"/>
      <c r="M1214" t="inlineStr"/>
      <c r="N1214" t="inlineStr"/>
      <c r="O1214">
        <f>(1-Summary!$B$11)*T1214+Summary!$B$11*V1214</f>
        <v/>
      </c>
      <c r="P1214">
        <f>IF(B1243=0,0,O1214/B1243)</f>
        <v/>
      </c>
      <c r="Q1214">
        <f>IFERROR(1/IF(Inputs!$B$39="pvp",15,MAX(0.1,Skills!D15-IF(Skills!E15=TRUE,(Inputs!$B$32+1),0))),0)</f>
        <v/>
      </c>
      <c r="R1214">
        <f>IF(AND(Inputs!$B$39&lt;&gt;"pvp",Inputs!$B$44&gt;0),IF(Inputs!$B$44&lt;=0,0,(INT(Inputs!$B$44/IF(Inputs!$B$39="pvp",15,MAX(0.1,Skills!D15-IF(Skills!E15=TRUE,(Inputs!$B$32+1),0))))+1)),0)</f>
        <v/>
      </c>
      <c r="S1214">
        <f>IFERROR(O1214/N1214,0)</f>
        <v/>
      </c>
      <c r="T1214" t="n">
        <v>0</v>
      </c>
      <c r="V1214" t="n">
        <v>0</v>
      </c>
    </row>
    <row r="1215">
      <c r="A1215">
        <f>Skills!A16</f>
        <v/>
      </c>
      <c r="B1215">
        <f>Skills!B16</f>
        <v/>
      </c>
      <c r="C1215">
        <f>Inputs!$B$3&gt;=110</f>
        <v/>
      </c>
      <c r="D1215">
        <f>IF(Skills!C16=1,60+Inputs!$B$25+Inputs!$B$29,IF(Skills!C16=2,90+Inputs!$B$26+Inputs!$B$29,IF(Skills!C16=3,120+Inputs!$B$27+Inputs!$B$29,MAX(0,(Inputs!$B$3-100)*3)+Inputs!$B$28+Inputs!$B$29)))</f>
        <v/>
      </c>
      <c r="E1215">
        <f>INDEX(FactorTable!$B$2:$Y$301, MATCH(ROUND(MIN(300,MAX(1,D1215)),0), FactorTable!$A$2:$A$301,0), Skills!M16+1)</f>
        <v/>
      </c>
      <c r="F1215">
        <f>IF(Skills!N16=TRUE,(Skills!L16/10)*(E1215/1000),Skills!L16/10)+Skills!O16</f>
        <v/>
      </c>
      <c r="G1215">
        <f>Calc!G16</f>
        <v/>
      </c>
      <c r="H1215">
        <f>Calc!H16</f>
        <v/>
      </c>
      <c r="I1215">
        <f>IF(Skills!AA16&lt;&gt;"",1+(Skills!AA16/10)*(U1202/1000)/100,1)</f>
        <v/>
      </c>
      <c r="J1215" t="inlineStr"/>
      <c r="K1215" t="inlineStr"/>
      <c r="L1215" t="inlineStr"/>
      <c r="M1215" t="inlineStr"/>
      <c r="N1215" t="inlineStr"/>
      <c r="O1215">
        <f>(1-Summary!$B$11)*T1215+Summary!$B$11*V1215</f>
        <v/>
      </c>
      <c r="P1215">
        <f>IF(B1243=0,0,O1215/B1243)</f>
        <v/>
      </c>
      <c r="Q1215">
        <f>IFERROR(1/IF(Inputs!$B$39="pvp",15,MAX(0.1,Skills!D16-IF(Skills!E16=TRUE,(Inputs!$B$32+1),0))),0)</f>
        <v/>
      </c>
      <c r="R1215">
        <f>IF(AND(Inputs!$B$39&lt;&gt;"pvp",Inputs!$B$44&gt;0),IF(Inputs!$B$44&lt;=0,0,(INT(Inputs!$B$44/IF(Inputs!$B$39="pvp",15,MAX(0.1,Skills!D16-IF(Skills!E16=TRUE,(Inputs!$B$32+1),0))))+1)),0)</f>
        <v/>
      </c>
      <c r="S1215">
        <f>IFERROR(O1215/N1215,0)</f>
        <v/>
      </c>
      <c r="T1215" t="n">
        <v>0</v>
      </c>
      <c r="V1215" t="n">
        <v>0</v>
      </c>
    </row>
    <row r="1216">
      <c r="A1216">
        <f>Skills!A17</f>
        <v/>
      </c>
      <c r="B1216">
        <f>Skills!B17</f>
        <v/>
      </c>
      <c r="C1216">
        <f>Inputs!$B$3&gt;=115</f>
        <v/>
      </c>
      <c r="D1216">
        <f>IF(Skills!C17=1,60+Inputs!$B$25+Inputs!$B$29,IF(Skills!C17=2,90+Inputs!$B$26+Inputs!$B$29,IF(Skills!C17=3,120+Inputs!$B$27+Inputs!$B$29,MAX(0,(Inputs!$B$3-100)*3)+Inputs!$B$28+Inputs!$B$29)))</f>
        <v/>
      </c>
      <c r="E1216">
        <f>INDEX(FactorTable!$B$2:$Y$301, MATCH(ROUND(MIN(300,MAX(1,D1216)),0), FactorTable!$A$2:$A$301,0), Skills!M17+1)</f>
        <v/>
      </c>
      <c r="F1216">
        <f>IF(Skills!N17=TRUE,(Skills!L17/10)*(E1216/1000),Skills!L17/10)+Skills!O17</f>
        <v/>
      </c>
      <c r="G1216">
        <f>Calc!G17</f>
        <v/>
      </c>
      <c r="H1216">
        <f>Calc!H17</f>
        <v/>
      </c>
      <c r="I1216">
        <f>IF(Skills!AA17&lt;&gt;"",1+(Skills!AA17/10)*(U1202/1000)/100,1)</f>
        <v/>
      </c>
      <c r="J1216">
        <f>((Inputs!$B$6*(1+Inputs!$B$7/100))+(((Inputs!$B$12*(1+Inputs!$B$13/100))-(Inputs!$B$12*(1+Inputs!$B$13/100)))+0.25*(Inputs!$B$14-Inputs!$B$14))*(1+Inputs!$B$7/100))*(F1216/100)</f>
        <v/>
      </c>
      <c r="K1216">
        <f>J1216*(1+((Inputs!$B$12*(1+Inputs!$B$13/100))*0.01+Inputs!$B$14*0.0025)/100)*(1+Inputs!$B$15/100)*(1+Inputs!$B$16/100)*(5000/(6000+Inputs!$B$43*(1-(100*(1-(1-(Inputs!$B$19+0)/100)*(1-CHOOSE(ArtifactsInput!$N$40+1,5,6,7,8,9,10)/100)^(ArtifactsInput!$M$40-ArtifactsInput!$M$40)))/100)))*(1+(Inputs!$B$24+((C1229=TRUE)*(F1229-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1222=TRUE)*(F1222-Calc!F23))+(((IF(AND(ArtifactsInput!$M$42,((Inputs!$B$9+((C1224=TRUE)*(F1224-Calc!F25))+B1239+(ArtifactsInput!$M$24-ArtifactsInput!$M$24)*CHOOSE(ArtifactsInput!$N$24+1,10,12,14,16,18,20)+IF(ArtifactsInput!$M$10,CHOOSE(ArtifactsInput!$N$10+1,15,18,21,24,27,30)*(IF(Inputs!$B$39="pvp",MIN(15,15)/15,IF(AND(Inputs!$B$39&lt;&gt;"pvp",Inputs!$B$44&gt;0),MIN(15,Inputs!$B$44)/(Inputs!$B$44),0))),0)))&gt;=100),MIN(100,((Inputs!$B$9+((C1224=TRUE)*(F1224-Calc!F25))+B1239+(ArtifactsInput!$M$24-ArtifactsInput!$M$24)*CHOOSE(ArtifactsInput!$N$24+1,10,12,14,16,18,20)+IF(ArtifactsInput!$M$10,CHOOSE(ArtifactsInput!$N$10+1,15,18,21,24,27,30)*(IF(Inputs!$B$39="pvp",MIN(15,15)/15,IF(AND(Inputs!$B$39&lt;&gt;"pvp",Inputs!$B$44&gt;0),MIN(15,Inputs!$B$44)/(Inputs!$B$44),0))),0)))-100),0))*CHOOSE(ArtifactsInput!$N$42+1,0.6,0.72,0.84,0.96,1.08,1.2))),Inputs!$B$18+((C1228=TRUE)*(F1228-Calc!F29))+(IF(AND(ArtifactsInput!$M$42,((Inputs!$B$9+((C1224=TRUE)*(F1224-Calc!F25))+B1239+(ArtifactsInput!$M$24-ArtifactsInput!$M$24)*CHOOSE(ArtifactsInput!$N$24+1,10,12,14,16,18,20)+IF(ArtifactsInput!$M$10,CHOOSE(ArtifactsInput!$N$10+1,15,18,21,24,27,30)*(IF(Inputs!$B$39="pvp",MIN(15,15)/15,IF(AND(Inputs!$B$39&lt;&gt;"pvp",Inputs!$B$44&gt;0),MIN(15,Inputs!$B$44)/(Inputs!$B$44),0))),0)))&gt;=100),CHOOSE(ArtifactsInput!$N$42+1,40,48,56,64,72,80),0))))/100)*(((1+(((C1220=TRUE)*F1220*IF(AND(Inputs!$B$39&lt;&gt;"pvp",Inputs!$B$44&gt;0),(((R1220-1)*(Skills!Y21*(1+Inputs!$B$34/100))+MIN((Skills!Y21*(1+Inputs!$B$34/100)),MAX(0,Inputs!$B$44-((R1220-1)*Skills!D21))))/Inputs!$B$44),IF(Inputs!$B$39="pvp",MIN((Skills!Y21*(1+Inputs!$B$34/100)),15)/15,(Skills!Y21*(1+Inputs!$B$34/100))/Skills!D21)))+((C1227=TRUE)*(F1227-Calc!F28))+((C1217=TRUE)*(F1217-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1214=TRUE)*F1214*IF(AND(Inputs!$B$39&lt;&gt;"pvp",Inputs!$B$44&gt;0),(((R1214-1)*(Skills!Y15*(1+Inputs!$B$34/100))+MIN((Skills!Y15*(1+Inputs!$B$34/100)),MAX(0,Inputs!$B$44-((R1214-1)*Skills!D15))))/Inputs!$B$44),IF(Inputs!$B$39="pvp",MIN((Skills!Y15*(1+Inputs!$B$34/100)),15)/15,(Skills!Y15*(1+Inputs!$B$34/100))/Skills!D15)))/100)*(1+((C1205=TRUE)*F1205*B1233)/100))*B1241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1216)</f>
        <v/>
      </c>
      <c r="L1216">
        <f>K1216*(MIN(Inputs!$B$22+((C1223=TRUE)*(F1223-Calc!F24)),(Inputs!$B$23+0+(IF(ArtifactsInput!$M$15,CHOOSE(ArtifactsInput!$N$15+1,25,30,35,40,45,50)/100*(Inputs!$B$11-Inputs!$B$11),0))))/100+(Inputs!$B$23+0+(IF(ArtifactsInput!$M$15,CHOOSE(ArtifactsInput!$N$15+1,25,30,35,40,45,50)/100*(Inputs!$B$11-Inputs!$B$11),0)))/100)/2</f>
        <v/>
      </c>
      <c r="M1216">
        <f>L1216*(1+(Inputs!$B$10+((C1225=TRUE)*(F1225-Calc!F26))+B1242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16">
        <f>L1216*(1-MIN((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1216*(MIN((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16">
        <f>(1-Summary!$B$11)*T1216+Summary!$B$11*V1216</f>
        <v/>
      </c>
      <c r="P1216">
        <f>IF(B1243=0,0,O1216/B1243)</f>
        <v/>
      </c>
      <c r="Q1216" t="n">
        <v>0</v>
      </c>
      <c r="R1216" t="n">
        <v>0</v>
      </c>
      <c r="S1216">
        <f>IFERROR(O1216/N1216,0)</f>
        <v/>
      </c>
      <c r="T1216">
        <f>IF(C1216,(Inputs!$B$38*0.2*N1216)*IF(Inputs!$B$39="pvp",1,1+(Inputs!$B$20+((C1226=TRUE)*(F1226-Calc!F27))+Skills!P17+B1240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1216*(1-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1216*(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1216*(1-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1216*(MIN(100,(Inputs!$B$9+((C1224=TRUE)*(F1224-Calc!F25))+B1239+(ArtifactsInput!$M$24-ArtifactsInput!$M$24)*CHOOSE(ArtifactsInput!$N$24+1,10,12,14,16,18,20)+(IF(AND(ArtifactsInput!$M$42,((Inputs!$B$9+((C1224=TRUE)*(F1224-Calc!F25))+B1239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16">
        <f>IF(C1216,(Inputs!$B$38*0.2*N1216)*IF(Inputs!$B$39="pvp",1,(1+(Inputs!$B$21+Skills!Q17+B1240+(IF(ArtifactsInput!$M$33,CHOOSE(ArtifactsInput!$N$33+1,30,36,42,48,54,60),0))+(IF(AND(ArtifactsInput!$M$35,Inputs!$B$4&lt;&gt;"Chapter Hunt"),CHOOSE(ArtifactsInput!$N$35+1,15,18,21,24,27,30)*(1-EXP(-(0.2*B1235)*5)),0)+IF(AND(ArtifactsInput!$M$22,Inputs!$B$4&lt;&gt;"Chapter Hunt"),CHOOSE(ArtifactsInput!$N$22+1,10,12,14,16,18,20)*((0*(((0.15*B1235*5))^0/1)+1*(((0.15*B1235*5))^1/1)+2*(((0.15*B1235*5))^2/2)+3*(((0.15*B1235*5))^3/6)+4*(((0.15*B1235*5))^4/24)+5*(((0.15*B1235*5))^5/120))/((((0.15*B1235*5))^0/1)+(((0.15*B1235*5))^1/1)+(((0.15*B1235*5))^2/2)+(((0.15*B1235*5))^3/6)+(((0.15*B1235*5))^4/24)+(((0.15*B1235*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17">
      <c r="A1217">
        <f>Skills!A18</f>
        <v/>
      </c>
      <c r="B1217">
        <f>Skills!B18</f>
        <v/>
      </c>
      <c r="C1217">
        <f>Inputs!$B$3&gt;=115</f>
        <v/>
      </c>
      <c r="D1217">
        <f>IF(Skills!C18=1,60+Inputs!$B$25+Inputs!$B$29,IF(Skills!C18=2,90+Inputs!$B$26+Inputs!$B$29,IF(Skills!C18=3,120+Inputs!$B$27+Inputs!$B$29,MAX(0,(Inputs!$B$3-100)*3)+Inputs!$B$28+Inputs!$B$29)))</f>
        <v/>
      </c>
      <c r="E1217">
        <f>INDEX(FactorTable!$B$2:$Y$301, MATCH(ROUND(MIN(300,MAX(1,D1217)),0), FactorTable!$A$2:$A$301,0), Skills!M18+1)</f>
        <v/>
      </c>
      <c r="F1217">
        <f>IF(Skills!N18=TRUE,(Skills!L18/10)*(E1217/1000),Skills!L18/10)+Skills!O18</f>
        <v/>
      </c>
      <c r="G1217">
        <f>Calc!G18</f>
        <v/>
      </c>
      <c r="H1217">
        <f>Calc!H18</f>
        <v/>
      </c>
      <c r="I1217">
        <f>IF(Skills!AA18&lt;&gt;"",1+(Skills!AA18/10)*(U1202/1000)/100,1)</f>
        <v/>
      </c>
      <c r="J1217" t="inlineStr"/>
      <c r="K1217" t="inlineStr"/>
      <c r="L1217" t="inlineStr"/>
      <c r="M1217" t="inlineStr"/>
      <c r="N1217" t="inlineStr"/>
      <c r="O1217">
        <f>(1-Summary!$B$11)*T1217+Summary!$B$11*V1217</f>
        <v/>
      </c>
      <c r="P1217">
        <f>IF(B1243=0,0,O1217/B1243)</f>
        <v/>
      </c>
      <c r="Q1217" t="n">
        <v>0</v>
      </c>
      <c r="R1217" t="n">
        <v>0</v>
      </c>
      <c r="S1217">
        <f>IFERROR(O1217/N1217,0)</f>
        <v/>
      </c>
      <c r="T1217" t="n">
        <v>0</v>
      </c>
      <c r="V1217" t="n">
        <v>0</v>
      </c>
    </row>
    <row r="1218">
      <c r="A1218">
        <f>Skills!A19</f>
        <v/>
      </c>
      <c r="B1218">
        <f>Skills!B19</f>
        <v/>
      </c>
      <c r="C1218">
        <f>TRUE</f>
        <v/>
      </c>
      <c r="D1218">
        <f>IF(Skills!C19=1,60+Inputs!$B$25+Inputs!$B$29,IF(Skills!C19=2,90+Inputs!$B$26+Inputs!$B$29,IF(Skills!C19=3,120+Inputs!$B$27+Inputs!$B$29,MAX(0,(Inputs!$B$3-100)*3)+Inputs!$B$28+Inputs!$B$29)))</f>
        <v/>
      </c>
      <c r="E1218">
        <f>INDEX(FactorTable!$B$2:$Y$301, MATCH(ROUND(MIN(300,MAX(1,D1218)),0), FactorTable!$A$2:$A$301,0), Skills!M19+1)</f>
        <v/>
      </c>
      <c r="F1218">
        <f>IF(Skills!N19=TRUE,(Skills!L19/10)*(E1218/1000),Skills!L19/10)+Skills!O19</f>
        <v/>
      </c>
      <c r="G1218">
        <f>Calc!G19</f>
        <v/>
      </c>
      <c r="H1218">
        <f>Calc!H19</f>
        <v/>
      </c>
      <c r="I1218">
        <f>IF(Skills!AA19&lt;&gt;"",1+(Skills!AA19/10)*(U1202/1000)/100,1)</f>
        <v/>
      </c>
      <c r="J1218" t="inlineStr"/>
      <c r="K1218" t="inlineStr"/>
      <c r="L1218" t="inlineStr"/>
      <c r="M1218" t="inlineStr"/>
      <c r="N1218" t="inlineStr"/>
      <c r="O1218">
        <f>(1-Summary!$B$11)*T1218+Summary!$B$11*V1218</f>
        <v/>
      </c>
      <c r="P1218">
        <f>IF(B1243=0,0,O1218/B1243)</f>
        <v/>
      </c>
      <c r="Q1218">
        <f>IFERROR(1/IF(Inputs!$B$39="pvp",15,MAX(0.1,Skills!D19-IF(Skills!E19=TRUE,(Inputs!$B$32+1),0))),0)</f>
        <v/>
      </c>
      <c r="R1218">
        <f>IF(AND(Inputs!$B$39&lt;&gt;"pvp",Inputs!$B$44&gt;0),IF(Inputs!$B$44&lt;=0,0,(INT(Inputs!$B$44/IF(Inputs!$B$39="pvp",15,MAX(0.1,Skills!D19-IF(Skills!E19=TRUE,(Inputs!$B$32+1),0))))+1)),0)</f>
        <v/>
      </c>
      <c r="S1218">
        <f>IFERROR(O1218/N1218,0)</f>
        <v/>
      </c>
      <c r="T1218" t="n">
        <v>0</v>
      </c>
      <c r="V1218" t="n">
        <v>0</v>
      </c>
    </row>
    <row r="1219">
      <c r="A1219">
        <f>Skills!A20</f>
        <v/>
      </c>
      <c r="B1219">
        <f>Skills!B20</f>
        <v/>
      </c>
      <c r="C1219">
        <f>Inputs!$B$3&gt;=15</f>
        <v/>
      </c>
      <c r="D1219">
        <f>IF(Skills!C20=1,60+Inputs!$B$25+Inputs!$B$29,IF(Skills!C20=2,90+Inputs!$B$26+Inputs!$B$29,IF(Skills!C20=3,120+Inputs!$B$27+Inputs!$B$29,MAX(0,(Inputs!$B$3-100)*3)+Inputs!$B$28+Inputs!$B$29)))</f>
        <v/>
      </c>
      <c r="E1219">
        <f>INDEX(FactorTable!$B$2:$Y$301, MATCH(ROUND(MIN(300,MAX(1,D1219)),0), FactorTable!$A$2:$A$301,0), Skills!M20+1)</f>
        <v/>
      </c>
      <c r="F1219">
        <f>IF(Skills!N20=TRUE,(Skills!L20/10)*(E1219/1000),Skills!L20/10)+Skills!O20</f>
        <v/>
      </c>
      <c r="G1219">
        <f>Calc!G20</f>
        <v/>
      </c>
      <c r="H1219">
        <f>Calc!H20</f>
        <v/>
      </c>
      <c r="I1219">
        <f>IF(Skills!AA20&lt;&gt;"",1+(Skills!AA20/10)*(U1202/1000)/100,1)</f>
        <v/>
      </c>
      <c r="J1219" t="inlineStr"/>
      <c r="K1219" t="inlineStr"/>
      <c r="L1219" t="inlineStr"/>
      <c r="M1219" t="inlineStr"/>
      <c r="N1219" t="inlineStr"/>
      <c r="O1219">
        <f>(1-Summary!$B$11)*T1219+Summary!$B$11*V1219</f>
        <v/>
      </c>
      <c r="P1219">
        <f>IF(B1243=0,0,O1219/B1243)</f>
        <v/>
      </c>
      <c r="Q1219">
        <f>IFERROR(1/IF(Inputs!$B$39="pvp",15,MAX(0.1,Skills!D20-IF(Skills!E20=TRUE,(Inputs!$B$32+1),0))),0)</f>
        <v/>
      </c>
      <c r="R1219">
        <f>IF(AND(Inputs!$B$39&lt;&gt;"pvp",Inputs!$B$44&gt;0),IF(Inputs!$B$44&lt;=0,0,(INT(Inputs!$B$44/IF(Inputs!$B$39="pvp",15,MAX(0.1,Skills!D20-IF(Skills!E20=TRUE,(Inputs!$B$32+1),0))))+1)),0)</f>
        <v/>
      </c>
      <c r="S1219">
        <f>IFERROR(O1219/N1219,0)</f>
        <v/>
      </c>
      <c r="T1219" t="n">
        <v>0</v>
      </c>
      <c r="V1219" t="n">
        <v>0</v>
      </c>
    </row>
    <row r="1220">
      <c r="A1220">
        <f>Skills!A21</f>
        <v/>
      </c>
      <c r="B1220">
        <f>Skills!B21</f>
        <v/>
      </c>
      <c r="C1220">
        <f>Inputs!$B$3&gt;=15</f>
        <v/>
      </c>
      <c r="D1220">
        <f>IF(Skills!C21=1,60+Inputs!$B$25+Inputs!$B$29,IF(Skills!C21=2,90+Inputs!$B$26+Inputs!$B$29,IF(Skills!C21=3,120+Inputs!$B$27+Inputs!$B$29,MAX(0,(Inputs!$B$3-100)*3)+Inputs!$B$28+Inputs!$B$29)))</f>
        <v/>
      </c>
      <c r="E1220">
        <f>INDEX(FactorTable!$B$2:$Y$301, MATCH(ROUND(MIN(300,MAX(1,D1220)),0), FactorTable!$A$2:$A$301,0), Skills!M21+1)</f>
        <v/>
      </c>
      <c r="F1220">
        <f>IF(Skills!N21=TRUE,(Skills!L21/10)*(E1220/1000),Skills!L21/10)+Skills!O21</f>
        <v/>
      </c>
      <c r="G1220">
        <f>Calc!G21</f>
        <v/>
      </c>
      <c r="H1220">
        <f>Calc!H21</f>
        <v/>
      </c>
      <c r="I1220">
        <f>IF(Skills!AA21&lt;&gt;"",1+(Skills!AA21/10)*(U1202/1000)/100,1)</f>
        <v/>
      </c>
      <c r="J1220" t="inlineStr"/>
      <c r="K1220" t="inlineStr"/>
      <c r="L1220" t="inlineStr"/>
      <c r="M1220" t="inlineStr"/>
      <c r="N1220" t="inlineStr"/>
      <c r="O1220">
        <f>(1-Summary!$B$11)*T1220+Summary!$B$11*V1220</f>
        <v/>
      </c>
      <c r="P1220">
        <f>IF(B1243=0,0,O1220/B1243)</f>
        <v/>
      </c>
      <c r="Q1220">
        <f>IFERROR(1/IF(Inputs!$B$39="pvp",15,MAX(0.1,Skills!D21-IF(Skills!E21=TRUE,(Inputs!$B$32+1),0))),0)</f>
        <v/>
      </c>
      <c r="R1220">
        <f>IF(AND(Inputs!$B$39&lt;&gt;"pvp",Inputs!$B$44&gt;0),IF(Inputs!$B$44&lt;=0,0,(INT(Inputs!$B$44/IF(Inputs!$B$39="pvp",15,MAX(0.1,Skills!D21-IF(Skills!E21=TRUE,(Inputs!$B$32+1),0))))+1)),0)</f>
        <v/>
      </c>
      <c r="S1220">
        <f>IFERROR(O1220/N1220,0)</f>
        <v/>
      </c>
      <c r="T1220" t="n">
        <v>0</v>
      </c>
      <c r="V1220" t="n">
        <v>0</v>
      </c>
    </row>
    <row r="1221">
      <c r="A1221">
        <f>Skills!A22</f>
        <v/>
      </c>
      <c r="B1221">
        <f>Skills!B22</f>
        <v/>
      </c>
      <c r="C1221">
        <f>Inputs!$B$3&gt;=33</f>
        <v/>
      </c>
      <c r="D1221">
        <f>IF(Skills!C22=1,60+Inputs!$B$25+Inputs!$B$29,IF(Skills!C22=2,90+Inputs!$B$26+Inputs!$B$29,IF(Skills!C22=3,120+Inputs!$B$27+Inputs!$B$29,MAX(0,(Inputs!$B$3-100)*3)+Inputs!$B$28+Inputs!$B$29)))</f>
        <v/>
      </c>
      <c r="E1221">
        <f>INDEX(FactorTable!$B$2:$Y$301, MATCH(ROUND(MIN(300,MAX(1,D1221)),0), FactorTable!$A$2:$A$301,0), Skills!M22+1)</f>
        <v/>
      </c>
      <c r="F1221">
        <f>IF(Skills!N22=TRUE,(Skills!L22/10)*(E1221/1000),Skills!L22/10)+Skills!O22</f>
        <v/>
      </c>
      <c r="G1221">
        <f>Calc!G22</f>
        <v/>
      </c>
      <c r="H1221">
        <f>Calc!H22</f>
        <v/>
      </c>
      <c r="I1221">
        <f>IF(Skills!AA22&lt;&gt;"",1+(Skills!AA22/10)*(U1202/1000)/100,1)</f>
        <v/>
      </c>
      <c r="J1221" t="inlineStr"/>
      <c r="K1221" t="inlineStr"/>
      <c r="L1221" t="inlineStr"/>
      <c r="M1221" t="inlineStr"/>
      <c r="N1221" t="inlineStr"/>
      <c r="O1221">
        <f>(1-Summary!$B$11)*T1221+Summary!$B$11*V1221</f>
        <v/>
      </c>
      <c r="P1221">
        <f>IF(B1243=0,0,O1221/B1243)</f>
        <v/>
      </c>
      <c r="Q1221" t="n">
        <v>0</v>
      </c>
      <c r="R1221" t="n">
        <v>0</v>
      </c>
      <c r="S1221">
        <f>IFERROR(O1221/N1221,0)</f>
        <v/>
      </c>
      <c r="T1221" t="n">
        <v>0</v>
      </c>
      <c r="V1221" t="n">
        <v>0</v>
      </c>
    </row>
    <row r="1222">
      <c r="A1222">
        <f>Skills!A23</f>
        <v/>
      </c>
      <c r="B1222">
        <f>Skills!B23</f>
        <v/>
      </c>
      <c r="C1222">
        <f>Inputs!$B$3&gt;=38</f>
        <v/>
      </c>
      <c r="D1222">
        <f>IF(Skills!C23=1,60+Inputs!$B$25+Inputs!$B$29,IF(Skills!C23=2,90+Inputs!$B$26+Inputs!$B$29,IF(Skills!C23=3,120+Inputs!$B$27+Inputs!$B$29,MAX(0,(Inputs!$B$3-100)*3)+Inputs!$B$28+Inputs!$B$29)))</f>
        <v/>
      </c>
      <c r="E1222">
        <f>INDEX(FactorTable!$B$2:$Y$301, MATCH(ROUND(MIN(300,MAX(1,D1222)),0), FactorTable!$A$2:$A$301,0), Skills!M23+1)</f>
        <v/>
      </c>
      <c r="F1222">
        <f>IF(Skills!N23=TRUE,(Skills!L23/10)*(E1222/1000),Skills!L23/10)+Skills!O23</f>
        <v/>
      </c>
      <c r="G1222">
        <f>Calc!G23</f>
        <v/>
      </c>
      <c r="H1222">
        <f>Calc!H23</f>
        <v/>
      </c>
      <c r="I1222">
        <f>IF(Skills!AA23&lt;&gt;"",1+(Skills!AA23/10)*(U1202/1000)/100,1)</f>
        <v/>
      </c>
      <c r="J1222" t="inlineStr"/>
      <c r="K1222" t="inlineStr"/>
      <c r="L1222" t="inlineStr"/>
      <c r="M1222" t="inlineStr"/>
      <c r="N1222" t="inlineStr"/>
      <c r="O1222">
        <f>(1-Summary!$B$11)*T1222+Summary!$B$11*V1222</f>
        <v/>
      </c>
      <c r="P1222">
        <f>IF(B1243=0,0,O1222/B1243)</f>
        <v/>
      </c>
      <c r="Q1222" t="n">
        <v>0</v>
      </c>
      <c r="R1222" t="n">
        <v>0</v>
      </c>
      <c r="S1222">
        <f>IFERROR(O1222/N1222,0)</f>
        <v/>
      </c>
      <c r="T1222" t="n">
        <v>0</v>
      </c>
      <c r="V1222" t="n">
        <v>0</v>
      </c>
    </row>
    <row r="1223">
      <c r="A1223">
        <f>Skills!A24</f>
        <v/>
      </c>
      <c r="B1223">
        <f>Skills!B24</f>
        <v/>
      </c>
      <c r="C1223">
        <f>Inputs!$B$3&gt;=40</f>
        <v/>
      </c>
      <c r="D1223">
        <f>IF(Skills!C24=1,60+Inputs!$B$25+Inputs!$B$29,IF(Skills!C24=2,90+Inputs!$B$26+Inputs!$B$29,IF(Skills!C24=3,120+Inputs!$B$27+Inputs!$B$29,MAX(0,(Inputs!$B$3-100)*3)+Inputs!$B$28+Inputs!$B$29)))</f>
        <v/>
      </c>
      <c r="E1223">
        <f>INDEX(FactorTable!$B$2:$Y$301, MATCH(ROUND(MIN(300,MAX(1,D1223)),0), FactorTable!$A$2:$A$301,0), Skills!M24+1)</f>
        <v/>
      </c>
      <c r="F1223">
        <f>IF(Skills!N24=TRUE,(Skills!L24/10)*(E1223/1000),Skills!L24/10)+Skills!O24</f>
        <v/>
      </c>
      <c r="G1223">
        <f>Calc!G24</f>
        <v/>
      </c>
      <c r="H1223">
        <f>Calc!H24</f>
        <v/>
      </c>
      <c r="I1223">
        <f>IF(Skills!AA24&lt;&gt;"",1+(Skills!AA24/10)*(U1202/1000)/100,1)</f>
        <v/>
      </c>
      <c r="J1223" t="inlineStr"/>
      <c r="K1223" t="inlineStr"/>
      <c r="L1223" t="inlineStr"/>
      <c r="M1223" t="inlineStr"/>
      <c r="N1223" t="inlineStr"/>
      <c r="O1223">
        <f>(1-Summary!$B$11)*T1223+Summary!$B$11*V1223</f>
        <v/>
      </c>
      <c r="P1223">
        <f>IF(B1243=0,0,O1223/B1243)</f>
        <v/>
      </c>
      <c r="Q1223" t="n">
        <v>0</v>
      </c>
      <c r="R1223" t="n">
        <v>0</v>
      </c>
      <c r="S1223">
        <f>IFERROR(O1223/N1223,0)</f>
        <v/>
      </c>
      <c r="T1223" t="n">
        <v>0</v>
      </c>
      <c r="V1223" t="n">
        <v>0</v>
      </c>
    </row>
    <row r="1224">
      <c r="A1224">
        <f>Skills!A25</f>
        <v/>
      </c>
      <c r="B1224">
        <f>Skills!B25</f>
        <v/>
      </c>
      <c r="C1224">
        <f>Inputs!$B$3&gt;=45</f>
        <v/>
      </c>
      <c r="D1224">
        <f>IF(Skills!C25=1,60+Inputs!$B$25+Inputs!$B$29,IF(Skills!C25=2,90+Inputs!$B$26+Inputs!$B$29,IF(Skills!C25=3,120+Inputs!$B$27+Inputs!$B$29,MAX(0,(Inputs!$B$3-100)*3)+Inputs!$B$28+Inputs!$B$29)))</f>
        <v/>
      </c>
      <c r="E1224">
        <f>INDEX(FactorTable!$B$2:$Y$301, MATCH(ROUND(MIN(300,MAX(1,D1224)),0), FactorTable!$A$2:$A$301,0), Skills!M25+1)</f>
        <v/>
      </c>
      <c r="F1224">
        <f>IF(Skills!N25=TRUE,(Skills!L25/10)*(E1224/1000),Skills!L25/10)+Skills!O25</f>
        <v/>
      </c>
      <c r="G1224">
        <f>Calc!G25</f>
        <v/>
      </c>
      <c r="H1224">
        <f>Calc!H25</f>
        <v/>
      </c>
      <c r="I1224">
        <f>IF(Skills!AA25&lt;&gt;"",1+(Skills!AA25/10)*(U1202/1000)/100,1)</f>
        <v/>
      </c>
      <c r="J1224" t="inlineStr"/>
      <c r="K1224" t="inlineStr"/>
      <c r="L1224" t="inlineStr"/>
      <c r="M1224" t="inlineStr"/>
      <c r="N1224" t="inlineStr"/>
      <c r="O1224">
        <f>(1-Summary!$B$11)*T1224+Summary!$B$11*V1224</f>
        <v/>
      </c>
      <c r="P1224">
        <f>IF(B1243=0,0,O1224/B1243)</f>
        <v/>
      </c>
      <c r="Q1224" t="n">
        <v>0</v>
      </c>
      <c r="R1224" t="n">
        <v>0</v>
      </c>
      <c r="S1224">
        <f>IFERROR(O1224/N1224,0)</f>
        <v/>
      </c>
      <c r="T1224" t="n">
        <v>0</v>
      </c>
      <c r="V1224" t="n">
        <v>0</v>
      </c>
    </row>
    <row r="1225">
      <c r="A1225">
        <f>Skills!A26</f>
        <v/>
      </c>
      <c r="B1225">
        <f>Skills!B26</f>
        <v/>
      </c>
      <c r="C1225">
        <f>Inputs!$B$3&gt;=45</f>
        <v/>
      </c>
      <c r="D1225">
        <f>IF(Skills!C26=1,60+Inputs!$B$25+Inputs!$B$29,IF(Skills!C26=2,90+Inputs!$B$26+Inputs!$B$29,IF(Skills!C26=3,120+Inputs!$B$27+Inputs!$B$29,MAX(0,(Inputs!$B$3-100)*3)+Inputs!$B$28+Inputs!$B$29)))</f>
        <v/>
      </c>
      <c r="E1225">
        <f>INDEX(FactorTable!$B$2:$Y$301, MATCH(ROUND(MIN(300,MAX(1,D1225)),0), FactorTable!$A$2:$A$301,0), Skills!M26+1)</f>
        <v/>
      </c>
      <c r="F1225">
        <f>IF(Skills!N26=TRUE,(Skills!L26/10)*(E1225/1000),Skills!L26/10)+Skills!O26</f>
        <v/>
      </c>
      <c r="G1225">
        <f>Calc!G26</f>
        <v/>
      </c>
      <c r="H1225">
        <f>Calc!H26</f>
        <v/>
      </c>
      <c r="I1225">
        <f>IF(Skills!AA26&lt;&gt;"",1+(Skills!AA26/10)*(U1202/1000)/100,1)</f>
        <v/>
      </c>
      <c r="J1225" t="inlineStr"/>
      <c r="K1225" t="inlineStr"/>
      <c r="L1225" t="inlineStr"/>
      <c r="M1225" t="inlineStr"/>
      <c r="N1225" t="inlineStr"/>
      <c r="O1225">
        <f>(1-Summary!$B$11)*T1225+Summary!$B$11*V1225</f>
        <v/>
      </c>
      <c r="P1225">
        <f>IF(B1243=0,0,O1225/B1243)</f>
        <v/>
      </c>
      <c r="Q1225" t="n">
        <v>0</v>
      </c>
      <c r="R1225" t="n">
        <v>0</v>
      </c>
      <c r="S1225">
        <f>IFERROR(O1225/N1225,0)</f>
        <v/>
      </c>
      <c r="T1225" t="n">
        <v>0</v>
      </c>
      <c r="V1225" t="n">
        <v>0</v>
      </c>
    </row>
    <row r="1226">
      <c r="A1226">
        <f>Skills!A27</f>
        <v/>
      </c>
      <c r="B1226">
        <f>Skills!B27</f>
        <v/>
      </c>
      <c r="C1226">
        <f>Inputs!$B$3&gt;=72</f>
        <v/>
      </c>
      <c r="D1226">
        <f>IF(Skills!C27=1,60+Inputs!$B$25+Inputs!$B$29,IF(Skills!C27=2,90+Inputs!$B$26+Inputs!$B$29,IF(Skills!C27=3,120+Inputs!$B$27+Inputs!$B$29,MAX(0,(Inputs!$B$3-100)*3)+Inputs!$B$28+Inputs!$B$29)))</f>
        <v/>
      </c>
      <c r="E1226">
        <f>INDEX(FactorTable!$B$2:$Y$301, MATCH(ROUND(MIN(300,MAX(1,D1226)),0), FactorTable!$A$2:$A$301,0), Skills!M27+1)</f>
        <v/>
      </c>
      <c r="F1226">
        <f>IF(Skills!N27=TRUE,(Skills!L27/10)*(E1226/1000),Skills!L27/10)+Skills!O27</f>
        <v/>
      </c>
      <c r="G1226">
        <f>Calc!G27</f>
        <v/>
      </c>
      <c r="H1226">
        <f>Calc!H27</f>
        <v/>
      </c>
      <c r="I1226">
        <f>IF(Skills!AA27&lt;&gt;"",1+(Skills!AA27/10)*(U1202/1000)/100,1)</f>
        <v/>
      </c>
      <c r="J1226" t="inlineStr"/>
      <c r="K1226" t="inlineStr"/>
      <c r="L1226" t="inlineStr"/>
      <c r="M1226" t="inlineStr"/>
      <c r="N1226" t="inlineStr"/>
      <c r="O1226">
        <f>(1-Summary!$B$11)*T1226+Summary!$B$11*V1226</f>
        <v/>
      </c>
      <c r="P1226">
        <f>IF(B1243=0,0,O1226/B1243)</f>
        <v/>
      </c>
      <c r="Q1226" t="n">
        <v>0</v>
      </c>
      <c r="R1226" t="n">
        <v>0</v>
      </c>
      <c r="S1226">
        <f>IFERROR(O1226/N1226,0)</f>
        <v/>
      </c>
      <c r="T1226" t="n">
        <v>0</v>
      </c>
      <c r="V1226" t="n">
        <v>0</v>
      </c>
    </row>
    <row r="1227">
      <c r="A1227">
        <f>Skills!A28</f>
        <v/>
      </c>
      <c r="B1227">
        <f>Skills!B28</f>
        <v/>
      </c>
      <c r="C1227">
        <f>Inputs!$B$3&gt;=75</f>
        <v/>
      </c>
      <c r="D1227">
        <f>IF(Skills!C28=1,60+Inputs!$B$25+Inputs!$B$29,IF(Skills!C28=2,90+Inputs!$B$26+Inputs!$B$29,IF(Skills!C28=3,120+Inputs!$B$27+Inputs!$B$29,MAX(0,(Inputs!$B$3-100)*3)+Inputs!$B$28+Inputs!$B$29)))</f>
        <v/>
      </c>
      <c r="E1227">
        <f>INDEX(FactorTable!$B$2:$Y$301, MATCH(ROUND(MIN(300,MAX(1,D1227)),0), FactorTable!$A$2:$A$301,0), Skills!M28+1)</f>
        <v/>
      </c>
      <c r="F1227">
        <f>IF(Skills!N28=TRUE,(Skills!L28/10)*(E1227/1000),Skills!L28/10)+Skills!O28</f>
        <v/>
      </c>
      <c r="G1227">
        <f>Calc!G28</f>
        <v/>
      </c>
      <c r="H1227">
        <f>Calc!H28</f>
        <v/>
      </c>
      <c r="I1227">
        <f>IF(Skills!AA28&lt;&gt;"",1+(Skills!AA28/10)*(U1202/1000)/100,1)</f>
        <v/>
      </c>
      <c r="J1227" t="inlineStr"/>
      <c r="K1227" t="inlineStr"/>
      <c r="L1227" t="inlineStr"/>
      <c r="M1227" t="inlineStr"/>
      <c r="N1227" t="inlineStr"/>
      <c r="O1227">
        <f>(1-Summary!$B$11)*T1227+Summary!$B$11*V1227</f>
        <v/>
      </c>
      <c r="P1227">
        <f>IF(B1243=0,0,O1227/B1243)</f>
        <v/>
      </c>
      <c r="Q1227" t="n">
        <v>0</v>
      </c>
      <c r="R1227" t="n">
        <v>0</v>
      </c>
      <c r="S1227">
        <f>IFERROR(O1227/N1227,0)</f>
        <v/>
      </c>
      <c r="T1227" t="n">
        <v>0</v>
      </c>
      <c r="V1227" t="n">
        <v>0</v>
      </c>
    </row>
    <row r="1228">
      <c r="A1228">
        <f>Skills!A29</f>
        <v/>
      </c>
      <c r="B1228">
        <f>Skills!B29</f>
        <v/>
      </c>
      <c r="C1228">
        <f>Inputs!$B$3&gt;=120</f>
        <v/>
      </c>
      <c r="D1228">
        <f>IF(Skills!C29=1,60+Inputs!$B$25+Inputs!$B$29,IF(Skills!C29=2,90+Inputs!$B$26+Inputs!$B$29,IF(Skills!C29=3,120+Inputs!$B$27+Inputs!$B$29,MAX(0,(Inputs!$B$3-100)*3)+Inputs!$B$28+Inputs!$B$29)))</f>
        <v/>
      </c>
      <c r="E1228">
        <f>INDEX(FactorTable!$B$2:$Y$301, MATCH(ROUND(MIN(300,MAX(1,D1228)),0), FactorTable!$A$2:$A$301,0), Skills!M29+1)</f>
        <v/>
      </c>
      <c r="F1228">
        <f>IF(Skills!N29=TRUE,(Skills!L29/10)*(E1228/1000),Skills!L29/10)+Skills!O29</f>
        <v/>
      </c>
      <c r="G1228">
        <f>Calc!G29</f>
        <v/>
      </c>
      <c r="H1228">
        <f>Calc!H29</f>
        <v/>
      </c>
      <c r="I1228">
        <f>IF(Skills!AA29&lt;&gt;"",1+(Skills!AA29/10)*(U1202/1000)/100,1)</f>
        <v/>
      </c>
      <c r="J1228" t="inlineStr"/>
      <c r="K1228" t="inlineStr"/>
      <c r="L1228" t="inlineStr"/>
      <c r="M1228" t="inlineStr"/>
      <c r="N1228" t="inlineStr"/>
      <c r="O1228">
        <f>(1-Summary!$B$11)*T1228+Summary!$B$11*V1228</f>
        <v/>
      </c>
      <c r="P1228">
        <f>IF(B1243=0,0,O1228/B1243)</f>
        <v/>
      </c>
      <c r="Q1228" t="n">
        <v>0</v>
      </c>
      <c r="R1228" t="n">
        <v>0</v>
      </c>
      <c r="S1228">
        <f>IFERROR(O1228/N1228,0)</f>
        <v/>
      </c>
      <c r="T1228" t="n">
        <v>0</v>
      </c>
      <c r="V1228" t="n">
        <v>0</v>
      </c>
    </row>
    <row r="1229">
      <c r="A1229">
        <f>Skills!A30</f>
        <v/>
      </c>
      <c r="B1229">
        <f>Skills!B30</f>
        <v/>
      </c>
      <c r="C1229">
        <f>Inputs!$B$3&gt;=125</f>
        <v/>
      </c>
      <c r="D1229">
        <f>IF(Skills!C30=1,60+Inputs!$B$25+Inputs!$B$29,IF(Skills!C30=2,90+Inputs!$B$26+Inputs!$B$29,IF(Skills!C30=3,120+Inputs!$B$27+Inputs!$B$29,MAX(0,(Inputs!$B$3-100)*3)+Inputs!$B$28+Inputs!$B$29)))</f>
        <v/>
      </c>
      <c r="E1229">
        <f>INDEX(FactorTable!$B$2:$Y$301, MATCH(ROUND(MIN(300,MAX(1,D1229)),0), FactorTable!$A$2:$A$301,0), Skills!M30+1)</f>
        <v/>
      </c>
      <c r="F1229">
        <f>IF(Skills!N30=TRUE,(Skills!L30/10)*(E1229/1000),Skills!L30/10)+Skills!O30</f>
        <v/>
      </c>
      <c r="G1229">
        <f>Calc!G30</f>
        <v/>
      </c>
      <c r="H1229">
        <f>Calc!H30</f>
        <v/>
      </c>
      <c r="I1229">
        <f>IF(Skills!AA30&lt;&gt;"",1+(Skills!AA30/10)*(U1202/1000)/100,1)</f>
        <v/>
      </c>
      <c r="J1229" t="inlineStr"/>
      <c r="K1229" t="inlineStr"/>
      <c r="L1229" t="inlineStr"/>
      <c r="M1229" t="inlineStr"/>
      <c r="N1229" t="inlineStr"/>
      <c r="O1229">
        <f>(1-Summary!$B$11)*T1229+Summary!$B$11*V1229</f>
        <v/>
      </c>
      <c r="P1229">
        <f>IF(B1243=0,0,O1229/B1243)</f>
        <v/>
      </c>
      <c r="Q1229" t="n">
        <v>0</v>
      </c>
      <c r="R1229" t="n">
        <v>0</v>
      </c>
      <c r="S1229">
        <f>IFERROR(O1229/N1229,0)</f>
        <v/>
      </c>
      <c r="T1229" t="n">
        <v>0</v>
      </c>
      <c r="V1229" t="n">
        <v>0</v>
      </c>
    </row>
    <row r="1230">
      <c r="A1230">
        <f>Skills!A31</f>
        <v/>
      </c>
      <c r="B1230">
        <f>Skills!B31</f>
        <v/>
      </c>
      <c r="C1230">
        <f>Inputs!$B$3&gt;=107</f>
        <v/>
      </c>
      <c r="D1230">
        <f>IF(Skills!C31=1,60+Inputs!$B$25+Inputs!$B$29,IF(Skills!C31=2,90+Inputs!$B$26+Inputs!$B$29,IF(Skills!C31=3,120+Inputs!$B$27+Inputs!$B$29,MAX(0,(Inputs!$B$3-100)*3)+Inputs!$B$28+Inputs!$B$29)))</f>
        <v/>
      </c>
      <c r="E1230">
        <f>INDEX(FactorTable!$B$2:$Y$301, MATCH(ROUND(MIN(300,MAX(1,D1230)),0), FactorTable!$A$2:$A$301,0), Skills!M31+1)</f>
        <v/>
      </c>
      <c r="F1230">
        <f>IF(Skills!N31=TRUE,(Skills!L31/10)*(E1230/1000),Skills!L31/10)+Skills!O31</f>
        <v/>
      </c>
      <c r="G1230">
        <f>Calc!G31</f>
        <v/>
      </c>
      <c r="H1230">
        <f>Calc!H31</f>
        <v/>
      </c>
      <c r="I1230">
        <f>IF(Skills!AA31&lt;&gt;"",1+(Skills!AA31/10)*(U1202/1000)/100,1)</f>
        <v/>
      </c>
      <c r="J1230" t="inlineStr"/>
      <c r="K1230" t="inlineStr"/>
      <c r="L1230" t="inlineStr"/>
      <c r="M1230" t="inlineStr"/>
      <c r="N1230" t="inlineStr"/>
      <c r="O1230">
        <f>(1-Summary!$B$11)*T1230+Summary!$B$11*V1230</f>
        <v/>
      </c>
      <c r="P1230">
        <f>IF(B1243=0,0,O1230/B1243)</f>
        <v/>
      </c>
      <c r="Q1230" t="n">
        <v>0</v>
      </c>
      <c r="R1230" t="n">
        <v>0</v>
      </c>
      <c r="S1230">
        <f>IFERROR(O1230/N1230,0)</f>
        <v/>
      </c>
      <c r="T1230" t="n">
        <v>0</v>
      </c>
      <c r="V1230" t="n">
        <v>0</v>
      </c>
    </row>
    <row r="1232">
      <c r="A1232" t="inlineStr">
        <is>
          <t>Actions Per Second (pre-Adrenalin)</t>
        </is>
      </c>
      <c r="B1232">
        <f>1+MIN(150,150*(1-(1-(Inputs!$B$11+((C1221=TRUE)*(F1221-Calc!F22))+(ArtifactsInput!$M$15-ArtifactsInput!$M$15)*CHOOSE(ArtifactsInput!$N$15+1,8,9.6,11.2,12.8,14.4,16))/150)*(1-((C1218=TRUE)*F1218*IF(AND(Inputs!$B$39&lt;&gt;"pvp",Inputs!$B$44&gt;0),(((R1218-1)*(Skills!Y19*(1+Inputs!$B$34/100))+MIN((Skills!Y19*(1+Inputs!$B$34/100)),MAX(0,Inputs!$B$44-((R1218-1)*Skills!D19))))/Inputs!$B$44),IF(Inputs!$B$39="pvp",MIN((Skills!Y19*(1+Inputs!$B$34/100)),15)/15,(Skills!Y19*(1+Inputs!$B$34/100))/Skills!D19)))/150)))/100</f>
        <v/>
      </c>
    </row>
    <row r="1233">
      <c r="A1233" t="inlineStr">
        <is>
          <t>Alchemic Adrenaline Uptime</t>
        </is>
      </c>
      <c r="B1233">
        <f>(Skills!Y6*(1+Inputs!$B$34/100))/((Skills!Y6*(1+Inputs!$B$34/100))+(5/B1232))</f>
        <v/>
      </c>
    </row>
    <row r="1234">
      <c r="A1234" t="inlineStr">
        <is>
          <t>Attack Speed Buff Bonus %</t>
        </is>
      </c>
      <c r="B1234">
        <f>((C1218=TRUE)*F1218*IF(AND(Inputs!$B$39&lt;&gt;"pvp",Inputs!$B$44&gt;0),(((R1218-1)*(Skills!Y19*(1+Inputs!$B$34/100))+MIN((Skills!Y19*(1+Inputs!$B$34/100)),MAX(0,Inputs!$B$44-((R1218-1)*Skills!D19))))/Inputs!$B$44),IF(Inputs!$B$39="pvp",MIN((Skills!Y19*(1+Inputs!$B$34/100)),15)/15,(Skills!Y19*(1+Inputs!$B$34/100))/Skills!D19)))+((C1206=TRUE)*F1206*B1233)</f>
        <v/>
      </c>
    </row>
    <row r="1235">
      <c r="A1235" t="inlineStr">
        <is>
          <t>Actions Per Second (final)</t>
        </is>
      </c>
      <c r="B1235">
        <f>1+MIN(150,150*(1-(1-(Inputs!$B$11+((C1221=TRUE)*(F1221-Calc!F22))+(ArtifactsInput!$M$15-ArtifactsInput!$M$15)*CHOOSE(ArtifactsInput!$N$15+1,8,9.6,11.2,12.8,14.4,16))/150)*(1-B1234/150)))/100</f>
        <v/>
      </c>
    </row>
    <row r="1236">
      <c r="A1236" t="inlineStr">
        <is>
          <t>Skill + Buff Cast Rate</t>
        </is>
      </c>
      <c r="B1236">
        <f>IF(AND(Inputs!$B$39&lt;&gt;"pvp",Inputs!$B$44&gt;0),SUMPRODUCT((Skills!E2:E31=TRUE)*(C1201:C1230=TRUE)*R1201:R1230*Skills!F2:F31)/Inputs!$B$44,SUMPRODUCT((Skills!E2:E31=TRUE)*(C1201:C1230=TRUE)*Q1201:Q1230*Skills!F2:F31))</f>
        <v/>
      </c>
    </row>
    <row r="1237">
      <c r="A1237" t="inlineStr">
        <is>
          <t>Showdown Casts Per Second</t>
        </is>
      </c>
      <c r="B1237">
        <f>MAX(0,B1235-B1236)</f>
        <v/>
      </c>
    </row>
    <row r="1238">
      <c r="A1238" t="inlineStr">
        <is>
          <t>Average Buff Multiplier</t>
        </is>
      </c>
      <c r="B1238">
        <f>(1+(((C1220=TRUE)*F1220*IF(AND(Inputs!$B$39&lt;&gt;"pvp",Inputs!$B$44&gt;0),(((R1220-1)*(Skills!Y21*(1+Inputs!$B$34/100))+MIN((Skills!Y21*(1+Inputs!$B$34/100)),MAX(0,Inputs!$B$44-((R1220-1)*Skills!D21))))/Inputs!$B$44),IF(Inputs!$B$39="pvp",MIN((Skills!Y21*(1+Inputs!$B$34/100)),15)/15,(Skills!Y21*(1+Inputs!$B$34/100))/Skills!D21)))+((C1227=TRUE)*(F1227-Calc!F28))+((C1217=TRUE)*(F1217-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1214=TRUE)*F1214*IF(AND(Inputs!$B$39&lt;&gt;"pvp",Inputs!$B$44&gt;0),(((R1214-1)*(Skills!Y15*(1+Inputs!$B$34/100))+MIN((Skills!Y15*(1+Inputs!$B$34/100)),MAX(0,Inputs!$B$44-((R1214-1)*Skills!D15))))/Inputs!$B$44),IF(Inputs!$B$39="pvp",MIN((Skills!Y15*(1+Inputs!$B$34/100)),15)/15,(Skills!Y15*(1+Inputs!$B$34/100))/Skills!D15)))/100)*(1+((C1205=TRUE)*F1205*B1233)/100)</f>
        <v/>
      </c>
    </row>
    <row r="1239">
      <c r="A1239" t="inlineStr">
        <is>
          <t>Global Crit Rate Bonus %</t>
        </is>
      </c>
      <c r="B1239">
        <f>IF(Inputs!$B$3&gt;=47,8,0)+((C1219=TRUE)*F1219*IF(AND(Inputs!$B$39&lt;&gt;"pvp",Inputs!$B$44&gt;0),(((R1219-1)*(Skills!Y20*(1+Inputs!$B$34/100))+MIN((Skills!Y20*(1+Inputs!$B$34/100)),MAX(0,Inputs!$B$44-((R1219-1)*Skills!D20))))/Inputs!$B$44),IF(Inputs!$B$39="pvp",MIN((Skills!Y20*(1+Inputs!$B$34/100)),15)/15,(Skills!Y20*(1+Inputs!$B$34/100))/Skills!D20)))</f>
        <v/>
      </c>
    </row>
    <row r="1240">
      <c r="A1240" t="inlineStr">
        <is>
          <t>Global Monster Damage-Taken Bonus %</t>
        </is>
      </c>
      <c r="B1240">
        <f>IF(Inputs!$B$3&gt;=82,15,0)+((C1215=TRUE)*F1215*IF(AND(Inputs!$B$39&lt;&gt;"pvp",Inputs!$B$44&gt;0),(((R1215-1)*(Skills!Y16*(1+Inputs!$B$34/100))+MIN((Skills!Y16*(1+Inputs!$B$34/100)),MAX(0,Inputs!$B$44-((R1215-1)*Skills!D16))))/Inputs!$B$44),IF(Inputs!$B$39="pvp",MIN((Skills!Y16*(1+Inputs!$B$34/100)),15)/15,(Skills!Y16*(1+Inputs!$B$34/100))/Skills!D16)))</f>
        <v/>
      </c>
    </row>
    <row r="1241">
      <c r="A1241" t="inlineStr">
        <is>
          <t>Shadow Partner Average Multiplier</t>
        </is>
      </c>
      <c r="B1241">
        <f>1+((C1210=TRUE)*F1210*I1210*Skills!J11/100)/100</f>
        <v/>
      </c>
    </row>
    <row r="1242">
      <c r="A1242" t="inlineStr">
        <is>
          <t>Global Critical Damage Bonus % (Frailty Curse Mastery Lv.111)</t>
        </is>
      </c>
      <c r="B1242">
        <f>IF(Inputs!$B$3&gt;=111,30,0)*IF(AND(Inputs!$B$39&lt;&gt;"pvp",Inputs!$B$44&gt;0),(((R1215-1)*(Skills!Y16*(1+Inputs!$B$34/100))+MIN((Skills!Y16*(1+Inputs!$B$34/100)),MAX(0,Inputs!$B$44-((R1215-1)*Skills!D16))))/Inputs!$B$44),IF(Inputs!$B$39="pvp",MIN((Skills!Y16*(1+Inputs!$B$34/100)),15)/15,(Skills!Y16*(1+Inputs!$B$34/100))/Skills!D16))</f>
        <v/>
      </c>
    </row>
    <row r="1243">
      <c r="A1243" s="6" t="inlineStr">
        <is>
          <t>TOTAL DPS</t>
        </is>
      </c>
      <c r="B1243" s="6">
        <f>SUM(O1201:O1230)</f>
        <v/>
      </c>
    </row>
    <row r="1244">
      <c r="A1244" t="inlineStr">
        <is>
          <t>Buff-Casting Startup Delay (s, fixed-duration only)</t>
        </is>
      </c>
      <c r="B1244">
        <f>IF(AND(Inputs!$B$39&lt;&gt;"pvp",Inputs!$B$44&gt;0),SUMPRODUCT((Skills!Y2:Y31&gt;0)*(Skills!E2:E31=TRUE)*(C1201:C1230=TRUE))/B1235,0)</f>
        <v/>
      </c>
    </row>
    <row r="1245">
      <c r="A1245" t="inlineStr">
        <is>
          <t>Boss-Only Total DPS (this block's swept value)</t>
        </is>
      </c>
      <c r="B1245">
        <f>SUM(T1201:T1230)</f>
        <v/>
      </c>
    </row>
    <row r="1246">
      <c r="A1246" t="inlineStr">
        <is>
          <t>Normal-Only Total DPS (this block's swept value)</t>
        </is>
      </c>
      <c r="B1246">
        <f>SUM(V1201:V1230)</f>
        <v/>
      </c>
    </row>
    <row r="1248">
      <c r="A1248" s="6" t="inlineStr">
        <is>
          <t>Stat: Basic Attack Target Increase (flat)</t>
        </is>
      </c>
    </row>
    <row r="1249">
      <c r="A1249" s="5" t="inlineStr">
        <is>
          <t>Key</t>
        </is>
      </c>
      <c r="B1249" s="5" t="inlineStr">
        <is>
          <t>Name</t>
        </is>
      </c>
      <c r="C1249" s="5" t="inlineStr">
        <is>
          <t>Unlocked</t>
        </is>
      </c>
      <c r="D1249" s="5" t="inlineStr">
        <is>
          <t>InputLevel</t>
        </is>
      </c>
      <c r="E1249" s="5" t="inlineStr">
        <is>
          <t>Factor</t>
        </is>
      </c>
      <c r="F1249" s="5" t="inlineStr">
        <is>
          <t>CoefficientPercent</t>
        </is>
      </c>
      <c r="G1249" s="5" t="inlineStr">
        <is>
          <t>EffectiveHits</t>
        </is>
      </c>
      <c r="H1249" s="5" t="inlineStr">
        <is>
          <t>ProcProbability</t>
        </is>
      </c>
      <c r="I1249" s="5" t="inlineStr">
        <is>
          <t>MapleHeroMultiplier</t>
        </is>
      </c>
      <c r="J1249" s="5" t="inlineStr">
        <is>
          <t>BaseDamage</t>
        </is>
      </c>
      <c r="K1249" s="5" t="inlineStr">
        <is>
          <t>BaseHitDamage</t>
        </is>
      </c>
      <c r="L1249" s="5" t="inlineStr">
        <is>
          <t>NonCritAvg</t>
        </is>
      </c>
      <c r="M1249" s="5" t="inlineStr">
        <is>
          <t>CritAvg</t>
        </is>
      </c>
      <c r="N1249" s="5" t="inlineStr">
        <is>
          <t>ExpectedDamage(perHit)</t>
        </is>
      </c>
      <c r="O1249" s="5" t="inlineStr">
        <is>
          <t>DPS</t>
        </is>
      </c>
      <c r="P1249" s="5" t="inlineStr">
        <is>
          <t>% of Total</t>
        </is>
      </c>
      <c r="Q1249" s="5" t="inlineStr">
        <is>
          <t>InvCooldown</t>
        </is>
      </c>
      <c r="R1249" s="5" t="inlineStr">
        <is>
          <t>CastsInFight</t>
        </is>
      </c>
      <c r="S1249" s="5" t="inlineStr">
        <is>
          <t>HitRate(perSec)</t>
        </is>
      </c>
      <c r="U1249" t="inlineStr">
        <is>
          <t>helpers</t>
        </is>
      </c>
    </row>
    <row r="1250">
      <c r="A1250">
        <f>Skills!A2</f>
        <v/>
      </c>
      <c r="B1250">
        <f>Skills!B2</f>
        <v/>
      </c>
      <c r="C1250">
        <f>Inputs!$B$3&gt;=100</f>
        <v/>
      </c>
      <c r="D1250" t="inlineStr"/>
      <c r="E1250" t="inlineStr"/>
      <c r="F1250">
        <f>U1254+Skills!O2</f>
        <v/>
      </c>
      <c r="G1250">
        <f>Calc!G2</f>
        <v/>
      </c>
      <c r="H1250">
        <f>Calc!H2</f>
        <v/>
      </c>
      <c r="I1250">
        <f>IF(Skills!AA2&lt;&gt;"",1+(Skills!AA2/10)*(U1251/1000)/100,1)</f>
        <v/>
      </c>
      <c r="J1250">
        <f>((Inputs!$B$6*(1+Inputs!$B$7/100))+(((Inputs!$B$12*(1+Inputs!$B$13/100))-(Inputs!$B$12*(1+Inputs!$B$13/100)))+0.25*(Inputs!$B$14-Inputs!$B$14))*(1+Inputs!$B$7/100))*(F1250/100)</f>
        <v/>
      </c>
      <c r="K1250">
        <f>J1250*(1+((Inputs!$B$12*(1+Inputs!$B$13/100))*0.01+Inputs!$B$14*0.0025)/100)*(1+Inputs!$B$15/100)*(1+Inputs!$B$16/100)*(5000/(6000+Inputs!$B$43*(1-(100*(1-(1-(Inputs!$B$19+0)/100)*(1-CHOOSE(ArtifactsInput!$N$40+1,5,6,7,8,9,10)/100)^(ArtifactsInput!$M$40-ArtifactsInput!$M$40)))/100)))*(1+(Inputs!$B$24+((C1278=TRUE)*(F1278-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1271=TRUE)*(F1271-Calc!F23))+(((IF(AND(ArtifactsInput!$M$42,((Inputs!$B$9+((C1273=TRUE)*(F1273-Calc!F25))+B1288+(ArtifactsInput!$M$24-ArtifactsInput!$M$24)*CHOOSE(ArtifactsInput!$N$24+1,10,12,14,16,18,20)+IF(ArtifactsInput!$M$10,CHOOSE(ArtifactsInput!$N$10+1,15,18,21,24,27,30)*(IF(Inputs!$B$39="pvp",MIN(15,15)/15,IF(AND(Inputs!$B$39&lt;&gt;"pvp",Inputs!$B$44&gt;0),MIN(15,Inputs!$B$44)/(Inputs!$B$44),0))),0)))&gt;=100),MIN(100,((Inputs!$B$9+((C1273=TRUE)*(F1273-Calc!F25))+B1288+(ArtifactsInput!$M$24-ArtifactsInput!$M$24)*CHOOSE(ArtifactsInput!$N$24+1,10,12,14,16,18,20)+IF(ArtifactsInput!$M$10,CHOOSE(ArtifactsInput!$N$10+1,15,18,21,24,27,30)*(IF(Inputs!$B$39="pvp",MIN(15,15)/15,IF(AND(Inputs!$B$39&lt;&gt;"pvp",Inputs!$B$44&gt;0),MIN(15,Inputs!$B$44)/(Inputs!$B$44),0))),0)))-100),0))*CHOOSE(ArtifactsInput!$N$42+1,0.6,0.72,0.84,0.96,1.08,1.2))),Inputs!$B$18+((C1277=TRUE)*(F1277-Calc!F29))+(IF(AND(ArtifactsInput!$M$42,((Inputs!$B$9+((C1273=TRUE)*(F1273-Calc!F25))+B1288+(ArtifactsInput!$M$24-ArtifactsInput!$M$24)*CHOOSE(ArtifactsInput!$N$24+1,10,12,14,16,18,20)+IF(ArtifactsInput!$M$10,CHOOSE(ArtifactsInput!$N$10+1,15,18,21,24,27,30)*(IF(Inputs!$B$39="pvp",MIN(15,15)/15,IF(AND(Inputs!$B$39&lt;&gt;"pvp",Inputs!$B$44&gt;0),MIN(15,Inputs!$B$44)/(Inputs!$B$44),0))),0)))&gt;=100),CHOOSE(ArtifactsInput!$N$42+1,40,48,56,64,72,80),0))))/100)*(((1+(((C1269=TRUE)*F1269*IF(AND(Inputs!$B$39&lt;&gt;"pvp",Inputs!$B$44&gt;0),(((R1269-1)*(Skills!Y21*(1+Inputs!$B$34/100))+MIN((Skills!Y21*(1+Inputs!$B$34/100)),MAX(0,Inputs!$B$44-((R1269-1)*Skills!D21))))/Inputs!$B$44),IF(Inputs!$B$39="pvp",MIN((Skills!Y21*(1+Inputs!$B$34/100)),15)/15,(Skills!Y21*(1+Inputs!$B$34/100))/Skills!D21)))+((C1276=TRUE)*(F1276-Calc!F28))+((C1266=TRUE)*(F1266-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1263=TRUE)*F1263*IF(AND(Inputs!$B$39&lt;&gt;"pvp",Inputs!$B$44&gt;0),(((R1263-1)*(Skills!Y15*(1+Inputs!$B$34/100))+MIN((Skills!Y15*(1+Inputs!$B$34/100)),MAX(0,Inputs!$B$44-((R1263-1)*Skills!D15))))/Inputs!$B$44),IF(Inputs!$B$39="pvp",MIN((Skills!Y15*(1+Inputs!$B$34/100)),15)/15,(Skills!Y15*(1+Inputs!$B$34/100))/Skills!D15)))/100)*(1+((C1254=TRUE)*F1254*B1282)/100))*B1290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1250)</f>
        <v/>
      </c>
      <c r="L1250">
        <f>K1250*(MIN(Inputs!$B$22+((C1272=TRUE)*(F1272-Calc!F24)),(Inputs!$B$23+0+(IF(ArtifactsInput!$M$15,CHOOSE(ArtifactsInput!$N$15+1,25,30,35,40,45,50)/100*(Inputs!$B$11-Inputs!$B$11),0))))/100+(Inputs!$B$23+0+(IF(ArtifactsInput!$M$15,CHOOSE(ArtifactsInput!$N$15+1,25,30,35,40,45,50)/100*(Inputs!$B$11-Inputs!$B$11),0)))/100)/2</f>
        <v/>
      </c>
      <c r="M1250">
        <f>L1250*(1+(Inputs!$B$10+((C1274=TRUE)*(F1274-Calc!F26))+B1291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50">
        <f>L1250*(1-MIN((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1250*(MIN((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0">
        <f>(1-Summary!$B$11)*T1250+Summary!$B$11*V1250</f>
        <v/>
      </c>
      <c r="P1250">
        <f>IF(B1292=0,0,O1250/B1292)</f>
        <v/>
      </c>
      <c r="Q1250" t="n">
        <v>0</v>
      </c>
      <c r="R1250" t="n">
        <v>0</v>
      </c>
      <c r="S1250">
        <f>IFERROR(O1250/N1250,0)</f>
        <v/>
      </c>
      <c r="T1250">
        <f>IF(C1250,(Skills!G2*N1250*B1286)*IF(Inputs!$B$39="pvp",1,1+(Inputs!$B$20+((C1275=TRUE)*(F1275-Calc!F27))+Skills!P2+B1289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Hunt"),CHOOSE(ArtifactsInput!$N$35+1,15,18,21,24,27,30)*(1-EXP(-(0.2*B1284)*5)),0)+IF(AND(ArtifactsInput!$M$22,Inputs!$B$4&lt;&gt;"Chapter Hunt"),CHOOSE(ArtifactsInput!$N$22+1,10,12,14,16,18,20)*((0*(((0.15*B1284*5))^0/1)+1*(((0.15*B1284*5))^1/1)+2*(((0.15*B1284*5))^2/2)+3*(((0.15*B1284*5))^3/6)+4*(((0.15*B1284*5))^4/24)+5*(((0.15*B1284*5))^5/120))/((((0.15*B1284*5))^0/1)+(((0.15*B1284*5))^1/1)+(((0.15*B1284*5))^2/2)+(((0.15*B1284*5))^3/6)+(((0.15*B1284*5))^4/24)+(((0.15*B1284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1250*(1-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1250*(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1250*(1-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1250*(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50">
        <f>MAX(0,(Inputs!$B$3-100)*3)+Inputs!$B$28+Inputs!$B$29</f>
        <v/>
      </c>
      <c r="V1250">
        <f>IF(C1250,(Skills!G2*N1250*B1286)*IF(Inputs!$B$39="pvp",1,(1+(Inputs!$B$21+Skills!Q2+B1289+(IF(ArtifactsInput!$M$33,CHOOSE(ArtifactsInput!$N$33+1,30,36,42,48,54,60),0))+(IF(AND(ArtifactsInput!$M$35,Inputs!$B$4&lt;&gt;"Chapter Hunt"),CHOOSE(ArtifactsInput!$N$35+1,15,18,21,24,27,30)*(1-EXP(-(0.2*B1284)*5)),0)+IF(AND(ArtifactsInput!$M$22,Inputs!$B$4&lt;&gt;"Chapter Hunt"),CHOOSE(ArtifactsInput!$N$22+1,10,12,14,16,18,20)*((0*(((0.15*B1284*5))^0/1)+1*(((0.15*B1284*5))^1/1)+2*(((0.15*B1284*5))^2/2)+3*(((0.15*B1284*5))^3/6)+4*(((0.15*B1284*5))^4/24)+5*(((0.15*B1284*5))^5/120))/((((0.15*B1284*5))^0/1)+(((0.15*B1284*5))^1/1)+(((0.15*B1284*5))^2/2)+(((0.15*B1284*5))^3/6)+(((0.15*B1284*5))^4/24)+(((0.15*B1284*5))^5/120))),0)))/100)*(MIN((6+(Inputs!$B$33+1)),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1">
      <c r="A1251">
        <f>Skills!A3</f>
        <v/>
      </c>
      <c r="B1251">
        <f>Skills!B3</f>
        <v/>
      </c>
      <c r="C1251">
        <f>Inputs!$B$3&gt;=35</f>
        <v/>
      </c>
      <c r="D1251">
        <f>IF(Skills!C3=1,60+Inputs!$B$25+Inputs!$B$29,IF(Skills!C3=2,90+Inputs!$B$26+Inputs!$B$29,IF(Skills!C3=3,120+Inputs!$B$27+Inputs!$B$29,MAX(0,(Inputs!$B$3-100)*3)+Inputs!$B$28+Inputs!$B$29)))</f>
        <v/>
      </c>
      <c r="E1251">
        <f>INDEX(FactorTable!$B$2:$Y$301, MATCH(ROUND(MIN(300,MAX(1,D1251)),0), FactorTable!$A$2:$A$301,0), Skills!M3+1)</f>
        <v/>
      </c>
      <c r="F1251">
        <f>IF(Skills!N3=TRUE,(Skills!L3/10)*(E1251/1000),Skills!L3/10)+Skills!O3</f>
        <v/>
      </c>
      <c r="G1251">
        <f>Calc!G3</f>
        <v/>
      </c>
      <c r="H1251">
        <f>Calc!H3</f>
        <v/>
      </c>
      <c r="I1251">
        <f>IF(Skills!AA3&lt;&gt;"",1+(Skills!AA3/10)*(U1251/1000)/100,1)</f>
        <v/>
      </c>
      <c r="J1251">
        <f>((Inputs!$B$6*(1+Inputs!$B$7/100))+(((Inputs!$B$12*(1+Inputs!$B$13/100))-(Inputs!$B$12*(1+Inputs!$B$13/100)))+0.25*(Inputs!$B$14-Inputs!$B$14))*(1+Inputs!$B$7/100))*(F1251/100)</f>
        <v/>
      </c>
      <c r="K1251">
        <f>J1251*(1+((Inputs!$B$12*(1+Inputs!$B$13/100))*0.01+Inputs!$B$14*0.0025)/100)*(1+Inputs!$B$15/100)*(1+Inputs!$B$16/100)*(5000/(6000+Inputs!$B$43*(1-(100*(1-(1-(Inputs!$B$19+0)/100)*(1-CHOOSE(ArtifactsInput!$N$40+1,5,6,7,8,9,10)/100)^(ArtifactsInput!$M$40-ArtifactsInput!$M$40)))/100)))*(1+(Inputs!$B$24+((C1278=TRUE)*(F1278-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1271=TRUE)*(F1271-Calc!F23))+(((IF(AND(ArtifactsInput!$M$42,((Inputs!$B$9+((C1273=TRUE)*(F1273-Calc!F25))+B1288+(ArtifactsInput!$M$24-ArtifactsInput!$M$24)*CHOOSE(ArtifactsInput!$N$24+1,10,12,14,16,18,20)+IF(ArtifactsInput!$M$10,CHOOSE(ArtifactsInput!$N$10+1,15,18,21,24,27,30)*(IF(Inputs!$B$39="pvp",MIN(15,15)/15,IF(AND(Inputs!$B$39&lt;&gt;"pvp",Inputs!$B$44&gt;0),MIN(15,Inputs!$B$44)/(Inputs!$B$44),0))),0)))&gt;=100),MIN(100,((Inputs!$B$9+((C1273=TRUE)*(F1273-Calc!F25))+B1288+(ArtifactsInput!$M$24-ArtifactsInput!$M$24)*CHOOSE(ArtifactsInput!$N$24+1,10,12,14,16,18,20)+IF(ArtifactsInput!$M$10,CHOOSE(ArtifactsInput!$N$10+1,15,18,21,24,27,30)*(IF(Inputs!$B$39="pvp",MIN(15,15)/15,IF(AND(Inputs!$B$39&lt;&gt;"pvp",Inputs!$B$44&gt;0),MIN(15,Inputs!$B$44)/(Inputs!$B$44),0))),0)))-100),0))*CHOOSE(ArtifactsInput!$N$42+1,0.6,0.72,0.84,0.96,1.08,1.2))),Inputs!$B$18+((C1277=TRUE)*(F1277-Calc!F29))+(IF(AND(ArtifactsInput!$M$42,((Inputs!$B$9+((C1273=TRUE)*(F1273-Calc!F25))+B1288+(ArtifactsInput!$M$24-ArtifactsInput!$M$24)*CHOOSE(ArtifactsInput!$N$24+1,10,12,14,16,18,20)+IF(ArtifactsInput!$M$10,CHOOSE(ArtifactsInput!$N$10+1,15,18,21,24,27,30)*(IF(Inputs!$B$39="pvp",MIN(15,15)/15,IF(AND(Inputs!$B$39&lt;&gt;"pvp",Inputs!$B$44&gt;0),MIN(15,Inputs!$B$44)/(Inputs!$B$44),0))),0)))&gt;=100),CHOOSE(ArtifactsInput!$N$42+1,40,48,56,64,72,80),0))))/100)*(((1+(((C1269=TRUE)*F1269*IF(AND(Inputs!$B$39&lt;&gt;"pvp",Inputs!$B$44&gt;0),(((R1269-1)*(Skills!Y21*(1+Inputs!$B$34/100))+MIN((Skills!Y21*(1+Inputs!$B$34/100)),MAX(0,Inputs!$B$44-((R1269-1)*Skills!D21))))/Inputs!$B$44),IF(Inputs!$B$39="pvp",MIN((Skills!Y21*(1+Inputs!$B$34/100)),15)/15,(Skills!Y21*(1+Inputs!$B$34/100))/Skills!D21)))+((C1276=TRUE)*(F1276-Calc!F28))+((C1266=TRUE)*(F1266-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1263=TRUE)*F1263*IF(AND(Inputs!$B$39&lt;&gt;"pvp",Inputs!$B$44&gt;0),(((R1263-1)*(Skills!Y15*(1+Inputs!$B$34/100))+MIN((Skills!Y15*(1+Inputs!$B$34/100)),MAX(0,Inputs!$B$44-((R1263-1)*Skills!D15))))/Inputs!$B$44),IF(Inputs!$B$39="pvp",MIN((Skills!Y15*(1+Inputs!$B$34/100)),15)/15,(Skills!Y15*(1+Inputs!$B$34/100))/Skills!D15)))/100)*(1+((C1254=TRUE)*F1254*B1282)/100))*B1290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1251)</f>
        <v/>
      </c>
      <c r="L1251">
        <f>K1251*(MIN(Inputs!$B$22+((C1272=TRUE)*(F1272-Calc!F24)),(Inputs!$B$23+0+(IF(ArtifactsInput!$M$15,CHOOSE(ArtifactsInput!$N$15+1,25,30,35,40,45,50)/100*(Inputs!$B$11-Inputs!$B$11),0))))/100+(Inputs!$B$23+0+(IF(ArtifactsInput!$M$15,CHOOSE(ArtifactsInput!$N$15+1,25,30,35,40,45,50)/100*(Inputs!$B$11-Inputs!$B$11),0)))/100)/2</f>
        <v/>
      </c>
      <c r="M1251">
        <f>L1251*(1+(Inputs!$B$10+((C1274=TRUE)*(F1274-Calc!F26))+B1291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51">
        <f>L1251*(1-MIN((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1251*(MIN((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1">
        <f>(1-Summary!$B$11)*T1251+Summary!$B$11*V1251</f>
        <v/>
      </c>
      <c r="P1251">
        <f>IF(B1292=0,0,O1251/B1292)</f>
        <v/>
      </c>
      <c r="Q1251">
        <f>IFERROR(1/IF(Inputs!$B$39="pvp",15,MAX(0.1,Skills!D3-IF(Skills!E3=TRUE,Inputs!$B$32,0))),0)</f>
        <v/>
      </c>
      <c r="R1251">
        <f>IF(AND(Inputs!$B$39&lt;&gt;"pvp",Inputs!$B$44&gt;0),IF(MAX(0,Inputs!$B$44-B1293)&lt;=0,0,(INT(MAX(0,Inputs!$B$44-B1293)/IF(Inputs!$B$39="pvp",15,MAX(0.1,Skills!D3-IF(Skills!E3=TRUE,Inputs!$B$32,0))))+1)),0)</f>
        <v/>
      </c>
      <c r="S1251">
        <f>IFERROR(O1251/N1251,0)</f>
        <v/>
      </c>
      <c r="T1251">
        <f>IF(C1251,(H1251*N1251*IF(AND(Inputs!$B$39&lt;&gt;"pvp",Inputs!$B$44&gt;0),((Skills!G3*((R1251-1)*IF(Skills!H3&gt;0,Skills!I3/Skills!H3,1)+IF(Skills!H3&gt;0,MIN(Skills!I3,MAX(0,MAX(0,Inputs!$B$44-B1293)-((R1251-1)*IF(Inputs!$B$39="pvp",15,MAX(0.1,Skills!D3-IF(Skills!E3=TRUE,Inputs!$B$32,0))))))/Skills!H3,1)))/Inputs!$B$44),G1251*Q1251))*IF(Inputs!$B$39="pvp",1,1+(Inputs!$B$20+((C1275=TRUE)*(F1275-Calc!F27))+Skills!P3+B1289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Hunt"),CHOOSE(ArtifactsInput!$N$35+1,15,18,21,24,27,30)*(1-EXP(-(0.2*B1284)*5)),0)+IF(AND(ArtifactsInput!$M$22,Inputs!$B$4&lt;&gt;"Chapter Hunt"),CHOOSE(ArtifactsInput!$N$22+1,10,12,14,16,18,20)*((0*(((0.15*B1284*5))^0/1)+1*(((0.15*B1284*5))^1/1)+2*(((0.15*B1284*5))^2/2)+3*(((0.15*B1284*5))^3/6)+4*(((0.15*B1284*5))^4/24)+5*(((0.15*B1284*5))^5/120))/((((0.15*B1284*5))^0/1)+(((0.15*B1284*5))^1/1)+(((0.15*B1284*5))^2/2)+(((0.15*B1284*5))^3/6)+(((0.15*B1284*5))^4/24)+(((0.15*B1284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1251*(1-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1251*(1-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51">
        <f>INDEX(FactorTable!$B$2:$Y$301, MATCH(ROUND(MIN(300,MAX(1,U1250)),0), FactorTable!$A$2:$A$301,0), 24)</f>
        <v/>
      </c>
      <c r="V1251">
        <f>IF(C1251,(H1251*N1251*IF(AND(Inputs!$B$39&lt;&gt;"pvp",Inputs!$B$44&gt;0),((Skills!G3*((R1251-1)*IF(Skills!H3&gt;0,Skills!I3/Skills!H3,1)+IF(Skills!H3&gt;0,MIN(Skills!I3,MAX(0,MAX(0,Inputs!$B$44-B1293)-((R1251-1)*IF(Inputs!$B$39="pvp",15,MAX(0.1,Skills!D3-IF(Skills!E3=TRUE,Inputs!$B$32,0))))))/Skills!H3,1)))/Inputs!$B$44),G1251*Q1251))*IF(Inputs!$B$39="pvp",1,(1+(Inputs!$B$21+Skills!Q3+B1289+(IF(ArtifactsInput!$M$33,CHOOSE(ArtifactsInput!$N$33+1,30,36,42,48,54,60),0))+(IF(AND(ArtifactsInput!$M$35,Inputs!$B$4&lt;&gt;"Chapter Hunt"),CHOOSE(ArtifactsInput!$N$35+1,15,18,21,24,27,30)*(1-EXP(-(0.2*B1284)*5)),0)+IF(AND(ArtifactsInput!$M$22,Inputs!$B$4&lt;&gt;"Chapter Hunt"),CHOOSE(ArtifactsInput!$N$22+1,10,12,14,16,18,20)*((0*(((0.15*B1284*5))^0/1)+1*(((0.15*B1284*5))^1/1)+2*(((0.15*B1284*5))^2/2)+3*(((0.15*B1284*5))^3/6)+4*(((0.15*B1284*5))^4/24)+5*(((0.15*B1284*5))^5/120))/((((0.15*B1284*5))^0/1)+(((0.15*B1284*5))^1/1)+(((0.15*B1284*5))^2/2)+(((0.15*B1284*5))^3/6)+(((0.15*B1284*5))^4/24)+(((0.15*B1284*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2">
      <c r="A1252">
        <f>Skills!A4</f>
        <v/>
      </c>
      <c r="B1252">
        <f>Skills!B4</f>
        <v/>
      </c>
      <c r="C1252">
        <f>Inputs!$B$3&gt;=40</f>
        <v/>
      </c>
      <c r="D1252">
        <f>IF(Skills!C4=1,60+Inputs!$B$25+Inputs!$B$29,IF(Skills!C4=2,90+Inputs!$B$26+Inputs!$B$29,IF(Skills!C4=3,120+Inputs!$B$27+Inputs!$B$29,MAX(0,(Inputs!$B$3-100)*3)+Inputs!$B$28+Inputs!$B$29)))</f>
        <v/>
      </c>
      <c r="E1252">
        <f>INDEX(FactorTable!$B$2:$Y$301, MATCH(ROUND(MIN(300,MAX(1,D1252)),0), FactorTable!$A$2:$A$301,0), Skills!M4+1)</f>
        <v/>
      </c>
      <c r="F1252">
        <f>IF(Skills!N4=TRUE,(Skills!L4/10)*(E1252/1000),Skills!L4/10)+Skills!O4</f>
        <v/>
      </c>
      <c r="G1252">
        <f>Calc!G4</f>
        <v/>
      </c>
      <c r="H1252">
        <f>Calc!H4</f>
        <v/>
      </c>
      <c r="I1252">
        <f>IF(Skills!AA4&lt;&gt;"",1+(Skills!AA4/10)*(U1251/1000)/100,1)</f>
        <v/>
      </c>
      <c r="J1252">
        <f>((Inputs!$B$6*(1+Inputs!$B$7/100))+(((Inputs!$B$12*(1+Inputs!$B$13/100))-(Inputs!$B$12*(1+Inputs!$B$13/100)))+0.25*(Inputs!$B$14-Inputs!$B$14))*(1+Inputs!$B$7/100))*(F1252/100)</f>
        <v/>
      </c>
      <c r="K1252">
        <f>J1252*(1+((Inputs!$B$12*(1+Inputs!$B$13/100))*0.01+Inputs!$B$14*0.0025)/100)*(1+Inputs!$B$15/100)*(1+Inputs!$B$16/100)*(5000/(6000+Inputs!$B$43*(1-(100*(1-(1-(Inputs!$B$19+0)/100)*(1-CHOOSE(ArtifactsInput!$N$40+1,5,6,7,8,9,10)/100)^(ArtifactsInput!$M$40-ArtifactsInput!$M$40)))/100)))*(1+(Inputs!$B$24+((C1278=TRUE)*(F1278-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1271=TRUE)*(F1271-Calc!F23))+(((IF(AND(ArtifactsInput!$M$42,((Inputs!$B$9+((C1273=TRUE)*(F1273-Calc!F25))+B1288+(ArtifactsInput!$M$24-ArtifactsInput!$M$24)*CHOOSE(ArtifactsInput!$N$24+1,10,12,14,16,18,20)+IF(ArtifactsInput!$M$10,CHOOSE(ArtifactsInput!$N$10+1,15,18,21,24,27,30)*(IF(Inputs!$B$39="pvp",MIN(15,15)/15,IF(AND(Inputs!$B$39&lt;&gt;"pvp",Inputs!$B$44&gt;0),MIN(15,Inputs!$B$44)/(Inputs!$B$44),0))),0)))&gt;=100),MIN(100,((Inputs!$B$9+((C1273=TRUE)*(F1273-Calc!F25))+B1288+(ArtifactsInput!$M$24-ArtifactsInput!$M$24)*CHOOSE(ArtifactsInput!$N$24+1,10,12,14,16,18,20)+IF(ArtifactsInput!$M$10,CHOOSE(ArtifactsInput!$N$10+1,15,18,21,24,27,30)*(IF(Inputs!$B$39="pvp",MIN(15,15)/15,IF(AND(Inputs!$B$39&lt;&gt;"pvp",Inputs!$B$44&gt;0),MIN(15,Inputs!$B$44)/(Inputs!$B$44),0))),0)))-100),0))*CHOOSE(ArtifactsInput!$N$42+1,0.6,0.72,0.84,0.96,1.08,1.2))),Inputs!$B$18+((C1277=TRUE)*(F1277-Calc!F29))+(IF(AND(ArtifactsInput!$M$42,((Inputs!$B$9+((C1273=TRUE)*(F1273-Calc!F25))+B1288+(ArtifactsInput!$M$24-ArtifactsInput!$M$24)*CHOOSE(ArtifactsInput!$N$24+1,10,12,14,16,18,20)+IF(ArtifactsInput!$M$10,CHOOSE(ArtifactsInput!$N$10+1,15,18,21,24,27,30)*(IF(Inputs!$B$39="pvp",MIN(15,15)/15,IF(AND(Inputs!$B$39&lt;&gt;"pvp",Inputs!$B$44&gt;0),MIN(15,Inputs!$B$44)/(Inputs!$B$44),0))),0)))&gt;=100),CHOOSE(ArtifactsInput!$N$42+1,40,48,56,64,72,80),0))))/100)*(((1+(((C1269=TRUE)*F1269*IF(AND(Inputs!$B$39&lt;&gt;"pvp",Inputs!$B$44&gt;0),(((R1269-1)*(Skills!Y21*(1+Inputs!$B$34/100))+MIN((Skills!Y21*(1+Inputs!$B$34/100)),MAX(0,Inputs!$B$44-((R1269-1)*Skills!D21))))/Inputs!$B$44),IF(Inputs!$B$39="pvp",MIN((Skills!Y21*(1+Inputs!$B$34/100)),15)/15,(Skills!Y21*(1+Inputs!$B$34/100))/Skills!D21)))+((C1276=TRUE)*(F1276-Calc!F28))+((C1266=TRUE)*(F1266-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1263=TRUE)*F1263*IF(AND(Inputs!$B$39&lt;&gt;"pvp",Inputs!$B$44&gt;0),(((R1263-1)*(Skills!Y15*(1+Inputs!$B$34/100))+MIN((Skills!Y15*(1+Inputs!$B$34/100)),MAX(0,Inputs!$B$44-((R1263-1)*Skills!D15))))/Inputs!$B$44),IF(Inputs!$B$39="pvp",MIN((Skills!Y15*(1+Inputs!$B$34/100)),15)/15,(Skills!Y15*(1+Inputs!$B$34/100))/Skills!D15)))/100)*(1+((C1254=TRUE)*F1254*B1282)/100))*B1290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1252)</f>
        <v/>
      </c>
      <c r="L1252">
        <f>K1252*(MIN(Inputs!$B$22+((C1272=TRUE)*(F1272-Calc!F24)),(Inputs!$B$23+0+(IF(ArtifactsInput!$M$15,CHOOSE(ArtifactsInput!$N$15+1,25,30,35,40,45,50)/100*(Inputs!$B$11-Inputs!$B$11),0))))/100+(Inputs!$B$23+0+(IF(ArtifactsInput!$M$15,CHOOSE(ArtifactsInput!$N$15+1,25,30,35,40,45,50)/100*(Inputs!$B$11-Inputs!$B$11),0)))/100)/2</f>
        <v/>
      </c>
      <c r="M1252">
        <f>L1252*(1+(Inputs!$B$10+((C1274=TRUE)*(F1274-Calc!F26))+B1291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52">
        <f>L1252*(1-MIN((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1252*(MIN((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2">
        <f>(1-Summary!$B$11)*T1252+Summary!$B$11*V1252</f>
        <v/>
      </c>
      <c r="P1252">
        <f>IF(B1292=0,0,O1252/B1292)</f>
        <v/>
      </c>
      <c r="Q1252">
        <f>IFERROR(1/IF(Inputs!$B$39="pvp",15,MAX(0.1,Skills!D4-IF(Skills!E4=TRUE,Inputs!$B$32,0))),0)</f>
        <v/>
      </c>
      <c r="R1252">
        <f>IF(AND(Inputs!$B$39&lt;&gt;"pvp",Inputs!$B$44&gt;0),IF(MAX(0,Inputs!$B$44-B1293)&lt;=0,0,(INT(MAX(0,Inputs!$B$44-B1293)/IF(Inputs!$B$39="pvp",15,MAX(0.1,Skills!D4-IF(Skills!E4=TRUE,Inputs!$B$32,0))))+1)),0)</f>
        <v/>
      </c>
      <c r="S1252">
        <f>IFERROR(O1252/N1252,0)</f>
        <v/>
      </c>
      <c r="T1252">
        <f>IF(C1252,(H1252*N1252*IF(AND(Inputs!$B$39&lt;&gt;"pvp",Inputs!$B$44&gt;0),((Skills!G4*((R1252-1)*IF(Skills!H4&gt;0,Skills!I4/Skills!H4,1)+IF(Skills!H4&gt;0,MIN(Skills!I4,MAX(0,MAX(0,Inputs!$B$44-B1293)-((R1252-1)*IF(Inputs!$B$39="pvp",15,MAX(0.1,Skills!D4-IF(Skills!E4=TRUE,Inputs!$B$32,0))))))/Skills!H4,1)))/Inputs!$B$44),G1252*Q1252))*IF(Inputs!$B$39="pvp",1,1+(Inputs!$B$20+((C1275=TRUE)*(F1275-Calc!F27))+Skills!P4+B1289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Hunt"),CHOOSE(ArtifactsInput!$N$35+1,15,18,21,24,27,30)*(1-EXP(-(0.2*B1284)*5)),0)+IF(AND(ArtifactsInput!$M$22,Inputs!$B$4&lt;&gt;"Chapter Hunt"),CHOOSE(ArtifactsInput!$N$22+1,10,12,14,16,18,20)*((0*(((0.15*B1284*5))^0/1)+1*(((0.15*B1284*5))^1/1)+2*(((0.15*B1284*5))^2/2)+3*(((0.15*B1284*5))^3/6)+4*(((0.15*B1284*5))^4/24)+5*(((0.15*B1284*5))^5/120))/((((0.15*B1284*5))^0/1)+(((0.15*B1284*5))^1/1)+(((0.15*B1284*5))^2/2)+(((0.15*B1284*5))^3/6)+(((0.15*B1284*5))^4/24)+(((0.15*B1284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1252*(1-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1252*(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1252*(1-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1252*(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52">
        <f>MAX(0,(Inputs!$B$3-100)*3)+Inputs!$B$28+Inputs!$B$29</f>
        <v/>
      </c>
      <c r="V1252">
        <f>IF(C1252,(H1252*N1252*IF(AND(Inputs!$B$39&lt;&gt;"pvp",Inputs!$B$44&gt;0),((Skills!G4*((R1252-1)*IF(Skills!H4&gt;0,Skills!I4/Skills!H4,1)+IF(Skills!H4&gt;0,MIN(Skills!I4,MAX(0,MAX(0,Inputs!$B$44-B1293)-((R1252-1)*IF(Inputs!$B$39="pvp",15,MAX(0.1,Skills!D4-IF(Skills!E4=TRUE,Inputs!$B$32,0))))))/Skills!H4,1)))/Inputs!$B$44),G1252*Q1252))*IF(Inputs!$B$39="pvp",1,(1+(Inputs!$B$21+Skills!Q4+B1289+(IF(ArtifactsInput!$M$33,CHOOSE(ArtifactsInput!$N$33+1,30,36,42,48,54,60),0))+(IF(AND(ArtifactsInput!$M$35,Inputs!$B$4&lt;&gt;"Chapter Hunt"),CHOOSE(ArtifactsInput!$N$35+1,15,18,21,24,27,30)*(1-EXP(-(0.2*B1284)*5)),0)+IF(AND(ArtifactsInput!$M$22,Inputs!$B$4&lt;&gt;"Chapter Hunt"),CHOOSE(ArtifactsInput!$N$22+1,10,12,14,16,18,20)*((0*(((0.15*B1284*5))^0/1)+1*(((0.15*B1284*5))^1/1)+2*(((0.15*B1284*5))^2/2)+3*(((0.15*B1284*5))^3/6)+4*(((0.15*B1284*5))^4/24)+5*(((0.15*B1284*5))^5/120))/((((0.15*B1284*5))^0/1)+(((0.15*B1284*5))^1/1)+(((0.15*B1284*5))^2/2)+(((0.15*B1284*5))^3/6)+(((0.15*B1284*5))^4/24)+(((0.15*B1284*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3">
      <c r="A1253">
        <f>Skills!A5</f>
        <v/>
      </c>
      <c r="B1253">
        <f>Skills!B5</f>
        <v/>
      </c>
      <c r="C1253">
        <f>Inputs!$B$3&gt;=63</f>
        <v/>
      </c>
      <c r="D1253">
        <f>IF(Skills!C5=1,60+Inputs!$B$25+Inputs!$B$29,IF(Skills!C5=2,90+Inputs!$B$26+Inputs!$B$29,IF(Skills!C5=3,120+Inputs!$B$27+Inputs!$B$29,MAX(0,(Inputs!$B$3-100)*3)+Inputs!$B$28+Inputs!$B$29)))</f>
        <v/>
      </c>
      <c r="E1253">
        <f>INDEX(FactorTable!$B$2:$Y$301, MATCH(ROUND(MIN(300,MAX(1,D1253)),0), FactorTable!$A$2:$A$301,0), Skills!M5+1)</f>
        <v/>
      </c>
      <c r="F1253">
        <f>IF(Skills!N5=TRUE,(Skills!L5/10)*(E1253/1000),Skills!L5/10)+Skills!O5</f>
        <v/>
      </c>
      <c r="G1253">
        <f>Calc!G5</f>
        <v/>
      </c>
      <c r="H1253">
        <f>Calc!H5</f>
        <v/>
      </c>
      <c r="I1253">
        <f>IF(Skills!AA5&lt;&gt;"",1+(Skills!AA5/10)*(U1251/1000)/100,1)</f>
        <v/>
      </c>
      <c r="J1253">
        <f>((Inputs!$B$6*(1+Inputs!$B$7/100))+(((Inputs!$B$12*(1+Inputs!$B$13/100))-(Inputs!$B$12*(1+Inputs!$B$13/100)))+0.25*(Inputs!$B$14-Inputs!$B$14))*(1+Inputs!$B$7/100))*(F1253/100)</f>
        <v/>
      </c>
      <c r="K1253">
        <f>J1253*(1+((Inputs!$B$12*(1+Inputs!$B$13/100))*0.01+Inputs!$B$14*0.0025)/100)*(1+Inputs!$B$15/100)*(1+Inputs!$B$16/100)*(5000/(6000+Inputs!$B$43*(1-(100*(1-(1-(Inputs!$B$19+0)/100)*(1-CHOOSE(ArtifactsInput!$N$40+1,5,6,7,8,9,10)/100)^(ArtifactsInput!$M$40-ArtifactsInput!$M$40)))/100)))*(1+(Inputs!$B$24+((C1278=TRUE)*(F1278-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1271=TRUE)*(F1271-Calc!F23))+(((IF(AND(ArtifactsInput!$M$42,((Inputs!$B$9+((C1273=TRUE)*(F1273-Calc!F25))+B1288+(ArtifactsInput!$M$24-ArtifactsInput!$M$24)*CHOOSE(ArtifactsInput!$N$24+1,10,12,14,16,18,20)+IF(ArtifactsInput!$M$10,CHOOSE(ArtifactsInput!$N$10+1,15,18,21,24,27,30)*(IF(Inputs!$B$39="pvp",MIN(15,15)/15,IF(AND(Inputs!$B$39&lt;&gt;"pvp",Inputs!$B$44&gt;0),MIN(15,Inputs!$B$44)/(Inputs!$B$44),0))),0)))&gt;=100),MIN(100,((Inputs!$B$9+((C1273=TRUE)*(F1273-Calc!F25))+B1288+(ArtifactsInput!$M$24-ArtifactsInput!$M$24)*CHOOSE(ArtifactsInput!$N$24+1,10,12,14,16,18,20)+IF(ArtifactsInput!$M$10,CHOOSE(ArtifactsInput!$N$10+1,15,18,21,24,27,30)*(IF(Inputs!$B$39="pvp",MIN(15,15)/15,IF(AND(Inputs!$B$39&lt;&gt;"pvp",Inputs!$B$44&gt;0),MIN(15,Inputs!$B$44)/(Inputs!$B$44),0))),0)))-100),0))*CHOOSE(ArtifactsInput!$N$42+1,0.6,0.72,0.84,0.96,1.08,1.2))),Inputs!$B$18+((C1277=TRUE)*(F1277-Calc!F29))+(IF(AND(ArtifactsInput!$M$42,((Inputs!$B$9+((C1273=TRUE)*(F1273-Calc!F25))+B1288+(ArtifactsInput!$M$24-ArtifactsInput!$M$24)*CHOOSE(ArtifactsInput!$N$24+1,10,12,14,16,18,20)+IF(ArtifactsInput!$M$10,CHOOSE(ArtifactsInput!$N$10+1,15,18,21,24,27,30)*(IF(Inputs!$B$39="pvp",MIN(15,15)/15,IF(AND(Inputs!$B$39&lt;&gt;"pvp",Inputs!$B$44&gt;0),MIN(15,Inputs!$B$44)/(Inputs!$B$44),0))),0)))&gt;=100),CHOOSE(ArtifactsInput!$N$42+1,40,48,56,64,72,80),0))))/100)*(((1+(((C1269=TRUE)*F1269*IF(AND(Inputs!$B$39&lt;&gt;"pvp",Inputs!$B$44&gt;0),(((R1269-1)*(Skills!Y21*(1+Inputs!$B$34/100))+MIN((Skills!Y21*(1+Inputs!$B$34/100)),MAX(0,Inputs!$B$44-((R1269-1)*Skills!D21))))/Inputs!$B$44),IF(Inputs!$B$39="pvp",MIN((Skills!Y21*(1+Inputs!$B$34/100)),15)/15,(Skills!Y21*(1+Inputs!$B$34/100))/Skills!D21)))+((C1276=TRUE)*(F1276-Calc!F28))+((C1266=TRUE)*(F1266-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1263=TRUE)*F1263*IF(AND(Inputs!$B$39&lt;&gt;"pvp",Inputs!$B$44&gt;0),(((R1263-1)*(Skills!Y15*(1+Inputs!$B$34/100))+MIN((Skills!Y15*(1+Inputs!$B$34/100)),MAX(0,Inputs!$B$44-((R1263-1)*Skills!D15))))/Inputs!$B$44),IF(Inputs!$B$39="pvp",MIN((Skills!Y15*(1+Inputs!$B$34/100)),15)/15,(Skills!Y15*(1+Inputs!$B$34/100))/Skills!D15)))/100)*(1+((C1254=TRUE)*F1254*B1282)/100))*B1290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1253)</f>
        <v/>
      </c>
      <c r="L1253">
        <f>K1253*(MIN(Inputs!$B$22+((C1272=TRUE)*(F1272-Calc!F24)),(Inputs!$B$23+0+(IF(ArtifactsInput!$M$15,CHOOSE(ArtifactsInput!$N$15+1,25,30,35,40,45,50)/100*(Inputs!$B$11-Inputs!$B$11),0))))/100+(Inputs!$B$23+0+(IF(ArtifactsInput!$M$15,CHOOSE(ArtifactsInput!$N$15+1,25,30,35,40,45,50)/100*(Inputs!$B$11-Inputs!$B$11),0)))/100)/2</f>
        <v/>
      </c>
      <c r="M1253">
        <f>L1253*(1+(Inputs!$B$10+((C1274=TRUE)*(F1274-Calc!F26))+B1291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53">
        <f>L1253*(1-MIN((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1253*(MIN((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3">
        <f>(1-Summary!$B$11)*T1253+Summary!$B$11*V1253</f>
        <v/>
      </c>
      <c r="P1253">
        <f>IF(B1292=0,0,O1253/B1292)</f>
        <v/>
      </c>
      <c r="Q1253">
        <f>IFERROR(1/IF(Inputs!$B$39="pvp",15,MAX(0.1,Skills!D5-IF(Skills!E5=TRUE,Inputs!$B$32,0))),0)</f>
        <v/>
      </c>
      <c r="R1253">
        <f>IF(AND(Inputs!$B$39&lt;&gt;"pvp",Inputs!$B$44&gt;0),IF(MAX(0,Inputs!$B$44-B1293)&lt;=0,0,(INT(MAX(0,Inputs!$B$44-B1293)/IF(Inputs!$B$39="pvp",15,MAX(0.1,Skills!D5-IF(Skills!E5=TRUE,Inputs!$B$32,0))))+1)),0)</f>
        <v/>
      </c>
      <c r="S1253">
        <f>IFERROR(O1253/N1253,0)</f>
        <v/>
      </c>
      <c r="T1253">
        <f>IF(C1253,(H1253*N1253*IF(AND(Inputs!$B$39&lt;&gt;"pvp",Inputs!$B$44&gt;0),((Skills!G5*((R1253-1)*IF(Skills!H5&gt;0,Skills!I5/Skills!H5,1)+IF(Skills!H5&gt;0,MIN(Skills!I5,MAX(0,MAX(0,Inputs!$B$44-B1293)-((R1253-1)*IF(Inputs!$B$39="pvp",15,MAX(0.1,Skills!D5-IF(Skills!E5=TRUE,Inputs!$B$32,0))))))/Skills!H5,1)))/Inputs!$B$44),G1253*Q1253))*IF(Inputs!$B$39="pvp",1,1+(Inputs!$B$20+((C1275=TRUE)*(F1275-Calc!F27))+Skills!P5+B1289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Hunt"),CHOOSE(ArtifactsInput!$N$35+1,15,18,21,24,27,30)*(1-EXP(-(0.2*B1284)*5)),0)+IF(AND(ArtifactsInput!$M$22,Inputs!$B$4&lt;&gt;"Chapter Hunt"),CHOOSE(ArtifactsInput!$N$22+1,10,12,14,16,18,20)*((0*(((0.15*B1284*5))^0/1)+1*(((0.15*B1284*5))^1/1)+2*(((0.15*B1284*5))^2/2)+3*(((0.15*B1284*5))^3/6)+4*(((0.15*B1284*5))^4/24)+5*(((0.15*B1284*5))^5/120))/((((0.15*B1284*5))^0/1)+(((0.15*B1284*5))^1/1)+(((0.15*B1284*5))^2/2)+(((0.15*B1284*5))^3/6)+(((0.15*B1284*5))^4/24)+(((0.15*B1284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1253*(1-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1253*(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1253*(1-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1253*(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53">
        <f>INDEX(FactorTable!$B$2:$Y$301, MATCH(ROUND(MIN(300,MAX(1,U1252)),0), FactorTable!$A$2:$A$301,0), 22)</f>
        <v/>
      </c>
      <c r="V1253">
        <f>IF(C1253,(H1253*N1253*IF(AND(Inputs!$B$39&lt;&gt;"pvp",Inputs!$B$44&gt;0),((Skills!G5*((R1253-1)*IF(Skills!H5&gt;0,Skills!I5/Skills!H5,1)+IF(Skills!H5&gt;0,MIN(Skills!I5,MAX(0,MAX(0,Inputs!$B$44-B1293)-((R1253-1)*IF(Inputs!$B$39="pvp",15,MAX(0.1,Skills!D5-IF(Skills!E5=TRUE,Inputs!$B$32,0))))))/Skills!H5,1)))/Inputs!$B$44),G1253*Q1253))*IF(Inputs!$B$39="pvp",1,(1+(Inputs!$B$21+Skills!Q5+B1289+(IF(ArtifactsInput!$M$33,CHOOSE(ArtifactsInput!$N$33+1,30,36,42,48,54,60),0))+(IF(AND(ArtifactsInput!$M$35,Inputs!$B$4&lt;&gt;"Chapter Hunt"),CHOOSE(ArtifactsInput!$N$35+1,15,18,21,24,27,30)*(1-EXP(-(0.2*B1284)*5)),0)+IF(AND(ArtifactsInput!$M$22,Inputs!$B$4&lt;&gt;"Chapter Hunt"),CHOOSE(ArtifactsInput!$N$22+1,10,12,14,16,18,20)*((0*(((0.15*B1284*5))^0/1)+1*(((0.15*B1284*5))^1/1)+2*(((0.15*B1284*5))^2/2)+3*(((0.15*B1284*5))^3/6)+4*(((0.15*B1284*5))^4/24)+5*(((0.15*B1284*5))^5/120))/((((0.15*B1284*5))^0/1)+(((0.15*B1284*5))^1/1)+(((0.15*B1284*5))^2/2)+(((0.15*B1284*5))^3/6)+(((0.15*B1284*5))^4/24)+(((0.15*B1284*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4">
      <c r="A1254">
        <f>Skills!A6</f>
        <v/>
      </c>
      <c r="B1254">
        <f>Skills!B6</f>
        <v/>
      </c>
      <c r="C1254">
        <f>Inputs!$B$3&gt;=66</f>
        <v/>
      </c>
      <c r="D1254">
        <f>IF(Skills!C6=1,60+Inputs!$B$25+Inputs!$B$29,IF(Skills!C6=2,90+Inputs!$B$26+Inputs!$B$29,IF(Skills!C6=3,120+Inputs!$B$27+Inputs!$B$29,MAX(0,(Inputs!$B$3-100)*3)+Inputs!$B$28+Inputs!$B$29)))</f>
        <v/>
      </c>
      <c r="E1254">
        <f>INDEX(FactorTable!$B$2:$Y$301, MATCH(ROUND(MIN(300,MAX(1,D1254)),0), FactorTable!$A$2:$A$301,0), Skills!M6+1)</f>
        <v/>
      </c>
      <c r="F1254">
        <f>IF(Skills!N6=TRUE,(Skills!L6/10)*(E1254/1000),Skills!L6/10)+Skills!O6</f>
        <v/>
      </c>
      <c r="G1254">
        <f>Calc!G6</f>
        <v/>
      </c>
      <c r="H1254">
        <f>Calc!H6</f>
        <v/>
      </c>
      <c r="I1254">
        <f>IF(Skills!AA6&lt;&gt;"",1+(Skills!AA6/10)*(U1251/1000)/100,1)</f>
        <v/>
      </c>
      <c r="J1254" t="inlineStr"/>
      <c r="K1254" t="inlineStr"/>
      <c r="L1254" t="inlineStr"/>
      <c r="M1254" t="inlineStr"/>
      <c r="N1254" t="inlineStr"/>
      <c r="O1254">
        <f>(1-Summary!$B$11)*T1254+Summary!$B$11*V1254</f>
        <v/>
      </c>
      <c r="P1254">
        <f>IF(B1292=0,0,O1254/B1292)</f>
        <v/>
      </c>
      <c r="Q1254" t="n">
        <v>0</v>
      </c>
      <c r="R1254" t="n">
        <v>0</v>
      </c>
      <c r="S1254">
        <f>IFERROR(O1254/N1254,0)</f>
        <v/>
      </c>
      <c r="T1254" t="n">
        <v>0</v>
      </c>
      <c r="U1254">
        <f>290*U1253/1000</f>
        <v/>
      </c>
      <c r="V1254" t="n">
        <v>0</v>
      </c>
    </row>
    <row r="1255">
      <c r="A1255">
        <f>Skills!A7</f>
        <v/>
      </c>
      <c r="B1255">
        <f>Skills!B7</f>
        <v/>
      </c>
      <c r="C1255">
        <f>Inputs!$B$3&gt;=66</f>
        <v/>
      </c>
      <c r="D1255">
        <f>IF(Skills!C7=1,60+Inputs!$B$25+Inputs!$B$29,IF(Skills!C7=2,90+Inputs!$B$26+Inputs!$B$29,IF(Skills!C7=3,120+Inputs!$B$27+Inputs!$B$29,MAX(0,(Inputs!$B$3-100)*3)+Inputs!$B$28+Inputs!$B$29)))</f>
        <v/>
      </c>
      <c r="E1255">
        <f>INDEX(FactorTable!$B$2:$Y$301, MATCH(ROUND(MIN(300,MAX(1,D1255)),0), FactorTable!$A$2:$A$301,0), Skills!M7+1)</f>
        <v/>
      </c>
      <c r="F1255">
        <f>IF(Skills!N7=TRUE,(Skills!L7/10)*(E1255/1000),Skills!L7/10)+Skills!O7</f>
        <v/>
      </c>
      <c r="G1255">
        <f>Calc!G7</f>
        <v/>
      </c>
      <c r="H1255">
        <f>Calc!H7</f>
        <v/>
      </c>
      <c r="I1255">
        <f>IF(Skills!AA7&lt;&gt;"",1+(Skills!AA7/10)*(U1251/1000)/100,1)</f>
        <v/>
      </c>
      <c r="J1255" t="inlineStr"/>
      <c r="K1255" t="inlineStr"/>
      <c r="L1255" t="inlineStr"/>
      <c r="M1255" t="inlineStr"/>
      <c r="N1255" t="inlineStr"/>
      <c r="O1255">
        <f>(1-Summary!$B$11)*T1255+Summary!$B$11*V1255</f>
        <v/>
      </c>
      <c r="P1255">
        <f>IF(B1292=0,0,O1255/B1292)</f>
        <v/>
      </c>
      <c r="Q1255" t="n">
        <v>0</v>
      </c>
      <c r="R1255" t="n">
        <v>0</v>
      </c>
      <c r="S1255">
        <f>IFERROR(O1255/N1255,0)</f>
        <v/>
      </c>
      <c r="T1255" t="n">
        <v>0</v>
      </c>
      <c r="V1255" t="n">
        <v>0</v>
      </c>
    </row>
    <row r="1256">
      <c r="A1256">
        <f>Skills!A8</f>
        <v/>
      </c>
      <c r="B1256">
        <f>Skills!B8</f>
        <v/>
      </c>
      <c r="C1256">
        <f>Inputs!$B$3&gt;=69</f>
        <v/>
      </c>
      <c r="D1256">
        <f>IF(Skills!C8=1,60+Inputs!$B$25+Inputs!$B$29,IF(Skills!C8=2,90+Inputs!$B$26+Inputs!$B$29,IF(Skills!C8=3,120+Inputs!$B$27+Inputs!$B$29,MAX(0,(Inputs!$B$3-100)*3)+Inputs!$B$28+Inputs!$B$29)))</f>
        <v/>
      </c>
      <c r="E1256">
        <f>INDEX(FactorTable!$B$2:$Y$301, MATCH(ROUND(MIN(300,MAX(1,D1256)),0), FactorTable!$A$2:$A$301,0), Skills!M8+1)</f>
        <v/>
      </c>
      <c r="F1256">
        <f>IF(Skills!N8=TRUE,(Skills!L8/10)*(E1256/1000),Skills!L8/10)+Skills!O8</f>
        <v/>
      </c>
      <c r="G1256">
        <f>Calc!G8</f>
        <v/>
      </c>
      <c r="H1256">
        <f>Calc!H8</f>
        <v/>
      </c>
      <c r="I1256">
        <f>IF(Skills!AA8&lt;&gt;"",1+(Skills!AA8/10)*(U1251/1000)/100,1)</f>
        <v/>
      </c>
      <c r="J1256">
        <f>((Inputs!$B$6*(1+Inputs!$B$7/100))+(((Inputs!$B$12*(1+Inputs!$B$13/100))-(Inputs!$B$12*(1+Inputs!$B$13/100)))+0.25*(Inputs!$B$14-Inputs!$B$14))*(1+Inputs!$B$7/100))*(F1256/100)</f>
        <v/>
      </c>
      <c r="K1256">
        <f>J1256*(1+((Inputs!$B$12*(1+Inputs!$B$13/100))*0.01+Inputs!$B$14*0.0025)/100)*(1+Inputs!$B$15/100)*(1+Inputs!$B$16/100)*(5000/(6000+Inputs!$B$43*(1-(100*(1-(1-(Inputs!$B$19+0)/100)*(1-CHOOSE(ArtifactsInput!$N$40+1,5,6,7,8,9,10)/100)^(ArtifactsInput!$M$40-ArtifactsInput!$M$40)))/100)))*(1+(Inputs!$B$24+((C1278=TRUE)*(F1278-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1271=TRUE)*(F1271-Calc!F23))+(((IF(AND(ArtifactsInput!$M$42,((Inputs!$B$9+((C1273=TRUE)*(F1273-Calc!F25))+B1288+(ArtifactsInput!$M$24-ArtifactsInput!$M$24)*CHOOSE(ArtifactsInput!$N$24+1,10,12,14,16,18,20)+IF(ArtifactsInput!$M$10,CHOOSE(ArtifactsInput!$N$10+1,15,18,21,24,27,30)*(IF(Inputs!$B$39="pvp",MIN(15,15)/15,IF(AND(Inputs!$B$39&lt;&gt;"pvp",Inputs!$B$44&gt;0),MIN(15,Inputs!$B$44)/(Inputs!$B$44),0))),0)))&gt;=100),MIN(100,((Inputs!$B$9+((C1273=TRUE)*(F1273-Calc!F25))+B1288+(ArtifactsInput!$M$24-ArtifactsInput!$M$24)*CHOOSE(ArtifactsInput!$N$24+1,10,12,14,16,18,20)+IF(ArtifactsInput!$M$10,CHOOSE(ArtifactsInput!$N$10+1,15,18,21,24,27,30)*(IF(Inputs!$B$39="pvp",MIN(15,15)/15,IF(AND(Inputs!$B$39&lt;&gt;"pvp",Inputs!$B$44&gt;0),MIN(15,Inputs!$B$44)/(Inputs!$B$44),0))),0)))-100),0))*CHOOSE(ArtifactsInput!$N$42+1,0.6,0.72,0.84,0.96,1.08,1.2))),Inputs!$B$18+((C1277=TRUE)*(F1277-Calc!F29))+(IF(AND(ArtifactsInput!$M$42,((Inputs!$B$9+((C1273=TRUE)*(F1273-Calc!F25))+B1288+(ArtifactsInput!$M$24-ArtifactsInput!$M$24)*CHOOSE(ArtifactsInput!$N$24+1,10,12,14,16,18,20)+IF(ArtifactsInput!$M$10,CHOOSE(ArtifactsInput!$N$10+1,15,18,21,24,27,30)*(IF(Inputs!$B$39="pvp",MIN(15,15)/15,IF(AND(Inputs!$B$39&lt;&gt;"pvp",Inputs!$B$44&gt;0),MIN(15,Inputs!$B$44)/(Inputs!$B$44),0))),0)))&gt;=100),CHOOSE(ArtifactsInput!$N$42+1,40,48,56,64,72,80),0))))/100)*(((1+(((C1269=TRUE)*F1269*IF(AND(Inputs!$B$39&lt;&gt;"pvp",Inputs!$B$44&gt;0),(((R1269-1)*(Skills!Y21*(1+Inputs!$B$34/100))+MIN((Skills!Y21*(1+Inputs!$B$34/100)),MAX(0,Inputs!$B$44-((R1269-1)*Skills!D21))))/Inputs!$B$44),IF(Inputs!$B$39="pvp",MIN((Skills!Y21*(1+Inputs!$B$34/100)),15)/15,(Skills!Y21*(1+Inputs!$B$34/100))/Skills!D21)))+((C1276=TRUE)*(F1276-Calc!F28))+((C1266=TRUE)*(F1266-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1263=TRUE)*F1263*IF(AND(Inputs!$B$39&lt;&gt;"pvp",Inputs!$B$44&gt;0),(((R1263-1)*(Skills!Y15*(1+Inputs!$B$34/100))+MIN((Skills!Y15*(1+Inputs!$B$34/100)),MAX(0,Inputs!$B$44-((R1263-1)*Skills!D15))))/Inputs!$B$44),IF(Inputs!$B$39="pvp",MIN((Skills!Y15*(1+Inputs!$B$34/100)),15)/15,(Skills!Y15*(1+Inputs!$B$34/100))/Skills!D15)))/100)*(1+((C1254=TRUE)*F1254*B1282)/100))*B1290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1256)</f>
        <v/>
      </c>
      <c r="L1256">
        <f>K1256*(MIN(Inputs!$B$22+((C1272=TRUE)*(F1272-Calc!F24)),(Inputs!$B$23+0+(IF(ArtifactsInput!$M$15,CHOOSE(ArtifactsInput!$N$15+1,25,30,35,40,45,50)/100*(Inputs!$B$11-Inputs!$B$11),0))))/100+(Inputs!$B$23+0+(IF(ArtifactsInput!$M$15,CHOOSE(ArtifactsInput!$N$15+1,25,30,35,40,45,50)/100*(Inputs!$B$11-Inputs!$B$11),0)))/100)/2</f>
        <v/>
      </c>
      <c r="M1256">
        <f>L1256*(1+(Inputs!$B$10+((C1274=TRUE)*(F1274-Calc!F26))+B1291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56">
        <f>L1256*(1-MIN((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1256*(MIN((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6">
        <f>(1-Summary!$B$11)*T1256+Summary!$B$11*V1256</f>
        <v/>
      </c>
      <c r="P1256">
        <f>IF(B1292=0,0,O1256/B1292)</f>
        <v/>
      </c>
      <c r="Q1256">
        <f>IFERROR(1/IF(Inputs!$B$39="pvp",15,MAX(0.1,Skills!D8-IF(Skills!E8=TRUE,Inputs!$B$32,0))),0)</f>
        <v/>
      </c>
      <c r="R1256">
        <f>IF(AND(Inputs!$B$39&lt;&gt;"pvp",Inputs!$B$44&gt;0),IF(MAX(0,Inputs!$B$44-B1293)&lt;=0,0,(INT(MAX(0,Inputs!$B$44-B1293)/IF(Inputs!$B$39="pvp",15,MAX(0.1,Skills!D8-IF(Skills!E8=TRUE,Inputs!$B$32,0))))+1)),0)</f>
        <v/>
      </c>
      <c r="S1256">
        <f>IFERROR(O1256/N1256,0)</f>
        <v/>
      </c>
      <c r="T1256">
        <f>IF(C1256,(H1256*N1256*IF(AND(Inputs!$B$39&lt;&gt;"pvp",Inputs!$B$44&gt;0),((Skills!G8*((R1256-1)*IF(Skills!H8&gt;0,Skills!I8/Skills!H8,1)+IF(Skills!H8&gt;0,MIN(Skills!I8,MAX(0,MAX(0,Inputs!$B$44-B1293)-((R1256-1)*IF(Inputs!$B$39="pvp",15,MAX(0.1,Skills!D8-IF(Skills!E8=TRUE,Inputs!$B$32,0))))))/Skills!H8,1)))/Inputs!$B$44),G1256*Q1256))*IF(Inputs!$B$39="pvp",1,1+(Inputs!$B$20+((C1275=TRUE)*(F1275-Calc!F27))+Skills!P8+B1289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Hunt"),CHOOSE(ArtifactsInput!$N$35+1,15,18,21,24,27,30)*(1-EXP(-(0.2*B1284)*5)),0)+IF(AND(ArtifactsInput!$M$22,Inputs!$B$4&lt;&gt;"Chapter Hunt"),CHOOSE(ArtifactsInput!$N$22+1,10,12,14,16,18,20)*((0*(((0.15*B1284*5))^0/1)+1*(((0.15*B1284*5))^1/1)+2*(((0.15*B1284*5))^2/2)+3*(((0.15*B1284*5))^3/6)+4*(((0.15*B1284*5))^4/24)+5*(((0.15*B1284*5))^5/120))/((((0.15*B1284*5))^0/1)+(((0.15*B1284*5))^1/1)+(((0.15*B1284*5))^2/2)+(((0.15*B1284*5))^3/6)+(((0.15*B1284*5))^4/24)+(((0.15*B1284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1256*(1-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1256*(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1256*(1-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1256*(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56">
        <f>IF(C1256,(H1256*N1256*IF(AND(Inputs!$B$39&lt;&gt;"pvp",Inputs!$B$44&gt;0),((Skills!G8*((R1256-1)*IF(Skills!H8&gt;0,Skills!I8/Skills!H8,1)+IF(Skills!H8&gt;0,MIN(Skills!I8,MAX(0,MAX(0,Inputs!$B$44-B1293)-((R1256-1)*IF(Inputs!$B$39="pvp",15,MAX(0.1,Skills!D8-IF(Skills!E8=TRUE,Inputs!$B$32,0))))))/Skills!H8,1)))/Inputs!$B$44),G1256*Q1256))*IF(Inputs!$B$39="pvp",1,(1+(Inputs!$B$21+Skills!Q8+B1289+(IF(ArtifactsInput!$M$33,CHOOSE(ArtifactsInput!$N$33+1,30,36,42,48,54,60),0))+(IF(AND(ArtifactsInput!$M$35,Inputs!$B$4&lt;&gt;"Chapter Hunt"),CHOOSE(ArtifactsInput!$N$35+1,15,18,21,24,27,30)*(1-EXP(-(0.2*B1284)*5)),0)+IF(AND(ArtifactsInput!$M$22,Inputs!$B$4&lt;&gt;"Chapter Hunt"),CHOOSE(ArtifactsInput!$N$22+1,10,12,14,16,18,20)*((0*(((0.15*B1284*5))^0/1)+1*(((0.15*B1284*5))^1/1)+2*(((0.15*B1284*5))^2/2)+3*(((0.15*B1284*5))^3/6)+4*(((0.15*B1284*5))^4/24)+5*(((0.15*B1284*5))^5/120))/((((0.15*B1284*5))^0/1)+(((0.15*B1284*5))^1/1)+(((0.15*B1284*5))^2/2)+(((0.15*B1284*5))^3/6)+(((0.15*B1284*5))^4/24)+(((0.15*B1284*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7">
      <c r="A1257">
        <f>Skills!A9</f>
        <v/>
      </c>
      <c r="B1257">
        <f>Skills!B9</f>
        <v/>
      </c>
      <c r="C1257">
        <f>Inputs!$B$3&gt;=72</f>
        <v/>
      </c>
      <c r="D1257">
        <f>IF(Skills!C9=1,60+Inputs!$B$25+Inputs!$B$29,IF(Skills!C9=2,90+Inputs!$B$26+Inputs!$B$29,IF(Skills!C9=3,120+Inputs!$B$27+Inputs!$B$29,MAX(0,(Inputs!$B$3-100)*3)+Inputs!$B$28+Inputs!$B$29)))</f>
        <v/>
      </c>
      <c r="E1257">
        <f>INDEX(FactorTable!$B$2:$Y$301, MATCH(ROUND(MIN(300,MAX(1,D1257)),0), FactorTable!$A$2:$A$301,0), Skills!M9+1)</f>
        <v/>
      </c>
      <c r="F1257">
        <f>IF(Skills!N9=TRUE,(Skills!L9/10)*(E1257/1000),Skills!L9/10)+Skills!O9</f>
        <v/>
      </c>
      <c r="G1257">
        <f>Calc!G9</f>
        <v/>
      </c>
      <c r="H1257">
        <f>Calc!H9</f>
        <v/>
      </c>
      <c r="I1257">
        <f>IF(Skills!AA9&lt;&gt;"",1+(Skills!AA9/10)*(U1251/1000)/100,1)</f>
        <v/>
      </c>
      <c r="J1257">
        <f>((Inputs!$B$6*(1+Inputs!$B$7/100))+(((Inputs!$B$12*(1+Inputs!$B$13/100))-(Inputs!$B$12*(1+Inputs!$B$13/100)))+0.25*(Inputs!$B$14-Inputs!$B$14))*(1+Inputs!$B$7/100))*(F1257/100)</f>
        <v/>
      </c>
      <c r="K1257">
        <f>J1257*(1+((Inputs!$B$12*(1+Inputs!$B$13/100))*0.01+Inputs!$B$14*0.0025)/100)*(1+Inputs!$B$15/100)*(1+Inputs!$B$16/100)*(5000/(6000+Inputs!$B$43*(1-(100*(1-(1-(Inputs!$B$19+0)/100)*(1-CHOOSE(ArtifactsInput!$N$40+1,5,6,7,8,9,10)/100)^(ArtifactsInput!$M$40-ArtifactsInput!$M$40)))/100)))*(1+(Inputs!$B$24+((C1278=TRUE)*(F1278-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1271=TRUE)*(F1271-Calc!F23))+(((IF(AND(ArtifactsInput!$M$42,((Inputs!$B$9+((C1273=TRUE)*(F1273-Calc!F25))+B1288+(ArtifactsInput!$M$24-ArtifactsInput!$M$24)*CHOOSE(ArtifactsInput!$N$24+1,10,12,14,16,18,20)+IF(ArtifactsInput!$M$10,CHOOSE(ArtifactsInput!$N$10+1,15,18,21,24,27,30)*(IF(Inputs!$B$39="pvp",MIN(15,15)/15,IF(AND(Inputs!$B$39&lt;&gt;"pvp",Inputs!$B$44&gt;0),MIN(15,Inputs!$B$44)/(Inputs!$B$44),0))),0)))&gt;=100),MIN(100,((Inputs!$B$9+((C1273=TRUE)*(F1273-Calc!F25))+B1288+(ArtifactsInput!$M$24-ArtifactsInput!$M$24)*CHOOSE(ArtifactsInput!$N$24+1,10,12,14,16,18,20)+IF(ArtifactsInput!$M$10,CHOOSE(ArtifactsInput!$N$10+1,15,18,21,24,27,30)*(IF(Inputs!$B$39="pvp",MIN(15,15)/15,IF(AND(Inputs!$B$39&lt;&gt;"pvp",Inputs!$B$44&gt;0),MIN(15,Inputs!$B$44)/(Inputs!$B$44),0))),0)))-100),0))*CHOOSE(ArtifactsInput!$N$42+1,0.6,0.72,0.84,0.96,1.08,1.2))),Inputs!$B$18+((C1277=TRUE)*(F1277-Calc!F29))+(IF(AND(ArtifactsInput!$M$42,((Inputs!$B$9+((C1273=TRUE)*(F1273-Calc!F25))+B1288+(ArtifactsInput!$M$24-ArtifactsInput!$M$24)*CHOOSE(ArtifactsInput!$N$24+1,10,12,14,16,18,20)+IF(ArtifactsInput!$M$10,CHOOSE(ArtifactsInput!$N$10+1,15,18,21,24,27,30)*(IF(Inputs!$B$39="pvp",MIN(15,15)/15,IF(AND(Inputs!$B$39&lt;&gt;"pvp",Inputs!$B$44&gt;0),MIN(15,Inputs!$B$44)/(Inputs!$B$44),0))),0)))&gt;=100),CHOOSE(ArtifactsInput!$N$42+1,40,48,56,64,72,80),0))))/100)*(((1+(((C1269=TRUE)*F1269*IF(AND(Inputs!$B$39&lt;&gt;"pvp",Inputs!$B$44&gt;0),(((R1269-1)*(Skills!Y21*(1+Inputs!$B$34/100))+MIN((Skills!Y21*(1+Inputs!$B$34/100)),MAX(0,Inputs!$B$44-((R1269-1)*Skills!D21))))/Inputs!$B$44),IF(Inputs!$B$39="pvp",MIN((Skills!Y21*(1+Inputs!$B$34/100)),15)/15,(Skills!Y21*(1+Inputs!$B$34/100))/Skills!D21)))+((C1276=TRUE)*(F1276-Calc!F28))+((C1266=TRUE)*(F1266-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1263=TRUE)*F1263*IF(AND(Inputs!$B$39&lt;&gt;"pvp",Inputs!$B$44&gt;0),(((R1263-1)*(Skills!Y15*(1+Inputs!$B$34/100))+MIN((Skills!Y15*(1+Inputs!$B$34/100)),MAX(0,Inputs!$B$44-((R1263-1)*Skills!D15))))/Inputs!$B$44),IF(Inputs!$B$39="pvp",MIN((Skills!Y15*(1+Inputs!$B$34/100)),15)/15,(Skills!Y15*(1+Inputs!$B$34/100))/Skills!D15)))/100)*(1+((C1254=TRUE)*F1254*B1282)/100))*B1290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1257)</f>
        <v/>
      </c>
      <c r="L1257">
        <f>K1257*(MIN(Inputs!$B$22+((C1272=TRUE)*(F1272-Calc!F24)),(Inputs!$B$23+0+(IF(ArtifactsInput!$M$15,CHOOSE(ArtifactsInput!$N$15+1,25,30,35,40,45,50)/100*(Inputs!$B$11-Inputs!$B$11),0))))/100+(Inputs!$B$23+0+(IF(ArtifactsInput!$M$15,CHOOSE(ArtifactsInput!$N$15+1,25,30,35,40,45,50)/100*(Inputs!$B$11-Inputs!$B$11),0)))/100)/2</f>
        <v/>
      </c>
      <c r="M1257">
        <f>L1257*(1+(Inputs!$B$10+((C1274=TRUE)*(F1274-Calc!F26))+B1291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57">
        <f>L1257*(1-MIN((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1257*(MIN((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7">
        <f>(1-Summary!$B$11)*T1257+Summary!$B$11*V1257</f>
        <v/>
      </c>
      <c r="P1257">
        <f>IF(B1292=0,0,O1257/B1292)</f>
        <v/>
      </c>
      <c r="Q1257">
        <f>IFERROR(1/IF(Inputs!$B$39="pvp",15,MAX(0.1,Skills!D9-IF(Skills!E9=TRUE,Inputs!$B$32,0))),0)</f>
        <v/>
      </c>
      <c r="R1257">
        <f>IF(AND(Inputs!$B$39&lt;&gt;"pvp",Inputs!$B$44&gt;0),IF(MAX(0,Inputs!$B$44-B1293)&lt;=0,0,(INT(MAX(0,Inputs!$B$44-B1293)/IF(Inputs!$B$39="pvp",15,MAX(0.1,Skills!D9-IF(Skills!E9=TRUE,Inputs!$B$32,0))))+1)),0)</f>
        <v/>
      </c>
      <c r="S1257">
        <f>IFERROR(O1257/N1257,0)</f>
        <v/>
      </c>
      <c r="T1257">
        <f>IF(C1257,(H1257*N1257*IF(AND(Inputs!$B$39&lt;&gt;"pvp",Inputs!$B$44&gt;0),((Skills!G9*((R1257-1)*IF(Skills!H9&gt;0,Skills!I9/Skills!H9,1)+IF(Skills!H9&gt;0,MIN(Skills!I9,MAX(0,MAX(0,Inputs!$B$44-B1293)-((R1257-1)*IF(Inputs!$B$39="pvp",15,MAX(0.1,Skills!D9-IF(Skills!E9=TRUE,Inputs!$B$32,0))))))/Skills!H9,1)))/Inputs!$B$44),G1257*Q1257))*IF(Inputs!$B$39="pvp",1,1+(Inputs!$B$20+((C1275=TRUE)*(F1275-Calc!F27))+Skills!P9+B1289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Hunt"),CHOOSE(ArtifactsInput!$N$35+1,15,18,21,24,27,30)*(1-EXP(-(0.2*B1284)*5)),0)+IF(AND(ArtifactsInput!$M$22,Inputs!$B$4&lt;&gt;"Chapter Hunt"),CHOOSE(ArtifactsInput!$N$22+1,10,12,14,16,18,20)*((0*(((0.15*B1284*5))^0/1)+1*(((0.15*B1284*5))^1/1)+2*(((0.15*B1284*5))^2/2)+3*(((0.15*B1284*5))^3/6)+4*(((0.15*B1284*5))^4/24)+5*(((0.15*B1284*5))^5/120))/((((0.15*B1284*5))^0/1)+(((0.15*B1284*5))^1/1)+(((0.15*B1284*5))^2/2)+(((0.15*B1284*5))^3/6)+(((0.15*B1284*5))^4/24)+(((0.15*B1284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1257*(1-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1257*(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1257*(1-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1257*(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57">
        <f>IF(C1257,(H1257*N1257*IF(AND(Inputs!$B$39&lt;&gt;"pvp",Inputs!$B$44&gt;0),((Skills!G9*((R1257-1)*IF(Skills!H9&gt;0,Skills!I9/Skills!H9,1)+IF(Skills!H9&gt;0,MIN(Skills!I9,MAX(0,MAX(0,Inputs!$B$44-B1293)-((R1257-1)*IF(Inputs!$B$39="pvp",15,MAX(0.1,Skills!D9-IF(Skills!E9=TRUE,Inputs!$B$32,0))))))/Skills!H9,1)))/Inputs!$B$44),G1257*Q1257))*IF(Inputs!$B$39="pvp",1,(1+(Inputs!$B$21+Skills!Q9+B1289+(IF(ArtifactsInput!$M$33,CHOOSE(ArtifactsInput!$N$33+1,30,36,42,48,54,60),0))+(IF(AND(ArtifactsInput!$M$35,Inputs!$B$4&lt;&gt;"Chapter Hunt"),CHOOSE(ArtifactsInput!$N$35+1,15,18,21,24,27,30)*(1-EXP(-(0.2*B1284)*5)),0)+IF(AND(ArtifactsInput!$M$22,Inputs!$B$4&lt;&gt;"Chapter Hunt"),CHOOSE(ArtifactsInput!$N$22+1,10,12,14,16,18,20)*((0*(((0.15*B1284*5))^0/1)+1*(((0.15*B1284*5))^1/1)+2*(((0.15*B1284*5))^2/2)+3*(((0.15*B1284*5))^3/6)+4*(((0.15*B1284*5))^4/24)+5*(((0.15*B1284*5))^5/120))/((((0.15*B1284*5))^0/1)+(((0.15*B1284*5))^1/1)+(((0.15*B1284*5))^2/2)+(((0.15*B1284*5))^3/6)+(((0.15*B1284*5))^4/24)+(((0.15*B1284*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8">
      <c r="A1258">
        <f>Skills!A10</f>
        <v/>
      </c>
      <c r="B1258">
        <f>Skills!B10</f>
        <v/>
      </c>
      <c r="C1258">
        <f>Inputs!$B$3&gt;=117</f>
        <v/>
      </c>
      <c r="D1258">
        <f>IF(Skills!C10=1,60+Inputs!$B$25+Inputs!$B$29,IF(Skills!C10=2,90+Inputs!$B$26+Inputs!$B$29,IF(Skills!C10=3,120+Inputs!$B$27+Inputs!$B$29,MAX(0,(Inputs!$B$3-100)*3)+Inputs!$B$28+Inputs!$B$29)))</f>
        <v/>
      </c>
      <c r="E1258">
        <f>INDEX(FactorTable!$B$2:$Y$301, MATCH(ROUND(MIN(300,MAX(1,D1258)),0), FactorTable!$A$2:$A$301,0), Skills!M10+1)</f>
        <v/>
      </c>
      <c r="F1258">
        <f>IF(Skills!N10=TRUE,(Skills!L10/10)*(E1258/1000),Skills!L10/10)+Skills!O10</f>
        <v/>
      </c>
      <c r="G1258">
        <f>Calc!G10</f>
        <v/>
      </c>
      <c r="H1258">
        <f>Calc!H10</f>
        <v/>
      </c>
      <c r="I1258">
        <f>IF(Skills!AA10&lt;&gt;"",1+(Skills!AA10/10)*(U1251/1000)/100,1)</f>
        <v/>
      </c>
      <c r="J1258">
        <f>((Inputs!$B$6*(1+Inputs!$B$7/100))+(((Inputs!$B$12*(1+Inputs!$B$13/100))-(Inputs!$B$12*(1+Inputs!$B$13/100)))+0.25*(Inputs!$B$14-Inputs!$B$14))*(1+Inputs!$B$7/100))*(F1258/100)</f>
        <v/>
      </c>
      <c r="K1258">
        <f>J1258*(1+((Inputs!$B$12*(1+Inputs!$B$13/100))*0.01+Inputs!$B$14*0.0025)/100)*(1+Inputs!$B$15/100)*(1+Inputs!$B$16/100)*(5000/(6000+Inputs!$B$43*(1-(100*(1-(1-(Inputs!$B$19+0)/100)*(1-CHOOSE(ArtifactsInput!$N$40+1,5,6,7,8,9,10)/100)^(ArtifactsInput!$M$40-ArtifactsInput!$M$40)))/100)))*(1+(Inputs!$B$24+((C1278=TRUE)*(F1278-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1271=TRUE)*(F1271-Calc!F23))+(((IF(AND(ArtifactsInput!$M$42,((Inputs!$B$9+((C1273=TRUE)*(F1273-Calc!F25))+B1288+(ArtifactsInput!$M$24-ArtifactsInput!$M$24)*CHOOSE(ArtifactsInput!$N$24+1,10,12,14,16,18,20)+IF(ArtifactsInput!$M$10,CHOOSE(ArtifactsInput!$N$10+1,15,18,21,24,27,30)*(IF(Inputs!$B$39="pvp",MIN(15,15)/15,IF(AND(Inputs!$B$39&lt;&gt;"pvp",Inputs!$B$44&gt;0),MIN(15,Inputs!$B$44)/(Inputs!$B$44),0))),0)))&gt;=100),MIN(100,((Inputs!$B$9+((C1273=TRUE)*(F1273-Calc!F25))+B1288+(ArtifactsInput!$M$24-ArtifactsInput!$M$24)*CHOOSE(ArtifactsInput!$N$24+1,10,12,14,16,18,20)+IF(ArtifactsInput!$M$10,CHOOSE(ArtifactsInput!$N$10+1,15,18,21,24,27,30)*(IF(Inputs!$B$39="pvp",MIN(15,15)/15,IF(AND(Inputs!$B$39&lt;&gt;"pvp",Inputs!$B$44&gt;0),MIN(15,Inputs!$B$44)/(Inputs!$B$44),0))),0)))-100),0))*CHOOSE(ArtifactsInput!$N$42+1,0.6,0.72,0.84,0.96,1.08,1.2))),Inputs!$B$18+((C1277=TRUE)*(F1277-Calc!F29))+(IF(AND(ArtifactsInput!$M$42,((Inputs!$B$9+((C1273=TRUE)*(F1273-Calc!F25))+B1288+(ArtifactsInput!$M$24-ArtifactsInput!$M$24)*CHOOSE(ArtifactsInput!$N$24+1,10,12,14,16,18,20)+IF(ArtifactsInput!$M$10,CHOOSE(ArtifactsInput!$N$10+1,15,18,21,24,27,30)*(IF(Inputs!$B$39="pvp",MIN(15,15)/15,IF(AND(Inputs!$B$39&lt;&gt;"pvp",Inputs!$B$44&gt;0),MIN(15,Inputs!$B$44)/(Inputs!$B$44),0))),0)))&gt;=100),CHOOSE(ArtifactsInput!$N$42+1,40,48,56,64,72,80),0))))/100)*(((1+(((C1269=TRUE)*F1269*IF(AND(Inputs!$B$39&lt;&gt;"pvp",Inputs!$B$44&gt;0),(((R1269-1)*(Skills!Y21*(1+Inputs!$B$34/100))+MIN((Skills!Y21*(1+Inputs!$B$34/100)),MAX(0,Inputs!$B$44-((R1269-1)*Skills!D21))))/Inputs!$B$44),IF(Inputs!$B$39="pvp",MIN((Skills!Y21*(1+Inputs!$B$34/100)),15)/15,(Skills!Y21*(1+Inputs!$B$34/100))/Skills!D21)))+((C1276=TRUE)*(F1276-Calc!F28))+((C1266=TRUE)*(F1266-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1263=TRUE)*F1263*IF(AND(Inputs!$B$39&lt;&gt;"pvp",Inputs!$B$44&gt;0),(((R1263-1)*(Skills!Y15*(1+Inputs!$B$34/100))+MIN((Skills!Y15*(1+Inputs!$B$34/100)),MAX(0,Inputs!$B$44-((R1263-1)*Skills!D15))))/Inputs!$B$44),IF(Inputs!$B$39="pvp",MIN((Skills!Y15*(1+Inputs!$B$34/100)),15)/15,(Skills!Y15*(1+Inputs!$B$34/100))/Skills!D15)))/100)*(1+((C1254=TRUE)*F1254*B1282)/100))*B1290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1258)</f>
        <v/>
      </c>
      <c r="L1258">
        <f>K1258*(MIN(Inputs!$B$22+((C1272=TRUE)*(F1272-Calc!F24)),(Inputs!$B$23+0+(IF(ArtifactsInput!$M$15,CHOOSE(ArtifactsInput!$N$15+1,25,30,35,40,45,50)/100*(Inputs!$B$11-Inputs!$B$11),0))))/100+(Inputs!$B$23+0+(IF(ArtifactsInput!$M$15,CHOOSE(ArtifactsInput!$N$15+1,25,30,35,40,45,50)/100*(Inputs!$B$11-Inputs!$B$11),0)))/100)/2</f>
        <v/>
      </c>
      <c r="M1258">
        <f>L1258*(1+(Inputs!$B$10+((C1274=TRUE)*(F1274-Calc!F26))+B1291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58">
        <f>L1258*(1-MIN((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1258*(MIN((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8">
        <f>(1-Summary!$B$11)*T1258+Summary!$B$11*V1258</f>
        <v/>
      </c>
      <c r="P1258">
        <f>IF(B1292=0,0,O1258/B1292)</f>
        <v/>
      </c>
      <c r="Q1258" t="n">
        <v>0</v>
      </c>
      <c r="R1258" t="n">
        <v>0</v>
      </c>
      <c r="S1258" t="n">
        <v>0</v>
      </c>
      <c r="T1258">
        <f>IF(C1258,(0.2*SUMPRODUCT((Skills!Z2:Z31=TRUE)*(C1250:C1279=TRUE)*S1250:S1279)*N1258)*IF(Inputs!$B$39="pvp",1,1+(Inputs!$B$20+((C1275=TRUE)*(F1275-Calc!F27))+Skills!P10+B1289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Hunt"),CHOOSE(ArtifactsInput!$N$35+1,15,18,21,24,27,30)*(1-EXP(-(0.2*B1284)*5)),0)+IF(AND(ArtifactsInput!$M$22,Inputs!$B$4&lt;&gt;"Chapter Hunt"),CHOOSE(ArtifactsInput!$N$22+1,10,12,14,16,18,20)*((0*(((0.15*B1284*5))^0/1)+1*(((0.15*B1284*5))^1/1)+2*(((0.15*B1284*5))^2/2)+3*(((0.15*B1284*5))^3/6)+4*(((0.15*B1284*5))^4/24)+5*(((0.15*B1284*5))^5/120))/((((0.15*B1284*5))^0/1)+(((0.15*B1284*5))^1/1)+(((0.15*B1284*5))^2/2)+(((0.15*B1284*5))^3/6)+(((0.15*B1284*5))^4/24)+(((0.15*B1284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1258*(1-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1258*(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1258*(1-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1258*(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58">
        <f>IF(C1258,(0.2*SUMPRODUCT((Skills!Z2:Z31=TRUE)*(C1250:C1279=TRUE)*S1250:S1279)*N1258)*IF(Inputs!$B$39="pvp",1,(1+(Inputs!$B$21+Skills!Q10+B1289+(IF(ArtifactsInput!$M$33,CHOOSE(ArtifactsInput!$N$33+1,30,36,42,48,54,60),0))+(IF(AND(ArtifactsInput!$M$35,Inputs!$B$4&lt;&gt;"Chapter Hunt"),CHOOSE(ArtifactsInput!$N$35+1,15,18,21,24,27,30)*(1-EXP(-(0.2*B1284)*5)),0)+IF(AND(ArtifactsInput!$M$22,Inputs!$B$4&lt;&gt;"Chapter Hunt"),CHOOSE(ArtifactsInput!$N$22+1,10,12,14,16,18,20)*((0*(((0.15*B1284*5))^0/1)+1*(((0.15*B1284*5))^1/1)+2*(((0.15*B1284*5))^2/2)+3*(((0.15*B1284*5))^3/6)+4*(((0.15*B1284*5))^4/24)+5*(((0.15*B1284*5))^5/120))/((((0.15*B1284*5))^0/1)+(((0.15*B1284*5))^1/1)+(((0.15*B1284*5))^2/2)+(((0.15*B1284*5))^3/6)+(((0.15*B1284*5))^4/24)+(((0.15*B1284*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9">
      <c r="A1259">
        <f>Skills!A11</f>
        <v/>
      </c>
      <c r="B1259">
        <f>Skills!B11</f>
        <v/>
      </c>
      <c r="C1259">
        <f>Inputs!$B$3&gt;=60</f>
        <v/>
      </c>
      <c r="D1259">
        <f>IF(Skills!C11=1,60+Inputs!$B$25+Inputs!$B$29,IF(Skills!C11=2,90+Inputs!$B$26+Inputs!$B$29,IF(Skills!C11=3,120+Inputs!$B$27+Inputs!$B$29,MAX(0,(Inputs!$B$3-100)*3)+Inputs!$B$28+Inputs!$B$29)))</f>
        <v/>
      </c>
      <c r="E1259">
        <f>INDEX(FactorTable!$B$2:$Y$301, MATCH(ROUND(MIN(300,MAX(1,D1259)),0), FactorTable!$A$2:$A$301,0), Skills!M11+1)</f>
        <v/>
      </c>
      <c r="F1259">
        <f>IF(Skills!N11=TRUE,(Skills!L11/10)*(E1259/1000),Skills!L11/10)+Skills!O11</f>
        <v/>
      </c>
      <c r="G1259">
        <f>Calc!G11</f>
        <v/>
      </c>
      <c r="H1259">
        <f>Calc!H11</f>
        <v/>
      </c>
      <c r="I1259">
        <f>IF(Skills!AA11&lt;&gt;"",1+(Skills!AA11/10)*(U1251/1000)/100,1)</f>
        <v/>
      </c>
      <c r="J1259" t="inlineStr"/>
      <c r="K1259" t="inlineStr"/>
      <c r="L1259" t="inlineStr"/>
      <c r="M1259" t="inlineStr"/>
      <c r="N1259" t="inlineStr"/>
      <c r="O1259">
        <f>(1-Summary!$B$11)*T1259+Summary!$B$11*V1259</f>
        <v/>
      </c>
      <c r="P1259">
        <f>IF(B1292=0,0,O1259/B1292)</f>
        <v/>
      </c>
      <c r="Q1259" t="n">
        <v>0</v>
      </c>
      <c r="R1259" t="n">
        <v>0</v>
      </c>
      <c r="S1259">
        <f>IFERROR(O1259/N1259,0)</f>
        <v/>
      </c>
      <c r="T1259" t="n">
        <v>0</v>
      </c>
      <c r="V1259" t="n">
        <v>0</v>
      </c>
    </row>
    <row r="1260">
      <c r="A1260">
        <f>Skills!A12</f>
        <v/>
      </c>
      <c r="B1260">
        <f>Skills!B12</f>
        <v/>
      </c>
      <c r="C1260">
        <f>Inputs!$B$3&gt;=103</f>
        <v/>
      </c>
      <c r="D1260">
        <f>IF(Skills!C12=1,60+Inputs!$B$25+Inputs!$B$29,IF(Skills!C12=2,90+Inputs!$B$26+Inputs!$B$29,IF(Skills!C12=3,120+Inputs!$B$27+Inputs!$B$29,MAX(0,(Inputs!$B$3-100)*3)+Inputs!$B$28+Inputs!$B$29)))</f>
        <v/>
      </c>
      <c r="E1260">
        <f>INDEX(FactorTable!$B$2:$Y$301, MATCH(ROUND(MIN(300,MAX(1,D1260)),0), FactorTable!$A$2:$A$301,0), Skills!M12+1)</f>
        <v/>
      </c>
      <c r="F1260">
        <f>IF(Skills!N12=TRUE,(Skills!L12/10)*(E1260/1000),Skills!L12/10)+Skills!O12</f>
        <v/>
      </c>
      <c r="G1260">
        <f>Calc!G12</f>
        <v/>
      </c>
      <c r="H1260">
        <f>Calc!H12</f>
        <v/>
      </c>
      <c r="I1260">
        <f>IF(Skills!AA12&lt;&gt;"",1+(Skills!AA12/10)*(U1251/1000)/100,1)</f>
        <v/>
      </c>
      <c r="J1260">
        <f>((Inputs!$B$6*(1+Inputs!$B$7/100))+(((Inputs!$B$12*(1+Inputs!$B$13/100))-(Inputs!$B$12*(1+Inputs!$B$13/100)))+0.25*(Inputs!$B$14-Inputs!$B$14))*(1+Inputs!$B$7/100))*(F1260/100)</f>
        <v/>
      </c>
      <c r="K1260">
        <f>J1260*(1+((Inputs!$B$12*(1+Inputs!$B$13/100))*0.01+Inputs!$B$14*0.0025)/100)*(1+Inputs!$B$15/100)*(1+Inputs!$B$16/100)*(5000/(6000+Inputs!$B$43*(1-(100*(1-(1-(Inputs!$B$19+0)/100)*(1-CHOOSE(ArtifactsInput!$N$40+1,5,6,7,8,9,10)/100)^(ArtifactsInput!$M$40-ArtifactsInput!$M$40)))/100)))*(1+(Inputs!$B$24+((C1278=TRUE)*(F1278-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1271=TRUE)*(F1271-Calc!F23))+(((IF(AND(ArtifactsInput!$M$42,((Inputs!$B$9+((C1273=TRUE)*(F1273-Calc!F25))+B1288+(ArtifactsInput!$M$24-ArtifactsInput!$M$24)*CHOOSE(ArtifactsInput!$N$24+1,10,12,14,16,18,20)+IF(ArtifactsInput!$M$10,CHOOSE(ArtifactsInput!$N$10+1,15,18,21,24,27,30)*(IF(Inputs!$B$39="pvp",MIN(15,15)/15,IF(AND(Inputs!$B$39&lt;&gt;"pvp",Inputs!$B$44&gt;0),MIN(15,Inputs!$B$44)/(Inputs!$B$44),0))),0)))&gt;=100),MIN(100,((Inputs!$B$9+((C1273=TRUE)*(F1273-Calc!F25))+B1288+(ArtifactsInput!$M$24-ArtifactsInput!$M$24)*CHOOSE(ArtifactsInput!$N$24+1,10,12,14,16,18,20)+IF(ArtifactsInput!$M$10,CHOOSE(ArtifactsInput!$N$10+1,15,18,21,24,27,30)*(IF(Inputs!$B$39="pvp",MIN(15,15)/15,IF(AND(Inputs!$B$39&lt;&gt;"pvp",Inputs!$B$44&gt;0),MIN(15,Inputs!$B$44)/(Inputs!$B$44),0))),0)))-100),0))*CHOOSE(ArtifactsInput!$N$42+1,0.6,0.72,0.84,0.96,1.08,1.2))),Inputs!$B$18+((C1277=TRUE)*(F1277-Calc!F29))+(IF(AND(ArtifactsInput!$M$42,((Inputs!$B$9+((C1273=TRUE)*(F1273-Calc!F25))+B1288+(ArtifactsInput!$M$24-ArtifactsInput!$M$24)*CHOOSE(ArtifactsInput!$N$24+1,10,12,14,16,18,20)+IF(ArtifactsInput!$M$10,CHOOSE(ArtifactsInput!$N$10+1,15,18,21,24,27,30)*(IF(Inputs!$B$39="pvp",MIN(15,15)/15,IF(AND(Inputs!$B$39&lt;&gt;"pvp",Inputs!$B$44&gt;0),MIN(15,Inputs!$B$44)/(Inputs!$B$44),0))),0)))&gt;=100),CHOOSE(ArtifactsInput!$N$42+1,40,48,56,64,72,80),0))))/100)*(((1+(((C1269=TRUE)*F1269*IF(AND(Inputs!$B$39&lt;&gt;"pvp",Inputs!$B$44&gt;0),(((R1269-1)*(Skills!Y21*(1+Inputs!$B$34/100))+MIN((Skills!Y21*(1+Inputs!$B$34/100)),MAX(0,Inputs!$B$44-((R1269-1)*Skills!D21))))/Inputs!$B$44),IF(Inputs!$B$39="pvp",MIN((Skills!Y21*(1+Inputs!$B$34/100)),15)/15,(Skills!Y21*(1+Inputs!$B$34/100))/Skills!D21)))+((C1276=TRUE)*(F1276-Calc!F28))+((C1266=TRUE)*(F1266-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1263=TRUE)*F1263*IF(AND(Inputs!$B$39&lt;&gt;"pvp",Inputs!$B$44&gt;0),(((R1263-1)*(Skills!Y15*(1+Inputs!$B$34/100))+MIN((Skills!Y15*(1+Inputs!$B$34/100)),MAX(0,Inputs!$B$44-((R1263-1)*Skills!D15))))/Inputs!$B$44),IF(Inputs!$B$39="pvp",MIN((Skills!Y15*(1+Inputs!$B$34/100)),15)/15,(Skills!Y15*(1+Inputs!$B$34/100))/Skills!D15)))/100)*(1+((C1254=TRUE)*F1254*B1282)/100))*B1290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1260)</f>
        <v/>
      </c>
      <c r="L1260">
        <f>K1260*(MIN(Inputs!$B$22+((C1272=TRUE)*(F1272-Calc!F24)),(Inputs!$B$23+0+(IF(ArtifactsInput!$M$15,CHOOSE(ArtifactsInput!$N$15+1,25,30,35,40,45,50)/100*(Inputs!$B$11-Inputs!$B$11),0))))/100+(Inputs!$B$23+0+(IF(ArtifactsInput!$M$15,CHOOSE(ArtifactsInput!$N$15+1,25,30,35,40,45,50)/100*(Inputs!$B$11-Inputs!$B$11),0)))/100)/2</f>
        <v/>
      </c>
      <c r="M1260">
        <f>L1260*(1+(Inputs!$B$10+((C1274=TRUE)*(F1274-Calc!F26))+B1291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60">
        <f>L1260*(1-MIN((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1260*(MIN((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60">
        <f>(1-Summary!$B$11)*T1260+Summary!$B$11*V1260</f>
        <v/>
      </c>
      <c r="P1260">
        <f>IF(B1292=0,0,O1260/B1292)</f>
        <v/>
      </c>
      <c r="Q1260">
        <f>IFERROR(1/IF(Inputs!$B$39="pvp",15,MAX(0.1,Skills!D12-IF(Skills!E12=TRUE,Inputs!$B$32,0))),0)</f>
        <v/>
      </c>
      <c r="R1260">
        <f>IF(AND(Inputs!$B$39&lt;&gt;"pvp",Inputs!$B$44&gt;0),IF(MAX(0,Inputs!$B$44-B1293)&lt;=0,0,(INT(MAX(0,Inputs!$B$44-B1293)/IF(Inputs!$B$39="pvp",15,MAX(0.1,Skills!D12-IF(Skills!E12=TRUE,Inputs!$B$32,0))))+1)),0)</f>
        <v/>
      </c>
      <c r="S1260">
        <f>IFERROR(O1260/N1260,0)</f>
        <v/>
      </c>
      <c r="T1260">
        <f>IF(C1260,(H1260*N1260*IF(AND(Inputs!$B$39&lt;&gt;"pvp",Inputs!$B$44&gt;0),((Skills!G12*((R1260-1)*IF(Skills!H12&gt;0,Skills!I12/Skills!H12,1)+IF(Skills!H12&gt;0,MIN(Skills!I12,MAX(0,MAX(0,Inputs!$B$44-B1293)-((R1260-1)*IF(Inputs!$B$39="pvp",15,MAX(0.1,Skills!D12-IF(Skills!E12=TRUE,Inputs!$B$32,0))))))/Skills!H12,1)))/Inputs!$B$44),G1260*Q1260))*IF(Inputs!$B$39="pvp",1,1+(Inputs!$B$20+((C1275=TRUE)*(F1275-Calc!F27))+Skills!P12+B1289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Hunt"),CHOOSE(ArtifactsInput!$N$35+1,15,18,21,24,27,30)*(1-EXP(-(0.2*B1284)*5)),0)+IF(AND(ArtifactsInput!$M$22,Inputs!$B$4&lt;&gt;"Chapter Hunt"),CHOOSE(ArtifactsInput!$N$22+1,10,12,14,16,18,20)*((0*(((0.15*B1284*5))^0/1)+1*(((0.15*B1284*5))^1/1)+2*(((0.15*B1284*5))^2/2)+3*(((0.15*B1284*5))^3/6)+4*(((0.15*B1284*5))^4/24)+5*(((0.15*B1284*5))^5/120))/((((0.15*B1284*5))^0/1)+(((0.15*B1284*5))^1/1)+(((0.15*B1284*5))^2/2)+(((0.15*B1284*5))^3/6)+(((0.15*B1284*5))^4/24)+(((0.15*B1284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1260*(1-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1260*(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1260*(1-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1260*(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60">
        <f>IF(C1260,(H1260*N1260*IF(AND(Inputs!$B$39&lt;&gt;"pvp",Inputs!$B$44&gt;0),((Skills!G12*((R1260-1)*IF(Skills!H12&gt;0,Skills!I12/Skills!H12,1)+IF(Skills!H12&gt;0,MIN(Skills!I12,MAX(0,MAX(0,Inputs!$B$44-B1293)-((R1260-1)*IF(Inputs!$B$39="pvp",15,MAX(0.1,Skills!D12-IF(Skills!E12=TRUE,Inputs!$B$32,0))))))/Skills!H12,1)))/Inputs!$B$44),G1260*Q1260))*IF(Inputs!$B$39="pvp",1,(1+(Inputs!$B$21+Skills!Q12+B1289+(IF(ArtifactsInput!$M$33,CHOOSE(ArtifactsInput!$N$33+1,30,36,42,48,54,60),0))+(IF(AND(ArtifactsInput!$M$35,Inputs!$B$4&lt;&gt;"Chapter Hunt"),CHOOSE(ArtifactsInput!$N$35+1,15,18,21,24,27,30)*(1-EXP(-(0.2*B1284)*5)),0)+IF(AND(ArtifactsInput!$M$22,Inputs!$B$4&lt;&gt;"Chapter Hunt"),CHOOSE(ArtifactsInput!$N$22+1,10,12,14,16,18,20)*((0*(((0.15*B1284*5))^0/1)+1*(((0.15*B1284*5))^1/1)+2*(((0.15*B1284*5))^2/2)+3*(((0.15*B1284*5))^3/6)+4*(((0.15*B1284*5))^4/24)+5*(((0.15*B1284*5))^5/120))/((((0.15*B1284*5))^0/1)+(((0.15*B1284*5))^1/1)+(((0.15*B1284*5))^2/2)+(((0.15*B1284*5))^3/6)+(((0.15*B1284*5))^4/24)+(((0.15*B1284*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61">
      <c r="A1261">
        <f>Skills!A13</f>
        <v/>
      </c>
      <c r="B1261">
        <f>Skills!B13</f>
        <v/>
      </c>
      <c r="C1261">
        <f>Inputs!$B$3&gt;=105</f>
        <v/>
      </c>
      <c r="D1261">
        <f>IF(Skills!C13=1,60+Inputs!$B$25+Inputs!$B$29,IF(Skills!C13=2,90+Inputs!$B$26+Inputs!$B$29,IF(Skills!C13=3,120+Inputs!$B$27+Inputs!$B$29,MAX(0,(Inputs!$B$3-100)*3)+Inputs!$B$28+Inputs!$B$29)))</f>
        <v/>
      </c>
      <c r="E1261">
        <f>INDEX(FactorTable!$B$2:$Y$301, MATCH(ROUND(MIN(300,MAX(1,D1261)),0), FactorTable!$A$2:$A$301,0), Skills!M13+1)</f>
        <v/>
      </c>
      <c r="F1261">
        <f>IF(Skills!N13=TRUE,(Skills!L13/10)*(E1261/1000),Skills!L13/10)+Skills!O13</f>
        <v/>
      </c>
      <c r="G1261">
        <f>Calc!G13</f>
        <v/>
      </c>
      <c r="H1261">
        <f>Calc!H13</f>
        <v/>
      </c>
      <c r="I1261">
        <f>IF(Skills!AA13&lt;&gt;"",1+(Skills!AA13/10)*(U1251/1000)/100,1)</f>
        <v/>
      </c>
      <c r="J1261">
        <f>((Inputs!$B$6*(1+Inputs!$B$7/100))+(((Inputs!$B$12*(1+Inputs!$B$13/100))-(Inputs!$B$12*(1+Inputs!$B$13/100)))+0.25*(Inputs!$B$14-Inputs!$B$14))*(1+Inputs!$B$7/100))*(F1261/100)</f>
        <v/>
      </c>
      <c r="K1261">
        <f>J1261*(1+((Inputs!$B$12*(1+Inputs!$B$13/100))*0.01+Inputs!$B$14*0.0025)/100)*(1+Inputs!$B$15/100)*(1+Inputs!$B$16/100)*(5000/(6000+Inputs!$B$43*(1-(100*(1-(1-(Inputs!$B$19+0)/100)*(1-CHOOSE(ArtifactsInput!$N$40+1,5,6,7,8,9,10)/100)^(ArtifactsInput!$M$40-ArtifactsInput!$M$40)))/100)))*(1+(Inputs!$B$24+((C1278=TRUE)*(F1278-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1271=TRUE)*(F1271-Calc!F23))+(((IF(AND(ArtifactsInput!$M$42,((Inputs!$B$9+((C1273=TRUE)*(F1273-Calc!F25))+B1288+(ArtifactsInput!$M$24-ArtifactsInput!$M$24)*CHOOSE(ArtifactsInput!$N$24+1,10,12,14,16,18,20)+IF(ArtifactsInput!$M$10,CHOOSE(ArtifactsInput!$N$10+1,15,18,21,24,27,30)*(IF(Inputs!$B$39="pvp",MIN(15,15)/15,IF(AND(Inputs!$B$39&lt;&gt;"pvp",Inputs!$B$44&gt;0),MIN(15,Inputs!$B$44)/(Inputs!$B$44),0))),0)))&gt;=100),MIN(100,((Inputs!$B$9+((C1273=TRUE)*(F1273-Calc!F25))+B1288+(ArtifactsInput!$M$24-ArtifactsInput!$M$24)*CHOOSE(ArtifactsInput!$N$24+1,10,12,14,16,18,20)+IF(ArtifactsInput!$M$10,CHOOSE(ArtifactsInput!$N$10+1,15,18,21,24,27,30)*(IF(Inputs!$B$39="pvp",MIN(15,15)/15,IF(AND(Inputs!$B$39&lt;&gt;"pvp",Inputs!$B$44&gt;0),MIN(15,Inputs!$B$44)/(Inputs!$B$44),0))),0)))-100),0))*CHOOSE(ArtifactsInput!$N$42+1,0.6,0.72,0.84,0.96,1.08,1.2))),Inputs!$B$18+((C1277=TRUE)*(F1277-Calc!F29))+(IF(AND(ArtifactsInput!$M$42,((Inputs!$B$9+((C1273=TRUE)*(F1273-Calc!F25))+B1288+(ArtifactsInput!$M$24-ArtifactsInput!$M$24)*CHOOSE(ArtifactsInput!$N$24+1,10,12,14,16,18,20)+IF(ArtifactsInput!$M$10,CHOOSE(ArtifactsInput!$N$10+1,15,18,21,24,27,30)*(IF(Inputs!$B$39="pvp",MIN(15,15)/15,IF(AND(Inputs!$B$39&lt;&gt;"pvp",Inputs!$B$44&gt;0),MIN(15,Inputs!$B$44)/(Inputs!$B$44),0))),0)))&gt;=100),CHOOSE(ArtifactsInput!$N$42+1,40,48,56,64,72,80),0))))/100)*(((1+(((C1269=TRUE)*F1269*IF(AND(Inputs!$B$39&lt;&gt;"pvp",Inputs!$B$44&gt;0),(((R1269-1)*(Skills!Y21*(1+Inputs!$B$34/100))+MIN((Skills!Y21*(1+Inputs!$B$34/100)),MAX(0,Inputs!$B$44-((R1269-1)*Skills!D21))))/Inputs!$B$44),IF(Inputs!$B$39="pvp",MIN((Skills!Y21*(1+Inputs!$B$34/100)),15)/15,(Skills!Y21*(1+Inputs!$B$34/100))/Skills!D21)))+((C1276=TRUE)*(F1276-Calc!F28))+((C1266=TRUE)*(F1266-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1263=TRUE)*F1263*IF(AND(Inputs!$B$39&lt;&gt;"pvp",Inputs!$B$44&gt;0),(((R1263-1)*(Skills!Y15*(1+Inputs!$B$34/100))+MIN((Skills!Y15*(1+Inputs!$B$34/100)),MAX(0,Inputs!$B$44-((R1263-1)*Skills!D15))))/Inputs!$B$44),IF(Inputs!$B$39="pvp",MIN((Skills!Y15*(1+Inputs!$B$34/100)),15)/15,(Skills!Y15*(1+Inputs!$B$34/100))/Skills!D15)))/100)*(1+((C1254=TRUE)*F1254*B1282)/100))*B1290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1261)</f>
        <v/>
      </c>
      <c r="L1261">
        <f>K1261*(MIN(Inputs!$B$22+((C1272=TRUE)*(F1272-Calc!F24)),(Inputs!$B$23+0+(IF(ArtifactsInput!$M$15,CHOOSE(ArtifactsInput!$N$15+1,25,30,35,40,45,50)/100*(Inputs!$B$11-Inputs!$B$11),0))))/100+(Inputs!$B$23+0+(IF(ArtifactsInput!$M$15,CHOOSE(ArtifactsInput!$N$15+1,25,30,35,40,45,50)/100*(Inputs!$B$11-Inputs!$B$11),0)))/100)/2</f>
        <v/>
      </c>
      <c r="M1261">
        <f>L1261*(1+(Inputs!$B$10+((C1274=TRUE)*(F1274-Calc!F26))+B1291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61">
        <f>L1261*(1-MIN((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1261*(MIN((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61">
        <f>(1-Summary!$B$11)*T1261+Summary!$B$11*V1261</f>
        <v/>
      </c>
      <c r="P1261">
        <f>IF(B1292=0,0,O1261/B1292)</f>
        <v/>
      </c>
      <c r="Q1261">
        <f>IFERROR(1/IF(Inputs!$B$39="pvp",15,MAX(0.1,Skills!D13-IF(Skills!E13=TRUE,Inputs!$B$32,0))),0)</f>
        <v/>
      </c>
      <c r="R1261">
        <f>IF(AND(Inputs!$B$39&lt;&gt;"pvp",Inputs!$B$44&gt;0),IF(MAX(0,Inputs!$B$44-B1293)&lt;=0,0,(INT(MAX(0,Inputs!$B$44-B1293)/IF(Inputs!$B$39="pvp",15,MAX(0.1,Skills!D13-IF(Skills!E13=TRUE,Inputs!$B$32,0))))+1)),0)</f>
        <v/>
      </c>
      <c r="S1261">
        <f>IFERROR(O1261/N1261,0)</f>
        <v/>
      </c>
      <c r="T1261">
        <f>IF(C1261,(H1261*N1261*IF(AND(Inputs!$B$39&lt;&gt;"pvp",Inputs!$B$44&gt;0),((Skills!G13*((R1261-1)*IF(Skills!H13&gt;0,Skills!I13/Skills!H13,1)+IF(Skills!H13&gt;0,MIN(Skills!I13,MAX(0,MAX(0,Inputs!$B$44-B1293)-((R1261-1)*IF(Inputs!$B$39="pvp",15,MAX(0.1,Skills!D13-IF(Skills!E13=TRUE,Inputs!$B$32,0))))))/Skills!H13,1)))/Inputs!$B$44),G1261*Q1261))*IF(Inputs!$B$39="pvp",1,1+(Inputs!$B$20+((C1275=TRUE)*(F1275-Calc!F27))+Skills!P13+B1289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Hunt"),CHOOSE(ArtifactsInput!$N$35+1,15,18,21,24,27,30)*(1-EXP(-(0.2*B1284)*5)),0)+IF(AND(ArtifactsInput!$M$22,Inputs!$B$4&lt;&gt;"Chapter Hunt"),CHOOSE(ArtifactsInput!$N$22+1,10,12,14,16,18,20)*((0*(((0.15*B1284*5))^0/1)+1*(((0.15*B1284*5))^1/1)+2*(((0.15*B1284*5))^2/2)+3*(((0.15*B1284*5))^3/6)+4*(((0.15*B1284*5))^4/24)+5*(((0.15*B1284*5))^5/120))/((((0.15*B1284*5))^0/1)+(((0.15*B1284*5))^1/1)+(((0.15*B1284*5))^2/2)+(((0.15*B1284*5))^3/6)+(((0.15*B1284*5))^4/24)+(((0.15*B1284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1261*(1-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1261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1261*(1-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1261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61">
        <f>IF(C1261,(H1261*N1261*IF(AND(Inputs!$B$39&lt;&gt;"pvp",Inputs!$B$44&gt;0),((Skills!G13*((R1261-1)*IF(Skills!H13&gt;0,Skills!I13/Skills!H13,1)+IF(Skills!H13&gt;0,MIN(Skills!I13,MAX(0,MAX(0,Inputs!$B$44-B1293)-((R1261-1)*IF(Inputs!$B$39="pvp",15,MAX(0.1,Skills!D13-IF(Skills!E13=TRUE,Inputs!$B$32,0))))))/Skills!H13,1)))/Inputs!$B$44),G1261*Q1261))*IF(Inputs!$B$39="pvp",1,(1+(Inputs!$B$21+Skills!Q13+B1289+(IF(ArtifactsInput!$M$33,CHOOSE(ArtifactsInput!$N$33+1,30,36,42,48,54,60),0))+(IF(AND(ArtifactsInput!$M$35,Inputs!$B$4&lt;&gt;"Chapter Hunt"),CHOOSE(ArtifactsInput!$N$35+1,15,18,21,24,27,30)*(1-EXP(-(0.2*B1284)*5)),0)+IF(AND(ArtifactsInput!$M$22,Inputs!$B$4&lt;&gt;"Chapter Hunt"),CHOOSE(ArtifactsInput!$N$22+1,10,12,14,16,18,20)*((0*(((0.15*B1284*5))^0/1)+1*(((0.15*B1284*5))^1/1)+2*(((0.15*B1284*5))^2/2)+3*(((0.15*B1284*5))^3/6)+4*(((0.15*B1284*5))^4/24)+5*(((0.15*B1284*5))^5/120))/((((0.15*B1284*5))^0/1)+(((0.15*B1284*5))^1/1)+(((0.15*B1284*5))^2/2)+(((0.15*B1284*5))^3/6)+(((0.15*B1284*5))^4/24)+(((0.15*B1284*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62">
      <c r="A1262">
        <f>Skills!A14</f>
        <v/>
      </c>
      <c r="B1262">
        <f>Skills!B14</f>
        <v/>
      </c>
      <c r="C1262">
        <f>Inputs!$B$3&gt;=105</f>
        <v/>
      </c>
      <c r="D1262">
        <f>IF(Skills!C14=1,60+Inputs!$B$25+Inputs!$B$29,IF(Skills!C14=2,90+Inputs!$B$26+Inputs!$B$29,IF(Skills!C14=3,120+Inputs!$B$27+Inputs!$B$29,MAX(0,(Inputs!$B$3-100)*3)+Inputs!$B$28+Inputs!$B$29)))</f>
        <v/>
      </c>
      <c r="E1262">
        <f>INDEX(FactorTable!$B$2:$Y$301, MATCH(ROUND(MIN(300,MAX(1,D1262)),0), FactorTable!$A$2:$A$301,0), Skills!M14+1)</f>
        <v/>
      </c>
      <c r="F1262">
        <f>IF(Skills!N14=TRUE,(Skills!L14/10)*(E1262/1000),Skills!L14/10)+Skills!O14</f>
        <v/>
      </c>
      <c r="G1262">
        <f>Calc!G14</f>
        <v/>
      </c>
      <c r="H1262">
        <f>Calc!H14</f>
        <v/>
      </c>
      <c r="I1262">
        <f>IF(Skills!AA14&lt;&gt;"",1+(Skills!AA14/10)*(U1251/1000)/100,1)</f>
        <v/>
      </c>
      <c r="J1262">
        <f>((Inputs!$B$6*(1+Inputs!$B$7/100))+(((Inputs!$B$12*(1+Inputs!$B$13/100))-(Inputs!$B$12*(1+Inputs!$B$13/100)))+0.25*(Inputs!$B$14-Inputs!$B$14))*(1+Inputs!$B$7/100))*(F1262/100)</f>
        <v/>
      </c>
      <c r="K1262">
        <f>J1262*(1+((Inputs!$B$12*(1+Inputs!$B$13/100))*0.01+Inputs!$B$14*0.0025)/100)*(1+Inputs!$B$15/100)*(1+Inputs!$B$16/100)*(5000/(6000+Inputs!$B$43*(1-(100*(1-(1-(Inputs!$B$19+0)/100)*(1-CHOOSE(ArtifactsInput!$N$40+1,5,6,7,8,9,10)/100)^(ArtifactsInput!$M$40-ArtifactsInput!$M$40)))/100)))*(1+(Inputs!$B$24+((C1278=TRUE)*(F1278-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1271=TRUE)*(F1271-Calc!F23))+(((IF(AND(ArtifactsInput!$M$42,((Inputs!$B$9+((C1273=TRUE)*(F1273-Calc!F25))+B1288+(ArtifactsInput!$M$24-ArtifactsInput!$M$24)*CHOOSE(ArtifactsInput!$N$24+1,10,12,14,16,18,20)+IF(ArtifactsInput!$M$10,CHOOSE(ArtifactsInput!$N$10+1,15,18,21,24,27,30)*(IF(Inputs!$B$39="pvp",MIN(15,15)/15,IF(AND(Inputs!$B$39&lt;&gt;"pvp",Inputs!$B$44&gt;0),MIN(15,Inputs!$B$44)/(Inputs!$B$44),0))),0)))&gt;=100),MIN(100,((Inputs!$B$9+((C1273=TRUE)*(F1273-Calc!F25))+B1288+(ArtifactsInput!$M$24-ArtifactsInput!$M$24)*CHOOSE(ArtifactsInput!$N$24+1,10,12,14,16,18,20)+IF(ArtifactsInput!$M$10,CHOOSE(ArtifactsInput!$N$10+1,15,18,21,24,27,30)*(IF(Inputs!$B$39="pvp",MIN(15,15)/15,IF(AND(Inputs!$B$39&lt;&gt;"pvp",Inputs!$B$44&gt;0),MIN(15,Inputs!$B$44)/(Inputs!$B$44),0))),0)))-100),0))*CHOOSE(ArtifactsInput!$N$42+1,0.6,0.72,0.84,0.96,1.08,1.2))),Inputs!$B$18+((C1277=TRUE)*(F1277-Calc!F29))+(IF(AND(ArtifactsInput!$M$42,((Inputs!$B$9+((C1273=TRUE)*(F1273-Calc!F25))+B1288+(ArtifactsInput!$M$24-ArtifactsInput!$M$24)*CHOOSE(ArtifactsInput!$N$24+1,10,12,14,16,18,20)+IF(ArtifactsInput!$M$10,CHOOSE(ArtifactsInput!$N$10+1,15,18,21,24,27,30)*(IF(Inputs!$B$39="pvp",MIN(15,15)/15,IF(AND(Inputs!$B$39&lt;&gt;"pvp",Inputs!$B$44&gt;0),MIN(15,Inputs!$B$44)/(Inputs!$B$44),0))),0)))&gt;=100),CHOOSE(ArtifactsInput!$N$42+1,40,48,56,64,72,80),0))))/100)*(((1+(((C1269=TRUE)*F1269*IF(AND(Inputs!$B$39&lt;&gt;"pvp",Inputs!$B$44&gt;0),(((R1269-1)*(Skills!Y21*(1+Inputs!$B$34/100))+MIN((Skills!Y21*(1+Inputs!$B$34/100)),MAX(0,Inputs!$B$44-((R1269-1)*Skills!D21))))/Inputs!$B$44),IF(Inputs!$B$39="pvp",MIN((Skills!Y21*(1+Inputs!$B$34/100)),15)/15,(Skills!Y21*(1+Inputs!$B$34/100))/Skills!D21)))+((C1276=TRUE)*(F1276-Calc!F28))+((C1266=TRUE)*(F1266-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1263=TRUE)*F1263*IF(AND(Inputs!$B$39&lt;&gt;"pvp",Inputs!$B$44&gt;0),(((R1263-1)*(Skills!Y15*(1+Inputs!$B$34/100))+MIN((Skills!Y15*(1+Inputs!$B$34/100)),MAX(0,Inputs!$B$44-((R1263-1)*Skills!D15))))/Inputs!$B$44),IF(Inputs!$B$39="pvp",MIN((Skills!Y15*(1+Inputs!$B$34/100)),15)/15,(Skills!Y15*(1+Inputs!$B$34/100))/Skills!D15)))/100)*(1+((C1254=TRUE)*F1254*B1282)/100))*B1290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1262)</f>
        <v/>
      </c>
      <c r="L1262">
        <f>K1262*(MIN(Inputs!$B$22+((C1272=TRUE)*(F1272-Calc!F24)),(Inputs!$B$23+0+(IF(ArtifactsInput!$M$15,CHOOSE(ArtifactsInput!$N$15+1,25,30,35,40,45,50)/100*(Inputs!$B$11-Inputs!$B$11),0))))/100+(Inputs!$B$23+0+(IF(ArtifactsInput!$M$15,CHOOSE(ArtifactsInput!$N$15+1,25,30,35,40,45,50)/100*(Inputs!$B$11-Inputs!$B$11),0)))/100)/2</f>
        <v/>
      </c>
      <c r="M1262">
        <f>L1262*(1+(Inputs!$B$10+((C1274=TRUE)*(F1274-Calc!F26))+B1291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62">
        <f>L1262*(1-MIN((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1262*(MIN((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62">
        <f>(1-Summary!$B$11)*T1262+Summary!$B$11*V1262</f>
        <v/>
      </c>
      <c r="P1262">
        <f>IF(B1292=0,0,O1262/B1292)</f>
        <v/>
      </c>
      <c r="Q1262">
        <f>IFERROR(1/IF(Inputs!$B$39="pvp",15,MAX(0.1,Skills!D14-IF(Skills!E14=TRUE,Inputs!$B$32,0))),0)</f>
        <v/>
      </c>
      <c r="R1262">
        <f>IF(AND(Inputs!$B$39&lt;&gt;"pvp",Inputs!$B$44&gt;0),IF(MAX(0,Inputs!$B$44-B1293)&lt;=0,0,(INT(MAX(0,Inputs!$B$44-B1293)/IF(Inputs!$B$39="pvp",15,MAX(0.1,Skills!D14-IF(Skills!E14=TRUE,Inputs!$B$32,0))))+1)),0)</f>
        <v/>
      </c>
      <c r="S1262">
        <f>IFERROR(O1262/N1262,0)</f>
        <v/>
      </c>
      <c r="T1262">
        <f>IF(C1262,(H1262*N1262*IF(AND(Inputs!$B$39&lt;&gt;"pvp",Inputs!$B$44&gt;0),((Skills!G14*((R1262-1)*IF(Skills!H14&gt;0,Skills!I14/Skills!H14,1)+IF(Skills!H14&gt;0,MIN(Skills!I14,MAX(0,MAX(0,Inputs!$B$44-B1293)-((R1262-1)*IF(Inputs!$B$39="pvp",15,MAX(0.1,Skills!D14-IF(Skills!E14=TRUE,Inputs!$B$32,0))))))/Skills!H14,1)))/Inputs!$B$44),G1262*Q1262))*IF(Inputs!$B$39="pvp",1,1+(Inputs!$B$20+((C1275=TRUE)*(F1275-Calc!F27))+Skills!P14+B1289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Hunt"),CHOOSE(ArtifactsInput!$N$35+1,15,18,21,24,27,30)*(1-EXP(-(0.2*B1284)*5)),0)+IF(AND(ArtifactsInput!$M$22,Inputs!$B$4&lt;&gt;"Chapter Hunt"),CHOOSE(ArtifactsInput!$N$22+1,10,12,14,16,18,20)*((0*(((0.15*B1284*5))^0/1)+1*(((0.15*B1284*5))^1/1)+2*(((0.15*B1284*5))^2/2)+3*(((0.15*B1284*5))^3/6)+4*(((0.15*B1284*5))^4/24)+5*(((0.15*B1284*5))^5/120))/((((0.15*B1284*5))^0/1)+(((0.15*B1284*5))^1/1)+(((0.15*B1284*5))^2/2)+(((0.15*B1284*5))^3/6)+(((0.15*B1284*5))^4/24)+(((0.15*B1284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1262*(1-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1262*(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1262*(1-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1262*(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62">
        <f>IF(C1262,(H1262*N1262*IF(AND(Inputs!$B$39&lt;&gt;"pvp",Inputs!$B$44&gt;0),((Skills!G14*((R1262-1)*IF(Skills!H14&gt;0,Skills!I14/Skills!H14,1)+IF(Skills!H14&gt;0,MIN(Skills!I14,MAX(0,MAX(0,Inputs!$B$44-B1293)-((R1262-1)*IF(Inputs!$B$39="pvp",15,MAX(0.1,Skills!D14-IF(Skills!E14=TRUE,Inputs!$B$32,0))))))/Skills!H14,1)))/Inputs!$B$44),G1262*Q1262))*IF(Inputs!$B$39="pvp",1,(1+(Inputs!$B$21+Skills!Q14+B1289+(IF(ArtifactsInput!$M$33,CHOOSE(ArtifactsInput!$N$33+1,30,36,42,48,54,60),0))+(IF(AND(ArtifactsInput!$M$35,Inputs!$B$4&lt;&gt;"Chapter Hunt"),CHOOSE(ArtifactsInput!$N$35+1,15,18,21,24,27,30)*(1-EXP(-(0.2*B1284)*5)),0)+IF(AND(ArtifactsInput!$M$22,Inputs!$B$4&lt;&gt;"Chapter Hunt"),CHOOSE(ArtifactsInput!$N$22+1,10,12,14,16,18,20)*((0*(((0.15*B1284*5))^0/1)+1*(((0.15*B1284*5))^1/1)+2*(((0.15*B1284*5))^2/2)+3*(((0.15*B1284*5))^3/6)+4*(((0.15*B1284*5))^4/24)+5*(((0.15*B1284*5))^5/120))/((((0.15*B1284*5))^0/1)+(((0.15*B1284*5))^1/1)+(((0.15*B1284*5))^2/2)+(((0.15*B1284*5))^3/6)+(((0.15*B1284*5))^4/24)+(((0.15*B1284*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63">
      <c r="A1263">
        <f>Skills!A15</f>
        <v/>
      </c>
      <c r="B1263">
        <f>Skills!B15</f>
        <v/>
      </c>
      <c r="C1263">
        <f>Inputs!$B$3&gt;=110</f>
        <v/>
      </c>
      <c r="D1263">
        <f>IF(Skills!C15=1,60+Inputs!$B$25+Inputs!$B$29,IF(Skills!C15=2,90+Inputs!$B$26+Inputs!$B$29,IF(Skills!C15=3,120+Inputs!$B$27+Inputs!$B$29,MAX(0,(Inputs!$B$3-100)*3)+Inputs!$B$28+Inputs!$B$29)))</f>
        <v/>
      </c>
      <c r="E1263">
        <f>INDEX(FactorTable!$B$2:$Y$301, MATCH(ROUND(MIN(300,MAX(1,D1263)),0), FactorTable!$A$2:$A$301,0), Skills!M15+1)</f>
        <v/>
      </c>
      <c r="F1263">
        <f>IF(Skills!N15=TRUE,(Skills!L15/10)*(E1263/1000),Skills!L15/10)+Skills!O15</f>
        <v/>
      </c>
      <c r="G1263">
        <f>Calc!G15</f>
        <v/>
      </c>
      <c r="H1263">
        <f>Calc!H15</f>
        <v/>
      </c>
      <c r="I1263">
        <f>IF(Skills!AA15&lt;&gt;"",1+(Skills!AA15/10)*(U1251/1000)/100,1)</f>
        <v/>
      </c>
      <c r="J1263" t="inlineStr"/>
      <c r="K1263" t="inlineStr"/>
      <c r="L1263" t="inlineStr"/>
      <c r="M1263" t="inlineStr"/>
      <c r="N1263" t="inlineStr"/>
      <c r="O1263">
        <f>(1-Summary!$B$11)*T1263+Summary!$B$11*V1263</f>
        <v/>
      </c>
      <c r="P1263">
        <f>IF(B1292=0,0,O1263/B1292)</f>
        <v/>
      </c>
      <c r="Q1263">
        <f>IFERROR(1/IF(Inputs!$B$39="pvp",15,MAX(0.1,Skills!D15-IF(Skills!E15=TRUE,Inputs!$B$32,0))),0)</f>
        <v/>
      </c>
      <c r="R1263">
        <f>IF(AND(Inputs!$B$39&lt;&gt;"pvp",Inputs!$B$44&gt;0),IF(Inputs!$B$44&lt;=0,0,(INT(Inputs!$B$44/IF(Inputs!$B$39="pvp",15,MAX(0.1,Skills!D15-IF(Skills!E15=TRUE,Inputs!$B$32,0))))+1)),0)</f>
        <v/>
      </c>
      <c r="S1263">
        <f>IFERROR(O1263/N1263,0)</f>
        <v/>
      </c>
      <c r="T1263" t="n">
        <v>0</v>
      </c>
      <c r="V1263" t="n">
        <v>0</v>
      </c>
    </row>
    <row r="1264">
      <c r="A1264">
        <f>Skills!A16</f>
        <v/>
      </c>
      <c r="B1264">
        <f>Skills!B16</f>
        <v/>
      </c>
      <c r="C1264">
        <f>Inputs!$B$3&gt;=110</f>
        <v/>
      </c>
      <c r="D1264">
        <f>IF(Skills!C16=1,60+Inputs!$B$25+Inputs!$B$29,IF(Skills!C16=2,90+Inputs!$B$26+Inputs!$B$29,IF(Skills!C16=3,120+Inputs!$B$27+Inputs!$B$29,MAX(0,(Inputs!$B$3-100)*3)+Inputs!$B$28+Inputs!$B$29)))</f>
        <v/>
      </c>
      <c r="E1264">
        <f>INDEX(FactorTable!$B$2:$Y$301, MATCH(ROUND(MIN(300,MAX(1,D1264)),0), FactorTable!$A$2:$A$301,0), Skills!M16+1)</f>
        <v/>
      </c>
      <c r="F1264">
        <f>IF(Skills!N16=TRUE,(Skills!L16/10)*(E1264/1000),Skills!L16/10)+Skills!O16</f>
        <v/>
      </c>
      <c r="G1264">
        <f>Calc!G16</f>
        <v/>
      </c>
      <c r="H1264">
        <f>Calc!H16</f>
        <v/>
      </c>
      <c r="I1264">
        <f>IF(Skills!AA16&lt;&gt;"",1+(Skills!AA16/10)*(U1251/1000)/100,1)</f>
        <v/>
      </c>
      <c r="J1264" t="inlineStr"/>
      <c r="K1264" t="inlineStr"/>
      <c r="L1264" t="inlineStr"/>
      <c r="M1264" t="inlineStr"/>
      <c r="N1264" t="inlineStr"/>
      <c r="O1264">
        <f>(1-Summary!$B$11)*T1264+Summary!$B$11*V1264</f>
        <v/>
      </c>
      <c r="P1264">
        <f>IF(B1292=0,0,O1264/B1292)</f>
        <v/>
      </c>
      <c r="Q1264">
        <f>IFERROR(1/IF(Inputs!$B$39="pvp",15,MAX(0.1,Skills!D16-IF(Skills!E16=TRUE,Inputs!$B$32,0))),0)</f>
        <v/>
      </c>
      <c r="R1264">
        <f>IF(AND(Inputs!$B$39&lt;&gt;"pvp",Inputs!$B$44&gt;0),IF(Inputs!$B$44&lt;=0,0,(INT(Inputs!$B$44/IF(Inputs!$B$39="pvp",15,MAX(0.1,Skills!D16-IF(Skills!E16=TRUE,Inputs!$B$32,0))))+1)),0)</f>
        <v/>
      </c>
      <c r="S1264">
        <f>IFERROR(O1264/N1264,0)</f>
        <v/>
      </c>
      <c r="T1264" t="n">
        <v>0</v>
      </c>
      <c r="V1264" t="n">
        <v>0</v>
      </c>
    </row>
    <row r="1265">
      <c r="A1265">
        <f>Skills!A17</f>
        <v/>
      </c>
      <c r="B1265">
        <f>Skills!B17</f>
        <v/>
      </c>
      <c r="C1265">
        <f>Inputs!$B$3&gt;=115</f>
        <v/>
      </c>
      <c r="D1265">
        <f>IF(Skills!C17=1,60+Inputs!$B$25+Inputs!$B$29,IF(Skills!C17=2,90+Inputs!$B$26+Inputs!$B$29,IF(Skills!C17=3,120+Inputs!$B$27+Inputs!$B$29,MAX(0,(Inputs!$B$3-100)*3)+Inputs!$B$28+Inputs!$B$29)))</f>
        <v/>
      </c>
      <c r="E1265">
        <f>INDEX(FactorTable!$B$2:$Y$301, MATCH(ROUND(MIN(300,MAX(1,D1265)),0), FactorTable!$A$2:$A$301,0), Skills!M17+1)</f>
        <v/>
      </c>
      <c r="F1265">
        <f>IF(Skills!N17=TRUE,(Skills!L17/10)*(E1265/1000),Skills!L17/10)+Skills!O17</f>
        <v/>
      </c>
      <c r="G1265">
        <f>Calc!G17</f>
        <v/>
      </c>
      <c r="H1265">
        <f>Calc!H17</f>
        <v/>
      </c>
      <c r="I1265">
        <f>IF(Skills!AA17&lt;&gt;"",1+(Skills!AA17/10)*(U1251/1000)/100,1)</f>
        <v/>
      </c>
      <c r="J1265">
        <f>((Inputs!$B$6*(1+Inputs!$B$7/100))+(((Inputs!$B$12*(1+Inputs!$B$13/100))-(Inputs!$B$12*(1+Inputs!$B$13/100)))+0.25*(Inputs!$B$14-Inputs!$B$14))*(1+Inputs!$B$7/100))*(F1265/100)</f>
        <v/>
      </c>
      <c r="K1265">
        <f>J1265*(1+((Inputs!$B$12*(1+Inputs!$B$13/100))*0.01+Inputs!$B$14*0.0025)/100)*(1+Inputs!$B$15/100)*(1+Inputs!$B$16/100)*(5000/(6000+Inputs!$B$43*(1-(100*(1-(1-(Inputs!$B$19+0)/100)*(1-CHOOSE(ArtifactsInput!$N$40+1,5,6,7,8,9,10)/100)^(ArtifactsInput!$M$40-ArtifactsInput!$M$40)))/100)))*(1+(Inputs!$B$24+((C1278=TRUE)*(F1278-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1271=TRUE)*(F1271-Calc!F23))+(((IF(AND(ArtifactsInput!$M$42,((Inputs!$B$9+((C1273=TRUE)*(F1273-Calc!F25))+B1288+(ArtifactsInput!$M$24-ArtifactsInput!$M$24)*CHOOSE(ArtifactsInput!$N$24+1,10,12,14,16,18,20)+IF(ArtifactsInput!$M$10,CHOOSE(ArtifactsInput!$N$10+1,15,18,21,24,27,30)*(IF(Inputs!$B$39="pvp",MIN(15,15)/15,IF(AND(Inputs!$B$39&lt;&gt;"pvp",Inputs!$B$44&gt;0),MIN(15,Inputs!$B$44)/(Inputs!$B$44),0))),0)))&gt;=100),MIN(100,((Inputs!$B$9+((C1273=TRUE)*(F1273-Calc!F25))+B1288+(ArtifactsInput!$M$24-ArtifactsInput!$M$24)*CHOOSE(ArtifactsInput!$N$24+1,10,12,14,16,18,20)+IF(ArtifactsInput!$M$10,CHOOSE(ArtifactsInput!$N$10+1,15,18,21,24,27,30)*(IF(Inputs!$B$39="pvp",MIN(15,15)/15,IF(AND(Inputs!$B$39&lt;&gt;"pvp",Inputs!$B$44&gt;0),MIN(15,Inputs!$B$44)/(Inputs!$B$44),0))),0)))-100),0))*CHOOSE(ArtifactsInput!$N$42+1,0.6,0.72,0.84,0.96,1.08,1.2))),Inputs!$B$18+((C1277=TRUE)*(F1277-Calc!F29))+(IF(AND(ArtifactsInput!$M$42,((Inputs!$B$9+((C1273=TRUE)*(F1273-Calc!F25))+B1288+(ArtifactsInput!$M$24-ArtifactsInput!$M$24)*CHOOSE(ArtifactsInput!$N$24+1,10,12,14,16,18,20)+IF(ArtifactsInput!$M$10,CHOOSE(ArtifactsInput!$N$10+1,15,18,21,24,27,30)*(IF(Inputs!$B$39="pvp",MIN(15,15)/15,IF(AND(Inputs!$B$39&lt;&gt;"pvp",Inputs!$B$44&gt;0),MIN(15,Inputs!$B$44)/(Inputs!$B$44),0))),0)))&gt;=100),CHOOSE(ArtifactsInput!$N$42+1,40,48,56,64,72,80),0))))/100)*(((1+(((C1269=TRUE)*F1269*IF(AND(Inputs!$B$39&lt;&gt;"pvp",Inputs!$B$44&gt;0),(((R1269-1)*(Skills!Y21*(1+Inputs!$B$34/100))+MIN((Skills!Y21*(1+Inputs!$B$34/100)),MAX(0,Inputs!$B$44-((R1269-1)*Skills!D21))))/Inputs!$B$44),IF(Inputs!$B$39="pvp",MIN((Skills!Y21*(1+Inputs!$B$34/100)),15)/15,(Skills!Y21*(1+Inputs!$B$34/100))/Skills!D21)))+((C1276=TRUE)*(F1276-Calc!F28))+((C1266=TRUE)*(F1266-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1263=TRUE)*F1263*IF(AND(Inputs!$B$39&lt;&gt;"pvp",Inputs!$B$44&gt;0),(((R1263-1)*(Skills!Y15*(1+Inputs!$B$34/100))+MIN((Skills!Y15*(1+Inputs!$B$34/100)),MAX(0,Inputs!$B$44-((R1263-1)*Skills!D15))))/Inputs!$B$44),IF(Inputs!$B$39="pvp",MIN((Skills!Y15*(1+Inputs!$B$34/100)),15)/15,(Skills!Y15*(1+Inputs!$B$34/100))/Skills!D15)))/100)*(1+((C1254=TRUE)*F1254*B1282)/100))*B1290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1265)</f>
        <v/>
      </c>
      <c r="L1265">
        <f>K1265*(MIN(Inputs!$B$22+((C1272=TRUE)*(F1272-Calc!F24)),(Inputs!$B$23+0+(IF(ArtifactsInput!$M$15,CHOOSE(ArtifactsInput!$N$15+1,25,30,35,40,45,50)/100*(Inputs!$B$11-Inputs!$B$11),0))))/100+(Inputs!$B$23+0+(IF(ArtifactsInput!$M$15,CHOOSE(ArtifactsInput!$N$15+1,25,30,35,40,45,50)/100*(Inputs!$B$11-Inputs!$B$11),0)))/100)/2</f>
        <v/>
      </c>
      <c r="M1265">
        <f>L1265*(1+(Inputs!$B$10+((C1274=TRUE)*(F1274-Calc!F26))+B1291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65">
        <f>L1265*(1-MIN((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1265*(MIN((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65">
        <f>(1-Summary!$B$11)*T1265+Summary!$B$11*V1265</f>
        <v/>
      </c>
      <c r="P1265">
        <f>IF(B1292=0,0,O1265/B1292)</f>
        <v/>
      </c>
      <c r="Q1265" t="n">
        <v>0</v>
      </c>
      <c r="R1265" t="n">
        <v>0</v>
      </c>
      <c r="S1265">
        <f>IFERROR(O1265/N1265,0)</f>
        <v/>
      </c>
      <c r="T1265">
        <f>IF(C1265,(Inputs!$B$38*0.2*N1265)*IF(Inputs!$B$39="pvp",1,1+(Inputs!$B$20+((C1275=TRUE)*(F1275-Calc!F27))+Skills!P17+B1289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Hunt"),CHOOSE(ArtifactsInput!$N$35+1,15,18,21,24,27,30)*(1-EXP(-(0.2*B1284)*5)),0)+IF(AND(ArtifactsInput!$M$22,Inputs!$B$4&lt;&gt;"Chapter Hunt"),CHOOSE(ArtifactsInput!$N$22+1,10,12,14,16,18,20)*((0*(((0.15*B1284*5))^0/1)+1*(((0.15*B1284*5))^1/1)+2*(((0.15*B1284*5))^2/2)+3*(((0.15*B1284*5))^3/6)+4*(((0.15*B1284*5))^4/24)+5*(((0.15*B1284*5))^5/120))/((((0.15*B1284*5))^0/1)+(((0.15*B1284*5))^1/1)+(((0.15*B1284*5))^2/2)+(((0.15*B1284*5))^3/6)+(((0.15*B1284*5))^4/24)+(((0.15*B1284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1265*(1-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1265*(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1265*(1-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1265*(MIN(100,(Inputs!$B$9+((C1273=TRUE)*(F1273-Calc!F25))+B1288+(ArtifactsInput!$M$24-ArtifactsInput!$M$24)*CHOOSE(ArtifactsInput!$N$24+1,10,12,14,16,18,20)+(IF(AND(ArtifactsInput!$M$42,((Inputs!$B$9+((C1273=TRUE)*(F1273-Calc!F25))+B1288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65">
        <f>IF(C1265,(Inputs!$B$38*0.2*N1265)*IF(Inputs!$B$39="pvp",1,(1+(Inputs!$B$21+Skills!Q17+B1289+(IF(ArtifactsInput!$M$33,CHOOSE(ArtifactsInput!$N$33+1,30,36,42,48,54,60),0))+(IF(AND(ArtifactsInput!$M$35,Inputs!$B$4&lt;&gt;"Chapter Hunt"),CHOOSE(ArtifactsInput!$N$35+1,15,18,21,24,27,30)*(1-EXP(-(0.2*B1284)*5)),0)+IF(AND(ArtifactsInput!$M$22,Inputs!$B$4&lt;&gt;"Chapter Hunt"),CHOOSE(ArtifactsInput!$N$22+1,10,12,14,16,18,20)*((0*(((0.15*B1284*5))^0/1)+1*(((0.15*B1284*5))^1/1)+2*(((0.15*B1284*5))^2/2)+3*(((0.15*B1284*5))^3/6)+4*(((0.15*B1284*5))^4/24)+5*(((0.15*B1284*5))^5/120))/((((0.15*B1284*5))^0/1)+(((0.15*B1284*5))^1/1)+(((0.15*B1284*5))^2/2)+(((0.15*B1284*5))^3/6)+(((0.15*B1284*5))^4/24)+(((0.15*B1284*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66">
      <c r="A1266">
        <f>Skills!A18</f>
        <v/>
      </c>
      <c r="B1266">
        <f>Skills!B18</f>
        <v/>
      </c>
      <c r="C1266">
        <f>Inputs!$B$3&gt;=115</f>
        <v/>
      </c>
      <c r="D1266">
        <f>IF(Skills!C18=1,60+Inputs!$B$25+Inputs!$B$29,IF(Skills!C18=2,90+Inputs!$B$26+Inputs!$B$29,IF(Skills!C18=3,120+Inputs!$B$27+Inputs!$B$29,MAX(0,(Inputs!$B$3-100)*3)+Inputs!$B$28+Inputs!$B$29)))</f>
        <v/>
      </c>
      <c r="E1266">
        <f>INDEX(FactorTable!$B$2:$Y$301, MATCH(ROUND(MIN(300,MAX(1,D1266)),0), FactorTable!$A$2:$A$301,0), Skills!M18+1)</f>
        <v/>
      </c>
      <c r="F1266">
        <f>IF(Skills!N18=TRUE,(Skills!L18/10)*(E1266/1000),Skills!L18/10)+Skills!O18</f>
        <v/>
      </c>
      <c r="G1266">
        <f>Calc!G18</f>
        <v/>
      </c>
      <c r="H1266">
        <f>Calc!H18</f>
        <v/>
      </c>
      <c r="I1266">
        <f>IF(Skills!AA18&lt;&gt;"",1+(Skills!AA18/10)*(U1251/1000)/100,1)</f>
        <v/>
      </c>
      <c r="J1266" t="inlineStr"/>
      <c r="K1266" t="inlineStr"/>
      <c r="L1266" t="inlineStr"/>
      <c r="M1266" t="inlineStr"/>
      <c r="N1266" t="inlineStr"/>
      <c r="O1266">
        <f>(1-Summary!$B$11)*T1266+Summary!$B$11*V1266</f>
        <v/>
      </c>
      <c r="P1266">
        <f>IF(B1292=0,0,O1266/B1292)</f>
        <v/>
      </c>
      <c r="Q1266" t="n">
        <v>0</v>
      </c>
      <c r="R1266" t="n">
        <v>0</v>
      </c>
      <c r="S1266">
        <f>IFERROR(O1266/N1266,0)</f>
        <v/>
      </c>
      <c r="T1266" t="n">
        <v>0</v>
      </c>
      <c r="V1266" t="n">
        <v>0</v>
      </c>
    </row>
    <row r="1267">
      <c r="A1267">
        <f>Skills!A19</f>
        <v/>
      </c>
      <c r="B1267">
        <f>Skills!B19</f>
        <v/>
      </c>
      <c r="C1267">
        <f>TRUE</f>
        <v/>
      </c>
      <c r="D1267">
        <f>IF(Skills!C19=1,60+Inputs!$B$25+Inputs!$B$29,IF(Skills!C19=2,90+Inputs!$B$26+Inputs!$B$29,IF(Skills!C19=3,120+Inputs!$B$27+Inputs!$B$29,MAX(0,(Inputs!$B$3-100)*3)+Inputs!$B$28+Inputs!$B$29)))</f>
        <v/>
      </c>
      <c r="E1267">
        <f>INDEX(FactorTable!$B$2:$Y$301, MATCH(ROUND(MIN(300,MAX(1,D1267)),0), FactorTable!$A$2:$A$301,0), Skills!M19+1)</f>
        <v/>
      </c>
      <c r="F1267">
        <f>IF(Skills!N19=TRUE,(Skills!L19/10)*(E1267/1000),Skills!L19/10)+Skills!O19</f>
        <v/>
      </c>
      <c r="G1267">
        <f>Calc!G19</f>
        <v/>
      </c>
      <c r="H1267">
        <f>Calc!H19</f>
        <v/>
      </c>
      <c r="I1267">
        <f>IF(Skills!AA19&lt;&gt;"",1+(Skills!AA19/10)*(U1251/1000)/100,1)</f>
        <v/>
      </c>
      <c r="J1267" t="inlineStr"/>
      <c r="K1267" t="inlineStr"/>
      <c r="L1267" t="inlineStr"/>
      <c r="M1267" t="inlineStr"/>
      <c r="N1267" t="inlineStr"/>
      <c r="O1267">
        <f>(1-Summary!$B$11)*T1267+Summary!$B$11*V1267</f>
        <v/>
      </c>
      <c r="P1267">
        <f>IF(B1292=0,0,O1267/B1292)</f>
        <v/>
      </c>
      <c r="Q1267">
        <f>IFERROR(1/IF(Inputs!$B$39="pvp",15,MAX(0.1,Skills!D19-IF(Skills!E19=TRUE,Inputs!$B$32,0))),0)</f>
        <v/>
      </c>
      <c r="R1267">
        <f>IF(AND(Inputs!$B$39&lt;&gt;"pvp",Inputs!$B$44&gt;0),IF(Inputs!$B$44&lt;=0,0,(INT(Inputs!$B$44/IF(Inputs!$B$39="pvp",15,MAX(0.1,Skills!D19-IF(Skills!E19=TRUE,Inputs!$B$32,0))))+1)),0)</f>
        <v/>
      </c>
      <c r="S1267">
        <f>IFERROR(O1267/N1267,0)</f>
        <v/>
      </c>
      <c r="T1267" t="n">
        <v>0</v>
      </c>
      <c r="V1267" t="n">
        <v>0</v>
      </c>
    </row>
    <row r="1268">
      <c r="A1268">
        <f>Skills!A20</f>
        <v/>
      </c>
      <c r="B1268">
        <f>Skills!B20</f>
        <v/>
      </c>
      <c r="C1268">
        <f>Inputs!$B$3&gt;=15</f>
        <v/>
      </c>
      <c r="D1268">
        <f>IF(Skills!C20=1,60+Inputs!$B$25+Inputs!$B$29,IF(Skills!C20=2,90+Inputs!$B$26+Inputs!$B$29,IF(Skills!C20=3,120+Inputs!$B$27+Inputs!$B$29,MAX(0,(Inputs!$B$3-100)*3)+Inputs!$B$28+Inputs!$B$29)))</f>
        <v/>
      </c>
      <c r="E1268">
        <f>INDEX(FactorTable!$B$2:$Y$301, MATCH(ROUND(MIN(300,MAX(1,D1268)),0), FactorTable!$A$2:$A$301,0), Skills!M20+1)</f>
        <v/>
      </c>
      <c r="F1268">
        <f>IF(Skills!N20=TRUE,(Skills!L20/10)*(E1268/1000),Skills!L20/10)+Skills!O20</f>
        <v/>
      </c>
      <c r="G1268">
        <f>Calc!G20</f>
        <v/>
      </c>
      <c r="H1268">
        <f>Calc!H20</f>
        <v/>
      </c>
      <c r="I1268">
        <f>IF(Skills!AA20&lt;&gt;"",1+(Skills!AA20/10)*(U1251/1000)/100,1)</f>
        <v/>
      </c>
      <c r="J1268" t="inlineStr"/>
      <c r="K1268" t="inlineStr"/>
      <c r="L1268" t="inlineStr"/>
      <c r="M1268" t="inlineStr"/>
      <c r="N1268" t="inlineStr"/>
      <c r="O1268">
        <f>(1-Summary!$B$11)*T1268+Summary!$B$11*V1268</f>
        <v/>
      </c>
      <c r="P1268">
        <f>IF(B1292=0,0,O1268/B1292)</f>
        <v/>
      </c>
      <c r="Q1268">
        <f>IFERROR(1/IF(Inputs!$B$39="pvp",15,MAX(0.1,Skills!D20-IF(Skills!E20=TRUE,Inputs!$B$32,0))),0)</f>
        <v/>
      </c>
      <c r="R1268">
        <f>IF(AND(Inputs!$B$39&lt;&gt;"pvp",Inputs!$B$44&gt;0),IF(Inputs!$B$44&lt;=0,0,(INT(Inputs!$B$44/IF(Inputs!$B$39="pvp",15,MAX(0.1,Skills!D20-IF(Skills!E20=TRUE,Inputs!$B$32,0))))+1)),0)</f>
        <v/>
      </c>
      <c r="S1268">
        <f>IFERROR(O1268/N1268,0)</f>
        <v/>
      </c>
      <c r="T1268" t="n">
        <v>0</v>
      </c>
      <c r="V1268" t="n">
        <v>0</v>
      </c>
    </row>
    <row r="1269">
      <c r="A1269">
        <f>Skills!A21</f>
        <v/>
      </c>
      <c r="B1269">
        <f>Skills!B21</f>
        <v/>
      </c>
      <c r="C1269">
        <f>Inputs!$B$3&gt;=15</f>
        <v/>
      </c>
      <c r="D1269">
        <f>IF(Skills!C21=1,60+Inputs!$B$25+Inputs!$B$29,IF(Skills!C21=2,90+Inputs!$B$26+Inputs!$B$29,IF(Skills!C21=3,120+Inputs!$B$27+Inputs!$B$29,MAX(0,(Inputs!$B$3-100)*3)+Inputs!$B$28+Inputs!$B$29)))</f>
        <v/>
      </c>
      <c r="E1269">
        <f>INDEX(FactorTable!$B$2:$Y$301, MATCH(ROUND(MIN(300,MAX(1,D1269)),0), FactorTable!$A$2:$A$301,0), Skills!M21+1)</f>
        <v/>
      </c>
      <c r="F1269">
        <f>IF(Skills!N21=TRUE,(Skills!L21/10)*(E1269/1000),Skills!L21/10)+Skills!O21</f>
        <v/>
      </c>
      <c r="G1269">
        <f>Calc!G21</f>
        <v/>
      </c>
      <c r="H1269">
        <f>Calc!H21</f>
        <v/>
      </c>
      <c r="I1269">
        <f>IF(Skills!AA21&lt;&gt;"",1+(Skills!AA21/10)*(U1251/1000)/100,1)</f>
        <v/>
      </c>
      <c r="J1269" t="inlineStr"/>
      <c r="K1269" t="inlineStr"/>
      <c r="L1269" t="inlineStr"/>
      <c r="M1269" t="inlineStr"/>
      <c r="N1269" t="inlineStr"/>
      <c r="O1269">
        <f>(1-Summary!$B$11)*T1269+Summary!$B$11*V1269</f>
        <v/>
      </c>
      <c r="P1269">
        <f>IF(B1292=0,0,O1269/B1292)</f>
        <v/>
      </c>
      <c r="Q1269">
        <f>IFERROR(1/IF(Inputs!$B$39="pvp",15,MAX(0.1,Skills!D21-IF(Skills!E21=TRUE,Inputs!$B$32,0))),0)</f>
        <v/>
      </c>
      <c r="R1269">
        <f>IF(AND(Inputs!$B$39&lt;&gt;"pvp",Inputs!$B$44&gt;0),IF(Inputs!$B$44&lt;=0,0,(INT(Inputs!$B$44/IF(Inputs!$B$39="pvp",15,MAX(0.1,Skills!D21-IF(Skills!E21=TRUE,Inputs!$B$32,0))))+1)),0)</f>
        <v/>
      </c>
      <c r="S1269">
        <f>IFERROR(O1269/N1269,0)</f>
        <v/>
      </c>
      <c r="T1269" t="n">
        <v>0</v>
      </c>
      <c r="V1269" t="n">
        <v>0</v>
      </c>
    </row>
    <row r="1270">
      <c r="A1270">
        <f>Skills!A22</f>
        <v/>
      </c>
      <c r="B1270">
        <f>Skills!B22</f>
        <v/>
      </c>
      <c r="C1270">
        <f>Inputs!$B$3&gt;=33</f>
        <v/>
      </c>
      <c r="D1270">
        <f>IF(Skills!C22=1,60+Inputs!$B$25+Inputs!$B$29,IF(Skills!C22=2,90+Inputs!$B$26+Inputs!$B$29,IF(Skills!C22=3,120+Inputs!$B$27+Inputs!$B$29,MAX(0,(Inputs!$B$3-100)*3)+Inputs!$B$28+Inputs!$B$29)))</f>
        <v/>
      </c>
      <c r="E1270">
        <f>INDEX(FactorTable!$B$2:$Y$301, MATCH(ROUND(MIN(300,MAX(1,D1270)),0), FactorTable!$A$2:$A$301,0), Skills!M22+1)</f>
        <v/>
      </c>
      <c r="F1270">
        <f>IF(Skills!N22=TRUE,(Skills!L22/10)*(E1270/1000),Skills!L22/10)+Skills!O22</f>
        <v/>
      </c>
      <c r="G1270">
        <f>Calc!G22</f>
        <v/>
      </c>
      <c r="H1270">
        <f>Calc!H22</f>
        <v/>
      </c>
      <c r="I1270">
        <f>IF(Skills!AA22&lt;&gt;"",1+(Skills!AA22/10)*(U1251/1000)/100,1)</f>
        <v/>
      </c>
      <c r="J1270" t="inlineStr"/>
      <c r="K1270" t="inlineStr"/>
      <c r="L1270" t="inlineStr"/>
      <c r="M1270" t="inlineStr"/>
      <c r="N1270" t="inlineStr"/>
      <c r="O1270">
        <f>(1-Summary!$B$11)*T1270+Summary!$B$11*V1270</f>
        <v/>
      </c>
      <c r="P1270">
        <f>IF(B1292=0,0,O1270/B1292)</f>
        <v/>
      </c>
      <c r="Q1270" t="n">
        <v>0</v>
      </c>
      <c r="R1270" t="n">
        <v>0</v>
      </c>
      <c r="S1270">
        <f>IFERROR(O1270/N1270,0)</f>
        <v/>
      </c>
      <c r="T1270" t="n">
        <v>0</v>
      </c>
      <c r="V1270" t="n">
        <v>0</v>
      </c>
    </row>
    <row r="1271">
      <c r="A1271">
        <f>Skills!A23</f>
        <v/>
      </c>
      <c r="B1271">
        <f>Skills!B23</f>
        <v/>
      </c>
      <c r="C1271">
        <f>Inputs!$B$3&gt;=38</f>
        <v/>
      </c>
      <c r="D1271">
        <f>IF(Skills!C23=1,60+Inputs!$B$25+Inputs!$B$29,IF(Skills!C23=2,90+Inputs!$B$26+Inputs!$B$29,IF(Skills!C23=3,120+Inputs!$B$27+Inputs!$B$29,MAX(0,(Inputs!$B$3-100)*3)+Inputs!$B$28+Inputs!$B$29)))</f>
        <v/>
      </c>
      <c r="E1271">
        <f>INDEX(FactorTable!$B$2:$Y$301, MATCH(ROUND(MIN(300,MAX(1,D1271)),0), FactorTable!$A$2:$A$301,0), Skills!M23+1)</f>
        <v/>
      </c>
      <c r="F1271">
        <f>IF(Skills!N23=TRUE,(Skills!L23/10)*(E1271/1000),Skills!L23/10)+Skills!O23</f>
        <v/>
      </c>
      <c r="G1271">
        <f>Calc!G23</f>
        <v/>
      </c>
      <c r="H1271">
        <f>Calc!H23</f>
        <v/>
      </c>
      <c r="I1271">
        <f>IF(Skills!AA23&lt;&gt;"",1+(Skills!AA23/10)*(U1251/1000)/100,1)</f>
        <v/>
      </c>
      <c r="J1271" t="inlineStr"/>
      <c r="K1271" t="inlineStr"/>
      <c r="L1271" t="inlineStr"/>
      <c r="M1271" t="inlineStr"/>
      <c r="N1271" t="inlineStr"/>
      <c r="O1271">
        <f>(1-Summary!$B$11)*T1271+Summary!$B$11*V1271</f>
        <v/>
      </c>
      <c r="P1271">
        <f>IF(B1292=0,0,O1271/B1292)</f>
        <v/>
      </c>
      <c r="Q1271" t="n">
        <v>0</v>
      </c>
      <c r="R1271" t="n">
        <v>0</v>
      </c>
      <c r="S1271">
        <f>IFERROR(O1271/N1271,0)</f>
        <v/>
      </c>
      <c r="T1271" t="n">
        <v>0</v>
      </c>
      <c r="V1271" t="n">
        <v>0</v>
      </c>
    </row>
    <row r="1272">
      <c r="A1272">
        <f>Skills!A24</f>
        <v/>
      </c>
      <c r="B1272">
        <f>Skills!B24</f>
        <v/>
      </c>
      <c r="C1272">
        <f>Inputs!$B$3&gt;=40</f>
        <v/>
      </c>
      <c r="D1272">
        <f>IF(Skills!C24=1,60+Inputs!$B$25+Inputs!$B$29,IF(Skills!C24=2,90+Inputs!$B$26+Inputs!$B$29,IF(Skills!C24=3,120+Inputs!$B$27+Inputs!$B$29,MAX(0,(Inputs!$B$3-100)*3)+Inputs!$B$28+Inputs!$B$29)))</f>
        <v/>
      </c>
      <c r="E1272">
        <f>INDEX(FactorTable!$B$2:$Y$301, MATCH(ROUND(MIN(300,MAX(1,D1272)),0), FactorTable!$A$2:$A$301,0), Skills!M24+1)</f>
        <v/>
      </c>
      <c r="F1272">
        <f>IF(Skills!N24=TRUE,(Skills!L24/10)*(E1272/1000),Skills!L24/10)+Skills!O24</f>
        <v/>
      </c>
      <c r="G1272">
        <f>Calc!G24</f>
        <v/>
      </c>
      <c r="H1272">
        <f>Calc!H24</f>
        <v/>
      </c>
      <c r="I1272">
        <f>IF(Skills!AA24&lt;&gt;"",1+(Skills!AA24/10)*(U1251/1000)/100,1)</f>
        <v/>
      </c>
      <c r="J1272" t="inlineStr"/>
      <c r="K1272" t="inlineStr"/>
      <c r="L1272" t="inlineStr"/>
      <c r="M1272" t="inlineStr"/>
      <c r="N1272" t="inlineStr"/>
      <c r="O1272">
        <f>(1-Summary!$B$11)*T1272+Summary!$B$11*V1272</f>
        <v/>
      </c>
      <c r="P1272">
        <f>IF(B1292=0,0,O1272/B1292)</f>
        <v/>
      </c>
      <c r="Q1272" t="n">
        <v>0</v>
      </c>
      <c r="R1272" t="n">
        <v>0</v>
      </c>
      <c r="S1272">
        <f>IFERROR(O1272/N1272,0)</f>
        <v/>
      </c>
      <c r="T1272" t="n">
        <v>0</v>
      </c>
      <c r="V1272" t="n">
        <v>0</v>
      </c>
    </row>
    <row r="1273">
      <c r="A1273">
        <f>Skills!A25</f>
        <v/>
      </c>
      <c r="B1273">
        <f>Skills!B25</f>
        <v/>
      </c>
      <c r="C1273">
        <f>Inputs!$B$3&gt;=45</f>
        <v/>
      </c>
      <c r="D1273">
        <f>IF(Skills!C25=1,60+Inputs!$B$25+Inputs!$B$29,IF(Skills!C25=2,90+Inputs!$B$26+Inputs!$B$29,IF(Skills!C25=3,120+Inputs!$B$27+Inputs!$B$29,MAX(0,(Inputs!$B$3-100)*3)+Inputs!$B$28+Inputs!$B$29)))</f>
        <v/>
      </c>
      <c r="E1273">
        <f>INDEX(FactorTable!$B$2:$Y$301, MATCH(ROUND(MIN(300,MAX(1,D1273)),0), FactorTable!$A$2:$A$301,0), Skills!M25+1)</f>
        <v/>
      </c>
      <c r="F1273">
        <f>IF(Skills!N25=TRUE,(Skills!L25/10)*(E1273/1000),Skills!L25/10)+Skills!O25</f>
        <v/>
      </c>
      <c r="G1273">
        <f>Calc!G25</f>
        <v/>
      </c>
      <c r="H1273">
        <f>Calc!H25</f>
        <v/>
      </c>
      <c r="I1273">
        <f>IF(Skills!AA25&lt;&gt;"",1+(Skills!AA25/10)*(U1251/1000)/100,1)</f>
        <v/>
      </c>
      <c r="J1273" t="inlineStr"/>
      <c r="K1273" t="inlineStr"/>
      <c r="L1273" t="inlineStr"/>
      <c r="M1273" t="inlineStr"/>
      <c r="N1273" t="inlineStr"/>
      <c r="O1273">
        <f>(1-Summary!$B$11)*T1273+Summary!$B$11*V1273</f>
        <v/>
      </c>
      <c r="P1273">
        <f>IF(B1292=0,0,O1273/B1292)</f>
        <v/>
      </c>
      <c r="Q1273" t="n">
        <v>0</v>
      </c>
      <c r="R1273" t="n">
        <v>0</v>
      </c>
      <c r="S1273">
        <f>IFERROR(O1273/N1273,0)</f>
        <v/>
      </c>
      <c r="T1273" t="n">
        <v>0</v>
      </c>
      <c r="V1273" t="n">
        <v>0</v>
      </c>
    </row>
    <row r="1274">
      <c r="A1274">
        <f>Skills!A26</f>
        <v/>
      </c>
      <c r="B1274">
        <f>Skills!B26</f>
        <v/>
      </c>
      <c r="C1274">
        <f>Inputs!$B$3&gt;=45</f>
        <v/>
      </c>
      <c r="D1274">
        <f>IF(Skills!C26=1,60+Inputs!$B$25+Inputs!$B$29,IF(Skills!C26=2,90+Inputs!$B$26+Inputs!$B$29,IF(Skills!C26=3,120+Inputs!$B$27+Inputs!$B$29,MAX(0,(Inputs!$B$3-100)*3)+Inputs!$B$28+Inputs!$B$29)))</f>
        <v/>
      </c>
      <c r="E1274">
        <f>INDEX(FactorTable!$B$2:$Y$301, MATCH(ROUND(MIN(300,MAX(1,D1274)),0), FactorTable!$A$2:$A$301,0), Skills!M26+1)</f>
        <v/>
      </c>
      <c r="F1274">
        <f>IF(Skills!N26=TRUE,(Skills!L26/10)*(E1274/1000),Skills!L26/10)+Skills!O26</f>
        <v/>
      </c>
      <c r="G1274">
        <f>Calc!G26</f>
        <v/>
      </c>
      <c r="H1274">
        <f>Calc!H26</f>
        <v/>
      </c>
      <c r="I1274">
        <f>IF(Skills!AA26&lt;&gt;"",1+(Skills!AA26/10)*(U1251/1000)/100,1)</f>
        <v/>
      </c>
      <c r="J1274" t="inlineStr"/>
      <c r="K1274" t="inlineStr"/>
      <c r="L1274" t="inlineStr"/>
      <c r="M1274" t="inlineStr"/>
      <c r="N1274" t="inlineStr"/>
      <c r="O1274">
        <f>(1-Summary!$B$11)*T1274+Summary!$B$11*V1274</f>
        <v/>
      </c>
      <c r="P1274">
        <f>IF(B1292=0,0,O1274/B1292)</f>
        <v/>
      </c>
      <c r="Q1274" t="n">
        <v>0</v>
      </c>
      <c r="R1274" t="n">
        <v>0</v>
      </c>
      <c r="S1274">
        <f>IFERROR(O1274/N1274,0)</f>
        <v/>
      </c>
      <c r="T1274" t="n">
        <v>0</v>
      </c>
      <c r="V1274" t="n">
        <v>0</v>
      </c>
    </row>
    <row r="1275">
      <c r="A1275">
        <f>Skills!A27</f>
        <v/>
      </c>
      <c r="B1275">
        <f>Skills!B27</f>
        <v/>
      </c>
      <c r="C1275">
        <f>Inputs!$B$3&gt;=72</f>
        <v/>
      </c>
      <c r="D1275">
        <f>IF(Skills!C27=1,60+Inputs!$B$25+Inputs!$B$29,IF(Skills!C27=2,90+Inputs!$B$26+Inputs!$B$29,IF(Skills!C27=3,120+Inputs!$B$27+Inputs!$B$29,MAX(0,(Inputs!$B$3-100)*3)+Inputs!$B$28+Inputs!$B$29)))</f>
        <v/>
      </c>
      <c r="E1275">
        <f>INDEX(FactorTable!$B$2:$Y$301, MATCH(ROUND(MIN(300,MAX(1,D1275)),0), FactorTable!$A$2:$A$301,0), Skills!M27+1)</f>
        <v/>
      </c>
      <c r="F1275">
        <f>IF(Skills!N27=TRUE,(Skills!L27/10)*(E1275/1000),Skills!L27/10)+Skills!O27</f>
        <v/>
      </c>
      <c r="G1275">
        <f>Calc!G27</f>
        <v/>
      </c>
      <c r="H1275">
        <f>Calc!H27</f>
        <v/>
      </c>
      <c r="I1275">
        <f>IF(Skills!AA27&lt;&gt;"",1+(Skills!AA27/10)*(U1251/1000)/100,1)</f>
        <v/>
      </c>
      <c r="J1275" t="inlineStr"/>
      <c r="K1275" t="inlineStr"/>
      <c r="L1275" t="inlineStr"/>
      <c r="M1275" t="inlineStr"/>
      <c r="N1275" t="inlineStr"/>
      <c r="O1275">
        <f>(1-Summary!$B$11)*T1275+Summary!$B$11*V1275</f>
        <v/>
      </c>
      <c r="P1275">
        <f>IF(B1292=0,0,O1275/B1292)</f>
        <v/>
      </c>
      <c r="Q1275" t="n">
        <v>0</v>
      </c>
      <c r="R1275" t="n">
        <v>0</v>
      </c>
      <c r="S1275">
        <f>IFERROR(O1275/N1275,0)</f>
        <v/>
      </c>
      <c r="T1275" t="n">
        <v>0</v>
      </c>
      <c r="V1275" t="n">
        <v>0</v>
      </c>
    </row>
    <row r="1276">
      <c r="A1276">
        <f>Skills!A28</f>
        <v/>
      </c>
      <c r="B1276">
        <f>Skills!B28</f>
        <v/>
      </c>
      <c r="C1276">
        <f>Inputs!$B$3&gt;=75</f>
        <v/>
      </c>
      <c r="D1276">
        <f>IF(Skills!C28=1,60+Inputs!$B$25+Inputs!$B$29,IF(Skills!C28=2,90+Inputs!$B$26+Inputs!$B$29,IF(Skills!C28=3,120+Inputs!$B$27+Inputs!$B$29,MAX(0,(Inputs!$B$3-100)*3)+Inputs!$B$28+Inputs!$B$29)))</f>
        <v/>
      </c>
      <c r="E1276">
        <f>INDEX(FactorTable!$B$2:$Y$301, MATCH(ROUND(MIN(300,MAX(1,D1276)),0), FactorTable!$A$2:$A$301,0), Skills!M28+1)</f>
        <v/>
      </c>
      <c r="F1276">
        <f>IF(Skills!N28=TRUE,(Skills!L28/10)*(E1276/1000),Skills!L28/10)+Skills!O28</f>
        <v/>
      </c>
      <c r="G1276">
        <f>Calc!G28</f>
        <v/>
      </c>
      <c r="H1276">
        <f>Calc!H28</f>
        <v/>
      </c>
      <c r="I1276">
        <f>IF(Skills!AA28&lt;&gt;"",1+(Skills!AA28/10)*(U1251/1000)/100,1)</f>
        <v/>
      </c>
      <c r="J1276" t="inlineStr"/>
      <c r="K1276" t="inlineStr"/>
      <c r="L1276" t="inlineStr"/>
      <c r="M1276" t="inlineStr"/>
      <c r="N1276" t="inlineStr"/>
      <c r="O1276">
        <f>(1-Summary!$B$11)*T1276+Summary!$B$11*V1276</f>
        <v/>
      </c>
      <c r="P1276">
        <f>IF(B1292=0,0,O1276/B1292)</f>
        <v/>
      </c>
      <c r="Q1276" t="n">
        <v>0</v>
      </c>
      <c r="R1276" t="n">
        <v>0</v>
      </c>
      <c r="S1276">
        <f>IFERROR(O1276/N1276,0)</f>
        <v/>
      </c>
      <c r="T1276" t="n">
        <v>0</v>
      </c>
      <c r="V1276" t="n">
        <v>0</v>
      </c>
    </row>
    <row r="1277">
      <c r="A1277">
        <f>Skills!A29</f>
        <v/>
      </c>
      <c r="B1277">
        <f>Skills!B29</f>
        <v/>
      </c>
      <c r="C1277">
        <f>Inputs!$B$3&gt;=120</f>
        <v/>
      </c>
      <c r="D1277">
        <f>IF(Skills!C29=1,60+Inputs!$B$25+Inputs!$B$29,IF(Skills!C29=2,90+Inputs!$B$26+Inputs!$B$29,IF(Skills!C29=3,120+Inputs!$B$27+Inputs!$B$29,MAX(0,(Inputs!$B$3-100)*3)+Inputs!$B$28+Inputs!$B$29)))</f>
        <v/>
      </c>
      <c r="E1277">
        <f>INDEX(FactorTable!$B$2:$Y$301, MATCH(ROUND(MIN(300,MAX(1,D1277)),0), FactorTable!$A$2:$A$301,0), Skills!M29+1)</f>
        <v/>
      </c>
      <c r="F1277">
        <f>IF(Skills!N29=TRUE,(Skills!L29/10)*(E1277/1000),Skills!L29/10)+Skills!O29</f>
        <v/>
      </c>
      <c r="G1277">
        <f>Calc!G29</f>
        <v/>
      </c>
      <c r="H1277">
        <f>Calc!H29</f>
        <v/>
      </c>
      <c r="I1277">
        <f>IF(Skills!AA29&lt;&gt;"",1+(Skills!AA29/10)*(U1251/1000)/100,1)</f>
        <v/>
      </c>
      <c r="J1277" t="inlineStr"/>
      <c r="K1277" t="inlineStr"/>
      <c r="L1277" t="inlineStr"/>
      <c r="M1277" t="inlineStr"/>
      <c r="N1277" t="inlineStr"/>
      <c r="O1277">
        <f>(1-Summary!$B$11)*T1277+Summary!$B$11*V1277</f>
        <v/>
      </c>
      <c r="P1277">
        <f>IF(B1292=0,0,O1277/B1292)</f>
        <v/>
      </c>
      <c r="Q1277" t="n">
        <v>0</v>
      </c>
      <c r="R1277" t="n">
        <v>0</v>
      </c>
      <c r="S1277">
        <f>IFERROR(O1277/N1277,0)</f>
        <v/>
      </c>
      <c r="T1277" t="n">
        <v>0</v>
      </c>
      <c r="V1277" t="n">
        <v>0</v>
      </c>
    </row>
    <row r="1278">
      <c r="A1278">
        <f>Skills!A30</f>
        <v/>
      </c>
      <c r="B1278">
        <f>Skills!B30</f>
        <v/>
      </c>
      <c r="C1278">
        <f>Inputs!$B$3&gt;=125</f>
        <v/>
      </c>
      <c r="D1278">
        <f>IF(Skills!C30=1,60+Inputs!$B$25+Inputs!$B$29,IF(Skills!C30=2,90+Inputs!$B$26+Inputs!$B$29,IF(Skills!C30=3,120+Inputs!$B$27+Inputs!$B$29,MAX(0,(Inputs!$B$3-100)*3)+Inputs!$B$28+Inputs!$B$29)))</f>
        <v/>
      </c>
      <c r="E1278">
        <f>INDEX(FactorTable!$B$2:$Y$301, MATCH(ROUND(MIN(300,MAX(1,D1278)),0), FactorTable!$A$2:$A$301,0), Skills!M30+1)</f>
        <v/>
      </c>
      <c r="F1278">
        <f>IF(Skills!N30=TRUE,(Skills!L30/10)*(E1278/1000),Skills!L30/10)+Skills!O30</f>
        <v/>
      </c>
      <c r="G1278">
        <f>Calc!G30</f>
        <v/>
      </c>
      <c r="H1278">
        <f>Calc!H30</f>
        <v/>
      </c>
      <c r="I1278">
        <f>IF(Skills!AA30&lt;&gt;"",1+(Skills!AA30/10)*(U1251/1000)/100,1)</f>
        <v/>
      </c>
      <c r="J1278" t="inlineStr"/>
      <c r="K1278" t="inlineStr"/>
      <c r="L1278" t="inlineStr"/>
      <c r="M1278" t="inlineStr"/>
      <c r="N1278" t="inlineStr"/>
      <c r="O1278">
        <f>(1-Summary!$B$11)*T1278+Summary!$B$11*V1278</f>
        <v/>
      </c>
      <c r="P1278">
        <f>IF(B1292=0,0,O1278/B1292)</f>
        <v/>
      </c>
      <c r="Q1278" t="n">
        <v>0</v>
      </c>
      <c r="R1278" t="n">
        <v>0</v>
      </c>
      <c r="S1278">
        <f>IFERROR(O1278/N1278,0)</f>
        <v/>
      </c>
      <c r="T1278" t="n">
        <v>0</v>
      </c>
      <c r="V1278" t="n">
        <v>0</v>
      </c>
    </row>
    <row r="1279">
      <c r="A1279">
        <f>Skills!A31</f>
        <v/>
      </c>
      <c r="B1279">
        <f>Skills!B31</f>
        <v/>
      </c>
      <c r="C1279">
        <f>Inputs!$B$3&gt;=107</f>
        <v/>
      </c>
      <c r="D1279">
        <f>IF(Skills!C31=1,60+Inputs!$B$25+Inputs!$B$29,IF(Skills!C31=2,90+Inputs!$B$26+Inputs!$B$29,IF(Skills!C31=3,120+Inputs!$B$27+Inputs!$B$29,MAX(0,(Inputs!$B$3-100)*3)+Inputs!$B$28+Inputs!$B$29)))</f>
        <v/>
      </c>
      <c r="E1279">
        <f>INDEX(FactorTable!$B$2:$Y$301, MATCH(ROUND(MIN(300,MAX(1,D1279)),0), FactorTable!$A$2:$A$301,0), Skills!M31+1)</f>
        <v/>
      </c>
      <c r="F1279">
        <f>IF(Skills!N31=TRUE,(Skills!L31/10)*(E1279/1000),Skills!L31/10)+Skills!O31</f>
        <v/>
      </c>
      <c r="G1279">
        <f>Calc!G31</f>
        <v/>
      </c>
      <c r="H1279">
        <f>Calc!H31</f>
        <v/>
      </c>
      <c r="I1279">
        <f>IF(Skills!AA31&lt;&gt;"",1+(Skills!AA31/10)*(U1251/1000)/100,1)</f>
        <v/>
      </c>
      <c r="J1279" t="inlineStr"/>
      <c r="K1279" t="inlineStr"/>
      <c r="L1279" t="inlineStr"/>
      <c r="M1279" t="inlineStr"/>
      <c r="N1279" t="inlineStr"/>
      <c r="O1279">
        <f>(1-Summary!$B$11)*T1279+Summary!$B$11*V1279</f>
        <v/>
      </c>
      <c r="P1279">
        <f>IF(B1292=0,0,O1279/B1292)</f>
        <v/>
      </c>
      <c r="Q1279" t="n">
        <v>0</v>
      </c>
      <c r="R1279" t="n">
        <v>0</v>
      </c>
      <c r="S1279">
        <f>IFERROR(O1279/N1279,0)</f>
        <v/>
      </c>
      <c r="T1279" t="n">
        <v>0</v>
      </c>
      <c r="V1279" t="n">
        <v>0</v>
      </c>
    </row>
    <row r="1281">
      <c r="A1281" t="inlineStr">
        <is>
          <t>Actions Per Second (pre-Adrenalin)</t>
        </is>
      </c>
      <c r="B1281">
        <f>1+MIN(150,150*(1-(1-(Inputs!$B$11+((C1270=TRUE)*(F1270-Calc!F22))+(ArtifactsInput!$M$15-ArtifactsInput!$M$15)*CHOOSE(ArtifactsInput!$N$15+1,8,9.6,11.2,12.8,14.4,16))/150)*(1-((C1267=TRUE)*F1267*IF(AND(Inputs!$B$39&lt;&gt;"pvp",Inputs!$B$44&gt;0),(((R1267-1)*(Skills!Y19*(1+Inputs!$B$34/100))+MIN((Skills!Y19*(1+Inputs!$B$34/100)),MAX(0,Inputs!$B$44-((R1267-1)*Skills!D19))))/Inputs!$B$44),IF(Inputs!$B$39="pvp",MIN((Skills!Y19*(1+Inputs!$B$34/100)),15)/15,(Skills!Y19*(1+Inputs!$B$34/100))/Skills!D19)))/150)))/100</f>
        <v/>
      </c>
    </row>
    <row r="1282">
      <c r="A1282" t="inlineStr">
        <is>
          <t>Alchemic Adrenaline Uptime</t>
        </is>
      </c>
      <c r="B1282">
        <f>(Skills!Y6*(1+Inputs!$B$34/100))/((Skills!Y6*(1+Inputs!$B$34/100))+(5/B1281))</f>
        <v/>
      </c>
    </row>
    <row r="1283">
      <c r="A1283" t="inlineStr">
        <is>
          <t>Attack Speed Buff Bonus %</t>
        </is>
      </c>
      <c r="B1283">
        <f>((C1267=TRUE)*F1267*IF(AND(Inputs!$B$39&lt;&gt;"pvp",Inputs!$B$44&gt;0),(((R1267-1)*(Skills!Y19*(1+Inputs!$B$34/100))+MIN((Skills!Y19*(1+Inputs!$B$34/100)),MAX(0,Inputs!$B$44-((R1267-1)*Skills!D19))))/Inputs!$B$44),IF(Inputs!$B$39="pvp",MIN((Skills!Y19*(1+Inputs!$B$34/100)),15)/15,(Skills!Y19*(1+Inputs!$B$34/100))/Skills!D19)))+((C1255=TRUE)*F1255*B1282)</f>
        <v/>
      </c>
    </row>
    <row r="1284">
      <c r="A1284" t="inlineStr">
        <is>
          <t>Actions Per Second (final)</t>
        </is>
      </c>
      <c r="B1284">
        <f>1+MIN(150,150*(1-(1-(Inputs!$B$11+((C1270=TRUE)*(F1270-Calc!F22))+(ArtifactsInput!$M$15-ArtifactsInput!$M$15)*CHOOSE(ArtifactsInput!$N$15+1,8,9.6,11.2,12.8,14.4,16))/150)*(1-B1283/150)))/100</f>
        <v/>
      </c>
    </row>
    <row r="1285">
      <c r="A1285" t="inlineStr">
        <is>
          <t>Skill + Buff Cast Rate</t>
        </is>
      </c>
      <c r="B1285">
        <f>IF(AND(Inputs!$B$39&lt;&gt;"pvp",Inputs!$B$44&gt;0),SUMPRODUCT((Skills!E2:E31=TRUE)*(C1250:C1279=TRUE)*R1250:R1279*Skills!F2:F31)/Inputs!$B$44,SUMPRODUCT((Skills!E2:E31=TRUE)*(C1250:C1279=TRUE)*Q1250:Q1279*Skills!F2:F31))</f>
        <v/>
      </c>
    </row>
    <row r="1286">
      <c r="A1286" t="inlineStr">
        <is>
          <t>Showdown Casts Per Second</t>
        </is>
      </c>
      <c r="B1286">
        <f>MAX(0,B1284-B1285)</f>
        <v/>
      </c>
    </row>
    <row r="1287">
      <c r="A1287" t="inlineStr">
        <is>
          <t>Average Buff Multiplier</t>
        </is>
      </c>
      <c r="B1287">
        <f>(1+(((C1269=TRUE)*F1269*IF(AND(Inputs!$B$39&lt;&gt;"pvp",Inputs!$B$44&gt;0),(((R1269-1)*(Skills!Y21*(1+Inputs!$B$34/100))+MIN((Skills!Y21*(1+Inputs!$B$34/100)),MAX(0,Inputs!$B$44-((R1269-1)*Skills!D21))))/Inputs!$B$44),IF(Inputs!$B$39="pvp",MIN((Skills!Y21*(1+Inputs!$B$34/100)),15)/15,(Skills!Y21*(1+Inputs!$B$34/100))/Skills!D21)))+((C1276=TRUE)*(F1276-Calc!F28))+((C1266=TRUE)*(F1266-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1263=TRUE)*F1263*IF(AND(Inputs!$B$39&lt;&gt;"pvp",Inputs!$B$44&gt;0),(((R1263-1)*(Skills!Y15*(1+Inputs!$B$34/100))+MIN((Skills!Y15*(1+Inputs!$B$34/100)),MAX(0,Inputs!$B$44-((R1263-1)*Skills!D15))))/Inputs!$B$44),IF(Inputs!$B$39="pvp",MIN((Skills!Y15*(1+Inputs!$B$34/100)),15)/15,(Skills!Y15*(1+Inputs!$B$34/100))/Skills!D15)))/100)*(1+((C1254=TRUE)*F1254*B1282)/100)</f>
        <v/>
      </c>
    </row>
    <row r="1288">
      <c r="A1288" t="inlineStr">
        <is>
          <t>Global Crit Rate Bonus %</t>
        </is>
      </c>
      <c r="B1288">
        <f>IF(Inputs!$B$3&gt;=47,8,0)+((C1268=TRUE)*F1268*IF(AND(Inputs!$B$39&lt;&gt;"pvp",Inputs!$B$44&gt;0),(((R1268-1)*(Skills!Y20*(1+Inputs!$B$34/100))+MIN((Skills!Y20*(1+Inputs!$B$34/100)),MAX(0,Inputs!$B$44-((R1268-1)*Skills!D20))))/Inputs!$B$44),IF(Inputs!$B$39="pvp",MIN((Skills!Y20*(1+Inputs!$B$34/100)),15)/15,(Skills!Y20*(1+Inputs!$B$34/100))/Skills!D20)))</f>
        <v/>
      </c>
    </row>
    <row r="1289">
      <c r="A1289" t="inlineStr">
        <is>
          <t>Global Monster Damage-Taken Bonus %</t>
        </is>
      </c>
      <c r="B1289">
        <f>IF(Inputs!$B$3&gt;=82,15,0)+((C1264=TRUE)*F1264*IF(AND(Inputs!$B$39&lt;&gt;"pvp",Inputs!$B$44&gt;0),(((R1264-1)*(Skills!Y16*(1+Inputs!$B$34/100))+MIN((Skills!Y16*(1+Inputs!$B$34/100)),MAX(0,Inputs!$B$44-((R1264-1)*Skills!D16))))/Inputs!$B$44),IF(Inputs!$B$39="pvp",MIN((Skills!Y16*(1+Inputs!$B$34/100)),15)/15,(Skills!Y16*(1+Inputs!$B$34/100))/Skills!D16)))</f>
        <v/>
      </c>
    </row>
    <row r="1290">
      <c r="A1290" t="inlineStr">
        <is>
          <t>Shadow Partner Average Multiplier</t>
        </is>
      </c>
      <c r="B1290">
        <f>1+((C1259=TRUE)*F1259*I1259*Skills!J11/100)/100</f>
        <v/>
      </c>
    </row>
    <row r="1291">
      <c r="A1291" t="inlineStr">
        <is>
          <t>Global Critical Damage Bonus % (Frailty Curse Mastery Lv.111)</t>
        </is>
      </c>
      <c r="B1291">
        <f>IF(Inputs!$B$3&gt;=111,30,0)*IF(AND(Inputs!$B$39&lt;&gt;"pvp",Inputs!$B$44&gt;0),(((R1264-1)*(Skills!Y16*(1+Inputs!$B$34/100))+MIN((Skills!Y16*(1+Inputs!$B$34/100)),MAX(0,Inputs!$B$44-((R1264-1)*Skills!D16))))/Inputs!$B$44),IF(Inputs!$B$39="pvp",MIN((Skills!Y16*(1+Inputs!$B$34/100)),15)/15,(Skills!Y16*(1+Inputs!$B$34/100))/Skills!D16))</f>
        <v/>
      </c>
    </row>
    <row r="1292">
      <c r="A1292" s="6" t="inlineStr">
        <is>
          <t>TOTAL DPS</t>
        </is>
      </c>
      <c r="B1292" s="6">
        <f>SUM(O1250:O1279)</f>
        <v/>
      </c>
    </row>
    <row r="1293">
      <c r="A1293" t="inlineStr">
        <is>
          <t>Buff-Casting Startup Delay (s, fixed-duration only)</t>
        </is>
      </c>
      <c r="B1293">
        <f>IF(AND(Inputs!$B$39&lt;&gt;"pvp",Inputs!$B$44&gt;0),SUMPRODUCT((Skills!Y2:Y31&gt;0)*(Skills!E2:E31=TRUE)*(C1250:C1279=TRUE))/B1284,0)</f>
        <v/>
      </c>
    </row>
    <row r="1294">
      <c r="A1294" t="inlineStr">
        <is>
          <t>Boss-Only Total DPS (this block's swept value)</t>
        </is>
      </c>
      <c r="B1294">
        <f>SUM(T1250:T1279)</f>
        <v/>
      </c>
    </row>
    <row r="1295">
      <c r="A1295" t="inlineStr">
        <is>
          <t>Normal-Only Total DPS (this block's swept value)</t>
        </is>
      </c>
      <c r="B1295">
        <f>SUM(V1250:V1279)</f>
        <v/>
      </c>
    </row>
    <row r="1297">
      <c r="A1297" s="6" t="inlineStr">
        <is>
          <t>Stat: Buff Duration Increase %</t>
        </is>
      </c>
    </row>
    <row r="1298">
      <c r="A1298" s="5" t="inlineStr">
        <is>
          <t>Key</t>
        </is>
      </c>
      <c r="B1298" s="5" t="inlineStr">
        <is>
          <t>Name</t>
        </is>
      </c>
      <c r="C1298" s="5" t="inlineStr">
        <is>
          <t>Unlocked</t>
        </is>
      </c>
      <c r="D1298" s="5" t="inlineStr">
        <is>
          <t>InputLevel</t>
        </is>
      </c>
      <c r="E1298" s="5" t="inlineStr">
        <is>
          <t>Factor</t>
        </is>
      </c>
      <c r="F1298" s="5" t="inlineStr">
        <is>
          <t>CoefficientPercent</t>
        </is>
      </c>
      <c r="G1298" s="5" t="inlineStr">
        <is>
          <t>EffectiveHits</t>
        </is>
      </c>
      <c r="H1298" s="5" t="inlineStr">
        <is>
          <t>ProcProbability</t>
        </is>
      </c>
      <c r="I1298" s="5" t="inlineStr">
        <is>
          <t>MapleHeroMultiplier</t>
        </is>
      </c>
      <c r="J1298" s="5" t="inlineStr">
        <is>
          <t>BaseDamage</t>
        </is>
      </c>
      <c r="K1298" s="5" t="inlineStr">
        <is>
          <t>BaseHitDamage</t>
        </is>
      </c>
      <c r="L1298" s="5" t="inlineStr">
        <is>
          <t>NonCritAvg</t>
        </is>
      </c>
      <c r="M1298" s="5" t="inlineStr">
        <is>
          <t>CritAvg</t>
        </is>
      </c>
      <c r="N1298" s="5" t="inlineStr">
        <is>
          <t>ExpectedDamage(perHit)</t>
        </is>
      </c>
      <c r="O1298" s="5" t="inlineStr">
        <is>
          <t>DPS</t>
        </is>
      </c>
      <c r="P1298" s="5" t="inlineStr">
        <is>
          <t>% of Total</t>
        </is>
      </c>
      <c r="Q1298" s="5" t="inlineStr">
        <is>
          <t>InvCooldown</t>
        </is>
      </c>
      <c r="R1298" s="5" t="inlineStr">
        <is>
          <t>CastsInFight</t>
        </is>
      </c>
      <c r="S1298" s="5" t="inlineStr">
        <is>
          <t>HitRate(perSec)</t>
        </is>
      </c>
      <c r="U1298" t="inlineStr">
        <is>
          <t>helpers</t>
        </is>
      </c>
    </row>
    <row r="1299">
      <c r="A1299">
        <f>Skills!A2</f>
        <v/>
      </c>
      <c r="B1299">
        <f>Skills!B2</f>
        <v/>
      </c>
      <c r="C1299">
        <f>Inputs!$B$3&gt;=100</f>
        <v/>
      </c>
      <c r="D1299" t="inlineStr"/>
      <c r="E1299" t="inlineStr"/>
      <c r="F1299">
        <f>U1303+Skills!O2</f>
        <v/>
      </c>
      <c r="G1299">
        <f>Calc!G2</f>
        <v/>
      </c>
      <c r="H1299">
        <f>Calc!H2</f>
        <v/>
      </c>
      <c r="I1299">
        <f>IF(Skills!AA2&lt;&gt;"",1+(Skills!AA2/10)*(U1300/1000)/100,1)</f>
        <v/>
      </c>
      <c r="J1299">
        <f>((Inputs!$B$6*(1+Inputs!$B$7/100))+(((Inputs!$B$12*(1+Inputs!$B$13/100))-(Inputs!$B$12*(1+Inputs!$B$13/100)))+0.25*(Inputs!$B$14-Inputs!$B$14))*(1+Inputs!$B$7/100))*(F1299/100)</f>
        <v/>
      </c>
      <c r="K1299">
        <f>J1299*(1+((Inputs!$B$12*(1+Inputs!$B$13/100))*0.01+Inputs!$B$14*0.0025)/100)*(1+Inputs!$B$15/100)*(1+Inputs!$B$16/100)*(5000/(6000+Inputs!$B$43*(1-(100*(1-(1-(Inputs!$B$19+0)/100)*(1-CHOOSE(ArtifactsInput!$N$40+1,5,6,7,8,9,10)/100)^(ArtifactsInput!$M$40-ArtifactsInput!$M$40)))/100)))*(1+(Inputs!$B$24+((C1327=TRUE)*(F1327-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1320=TRUE)*(F1320-Calc!F23))+(((IF(AND(ArtifactsInput!$M$42,((Inputs!$B$9+((C1322=TRUE)*(F1322-Calc!F25))+B1337+(ArtifactsInput!$M$24-ArtifactsInput!$M$24)*CHOOSE(ArtifactsInput!$N$24+1,10,12,14,16,18,20)+IF(ArtifactsInput!$M$10,CHOOSE(ArtifactsInput!$N$10+1,15,18,21,24,27,30)*(IF(Inputs!$B$39="pvp",MIN(15,15)/15,IF(AND(Inputs!$B$39&lt;&gt;"pvp",Inputs!$B$44&gt;0),MIN(15,Inputs!$B$44)/(Inputs!$B$44),0))),0)))&gt;=100),MIN(100,((Inputs!$B$9+((C1322=TRUE)*(F1322-Calc!F25))+B1337+(ArtifactsInput!$M$24-ArtifactsInput!$M$24)*CHOOSE(ArtifactsInput!$N$24+1,10,12,14,16,18,20)+IF(ArtifactsInput!$M$10,CHOOSE(ArtifactsInput!$N$10+1,15,18,21,24,27,30)*(IF(Inputs!$B$39="pvp",MIN(15,15)/15,IF(AND(Inputs!$B$39&lt;&gt;"pvp",Inputs!$B$44&gt;0),MIN(15,Inputs!$B$44)/(Inputs!$B$44),0))),0)))-100),0))*CHOOSE(ArtifactsInput!$N$42+1,0.6,0.72,0.84,0.96,1.08,1.2))),Inputs!$B$18+((C1326=TRUE)*(F1326-Calc!F29))+(IF(AND(ArtifactsInput!$M$42,((Inputs!$B$9+((C1322=TRUE)*(F1322-Calc!F25))+B1337+(ArtifactsInput!$M$24-ArtifactsInput!$M$24)*CHOOSE(ArtifactsInput!$N$24+1,10,12,14,16,18,20)+IF(ArtifactsInput!$M$10,CHOOSE(ArtifactsInput!$N$10+1,15,18,21,24,27,30)*(IF(Inputs!$B$39="pvp",MIN(15,15)/15,IF(AND(Inputs!$B$39&lt;&gt;"pvp",Inputs!$B$44&gt;0),MIN(15,Inputs!$B$44)/(Inputs!$B$44),0))),0)))&gt;=100),CHOOSE(ArtifactsInput!$N$42+1,40,48,56,64,72,80),0))))/100)*(((1+(((C1318=TRUE)*F1318*IF(AND(Inputs!$B$39&lt;&gt;"pvp",Inputs!$B$44&gt;0),(((R1318-1)*(Skills!Y21*(1+(Inputs!$B$34+1)/100))+MIN((Skills!Y21*(1+(Inputs!$B$34+1)/100)),MAX(0,Inputs!$B$44-((R1318-1)*Skills!D21))))/Inputs!$B$44),IF(Inputs!$B$39="pvp",MIN((Skills!Y21*(1+(Inputs!$B$34+1)/100)),15)/15,(Skills!Y21*(1+(Inputs!$B$34+1)/100))/Skills!D21)))+((C1325=TRUE)*(F1325-Calc!F28))+((C1315=TRUE)*(F1315-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1312=TRUE)*F1312*IF(AND(Inputs!$B$39&lt;&gt;"pvp",Inputs!$B$44&gt;0),(((R1312-1)*(Skills!Y15*(1+(Inputs!$B$34+1)/100))+MIN((Skills!Y15*(1+(Inputs!$B$34+1)/100)),MAX(0,Inputs!$B$44-((R1312-1)*Skills!D15))))/Inputs!$B$44),IF(Inputs!$B$39="pvp",MIN((Skills!Y15*(1+(Inputs!$B$34+1)/100)),15)/15,(Skills!Y15*(1+(Inputs!$B$34+1)/100))/Skills!D15)))/100)*(1+((C1303=TRUE)*F1303*B1331)/100))*B1339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1299)</f>
        <v/>
      </c>
      <c r="L1299">
        <f>K1299*(MIN(Inputs!$B$22+((C1321=TRUE)*(F1321-Calc!F24)),(Inputs!$B$23+0+(IF(ArtifactsInput!$M$15,CHOOSE(ArtifactsInput!$N$15+1,25,30,35,40,45,50)/100*(Inputs!$B$11-Inputs!$B$11),0))))/100+(Inputs!$B$23+0+(IF(ArtifactsInput!$M$15,CHOOSE(ArtifactsInput!$N$15+1,25,30,35,40,45,50)/100*(Inputs!$B$11-Inputs!$B$11),0)))/100)/2</f>
        <v/>
      </c>
      <c r="M1299">
        <f>L1299*(1+(Inputs!$B$10+((C1323=TRUE)*(F1323-Calc!F26))+B1340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99">
        <f>L1299*(1-MIN((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1299*(MIN((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99">
        <f>(1-Summary!$B$11)*T1299+Summary!$B$11*V1299</f>
        <v/>
      </c>
      <c r="P1299">
        <f>IF(B1341=0,0,O1299/B1341)</f>
        <v/>
      </c>
      <c r="Q1299" t="n">
        <v>0</v>
      </c>
      <c r="R1299" t="n">
        <v>0</v>
      </c>
      <c r="S1299">
        <f>IFERROR(O1299/N1299,0)</f>
        <v/>
      </c>
      <c r="T1299">
        <f>IF(C1299,(Skills!G2*N1299*B1335)*IF(Inputs!$B$39="pvp",1,1+(Inputs!$B$20+((C1324=TRUE)*(F1324-Calc!F27))+Skills!P2+B1338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Hunt"),CHOOSE(ArtifactsInput!$N$35+1,15,18,21,24,27,30)*(1-EXP(-(0.2*B1333)*5)),0)+IF(AND(ArtifactsInput!$M$22,Inputs!$B$4&lt;&gt;"Chapter Hunt"),CHOOSE(ArtifactsInput!$N$22+1,10,12,14,16,18,20)*((0*(((0.15*B1333*5))^0/1)+1*(((0.15*B1333*5))^1/1)+2*(((0.15*B1333*5))^2/2)+3*(((0.15*B1333*5))^3/6)+4*(((0.15*B1333*5))^4/24)+5*(((0.15*B1333*5))^5/120))/((((0.15*B1333*5))^0/1)+(((0.15*B1333*5))^1/1)+(((0.15*B1333*5))^2/2)+(((0.15*B1333*5))^3/6)+(((0.15*B1333*5))^4/24)+(((0.15*B1333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1299*(1-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1299*(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1299*(1-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1299*(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99">
        <f>MAX(0,(Inputs!$B$3-100)*3)+Inputs!$B$28+Inputs!$B$29</f>
        <v/>
      </c>
      <c r="V1299">
        <f>IF(C1299,(Skills!G2*N1299*B1335)*IF(Inputs!$B$39="pvp",1,(1+(Inputs!$B$21+Skills!Q2+B1338+(IF(ArtifactsInput!$M$33,CHOOSE(ArtifactsInput!$N$33+1,30,36,42,48,54,60),0))+(IF(AND(ArtifactsInput!$M$35,Inputs!$B$4&lt;&gt;"Chapter Hunt"),CHOOSE(ArtifactsInput!$N$35+1,15,18,21,24,27,30)*(1-EXP(-(0.2*B1333)*5)),0)+IF(AND(ArtifactsInput!$M$22,Inputs!$B$4&lt;&gt;"Chapter Hunt"),CHOOSE(ArtifactsInput!$N$22+1,10,12,14,16,18,20)*((0*(((0.15*B1333*5))^0/1)+1*(((0.15*B1333*5))^1/1)+2*(((0.15*B1333*5))^2/2)+3*(((0.15*B1333*5))^3/6)+4*(((0.15*B1333*5))^4/24)+5*(((0.15*B1333*5))^5/120))/((((0.15*B1333*5))^0/1)+(((0.15*B1333*5))^1/1)+(((0.15*B1333*5))^2/2)+(((0.15*B1333*5))^3/6)+(((0.15*B1333*5))^4/24)+(((0.15*B1333*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00">
      <c r="A1300">
        <f>Skills!A3</f>
        <v/>
      </c>
      <c r="B1300">
        <f>Skills!B3</f>
        <v/>
      </c>
      <c r="C1300">
        <f>Inputs!$B$3&gt;=35</f>
        <v/>
      </c>
      <c r="D1300">
        <f>IF(Skills!C3=1,60+Inputs!$B$25+Inputs!$B$29,IF(Skills!C3=2,90+Inputs!$B$26+Inputs!$B$29,IF(Skills!C3=3,120+Inputs!$B$27+Inputs!$B$29,MAX(0,(Inputs!$B$3-100)*3)+Inputs!$B$28+Inputs!$B$29)))</f>
        <v/>
      </c>
      <c r="E1300">
        <f>INDEX(FactorTable!$B$2:$Y$301, MATCH(ROUND(MIN(300,MAX(1,D1300)),0), FactorTable!$A$2:$A$301,0), Skills!M3+1)</f>
        <v/>
      </c>
      <c r="F1300">
        <f>IF(Skills!N3=TRUE,(Skills!L3/10)*(E1300/1000),Skills!L3/10)+Skills!O3</f>
        <v/>
      </c>
      <c r="G1300">
        <f>Calc!G3</f>
        <v/>
      </c>
      <c r="H1300">
        <f>Calc!H3</f>
        <v/>
      </c>
      <c r="I1300">
        <f>IF(Skills!AA3&lt;&gt;"",1+(Skills!AA3/10)*(U1300/1000)/100,1)</f>
        <v/>
      </c>
      <c r="J1300">
        <f>((Inputs!$B$6*(1+Inputs!$B$7/100))+(((Inputs!$B$12*(1+Inputs!$B$13/100))-(Inputs!$B$12*(1+Inputs!$B$13/100)))+0.25*(Inputs!$B$14-Inputs!$B$14))*(1+Inputs!$B$7/100))*(F1300/100)</f>
        <v/>
      </c>
      <c r="K1300">
        <f>J1300*(1+((Inputs!$B$12*(1+Inputs!$B$13/100))*0.01+Inputs!$B$14*0.0025)/100)*(1+Inputs!$B$15/100)*(1+Inputs!$B$16/100)*(5000/(6000+Inputs!$B$43*(1-(100*(1-(1-(Inputs!$B$19+0)/100)*(1-CHOOSE(ArtifactsInput!$N$40+1,5,6,7,8,9,10)/100)^(ArtifactsInput!$M$40-ArtifactsInput!$M$40)))/100)))*(1+(Inputs!$B$24+((C1327=TRUE)*(F1327-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1320=TRUE)*(F1320-Calc!F23))+(((IF(AND(ArtifactsInput!$M$42,((Inputs!$B$9+((C1322=TRUE)*(F1322-Calc!F25))+B1337+(ArtifactsInput!$M$24-ArtifactsInput!$M$24)*CHOOSE(ArtifactsInput!$N$24+1,10,12,14,16,18,20)+IF(ArtifactsInput!$M$10,CHOOSE(ArtifactsInput!$N$10+1,15,18,21,24,27,30)*(IF(Inputs!$B$39="pvp",MIN(15,15)/15,IF(AND(Inputs!$B$39&lt;&gt;"pvp",Inputs!$B$44&gt;0),MIN(15,Inputs!$B$44)/(Inputs!$B$44),0))),0)))&gt;=100),MIN(100,((Inputs!$B$9+((C1322=TRUE)*(F1322-Calc!F25))+B1337+(ArtifactsInput!$M$24-ArtifactsInput!$M$24)*CHOOSE(ArtifactsInput!$N$24+1,10,12,14,16,18,20)+IF(ArtifactsInput!$M$10,CHOOSE(ArtifactsInput!$N$10+1,15,18,21,24,27,30)*(IF(Inputs!$B$39="pvp",MIN(15,15)/15,IF(AND(Inputs!$B$39&lt;&gt;"pvp",Inputs!$B$44&gt;0),MIN(15,Inputs!$B$44)/(Inputs!$B$44),0))),0)))-100),0))*CHOOSE(ArtifactsInput!$N$42+1,0.6,0.72,0.84,0.96,1.08,1.2))),Inputs!$B$18+((C1326=TRUE)*(F1326-Calc!F29))+(IF(AND(ArtifactsInput!$M$42,((Inputs!$B$9+((C1322=TRUE)*(F1322-Calc!F25))+B1337+(ArtifactsInput!$M$24-ArtifactsInput!$M$24)*CHOOSE(ArtifactsInput!$N$24+1,10,12,14,16,18,20)+IF(ArtifactsInput!$M$10,CHOOSE(ArtifactsInput!$N$10+1,15,18,21,24,27,30)*(IF(Inputs!$B$39="pvp",MIN(15,15)/15,IF(AND(Inputs!$B$39&lt;&gt;"pvp",Inputs!$B$44&gt;0),MIN(15,Inputs!$B$44)/(Inputs!$B$44),0))),0)))&gt;=100),CHOOSE(ArtifactsInput!$N$42+1,40,48,56,64,72,80),0))))/100)*(((1+(((C1318=TRUE)*F1318*IF(AND(Inputs!$B$39&lt;&gt;"pvp",Inputs!$B$44&gt;0),(((R1318-1)*(Skills!Y21*(1+(Inputs!$B$34+1)/100))+MIN((Skills!Y21*(1+(Inputs!$B$34+1)/100)),MAX(0,Inputs!$B$44-((R1318-1)*Skills!D21))))/Inputs!$B$44),IF(Inputs!$B$39="pvp",MIN((Skills!Y21*(1+(Inputs!$B$34+1)/100)),15)/15,(Skills!Y21*(1+(Inputs!$B$34+1)/100))/Skills!D21)))+((C1325=TRUE)*(F1325-Calc!F28))+((C1315=TRUE)*(F1315-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1312=TRUE)*F1312*IF(AND(Inputs!$B$39&lt;&gt;"pvp",Inputs!$B$44&gt;0),(((R1312-1)*(Skills!Y15*(1+(Inputs!$B$34+1)/100))+MIN((Skills!Y15*(1+(Inputs!$B$34+1)/100)),MAX(0,Inputs!$B$44-((R1312-1)*Skills!D15))))/Inputs!$B$44),IF(Inputs!$B$39="pvp",MIN((Skills!Y15*(1+(Inputs!$B$34+1)/100)),15)/15,(Skills!Y15*(1+(Inputs!$B$34+1)/100))/Skills!D15)))/100)*(1+((C1303=TRUE)*F1303*B1331)/100))*B1339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1300)</f>
        <v/>
      </c>
      <c r="L1300">
        <f>K1300*(MIN(Inputs!$B$22+((C1321=TRUE)*(F1321-Calc!F24)),(Inputs!$B$23+0+(IF(ArtifactsInput!$M$15,CHOOSE(ArtifactsInput!$N$15+1,25,30,35,40,45,50)/100*(Inputs!$B$11-Inputs!$B$11),0))))/100+(Inputs!$B$23+0+(IF(ArtifactsInput!$M$15,CHOOSE(ArtifactsInput!$N$15+1,25,30,35,40,45,50)/100*(Inputs!$B$11-Inputs!$B$11),0)))/100)/2</f>
        <v/>
      </c>
      <c r="M1300">
        <f>L1300*(1+(Inputs!$B$10+((C1323=TRUE)*(F1323-Calc!F26))+B1340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00">
        <f>L1300*(1-MIN((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1300*(MIN((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00">
        <f>(1-Summary!$B$11)*T1300+Summary!$B$11*V1300</f>
        <v/>
      </c>
      <c r="P1300">
        <f>IF(B1341=0,0,O1300/B1341)</f>
        <v/>
      </c>
      <c r="Q1300">
        <f>IFERROR(1/IF(Inputs!$B$39="pvp",15,MAX(0.1,Skills!D3-IF(Skills!E3=TRUE,Inputs!$B$32,0))),0)</f>
        <v/>
      </c>
      <c r="R1300">
        <f>IF(AND(Inputs!$B$39&lt;&gt;"pvp",Inputs!$B$44&gt;0),IF(MAX(0,Inputs!$B$44-B1342)&lt;=0,0,(INT(MAX(0,Inputs!$B$44-B1342)/IF(Inputs!$B$39="pvp",15,MAX(0.1,Skills!D3-IF(Skills!E3=TRUE,Inputs!$B$32,0))))+1)),0)</f>
        <v/>
      </c>
      <c r="S1300">
        <f>IFERROR(O1300/N1300,0)</f>
        <v/>
      </c>
      <c r="T1300">
        <f>IF(C1300,(H1300*N1300*IF(AND(Inputs!$B$39&lt;&gt;"pvp",Inputs!$B$44&gt;0),((Skills!G3*((R1300-1)*IF(Skills!H3&gt;0,Skills!I3/Skills!H3,1)+IF(Skills!H3&gt;0,MIN(Skills!I3,MAX(0,MAX(0,Inputs!$B$44-B1342)-((R1300-1)*IF(Inputs!$B$39="pvp",15,MAX(0.1,Skills!D3-IF(Skills!E3=TRUE,Inputs!$B$32,0))))))/Skills!H3,1)))/Inputs!$B$44),G1300*Q1300))*IF(Inputs!$B$39="pvp",1,1+(Inputs!$B$20+((C1324=TRUE)*(F1324-Calc!F27))+Skills!P3+B1338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Hunt"),CHOOSE(ArtifactsInput!$N$35+1,15,18,21,24,27,30)*(1-EXP(-(0.2*B1333)*5)),0)+IF(AND(ArtifactsInput!$M$22,Inputs!$B$4&lt;&gt;"Chapter Hunt"),CHOOSE(ArtifactsInput!$N$22+1,10,12,14,16,18,20)*((0*(((0.15*B1333*5))^0/1)+1*(((0.15*B1333*5))^1/1)+2*(((0.15*B1333*5))^2/2)+3*(((0.15*B1333*5))^3/6)+4*(((0.15*B1333*5))^4/24)+5*(((0.15*B1333*5))^5/120))/((((0.15*B1333*5))^0/1)+(((0.15*B1333*5))^1/1)+(((0.15*B1333*5))^2/2)+(((0.15*B1333*5))^3/6)+(((0.15*B1333*5))^4/24)+(((0.15*B1333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1300*(1-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1300*(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1300*(1-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1300*(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00">
        <f>INDEX(FactorTable!$B$2:$Y$301, MATCH(ROUND(MIN(300,MAX(1,U1299)),0), FactorTable!$A$2:$A$301,0), 24)</f>
        <v/>
      </c>
      <c r="V1300">
        <f>IF(C1300,(H1300*N1300*IF(AND(Inputs!$B$39&lt;&gt;"pvp",Inputs!$B$44&gt;0),((Skills!G3*((R1300-1)*IF(Skills!H3&gt;0,Skills!I3/Skills!H3,1)+IF(Skills!H3&gt;0,MIN(Skills!I3,MAX(0,MAX(0,Inputs!$B$44-B1342)-((R1300-1)*IF(Inputs!$B$39="pvp",15,MAX(0.1,Skills!D3-IF(Skills!E3=TRUE,Inputs!$B$32,0))))))/Skills!H3,1)))/Inputs!$B$44),G1300*Q1300))*IF(Inputs!$B$39="pvp",1,(1+(Inputs!$B$21+Skills!Q3+B1338+(IF(ArtifactsInput!$M$33,CHOOSE(ArtifactsInput!$N$33+1,30,36,42,48,54,60),0))+(IF(AND(ArtifactsInput!$M$35,Inputs!$B$4&lt;&gt;"Chapter Hunt"),CHOOSE(ArtifactsInput!$N$35+1,15,18,21,24,27,30)*(1-EXP(-(0.2*B1333)*5)),0)+IF(AND(ArtifactsInput!$M$22,Inputs!$B$4&lt;&gt;"Chapter Hunt"),CHOOSE(ArtifactsInput!$N$22+1,10,12,14,16,18,20)*((0*(((0.15*B1333*5))^0/1)+1*(((0.15*B1333*5))^1/1)+2*(((0.15*B1333*5))^2/2)+3*(((0.15*B1333*5))^3/6)+4*(((0.15*B1333*5))^4/24)+5*(((0.15*B1333*5))^5/120))/((((0.15*B1333*5))^0/1)+(((0.15*B1333*5))^1/1)+(((0.15*B1333*5))^2/2)+(((0.15*B1333*5))^3/6)+(((0.15*B1333*5))^4/24)+(((0.15*B1333*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01">
      <c r="A1301">
        <f>Skills!A4</f>
        <v/>
      </c>
      <c r="B1301">
        <f>Skills!B4</f>
        <v/>
      </c>
      <c r="C1301">
        <f>Inputs!$B$3&gt;=40</f>
        <v/>
      </c>
      <c r="D1301">
        <f>IF(Skills!C4=1,60+Inputs!$B$25+Inputs!$B$29,IF(Skills!C4=2,90+Inputs!$B$26+Inputs!$B$29,IF(Skills!C4=3,120+Inputs!$B$27+Inputs!$B$29,MAX(0,(Inputs!$B$3-100)*3)+Inputs!$B$28+Inputs!$B$29)))</f>
        <v/>
      </c>
      <c r="E1301">
        <f>INDEX(FactorTable!$B$2:$Y$301, MATCH(ROUND(MIN(300,MAX(1,D1301)),0), FactorTable!$A$2:$A$301,0), Skills!M4+1)</f>
        <v/>
      </c>
      <c r="F1301">
        <f>IF(Skills!N4=TRUE,(Skills!L4/10)*(E1301/1000),Skills!L4/10)+Skills!O4</f>
        <v/>
      </c>
      <c r="G1301">
        <f>Calc!G4</f>
        <v/>
      </c>
      <c r="H1301">
        <f>Calc!H4</f>
        <v/>
      </c>
      <c r="I1301">
        <f>IF(Skills!AA4&lt;&gt;"",1+(Skills!AA4/10)*(U1300/1000)/100,1)</f>
        <v/>
      </c>
      <c r="J1301">
        <f>((Inputs!$B$6*(1+Inputs!$B$7/100))+(((Inputs!$B$12*(1+Inputs!$B$13/100))-(Inputs!$B$12*(1+Inputs!$B$13/100)))+0.25*(Inputs!$B$14-Inputs!$B$14))*(1+Inputs!$B$7/100))*(F1301/100)</f>
        <v/>
      </c>
      <c r="K1301">
        <f>J1301*(1+((Inputs!$B$12*(1+Inputs!$B$13/100))*0.01+Inputs!$B$14*0.0025)/100)*(1+Inputs!$B$15/100)*(1+Inputs!$B$16/100)*(5000/(6000+Inputs!$B$43*(1-(100*(1-(1-(Inputs!$B$19+0)/100)*(1-CHOOSE(ArtifactsInput!$N$40+1,5,6,7,8,9,10)/100)^(ArtifactsInput!$M$40-ArtifactsInput!$M$40)))/100)))*(1+(Inputs!$B$24+((C1327=TRUE)*(F1327-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1320=TRUE)*(F1320-Calc!F23))+(((IF(AND(ArtifactsInput!$M$42,((Inputs!$B$9+((C1322=TRUE)*(F1322-Calc!F25))+B1337+(ArtifactsInput!$M$24-ArtifactsInput!$M$24)*CHOOSE(ArtifactsInput!$N$24+1,10,12,14,16,18,20)+IF(ArtifactsInput!$M$10,CHOOSE(ArtifactsInput!$N$10+1,15,18,21,24,27,30)*(IF(Inputs!$B$39="pvp",MIN(15,15)/15,IF(AND(Inputs!$B$39&lt;&gt;"pvp",Inputs!$B$44&gt;0),MIN(15,Inputs!$B$44)/(Inputs!$B$44),0))),0)))&gt;=100),MIN(100,((Inputs!$B$9+((C1322=TRUE)*(F1322-Calc!F25))+B1337+(ArtifactsInput!$M$24-ArtifactsInput!$M$24)*CHOOSE(ArtifactsInput!$N$24+1,10,12,14,16,18,20)+IF(ArtifactsInput!$M$10,CHOOSE(ArtifactsInput!$N$10+1,15,18,21,24,27,30)*(IF(Inputs!$B$39="pvp",MIN(15,15)/15,IF(AND(Inputs!$B$39&lt;&gt;"pvp",Inputs!$B$44&gt;0),MIN(15,Inputs!$B$44)/(Inputs!$B$44),0))),0)))-100),0))*CHOOSE(ArtifactsInput!$N$42+1,0.6,0.72,0.84,0.96,1.08,1.2))),Inputs!$B$18+((C1326=TRUE)*(F1326-Calc!F29))+(IF(AND(ArtifactsInput!$M$42,((Inputs!$B$9+((C1322=TRUE)*(F1322-Calc!F25))+B1337+(ArtifactsInput!$M$24-ArtifactsInput!$M$24)*CHOOSE(ArtifactsInput!$N$24+1,10,12,14,16,18,20)+IF(ArtifactsInput!$M$10,CHOOSE(ArtifactsInput!$N$10+1,15,18,21,24,27,30)*(IF(Inputs!$B$39="pvp",MIN(15,15)/15,IF(AND(Inputs!$B$39&lt;&gt;"pvp",Inputs!$B$44&gt;0),MIN(15,Inputs!$B$44)/(Inputs!$B$44),0))),0)))&gt;=100),CHOOSE(ArtifactsInput!$N$42+1,40,48,56,64,72,80),0))))/100)*(((1+(((C1318=TRUE)*F1318*IF(AND(Inputs!$B$39&lt;&gt;"pvp",Inputs!$B$44&gt;0),(((R1318-1)*(Skills!Y21*(1+(Inputs!$B$34+1)/100))+MIN((Skills!Y21*(1+(Inputs!$B$34+1)/100)),MAX(0,Inputs!$B$44-((R1318-1)*Skills!D21))))/Inputs!$B$44),IF(Inputs!$B$39="pvp",MIN((Skills!Y21*(1+(Inputs!$B$34+1)/100)),15)/15,(Skills!Y21*(1+(Inputs!$B$34+1)/100))/Skills!D21)))+((C1325=TRUE)*(F1325-Calc!F28))+((C1315=TRUE)*(F1315-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1312=TRUE)*F1312*IF(AND(Inputs!$B$39&lt;&gt;"pvp",Inputs!$B$44&gt;0),(((R1312-1)*(Skills!Y15*(1+(Inputs!$B$34+1)/100))+MIN((Skills!Y15*(1+(Inputs!$B$34+1)/100)),MAX(0,Inputs!$B$44-((R1312-1)*Skills!D15))))/Inputs!$B$44),IF(Inputs!$B$39="pvp",MIN((Skills!Y15*(1+(Inputs!$B$34+1)/100)),15)/15,(Skills!Y15*(1+(Inputs!$B$34+1)/100))/Skills!D15)))/100)*(1+((C1303=TRUE)*F1303*B1331)/100))*B1339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1301)</f>
        <v/>
      </c>
      <c r="L1301">
        <f>K1301*(MIN(Inputs!$B$22+((C1321=TRUE)*(F1321-Calc!F24)),(Inputs!$B$23+0+(IF(ArtifactsInput!$M$15,CHOOSE(ArtifactsInput!$N$15+1,25,30,35,40,45,50)/100*(Inputs!$B$11-Inputs!$B$11),0))))/100+(Inputs!$B$23+0+(IF(ArtifactsInput!$M$15,CHOOSE(ArtifactsInput!$N$15+1,25,30,35,40,45,50)/100*(Inputs!$B$11-Inputs!$B$11),0)))/100)/2</f>
        <v/>
      </c>
      <c r="M1301">
        <f>L1301*(1+(Inputs!$B$10+((C1323=TRUE)*(F1323-Calc!F26))+B1340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01">
        <f>L1301*(1-MIN((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1301*(MIN((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01">
        <f>(1-Summary!$B$11)*T1301+Summary!$B$11*V1301</f>
        <v/>
      </c>
      <c r="P1301">
        <f>IF(B1341=0,0,O1301/B1341)</f>
        <v/>
      </c>
      <c r="Q1301">
        <f>IFERROR(1/IF(Inputs!$B$39="pvp",15,MAX(0.1,Skills!D4-IF(Skills!E4=TRUE,Inputs!$B$32,0))),0)</f>
        <v/>
      </c>
      <c r="R1301">
        <f>IF(AND(Inputs!$B$39&lt;&gt;"pvp",Inputs!$B$44&gt;0),IF(MAX(0,Inputs!$B$44-B1342)&lt;=0,0,(INT(MAX(0,Inputs!$B$44-B1342)/IF(Inputs!$B$39="pvp",15,MAX(0.1,Skills!D4-IF(Skills!E4=TRUE,Inputs!$B$32,0))))+1)),0)</f>
        <v/>
      </c>
      <c r="S1301">
        <f>IFERROR(O1301/N1301,0)</f>
        <v/>
      </c>
      <c r="T1301">
        <f>IF(C1301,(H1301*N1301*IF(AND(Inputs!$B$39&lt;&gt;"pvp",Inputs!$B$44&gt;0),((Skills!G4*((R1301-1)*IF(Skills!H4&gt;0,Skills!I4/Skills!H4,1)+IF(Skills!H4&gt;0,MIN(Skills!I4,MAX(0,MAX(0,Inputs!$B$44-B1342)-((R1301-1)*IF(Inputs!$B$39="pvp",15,MAX(0.1,Skills!D4-IF(Skills!E4=TRUE,Inputs!$B$32,0))))))/Skills!H4,1)))/Inputs!$B$44),G1301*Q1301))*IF(Inputs!$B$39="pvp",1,1+(Inputs!$B$20+((C1324=TRUE)*(F1324-Calc!F27))+Skills!P4+B1338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Hunt"),CHOOSE(ArtifactsInput!$N$35+1,15,18,21,24,27,30)*(1-EXP(-(0.2*B1333)*5)),0)+IF(AND(ArtifactsInput!$M$22,Inputs!$B$4&lt;&gt;"Chapter Hunt"),CHOOSE(ArtifactsInput!$N$22+1,10,12,14,16,18,20)*((0*(((0.15*B1333*5))^0/1)+1*(((0.15*B1333*5))^1/1)+2*(((0.15*B1333*5))^2/2)+3*(((0.15*B1333*5))^3/6)+4*(((0.15*B1333*5))^4/24)+5*(((0.15*B1333*5))^5/120))/((((0.15*B1333*5))^0/1)+(((0.15*B1333*5))^1/1)+(((0.15*B1333*5))^2/2)+(((0.15*B1333*5))^3/6)+(((0.15*B1333*5))^4/24)+(((0.15*B1333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1301*(1-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1301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1301*(1-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1301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01">
        <f>MAX(0,(Inputs!$B$3-100)*3)+Inputs!$B$28+Inputs!$B$29</f>
        <v/>
      </c>
      <c r="V1301">
        <f>IF(C1301,(H1301*N1301*IF(AND(Inputs!$B$39&lt;&gt;"pvp",Inputs!$B$44&gt;0),((Skills!G4*((R1301-1)*IF(Skills!H4&gt;0,Skills!I4/Skills!H4,1)+IF(Skills!H4&gt;0,MIN(Skills!I4,MAX(0,MAX(0,Inputs!$B$44-B1342)-((R1301-1)*IF(Inputs!$B$39="pvp",15,MAX(0.1,Skills!D4-IF(Skills!E4=TRUE,Inputs!$B$32,0))))))/Skills!H4,1)))/Inputs!$B$44),G1301*Q1301))*IF(Inputs!$B$39="pvp",1,(1+(Inputs!$B$21+Skills!Q4+B1338+(IF(ArtifactsInput!$M$33,CHOOSE(ArtifactsInput!$N$33+1,30,36,42,48,54,60),0))+(IF(AND(ArtifactsInput!$M$35,Inputs!$B$4&lt;&gt;"Chapter Hunt"),CHOOSE(ArtifactsInput!$N$35+1,15,18,21,24,27,30)*(1-EXP(-(0.2*B1333)*5)),0)+IF(AND(ArtifactsInput!$M$22,Inputs!$B$4&lt;&gt;"Chapter Hunt"),CHOOSE(ArtifactsInput!$N$22+1,10,12,14,16,18,20)*((0*(((0.15*B1333*5))^0/1)+1*(((0.15*B1333*5))^1/1)+2*(((0.15*B1333*5))^2/2)+3*(((0.15*B1333*5))^3/6)+4*(((0.15*B1333*5))^4/24)+5*(((0.15*B1333*5))^5/120))/((((0.15*B1333*5))^0/1)+(((0.15*B1333*5))^1/1)+(((0.15*B1333*5))^2/2)+(((0.15*B1333*5))^3/6)+(((0.15*B1333*5))^4/24)+(((0.15*B1333*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02">
      <c r="A1302">
        <f>Skills!A5</f>
        <v/>
      </c>
      <c r="B1302">
        <f>Skills!B5</f>
        <v/>
      </c>
      <c r="C1302">
        <f>Inputs!$B$3&gt;=63</f>
        <v/>
      </c>
      <c r="D1302">
        <f>IF(Skills!C5=1,60+Inputs!$B$25+Inputs!$B$29,IF(Skills!C5=2,90+Inputs!$B$26+Inputs!$B$29,IF(Skills!C5=3,120+Inputs!$B$27+Inputs!$B$29,MAX(0,(Inputs!$B$3-100)*3)+Inputs!$B$28+Inputs!$B$29)))</f>
        <v/>
      </c>
      <c r="E1302">
        <f>INDEX(FactorTable!$B$2:$Y$301, MATCH(ROUND(MIN(300,MAX(1,D1302)),0), FactorTable!$A$2:$A$301,0), Skills!M5+1)</f>
        <v/>
      </c>
      <c r="F1302">
        <f>IF(Skills!N5=TRUE,(Skills!L5/10)*(E1302/1000),Skills!L5/10)+Skills!O5</f>
        <v/>
      </c>
      <c r="G1302">
        <f>Calc!G5</f>
        <v/>
      </c>
      <c r="H1302">
        <f>Calc!H5</f>
        <v/>
      </c>
      <c r="I1302">
        <f>IF(Skills!AA5&lt;&gt;"",1+(Skills!AA5/10)*(U1300/1000)/100,1)</f>
        <v/>
      </c>
      <c r="J1302">
        <f>((Inputs!$B$6*(1+Inputs!$B$7/100))+(((Inputs!$B$12*(1+Inputs!$B$13/100))-(Inputs!$B$12*(1+Inputs!$B$13/100)))+0.25*(Inputs!$B$14-Inputs!$B$14))*(1+Inputs!$B$7/100))*(F1302/100)</f>
        <v/>
      </c>
      <c r="K1302">
        <f>J1302*(1+((Inputs!$B$12*(1+Inputs!$B$13/100))*0.01+Inputs!$B$14*0.0025)/100)*(1+Inputs!$B$15/100)*(1+Inputs!$B$16/100)*(5000/(6000+Inputs!$B$43*(1-(100*(1-(1-(Inputs!$B$19+0)/100)*(1-CHOOSE(ArtifactsInput!$N$40+1,5,6,7,8,9,10)/100)^(ArtifactsInput!$M$40-ArtifactsInput!$M$40)))/100)))*(1+(Inputs!$B$24+((C1327=TRUE)*(F1327-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1320=TRUE)*(F1320-Calc!F23))+(((IF(AND(ArtifactsInput!$M$42,((Inputs!$B$9+((C1322=TRUE)*(F1322-Calc!F25))+B1337+(ArtifactsInput!$M$24-ArtifactsInput!$M$24)*CHOOSE(ArtifactsInput!$N$24+1,10,12,14,16,18,20)+IF(ArtifactsInput!$M$10,CHOOSE(ArtifactsInput!$N$10+1,15,18,21,24,27,30)*(IF(Inputs!$B$39="pvp",MIN(15,15)/15,IF(AND(Inputs!$B$39&lt;&gt;"pvp",Inputs!$B$44&gt;0),MIN(15,Inputs!$B$44)/(Inputs!$B$44),0))),0)))&gt;=100),MIN(100,((Inputs!$B$9+((C1322=TRUE)*(F1322-Calc!F25))+B1337+(ArtifactsInput!$M$24-ArtifactsInput!$M$24)*CHOOSE(ArtifactsInput!$N$24+1,10,12,14,16,18,20)+IF(ArtifactsInput!$M$10,CHOOSE(ArtifactsInput!$N$10+1,15,18,21,24,27,30)*(IF(Inputs!$B$39="pvp",MIN(15,15)/15,IF(AND(Inputs!$B$39&lt;&gt;"pvp",Inputs!$B$44&gt;0),MIN(15,Inputs!$B$44)/(Inputs!$B$44),0))),0)))-100),0))*CHOOSE(ArtifactsInput!$N$42+1,0.6,0.72,0.84,0.96,1.08,1.2))),Inputs!$B$18+((C1326=TRUE)*(F1326-Calc!F29))+(IF(AND(ArtifactsInput!$M$42,((Inputs!$B$9+((C1322=TRUE)*(F1322-Calc!F25))+B1337+(ArtifactsInput!$M$24-ArtifactsInput!$M$24)*CHOOSE(ArtifactsInput!$N$24+1,10,12,14,16,18,20)+IF(ArtifactsInput!$M$10,CHOOSE(ArtifactsInput!$N$10+1,15,18,21,24,27,30)*(IF(Inputs!$B$39="pvp",MIN(15,15)/15,IF(AND(Inputs!$B$39&lt;&gt;"pvp",Inputs!$B$44&gt;0),MIN(15,Inputs!$B$44)/(Inputs!$B$44),0))),0)))&gt;=100),CHOOSE(ArtifactsInput!$N$42+1,40,48,56,64,72,80),0))))/100)*(((1+(((C1318=TRUE)*F1318*IF(AND(Inputs!$B$39&lt;&gt;"pvp",Inputs!$B$44&gt;0),(((R1318-1)*(Skills!Y21*(1+(Inputs!$B$34+1)/100))+MIN((Skills!Y21*(1+(Inputs!$B$34+1)/100)),MAX(0,Inputs!$B$44-((R1318-1)*Skills!D21))))/Inputs!$B$44),IF(Inputs!$B$39="pvp",MIN((Skills!Y21*(1+(Inputs!$B$34+1)/100)),15)/15,(Skills!Y21*(1+(Inputs!$B$34+1)/100))/Skills!D21)))+((C1325=TRUE)*(F1325-Calc!F28))+((C1315=TRUE)*(F1315-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1312=TRUE)*F1312*IF(AND(Inputs!$B$39&lt;&gt;"pvp",Inputs!$B$44&gt;0),(((R1312-1)*(Skills!Y15*(1+(Inputs!$B$34+1)/100))+MIN((Skills!Y15*(1+(Inputs!$B$34+1)/100)),MAX(0,Inputs!$B$44-((R1312-1)*Skills!D15))))/Inputs!$B$44),IF(Inputs!$B$39="pvp",MIN((Skills!Y15*(1+(Inputs!$B$34+1)/100)),15)/15,(Skills!Y15*(1+(Inputs!$B$34+1)/100))/Skills!D15)))/100)*(1+((C1303=TRUE)*F1303*B1331)/100))*B1339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1302)</f>
        <v/>
      </c>
      <c r="L1302">
        <f>K1302*(MIN(Inputs!$B$22+((C1321=TRUE)*(F1321-Calc!F24)),(Inputs!$B$23+0+(IF(ArtifactsInput!$M$15,CHOOSE(ArtifactsInput!$N$15+1,25,30,35,40,45,50)/100*(Inputs!$B$11-Inputs!$B$11),0))))/100+(Inputs!$B$23+0+(IF(ArtifactsInput!$M$15,CHOOSE(ArtifactsInput!$N$15+1,25,30,35,40,45,50)/100*(Inputs!$B$11-Inputs!$B$11),0)))/100)/2</f>
        <v/>
      </c>
      <c r="M1302">
        <f>L1302*(1+(Inputs!$B$10+((C1323=TRUE)*(F1323-Calc!F26))+B1340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02">
        <f>L1302*(1-MIN((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1302*(MIN((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02">
        <f>(1-Summary!$B$11)*T1302+Summary!$B$11*V1302</f>
        <v/>
      </c>
      <c r="P1302">
        <f>IF(B1341=0,0,O1302/B1341)</f>
        <v/>
      </c>
      <c r="Q1302">
        <f>IFERROR(1/IF(Inputs!$B$39="pvp",15,MAX(0.1,Skills!D5-IF(Skills!E5=TRUE,Inputs!$B$32,0))),0)</f>
        <v/>
      </c>
      <c r="R1302">
        <f>IF(AND(Inputs!$B$39&lt;&gt;"pvp",Inputs!$B$44&gt;0),IF(MAX(0,Inputs!$B$44-B1342)&lt;=0,0,(INT(MAX(0,Inputs!$B$44-B1342)/IF(Inputs!$B$39="pvp",15,MAX(0.1,Skills!D5-IF(Skills!E5=TRUE,Inputs!$B$32,0))))+1)),0)</f>
        <v/>
      </c>
      <c r="S1302">
        <f>IFERROR(O1302/N1302,0)</f>
        <v/>
      </c>
      <c r="T1302">
        <f>IF(C1302,(H1302*N1302*IF(AND(Inputs!$B$39&lt;&gt;"pvp",Inputs!$B$44&gt;0),((Skills!G5*((R1302-1)*IF(Skills!H5&gt;0,Skills!I5/Skills!H5,1)+IF(Skills!H5&gt;0,MIN(Skills!I5,MAX(0,MAX(0,Inputs!$B$44-B1342)-((R1302-1)*IF(Inputs!$B$39="pvp",15,MAX(0.1,Skills!D5-IF(Skills!E5=TRUE,Inputs!$B$32,0))))))/Skills!H5,1)))/Inputs!$B$44),G1302*Q1302))*IF(Inputs!$B$39="pvp",1,1+(Inputs!$B$20+((C1324=TRUE)*(F1324-Calc!F27))+Skills!P5+B1338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Hunt"),CHOOSE(ArtifactsInput!$N$35+1,15,18,21,24,27,30)*(1-EXP(-(0.2*B1333)*5)),0)+IF(AND(ArtifactsInput!$M$22,Inputs!$B$4&lt;&gt;"Chapter Hunt"),CHOOSE(ArtifactsInput!$N$22+1,10,12,14,16,18,20)*((0*(((0.15*B1333*5))^0/1)+1*(((0.15*B1333*5))^1/1)+2*(((0.15*B1333*5))^2/2)+3*(((0.15*B1333*5))^3/6)+4*(((0.15*B1333*5))^4/24)+5*(((0.15*B1333*5))^5/120))/((((0.15*B1333*5))^0/1)+(((0.15*B1333*5))^1/1)+(((0.15*B1333*5))^2/2)+(((0.15*B1333*5))^3/6)+(((0.15*B1333*5))^4/24)+(((0.15*B1333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1302*(1-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1302*(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1302*(1-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1302*(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02">
        <f>INDEX(FactorTable!$B$2:$Y$301, MATCH(ROUND(MIN(300,MAX(1,U1301)),0), FactorTable!$A$2:$A$301,0), 22)</f>
        <v/>
      </c>
      <c r="V1302">
        <f>IF(C1302,(H1302*N1302*IF(AND(Inputs!$B$39&lt;&gt;"pvp",Inputs!$B$44&gt;0),((Skills!G5*((R1302-1)*IF(Skills!H5&gt;0,Skills!I5/Skills!H5,1)+IF(Skills!H5&gt;0,MIN(Skills!I5,MAX(0,MAX(0,Inputs!$B$44-B1342)-((R1302-1)*IF(Inputs!$B$39="pvp",15,MAX(0.1,Skills!D5-IF(Skills!E5=TRUE,Inputs!$B$32,0))))))/Skills!H5,1)))/Inputs!$B$44),G1302*Q1302))*IF(Inputs!$B$39="pvp",1,(1+(Inputs!$B$21+Skills!Q5+B1338+(IF(ArtifactsInput!$M$33,CHOOSE(ArtifactsInput!$N$33+1,30,36,42,48,54,60),0))+(IF(AND(ArtifactsInput!$M$35,Inputs!$B$4&lt;&gt;"Chapter Hunt"),CHOOSE(ArtifactsInput!$N$35+1,15,18,21,24,27,30)*(1-EXP(-(0.2*B1333)*5)),0)+IF(AND(ArtifactsInput!$M$22,Inputs!$B$4&lt;&gt;"Chapter Hunt"),CHOOSE(ArtifactsInput!$N$22+1,10,12,14,16,18,20)*((0*(((0.15*B1333*5))^0/1)+1*(((0.15*B1333*5))^1/1)+2*(((0.15*B1333*5))^2/2)+3*(((0.15*B1333*5))^3/6)+4*(((0.15*B1333*5))^4/24)+5*(((0.15*B1333*5))^5/120))/((((0.15*B1333*5))^0/1)+(((0.15*B1333*5))^1/1)+(((0.15*B1333*5))^2/2)+(((0.15*B1333*5))^3/6)+(((0.15*B1333*5))^4/24)+(((0.15*B1333*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03">
      <c r="A1303">
        <f>Skills!A6</f>
        <v/>
      </c>
      <c r="B1303">
        <f>Skills!B6</f>
        <v/>
      </c>
      <c r="C1303">
        <f>Inputs!$B$3&gt;=66</f>
        <v/>
      </c>
      <c r="D1303">
        <f>IF(Skills!C6=1,60+Inputs!$B$25+Inputs!$B$29,IF(Skills!C6=2,90+Inputs!$B$26+Inputs!$B$29,IF(Skills!C6=3,120+Inputs!$B$27+Inputs!$B$29,MAX(0,(Inputs!$B$3-100)*3)+Inputs!$B$28+Inputs!$B$29)))</f>
        <v/>
      </c>
      <c r="E1303">
        <f>INDEX(FactorTable!$B$2:$Y$301, MATCH(ROUND(MIN(300,MAX(1,D1303)),0), FactorTable!$A$2:$A$301,0), Skills!M6+1)</f>
        <v/>
      </c>
      <c r="F1303">
        <f>IF(Skills!N6=TRUE,(Skills!L6/10)*(E1303/1000),Skills!L6/10)+Skills!O6</f>
        <v/>
      </c>
      <c r="G1303">
        <f>Calc!G6</f>
        <v/>
      </c>
      <c r="H1303">
        <f>Calc!H6</f>
        <v/>
      </c>
      <c r="I1303">
        <f>IF(Skills!AA6&lt;&gt;"",1+(Skills!AA6/10)*(U1300/1000)/100,1)</f>
        <v/>
      </c>
      <c r="J1303" t="inlineStr"/>
      <c r="K1303" t="inlineStr"/>
      <c r="L1303" t="inlineStr"/>
      <c r="M1303" t="inlineStr"/>
      <c r="N1303" t="inlineStr"/>
      <c r="O1303">
        <f>(1-Summary!$B$11)*T1303+Summary!$B$11*V1303</f>
        <v/>
      </c>
      <c r="P1303">
        <f>IF(B1341=0,0,O1303/B1341)</f>
        <v/>
      </c>
      <c r="Q1303" t="n">
        <v>0</v>
      </c>
      <c r="R1303" t="n">
        <v>0</v>
      </c>
      <c r="S1303">
        <f>IFERROR(O1303/N1303,0)</f>
        <v/>
      </c>
      <c r="T1303" t="n">
        <v>0</v>
      </c>
      <c r="U1303">
        <f>290*U1302/1000</f>
        <v/>
      </c>
      <c r="V1303" t="n">
        <v>0</v>
      </c>
    </row>
    <row r="1304">
      <c r="A1304">
        <f>Skills!A7</f>
        <v/>
      </c>
      <c r="B1304">
        <f>Skills!B7</f>
        <v/>
      </c>
      <c r="C1304">
        <f>Inputs!$B$3&gt;=66</f>
        <v/>
      </c>
      <c r="D1304">
        <f>IF(Skills!C7=1,60+Inputs!$B$25+Inputs!$B$29,IF(Skills!C7=2,90+Inputs!$B$26+Inputs!$B$29,IF(Skills!C7=3,120+Inputs!$B$27+Inputs!$B$29,MAX(0,(Inputs!$B$3-100)*3)+Inputs!$B$28+Inputs!$B$29)))</f>
        <v/>
      </c>
      <c r="E1304">
        <f>INDEX(FactorTable!$B$2:$Y$301, MATCH(ROUND(MIN(300,MAX(1,D1304)),0), FactorTable!$A$2:$A$301,0), Skills!M7+1)</f>
        <v/>
      </c>
      <c r="F1304">
        <f>IF(Skills!N7=TRUE,(Skills!L7/10)*(E1304/1000),Skills!L7/10)+Skills!O7</f>
        <v/>
      </c>
      <c r="G1304">
        <f>Calc!G7</f>
        <v/>
      </c>
      <c r="H1304">
        <f>Calc!H7</f>
        <v/>
      </c>
      <c r="I1304">
        <f>IF(Skills!AA7&lt;&gt;"",1+(Skills!AA7/10)*(U1300/1000)/100,1)</f>
        <v/>
      </c>
      <c r="J1304" t="inlineStr"/>
      <c r="K1304" t="inlineStr"/>
      <c r="L1304" t="inlineStr"/>
      <c r="M1304" t="inlineStr"/>
      <c r="N1304" t="inlineStr"/>
      <c r="O1304">
        <f>(1-Summary!$B$11)*T1304+Summary!$B$11*V1304</f>
        <v/>
      </c>
      <c r="P1304">
        <f>IF(B1341=0,0,O1304/B1341)</f>
        <v/>
      </c>
      <c r="Q1304" t="n">
        <v>0</v>
      </c>
      <c r="R1304" t="n">
        <v>0</v>
      </c>
      <c r="S1304">
        <f>IFERROR(O1304/N1304,0)</f>
        <v/>
      </c>
      <c r="T1304" t="n">
        <v>0</v>
      </c>
      <c r="V1304" t="n">
        <v>0</v>
      </c>
    </row>
    <row r="1305">
      <c r="A1305">
        <f>Skills!A8</f>
        <v/>
      </c>
      <c r="B1305">
        <f>Skills!B8</f>
        <v/>
      </c>
      <c r="C1305">
        <f>Inputs!$B$3&gt;=69</f>
        <v/>
      </c>
      <c r="D1305">
        <f>IF(Skills!C8=1,60+Inputs!$B$25+Inputs!$B$29,IF(Skills!C8=2,90+Inputs!$B$26+Inputs!$B$29,IF(Skills!C8=3,120+Inputs!$B$27+Inputs!$B$29,MAX(0,(Inputs!$B$3-100)*3)+Inputs!$B$28+Inputs!$B$29)))</f>
        <v/>
      </c>
      <c r="E1305">
        <f>INDEX(FactorTable!$B$2:$Y$301, MATCH(ROUND(MIN(300,MAX(1,D1305)),0), FactorTable!$A$2:$A$301,0), Skills!M8+1)</f>
        <v/>
      </c>
      <c r="F1305">
        <f>IF(Skills!N8=TRUE,(Skills!L8/10)*(E1305/1000),Skills!L8/10)+Skills!O8</f>
        <v/>
      </c>
      <c r="G1305">
        <f>Calc!G8</f>
        <v/>
      </c>
      <c r="H1305">
        <f>Calc!H8</f>
        <v/>
      </c>
      <c r="I1305">
        <f>IF(Skills!AA8&lt;&gt;"",1+(Skills!AA8/10)*(U1300/1000)/100,1)</f>
        <v/>
      </c>
      <c r="J1305">
        <f>((Inputs!$B$6*(1+Inputs!$B$7/100))+(((Inputs!$B$12*(1+Inputs!$B$13/100))-(Inputs!$B$12*(1+Inputs!$B$13/100)))+0.25*(Inputs!$B$14-Inputs!$B$14))*(1+Inputs!$B$7/100))*(F1305/100)</f>
        <v/>
      </c>
      <c r="K1305">
        <f>J1305*(1+((Inputs!$B$12*(1+Inputs!$B$13/100))*0.01+Inputs!$B$14*0.0025)/100)*(1+Inputs!$B$15/100)*(1+Inputs!$B$16/100)*(5000/(6000+Inputs!$B$43*(1-(100*(1-(1-(Inputs!$B$19+0)/100)*(1-CHOOSE(ArtifactsInput!$N$40+1,5,6,7,8,9,10)/100)^(ArtifactsInput!$M$40-ArtifactsInput!$M$40)))/100)))*(1+(Inputs!$B$24+((C1327=TRUE)*(F1327-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1320=TRUE)*(F1320-Calc!F23))+(((IF(AND(ArtifactsInput!$M$42,((Inputs!$B$9+((C1322=TRUE)*(F1322-Calc!F25))+B1337+(ArtifactsInput!$M$24-ArtifactsInput!$M$24)*CHOOSE(ArtifactsInput!$N$24+1,10,12,14,16,18,20)+IF(ArtifactsInput!$M$10,CHOOSE(ArtifactsInput!$N$10+1,15,18,21,24,27,30)*(IF(Inputs!$B$39="pvp",MIN(15,15)/15,IF(AND(Inputs!$B$39&lt;&gt;"pvp",Inputs!$B$44&gt;0),MIN(15,Inputs!$B$44)/(Inputs!$B$44),0))),0)))&gt;=100),MIN(100,((Inputs!$B$9+((C1322=TRUE)*(F1322-Calc!F25))+B1337+(ArtifactsInput!$M$24-ArtifactsInput!$M$24)*CHOOSE(ArtifactsInput!$N$24+1,10,12,14,16,18,20)+IF(ArtifactsInput!$M$10,CHOOSE(ArtifactsInput!$N$10+1,15,18,21,24,27,30)*(IF(Inputs!$B$39="pvp",MIN(15,15)/15,IF(AND(Inputs!$B$39&lt;&gt;"pvp",Inputs!$B$44&gt;0),MIN(15,Inputs!$B$44)/(Inputs!$B$44),0))),0)))-100),0))*CHOOSE(ArtifactsInput!$N$42+1,0.6,0.72,0.84,0.96,1.08,1.2))),Inputs!$B$18+((C1326=TRUE)*(F1326-Calc!F29))+(IF(AND(ArtifactsInput!$M$42,((Inputs!$B$9+((C1322=TRUE)*(F1322-Calc!F25))+B1337+(ArtifactsInput!$M$24-ArtifactsInput!$M$24)*CHOOSE(ArtifactsInput!$N$24+1,10,12,14,16,18,20)+IF(ArtifactsInput!$M$10,CHOOSE(ArtifactsInput!$N$10+1,15,18,21,24,27,30)*(IF(Inputs!$B$39="pvp",MIN(15,15)/15,IF(AND(Inputs!$B$39&lt;&gt;"pvp",Inputs!$B$44&gt;0),MIN(15,Inputs!$B$44)/(Inputs!$B$44),0))),0)))&gt;=100),CHOOSE(ArtifactsInput!$N$42+1,40,48,56,64,72,80),0))))/100)*(((1+(((C1318=TRUE)*F1318*IF(AND(Inputs!$B$39&lt;&gt;"pvp",Inputs!$B$44&gt;0),(((R1318-1)*(Skills!Y21*(1+(Inputs!$B$34+1)/100))+MIN((Skills!Y21*(1+(Inputs!$B$34+1)/100)),MAX(0,Inputs!$B$44-((R1318-1)*Skills!D21))))/Inputs!$B$44),IF(Inputs!$B$39="pvp",MIN((Skills!Y21*(1+(Inputs!$B$34+1)/100)),15)/15,(Skills!Y21*(1+(Inputs!$B$34+1)/100))/Skills!D21)))+((C1325=TRUE)*(F1325-Calc!F28))+((C1315=TRUE)*(F1315-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1312=TRUE)*F1312*IF(AND(Inputs!$B$39&lt;&gt;"pvp",Inputs!$B$44&gt;0),(((R1312-1)*(Skills!Y15*(1+(Inputs!$B$34+1)/100))+MIN((Skills!Y15*(1+(Inputs!$B$34+1)/100)),MAX(0,Inputs!$B$44-((R1312-1)*Skills!D15))))/Inputs!$B$44),IF(Inputs!$B$39="pvp",MIN((Skills!Y15*(1+(Inputs!$B$34+1)/100)),15)/15,(Skills!Y15*(1+(Inputs!$B$34+1)/100))/Skills!D15)))/100)*(1+((C1303=TRUE)*F1303*B1331)/100))*B1339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1305)</f>
        <v/>
      </c>
      <c r="L1305">
        <f>K1305*(MIN(Inputs!$B$22+((C1321=TRUE)*(F1321-Calc!F24)),(Inputs!$B$23+0+(IF(ArtifactsInput!$M$15,CHOOSE(ArtifactsInput!$N$15+1,25,30,35,40,45,50)/100*(Inputs!$B$11-Inputs!$B$11),0))))/100+(Inputs!$B$23+0+(IF(ArtifactsInput!$M$15,CHOOSE(ArtifactsInput!$N$15+1,25,30,35,40,45,50)/100*(Inputs!$B$11-Inputs!$B$11),0)))/100)/2</f>
        <v/>
      </c>
      <c r="M1305">
        <f>L1305*(1+(Inputs!$B$10+((C1323=TRUE)*(F1323-Calc!F26))+B1340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05">
        <f>L1305*(1-MIN((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1305*(MIN((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05">
        <f>(1-Summary!$B$11)*T1305+Summary!$B$11*V1305</f>
        <v/>
      </c>
      <c r="P1305">
        <f>IF(B1341=0,0,O1305/B1341)</f>
        <v/>
      </c>
      <c r="Q1305">
        <f>IFERROR(1/IF(Inputs!$B$39="pvp",15,MAX(0.1,Skills!D8-IF(Skills!E8=TRUE,Inputs!$B$32,0))),0)</f>
        <v/>
      </c>
      <c r="R1305">
        <f>IF(AND(Inputs!$B$39&lt;&gt;"pvp",Inputs!$B$44&gt;0),IF(MAX(0,Inputs!$B$44-B1342)&lt;=0,0,(INT(MAX(0,Inputs!$B$44-B1342)/IF(Inputs!$B$39="pvp",15,MAX(0.1,Skills!D8-IF(Skills!E8=TRUE,Inputs!$B$32,0))))+1)),0)</f>
        <v/>
      </c>
      <c r="S1305">
        <f>IFERROR(O1305/N1305,0)</f>
        <v/>
      </c>
      <c r="T1305">
        <f>IF(C1305,(H1305*N1305*IF(AND(Inputs!$B$39&lt;&gt;"pvp",Inputs!$B$44&gt;0),((Skills!G8*((R1305-1)*IF(Skills!H8&gt;0,Skills!I8/Skills!H8,1)+IF(Skills!H8&gt;0,MIN(Skills!I8,MAX(0,MAX(0,Inputs!$B$44-B1342)-((R1305-1)*IF(Inputs!$B$39="pvp",15,MAX(0.1,Skills!D8-IF(Skills!E8=TRUE,Inputs!$B$32,0))))))/Skills!H8,1)))/Inputs!$B$44),G1305*Q1305))*IF(Inputs!$B$39="pvp",1,1+(Inputs!$B$20+((C1324=TRUE)*(F1324-Calc!F27))+Skills!P8+B1338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Hunt"),CHOOSE(ArtifactsInput!$N$35+1,15,18,21,24,27,30)*(1-EXP(-(0.2*B1333)*5)),0)+IF(AND(ArtifactsInput!$M$22,Inputs!$B$4&lt;&gt;"Chapter Hunt"),CHOOSE(ArtifactsInput!$N$22+1,10,12,14,16,18,20)*((0*(((0.15*B1333*5))^0/1)+1*(((0.15*B1333*5))^1/1)+2*(((0.15*B1333*5))^2/2)+3*(((0.15*B1333*5))^3/6)+4*(((0.15*B1333*5))^4/24)+5*(((0.15*B1333*5))^5/120))/((((0.15*B1333*5))^0/1)+(((0.15*B1333*5))^1/1)+(((0.15*B1333*5))^2/2)+(((0.15*B1333*5))^3/6)+(((0.15*B1333*5))^4/24)+(((0.15*B1333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1305*(1-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1305*(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1305*(1-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1305*(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05">
        <f>IF(C1305,(H1305*N1305*IF(AND(Inputs!$B$39&lt;&gt;"pvp",Inputs!$B$44&gt;0),((Skills!G8*((R1305-1)*IF(Skills!H8&gt;0,Skills!I8/Skills!H8,1)+IF(Skills!H8&gt;0,MIN(Skills!I8,MAX(0,MAX(0,Inputs!$B$44-B1342)-((R1305-1)*IF(Inputs!$B$39="pvp",15,MAX(0.1,Skills!D8-IF(Skills!E8=TRUE,Inputs!$B$32,0))))))/Skills!H8,1)))/Inputs!$B$44),G1305*Q1305))*IF(Inputs!$B$39="pvp",1,(1+(Inputs!$B$21+Skills!Q8+B1338+(IF(ArtifactsInput!$M$33,CHOOSE(ArtifactsInput!$N$33+1,30,36,42,48,54,60),0))+(IF(AND(ArtifactsInput!$M$35,Inputs!$B$4&lt;&gt;"Chapter Hunt"),CHOOSE(ArtifactsInput!$N$35+1,15,18,21,24,27,30)*(1-EXP(-(0.2*B1333)*5)),0)+IF(AND(ArtifactsInput!$M$22,Inputs!$B$4&lt;&gt;"Chapter Hunt"),CHOOSE(ArtifactsInput!$N$22+1,10,12,14,16,18,20)*((0*(((0.15*B1333*5))^0/1)+1*(((0.15*B1333*5))^1/1)+2*(((0.15*B1333*5))^2/2)+3*(((0.15*B1333*5))^3/6)+4*(((0.15*B1333*5))^4/24)+5*(((0.15*B1333*5))^5/120))/((((0.15*B1333*5))^0/1)+(((0.15*B1333*5))^1/1)+(((0.15*B1333*5))^2/2)+(((0.15*B1333*5))^3/6)+(((0.15*B1333*5))^4/24)+(((0.15*B1333*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06">
      <c r="A1306">
        <f>Skills!A9</f>
        <v/>
      </c>
      <c r="B1306">
        <f>Skills!B9</f>
        <v/>
      </c>
      <c r="C1306">
        <f>Inputs!$B$3&gt;=72</f>
        <v/>
      </c>
      <c r="D1306">
        <f>IF(Skills!C9=1,60+Inputs!$B$25+Inputs!$B$29,IF(Skills!C9=2,90+Inputs!$B$26+Inputs!$B$29,IF(Skills!C9=3,120+Inputs!$B$27+Inputs!$B$29,MAX(0,(Inputs!$B$3-100)*3)+Inputs!$B$28+Inputs!$B$29)))</f>
        <v/>
      </c>
      <c r="E1306">
        <f>INDEX(FactorTable!$B$2:$Y$301, MATCH(ROUND(MIN(300,MAX(1,D1306)),0), FactorTable!$A$2:$A$301,0), Skills!M9+1)</f>
        <v/>
      </c>
      <c r="F1306">
        <f>IF(Skills!N9=TRUE,(Skills!L9/10)*(E1306/1000),Skills!L9/10)+Skills!O9</f>
        <v/>
      </c>
      <c r="G1306">
        <f>Calc!G9</f>
        <v/>
      </c>
      <c r="H1306">
        <f>Calc!H9</f>
        <v/>
      </c>
      <c r="I1306">
        <f>IF(Skills!AA9&lt;&gt;"",1+(Skills!AA9/10)*(U1300/1000)/100,1)</f>
        <v/>
      </c>
      <c r="J1306">
        <f>((Inputs!$B$6*(1+Inputs!$B$7/100))+(((Inputs!$B$12*(1+Inputs!$B$13/100))-(Inputs!$B$12*(1+Inputs!$B$13/100)))+0.25*(Inputs!$B$14-Inputs!$B$14))*(1+Inputs!$B$7/100))*(F1306/100)</f>
        <v/>
      </c>
      <c r="K1306">
        <f>J1306*(1+((Inputs!$B$12*(1+Inputs!$B$13/100))*0.01+Inputs!$B$14*0.0025)/100)*(1+Inputs!$B$15/100)*(1+Inputs!$B$16/100)*(5000/(6000+Inputs!$B$43*(1-(100*(1-(1-(Inputs!$B$19+0)/100)*(1-CHOOSE(ArtifactsInput!$N$40+1,5,6,7,8,9,10)/100)^(ArtifactsInput!$M$40-ArtifactsInput!$M$40)))/100)))*(1+(Inputs!$B$24+((C1327=TRUE)*(F1327-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1320=TRUE)*(F1320-Calc!F23))+(((IF(AND(ArtifactsInput!$M$42,((Inputs!$B$9+((C1322=TRUE)*(F1322-Calc!F25))+B1337+(ArtifactsInput!$M$24-ArtifactsInput!$M$24)*CHOOSE(ArtifactsInput!$N$24+1,10,12,14,16,18,20)+IF(ArtifactsInput!$M$10,CHOOSE(ArtifactsInput!$N$10+1,15,18,21,24,27,30)*(IF(Inputs!$B$39="pvp",MIN(15,15)/15,IF(AND(Inputs!$B$39&lt;&gt;"pvp",Inputs!$B$44&gt;0),MIN(15,Inputs!$B$44)/(Inputs!$B$44),0))),0)))&gt;=100),MIN(100,((Inputs!$B$9+((C1322=TRUE)*(F1322-Calc!F25))+B1337+(ArtifactsInput!$M$24-ArtifactsInput!$M$24)*CHOOSE(ArtifactsInput!$N$24+1,10,12,14,16,18,20)+IF(ArtifactsInput!$M$10,CHOOSE(ArtifactsInput!$N$10+1,15,18,21,24,27,30)*(IF(Inputs!$B$39="pvp",MIN(15,15)/15,IF(AND(Inputs!$B$39&lt;&gt;"pvp",Inputs!$B$44&gt;0),MIN(15,Inputs!$B$44)/(Inputs!$B$44),0))),0)))-100),0))*CHOOSE(ArtifactsInput!$N$42+1,0.6,0.72,0.84,0.96,1.08,1.2))),Inputs!$B$18+((C1326=TRUE)*(F1326-Calc!F29))+(IF(AND(ArtifactsInput!$M$42,((Inputs!$B$9+((C1322=TRUE)*(F1322-Calc!F25))+B1337+(ArtifactsInput!$M$24-ArtifactsInput!$M$24)*CHOOSE(ArtifactsInput!$N$24+1,10,12,14,16,18,20)+IF(ArtifactsInput!$M$10,CHOOSE(ArtifactsInput!$N$10+1,15,18,21,24,27,30)*(IF(Inputs!$B$39="pvp",MIN(15,15)/15,IF(AND(Inputs!$B$39&lt;&gt;"pvp",Inputs!$B$44&gt;0),MIN(15,Inputs!$B$44)/(Inputs!$B$44),0))),0)))&gt;=100),CHOOSE(ArtifactsInput!$N$42+1,40,48,56,64,72,80),0))))/100)*(((1+(((C1318=TRUE)*F1318*IF(AND(Inputs!$B$39&lt;&gt;"pvp",Inputs!$B$44&gt;0),(((R1318-1)*(Skills!Y21*(1+(Inputs!$B$34+1)/100))+MIN((Skills!Y21*(1+(Inputs!$B$34+1)/100)),MAX(0,Inputs!$B$44-((R1318-1)*Skills!D21))))/Inputs!$B$44),IF(Inputs!$B$39="pvp",MIN((Skills!Y21*(1+(Inputs!$B$34+1)/100)),15)/15,(Skills!Y21*(1+(Inputs!$B$34+1)/100))/Skills!D21)))+((C1325=TRUE)*(F1325-Calc!F28))+((C1315=TRUE)*(F1315-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1312=TRUE)*F1312*IF(AND(Inputs!$B$39&lt;&gt;"pvp",Inputs!$B$44&gt;0),(((R1312-1)*(Skills!Y15*(1+(Inputs!$B$34+1)/100))+MIN((Skills!Y15*(1+(Inputs!$B$34+1)/100)),MAX(0,Inputs!$B$44-((R1312-1)*Skills!D15))))/Inputs!$B$44),IF(Inputs!$B$39="pvp",MIN((Skills!Y15*(1+(Inputs!$B$34+1)/100)),15)/15,(Skills!Y15*(1+(Inputs!$B$34+1)/100))/Skills!D15)))/100)*(1+((C1303=TRUE)*F1303*B1331)/100))*B1339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1306)</f>
        <v/>
      </c>
      <c r="L1306">
        <f>K1306*(MIN(Inputs!$B$22+((C1321=TRUE)*(F1321-Calc!F24)),(Inputs!$B$23+0+(IF(ArtifactsInput!$M$15,CHOOSE(ArtifactsInput!$N$15+1,25,30,35,40,45,50)/100*(Inputs!$B$11-Inputs!$B$11),0))))/100+(Inputs!$B$23+0+(IF(ArtifactsInput!$M$15,CHOOSE(ArtifactsInput!$N$15+1,25,30,35,40,45,50)/100*(Inputs!$B$11-Inputs!$B$11),0)))/100)/2</f>
        <v/>
      </c>
      <c r="M1306">
        <f>L1306*(1+(Inputs!$B$10+((C1323=TRUE)*(F1323-Calc!F26))+B1340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06">
        <f>L1306*(1-MIN((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1306*(MIN((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06">
        <f>(1-Summary!$B$11)*T1306+Summary!$B$11*V1306</f>
        <v/>
      </c>
      <c r="P1306">
        <f>IF(B1341=0,0,O1306/B1341)</f>
        <v/>
      </c>
      <c r="Q1306">
        <f>IFERROR(1/IF(Inputs!$B$39="pvp",15,MAX(0.1,Skills!D9-IF(Skills!E9=TRUE,Inputs!$B$32,0))),0)</f>
        <v/>
      </c>
      <c r="R1306">
        <f>IF(AND(Inputs!$B$39&lt;&gt;"pvp",Inputs!$B$44&gt;0),IF(MAX(0,Inputs!$B$44-B1342)&lt;=0,0,(INT(MAX(0,Inputs!$B$44-B1342)/IF(Inputs!$B$39="pvp",15,MAX(0.1,Skills!D9-IF(Skills!E9=TRUE,Inputs!$B$32,0))))+1)),0)</f>
        <v/>
      </c>
      <c r="S1306">
        <f>IFERROR(O1306/N1306,0)</f>
        <v/>
      </c>
      <c r="T1306">
        <f>IF(C1306,(H1306*N1306*IF(AND(Inputs!$B$39&lt;&gt;"pvp",Inputs!$B$44&gt;0),((Skills!G9*((R1306-1)*IF(Skills!H9&gt;0,Skills!I9/Skills!H9,1)+IF(Skills!H9&gt;0,MIN(Skills!I9,MAX(0,MAX(0,Inputs!$B$44-B1342)-((R1306-1)*IF(Inputs!$B$39="pvp",15,MAX(0.1,Skills!D9-IF(Skills!E9=TRUE,Inputs!$B$32,0))))))/Skills!H9,1)))/Inputs!$B$44),G1306*Q1306))*IF(Inputs!$B$39="pvp",1,1+(Inputs!$B$20+((C1324=TRUE)*(F1324-Calc!F27))+Skills!P9+B1338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Hunt"),CHOOSE(ArtifactsInput!$N$35+1,15,18,21,24,27,30)*(1-EXP(-(0.2*B1333)*5)),0)+IF(AND(ArtifactsInput!$M$22,Inputs!$B$4&lt;&gt;"Chapter Hunt"),CHOOSE(ArtifactsInput!$N$22+1,10,12,14,16,18,20)*((0*(((0.15*B1333*5))^0/1)+1*(((0.15*B1333*5))^1/1)+2*(((0.15*B1333*5))^2/2)+3*(((0.15*B1333*5))^3/6)+4*(((0.15*B1333*5))^4/24)+5*(((0.15*B1333*5))^5/120))/((((0.15*B1333*5))^0/1)+(((0.15*B1333*5))^1/1)+(((0.15*B1333*5))^2/2)+(((0.15*B1333*5))^3/6)+(((0.15*B1333*5))^4/24)+(((0.15*B1333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1306*(1-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1306*(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1306*(1-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1306*(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06">
        <f>IF(C1306,(H1306*N1306*IF(AND(Inputs!$B$39&lt;&gt;"pvp",Inputs!$B$44&gt;0),((Skills!G9*((R1306-1)*IF(Skills!H9&gt;0,Skills!I9/Skills!H9,1)+IF(Skills!H9&gt;0,MIN(Skills!I9,MAX(0,MAX(0,Inputs!$B$44-B1342)-((R1306-1)*IF(Inputs!$B$39="pvp",15,MAX(0.1,Skills!D9-IF(Skills!E9=TRUE,Inputs!$B$32,0))))))/Skills!H9,1)))/Inputs!$B$44),G1306*Q1306))*IF(Inputs!$B$39="pvp",1,(1+(Inputs!$B$21+Skills!Q9+B1338+(IF(ArtifactsInput!$M$33,CHOOSE(ArtifactsInput!$N$33+1,30,36,42,48,54,60),0))+(IF(AND(ArtifactsInput!$M$35,Inputs!$B$4&lt;&gt;"Chapter Hunt"),CHOOSE(ArtifactsInput!$N$35+1,15,18,21,24,27,30)*(1-EXP(-(0.2*B1333)*5)),0)+IF(AND(ArtifactsInput!$M$22,Inputs!$B$4&lt;&gt;"Chapter Hunt"),CHOOSE(ArtifactsInput!$N$22+1,10,12,14,16,18,20)*((0*(((0.15*B1333*5))^0/1)+1*(((0.15*B1333*5))^1/1)+2*(((0.15*B1333*5))^2/2)+3*(((0.15*B1333*5))^3/6)+4*(((0.15*B1333*5))^4/24)+5*(((0.15*B1333*5))^5/120))/((((0.15*B1333*5))^0/1)+(((0.15*B1333*5))^1/1)+(((0.15*B1333*5))^2/2)+(((0.15*B1333*5))^3/6)+(((0.15*B1333*5))^4/24)+(((0.15*B1333*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07">
      <c r="A1307">
        <f>Skills!A10</f>
        <v/>
      </c>
      <c r="B1307">
        <f>Skills!B10</f>
        <v/>
      </c>
      <c r="C1307">
        <f>Inputs!$B$3&gt;=117</f>
        <v/>
      </c>
      <c r="D1307">
        <f>IF(Skills!C10=1,60+Inputs!$B$25+Inputs!$B$29,IF(Skills!C10=2,90+Inputs!$B$26+Inputs!$B$29,IF(Skills!C10=3,120+Inputs!$B$27+Inputs!$B$29,MAX(0,(Inputs!$B$3-100)*3)+Inputs!$B$28+Inputs!$B$29)))</f>
        <v/>
      </c>
      <c r="E1307">
        <f>INDEX(FactorTable!$B$2:$Y$301, MATCH(ROUND(MIN(300,MAX(1,D1307)),0), FactorTable!$A$2:$A$301,0), Skills!M10+1)</f>
        <v/>
      </c>
      <c r="F1307">
        <f>IF(Skills!N10=TRUE,(Skills!L10/10)*(E1307/1000),Skills!L10/10)+Skills!O10</f>
        <v/>
      </c>
      <c r="G1307">
        <f>Calc!G10</f>
        <v/>
      </c>
      <c r="H1307">
        <f>Calc!H10</f>
        <v/>
      </c>
      <c r="I1307">
        <f>IF(Skills!AA10&lt;&gt;"",1+(Skills!AA10/10)*(U1300/1000)/100,1)</f>
        <v/>
      </c>
      <c r="J1307">
        <f>((Inputs!$B$6*(1+Inputs!$B$7/100))+(((Inputs!$B$12*(1+Inputs!$B$13/100))-(Inputs!$B$12*(1+Inputs!$B$13/100)))+0.25*(Inputs!$B$14-Inputs!$B$14))*(1+Inputs!$B$7/100))*(F1307/100)</f>
        <v/>
      </c>
      <c r="K1307">
        <f>J1307*(1+((Inputs!$B$12*(1+Inputs!$B$13/100))*0.01+Inputs!$B$14*0.0025)/100)*(1+Inputs!$B$15/100)*(1+Inputs!$B$16/100)*(5000/(6000+Inputs!$B$43*(1-(100*(1-(1-(Inputs!$B$19+0)/100)*(1-CHOOSE(ArtifactsInput!$N$40+1,5,6,7,8,9,10)/100)^(ArtifactsInput!$M$40-ArtifactsInput!$M$40)))/100)))*(1+(Inputs!$B$24+((C1327=TRUE)*(F1327-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1320=TRUE)*(F1320-Calc!F23))+(((IF(AND(ArtifactsInput!$M$42,((Inputs!$B$9+((C1322=TRUE)*(F1322-Calc!F25))+B1337+(ArtifactsInput!$M$24-ArtifactsInput!$M$24)*CHOOSE(ArtifactsInput!$N$24+1,10,12,14,16,18,20)+IF(ArtifactsInput!$M$10,CHOOSE(ArtifactsInput!$N$10+1,15,18,21,24,27,30)*(IF(Inputs!$B$39="pvp",MIN(15,15)/15,IF(AND(Inputs!$B$39&lt;&gt;"pvp",Inputs!$B$44&gt;0),MIN(15,Inputs!$B$44)/(Inputs!$B$44),0))),0)))&gt;=100),MIN(100,((Inputs!$B$9+((C1322=TRUE)*(F1322-Calc!F25))+B1337+(ArtifactsInput!$M$24-ArtifactsInput!$M$24)*CHOOSE(ArtifactsInput!$N$24+1,10,12,14,16,18,20)+IF(ArtifactsInput!$M$10,CHOOSE(ArtifactsInput!$N$10+1,15,18,21,24,27,30)*(IF(Inputs!$B$39="pvp",MIN(15,15)/15,IF(AND(Inputs!$B$39&lt;&gt;"pvp",Inputs!$B$44&gt;0),MIN(15,Inputs!$B$44)/(Inputs!$B$44),0))),0)))-100),0))*CHOOSE(ArtifactsInput!$N$42+1,0.6,0.72,0.84,0.96,1.08,1.2))),Inputs!$B$18+((C1326=TRUE)*(F1326-Calc!F29))+(IF(AND(ArtifactsInput!$M$42,((Inputs!$B$9+((C1322=TRUE)*(F1322-Calc!F25))+B1337+(ArtifactsInput!$M$24-ArtifactsInput!$M$24)*CHOOSE(ArtifactsInput!$N$24+1,10,12,14,16,18,20)+IF(ArtifactsInput!$M$10,CHOOSE(ArtifactsInput!$N$10+1,15,18,21,24,27,30)*(IF(Inputs!$B$39="pvp",MIN(15,15)/15,IF(AND(Inputs!$B$39&lt;&gt;"pvp",Inputs!$B$44&gt;0),MIN(15,Inputs!$B$44)/(Inputs!$B$44),0))),0)))&gt;=100),CHOOSE(ArtifactsInput!$N$42+1,40,48,56,64,72,80),0))))/100)*(((1+(((C1318=TRUE)*F1318*IF(AND(Inputs!$B$39&lt;&gt;"pvp",Inputs!$B$44&gt;0),(((R1318-1)*(Skills!Y21*(1+(Inputs!$B$34+1)/100))+MIN((Skills!Y21*(1+(Inputs!$B$34+1)/100)),MAX(0,Inputs!$B$44-((R1318-1)*Skills!D21))))/Inputs!$B$44),IF(Inputs!$B$39="pvp",MIN((Skills!Y21*(1+(Inputs!$B$34+1)/100)),15)/15,(Skills!Y21*(1+(Inputs!$B$34+1)/100))/Skills!D21)))+((C1325=TRUE)*(F1325-Calc!F28))+((C1315=TRUE)*(F1315-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1312=TRUE)*F1312*IF(AND(Inputs!$B$39&lt;&gt;"pvp",Inputs!$B$44&gt;0),(((R1312-1)*(Skills!Y15*(1+(Inputs!$B$34+1)/100))+MIN((Skills!Y15*(1+(Inputs!$B$34+1)/100)),MAX(0,Inputs!$B$44-((R1312-1)*Skills!D15))))/Inputs!$B$44),IF(Inputs!$B$39="pvp",MIN((Skills!Y15*(1+(Inputs!$B$34+1)/100)),15)/15,(Skills!Y15*(1+(Inputs!$B$34+1)/100))/Skills!D15)))/100)*(1+((C1303=TRUE)*F1303*B1331)/100))*B1339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1307)</f>
        <v/>
      </c>
      <c r="L1307">
        <f>K1307*(MIN(Inputs!$B$22+((C1321=TRUE)*(F1321-Calc!F24)),(Inputs!$B$23+0+(IF(ArtifactsInput!$M$15,CHOOSE(ArtifactsInput!$N$15+1,25,30,35,40,45,50)/100*(Inputs!$B$11-Inputs!$B$11),0))))/100+(Inputs!$B$23+0+(IF(ArtifactsInput!$M$15,CHOOSE(ArtifactsInput!$N$15+1,25,30,35,40,45,50)/100*(Inputs!$B$11-Inputs!$B$11),0)))/100)/2</f>
        <v/>
      </c>
      <c r="M1307">
        <f>L1307*(1+(Inputs!$B$10+((C1323=TRUE)*(F1323-Calc!F26))+B1340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07">
        <f>L1307*(1-MIN((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1307*(MIN((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07">
        <f>(1-Summary!$B$11)*T1307+Summary!$B$11*V1307</f>
        <v/>
      </c>
      <c r="P1307">
        <f>IF(B1341=0,0,O1307/B1341)</f>
        <v/>
      </c>
      <c r="Q1307" t="n">
        <v>0</v>
      </c>
      <c r="R1307" t="n">
        <v>0</v>
      </c>
      <c r="S1307" t="n">
        <v>0</v>
      </c>
      <c r="T1307">
        <f>IF(C1307,(0.2*SUMPRODUCT((Skills!Z2:Z31=TRUE)*(C1299:C1328=TRUE)*S1299:S1328)*N1307)*IF(Inputs!$B$39="pvp",1,1+(Inputs!$B$20+((C1324=TRUE)*(F1324-Calc!F27))+Skills!P10+B1338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Hunt"),CHOOSE(ArtifactsInput!$N$35+1,15,18,21,24,27,30)*(1-EXP(-(0.2*B1333)*5)),0)+IF(AND(ArtifactsInput!$M$22,Inputs!$B$4&lt;&gt;"Chapter Hunt"),CHOOSE(ArtifactsInput!$N$22+1,10,12,14,16,18,20)*((0*(((0.15*B1333*5))^0/1)+1*(((0.15*B1333*5))^1/1)+2*(((0.15*B1333*5))^2/2)+3*(((0.15*B1333*5))^3/6)+4*(((0.15*B1333*5))^4/24)+5*(((0.15*B1333*5))^5/120))/((((0.15*B1333*5))^0/1)+(((0.15*B1333*5))^1/1)+(((0.15*B1333*5))^2/2)+(((0.15*B1333*5))^3/6)+(((0.15*B1333*5))^4/24)+(((0.15*B1333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1307*(1-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1307*(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1307*(1-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1307*(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07">
        <f>IF(C1307,(0.2*SUMPRODUCT((Skills!Z2:Z31=TRUE)*(C1299:C1328=TRUE)*S1299:S1328)*N1307)*IF(Inputs!$B$39="pvp",1,(1+(Inputs!$B$21+Skills!Q10+B1338+(IF(ArtifactsInput!$M$33,CHOOSE(ArtifactsInput!$N$33+1,30,36,42,48,54,60),0))+(IF(AND(ArtifactsInput!$M$35,Inputs!$B$4&lt;&gt;"Chapter Hunt"),CHOOSE(ArtifactsInput!$N$35+1,15,18,21,24,27,30)*(1-EXP(-(0.2*B1333)*5)),0)+IF(AND(ArtifactsInput!$M$22,Inputs!$B$4&lt;&gt;"Chapter Hunt"),CHOOSE(ArtifactsInput!$N$22+1,10,12,14,16,18,20)*((0*(((0.15*B1333*5))^0/1)+1*(((0.15*B1333*5))^1/1)+2*(((0.15*B1333*5))^2/2)+3*(((0.15*B1333*5))^3/6)+4*(((0.15*B1333*5))^4/24)+5*(((0.15*B1333*5))^5/120))/((((0.15*B1333*5))^0/1)+(((0.15*B1333*5))^1/1)+(((0.15*B1333*5))^2/2)+(((0.15*B1333*5))^3/6)+(((0.15*B1333*5))^4/24)+(((0.15*B1333*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08">
      <c r="A1308">
        <f>Skills!A11</f>
        <v/>
      </c>
      <c r="B1308">
        <f>Skills!B11</f>
        <v/>
      </c>
      <c r="C1308">
        <f>Inputs!$B$3&gt;=60</f>
        <v/>
      </c>
      <c r="D1308">
        <f>IF(Skills!C11=1,60+Inputs!$B$25+Inputs!$B$29,IF(Skills!C11=2,90+Inputs!$B$26+Inputs!$B$29,IF(Skills!C11=3,120+Inputs!$B$27+Inputs!$B$29,MAX(0,(Inputs!$B$3-100)*3)+Inputs!$B$28+Inputs!$B$29)))</f>
        <v/>
      </c>
      <c r="E1308">
        <f>INDEX(FactorTable!$B$2:$Y$301, MATCH(ROUND(MIN(300,MAX(1,D1308)),0), FactorTable!$A$2:$A$301,0), Skills!M11+1)</f>
        <v/>
      </c>
      <c r="F1308">
        <f>IF(Skills!N11=TRUE,(Skills!L11/10)*(E1308/1000),Skills!L11/10)+Skills!O11</f>
        <v/>
      </c>
      <c r="G1308">
        <f>Calc!G11</f>
        <v/>
      </c>
      <c r="H1308">
        <f>Calc!H11</f>
        <v/>
      </c>
      <c r="I1308">
        <f>IF(Skills!AA11&lt;&gt;"",1+(Skills!AA11/10)*(U1300/1000)/100,1)</f>
        <v/>
      </c>
      <c r="J1308" t="inlineStr"/>
      <c r="K1308" t="inlineStr"/>
      <c r="L1308" t="inlineStr"/>
      <c r="M1308" t="inlineStr"/>
      <c r="N1308" t="inlineStr"/>
      <c r="O1308">
        <f>(1-Summary!$B$11)*T1308+Summary!$B$11*V1308</f>
        <v/>
      </c>
      <c r="P1308">
        <f>IF(B1341=0,0,O1308/B1341)</f>
        <v/>
      </c>
      <c r="Q1308" t="n">
        <v>0</v>
      </c>
      <c r="R1308" t="n">
        <v>0</v>
      </c>
      <c r="S1308">
        <f>IFERROR(O1308/N1308,0)</f>
        <v/>
      </c>
      <c r="T1308" t="n">
        <v>0</v>
      </c>
      <c r="V1308" t="n">
        <v>0</v>
      </c>
    </row>
    <row r="1309">
      <c r="A1309">
        <f>Skills!A12</f>
        <v/>
      </c>
      <c r="B1309">
        <f>Skills!B12</f>
        <v/>
      </c>
      <c r="C1309">
        <f>Inputs!$B$3&gt;=103</f>
        <v/>
      </c>
      <c r="D1309">
        <f>IF(Skills!C12=1,60+Inputs!$B$25+Inputs!$B$29,IF(Skills!C12=2,90+Inputs!$B$26+Inputs!$B$29,IF(Skills!C12=3,120+Inputs!$B$27+Inputs!$B$29,MAX(0,(Inputs!$B$3-100)*3)+Inputs!$B$28+Inputs!$B$29)))</f>
        <v/>
      </c>
      <c r="E1309">
        <f>INDEX(FactorTable!$B$2:$Y$301, MATCH(ROUND(MIN(300,MAX(1,D1309)),0), FactorTable!$A$2:$A$301,0), Skills!M12+1)</f>
        <v/>
      </c>
      <c r="F1309">
        <f>IF(Skills!N12=TRUE,(Skills!L12/10)*(E1309/1000),Skills!L12/10)+Skills!O12</f>
        <v/>
      </c>
      <c r="G1309">
        <f>Calc!G12</f>
        <v/>
      </c>
      <c r="H1309">
        <f>Calc!H12</f>
        <v/>
      </c>
      <c r="I1309">
        <f>IF(Skills!AA12&lt;&gt;"",1+(Skills!AA12/10)*(U1300/1000)/100,1)</f>
        <v/>
      </c>
      <c r="J1309">
        <f>((Inputs!$B$6*(1+Inputs!$B$7/100))+(((Inputs!$B$12*(1+Inputs!$B$13/100))-(Inputs!$B$12*(1+Inputs!$B$13/100)))+0.25*(Inputs!$B$14-Inputs!$B$14))*(1+Inputs!$B$7/100))*(F1309/100)</f>
        <v/>
      </c>
      <c r="K1309">
        <f>J1309*(1+((Inputs!$B$12*(1+Inputs!$B$13/100))*0.01+Inputs!$B$14*0.0025)/100)*(1+Inputs!$B$15/100)*(1+Inputs!$B$16/100)*(5000/(6000+Inputs!$B$43*(1-(100*(1-(1-(Inputs!$B$19+0)/100)*(1-CHOOSE(ArtifactsInput!$N$40+1,5,6,7,8,9,10)/100)^(ArtifactsInput!$M$40-ArtifactsInput!$M$40)))/100)))*(1+(Inputs!$B$24+((C1327=TRUE)*(F1327-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1320=TRUE)*(F1320-Calc!F23))+(((IF(AND(ArtifactsInput!$M$42,((Inputs!$B$9+((C1322=TRUE)*(F1322-Calc!F25))+B1337+(ArtifactsInput!$M$24-ArtifactsInput!$M$24)*CHOOSE(ArtifactsInput!$N$24+1,10,12,14,16,18,20)+IF(ArtifactsInput!$M$10,CHOOSE(ArtifactsInput!$N$10+1,15,18,21,24,27,30)*(IF(Inputs!$B$39="pvp",MIN(15,15)/15,IF(AND(Inputs!$B$39&lt;&gt;"pvp",Inputs!$B$44&gt;0),MIN(15,Inputs!$B$44)/(Inputs!$B$44),0))),0)))&gt;=100),MIN(100,((Inputs!$B$9+((C1322=TRUE)*(F1322-Calc!F25))+B1337+(ArtifactsInput!$M$24-ArtifactsInput!$M$24)*CHOOSE(ArtifactsInput!$N$24+1,10,12,14,16,18,20)+IF(ArtifactsInput!$M$10,CHOOSE(ArtifactsInput!$N$10+1,15,18,21,24,27,30)*(IF(Inputs!$B$39="pvp",MIN(15,15)/15,IF(AND(Inputs!$B$39&lt;&gt;"pvp",Inputs!$B$44&gt;0),MIN(15,Inputs!$B$44)/(Inputs!$B$44),0))),0)))-100),0))*CHOOSE(ArtifactsInput!$N$42+1,0.6,0.72,0.84,0.96,1.08,1.2))),Inputs!$B$18+((C1326=TRUE)*(F1326-Calc!F29))+(IF(AND(ArtifactsInput!$M$42,((Inputs!$B$9+((C1322=TRUE)*(F1322-Calc!F25))+B1337+(ArtifactsInput!$M$24-ArtifactsInput!$M$24)*CHOOSE(ArtifactsInput!$N$24+1,10,12,14,16,18,20)+IF(ArtifactsInput!$M$10,CHOOSE(ArtifactsInput!$N$10+1,15,18,21,24,27,30)*(IF(Inputs!$B$39="pvp",MIN(15,15)/15,IF(AND(Inputs!$B$39&lt;&gt;"pvp",Inputs!$B$44&gt;0),MIN(15,Inputs!$B$44)/(Inputs!$B$44),0))),0)))&gt;=100),CHOOSE(ArtifactsInput!$N$42+1,40,48,56,64,72,80),0))))/100)*(((1+(((C1318=TRUE)*F1318*IF(AND(Inputs!$B$39&lt;&gt;"pvp",Inputs!$B$44&gt;0),(((R1318-1)*(Skills!Y21*(1+(Inputs!$B$34+1)/100))+MIN((Skills!Y21*(1+(Inputs!$B$34+1)/100)),MAX(0,Inputs!$B$44-((R1318-1)*Skills!D21))))/Inputs!$B$44),IF(Inputs!$B$39="pvp",MIN((Skills!Y21*(1+(Inputs!$B$34+1)/100)),15)/15,(Skills!Y21*(1+(Inputs!$B$34+1)/100))/Skills!D21)))+((C1325=TRUE)*(F1325-Calc!F28))+((C1315=TRUE)*(F1315-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1312=TRUE)*F1312*IF(AND(Inputs!$B$39&lt;&gt;"pvp",Inputs!$B$44&gt;0),(((R1312-1)*(Skills!Y15*(1+(Inputs!$B$34+1)/100))+MIN((Skills!Y15*(1+(Inputs!$B$34+1)/100)),MAX(0,Inputs!$B$44-((R1312-1)*Skills!D15))))/Inputs!$B$44),IF(Inputs!$B$39="pvp",MIN((Skills!Y15*(1+(Inputs!$B$34+1)/100)),15)/15,(Skills!Y15*(1+(Inputs!$B$34+1)/100))/Skills!D15)))/100)*(1+((C1303=TRUE)*F1303*B1331)/100))*B1339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1309)</f>
        <v/>
      </c>
      <c r="L1309">
        <f>K1309*(MIN(Inputs!$B$22+((C1321=TRUE)*(F1321-Calc!F24)),(Inputs!$B$23+0+(IF(ArtifactsInput!$M$15,CHOOSE(ArtifactsInput!$N$15+1,25,30,35,40,45,50)/100*(Inputs!$B$11-Inputs!$B$11),0))))/100+(Inputs!$B$23+0+(IF(ArtifactsInput!$M$15,CHOOSE(ArtifactsInput!$N$15+1,25,30,35,40,45,50)/100*(Inputs!$B$11-Inputs!$B$11),0)))/100)/2</f>
        <v/>
      </c>
      <c r="M1309">
        <f>L1309*(1+(Inputs!$B$10+((C1323=TRUE)*(F1323-Calc!F26))+B1340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09">
        <f>L1309*(1-MIN((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1309*(MIN((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09">
        <f>(1-Summary!$B$11)*T1309+Summary!$B$11*V1309</f>
        <v/>
      </c>
      <c r="P1309">
        <f>IF(B1341=0,0,O1309/B1341)</f>
        <v/>
      </c>
      <c r="Q1309">
        <f>IFERROR(1/IF(Inputs!$B$39="pvp",15,MAX(0.1,Skills!D12-IF(Skills!E12=TRUE,Inputs!$B$32,0))),0)</f>
        <v/>
      </c>
      <c r="R1309">
        <f>IF(AND(Inputs!$B$39&lt;&gt;"pvp",Inputs!$B$44&gt;0),IF(MAX(0,Inputs!$B$44-B1342)&lt;=0,0,(INT(MAX(0,Inputs!$B$44-B1342)/IF(Inputs!$B$39="pvp",15,MAX(0.1,Skills!D12-IF(Skills!E12=TRUE,Inputs!$B$32,0))))+1)),0)</f>
        <v/>
      </c>
      <c r="S1309">
        <f>IFERROR(O1309/N1309,0)</f>
        <v/>
      </c>
      <c r="T1309">
        <f>IF(C1309,(H1309*N1309*IF(AND(Inputs!$B$39&lt;&gt;"pvp",Inputs!$B$44&gt;0),((Skills!G12*((R1309-1)*IF(Skills!H12&gt;0,Skills!I12/Skills!H12,1)+IF(Skills!H12&gt;0,MIN(Skills!I12,MAX(0,MAX(0,Inputs!$B$44-B1342)-((R1309-1)*IF(Inputs!$B$39="pvp",15,MAX(0.1,Skills!D12-IF(Skills!E12=TRUE,Inputs!$B$32,0))))))/Skills!H12,1)))/Inputs!$B$44),G1309*Q1309))*IF(Inputs!$B$39="pvp",1,1+(Inputs!$B$20+((C1324=TRUE)*(F1324-Calc!F27))+Skills!P12+B1338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Hunt"),CHOOSE(ArtifactsInput!$N$35+1,15,18,21,24,27,30)*(1-EXP(-(0.2*B1333)*5)),0)+IF(AND(ArtifactsInput!$M$22,Inputs!$B$4&lt;&gt;"Chapter Hunt"),CHOOSE(ArtifactsInput!$N$22+1,10,12,14,16,18,20)*((0*(((0.15*B1333*5))^0/1)+1*(((0.15*B1333*5))^1/1)+2*(((0.15*B1333*5))^2/2)+3*(((0.15*B1333*5))^3/6)+4*(((0.15*B1333*5))^4/24)+5*(((0.15*B1333*5))^5/120))/((((0.15*B1333*5))^0/1)+(((0.15*B1333*5))^1/1)+(((0.15*B1333*5))^2/2)+(((0.15*B1333*5))^3/6)+(((0.15*B1333*5))^4/24)+(((0.15*B1333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1309*(1-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1309*(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1309*(1-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1309*(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09">
        <f>IF(C1309,(H1309*N1309*IF(AND(Inputs!$B$39&lt;&gt;"pvp",Inputs!$B$44&gt;0),((Skills!G12*((R1309-1)*IF(Skills!H12&gt;0,Skills!I12/Skills!H12,1)+IF(Skills!H12&gt;0,MIN(Skills!I12,MAX(0,MAX(0,Inputs!$B$44-B1342)-((R1309-1)*IF(Inputs!$B$39="pvp",15,MAX(0.1,Skills!D12-IF(Skills!E12=TRUE,Inputs!$B$32,0))))))/Skills!H12,1)))/Inputs!$B$44),G1309*Q1309))*IF(Inputs!$B$39="pvp",1,(1+(Inputs!$B$21+Skills!Q12+B1338+(IF(ArtifactsInput!$M$33,CHOOSE(ArtifactsInput!$N$33+1,30,36,42,48,54,60),0))+(IF(AND(ArtifactsInput!$M$35,Inputs!$B$4&lt;&gt;"Chapter Hunt"),CHOOSE(ArtifactsInput!$N$35+1,15,18,21,24,27,30)*(1-EXP(-(0.2*B1333)*5)),0)+IF(AND(ArtifactsInput!$M$22,Inputs!$B$4&lt;&gt;"Chapter Hunt"),CHOOSE(ArtifactsInput!$N$22+1,10,12,14,16,18,20)*((0*(((0.15*B1333*5))^0/1)+1*(((0.15*B1333*5))^1/1)+2*(((0.15*B1333*5))^2/2)+3*(((0.15*B1333*5))^3/6)+4*(((0.15*B1333*5))^4/24)+5*(((0.15*B1333*5))^5/120))/((((0.15*B1333*5))^0/1)+(((0.15*B1333*5))^1/1)+(((0.15*B1333*5))^2/2)+(((0.15*B1333*5))^3/6)+(((0.15*B1333*5))^4/24)+(((0.15*B1333*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10">
      <c r="A1310">
        <f>Skills!A13</f>
        <v/>
      </c>
      <c r="B1310">
        <f>Skills!B13</f>
        <v/>
      </c>
      <c r="C1310">
        <f>Inputs!$B$3&gt;=105</f>
        <v/>
      </c>
      <c r="D1310">
        <f>IF(Skills!C13=1,60+Inputs!$B$25+Inputs!$B$29,IF(Skills!C13=2,90+Inputs!$B$26+Inputs!$B$29,IF(Skills!C13=3,120+Inputs!$B$27+Inputs!$B$29,MAX(0,(Inputs!$B$3-100)*3)+Inputs!$B$28+Inputs!$B$29)))</f>
        <v/>
      </c>
      <c r="E1310">
        <f>INDEX(FactorTable!$B$2:$Y$301, MATCH(ROUND(MIN(300,MAX(1,D1310)),0), FactorTable!$A$2:$A$301,0), Skills!M13+1)</f>
        <v/>
      </c>
      <c r="F1310">
        <f>IF(Skills!N13=TRUE,(Skills!L13/10)*(E1310/1000),Skills!L13/10)+Skills!O13</f>
        <v/>
      </c>
      <c r="G1310">
        <f>Calc!G13</f>
        <v/>
      </c>
      <c r="H1310">
        <f>Calc!H13</f>
        <v/>
      </c>
      <c r="I1310">
        <f>IF(Skills!AA13&lt;&gt;"",1+(Skills!AA13/10)*(U1300/1000)/100,1)</f>
        <v/>
      </c>
      <c r="J1310">
        <f>((Inputs!$B$6*(1+Inputs!$B$7/100))+(((Inputs!$B$12*(1+Inputs!$B$13/100))-(Inputs!$B$12*(1+Inputs!$B$13/100)))+0.25*(Inputs!$B$14-Inputs!$B$14))*(1+Inputs!$B$7/100))*(F1310/100)</f>
        <v/>
      </c>
      <c r="K1310">
        <f>J1310*(1+((Inputs!$B$12*(1+Inputs!$B$13/100))*0.01+Inputs!$B$14*0.0025)/100)*(1+Inputs!$B$15/100)*(1+Inputs!$B$16/100)*(5000/(6000+Inputs!$B$43*(1-(100*(1-(1-(Inputs!$B$19+0)/100)*(1-CHOOSE(ArtifactsInput!$N$40+1,5,6,7,8,9,10)/100)^(ArtifactsInput!$M$40-ArtifactsInput!$M$40)))/100)))*(1+(Inputs!$B$24+((C1327=TRUE)*(F1327-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1320=TRUE)*(F1320-Calc!F23))+(((IF(AND(ArtifactsInput!$M$42,((Inputs!$B$9+((C1322=TRUE)*(F1322-Calc!F25))+B1337+(ArtifactsInput!$M$24-ArtifactsInput!$M$24)*CHOOSE(ArtifactsInput!$N$24+1,10,12,14,16,18,20)+IF(ArtifactsInput!$M$10,CHOOSE(ArtifactsInput!$N$10+1,15,18,21,24,27,30)*(IF(Inputs!$B$39="pvp",MIN(15,15)/15,IF(AND(Inputs!$B$39&lt;&gt;"pvp",Inputs!$B$44&gt;0),MIN(15,Inputs!$B$44)/(Inputs!$B$44),0))),0)))&gt;=100),MIN(100,((Inputs!$B$9+((C1322=TRUE)*(F1322-Calc!F25))+B1337+(ArtifactsInput!$M$24-ArtifactsInput!$M$24)*CHOOSE(ArtifactsInput!$N$24+1,10,12,14,16,18,20)+IF(ArtifactsInput!$M$10,CHOOSE(ArtifactsInput!$N$10+1,15,18,21,24,27,30)*(IF(Inputs!$B$39="pvp",MIN(15,15)/15,IF(AND(Inputs!$B$39&lt;&gt;"pvp",Inputs!$B$44&gt;0),MIN(15,Inputs!$B$44)/(Inputs!$B$44),0))),0)))-100),0))*CHOOSE(ArtifactsInput!$N$42+1,0.6,0.72,0.84,0.96,1.08,1.2))),Inputs!$B$18+((C1326=TRUE)*(F1326-Calc!F29))+(IF(AND(ArtifactsInput!$M$42,((Inputs!$B$9+((C1322=TRUE)*(F1322-Calc!F25))+B1337+(ArtifactsInput!$M$24-ArtifactsInput!$M$24)*CHOOSE(ArtifactsInput!$N$24+1,10,12,14,16,18,20)+IF(ArtifactsInput!$M$10,CHOOSE(ArtifactsInput!$N$10+1,15,18,21,24,27,30)*(IF(Inputs!$B$39="pvp",MIN(15,15)/15,IF(AND(Inputs!$B$39&lt;&gt;"pvp",Inputs!$B$44&gt;0),MIN(15,Inputs!$B$44)/(Inputs!$B$44),0))),0)))&gt;=100),CHOOSE(ArtifactsInput!$N$42+1,40,48,56,64,72,80),0))))/100)*(((1+(((C1318=TRUE)*F1318*IF(AND(Inputs!$B$39&lt;&gt;"pvp",Inputs!$B$44&gt;0),(((R1318-1)*(Skills!Y21*(1+(Inputs!$B$34+1)/100))+MIN((Skills!Y21*(1+(Inputs!$B$34+1)/100)),MAX(0,Inputs!$B$44-((R1318-1)*Skills!D21))))/Inputs!$B$44),IF(Inputs!$B$39="pvp",MIN((Skills!Y21*(1+(Inputs!$B$34+1)/100)),15)/15,(Skills!Y21*(1+(Inputs!$B$34+1)/100))/Skills!D21)))+((C1325=TRUE)*(F1325-Calc!F28))+((C1315=TRUE)*(F1315-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1312=TRUE)*F1312*IF(AND(Inputs!$B$39&lt;&gt;"pvp",Inputs!$B$44&gt;0),(((R1312-1)*(Skills!Y15*(1+(Inputs!$B$34+1)/100))+MIN((Skills!Y15*(1+(Inputs!$B$34+1)/100)),MAX(0,Inputs!$B$44-((R1312-1)*Skills!D15))))/Inputs!$B$44),IF(Inputs!$B$39="pvp",MIN((Skills!Y15*(1+(Inputs!$B$34+1)/100)),15)/15,(Skills!Y15*(1+(Inputs!$B$34+1)/100))/Skills!D15)))/100)*(1+((C1303=TRUE)*F1303*B1331)/100))*B1339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1310)</f>
        <v/>
      </c>
      <c r="L1310">
        <f>K1310*(MIN(Inputs!$B$22+((C1321=TRUE)*(F1321-Calc!F24)),(Inputs!$B$23+0+(IF(ArtifactsInput!$M$15,CHOOSE(ArtifactsInput!$N$15+1,25,30,35,40,45,50)/100*(Inputs!$B$11-Inputs!$B$11),0))))/100+(Inputs!$B$23+0+(IF(ArtifactsInput!$M$15,CHOOSE(ArtifactsInput!$N$15+1,25,30,35,40,45,50)/100*(Inputs!$B$11-Inputs!$B$11),0)))/100)/2</f>
        <v/>
      </c>
      <c r="M1310">
        <f>L1310*(1+(Inputs!$B$10+((C1323=TRUE)*(F1323-Calc!F26))+B1340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10">
        <f>L1310*(1-MIN((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1310*(MIN((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10">
        <f>(1-Summary!$B$11)*T1310+Summary!$B$11*V1310</f>
        <v/>
      </c>
      <c r="P1310">
        <f>IF(B1341=0,0,O1310/B1341)</f>
        <v/>
      </c>
      <c r="Q1310">
        <f>IFERROR(1/IF(Inputs!$B$39="pvp",15,MAX(0.1,Skills!D13-IF(Skills!E13=TRUE,Inputs!$B$32,0))),0)</f>
        <v/>
      </c>
      <c r="R1310">
        <f>IF(AND(Inputs!$B$39&lt;&gt;"pvp",Inputs!$B$44&gt;0),IF(MAX(0,Inputs!$B$44-B1342)&lt;=0,0,(INT(MAX(0,Inputs!$B$44-B1342)/IF(Inputs!$B$39="pvp",15,MAX(0.1,Skills!D13-IF(Skills!E13=TRUE,Inputs!$B$32,0))))+1)),0)</f>
        <v/>
      </c>
      <c r="S1310">
        <f>IFERROR(O1310/N1310,0)</f>
        <v/>
      </c>
      <c r="T1310">
        <f>IF(C1310,(H1310*N1310*IF(AND(Inputs!$B$39&lt;&gt;"pvp",Inputs!$B$44&gt;0),((Skills!G13*((R1310-1)*IF(Skills!H13&gt;0,Skills!I13/Skills!H13,1)+IF(Skills!H13&gt;0,MIN(Skills!I13,MAX(0,MAX(0,Inputs!$B$44-B1342)-((R1310-1)*IF(Inputs!$B$39="pvp",15,MAX(0.1,Skills!D13-IF(Skills!E13=TRUE,Inputs!$B$32,0))))))/Skills!H13,1)))/Inputs!$B$44),G1310*Q1310))*IF(Inputs!$B$39="pvp",1,1+(Inputs!$B$20+((C1324=TRUE)*(F1324-Calc!F27))+Skills!P13+B1338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Hunt"),CHOOSE(ArtifactsInput!$N$35+1,15,18,21,24,27,30)*(1-EXP(-(0.2*B1333)*5)),0)+IF(AND(ArtifactsInput!$M$22,Inputs!$B$4&lt;&gt;"Chapter Hunt"),CHOOSE(ArtifactsInput!$N$22+1,10,12,14,16,18,20)*((0*(((0.15*B1333*5))^0/1)+1*(((0.15*B1333*5))^1/1)+2*(((0.15*B1333*5))^2/2)+3*(((0.15*B1333*5))^3/6)+4*(((0.15*B1333*5))^4/24)+5*(((0.15*B1333*5))^5/120))/((((0.15*B1333*5))^0/1)+(((0.15*B1333*5))^1/1)+(((0.15*B1333*5))^2/2)+(((0.15*B1333*5))^3/6)+(((0.15*B1333*5))^4/24)+(((0.15*B1333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1310*(1-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1310*(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1310*(1-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1310*(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10">
        <f>IF(C1310,(H1310*N1310*IF(AND(Inputs!$B$39&lt;&gt;"pvp",Inputs!$B$44&gt;0),((Skills!G13*((R1310-1)*IF(Skills!H13&gt;0,Skills!I13/Skills!H13,1)+IF(Skills!H13&gt;0,MIN(Skills!I13,MAX(0,MAX(0,Inputs!$B$44-B1342)-((R1310-1)*IF(Inputs!$B$39="pvp",15,MAX(0.1,Skills!D13-IF(Skills!E13=TRUE,Inputs!$B$32,0))))))/Skills!H13,1)))/Inputs!$B$44),G1310*Q1310))*IF(Inputs!$B$39="pvp",1,(1+(Inputs!$B$21+Skills!Q13+B1338+(IF(ArtifactsInput!$M$33,CHOOSE(ArtifactsInput!$N$33+1,30,36,42,48,54,60),0))+(IF(AND(ArtifactsInput!$M$35,Inputs!$B$4&lt;&gt;"Chapter Hunt"),CHOOSE(ArtifactsInput!$N$35+1,15,18,21,24,27,30)*(1-EXP(-(0.2*B1333)*5)),0)+IF(AND(ArtifactsInput!$M$22,Inputs!$B$4&lt;&gt;"Chapter Hunt"),CHOOSE(ArtifactsInput!$N$22+1,10,12,14,16,18,20)*((0*(((0.15*B1333*5))^0/1)+1*(((0.15*B1333*5))^1/1)+2*(((0.15*B1333*5))^2/2)+3*(((0.15*B1333*5))^3/6)+4*(((0.15*B1333*5))^4/24)+5*(((0.15*B1333*5))^5/120))/((((0.15*B1333*5))^0/1)+(((0.15*B1333*5))^1/1)+(((0.15*B1333*5))^2/2)+(((0.15*B1333*5))^3/6)+(((0.15*B1333*5))^4/24)+(((0.15*B1333*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11">
      <c r="A1311">
        <f>Skills!A14</f>
        <v/>
      </c>
      <c r="B1311">
        <f>Skills!B14</f>
        <v/>
      </c>
      <c r="C1311">
        <f>Inputs!$B$3&gt;=105</f>
        <v/>
      </c>
      <c r="D1311">
        <f>IF(Skills!C14=1,60+Inputs!$B$25+Inputs!$B$29,IF(Skills!C14=2,90+Inputs!$B$26+Inputs!$B$29,IF(Skills!C14=3,120+Inputs!$B$27+Inputs!$B$29,MAX(0,(Inputs!$B$3-100)*3)+Inputs!$B$28+Inputs!$B$29)))</f>
        <v/>
      </c>
      <c r="E1311">
        <f>INDEX(FactorTable!$B$2:$Y$301, MATCH(ROUND(MIN(300,MAX(1,D1311)),0), FactorTable!$A$2:$A$301,0), Skills!M14+1)</f>
        <v/>
      </c>
      <c r="F1311">
        <f>IF(Skills!N14=TRUE,(Skills!L14/10)*(E1311/1000),Skills!L14/10)+Skills!O14</f>
        <v/>
      </c>
      <c r="G1311">
        <f>Calc!G14</f>
        <v/>
      </c>
      <c r="H1311">
        <f>Calc!H14</f>
        <v/>
      </c>
      <c r="I1311">
        <f>IF(Skills!AA14&lt;&gt;"",1+(Skills!AA14/10)*(U1300/1000)/100,1)</f>
        <v/>
      </c>
      <c r="J1311">
        <f>((Inputs!$B$6*(1+Inputs!$B$7/100))+(((Inputs!$B$12*(1+Inputs!$B$13/100))-(Inputs!$B$12*(1+Inputs!$B$13/100)))+0.25*(Inputs!$B$14-Inputs!$B$14))*(1+Inputs!$B$7/100))*(F1311/100)</f>
        <v/>
      </c>
      <c r="K1311">
        <f>J1311*(1+((Inputs!$B$12*(1+Inputs!$B$13/100))*0.01+Inputs!$B$14*0.0025)/100)*(1+Inputs!$B$15/100)*(1+Inputs!$B$16/100)*(5000/(6000+Inputs!$B$43*(1-(100*(1-(1-(Inputs!$B$19+0)/100)*(1-CHOOSE(ArtifactsInput!$N$40+1,5,6,7,8,9,10)/100)^(ArtifactsInput!$M$40-ArtifactsInput!$M$40)))/100)))*(1+(Inputs!$B$24+((C1327=TRUE)*(F1327-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1320=TRUE)*(F1320-Calc!F23))+(((IF(AND(ArtifactsInput!$M$42,((Inputs!$B$9+((C1322=TRUE)*(F1322-Calc!F25))+B1337+(ArtifactsInput!$M$24-ArtifactsInput!$M$24)*CHOOSE(ArtifactsInput!$N$24+1,10,12,14,16,18,20)+IF(ArtifactsInput!$M$10,CHOOSE(ArtifactsInput!$N$10+1,15,18,21,24,27,30)*(IF(Inputs!$B$39="pvp",MIN(15,15)/15,IF(AND(Inputs!$B$39&lt;&gt;"pvp",Inputs!$B$44&gt;0),MIN(15,Inputs!$B$44)/(Inputs!$B$44),0))),0)))&gt;=100),MIN(100,((Inputs!$B$9+((C1322=TRUE)*(F1322-Calc!F25))+B1337+(ArtifactsInput!$M$24-ArtifactsInput!$M$24)*CHOOSE(ArtifactsInput!$N$24+1,10,12,14,16,18,20)+IF(ArtifactsInput!$M$10,CHOOSE(ArtifactsInput!$N$10+1,15,18,21,24,27,30)*(IF(Inputs!$B$39="pvp",MIN(15,15)/15,IF(AND(Inputs!$B$39&lt;&gt;"pvp",Inputs!$B$44&gt;0),MIN(15,Inputs!$B$44)/(Inputs!$B$44),0))),0)))-100),0))*CHOOSE(ArtifactsInput!$N$42+1,0.6,0.72,0.84,0.96,1.08,1.2))),Inputs!$B$18+((C1326=TRUE)*(F1326-Calc!F29))+(IF(AND(ArtifactsInput!$M$42,((Inputs!$B$9+((C1322=TRUE)*(F1322-Calc!F25))+B1337+(ArtifactsInput!$M$24-ArtifactsInput!$M$24)*CHOOSE(ArtifactsInput!$N$24+1,10,12,14,16,18,20)+IF(ArtifactsInput!$M$10,CHOOSE(ArtifactsInput!$N$10+1,15,18,21,24,27,30)*(IF(Inputs!$B$39="pvp",MIN(15,15)/15,IF(AND(Inputs!$B$39&lt;&gt;"pvp",Inputs!$B$44&gt;0),MIN(15,Inputs!$B$44)/(Inputs!$B$44),0))),0)))&gt;=100),CHOOSE(ArtifactsInput!$N$42+1,40,48,56,64,72,80),0))))/100)*(((1+(((C1318=TRUE)*F1318*IF(AND(Inputs!$B$39&lt;&gt;"pvp",Inputs!$B$44&gt;0),(((R1318-1)*(Skills!Y21*(1+(Inputs!$B$34+1)/100))+MIN((Skills!Y21*(1+(Inputs!$B$34+1)/100)),MAX(0,Inputs!$B$44-((R1318-1)*Skills!D21))))/Inputs!$B$44),IF(Inputs!$B$39="pvp",MIN((Skills!Y21*(1+(Inputs!$B$34+1)/100)),15)/15,(Skills!Y21*(1+(Inputs!$B$34+1)/100))/Skills!D21)))+((C1325=TRUE)*(F1325-Calc!F28))+((C1315=TRUE)*(F1315-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1312=TRUE)*F1312*IF(AND(Inputs!$B$39&lt;&gt;"pvp",Inputs!$B$44&gt;0),(((R1312-1)*(Skills!Y15*(1+(Inputs!$B$34+1)/100))+MIN((Skills!Y15*(1+(Inputs!$B$34+1)/100)),MAX(0,Inputs!$B$44-((R1312-1)*Skills!D15))))/Inputs!$B$44),IF(Inputs!$B$39="pvp",MIN((Skills!Y15*(1+(Inputs!$B$34+1)/100)),15)/15,(Skills!Y15*(1+(Inputs!$B$34+1)/100))/Skills!D15)))/100)*(1+((C1303=TRUE)*F1303*B1331)/100))*B1339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1311)</f>
        <v/>
      </c>
      <c r="L1311">
        <f>K1311*(MIN(Inputs!$B$22+((C1321=TRUE)*(F1321-Calc!F24)),(Inputs!$B$23+0+(IF(ArtifactsInput!$M$15,CHOOSE(ArtifactsInput!$N$15+1,25,30,35,40,45,50)/100*(Inputs!$B$11-Inputs!$B$11),0))))/100+(Inputs!$B$23+0+(IF(ArtifactsInput!$M$15,CHOOSE(ArtifactsInput!$N$15+1,25,30,35,40,45,50)/100*(Inputs!$B$11-Inputs!$B$11),0)))/100)/2</f>
        <v/>
      </c>
      <c r="M1311">
        <f>L1311*(1+(Inputs!$B$10+((C1323=TRUE)*(F1323-Calc!F26))+B1340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11">
        <f>L1311*(1-MIN((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1311*(MIN((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11">
        <f>(1-Summary!$B$11)*T1311+Summary!$B$11*V1311</f>
        <v/>
      </c>
      <c r="P1311">
        <f>IF(B1341=0,0,O1311/B1341)</f>
        <v/>
      </c>
      <c r="Q1311">
        <f>IFERROR(1/IF(Inputs!$B$39="pvp",15,MAX(0.1,Skills!D14-IF(Skills!E14=TRUE,Inputs!$B$32,0))),0)</f>
        <v/>
      </c>
      <c r="R1311">
        <f>IF(AND(Inputs!$B$39&lt;&gt;"pvp",Inputs!$B$44&gt;0),IF(MAX(0,Inputs!$B$44-B1342)&lt;=0,0,(INT(MAX(0,Inputs!$B$44-B1342)/IF(Inputs!$B$39="pvp",15,MAX(0.1,Skills!D14-IF(Skills!E14=TRUE,Inputs!$B$32,0))))+1)),0)</f>
        <v/>
      </c>
      <c r="S1311">
        <f>IFERROR(O1311/N1311,0)</f>
        <v/>
      </c>
      <c r="T1311">
        <f>IF(C1311,(H1311*N1311*IF(AND(Inputs!$B$39&lt;&gt;"pvp",Inputs!$B$44&gt;0),((Skills!G14*((R1311-1)*IF(Skills!H14&gt;0,Skills!I14/Skills!H14,1)+IF(Skills!H14&gt;0,MIN(Skills!I14,MAX(0,MAX(0,Inputs!$B$44-B1342)-((R1311-1)*IF(Inputs!$B$39="pvp",15,MAX(0.1,Skills!D14-IF(Skills!E14=TRUE,Inputs!$B$32,0))))))/Skills!H14,1)))/Inputs!$B$44),G1311*Q1311))*IF(Inputs!$B$39="pvp",1,1+(Inputs!$B$20+((C1324=TRUE)*(F1324-Calc!F27))+Skills!P14+B1338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Hunt"),CHOOSE(ArtifactsInput!$N$35+1,15,18,21,24,27,30)*(1-EXP(-(0.2*B1333)*5)),0)+IF(AND(ArtifactsInput!$M$22,Inputs!$B$4&lt;&gt;"Chapter Hunt"),CHOOSE(ArtifactsInput!$N$22+1,10,12,14,16,18,20)*((0*(((0.15*B1333*5))^0/1)+1*(((0.15*B1333*5))^1/1)+2*(((0.15*B1333*5))^2/2)+3*(((0.15*B1333*5))^3/6)+4*(((0.15*B1333*5))^4/24)+5*(((0.15*B1333*5))^5/120))/((((0.15*B1333*5))^0/1)+(((0.15*B1333*5))^1/1)+(((0.15*B1333*5))^2/2)+(((0.15*B1333*5))^3/6)+(((0.15*B1333*5))^4/24)+(((0.15*B1333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1311*(1-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1311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1311*(1-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1311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11">
        <f>IF(C1311,(H1311*N1311*IF(AND(Inputs!$B$39&lt;&gt;"pvp",Inputs!$B$44&gt;0),((Skills!G14*((R1311-1)*IF(Skills!H14&gt;0,Skills!I14/Skills!H14,1)+IF(Skills!H14&gt;0,MIN(Skills!I14,MAX(0,MAX(0,Inputs!$B$44-B1342)-((R1311-1)*IF(Inputs!$B$39="pvp",15,MAX(0.1,Skills!D14-IF(Skills!E14=TRUE,Inputs!$B$32,0))))))/Skills!H14,1)))/Inputs!$B$44),G1311*Q1311))*IF(Inputs!$B$39="pvp",1,(1+(Inputs!$B$21+Skills!Q14+B1338+(IF(ArtifactsInput!$M$33,CHOOSE(ArtifactsInput!$N$33+1,30,36,42,48,54,60),0))+(IF(AND(ArtifactsInput!$M$35,Inputs!$B$4&lt;&gt;"Chapter Hunt"),CHOOSE(ArtifactsInput!$N$35+1,15,18,21,24,27,30)*(1-EXP(-(0.2*B1333)*5)),0)+IF(AND(ArtifactsInput!$M$22,Inputs!$B$4&lt;&gt;"Chapter Hunt"),CHOOSE(ArtifactsInput!$N$22+1,10,12,14,16,18,20)*((0*(((0.15*B1333*5))^0/1)+1*(((0.15*B1333*5))^1/1)+2*(((0.15*B1333*5))^2/2)+3*(((0.15*B1333*5))^3/6)+4*(((0.15*B1333*5))^4/24)+5*(((0.15*B1333*5))^5/120))/((((0.15*B1333*5))^0/1)+(((0.15*B1333*5))^1/1)+(((0.15*B1333*5))^2/2)+(((0.15*B1333*5))^3/6)+(((0.15*B1333*5))^4/24)+(((0.15*B1333*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12">
      <c r="A1312">
        <f>Skills!A15</f>
        <v/>
      </c>
      <c r="B1312">
        <f>Skills!B15</f>
        <v/>
      </c>
      <c r="C1312">
        <f>Inputs!$B$3&gt;=110</f>
        <v/>
      </c>
      <c r="D1312">
        <f>IF(Skills!C15=1,60+Inputs!$B$25+Inputs!$B$29,IF(Skills!C15=2,90+Inputs!$B$26+Inputs!$B$29,IF(Skills!C15=3,120+Inputs!$B$27+Inputs!$B$29,MAX(0,(Inputs!$B$3-100)*3)+Inputs!$B$28+Inputs!$B$29)))</f>
        <v/>
      </c>
      <c r="E1312">
        <f>INDEX(FactorTable!$B$2:$Y$301, MATCH(ROUND(MIN(300,MAX(1,D1312)),0), FactorTable!$A$2:$A$301,0), Skills!M15+1)</f>
        <v/>
      </c>
      <c r="F1312">
        <f>IF(Skills!N15=TRUE,(Skills!L15/10)*(E1312/1000),Skills!L15/10)+Skills!O15</f>
        <v/>
      </c>
      <c r="G1312">
        <f>Calc!G15</f>
        <v/>
      </c>
      <c r="H1312">
        <f>Calc!H15</f>
        <v/>
      </c>
      <c r="I1312">
        <f>IF(Skills!AA15&lt;&gt;"",1+(Skills!AA15/10)*(U1300/1000)/100,1)</f>
        <v/>
      </c>
      <c r="J1312" t="inlineStr"/>
      <c r="K1312" t="inlineStr"/>
      <c r="L1312" t="inlineStr"/>
      <c r="M1312" t="inlineStr"/>
      <c r="N1312" t="inlineStr"/>
      <c r="O1312">
        <f>(1-Summary!$B$11)*T1312+Summary!$B$11*V1312</f>
        <v/>
      </c>
      <c r="P1312">
        <f>IF(B1341=0,0,O1312/B1341)</f>
        <v/>
      </c>
      <c r="Q1312">
        <f>IFERROR(1/IF(Inputs!$B$39="pvp",15,MAX(0.1,Skills!D15-IF(Skills!E15=TRUE,Inputs!$B$32,0))),0)</f>
        <v/>
      </c>
      <c r="R1312">
        <f>IF(AND(Inputs!$B$39&lt;&gt;"pvp",Inputs!$B$44&gt;0),IF(Inputs!$B$44&lt;=0,0,(INT(Inputs!$B$44/IF(Inputs!$B$39="pvp",15,MAX(0.1,Skills!D15-IF(Skills!E15=TRUE,Inputs!$B$32,0))))+1)),0)</f>
        <v/>
      </c>
      <c r="S1312">
        <f>IFERROR(O1312/N1312,0)</f>
        <v/>
      </c>
      <c r="T1312" t="n">
        <v>0</v>
      </c>
      <c r="V1312" t="n">
        <v>0</v>
      </c>
    </row>
    <row r="1313">
      <c r="A1313">
        <f>Skills!A16</f>
        <v/>
      </c>
      <c r="B1313">
        <f>Skills!B16</f>
        <v/>
      </c>
      <c r="C1313">
        <f>Inputs!$B$3&gt;=110</f>
        <v/>
      </c>
      <c r="D1313">
        <f>IF(Skills!C16=1,60+Inputs!$B$25+Inputs!$B$29,IF(Skills!C16=2,90+Inputs!$B$26+Inputs!$B$29,IF(Skills!C16=3,120+Inputs!$B$27+Inputs!$B$29,MAX(0,(Inputs!$B$3-100)*3)+Inputs!$B$28+Inputs!$B$29)))</f>
        <v/>
      </c>
      <c r="E1313">
        <f>INDEX(FactorTable!$B$2:$Y$301, MATCH(ROUND(MIN(300,MAX(1,D1313)),0), FactorTable!$A$2:$A$301,0), Skills!M16+1)</f>
        <v/>
      </c>
      <c r="F1313">
        <f>IF(Skills!N16=TRUE,(Skills!L16/10)*(E1313/1000),Skills!L16/10)+Skills!O16</f>
        <v/>
      </c>
      <c r="G1313">
        <f>Calc!G16</f>
        <v/>
      </c>
      <c r="H1313">
        <f>Calc!H16</f>
        <v/>
      </c>
      <c r="I1313">
        <f>IF(Skills!AA16&lt;&gt;"",1+(Skills!AA16/10)*(U1300/1000)/100,1)</f>
        <v/>
      </c>
      <c r="J1313" t="inlineStr"/>
      <c r="K1313" t="inlineStr"/>
      <c r="L1313" t="inlineStr"/>
      <c r="M1313" t="inlineStr"/>
      <c r="N1313" t="inlineStr"/>
      <c r="O1313">
        <f>(1-Summary!$B$11)*T1313+Summary!$B$11*V1313</f>
        <v/>
      </c>
      <c r="P1313">
        <f>IF(B1341=0,0,O1313/B1341)</f>
        <v/>
      </c>
      <c r="Q1313">
        <f>IFERROR(1/IF(Inputs!$B$39="pvp",15,MAX(0.1,Skills!D16-IF(Skills!E16=TRUE,Inputs!$B$32,0))),0)</f>
        <v/>
      </c>
      <c r="R1313">
        <f>IF(AND(Inputs!$B$39&lt;&gt;"pvp",Inputs!$B$44&gt;0),IF(Inputs!$B$44&lt;=0,0,(INT(Inputs!$B$44/IF(Inputs!$B$39="pvp",15,MAX(0.1,Skills!D16-IF(Skills!E16=TRUE,Inputs!$B$32,0))))+1)),0)</f>
        <v/>
      </c>
      <c r="S1313">
        <f>IFERROR(O1313/N1313,0)</f>
        <v/>
      </c>
      <c r="T1313" t="n">
        <v>0</v>
      </c>
      <c r="V1313" t="n">
        <v>0</v>
      </c>
    </row>
    <row r="1314">
      <c r="A1314">
        <f>Skills!A17</f>
        <v/>
      </c>
      <c r="B1314">
        <f>Skills!B17</f>
        <v/>
      </c>
      <c r="C1314">
        <f>Inputs!$B$3&gt;=115</f>
        <v/>
      </c>
      <c r="D1314">
        <f>IF(Skills!C17=1,60+Inputs!$B$25+Inputs!$B$29,IF(Skills!C17=2,90+Inputs!$B$26+Inputs!$B$29,IF(Skills!C17=3,120+Inputs!$B$27+Inputs!$B$29,MAX(0,(Inputs!$B$3-100)*3)+Inputs!$B$28+Inputs!$B$29)))</f>
        <v/>
      </c>
      <c r="E1314">
        <f>INDEX(FactorTable!$B$2:$Y$301, MATCH(ROUND(MIN(300,MAX(1,D1314)),0), FactorTable!$A$2:$A$301,0), Skills!M17+1)</f>
        <v/>
      </c>
      <c r="F1314">
        <f>IF(Skills!N17=TRUE,(Skills!L17/10)*(E1314/1000),Skills!L17/10)+Skills!O17</f>
        <v/>
      </c>
      <c r="G1314">
        <f>Calc!G17</f>
        <v/>
      </c>
      <c r="H1314">
        <f>Calc!H17</f>
        <v/>
      </c>
      <c r="I1314">
        <f>IF(Skills!AA17&lt;&gt;"",1+(Skills!AA17/10)*(U1300/1000)/100,1)</f>
        <v/>
      </c>
      <c r="J1314">
        <f>((Inputs!$B$6*(1+Inputs!$B$7/100))+(((Inputs!$B$12*(1+Inputs!$B$13/100))-(Inputs!$B$12*(1+Inputs!$B$13/100)))+0.25*(Inputs!$B$14-Inputs!$B$14))*(1+Inputs!$B$7/100))*(F1314/100)</f>
        <v/>
      </c>
      <c r="K1314">
        <f>J1314*(1+((Inputs!$B$12*(1+Inputs!$B$13/100))*0.01+Inputs!$B$14*0.0025)/100)*(1+Inputs!$B$15/100)*(1+Inputs!$B$16/100)*(5000/(6000+Inputs!$B$43*(1-(100*(1-(1-(Inputs!$B$19+0)/100)*(1-CHOOSE(ArtifactsInput!$N$40+1,5,6,7,8,9,10)/100)^(ArtifactsInput!$M$40-ArtifactsInput!$M$40)))/100)))*(1+(Inputs!$B$24+((C1327=TRUE)*(F1327-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1320=TRUE)*(F1320-Calc!F23))+(((IF(AND(ArtifactsInput!$M$42,((Inputs!$B$9+((C1322=TRUE)*(F1322-Calc!F25))+B1337+(ArtifactsInput!$M$24-ArtifactsInput!$M$24)*CHOOSE(ArtifactsInput!$N$24+1,10,12,14,16,18,20)+IF(ArtifactsInput!$M$10,CHOOSE(ArtifactsInput!$N$10+1,15,18,21,24,27,30)*(IF(Inputs!$B$39="pvp",MIN(15,15)/15,IF(AND(Inputs!$B$39&lt;&gt;"pvp",Inputs!$B$44&gt;0),MIN(15,Inputs!$B$44)/(Inputs!$B$44),0))),0)))&gt;=100),MIN(100,((Inputs!$B$9+((C1322=TRUE)*(F1322-Calc!F25))+B1337+(ArtifactsInput!$M$24-ArtifactsInput!$M$24)*CHOOSE(ArtifactsInput!$N$24+1,10,12,14,16,18,20)+IF(ArtifactsInput!$M$10,CHOOSE(ArtifactsInput!$N$10+1,15,18,21,24,27,30)*(IF(Inputs!$B$39="pvp",MIN(15,15)/15,IF(AND(Inputs!$B$39&lt;&gt;"pvp",Inputs!$B$44&gt;0),MIN(15,Inputs!$B$44)/(Inputs!$B$44),0))),0)))-100),0))*CHOOSE(ArtifactsInput!$N$42+1,0.6,0.72,0.84,0.96,1.08,1.2))),Inputs!$B$18+((C1326=TRUE)*(F1326-Calc!F29))+(IF(AND(ArtifactsInput!$M$42,((Inputs!$B$9+((C1322=TRUE)*(F1322-Calc!F25))+B1337+(ArtifactsInput!$M$24-ArtifactsInput!$M$24)*CHOOSE(ArtifactsInput!$N$24+1,10,12,14,16,18,20)+IF(ArtifactsInput!$M$10,CHOOSE(ArtifactsInput!$N$10+1,15,18,21,24,27,30)*(IF(Inputs!$B$39="pvp",MIN(15,15)/15,IF(AND(Inputs!$B$39&lt;&gt;"pvp",Inputs!$B$44&gt;0),MIN(15,Inputs!$B$44)/(Inputs!$B$44),0))),0)))&gt;=100),CHOOSE(ArtifactsInput!$N$42+1,40,48,56,64,72,80),0))))/100)*(((1+(((C1318=TRUE)*F1318*IF(AND(Inputs!$B$39&lt;&gt;"pvp",Inputs!$B$44&gt;0),(((R1318-1)*(Skills!Y21*(1+(Inputs!$B$34+1)/100))+MIN((Skills!Y21*(1+(Inputs!$B$34+1)/100)),MAX(0,Inputs!$B$44-((R1318-1)*Skills!D21))))/Inputs!$B$44),IF(Inputs!$B$39="pvp",MIN((Skills!Y21*(1+(Inputs!$B$34+1)/100)),15)/15,(Skills!Y21*(1+(Inputs!$B$34+1)/100))/Skills!D21)))+((C1325=TRUE)*(F1325-Calc!F28))+((C1315=TRUE)*(F1315-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1312=TRUE)*F1312*IF(AND(Inputs!$B$39&lt;&gt;"pvp",Inputs!$B$44&gt;0),(((R1312-1)*(Skills!Y15*(1+(Inputs!$B$34+1)/100))+MIN((Skills!Y15*(1+(Inputs!$B$34+1)/100)),MAX(0,Inputs!$B$44-((R1312-1)*Skills!D15))))/Inputs!$B$44),IF(Inputs!$B$39="pvp",MIN((Skills!Y15*(1+(Inputs!$B$34+1)/100)),15)/15,(Skills!Y15*(1+(Inputs!$B$34+1)/100))/Skills!D15)))/100)*(1+((C1303=TRUE)*F1303*B1331)/100))*B1339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1314)</f>
        <v/>
      </c>
      <c r="L1314">
        <f>K1314*(MIN(Inputs!$B$22+((C1321=TRUE)*(F1321-Calc!F24)),(Inputs!$B$23+0+(IF(ArtifactsInput!$M$15,CHOOSE(ArtifactsInput!$N$15+1,25,30,35,40,45,50)/100*(Inputs!$B$11-Inputs!$B$11),0))))/100+(Inputs!$B$23+0+(IF(ArtifactsInput!$M$15,CHOOSE(ArtifactsInput!$N$15+1,25,30,35,40,45,50)/100*(Inputs!$B$11-Inputs!$B$11),0)))/100)/2</f>
        <v/>
      </c>
      <c r="M1314">
        <f>L1314*(1+(Inputs!$B$10+((C1323=TRUE)*(F1323-Calc!F26))+B1340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14">
        <f>L1314*(1-MIN((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1314*(MIN((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14">
        <f>(1-Summary!$B$11)*T1314+Summary!$B$11*V1314</f>
        <v/>
      </c>
      <c r="P1314">
        <f>IF(B1341=0,0,O1314/B1341)</f>
        <v/>
      </c>
      <c r="Q1314" t="n">
        <v>0</v>
      </c>
      <c r="R1314" t="n">
        <v>0</v>
      </c>
      <c r="S1314">
        <f>IFERROR(O1314/N1314,0)</f>
        <v/>
      </c>
      <c r="T1314">
        <f>IF(C1314,(Inputs!$B$38*0.2*N1314)*IF(Inputs!$B$39="pvp",1,1+(Inputs!$B$20+((C1324=TRUE)*(F1324-Calc!F27))+Skills!P17+B1338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Hunt"),CHOOSE(ArtifactsInput!$N$35+1,15,18,21,24,27,30)*(1-EXP(-(0.2*B1333)*5)),0)+IF(AND(ArtifactsInput!$M$22,Inputs!$B$4&lt;&gt;"Chapter Hunt"),CHOOSE(ArtifactsInput!$N$22+1,10,12,14,16,18,20)*((0*(((0.15*B1333*5))^0/1)+1*(((0.15*B1333*5))^1/1)+2*(((0.15*B1333*5))^2/2)+3*(((0.15*B1333*5))^3/6)+4*(((0.15*B1333*5))^4/24)+5*(((0.15*B1333*5))^5/120))/((((0.15*B1333*5))^0/1)+(((0.15*B1333*5))^1/1)+(((0.15*B1333*5))^2/2)+(((0.15*B1333*5))^3/6)+(((0.15*B1333*5))^4/24)+(((0.15*B1333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1314*(1-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1314*(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1314*(1-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1314*(MIN(100,(Inputs!$B$9+((C1322=TRUE)*(F1322-Calc!F25))+B1337+(ArtifactsInput!$M$24-ArtifactsInput!$M$24)*CHOOSE(ArtifactsInput!$N$24+1,10,12,14,16,18,20)+(IF(AND(ArtifactsInput!$M$42,((Inputs!$B$9+((C1322=TRUE)*(F1322-Calc!F25))+B1337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14">
        <f>IF(C1314,(Inputs!$B$38*0.2*N1314)*IF(Inputs!$B$39="pvp",1,(1+(Inputs!$B$21+Skills!Q17+B1338+(IF(ArtifactsInput!$M$33,CHOOSE(ArtifactsInput!$N$33+1,30,36,42,48,54,60),0))+(IF(AND(ArtifactsInput!$M$35,Inputs!$B$4&lt;&gt;"Chapter Hunt"),CHOOSE(ArtifactsInput!$N$35+1,15,18,21,24,27,30)*(1-EXP(-(0.2*B1333)*5)),0)+IF(AND(ArtifactsInput!$M$22,Inputs!$B$4&lt;&gt;"Chapter Hunt"),CHOOSE(ArtifactsInput!$N$22+1,10,12,14,16,18,20)*((0*(((0.15*B1333*5))^0/1)+1*(((0.15*B1333*5))^1/1)+2*(((0.15*B1333*5))^2/2)+3*(((0.15*B1333*5))^3/6)+4*(((0.15*B1333*5))^4/24)+5*(((0.15*B1333*5))^5/120))/((((0.15*B1333*5))^0/1)+(((0.15*B1333*5))^1/1)+(((0.15*B1333*5))^2/2)+(((0.15*B1333*5))^3/6)+(((0.15*B1333*5))^4/24)+(((0.15*B1333*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15">
      <c r="A1315">
        <f>Skills!A18</f>
        <v/>
      </c>
      <c r="B1315">
        <f>Skills!B18</f>
        <v/>
      </c>
      <c r="C1315">
        <f>Inputs!$B$3&gt;=115</f>
        <v/>
      </c>
      <c r="D1315">
        <f>IF(Skills!C18=1,60+Inputs!$B$25+Inputs!$B$29,IF(Skills!C18=2,90+Inputs!$B$26+Inputs!$B$29,IF(Skills!C18=3,120+Inputs!$B$27+Inputs!$B$29,MAX(0,(Inputs!$B$3-100)*3)+Inputs!$B$28+Inputs!$B$29)))</f>
        <v/>
      </c>
      <c r="E1315">
        <f>INDEX(FactorTable!$B$2:$Y$301, MATCH(ROUND(MIN(300,MAX(1,D1315)),0), FactorTable!$A$2:$A$301,0), Skills!M18+1)</f>
        <v/>
      </c>
      <c r="F1315">
        <f>IF(Skills!N18=TRUE,(Skills!L18/10)*(E1315/1000),Skills!L18/10)+Skills!O18</f>
        <v/>
      </c>
      <c r="G1315">
        <f>Calc!G18</f>
        <v/>
      </c>
      <c r="H1315">
        <f>Calc!H18</f>
        <v/>
      </c>
      <c r="I1315">
        <f>IF(Skills!AA18&lt;&gt;"",1+(Skills!AA18/10)*(U1300/1000)/100,1)</f>
        <v/>
      </c>
      <c r="J1315" t="inlineStr"/>
      <c r="K1315" t="inlineStr"/>
      <c r="L1315" t="inlineStr"/>
      <c r="M1315" t="inlineStr"/>
      <c r="N1315" t="inlineStr"/>
      <c r="O1315">
        <f>(1-Summary!$B$11)*T1315+Summary!$B$11*V1315</f>
        <v/>
      </c>
      <c r="P1315">
        <f>IF(B1341=0,0,O1315/B1341)</f>
        <v/>
      </c>
      <c r="Q1315" t="n">
        <v>0</v>
      </c>
      <c r="R1315" t="n">
        <v>0</v>
      </c>
      <c r="S1315">
        <f>IFERROR(O1315/N1315,0)</f>
        <v/>
      </c>
      <c r="T1315" t="n">
        <v>0</v>
      </c>
      <c r="V1315" t="n">
        <v>0</v>
      </c>
    </row>
    <row r="1316">
      <c r="A1316">
        <f>Skills!A19</f>
        <v/>
      </c>
      <c r="B1316">
        <f>Skills!B19</f>
        <v/>
      </c>
      <c r="C1316">
        <f>TRUE</f>
        <v/>
      </c>
      <c r="D1316">
        <f>IF(Skills!C19=1,60+Inputs!$B$25+Inputs!$B$29,IF(Skills!C19=2,90+Inputs!$B$26+Inputs!$B$29,IF(Skills!C19=3,120+Inputs!$B$27+Inputs!$B$29,MAX(0,(Inputs!$B$3-100)*3)+Inputs!$B$28+Inputs!$B$29)))</f>
        <v/>
      </c>
      <c r="E1316">
        <f>INDEX(FactorTable!$B$2:$Y$301, MATCH(ROUND(MIN(300,MAX(1,D1316)),0), FactorTable!$A$2:$A$301,0), Skills!M19+1)</f>
        <v/>
      </c>
      <c r="F1316">
        <f>IF(Skills!N19=TRUE,(Skills!L19/10)*(E1316/1000),Skills!L19/10)+Skills!O19</f>
        <v/>
      </c>
      <c r="G1316">
        <f>Calc!G19</f>
        <v/>
      </c>
      <c r="H1316">
        <f>Calc!H19</f>
        <v/>
      </c>
      <c r="I1316">
        <f>IF(Skills!AA19&lt;&gt;"",1+(Skills!AA19/10)*(U1300/1000)/100,1)</f>
        <v/>
      </c>
      <c r="J1316" t="inlineStr"/>
      <c r="K1316" t="inlineStr"/>
      <c r="L1316" t="inlineStr"/>
      <c r="M1316" t="inlineStr"/>
      <c r="N1316" t="inlineStr"/>
      <c r="O1316">
        <f>(1-Summary!$B$11)*T1316+Summary!$B$11*V1316</f>
        <v/>
      </c>
      <c r="P1316">
        <f>IF(B1341=0,0,O1316/B1341)</f>
        <v/>
      </c>
      <c r="Q1316">
        <f>IFERROR(1/IF(Inputs!$B$39="pvp",15,MAX(0.1,Skills!D19-IF(Skills!E19=TRUE,Inputs!$B$32,0))),0)</f>
        <v/>
      </c>
      <c r="R1316">
        <f>IF(AND(Inputs!$B$39&lt;&gt;"pvp",Inputs!$B$44&gt;0),IF(Inputs!$B$44&lt;=0,0,(INT(Inputs!$B$44/IF(Inputs!$B$39="pvp",15,MAX(0.1,Skills!D19-IF(Skills!E19=TRUE,Inputs!$B$32,0))))+1)),0)</f>
        <v/>
      </c>
      <c r="S1316">
        <f>IFERROR(O1316/N1316,0)</f>
        <v/>
      </c>
      <c r="T1316" t="n">
        <v>0</v>
      </c>
      <c r="V1316" t="n">
        <v>0</v>
      </c>
    </row>
    <row r="1317">
      <c r="A1317">
        <f>Skills!A20</f>
        <v/>
      </c>
      <c r="B1317">
        <f>Skills!B20</f>
        <v/>
      </c>
      <c r="C1317">
        <f>Inputs!$B$3&gt;=15</f>
        <v/>
      </c>
      <c r="D1317">
        <f>IF(Skills!C20=1,60+Inputs!$B$25+Inputs!$B$29,IF(Skills!C20=2,90+Inputs!$B$26+Inputs!$B$29,IF(Skills!C20=3,120+Inputs!$B$27+Inputs!$B$29,MAX(0,(Inputs!$B$3-100)*3)+Inputs!$B$28+Inputs!$B$29)))</f>
        <v/>
      </c>
      <c r="E1317">
        <f>INDEX(FactorTable!$B$2:$Y$301, MATCH(ROUND(MIN(300,MAX(1,D1317)),0), FactorTable!$A$2:$A$301,0), Skills!M20+1)</f>
        <v/>
      </c>
      <c r="F1317">
        <f>IF(Skills!N20=TRUE,(Skills!L20/10)*(E1317/1000),Skills!L20/10)+Skills!O20</f>
        <v/>
      </c>
      <c r="G1317">
        <f>Calc!G20</f>
        <v/>
      </c>
      <c r="H1317">
        <f>Calc!H20</f>
        <v/>
      </c>
      <c r="I1317">
        <f>IF(Skills!AA20&lt;&gt;"",1+(Skills!AA20/10)*(U1300/1000)/100,1)</f>
        <v/>
      </c>
      <c r="J1317" t="inlineStr"/>
      <c r="K1317" t="inlineStr"/>
      <c r="L1317" t="inlineStr"/>
      <c r="M1317" t="inlineStr"/>
      <c r="N1317" t="inlineStr"/>
      <c r="O1317">
        <f>(1-Summary!$B$11)*T1317+Summary!$B$11*V1317</f>
        <v/>
      </c>
      <c r="P1317">
        <f>IF(B1341=0,0,O1317/B1341)</f>
        <v/>
      </c>
      <c r="Q1317">
        <f>IFERROR(1/IF(Inputs!$B$39="pvp",15,MAX(0.1,Skills!D20-IF(Skills!E20=TRUE,Inputs!$B$32,0))),0)</f>
        <v/>
      </c>
      <c r="R1317">
        <f>IF(AND(Inputs!$B$39&lt;&gt;"pvp",Inputs!$B$44&gt;0),IF(Inputs!$B$44&lt;=0,0,(INT(Inputs!$B$44/IF(Inputs!$B$39="pvp",15,MAX(0.1,Skills!D20-IF(Skills!E20=TRUE,Inputs!$B$32,0))))+1)),0)</f>
        <v/>
      </c>
      <c r="S1317">
        <f>IFERROR(O1317/N1317,0)</f>
        <v/>
      </c>
      <c r="T1317" t="n">
        <v>0</v>
      </c>
      <c r="V1317" t="n">
        <v>0</v>
      </c>
    </row>
    <row r="1318">
      <c r="A1318">
        <f>Skills!A21</f>
        <v/>
      </c>
      <c r="B1318">
        <f>Skills!B21</f>
        <v/>
      </c>
      <c r="C1318">
        <f>Inputs!$B$3&gt;=15</f>
        <v/>
      </c>
      <c r="D1318">
        <f>IF(Skills!C21=1,60+Inputs!$B$25+Inputs!$B$29,IF(Skills!C21=2,90+Inputs!$B$26+Inputs!$B$29,IF(Skills!C21=3,120+Inputs!$B$27+Inputs!$B$29,MAX(0,(Inputs!$B$3-100)*3)+Inputs!$B$28+Inputs!$B$29)))</f>
        <v/>
      </c>
      <c r="E1318">
        <f>INDEX(FactorTable!$B$2:$Y$301, MATCH(ROUND(MIN(300,MAX(1,D1318)),0), FactorTable!$A$2:$A$301,0), Skills!M21+1)</f>
        <v/>
      </c>
      <c r="F1318">
        <f>IF(Skills!N21=TRUE,(Skills!L21/10)*(E1318/1000),Skills!L21/10)+Skills!O21</f>
        <v/>
      </c>
      <c r="G1318">
        <f>Calc!G21</f>
        <v/>
      </c>
      <c r="H1318">
        <f>Calc!H21</f>
        <v/>
      </c>
      <c r="I1318">
        <f>IF(Skills!AA21&lt;&gt;"",1+(Skills!AA21/10)*(U1300/1000)/100,1)</f>
        <v/>
      </c>
      <c r="J1318" t="inlineStr"/>
      <c r="K1318" t="inlineStr"/>
      <c r="L1318" t="inlineStr"/>
      <c r="M1318" t="inlineStr"/>
      <c r="N1318" t="inlineStr"/>
      <c r="O1318">
        <f>(1-Summary!$B$11)*T1318+Summary!$B$11*V1318</f>
        <v/>
      </c>
      <c r="P1318">
        <f>IF(B1341=0,0,O1318/B1341)</f>
        <v/>
      </c>
      <c r="Q1318">
        <f>IFERROR(1/IF(Inputs!$B$39="pvp",15,MAX(0.1,Skills!D21-IF(Skills!E21=TRUE,Inputs!$B$32,0))),0)</f>
        <v/>
      </c>
      <c r="R1318">
        <f>IF(AND(Inputs!$B$39&lt;&gt;"pvp",Inputs!$B$44&gt;0),IF(Inputs!$B$44&lt;=0,0,(INT(Inputs!$B$44/IF(Inputs!$B$39="pvp",15,MAX(0.1,Skills!D21-IF(Skills!E21=TRUE,Inputs!$B$32,0))))+1)),0)</f>
        <v/>
      </c>
      <c r="S1318">
        <f>IFERROR(O1318/N1318,0)</f>
        <v/>
      </c>
      <c r="T1318" t="n">
        <v>0</v>
      </c>
      <c r="V1318" t="n">
        <v>0</v>
      </c>
    </row>
    <row r="1319">
      <c r="A1319">
        <f>Skills!A22</f>
        <v/>
      </c>
      <c r="B1319">
        <f>Skills!B22</f>
        <v/>
      </c>
      <c r="C1319">
        <f>Inputs!$B$3&gt;=33</f>
        <v/>
      </c>
      <c r="D1319">
        <f>IF(Skills!C22=1,60+Inputs!$B$25+Inputs!$B$29,IF(Skills!C22=2,90+Inputs!$B$26+Inputs!$B$29,IF(Skills!C22=3,120+Inputs!$B$27+Inputs!$B$29,MAX(0,(Inputs!$B$3-100)*3)+Inputs!$B$28+Inputs!$B$29)))</f>
        <v/>
      </c>
      <c r="E1319">
        <f>INDEX(FactorTable!$B$2:$Y$301, MATCH(ROUND(MIN(300,MAX(1,D1319)),0), FactorTable!$A$2:$A$301,0), Skills!M22+1)</f>
        <v/>
      </c>
      <c r="F1319">
        <f>IF(Skills!N22=TRUE,(Skills!L22/10)*(E1319/1000),Skills!L22/10)+Skills!O22</f>
        <v/>
      </c>
      <c r="G1319">
        <f>Calc!G22</f>
        <v/>
      </c>
      <c r="H1319">
        <f>Calc!H22</f>
        <v/>
      </c>
      <c r="I1319">
        <f>IF(Skills!AA22&lt;&gt;"",1+(Skills!AA22/10)*(U1300/1000)/100,1)</f>
        <v/>
      </c>
      <c r="J1319" t="inlineStr"/>
      <c r="K1319" t="inlineStr"/>
      <c r="L1319" t="inlineStr"/>
      <c r="M1319" t="inlineStr"/>
      <c r="N1319" t="inlineStr"/>
      <c r="O1319">
        <f>(1-Summary!$B$11)*T1319+Summary!$B$11*V1319</f>
        <v/>
      </c>
      <c r="P1319">
        <f>IF(B1341=0,0,O1319/B1341)</f>
        <v/>
      </c>
      <c r="Q1319" t="n">
        <v>0</v>
      </c>
      <c r="R1319" t="n">
        <v>0</v>
      </c>
      <c r="S1319">
        <f>IFERROR(O1319/N1319,0)</f>
        <v/>
      </c>
      <c r="T1319" t="n">
        <v>0</v>
      </c>
      <c r="V1319" t="n">
        <v>0</v>
      </c>
    </row>
    <row r="1320">
      <c r="A1320">
        <f>Skills!A23</f>
        <v/>
      </c>
      <c r="B1320">
        <f>Skills!B23</f>
        <v/>
      </c>
      <c r="C1320">
        <f>Inputs!$B$3&gt;=38</f>
        <v/>
      </c>
      <c r="D1320">
        <f>IF(Skills!C23=1,60+Inputs!$B$25+Inputs!$B$29,IF(Skills!C23=2,90+Inputs!$B$26+Inputs!$B$29,IF(Skills!C23=3,120+Inputs!$B$27+Inputs!$B$29,MAX(0,(Inputs!$B$3-100)*3)+Inputs!$B$28+Inputs!$B$29)))</f>
        <v/>
      </c>
      <c r="E1320">
        <f>INDEX(FactorTable!$B$2:$Y$301, MATCH(ROUND(MIN(300,MAX(1,D1320)),0), FactorTable!$A$2:$A$301,0), Skills!M23+1)</f>
        <v/>
      </c>
      <c r="F1320">
        <f>IF(Skills!N23=TRUE,(Skills!L23/10)*(E1320/1000),Skills!L23/10)+Skills!O23</f>
        <v/>
      </c>
      <c r="G1320">
        <f>Calc!G23</f>
        <v/>
      </c>
      <c r="H1320">
        <f>Calc!H23</f>
        <v/>
      </c>
      <c r="I1320">
        <f>IF(Skills!AA23&lt;&gt;"",1+(Skills!AA23/10)*(U1300/1000)/100,1)</f>
        <v/>
      </c>
      <c r="J1320" t="inlineStr"/>
      <c r="K1320" t="inlineStr"/>
      <c r="L1320" t="inlineStr"/>
      <c r="M1320" t="inlineStr"/>
      <c r="N1320" t="inlineStr"/>
      <c r="O1320">
        <f>(1-Summary!$B$11)*T1320+Summary!$B$11*V1320</f>
        <v/>
      </c>
      <c r="P1320">
        <f>IF(B1341=0,0,O1320/B1341)</f>
        <v/>
      </c>
      <c r="Q1320" t="n">
        <v>0</v>
      </c>
      <c r="R1320" t="n">
        <v>0</v>
      </c>
      <c r="S1320">
        <f>IFERROR(O1320/N1320,0)</f>
        <v/>
      </c>
      <c r="T1320" t="n">
        <v>0</v>
      </c>
      <c r="V1320" t="n">
        <v>0</v>
      </c>
    </row>
    <row r="1321">
      <c r="A1321">
        <f>Skills!A24</f>
        <v/>
      </c>
      <c r="B1321">
        <f>Skills!B24</f>
        <v/>
      </c>
      <c r="C1321">
        <f>Inputs!$B$3&gt;=40</f>
        <v/>
      </c>
      <c r="D1321">
        <f>IF(Skills!C24=1,60+Inputs!$B$25+Inputs!$B$29,IF(Skills!C24=2,90+Inputs!$B$26+Inputs!$B$29,IF(Skills!C24=3,120+Inputs!$B$27+Inputs!$B$29,MAX(0,(Inputs!$B$3-100)*3)+Inputs!$B$28+Inputs!$B$29)))</f>
        <v/>
      </c>
      <c r="E1321">
        <f>INDEX(FactorTable!$B$2:$Y$301, MATCH(ROUND(MIN(300,MAX(1,D1321)),0), FactorTable!$A$2:$A$301,0), Skills!M24+1)</f>
        <v/>
      </c>
      <c r="F1321">
        <f>IF(Skills!N24=TRUE,(Skills!L24/10)*(E1321/1000),Skills!L24/10)+Skills!O24</f>
        <v/>
      </c>
      <c r="G1321">
        <f>Calc!G24</f>
        <v/>
      </c>
      <c r="H1321">
        <f>Calc!H24</f>
        <v/>
      </c>
      <c r="I1321">
        <f>IF(Skills!AA24&lt;&gt;"",1+(Skills!AA24/10)*(U1300/1000)/100,1)</f>
        <v/>
      </c>
      <c r="J1321" t="inlineStr"/>
      <c r="K1321" t="inlineStr"/>
      <c r="L1321" t="inlineStr"/>
      <c r="M1321" t="inlineStr"/>
      <c r="N1321" t="inlineStr"/>
      <c r="O1321">
        <f>(1-Summary!$B$11)*T1321+Summary!$B$11*V1321</f>
        <v/>
      </c>
      <c r="P1321">
        <f>IF(B1341=0,0,O1321/B1341)</f>
        <v/>
      </c>
      <c r="Q1321" t="n">
        <v>0</v>
      </c>
      <c r="R1321" t="n">
        <v>0</v>
      </c>
      <c r="S1321">
        <f>IFERROR(O1321/N1321,0)</f>
        <v/>
      </c>
      <c r="T1321" t="n">
        <v>0</v>
      </c>
      <c r="V1321" t="n">
        <v>0</v>
      </c>
    </row>
    <row r="1322">
      <c r="A1322">
        <f>Skills!A25</f>
        <v/>
      </c>
      <c r="B1322">
        <f>Skills!B25</f>
        <v/>
      </c>
      <c r="C1322">
        <f>Inputs!$B$3&gt;=45</f>
        <v/>
      </c>
      <c r="D1322">
        <f>IF(Skills!C25=1,60+Inputs!$B$25+Inputs!$B$29,IF(Skills!C25=2,90+Inputs!$B$26+Inputs!$B$29,IF(Skills!C25=3,120+Inputs!$B$27+Inputs!$B$29,MAX(0,(Inputs!$B$3-100)*3)+Inputs!$B$28+Inputs!$B$29)))</f>
        <v/>
      </c>
      <c r="E1322">
        <f>INDEX(FactorTable!$B$2:$Y$301, MATCH(ROUND(MIN(300,MAX(1,D1322)),0), FactorTable!$A$2:$A$301,0), Skills!M25+1)</f>
        <v/>
      </c>
      <c r="F1322">
        <f>IF(Skills!N25=TRUE,(Skills!L25/10)*(E1322/1000),Skills!L25/10)+Skills!O25</f>
        <v/>
      </c>
      <c r="G1322">
        <f>Calc!G25</f>
        <v/>
      </c>
      <c r="H1322">
        <f>Calc!H25</f>
        <v/>
      </c>
      <c r="I1322">
        <f>IF(Skills!AA25&lt;&gt;"",1+(Skills!AA25/10)*(U1300/1000)/100,1)</f>
        <v/>
      </c>
      <c r="J1322" t="inlineStr"/>
      <c r="K1322" t="inlineStr"/>
      <c r="L1322" t="inlineStr"/>
      <c r="M1322" t="inlineStr"/>
      <c r="N1322" t="inlineStr"/>
      <c r="O1322">
        <f>(1-Summary!$B$11)*T1322+Summary!$B$11*V1322</f>
        <v/>
      </c>
      <c r="P1322">
        <f>IF(B1341=0,0,O1322/B1341)</f>
        <v/>
      </c>
      <c r="Q1322" t="n">
        <v>0</v>
      </c>
      <c r="R1322" t="n">
        <v>0</v>
      </c>
      <c r="S1322">
        <f>IFERROR(O1322/N1322,0)</f>
        <v/>
      </c>
      <c r="T1322" t="n">
        <v>0</v>
      </c>
      <c r="V1322" t="n">
        <v>0</v>
      </c>
    </row>
    <row r="1323">
      <c r="A1323">
        <f>Skills!A26</f>
        <v/>
      </c>
      <c r="B1323">
        <f>Skills!B26</f>
        <v/>
      </c>
      <c r="C1323">
        <f>Inputs!$B$3&gt;=45</f>
        <v/>
      </c>
      <c r="D1323">
        <f>IF(Skills!C26=1,60+Inputs!$B$25+Inputs!$B$29,IF(Skills!C26=2,90+Inputs!$B$26+Inputs!$B$29,IF(Skills!C26=3,120+Inputs!$B$27+Inputs!$B$29,MAX(0,(Inputs!$B$3-100)*3)+Inputs!$B$28+Inputs!$B$29)))</f>
        <v/>
      </c>
      <c r="E1323">
        <f>INDEX(FactorTable!$B$2:$Y$301, MATCH(ROUND(MIN(300,MAX(1,D1323)),0), FactorTable!$A$2:$A$301,0), Skills!M26+1)</f>
        <v/>
      </c>
      <c r="F1323">
        <f>IF(Skills!N26=TRUE,(Skills!L26/10)*(E1323/1000),Skills!L26/10)+Skills!O26</f>
        <v/>
      </c>
      <c r="G1323">
        <f>Calc!G26</f>
        <v/>
      </c>
      <c r="H1323">
        <f>Calc!H26</f>
        <v/>
      </c>
      <c r="I1323">
        <f>IF(Skills!AA26&lt;&gt;"",1+(Skills!AA26/10)*(U1300/1000)/100,1)</f>
        <v/>
      </c>
      <c r="J1323" t="inlineStr"/>
      <c r="K1323" t="inlineStr"/>
      <c r="L1323" t="inlineStr"/>
      <c r="M1323" t="inlineStr"/>
      <c r="N1323" t="inlineStr"/>
      <c r="O1323">
        <f>(1-Summary!$B$11)*T1323+Summary!$B$11*V1323</f>
        <v/>
      </c>
      <c r="P1323">
        <f>IF(B1341=0,0,O1323/B1341)</f>
        <v/>
      </c>
      <c r="Q1323" t="n">
        <v>0</v>
      </c>
      <c r="R1323" t="n">
        <v>0</v>
      </c>
      <c r="S1323">
        <f>IFERROR(O1323/N1323,0)</f>
        <v/>
      </c>
      <c r="T1323" t="n">
        <v>0</v>
      </c>
      <c r="V1323" t="n">
        <v>0</v>
      </c>
    </row>
    <row r="1324">
      <c r="A1324">
        <f>Skills!A27</f>
        <v/>
      </c>
      <c r="B1324">
        <f>Skills!B27</f>
        <v/>
      </c>
      <c r="C1324">
        <f>Inputs!$B$3&gt;=72</f>
        <v/>
      </c>
      <c r="D1324">
        <f>IF(Skills!C27=1,60+Inputs!$B$25+Inputs!$B$29,IF(Skills!C27=2,90+Inputs!$B$26+Inputs!$B$29,IF(Skills!C27=3,120+Inputs!$B$27+Inputs!$B$29,MAX(0,(Inputs!$B$3-100)*3)+Inputs!$B$28+Inputs!$B$29)))</f>
        <v/>
      </c>
      <c r="E1324">
        <f>INDEX(FactorTable!$B$2:$Y$301, MATCH(ROUND(MIN(300,MAX(1,D1324)),0), FactorTable!$A$2:$A$301,0), Skills!M27+1)</f>
        <v/>
      </c>
      <c r="F1324">
        <f>IF(Skills!N27=TRUE,(Skills!L27/10)*(E1324/1000),Skills!L27/10)+Skills!O27</f>
        <v/>
      </c>
      <c r="G1324">
        <f>Calc!G27</f>
        <v/>
      </c>
      <c r="H1324">
        <f>Calc!H27</f>
        <v/>
      </c>
      <c r="I1324">
        <f>IF(Skills!AA27&lt;&gt;"",1+(Skills!AA27/10)*(U1300/1000)/100,1)</f>
        <v/>
      </c>
      <c r="J1324" t="inlineStr"/>
      <c r="K1324" t="inlineStr"/>
      <c r="L1324" t="inlineStr"/>
      <c r="M1324" t="inlineStr"/>
      <c r="N1324" t="inlineStr"/>
      <c r="O1324">
        <f>(1-Summary!$B$11)*T1324+Summary!$B$11*V1324</f>
        <v/>
      </c>
      <c r="P1324">
        <f>IF(B1341=0,0,O1324/B1341)</f>
        <v/>
      </c>
      <c r="Q1324" t="n">
        <v>0</v>
      </c>
      <c r="R1324" t="n">
        <v>0</v>
      </c>
      <c r="S1324">
        <f>IFERROR(O1324/N1324,0)</f>
        <v/>
      </c>
      <c r="T1324" t="n">
        <v>0</v>
      </c>
      <c r="V1324" t="n">
        <v>0</v>
      </c>
    </row>
    <row r="1325">
      <c r="A1325">
        <f>Skills!A28</f>
        <v/>
      </c>
      <c r="B1325">
        <f>Skills!B28</f>
        <v/>
      </c>
      <c r="C1325">
        <f>Inputs!$B$3&gt;=75</f>
        <v/>
      </c>
      <c r="D1325">
        <f>IF(Skills!C28=1,60+Inputs!$B$25+Inputs!$B$29,IF(Skills!C28=2,90+Inputs!$B$26+Inputs!$B$29,IF(Skills!C28=3,120+Inputs!$B$27+Inputs!$B$29,MAX(0,(Inputs!$B$3-100)*3)+Inputs!$B$28+Inputs!$B$29)))</f>
        <v/>
      </c>
      <c r="E1325">
        <f>INDEX(FactorTable!$B$2:$Y$301, MATCH(ROUND(MIN(300,MAX(1,D1325)),0), FactorTable!$A$2:$A$301,0), Skills!M28+1)</f>
        <v/>
      </c>
      <c r="F1325">
        <f>IF(Skills!N28=TRUE,(Skills!L28/10)*(E1325/1000),Skills!L28/10)+Skills!O28</f>
        <v/>
      </c>
      <c r="G1325">
        <f>Calc!G28</f>
        <v/>
      </c>
      <c r="H1325">
        <f>Calc!H28</f>
        <v/>
      </c>
      <c r="I1325">
        <f>IF(Skills!AA28&lt;&gt;"",1+(Skills!AA28/10)*(U1300/1000)/100,1)</f>
        <v/>
      </c>
      <c r="J1325" t="inlineStr"/>
      <c r="K1325" t="inlineStr"/>
      <c r="L1325" t="inlineStr"/>
      <c r="M1325" t="inlineStr"/>
      <c r="N1325" t="inlineStr"/>
      <c r="O1325">
        <f>(1-Summary!$B$11)*T1325+Summary!$B$11*V1325</f>
        <v/>
      </c>
      <c r="P1325">
        <f>IF(B1341=0,0,O1325/B1341)</f>
        <v/>
      </c>
      <c r="Q1325" t="n">
        <v>0</v>
      </c>
      <c r="R1325" t="n">
        <v>0</v>
      </c>
      <c r="S1325">
        <f>IFERROR(O1325/N1325,0)</f>
        <v/>
      </c>
      <c r="T1325" t="n">
        <v>0</v>
      </c>
      <c r="V1325" t="n">
        <v>0</v>
      </c>
    </row>
    <row r="1326">
      <c r="A1326">
        <f>Skills!A29</f>
        <v/>
      </c>
      <c r="B1326">
        <f>Skills!B29</f>
        <v/>
      </c>
      <c r="C1326">
        <f>Inputs!$B$3&gt;=120</f>
        <v/>
      </c>
      <c r="D1326">
        <f>IF(Skills!C29=1,60+Inputs!$B$25+Inputs!$B$29,IF(Skills!C29=2,90+Inputs!$B$26+Inputs!$B$29,IF(Skills!C29=3,120+Inputs!$B$27+Inputs!$B$29,MAX(0,(Inputs!$B$3-100)*3)+Inputs!$B$28+Inputs!$B$29)))</f>
        <v/>
      </c>
      <c r="E1326">
        <f>INDEX(FactorTable!$B$2:$Y$301, MATCH(ROUND(MIN(300,MAX(1,D1326)),0), FactorTable!$A$2:$A$301,0), Skills!M29+1)</f>
        <v/>
      </c>
      <c r="F1326">
        <f>IF(Skills!N29=TRUE,(Skills!L29/10)*(E1326/1000),Skills!L29/10)+Skills!O29</f>
        <v/>
      </c>
      <c r="G1326">
        <f>Calc!G29</f>
        <v/>
      </c>
      <c r="H1326">
        <f>Calc!H29</f>
        <v/>
      </c>
      <c r="I1326">
        <f>IF(Skills!AA29&lt;&gt;"",1+(Skills!AA29/10)*(U1300/1000)/100,1)</f>
        <v/>
      </c>
      <c r="J1326" t="inlineStr"/>
      <c r="K1326" t="inlineStr"/>
      <c r="L1326" t="inlineStr"/>
      <c r="M1326" t="inlineStr"/>
      <c r="N1326" t="inlineStr"/>
      <c r="O1326">
        <f>(1-Summary!$B$11)*T1326+Summary!$B$11*V1326</f>
        <v/>
      </c>
      <c r="P1326">
        <f>IF(B1341=0,0,O1326/B1341)</f>
        <v/>
      </c>
      <c r="Q1326" t="n">
        <v>0</v>
      </c>
      <c r="R1326" t="n">
        <v>0</v>
      </c>
      <c r="S1326">
        <f>IFERROR(O1326/N1326,0)</f>
        <v/>
      </c>
      <c r="T1326" t="n">
        <v>0</v>
      </c>
      <c r="V1326" t="n">
        <v>0</v>
      </c>
    </row>
    <row r="1327">
      <c r="A1327">
        <f>Skills!A30</f>
        <v/>
      </c>
      <c r="B1327">
        <f>Skills!B30</f>
        <v/>
      </c>
      <c r="C1327">
        <f>Inputs!$B$3&gt;=125</f>
        <v/>
      </c>
      <c r="D1327">
        <f>IF(Skills!C30=1,60+Inputs!$B$25+Inputs!$B$29,IF(Skills!C30=2,90+Inputs!$B$26+Inputs!$B$29,IF(Skills!C30=3,120+Inputs!$B$27+Inputs!$B$29,MAX(0,(Inputs!$B$3-100)*3)+Inputs!$B$28+Inputs!$B$29)))</f>
        <v/>
      </c>
      <c r="E1327">
        <f>INDEX(FactorTable!$B$2:$Y$301, MATCH(ROUND(MIN(300,MAX(1,D1327)),0), FactorTable!$A$2:$A$301,0), Skills!M30+1)</f>
        <v/>
      </c>
      <c r="F1327">
        <f>IF(Skills!N30=TRUE,(Skills!L30/10)*(E1327/1000),Skills!L30/10)+Skills!O30</f>
        <v/>
      </c>
      <c r="G1327">
        <f>Calc!G30</f>
        <v/>
      </c>
      <c r="H1327">
        <f>Calc!H30</f>
        <v/>
      </c>
      <c r="I1327">
        <f>IF(Skills!AA30&lt;&gt;"",1+(Skills!AA30/10)*(U1300/1000)/100,1)</f>
        <v/>
      </c>
      <c r="J1327" t="inlineStr"/>
      <c r="K1327" t="inlineStr"/>
      <c r="L1327" t="inlineStr"/>
      <c r="M1327" t="inlineStr"/>
      <c r="N1327" t="inlineStr"/>
      <c r="O1327">
        <f>(1-Summary!$B$11)*T1327+Summary!$B$11*V1327</f>
        <v/>
      </c>
      <c r="P1327">
        <f>IF(B1341=0,0,O1327/B1341)</f>
        <v/>
      </c>
      <c r="Q1327" t="n">
        <v>0</v>
      </c>
      <c r="R1327" t="n">
        <v>0</v>
      </c>
      <c r="S1327">
        <f>IFERROR(O1327/N1327,0)</f>
        <v/>
      </c>
      <c r="T1327" t="n">
        <v>0</v>
      </c>
      <c r="V1327" t="n">
        <v>0</v>
      </c>
    </row>
    <row r="1328">
      <c r="A1328">
        <f>Skills!A31</f>
        <v/>
      </c>
      <c r="B1328">
        <f>Skills!B31</f>
        <v/>
      </c>
      <c r="C1328">
        <f>Inputs!$B$3&gt;=107</f>
        <v/>
      </c>
      <c r="D1328">
        <f>IF(Skills!C31=1,60+Inputs!$B$25+Inputs!$B$29,IF(Skills!C31=2,90+Inputs!$B$26+Inputs!$B$29,IF(Skills!C31=3,120+Inputs!$B$27+Inputs!$B$29,MAX(0,(Inputs!$B$3-100)*3)+Inputs!$B$28+Inputs!$B$29)))</f>
        <v/>
      </c>
      <c r="E1328">
        <f>INDEX(FactorTable!$B$2:$Y$301, MATCH(ROUND(MIN(300,MAX(1,D1328)),0), FactorTable!$A$2:$A$301,0), Skills!M31+1)</f>
        <v/>
      </c>
      <c r="F1328">
        <f>IF(Skills!N31=TRUE,(Skills!L31/10)*(E1328/1000),Skills!L31/10)+Skills!O31</f>
        <v/>
      </c>
      <c r="G1328">
        <f>Calc!G31</f>
        <v/>
      </c>
      <c r="H1328">
        <f>Calc!H31</f>
        <v/>
      </c>
      <c r="I1328">
        <f>IF(Skills!AA31&lt;&gt;"",1+(Skills!AA31/10)*(U1300/1000)/100,1)</f>
        <v/>
      </c>
      <c r="J1328" t="inlineStr"/>
      <c r="K1328" t="inlineStr"/>
      <c r="L1328" t="inlineStr"/>
      <c r="M1328" t="inlineStr"/>
      <c r="N1328" t="inlineStr"/>
      <c r="O1328">
        <f>(1-Summary!$B$11)*T1328+Summary!$B$11*V1328</f>
        <v/>
      </c>
      <c r="P1328">
        <f>IF(B1341=0,0,O1328/B1341)</f>
        <v/>
      </c>
      <c r="Q1328" t="n">
        <v>0</v>
      </c>
      <c r="R1328" t="n">
        <v>0</v>
      </c>
      <c r="S1328">
        <f>IFERROR(O1328/N1328,0)</f>
        <v/>
      </c>
      <c r="T1328" t="n">
        <v>0</v>
      </c>
      <c r="V1328" t="n">
        <v>0</v>
      </c>
    </row>
    <row r="1330">
      <c r="A1330" t="inlineStr">
        <is>
          <t>Actions Per Second (pre-Adrenalin)</t>
        </is>
      </c>
      <c r="B1330">
        <f>1+MIN(150,150*(1-(1-(Inputs!$B$11+((C1319=TRUE)*(F1319-Calc!F22))+(ArtifactsInput!$M$15-ArtifactsInput!$M$15)*CHOOSE(ArtifactsInput!$N$15+1,8,9.6,11.2,12.8,14.4,16))/150)*(1-((C1316=TRUE)*F1316*IF(AND(Inputs!$B$39&lt;&gt;"pvp",Inputs!$B$44&gt;0),(((R1316-1)*(Skills!Y19*(1+(Inputs!$B$34+1)/100))+MIN((Skills!Y19*(1+(Inputs!$B$34+1)/100)),MAX(0,Inputs!$B$44-((R1316-1)*Skills!D19))))/Inputs!$B$44),IF(Inputs!$B$39="pvp",MIN((Skills!Y19*(1+(Inputs!$B$34+1)/100)),15)/15,(Skills!Y19*(1+(Inputs!$B$34+1)/100))/Skills!D19)))/150)))/100</f>
        <v/>
      </c>
    </row>
    <row r="1331">
      <c r="A1331" t="inlineStr">
        <is>
          <t>Alchemic Adrenaline Uptime</t>
        </is>
      </c>
      <c r="B1331">
        <f>(Skills!Y6*(1+(Inputs!$B$34+1)/100))/((Skills!Y6*(1+(Inputs!$B$34+1)/100))+(5/B1330))</f>
        <v/>
      </c>
    </row>
    <row r="1332">
      <c r="A1332" t="inlineStr">
        <is>
          <t>Attack Speed Buff Bonus %</t>
        </is>
      </c>
      <c r="B1332">
        <f>((C1316=TRUE)*F1316*IF(AND(Inputs!$B$39&lt;&gt;"pvp",Inputs!$B$44&gt;0),(((R1316-1)*(Skills!Y19*(1+(Inputs!$B$34+1)/100))+MIN((Skills!Y19*(1+(Inputs!$B$34+1)/100)),MAX(0,Inputs!$B$44-((R1316-1)*Skills!D19))))/Inputs!$B$44),IF(Inputs!$B$39="pvp",MIN((Skills!Y19*(1+(Inputs!$B$34+1)/100)),15)/15,(Skills!Y19*(1+(Inputs!$B$34+1)/100))/Skills!D19)))+((C1304=TRUE)*F1304*B1331)</f>
        <v/>
      </c>
    </row>
    <row r="1333">
      <c r="A1333" t="inlineStr">
        <is>
          <t>Actions Per Second (final)</t>
        </is>
      </c>
      <c r="B1333">
        <f>1+MIN(150,150*(1-(1-(Inputs!$B$11+((C1319=TRUE)*(F1319-Calc!F22))+(ArtifactsInput!$M$15-ArtifactsInput!$M$15)*CHOOSE(ArtifactsInput!$N$15+1,8,9.6,11.2,12.8,14.4,16))/150)*(1-B1332/150)))/100</f>
        <v/>
      </c>
    </row>
    <row r="1334">
      <c r="A1334" t="inlineStr">
        <is>
          <t>Skill + Buff Cast Rate</t>
        </is>
      </c>
      <c r="B1334">
        <f>IF(AND(Inputs!$B$39&lt;&gt;"pvp",Inputs!$B$44&gt;0),SUMPRODUCT((Skills!E2:E31=TRUE)*(C1299:C1328=TRUE)*R1299:R1328*Skills!F2:F31)/Inputs!$B$44,SUMPRODUCT((Skills!E2:E31=TRUE)*(C1299:C1328=TRUE)*Q1299:Q1328*Skills!F2:F31))</f>
        <v/>
      </c>
    </row>
    <row r="1335">
      <c r="A1335" t="inlineStr">
        <is>
          <t>Showdown Casts Per Second</t>
        </is>
      </c>
      <c r="B1335">
        <f>MAX(0,B1333-B1334)</f>
        <v/>
      </c>
    </row>
    <row r="1336">
      <c r="A1336" t="inlineStr">
        <is>
          <t>Average Buff Multiplier</t>
        </is>
      </c>
      <c r="B1336">
        <f>(1+(((C1318=TRUE)*F1318*IF(AND(Inputs!$B$39&lt;&gt;"pvp",Inputs!$B$44&gt;0),(((R1318-1)*(Skills!Y21*(1+(Inputs!$B$34+1)/100))+MIN((Skills!Y21*(1+(Inputs!$B$34+1)/100)),MAX(0,Inputs!$B$44-((R1318-1)*Skills!D21))))/Inputs!$B$44),IF(Inputs!$B$39="pvp",MIN((Skills!Y21*(1+(Inputs!$B$34+1)/100)),15)/15,(Skills!Y21*(1+(Inputs!$B$34+1)/100))/Skills!D21)))+((C1325=TRUE)*(F1325-Calc!F28))+((C1315=TRUE)*(F1315-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1312=TRUE)*F1312*IF(AND(Inputs!$B$39&lt;&gt;"pvp",Inputs!$B$44&gt;0),(((R1312-1)*(Skills!Y15*(1+(Inputs!$B$34+1)/100))+MIN((Skills!Y15*(1+(Inputs!$B$34+1)/100)),MAX(0,Inputs!$B$44-((R1312-1)*Skills!D15))))/Inputs!$B$44),IF(Inputs!$B$39="pvp",MIN((Skills!Y15*(1+(Inputs!$B$34+1)/100)),15)/15,(Skills!Y15*(1+(Inputs!$B$34+1)/100))/Skills!D15)))/100)*(1+((C1303=TRUE)*F1303*B1331)/100)</f>
        <v/>
      </c>
    </row>
    <row r="1337">
      <c r="A1337" t="inlineStr">
        <is>
          <t>Global Crit Rate Bonus %</t>
        </is>
      </c>
      <c r="B1337">
        <f>IF(Inputs!$B$3&gt;=47,8,0)+((C1317=TRUE)*F1317*IF(AND(Inputs!$B$39&lt;&gt;"pvp",Inputs!$B$44&gt;0),(((R1317-1)*(Skills!Y20*(1+(Inputs!$B$34+1)/100))+MIN((Skills!Y20*(1+(Inputs!$B$34+1)/100)),MAX(0,Inputs!$B$44-((R1317-1)*Skills!D20))))/Inputs!$B$44),IF(Inputs!$B$39="pvp",MIN((Skills!Y20*(1+(Inputs!$B$34+1)/100)),15)/15,(Skills!Y20*(1+(Inputs!$B$34+1)/100))/Skills!D20)))</f>
        <v/>
      </c>
    </row>
    <row r="1338">
      <c r="A1338" t="inlineStr">
        <is>
          <t>Global Monster Damage-Taken Bonus %</t>
        </is>
      </c>
      <c r="B1338">
        <f>IF(Inputs!$B$3&gt;=82,15,0)+((C1313=TRUE)*F1313*IF(AND(Inputs!$B$39&lt;&gt;"pvp",Inputs!$B$44&gt;0),(((R1313-1)*(Skills!Y16*(1+(Inputs!$B$34+1)/100))+MIN((Skills!Y16*(1+(Inputs!$B$34+1)/100)),MAX(0,Inputs!$B$44-((R1313-1)*Skills!D16))))/Inputs!$B$44),IF(Inputs!$B$39="pvp",MIN((Skills!Y16*(1+(Inputs!$B$34+1)/100)),15)/15,(Skills!Y16*(1+(Inputs!$B$34+1)/100))/Skills!D16)))</f>
        <v/>
      </c>
    </row>
    <row r="1339">
      <c r="A1339" t="inlineStr">
        <is>
          <t>Shadow Partner Average Multiplier</t>
        </is>
      </c>
      <c r="B1339">
        <f>1+((C1308=TRUE)*F1308*I1308*Skills!J11/100)/100</f>
        <v/>
      </c>
    </row>
    <row r="1340">
      <c r="A1340" t="inlineStr">
        <is>
          <t>Global Critical Damage Bonus % (Frailty Curse Mastery Lv.111)</t>
        </is>
      </c>
      <c r="B1340">
        <f>IF(Inputs!$B$3&gt;=111,30,0)*IF(AND(Inputs!$B$39&lt;&gt;"pvp",Inputs!$B$44&gt;0),(((R1313-1)*(Skills!Y16*(1+(Inputs!$B$34+1)/100))+MIN((Skills!Y16*(1+(Inputs!$B$34+1)/100)),MAX(0,Inputs!$B$44-((R1313-1)*Skills!D16))))/Inputs!$B$44),IF(Inputs!$B$39="pvp",MIN((Skills!Y16*(1+(Inputs!$B$34+1)/100)),15)/15,(Skills!Y16*(1+(Inputs!$B$34+1)/100))/Skills!D16))</f>
        <v/>
      </c>
    </row>
    <row r="1341">
      <c r="A1341" s="6" t="inlineStr">
        <is>
          <t>TOTAL DPS</t>
        </is>
      </c>
      <c r="B1341" s="6">
        <f>SUM(O1299:O1328)</f>
        <v/>
      </c>
    </row>
    <row r="1342">
      <c r="A1342" t="inlineStr">
        <is>
          <t>Buff-Casting Startup Delay (s, fixed-duration only)</t>
        </is>
      </c>
      <c r="B1342">
        <f>IF(AND(Inputs!$B$39&lt;&gt;"pvp",Inputs!$B$44&gt;0),SUMPRODUCT((Skills!Y2:Y31&gt;0)*(Skills!E2:E31=TRUE)*(C1299:C1328=TRUE))/B1333,0)</f>
        <v/>
      </c>
    </row>
    <row r="1343">
      <c r="A1343" t="inlineStr">
        <is>
          <t>Boss-Only Total DPS (this block's swept value)</t>
        </is>
      </c>
      <c r="B1343">
        <f>SUM(T1299:T1328)</f>
        <v/>
      </c>
    </row>
    <row r="1344">
      <c r="A1344" t="inlineStr">
        <is>
          <t>Normal-Only Total DPS (this block's swept value)</t>
        </is>
      </c>
      <c r="B1344">
        <f>SUM(V1299:V1328)</f>
        <v/>
      </c>
    </row>
    <row r="1346">
      <c r="A1346" s="6" t="inlineStr">
        <is>
          <t>Stat: Incoming Hit Rate (hits/sec, Shadow Shifter only)</t>
        </is>
      </c>
    </row>
    <row r="1347">
      <c r="A1347" s="5" t="inlineStr">
        <is>
          <t>Key</t>
        </is>
      </c>
      <c r="B1347" s="5" t="inlineStr">
        <is>
          <t>Name</t>
        </is>
      </c>
      <c r="C1347" s="5" t="inlineStr">
        <is>
          <t>Unlocked</t>
        </is>
      </c>
      <c r="D1347" s="5" t="inlineStr">
        <is>
          <t>InputLevel</t>
        </is>
      </c>
      <c r="E1347" s="5" t="inlineStr">
        <is>
          <t>Factor</t>
        </is>
      </c>
      <c r="F1347" s="5" t="inlineStr">
        <is>
          <t>CoefficientPercent</t>
        </is>
      </c>
      <c r="G1347" s="5" t="inlineStr">
        <is>
          <t>EffectiveHits</t>
        </is>
      </c>
      <c r="H1347" s="5" t="inlineStr">
        <is>
          <t>ProcProbability</t>
        </is>
      </c>
      <c r="I1347" s="5" t="inlineStr">
        <is>
          <t>MapleHeroMultiplier</t>
        </is>
      </c>
      <c r="J1347" s="5" t="inlineStr">
        <is>
          <t>BaseDamage</t>
        </is>
      </c>
      <c r="K1347" s="5" t="inlineStr">
        <is>
          <t>BaseHitDamage</t>
        </is>
      </c>
      <c r="L1347" s="5" t="inlineStr">
        <is>
          <t>NonCritAvg</t>
        </is>
      </c>
      <c r="M1347" s="5" t="inlineStr">
        <is>
          <t>CritAvg</t>
        </is>
      </c>
      <c r="N1347" s="5" t="inlineStr">
        <is>
          <t>ExpectedDamage(perHit)</t>
        </is>
      </c>
      <c r="O1347" s="5" t="inlineStr">
        <is>
          <t>DPS</t>
        </is>
      </c>
      <c r="P1347" s="5" t="inlineStr">
        <is>
          <t>% of Total</t>
        </is>
      </c>
      <c r="Q1347" s="5" t="inlineStr">
        <is>
          <t>InvCooldown</t>
        </is>
      </c>
      <c r="R1347" s="5" t="inlineStr">
        <is>
          <t>CastsInFight</t>
        </is>
      </c>
      <c r="S1347" s="5" t="inlineStr">
        <is>
          <t>HitRate(perSec)</t>
        </is>
      </c>
      <c r="U1347" t="inlineStr">
        <is>
          <t>helpers</t>
        </is>
      </c>
    </row>
    <row r="1348">
      <c r="A1348">
        <f>Skills!A2</f>
        <v/>
      </c>
      <c r="B1348">
        <f>Skills!B2</f>
        <v/>
      </c>
      <c r="C1348">
        <f>Inputs!$B$3&gt;=100</f>
        <v/>
      </c>
      <c r="D1348" t="inlineStr"/>
      <c r="E1348" t="inlineStr"/>
      <c r="F1348">
        <f>U1352+Skills!O2</f>
        <v/>
      </c>
      <c r="G1348">
        <f>Calc!G2</f>
        <v/>
      </c>
      <c r="H1348">
        <f>Calc!H2</f>
        <v/>
      </c>
      <c r="I1348">
        <f>IF(Skills!AA2&lt;&gt;"",1+(Skills!AA2/10)*(U1349/1000)/100,1)</f>
        <v/>
      </c>
      <c r="J1348">
        <f>((Inputs!$B$6*(1+Inputs!$B$7/100))+(((Inputs!$B$12*(1+Inputs!$B$13/100))-(Inputs!$B$12*(1+Inputs!$B$13/100)))+0.25*(Inputs!$B$14-Inputs!$B$14))*(1+Inputs!$B$7/100))*(F1348/100)</f>
        <v/>
      </c>
      <c r="K1348">
        <f>J1348*(1+((Inputs!$B$12*(1+Inputs!$B$13/100))*0.01+Inputs!$B$14*0.0025)/100)*(1+Inputs!$B$15/100)*(1+Inputs!$B$16/100)*(5000/(6000+Inputs!$B$43*(1-(100*(1-(1-(Inputs!$B$19+0)/100)*(1-CHOOSE(ArtifactsInput!$N$40+1,5,6,7,8,9,10)/100)^(ArtifactsInput!$M$40-ArtifactsInput!$M$40)))/100)))*(1+(Inputs!$B$24+((C1376=TRUE)*(F1376-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1369=TRUE)*(F1369-Calc!F23))+(((IF(AND(ArtifactsInput!$M$42,((Inputs!$B$9+((C1371=TRUE)*(F1371-Calc!F25))+B1386+(ArtifactsInput!$M$24-ArtifactsInput!$M$24)*CHOOSE(ArtifactsInput!$N$24+1,10,12,14,16,18,20)+IF(ArtifactsInput!$M$10,CHOOSE(ArtifactsInput!$N$10+1,15,18,21,24,27,30)*(IF(Inputs!$B$39="pvp",MIN(15,15)/15,IF(AND(Inputs!$B$39&lt;&gt;"pvp",Inputs!$B$44&gt;0),MIN(15,Inputs!$B$44)/(Inputs!$B$44),0))),0)))&gt;=100),MIN(100,((Inputs!$B$9+((C1371=TRUE)*(F1371-Calc!F25))+B1386+(ArtifactsInput!$M$24-ArtifactsInput!$M$24)*CHOOSE(ArtifactsInput!$N$24+1,10,12,14,16,18,20)+IF(ArtifactsInput!$M$10,CHOOSE(ArtifactsInput!$N$10+1,15,18,21,24,27,30)*(IF(Inputs!$B$39="pvp",MIN(15,15)/15,IF(AND(Inputs!$B$39&lt;&gt;"pvp",Inputs!$B$44&gt;0),MIN(15,Inputs!$B$44)/(Inputs!$B$44),0))),0)))-100),0))*CHOOSE(ArtifactsInput!$N$42+1,0.6,0.72,0.84,0.96,1.08,1.2))),Inputs!$B$18+((C1375=TRUE)*(F1375-Calc!F29))+(IF(AND(ArtifactsInput!$M$42,((Inputs!$B$9+((C1371=TRUE)*(F1371-Calc!F25))+B1386+(ArtifactsInput!$M$24-ArtifactsInput!$M$24)*CHOOSE(ArtifactsInput!$N$24+1,10,12,14,16,18,20)+IF(ArtifactsInput!$M$10,CHOOSE(ArtifactsInput!$N$10+1,15,18,21,24,27,30)*(IF(Inputs!$B$39="pvp",MIN(15,15)/15,IF(AND(Inputs!$B$39&lt;&gt;"pvp",Inputs!$B$44&gt;0),MIN(15,Inputs!$B$44)/(Inputs!$B$44),0))),0)))&gt;=100),CHOOSE(ArtifactsInput!$N$42+1,40,48,56,64,72,80),0))))/100)*(((1+(((C1367=TRUE)*F1367*IF(AND(Inputs!$B$39&lt;&gt;"pvp",Inputs!$B$44&gt;0),(((R1367-1)*(Skills!Y21*(1+Inputs!$B$34/100))+MIN((Skills!Y21*(1+Inputs!$B$34/100)),MAX(0,Inputs!$B$44-((R1367-1)*Skills!D21))))/Inputs!$B$44),IF(Inputs!$B$39="pvp",MIN((Skills!Y21*(1+Inputs!$B$34/100)),15)/15,(Skills!Y21*(1+Inputs!$B$34/100))/Skills!D21)))+((C1374=TRUE)*(F1374-Calc!F28))+((C1364=TRUE)*(F1364-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1361=TRUE)*F1361*IF(AND(Inputs!$B$39&lt;&gt;"pvp",Inputs!$B$44&gt;0),(((R1361-1)*(Skills!Y15*(1+Inputs!$B$34/100))+MIN((Skills!Y15*(1+Inputs!$B$34/100)),MAX(0,Inputs!$B$44-((R1361-1)*Skills!D15))))/Inputs!$B$44),IF(Inputs!$B$39="pvp",MIN((Skills!Y15*(1+Inputs!$B$34/100)),15)/15,(Skills!Y15*(1+Inputs!$B$34/100))/Skills!D15)))/100)*(1+((C1352=TRUE)*F1352*B1380)/100))*B1388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1348)</f>
        <v/>
      </c>
      <c r="L1348">
        <f>K1348*(MIN(Inputs!$B$22+((C1370=TRUE)*(F1370-Calc!F24)),(Inputs!$B$23+0+(IF(ArtifactsInput!$M$15,CHOOSE(ArtifactsInput!$N$15+1,25,30,35,40,45,50)/100*(Inputs!$B$11-Inputs!$B$11),0))))/100+(Inputs!$B$23+0+(IF(ArtifactsInput!$M$15,CHOOSE(ArtifactsInput!$N$15+1,25,30,35,40,45,50)/100*(Inputs!$B$11-Inputs!$B$11),0)))/100)/2</f>
        <v/>
      </c>
      <c r="M1348">
        <f>L1348*(1+(Inputs!$B$10+((C1372=TRUE)*(F1372-Calc!F26))+B1389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48">
        <f>L1348*(1-MIN((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1348*(MIN((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48">
        <f>(1-Summary!$B$11)*T1348+Summary!$B$11*V1348</f>
        <v/>
      </c>
      <c r="P1348">
        <f>IF(B1390=0,0,O1348/B1390)</f>
        <v/>
      </c>
      <c r="Q1348" t="n">
        <v>0</v>
      </c>
      <c r="R1348" t="n">
        <v>0</v>
      </c>
      <c r="S1348">
        <f>IFERROR(O1348/N1348,0)</f>
        <v/>
      </c>
      <c r="T1348">
        <f>IF(C1348,(Skills!G2*N1348*B1384)*IF(Inputs!$B$39="pvp",1,1+(Inputs!$B$20+((C1373=TRUE)*(F1373-Calc!F27))+Skills!P2+B1387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Hunt"),CHOOSE(ArtifactsInput!$N$35+1,15,18,21,24,27,30)*(1-EXP(-(0.2*B1382)*5)),0)+IF(AND(ArtifactsInput!$M$22,Inputs!$B$4&lt;&gt;"Chapter Hunt"),CHOOSE(ArtifactsInput!$N$22+1,10,12,14,16,18,20)*((0*(((0.15*B1382*5))^0/1)+1*(((0.15*B1382*5))^1/1)+2*(((0.15*B1382*5))^2/2)+3*(((0.15*B1382*5))^3/6)+4*(((0.15*B1382*5))^4/24)+5*(((0.15*B1382*5))^5/120))/((((0.15*B1382*5))^0/1)+(((0.15*B1382*5))^1/1)+(((0.15*B1382*5))^2/2)+(((0.15*B1382*5))^3/6)+(((0.15*B1382*5))^4/24)+(((0.15*B1382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1348*(1-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1348*(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1348*(1-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1348*(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48">
        <f>MAX(0,(Inputs!$B$3-100)*3)+Inputs!$B$28+Inputs!$B$29</f>
        <v/>
      </c>
      <c r="V1348">
        <f>IF(C1348,(Skills!G2*N1348*B1384)*IF(Inputs!$B$39="pvp",1,(1+(Inputs!$B$21+Skills!Q2+B1387+(IF(ArtifactsInput!$M$33,CHOOSE(ArtifactsInput!$N$33+1,30,36,42,48,54,60),0))+(IF(AND(ArtifactsInput!$M$35,Inputs!$B$4&lt;&gt;"Chapter Hunt"),CHOOSE(ArtifactsInput!$N$35+1,15,18,21,24,27,30)*(1-EXP(-(0.2*B1382)*5)),0)+IF(AND(ArtifactsInput!$M$22,Inputs!$B$4&lt;&gt;"Chapter Hunt"),CHOOSE(ArtifactsInput!$N$22+1,10,12,14,16,18,20)*((0*(((0.15*B1382*5))^0/1)+1*(((0.15*B1382*5))^1/1)+2*(((0.15*B1382*5))^2/2)+3*(((0.15*B1382*5))^3/6)+4*(((0.15*B1382*5))^4/24)+5*(((0.15*B1382*5))^5/120))/((((0.15*B1382*5))^0/1)+(((0.15*B1382*5))^1/1)+(((0.15*B1382*5))^2/2)+(((0.15*B1382*5))^3/6)+(((0.15*B1382*5))^4/24)+(((0.15*B1382*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49">
      <c r="A1349">
        <f>Skills!A3</f>
        <v/>
      </c>
      <c r="B1349">
        <f>Skills!B3</f>
        <v/>
      </c>
      <c r="C1349">
        <f>Inputs!$B$3&gt;=35</f>
        <v/>
      </c>
      <c r="D1349">
        <f>IF(Skills!C3=1,60+Inputs!$B$25+Inputs!$B$29,IF(Skills!C3=2,90+Inputs!$B$26+Inputs!$B$29,IF(Skills!C3=3,120+Inputs!$B$27+Inputs!$B$29,MAX(0,(Inputs!$B$3-100)*3)+Inputs!$B$28+Inputs!$B$29)))</f>
        <v/>
      </c>
      <c r="E1349">
        <f>INDEX(FactorTable!$B$2:$Y$301, MATCH(ROUND(MIN(300,MAX(1,D1349)),0), FactorTable!$A$2:$A$301,0), Skills!M3+1)</f>
        <v/>
      </c>
      <c r="F1349">
        <f>IF(Skills!N3=TRUE,(Skills!L3/10)*(E1349/1000),Skills!L3/10)+Skills!O3</f>
        <v/>
      </c>
      <c r="G1349">
        <f>Calc!G3</f>
        <v/>
      </c>
      <c r="H1349">
        <f>Calc!H3</f>
        <v/>
      </c>
      <c r="I1349">
        <f>IF(Skills!AA3&lt;&gt;"",1+(Skills!AA3/10)*(U1349/1000)/100,1)</f>
        <v/>
      </c>
      <c r="J1349">
        <f>((Inputs!$B$6*(1+Inputs!$B$7/100))+(((Inputs!$B$12*(1+Inputs!$B$13/100))-(Inputs!$B$12*(1+Inputs!$B$13/100)))+0.25*(Inputs!$B$14-Inputs!$B$14))*(1+Inputs!$B$7/100))*(F1349/100)</f>
        <v/>
      </c>
      <c r="K1349">
        <f>J1349*(1+((Inputs!$B$12*(1+Inputs!$B$13/100))*0.01+Inputs!$B$14*0.0025)/100)*(1+Inputs!$B$15/100)*(1+Inputs!$B$16/100)*(5000/(6000+Inputs!$B$43*(1-(100*(1-(1-(Inputs!$B$19+0)/100)*(1-CHOOSE(ArtifactsInput!$N$40+1,5,6,7,8,9,10)/100)^(ArtifactsInput!$M$40-ArtifactsInput!$M$40)))/100)))*(1+(Inputs!$B$24+((C1376=TRUE)*(F1376-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1369=TRUE)*(F1369-Calc!F23))+(((IF(AND(ArtifactsInput!$M$42,((Inputs!$B$9+((C1371=TRUE)*(F1371-Calc!F25))+B1386+(ArtifactsInput!$M$24-ArtifactsInput!$M$24)*CHOOSE(ArtifactsInput!$N$24+1,10,12,14,16,18,20)+IF(ArtifactsInput!$M$10,CHOOSE(ArtifactsInput!$N$10+1,15,18,21,24,27,30)*(IF(Inputs!$B$39="pvp",MIN(15,15)/15,IF(AND(Inputs!$B$39&lt;&gt;"pvp",Inputs!$B$44&gt;0),MIN(15,Inputs!$B$44)/(Inputs!$B$44),0))),0)))&gt;=100),MIN(100,((Inputs!$B$9+((C1371=TRUE)*(F1371-Calc!F25))+B1386+(ArtifactsInput!$M$24-ArtifactsInput!$M$24)*CHOOSE(ArtifactsInput!$N$24+1,10,12,14,16,18,20)+IF(ArtifactsInput!$M$10,CHOOSE(ArtifactsInput!$N$10+1,15,18,21,24,27,30)*(IF(Inputs!$B$39="pvp",MIN(15,15)/15,IF(AND(Inputs!$B$39&lt;&gt;"pvp",Inputs!$B$44&gt;0),MIN(15,Inputs!$B$44)/(Inputs!$B$44),0))),0)))-100),0))*CHOOSE(ArtifactsInput!$N$42+1,0.6,0.72,0.84,0.96,1.08,1.2))),Inputs!$B$18+((C1375=TRUE)*(F1375-Calc!F29))+(IF(AND(ArtifactsInput!$M$42,((Inputs!$B$9+((C1371=TRUE)*(F1371-Calc!F25))+B1386+(ArtifactsInput!$M$24-ArtifactsInput!$M$24)*CHOOSE(ArtifactsInput!$N$24+1,10,12,14,16,18,20)+IF(ArtifactsInput!$M$10,CHOOSE(ArtifactsInput!$N$10+1,15,18,21,24,27,30)*(IF(Inputs!$B$39="pvp",MIN(15,15)/15,IF(AND(Inputs!$B$39&lt;&gt;"pvp",Inputs!$B$44&gt;0),MIN(15,Inputs!$B$44)/(Inputs!$B$44),0))),0)))&gt;=100),CHOOSE(ArtifactsInput!$N$42+1,40,48,56,64,72,80),0))))/100)*(((1+(((C1367=TRUE)*F1367*IF(AND(Inputs!$B$39&lt;&gt;"pvp",Inputs!$B$44&gt;0),(((R1367-1)*(Skills!Y21*(1+Inputs!$B$34/100))+MIN((Skills!Y21*(1+Inputs!$B$34/100)),MAX(0,Inputs!$B$44-((R1367-1)*Skills!D21))))/Inputs!$B$44),IF(Inputs!$B$39="pvp",MIN((Skills!Y21*(1+Inputs!$B$34/100)),15)/15,(Skills!Y21*(1+Inputs!$B$34/100))/Skills!D21)))+((C1374=TRUE)*(F1374-Calc!F28))+((C1364=TRUE)*(F1364-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1361=TRUE)*F1361*IF(AND(Inputs!$B$39&lt;&gt;"pvp",Inputs!$B$44&gt;0),(((R1361-1)*(Skills!Y15*(1+Inputs!$B$34/100))+MIN((Skills!Y15*(1+Inputs!$B$34/100)),MAX(0,Inputs!$B$44-((R1361-1)*Skills!D15))))/Inputs!$B$44),IF(Inputs!$B$39="pvp",MIN((Skills!Y15*(1+Inputs!$B$34/100)),15)/15,(Skills!Y15*(1+Inputs!$B$34/100))/Skills!D15)))/100)*(1+((C1352=TRUE)*F1352*B1380)/100))*B1388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1349)</f>
        <v/>
      </c>
      <c r="L1349">
        <f>K1349*(MIN(Inputs!$B$22+((C1370=TRUE)*(F1370-Calc!F24)),(Inputs!$B$23+0+(IF(ArtifactsInput!$M$15,CHOOSE(ArtifactsInput!$N$15+1,25,30,35,40,45,50)/100*(Inputs!$B$11-Inputs!$B$11),0))))/100+(Inputs!$B$23+0+(IF(ArtifactsInput!$M$15,CHOOSE(ArtifactsInput!$N$15+1,25,30,35,40,45,50)/100*(Inputs!$B$11-Inputs!$B$11),0)))/100)/2</f>
        <v/>
      </c>
      <c r="M1349">
        <f>L1349*(1+(Inputs!$B$10+((C1372=TRUE)*(F1372-Calc!F26))+B1389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49">
        <f>L1349*(1-MIN((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1349*(MIN((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49">
        <f>(1-Summary!$B$11)*T1349+Summary!$B$11*V1349</f>
        <v/>
      </c>
      <c r="P1349">
        <f>IF(B1390=0,0,O1349/B1390)</f>
        <v/>
      </c>
      <c r="Q1349">
        <f>IFERROR(1/IF(Inputs!$B$39="pvp",15,MAX(0.1,Skills!D3-IF(Skills!E3=TRUE,Inputs!$B$32,0))),0)</f>
        <v/>
      </c>
      <c r="R1349">
        <f>IF(AND(Inputs!$B$39&lt;&gt;"pvp",Inputs!$B$44&gt;0),IF(MAX(0,Inputs!$B$44-B1391)&lt;=0,0,(INT(MAX(0,Inputs!$B$44-B1391)/IF(Inputs!$B$39="pvp",15,MAX(0.1,Skills!D3-IF(Skills!E3=TRUE,Inputs!$B$32,0))))+1)),0)</f>
        <v/>
      </c>
      <c r="S1349">
        <f>IFERROR(O1349/N1349,0)</f>
        <v/>
      </c>
      <c r="T1349">
        <f>IF(C1349,(H1349*N1349*IF(AND(Inputs!$B$39&lt;&gt;"pvp",Inputs!$B$44&gt;0),((Skills!G3*((R1349-1)*IF(Skills!H3&gt;0,Skills!I3/Skills!H3,1)+IF(Skills!H3&gt;0,MIN(Skills!I3,MAX(0,MAX(0,Inputs!$B$44-B1391)-((R1349-1)*IF(Inputs!$B$39="pvp",15,MAX(0.1,Skills!D3-IF(Skills!E3=TRUE,Inputs!$B$32,0))))))/Skills!H3,1)))/Inputs!$B$44),G1349*Q1349))*IF(Inputs!$B$39="pvp",1,1+(Inputs!$B$20+((C1373=TRUE)*(F1373-Calc!F27))+Skills!P3+B1387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Hunt"),CHOOSE(ArtifactsInput!$N$35+1,15,18,21,24,27,30)*(1-EXP(-(0.2*B1382)*5)),0)+IF(AND(ArtifactsInput!$M$22,Inputs!$B$4&lt;&gt;"Chapter Hunt"),CHOOSE(ArtifactsInput!$N$22+1,10,12,14,16,18,20)*((0*(((0.15*B1382*5))^0/1)+1*(((0.15*B1382*5))^1/1)+2*(((0.15*B1382*5))^2/2)+3*(((0.15*B1382*5))^3/6)+4*(((0.15*B1382*5))^4/24)+5*(((0.15*B1382*5))^5/120))/((((0.15*B1382*5))^0/1)+(((0.15*B1382*5))^1/1)+(((0.15*B1382*5))^2/2)+(((0.15*B1382*5))^3/6)+(((0.15*B1382*5))^4/24)+(((0.15*B1382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1349*(1-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1349*(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1349*(1-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1349*(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49">
        <f>INDEX(FactorTable!$B$2:$Y$301, MATCH(ROUND(MIN(300,MAX(1,U1348)),0), FactorTable!$A$2:$A$301,0), 24)</f>
        <v/>
      </c>
      <c r="V1349">
        <f>IF(C1349,(H1349*N1349*IF(AND(Inputs!$B$39&lt;&gt;"pvp",Inputs!$B$44&gt;0),((Skills!G3*((R1349-1)*IF(Skills!H3&gt;0,Skills!I3/Skills!H3,1)+IF(Skills!H3&gt;0,MIN(Skills!I3,MAX(0,MAX(0,Inputs!$B$44-B1391)-((R1349-1)*IF(Inputs!$B$39="pvp",15,MAX(0.1,Skills!D3-IF(Skills!E3=TRUE,Inputs!$B$32,0))))))/Skills!H3,1)))/Inputs!$B$44),G1349*Q1349))*IF(Inputs!$B$39="pvp",1,(1+(Inputs!$B$21+Skills!Q3+B1387+(IF(ArtifactsInput!$M$33,CHOOSE(ArtifactsInput!$N$33+1,30,36,42,48,54,60),0))+(IF(AND(ArtifactsInput!$M$35,Inputs!$B$4&lt;&gt;"Chapter Hunt"),CHOOSE(ArtifactsInput!$N$35+1,15,18,21,24,27,30)*(1-EXP(-(0.2*B1382)*5)),0)+IF(AND(ArtifactsInput!$M$22,Inputs!$B$4&lt;&gt;"Chapter Hunt"),CHOOSE(ArtifactsInput!$N$22+1,10,12,14,16,18,20)*((0*(((0.15*B1382*5))^0/1)+1*(((0.15*B1382*5))^1/1)+2*(((0.15*B1382*5))^2/2)+3*(((0.15*B1382*5))^3/6)+4*(((0.15*B1382*5))^4/24)+5*(((0.15*B1382*5))^5/120))/((((0.15*B1382*5))^0/1)+(((0.15*B1382*5))^1/1)+(((0.15*B1382*5))^2/2)+(((0.15*B1382*5))^3/6)+(((0.15*B1382*5))^4/24)+(((0.15*B1382*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50">
      <c r="A1350">
        <f>Skills!A4</f>
        <v/>
      </c>
      <c r="B1350">
        <f>Skills!B4</f>
        <v/>
      </c>
      <c r="C1350">
        <f>Inputs!$B$3&gt;=40</f>
        <v/>
      </c>
      <c r="D1350">
        <f>IF(Skills!C4=1,60+Inputs!$B$25+Inputs!$B$29,IF(Skills!C4=2,90+Inputs!$B$26+Inputs!$B$29,IF(Skills!C4=3,120+Inputs!$B$27+Inputs!$B$29,MAX(0,(Inputs!$B$3-100)*3)+Inputs!$B$28+Inputs!$B$29)))</f>
        <v/>
      </c>
      <c r="E1350">
        <f>INDEX(FactorTable!$B$2:$Y$301, MATCH(ROUND(MIN(300,MAX(1,D1350)),0), FactorTable!$A$2:$A$301,0), Skills!M4+1)</f>
        <v/>
      </c>
      <c r="F1350">
        <f>IF(Skills!N4=TRUE,(Skills!L4/10)*(E1350/1000),Skills!L4/10)+Skills!O4</f>
        <v/>
      </c>
      <c r="G1350">
        <f>Calc!G4</f>
        <v/>
      </c>
      <c r="H1350">
        <f>Calc!H4</f>
        <v/>
      </c>
      <c r="I1350">
        <f>IF(Skills!AA4&lt;&gt;"",1+(Skills!AA4/10)*(U1349/1000)/100,1)</f>
        <v/>
      </c>
      <c r="J1350">
        <f>((Inputs!$B$6*(1+Inputs!$B$7/100))+(((Inputs!$B$12*(1+Inputs!$B$13/100))-(Inputs!$B$12*(1+Inputs!$B$13/100)))+0.25*(Inputs!$B$14-Inputs!$B$14))*(1+Inputs!$B$7/100))*(F1350/100)</f>
        <v/>
      </c>
      <c r="K1350">
        <f>J1350*(1+((Inputs!$B$12*(1+Inputs!$B$13/100))*0.01+Inputs!$B$14*0.0025)/100)*(1+Inputs!$B$15/100)*(1+Inputs!$B$16/100)*(5000/(6000+Inputs!$B$43*(1-(100*(1-(1-(Inputs!$B$19+0)/100)*(1-CHOOSE(ArtifactsInput!$N$40+1,5,6,7,8,9,10)/100)^(ArtifactsInput!$M$40-ArtifactsInput!$M$40)))/100)))*(1+(Inputs!$B$24+((C1376=TRUE)*(F1376-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1369=TRUE)*(F1369-Calc!F23))+(((IF(AND(ArtifactsInput!$M$42,((Inputs!$B$9+((C1371=TRUE)*(F1371-Calc!F25))+B1386+(ArtifactsInput!$M$24-ArtifactsInput!$M$24)*CHOOSE(ArtifactsInput!$N$24+1,10,12,14,16,18,20)+IF(ArtifactsInput!$M$10,CHOOSE(ArtifactsInput!$N$10+1,15,18,21,24,27,30)*(IF(Inputs!$B$39="pvp",MIN(15,15)/15,IF(AND(Inputs!$B$39&lt;&gt;"pvp",Inputs!$B$44&gt;0),MIN(15,Inputs!$B$44)/(Inputs!$B$44),0))),0)))&gt;=100),MIN(100,((Inputs!$B$9+((C1371=TRUE)*(F1371-Calc!F25))+B1386+(ArtifactsInput!$M$24-ArtifactsInput!$M$24)*CHOOSE(ArtifactsInput!$N$24+1,10,12,14,16,18,20)+IF(ArtifactsInput!$M$10,CHOOSE(ArtifactsInput!$N$10+1,15,18,21,24,27,30)*(IF(Inputs!$B$39="pvp",MIN(15,15)/15,IF(AND(Inputs!$B$39&lt;&gt;"pvp",Inputs!$B$44&gt;0),MIN(15,Inputs!$B$44)/(Inputs!$B$44),0))),0)))-100),0))*CHOOSE(ArtifactsInput!$N$42+1,0.6,0.72,0.84,0.96,1.08,1.2))),Inputs!$B$18+((C1375=TRUE)*(F1375-Calc!F29))+(IF(AND(ArtifactsInput!$M$42,((Inputs!$B$9+((C1371=TRUE)*(F1371-Calc!F25))+B1386+(ArtifactsInput!$M$24-ArtifactsInput!$M$24)*CHOOSE(ArtifactsInput!$N$24+1,10,12,14,16,18,20)+IF(ArtifactsInput!$M$10,CHOOSE(ArtifactsInput!$N$10+1,15,18,21,24,27,30)*(IF(Inputs!$B$39="pvp",MIN(15,15)/15,IF(AND(Inputs!$B$39&lt;&gt;"pvp",Inputs!$B$44&gt;0),MIN(15,Inputs!$B$44)/(Inputs!$B$44),0))),0)))&gt;=100),CHOOSE(ArtifactsInput!$N$42+1,40,48,56,64,72,80),0))))/100)*(((1+(((C1367=TRUE)*F1367*IF(AND(Inputs!$B$39&lt;&gt;"pvp",Inputs!$B$44&gt;0),(((R1367-1)*(Skills!Y21*(1+Inputs!$B$34/100))+MIN((Skills!Y21*(1+Inputs!$B$34/100)),MAX(0,Inputs!$B$44-((R1367-1)*Skills!D21))))/Inputs!$B$44),IF(Inputs!$B$39="pvp",MIN((Skills!Y21*(1+Inputs!$B$34/100)),15)/15,(Skills!Y21*(1+Inputs!$B$34/100))/Skills!D21)))+((C1374=TRUE)*(F1374-Calc!F28))+((C1364=TRUE)*(F1364-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1361=TRUE)*F1361*IF(AND(Inputs!$B$39&lt;&gt;"pvp",Inputs!$B$44&gt;0),(((R1361-1)*(Skills!Y15*(1+Inputs!$B$34/100))+MIN((Skills!Y15*(1+Inputs!$B$34/100)),MAX(0,Inputs!$B$44-((R1361-1)*Skills!D15))))/Inputs!$B$44),IF(Inputs!$B$39="pvp",MIN((Skills!Y15*(1+Inputs!$B$34/100)),15)/15,(Skills!Y15*(1+Inputs!$B$34/100))/Skills!D15)))/100)*(1+((C1352=TRUE)*F1352*B1380)/100))*B1388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1350)</f>
        <v/>
      </c>
      <c r="L1350">
        <f>K1350*(MIN(Inputs!$B$22+((C1370=TRUE)*(F1370-Calc!F24)),(Inputs!$B$23+0+(IF(ArtifactsInput!$M$15,CHOOSE(ArtifactsInput!$N$15+1,25,30,35,40,45,50)/100*(Inputs!$B$11-Inputs!$B$11),0))))/100+(Inputs!$B$23+0+(IF(ArtifactsInput!$M$15,CHOOSE(ArtifactsInput!$N$15+1,25,30,35,40,45,50)/100*(Inputs!$B$11-Inputs!$B$11),0)))/100)/2</f>
        <v/>
      </c>
      <c r="M1350">
        <f>L1350*(1+(Inputs!$B$10+((C1372=TRUE)*(F1372-Calc!F26))+B1389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50">
        <f>L1350*(1-MIN((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1350*(MIN((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50">
        <f>(1-Summary!$B$11)*T1350+Summary!$B$11*V1350</f>
        <v/>
      </c>
      <c r="P1350">
        <f>IF(B1390=0,0,O1350/B1390)</f>
        <v/>
      </c>
      <c r="Q1350">
        <f>IFERROR(1/IF(Inputs!$B$39="pvp",15,MAX(0.1,Skills!D4-IF(Skills!E4=TRUE,Inputs!$B$32,0))),0)</f>
        <v/>
      </c>
      <c r="R1350">
        <f>IF(AND(Inputs!$B$39&lt;&gt;"pvp",Inputs!$B$44&gt;0),IF(MAX(0,Inputs!$B$44-B1391)&lt;=0,0,(INT(MAX(0,Inputs!$B$44-B1391)/IF(Inputs!$B$39="pvp",15,MAX(0.1,Skills!D4-IF(Skills!E4=TRUE,Inputs!$B$32,0))))+1)),0)</f>
        <v/>
      </c>
      <c r="S1350">
        <f>IFERROR(O1350/N1350,0)</f>
        <v/>
      </c>
      <c r="T1350">
        <f>IF(C1350,(H1350*N1350*IF(AND(Inputs!$B$39&lt;&gt;"pvp",Inputs!$B$44&gt;0),((Skills!G4*((R1350-1)*IF(Skills!H4&gt;0,Skills!I4/Skills!H4,1)+IF(Skills!H4&gt;0,MIN(Skills!I4,MAX(0,MAX(0,Inputs!$B$44-B1391)-((R1350-1)*IF(Inputs!$B$39="pvp",15,MAX(0.1,Skills!D4-IF(Skills!E4=TRUE,Inputs!$B$32,0))))))/Skills!H4,1)))/Inputs!$B$44),G1350*Q1350))*IF(Inputs!$B$39="pvp",1,1+(Inputs!$B$20+((C1373=TRUE)*(F1373-Calc!F27))+Skills!P4+B1387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Hunt"),CHOOSE(ArtifactsInput!$N$35+1,15,18,21,24,27,30)*(1-EXP(-(0.2*B1382)*5)),0)+IF(AND(ArtifactsInput!$M$22,Inputs!$B$4&lt;&gt;"Chapter Hunt"),CHOOSE(ArtifactsInput!$N$22+1,10,12,14,16,18,20)*((0*(((0.15*B1382*5))^0/1)+1*(((0.15*B1382*5))^1/1)+2*(((0.15*B1382*5))^2/2)+3*(((0.15*B1382*5))^3/6)+4*(((0.15*B1382*5))^4/24)+5*(((0.15*B1382*5))^5/120))/((((0.15*B1382*5))^0/1)+(((0.15*B1382*5))^1/1)+(((0.15*B1382*5))^2/2)+(((0.15*B1382*5))^3/6)+(((0.15*B1382*5))^4/24)+(((0.15*B1382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1350*(1-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1350*(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1350*(1-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1350*(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50">
        <f>MAX(0,(Inputs!$B$3-100)*3)+Inputs!$B$28+Inputs!$B$29</f>
        <v/>
      </c>
      <c r="V1350">
        <f>IF(C1350,(H1350*N1350*IF(AND(Inputs!$B$39&lt;&gt;"pvp",Inputs!$B$44&gt;0),((Skills!G4*((R1350-1)*IF(Skills!H4&gt;0,Skills!I4/Skills!H4,1)+IF(Skills!H4&gt;0,MIN(Skills!I4,MAX(0,MAX(0,Inputs!$B$44-B1391)-((R1350-1)*IF(Inputs!$B$39="pvp",15,MAX(0.1,Skills!D4-IF(Skills!E4=TRUE,Inputs!$B$32,0))))))/Skills!H4,1)))/Inputs!$B$44),G1350*Q1350))*IF(Inputs!$B$39="pvp",1,(1+(Inputs!$B$21+Skills!Q4+B1387+(IF(ArtifactsInput!$M$33,CHOOSE(ArtifactsInput!$N$33+1,30,36,42,48,54,60),0))+(IF(AND(ArtifactsInput!$M$35,Inputs!$B$4&lt;&gt;"Chapter Hunt"),CHOOSE(ArtifactsInput!$N$35+1,15,18,21,24,27,30)*(1-EXP(-(0.2*B1382)*5)),0)+IF(AND(ArtifactsInput!$M$22,Inputs!$B$4&lt;&gt;"Chapter Hunt"),CHOOSE(ArtifactsInput!$N$22+1,10,12,14,16,18,20)*((0*(((0.15*B1382*5))^0/1)+1*(((0.15*B1382*5))^1/1)+2*(((0.15*B1382*5))^2/2)+3*(((0.15*B1382*5))^3/6)+4*(((0.15*B1382*5))^4/24)+5*(((0.15*B1382*5))^5/120))/((((0.15*B1382*5))^0/1)+(((0.15*B1382*5))^1/1)+(((0.15*B1382*5))^2/2)+(((0.15*B1382*5))^3/6)+(((0.15*B1382*5))^4/24)+(((0.15*B1382*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51">
      <c r="A1351">
        <f>Skills!A5</f>
        <v/>
      </c>
      <c r="B1351">
        <f>Skills!B5</f>
        <v/>
      </c>
      <c r="C1351">
        <f>Inputs!$B$3&gt;=63</f>
        <v/>
      </c>
      <c r="D1351">
        <f>IF(Skills!C5=1,60+Inputs!$B$25+Inputs!$B$29,IF(Skills!C5=2,90+Inputs!$B$26+Inputs!$B$29,IF(Skills!C5=3,120+Inputs!$B$27+Inputs!$B$29,MAX(0,(Inputs!$B$3-100)*3)+Inputs!$B$28+Inputs!$B$29)))</f>
        <v/>
      </c>
      <c r="E1351">
        <f>INDEX(FactorTable!$B$2:$Y$301, MATCH(ROUND(MIN(300,MAX(1,D1351)),0), FactorTable!$A$2:$A$301,0), Skills!M5+1)</f>
        <v/>
      </c>
      <c r="F1351">
        <f>IF(Skills!N5=TRUE,(Skills!L5/10)*(E1351/1000),Skills!L5/10)+Skills!O5</f>
        <v/>
      </c>
      <c r="G1351">
        <f>Calc!G5</f>
        <v/>
      </c>
      <c r="H1351">
        <f>Calc!H5</f>
        <v/>
      </c>
      <c r="I1351">
        <f>IF(Skills!AA5&lt;&gt;"",1+(Skills!AA5/10)*(U1349/1000)/100,1)</f>
        <v/>
      </c>
      <c r="J1351">
        <f>((Inputs!$B$6*(1+Inputs!$B$7/100))+(((Inputs!$B$12*(1+Inputs!$B$13/100))-(Inputs!$B$12*(1+Inputs!$B$13/100)))+0.25*(Inputs!$B$14-Inputs!$B$14))*(1+Inputs!$B$7/100))*(F1351/100)</f>
        <v/>
      </c>
      <c r="K1351">
        <f>J1351*(1+((Inputs!$B$12*(1+Inputs!$B$13/100))*0.01+Inputs!$B$14*0.0025)/100)*(1+Inputs!$B$15/100)*(1+Inputs!$B$16/100)*(5000/(6000+Inputs!$B$43*(1-(100*(1-(1-(Inputs!$B$19+0)/100)*(1-CHOOSE(ArtifactsInput!$N$40+1,5,6,7,8,9,10)/100)^(ArtifactsInput!$M$40-ArtifactsInput!$M$40)))/100)))*(1+(Inputs!$B$24+((C1376=TRUE)*(F1376-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1369=TRUE)*(F1369-Calc!F23))+(((IF(AND(ArtifactsInput!$M$42,((Inputs!$B$9+((C1371=TRUE)*(F1371-Calc!F25))+B1386+(ArtifactsInput!$M$24-ArtifactsInput!$M$24)*CHOOSE(ArtifactsInput!$N$24+1,10,12,14,16,18,20)+IF(ArtifactsInput!$M$10,CHOOSE(ArtifactsInput!$N$10+1,15,18,21,24,27,30)*(IF(Inputs!$B$39="pvp",MIN(15,15)/15,IF(AND(Inputs!$B$39&lt;&gt;"pvp",Inputs!$B$44&gt;0),MIN(15,Inputs!$B$44)/(Inputs!$B$44),0))),0)))&gt;=100),MIN(100,((Inputs!$B$9+((C1371=TRUE)*(F1371-Calc!F25))+B1386+(ArtifactsInput!$M$24-ArtifactsInput!$M$24)*CHOOSE(ArtifactsInput!$N$24+1,10,12,14,16,18,20)+IF(ArtifactsInput!$M$10,CHOOSE(ArtifactsInput!$N$10+1,15,18,21,24,27,30)*(IF(Inputs!$B$39="pvp",MIN(15,15)/15,IF(AND(Inputs!$B$39&lt;&gt;"pvp",Inputs!$B$44&gt;0),MIN(15,Inputs!$B$44)/(Inputs!$B$44),0))),0)))-100),0))*CHOOSE(ArtifactsInput!$N$42+1,0.6,0.72,0.84,0.96,1.08,1.2))),Inputs!$B$18+((C1375=TRUE)*(F1375-Calc!F29))+(IF(AND(ArtifactsInput!$M$42,((Inputs!$B$9+((C1371=TRUE)*(F1371-Calc!F25))+B1386+(ArtifactsInput!$M$24-ArtifactsInput!$M$24)*CHOOSE(ArtifactsInput!$N$24+1,10,12,14,16,18,20)+IF(ArtifactsInput!$M$10,CHOOSE(ArtifactsInput!$N$10+1,15,18,21,24,27,30)*(IF(Inputs!$B$39="pvp",MIN(15,15)/15,IF(AND(Inputs!$B$39&lt;&gt;"pvp",Inputs!$B$44&gt;0),MIN(15,Inputs!$B$44)/(Inputs!$B$44),0))),0)))&gt;=100),CHOOSE(ArtifactsInput!$N$42+1,40,48,56,64,72,80),0))))/100)*(((1+(((C1367=TRUE)*F1367*IF(AND(Inputs!$B$39&lt;&gt;"pvp",Inputs!$B$44&gt;0),(((R1367-1)*(Skills!Y21*(1+Inputs!$B$34/100))+MIN((Skills!Y21*(1+Inputs!$B$34/100)),MAX(0,Inputs!$B$44-((R1367-1)*Skills!D21))))/Inputs!$B$44),IF(Inputs!$B$39="pvp",MIN((Skills!Y21*(1+Inputs!$B$34/100)),15)/15,(Skills!Y21*(1+Inputs!$B$34/100))/Skills!D21)))+((C1374=TRUE)*(F1374-Calc!F28))+((C1364=TRUE)*(F1364-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1361=TRUE)*F1361*IF(AND(Inputs!$B$39&lt;&gt;"pvp",Inputs!$B$44&gt;0),(((R1361-1)*(Skills!Y15*(1+Inputs!$B$34/100))+MIN((Skills!Y15*(1+Inputs!$B$34/100)),MAX(0,Inputs!$B$44-((R1361-1)*Skills!D15))))/Inputs!$B$44),IF(Inputs!$B$39="pvp",MIN((Skills!Y15*(1+Inputs!$B$34/100)),15)/15,(Skills!Y15*(1+Inputs!$B$34/100))/Skills!D15)))/100)*(1+((C1352=TRUE)*F1352*B1380)/100))*B1388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1351)</f>
        <v/>
      </c>
      <c r="L1351">
        <f>K1351*(MIN(Inputs!$B$22+((C1370=TRUE)*(F1370-Calc!F24)),(Inputs!$B$23+0+(IF(ArtifactsInput!$M$15,CHOOSE(ArtifactsInput!$N$15+1,25,30,35,40,45,50)/100*(Inputs!$B$11-Inputs!$B$11),0))))/100+(Inputs!$B$23+0+(IF(ArtifactsInput!$M$15,CHOOSE(ArtifactsInput!$N$15+1,25,30,35,40,45,50)/100*(Inputs!$B$11-Inputs!$B$11),0)))/100)/2</f>
        <v/>
      </c>
      <c r="M1351">
        <f>L1351*(1+(Inputs!$B$10+((C1372=TRUE)*(F1372-Calc!F26))+B1389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51">
        <f>L1351*(1-MIN((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1351*(MIN((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51">
        <f>(1-Summary!$B$11)*T1351+Summary!$B$11*V1351</f>
        <v/>
      </c>
      <c r="P1351">
        <f>IF(B1390=0,0,O1351/B1390)</f>
        <v/>
      </c>
      <c r="Q1351">
        <f>IFERROR(1/IF(Inputs!$B$39="pvp",15,MAX(0.1,Skills!D5-IF(Skills!E5=TRUE,Inputs!$B$32,0))),0)</f>
        <v/>
      </c>
      <c r="R1351">
        <f>IF(AND(Inputs!$B$39&lt;&gt;"pvp",Inputs!$B$44&gt;0),IF(MAX(0,Inputs!$B$44-B1391)&lt;=0,0,(INT(MAX(0,Inputs!$B$44-B1391)/IF(Inputs!$B$39="pvp",15,MAX(0.1,Skills!D5-IF(Skills!E5=TRUE,Inputs!$B$32,0))))+1)),0)</f>
        <v/>
      </c>
      <c r="S1351">
        <f>IFERROR(O1351/N1351,0)</f>
        <v/>
      </c>
      <c r="T1351">
        <f>IF(C1351,(H1351*N1351*IF(AND(Inputs!$B$39&lt;&gt;"pvp",Inputs!$B$44&gt;0),((Skills!G5*((R1351-1)*IF(Skills!H5&gt;0,Skills!I5/Skills!H5,1)+IF(Skills!H5&gt;0,MIN(Skills!I5,MAX(0,MAX(0,Inputs!$B$44-B1391)-((R1351-1)*IF(Inputs!$B$39="pvp",15,MAX(0.1,Skills!D5-IF(Skills!E5=TRUE,Inputs!$B$32,0))))))/Skills!H5,1)))/Inputs!$B$44),G1351*Q1351))*IF(Inputs!$B$39="pvp",1,1+(Inputs!$B$20+((C1373=TRUE)*(F1373-Calc!F27))+Skills!P5+B1387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Hunt"),CHOOSE(ArtifactsInput!$N$35+1,15,18,21,24,27,30)*(1-EXP(-(0.2*B1382)*5)),0)+IF(AND(ArtifactsInput!$M$22,Inputs!$B$4&lt;&gt;"Chapter Hunt"),CHOOSE(ArtifactsInput!$N$22+1,10,12,14,16,18,20)*((0*(((0.15*B1382*5))^0/1)+1*(((0.15*B1382*5))^1/1)+2*(((0.15*B1382*5))^2/2)+3*(((0.15*B1382*5))^3/6)+4*(((0.15*B1382*5))^4/24)+5*(((0.15*B1382*5))^5/120))/((((0.15*B1382*5))^0/1)+(((0.15*B1382*5))^1/1)+(((0.15*B1382*5))^2/2)+(((0.15*B1382*5))^3/6)+(((0.15*B1382*5))^4/24)+(((0.15*B1382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1351*(1-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1351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1351*(1-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1351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51">
        <f>INDEX(FactorTable!$B$2:$Y$301, MATCH(ROUND(MIN(300,MAX(1,U1350)),0), FactorTable!$A$2:$A$301,0), 22)</f>
        <v/>
      </c>
      <c r="V1351">
        <f>IF(C1351,(H1351*N1351*IF(AND(Inputs!$B$39&lt;&gt;"pvp",Inputs!$B$44&gt;0),((Skills!G5*((R1351-1)*IF(Skills!H5&gt;0,Skills!I5/Skills!H5,1)+IF(Skills!H5&gt;0,MIN(Skills!I5,MAX(0,MAX(0,Inputs!$B$44-B1391)-((R1351-1)*IF(Inputs!$B$39="pvp",15,MAX(0.1,Skills!D5-IF(Skills!E5=TRUE,Inputs!$B$32,0))))))/Skills!H5,1)))/Inputs!$B$44),G1351*Q1351))*IF(Inputs!$B$39="pvp",1,(1+(Inputs!$B$21+Skills!Q5+B1387+(IF(ArtifactsInput!$M$33,CHOOSE(ArtifactsInput!$N$33+1,30,36,42,48,54,60),0))+(IF(AND(ArtifactsInput!$M$35,Inputs!$B$4&lt;&gt;"Chapter Hunt"),CHOOSE(ArtifactsInput!$N$35+1,15,18,21,24,27,30)*(1-EXP(-(0.2*B1382)*5)),0)+IF(AND(ArtifactsInput!$M$22,Inputs!$B$4&lt;&gt;"Chapter Hunt"),CHOOSE(ArtifactsInput!$N$22+1,10,12,14,16,18,20)*((0*(((0.15*B1382*5))^0/1)+1*(((0.15*B1382*5))^1/1)+2*(((0.15*B1382*5))^2/2)+3*(((0.15*B1382*5))^3/6)+4*(((0.15*B1382*5))^4/24)+5*(((0.15*B1382*5))^5/120))/((((0.15*B1382*5))^0/1)+(((0.15*B1382*5))^1/1)+(((0.15*B1382*5))^2/2)+(((0.15*B1382*5))^3/6)+(((0.15*B1382*5))^4/24)+(((0.15*B1382*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52">
      <c r="A1352">
        <f>Skills!A6</f>
        <v/>
      </c>
      <c r="B1352">
        <f>Skills!B6</f>
        <v/>
      </c>
      <c r="C1352">
        <f>Inputs!$B$3&gt;=66</f>
        <v/>
      </c>
      <c r="D1352">
        <f>IF(Skills!C6=1,60+Inputs!$B$25+Inputs!$B$29,IF(Skills!C6=2,90+Inputs!$B$26+Inputs!$B$29,IF(Skills!C6=3,120+Inputs!$B$27+Inputs!$B$29,MAX(0,(Inputs!$B$3-100)*3)+Inputs!$B$28+Inputs!$B$29)))</f>
        <v/>
      </c>
      <c r="E1352">
        <f>INDEX(FactorTable!$B$2:$Y$301, MATCH(ROUND(MIN(300,MAX(1,D1352)),0), FactorTable!$A$2:$A$301,0), Skills!M6+1)</f>
        <v/>
      </c>
      <c r="F1352">
        <f>IF(Skills!N6=TRUE,(Skills!L6/10)*(E1352/1000),Skills!L6/10)+Skills!O6</f>
        <v/>
      </c>
      <c r="G1352">
        <f>Calc!G6</f>
        <v/>
      </c>
      <c r="H1352">
        <f>Calc!H6</f>
        <v/>
      </c>
      <c r="I1352">
        <f>IF(Skills!AA6&lt;&gt;"",1+(Skills!AA6/10)*(U1349/1000)/100,1)</f>
        <v/>
      </c>
      <c r="J1352" t="inlineStr"/>
      <c r="K1352" t="inlineStr"/>
      <c r="L1352" t="inlineStr"/>
      <c r="M1352" t="inlineStr"/>
      <c r="N1352" t="inlineStr"/>
      <c r="O1352">
        <f>(1-Summary!$B$11)*T1352+Summary!$B$11*V1352</f>
        <v/>
      </c>
      <c r="P1352">
        <f>IF(B1390=0,0,O1352/B1390)</f>
        <v/>
      </c>
      <c r="Q1352" t="n">
        <v>0</v>
      </c>
      <c r="R1352" t="n">
        <v>0</v>
      </c>
      <c r="S1352">
        <f>IFERROR(O1352/N1352,0)</f>
        <v/>
      </c>
      <c r="T1352" t="n">
        <v>0</v>
      </c>
      <c r="U1352">
        <f>290*U1351/1000</f>
        <v/>
      </c>
      <c r="V1352" t="n">
        <v>0</v>
      </c>
    </row>
    <row r="1353">
      <c r="A1353">
        <f>Skills!A7</f>
        <v/>
      </c>
      <c r="B1353">
        <f>Skills!B7</f>
        <v/>
      </c>
      <c r="C1353">
        <f>Inputs!$B$3&gt;=66</f>
        <v/>
      </c>
      <c r="D1353">
        <f>IF(Skills!C7=1,60+Inputs!$B$25+Inputs!$B$29,IF(Skills!C7=2,90+Inputs!$B$26+Inputs!$B$29,IF(Skills!C7=3,120+Inputs!$B$27+Inputs!$B$29,MAX(0,(Inputs!$B$3-100)*3)+Inputs!$B$28+Inputs!$B$29)))</f>
        <v/>
      </c>
      <c r="E1353">
        <f>INDEX(FactorTable!$B$2:$Y$301, MATCH(ROUND(MIN(300,MAX(1,D1353)),0), FactorTable!$A$2:$A$301,0), Skills!M7+1)</f>
        <v/>
      </c>
      <c r="F1353">
        <f>IF(Skills!N7=TRUE,(Skills!L7/10)*(E1353/1000),Skills!L7/10)+Skills!O7</f>
        <v/>
      </c>
      <c r="G1353">
        <f>Calc!G7</f>
        <v/>
      </c>
      <c r="H1353">
        <f>Calc!H7</f>
        <v/>
      </c>
      <c r="I1353">
        <f>IF(Skills!AA7&lt;&gt;"",1+(Skills!AA7/10)*(U1349/1000)/100,1)</f>
        <v/>
      </c>
      <c r="J1353" t="inlineStr"/>
      <c r="K1353" t="inlineStr"/>
      <c r="L1353" t="inlineStr"/>
      <c r="M1353" t="inlineStr"/>
      <c r="N1353" t="inlineStr"/>
      <c r="O1353">
        <f>(1-Summary!$B$11)*T1353+Summary!$B$11*V1353</f>
        <v/>
      </c>
      <c r="P1353">
        <f>IF(B1390=0,0,O1353/B1390)</f>
        <v/>
      </c>
      <c r="Q1353" t="n">
        <v>0</v>
      </c>
      <c r="R1353" t="n">
        <v>0</v>
      </c>
      <c r="S1353">
        <f>IFERROR(O1353/N1353,0)</f>
        <v/>
      </c>
      <c r="T1353" t="n">
        <v>0</v>
      </c>
      <c r="V1353" t="n">
        <v>0</v>
      </c>
    </row>
    <row r="1354">
      <c r="A1354">
        <f>Skills!A8</f>
        <v/>
      </c>
      <c r="B1354">
        <f>Skills!B8</f>
        <v/>
      </c>
      <c r="C1354">
        <f>Inputs!$B$3&gt;=69</f>
        <v/>
      </c>
      <c r="D1354">
        <f>IF(Skills!C8=1,60+Inputs!$B$25+Inputs!$B$29,IF(Skills!C8=2,90+Inputs!$B$26+Inputs!$B$29,IF(Skills!C8=3,120+Inputs!$B$27+Inputs!$B$29,MAX(0,(Inputs!$B$3-100)*3)+Inputs!$B$28+Inputs!$B$29)))</f>
        <v/>
      </c>
      <c r="E1354">
        <f>INDEX(FactorTable!$B$2:$Y$301, MATCH(ROUND(MIN(300,MAX(1,D1354)),0), FactorTable!$A$2:$A$301,0), Skills!M8+1)</f>
        <v/>
      </c>
      <c r="F1354">
        <f>IF(Skills!N8=TRUE,(Skills!L8/10)*(E1354/1000),Skills!L8/10)+Skills!O8</f>
        <v/>
      </c>
      <c r="G1354">
        <f>Calc!G8</f>
        <v/>
      </c>
      <c r="H1354">
        <f>Calc!H8</f>
        <v/>
      </c>
      <c r="I1354">
        <f>IF(Skills!AA8&lt;&gt;"",1+(Skills!AA8/10)*(U1349/1000)/100,1)</f>
        <v/>
      </c>
      <c r="J1354">
        <f>((Inputs!$B$6*(1+Inputs!$B$7/100))+(((Inputs!$B$12*(1+Inputs!$B$13/100))-(Inputs!$B$12*(1+Inputs!$B$13/100)))+0.25*(Inputs!$B$14-Inputs!$B$14))*(1+Inputs!$B$7/100))*(F1354/100)</f>
        <v/>
      </c>
      <c r="K1354">
        <f>J1354*(1+((Inputs!$B$12*(1+Inputs!$B$13/100))*0.01+Inputs!$B$14*0.0025)/100)*(1+Inputs!$B$15/100)*(1+Inputs!$B$16/100)*(5000/(6000+Inputs!$B$43*(1-(100*(1-(1-(Inputs!$B$19+0)/100)*(1-CHOOSE(ArtifactsInput!$N$40+1,5,6,7,8,9,10)/100)^(ArtifactsInput!$M$40-ArtifactsInput!$M$40)))/100)))*(1+(Inputs!$B$24+((C1376=TRUE)*(F1376-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1369=TRUE)*(F1369-Calc!F23))+(((IF(AND(ArtifactsInput!$M$42,((Inputs!$B$9+((C1371=TRUE)*(F1371-Calc!F25))+B1386+(ArtifactsInput!$M$24-ArtifactsInput!$M$24)*CHOOSE(ArtifactsInput!$N$24+1,10,12,14,16,18,20)+IF(ArtifactsInput!$M$10,CHOOSE(ArtifactsInput!$N$10+1,15,18,21,24,27,30)*(IF(Inputs!$B$39="pvp",MIN(15,15)/15,IF(AND(Inputs!$B$39&lt;&gt;"pvp",Inputs!$B$44&gt;0),MIN(15,Inputs!$B$44)/(Inputs!$B$44),0))),0)))&gt;=100),MIN(100,((Inputs!$B$9+((C1371=TRUE)*(F1371-Calc!F25))+B1386+(ArtifactsInput!$M$24-ArtifactsInput!$M$24)*CHOOSE(ArtifactsInput!$N$24+1,10,12,14,16,18,20)+IF(ArtifactsInput!$M$10,CHOOSE(ArtifactsInput!$N$10+1,15,18,21,24,27,30)*(IF(Inputs!$B$39="pvp",MIN(15,15)/15,IF(AND(Inputs!$B$39&lt;&gt;"pvp",Inputs!$B$44&gt;0),MIN(15,Inputs!$B$44)/(Inputs!$B$44),0))),0)))-100),0))*CHOOSE(ArtifactsInput!$N$42+1,0.6,0.72,0.84,0.96,1.08,1.2))),Inputs!$B$18+((C1375=TRUE)*(F1375-Calc!F29))+(IF(AND(ArtifactsInput!$M$42,((Inputs!$B$9+((C1371=TRUE)*(F1371-Calc!F25))+B1386+(ArtifactsInput!$M$24-ArtifactsInput!$M$24)*CHOOSE(ArtifactsInput!$N$24+1,10,12,14,16,18,20)+IF(ArtifactsInput!$M$10,CHOOSE(ArtifactsInput!$N$10+1,15,18,21,24,27,30)*(IF(Inputs!$B$39="pvp",MIN(15,15)/15,IF(AND(Inputs!$B$39&lt;&gt;"pvp",Inputs!$B$44&gt;0),MIN(15,Inputs!$B$44)/(Inputs!$B$44),0))),0)))&gt;=100),CHOOSE(ArtifactsInput!$N$42+1,40,48,56,64,72,80),0))))/100)*(((1+(((C1367=TRUE)*F1367*IF(AND(Inputs!$B$39&lt;&gt;"pvp",Inputs!$B$44&gt;0),(((R1367-1)*(Skills!Y21*(1+Inputs!$B$34/100))+MIN((Skills!Y21*(1+Inputs!$B$34/100)),MAX(0,Inputs!$B$44-((R1367-1)*Skills!D21))))/Inputs!$B$44),IF(Inputs!$B$39="pvp",MIN((Skills!Y21*(1+Inputs!$B$34/100)),15)/15,(Skills!Y21*(1+Inputs!$B$34/100))/Skills!D21)))+((C1374=TRUE)*(F1374-Calc!F28))+((C1364=TRUE)*(F1364-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1361=TRUE)*F1361*IF(AND(Inputs!$B$39&lt;&gt;"pvp",Inputs!$B$44&gt;0),(((R1361-1)*(Skills!Y15*(1+Inputs!$B$34/100))+MIN((Skills!Y15*(1+Inputs!$B$34/100)),MAX(0,Inputs!$B$44-((R1361-1)*Skills!D15))))/Inputs!$B$44),IF(Inputs!$B$39="pvp",MIN((Skills!Y15*(1+Inputs!$B$34/100)),15)/15,(Skills!Y15*(1+Inputs!$B$34/100))/Skills!D15)))/100)*(1+((C1352=TRUE)*F1352*B1380)/100))*B1388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1354)</f>
        <v/>
      </c>
      <c r="L1354">
        <f>K1354*(MIN(Inputs!$B$22+((C1370=TRUE)*(F1370-Calc!F24)),(Inputs!$B$23+0+(IF(ArtifactsInput!$M$15,CHOOSE(ArtifactsInput!$N$15+1,25,30,35,40,45,50)/100*(Inputs!$B$11-Inputs!$B$11),0))))/100+(Inputs!$B$23+0+(IF(ArtifactsInput!$M$15,CHOOSE(ArtifactsInput!$N$15+1,25,30,35,40,45,50)/100*(Inputs!$B$11-Inputs!$B$11),0)))/100)/2</f>
        <v/>
      </c>
      <c r="M1354">
        <f>L1354*(1+(Inputs!$B$10+((C1372=TRUE)*(F1372-Calc!F26))+B1389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54">
        <f>L1354*(1-MIN((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1354*(MIN((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54">
        <f>(1-Summary!$B$11)*T1354+Summary!$B$11*V1354</f>
        <v/>
      </c>
      <c r="P1354">
        <f>IF(B1390=0,0,O1354/B1390)</f>
        <v/>
      </c>
      <c r="Q1354">
        <f>IFERROR(1/IF(Inputs!$B$39="pvp",15,MAX(0.1,Skills!D8-IF(Skills!E8=TRUE,Inputs!$B$32,0))),0)</f>
        <v/>
      </c>
      <c r="R1354">
        <f>IF(AND(Inputs!$B$39&lt;&gt;"pvp",Inputs!$B$44&gt;0),IF(MAX(0,Inputs!$B$44-B1391)&lt;=0,0,(INT(MAX(0,Inputs!$B$44-B1391)/IF(Inputs!$B$39="pvp",15,MAX(0.1,Skills!D8-IF(Skills!E8=TRUE,Inputs!$B$32,0))))+1)),0)</f>
        <v/>
      </c>
      <c r="S1354">
        <f>IFERROR(O1354/N1354,0)</f>
        <v/>
      </c>
      <c r="T1354">
        <f>IF(C1354,(H1354*N1354*IF(AND(Inputs!$B$39&lt;&gt;"pvp",Inputs!$B$44&gt;0),((Skills!G8*((R1354-1)*IF(Skills!H8&gt;0,Skills!I8/Skills!H8,1)+IF(Skills!H8&gt;0,MIN(Skills!I8,MAX(0,MAX(0,Inputs!$B$44-B1391)-((R1354-1)*IF(Inputs!$B$39="pvp",15,MAX(0.1,Skills!D8-IF(Skills!E8=TRUE,Inputs!$B$32,0))))))/Skills!H8,1)))/Inputs!$B$44),G1354*Q1354))*IF(Inputs!$B$39="pvp",1,1+(Inputs!$B$20+((C1373=TRUE)*(F1373-Calc!F27))+Skills!P8+B1387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Hunt"),CHOOSE(ArtifactsInput!$N$35+1,15,18,21,24,27,30)*(1-EXP(-(0.2*B1382)*5)),0)+IF(AND(ArtifactsInput!$M$22,Inputs!$B$4&lt;&gt;"Chapter Hunt"),CHOOSE(ArtifactsInput!$N$22+1,10,12,14,16,18,20)*((0*(((0.15*B1382*5))^0/1)+1*(((0.15*B1382*5))^1/1)+2*(((0.15*B1382*5))^2/2)+3*(((0.15*B1382*5))^3/6)+4*(((0.15*B1382*5))^4/24)+5*(((0.15*B1382*5))^5/120))/((((0.15*B1382*5))^0/1)+(((0.15*B1382*5))^1/1)+(((0.15*B1382*5))^2/2)+(((0.15*B1382*5))^3/6)+(((0.15*B1382*5))^4/24)+(((0.15*B1382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1354*(1-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1354*(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1354*(1-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1354*(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54">
        <f>IF(C1354,(H1354*N1354*IF(AND(Inputs!$B$39&lt;&gt;"pvp",Inputs!$B$44&gt;0),((Skills!G8*((R1354-1)*IF(Skills!H8&gt;0,Skills!I8/Skills!H8,1)+IF(Skills!H8&gt;0,MIN(Skills!I8,MAX(0,MAX(0,Inputs!$B$44-B1391)-((R1354-1)*IF(Inputs!$B$39="pvp",15,MAX(0.1,Skills!D8-IF(Skills!E8=TRUE,Inputs!$B$32,0))))))/Skills!H8,1)))/Inputs!$B$44),G1354*Q1354))*IF(Inputs!$B$39="pvp",1,(1+(Inputs!$B$21+Skills!Q8+B1387+(IF(ArtifactsInput!$M$33,CHOOSE(ArtifactsInput!$N$33+1,30,36,42,48,54,60),0))+(IF(AND(ArtifactsInput!$M$35,Inputs!$B$4&lt;&gt;"Chapter Hunt"),CHOOSE(ArtifactsInput!$N$35+1,15,18,21,24,27,30)*(1-EXP(-(0.2*B1382)*5)),0)+IF(AND(ArtifactsInput!$M$22,Inputs!$B$4&lt;&gt;"Chapter Hunt"),CHOOSE(ArtifactsInput!$N$22+1,10,12,14,16,18,20)*((0*(((0.15*B1382*5))^0/1)+1*(((0.15*B1382*5))^1/1)+2*(((0.15*B1382*5))^2/2)+3*(((0.15*B1382*5))^3/6)+4*(((0.15*B1382*5))^4/24)+5*(((0.15*B1382*5))^5/120))/((((0.15*B1382*5))^0/1)+(((0.15*B1382*5))^1/1)+(((0.15*B1382*5))^2/2)+(((0.15*B1382*5))^3/6)+(((0.15*B1382*5))^4/24)+(((0.15*B1382*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55">
      <c r="A1355">
        <f>Skills!A9</f>
        <v/>
      </c>
      <c r="B1355">
        <f>Skills!B9</f>
        <v/>
      </c>
      <c r="C1355">
        <f>Inputs!$B$3&gt;=72</f>
        <v/>
      </c>
      <c r="D1355">
        <f>IF(Skills!C9=1,60+Inputs!$B$25+Inputs!$B$29,IF(Skills!C9=2,90+Inputs!$B$26+Inputs!$B$29,IF(Skills!C9=3,120+Inputs!$B$27+Inputs!$B$29,MAX(0,(Inputs!$B$3-100)*3)+Inputs!$B$28+Inputs!$B$29)))</f>
        <v/>
      </c>
      <c r="E1355">
        <f>INDEX(FactorTable!$B$2:$Y$301, MATCH(ROUND(MIN(300,MAX(1,D1355)),0), FactorTable!$A$2:$A$301,0), Skills!M9+1)</f>
        <v/>
      </c>
      <c r="F1355">
        <f>IF(Skills!N9=TRUE,(Skills!L9/10)*(E1355/1000),Skills!L9/10)+Skills!O9</f>
        <v/>
      </c>
      <c r="G1355">
        <f>Calc!G9</f>
        <v/>
      </c>
      <c r="H1355">
        <f>Calc!H9</f>
        <v/>
      </c>
      <c r="I1355">
        <f>IF(Skills!AA9&lt;&gt;"",1+(Skills!AA9/10)*(U1349/1000)/100,1)</f>
        <v/>
      </c>
      <c r="J1355">
        <f>((Inputs!$B$6*(1+Inputs!$B$7/100))+(((Inputs!$B$12*(1+Inputs!$B$13/100))-(Inputs!$B$12*(1+Inputs!$B$13/100)))+0.25*(Inputs!$B$14-Inputs!$B$14))*(1+Inputs!$B$7/100))*(F1355/100)</f>
        <v/>
      </c>
      <c r="K1355">
        <f>J1355*(1+((Inputs!$B$12*(1+Inputs!$B$13/100))*0.01+Inputs!$B$14*0.0025)/100)*(1+Inputs!$B$15/100)*(1+Inputs!$B$16/100)*(5000/(6000+Inputs!$B$43*(1-(100*(1-(1-(Inputs!$B$19+0)/100)*(1-CHOOSE(ArtifactsInput!$N$40+1,5,6,7,8,9,10)/100)^(ArtifactsInput!$M$40-ArtifactsInput!$M$40)))/100)))*(1+(Inputs!$B$24+((C1376=TRUE)*(F1376-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1369=TRUE)*(F1369-Calc!F23))+(((IF(AND(ArtifactsInput!$M$42,((Inputs!$B$9+((C1371=TRUE)*(F1371-Calc!F25))+B1386+(ArtifactsInput!$M$24-ArtifactsInput!$M$24)*CHOOSE(ArtifactsInput!$N$24+1,10,12,14,16,18,20)+IF(ArtifactsInput!$M$10,CHOOSE(ArtifactsInput!$N$10+1,15,18,21,24,27,30)*(IF(Inputs!$B$39="pvp",MIN(15,15)/15,IF(AND(Inputs!$B$39&lt;&gt;"pvp",Inputs!$B$44&gt;0),MIN(15,Inputs!$B$44)/(Inputs!$B$44),0))),0)))&gt;=100),MIN(100,((Inputs!$B$9+((C1371=TRUE)*(F1371-Calc!F25))+B1386+(ArtifactsInput!$M$24-ArtifactsInput!$M$24)*CHOOSE(ArtifactsInput!$N$24+1,10,12,14,16,18,20)+IF(ArtifactsInput!$M$10,CHOOSE(ArtifactsInput!$N$10+1,15,18,21,24,27,30)*(IF(Inputs!$B$39="pvp",MIN(15,15)/15,IF(AND(Inputs!$B$39&lt;&gt;"pvp",Inputs!$B$44&gt;0),MIN(15,Inputs!$B$44)/(Inputs!$B$44),0))),0)))-100),0))*CHOOSE(ArtifactsInput!$N$42+1,0.6,0.72,0.84,0.96,1.08,1.2))),Inputs!$B$18+((C1375=TRUE)*(F1375-Calc!F29))+(IF(AND(ArtifactsInput!$M$42,((Inputs!$B$9+((C1371=TRUE)*(F1371-Calc!F25))+B1386+(ArtifactsInput!$M$24-ArtifactsInput!$M$24)*CHOOSE(ArtifactsInput!$N$24+1,10,12,14,16,18,20)+IF(ArtifactsInput!$M$10,CHOOSE(ArtifactsInput!$N$10+1,15,18,21,24,27,30)*(IF(Inputs!$B$39="pvp",MIN(15,15)/15,IF(AND(Inputs!$B$39&lt;&gt;"pvp",Inputs!$B$44&gt;0),MIN(15,Inputs!$B$44)/(Inputs!$B$44),0))),0)))&gt;=100),CHOOSE(ArtifactsInput!$N$42+1,40,48,56,64,72,80),0))))/100)*(((1+(((C1367=TRUE)*F1367*IF(AND(Inputs!$B$39&lt;&gt;"pvp",Inputs!$B$44&gt;0),(((R1367-1)*(Skills!Y21*(1+Inputs!$B$34/100))+MIN((Skills!Y21*(1+Inputs!$B$34/100)),MAX(0,Inputs!$B$44-((R1367-1)*Skills!D21))))/Inputs!$B$44),IF(Inputs!$B$39="pvp",MIN((Skills!Y21*(1+Inputs!$B$34/100)),15)/15,(Skills!Y21*(1+Inputs!$B$34/100))/Skills!D21)))+((C1374=TRUE)*(F1374-Calc!F28))+((C1364=TRUE)*(F1364-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1361=TRUE)*F1361*IF(AND(Inputs!$B$39&lt;&gt;"pvp",Inputs!$B$44&gt;0),(((R1361-1)*(Skills!Y15*(1+Inputs!$B$34/100))+MIN((Skills!Y15*(1+Inputs!$B$34/100)),MAX(0,Inputs!$B$44-((R1361-1)*Skills!D15))))/Inputs!$B$44),IF(Inputs!$B$39="pvp",MIN((Skills!Y15*(1+Inputs!$B$34/100)),15)/15,(Skills!Y15*(1+Inputs!$B$34/100))/Skills!D15)))/100)*(1+((C1352=TRUE)*F1352*B1380)/100))*B1388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1355)</f>
        <v/>
      </c>
      <c r="L1355">
        <f>K1355*(MIN(Inputs!$B$22+((C1370=TRUE)*(F1370-Calc!F24)),(Inputs!$B$23+0+(IF(ArtifactsInput!$M$15,CHOOSE(ArtifactsInput!$N$15+1,25,30,35,40,45,50)/100*(Inputs!$B$11-Inputs!$B$11),0))))/100+(Inputs!$B$23+0+(IF(ArtifactsInput!$M$15,CHOOSE(ArtifactsInput!$N$15+1,25,30,35,40,45,50)/100*(Inputs!$B$11-Inputs!$B$11),0)))/100)/2</f>
        <v/>
      </c>
      <c r="M1355">
        <f>L1355*(1+(Inputs!$B$10+((C1372=TRUE)*(F1372-Calc!F26))+B1389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55">
        <f>L1355*(1-MIN((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1355*(MIN((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55">
        <f>(1-Summary!$B$11)*T1355+Summary!$B$11*V1355</f>
        <v/>
      </c>
      <c r="P1355">
        <f>IF(B1390=0,0,O1355/B1390)</f>
        <v/>
      </c>
      <c r="Q1355">
        <f>IFERROR(1/IF(Inputs!$B$39="pvp",15,MAX(0.1,Skills!D9-IF(Skills!E9=TRUE,Inputs!$B$32,0))),0)</f>
        <v/>
      </c>
      <c r="R1355">
        <f>IF(AND(Inputs!$B$39&lt;&gt;"pvp",Inputs!$B$44&gt;0),IF(MAX(0,Inputs!$B$44-B1391)&lt;=0,0,(INT(MAX(0,Inputs!$B$44-B1391)/IF(Inputs!$B$39="pvp",15,MAX(0.1,Skills!D9-IF(Skills!E9=TRUE,Inputs!$B$32,0))))+1)),0)</f>
        <v/>
      </c>
      <c r="S1355">
        <f>IFERROR(O1355/N1355,0)</f>
        <v/>
      </c>
      <c r="T1355">
        <f>IF(C1355,(H1355*N1355*IF(AND(Inputs!$B$39&lt;&gt;"pvp",Inputs!$B$44&gt;0),((Skills!G9*((R1355-1)*IF(Skills!H9&gt;0,Skills!I9/Skills!H9,1)+IF(Skills!H9&gt;0,MIN(Skills!I9,MAX(0,MAX(0,Inputs!$B$44-B1391)-((R1355-1)*IF(Inputs!$B$39="pvp",15,MAX(0.1,Skills!D9-IF(Skills!E9=TRUE,Inputs!$B$32,0))))))/Skills!H9,1)))/Inputs!$B$44),G1355*Q1355))*IF(Inputs!$B$39="pvp",1,1+(Inputs!$B$20+((C1373=TRUE)*(F1373-Calc!F27))+Skills!P9+B1387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Hunt"),CHOOSE(ArtifactsInput!$N$35+1,15,18,21,24,27,30)*(1-EXP(-(0.2*B1382)*5)),0)+IF(AND(ArtifactsInput!$M$22,Inputs!$B$4&lt;&gt;"Chapter Hunt"),CHOOSE(ArtifactsInput!$N$22+1,10,12,14,16,18,20)*((0*(((0.15*B1382*5))^0/1)+1*(((0.15*B1382*5))^1/1)+2*(((0.15*B1382*5))^2/2)+3*(((0.15*B1382*5))^3/6)+4*(((0.15*B1382*5))^4/24)+5*(((0.15*B1382*5))^5/120))/((((0.15*B1382*5))^0/1)+(((0.15*B1382*5))^1/1)+(((0.15*B1382*5))^2/2)+(((0.15*B1382*5))^3/6)+(((0.15*B1382*5))^4/24)+(((0.15*B1382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1355*(1-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1355*(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1355*(1-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1355*(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55">
        <f>IF(C1355,(H1355*N1355*IF(AND(Inputs!$B$39&lt;&gt;"pvp",Inputs!$B$44&gt;0),((Skills!G9*((R1355-1)*IF(Skills!H9&gt;0,Skills!I9/Skills!H9,1)+IF(Skills!H9&gt;0,MIN(Skills!I9,MAX(0,MAX(0,Inputs!$B$44-B1391)-((R1355-1)*IF(Inputs!$B$39="pvp",15,MAX(0.1,Skills!D9-IF(Skills!E9=TRUE,Inputs!$B$32,0))))))/Skills!H9,1)))/Inputs!$B$44),G1355*Q1355))*IF(Inputs!$B$39="pvp",1,(1+(Inputs!$B$21+Skills!Q9+B1387+(IF(ArtifactsInput!$M$33,CHOOSE(ArtifactsInput!$N$33+1,30,36,42,48,54,60),0))+(IF(AND(ArtifactsInput!$M$35,Inputs!$B$4&lt;&gt;"Chapter Hunt"),CHOOSE(ArtifactsInput!$N$35+1,15,18,21,24,27,30)*(1-EXP(-(0.2*B1382)*5)),0)+IF(AND(ArtifactsInput!$M$22,Inputs!$B$4&lt;&gt;"Chapter Hunt"),CHOOSE(ArtifactsInput!$N$22+1,10,12,14,16,18,20)*((0*(((0.15*B1382*5))^0/1)+1*(((0.15*B1382*5))^1/1)+2*(((0.15*B1382*5))^2/2)+3*(((0.15*B1382*5))^3/6)+4*(((0.15*B1382*5))^4/24)+5*(((0.15*B1382*5))^5/120))/((((0.15*B1382*5))^0/1)+(((0.15*B1382*5))^1/1)+(((0.15*B1382*5))^2/2)+(((0.15*B1382*5))^3/6)+(((0.15*B1382*5))^4/24)+(((0.15*B1382*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56">
      <c r="A1356">
        <f>Skills!A10</f>
        <v/>
      </c>
      <c r="B1356">
        <f>Skills!B10</f>
        <v/>
      </c>
      <c r="C1356">
        <f>Inputs!$B$3&gt;=117</f>
        <v/>
      </c>
      <c r="D1356">
        <f>IF(Skills!C10=1,60+Inputs!$B$25+Inputs!$B$29,IF(Skills!C10=2,90+Inputs!$B$26+Inputs!$B$29,IF(Skills!C10=3,120+Inputs!$B$27+Inputs!$B$29,MAX(0,(Inputs!$B$3-100)*3)+Inputs!$B$28+Inputs!$B$29)))</f>
        <v/>
      </c>
      <c r="E1356">
        <f>INDEX(FactorTable!$B$2:$Y$301, MATCH(ROUND(MIN(300,MAX(1,D1356)),0), FactorTable!$A$2:$A$301,0), Skills!M10+1)</f>
        <v/>
      </c>
      <c r="F1356">
        <f>IF(Skills!N10=TRUE,(Skills!L10/10)*(E1356/1000),Skills!L10/10)+Skills!O10</f>
        <v/>
      </c>
      <c r="G1356">
        <f>Calc!G10</f>
        <v/>
      </c>
      <c r="H1356">
        <f>Calc!H10</f>
        <v/>
      </c>
      <c r="I1356">
        <f>IF(Skills!AA10&lt;&gt;"",1+(Skills!AA10/10)*(U1349/1000)/100,1)</f>
        <v/>
      </c>
      <c r="J1356">
        <f>((Inputs!$B$6*(1+Inputs!$B$7/100))+(((Inputs!$B$12*(1+Inputs!$B$13/100))-(Inputs!$B$12*(1+Inputs!$B$13/100)))+0.25*(Inputs!$B$14-Inputs!$B$14))*(1+Inputs!$B$7/100))*(F1356/100)</f>
        <v/>
      </c>
      <c r="K1356">
        <f>J1356*(1+((Inputs!$B$12*(1+Inputs!$B$13/100))*0.01+Inputs!$B$14*0.0025)/100)*(1+Inputs!$B$15/100)*(1+Inputs!$B$16/100)*(5000/(6000+Inputs!$B$43*(1-(100*(1-(1-(Inputs!$B$19+0)/100)*(1-CHOOSE(ArtifactsInput!$N$40+1,5,6,7,8,9,10)/100)^(ArtifactsInput!$M$40-ArtifactsInput!$M$40)))/100)))*(1+(Inputs!$B$24+((C1376=TRUE)*(F1376-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1369=TRUE)*(F1369-Calc!F23))+(((IF(AND(ArtifactsInput!$M$42,((Inputs!$B$9+((C1371=TRUE)*(F1371-Calc!F25))+B1386+(ArtifactsInput!$M$24-ArtifactsInput!$M$24)*CHOOSE(ArtifactsInput!$N$24+1,10,12,14,16,18,20)+IF(ArtifactsInput!$M$10,CHOOSE(ArtifactsInput!$N$10+1,15,18,21,24,27,30)*(IF(Inputs!$B$39="pvp",MIN(15,15)/15,IF(AND(Inputs!$B$39&lt;&gt;"pvp",Inputs!$B$44&gt;0),MIN(15,Inputs!$B$44)/(Inputs!$B$44),0))),0)))&gt;=100),MIN(100,((Inputs!$B$9+((C1371=TRUE)*(F1371-Calc!F25))+B1386+(ArtifactsInput!$M$24-ArtifactsInput!$M$24)*CHOOSE(ArtifactsInput!$N$24+1,10,12,14,16,18,20)+IF(ArtifactsInput!$M$10,CHOOSE(ArtifactsInput!$N$10+1,15,18,21,24,27,30)*(IF(Inputs!$B$39="pvp",MIN(15,15)/15,IF(AND(Inputs!$B$39&lt;&gt;"pvp",Inputs!$B$44&gt;0),MIN(15,Inputs!$B$44)/(Inputs!$B$44),0))),0)))-100),0))*CHOOSE(ArtifactsInput!$N$42+1,0.6,0.72,0.84,0.96,1.08,1.2))),Inputs!$B$18+((C1375=TRUE)*(F1375-Calc!F29))+(IF(AND(ArtifactsInput!$M$42,((Inputs!$B$9+((C1371=TRUE)*(F1371-Calc!F25))+B1386+(ArtifactsInput!$M$24-ArtifactsInput!$M$24)*CHOOSE(ArtifactsInput!$N$24+1,10,12,14,16,18,20)+IF(ArtifactsInput!$M$10,CHOOSE(ArtifactsInput!$N$10+1,15,18,21,24,27,30)*(IF(Inputs!$B$39="pvp",MIN(15,15)/15,IF(AND(Inputs!$B$39&lt;&gt;"pvp",Inputs!$B$44&gt;0),MIN(15,Inputs!$B$44)/(Inputs!$B$44),0))),0)))&gt;=100),CHOOSE(ArtifactsInput!$N$42+1,40,48,56,64,72,80),0))))/100)*(((1+(((C1367=TRUE)*F1367*IF(AND(Inputs!$B$39&lt;&gt;"pvp",Inputs!$B$44&gt;0),(((R1367-1)*(Skills!Y21*(1+Inputs!$B$34/100))+MIN((Skills!Y21*(1+Inputs!$B$34/100)),MAX(0,Inputs!$B$44-((R1367-1)*Skills!D21))))/Inputs!$B$44),IF(Inputs!$B$39="pvp",MIN((Skills!Y21*(1+Inputs!$B$34/100)),15)/15,(Skills!Y21*(1+Inputs!$B$34/100))/Skills!D21)))+((C1374=TRUE)*(F1374-Calc!F28))+((C1364=TRUE)*(F1364-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1361=TRUE)*F1361*IF(AND(Inputs!$B$39&lt;&gt;"pvp",Inputs!$B$44&gt;0),(((R1361-1)*(Skills!Y15*(1+Inputs!$B$34/100))+MIN((Skills!Y15*(1+Inputs!$B$34/100)),MAX(0,Inputs!$B$44-((R1361-1)*Skills!D15))))/Inputs!$B$44),IF(Inputs!$B$39="pvp",MIN((Skills!Y15*(1+Inputs!$B$34/100)),15)/15,(Skills!Y15*(1+Inputs!$B$34/100))/Skills!D15)))/100)*(1+((C1352=TRUE)*F1352*B1380)/100))*B1388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1356)</f>
        <v/>
      </c>
      <c r="L1356">
        <f>K1356*(MIN(Inputs!$B$22+((C1370=TRUE)*(F1370-Calc!F24)),(Inputs!$B$23+0+(IF(ArtifactsInput!$M$15,CHOOSE(ArtifactsInput!$N$15+1,25,30,35,40,45,50)/100*(Inputs!$B$11-Inputs!$B$11),0))))/100+(Inputs!$B$23+0+(IF(ArtifactsInput!$M$15,CHOOSE(ArtifactsInput!$N$15+1,25,30,35,40,45,50)/100*(Inputs!$B$11-Inputs!$B$11),0)))/100)/2</f>
        <v/>
      </c>
      <c r="M1356">
        <f>L1356*(1+(Inputs!$B$10+((C1372=TRUE)*(F1372-Calc!F26))+B1389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56">
        <f>L1356*(1-MIN((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1356*(MIN((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56">
        <f>(1-Summary!$B$11)*T1356+Summary!$B$11*V1356</f>
        <v/>
      </c>
      <c r="P1356">
        <f>IF(B1390=0,0,O1356/B1390)</f>
        <v/>
      </c>
      <c r="Q1356" t="n">
        <v>0</v>
      </c>
      <c r="R1356" t="n">
        <v>0</v>
      </c>
      <c r="S1356" t="n">
        <v>0</v>
      </c>
      <c r="T1356">
        <f>IF(C1356,(0.2*SUMPRODUCT((Skills!Z2:Z31=TRUE)*(C1348:C1377=TRUE)*S1348:S1377)*N1356)*IF(Inputs!$B$39="pvp",1,1+(Inputs!$B$20+((C1373=TRUE)*(F1373-Calc!F27))+Skills!P10+B1387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Hunt"),CHOOSE(ArtifactsInput!$N$35+1,15,18,21,24,27,30)*(1-EXP(-(0.2*B1382)*5)),0)+IF(AND(ArtifactsInput!$M$22,Inputs!$B$4&lt;&gt;"Chapter Hunt"),CHOOSE(ArtifactsInput!$N$22+1,10,12,14,16,18,20)*((0*(((0.15*B1382*5))^0/1)+1*(((0.15*B1382*5))^1/1)+2*(((0.15*B1382*5))^2/2)+3*(((0.15*B1382*5))^3/6)+4*(((0.15*B1382*5))^4/24)+5*(((0.15*B1382*5))^5/120))/((((0.15*B1382*5))^0/1)+(((0.15*B1382*5))^1/1)+(((0.15*B1382*5))^2/2)+(((0.15*B1382*5))^3/6)+(((0.15*B1382*5))^4/24)+(((0.15*B1382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1356*(1-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1356*(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1356*(1-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1356*(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56">
        <f>IF(C1356,(0.2*SUMPRODUCT((Skills!Z2:Z31=TRUE)*(C1348:C1377=TRUE)*S1348:S1377)*N1356)*IF(Inputs!$B$39="pvp",1,(1+(Inputs!$B$21+Skills!Q10+B1387+(IF(ArtifactsInput!$M$33,CHOOSE(ArtifactsInput!$N$33+1,30,36,42,48,54,60),0))+(IF(AND(ArtifactsInput!$M$35,Inputs!$B$4&lt;&gt;"Chapter Hunt"),CHOOSE(ArtifactsInput!$N$35+1,15,18,21,24,27,30)*(1-EXP(-(0.2*B1382)*5)),0)+IF(AND(ArtifactsInput!$M$22,Inputs!$B$4&lt;&gt;"Chapter Hunt"),CHOOSE(ArtifactsInput!$N$22+1,10,12,14,16,18,20)*((0*(((0.15*B1382*5))^0/1)+1*(((0.15*B1382*5))^1/1)+2*(((0.15*B1382*5))^2/2)+3*(((0.15*B1382*5))^3/6)+4*(((0.15*B1382*5))^4/24)+5*(((0.15*B1382*5))^5/120))/((((0.15*B1382*5))^0/1)+(((0.15*B1382*5))^1/1)+(((0.15*B1382*5))^2/2)+(((0.15*B1382*5))^3/6)+(((0.15*B1382*5))^4/24)+(((0.15*B1382*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57">
      <c r="A1357">
        <f>Skills!A11</f>
        <v/>
      </c>
      <c r="B1357">
        <f>Skills!B11</f>
        <v/>
      </c>
      <c r="C1357">
        <f>Inputs!$B$3&gt;=60</f>
        <v/>
      </c>
      <c r="D1357">
        <f>IF(Skills!C11=1,60+Inputs!$B$25+Inputs!$B$29,IF(Skills!C11=2,90+Inputs!$B$26+Inputs!$B$29,IF(Skills!C11=3,120+Inputs!$B$27+Inputs!$B$29,MAX(0,(Inputs!$B$3-100)*3)+Inputs!$B$28+Inputs!$B$29)))</f>
        <v/>
      </c>
      <c r="E1357">
        <f>INDEX(FactorTable!$B$2:$Y$301, MATCH(ROUND(MIN(300,MAX(1,D1357)),0), FactorTable!$A$2:$A$301,0), Skills!M11+1)</f>
        <v/>
      </c>
      <c r="F1357">
        <f>IF(Skills!N11=TRUE,(Skills!L11/10)*(E1357/1000),Skills!L11/10)+Skills!O11</f>
        <v/>
      </c>
      <c r="G1357">
        <f>Calc!G11</f>
        <v/>
      </c>
      <c r="H1357">
        <f>Calc!H11</f>
        <v/>
      </c>
      <c r="I1357">
        <f>IF(Skills!AA11&lt;&gt;"",1+(Skills!AA11/10)*(U1349/1000)/100,1)</f>
        <v/>
      </c>
      <c r="J1357" t="inlineStr"/>
      <c r="K1357" t="inlineStr"/>
      <c r="L1357" t="inlineStr"/>
      <c r="M1357" t="inlineStr"/>
      <c r="N1357" t="inlineStr"/>
      <c r="O1357">
        <f>(1-Summary!$B$11)*T1357+Summary!$B$11*V1357</f>
        <v/>
      </c>
      <c r="P1357">
        <f>IF(B1390=0,0,O1357/B1390)</f>
        <v/>
      </c>
      <c r="Q1357" t="n">
        <v>0</v>
      </c>
      <c r="R1357" t="n">
        <v>0</v>
      </c>
      <c r="S1357">
        <f>IFERROR(O1357/N1357,0)</f>
        <v/>
      </c>
      <c r="T1357" t="n">
        <v>0</v>
      </c>
      <c r="V1357" t="n">
        <v>0</v>
      </c>
    </row>
    <row r="1358">
      <c r="A1358">
        <f>Skills!A12</f>
        <v/>
      </c>
      <c r="B1358">
        <f>Skills!B12</f>
        <v/>
      </c>
      <c r="C1358">
        <f>Inputs!$B$3&gt;=103</f>
        <v/>
      </c>
      <c r="D1358">
        <f>IF(Skills!C12=1,60+Inputs!$B$25+Inputs!$B$29,IF(Skills!C12=2,90+Inputs!$B$26+Inputs!$B$29,IF(Skills!C12=3,120+Inputs!$B$27+Inputs!$B$29,MAX(0,(Inputs!$B$3-100)*3)+Inputs!$B$28+Inputs!$B$29)))</f>
        <v/>
      </c>
      <c r="E1358">
        <f>INDEX(FactorTable!$B$2:$Y$301, MATCH(ROUND(MIN(300,MAX(1,D1358)),0), FactorTable!$A$2:$A$301,0), Skills!M12+1)</f>
        <v/>
      </c>
      <c r="F1358">
        <f>IF(Skills!N12=TRUE,(Skills!L12/10)*(E1358/1000),Skills!L12/10)+Skills!O12</f>
        <v/>
      </c>
      <c r="G1358">
        <f>Calc!G12</f>
        <v/>
      </c>
      <c r="H1358">
        <f>Calc!H12</f>
        <v/>
      </c>
      <c r="I1358">
        <f>IF(Skills!AA12&lt;&gt;"",1+(Skills!AA12/10)*(U1349/1000)/100,1)</f>
        <v/>
      </c>
      <c r="J1358">
        <f>((Inputs!$B$6*(1+Inputs!$B$7/100))+(((Inputs!$B$12*(1+Inputs!$B$13/100))-(Inputs!$B$12*(1+Inputs!$B$13/100)))+0.25*(Inputs!$B$14-Inputs!$B$14))*(1+Inputs!$B$7/100))*(F1358/100)</f>
        <v/>
      </c>
      <c r="K1358">
        <f>J1358*(1+((Inputs!$B$12*(1+Inputs!$B$13/100))*0.01+Inputs!$B$14*0.0025)/100)*(1+Inputs!$B$15/100)*(1+Inputs!$B$16/100)*(5000/(6000+Inputs!$B$43*(1-(100*(1-(1-(Inputs!$B$19+0)/100)*(1-CHOOSE(ArtifactsInput!$N$40+1,5,6,7,8,9,10)/100)^(ArtifactsInput!$M$40-ArtifactsInput!$M$40)))/100)))*(1+(Inputs!$B$24+((C1376=TRUE)*(F1376-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1369=TRUE)*(F1369-Calc!F23))+(((IF(AND(ArtifactsInput!$M$42,((Inputs!$B$9+((C1371=TRUE)*(F1371-Calc!F25))+B1386+(ArtifactsInput!$M$24-ArtifactsInput!$M$24)*CHOOSE(ArtifactsInput!$N$24+1,10,12,14,16,18,20)+IF(ArtifactsInput!$M$10,CHOOSE(ArtifactsInput!$N$10+1,15,18,21,24,27,30)*(IF(Inputs!$B$39="pvp",MIN(15,15)/15,IF(AND(Inputs!$B$39&lt;&gt;"pvp",Inputs!$B$44&gt;0),MIN(15,Inputs!$B$44)/(Inputs!$B$44),0))),0)))&gt;=100),MIN(100,((Inputs!$B$9+((C1371=TRUE)*(F1371-Calc!F25))+B1386+(ArtifactsInput!$M$24-ArtifactsInput!$M$24)*CHOOSE(ArtifactsInput!$N$24+1,10,12,14,16,18,20)+IF(ArtifactsInput!$M$10,CHOOSE(ArtifactsInput!$N$10+1,15,18,21,24,27,30)*(IF(Inputs!$B$39="pvp",MIN(15,15)/15,IF(AND(Inputs!$B$39&lt;&gt;"pvp",Inputs!$B$44&gt;0),MIN(15,Inputs!$B$44)/(Inputs!$B$44),0))),0)))-100),0))*CHOOSE(ArtifactsInput!$N$42+1,0.6,0.72,0.84,0.96,1.08,1.2))),Inputs!$B$18+((C1375=TRUE)*(F1375-Calc!F29))+(IF(AND(ArtifactsInput!$M$42,((Inputs!$B$9+((C1371=TRUE)*(F1371-Calc!F25))+B1386+(ArtifactsInput!$M$24-ArtifactsInput!$M$24)*CHOOSE(ArtifactsInput!$N$24+1,10,12,14,16,18,20)+IF(ArtifactsInput!$M$10,CHOOSE(ArtifactsInput!$N$10+1,15,18,21,24,27,30)*(IF(Inputs!$B$39="pvp",MIN(15,15)/15,IF(AND(Inputs!$B$39&lt;&gt;"pvp",Inputs!$B$44&gt;0),MIN(15,Inputs!$B$44)/(Inputs!$B$44),0))),0)))&gt;=100),CHOOSE(ArtifactsInput!$N$42+1,40,48,56,64,72,80),0))))/100)*(((1+(((C1367=TRUE)*F1367*IF(AND(Inputs!$B$39&lt;&gt;"pvp",Inputs!$B$44&gt;0),(((R1367-1)*(Skills!Y21*(1+Inputs!$B$34/100))+MIN((Skills!Y21*(1+Inputs!$B$34/100)),MAX(0,Inputs!$B$44-((R1367-1)*Skills!D21))))/Inputs!$B$44),IF(Inputs!$B$39="pvp",MIN((Skills!Y21*(1+Inputs!$B$34/100)),15)/15,(Skills!Y21*(1+Inputs!$B$34/100))/Skills!D21)))+((C1374=TRUE)*(F1374-Calc!F28))+((C1364=TRUE)*(F1364-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1361=TRUE)*F1361*IF(AND(Inputs!$B$39&lt;&gt;"pvp",Inputs!$B$44&gt;0),(((R1361-1)*(Skills!Y15*(1+Inputs!$B$34/100))+MIN((Skills!Y15*(1+Inputs!$B$34/100)),MAX(0,Inputs!$B$44-((R1361-1)*Skills!D15))))/Inputs!$B$44),IF(Inputs!$B$39="pvp",MIN((Skills!Y15*(1+Inputs!$B$34/100)),15)/15,(Skills!Y15*(1+Inputs!$B$34/100))/Skills!D15)))/100)*(1+((C1352=TRUE)*F1352*B1380)/100))*B1388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1358)</f>
        <v/>
      </c>
      <c r="L1358">
        <f>K1358*(MIN(Inputs!$B$22+((C1370=TRUE)*(F1370-Calc!F24)),(Inputs!$B$23+0+(IF(ArtifactsInput!$M$15,CHOOSE(ArtifactsInput!$N$15+1,25,30,35,40,45,50)/100*(Inputs!$B$11-Inputs!$B$11),0))))/100+(Inputs!$B$23+0+(IF(ArtifactsInput!$M$15,CHOOSE(ArtifactsInput!$N$15+1,25,30,35,40,45,50)/100*(Inputs!$B$11-Inputs!$B$11),0)))/100)/2</f>
        <v/>
      </c>
      <c r="M1358">
        <f>L1358*(1+(Inputs!$B$10+((C1372=TRUE)*(F1372-Calc!F26))+B1389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58">
        <f>L1358*(1-MIN((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1358*(MIN((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58">
        <f>(1-Summary!$B$11)*T1358+Summary!$B$11*V1358</f>
        <v/>
      </c>
      <c r="P1358">
        <f>IF(B1390=0,0,O1358/B1390)</f>
        <v/>
      </c>
      <c r="Q1358">
        <f>IFERROR(1/IF(Inputs!$B$39="pvp",15,MAX(0.1,Skills!D12-IF(Skills!E12=TRUE,Inputs!$B$32,0))),0)</f>
        <v/>
      </c>
      <c r="R1358">
        <f>IF(AND(Inputs!$B$39&lt;&gt;"pvp",Inputs!$B$44&gt;0),IF(MAX(0,Inputs!$B$44-B1391)&lt;=0,0,(INT(MAX(0,Inputs!$B$44-B1391)/IF(Inputs!$B$39="pvp",15,MAX(0.1,Skills!D12-IF(Skills!E12=TRUE,Inputs!$B$32,0))))+1)),0)</f>
        <v/>
      </c>
      <c r="S1358">
        <f>IFERROR(O1358/N1358,0)</f>
        <v/>
      </c>
      <c r="T1358">
        <f>IF(C1358,(H1358*N1358*IF(AND(Inputs!$B$39&lt;&gt;"pvp",Inputs!$B$44&gt;0),((Skills!G12*((R1358-1)*IF(Skills!H12&gt;0,Skills!I12/Skills!H12,1)+IF(Skills!H12&gt;0,MIN(Skills!I12,MAX(0,MAX(0,Inputs!$B$44-B1391)-((R1358-1)*IF(Inputs!$B$39="pvp",15,MAX(0.1,Skills!D12-IF(Skills!E12=TRUE,Inputs!$B$32,0))))))/Skills!H12,1)))/Inputs!$B$44),G1358*Q1358))*IF(Inputs!$B$39="pvp",1,1+(Inputs!$B$20+((C1373=TRUE)*(F1373-Calc!F27))+Skills!P12+B1387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Hunt"),CHOOSE(ArtifactsInput!$N$35+1,15,18,21,24,27,30)*(1-EXP(-(0.2*B1382)*5)),0)+IF(AND(ArtifactsInput!$M$22,Inputs!$B$4&lt;&gt;"Chapter Hunt"),CHOOSE(ArtifactsInput!$N$22+1,10,12,14,16,18,20)*((0*(((0.15*B1382*5))^0/1)+1*(((0.15*B1382*5))^1/1)+2*(((0.15*B1382*5))^2/2)+3*(((0.15*B1382*5))^3/6)+4*(((0.15*B1382*5))^4/24)+5*(((0.15*B1382*5))^5/120))/((((0.15*B1382*5))^0/1)+(((0.15*B1382*5))^1/1)+(((0.15*B1382*5))^2/2)+(((0.15*B1382*5))^3/6)+(((0.15*B1382*5))^4/24)+(((0.15*B1382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1358*(1-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1358*(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1358*(1-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1358*(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58">
        <f>IF(C1358,(H1358*N1358*IF(AND(Inputs!$B$39&lt;&gt;"pvp",Inputs!$B$44&gt;0),((Skills!G12*((R1358-1)*IF(Skills!H12&gt;0,Skills!I12/Skills!H12,1)+IF(Skills!H12&gt;0,MIN(Skills!I12,MAX(0,MAX(0,Inputs!$B$44-B1391)-((R1358-1)*IF(Inputs!$B$39="pvp",15,MAX(0.1,Skills!D12-IF(Skills!E12=TRUE,Inputs!$B$32,0))))))/Skills!H12,1)))/Inputs!$B$44),G1358*Q1358))*IF(Inputs!$B$39="pvp",1,(1+(Inputs!$B$21+Skills!Q12+B1387+(IF(ArtifactsInput!$M$33,CHOOSE(ArtifactsInput!$N$33+1,30,36,42,48,54,60),0))+(IF(AND(ArtifactsInput!$M$35,Inputs!$B$4&lt;&gt;"Chapter Hunt"),CHOOSE(ArtifactsInput!$N$35+1,15,18,21,24,27,30)*(1-EXP(-(0.2*B1382)*5)),0)+IF(AND(ArtifactsInput!$M$22,Inputs!$B$4&lt;&gt;"Chapter Hunt"),CHOOSE(ArtifactsInput!$N$22+1,10,12,14,16,18,20)*((0*(((0.15*B1382*5))^0/1)+1*(((0.15*B1382*5))^1/1)+2*(((0.15*B1382*5))^2/2)+3*(((0.15*B1382*5))^3/6)+4*(((0.15*B1382*5))^4/24)+5*(((0.15*B1382*5))^5/120))/((((0.15*B1382*5))^0/1)+(((0.15*B1382*5))^1/1)+(((0.15*B1382*5))^2/2)+(((0.15*B1382*5))^3/6)+(((0.15*B1382*5))^4/24)+(((0.15*B1382*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59">
      <c r="A1359">
        <f>Skills!A13</f>
        <v/>
      </c>
      <c r="B1359">
        <f>Skills!B13</f>
        <v/>
      </c>
      <c r="C1359">
        <f>Inputs!$B$3&gt;=105</f>
        <v/>
      </c>
      <c r="D1359">
        <f>IF(Skills!C13=1,60+Inputs!$B$25+Inputs!$B$29,IF(Skills!C13=2,90+Inputs!$B$26+Inputs!$B$29,IF(Skills!C13=3,120+Inputs!$B$27+Inputs!$B$29,MAX(0,(Inputs!$B$3-100)*3)+Inputs!$B$28+Inputs!$B$29)))</f>
        <v/>
      </c>
      <c r="E1359">
        <f>INDEX(FactorTable!$B$2:$Y$301, MATCH(ROUND(MIN(300,MAX(1,D1359)),0), FactorTable!$A$2:$A$301,0), Skills!M13+1)</f>
        <v/>
      </c>
      <c r="F1359">
        <f>IF(Skills!N13=TRUE,(Skills!L13/10)*(E1359/1000),Skills!L13/10)+Skills!O13</f>
        <v/>
      </c>
      <c r="G1359">
        <f>Calc!G13</f>
        <v/>
      </c>
      <c r="H1359">
        <f>Calc!H13</f>
        <v/>
      </c>
      <c r="I1359">
        <f>IF(Skills!AA13&lt;&gt;"",1+(Skills!AA13/10)*(U1349/1000)/100,1)</f>
        <v/>
      </c>
      <c r="J1359">
        <f>((Inputs!$B$6*(1+Inputs!$B$7/100))+(((Inputs!$B$12*(1+Inputs!$B$13/100))-(Inputs!$B$12*(1+Inputs!$B$13/100)))+0.25*(Inputs!$B$14-Inputs!$B$14))*(1+Inputs!$B$7/100))*(F1359/100)</f>
        <v/>
      </c>
      <c r="K1359">
        <f>J1359*(1+((Inputs!$B$12*(1+Inputs!$B$13/100))*0.01+Inputs!$B$14*0.0025)/100)*(1+Inputs!$B$15/100)*(1+Inputs!$B$16/100)*(5000/(6000+Inputs!$B$43*(1-(100*(1-(1-(Inputs!$B$19+0)/100)*(1-CHOOSE(ArtifactsInput!$N$40+1,5,6,7,8,9,10)/100)^(ArtifactsInput!$M$40-ArtifactsInput!$M$40)))/100)))*(1+(Inputs!$B$24+((C1376=TRUE)*(F1376-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1369=TRUE)*(F1369-Calc!F23))+(((IF(AND(ArtifactsInput!$M$42,((Inputs!$B$9+((C1371=TRUE)*(F1371-Calc!F25))+B1386+(ArtifactsInput!$M$24-ArtifactsInput!$M$24)*CHOOSE(ArtifactsInput!$N$24+1,10,12,14,16,18,20)+IF(ArtifactsInput!$M$10,CHOOSE(ArtifactsInput!$N$10+1,15,18,21,24,27,30)*(IF(Inputs!$B$39="pvp",MIN(15,15)/15,IF(AND(Inputs!$B$39&lt;&gt;"pvp",Inputs!$B$44&gt;0),MIN(15,Inputs!$B$44)/(Inputs!$B$44),0))),0)))&gt;=100),MIN(100,((Inputs!$B$9+((C1371=TRUE)*(F1371-Calc!F25))+B1386+(ArtifactsInput!$M$24-ArtifactsInput!$M$24)*CHOOSE(ArtifactsInput!$N$24+1,10,12,14,16,18,20)+IF(ArtifactsInput!$M$10,CHOOSE(ArtifactsInput!$N$10+1,15,18,21,24,27,30)*(IF(Inputs!$B$39="pvp",MIN(15,15)/15,IF(AND(Inputs!$B$39&lt;&gt;"pvp",Inputs!$B$44&gt;0),MIN(15,Inputs!$B$44)/(Inputs!$B$44),0))),0)))-100),0))*CHOOSE(ArtifactsInput!$N$42+1,0.6,0.72,0.84,0.96,1.08,1.2))),Inputs!$B$18+((C1375=TRUE)*(F1375-Calc!F29))+(IF(AND(ArtifactsInput!$M$42,((Inputs!$B$9+((C1371=TRUE)*(F1371-Calc!F25))+B1386+(ArtifactsInput!$M$24-ArtifactsInput!$M$24)*CHOOSE(ArtifactsInput!$N$24+1,10,12,14,16,18,20)+IF(ArtifactsInput!$M$10,CHOOSE(ArtifactsInput!$N$10+1,15,18,21,24,27,30)*(IF(Inputs!$B$39="pvp",MIN(15,15)/15,IF(AND(Inputs!$B$39&lt;&gt;"pvp",Inputs!$B$44&gt;0),MIN(15,Inputs!$B$44)/(Inputs!$B$44),0))),0)))&gt;=100),CHOOSE(ArtifactsInput!$N$42+1,40,48,56,64,72,80),0))))/100)*(((1+(((C1367=TRUE)*F1367*IF(AND(Inputs!$B$39&lt;&gt;"pvp",Inputs!$B$44&gt;0),(((R1367-1)*(Skills!Y21*(1+Inputs!$B$34/100))+MIN((Skills!Y21*(1+Inputs!$B$34/100)),MAX(0,Inputs!$B$44-((R1367-1)*Skills!D21))))/Inputs!$B$44),IF(Inputs!$B$39="pvp",MIN((Skills!Y21*(1+Inputs!$B$34/100)),15)/15,(Skills!Y21*(1+Inputs!$B$34/100))/Skills!D21)))+((C1374=TRUE)*(F1374-Calc!F28))+((C1364=TRUE)*(F1364-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1361=TRUE)*F1361*IF(AND(Inputs!$B$39&lt;&gt;"pvp",Inputs!$B$44&gt;0),(((R1361-1)*(Skills!Y15*(1+Inputs!$B$34/100))+MIN((Skills!Y15*(1+Inputs!$B$34/100)),MAX(0,Inputs!$B$44-((R1361-1)*Skills!D15))))/Inputs!$B$44),IF(Inputs!$B$39="pvp",MIN((Skills!Y15*(1+Inputs!$B$34/100)),15)/15,(Skills!Y15*(1+Inputs!$B$34/100))/Skills!D15)))/100)*(1+((C1352=TRUE)*F1352*B1380)/100))*B1388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1359)</f>
        <v/>
      </c>
      <c r="L1359">
        <f>K1359*(MIN(Inputs!$B$22+((C1370=TRUE)*(F1370-Calc!F24)),(Inputs!$B$23+0+(IF(ArtifactsInput!$M$15,CHOOSE(ArtifactsInput!$N$15+1,25,30,35,40,45,50)/100*(Inputs!$B$11-Inputs!$B$11),0))))/100+(Inputs!$B$23+0+(IF(ArtifactsInput!$M$15,CHOOSE(ArtifactsInput!$N$15+1,25,30,35,40,45,50)/100*(Inputs!$B$11-Inputs!$B$11),0)))/100)/2</f>
        <v/>
      </c>
      <c r="M1359">
        <f>L1359*(1+(Inputs!$B$10+((C1372=TRUE)*(F1372-Calc!F26))+B1389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59">
        <f>L1359*(1-MIN((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1359*(MIN((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59">
        <f>(1-Summary!$B$11)*T1359+Summary!$B$11*V1359</f>
        <v/>
      </c>
      <c r="P1359">
        <f>IF(B1390=0,0,O1359/B1390)</f>
        <v/>
      </c>
      <c r="Q1359">
        <f>IFERROR(1/IF(Inputs!$B$39="pvp",15,MAX(0.1,Skills!D13-IF(Skills!E13=TRUE,Inputs!$B$32,0))),0)</f>
        <v/>
      </c>
      <c r="R1359">
        <f>IF(AND(Inputs!$B$39&lt;&gt;"pvp",Inputs!$B$44&gt;0),IF(MAX(0,Inputs!$B$44-B1391)&lt;=0,0,(INT(MAX(0,Inputs!$B$44-B1391)/IF(Inputs!$B$39="pvp",15,MAX(0.1,Skills!D13-IF(Skills!E13=TRUE,Inputs!$B$32,0))))+1)),0)</f>
        <v/>
      </c>
      <c r="S1359">
        <f>IFERROR(O1359/N1359,0)</f>
        <v/>
      </c>
      <c r="T1359">
        <f>IF(C1359,(H1359*N1359*IF(AND(Inputs!$B$39&lt;&gt;"pvp",Inputs!$B$44&gt;0),((Skills!G13*((R1359-1)*IF(Skills!H13&gt;0,Skills!I13/Skills!H13,1)+IF(Skills!H13&gt;0,MIN(Skills!I13,MAX(0,MAX(0,Inputs!$B$44-B1391)-((R1359-1)*IF(Inputs!$B$39="pvp",15,MAX(0.1,Skills!D13-IF(Skills!E13=TRUE,Inputs!$B$32,0))))))/Skills!H13,1)))/Inputs!$B$44),G1359*Q1359))*IF(Inputs!$B$39="pvp",1,1+(Inputs!$B$20+((C1373=TRUE)*(F1373-Calc!F27))+Skills!P13+B1387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Hunt"),CHOOSE(ArtifactsInput!$N$35+1,15,18,21,24,27,30)*(1-EXP(-(0.2*B1382)*5)),0)+IF(AND(ArtifactsInput!$M$22,Inputs!$B$4&lt;&gt;"Chapter Hunt"),CHOOSE(ArtifactsInput!$N$22+1,10,12,14,16,18,20)*((0*(((0.15*B1382*5))^0/1)+1*(((0.15*B1382*5))^1/1)+2*(((0.15*B1382*5))^2/2)+3*(((0.15*B1382*5))^3/6)+4*(((0.15*B1382*5))^4/24)+5*(((0.15*B1382*5))^5/120))/((((0.15*B1382*5))^0/1)+(((0.15*B1382*5))^1/1)+(((0.15*B1382*5))^2/2)+(((0.15*B1382*5))^3/6)+(((0.15*B1382*5))^4/24)+(((0.15*B1382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1359*(1-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1359*(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1359*(1-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1359*(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59">
        <f>IF(C1359,(H1359*N1359*IF(AND(Inputs!$B$39&lt;&gt;"pvp",Inputs!$B$44&gt;0),((Skills!G13*((R1359-1)*IF(Skills!H13&gt;0,Skills!I13/Skills!H13,1)+IF(Skills!H13&gt;0,MIN(Skills!I13,MAX(0,MAX(0,Inputs!$B$44-B1391)-((R1359-1)*IF(Inputs!$B$39="pvp",15,MAX(0.1,Skills!D13-IF(Skills!E13=TRUE,Inputs!$B$32,0))))))/Skills!H13,1)))/Inputs!$B$44),G1359*Q1359))*IF(Inputs!$B$39="pvp",1,(1+(Inputs!$B$21+Skills!Q13+B1387+(IF(ArtifactsInput!$M$33,CHOOSE(ArtifactsInput!$N$33+1,30,36,42,48,54,60),0))+(IF(AND(ArtifactsInput!$M$35,Inputs!$B$4&lt;&gt;"Chapter Hunt"),CHOOSE(ArtifactsInput!$N$35+1,15,18,21,24,27,30)*(1-EXP(-(0.2*B1382)*5)),0)+IF(AND(ArtifactsInput!$M$22,Inputs!$B$4&lt;&gt;"Chapter Hunt"),CHOOSE(ArtifactsInput!$N$22+1,10,12,14,16,18,20)*((0*(((0.15*B1382*5))^0/1)+1*(((0.15*B1382*5))^1/1)+2*(((0.15*B1382*5))^2/2)+3*(((0.15*B1382*5))^3/6)+4*(((0.15*B1382*5))^4/24)+5*(((0.15*B1382*5))^5/120))/((((0.15*B1382*5))^0/1)+(((0.15*B1382*5))^1/1)+(((0.15*B1382*5))^2/2)+(((0.15*B1382*5))^3/6)+(((0.15*B1382*5))^4/24)+(((0.15*B1382*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60">
      <c r="A1360">
        <f>Skills!A14</f>
        <v/>
      </c>
      <c r="B1360">
        <f>Skills!B14</f>
        <v/>
      </c>
      <c r="C1360">
        <f>Inputs!$B$3&gt;=105</f>
        <v/>
      </c>
      <c r="D1360">
        <f>IF(Skills!C14=1,60+Inputs!$B$25+Inputs!$B$29,IF(Skills!C14=2,90+Inputs!$B$26+Inputs!$B$29,IF(Skills!C14=3,120+Inputs!$B$27+Inputs!$B$29,MAX(0,(Inputs!$B$3-100)*3)+Inputs!$B$28+Inputs!$B$29)))</f>
        <v/>
      </c>
      <c r="E1360">
        <f>INDEX(FactorTable!$B$2:$Y$301, MATCH(ROUND(MIN(300,MAX(1,D1360)),0), FactorTable!$A$2:$A$301,0), Skills!M14+1)</f>
        <v/>
      </c>
      <c r="F1360">
        <f>IF(Skills!N14=TRUE,(Skills!L14/10)*(E1360/1000),Skills!L14/10)+Skills!O14</f>
        <v/>
      </c>
      <c r="G1360">
        <f>Calc!G14</f>
        <v/>
      </c>
      <c r="H1360">
        <f>Calc!H14</f>
        <v/>
      </c>
      <c r="I1360">
        <f>IF(Skills!AA14&lt;&gt;"",1+(Skills!AA14/10)*(U1349/1000)/100,1)</f>
        <v/>
      </c>
      <c r="J1360">
        <f>((Inputs!$B$6*(1+Inputs!$B$7/100))+(((Inputs!$B$12*(1+Inputs!$B$13/100))-(Inputs!$B$12*(1+Inputs!$B$13/100)))+0.25*(Inputs!$B$14-Inputs!$B$14))*(1+Inputs!$B$7/100))*(F1360/100)</f>
        <v/>
      </c>
      <c r="K1360">
        <f>J1360*(1+((Inputs!$B$12*(1+Inputs!$B$13/100))*0.01+Inputs!$B$14*0.0025)/100)*(1+Inputs!$B$15/100)*(1+Inputs!$B$16/100)*(5000/(6000+Inputs!$B$43*(1-(100*(1-(1-(Inputs!$B$19+0)/100)*(1-CHOOSE(ArtifactsInput!$N$40+1,5,6,7,8,9,10)/100)^(ArtifactsInput!$M$40-ArtifactsInput!$M$40)))/100)))*(1+(Inputs!$B$24+((C1376=TRUE)*(F1376-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1369=TRUE)*(F1369-Calc!F23))+(((IF(AND(ArtifactsInput!$M$42,((Inputs!$B$9+((C1371=TRUE)*(F1371-Calc!F25))+B1386+(ArtifactsInput!$M$24-ArtifactsInput!$M$24)*CHOOSE(ArtifactsInput!$N$24+1,10,12,14,16,18,20)+IF(ArtifactsInput!$M$10,CHOOSE(ArtifactsInput!$N$10+1,15,18,21,24,27,30)*(IF(Inputs!$B$39="pvp",MIN(15,15)/15,IF(AND(Inputs!$B$39&lt;&gt;"pvp",Inputs!$B$44&gt;0),MIN(15,Inputs!$B$44)/(Inputs!$B$44),0))),0)))&gt;=100),MIN(100,((Inputs!$B$9+((C1371=TRUE)*(F1371-Calc!F25))+B1386+(ArtifactsInput!$M$24-ArtifactsInput!$M$24)*CHOOSE(ArtifactsInput!$N$24+1,10,12,14,16,18,20)+IF(ArtifactsInput!$M$10,CHOOSE(ArtifactsInput!$N$10+1,15,18,21,24,27,30)*(IF(Inputs!$B$39="pvp",MIN(15,15)/15,IF(AND(Inputs!$B$39&lt;&gt;"pvp",Inputs!$B$44&gt;0),MIN(15,Inputs!$B$44)/(Inputs!$B$44),0))),0)))-100),0))*CHOOSE(ArtifactsInput!$N$42+1,0.6,0.72,0.84,0.96,1.08,1.2))),Inputs!$B$18+((C1375=TRUE)*(F1375-Calc!F29))+(IF(AND(ArtifactsInput!$M$42,((Inputs!$B$9+((C1371=TRUE)*(F1371-Calc!F25))+B1386+(ArtifactsInput!$M$24-ArtifactsInput!$M$24)*CHOOSE(ArtifactsInput!$N$24+1,10,12,14,16,18,20)+IF(ArtifactsInput!$M$10,CHOOSE(ArtifactsInput!$N$10+1,15,18,21,24,27,30)*(IF(Inputs!$B$39="pvp",MIN(15,15)/15,IF(AND(Inputs!$B$39&lt;&gt;"pvp",Inputs!$B$44&gt;0),MIN(15,Inputs!$B$44)/(Inputs!$B$44),0))),0)))&gt;=100),CHOOSE(ArtifactsInput!$N$42+1,40,48,56,64,72,80),0))))/100)*(((1+(((C1367=TRUE)*F1367*IF(AND(Inputs!$B$39&lt;&gt;"pvp",Inputs!$B$44&gt;0),(((R1367-1)*(Skills!Y21*(1+Inputs!$B$34/100))+MIN((Skills!Y21*(1+Inputs!$B$34/100)),MAX(0,Inputs!$B$44-((R1367-1)*Skills!D21))))/Inputs!$B$44),IF(Inputs!$B$39="pvp",MIN((Skills!Y21*(1+Inputs!$B$34/100)),15)/15,(Skills!Y21*(1+Inputs!$B$34/100))/Skills!D21)))+((C1374=TRUE)*(F1374-Calc!F28))+((C1364=TRUE)*(F1364-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1361=TRUE)*F1361*IF(AND(Inputs!$B$39&lt;&gt;"pvp",Inputs!$B$44&gt;0),(((R1361-1)*(Skills!Y15*(1+Inputs!$B$34/100))+MIN((Skills!Y15*(1+Inputs!$B$34/100)),MAX(0,Inputs!$B$44-((R1361-1)*Skills!D15))))/Inputs!$B$44),IF(Inputs!$B$39="pvp",MIN((Skills!Y15*(1+Inputs!$B$34/100)),15)/15,(Skills!Y15*(1+Inputs!$B$34/100))/Skills!D15)))/100)*(1+((C1352=TRUE)*F1352*B1380)/100))*B1388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1360)</f>
        <v/>
      </c>
      <c r="L1360">
        <f>K1360*(MIN(Inputs!$B$22+((C1370=TRUE)*(F1370-Calc!F24)),(Inputs!$B$23+0+(IF(ArtifactsInput!$M$15,CHOOSE(ArtifactsInput!$N$15+1,25,30,35,40,45,50)/100*(Inputs!$B$11-Inputs!$B$11),0))))/100+(Inputs!$B$23+0+(IF(ArtifactsInput!$M$15,CHOOSE(ArtifactsInput!$N$15+1,25,30,35,40,45,50)/100*(Inputs!$B$11-Inputs!$B$11),0)))/100)/2</f>
        <v/>
      </c>
      <c r="M1360">
        <f>L1360*(1+(Inputs!$B$10+((C1372=TRUE)*(F1372-Calc!F26))+B1389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60">
        <f>L1360*(1-MIN((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1360*(MIN((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60">
        <f>(1-Summary!$B$11)*T1360+Summary!$B$11*V1360</f>
        <v/>
      </c>
      <c r="P1360">
        <f>IF(B1390=0,0,O1360/B1390)</f>
        <v/>
      </c>
      <c r="Q1360">
        <f>IFERROR(1/IF(Inputs!$B$39="pvp",15,MAX(0.1,Skills!D14-IF(Skills!E14=TRUE,Inputs!$B$32,0))),0)</f>
        <v/>
      </c>
      <c r="R1360">
        <f>IF(AND(Inputs!$B$39&lt;&gt;"pvp",Inputs!$B$44&gt;0),IF(MAX(0,Inputs!$B$44-B1391)&lt;=0,0,(INT(MAX(0,Inputs!$B$44-B1391)/IF(Inputs!$B$39="pvp",15,MAX(0.1,Skills!D14-IF(Skills!E14=TRUE,Inputs!$B$32,0))))+1)),0)</f>
        <v/>
      </c>
      <c r="S1360">
        <f>IFERROR(O1360/N1360,0)</f>
        <v/>
      </c>
      <c r="T1360">
        <f>IF(C1360,(H1360*N1360*IF(AND(Inputs!$B$39&lt;&gt;"pvp",Inputs!$B$44&gt;0),((Skills!G14*((R1360-1)*IF(Skills!H14&gt;0,Skills!I14/Skills!H14,1)+IF(Skills!H14&gt;0,MIN(Skills!I14,MAX(0,MAX(0,Inputs!$B$44-B1391)-((R1360-1)*IF(Inputs!$B$39="pvp",15,MAX(0.1,Skills!D14-IF(Skills!E14=TRUE,Inputs!$B$32,0))))))/Skills!H14,1)))/Inputs!$B$44),G1360*Q1360))*IF(Inputs!$B$39="pvp",1,1+(Inputs!$B$20+((C1373=TRUE)*(F1373-Calc!F27))+Skills!P14+B1387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Hunt"),CHOOSE(ArtifactsInput!$N$35+1,15,18,21,24,27,30)*(1-EXP(-(0.2*B1382)*5)),0)+IF(AND(ArtifactsInput!$M$22,Inputs!$B$4&lt;&gt;"Chapter Hunt"),CHOOSE(ArtifactsInput!$N$22+1,10,12,14,16,18,20)*((0*(((0.15*B1382*5))^0/1)+1*(((0.15*B1382*5))^1/1)+2*(((0.15*B1382*5))^2/2)+3*(((0.15*B1382*5))^3/6)+4*(((0.15*B1382*5))^4/24)+5*(((0.15*B1382*5))^5/120))/((((0.15*B1382*5))^0/1)+(((0.15*B1382*5))^1/1)+(((0.15*B1382*5))^2/2)+(((0.15*B1382*5))^3/6)+(((0.15*B1382*5))^4/24)+(((0.15*B1382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1360*(1-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1360*(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1360*(1-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1360*(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60">
        <f>IF(C1360,(H1360*N1360*IF(AND(Inputs!$B$39&lt;&gt;"pvp",Inputs!$B$44&gt;0),((Skills!G14*((R1360-1)*IF(Skills!H14&gt;0,Skills!I14/Skills!H14,1)+IF(Skills!H14&gt;0,MIN(Skills!I14,MAX(0,MAX(0,Inputs!$B$44-B1391)-((R1360-1)*IF(Inputs!$B$39="pvp",15,MAX(0.1,Skills!D14-IF(Skills!E14=TRUE,Inputs!$B$32,0))))))/Skills!H14,1)))/Inputs!$B$44),G1360*Q1360))*IF(Inputs!$B$39="pvp",1,(1+(Inputs!$B$21+Skills!Q14+B1387+(IF(ArtifactsInput!$M$33,CHOOSE(ArtifactsInput!$N$33+1,30,36,42,48,54,60),0))+(IF(AND(ArtifactsInput!$M$35,Inputs!$B$4&lt;&gt;"Chapter Hunt"),CHOOSE(ArtifactsInput!$N$35+1,15,18,21,24,27,30)*(1-EXP(-(0.2*B1382)*5)),0)+IF(AND(ArtifactsInput!$M$22,Inputs!$B$4&lt;&gt;"Chapter Hunt"),CHOOSE(ArtifactsInput!$N$22+1,10,12,14,16,18,20)*((0*(((0.15*B1382*5))^0/1)+1*(((0.15*B1382*5))^1/1)+2*(((0.15*B1382*5))^2/2)+3*(((0.15*B1382*5))^3/6)+4*(((0.15*B1382*5))^4/24)+5*(((0.15*B1382*5))^5/120))/((((0.15*B1382*5))^0/1)+(((0.15*B1382*5))^1/1)+(((0.15*B1382*5))^2/2)+(((0.15*B1382*5))^3/6)+(((0.15*B1382*5))^4/24)+(((0.15*B1382*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61">
      <c r="A1361">
        <f>Skills!A15</f>
        <v/>
      </c>
      <c r="B1361">
        <f>Skills!B15</f>
        <v/>
      </c>
      <c r="C1361">
        <f>Inputs!$B$3&gt;=110</f>
        <v/>
      </c>
      <c r="D1361">
        <f>IF(Skills!C15=1,60+Inputs!$B$25+Inputs!$B$29,IF(Skills!C15=2,90+Inputs!$B$26+Inputs!$B$29,IF(Skills!C15=3,120+Inputs!$B$27+Inputs!$B$29,MAX(0,(Inputs!$B$3-100)*3)+Inputs!$B$28+Inputs!$B$29)))</f>
        <v/>
      </c>
      <c r="E1361">
        <f>INDEX(FactorTable!$B$2:$Y$301, MATCH(ROUND(MIN(300,MAX(1,D1361)),0), FactorTable!$A$2:$A$301,0), Skills!M15+1)</f>
        <v/>
      </c>
      <c r="F1361">
        <f>IF(Skills!N15=TRUE,(Skills!L15/10)*(E1361/1000),Skills!L15/10)+Skills!O15</f>
        <v/>
      </c>
      <c r="G1361">
        <f>Calc!G15</f>
        <v/>
      </c>
      <c r="H1361">
        <f>Calc!H15</f>
        <v/>
      </c>
      <c r="I1361">
        <f>IF(Skills!AA15&lt;&gt;"",1+(Skills!AA15/10)*(U1349/1000)/100,1)</f>
        <v/>
      </c>
      <c r="J1361" t="inlineStr"/>
      <c r="K1361" t="inlineStr"/>
      <c r="L1361" t="inlineStr"/>
      <c r="M1361" t="inlineStr"/>
      <c r="N1361" t="inlineStr"/>
      <c r="O1361">
        <f>(1-Summary!$B$11)*T1361+Summary!$B$11*V1361</f>
        <v/>
      </c>
      <c r="P1361">
        <f>IF(B1390=0,0,O1361/B1390)</f>
        <v/>
      </c>
      <c r="Q1361">
        <f>IFERROR(1/IF(Inputs!$B$39="pvp",15,MAX(0.1,Skills!D15-IF(Skills!E15=TRUE,Inputs!$B$32,0))),0)</f>
        <v/>
      </c>
      <c r="R1361">
        <f>IF(AND(Inputs!$B$39&lt;&gt;"pvp",Inputs!$B$44&gt;0),IF(Inputs!$B$44&lt;=0,0,(INT(Inputs!$B$44/IF(Inputs!$B$39="pvp",15,MAX(0.1,Skills!D15-IF(Skills!E15=TRUE,Inputs!$B$32,0))))+1)),0)</f>
        <v/>
      </c>
      <c r="S1361">
        <f>IFERROR(O1361/N1361,0)</f>
        <v/>
      </c>
      <c r="T1361" t="n">
        <v>0</v>
      </c>
      <c r="V1361" t="n">
        <v>0</v>
      </c>
    </row>
    <row r="1362">
      <c r="A1362">
        <f>Skills!A16</f>
        <v/>
      </c>
      <c r="B1362">
        <f>Skills!B16</f>
        <v/>
      </c>
      <c r="C1362">
        <f>Inputs!$B$3&gt;=110</f>
        <v/>
      </c>
      <c r="D1362">
        <f>IF(Skills!C16=1,60+Inputs!$B$25+Inputs!$B$29,IF(Skills!C16=2,90+Inputs!$B$26+Inputs!$B$29,IF(Skills!C16=3,120+Inputs!$B$27+Inputs!$B$29,MAX(0,(Inputs!$B$3-100)*3)+Inputs!$B$28+Inputs!$B$29)))</f>
        <v/>
      </c>
      <c r="E1362">
        <f>INDEX(FactorTable!$B$2:$Y$301, MATCH(ROUND(MIN(300,MAX(1,D1362)),0), FactorTable!$A$2:$A$301,0), Skills!M16+1)</f>
        <v/>
      </c>
      <c r="F1362">
        <f>IF(Skills!N16=TRUE,(Skills!L16/10)*(E1362/1000),Skills!L16/10)+Skills!O16</f>
        <v/>
      </c>
      <c r="G1362">
        <f>Calc!G16</f>
        <v/>
      </c>
      <c r="H1362">
        <f>Calc!H16</f>
        <v/>
      </c>
      <c r="I1362">
        <f>IF(Skills!AA16&lt;&gt;"",1+(Skills!AA16/10)*(U1349/1000)/100,1)</f>
        <v/>
      </c>
      <c r="J1362" t="inlineStr"/>
      <c r="K1362" t="inlineStr"/>
      <c r="L1362" t="inlineStr"/>
      <c r="M1362" t="inlineStr"/>
      <c r="N1362" t="inlineStr"/>
      <c r="O1362">
        <f>(1-Summary!$B$11)*T1362+Summary!$B$11*V1362</f>
        <v/>
      </c>
      <c r="P1362">
        <f>IF(B1390=0,0,O1362/B1390)</f>
        <v/>
      </c>
      <c r="Q1362">
        <f>IFERROR(1/IF(Inputs!$B$39="pvp",15,MAX(0.1,Skills!D16-IF(Skills!E16=TRUE,Inputs!$B$32,0))),0)</f>
        <v/>
      </c>
      <c r="R1362">
        <f>IF(AND(Inputs!$B$39&lt;&gt;"pvp",Inputs!$B$44&gt;0),IF(Inputs!$B$44&lt;=0,0,(INT(Inputs!$B$44/IF(Inputs!$B$39="pvp",15,MAX(0.1,Skills!D16-IF(Skills!E16=TRUE,Inputs!$B$32,0))))+1)),0)</f>
        <v/>
      </c>
      <c r="S1362">
        <f>IFERROR(O1362/N1362,0)</f>
        <v/>
      </c>
      <c r="T1362" t="n">
        <v>0</v>
      </c>
      <c r="V1362" t="n">
        <v>0</v>
      </c>
    </row>
    <row r="1363">
      <c r="A1363">
        <f>Skills!A17</f>
        <v/>
      </c>
      <c r="B1363">
        <f>Skills!B17</f>
        <v/>
      </c>
      <c r="C1363">
        <f>Inputs!$B$3&gt;=115</f>
        <v/>
      </c>
      <c r="D1363">
        <f>IF(Skills!C17=1,60+Inputs!$B$25+Inputs!$B$29,IF(Skills!C17=2,90+Inputs!$B$26+Inputs!$B$29,IF(Skills!C17=3,120+Inputs!$B$27+Inputs!$B$29,MAX(0,(Inputs!$B$3-100)*3)+Inputs!$B$28+Inputs!$B$29)))</f>
        <v/>
      </c>
      <c r="E1363">
        <f>INDEX(FactorTable!$B$2:$Y$301, MATCH(ROUND(MIN(300,MAX(1,D1363)),0), FactorTable!$A$2:$A$301,0), Skills!M17+1)</f>
        <v/>
      </c>
      <c r="F1363">
        <f>IF(Skills!N17=TRUE,(Skills!L17/10)*(E1363/1000),Skills!L17/10)+Skills!O17</f>
        <v/>
      </c>
      <c r="G1363">
        <f>Calc!G17</f>
        <v/>
      </c>
      <c r="H1363">
        <f>Calc!H17</f>
        <v/>
      </c>
      <c r="I1363">
        <f>IF(Skills!AA17&lt;&gt;"",1+(Skills!AA17/10)*(U1349/1000)/100,1)</f>
        <v/>
      </c>
      <c r="J1363">
        <f>((Inputs!$B$6*(1+Inputs!$B$7/100))+(((Inputs!$B$12*(1+Inputs!$B$13/100))-(Inputs!$B$12*(1+Inputs!$B$13/100)))+0.25*(Inputs!$B$14-Inputs!$B$14))*(1+Inputs!$B$7/100))*(F1363/100)</f>
        <v/>
      </c>
      <c r="K1363">
        <f>J1363*(1+((Inputs!$B$12*(1+Inputs!$B$13/100))*0.01+Inputs!$B$14*0.0025)/100)*(1+Inputs!$B$15/100)*(1+Inputs!$B$16/100)*(5000/(6000+Inputs!$B$43*(1-(100*(1-(1-(Inputs!$B$19+0)/100)*(1-CHOOSE(ArtifactsInput!$N$40+1,5,6,7,8,9,10)/100)^(ArtifactsInput!$M$40-ArtifactsInput!$M$40)))/100)))*(1+(Inputs!$B$24+((C1376=TRUE)*(F1376-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1369=TRUE)*(F1369-Calc!F23))+(((IF(AND(ArtifactsInput!$M$42,((Inputs!$B$9+((C1371=TRUE)*(F1371-Calc!F25))+B1386+(ArtifactsInput!$M$24-ArtifactsInput!$M$24)*CHOOSE(ArtifactsInput!$N$24+1,10,12,14,16,18,20)+IF(ArtifactsInput!$M$10,CHOOSE(ArtifactsInput!$N$10+1,15,18,21,24,27,30)*(IF(Inputs!$B$39="pvp",MIN(15,15)/15,IF(AND(Inputs!$B$39&lt;&gt;"pvp",Inputs!$B$44&gt;0),MIN(15,Inputs!$B$44)/(Inputs!$B$44),0))),0)))&gt;=100),MIN(100,((Inputs!$B$9+((C1371=TRUE)*(F1371-Calc!F25))+B1386+(ArtifactsInput!$M$24-ArtifactsInput!$M$24)*CHOOSE(ArtifactsInput!$N$24+1,10,12,14,16,18,20)+IF(ArtifactsInput!$M$10,CHOOSE(ArtifactsInput!$N$10+1,15,18,21,24,27,30)*(IF(Inputs!$B$39="pvp",MIN(15,15)/15,IF(AND(Inputs!$B$39&lt;&gt;"pvp",Inputs!$B$44&gt;0),MIN(15,Inputs!$B$44)/(Inputs!$B$44),0))),0)))-100),0))*CHOOSE(ArtifactsInput!$N$42+1,0.6,0.72,0.84,0.96,1.08,1.2))),Inputs!$B$18+((C1375=TRUE)*(F1375-Calc!F29))+(IF(AND(ArtifactsInput!$M$42,((Inputs!$B$9+((C1371=TRUE)*(F1371-Calc!F25))+B1386+(ArtifactsInput!$M$24-ArtifactsInput!$M$24)*CHOOSE(ArtifactsInput!$N$24+1,10,12,14,16,18,20)+IF(ArtifactsInput!$M$10,CHOOSE(ArtifactsInput!$N$10+1,15,18,21,24,27,30)*(IF(Inputs!$B$39="pvp",MIN(15,15)/15,IF(AND(Inputs!$B$39&lt;&gt;"pvp",Inputs!$B$44&gt;0),MIN(15,Inputs!$B$44)/(Inputs!$B$44),0))),0)))&gt;=100),CHOOSE(ArtifactsInput!$N$42+1,40,48,56,64,72,80),0))))/100)*(((1+(((C1367=TRUE)*F1367*IF(AND(Inputs!$B$39&lt;&gt;"pvp",Inputs!$B$44&gt;0),(((R1367-1)*(Skills!Y21*(1+Inputs!$B$34/100))+MIN((Skills!Y21*(1+Inputs!$B$34/100)),MAX(0,Inputs!$B$44-((R1367-1)*Skills!D21))))/Inputs!$B$44),IF(Inputs!$B$39="pvp",MIN((Skills!Y21*(1+Inputs!$B$34/100)),15)/15,(Skills!Y21*(1+Inputs!$B$34/100))/Skills!D21)))+((C1374=TRUE)*(F1374-Calc!F28))+((C1364=TRUE)*(F1364-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1361=TRUE)*F1361*IF(AND(Inputs!$B$39&lt;&gt;"pvp",Inputs!$B$44&gt;0),(((R1361-1)*(Skills!Y15*(1+Inputs!$B$34/100))+MIN((Skills!Y15*(1+Inputs!$B$34/100)),MAX(0,Inputs!$B$44-((R1361-1)*Skills!D15))))/Inputs!$B$44),IF(Inputs!$B$39="pvp",MIN((Skills!Y15*(1+Inputs!$B$34/100)),15)/15,(Skills!Y15*(1+Inputs!$B$34/100))/Skills!D15)))/100)*(1+((C1352=TRUE)*F1352*B1380)/100))*B1388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1363)</f>
        <v/>
      </c>
      <c r="L1363">
        <f>K1363*(MIN(Inputs!$B$22+((C1370=TRUE)*(F1370-Calc!F24)),(Inputs!$B$23+0+(IF(ArtifactsInput!$M$15,CHOOSE(ArtifactsInput!$N$15+1,25,30,35,40,45,50)/100*(Inputs!$B$11-Inputs!$B$11),0))))/100+(Inputs!$B$23+0+(IF(ArtifactsInput!$M$15,CHOOSE(ArtifactsInput!$N$15+1,25,30,35,40,45,50)/100*(Inputs!$B$11-Inputs!$B$11),0)))/100)/2</f>
        <v/>
      </c>
      <c r="M1363">
        <f>L1363*(1+(Inputs!$B$10+((C1372=TRUE)*(F1372-Calc!F26))+B1389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63">
        <f>L1363*(1-MIN((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1363*(MIN((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63">
        <f>(1-Summary!$B$11)*T1363+Summary!$B$11*V1363</f>
        <v/>
      </c>
      <c r="P1363">
        <f>IF(B1390=0,0,O1363/B1390)</f>
        <v/>
      </c>
      <c r="Q1363" t="n">
        <v>0</v>
      </c>
      <c r="R1363" t="n">
        <v>0</v>
      </c>
      <c r="S1363">
        <f>IFERROR(O1363/N1363,0)</f>
        <v/>
      </c>
      <c r="T1363">
        <f>IF(C1363,((Inputs!$B$38+1)*0.2*N1363)*IF(Inputs!$B$39="pvp",1,1+(Inputs!$B$20+((C1373=TRUE)*(F1373-Calc!F27))+Skills!P17+B1387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Hunt"),CHOOSE(ArtifactsInput!$N$35+1,15,18,21,24,27,30)*(1-EXP(-(0.2*B1382)*5)),0)+IF(AND(ArtifactsInput!$M$22,Inputs!$B$4&lt;&gt;"Chapter Hunt"),CHOOSE(ArtifactsInput!$N$22+1,10,12,14,16,18,20)*((0*(((0.15*B1382*5))^0/1)+1*(((0.15*B1382*5))^1/1)+2*(((0.15*B1382*5))^2/2)+3*(((0.15*B1382*5))^3/6)+4*(((0.15*B1382*5))^4/24)+5*(((0.15*B1382*5))^5/120))/((((0.15*B1382*5))^0/1)+(((0.15*B1382*5))^1/1)+(((0.15*B1382*5))^2/2)+(((0.15*B1382*5))^3/6)+(((0.15*B1382*5))^4/24)+(((0.15*B1382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1363*(1-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1363*(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1363*(1-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1363*(MIN(100,(Inputs!$B$9+((C1371=TRUE)*(F1371-Calc!F25))+B1386+(ArtifactsInput!$M$24-ArtifactsInput!$M$24)*CHOOSE(ArtifactsInput!$N$24+1,10,12,14,16,18,20)+(IF(AND(ArtifactsInput!$M$42,((Inputs!$B$9+((C1371=TRUE)*(F1371-Calc!F25))+B1386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63">
        <f>IF(C1363,((Inputs!$B$38+1)*0.2*N1363)*IF(Inputs!$B$39="pvp",1,(1+(Inputs!$B$21+Skills!Q17+B1387+(IF(ArtifactsInput!$M$33,CHOOSE(ArtifactsInput!$N$33+1,30,36,42,48,54,60),0))+(IF(AND(ArtifactsInput!$M$35,Inputs!$B$4&lt;&gt;"Chapter Hunt"),CHOOSE(ArtifactsInput!$N$35+1,15,18,21,24,27,30)*(1-EXP(-(0.2*B1382)*5)),0)+IF(AND(ArtifactsInput!$M$22,Inputs!$B$4&lt;&gt;"Chapter Hunt"),CHOOSE(ArtifactsInput!$N$22+1,10,12,14,16,18,20)*((0*(((0.15*B1382*5))^0/1)+1*(((0.15*B1382*5))^1/1)+2*(((0.15*B1382*5))^2/2)+3*(((0.15*B1382*5))^3/6)+4*(((0.15*B1382*5))^4/24)+5*(((0.15*B1382*5))^5/120))/((((0.15*B1382*5))^0/1)+(((0.15*B1382*5))^1/1)+(((0.15*B1382*5))^2/2)+(((0.15*B1382*5))^3/6)+(((0.15*B1382*5))^4/24)+(((0.15*B1382*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64">
      <c r="A1364">
        <f>Skills!A18</f>
        <v/>
      </c>
      <c r="B1364">
        <f>Skills!B18</f>
        <v/>
      </c>
      <c r="C1364">
        <f>Inputs!$B$3&gt;=115</f>
        <v/>
      </c>
      <c r="D1364">
        <f>IF(Skills!C18=1,60+Inputs!$B$25+Inputs!$B$29,IF(Skills!C18=2,90+Inputs!$B$26+Inputs!$B$29,IF(Skills!C18=3,120+Inputs!$B$27+Inputs!$B$29,MAX(0,(Inputs!$B$3-100)*3)+Inputs!$B$28+Inputs!$B$29)))</f>
        <v/>
      </c>
      <c r="E1364">
        <f>INDEX(FactorTable!$B$2:$Y$301, MATCH(ROUND(MIN(300,MAX(1,D1364)),0), FactorTable!$A$2:$A$301,0), Skills!M18+1)</f>
        <v/>
      </c>
      <c r="F1364">
        <f>IF(Skills!N18=TRUE,(Skills!L18/10)*(E1364/1000),Skills!L18/10)+Skills!O18</f>
        <v/>
      </c>
      <c r="G1364">
        <f>Calc!G18</f>
        <v/>
      </c>
      <c r="H1364">
        <f>Calc!H18</f>
        <v/>
      </c>
      <c r="I1364">
        <f>IF(Skills!AA18&lt;&gt;"",1+(Skills!AA18/10)*(U1349/1000)/100,1)</f>
        <v/>
      </c>
      <c r="J1364" t="inlineStr"/>
      <c r="K1364" t="inlineStr"/>
      <c r="L1364" t="inlineStr"/>
      <c r="M1364" t="inlineStr"/>
      <c r="N1364" t="inlineStr"/>
      <c r="O1364">
        <f>(1-Summary!$B$11)*T1364+Summary!$B$11*V1364</f>
        <v/>
      </c>
      <c r="P1364">
        <f>IF(B1390=0,0,O1364/B1390)</f>
        <v/>
      </c>
      <c r="Q1364" t="n">
        <v>0</v>
      </c>
      <c r="R1364" t="n">
        <v>0</v>
      </c>
      <c r="S1364">
        <f>IFERROR(O1364/N1364,0)</f>
        <v/>
      </c>
      <c r="T1364" t="n">
        <v>0</v>
      </c>
      <c r="V1364" t="n">
        <v>0</v>
      </c>
    </row>
    <row r="1365">
      <c r="A1365">
        <f>Skills!A19</f>
        <v/>
      </c>
      <c r="B1365">
        <f>Skills!B19</f>
        <v/>
      </c>
      <c r="C1365">
        <f>TRUE</f>
        <v/>
      </c>
      <c r="D1365">
        <f>IF(Skills!C19=1,60+Inputs!$B$25+Inputs!$B$29,IF(Skills!C19=2,90+Inputs!$B$26+Inputs!$B$29,IF(Skills!C19=3,120+Inputs!$B$27+Inputs!$B$29,MAX(0,(Inputs!$B$3-100)*3)+Inputs!$B$28+Inputs!$B$29)))</f>
        <v/>
      </c>
      <c r="E1365">
        <f>INDEX(FactorTable!$B$2:$Y$301, MATCH(ROUND(MIN(300,MAX(1,D1365)),0), FactorTable!$A$2:$A$301,0), Skills!M19+1)</f>
        <v/>
      </c>
      <c r="F1365">
        <f>IF(Skills!N19=TRUE,(Skills!L19/10)*(E1365/1000),Skills!L19/10)+Skills!O19</f>
        <v/>
      </c>
      <c r="G1365">
        <f>Calc!G19</f>
        <v/>
      </c>
      <c r="H1365">
        <f>Calc!H19</f>
        <v/>
      </c>
      <c r="I1365">
        <f>IF(Skills!AA19&lt;&gt;"",1+(Skills!AA19/10)*(U1349/1000)/100,1)</f>
        <v/>
      </c>
      <c r="J1365" t="inlineStr"/>
      <c r="K1365" t="inlineStr"/>
      <c r="L1365" t="inlineStr"/>
      <c r="M1365" t="inlineStr"/>
      <c r="N1365" t="inlineStr"/>
      <c r="O1365">
        <f>(1-Summary!$B$11)*T1365+Summary!$B$11*V1365</f>
        <v/>
      </c>
      <c r="P1365">
        <f>IF(B1390=0,0,O1365/B1390)</f>
        <v/>
      </c>
      <c r="Q1365">
        <f>IFERROR(1/IF(Inputs!$B$39="pvp",15,MAX(0.1,Skills!D19-IF(Skills!E19=TRUE,Inputs!$B$32,0))),0)</f>
        <v/>
      </c>
      <c r="R1365">
        <f>IF(AND(Inputs!$B$39&lt;&gt;"pvp",Inputs!$B$44&gt;0),IF(Inputs!$B$44&lt;=0,0,(INT(Inputs!$B$44/IF(Inputs!$B$39="pvp",15,MAX(0.1,Skills!D19-IF(Skills!E19=TRUE,Inputs!$B$32,0))))+1)),0)</f>
        <v/>
      </c>
      <c r="S1365">
        <f>IFERROR(O1365/N1365,0)</f>
        <v/>
      </c>
      <c r="T1365" t="n">
        <v>0</v>
      </c>
      <c r="V1365" t="n">
        <v>0</v>
      </c>
    </row>
    <row r="1366">
      <c r="A1366">
        <f>Skills!A20</f>
        <v/>
      </c>
      <c r="B1366">
        <f>Skills!B20</f>
        <v/>
      </c>
      <c r="C1366">
        <f>Inputs!$B$3&gt;=15</f>
        <v/>
      </c>
      <c r="D1366">
        <f>IF(Skills!C20=1,60+Inputs!$B$25+Inputs!$B$29,IF(Skills!C20=2,90+Inputs!$B$26+Inputs!$B$29,IF(Skills!C20=3,120+Inputs!$B$27+Inputs!$B$29,MAX(0,(Inputs!$B$3-100)*3)+Inputs!$B$28+Inputs!$B$29)))</f>
        <v/>
      </c>
      <c r="E1366">
        <f>INDEX(FactorTable!$B$2:$Y$301, MATCH(ROUND(MIN(300,MAX(1,D1366)),0), FactorTable!$A$2:$A$301,0), Skills!M20+1)</f>
        <v/>
      </c>
      <c r="F1366">
        <f>IF(Skills!N20=TRUE,(Skills!L20/10)*(E1366/1000),Skills!L20/10)+Skills!O20</f>
        <v/>
      </c>
      <c r="G1366">
        <f>Calc!G20</f>
        <v/>
      </c>
      <c r="H1366">
        <f>Calc!H20</f>
        <v/>
      </c>
      <c r="I1366">
        <f>IF(Skills!AA20&lt;&gt;"",1+(Skills!AA20/10)*(U1349/1000)/100,1)</f>
        <v/>
      </c>
      <c r="J1366" t="inlineStr"/>
      <c r="K1366" t="inlineStr"/>
      <c r="L1366" t="inlineStr"/>
      <c r="M1366" t="inlineStr"/>
      <c r="N1366" t="inlineStr"/>
      <c r="O1366">
        <f>(1-Summary!$B$11)*T1366+Summary!$B$11*V1366</f>
        <v/>
      </c>
      <c r="P1366">
        <f>IF(B1390=0,0,O1366/B1390)</f>
        <v/>
      </c>
      <c r="Q1366">
        <f>IFERROR(1/IF(Inputs!$B$39="pvp",15,MAX(0.1,Skills!D20-IF(Skills!E20=TRUE,Inputs!$B$32,0))),0)</f>
        <v/>
      </c>
      <c r="R1366">
        <f>IF(AND(Inputs!$B$39&lt;&gt;"pvp",Inputs!$B$44&gt;0),IF(Inputs!$B$44&lt;=0,0,(INT(Inputs!$B$44/IF(Inputs!$B$39="pvp",15,MAX(0.1,Skills!D20-IF(Skills!E20=TRUE,Inputs!$B$32,0))))+1)),0)</f>
        <v/>
      </c>
      <c r="S1366">
        <f>IFERROR(O1366/N1366,0)</f>
        <v/>
      </c>
      <c r="T1366" t="n">
        <v>0</v>
      </c>
      <c r="V1366" t="n">
        <v>0</v>
      </c>
    </row>
    <row r="1367">
      <c r="A1367">
        <f>Skills!A21</f>
        <v/>
      </c>
      <c r="B1367">
        <f>Skills!B21</f>
        <v/>
      </c>
      <c r="C1367">
        <f>Inputs!$B$3&gt;=15</f>
        <v/>
      </c>
      <c r="D1367">
        <f>IF(Skills!C21=1,60+Inputs!$B$25+Inputs!$B$29,IF(Skills!C21=2,90+Inputs!$B$26+Inputs!$B$29,IF(Skills!C21=3,120+Inputs!$B$27+Inputs!$B$29,MAX(0,(Inputs!$B$3-100)*3)+Inputs!$B$28+Inputs!$B$29)))</f>
        <v/>
      </c>
      <c r="E1367">
        <f>INDEX(FactorTable!$B$2:$Y$301, MATCH(ROUND(MIN(300,MAX(1,D1367)),0), FactorTable!$A$2:$A$301,0), Skills!M21+1)</f>
        <v/>
      </c>
      <c r="F1367">
        <f>IF(Skills!N21=TRUE,(Skills!L21/10)*(E1367/1000),Skills!L21/10)+Skills!O21</f>
        <v/>
      </c>
      <c r="G1367">
        <f>Calc!G21</f>
        <v/>
      </c>
      <c r="H1367">
        <f>Calc!H21</f>
        <v/>
      </c>
      <c r="I1367">
        <f>IF(Skills!AA21&lt;&gt;"",1+(Skills!AA21/10)*(U1349/1000)/100,1)</f>
        <v/>
      </c>
      <c r="J1367" t="inlineStr"/>
      <c r="K1367" t="inlineStr"/>
      <c r="L1367" t="inlineStr"/>
      <c r="M1367" t="inlineStr"/>
      <c r="N1367" t="inlineStr"/>
      <c r="O1367">
        <f>(1-Summary!$B$11)*T1367+Summary!$B$11*V1367</f>
        <v/>
      </c>
      <c r="P1367">
        <f>IF(B1390=0,0,O1367/B1390)</f>
        <v/>
      </c>
      <c r="Q1367">
        <f>IFERROR(1/IF(Inputs!$B$39="pvp",15,MAX(0.1,Skills!D21-IF(Skills!E21=TRUE,Inputs!$B$32,0))),0)</f>
        <v/>
      </c>
      <c r="R1367">
        <f>IF(AND(Inputs!$B$39&lt;&gt;"pvp",Inputs!$B$44&gt;0),IF(Inputs!$B$44&lt;=0,0,(INT(Inputs!$B$44/IF(Inputs!$B$39="pvp",15,MAX(0.1,Skills!D21-IF(Skills!E21=TRUE,Inputs!$B$32,0))))+1)),0)</f>
        <v/>
      </c>
      <c r="S1367">
        <f>IFERROR(O1367/N1367,0)</f>
        <v/>
      </c>
      <c r="T1367" t="n">
        <v>0</v>
      </c>
      <c r="V1367" t="n">
        <v>0</v>
      </c>
    </row>
    <row r="1368">
      <c r="A1368">
        <f>Skills!A22</f>
        <v/>
      </c>
      <c r="B1368">
        <f>Skills!B22</f>
        <v/>
      </c>
      <c r="C1368">
        <f>Inputs!$B$3&gt;=33</f>
        <v/>
      </c>
      <c r="D1368">
        <f>IF(Skills!C22=1,60+Inputs!$B$25+Inputs!$B$29,IF(Skills!C22=2,90+Inputs!$B$26+Inputs!$B$29,IF(Skills!C22=3,120+Inputs!$B$27+Inputs!$B$29,MAX(0,(Inputs!$B$3-100)*3)+Inputs!$B$28+Inputs!$B$29)))</f>
        <v/>
      </c>
      <c r="E1368">
        <f>INDEX(FactorTable!$B$2:$Y$301, MATCH(ROUND(MIN(300,MAX(1,D1368)),0), FactorTable!$A$2:$A$301,0), Skills!M22+1)</f>
        <v/>
      </c>
      <c r="F1368">
        <f>IF(Skills!N22=TRUE,(Skills!L22/10)*(E1368/1000),Skills!L22/10)+Skills!O22</f>
        <v/>
      </c>
      <c r="G1368">
        <f>Calc!G22</f>
        <v/>
      </c>
      <c r="H1368">
        <f>Calc!H22</f>
        <v/>
      </c>
      <c r="I1368">
        <f>IF(Skills!AA22&lt;&gt;"",1+(Skills!AA22/10)*(U1349/1000)/100,1)</f>
        <v/>
      </c>
      <c r="J1368" t="inlineStr"/>
      <c r="K1368" t="inlineStr"/>
      <c r="L1368" t="inlineStr"/>
      <c r="M1368" t="inlineStr"/>
      <c r="N1368" t="inlineStr"/>
      <c r="O1368">
        <f>(1-Summary!$B$11)*T1368+Summary!$B$11*V1368</f>
        <v/>
      </c>
      <c r="P1368">
        <f>IF(B1390=0,0,O1368/B1390)</f>
        <v/>
      </c>
      <c r="Q1368" t="n">
        <v>0</v>
      </c>
      <c r="R1368" t="n">
        <v>0</v>
      </c>
      <c r="S1368">
        <f>IFERROR(O1368/N1368,0)</f>
        <v/>
      </c>
      <c r="T1368" t="n">
        <v>0</v>
      </c>
      <c r="V1368" t="n">
        <v>0</v>
      </c>
    </row>
    <row r="1369">
      <c r="A1369">
        <f>Skills!A23</f>
        <v/>
      </c>
      <c r="B1369">
        <f>Skills!B23</f>
        <v/>
      </c>
      <c r="C1369">
        <f>Inputs!$B$3&gt;=38</f>
        <v/>
      </c>
      <c r="D1369">
        <f>IF(Skills!C23=1,60+Inputs!$B$25+Inputs!$B$29,IF(Skills!C23=2,90+Inputs!$B$26+Inputs!$B$29,IF(Skills!C23=3,120+Inputs!$B$27+Inputs!$B$29,MAX(0,(Inputs!$B$3-100)*3)+Inputs!$B$28+Inputs!$B$29)))</f>
        <v/>
      </c>
      <c r="E1369">
        <f>INDEX(FactorTable!$B$2:$Y$301, MATCH(ROUND(MIN(300,MAX(1,D1369)),0), FactorTable!$A$2:$A$301,0), Skills!M23+1)</f>
        <v/>
      </c>
      <c r="F1369">
        <f>IF(Skills!N23=TRUE,(Skills!L23/10)*(E1369/1000),Skills!L23/10)+Skills!O23</f>
        <v/>
      </c>
      <c r="G1369">
        <f>Calc!G23</f>
        <v/>
      </c>
      <c r="H1369">
        <f>Calc!H23</f>
        <v/>
      </c>
      <c r="I1369">
        <f>IF(Skills!AA23&lt;&gt;"",1+(Skills!AA23/10)*(U1349/1000)/100,1)</f>
        <v/>
      </c>
      <c r="J1369" t="inlineStr"/>
      <c r="K1369" t="inlineStr"/>
      <c r="L1369" t="inlineStr"/>
      <c r="M1369" t="inlineStr"/>
      <c r="N1369" t="inlineStr"/>
      <c r="O1369">
        <f>(1-Summary!$B$11)*T1369+Summary!$B$11*V1369</f>
        <v/>
      </c>
      <c r="P1369">
        <f>IF(B1390=0,0,O1369/B1390)</f>
        <v/>
      </c>
      <c r="Q1369" t="n">
        <v>0</v>
      </c>
      <c r="R1369" t="n">
        <v>0</v>
      </c>
      <c r="S1369">
        <f>IFERROR(O1369/N1369,0)</f>
        <v/>
      </c>
      <c r="T1369" t="n">
        <v>0</v>
      </c>
      <c r="V1369" t="n">
        <v>0</v>
      </c>
    </row>
    <row r="1370">
      <c r="A1370">
        <f>Skills!A24</f>
        <v/>
      </c>
      <c r="B1370">
        <f>Skills!B24</f>
        <v/>
      </c>
      <c r="C1370">
        <f>Inputs!$B$3&gt;=40</f>
        <v/>
      </c>
      <c r="D1370">
        <f>IF(Skills!C24=1,60+Inputs!$B$25+Inputs!$B$29,IF(Skills!C24=2,90+Inputs!$B$26+Inputs!$B$29,IF(Skills!C24=3,120+Inputs!$B$27+Inputs!$B$29,MAX(0,(Inputs!$B$3-100)*3)+Inputs!$B$28+Inputs!$B$29)))</f>
        <v/>
      </c>
      <c r="E1370">
        <f>INDEX(FactorTable!$B$2:$Y$301, MATCH(ROUND(MIN(300,MAX(1,D1370)),0), FactorTable!$A$2:$A$301,0), Skills!M24+1)</f>
        <v/>
      </c>
      <c r="F1370">
        <f>IF(Skills!N24=TRUE,(Skills!L24/10)*(E1370/1000),Skills!L24/10)+Skills!O24</f>
        <v/>
      </c>
      <c r="G1370">
        <f>Calc!G24</f>
        <v/>
      </c>
      <c r="H1370">
        <f>Calc!H24</f>
        <v/>
      </c>
      <c r="I1370">
        <f>IF(Skills!AA24&lt;&gt;"",1+(Skills!AA24/10)*(U1349/1000)/100,1)</f>
        <v/>
      </c>
      <c r="J1370" t="inlineStr"/>
      <c r="K1370" t="inlineStr"/>
      <c r="L1370" t="inlineStr"/>
      <c r="M1370" t="inlineStr"/>
      <c r="N1370" t="inlineStr"/>
      <c r="O1370">
        <f>(1-Summary!$B$11)*T1370+Summary!$B$11*V1370</f>
        <v/>
      </c>
      <c r="P1370">
        <f>IF(B1390=0,0,O1370/B1390)</f>
        <v/>
      </c>
      <c r="Q1370" t="n">
        <v>0</v>
      </c>
      <c r="R1370" t="n">
        <v>0</v>
      </c>
      <c r="S1370">
        <f>IFERROR(O1370/N1370,0)</f>
        <v/>
      </c>
      <c r="T1370" t="n">
        <v>0</v>
      </c>
      <c r="V1370" t="n">
        <v>0</v>
      </c>
    </row>
    <row r="1371">
      <c r="A1371">
        <f>Skills!A25</f>
        <v/>
      </c>
      <c r="B1371">
        <f>Skills!B25</f>
        <v/>
      </c>
      <c r="C1371">
        <f>Inputs!$B$3&gt;=45</f>
        <v/>
      </c>
      <c r="D1371">
        <f>IF(Skills!C25=1,60+Inputs!$B$25+Inputs!$B$29,IF(Skills!C25=2,90+Inputs!$B$26+Inputs!$B$29,IF(Skills!C25=3,120+Inputs!$B$27+Inputs!$B$29,MAX(0,(Inputs!$B$3-100)*3)+Inputs!$B$28+Inputs!$B$29)))</f>
        <v/>
      </c>
      <c r="E1371">
        <f>INDEX(FactorTable!$B$2:$Y$301, MATCH(ROUND(MIN(300,MAX(1,D1371)),0), FactorTable!$A$2:$A$301,0), Skills!M25+1)</f>
        <v/>
      </c>
      <c r="F1371">
        <f>IF(Skills!N25=TRUE,(Skills!L25/10)*(E1371/1000),Skills!L25/10)+Skills!O25</f>
        <v/>
      </c>
      <c r="G1371">
        <f>Calc!G25</f>
        <v/>
      </c>
      <c r="H1371">
        <f>Calc!H25</f>
        <v/>
      </c>
      <c r="I1371">
        <f>IF(Skills!AA25&lt;&gt;"",1+(Skills!AA25/10)*(U1349/1000)/100,1)</f>
        <v/>
      </c>
      <c r="J1371" t="inlineStr"/>
      <c r="K1371" t="inlineStr"/>
      <c r="L1371" t="inlineStr"/>
      <c r="M1371" t="inlineStr"/>
      <c r="N1371" t="inlineStr"/>
      <c r="O1371">
        <f>(1-Summary!$B$11)*T1371+Summary!$B$11*V1371</f>
        <v/>
      </c>
      <c r="P1371">
        <f>IF(B1390=0,0,O1371/B1390)</f>
        <v/>
      </c>
      <c r="Q1371" t="n">
        <v>0</v>
      </c>
      <c r="R1371" t="n">
        <v>0</v>
      </c>
      <c r="S1371">
        <f>IFERROR(O1371/N1371,0)</f>
        <v/>
      </c>
      <c r="T1371" t="n">
        <v>0</v>
      </c>
      <c r="V1371" t="n">
        <v>0</v>
      </c>
    </row>
    <row r="1372">
      <c r="A1372">
        <f>Skills!A26</f>
        <v/>
      </c>
      <c r="B1372">
        <f>Skills!B26</f>
        <v/>
      </c>
      <c r="C1372">
        <f>Inputs!$B$3&gt;=45</f>
        <v/>
      </c>
      <c r="D1372">
        <f>IF(Skills!C26=1,60+Inputs!$B$25+Inputs!$B$29,IF(Skills!C26=2,90+Inputs!$B$26+Inputs!$B$29,IF(Skills!C26=3,120+Inputs!$B$27+Inputs!$B$29,MAX(0,(Inputs!$B$3-100)*3)+Inputs!$B$28+Inputs!$B$29)))</f>
        <v/>
      </c>
      <c r="E1372">
        <f>INDEX(FactorTable!$B$2:$Y$301, MATCH(ROUND(MIN(300,MAX(1,D1372)),0), FactorTable!$A$2:$A$301,0), Skills!M26+1)</f>
        <v/>
      </c>
      <c r="F1372">
        <f>IF(Skills!N26=TRUE,(Skills!L26/10)*(E1372/1000),Skills!L26/10)+Skills!O26</f>
        <v/>
      </c>
      <c r="G1372">
        <f>Calc!G26</f>
        <v/>
      </c>
      <c r="H1372">
        <f>Calc!H26</f>
        <v/>
      </c>
      <c r="I1372">
        <f>IF(Skills!AA26&lt;&gt;"",1+(Skills!AA26/10)*(U1349/1000)/100,1)</f>
        <v/>
      </c>
      <c r="J1372" t="inlineStr"/>
      <c r="K1372" t="inlineStr"/>
      <c r="L1372" t="inlineStr"/>
      <c r="M1372" t="inlineStr"/>
      <c r="N1372" t="inlineStr"/>
      <c r="O1372">
        <f>(1-Summary!$B$11)*T1372+Summary!$B$11*V1372</f>
        <v/>
      </c>
      <c r="P1372">
        <f>IF(B1390=0,0,O1372/B1390)</f>
        <v/>
      </c>
      <c r="Q1372" t="n">
        <v>0</v>
      </c>
      <c r="R1372" t="n">
        <v>0</v>
      </c>
      <c r="S1372">
        <f>IFERROR(O1372/N1372,0)</f>
        <v/>
      </c>
      <c r="T1372" t="n">
        <v>0</v>
      </c>
      <c r="V1372" t="n">
        <v>0</v>
      </c>
    </row>
    <row r="1373">
      <c r="A1373">
        <f>Skills!A27</f>
        <v/>
      </c>
      <c r="B1373">
        <f>Skills!B27</f>
        <v/>
      </c>
      <c r="C1373">
        <f>Inputs!$B$3&gt;=72</f>
        <v/>
      </c>
      <c r="D1373">
        <f>IF(Skills!C27=1,60+Inputs!$B$25+Inputs!$B$29,IF(Skills!C27=2,90+Inputs!$B$26+Inputs!$B$29,IF(Skills!C27=3,120+Inputs!$B$27+Inputs!$B$29,MAX(0,(Inputs!$B$3-100)*3)+Inputs!$B$28+Inputs!$B$29)))</f>
        <v/>
      </c>
      <c r="E1373">
        <f>INDEX(FactorTable!$B$2:$Y$301, MATCH(ROUND(MIN(300,MAX(1,D1373)),0), FactorTable!$A$2:$A$301,0), Skills!M27+1)</f>
        <v/>
      </c>
      <c r="F1373">
        <f>IF(Skills!N27=TRUE,(Skills!L27/10)*(E1373/1000),Skills!L27/10)+Skills!O27</f>
        <v/>
      </c>
      <c r="G1373">
        <f>Calc!G27</f>
        <v/>
      </c>
      <c r="H1373">
        <f>Calc!H27</f>
        <v/>
      </c>
      <c r="I1373">
        <f>IF(Skills!AA27&lt;&gt;"",1+(Skills!AA27/10)*(U1349/1000)/100,1)</f>
        <v/>
      </c>
      <c r="J1373" t="inlineStr"/>
      <c r="K1373" t="inlineStr"/>
      <c r="L1373" t="inlineStr"/>
      <c r="M1373" t="inlineStr"/>
      <c r="N1373" t="inlineStr"/>
      <c r="O1373">
        <f>(1-Summary!$B$11)*T1373+Summary!$B$11*V1373</f>
        <v/>
      </c>
      <c r="P1373">
        <f>IF(B1390=0,0,O1373/B1390)</f>
        <v/>
      </c>
      <c r="Q1373" t="n">
        <v>0</v>
      </c>
      <c r="R1373" t="n">
        <v>0</v>
      </c>
      <c r="S1373">
        <f>IFERROR(O1373/N1373,0)</f>
        <v/>
      </c>
      <c r="T1373" t="n">
        <v>0</v>
      </c>
      <c r="V1373" t="n">
        <v>0</v>
      </c>
    </row>
    <row r="1374">
      <c r="A1374">
        <f>Skills!A28</f>
        <v/>
      </c>
      <c r="B1374">
        <f>Skills!B28</f>
        <v/>
      </c>
      <c r="C1374">
        <f>Inputs!$B$3&gt;=75</f>
        <v/>
      </c>
      <c r="D1374">
        <f>IF(Skills!C28=1,60+Inputs!$B$25+Inputs!$B$29,IF(Skills!C28=2,90+Inputs!$B$26+Inputs!$B$29,IF(Skills!C28=3,120+Inputs!$B$27+Inputs!$B$29,MAX(0,(Inputs!$B$3-100)*3)+Inputs!$B$28+Inputs!$B$29)))</f>
        <v/>
      </c>
      <c r="E1374">
        <f>INDEX(FactorTable!$B$2:$Y$301, MATCH(ROUND(MIN(300,MAX(1,D1374)),0), FactorTable!$A$2:$A$301,0), Skills!M28+1)</f>
        <v/>
      </c>
      <c r="F1374">
        <f>IF(Skills!N28=TRUE,(Skills!L28/10)*(E1374/1000),Skills!L28/10)+Skills!O28</f>
        <v/>
      </c>
      <c r="G1374">
        <f>Calc!G28</f>
        <v/>
      </c>
      <c r="H1374">
        <f>Calc!H28</f>
        <v/>
      </c>
      <c r="I1374">
        <f>IF(Skills!AA28&lt;&gt;"",1+(Skills!AA28/10)*(U1349/1000)/100,1)</f>
        <v/>
      </c>
      <c r="J1374" t="inlineStr"/>
      <c r="K1374" t="inlineStr"/>
      <c r="L1374" t="inlineStr"/>
      <c r="M1374" t="inlineStr"/>
      <c r="N1374" t="inlineStr"/>
      <c r="O1374">
        <f>(1-Summary!$B$11)*T1374+Summary!$B$11*V1374</f>
        <v/>
      </c>
      <c r="P1374">
        <f>IF(B1390=0,0,O1374/B1390)</f>
        <v/>
      </c>
      <c r="Q1374" t="n">
        <v>0</v>
      </c>
      <c r="R1374" t="n">
        <v>0</v>
      </c>
      <c r="S1374">
        <f>IFERROR(O1374/N1374,0)</f>
        <v/>
      </c>
      <c r="T1374" t="n">
        <v>0</v>
      </c>
      <c r="V1374" t="n">
        <v>0</v>
      </c>
    </row>
    <row r="1375">
      <c r="A1375">
        <f>Skills!A29</f>
        <v/>
      </c>
      <c r="B1375">
        <f>Skills!B29</f>
        <v/>
      </c>
      <c r="C1375">
        <f>Inputs!$B$3&gt;=120</f>
        <v/>
      </c>
      <c r="D1375">
        <f>IF(Skills!C29=1,60+Inputs!$B$25+Inputs!$B$29,IF(Skills!C29=2,90+Inputs!$B$26+Inputs!$B$29,IF(Skills!C29=3,120+Inputs!$B$27+Inputs!$B$29,MAX(0,(Inputs!$B$3-100)*3)+Inputs!$B$28+Inputs!$B$29)))</f>
        <v/>
      </c>
      <c r="E1375">
        <f>INDEX(FactorTable!$B$2:$Y$301, MATCH(ROUND(MIN(300,MAX(1,D1375)),0), FactorTable!$A$2:$A$301,0), Skills!M29+1)</f>
        <v/>
      </c>
      <c r="F1375">
        <f>IF(Skills!N29=TRUE,(Skills!L29/10)*(E1375/1000),Skills!L29/10)+Skills!O29</f>
        <v/>
      </c>
      <c r="G1375">
        <f>Calc!G29</f>
        <v/>
      </c>
      <c r="H1375">
        <f>Calc!H29</f>
        <v/>
      </c>
      <c r="I1375">
        <f>IF(Skills!AA29&lt;&gt;"",1+(Skills!AA29/10)*(U1349/1000)/100,1)</f>
        <v/>
      </c>
      <c r="J1375" t="inlineStr"/>
      <c r="K1375" t="inlineStr"/>
      <c r="L1375" t="inlineStr"/>
      <c r="M1375" t="inlineStr"/>
      <c r="N1375" t="inlineStr"/>
      <c r="O1375">
        <f>(1-Summary!$B$11)*T1375+Summary!$B$11*V1375</f>
        <v/>
      </c>
      <c r="P1375">
        <f>IF(B1390=0,0,O1375/B1390)</f>
        <v/>
      </c>
      <c r="Q1375" t="n">
        <v>0</v>
      </c>
      <c r="R1375" t="n">
        <v>0</v>
      </c>
      <c r="S1375">
        <f>IFERROR(O1375/N1375,0)</f>
        <v/>
      </c>
      <c r="T1375" t="n">
        <v>0</v>
      </c>
      <c r="V1375" t="n">
        <v>0</v>
      </c>
    </row>
    <row r="1376">
      <c r="A1376">
        <f>Skills!A30</f>
        <v/>
      </c>
      <c r="B1376">
        <f>Skills!B30</f>
        <v/>
      </c>
      <c r="C1376">
        <f>Inputs!$B$3&gt;=125</f>
        <v/>
      </c>
      <c r="D1376">
        <f>IF(Skills!C30=1,60+Inputs!$B$25+Inputs!$B$29,IF(Skills!C30=2,90+Inputs!$B$26+Inputs!$B$29,IF(Skills!C30=3,120+Inputs!$B$27+Inputs!$B$29,MAX(0,(Inputs!$B$3-100)*3)+Inputs!$B$28+Inputs!$B$29)))</f>
        <v/>
      </c>
      <c r="E1376">
        <f>INDEX(FactorTable!$B$2:$Y$301, MATCH(ROUND(MIN(300,MAX(1,D1376)),0), FactorTable!$A$2:$A$301,0), Skills!M30+1)</f>
        <v/>
      </c>
      <c r="F1376">
        <f>IF(Skills!N30=TRUE,(Skills!L30/10)*(E1376/1000),Skills!L30/10)+Skills!O30</f>
        <v/>
      </c>
      <c r="G1376">
        <f>Calc!G30</f>
        <v/>
      </c>
      <c r="H1376">
        <f>Calc!H30</f>
        <v/>
      </c>
      <c r="I1376">
        <f>IF(Skills!AA30&lt;&gt;"",1+(Skills!AA30/10)*(U1349/1000)/100,1)</f>
        <v/>
      </c>
      <c r="J1376" t="inlineStr"/>
      <c r="K1376" t="inlineStr"/>
      <c r="L1376" t="inlineStr"/>
      <c r="M1376" t="inlineStr"/>
      <c r="N1376" t="inlineStr"/>
      <c r="O1376">
        <f>(1-Summary!$B$11)*T1376+Summary!$B$11*V1376</f>
        <v/>
      </c>
      <c r="P1376">
        <f>IF(B1390=0,0,O1376/B1390)</f>
        <v/>
      </c>
      <c r="Q1376" t="n">
        <v>0</v>
      </c>
      <c r="R1376" t="n">
        <v>0</v>
      </c>
      <c r="S1376">
        <f>IFERROR(O1376/N1376,0)</f>
        <v/>
      </c>
      <c r="T1376" t="n">
        <v>0</v>
      </c>
      <c r="V1376" t="n">
        <v>0</v>
      </c>
    </row>
    <row r="1377">
      <c r="A1377">
        <f>Skills!A31</f>
        <v/>
      </c>
      <c r="B1377">
        <f>Skills!B31</f>
        <v/>
      </c>
      <c r="C1377">
        <f>Inputs!$B$3&gt;=107</f>
        <v/>
      </c>
      <c r="D1377">
        <f>IF(Skills!C31=1,60+Inputs!$B$25+Inputs!$B$29,IF(Skills!C31=2,90+Inputs!$B$26+Inputs!$B$29,IF(Skills!C31=3,120+Inputs!$B$27+Inputs!$B$29,MAX(0,(Inputs!$B$3-100)*3)+Inputs!$B$28+Inputs!$B$29)))</f>
        <v/>
      </c>
      <c r="E1377">
        <f>INDEX(FactorTable!$B$2:$Y$301, MATCH(ROUND(MIN(300,MAX(1,D1377)),0), FactorTable!$A$2:$A$301,0), Skills!M31+1)</f>
        <v/>
      </c>
      <c r="F1377">
        <f>IF(Skills!N31=TRUE,(Skills!L31/10)*(E1377/1000),Skills!L31/10)+Skills!O31</f>
        <v/>
      </c>
      <c r="G1377">
        <f>Calc!G31</f>
        <v/>
      </c>
      <c r="H1377">
        <f>Calc!H31</f>
        <v/>
      </c>
      <c r="I1377">
        <f>IF(Skills!AA31&lt;&gt;"",1+(Skills!AA31/10)*(U1349/1000)/100,1)</f>
        <v/>
      </c>
      <c r="J1377" t="inlineStr"/>
      <c r="K1377" t="inlineStr"/>
      <c r="L1377" t="inlineStr"/>
      <c r="M1377" t="inlineStr"/>
      <c r="N1377" t="inlineStr"/>
      <c r="O1377">
        <f>(1-Summary!$B$11)*T1377+Summary!$B$11*V1377</f>
        <v/>
      </c>
      <c r="P1377">
        <f>IF(B1390=0,0,O1377/B1390)</f>
        <v/>
      </c>
      <c r="Q1377" t="n">
        <v>0</v>
      </c>
      <c r="R1377" t="n">
        <v>0</v>
      </c>
      <c r="S1377">
        <f>IFERROR(O1377/N1377,0)</f>
        <v/>
      </c>
      <c r="T1377" t="n">
        <v>0</v>
      </c>
      <c r="V1377" t="n">
        <v>0</v>
      </c>
    </row>
    <row r="1379">
      <c r="A1379" t="inlineStr">
        <is>
          <t>Actions Per Second (pre-Adrenalin)</t>
        </is>
      </c>
      <c r="B1379">
        <f>1+MIN(150,150*(1-(1-(Inputs!$B$11+((C1368=TRUE)*(F1368-Calc!F22))+(ArtifactsInput!$M$15-ArtifactsInput!$M$15)*CHOOSE(ArtifactsInput!$N$15+1,8,9.6,11.2,12.8,14.4,16))/150)*(1-((C1365=TRUE)*F1365*IF(AND(Inputs!$B$39&lt;&gt;"pvp",Inputs!$B$44&gt;0),(((R1365-1)*(Skills!Y19*(1+Inputs!$B$34/100))+MIN((Skills!Y19*(1+Inputs!$B$34/100)),MAX(0,Inputs!$B$44-((R1365-1)*Skills!D19))))/Inputs!$B$44),IF(Inputs!$B$39="pvp",MIN((Skills!Y19*(1+Inputs!$B$34/100)),15)/15,(Skills!Y19*(1+Inputs!$B$34/100))/Skills!D19)))/150)))/100</f>
        <v/>
      </c>
    </row>
    <row r="1380">
      <c r="A1380" t="inlineStr">
        <is>
          <t>Alchemic Adrenaline Uptime</t>
        </is>
      </c>
      <c r="B1380">
        <f>(Skills!Y6*(1+Inputs!$B$34/100))/((Skills!Y6*(1+Inputs!$B$34/100))+(5/B1379))</f>
        <v/>
      </c>
    </row>
    <row r="1381">
      <c r="A1381" t="inlineStr">
        <is>
          <t>Attack Speed Buff Bonus %</t>
        </is>
      </c>
      <c r="B1381">
        <f>((C1365=TRUE)*F1365*IF(AND(Inputs!$B$39&lt;&gt;"pvp",Inputs!$B$44&gt;0),(((R1365-1)*(Skills!Y19*(1+Inputs!$B$34/100))+MIN((Skills!Y19*(1+Inputs!$B$34/100)),MAX(0,Inputs!$B$44-((R1365-1)*Skills!D19))))/Inputs!$B$44),IF(Inputs!$B$39="pvp",MIN((Skills!Y19*(1+Inputs!$B$34/100)),15)/15,(Skills!Y19*(1+Inputs!$B$34/100))/Skills!D19)))+((C1353=TRUE)*F1353*B1380)</f>
        <v/>
      </c>
    </row>
    <row r="1382">
      <c r="A1382" t="inlineStr">
        <is>
          <t>Actions Per Second (final)</t>
        </is>
      </c>
      <c r="B1382">
        <f>1+MIN(150,150*(1-(1-(Inputs!$B$11+((C1368=TRUE)*(F1368-Calc!F22))+(ArtifactsInput!$M$15-ArtifactsInput!$M$15)*CHOOSE(ArtifactsInput!$N$15+1,8,9.6,11.2,12.8,14.4,16))/150)*(1-B1381/150)))/100</f>
        <v/>
      </c>
    </row>
    <row r="1383">
      <c r="A1383" t="inlineStr">
        <is>
          <t>Skill + Buff Cast Rate</t>
        </is>
      </c>
      <c r="B1383">
        <f>IF(AND(Inputs!$B$39&lt;&gt;"pvp",Inputs!$B$44&gt;0),SUMPRODUCT((Skills!E2:E31=TRUE)*(C1348:C1377=TRUE)*R1348:R1377*Skills!F2:F31)/Inputs!$B$44,SUMPRODUCT((Skills!E2:E31=TRUE)*(C1348:C1377=TRUE)*Q1348:Q1377*Skills!F2:F31))</f>
        <v/>
      </c>
    </row>
    <row r="1384">
      <c r="A1384" t="inlineStr">
        <is>
          <t>Showdown Casts Per Second</t>
        </is>
      </c>
      <c r="B1384">
        <f>MAX(0,B1382-B1383)</f>
        <v/>
      </c>
    </row>
    <row r="1385">
      <c r="A1385" t="inlineStr">
        <is>
          <t>Average Buff Multiplier</t>
        </is>
      </c>
      <c r="B1385">
        <f>(1+(((C1367=TRUE)*F1367*IF(AND(Inputs!$B$39&lt;&gt;"pvp",Inputs!$B$44&gt;0),(((R1367-1)*(Skills!Y21*(1+Inputs!$B$34/100))+MIN((Skills!Y21*(1+Inputs!$B$34/100)),MAX(0,Inputs!$B$44-((R1367-1)*Skills!D21))))/Inputs!$B$44),IF(Inputs!$B$39="pvp",MIN((Skills!Y21*(1+Inputs!$B$34/100)),15)/15,(Skills!Y21*(1+Inputs!$B$34/100))/Skills!D21)))+((C1374=TRUE)*(F1374-Calc!F28))+((C1364=TRUE)*(F1364-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1361=TRUE)*F1361*IF(AND(Inputs!$B$39&lt;&gt;"pvp",Inputs!$B$44&gt;0),(((R1361-1)*(Skills!Y15*(1+Inputs!$B$34/100))+MIN((Skills!Y15*(1+Inputs!$B$34/100)),MAX(0,Inputs!$B$44-((R1361-1)*Skills!D15))))/Inputs!$B$44),IF(Inputs!$B$39="pvp",MIN((Skills!Y15*(1+Inputs!$B$34/100)),15)/15,(Skills!Y15*(1+Inputs!$B$34/100))/Skills!D15)))/100)*(1+((C1352=TRUE)*F1352*B1380)/100)</f>
        <v/>
      </c>
    </row>
    <row r="1386">
      <c r="A1386" t="inlineStr">
        <is>
          <t>Global Crit Rate Bonus %</t>
        </is>
      </c>
      <c r="B1386">
        <f>IF(Inputs!$B$3&gt;=47,8,0)+((C1366=TRUE)*F1366*IF(AND(Inputs!$B$39&lt;&gt;"pvp",Inputs!$B$44&gt;0),(((R1366-1)*(Skills!Y20*(1+Inputs!$B$34/100))+MIN((Skills!Y20*(1+Inputs!$B$34/100)),MAX(0,Inputs!$B$44-((R1366-1)*Skills!D20))))/Inputs!$B$44),IF(Inputs!$B$39="pvp",MIN((Skills!Y20*(1+Inputs!$B$34/100)),15)/15,(Skills!Y20*(1+Inputs!$B$34/100))/Skills!D20)))</f>
        <v/>
      </c>
    </row>
    <row r="1387">
      <c r="A1387" t="inlineStr">
        <is>
          <t>Global Monster Damage-Taken Bonus %</t>
        </is>
      </c>
      <c r="B1387">
        <f>IF(Inputs!$B$3&gt;=82,15,0)+((C1362=TRUE)*F1362*IF(AND(Inputs!$B$39&lt;&gt;"pvp",Inputs!$B$44&gt;0),(((R1362-1)*(Skills!Y16*(1+Inputs!$B$34/100))+MIN((Skills!Y16*(1+Inputs!$B$34/100)),MAX(0,Inputs!$B$44-((R1362-1)*Skills!D16))))/Inputs!$B$44),IF(Inputs!$B$39="pvp",MIN((Skills!Y16*(1+Inputs!$B$34/100)),15)/15,(Skills!Y16*(1+Inputs!$B$34/100))/Skills!D16)))</f>
        <v/>
      </c>
    </row>
    <row r="1388">
      <c r="A1388" t="inlineStr">
        <is>
          <t>Shadow Partner Average Multiplier</t>
        </is>
      </c>
      <c r="B1388">
        <f>1+((C1357=TRUE)*F1357*I1357*Skills!J11/100)/100</f>
        <v/>
      </c>
    </row>
    <row r="1389">
      <c r="A1389" t="inlineStr">
        <is>
          <t>Global Critical Damage Bonus % (Frailty Curse Mastery Lv.111)</t>
        </is>
      </c>
      <c r="B1389">
        <f>IF(Inputs!$B$3&gt;=111,30,0)*IF(AND(Inputs!$B$39&lt;&gt;"pvp",Inputs!$B$44&gt;0),(((R1362-1)*(Skills!Y16*(1+Inputs!$B$34/100))+MIN((Skills!Y16*(1+Inputs!$B$34/100)),MAX(0,Inputs!$B$44-((R1362-1)*Skills!D16))))/Inputs!$B$44),IF(Inputs!$B$39="pvp",MIN((Skills!Y16*(1+Inputs!$B$34/100)),15)/15,(Skills!Y16*(1+Inputs!$B$34/100))/Skills!D16))</f>
        <v/>
      </c>
    </row>
    <row r="1390">
      <c r="A1390" s="6" t="inlineStr">
        <is>
          <t>TOTAL DPS</t>
        </is>
      </c>
      <c r="B1390" s="6">
        <f>SUM(O1348:O1377)</f>
        <v/>
      </c>
    </row>
    <row r="1391">
      <c r="A1391" t="inlineStr">
        <is>
          <t>Buff-Casting Startup Delay (s, fixed-duration only)</t>
        </is>
      </c>
      <c r="B1391">
        <f>IF(AND(Inputs!$B$39&lt;&gt;"pvp",Inputs!$B$44&gt;0),SUMPRODUCT((Skills!Y2:Y31&gt;0)*(Skills!E2:E31=TRUE)*(C1348:C1377=TRUE))/B1382,0)</f>
        <v/>
      </c>
    </row>
    <row r="1392">
      <c r="A1392" t="inlineStr">
        <is>
          <t>Boss-Only Total DPS (this block's swept value)</t>
        </is>
      </c>
      <c r="B1392">
        <f>SUM(T1348:T1377)</f>
        <v/>
      </c>
    </row>
    <row r="1393">
      <c r="A1393" t="inlineStr">
        <is>
          <t>Normal-Only Total DPS (this block's swept value)</t>
        </is>
      </c>
      <c r="B1393">
        <f>SUM(V1348:V1377)</f>
        <v/>
      </c>
    </row>
    <row r="1395">
      <c r="A1395" s="6" t="inlineStr">
        <is>
          <t>Stat: Charm of the Undead (Equip)</t>
        </is>
      </c>
    </row>
    <row r="1396">
      <c r="A1396" s="5" t="inlineStr">
        <is>
          <t>Key</t>
        </is>
      </c>
      <c r="B1396" s="5" t="inlineStr">
        <is>
          <t>Name</t>
        </is>
      </c>
      <c r="C1396" s="5" t="inlineStr">
        <is>
          <t>Unlocked</t>
        </is>
      </c>
      <c r="D1396" s="5" t="inlineStr">
        <is>
          <t>InputLevel</t>
        </is>
      </c>
      <c r="E1396" s="5" t="inlineStr">
        <is>
          <t>Factor</t>
        </is>
      </c>
      <c r="F1396" s="5" t="inlineStr">
        <is>
          <t>CoefficientPercent</t>
        </is>
      </c>
      <c r="G1396" s="5" t="inlineStr">
        <is>
          <t>EffectiveHits</t>
        </is>
      </c>
      <c r="H1396" s="5" t="inlineStr">
        <is>
          <t>ProcProbability</t>
        </is>
      </c>
      <c r="I1396" s="5" t="inlineStr">
        <is>
          <t>MapleHeroMultiplier</t>
        </is>
      </c>
      <c r="J1396" s="5" t="inlineStr">
        <is>
          <t>BaseDamage</t>
        </is>
      </c>
      <c r="K1396" s="5" t="inlineStr">
        <is>
          <t>BaseHitDamage</t>
        </is>
      </c>
      <c r="L1396" s="5" t="inlineStr">
        <is>
          <t>NonCritAvg</t>
        </is>
      </c>
      <c r="M1396" s="5" t="inlineStr">
        <is>
          <t>CritAvg</t>
        </is>
      </c>
      <c r="N1396" s="5" t="inlineStr">
        <is>
          <t>ExpectedDamage(perHit)</t>
        </is>
      </c>
      <c r="O1396" s="5" t="inlineStr">
        <is>
          <t>DPS</t>
        </is>
      </c>
      <c r="P1396" s="5" t="inlineStr">
        <is>
          <t>% of Total</t>
        </is>
      </c>
      <c r="Q1396" s="5" t="inlineStr">
        <is>
          <t>InvCooldown</t>
        </is>
      </c>
      <c r="R1396" s="5" t="inlineStr">
        <is>
          <t>CastsInFight</t>
        </is>
      </c>
      <c r="S1396" s="5" t="inlineStr">
        <is>
          <t>HitRate(perSec)</t>
        </is>
      </c>
      <c r="U1396" t="inlineStr">
        <is>
          <t>helpers</t>
        </is>
      </c>
    </row>
    <row r="1397">
      <c r="A1397">
        <f>Skills!A2</f>
        <v/>
      </c>
      <c r="B1397">
        <f>Skills!B2</f>
        <v/>
      </c>
      <c r="C1397">
        <f>Inputs!$B$3&gt;=100</f>
        <v/>
      </c>
      <c r="D1397" t="inlineStr"/>
      <c r="E1397" t="inlineStr"/>
      <c r="F1397">
        <f>U1401+Skills!O2</f>
        <v/>
      </c>
      <c r="G1397">
        <f>Calc!G2</f>
        <v/>
      </c>
      <c r="H1397">
        <f>Calc!H2</f>
        <v/>
      </c>
      <c r="I1397">
        <f>IF(Skills!AA2&lt;&gt;"",1+(Skills!AA2/10)*(U1398/1000)/100,1)</f>
        <v/>
      </c>
      <c r="J1397">
        <f>((Inputs!$B$6*(1+Inputs!$B$7/100))+(((Inputs!$B$12*(1+Inputs!$B$13/100))-(Inputs!$B$12*(1+Inputs!$B$13/100)))+0.25*(Inputs!$B$14-Inputs!$B$14))*(1+Inputs!$B$7/100))*(F1397/100)</f>
        <v/>
      </c>
      <c r="K1397">
        <f>J1397*(1+((Inputs!$B$12*(1+Inputs!$B$13/100))*0.01+Inputs!$B$14*0.0025)/100)*(1+Inputs!$B$15/100)*(1+Inputs!$B$16/100)*(5000/(6000+Inputs!$B$43*(1-(100*(1-(1-(Inputs!$B$19+0)/100)*(1-CHOOSE(ArtifactsInput!$N$40+1,5,6,7,8,9,10)/100)^(ArtifactsInput!$M$40-ArtifactsInput!$M$40)))/100)))*(1+(Inputs!$B$24+((C1425=TRUE)*(F1425-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1418=TRUE)*(F1418-Calc!F23))+(((IF(AND(ArtifactsInput!$M$42,((Inputs!$B$9+((C1420=TRUE)*(F1420-Calc!F25))+B1435+(ArtifactsInput!$M$24-ArtifactsInput!$M$24)*CHOOSE(ArtifactsInput!$N$24+1,10,12,14,16,18,20)+IF(ArtifactsInput!$M$10,CHOOSE(ArtifactsInput!$N$10+1,15,18,21,24,27,30)*(IF(Inputs!$B$39="pvp",MIN(15,15)/15,IF(AND(Inputs!$B$39&lt;&gt;"pvp",Inputs!$B$44&gt;0),MIN(15,Inputs!$B$44)/(Inputs!$B$44),0))),0)))&gt;=100),MIN(100,((Inputs!$B$9+((C1420=TRUE)*(F1420-Calc!F25))+B1435+(ArtifactsInput!$M$24-ArtifactsInput!$M$24)*CHOOSE(ArtifactsInput!$N$24+1,10,12,14,16,18,20)+IF(ArtifactsInput!$M$10,CHOOSE(ArtifactsInput!$N$10+1,15,18,21,24,27,30)*(IF(Inputs!$B$39="pvp",MIN(15,15)/15,IF(AND(Inputs!$B$39&lt;&gt;"pvp",Inputs!$B$44&gt;0),MIN(15,Inputs!$B$44)/(Inputs!$B$44),0))),0)))-100),0))*CHOOSE(ArtifactsInput!$N$42+1,0.6,0.72,0.84,0.96,1.08,1.2))),Inputs!$B$18+((C1424=TRUE)*(F1424-Calc!F29))+(IF(AND(ArtifactsInput!$M$42,((Inputs!$B$9+((C1420=TRUE)*(F1420-Calc!F25))+B1435+(ArtifactsInput!$M$24-ArtifactsInput!$M$24)*CHOOSE(ArtifactsInput!$N$24+1,10,12,14,16,18,20)+IF(ArtifactsInput!$M$10,CHOOSE(ArtifactsInput!$N$10+1,15,18,21,24,27,30)*(IF(Inputs!$B$39="pvp",MIN(15,15)/15,IF(AND(Inputs!$B$39&lt;&gt;"pvp",Inputs!$B$44&gt;0),MIN(15,Inputs!$B$44)/(Inputs!$B$44),0))),0)))&gt;=100),CHOOSE(ArtifactsInput!$N$42+1,40,48,56,64,72,80),0))))/100)*(((1+(((C1416=TRUE)*F1416*IF(AND(Inputs!$B$39&lt;&gt;"pvp",Inputs!$B$44&gt;0),(((R1416-1)*(Skills!Y21*(1+Inputs!$B$34/100))+MIN((Skills!Y21*(1+Inputs!$B$34/100)),MAX(0,Inputs!$B$44-((R1416-1)*Skills!D21))))/Inputs!$B$44),IF(Inputs!$B$39="pvp",MIN((Skills!Y21*(1+Inputs!$B$34/100)),15)/15,(Skills!Y21*(1+Inputs!$B$34/100))/Skills!D21)))+((C1423=TRUE)*(F1423-Calc!F28))+((C1413=TRUE)*(F1413-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1410=TRUE)*F1410*IF(AND(Inputs!$B$39&lt;&gt;"pvp",Inputs!$B$44&gt;0),(((R1410-1)*(Skills!Y15*(1+Inputs!$B$34/100))+MIN((Skills!Y15*(1+Inputs!$B$34/100)),MAX(0,Inputs!$B$44-((R1410-1)*Skills!D15))))/Inputs!$B$44),IF(Inputs!$B$39="pvp",MIN((Skills!Y15*(1+Inputs!$B$34/100)),15)/15,(Skills!Y15*(1+Inputs!$B$34/100))/Skills!D15)))/100)*(1+((C1401=TRUE)*F1401*B1429)/100))*B1437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1397)</f>
        <v/>
      </c>
      <c r="L1397">
        <f>K1397*(MIN(Inputs!$B$22+((C1419=TRUE)*(F1419-Calc!F24)),(Inputs!$B$23+0+(IF(ArtifactsInput!$M$15,CHOOSE(ArtifactsInput!$N$15+1,25,30,35,40,45,50)/100*(Inputs!$B$11-Inputs!$B$11),0))))/100+(Inputs!$B$23+0+(IF(ArtifactsInput!$M$15,CHOOSE(ArtifactsInput!$N$15+1,25,30,35,40,45,50)/100*(Inputs!$B$11-Inputs!$B$11),0)))/100)/2</f>
        <v/>
      </c>
      <c r="M1397">
        <f>L1397*(1+(Inputs!$B$10+((C1421=TRUE)*(F1421-Calc!F26))+B1438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97">
        <f>L1397*(1-MIN((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1397*(MIN((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97">
        <f>(1-Summary!$B$11)*T1397+Summary!$B$11*V1397</f>
        <v/>
      </c>
      <c r="P1397">
        <f>IF(B1439=0,0,O1397/B1439)</f>
        <v/>
      </c>
      <c r="Q1397" t="n">
        <v>0</v>
      </c>
      <c r="R1397" t="n">
        <v>0</v>
      </c>
      <c r="S1397">
        <f>IFERROR(O1397/N1397,0)</f>
        <v/>
      </c>
      <c r="T1397">
        <f>IF(C1397,(Skills!G2*N1397*B1433)*IF(Inputs!$B$39="pvp",1,1+(Inputs!$B$20+((C1422=TRUE)*(F1422-Calc!F27))+Skills!P2+B1436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Hunt"),CHOOSE(ArtifactsInput!$N$35+1,15,18,21,24,27,30)*(1-EXP(-(0.2*B1431)*5)),0)+IF(AND(ArtifactsInput!$M$22,Inputs!$B$4&lt;&gt;"Chapter Hunt"),CHOOSE(ArtifactsInput!$N$22+1,10,12,14,16,18,20)*((0*(((0.15*B1431*5))^0/1)+1*(((0.15*B1431*5))^1/1)+2*(((0.15*B1431*5))^2/2)+3*(((0.15*B1431*5))^3/6)+4*(((0.15*B1431*5))^4/24)+5*(((0.15*B1431*5))^5/120))/((((0.15*B1431*5))^0/1)+(((0.15*B1431*5))^1/1)+(((0.15*B1431*5))^2/2)+(((0.15*B1431*5))^3/6)+(((0.15*B1431*5))^4/24)+(((0.15*B1431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1397*(1-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1397*(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1397*(1-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1397*(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97">
        <f>MAX(0,(Inputs!$B$3-100)*3)+Inputs!$B$28+Inputs!$B$29</f>
        <v/>
      </c>
      <c r="V1397">
        <f>IF(C1397,(Skills!G2*N1397*B1433)*IF(Inputs!$B$39="pvp",1,(1+(Inputs!$B$21+Skills!Q2+B1436+(IF(ArtifactsInput!$M$33,CHOOSE(ArtifactsInput!$N$33+1,30,36,42,48,54,60),0))+(IF(AND(ArtifactsInput!$M$35,Inputs!$B$4&lt;&gt;"Chapter Hunt"),CHOOSE(ArtifactsInput!$N$35+1,15,18,21,24,27,30)*(1-EXP(-(0.2*B1431)*5)),0)+IF(AND(ArtifactsInput!$M$22,Inputs!$B$4&lt;&gt;"Chapter Hunt"),CHOOSE(ArtifactsInput!$N$22+1,10,12,14,16,18,20)*((0*(((0.15*B1431*5))^0/1)+1*(((0.15*B1431*5))^1/1)+2*(((0.15*B1431*5))^2/2)+3*(((0.15*B1431*5))^3/6)+4*(((0.15*B1431*5))^4/24)+5*(((0.15*B1431*5))^5/120))/((((0.15*B1431*5))^0/1)+(((0.15*B1431*5))^1/1)+(((0.15*B1431*5))^2/2)+(((0.15*B1431*5))^3/6)+(((0.15*B1431*5))^4/24)+(((0.15*B1431*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98">
      <c r="A1398">
        <f>Skills!A3</f>
        <v/>
      </c>
      <c r="B1398">
        <f>Skills!B3</f>
        <v/>
      </c>
      <c r="C1398">
        <f>Inputs!$B$3&gt;=35</f>
        <v/>
      </c>
      <c r="D1398">
        <f>IF(Skills!C3=1,60+Inputs!$B$25+Inputs!$B$29,IF(Skills!C3=2,90+Inputs!$B$26+Inputs!$B$29,IF(Skills!C3=3,120+Inputs!$B$27+Inputs!$B$29,MAX(0,(Inputs!$B$3-100)*3)+Inputs!$B$28+Inputs!$B$29)))</f>
        <v/>
      </c>
      <c r="E1398">
        <f>INDEX(FactorTable!$B$2:$Y$301, MATCH(ROUND(MIN(300,MAX(1,D1398)),0), FactorTable!$A$2:$A$301,0), Skills!M3+1)</f>
        <v/>
      </c>
      <c r="F1398">
        <f>IF(Skills!N3=TRUE,(Skills!L3/10)*(E1398/1000),Skills!L3/10)+Skills!O3</f>
        <v/>
      </c>
      <c r="G1398">
        <f>Calc!G3</f>
        <v/>
      </c>
      <c r="H1398">
        <f>Calc!H3</f>
        <v/>
      </c>
      <c r="I1398">
        <f>IF(Skills!AA3&lt;&gt;"",1+(Skills!AA3/10)*(U1398/1000)/100,1)</f>
        <v/>
      </c>
      <c r="J1398">
        <f>((Inputs!$B$6*(1+Inputs!$B$7/100))+(((Inputs!$B$12*(1+Inputs!$B$13/100))-(Inputs!$B$12*(1+Inputs!$B$13/100)))+0.25*(Inputs!$B$14-Inputs!$B$14))*(1+Inputs!$B$7/100))*(F1398/100)</f>
        <v/>
      </c>
      <c r="K1398">
        <f>J1398*(1+((Inputs!$B$12*(1+Inputs!$B$13/100))*0.01+Inputs!$B$14*0.0025)/100)*(1+Inputs!$B$15/100)*(1+Inputs!$B$16/100)*(5000/(6000+Inputs!$B$43*(1-(100*(1-(1-(Inputs!$B$19+0)/100)*(1-CHOOSE(ArtifactsInput!$N$40+1,5,6,7,8,9,10)/100)^(ArtifactsInput!$M$40-ArtifactsInput!$M$40)))/100)))*(1+(Inputs!$B$24+((C1425=TRUE)*(F1425-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1418=TRUE)*(F1418-Calc!F23))+(((IF(AND(ArtifactsInput!$M$42,((Inputs!$B$9+((C1420=TRUE)*(F1420-Calc!F25))+B1435+(ArtifactsInput!$M$24-ArtifactsInput!$M$24)*CHOOSE(ArtifactsInput!$N$24+1,10,12,14,16,18,20)+IF(ArtifactsInput!$M$10,CHOOSE(ArtifactsInput!$N$10+1,15,18,21,24,27,30)*(IF(Inputs!$B$39="pvp",MIN(15,15)/15,IF(AND(Inputs!$B$39&lt;&gt;"pvp",Inputs!$B$44&gt;0),MIN(15,Inputs!$B$44)/(Inputs!$B$44),0))),0)))&gt;=100),MIN(100,((Inputs!$B$9+((C1420=TRUE)*(F1420-Calc!F25))+B1435+(ArtifactsInput!$M$24-ArtifactsInput!$M$24)*CHOOSE(ArtifactsInput!$N$24+1,10,12,14,16,18,20)+IF(ArtifactsInput!$M$10,CHOOSE(ArtifactsInput!$N$10+1,15,18,21,24,27,30)*(IF(Inputs!$B$39="pvp",MIN(15,15)/15,IF(AND(Inputs!$B$39&lt;&gt;"pvp",Inputs!$B$44&gt;0),MIN(15,Inputs!$B$44)/(Inputs!$B$44),0))),0)))-100),0))*CHOOSE(ArtifactsInput!$N$42+1,0.6,0.72,0.84,0.96,1.08,1.2))),Inputs!$B$18+((C1424=TRUE)*(F1424-Calc!F29))+(IF(AND(ArtifactsInput!$M$42,((Inputs!$B$9+((C1420=TRUE)*(F1420-Calc!F25))+B1435+(ArtifactsInput!$M$24-ArtifactsInput!$M$24)*CHOOSE(ArtifactsInput!$N$24+1,10,12,14,16,18,20)+IF(ArtifactsInput!$M$10,CHOOSE(ArtifactsInput!$N$10+1,15,18,21,24,27,30)*(IF(Inputs!$B$39="pvp",MIN(15,15)/15,IF(AND(Inputs!$B$39&lt;&gt;"pvp",Inputs!$B$44&gt;0),MIN(15,Inputs!$B$44)/(Inputs!$B$44),0))),0)))&gt;=100),CHOOSE(ArtifactsInput!$N$42+1,40,48,56,64,72,80),0))))/100)*(((1+(((C1416=TRUE)*F1416*IF(AND(Inputs!$B$39&lt;&gt;"pvp",Inputs!$B$44&gt;0),(((R1416-1)*(Skills!Y21*(1+Inputs!$B$34/100))+MIN((Skills!Y21*(1+Inputs!$B$34/100)),MAX(0,Inputs!$B$44-((R1416-1)*Skills!D21))))/Inputs!$B$44),IF(Inputs!$B$39="pvp",MIN((Skills!Y21*(1+Inputs!$B$34/100)),15)/15,(Skills!Y21*(1+Inputs!$B$34/100))/Skills!D21)))+((C1423=TRUE)*(F1423-Calc!F28))+((C1413=TRUE)*(F1413-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1410=TRUE)*F1410*IF(AND(Inputs!$B$39&lt;&gt;"pvp",Inputs!$B$44&gt;0),(((R1410-1)*(Skills!Y15*(1+Inputs!$B$34/100))+MIN((Skills!Y15*(1+Inputs!$B$34/100)),MAX(0,Inputs!$B$44-((R1410-1)*Skills!D15))))/Inputs!$B$44),IF(Inputs!$B$39="pvp",MIN((Skills!Y15*(1+Inputs!$B$34/100)),15)/15,(Skills!Y15*(1+Inputs!$B$34/100))/Skills!D15)))/100)*(1+((C1401=TRUE)*F1401*B1429)/100))*B1437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1398)</f>
        <v/>
      </c>
      <c r="L1398">
        <f>K1398*(MIN(Inputs!$B$22+((C1419=TRUE)*(F1419-Calc!F24)),(Inputs!$B$23+0+(IF(ArtifactsInput!$M$15,CHOOSE(ArtifactsInput!$N$15+1,25,30,35,40,45,50)/100*(Inputs!$B$11-Inputs!$B$11),0))))/100+(Inputs!$B$23+0+(IF(ArtifactsInput!$M$15,CHOOSE(ArtifactsInput!$N$15+1,25,30,35,40,45,50)/100*(Inputs!$B$11-Inputs!$B$11),0)))/100)/2</f>
        <v/>
      </c>
      <c r="M1398">
        <f>L1398*(1+(Inputs!$B$10+((C1421=TRUE)*(F1421-Calc!F26))+B1438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98">
        <f>L1398*(1-MIN((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1398*(MIN((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98">
        <f>(1-Summary!$B$11)*T1398+Summary!$B$11*V1398</f>
        <v/>
      </c>
      <c r="P1398">
        <f>IF(B1439=0,0,O1398/B1439)</f>
        <v/>
      </c>
      <c r="Q1398">
        <f>IFERROR(1/IF(Inputs!$B$39="pvp",15,MAX(0.1,Skills!D3-IF(Skills!E3=TRUE,Inputs!$B$32,0))),0)</f>
        <v/>
      </c>
      <c r="R1398">
        <f>IF(AND(Inputs!$B$39&lt;&gt;"pvp",Inputs!$B$44&gt;0),IF(MAX(0,Inputs!$B$44-B1440)&lt;=0,0,(INT(MAX(0,Inputs!$B$44-B1440)/IF(Inputs!$B$39="pvp",15,MAX(0.1,Skills!D3-IF(Skills!E3=TRUE,Inputs!$B$32,0))))+1)),0)</f>
        <v/>
      </c>
      <c r="S1398">
        <f>IFERROR(O1398/N1398,0)</f>
        <v/>
      </c>
      <c r="T1398">
        <f>IF(C1398,(H1398*N1398*IF(AND(Inputs!$B$39&lt;&gt;"pvp",Inputs!$B$44&gt;0),((Skills!G3*((R1398-1)*IF(Skills!H3&gt;0,Skills!I3/Skills!H3,1)+IF(Skills!H3&gt;0,MIN(Skills!I3,MAX(0,MAX(0,Inputs!$B$44-B1440)-((R1398-1)*IF(Inputs!$B$39="pvp",15,MAX(0.1,Skills!D3-IF(Skills!E3=TRUE,Inputs!$B$32,0))))))/Skills!H3,1)))/Inputs!$B$44),G1398*Q1398))*IF(Inputs!$B$39="pvp",1,1+(Inputs!$B$20+((C1422=TRUE)*(F1422-Calc!F27))+Skills!P3+B1436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Hunt"),CHOOSE(ArtifactsInput!$N$35+1,15,18,21,24,27,30)*(1-EXP(-(0.2*B1431)*5)),0)+IF(AND(ArtifactsInput!$M$22,Inputs!$B$4&lt;&gt;"Chapter Hunt"),CHOOSE(ArtifactsInput!$N$22+1,10,12,14,16,18,20)*((0*(((0.15*B1431*5))^0/1)+1*(((0.15*B1431*5))^1/1)+2*(((0.15*B1431*5))^2/2)+3*(((0.15*B1431*5))^3/6)+4*(((0.15*B1431*5))^4/24)+5*(((0.15*B1431*5))^5/120))/((((0.15*B1431*5))^0/1)+(((0.15*B1431*5))^1/1)+(((0.15*B1431*5))^2/2)+(((0.15*B1431*5))^3/6)+(((0.15*B1431*5))^4/24)+(((0.15*B1431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1398*(1-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1398*(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1398*(1-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1398*(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98">
        <f>INDEX(FactorTable!$B$2:$Y$301, MATCH(ROUND(MIN(300,MAX(1,U1397)),0), FactorTable!$A$2:$A$301,0), 24)</f>
        <v/>
      </c>
      <c r="V1398">
        <f>IF(C1398,(H1398*N1398*IF(AND(Inputs!$B$39&lt;&gt;"pvp",Inputs!$B$44&gt;0),((Skills!G3*((R1398-1)*IF(Skills!H3&gt;0,Skills!I3/Skills!H3,1)+IF(Skills!H3&gt;0,MIN(Skills!I3,MAX(0,MAX(0,Inputs!$B$44-B1440)-((R1398-1)*IF(Inputs!$B$39="pvp",15,MAX(0.1,Skills!D3-IF(Skills!E3=TRUE,Inputs!$B$32,0))))))/Skills!H3,1)))/Inputs!$B$44),G1398*Q1398))*IF(Inputs!$B$39="pvp",1,(1+(Inputs!$B$21+Skills!Q3+B1436+(IF(ArtifactsInput!$M$33,CHOOSE(ArtifactsInput!$N$33+1,30,36,42,48,54,60),0))+(IF(AND(ArtifactsInput!$M$35,Inputs!$B$4&lt;&gt;"Chapter Hunt"),CHOOSE(ArtifactsInput!$N$35+1,15,18,21,24,27,30)*(1-EXP(-(0.2*B1431)*5)),0)+IF(AND(ArtifactsInput!$M$22,Inputs!$B$4&lt;&gt;"Chapter Hunt"),CHOOSE(ArtifactsInput!$N$22+1,10,12,14,16,18,20)*((0*(((0.15*B1431*5))^0/1)+1*(((0.15*B1431*5))^1/1)+2*(((0.15*B1431*5))^2/2)+3*(((0.15*B1431*5))^3/6)+4*(((0.15*B1431*5))^4/24)+5*(((0.15*B1431*5))^5/120))/((((0.15*B1431*5))^0/1)+(((0.15*B1431*5))^1/1)+(((0.15*B1431*5))^2/2)+(((0.15*B1431*5))^3/6)+(((0.15*B1431*5))^4/24)+(((0.15*B1431*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99">
      <c r="A1399">
        <f>Skills!A4</f>
        <v/>
      </c>
      <c r="B1399">
        <f>Skills!B4</f>
        <v/>
      </c>
      <c r="C1399">
        <f>Inputs!$B$3&gt;=40</f>
        <v/>
      </c>
      <c r="D1399">
        <f>IF(Skills!C4=1,60+Inputs!$B$25+Inputs!$B$29,IF(Skills!C4=2,90+Inputs!$B$26+Inputs!$B$29,IF(Skills!C4=3,120+Inputs!$B$27+Inputs!$B$29,MAX(0,(Inputs!$B$3-100)*3)+Inputs!$B$28+Inputs!$B$29)))</f>
        <v/>
      </c>
      <c r="E1399">
        <f>INDEX(FactorTable!$B$2:$Y$301, MATCH(ROUND(MIN(300,MAX(1,D1399)),0), FactorTable!$A$2:$A$301,0), Skills!M4+1)</f>
        <v/>
      </c>
      <c r="F1399">
        <f>IF(Skills!N4=TRUE,(Skills!L4/10)*(E1399/1000),Skills!L4/10)+Skills!O4</f>
        <v/>
      </c>
      <c r="G1399">
        <f>Calc!G4</f>
        <v/>
      </c>
      <c r="H1399">
        <f>Calc!H4</f>
        <v/>
      </c>
      <c r="I1399">
        <f>IF(Skills!AA4&lt;&gt;"",1+(Skills!AA4/10)*(U1398/1000)/100,1)</f>
        <v/>
      </c>
      <c r="J1399">
        <f>((Inputs!$B$6*(1+Inputs!$B$7/100))+(((Inputs!$B$12*(1+Inputs!$B$13/100))-(Inputs!$B$12*(1+Inputs!$B$13/100)))+0.25*(Inputs!$B$14-Inputs!$B$14))*(1+Inputs!$B$7/100))*(F1399/100)</f>
        <v/>
      </c>
      <c r="K1399">
        <f>J1399*(1+((Inputs!$B$12*(1+Inputs!$B$13/100))*0.01+Inputs!$B$14*0.0025)/100)*(1+Inputs!$B$15/100)*(1+Inputs!$B$16/100)*(5000/(6000+Inputs!$B$43*(1-(100*(1-(1-(Inputs!$B$19+0)/100)*(1-CHOOSE(ArtifactsInput!$N$40+1,5,6,7,8,9,10)/100)^(ArtifactsInput!$M$40-ArtifactsInput!$M$40)))/100)))*(1+(Inputs!$B$24+((C1425=TRUE)*(F1425-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1418=TRUE)*(F1418-Calc!F23))+(((IF(AND(ArtifactsInput!$M$42,((Inputs!$B$9+((C1420=TRUE)*(F1420-Calc!F25))+B1435+(ArtifactsInput!$M$24-ArtifactsInput!$M$24)*CHOOSE(ArtifactsInput!$N$24+1,10,12,14,16,18,20)+IF(ArtifactsInput!$M$10,CHOOSE(ArtifactsInput!$N$10+1,15,18,21,24,27,30)*(IF(Inputs!$B$39="pvp",MIN(15,15)/15,IF(AND(Inputs!$B$39&lt;&gt;"pvp",Inputs!$B$44&gt;0),MIN(15,Inputs!$B$44)/(Inputs!$B$44),0))),0)))&gt;=100),MIN(100,((Inputs!$B$9+((C1420=TRUE)*(F1420-Calc!F25))+B1435+(ArtifactsInput!$M$24-ArtifactsInput!$M$24)*CHOOSE(ArtifactsInput!$N$24+1,10,12,14,16,18,20)+IF(ArtifactsInput!$M$10,CHOOSE(ArtifactsInput!$N$10+1,15,18,21,24,27,30)*(IF(Inputs!$B$39="pvp",MIN(15,15)/15,IF(AND(Inputs!$B$39&lt;&gt;"pvp",Inputs!$B$44&gt;0),MIN(15,Inputs!$B$44)/(Inputs!$B$44),0))),0)))-100),0))*CHOOSE(ArtifactsInput!$N$42+1,0.6,0.72,0.84,0.96,1.08,1.2))),Inputs!$B$18+((C1424=TRUE)*(F1424-Calc!F29))+(IF(AND(ArtifactsInput!$M$42,((Inputs!$B$9+((C1420=TRUE)*(F1420-Calc!F25))+B1435+(ArtifactsInput!$M$24-ArtifactsInput!$M$24)*CHOOSE(ArtifactsInput!$N$24+1,10,12,14,16,18,20)+IF(ArtifactsInput!$M$10,CHOOSE(ArtifactsInput!$N$10+1,15,18,21,24,27,30)*(IF(Inputs!$B$39="pvp",MIN(15,15)/15,IF(AND(Inputs!$B$39&lt;&gt;"pvp",Inputs!$B$44&gt;0),MIN(15,Inputs!$B$44)/(Inputs!$B$44),0))),0)))&gt;=100),CHOOSE(ArtifactsInput!$N$42+1,40,48,56,64,72,80),0))))/100)*(((1+(((C1416=TRUE)*F1416*IF(AND(Inputs!$B$39&lt;&gt;"pvp",Inputs!$B$44&gt;0),(((R1416-1)*(Skills!Y21*(1+Inputs!$B$34/100))+MIN((Skills!Y21*(1+Inputs!$B$34/100)),MAX(0,Inputs!$B$44-((R1416-1)*Skills!D21))))/Inputs!$B$44),IF(Inputs!$B$39="pvp",MIN((Skills!Y21*(1+Inputs!$B$34/100)),15)/15,(Skills!Y21*(1+Inputs!$B$34/100))/Skills!D21)))+((C1423=TRUE)*(F1423-Calc!F28))+((C1413=TRUE)*(F1413-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1410=TRUE)*F1410*IF(AND(Inputs!$B$39&lt;&gt;"pvp",Inputs!$B$44&gt;0),(((R1410-1)*(Skills!Y15*(1+Inputs!$B$34/100))+MIN((Skills!Y15*(1+Inputs!$B$34/100)),MAX(0,Inputs!$B$44-((R1410-1)*Skills!D15))))/Inputs!$B$44),IF(Inputs!$B$39="pvp",MIN((Skills!Y15*(1+Inputs!$B$34/100)),15)/15,(Skills!Y15*(1+Inputs!$B$34/100))/Skills!D15)))/100)*(1+((C1401=TRUE)*F1401*B1429)/100))*B1437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1399)</f>
        <v/>
      </c>
      <c r="L1399">
        <f>K1399*(MIN(Inputs!$B$22+((C1419=TRUE)*(F1419-Calc!F24)),(Inputs!$B$23+0+(IF(ArtifactsInput!$M$15,CHOOSE(ArtifactsInput!$N$15+1,25,30,35,40,45,50)/100*(Inputs!$B$11-Inputs!$B$11),0))))/100+(Inputs!$B$23+0+(IF(ArtifactsInput!$M$15,CHOOSE(ArtifactsInput!$N$15+1,25,30,35,40,45,50)/100*(Inputs!$B$11-Inputs!$B$11),0)))/100)/2</f>
        <v/>
      </c>
      <c r="M1399">
        <f>L1399*(1+(Inputs!$B$10+((C1421=TRUE)*(F1421-Calc!F26))+B1438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99">
        <f>L1399*(1-MIN((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1399*(MIN((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99">
        <f>(1-Summary!$B$11)*T1399+Summary!$B$11*V1399</f>
        <v/>
      </c>
      <c r="P1399">
        <f>IF(B1439=0,0,O1399/B1439)</f>
        <v/>
      </c>
      <c r="Q1399">
        <f>IFERROR(1/IF(Inputs!$B$39="pvp",15,MAX(0.1,Skills!D4-IF(Skills!E4=TRUE,Inputs!$B$32,0))),0)</f>
        <v/>
      </c>
      <c r="R1399">
        <f>IF(AND(Inputs!$B$39&lt;&gt;"pvp",Inputs!$B$44&gt;0),IF(MAX(0,Inputs!$B$44-B1440)&lt;=0,0,(INT(MAX(0,Inputs!$B$44-B1440)/IF(Inputs!$B$39="pvp",15,MAX(0.1,Skills!D4-IF(Skills!E4=TRUE,Inputs!$B$32,0))))+1)),0)</f>
        <v/>
      </c>
      <c r="S1399">
        <f>IFERROR(O1399/N1399,0)</f>
        <v/>
      </c>
      <c r="T1399">
        <f>IF(C1399,(H1399*N1399*IF(AND(Inputs!$B$39&lt;&gt;"pvp",Inputs!$B$44&gt;0),((Skills!G4*((R1399-1)*IF(Skills!H4&gt;0,Skills!I4/Skills!H4,1)+IF(Skills!H4&gt;0,MIN(Skills!I4,MAX(0,MAX(0,Inputs!$B$44-B1440)-((R1399-1)*IF(Inputs!$B$39="pvp",15,MAX(0.1,Skills!D4-IF(Skills!E4=TRUE,Inputs!$B$32,0))))))/Skills!H4,1)))/Inputs!$B$44),G1399*Q1399))*IF(Inputs!$B$39="pvp",1,1+(Inputs!$B$20+((C1422=TRUE)*(F1422-Calc!F27))+Skills!P4+B1436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Hunt"),CHOOSE(ArtifactsInput!$N$35+1,15,18,21,24,27,30)*(1-EXP(-(0.2*B1431)*5)),0)+IF(AND(ArtifactsInput!$M$22,Inputs!$B$4&lt;&gt;"Chapter Hunt"),CHOOSE(ArtifactsInput!$N$22+1,10,12,14,16,18,20)*((0*(((0.15*B1431*5))^0/1)+1*(((0.15*B1431*5))^1/1)+2*(((0.15*B1431*5))^2/2)+3*(((0.15*B1431*5))^3/6)+4*(((0.15*B1431*5))^4/24)+5*(((0.15*B1431*5))^5/120))/((((0.15*B1431*5))^0/1)+(((0.15*B1431*5))^1/1)+(((0.15*B1431*5))^2/2)+(((0.15*B1431*5))^3/6)+(((0.15*B1431*5))^4/24)+(((0.15*B1431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1399*(1-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1399*(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1399*(1-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1399*(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99">
        <f>MAX(0,(Inputs!$B$3-100)*3)+Inputs!$B$28+Inputs!$B$29</f>
        <v/>
      </c>
      <c r="V1399">
        <f>IF(C1399,(H1399*N1399*IF(AND(Inputs!$B$39&lt;&gt;"pvp",Inputs!$B$44&gt;0),((Skills!G4*((R1399-1)*IF(Skills!H4&gt;0,Skills!I4/Skills!H4,1)+IF(Skills!H4&gt;0,MIN(Skills!I4,MAX(0,MAX(0,Inputs!$B$44-B1440)-((R1399-1)*IF(Inputs!$B$39="pvp",15,MAX(0.1,Skills!D4-IF(Skills!E4=TRUE,Inputs!$B$32,0))))))/Skills!H4,1)))/Inputs!$B$44),G1399*Q1399))*IF(Inputs!$B$39="pvp",1,(1+(Inputs!$B$21+Skills!Q4+B1436+(IF(ArtifactsInput!$M$33,CHOOSE(ArtifactsInput!$N$33+1,30,36,42,48,54,60),0))+(IF(AND(ArtifactsInput!$M$35,Inputs!$B$4&lt;&gt;"Chapter Hunt"),CHOOSE(ArtifactsInput!$N$35+1,15,18,21,24,27,30)*(1-EXP(-(0.2*B1431)*5)),0)+IF(AND(ArtifactsInput!$M$22,Inputs!$B$4&lt;&gt;"Chapter Hunt"),CHOOSE(ArtifactsInput!$N$22+1,10,12,14,16,18,20)*((0*(((0.15*B1431*5))^0/1)+1*(((0.15*B1431*5))^1/1)+2*(((0.15*B1431*5))^2/2)+3*(((0.15*B1431*5))^3/6)+4*(((0.15*B1431*5))^4/24)+5*(((0.15*B1431*5))^5/120))/((((0.15*B1431*5))^0/1)+(((0.15*B1431*5))^1/1)+(((0.15*B1431*5))^2/2)+(((0.15*B1431*5))^3/6)+(((0.15*B1431*5))^4/24)+(((0.15*B1431*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00">
      <c r="A1400">
        <f>Skills!A5</f>
        <v/>
      </c>
      <c r="B1400">
        <f>Skills!B5</f>
        <v/>
      </c>
      <c r="C1400">
        <f>Inputs!$B$3&gt;=63</f>
        <v/>
      </c>
      <c r="D1400">
        <f>IF(Skills!C5=1,60+Inputs!$B$25+Inputs!$B$29,IF(Skills!C5=2,90+Inputs!$B$26+Inputs!$B$29,IF(Skills!C5=3,120+Inputs!$B$27+Inputs!$B$29,MAX(0,(Inputs!$B$3-100)*3)+Inputs!$B$28+Inputs!$B$29)))</f>
        <v/>
      </c>
      <c r="E1400">
        <f>INDEX(FactorTable!$B$2:$Y$301, MATCH(ROUND(MIN(300,MAX(1,D1400)),0), FactorTable!$A$2:$A$301,0), Skills!M5+1)</f>
        <v/>
      </c>
      <c r="F1400">
        <f>IF(Skills!N5=TRUE,(Skills!L5/10)*(E1400/1000),Skills!L5/10)+Skills!O5</f>
        <v/>
      </c>
      <c r="G1400">
        <f>Calc!G5</f>
        <v/>
      </c>
      <c r="H1400">
        <f>Calc!H5</f>
        <v/>
      </c>
      <c r="I1400">
        <f>IF(Skills!AA5&lt;&gt;"",1+(Skills!AA5/10)*(U1398/1000)/100,1)</f>
        <v/>
      </c>
      <c r="J1400">
        <f>((Inputs!$B$6*(1+Inputs!$B$7/100))+(((Inputs!$B$12*(1+Inputs!$B$13/100))-(Inputs!$B$12*(1+Inputs!$B$13/100)))+0.25*(Inputs!$B$14-Inputs!$B$14))*(1+Inputs!$B$7/100))*(F1400/100)</f>
        <v/>
      </c>
      <c r="K1400">
        <f>J1400*(1+((Inputs!$B$12*(1+Inputs!$B$13/100))*0.01+Inputs!$B$14*0.0025)/100)*(1+Inputs!$B$15/100)*(1+Inputs!$B$16/100)*(5000/(6000+Inputs!$B$43*(1-(100*(1-(1-(Inputs!$B$19+0)/100)*(1-CHOOSE(ArtifactsInput!$N$40+1,5,6,7,8,9,10)/100)^(ArtifactsInput!$M$40-ArtifactsInput!$M$40)))/100)))*(1+(Inputs!$B$24+((C1425=TRUE)*(F1425-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1418=TRUE)*(F1418-Calc!F23))+(((IF(AND(ArtifactsInput!$M$42,((Inputs!$B$9+((C1420=TRUE)*(F1420-Calc!F25))+B1435+(ArtifactsInput!$M$24-ArtifactsInput!$M$24)*CHOOSE(ArtifactsInput!$N$24+1,10,12,14,16,18,20)+IF(ArtifactsInput!$M$10,CHOOSE(ArtifactsInput!$N$10+1,15,18,21,24,27,30)*(IF(Inputs!$B$39="pvp",MIN(15,15)/15,IF(AND(Inputs!$B$39&lt;&gt;"pvp",Inputs!$B$44&gt;0),MIN(15,Inputs!$B$44)/(Inputs!$B$44),0))),0)))&gt;=100),MIN(100,((Inputs!$B$9+((C1420=TRUE)*(F1420-Calc!F25))+B1435+(ArtifactsInput!$M$24-ArtifactsInput!$M$24)*CHOOSE(ArtifactsInput!$N$24+1,10,12,14,16,18,20)+IF(ArtifactsInput!$M$10,CHOOSE(ArtifactsInput!$N$10+1,15,18,21,24,27,30)*(IF(Inputs!$B$39="pvp",MIN(15,15)/15,IF(AND(Inputs!$B$39&lt;&gt;"pvp",Inputs!$B$44&gt;0),MIN(15,Inputs!$B$44)/(Inputs!$B$44),0))),0)))-100),0))*CHOOSE(ArtifactsInput!$N$42+1,0.6,0.72,0.84,0.96,1.08,1.2))),Inputs!$B$18+((C1424=TRUE)*(F1424-Calc!F29))+(IF(AND(ArtifactsInput!$M$42,((Inputs!$B$9+((C1420=TRUE)*(F1420-Calc!F25))+B1435+(ArtifactsInput!$M$24-ArtifactsInput!$M$24)*CHOOSE(ArtifactsInput!$N$24+1,10,12,14,16,18,20)+IF(ArtifactsInput!$M$10,CHOOSE(ArtifactsInput!$N$10+1,15,18,21,24,27,30)*(IF(Inputs!$B$39="pvp",MIN(15,15)/15,IF(AND(Inputs!$B$39&lt;&gt;"pvp",Inputs!$B$44&gt;0),MIN(15,Inputs!$B$44)/(Inputs!$B$44),0))),0)))&gt;=100),CHOOSE(ArtifactsInput!$N$42+1,40,48,56,64,72,80),0))))/100)*(((1+(((C1416=TRUE)*F1416*IF(AND(Inputs!$B$39&lt;&gt;"pvp",Inputs!$B$44&gt;0),(((R1416-1)*(Skills!Y21*(1+Inputs!$B$34/100))+MIN((Skills!Y21*(1+Inputs!$B$34/100)),MAX(0,Inputs!$B$44-((R1416-1)*Skills!D21))))/Inputs!$B$44),IF(Inputs!$B$39="pvp",MIN((Skills!Y21*(1+Inputs!$B$34/100)),15)/15,(Skills!Y21*(1+Inputs!$B$34/100))/Skills!D21)))+((C1423=TRUE)*(F1423-Calc!F28))+((C1413=TRUE)*(F1413-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1410=TRUE)*F1410*IF(AND(Inputs!$B$39&lt;&gt;"pvp",Inputs!$B$44&gt;0),(((R1410-1)*(Skills!Y15*(1+Inputs!$B$34/100))+MIN((Skills!Y15*(1+Inputs!$B$34/100)),MAX(0,Inputs!$B$44-((R1410-1)*Skills!D15))))/Inputs!$B$44),IF(Inputs!$B$39="pvp",MIN((Skills!Y15*(1+Inputs!$B$34/100)),15)/15,(Skills!Y15*(1+Inputs!$B$34/100))/Skills!D15)))/100)*(1+((C1401=TRUE)*F1401*B1429)/100))*B1437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1400)</f>
        <v/>
      </c>
      <c r="L1400">
        <f>K1400*(MIN(Inputs!$B$22+((C1419=TRUE)*(F1419-Calc!F24)),(Inputs!$B$23+0+(IF(ArtifactsInput!$M$15,CHOOSE(ArtifactsInput!$N$15+1,25,30,35,40,45,50)/100*(Inputs!$B$11-Inputs!$B$11),0))))/100+(Inputs!$B$23+0+(IF(ArtifactsInput!$M$15,CHOOSE(ArtifactsInput!$N$15+1,25,30,35,40,45,50)/100*(Inputs!$B$11-Inputs!$B$11),0)))/100)/2</f>
        <v/>
      </c>
      <c r="M1400">
        <f>L1400*(1+(Inputs!$B$10+((C1421=TRUE)*(F1421-Calc!F26))+B1438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00">
        <f>L1400*(1-MIN((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1400*(MIN((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00">
        <f>(1-Summary!$B$11)*T1400+Summary!$B$11*V1400</f>
        <v/>
      </c>
      <c r="P1400">
        <f>IF(B1439=0,0,O1400/B1439)</f>
        <v/>
      </c>
      <c r="Q1400">
        <f>IFERROR(1/IF(Inputs!$B$39="pvp",15,MAX(0.1,Skills!D5-IF(Skills!E5=TRUE,Inputs!$B$32,0))),0)</f>
        <v/>
      </c>
      <c r="R1400">
        <f>IF(AND(Inputs!$B$39&lt;&gt;"pvp",Inputs!$B$44&gt;0),IF(MAX(0,Inputs!$B$44-B1440)&lt;=0,0,(INT(MAX(0,Inputs!$B$44-B1440)/IF(Inputs!$B$39="pvp",15,MAX(0.1,Skills!D5-IF(Skills!E5=TRUE,Inputs!$B$32,0))))+1)),0)</f>
        <v/>
      </c>
      <c r="S1400">
        <f>IFERROR(O1400/N1400,0)</f>
        <v/>
      </c>
      <c r="T1400">
        <f>IF(C1400,(H1400*N1400*IF(AND(Inputs!$B$39&lt;&gt;"pvp",Inputs!$B$44&gt;0),((Skills!G5*((R1400-1)*IF(Skills!H5&gt;0,Skills!I5/Skills!H5,1)+IF(Skills!H5&gt;0,MIN(Skills!I5,MAX(0,MAX(0,Inputs!$B$44-B1440)-((R1400-1)*IF(Inputs!$B$39="pvp",15,MAX(0.1,Skills!D5-IF(Skills!E5=TRUE,Inputs!$B$32,0))))))/Skills!H5,1)))/Inputs!$B$44),G1400*Q1400))*IF(Inputs!$B$39="pvp",1,1+(Inputs!$B$20+((C1422=TRUE)*(F1422-Calc!F27))+Skills!P5+B1436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Hunt"),CHOOSE(ArtifactsInput!$N$35+1,15,18,21,24,27,30)*(1-EXP(-(0.2*B1431)*5)),0)+IF(AND(ArtifactsInput!$M$22,Inputs!$B$4&lt;&gt;"Chapter Hunt"),CHOOSE(ArtifactsInput!$N$22+1,10,12,14,16,18,20)*((0*(((0.15*B1431*5))^0/1)+1*(((0.15*B1431*5))^1/1)+2*(((0.15*B1431*5))^2/2)+3*(((0.15*B1431*5))^3/6)+4*(((0.15*B1431*5))^4/24)+5*(((0.15*B1431*5))^5/120))/((((0.15*B1431*5))^0/1)+(((0.15*B1431*5))^1/1)+(((0.15*B1431*5))^2/2)+(((0.15*B1431*5))^3/6)+(((0.15*B1431*5))^4/24)+(((0.15*B1431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1400*(1-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1400*(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1400*(1-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1400*(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00">
        <f>INDEX(FactorTable!$B$2:$Y$301, MATCH(ROUND(MIN(300,MAX(1,U1399)),0), FactorTable!$A$2:$A$301,0), 22)</f>
        <v/>
      </c>
      <c r="V1400">
        <f>IF(C1400,(H1400*N1400*IF(AND(Inputs!$B$39&lt;&gt;"pvp",Inputs!$B$44&gt;0),((Skills!G5*((R1400-1)*IF(Skills!H5&gt;0,Skills!I5/Skills!H5,1)+IF(Skills!H5&gt;0,MIN(Skills!I5,MAX(0,MAX(0,Inputs!$B$44-B1440)-((R1400-1)*IF(Inputs!$B$39="pvp",15,MAX(0.1,Skills!D5-IF(Skills!E5=TRUE,Inputs!$B$32,0))))))/Skills!H5,1)))/Inputs!$B$44),G1400*Q1400))*IF(Inputs!$B$39="pvp",1,(1+(Inputs!$B$21+Skills!Q5+B1436+(IF(ArtifactsInput!$M$33,CHOOSE(ArtifactsInput!$N$33+1,30,36,42,48,54,60),0))+(IF(AND(ArtifactsInput!$M$35,Inputs!$B$4&lt;&gt;"Chapter Hunt"),CHOOSE(ArtifactsInput!$N$35+1,15,18,21,24,27,30)*(1-EXP(-(0.2*B1431)*5)),0)+IF(AND(ArtifactsInput!$M$22,Inputs!$B$4&lt;&gt;"Chapter Hunt"),CHOOSE(ArtifactsInput!$N$22+1,10,12,14,16,18,20)*((0*(((0.15*B1431*5))^0/1)+1*(((0.15*B1431*5))^1/1)+2*(((0.15*B1431*5))^2/2)+3*(((0.15*B1431*5))^3/6)+4*(((0.15*B1431*5))^4/24)+5*(((0.15*B1431*5))^5/120))/((((0.15*B1431*5))^0/1)+(((0.15*B1431*5))^1/1)+(((0.15*B1431*5))^2/2)+(((0.15*B1431*5))^3/6)+(((0.15*B1431*5))^4/24)+(((0.15*B1431*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01">
      <c r="A1401">
        <f>Skills!A6</f>
        <v/>
      </c>
      <c r="B1401">
        <f>Skills!B6</f>
        <v/>
      </c>
      <c r="C1401">
        <f>Inputs!$B$3&gt;=66</f>
        <v/>
      </c>
      <c r="D1401">
        <f>IF(Skills!C6=1,60+Inputs!$B$25+Inputs!$B$29,IF(Skills!C6=2,90+Inputs!$B$26+Inputs!$B$29,IF(Skills!C6=3,120+Inputs!$B$27+Inputs!$B$29,MAX(0,(Inputs!$B$3-100)*3)+Inputs!$B$28+Inputs!$B$29)))</f>
        <v/>
      </c>
      <c r="E1401">
        <f>INDEX(FactorTable!$B$2:$Y$301, MATCH(ROUND(MIN(300,MAX(1,D1401)),0), FactorTable!$A$2:$A$301,0), Skills!M6+1)</f>
        <v/>
      </c>
      <c r="F1401">
        <f>IF(Skills!N6=TRUE,(Skills!L6/10)*(E1401/1000),Skills!L6/10)+Skills!O6</f>
        <v/>
      </c>
      <c r="G1401">
        <f>Calc!G6</f>
        <v/>
      </c>
      <c r="H1401">
        <f>Calc!H6</f>
        <v/>
      </c>
      <c r="I1401">
        <f>IF(Skills!AA6&lt;&gt;"",1+(Skills!AA6/10)*(U1398/1000)/100,1)</f>
        <v/>
      </c>
      <c r="J1401" t="inlineStr"/>
      <c r="K1401" t="inlineStr"/>
      <c r="L1401" t="inlineStr"/>
      <c r="M1401" t="inlineStr"/>
      <c r="N1401" t="inlineStr"/>
      <c r="O1401">
        <f>(1-Summary!$B$11)*T1401+Summary!$B$11*V1401</f>
        <v/>
      </c>
      <c r="P1401">
        <f>IF(B1439=0,0,O1401/B1439)</f>
        <v/>
      </c>
      <c r="Q1401" t="n">
        <v>0</v>
      </c>
      <c r="R1401" t="n">
        <v>0</v>
      </c>
      <c r="S1401">
        <f>IFERROR(O1401/N1401,0)</f>
        <v/>
      </c>
      <c r="T1401" t="n">
        <v>0</v>
      </c>
      <c r="U1401">
        <f>290*U1400/1000</f>
        <v/>
      </c>
      <c r="V1401" t="n">
        <v>0</v>
      </c>
    </row>
    <row r="1402">
      <c r="A1402">
        <f>Skills!A7</f>
        <v/>
      </c>
      <c r="B1402">
        <f>Skills!B7</f>
        <v/>
      </c>
      <c r="C1402">
        <f>Inputs!$B$3&gt;=66</f>
        <v/>
      </c>
      <c r="D1402">
        <f>IF(Skills!C7=1,60+Inputs!$B$25+Inputs!$B$29,IF(Skills!C7=2,90+Inputs!$B$26+Inputs!$B$29,IF(Skills!C7=3,120+Inputs!$B$27+Inputs!$B$29,MAX(0,(Inputs!$B$3-100)*3)+Inputs!$B$28+Inputs!$B$29)))</f>
        <v/>
      </c>
      <c r="E1402">
        <f>INDEX(FactorTable!$B$2:$Y$301, MATCH(ROUND(MIN(300,MAX(1,D1402)),0), FactorTable!$A$2:$A$301,0), Skills!M7+1)</f>
        <v/>
      </c>
      <c r="F1402">
        <f>IF(Skills!N7=TRUE,(Skills!L7/10)*(E1402/1000),Skills!L7/10)+Skills!O7</f>
        <v/>
      </c>
      <c r="G1402">
        <f>Calc!G7</f>
        <v/>
      </c>
      <c r="H1402">
        <f>Calc!H7</f>
        <v/>
      </c>
      <c r="I1402">
        <f>IF(Skills!AA7&lt;&gt;"",1+(Skills!AA7/10)*(U1398/1000)/100,1)</f>
        <v/>
      </c>
      <c r="J1402" t="inlineStr"/>
      <c r="K1402" t="inlineStr"/>
      <c r="L1402" t="inlineStr"/>
      <c r="M1402" t="inlineStr"/>
      <c r="N1402" t="inlineStr"/>
      <c r="O1402">
        <f>(1-Summary!$B$11)*T1402+Summary!$B$11*V1402</f>
        <v/>
      </c>
      <c r="P1402">
        <f>IF(B1439=0,0,O1402/B1439)</f>
        <v/>
      </c>
      <c r="Q1402" t="n">
        <v>0</v>
      </c>
      <c r="R1402" t="n">
        <v>0</v>
      </c>
      <c r="S1402">
        <f>IFERROR(O1402/N1402,0)</f>
        <v/>
      </c>
      <c r="T1402" t="n">
        <v>0</v>
      </c>
      <c r="V1402" t="n">
        <v>0</v>
      </c>
    </row>
    <row r="1403">
      <c r="A1403">
        <f>Skills!A8</f>
        <v/>
      </c>
      <c r="B1403">
        <f>Skills!B8</f>
        <v/>
      </c>
      <c r="C1403">
        <f>Inputs!$B$3&gt;=69</f>
        <v/>
      </c>
      <c r="D1403">
        <f>IF(Skills!C8=1,60+Inputs!$B$25+Inputs!$B$29,IF(Skills!C8=2,90+Inputs!$B$26+Inputs!$B$29,IF(Skills!C8=3,120+Inputs!$B$27+Inputs!$B$29,MAX(0,(Inputs!$B$3-100)*3)+Inputs!$B$28+Inputs!$B$29)))</f>
        <v/>
      </c>
      <c r="E1403">
        <f>INDEX(FactorTable!$B$2:$Y$301, MATCH(ROUND(MIN(300,MAX(1,D1403)),0), FactorTable!$A$2:$A$301,0), Skills!M8+1)</f>
        <v/>
      </c>
      <c r="F1403">
        <f>IF(Skills!N8=TRUE,(Skills!L8/10)*(E1403/1000),Skills!L8/10)+Skills!O8</f>
        <v/>
      </c>
      <c r="G1403">
        <f>Calc!G8</f>
        <v/>
      </c>
      <c r="H1403">
        <f>Calc!H8</f>
        <v/>
      </c>
      <c r="I1403">
        <f>IF(Skills!AA8&lt;&gt;"",1+(Skills!AA8/10)*(U1398/1000)/100,1)</f>
        <v/>
      </c>
      <c r="J1403">
        <f>((Inputs!$B$6*(1+Inputs!$B$7/100))+(((Inputs!$B$12*(1+Inputs!$B$13/100))-(Inputs!$B$12*(1+Inputs!$B$13/100)))+0.25*(Inputs!$B$14-Inputs!$B$14))*(1+Inputs!$B$7/100))*(F1403/100)</f>
        <v/>
      </c>
      <c r="K1403">
        <f>J1403*(1+((Inputs!$B$12*(1+Inputs!$B$13/100))*0.01+Inputs!$B$14*0.0025)/100)*(1+Inputs!$B$15/100)*(1+Inputs!$B$16/100)*(5000/(6000+Inputs!$B$43*(1-(100*(1-(1-(Inputs!$B$19+0)/100)*(1-CHOOSE(ArtifactsInput!$N$40+1,5,6,7,8,9,10)/100)^(ArtifactsInput!$M$40-ArtifactsInput!$M$40)))/100)))*(1+(Inputs!$B$24+((C1425=TRUE)*(F1425-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1418=TRUE)*(F1418-Calc!F23))+(((IF(AND(ArtifactsInput!$M$42,((Inputs!$B$9+((C1420=TRUE)*(F1420-Calc!F25))+B1435+(ArtifactsInput!$M$24-ArtifactsInput!$M$24)*CHOOSE(ArtifactsInput!$N$24+1,10,12,14,16,18,20)+IF(ArtifactsInput!$M$10,CHOOSE(ArtifactsInput!$N$10+1,15,18,21,24,27,30)*(IF(Inputs!$B$39="pvp",MIN(15,15)/15,IF(AND(Inputs!$B$39&lt;&gt;"pvp",Inputs!$B$44&gt;0),MIN(15,Inputs!$B$44)/(Inputs!$B$44),0))),0)))&gt;=100),MIN(100,((Inputs!$B$9+((C1420=TRUE)*(F1420-Calc!F25))+B1435+(ArtifactsInput!$M$24-ArtifactsInput!$M$24)*CHOOSE(ArtifactsInput!$N$24+1,10,12,14,16,18,20)+IF(ArtifactsInput!$M$10,CHOOSE(ArtifactsInput!$N$10+1,15,18,21,24,27,30)*(IF(Inputs!$B$39="pvp",MIN(15,15)/15,IF(AND(Inputs!$B$39&lt;&gt;"pvp",Inputs!$B$44&gt;0),MIN(15,Inputs!$B$44)/(Inputs!$B$44),0))),0)))-100),0))*CHOOSE(ArtifactsInput!$N$42+1,0.6,0.72,0.84,0.96,1.08,1.2))),Inputs!$B$18+((C1424=TRUE)*(F1424-Calc!F29))+(IF(AND(ArtifactsInput!$M$42,((Inputs!$B$9+((C1420=TRUE)*(F1420-Calc!F25))+B1435+(ArtifactsInput!$M$24-ArtifactsInput!$M$24)*CHOOSE(ArtifactsInput!$N$24+1,10,12,14,16,18,20)+IF(ArtifactsInput!$M$10,CHOOSE(ArtifactsInput!$N$10+1,15,18,21,24,27,30)*(IF(Inputs!$B$39="pvp",MIN(15,15)/15,IF(AND(Inputs!$B$39&lt;&gt;"pvp",Inputs!$B$44&gt;0),MIN(15,Inputs!$B$44)/(Inputs!$B$44),0))),0)))&gt;=100),CHOOSE(ArtifactsInput!$N$42+1,40,48,56,64,72,80),0))))/100)*(((1+(((C1416=TRUE)*F1416*IF(AND(Inputs!$B$39&lt;&gt;"pvp",Inputs!$B$44&gt;0),(((R1416-1)*(Skills!Y21*(1+Inputs!$B$34/100))+MIN((Skills!Y21*(1+Inputs!$B$34/100)),MAX(0,Inputs!$B$44-((R1416-1)*Skills!D21))))/Inputs!$B$44),IF(Inputs!$B$39="pvp",MIN((Skills!Y21*(1+Inputs!$B$34/100)),15)/15,(Skills!Y21*(1+Inputs!$B$34/100))/Skills!D21)))+((C1423=TRUE)*(F1423-Calc!F28))+((C1413=TRUE)*(F1413-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1410=TRUE)*F1410*IF(AND(Inputs!$B$39&lt;&gt;"pvp",Inputs!$B$44&gt;0),(((R1410-1)*(Skills!Y15*(1+Inputs!$B$34/100))+MIN((Skills!Y15*(1+Inputs!$B$34/100)),MAX(0,Inputs!$B$44-((R1410-1)*Skills!D15))))/Inputs!$B$44),IF(Inputs!$B$39="pvp",MIN((Skills!Y15*(1+Inputs!$B$34/100)),15)/15,(Skills!Y15*(1+Inputs!$B$34/100))/Skills!D15)))/100)*(1+((C1401=TRUE)*F1401*B1429)/100))*B1437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1403)</f>
        <v/>
      </c>
      <c r="L1403">
        <f>K1403*(MIN(Inputs!$B$22+((C1419=TRUE)*(F1419-Calc!F24)),(Inputs!$B$23+0+(IF(ArtifactsInput!$M$15,CHOOSE(ArtifactsInput!$N$15+1,25,30,35,40,45,50)/100*(Inputs!$B$11-Inputs!$B$11),0))))/100+(Inputs!$B$23+0+(IF(ArtifactsInput!$M$15,CHOOSE(ArtifactsInput!$N$15+1,25,30,35,40,45,50)/100*(Inputs!$B$11-Inputs!$B$11),0)))/100)/2</f>
        <v/>
      </c>
      <c r="M1403">
        <f>L1403*(1+(Inputs!$B$10+((C1421=TRUE)*(F1421-Calc!F26))+B1438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03">
        <f>L1403*(1-MIN((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1403*(MIN((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03">
        <f>(1-Summary!$B$11)*T1403+Summary!$B$11*V1403</f>
        <v/>
      </c>
      <c r="P1403">
        <f>IF(B1439=0,0,O1403/B1439)</f>
        <v/>
      </c>
      <c r="Q1403">
        <f>IFERROR(1/IF(Inputs!$B$39="pvp",15,MAX(0.1,Skills!D8-IF(Skills!E8=TRUE,Inputs!$B$32,0))),0)</f>
        <v/>
      </c>
      <c r="R1403">
        <f>IF(AND(Inputs!$B$39&lt;&gt;"pvp",Inputs!$B$44&gt;0),IF(MAX(0,Inputs!$B$44-B1440)&lt;=0,0,(INT(MAX(0,Inputs!$B$44-B1440)/IF(Inputs!$B$39="pvp",15,MAX(0.1,Skills!D8-IF(Skills!E8=TRUE,Inputs!$B$32,0))))+1)),0)</f>
        <v/>
      </c>
      <c r="S1403">
        <f>IFERROR(O1403/N1403,0)</f>
        <v/>
      </c>
      <c r="T1403">
        <f>IF(C1403,(H1403*N1403*IF(AND(Inputs!$B$39&lt;&gt;"pvp",Inputs!$B$44&gt;0),((Skills!G8*((R1403-1)*IF(Skills!H8&gt;0,Skills!I8/Skills!H8,1)+IF(Skills!H8&gt;0,MIN(Skills!I8,MAX(0,MAX(0,Inputs!$B$44-B1440)-((R1403-1)*IF(Inputs!$B$39="pvp",15,MAX(0.1,Skills!D8-IF(Skills!E8=TRUE,Inputs!$B$32,0))))))/Skills!H8,1)))/Inputs!$B$44),G1403*Q1403))*IF(Inputs!$B$39="pvp",1,1+(Inputs!$B$20+((C1422=TRUE)*(F1422-Calc!F27))+Skills!P8+B1436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Hunt"),CHOOSE(ArtifactsInput!$N$35+1,15,18,21,24,27,30)*(1-EXP(-(0.2*B1431)*5)),0)+IF(AND(ArtifactsInput!$M$22,Inputs!$B$4&lt;&gt;"Chapter Hunt"),CHOOSE(ArtifactsInput!$N$22+1,10,12,14,16,18,20)*((0*(((0.15*B1431*5))^0/1)+1*(((0.15*B1431*5))^1/1)+2*(((0.15*B1431*5))^2/2)+3*(((0.15*B1431*5))^3/6)+4*(((0.15*B1431*5))^4/24)+5*(((0.15*B1431*5))^5/120))/((((0.15*B1431*5))^0/1)+(((0.15*B1431*5))^1/1)+(((0.15*B1431*5))^2/2)+(((0.15*B1431*5))^3/6)+(((0.15*B1431*5))^4/24)+(((0.15*B1431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1403*(1-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1403*(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1403*(1-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1403*(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03">
        <f>IF(C1403,(H1403*N1403*IF(AND(Inputs!$B$39&lt;&gt;"pvp",Inputs!$B$44&gt;0),((Skills!G8*((R1403-1)*IF(Skills!H8&gt;0,Skills!I8/Skills!H8,1)+IF(Skills!H8&gt;0,MIN(Skills!I8,MAX(0,MAX(0,Inputs!$B$44-B1440)-((R1403-1)*IF(Inputs!$B$39="pvp",15,MAX(0.1,Skills!D8-IF(Skills!E8=TRUE,Inputs!$B$32,0))))))/Skills!H8,1)))/Inputs!$B$44),G1403*Q1403))*IF(Inputs!$B$39="pvp",1,(1+(Inputs!$B$21+Skills!Q8+B1436+(IF(ArtifactsInput!$M$33,CHOOSE(ArtifactsInput!$N$33+1,30,36,42,48,54,60),0))+(IF(AND(ArtifactsInput!$M$35,Inputs!$B$4&lt;&gt;"Chapter Hunt"),CHOOSE(ArtifactsInput!$N$35+1,15,18,21,24,27,30)*(1-EXP(-(0.2*B1431)*5)),0)+IF(AND(ArtifactsInput!$M$22,Inputs!$B$4&lt;&gt;"Chapter Hunt"),CHOOSE(ArtifactsInput!$N$22+1,10,12,14,16,18,20)*((0*(((0.15*B1431*5))^0/1)+1*(((0.15*B1431*5))^1/1)+2*(((0.15*B1431*5))^2/2)+3*(((0.15*B1431*5))^3/6)+4*(((0.15*B1431*5))^4/24)+5*(((0.15*B1431*5))^5/120))/((((0.15*B1431*5))^0/1)+(((0.15*B1431*5))^1/1)+(((0.15*B1431*5))^2/2)+(((0.15*B1431*5))^3/6)+(((0.15*B1431*5))^4/24)+(((0.15*B1431*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04">
      <c r="A1404">
        <f>Skills!A9</f>
        <v/>
      </c>
      <c r="B1404">
        <f>Skills!B9</f>
        <v/>
      </c>
      <c r="C1404">
        <f>Inputs!$B$3&gt;=72</f>
        <v/>
      </c>
      <c r="D1404">
        <f>IF(Skills!C9=1,60+Inputs!$B$25+Inputs!$B$29,IF(Skills!C9=2,90+Inputs!$B$26+Inputs!$B$29,IF(Skills!C9=3,120+Inputs!$B$27+Inputs!$B$29,MAX(0,(Inputs!$B$3-100)*3)+Inputs!$B$28+Inputs!$B$29)))</f>
        <v/>
      </c>
      <c r="E1404">
        <f>INDEX(FactorTable!$B$2:$Y$301, MATCH(ROUND(MIN(300,MAX(1,D1404)),0), FactorTable!$A$2:$A$301,0), Skills!M9+1)</f>
        <v/>
      </c>
      <c r="F1404">
        <f>IF(Skills!N9=TRUE,(Skills!L9/10)*(E1404/1000),Skills!L9/10)+Skills!O9</f>
        <v/>
      </c>
      <c r="G1404">
        <f>Calc!G9</f>
        <v/>
      </c>
      <c r="H1404">
        <f>Calc!H9</f>
        <v/>
      </c>
      <c r="I1404">
        <f>IF(Skills!AA9&lt;&gt;"",1+(Skills!AA9/10)*(U1398/1000)/100,1)</f>
        <v/>
      </c>
      <c r="J1404">
        <f>((Inputs!$B$6*(1+Inputs!$B$7/100))+(((Inputs!$B$12*(1+Inputs!$B$13/100))-(Inputs!$B$12*(1+Inputs!$B$13/100)))+0.25*(Inputs!$B$14-Inputs!$B$14))*(1+Inputs!$B$7/100))*(F1404/100)</f>
        <v/>
      </c>
      <c r="K1404">
        <f>J1404*(1+((Inputs!$B$12*(1+Inputs!$B$13/100))*0.01+Inputs!$B$14*0.0025)/100)*(1+Inputs!$B$15/100)*(1+Inputs!$B$16/100)*(5000/(6000+Inputs!$B$43*(1-(100*(1-(1-(Inputs!$B$19+0)/100)*(1-CHOOSE(ArtifactsInput!$N$40+1,5,6,7,8,9,10)/100)^(ArtifactsInput!$M$40-ArtifactsInput!$M$40)))/100)))*(1+(Inputs!$B$24+((C1425=TRUE)*(F1425-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1418=TRUE)*(F1418-Calc!F23))+(((IF(AND(ArtifactsInput!$M$42,((Inputs!$B$9+((C1420=TRUE)*(F1420-Calc!F25))+B1435+(ArtifactsInput!$M$24-ArtifactsInput!$M$24)*CHOOSE(ArtifactsInput!$N$24+1,10,12,14,16,18,20)+IF(ArtifactsInput!$M$10,CHOOSE(ArtifactsInput!$N$10+1,15,18,21,24,27,30)*(IF(Inputs!$B$39="pvp",MIN(15,15)/15,IF(AND(Inputs!$B$39&lt;&gt;"pvp",Inputs!$B$44&gt;0),MIN(15,Inputs!$B$44)/(Inputs!$B$44),0))),0)))&gt;=100),MIN(100,((Inputs!$B$9+((C1420=TRUE)*(F1420-Calc!F25))+B1435+(ArtifactsInput!$M$24-ArtifactsInput!$M$24)*CHOOSE(ArtifactsInput!$N$24+1,10,12,14,16,18,20)+IF(ArtifactsInput!$M$10,CHOOSE(ArtifactsInput!$N$10+1,15,18,21,24,27,30)*(IF(Inputs!$B$39="pvp",MIN(15,15)/15,IF(AND(Inputs!$B$39&lt;&gt;"pvp",Inputs!$B$44&gt;0),MIN(15,Inputs!$B$44)/(Inputs!$B$44),0))),0)))-100),0))*CHOOSE(ArtifactsInput!$N$42+1,0.6,0.72,0.84,0.96,1.08,1.2))),Inputs!$B$18+((C1424=TRUE)*(F1424-Calc!F29))+(IF(AND(ArtifactsInput!$M$42,((Inputs!$B$9+((C1420=TRUE)*(F1420-Calc!F25))+B1435+(ArtifactsInput!$M$24-ArtifactsInput!$M$24)*CHOOSE(ArtifactsInput!$N$24+1,10,12,14,16,18,20)+IF(ArtifactsInput!$M$10,CHOOSE(ArtifactsInput!$N$10+1,15,18,21,24,27,30)*(IF(Inputs!$B$39="pvp",MIN(15,15)/15,IF(AND(Inputs!$B$39&lt;&gt;"pvp",Inputs!$B$44&gt;0),MIN(15,Inputs!$B$44)/(Inputs!$B$44),0))),0)))&gt;=100),CHOOSE(ArtifactsInput!$N$42+1,40,48,56,64,72,80),0))))/100)*(((1+(((C1416=TRUE)*F1416*IF(AND(Inputs!$B$39&lt;&gt;"pvp",Inputs!$B$44&gt;0),(((R1416-1)*(Skills!Y21*(1+Inputs!$B$34/100))+MIN((Skills!Y21*(1+Inputs!$B$34/100)),MAX(0,Inputs!$B$44-((R1416-1)*Skills!D21))))/Inputs!$B$44),IF(Inputs!$B$39="pvp",MIN((Skills!Y21*(1+Inputs!$B$34/100)),15)/15,(Skills!Y21*(1+Inputs!$B$34/100))/Skills!D21)))+((C1423=TRUE)*(F1423-Calc!F28))+((C1413=TRUE)*(F1413-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1410=TRUE)*F1410*IF(AND(Inputs!$B$39&lt;&gt;"pvp",Inputs!$B$44&gt;0),(((R1410-1)*(Skills!Y15*(1+Inputs!$B$34/100))+MIN((Skills!Y15*(1+Inputs!$B$34/100)),MAX(0,Inputs!$B$44-((R1410-1)*Skills!D15))))/Inputs!$B$44),IF(Inputs!$B$39="pvp",MIN((Skills!Y15*(1+Inputs!$B$34/100)),15)/15,(Skills!Y15*(1+Inputs!$B$34/100))/Skills!D15)))/100)*(1+((C1401=TRUE)*F1401*B1429)/100))*B1437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1404)</f>
        <v/>
      </c>
      <c r="L1404">
        <f>K1404*(MIN(Inputs!$B$22+((C1419=TRUE)*(F1419-Calc!F24)),(Inputs!$B$23+0+(IF(ArtifactsInput!$M$15,CHOOSE(ArtifactsInput!$N$15+1,25,30,35,40,45,50)/100*(Inputs!$B$11-Inputs!$B$11),0))))/100+(Inputs!$B$23+0+(IF(ArtifactsInput!$M$15,CHOOSE(ArtifactsInput!$N$15+1,25,30,35,40,45,50)/100*(Inputs!$B$11-Inputs!$B$11),0)))/100)/2</f>
        <v/>
      </c>
      <c r="M1404">
        <f>L1404*(1+(Inputs!$B$10+((C1421=TRUE)*(F1421-Calc!F26))+B1438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04">
        <f>L1404*(1-MIN((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1404*(MIN((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04">
        <f>(1-Summary!$B$11)*T1404+Summary!$B$11*V1404</f>
        <v/>
      </c>
      <c r="P1404">
        <f>IF(B1439=0,0,O1404/B1439)</f>
        <v/>
      </c>
      <c r="Q1404">
        <f>IFERROR(1/IF(Inputs!$B$39="pvp",15,MAX(0.1,Skills!D9-IF(Skills!E9=TRUE,Inputs!$B$32,0))),0)</f>
        <v/>
      </c>
      <c r="R1404">
        <f>IF(AND(Inputs!$B$39&lt;&gt;"pvp",Inputs!$B$44&gt;0),IF(MAX(0,Inputs!$B$44-B1440)&lt;=0,0,(INT(MAX(0,Inputs!$B$44-B1440)/IF(Inputs!$B$39="pvp",15,MAX(0.1,Skills!D9-IF(Skills!E9=TRUE,Inputs!$B$32,0))))+1)),0)</f>
        <v/>
      </c>
      <c r="S1404">
        <f>IFERROR(O1404/N1404,0)</f>
        <v/>
      </c>
      <c r="T1404">
        <f>IF(C1404,(H1404*N1404*IF(AND(Inputs!$B$39&lt;&gt;"pvp",Inputs!$B$44&gt;0),((Skills!G9*((R1404-1)*IF(Skills!H9&gt;0,Skills!I9/Skills!H9,1)+IF(Skills!H9&gt;0,MIN(Skills!I9,MAX(0,MAX(0,Inputs!$B$44-B1440)-((R1404-1)*IF(Inputs!$B$39="pvp",15,MAX(0.1,Skills!D9-IF(Skills!E9=TRUE,Inputs!$B$32,0))))))/Skills!H9,1)))/Inputs!$B$44),G1404*Q1404))*IF(Inputs!$B$39="pvp",1,1+(Inputs!$B$20+((C1422=TRUE)*(F1422-Calc!F27))+Skills!P9+B1436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Hunt"),CHOOSE(ArtifactsInput!$N$35+1,15,18,21,24,27,30)*(1-EXP(-(0.2*B1431)*5)),0)+IF(AND(ArtifactsInput!$M$22,Inputs!$B$4&lt;&gt;"Chapter Hunt"),CHOOSE(ArtifactsInput!$N$22+1,10,12,14,16,18,20)*((0*(((0.15*B1431*5))^0/1)+1*(((0.15*B1431*5))^1/1)+2*(((0.15*B1431*5))^2/2)+3*(((0.15*B1431*5))^3/6)+4*(((0.15*B1431*5))^4/24)+5*(((0.15*B1431*5))^5/120))/((((0.15*B1431*5))^0/1)+(((0.15*B1431*5))^1/1)+(((0.15*B1431*5))^2/2)+(((0.15*B1431*5))^3/6)+(((0.15*B1431*5))^4/24)+(((0.15*B1431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1404*(1-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1404*(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1404*(1-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1404*(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04">
        <f>IF(C1404,(H1404*N1404*IF(AND(Inputs!$B$39&lt;&gt;"pvp",Inputs!$B$44&gt;0),((Skills!G9*((R1404-1)*IF(Skills!H9&gt;0,Skills!I9/Skills!H9,1)+IF(Skills!H9&gt;0,MIN(Skills!I9,MAX(0,MAX(0,Inputs!$B$44-B1440)-((R1404-1)*IF(Inputs!$B$39="pvp",15,MAX(0.1,Skills!D9-IF(Skills!E9=TRUE,Inputs!$B$32,0))))))/Skills!H9,1)))/Inputs!$B$44),G1404*Q1404))*IF(Inputs!$B$39="pvp",1,(1+(Inputs!$B$21+Skills!Q9+B1436+(IF(ArtifactsInput!$M$33,CHOOSE(ArtifactsInput!$N$33+1,30,36,42,48,54,60),0))+(IF(AND(ArtifactsInput!$M$35,Inputs!$B$4&lt;&gt;"Chapter Hunt"),CHOOSE(ArtifactsInput!$N$35+1,15,18,21,24,27,30)*(1-EXP(-(0.2*B1431)*5)),0)+IF(AND(ArtifactsInput!$M$22,Inputs!$B$4&lt;&gt;"Chapter Hunt"),CHOOSE(ArtifactsInput!$N$22+1,10,12,14,16,18,20)*((0*(((0.15*B1431*5))^0/1)+1*(((0.15*B1431*5))^1/1)+2*(((0.15*B1431*5))^2/2)+3*(((0.15*B1431*5))^3/6)+4*(((0.15*B1431*5))^4/24)+5*(((0.15*B1431*5))^5/120))/((((0.15*B1431*5))^0/1)+(((0.15*B1431*5))^1/1)+(((0.15*B1431*5))^2/2)+(((0.15*B1431*5))^3/6)+(((0.15*B1431*5))^4/24)+(((0.15*B1431*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05">
      <c r="A1405">
        <f>Skills!A10</f>
        <v/>
      </c>
      <c r="B1405">
        <f>Skills!B10</f>
        <v/>
      </c>
      <c r="C1405">
        <f>Inputs!$B$3&gt;=117</f>
        <v/>
      </c>
      <c r="D1405">
        <f>IF(Skills!C10=1,60+Inputs!$B$25+Inputs!$B$29,IF(Skills!C10=2,90+Inputs!$B$26+Inputs!$B$29,IF(Skills!C10=3,120+Inputs!$B$27+Inputs!$B$29,MAX(0,(Inputs!$B$3-100)*3)+Inputs!$B$28+Inputs!$B$29)))</f>
        <v/>
      </c>
      <c r="E1405">
        <f>INDEX(FactorTable!$B$2:$Y$301, MATCH(ROUND(MIN(300,MAX(1,D1405)),0), FactorTable!$A$2:$A$301,0), Skills!M10+1)</f>
        <v/>
      </c>
      <c r="F1405">
        <f>IF(Skills!N10=TRUE,(Skills!L10/10)*(E1405/1000),Skills!L10/10)+Skills!O10</f>
        <v/>
      </c>
      <c r="G1405">
        <f>Calc!G10</f>
        <v/>
      </c>
      <c r="H1405">
        <f>Calc!H10</f>
        <v/>
      </c>
      <c r="I1405">
        <f>IF(Skills!AA10&lt;&gt;"",1+(Skills!AA10/10)*(U1398/1000)/100,1)</f>
        <v/>
      </c>
      <c r="J1405">
        <f>((Inputs!$B$6*(1+Inputs!$B$7/100))+(((Inputs!$B$12*(1+Inputs!$B$13/100))-(Inputs!$B$12*(1+Inputs!$B$13/100)))+0.25*(Inputs!$B$14-Inputs!$B$14))*(1+Inputs!$B$7/100))*(F1405/100)</f>
        <v/>
      </c>
      <c r="K1405">
        <f>J1405*(1+((Inputs!$B$12*(1+Inputs!$B$13/100))*0.01+Inputs!$B$14*0.0025)/100)*(1+Inputs!$B$15/100)*(1+Inputs!$B$16/100)*(5000/(6000+Inputs!$B$43*(1-(100*(1-(1-(Inputs!$B$19+0)/100)*(1-CHOOSE(ArtifactsInput!$N$40+1,5,6,7,8,9,10)/100)^(ArtifactsInput!$M$40-ArtifactsInput!$M$40)))/100)))*(1+(Inputs!$B$24+((C1425=TRUE)*(F1425-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1418=TRUE)*(F1418-Calc!F23))+(((IF(AND(ArtifactsInput!$M$42,((Inputs!$B$9+((C1420=TRUE)*(F1420-Calc!F25))+B1435+(ArtifactsInput!$M$24-ArtifactsInput!$M$24)*CHOOSE(ArtifactsInput!$N$24+1,10,12,14,16,18,20)+IF(ArtifactsInput!$M$10,CHOOSE(ArtifactsInput!$N$10+1,15,18,21,24,27,30)*(IF(Inputs!$B$39="pvp",MIN(15,15)/15,IF(AND(Inputs!$B$39&lt;&gt;"pvp",Inputs!$B$44&gt;0),MIN(15,Inputs!$B$44)/(Inputs!$B$44),0))),0)))&gt;=100),MIN(100,((Inputs!$B$9+((C1420=TRUE)*(F1420-Calc!F25))+B1435+(ArtifactsInput!$M$24-ArtifactsInput!$M$24)*CHOOSE(ArtifactsInput!$N$24+1,10,12,14,16,18,20)+IF(ArtifactsInput!$M$10,CHOOSE(ArtifactsInput!$N$10+1,15,18,21,24,27,30)*(IF(Inputs!$B$39="pvp",MIN(15,15)/15,IF(AND(Inputs!$B$39&lt;&gt;"pvp",Inputs!$B$44&gt;0),MIN(15,Inputs!$B$44)/(Inputs!$B$44),0))),0)))-100),0))*CHOOSE(ArtifactsInput!$N$42+1,0.6,0.72,0.84,0.96,1.08,1.2))),Inputs!$B$18+((C1424=TRUE)*(F1424-Calc!F29))+(IF(AND(ArtifactsInput!$M$42,((Inputs!$B$9+((C1420=TRUE)*(F1420-Calc!F25))+B1435+(ArtifactsInput!$M$24-ArtifactsInput!$M$24)*CHOOSE(ArtifactsInput!$N$24+1,10,12,14,16,18,20)+IF(ArtifactsInput!$M$10,CHOOSE(ArtifactsInput!$N$10+1,15,18,21,24,27,30)*(IF(Inputs!$B$39="pvp",MIN(15,15)/15,IF(AND(Inputs!$B$39&lt;&gt;"pvp",Inputs!$B$44&gt;0),MIN(15,Inputs!$B$44)/(Inputs!$B$44),0))),0)))&gt;=100),CHOOSE(ArtifactsInput!$N$42+1,40,48,56,64,72,80),0))))/100)*(((1+(((C1416=TRUE)*F1416*IF(AND(Inputs!$B$39&lt;&gt;"pvp",Inputs!$B$44&gt;0),(((R1416-1)*(Skills!Y21*(1+Inputs!$B$34/100))+MIN((Skills!Y21*(1+Inputs!$B$34/100)),MAX(0,Inputs!$B$44-((R1416-1)*Skills!D21))))/Inputs!$B$44),IF(Inputs!$B$39="pvp",MIN((Skills!Y21*(1+Inputs!$B$34/100)),15)/15,(Skills!Y21*(1+Inputs!$B$34/100))/Skills!D21)))+((C1423=TRUE)*(F1423-Calc!F28))+((C1413=TRUE)*(F1413-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1410=TRUE)*F1410*IF(AND(Inputs!$B$39&lt;&gt;"pvp",Inputs!$B$44&gt;0),(((R1410-1)*(Skills!Y15*(1+Inputs!$B$34/100))+MIN((Skills!Y15*(1+Inputs!$B$34/100)),MAX(0,Inputs!$B$44-((R1410-1)*Skills!D15))))/Inputs!$B$44),IF(Inputs!$B$39="pvp",MIN((Skills!Y15*(1+Inputs!$B$34/100)),15)/15,(Skills!Y15*(1+Inputs!$B$34/100))/Skills!D15)))/100)*(1+((C1401=TRUE)*F1401*B1429)/100))*B1437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1405)</f>
        <v/>
      </c>
      <c r="L1405">
        <f>K1405*(MIN(Inputs!$B$22+((C1419=TRUE)*(F1419-Calc!F24)),(Inputs!$B$23+0+(IF(ArtifactsInput!$M$15,CHOOSE(ArtifactsInput!$N$15+1,25,30,35,40,45,50)/100*(Inputs!$B$11-Inputs!$B$11),0))))/100+(Inputs!$B$23+0+(IF(ArtifactsInput!$M$15,CHOOSE(ArtifactsInput!$N$15+1,25,30,35,40,45,50)/100*(Inputs!$B$11-Inputs!$B$11),0)))/100)/2</f>
        <v/>
      </c>
      <c r="M1405">
        <f>L1405*(1+(Inputs!$B$10+((C1421=TRUE)*(F1421-Calc!F26))+B1438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05">
        <f>L1405*(1-MIN((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1405*(MIN((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05">
        <f>(1-Summary!$B$11)*T1405+Summary!$B$11*V1405</f>
        <v/>
      </c>
      <c r="P1405">
        <f>IF(B1439=0,0,O1405/B1439)</f>
        <v/>
      </c>
      <c r="Q1405" t="n">
        <v>0</v>
      </c>
      <c r="R1405" t="n">
        <v>0</v>
      </c>
      <c r="S1405" t="n">
        <v>0</v>
      </c>
      <c r="T1405">
        <f>IF(C1405,(0.2*SUMPRODUCT((Skills!Z2:Z31=TRUE)*(C1397:C1426=TRUE)*S1397:S1426)*N1405)*IF(Inputs!$B$39="pvp",1,1+(Inputs!$B$20+((C1422=TRUE)*(F1422-Calc!F27))+Skills!P10+B1436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Hunt"),CHOOSE(ArtifactsInput!$N$35+1,15,18,21,24,27,30)*(1-EXP(-(0.2*B1431)*5)),0)+IF(AND(ArtifactsInput!$M$22,Inputs!$B$4&lt;&gt;"Chapter Hunt"),CHOOSE(ArtifactsInput!$N$22+1,10,12,14,16,18,20)*((0*(((0.15*B1431*5))^0/1)+1*(((0.15*B1431*5))^1/1)+2*(((0.15*B1431*5))^2/2)+3*(((0.15*B1431*5))^3/6)+4*(((0.15*B1431*5))^4/24)+5*(((0.15*B1431*5))^5/120))/((((0.15*B1431*5))^0/1)+(((0.15*B1431*5))^1/1)+(((0.15*B1431*5))^2/2)+(((0.15*B1431*5))^3/6)+(((0.15*B1431*5))^4/24)+(((0.15*B1431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1405*(1-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1405*(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1405*(1-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1405*(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05">
        <f>IF(C1405,(0.2*SUMPRODUCT((Skills!Z2:Z31=TRUE)*(C1397:C1426=TRUE)*S1397:S1426)*N1405)*IF(Inputs!$B$39="pvp",1,(1+(Inputs!$B$21+Skills!Q10+B1436+(IF(ArtifactsInput!$M$33,CHOOSE(ArtifactsInput!$N$33+1,30,36,42,48,54,60),0))+(IF(AND(ArtifactsInput!$M$35,Inputs!$B$4&lt;&gt;"Chapter Hunt"),CHOOSE(ArtifactsInput!$N$35+1,15,18,21,24,27,30)*(1-EXP(-(0.2*B1431)*5)),0)+IF(AND(ArtifactsInput!$M$22,Inputs!$B$4&lt;&gt;"Chapter Hunt"),CHOOSE(ArtifactsInput!$N$22+1,10,12,14,16,18,20)*((0*(((0.15*B1431*5))^0/1)+1*(((0.15*B1431*5))^1/1)+2*(((0.15*B1431*5))^2/2)+3*(((0.15*B1431*5))^3/6)+4*(((0.15*B1431*5))^4/24)+5*(((0.15*B1431*5))^5/120))/((((0.15*B1431*5))^0/1)+(((0.15*B1431*5))^1/1)+(((0.15*B1431*5))^2/2)+(((0.15*B1431*5))^3/6)+(((0.15*B1431*5))^4/24)+(((0.15*B1431*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06">
      <c r="A1406">
        <f>Skills!A11</f>
        <v/>
      </c>
      <c r="B1406">
        <f>Skills!B11</f>
        <v/>
      </c>
      <c r="C1406">
        <f>Inputs!$B$3&gt;=60</f>
        <v/>
      </c>
      <c r="D1406">
        <f>IF(Skills!C11=1,60+Inputs!$B$25+Inputs!$B$29,IF(Skills!C11=2,90+Inputs!$B$26+Inputs!$B$29,IF(Skills!C11=3,120+Inputs!$B$27+Inputs!$B$29,MAX(0,(Inputs!$B$3-100)*3)+Inputs!$B$28+Inputs!$B$29)))</f>
        <v/>
      </c>
      <c r="E1406">
        <f>INDEX(FactorTable!$B$2:$Y$301, MATCH(ROUND(MIN(300,MAX(1,D1406)),0), FactorTable!$A$2:$A$301,0), Skills!M11+1)</f>
        <v/>
      </c>
      <c r="F1406">
        <f>IF(Skills!N11=TRUE,(Skills!L11/10)*(E1406/1000),Skills!L11/10)+Skills!O11</f>
        <v/>
      </c>
      <c r="G1406">
        <f>Calc!G11</f>
        <v/>
      </c>
      <c r="H1406">
        <f>Calc!H11</f>
        <v/>
      </c>
      <c r="I1406">
        <f>IF(Skills!AA11&lt;&gt;"",1+(Skills!AA11/10)*(U1398/1000)/100,1)</f>
        <v/>
      </c>
      <c r="J1406" t="inlineStr"/>
      <c r="K1406" t="inlineStr"/>
      <c r="L1406" t="inlineStr"/>
      <c r="M1406" t="inlineStr"/>
      <c r="N1406" t="inlineStr"/>
      <c r="O1406">
        <f>(1-Summary!$B$11)*T1406+Summary!$B$11*V1406</f>
        <v/>
      </c>
      <c r="P1406">
        <f>IF(B1439=0,0,O1406/B1439)</f>
        <v/>
      </c>
      <c r="Q1406" t="n">
        <v>0</v>
      </c>
      <c r="R1406" t="n">
        <v>0</v>
      </c>
      <c r="S1406">
        <f>IFERROR(O1406/N1406,0)</f>
        <v/>
      </c>
      <c r="T1406" t="n">
        <v>0</v>
      </c>
      <c r="V1406" t="n">
        <v>0</v>
      </c>
    </row>
    <row r="1407">
      <c r="A1407">
        <f>Skills!A12</f>
        <v/>
      </c>
      <c r="B1407">
        <f>Skills!B12</f>
        <v/>
      </c>
      <c r="C1407">
        <f>Inputs!$B$3&gt;=103</f>
        <v/>
      </c>
      <c r="D1407">
        <f>IF(Skills!C12=1,60+Inputs!$B$25+Inputs!$B$29,IF(Skills!C12=2,90+Inputs!$B$26+Inputs!$B$29,IF(Skills!C12=3,120+Inputs!$B$27+Inputs!$B$29,MAX(0,(Inputs!$B$3-100)*3)+Inputs!$B$28+Inputs!$B$29)))</f>
        <v/>
      </c>
      <c r="E1407">
        <f>INDEX(FactorTable!$B$2:$Y$301, MATCH(ROUND(MIN(300,MAX(1,D1407)),0), FactorTable!$A$2:$A$301,0), Skills!M12+1)</f>
        <v/>
      </c>
      <c r="F1407">
        <f>IF(Skills!N12=TRUE,(Skills!L12/10)*(E1407/1000),Skills!L12/10)+Skills!O12</f>
        <v/>
      </c>
      <c r="G1407">
        <f>Calc!G12</f>
        <v/>
      </c>
      <c r="H1407">
        <f>Calc!H12</f>
        <v/>
      </c>
      <c r="I1407">
        <f>IF(Skills!AA12&lt;&gt;"",1+(Skills!AA12/10)*(U1398/1000)/100,1)</f>
        <v/>
      </c>
      <c r="J1407">
        <f>((Inputs!$B$6*(1+Inputs!$B$7/100))+(((Inputs!$B$12*(1+Inputs!$B$13/100))-(Inputs!$B$12*(1+Inputs!$B$13/100)))+0.25*(Inputs!$B$14-Inputs!$B$14))*(1+Inputs!$B$7/100))*(F1407/100)</f>
        <v/>
      </c>
      <c r="K1407">
        <f>J1407*(1+((Inputs!$B$12*(1+Inputs!$B$13/100))*0.01+Inputs!$B$14*0.0025)/100)*(1+Inputs!$B$15/100)*(1+Inputs!$B$16/100)*(5000/(6000+Inputs!$B$43*(1-(100*(1-(1-(Inputs!$B$19+0)/100)*(1-CHOOSE(ArtifactsInput!$N$40+1,5,6,7,8,9,10)/100)^(ArtifactsInput!$M$40-ArtifactsInput!$M$40)))/100)))*(1+(Inputs!$B$24+((C1425=TRUE)*(F1425-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1418=TRUE)*(F1418-Calc!F23))+(((IF(AND(ArtifactsInput!$M$42,((Inputs!$B$9+((C1420=TRUE)*(F1420-Calc!F25))+B1435+(ArtifactsInput!$M$24-ArtifactsInput!$M$24)*CHOOSE(ArtifactsInput!$N$24+1,10,12,14,16,18,20)+IF(ArtifactsInput!$M$10,CHOOSE(ArtifactsInput!$N$10+1,15,18,21,24,27,30)*(IF(Inputs!$B$39="pvp",MIN(15,15)/15,IF(AND(Inputs!$B$39&lt;&gt;"pvp",Inputs!$B$44&gt;0),MIN(15,Inputs!$B$44)/(Inputs!$B$44),0))),0)))&gt;=100),MIN(100,((Inputs!$B$9+((C1420=TRUE)*(F1420-Calc!F25))+B1435+(ArtifactsInput!$M$24-ArtifactsInput!$M$24)*CHOOSE(ArtifactsInput!$N$24+1,10,12,14,16,18,20)+IF(ArtifactsInput!$M$10,CHOOSE(ArtifactsInput!$N$10+1,15,18,21,24,27,30)*(IF(Inputs!$B$39="pvp",MIN(15,15)/15,IF(AND(Inputs!$B$39&lt;&gt;"pvp",Inputs!$B$44&gt;0),MIN(15,Inputs!$B$44)/(Inputs!$B$44),0))),0)))-100),0))*CHOOSE(ArtifactsInput!$N$42+1,0.6,0.72,0.84,0.96,1.08,1.2))),Inputs!$B$18+((C1424=TRUE)*(F1424-Calc!F29))+(IF(AND(ArtifactsInput!$M$42,((Inputs!$B$9+((C1420=TRUE)*(F1420-Calc!F25))+B1435+(ArtifactsInput!$M$24-ArtifactsInput!$M$24)*CHOOSE(ArtifactsInput!$N$24+1,10,12,14,16,18,20)+IF(ArtifactsInput!$M$10,CHOOSE(ArtifactsInput!$N$10+1,15,18,21,24,27,30)*(IF(Inputs!$B$39="pvp",MIN(15,15)/15,IF(AND(Inputs!$B$39&lt;&gt;"pvp",Inputs!$B$44&gt;0),MIN(15,Inputs!$B$44)/(Inputs!$B$44),0))),0)))&gt;=100),CHOOSE(ArtifactsInput!$N$42+1,40,48,56,64,72,80),0))))/100)*(((1+(((C1416=TRUE)*F1416*IF(AND(Inputs!$B$39&lt;&gt;"pvp",Inputs!$B$44&gt;0),(((R1416-1)*(Skills!Y21*(1+Inputs!$B$34/100))+MIN((Skills!Y21*(1+Inputs!$B$34/100)),MAX(0,Inputs!$B$44-((R1416-1)*Skills!D21))))/Inputs!$B$44),IF(Inputs!$B$39="pvp",MIN((Skills!Y21*(1+Inputs!$B$34/100)),15)/15,(Skills!Y21*(1+Inputs!$B$34/100))/Skills!D21)))+((C1423=TRUE)*(F1423-Calc!F28))+((C1413=TRUE)*(F1413-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1410=TRUE)*F1410*IF(AND(Inputs!$B$39&lt;&gt;"pvp",Inputs!$B$44&gt;0),(((R1410-1)*(Skills!Y15*(1+Inputs!$B$34/100))+MIN((Skills!Y15*(1+Inputs!$B$34/100)),MAX(0,Inputs!$B$44-((R1410-1)*Skills!D15))))/Inputs!$B$44),IF(Inputs!$B$39="pvp",MIN((Skills!Y15*(1+Inputs!$B$34/100)),15)/15,(Skills!Y15*(1+Inputs!$B$34/100))/Skills!D15)))/100)*(1+((C1401=TRUE)*F1401*B1429)/100))*B1437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1407)</f>
        <v/>
      </c>
      <c r="L1407">
        <f>K1407*(MIN(Inputs!$B$22+((C1419=TRUE)*(F1419-Calc!F24)),(Inputs!$B$23+0+(IF(ArtifactsInput!$M$15,CHOOSE(ArtifactsInput!$N$15+1,25,30,35,40,45,50)/100*(Inputs!$B$11-Inputs!$B$11),0))))/100+(Inputs!$B$23+0+(IF(ArtifactsInput!$M$15,CHOOSE(ArtifactsInput!$N$15+1,25,30,35,40,45,50)/100*(Inputs!$B$11-Inputs!$B$11),0)))/100)/2</f>
        <v/>
      </c>
      <c r="M1407">
        <f>L1407*(1+(Inputs!$B$10+((C1421=TRUE)*(F1421-Calc!F26))+B1438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07">
        <f>L1407*(1-MIN((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1407*(MIN((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07">
        <f>(1-Summary!$B$11)*T1407+Summary!$B$11*V1407</f>
        <v/>
      </c>
      <c r="P1407">
        <f>IF(B1439=0,0,O1407/B1439)</f>
        <v/>
      </c>
      <c r="Q1407">
        <f>IFERROR(1/IF(Inputs!$B$39="pvp",15,MAX(0.1,Skills!D12-IF(Skills!E12=TRUE,Inputs!$B$32,0))),0)</f>
        <v/>
      </c>
      <c r="R1407">
        <f>IF(AND(Inputs!$B$39&lt;&gt;"pvp",Inputs!$B$44&gt;0),IF(MAX(0,Inputs!$B$44-B1440)&lt;=0,0,(INT(MAX(0,Inputs!$B$44-B1440)/IF(Inputs!$B$39="pvp",15,MAX(0.1,Skills!D12-IF(Skills!E12=TRUE,Inputs!$B$32,0))))+1)),0)</f>
        <v/>
      </c>
      <c r="S1407">
        <f>IFERROR(O1407/N1407,0)</f>
        <v/>
      </c>
      <c r="T1407">
        <f>IF(C1407,(H1407*N1407*IF(AND(Inputs!$B$39&lt;&gt;"pvp",Inputs!$B$44&gt;0),((Skills!G12*((R1407-1)*IF(Skills!H12&gt;0,Skills!I12/Skills!H12,1)+IF(Skills!H12&gt;0,MIN(Skills!I12,MAX(0,MAX(0,Inputs!$B$44-B1440)-((R1407-1)*IF(Inputs!$B$39="pvp",15,MAX(0.1,Skills!D12-IF(Skills!E12=TRUE,Inputs!$B$32,0))))))/Skills!H12,1)))/Inputs!$B$44),G1407*Q1407))*IF(Inputs!$B$39="pvp",1,1+(Inputs!$B$20+((C1422=TRUE)*(F1422-Calc!F27))+Skills!P12+B1436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Hunt"),CHOOSE(ArtifactsInput!$N$35+1,15,18,21,24,27,30)*(1-EXP(-(0.2*B1431)*5)),0)+IF(AND(ArtifactsInput!$M$22,Inputs!$B$4&lt;&gt;"Chapter Hunt"),CHOOSE(ArtifactsInput!$N$22+1,10,12,14,16,18,20)*((0*(((0.15*B1431*5))^0/1)+1*(((0.15*B1431*5))^1/1)+2*(((0.15*B1431*5))^2/2)+3*(((0.15*B1431*5))^3/6)+4*(((0.15*B1431*5))^4/24)+5*(((0.15*B1431*5))^5/120))/((((0.15*B1431*5))^0/1)+(((0.15*B1431*5))^1/1)+(((0.15*B1431*5))^2/2)+(((0.15*B1431*5))^3/6)+(((0.15*B1431*5))^4/24)+(((0.15*B1431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1407*(1-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1407*(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1407*(1-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1407*(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07">
        <f>IF(C1407,(H1407*N1407*IF(AND(Inputs!$B$39&lt;&gt;"pvp",Inputs!$B$44&gt;0),((Skills!G12*((R1407-1)*IF(Skills!H12&gt;0,Skills!I12/Skills!H12,1)+IF(Skills!H12&gt;0,MIN(Skills!I12,MAX(0,MAX(0,Inputs!$B$44-B1440)-((R1407-1)*IF(Inputs!$B$39="pvp",15,MAX(0.1,Skills!D12-IF(Skills!E12=TRUE,Inputs!$B$32,0))))))/Skills!H12,1)))/Inputs!$B$44),G1407*Q1407))*IF(Inputs!$B$39="pvp",1,(1+(Inputs!$B$21+Skills!Q12+B1436+(IF(ArtifactsInput!$M$33,CHOOSE(ArtifactsInput!$N$33+1,30,36,42,48,54,60),0))+(IF(AND(ArtifactsInput!$M$35,Inputs!$B$4&lt;&gt;"Chapter Hunt"),CHOOSE(ArtifactsInput!$N$35+1,15,18,21,24,27,30)*(1-EXP(-(0.2*B1431)*5)),0)+IF(AND(ArtifactsInput!$M$22,Inputs!$B$4&lt;&gt;"Chapter Hunt"),CHOOSE(ArtifactsInput!$N$22+1,10,12,14,16,18,20)*((0*(((0.15*B1431*5))^0/1)+1*(((0.15*B1431*5))^1/1)+2*(((0.15*B1431*5))^2/2)+3*(((0.15*B1431*5))^3/6)+4*(((0.15*B1431*5))^4/24)+5*(((0.15*B1431*5))^5/120))/((((0.15*B1431*5))^0/1)+(((0.15*B1431*5))^1/1)+(((0.15*B1431*5))^2/2)+(((0.15*B1431*5))^3/6)+(((0.15*B1431*5))^4/24)+(((0.15*B1431*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08">
      <c r="A1408">
        <f>Skills!A13</f>
        <v/>
      </c>
      <c r="B1408">
        <f>Skills!B13</f>
        <v/>
      </c>
      <c r="C1408">
        <f>Inputs!$B$3&gt;=105</f>
        <v/>
      </c>
      <c r="D1408">
        <f>IF(Skills!C13=1,60+Inputs!$B$25+Inputs!$B$29,IF(Skills!C13=2,90+Inputs!$B$26+Inputs!$B$29,IF(Skills!C13=3,120+Inputs!$B$27+Inputs!$B$29,MAX(0,(Inputs!$B$3-100)*3)+Inputs!$B$28+Inputs!$B$29)))</f>
        <v/>
      </c>
      <c r="E1408">
        <f>INDEX(FactorTable!$B$2:$Y$301, MATCH(ROUND(MIN(300,MAX(1,D1408)),0), FactorTable!$A$2:$A$301,0), Skills!M13+1)</f>
        <v/>
      </c>
      <c r="F1408">
        <f>IF(Skills!N13=TRUE,(Skills!L13/10)*(E1408/1000),Skills!L13/10)+Skills!O13</f>
        <v/>
      </c>
      <c r="G1408">
        <f>Calc!G13</f>
        <v/>
      </c>
      <c r="H1408">
        <f>Calc!H13</f>
        <v/>
      </c>
      <c r="I1408">
        <f>IF(Skills!AA13&lt;&gt;"",1+(Skills!AA13/10)*(U1398/1000)/100,1)</f>
        <v/>
      </c>
      <c r="J1408">
        <f>((Inputs!$B$6*(1+Inputs!$B$7/100))+(((Inputs!$B$12*(1+Inputs!$B$13/100))-(Inputs!$B$12*(1+Inputs!$B$13/100)))+0.25*(Inputs!$B$14-Inputs!$B$14))*(1+Inputs!$B$7/100))*(F1408/100)</f>
        <v/>
      </c>
      <c r="K1408">
        <f>J1408*(1+((Inputs!$B$12*(1+Inputs!$B$13/100))*0.01+Inputs!$B$14*0.0025)/100)*(1+Inputs!$B$15/100)*(1+Inputs!$B$16/100)*(5000/(6000+Inputs!$B$43*(1-(100*(1-(1-(Inputs!$B$19+0)/100)*(1-CHOOSE(ArtifactsInput!$N$40+1,5,6,7,8,9,10)/100)^(ArtifactsInput!$M$40-ArtifactsInput!$M$40)))/100)))*(1+(Inputs!$B$24+((C1425=TRUE)*(F1425-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1418=TRUE)*(F1418-Calc!F23))+(((IF(AND(ArtifactsInput!$M$42,((Inputs!$B$9+((C1420=TRUE)*(F1420-Calc!F25))+B1435+(ArtifactsInput!$M$24-ArtifactsInput!$M$24)*CHOOSE(ArtifactsInput!$N$24+1,10,12,14,16,18,20)+IF(ArtifactsInput!$M$10,CHOOSE(ArtifactsInput!$N$10+1,15,18,21,24,27,30)*(IF(Inputs!$B$39="pvp",MIN(15,15)/15,IF(AND(Inputs!$B$39&lt;&gt;"pvp",Inputs!$B$44&gt;0),MIN(15,Inputs!$B$44)/(Inputs!$B$44),0))),0)))&gt;=100),MIN(100,((Inputs!$B$9+((C1420=TRUE)*(F1420-Calc!F25))+B1435+(ArtifactsInput!$M$24-ArtifactsInput!$M$24)*CHOOSE(ArtifactsInput!$N$24+1,10,12,14,16,18,20)+IF(ArtifactsInput!$M$10,CHOOSE(ArtifactsInput!$N$10+1,15,18,21,24,27,30)*(IF(Inputs!$B$39="pvp",MIN(15,15)/15,IF(AND(Inputs!$B$39&lt;&gt;"pvp",Inputs!$B$44&gt;0),MIN(15,Inputs!$B$44)/(Inputs!$B$44),0))),0)))-100),0))*CHOOSE(ArtifactsInput!$N$42+1,0.6,0.72,0.84,0.96,1.08,1.2))),Inputs!$B$18+((C1424=TRUE)*(F1424-Calc!F29))+(IF(AND(ArtifactsInput!$M$42,((Inputs!$B$9+((C1420=TRUE)*(F1420-Calc!F25))+B1435+(ArtifactsInput!$M$24-ArtifactsInput!$M$24)*CHOOSE(ArtifactsInput!$N$24+1,10,12,14,16,18,20)+IF(ArtifactsInput!$M$10,CHOOSE(ArtifactsInput!$N$10+1,15,18,21,24,27,30)*(IF(Inputs!$B$39="pvp",MIN(15,15)/15,IF(AND(Inputs!$B$39&lt;&gt;"pvp",Inputs!$B$44&gt;0),MIN(15,Inputs!$B$44)/(Inputs!$B$44),0))),0)))&gt;=100),CHOOSE(ArtifactsInput!$N$42+1,40,48,56,64,72,80),0))))/100)*(((1+(((C1416=TRUE)*F1416*IF(AND(Inputs!$B$39&lt;&gt;"pvp",Inputs!$B$44&gt;0),(((R1416-1)*(Skills!Y21*(1+Inputs!$B$34/100))+MIN((Skills!Y21*(1+Inputs!$B$34/100)),MAX(0,Inputs!$B$44-((R1416-1)*Skills!D21))))/Inputs!$B$44),IF(Inputs!$B$39="pvp",MIN((Skills!Y21*(1+Inputs!$B$34/100)),15)/15,(Skills!Y21*(1+Inputs!$B$34/100))/Skills!D21)))+((C1423=TRUE)*(F1423-Calc!F28))+((C1413=TRUE)*(F1413-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1410=TRUE)*F1410*IF(AND(Inputs!$B$39&lt;&gt;"pvp",Inputs!$B$44&gt;0),(((R1410-1)*(Skills!Y15*(1+Inputs!$B$34/100))+MIN((Skills!Y15*(1+Inputs!$B$34/100)),MAX(0,Inputs!$B$44-((R1410-1)*Skills!D15))))/Inputs!$B$44),IF(Inputs!$B$39="pvp",MIN((Skills!Y15*(1+Inputs!$B$34/100)),15)/15,(Skills!Y15*(1+Inputs!$B$34/100))/Skills!D15)))/100)*(1+((C1401=TRUE)*F1401*B1429)/100))*B1437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1408)</f>
        <v/>
      </c>
      <c r="L1408">
        <f>K1408*(MIN(Inputs!$B$22+((C1419=TRUE)*(F1419-Calc!F24)),(Inputs!$B$23+0+(IF(ArtifactsInput!$M$15,CHOOSE(ArtifactsInput!$N$15+1,25,30,35,40,45,50)/100*(Inputs!$B$11-Inputs!$B$11),0))))/100+(Inputs!$B$23+0+(IF(ArtifactsInput!$M$15,CHOOSE(ArtifactsInput!$N$15+1,25,30,35,40,45,50)/100*(Inputs!$B$11-Inputs!$B$11),0)))/100)/2</f>
        <v/>
      </c>
      <c r="M1408">
        <f>L1408*(1+(Inputs!$B$10+((C1421=TRUE)*(F1421-Calc!F26))+B1438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08">
        <f>L1408*(1-MIN((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1408*(MIN((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08">
        <f>(1-Summary!$B$11)*T1408+Summary!$B$11*V1408</f>
        <v/>
      </c>
      <c r="P1408">
        <f>IF(B1439=0,0,O1408/B1439)</f>
        <v/>
      </c>
      <c r="Q1408">
        <f>IFERROR(1/IF(Inputs!$B$39="pvp",15,MAX(0.1,Skills!D13-IF(Skills!E13=TRUE,Inputs!$B$32,0))),0)</f>
        <v/>
      </c>
      <c r="R1408">
        <f>IF(AND(Inputs!$B$39&lt;&gt;"pvp",Inputs!$B$44&gt;0),IF(MAX(0,Inputs!$B$44-B1440)&lt;=0,0,(INT(MAX(0,Inputs!$B$44-B1440)/IF(Inputs!$B$39="pvp",15,MAX(0.1,Skills!D13-IF(Skills!E13=TRUE,Inputs!$B$32,0))))+1)),0)</f>
        <v/>
      </c>
      <c r="S1408">
        <f>IFERROR(O1408/N1408,0)</f>
        <v/>
      </c>
      <c r="T1408">
        <f>IF(C1408,(H1408*N1408*IF(AND(Inputs!$B$39&lt;&gt;"pvp",Inputs!$B$44&gt;0),((Skills!G13*((R1408-1)*IF(Skills!H13&gt;0,Skills!I13/Skills!H13,1)+IF(Skills!H13&gt;0,MIN(Skills!I13,MAX(0,MAX(0,Inputs!$B$44-B1440)-((R1408-1)*IF(Inputs!$B$39="pvp",15,MAX(0.1,Skills!D13-IF(Skills!E13=TRUE,Inputs!$B$32,0))))))/Skills!H13,1)))/Inputs!$B$44),G1408*Q1408))*IF(Inputs!$B$39="pvp",1,1+(Inputs!$B$20+((C1422=TRUE)*(F1422-Calc!F27))+Skills!P13+B1436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Hunt"),CHOOSE(ArtifactsInput!$N$35+1,15,18,21,24,27,30)*(1-EXP(-(0.2*B1431)*5)),0)+IF(AND(ArtifactsInput!$M$22,Inputs!$B$4&lt;&gt;"Chapter Hunt"),CHOOSE(ArtifactsInput!$N$22+1,10,12,14,16,18,20)*((0*(((0.15*B1431*5))^0/1)+1*(((0.15*B1431*5))^1/1)+2*(((0.15*B1431*5))^2/2)+3*(((0.15*B1431*5))^3/6)+4*(((0.15*B1431*5))^4/24)+5*(((0.15*B1431*5))^5/120))/((((0.15*B1431*5))^0/1)+(((0.15*B1431*5))^1/1)+(((0.15*B1431*5))^2/2)+(((0.15*B1431*5))^3/6)+(((0.15*B1431*5))^4/24)+(((0.15*B1431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1408*(1-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1408*(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1408*(1-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1408*(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08">
        <f>IF(C1408,(H1408*N1408*IF(AND(Inputs!$B$39&lt;&gt;"pvp",Inputs!$B$44&gt;0),((Skills!G13*((R1408-1)*IF(Skills!H13&gt;0,Skills!I13/Skills!H13,1)+IF(Skills!H13&gt;0,MIN(Skills!I13,MAX(0,MAX(0,Inputs!$B$44-B1440)-((R1408-1)*IF(Inputs!$B$39="pvp",15,MAX(0.1,Skills!D13-IF(Skills!E13=TRUE,Inputs!$B$32,0))))))/Skills!H13,1)))/Inputs!$B$44),G1408*Q1408))*IF(Inputs!$B$39="pvp",1,(1+(Inputs!$B$21+Skills!Q13+B1436+(IF(ArtifactsInput!$M$33,CHOOSE(ArtifactsInput!$N$33+1,30,36,42,48,54,60),0))+(IF(AND(ArtifactsInput!$M$35,Inputs!$B$4&lt;&gt;"Chapter Hunt"),CHOOSE(ArtifactsInput!$N$35+1,15,18,21,24,27,30)*(1-EXP(-(0.2*B1431)*5)),0)+IF(AND(ArtifactsInput!$M$22,Inputs!$B$4&lt;&gt;"Chapter Hunt"),CHOOSE(ArtifactsInput!$N$22+1,10,12,14,16,18,20)*((0*(((0.15*B1431*5))^0/1)+1*(((0.15*B1431*5))^1/1)+2*(((0.15*B1431*5))^2/2)+3*(((0.15*B1431*5))^3/6)+4*(((0.15*B1431*5))^4/24)+5*(((0.15*B1431*5))^5/120))/((((0.15*B1431*5))^0/1)+(((0.15*B1431*5))^1/1)+(((0.15*B1431*5))^2/2)+(((0.15*B1431*5))^3/6)+(((0.15*B1431*5))^4/24)+(((0.15*B1431*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09">
      <c r="A1409">
        <f>Skills!A14</f>
        <v/>
      </c>
      <c r="B1409">
        <f>Skills!B14</f>
        <v/>
      </c>
      <c r="C1409">
        <f>Inputs!$B$3&gt;=105</f>
        <v/>
      </c>
      <c r="D1409">
        <f>IF(Skills!C14=1,60+Inputs!$B$25+Inputs!$B$29,IF(Skills!C14=2,90+Inputs!$B$26+Inputs!$B$29,IF(Skills!C14=3,120+Inputs!$B$27+Inputs!$B$29,MAX(0,(Inputs!$B$3-100)*3)+Inputs!$B$28+Inputs!$B$29)))</f>
        <v/>
      </c>
      <c r="E1409">
        <f>INDEX(FactorTable!$B$2:$Y$301, MATCH(ROUND(MIN(300,MAX(1,D1409)),0), FactorTable!$A$2:$A$301,0), Skills!M14+1)</f>
        <v/>
      </c>
      <c r="F1409">
        <f>IF(Skills!N14=TRUE,(Skills!L14/10)*(E1409/1000),Skills!L14/10)+Skills!O14</f>
        <v/>
      </c>
      <c r="G1409">
        <f>Calc!G14</f>
        <v/>
      </c>
      <c r="H1409">
        <f>Calc!H14</f>
        <v/>
      </c>
      <c r="I1409">
        <f>IF(Skills!AA14&lt;&gt;"",1+(Skills!AA14/10)*(U1398/1000)/100,1)</f>
        <v/>
      </c>
      <c r="J1409">
        <f>((Inputs!$B$6*(1+Inputs!$B$7/100))+(((Inputs!$B$12*(1+Inputs!$B$13/100))-(Inputs!$B$12*(1+Inputs!$B$13/100)))+0.25*(Inputs!$B$14-Inputs!$B$14))*(1+Inputs!$B$7/100))*(F1409/100)</f>
        <v/>
      </c>
      <c r="K1409">
        <f>J1409*(1+((Inputs!$B$12*(1+Inputs!$B$13/100))*0.01+Inputs!$B$14*0.0025)/100)*(1+Inputs!$B$15/100)*(1+Inputs!$B$16/100)*(5000/(6000+Inputs!$B$43*(1-(100*(1-(1-(Inputs!$B$19+0)/100)*(1-CHOOSE(ArtifactsInput!$N$40+1,5,6,7,8,9,10)/100)^(ArtifactsInput!$M$40-ArtifactsInput!$M$40)))/100)))*(1+(Inputs!$B$24+((C1425=TRUE)*(F1425-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1418=TRUE)*(F1418-Calc!F23))+(((IF(AND(ArtifactsInput!$M$42,((Inputs!$B$9+((C1420=TRUE)*(F1420-Calc!F25))+B1435+(ArtifactsInput!$M$24-ArtifactsInput!$M$24)*CHOOSE(ArtifactsInput!$N$24+1,10,12,14,16,18,20)+IF(ArtifactsInput!$M$10,CHOOSE(ArtifactsInput!$N$10+1,15,18,21,24,27,30)*(IF(Inputs!$B$39="pvp",MIN(15,15)/15,IF(AND(Inputs!$B$39&lt;&gt;"pvp",Inputs!$B$44&gt;0),MIN(15,Inputs!$B$44)/(Inputs!$B$44),0))),0)))&gt;=100),MIN(100,((Inputs!$B$9+((C1420=TRUE)*(F1420-Calc!F25))+B1435+(ArtifactsInput!$M$24-ArtifactsInput!$M$24)*CHOOSE(ArtifactsInput!$N$24+1,10,12,14,16,18,20)+IF(ArtifactsInput!$M$10,CHOOSE(ArtifactsInput!$N$10+1,15,18,21,24,27,30)*(IF(Inputs!$B$39="pvp",MIN(15,15)/15,IF(AND(Inputs!$B$39&lt;&gt;"pvp",Inputs!$B$44&gt;0),MIN(15,Inputs!$B$44)/(Inputs!$B$44),0))),0)))-100),0))*CHOOSE(ArtifactsInput!$N$42+1,0.6,0.72,0.84,0.96,1.08,1.2))),Inputs!$B$18+((C1424=TRUE)*(F1424-Calc!F29))+(IF(AND(ArtifactsInput!$M$42,((Inputs!$B$9+((C1420=TRUE)*(F1420-Calc!F25))+B1435+(ArtifactsInput!$M$24-ArtifactsInput!$M$24)*CHOOSE(ArtifactsInput!$N$24+1,10,12,14,16,18,20)+IF(ArtifactsInput!$M$10,CHOOSE(ArtifactsInput!$N$10+1,15,18,21,24,27,30)*(IF(Inputs!$B$39="pvp",MIN(15,15)/15,IF(AND(Inputs!$B$39&lt;&gt;"pvp",Inputs!$B$44&gt;0),MIN(15,Inputs!$B$44)/(Inputs!$B$44),0))),0)))&gt;=100),CHOOSE(ArtifactsInput!$N$42+1,40,48,56,64,72,80),0))))/100)*(((1+(((C1416=TRUE)*F1416*IF(AND(Inputs!$B$39&lt;&gt;"pvp",Inputs!$B$44&gt;0),(((R1416-1)*(Skills!Y21*(1+Inputs!$B$34/100))+MIN((Skills!Y21*(1+Inputs!$B$34/100)),MAX(0,Inputs!$B$44-((R1416-1)*Skills!D21))))/Inputs!$B$44),IF(Inputs!$B$39="pvp",MIN((Skills!Y21*(1+Inputs!$B$34/100)),15)/15,(Skills!Y21*(1+Inputs!$B$34/100))/Skills!D21)))+((C1423=TRUE)*(F1423-Calc!F28))+((C1413=TRUE)*(F1413-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1410=TRUE)*F1410*IF(AND(Inputs!$B$39&lt;&gt;"pvp",Inputs!$B$44&gt;0),(((R1410-1)*(Skills!Y15*(1+Inputs!$B$34/100))+MIN((Skills!Y15*(1+Inputs!$B$34/100)),MAX(0,Inputs!$B$44-((R1410-1)*Skills!D15))))/Inputs!$B$44),IF(Inputs!$B$39="pvp",MIN((Skills!Y15*(1+Inputs!$B$34/100)),15)/15,(Skills!Y15*(1+Inputs!$B$34/100))/Skills!D15)))/100)*(1+((C1401=TRUE)*F1401*B1429)/100))*B1437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1409)</f>
        <v/>
      </c>
      <c r="L1409">
        <f>K1409*(MIN(Inputs!$B$22+((C1419=TRUE)*(F1419-Calc!F24)),(Inputs!$B$23+0+(IF(ArtifactsInput!$M$15,CHOOSE(ArtifactsInput!$N$15+1,25,30,35,40,45,50)/100*(Inputs!$B$11-Inputs!$B$11),0))))/100+(Inputs!$B$23+0+(IF(ArtifactsInput!$M$15,CHOOSE(ArtifactsInput!$N$15+1,25,30,35,40,45,50)/100*(Inputs!$B$11-Inputs!$B$11),0)))/100)/2</f>
        <v/>
      </c>
      <c r="M1409">
        <f>L1409*(1+(Inputs!$B$10+((C1421=TRUE)*(F1421-Calc!F26))+B1438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09">
        <f>L1409*(1-MIN((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1409*(MIN((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09">
        <f>(1-Summary!$B$11)*T1409+Summary!$B$11*V1409</f>
        <v/>
      </c>
      <c r="P1409">
        <f>IF(B1439=0,0,O1409/B1439)</f>
        <v/>
      </c>
      <c r="Q1409">
        <f>IFERROR(1/IF(Inputs!$B$39="pvp",15,MAX(0.1,Skills!D14-IF(Skills!E14=TRUE,Inputs!$B$32,0))),0)</f>
        <v/>
      </c>
      <c r="R1409">
        <f>IF(AND(Inputs!$B$39&lt;&gt;"pvp",Inputs!$B$44&gt;0),IF(MAX(0,Inputs!$B$44-B1440)&lt;=0,0,(INT(MAX(0,Inputs!$B$44-B1440)/IF(Inputs!$B$39="pvp",15,MAX(0.1,Skills!D14-IF(Skills!E14=TRUE,Inputs!$B$32,0))))+1)),0)</f>
        <v/>
      </c>
      <c r="S1409">
        <f>IFERROR(O1409/N1409,0)</f>
        <v/>
      </c>
      <c r="T1409">
        <f>IF(C1409,(H1409*N1409*IF(AND(Inputs!$B$39&lt;&gt;"pvp",Inputs!$B$44&gt;0),((Skills!G14*((R1409-1)*IF(Skills!H14&gt;0,Skills!I14/Skills!H14,1)+IF(Skills!H14&gt;0,MIN(Skills!I14,MAX(0,MAX(0,Inputs!$B$44-B1440)-((R1409-1)*IF(Inputs!$B$39="pvp",15,MAX(0.1,Skills!D14-IF(Skills!E14=TRUE,Inputs!$B$32,0))))))/Skills!H14,1)))/Inputs!$B$44),G1409*Q1409))*IF(Inputs!$B$39="pvp",1,1+(Inputs!$B$20+((C1422=TRUE)*(F1422-Calc!F27))+Skills!P14+B1436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Hunt"),CHOOSE(ArtifactsInput!$N$35+1,15,18,21,24,27,30)*(1-EXP(-(0.2*B1431)*5)),0)+IF(AND(ArtifactsInput!$M$22,Inputs!$B$4&lt;&gt;"Chapter Hunt"),CHOOSE(ArtifactsInput!$N$22+1,10,12,14,16,18,20)*((0*(((0.15*B1431*5))^0/1)+1*(((0.15*B1431*5))^1/1)+2*(((0.15*B1431*5))^2/2)+3*(((0.15*B1431*5))^3/6)+4*(((0.15*B1431*5))^4/24)+5*(((0.15*B1431*5))^5/120))/((((0.15*B1431*5))^0/1)+(((0.15*B1431*5))^1/1)+(((0.15*B1431*5))^2/2)+(((0.15*B1431*5))^3/6)+(((0.15*B1431*5))^4/24)+(((0.15*B1431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1409*(1-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1409*(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1409*(1-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1409*(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09">
        <f>IF(C1409,(H1409*N1409*IF(AND(Inputs!$B$39&lt;&gt;"pvp",Inputs!$B$44&gt;0),((Skills!G14*((R1409-1)*IF(Skills!H14&gt;0,Skills!I14/Skills!H14,1)+IF(Skills!H14&gt;0,MIN(Skills!I14,MAX(0,MAX(0,Inputs!$B$44-B1440)-((R1409-1)*IF(Inputs!$B$39="pvp",15,MAX(0.1,Skills!D14-IF(Skills!E14=TRUE,Inputs!$B$32,0))))))/Skills!H14,1)))/Inputs!$B$44),G1409*Q1409))*IF(Inputs!$B$39="pvp",1,(1+(Inputs!$B$21+Skills!Q14+B1436+(IF(ArtifactsInput!$M$33,CHOOSE(ArtifactsInput!$N$33+1,30,36,42,48,54,60),0))+(IF(AND(ArtifactsInput!$M$35,Inputs!$B$4&lt;&gt;"Chapter Hunt"),CHOOSE(ArtifactsInput!$N$35+1,15,18,21,24,27,30)*(1-EXP(-(0.2*B1431)*5)),0)+IF(AND(ArtifactsInput!$M$22,Inputs!$B$4&lt;&gt;"Chapter Hunt"),CHOOSE(ArtifactsInput!$N$22+1,10,12,14,16,18,20)*((0*(((0.15*B1431*5))^0/1)+1*(((0.15*B1431*5))^1/1)+2*(((0.15*B1431*5))^2/2)+3*(((0.15*B1431*5))^3/6)+4*(((0.15*B1431*5))^4/24)+5*(((0.15*B1431*5))^5/120))/((((0.15*B1431*5))^0/1)+(((0.15*B1431*5))^1/1)+(((0.15*B1431*5))^2/2)+(((0.15*B1431*5))^3/6)+(((0.15*B1431*5))^4/24)+(((0.15*B1431*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10">
      <c r="A1410">
        <f>Skills!A15</f>
        <v/>
      </c>
      <c r="B1410">
        <f>Skills!B15</f>
        <v/>
      </c>
      <c r="C1410">
        <f>Inputs!$B$3&gt;=110</f>
        <v/>
      </c>
      <c r="D1410">
        <f>IF(Skills!C15=1,60+Inputs!$B$25+Inputs!$B$29,IF(Skills!C15=2,90+Inputs!$B$26+Inputs!$B$29,IF(Skills!C15=3,120+Inputs!$B$27+Inputs!$B$29,MAX(0,(Inputs!$B$3-100)*3)+Inputs!$B$28+Inputs!$B$29)))</f>
        <v/>
      </c>
      <c r="E1410">
        <f>INDEX(FactorTable!$B$2:$Y$301, MATCH(ROUND(MIN(300,MAX(1,D1410)),0), FactorTable!$A$2:$A$301,0), Skills!M15+1)</f>
        <v/>
      </c>
      <c r="F1410">
        <f>IF(Skills!N15=TRUE,(Skills!L15/10)*(E1410/1000),Skills!L15/10)+Skills!O15</f>
        <v/>
      </c>
      <c r="G1410">
        <f>Calc!G15</f>
        <v/>
      </c>
      <c r="H1410">
        <f>Calc!H15</f>
        <v/>
      </c>
      <c r="I1410">
        <f>IF(Skills!AA15&lt;&gt;"",1+(Skills!AA15/10)*(U1398/1000)/100,1)</f>
        <v/>
      </c>
      <c r="J1410" t="inlineStr"/>
      <c r="K1410" t="inlineStr"/>
      <c r="L1410" t="inlineStr"/>
      <c r="M1410" t="inlineStr"/>
      <c r="N1410" t="inlineStr"/>
      <c r="O1410">
        <f>(1-Summary!$B$11)*T1410+Summary!$B$11*V1410</f>
        <v/>
      </c>
      <c r="P1410">
        <f>IF(B1439=0,0,O1410/B1439)</f>
        <v/>
      </c>
      <c r="Q1410">
        <f>IFERROR(1/IF(Inputs!$B$39="pvp",15,MAX(0.1,Skills!D15-IF(Skills!E15=TRUE,Inputs!$B$32,0))),0)</f>
        <v/>
      </c>
      <c r="R1410">
        <f>IF(AND(Inputs!$B$39&lt;&gt;"pvp",Inputs!$B$44&gt;0),IF(Inputs!$B$44&lt;=0,0,(INT(Inputs!$B$44/IF(Inputs!$B$39="pvp",15,MAX(0.1,Skills!D15-IF(Skills!E15=TRUE,Inputs!$B$32,0))))+1)),0)</f>
        <v/>
      </c>
      <c r="S1410">
        <f>IFERROR(O1410/N1410,0)</f>
        <v/>
      </c>
      <c r="T1410" t="n">
        <v>0</v>
      </c>
      <c r="V1410" t="n">
        <v>0</v>
      </c>
    </row>
    <row r="1411">
      <c r="A1411">
        <f>Skills!A16</f>
        <v/>
      </c>
      <c r="B1411">
        <f>Skills!B16</f>
        <v/>
      </c>
      <c r="C1411">
        <f>Inputs!$B$3&gt;=110</f>
        <v/>
      </c>
      <c r="D1411">
        <f>IF(Skills!C16=1,60+Inputs!$B$25+Inputs!$B$29,IF(Skills!C16=2,90+Inputs!$B$26+Inputs!$B$29,IF(Skills!C16=3,120+Inputs!$B$27+Inputs!$B$29,MAX(0,(Inputs!$B$3-100)*3)+Inputs!$B$28+Inputs!$B$29)))</f>
        <v/>
      </c>
      <c r="E1411">
        <f>INDEX(FactorTable!$B$2:$Y$301, MATCH(ROUND(MIN(300,MAX(1,D1411)),0), FactorTable!$A$2:$A$301,0), Skills!M16+1)</f>
        <v/>
      </c>
      <c r="F1411">
        <f>IF(Skills!N16=TRUE,(Skills!L16/10)*(E1411/1000),Skills!L16/10)+Skills!O16</f>
        <v/>
      </c>
      <c r="G1411">
        <f>Calc!G16</f>
        <v/>
      </c>
      <c r="H1411">
        <f>Calc!H16</f>
        <v/>
      </c>
      <c r="I1411">
        <f>IF(Skills!AA16&lt;&gt;"",1+(Skills!AA16/10)*(U1398/1000)/100,1)</f>
        <v/>
      </c>
      <c r="J1411" t="inlineStr"/>
      <c r="K1411" t="inlineStr"/>
      <c r="L1411" t="inlineStr"/>
      <c r="M1411" t="inlineStr"/>
      <c r="N1411" t="inlineStr"/>
      <c r="O1411">
        <f>(1-Summary!$B$11)*T1411+Summary!$B$11*V1411</f>
        <v/>
      </c>
      <c r="P1411">
        <f>IF(B1439=0,0,O1411/B1439)</f>
        <v/>
      </c>
      <c r="Q1411">
        <f>IFERROR(1/IF(Inputs!$B$39="pvp",15,MAX(0.1,Skills!D16-IF(Skills!E16=TRUE,Inputs!$B$32,0))),0)</f>
        <v/>
      </c>
      <c r="R1411">
        <f>IF(AND(Inputs!$B$39&lt;&gt;"pvp",Inputs!$B$44&gt;0),IF(Inputs!$B$44&lt;=0,0,(INT(Inputs!$B$44/IF(Inputs!$B$39="pvp",15,MAX(0.1,Skills!D16-IF(Skills!E16=TRUE,Inputs!$B$32,0))))+1)),0)</f>
        <v/>
      </c>
      <c r="S1411">
        <f>IFERROR(O1411/N1411,0)</f>
        <v/>
      </c>
      <c r="T1411" t="n">
        <v>0</v>
      </c>
      <c r="V1411" t="n">
        <v>0</v>
      </c>
    </row>
    <row r="1412">
      <c r="A1412">
        <f>Skills!A17</f>
        <v/>
      </c>
      <c r="B1412">
        <f>Skills!B17</f>
        <v/>
      </c>
      <c r="C1412">
        <f>Inputs!$B$3&gt;=115</f>
        <v/>
      </c>
      <c r="D1412">
        <f>IF(Skills!C17=1,60+Inputs!$B$25+Inputs!$B$29,IF(Skills!C17=2,90+Inputs!$B$26+Inputs!$B$29,IF(Skills!C17=3,120+Inputs!$B$27+Inputs!$B$29,MAX(0,(Inputs!$B$3-100)*3)+Inputs!$B$28+Inputs!$B$29)))</f>
        <v/>
      </c>
      <c r="E1412">
        <f>INDEX(FactorTable!$B$2:$Y$301, MATCH(ROUND(MIN(300,MAX(1,D1412)),0), FactorTable!$A$2:$A$301,0), Skills!M17+1)</f>
        <v/>
      </c>
      <c r="F1412">
        <f>IF(Skills!N17=TRUE,(Skills!L17/10)*(E1412/1000),Skills!L17/10)+Skills!O17</f>
        <v/>
      </c>
      <c r="G1412">
        <f>Calc!G17</f>
        <v/>
      </c>
      <c r="H1412">
        <f>Calc!H17</f>
        <v/>
      </c>
      <c r="I1412">
        <f>IF(Skills!AA17&lt;&gt;"",1+(Skills!AA17/10)*(U1398/1000)/100,1)</f>
        <v/>
      </c>
      <c r="J1412">
        <f>((Inputs!$B$6*(1+Inputs!$B$7/100))+(((Inputs!$B$12*(1+Inputs!$B$13/100))-(Inputs!$B$12*(1+Inputs!$B$13/100)))+0.25*(Inputs!$B$14-Inputs!$B$14))*(1+Inputs!$B$7/100))*(F1412/100)</f>
        <v/>
      </c>
      <c r="K1412">
        <f>J1412*(1+((Inputs!$B$12*(1+Inputs!$B$13/100))*0.01+Inputs!$B$14*0.0025)/100)*(1+Inputs!$B$15/100)*(1+Inputs!$B$16/100)*(5000/(6000+Inputs!$B$43*(1-(100*(1-(1-(Inputs!$B$19+0)/100)*(1-CHOOSE(ArtifactsInput!$N$40+1,5,6,7,8,9,10)/100)^(ArtifactsInput!$M$40-ArtifactsInput!$M$40)))/100)))*(1+(Inputs!$B$24+((C1425=TRUE)*(F1425-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1418=TRUE)*(F1418-Calc!F23))+(((IF(AND(ArtifactsInput!$M$42,((Inputs!$B$9+((C1420=TRUE)*(F1420-Calc!F25))+B1435+(ArtifactsInput!$M$24-ArtifactsInput!$M$24)*CHOOSE(ArtifactsInput!$N$24+1,10,12,14,16,18,20)+IF(ArtifactsInput!$M$10,CHOOSE(ArtifactsInput!$N$10+1,15,18,21,24,27,30)*(IF(Inputs!$B$39="pvp",MIN(15,15)/15,IF(AND(Inputs!$B$39&lt;&gt;"pvp",Inputs!$B$44&gt;0),MIN(15,Inputs!$B$44)/(Inputs!$B$44),0))),0)))&gt;=100),MIN(100,((Inputs!$B$9+((C1420=TRUE)*(F1420-Calc!F25))+B1435+(ArtifactsInput!$M$24-ArtifactsInput!$M$24)*CHOOSE(ArtifactsInput!$N$24+1,10,12,14,16,18,20)+IF(ArtifactsInput!$M$10,CHOOSE(ArtifactsInput!$N$10+1,15,18,21,24,27,30)*(IF(Inputs!$B$39="pvp",MIN(15,15)/15,IF(AND(Inputs!$B$39&lt;&gt;"pvp",Inputs!$B$44&gt;0),MIN(15,Inputs!$B$44)/(Inputs!$B$44),0))),0)))-100),0))*CHOOSE(ArtifactsInput!$N$42+1,0.6,0.72,0.84,0.96,1.08,1.2))),Inputs!$B$18+((C1424=TRUE)*(F1424-Calc!F29))+(IF(AND(ArtifactsInput!$M$42,((Inputs!$B$9+((C1420=TRUE)*(F1420-Calc!F25))+B1435+(ArtifactsInput!$M$24-ArtifactsInput!$M$24)*CHOOSE(ArtifactsInput!$N$24+1,10,12,14,16,18,20)+IF(ArtifactsInput!$M$10,CHOOSE(ArtifactsInput!$N$10+1,15,18,21,24,27,30)*(IF(Inputs!$B$39="pvp",MIN(15,15)/15,IF(AND(Inputs!$B$39&lt;&gt;"pvp",Inputs!$B$44&gt;0),MIN(15,Inputs!$B$44)/(Inputs!$B$44),0))),0)))&gt;=100),CHOOSE(ArtifactsInput!$N$42+1,40,48,56,64,72,80),0))))/100)*(((1+(((C1416=TRUE)*F1416*IF(AND(Inputs!$B$39&lt;&gt;"pvp",Inputs!$B$44&gt;0),(((R1416-1)*(Skills!Y21*(1+Inputs!$B$34/100))+MIN((Skills!Y21*(1+Inputs!$B$34/100)),MAX(0,Inputs!$B$44-((R1416-1)*Skills!D21))))/Inputs!$B$44),IF(Inputs!$B$39="pvp",MIN((Skills!Y21*(1+Inputs!$B$34/100)),15)/15,(Skills!Y21*(1+Inputs!$B$34/100))/Skills!D21)))+((C1423=TRUE)*(F1423-Calc!F28))+((C1413=TRUE)*(F1413-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1410=TRUE)*F1410*IF(AND(Inputs!$B$39&lt;&gt;"pvp",Inputs!$B$44&gt;0),(((R1410-1)*(Skills!Y15*(1+Inputs!$B$34/100))+MIN((Skills!Y15*(1+Inputs!$B$34/100)),MAX(0,Inputs!$B$44-((R1410-1)*Skills!D15))))/Inputs!$B$44),IF(Inputs!$B$39="pvp",MIN((Skills!Y15*(1+Inputs!$B$34/100)),15)/15,(Skills!Y15*(1+Inputs!$B$34/100))/Skills!D15)))/100)*(1+((C1401=TRUE)*F1401*B1429)/100))*B1437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1412)</f>
        <v/>
      </c>
      <c r="L1412">
        <f>K1412*(MIN(Inputs!$B$22+((C1419=TRUE)*(F1419-Calc!F24)),(Inputs!$B$23+0+(IF(ArtifactsInput!$M$15,CHOOSE(ArtifactsInput!$N$15+1,25,30,35,40,45,50)/100*(Inputs!$B$11-Inputs!$B$11),0))))/100+(Inputs!$B$23+0+(IF(ArtifactsInput!$M$15,CHOOSE(ArtifactsInput!$N$15+1,25,30,35,40,45,50)/100*(Inputs!$B$11-Inputs!$B$11),0)))/100)/2</f>
        <v/>
      </c>
      <c r="M1412">
        <f>L1412*(1+(Inputs!$B$10+((C1421=TRUE)*(F1421-Calc!F26))+B1438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12">
        <f>L1412*(1-MIN((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1412*(MIN((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12">
        <f>(1-Summary!$B$11)*T1412+Summary!$B$11*V1412</f>
        <v/>
      </c>
      <c r="P1412">
        <f>IF(B1439=0,0,O1412/B1439)</f>
        <v/>
      </c>
      <c r="Q1412" t="n">
        <v>0</v>
      </c>
      <c r="R1412" t="n">
        <v>0</v>
      </c>
      <c r="S1412">
        <f>IFERROR(O1412/N1412,0)</f>
        <v/>
      </c>
      <c r="T1412">
        <f>IF(C1412,(Inputs!$B$38*0.2*N1412)*IF(Inputs!$B$39="pvp",1,1+(Inputs!$B$20+((C1422=TRUE)*(F1422-Calc!F27))+Skills!P17+B1436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Hunt"),CHOOSE(ArtifactsInput!$N$35+1,15,18,21,24,27,30)*(1-EXP(-(0.2*B1431)*5)),0)+IF(AND(ArtifactsInput!$M$22,Inputs!$B$4&lt;&gt;"Chapter Hunt"),CHOOSE(ArtifactsInput!$N$22+1,10,12,14,16,18,20)*((0*(((0.15*B1431*5))^0/1)+1*(((0.15*B1431*5))^1/1)+2*(((0.15*B1431*5))^2/2)+3*(((0.15*B1431*5))^3/6)+4*(((0.15*B1431*5))^4/24)+5*(((0.15*B1431*5))^5/120))/((((0.15*B1431*5))^0/1)+(((0.15*B1431*5))^1/1)+(((0.15*B1431*5))^2/2)+(((0.15*B1431*5))^3/6)+(((0.15*B1431*5))^4/24)+(((0.15*B1431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1412*(1-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1412*(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1412*(1-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1412*(MIN(100,(Inputs!$B$9+((C1420=TRUE)*(F1420-Calc!F25))+B1435+(ArtifactsInput!$M$24-ArtifactsInput!$M$24)*CHOOSE(ArtifactsInput!$N$24+1,10,12,14,16,18,20)+(IF(AND(ArtifactsInput!$M$42,((Inputs!$B$9+((C1420=TRUE)*(F1420-Calc!F25))+B1435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12">
        <f>IF(C1412,(Inputs!$B$38*0.2*N1412)*IF(Inputs!$B$39="pvp",1,(1+(Inputs!$B$21+Skills!Q17+B1436+(IF(ArtifactsInput!$M$33,CHOOSE(ArtifactsInput!$N$33+1,30,36,42,48,54,60),0))+(IF(AND(ArtifactsInput!$M$35,Inputs!$B$4&lt;&gt;"Chapter Hunt"),CHOOSE(ArtifactsInput!$N$35+1,15,18,21,24,27,30)*(1-EXP(-(0.2*B1431)*5)),0)+IF(AND(ArtifactsInput!$M$22,Inputs!$B$4&lt;&gt;"Chapter Hunt"),CHOOSE(ArtifactsInput!$N$22+1,10,12,14,16,18,20)*((0*(((0.15*B1431*5))^0/1)+1*(((0.15*B1431*5))^1/1)+2*(((0.15*B1431*5))^2/2)+3*(((0.15*B1431*5))^3/6)+4*(((0.15*B1431*5))^4/24)+5*(((0.15*B1431*5))^5/120))/((((0.15*B1431*5))^0/1)+(((0.15*B1431*5))^1/1)+(((0.15*B1431*5))^2/2)+(((0.15*B1431*5))^3/6)+(((0.15*B1431*5))^4/24)+(((0.15*B1431*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13">
      <c r="A1413">
        <f>Skills!A18</f>
        <v/>
      </c>
      <c r="B1413">
        <f>Skills!B18</f>
        <v/>
      </c>
      <c r="C1413">
        <f>Inputs!$B$3&gt;=115</f>
        <v/>
      </c>
      <c r="D1413">
        <f>IF(Skills!C18=1,60+Inputs!$B$25+Inputs!$B$29,IF(Skills!C18=2,90+Inputs!$B$26+Inputs!$B$29,IF(Skills!C18=3,120+Inputs!$B$27+Inputs!$B$29,MAX(0,(Inputs!$B$3-100)*3)+Inputs!$B$28+Inputs!$B$29)))</f>
        <v/>
      </c>
      <c r="E1413">
        <f>INDEX(FactorTable!$B$2:$Y$301, MATCH(ROUND(MIN(300,MAX(1,D1413)),0), FactorTable!$A$2:$A$301,0), Skills!M18+1)</f>
        <v/>
      </c>
      <c r="F1413">
        <f>IF(Skills!N18=TRUE,(Skills!L18/10)*(E1413/1000),Skills!L18/10)+Skills!O18</f>
        <v/>
      </c>
      <c r="G1413">
        <f>Calc!G18</f>
        <v/>
      </c>
      <c r="H1413">
        <f>Calc!H18</f>
        <v/>
      </c>
      <c r="I1413">
        <f>IF(Skills!AA18&lt;&gt;"",1+(Skills!AA18/10)*(U1398/1000)/100,1)</f>
        <v/>
      </c>
      <c r="J1413" t="inlineStr"/>
      <c r="K1413" t="inlineStr"/>
      <c r="L1413" t="inlineStr"/>
      <c r="M1413" t="inlineStr"/>
      <c r="N1413" t="inlineStr"/>
      <c r="O1413">
        <f>(1-Summary!$B$11)*T1413+Summary!$B$11*V1413</f>
        <v/>
      </c>
      <c r="P1413">
        <f>IF(B1439=0,0,O1413/B1439)</f>
        <v/>
      </c>
      <c r="Q1413" t="n">
        <v>0</v>
      </c>
      <c r="R1413" t="n">
        <v>0</v>
      </c>
      <c r="S1413">
        <f>IFERROR(O1413/N1413,0)</f>
        <v/>
      </c>
      <c r="T1413" t="n">
        <v>0</v>
      </c>
      <c r="V1413" t="n">
        <v>0</v>
      </c>
    </row>
    <row r="1414">
      <c r="A1414">
        <f>Skills!A19</f>
        <v/>
      </c>
      <c r="B1414">
        <f>Skills!B19</f>
        <v/>
      </c>
      <c r="C1414">
        <f>TRUE</f>
        <v/>
      </c>
      <c r="D1414">
        <f>IF(Skills!C19=1,60+Inputs!$B$25+Inputs!$B$29,IF(Skills!C19=2,90+Inputs!$B$26+Inputs!$B$29,IF(Skills!C19=3,120+Inputs!$B$27+Inputs!$B$29,MAX(0,(Inputs!$B$3-100)*3)+Inputs!$B$28+Inputs!$B$29)))</f>
        <v/>
      </c>
      <c r="E1414">
        <f>INDEX(FactorTable!$B$2:$Y$301, MATCH(ROUND(MIN(300,MAX(1,D1414)),0), FactorTable!$A$2:$A$301,0), Skills!M19+1)</f>
        <v/>
      </c>
      <c r="F1414">
        <f>IF(Skills!N19=TRUE,(Skills!L19/10)*(E1414/1000),Skills!L19/10)+Skills!O19</f>
        <v/>
      </c>
      <c r="G1414">
        <f>Calc!G19</f>
        <v/>
      </c>
      <c r="H1414">
        <f>Calc!H19</f>
        <v/>
      </c>
      <c r="I1414">
        <f>IF(Skills!AA19&lt;&gt;"",1+(Skills!AA19/10)*(U1398/1000)/100,1)</f>
        <v/>
      </c>
      <c r="J1414" t="inlineStr"/>
      <c r="K1414" t="inlineStr"/>
      <c r="L1414" t="inlineStr"/>
      <c r="M1414" t="inlineStr"/>
      <c r="N1414" t="inlineStr"/>
      <c r="O1414">
        <f>(1-Summary!$B$11)*T1414+Summary!$B$11*V1414</f>
        <v/>
      </c>
      <c r="P1414">
        <f>IF(B1439=0,0,O1414/B1439)</f>
        <v/>
      </c>
      <c r="Q1414">
        <f>IFERROR(1/IF(Inputs!$B$39="pvp",15,MAX(0.1,Skills!D19-IF(Skills!E19=TRUE,Inputs!$B$32,0))),0)</f>
        <v/>
      </c>
      <c r="R1414">
        <f>IF(AND(Inputs!$B$39&lt;&gt;"pvp",Inputs!$B$44&gt;0),IF(Inputs!$B$44&lt;=0,0,(INT(Inputs!$B$44/IF(Inputs!$B$39="pvp",15,MAX(0.1,Skills!D19-IF(Skills!E19=TRUE,Inputs!$B$32,0))))+1)),0)</f>
        <v/>
      </c>
      <c r="S1414">
        <f>IFERROR(O1414/N1414,0)</f>
        <v/>
      </c>
      <c r="T1414" t="n">
        <v>0</v>
      </c>
      <c r="V1414" t="n">
        <v>0</v>
      </c>
    </row>
    <row r="1415">
      <c r="A1415">
        <f>Skills!A20</f>
        <v/>
      </c>
      <c r="B1415">
        <f>Skills!B20</f>
        <v/>
      </c>
      <c r="C1415">
        <f>Inputs!$B$3&gt;=15</f>
        <v/>
      </c>
      <c r="D1415">
        <f>IF(Skills!C20=1,60+Inputs!$B$25+Inputs!$B$29,IF(Skills!C20=2,90+Inputs!$B$26+Inputs!$B$29,IF(Skills!C20=3,120+Inputs!$B$27+Inputs!$B$29,MAX(0,(Inputs!$B$3-100)*3)+Inputs!$B$28+Inputs!$B$29)))</f>
        <v/>
      </c>
      <c r="E1415">
        <f>INDEX(FactorTable!$B$2:$Y$301, MATCH(ROUND(MIN(300,MAX(1,D1415)),0), FactorTable!$A$2:$A$301,0), Skills!M20+1)</f>
        <v/>
      </c>
      <c r="F1415">
        <f>IF(Skills!N20=TRUE,(Skills!L20/10)*(E1415/1000),Skills!L20/10)+Skills!O20</f>
        <v/>
      </c>
      <c r="G1415">
        <f>Calc!G20</f>
        <v/>
      </c>
      <c r="H1415">
        <f>Calc!H20</f>
        <v/>
      </c>
      <c r="I1415">
        <f>IF(Skills!AA20&lt;&gt;"",1+(Skills!AA20/10)*(U1398/1000)/100,1)</f>
        <v/>
      </c>
      <c r="J1415" t="inlineStr"/>
      <c r="K1415" t="inlineStr"/>
      <c r="L1415" t="inlineStr"/>
      <c r="M1415" t="inlineStr"/>
      <c r="N1415" t="inlineStr"/>
      <c r="O1415">
        <f>(1-Summary!$B$11)*T1415+Summary!$B$11*V1415</f>
        <v/>
      </c>
      <c r="P1415">
        <f>IF(B1439=0,0,O1415/B1439)</f>
        <v/>
      </c>
      <c r="Q1415">
        <f>IFERROR(1/IF(Inputs!$B$39="pvp",15,MAX(0.1,Skills!D20-IF(Skills!E20=TRUE,Inputs!$B$32,0))),0)</f>
        <v/>
      </c>
      <c r="R1415">
        <f>IF(AND(Inputs!$B$39&lt;&gt;"pvp",Inputs!$B$44&gt;0),IF(Inputs!$B$44&lt;=0,0,(INT(Inputs!$B$44/IF(Inputs!$B$39="pvp",15,MAX(0.1,Skills!D20-IF(Skills!E20=TRUE,Inputs!$B$32,0))))+1)),0)</f>
        <v/>
      </c>
      <c r="S1415">
        <f>IFERROR(O1415/N1415,0)</f>
        <v/>
      </c>
      <c r="T1415" t="n">
        <v>0</v>
      </c>
      <c r="V1415" t="n">
        <v>0</v>
      </c>
    </row>
    <row r="1416">
      <c r="A1416">
        <f>Skills!A21</f>
        <v/>
      </c>
      <c r="B1416">
        <f>Skills!B21</f>
        <v/>
      </c>
      <c r="C1416">
        <f>Inputs!$B$3&gt;=15</f>
        <v/>
      </c>
      <c r="D1416">
        <f>IF(Skills!C21=1,60+Inputs!$B$25+Inputs!$B$29,IF(Skills!C21=2,90+Inputs!$B$26+Inputs!$B$29,IF(Skills!C21=3,120+Inputs!$B$27+Inputs!$B$29,MAX(0,(Inputs!$B$3-100)*3)+Inputs!$B$28+Inputs!$B$29)))</f>
        <v/>
      </c>
      <c r="E1416">
        <f>INDEX(FactorTable!$B$2:$Y$301, MATCH(ROUND(MIN(300,MAX(1,D1416)),0), FactorTable!$A$2:$A$301,0), Skills!M21+1)</f>
        <v/>
      </c>
      <c r="F1416">
        <f>IF(Skills!N21=TRUE,(Skills!L21/10)*(E1416/1000),Skills!L21/10)+Skills!O21</f>
        <v/>
      </c>
      <c r="G1416">
        <f>Calc!G21</f>
        <v/>
      </c>
      <c r="H1416">
        <f>Calc!H21</f>
        <v/>
      </c>
      <c r="I1416">
        <f>IF(Skills!AA21&lt;&gt;"",1+(Skills!AA21/10)*(U1398/1000)/100,1)</f>
        <v/>
      </c>
      <c r="J1416" t="inlineStr"/>
      <c r="K1416" t="inlineStr"/>
      <c r="L1416" t="inlineStr"/>
      <c r="M1416" t="inlineStr"/>
      <c r="N1416" t="inlineStr"/>
      <c r="O1416">
        <f>(1-Summary!$B$11)*T1416+Summary!$B$11*V1416</f>
        <v/>
      </c>
      <c r="P1416">
        <f>IF(B1439=0,0,O1416/B1439)</f>
        <v/>
      </c>
      <c r="Q1416">
        <f>IFERROR(1/IF(Inputs!$B$39="pvp",15,MAX(0.1,Skills!D21-IF(Skills!E21=TRUE,Inputs!$B$32,0))),0)</f>
        <v/>
      </c>
      <c r="R1416">
        <f>IF(AND(Inputs!$B$39&lt;&gt;"pvp",Inputs!$B$44&gt;0),IF(Inputs!$B$44&lt;=0,0,(INT(Inputs!$B$44/IF(Inputs!$B$39="pvp",15,MAX(0.1,Skills!D21-IF(Skills!E21=TRUE,Inputs!$B$32,0))))+1)),0)</f>
        <v/>
      </c>
      <c r="S1416">
        <f>IFERROR(O1416/N1416,0)</f>
        <v/>
      </c>
      <c r="T1416" t="n">
        <v>0</v>
      </c>
      <c r="V1416" t="n">
        <v>0</v>
      </c>
    </row>
    <row r="1417">
      <c r="A1417">
        <f>Skills!A22</f>
        <v/>
      </c>
      <c r="B1417">
        <f>Skills!B22</f>
        <v/>
      </c>
      <c r="C1417">
        <f>Inputs!$B$3&gt;=33</f>
        <v/>
      </c>
      <c r="D1417">
        <f>IF(Skills!C22=1,60+Inputs!$B$25+Inputs!$B$29,IF(Skills!C22=2,90+Inputs!$B$26+Inputs!$B$29,IF(Skills!C22=3,120+Inputs!$B$27+Inputs!$B$29,MAX(0,(Inputs!$B$3-100)*3)+Inputs!$B$28+Inputs!$B$29)))</f>
        <v/>
      </c>
      <c r="E1417">
        <f>INDEX(FactorTable!$B$2:$Y$301, MATCH(ROUND(MIN(300,MAX(1,D1417)),0), FactorTable!$A$2:$A$301,0), Skills!M22+1)</f>
        <v/>
      </c>
      <c r="F1417">
        <f>IF(Skills!N22=TRUE,(Skills!L22/10)*(E1417/1000),Skills!L22/10)+Skills!O22</f>
        <v/>
      </c>
      <c r="G1417">
        <f>Calc!G22</f>
        <v/>
      </c>
      <c r="H1417">
        <f>Calc!H22</f>
        <v/>
      </c>
      <c r="I1417">
        <f>IF(Skills!AA22&lt;&gt;"",1+(Skills!AA22/10)*(U1398/1000)/100,1)</f>
        <v/>
      </c>
      <c r="J1417" t="inlineStr"/>
      <c r="K1417" t="inlineStr"/>
      <c r="L1417" t="inlineStr"/>
      <c r="M1417" t="inlineStr"/>
      <c r="N1417" t="inlineStr"/>
      <c r="O1417">
        <f>(1-Summary!$B$11)*T1417+Summary!$B$11*V1417</f>
        <v/>
      </c>
      <c r="P1417">
        <f>IF(B1439=0,0,O1417/B1439)</f>
        <v/>
      </c>
      <c r="Q1417" t="n">
        <v>0</v>
      </c>
      <c r="R1417" t="n">
        <v>0</v>
      </c>
      <c r="S1417">
        <f>IFERROR(O1417/N1417,0)</f>
        <v/>
      </c>
      <c r="T1417" t="n">
        <v>0</v>
      </c>
      <c r="V1417" t="n">
        <v>0</v>
      </c>
    </row>
    <row r="1418">
      <c r="A1418">
        <f>Skills!A23</f>
        <v/>
      </c>
      <c r="B1418">
        <f>Skills!B23</f>
        <v/>
      </c>
      <c r="C1418">
        <f>Inputs!$B$3&gt;=38</f>
        <v/>
      </c>
      <c r="D1418">
        <f>IF(Skills!C23=1,60+Inputs!$B$25+Inputs!$B$29,IF(Skills!C23=2,90+Inputs!$B$26+Inputs!$B$29,IF(Skills!C23=3,120+Inputs!$B$27+Inputs!$B$29,MAX(0,(Inputs!$B$3-100)*3)+Inputs!$B$28+Inputs!$B$29)))</f>
        <v/>
      </c>
      <c r="E1418">
        <f>INDEX(FactorTable!$B$2:$Y$301, MATCH(ROUND(MIN(300,MAX(1,D1418)),0), FactorTable!$A$2:$A$301,0), Skills!M23+1)</f>
        <v/>
      </c>
      <c r="F1418">
        <f>IF(Skills!N23=TRUE,(Skills!L23/10)*(E1418/1000),Skills!L23/10)+Skills!O23</f>
        <v/>
      </c>
      <c r="G1418">
        <f>Calc!G23</f>
        <v/>
      </c>
      <c r="H1418">
        <f>Calc!H23</f>
        <v/>
      </c>
      <c r="I1418">
        <f>IF(Skills!AA23&lt;&gt;"",1+(Skills!AA23/10)*(U1398/1000)/100,1)</f>
        <v/>
      </c>
      <c r="J1418" t="inlineStr"/>
      <c r="K1418" t="inlineStr"/>
      <c r="L1418" t="inlineStr"/>
      <c r="M1418" t="inlineStr"/>
      <c r="N1418" t="inlineStr"/>
      <c r="O1418">
        <f>(1-Summary!$B$11)*T1418+Summary!$B$11*V1418</f>
        <v/>
      </c>
      <c r="P1418">
        <f>IF(B1439=0,0,O1418/B1439)</f>
        <v/>
      </c>
      <c r="Q1418" t="n">
        <v>0</v>
      </c>
      <c r="R1418" t="n">
        <v>0</v>
      </c>
      <c r="S1418">
        <f>IFERROR(O1418/N1418,0)</f>
        <v/>
      </c>
      <c r="T1418" t="n">
        <v>0</v>
      </c>
      <c r="V1418" t="n">
        <v>0</v>
      </c>
    </row>
    <row r="1419">
      <c r="A1419">
        <f>Skills!A24</f>
        <v/>
      </c>
      <c r="B1419">
        <f>Skills!B24</f>
        <v/>
      </c>
      <c r="C1419">
        <f>Inputs!$B$3&gt;=40</f>
        <v/>
      </c>
      <c r="D1419">
        <f>IF(Skills!C24=1,60+Inputs!$B$25+Inputs!$B$29,IF(Skills!C24=2,90+Inputs!$B$26+Inputs!$B$29,IF(Skills!C24=3,120+Inputs!$B$27+Inputs!$B$29,MAX(0,(Inputs!$B$3-100)*3)+Inputs!$B$28+Inputs!$B$29)))</f>
        <v/>
      </c>
      <c r="E1419">
        <f>INDEX(FactorTable!$B$2:$Y$301, MATCH(ROUND(MIN(300,MAX(1,D1419)),0), FactorTable!$A$2:$A$301,0), Skills!M24+1)</f>
        <v/>
      </c>
      <c r="F1419">
        <f>IF(Skills!N24=TRUE,(Skills!L24/10)*(E1419/1000),Skills!L24/10)+Skills!O24</f>
        <v/>
      </c>
      <c r="G1419">
        <f>Calc!G24</f>
        <v/>
      </c>
      <c r="H1419">
        <f>Calc!H24</f>
        <v/>
      </c>
      <c r="I1419">
        <f>IF(Skills!AA24&lt;&gt;"",1+(Skills!AA24/10)*(U1398/1000)/100,1)</f>
        <v/>
      </c>
      <c r="J1419" t="inlineStr"/>
      <c r="K1419" t="inlineStr"/>
      <c r="L1419" t="inlineStr"/>
      <c r="M1419" t="inlineStr"/>
      <c r="N1419" t="inlineStr"/>
      <c r="O1419">
        <f>(1-Summary!$B$11)*T1419+Summary!$B$11*V1419</f>
        <v/>
      </c>
      <c r="P1419">
        <f>IF(B1439=0,0,O1419/B1439)</f>
        <v/>
      </c>
      <c r="Q1419" t="n">
        <v>0</v>
      </c>
      <c r="R1419" t="n">
        <v>0</v>
      </c>
      <c r="S1419">
        <f>IFERROR(O1419/N1419,0)</f>
        <v/>
      </c>
      <c r="T1419" t="n">
        <v>0</v>
      </c>
      <c r="V1419" t="n">
        <v>0</v>
      </c>
    </row>
    <row r="1420">
      <c r="A1420">
        <f>Skills!A25</f>
        <v/>
      </c>
      <c r="B1420">
        <f>Skills!B25</f>
        <v/>
      </c>
      <c r="C1420">
        <f>Inputs!$B$3&gt;=45</f>
        <v/>
      </c>
      <c r="D1420">
        <f>IF(Skills!C25=1,60+Inputs!$B$25+Inputs!$B$29,IF(Skills!C25=2,90+Inputs!$B$26+Inputs!$B$29,IF(Skills!C25=3,120+Inputs!$B$27+Inputs!$B$29,MAX(0,(Inputs!$B$3-100)*3)+Inputs!$B$28+Inputs!$B$29)))</f>
        <v/>
      </c>
      <c r="E1420">
        <f>INDEX(FactorTable!$B$2:$Y$301, MATCH(ROUND(MIN(300,MAX(1,D1420)),0), FactorTable!$A$2:$A$301,0), Skills!M25+1)</f>
        <v/>
      </c>
      <c r="F1420">
        <f>IF(Skills!N25=TRUE,(Skills!L25/10)*(E1420/1000),Skills!L25/10)+Skills!O25</f>
        <v/>
      </c>
      <c r="G1420">
        <f>Calc!G25</f>
        <v/>
      </c>
      <c r="H1420">
        <f>Calc!H25</f>
        <v/>
      </c>
      <c r="I1420">
        <f>IF(Skills!AA25&lt;&gt;"",1+(Skills!AA25/10)*(U1398/1000)/100,1)</f>
        <v/>
      </c>
      <c r="J1420" t="inlineStr"/>
      <c r="K1420" t="inlineStr"/>
      <c r="L1420" t="inlineStr"/>
      <c r="M1420" t="inlineStr"/>
      <c r="N1420" t="inlineStr"/>
      <c r="O1420">
        <f>(1-Summary!$B$11)*T1420+Summary!$B$11*V1420</f>
        <v/>
      </c>
      <c r="P1420">
        <f>IF(B1439=0,0,O1420/B1439)</f>
        <v/>
      </c>
      <c r="Q1420" t="n">
        <v>0</v>
      </c>
      <c r="R1420" t="n">
        <v>0</v>
      </c>
      <c r="S1420">
        <f>IFERROR(O1420/N1420,0)</f>
        <v/>
      </c>
      <c r="T1420" t="n">
        <v>0</v>
      </c>
      <c r="V1420" t="n">
        <v>0</v>
      </c>
    </row>
    <row r="1421">
      <c r="A1421">
        <f>Skills!A26</f>
        <v/>
      </c>
      <c r="B1421">
        <f>Skills!B26</f>
        <v/>
      </c>
      <c r="C1421">
        <f>Inputs!$B$3&gt;=45</f>
        <v/>
      </c>
      <c r="D1421">
        <f>IF(Skills!C26=1,60+Inputs!$B$25+Inputs!$B$29,IF(Skills!C26=2,90+Inputs!$B$26+Inputs!$B$29,IF(Skills!C26=3,120+Inputs!$B$27+Inputs!$B$29,MAX(0,(Inputs!$B$3-100)*3)+Inputs!$B$28+Inputs!$B$29)))</f>
        <v/>
      </c>
      <c r="E1421">
        <f>INDEX(FactorTable!$B$2:$Y$301, MATCH(ROUND(MIN(300,MAX(1,D1421)),0), FactorTable!$A$2:$A$301,0), Skills!M26+1)</f>
        <v/>
      </c>
      <c r="F1421">
        <f>IF(Skills!N26=TRUE,(Skills!L26/10)*(E1421/1000),Skills!L26/10)+Skills!O26</f>
        <v/>
      </c>
      <c r="G1421">
        <f>Calc!G26</f>
        <v/>
      </c>
      <c r="H1421">
        <f>Calc!H26</f>
        <v/>
      </c>
      <c r="I1421">
        <f>IF(Skills!AA26&lt;&gt;"",1+(Skills!AA26/10)*(U1398/1000)/100,1)</f>
        <v/>
      </c>
      <c r="J1421" t="inlineStr"/>
      <c r="K1421" t="inlineStr"/>
      <c r="L1421" t="inlineStr"/>
      <c r="M1421" t="inlineStr"/>
      <c r="N1421" t="inlineStr"/>
      <c r="O1421">
        <f>(1-Summary!$B$11)*T1421+Summary!$B$11*V1421</f>
        <v/>
      </c>
      <c r="P1421">
        <f>IF(B1439=0,0,O1421/B1439)</f>
        <v/>
      </c>
      <c r="Q1421" t="n">
        <v>0</v>
      </c>
      <c r="R1421" t="n">
        <v>0</v>
      </c>
      <c r="S1421">
        <f>IFERROR(O1421/N1421,0)</f>
        <v/>
      </c>
      <c r="T1421" t="n">
        <v>0</v>
      </c>
      <c r="V1421" t="n">
        <v>0</v>
      </c>
    </row>
    <row r="1422">
      <c r="A1422">
        <f>Skills!A27</f>
        <v/>
      </c>
      <c r="B1422">
        <f>Skills!B27</f>
        <v/>
      </c>
      <c r="C1422">
        <f>Inputs!$B$3&gt;=72</f>
        <v/>
      </c>
      <c r="D1422">
        <f>IF(Skills!C27=1,60+Inputs!$B$25+Inputs!$B$29,IF(Skills!C27=2,90+Inputs!$B$26+Inputs!$B$29,IF(Skills!C27=3,120+Inputs!$B$27+Inputs!$B$29,MAX(0,(Inputs!$B$3-100)*3)+Inputs!$B$28+Inputs!$B$29)))</f>
        <v/>
      </c>
      <c r="E1422">
        <f>INDEX(FactorTable!$B$2:$Y$301, MATCH(ROUND(MIN(300,MAX(1,D1422)),0), FactorTable!$A$2:$A$301,0), Skills!M27+1)</f>
        <v/>
      </c>
      <c r="F1422">
        <f>IF(Skills!N27=TRUE,(Skills!L27/10)*(E1422/1000),Skills!L27/10)+Skills!O27</f>
        <v/>
      </c>
      <c r="G1422">
        <f>Calc!G27</f>
        <v/>
      </c>
      <c r="H1422">
        <f>Calc!H27</f>
        <v/>
      </c>
      <c r="I1422">
        <f>IF(Skills!AA27&lt;&gt;"",1+(Skills!AA27/10)*(U1398/1000)/100,1)</f>
        <v/>
      </c>
      <c r="J1422" t="inlineStr"/>
      <c r="K1422" t="inlineStr"/>
      <c r="L1422" t="inlineStr"/>
      <c r="M1422" t="inlineStr"/>
      <c r="N1422" t="inlineStr"/>
      <c r="O1422">
        <f>(1-Summary!$B$11)*T1422+Summary!$B$11*V1422</f>
        <v/>
      </c>
      <c r="P1422">
        <f>IF(B1439=0,0,O1422/B1439)</f>
        <v/>
      </c>
      <c r="Q1422" t="n">
        <v>0</v>
      </c>
      <c r="R1422" t="n">
        <v>0</v>
      </c>
      <c r="S1422">
        <f>IFERROR(O1422/N1422,0)</f>
        <v/>
      </c>
      <c r="T1422" t="n">
        <v>0</v>
      </c>
      <c r="V1422" t="n">
        <v>0</v>
      </c>
    </row>
    <row r="1423">
      <c r="A1423">
        <f>Skills!A28</f>
        <v/>
      </c>
      <c r="B1423">
        <f>Skills!B28</f>
        <v/>
      </c>
      <c r="C1423">
        <f>Inputs!$B$3&gt;=75</f>
        <v/>
      </c>
      <c r="D1423">
        <f>IF(Skills!C28=1,60+Inputs!$B$25+Inputs!$B$29,IF(Skills!C28=2,90+Inputs!$B$26+Inputs!$B$29,IF(Skills!C28=3,120+Inputs!$B$27+Inputs!$B$29,MAX(0,(Inputs!$B$3-100)*3)+Inputs!$B$28+Inputs!$B$29)))</f>
        <v/>
      </c>
      <c r="E1423">
        <f>INDEX(FactorTable!$B$2:$Y$301, MATCH(ROUND(MIN(300,MAX(1,D1423)),0), FactorTable!$A$2:$A$301,0), Skills!M28+1)</f>
        <v/>
      </c>
      <c r="F1423">
        <f>IF(Skills!N28=TRUE,(Skills!L28/10)*(E1423/1000),Skills!L28/10)+Skills!O28</f>
        <v/>
      </c>
      <c r="G1423">
        <f>Calc!G28</f>
        <v/>
      </c>
      <c r="H1423">
        <f>Calc!H28</f>
        <v/>
      </c>
      <c r="I1423">
        <f>IF(Skills!AA28&lt;&gt;"",1+(Skills!AA28/10)*(U1398/1000)/100,1)</f>
        <v/>
      </c>
      <c r="J1423" t="inlineStr"/>
      <c r="K1423" t="inlineStr"/>
      <c r="L1423" t="inlineStr"/>
      <c r="M1423" t="inlineStr"/>
      <c r="N1423" t="inlineStr"/>
      <c r="O1423">
        <f>(1-Summary!$B$11)*T1423+Summary!$B$11*V1423</f>
        <v/>
      </c>
      <c r="P1423">
        <f>IF(B1439=0,0,O1423/B1439)</f>
        <v/>
      </c>
      <c r="Q1423" t="n">
        <v>0</v>
      </c>
      <c r="R1423" t="n">
        <v>0</v>
      </c>
      <c r="S1423">
        <f>IFERROR(O1423/N1423,0)</f>
        <v/>
      </c>
      <c r="T1423" t="n">
        <v>0</v>
      </c>
      <c r="V1423" t="n">
        <v>0</v>
      </c>
    </row>
    <row r="1424">
      <c r="A1424">
        <f>Skills!A29</f>
        <v/>
      </c>
      <c r="B1424">
        <f>Skills!B29</f>
        <v/>
      </c>
      <c r="C1424">
        <f>Inputs!$B$3&gt;=120</f>
        <v/>
      </c>
      <c r="D1424">
        <f>IF(Skills!C29=1,60+Inputs!$B$25+Inputs!$B$29,IF(Skills!C29=2,90+Inputs!$B$26+Inputs!$B$29,IF(Skills!C29=3,120+Inputs!$B$27+Inputs!$B$29,MAX(0,(Inputs!$B$3-100)*3)+Inputs!$B$28+Inputs!$B$29)))</f>
        <v/>
      </c>
      <c r="E1424">
        <f>INDEX(FactorTable!$B$2:$Y$301, MATCH(ROUND(MIN(300,MAX(1,D1424)),0), FactorTable!$A$2:$A$301,0), Skills!M29+1)</f>
        <v/>
      </c>
      <c r="F1424">
        <f>IF(Skills!N29=TRUE,(Skills!L29/10)*(E1424/1000),Skills!L29/10)+Skills!O29</f>
        <v/>
      </c>
      <c r="G1424">
        <f>Calc!G29</f>
        <v/>
      </c>
      <c r="H1424">
        <f>Calc!H29</f>
        <v/>
      </c>
      <c r="I1424">
        <f>IF(Skills!AA29&lt;&gt;"",1+(Skills!AA29/10)*(U1398/1000)/100,1)</f>
        <v/>
      </c>
      <c r="J1424" t="inlineStr"/>
      <c r="K1424" t="inlineStr"/>
      <c r="L1424" t="inlineStr"/>
      <c r="M1424" t="inlineStr"/>
      <c r="N1424" t="inlineStr"/>
      <c r="O1424">
        <f>(1-Summary!$B$11)*T1424+Summary!$B$11*V1424</f>
        <v/>
      </c>
      <c r="P1424">
        <f>IF(B1439=0,0,O1424/B1439)</f>
        <v/>
      </c>
      <c r="Q1424" t="n">
        <v>0</v>
      </c>
      <c r="R1424" t="n">
        <v>0</v>
      </c>
      <c r="S1424">
        <f>IFERROR(O1424/N1424,0)</f>
        <v/>
      </c>
      <c r="T1424" t="n">
        <v>0</v>
      </c>
      <c r="V1424" t="n">
        <v>0</v>
      </c>
    </row>
    <row r="1425">
      <c r="A1425">
        <f>Skills!A30</f>
        <v/>
      </c>
      <c r="B1425">
        <f>Skills!B30</f>
        <v/>
      </c>
      <c r="C1425">
        <f>Inputs!$B$3&gt;=125</f>
        <v/>
      </c>
      <c r="D1425">
        <f>IF(Skills!C30=1,60+Inputs!$B$25+Inputs!$B$29,IF(Skills!C30=2,90+Inputs!$B$26+Inputs!$B$29,IF(Skills!C30=3,120+Inputs!$B$27+Inputs!$B$29,MAX(0,(Inputs!$B$3-100)*3)+Inputs!$B$28+Inputs!$B$29)))</f>
        <v/>
      </c>
      <c r="E1425">
        <f>INDEX(FactorTable!$B$2:$Y$301, MATCH(ROUND(MIN(300,MAX(1,D1425)),0), FactorTable!$A$2:$A$301,0), Skills!M30+1)</f>
        <v/>
      </c>
      <c r="F1425">
        <f>IF(Skills!N30=TRUE,(Skills!L30/10)*(E1425/1000),Skills!L30/10)+Skills!O30</f>
        <v/>
      </c>
      <c r="G1425">
        <f>Calc!G30</f>
        <v/>
      </c>
      <c r="H1425">
        <f>Calc!H30</f>
        <v/>
      </c>
      <c r="I1425">
        <f>IF(Skills!AA30&lt;&gt;"",1+(Skills!AA30/10)*(U1398/1000)/100,1)</f>
        <v/>
      </c>
      <c r="J1425" t="inlineStr"/>
      <c r="K1425" t="inlineStr"/>
      <c r="L1425" t="inlineStr"/>
      <c r="M1425" t="inlineStr"/>
      <c r="N1425" t="inlineStr"/>
      <c r="O1425">
        <f>(1-Summary!$B$11)*T1425+Summary!$B$11*V1425</f>
        <v/>
      </c>
      <c r="P1425">
        <f>IF(B1439=0,0,O1425/B1439)</f>
        <v/>
      </c>
      <c r="Q1425" t="n">
        <v>0</v>
      </c>
      <c r="R1425" t="n">
        <v>0</v>
      </c>
      <c r="S1425">
        <f>IFERROR(O1425/N1425,0)</f>
        <v/>
      </c>
      <c r="T1425" t="n">
        <v>0</v>
      </c>
      <c r="V1425" t="n">
        <v>0</v>
      </c>
    </row>
    <row r="1426">
      <c r="A1426">
        <f>Skills!A31</f>
        <v/>
      </c>
      <c r="B1426">
        <f>Skills!B31</f>
        <v/>
      </c>
      <c r="C1426">
        <f>Inputs!$B$3&gt;=107</f>
        <v/>
      </c>
      <c r="D1426">
        <f>IF(Skills!C31=1,60+Inputs!$B$25+Inputs!$B$29,IF(Skills!C31=2,90+Inputs!$B$26+Inputs!$B$29,IF(Skills!C31=3,120+Inputs!$B$27+Inputs!$B$29,MAX(0,(Inputs!$B$3-100)*3)+Inputs!$B$28+Inputs!$B$29)))</f>
        <v/>
      </c>
      <c r="E1426">
        <f>INDEX(FactorTable!$B$2:$Y$301, MATCH(ROUND(MIN(300,MAX(1,D1426)),0), FactorTable!$A$2:$A$301,0), Skills!M31+1)</f>
        <v/>
      </c>
      <c r="F1426">
        <f>IF(Skills!N31=TRUE,(Skills!L31/10)*(E1426/1000),Skills!L31/10)+Skills!O31</f>
        <v/>
      </c>
      <c r="G1426">
        <f>Calc!G31</f>
        <v/>
      </c>
      <c r="H1426">
        <f>Calc!H31</f>
        <v/>
      </c>
      <c r="I1426">
        <f>IF(Skills!AA31&lt;&gt;"",1+(Skills!AA31/10)*(U1398/1000)/100,1)</f>
        <v/>
      </c>
      <c r="J1426" t="inlineStr"/>
      <c r="K1426" t="inlineStr"/>
      <c r="L1426" t="inlineStr"/>
      <c r="M1426" t="inlineStr"/>
      <c r="N1426" t="inlineStr"/>
      <c r="O1426">
        <f>(1-Summary!$B$11)*T1426+Summary!$B$11*V1426</f>
        <v/>
      </c>
      <c r="P1426">
        <f>IF(B1439=0,0,O1426/B1439)</f>
        <v/>
      </c>
      <c r="Q1426" t="n">
        <v>0</v>
      </c>
      <c r="R1426" t="n">
        <v>0</v>
      </c>
      <c r="S1426">
        <f>IFERROR(O1426/N1426,0)</f>
        <v/>
      </c>
      <c r="T1426" t="n">
        <v>0</v>
      </c>
      <c r="V1426" t="n">
        <v>0</v>
      </c>
    </row>
    <row r="1428">
      <c r="A1428" t="inlineStr">
        <is>
          <t>Actions Per Second (pre-Adrenalin)</t>
        </is>
      </c>
      <c r="B1428">
        <f>1+MIN(150,150*(1-(1-(Inputs!$B$11+((C1417=TRUE)*(F1417-Calc!F22))+(ArtifactsInput!$M$15-ArtifactsInput!$M$15)*CHOOSE(ArtifactsInput!$N$15+1,8,9.6,11.2,12.8,14.4,16))/150)*(1-((C1414=TRUE)*F1414*IF(AND(Inputs!$B$39&lt;&gt;"pvp",Inputs!$B$44&gt;0),(((R1414-1)*(Skills!Y19*(1+Inputs!$B$34/100))+MIN((Skills!Y19*(1+Inputs!$B$34/100)),MAX(0,Inputs!$B$44-((R1414-1)*Skills!D19))))/Inputs!$B$44),IF(Inputs!$B$39="pvp",MIN((Skills!Y19*(1+Inputs!$B$34/100)),15)/15,(Skills!Y19*(1+Inputs!$B$34/100))/Skills!D19)))/150)))/100</f>
        <v/>
      </c>
    </row>
    <row r="1429">
      <c r="A1429" t="inlineStr">
        <is>
          <t>Alchemic Adrenaline Uptime</t>
        </is>
      </c>
      <c r="B1429">
        <f>(Skills!Y6*(1+Inputs!$B$34/100))/((Skills!Y6*(1+Inputs!$B$34/100))+(5/B1428))</f>
        <v/>
      </c>
    </row>
    <row r="1430">
      <c r="A1430" t="inlineStr">
        <is>
          <t>Attack Speed Buff Bonus %</t>
        </is>
      </c>
      <c r="B1430">
        <f>((C1414=TRUE)*F1414*IF(AND(Inputs!$B$39&lt;&gt;"pvp",Inputs!$B$44&gt;0),(((R1414-1)*(Skills!Y19*(1+Inputs!$B$34/100))+MIN((Skills!Y19*(1+Inputs!$B$34/100)),MAX(0,Inputs!$B$44-((R1414-1)*Skills!D19))))/Inputs!$B$44),IF(Inputs!$B$39="pvp",MIN((Skills!Y19*(1+Inputs!$B$34/100)),15)/15,(Skills!Y19*(1+Inputs!$B$34/100))/Skills!D19)))+((C1402=TRUE)*F1402*B1429)</f>
        <v/>
      </c>
    </row>
    <row r="1431">
      <c r="A1431" t="inlineStr">
        <is>
          <t>Actions Per Second (final)</t>
        </is>
      </c>
      <c r="B1431">
        <f>1+MIN(150,150*(1-(1-(Inputs!$B$11+((C1417=TRUE)*(F1417-Calc!F22))+(ArtifactsInput!$M$15-ArtifactsInput!$M$15)*CHOOSE(ArtifactsInput!$N$15+1,8,9.6,11.2,12.8,14.4,16))/150)*(1-B1430/150)))/100</f>
        <v/>
      </c>
    </row>
    <row r="1432">
      <c r="A1432" t="inlineStr">
        <is>
          <t>Skill + Buff Cast Rate</t>
        </is>
      </c>
      <c r="B1432">
        <f>IF(AND(Inputs!$B$39&lt;&gt;"pvp",Inputs!$B$44&gt;0),SUMPRODUCT((Skills!E2:E31=TRUE)*(C1397:C1426=TRUE)*R1397:R1426*Skills!F2:F31)/Inputs!$B$44,SUMPRODUCT((Skills!E2:E31=TRUE)*(C1397:C1426=TRUE)*Q1397:Q1426*Skills!F2:F31))</f>
        <v/>
      </c>
    </row>
    <row r="1433">
      <c r="A1433" t="inlineStr">
        <is>
          <t>Showdown Casts Per Second</t>
        </is>
      </c>
      <c r="B1433">
        <f>MAX(0,B1431-B1432)</f>
        <v/>
      </c>
    </row>
    <row r="1434">
      <c r="A1434" t="inlineStr">
        <is>
          <t>Average Buff Multiplier</t>
        </is>
      </c>
      <c r="B1434">
        <f>(1+(((C1416=TRUE)*F1416*IF(AND(Inputs!$B$39&lt;&gt;"pvp",Inputs!$B$44&gt;0),(((R1416-1)*(Skills!Y21*(1+Inputs!$B$34/100))+MIN((Skills!Y21*(1+Inputs!$B$34/100)),MAX(0,Inputs!$B$44-((R1416-1)*Skills!D21))))/Inputs!$B$44),IF(Inputs!$B$39="pvp",MIN((Skills!Y21*(1+Inputs!$B$34/100)),15)/15,(Skills!Y21*(1+Inputs!$B$34/100))/Skills!D21)))+((C1423=TRUE)*(F1423-Calc!F28))+((C1413=TRUE)*(F1413-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1410=TRUE)*F1410*IF(AND(Inputs!$B$39&lt;&gt;"pvp",Inputs!$B$44&gt;0),(((R1410-1)*(Skills!Y15*(1+Inputs!$B$34/100))+MIN((Skills!Y15*(1+Inputs!$B$34/100)),MAX(0,Inputs!$B$44-((R1410-1)*Skills!D15))))/Inputs!$B$44),IF(Inputs!$B$39="pvp",MIN((Skills!Y15*(1+Inputs!$B$34/100)),15)/15,(Skills!Y15*(1+Inputs!$B$34/100))/Skills!D15)))/100)*(1+((C1401=TRUE)*F1401*B1429)/100)</f>
        <v/>
      </c>
    </row>
    <row r="1435">
      <c r="A1435" t="inlineStr">
        <is>
          <t>Global Crit Rate Bonus %</t>
        </is>
      </c>
      <c r="B1435">
        <f>IF(Inputs!$B$3&gt;=47,8,0)+((C1415=TRUE)*F1415*IF(AND(Inputs!$B$39&lt;&gt;"pvp",Inputs!$B$44&gt;0),(((R1415-1)*(Skills!Y20*(1+Inputs!$B$34/100))+MIN((Skills!Y20*(1+Inputs!$B$34/100)),MAX(0,Inputs!$B$44-((R1415-1)*Skills!D20))))/Inputs!$B$44),IF(Inputs!$B$39="pvp",MIN((Skills!Y20*(1+Inputs!$B$34/100)),15)/15,(Skills!Y20*(1+Inputs!$B$34/100))/Skills!D20)))</f>
        <v/>
      </c>
    </row>
    <row r="1436">
      <c r="A1436" t="inlineStr">
        <is>
          <t>Global Monster Damage-Taken Bonus %</t>
        </is>
      </c>
      <c r="B1436">
        <f>IF(Inputs!$B$3&gt;=82,15,0)+((C1411=TRUE)*F1411*IF(AND(Inputs!$B$39&lt;&gt;"pvp",Inputs!$B$44&gt;0),(((R1411-1)*(Skills!Y16*(1+Inputs!$B$34/100))+MIN((Skills!Y16*(1+Inputs!$B$34/100)),MAX(0,Inputs!$B$44-((R1411-1)*Skills!D16))))/Inputs!$B$44),IF(Inputs!$B$39="pvp",MIN((Skills!Y16*(1+Inputs!$B$34/100)),15)/15,(Skills!Y16*(1+Inputs!$B$34/100))/Skills!D16)))</f>
        <v/>
      </c>
    </row>
    <row r="1437">
      <c r="A1437" t="inlineStr">
        <is>
          <t>Shadow Partner Average Multiplier</t>
        </is>
      </c>
      <c r="B1437">
        <f>1+((C1406=TRUE)*F1406*I1406*Skills!J11/100)/100</f>
        <v/>
      </c>
    </row>
    <row r="1438">
      <c r="A1438" t="inlineStr">
        <is>
          <t>Global Critical Damage Bonus % (Frailty Curse Mastery Lv.111)</t>
        </is>
      </c>
      <c r="B1438">
        <f>IF(Inputs!$B$3&gt;=111,30,0)*IF(AND(Inputs!$B$39&lt;&gt;"pvp",Inputs!$B$44&gt;0),(((R1411-1)*(Skills!Y16*(1+Inputs!$B$34/100))+MIN((Skills!Y16*(1+Inputs!$B$34/100)),MAX(0,Inputs!$B$44-((R1411-1)*Skills!D16))))/Inputs!$B$44),IF(Inputs!$B$39="pvp",MIN((Skills!Y16*(1+Inputs!$B$34/100)),15)/15,(Skills!Y16*(1+Inputs!$B$34/100))/Skills!D16))</f>
        <v/>
      </c>
    </row>
    <row r="1439">
      <c r="A1439" s="6" t="inlineStr">
        <is>
          <t>TOTAL DPS</t>
        </is>
      </c>
      <c r="B1439" s="6">
        <f>SUM(O1397:O1426)</f>
        <v/>
      </c>
    </row>
    <row r="1440">
      <c r="A1440" t="inlineStr">
        <is>
          <t>Buff-Casting Startup Delay (s, fixed-duration only)</t>
        </is>
      </c>
      <c r="B1440">
        <f>IF(AND(Inputs!$B$39&lt;&gt;"pvp",Inputs!$B$44&gt;0),SUMPRODUCT((Skills!Y2:Y31&gt;0)*(Skills!E2:E31=TRUE)*(C1397:C1426=TRUE))/B1431,0)</f>
        <v/>
      </c>
    </row>
    <row r="1441">
      <c r="A1441" t="inlineStr">
        <is>
          <t>Boss-Only Total DPS (this block's swept value)</t>
        </is>
      </c>
      <c r="B1441">
        <f>SUM(T1397:T1426)</f>
        <v/>
      </c>
    </row>
    <row r="1442">
      <c r="A1442" t="inlineStr">
        <is>
          <t>Normal-Only Total DPS (this block's swept value)</t>
        </is>
      </c>
      <c r="B1442">
        <f>SUM(V1397:V1426)</f>
        <v/>
      </c>
    </row>
    <row r="1444">
      <c r="A1444" s="6" t="inlineStr">
        <is>
          <t>Stat: Pig's Ribbon (Equip)</t>
        </is>
      </c>
    </row>
    <row r="1445">
      <c r="A1445" s="5" t="inlineStr">
        <is>
          <t>Key</t>
        </is>
      </c>
      <c r="B1445" s="5" t="inlineStr">
        <is>
          <t>Name</t>
        </is>
      </c>
      <c r="C1445" s="5" t="inlineStr">
        <is>
          <t>Unlocked</t>
        </is>
      </c>
      <c r="D1445" s="5" t="inlineStr">
        <is>
          <t>InputLevel</t>
        </is>
      </c>
      <c r="E1445" s="5" t="inlineStr">
        <is>
          <t>Factor</t>
        </is>
      </c>
      <c r="F1445" s="5" t="inlineStr">
        <is>
          <t>CoefficientPercent</t>
        </is>
      </c>
      <c r="G1445" s="5" t="inlineStr">
        <is>
          <t>EffectiveHits</t>
        </is>
      </c>
      <c r="H1445" s="5" t="inlineStr">
        <is>
          <t>ProcProbability</t>
        </is>
      </c>
      <c r="I1445" s="5" t="inlineStr">
        <is>
          <t>MapleHeroMultiplier</t>
        </is>
      </c>
      <c r="J1445" s="5" t="inlineStr">
        <is>
          <t>BaseDamage</t>
        </is>
      </c>
      <c r="K1445" s="5" t="inlineStr">
        <is>
          <t>BaseHitDamage</t>
        </is>
      </c>
      <c r="L1445" s="5" t="inlineStr">
        <is>
          <t>NonCritAvg</t>
        </is>
      </c>
      <c r="M1445" s="5" t="inlineStr">
        <is>
          <t>CritAvg</t>
        </is>
      </c>
      <c r="N1445" s="5" t="inlineStr">
        <is>
          <t>ExpectedDamage(perHit)</t>
        </is>
      </c>
      <c r="O1445" s="5" t="inlineStr">
        <is>
          <t>DPS</t>
        </is>
      </c>
      <c r="P1445" s="5" t="inlineStr">
        <is>
          <t>% of Total</t>
        </is>
      </c>
      <c r="Q1445" s="5" t="inlineStr">
        <is>
          <t>InvCooldown</t>
        </is>
      </c>
      <c r="R1445" s="5" t="inlineStr">
        <is>
          <t>CastsInFight</t>
        </is>
      </c>
      <c r="S1445" s="5" t="inlineStr">
        <is>
          <t>HitRate(perSec)</t>
        </is>
      </c>
      <c r="U1445" t="inlineStr">
        <is>
          <t>helpers</t>
        </is>
      </c>
    </row>
    <row r="1446">
      <c r="A1446">
        <f>Skills!A2</f>
        <v/>
      </c>
      <c r="B1446">
        <f>Skills!B2</f>
        <v/>
      </c>
      <c r="C1446">
        <f>Inputs!$B$3&gt;=100</f>
        <v/>
      </c>
      <c r="D1446" t="inlineStr"/>
      <c r="E1446" t="inlineStr"/>
      <c r="F1446">
        <f>U1450+Skills!O2</f>
        <v/>
      </c>
      <c r="G1446">
        <f>Calc!G2</f>
        <v/>
      </c>
      <c r="H1446">
        <f>Calc!H2</f>
        <v/>
      </c>
      <c r="I1446">
        <f>IF(Skills!AA2&lt;&gt;"",1+(Skills!AA2/10)*(U1447/1000)/100,1)</f>
        <v/>
      </c>
      <c r="J1446">
        <f>((Inputs!$B$6*(1+Inputs!$B$7/100))+(((Inputs!$B$12*(1+Inputs!$B$13/100))-(Inputs!$B$12*(1+Inputs!$B$13/100)))+0.25*(Inputs!$B$14-Inputs!$B$14))*(1+Inputs!$B$7/100))*(F1446/100)</f>
        <v/>
      </c>
      <c r="K1446">
        <f>J1446*(1+((Inputs!$B$12*(1+Inputs!$B$13/100))*0.01+Inputs!$B$14*0.0025)/100)*(1+Inputs!$B$15/100)*(1+Inputs!$B$16/100)*(5000/(6000+Inputs!$B$43*(1-(100*(1-(1-(Inputs!$B$19+0)/100)*(1-CHOOSE(ArtifactsInput!$N$40+1,5,6,7,8,9,10)/100)^(ArtifactsInput!$M$40-ArtifactsInput!$M$40)))/100)))*(1+(Inputs!$B$24+((C1474=TRUE)*(F1474-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1467=TRUE)*(F1467-Calc!F23))+(((IF(AND(ArtifactsInput!$M$42,((Inputs!$B$9+((C1469=TRUE)*(F1469-Calc!F25))+B1484+(ArtifactsInput!$M$24-ArtifactsInput!$M$24)*CHOOSE(ArtifactsInput!$N$24+1,10,12,14,16,18,20)+IF(ArtifactsInput!$M$10,CHOOSE(ArtifactsInput!$N$10+1,15,18,21,24,27,30)*(IF(Inputs!$B$39="pvp",MIN(15,15)/15,IF(AND(Inputs!$B$39&lt;&gt;"pvp",Inputs!$B$44&gt;0),MIN(15,Inputs!$B$44)/(Inputs!$B$44),0))),0)))&gt;=100),MIN(100,((Inputs!$B$9+((C1469=TRUE)*(F1469-Calc!F25))+B1484+(ArtifactsInput!$M$24-ArtifactsInput!$M$24)*CHOOSE(ArtifactsInput!$N$24+1,10,12,14,16,18,20)+IF(ArtifactsInput!$M$10,CHOOSE(ArtifactsInput!$N$10+1,15,18,21,24,27,30)*(IF(Inputs!$B$39="pvp",MIN(15,15)/15,IF(AND(Inputs!$B$39&lt;&gt;"pvp",Inputs!$B$44&gt;0),MIN(15,Inputs!$B$44)/(Inputs!$B$44),0))),0)))-100),0))*CHOOSE(ArtifactsInput!$N$42+1,0.6,0.72,0.84,0.96,1.08,1.2))),Inputs!$B$18+((C1473=TRUE)*(F1473-Calc!F29))+(IF(AND(ArtifactsInput!$M$42,((Inputs!$B$9+((C1469=TRUE)*(F1469-Calc!F25))+B1484+(ArtifactsInput!$M$24-ArtifactsInput!$M$24)*CHOOSE(ArtifactsInput!$N$24+1,10,12,14,16,18,20)+IF(ArtifactsInput!$M$10,CHOOSE(ArtifactsInput!$N$10+1,15,18,21,24,27,30)*(IF(Inputs!$B$39="pvp",MIN(15,15)/15,IF(AND(Inputs!$B$39&lt;&gt;"pvp",Inputs!$B$44&gt;0),MIN(15,Inputs!$B$44)/(Inputs!$B$44),0))),0)))&gt;=100),CHOOSE(ArtifactsInput!$N$42+1,40,48,56,64,72,80),0))))/100)*(((1+(((C1465=TRUE)*F1465*IF(AND(Inputs!$B$39&lt;&gt;"pvp",Inputs!$B$44&gt;0),(((R1465-1)*(Skills!Y21*(1+Inputs!$B$34/100))+MIN((Skills!Y21*(1+Inputs!$B$34/100)),MAX(0,Inputs!$B$44-((R1465-1)*Skills!D21))))/Inputs!$B$44),IF(Inputs!$B$39="pvp",MIN((Skills!Y21*(1+Inputs!$B$34/100)),15)/15,(Skills!Y21*(1+Inputs!$B$34/100))/Skills!D21)))+((C1472=TRUE)*(F1472-Calc!F28))+((C1462=TRUE)*(F1462-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1459=TRUE)*F1459*IF(AND(Inputs!$B$39&lt;&gt;"pvp",Inputs!$B$44&gt;0),(((R1459-1)*(Skills!Y15*(1+Inputs!$B$34/100))+MIN((Skills!Y15*(1+Inputs!$B$34/100)),MAX(0,Inputs!$B$44-((R1459-1)*Skills!D15))))/Inputs!$B$44),IF(Inputs!$B$39="pvp",MIN((Skills!Y15*(1+Inputs!$B$34/100)),15)/15,(Skills!Y15*(1+Inputs!$B$34/100))/Skills!D15)))/100)*(1+((C1450=TRUE)*F1450*B1478)/100))*B1486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1446)</f>
        <v/>
      </c>
      <c r="L1446">
        <f>K1446*(MIN(Inputs!$B$22+((C1468=TRUE)*(F1468-Calc!F24)),(Inputs!$B$23+0+(IF(ArtifactsInput!$M$15,CHOOSE(ArtifactsInput!$N$15+1,25,30,35,40,45,50)/100*(Inputs!$B$11-Inputs!$B$11),0))))/100+(Inputs!$B$23+0+(IF(ArtifactsInput!$M$15,CHOOSE(ArtifactsInput!$N$15+1,25,30,35,40,45,50)/100*(Inputs!$B$11-Inputs!$B$11),0)))/100)/2</f>
        <v/>
      </c>
      <c r="M1446">
        <f>L1446*(1+(Inputs!$B$10+((C1470=TRUE)*(F1470-Calc!F26))+B1487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46">
        <f>L1446*(1-MIN((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1446*(MIN((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46">
        <f>(1-Summary!$B$11)*T1446+Summary!$B$11*V1446</f>
        <v/>
      </c>
      <c r="P1446">
        <f>IF(B1488=0,0,O1446/B1488)</f>
        <v/>
      </c>
      <c r="Q1446" t="n">
        <v>0</v>
      </c>
      <c r="R1446" t="n">
        <v>0</v>
      </c>
      <c r="S1446">
        <f>IFERROR(O1446/N1446,0)</f>
        <v/>
      </c>
      <c r="T1446">
        <f>IF(C1446,(Skills!G2*N1446*B1482)*IF(Inputs!$B$39="pvp",1,1+(Inputs!$B$20+((C1471=TRUE)*(F1471-Calc!F27))+Skills!P2+B1485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Hunt"),CHOOSE(ArtifactsInput!$N$35+1,15,18,21,24,27,30)*(1-EXP(-(0.2*B1480)*5)),0)+IF(AND(ArtifactsInput!$M$22,Inputs!$B$4&lt;&gt;"Chapter Hunt"),CHOOSE(ArtifactsInput!$N$22+1,10,12,14,16,18,20)*((0*(((0.15*B1480*5))^0/1)+1*(((0.15*B1480*5))^1/1)+2*(((0.15*B1480*5))^2/2)+3*(((0.15*B1480*5))^3/6)+4*(((0.15*B1480*5))^4/24)+5*(((0.15*B1480*5))^5/120))/((((0.15*B1480*5))^0/1)+(((0.15*B1480*5))^1/1)+(((0.15*B1480*5))^2/2)+(((0.15*B1480*5))^3/6)+(((0.15*B1480*5))^4/24)+(((0.15*B1480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1446*(1-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1446*(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1446*(1-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1446*(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46">
        <f>MAX(0,(Inputs!$B$3-100)*3)+Inputs!$B$28+Inputs!$B$29</f>
        <v/>
      </c>
      <c r="V1446">
        <f>IF(C1446,(Skills!G2*N1446*B1482)*IF(Inputs!$B$39="pvp",1,(1+(Inputs!$B$21+Skills!Q2+B1485+(IF(ArtifactsInput!$M$33,CHOOSE(ArtifactsInput!$N$33+1,30,36,42,48,54,60),0))+(IF(AND(ArtifactsInput!$M$35,Inputs!$B$4&lt;&gt;"Chapter Hunt"),CHOOSE(ArtifactsInput!$N$35+1,15,18,21,24,27,30)*(1-EXP(-(0.2*B1480)*5)),0)+IF(AND(ArtifactsInput!$M$22,Inputs!$B$4&lt;&gt;"Chapter Hunt"),CHOOSE(ArtifactsInput!$N$22+1,10,12,14,16,18,20)*((0*(((0.15*B1480*5))^0/1)+1*(((0.15*B1480*5))^1/1)+2*(((0.15*B1480*5))^2/2)+3*(((0.15*B1480*5))^3/6)+4*(((0.15*B1480*5))^4/24)+5*(((0.15*B1480*5))^5/120))/((((0.15*B1480*5))^0/1)+(((0.15*B1480*5))^1/1)+(((0.15*B1480*5))^2/2)+(((0.15*B1480*5))^3/6)+(((0.15*B1480*5))^4/24)+(((0.15*B1480*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47">
      <c r="A1447">
        <f>Skills!A3</f>
        <v/>
      </c>
      <c r="B1447">
        <f>Skills!B3</f>
        <v/>
      </c>
      <c r="C1447">
        <f>Inputs!$B$3&gt;=35</f>
        <v/>
      </c>
      <c r="D1447">
        <f>IF(Skills!C3=1,60+Inputs!$B$25+Inputs!$B$29,IF(Skills!C3=2,90+Inputs!$B$26+Inputs!$B$29,IF(Skills!C3=3,120+Inputs!$B$27+Inputs!$B$29,MAX(0,(Inputs!$B$3-100)*3)+Inputs!$B$28+Inputs!$B$29)))</f>
        <v/>
      </c>
      <c r="E1447">
        <f>INDEX(FactorTable!$B$2:$Y$301, MATCH(ROUND(MIN(300,MAX(1,D1447)),0), FactorTable!$A$2:$A$301,0), Skills!M3+1)</f>
        <v/>
      </c>
      <c r="F1447">
        <f>IF(Skills!N3=TRUE,(Skills!L3/10)*(E1447/1000),Skills!L3/10)+Skills!O3</f>
        <v/>
      </c>
      <c r="G1447">
        <f>Calc!G3</f>
        <v/>
      </c>
      <c r="H1447">
        <f>Calc!H3</f>
        <v/>
      </c>
      <c r="I1447">
        <f>IF(Skills!AA3&lt;&gt;"",1+(Skills!AA3/10)*(U1447/1000)/100,1)</f>
        <v/>
      </c>
      <c r="J1447">
        <f>((Inputs!$B$6*(1+Inputs!$B$7/100))+(((Inputs!$B$12*(1+Inputs!$B$13/100))-(Inputs!$B$12*(1+Inputs!$B$13/100)))+0.25*(Inputs!$B$14-Inputs!$B$14))*(1+Inputs!$B$7/100))*(F1447/100)</f>
        <v/>
      </c>
      <c r="K1447">
        <f>J1447*(1+((Inputs!$B$12*(1+Inputs!$B$13/100))*0.01+Inputs!$B$14*0.0025)/100)*(1+Inputs!$B$15/100)*(1+Inputs!$B$16/100)*(5000/(6000+Inputs!$B$43*(1-(100*(1-(1-(Inputs!$B$19+0)/100)*(1-CHOOSE(ArtifactsInput!$N$40+1,5,6,7,8,9,10)/100)^(ArtifactsInput!$M$40-ArtifactsInput!$M$40)))/100)))*(1+(Inputs!$B$24+((C1474=TRUE)*(F1474-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1467=TRUE)*(F1467-Calc!F23))+(((IF(AND(ArtifactsInput!$M$42,((Inputs!$B$9+((C1469=TRUE)*(F1469-Calc!F25))+B1484+(ArtifactsInput!$M$24-ArtifactsInput!$M$24)*CHOOSE(ArtifactsInput!$N$24+1,10,12,14,16,18,20)+IF(ArtifactsInput!$M$10,CHOOSE(ArtifactsInput!$N$10+1,15,18,21,24,27,30)*(IF(Inputs!$B$39="pvp",MIN(15,15)/15,IF(AND(Inputs!$B$39&lt;&gt;"pvp",Inputs!$B$44&gt;0),MIN(15,Inputs!$B$44)/(Inputs!$B$44),0))),0)))&gt;=100),MIN(100,((Inputs!$B$9+((C1469=TRUE)*(F1469-Calc!F25))+B1484+(ArtifactsInput!$M$24-ArtifactsInput!$M$24)*CHOOSE(ArtifactsInput!$N$24+1,10,12,14,16,18,20)+IF(ArtifactsInput!$M$10,CHOOSE(ArtifactsInput!$N$10+1,15,18,21,24,27,30)*(IF(Inputs!$B$39="pvp",MIN(15,15)/15,IF(AND(Inputs!$B$39&lt;&gt;"pvp",Inputs!$B$44&gt;0),MIN(15,Inputs!$B$44)/(Inputs!$B$44),0))),0)))-100),0))*CHOOSE(ArtifactsInput!$N$42+1,0.6,0.72,0.84,0.96,1.08,1.2))),Inputs!$B$18+((C1473=TRUE)*(F1473-Calc!F29))+(IF(AND(ArtifactsInput!$M$42,((Inputs!$B$9+((C1469=TRUE)*(F1469-Calc!F25))+B1484+(ArtifactsInput!$M$24-ArtifactsInput!$M$24)*CHOOSE(ArtifactsInput!$N$24+1,10,12,14,16,18,20)+IF(ArtifactsInput!$M$10,CHOOSE(ArtifactsInput!$N$10+1,15,18,21,24,27,30)*(IF(Inputs!$B$39="pvp",MIN(15,15)/15,IF(AND(Inputs!$B$39&lt;&gt;"pvp",Inputs!$B$44&gt;0),MIN(15,Inputs!$B$44)/(Inputs!$B$44),0))),0)))&gt;=100),CHOOSE(ArtifactsInput!$N$42+1,40,48,56,64,72,80),0))))/100)*(((1+(((C1465=TRUE)*F1465*IF(AND(Inputs!$B$39&lt;&gt;"pvp",Inputs!$B$44&gt;0),(((R1465-1)*(Skills!Y21*(1+Inputs!$B$34/100))+MIN((Skills!Y21*(1+Inputs!$B$34/100)),MAX(0,Inputs!$B$44-((R1465-1)*Skills!D21))))/Inputs!$B$44),IF(Inputs!$B$39="pvp",MIN((Skills!Y21*(1+Inputs!$B$34/100)),15)/15,(Skills!Y21*(1+Inputs!$B$34/100))/Skills!D21)))+((C1472=TRUE)*(F1472-Calc!F28))+((C1462=TRUE)*(F1462-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1459=TRUE)*F1459*IF(AND(Inputs!$B$39&lt;&gt;"pvp",Inputs!$B$44&gt;0),(((R1459-1)*(Skills!Y15*(1+Inputs!$B$34/100))+MIN((Skills!Y15*(1+Inputs!$B$34/100)),MAX(0,Inputs!$B$44-((R1459-1)*Skills!D15))))/Inputs!$B$44),IF(Inputs!$B$39="pvp",MIN((Skills!Y15*(1+Inputs!$B$34/100)),15)/15,(Skills!Y15*(1+Inputs!$B$34/100))/Skills!D15)))/100)*(1+((C1450=TRUE)*F1450*B1478)/100))*B1486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1447)</f>
        <v/>
      </c>
      <c r="L1447">
        <f>K1447*(MIN(Inputs!$B$22+((C1468=TRUE)*(F1468-Calc!F24)),(Inputs!$B$23+0+(IF(ArtifactsInput!$M$15,CHOOSE(ArtifactsInput!$N$15+1,25,30,35,40,45,50)/100*(Inputs!$B$11-Inputs!$B$11),0))))/100+(Inputs!$B$23+0+(IF(ArtifactsInput!$M$15,CHOOSE(ArtifactsInput!$N$15+1,25,30,35,40,45,50)/100*(Inputs!$B$11-Inputs!$B$11),0)))/100)/2</f>
        <v/>
      </c>
      <c r="M1447">
        <f>L1447*(1+(Inputs!$B$10+((C1470=TRUE)*(F1470-Calc!F26))+B1487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47">
        <f>L1447*(1-MIN((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1447*(MIN((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47">
        <f>(1-Summary!$B$11)*T1447+Summary!$B$11*V1447</f>
        <v/>
      </c>
      <c r="P1447">
        <f>IF(B1488=0,0,O1447/B1488)</f>
        <v/>
      </c>
      <c r="Q1447">
        <f>IFERROR(1/IF(Inputs!$B$39="pvp",15,MAX(0.1,Skills!D3-IF(Skills!E3=TRUE,Inputs!$B$32,0))),0)</f>
        <v/>
      </c>
      <c r="R1447">
        <f>IF(AND(Inputs!$B$39&lt;&gt;"pvp",Inputs!$B$44&gt;0),IF(MAX(0,Inputs!$B$44-B1489)&lt;=0,0,(INT(MAX(0,Inputs!$B$44-B1489)/IF(Inputs!$B$39="pvp",15,MAX(0.1,Skills!D3-IF(Skills!E3=TRUE,Inputs!$B$32,0))))+1)),0)</f>
        <v/>
      </c>
      <c r="S1447">
        <f>IFERROR(O1447/N1447,0)</f>
        <v/>
      </c>
      <c r="T1447">
        <f>IF(C1447,(H1447*N1447*IF(AND(Inputs!$B$39&lt;&gt;"pvp",Inputs!$B$44&gt;0),((Skills!G3*((R1447-1)*IF(Skills!H3&gt;0,Skills!I3/Skills!H3,1)+IF(Skills!H3&gt;0,MIN(Skills!I3,MAX(0,MAX(0,Inputs!$B$44-B1489)-((R1447-1)*IF(Inputs!$B$39="pvp",15,MAX(0.1,Skills!D3-IF(Skills!E3=TRUE,Inputs!$B$32,0))))))/Skills!H3,1)))/Inputs!$B$44),G1447*Q1447))*IF(Inputs!$B$39="pvp",1,1+(Inputs!$B$20+((C1471=TRUE)*(F1471-Calc!F27))+Skills!P3+B1485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Hunt"),CHOOSE(ArtifactsInput!$N$35+1,15,18,21,24,27,30)*(1-EXP(-(0.2*B1480)*5)),0)+IF(AND(ArtifactsInput!$M$22,Inputs!$B$4&lt;&gt;"Chapter Hunt"),CHOOSE(ArtifactsInput!$N$22+1,10,12,14,16,18,20)*((0*(((0.15*B1480*5))^0/1)+1*(((0.15*B1480*5))^1/1)+2*(((0.15*B1480*5))^2/2)+3*(((0.15*B1480*5))^3/6)+4*(((0.15*B1480*5))^4/24)+5*(((0.15*B1480*5))^5/120))/((((0.15*B1480*5))^0/1)+(((0.15*B1480*5))^1/1)+(((0.15*B1480*5))^2/2)+(((0.15*B1480*5))^3/6)+(((0.15*B1480*5))^4/24)+(((0.15*B1480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1447*(1-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1447*(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1447*(1-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1447*(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47">
        <f>INDEX(FactorTable!$B$2:$Y$301, MATCH(ROUND(MIN(300,MAX(1,U1446)),0), FactorTable!$A$2:$A$301,0), 24)</f>
        <v/>
      </c>
      <c r="V1447">
        <f>IF(C1447,(H1447*N1447*IF(AND(Inputs!$B$39&lt;&gt;"pvp",Inputs!$B$44&gt;0),((Skills!G3*((R1447-1)*IF(Skills!H3&gt;0,Skills!I3/Skills!H3,1)+IF(Skills!H3&gt;0,MIN(Skills!I3,MAX(0,MAX(0,Inputs!$B$44-B1489)-((R1447-1)*IF(Inputs!$B$39="pvp",15,MAX(0.1,Skills!D3-IF(Skills!E3=TRUE,Inputs!$B$32,0))))))/Skills!H3,1)))/Inputs!$B$44),G1447*Q1447))*IF(Inputs!$B$39="pvp",1,(1+(Inputs!$B$21+Skills!Q3+B1485+(IF(ArtifactsInput!$M$33,CHOOSE(ArtifactsInput!$N$33+1,30,36,42,48,54,60),0))+(IF(AND(ArtifactsInput!$M$35,Inputs!$B$4&lt;&gt;"Chapter Hunt"),CHOOSE(ArtifactsInput!$N$35+1,15,18,21,24,27,30)*(1-EXP(-(0.2*B1480)*5)),0)+IF(AND(ArtifactsInput!$M$22,Inputs!$B$4&lt;&gt;"Chapter Hunt"),CHOOSE(ArtifactsInput!$N$22+1,10,12,14,16,18,20)*((0*(((0.15*B1480*5))^0/1)+1*(((0.15*B1480*5))^1/1)+2*(((0.15*B1480*5))^2/2)+3*(((0.15*B1480*5))^3/6)+4*(((0.15*B1480*5))^4/24)+5*(((0.15*B1480*5))^5/120))/((((0.15*B1480*5))^0/1)+(((0.15*B1480*5))^1/1)+(((0.15*B1480*5))^2/2)+(((0.15*B1480*5))^3/6)+(((0.15*B1480*5))^4/24)+(((0.15*B1480*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48">
      <c r="A1448">
        <f>Skills!A4</f>
        <v/>
      </c>
      <c r="B1448">
        <f>Skills!B4</f>
        <v/>
      </c>
      <c r="C1448">
        <f>Inputs!$B$3&gt;=40</f>
        <v/>
      </c>
      <c r="D1448">
        <f>IF(Skills!C4=1,60+Inputs!$B$25+Inputs!$B$29,IF(Skills!C4=2,90+Inputs!$B$26+Inputs!$B$29,IF(Skills!C4=3,120+Inputs!$B$27+Inputs!$B$29,MAX(0,(Inputs!$B$3-100)*3)+Inputs!$B$28+Inputs!$B$29)))</f>
        <v/>
      </c>
      <c r="E1448">
        <f>INDEX(FactorTable!$B$2:$Y$301, MATCH(ROUND(MIN(300,MAX(1,D1448)),0), FactorTable!$A$2:$A$301,0), Skills!M4+1)</f>
        <v/>
      </c>
      <c r="F1448">
        <f>IF(Skills!N4=TRUE,(Skills!L4/10)*(E1448/1000),Skills!L4/10)+Skills!O4</f>
        <v/>
      </c>
      <c r="G1448">
        <f>Calc!G4</f>
        <v/>
      </c>
      <c r="H1448">
        <f>Calc!H4</f>
        <v/>
      </c>
      <c r="I1448">
        <f>IF(Skills!AA4&lt;&gt;"",1+(Skills!AA4/10)*(U1447/1000)/100,1)</f>
        <v/>
      </c>
      <c r="J1448">
        <f>((Inputs!$B$6*(1+Inputs!$B$7/100))+(((Inputs!$B$12*(1+Inputs!$B$13/100))-(Inputs!$B$12*(1+Inputs!$B$13/100)))+0.25*(Inputs!$B$14-Inputs!$B$14))*(1+Inputs!$B$7/100))*(F1448/100)</f>
        <v/>
      </c>
      <c r="K1448">
        <f>J1448*(1+((Inputs!$B$12*(1+Inputs!$B$13/100))*0.01+Inputs!$B$14*0.0025)/100)*(1+Inputs!$B$15/100)*(1+Inputs!$B$16/100)*(5000/(6000+Inputs!$B$43*(1-(100*(1-(1-(Inputs!$B$19+0)/100)*(1-CHOOSE(ArtifactsInput!$N$40+1,5,6,7,8,9,10)/100)^(ArtifactsInput!$M$40-ArtifactsInput!$M$40)))/100)))*(1+(Inputs!$B$24+((C1474=TRUE)*(F1474-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1467=TRUE)*(F1467-Calc!F23))+(((IF(AND(ArtifactsInput!$M$42,((Inputs!$B$9+((C1469=TRUE)*(F1469-Calc!F25))+B1484+(ArtifactsInput!$M$24-ArtifactsInput!$M$24)*CHOOSE(ArtifactsInput!$N$24+1,10,12,14,16,18,20)+IF(ArtifactsInput!$M$10,CHOOSE(ArtifactsInput!$N$10+1,15,18,21,24,27,30)*(IF(Inputs!$B$39="pvp",MIN(15,15)/15,IF(AND(Inputs!$B$39&lt;&gt;"pvp",Inputs!$B$44&gt;0),MIN(15,Inputs!$B$44)/(Inputs!$B$44),0))),0)))&gt;=100),MIN(100,((Inputs!$B$9+((C1469=TRUE)*(F1469-Calc!F25))+B1484+(ArtifactsInput!$M$24-ArtifactsInput!$M$24)*CHOOSE(ArtifactsInput!$N$24+1,10,12,14,16,18,20)+IF(ArtifactsInput!$M$10,CHOOSE(ArtifactsInput!$N$10+1,15,18,21,24,27,30)*(IF(Inputs!$B$39="pvp",MIN(15,15)/15,IF(AND(Inputs!$B$39&lt;&gt;"pvp",Inputs!$B$44&gt;0),MIN(15,Inputs!$B$44)/(Inputs!$B$44),0))),0)))-100),0))*CHOOSE(ArtifactsInput!$N$42+1,0.6,0.72,0.84,0.96,1.08,1.2))),Inputs!$B$18+((C1473=TRUE)*(F1473-Calc!F29))+(IF(AND(ArtifactsInput!$M$42,((Inputs!$B$9+((C1469=TRUE)*(F1469-Calc!F25))+B1484+(ArtifactsInput!$M$24-ArtifactsInput!$M$24)*CHOOSE(ArtifactsInput!$N$24+1,10,12,14,16,18,20)+IF(ArtifactsInput!$M$10,CHOOSE(ArtifactsInput!$N$10+1,15,18,21,24,27,30)*(IF(Inputs!$B$39="pvp",MIN(15,15)/15,IF(AND(Inputs!$B$39&lt;&gt;"pvp",Inputs!$B$44&gt;0),MIN(15,Inputs!$B$44)/(Inputs!$B$44),0))),0)))&gt;=100),CHOOSE(ArtifactsInput!$N$42+1,40,48,56,64,72,80),0))))/100)*(((1+(((C1465=TRUE)*F1465*IF(AND(Inputs!$B$39&lt;&gt;"pvp",Inputs!$B$44&gt;0),(((R1465-1)*(Skills!Y21*(1+Inputs!$B$34/100))+MIN((Skills!Y21*(1+Inputs!$B$34/100)),MAX(0,Inputs!$B$44-((R1465-1)*Skills!D21))))/Inputs!$B$44),IF(Inputs!$B$39="pvp",MIN((Skills!Y21*(1+Inputs!$B$34/100)),15)/15,(Skills!Y21*(1+Inputs!$B$34/100))/Skills!D21)))+((C1472=TRUE)*(F1472-Calc!F28))+((C1462=TRUE)*(F1462-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1459=TRUE)*F1459*IF(AND(Inputs!$B$39&lt;&gt;"pvp",Inputs!$B$44&gt;0),(((R1459-1)*(Skills!Y15*(1+Inputs!$B$34/100))+MIN((Skills!Y15*(1+Inputs!$B$34/100)),MAX(0,Inputs!$B$44-((R1459-1)*Skills!D15))))/Inputs!$B$44),IF(Inputs!$B$39="pvp",MIN((Skills!Y15*(1+Inputs!$B$34/100)),15)/15,(Skills!Y15*(1+Inputs!$B$34/100))/Skills!D15)))/100)*(1+((C1450=TRUE)*F1450*B1478)/100))*B1486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1448)</f>
        <v/>
      </c>
      <c r="L1448">
        <f>K1448*(MIN(Inputs!$B$22+((C1468=TRUE)*(F1468-Calc!F24)),(Inputs!$B$23+0+(IF(ArtifactsInput!$M$15,CHOOSE(ArtifactsInput!$N$15+1,25,30,35,40,45,50)/100*(Inputs!$B$11-Inputs!$B$11),0))))/100+(Inputs!$B$23+0+(IF(ArtifactsInput!$M$15,CHOOSE(ArtifactsInput!$N$15+1,25,30,35,40,45,50)/100*(Inputs!$B$11-Inputs!$B$11),0)))/100)/2</f>
        <v/>
      </c>
      <c r="M1448">
        <f>L1448*(1+(Inputs!$B$10+((C1470=TRUE)*(F1470-Calc!F26))+B1487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48">
        <f>L1448*(1-MIN((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1448*(MIN((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48">
        <f>(1-Summary!$B$11)*T1448+Summary!$B$11*V1448</f>
        <v/>
      </c>
      <c r="P1448">
        <f>IF(B1488=0,0,O1448/B1488)</f>
        <v/>
      </c>
      <c r="Q1448">
        <f>IFERROR(1/IF(Inputs!$B$39="pvp",15,MAX(0.1,Skills!D4-IF(Skills!E4=TRUE,Inputs!$B$32,0))),0)</f>
        <v/>
      </c>
      <c r="R1448">
        <f>IF(AND(Inputs!$B$39&lt;&gt;"pvp",Inputs!$B$44&gt;0),IF(MAX(0,Inputs!$B$44-B1489)&lt;=0,0,(INT(MAX(0,Inputs!$B$44-B1489)/IF(Inputs!$B$39="pvp",15,MAX(0.1,Skills!D4-IF(Skills!E4=TRUE,Inputs!$B$32,0))))+1)),0)</f>
        <v/>
      </c>
      <c r="S1448">
        <f>IFERROR(O1448/N1448,0)</f>
        <v/>
      </c>
      <c r="T1448">
        <f>IF(C1448,(H1448*N1448*IF(AND(Inputs!$B$39&lt;&gt;"pvp",Inputs!$B$44&gt;0),((Skills!G4*((R1448-1)*IF(Skills!H4&gt;0,Skills!I4/Skills!H4,1)+IF(Skills!H4&gt;0,MIN(Skills!I4,MAX(0,MAX(0,Inputs!$B$44-B1489)-((R1448-1)*IF(Inputs!$B$39="pvp",15,MAX(0.1,Skills!D4-IF(Skills!E4=TRUE,Inputs!$B$32,0))))))/Skills!H4,1)))/Inputs!$B$44),G1448*Q1448))*IF(Inputs!$B$39="pvp",1,1+(Inputs!$B$20+((C1471=TRUE)*(F1471-Calc!F27))+Skills!P4+B1485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Hunt"),CHOOSE(ArtifactsInput!$N$35+1,15,18,21,24,27,30)*(1-EXP(-(0.2*B1480)*5)),0)+IF(AND(ArtifactsInput!$M$22,Inputs!$B$4&lt;&gt;"Chapter Hunt"),CHOOSE(ArtifactsInput!$N$22+1,10,12,14,16,18,20)*((0*(((0.15*B1480*5))^0/1)+1*(((0.15*B1480*5))^1/1)+2*(((0.15*B1480*5))^2/2)+3*(((0.15*B1480*5))^3/6)+4*(((0.15*B1480*5))^4/24)+5*(((0.15*B1480*5))^5/120))/((((0.15*B1480*5))^0/1)+(((0.15*B1480*5))^1/1)+(((0.15*B1480*5))^2/2)+(((0.15*B1480*5))^3/6)+(((0.15*B1480*5))^4/24)+(((0.15*B1480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1448*(1-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1448*(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1448*(1-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1448*(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48">
        <f>MAX(0,(Inputs!$B$3-100)*3)+Inputs!$B$28+Inputs!$B$29</f>
        <v/>
      </c>
      <c r="V1448">
        <f>IF(C1448,(H1448*N1448*IF(AND(Inputs!$B$39&lt;&gt;"pvp",Inputs!$B$44&gt;0),((Skills!G4*((R1448-1)*IF(Skills!H4&gt;0,Skills!I4/Skills!H4,1)+IF(Skills!H4&gt;0,MIN(Skills!I4,MAX(0,MAX(0,Inputs!$B$44-B1489)-((R1448-1)*IF(Inputs!$B$39="pvp",15,MAX(0.1,Skills!D4-IF(Skills!E4=TRUE,Inputs!$B$32,0))))))/Skills!H4,1)))/Inputs!$B$44),G1448*Q1448))*IF(Inputs!$B$39="pvp",1,(1+(Inputs!$B$21+Skills!Q4+B1485+(IF(ArtifactsInput!$M$33,CHOOSE(ArtifactsInput!$N$33+1,30,36,42,48,54,60),0))+(IF(AND(ArtifactsInput!$M$35,Inputs!$B$4&lt;&gt;"Chapter Hunt"),CHOOSE(ArtifactsInput!$N$35+1,15,18,21,24,27,30)*(1-EXP(-(0.2*B1480)*5)),0)+IF(AND(ArtifactsInput!$M$22,Inputs!$B$4&lt;&gt;"Chapter Hunt"),CHOOSE(ArtifactsInput!$N$22+1,10,12,14,16,18,20)*((0*(((0.15*B1480*5))^0/1)+1*(((0.15*B1480*5))^1/1)+2*(((0.15*B1480*5))^2/2)+3*(((0.15*B1480*5))^3/6)+4*(((0.15*B1480*5))^4/24)+5*(((0.15*B1480*5))^5/120))/((((0.15*B1480*5))^0/1)+(((0.15*B1480*5))^1/1)+(((0.15*B1480*5))^2/2)+(((0.15*B1480*5))^3/6)+(((0.15*B1480*5))^4/24)+(((0.15*B1480*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49">
      <c r="A1449">
        <f>Skills!A5</f>
        <v/>
      </c>
      <c r="B1449">
        <f>Skills!B5</f>
        <v/>
      </c>
      <c r="C1449">
        <f>Inputs!$B$3&gt;=63</f>
        <v/>
      </c>
      <c r="D1449">
        <f>IF(Skills!C5=1,60+Inputs!$B$25+Inputs!$B$29,IF(Skills!C5=2,90+Inputs!$B$26+Inputs!$B$29,IF(Skills!C5=3,120+Inputs!$B$27+Inputs!$B$29,MAX(0,(Inputs!$B$3-100)*3)+Inputs!$B$28+Inputs!$B$29)))</f>
        <v/>
      </c>
      <c r="E1449">
        <f>INDEX(FactorTable!$B$2:$Y$301, MATCH(ROUND(MIN(300,MAX(1,D1449)),0), FactorTable!$A$2:$A$301,0), Skills!M5+1)</f>
        <v/>
      </c>
      <c r="F1449">
        <f>IF(Skills!N5=TRUE,(Skills!L5/10)*(E1449/1000),Skills!L5/10)+Skills!O5</f>
        <v/>
      </c>
      <c r="G1449">
        <f>Calc!G5</f>
        <v/>
      </c>
      <c r="H1449">
        <f>Calc!H5</f>
        <v/>
      </c>
      <c r="I1449">
        <f>IF(Skills!AA5&lt;&gt;"",1+(Skills!AA5/10)*(U1447/1000)/100,1)</f>
        <v/>
      </c>
      <c r="J1449">
        <f>((Inputs!$B$6*(1+Inputs!$B$7/100))+(((Inputs!$B$12*(1+Inputs!$B$13/100))-(Inputs!$B$12*(1+Inputs!$B$13/100)))+0.25*(Inputs!$B$14-Inputs!$B$14))*(1+Inputs!$B$7/100))*(F1449/100)</f>
        <v/>
      </c>
      <c r="K1449">
        <f>J1449*(1+((Inputs!$B$12*(1+Inputs!$B$13/100))*0.01+Inputs!$B$14*0.0025)/100)*(1+Inputs!$B$15/100)*(1+Inputs!$B$16/100)*(5000/(6000+Inputs!$B$43*(1-(100*(1-(1-(Inputs!$B$19+0)/100)*(1-CHOOSE(ArtifactsInput!$N$40+1,5,6,7,8,9,10)/100)^(ArtifactsInput!$M$40-ArtifactsInput!$M$40)))/100)))*(1+(Inputs!$B$24+((C1474=TRUE)*(F1474-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1467=TRUE)*(F1467-Calc!F23))+(((IF(AND(ArtifactsInput!$M$42,((Inputs!$B$9+((C1469=TRUE)*(F1469-Calc!F25))+B1484+(ArtifactsInput!$M$24-ArtifactsInput!$M$24)*CHOOSE(ArtifactsInput!$N$24+1,10,12,14,16,18,20)+IF(ArtifactsInput!$M$10,CHOOSE(ArtifactsInput!$N$10+1,15,18,21,24,27,30)*(IF(Inputs!$B$39="pvp",MIN(15,15)/15,IF(AND(Inputs!$B$39&lt;&gt;"pvp",Inputs!$B$44&gt;0),MIN(15,Inputs!$B$44)/(Inputs!$B$44),0))),0)))&gt;=100),MIN(100,((Inputs!$B$9+((C1469=TRUE)*(F1469-Calc!F25))+B1484+(ArtifactsInput!$M$24-ArtifactsInput!$M$24)*CHOOSE(ArtifactsInput!$N$24+1,10,12,14,16,18,20)+IF(ArtifactsInput!$M$10,CHOOSE(ArtifactsInput!$N$10+1,15,18,21,24,27,30)*(IF(Inputs!$B$39="pvp",MIN(15,15)/15,IF(AND(Inputs!$B$39&lt;&gt;"pvp",Inputs!$B$44&gt;0),MIN(15,Inputs!$B$44)/(Inputs!$B$44),0))),0)))-100),0))*CHOOSE(ArtifactsInput!$N$42+1,0.6,0.72,0.84,0.96,1.08,1.2))),Inputs!$B$18+((C1473=TRUE)*(F1473-Calc!F29))+(IF(AND(ArtifactsInput!$M$42,((Inputs!$B$9+((C1469=TRUE)*(F1469-Calc!F25))+B1484+(ArtifactsInput!$M$24-ArtifactsInput!$M$24)*CHOOSE(ArtifactsInput!$N$24+1,10,12,14,16,18,20)+IF(ArtifactsInput!$M$10,CHOOSE(ArtifactsInput!$N$10+1,15,18,21,24,27,30)*(IF(Inputs!$B$39="pvp",MIN(15,15)/15,IF(AND(Inputs!$B$39&lt;&gt;"pvp",Inputs!$B$44&gt;0),MIN(15,Inputs!$B$44)/(Inputs!$B$44),0))),0)))&gt;=100),CHOOSE(ArtifactsInput!$N$42+1,40,48,56,64,72,80),0))))/100)*(((1+(((C1465=TRUE)*F1465*IF(AND(Inputs!$B$39&lt;&gt;"pvp",Inputs!$B$44&gt;0),(((R1465-1)*(Skills!Y21*(1+Inputs!$B$34/100))+MIN((Skills!Y21*(1+Inputs!$B$34/100)),MAX(0,Inputs!$B$44-((R1465-1)*Skills!D21))))/Inputs!$B$44),IF(Inputs!$B$39="pvp",MIN((Skills!Y21*(1+Inputs!$B$34/100)),15)/15,(Skills!Y21*(1+Inputs!$B$34/100))/Skills!D21)))+((C1472=TRUE)*(F1472-Calc!F28))+((C1462=TRUE)*(F1462-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1459=TRUE)*F1459*IF(AND(Inputs!$B$39&lt;&gt;"pvp",Inputs!$B$44&gt;0),(((R1459-1)*(Skills!Y15*(1+Inputs!$B$34/100))+MIN((Skills!Y15*(1+Inputs!$B$34/100)),MAX(0,Inputs!$B$44-((R1459-1)*Skills!D15))))/Inputs!$B$44),IF(Inputs!$B$39="pvp",MIN((Skills!Y15*(1+Inputs!$B$34/100)),15)/15,(Skills!Y15*(1+Inputs!$B$34/100))/Skills!D15)))/100)*(1+((C1450=TRUE)*F1450*B1478)/100))*B1486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1449)</f>
        <v/>
      </c>
      <c r="L1449">
        <f>K1449*(MIN(Inputs!$B$22+((C1468=TRUE)*(F1468-Calc!F24)),(Inputs!$B$23+0+(IF(ArtifactsInput!$M$15,CHOOSE(ArtifactsInput!$N$15+1,25,30,35,40,45,50)/100*(Inputs!$B$11-Inputs!$B$11),0))))/100+(Inputs!$B$23+0+(IF(ArtifactsInput!$M$15,CHOOSE(ArtifactsInput!$N$15+1,25,30,35,40,45,50)/100*(Inputs!$B$11-Inputs!$B$11),0)))/100)/2</f>
        <v/>
      </c>
      <c r="M1449">
        <f>L1449*(1+(Inputs!$B$10+((C1470=TRUE)*(F1470-Calc!F26))+B1487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49">
        <f>L1449*(1-MIN((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1449*(MIN((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49">
        <f>(1-Summary!$B$11)*T1449+Summary!$B$11*V1449</f>
        <v/>
      </c>
      <c r="P1449">
        <f>IF(B1488=0,0,O1449/B1488)</f>
        <v/>
      </c>
      <c r="Q1449">
        <f>IFERROR(1/IF(Inputs!$B$39="pvp",15,MAX(0.1,Skills!D5-IF(Skills!E5=TRUE,Inputs!$B$32,0))),0)</f>
        <v/>
      </c>
      <c r="R1449">
        <f>IF(AND(Inputs!$B$39&lt;&gt;"pvp",Inputs!$B$44&gt;0),IF(MAX(0,Inputs!$B$44-B1489)&lt;=0,0,(INT(MAX(0,Inputs!$B$44-B1489)/IF(Inputs!$B$39="pvp",15,MAX(0.1,Skills!D5-IF(Skills!E5=TRUE,Inputs!$B$32,0))))+1)),0)</f>
        <v/>
      </c>
      <c r="S1449">
        <f>IFERROR(O1449/N1449,0)</f>
        <v/>
      </c>
      <c r="T1449">
        <f>IF(C1449,(H1449*N1449*IF(AND(Inputs!$B$39&lt;&gt;"pvp",Inputs!$B$44&gt;0),((Skills!G5*((R1449-1)*IF(Skills!H5&gt;0,Skills!I5/Skills!H5,1)+IF(Skills!H5&gt;0,MIN(Skills!I5,MAX(0,MAX(0,Inputs!$B$44-B1489)-((R1449-1)*IF(Inputs!$B$39="pvp",15,MAX(0.1,Skills!D5-IF(Skills!E5=TRUE,Inputs!$B$32,0))))))/Skills!H5,1)))/Inputs!$B$44),G1449*Q1449))*IF(Inputs!$B$39="pvp",1,1+(Inputs!$B$20+((C1471=TRUE)*(F1471-Calc!F27))+Skills!P5+B1485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Hunt"),CHOOSE(ArtifactsInput!$N$35+1,15,18,21,24,27,30)*(1-EXP(-(0.2*B1480)*5)),0)+IF(AND(ArtifactsInput!$M$22,Inputs!$B$4&lt;&gt;"Chapter Hunt"),CHOOSE(ArtifactsInput!$N$22+1,10,12,14,16,18,20)*((0*(((0.15*B1480*5))^0/1)+1*(((0.15*B1480*5))^1/1)+2*(((0.15*B1480*5))^2/2)+3*(((0.15*B1480*5))^3/6)+4*(((0.15*B1480*5))^4/24)+5*(((0.15*B1480*5))^5/120))/((((0.15*B1480*5))^0/1)+(((0.15*B1480*5))^1/1)+(((0.15*B1480*5))^2/2)+(((0.15*B1480*5))^3/6)+(((0.15*B1480*5))^4/24)+(((0.15*B1480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1449*(1-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1449*(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1449*(1-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1449*(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49">
        <f>INDEX(FactorTable!$B$2:$Y$301, MATCH(ROUND(MIN(300,MAX(1,U1448)),0), FactorTable!$A$2:$A$301,0), 22)</f>
        <v/>
      </c>
      <c r="V1449">
        <f>IF(C1449,(H1449*N1449*IF(AND(Inputs!$B$39&lt;&gt;"pvp",Inputs!$B$44&gt;0),((Skills!G5*((R1449-1)*IF(Skills!H5&gt;0,Skills!I5/Skills!H5,1)+IF(Skills!H5&gt;0,MIN(Skills!I5,MAX(0,MAX(0,Inputs!$B$44-B1489)-((R1449-1)*IF(Inputs!$B$39="pvp",15,MAX(0.1,Skills!D5-IF(Skills!E5=TRUE,Inputs!$B$32,0))))))/Skills!H5,1)))/Inputs!$B$44),G1449*Q1449))*IF(Inputs!$B$39="pvp",1,(1+(Inputs!$B$21+Skills!Q5+B1485+(IF(ArtifactsInput!$M$33,CHOOSE(ArtifactsInput!$N$33+1,30,36,42,48,54,60),0))+(IF(AND(ArtifactsInput!$M$35,Inputs!$B$4&lt;&gt;"Chapter Hunt"),CHOOSE(ArtifactsInput!$N$35+1,15,18,21,24,27,30)*(1-EXP(-(0.2*B1480)*5)),0)+IF(AND(ArtifactsInput!$M$22,Inputs!$B$4&lt;&gt;"Chapter Hunt"),CHOOSE(ArtifactsInput!$N$22+1,10,12,14,16,18,20)*((0*(((0.15*B1480*5))^0/1)+1*(((0.15*B1480*5))^1/1)+2*(((0.15*B1480*5))^2/2)+3*(((0.15*B1480*5))^3/6)+4*(((0.15*B1480*5))^4/24)+5*(((0.15*B1480*5))^5/120))/((((0.15*B1480*5))^0/1)+(((0.15*B1480*5))^1/1)+(((0.15*B1480*5))^2/2)+(((0.15*B1480*5))^3/6)+(((0.15*B1480*5))^4/24)+(((0.15*B1480*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50">
      <c r="A1450">
        <f>Skills!A6</f>
        <v/>
      </c>
      <c r="B1450">
        <f>Skills!B6</f>
        <v/>
      </c>
      <c r="C1450">
        <f>Inputs!$B$3&gt;=66</f>
        <v/>
      </c>
      <c r="D1450">
        <f>IF(Skills!C6=1,60+Inputs!$B$25+Inputs!$B$29,IF(Skills!C6=2,90+Inputs!$B$26+Inputs!$B$29,IF(Skills!C6=3,120+Inputs!$B$27+Inputs!$B$29,MAX(0,(Inputs!$B$3-100)*3)+Inputs!$B$28+Inputs!$B$29)))</f>
        <v/>
      </c>
      <c r="E1450">
        <f>INDEX(FactorTable!$B$2:$Y$301, MATCH(ROUND(MIN(300,MAX(1,D1450)),0), FactorTable!$A$2:$A$301,0), Skills!M6+1)</f>
        <v/>
      </c>
      <c r="F1450">
        <f>IF(Skills!N6=TRUE,(Skills!L6/10)*(E1450/1000),Skills!L6/10)+Skills!O6</f>
        <v/>
      </c>
      <c r="G1450">
        <f>Calc!G6</f>
        <v/>
      </c>
      <c r="H1450">
        <f>Calc!H6</f>
        <v/>
      </c>
      <c r="I1450">
        <f>IF(Skills!AA6&lt;&gt;"",1+(Skills!AA6/10)*(U1447/1000)/100,1)</f>
        <v/>
      </c>
      <c r="J1450" t="inlineStr"/>
      <c r="K1450" t="inlineStr"/>
      <c r="L1450" t="inlineStr"/>
      <c r="M1450" t="inlineStr"/>
      <c r="N1450" t="inlineStr"/>
      <c r="O1450">
        <f>(1-Summary!$B$11)*T1450+Summary!$B$11*V1450</f>
        <v/>
      </c>
      <c r="P1450">
        <f>IF(B1488=0,0,O1450/B1488)</f>
        <v/>
      </c>
      <c r="Q1450" t="n">
        <v>0</v>
      </c>
      <c r="R1450" t="n">
        <v>0</v>
      </c>
      <c r="S1450">
        <f>IFERROR(O1450/N1450,0)</f>
        <v/>
      </c>
      <c r="T1450" t="n">
        <v>0</v>
      </c>
      <c r="U1450">
        <f>290*U1449/1000</f>
        <v/>
      </c>
      <c r="V1450" t="n">
        <v>0</v>
      </c>
    </row>
    <row r="1451">
      <c r="A1451">
        <f>Skills!A7</f>
        <v/>
      </c>
      <c r="B1451">
        <f>Skills!B7</f>
        <v/>
      </c>
      <c r="C1451">
        <f>Inputs!$B$3&gt;=66</f>
        <v/>
      </c>
      <c r="D1451">
        <f>IF(Skills!C7=1,60+Inputs!$B$25+Inputs!$B$29,IF(Skills!C7=2,90+Inputs!$B$26+Inputs!$B$29,IF(Skills!C7=3,120+Inputs!$B$27+Inputs!$B$29,MAX(0,(Inputs!$B$3-100)*3)+Inputs!$B$28+Inputs!$B$29)))</f>
        <v/>
      </c>
      <c r="E1451">
        <f>INDEX(FactorTable!$B$2:$Y$301, MATCH(ROUND(MIN(300,MAX(1,D1451)),0), FactorTable!$A$2:$A$301,0), Skills!M7+1)</f>
        <v/>
      </c>
      <c r="F1451">
        <f>IF(Skills!N7=TRUE,(Skills!L7/10)*(E1451/1000),Skills!L7/10)+Skills!O7</f>
        <v/>
      </c>
      <c r="G1451">
        <f>Calc!G7</f>
        <v/>
      </c>
      <c r="H1451">
        <f>Calc!H7</f>
        <v/>
      </c>
      <c r="I1451">
        <f>IF(Skills!AA7&lt;&gt;"",1+(Skills!AA7/10)*(U1447/1000)/100,1)</f>
        <v/>
      </c>
      <c r="J1451" t="inlineStr"/>
      <c r="K1451" t="inlineStr"/>
      <c r="L1451" t="inlineStr"/>
      <c r="M1451" t="inlineStr"/>
      <c r="N1451" t="inlineStr"/>
      <c r="O1451">
        <f>(1-Summary!$B$11)*T1451+Summary!$B$11*V1451</f>
        <v/>
      </c>
      <c r="P1451">
        <f>IF(B1488=0,0,O1451/B1488)</f>
        <v/>
      </c>
      <c r="Q1451" t="n">
        <v>0</v>
      </c>
      <c r="R1451" t="n">
        <v>0</v>
      </c>
      <c r="S1451">
        <f>IFERROR(O1451/N1451,0)</f>
        <v/>
      </c>
      <c r="T1451" t="n">
        <v>0</v>
      </c>
      <c r="V1451" t="n">
        <v>0</v>
      </c>
    </row>
    <row r="1452">
      <c r="A1452">
        <f>Skills!A8</f>
        <v/>
      </c>
      <c r="B1452">
        <f>Skills!B8</f>
        <v/>
      </c>
      <c r="C1452">
        <f>Inputs!$B$3&gt;=69</f>
        <v/>
      </c>
      <c r="D1452">
        <f>IF(Skills!C8=1,60+Inputs!$B$25+Inputs!$B$29,IF(Skills!C8=2,90+Inputs!$B$26+Inputs!$B$29,IF(Skills!C8=3,120+Inputs!$B$27+Inputs!$B$29,MAX(0,(Inputs!$B$3-100)*3)+Inputs!$B$28+Inputs!$B$29)))</f>
        <v/>
      </c>
      <c r="E1452">
        <f>INDEX(FactorTable!$B$2:$Y$301, MATCH(ROUND(MIN(300,MAX(1,D1452)),0), FactorTable!$A$2:$A$301,0), Skills!M8+1)</f>
        <v/>
      </c>
      <c r="F1452">
        <f>IF(Skills!N8=TRUE,(Skills!L8/10)*(E1452/1000),Skills!L8/10)+Skills!O8</f>
        <v/>
      </c>
      <c r="G1452">
        <f>Calc!G8</f>
        <v/>
      </c>
      <c r="H1452">
        <f>Calc!H8</f>
        <v/>
      </c>
      <c r="I1452">
        <f>IF(Skills!AA8&lt;&gt;"",1+(Skills!AA8/10)*(U1447/1000)/100,1)</f>
        <v/>
      </c>
      <c r="J1452">
        <f>((Inputs!$B$6*(1+Inputs!$B$7/100))+(((Inputs!$B$12*(1+Inputs!$B$13/100))-(Inputs!$B$12*(1+Inputs!$B$13/100)))+0.25*(Inputs!$B$14-Inputs!$B$14))*(1+Inputs!$B$7/100))*(F1452/100)</f>
        <v/>
      </c>
      <c r="K1452">
        <f>J1452*(1+((Inputs!$B$12*(1+Inputs!$B$13/100))*0.01+Inputs!$B$14*0.0025)/100)*(1+Inputs!$B$15/100)*(1+Inputs!$B$16/100)*(5000/(6000+Inputs!$B$43*(1-(100*(1-(1-(Inputs!$B$19+0)/100)*(1-CHOOSE(ArtifactsInput!$N$40+1,5,6,7,8,9,10)/100)^(ArtifactsInput!$M$40-ArtifactsInput!$M$40)))/100)))*(1+(Inputs!$B$24+((C1474=TRUE)*(F1474-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1467=TRUE)*(F1467-Calc!F23))+(((IF(AND(ArtifactsInput!$M$42,((Inputs!$B$9+((C1469=TRUE)*(F1469-Calc!F25))+B1484+(ArtifactsInput!$M$24-ArtifactsInput!$M$24)*CHOOSE(ArtifactsInput!$N$24+1,10,12,14,16,18,20)+IF(ArtifactsInput!$M$10,CHOOSE(ArtifactsInput!$N$10+1,15,18,21,24,27,30)*(IF(Inputs!$B$39="pvp",MIN(15,15)/15,IF(AND(Inputs!$B$39&lt;&gt;"pvp",Inputs!$B$44&gt;0),MIN(15,Inputs!$B$44)/(Inputs!$B$44),0))),0)))&gt;=100),MIN(100,((Inputs!$B$9+((C1469=TRUE)*(F1469-Calc!F25))+B1484+(ArtifactsInput!$M$24-ArtifactsInput!$M$24)*CHOOSE(ArtifactsInput!$N$24+1,10,12,14,16,18,20)+IF(ArtifactsInput!$M$10,CHOOSE(ArtifactsInput!$N$10+1,15,18,21,24,27,30)*(IF(Inputs!$B$39="pvp",MIN(15,15)/15,IF(AND(Inputs!$B$39&lt;&gt;"pvp",Inputs!$B$44&gt;0),MIN(15,Inputs!$B$44)/(Inputs!$B$44),0))),0)))-100),0))*CHOOSE(ArtifactsInput!$N$42+1,0.6,0.72,0.84,0.96,1.08,1.2))),Inputs!$B$18+((C1473=TRUE)*(F1473-Calc!F29))+(IF(AND(ArtifactsInput!$M$42,((Inputs!$B$9+((C1469=TRUE)*(F1469-Calc!F25))+B1484+(ArtifactsInput!$M$24-ArtifactsInput!$M$24)*CHOOSE(ArtifactsInput!$N$24+1,10,12,14,16,18,20)+IF(ArtifactsInput!$M$10,CHOOSE(ArtifactsInput!$N$10+1,15,18,21,24,27,30)*(IF(Inputs!$B$39="pvp",MIN(15,15)/15,IF(AND(Inputs!$B$39&lt;&gt;"pvp",Inputs!$B$44&gt;0),MIN(15,Inputs!$B$44)/(Inputs!$B$44),0))),0)))&gt;=100),CHOOSE(ArtifactsInput!$N$42+1,40,48,56,64,72,80),0))))/100)*(((1+(((C1465=TRUE)*F1465*IF(AND(Inputs!$B$39&lt;&gt;"pvp",Inputs!$B$44&gt;0),(((R1465-1)*(Skills!Y21*(1+Inputs!$B$34/100))+MIN((Skills!Y21*(1+Inputs!$B$34/100)),MAX(0,Inputs!$B$44-((R1465-1)*Skills!D21))))/Inputs!$B$44),IF(Inputs!$B$39="pvp",MIN((Skills!Y21*(1+Inputs!$B$34/100)),15)/15,(Skills!Y21*(1+Inputs!$B$34/100))/Skills!D21)))+((C1472=TRUE)*(F1472-Calc!F28))+((C1462=TRUE)*(F1462-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1459=TRUE)*F1459*IF(AND(Inputs!$B$39&lt;&gt;"pvp",Inputs!$B$44&gt;0),(((R1459-1)*(Skills!Y15*(1+Inputs!$B$34/100))+MIN((Skills!Y15*(1+Inputs!$B$34/100)),MAX(0,Inputs!$B$44-((R1459-1)*Skills!D15))))/Inputs!$B$44),IF(Inputs!$B$39="pvp",MIN((Skills!Y15*(1+Inputs!$B$34/100)),15)/15,(Skills!Y15*(1+Inputs!$B$34/100))/Skills!D15)))/100)*(1+((C1450=TRUE)*F1450*B1478)/100))*B1486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1452)</f>
        <v/>
      </c>
      <c r="L1452">
        <f>K1452*(MIN(Inputs!$B$22+((C1468=TRUE)*(F1468-Calc!F24)),(Inputs!$B$23+0+(IF(ArtifactsInput!$M$15,CHOOSE(ArtifactsInput!$N$15+1,25,30,35,40,45,50)/100*(Inputs!$B$11-Inputs!$B$11),0))))/100+(Inputs!$B$23+0+(IF(ArtifactsInput!$M$15,CHOOSE(ArtifactsInput!$N$15+1,25,30,35,40,45,50)/100*(Inputs!$B$11-Inputs!$B$11),0)))/100)/2</f>
        <v/>
      </c>
      <c r="M1452">
        <f>L1452*(1+(Inputs!$B$10+((C1470=TRUE)*(F1470-Calc!F26))+B1487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52">
        <f>L1452*(1-MIN((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1452*(MIN((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52">
        <f>(1-Summary!$B$11)*T1452+Summary!$B$11*V1452</f>
        <v/>
      </c>
      <c r="P1452">
        <f>IF(B1488=0,0,O1452/B1488)</f>
        <v/>
      </c>
      <c r="Q1452">
        <f>IFERROR(1/IF(Inputs!$B$39="pvp",15,MAX(0.1,Skills!D8-IF(Skills!E8=TRUE,Inputs!$B$32,0))),0)</f>
        <v/>
      </c>
      <c r="R1452">
        <f>IF(AND(Inputs!$B$39&lt;&gt;"pvp",Inputs!$B$44&gt;0),IF(MAX(0,Inputs!$B$44-B1489)&lt;=0,0,(INT(MAX(0,Inputs!$B$44-B1489)/IF(Inputs!$B$39="pvp",15,MAX(0.1,Skills!D8-IF(Skills!E8=TRUE,Inputs!$B$32,0))))+1)),0)</f>
        <v/>
      </c>
      <c r="S1452">
        <f>IFERROR(O1452/N1452,0)</f>
        <v/>
      </c>
      <c r="T1452">
        <f>IF(C1452,(H1452*N1452*IF(AND(Inputs!$B$39&lt;&gt;"pvp",Inputs!$B$44&gt;0),((Skills!G8*((R1452-1)*IF(Skills!H8&gt;0,Skills!I8/Skills!H8,1)+IF(Skills!H8&gt;0,MIN(Skills!I8,MAX(0,MAX(0,Inputs!$B$44-B1489)-((R1452-1)*IF(Inputs!$B$39="pvp",15,MAX(0.1,Skills!D8-IF(Skills!E8=TRUE,Inputs!$B$32,0))))))/Skills!H8,1)))/Inputs!$B$44),G1452*Q1452))*IF(Inputs!$B$39="pvp",1,1+(Inputs!$B$20+((C1471=TRUE)*(F1471-Calc!F27))+Skills!P8+B1485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Hunt"),CHOOSE(ArtifactsInput!$N$35+1,15,18,21,24,27,30)*(1-EXP(-(0.2*B1480)*5)),0)+IF(AND(ArtifactsInput!$M$22,Inputs!$B$4&lt;&gt;"Chapter Hunt"),CHOOSE(ArtifactsInput!$N$22+1,10,12,14,16,18,20)*((0*(((0.15*B1480*5))^0/1)+1*(((0.15*B1480*5))^1/1)+2*(((0.15*B1480*5))^2/2)+3*(((0.15*B1480*5))^3/6)+4*(((0.15*B1480*5))^4/24)+5*(((0.15*B1480*5))^5/120))/((((0.15*B1480*5))^0/1)+(((0.15*B1480*5))^1/1)+(((0.15*B1480*5))^2/2)+(((0.15*B1480*5))^3/6)+(((0.15*B1480*5))^4/24)+(((0.15*B1480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1452*(1-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1452*(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1452*(1-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1452*(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52">
        <f>IF(C1452,(H1452*N1452*IF(AND(Inputs!$B$39&lt;&gt;"pvp",Inputs!$B$44&gt;0),((Skills!G8*((R1452-1)*IF(Skills!H8&gt;0,Skills!I8/Skills!H8,1)+IF(Skills!H8&gt;0,MIN(Skills!I8,MAX(0,MAX(0,Inputs!$B$44-B1489)-((R1452-1)*IF(Inputs!$B$39="pvp",15,MAX(0.1,Skills!D8-IF(Skills!E8=TRUE,Inputs!$B$32,0))))))/Skills!H8,1)))/Inputs!$B$44),G1452*Q1452))*IF(Inputs!$B$39="pvp",1,(1+(Inputs!$B$21+Skills!Q8+B1485+(IF(ArtifactsInput!$M$33,CHOOSE(ArtifactsInput!$N$33+1,30,36,42,48,54,60),0))+(IF(AND(ArtifactsInput!$M$35,Inputs!$B$4&lt;&gt;"Chapter Hunt"),CHOOSE(ArtifactsInput!$N$35+1,15,18,21,24,27,30)*(1-EXP(-(0.2*B1480)*5)),0)+IF(AND(ArtifactsInput!$M$22,Inputs!$B$4&lt;&gt;"Chapter Hunt"),CHOOSE(ArtifactsInput!$N$22+1,10,12,14,16,18,20)*((0*(((0.15*B1480*5))^0/1)+1*(((0.15*B1480*5))^1/1)+2*(((0.15*B1480*5))^2/2)+3*(((0.15*B1480*5))^3/6)+4*(((0.15*B1480*5))^4/24)+5*(((0.15*B1480*5))^5/120))/((((0.15*B1480*5))^0/1)+(((0.15*B1480*5))^1/1)+(((0.15*B1480*5))^2/2)+(((0.15*B1480*5))^3/6)+(((0.15*B1480*5))^4/24)+(((0.15*B1480*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53">
      <c r="A1453">
        <f>Skills!A9</f>
        <v/>
      </c>
      <c r="B1453">
        <f>Skills!B9</f>
        <v/>
      </c>
      <c r="C1453">
        <f>Inputs!$B$3&gt;=72</f>
        <v/>
      </c>
      <c r="D1453">
        <f>IF(Skills!C9=1,60+Inputs!$B$25+Inputs!$B$29,IF(Skills!C9=2,90+Inputs!$B$26+Inputs!$B$29,IF(Skills!C9=3,120+Inputs!$B$27+Inputs!$B$29,MAX(0,(Inputs!$B$3-100)*3)+Inputs!$B$28+Inputs!$B$29)))</f>
        <v/>
      </c>
      <c r="E1453">
        <f>INDEX(FactorTable!$B$2:$Y$301, MATCH(ROUND(MIN(300,MAX(1,D1453)),0), FactorTable!$A$2:$A$301,0), Skills!M9+1)</f>
        <v/>
      </c>
      <c r="F1453">
        <f>IF(Skills!N9=TRUE,(Skills!L9/10)*(E1453/1000),Skills!L9/10)+Skills!O9</f>
        <v/>
      </c>
      <c r="G1453">
        <f>Calc!G9</f>
        <v/>
      </c>
      <c r="H1453">
        <f>Calc!H9</f>
        <v/>
      </c>
      <c r="I1453">
        <f>IF(Skills!AA9&lt;&gt;"",1+(Skills!AA9/10)*(U1447/1000)/100,1)</f>
        <v/>
      </c>
      <c r="J1453">
        <f>((Inputs!$B$6*(1+Inputs!$B$7/100))+(((Inputs!$B$12*(1+Inputs!$B$13/100))-(Inputs!$B$12*(1+Inputs!$B$13/100)))+0.25*(Inputs!$B$14-Inputs!$B$14))*(1+Inputs!$B$7/100))*(F1453/100)</f>
        <v/>
      </c>
      <c r="K1453">
        <f>J1453*(1+((Inputs!$B$12*(1+Inputs!$B$13/100))*0.01+Inputs!$B$14*0.0025)/100)*(1+Inputs!$B$15/100)*(1+Inputs!$B$16/100)*(5000/(6000+Inputs!$B$43*(1-(100*(1-(1-(Inputs!$B$19+0)/100)*(1-CHOOSE(ArtifactsInput!$N$40+1,5,6,7,8,9,10)/100)^(ArtifactsInput!$M$40-ArtifactsInput!$M$40)))/100)))*(1+(Inputs!$B$24+((C1474=TRUE)*(F1474-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1467=TRUE)*(F1467-Calc!F23))+(((IF(AND(ArtifactsInput!$M$42,((Inputs!$B$9+((C1469=TRUE)*(F1469-Calc!F25))+B1484+(ArtifactsInput!$M$24-ArtifactsInput!$M$24)*CHOOSE(ArtifactsInput!$N$24+1,10,12,14,16,18,20)+IF(ArtifactsInput!$M$10,CHOOSE(ArtifactsInput!$N$10+1,15,18,21,24,27,30)*(IF(Inputs!$B$39="pvp",MIN(15,15)/15,IF(AND(Inputs!$B$39&lt;&gt;"pvp",Inputs!$B$44&gt;0),MIN(15,Inputs!$B$44)/(Inputs!$B$44),0))),0)))&gt;=100),MIN(100,((Inputs!$B$9+((C1469=TRUE)*(F1469-Calc!F25))+B1484+(ArtifactsInput!$M$24-ArtifactsInput!$M$24)*CHOOSE(ArtifactsInput!$N$24+1,10,12,14,16,18,20)+IF(ArtifactsInput!$M$10,CHOOSE(ArtifactsInput!$N$10+1,15,18,21,24,27,30)*(IF(Inputs!$B$39="pvp",MIN(15,15)/15,IF(AND(Inputs!$B$39&lt;&gt;"pvp",Inputs!$B$44&gt;0),MIN(15,Inputs!$B$44)/(Inputs!$B$44),0))),0)))-100),0))*CHOOSE(ArtifactsInput!$N$42+1,0.6,0.72,0.84,0.96,1.08,1.2))),Inputs!$B$18+((C1473=TRUE)*(F1473-Calc!F29))+(IF(AND(ArtifactsInput!$M$42,((Inputs!$B$9+((C1469=TRUE)*(F1469-Calc!F25))+B1484+(ArtifactsInput!$M$24-ArtifactsInput!$M$24)*CHOOSE(ArtifactsInput!$N$24+1,10,12,14,16,18,20)+IF(ArtifactsInput!$M$10,CHOOSE(ArtifactsInput!$N$10+1,15,18,21,24,27,30)*(IF(Inputs!$B$39="pvp",MIN(15,15)/15,IF(AND(Inputs!$B$39&lt;&gt;"pvp",Inputs!$B$44&gt;0),MIN(15,Inputs!$B$44)/(Inputs!$B$44),0))),0)))&gt;=100),CHOOSE(ArtifactsInput!$N$42+1,40,48,56,64,72,80),0))))/100)*(((1+(((C1465=TRUE)*F1465*IF(AND(Inputs!$B$39&lt;&gt;"pvp",Inputs!$B$44&gt;0),(((R1465-1)*(Skills!Y21*(1+Inputs!$B$34/100))+MIN((Skills!Y21*(1+Inputs!$B$34/100)),MAX(0,Inputs!$B$44-((R1465-1)*Skills!D21))))/Inputs!$B$44),IF(Inputs!$B$39="pvp",MIN((Skills!Y21*(1+Inputs!$B$34/100)),15)/15,(Skills!Y21*(1+Inputs!$B$34/100))/Skills!D21)))+((C1472=TRUE)*(F1472-Calc!F28))+((C1462=TRUE)*(F1462-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1459=TRUE)*F1459*IF(AND(Inputs!$B$39&lt;&gt;"pvp",Inputs!$B$44&gt;0),(((R1459-1)*(Skills!Y15*(1+Inputs!$B$34/100))+MIN((Skills!Y15*(1+Inputs!$B$34/100)),MAX(0,Inputs!$B$44-((R1459-1)*Skills!D15))))/Inputs!$B$44),IF(Inputs!$B$39="pvp",MIN((Skills!Y15*(1+Inputs!$B$34/100)),15)/15,(Skills!Y15*(1+Inputs!$B$34/100))/Skills!D15)))/100)*(1+((C1450=TRUE)*F1450*B1478)/100))*B1486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1453)</f>
        <v/>
      </c>
      <c r="L1453">
        <f>K1453*(MIN(Inputs!$B$22+((C1468=TRUE)*(F1468-Calc!F24)),(Inputs!$B$23+0+(IF(ArtifactsInput!$M$15,CHOOSE(ArtifactsInput!$N$15+1,25,30,35,40,45,50)/100*(Inputs!$B$11-Inputs!$B$11),0))))/100+(Inputs!$B$23+0+(IF(ArtifactsInput!$M$15,CHOOSE(ArtifactsInput!$N$15+1,25,30,35,40,45,50)/100*(Inputs!$B$11-Inputs!$B$11),0)))/100)/2</f>
        <v/>
      </c>
      <c r="M1453">
        <f>L1453*(1+(Inputs!$B$10+((C1470=TRUE)*(F1470-Calc!F26))+B1487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53">
        <f>L1453*(1-MIN((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1453*(MIN((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53">
        <f>(1-Summary!$B$11)*T1453+Summary!$B$11*V1453</f>
        <v/>
      </c>
      <c r="P1453">
        <f>IF(B1488=0,0,O1453/B1488)</f>
        <v/>
      </c>
      <c r="Q1453">
        <f>IFERROR(1/IF(Inputs!$B$39="pvp",15,MAX(0.1,Skills!D9-IF(Skills!E9=TRUE,Inputs!$B$32,0))),0)</f>
        <v/>
      </c>
      <c r="R1453">
        <f>IF(AND(Inputs!$B$39&lt;&gt;"pvp",Inputs!$B$44&gt;0),IF(MAX(0,Inputs!$B$44-B1489)&lt;=0,0,(INT(MAX(0,Inputs!$B$44-B1489)/IF(Inputs!$B$39="pvp",15,MAX(0.1,Skills!D9-IF(Skills!E9=TRUE,Inputs!$B$32,0))))+1)),0)</f>
        <v/>
      </c>
      <c r="S1453">
        <f>IFERROR(O1453/N1453,0)</f>
        <v/>
      </c>
      <c r="T1453">
        <f>IF(C1453,(H1453*N1453*IF(AND(Inputs!$B$39&lt;&gt;"pvp",Inputs!$B$44&gt;0),((Skills!G9*((R1453-1)*IF(Skills!H9&gt;0,Skills!I9/Skills!H9,1)+IF(Skills!H9&gt;0,MIN(Skills!I9,MAX(0,MAX(0,Inputs!$B$44-B1489)-((R1453-1)*IF(Inputs!$B$39="pvp",15,MAX(0.1,Skills!D9-IF(Skills!E9=TRUE,Inputs!$B$32,0))))))/Skills!H9,1)))/Inputs!$B$44),G1453*Q1453))*IF(Inputs!$B$39="pvp",1,1+(Inputs!$B$20+((C1471=TRUE)*(F1471-Calc!F27))+Skills!P9+B1485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Hunt"),CHOOSE(ArtifactsInput!$N$35+1,15,18,21,24,27,30)*(1-EXP(-(0.2*B1480)*5)),0)+IF(AND(ArtifactsInput!$M$22,Inputs!$B$4&lt;&gt;"Chapter Hunt"),CHOOSE(ArtifactsInput!$N$22+1,10,12,14,16,18,20)*((0*(((0.15*B1480*5))^0/1)+1*(((0.15*B1480*5))^1/1)+2*(((0.15*B1480*5))^2/2)+3*(((0.15*B1480*5))^3/6)+4*(((0.15*B1480*5))^4/24)+5*(((0.15*B1480*5))^5/120))/((((0.15*B1480*5))^0/1)+(((0.15*B1480*5))^1/1)+(((0.15*B1480*5))^2/2)+(((0.15*B1480*5))^3/6)+(((0.15*B1480*5))^4/24)+(((0.15*B1480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1453*(1-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1453*(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1453*(1-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1453*(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53">
        <f>IF(C1453,(H1453*N1453*IF(AND(Inputs!$B$39&lt;&gt;"pvp",Inputs!$B$44&gt;0),((Skills!G9*((R1453-1)*IF(Skills!H9&gt;0,Skills!I9/Skills!H9,1)+IF(Skills!H9&gt;0,MIN(Skills!I9,MAX(0,MAX(0,Inputs!$B$44-B1489)-((R1453-1)*IF(Inputs!$B$39="pvp",15,MAX(0.1,Skills!D9-IF(Skills!E9=TRUE,Inputs!$B$32,0))))))/Skills!H9,1)))/Inputs!$B$44),G1453*Q1453))*IF(Inputs!$B$39="pvp",1,(1+(Inputs!$B$21+Skills!Q9+B1485+(IF(ArtifactsInput!$M$33,CHOOSE(ArtifactsInput!$N$33+1,30,36,42,48,54,60),0))+(IF(AND(ArtifactsInput!$M$35,Inputs!$B$4&lt;&gt;"Chapter Hunt"),CHOOSE(ArtifactsInput!$N$35+1,15,18,21,24,27,30)*(1-EXP(-(0.2*B1480)*5)),0)+IF(AND(ArtifactsInput!$M$22,Inputs!$B$4&lt;&gt;"Chapter Hunt"),CHOOSE(ArtifactsInput!$N$22+1,10,12,14,16,18,20)*((0*(((0.15*B1480*5))^0/1)+1*(((0.15*B1480*5))^1/1)+2*(((0.15*B1480*5))^2/2)+3*(((0.15*B1480*5))^3/6)+4*(((0.15*B1480*5))^4/24)+5*(((0.15*B1480*5))^5/120))/((((0.15*B1480*5))^0/1)+(((0.15*B1480*5))^1/1)+(((0.15*B1480*5))^2/2)+(((0.15*B1480*5))^3/6)+(((0.15*B1480*5))^4/24)+(((0.15*B1480*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54">
      <c r="A1454">
        <f>Skills!A10</f>
        <v/>
      </c>
      <c r="B1454">
        <f>Skills!B10</f>
        <v/>
      </c>
      <c r="C1454">
        <f>Inputs!$B$3&gt;=117</f>
        <v/>
      </c>
      <c r="D1454">
        <f>IF(Skills!C10=1,60+Inputs!$B$25+Inputs!$B$29,IF(Skills!C10=2,90+Inputs!$B$26+Inputs!$B$29,IF(Skills!C10=3,120+Inputs!$B$27+Inputs!$B$29,MAX(0,(Inputs!$B$3-100)*3)+Inputs!$B$28+Inputs!$B$29)))</f>
        <v/>
      </c>
      <c r="E1454">
        <f>INDEX(FactorTable!$B$2:$Y$301, MATCH(ROUND(MIN(300,MAX(1,D1454)),0), FactorTable!$A$2:$A$301,0), Skills!M10+1)</f>
        <v/>
      </c>
      <c r="F1454">
        <f>IF(Skills!N10=TRUE,(Skills!L10/10)*(E1454/1000),Skills!L10/10)+Skills!O10</f>
        <v/>
      </c>
      <c r="G1454">
        <f>Calc!G10</f>
        <v/>
      </c>
      <c r="H1454">
        <f>Calc!H10</f>
        <v/>
      </c>
      <c r="I1454">
        <f>IF(Skills!AA10&lt;&gt;"",1+(Skills!AA10/10)*(U1447/1000)/100,1)</f>
        <v/>
      </c>
      <c r="J1454">
        <f>((Inputs!$B$6*(1+Inputs!$B$7/100))+(((Inputs!$B$12*(1+Inputs!$B$13/100))-(Inputs!$B$12*(1+Inputs!$B$13/100)))+0.25*(Inputs!$B$14-Inputs!$B$14))*(1+Inputs!$B$7/100))*(F1454/100)</f>
        <v/>
      </c>
      <c r="K1454">
        <f>J1454*(1+((Inputs!$B$12*(1+Inputs!$B$13/100))*0.01+Inputs!$B$14*0.0025)/100)*(1+Inputs!$B$15/100)*(1+Inputs!$B$16/100)*(5000/(6000+Inputs!$B$43*(1-(100*(1-(1-(Inputs!$B$19+0)/100)*(1-CHOOSE(ArtifactsInput!$N$40+1,5,6,7,8,9,10)/100)^(ArtifactsInput!$M$40-ArtifactsInput!$M$40)))/100)))*(1+(Inputs!$B$24+((C1474=TRUE)*(F1474-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1467=TRUE)*(F1467-Calc!F23))+(((IF(AND(ArtifactsInput!$M$42,((Inputs!$B$9+((C1469=TRUE)*(F1469-Calc!F25))+B1484+(ArtifactsInput!$M$24-ArtifactsInput!$M$24)*CHOOSE(ArtifactsInput!$N$24+1,10,12,14,16,18,20)+IF(ArtifactsInput!$M$10,CHOOSE(ArtifactsInput!$N$10+1,15,18,21,24,27,30)*(IF(Inputs!$B$39="pvp",MIN(15,15)/15,IF(AND(Inputs!$B$39&lt;&gt;"pvp",Inputs!$B$44&gt;0),MIN(15,Inputs!$B$44)/(Inputs!$B$44),0))),0)))&gt;=100),MIN(100,((Inputs!$B$9+((C1469=TRUE)*(F1469-Calc!F25))+B1484+(ArtifactsInput!$M$24-ArtifactsInput!$M$24)*CHOOSE(ArtifactsInput!$N$24+1,10,12,14,16,18,20)+IF(ArtifactsInput!$M$10,CHOOSE(ArtifactsInput!$N$10+1,15,18,21,24,27,30)*(IF(Inputs!$B$39="pvp",MIN(15,15)/15,IF(AND(Inputs!$B$39&lt;&gt;"pvp",Inputs!$B$44&gt;0),MIN(15,Inputs!$B$44)/(Inputs!$B$44),0))),0)))-100),0))*CHOOSE(ArtifactsInput!$N$42+1,0.6,0.72,0.84,0.96,1.08,1.2))),Inputs!$B$18+((C1473=TRUE)*(F1473-Calc!F29))+(IF(AND(ArtifactsInput!$M$42,((Inputs!$B$9+((C1469=TRUE)*(F1469-Calc!F25))+B1484+(ArtifactsInput!$M$24-ArtifactsInput!$M$24)*CHOOSE(ArtifactsInput!$N$24+1,10,12,14,16,18,20)+IF(ArtifactsInput!$M$10,CHOOSE(ArtifactsInput!$N$10+1,15,18,21,24,27,30)*(IF(Inputs!$B$39="pvp",MIN(15,15)/15,IF(AND(Inputs!$B$39&lt;&gt;"pvp",Inputs!$B$44&gt;0),MIN(15,Inputs!$B$44)/(Inputs!$B$44),0))),0)))&gt;=100),CHOOSE(ArtifactsInput!$N$42+1,40,48,56,64,72,80),0))))/100)*(((1+(((C1465=TRUE)*F1465*IF(AND(Inputs!$B$39&lt;&gt;"pvp",Inputs!$B$44&gt;0),(((R1465-1)*(Skills!Y21*(1+Inputs!$B$34/100))+MIN((Skills!Y21*(1+Inputs!$B$34/100)),MAX(0,Inputs!$B$44-((R1465-1)*Skills!D21))))/Inputs!$B$44),IF(Inputs!$B$39="pvp",MIN((Skills!Y21*(1+Inputs!$B$34/100)),15)/15,(Skills!Y21*(1+Inputs!$B$34/100))/Skills!D21)))+((C1472=TRUE)*(F1472-Calc!F28))+((C1462=TRUE)*(F1462-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1459=TRUE)*F1459*IF(AND(Inputs!$B$39&lt;&gt;"pvp",Inputs!$B$44&gt;0),(((R1459-1)*(Skills!Y15*(1+Inputs!$B$34/100))+MIN((Skills!Y15*(1+Inputs!$B$34/100)),MAX(0,Inputs!$B$44-((R1459-1)*Skills!D15))))/Inputs!$B$44),IF(Inputs!$B$39="pvp",MIN((Skills!Y15*(1+Inputs!$B$34/100)),15)/15,(Skills!Y15*(1+Inputs!$B$34/100))/Skills!D15)))/100)*(1+((C1450=TRUE)*F1450*B1478)/100))*B1486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1454)</f>
        <v/>
      </c>
      <c r="L1454">
        <f>K1454*(MIN(Inputs!$B$22+((C1468=TRUE)*(F1468-Calc!F24)),(Inputs!$B$23+0+(IF(ArtifactsInput!$M$15,CHOOSE(ArtifactsInput!$N$15+1,25,30,35,40,45,50)/100*(Inputs!$B$11-Inputs!$B$11),0))))/100+(Inputs!$B$23+0+(IF(ArtifactsInput!$M$15,CHOOSE(ArtifactsInput!$N$15+1,25,30,35,40,45,50)/100*(Inputs!$B$11-Inputs!$B$11),0)))/100)/2</f>
        <v/>
      </c>
      <c r="M1454">
        <f>L1454*(1+(Inputs!$B$10+((C1470=TRUE)*(F1470-Calc!F26))+B1487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54">
        <f>L1454*(1-MIN((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1454*(MIN((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54">
        <f>(1-Summary!$B$11)*T1454+Summary!$B$11*V1454</f>
        <v/>
      </c>
      <c r="P1454">
        <f>IF(B1488=0,0,O1454/B1488)</f>
        <v/>
      </c>
      <c r="Q1454" t="n">
        <v>0</v>
      </c>
      <c r="R1454" t="n">
        <v>0</v>
      </c>
      <c r="S1454" t="n">
        <v>0</v>
      </c>
      <c r="T1454">
        <f>IF(C1454,(0.2*SUMPRODUCT((Skills!Z2:Z31=TRUE)*(C1446:C1475=TRUE)*S1446:S1475)*N1454)*IF(Inputs!$B$39="pvp",1,1+(Inputs!$B$20+((C1471=TRUE)*(F1471-Calc!F27))+Skills!P10+B1485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Hunt"),CHOOSE(ArtifactsInput!$N$35+1,15,18,21,24,27,30)*(1-EXP(-(0.2*B1480)*5)),0)+IF(AND(ArtifactsInput!$M$22,Inputs!$B$4&lt;&gt;"Chapter Hunt"),CHOOSE(ArtifactsInput!$N$22+1,10,12,14,16,18,20)*((0*(((0.15*B1480*5))^0/1)+1*(((0.15*B1480*5))^1/1)+2*(((0.15*B1480*5))^2/2)+3*(((0.15*B1480*5))^3/6)+4*(((0.15*B1480*5))^4/24)+5*(((0.15*B1480*5))^5/120))/((((0.15*B1480*5))^0/1)+(((0.15*B1480*5))^1/1)+(((0.15*B1480*5))^2/2)+(((0.15*B1480*5))^3/6)+(((0.15*B1480*5))^4/24)+(((0.15*B1480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1454*(1-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1454*(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1454*(1-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1454*(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54">
        <f>IF(C1454,(0.2*SUMPRODUCT((Skills!Z2:Z31=TRUE)*(C1446:C1475=TRUE)*S1446:S1475)*N1454)*IF(Inputs!$B$39="pvp",1,(1+(Inputs!$B$21+Skills!Q10+B1485+(IF(ArtifactsInput!$M$33,CHOOSE(ArtifactsInput!$N$33+1,30,36,42,48,54,60),0))+(IF(AND(ArtifactsInput!$M$35,Inputs!$B$4&lt;&gt;"Chapter Hunt"),CHOOSE(ArtifactsInput!$N$35+1,15,18,21,24,27,30)*(1-EXP(-(0.2*B1480)*5)),0)+IF(AND(ArtifactsInput!$M$22,Inputs!$B$4&lt;&gt;"Chapter Hunt"),CHOOSE(ArtifactsInput!$N$22+1,10,12,14,16,18,20)*((0*(((0.15*B1480*5))^0/1)+1*(((0.15*B1480*5))^1/1)+2*(((0.15*B1480*5))^2/2)+3*(((0.15*B1480*5))^3/6)+4*(((0.15*B1480*5))^4/24)+5*(((0.15*B1480*5))^5/120))/((((0.15*B1480*5))^0/1)+(((0.15*B1480*5))^1/1)+(((0.15*B1480*5))^2/2)+(((0.15*B1480*5))^3/6)+(((0.15*B1480*5))^4/24)+(((0.15*B1480*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55">
      <c r="A1455">
        <f>Skills!A11</f>
        <v/>
      </c>
      <c r="B1455">
        <f>Skills!B11</f>
        <v/>
      </c>
      <c r="C1455">
        <f>Inputs!$B$3&gt;=60</f>
        <v/>
      </c>
      <c r="D1455">
        <f>IF(Skills!C11=1,60+Inputs!$B$25+Inputs!$B$29,IF(Skills!C11=2,90+Inputs!$B$26+Inputs!$B$29,IF(Skills!C11=3,120+Inputs!$B$27+Inputs!$B$29,MAX(0,(Inputs!$B$3-100)*3)+Inputs!$B$28+Inputs!$B$29)))</f>
        <v/>
      </c>
      <c r="E1455">
        <f>INDEX(FactorTable!$B$2:$Y$301, MATCH(ROUND(MIN(300,MAX(1,D1455)),0), FactorTable!$A$2:$A$301,0), Skills!M11+1)</f>
        <v/>
      </c>
      <c r="F1455">
        <f>IF(Skills!N11=TRUE,(Skills!L11/10)*(E1455/1000),Skills!L11/10)+Skills!O11</f>
        <v/>
      </c>
      <c r="G1455">
        <f>Calc!G11</f>
        <v/>
      </c>
      <c r="H1455">
        <f>Calc!H11</f>
        <v/>
      </c>
      <c r="I1455">
        <f>IF(Skills!AA11&lt;&gt;"",1+(Skills!AA11/10)*(U1447/1000)/100,1)</f>
        <v/>
      </c>
      <c r="J1455" t="inlineStr"/>
      <c r="K1455" t="inlineStr"/>
      <c r="L1455" t="inlineStr"/>
      <c r="M1455" t="inlineStr"/>
      <c r="N1455" t="inlineStr"/>
      <c r="O1455">
        <f>(1-Summary!$B$11)*T1455+Summary!$B$11*V1455</f>
        <v/>
      </c>
      <c r="P1455">
        <f>IF(B1488=0,0,O1455/B1488)</f>
        <v/>
      </c>
      <c r="Q1455" t="n">
        <v>0</v>
      </c>
      <c r="R1455" t="n">
        <v>0</v>
      </c>
      <c r="S1455">
        <f>IFERROR(O1455/N1455,0)</f>
        <v/>
      </c>
      <c r="T1455" t="n">
        <v>0</v>
      </c>
      <c r="V1455" t="n">
        <v>0</v>
      </c>
    </row>
    <row r="1456">
      <c r="A1456">
        <f>Skills!A12</f>
        <v/>
      </c>
      <c r="B1456">
        <f>Skills!B12</f>
        <v/>
      </c>
      <c r="C1456">
        <f>Inputs!$B$3&gt;=103</f>
        <v/>
      </c>
      <c r="D1456">
        <f>IF(Skills!C12=1,60+Inputs!$B$25+Inputs!$B$29,IF(Skills!C12=2,90+Inputs!$B$26+Inputs!$B$29,IF(Skills!C12=3,120+Inputs!$B$27+Inputs!$B$29,MAX(0,(Inputs!$B$3-100)*3)+Inputs!$B$28+Inputs!$B$29)))</f>
        <v/>
      </c>
      <c r="E1456">
        <f>INDEX(FactorTable!$B$2:$Y$301, MATCH(ROUND(MIN(300,MAX(1,D1456)),0), FactorTable!$A$2:$A$301,0), Skills!M12+1)</f>
        <v/>
      </c>
      <c r="F1456">
        <f>IF(Skills!N12=TRUE,(Skills!L12/10)*(E1456/1000),Skills!L12/10)+Skills!O12</f>
        <v/>
      </c>
      <c r="G1456">
        <f>Calc!G12</f>
        <v/>
      </c>
      <c r="H1456">
        <f>Calc!H12</f>
        <v/>
      </c>
      <c r="I1456">
        <f>IF(Skills!AA12&lt;&gt;"",1+(Skills!AA12/10)*(U1447/1000)/100,1)</f>
        <v/>
      </c>
      <c r="J1456">
        <f>((Inputs!$B$6*(1+Inputs!$B$7/100))+(((Inputs!$B$12*(1+Inputs!$B$13/100))-(Inputs!$B$12*(1+Inputs!$B$13/100)))+0.25*(Inputs!$B$14-Inputs!$B$14))*(1+Inputs!$B$7/100))*(F1456/100)</f>
        <v/>
      </c>
      <c r="K1456">
        <f>J1456*(1+((Inputs!$B$12*(1+Inputs!$B$13/100))*0.01+Inputs!$B$14*0.0025)/100)*(1+Inputs!$B$15/100)*(1+Inputs!$B$16/100)*(5000/(6000+Inputs!$B$43*(1-(100*(1-(1-(Inputs!$B$19+0)/100)*(1-CHOOSE(ArtifactsInput!$N$40+1,5,6,7,8,9,10)/100)^(ArtifactsInput!$M$40-ArtifactsInput!$M$40)))/100)))*(1+(Inputs!$B$24+((C1474=TRUE)*(F1474-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1467=TRUE)*(F1467-Calc!F23))+(((IF(AND(ArtifactsInput!$M$42,((Inputs!$B$9+((C1469=TRUE)*(F1469-Calc!F25))+B1484+(ArtifactsInput!$M$24-ArtifactsInput!$M$24)*CHOOSE(ArtifactsInput!$N$24+1,10,12,14,16,18,20)+IF(ArtifactsInput!$M$10,CHOOSE(ArtifactsInput!$N$10+1,15,18,21,24,27,30)*(IF(Inputs!$B$39="pvp",MIN(15,15)/15,IF(AND(Inputs!$B$39&lt;&gt;"pvp",Inputs!$B$44&gt;0),MIN(15,Inputs!$B$44)/(Inputs!$B$44),0))),0)))&gt;=100),MIN(100,((Inputs!$B$9+((C1469=TRUE)*(F1469-Calc!F25))+B1484+(ArtifactsInput!$M$24-ArtifactsInput!$M$24)*CHOOSE(ArtifactsInput!$N$24+1,10,12,14,16,18,20)+IF(ArtifactsInput!$M$10,CHOOSE(ArtifactsInput!$N$10+1,15,18,21,24,27,30)*(IF(Inputs!$B$39="pvp",MIN(15,15)/15,IF(AND(Inputs!$B$39&lt;&gt;"pvp",Inputs!$B$44&gt;0),MIN(15,Inputs!$B$44)/(Inputs!$B$44),0))),0)))-100),0))*CHOOSE(ArtifactsInput!$N$42+1,0.6,0.72,0.84,0.96,1.08,1.2))),Inputs!$B$18+((C1473=TRUE)*(F1473-Calc!F29))+(IF(AND(ArtifactsInput!$M$42,((Inputs!$B$9+((C1469=TRUE)*(F1469-Calc!F25))+B1484+(ArtifactsInput!$M$24-ArtifactsInput!$M$24)*CHOOSE(ArtifactsInput!$N$24+1,10,12,14,16,18,20)+IF(ArtifactsInput!$M$10,CHOOSE(ArtifactsInput!$N$10+1,15,18,21,24,27,30)*(IF(Inputs!$B$39="pvp",MIN(15,15)/15,IF(AND(Inputs!$B$39&lt;&gt;"pvp",Inputs!$B$44&gt;0),MIN(15,Inputs!$B$44)/(Inputs!$B$44),0))),0)))&gt;=100),CHOOSE(ArtifactsInput!$N$42+1,40,48,56,64,72,80),0))))/100)*(((1+(((C1465=TRUE)*F1465*IF(AND(Inputs!$B$39&lt;&gt;"pvp",Inputs!$B$44&gt;0),(((R1465-1)*(Skills!Y21*(1+Inputs!$B$34/100))+MIN((Skills!Y21*(1+Inputs!$B$34/100)),MAX(0,Inputs!$B$44-((R1465-1)*Skills!D21))))/Inputs!$B$44),IF(Inputs!$B$39="pvp",MIN((Skills!Y21*(1+Inputs!$B$34/100)),15)/15,(Skills!Y21*(1+Inputs!$B$34/100))/Skills!D21)))+((C1472=TRUE)*(F1472-Calc!F28))+((C1462=TRUE)*(F1462-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1459=TRUE)*F1459*IF(AND(Inputs!$B$39&lt;&gt;"pvp",Inputs!$B$44&gt;0),(((R1459-1)*(Skills!Y15*(1+Inputs!$B$34/100))+MIN((Skills!Y15*(1+Inputs!$B$34/100)),MAX(0,Inputs!$B$44-((R1459-1)*Skills!D15))))/Inputs!$B$44),IF(Inputs!$B$39="pvp",MIN((Skills!Y15*(1+Inputs!$B$34/100)),15)/15,(Skills!Y15*(1+Inputs!$B$34/100))/Skills!D15)))/100)*(1+((C1450=TRUE)*F1450*B1478)/100))*B1486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1456)</f>
        <v/>
      </c>
      <c r="L1456">
        <f>K1456*(MIN(Inputs!$B$22+((C1468=TRUE)*(F1468-Calc!F24)),(Inputs!$B$23+0+(IF(ArtifactsInput!$M$15,CHOOSE(ArtifactsInput!$N$15+1,25,30,35,40,45,50)/100*(Inputs!$B$11-Inputs!$B$11),0))))/100+(Inputs!$B$23+0+(IF(ArtifactsInput!$M$15,CHOOSE(ArtifactsInput!$N$15+1,25,30,35,40,45,50)/100*(Inputs!$B$11-Inputs!$B$11),0)))/100)/2</f>
        <v/>
      </c>
      <c r="M1456">
        <f>L1456*(1+(Inputs!$B$10+((C1470=TRUE)*(F1470-Calc!F26))+B1487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56">
        <f>L1456*(1-MIN((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1456*(MIN((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56">
        <f>(1-Summary!$B$11)*T1456+Summary!$B$11*V1456</f>
        <v/>
      </c>
      <c r="P1456">
        <f>IF(B1488=0,0,O1456/B1488)</f>
        <v/>
      </c>
      <c r="Q1456">
        <f>IFERROR(1/IF(Inputs!$B$39="pvp",15,MAX(0.1,Skills!D12-IF(Skills!E12=TRUE,Inputs!$B$32,0))),0)</f>
        <v/>
      </c>
      <c r="R1456">
        <f>IF(AND(Inputs!$B$39&lt;&gt;"pvp",Inputs!$B$44&gt;0),IF(MAX(0,Inputs!$B$44-B1489)&lt;=0,0,(INT(MAX(0,Inputs!$B$44-B1489)/IF(Inputs!$B$39="pvp",15,MAX(0.1,Skills!D12-IF(Skills!E12=TRUE,Inputs!$B$32,0))))+1)),0)</f>
        <v/>
      </c>
      <c r="S1456">
        <f>IFERROR(O1456/N1456,0)</f>
        <v/>
      </c>
      <c r="T1456">
        <f>IF(C1456,(H1456*N1456*IF(AND(Inputs!$B$39&lt;&gt;"pvp",Inputs!$B$44&gt;0),((Skills!G12*((R1456-1)*IF(Skills!H12&gt;0,Skills!I12/Skills!H12,1)+IF(Skills!H12&gt;0,MIN(Skills!I12,MAX(0,MAX(0,Inputs!$B$44-B1489)-((R1456-1)*IF(Inputs!$B$39="pvp",15,MAX(0.1,Skills!D12-IF(Skills!E12=TRUE,Inputs!$B$32,0))))))/Skills!H12,1)))/Inputs!$B$44),G1456*Q1456))*IF(Inputs!$B$39="pvp",1,1+(Inputs!$B$20+((C1471=TRUE)*(F1471-Calc!F27))+Skills!P12+B1485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Hunt"),CHOOSE(ArtifactsInput!$N$35+1,15,18,21,24,27,30)*(1-EXP(-(0.2*B1480)*5)),0)+IF(AND(ArtifactsInput!$M$22,Inputs!$B$4&lt;&gt;"Chapter Hunt"),CHOOSE(ArtifactsInput!$N$22+1,10,12,14,16,18,20)*((0*(((0.15*B1480*5))^0/1)+1*(((0.15*B1480*5))^1/1)+2*(((0.15*B1480*5))^2/2)+3*(((0.15*B1480*5))^3/6)+4*(((0.15*B1480*5))^4/24)+5*(((0.15*B1480*5))^5/120))/((((0.15*B1480*5))^0/1)+(((0.15*B1480*5))^1/1)+(((0.15*B1480*5))^2/2)+(((0.15*B1480*5))^3/6)+(((0.15*B1480*5))^4/24)+(((0.15*B1480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1456*(1-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1456*(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1456*(1-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1456*(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56">
        <f>IF(C1456,(H1456*N1456*IF(AND(Inputs!$B$39&lt;&gt;"pvp",Inputs!$B$44&gt;0),((Skills!G12*((R1456-1)*IF(Skills!H12&gt;0,Skills!I12/Skills!H12,1)+IF(Skills!H12&gt;0,MIN(Skills!I12,MAX(0,MAX(0,Inputs!$B$44-B1489)-((R1456-1)*IF(Inputs!$B$39="pvp",15,MAX(0.1,Skills!D12-IF(Skills!E12=TRUE,Inputs!$B$32,0))))))/Skills!H12,1)))/Inputs!$B$44),G1456*Q1456))*IF(Inputs!$B$39="pvp",1,(1+(Inputs!$B$21+Skills!Q12+B1485+(IF(ArtifactsInput!$M$33,CHOOSE(ArtifactsInput!$N$33+1,30,36,42,48,54,60),0))+(IF(AND(ArtifactsInput!$M$35,Inputs!$B$4&lt;&gt;"Chapter Hunt"),CHOOSE(ArtifactsInput!$N$35+1,15,18,21,24,27,30)*(1-EXP(-(0.2*B1480)*5)),0)+IF(AND(ArtifactsInput!$M$22,Inputs!$B$4&lt;&gt;"Chapter Hunt"),CHOOSE(ArtifactsInput!$N$22+1,10,12,14,16,18,20)*((0*(((0.15*B1480*5))^0/1)+1*(((0.15*B1480*5))^1/1)+2*(((0.15*B1480*5))^2/2)+3*(((0.15*B1480*5))^3/6)+4*(((0.15*B1480*5))^4/24)+5*(((0.15*B1480*5))^5/120))/((((0.15*B1480*5))^0/1)+(((0.15*B1480*5))^1/1)+(((0.15*B1480*5))^2/2)+(((0.15*B1480*5))^3/6)+(((0.15*B1480*5))^4/24)+(((0.15*B1480*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57">
      <c r="A1457">
        <f>Skills!A13</f>
        <v/>
      </c>
      <c r="B1457">
        <f>Skills!B13</f>
        <v/>
      </c>
      <c r="C1457">
        <f>Inputs!$B$3&gt;=105</f>
        <v/>
      </c>
      <c r="D1457">
        <f>IF(Skills!C13=1,60+Inputs!$B$25+Inputs!$B$29,IF(Skills!C13=2,90+Inputs!$B$26+Inputs!$B$29,IF(Skills!C13=3,120+Inputs!$B$27+Inputs!$B$29,MAX(0,(Inputs!$B$3-100)*3)+Inputs!$B$28+Inputs!$B$29)))</f>
        <v/>
      </c>
      <c r="E1457">
        <f>INDEX(FactorTable!$B$2:$Y$301, MATCH(ROUND(MIN(300,MAX(1,D1457)),0), FactorTable!$A$2:$A$301,0), Skills!M13+1)</f>
        <v/>
      </c>
      <c r="F1457">
        <f>IF(Skills!N13=TRUE,(Skills!L13/10)*(E1457/1000),Skills!L13/10)+Skills!O13</f>
        <v/>
      </c>
      <c r="G1457">
        <f>Calc!G13</f>
        <v/>
      </c>
      <c r="H1457">
        <f>Calc!H13</f>
        <v/>
      </c>
      <c r="I1457">
        <f>IF(Skills!AA13&lt;&gt;"",1+(Skills!AA13/10)*(U1447/1000)/100,1)</f>
        <v/>
      </c>
      <c r="J1457">
        <f>((Inputs!$B$6*(1+Inputs!$B$7/100))+(((Inputs!$B$12*(1+Inputs!$B$13/100))-(Inputs!$B$12*(1+Inputs!$B$13/100)))+0.25*(Inputs!$B$14-Inputs!$B$14))*(1+Inputs!$B$7/100))*(F1457/100)</f>
        <v/>
      </c>
      <c r="K1457">
        <f>J1457*(1+((Inputs!$B$12*(1+Inputs!$B$13/100))*0.01+Inputs!$B$14*0.0025)/100)*(1+Inputs!$B$15/100)*(1+Inputs!$B$16/100)*(5000/(6000+Inputs!$B$43*(1-(100*(1-(1-(Inputs!$B$19+0)/100)*(1-CHOOSE(ArtifactsInput!$N$40+1,5,6,7,8,9,10)/100)^(ArtifactsInput!$M$40-ArtifactsInput!$M$40)))/100)))*(1+(Inputs!$B$24+((C1474=TRUE)*(F1474-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1467=TRUE)*(F1467-Calc!F23))+(((IF(AND(ArtifactsInput!$M$42,((Inputs!$B$9+((C1469=TRUE)*(F1469-Calc!F25))+B1484+(ArtifactsInput!$M$24-ArtifactsInput!$M$24)*CHOOSE(ArtifactsInput!$N$24+1,10,12,14,16,18,20)+IF(ArtifactsInput!$M$10,CHOOSE(ArtifactsInput!$N$10+1,15,18,21,24,27,30)*(IF(Inputs!$B$39="pvp",MIN(15,15)/15,IF(AND(Inputs!$B$39&lt;&gt;"pvp",Inputs!$B$44&gt;0),MIN(15,Inputs!$B$44)/(Inputs!$B$44),0))),0)))&gt;=100),MIN(100,((Inputs!$B$9+((C1469=TRUE)*(F1469-Calc!F25))+B1484+(ArtifactsInput!$M$24-ArtifactsInput!$M$24)*CHOOSE(ArtifactsInput!$N$24+1,10,12,14,16,18,20)+IF(ArtifactsInput!$M$10,CHOOSE(ArtifactsInput!$N$10+1,15,18,21,24,27,30)*(IF(Inputs!$B$39="pvp",MIN(15,15)/15,IF(AND(Inputs!$B$39&lt;&gt;"pvp",Inputs!$B$44&gt;0),MIN(15,Inputs!$B$44)/(Inputs!$B$44),0))),0)))-100),0))*CHOOSE(ArtifactsInput!$N$42+1,0.6,0.72,0.84,0.96,1.08,1.2))),Inputs!$B$18+((C1473=TRUE)*(F1473-Calc!F29))+(IF(AND(ArtifactsInput!$M$42,((Inputs!$B$9+((C1469=TRUE)*(F1469-Calc!F25))+B1484+(ArtifactsInput!$M$24-ArtifactsInput!$M$24)*CHOOSE(ArtifactsInput!$N$24+1,10,12,14,16,18,20)+IF(ArtifactsInput!$M$10,CHOOSE(ArtifactsInput!$N$10+1,15,18,21,24,27,30)*(IF(Inputs!$B$39="pvp",MIN(15,15)/15,IF(AND(Inputs!$B$39&lt;&gt;"pvp",Inputs!$B$44&gt;0),MIN(15,Inputs!$B$44)/(Inputs!$B$44),0))),0)))&gt;=100),CHOOSE(ArtifactsInput!$N$42+1,40,48,56,64,72,80),0))))/100)*(((1+(((C1465=TRUE)*F1465*IF(AND(Inputs!$B$39&lt;&gt;"pvp",Inputs!$B$44&gt;0),(((R1465-1)*(Skills!Y21*(1+Inputs!$B$34/100))+MIN((Skills!Y21*(1+Inputs!$B$34/100)),MAX(0,Inputs!$B$44-((R1465-1)*Skills!D21))))/Inputs!$B$44),IF(Inputs!$B$39="pvp",MIN((Skills!Y21*(1+Inputs!$B$34/100)),15)/15,(Skills!Y21*(1+Inputs!$B$34/100))/Skills!D21)))+((C1472=TRUE)*(F1472-Calc!F28))+((C1462=TRUE)*(F1462-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1459=TRUE)*F1459*IF(AND(Inputs!$B$39&lt;&gt;"pvp",Inputs!$B$44&gt;0),(((R1459-1)*(Skills!Y15*(1+Inputs!$B$34/100))+MIN((Skills!Y15*(1+Inputs!$B$34/100)),MAX(0,Inputs!$B$44-((R1459-1)*Skills!D15))))/Inputs!$B$44),IF(Inputs!$B$39="pvp",MIN((Skills!Y15*(1+Inputs!$B$34/100)),15)/15,(Skills!Y15*(1+Inputs!$B$34/100))/Skills!D15)))/100)*(1+((C1450=TRUE)*F1450*B1478)/100))*B1486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1457)</f>
        <v/>
      </c>
      <c r="L1457">
        <f>K1457*(MIN(Inputs!$B$22+((C1468=TRUE)*(F1468-Calc!F24)),(Inputs!$B$23+0+(IF(ArtifactsInput!$M$15,CHOOSE(ArtifactsInput!$N$15+1,25,30,35,40,45,50)/100*(Inputs!$B$11-Inputs!$B$11),0))))/100+(Inputs!$B$23+0+(IF(ArtifactsInput!$M$15,CHOOSE(ArtifactsInput!$N$15+1,25,30,35,40,45,50)/100*(Inputs!$B$11-Inputs!$B$11),0)))/100)/2</f>
        <v/>
      </c>
      <c r="M1457">
        <f>L1457*(1+(Inputs!$B$10+((C1470=TRUE)*(F1470-Calc!F26))+B1487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57">
        <f>L1457*(1-MIN((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1457*(MIN((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57">
        <f>(1-Summary!$B$11)*T1457+Summary!$B$11*V1457</f>
        <v/>
      </c>
      <c r="P1457">
        <f>IF(B1488=0,0,O1457/B1488)</f>
        <v/>
      </c>
      <c r="Q1457">
        <f>IFERROR(1/IF(Inputs!$B$39="pvp",15,MAX(0.1,Skills!D13-IF(Skills!E13=TRUE,Inputs!$B$32,0))),0)</f>
        <v/>
      </c>
      <c r="R1457">
        <f>IF(AND(Inputs!$B$39&lt;&gt;"pvp",Inputs!$B$44&gt;0),IF(MAX(0,Inputs!$B$44-B1489)&lt;=0,0,(INT(MAX(0,Inputs!$B$44-B1489)/IF(Inputs!$B$39="pvp",15,MAX(0.1,Skills!D13-IF(Skills!E13=TRUE,Inputs!$B$32,0))))+1)),0)</f>
        <v/>
      </c>
      <c r="S1457">
        <f>IFERROR(O1457/N1457,0)</f>
        <v/>
      </c>
      <c r="T1457">
        <f>IF(C1457,(H1457*N1457*IF(AND(Inputs!$B$39&lt;&gt;"pvp",Inputs!$B$44&gt;0),((Skills!G13*((R1457-1)*IF(Skills!H13&gt;0,Skills!I13/Skills!H13,1)+IF(Skills!H13&gt;0,MIN(Skills!I13,MAX(0,MAX(0,Inputs!$B$44-B1489)-((R1457-1)*IF(Inputs!$B$39="pvp",15,MAX(0.1,Skills!D13-IF(Skills!E13=TRUE,Inputs!$B$32,0))))))/Skills!H13,1)))/Inputs!$B$44),G1457*Q1457))*IF(Inputs!$B$39="pvp",1,1+(Inputs!$B$20+((C1471=TRUE)*(F1471-Calc!F27))+Skills!P13+B1485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Hunt"),CHOOSE(ArtifactsInput!$N$35+1,15,18,21,24,27,30)*(1-EXP(-(0.2*B1480)*5)),0)+IF(AND(ArtifactsInput!$M$22,Inputs!$B$4&lt;&gt;"Chapter Hunt"),CHOOSE(ArtifactsInput!$N$22+1,10,12,14,16,18,20)*((0*(((0.15*B1480*5))^0/1)+1*(((0.15*B1480*5))^1/1)+2*(((0.15*B1480*5))^2/2)+3*(((0.15*B1480*5))^3/6)+4*(((0.15*B1480*5))^4/24)+5*(((0.15*B1480*5))^5/120))/((((0.15*B1480*5))^0/1)+(((0.15*B1480*5))^1/1)+(((0.15*B1480*5))^2/2)+(((0.15*B1480*5))^3/6)+(((0.15*B1480*5))^4/24)+(((0.15*B1480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1457*(1-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1457*(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1457*(1-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1457*(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57">
        <f>IF(C1457,(H1457*N1457*IF(AND(Inputs!$B$39&lt;&gt;"pvp",Inputs!$B$44&gt;0),((Skills!G13*((R1457-1)*IF(Skills!H13&gt;0,Skills!I13/Skills!H13,1)+IF(Skills!H13&gt;0,MIN(Skills!I13,MAX(0,MAX(0,Inputs!$B$44-B1489)-((R1457-1)*IF(Inputs!$B$39="pvp",15,MAX(0.1,Skills!D13-IF(Skills!E13=TRUE,Inputs!$B$32,0))))))/Skills!H13,1)))/Inputs!$B$44),G1457*Q1457))*IF(Inputs!$B$39="pvp",1,(1+(Inputs!$B$21+Skills!Q13+B1485+(IF(ArtifactsInput!$M$33,CHOOSE(ArtifactsInput!$N$33+1,30,36,42,48,54,60),0))+(IF(AND(ArtifactsInput!$M$35,Inputs!$B$4&lt;&gt;"Chapter Hunt"),CHOOSE(ArtifactsInput!$N$35+1,15,18,21,24,27,30)*(1-EXP(-(0.2*B1480)*5)),0)+IF(AND(ArtifactsInput!$M$22,Inputs!$B$4&lt;&gt;"Chapter Hunt"),CHOOSE(ArtifactsInput!$N$22+1,10,12,14,16,18,20)*((0*(((0.15*B1480*5))^0/1)+1*(((0.15*B1480*5))^1/1)+2*(((0.15*B1480*5))^2/2)+3*(((0.15*B1480*5))^3/6)+4*(((0.15*B1480*5))^4/24)+5*(((0.15*B1480*5))^5/120))/((((0.15*B1480*5))^0/1)+(((0.15*B1480*5))^1/1)+(((0.15*B1480*5))^2/2)+(((0.15*B1480*5))^3/6)+(((0.15*B1480*5))^4/24)+(((0.15*B1480*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58">
      <c r="A1458">
        <f>Skills!A14</f>
        <v/>
      </c>
      <c r="B1458">
        <f>Skills!B14</f>
        <v/>
      </c>
      <c r="C1458">
        <f>Inputs!$B$3&gt;=105</f>
        <v/>
      </c>
      <c r="D1458">
        <f>IF(Skills!C14=1,60+Inputs!$B$25+Inputs!$B$29,IF(Skills!C14=2,90+Inputs!$B$26+Inputs!$B$29,IF(Skills!C14=3,120+Inputs!$B$27+Inputs!$B$29,MAX(0,(Inputs!$B$3-100)*3)+Inputs!$B$28+Inputs!$B$29)))</f>
        <v/>
      </c>
      <c r="E1458">
        <f>INDEX(FactorTable!$B$2:$Y$301, MATCH(ROUND(MIN(300,MAX(1,D1458)),0), FactorTable!$A$2:$A$301,0), Skills!M14+1)</f>
        <v/>
      </c>
      <c r="F1458">
        <f>IF(Skills!N14=TRUE,(Skills!L14/10)*(E1458/1000),Skills!L14/10)+Skills!O14</f>
        <v/>
      </c>
      <c r="G1458">
        <f>Calc!G14</f>
        <v/>
      </c>
      <c r="H1458">
        <f>Calc!H14</f>
        <v/>
      </c>
      <c r="I1458">
        <f>IF(Skills!AA14&lt;&gt;"",1+(Skills!AA14/10)*(U1447/1000)/100,1)</f>
        <v/>
      </c>
      <c r="J1458">
        <f>((Inputs!$B$6*(1+Inputs!$B$7/100))+(((Inputs!$B$12*(1+Inputs!$B$13/100))-(Inputs!$B$12*(1+Inputs!$B$13/100)))+0.25*(Inputs!$B$14-Inputs!$B$14))*(1+Inputs!$B$7/100))*(F1458/100)</f>
        <v/>
      </c>
      <c r="K1458">
        <f>J1458*(1+((Inputs!$B$12*(1+Inputs!$B$13/100))*0.01+Inputs!$B$14*0.0025)/100)*(1+Inputs!$B$15/100)*(1+Inputs!$B$16/100)*(5000/(6000+Inputs!$B$43*(1-(100*(1-(1-(Inputs!$B$19+0)/100)*(1-CHOOSE(ArtifactsInput!$N$40+1,5,6,7,8,9,10)/100)^(ArtifactsInput!$M$40-ArtifactsInput!$M$40)))/100)))*(1+(Inputs!$B$24+((C1474=TRUE)*(F1474-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1467=TRUE)*(F1467-Calc!F23))+(((IF(AND(ArtifactsInput!$M$42,((Inputs!$B$9+((C1469=TRUE)*(F1469-Calc!F25))+B1484+(ArtifactsInput!$M$24-ArtifactsInput!$M$24)*CHOOSE(ArtifactsInput!$N$24+1,10,12,14,16,18,20)+IF(ArtifactsInput!$M$10,CHOOSE(ArtifactsInput!$N$10+1,15,18,21,24,27,30)*(IF(Inputs!$B$39="pvp",MIN(15,15)/15,IF(AND(Inputs!$B$39&lt;&gt;"pvp",Inputs!$B$44&gt;0),MIN(15,Inputs!$B$44)/(Inputs!$B$44),0))),0)))&gt;=100),MIN(100,((Inputs!$B$9+((C1469=TRUE)*(F1469-Calc!F25))+B1484+(ArtifactsInput!$M$24-ArtifactsInput!$M$24)*CHOOSE(ArtifactsInput!$N$24+1,10,12,14,16,18,20)+IF(ArtifactsInput!$M$10,CHOOSE(ArtifactsInput!$N$10+1,15,18,21,24,27,30)*(IF(Inputs!$B$39="pvp",MIN(15,15)/15,IF(AND(Inputs!$B$39&lt;&gt;"pvp",Inputs!$B$44&gt;0),MIN(15,Inputs!$B$44)/(Inputs!$B$44),0))),0)))-100),0))*CHOOSE(ArtifactsInput!$N$42+1,0.6,0.72,0.84,0.96,1.08,1.2))),Inputs!$B$18+((C1473=TRUE)*(F1473-Calc!F29))+(IF(AND(ArtifactsInput!$M$42,((Inputs!$B$9+((C1469=TRUE)*(F1469-Calc!F25))+B1484+(ArtifactsInput!$M$24-ArtifactsInput!$M$24)*CHOOSE(ArtifactsInput!$N$24+1,10,12,14,16,18,20)+IF(ArtifactsInput!$M$10,CHOOSE(ArtifactsInput!$N$10+1,15,18,21,24,27,30)*(IF(Inputs!$B$39="pvp",MIN(15,15)/15,IF(AND(Inputs!$B$39&lt;&gt;"pvp",Inputs!$B$44&gt;0),MIN(15,Inputs!$B$44)/(Inputs!$B$44),0))),0)))&gt;=100),CHOOSE(ArtifactsInput!$N$42+1,40,48,56,64,72,80),0))))/100)*(((1+(((C1465=TRUE)*F1465*IF(AND(Inputs!$B$39&lt;&gt;"pvp",Inputs!$B$44&gt;0),(((R1465-1)*(Skills!Y21*(1+Inputs!$B$34/100))+MIN((Skills!Y21*(1+Inputs!$B$34/100)),MAX(0,Inputs!$B$44-((R1465-1)*Skills!D21))))/Inputs!$B$44),IF(Inputs!$B$39="pvp",MIN((Skills!Y21*(1+Inputs!$B$34/100)),15)/15,(Skills!Y21*(1+Inputs!$B$34/100))/Skills!D21)))+((C1472=TRUE)*(F1472-Calc!F28))+((C1462=TRUE)*(F1462-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1459=TRUE)*F1459*IF(AND(Inputs!$B$39&lt;&gt;"pvp",Inputs!$B$44&gt;0),(((R1459-1)*(Skills!Y15*(1+Inputs!$B$34/100))+MIN((Skills!Y15*(1+Inputs!$B$34/100)),MAX(0,Inputs!$B$44-((R1459-1)*Skills!D15))))/Inputs!$B$44),IF(Inputs!$B$39="pvp",MIN((Skills!Y15*(1+Inputs!$B$34/100)),15)/15,(Skills!Y15*(1+Inputs!$B$34/100))/Skills!D15)))/100)*(1+((C1450=TRUE)*F1450*B1478)/100))*B1486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1458)</f>
        <v/>
      </c>
      <c r="L1458">
        <f>K1458*(MIN(Inputs!$B$22+((C1468=TRUE)*(F1468-Calc!F24)),(Inputs!$B$23+0+(IF(ArtifactsInput!$M$15,CHOOSE(ArtifactsInput!$N$15+1,25,30,35,40,45,50)/100*(Inputs!$B$11-Inputs!$B$11),0))))/100+(Inputs!$B$23+0+(IF(ArtifactsInput!$M$15,CHOOSE(ArtifactsInput!$N$15+1,25,30,35,40,45,50)/100*(Inputs!$B$11-Inputs!$B$11),0)))/100)/2</f>
        <v/>
      </c>
      <c r="M1458">
        <f>L1458*(1+(Inputs!$B$10+((C1470=TRUE)*(F1470-Calc!F26))+B1487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58">
        <f>L1458*(1-MIN((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1458*(MIN((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58">
        <f>(1-Summary!$B$11)*T1458+Summary!$B$11*V1458</f>
        <v/>
      </c>
      <c r="P1458">
        <f>IF(B1488=0,0,O1458/B1488)</f>
        <v/>
      </c>
      <c r="Q1458">
        <f>IFERROR(1/IF(Inputs!$B$39="pvp",15,MAX(0.1,Skills!D14-IF(Skills!E14=TRUE,Inputs!$B$32,0))),0)</f>
        <v/>
      </c>
      <c r="R1458">
        <f>IF(AND(Inputs!$B$39&lt;&gt;"pvp",Inputs!$B$44&gt;0),IF(MAX(0,Inputs!$B$44-B1489)&lt;=0,0,(INT(MAX(0,Inputs!$B$44-B1489)/IF(Inputs!$B$39="pvp",15,MAX(0.1,Skills!D14-IF(Skills!E14=TRUE,Inputs!$B$32,0))))+1)),0)</f>
        <v/>
      </c>
      <c r="S1458">
        <f>IFERROR(O1458/N1458,0)</f>
        <v/>
      </c>
      <c r="T1458">
        <f>IF(C1458,(H1458*N1458*IF(AND(Inputs!$B$39&lt;&gt;"pvp",Inputs!$B$44&gt;0),((Skills!G14*((R1458-1)*IF(Skills!H14&gt;0,Skills!I14/Skills!H14,1)+IF(Skills!H14&gt;0,MIN(Skills!I14,MAX(0,MAX(0,Inputs!$B$44-B1489)-((R1458-1)*IF(Inputs!$B$39="pvp",15,MAX(0.1,Skills!D14-IF(Skills!E14=TRUE,Inputs!$B$32,0))))))/Skills!H14,1)))/Inputs!$B$44),G1458*Q1458))*IF(Inputs!$B$39="pvp",1,1+(Inputs!$B$20+((C1471=TRUE)*(F1471-Calc!F27))+Skills!P14+B1485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Hunt"),CHOOSE(ArtifactsInput!$N$35+1,15,18,21,24,27,30)*(1-EXP(-(0.2*B1480)*5)),0)+IF(AND(ArtifactsInput!$M$22,Inputs!$B$4&lt;&gt;"Chapter Hunt"),CHOOSE(ArtifactsInput!$N$22+1,10,12,14,16,18,20)*((0*(((0.15*B1480*5))^0/1)+1*(((0.15*B1480*5))^1/1)+2*(((0.15*B1480*5))^2/2)+3*(((0.15*B1480*5))^3/6)+4*(((0.15*B1480*5))^4/24)+5*(((0.15*B1480*5))^5/120))/((((0.15*B1480*5))^0/1)+(((0.15*B1480*5))^1/1)+(((0.15*B1480*5))^2/2)+(((0.15*B1480*5))^3/6)+(((0.15*B1480*5))^4/24)+(((0.15*B1480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1458*(1-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1458*(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1458*(1-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1458*(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58">
        <f>IF(C1458,(H1458*N1458*IF(AND(Inputs!$B$39&lt;&gt;"pvp",Inputs!$B$44&gt;0),((Skills!G14*((R1458-1)*IF(Skills!H14&gt;0,Skills!I14/Skills!H14,1)+IF(Skills!H14&gt;0,MIN(Skills!I14,MAX(0,MAX(0,Inputs!$B$44-B1489)-((R1458-1)*IF(Inputs!$B$39="pvp",15,MAX(0.1,Skills!D14-IF(Skills!E14=TRUE,Inputs!$B$32,0))))))/Skills!H14,1)))/Inputs!$B$44),G1458*Q1458))*IF(Inputs!$B$39="pvp",1,(1+(Inputs!$B$21+Skills!Q14+B1485+(IF(ArtifactsInput!$M$33,CHOOSE(ArtifactsInput!$N$33+1,30,36,42,48,54,60),0))+(IF(AND(ArtifactsInput!$M$35,Inputs!$B$4&lt;&gt;"Chapter Hunt"),CHOOSE(ArtifactsInput!$N$35+1,15,18,21,24,27,30)*(1-EXP(-(0.2*B1480)*5)),0)+IF(AND(ArtifactsInput!$M$22,Inputs!$B$4&lt;&gt;"Chapter Hunt"),CHOOSE(ArtifactsInput!$N$22+1,10,12,14,16,18,20)*((0*(((0.15*B1480*5))^0/1)+1*(((0.15*B1480*5))^1/1)+2*(((0.15*B1480*5))^2/2)+3*(((0.15*B1480*5))^3/6)+4*(((0.15*B1480*5))^4/24)+5*(((0.15*B1480*5))^5/120))/((((0.15*B1480*5))^0/1)+(((0.15*B1480*5))^1/1)+(((0.15*B1480*5))^2/2)+(((0.15*B1480*5))^3/6)+(((0.15*B1480*5))^4/24)+(((0.15*B1480*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59">
      <c r="A1459">
        <f>Skills!A15</f>
        <v/>
      </c>
      <c r="B1459">
        <f>Skills!B15</f>
        <v/>
      </c>
      <c r="C1459">
        <f>Inputs!$B$3&gt;=110</f>
        <v/>
      </c>
      <c r="D1459">
        <f>IF(Skills!C15=1,60+Inputs!$B$25+Inputs!$B$29,IF(Skills!C15=2,90+Inputs!$B$26+Inputs!$B$29,IF(Skills!C15=3,120+Inputs!$B$27+Inputs!$B$29,MAX(0,(Inputs!$B$3-100)*3)+Inputs!$B$28+Inputs!$B$29)))</f>
        <v/>
      </c>
      <c r="E1459">
        <f>INDEX(FactorTable!$B$2:$Y$301, MATCH(ROUND(MIN(300,MAX(1,D1459)),0), FactorTable!$A$2:$A$301,0), Skills!M15+1)</f>
        <v/>
      </c>
      <c r="F1459">
        <f>IF(Skills!N15=TRUE,(Skills!L15/10)*(E1459/1000),Skills!L15/10)+Skills!O15</f>
        <v/>
      </c>
      <c r="G1459">
        <f>Calc!G15</f>
        <v/>
      </c>
      <c r="H1459">
        <f>Calc!H15</f>
        <v/>
      </c>
      <c r="I1459">
        <f>IF(Skills!AA15&lt;&gt;"",1+(Skills!AA15/10)*(U1447/1000)/100,1)</f>
        <v/>
      </c>
      <c r="J1459" t="inlineStr"/>
      <c r="K1459" t="inlineStr"/>
      <c r="L1459" t="inlineStr"/>
      <c r="M1459" t="inlineStr"/>
      <c r="N1459" t="inlineStr"/>
      <c r="O1459">
        <f>(1-Summary!$B$11)*T1459+Summary!$B$11*V1459</f>
        <v/>
      </c>
      <c r="P1459">
        <f>IF(B1488=0,0,O1459/B1488)</f>
        <v/>
      </c>
      <c r="Q1459">
        <f>IFERROR(1/IF(Inputs!$B$39="pvp",15,MAX(0.1,Skills!D15-IF(Skills!E15=TRUE,Inputs!$B$32,0))),0)</f>
        <v/>
      </c>
      <c r="R1459">
        <f>IF(AND(Inputs!$B$39&lt;&gt;"pvp",Inputs!$B$44&gt;0),IF(Inputs!$B$44&lt;=0,0,(INT(Inputs!$B$44/IF(Inputs!$B$39="pvp",15,MAX(0.1,Skills!D15-IF(Skills!E15=TRUE,Inputs!$B$32,0))))+1)),0)</f>
        <v/>
      </c>
      <c r="S1459">
        <f>IFERROR(O1459/N1459,0)</f>
        <v/>
      </c>
      <c r="T1459" t="n">
        <v>0</v>
      </c>
      <c r="V1459" t="n">
        <v>0</v>
      </c>
    </row>
    <row r="1460">
      <c r="A1460">
        <f>Skills!A16</f>
        <v/>
      </c>
      <c r="B1460">
        <f>Skills!B16</f>
        <v/>
      </c>
      <c r="C1460">
        <f>Inputs!$B$3&gt;=110</f>
        <v/>
      </c>
      <c r="D1460">
        <f>IF(Skills!C16=1,60+Inputs!$B$25+Inputs!$B$29,IF(Skills!C16=2,90+Inputs!$B$26+Inputs!$B$29,IF(Skills!C16=3,120+Inputs!$B$27+Inputs!$B$29,MAX(0,(Inputs!$B$3-100)*3)+Inputs!$B$28+Inputs!$B$29)))</f>
        <v/>
      </c>
      <c r="E1460">
        <f>INDEX(FactorTable!$B$2:$Y$301, MATCH(ROUND(MIN(300,MAX(1,D1460)),0), FactorTable!$A$2:$A$301,0), Skills!M16+1)</f>
        <v/>
      </c>
      <c r="F1460">
        <f>IF(Skills!N16=TRUE,(Skills!L16/10)*(E1460/1000),Skills!L16/10)+Skills!O16</f>
        <v/>
      </c>
      <c r="G1460">
        <f>Calc!G16</f>
        <v/>
      </c>
      <c r="H1460">
        <f>Calc!H16</f>
        <v/>
      </c>
      <c r="I1460">
        <f>IF(Skills!AA16&lt;&gt;"",1+(Skills!AA16/10)*(U1447/1000)/100,1)</f>
        <v/>
      </c>
      <c r="J1460" t="inlineStr"/>
      <c r="K1460" t="inlineStr"/>
      <c r="L1460" t="inlineStr"/>
      <c r="M1460" t="inlineStr"/>
      <c r="N1460" t="inlineStr"/>
      <c r="O1460">
        <f>(1-Summary!$B$11)*T1460+Summary!$B$11*V1460</f>
        <v/>
      </c>
      <c r="P1460">
        <f>IF(B1488=0,0,O1460/B1488)</f>
        <v/>
      </c>
      <c r="Q1460">
        <f>IFERROR(1/IF(Inputs!$B$39="pvp",15,MAX(0.1,Skills!D16-IF(Skills!E16=TRUE,Inputs!$B$32,0))),0)</f>
        <v/>
      </c>
      <c r="R1460">
        <f>IF(AND(Inputs!$B$39&lt;&gt;"pvp",Inputs!$B$44&gt;0),IF(Inputs!$B$44&lt;=0,0,(INT(Inputs!$B$44/IF(Inputs!$B$39="pvp",15,MAX(0.1,Skills!D16-IF(Skills!E16=TRUE,Inputs!$B$32,0))))+1)),0)</f>
        <v/>
      </c>
      <c r="S1460">
        <f>IFERROR(O1460/N1460,0)</f>
        <v/>
      </c>
      <c r="T1460" t="n">
        <v>0</v>
      </c>
      <c r="V1460" t="n">
        <v>0</v>
      </c>
    </row>
    <row r="1461">
      <c r="A1461">
        <f>Skills!A17</f>
        <v/>
      </c>
      <c r="B1461">
        <f>Skills!B17</f>
        <v/>
      </c>
      <c r="C1461">
        <f>Inputs!$B$3&gt;=115</f>
        <v/>
      </c>
      <c r="D1461">
        <f>IF(Skills!C17=1,60+Inputs!$B$25+Inputs!$B$29,IF(Skills!C17=2,90+Inputs!$B$26+Inputs!$B$29,IF(Skills!C17=3,120+Inputs!$B$27+Inputs!$B$29,MAX(0,(Inputs!$B$3-100)*3)+Inputs!$B$28+Inputs!$B$29)))</f>
        <v/>
      </c>
      <c r="E1461">
        <f>INDEX(FactorTable!$B$2:$Y$301, MATCH(ROUND(MIN(300,MAX(1,D1461)),0), FactorTable!$A$2:$A$301,0), Skills!M17+1)</f>
        <v/>
      </c>
      <c r="F1461">
        <f>IF(Skills!N17=TRUE,(Skills!L17/10)*(E1461/1000),Skills!L17/10)+Skills!O17</f>
        <v/>
      </c>
      <c r="G1461">
        <f>Calc!G17</f>
        <v/>
      </c>
      <c r="H1461">
        <f>Calc!H17</f>
        <v/>
      </c>
      <c r="I1461">
        <f>IF(Skills!AA17&lt;&gt;"",1+(Skills!AA17/10)*(U1447/1000)/100,1)</f>
        <v/>
      </c>
      <c r="J1461">
        <f>((Inputs!$B$6*(1+Inputs!$B$7/100))+(((Inputs!$B$12*(1+Inputs!$B$13/100))-(Inputs!$B$12*(1+Inputs!$B$13/100)))+0.25*(Inputs!$B$14-Inputs!$B$14))*(1+Inputs!$B$7/100))*(F1461/100)</f>
        <v/>
      </c>
      <c r="K1461">
        <f>J1461*(1+((Inputs!$B$12*(1+Inputs!$B$13/100))*0.01+Inputs!$B$14*0.0025)/100)*(1+Inputs!$B$15/100)*(1+Inputs!$B$16/100)*(5000/(6000+Inputs!$B$43*(1-(100*(1-(1-(Inputs!$B$19+0)/100)*(1-CHOOSE(ArtifactsInput!$N$40+1,5,6,7,8,9,10)/100)^(ArtifactsInput!$M$40-ArtifactsInput!$M$40)))/100)))*(1+(Inputs!$B$24+((C1474=TRUE)*(F1474-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1467=TRUE)*(F1467-Calc!F23))+(((IF(AND(ArtifactsInput!$M$42,((Inputs!$B$9+((C1469=TRUE)*(F1469-Calc!F25))+B1484+(ArtifactsInput!$M$24-ArtifactsInput!$M$24)*CHOOSE(ArtifactsInput!$N$24+1,10,12,14,16,18,20)+IF(ArtifactsInput!$M$10,CHOOSE(ArtifactsInput!$N$10+1,15,18,21,24,27,30)*(IF(Inputs!$B$39="pvp",MIN(15,15)/15,IF(AND(Inputs!$B$39&lt;&gt;"pvp",Inputs!$B$44&gt;0),MIN(15,Inputs!$B$44)/(Inputs!$B$44),0))),0)))&gt;=100),MIN(100,((Inputs!$B$9+((C1469=TRUE)*(F1469-Calc!F25))+B1484+(ArtifactsInput!$M$24-ArtifactsInput!$M$24)*CHOOSE(ArtifactsInput!$N$24+1,10,12,14,16,18,20)+IF(ArtifactsInput!$M$10,CHOOSE(ArtifactsInput!$N$10+1,15,18,21,24,27,30)*(IF(Inputs!$B$39="pvp",MIN(15,15)/15,IF(AND(Inputs!$B$39&lt;&gt;"pvp",Inputs!$B$44&gt;0),MIN(15,Inputs!$B$44)/(Inputs!$B$44),0))),0)))-100),0))*CHOOSE(ArtifactsInput!$N$42+1,0.6,0.72,0.84,0.96,1.08,1.2))),Inputs!$B$18+((C1473=TRUE)*(F1473-Calc!F29))+(IF(AND(ArtifactsInput!$M$42,((Inputs!$B$9+((C1469=TRUE)*(F1469-Calc!F25))+B1484+(ArtifactsInput!$M$24-ArtifactsInput!$M$24)*CHOOSE(ArtifactsInput!$N$24+1,10,12,14,16,18,20)+IF(ArtifactsInput!$M$10,CHOOSE(ArtifactsInput!$N$10+1,15,18,21,24,27,30)*(IF(Inputs!$B$39="pvp",MIN(15,15)/15,IF(AND(Inputs!$B$39&lt;&gt;"pvp",Inputs!$B$44&gt;0),MIN(15,Inputs!$B$44)/(Inputs!$B$44),0))),0)))&gt;=100),CHOOSE(ArtifactsInput!$N$42+1,40,48,56,64,72,80),0))))/100)*(((1+(((C1465=TRUE)*F1465*IF(AND(Inputs!$B$39&lt;&gt;"pvp",Inputs!$B$44&gt;0),(((R1465-1)*(Skills!Y21*(1+Inputs!$B$34/100))+MIN((Skills!Y21*(1+Inputs!$B$34/100)),MAX(0,Inputs!$B$44-((R1465-1)*Skills!D21))))/Inputs!$B$44),IF(Inputs!$B$39="pvp",MIN((Skills!Y21*(1+Inputs!$B$34/100)),15)/15,(Skills!Y21*(1+Inputs!$B$34/100))/Skills!D21)))+((C1472=TRUE)*(F1472-Calc!F28))+((C1462=TRUE)*(F1462-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1459=TRUE)*F1459*IF(AND(Inputs!$B$39&lt;&gt;"pvp",Inputs!$B$44&gt;0),(((R1459-1)*(Skills!Y15*(1+Inputs!$B$34/100))+MIN((Skills!Y15*(1+Inputs!$B$34/100)),MAX(0,Inputs!$B$44-((R1459-1)*Skills!D15))))/Inputs!$B$44),IF(Inputs!$B$39="pvp",MIN((Skills!Y15*(1+Inputs!$B$34/100)),15)/15,(Skills!Y15*(1+Inputs!$B$34/100))/Skills!D15)))/100)*(1+((C1450=TRUE)*F1450*B1478)/100))*B1486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1461)</f>
        <v/>
      </c>
      <c r="L1461">
        <f>K1461*(MIN(Inputs!$B$22+((C1468=TRUE)*(F1468-Calc!F24)),(Inputs!$B$23+0+(IF(ArtifactsInput!$M$15,CHOOSE(ArtifactsInput!$N$15+1,25,30,35,40,45,50)/100*(Inputs!$B$11-Inputs!$B$11),0))))/100+(Inputs!$B$23+0+(IF(ArtifactsInput!$M$15,CHOOSE(ArtifactsInput!$N$15+1,25,30,35,40,45,50)/100*(Inputs!$B$11-Inputs!$B$11),0)))/100)/2</f>
        <v/>
      </c>
      <c r="M1461">
        <f>L1461*(1+(Inputs!$B$10+((C1470=TRUE)*(F1470-Calc!F26))+B1487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61">
        <f>L1461*(1-MIN((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1461*(MIN((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61">
        <f>(1-Summary!$B$11)*T1461+Summary!$B$11*V1461</f>
        <v/>
      </c>
      <c r="P1461">
        <f>IF(B1488=0,0,O1461/B1488)</f>
        <v/>
      </c>
      <c r="Q1461" t="n">
        <v>0</v>
      </c>
      <c r="R1461" t="n">
        <v>0</v>
      </c>
      <c r="S1461">
        <f>IFERROR(O1461/N1461,0)</f>
        <v/>
      </c>
      <c r="T1461">
        <f>IF(C1461,(Inputs!$B$38*0.2*N1461)*IF(Inputs!$B$39="pvp",1,1+(Inputs!$B$20+((C1471=TRUE)*(F1471-Calc!F27))+Skills!P17+B1485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Hunt"),CHOOSE(ArtifactsInput!$N$35+1,15,18,21,24,27,30)*(1-EXP(-(0.2*B1480)*5)),0)+IF(AND(ArtifactsInput!$M$22,Inputs!$B$4&lt;&gt;"Chapter Hunt"),CHOOSE(ArtifactsInput!$N$22+1,10,12,14,16,18,20)*((0*(((0.15*B1480*5))^0/1)+1*(((0.15*B1480*5))^1/1)+2*(((0.15*B1480*5))^2/2)+3*(((0.15*B1480*5))^3/6)+4*(((0.15*B1480*5))^4/24)+5*(((0.15*B1480*5))^5/120))/((((0.15*B1480*5))^0/1)+(((0.15*B1480*5))^1/1)+(((0.15*B1480*5))^2/2)+(((0.15*B1480*5))^3/6)+(((0.15*B1480*5))^4/24)+(((0.15*B1480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1461*(1-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1461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1461*(1-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1461*(MIN(100,(Inputs!$B$9+((C1469=TRUE)*(F1469-Calc!F25))+B1484+(ArtifactsInput!$M$24-ArtifactsInput!$M$24)*CHOOSE(ArtifactsInput!$N$24+1,10,12,14,16,18,20)+(IF(AND(ArtifactsInput!$M$42,((Inputs!$B$9+((C1469=TRUE)*(F1469-Calc!F25))+B1484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61">
        <f>IF(C1461,(Inputs!$B$38*0.2*N1461)*IF(Inputs!$B$39="pvp",1,(1+(Inputs!$B$21+Skills!Q17+B1485+(IF(ArtifactsInput!$M$33,CHOOSE(ArtifactsInput!$N$33+1,30,36,42,48,54,60),0))+(IF(AND(ArtifactsInput!$M$35,Inputs!$B$4&lt;&gt;"Chapter Hunt"),CHOOSE(ArtifactsInput!$N$35+1,15,18,21,24,27,30)*(1-EXP(-(0.2*B1480)*5)),0)+IF(AND(ArtifactsInput!$M$22,Inputs!$B$4&lt;&gt;"Chapter Hunt"),CHOOSE(ArtifactsInput!$N$22+1,10,12,14,16,18,20)*((0*(((0.15*B1480*5))^0/1)+1*(((0.15*B1480*5))^1/1)+2*(((0.15*B1480*5))^2/2)+3*(((0.15*B1480*5))^3/6)+4*(((0.15*B1480*5))^4/24)+5*(((0.15*B1480*5))^5/120))/((((0.15*B1480*5))^0/1)+(((0.15*B1480*5))^1/1)+(((0.15*B1480*5))^2/2)+(((0.15*B1480*5))^3/6)+(((0.15*B1480*5))^4/24)+(((0.15*B1480*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62">
      <c r="A1462">
        <f>Skills!A18</f>
        <v/>
      </c>
      <c r="B1462">
        <f>Skills!B18</f>
        <v/>
      </c>
      <c r="C1462">
        <f>Inputs!$B$3&gt;=115</f>
        <v/>
      </c>
      <c r="D1462">
        <f>IF(Skills!C18=1,60+Inputs!$B$25+Inputs!$B$29,IF(Skills!C18=2,90+Inputs!$B$26+Inputs!$B$29,IF(Skills!C18=3,120+Inputs!$B$27+Inputs!$B$29,MAX(0,(Inputs!$B$3-100)*3)+Inputs!$B$28+Inputs!$B$29)))</f>
        <v/>
      </c>
      <c r="E1462">
        <f>INDEX(FactorTable!$B$2:$Y$301, MATCH(ROUND(MIN(300,MAX(1,D1462)),0), FactorTable!$A$2:$A$301,0), Skills!M18+1)</f>
        <v/>
      </c>
      <c r="F1462">
        <f>IF(Skills!N18=TRUE,(Skills!L18/10)*(E1462/1000),Skills!L18/10)+Skills!O18</f>
        <v/>
      </c>
      <c r="G1462">
        <f>Calc!G18</f>
        <v/>
      </c>
      <c r="H1462">
        <f>Calc!H18</f>
        <v/>
      </c>
      <c r="I1462">
        <f>IF(Skills!AA18&lt;&gt;"",1+(Skills!AA18/10)*(U1447/1000)/100,1)</f>
        <v/>
      </c>
      <c r="J1462" t="inlineStr"/>
      <c r="K1462" t="inlineStr"/>
      <c r="L1462" t="inlineStr"/>
      <c r="M1462" t="inlineStr"/>
      <c r="N1462" t="inlineStr"/>
      <c r="O1462">
        <f>(1-Summary!$B$11)*T1462+Summary!$B$11*V1462</f>
        <v/>
      </c>
      <c r="P1462">
        <f>IF(B1488=0,0,O1462/B1488)</f>
        <v/>
      </c>
      <c r="Q1462" t="n">
        <v>0</v>
      </c>
      <c r="R1462" t="n">
        <v>0</v>
      </c>
      <c r="S1462">
        <f>IFERROR(O1462/N1462,0)</f>
        <v/>
      </c>
      <c r="T1462" t="n">
        <v>0</v>
      </c>
      <c r="V1462" t="n">
        <v>0</v>
      </c>
    </row>
    <row r="1463">
      <c r="A1463">
        <f>Skills!A19</f>
        <v/>
      </c>
      <c r="B1463">
        <f>Skills!B19</f>
        <v/>
      </c>
      <c r="C1463">
        <f>TRUE</f>
        <v/>
      </c>
      <c r="D1463">
        <f>IF(Skills!C19=1,60+Inputs!$B$25+Inputs!$B$29,IF(Skills!C19=2,90+Inputs!$B$26+Inputs!$B$29,IF(Skills!C19=3,120+Inputs!$B$27+Inputs!$B$29,MAX(0,(Inputs!$B$3-100)*3)+Inputs!$B$28+Inputs!$B$29)))</f>
        <v/>
      </c>
      <c r="E1463">
        <f>INDEX(FactorTable!$B$2:$Y$301, MATCH(ROUND(MIN(300,MAX(1,D1463)),0), FactorTable!$A$2:$A$301,0), Skills!M19+1)</f>
        <v/>
      </c>
      <c r="F1463">
        <f>IF(Skills!N19=TRUE,(Skills!L19/10)*(E1463/1000),Skills!L19/10)+Skills!O19</f>
        <v/>
      </c>
      <c r="G1463">
        <f>Calc!G19</f>
        <v/>
      </c>
      <c r="H1463">
        <f>Calc!H19</f>
        <v/>
      </c>
      <c r="I1463">
        <f>IF(Skills!AA19&lt;&gt;"",1+(Skills!AA19/10)*(U1447/1000)/100,1)</f>
        <v/>
      </c>
      <c r="J1463" t="inlineStr"/>
      <c r="K1463" t="inlineStr"/>
      <c r="L1463" t="inlineStr"/>
      <c r="M1463" t="inlineStr"/>
      <c r="N1463" t="inlineStr"/>
      <c r="O1463">
        <f>(1-Summary!$B$11)*T1463+Summary!$B$11*V1463</f>
        <v/>
      </c>
      <c r="P1463">
        <f>IF(B1488=0,0,O1463/B1488)</f>
        <v/>
      </c>
      <c r="Q1463">
        <f>IFERROR(1/IF(Inputs!$B$39="pvp",15,MAX(0.1,Skills!D19-IF(Skills!E19=TRUE,Inputs!$B$32,0))),0)</f>
        <v/>
      </c>
      <c r="R1463">
        <f>IF(AND(Inputs!$B$39&lt;&gt;"pvp",Inputs!$B$44&gt;0),IF(Inputs!$B$44&lt;=0,0,(INT(Inputs!$B$44/IF(Inputs!$B$39="pvp",15,MAX(0.1,Skills!D19-IF(Skills!E19=TRUE,Inputs!$B$32,0))))+1)),0)</f>
        <v/>
      </c>
      <c r="S1463">
        <f>IFERROR(O1463/N1463,0)</f>
        <v/>
      </c>
      <c r="T1463" t="n">
        <v>0</v>
      </c>
      <c r="V1463" t="n">
        <v>0</v>
      </c>
    </row>
    <row r="1464">
      <c r="A1464">
        <f>Skills!A20</f>
        <v/>
      </c>
      <c r="B1464">
        <f>Skills!B20</f>
        <v/>
      </c>
      <c r="C1464">
        <f>Inputs!$B$3&gt;=15</f>
        <v/>
      </c>
      <c r="D1464">
        <f>IF(Skills!C20=1,60+Inputs!$B$25+Inputs!$B$29,IF(Skills!C20=2,90+Inputs!$B$26+Inputs!$B$29,IF(Skills!C20=3,120+Inputs!$B$27+Inputs!$B$29,MAX(0,(Inputs!$B$3-100)*3)+Inputs!$B$28+Inputs!$B$29)))</f>
        <v/>
      </c>
      <c r="E1464">
        <f>INDEX(FactorTable!$B$2:$Y$301, MATCH(ROUND(MIN(300,MAX(1,D1464)),0), FactorTable!$A$2:$A$301,0), Skills!M20+1)</f>
        <v/>
      </c>
      <c r="F1464">
        <f>IF(Skills!N20=TRUE,(Skills!L20/10)*(E1464/1000),Skills!L20/10)+Skills!O20</f>
        <v/>
      </c>
      <c r="G1464">
        <f>Calc!G20</f>
        <v/>
      </c>
      <c r="H1464">
        <f>Calc!H20</f>
        <v/>
      </c>
      <c r="I1464">
        <f>IF(Skills!AA20&lt;&gt;"",1+(Skills!AA20/10)*(U1447/1000)/100,1)</f>
        <v/>
      </c>
      <c r="J1464" t="inlineStr"/>
      <c r="K1464" t="inlineStr"/>
      <c r="L1464" t="inlineStr"/>
      <c r="M1464" t="inlineStr"/>
      <c r="N1464" t="inlineStr"/>
      <c r="O1464">
        <f>(1-Summary!$B$11)*T1464+Summary!$B$11*V1464</f>
        <v/>
      </c>
      <c r="P1464">
        <f>IF(B1488=0,0,O1464/B1488)</f>
        <v/>
      </c>
      <c r="Q1464">
        <f>IFERROR(1/IF(Inputs!$B$39="pvp",15,MAX(0.1,Skills!D20-IF(Skills!E20=TRUE,Inputs!$B$32,0))),0)</f>
        <v/>
      </c>
      <c r="R1464">
        <f>IF(AND(Inputs!$B$39&lt;&gt;"pvp",Inputs!$B$44&gt;0),IF(Inputs!$B$44&lt;=0,0,(INT(Inputs!$B$44/IF(Inputs!$B$39="pvp",15,MAX(0.1,Skills!D20-IF(Skills!E20=TRUE,Inputs!$B$32,0))))+1)),0)</f>
        <v/>
      </c>
      <c r="S1464">
        <f>IFERROR(O1464/N1464,0)</f>
        <v/>
      </c>
      <c r="T1464" t="n">
        <v>0</v>
      </c>
      <c r="V1464" t="n">
        <v>0</v>
      </c>
    </row>
    <row r="1465">
      <c r="A1465">
        <f>Skills!A21</f>
        <v/>
      </c>
      <c r="B1465">
        <f>Skills!B21</f>
        <v/>
      </c>
      <c r="C1465">
        <f>Inputs!$B$3&gt;=15</f>
        <v/>
      </c>
      <c r="D1465">
        <f>IF(Skills!C21=1,60+Inputs!$B$25+Inputs!$B$29,IF(Skills!C21=2,90+Inputs!$B$26+Inputs!$B$29,IF(Skills!C21=3,120+Inputs!$B$27+Inputs!$B$29,MAX(0,(Inputs!$B$3-100)*3)+Inputs!$B$28+Inputs!$B$29)))</f>
        <v/>
      </c>
      <c r="E1465">
        <f>INDEX(FactorTable!$B$2:$Y$301, MATCH(ROUND(MIN(300,MAX(1,D1465)),0), FactorTable!$A$2:$A$301,0), Skills!M21+1)</f>
        <v/>
      </c>
      <c r="F1465">
        <f>IF(Skills!N21=TRUE,(Skills!L21/10)*(E1465/1000),Skills!L21/10)+Skills!O21</f>
        <v/>
      </c>
      <c r="G1465">
        <f>Calc!G21</f>
        <v/>
      </c>
      <c r="H1465">
        <f>Calc!H21</f>
        <v/>
      </c>
      <c r="I1465">
        <f>IF(Skills!AA21&lt;&gt;"",1+(Skills!AA21/10)*(U1447/1000)/100,1)</f>
        <v/>
      </c>
      <c r="J1465" t="inlineStr"/>
      <c r="K1465" t="inlineStr"/>
      <c r="L1465" t="inlineStr"/>
      <c r="M1465" t="inlineStr"/>
      <c r="N1465" t="inlineStr"/>
      <c r="O1465">
        <f>(1-Summary!$B$11)*T1465+Summary!$B$11*V1465</f>
        <v/>
      </c>
      <c r="P1465">
        <f>IF(B1488=0,0,O1465/B1488)</f>
        <v/>
      </c>
      <c r="Q1465">
        <f>IFERROR(1/IF(Inputs!$B$39="pvp",15,MAX(0.1,Skills!D21-IF(Skills!E21=TRUE,Inputs!$B$32,0))),0)</f>
        <v/>
      </c>
      <c r="R1465">
        <f>IF(AND(Inputs!$B$39&lt;&gt;"pvp",Inputs!$B$44&gt;0),IF(Inputs!$B$44&lt;=0,0,(INT(Inputs!$B$44/IF(Inputs!$B$39="pvp",15,MAX(0.1,Skills!D21-IF(Skills!E21=TRUE,Inputs!$B$32,0))))+1)),0)</f>
        <v/>
      </c>
      <c r="S1465">
        <f>IFERROR(O1465/N1465,0)</f>
        <v/>
      </c>
      <c r="T1465" t="n">
        <v>0</v>
      </c>
      <c r="V1465" t="n">
        <v>0</v>
      </c>
    </row>
    <row r="1466">
      <c r="A1466">
        <f>Skills!A22</f>
        <v/>
      </c>
      <c r="B1466">
        <f>Skills!B22</f>
        <v/>
      </c>
      <c r="C1466">
        <f>Inputs!$B$3&gt;=33</f>
        <v/>
      </c>
      <c r="D1466">
        <f>IF(Skills!C22=1,60+Inputs!$B$25+Inputs!$B$29,IF(Skills!C22=2,90+Inputs!$B$26+Inputs!$B$29,IF(Skills!C22=3,120+Inputs!$B$27+Inputs!$B$29,MAX(0,(Inputs!$B$3-100)*3)+Inputs!$B$28+Inputs!$B$29)))</f>
        <v/>
      </c>
      <c r="E1466">
        <f>INDEX(FactorTable!$B$2:$Y$301, MATCH(ROUND(MIN(300,MAX(1,D1466)),0), FactorTable!$A$2:$A$301,0), Skills!M22+1)</f>
        <v/>
      </c>
      <c r="F1466">
        <f>IF(Skills!N22=TRUE,(Skills!L22/10)*(E1466/1000),Skills!L22/10)+Skills!O22</f>
        <v/>
      </c>
      <c r="G1466">
        <f>Calc!G22</f>
        <v/>
      </c>
      <c r="H1466">
        <f>Calc!H22</f>
        <v/>
      </c>
      <c r="I1466">
        <f>IF(Skills!AA22&lt;&gt;"",1+(Skills!AA22/10)*(U1447/1000)/100,1)</f>
        <v/>
      </c>
      <c r="J1466" t="inlineStr"/>
      <c r="K1466" t="inlineStr"/>
      <c r="L1466" t="inlineStr"/>
      <c r="M1466" t="inlineStr"/>
      <c r="N1466" t="inlineStr"/>
      <c r="O1466">
        <f>(1-Summary!$B$11)*T1466+Summary!$B$11*V1466</f>
        <v/>
      </c>
      <c r="P1466">
        <f>IF(B1488=0,0,O1466/B1488)</f>
        <v/>
      </c>
      <c r="Q1466" t="n">
        <v>0</v>
      </c>
      <c r="R1466" t="n">
        <v>0</v>
      </c>
      <c r="S1466">
        <f>IFERROR(O1466/N1466,0)</f>
        <v/>
      </c>
      <c r="T1466" t="n">
        <v>0</v>
      </c>
      <c r="V1466" t="n">
        <v>0</v>
      </c>
    </row>
    <row r="1467">
      <c r="A1467">
        <f>Skills!A23</f>
        <v/>
      </c>
      <c r="B1467">
        <f>Skills!B23</f>
        <v/>
      </c>
      <c r="C1467">
        <f>Inputs!$B$3&gt;=38</f>
        <v/>
      </c>
      <c r="D1467">
        <f>IF(Skills!C23=1,60+Inputs!$B$25+Inputs!$B$29,IF(Skills!C23=2,90+Inputs!$B$26+Inputs!$B$29,IF(Skills!C23=3,120+Inputs!$B$27+Inputs!$B$29,MAX(0,(Inputs!$B$3-100)*3)+Inputs!$B$28+Inputs!$B$29)))</f>
        <v/>
      </c>
      <c r="E1467">
        <f>INDEX(FactorTable!$B$2:$Y$301, MATCH(ROUND(MIN(300,MAX(1,D1467)),0), FactorTable!$A$2:$A$301,0), Skills!M23+1)</f>
        <v/>
      </c>
      <c r="F1467">
        <f>IF(Skills!N23=TRUE,(Skills!L23/10)*(E1467/1000),Skills!L23/10)+Skills!O23</f>
        <v/>
      </c>
      <c r="G1467">
        <f>Calc!G23</f>
        <v/>
      </c>
      <c r="H1467">
        <f>Calc!H23</f>
        <v/>
      </c>
      <c r="I1467">
        <f>IF(Skills!AA23&lt;&gt;"",1+(Skills!AA23/10)*(U1447/1000)/100,1)</f>
        <v/>
      </c>
      <c r="J1467" t="inlineStr"/>
      <c r="K1467" t="inlineStr"/>
      <c r="L1467" t="inlineStr"/>
      <c r="M1467" t="inlineStr"/>
      <c r="N1467" t="inlineStr"/>
      <c r="O1467">
        <f>(1-Summary!$B$11)*T1467+Summary!$B$11*V1467</f>
        <v/>
      </c>
      <c r="P1467">
        <f>IF(B1488=0,0,O1467/B1488)</f>
        <v/>
      </c>
      <c r="Q1467" t="n">
        <v>0</v>
      </c>
      <c r="R1467" t="n">
        <v>0</v>
      </c>
      <c r="S1467">
        <f>IFERROR(O1467/N1467,0)</f>
        <v/>
      </c>
      <c r="T1467" t="n">
        <v>0</v>
      </c>
      <c r="V1467" t="n">
        <v>0</v>
      </c>
    </row>
    <row r="1468">
      <c r="A1468">
        <f>Skills!A24</f>
        <v/>
      </c>
      <c r="B1468">
        <f>Skills!B24</f>
        <v/>
      </c>
      <c r="C1468">
        <f>Inputs!$B$3&gt;=40</f>
        <v/>
      </c>
      <c r="D1468">
        <f>IF(Skills!C24=1,60+Inputs!$B$25+Inputs!$B$29,IF(Skills!C24=2,90+Inputs!$B$26+Inputs!$B$29,IF(Skills!C24=3,120+Inputs!$B$27+Inputs!$B$29,MAX(0,(Inputs!$B$3-100)*3)+Inputs!$B$28+Inputs!$B$29)))</f>
        <v/>
      </c>
      <c r="E1468">
        <f>INDEX(FactorTable!$B$2:$Y$301, MATCH(ROUND(MIN(300,MAX(1,D1468)),0), FactorTable!$A$2:$A$301,0), Skills!M24+1)</f>
        <v/>
      </c>
      <c r="F1468">
        <f>IF(Skills!N24=TRUE,(Skills!L24/10)*(E1468/1000),Skills!L24/10)+Skills!O24</f>
        <v/>
      </c>
      <c r="G1468">
        <f>Calc!G24</f>
        <v/>
      </c>
      <c r="H1468">
        <f>Calc!H24</f>
        <v/>
      </c>
      <c r="I1468">
        <f>IF(Skills!AA24&lt;&gt;"",1+(Skills!AA24/10)*(U1447/1000)/100,1)</f>
        <v/>
      </c>
      <c r="J1468" t="inlineStr"/>
      <c r="K1468" t="inlineStr"/>
      <c r="L1468" t="inlineStr"/>
      <c r="M1468" t="inlineStr"/>
      <c r="N1468" t="inlineStr"/>
      <c r="O1468">
        <f>(1-Summary!$B$11)*T1468+Summary!$B$11*V1468</f>
        <v/>
      </c>
      <c r="P1468">
        <f>IF(B1488=0,0,O1468/B1488)</f>
        <v/>
      </c>
      <c r="Q1468" t="n">
        <v>0</v>
      </c>
      <c r="R1468" t="n">
        <v>0</v>
      </c>
      <c r="S1468">
        <f>IFERROR(O1468/N1468,0)</f>
        <v/>
      </c>
      <c r="T1468" t="n">
        <v>0</v>
      </c>
      <c r="V1468" t="n">
        <v>0</v>
      </c>
    </row>
    <row r="1469">
      <c r="A1469">
        <f>Skills!A25</f>
        <v/>
      </c>
      <c r="B1469">
        <f>Skills!B25</f>
        <v/>
      </c>
      <c r="C1469">
        <f>Inputs!$B$3&gt;=45</f>
        <v/>
      </c>
      <c r="D1469">
        <f>IF(Skills!C25=1,60+Inputs!$B$25+Inputs!$B$29,IF(Skills!C25=2,90+Inputs!$B$26+Inputs!$B$29,IF(Skills!C25=3,120+Inputs!$B$27+Inputs!$B$29,MAX(0,(Inputs!$B$3-100)*3)+Inputs!$B$28+Inputs!$B$29)))</f>
        <v/>
      </c>
      <c r="E1469">
        <f>INDEX(FactorTable!$B$2:$Y$301, MATCH(ROUND(MIN(300,MAX(1,D1469)),0), FactorTable!$A$2:$A$301,0), Skills!M25+1)</f>
        <v/>
      </c>
      <c r="F1469">
        <f>IF(Skills!N25=TRUE,(Skills!L25/10)*(E1469/1000),Skills!L25/10)+Skills!O25</f>
        <v/>
      </c>
      <c r="G1469">
        <f>Calc!G25</f>
        <v/>
      </c>
      <c r="H1469">
        <f>Calc!H25</f>
        <v/>
      </c>
      <c r="I1469">
        <f>IF(Skills!AA25&lt;&gt;"",1+(Skills!AA25/10)*(U1447/1000)/100,1)</f>
        <v/>
      </c>
      <c r="J1469" t="inlineStr"/>
      <c r="K1469" t="inlineStr"/>
      <c r="L1469" t="inlineStr"/>
      <c r="M1469" t="inlineStr"/>
      <c r="N1469" t="inlineStr"/>
      <c r="O1469">
        <f>(1-Summary!$B$11)*T1469+Summary!$B$11*V1469</f>
        <v/>
      </c>
      <c r="P1469">
        <f>IF(B1488=0,0,O1469/B1488)</f>
        <v/>
      </c>
      <c r="Q1469" t="n">
        <v>0</v>
      </c>
      <c r="R1469" t="n">
        <v>0</v>
      </c>
      <c r="S1469">
        <f>IFERROR(O1469/N1469,0)</f>
        <v/>
      </c>
      <c r="T1469" t="n">
        <v>0</v>
      </c>
      <c r="V1469" t="n">
        <v>0</v>
      </c>
    </row>
    <row r="1470">
      <c r="A1470">
        <f>Skills!A26</f>
        <v/>
      </c>
      <c r="B1470">
        <f>Skills!B26</f>
        <v/>
      </c>
      <c r="C1470">
        <f>Inputs!$B$3&gt;=45</f>
        <v/>
      </c>
      <c r="D1470">
        <f>IF(Skills!C26=1,60+Inputs!$B$25+Inputs!$B$29,IF(Skills!C26=2,90+Inputs!$B$26+Inputs!$B$29,IF(Skills!C26=3,120+Inputs!$B$27+Inputs!$B$29,MAX(0,(Inputs!$B$3-100)*3)+Inputs!$B$28+Inputs!$B$29)))</f>
        <v/>
      </c>
      <c r="E1470">
        <f>INDEX(FactorTable!$B$2:$Y$301, MATCH(ROUND(MIN(300,MAX(1,D1470)),0), FactorTable!$A$2:$A$301,0), Skills!M26+1)</f>
        <v/>
      </c>
      <c r="F1470">
        <f>IF(Skills!N26=TRUE,(Skills!L26/10)*(E1470/1000),Skills!L26/10)+Skills!O26</f>
        <v/>
      </c>
      <c r="G1470">
        <f>Calc!G26</f>
        <v/>
      </c>
      <c r="H1470">
        <f>Calc!H26</f>
        <v/>
      </c>
      <c r="I1470">
        <f>IF(Skills!AA26&lt;&gt;"",1+(Skills!AA26/10)*(U1447/1000)/100,1)</f>
        <v/>
      </c>
      <c r="J1470" t="inlineStr"/>
      <c r="K1470" t="inlineStr"/>
      <c r="L1470" t="inlineStr"/>
      <c r="M1470" t="inlineStr"/>
      <c r="N1470" t="inlineStr"/>
      <c r="O1470">
        <f>(1-Summary!$B$11)*T1470+Summary!$B$11*V1470</f>
        <v/>
      </c>
      <c r="P1470">
        <f>IF(B1488=0,0,O1470/B1488)</f>
        <v/>
      </c>
      <c r="Q1470" t="n">
        <v>0</v>
      </c>
      <c r="R1470" t="n">
        <v>0</v>
      </c>
      <c r="S1470">
        <f>IFERROR(O1470/N1470,0)</f>
        <v/>
      </c>
      <c r="T1470" t="n">
        <v>0</v>
      </c>
      <c r="V1470" t="n">
        <v>0</v>
      </c>
    </row>
    <row r="1471">
      <c r="A1471">
        <f>Skills!A27</f>
        <v/>
      </c>
      <c r="B1471">
        <f>Skills!B27</f>
        <v/>
      </c>
      <c r="C1471">
        <f>Inputs!$B$3&gt;=72</f>
        <v/>
      </c>
      <c r="D1471">
        <f>IF(Skills!C27=1,60+Inputs!$B$25+Inputs!$B$29,IF(Skills!C27=2,90+Inputs!$B$26+Inputs!$B$29,IF(Skills!C27=3,120+Inputs!$B$27+Inputs!$B$29,MAX(0,(Inputs!$B$3-100)*3)+Inputs!$B$28+Inputs!$B$29)))</f>
        <v/>
      </c>
      <c r="E1471">
        <f>INDEX(FactorTable!$B$2:$Y$301, MATCH(ROUND(MIN(300,MAX(1,D1471)),0), FactorTable!$A$2:$A$301,0), Skills!M27+1)</f>
        <v/>
      </c>
      <c r="F1471">
        <f>IF(Skills!N27=TRUE,(Skills!L27/10)*(E1471/1000),Skills!L27/10)+Skills!O27</f>
        <v/>
      </c>
      <c r="G1471">
        <f>Calc!G27</f>
        <v/>
      </c>
      <c r="H1471">
        <f>Calc!H27</f>
        <v/>
      </c>
      <c r="I1471">
        <f>IF(Skills!AA27&lt;&gt;"",1+(Skills!AA27/10)*(U1447/1000)/100,1)</f>
        <v/>
      </c>
      <c r="J1471" t="inlineStr"/>
      <c r="K1471" t="inlineStr"/>
      <c r="L1471" t="inlineStr"/>
      <c r="M1471" t="inlineStr"/>
      <c r="N1471" t="inlineStr"/>
      <c r="O1471">
        <f>(1-Summary!$B$11)*T1471+Summary!$B$11*V1471</f>
        <v/>
      </c>
      <c r="P1471">
        <f>IF(B1488=0,0,O1471/B1488)</f>
        <v/>
      </c>
      <c r="Q1471" t="n">
        <v>0</v>
      </c>
      <c r="R1471" t="n">
        <v>0</v>
      </c>
      <c r="S1471">
        <f>IFERROR(O1471/N1471,0)</f>
        <v/>
      </c>
      <c r="T1471" t="n">
        <v>0</v>
      </c>
      <c r="V1471" t="n">
        <v>0</v>
      </c>
    </row>
    <row r="1472">
      <c r="A1472">
        <f>Skills!A28</f>
        <v/>
      </c>
      <c r="B1472">
        <f>Skills!B28</f>
        <v/>
      </c>
      <c r="C1472">
        <f>Inputs!$B$3&gt;=75</f>
        <v/>
      </c>
      <c r="D1472">
        <f>IF(Skills!C28=1,60+Inputs!$B$25+Inputs!$B$29,IF(Skills!C28=2,90+Inputs!$B$26+Inputs!$B$29,IF(Skills!C28=3,120+Inputs!$B$27+Inputs!$B$29,MAX(0,(Inputs!$B$3-100)*3)+Inputs!$B$28+Inputs!$B$29)))</f>
        <v/>
      </c>
      <c r="E1472">
        <f>INDEX(FactorTable!$B$2:$Y$301, MATCH(ROUND(MIN(300,MAX(1,D1472)),0), FactorTable!$A$2:$A$301,0), Skills!M28+1)</f>
        <v/>
      </c>
      <c r="F1472">
        <f>IF(Skills!N28=TRUE,(Skills!L28/10)*(E1472/1000),Skills!L28/10)+Skills!O28</f>
        <v/>
      </c>
      <c r="G1472">
        <f>Calc!G28</f>
        <v/>
      </c>
      <c r="H1472">
        <f>Calc!H28</f>
        <v/>
      </c>
      <c r="I1472">
        <f>IF(Skills!AA28&lt;&gt;"",1+(Skills!AA28/10)*(U1447/1000)/100,1)</f>
        <v/>
      </c>
      <c r="J1472" t="inlineStr"/>
      <c r="K1472" t="inlineStr"/>
      <c r="L1472" t="inlineStr"/>
      <c r="M1472" t="inlineStr"/>
      <c r="N1472" t="inlineStr"/>
      <c r="O1472">
        <f>(1-Summary!$B$11)*T1472+Summary!$B$11*V1472</f>
        <v/>
      </c>
      <c r="P1472">
        <f>IF(B1488=0,0,O1472/B1488)</f>
        <v/>
      </c>
      <c r="Q1472" t="n">
        <v>0</v>
      </c>
      <c r="R1472" t="n">
        <v>0</v>
      </c>
      <c r="S1472">
        <f>IFERROR(O1472/N1472,0)</f>
        <v/>
      </c>
      <c r="T1472" t="n">
        <v>0</v>
      </c>
      <c r="V1472" t="n">
        <v>0</v>
      </c>
    </row>
    <row r="1473">
      <c r="A1473">
        <f>Skills!A29</f>
        <v/>
      </c>
      <c r="B1473">
        <f>Skills!B29</f>
        <v/>
      </c>
      <c r="C1473">
        <f>Inputs!$B$3&gt;=120</f>
        <v/>
      </c>
      <c r="D1473">
        <f>IF(Skills!C29=1,60+Inputs!$B$25+Inputs!$B$29,IF(Skills!C29=2,90+Inputs!$B$26+Inputs!$B$29,IF(Skills!C29=3,120+Inputs!$B$27+Inputs!$B$29,MAX(0,(Inputs!$B$3-100)*3)+Inputs!$B$28+Inputs!$B$29)))</f>
        <v/>
      </c>
      <c r="E1473">
        <f>INDEX(FactorTable!$B$2:$Y$301, MATCH(ROUND(MIN(300,MAX(1,D1473)),0), FactorTable!$A$2:$A$301,0), Skills!M29+1)</f>
        <v/>
      </c>
      <c r="F1473">
        <f>IF(Skills!N29=TRUE,(Skills!L29/10)*(E1473/1000),Skills!L29/10)+Skills!O29</f>
        <v/>
      </c>
      <c r="G1473">
        <f>Calc!G29</f>
        <v/>
      </c>
      <c r="H1473">
        <f>Calc!H29</f>
        <v/>
      </c>
      <c r="I1473">
        <f>IF(Skills!AA29&lt;&gt;"",1+(Skills!AA29/10)*(U1447/1000)/100,1)</f>
        <v/>
      </c>
      <c r="J1473" t="inlineStr"/>
      <c r="K1473" t="inlineStr"/>
      <c r="L1473" t="inlineStr"/>
      <c r="M1473" t="inlineStr"/>
      <c r="N1473" t="inlineStr"/>
      <c r="O1473">
        <f>(1-Summary!$B$11)*T1473+Summary!$B$11*V1473</f>
        <v/>
      </c>
      <c r="P1473">
        <f>IF(B1488=0,0,O1473/B1488)</f>
        <v/>
      </c>
      <c r="Q1473" t="n">
        <v>0</v>
      </c>
      <c r="R1473" t="n">
        <v>0</v>
      </c>
      <c r="S1473">
        <f>IFERROR(O1473/N1473,0)</f>
        <v/>
      </c>
      <c r="T1473" t="n">
        <v>0</v>
      </c>
      <c r="V1473" t="n">
        <v>0</v>
      </c>
    </row>
    <row r="1474">
      <c r="A1474">
        <f>Skills!A30</f>
        <v/>
      </c>
      <c r="B1474">
        <f>Skills!B30</f>
        <v/>
      </c>
      <c r="C1474">
        <f>Inputs!$B$3&gt;=125</f>
        <v/>
      </c>
      <c r="D1474">
        <f>IF(Skills!C30=1,60+Inputs!$B$25+Inputs!$B$29,IF(Skills!C30=2,90+Inputs!$B$26+Inputs!$B$29,IF(Skills!C30=3,120+Inputs!$B$27+Inputs!$B$29,MAX(0,(Inputs!$B$3-100)*3)+Inputs!$B$28+Inputs!$B$29)))</f>
        <v/>
      </c>
      <c r="E1474">
        <f>INDEX(FactorTable!$B$2:$Y$301, MATCH(ROUND(MIN(300,MAX(1,D1474)),0), FactorTable!$A$2:$A$301,0), Skills!M30+1)</f>
        <v/>
      </c>
      <c r="F1474">
        <f>IF(Skills!N30=TRUE,(Skills!L30/10)*(E1474/1000),Skills!L30/10)+Skills!O30</f>
        <v/>
      </c>
      <c r="G1474">
        <f>Calc!G30</f>
        <v/>
      </c>
      <c r="H1474">
        <f>Calc!H30</f>
        <v/>
      </c>
      <c r="I1474">
        <f>IF(Skills!AA30&lt;&gt;"",1+(Skills!AA30/10)*(U1447/1000)/100,1)</f>
        <v/>
      </c>
      <c r="J1474" t="inlineStr"/>
      <c r="K1474" t="inlineStr"/>
      <c r="L1474" t="inlineStr"/>
      <c r="M1474" t="inlineStr"/>
      <c r="N1474" t="inlineStr"/>
      <c r="O1474">
        <f>(1-Summary!$B$11)*T1474+Summary!$B$11*V1474</f>
        <v/>
      </c>
      <c r="P1474">
        <f>IF(B1488=0,0,O1474/B1488)</f>
        <v/>
      </c>
      <c r="Q1474" t="n">
        <v>0</v>
      </c>
      <c r="R1474" t="n">
        <v>0</v>
      </c>
      <c r="S1474">
        <f>IFERROR(O1474/N1474,0)</f>
        <v/>
      </c>
      <c r="T1474" t="n">
        <v>0</v>
      </c>
      <c r="V1474" t="n">
        <v>0</v>
      </c>
    </row>
    <row r="1475">
      <c r="A1475">
        <f>Skills!A31</f>
        <v/>
      </c>
      <c r="B1475">
        <f>Skills!B31</f>
        <v/>
      </c>
      <c r="C1475">
        <f>Inputs!$B$3&gt;=107</f>
        <v/>
      </c>
      <c r="D1475">
        <f>IF(Skills!C31=1,60+Inputs!$B$25+Inputs!$B$29,IF(Skills!C31=2,90+Inputs!$B$26+Inputs!$B$29,IF(Skills!C31=3,120+Inputs!$B$27+Inputs!$B$29,MAX(0,(Inputs!$B$3-100)*3)+Inputs!$B$28+Inputs!$B$29)))</f>
        <v/>
      </c>
      <c r="E1475">
        <f>INDEX(FactorTable!$B$2:$Y$301, MATCH(ROUND(MIN(300,MAX(1,D1475)),0), FactorTable!$A$2:$A$301,0), Skills!M31+1)</f>
        <v/>
      </c>
      <c r="F1475">
        <f>IF(Skills!N31=TRUE,(Skills!L31/10)*(E1475/1000),Skills!L31/10)+Skills!O31</f>
        <v/>
      </c>
      <c r="G1475">
        <f>Calc!G31</f>
        <v/>
      </c>
      <c r="H1475">
        <f>Calc!H31</f>
        <v/>
      </c>
      <c r="I1475">
        <f>IF(Skills!AA31&lt;&gt;"",1+(Skills!AA31/10)*(U1447/1000)/100,1)</f>
        <v/>
      </c>
      <c r="J1475" t="inlineStr"/>
      <c r="K1475" t="inlineStr"/>
      <c r="L1475" t="inlineStr"/>
      <c r="M1475" t="inlineStr"/>
      <c r="N1475" t="inlineStr"/>
      <c r="O1475">
        <f>(1-Summary!$B$11)*T1475+Summary!$B$11*V1475</f>
        <v/>
      </c>
      <c r="P1475">
        <f>IF(B1488=0,0,O1475/B1488)</f>
        <v/>
      </c>
      <c r="Q1475" t="n">
        <v>0</v>
      </c>
      <c r="R1475" t="n">
        <v>0</v>
      </c>
      <c r="S1475">
        <f>IFERROR(O1475/N1475,0)</f>
        <v/>
      </c>
      <c r="T1475" t="n">
        <v>0</v>
      </c>
      <c r="V1475" t="n">
        <v>0</v>
      </c>
    </row>
    <row r="1477">
      <c r="A1477" t="inlineStr">
        <is>
          <t>Actions Per Second (pre-Adrenalin)</t>
        </is>
      </c>
      <c r="B1477">
        <f>1+MIN(150,150*(1-(1-(Inputs!$B$11+((C1466=TRUE)*(F1466-Calc!F22))+(ArtifactsInput!$M$15-ArtifactsInput!$M$15)*CHOOSE(ArtifactsInput!$N$15+1,8,9.6,11.2,12.8,14.4,16))/150)*(1-((C1463=TRUE)*F1463*IF(AND(Inputs!$B$39&lt;&gt;"pvp",Inputs!$B$44&gt;0),(((R1463-1)*(Skills!Y19*(1+Inputs!$B$34/100))+MIN((Skills!Y19*(1+Inputs!$B$34/100)),MAX(0,Inputs!$B$44-((R1463-1)*Skills!D19))))/Inputs!$B$44),IF(Inputs!$B$39="pvp",MIN((Skills!Y19*(1+Inputs!$B$34/100)),15)/15,(Skills!Y19*(1+Inputs!$B$34/100))/Skills!D19)))/150)))/100</f>
        <v/>
      </c>
    </row>
    <row r="1478">
      <c r="A1478" t="inlineStr">
        <is>
          <t>Alchemic Adrenaline Uptime</t>
        </is>
      </c>
      <c r="B1478">
        <f>(Skills!Y6*(1+Inputs!$B$34/100))/((Skills!Y6*(1+Inputs!$B$34/100))+(5/B1477))</f>
        <v/>
      </c>
    </row>
    <row r="1479">
      <c r="A1479" t="inlineStr">
        <is>
          <t>Attack Speed Buff Bonus %</t>
        </is>
      </c>
      <c r="B1479">
        <f>((C1463=TRUE)*F1463*IF(AND(Inputs!$B$39&lt;&gt;"pvp",Inputs!$B$44&gt;0),(((R1463-1)*(Skills!Y19*(1+Inputs!$B$34/100))+MIN((Skills!Y19*(1+Inputs!$B$34/100)),MAX(0,Inputs!$B$44-((R1463-1)*Skills!D19))))/Inputs!$B$44),IF(Inputs!$B$39="pvp",MIN((Skills!Y19*(1+Inputs!$B$34/100)),15)/15,(Skills!Y19*(1+Inputs!$B$34/100))/Skills!D19)))+((C1451=TRUE)*F1451*B1478)</f>
        <v/>
      </c>
    </row>
    <row r="1480">
      <c r="A1480" t="inlineStr">
        <is>
          <t>Actions Per Second (final)</t>
        </is>
      </c>
      <c r="B1480">
        <f>1+MIN(150,150*(1-(1-(Inputs!$B$11+((C1466=TRUE)*(F1466-Calc!F22))+(ArtifactsInput!$M$15-ArtifactsInput!$M$15)*CHOOSE(ArtifactsInput!$N$15+1,8,9.6,11.2,12.8,14.4,16))/150)*(1-B1479/150)))/100</f>
        <v/>
      </c>
    </row>
    <row r="1481">
      <c r="A1481" t="inlineStr">
        <is>
          <t>Skill + Buff Cast Rate</t>
        </is>
      </c>
      <c r="B1481">
        <f>IF(AND(Inputs!$B$39&lt;&gt;"pvp",Inputs!$B$44&gt;0),SUMPRODUCT((Skills!E2:E31=TRUE)*(C1446:C1475=TRUE)*R1446:R1475*Skills!F2:F31)/Inputs!$B$44,SUMPRODUCT((Skills!E2:E31=TRUE)*(C1446:C1475=TRUE)*Q1446:Q1475*Skills!F2:F31))</f>
        <v/>
      </c>
    </row>
    <row r="1482">
      <c r="A1482" t="inlineStr">
        <is>
          <t>Showdown Casts Per Second</t>
        </is>
      </c>
      <c r="B1482">
        <f>MAX(0,B1480-B1481)</f>
        <v/>
      </c>
    </row>
    <row r="1483">
      <c r="A1483" t="inlineStr">
        <is>
          <t>Average Buff Multiplier</t>
        </is>
      </c>
      <c r="B1483">
        <f>(1+(((C1465=TRUE)*F1465*IF(AND(Inputs!$B$39&lt;&gt;"pvp",Inputs!$B$44&gt;0),(((R1465-1)*(Skills!Y21*(1+Inputs!$B$34/100))+MIN((Skills!Y21*(1+Inputs!$B$34/100)),MAX(0,Inputs!$B$44-((R1465-1)*Skills!D21))))/Inputs!$B$44),IF(Inputs!$B$39="pvp",MIN((Skills!Y21*(1+Inputs!$B$34/100)),15)/15,(Skills!Y21*(1+Inputs!$B$34/100))/Skills!D21)))+((C1472=TRUE)*(F1472-Calc!F28))+((C1462=TRUE)*(F1462-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1459=TRUE)*F1459*IF(AND(Inputs!$B$39&lt;&gt;"pvp",Inputs!$B$44&gt;0),(((R1459-1)*(Skills!Y15*(1+Inputs!$B$34/100))+MIN((Skills!Y15*(1+Inputs!$B$34/100)),MAX(0,Inputs!$B$44-((R1459-1)*Skills!D15))))/Inputs!$B$44),IF(Inputs!$B$39="pvp",MIN((Skills!Y15*(1+Inputs!$B$34/100)),15)/15,(Skills!Y15*(1+Inputs!$B$34/100))/Skills!D15)))/100)*(1+((C1450=TRUE)*F1450*B1478)/100)</f>
        <v/>
      </c>
    </row>
    <row r="1484">
      <c r="A1484" t="inlineStr">
        <is>
          <t>Global Crit Rate Bonus %</t>
        </is>
      </c>
      <c r="B1484">
        <f>IF(Inputs!$B$3&gt;=47,8,0)+((C1464=TRUE)*F1464*IF(AND(Inputs!$B$39&lt;&gt;"pvp",Inputs!$B$44&gt;0),(((R1464-1)*(Skills!Y20*(1+Inputs!$B$34/100))+MIN((Skills!Y20*(1+Inputs!$B$34/100)),MAX(0,Inputs!$B$44-((R1464-1)*Skills!D20))))/Inputs!$B$44),IF(Inputs!$B$39="pvp",MIN((Skills!Y20*(1+Inputs!$B$34/100)),15)/15,(Skills!Y20*(1+Inputs!$B$34/100))/Skills!D20)))</f>
        <v/>
      </c>
    </row>
    <row r="1485">
      <c r="A1485" t="inlineStr">
        <is>
          <t>Global Monster Damage-Taken Bonus %</t>
        </is>
      </c>
      <c r="B1485">
        <f>IF(Inputs!$B$3&gt;=82,15,0)+((C1460=TRUE)*F1460*IF(AND(Inputs!$B$39&lt;&gt;"pvp",Inputs!$B$44&gt;0),(((R1460-1)*(Skills!Y16*(1+Inputs!$B$34/100))+MIN((Skills!Y16*(1+Inputs!$B$34/100)),MAX(0,Inputs!$B$44-((R1460-1)*Skills!D16))))/Inputs!$B$44),IF(Inputs!$B$39="pvp",MIN((Skills!Y16*(1+Inputs!$B$34/100)),15)/15,(Skills!Y16*(1+Inputs!$B$34/100))/Skills!D16)))</f>
        <v/>
      </c>
    </row>
    <row r="1486">
      <c r="A1486" t="inlineStr">
        <is>
          <t>Shadow Partner Average Multiplier</t>
        </is>
      </c>
      <c r="B1486">
        <f>1+((C1455=TRUE)*F1455*I1455*Skills!J11/100)/100</f>
        <v/>
      </c>
    </row>
    <row r="1487">
      <c r="A1487" t="inlineStr">
        <is>
          <t>Global Critical Damage Bonus % (Frailty Curse Mastery Lv.111)</t>
        </is>
      </c>
      <c r="B1487">
        <f>IF(Inputs!$B$3&gt;=111,30,0)*IF(AND(Inputs!$B$39&lt;&gt;"pvp",Inputs!$B$44&gt;0),(((R1460-1)*(Skills!Y16*(1+Inputs!$B$34/100))+MIN((Skills!Y16*(1+Inputs!$B$34/100)),MAX(0,Inputs!$B$44-((R1460-1)*Skills!D16))))/Inputs!$B$44),IF(Inputs!$B$39="pvp",MIN((Skills!Y16*(1+Inputs!$B$34/100)),15)/15,(Skills!Y16*(1+Inputs!$B$34/100))/Skills!D16))</f>
        <v/>
      </c>
    </row>
    <row r="1488">
      <c r="A1488" s="6" t="inlineStr">
        <is>
          <t>TOTAL DPS</t>
        </is>
      </c>
      <c r="B1488" s="6">
        <f>SUM(O1446:O1475)</f>
        <v/>
      </c>
    </row>
    <row r="1489">
      <c r="A1489" t="inlineStr">
        <is>
          <t>Buff-Casting Startup Delay (s, fixed-duration only)</t>
        </is>
      </c>
      <c r="B1489">
        <f>IF(AND(Inputs!$B$39&lt;&gt;"pvp",Inputs!$B$44&gt;0),SUMPRODUCT((Skills!Y2:Y31&gt;0)*(Skills!E2:E31=TRUE)*(C1446:C1475=TRUE))/B1480,0)</f>
        <v/>
      </c>
    </row>
    <row r="1490">
      <c r="A1490" t="inlineStr">
        <is>
          <t>Boss-Only Total DPS (this block's swept value)</t>
        </is>
      </c>
      <c r="B1490">
        <f>SUM(T1446:T1475)</f>
        <v/>
      </c>
    </row>
    <row r="1491">
      <c r="A1491" t="inlineStr">
        <is>
          <t>Normal-Only Total DPS (this block's swept value)</t>
        </is>
      </c>
      <c r="B1491">
        <f>SUM(V1446:V1475)</f>
        <v/>
      </c>
    </row>
    <row r="1493">
      <c r="A1493" s="6" t="inlineStr">
        <is>
          <t>Stat: Shamaness Marble (Equip)</t>
        </is>
      </c>
    </row>
    <row r="1494">
      <c r="A1494" s="5" t="inlineStr">
        <is>
          <t>Key</t>
        </is>
      </c>
      <c r="B1494" s="5" t="inlineStr">
        <is>
          <t>Name</t>
        </is>
      </c>
      <c r="C1494" s="5" t="inlineStr">
        <is>
          <t>Unlocked</t>
        </is>
      </c>
      <c r="D1494" s="5" t="inlineStr">
        <is>
          <t>InputLevel</t>
        </is>
      </c>
      <c r="E1494" s="5" t="inlineStr">
        <is>
          <t>Factor</t>
        </is>
      </c>
      <c r="F1494" s="5" t="inlineStr">
        <is>
          <t>CoefficientPercent</t>
        </is>
      </c>
      <c r="G1494" s="5" t="inlineStr">
        <is>
          <t>EffectiveHits</t>
        </is>
      </c>
      <c r="H1494" s="5" t="inlineStr">
        <is>
          <t>ProcProbability</t>
        </is>
      </c>
      <c r="I1494" s="5" t="inlineStr">
        <is>
          <t>MapleHeroMultiplier</t>
        </is>
      </c>
      <c r="J1494" s="5" t="inlineStr">
        <is>
          <t>BaseDamage</t>
        </is>
      </c>
      <c r="K1494" s="5" t="inlineStr">
        <is>
          <t>BaseHitDamage</t>
        </is>
      </c>
      <c r="L1494" s="5" t="inlineStr">
        <is>
          <t>NonCritAvg</t>
        </is>
      </c>
      <c r="M1494" s="5" t="inlineStr">
        <is>
          <t>CritAvg</t>
        </is>
      </c>
      <c r="N1494" s="5" t="inlineStr">
        <is>
          <t>ExpectedDamage(perHit)</t>
        </is>
      </c>
      <c r="O1494" s="5" t="inlineStr">
        <is>
          <t>DPS</t>
        </is>
      </c>
      <c r="P1494" s="5" t="inlineStr">
        <is>
          <t>% of Total</t>
        </is>
      </c>
      <c r="Q1494" s="5" t="inlineStr">
        <is>
          <t>InvCooldown</t>
        </is>
      </c>
      <c r="R1494" s="5" t="inlineStr">
        <is>
          <t>CastsInFight</t>
        </is>
      </c>
      <c r="S1494" s="5" t="inlineStr">
        <is>
          <t>HitRate(perSec)</t>
        </is>
      </c>
      <c r="U1494" t="inlineStr">
        <is>
          <t>helpers</t>
        </is>
      </c>
    </row>
    <row r="1495">
      <c r="A1495">
        <f>Skills!A2</f>
        <v/>
      </c>
      <c r="B1495">
        <f>Skills!B2</f>
        <v/>
      </c>
      <c r="C1495">
        <f>Inputs!$B$3&gt;=100</f>
        <v/>
      </c>
      <c r="D1495" t="inlineStr"/>
      <c r="E1495" t="inlineStr"/>
      <c r="F1495">
        <f>U1499+Skills!O2</f>
        <v/>
      </c>
      <c r="G1495">
        <f>Calc!G2</f>
        <v/>
      </c>
      <c r="H1495">
        <f>Calc!H2</f>
        <v/>
      </c>
      <c r="I1495">
        <f>IF(Skills!AA2&lt;&gt;"",1+(Skills!AA2/10)*(U1496/1000)/100,1)</f>
        <v/>
      </c>
      <c r="J1495">
        <f>((Inputs!$B$6*(1+Inputs!$B$7/100))+(((Inputs!$B$12*(1+Inputs!$B$13/100))-(Inputs!$B$12*(1+Inputs!$B$13/100)))+0.25*(Inputs!$B$14-Inputs!$B$14))*(1+Inputs!$B$7/100))*(F1495/100)</f>
        <v/>
      </c>
      <c r="K1495">
        <f>J1495*(1+((Inputs!$B$12*(1+Inputs!$B$13/100))*0.01+Inputs!$B$14*0.0025)/100)*(1+Inputs!$B$15/100)*(1+Inputs!$B$16/100)*(5000/(6000+Inputs!$B$43*(1-(100*(1-(1-(Inputs!$B$19+0)/100)*(1-CHOOSE(ArtifactsInput!$N$40+1,5,6,7,8,9,10)/100)^(ArtifactsInput!$M$40-ArtifactsInput!$M$40)))/100)))*(1+(Inputs!$B$24+((C1523=TRUE)*(F1523-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1516=TRUE)*(F1516-Calc!F23))+(((IF(AND(ArtifactsInput!$M$42,((Inputs!$B$9+((C1518=TRUE)*(F1518-Calc!F25))+B1533+(ArtifactsInput!$M$24-ArtifactsInput!$M$24)*CHOOSE(ArtifactsInput!$N$24+1,10,12,14,16,18,20)+IF(ArtifactsInput!$M$10,CHOOSE(ArtifactsInput!$N$10+1,15,18,21,24,27,30)*(IF(Inputs!$B$39="pvp",MIN(15,15)/15,IF(AND(Inputs!$B$39&lt;&gt;"pvp",Inputs!$B$44&gt;0),MIN(15,Inputs!$B$44)/(Inputs!$B$44),0))),0)))&gt;=100),MIN(100,((Inputs!$B$9+((C1518=TRUE)*(F1518-Calc!F25))+B1533+(ArtifactsInput!$M$24-ArtifactsInput!$M$24)*CHOOSE(ArtifactsInput!$N$24+1,10,12,14,16,18,20)+IF(ArtifactsInput!$M$10,CHOOSE(ArtifactsInput!$N$10+1,15,18,21,24,27,30)*(IF(Inputs!$B$39="pvp",MIN(15,15)/15,IF(AND(Inputs!$B$39&lt;&gt;"pvp",Inputs!$B$44&gt;0),MIN(15,Inputs!$B$44)/(Inputs!$B$44),0))),0)))-100),0))*CHOOSE(ArtifactsInput!$N$42+1,0.6,0.72,0.84,0.96,1.08,1.2))),Inputs!$B$18+((C1522=TRUE)*(F1522-Calc!F29))+(IF(AND(ArtifactsInput!$M$42,((Inputs!$B$9+((C1518=TRUE)*(F1518-Calc!F25))+B1533+(ArtifactsInput!$M$24-ArtifactsInput!$M$24)*CHOOSE(ArtifactsInput!$N$24+1,10,12,14,16,18,20)+IF(ArtifactsInput!$M$10,CHOOSE(ArtifactsInput!$N$10+1,15,18,21,24,27,30)*(IF(Inputs!$B$39="pvp",MIN(15,15)/15,IF(AND(Inputs!$B$39&lt;&gt;"pvp",Inputs!$B$44&gt;0),MIN(15,Inputs!$B$44)/(Inputs!$B$44),0))),0)))&gt;=100),CHOOSE(ArtifactsInput!$N$42+1,40,48,56,64,72,80),0))))/100)*(((1+(((C1514=TRUE)*F1514*IF(AND(Inputs!$B$39&lt;&gt;"pvp",Inputs!$B$44&gt;0),(((R1514-1)*(Skills!Y21*(1+Inputs!$B$34/100))+MIN((Skills!Y21*(1+Inputs!$B$34/100)),MAX(0,Inputs!$B$44-((R1514-1)*Skills!D21))))/Inputs!$B$44),IF(Inputs!$B$39="pvp",MIN((Skills!Y21*(1+Inputs!$B$34/100)),15)/15,(Skills!Y21*(1+Inputs!$B$34/100))/Skills!D21)))+((C1521=TRUE)*(F1521-Calc!F28))+((C1511=TRUE)*(F1511-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1508=TRUE)*F1508*IF(AND(Inputs!$B$39&lt;&gt;"pvp",Inputs!$B$44&gt;0),(((R1508-1)*(Skills!Y15*(1+Inputs!$B$34/100))+MIN((Skills!Y15*(1+Inputs!$B$34/100)),MAX(0,Inputs!$B$44-((R1508-1)*Skills!D15))))/Inputs!$B$44),IF(Inputs!$B$39="pvp",MIN((Skills!Y15*(1+Inputs!$B$34/100)),15)/15,(Skills!Y15*(1+Inputs!$B$34/100))/Skills!D15)))/100)*(1+((C1499=TRUE)*F1499*B1527)/100))*B1535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1495)</f>
        <v/>
      </c>
      <c r="L1495">
        <f>K1495*(MIN(Inputs!$B$22+((C1517=TRUE)*(F1517-Calc!F24)),(Inputs!$B$23+0+(IF(ArtifactsInput!$M$15,CHOOSE(ArtifactsInput!$N$15+1,25,30,35,40,45,50)/100*(Inputs!$B$11-Inputs!$B$11),0))))/100+(Inputs!$B$23+0+(IF(ArtifactsInput!$M$15,CHOOSE(ArtifactsInput!$N$15+1,25,30,35,40,45,50)/100*(Inputs!$B$11-Inputs!$B$11),0)))/100)/2</f>
        <v/>
      </c>
      <c r="M1495">
        <f>L1495*(1+(Inputs!$B$10+((C1519=TRUE)*(F1519-Calc!F26))+B1536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95">
        <f>L1495*(1-MIN((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1495*(MIN((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95">
        <f>(1-Summary!$B$11)*T1495+Summary!$B$11*V1495</f>
        <v/>
      </c>
      <c r="P1495">
        <f>IF(B1537=0,0,O1495/B1537)</f>
        <v/>
      </c>
      <c r="Q1495" t="n">
        <v>0</v>
      </c>
      <c r="R1495" t="n">
        <v>0</v>
      </c>
      <c r="S1495">
        <f>IFERROR(O1495/N1495,0)</f>
        <v/>
      </c>
      <c r="T1495">
        <f>IF(C1495,(Skills!G2*N1495*B1531)*IF(Inputs!$B$39="pvp",1,1+(Inputs!$B$20+((C1520=TRUE)*(F1520-Calc!F27))+Skills!P2+B1534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Hunt"),CHOOSE(ArtifactsInput!$N$35+1,15,18,21,24,27,30)*(1-EXP(-(0.2*B1529)*5)),0)+IF(AND(ArtifactsInput!$M$22,Inputs!$B$4&lt;&gt;"Chapter Hunt"),CHOOSE(ArtifactsInput!$N$22+1,10,12,14,16,18,20)*((0*(((0.15*B1529*5))^0/1)+1*(((0.15*B1529*5))^1/1)+2*(((0.15*B1529*5))^2/2)+3*(((0.15*B1529*5))^3/6)+4*(((0.15*B1529*5))^4/24)+5*(((0.15*B1529*5))^5/120))/((((0.15*B1529*5))^0/1)+(((0.15*B1529*5))^1/1)+(((0.15*B1529*5))^2/2)+(((0.15*B1529*5))^3/6)+(((0.15*B1529*5))^4/24)+(((0.15*B1529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1495*(1-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1495*(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1495*(1-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1495*(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95">
        <f>MAX(0,(Inputs!$B$3-100)*3)+Inputs!$B$28+Inputs!$B$29</f>
        <v/>
      </c>
      <c r="V1495">
        <f>IF(C1495,(Skills!G2*N1495*B1531)*IF(Inputs!$B$39="pvp",1,(1+(Inputs!$B$21+Skills!Q2+B1534+(IF(ArtifactsInput!$M$33,CHOOSE(ArtifactsInput!$N$33+1,30,36,42,48,54,60),0))+(IF(AND(ArtifactsInput!$M$35,Inputs!$B$4&lt;&gt;"Chapter Hunt"),CHOOSE(ArtifactsInput!$N$35+1,15,18,21,24,27,30)*(1-EXP(-(0.2*B1529)*5)),0)+IF(AND(ArtifactsInput!$M$22,Inputs!$B$4&lt;&gt;"Chapter Hunt"),CHOOSE(ArtifactsInput!$N$22+1,10,12,14,16,18,20)*((0*(((0.15*B1529*5))^0/1)+1*(((0.15*B1529*5))^1/1)+2*(((0.15*B1529*5))^2/2)+3*(((0.15*B1529*5))^3/6)+4*(((0.15*B1529*5))^4/24)+5*(((0.15*B1529*5))^5/120))/((((0.15*B1529*5))^0/1)+(((0.15*B1529*5))^1/1)+(((0.15*B1529*5))^2/2)+(((0.15*B1529*5))^3/6)+(((0.15*B1529*5))^4/24)+(((0.15*B1529*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96">
      <c r="A1496">
        <f>Skills!A3</f>
        <v/>
      </c>
      <c r="B1496">
        <f>Skills!B3</f>
        <v/>
      </c>
      <c r="C1496">
        <f>Inputs!$B$3&gt;=35</f>
        <v/>
      </c>
      <c r="D1496">
        <f>IF(Skills!C3=1,60+Inputs!$B$25+Inputs!$B$29,IF(Skills!C3=2,90+Inputs!$B$26+Inputs!$B$29,IF(Skills!C3=3,120+Inputs!$B$27+Inputs!$B$29,MAX(0,(Inputs!$B$3-100)*3)+Inputs!$B$28+Inputs!$B$29)))</f>
        <v/>
      </c>
      <c r="E1496">
        <f>INDEX(FactorTable!$B$2:$Y$301, MATCH(ROUND(MIN(300,MAX(1,D1496)),0), FactorTable!$A$2:$A$301,0), Skills!M3+1)</f>
        <v/>
      </c>
      <c r="F1496">
        <f>IF(Skills!N3=TRUE,(Skills!L3/10)*(E1496/1000),Skills!L3/10)+Skills!O3</f>
        <v/>
      </c>
      <c r="G1496">
        <f>Calc!G3</f>
        <v/>
      </c>
      <c r="H1496">
        <f>Calc!H3</f>
        <v/>
      </c>
      <c r="I1496">
        <f>IF(Skills!AA3&lt;&gt;"",1+(Skills!AA3/10)*(U1496/1000)/100,1)</f>
        <v/>
      </c>
      <c r="J1496">
        <f>((Inputs!$B$6*(1+Inputs!$B$7/100))+(((Inputs!$B$12*(1+Inputs!$B$13/100))-(Inputs!$B$12*(1+Inputs!$B$13/100)))+0.25*(Inputs!$B$14-Inputs!$B$14))*(1+Inputs!$B$7/100))*(F1496/100)</f>
        <v/>
      </c>
      <c r="K1496">
        <f>J1496*(1+((Inputs!$B$12*(1+Inputs!$B$13/100))*0.01+Inputs!$B$14*0.0025)/100)*(1+Inputs!$B$15/100)*(1+Inputs!$B$16/100)*(5000/(6000+Inputs!$B$43*(1-(100*(1-(1-(Inputs!$B$19+0)/100)*(1-CHOOSE(ArtifactsInput!$N$40+1,5,6,7,8,9,10)/100)^(ArtifactsInput!$M$40-ArtifactsInput!$M$40)))/100)))*(1+(Inputs!$B$24+((C1523=TRUE)*(F1523-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1516=TRUE)*(F1516-Calc!F23))+(((IF(AND(ArtifactsInput!$M$42,((Inputs!$B$9+((C1518=TRUE)*(F1518-Calc!F25))+B1533+(ArtifactsInput!$M$24-ArtifactsInput!$M$24)*CHOOSE(ArtifactsInput!$N$24+1,10,12,14,16,18,20)+IF(ArtifactsInput!$M$10,CHOOSE(ArtifactsInput!$N$10+1,15,18,21,24,27,30)*(IF(Inputs!$B$39="pvp",MIN(15,15)/15,IF(AND(Inputs!$B$39&lt;&gt;"pvp",Inputs!$B$44&gt;0),MIN(15,Inputs!$B$44)/(Inputs!$B$44),0))),0)))&gt;=100),MIN(100,((Inputs!$B$9+((C1518=TRUE)*(F1518-Calc!F25))+B1533+(ArtifactsInput!$M$24-ArtifactsInput!$M$24)*CHOOSE(ArtifactsInput!$N$24+1,10,12,14,16,18,20)+IF(ArtifactsInput!$M$10,CHOOSE(ArtifactsInput!$N$10+1,15,18,21,24,27,30)*(IF(Inputs!$B$39="pvp",MIN(15,15)/15,IF(AND(Inputs!$B$39&lt;&gt;"pvp",Inputs!$B$44&gt;0),MIN(15,Inputs!$B$44)/(Inputs!$B$44),0))),0)))-100),0))*CHOOSE(ArtifactsInput!$N$42+1,0.6,0.72,0.84,0.96,1.08,1.2))),Inputs!$B$18+((C1522=TRUE)*(F1522-Calc!F29))+(IF(AND(ArtifactsInput!$M$42,((Inputs!$B$9+((C1518=TRUE)*(F1518-Calc!F25))+B1533+(ArtifactsInput!$M$24-ArtifactsInput!$M$24)*CHOOSE(ArtifactsInput!$N$24+1,10,12,14,16,18,20)+IF(ArtifactsInput!$M$10,CHOOSE(ArtifactsInput!$N$10+1,15,18,21,24,27,30)*(IF(Inputs!$B$39="pvp",MIN(15,15)/15,IF(AND(Inputs!$B$39&lt;&gt;"pvp",Inputs!$B$44&gt;0),MIN(15,Inputs!$B$44)/(Inputs!$B$44),0))),0)))&gt;=100),CHOOSE(ArtifactsInput!$N$42+1,40,48,56,64,72,80),0))))/100)*(((1+(((C1514=TRUE)*F1514*IF(AND(Inputs!$B$39&lt;&gt;"pvp",Inputs!$B$44&gt;0),(((R1514-1)*(Skills!Y21*(1+Inputs!$B$34/100))+MIN((Skills!Y21*(1+Inputs!$B$34/100)),MAX(0,Inputs!$B$44-((R1514-1)*Skills!D21))))/Inputs!$B$44),IF(Inputs!$B$39="pvp",MIN((Skills!Y21*(1+Inputs!$B$34/100)),15)/15,(Skills!Y21*(1+Inputs!$B$34/100))/Skills!D21)))+((C1521=TRUE)*(F1521-Calc!F28))+((C1511=TRUE)*(F1511-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1508=TRUE)*F1508*IF(AND(Inputs!$B$39&lt;&gt;"pvp",Inputs!$B$44&gt;0),(((R1508-1)*(Skills!Y15*(1+Inputs!$B$34/100))+MIN((Skills!Y15*(1+Inputs!$B$34/100)),MAX(0,Inputs!$B$44-((R1508-1)*Skills!D15))))/Inputs!$B$44),IF(Inputs!$B$39="pvp",MIN((Skills!Y15*(1+Inputs!$B$34/100)),15)/15,(Skills!Y15*(1+Inputs!$B$34/100))/Skills!D15)))/100)*(1+((C1499=TRUE)*F1499*B1527)/100))*B1535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1496)</f>
        <v/>
      </c>
      <c r="L1496">
        <f>K1496*(MIN(Inputs!$B$22+((C1517=TRUE)*(F1517-Calc!F24)),(Inputs!$B$23+0+(IF(ArtifactsInput!$M$15,CHOOSE(ArtifactsInput!$N$15+1,25,30,35,40,45,50)/100*(Inputs!$B$11-Inputs!$B$11),0))))/100+(Inputs!$B$23+0+(IF(ArtifactsInput!$M$15,CHOOSE(ArtifactsInput!$N$15+1,25,30,35,40,45,50)/100*(Inputs!$B$11-Inputs!$B$11),0)))/100)/2</f>
        <v/>
      </c>
      <c r="M1496">
        <f>L1496*(1+(Inputs!$B$10+((C1519=TRUE)*(F1519-Calc!F26))+B1536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96">
        <f>L1496*(1-MIN((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1496*(MIN((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96">
        <f>(1-Summary!$B$11)*T1496+Summary!$B$11*V1496</f>
        <v/>
      </c>
      <c r="P1496">
        <f>IF(B1537=0,0,O1496/B1537)</f>
        <v/>
      </c>
      <c r="Q1496">
        <f>IFERROR(1/IF(Inputs!$B$39="pvp",15,MAX(0.1,Skills!D3-IF(Skills!E3=TRUE,Inputs!$B$32,0))),0)</f>
        <v/>
      </c>
      <c r="R1496">
        <f>IF(AND(Inputs!$B$39&lt;&gt;"pvp",Inputs!$B$44&gt;0),IF(MAX(0,Inputs!$B$44-B1538)&lt;=0,0,(INT(MAX(0,Inputs!$B$44-B1538)/IF(Inputs!$B$39="pvp",15,MAX(0.1,Skills!D3-IF(Skills!E3=TRUE,Inputs!$B$32,0))))+1)),0)</f>
        <v/>
      </c>
      <c r="S1496">
        <f>IFERROR(O1496/N1496,0)</f>
        <v/>
      </c>
      <c r="T1496">
        <f>IF(C1496,(H1496*N1496*IF(AND(Inputs!$B$39&lt;&gt;"pvp",Inputs!$B$44&gt;0),((Skills!G3*((R1496-1)*IF(Skills!H3&gt;0,Skills!I3/Skills!H3,1)+IF(Skills!H3&gt;0,MIN(Skills!I3,MAX(0,MAX(0,Inputs!$B$44-B1538)-((R1496-1)*IF(Inputs!$B$39="pvp",15,MAX(0.1,Skills!D3-IF(Skills!E3=TRUE,Inputs!$B$32,0))))))/Skills!H3,1)))/Inputs!$B$44),G1496*Q1496))*IF(Inputs!$B$39="pvp",1,1+(Inputs!$B$20+((C1520=TRUE)*(F1520-Calc!F27))+Skills!P3+B1534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Hunt"),CHOOSE(ArtifactsInput!$N$35+1,15,18,21,24,27,30)*(1-EXP(-(0.2*B1529)*5)),0)+IF(AND(ArtifactsInput!$M$22,Inputs!$B$4&lt;&gt;"Chapter Hunt"),CHOOSE(ArtifactsInput!$N$22+1,10,12,14,16,18,20)*((0*(((0.15*B1529*5))^0/1)+1*(((0.15*B1529*5))^1/1)+2*(((0.15*B1529*5))^2/2)+3*(((0.15*B1529*5))^3/6)+4*(((0.15*B1529*5))^4/24)+5*(((0.15*B1529*5))^5/120))/((((0.15*B1529*5))^0/1)+(((0.15*B1529*5))^1/1)+(((0.15*B1529*5))^2/2)+(((0.15*B1529*5))^3/6)+(((0.15*B1529*5))^4/24)+(((0.15*B1529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1496*(1-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1496*(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1496*(1-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1496*(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96">
        <f>INDEX(FactorTable!$B$2:$Y$301, MATCH(ROUND(MIN(300,MAX(1,U1495)),0), FactorTable!$A$2:$A$301,0), 24)</f>
        <v/>
      </c>
      <c r="V1496">
        <f>IF(C1496,(H1496*N1496*IF(AND(Inputs!$B$39&lt;&gt;"pvp",Inputs!$B$44&gt;0),((Skills!G3*((R1496-1)*IF(Skills!H3&gt;0,Skills!I3/Skills!H3,1)+IF(Skills!H3&gt;0,MIN(Skills!I3,MAX(0,MAX(0,Inputs!$B$44-B1538)-((R1496-1)*IF(Inputs!$B$39="pvp",15,MAX(0.1,Skills!D3-IF(Skills!E3=TRUE,Inputs!$B$32,0))))))/Skills!H3,1)))/Inputs!$B$44),G1496*Q1496))*IF(Inputs!$B$39="pvp",1,(1+(Inputs!$B$21+Skills!Q3+B1534+(IF(ArtifactsInput!$M$33,CHOOSE(ArtifactsInput!$N$33+1,30,36,42,48,54,60),0))+(IF(AND(ArtifactsInput!$M$35,Inputs!$B$4&lt;&gt;"Chapter Hunt"),CHOOSE(ArtifactsInput!$N$35+1,15,18,21,24,27,30)*(1-EXP(-(0.2*B1529)*5)),0)+IF(AND(ArtifactsInput!$M$22,Inputs!$B$4&lt;&gt;"Chapter Hunt"),CHOOSE(ArtifactsInput!$N$22+1,10,12,14,16,18,20)*((0*(((0.15*B1529*5))^0/1)+1*(((0.15*B1529*5))^1/1)+2*(((0.15*B1529*5))^2/2)+3*(((0.15*B1529*5))^3/6)+4*(((0.15*B1529*5))^4/24)+5*(((0.15*B1529*5))^5/120))/((((0.15*B1529*5))^0/1)+(((0.15*B1529*5))^1/1)+(((0.15*B1529*5))^2/2)+(((0.15*B1529*5))^3/6)+(((0.15*B1529*5))^4/24)+(((0.15*B1529*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97">
      <c r="A1497">
        <f>Skills!A4</f>
        <v/>
      </c>
      <c r="B1497">
        <f>Skills!B4</f>
        <v/>
      </c>
      <c r="C1497">
        <f>Inputs!$B$3&gt;=40</f>
        <v/>
      </c>
      <c r="D1497">
        <f>IF(Skills!C4=1,60+Inputs!$B$25+Inputs!$B$29,IF(Skills!C4=2,90+Inputs!$B$26+Inputs!$B$29,IF(Skills!C4=3,120+Inputs!$B$27+Inputs!$B$29,MAX(0,(Inputs!$B$3-100)*3)+Inputs!$B$28+Inputs!$B$29)))</f>
        <v/>
      </c>
      <c r="E1497">
        <f>INDEX(FactorTable!$B$2:$Y$301, MATCH(ROUND(MIN(300,MAX(1,D1497)),0), FactorTable!$A$2:$A$301,0), Skills!M4+1)</f>
        <v/>
      </c>
      <c r="F1497">
        <f>IF(Skills!N4=TRUE,(Skills!L4/10)*(E1497/1000),Skills!L4/10)+Skills!O4</f>
        <v/>
      </c>
      <c r="G1497">
        <f>Calc!G4</f>
        <v/>
      </c>
      <c r="H1497">
        <f>Calc!H4</f>
        <v/>
      </c>
      <c r="I1497">
        <f>IF(Skills!AA4&lt;&gt;"",1+(Skills!AA4/10)*(U1496/1000)/100,1)</f>
        <v/>
      </c>
      <c r="J1497">
        <f>((Inputs!$B$6*(1+Inputs!$B$7/100))+(((Inputs!$B$12*(1+Inputs!$B$13/100))-(Inputs!$B$12*(1+Inputs!$B$13/100)))+0.25*(Inputs!$B$14-Inputs!$B$14))*(1+Inputs!$B$7/100))*(F1497/100)</f>
        <v/>
      </c>
      <c r="K1497">
        <f>J1497*(1+((Inputs!$B$12*(1+Inputs!$B$13/100))*0.01+Inputs!$B$14*0.0025)/100)*(1+Inputs!$B$15/100)*(1+Inputs!$B$16/100)*(5000/(6000+Inputs!$B$43*(1-(100*(1-(1-(Inputs!$B$19+0)/100)*(1-CHOOSE(ArtifactsInput!$N$40+1,5,6,7,8,9,10)/100)^(ArtifactsInput!$M$40-ArtifactsInput!$M$40)))/100)))*(1+(Inputs!$B$24+((C1523=TRUE)*(F1523-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1516=TRUE)*(F1516-Calc!F23))+(((IF(AND(ArtifactsInput!$M$42,((Inputs!$B$9+((C1518=TRUE)*(F1518-Calc!F25))+B1533+(ArtifactsInput!$M$24-ArtifactsInput!$M$24)*CHOOSE(ArtifactsInput!$N$24+1,10,12,14,16,18,20)+IF(ArtifactsInput!$M$10,CHOOSE(ArtifactsInput!$N$10+1,15,18,21,24,27,30)*(IF(Inputs!$B$39="pvp",MIN(15,15)/15,IF(AND(Inputs!$B$39&lt;&gt;"pvp",Inputs!$B$44&gt;0),MIN(15,Inputs!$B$44)/(Inputs!$B$44),0))),0)))&gt;=100),MIN(100,((Inputs!$B$9+((C1518=TRUE)*(F1518-Calc!F25))+B1533+(ArtifactsInput!$M$24-ArtifactsInput!$M$24)*CHOOSE(ArtifactsInput!$N$24+1,10,12,14,16,18,20)+IF(ArtifactsInput!$M$10,CHOOSE(ArtifactsInput!$N$10+1,15,18,21,24,27,30)*(IF(Inputs!$B$39="pvp",MIN(15,15)/15,IF(AND(Inputs!$B$39&lt;&gt;"pvp",Inputs!$B$44&gt;0),MIN(15,Inputs!$B$44)/(Inputs!$B$44),0))),0)))-100),0))*CHOOSE(ArtifactsInput!$N$42+1,0.6,0.72,0.84,0.96,1.08,1.2))),Inputs!$B$18+((C1522=TRUE)*(F1522-Calc!F29))+(IF(AND(ArtifactsInput!$M$42,((Inputs!$B$9+((C1518=TRUE)*(F1518-Calc!F25))+B1533+(ArtifactsInput!$M$24-ArtifactsInput!$M$24)*CHOOSE(ArtifactsInput!$N$24+1,10,12,14,16,18,20)+IF(ArtifactsInput!$M$10,CHOOSE(ArtifactsInput!$N$10+1,15,18,21,24,27,30)*(IF(Inputs!$B$39="pvp",MIN(15,15)/15,IF(AND(Inputs!$B$39&lt;&gt;"pvp",Inputs!$B$44&gt;0),MIN(15,Inputs!$B$44)/(Inputs!$B$44),0))),0)))&gt;=100),CHOOSE(ArtifactsInput!$N$42+1,40,48,56,64,72,80),0))))/100)*(((1+(((C1514=TRUE)*F1514*IF(AND(Inputs!$B$39&lt;&gt;"pvp",Inputs!$B$44&gt;0),(((R1514-1)*(Skills!Y21*(1+Inputs!$B$34/100))+MIN((Skills!Y21*(1+Inputs!$B$34/100)),MAX(0,Inputs!$B$44-((R1514-1)*Skills!D21))))/Inputs!$B$44),IF(Inputs!$B$39="pvp",MIN((Skills!Y21*(1+Inputs!$B$34/100)),15)/15,(Skills!Y21*(1+Inputs!$B$34/100))/Skills!D21)))+((C1521=TRUE)*(F1521-Calc!F28))+((C1511=TRUE)*(F1511-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1508=TRUE)*F1508*IF(AND(Inputs!$B$39&lt;&gt;"pvp",Inputs!$B$44&gt;0),(((R1508-1)*(Skills!Y15*(1+Inputs!$B$34/100))+MIN((Skills!Y15*(1+Inputs!$B$34/100)),MAX(0,Inputs!$B$44-((R1508-1)*Skills!D15))))/Inputs!$B$44),IF(Inputs!$B$39="pvp",MIN((Skills!Y15*(1+Inputs!$B$34/100)),15)/15,(Skills!Y15*(1+Inputs!$B$34/100))/Skills!D15)))/100)*(1+((C1499=TRUE)*F1499*B1527)/100))*B1535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1497)</f>
        <v/>
      </c>
      <c r="L1497">
        <f>K1497*(MIN(Inputs!$B$22+((C1517=TRUE)*(F1517-Calc!F24)),(Inputs!$B$23+0+(IF(ArtifactsInput!$M$15,CHOOSE(ArtifactsInput!$N$15+1,25,30,35,40,45,50)/100*(Inputs!$B$11-Inputs!$B$11),0))))/100+(Inputs!$B$23+0+(IF(ArtifactsInput!$M$15,CHOOSE(ArtifactsInput!$N$15+1,25,30,35,40,45,50)/100*(Inputs!$B$11-Inputs!$B$11),0)))/100)/2</f>
        <v/>
      </c>
      <c r="M1497">
        <f>L1497*(1+(Inputs!$B$10+((C1519=TRUE)*(F1519-Calc!F26))+B1536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97">
        <f>L1497*(1-MIN((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1497*(MIN((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97">
        <f>(1-Summary!$B$11)*T1497+Summary!$B$11*V1497</f>
        <v/>
      </c>
      <c r="P1497">
        <f>IF(B1537=0,0,O1497/B1537)</f>
        <v/>
      </c>
      <c r="Q1497">
        <f>IFERROR(1/IF(Inputs!$B$39="pvp",15,MAX(0.1,Skills!D4-IF(Skills!E4=TRUE,Inputs!$B$32,0))),0)</f>
        <v/>
      </c>
      <c r="R1497">
        <f>IF(AND(Inputs!$B$39&lt;&gt;"pvp",Inputs!$B$44&gt;0),IF(MAX(0,Inputs!$B$44-B1538)&lt;=0,0,(INT(MAX(0,Inputs!$B$44-B1538)/IF(Inputs!$B$39="pvp",15,MAX(0.1,Skills!D4-IF(Skills!E4=TRUE,Inputs!$B$32,0))))+1)),0)</f>
        <v/>
      </c>
      <c r="S1497">
        <f>IFERROR(O1497/N1497,0)</f>
        <v/>
      </c>
      <c r="T1497">
        <f>IF(C1497,(H1497*N1497*IF(AND(Inputs!$B$39&lt;&gt;"pvp",Inputs!$B$44&gt;0),((Skills!G4*((R1497-1)*IF(Skills!H4&gt;0,Skills!I4/Skills!H4,1)+IF(Skills!H4&gt;0,MIN(Skills!I4,MAX(0,MAX(0,Inputs!$B$44-B1538)-((R1497-1)*IF(Inputs!$B$39="pvp",15,MAX(0.1,Skills!D4-IF(Skills!E4=TRUE,Inputs!$B$32,0))))))/Skills!H4,1)))/Inputs!$B$44),G1497*Q1497))*IF(Inputs!$B$39="pvp",1,1+(Inputs!$B$20+((C1520=TRUE)*(F1520-Calc!F27))+Skills!P4+B1534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Hunt"),CHOOSE(ArtifactsInput!$N$35+1,15,18,21,24,27,30)*(1-EXP(-(0.2*B1529)*5)),0)+IF(AND(ArtifactsInput!$M$22,Inputs!$B$4&lt;&gt;"Chapter Hunt"),CHOOSE(ArtifactsInput!$N$22+1,10,12,14,16,18,20)*((0*(((0.15*B1529*5))^0/1)+1*(((0.15*B1529*5))^1/1)+2*(((0.15*B1529*5))^2/2)+3*(((0.15*B1529*5))^3/6)+4*(((0.15*B1529*5))^4/24)+5*(((0.15*B1529*5))^5/120))/((((0.15*B1529*5))^0/1)+(((0.15*B1529*5))^1/1)+(((0.15*B1529*5))^2/2)+(((0.15*B1529*5))^3/6)+(((0.15*B1529*5))^4/24)+(((0.15*B1529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1497*(1-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1497*(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1497*(1-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1497*(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97">
        <f>MAX(0,(Inputs!$B$3-100)*3)+Inputs!$B$28+Inputs!$B$29</f>
        <v/>
      </c>
      <c r="V1497">
        <f>IF(C1497,(H1497*N1497*IF(AND(Inputs!$B$39&lt;&gt;"pvp",Inputs!$B$44&gt;0),((Skills!G4*((R1497-1)*IF(Skills!H4&gt;0,Skills!I4/Skills!H4,1)+IF(Skills!H4&gt;0,MIN(Skills!I4,MAX(0,MAX(0,Inputs!$B$44-B1538)-((R1497-1)*IF(Inputs!$B$39="pvp",15,MAX(0.1,Skills!D4-IF(Skills!E4=TRUE,Inputs!$B$32,0))))))/Skills!H4,1)))/Inputs!$B$44),G1497*Q1497))*IF(Inputs!$B$39="pvp",1,(1+(Inputs!$B$21+Skills!Q4+B1534+(IF(ArtifactsInput!$M$33,CHOOSE(ArtifactsInput!$N$33+1,30,36,42,48,54,60),0))+(IF(AND(ArtifactsInput!$M$35,Inputs!$B$4&lt;&gt;"Chapter Hunt"),CHOOSE(ArtifactsInput!$N$35+1,15,18,21,24,27,30)*(1-EXP(-(0.2*B1529)*5)),0)+IF(AND(ArtifactsInput!$M$22,Inputs!$B$4&lt;&gt;"Chapter Hunt"),CHOOSE(ArtifactsInput!$N$22+1,10,12,14,16,18,20)*((0*(((0.15*B1529*5))^0/1)+1*(((0.15*B1529*5))^1/1)+2*(((0.15*B1529*5))^2/2)+3*(((0.15*B1529*5))^3/6)+4*(((0.15*B1529*5))^4/24)+5*(((0.15*B1529*5))^5/120))/((((0.15*B1529*5))^0/1)+(((0.15*B1529*5))^1/1)+(((0.15*B1529*5))^2/2)+(((0.15*B1529*5))^3/6)+(((0.15*B1529*5))^4/24)+(((0.15*B1529*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98">
      <c r="A1498">
        <f>Skills!A5</f>
        <v/>
      </c>
      <c r="B1498">
        <f>Skills!B5</f>
        <v/>
      </c>
      <c r="C1498">
        <f>Inputs!$B$3&gt;=63</f>
        <v/>
      </c>
      <c r="D1498">
        <f>IF(Skills!C5=1,60+Inputs!$B$25+Inputs!$B$29,IF(Skills!C5=2,90+Inputs!$B$26+Inputs!$B$29,IF(Skills!C5=3,120+Inputs!$B$27+Inputs!$B$29,MAX(0,(Inputs!$B$3-100)*3)+Inputs!$B$28+Inputs!$B$29)))</f>
        <v/>
      </c>
      <c r="E1498">
        <f>INDEX(FactorTable!$B$2:$Y$301, MATCH(ROUND(MIN(300,MAX(1,D1498)),0), FactorTable!$A$2:$A$301,0), Skills!M5+1)</f>
        <v/>
      </c>
      <c r="F1498">
        <f>IF(Skills!N5=TRUE,(Skills!L5/10)*(E1498/1000),Skills!L5/10)+Skills!O5</f>
        <v/>
      </c>
      <c r="G1498">
        <f>Calc!G5</f>
        <v/>
      </c>
      <c r="H1498">
        <f>Calc!H5</f>
        <v/>
      </c>
      <c r="I1498">
        <f>IF(Skills!AA5&lt;&gt;"",1+(Skills!AA5/10)*(U1496/1000)/100,1)</f>
        <v/>
      </c>
      <c r="J1498">
        <f>((Inputs!$B$6*(1+Inputs!$B$7/100))+(((Inputs!$B$12*(1+Inputs!$B$13/100))-(Inputs!$B$12*(1+Inputs!$B$13/100)))+0.25*(Inputs!$B$14-Inputs!$B$14))*(1+Inputs!$B$7/100))*(F1498/100)</f>
        <v/>
      </c>
      <c r="K1498">
        <f>J1498*(1+((Inputs!$B$12*(1+Inputs!$B$13/100))*0.01+Inputs!$B$14*0.0025)/100)*(1+Inputs!$B$15/100)*(1+Inputs!$B$16/100)*(5000/(6000+Inputs!$B$43*(1-(100*(1-(1-(Inputs!$B$19+0)/100)*(1-CHOOSE(ArtifactsInput!$N$40+1,5,6,7,8,9,10)/100)^(ArtifactsInput!$M$40-ArtifactsInput!$M$40)))/100)))*(1+(Inputs!$B$24+((C1523=TRUE)*(F1523-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1516=TRUE)*(F1516-Calc!F23))+(((IF(AND(ArtifactsInput!$M$42,((Inputs!$B$9+((C1518=TRUE)*(F1518-Calc!F25))+B1533+(ArtifactsInput!$M$24-ArtifactsInput!$M$24)*CHOOSE(ArtifactsInput!$N$24+1,10,12,14,16,18,20)+IF(ArtifactsInput!$M$10,CHOOSE(ArtifactsInput!$N$10+1,15,18,21,24,27,30)*(IF(Inputs!$B$39="pvp",MIN(15,15)/15,IF(AND(Inputs!$B$39&lt;&gt;"pvp",Inputs!$B$44&gt;0),MIN(15,Inputs!$B$44)/(Inputs!$B$44),0))),0)))&gt;=100),MIN(100,((Inputs!$B$9+((C1518=TRUE)*(F1518-Calc!F25))+B1533+(ArtifactsInput!$M$24-ArtifactsInput!$M$24)*CHOOSE(ArtifactsInput!$N$24+1,10,12,14,16,18,20)+IF(ArtifactsInput!$M$10,CHOOSE(ArtifactsInput!$N$10+1,15,18,21,24,27,30)*(IF(Inputs!$B$39="pvp",MIN(15,15)/15,IF(AND(Inputs!$B$39&lt;&gt;"pvp",Inputs!$B$44&gt;0),MIN(15,Inputs!$B$44)/(Inputs!$B$44),0))),0)))-100),0))*CHOOSE(ArtifactsInput!$N$42+1,0.6,0.72,0.84,0.96,1.08,1.2))),Inputs!$B$18+((C1522=TRUE)*(F1522-Calc!F29))+(IF(AND(ArtifactsInput!$M$42,((Inputs!$B$9+((C1518=TRUE)*(F1518-Calc!F25))+B1533+(ArtifactsInput!$M$24-ArtifactsInput!$M$24)*CHOOSE(ArtifactsInput!$N$24+1,10,12,14,16,18,20)+IF(ArtifactsInput!$M$10,CHOOSE(ArtifactsInput!$N$10+1,15,18,21,24,27,30)*(IF(Inputs!$B$39="pvp",MIN(15,15)/15,IF(AND(Inputs!$B$39&lt;&gt;"pvp",Inputs!$B$44&gt;0),MIN(15,Inputs!$B$44)/(Inputs!$B$44),0))),0)))&gt;=100),CHOOSE(ArtifactsInput!$N$42+1,40,48,56,64,72,80),0))))/100)*(((1+(((C1514=TRUE)*F1514*IF(AND(Inputs!$B$39&lt;&gt;"pvp",Inputs!$B$44&gt;0),(((R1514-1)*(Skills!Y21*(1+Inputs!$B$34/100))+MIN((Skills!Y21*(1+Inputs!$B$34/100)),MAX(0,Inputs!$B$44-((R1514-1)*Skills!D21))))/Inputs!$B$44),IF(Inputs!$B$39="pvp",MIN((Skills!Y21*(1+Inputs!$B$34/100)),15)/15,(Skills!Y21*(1+Inputs!$B$34/100))/Skills!D21)))+((C1521=TRUE)*(F1521-Calc!F28))+((C1511=TRUE)*(F1511-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1508=TRUE)*F1508*IF(AND(Inputs!$B$39&lt;&gt;"pvp",Inputs!$B$44&gt;0),(((R1508-1)*(Skills!Y15*(1+Inputs!$B$34/100))+MIN((Skills!Y15*(1+Inputs!$B$34/100)),MAX(0,Inputs!$B$44-((R1508-1)*Skills!D15))))/Inputs!$B$44),IF(Inputs!$B$39="pvp",MIN((Skills!Y15*(1+Inputs!$B$34/100)),15)/15,(Skills!Y15*(1+Inputs!$B$34/100))/Skills!D15)))/100)*(1+((C1499=TRUE)*F1499*B1527)/100))*B1535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1498)</f>
        <v/>
      </c>
      <c r="L1498">
        <f>K1498*(MIN(Inputs!$B$22+((C1517=TRUE)*(F1517-Calc!F24)),(Inputs!$B$23+0+(IF(ArtifactsInput!$M$15,CHOOSE(ArtifactsInput!$N$15+1,25,30,35,40,45,50)/100*(Inputs!$B$11-Inputs!$B$11),0))))/100+(Inputs!$B$23+0+(IF(ArtifactsInput!$M$15,CHOOSE(ArtifactsInput!$N$15+1,25,30,35,40,45,50)/100*(Inputs!$B$11-Inputs!$B$11),0)))/100)/2</f>
        <v/>
      </c>
      <c r="M1498">
        <f>L1498*(1+(Inputs!$B$10+((C1519=TRUE)*(F1519-Calc!F26))+B1536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98">
        <f>L1498*(1-MIN((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1498*(MIN((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98">
        <f>(1-Summary!$B$11)*T1498+Summary!$B$11*V1498</f>
        <v/>
      </c>
      <c r="P1498">
        <f>IF(B1537=0,0,O1498/B1537)</f>
        <v/>
      </c>
      <c r="Q1498">
        <f>IFERROR(1/IF(Inputs!$B$39="pvp",15,MAX(0.1,Skills!D5-IF(Skills!E5=TRUE,Inputs!$B$32,0))),0)</f>
        <v/>
      </c>
      <c r="R1498">
        <f>IF(AND(Inputs!$B$39&lt;&gt;"pvp",Inputs!$B$44&gt;0),IF(MAX(0,Inputs!$B$44-B1538)&lt;=0,0,(INT(MAX(0,Inputs!$B$44-B1538)/IF(Inputs!$B$39="pvp",15,MAX(0.1,Skills!D5-IF(Skills!E5=TRUE,Inputs!$B$32,0))))+1)),0)</f>
        <v/>
      </c>
      <c r="S1498">
        <f>IFERROR(O1498/N1498,0)</f>
        <v/>
      </c>
      <c r="T1498">
        <f>IF(C1498,(H1498*N1498*IF(AND(Inputs!$B$39&lt;&gt;"pvp",Inputs!$B$44&gt;0),((Skills!G5*((R1498-1)*IF(Skills!H5&gt;0,Skills!I5/Skills!H5,1)+IF(Skills!H5&gt;0,MIN(Skills!I5,MAX(0,MAX(0,Inputs!$B$44-B1538)-((R1498-1)*IF(Inputs!$B$39="pvp",15,MAX(0.1,Skills!D5-IF(Skills!E5=TRUE,Inputs!$B$32,0))))))/Skills!H5,1)))/Inputs!$B$44),G1498*Q1498))*IF(Inputs!$B$39="pvp",1,1+(Inputs!$B$20+((C1520=TRUE)*(F1520-Calc!F27))+Skills!P5+B1534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Hunt"),CHOOSE(ArtifactsInput!$N$35+1,15,18,21,24,27,30)*(1-EXP(-(0.2*B1529)*5)),0)+IF(AND(ArtifactsInput!$M$22,Inputs!$B$4&lt;&gt;"Chapter Hunt"),CHOOSE(ArtifactsInput!$N$22+1,10,12,14,16,18,20)*((0*(((0.15*B1529*5))^0/1)+1*(((0.15*B1529*5))^1/1)+2*(((0.15*B1529*5))^2/2)+3*(((0.15*B1529*5))^3/6)+4*(((0.15*B1529*5))^4/24)+5*(((0.15*B1529*5))^5/120))/((((0.15*B1529*5))^0/1)+(((0.15*B1529*5))^1/1)+(((0.15*B1529*5))^2/2)+(((0.15*B1529*5))^3/6)+(((0.15*B1529*5))^4/24)+(((0.15*B1529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1498*(1-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1498*(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1498*(1-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1498*(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98">
        <f>INDEX(FactorTable!$B$2:$Y$301, MATCH(ROUND(MIN(300,MAX(1,U1497)),0), FactorTable!$A$2:$A$301,0), 22)</f>
        <v/>
      </c>
      <c r="V1498">
        <f>IF(C1498,(H1498*N1498*IF(AND(Inputs!$B$39&lt;&gt;"pvp",Inputs!$B$44&gt;0),((Skills!G5*((R1498-1)*IF(Skills!H5&gt;0,Skills!I5/Skills!H5,1)+IF(Skills!H5&gt;0,MIN(Skills!I5,MAX(0,MAX(0,Inputs!$B$44-B1538)-((R1498-1)*IF(Inputs!$B$39="pvp",15,MAX(0.1,Skills!D5-IF(Skills!E5=TRUE,Inputs!$B$32,0))))))/Skills!H5,1)))/Inputs!$B$44),G1498*Q1498))*IF(Inputs!$B$39="pvp",1,(1+(Inputs!$B$21+Skills!Q5+B1534+(IF(ArtifactsInput!$M$33,CHOOSE(ArtifactsInput!$N$33+1,30,36,42,48,54,60),0))+(IF(AND(ArtifactsInput!$M$35,Inputs!$B$4&lt;&gt;"Chapter Hunt"),CHOOSE(ArtifactsInput!$N$35+1,15,18,21,24,27,30)*(1-EXP(-(0.2*B1529)*5)),0)+IF(AND(ArtifactsInput!$M$22,Inputs!$B$4&lt;&gt;"Chapter Hunt"),CHOOSE(ArtifactsInput!$N$22+1,10,12,14,16,18,20)*((0*(((0.15*B1529*5))^0/1)+1*(((0.15*B1529*5))^1/1)+2*(((0.15*B1529*5))^2/2)+3*(((0.15*B1529*5))^3/6)+4*(((0.15*B1529*5))^4/24)+5*(((0.15*B1529*5))^5/120))/((((0.15*B1529*5))^0/1)+(((0.15*B1529*5))^1/1)+(((0.15*B1529*5))^2/2)+(((0.15*B1529*5))^3/6)+(((0.15*B1529*5))^4/24)+(((0.15*B1529*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99">
      <c r="A1499">
        <f>Skills!A6</f>
        <v/>
      </c>
      <c r="B1499">
        <f>Skills!B6</f>
        <v/>
      </c>
      <c r="C1499">
        <f>Inputs!$B$3&gt;=66</f>
        <v/>
      </c>
      <c r="D1499">
        <f>IF(Skills!C6=1,60+Inputs!$B$25+Inputs!$B$29,IF(Skills!C6=2,90+Inputs!$B$26+Inputs!$B$29,IF(Skills!C6=3,120+Inputs!$B$27+Inputs!$B$29,MAX(0,(Inputs!$B$3-100)*3)+Inputs!$B$28+Inputs!$B$29)))</f>
        <v/>
      </c>
      <c r="E1499">
        <f>INDEX(FactorTable!$B$2:$Y$301, MATCH(ROUND(MIN(300,MAX(1,D1499)),0), FactorTable!$A$2:$A$301,0), Skills!M6+1)</f>
        <v/>
      </c>
      <c r="F1499">
        <f>IF(Skills!N6=TRUE,(Skills!L6/10)*(E1499/1000),Skills!L6/10)+Skills!O6</f>
        <v/>
      </c>
      <c r="G1499">
        <f>Calc!G6</f>
        <v/>
      </c>
      <c r="H1499">
        <f>Calc!H6</f>
        <v/>
      </c>
      <c r="I1499">
        <f>IF(Skills!AA6&lt;&gt;"",1+(Skills!AA6/10)*(U1496/1000)/100,1)</f>
        <v/>
      </c>
      <c r="J1499" t="inlineStr"/>
      <c r="K1499" t="inlineStr"/>
      <c r="L1499" t="inlineStr"/>
      <c r="M1499" t="inlineStr"/>
      <c r="N1499" t="inlineStr"/>
      <c r="O1499">
        <f>(1-Summary!$B$11)*T1499+Summary!$B$11*V1499</f>
        <v/>
      </c>
      <c r="P1499">
        <f>IF(B1537=0,0,O1499/B1537)</f>
        <v/>
      </c>
      <c r="Q1499" t="n">
        <v>0</v>
      </c>
      <c r="R1499" t="n">
        <v>0</v>
      </c>
      <c r="S1499">
        <f>IFERROR(O1499/N1499,0)</f>
        <v/>
      </c>
      <c r="T1499" t="n">
        <v>0</v>
      </c>
      <c r="U1499">
        <f>290*U1498/1000</f>
        <v/>
      </c>
      <c r="V1499" t="n">
        <v>0</v>
      </c>
    </row>
    <row r="1500">
      <c r="A1500">
        <f>Skills!A7</f>
        <v/>
      </c>
      <c r="B1500">
        <f>Skills!B7</f>
        <v/>
      </c>
      <c r="C1500">
        <f>Inputs!$B$3&gt;=66</f>
        <v/>
      </c>
      <c r="D1500">
        <f>IF(Skills!C7=1,60+Inputs!$B$25+Inputs!$B$29,IF(Skills!C7=2,90+Inputs!$B$26+Inputs!$B$29,IF(Skills!C7=3,120+Inputs!$B$27+Inputs!$B$29,MAX(0,(Inputs!$B$3-100)*3)+Inputs!$B$28+Inputs!$B$29)))</f>
        <v/>
      </c>
      <c r="E1500">
        <f>INDEX(FactorTable!$B$2:$Y$301, MATCH(ROUND(MIN(300,MAX(1,D1500)),0), FactorTable!$A$2:$A$301,0), Skills!M7+1)</f>
        <v/>
      </c>
      <c r="F1500">
        <f>IF(Skills!N7=TRUE,(Skills!L7/10)*(E1500/1000),Skills!L7/10)+Skills!O7</f>
        <v/>
      </c>
      <c r="G1500">
        <f>Calc!G7</f>
        <v/>
      </c>
      <c r="H1500">
        <f>Calc!H7</f>
        <v/>
      </c>
      <c r="I1500">
        <f>IF(Skills!AA7&lt;&gt;"",1+(Skills!AA7/10)*(U1496/1000)/100,1)</f>
        <v/>
      </c>
      <c r="J1500" t="inlineStr"/>
      <c r="K1500" t="inlineStr"/>
      <c r="L1500" t="inlineStr"/>
      <c r="M1500" t="inlineStr"/>
      <c r="N1500" t="inlineStr"/>
      <c r="O1500">
        <f>(1-Summary!$B$11)*T1500+Summary!$B$11*V1500</f>
        <v/>
      </c>
      <c r="P1500">
        <f>IF(B1537=0,0,O1500/B1537)</f>
        <v/>
      </c>
      <c r="Q1500" t="n">
        <v>0</v>
      </c>
      <c r="R1500" t="n">
        <v>0</v>
      </c>
      <c r="S1500">
        <f>IFERROR(O1500/N1500,0)</f>
        <v/>
      </c>
      <c r="T1500" t="n">
        <v>0</v>
      </c>
      <c r="V1500" t="n">
        <v>0</v>
      </c>
    </row>
    <row r="1501">
      <c r="A1501">
        <f>Skills!A8</f>
        <v/>
      </c>
      <c r="B1501">
        <f>Skills!B8</f>
        <v/>
      </c>
      <c r="C1501">
        <f>Inputs!$B$3&gt;=69</f>
        <v/>
      </c>
      <c r="D1501">
        <f>IF(Skills!C8=1,60+Inputs!$B$25+Inputs!$B$29,IF(Skills!C8=2,90+Inputs!$B$26+Inputs!$B$29,IF(Skills!C8=3,120+Inputs!$B$27+Inputs!$B$29,MAX(0,(Inputs!$B$3-100)*3)+Inputs!$B$28+Inputs!$B$29)))</f>
        <v/>
      </c>
      <c r="E1501">
        <f>INDEX(FactorTable!$B$2:$Y$301, MATCH(ROUND(MIN(300,MAX(1,D1501)),0), FactorTable!$A$2:$A$301,0), Skills!M8+1)</f>
        <v/>
      </c>
      <c r="F1501">
        <f>IF(Skills!N8=TRUE,(Skills!L8/10)*(E1501/1000),Skills!L8/10)+Skills!O8</f>
        <v/>
      </c>
      <c r="G1501">
        <f>Calc!G8</f>
        <v/>
      </c>
      <c r="H1501">
        <f>Calc!H8</f>
        <v/>
      </c>
      <c r="I1501">
        <f>IF(Skills!AA8&lt;&gt;"",1+(Skills!AA8/10)*(U1496/1000)/100,1)</f>
        <v/>
      </c>
      <c r="J1501">
        <f>((Inputs!$B$6*(1+Inputs!$B$7/100))+(((Inputs!$B$12*(1+Inputs!$B$13/100))-(Inputs!$B$12*(1+Inputs!$B$13/100)))+0.25*(Inputs!$B$14-Inputs!$B$14))*(1+Inputs!$B$7/100))*(F1501/100)</f>
        <v/>
      </c>
      <c r="K1501">
        <f>J1501*(1+((Inputs!$B$12*(1+Inputs!$B$13/100))*0.01+Inputs!$B$14*0.0025)/100)*(1+Inputs!$B$15/100)*(1+Inputs!$B$16/100)*(5000/(6000+Inputs!$B$43*(1-(100*(1-(1-(Inputs!$B$19+0)/100)*(1-CHOOSE(ArtifactsInput!$N$40+1,5,6,7,8,9,10)/100)^(ArtifactsInput!$M$40-ArtifactsInput!$M$40)))/100)))*(1+(Inputs!$B$24+((C1523=TRUE)*(F1523-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1516=TRUE)*(F1516-Calc!F23))+(((IF(AND(ArtifactsInput!$M$42,((Inputs!$B$9+((C1518=TRUE)*(F1518-Calc!F25))+B1533+(ArtifactsInput!$M$24-ArtifactsInput!$M$24)*CHOOSE(ArtifactsInput!$N$24+1,10,12,14,16,18,20)+IF(ArtifactsInput!$M$10,CHOOSE(ArtifactsInput!$N$10+1,15,18,21,24,27,30)*(IF(Inputs!$B$39="pvp",MIN(15,15)/15,IF(AND(Inputs!$B$39&lt;&gt;"pvp",Inputs!$B$44&gt;0),MIN(15,Inputs!$B$44)/(Inputs!$B$44),0))),0)))&gt;=100),MIN(100,((Inputs!$B$9+((C1518=TRUE)*(F1518-Calc!F25))+B1533+(ArtifactsInput!$M$24-ArtifactsInput!$M$24)*CHOOSE(ArtifactsInput!$N$24+1,10,12,14,16,18,20)+IF(ArtifactsInput!$M$10,CHOOSE(ArtifactsInput!$N$10+1,15,18,21,24,27,30)*(IF(Inputs!$B$39="pvp",MIN(15,15)/15,IF(AND(Inputs!$B$39&lt;&gt;"pvp",Inputs!$B$44&gt;0),MIN(15,Inputs!$B$44)/(Inputs!$B$44),0))),0)))-100),0))*CHOOSE(ArtifactsInput!$N$42+1,0.6,0.72,0.84,0.96,1.08,1.2))),Inputs!$B$18+((C1522=TRUE)*(F1522-Calc!F29))+(IF(AND(ArtifactsInput!$M$42,((Inputs!$B$9+((C1518=TRUE)*(F1518-Calc!F25))+B1533+(ArtifactsInput!$M$24-ArtifactsInput!$M$24)*CHOOSE(ArtifactsInput!$N$24+1,10,12,14,16,18,20)+IF(ArtifactsInput!$M$10,CHOOSE(ArtifactsInput!$N$10+1,15,18,21,24,27,30)*(IF(Inputs!$B$39="pvp",MIN(15,15)/15,IF(AND(Inputs!$B$39&lt;&gt;"pvp",Inputs!$B$44&gt;0),MIN(15,Inputs!$B$44)/(Inputs!$B$44),0))),0)))&gt;=100),CHOOSE(ArtifactsInput!$N$42+1,40,48,56,64,72,80),0))))/100)*(((1+(((C1514=TRUE)*F1514*IF(AND(Inputs!$B$39&lt;&gt;"pvp",Inputs!$B$44&gt;0),(((R1514-1)*(Skills!Y21*(1+Inputs!$B$34/100))+MIN((Skills!Y21*(1+Inputs!$B$34/100)),MAX(0,Inputs!$B$44-((R1514-1)*Skills!D21))))/Inputs!$B$44),IF(Inputs!$B$39="pvp",MIN((Skills!Y21*(1+Inputs!$B$34/100)),15)/15,(Skills!Y21*(1+Inputs!$B$34/100))/Skills!D21)))+((C1521=TRUE)*(F1521-Calc!F28))+((C1511=TRUE)*(F1511-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1508=TRUE)*F1508*IF(AND(Inputs!$B$39&lt;&gt;"pvp",Inputs!$B$44&gt;0),(((R1508-1)*(Skills!Y15*(1+Inputs!$B$34/100))+MIN((Skills!Y15*(1+Inputs!$B$34/100)),MAX(0,Inputs!$B$44-((R1508-1)*Skills!D15))))/Inputs!$B$44),IF(Inputs!$B$39="pvp",MIN((Skills!Y15*(1+Inputs!$B$34/100)),15)/15,(Skills!Y15*(1+Inputs!$B$34/100))/Skills!D15)))/100)*(1+((C1499=TRUE)*F1499*B1527)/100))*B1535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1501)</f>
        <v/>
      </c>
      <c r="L1501">
        <f>K1501*(MIN(Inputs!$B$22+((C1517=TRUE)*(F1517-Calc!F24)),(Inputs!$B$23+0+(IF(ArtifactsInput!$M$15,CHOOSE(ArtifactsInput!$N$15+1,25,30,35,40,45,50)/100*(Inputs!$B$11-Inputs!$B$11),0))))/100+(Inputs!$B$23+0+(IF(ArtifactsInput!$M$15,CHOOSE(ArtifactsInput!$N$15+1,25,30,35,40,45,50)/100*(Inputs!$B$11-Inputs!$B$11),0)))/100)/2</f>
        <v/>
      </c>
      <c r="M1501">
        <f>L1501*(1+(Inputs!$B$10+((C1519=TRUE)*(F1519-Calc!F26))+B1536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01">
        <f>L1501*(1-MIN((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1501*(MIN((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01">
        <f>(1-Summary!$B$11)*T1501+Summary!$B$11*V1501</f>
        <v/>
      </c>
      <c r="P1501">
        <f>IF(B1537=0,0,O1501/B1537)</f>
        <v/>
      </c>
      <c r="Q1501">
        <f>IFERROR(1/IF(Inputs!$B$39="pvp",15,MAX(0.1,Skills!D8-IF(Skills!E8=TRUE,Inputs!$B$32,0))),0)</f>
        <v/>
      </c>
      <c r="R1501">
        <f>IF(AND(Inputs!$B$39&lt;&gt;"pvp",Inputs!$B$44&gt;0),IF(MAX(0,Inputs!$B$44-B1538)&lt;=0,0,(INT(MAX(0,Inputs!$B$44-B1538)/IF(Inputs!$B$39="pvp",15,MAX(0.1,Skills!D8-IF(Skills!E8=TRUE,Inputs!$B$32,0))))+1)),0)</f>
        <v/>
      </c>
      <c r="S1501">
        <f>IFERROR(O1501/N1501,0)</f>
        <v/>
      </c>
      <c r="T1501">
        <f>IF(C1501,(H1501*N1501*IF(AND(Inputs!$B$39&lt;&gt;"pvp",Inputs!$B$44&gt;0),((Skills!G8*((R1501-1)*IF(Skills!H8&gt;0,Skills!I8/Skills!H8,1)+IF(Skills!H8&gt;0,MIN(Skills!I8,MAX(0,MAX(0,Inputs!$B$44-B1538)-((R1501-1)*IF(Inputs!$B$39="pvp",15,MAX(0.1,Skills!D8-IF(Skills!E8=TRUE,Inputs!$B$32,0))))))/Skills!H8,1)))/Inputs!$B$44),G1501*Q1501))*IF(Inputs!$B$39="pvp",1,1+(Inputs!$B$20+((C1520=TRUE)*(F1520-Calc!F27))+Skills!P8+B1534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Hunt"),CHOOSE(ArtifactsInput!$N$35+1,15,18,21,24,27,30)*(1-EXP(-(0.2*B1529)*5)),0)+IF(AND(ArtifactsInput!$M$22,Inputs!$B$4&lt;&gt;"Chapter Hunt"),CHOOSE(ArtifactsInput!$N$22+1,10,12,14,16,18,20)*((0*(((0.15*B1529*5))^0/1)+1*(((0.15*B1529*5))^1/1)+2*(((0.15*B1529*5))^2/2)+3*(((0.15*B1529*5))^3/6)+4*(((0.15*B1529*5))^4/24)+5*(((0.15*B1529*5))^5/120))/((((0.15*B1529*5))^0/1)+(((0.15*B1529*5))^1/1)+(((0.15*B1529*5))^2/2)+(((0.15*B1529*5))^3/6)+(((0.15*B1529*5))^4/24)+(((0.15*B1529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1501*(1-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1501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1501*(1-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1501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01">
        <f>IF(C1501,(H1501*N1501*IF(AND(Inputs!$B$39&lt;&gt;"pvp",Inputs!$B$44&gt;0),((Skills!G8*((R1501-1)*IF(Skills!H8&gt;0,Skills!I8/Skills!H8,1)+IF(Skills!H8&gt;0,MIN(Skills!I8,MAX(0,MAX(0,Inputs!$B$44-B1538)-((R1501-1)*IF(Inputs!$B$39="pvp",15,MAX(0.1,Skills!D8-IF(Skills!E8=TRUE,Inputs!$B$32,0))))))/Skills!H8,1)))/Inputs!$B$44),G1501*Q1501))*IF(Inputs!$B$39="pvp",1,(1+(Inputs!$B$21+Skills!Q8+B1534+(IF(ArtifactsInput!$M$33,CHOOSE(ArtifactsInput!$N$33+1,30,36,42,48,54,60),0))+(IF(AND(ArtifactsInput!$M$35,Inputs!$B$4&lt;&gt;"Chapter Hunt"),CHOOSE(ArtifactsInput!$N$35+1,15,18,21,24,27,30)*(1-EXP(-(0.2*B1529)*5)),0)+IF(AND(ArtifactsInput!$M$22,Inputs!$B$4&lt;&gt;"Chapter Hunt"),CHOOSE(ArtifactsInput!$N$22+1,10,12,14,16,18,20)*((0*(((0.15*B1529*5))^0/1)+1*(((0.15*B1529*5))^1/1)+2*(((0.15*B1529*5))^2/2)+3*(((0.15*B1529*5))^3/6)+4*(((0.15*B1529*5))^4/24)+5*(((0.15*B1529*5))^5/120))/((((0.15*B1529*5))^0/1)+(((0.15*B1529*5))^1/1)+(((0.15*B1529*5))^2/2)+(((0.15*B1529*5))^3/6)+(((0.15*B1529*5))^4/24)+(((0.15*B1529*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02">
      <c r="A1502">
        <f>Skills!A9</f>
        <v/>
      </c>
      <c r="B1502">
        <f>Skills!B9</f>
        <v/>
      </c>
      <c r="C1502">
        <f>Inputs!$B$3&gt;=72</f>
        <v/>
      </c>
      <c r="D1502">
        <f>IF(Skills!C9=1,60+Inputs!$B$25+Inputs!$B$29,IF(Skills!C9=2,90+Inputs!$B$26+Inputs!$B$29,IF(Skills!C9=3,120+Inputs!$B$27+Inputs!$B$29,MAX(0,(Inputs!$B$3-100)*3)+Inputs!$B$28+Inputs!$B$29)))</f>
        <v/>
      </c>
      <c r="E1502">
        <f>INDEX(FactorTable!$B$2:$Y$301, MATCH(ROUND(MIN(300,MAX(1,D1502)),0), FactorTable!$A$2:$A$301,0), Skills!M9+1)</f>
        <v/>
      </c>
      <c r="F1502">
        <f>IF(Skills!N9=TRUE,(Skills!L9/10)*(E1502/1000),Skills!L9/10)+Skills!O9</f>
        <v/>
      </c>
      <c r="G1502">
        <f>Calc!G9</f>
        <v/>
      </c>
      <c r="H1502">
        <f>Calc!H9</f>
        <v/>
      </c>
      <c r="I1502">
        <f>IF(Skills!AA9&lt;&gt;"",1+(Skills!AA9/10)*(U1496/1000)/100,1)</f>
        <v/>
      </c>
      <c r="J1502">
        <f>((Inputs!$B$6*(1+Inputs!$B$7/100))+(((Inputs!$B$12*(1+Inputs!$B$13/100))-(Inputs!$B$12*(1+Inputs!$B$13/100)))+0.25*(Inputs!$B$14-Inputs!$B$14))*(1+Inputs!$B$7/100))*(F1502/100)</f>
        <v/>
      </c>
      <c r="K1502">
        <f>J1502*(1+((Inputs!$B$12*(1+Inputs!$B$13/100))*0.01+Inputs!$B$14*0.0025)/100)*(1+Inputs!$B$15/100)*(1+Inputs!$B$16/100)*(5000/(6000+Inputs!$B$43*(1-(100*(1-(1-(Inputs!$B$19+0)/100)*(1-CHOOSE(ArtifactsInput!$N$40+1,5,6,7,8,9,10)/100)^(ArtifactsInput!$M$40-ArtifactsInput!$M$40)))/100)))*(1+(Inputs!$B$24+((C1523=TRUE)*(F1523-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1516=TRUE)*(F1516-Calc!F23))+(((IF(AND(ArtifactsInput!$M$42,((Inputs!$B$9+((C1518=TRUE)*(F1518-Calc!F25))+B1533+(ArtifactsInput!$M$24-ArtifactsInput!$M$24)*CHOOSE(ArtifactsInput!$N$24+1,10,12,14,16,18,20)+IF(ArtifactsInput!$M$10,CHOOSE(ArtifactsInput!$N$10+1,15,18,21,24,27,30)*(IF(Inputs!$B$39="pvp",MIN(15,15)/15,IF(AND(Inputs!$B$39&lt;&gt;"pvp",Inputs!$B$44&gt;0),MIN(15,Inputs!$B$44)/(Inputs!$B$44),0))),0)))&gt;=100),MIN(100,((Inputs!$B$9+((C1518=TRUE)*(F1518-Calc!F25))+B1533+(ArtifactsInput!$M$24-ArtifactsInput!$M$24)*CHOOSE(ArtifactsInput!$N$24+1,10,12,14,16,18,20)+IF(ArtifactsInput!$M$10,CHOOSE(ArtifactsInput!$N$10+1,15,18,21,24,27,30)*(IF(Inputs!$B$39="pvp",MIN(15,15)/15,IF(AND(Inputs!$B$39&lt;&gt;"pvp",Inputs!$B$44&gt;0),MIN(15,Inputs!$B$44)/(Inputs!$B$44),0))),0)))-100),0))*CHOOSE(ArtifactsInput!$N$42+1,0.6,0.72,0.84,0.96,1.08,1.2))),Inputs!$B$18+((C1522=TRUE)*(F1522-Calc!F29))+(IF(AND(ArtifactsInput!$M$42,((Inputs!$B$9+((C1518=TRUE)*(F1518-Calc!F25))+B1533+(ArtifactsInput!$M$24-ArtifactsInput!$M$24)*CHOOSE(ArtifactsInput!$N$24+1,10,12,14,16,18,20)+IF(ArtifactsInput!$M$10,CHOOSE(ArtifactsInput!$N$10+1,15,18,21,24,27,30)*(IF(Inputs!$B$39="pvp",MIN(15,15)/15,IF(AND(Inputs!$B$39&lt;&gt;"pvp",Inputs!$B$44&gt;0),MIN(15,Inputs!$B$44)/(Inputs!$B$44),0))),0)))&gt;=100),CHOOSE(ArtifactsInput!$N$42+1,40,48,56,64,72,80),0))))/100)*(((1+(((C1514=TRUE)*F1514*IF(AND(Inputs!$B$39&lt;&gt;"pvp",Inputs!$B$44&gt;0),(((R1514-1)*(Skills!Y21*(1+Inputs!$B$34/100))+MIN((Skills!Y21*(1+Inputs!$B$34/100)),MAX(0,Inputs!$B$44-((R1514-1)*Skills!D21))))/Inputs!$B$44),IF(Inputs!$B$39="pvp",MIN((Skills!Y21*(1+Inputs!$B$34/100)),15)/15,(Skills!Y21*(1+Inputs!$B$34/100))/Skills!D21)))+((C1521=TRUE)*(F1521-Calc!F28))+((C1511=TRUE)*(F1511-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1508=TRUE)*F1508*IF(AND(Inputs!$B$39&lt;&gt;"pvp",Inputs!$B$44&gt;0),(((R1508-1)*(Skills!Y15*(1+Inputs!$B$34/100))+MIN((Skills!Y15*(1+Inputs!$B$34/100)),MAX(0,Inputs!$B$44-((R1508-1)*Skills!D15))))/Inputs!$B$44),IF(Inputs!$B$39="pvp",MIN((Skills!Y15*(1+Inputs!$B$34/100)),15)/15,(Skills!Y15*(1+Inputs!$B$34/100))/Skills!D15)))/100)*(1+((C1499=TRUE)*F1499*B1527)/100))*B1535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1502)</f>
        <v/>
      </c>
      <c r="L1502">
        <f>K1502*(MIN(Inputs!$B$22+((C1517=TRUE)*(F1517-Calc!F24)),(Inputs!$B$23+0+(IF(ArtifactsInput!$M$15,CHOOSE(ArtifactsInput!$N$15+1,25,30,35,40,45,50)/100*(Inputs!$B$11-Inputs!$B$11),0))))/100+(Inputs!$B$23+0+(IF(ArtifactsInput!$M$15,CHOOSE(ArtifactsInput!$N$15+1,25,30,35,40,45,50)/100*(Inputs!$B$11-Inputs!$B$11),0)))/100)/2</f>
        <v/>
      </c>
      <c r="M1502">
        <f>L1502*(1+(Inputs!$B$10+((C1519=TRUE)*(F1519-Calc!F26))+B1536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02">
        <f>L1502*(1-MIN((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1502*(MIN((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02">
        <f>(1-Summary!$B$11)*T1502+Summary!$B$11*V1502</f>
        <v/>
      </c>
      <c r="P1502">
        <f>IF(B1537=0,0,O1502/B1537)</f>
        <v/>
      </c>
      <c r="Q1502">
        <f>IFERROR(1/IF(Inputs!$B$39="pvp",15,MAX(0.1,Skills!D9-IF(Skills!E9=TRUE,Inputs!$B$32,0))),0)</f>
        <v/>
      </c>
      <c r="R1502">
        <f>IF(AND(Inputs!$B$39&lt;&gt;"pvp",Inputs!$B$44&gt;0),IF(MAX(0,Inputs!$B$44-B1538)&lt;=0,0,(INT(MAX(0,Inputs!$B$44-B1538)/IF(Inputs!$B$39="pvp",15,MAX(0.1,Skills!D9-IF(Skills!E9=TRUE,Inputs!$B$32,0))))+1)),0)</f>
        <v/>
      </c>
      <c r="S1502">
        <f>IFERROR(O1502/N1502,0)</f>
        <v/>
      </c>
      <c r="T1502">
        <f>IF(C1502,(H1502*N1502*IF(AND(Inputs!$B$39&lt;&gt;"pvp",Inputs!$B$44&gt;0),((Skills!G9*((R1502-1)*IF(Skills!H9&gt;0,Skills!I9/Skills!H9,1)+IF(Skills!H9&gt;0,MIN(Skills!I9,MAX(0,MAX(0,Inputs!$B$44-B1538)-((R1502-1)*IF(Inputs!$B$39="pvp",15,MAX(0.1,Skills!D9-IF(Skills!E9=TRUE,Inputs!$B$32,0))))))/Skills!H9,1)))/Inputs!$B$44),G1502*Q1502))*IF(Inputs!$B$39="pvp",1,1+(Inputs!$B$20+((C1520=TRUE)*(F1520-Calc!F27))+Skills!P9+B1534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Hunt"),CHOOSE(ArtifactsInput!$N$35+1,15,18,21,24,27,30)*(1-EXP(-(0.2*B1529)*5)),0)+IF(AND(ArtifactsInput!$M$22,Inputs!$B$4&lt;&gt;"Chapter Hunt"),CHOOSE(ArtifactsInput!$N$22+1,10,12,14,16,18,20)*((0*(((0.15*B1529*5))^0/1)+1*(((0.15*B1529*5))^1/1)+2*(((0.15*B1529*5))^2/2)+3*(((0.15*B1529*5))^3/6)+4*(((0.15*B1529*5))^4/24)+5*(((0.15*B1529*5))^5/120))/((((0.15*B1529*5))^0/1)+(((0.15*B1529*5))^1/1)+(((0.15*B1529*5))^2/2)+(((0.15*B1529*5))^3/6)+(((0.15*B1529*5))^4/24)+(((0.15*B1529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1502*(1-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1502*(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1502*(1-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1502*(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02">
        <f>IF(C1502,(H1502*N1502*IF(AND(Inputs!$B$39&lt;&gt;"pvp",Inputs!$B$44&gt;0),((Skills!G9*((R1502-1)*IF(Skills!H9&gt;0,Skills!I9/Skills!H9,1)+IF(Skills!H9&gt;0,MIN(Skills!I9,MAX(0,MAX(0,Inputs!$B$44-B1538)-((R1502-1)*IF(Inputs!$B$39="pvp",15,MAX(0.1,Skills!D9-IF(Skills!E9=TRUE,Inputs!$B$32,0))))))/Skills!H9,1)))/Inputs!$B$44),G1502*Q1502))*IF(Inputs!$B$39="pvp",1,(1+(Inputs!$B$21+Skills!Q9+B1534+(IF(ArtifactsInput!$M$33,CHOOSE(ArtifactsInput!$N$33+1,30,36,42,48,54,60),0))+(IF(AND(ArtifactsInput!$M$35,Inputs!$B$4&lt;&gt;"Chapter Hunt"),CHOOSE(ArtifactsInput!$N$35+1,15,18,21,24,27,30)*(1-EXP(-(0.2*B1529)*5)),0)+IF(AND(ArtifactsInput!$M$22,Inputs!$B$4&lt;&gt;"Chapter Hunt"),CHOOSE(ArtifactsInput!$N$22+1,10,12,14,16,18,20)*((0*(((0.15*B1529*5))^0/1)+1*(((0.15*B1529*5))^1/1)+2*(((0.15*B1529*5))^2/2)+3*(((0.15*B1529*5))^3/6)+4*(((0.15*B1529*5))^4/24)+5*(((0.15*B1529*5))^5/120))/((((0.15*B1529*5))^0/1)+(((0.15*B1529*5))^1/1)+(((0.15*B1529*5))^2/2)+(((0.15*B1529*5))^3/6)+(((0.15*B1529*5))^4/24)+(((0.15*B1529*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03">
      <c r="A1503">
        <f>Skills!A10</f>
        <v/>
      </c>
      <c r="B1503">
        <f>Skills!B10</f>
        <v/>
      </c>
      <c r="C1503">
        <f>Inputs!$B$3&gt;=117</f>
        <v/>
      </c>
      <c r="D1503">
        <f>IF(Skills!C10=1,60+Inputs!$B$25+Inputs!$B$29,IF(Skills!C10=2,90+Inputs!$B$26+Inputs!$B$29,IF(Skills!C10=3,120+Inputs!$B$27+Inputs!$B$29,MAX(0,(Inputs!$B$3-100)*3)+Inputs!$B$28+Inputs!$B$29)))</f>
        <v/>
      </c>
      <c r="E1503">
        <f>INDEX(FactorTable!$B$2:$Y$301, MATCH(ROUND(MIN(300,MAX(1,D1503)),0), FactorTable!$A$2:$A$301,0), Skills!M10+1)</f>
        <v/>
      </c>
      <c r="F1503">
        <f>IF(Skills!N10=TRUE,(Skills!L10/10)*(E1503/1000),Skills!L10/10)+Skills!O10</f>
        <v/>
      </c>
      <c r="G1503">
        <f>Calc!G10</f>
        <v/>
      </c>
      <c r="H1503">
        <f>Calc!H10</f>
        <v/>
      </c>
      <c r="I1503">
        <f>IF(Skills!AA10&lt;&gt;"",1+(Skills!AA10/10)*(U1496/1000)/100,1)</f>
        <v/>
      </c>
      <c r="J1503">
        <f>((Inputs!$B$6*(1+Inputs!$B$7/100))+(((Inputs!$B$12*(1+Inputs!$B$13/100))-(Inputs!$B$12*(1+Inputs!$B$13/100)))+0.25*(Inputs!$B$14-Inputs!$B$14))*(1+Inputs!$B$7/100))*(F1503/100)</f>
        <v/>
      </c>
      <c r="K1503">
        <f>J1503*(1+((Inputs!$B$12*(1+Inputs!$B$13/100))*0.01+Inputs!$B$14*0.0025)/100)*(1+Inputs!$B$15/100)*(1+Inputs!$B$16/100)*(5000/(6000+Inputs!$B$43*(1-(100*(1-(1-(Inputs!$B$19+0)/100)*(1-CHOOSE(ArtifactsInput!$N$40+1,5,6,7,8,9,10)/100)^(ArtifactsInput!$M$40-ArtifactsInput!$M$40)))/100)))*(1+(Inputs!$B$24+((C1523=TRUE)*(F1523-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1516=TRUE)*(F1516-Calc!F23))+(((IF(AND(ArtifactsInput!$M$42,((Inputs!$B$9+((C1518=TRUE)*(F1518-Calc!F25))+B1533+(ArtifactsInput!$M$24-ArtifactsInput!$M$24)*CHOOSE(ArtifactsInput!$N$24+1,10,12,14,16,18,20)+IF(ArtifactsInput!$M$10,CHOOSE(ArtifactsInput!$N$10+1,15,18,21,24,27,30)*(IF(Inputs!$B$39="pvp",MIN(15,15)/15,IF(AND(Inputs!$B$39&lt;&gt;"pvp",Inputs!$B$44&gt;0),MIN(15,Inputs!$B$44)/(Inputs!$B$44),0))),0)))&gt;=100),MIN(100,((Inputs!$B$9+((C1518=TRUE)*(F1518-Calc!F25))+B1533+(ArtifactsInput!$M$24-ArtifactsInput!$M$24)*CHOOSE(ArtifactsInput!$N$24+1,10,12,14,16,18,20)+IF(ArtifactsInput!$M$10,CHOOSE(ArtifactsInput!$N$10+1,15,18,21,24,27,30)*(IF(Inputs!$B$39="pvp",MIN(15,15)/15,IF(AND(Inputs!$B$39&lt;&gt;"pvp",Inputs!$B$44&gt;0),MIN(15,Inputs!$B$44)/(Inputs!$B$44),0))),0)))-100),0))*CHOOSE(ArtifactsInput!$N$42+1,0.6,0.72,0.84,0.96,1.08,1.2))),Inputs!$B$18+((C1522=TRUE)*(F1522-Calc!F29))+(IF(AND(ArtifactsInput!$M$42,((Inputs!$B$9+((C1518=TRUE)*(F1518-Calc!F25))+B1533+(ArtifactsInput!$M$24-ArtifactsInput!$M$24)*CHOOSE(ArtifactsInput!$N$24+1,10,12,14,16,18,20)+IF(ArtifactsInput!$M$10,CHOOSE(ArtifactsInput!$N$10+1,15,18,21,24,27,30)*(IF(Inputs!$B$39="pvp",MIN(15,15)/15,IF(AND(Inputs!$B$39&lt;&gt;"pvp",Inputs!$B$44&gt;0),MIN(15,Inputs!$B$44)/(Inputs!$B$44),0))),0)))&gt;=100),CHOOSE(ArtifactsInput!$N$42+1,40,48,56,64,72,80),0))))/100)*(((1+(((C1514=TRUE)*F1514*IF(AND(Inputs!$B$39&lt;&gt;"pvp",Inputs!$B$44&gt;0),(((R1514-1)*(Skills!Y21*(1+Inputs!$B$34/100))+MIN((Skills!Y21*(1+Inputs!$B$34/100)),MAX(0,Inputs!$B$44-((R1514-1)*Skills!D21))))/Inputs!$B$44),IF(Inputs!$B$39="pvp",MIN((Skills!Y21*(1+Inputs!$B$34/100)),15)/15,(Skills!Y21*(1+Inputs!$B$34/100))/Skills!D21)))+((C1521=TRUE)*(F1521-Calc!F28))+((C1511=TRUE)*(F1511-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1508=TRUE)*F1508*IF(AND(Inputs!$B$39&lt;&gt;"pvp",Inputs!$B$44&gt;0),(((R1508-1)*(Skills!Y15*(1+Inputs!$B$34/100))+MIN((Skills!Y15*(1+Inputs!$B$34/100)),MAX(0,Inputs!$B$44-((R1508-1)*Skills!D15))))/Inputs!$B$44),IF(Inputs!$B$39="pvp",MIN((Skills!Y15*(1+Inputs!$B$34/100)),15)/15,(Skills!Y15*(1+Inputs!$B$34/100))/Skills!D15)))/100)*(1+((C1499=TRUE)*F1499*B1527)/100))*B1535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1503)</f>
        <v/>
      </c>
      <c r="L1503">
        <f>K1503*(MIN(Inputs!$B$22+((C1517=TRUE)*(F1517-Calc!F24)),(Inputs!$B$23+0+(IF(ArtifactsInput!$M$15,CHOOSE(ArtifactsInput!$N$15+1,25,30,35,40,45,50)/100*(Inputs!$B$11-Inputs!$B$11),0))))/100+(Inputs!$B$23+0+(IF(ArtifactsInput!$M$15,CHOOSE(ArtifactsInput!$N$15+1,25,30,35,40,45,50)/100*(Inputs!$B$11-Inputs!$B$11),0)))/100)/2</f>
        <v/>
      </c>
      <c r="M1503">
        <f>L1503*(1+(Inputs!$B$10+((C1519=TRUE)*(F1519-Calc!F26))+B1536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03">
        <f>L1503*(1-MIN((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1503*(MIN((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03">
        <f>(1-Summary!$B$11)*T1503+Summary!$B$11*V1503</f>
        <v/>
      </c>
      <c r="P1503">
        <f>IF(B1537=0,0,O1503/B1537)</f>
        <v/>
      </c>
      <c r="Q1503" t="n">
        <v>0</v>
      </c>
      <c r="R1503" t="n">
        <v>0</v>
      </c>
      <c r="S1503" t="n">
        <v>0</v>
      </c>
      <c r="T1503">
        <f>IF(C1503,(0.2*SUMPRODUCT((Skills!Z2:Z31=TRUE)*(C1495:C1524=TRUE)*S1495:S1524)*N1503)*IF(Inputs!$B$39="pvp",1,1+(Inputs!$B$20+((C1520=TRUE)*(F1520-Calc!F27))+Skills!P10+B1534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Hunt"),CHOOSE(ArtifactsInput!$N$35+1,15,18,21,24,27,30)*(1-EXP(-(0.2*B1529)*5)),0)+IF(AND(ArtifactsInput!$M$22,Inputs!$B$4&lt;&gt;"Chapter Hunt"),CHOOSE(ArtifactsInput!$N$22+1,10,12,14,16,18,20)*((0*(((0.15*B1529*5))^0/1)+1*(((0.15*B1529*5))^1/1)+2*(((0.15*B1529*5))^2/2)+3*(((0.15*B1529*5))^3/6)+4*(((0.15*B1529*5))^4/24)+5*(((0.15*B1529*5))^5/120))/((((0.15*B1529*5))^0/1)+(((0.15*B1529*5))^1/1)+(((0.15*B1529*5))^2/2)+(((0.15*B1529*5))^3/6)+(((0.15*B1529*5))^4/24)+(((0.15*B1529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1503*(1-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1503*(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1503*(1-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1503*(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03">
        <f>IF(C1503,(0.2*SUMPRODUCT((Skills!Z2:Z31=TRUE)*(C1495:C1524=TRUE)*S1495:S1524)*N1503)*IF(Inputs!$B$39="pvp",1,(1+(Inputs!$B$21+Skills!Q10+B1534+(IF(ArtifactsInput!$M$33,CHOOSE(ArtifactsInput!$N$33+1,30,36,42,48,54,60),0))+(IF(AND(ArtifactsInput!$M$35,Inputs!$B$4&lt;&gt;"Chapter Hunt"),CHOOSE(ArtifactsInput!$N$35+1,15,18,21,24,27,30)*(1-EXP(-(0.2*B1529)*5)),0)+IF(AND(ArtifactsInput!$M$22,Inputs!$B$4&lt;&gt;"Chapter Hunt"),CHOOSE(ArtifactsInput!$N$22+1,10,12,14,16,18,20)*((0*(((0.15*B1529*5))^0/1)+1*(((0.15*B1529*5))^1/1)+2*(((0.15*B1529*5))^2/2)+3*(((0.15*B1529*5))^3/6)+4*(((0.15*B1529*5))^4/24)+5*(((0.15*B1529*5))^5/120))/((((0.15*B1529*5))^0/1)+(((0.15*B1529*5))^1/1)+(((0.15*B1529*5))^2/2)+(((0.15*B1529*5))^3/6)+(((0.15*B1529*5))^4/24)+(((0.15*B1529*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04">
      <c r="A1504">
        <f>Skills!A11</f>
        <v/>
      </c>
      <c r="B1504">
        <f>Skills!B11</f>
        <v/>
      </c>
      <c r="C1504">
        <f>Inputs!$B$3&gt;=60</f>
        <v/>
      </c>
      <c r="D1504">
        <f>IF(Skills!C11=1,60+Inputs!$B$25+Inputs!$B$29,IF(Skills!C11=2,90+Inputs!$B$26+Inputs!$B$29,IF(Skills!C11=3,120+Inputs!$B$27+Inputs!$B$29,MAX(0,(Inputs!$B$3-100)*3)+Inputs!$B$28+Inputs!$B$29)))</f>
        <v/>
      </c>
      <c r="E1504">
        <f>INDEX(FactorTable!$B$2:$Y$301, MATCH(ROUND(MIN(300,MAX(1,D1504)),0), FactorTable!$A$2:$A$301,0), Skills!M11+1)</f>
        <v/>
      </c>
      <c r="F1504">
        <f>IF(Skills!N11=TRUE,(Skills!L11/10)*(E1504/1000),Skills!L11/10)+Skills!O11</f>
        <v/>
      </c>
      <c r="G1504">
        <f>Calc!G11</f>
        <v/>
      </c>
      <c r="H1504">
        <f>Calc!H11</f>
        <v/>
      </c>
      <c r="I1504">
        <f>IF(Skills!AA11&lt;&gt;"",1+(Skills!AA11/10)*(U1496/1000)/100,1)</f>
        <v/>
      </c>
      <c r="J1504" t="inlineStr"/>
      <c r="K1504" t="inlineStr"/>
      <c r="L1504" t="inlineStr"/>
      <c r="M1504" t="inlineStr"/>
      <c r="N1504" t="inlineStr"/>
      <c r="O1504">
        <f>(1-Summary!$B$11)*T1504+Summary!$B$11*V1504</f>
        <v/>
      </c>
      <c r="P1504">
        <f>IF(B1537=0,0,O1504/B1537)</f>
        <v/>
      </c>
      <c r="Q1504" t="n">
        <v>0</v>
      </c>
      <c r="R1504" t="n">
        <v>0</v>
      </c>
      <c r="S1504">
        <f>IFERROR(O1504/N1504,0)</f>
        <v/>
      </c>
      <c r="T1504" t="n">
        <v>0</v>
      </c>
      <c r="V1504" t="n">
        <v>0</v>
      </c>
    </row>
    <row r="1505">
      <c r="A1505">
        <f>Skills!A12</f>
        <v/>
      </c>
      <c r="B1505">
        <f>Skills!B12</f>
        <v/>
      </c>
      <c r="C1505">
        <f>Inputs!$B$3&gt;=103</f>
        <v/>
      </c>
      <c r="D1505">
        <f>IF(Skills!C12=1,60+Inputs!$B$25+Inputs!$B$29,IF(Skills!C12=2,90+Inputs!$B$26+Inputs!$B$29,IF(Skills!C12=3,120+Inputs!$B$27+Inputs!$B$29,MAX(0,(Inputs!$B$3-100)*3)+Inputs!$B$28+Inputs!$B$29)))</f>
        <v/>
      </c>
      <c r="E1505">
        <f>INDEX(FactorTable!$B$2:$Y$301, MATCH(ROUND(MIN(300,MAX(1,D1505)),0), FactorTable!$A$2:$A$301,0), Skills!M12+1)</f>
        <v/>
      </c>
      <c r="F1505">
        <f>IF(Skills!N12=TRUE,(Skills!L12/10)*(E1505/1000),Skills!L12/10)+Skills!O12</f>
        <v/>
      </c>
      <c r="G1505">
        <f>Calc!G12</f>
        <v/>
      </c>
      <c r="H1505">
        <f>Calc!H12</f>
        <v/>
      </c>
      <c r="I1505">
        <f>IF(Skills!AA12&lt;&gt;"",1+(Skills!AA12/10)*(U1496/1000)/100,1)</f>
        <v/>
      </c>
      <c r="J1505">
        <f>((Inputs!$B$6*(1+Inputs!$B$7/100))+(((Inputs!$B$12*(1+Inputs!$B$13/100))-(Inputs!$B$12*(1+Inputs!$B$13/100)))+0.25*(Inputs!$B$14-Inputs!$B$14))*(1+Inputs!$B$7/100))*(F1505/100)</f>
        <v/>
      </c>
      <c r="K1505">
        <f>J1505*(1+((Inputs!$B$12*(1+Inputs!$B$13/100))*0.01+Inputs!$B$14*0.0025)/100)*(1+Inputs!$B$15/100)*(1+Inputs!$B$16/100)*(5000/(6000+Inputs!$B$43*(1-(100*(1-(1-(Inputs!$B$19+0)/100)*(1-CHOOSE(ArtifactsInput!$N$40+1,5,6,7,8,9,10)/100)^(ArtifactsInput!$M$40-ArtifactsInput!$M$40)))/100)))*(1+(Inputs!$B$24+((C1523=TRUE)*(F1523-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1516=TRUE)*(F1516-Calc!F23))+(((IF(AND(ArtifactsInput!$M$42,((Inputs!$B$9+((C1518=TRUE)*(F1518-Calc!F25))+B1533+(ArtifactsInput!$M$24-ArtifactsInput!$M$24)*CHOOSE(ArtifactsInput!$N$24+1,10,12,14,16,18,20)+IF(ArtifactsInput!$M$10,CHOOSE(ArtifactsInput!$N$10+1,15,18,21,24,27,30)*(IF(Inputs!$B$39="pvp",MIN(15,15)/15,IF(AND(Inputs!$B$39&lt;&gt;"pvp",Inputs!$B$44&gt;0),MIN(15,Inputs!$B$44)/(Inputs!$B$44),0))),0)))&gt;=100),MIN(100,((Inputs!$B$9+((C1518=TRUE)*(F1518-Calc!F25))+B1533+(ArtifactsInput!$M$24-ArtifactsInput!$M$24)*CHOOSE(ArtifactsInput!$N$24+1,10,12,14,16,18,20)+IF(ArtifactsInput!$M$10,CHOOSE(ArtifactsInput!$N$10+1,15,18,21,24,27,30)*(IF(Inputs!$B$39="pvp",MIN(15,15)/15,IF(AND(Inputs!$B$39&lt;&gt;"pvp",Inputs!$B$44&gt;0),MIN(15,Inputs!$B$44)/(Inputs!$B$44),0))),0)))-100),0))*CHOOSE(ArtifactsInput!$N$42+1,0.6,0.72,0.84,0.96,1.08,1.2))),Inputs!$B$18+((C1522=TRUE)*(F1522-Calc!F29))+(IF(AND(ArtifactsInput!$M$42,((Inputs!$B$9+((C1518=TRUE)*(F1518-Calc!F25))+B1533+(ArtifactsInput!$M$24-ArtifactsInput!$M$24)*CHOOSE(ArtifactsInput!$N$24+1,10,12,14,16,18,20)+IF(ArtifactsInput!$M$10,CHOOSE(ArtifactsInput!$N$10+1,15,18,21,24,27,30)*(IF(Inputs!$B$39="pvp",MIN(15,15)/15,IF(AND(Inputs!$B$39&lt;&gt;"pvp",Inputs!$B$44&gt;0),MIN(15,Inputs!$B$44)/(Inputs!$B$44),0))),0)))&gt;=100),CHOOSE(ArtifactsInput!$N$42+1,40,48,56,64,72,80),0))))/100)*(((1+(((C1514=TRUE)*F1514*IF(AND(Inputs!$B$39&lt;&gt;"pvp",Inputs!$B$44&gt;0),(((R1514-1)*(Skills!Y21*(1+Inputs!$B$34/100))+MIN((Skills!Y21*(1+Inputs!$B$34/100)),MAX(0,Inputs!$B$44-((R1514-1)*Skills!D21))))/Inputs!$B$44),IF(Inputs!$B$39="pvp",MIN((Skills!Y21*(1+Inputs!$B$34/100)),15)/15,(Skills!Y21*(1+Inputs!$B$34/100))/Skills!D21)))+((C1521=TRUE)*(F1521-Calc!F28))+((C1511=TRUE)*(F1511-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1508=TRUE)*F1508*IF(AND(Inputs!$B$39&lt;&gt;"pvp",Inputs!$B$44&gt;0),(((R1508-1)*(Skills!Y15*(1+Inputs!$B$34/100))+MIN((Skills!Y15*(1+Inputs!$B$34/100)),MAX(0,Inputs!$B$44-((R1508-1)*Skills!D15))))/Inputs!$B$44),IF(Inputs!$B$39="pvp",MIN((Skills!Y15*(1+Inputs!$B$34/100)),15)/15,(Skills!Y15*(1+Inputs!$B$34/100))/Skills!D15)))/100)*(1+((C1499=TRUE)*F1499*B1527)/100))*B1535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1505)</f>
        <v/>
      </c>
      <c r="L1505">
        <f>K1505*(MIN(Inputs!$B$22+((C1517=TRUE)*(F1517-Calc!F24)),(Inputs!$B$23+0+(IF(ArtifactsInput!$M$15,CHOOSE(ArtifactsInput!$N$15+1,25,30,35,40,45,50)/100*(Inputs!$B$11-Inputs!$B$11),0))))/100+(Inputs!$B$23+0+(IF(ArtifactsInput!$M$15,CHOOSE(ArtifactsInput!$N$15+1,25,30,35,40,45,50)/100*(Inputs!$B$11-Inputs!$B$11),0)))/100)/2</f>
        <v/>
      </c>
      <c r="M1505">
        <f>L1505*(1+(Inputs!$B$10+((C1519=TRUE)*(F1519-Calc!F26))+B1536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05">
        <f>L1505*(1-MIN((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1505*(MIN((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05">
        <f>(1-Summary!$B$11)*T1505+Summary!$B$11*V1505</f>
        <v/>
      </c>
      <c r="P1505">
        <f>IF(B1537=0,0,O1505/B1537)</f>
        <v/>
      </c>
      <c r="Q1505">
        <f>IFERROR(1/IF(Inputs!$B$39="pvp",15,MAX(0.1,Skills!D12-IF(Skills!E12=TRUE,Inputs!$B$32,0))),0)</f>
        <v/>
      </c>
      <c r="R1505">
        <f>IF(AND(Inputs!$B$39&lt;&gt;"pvp",Inputs!$B$44&gt;0),IF(MAX(0,Inputs!$B$44-B1538)&lt;=0,0,(INT(MAX(0,Inputs!$B$44-B1538)/IF(Inputs!$B$39="pvp",15,MAX(0.1,Skills!D12-IF(Skills!E12=TRUE,Inputs!$B$32,0))))+1)),0)</f>
        <v/>
      </c>
      <c r="S1505">
        <f>IFERROR(O1505/N1505,0)</f>
        <v/>
      </c>
      <c r="T1505">
        <f>IF(C1505,(H1505*N1505*IF(AND(Inputs!$B$39&lt;&gt;"pvp",Inputs!$B$44&gt;0),((Skills!G12*((R1505-1)*IF(Skills!H12&gt;0,Skills!I12/Skills!H12,1)+IF(Skills!H12&gt;0,MIN(Skills!I12,MAX(0,MAX(0,Inputs!$B$44-B1538)-((R1505-1)*IF(Inputs!$B$39="pvp",15,MAX(0.1,Skills!D12-IF(Skills!E12=TRUE,Inputs!$B$32,0))))))/Skills!H12,1)))/Inputs!$B$44),G1505*Q1505))*IF(Inputs!$B$39="pvp",1,1+(Inputs!$B$20+((C1520=TRUE)*(F1520-Calc!F27))+Skills!P12+B1534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Hunt"),CHOOSE(ArtifactsInput!$N$35+1,15,18,21,24,27,30)*(1-EXP(-(0.2*B1529)*5)),0)+IF(AND(ArtifactsInput!$M$22,Inputs!$B$4&lt;&gt;"Chapter Hunt"),CHOOSE(ArtifactsInput!$N$22+1,10,12,14,16,18,20)*((0*(((0.15*B1529*5))^0/1)+1*(((0.15*B1529*5))^1/1)+2*(((0.15*B1529*5))^2/2)+3*(((0.15*B1529*5))^3/6)+4*(((0.15*B1529*5))^4/24)+5*(((0.15*B1529*5))^5/120))/((((0.15*B1529*5))^0/1)+(((0.15*B1529*5))^1/1)+(((0.15*B1529*5))^2/2)+(((0.15*B1529*5))^3/6)+(((0.15*B1529*5))^4/24)+(((0.15*B1529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1505*(1-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1505*(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1505*(1-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1505*(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05">
        <f>IF(C1505,(H1505*N1505*IF(AND(Inputs!$B$39&lt;&gt;"pvp",Inputs!$B$44&gt;0),((Skills!G12*((R1505-1)*IF(Skills!H12&gt;0,Skills!I12/Skills!H12,1)+IF(Skills!H12&gt;0,MIN(Skills!I12,MAX(0,MAX(0,Inputs!$B$44-B1538)-((R1505-1)*IF(Inputs!$B$39="pvp",15,MAX(0.1,Skills!D12-IF(Skills!E12=TRUE,Inputs!$B$32,0))))))/Skills!H12,1)))/Inputs!$B$44),G1505*Q1505))*IF(Inputs!$B$39="pvp",1,(1+(Inputs!$B$21+Skills!Q12+B1534+(IF(ArtifactsInput!$M$33,CHOOSE(ArtifactsInput!$N$33+1,30,36,42,48,54,60),0))+(IF(AND(ArtifactsInput!$M$35,Inputs!$B$4&lt;&gt;"Chapter Hunt"),CHOOSE(ArtifactsInput!$N$35+1,15,18,21,24,27,30)*(1-EXP(-(0.2*B1529)*5)),0)+IF(AND(ArtifactsInput!$M$22,Inputs!$B$4&lt;&gt;"Chapter Hunt"),CHOOSE(ArtifactsInput!$N$22+1,10,12,14,16,18,20)*((0*(((0.15*B1529*5))^0/1)+1*(((0.15*B1529*5))^1/1)+2*(((0.15*B1529*5))^2/2)+3*(((0.15*B1529*5))^3/6)+4*(((0.15*B1529*5))^4/24)+5*(((0.15*B1529*5))^5/120))/((((0.15*B1529*5))^0/1)+(((0.15*B1529*5))^1/1)+(((0.15*B1529*5))^2/2)+(((0.15*B1529*5))^3/6)+(((0.15*B1529*5))^4/24)+(((0.15*B1529*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06">
      <c r="A1506">
        <f>Skills!A13</f>
        <v/>
      </c>
      <c r="B1506">
        <f>Skills!B13</f>
        <v/>
      </c>
      <c r="C1506">
        <f>Inputs!$B$3&gt;=105</f>
        <v/>
      </c>
      <c r="D1506">
        <f>IF(Skills!C13=1,60+Inputs!$B$25+Inputs!$B$29,IF(Skills!C13=2,90+Inputs!$B$26+Inputs!$B$29,IF(Skills!C13=3,120+Inputs!$B$27+Inputs!$B$29,MAX(0,(Inputs!$B$3-100)*3)+Inputs!$B$28+Inputs!$B$29)))</f>
        <v/>
      </c>
      <c r="E1506">
        <f>INDEX(FactorTable!$B$2:$Y$301, MATCH(ROUND(MIN(300,MAX(1,D1506)),0), FactorTable!$A$2:$A$301,0), Skills!M13+1)</f>
        <v/>
      </c>
      <c r="F1506">
        <f>IF(Skills!N13=TRUE,(Skills!L13/10)*(E1506/1000),Skills!L13/10)+Skills!O13</f>
        <v/>
      </c>
      <c r="G1506">
        <f>Calc!G13</f>
        <v/>
      </c>
      <c r="H1506">
        <f>Calc!H13</f>
        <v/>
      </c>
      <c r="I1506">
        <f>IF(Skills!AA13&lt;&gt;"",1+(Skills!AA13/10)*(U1496/1000)/100,1)</f>
        <v/>
      </c>
      <c r="J1506">
        <f>((Inputs!$B$6*(1+Inputs!$B$7/100))+(((Inputs!$B$12*(1+Inputs!$B$13/100))-(Inputs!$B$12*(1+Inputs!$B$13/100)))+0.25*(Inputs!$B$14-Inputs!$B$14))*(1+Inputs!$B$7/100))*(F1506/100)</f>
        <v/>
      </c>
      <c r="K1506">
        <f>J1506*(1+((Inputs!$B$12*(1+Inputs!$B$13/100))*0.01+Inputs!$B$14*0.0025)/100)*(1+Inputs!$B$15/100)*(1+Inputs!$B$16/100)*(5000/(6000+Inputs!$B$43*(1-(100*(1-(1-(Inputs!$B$19+0)/100)*(1-CHOOSE(ArtifactsInput!$N$40+1,5,6,7,8,9,10)/100)^(ArtifactsInput!$M$40-ArtifactsInput!$M$40)))/100)))*(1+(Inputs!$B$24+((C1523=TRUE)*(F1523-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1516=TRUE)*(F1516-Calc!F23))+(((IF(AND(ArtifactsInput!$M$42,((Inputs!$B$9+((C1518=TRUE)*(F1518-Calc!F25))+B1533+(ArtifactsInput!$M$24-ArtifactsInput!$M$24)*CHOOSE(ArtifactsInput!$N$24+1,10,12,14,16,18,20)+IF(ArtifactsInput!$M$10,CHOOSE(ArtifactsInput!$N$10+1,15,18,21,24,27,30)*(IF(Inputs!$B$39="pvp",MIN(15,15)/15,IF(AND(Inputs!$B$39&lt;&gt;"pvp",Inputs!$B$44&gt;0),MIN(15,Inputs!$B$44)/(Inputs!$B$44),0))),0)))&gt;=100),MIN(100,((Inputs!$B$9+((C1518=TRUE)*(F1518-Calc!F25))+B1533+(ArtifactsInput!$M$24-ArtifactsInput!$M$24)*CHOOSE(ArtifactsInput!$N$24+1,10,12,14,16,18,20)+IF(ArtifactsInput!$M$10,CHOOSE(ArtifactsInput!$N$10+1,15,18,21,24,27,30)*(IF(Inputs!$B$39="pvp",MIN(15,15)/15,IF(AND(Inputs!$B$39&lt;&gt;"pvp",Inputs!$B$44&gt;0),MIN(15,Inputs!$B$44)/(Inputs!$B$44),0))),0)))-100),0))*CHOOSE(ArtifactsInput!$N$42+1,0.6,0.72,0.84,0.96,1.08,1.2))),Inputs!$B$18+((C1522=TRUE)*(F1522-Calc!F29))+(IF(AND(ArtifactsInput!$M$42,((Inputs!$B$9+((C1518=TRUE)*(F1518-Calc!F25))+B1533+(ArtifactsInput!$M$24-ArtifactsInput!$M$24)*CHOOSE(ArtifactsInput!$N$24+1,10,12,14,16,18,20)+IF(ArtifactsInput!$M$10,CHOOSE(ArtifactsInput!$N$10+1,15,18,21,24,27,30)*(IF(Inputs!$B$39="pvp",MIN(15,15)/15,IF(AND(Inputs!$B$39&lt;&gt;"pvp",Inputs!$B$44&gt;0),MIN(15,Inputs!$B$44)/(Inputs!$B$44),0))),0)))&gt;=100),CHOOSE(ArtifactsInput!$N$42+1,40,48,56,64,72,80),0))))/100)*(((1+(((C1514=TRUE)*F1514*IF(AND(Inputs!$B$39&lt;&gt;"pvp",Inputs!$B$44&gt;0),(((R1514-1)*(Skills!Y21*(1+Inputs!$B$34/100))+MIN((Skills!Y21*(1+Inputs!$B$34/100)),MAX(0,Inputs!$B$44-((R1514-1)*Skills!D21))))/Inputs!$B$44),IF(Inputs!$B$39="pvp",MIN((Skills!Y21*(1+Inputs!$B$34/100)),15)/15,(Skills!Y21*(1+Inputs!$B$34/100))/Skills!D21)))+((C1521=TRUE)*(F1521-Calc!F28))+((C1511=TRUE)*(F1511-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1508=TRUE)*F1508*IF(AND(Inputs!$B$39&lt;&gt;"pvp",Inputs!$B$44&gt;0),(((R1508-1)*(Skills!Y15*(1+Inputs!$B$34/100))+MIN((Skills!Y15*(1+Inputs!$B$34/100)),MAX(0,Inputs!$B$44-((R1508-1)*Skills!D15))))/Inputs!$B$44),IF(Inputs!$B$39="pvp",MIN((Skills!Y15*(1+Inputs!$B$34/100)),15)/15,(Skills!Y15*(1+Inputs!$B$34/100))/Skills!D15)))/100)*(1+((C1499=TRUE)*F1499*B1527)/100))*B1535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1506)</f>
        <v/>
      </c>
      <c r="L1506">
        <f>K1506*(MIN(Inputs!$B$22+((C1517=TRUE)*(F1517-Calc!F24)),(Inputs!$B$23+0+(IF(ArtifactsInput!$M$15,CHOOSE(ArtifactsInput!$N$15+1,25,30,35,40,45,50)/100*(Inputs!$B$11-Inputs!$B$11),0))))/100+(Inputs!$B$23+0+(IF(ArtifactsInput!$M$15,CHOOSE(ArtifactsInput!$N$15+1,25,30,35,40,45,50)/100*(Inputs!$B$11-Inputs!$B$11),0)))/100)/2</f>
        <v/>
      </c>
      <c r="M1506">
        <f>L1506*(1+(Inputs!$B$10+((C1519=TRUE)*(F1519-Calc!F26))+B1536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06">
        <f>L1506*(1-MIN((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1506*(MIN((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06">
        <f>(1-Summary!$B$11)*T1506+Summary!$B$11*V1506</f>
        <v/>
      </c>
      <c r="P1506">
        <f>IF(B1537=0,0,O1506/B1537)</f>
        <v/>
      </c>
      <c r="Q1506">
        <f>IFERROR(1/IF(Inputs!$B$39="pvp",15,MAX(0.1,Skills!D13-IF(Skills!E13=TRUE,Inputs!$B$32,0))),0)</f>
        <v/>
      </c>
      <c r="R1506">
        <f>IF(AND(Inputs!$B$39&lt;&gt;"pvp",Inputs!$B$44&gt;0),IF(MAX(0,Inputs!$B$44-B1538)&lt;=0,0,(INT(MAX(0,Inputs!$B$44-B1538)/IF(Inputs!$B$39="pvp",15,MAX(0.1,Skills!D13-IF(Skills!E13=TRUE,Inputs!$B$32,0))))+1)),0)</f>
        <v/>
      </c>
      <c r="S1506">
        <f>IFERROR(O1506/N1506,0)</f>
        <v/>
      </c>
      <c r="T1506">
        <f>IF(C1506,(H1506*N1506*IF(AND(Inputs!$B$39&lt;&gt;"pvp",Inputs!$B$44&gt;0),((Skills!G13*((R1506-1)*IF(Skills!H13&gt;0,Skills!I13/Skills!H13,1)+IF(Skills!H13&gt;0,MIN(Skills!I13,MAX(0,MAX(0,Inputs!$B$44-B1538)-((R1506-1)*IF(Inputs!$B$39="pvp",15,MAX(0.1,Skills!D13-IF(Skills!E13=TRUE,Inputs!$B$32,0))))))/Skills!H13,1)))/Inputs!$B$44),G1506*Q1506))*IF(Inputs!$B$39="pvp",1,1+(Inputs!$B$20+((C1520=TRUE)*(F1520-Calc!F27))+Skills!P13+B1534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Hunt"),CHOOSE(ArtifactsInput!$N$35+1,15,18,21,24,27,30)*(1-EXP(-(0.2*B1529)*5)),0)+IF(AND(ArtifactsInput!$M$22,Inputs!$B$4&lt;&gt;"Chapter Hunt"),CHOOSE(ArtifactsInput!$N$22+1,10,12,14,16,18,20)*((0*(((0.15*B1529*5))^0/1)+1*(((0.15*B1529*5))^1/1)+2*(((0.15*B1529*5))^2/2)+3*(((0.15*B1529*5))^3/6)+4*(((0.15*B1529*5))^4/24)+5*(((0.15*B1529*5))^5/120))/((((0.15*B1529*5))^0/1)+(((0.15*B1529*5))^1/1)+(((0.15*B1529*5))^2/2)+(((0.15*B1529*5))^3/6)+(((0.15*B1529*5))^4/24)+(((0.15*B1529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1506*(1-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1506*(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1506*(1-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1506*(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06">
        <f>IF(C1506,(H1506*N1506*IF(AND(Inputs!$B$39&lt;&gt;"pvp",Inputs!$B$44&gt;0),((Skills!G13*((R1506-1)*IF(Skills!H13&gt;0,Skills!I13/Skills!H13,1)+IF(Skills!H13&gt;0,MIN(Skills!I13,MAX(0,MAX(0,Inputs!$B$44-B1538)-((R1506-1)*IF(Inputs!$B$39="pvp",15,MAX(0.1,Skills!D13-IF(Skills!E13=TRUE,Inputs!$B$32,0))))))/Skills!H13,1)))/Inputs!$B$44),G1506*Q1506))*IF(Inputs!$B$39="pvp",1,(1+(Inputs!$B$21+Skills!Q13+B1534+(IF(ArtifactsInput!$M$33,CHOOSE(ArtifactsInput!$N$33+1,30,36,42,48,54,60),0))+(IF(AND(ArtifactsInput!$M$35,Inputs!$B$4&lt;&gt;"Chapter Hunt"),CHOOSE(ArtifactsInput!$N$35+1,15,18,21,24,27,30)*(1-EXP(-(0.2*B1529)*5)),0)+IF(AND(ArtifactsInput!$M$22,Inputs!$B$4&lt;&gt;"Chapter Hunt"),CHOOSE(ArtifactsInput!$N$22+1,10,12,14,16,18,20)*((0*(((0.15*B1529*5))^0/1)+1*(((0.15*B1529*5))^1/1)+2*(((0.15*B1529*5))^2/2)+3*(((0.15*B1529*5))^3/6)+4*(((0.15*B1529*5))^4/24)+5*(((0.15*B1529*5))^5/120))/((((0.15*B1529*5))^0/1)+(((0.15*B1529*5))^1/1)+(((0.15*B1529*5))^2/2)+(((0.15*B1529*5))^3/6)+(((0.15*B1529*5))^4/24)+(((0.15*B1529*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07">
      <c r="A1507">
        <f>Skills!A14</f>
        <v/>
      </c>
      <c r="B1507">
        <f>Skills!B14</f>
        <v/>
      </c>
      <c r="C1507">
        <f>Inputs!$B$3&gt;=105</f>
        <v/>
      </c>
      <c r="D1507">
        <f>IF(Skills!C14=1,60+Inputs!$B$25+Inputs!$B$29,IF(Skills!C14=2,90+Inputs!$B$26+Inputs!$B$29,IF(Skills!C14=3,120+Inputs!$B$27+Inputs!$B$29,MAX(0,(Inputs!$B$3-100)*3)+Inputs!$B$28+Inputs!$B$29)))</f>
        <v/>
      </c>
      <c r="E1507">
        <f>INDEX(FactorTable!$B$2:$Y$301, MATCH(ROUND(MIN(300,MAX(1,D1507)),0), FactorTable!$A$2:$A$301,0), Skills!M14+1)</f>
        <v/>
      </c>
      <c r="F1507">
        <f>IF(Skills!N14=TRUE,(Skills!L14/10)*(E1507/1000),Skills!L14/10)+Skills!O14</f>
        <v/>
      </c>
      <c r="G1507">
        <f>Calc!G14</f>
        <v/>
      </c>
      <c r="H1507">
        <f>Calc!H14</f>
        <v/>
      </c>
      <c r="I1507">
        <f>IF(Skills!AA14&lt;&gt;"",1+(Skills!AA14/10)*(U1496/1000)/100,1)</f>
        <v/>
      </c>
      <c r="J1507">
        <f>((Inputs!$B$6*(1+Inputs!$B$7/100))+(((Inputs!$B$12*(1+Inputs!$B$13/100))-(Inputs!$B$12*(1+Inputs!$B$13/100)))+0.25*(Inputs!$B$14-Inputs!$B$14))*(1+Inputs!$B$7/100))*(F1507/100)</f>
        <v/>
      </c>
      <c r="K1507">
        <f>J1507*(1+((Inputs!$B$12*(1+Inputs!$B$13/100))*0.01+Inputs!$B$14*0.0025)/100)*(1+Inputs!$B$15/100)*(1+Inputs!$B$16/100)*(5000/(6000+Inputs!$B$43*(1-(100*(1-(1-(Inputs!$B$19+0)/100)*(1-CHOOSE(ArtifactsInput!$N$40+1,5,6,7,8,9,10)/100)^(ArtifactsInput!$M$40-ArtifactsInput!$M$40)))/100)))*(1+(Inputs!$B$24+((C1523=TRUE)*(F1523-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1516=TRUE)*(F1516-Calc!F23))+(((IF(AND(ArtifactsInput!$M$42,((Inputs!$B$9+((C1518=TRUE)*(F1518-Calc!F25))+B1533+(ArtifactsInput!$M$24-ArtifactsInput!$M$24)*CHOOSE(ArtifactsInput!$N$24+1,10,12,14,16,18,20)+IF(ArtifactsInput!$M$10,CHOOSE(ArtifactsInput!$N$10+1,15,18,21,24,27,30)*(IF(Inputs!$B$39="pvp",MIN(15,15)/15,IF(AND(Inputs!$B$39&lt;&gt;"pvp",Inputs!$B$44&gt;0),MIN(15,Inputs!$B$44)/(Inputs!$B$44),0))),0)))&gt;=100),MIN(100,((Inputs!$B$9+((C1518=TRUE)*(F1518-Calc!F25))+B1533+(ArtifactsInput!$M$24-ArtifactsInput!$M$24)*CHOOSE(ArtifactsInput!$N$24+1,10,12,14,16,18,20)+IF(ArtifactsInput!$M$10,CHOOSE(ArtifactsInput!$N$10+1,15,18,21,24,27,30)*(IF(Inputs!$B$39="pvp",MIN(15,15)/15,IF(AND(Inputs!$B$39&lt;&gt;"pvp",Inputs!$B$44&gt;0),MIN(15,Inputs!$B$44)/(Inputs!$B$44),0))),0)))-100),0))*CHOOSE(ArtifactsInput!$N$42+1,0.6,0.72,0.84,0.96,1.08,1.2))),Inputs!$B$18+((C1522=TRUE)*(F1522-Calc!F29))+(IF(AND(ArtifactsInput!$M$42,((Inputs!$B$9+((C1518=TRUE)*(F1518-Calc!F25))+B1533+(ArtifactsInput!$M$24-ArtifactsInput!$M$24)*CHOOSE(ArtifactsInput!$N$24+1,10,12,14,16,18,20)+IF(ArtifactsInput!$M$10,CHOOSE(ArtifactsInput!$N$10+1,15,18,21,24,27,30)*(IF(Inputs!$B$39="pvp",MIN(15,15)/15,IF(AND(Inputs!$B$39&lt;&gt;"pvp",Inputs!$B$44&gt;0),MIN(15,Inputs!$B$44)/(Inputs!$B$44),0))),0)))&gt;=100),CHOOSE(ArtifactsInput!$N$42+1,40,48,56,64,72,80),0))))/100)*(((1+(((C1514=TRUE)*F1514*IF(AND(Inputs!$B$39&lt;&gt;"pvp",Inputs!$B$44&gt;0),(((R1514-1)*(Skills!Y21*(1+Inputs!$B$34/100))+MIN((Skills!Y21*(1+Inputs!$B$34/100)),MAX(0,Inputs!$B$44-((R1514-1)*Skills!D21))))/Inputs!$B$44),IF(Inputs!$B$39="pvp",MIN((Skills!Y21*(1+Inputs!$B$34/100)),15)/15,(Skills!Y21*(1+Inputs!$B$34/100))/Skills!D21)))+((C1521=TRUE)*(F1521-Calc!F28))+((C1511=TRUE)*(F1511-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1508=TRUE)*F1508*IF(AND(Inputs!$B$39&lt;&gt;"pvp",Inputs!$B$44&gt;0),(((R1508-1)*(Skills!Y15*(1+Inputs!$B$34/100))+MIN((Skills!Y15*(1+Inputs!$B$34/100)),MAX(0,Inputs!$B$44-((R1508-1)*Skills!D15))))/Inputs!$B$44),IF(Inputs!$B$39="pvp",MIN((Skills!Y15*(1+Inputs!$B$34/100)),15)/15,(Skills!Y15*(1+Inputs!$B$34/100))/Skills!D15)))/100)*(1+((C1499=TRUE)*F1499*B1527)/100))*B1535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1507)</f>
        <v/>
      </c>
      <c r="L1507">
        <f>K1507*(MIN(Inputs!$B$22+((C1517=TRUE)*(F1517-Calc!F24)),(Inputs!$B$23+0+(IF(ArtifactsInput!$M$15,CHOOSE(ArtifactsInput!$N$15+1,25,30,35,40,45,50)/100*(Inputs!$B$11-Inputs!$B$11),0))))/100+(Inputs!$B$23+0+(IF(ArtifactsInput!$M$15,CHOOSE(ArtifactsInput!$N$15+1,25,30,35,40,45,50)/100*(Inputs!$B$11-Inputs!$B$11),0)))/100)/2</f>
        <v/>
      </c>
      <c r="M1507">
        <f>L1507*(1+(Inputs!$B$10+((C1519=TRUE)*(F1519-Calc!F26))+B1536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07">
        <f>L1507*(1-MIN((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1507*(MIN((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07">
        <f>(1-Summary!$B$11)*T1507+Summary!$B$11*V1507</f>
        <v/>
      </c>
      <c r="P1507">
        <f>IF(B1537=0,0,O1507/B1537)</f>
        <v/>
      </c>
      <c r="Q1507">
        <f>IFERROR(1/IF(Inputs!$B$39="pvp",15,MAX(0.1,Skills!D14-IF(Skills!E14=TRUE,Inputs!$B$32,0))),0)</f>
        <v/>
      </c>
      <c r="R1507">
        <f>IF(AND(Inputs!$B$39&lt;&gt;"pvp",Inputs!$B$44&gt;0),IF(MAX(0,Inputs!$B$44-B1538)&lt;=0,0,(INT(MAX(0,Inputs!$B$44-B1538)/IF(Inputs!$B$39="pvp",15,MAX(0.1,Skills!D14-IF(Skills!E14=TRUE,Inputs!$B$32,0))))+1)),0)</f>
        <v/>
      </c>
      <c r="S1507">
        <f>IFERROR(O1507/N1507,0)</f>
        <v/>
      </c>
      <c r="T1507">
        <f>IF(C1507,(H1507*N1507*IF(AND(Inputs!$B$39&lt;&gt;"pvp",Inputs!$B$44&gt;0),((Skills!G14*((R1507-1)*IF(Skills!H14&gt;0,Skills!I14/Skills!H14,1)+IF(Skills!H14&gt;0,MIN(Skills!I14,MAX(0,MAX(0,Inputs!$B$44-B1538)-((R1507-1)*IF(Inputs!$B$39="pvp",15,MAX(0.1,Skills!D14-IF(Skills!E14=TRUE,Inputs!$B$32,0))))))/Skills!H14,1)))/Inputs!$B$44),G1507*Q1507))*IF(Inputs!$B$39="pvp",1,1+(Inputs!$B$20+((C1520=TRUE)*(F1520-Calc!F27))+Skills!P14+B1534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Hunt"),CHOOSE(ArtifactsInput!$N$35+1,15,18,21,24,27,30)*(1-EXP(-(0.2*B1529)*5)),0)+IF(AND(ArtifactsInput!$M$22,Inputs!$B$4&lt;&gt;"Chapter Hunt"),CHOOSE(ArtifactsInput!$N$22+1,10,12,14,16,18,20)*((0*(((0.15*B1529*5))^0/1)+1*(((0.15*B1529*5))^1/1)+2*(((0.15*B1529*5))^2/2)+3*(((0.15*B1529*5))^3/6)+4*(((0.15*B1529*5))^4/24)+5*(((0.15*B1529*5))^5/120))/((((0.15*B1529*5))^0/1)+(((0.15*B1529*5))^1/1)+(((0.15*B1529*5))^2/2)+(((0.15*B1529*5))^3/6)+(((0.15*B1529*5))^4/24)+(((0.15*B1529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1507*(1-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1507*(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1507*(1-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1507*(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07">
        <f>IF(C1507,(H1507*N1507*IF(AND(Inputs!$B$39&lt;&gt;"pvp",Inputs!$B$44&gt;0),((Skills!G14*((R1507-1)*IF(Skills!H14&gt;0,Skills!I14/Skills!H14,1)+IF(Skills!H14&gt;0,MIN(Skills!I14,MAX(0,MAX(0,Inputs!$B$44-B1538)-((R1507-1)*IF(Inputs!$B$39="pvp",15,MAX(0.1,Skills!D14-IF(Skills!E14=TRUE,Inputs!$B$32,0))))))/Skills!H14,1)))/Inputs!$B$44),G1507*Q1507))*IF(Inputs!$B$39="pvp",1,(1+(Inputs!$B$21+Skills!Q14+B1534+(IF(ArtifactsInput!$M$33,CHOOSE(ArtifactsInput!$N$33+1,30,36,42,48,54,60),0))+(IF(AND(ArtifactsInput!$M$35,Inputs!$B$4&lt;&gt;"Chapter Hunt"),CHOOSE(ArtifactsInput!$N$35+1,15,18,21,24,27,30)*(1-EXP(-(0.2*B1529)*5)),0)+IF(AND(ArtifactsInput!$M$22,Inputs!$B$4&lt;&gt;"Chapter Hunt"),CHOOSE(ArtifactsInput!$N$22+1,10,12,14,16,18,20)*((0*(((0.15*B1529*5))^0/1)+1*(((0.15*B1529*5))^1/1)+2*(((0.15*B1529*5))^2/2)+3*(((0.15*B1529*5))^3/6)+4*(((0.15*B1529*5))^4/24)+5*(((0.15*B1529*5))^5/120))/((((0.15*B1529*5))^0/1)+(((0.15*B1529*5))^1/1)+(((0.15*B1529*5))^2/2)+(((0.15*B1529*5))^3/6)+(((0.15*B1529*5))^4/24)+(((0.15*B1529*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08">
      <c r="A1508">
        <f>Skills!A15</f>
        <v/>
      </c>
      <c r="B1508">
        <f>Skills!B15</f>
        <v/>
      </c>
      <c r="C1508">
        <f>Inputs!$B$3&gt;=110</f>
        <v/>
      </c>
      <c r="D1508">
        <f>IF(Skills!C15=1,60+Inputs!$B$25+Inputs!$B$29,IF(Skills!C15=2,90+Inputs!$B$26+Inputs!$B$29,IF(Skills!C15=3,120+Inputs!$B$27+Inputs!$B$29,MAX(0,(Inputs!$B$3-100)*3)+Inputs!$B$28+Inputs!$B$29)))</f>
        <v/>
      </c>
      <c r="E1508">
        <f>INDEX(FactorTable!$B$2:$Y$301, MATCH(ROUND(MIN(300,MAX(1,D1508)),0), FactorTable!$A$2:$A$301,0), Skills!M15+1)</f>
        <v/>
      </c>
      <c r="F1508">
        <f>IF(Skills!N15=TRUE,(Skills!L15/10)*(E1508/1000),Skills!L15/10)+Skills!O15</f>
        <v/>
      </c>
      <c r="G1508">
        <f>Calc!G15</f>
        <v/>
      </c>
      <c r="H1508">
        <f>Calc!H15</f>
        <v/>
      </c>
      <c r="I1508">
        <f>IF(Skills!AA15&lt;&gt;"",1+(Skills!AA15/10)*(U1496/1000)/100,1)</f>
        <v/>
      </c>
      <c r="J1508" t="inlineStr"/>
      <c r="K1508" t="inlineStr"/>
      <c r="L1508" t="inlineStr"/>
      <c r="M1508" t="inlineStr"/>
      <c r="N1508" t="inlineStr"/>
      <c r="O1508">
        <f>(1-Summary!$B$11)*T1508+Summary!$B$11*V1508</f>
        <v/>
      </c>
      <c r="P1508">
        <f>IF(B1537=0,0,O1508/B1537)</f>
        <v/>
      </c>
      <c r="Q1508">
        <f>IFERROR(1/IF(Inputs!$B$39="pvp",15,MAX(0.1,Skills!D15-IF(Skills!E15=TRUE,Inputs!$B$32,0))),0)</f>
        <v/>
      </c>
      <c r="R1508">
        <f>IF(AND(Inputs!$B$39&lt;&gt;"pvp",Inputs!$B$44&gt;0),IF(Inputs!$B$44&lt;=0,0,(INT(Inputs!$B$44/IF(Inputs!$B$39="pvp",15,MAX(0.1,Skills!D15-IF(Skills!E15=TRUE,Inputs!$B$32,0))))+1)),0)</f>
        <v/>
      </c>
      <c r="S1508">
        <f>IFERROR(O1508/N1508,0)</f>
        <v/>
      </c>
      <c r="T1508" t="n">
        <v>0</v>
      </c>
      <c r="V1508" t="n">
        <v>0</v>
      </c>
    </row>
    <row r="1509">
      <c r="A1509">
        <f>Skills!A16</f>
        <v/>
      </c>
      <c r="B1509">
        <f>Skills!B16</f>
        <v/>
      </c>
      <c r="C1509">
        <f>Inputs!$B$3&gt;=110</f>
        <v/>
      </c>
      <c r="D1509">
        <f>IF(Skills!C16=1,60+Inputs!$B$25+Inputs!$B$29,IF(Skills!C16=2,90+Inputs!$B$26+Inputs!$B$29,IF(Skills!C16=3,120+Inputs!$B$27+Inputs!$B$29,MAX(0,(Inputs!$B$3-100)*3)+Inputs!$B$28+Inputs!$B$29)))</f>
        <v/>
      </c>
      <c r="E1509">
        <f>INDEX(FactorTable!$B$2:$Y$301, MATCH(ROUND(MIN(300,MAX(1,D1509)),0), FactorTable!$A$2:$A$301,0), Skills!M16+1)</f>
        <v/>
      </c>
      <c r="F1509">
        <f>IF(Skills!N16=TRUE,(Skills!L16/10)*(E1509/1000),Skills!L16/10)+Skills!O16</f>
        <v/>
      </c>
      <c r="G1509">
        <f>Calc!G16</f>
        <v/>
      </c>
      <c r="H1509">
        <f>Calc!H16</f>
        <v/>
      </c>
      <c r="I1509">
        <f>IF(Skills!AA16&lt;&gt;"",1+(Skills!AA16/10)*(U1496/1000)/100,1)</f>
        <v/>
      </c>
      <c r="J1509" t="inlineStr"/>
      <c r="K1509" t="inlineStr"/>
      <c r="L1509" t="inlineStr"/>
      <c r="M1509" t="inlineStr"/>
      <c r="N1509" t="inlineStr"/>
      <c r="O1509">
        <f>(1-Summary!$B$11)*T1509+Summary!$B$11*V1509</f>
        <v/>
      </c>
      <c r="P1509">
        <f>IF(B1537=0,0,O1509/B1537)</f>
        <v/>
      </c>
      <c r="Q1509">
        <f>IFERROR(1/IF(Inputs!$B$39="pvp",15,MAX(0.1,Skills!D16-IF(Skills!E16=TRUE,Inputs!$B$32,0))),0)</f>
        <v/>
      </c>
      <c r="R1509">
        <f>IF(AND(Inputs!$B$39&lt;&gt;"pvp",Inputs!$B$44&gt;0),IF(Inputs!$B$44&lt;=0,0,(INT(Inputs!$B$44/IF(Inputs!$B$39="pvp",15,MAX(0.1,Skills!D16-IF(Skills!E16=TRUE,Inputs!$B$32,0))))+1)),0)</f>
        <v/>
      </c>
      <c r="S1509">
        <f>IFERROR(O1509/N1509,0)</f>
        <v/>
      </c>
      <c r="T1509" t="n">
        <v>0</v>
      </c>
      <c r="V1509" t="n">
        <v>0</v>
      </c>
    </row>
    <row r="1510">
      <c r="A1510">
        <f>Skills!A17</f>
        <v/>
      </c>
      <c r="B1510">
        <f>Skills!B17</f>
        <v/>
      </c>
      <c r="C1510">
        <f>Inputs!$B$3&gt;=115</f>
        <v/>
      </c>
      <c r="D1510">
        <f>IF(Skills!C17=1,60+Inputs!$B$25+Inputs!$B$29,IF(Skills!C17=2,90+Inputs!$B$26+Inputs!$B$29,IF(Skills!C17=3,120+Inputs!$B$27+Inputs!$B$29,MAX(0,(Inputs!$B$3-100)*3)+Inputs!$B$28+Inputs!$B$29)))</f>
        <v/>
      </c>
      <c r="E1510">
        <f>INDEX(FactorTable!$B$2:$Y$301, MATCH(ROUND(MIN(300,MAX(1,D1510)),0), FactorTable!$A$2:$A$301,0), Skills!M17+1)</f>
        <v/>
      </c>
      <c r="F1510">
        <f>IF(Skills!N17=TRUE,(Skills!L17/10)*(E1510/1000),Skills!L17/10)+Skills!O17</f>
        <v/>
      </c>
      <c r="G1510">
        <f>Calc!G17</f>
        <v/>
      </c>
      <c r="H1510">
        <f>Calc!H17</f>
        <v/>
      </c>
      <c r="I1510">
        <f>IF(Skills!AA17&lt;&gt;"",1+(Skills!AA17/10)*(U1496/1000)/100,1)</f>
        <v/>
      </c>
      <c r="J1510">
        <f>((Inputs!$B$6*(1+Inputs!$B$7/100))+(((Inputs!$B$12*(1+Inputs!$B$13/100))-(Inputs!$B$12*(1+Inputs!$B$13/100)))+0.25*(Inputs!$B$14-Inputs!$B$14))*(1+Inputs!$B$7/100))*(F1510/100)</f>
        <v/>
      </c>
      <c r="K1510">
        <f>J1510*(1+((Inputs!$B$12*(1+Inputs!$B$13/100))*0.01+Inputs!$B$14*0.0025)/100)*(1+Inputs!$B$15/100)*(1+Inputs!$B$16/100)*(5000/(6000+Inputs!$B$43*(1-(100*(1-(1-(Inputs!$B$19+0)/100)*(1-CHOOSE(ArtifactsInput!$N$40+1,5,6,7,8,9,10)/100)^(ArtifactsInput!$M$40-ArtifactsInput!$M$40)))/100)))*(1+(Inputs!$B$24+((C1523=TRUE)*(F1523-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1516=TRUE)*(F1516-Calc!F23))+(((IF(AND(ArtifactsInput!$M$42,((Inputs!$B$9+((C1518=TRUE)*(F1518-Calc!F25))+B1533+(ArtifactsInput!$M$24-ArtifactsInput!$M$24)*CHOOSE(ArtifactsInput!$N$24+1,10,12,14,16,18,20)+IF(ArtifactsInput!$M$10,CHOOSE(ArtifactsInput!$N$10+1,15,18,21,24,27,30)*(IF(Inputs!$B$39="pvp",MIN(15,15)/15,IF(AND(Inputs!$B$39&lt;&gt;"pvp",Inputs!$B$44&gt;0),MIN(15,Inputs!$B$44)/(Inputs!$B$44),0))),0)))&gt;=100),MIN(100,((Inputs!$B$9+((C1518=TRUE)*(F1518-Calc!F25))+B1533+(ArtifactsInput!$M$24-ArtifactsInput!$M$24)*CHOOSE(ArtifactsInput!$N$24+1,10,12,14,16,18,20)+IF(ArtifactsInput!$M$10,CHOOSE(ArtifactsInput!$N$10+1,15,18,21,24,27,30)*(IF(Inputs!$B$39="pvp",MIN(15,15)/15,IF(AND(Inputs!$B$39&lt;&gt;"pvp",Inputs!$B$44&gt;0),MIN(15,Inputs!$B$44)/(Inputs!$B$44),0))),0)))-100),0))*CHOOSE(ArtifactsInput!$N$42+1,0.6,0.72,0.84,0.96,1.08,1.2))),Inputs!$B$18+((C1522=TRUE)*(F1522-Calc!F29))+(IF(AND(ArtifactsInput!$M$42,((Inputs!$B$9+((C1518=TRUE)*(F1518-Calc!F25))+B1533+(ArtifactsInput!$M$24-ArtifactsInput!$M$24)*CHOOSE(ArtifactsInput!$N$24+1,10,12,14,16,18,20)+IF(ArtifactsInput!$M$10,CHOOSE(ArtifactsInput!$N$10+1,15,18,21,24,27,30)*(IF(Inputs!$B$39="pvp",MIN(15,15)/15,IF(AND(Inputs!$B$39&lt;&gt;"pvp",Inputs!$B$44&gt;0),MIN(15,Inputs!$B$44)/(Inputs!$B$44),0))),0)))&gt;=100),CHOOSE(ArtifactsInput!$N$42+1,40,48,56,64,72,80),0))))/100)*(((1+(((C1514=TRUE)*F1514*IF(AND(Inputs!$B$39&lt;&gt;"pvp",Inputs!$B$44&gt;0),(((R1514-1)*(Skills!Y21*(1+Inputs!$B$34/100))+MIN((Skills!Y21*(1+Inputs!$B$34/100)),MAX(0,Inputs!$B$44-((R1514-1)*Skills!D21))))/Inputs!$B$44),IF(Inputs!$B$39="pvp",MIN((Skills!Y21*(1+Inputs!$B$34/100)),15)/15,(Skills!Y21*(1+Inputs!$B$34/100))/Skills!D21)))+((C1521=TRUE)*(F1521-Calc!F28))+((C1511=TRUE)*(F1511-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1508=TRUE)*F1508*IF(AND(Inputs!$B$39&lt;&gt;"pvp",Inputs!$B$44&gt;0),(((R1508-1)*(Skills!Y15*(1+Inputs!$B$34/100))+MIN((Skills!Y15*(1+Inputs!$B$34/100)),MAX(0,Inputs!$B$44-((R1508-1)*Skills!D15))))/Inputs!$B$44),IF(Inputs!$B$39="pvp",MIN((Skills!Y15*(1+Inputs!$B$34/100)),15)/15,(Skills!Y15*(1+Inputs!$B$34/100))/Skills!D15)))/100)*(1+((C1499=TRUE)*F1499*B1527)/100))*B1535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1510)</f>
        <v/>
      </c>
      <c r="L1510">
        <f>K1510*(MIN(Inputs!$B$22+((C1517=TRUE)*(F1517-Calc!F24)),(Inputs!$B$23+0+(IF(ArtifactsInput!$M$15,CHOOSE(ArtifactsInput!$N$15+1,25,30,35,40,45,50)/100*(Inputs!$B$11-Inputs!$B$11),0))))/100+(Inputs!$B$23+0+(IF(ArtifactsInput!$M$15,CHOOSE(ArtifactsInput!$N$15+1,25,30,35,40,45,50)/100*(Inputs!$B$11-Inputs!$B$11),0)))/100)/2</f>
        <v/>
      </c>
      <c r="M1510">
        <f>L1510*(1+(Inputs!$B$10+((C1519=TRUE)*(F1519-Calc!F26))+B1536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10">
        <f>L1510*(1-MIN((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1510*(MIN((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10">
        <f>(1-Summary!$B$11)*T1510+Summary!$B$11*V1510</f>
        <v/>
      </c>
      <c r="P1510">
        <f>IF(B1537=0,0,O1510/B1537)</f>
        <v/>
      </c>
      <c r="Q1510" t="n">
        <v>0</v>
      </c>
      <c r="R1510" t="n">
        <v>0</v>
      </c>
      <c r="S1510">
        <f>IFERROR(O1510/N1510,0)</f>
        <v/>
      </c>
      <c r="T1510">
        <f>IF(C1510,(Inputs!$B$38*0.2*N1510)*IF(Inputs!$B$39="pvp",1,1+(Inputs!$B$20+((C1520=TRUE)*(F1520-Calc!F27))+Skills!P17+B1534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Hunt"),CHOOSE(ArtifactsInput!$N$35+1,15,18,21,24,27,30)*(1-EXP(-(0.2*B1529)*5)),0)+IF(AND(ArtifactsInput!$M$22,Inputs!$B$4&lt;&gt;"Chapter Hunt"),CHOOSE(ArtifactsInput!$N$22+1,10,12,14,16,18,20)*((0*(((0.15*B1529*5))^0/1)+1*(((0.15*B1529*5))^1/1)+2*(((0.15*B1529*5))^2/2)+3*(((0.15*B1529*5))^3/6)+4*(((0.15*B1529*5))^4/24)+5*(((0.15*B1529*5))^5/120))/((((0.15*B1529*5))^0/1)+(((0.15*B1529*5))^1/1)+(((0.15*B1529*5))^2/2)+(((0.15*B1529*5))^3/6)+(((0.15*B1529*5))^4/24)+(((0.15*B1529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1510*(1-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1510*(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1510*(1-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1510*(MIN(100,(Inputs!$B$9+((C1518=TRUE)*(F1518-Calc!F25))+B1533+(ArtifactsInput!$M$24-ArtifactsInput!$M$24)*CHOOSE(ArtifactsInput!$N$24+1,10,12,14,16,18,20)+(IF(AND(ArtifactsInput!$M$42,((Inputs!$B$9+((C1518=TRUE)*(F1518-Calc!F25))+B1533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10">
        <f>IF(C1510,(Inputs!$B$38*0.2*N1510)*IF(Inputs!$B$39="pvp",1,(1+(Inputs!$B$21+Skills!Q17+B1534+(IF(ArtifactsInput!$M$33,CHOOSE(ArtifactsInput!$N$33+1,30,36,42,48,54,60),0))+(IF(AND(ArtifactsInput!$M$35,Inputs!$B$4&lt;&gt;"Chapter Hunt"),CHOOSE(ArtifactsInput!$N$35+1,15,18,21,24,27,30)*(1-EXP(-(0.2*B1529)*5)),0)+IF(AND(ArtifactsInput!$M$22,Inputs!$B$4&lt;&gt;"Chapter Hunt"),CHOOSE(ArtifactsInput!$N$22+1,10,12,14,16,18,20)*((0*(((0.15*B1529*5))^0/1)+1*(((0.15*B1529*5))^1/1)+2*(((0.15*B1529*5))^2/2)+3*(((0.15*B1529*5))^3/6)+4*(((0.15*B1529*5))^4/24)+5*(((0.15*B1529*5))^5/120))/((((0.15*B1529*5))^0/1)+(((0.15*B1529*5))^1/1)+(((0.15*B1529*5))^2/2)+(((0.15*B1529*5))^3/6)+(((0.15*B1529*5))^4/24)+(((0.15*B1529*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11">
      <c r="A1511">
        <f>Skills!A18</f>
        <v/>
      </c>
      <c r="B1511">
        <f>Skills!B18</f>
        <v/>
      </c>
      <c r="C1511">
        <f>Inputs!$B$3&gt;=115</f>
        <v/>
      </c>
      <c r="D1511">
        <f>IF(Skills!C18=1,60+Inputs!$B$25+Inputs!$B$29,IF(Skills!C18=2,90+Inputs!$B$26+Inputs!$B$29,IF(Skills!C18=3,120+Inputs!$B$27+Inputs!$B$29,MAX(0,(Inputs!$B$3-100)*3)+Inputs!$B$28+Inputs!$B$29)))</f>
        <v/>
      </c>
      <c r="E1511">
        <f>INDEX(FactorTable!$B$2:$Y$301, MATCH(ROUND(MIN(300,MAX(1,D1511)),0), FactorTable!$A$2:$A$301,0), Skills!M18+1)</f>
        <v/>
      </c>
      <c r="F1511">
        <f>IF(Skills!N18=TRUE,(Skills!L18/10)*(E1511/1000),Skills!L18/10)+Skills!O18</f>
        <v/>
      </c>
      <c r="G1511">
        <f>Calc!G18</f>
        <v/>
      </c>
      <c r="H1511">
        <f>Calc!H18</f>
        <v/>
      </c>
      <c r="I1511">
        <f>IF(Skills!AA18&lt;&gt;"",1+(Skills!AA18/10)*(U1496/1000)/100,1)</f>
        <v/>
      </c>
      <c r="J1511" t="inlineStr"/>
      <c r="K1511" t="inlineStr"/>
      <c r="L1511" t="inlineStr"/>
      <c r="M1511" t="inlineStr"/>
      <c r="N1511" t="inlineStr"/>
      <c r="O1511">
        <f>(1-Summary!$B$11)*T1511+Summary!$B$11*V1511</f>
        <v/>
      </c>
      <c r="P1511">
        <f>IF(B1537=0,0,O1511/B1537)</f>
        <v/>
      </c>
      <c r="Q1511" t="n">
        <v>0</v>
      </c>
      <c r="R1511" t="n">
        <v>0</v>
      </c>
      <c r="S1511">
        <f>IFERROR(O1511/N1511,0)</f>
        <v/>
      </c>
      <c r="T1511" t="n">
        <v>0</v>
      </c>
      <c r="V1511" t="n">
        <v>0</v>
      </c>
    </row>
    <row r="1512">
      <c r="A1512">
        <f>Skills!A19</f>
        <v/>
      </c>
      <c r="B1512">
        <f>Skills!B19</f>
        <v/>
      </c>
      <c r="C1512">
        <f>TRUE</f>
        <v/>
      </c>
      <c r="D1512">
        <f>IF(Skills!C19=1,60+Inputs!$B$25+Inputs!$B$29,IF(Skills!C19=2,90+Inputs!$B$26+Inputs!$B$29,IF(Skills!C19=3,120+Inputs!$B$27+Inputs!$B$29,MAX(0,(Inputs!$B$3-100)*3)+Inputs!$B$28+Inputs!$B$29)))</f>
        <v/>
      </c>
      <c r="E1512">
        <f>INDEX(FactorTable!$B$2:$Y$301, MATCH(ROUND(MIN(300,MAX(1,D1512)),0), FactorTable!$A$2:$A$301,0), Skills!M19+1)</f>
        <v/>
      </c>
      <c r="F1512">
        <f>IF(Skills!N19=TRUE,(Skills!L19/10)*(E1512/1000),Skills!L19/10)+Skills!O19</f>
        <v/>
      </c>
      <c r="G1512">
        <f>Calc!G19</f>
        <v/>
      </c>
      <c r="H1512">
        <f>Calc!H19</f>
        <v/>
      </c>
      <c r="I1512">
        <f>IF(Skills!AA19&lt;&gt;"",1+(Skills!AA19/10)*(U1496/1000)/100,1)</f>
        <v/>
      </c>
      <c r="J1512" t="inlineStr"/>
      <c r="K1512" t="inlineStr"/>
      <c r="L1512" t="inlineStr"/>
      <c r="M1512" t="inlineStr"/>
      <c r="N1512" t="inlineStr"/>
      <c r="O1512">
        <f>(1-Summary!$B$11)*T1512+Summary!$B$11*V1512</f>
        <v/>
      </c>
      <c r="P1512">
        <f>IF(B1537=0,0,O1512/B1537)</f>
        <v/>
      </c>
      <c r="Q1512">
        <f>IFERROR(1/IF(Inputs!$B$39="pvp",15,MAX(0.1,Skills!D19-IF(Skills!E19=TRUE,Inputs!$B$32,0))),0)</f>
        <v/>
      </c>
      <c r="R1512">
        <f>IF(AND(Inputs!$B$39&lt;&gt;"pvp",Inputs!$B$44&gt;0),IF(Inputs!$B$44&lt;=0,0,(INT(Inputs!$B$44/IF(Inputs!$B$39="pvp",15,MAX(0.1,Skills!D19-IF(Skills!E19=TRUE,Inputs!$B$32,0))))+1)),0)</f>
        <v/>
      </c>
      <c r="S1512">
        <f>IFERROR(O1512/N1512,0)</f>
        <v/>
      </c>
      <c r="T1512" t="n">
        <v>0</v>
      </c>
      <c r="V1512" t="n">
        <v>0</v>
      </c>
    </row>
    <row r="1513">
      <c r="A1513">
        <f>Skills!A20</f>
        <v/>
      </c>
      <c r="B1513">
        <f>Skills!B20</f>
        <v/>
      </c>
      <c r="C1513">
        <f>Inputs!$B$3&gt;=15</f>
        <v/>
      </c>
      <c r="D1513">
        <f>IF(Skills!C20=1,60+Inputs!$B$25+Inputs!$B$29,IF(Skills!C20=2,90+Inputs!$B$26+Inputs!$B$29,IF(Skills!C20=3,120+Inputs!$B$27+Inputs!$B$29,MAX(0,(Inputs!$B$3-100)*3)+Inputs!$B$28+Inputs!$B$29)))</f>
        <v/>
      </c>
      <c r="E1513">
        <f>INDEX(FactorTable!$B$2:$Y$301, MATCH(ROUND(MIN(300,MAX(1,D1513)),0), FactorTable!$A$2:$A$301,0), Skills!M20+1)</f>
        <v/>
      </c>
      <c r="F1513">
        <f>IF(Skills!N20=TRUE,(Skills!L20/10)*(E1513/1000),Skills!L20/10)+Skills!O20</f>
        <v/>
      </c>
      <c r="G1513">
        <f>Calc!G20</f>
        <v/>
      </c>
      <c r="H1513">
        <f>Calc!H20</f>
        <v/>
      </c>
      <c r="I1513">
        <f>IF(Skills!AA20&lt;&gt;"",1+(Skills!AA20/10)*(U1496/1000)/100,1)</f>
        <v/>
      </c>
      <c r="J1513" t="inlineStr"/>
      <c r="K1513" t="inlineStr"/>
      <c r="L1513" t="inlineStr"/>
      <c r="M1513" t="inlineStr"/>
      <c r="N1513" t="inlineStr"/>
      <c r="O1513">
        <f>(1-Summary!$B$11)*T1513+Summary!$B$11*V1513</f>
        <v/>
      </c>
      <c r="P1513">
        <f>IF(B1537=0,0,O1513/B1537)</f>
        <v/>
      </c>
      <c r="Q1513">
        <f>IFERROR(1/IF(Inputs!$B$39="pvp",15,MAX(0.1,Skills!D20-IF(Skills!E20=TRUE,Inputs!$B$32,0))),0)</f>
        <v/>
      </c>
      <c r="R1513">
        <f>IF(AND(Inputs!$B$39&lt;&gt;"pvp",Inputs!$B$44&gt;0),IF(Inputs!$B$44&lt;=0,0,(INT(Inputs!$B$44/IF(Inputs!$B$39="pvp",15,MAX(0.1,Skills!D20-IF(Skills!E20=TRUE,Inputs!$B$32,0))))+1)),0)</f>
        <v/>
      </c>
      <c r="S1513">
        <f>IFERROR(O1513/N1513,0)</f>
        <v/>
      </c>
      <c r="T1513" t="n">
        <v>0</v>
      </c>
      <c r="V1513" t="n">
        <v>0</v>
      </c>
    </row>
    <row r="1514">
      <c r="A1514">
        <f>Skills!A21</f>
        <v/>
      </c>
      <c r="B1514">
        <f>Skills!B21</f>
        <v/>
      </c>
      <c r="C1514">
        <f>Inputs!$B$3&gt;=15</f>
        <v/>
      </c>
      <c r="D1514">
        <f>IF(Skills!C21=1,60+Inputs!$B$25+Inputs!$B$29,IF(Skills!C21=2,90+Inputs!$B$26+Inputs!$B$29,IF(Skills!C21=3,120+Inputs!$B$27+Inputs!$B$29,MAX(0,(Inputs!$B$3-100)*3)+Inputs!$B$28+Inputs!$B$29)))</f>
        <v/>
      </c>
      <c r="E1514">
        <f>INDEX(FactorTable!$B$2:$Y$301, MATCH(ROUND(MIN(300,MAX(1,D1514)),0), FactorTable!$A$2:$A$301,0), Skills!M21+1)</f>
        <v/>
      </c>
      <c r="F1514">
        <f>IF(Skills!N21=TRUE,(Skills!L21/10)*(E1514/1000),Skills!L21/10)+Skills!O21</f>
        <v/>
      </c>
      <c r="G1514">
        <f>Calc!G21</f>
        <v/>
      </c>
      <c r="H1514">
        <f>Calc!H21</f>
        <v/>
      </c>
      <c r="I1514">
        <f>IF(Skills!AA21&lt;&gt;"",1+(Skills!AA21/10)*(U1496/1000)/100,1)</f>
        <v/>
      </c>
      <c r="J1514" t="inlineStr"/>
      <c r="K1514" t="inlineStr"/>
      <c r="L1514" t="inlineStr"/>
      <c r="M1514" t="inlineStr"/>
      <c r="N1514" t="inlineStr"/>
      <c r="O1514">
        <f>(1-Summary!$B$11)*T1514+Summary!$B$11*V1514</f>
        <v/>
      </c>
      <c r="P1514">
        <f>IF(B1537=0,0,O1514/B1537)</f>
        <v/>
      </c>
      <c r="Q1514">
        <f>IFERROR(1/IF(Inputs!$B$39="pvp",15,MAX(0.1,Skills!D21-IF(Skills!E21=TRUE,Inputs!$B$32,0))),0)</f>
        <v/>
      </c>
      <c r="R1514">
        <f>IF(AND(Inputs!$B$39&lt;&gt;"pvp",Inputs!$B$44&gt;0),IF(Inputs!$B$44&lt;=0,0,(INT(Inputs!$B$44/IF(Inputs!$B$39="pvp",15,MAX(0.1,Skills!D21-IF(Skills!E21=TRUE,Inputs!$B$32,0))))+1)),0)</f>
        <v/>
      </c>
      <c r="S1514">
        <f>IFERROR(O1514/N1514,0)</f>
        <v/>
      </c>
      <c r="T1514" t="n">
        <v>0</v>
      </c>
      <c r="V1514" t="n">
        <v>0</v>
      </c>
    </row>
    <row r="1515">
      <c r="A1515">
        <f>Skills!A22</f>
        <v/>
      </c>
      <c r="B1515">
        <f>Skills!B22</f>
        <v/>
      </c>
      <c r="C1515">
        <f>Inputs!$B$3&gt;=33</f>
        <v/>
      </c>
      <c r="D1515">
        <f>IF(Skills!C22=1,60+Inputs!$B$25+Inputs!$B$29,IF(Skills!C22=2,90+Inputs!$B$26+Inputs!$B$29,IF(Skills!C22=3,120+Inputs!$B$27+Inputs!$B$29,MAX(0,(Inputs!$B$3-100)*3)+Inputs!$B$28+Inputs!$B$29)))</f>
        <v/>
      </c>
      <c r="E1515">
        <f>INDEX(FactorTable!$B$2:$Y$301, MATCH(ROUND(MIN(300,MAX(1,D1515)),0), FactorTable!$A$2:$A$301,0), Skills!M22+1)</f>
        <v/>
      </c>
      <c r="F1515">
        <f>IF(Skills!N22=TRUE,(Skills!L22/10)*(E1515/1000),Skills!L22/10)+Skills!O22</f>
        <v/>
      </c>
      <c r="G1515">
        <f>Calc!G22</f>
        <v/>
      </c>
      <c r="H1515">
        <f>Calc!H22</f>
        <v/>
      </c>
      <c r="I1515">
        <f>IF(Skills!AA22&lt;&gt;"",1+(Skills!AA22/10)*(U1496/1000)/100,1)</f>
        <v/>
      </c>
      <c r="J1515" t="inlineStr"/>
      <c r="K1515" t="inlineStr"/>
      <c r="L1515" t="inlineStr"/>
      <c r="M1515" t="inlineStr"/>
      <c r="N1515" t="inlineStr"/>
      <c r="O1515">
        <f>(1-Summary!$B$11)*T1515+Summary!$B$11*V1515</f>
        <v/>
      </c>
      <c r="P1515">
        <f>IF(B1537=0,0,O1515/B1537)</f>
        <v/>
      </c>
      <c r="Q1515" t="n">
        <v>0</v>
      </c>
      <c r="R1515" t="n">
        <v>0</v>
      </c>
      <c r="S1515">
        <f>IFERROR(O1515/N1515,0)</f>
        <v/>
      </c>
      <c r="T1515" t="n">
        <v>0</v>
      </c>
      <c r="V1515" t="n">
        <v>0</v>
      </c>
    </row>
    <row r="1516">
      <c r="A1516">
        <f>Skills!A23</f>
        <v/>
      </c>
      <c r="B1516">
        <f>Skills!B23</f>
        <v/>
      </c>
      <c r="C1516">
        <f>Inputs!$B$3&gt;=38</f>
        <v/>
      </c>
      <c r="D1516">
        <f>IF(Skills!C23=1,60+Inputs!$B$25+Inputs!$B$29,IF(Skills!C23=2,90+Inputs!$B$26+Inputs!$B$29,IF(Skills!C23=3,120+Inputs!$B$27+Inputs!$B$29,MAX(0,(Inputs!$B$3-100)*3)+Inputs!$B$28+Inputs!$B$29)))</f>
        <v/>
      </c>
      <c r="E1516">
        <f>INDEX(FactorTable!$B$2:$Y$301, MATCH(ROUND(MIN(300,MAX(1,D1516)),0), FactorTable!$A$2:$A$301,0), Skills!M23+1)</f>
        <v/>
      </c>
      <c r="F1516">
        <f>IF(Skills!N23=TRUE,(Skills!L23/10)*(E1516/1000),Skills!L23/10)+Skills!O23</f>
        <v/>
      </c>
      <c r="G1516">
        <f>Calc!G23</f>
        <v/>
      </c>
      <c r="H1516">
        <f>Calc!H23</f>
        <v/>
      </c>
      <c r="I1516">
        <f>IF(Skills!AA23&lt;&gt;"",1+(Skills!AA23/10)*(U1496/1000)/100,1)</f>
        <v/>
      </c>
      <c r="J1516" t="inlineStr"/>
      <c r="K1516" t="inlineStr"/>
      <c r="L1516" t="inlineStr"/>
      <c r="M1516" t="inlineStr"/>
      <c r="N1516" t="inlineStr"/>
      <c r="O1516">
        <f>(1-Summary!$B$11)*T1516+Summary!$B$11*V1516</f>
        <v/>
      </c>
      <c r="P1516">
        <f>IF(B1537=0,0,O1516/B1537)</f>
        <v/>
      </c>
      <c r="Q1516" t="n">
        <v>0</v>
      </c>
      <c r="R1516" t="n">
        <v>0</v>
      </c>
      <c r="S1516">
        <f>IFERROR(O1516/N1516,0)</f>
        <v/>
      </c>
      <c r="T1516" t="n">
        <v>0</v>
      </c>
      <c r="V1516" t="n">
        <v>0</v>
      </c>
    </row>
    <row r="1517">
      <c r="A1517">
        <f>Skills!A24</f>
        <v/>
      </c>
      <c r="B1517">
        <f>Skills!B24</f>
        <v/>
      </c>
      <c r="C1517">
        <f>Inputs!$B$3&gt;=40</f>
        <v/>
      </c>
      <c r="D1517">
        <f>IF(Skills!C24=1,60+Inputs!$B$25+Inputs!$B$29,IF(Skills!C24=2,90+Inputs!$B$26+Inputs!$B$29,IF(Skills!C24=3,120+Inputs!$B$27+Inputs!$B$29,MAX(0,(Inputs!$B$3-100)*3)+Inputs!$B$28+Inputs!$B$29)))</f>
        <v/>
      </c>
      <c r="E1517">
        <f>INDEX(FactorTable!$B$2:$Y$301, MATCH(ROUND(MIN(300,MAX(1,D1517)),0), FactorTable!$A$2:$A$301,0), Skills!M24+1)</f>
        <v/>
      </c>
      <c r="F1517">
        <f>IF(Skills!N24=TRUE,(Skills!L24/10)*(E1517/1000),Skills!L24/10)+Skills!O24</f>
        <v/>
      </c>
      <c r="G1517">
        <f>Calc!G24</f>
        <v/>
      </c>
      <c r="H1517">
        <f>Calc!H24</f>
        <v/>
      </c>
      <c r="I1517">
        <f>IF(Skills!AA24&lt;&gt;"",1+(Skills!AA24/10)*(U1496/1000)/100,1)</f>
        <v/>
      </c>
      <c r="J1517" t="inlineStr"/>
      <c r="K1517" t="inlineStr"/>
      <c r="L1517" t="inlineStr"/>
      <c r="M1517" t="inlineStr"/>
      <c r="N1517" t="inlineStr"/>
      <c r="O1517">
        <f>(1-Summary!$B$11)*T1517+Summary!$B$11*V1517</f>
        <v/>
      </c>
      <c r="P1517">
        <f>IF(B1537=0,0,O1517/B1537)</f>
        <v/>
      </c>
      <c r="Q1517" t="n">
        <v>0</v>
      </c>
      <c r="R1517" t="n">
        <v>0</v>
      </c>
      <c r="S1517">
        <f>IFERROR(O1517/N1517,0)</f>
        <v/>
      </c>
      <c r="T1517" t="n">
        <v>0</v>
      </c>
      <c r="V1517" t="n">
        <v>0</v>
      </c>
    </row>
    <row r="1518">
      <c r="A1518">
        <f>Skills!A25</f>
        <v/>
      </c>
      <c r="B1518">
        <f>Skills!B25</f>
        <v/>
      </c>
      <c r="C1518">
        <f>Inputs!$B$3&gt;=45</f>
        <v/>
      </c>
      <c r="D1518">
        <f>IF(Skills!C25=1,60+Inputs!$B$25+Inputs!$B$29,IF(Skills!C25=2,90+Inputs!$B$26+Inputs!$B$29,IF(Skills!C25=3,120+Inputs!$B$27+Inputs!$B$29,MAX(0,(Inputs!$B$3-100)*3)+Inputs!$B$28+Inputs!$B$29)))</f>
        <v/>
      </c>
      <c r="E1518">
        <f>INDEX(FactorTable!$B$2:$Y$301, MATCH(ROUND(MIN(300,MAX(1,D1518)),0), FactorTable!$A$2:$A$301,0), Skills!M25+1)</f>
        <v/>
      </c>
      <c r="F1518">
        <f>IF(Skills!N25=TRUE,(Skills!L25/10)*(E1518/1000),Skills!L25/10)+Skills!O25</f>
        <v/>
      </c>
      <c r="G1518">
        <f>Calc!G25</f>
        <v/>
      </c>
      <c r="H1518">
        <f>Calc!H25</f>
        <v/>
      </c>
      <c r="I1518">
        <f>IF(Skills!AA25&lt;&gt;"",1+(Skills!AA25/10)*(U1496/1000)/100,1)</f>
        <v/>
      </c>
      <c r="J1518" t="inlineStr"/>
      <c r="K1518" t="inlineStr"/>
      <c r="L1518" t="inlineStr"/>
      <c r="M1518" t="inlineStr"/>
      <c r="N1518" t="inlineStr"/>
      <c r="O1518">
        <f>(1-Summary!$B$11)*T1518+Summary!$B$11*V1518</f>
        <v/>
      </c>
      <c r="P1518">
        <f>IF(B1537=0,0,O1518/B1537)</f>
        <v/>
      </c>
      <c r="Q1518" t="n">
        <v>0</v>
      </c>
      <c r="R1518" t="n">
        <v>0</v>
      </c>
      <c r="S1518">
        <f>IFERROR(O1518/N1518,0)</f>
        <v/>
      </c>
      <c r="T1518" t="n">
        <v>0</v>
      </c>
      <c r="V1518" t="n">
        <v>0</v>
      </c>
    </row>
    <row r="1519">
      <c r="A1519">
        <f>Skills!A26</f>
        <v/>
      </c>
      <c r="B1519">
        <f>Skills!B26</f>
        <v/>
      </c>
      <c r="C1519">
        <f>Inputs!$B$3&gt;=45</f>
        <v/>
      </c>
      <c r="D1519">
        <f>IF(Skills!C26=1,60+Inputs!$B$25+Inputs!$B$29,IF(Skills!C26=2,90+Inputs!$B$26+Inputs!$B$29,IF(Skills!C26=3,120+Inputs!$B$27+Inputs!$B$29,MAX(0,(Inputs!$B$3-100)*3)+Inputs!$B$28+Inputs!$B$29)))</f>
        <v/>
      </c>
      <c r="E1519">
        <f>INDEX(FactorTable!$B$2:$Y$301, MATCH(ROUND(MIN(300,MAX(1,D1519)),0), FactorTable!$A$2:$A$301,0), Skills!M26+1)</f>
        <v/>
      </c>
      <c r="F1519">
        <f>IF(Skills!N26=TRUE,(Skills!L26/10)*(E1519/1000),Skills!L26/10)+Skills!O26</f>
        <v/>
      </c>
      <c r="G1519">
        <f>Calc!G26</f>
        <v/>
      </c>
      <c r="H1519">
        <f>Calc!H26</f>
        <v/>
      </c>
      <c r="I1519">
        <f>IF(Skills!AA26&lt;&gt;"",1+(Skills!AA26/10)*(U1496/1000)/100,1)</f>
        <v/>
      </c>
      <c r="J1519" t="inlineStr"/>
      <c r="K1519" t="inlineStr"/>
      <c r="L1519" t="inlineStr"/>
      <c r="M1519" t="inlineStr"/>
      <c r="N1519" t="inlineStr"/>
      <c r="O1519">
        <f>(1-Summary!$B$11)*T1519+Summary!$B$11*V1519</f>
        <v/>
      </c>
      <c r="P1519">
        <f>IF(B1537=0,0,O1519/B1537)</f>
        <v/>
      </c>
      <c r="Q1519" t="n">
        <v>0</v>
      </c>
      <c r="R1519" t="n">
        <v>0</v>
      </c>
      <c r="S1519">
        <f>IFERROR(O1519/N1519,0)</f>
        <v/>
      </c>
      <c r="T1519" t="n">
        <v>0</v>
      </c>
      <c r="V1519" t="n">
        <v>0</v>
      </c>
    </row>
    <row r="1520">
      <c r="A1520">
        <f>Skills!A27</f>
        <v/>
      </c>
      <c r="B1520">
        <f>Skills!B27</f>
        <v/>
      </c>
      <c r="C1520">
        <f>Inputs!$B$3&gt;=72</f>
        <v/>
      </c>
      <c r="D1520">
        <f>IF(Skills!C27=1,60+Inputs!$B$25+Inputs!$B$29,IF(Skills!C27=2,90+Inputs!$B$26+Inputs!$B$29,IF(Skills!C27=3,120+Inputs!$B$27+Inputs!$B$29,MAX(0,(Inputs!$B$3-100)*3)+Inputs!$B$28+Inputs!$B$29)))</f>
        <v/>
      </c>
      <c r="E1520">
        <f>INDEX(FactorTable!$B$2:$Y$301, MATCH(ROUND(MIN(300,MAX(1,D1520)),0), FactorTable!$A$2:$A$301,0), Skills!M27+1)</f>
        <v/>
      </c>
      <c r="F1520">
        <f>IF(Skills!N27=TRUE,(Skills!L27/10)*(E1520/1000),Skills!L27/10)+Skills!O27</f>
        <v/>
      </c>
      <c r="G1520">
        <f>Calc!G27</f>
        <v/>
      </c>
      <c r="H1520">
        <f>Calc!H27</f>
        <v/>
      </c>
      <c r="I1520">
        <f>IF(Skills!AA27&lt;&gt;"",1+(Skills!AA27/10)*(U1496/1000)/100,1)</f>
        <v/>
      </c>
      <c r="J1520" t="inlineStr"/>
      <c r="K1520" t="inlineStr"/>
      <c r="L1520" t="inlineStr"/>
      <c r="M1520" t="inlineStr"/>
      <c r="N1520" t="inlineStr"/>
      <c r="O1520">
        <f>(1-Summary!$B$11)*T1520+Summary!$B$11*V1520</f>
        <v/>
      </c>
      <c r="P1520">
        <f>IF(B1537=0,0,O1520/B1537)</f>
        <v/>
      </c>
      <c r="Q1520" t="n">
        <v>0</v>
      </c>
      <c r="R1520" t="n">
        <v>0</v>
      </c>
      <c r="S1520">
        <f>IFERROR(O1520/N1520,0)</f>
        <v/>
      </c>
      <c r="T1520" t="n">
        <v>0</v>
      </c>
      <c r="V1520" t="n">
        <v>0</v>
      </c>
    </row>
    <row r="1521">
      <c r="A1521">
        <f>Skills!A28</f>
        <v/>
      </c>
      <c r="B1521">
        <f>Skills!B28</f>
        <v/>
      </c>
      <c r="C1521">
        <f>Inputs!$B$3&gt;=75</f>
        <v/>
      </c>
      <c r="D1521">
        <f>IF(Skills!C28=1,60+Inputs!$B$25+Inputs!$B$29,IF(Skills!C28=2,90+Inputs!$B$26+Inputs!$B$29,IF(Skills!C28=3,120+Inputs!$B$27+Inputs!$B$29,MAX(0,(Inputs!$B$3-100)*3)+Inputs!$B$28+Inputs!$B$29)))</f>
        <v/>
      </c>
      <c r="E1521">
        <f>INDEX(FactorTable!$B$2:$Y$301, MATCH(ROUND(MIN(300,MAX(1,D1521)),0), FactorTable!$A$2:$A$301,0), Skills!M28+1)</f>
        <v/>
      </c>
      <c r="F1521">
        <f>IF(Skills!N28=TRUE,(Skills!L28/10)*(E1521/1000),Skills!L28/10)+Skills!O28</f>
        <v/>
      </c>
      <c r="G1521">
        <f>Calc!G28</f>
        <v/>
      </c>
      <c r="H1521">
        <f>Calc!H28</f>
        <v/>
      </c>
      <c r="I1521">
        <f>IF(Skills!AA28&lt;&gt;"",1+(Skills!AA28/10)*(U1496/1000)/100,1)</f>
        <v/>
      </c>
      <c r="J1521" t="inlineStr"/>
      <c r="K1521" t="inlineStr"/>
      <c r="L1521" t="inlineStr"/>
      <c r="M1521" t="inlineStr"/>
      <c r="N1521" t="inlineStr"/>
      <c r="O1521">
        <f>(1-Summary!$B$11)*T1521+Summary!$B$11*V1521</f>
        <v/>
      </c>
      <c r="P1521">
        <f>IF(B1537=0,0,O1521/B1537)</f>
        <v/>
      </c>
      <c r="Q1521" t="n">
        <v>0</v>
      </c>
      <c r="R1521" t="n">
        <v>0</v>
      </c>
      <c r="S1521">
        <f>IFERROR(O1521/N1521,0)</f>
        <v/>
      </c>
      <c r="T1521" t="n">
        <v>0</v>
      </c>
      <c r="V1521" t="n">
        <v>0</v>
      </c>
    </row>
    <row r="1522">
      <c r="A1522">
        <f>Skills!A29</f>
        <v/>
      </c>
      <c r="B1522">
        <f>Skills!B29</f>
        <v/>
      </c>
      <c r="C1522">
        <f>Inputs!$B$3&gt;=120</f>
        <v/>
      </c>
      <c r="D1522">
        <f>IF(Skills!C29=1,60+Inputs!$B$25+Inputs!$B$29,IF(Skills!C29=2,90+Inputs!$B$26+Inputs!$B$29,IF(Skills!C29=3,120+Inputs!$B$27+Inputs!$B$29,MAX(0,(Inputs!$B$3-100)*3)+Inputs!$B$28+Inputs!$B$29)))</f>
        <v/>
      </c>
      <c r="E1522">
        <f>INDEX(FactorTable!$B$2:$Y$301, MATCH(ROUND(MIN(300,MAX(1,D1522)),0), FactorTable!$A$2:$A$301,0), Skills!M29+1)</f>
        <v/>
      </c>
      <c r="F1522">
        <f>IF(Skills!N29=TRUE,(Skills!L29/10)*(E1522/1000),Skills!L29/10)+Skills!O29</f>
        <v/>
      </c>
      <c r="G1522">
        <f>Calc!G29</f>
        <v/>
      </c>
      <c r="H1522">
        <f>Calc!H29</f>
        <v/>
      </c>
      <c r="I1522">
        <f>IF(Skills!AA29&lt;&gt;"",1+(Skills!AA29/10)*(U1496/1000)/100,1)</f>
        <v/>
      </c>
      <c r="J1522" t="inlineStr"/>
      <c r="K1522" t="inlineStr"/>
      <c r="L1522" t="inlineStr"/>
      <c r="M1522" t="inlineStr"/>
      <c r="N1522" t="inlineStr"/>
      <c r="O1522">
        <f>(1-Summary!$B$11)*T1522+Summary!$B$11*V1522</f>
        <v/>
      </c>
      <c r="P1522">
        <f>IF(B1537=0,0,O1522/B1537)</f>
        <v/>
      </c>
      <c r="Q1522" t="n">
        <v>0</v>
      </c>
      <c r="R1522" t="n">
        <v>0</v>
      </c>
      <c r="S1522">
        <f>IFERROR(O1522/N1522,0)</f>
        <v/>
      </c>
      <c r="T1522" t="n">
        <v>0</v>
      </c>
      <c r="V1522" t="n">
        <v>0</v>
      </c>
    </row>
    <row r="1523">
      <c r="A1523">
        <f>Skills!A30</f>
        <v/>
      </c>
      <c r="B1523">
        <f>Skills!B30</f>
        <v/>
      </c>
      <c r="C1523">
        <f>Inputs!$B$3&gt;=125</f>
        <v/>
      </c>
      <c r="D1523">
        <f>IF(Skills!C30=1,60+Inputs!$B$25+Inputs!$B$29,IF(Skills!C30=2,90+Inputs!$B$26+Inputs!$B$29,IF(Skills!C30=3,120+Inputs!$B$27+Inputs!$B$29,MAX(0,(Inputs!$B$3-100)*3)+Inputs!$B$28+Inputs!$B$29)))</f>
        <v/>
      </c>
      <c r="E1523">
        <f>INDEX(FactorTable!$B$2:$Y$301, MATCH(ROUND(MIN(300,MAX(1,D1523)),0), FactorTable!$A$2:$A$301,0), Skills!M30+1)</f>
        <v/>
      </c>
      <c r="F1523">
        <f>IF(Skills!N30=TRUE,(Skills!L30/10)*(E1523/1000),Skills!L30/10)+Skills!O30</f>
        <v/>
      </c>
      <c r="G1523">
        <f>Calc!G30</f>
        <v/>
      </c>
      <c r="H1523">
        <f>Calc!H30</f>
        <v/>
      </c>
      <c r="I1523">
        <f>IF(Skills!AA30&lt;&gt;"",1+(Skills!AA30/10)*(U1496/1000)/100,1)</f>
        <v/>
      </c>
      <c r="J1523" t="inlineStr"/>
      <c r="K1523" t="inlineStr"/>
      <c r="L1523" t="inlineStr"/>
      <c r="M1523" t="inlineStr"/>
      <c r="N1523" t="inlineStr"/>
      <c r="O1523">
        <f>(1-Summary!$B$11)*T1523+Summary!$B$11*V1523</f>
        <v/>
      </c>
      <c r="P1523">
        <f>IF(B1537=0,0,O1523/B1537)</f>
        <v/>
      </c>
      <c r="Q1523" t="n">
        <v>0</v>
      </c>
      <c r="R1523" t="n">
        <v>0</v>
      </c>
      <c r="S1523">
        <f>IFERROR(O1523/N1523,0)</f>
        <v/>
      </c>
      <c r="T1523" t="n">
        <v>0</v>
      </c>
      <c r="V1523" t="n">
        <v>0</v>
      </c>
    </row>
    <row r="1524">
      <c r="A1524">
        <f>Skills!A31</f>
        <v/>
      </c>
      <c r="B1524">
        <f>Skills!B31</f>
        <v/>
      </c>
      <c r="C1524">
        <f>Inputs!$B$3&gt;=107</f>
        <v/>
      </c>
      <c r="D1524">
        <f>IF(Skills!C31=1,60+Inputs!$B$25+Inputs!$B$29,IF(Skills!C31=2,90+Inputs!$B$26+Inputs!$B$29,IF(Skills!C31=3,120+Inputs!$B$27+Inputs!$B$29,MAX(0,(Inputs!$B$3-100)*3)+Inputs!$B$28+Inputs!$B$29)))</f>
        <v/>
      </c>
      <c r="E1524">
        <f>INDEX(FactorTable!$B$2:$Y$301, MATCH(ROUND(MIN(300,MAX(1,D1524)),0), FactorTable!$A$2:$A$301,0), Skills!M31+1)</f>
        <v/>
      </c>
      <c r="F1524">
        <f>IF(Skills!N31=TRUE,(Skills!L31/10)*(E1524/1000),Skills!L31/10)+Skills!O31</f>
        <v/>
      </c>
      <c r="G1524">
        <f>Calc!G31</f>
        <v/>
      </c>
      <c r="H1524">
        <f>Calc!H31</f>
        <v/>
      </c>
      <c r="I1524">
        <f>IF(Skills!AA31&lt;&gt;"",1+(Skills!AA31/10)*(U1496/1000)/100,1)</f>
        <v/>
      </c>
      <c r="J1524" t="inlineStr"/>
      <c r="K1524" t="inlineStr"/>
      <c r="L1524" t="inlineStr"/>
      <c r="M1524" t="inlineStr"/>
      <c r="N1524" t="inlineStr"/>
      <c r="O1524">
        <f>(1-Summary!$B$11)*T1524+Summary!$B$11*V1524</f>
        <v/>
      </c>
      <c r="P1524">
        <f>IF(B1537=0,0,O1524/B1537)</f>
        <v/>
      </c>
      <c r="Q1524" t="n">
        <v>0</v>
      </c>
      <c r="R1524" t="n">
        <v>0</v>
      </c>
      <c r="S1524">
        <f>IFERROR(O1524/N1524,0)</f>
        <v/>
      </c>
      <c r="T1524" t="n">
        <v>0</v>
      </c>
      <c r="V1524" t="n">
        <v>0</v>
      </c>
    </row>
    <row r="1526">
      <c r="A1526" t="inlineStr">
        <is>
          <t>Actions Per Second (pre-Adrenalin)</t>
        </is>
      </c>
      <c r="B1526">
        <f>1+MIN(150,150*(1-(1-(Inputs!$B$11+((C1515=TRUE)*(F1515-Calc!F22))+(ArtifactsInput!$M$15-ArtifactsInput!$M$15)*CHOOSE(ArtifactsInput!$N$15+1,8,9.6,11.2,12.8,14.4,16))/150)*(1-((C1512=TRUE)*F1512*IF(AND(Inputs!$B$39&lt;&gt;"pvp",Inputs!$B$44&gt;0),(((R1512-1)*(Skills!Y19*(1+Inputs!$B$34/100))+MIN((Skills!Y19*(1+Inputs!$B$34/100)),MAX(0,Inputs!$B$44-((R1512-1)*Skills!D19))))/Inputs!$B$44),IF(Inputs!$B$39="pvp",MIN((Skills!Y19*(1+Inputs!$B$34/100)),15)/15,(Skills!Y19*(1+Inputs!$B$34/100))/Skills!D19)))/150)))/100</f>
        <v/>
      </c>
    </row>
    <row r="1527">
      <c r="A1527" t="inlineStr">
        <is>
          <t>Alchemic Adrenaline Uptime</t>
        </is>
      </c>
      <c r="B1527">
        <f>(Skills!Y6*(1+Inputs!$B$34/100))/((Skills!Y6*(1+Inputs!$B$34/100))+(5/B1526))</f>
        <v/>
      </c>
    </row>
    <row r="1528">
      <c r="A1528" t="inlineStr">
        <is>
          <t>Attack Speed Buff Bonus %</t>
        </is>
      </c>
      <c r="B1528">
        <f>((C1512=TRUE)*F1512*IF(AND(Inputs!$B$39&lt;&gt;"pvp",Inputs!$B$44&gt;0),(((R1512-1)*(Skills!Y19*(1+Inputs!$B$34/100))+MIN((Skills!Y19*(1+Inputs!$B$34/100)),MAX(0,Inputs!$B$44-((R1512-1)*Skills!D19))))/Inputs!$B$44),IF(Inputs!$B$39="pvp",MIN((Skills!Y19*(1+Inputs!$B$34/100)),15)/15,(Skills!Y19*(1+Inputs!$B$34/100))/Skills!D19)))+((C1500=TRUE)*F1500*B1527)</f>
        <v/>
      </c>
    </row>
    <row r="1529">
      <c r="A1529" t="inlineStr">
        <is>
          <t>Actions Per Second (final)</t>
        </is>
      </c>
      <c r="B1529">
        <f>1+MIN(150,150*(1-(1-(Inputs!$B$11+((C1515=TRUE)*(F1515-Calc!F22))+(ArtifactsInput!$M$15-ArtifactsInput!$M$15)*CHOOSE(ArtifactsInput!$N$15+1,8,9.6,11.2,12.8,14.4,16))/150)*(1-B1528/150)))/100</f>
        <v/>
      </c>
    </row>
    <row r="1530">
      <c r="A1530" t="inlineStr">
        <is>
          <t>Skill + Buff Cast Rate</t>
        </is>
      </c>
      <c r="B1530">
        <f>IF(AND(Inputs!$B$39&lt;&gt;"pvp",Inputs!$B$44&gt;0),SUMPRODUCT((Skills!E2:E31=TRUE)*(C1495:C1524=TRUE)*R1495:R1524*Skills!F2:F31)/Inputs!$B$44,SUMPRODUCT((Skills!E2:E31=TRUE)*(C1495:C1524=TRUE)*Q1495:Q1524*Skills!F2:F31))</f>
        <v/>
      </c>
    </row>
    <row r="1531">
      <c r="A1531" t="inlineStr">
        <is>
          <t>Showdown Casts Per Second</t>
        </is>
      </c>
      <c r="B1531">
        <f>MAX(0,B1529-B1530)</f>
        <v/>
      </c>
    </row>
    <row r="1532">
      <c r="A1532" t="inlineStr">
        <is>
          <t>Average Buff Multiplier</t>
        </is>
      </c>
      <c r="B1532">
        <f>(1+(((C1514=TRUE)*F1514*IF(AND(Inputs!$B$39&lt;&gt;"pvp",Inputs!$B$44&gt;0),(((R1514-1)*(Skills!Y21*(1+Inputs!$B$34/100))+MIN((Skills!Y21*(1+Inputs!$B$34/100)),MAX(0,Inputs!$B$44-((R1514-1)*Skills!D21))))/Inputs!$B$44),IF(Inputs!$B$39="pvp",MIN((Skills!Y21*(1+Inputs!$B$34/100)),15)/15,(Skills!Y21*(1+Inputs!$B$34/100))/Skills!D21)))+((C1521=TRUE)*(F1521-Calc!F28))+((C1511=TRUE)*(F1511-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1508=TRUE)*F1508*IF(AND(Inputs!$B$39&lt;&gt;"pvp",Inputs!$B$44&gt;0),(((R1508-1)*(Skills!Y15*(1+Inputs!$B$34/100))+MIN((Skills!Y15*(1+Inputs!$B$34/100)),MAX(0,Inputs!$B$44-((R1508-1)*Skills!D15))))/Inputs!$B$44),IF(Inputs!$B$39="pvp",MIN((Skills!Y15*(1+Inputs!$B$34/100)),15)/15,(Skills!Y15*(1+Inputs!$B$34/100))/Skills!D15)))/100)*(1+((C1499=TRUE)*F1499*B1527)/100)</f>
        <v/>
      </c>
    </row>
    <row r="1533">
      <c r="A1533" t="inlineStr">
        <is>
          <t>Global Crit Rate Bonus %</t>
        </is>
      </c>
      <c r="B1533">
        <f>IF(Inputs!$B$3&gt;=47,8,0)+((C1513=TRUE)*F1513*IF(AND(Inputs!$B$39&lt;&gt;"pvp",Inputs!$B$44&gt;0),(((R1513-1)*(Skills!Y20*(1+Inputs!$B$34/100))+MIN((Skills!Y20*(1+Inputs!$B$34/100)),MAX(0,Inputs!$B$44-((R1513-1)*Skills!D20))))/Inputs!$B$44),IF(Inputs!$B$39="pvp",MIN((Skills!Y20*(1+Inputs!$B$34/100)),15)/15,(Skills!Y20*(1+Inputs!$B$34/100))/Skills!D20)))</f>
        <v/>
      </c>
    </row>
    <row r="1534">
      <c r="A1534" t="inlineStr">
        <is>
          <t>Global Monster Damage-Taken Bonus %</t>
        </is>
      </c>
      <c r="B1534">
        <f>IF(Inputs!$B$3&gt;=82,15,0)+((C1509=TRUE)*F1509*IF(AND(Inputs!$B$39&lt;&gt;"pvp",Inputs!$B$44&gt;0),(((R1509-1)*(Skills!Y16*(1+Inputs!$B$34/100))+MIN((Skills!Y16*(1+Inputs!$B$34/100)),MAX(0,Inputs!$B$44-((R1509-1)*Skills!D16))))/Inputs!$B$44),IF(Inputs!$B$39="pvp",MIN((Skills!Y16*(1+Inputs!$B$34/100)),15)/15,(Skills!Y16*(1+Inputs!$B$34/100))/Skills!D16)))</f>
        <v/>
      </c>
    </row>
    <row r="1535">
      <c r="A1535" t="inlineStr">
        <is>
          <t>Shadow Partner Average Multiplier</t>
        </is>
      </c>
      <c r="B1535">
        <f>1+((C1504=TRUE)*F1504*I1504*Skills!J11/100)/100</f>
        <v/>
      </c>
    </row>
    <row r="1536">
      <c r="A1536" t="inlineStr">
        <is>
          <t>Global Critical Damage Bonus % (Frailty Curse Mastery Lv.111)</t>
        </is>
      </c>
      <c r="B1536">
        <f>IF(Inputs!$B$3&gt;=111,30,0)*IF(AND(Inputs!$B$39&lt;&gt;"pvp",Inputs!$B$44&gt;0),(((R1509-1)*(Skills!Y16*(1+Inputs!$B$34/100))+MIN((Skills!Y16*(1+Inputs!$B$34/100)),MAX(0,Inputs!$B$44-((R1509-1)*Skills!D16))))/Inputs!$B$44),IF(Inputs!$B$39="pvp",MIN((Skills!Y16*(1+Inputs!$B$34/100)),15)/15,(Skills!Y16*(1+Inputs!$B$34/100))/Skills!D16))</f>
        <v/>
      </c>
    </row>
    <row r="1537">
      <c r="A1537" s="6" t="inlineStr">
        <is>
          <t>TOTAL DPS</t>
        </is>
      </c>
      <c r="B1537" s="6">
        <f>SUM(O1495:O1524)</f>
        <v/>
      </c>
    </row>
    <row r="1538">
      <c r="A1538" t="inlineStr">
        <is>
          <t>Buff-Casting Startup Delay (s, fixed-duration only)</t>
        </is>
      </c>
      <c r="B1538">
        <f>IF(AND(Inputs!$B$39&lt;&gt;"pvp",Inputs!$B$44&gt;0),SUMPRODUCT((Skills!Y2:Y31&gt;0)*(Skills!E2:E31=TRUE)*(C1495:C1524=TRUE))/B1529,0)</f>
        <v/>
      </c>
    </row>
    <row r="1539">
      <c r="A1539" t="inlineStr">
        <is>
          <t>Boss-Only Total DPS (this block's swept value)</t>
        </is>
      </c>
      <c r="B1539">
        <f>SUM(T1495:T1524)</f>
        <v/>
      </c>
    </row>
    <row r="1540">
      <c r="A1540" t="inlineStr">
        <is>
          <t>Normal-Only Total DPS (this block's swept value)</t>
        </is>
      </c>
      <c r="B1540">
        <f>SUM(V1495:V1524)</f>
        <v/>
      </c>
    </row>
    <row r="1542">
      <c r="A1542" s="6" t="inlineStr">
        <is>
          <t>Stat: The Contract of Darkness (Equip)</t>
        </is>
      </c>
    </row>
    <row r="1543">
      <c r="A1543" s="5" t="inlineStr">
        <is>
          <t>Key</t>
        </is>
      </c>
      <c r="B1543" s="5" t="inlineStr">
        <is>
          <t>Name</t>
        </is>
      </c>
      <c r="C1543" s="5" t="inlineStr">
        <is>
          <t>Unlocked</t>
        </is>
      </c>
      <c r="D1543" s="5" t="inlineStr">
        <is>
          <t>InputLevel</t>
        </is>
      </c>
      <c r="E1543" s="5" t="inlineStr">
        <is>
          <t>Factor</t>
        </is>
      </c>
      <c r="F1543" s="5" t="inlineStr">
        <is>
          <t>CoefficientPercent</t>
        </is>
      </c>
      <c r="G1543" s="5" t="inlineStr">
        <is>
          <t>EffectiveHits</t>
        </is>
      </c>
      <c r="H1543" s="5" t="inlineStr">
        <is>
          <t>ProcProbability</t>
        </is>
      </c>
      <c r="I1543" s="5" t="inlineStr">
        <is>
          <t>MapleHeroMultiplier</t>
        </is>
      </c>
      <c r="J1543" s="5" t="inlineStr">
        <is>
          <t>BaseDamage</t>
        </is>
      </c>
      <c r="K1543" s="5" t="inlineStr">
        <is>
          <t>BaseHitDamage</t>
        </is>
      </c>
      <c r="L1543" s="5" t="inlineStr">
        <is>
          <t>NonCritAvg</t>
        </is>
      </c>
      <c r="M1543" s="5" t="inlineStr">
        <is>
          <t>CritAvg</t>
        </is>
      </c>
      <c r="N1543" s="5" t="inlineStr">
        <is>
          <t>ExpectedDamage(perHit)</t>
        </is>
      </c>
      <c r="O1543" s="5" t="inlineStr">
        <is>
          <t>DPS</t>
        </is>
      </c>
      <c r="P1543" s="5" t="inlineStr">
        <is>
          <t>% of Total</t>
        </is>
      </c>
      <c r="Q1543" s="5" t="inlineStr">
        <is>
          <t>InvCooldown</t>
        </is>
      </c>
      <c r="R1543" s="5" t="inlineStr">
        <is>
          <t>CastsInFight</t>
        </is>
      </c>
      <c r="S1543" s="5" t="inlineStr">
        <is>
          <t>HitRate(perSec)</t>
        </is>
      </c>
      <c r="U1543" t="inlineStr">
        <is>
          <t>helpers</t>
        </is>
      </c>
    </row>
    <row r="1544">
      <c r="A1544">
        <f>Skills!A2</f>
        <v/>
      </c>
      <c r="B1544">
        <f>Skills!B2</f>
        <v/>
      </c>
      <c r="C1544">
        <f>Inputs!$B$3&gt;=100</f>
        <v/>
      </c>
      <c r="D1544" t="inlineStr"/>
      <c r="E1544" t="inlineStr"/>
      <c r="F1544">
        <f>U1548+Skills!O2</f>
        <v/>
      </c>
      <c r="G1544">
        <f>Calc!G2</f>
        <v/>
      </c>
      <c r="H1544">
        <f>Calc!H2</f>
        <v/>
      </c>
      <c r="I1544">
        <f>IF(Skills!AA2&lt;&gt;"",1+(Skills!AA2/10)*(U1545/1000)/100,1)</f>
        <v/>
      </c>
      <c r="J1544">
        <f>((Inputs!$B$6*(1+Inputs!$B$7/100))+(((Inputs!$B$12*(1+Inputs!$B$13/100))-(Inputs!$B$12*(1+Inputs!$B$13/100)))+0.25*(Inputs!$B$14-Inputs!$B$14))*(1+Inputs!$B$7/100))*(F1544/100)</f>
        <v/>
      </c>
      <c r="K1544">
        <f>J1544*(1+((Inputs!$B$12*(1+Inputs!$B$13/100))*0.01+Inputs!$B$14*0.0025)/100)*(1+Inputs!$B$15/100)*(1+Inputs!$B$16/100)*(5000/(6000+Inputs!$B$43*(1-(100*(1-(1-(Inputs!$B$19+0)/100)*(1-CHOOSE(ArtifactsInput!$N$40+1,5,6,7,8,9,10)/100)^(ArtifactsInput!$M$40-ArtifactsInput!$M$40)))/100)))*(1+(Inputs!$B$24+((C1572=TRUE)*(F1572-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1565=TRUE)*(F1565-Calc!F23))+(((IF(AND(ArtifactsInput!$M$42,((Inputs!$B$9+((C1567=TRUE)*(F1567-Calc!F25))+B1582+(ArtifactsInput!$M$24-ArtifactsInput!$M$24)*CHOOSE(ArtifactsInput!$N$24+1,10,12,14,16,18,20)+IF(ArtifactsInput!$M$10,CHOOSE(ArtifactsInput!$N$10+1,15,18,21,24,27,30)*(IF(Inputs!$B$39="pvp",MIN(15,15)/15,IF(AND(Inputs!$B$39&lt;&gt;"pvp",Inputs!$B$44&gt;0),MIN(15,Inputs!$B$44)/(Inputs!$B$44),0))),0)))&gt;=100),MIN(100,((Inputs!$B$9+((C1567=TRUE)*(F1567-Calc!F25))+B1582+(ArtifactsInput!$M$24-ArtifactsInput!$M$24)*CHOOSE(ArtifactsInput!$N$24+1,10,12,14,16,18,20)+IF(ArtifactsInput!$M$10,CHOOSE(ArtifactsInput!$N$10+1,15,18,21,24,27,30)*(IF(Inputs!$B$39="pvp",MIN(15,15)/15,IF(AND(Inputs!$B$39&lt;&gt;"pvp",Inputs!$B$44&gt;0),MIN(15,Inputs!$B$44)/(Inputs!$B$44),0))),0)))-100),0))*CHOOSE(ArtifactsInput!$N$42+1,0.6,0.72,0.84,0.96,1.08,1.2))),Inputs!$B$18+((C1571=TRUE)*(F1571-Calc!F29))+(IF(AND(ArtifactsInput!$M$42,((Inputs!$B$9+((C1567=TRUE)*(F1567-Calc!F25))+B1582+(ArtifactsInput!$M$24-ArtifactsInput!$M$24)*CHOOSE(ArtifactsInput!$N$24+1,10,12,14,16,18,20)+IF(ArtifactsInput!$M$10,CHOOSE(ArtifactsInput!$N$10+1,15,18,21,24,27,30)*(IF(Inputs!$B$39="pvp",MIN(15,15)/15,IF(AND(Inputs!$B$39&lt;&gt;"pvp",Inputs!$B$44&gt;0),MIN(15,Inputs!$B$44)/(Inputs!$B$44),0))),0)))&gt;=100),CHOOSE(ArtifactsInput!$N$42+1,40,48,56,64,72,80),0))))/100)*(((1+(((C1563=TRUE)*F1563*IF(AND(Inputs!$B$39&lt;&gt;"pvp",Inputs!$B$44&gt;0),(((R1563-1)*(Skills!Y21*(1+Inputs!$B$34/100))+MIN((Skills!Y21*(1+Inputs!$B$34/100)),MAX(0,Inputs!$B$44-((R1563-1)*Skills!D21))))/Inputs!$B$44),IF(Inputs!$B$39="pvp",MIN((Skills!Y21*(1+Inputs!$B$34/100)),15)/15,(Skills!Y21*(1+Inputs!$B$34/100))/Skills!D21)))+((C1570=TRUE)*(F1570-Calc!F28))+((C1560=TRUE)*(F1560-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1557=TRUE)*F1557*IF(AND(Inputs!$B$39&lt;&gt;"pvp",Inputs!$B$44&gt;0),(((R1557-1)*(Skills!Y15*(1+Inputs!$B$34/100))+MIN((Skills!Y15*(1+Inputs!$B$34/100)),MAX(0,Inputs!$B$44-((R1557-1)*Skills!D15))))/Inputs!$B$44),IF(Inputs!$B$39="pvp",MIN((Skills!Y15*(1+Inputs!$B$34/100)),15)/15,(Skills!Y15*(1+Inputs!$B$34/100))/Skills!D15)))/100)*(1+((C1548=TRUE)*F1548*B1576)/100))*B1584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1544)</f>
        <v/>
      </c>
      <c r="L1544">
        <f>K1544*(MIN(Inputs!$B$22+((C1566=TRUE)*(F1566-Calc!F24)),(Inputs!$B$23+0+(IF(ArtifactsInput!$M$15,CHOOSE(ArtifactsInput!$N$15+1,25,30,35,40,45,50)/100*(Inputs!$B$11-Inputs!$B$11),0))))/100+(Inputs!$B$23+0+(IF(ArtifactsInput!$M$15,CHOOSE(ArtifactsInput!$N$15+1,25,30,35,40,45,50)/100*(Inputs!$B$11-Inputs!$B$11),0)))/100)/2</f>
        <v/>
      </c>
      <c r="M1544">
        <f>L1544*(1+(Inputs!$B$10+((C1568=TRUE)*(F1568-Calc!F26))+B1585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44">
        <f>L1544*(1-MIN((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1544*(MIN((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44">
        <f>(1-Summary!$B$11)*T1544+Summary!$B$11*V1544</f>
        <v/>
      </c>
      <c r="P1544">
        <f>IF(B1586=0,0,O1544/B1586)</f>
        <v/>
      </c>
      <c r="Q1544" t="n">
        <v>0</v>
      </c>
      <c r="R1544" t="n">
        <v>0</v>
      </c>
      <c r="S1544">
        <f>IFERROR(O1544/N1544,0)</f>
        <v/>
      </c>
      <c r="T1544">
        <f>IF(C1544,(Skills!G2*N1544*B1580)*IF(Inputs!$B$39="pvp",1,1+(Inputs!$B$20+((C1569=TRUE)*(F1569-Calc!F27))+Skills!P2+B1583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Hunt"),CHOOSE(ArtifactsInput!$N$35+1,15,18,21,24,27,30)*(1-EXP(-(0.2*B1578)*5)),0)+IF(AND(ArtifactsInput!$M$22,Inputs!$B$4&lt;&gt;"Chapter Hunt"),CHOOSE(ArtifactsInput!$N$22+1,10,12,14,16,18,20)*((0*(((0.15*B1578*5))^0/1)+1*(((0.15*B1578*5))^1/1)+2*(((0.15*B1578*5))^2/2)+3*(((0.15*B1578*5))^3/6)+4*(((0.15*B1578*5))^4/24)+5*(((0.15*B1578*5))^5/120))/((((0.15*B1578*5))^0/1)+(((0.15*B1578*5))^1/1)+(((0.15*B1578*5))^2/2)+(((0.15*B1578*5))^3/6)+(((0.15*B1578*5))^4/24)+(((0.15*B1578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1544*(1-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1544*(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1544*(1-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1544*(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44">
        <f>MAX(0,(Inputs!$B$3-100)*3)+Inputs!$B$28+Inputs!$B$29</f>
        <v/>
      </c>
      <c r="V1544">
        <f>IF(C1544,(Skills!G2*N1544*B1580)*IF(Inputs!$B$39="pvp",1,(1+(Inputs!$B$21+Skills!Q2+B1583+(IF(ArtifactsInput!$M$33,CHOOSE(ArtifactsInput!$N$33+1,30,36,42,48,54,60),0))+(IF(AND(ArtifactsInput!$M$35,Inputs!$B$4&lt;&gt;"Chapter Hunt"),CHOOSE(ArtifactsInput!$N$35+1,15,18,21,24,27,30)*(1-EXP(-(0.2*B1578)*5)),0)+IF(AND(ArtifactsInput!$M$22,Inputs!$B$4&lt;&gt;"Chapter Hunt"),CHOOSE(ArtifactsInput!$N$22+1,10,12,14,16,18,20)*((0*(((0.15*B1578*5))^0/1)+1*(((0.15*B1578*5))^1/1)+2*(((0.15*B1578*5))^2/2)+3*(((0.15*B1578*5))^3/6)+4*(((0.15*B1578*5))^4/24)+5*(((0.15*B1578*5))^5/120))/((((0.15*B1578*5))^0/1)+(((0.15*B1578*5))^1/1)+(((0.15*B1578*5))^2/2)+(((0.15*B1578*5))^3/6)+(((0.15*B1578*5))^4/24)+(((0.15*B1578*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45">
      <c r="A1545">
        <f>Skills!A3</f>
        <v/>
      </c>
      <c r="B1545">
        <f>Skills!B3</f>
        <v/>
      </c>
      <c r="C1545">
        <f>Inputs!$B$3&gt;=35</f>
        <v/>
      </c>
      <c r="D1545">
        <f>IF(Skills!C3=1,60+Inputs!$B$25+Inputs!$B$29,IF(Skills!C3=2,90+Inputs!$B$26+Inputs!$B$29,IF(Skills!C3=3,120+Inputs!$B$27+Inputs!$B$29,MAX(0,(Inputs!$B$3-100)*3)+Inputs!$B$28+Inputs!$B$29)))</f>
        <v/>
      </c>
      <c r="E1545">
        <f>INDEX(FactorTable!$B$2:$Y$301, MATCH(ROUND(MIN(300,MAX(1,D1545)),0), FactorTable!$A$2:$A$301,0), Skills!M3+1)</f>
        <v/>
      </c>
      <c r="F1545">
        <f>IF(Skills!N3=TRUE,(Skills!L3/10)*(E1545/1000),Skills!L3/10)+Skills!O3</f>
        <v/>
      </c>
      <c r="G1545">
        <f>Calc!G3</f>
        <v/>
      </c>
      <c r="H1545">
        <f>Calc!H3</f>
        <v/>
      </c>
      <c r="I1545">
        <f>IF(Skills!AA3&lt;&gt;"",1+(Skills!AA3/10)*(U1545/1000)/100,1)</f>
        <v/>
      </c>
      <c r="J1545">
        <f>((Inputs!$B$6*(1+Inputs!$B$7/100))+(((Inputs!$B$12*(1+Inputs!$B$13/100))-(Inputs!$B$12*(1+Inputs!$B$13/100)))+0.25*(Inputs!$B$14-Inputs!$B$14))*(1+Inputs!$B$7/100))*(F1545/100)</f>
        <v/>
      </c>
      <c r="K1545">
        <f>J1545*(1+((Inputs!$B$12*(1+Inputs!$B$13/100))*0.01+Inputs!$B$14*0.0025)/100)*(1+Inputs!$B$15/100)*(1+Inputs!$B$16/100)*(5000/(6000+Inputs!$B$43*(1-(100*(1-(1-(Inputs!$B$19+0)/100)*(1-CHOOSE(ArtifactsInput!$N$40+1,5,6,7,8,9,10)/100)^(ArtifactsInput!$M$40-ArtifactsInput!$M$40)))/100)))*(1+(Inputs!$B$24+((C1572=TRUE)*(F1572-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1565=TRUE)*(F1565-Calc!F23))+(((IF(AND(ArtifactsInput!$M$42,((Inputs!$B$9+((C1567=TRUE)*(F1567-Calc!F25))+B1582+(ArtifactsInput!$M$24-ArtifactsInput!$M$24)*CHOOSE(ArtifactsInput!$N$24+1,10,12,14,16,18,20)+IF(ArtifactsInput!$M$10,CHOOSE(ArtifactsInput!$N$10+1,15,18,21,24,27,30)*(IF(Inputs!$B$39="pvp",MIN(15,15)/15,IF(AND(Inputs!$B$39&lt;&gt;"pvp",Inputs!$B$44&gt;0),MIN(15,Inputs!$B$44)/(Inputs!$B$44),0))),0)))&gt;=100),MIN(100,((Inputs!$B$9+((C1567=TRUE)*(F1567-Calc!F25))+B1582+(ArtifactsInput!$M$24-ArtifactsInput!$M$24)*CHOOSE(ArtifactsInput!$N$24+1,10,12,14,16,18,20)+IF(ArtifactsInput!$M$10,CHOOSE(ArtifactsInput!$N$10+1,15,18,21,24,27,30)*(IF(Inputs!$B$39="pvp",MIN(15,15)/15,IF(AND(Inputs!$B$39&lt;&gt;"pvp",Inputs!$B$44&gt;0),MIN(15,Inputs!$B$44)/(Inputs!$B$44),0))),0)))-100),0))*CHOOSE(ArtifactsInput!$N$42+1,0.6,0.72,0.84,0.96,1.08,1.2))),Inputs!$B$18+((C1571=TRUE)*(F1571-Calc!F29))+(IF(AND(ArtifactsInput!$M$42,((Inputs!$B$9+((C1567=TRUE)*(F1567-Calc!F25))+B1582+(ArtifactsInput!$M$24-ArtifactsInput!$M$24)*CHOOSE(ArtifactsInput!$N$24+1,10,12,14,16,18,20)+IF(ArtifactsInput!$M$10,CHOOSE(ArtifactsInput!$N$10+1,15,18,21,24,27,30)*(IF(Inputs!$B$39="pvp",MIN(15,15)/15,IF(AND(Inputs!$B$39&lt;&gt;"pvp",Inputs!$B$44&gt;0),MIN(15,Inputs!$B$44)/(Inputs!$B$44),0))),0)))&gt;=100),CHOOSE(ArtifactsInput!$N$42+1,40,48,56,64,72,80),0))))/100)*(((1+(((C1563=TRUE)*F1563*IF(AND(Inputs!$B$39&lt;&gt;"pvp",Inputs!$B$44&gt;0),(((R1563-1)*(Skills!Y21*(1+Inputs!$B$34/100))+MIN((Skills!Y21*(1+Inputs!$B$34/100)),MAX(0,Inputs!$B$44-((R1563-1)*Skills!D21))))/Inputs!$B$44),IF(Inputs!$B$39="pvp",MIN((Skills!Y21*(1+Inputs!$B$34/100)),15)/15,(Skills!Y21*(1+Inputs!$B$34/100))/Skills!D21)))+((C1570=TRUE)*(F1570-Calc!F28))+((C1560=TRUE)*(F1560-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1557=TRUE)*F1557*IF(AND(Inputs!$B$39&lt;&gt;"pvp",Inputs!$B$44&gt;0),(((R1557-1)*(Skills!Y15*(1+Inputs!$B$34/100))+MIN((Skills!Y15*(1+Inputs!$B$34/100)),MAX(0,Inputs!$B$44-((R1557-1)*Skills!D15))))/Inputs!$B$44),IF(Inputs!$B$39="pvp",MIN((Skills!Y15*(1+Inputs!$B$34/100)),15)/15,(Skills!Y15*(1+Inputs!$B$34/100))/Skills!D15)))/100)*(1+((C1548=TRUE)*F1548*B1576)/100))*B1584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1545)</f>
        <v/>
      </c>
      <c r="L1545">
        <f>K1545*(MIN(Inputs!$B$22+((C1566=TRUE)*(F1566-Calc!F24)),(Inputs!$B$23+0+(IF(ArtifactsInput!$M$15,CHOOSE(ArtifactsInput!$N$15+1,25,30,35,40,45,50)/100*(Inputs!$B$11-Inputs!$B$11),0))))/100+(Inputs!$B$23+0+(IF(ArtifactsInput!$M$15,CHOOSE(ArtifactsInput!$N$15+1,25,30,35,40,45,50)/100*(Inputs!$B$11-Inputs!$B$11),0)))/100)/2</f>
        <v/>
      </c>
      <c r="M1545">
        <f>L1545*(1+(Inputs!$B$10+((C1568=TRUE)*(F1568-Calc!F26))+B1585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45">
        <f>L1545*(1-MIN((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1545*(MIN((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45">
        <f>(1-Summary!$B$11)*T1545+Summary!$B$11*V1545</f>
        <v/>
      </c>
      <c r="P1545">
        <f>IF(B1586=0,0,O1545/B1586)</f>
        <v/>
      </c>
      <c r="Q1545">
        <f>IFERROR(1/IF(Inputs!$B$39="pvp",15,MAX(0.1,Skills!D3-IF(Skills!E3=TRUE,Inputs!$B$32,0))),0)</f>
        <v/>
      </c>
      <c r="R1545">
        <f>IF(AND(Inputs!$B$39&lt;&gt;"pvp",Inputs!$B$44&gt;0),IF(MAX(0,Inputs!$B$44-B1587)&lt;=0,0,(INT(MAX(0,Inputs!$B$44-B1587)/IF(Inputs!$B$39="pvp",15,MAX(0.1,Skills!D3-IF(Skills!E3=TRUE,Inputs!$B$32,0))))+1)),0)</f>
        <v/>
      </c>
      <c r="S1545">
        <f>IFERROR(O1545/N1545,0)</f>
        <v/>
      </c>
      <c r="T1545">
        <f>IF(C1545,(H1545*N1545*IF(AND(Inputs!$B$39&lt;&gt;"pvp",Inputs!$B$44&gt;0),((Skills!G3*((R1545-1)*IF(Skills!H3&gt;0,Skills!I3/Skills!H3,1)+IF(Skills!H3&gt;0,MIN(Skills!I3,MAX(0,MAX(0,Inputs!$B$44-B1587)-((R1545-1)*IF(Inputs!$B$39="pvp",15,MAX(0.1,Skills!D3-IF(Skills!E3=TRUE,Inputs!$B$32,0))))))/Skills!H3,1)))/Inputs!$B$44),G1545*Q1545))*IF(Inputs!$B$39="pvp",1,1+(Inputs!$B$20+((C1569=TRUE)*(F1569-Calc!F27))+Skills!P3+B1583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Hunt"),CHOOSE(ArtifactsInput!$N$35+1,15,18,21,24,27,30)*(1-EXP(-(0.2*B1578)*5)),0)+IF(AND(ArtifactsInput!$M$22,Inputs!$B$4&lt;&gt;"Chapter Hunt"),CHOOSE(ArtifactsInput!$N$22+1,10,12,14,16,18,20)*((0*(((0.15*B1578*5))^0/1)+1*(((0.15*B1578*5))^1/1)+2*(((0.15*B1578*5))^2/2)+3*(((0.15*B1578*5))^3/6)+4*(((0.15*B1578*5))^4/24)+5*(((0.15*B1578*5))^5/120))/((((0.15*B1578*5))^0/1)+(((0.15*B1578*5))^1/1)+(((0.15*B1578*5))^2/2)+(((0.15*B1578*5))^3/6)+(((0.15*B1578*5))^4/24)+(((0.15*B1578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1545*(1-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1545*(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1545*(1-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1545*(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45">
        <f>INDEX(FactorTable!$B$2:$Y$301, MATCH(ROUND(MIN(300,MAX(1,U1544)),0), FactorTable!$A$2:$A$301,0), 24)</f>
        <v/>
      </c>
      <c r="V1545">
        <f>IF(C1545,(H1545*N1545*IF(AND(Inputs!$B$39&lt;&gt;"pvp",Inputs!$B$44&gt;0),((Skills!G3*((R1545-1)*IF(Skills!H3&gt;0,Skills!I3/Skills!H3,1)+IF(Skills!H3&gt;0,MIN(Skills!I3,MAX(0,MAX(0,Inputs!$B$44-B1587)-((R1545-1)*IF(Inputs!$B$39="pvp",15,MAX(0.1,Skills!D3-IF(Skills!E3=TRUE,Inputs!$B$32,0))))))/Skills!H3,1)))/Inputs!$B$44),G1545*Q1545))*IF(Inputs!$B$39="pvp",1,(1+(Inputs!$B$21+Skills!Q3+B1583+(IF(ArtifactsInput!$M$33,CHOOSE(ArtifactsInput!$N$33+1,30,36,42,48,54,60),0))+(IF(AND(ArtifactsInput!$M$35,Inputs!$B$4&lt;&gt;"Chapter Hunt"),CHOOSE(ArtifactsInput!$N$35+1,15,18,21,24,27,30)*(1-EXP(-(0.2*B1578)*5)),0)+IF(AND(ArtifactsInput!$M$22,Inputs!$B$4&lt;&gt;"Chapter Hunt"),CHOOSE(ArtifactsInput!$N$22+1,10,12,14,16,18,20)*((0*(((0.15*B1578*5))^0/1)+1*(((0.15*B1578*5))^1/1)+2*(((0.15*B1578*5))^2/2)+3*(((0.15*B1578*5))^3/6)+4*(((0.15*B1578*5))^4/24)+5*(((0.15*B1578*5))^5/120))/((((0.15*B1578*5))^0/1)+(((0.15*B1578*5))^1/1)+(((0.15*B1578*5))^2/2)+(((0.15*B1578*5))^3/6)+(((0.15*B1578*5))^4/24)+(((0.15*B1578*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46">
      <c r="A1546">
        <f>Skills!A4</f>
        <v/>
      </c>
      <c r="B1546">
        <f>Skills!B4</f>
        <v/>
      </c>
      <c r="C1546">
        <f>Inputs!$B$3&gt;=40</f>
        <v/>
      </c>
      <c r="D1546">
        <f>IF(Skills!C4=1,60+Inputs!$B$25+Inputs!$B$29,IF(Skills!C4=2,90+Inputs!$B$26+Inputs!$B$29,IF(Skills!C4=3,120+Inputs!$B$27+Inputs!$B$29,MAX(0,(Inputs!$B$3-100)*3)+Inputs!$B$28+Inputs!$B$29)))</f>
        <v/>
      </c>
      <c r="E1546">
        <f>INDEX(FactorTable!$B$2:$Y$301, MATCH(ROUND(MIN(300,MAX(1,D1546)),0), FactorTable!$A$2:$A$301,0), Skills!M4+1)</f>
        <v/>
      </c>
      <c r="F1546">
        <f>IF(Skills!N4=TRUE,(Skills!L4/10)*(E1546/1000),Skills!L4/10)+Skills!O4</f>
        <v/>
      </c>
      <c r="G1546">
        <f>Calc!G4</f>
        <v/>
      </c>
      <c r="H1546">
        <f>Calc!H4</f>
        <v/>
      </c>
      <c r="I1546">
        <f>IF(Skills!AA4&lt;&gt;"",1+(Skills!AA4/10)*(U1545/1000)/100,1)</f>
        <v/>
      </c>
      <c r="J1546">
        <f>((Inputs!$B$6*(1+Inputs!$B$7/100))+(((Inputs!$B$12*(1+Inputs!$B$13/100))-(Inputs!$B$12*(1+Inputs!$B$13/100)))+0.25*(Inputs!$B$14-Inputs!$B$14))*(1+Inputs!$B$7/100))*(F1546/100)</f>
        <v/>
      </c>
      <c r="K1546">
        <f>J1546*(1+((Inputs!$B$12*(1+Inputs!$B$13/100))*0.01+Inputs!$B$14*0.0025)/100)*(1+Inputs!$B$15/100)*(1+Inputs!$B$16/100)*(5000/(6000+Inputs!$B$43*(1-(100*(1-(1-(Inputs!$B$19+0)/100)*(1-CHOOSE(ArtifactsInput!$N$40+1,5,6,7,8,9,10)/100)^(ArtifactsInput!$M$40-ArtifactsInput!$M$40)))/100)))*(1+(Inputs!$B$24+((C1572=TRUE)*(F1572-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1565=TRUE)*(F1565-Calc!F23))+(((IF(AND(ArtifactsInput!$M$42,((Inputs!$B$9+((C1567=TRUE)*(F1567-Calc!F25))+B1582+(ArtifactsInput!$M$24-ArtifactsInput!$M$24)*CHOOSE(ArtifactsInput!$N$24+1,10,12,14,16,18,20)+IF(ArtifactsInput!$M$10,CHOOSE(ArtifactsInput!$N$10+1,15,18,21,24,27,30)*(IF(Inputs!$B$39="pvp",MIN(15,15)/15,IF(AND(Inputs!$B$39&lt;&gt;"pvp",Inputs!$B$44&gt;0),MIN(15,Inputs!$B$44)/(Inputs!$B$44),0))),0)))&gt;=100),MIN(100,((Inputs!$B$9+((C1567=TRUE)*(F1567-Calc!F25))+B1582+(ArtifactsInput!$M$24-ArtifactsInput!$M$24)*CHOOSE(ArtifactsInput!$N$24+1,10,12,14,16,18,20)+IF(ArtifactsInput!$M$10,CHOOSE(ArtifactsInput!$N$10+1,15,18,21,24,27,30)*(IF(Inputs!$B$39="pvp",MIN(15,15)/15,IF(AND(Inputs!$B$39&lt;&gt;"pvp",Inputs!$B$44&gt;0),MIN(15,Inputs!$B$44)/(Inputs!$B$44),0))),0)))-100),0))*CHOOSE(ArtifactsInput!$N$42+1,0.6,0.72,0.84,0.96,1.08,1.2))),Inputs!$B$18+((C1571=TRUE)*(F1571-Calc!F29))+(IF(AND(ArtifactsInput!$M$42,((Inputs!$B$9+((C1567=TRUE)*(F1567-Calc!F25))+B1582+(ArtifactsInput!$M$24-ArtifactsInput!$M$24)*CHOOSE(ArtifactsInput!$N$24+1,10,12,14,16,18,20)+IF(ArtifactsInput!$M$10,CHOOSE(ArtifactsInput!$N$10+1,15,18,21,24,27,30)*(IF(Inputs!$B$39="pvp",MIN(15,15)/15,IF(AND(Inputs!$B$39&lt;&gt;"pvp",Inputs!$B$44&gt;0),MIN(15,Inputs!$B$44)/(Inputs!$B$44),0))),0)))&gt;=100),CHOOSE(ArtifactsInput!$N$42+1,40,48,56,64,72,80),0))))/100)*(((1+(((C1563=TRUE)*F1563*IF(AND(Inputs!$B$39&lt;&gt;"pvp",Inputs!$B$44&gt;0),(((R1563-1)*(Skills!Y21*(1+Inputs!$B$34/100))+MIN((Skills!Y21*(1+Inputs!$B$34/100)),MAX(0,Inputs!$B$44-((R1563-1)*Skills!D21))))/Inputs!$B$44),IF(Inputs!$B$39="pvp",MIN((Skills!Y21*(1+Inputs!$B$34/100)),15)/15,(Skills!Y21*(1+Inputs!$B$34/100))/Skills!D21)))+((C1570=TRUE)*(F1570-Calc!F28))+((C1560=TRUE)*(F1560-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1557=TRUE)*F1557*IF(AND(Inputs!$B$39&lt;&gt;"pvp",Inputs!$B$44&gt;0),(((R1557-1)*(Skills!Y15*(1+Inputs!$B$34/100))+MIN((Skills!Y15*(1+Inputs!$B$34/100)),MAX(0,Inputs!$B$44-((R1557-1)*Skills!D15))))/Inputs!$B$44),IF(Inputs!$B$39="pvp",MIN((Skills!Y15*(1+Inputs!$B$34/100)),15)/15,(Skills!Y15*(1+Inputs!$B$34/100))/Skills!D15)))/100)*(1+((C1548=TRUE)*F1548*B1576)/100))*B1584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1546)</f>
        <v/>
      </c>
      <c r="L1546">
        <f>K1546*(MIN(Inputs!$B$22+((C1566=TRUE)*(F1566-Calc!F24)),(Inputs!$B$23+0+(IF(ArtifactsInput!$M$15,CHOOSE(ArtifactsInput!$N$15+1,25,30,35,40,45,50)/100*(Inputs!$B$11-Inputs!$B$11),0))))/100+(Inputs!$B$23+0+(IF(ArtifactsInput!$M$15,CHOOSE(ArtifactsInput!$N$15+1,25,30,35,40,45,50)/100*(Inputs!$B$11-Inputs!$B$11),0)))/100)/2</f>
        <v/>
      </c>
      <c r="M1546">
        <f>L1546*(1+(Inputs!$B$10+((C1568=TRUE)*(F1568-Calc!F26))+B1585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46">
        <f>L1546*(1-MIN((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1546*(MIN((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46">
        <f>(1-Summary!$B$11)*T1546+Summary!$B$11*V1546</f>
        <v/>
      </c>
      <c r="P1546">
        <f>IF(B1586=0,0,O1546/B1586)</f>
        <v/>
      </c>
      <c r="Q1546">
        <f>IFERROR(1/IF(Inputs!$B$39="pvp",15,MAX(0.1,Skills!D4-IF(Skills!E4=TRUE,Inputs!$B$32,0))),0)</f>
        <v/>
      </c>
      <c r="R1546">
        <f>IF(AND(Inputs!$B$39&lt;&gt;"pvp",Inputs!$B$44&gt;0),IF(MAX(0,Inputs!$B$44-B1587)&lt;=0,0,(INT(MAX(0,Inputs!$B$44-B1587)/IF(Inputs!$B$39="pvp",15,MAX(0.1,Skills!D4-IF(Skills!E4=TRUE,Inputs!$B$32,0))))+1)),0)</f>
        <v/>
      </c>
      <c r="S1546">
        <f>IFERROR(O1546/N1546,0)</f>
        <v/>
      </c>
      <c r="T1546">
        <f>IF(C1546,(H1546*N1546*IF(AND(Inputs!$B$39&lt;&gt;"pvp",Inputs!$B$44&gt;0),((Skills!G4*((R1546-1)*IF(Skills!H4&gt;0,Skills!I4/Skills!H4,1)+IF(Skills!H4&gt;0,MIN(Skills!I4,MAX(0,MAX(0,Inputs!$B$44-B1587)-((R1546-1)*IF(Inputs!$B$39="pvp",15,MAX(0.1,Skills!D4-IF(Skills!E4=TRUE,Inputs!$B$32,0))))))/Skills!H4,1)))/Inputs!$B$44),G1546*Q1546))*IF(Inputs!$B$39="pvp",1,1+(Inputs!$B$20+((C1569=TRUE)*(F1569-Calc!F27))+Skills!P4+B1583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Hunt"),CHOOSE(ArtifactsInput!$N$35+1,15,18,21,24,27,30)*(1-EXP(-(0.2*B1578)*5)),0)+IF(AND(ArtifactsInput!$M$22,Inputs!$B$4&lt;&gt;"Chapter Hunt"),CHOOSE(ArtifactsInput!$N$22+1,10,12,14,16,18,20)*((0*(((0.15*B1578*5))^0/1)+1*(((0.15*B1578*5))^1/1)+2*(((0.15*B1578*5))^2/2)+3*(((0.15*B1578*5))^3/6)+4*(((0.15*B1578*5))^4/24)+5*(((0.15*B1578*5))^5/120))/((((0.15*B1578*5))^0/1)+(((0.15*B1578*5))^1/1)+(((0.15*B1578*5))^2/2)+(((0.15*B1578*5))^3/6)+(((0.15*B1578*5))^4/24)+(((0.15*B1578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1546*(1-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1546*(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1546*(1-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1546*(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46">
        <f>MAX(0,(Inputs!$B$3-100)*3)+Inputs!$B$28+Inputs!$B$29</f>
        <v/>
      </c>
      <c r="V1546">
        <f>IF(C1546,(H1546*N1546*IF(AND(Inputs!$B$39&lt;&gt;"pvp",Inputs!$B$44&gt;0),((Skills!G4*((R1546-1)*IF(Skills!H4&gt;0,Skills!I4/Skills!H4,1)+IF(Skills!H4&gt;0,MIN(Skills!I4,MAX(0,MAX(0,Inputs!$B$44-B1587)-((R1546-1)*IF(Inputs!$B$39="pvp",15,MAX(0.1,Skills!D4-IF(Skills!E4=TRUE,Inputs!$B$32,0))))))/Skills!H4,1)))/Inputs!$B$44),G1546*Q1546))*IF(Inputs!$B$39="pvp",1,(1+(Inputs!$B$21+Skills!Q4+B1583+(IF(ArtifactsInput!$M$33,CHOOSE(ArtifactsInput!$N$33+1,30,36,42,48,54,60),0))+(IF(AND(ArtifactsInput!$M$35,Inputs!$B$4&lt;&gt;"Chapter Hunt"),CHOOSE(ArtifactsInput!$N$35+1,15,18,21,24,27,30)*(1-EXP(-(0.2*B1578)*5)),0)+IF(AND(ArtifactsInput!$M$22,Inputs!$B$4&lt;&gt;"Chapter Hunt"),CHOOSE(ArtifactsInput!$N$22+1,10,12,14,16,18,20)*((0*(((0.15*B1578*5))^0/1)+1*(((0.15*B1578*5))^1/1)+2*(((0.15*B1578*5))^2/2)+3*(((0.15*B1578*5))^3/6)+4*(((0.15*B1578*5))^4/24)+5*(((0.15*B1578*5))^5/120))/((((0.15*B1578*5))^0/1)+(((0.15*B1578*5))^1/1)+(((0.15*B1578*5))^2/2)+(((0.15*B1578*5))^3/6)+(((0.15*B1578*5))^4/24)+(((0.15*B1578*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47">
      <c r="A1547">
        <f>Skills!A5</f>
        <v/>
      </c>
      <c r="B1547">
        <f>Skills!B5</f>
        <v/>
      </c>
      <c r="C1547">
        <f>Inputs!$B$3&gt;=63</f>
        <v/>
      </c>
      <c r="D1547">
        <f>IF(Skills!C5=1,60+Inputs!$B$25+Inputs!$B$29,IF(Skills!C5=2,90+Inputs!$B$26+Inputs!$B$29,IF(Skills!C5=3,120+Inputs!$B$27+Inputs!$B$29,MAX(0,(Inputs!$B$3-100)*3)+Inputs!$B$28+Inputs!$B$29)))</f>
        <v/>
      </c>
      <c r="E1547">
        <f>INDEX(FactorTable!$B$2:$Y$301, MATCH(ROUND(MIN(300,MAX(1,D1547)),0), FactorTable!$A$2:$A$301,0), Skills!M5+1)</f>
        <v/>
      </c>
      <c r="F1547">
        <f>IF(Skills!N5=TRUE,(Skills!L5/10)*(E1547/1000),Skills!L5/10)+Skills!O5</f>
        <v/>
      </c>
      <c r="G1547">
        <f>Calc!G5</f>
        <v/>
      </c>
      <c r="H1547">
        <f>Calc!H5</f>
        <v/>
      </c>
      <c r="I1547">
        <f>IF(Skills!AA5&lt;&gt;"",1+(Skills!AA5/10)*(U1545/1000)/100,1)</f>
        <v/>
      </c>
      <c r="J1547">
        <f>((Inputs!$B$6*(1+Inputs!$B$7/100))+(((Inputs!$B$12*(1+Inputs!$B$13/100))-(Inputs!$B$12*(1+Inputs!$B$13/100)))+0.25*(Inputs!$B$14-Inputs!$B$14))*(1+Inputs!$B$7/100))*(F1547/100)</f>
        <v/>
      </c>
      <c r="K1547">
        <f>J1547*(1+((Inputs!$B$12*(1+Inputs!$B$13/100))*0.01+Inputs!$B$14*0.0025)/100)*(1+Inputs!$B$15/100)*(1+Inputs!$B$16/100)*(5000/(6000+Inputs!$B$43*(1-(100*(1-(1-(Inputs!$B$19+0)/100)*(1-CHOOSE(ArtifactsInput!$N$40+1,5,6,7,8,9,10)/100)^(ArtifactsInput!$M$40-ArtifactsInput!$M$40)))/100)))*(1+(Inputs!$B$24+((C1572=TRUE)*(F1572-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1565=TRUE)*(F1565-Calc!F23))+(((IF(AND(ArtifactsInput!$M$42,((Inputs!$B$9+((C1567=TRUE)*(F1567-Calc!F25))+B1582+(ArtifactsInput!$M$24-ArtifactsInput!$M$24)*CHOOSE(ArtifactsInput!$N$24+1,10,12,14,16,18,20)+IF(ArtifactsInput!$M$10,CHOOSE(ArtifactsInput!$N$10+1,15,18,21,24,27,30)*(IF(Inputs!$B$39="pvp",MIN(15,15)/15,IF(AND(Inputs!$B$39&lt;&gt;"pvp",Inputs!$B$44&gt;0),MIN(15,Inputs!$B$44)/(Inputs!$B$44),0))),0)))&gt;=100),MIN(100,((Inputs!$B$9+((C1567=TRUE)*(F1567-Calc!F25))+B1582+(ArtifactsInput!$M$24-ArtifactsInput!$M$24)*CHOOSE(ArtifactsInput!$N$24+1,10,12,14,16,18,20)+IF(ArtifactsInput!$M$10,CHOOSE(ArtifactsInput!$N$10+1,15,18,21,24,27,30)*(IF(Inputs!$B$39="pvp",MIN(15,15)/15,IF(AND(Inputs!$B$39&lt;&gt;"pvp",Inputs!$B$44&gt;0),MIN(15,Inputs!$B$44)/(Inputs!$B$44),0))),0)))-100),0))*CHOOSE(ArtifactsInput!$N$42+1,0.6,0.72,0.84,0.96,1.08,1.2))),Inputs!$B$18+((C1571=TRUE)*(F1571-Calc!F29))+(IF(AND(ArtifactsInput!$M$42,((Inputs!$B$9+((C1567=TRUE)*(F1567-Calc!F25))+B1582+(ArtifactsInput!$M$24-ArtifactsInput!$M$24)*CHOOSE(ArtifactsInput!$N$24+1,10,12,14,16,18,20)+IF(ArtifactsInput!$M$10,CHOOSE(ArtifactsInput!$N$10+1,15,18,21,24,27,30)*(IF(Inputs!$B$39="pvp",MIN(15,15)/15,IF(AND(Inputs!$B$39&lt;&gt;"pvp",Inputs!$B$44&gt;0),MIN(15,Inputs!$B$44)/(Inputs!$B$44),0))),0)))&gt;=100),CHOOSE(ArtifactsInput!$N$42+1,40,48,56,64,72,80),0))))/100)*(((1+(((C1563=TRUE)*F1563*IF(AND(Inputs!$B$39&lt;&gt;"pvp",Inputs!$B$44&gt;0),(((R1563-1)*(Skills!Y21*(1+Inputs!$B$34/100))+MIN((Skills!Y21*(1+Inputs!$B$34/100)),MAX(0,Inputs!$B$44-((R1563-1)*Skills!D21))))/Inputs!$B$44),IF(Inputs!$B$39="pvp",MIN((Skills!Y21*(1+Inputs!$B$34/100)),15)/15,(Skills!Y21*(1+Inputs!$B$34/100))/Skills!D21)))+((C1570=TRUE)*(F1570-Calc!F28))+((C1560=TRUE)*(F1560-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1557=TRUE)*F1557*IF(AND(Inputs!$B$39&lt;&gt;"pvp",Inputs!$B$44&gt;0),(((R1557-1)*(Skills!Y15*(1+Inputs!$B$34/100))+MIN((Skills!Y15*(1+Inputs!$B$34/100)),MAX(0,Inputs!$B$44-((R1557-1)*Skills!D15))))/Inputs!$B$44),IF(Inputs!$B$39="pvp",MIN((Skills!Y15*(1+Inputs!$B$34/100)),15)/15,(Skills!Y15*(1+Inputs!$B$34/100))/Skills!D15)))/100)*(1+((C1548=TRUE)*F1548*B1576)/100))*B1584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1547)</f>
        <v/>
      </c>
      <c r="L1547">
        <f>K1547*(MIN(Inputs!$B$22+((C1566=TRUE)*(F1566-Calc!F24)),(Inputs!$B$23+0+(IF(ArtifactsInput!$M$15,CHOOSE(ArtifactsInput!$N$15+1,25,30,35,40,45,50)/100*(Inputs!$B$11-Inputs!$B$11),0))))/100+(Inputs!$B$23+0+(IF(ArtifactsInput!$M$15,CHOOSE(ArtifactsInput!$N$15+1,25,30,35,40,45,50)/100*(Inputs!$B$11-Inputs!$B$11),0)))/100)/2</f>
        <v/>
      </c>
      <c r="M1547">
        <f>L1547*(1+(Inputs!$B$10+((C1568=TRUE)*(F1568-Calc!F26))+B1585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47">
        <f>L1547*(1-MIN((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1547*(MIN((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47">
        <f>(1-Summary!$B$11)*T1547+Summary!$B$11*V1547</f>
        <v/>
      </c>
      <c r="P1547">
        <f>IF(B1586=0,0,O1547/B1586)</f>
        <v/>
      </c>
      <c r="Q1547">
        <f>IFERROR(1/IF(Inputs!$B$39="pvp",15,MAX(0.1,Skills!D5-IF(Skills!E5=TRUE,Inputs!$B$32,0))),0)</f>
        <v/>
      </c>
      <c r="R1547">
        <f>IF(AND(Inputs!$B$39&lt;&gt;"pvp",Inputs!$B$44&gt;0),IF(MAX(0,Inputs!$B$44-B1587)&lt;=0,0,(INT(MAX(0,Inputs!$B$44-B1587)/IF(Inputs!$B$39="pvp",15,MAX(0.1,Skills!D5-IF(Skills!E5=TRUE,Inputs!$B$32,0))))+1)),0)</f>
        <v/>
      </c>
      <c r="S1547">
        <f>IFERROR(O1547/N1547,0)</f>
        <v/>
      </c>
      <c r="T1547">
        <f>IF(C1547,(H1547*N1547*IF(AND(Inputs!$B$39&lt;&gt;"pvp",Inputs!$B$44&gt;0),((Skills!G5*((R1547-1)*IF(Skills!H5&gt;0,Skills!I5/Skills!H5,1)+IF(Skills!H5&gt;0,MIN(Skills!I5,MAX(0,MAX(0,Inputs!$B$44-B1587)-((R1547-1)*IF(Inputs!$B$39="pvp",15,MAX(0.1,Skills!D5-IF(Skills!E5=TRUE,Inputs!$B$32,0))))))/Skills!H5,1)))/Inputs!$B$44),G1547*Q1547))*IF(Inputs!$B$39="pvp",1,1+(Inputs!$B$20+((C1569=TRUE)*(F1569-Calc!F27))+Skills!P5+B1583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Hunt"),CHOOSE(ArtifactsInput!$N$35+1,15,18,21,24,27,30)*(1-EXP(-(0.2*B1578)*5)),0)+IF(AND(ArtifactsInput!$M$22,Inputs!$B$4&lt;&gt;"Chapter Hunt"),CHOOSE(ArtifactsInput!$N$22+1,10,12,14,16,18,20)*((0*(((0.15*B1578*5))^0/1)+1*(((0.15*B1578*5))^1/1)+2*(((0.15*B1578*5))^2/2)+3*(((0.15*B1578*5))^3/6)+4*(((0.15*B1578*5))^4/24)+5*(((0.15*B1578*5))^5/120))/((((0.15*B1578*5))^0/1)+(((0.15*B1578*5))^1/1)+(((0.15*B1578*5))^2/2)+(((0.15*B1578*5))^3/6)+(((0.15*B1578*5))^4/24)+(((0.15*B1578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1547*(1-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1547*(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1547*(1-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1547*(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47">
        <f>INDEX(FactorTable!$B$2:$Y$301, MATCH(ROUND(MIN(300,MAX(1,U1546)),0), FactorTable!$A$2:$A$301,0), 22)</f>
        <v/>
      </c>
      <c r="V1547">
        <f>IF(C1547,(H1547*N1547*IF(AND(Inputs!$B$39&lt;&gt;"pvp",Inputs!$B$44&gt;0),((Skills!G5*((R1547-1)*IF(Skills!H5&gt;0,Skills!I5/Skills!H5,1)+IF(Skills!H5&gt;0,MIN(Skills!I5,MAX(0,MAX(0,Inputs!$B$44-B1587)-((R1547-1)*IF(Inputs!$B$39="pvp",15,MAX(0.1,Skills!D5-IF(Skills!E5=TRUE,Inputs!$B$32,0))))))/Skills!H5,1)))/Inputs!$B$44),G1547*Q1547))*IF(Inputs!$B$39="pvp",1,(1+(Inputs!$B$21+Skills!Q5+B1583+(IF(ArtifactsInput!$M$33,CHOOSE(ArtifactsInput!$N$33+1,30,36,42,48,54,60),0))+(IF(AND(ArtifactsInput!$M$35,Inputs!$B$4&lt;&gt;"Chapter Hunt"),CHOOSE(ArtifactsInput!$N$35+1,15,18,21,24,27,30)*(1-EXP(-(0.2*B1578)*5)),0)+IF(AND(ArtifactsInput!$M$22,Inputs!$B$4&lt;&gt;"Chapter Hunt"),CHOOSE(ArtifactsInput!$N$22+1,10,12,14,16,18,20)*((0*(((0.15*B1578*5))^0/1)+1*(((0.15*B1578*5))^1/1)+2*(((0.15*B1578*5))^2/2)+3*(((0.15*B1578*5))^3/6)+4*(((0.15*B1578*5))^4/24)+5*(((0.15*B1578*5))^5/120))/((((0.15*B1578*5))^0/1)+(((0.15*B1578*5))^1/1)+(((0.15*B1578*5))^2/2)+(((0.15*B1578*5))^3/6)+(((0.15*B1578*5))^4/24)+(((0.15*B1578*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48">
      <c r="A1548">
        <f>Skills!A6</f>
        <v/>
      </c>
      <c r="B1548">
        <f>Skills!B6</f>
        <v/>
      </c>
      <c r="C1548">
        <f>Inputs!$B$3&gt;=66</f>
        <v/>
      </c>
      <c r="D1548">
        <f>IF(Skills!C6=1,60+Inputs!$B$25+Inputs!$B$29,IF(Skills!C6=2,90+Inputs!$B$26+Inputs!$B$29,IF(Skills!C6=3,120+Inputs!$B$27+Inputs!$B$29,MAX(0,(Inputs!$B$3-100)*3)+Inputs!$B$28+Inputs!$B$29)))</f>
        <v/>
      </c>
      <c r="E1548">
        <f>INDEX(FactorTable!$B$2:$Y$301, MATCH(ROUND(MIN(300,MAX(1,D1548)),0), FactorTable!$A$2:$A$301,0), Skills!M6+1)</f>
        <v/>
      </c>
      <c r="F1548">
        <f>IF(Skills!N6=TRUE,(Skills!L6/10)*(E1548/1000),Skills!L6/10)+Skills!O6</f>
        <v/>
      </c>
      <c r="G1548">
        <f>Calc!G6</f>
        <v/>
      </c>
      <c r="H1548">
        <f>Calc!H6</f>
        <v/>
      </c>
      <c r="I1548">
        <f>IF(Skills!AA6&lt;&gt;"",1+(Skills!AA6/10)*(U1545/1000)/100,1)</f>
        <v/>
      </c>
      <c r="J1548" t="inlineStr"/>
      <c r="K1548" t="inlineStr"/>
      <c r="L1548" t="inlineStr"/>
      <c r="M1548" t="inlineStr"/>
      <c r="N1548" t="inlineStr"/>
      <c r="O1548">
        <f>(1-Summary!$B$11)*T1548+Summary!$B$11*V1548</f>
        <v/>
      </c>
      <c r="P1548">
        <f>IF(B1586=0,0,O1548/B1586)</f>
        <v/>
      </c>
      <c r="Q1548" t="n">
        <v>0</v>
      </c>
      <c r="R1548" t="n">
        <v>0</v>
      </c>
      <c r="S1548">
        <f>IFERROR(O1548/N1548,0)</f>
        <v/>
      </c>
      <c r="T1548" t="n">
        <v>0</v>
      </c>
      <c r="U1548">
        <f>290*U1547/1000</f>
        <v/>
      </c>
      <c r="V1548" t="n">
        <v>0</v>
      </c>
    </row>
    <row r="1549">
      <c r="A1549">
        <f>Skills!A7</f>
        <v/>
      </c>
      <c r="B1549">
        <f>Skills!B7</f>
        <v/>
      </c>
      <c r="C1549">
        <f>Inputs!$B$3&gt;=66</f>
        <v/>
      </c>
      <c r="D1549">
        <f>IF(Skills!C7=1,60+Inputs!$B$25+Inputs!$B$29,IF(Skills!C7=2,90+Inputs!$B$26+Inputs!$B$29,IF(Skills!C7=3,120+Inputs!$B$27+Inputs!$B$29,MAX(0,(Inputs!$B$3-100)*3)+Inputs!$B$28+Inputs!$B$29)))</f>
        <v/>
      </c>
      <c r="E1549">
        <f>INDEX(FactorTable!$B$2:$Y$301, MATCH(ROUND(MIN(300,MAX(1,D1549)),0), FactorTable!$A$2:$A$301,0), Skills!M7+1)</f>
        <v/>
      </c>
      <c r="F1549">
        <f>IF(Skills!N7=TRUE,(Skills!L7/10)*(E1549/1000),Skills!L7/10)+Skills!O7</f>
        <v/>
      </c>
      <c r="G1549">
        <f>Calc!G7</f>
        <v/>
      </c>
      <c r="H1549">
        <f>Calc!H7</f>
        <v/>
      </c>
      <c r="I1549">
        <f>IF(Skills!AA7&lt;&gt;"",1+(Skills!AA7/10)*(U1545/1000)/100,1)</f>
        <v/>
      </c>
      <c r="J1549" t="inlineStr"/>
      <c r="K1549" t="inlineStr"/>
      <c r="L1549" t="inlineStr"/>
      <c r="M1549" t="inlineStr"/>
      <c r="N1549" t="inlineStr"/>
      <c r="O1549">
        <f>(1-Summary!$B$11)*T1549+Summary!$B$11*V1549</f>
        <v/>
      </c>
      <c r="P1549">
        <f>IF(B1586=0,0,O1549/B1586)</f>
        <v/>
      </c>
      <c r="Q1549" t="n">
        <v>0</v>
      </c>
      <c r="R1549" t="n">
        <v>0</v>
      </c>
      <c r="S1549">
        <f>IFERROR(O1549/N1549,0)</f>
        <v/>
      </c>
      <c r="T1549" t="n">
        <v>0</v>
      </c>
      <c r="V1549" t="n">
        <v>0</v>
      </c>
    </row>
    <row r="1550">
      <c r="A1550">
        <f>Skills!A8</f>
        <v/>
      </c>
      <c r="B1550">
        <f>Skills!B8</f>
        <v/>
      </c>
      <c r="C1550">
        <f>Inputs!$B$3&gt;=69</f>
        <v/>
      </c>
      <c r="D1550">
        <f>IF(Skills!C8=1,60+Inputs!$B$25+Inputs!$B$29,IF(Skills!C8=2,90+Inputs!$B$26+Inputs!$B$29,IF(Skills!C8=3,120+Inputs!$B$27+Inputs!$B$29,MAX(0,(Inputs!$B$3-100)*3)+Inputs!$B$28+Inputs!$B$29)))</f>
        <v/>
      </c>
      <c r="E1550">
        <f>INDEX(FactorTable!$B$2:$Y$301, MATCH(ROUND(MIN(300,MAX(1,D1550)),0), FactorTable!$A$2:$A$301,0), Skills!M8+1)</f>
        <v/>
      </c>
      <c r="F1550">
        <f>IF(Skills!N8=TRUE,(Skills!L8/10)*(E1550/1000),Skills!L8/10)+Skills!O8</f>
        <v/>
      </c>
      <c r="G1550">
        <f>Calc!G8</f>
        <v/>
      </c>
      <c r="H1550">
        <f>Calc!H8</f>
        <v/>
      </c>
      <c r="I1550">
        <f>IF(Skills!AA8&lt;&gt;"",1+(Skills!AA8/10)*(U1545/1000)/100,1)</f>
        <v/>
      </c>
      <c r="J1550">
        <f>((Inputs!$B$6*(1+Inputs!$B$7/100))+(((Inputs!$B$12*(1+Inputs!$B$13/100))-(Inputs!$B$12*(1+Inputs!$B$13/100)))+0.25*(Inputs!$B$14-Inputs!$B$14))*(1+Inputs!$B$7/100))*(F1550/100)</f>
        <v/>
      </c>
      <c r="K1550">
        <f>J1550*(1+((Inputs!$B$12*(1+Inputs!$B$13/100))*0.01+Inputs!$B$14*0.0025)/100)*(1+Inputs!$B$15/100)*(1+Inputs!$B$16/100)*(5000/(6000+Inputs!$B$43*(1-(100*(1-(1-(Inputs!$B$19+0)/100)*(1-CHOOSE(ArtifactsInput!$N$40+1,5,6,7,8,9,10)/100)^(ArtifactsInput!$M$40-ArtifactsInput!$M$40)))/100)))*(1+(Inputs!$B$24+((C1572=TRUE)*(F1572-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1565=TRUE)*(F1565-Calc!F23))+(((IF(AND(ArtifactsInput!$M$42,((Inputs!$B$9+((C1567=TRUE)*(F1567-Calc!F25))+B1582+(ArtifactsInput!$M$24-ArtifactsInput!$M$24)*CHOOSE(ArtifactsInput!$N$24+1,10,12,14,16,18,20)+IF(ArtifactsInput!$M$10,CHOOSE(ArtifactsInput!$N$10+1,15,18,21,24,27,30)*(IF(Inputs!$B$39="pvp",MIN(15,15)/15,IF(AND(Inputs!$B$39&lt;&gt;"pvp",Inputs!$B$44&gt;0),MIN(15,Inputs!$B$44)/(Inputs!$B$44),0))),0)))&gt;=100),MIN(100,((Inputs!$B$9+((C1567=TRUE)*(F1567-Calc!F25))+B1582+(ArtifactsInput!$M$24-ArtifactsInput!$M$24)*CHOOSE(ArtifactsInput!$N$24+1,10,12,14,16,18,20)+IF(ArtifactsInput!$M$10,CHOOSE(ArtifactsInput!$N$10+1,15,18,21,24,27,30)*(IF(Inputs!$B$39="pvp",MIN(15,15)/15,IF(AND(Inputs!$B$39&lt;&gt;"pvp",Inputs!$B$44&gt;0),MIN(15,Inputs!$B$44)/(Inputs!$B$44),0))),0)))-100),0))*CHOOSE(ArtifactsInput!$N$42+1,0.6,0.72,0.84,0.96,1.08,1.2))),Inputs!$B$18+((C1571=TRUE)*(F1571-Calc!F29))+(IF(AND(ArtifactsInput!$M$42,((Inputs!$B$9+((C1567=TRUE)*(F1567-Calc!F25))+B1582+(ArtifactsInput!$M$24-ArtifactsInput!$M$24)*CHOOSE(ArtifactsInput!$N$24+1,10,12,14,16,18,20)+IF(ArtifactsInput!$M$10,CHOOSE(ArtifactsInput!$N$10+1,15,18,21,24,27,30)*(IF(Inputs!$B$39="pvp",MIN(15,15)/15,IF(AND(Inputs!$B$39&lt;&gt;"pvp",Inputs!$B$44&gt;0),MIN(15,Inputs!$B$44)/(Inputs!$B$44),0))),0)))&gt;=100),CHOOSE(ArtifactsInput!$N$42+1,40,48,56,64,72,80),0))))/100)*(((1+(((C1563=TRUE)*F1563*IF(AND(Inputs!$B$39&lt;&gt;"pvp",Inputs!$B$44&gt;0),(((R1563-1)*(Skills!Y21*(1+Inputs!$B$34/100))+MIN((Skills!Y21*(1+Inputs!$B$34/100)),MAX(0,Inputs!$B$44-((R1563-1)*Skills!D21))))/Inputs!$B$44),IF(Inputs!$B$39="pvp",MIN((Skills!Y21*(1+Inputs!$B$34/100)),15)/15,(Skills!Y21*(1+Inputs!$B$34/100))/Skills!D21)))+((C1570=TRUE)*(F1570-Calc!F28))+((C1560=TRUE)*(F1560-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1557=TRUE)*F1557*IF(AND(Inputs!$B$39&lt;&gt;"pvp",Inputs!$B$44&gt;0),(((R1557-1)*(Skills!Y15*(1+Inputs!$B$34/100))+MIN((Skills!Y15*(1+Inputs!$B$34/100)),MAX(0,Inputs!$B$44-((R1557-1)*Skills!D15))))/Inputs!$B$44),IF(Inputs!$B$39="pvp",MIN((Skills!Y15*(1+Inputs!$B$34/100)),15)/15,(Skills!Y15*(1+Inputs!$B$34/100))/Skills!D15)))/100)*(1+((C1548=TRUE)*F1548*B1576)/100))*B1584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1550)</f>
        <v/>
      </c>
      <c r="L1550">
        <f>K1550*(MIN(Inputs!$B$22+((C1566=TRUE)*(F1566-Calc!F24)),(Inputs!$B$23+0+(IF(ArtifactsInput!$M$15,CHOOSE(ArtifactsInput!$N$15+1,25,30,35,40,45,50)/100*(Inputs!$B$11-Inputs!$B$11),0))))/100+(Inputs!$B$23+0+(IF(ArtifactsInput!$M$15,CHOOSE(ArtifactsInput!$N$15+1,25,30,35,40,45,50)/100*(Inputs!$B$11-Inputs!$B$11),0)))/100)/2</f>
        <v/>
      </c>
      <c r="M1550">
        <f>L1550*(1+(Inputs!$B$10+((C1568=TRUE)*(F1568-Calc!F26))+B1585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50">
        <f>L1550*(1-MIN((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1550*(MIN((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50">
        <f>(1-Summary!$B$11)*T1550+Summary!$B$11*V1550</f>
        <v/>
      </c>
      <c r="P1550">
        <f>IF(B1586=0,0,O1550/B1586)</f>
        <v/>
      </c>
      <c r="Q1550">
        <f>IFERROR(1/IF(Inputs!$B$39="pvp",15,MAX(0.1,Skills!D8-IF(Skills!E8=TRUE,Inputs!$B$32,0))),0)</f>
        <v/>
      </c>
      <c r="R1550">
        <f>IF(AND(Inputs!$B$39&lt;&gt;"pvp",Inputs!$B$44&gt;0),IF(MAX(0,Inputs!$B$44-B1587)&lt;=0,0,(INT(MAX(0,Inputs!$B$44-B1587)/IF(Inputs!$B$39="pvp",15,MAX(0.1,Skills!D8-IF(Skills!E8=TRUE,Inputs!$B$32,0))))+1)),0)</f>
        <v/>
      </c>
      <c r="S1550">
        <f>IFERROR(O1550/N1550,0)</f>
        <v/>
      </c>
      <c r="T1550">
        <f>IF(C1550,(H1550*N1550*IF(AND(Inputs!$B$39&lt;&gt;"pvp",Inputs!$B$44&gt;0),((Skills!G8*((R1550-1)*IF(Skills!H8&gt;0,Skills!I8/Skills!H8,1)+IF(Skills!H8&gt;0,MIN(Skills!I8,MAX(0,MAX(0,Inputs!$B$44-B1587)-((R1550-1)*IF(Inputs!$B$39="pvp",15,MAX(0.1,Skills!D8-IF(Skills!E8=TRUE,Inputs!$B$32,0))))))/Skills!H8,1)))/Inputs!$B$44),G1550*Q1550))*IF(Inputs!$B$39="pvp",1,1+(Inputs!$B$20+((C1569=TRUE)*(F1569-Calc!F27))+Skills!P8+B1583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Hunt"),CHOOSE(ArtifactsInput!$N$35+1,15,18,21,24,27,30)*(1-EXP(-(0.2*B1578)*5)),0)+IF(AND(ArtifactsInput!$M$22,Inputs!$B$4&lt;&gt;"Chapter Hunt"),CHOOSE(ArtifactsInput!$N$22+1,10,12,14,16,18,20)*((0*(((0.15*B1578*5))^0/1)+1*(((0.15*B1578*5))^1/1)+2*(((0.15*B1578*5))^2/2)+3*(((0.15*B1578*5))^3/6)+4*(((0.15*B1578*5))^4/24)+5*(((0.15*B1578*5))^5/120))/((((0.15*B1578*5))^0/1)+(((0.15*B1578*5))^1/1)+(((0.15*B1578*5))^2/2)+(((0.15*B1578*5))^3/6)+(((0.15*B1578*5))^4/24)+(((0.15*B1578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1550*(1-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1550*(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1550*(1-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1550*(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50">
        <f>IF(C1550,(H1550*N1550*IF(AND(Inputs!$B$39&lt;&gt;"pvp",Inputs!$B$44&gt;0),((Skills!G8*((R1550-1)*IF(Skills!H8&gt;0,Skills!I8/Skills!H8,1)+IF(Skills!H8&gt;0,MIN(Skills!I8,MAX(0,MAX(0,Inputs!$B$44-B1587)-((R1550-1)*IF(Inputs!$B$39="pvp",15,MAX(0.1,Skills!D8-IF(Skills!E8=TRUE,Inputs!$B$32,0))))))/Skills!H8,1)))/Inputs!$B$44),G1550*Q1550))*IF(Inputs!$B$39="pvp",1,(1+(Inputs!$B$21+Skills!Q8+B1583+(IF(ArtifactsInput!$M$33,CHOOSE(ArtifactsInput!$N$33+1,30,36,42,48,54,60),0))+(IF(AND(ArtifactsInput!$M$35,Inputs!$B$4&lt;&gt;"Chapter Hunt"),CHOOSE(ArtifactsInput!$N$35+1,15,18,21,24,27,30)*(1-EXP(-(0.2*B1578)*5)),0)+IF(AND(ArtifactsInput!$M$22,Inputs!$B$4&lt;&gt;"Chapter Hunt"),CHOOSE(ArtifactsInput!$N$22+1,10,12,14,16,18,20)*((0*(((0.15*B1578*5))^0/1)+1*(((0.15*B1578*5))^1/1)+2*(((0.15*B1578*5))^2/2)+3*(((0.15*B1578*5))^3/6)+4*(((0.15*B1578*5))^4/24)+5*(((0.15*B1578*5))^5/120))/((((0.15*B1578*5))^0/1)+(((0.15*B1578*5))^1/1)+(((0.15*B1578*5))^2/2)+(((0.15*B1578*5))^3/6)+(((0.15*B1578*5))^4/24)+(((0.15*B1578*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51">
      <c r="A1551">
        <f>Skills!A9</f>
        <v/>
      </c>
      <c r="B1551">
        <f>Skills!B9</f>
        <v/>
      </c>
      <c r="C1551">
        <f>Inputs!$B$3&gt;=72</f>
        <v/>
      </c>
      <c r="D1551">
        <f>IF(Skills!C9=1,60+Inputs!$B$25+Inputs!$B$29,IF(Skills!C9=2,90+Inputs!$B$26+Inputs!$B$29,IF(Skills!C9=3,120+Inputs!$B$27+Inputs!$B$29,MAX(0,(Inputs!$B$3-100)*3)+Inputs!$B$28+Inputs!$B$29)))</f>
        <v/>
      </c>
      <c r="E1551">
        <f>INDEX(FactorTable!$B$2:$Y$301, MATCH(ROUND(MIN(300,MAX(1,D1551)),0), FactorTable!$A$2:$A$301,0), Skills!M9+1)</f>
        <v/>
      </c>
      <c r="F1551">
        <f>IF(Skills!N9=TRUE,(Skills!L9/10)*(E1551/1000),Skills!L9/10)+Skills!O9</f>
        <v/>
      </c>
      <c r="G1551">
        <f>Calc!G9</f>
        <v/>
      </c>
      <c r="H1551">
        <f>Calc!H9</f>
        <v/>
      </c>
      <c r="I1551">
        <f>IF(Skills!AA9&lt;&gt;"",1+(Skills!AA9/10)*(U1545/1000)/100,1)</f>
        <v/>
      </c>
      <c r="J1551">
        <f>((Inputs!$B$6*(1+Inputs!$B$7/100))+(((Inputs!$B$12*(1+Inputs!$B$13/100))-(Inputs!$B$12*(1+Inputs!$B$13/100)))+0.25*(Inputs!$B$14-Inputs!$B$14))*(1+Inputs!$B$7/100))*(F1551/100)</f>
        <v/>
      </c>
      <c r="K1551">
        <f>J1551*(1+((Inputs!$B$12*(1+Inputs!$B$13/100))*0.01+Inputs!$B$14*0.0025)/100)*(1+Inputs!$B$15/100)*(1+Inputs!$B$16/100)*(5000/(6000+Inputs!$B$43*(1-(100*(1-(1-(Inputs!$B$19+0)/100)*(1-CHOOSE(ArtifactsInput!$N$40+1,5,6,7,8,9,10)/100)^(ArtifactsInput!$M$40-ArtifactsInput!$M$40)))/100)))*(1+(Inputs!$B$24+((C1572=TRUE)*(F1572-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1565=TRUE)*(F1565-Calc!F23))+(((IF(AND(ArtifactsInput!$M$42,((Inputs!$B$9+((C1567=TRUE)*(F1567-Calc!F25))+B1582+(ArtifactsInput!$M$24-ArtifactsInput!$M$24)*CHOOSE(ArtifactsInput!$N$24+1,10,12,14,16,18,20)+IF(ArtifactsInput!$M$10,CHOOSE(ArtifactsInput!$N$10+1,15,18,21,24,27,30)*(IF(Inputs!$B$39="pvp",MIN(15,15)/15,IF(AND(Inputs!$B$39&lt;&gt;"pvp",Inputs!$B$44&gt;0),MIN(15,Inputs!$B$44)/(Inputs!$B$44),0))),0)))&gt;=100),MIN(100,((Inputs!$B$9+((C1567=TRUE)*(F1567-Calc!F25))+B1582+(ArtifactsInput!$M$24-ArtifactsInput!$M$24)*CHOOSE(ArtifactsInput!$N$24+1,10,12,14,16,18,20)+IF(ArtifactsInput!$M$10,CHOOSE(ArtifactsInput!$N$10+1,15,18,21,24,27,30)*(IF(Inputs!$B$39="pvp",MIN(15,15)/15,IF(AND(Inputs!$B$39&lt;&gt;"pvp",Inputs!$B$44&gt;0),MIN(15,Inputs!$B$44)/(Inputs!$B$44),0))),0)))-100),0))*CHOOSE(ArtifactsInput!$N$42+1,0.6,0.72,0.84,0.96,1.08,1.2))),Inputs!$B$18+((C1571=TRUE)*(F1571-Calc!F29))+(IF(AND(ArtifactsInput!$M$42,((Inputs!$B$9+((C1567=TRUE)*(F1567-Calc!F25))+B1582+(ArtifactsInput!$M$24-ArtifactsInput!$M$24)*CHOOSE(ArtifactsInput!$N$24+1,10,12,14,16,18,20)+IF(ArtifactsInput!$M$10,CHOOSE(ArtifactsInput!$N$10+1,15,18,21,24,27,30)*(IF(Inputs!$B$39="pvp",MIN(15,15)/15,IF(AND(Inputs!$B$39&lt;&gt;"pvp",Inputs!$B$44&gt;0),MIN(15,Inputs!$B$44)/(Inputs!$B$44),0))),0)))&gt;=100),CHOOSE(ArtifactsInput!$N$42+1,40,48,56,64,72,80),0))))/100)*(((1+(((C1563=TRUE)*F1563*IF(AND(Inputs!$B$39&lt;&gt;"pvp",Inputs!$B$44&gt;0),(((R1563-1)*(Skills!Y21*(1+Inputs!$B$34/100))+MIN((Skills!Y21*(1+Inputs!$B$34/100)),MAX(0,Inputs!$B$44-((R1563-1)*Skills!D21))))/Inputs!$B$44),IF(Inputs!$B$39="pvp",MIN((Skills!Y21*(1+Inputs!$B$34/100)),15)/15,(Skills!Y21*(1+Inputs!$B$34/100))/Skills!D21)))+((C1570=TRUE)*(F1570-Calc!F28))+((C1560=TRUE)*(F1560-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1557=TRUE)*F1557*IF(AND(Inputs!$B$39&lt;&gt;"pvp",Inputs!$B$44&gt;0),(((R1557-1)*(Skills!Y15*(1+Inputs!$B$34/100))+MIN((Skills!Y15*(1+Inputs!$B$34/100)),MAX(0,Inputs!$B$44-((R1557-1)*Skills!D15))))/Inputs!$B$44),IF(Inputs!$B$39="pvp",MIN((Skills!Y15*(1+Inputs!$B$34/100)),15)/15,(Skills!Y15*(1+Inputs!$B$34/100))/Skills!D15)))/100)*(1+((C1548=TRUE)*F1548*B1576)/100))*B1584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1551)</f>
        <v/>
      </c>
      <c r="L1551">
        <f>K1551*(MIN(Inputs!$B$22+((C1566=TRUE)*(F1566-Calc!F24)),(Inputs!$B$23+0+(IF(ArtifactsInput!$M$15,CHOOSE(ArtifactsInput!$N$15+1,25,30,35,40,45,50)/100*(Inputs!$B$11-Inputs!$B$11),0))))/100+(Inputs!$B$23+0+(IF(ArtifactsInput!$M$15,CHOOSE(ArtifactsInput!$N$15+1,25,30,35,40,45,50)/100*(Inputs!$B$11-Inputs!$B$11),0)))/100)/2</f>
        <v/>
      </c>
      <c r="M1551">
        <f>L1551*(1+(Inputs!$B$10+((C1568=TRUE)*(F1568-Calc!F26))+B1585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51">
        <f>L1551*(1-MIN((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1551*(MIN((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51">
        <f>(1-Summary!$B$11)*T1551+Summary!$B$11*V1551</f>
        <v/>
      </c>
      <c r="P1551">
        <f>IF(B1586=0,0,O1551/B1586)</f>
        <v/>
      </c>
      <c r="Q1551">
        <f>IFERROR(1/IF(Inputs!$B$39="pvp",15,MAX(0.1,Skills!D9-IF(Skills!E9=TRUE,Inputs!$B$32,0))),0)</f>
        <v/>
      </c>
      <c r="R1551">
        <f>IF(AND(Inputs!$B$39&lt;&gt;"pvp",Inputs!$B$44&gt;0),IF(MAX(0,Inputs!$B$44-B1587)&lt;=0,0,(INT(MAX(0,Inputs!$B$44-B1587)/IF(Inputs!$B$39="pvp",15,MAX(0.1,Skills!D9-IF(Skills!E9=TRUE,Inputs!$B$32,0))))+1)),0)</f>
        <v/>
      </c>
      <c r="S1551">
        <f>IFERROR(O1551/N1551,0)</f>
        <v/>
      </c>
      <c r="T1551">
        <f>IF(C1551,(H1551*N1551*IF(AND(Inputs!$B$39&lt;&gt;"pvp",Inputs!$B$44&gt;0),((Skills!G9*((R1551-1)*IF(Skills!H9&gt;0,Skills!I9/Skills!H9,1)+IF(Skills!H9&gt;0,MIN(Skills!I9,MAX(0,MAX(0,Inputs!$B$44-B1587)-((R1551-1)*IF(Inputs!$B$39="pvp",15,MAX(0.1,Skills!D9-IF(Skills!E9=TRUE,Inputs!$B$32,0))))))/Skills!H9,1)))/Inputs!$B$44),G1551*Q1551))*IF(Inputs!$B$39="pvp",1,1+(Inputs!$B$20+((C1569=TRUE)*(F1569-Calc!F27))+Skills!P9+B1583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Hunt"),CHOOSE(ArtifactsInput!$N$35+1,15,18,21,24,27,30)*(1-EXP(-(0.2*B1578)*5)),0)+IF(AND(ArtifactsInput!$M$22,Inputs!$B$4&lt;&gt;"Chapter Hunt"),CHOOSE(ArtifactsInput!$N$22+1,10,12,14,16,18,20)*((0*(((0.15*B1578*5))^0/1)+1*(((0.15*B1578*5))^1/1)+2*(((0.15*B1578*5))^2/2)+3*(((0.15*B1578*5))^3/6)+4*(((0.15*B1578*5))^4/24)+5*(((0.15*B1578*5))^5/120))/((((0.15*B1578*5))^0/1)+(((0.15*B1578*5))^1/1)+(((0.15*B1578*5))^2/2)+(((0.15*B1578*5))^3/6)+(((0.15*B1578*5))^4/24)+(((0.15*B1578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1551*(1-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1551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1551*(1-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1551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51">
        <f>IF(C1551,(H1551*N1551*IF(AND(Inputs!$B$39&lt;&gt;"pvp",Inputs!$B$44&gt;0),((Skills!G9*((R1551-1)*IF(Skills!H9&gt;0,Skills!I9/Skills!H9,1)+IF(Skills!H9&gt;0,MIN(Skills!I9,MAX(0,MAX(0,Inputs!$B$44-B1587)-((R1551-1)*IF(Inputs!$B$39="pvp",15,MAX(0.1,Skills!D9-IF(Skills!E9=TRUE,Inputs!$B$32,0))))))/Skills!H9,1)))/Inputs!$B$44),G1551*Q1551))*IF(Inputs!$B$39="pvp",1,(1+(Inputs!$B$21+Skills!Q9+B1583+(IF(ArtifactsInput!$M$33,CHOOSE(ArtifactsInput!$N$33+1,30,36,42,48,54,60),0))+(IF(AND(ArtifactsInput!$M$35,Inputs!$B$4&lt;&gt;"Chapter Hunt"),CHOOSE(ArtifactsInput!$N$35+1,15,18,21,24,27,30)*(1-EXP(-(0.2*B1578)*5)),0)+IF(AND(ArtifactsInput!$M$22,Inputs!$B$4&lt;&gt;"Chapter Hunt"),CHOOSE(ArtifactsInput!$N$22+1,10,12,14,16,18,20)*((0*(((0.15*B1578*5))^0/1)+1*(((0.15*B1578*5))^1/1)+2*(((0.15*B1578*5))^2/2)+3*(((0.15*B1578*5))^3/6)+4*(((0.15*B1578*5))^4/24)+5*(((0.15*B1578*5))^5/120))/((((0.15*B1578*5))^0/1)+(((0.15*B1578*5))^1/1)+(((0.15*B1578*5))^2/2)+(((0.15*B1578*5))^3/6)+(((0.15*B1578*5))^4/24)+(((0.15*B1578*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52">
      <c r="A1552">
        <f>Skills!A10</f>
        <v/>
      </c>
      <c r="B1552">
        <f>Skills!B10</f>
        <v/>
      </c>
      <c r="C1552">
        <f>Inputs!$B$3&gt;=117</f>
        <v/>
      </c>
      <c r="D1552">
        <f>IF(Skills!C10=1,60+Inputs!$B$25+Inputs!$B$29,IF(Skills!C10=2,90+Inputs!$B$26+Inputs!$B$29,IF(Skills!C10=3,120+Inputs!$B$27+Inputs!$B$29,MAX(0,(Inputs!$B$3-100)*3)+Inputs!$B$28+Inputs!$B$29)))</f>
        <v/>
      </c>
      <c r="E1552">
        <f>INDEX(FactorTable!$B$2:$Y$301, MATCH(ROUND(MIN(300,MAX(1,D1552)),0), FactorTable!$A$2:$A$301,0), Skills!M10+1)</f>
        <v/>
      </c>
      <c r="F1552">
        <f>IF(Skills!N10=TRUE,(Skills!L10/10)*(E1552/1000),Skills!L10/10)+Skills!O10</f>
        <v/>
      </c>
      <c r="G1552">
        <f>Calc!G10</f>
        <v/>
      </c>
      <c r="H1552">
        <f>Calc!H10</f>
        <v/>
      </c>
      <c r="I1552">
        <f>IF(Skills!AA10&lt;&gt;"",1+(Skills!AA10/10)*(U1545/1000)/100,1)</f>
        <v/>
      </c>
      <c r="J1552">
        <f>((Inputs!$B$6*(1+Inputs!$B$7/100))+(((Inputs!$B$12*(1+Inputs!$B$13/100))-(Inputs!$B$12*(1+Inputs!$B$13/100)))+0.25*(Inputs!$B$14-Inputs!$B$14))*(1+Inputs!$B$7/100))*(F1552/100)</f>
        <v/>
      </c>
      <c r="K1552">
        <f>J1552*(1+((Inputs!$B$12*(1+Inputs!$B$13/100))*0.01+Inputs!$B$14*0.0025)/100)*(1+Inputs!$B$15/100)*(1+Inputs!$B$16/100)*(5000/(6000+Inputs!$B$43*(1-(100*(1-(1-(Inputs!$B$19+0)/100)*(1-CHOOSE(ArtifactsInput!$N$40+1,5,6,7,8,9,10)/100)^(ArtifactsInput!$M$40-ArtifactsInput!$M$40)))/100)))*(1+(Inputs!$B$24+((C1572=TRUE)*(F1572-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1565=TRUE)*(F1565-Calc!F23))+(((IF(AND(ArtifactsInput!$M$42,((Inputs!$B$9+((C1567=TRUE)*(F1567-Calc!F25))+B1582+(ArtifactsInput!$M$24-ArtifactsInput!$M$24)*CHOOSE(ArtifactsInput!$N$24+1,10,12,14,16,18,20)+IF(ArtifactsInput!$M$10,CHOOSE(ArtifactsInput!$N$10+1,15,18,21,24,27,30)*(IF(Inputs!$B$39="pvp",MIN(15,15)/15,IF(AND(Inputs!$B$39&lt;&gt;"pvp",Inputs!$B$44&gt;0),MIN(15,Inputs!$B$44)/(Inputs!$B$44),0))),0)))&gt;=100),MIN(100,((Inputs!$B$9+((C1567=TRUE)*(F1567-Calc!F25))+B1582+(ArtifactsInput!$M$24-ArtifactsInput!$M$24)*CHOOSE(ArtifactsInput!$N$24+1,10,12,14,16,18,20)+IF(ArtifactsInput!$M$10,CHOOSE(ArtifactsInput!$N$10+1,15,18,21,24,27,30)*(IF(Inputs!$B$39="pvp",MIN(15,15)/15,IF(AND(Inputs!$B$39&lt;&gt;"pvp",Inputs!$B$44&gt;0),MIN(15,Inputs!$B$44)/(Inputs!$B$44),0))),0)))-100),0))*CHOOSE(ArtifactsInput!$N$42+1,0.6,0.72,0.84,0.96,1.08,1.2))),Inputs!$B$18+((C1571=TRUE)*(F1571-Calc!F29))+(IF(AND(ArtifactsInput!$M$42,((Inputs!$B$9+((C1567=TRUE)*(F1567-Calc!F25))+B1582+(ArtifactsInput!$M$24-ArtifactsInput!$M$24)*CHOOSE(ArtifactsInput!$N$24+1,10,12,14,16,18,20)+IF(ArtifactsInput!$M$10,CHOOSE(ArtifactsInput!$N$10+1,15,18,21,24,27,30)*(IF(Inputs!$B$39="pvp",MIN(15,15)/15,IF(AND(Inputs!$B$39&lt;&gt;"pvp",Inputs!$B$44&gt;0),MIN(15,Inputs!$B$44)/(Inputs!$B$44),0))),0)))&gt;=100),CHOOSE(ArtifactsInput!$N$42+1,40,48,56,64,72,80),0))))/100)*(((1+(((C1563=TRUE)*F1563*IF(AND(Inputs!$B$39&lt;&gt;"pvp",Inputs!$B$44&gt;0),(((R1563-1)*(Skills!Y21*(1+Inputs!$B$34/100))+MIN((Skills!Y21*(1+Inputs!$B$34/100)),MAX(0,Inputs!$B$44-((R1563-1)*Skills!D21))))/Inputs!$B$44),IF(Inputs!$B$39="pvp",MIN((Skills!Y21*(1+Inputs!$B$34/100)),15)/15,(Skills!Y21*(1+Inputs!$B$34/100))/Skills!D21)))+((C1570=TRUE)*(F1570-Calc!F28))+((C1560=TRUE)*(F1560-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1557=TRUE)*F1557*IF(AND(Inputs!$B$39&lt;&gt;"pvp",Inputs!$B$44&gt;0),(((R1557-1)*(Skills!Y15*(1+Inputs!$B$34/100))+MIN((Skills!Y15*(1+Inputs!$B$34/100)),MAX(0,Inputs!$B$44-((R1557-1)*Skills!D15))))/Inputs!$B$44),IF(Inputs!$B$39="pvp",MIN((Skills!Y15*(1+Inputs!$B$34/100)),15)/15,(Skills!Y15*(1+Inputs!$B$34/100))/Skills!D15)))/100)*(1+((C1548=TRUE)*F1548*B1576)/100))*B1584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1552)</f>
        <v/>
      </c>
      <c r="L1552">
        <f>K1552*(MIN(Inputs!$B$22+((C1566=TRUE)*(F1566-Calc!F24)),(Inputs!$B$23+0+(IF(ArtifactsInput!$M$15,CHOOSE(ArtifactsInput!$N$15+1,25,30,35,40,45,50)/100*(Inputs!$B$11-Inputs!$B$11),0))))/100+(Inputs!$B$23+0+(IF(ArtifactsInput!$M$15,CHOOSE(ArtifactsInput!$N$15+1,25,30,35,40,45,50)/100*(Inputs!$B$11-Inputs!$B$11),0)))/100)/2</f>
        <v/>
      </c>
      <c r="M1552">
        <f>L1552*(1+(Inputs!$B$10+((C1568=TRUE)*(F1568-Calc!F26))+B1585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52">
        <f>L1552*(1-MIN((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1552*(MIN((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52">
        <f>(1-Summary!$B$11)*T1552+Summary!$B$11*V1552</f>
        <v/>
      </c>
      <c r="P1552">
        <f>IF(B1586=0,0,O1552/B1586)</f>
        <v/>
      </c>
      <c r="Q1552" t="n">
        <v>0</v>
      </c>
      <c r="R1552" t="n">
        <v>0</v>
      </c>
      <c r="S1552" t="n">
        <v>0</v>
      </c>
      <c r="T1552">
        <f>IF(C1552,(0.2*SUMPRODUCT((Skills!Z2:Z31=TRUE)*(C1544:C1573=TRUE)*S1544:S1573)*N1552)*IF(Inputs!$B$39="pvp",1,1+(Inputs!$B$20+((C1569=TRUE)*(F1569-Calc!F27))+Skills!P10+B1583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Hunt"),CHOOSE(ArtifactsInput!$N$35+1,15,18,21,24,27,30)*(1-EXP(-(0.2*B1578)*5)),0)+IF(AND(ArtifactsInput!$M$22,Inputs!$B$4&lt;&gt;"Chapter Hunt"),CHOOSE(ArtifactsInput!$N$22+1,10,12,14,16,18,20)*((0*(((0.15*B1578*5))^0/1)+1*(((0.15*B1578*5))^1/1)+2*(((0.15*B1578*5))^2/2)+3*(((0.15*B1578*5))^3/6)+4*(((0.15*B1578*5))^4/24)+5*(((0.15*B1578*5))^5/120))/((((0.15*B1578*5))^0/1)+(((0.15*B1578*5))^1/1)+(((0.15*B1578*5))^2/2)+(((0.15*B1578*5))^3/6)+(((0.15*B1578*5))^4/24)+(((0.15*B1578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1552*(1-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1552*(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1552*(1-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1552*(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52">
        <f>IF(C1552,(0.2*SUMPRODUCT((Skills!Z2:Z31=TRUE)*(C1544:C1573=TRUE)*S1544:S1573)*N1552)*IF(Inputs!$B$39="pvp",1,(1+(Inputs!$B$21+Skills!Q10+B1583+(IF(ArtifactsInput!$M$33,CHOOSE(ArtifactsInput!$N$33+1,30,36,42,48,54,60),0))+(IF(AND(ArtifactsInput!$M$35,Inputs!$B$4&lt;&gt;"Chapter Hunt"),CHOOSE(ArtifactsInput!$N$35+1,15,18,21,24,27,30)*(1-EXP(-(0.2*B1578)*5)),0)+IF(AND(ArtifactsInput!$M$22,Inputs!$B$4&lt;&gt;"Chapter Hunt"),CHOOSE(ArtifactsInput!$N$22+1,10,12,14,16,18,20)*((0*(((0.15*B1578*5))^0/1)+1*(((0.15*B1578*5))^1/1)+2*(((0.15*B1578*5))^2/2)+3*(((0.15*B1578*5))^3/6)+4*(((0.15*B1578*5))^4/24)+5*(((0.15*B1578*5))^5/120))/((((0.15*B1578*5))^0/1)+(((0.15*B1578*5))^1/1)+(((0.15*B1578*5))^2/2)+(((0.15*B1578*5))^3/6)+(((0.15*B1578*5))^4/24)+(((0.15*B1578*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53">
      <c r="A1553">
        <f>Skills!A11</f>
        <v/>
      </c>
      <c r="B1553">
        <f>Skills!B11</f>
        <v/>
      </c>
      <c r="C1553">
        <f>Inputs!$B$3&gt;=60</f>
        <v/>
      </c>
      <c r="D1553">
        <f>IF(Skills!C11=1,60+Inputs!$B$25+Inputs!$B$29,IF(Skills!C11=2,90+Inputs!$B$26+Inputs!$B$29,IF(Skills!C11=3,120+Inputs!$B$27+Inputs!$B$29,MAX(0,(Inputs!$B$3-100)*3)+Inputs!$B$28+Inputs!$B$29)))</f>
        <v/>
      </c>
      <c r="E1553">
        <f>INDEX(FactorTable!$B$2:$Y$301, MATCH(ROUND(MIN(300,MAX(1,D1553)),0), FactorTable!$A$2:$A$301,0), Skills!M11+1)</f>
        <v/>
      </c>
      <c r="F1553">
        <f>IF(Skills!N11=TRUE,(Skills!L11/10)*(E1553/1000),Skills!L11/10)+Skills!O11</f>
        <v/>
      </c>
      <c r="G1553">
        <f>Calc!G11</f>
        <v/>
      </c>
      <c r="H1553">
        <f>Calc!H11</f>
        <v/>
      </c>
      <c r="I1553">
        <f>IF(Skills!AA11&lt;&gt;"",1+(Skills!AA11/10)*(U1545/1000)/100,1)</f>
        <v/>
      </c>
      <c r="J1553" t="inlineStr"/>
      <c r="K1553" t="inlineStr"/>
      <c r="L1553" t="inlineStr"/>
      <c r="M1553" t="inlineStr"/>
      <c r="N1553" t="inlineStr"/>
      <c r="O1553">
        <f>(1-Summary!$B$11)*T1553+Summary!$B$11*V1553</f>
        <v/>
      </c>
      <c r="P1553">
        <f>IF(B1586=0,0,O1553/B1586)</f>
        <v/>
      </c>
      <c r="Q1553" t="n">
        <v>0</v>
      </c>
      <c r="R1553" t="n">
        <v>0</v>
      </c>
      <c r="S1553">
        <f>IFERROR(O1553/N1553,0)</f>
        <v/>
      </c>
      <c r="T1553" t="n">
        <v>0</v>
      </c>
      <c r="V1553" t="n">
        <v>0</v>
      </c>
    </row>
    <row r="1554">
      <c r="A1554">
        <f>Skills!A12</f>
        <v/>
      </c>
      <c r="B1554">
        <f>Skills!B12</f>
        <v/>
      </c>
      <c r="C1554">
        <f>Inputs!$B$3&gt;=103</f>
        <v/>
      </c>
      <c r="D1554">
        <f>IF(Skills!C12=1,60+Inputs!$B$25+Inputs!$B$29,IF(Skills!C12=2,90+Inputs!$B$26+Inputs!$B$29,IF(Skills!C12=3,120+Inputs!$B$27+Inputs!$B$29,MAX(0,(Inputs!$B$3-100)*3)+Inputs!$B$28+Inputs!$B$29)))</f>
        <v/>
      </c>
      <c r="E1554">
        <f>INDEX(FactorTable!$B$2:$Y$301, MATCH(ROUND(MIN(300,MAX(1,D1554)),0), FactorTable!$A$2:$A$301,0), Skills!M12+1)</f>
        <v/>
      </c>
      <c r="F1554">
        <f>IF(Skills!N12=TRUE,(Skills!L12/10)*(E1554/1000),Skills!L12/10)+Skills!O12</f>
        <v/>
      </c>
      <c r="G1554">
        <f>Calc!G12</f>
        <v/>
      </c>
      <c r="H1554">
        <f>Calc!H12</f>
        <v/>
      </c>
      <c r="I1554">
        <f>IF(Skills!AA12&lt;&gt;"",1+(Skills!AA12/10)*(U1545/1000)/100,1)</f>
        <v/>
      </c>
      <c r="J1554">
        <f>((Inputs!$B$6*(1+Inputs!$B$7/100))+(((Inputs!$B$12*(1+Inputs!$B$13/100))-(Inputs!$B$12*(1+Inputs!$B$13/100)))+0.25*(Inputs!$B$14-Inputs!$B$14))*(1+Inputs!$B$7/100))*(F1554/100)</f>
        <v/>
      </c>
      <c r="K1554">
        <f>J1554*(1+((Inputs!$B$12*(1+Inputs!$B$13/100))*0.01+Inputs!$B$14*0.0025)/100)*(1+Inputs!$B$15/100)*(1+Inputs!$B$16/100)*(5000/(6000+Inputs!$B$43*(1-(100*(1-(1-(Inputs!$B$19+0)/100)*(1-CHOOSE(ArtifactsInput!$N$40+1,5,6,7,8,9,10)/100)^(ArtifactsInput!$M$40-ArtifactsInput!$M$40)))/100)))*(1+(Inputs!$B$24+((C1572=TRUE)*(F1572-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1565=TRUE)*(F1565-Calc!F23))+(((IF(AND(ArtifactsInput!$M$42,((Inputs!$B$9+((C1567=TRUE)*(F1567-Calc!F25))+B1582+(ArtifactsInput!$M$24-ArtifactsInput!$M$24)*CHOOSE(ArtifactsInput!$N$24+1,10,12,14,16,18,20)+IF(ArtifactsInput!$M$10,CHOOSE(ArtifactsInput!$N$10+1,15,18,21,24,27,30)*(IF(Inputs!$B$39="pvp",MIN(15,15)/15,IF(AND(Inputs!$B$39&lt;&gt;"pvp",Inputs!$B$44&gt;0),MIN(15,Inputs!$B$44)/(Inputs!$B$44),0))),0)))&gt;=100),MIN(100,((Inputs!$B$9+((C1567=TRUE)*(F1567-Calc!F25))+B1582+(ArtifactsInput!$M$24-ArtifactsInput!$M$24)*CHOOSE(ArtifactsInput!$N$24+1,10,12,14,16,18,20)+IF(ArtifactsInput!$M$10,CHOOSE(ArtifactsInput!$N$10+1,15,18,21,24,27,30)*(IF(Inputs!$B$39="pvp",MIN(15,15)/15,IF(AND(Inputs!$B$39&lt;&gt;"pvp",Inputs!$B$44&gt;0),MIN(15,Inputs!$B$44)/(Inputs!$B$44),0))),0)))-100),0))*CHOOSE(ArtifactsInput!$N$42+1,0.6,0.72,0.84,0.96,1.08,1.2))),Inputs!$B$18+((C1571=TRUE)*(F1571-Calc!F29))+(IF(AND(ArtifactsInput!$M$42,((Inputs!$B$9+((C1567=TRUE)*(F1567-Calc!F25))+B1582+(ArtifactsInput!$M$24-ArtifactsInput!$M$24)*CHOOSE(ArtifactsInput!$N$24+1,10,12,14,16,18,20)+IF(ArtifactsInput!$M$10,CHOOSE(ArtifactsInput!$N$10+1,15,18,21,24,27,30)*(IF(Inputs!$B$39="pvp",MIN(15,15)/15,IF(AND(Inputs!$B$39&lt;&gt;"pvp",Inputs!$B$44&gt;0),MIN(15,Inputs!$B$44)/(Inputs!$B$44),0))),0)))&gt;=100),CHOOSE(ArtifactsInput!$N$42+1,40,48,56,64,72,80),0))))/100)*(((1+(((C1563=TRUE)*F1563*IF(AND(Inputs!$B$39&lt;&gt;"pvp",Inputs!$B$44&gt;0),(((R1563-1)*(Skills!Y21*(1+Inputs!$B$34/100))+MIN((Skills!Y21*(1+Inputs!$B$34/100)),MAX(0,Inputs!$B$44-((R1563-1)*Skills!D21))))/Inputs!$B$44),IF(Inputs!$B$39="pvp",MIN((Skills!Y21*(1+Inputs!$B$34/100)),15)/15,(Skills!Y21*(1+Inputs!$B$34/100))/Skills!D21)))+((C1570=TRUE)*(F1570-Calc!F28))+((C1560=TRUE)*(F1560-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1557=TRUE)*F1557*IF(AND(Inputs!$B$39&lt;&gt;"pvp",Inputs!$B$44&gt;0),(((R1557-1)*(Skills!Y15*(1+Inputs!$B$34/100))+MIN((Skills!Y15*(1+Inputs!$B$34/100)),MAX(0,Inputs!$B$44-((R1557-1)*Skills!D15))))/Inputs!$B$44),IF(Inputs!$B$39="pvp",MIN((Skills!Y15*(1+Inputs!$B$34/100)),15)/15,(Skills!Y15*(1+Inputs!$B$34/100))/Skills!D15)))/100)*(1+((C1548=TRUE)*F1548*B1576)/100))*B1584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1554)</f>
        <v/>
      </c>
      <c r="L1554">
        <f>K1554*(MIN(Inputs!$B$22+((C1566=TRUE)*(F1566-Calc!F24)),(Inputs!$B$23+0+(IF(ArtifactsInput!$M$15,CHOOSE(ArtifactsInput!$N$15+1,25,30,35,40,45,50)/100*(Inputs!$B$11-Inputs!$B$11),0))))/100+(Inputs!$B$23+0+(IF(ArtifactsInput!$M$15,CHOOSE(ArtifactsInput!$N$15+1,25,30,35,40,45,50)/100*(Inputs!$B$11-Inputs!$B$11),0)))/100)/2</f>
        <v/>
      </c>
      <c r="M1554">
        <f>L1554*(1+(Inputs!$B$10+((C1568=TRUE)*(F1568-Calc!F26))+B1585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54">
        <f>L1554*(1-MIN((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1554*(MIN((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54">
        <f>(1-Summary!$B$11)*T1554+Summary!$B$11*V1554</f>
        <v/>
      </c>
      <c r="P1554">
        <f>IF(B1586=0,0,O1554/B1586)</f>
        <v/>
      </c>
      <c r="Q1554">
        <f>IFERROR(1/IF(Inputs!$B$39="pvp",15,MAX(0.1,Skills!D12-IF(Skills!E12=TRUE,Inputs!$B$32,0))),0)</f>
        <v/>
      </c>
      <c r="R1554">
        <f>IF(AND(Inputs!$B$39&lt;&gt;"pvp",Inputs!$B$44&gt;0),IF(MAX(0,Inputs!$B$44-B1587)&lt;=0,0,(INT(MAX(0,Inputs!$B$44-B1587)/IF(Inputs!$B$39="pvp",15,MAX(0.1,Skills!D12-IF(Skills!E12=TRUE,Inputs!$B$32,0))))+1)),0)</f>
        <v/>
      </c>
      <c r="S1554">
        <f>IFERROR(O1554/N1554,0)</f>
        <v/>
      </c>
      <c r="T1554">
        <f>IF(C1554,(H1554*N1554*IF(AND(Inputs!$B$39&lt;&gt;"pvp",Inputs!$B$44&gt;0),((Skills!G12*((R1554-1)*IF(Skills!H12&gt;0,Skills!I12/Skills!H12,1)+IF(Skills!H12&gt;0,MIN(Skills!I12,MAX(0,MAX(0,Inputs!$B$44-B1587)-((R1554-1)*IF(Inputs!$B$39="pvp",15,MAX(0.1,Skills!D12-IF(Skills!E12=TRUE,Inputs!$B$32,0))))))/Skills!H12,1)))/Inputs!$B$44),G1554*Q1554))*IF(Inputs!$B$39="pvp",1,1+(Inputs!$B$20+((C1569=TRUE)*(F1569-Calc!F27))+Skills!P12+B1583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Hunt"),CHOOSE(ArtifactsInput!$N$35+1,15,18,21,24,27,30)*(1-EXP(-(0.2*B1578)*5)),0)+IF(AND(ArtifactsInput!$M$22,Inputs!$B$4&lt;&gt;"Chapter Hunt"),CHOOSE(ArtifactsInput!$N$22+1,10,12,14,16,18,20)*((0*(((0.15*B1578*5))^0/1)+1*(((0.15*B1578*5))^1/1)+2*(((0.15*B1578*5))^2/2)+3*(((0.15*B1578*5))^3/6)+4*(((0.15*B1578*5))^4/24)+5*(((0.15*B1578*5))^5/120))/((((0.15*B1578*5))^0/1)+(((0.15*B1578*5))^1/1)+(((0.15*B1578*5))^2/2)+(((0.15*B1578*5))^3/6)+(((0.15*B1578*5))^4/24)+(((0.15*B1578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1554*(1-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1554*(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1554*(1-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1554*(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54">
        <f>IF(C1554,(H1554*N1554*IF(AND(Inputs!$B$39&lt;&gt;"pvp",Inputs!$B$44&gt;0),((Skills!G12*((R1554-1)*IF(Skills!H12&gt;0,Skills!I12/Skills!H12,1)+IF(Skills!H12&gt;0,MIN(Skills!I12,MAX(0,MAX(0,Inputs!$B$44-B1587)-((R1554-1)*IF(Inputs!$B$39="pvp",15,MAX(0.1,Skills!D12-IF(Skills!E12=TRUE,Inputs!$B$32,0))))))/Skills!H12,1)))/Inputs!$B$44),G1554*Q1554))*IF(Inputs!$B$39="pvp",1,(1+(Inputs!$B$21+Skills!Q12+B1583+(IF(ArtifactsInput!$M$33,CHOOSE(ArtifactsInput!$N$33+1,30,36,42,48,54,60),0))+(IF(AND(ArtifactsInput!$M$35,Inputs!$B$4&lt;&gt;"Chapter Hunt"),CHOOSE(ArtifactsInput!$N$35+1,15,18,21,24,27,30)*(1-EXP(-(0.2*B1578)*5)),0)+IF(AND(ArtifactsInput!$M$22,Inputs!$B$4&lt;&gt;"Chapter Hunt"),CHOOSE(ArtifactsInput!$N$22+1,10,12,14,16,18,20)*((0*(((0.15*B1578*5))^0/1)+1*(((0.15*B1578*5))^1/1)+2*(((0.15*B1578*5))^2/2)+3*(((0.15*B1578*5))^3/6)+4*(((0.15*B1578*5))^4/24)+5*(((0.15*B1578*5))^5/120))/((((0.15*B1578*5))^0/1)+(((0.15*B1578*5))^1/1)+(((0.15*B1578*5))^2/2)+(((0.15*B1578*5))^3/6)+(((0.15*B1578*5))^4/24)+(((0.15*B1578*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55">
      <c r="A1555">
        <f>Skills!A13</f>
        <v/>
      </c>
      <c r="B1555">
        <f>Skills!B13</f>
        <v/>
      </c>
      <c r="C1555">
        <f>Inputs!$B$3&gt;=105</f>
        <v/>
      </c>
      <c r="D1555">
        <f>IF(Skills!C13=1,60+Inputs!$B$25+Inputs!$B$29,IF(Skills!C13=2,90+Inputs!$B$26+Inputs!$B$29,IF(Skills!C13=3,120+Inputs!$B$27+Inputs!$B$29,MAX(0,(Inputs!$B$3-100)*3)+Inputs!$B$28+Inputs!$B$29)))</f>
        <v/>
      </c>
      <c r="E1555">
        <f>INDEX(FactorTable!$B$2:$Y$301, MATCH(ROUND(MIN(300,MAX(1,D1555)),0), FactorTable!$A$2:$A$301,0), Skills!M13+1)</f>
        <v/>
      </c>
      <c r="F1555">
        <f>IF(Skills!N13=TRUE,(Skills!L13/10)*(E1555/1000),Skills!L13/10)+Skills!O13</f>
        <v/>
      </c>
      <c r="G1555">
        <f>Calc!G13</f>
        <v/>
      </c>
      <c r="H1555">
        <f>Calc!H13</f>
        <v/>
      </c>
      <c r="I1555">
        <f>IF(Skills!AA13&lt;&gt;"",1+(Skills!AA13/10)*(U1545/1000)/100,1)</f>
        <v/>
      </c>
      <c r="J1555">
        <f>((Inputs!$B$6*(1+Inputs!$B$7/100))+(((Inputs!$B$12*(1+Inputs!$B$13/100))-(Inputs!$B$12*(1+Inputs!$B$13/100)))+0.25*(Inputs!$B$14-Inputs!$B$14))*(1+Inputs!$B$7/100))*(F1555/100)</f>
        <v/>
      </c>
      <c r="K1555">
        <f>J1555*(1+((Inputs!$B$12*(1+Inputs!$B$13/100))*0.01+Inputs!$B$14*0.0025)/100)*(1+Inputs!$B$15/100)*(1+Inputs!$B$16/100)*(5000/(6000+Inputs!$B$43*(1-(100*(1-(1-(Inputs!$B$19+0)/100)*(1-CHOOSE(ArtifactsInput!$N$40+1,5,6,7,8,9,10)/100)^(ArtifactsInput!$M$40-ArtifactsInput!$M$40)))/100)))*(1+(Inputs!$B$24+((C1572=TRUE)*(F1572-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1565=TRUE)*(F1565-Calc!F23))+(((IF(AND(ArtifactsInput!$M$42,((Inputs!$B$9+((C1567=TRUE)*(F1567-Calc!F25))+B1582+(ArtifactsInput!$M$24-ArtifactsInput!$M$24)*CHOOSE(ArtifactsInput!$N$24+1,10,12,14,16,18,20)+IF(ArtifactsInput!$M$10,CHOOSE(ArtifactsInput!$N$10+1,15,18,21,24,27,30)*(IF(Inputs!$B$39="pvp",MIN(15,15)/15,IF(AND(Inputs!$B$39&lt;&gt;"pvp",Inputs!$B$44&gt;0),MIN(15,Inputs!$B$44)/(Inputs!$B$44),0))),0)))&gt;=100),MIN(100,((Inputs!$B$9+((C1567=TRUE)*(F1567-Calc!F25))+B1582+(ArtifactsInput!$M$24-ArtifactsInput!$M$24)*CHOOSE(ArtifactsInput!$N$24+1,10,12,14,16,18,20)+IF(ArtifactsInput!$M$10,CHOOSE(ArtifactsInput!$N$10+1,15,18,21,24,27,30)*(IF(Inputs!$B$39="pvp",MIN(15,15)/15,IF(AND(Inputs!$B$39&lt;&gt;"pvp",Inputs!$B$44&gt;0),MIN(15,Inputs!$B$44)/(Inputs!$B$44),0))),0)))-100),0))*CHOOSE(ArtifactsInput!$N$42+1,0.6,0.72,0.84,0.96,1.08,1.2))),Inputs!$B$18+((C1571=TRUE)*(F1571-Calc!F29))+(IF(AND(ArtifactsInput!$M$42,((Inputs!$B$9+((C1567=TRUE)*(F1567-Calc!F25))+B1582+(ArtifactsInput!$M$24-ArtifactsInput!$M$24)*CHOOSE(ArtifactsInput!$N$24+1,10,12,14,16,18,20)+IF(ArtifactsInput!$M$10,CHOOSE(ArtifactsInput!$N$10+1,15,18,21,24,27,30)*(IF(Inputs!$B$39="pvp",MIN(15,15)/15,IF(AND(Inputs!$B$39&lt;&gt;"pvp",Inputs!$B$44&gt;0),MIN(15,Inputs!$B$44)/(Inputs!$B$44),0))),0)))&gt;=100),CHOOSE(ArtifactsInput!$N$42+1,40,48,56,64,72,80),0))))/100)*(((1+(((C1563=TRUE)*F1563*IF(AND(Inputs!$B$39&lt;&gt;"pvp",Inputs!$B$44&gt;0),(((R1563-1)*(Skills!Y21*(1+Inputs!$B$34/100))+MIN((Skills!Y21*(1+Inputs!$B$34/100)),MAX(0,Inputs!$B$44-((R1563-1)*Skills!D21))))/Inputs!$B$44),IF(Inputs!$B$39="pvp",MIN((Skills!Y21*(1+Inputs!$B$34/100)),15)/15,(Skills!Y21*(1+Inputs!$B$34/100))/Skills!D21)))+((C1570=TRUE)*(F1570-Calc!F28))+((C1560=TRUE)*(F1560-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1557=TRUE)*F1557*IF(AND(Inputs!$B$39&lt;&gt;"pvp",Inputs!$B$44&gt;0),(((R1557-1)*(Skills!Y15*(1+Inputs!$B$34/100))+MIN((Skills!Y15*(1+Inputs!$B$34/100)),MAX(0,Inputs!$B$44-((R1557-1)*Skills!D15))))/Inputs!$B$44),IF(Inputs!$B$39="pvp",MIN((Skills!Y15*(1+Inputs!$B$34/100)),15)/15,(Skills!Y15*(1+Inputs!$B$34/100))/Skills!D15)))/100)*(1+((C1548=TRUE)*F1548*B1576)/100))*B1584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1555)</f>
        <v/>
      </c>
      <c r="L1555">
        <f>K1555*(MIN(Inputs!$B$22+((C1566=TRUE)*(F1566-Calc!F24)),(Inputs!$B$23+0+(IF(ArtifactsInput!$M$15,CHOOSE(ArtifactsInput!$N$15+1,25,30,35,40,45,50)/100*(Inputs!$B$11-Inputs!$B$11),0))))/100+(Inputs!$B$23+0+(IF(ArtifactsInput!$M$15,CHOOSE(ArtifactsInput!$N$15+1,25,30,35,40,45,50)/100*(Inputs!$B$11-Inputs!$B$11),0)))/100)/2</f>
        <v/>
      </c>
      <c r="M1555">
        <f>L1555*(1+(Inputs!$B$10+((C1568=TRUE)*(F1568-Calc!F26))+B1585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55">
        <f>L1555*(1-MIN((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1555*(MIN((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55">
        <f>(1-Summary!$B$11)*T1555+Summary!$B$11*V1555</f>
        <v/>
      </c>
      <c r="P1555">
        <f>IF(B1586=0,0,O1555/B1586)</f>
        <v/>
      </c>
      <c r="Q1555">
        <f>IFERROR(1/IF(Inputs!$B$39="pvp",15,MAX(0.1,Skills!D13-IF(Skills!E13=TRUE,Inputs!$B$32,0))),0)</f>
        <v/>
      </c>
      <c r="R1555">
        <f>IF(AND(Inputs!$B$39&lt;&gt;"pvp",Inputs!$B$44&gt;0),IF(MAX(0,Inputs!$B$44-B1587)&lt;=0,0,(INT(MAX(0,Inputs!$B$44-B1587)/IF(Inputs!$B$39="pvp",15,MAX(0.1,Skills!D13-IF(Skills!E13=TRUE,Inputs!$B$32,0))))+1)),0)</f>
        <v/>
      </c>
      <c r="S1555">
        <f>IFERROR(O1555/N1555,0)</f>
        <v/>
      </c>
      <c r="T1555">
        <f>IF(C1555,(H1555*N1555*IF(AND(Inputs!$B$39&lt;&gt;"pvp",Inputs!$B$44&gt;0),((Skills!G13*((R1555-1)*IF(Skills!H13&gt;0,Skills!I13/Skills!H13,1)+IF(Skills!H13&gt;0,MIN(Skills!I13,MAX(0,MAX(0,Inputs!$B$44-B1587)-((R1555-1)*IF(Inputs!$B$39="pvp",15,MAX(0.1,Skills!D13-IF(Skills!E13=TRUE,Inputs!$B$32,0))))))/Skills!H13,1)))/Inputs!$B$44),G1555*Q1555))*IF(Inputs!$B$39="pvp",1,1+(Inputs!$B$20+((C1569=TRUE)*(F1569-Calc!F27))+Skills!P13+B1583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Hunt"),CHOOSE(ArtifactsInput!$N$35+1,15,18,21,24,27,30)*(1-EXP(-(0.2*B1578)*5)),0)+IF(AND(ArtifactsInput!$M$22,Inputs!$B$4&lt;&gt;"Chapter Hunt"),CHOOSE(ArtifactsInput!$N$22+1,10,12,14,16,18,20)*((0*(((0.15*B1578*5))^0/1)+1*(((0.15*B1578*5))^1/1)+2*(((0.15*B1578*5))^2/2)+3*(((0.15*B1578*5))^3/6)+4*(((0.15*B1578*5))^4/24)+5*(((0.15*B1578*5))^5/120))/((((0.15*B1578*5))^0/1)+(((0.15*B1578*5))^1/1)+(((0.15*B1578*5))^2/2)+(((0.15*B1578*5))^3/6)+(((0.15*B1578*5))^4/24)+(((0.15*B1578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1555*(1-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1555*(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1555*(1-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1555*(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55">
        <f>IF(C1555,(H1555*N1555*IF(AND(Inputs!$B$39&lt;&gt;"pvp",Inputs!$B$44&gt;0),((Skills!G13*((R1555-1)*IF(Skills!H13&gt;0,Skills!I13/Skills!H13,1)+IF(Skills!H13&gt;0,MIN(Skills!I13,MAX(0,MAX(0,Inputs!$B$44-B1587)-((R1555-1)*IF(Inputs!$B$39="pvp",15,MAX(0.1,Skills!D13-IF(Skills!E13=TRUE,Inputs!$B$32,0))))))/Skills!H13,1)))/Inputs!$B$44),G1555*Q1555))*IF(Inputs!$B$39="pvp",1,(1+(Inputs!$B$21+Skills!Q13+B1583+(IF(ArtifactsInput!$M$33,CHOOSE(ArtifactsInput!$N$33+1,30,36,42,48,54,60),0))+(IF(AND(ArtifactsInput!$M$35,Inputs!$B$4&lt;&gt;"Chapter Hunt"),CHOOSE(ArtifactsInput!$N$35+1,15,18,21,24,27,30)*(1-EXP(-(0.2*B1578)*5)),0)+IF(AND(ArtifactsInput!$M$22,Inputs!$B$4&lt;&gt;"Chapter Hunt"),CHOOSE(ArtifactsInput!$N$22+1,10,12,14,16,18,20)*((0*(((0.15*B1578*5))^0/1)+1*(((0.15*B1578*5))^1/1)+2*(((0.15*B1578*5))^2/2)+3*(((0.15*B1578*5))^3/6)+4*(((0.15*B1578*5))^4/24)+5*(((0.15*B1578*5))^5/120))/((((0.15*B1578*5))^0/1)+(((0.15*B1578*5))^1/1)+(((0.15*B1578*5))^2/2)+(((0.15*B1578*5))^3/6)+(((0.15*B1578*5))^4/24)+(((0.15*B1578*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56">
      <c r="A1556">
        <f>Skills!A14</f>
        <v/>
      </c>
      <c r="B1556">
        <f>Skills!B14</f>
        <v/>
      </c>
      <c r="C1556">
        <f>Inputs!$B$3&gt;=105</f>
        <v/>
      </c>
      <c r="D1556">
        <f>IF(Skills!C14=1,60+Inputs!$B$25+Inputs!$B$29,IF(Skills!C14=2,90+Inputs!$B$26+Inputs!$B$29,IF(Skills!C14=3,120+Inputs!$B$27+Inputs!$B$29,MAX(0,(Inputs!$B$3-100)*3)+Inputs!$B$28+Inputs!$B$29)))</f>
        <v/>
      </c>
      <c r="E1556">
        <f>INDEX(FactorTable!$B$2:$Y$301, MATCH(ROUND(MIN(300,MAX(1,D1556)),0), FactorTable!$A$2:$A$301,0), Skills!M14+1)</f>
        <v/>
      </c>
      <c r="F1556">
        <f>IF(Skills!N14=TRUE,(Skills!L14/10)*(E1556/1000),Skills!L14/10)+Skills!O14</f>
        <v/>
      </c>
      <c r="G1556">
        <f>Calc!G14</f>
        <v/>
      </c>
      <c r="H1556">
        <f>Calc!H14</f>
        <v/>
      </c>
      <c r="I1556">
        <f>IF(Skills!AA14&lt;&gt;"",1+(Skills!AA14/10)*(U1545/1000)/100,1)</f>
        <v/>
      </c>
      <c r="J1556">
        <f>((Inputs!$B$6*(1+Inputs!$B$7/100))+(((Inputs!$B$12*(1+Inputs!$B$13/100))-(Inputs!$B$12*(1+Inputs!$B$13/100)))+0.25*(Inputs!$B$14-Inputs!$B$14))*(1+Inputs!$B$7/100))*(F1556/100)</f>
        <v/>
      </c>
      <c r="K1556">
        <f>J1556*(1+((Inputs!$B$12*(1+Inputs!$B$13/100))*0.01+Inputs!$B$14*0.0025)/100)*(1+Inputs!$B$15/100)*(1+Inputs!$B$16/100)*(5000/(6000+Inputs!$B$43*(1-(100*(1-(1-(Inputs!$B$19+0)/100)*(1-CHOOSE(ArtifactsInput!$N$40+1,5,6,7,8,9,10)/100)^(ArtifactsInput!$M$40-ArtifactsInput!$M$40)))/100)))*(1+(Inputs!$B$24+((C1572=TRUE)*(F1572-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1565=TRUE)*(F1565-Calc!F23))+(((IF(AND(ArtifactsInput!$M$42,((Inputs!$B$9+((C1567=TRUE)*(F1567-Calc!F25))+B1582+(ArtifactsInput!$M$24-ArtifactsInput!$M$24)*CHOOSE(ArtifactsInput!$N$24+1,10,12,14,16,18,20)+IF(ArtifactsInput!$M$10,CHOOSE(ArtifactsInput!$N$10+1,15,18,21,24,27,30)*(IF(Inputs!$B$39="pvp",MIN(15,15)/15,IF(AND(Inputs!$B$39&lt;&gt;"pvp",Inputs!$B$44&gt;0),MIN(15,Inputs!$B$44)/(Inputs!$B$44),0))),0)))&gt;=100),MIN(100,((Inputs!$B$9+((C1567=TRUE)*(F1567-Calc!F25))+B1582+(ArtifactsInput!$M$24-ArtifactsInput!$M$24)*CHOOSE(ArtifactsInput!$N$24+1,10,12,14,16,18,20)+IF(ArtifactsInput!$M$10,CHOOSE(ArtifactsInput!$N$10+1,15,18,21,24,27,30)*(IF(Inputs!$B$39="pvp",MIN(15,15)/15,IF(AND(Inputs!$B$39&lt;&gt;"pvp",Inputs!$B$44&gt;0),MIN(15,Inputs!$B$44)/(Inputs!$B$44),0))),0)))-100),0))*CHOOSE(ArtifactsInput!$N$42+1,0.6,0.72,0.84,0.96,1.08,1.2))),Inputs!$B$18+((C1571=TRUE)*(F1571-Calc!F29))+(IF(AND(ArtifactsInput!$M$42,((Inputs!$B$9+((C1567=TRUE)*(F1567-Calc!F25))+B1582+(ArtifactsInput!$M$24-ArtifactsInput!$M$24)*CHOOSE(ArtifactsInput!$N$24+1,10,12,14,16,18,20)+IF(ArtifactsInput!$M$10,CHOOSE(ArtifactsInput!$N$10+1,15,18,21,24,27,30)*(IF(Inputs!$B$39="pvp",MIN(15,15)/15,IF(AND(Inputs!$B$39&lt;&gt;"pvp",Inputs!$B$44&gt;0),MIN(15,Inputs!$B$44)/(Inputs!$B$44),0))),0)))&gt;=100),CHOOSE(ArtifactsInput!$N$42+1,40,48,56,64,72,80),0))))/100)*(((1+(((C1563=TRUE)*F1563*IF(AND(Inputs!$B$39&lt;&gt;"pvp",Inputs!$B$44&gt;0),(((R1563-1)*(Skills!Y21*(1+Inputs!$B$34/100))+MIN((Skills!Y21*(1+Inputs!$B$34/100)),MAX(0,Inputs!$B$44-((R1563-1)*Skills!D21))))/Inputs!$B$44),IF(Inputs!$B$39="pvp",MIN((Skills!Y21*(1+Inputs!$B$34/100)),15)/15,(Skills!Y21*(1+Inputs!$B$34/100))/Skills!D21)))+((C1570=TRUE)*(F1570-Calc!F28))+((C1560=TRUE)*(F1560-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1557=TRUE)*F1557*IF(AND(Inputs!$B$39&lt;&gt;"pvp",Inputs!$B$44&gt;0),(((R1557-1)*(Skills!Y15*(1+Inputs!$B$34/100))+MIN((Skills!Y15*(1+Inputs!$B$34/100)),MAX(0,Inputs!$B$44-((R1557-1)*Skills!D15))))/Inputs!$B$44),IF(Inputs!$B$39="pvp",MIN((Skills!Y15*(1+Inputs!$B$34/100)),15)/15,(Skills!Y15*(1+Inputs!$B$34/100))/Skills!D15)))/100)*(1+((C1548=TRUE)*F1548*B1576)/100))*B1584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1556)</f>
        <v/>
      </c>
      <c r="L1556">
        <f>K1556*(MIN(Inputs!$B$22+((C1566=TRUE)*(F1566-Calc!F24)),(Inputs!$B$23+0+(IF(ArtifactsInput!$M$15,CHOOSE(ArtifactsInput!$N$15+1,25,30,35,40,45,50)/100*(Inputs!$B$11-Inputs!$B$11),0))))/100+(Inputs!$B$23+0+(IF(ArtifactsInput!$M$15,CHOOSE(ArtifactsInput!$N$15+1,25,30,35,40,45,50)/100*(Inputs!$B$11-Inputs!$B$11),0)))/100)/2</f>
        <v/>
      </c>
      <c r="M1556">
        <f>L1556*(1+(Inputs!$B$10+((C1568=TRUE)*(F1568-Calc!F26))+B1585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56">
        <f>L1556*(1-MIN((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1556*(MIN((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56">
        <f>(1-Summary!$B$11)*T1556+Summary!$B$11*V1556</f>
        <v/>
      </c>
      <c r="P1556">
        <f>IF(B1586=0,0,O1556/B1586)</f>
        <v/>
      </c>
      <c r="Q1556">
        <f>IFERROR(1/IF(Inputs!$B$39="pvp",15,MAX(0.1,Skills!D14-IF(Skills!E14=TRUE,Inputs!$B$32,0))),0)</f>
        <v/>
      </c>
      <c r="R1556">
        <f>IF(AND(Inputs!$B$39&lt;&gt;"pvp",Inputs!$B$44&gt;0),IF(MAX(0,Inputs!$B$44-B1587)&lt;=0,0,(INT(MAX(0,Inputs!$B$44-B1587)/IF(Inputs!$B$39="pvp",15,MAX(0.1,Skills!D14-IF(Skills!E14=TRUE,Inputs!$B$32,0))))+1)),0)</f>
        <v/>
      </c>
      <c r="S1556">
        <f>IFERROR(O1556/N1556,0)</f>
        <v/>
      </c>
      <c r="T1556">
        <f>IF(C1556,(H1556*N1556*IF(AND(Inputs!$B$39&lt;&gt;"pvp",Inputs!$B$44&gt;0),((Skills!G14*((R1556-1)*IF(Skills!H14&gt;0,Skills!I14/Skills!H14,1)+IF(Skills!H14&gt;0,MIN(Skills!I14,MAX(0,MAX(0,Inputs!$B$44-B1587)-((R1556-1)*IF(Inputs!$B$39="pvp",15,MAX(0.1,Skills!D14-IF(Skills!E14=TRUE,Inputs!$B$32,0))))))/Skills!H14,1)))/Inputs!$B$44),G1556*Q1556))*IF(Inputs!$B$39="pvp",1,1+(Inputs!$B$20+((C1569=TRUE)*(F1569-Calc!F27))+Skills!P14+B1583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Hunt"),CHOOSE(ArtifactsInput!$N$35+1,15,18,21,24,27,30)*(1-EXP(-(0.2*B1578)*5)),0)+IF(AND(ArtifactsInput!$M$22,Inputs!$B$4&lt;&gt;"Chapter Hunt"),CHOOSE(ArtifactsInput!$N$22+1,10,12,14,16,18,20)*((0*(((0.15*B1578*5))^0/1)+1*(((0.15*B1578*5))^1/1)+2*(((0.15*B1578*5))^2/2)+3*(((0.15*B1578*5))^3/6)+4*(((0.15*B1578*5))^4/24)+5*(((0.15*B1578*5))^5/120))/((((0.15*B1578*5))^0/1)+(((0.15*B1578*5))^1/1)+(((0.15*B1578*5))^2/2)+(((0.15*B1578*5))^3/6)+(((0.15*B1578*5))^4/24)+(((0.15*B1578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1556*(1-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1556*(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1556*(1-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1556*(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56">
        <f>IF(C1556,(H1556*N1556*IF(AND(Inputs!$B$39&lt;&gt;"pvp",Inputs!$B$44&gt;0),((Skills!G14*((R1556-1)*IF(Skills!H14&gt;0,Skills!I14/Skills!H14,1)+IF(Skills!H14&gt;0,MIN(Skills!I14,MAX(0,MAX(0,Inputs!$B$44-B1587)-((R1556-1)*IF(Inputs!$B$39="pvp",15,MAX(0.1,Skills!D14-IF(Skills!E14=TRUE,Inputs!$B$32,0))))))/Skills!H14,1)))/Inputs!$B$44),G1556*Q1556))*IF(Inputs!$B$39="pvp",1,(1+(Inputs!$B$21+Skills!Q14+B1583+(IF(ArtifactsInput!$M$33,CHOOSE(ArtifactsInput!$N$33+1,30,36,42,48,54,60),0))+(IF(AND(ArtifactsInput!$M$35,Inputs!$B$4&lt;&gt;"Chapter Hunt"),CHOOSE(ArtifactsInput!$N$35+1,15,18,21,24,27,30)*(1-EXP(-(0.2*B1578)*5)),0)+IF(AND(ArtifactsInput!$M$22,Inputs!$B$4&lt;&gt;"Chapter Hunt"),CHOOSE(ArtifactsInput!$N$22+1,10,12,14,16,18,20)*((0*(((0.15*B1578*5))^0/1)+1*(((0.15*B1578*5))^1/1)+2*(((0.15*B1578*5))^2/2)+3*(((0.15*B1578*5))^3/6)+4*(((0.15*B1578*5))^4/24)+5*(((0.15*B1578*5))^5/120))/((((0.15*B1578*5))^0/1)+(((0.15*B1578*5))^1/1)+(((0.15*B1578*5))^2/2)+(((0.15*B1578*5))^3/6)+(((0.15*B1578*5))^4/24)+(((0.15*B1578*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57">
      <c r="A1557">
        <f>Skills!A15</f>
        <v/>
      </c>
      <c r="B1557">
        <f>Skills!B15</f>
        <v/>
      </c>
      <c r="C1557">
        <f>Inputs!$B$3&gt;=110</f>
        <v/>
      </c>
      <c r="D1557">
        <f>IF(Skills!C15=1,60+Inputs!$B$25+Inputs!$B$29,IF(Skills!C15=2,90+Inputs!$B$26+Inputs!$B$29,IF(Skills!C15=3,120+Inputs!$B$27+Inputs!$B$29,MAX(0,(Inputs!$B$3-100)*3)+Inputs!$B$28+Inputs!$B$29)))</f>
        <v/>
      </c>
      <c r="E1557">
        <f>INDEX(FactorTable!$B$2:$Y$301, MATCH(ROUND(MIN(300,MAX(1,D1557)),0), FactorTable!$A$2:$A$301,0), Skills!M15+1)</f>
        <v/>
      </c>
      <c r="F1557">
        <f>IF(Skills!N15=TRUE,(Skills!L15/10)*(E1557/1000),Skills!L15/10)+Skills!O15</f>
        <v/>
      </c>
      <c r="G1557">
        <f>Calc!G15</f>
        <v/>
      </c>
      <c r="H1557">
        <f>Calc!H15</f>
        <v/>
      </c>
      <c r="I1557">
        <f>IF(Skills!AA15&lt;&gt;"",1+(Skills!AA15/10)*(U1545/1000)/100,1)</f>
        <v/>
      </c>
      <c r="J1557" t="inlineStr"/>
      <c r="K1557" t="inlineStr"/>
      <c r="L1557" t="inlineStr"/>
      <c r="M1557" t="inlineStr"/>
      <c r="N1557" t="inlineStr"/>
      <c r="O1557">
        <f>(1-Summary!$B$11)*T1557+Summary!$B$11*V1557</f>
        <v/>
      </c>
      <c r="P1557">
        <f>IF(B1586=0,0,O1557/B1586)</f>
        <v/>
      </c>
      <c r="Q1557">
        <f>IFERROR(1/IF(Inputs!$B$39="pvp",15,MAX(0.1,Skills!D15-IF(Skills!E15=TRUE,Inputs!$B$32,0))),0)</f>
        <v/>
      </c>
      <c r="R1557">
        <f>IF(AND(Inputs!$B$39&lt;&gt;"pvp",Inputs!$B$44&gt;0),IF(Inputs!$B$44&lt;=0,0,(INT(Inputs!$B$44/IF(Inputs!$B$39="pvp",15,MAX(0.1,Skills!D15-IF(Skills!E15=TRUE,Inputs!$B$32,0))))+1)),0)</f>
        <v/>
      </c>
      <c r="S1557">
        <f>IFERROR(O1557/N1557,0)</f>
        <v/>
      </c>
      <c r="T1557" t="n">
        <v>0</v>
      </c>
      <c r="V1557" t="n">
        <v>0</v>
      </c>
    </row>
    <row r="1558">
      <c r="A1558">
        <f>Skills!A16</f>
        <v/>
      </c>
      <c r="B1558">
        <f>Skills!B16</f>
        <v/>
      </c>
      <c r="C1558">
        <f>Inputs!$B$3&gt;=110</f>
        <v/>
      </c>
      <c r="D1558">
        <f>IF(Skills!C16=1,60+Inputs!$B$25+Inputs!$B$29,IF(Skills!C16=2,90+Inputs!$B$26+Inputs!$B$29,IF(Skills!C16=3,120+Inputs!$B$27+Inputs!$B$29,MAX(0,(Inputs!$B$3-100)*3)+Inputs!$B$28+Inputs!$B$29)))</f>
        <v/>
      </c>
      <c r="E1558">
        <f>INDEX(FactorTable!$B$2:$Y$301, MATCH(ROUND(MIN(300,MAX(1,D1558)),0), FactorTable!$A$2:$A$301,0), Skills!M16+1)</f>
        <v/>
      </c>
      <c r="F1558">
        <f>IF(Skills!N16=TRUE,(Skills!L16/10)*(E1558/1000),Skills!L16/10)+Skills!O16</f>
        <v/>
      </c>
      <c r="G1558">
        <f>Calc!G16</f>
        <v/>
      </c>
      <c r="H1558">
        <f>Calc!H16</f>
        <v/>
      </c>
      <c r="I1558">
        <f>IF(Skills!AA16&lt;&gt;"",1+(Skills!AA16/10)*(U1545/1000)/100,1)</f>
        <v/>
      </c>
      <c r="J1558" t="inlineStr"/>
      <c r="K1558" t="inlineStr"/>
      <c r="L1558" t="inlineStr"/>
      <c r="M1558" t="inlineStr"/>
      <c r="N1558" t="inlineStr"/>
      <c r="O1558">
        <f>(1-Summary!$B$11)*T1558+Summary!$B$11*V1558</f>
        <v/>
      </c>
      <c r="P1558">
        <f>IF(B1586=0,0,O1558/B1586)</f>
        <v/>
      </c>
      <c r="Q1558">
        <f>IFERROR(1/IF(Inputs!$B$39="pvp",15,MAX(0.1,Skills!D16-IF(Skills!E16=TRUE,Inputs!$B$32,0))),0)</f>
        <v/>
      </c>
      <c r="R1558">
        <f>IF(AND(Inputs!$B$39&lt;&gt;"pvp",Inputs!$B$44&gt;0),IF(Inputs!$B$44&lt;=0,0,(INT(Inputs!$B$44/IF(Inputs!$B$39="pvp",15,MAX(0.1,Skills!D16-IF(Skills!E16=TRUE,Inputs!$B$32,0))))+1)),0)</f>
        <v/>
      </c>
      <c r="S1558">
        <f>IFERROR(O1558/N1558,0)</f>
        <v/>
      </c>
      <c r="T1558" t="n">
        <v>0</v>
      </c>
      <c r="V1558" t="n">
        <v>0</v>
      </c>
    </row>
    <row r="1559">
      <c r="A1559">
        <f>Skills!A17</f>
        <v/>
      </c>
      <c r="B1559">
        <f>Skills!B17</f>
        <v/>
      </c>
      <c r="C1559">
        <f>Inputs!$B$3&gt;=115</f>
        <v/>
      </c>
      <c r="D1559">
        <f>IF(Skills!C17=1,60+Inputs!$B$25+Inputs!$B$29,IF(Skills!C17=2,90+Inputs!$B$26+Inputs!$B$29,IF(Skills!C17=3,120+Inputs!$B$27+Inputs!$B$29,MAX(0,(Inputs!$B$3-100)*3)+Inputs!$B$28+Inputs!$B$29)))</f>
        <v/>
      </c>
      <c r="E1559">
        <f>INDEX(FactorTable!$B$2:$Y$301, MATCH(ROUND(MIN(300,MAX(1,D1559)),0), FactorTable!$A$2:$A$301,0), Skills!M17+1)</f>
        <v/>
      </c>
      <c r="F1559">
        <f>IF(Skills!N17=TRUE,(Skills!L17/10)*(E1559/1000),Skills!L17/10)+Skills!O17</f>
        <v/>
      </c>
      <c r="G1559">
        <f>Calc!G17</f>
        <v/>
      </c>
      <c r="H1559">
        <f>Calc!H17</f>
        <v/>
      </c>
      <c r="I1559">
        <f>IF(Skills!AA17&lt;&gt;"",1+(Skills!AA17/10)*(U1545/1000)/100,1)</f>
        <v/>
      </c>
      <c r="J1559">
        <f>((Inputs!$B$6*(1+Inputs!$B$7/100))+(((Inputs!$B$12*(1+Inputs!$B$13/100))-(Inputs!$B$12*(1+Inputs!$B$13/100)))+0.25*(Inputs!$B$14-Inputs!$B$14))*(1+Inputs!$B$7/100))*(F1559/100)</f>
        <v/>
      </c>
      <c r="K1559">
        <f>J1559*(1+((Inputs!$B$12*(1+Inputs!$B$13/100))*0.01+Inputs!$B$14*0.0025)/100)*(1+Inputs!$B$15/100)*(1+Inputs!$B$16/100)*(5000/(6000+Inputs!$B$43*(1-(100*(1-(1-(Inputs!$B$19+0)/100)*(1-CHOOSE(ArtifactsInput!$N$40+1,5,6,7,8,9,10)/100)^(ArtifactsInput!$M$40-ArtifactsInput!$M$40)))/100)))*(1+(Inputs!$B$24+((C1572=TRUE)*(F1572-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1565=TRUE)*(F1565-Calc!F23))+(((IF(AND(ArtifactsInput!$M$42,((Inputs!$B$9+((C1567=TRUE)*(F1567-Calc!F25))+B1582+(ArtifactsInput!$M$24-ArtifactsInput!$M$24)*CHOOSE(ArtifactsInput!$N$24+1,10,12,14,16,18,20)+IF(ArtifactsInput!$M$10,CHOOSE(ArtifactsInput!$N$10+1,15,18,21,24,27,30)*(IF(Inputs!$B$39="pvp",MIN(15,15)/15,IF(AND(Inputs!$B$39&lt;&gt;"pvp",Inputs!$B$44&gt;0),MIN(15,Inputs!$B$44)/(Inputs!$B$44),0))),0)))&gt;=100),MIN(100,((Inputs!$B$9+((C1567=TRUE)*(F1567-Calc!F25))+B1582+(ArtifactsInput!$M$24-ArtifactsInput!$M$24)*CHOOSE(ArtifactsInput!$N$24+1,10,12,14,16,18,20)+IF(ArtifactsInput!$M$10,CHOOSE(ArtifactsInput!$N$10+1,15,18,21,24,27,30)*(IF(Inputs!$B$39="pvp",MIN(15,15)/15,IF(AND(Inputs!$B$39&lt;&gt;"pvp",Inputs!$B$44&gt;0),MIN(15,Inputs!$B$44)/(Inputs!$B$44),0))),0)))-100),0))*CHOOSE(ArtifactsInput!$N$42+1,0.6,0.72,0.84,0.96,1.08,1.2))),Inputs!$B$18+((C1571=TRUE)*(F1571-Calc!F29))+(IF(AND(ArtifactsInput!$M$42,((Inputs!$B$9+((C1567=TRUE)*(F1567-Calc!F25))+B1582+(ArtifactsInput!$M$24-ArtifactsInput!$M$24)*CHOOSE(ArtifactsInput!$N$24+1,10,12,14,16,18,20)+IF(ArtifactsInput!$M$10,CHOOSE(ArtifactsInput!$N$10+1,15,18,21,24,27,30)*(IF(Inputs!$B$39="pvp",MIN(15,15)/15,IF(AND(Inputs!$B$39&lt;&gt;"pvp",Inputs!$B$44&gt;0),MIN(15,Inputs!$B$44)/(Inputs!$B$44),0))),0)))&gt;=100),CHOOSE(ArtifactsInput!$N$42+1,40,48,56,64,72,80),0))))/100)*(((1+(((C1563=TRUE)*F1563*IF(AND(Inputs!$B$39&lt;&gt;"pvp",Inputs!$B$44&gt;0),(((R1563-1)*(Skills!Y21*(1+Inputs!$B$34/100))+MIN((Skills!Y21*(1+Inputs!$B$34/100)),MAX(0,Inputs!$B$44-((R1563-1)*Skills!D21))))/Inputs!$B$44),IF(Inputs!$B$39="pvp",MIN((Skills!Y21*(1+Inputs!$B$34/100)),15)/15,(Skills!Y21*(1+Inputs!$B$34/100))/Skills!D21)))+((C1570=TRUE)*(F1570-Calc!F28))+((C1560=TRUE)*(F1560-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1557=TRUE)*F1557*IF(AND(Inputs!$B$39&lt;&gt;"pvp",Inputs!$B$44&gt;0),(((R1557-1)*(Skills!Y15*(1+Inputs!$B$34/100))+MIN((Skills!Y15*(1+Inputs!$B$34/100)),MAX(0,Inputs!$B$44-((R1557-1)*Skills!D15))))/Inputs!$B$44),IF(Inputs!$B$39="pvp",MIN((Skills!Y15*(1+Inputs!$B$34/100)),15)/15,(Skills!Y15*(1+Inputs!$B$34/100))/Skills!D15)))/100)*(1+((C1548=TRUE)*F1548*B1576)/100))*B1584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1559)</f>
        <v/>
      </c>
      <c r="L1559">
        <f>K1559*(MIN(Inputs!$B$22+((C1566=TRUE)*(F1566-Calc!F24)),(Inputs!$B$23+0+(IF(ArtifactsInput!$M$15,CHOOSE(ArtifactsInput!$N$15+1,25,30,35,40,45,50)/100*(Inputs!$B$11-Inputs!$B$11),0))))/100+(Inputs!$B$23+0+(IF(ArtifactsInput!$M$15,CHOOSE(ArtifactsInput!$N$15+1,25,30,35,40,45,50)/100*(Inputs!$B$11-Inputs!$B$11),0)))/100)/2</f>
        <v/>
      </c>
      <c r="M1559">
        <f>L1559*(1+(Inputs!$B$10+((C1568=TRUE)*(F1568-Calc!F26))+B1585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59">
        <f>L1559*(1-MIN((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1559*(MIN((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59">
        <f>(1-Summary!$B$11)*T1559+Summary!$B$11*V1559</f>
        <v/>
      </c>
      <c r="P1559">
        <f>IF(B1586=0,0,O1559/B1586)</f>
        <v/>
      </c>
      <c r="Q1559" t="n">
        <v>0</v>
      </c>
      <c r="R1559" t="n">
        <v>0</v>
      </c>
      <c r="S1559">
        <f>IFERROR(O1559/N1559,0)</f>
        <v/>
      </c>
      <c r="T1559">
        <f>IF(C1559,(Inputs!$B$38*0.2*N1559)*IF(Inputs!$B$39="pvp",1,1+(Inputs!$B$20+((C1569=TRUE)*(F1569-Calc!F27))+Skills!P17+B1583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Hunt"),CHOOSE(ArtifactsInput!$N$35+1,15,18,21,24,27,30)*(1-EXP(-(0.2*B1578)*5)),0)+IF(AND(ArtifactsInput!$M$22,Inputs!$B$4&lt;&gt;"Chapter Hunt"),CHOOSE(ArtifactsInput!$N$22+1,10,12,14,16,18,20)*((0*(((0.15*B1578*5))^0/1)+1*(((0.15*B1578*5))^1/1)+2*(((0.15*B1578*5))^2/2)+3*(((0.15*B1578*5))^3/6)+4*(((0.15*B1578*5))^4/24)+5*(((0.15*B1578*5))^5/120))/((((0.15*B1578*5))^0/1)+(((0.15*B1578*5))^1/1)+(((0.15*B1578*5))^2/2)+(((0.15*B1578*5))^3/6)+(((0.15*B1578*5))^4/24)+(((0.15*B1578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1559*(1-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1559*(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1559*(1-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1559*(MIN(100,(Inputs!$B$9+((C1567=TRUE)*(F1567-Calc!F25))+B1582+(ArtifactsInput!$M$24-ArtifactsInput!$M$24)*CHOOSE(ArtifactsInput!$N$24+1,10,12,14,16,18,20)+(IF(AND(ArtifactsInput!$M$42,((Inputs!$B$9+((C1567=TRUE)*(F1567-Calc!F25))+B1582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59">
        <f>IF(C1559,(Inputs!$B$38*0.2*N1559)*IF(Inputs!$B$39="pvp",1,(1+(Inputs!$B$21+Skills!Q17+B1583+(IF(ArtifactsInput!$M$33,CHOOSE(ArtifactsInput!$N$33+1,30,36,42,48,54,60),0))+(IF(AND(ArtifactsInput!$M$35,Inputs!$B$4&lt;&gt;"Chapter Hunt"),CHOOSE(ArtifactsInput!$N$35+1,15,18,21,24,27,30)*(1-EXP(-(0.2*B1578)*5)),0)+IF(AND(ArtifactsInput!$M$22,Inputs!$B$4&lt;&gt;"Chapter Hunt"),CHOOSE(ArtifactsInput!$N$22+1,10,12,14,16,18,20)*((0*(((0.15*B1578*5))^0/1)+1*(((0.15*B1578*5))^1/1)+2*(((0.15*B1578*5))^2/2)+3*(((0.15*B1578*5))^3/6)+4*(((0.15*B1578*5))^4/24)+5*(((0.15*B1578*5))^5/120))/((((0.15*B1578*5))^0/1)+(((0.15*B1578*5))^1/1)+(((0.15*B1578*5))^2/2)+(((0.15*B1578*5))^3/6)+(((0.15*B1578*5))^4/24)+(((0.15*B1578*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60">
      <c r="A1560">
        <f>Skills!A18</f>
        <v/>
      </c>
      <c r="B1560">
        <f>Skills!B18</f>
        <v/>
      </c>
      <c r="C1560">
        <f>Inputs!$B$3&gt;=115</f>
        <v/>
      </c>
      <c r="D1560">
        <f>IF(Skills!C18=1,60+Inputs!$B$25+Inputs!$B$29,IF(Skills!C18=2,90+Inputs!$B$26+Inputs!$B$29,IF(Skills!C18=3,120+Inputs!$B$27+Inputs!$B$29,MAX(0,(Inputs!$B$3-100)*3)+Inputs!$B$28+Inputs!$B$29)))</f>
        <v/>
      </c>
      <c r="E1560">
        <f>INDEX(FactorTable!$B$2:$Y$301, MATCH(ROUND(MIN(300,MAX(1,D1560)),0), FactorTable!$A$2:$A$301,0), Skills!M18+1)</f>
        <v/>
      </c>
      <c r="F1560">
        <f>IF(Skills!N18=TRUE,(Skills!L18/10)*(E1560/1000),Skills!L18/10)+Skills!O18</f>
        <v/>
      </c>
      <c r="G1560">
        <f>Calc!G18</f>
        <v/>
      </c>
      <c r="H1560">
        <f>Calc!H18</f>
        <v/>
      </c>
      <c r="I1560">
        <f>IF(Skills!AA18&lt;&gt;"",1+(Skills!AA18/10)*(U1545/1000)/100,1)</f>
        <v/>
      </c>
      <c r="J1560" t="inlineStr"/>
      <c r="K1560" t="inlineStr"/>
      <c r="L1560" t="inlineStr"/>
      <c r="M1560" t="inlineStr"/>
      <c r="N1560" t="inlineStr"/>
      <c r="O1560">
        <f>(1-Summary!$B$11)*T1560+Summary!$B$11*V1560</f>
        <v/>
      </c>
      <c r="P1560">
        <f>IF(B1586=0,0,O1560/B1586)</f>
        <v/>
      </c>
      <c r="Q1560" t="n">
        <v>0</v>
      </c>
      <c r="R1560" t="n">
        <v>0</v>
      </c>
      <c r="S1560">
        <f>IFERROR(O1560/N1560,0)</f>
        <v/>
      </c>
      <c r="T1560" t="n">
        <v>0</v>
      </c>
      <c r="V1560" t="n">
        <v>0</v>
      </c>
    </row>
    <row r="1561">
      <c r="A1561">
        <f>Skills!A19</f>
        <v/>
      </c>
      <c r="B1561">
        <f>Skills!B19</f>
        <v/>
      </c>
      <c r="C1561">
        <f>TRUE</f>
        <v/>
      </c>
      <c r="D1561">
        <f>IF(Skills!C19=1,60+Inputs!$B$25+Inputs!$B$29,IF(Skills!C19=2,90+Inputs!$B$26+Inputs!$B$29,IF(Skills!C19=3,120+Inputs!$B$27+Inputs!$B$29,MAX(0,(Inputs!$B$3-100)*3)+Inputs!$B$28+Inputs!$B$29)))</f>
        <v/>
      </c>
      <c r="E1561">
        <f>INDEX(FactorTable!$B$2:$Y$301, MATCH(ROUND(MIN(300,MAX(1,D1561)),0), FactorTable!$A$2:$A$301,0), Skills!M19+1)</f>
        <v/>
      </c>
      <c r="F1561">
        <f>IF(Skills!N19=TRUE,(Skills!L19/10)*(E1561/1000),Skills!L19/10)+Skills!O19</f>
        <v/>
      </c>
      <c r="G1561">
        <f>Calc!G19</f>
        <v/>
      </c>
      <c r="H1561">
        <f>Calc!H19</f>
        <v/>
      </c>
      <c r="I1561">
        <f>IF(Skills!AA19&lt;&gt;"",1+(Skills!AA19/10)*(U1545/1000)/100,1)</f>
        <v/>
      </c>
      <c r="J1561" t="inlineStr"/>
      <c r="K1561" t="inlineStr"/>
      <c r="L1561" t="inlineStr"/>
      <c r="M1561" t="inlineStr"/>
      <c r="N1561" t="inlineStr"/>
      <c r="O1561">
        <f>(1-Summary!$B$11)*T1561+Summary!$B$11*V1561</f>
        <v/>
      </c>
      <c r="P1561">
        <f>IF(B1586=0,0,O1561/B1586)</f>
        <v/>
      </c>
      <c r="Q1561">
        <f>IFERROR(1/IF(Inputs!$B$39="pvp",15,MAX(0.1,Skills!D19-IF(Skills!E19=TRUE,Inputs!$B$32,0))),0)</f>
        <v/>
      </c>
      <c r="R1561">
        <f>IF(AND(Inputs!$B$39&lt;&gt;"pvp",Inputs!$B$44&gt;0),IF(Inputs!$B$44&lt;=0,0,(INT(Inputs!$B$44/IF(Inputs!$B$39="pvp",15,MAX(0.1,Skills!D19-IF(Skills!E19=TRUE,Inputs!$B$32,0))))+1)),0)</f>
        <v/>
      </c>
      <c r="S1561">
        <f>IFERROR(O1561/N1561,0)</f>
        <v/>
      </c>
      <c r="T1561" t="n">
        <v>0</v>
      </c>
      <c r="V1561" t="n">
        <v>0</v>
      </c>
    </row>
    <row r="1562">
      <c r="A1562">
        <f>Skills!A20</f>
        <v/>
      </c>
      <c r="B1562">
        <f>Skills!B20</f>
        <v/>
      </c>
      <c r="C1562">
        <f>Inputs!$B$3&gt;=15</f>
        <v/>
      </c>
      <c r="D1562">
        <f>IF(Skills!C20=1,60+Inputs!$B$25+Inputs!$B$29,IF(Skills!C20=2,90+Inputs!$B$26+Inputs!$B$29,IF(Skills!C20=3,120+Inputs!$B$27+Inputs!$B$29,MAX(0,(Inputs!$B$3-100)*3)+Inputs!$B$28+Inputs!$B$29)))</f>
        <v/>
      </c>
      <c r="E1562">
        <f>INDEX(FactorTable!$B$2:$Y$301, MATCH(ROUND(MIN(300,MAX(1,D1562)),0), FactorTable!$A$2:$A$301,0), Skills!M20+1)</f>
        <v/>
      </c>
      <c r="F1562">
        <f>IF(Skills!N20=TRUE,(Skills!L20/10)*(E1562/1000),Skills!L20/10)+Skills!O20</f>
        <v/>
      </c>
      <c r="G1562">
        <f>Calc!G20</f>
        <v/>
      </c>
      <c r="H1562">
        <f>Calc!H20</f>
        <v/>
      </c>
      <c r="I1562">
        <f>IF(Skills!AA20&lt;&gt;"",1+(Skills!AA20/10)*(U1545/1000)/100,1)</f>
        <v/>
      </c>
      <c r="J1562" t="inlineStr"/>
      <c r="K1562" t="inlineStr"/>
      <c r="L1562" t="inlineStr"/>
      <c r="M1562" t="inlineStr"/>
      <c r="N1562" t="inlineStr"/>
      <c r="O1562">
        <f>(1-Summary!$B$11)*T1562+Summary!$B$11*V1562</f>
        <v/>
      </c>
      <c r="P1562">
        <f>IF(B1586=0,0,O1562/B1586)</f>
        <v/>
      </c>
      <c r="Q1562">
        <f>IFERROR(1/IF(Inputs!$B$39="pvp",15,MAX(0.1,Skills!D20-IF(Skills!E20=TRUE,Inputs!$B$32,0))),0)</f>
        <v/>
      </c>
      <c r="R1562">
        <f>IF(AND(Inputs!$B$39&lt;&gt;"pvp",Inputs!$B$44&gt;0),IF(Inputs!$B$44&lt;=0,0,(INT(Inputs!$B$44/IF(Inputs!$B$39="pvp",15,MAX(0.1,Skills!D20-IF(Skills!E20=TRUE,Inputs!$B$32,0))))+1)),0)</f>
        <v/>
      </c>
      <c r="S1562">
        <f>IFERROR(O1562/N1562,0)</f>
        <v/>
      </c>
      <c r="T1562" t="n">
        <v>0</v>
      </c>
      <c r="V1562" t="n">
        <v>0</v>
      </c>
    </row>
    <row r="1563">
      <c r="A1563">
        <f>Skills!A21</f>
        <v/>
      </c>
      <c r="B1563">
        <f>Skills!B21</f>
        <v/>
      </c>
      <c r="C1563">
        <f>Inputs!$B$3&gt;=15</f>
        <v/>
      </c>
      <c r="D1563">
        <f>IF(Skills!C21=1,60+Inputs!$B$25+Inputs!$B$29,IF(Skills!C21=2,90+Inputs!$B$26+Inputs!$B$29,IF(Skills!C21=3,120+Inputs!$B$27+Inputs!$B$29,MAX(0,(Inputs!$B$3-100)*3)+Inputs!$B$28+Inputs!$B$29)))</f>
        <v/>
      </c>
      <c r="E1563">
        <f>INDEX(FactorTable!$B$2:$Y$301, MATCH(ROUND(MIN(300,MAX(1,D1563)),0), FactorTable!$A$2:$A$301,0), Skills!M21+1)</f>
        <v/>
      </c>
      <c r="F1563">
        <f>IF(Skills!N21=TRUE,(Skills!L21/10)*(E1563/1000),Skills!L21/10)+Skills!O21</f>
        <v/>
      </c>
      <c r="G1563">
        <f>Calc!G21</f>
        <v/>
      </c>
      <c r="H1563">
        <f>Calc!H21</f>
        <v/>
      </c>
      <c r="I1563">
        <f>IF(Skills!AA21&lt;&gt;"",1+(Skills!AA21/10)*(U1545/1000)/100,1)</f>
        <v/>
      </c>
      <c r="J1563" t="inlineStr"/>
      <c r="K1563" t="inlineStr"/>
      <c r="L1563" t="inlineStr"/>
      <c r="M1563" t="inlineStr"/>
      <c r="N1563" t="inlineStr"/>
      <c r="O1563">
        <f>(1-Summary!$B$11)*T1563+Summary!$B$11*V1563</f>
        <v/>
      </c>
      <c r="P1563">
        <f>IF(B1586=0,0,O1563/B1586)</f>
        <v/>
      </c>
      <c r="Q1563">
        <f>IFERROR(1/IF(Inputs!$B$39="pvp",15,MAX(0.1,Skills!D21-IF(Skills!E21=TRUE,Inputs!$B$32,0))),0)</f>
        <v/>
      </c>
      <c r="R1563">
        <f>IF(AND(Inputs!$B$39&lt;&gt;"pvp",Inputs!$B$44&gt;0),IF(Inputs!$B$44&lt;=0,0,(INT(Inputs!$B$44/IF(Inputs!$B$39="pvp",15,MAX(0.1,Skills!D21-IF(Skills!E21=TRUE,Inputs!$B$32,0))))+1)),0)</f>
        <v/>
      </c>
      <c r="S1563">
        <f>IFERROR(O1563/N1563,0)</f>
        <v/>
      </c>
      <c r="T1563" t="n">
        <v>0</v>
      </c>
      <c r="V1563" t="n">
        <v>0</v>
      </c>
    </row>
    <row r="1564">
      <c r="A1564">
        <f>Skills!A22</f>
        <v/>
      </c>
      <c r="B1564">
        <f>Skills!B22</f>
        <v/>
      </c>
      <c r="C1564">
        <f>Inputs!$B$3&gt;=33</f>
        <v/>
      </c>
      <c r="D1564">
        <f>IF(Skills!C22=1,60+Inputs!$B$25+Inputs!$B$29,IF(Skills!C22=2,90+Inputs!$B$26+Inputs!$B$29,IF(Skills!C22=3,120+Inputs!$B$27+Inputs!$B$29,MAX(0,(Inputs!$B$3-100)*3)+Inputs!$B$28+Inputs!$B$29)))</f>
        <v/>
      </c>
      <c r="E1564">
        <f>INDEX(FactorTable!$B$2:$Y$301, MATCH(ROUND(MIN(300,MAX(1,D1564)),0), FactorTable!$A$2:$A$301,0), Skills!M22+1)</f>
        <v/>
      </c>
      <c r="F1564">
        <f>IF(Skills!N22=TRUE,(Skills!L22/10)*(E1564/1000),Skills!L22/10)+Skills!O22</f>
        <v/>
      </c>
      <c r="G1564">
        <f>Calc!G22</f>
        <v/>
      </c>
      <c r="H1564">
        <f>Calc!H22</f>
        <v/>
      </c>
      <c r="I1564">
        <f>IF(Skills!AA22&lt;&gt;"",1+(Skills!AA22/10)*(U1545/1000)/100,1)</f>
        <v/>
      </c>
      <c r="J1564" t="inlineStr"/>
      <c r="K1564" t="inlineStr"/>
      <c r="L1564" t="inlineStr"/>
      <c r="M1564" t="inlineStr"/>
      <c r="N1564" t="inlineStr"/>
      <c r="O1564">
        <f>(1-Summary!$B$11)*T1564+Summary!$B$11*V1564</f>
        <v/>
      </c>
      <c r="P1564">
        <f>IF(B1586=0,0,O1564/B1586)</f>
        <v/>
      </c>
      <c r="Q1564" t="n">
        <v>0</v>
      </c>
      <c r="R1564" t="n">
        <v>0</v>
      </c>
      <c r="S1564">
        <f>IFERROR(O1564/N1564,0)</f>
        <v/>
      </c>
      <c r="T1564" t="n">
        <v>0</v>
      </c>
      <c r="V1564" t="n">
        <v>0</v>
      </c>
    </row>
    <row r="1565">
      <c r="A1565">
        <f>Skills!A23</f>
        <v/>
      </c>
      <c r="B1565">
        <f>Skills!B23</f>
        <v/>
      </c>
      <c r="C1565">
        <f>Inputs!$B$3&gt;=38</f>
        <v/>
      </c>
      <c r="D1565">
        <f>IF(Skills!C23=1,60+Inputs!$B$25+Inputs!$B$29,IF(Skills!C23=2,90+Inputs!$B$26+Inputs!$B$29,IF(Skills!C23=3,120+Inputs!$B$27+Inputs!$B$29,MAX(0,(Inputs!$B$3-100)*3)+Inputs!$B$28+Inputs!$B$29)))</f>
        <v/>
      </c>
      <c r="E1565">
        <f>INDEX(FactorTable!$B$2:$Y$301, MATCH(ROUND(MIN(300,MAX(1,D1565)),0), FactorTable!$A$2:$A$301,0), Skills!M23+1)</f>
        <v/>
      </c>
      <c r="F1565">
        <f>IF(Skills!N23=TRUE,(Skills!L23/10)*(E1565/1000),Skills!L23/10)+Skills!O23</f>
        <v/>
      </c>
      <c r="G1565">
        <f>Calc!G23</f>
        <v/>
      </c>
      <c r="H1565">
        <f>Calc!H23</f>
        <v/>
      </c>
      <c r="I1565">
        <f>IF(Skills!AA23&lt;&gt;"",1+(Skills!AA23/10)*(U1545/1000)/100,1)</f>
        <v/>
      </c>
      <c r="J1565" t="inlineStr"/>
      <c r="K1565" t="inlineStr"/>
      <c r="L1565" t="inlineStr"/>
      <c r="M1565" t="inlineStr"/>
      <c r="N1565" t="inlineStr"/>
      <c r="O1565">
        <f>(1-Summary!$B$11)*T1565+Summary!$B$11*V1565</f>
        <v/>
      </c>
      <c r="P1565">
        <f>IF(B1586=0,0,O1565/B1586)</f>
        <v/>
      </c>
      <c r="Q1565" t="n">
        <v>0</v>
      </c>
      <c r="R1565" t="n">
        <v>0</v>
      </c>
      <c r="S1565">
        <f>IFERROR(O1565/N1565,0)</f>
        <v/>
      </c>
      <c r="T1565" t="n">
        <v>0</v>
      </c>
      <c r="V1565" t="n">
        <v>0</v>
      </c>
    </row>
    <row r="1566">
      <c r="A1566">
        <f>Skills!A24</f>
        <v/>
      </c>
      <c r="B1566">
        <f>Skills!B24</f>
        <v/>
      </c>
      <c r="C1566">
        <f>Inputs!$B$3&gt;=40</f>
        <v/>
      </c>
      <c r="D1566">
        <f>IF(Skills!C24=1,60+Inputs!$B$25+Inputs!$B$29,IF(Skills!C24=2,90+Inputs!$B$26+Inputs!$B$29,IF(Skills!C24=3,120+Inputs!$B$27+Inputs!$B$29,MAX(0,(Inputs!$B$3-100)*3)+Inputs!$B$28+Inputs!$B$29)))</f>
        <v/>
      </c>
      <c r="E1566">
        <f>INDEX(FactorTable!$B$2:$Y$301, MATCH(ROUND(MIN(300,MAX(1,D1566)),0), FactorTable!$A$2:$A$301,0), Skills!M24+1)</f>
        <v/>
      </c>
      <c r="F1566">
        <f>IF(Skills!N24=TRUE,(Skills!L24/10)*(E1566/1000),Skills!L24/10)+Skills!O24</f>
        <v/>
      </c>
      <c r="G1566">
        <f>Calc!G24</f>
        <v/>
      </c>
      <c r="H1566">
        <f>Calc!H24</f>
        <v/>
      </c>
      <c r="I1566">
        <f>IF(Skills!AA24&lt;&gt;"",1+(Skills!AA24/10)*(U1545/1000)/100,1)</f>
        <v/>
      </c>
      <c r="J1566" t="inlineStr"/>
      <c r="K1566" t="inlineStr"/>
      <c r="L1566" t="inlineStr"/>
      <c r="M1566" t="inlineStr"/>
      <c r="N1566" t="inlineStr"/>
      <c r="O1566">
        <f>(1-Summary!$B$11)*T1566+Summary!$B$11*V1566</f>
        <v/>
      </c>
      <c r="P1566">
        <f>IF(B1586=0,0,O1566/B1586)</f>
        <v/>
      </c>
      <c r="Q1566" t="n">
        <v>0</v>
      </c>
      <c r="R1566" t="n">
        <v>0</v>
      </c>
      <c r="S1566">
        <f>IFERROR(O1566/N1566,0)</f>
        <v/>
      </c>
      <c r="T1566" t="n">
        <v>0</v>
      </c>
      <c r="V1566" t="n">
        <v>0</v>
      </c>
    </row>
    <row r="1567">
      <c r="A1567">
        <f>Skills!A25</f>
        <v/>
      </c>
      <c r="B1567">
        <f>Skills!B25</f>
        <v/>
      </c>
      <c r="C1567">
        <f>Inputs!$B$3&gt;=45</f>
        <v/>
      </c>
      <c r="D1567">
        <f>IF(Skills!C25=1,60+Inputs!$B$25+Inputs!$B$29,IF(Skills!C25=2,90+Inputs!$B$26+Inputs!$B$29,IF(Skills!C25=3,120+Inputs!$B$27+Inputs!$B$29,MAX(0,(Inputs!$B$3-100)*3)+Inputs!$B$28+Inputs!$B$29)))</f>
        <v/>
      </c>
      <c r="E1567">
        <f>INDEX(FactorTable!$B$2:$Y$301, MATCH(ROUND(MIN(300,MAX(1,D1567)),0), FactorTable!$A$2:$A$301,0), Skills!M25+1)</f>
        <v/>
      </c>
      <c r="F1567">
        <f>IF(Skills!N25=TRUE,(Skills!L25/10)*(E1567/1000),Skills!L25/10)+Skills!O25</f>
        <v/>
      </c>
      <c r="G1567">
        <f>Calc!G25</f>
        <v/>
      </c>
      <c r="H1567">
        <f>Calc!H25</f>
        <v/>
      </c>
      <c r="I1567">
        <f>IF(Skills!AA25&lt;&gt;"",1+(Skills!AA25/10)*(U1545/1000)/100,1)</f>
        <v/>
      </c>
      <c r="J1567" t="inlineStr"/>
      <c r="K1567" t="inlineStr"/>
      <c r="L1567" t="inlineStr"/>
      <c r="M1567" t="inlineStr"/>
      <c r="N1567" t="inlineStr"/>
      <c r="O1567">
        <f>(1-Summary!$B$11)*T1567+Summary!$B$11*V1567</f>
        <v/>
      </c>
      <c r="P1567">
        <f>IF(B1586=0,0,O1567/B1586)</f>
        <v/>
      </c>
      <c r="Q1567" t="n">
        <v>0</v>
      </c>
      <c r="R1567" t="n">
        <v>0</v>
      </c>
      <c r="S1567">
        <f>IFERROR(O1567/N1567,0)</f>
        <v/>
      </c>
      <c r="T1567" t="n">
        <v>0</v>
      </c>
      <c r="V1567" t="n">
        <v>0</v>
      </c>
    </row>
    <row r="1568">
      <c r="A1568">
        <f>Skills!A26</f>
        <v/>
      </c>
      <c r="B1568">
        <f>Skills!B26</f>
        <v/>
      </c>
      <c r="C1568">
        <f>Inputs!$B$3&gt;=45</f>
        <v/>
      </c>
      <c r="D1568">
        <f>IF(Skills!C26=1,60+Inputs!$B$25+Inputs!$B$29,IF(Skills!C26=2,90+Inputs!$B$26+Inputs!$B$29,IF(Skills!C26=3,120+Inputs!$B$27+Inputs!$B$29,MAX(0,(Inputs!$B$3-100)*3)+Inputs!$B$28+Inputs!$B$29)))</f>
        <v/>
      </c>
      <c r="E1568">
        <f>INDEX(FactorTable!$B$2:$Y$301, MATCH(ROUND(MIN(300,MAX(1,D1568)),0), FactorTable!$A$2:$A$301,0), Skills!M26+1)</f>
        <v/>
      </c>
      <c r="F1568">
        <f>IF(Skills!N26=TRUE,(Skills!L26/10)*(E1568/1000),Skills!L26/10)+Skills!O26</f>
        <v/>
      </c>
      <c r="G1568">
        <f>Calc!G26</f>
        <v/>
      </c>
      <c r="H1568">
        <f>Calc!H26</f>
        <v/>
      </c>
      <c r="I1568">
        <f>IF(Skills!AA26&lt;&gt;"",1+(Skills!AA26/10)*(U1545/1000)/100,1)</f>
        <v/>
      </c>
      <c r="J1568" t="inlineStr"/>
      <c r="K1568" t="inlineStr"/>
      <c r="L1568" t="inlineStr"/>
      <c r="M1568" t="inlineStr"/>
      <c r="N1568" t="inlineStr"/>
      <c r="O1568">
        <f>(1-Summary!$B$11)*T1568+Summary!$B$11*V1568</f>
        <v/>
      </c>
      <c r="P1568">
        <f>IF(B1586=0,0,O1568/B1586)</f>
        <v/>
      </c>
      <c r="Q1568" t="n">
        <v>0</v>
      </c>
      <c r="R1568" t="n">
        <v>0</v>
      </c>
      <c r="S1568">
        <f>IFERROR(O1568/N1568,0)</f>
        <v/>
      </c>
      <c r="T1568" t="n">
        <v>0</v>
      </c>
      <c r="V1568" t="n">
        <v>0</v>
      </c>
    </row>
    <row r="1569">
      <c r="A1569">
        <f>Skills!A27</f>
        <v/>
      </c>
      <c r="B1569">
        <f>Skills!B27</f>
        <v/>
      </c>
      <c r="C1569">
        <f>Inputs!$B$3&gt;=72</f>
        <v/>
      </c>
      <c r="D1569">
        <f>IF(Skills!C27=1,60+Inputs!$B$25+Inputs!$B$29,IF(Skills!C27=2,90+Inputs!$B$26+Inputs!$B$29,IF(Skills!C27=3,120+Inputs!$B$27+Inputs!$B$29,MAX(0,(Inputs!$B$3-100)*3)+Inputs!$B$28+Inputs!$B$29)))</f>
        <v/>
      </c>
      <c r="E1569">
        <f>INDEX(FactorTable!$B$2:$Y$301, MATCH(ROUND(MIN(300,MAX(1,D1569)),0), FactorTable!$A$2:$A$301,0), Skills!M27+1)</f>
        <v/>
      </c>
      <c r="F1569">
        <f>IF(Skills!N27=TRUE,(Skills!L27/10)*(E1569/1000),Skills!L27/10)+Skills!O27</f>
        <v/>
      </c>
      <c r="G1569">
        <f>Calc!G27</f>
        <v/>
      </c>
      <c r="H1569">
        <f>Calc!H27</f>
        <v/>
      </c>
      <c r="I1569">
        <f>IF(Skills!AA27&lt;&gt;"",1+(Skills!AA27/10)*(U1545/1000)/100,1)</f>
        <v/>
      </c>
      <c r="J1569" t="inlineStr"/>
      <c r="K1569" t="inlineStr"/>
      <c r="L1569" t="inlineStr"/>
      <c r="M1569" t="inlineStr"/>
      <c r="N1569" t="inlineStr"/>
      <c r="O1569">
        <f>(1-Summary!$B$11)*T1569+Summary!$B$11*V1569</f>
        <v/>
      </c>
      <c r="P1569">
        <f>IF(B1586=0,0,O1569/B1586)</f>
        <v/>
      </c>
      <c r="Q1569" t="n">
        <v>0</v>
      </c>
      <c r="R1569" t="n">
        <v>0</v>
      </c>
      <c r="S1569">
        <f>IFERROR(O1569/N1569,0)</f>
        <v/>
      </c>
      <c r="T1569" t="n">
        <v>0</v>
      </c>
      <c r="V1569" t="n">
        <v>0</v>
      </c>
    </row>
    <row r="1570">
      <c r="A1570">
        <f>Skills!A28</f>
        <v/>
      </c>
      <c r="B1570">
        <f>Skills!B28</f>
        <v/>
      </c>
      <c r="C1570">
        <f>Inputs!$B$3&gt;=75</f>
        <v/>
      </c>
      <c r="D1570">
        <f>IF(Skills!C28=1,60+Inputs!$B$25+Inputs!$B$29,IF(Skills!C28=2,90+Inputs!$B$26+Inputs!$B$29,IF(Skills!C28=3,120+Inputs!$B$27+Inputs!$B$29,MAX(0,(Inputs!$B$3-100)*3)+Inputs!$B$28+Inputs!$B$29)))</f>
        <v/>
      </c>
      <c r="E1570">
        <f>INDEX(FactorTable!$B$2:$Y$301, MATCH(ROUND(MIN(300,MAX(1,D1570)),0), FactorTable!$A$2:$A$301,0), Skills!M28+1)</f>
        <v/>
      </c>
      <c r="F1570">
        <f>IF(Skills!N28=TRUE,(Skills!L28/10)*(E1570/1000),Skills!L28/10)+Skills!O28</f>
        <v/>
      </c>
      <c r="G1570">
        <f>Calc!G28</f>
        <v/>
      </c>
      <c r="H1570">
        <f>Calc!H28</f>
        <v/>
      </c>
      <c r="I1570">
        <f>IF(Skills!AA28&lt;&gt;"",1+(Skills!AA28/10)*(U1545/1000)/100,1)</f>
        <v/>
      </c>
      <c r="J1570" t="inlineStr"/>
      <c r="K1570" t="inlineStr"/>
      <c r="L1570" t="inlineStr"/>
      <c r="M1570" t="inlineStr"/>
      <c r="N1570" t="inlineStr"/>
      <c r="O1570">
        <f>(1-Summary!$B$11)*T1570+Summary!$B$11*V1570</f>
        <v/>
      </c>
      <c r="P1570">
        <f>IF(B1586=0,0,O1570/B1586)</f>
        <v/>
      </c>
      <c r="Q1570" t="n">
        <v>0</v>
      </c>
      <c r="R1570" t="n">
        <v>0</v>
      </c>
      <c r="S1570">
        <f>IFERROR(O1570/N1570,0)</f>
        <v/>
      </c>
      <c r="T1570" t="n">
        <v>0</v>
      </c>
      <c r="V1570" t="n">
        <v>0</v>
      </c>
    </row>
    <row r="1571">
      <c r="A1571">
        <f>Skills!A29</f>
        <v/>
      </c>
      <c r="B1571">
        <f>Skills!B29</f>
        <v/>
      </c>
      <c r="C1571">
        <f>Inputs!$B$3&gt;=120</f>
        <v/>
      </c>
      <c r="D1571">
        <f>IF(Skills!C29=1,60+Inputs!$B$25+Inputs!$B$29,IF(Skills!C29=2,90+Inputs!$B$26+Inputs!$B$29,IF(Skills!C29=3,120+Inputs!$B$27+Inputs!$B$29,MAX(0,(Inputs!$B$3-100)*3)+Inputs!$B$28+Inputs!$B$29)))</f>
        <v/>
      </c>
      <c r="E1571">
        <f>INDEX(FactorTable!$B$2:$Y$301, MATCH(ROUND(MIN(300,MAX(1,D1571)),0), FactorTable!$A$2:$A$301,0), Skills!M29+1)</f>
        <v/>
      </c>
      <c r="F1571">
        <f>IF(Skills!N29=TRUE,(Skills!L29/10)*(E1571/1000),Skills!L29/10)+Skills!O29</f>
        <v/>
      </c>
      <c r="G1571">
        <f>Calc!G29</f>
        <v/>
      </c>
      <c r="H1571">
        <f>Calc!H29</f>
        <v/>
      </c>
      <c r="I1571">
        <f>IF(Skills!AA29&lt;&gt;"",1+(Skills!AA29/10)*(U1545/1000)/100,1)</f>
        <v/>
      </c>
      <c r="J1571" t="inlineStr"/>
      <c r="K1571" t="inlineStr"/>
      <c r="L1571" t="inlineStr"/>
      <c r="M1571" t="inlineStr"/>
      <c r="N1571" t="inlineStr"/>
      <c r="O1571">
        <f>(1-Summary!$B$11)*T1571+Summary!$B$11*V1571</f>
        <v/>
      </c>
      <c r="P1571">
        <f>IF(B1586=0,0,O1571/B1586)</f>
        <v/>
      </c>
      <c r="Q1571" t="n">
        <v>0</v>
      </c>
      <c r="R1571" t="n">
        <v>0</v>
      </c>
      <c r="S1571">
        <f>IFERROR(O1571/N1571,0)</f>
        <v/>
      </c>
      <c r="T1571" t="n">
        <v>0</v>
      </c>
      <c r="V1571" t="n">
        <v>0</v>
      </c>
    </row>
    <row r="1572">
      <c r="A1572">
        <f>Skills!A30</f>
        <v/>
      </c>
      <c r="B1572">
        <f>Skills!B30</f>
        <v/>
      </c>
      <c r="C1572">
        <f>Inputs!$B$3&gt;=125</f>
        <v/>
      </c>
      <c r="D1572">
        <f>IF(Skills!C30=1,60+Inputs!$B$25+Inputs!$B$29,IF(Skills!C30=2,90+Inputs!$B$26+Inputs!$B$29,IF(Skills!C30=3,120+Inputs!$B$27+Inputs!$B$29,MAX(0,(Inputs!$B$3-100)*3)+Inputs!$B$28+Inputs!$B$29)))</f>
        <v/>
      </c>
      <c r="E1572">
        <f>INDEX(FactorTable!$B$2:$Y$301, MATCH(ROUND(MIN(300,MAX(1,D1572)),0), FactorTable!$A$2:$A$301,0), Skills!M30+1)</f>
        <v/>
      </c>
      <c r="F1572">
        <f>IF(Skills!N30=TRUE,(Skills!L30/10)*(E1572/1000),Skills!L30/10)+Skills!O30</f>
        <v/>
      </c>
      <c r="G1572">
        <f>Calc!G30</f>
        <v/>
      </c>
      <c r="H1572">
        <f>Calc!H30</f>
        <v/>
      </c>
      <c r="I1572">
        <f>IF(Skills!AA30&lt;&gt;"",1+(Skills!AA30/10)*(U1545/1000)/100,1)</f>
        <v/>
      </c>
      <c r="J1572" t="inlineStr"/>
      <c r="K1572" t="inlineStr"/>
      <c r="L1572" t="inlineStr"/>
      <c r="M1572" t="inlineStr"/>
      <c r="N1572" t="inlineStr"/>
      <c r="O1572">
        <f>(1-Summary!$B$11)*T1572+Summary!$B$11*V1572</f>
        <v/>
      </c>
      <c r="P1572">
        <f>IF(B1586=0,0,O1572/B1586)</f>
        <v/>
      </c>
      <c r="Q1572" t="n">
        <v>0</v>
      </c>
      <c r="R1572" t="n">
        <v>0</v>
      </c>
      <c r="S1572">
        <f>IFERROR(O1572/N1572,0)</f>
        <v/>
      </c>
      <c r="T1572" t="n">
        <v>0</v>
      </c>
      <c r="V1572" t="n">
        <v>0</v>
      </c>
    </row>
    <row r="1573">
      <c r="A1573">
        <f>Skills!A31</f>
        <v/>
      </c>
      <c r="B1573">
        <f>Skills!B31</f>
        <v/>
      </c>
      <c r="C1573">
        <f>Inputs!$B$3&gt;=107</f>
        <v/>
      </c>
      <c r="D1573">
        <f>IF(Skills!C31=1,60+Inputs!$B$25+Inputs!$B$29,IF(Skills!C31=2,90+Inputs!$B$26+Inputs!$B$29,IF(Skills!C31=3,120+Inputs!$B$27+Inputs!$B$29,MAX(0,(Inputs!$B$3-100)*3)+Inputs!$B$28+Inputs!$B$29)))</f>
        <v/>
      </c>
      <c r="E1573">
        <f>INDEX(FactorTable!$B$2:$Y$301, MATCH(ROUND(MIN(300,MAX(1,D1573)),0), FactorTable!$A$2:$A$301,0), Skills!M31+1)</f>
        <v/>
      </c>
      <c r="F1573">
        <f>IF(Skills!N31=TRUE,(Skills!L31/10)*(E1573/1000),Skills!L31/10)+Skills!O31</f>
        <v/>
      </c>
      <c r="G1573">
        <f>Calc!G31</f>
        <v/>
      </c>
      <c r="H1573">
        <f>Calc!H31</f>
        <v/>
      </c>
      <c r="I1573">
        <f>IF(Skills!AA31&lt;&gt;"",1+(Skills!AA31/10)*(U1545/1000)/100,1)</f>
        <v/>
      </c>
      <c r="J1573" t="inlineStr"/>
      <c r="K1573" t="inlineStr"/>
      <c r="L1573" t="inlineStr"/>
      <c r="M1573" t="inlineStr"/>
      <c r="N1573" t="inlineStr"/>
      <c r="O1573">
        <f>(1-Summary!$B$11)*T1573+Summary!$B$11*V1573</f>
        <v/>
      </c>
      <c r="P1573">
        <f>IF(B1586=0,0,O1573/B1586)</f>
        <v/>
      </c>
      <c r="Q1573" t="n">
        <v>0</v>
      </c>
      <c r="R1573" t="n">
        <v>0</v>
      </c>
      <c r="S1573">
        <f>IFERROR(O1573/N1573,0)</f>
        <v/>
      </c>
      <c r="T1573" t="n">
        <v>0</v>
      </c>
      <c r="V1573" t="n">
        <v>0</v>
      </c>
    </row>
    <row r="1575">
      <c r="A1575" t="inlineStr">
        <is>
          <t>Actions Per Second (pre-Adrenalin)</t>
        </is>
      </c>
      <c r="B1575">
        <f>1+MIN(150,150*(1-(1-(Inputs!$B$11+((C1564=TRUE)*(F1564-Calc!F22))+(ArtifactsInput!$M$15-ArtifactsInput!$M$15)*CHOOSE(ArtifactsInput!$N$15+1,8,9.6,11.2,12.8,14.4,16))/150)*(1-((C1561=TRUE)*F1561*IF(AND(Inputs!$B$39&lt;&gt;"pvp",Inputs!$B$44&gt;0),(((R1561-1)*(Skills!Y19*(1+Inputs!$B$34/100))+MIN((Skills!Y19*(1+Inputs!$B$34/100)),MAX(0,Inputs!$B$44-((R1561-1)*Skills!D19))))/Inputs!$B$44),IF(Inputs!$B$39="pvp",MIN((Skills!Y19*(1+Inputs!$B$34/100)),15)/15,(Skills!Y19*(1+Inputs!$B$34/100))/Skills!D19)))/150)))/100</f>
        <v/>
      </c>
    </row>
    <row r="1576">
      <c r="A1576" t="inlineStr">
        <is>
          <t>Alchemic Adrenaline Uptime</t>
        </is>
      </c>
      <c r="B1576">
        <f>(Skills!Y6*(1+Inputs!$B$34/100))/((Skills!Y6*(1+Inputs!$B$34/100))+(5/B1575))</f>
        <v/>
      </c>
    </row>
    <row r="1577">
      <c r="A1577" t="inlineStr">
        <is>
          <t>Attack Speed Buff Bonus %</t>
        </is>
      </c>
      <c r="B1577">
        <f>((C1561=TRUE)*F1561*IF(AND(Inputs!$B$39&lt;&gt;"pvp",Inputs!$B$44&gt;0),(((R1561-1)*(Skills!Y19*(1+Inputs!$B$34/100))+MIN((Skills!Y19*(1+Inputs!$B$34/100)),MAX(0,Inputs!$B$44-((R1561-1)*Skills!D19))))/Inputs!$B$44),IF(Inputs!$B$39="pvp",MIN((Skills!Y19*(1+Inputs!$B$34/100)),15)/15,(Skills!Y19*(1+Inputs!$B$34/100))/Skills!D19)))+((C1549=TRUE)*F1549*B1576)</f>
        <v/>
      </c>
    </row>
    <row r="1578">
      <c r="A1578" t="inlineStr">
        <is>
          <t>Actions Per Second (final)</t>
        </is>
      </c>
      <c r="B1578">
        <f>1+MIN(150,150*(1-(1-(Inputs!$B$11+((C1564=TRUE)*(F1564-Calc!F22))+(ArtifactsInput!$M$15-ArtifactsInput!$M$15)*CHOOSE(ArtifactsInput!$N$15+1,8,9.6,11.2,12.8,14.4,16))/150)*(1-B1577/150)))/100</f>
        <v/>
      </c>
    </row>
    <row r="1579">
      <c r="A1579" t="inlineStr">
        <is>
          <t>Skill + Buff Cast Rate</t>
        </is>
      </c>
      <c r="B1579">
        <f>IF(AND(Inputs!$B$39&lt;&gt;"pvp",Inputs!$B$44&gt;0),SUMPRODUCT((Skills!E2:E31=TRUE)*(C1544:C1573=TRUE)*R1544:R1573*Skills!F2:F31)/Inputs!$B$44,SUMPRODUCT((Skills!E2:E31=TRUE)*(C1544:C1573=TRUE)*Q1544:Q1573*Skills!F2:F31))</f>
        <v/>
      </c>
    </row>
    <row r="1580">
      <c r="A1580" t="inlineStr">
        <is>
          <t>Showdown Casts Per Second</t>
        </is>
      </c>
      <c r="B1580">
        <f>MAX(0,B1578-B1579)</f>
        <v/>
      </c>
    </row>
    <row r="1581">
      <c r="A1581" t="inlineStr">
        <is>
          <t>Average Buff Multiplier</t>
        </is>
      </c>
      <c r="B1581">
        <f>(1+(((C1563=TRUE)*F1563*IF(AND(Inputs!$B$39&lt;&gt;"pvp",Inputs!$B$44&gt;0),(((R1563-1)*(Skills!Y21*(1+Inputs!$B$34/100))+MIN((Skills!Y21*(1+Inputs!$B$34/100)),MAX(0,Inputs!$B$44-((R1563-1)*Skills!D21))))/Inputs!$B$44),IF(Inputs!$B$39="pvp",MIN((Skills!Y21*(1+Inputs!$B$34/100)),15)/15,(Skills!Y21*(1+Inputs!$B$34/100))/Skills!D21)))+((C1570=TRUE)*(F1570-Calc!F28))+((C1560=TRUE)*(F1560-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1557=TRUE)*F1557*IF(AND(Inputs!$B$39&lt;&gt;"pvp",Inputs!$B$44&gt;0),(((R1557-1)*(Skills!Y15*(1+Inputs!$B$34/100))+MIN((Skills!Y15*(1+Inputs!$B$34/100)),MAX(0,Inputs!$B$44-((R1557-1)*Skills!D15))))/Inputs!$B$44),IF(Inputs!$B$39="pvp",MIN((Skills!Y15*(1+Inputs!$B$34/100)),15)/15,(Skills!Y15*(1+Inputs!$B$34/100))/Skills!D15)))/100)*(1+((C1548=TRUE)*F1548*B1576)/100)</f>
        <v/>
      </c>
    </row>
    <row r="1582">
      <c r="A1582" t="inlineStr">
        <is>
          <t>Global Crit Rate Bonus %</t>
        </is>
      </c>
      <c r="B1582">
        <f>IF(Inputs!$B$3&gt;=47,8,0)+((C1562=TRUE)*F1562*IF(AND(Inputs!$B$39&lt;&gt;"pvp",Inputs!$B$44&gt;0),(((R1562-1)*(Skills!Y20*(1+Inputs!$B$34/100))+MIN((Skills!Y20*(1+Inputs!$B$34/100)),MAX(0,Inputs!$B$44-((R1562-1)*Skills!D20))))/Inputs!$B$44),IF(Inputs!$B$39="pvp",MIN((Skills!Y20*(1+Inputs!$B$34/100)),15)/15,(Skills!Y20*(1+Inputs!$B$34/100))/Skills!D20)))</f>
        <v/>
      </c>
    </row>
    <row r="1583">
      <c r="A1583" t="inlineStr">
        <is>
          <t>Global Monster Damage-Taken Bonus %</t>
        </is>
      </c>
      <c r="B1583">
        <f>IF(Inputs!$B$3&gt;=82,15,0)+((C1558=TRUE)*F1558*IF(AND(Inputs!$B$39&lt;&gt;"pvp",Inputs!$B$44&gt;0),(((R1558-1)*(Skills!Y16*(1+Inputs!$B$34/100))+MIN((Skills!Y16*(1+Inputs!$B$34/100)),MAX(0,Inputs!$B$44-((R1558-1)*Skills!D16))))/Inputs!$B$44),IF(Inputs!$B$39="pvp",MIN((Skills!Y16*(1+Inputs!$B$34/100)),15)/15,(Skills!Y16*(1+Inputs!$B$34/100))/Skills!D16)))</f>
        <v/>
      </c>
    </row>
    <row r="1584">
      <c r="A1584" t="inlineStr">
        <is>
          <t>Shadow Partner Average Multiplier</t>
        </is>
      </c>
      <c r="B1584">
        <f>1+((C1553=TRUE)*F1553*I1553*Skills!J11/100)/100</f>
        <v/>
      </c>
    </row>
    <row r="1585">
      <c r="A1585" t="inlineStr">
        <is>
          <t>Global Critical Damage Bonus % (Frailty Curse Mastery Lv.111)</t>
        </is>
      </c>
      <c r="B1585">
        <f>IF(Inputs!$B$3&gt;=111,30,0)*IF(AND(Inputs!$B$39&lt;&gt;"pvp",Inputs!$B$44&gt;0),(((R1558-1)*(Skills!Y16*(1+Inputs!$B$34/100))+MIN((Skills!Y16*(1+Inputs!$B$34/100)),MAX(0,Inputs!$B$44-((R1558-1)*Skills!D16))))/Inputs!$B$44),IF(Inputs!$B$39="pvp",MIN((Skills!Y16*(1+Inputs!$B$34/100)),15)/15,(Skills!Y16*(1+Inputs!$B$34/100))/Skills!D16))</f>
        <v/>
      </c>
    </row>
    <row r="1586">
      <c r="A1586" s="6" t="inlineStr">
        <is>
          <t>TOTAL DPS</t>
        </is>
      </c>
      <c r="B1586" s="6">
        <f>SUM(O1544:O1573)</f>
        <v/>
      </c>
    </row>
    <row r="1587">
      <c r="A1587" t="inlineStr">
        <is>
          <t>Buff-Casting Startup Delay (s, fixed-duration only)</t>
        </is>
      </c>
      <c r="B1587">
        <f>IF(AND(Inputs!$B$39&lt;&gt;"pvp",Inputs!$B$44&gt;0),SUMPRODUCT((Skills!Y2:Y31&gt;0)*(Skills!E2:E31=TRUE)*(C1544:C1573=TRUE))/B1578,0)</f>
        <v/>
      </c>
    </row>
    <row r="1588">
      <c r="A1588" t="inlineStr">
        <is>
          <t>Boss-Only Total DPS (this block's swept value)</t>
        </is>
      </c>
      <c r="B1588">
        <f>SUM(T1544:T1573)</f>
        <v/>
      </c>
    </row>
    <row r="1589">
      <c r="A1589" t="inlineStr">
        <is>
          <t>Normal-Only Total DPS (this block's swept value)</t>
        </is>
      </c>
      <c r="B1589">
        <f>SUM(V1544:V1573)</f>
        <v/>
      </c>
    </row>
    <row r="1591">
      <c r="A1591" s="6" t="inlineStr">
        <is>
          <t>Stat: Rainbow-colored Snail Shell (Equip)</t>
        </is>
      </c>
    </row>
    <row r="1592">
      <c r="A1592" s="5" t="inlineStr">
        <is>
          <t>Key</t>
        </is>
      </c>
      <c r="B1592" s="5" t="inlineStr">
        <is>
          <t>Name</t>
        </is>
      </c>
      <c r="C1592" s="5" t="inlineStr">
        <is>
          <t>Unlocked</t>
        </is>
      </c>
      <c r="D1592" s="5" t="inlineStr">
        <is>
          <t>InputLevel</t>
        </is>
      </c>
      <c r="E1592" s="5" t="inlineStr">
        <is>
          <t>Factor</t>
        </is>
      </c>
      <c r="F1592" s="5" t="inlineStr">
        <is>
          <t>CoefficientPercent</t>
        </is>
      </c>
      <c r="G1592" s="5" t="inlineStr">
        <is>
          <t>EffectiveHits</t>
        </is>
      </c>
      <c r="H1592" s="5" t="inlineStr">
        <is>
          <t>ProcProbability</t>
        </is>
      </c>
      <c r="I1592" s="5" t="inlineStr">
        <is>
          <t>MapleHeroMultiplier</t>
        </is>
      </c>
      <c r="J1592" s="5" t="inlineStr">
        <is>
          <t>BaseDamage</t>
        </is>
      </c>
      <c r="K1592" s="5" t="inlineStr">
        <is>
          <t>BaseHitDamage</t>
        </is>
      </c>
      <c r="L1592" s="5" t="inlineStr">
        <is>
          <t>NonCritAvg</t>
        </is>
      </c>
      <c r="M1592" s="5" t="inlineStr">
        <is>
          <t>CritAvg</t>
        </is>
      </c>
      <c r="N1592" s="5" t="inlineStr">
        <is>
          <t>ExpectedDamage(perHit)</t>
        </is>
      </c>
      <c r="O1592" s="5" t="inlineStr">
        <is>
          <t>DPS</t>
        </is>
      </c>
      <c r="P1592" s="5" t="inlineStr">
        <is>
          <t>% of Total</t>
        </is>
      </c>
      <c r="Q1592" s="5" t="inlineStr">
        <is>
          <t>InvCooldown</t>
        </is>
      </c>
      <c r="R1592" s="5" t="inlineStr">
        <is>
          <t>CastsInFight</t>
        </is>
      </c>
      <c r="S1592" s="5" t="inlineStr">
        <is>
          <t>HitRate(perSec)</t>
        </is>
      </c>
      <c r="U1592" t="inlineStr">
        <is>
          <t>helpers</t>
        </is>
      </c>
    </row>
    <row r="1593">
      <c r="A1593">
        <f>Skills!A2</f>
        <v/>
      </c>
      <c r="B1593">
        <f>Skills!B2</f>
        <v/>
      </c>
      <c r="C1593">
        <f>Inputs!$B$3&gt;=100</f>
        <v/>
      </c>
      <c r="D1593" t="inlineStr"/>
      <c r="E1593" t="inlineStr"/>
      <c r="F1593">
        <f>U1597+Skills!O2</f>
        <v/>
      </c>
      <c r="G1593">
        <f>Calc!G2</f>
        <v/>
      </c>
      <c r="H1593">
        <f>Calc!H2</f>
        <v/>
      </c>
      <c r="I1593">
        <f>IF(Skills!AA2&lt;&gt;"",1+(Skills!AA2/10)*(U1594/1000)/100,1)</f>
        <v/>
      </c>
      <c r="J1593">
        <f>((Inputs!$B$6*(1+Inputs!$B$7/100))+(((Inputs!$B$12*(1+Inputs!$B$13/100))-(Inputs!$B$12*(1+Inputs!$B$13/100)))+0.25*(Inputs!$B$14-Inputs!$B$14))*(1+Inputs!$B$7/100))*(F1593/100)</f>
        <v/>
      </c>
      <c r="K1593">
        <f>J1593*(1+((Inputs!$B$12*(1+Inputs!$B$13/100))*0.01+Inputs!$B$14*0.0025)/100)*(1+Inputs!$B$15/100)*(1+Inputs!$B$16/100)*(5000/(6000+Inputs!$B$43*(1-(100*(1-(1-(Inputs!$B$19+0)/100)*(1-CHOOSE(ArtifactsInput!$N$40+1,5,6,7,8,9,10)/100)^(ArtifactsInput!$M$40-ArtifactsInput!$M$40)))/100)))*(1+(Inputs!$B$24+((C1621=TRUE)*(F1621-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1614=TRUE)*(F1614-Calc!F23))+(((IF(AND(ArtifactsInput!$M$42,((Inputs!$B$9+((C1616=TRUE)*(F1616-Calc!F25))+B1631+(ArtifactsInput!$M$24-ArtifactsInput!$M$24)*CHOOSE(ArtifactsInput!$N$24+1,10,12,14,16,18,20)+IF(IF(ArtifactsInput!$M$10,FALSE,TRUE),CHOOSE(ArtifactsInput!$N$10+1,15,18,21,24,27,30)*(IF(Inputs!$B$39="pvp",MIN(15,15)/15,IF(AND(Inputs!$B$39&lt;&gt;"pvp",Inputs!$B$44&gt;0),MIN(15,Inputs!$B$44)/(Inputs!$B$44),0))),0)))&gt;=100),MIN(100,((Inputs!$B$9+((C1616=TRUE)*(F1616-Calc!F25))+B1631+(ArtifactsInput!$M$24-ArtifactsInput!$M$24)*CHOOSE(ArtifactsInput!$N$24+1,10,12,14,16,18,20)+IF(IF(ArtifactsInput!$M$10,FALSE,TRUE),CHOOSE(ArtifactsInput!$N$10+1,15,18,21,24,27,30)*(IF(Inputs!$B$39="pvp",MIN(15,15)/15,IF(AND(Inputs!$B$39&lt;&gt;"pvp",Inputs!$B$44&gt;0),MIN(15,Inputs!$B$44)/(Inputs!$B$44),0))),0)))-100),0))*CHOOSE(ArtifactsInput!$N$42+1,0.6,0.72,0.84,0.96,1.08,1.2))),Inputs!$B$18+((C1620=TRUE)*(F1620-Calc!F29))+(IF(AND(ArtifactsInput!$M$42,((Inputs!$B$9+((C1616=TRUE)*(F1616-Calc!F25))+B1631+(ArtifactsInput!$M$24-ArtifactsInput!$M$24)*CHOOSE(ArtifactsInput!$N$24+1,10,12,14,16,18,20)+IF(IF(ArtifactsInput!$M$10,FALSE,TRUE),CHOOSE(ArtifactsInput!$N$10+1,15,18,21,24,27,30)*(IF(Inputs!$B$39="pvp",MIN(15,15)/15,IF(AND(Inputs!$B$39&lt;&gt;"pvp",Inputs!$B$44&gt;0),MIN(15,Inputs!$B$44)/(Inputs!$B$44),0))),0)))&gt;=100),CHOOSE(ArtifactsInput!$N$42+1,40,48,56,64,72,80),0))))/100)*(((1+(((C1612=TRUE)*F1612*IF(AND(Inputs!$B$39&lt;&gt;"pvp",Inputs!$B$44&gt;0),(((R1612-1)*(Skills!Y21*(1+Inputs!$B$34/100))+MIN((Skills!Y21*(1+Inputs!$B$34/100)),MAX(0,Inputs!$B$44-((R1612-1)*Skills!D21))))/Inputs!$B$44),IF(Inputs!$B$39="pvp",MIN((Skills!Y21*(1+Inputs!$B$34/100)),15)/15,(Skills!Y21*(1+Inputs!$B$34/100))/Skills!D21)))+((C1619=TRUE)*(F1619-Calc!F28))+((C1609=TRUE)*(F1609-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1606=TRUE)*F1606*IF(AND(Inputs!$B$39&lt;&gt;"pvp",Inputs!$B$44&gt;0),(((R1606-1)*(Skills!Y15*(1+Inputs!$B$34/100))+MIN((Skills!Y15*(1+Inputs!$B$34/100)),MAX(0,Inputs!$B$44-((R1606-1)*Skills!D15))))/Inputs!$B$44),IF(Inputs!$B$39="pvp",MIN((Skills!Y15*(1+Inputs!$B$34/100)),15)/15,(Skills!Y15*(1+Inputs!$B$34/100))/Skills!D15)))/100)*(1+((C1597=TRUE)*F1597*B1625)/100))*B1633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1593)</f>
        <v/>
      </c>
      <c r="L1593">
        <f>K1593*(MIN(Inputs!$B$22+((C1615=TRUE)*(F1615-Calc!F24)),(Inputs!$B$23+0+(IF(ArtifactsInput!$M$15,CHOOSE(ArtifactsInput!$N$15+1,25,30,35,40,45,50)/100*(Inputs!$B$11-Inputs!$B$11),0))))/100+(Inputs!$B$23+0+(IF(ArtifactsInput!$M$15,CHOOSE(ArtifactsInput!$N$15+1,25,30,35,40,45,50)/100*(Inputs!$B$11-Inputs!$B$11),0)))/100)/2</f>
        <v/>
      </c>
      <c r="M1593">
        <f>L1593*(1+(Inputs!$B$10+((C1617=TRUE)*(F1617-Calc!F26))+B1634+(IF(ArtifactsInput!$M$24,CHOOSE(ArtifactsInput!$N$24+1,30,36,42,48,54,60)/100*(Inputs!$B$9-Inputs!$B$9),0)+IF(IF(ArtifactsInput!$M$10,FALSE,TRUE),CHOOSE(ArtifactsInput!$N$10+1,20,24,28,32,36,40)*(IF(Inputs!$B$39="pvp",MIN(15,15)/15,IF(AND(Inputs!$B$39&lt;&gt;"pvp",Inputs!$B$44&gt;0),MIN(15,Inputs!$B$44)/(Inputs!$B$44),0))),0)+IF(ArtifactsInput!$M$31,1.5*CHOOSE(ArtifactsInput!$N$31+1,20,24,28,32,36,40),0)))/100)</f>
        <v/>
      </c>
      <c r="N1593">
        <f>L1593*(1-MIN((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1593*(MIN((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593">
        <f>(1-Summary!$B$11)*T1593+Summary!$B$11*V1593</f>
        <v/>
      </c>
      <c r="P1593">
        <f>IF(B1635=0,0,O1593/B1635)</f>
        <v/>
      </c>
      <c r="Q1593" t="n">
        <v>0</v>
      </c>
      <c r="R1593" t="n">
        <v>0</v>
      </c>
      <c r="S1593">
        <f>IFERROR(O1593/N1593,0)</f>
        <v/>
      </c>
      <c r="T1593">
        <f>IF(C1593,(Skills!G2*N1593*B1629)*IF(Inputs!$B$39="pvp",1,1+(Inputs!$B$20+((C1618=TRUE)*(F1618-Calc!F27))+Skills!P2+B1632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Hunt"),CHOOSE(ArtifactsInput!$N$35+1,15,18,21,24,27,30)*(1-EXP(-(0.2*B1627)*5)),0)+IF(AND(ArtifactsInput!$M$22,Inputs!$B$4&lt;&gt;"Chapter Hunt"),CHOOSE(ArtifactsInput!$N$22+1,10,12,14,16,18,20)*((0*(((0.15*B1627*5))^0/1)+1*(((0.15*B1627*5))^1/1)+2*(((0.15*B1627*5))^2/2)+3*(((0.15*B1627*5))^3/6)+4*(((0.15*B1627*5))^4/24)+5*(((0.15*B1627*5))^5/120))/((((0.15*B1627*5))^0/1)+(((0.15*B1627*5))^1/1)+(((0.15*B1627*5))^2/2)+(((0.15*B1627*5))^3/6)+(((0.15*B1627*5))^4/24)+(((0.15*B1627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1593*(1-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1593*(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1593*(1-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1593*(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93">
        <f>MAX(0,(Inputs!$B$3-100)*3)+Inputs!$B$28+Inputs!$B$29</f>
        <v/>
      </c>
      <c r="V1593">
        <f>IF(C1593,(Skills!G2*N1593*B1629)*IF(Inputs!$B$39="pvp",1,(1+(Inputs!$B$21+Skills!Q2+B1632+(IF(ArtifactsInput!$M$33,CHOOSE(ArtifactsInput!$N$33+1,30,36,42,48,54,60),0))+(IF(AND(ArtifactsInput!$M$35,Inputs!$B$4&lt;&gt;"Chapter Hunt"),CHOOSE(ArtifactsInput!$N$35+1,15,18,21,24,27,30)*(1-EXP(-(0.2*B1627)*5)),0)+IF(AND(ArtifactsInput!$M$22,Inputs!$B$4&lt;&gt;"Chapter Hunt"),CHOOSE(ArtifactsInput!$N$22+1,10,12,14,16,18,20)*((0*(((0.15*B1627*5))^0/1)+1*(((0.15*B1627*5))^1/1)+2*(((0.15*B1627*5))^2/2)+3*(((0.15*B1627*5))^3/6)+4*(((0.15*B1627*5))^4/24)+5*(((0.15*B1627*5))^5/120))/((((0.15*B1627*5))^0/1)+(((0.15*B1627*5))^1/1)+(((0.15*B1627*5))^2/2)+(((0.15*B1627*5))^3/6)+(((0.15*B1627*5))^4/24)+(((0.15*B1627*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94">
      <c r="A1594">
        <f>Skills!A3</f>
        <v/>
      </c>
      <c r="B1594">
        <f>Skills!B3</f>
        <v/>
      </c>
      <c r="C1594">
        <f>Inputs!$B$3&gt;=35</f>
        <v/>
      </c>
      <c r="D1594">
        <f>IF(Skills!C3=1,60+Inputs!$B$25+Inputs!$B$29,IF(Skills!C3=2,90+Inputs!$B$26+Inputs!$B$29,IF(Skills!C3=3,120+Inputs!$B$27+Inputs!$B$29,MAX(0,(Inputs!$B$3-100)*3)+Inputs!$B$28+Inputs!$B$29)))</f>
        <v/>
      </c>
      <c r="E1594">
        <f>INDEX(FactorTable!$B$2:$Y$301, MATCH(ROUND(MIN(300,MAX(1,D1594)),0), FactorTable!$A$2:$A$301,0), Skills!M3+1)</f>
        <v/>
      </c>
      <c r="F1594">
        <f>IF(Skills!N3=TRUE,(Skills!L3/10)*(E1594/1000),Skills!L3/10)+Skills!O3</f>
        <v/>
      </c>
      <c r="G1594">
        <f>Calc!G3</f>
        <v/>
      </c>
      <c r="H1594">
        <f>Calc!H3</f>
        <v/>
      </c>
      <c r="I1594">
        <f>IF(Skills!AA3&lt;&gt;"",1+(Skills!AA3/10)*(U1594/1000)/100,1)</f>
        <v/>
      </c>
      <c r="J1594">
        <f>((Inputs!$B$6*(1+Inputs!$B$7/100))+(((Inputs!$B$12*(1+Inputs!$B$13/100))-(Inputs!$B$12*(1+Inputs!$B$13/100)))+0.25*(Inputs!$B$14-Inputs!$B$14))*(1+Inputs!$B$7/100))*(F1594/100)</f>
        <v/>
      </c>
      <c r="K1594">
        <f>J1594*(1+((Inputs!$B$12*(1+Inputs!$B$13/100))*0.01+Inputs!$B$14*0.0025)/100)*(1+Inputs!$B$15/100)*(1+Inputs!$B$16/100)*(5000/(6000+Inputs!$B$43*(1-(100*(1-(1-(Inputs!$B$19+0)/100)*(1-CHOOSE(ArtifactsInput!$N$40+1,5,6,7,8,9,10)/100)^(ArtifactsInput!$M$40-ArtifactsInput!$M$40)))/100)))*(1+(Inputs!$B$24+((C1621=TRUE)*(F1621-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1614=TRUE)*(F1614-Calc!F23))+(((IF(AND(ArtifactsInput!$M$42,((Inputs!$B$9+((C1616=TRUE)*(F1616-Calc!F25))+B1631+(ArtifactsInput!$M$24-ArtifactsInput!$M$24)*CHOOSE(ArtifactsInput!$N$24+1,10,12,14,16,18,20)+IF(IF(ArtifactsInput!$M$10,FALSE,TRUE),CHOOSE(ArtifactsInput!$N$10+1,15,18,21,24,27,30)*(IF(Inputs!$B$39="pvp",MIN(15,15)/15,IF(AND(Inputs!$B$39&lt;&gt;"pvp",Inputs!$B$44&gt;0),MIN(15,Inputs!$B$44)/(Inputs!$B$44),0))),0)))&gt;=100),MIN(100,((Inputs!$B$9+((C1616=TRUE)*(F1616-Calc!F25))+B1631+(ArtifactsInput!$M$24-ArtifactsInput!$M$24)*CHOOSE(ArtifactsInput!$N$24+1,10,12,14,16,18,20)+IF(IF(ArtifactsInput!$M$10,FALSE,TRUE),CHOOSE(ArtifactsInput!$N$10+1,15,18,21,24,27,30)*(IF(Inputs!$B$39="pvp",MIN(15,15)/15,IF(AND(Inputs!$B$39&lt;&gt;"pvp",Inputs!$B$44&gt;0),MIN(15,Inputs!$B$44)/(Inputs!$B$44),0))),0)))-100),0))*CHOOSE(ArtifactsInput!$N$42+1,0.6,0.72,0.84,0.96,1.08,1.2))),Inputs!$B$18+((C1620=TRUE)*(F1620-Calc!F29))+(IF(AND(ArtifactsInput!$M$42,((Inputs!$B$9+((C1616=TRUE)*(F1616-Calc!F25))+B1631+(ArtifactsInput!$M$24-ArtifactsInput!$M$24)*CHOOSE(ArtifactsInput!$N$24+1,10,12,14,16,18,20)+IF(IF(ArtifactsInput!$M$10,FALSE,TRUE),CHOOSE(ArtifactsInput!$N$10+1,15,18,21,24,27,30)*(IF(Inputs!$B$39="pvp",MIN(15,15)/15,IF(AND(Inputs!$B$39&lt;&gt;"pvp",Inputs!$B$44&gt;0),MIN(15,Inputs!$B$44)/(Inputs!$B$44),0))),0)))&gt;=100),CHOOSE(ArtifactsInput!$N$42+1,40,48,56,64,72,80),0))))/100)*(((1+(((C1612=TRUE)*F1612*IF(AND(Inputs!$B$39&lt;&gt;"pvp",Inputs!$B$44&gt;0),(((R1612-1)*(Skills!Y21*(1+Inputs!$B$34/100))+MIN((Skills!Y21*(1+Inputs!$B$34/100)),MAX(0,Inputs!$B$44-((R1612-1)*Skills!D21))))/Inputs!$B$44),IF(Inputs!$B$39="pvp",MIN((Skills!Y21*(1+Inputs!$B$34/100)),15)/15,(Skills!Y21*(1+Inputs!$B$34/100))/Skills!D21)))+((C1619=TRUE)*(F1619-Calc!F28))+((C1609=TRUE)*(F1609-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1606=TRUE)*F1606*IF(AND(Inputs!$B$39&lt;&gt;"pvp",Inputs!$B$44&gt;0),(((R1606-1)*(Skills!Y15*(1+Inputs!$B$34/100))+MIN((Skills!Y15*(1+Inputs!$B$34/100)),MAX(0,Inputs!$B$44-((R1606-1)*Skills!D15))))/Inputs!$B$44),IF(Inputs!$B$39="pvp",MIN((Skills!Y15*(1+Inputs!$B$34/100)),15)/15,(Skills!Y15*(1+Inputs!$B$34/100))/Skills!D15)))/100)*(1+((C1597=TRUE)*F1597*B1625)/100))*B1633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1594)</f>
        <v/>
      </c>
      <c r="L1594">
        <f>K1594*(MIN(Inputs!$B$22+((C1615=TRUE)*(F1615-Calc!F24)),(Inputs!$B$23+0+(IF(ArtifactsInput!$M$15,CHOOSE(ArtifactsInput!$N$15+1,25,30,35,40,45,50)/100*(Inputs!$B$11-Inputs!$B$11),0))))/100+(Inputs!$B$23+0+(IF(ArtifactsInput!$M$15,CHOOSE(ArtifactsInput!$N$15+1,25,30,35,40,45,50)/100*(Inputs!$B$11-Inputs!$B$11),0)))/100)/2</f>
        <v/>
      </c>
      <c r="M1594">
        <f>L1594*(1+(Inputs!$B$10+((C1617=TRUE)*(F1617-Calc!F26))+B1634+(IF(ArtifactsInput!$M$24,CHOOSE(ArtifactsInput!$N$24+1,30,36,42,48,54,60)/100*(Inputs!$B$9-Inputs!$B$9),0)+IF(IF(ArtifactsInput!$M$10,FALSE,TRUE),CHOOSE(ArtifactsInput!$N$10+1,20,24,28,32,36,40)*(IF(Inputs!$B$39="pvp",MIN(15,15)/15,IF(AND(Inputs!$B$39&lt;&gt;"pvp",Inputs!$B$44&gt;0),MIN(15,Inputs!$B$44)/(Inputs!$B$44),0))),0)+IF(ArtifactsInput!$M$31,1.5*CHOOSE(ArtifactsInput!$N$31+1,20,24,28,32,36,40),0)))/100)</f>
        <v/>
      </c>
      <c r="N1594">
        <f>L1594*(1-MIN((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1594*(MIN((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594">
        <f>(1-Summary!$B$11)*T1594+Summary!$B$11*V1594</f>
        <v/>
      </c>
      <c r="P1594">
        <f>IF(B1635=0,0,O1594/B1635)</f>
        <v/>
      </c>
      <c r="Q1594">
        <f>IFERROR(1/IF(Inputs!$B$39="pvp",15,MAX(0.1,Skills!D3-IF(Skills!E3=TRUE,Inputs!$B$32,0))),0)</f>
        <v/>
      </c>
      <c r="R1594">
        <f>IF(AND(Inputs!$B$39&lt;&gt;"pvp",Inputs!$B$44&gt;0),IF(MAX(0,Inputs!$B$44-B1636)&lt;=0,0,(INT(MAX(0,Inputs!$B$44-B1636)/IF(Inputs!$B$39="pvp",15,MAX(0.1,Skills!D3-IF(Skills!E3=TRUE,Inputs!$B$32,0))))+1)),0)</f>
        <v/>
      </c>
      <c r="S1594">
        <f>IFERROR(O1594/N1594,0)</f>
        <v/>
      </c>
      <c r="T1594">
        <f>IF(C1594,(H1594*N1594*IF(AND(Inputs!$B$39&lt;&gt;"pvp",Inputs!$B$44&gt;0),((Skills!G3*((R1594-1)*IF(Skills!H3&gt;0,Skills!I3/Skills!H3,1)+IF(Skills!H3&gt;0,MIN(Skills!I3,MAX(0,MAX(0,Inputs!$B$44-B1636)-((R1594-1)*IF(Inputs!$B$39="pvp",15,MAX(0.1,Skills!D3-IF(Skills!E3=TRUE,Inputs!$B$32,0))))))/Skills!H3,1)))/Inputs!$B$44),G1594*Q1594))*IF(Inputs!$B$39="pvp",1,1+(Inputs!$B$20+((C1618=TRUE)*(F1618-Calc!F27))+Skills!P3+B1632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Hunt"),CHOOSE(ArtifactsInput!$N$35+1,15,18,21,24,27,30)*(1-EXP(-(0.2*B1627)*5)),0)+IF(AND(ArtifactsInput!$M$22,Inputs!$B$4&lt;&gt;"Chapter Hunt"),CHOOSE(ArtifactsInput!$N$22+1,10,12,14,16,18,20)*((0*(((0.15*B1627*5))^0/1)+1*(((0.15*B1627*5))^1/1)+2*(((0.15*B1627*5))^2/2)+3*(((0.15*B1627*5))^3/6)+4*(((0.15*B1627*5))^4/24)+5*(((0.15*B1627*5))^5/120))/((((0.15*B1627*5))^0/1)+(((0.15*B1627*5))^1/1)+(((0.15*B1627*5))^2/2)+(((0.15*B1627*5))^3/6)+(((0.15*B1627*5))^4/24)+(((0.15*B1627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1594*(1-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1594*(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1594*(1-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1594*(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94">
        <f>INDEX(FactorTable!$B$2:$Y$301, MATCH(ROUND(MIN(300,MAX(1,U1593)),0), FactorTable!$A$2:$A$301,0), 24)</f>
        <v/>
      </c>
      <c r="V1594">
        <f>IF(C1594,(H1594*N1594*IF(AND(Inputs!$B$39&lt;&gt;"pvp",Inputs!$B$44&gt;0),((Skills!G3*((R1594-1)*IF(Skills!H3&gt;0,Skills!I3/Skills!H3,1)+IF(Skills!H3&gt;0,MIN(Skills!I3,MAX(0,MAX(0,Inputs!$B$44-B1636)-((R1594-1)*IF(Inputs!$B$39="pvp",15,MAX(0.1,Skills!D3-IF(Skills!E3=TRUE,Inputs!$B$32,0))))))/Skills!H3,1)))/Inputs!$B$44),G1594*Q1594))*IF(Inputs!$B$39="pvp",1,(1+(Inputs!$B$21+Skills!Q3+B1632+(IF(ArtifactsInput!$M$33,CHOOSE(ArtifactsInput!$N$33+1,30,36,42,48,54,60),0))+(IF(AND(ArtifactsInput!$M$35,Inputs!$B$4&lt;&gt;"Chapter Hunt"),CHOOSE(ArtifactsInput!$N$35+1,15,18,21,24,27,30)*(1-EXP(-(0.2*B1627)*5)),0)+IF(AND(ArtifactsInput!$M$22,Inputs!$B$4&lt;&gt;"Chapter Hunt"),CHOOSE(ArtifactsInput!$N$22+1,10,12,14,16,18,20)*((0*(((0.15*B1627*5))^0/1)+1*(((0.15*B1627*5))^1/1)+2*(((0.15*B1627*5))^2/2)+3*(((0.15*B1627*5))^3/6)+4*(((0.15*B1627*5))^4/24)+5*(((0.15*B1627*5))^5/120))/((((0.15*B1627*5))^0/1)+(((0.15*B1627*5))^1/1)+(((0.15*B1627*5))^2/2)+(((0.15*B1627*5))^3/6)+(((0.15*B1627*5))^4/24)+(((0.15*B1627*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95">
      <c r="A1595">
        <f>Skills!A4</f>
        <v/>
      </c>
      <c r="B1595">
        <f>Skills!B4</f>
        <v/>
      </c>
      <c r="C1595">
        <f>Inputs!$B$3&gt;=40</f>
        <v/>
      </c>
      <c r="D1595">
        <f>IF(Skills!C4=1,60+Inputs!$B$25+Inputs!$B$29,IF(Skills!C4=2,90+Inputs!$B$26+Inputs!$B$29,IF(Skills!C4=3,120+Inputs!$B$27+Inputs!$B$29,MAX(0,(Inputs!$B$3-100)*3)+Inputs!$B$28+Inputs!$B$29)))</f>
        <v/>
      </c>
      <c r="E1595">
        <f>INDEX(FactorTable!$B$2:$Y$301, MATCH(ROUND(MIN(300,MAX(1,D1595)),0), FactorTable!$A$2:$A$301,0), Skills!M4+1)</f>
        <v/>
      </c>
      <c r="F1595">
        <f>IF(Skills!N4=TRUE,(Skills!L4/10)*(E1595/1000),Skills!L4/10)+Skills!O4</f>
        <v/>
      </c>
      <c r="G1595">
        <f>Calc!G4</f>
        <v/>
      </c>
      <c r="H1595">
        <f>Calc!H4</f>
        <v/>
      </c>
      <c r="I1595">
        <f>IF(Skills!AA4&lt;&gt;"",1+(Skills!AA4/10)*(U1594/1000)/100,1)</f>
        <v/>
      </c>
      <c r="J1595">
        <f>((Inputs!$B$6*(1+Inputs!$B$7/100))+(((Inputs!$B$12*(1+Inputs!$B$13/100))-(Inputs!$B$12*(1+Inputs!$B$13/100)))+0.25*(Inputs!$B$14-Inputs!$B$14))*(1+Inputs!$B$7/100))*(F1595/100)</f>
        <v/>
      </c>
      <c r="K1595">
        <f>J1595*(1+((Inputs!$B$12*(1+Inputs!$B$13/100))*0.01+Inputs!$B$14*0.0025)/100)*(1+Inputs!$B$15/100)*(1+Inputs!$B$16/100)*(5000/(6000+Inputs!$B$43*(1-(100*(1-(1-(Inputs!$B$19+0)/100)*(1-CHOOSE(ArtifactsInput!$N$40+1,5,6,7,8,9,10)/100)^(ArtifactsInput!$M$40-ArtifactsInput!$M$40)))/100)))*(1+(Inputs!$B$24+((C1621=TRUE)*(F1621-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1614=TRUE)*(F1614-Calc!F23))+(((IF(AND(ArtifactsInput!$M$42,((Inputs!$B$9+((C1616=TRUE)*(F1616-Calc!F25))+B1631+(ArtifactsInput!$M$24-ArtifactsInput!$M$24)*CHOOSE(ArtifactsInput!$N$24+1,10,12,14,16,18,20)+IF(IF(ArtifactsInput!$M$10,FALSE,TRUE),CHOOSE(ArtifactsInput!$N$10+1,15,18,21,24,27,30)*(IF(Inputs!$B$39="pvp",MIN(15,15)/15,IF(AND(Inputs!$B$39&lt;&gt;"pvp",Inputs!$B$44&gt;0),MIN(15,Inputs!$B$44)/(Inputs!$B$44),0))),0)))&gt;=100),MIN(100,((Inputs!$B$9+((C1616=TRUE)*(F1616-Calc!F25))+B1631+(ArtifactsInput!$M$24-ArtifactsInput!$M$24)*CHOOSE(ArtifactsInput!$N$24+1,10,12,14,16,18,20)+IF(IF(ArtifactsInput!$M$10,FALSE,TRUE),CHOOSE(ArtifactsInput!$N$10+1,15,18,21,24,27,30)*(IF(Inputs!$B$39="pvp",MIN(15,15)/15,IF(AND(Inputs!$B$39&lt;&gt;"pvp",Inputs!$B$44&gt;0),MIN(15,Inputs!$B$44)/(Inputs!$B$44),0))),0)))-100),0))*CHOOSE(ArtifactsInput!$N$42+1,0.6,0.72,0.84,0.96,1.08,1.2))),Inputs!$B$18+((C1620=TRUE)*(F1620-Calc!F29))+(IF(AND(ArtifactsInput!$M$42,((Inputs!$B$9+((C1616=TRUE)*(F1616-Calc!F25))+B1631+(ArtifactsInput!$M$24-ArtifactsInput!$M$24)*CHOOSE(ArtifactsInput!$N$24+1,10,12,14,16,18,20)+IF(IF(ArtifactsInput!$M$10,FALSE,TRUE),CHOOSE(ArtifactsInput!$N$10+1,15,18,21,24,27,30)*(IF(Inputs!$B$39="pvp",MIN(15,15)/15,IF(AND(Inputs!$B$39&lt;&gt;"pvp",Inputs!$B$44&gt;0),MIN(15,Inputs!$B$44)/(Inputs!$B$44),0))),0)))&gt;=100),CHOOSE(ArtifactsInput!$N$42+1,40,48,56,64,72,80),0))))/100)*(((1+(((C1612=TRUE)*F1612*IF(AND(Inputs!$B$39&lt;&gt;"pvp",Inputs!$B$44&gt;0),(((R1612-1)*(Skills!Y21*(1+Inputs!$B$34/100))+MIN((Skills!Y21*(1+Inputs!$B$34/100)),MAX(0,Inputs!$B$44-((R1612-1)*Skills!D21))))/Inputs!$B$44),IF(Inputs!$B$39="pvp",MIN((Skills!Y21*(1+Inputs!$B$34/100)),15)/15,(Skills!Y21*(1+Inputs!$B$34/100))/Skills!D21)))+((C1619=TRUE)*(F1619-Calc!F28))+((C1609=TRUE)*(F1609-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1606=TRUE)*F1606*IF(AND(Inputs!$B$39&lt;&gt;"pvp",Inputs!$B$44&gt;0),(((R1606-1)*(Skills!Y15*(1+Inputs!$B$34/100))+MIN((Skills!Y15*(1+Inputs!$B$34/100)),MAX(0,Inputs!$B$44-((R1606-1)*Skills!D15))))/Inputs!$B$44),IF(Inputs!$B$39="pvp",MIN((Skills!Y15*(1+Inputs!$B$34/100)),15)/15,(Skills!Y15*(1+Inputs!$B$34/100))/Skills!D15)))/100)*(1+((C1597=TRUE)*F1597*B1625)/100))*B1633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1595)</f>
        <v/>
      </c>
      <c r="L1595">
        <f>K1595*(MIN(Inputs!$B$22+((C1615=TRUE)*(F1615-Calc!F24)),(Inputs!$B$23+0+(IF(ArtifactsInput!$M$15,CHOOSE(ArtifactsInput!$N$15+1,25,30,35,40,45,50)/100*(Inputs!$B$11-Inputs!$B$11),0))))/100+(Inputs!$B$23+0+(IF(ArtifactsInput!$M$15,CHOOSE(ArtifactsInput!$N$15+1,25,30,35,40,45,50)/100*(Inputs!$B$11-Inputs!$B$11),0)))/100)/2</f>
        <v/>
      </c>
      <c r="M1595">
        <f>L1595*(1+(Inputs!$B$10+((C1617=TRUE)*(F1617-Calc!F26))+B1634+(IF(ArtifactsInput!$M$24,CHOOSE(ArtifactsInput!$N$24+1,30,36,42,48,54,60)/100*(Inputs!$B$9-Inputs!$B$9),0)+IF(IF(ArtifactsInput!$M$10,FALSE,TRUE),CHOOSE(ArtifactsInput!$N$10+1,20,24,28,32,36,40)*(IF(Inputs!$B$39="pvp",MIN(15,15)/15,IF(AND(Inputs!$B$39&lt;&gt;"pvp",Inputs!$B$44&gt;0),MIN(15,Inputs!$B$44)/(Inputs!$B$44),0))),0)+IF(ArtifactsInput!$M$31,1.5*CHOOSE(ArtifactsInput!$N$31+1,20,24,28,32,36,40),0)))/100)</f>
        <v/>
      </c>
      <c r="N1595">
        <f>L1595*(1-MIN((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1595*(MIN((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595">
        <f>(1-Summary!$B$11)*T1595+Summary!$B$11*V1595</f>
        <v/>
      </c>
      <c r="P1595">
        <f>IF(B1635=0,0,O1595/B1635)</f>
        <v/>
      </c>
      <c r="Q1595">
        <f>IFERROR(1/IF(Inputs!$B$39="pvp",15,MAX(0.1,Skills!D4-IF(Skills!E4=TRUE,Inputs!$B$32,0))),0)</f>
        <v/>
      </c>
      <c r="R1595">
        <f>IF(AND(Inputs!$B$39&lt;&gt;"pvp",Inputs!$B$44&gt;0),IF(MAX(0,Inputs!$B$44-B1636)&lt;=0,0,(INT(MAX(0,Inputs!$B$44-B1636)/IF(Inputs!$B$39="pvp",15,MAX(0.1,Skills!D4-IF(Skills!E4=TRUE,Inputs!$B$32,0))))+1)),0)</f>
        <v/>
      </c>
      <c r="S1595">
        <f>IFERROR(O1595/N1595,0)</f>
        <v/>
      </c>
      <c r="T1595">
        <f>IF(C1595,(H1595*N1595*IF(AND(Inputs!$B$39&lt;&gt;"pvp",Inputs!$B$44&gt;0),((Skills!G4*((R1595-1)*IF(Skills!H4&gt;0,Skills!I4/Skills!H4,1)+IF(Skills!H4&gt;0,MIN(Skills!I4,MAX(0,MAX(0,Inputs!$B$44-B1636)-((R1595-1)*IF(Inputs!$B$39="pvp",15,MAX(0.1,Skills!D4-IF(Skills!E4=TRUE,Inputs!$B$32,0))))))/Skills!H4,1)))/Inputs!$B$44),G1595*Q1595))*IF(Inputs!$B$39="pvp",1,1+(Inputs!$B$20+((C1618=TRUE)*(F1618-Calc!F27))+Skills!P4+B1632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Hunt"),CHOOSE(ArtifactsInput!$N$35+1,15,18,21,24,27,30)*(1-EXP(-(0.2*B1627)*5)),0)+IF(AND(ArtifactsInput!$M$22,Inputs!$B$4&lt;&gt;"Chapter Hunt"),CHOOSE(ArtifactsInput!$N$22+1,10,12,14,16,18,20)*((0*(((0.15*B1627*5))^0/1)+1*(((0.15*B1627*5))^1/1)+2*(((0.15*B1627*5))^2/2)+3*(((0.15*B1627*5))^3/6)+4*(((0.15*B1627*5))^4/24)+5*(((0.15*B1627*5))^5/120))/((((0.15*B1627*5))^0/1)+(((0.15*B1627*5))^1/1)+(((0.15*B1627*5))^2/2)+(((0.15*B1627*5))^3/6)+(((0.15*B1627*5))^4/24)+(((0.15*B1627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1595*(1-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1595*(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1595*(1-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1595*(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95">
        <f>MAX(0,(Inputs!$B$3-100)*3)+Inputs!$B$28+Inputs!$B$29</f>
        <v/>
      </c>
      <c r="V1595">
        <f>IF(C1595,(H1595*N1595*IF(AND(Inputs!$B$39&lt;&gt;"pvp",Inputs!$B$44&gt;0),((Skills!G4*((R1595-1)*IF(Skills!H4&gt;0,Skills!I4/Skills!H4,1)+IF(Skills!H4&gt;0,MIN(Skills!I4,MAX(0,MAX(0,Inputs!$B$44-B1636)-((R1595-1)*IF(Inputs!$B$39="pvp",15,MAX(0.1,Skills!D4-IF(Skills!E4=TRUE,Inputs!$B$32,0))))))/Skills!H4,1)))/Inputs!$B$44),G1595*Q1595))*IF(Inputs!$B$39="pvp",1,(1+(Inputs!$B$21+Skills!Q4+B1632+(IF(ArtifactsInput!$M$33,CHOOSE(ArtifactsInput!$N$33+1,30,36,42,48,54,60),0))+(IF(AND(ArtifactsInput!$M$35,Inputs!$B$4&lt;&gt;"Chapter Hunt"),CHOOSE(ArtifactsInput!$N$35+1,15,18,21,24,27,30)*(1-EXP(-(0.2*B1627)*5)),0)+IF(AND(ArtifactsInput!$M$22,Inputs!$B$4&lt;&gt;"Chapter Hunt"),CHOOSE(ArtifactsInput!$N$22+1,10,12,14,16,18,20)*((0*(((0.15*B1627*5))^0/1)+1*(((0.15*B1627*5))^1/1)+2*(((0.15*B1627*5))^2/2)+3*(((0.15*B1627*5))^3/6)+4*(((0.15*B1627*5))^4/24)+5*(((0.15*B1627*5))^5/120))/((((0.15*B1627*5))^0/1)+(((0.15*B1627*5))^1/1)+(((0.15*B1627*5))^2/2)+(((0.15*B1627*5))^3/6)+(((0.15*B1627*5))^4/24)+(((0.15*B1627*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96">
      <c r="A1596">
        <f>Skills!A5</f>
        <v/>
      </c>
      <c r="B1596">
        <f>Skills!B5</f>
        <v/>
      </c>
      <c r="C1596">
        <f>Inputs!$B$3&gt;=63</f>
        <v/>
      </c>
      <c r="D1596">
        <f>IF(Skills!C5=1,60+Inputs!$B$25+Inputs!$B$29,IF(Skills!C5=2,90+Inputs!$B$26+Inputs!$B$29,IF(Skills!C5=3,120+Inputs!$B$27+Inputs!$B$29,MAX(0,(Inputs!$B$3-100)*3)+Inputs!$B$28+Inputs!$B$29)))</f>
        <v/>
      </c>
      <c r="E1596">
        <f>INDEX(FactorTable!$B$2:$Y$301, MATCH(ROUND(MIN(300,MAX(1,D1596)),0), FactorTable!$A$2:$A$301,0), Skills!M5+1)</f>
        <v/>
      </c>
      <c r="F1596">
        <f>IF(Skills!N5=TRUE,(Skills!L5/10)*(E1596/1000),Skills!L5/10)+Skills!O5</f>
        <v/>
      </c>
      <c r="G1596">
        <f>Calc!G5</f>
        <v/>
      </c>
      <c r="H1596">
        <f>Calc!H5</f>
        <v/>
      </c>
      <c r="I1596">
        <f>IF(Skills!AA5&lt;&gt;"",1+(Skills!AA5/10)*(U1594/1000)/100,1)</f>
        <v/>
      </c>
      <c r="J1596">
        <f>((Inputs!$B$6*(1+Inputs!$B$7/100))+(((Inputs!$B$12*(1+Inputs!$B$13/100))-(Inputs!$B$12*(1+Inputs!$B$13/100)))+0.25*(Inputs!$B$14-Inputs!$B$14))*(1+Inputs!$B$7/100))*(F1596/100)</f>
        <v/>
      </c>
      <c r="K1596">
        <f>J1596*(1+((Inputs!$B$12*(1+Inputs!$B$13/100))*0.01+Inputs!$B$14*0.0025)/100)*(1+Inputs!$B$15/100)*(1+Inputs!$B$16/100)*(5000/(6000+Inputs!$B$43*(1-(100*(1-(1-(Inputs!$B$19+0)/100)*(1-CHOOSE(ArtifactsInput!$N$40+1,5,6,7,8,9,10)/100)^(ArtifactsInput!$M$40-ArtifactsInput!$M$40)))/100)))*(1+(Inputs!$B$24+((C1621=TRUE)*(F1621-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1614=TRUE)*(F1614-Calc!F23))+(((IF(AND(ArtifactsInput!$M$42,((Inputs!$B$9+((C1616=TRUE)*(F1616-Calc!F25))+B1631+(ArtifactsInput!$M$24-ArtifactsInput!$M$24)*CHOOSE(ArtifactsInput!$N$24+1,10,12,14,16,18,20)+IF(IF(ArtifactsInput!$M$10,FALSE,TRUE),CHOOSE(ArtifactsInput!$N$10+1,15,18,21,24,27,30)*(IF(Inputs!$B$39="pvp",MIN(15,15)/15,IF(AND(Inputs!$B$39&lt;&gt;"pvp",Inputs!$B$44&gt;0),MIN(15,Inputs!$B$44)/(Inputs!$B$44),0))),0)))&gt;=100),MIN(100,((Inputs!$B$9+((C1616=TRUE)*(F1616-Calc!F25))+B1631+(ArtifactsInput!$M$24-ArtifactsInput!$M$24)*CHOOSE(ArtifactsInput!$N$24+1,10,12,14,16,18,20)+IF(IF(ArtifactsInput!$M$10,FALSE,TRUE),CHOOSE(ArtifactsInput!$N$10+1,15,18,21,24,27,30)*(IF(Inputs!$B$39="pvp",MIN(15,15)/15,IF(AND(Inputs!$B$39&lt;&gt;"pvp",Inputs!$B$44&gt;0),MIN(15,Inputs!$B$44)/(Inputs!$B$44),0))),0)))-100),0))*CHOOSE(ArtifactsInput!$N$42+1,0.6,0.72,0.84,0.96,1.08,1.2))),Inputs!$B$18+((C1620=TRUE)*(F1620-Calc!F29))+(IF(AND(ArtifactsInput!$M$42,((Inputs!$B$9+((C1616=TRUE)*(F1616-Calc!F25))+B1631+(ArtifactsInput!$M$24-ArtifactsInput!$M$24)*CHOOSE(ArtifactsInput!$N$24+1,10,12,14,16,18,20)+IF(IF(ArtifactsInput!$M$10,FALSE,TRUE),CHOOSE(ArtifactsInput!$N$10+1,15,18,21,24,27,30)*(IF(Inputs!$B$39="pvp",MIN(15,15)/15,IF(AND(Inputs!$B$39&lt;&gt;"pvp",Inputs!$B$44&gt;0),MIN(15,Inputs!$B$44)/(Inputs!$B$44),0))),0)))&gt;=100),CHOOSE(ArtifactsInput!$N$42+1,40,48,56,64,72,80),0))))/100)*(((1+(((C1612=TRUE)*F1612*IF(AND(Inputs!$B$39&lt;&gt;"pvp",Inputs!$B$44&gt;0),(((R1612-1)*(Skills!Y21*(1+Inputs!$B$34/100))+MIN((Skills!Y21*(1+Inputs!$B$34/100)),MAX(0,Inputs!$B$44-((R1612-1)*Skills!D21))))/Inputs!$B$44),IF(Inputs!$B$39="pvp",MIN((Skills!Y21*(1+Inputs!$B$34/100)),15)/15,(Skills!Y21*(1+Inputs!$B$34/100))/Skills!D21)))+((C1619=TRUE)*(F1619-Calc!F28))+((C1609=TRUE)*(F1609-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1606=TRUE)*F1606*IF(AND(Inputs!$B$39&lt;&gt;"pvp",Inputs!$B$44&gt;0),(((R1606-1)*(Skills!Y15*(1+Inputs!$B$34/100))+MIN((Skills!Y15*(1+Inputs!$B$34/100)),MAX(0,Inputs!$B$44-((R1606-1)*Skills!D15))))/Inputs!$B$44),IF(Inputs!$B$39="pvp",MIN((Skills!Y15*(1+Inputs!$B$34/100)),15)/15,(Skills!Y15*(1+Inputs!$B$34/100))/Skills!D15)))/100)*(1+((C1597=TRUE)*F1597*B1625)/100))*B1633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1596)</f>
        <v/>
      </c>
      <c r="L1596">
        <f>K1596*(MIN(Inputs!$B$22+((C1615=TRUE)*(F1615-Calc!F24)),(Inputs!$B$23+0+(IF(ArtifactsInput!$M$15,CHOOSE(ArtifactsInput!$N$15+1,25,30,35,40,45,50)/100*(Inputs!$B$11-Inputs!$B$11),0))))/100+(Inputs!$B$23+0+(IF(ArtifactsInput!$M$15,CHOOSE(ArtifactsInput!$N$15+1,25,30,35,40,45,50)/100*(Inputs!$B$11-Inputs!$B$11),0)))/100)/2</f>
        <v/>
      </c>
      <c r="M1596">
        <f>L1596*(1+(Inputs!$B$10+((C1617=TRUE)*(F1617-Calc!F26))+B1634+(IF(ArtifactsInput!$M$24,CHOOSE(ArtifactsInput!$N$24+1,30,36,42,48,54,60)/100*(Inputs!$B$9-Inputs!$B$9),0)+IF(IF(ArtifactsInput!$M$10,FALSE,TRUE),CHOOSE(ArtifactsInput!$N$10+1,20,24,28,32,36,40)*(IF(Inputs!$B$39="pvp",MIN(15,15)/15,IF(AND(Inputs!$B$39&lt;&gt;"pvp",Inputs!$B$44&gt;0),MIN(15,Inputs!$B$44)/(Inputs!$B$44),0))),0)+IF(ArtifactsInput!$M$31,1.5*CHOOSE(ArtifactsInput!$N$31+1,20,24,28,32,36,40),0)))/100)</f>
        <v/>
      </c>
      <c r="N1596">
        <f>L1596*(1-MIN((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1596*(MIN((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596">
        <f>(1-Summary!$B$11)*T1596+Summary!$B$11*V1596</f>
        <v/>
      </c>
      <c r="P1596">
        <f>IF(B1635=0,0,O1596/B1635)</f>
        <v/>
      </c>
      <c r="Q1596">
        <f>IFERROR(1/IF(Inputs!$B$39="pvp",15,MAX(0.1,Skills!D5-IF(Skills!E5=TRUE,Inputs!$B$32,0))),0)</f>
        <v/>
      </c>
      <c r="R1596">
        <f>IF(AND(Inputs!$B$39&lt;&gt;"pvp",Inputs!$B$44&gt;0),IF(MAX(0,Inputs!$B$44-B1636)&lt;=0,0,(INT(MAX(0,Inputs!$B$44-B1636)/IF(Inputs!$B$39="pvp",15,MAX(0.1,Skills!D5-IF(Skills!E5=TRUE,Inputs!$B$32,0))))+1)),0)</f>
        <v/>
      </c>
      <c r="S1596">
        <f>IFERROR(O1596/N1596,0)</f>
        <v/>
      </c>
      <c r="T1596">
        <f>IF(C1596,(H1596*N1596*IF(AND(Inputs!$B$39&lt;&gt;"pvp",Inputs!$B$44&gt;0),((Skills!G5*((R1596-1)*IF(Skills!H5&gt;0,Skills!I5/Skills!H5,1)+IF(Skills!H5&gt;0,MIN(Skills!I5,MAX(0,MAX(0,Inputs!$B$44-B1636)-((R1596-1)*IF(Inputs!$B$39="pvp",15,MAX(0.1,Skills!D5-IF(Skills!E5=TRUE,Inputs!$B$32,0))))))/Skills!H5,1)))/Inputs!$B$44),G1596*Q1596))*IF(Inputs!$B$39="pvp",1,1+(Inputs!$B$20+((C1618=TRUE)*(F1618-Calc!F27))+Skills!P5+B1632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Hunt"),CHOOSE(ArtifactsInput!$N$35+1,15,18,21,24,27,30)*(1-EXP(-(0.2*B1627)*5)),0)+IF(AND(ArtifactsInput!$M$22,Inputs!$B$4&lt;&gt;"Chapter Hunt"),CHOOSE(ArtifactsInput!$N$22+1,10,12,14,16,18,20)*((0*(((0.15*B1627*5))^0/1)+1*(((0.15*B1627*5))^1/1)+2*(((0.15*B1627*5))^2/2)+3*(((0.15*B1627*5))^3/6)+4*(((0.15*B1627*5))^4/24)+5*(((0.15*B1627*5))^5/120))/((((0.15*B1627*5))^0/1)+(((0.15*B1627*5))^1/1)+(((0.15*B1627*5))^2/2)+(((0.15*B1627*5))^3/6)+(((0.15*B1627*5))^4/24)+(((0.15*B1627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1596*(1-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1596*(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1596*(1-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1596*(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96">
        <f>INDEX(FactorTable!$B$2:$Y$301, MATCH(ROUND(MIN(300,MAX(1,U1595)),0), FactorTable!$A$2:$A$301,0), 22)</f>
        <v/>
      </c>
      <c r="V1596">
        <f>IF(C1596,(H1596*N1596*IF(AND(Inputs!$B$39&lt;&gt;"pvp",Inputs!$B$44&gt;0),((Skills!G5*((R1596-1)*IF(Skills!H5&gt;0,Skills!I5/Skills!H5,1)+IF(Skills!H5&gt;0,MIN(Skills!I5,MAX(0,MAX(0,Inputs!$B$44-B1636)-((R1596-1)*IF(Inputs!$B$39="pvp",15,MAX(0.1,Skills!D5-IF(Skills!E5=TRUE,Inputs!$B$32,0))))))/Skills!H5,1)))/Inputs!$B$44),G1596*Q1596))*IF(Inputs!$B$39="pvp",1,(1+(Inputs!$B$21+Skills!Q5+B1632+(IF(ArtifactsInput!$M$33,CHOOSE(ArtifactsInput!$N$33+1,30,36,42,48,54,60),0))+(IF(AND(ArtifactsInput!$M$35,Inputs!$B$4&lt;&gt;"Chapter Hunt"),CHOOSE(ArtifactsInput!$N$35+1,15,18,21,24,27,30)*(1-EXP(-(0.2*B1627)*5)),0)+IF(AND(ArtifactsInput!$M$22,Inputs!$B$4&lt;&gt;"Chapter Hunt"),CHOOSE(ArtifactsInput!$N$22+1,10,12,14,16,18,20)*((0*(((0.15*B1627*5))^0/1)+1*(((0.15*B1627*5))^1/1)+2*(((0.15*B1627*5))^2/2)+3*(((0.15*B1627*5))^3/6)+4*(((0.15*B1627*5))^4/24)+5*(((0.15*B1627*5))^5/120))/((((0.15*B1627*5))^0/1)+(((0.15*B1627*5))^1/1)+(((0.15*B1627*5))^2/2)+(((0.15*B1627*5))^3/6)+(((0.15*B1627*5))^4/24)+(((0.15*B1627*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97">
      <c r="A1597">
        <f>Skills!A6</f>
        <v/>
      </c>
      <c r="B1597">
        <f>Skills!B6</f>
        <v/>
      </c>
      <c r="C1597">
        <f>Inputs!$B$3&gt;=66</f>
        <v/>
      </c>
      <c r="D1597">
        <f>IF(Skills!C6=1,60+Inputs!$B$25+Inputs!$B$29,IF(Skills!C6=2,90+Inputs!$B$26+Inputs!$B$29,IF(Skills!C6=3,120+Inputs!$B$27+Inputs!$B$29,MAX(0,(Inputs!$B$3-100)*3)+Inputs!$B$28+Inputs!$B$29)))</f>
        <v/>
      </c>
      <c r="E1597">
        <f>INDEX(FactorTable!$B$2:$Y$301, MATCH(ROUND(MIN(300,MAX(1,D1597)),0), FactorTable!$A$2:$A$301,0), Skills!M6+1)</f>
        <v/>
      </c>
      <c r="F1597">
        <f>IF(Skills!N6=TRUE,(Skills!L6/10)*(E1597/1000),Skills!L6/10)+Skills!O6</f>
        <v/>
      </c>
      <c r="G1597">
        <f>Calc!G6</f>
        <v/>
      </c>
      <c r="H1597">
        <f>Calc!H6</f>
        <v/>
      </c>
      <c r="I1597">
        <f>IF(Skills!AA6&lt;&gt;"",1+(Skills!AA6/10)*(U1594/1000)/100,1)</f>
        <v/>
      </c>
      <c r="J1597" t="inlineStr"/>
      <c r="K1597" t="inlineStr"/>
      <c r="L1597" t="inlineStr"/>
      <c r="M1597" t="inlineStr"/>
      <c r="N1597" t="inlineStr"/>
      <c r="O1597">
        <f>(1-Summary!$B$11)*T1597+Summary!$B$11*V1597</f>
        <v/>
      </c>
      <c r="P1597">
        <f>IF(B1635=0,0,O1597/B1635)</f>
        <v/>
      </c>
      <c r="Q1597" t="n">
        <v>0</v>
      </c>
      <c r="R1597" t="n">
        <v>0</v>
      </c>
      <c r="S1597">
        <f>IFERROR(O1597/N1597,0)</f>
        <v/>
      </c>
      <c r="T1597" t="n">
        <v>0</v>
      </c>
      <c r="U1597">
        <f>290*U1596/1000</f>
        <v/>
      </c>
      <c r="V1597" t="n">
        <v>0</v>
      </c>
    </row>
    <row r="1598">
      <c r="A1598">
        <f>Skills!A7</f>
        <v/>
      </c>
      <c r="B1598">
        <f>Skills!B7</f>
        <v/>
      </c>
      <c r="C1598">
        <f>Inputs!$B$3&gt;=66</f>
        <v/>
      </c>
      <c r="D1598">
        <f>IF(Skills!C7=1,60+Inputs!$B$25+Inputs!$B$29,IF(Skills!C7=2,90+Inputs!$B$26+Inputs!$B$29,IF(Skills!C7=3,120+Inputs!$B$27+Inputs!$B$29,MAX(0,(Inputs!$B$3-100)*3)+Inputs!$B$28+Inputs!$B$29)))</f>
        <v/>
      </c>
      <c r="E1598">
        <f>INDEX(FactorTable!$B$2:$Y$301, MATCH(ROUND(MIN(300,MAX(1,D1598)),0), FactorTable!$A$2:$A$301,0), Skills!M7+1)</f>
        <v/>
      </c>
      <c r="F1598">
        <f>IF(Skills!N7=TRUE,(Skills!L7/10)*(E1598/1000),Skills!L7/10)+Skills!O7</f>
        <v/>
      </c>
      <c r="G1598">
        <f>Calc!G7</f>
        <v/>
      </c>
      <c r="H1598">
        <f>Calc!H7</f>
        <v/>
      </c>
      <c r="I1598">
        <f>IF(Skills!AA7&lt;&gt;"",1+(Skills!AA7/10)*(U1594/1000)/100,1)</f>
        <v/>
      </c>
      <c r="J1598" t="inlineStr"/>
      <c r="K1598" t="inlineStr"/>
      <c r="L1598" t="inlineStr"/>
      <c r="M1598" t="inlineStr"/>
      <c r="N1598" t="inlineStr"/>
      <c r="O1598">
        <f>(1-Summary!$B$11)*T1598+Summary!$B$11*V1598</f>
        <v/>
      </c>
      <c r="P1598">
        <f>IF(B1635=0,0,O1598/B1635)</f>
        <v/>
      </c>
      <c r="Q1598" t="n">
        <v>0</v>
      </c>
      <c r="R1598" t="n">
        <v>0</v>
      </c>
      <c r="S1598">
        <f>IFERROR(O1598/N1598,0)</f>
        <v/>
      </c>
      <c r="T1598" t="n">
        <v>0</v>
      </c>
      <c r="V1598" t="n">
        <v>0</v>
      </c>
    </row>
    <row r="1599">
      <c r="A1599">
        <f>Skills!A8</f>
        <v/>
      </c>
      <c r="B1599">
        <f>Skills!B8</f>
        <v/>
      </c>
      <c r="C1599">
        <f>Inputs!$B$3&gt;=69</f>
        <v/>
      </c>
      <c r="D1599">
        <f>IF(Skills!C8=1,60+Inputs!$B$25+Inputs!$B$29,IF(Skills!C8=2,90+Inputs!$B$26+Inputs!$B$29,IF(Skills!C8=3,120+Inputs!$B$27+Inputs!$B$29,MAX(0,(Inputs!$B$3-100)*3)+Inputs!$B$28+Inputs!$B$29)))</f>
        <v/>
      </c>
      <c r="E1599">
        <f>INDEX(FactorTable!$B$2:$Y$301, MATCH(ROUND(MIN(300,MAX(1,D1599)),0), FactorTable!$A$2:$A$301,0), Skills!M8+1)</f>
        <v/>
      </c>
      <c r="F1599">
        <f>IF(Skills!N8=TRUE,(Skills!L8/10)*(E1599/1000),Skills!L8/10)+Skills!O8</f>
        <v/>
      </c>
      <c r="G1599">
        <f>Calc!G8</f>
        <v/>
      </c>
      <c r="H1599">
        <f>Calc!H8</f>
        <v/>
      </c>
      <c r="I1599">
        <f>IF(Skills!AA8&lt;&gt;"",1+(Skills!AA8/10)*(U1594/1000)/100,1)</f>
        <v/>
      </c>
      <c r="J1599">
        <f>((Inputs!$B$6*(1+Inputs!$B$7/100))+(((Inputs!$B$12*(1+Inputs!$B$13/100))-(Inputs!$B$12*(1+Inputs!$B$13/100)))+0.25*(Inputs!$B$14-Inputs!$B$14))*(1+Inputs!$B$7/100))*(F1599/100)</f>
        <v/>
      </c>
      <c r="K1599">
        <f>J1599*(1+((Inputs!$B$12*(1+Inputs!$B$13/100))*0.01+Inputs!$B$14*0.0025)/100)*(1+Inputs!$B$15/100)*(1+Inputs!$B$16/100)*(5000/(6000+Inputs!$B$43*(1-(100*(1-(1-(Inputs!$B$19+0)/100)*(1-CHOOSE(ArtifactsInput!$N$40+1,5,6,7,8,9,10)/100)^(ArtifactsInput!$M$40-ArtifactsInput!$M$40)))/100)))*(1+(Inputs!$B$24+((C1621=TRUE)*(F1621-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1614=TRUE)*(F1614-Calc!F23))+(((IF(AND(ArtifactsInput!$M$42,((Inputs!$B$9+((C1616=TRUE)*(F1616-Calc!F25))+B1631+(ArtifactsInput!$M$24-ArtifactsInput!$M$24)*CHOOSE(ArtifactsInput!$N$24+1,10,12,14,16,18,20)+IF(IF(ArtifactsInput!$M$10,FALSE,TRUE),CHOOSE(ArtifactsInput!$N$10+1,15,18,21,24,27,30)*(IF(Inputs!$B$39="pvp",MIN(15,15)/15,IF(AND(Inputs!$B$39&lt;&gt;"pvp",Inputs!$B$44&gt;0),MIN(15,Inputs!$B$44)/(Inputs!$B$44),0))),0)))&gt;=100),MIN(100,((Inputs!$B$9+((C1616=TRUE)*(F1616-Calc!F25))+B1631+(ArtifactsInput!$M$24-ArtifactsInput!$M$24)*CHOOSE(ArtifactsInput!$N$24+1,10,12,14,16,18,20)+IF(IF(ArtifactsInput!$M$10,FALSE,TRUE),CHOOSE(ArtifactsInput!$N$10+1,15,18,21,24,27,30)*(IF(Inputs!$B$39="pvp",MIN(15,15)/15,IF(AND(Inputs!$B$39&lt;&gt;"pvp",Inputs!$B$44&gt;0),MIN(15,Inputs!$B$44)/(Inputs!$B$44),0))),0)))-100),0))*CHOOSE(ArtifactsInput!$N$42+1,0.6,0.72,0.84,0.96,1.08,1.2))),Inputs!$B$18+((C1620=TRUE)*(F1620-Calc!F29))+(IF(AND(ArtifactsInput!$M$42,((Inputs!$B$9+((C1616=TRUE)*(F1616-Calc!F25))+B1631+(ArtifactsInput!$M$24-ArtifactsInput!$M$24)*CHOOSE(ArtifactsInput!$N$24+1,10,12,14,16,18,20)+IF(IF(ArtifactsInput!$M$10,FALSE,TRUE),CHOOSE(ArtifactsInput!$N$10+1,15,18,21,24,27,30)*(IF(Inputs!$B$39="pvp",MIN(15,15)/15,IF(AND(Inputs!$B$39&lt;&gt;"pvp",Inputs!$B$44&gt;0),MIN(15,Inputs!$B$44)/(Inputs!$B$44),0))),0)))&gt;=100),CHOOSE(ArtifactsInput!$N$42+1,40,48,56,64,72,80),0))))/100)*(((1+(((C1612=TRUE)*F1612*IF(AND(Inputs!$B$39&lt;&gt;"pvp",Inputs!$B$44&gt;0),(((R1612-1)*(Skills!Y21*(1+Inputs!$B$34/100))+MIN((Skills!Y21*(1+Inputs!$B$34/100)),MAX(0,Inputs!$B$44-((R1612-1)*Skills!D21))))/Inputs!$B$44),IF(Inputs!$B$39="pvp",MIN((Skills!Y21*(1+Inputs!$B$34/100)),15)/15,(Skills!Y21*(1+Inputs!$B$34/100))/Skills!D21)))+((C1619=TRUE)*(F1619-Calc!F28))+((C1609=TRUE)*(F1609-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1606=TRUE)*F1606*IF(AND(Inputs!$B$39&lt;&gt;"pvp",Inputs!$B$44&gt;0),(((R1606-1)*(Skills!Y15*(1+Inputs!$B$34/100))+MIN((Skills!Y15*(1+Inputs!$B$34/100)),MAX(0,Inputs!$B$44-((R1606-1)*Skills!D15))))/Inputs!$B$44),IF(Inputs!$B$39="pvp",MIN((Skills!Y15*(1+Inputs!$B$34/100)),15)/15,(Skills!Y15*(1+Inputs!$B$34/100))/Skills!D15)))/100)*(1+((C1597=TRUE)*F1597*B1625)/100))*B1633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1599)</f>
        <v/>
      </c>
      <c r="L1599">
        <f>K1599*(MIN(Inputs!$B$22+((C1615=TRUE)*(F1615-Calc!F24)),(Inputs!$B$23+0+(IF(ArtifactsInput!$M$15,CHOOSE(ArtifactsInput!$N$15+1,25,30,35,40,45,50)/100*(Inputs!$B$11-Inputs!$B$11),0))))/100+(Inputs!$B$23+0+(IF(ArtifactsInput!$M$15,CHOOSE(ArtifactsInput!$N$15+1,25,30,35,40,45,50)/100*(Inputs!$B$11-Inputs!$B$11),0)))/100)/2</f>
        <v/>
      </c>
      <c r="M1599">
        <f>L1599*(1+(Inputs!$B$10+((C1617=TRUE)*(F1617-Calc!F26))+B1634+(IF(ArtifactsInput!$M$24,CHOOSE(ArtifactsInput!$N$24+1,30,36,42,48,54,60)/100*(Inputs!$B$9-Inputs!$B$9),0)+IF(IF(ArtifactsInput!$M$10,FALSE,TRUE),CHOOSE(ArtifactsInput!$N$10+1,20,24,28,32,36,40)*(IF(Inputs!$B$39="pvp",MIN(15,15)/15,IF(AND(Inputs!$B$39&lt;&gt;"pvp",Inputs!$B$44&gt;0),MIN(15,Inputs!$B$44)/(Inputs!$B$44),0))),0)+IF(ArtifactsInput!$M$31,1.5*CHOOSE(ArtifactsInput!$N$31+1,20,24,28,32,36,40),0)))/100)</f>
        <v/>
      </c>
      <c r="N1599">
        <f>L1599*(1-MIN((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1599*(MIN((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599">
        <f>(1-Summary!$B$11)*T1599+Summary!$B$11*V1599</f>
        <v/>
      </c>
      <c r="P1599">
        <f>IF(B1635=0,0,O1599/B1635)</f>
        <v/>
      </c>
      <c r="Q1599">
        <f>IFERROR(1/IF(Inputs!$B$39="pvp",15,MAX(0.1,Skills!D8-IF(Skills!E8=TRUE,Inputs!$B$32,0))),0)</f>
        <v/>
      </c>
      <c r="R1599">
        <f>IF(AND(Inputs!$B$39&lt;&gt;"pvp",Inputs!$B$44&gt;0),IF(MAX(0,Inputs!$B$44-B1636)&lt;=0,0,(INT(MAX(0,Inputs!$B$44-B1636)/IF(Inputs!$B$39="pvp",15,MAX(0.1,Skills!D8-IF(Skills!E8=TRUE,Inputs!$B$32,0))))+1)),0)</f>
        <v/>
      </c>
      <c r="S1599">
        <f>IFERROR(O1599/N1599,0)</f>
        <v/>
      </c>
      <c r="T1599">
        <f>IF(C1599,(H1599*N1599*IF(AND(Inputs!$B$39&lt;&gt;"pvp",Inputs!$B$44&gt;0),((Skills!G8*((R1599-1)*IF(Skills!H8&gt;0,Skills!I8/Skills!H8,1)+IF(Skills!H8&gt;0,MIN(Skills!I8,MAX(0,MAX(0,Inputs!$B$44-B1636)-((R1599-1)*IF(Inputs!$B$39="pvp",15,MAX(0.1,Skills!D8-IF(Skills!E8=TRUE,Inputs!$B$32,0))))))/Skills!H8,1)))/Inputs!$B$44),G1599*Q1599))*IF(Inputs!$B$39="pvp",1,1+(Inputs!$B$20+((C1618=TRUE)*(F1618-Calc!F27))+Skills!P8+B1632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Hunt"),CHOOSE(ArtifactsInput!$N$35+1,15,18,21,24,27,30)*(1-EXP(-(0.2*B1627)*5)),0)+IF(AND(ArtifactsInput!$M$22,Inputs!$B$4&lt;&gt;"Chapter Hunt"),CHOOSE(ArtifactsInput!$N$22+1,10,12,14,16,18,20)*((0*(((0.15*B1627*5))^0/1)+1*(((0.15*B1627*5))^1/1)+2*(((0.15*B1627*5))^2/2)+3*(((0.15*B1627*5))^3/6)+4*(((0.15*B1627*5))^4/24)+5*(((0.15*B1627*5))^5/120))/((((0.15*B1627*5))^0/1)+(((0.15*B1627*5))^1/1)+(((0.15*B1627*5))^2/2)+(((0.15*B1627*5))^3/6)+(((0.15*B1627*5))^4/24)+(((0.15*B1627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1599*(1-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1599*(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1599*(1-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1599*(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99">
        <f>IF(C1599,(H1599*N1599*IF(AND(Inputs!$B$39&lt;&gt;"pvp",Inputs!$B$44&gt;0),((Skills!G8*((R1599-1)*IF(Skills!H8&gt;0,Skills!I8/Skills!H8,1)+IF(Skills!H8&gt;0,MIN(Skills!I8,MAX(0,MAX(0,Inputs!$B$44-B1636)-((R1599-1)*IF(Inputs!$B$39="pvp",15,MAX(0.1,Skills!D8-IF(Skills!E8=TRUE,Inputs!$B$32,0))))))/Skills!H8,1)))/Inputs!$B$44),G1599*Q1599))*IF(Inputs!$B$39="pvp",1,(1+(Inputs!$B$21+Skills!Q8+B1632+(IF(ArtifactsInput!$M$33,CHOOSE(ArtifactsInput!$N$33+1,30,36,42,48,54,60),0))+(IF(AND(ArtifactsInput!$M$35,Inputs!$B$4&lt;&gt;"Chapter Hunt"),CHOOSE(ArtifactsInput!$N$35+1,15,18,21,24,27,30)*(1-EXP(-(0.2*B1627)*5)),0)+IF(AND(ArtifactsInput!$M$22,Inputs!$B$4&lt;&gt;"Chapter Hunt"),CHOOSE(ArtifactsInput!$N$22+1,10,12,14,16,18,20)*((0*(((0.15*B1627*5))^0/1)+1*(((0.15*B1627*5))^1/1)+2*(((0.15*B1627*5))^2/2)+3*(((0.15*B1627*5))^3/6)+4*(((0.15*B1627*5))^4/24)+5*(((0.15*B1627*5))^5/120))/((((0.15*B1627*5))^0/1)+(((0.15*B1627*5))^1/1)+(((0.15*B1627*5))^2/2)+(((0.15*B1627*5))^3/6)+(((0.15*B1627*5))^4/24)+(((0.15*B1627*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00">
      <c r="A1600">
        <f>Skills!A9</f>
        <v/>
      </c>
      <c r="B1600">
        <f>Skills!B9</f>
        <v/>
      </c>
      <c r="C1600">
        <f>Inputs!$B$3&gt;=72</f>
        <v/>
      </c>
      <c r="D1600">
        <f>IF(Skills!C9=1,60+Inputs!$B$25+Inputs!$B$29,IF(Skills!C9=2,90+Inputs!$B$26+Inputs!$B$29,IF(Skills!C9=3,120+Inputs!$B$27+Inputs!$B$29,MAX(0,(Inputs!$B$3-100)*3)+Inputs!$B$28+Inputs!$B$29)))</f>
        <v/>
      </c>
      <c r="E1600">
        <f>INDEX(FactorTable!$B$2:$Y$301, MATCH(ROUND(MIN(300,MAX(1,D1600)),0), FactorTable!$A$2:$A$301,0), Skills!M9+1)</f>
        <v/>
      </c>
      <c r="F1600">
        <f>IF(Skills!N9=TRUE,(Skills!L9/10)*(E1600/1000),Skills!L9/10)+Skills!O9</f>
        <v/>
      </c>
      <c r="G1600">
        <f>Calc!G9</f>
        <v/>
      </c>
      <c r="H1600">
        <f>Calc!H9</f>
        <v/>
      </c>
      <c r="I1600">
        <f>IF(Skills!AA9&lt;&gt;"",1+(Skills!AA9/10)*(U1594/1000)/100,1)</f>
        <v/>
      </c>
      <c r="J1600">
        <f>((Inputs!$B$6*(1+Inputs!$B$7/100))+(((Inputs!$B$12*(1+Inputs!$B$13/100))-(Inputs!$B$12*(1+Inputs!$B$13/100)))+0.25*(Inputs!$B$14-Inputs!$B$14))*(1+Inputs!$B$7/100))*(F1600/100)</f>
        <v/>
      </c>
      <c r="K1600">
        <f>J1600*(1+((Inputs!$B$12*(1+Inputs!$B$13/100))*0.01+Inputs!$B$14*0.0025)/100)*(1+Inputs!$B$15/100)*(1+Inputs!$B$16/100)*(5000/(6000+Inputs!$B$43*(1-(100*(1-(1-(Inputs!$B$19+0)/100)*(1-CHOOSE(ArtifactsInput!$N$40+1,5,6,7,8,9,10)/100)^(ArtifactsInput!$M$40-ArtifactsInput!$M$40)))/100)))*(1+(Inputs!$B$24+((C1621=TRUE)*(F1621-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1614=TRUE)*(F1614-Calc!F23))+(((IF(AND(ArtifactsInput!$M$42,((Inputs!$B$9+((C1616=TRUE)*(F1616-Calc!F25))+B1631+(ArtifactsInput!$M$24-ArtifactsInput!$M$24)*CHOOSE(ArtifactsInput!$N$24+1,10,12,14,16,18,20)+IF(IF(ArtifactsInput!$M$10,FALSE,TRUE),CHOOSE(ArtifactsInput!$N$10+1,15,18,21,24,27,30)*(IF(Inputs!$B$39="pvp",MIN(15,15)/15,IF(AND(Inputs!$B$39&lt;&gt;"pvp",Inputs!$B$44&gt;0),MIN(15,Inputs!$B$44)/(Inputs!$B$44),0))),0)))&gt;=100),MIN(100,((Inputs!$B$9+((C1616=TRUE)*(F1616-Calc!F25))+B1631+(ArtifactsInput!$M$24-ArtifactsInput!$M$24)*CHOOSE(ArtifactsInput!$N$24+1,10,12,14,16,18,20)+IF(IF(ArtifactsInput!$M$10,FALSE,TRUE),CHOOSE(ArtifactsInput!$N$10+1,15,18,21,24,27,30)*(IF(Inputs!$B$39="pvp",MIN(15,15)/15,IF(AND(Inputs!$B$39&lt;&gt;"pvp",Inputs!$B$44&gt;0),MIN(15,Inputs!$B$44)/(Inputs!$B$44),0))),0)))-100),0))*CHOOSE(ArtifactsInput!$N$42+1,0.6,0.72,0.84,0.96,1.08,1.2))),Inputs!$B$18+((C1620=TRUE)*(F1620-Calc!F29))+(IF(AND(ArtifactsInput!$M$42,((Inputs!$B$9+((C1616=TRUE)*(F1616-Calc!F25))+B1631+(ArtifactsInput!$M$24-ArtifactsInput!$M$24)*CHOOSE(ArtifactsInput!$N$24+1,10,12,14,16,18,20)+IF(IF(ArtifactsInput!$M$10,FALSE,TRUE),CHOOSE(ArtifactsInput!$N$10+1,15,18,21,24,27,30)*(IF(Inputs!$B$39="pvp",MIN(15,15)/15,IF(AND(Inputs!$B$39&lt;&gt;"pvp",Inputs!$B$44&gt;0),MIN(15,Inputs!$B$44)/(Inputs!$B$44),0))),0)))&gt;=100),CHOOSE(ArtifactsInput!$N$42+1,40,48,56,64,72,80),0))))/100)*(((1+(((C1612=TRUE)*F1612*IF(AND(Inputs!$B$39&lt;&gt;"pvp",Inputs!$B$44&gt;0),(((R1612-1)*(Skills!Y21*(1+Inputs!$B$34/100))+MIN((Skills!Y21*(1+Inputs!$B$34/100)),MAX(0,Inputs!$B$44-((R1612-1)*Skills!D21))))/Inputs!$B$44),IF(Inputs!$B$39="pvp",MIN((Skills!Y21*(1+Inputs!$B$34/100)),15)/15,(Skills!Y21*(1+Inputs!$B$34/100))/Skills!D21)))+((C1619=TRUE)*(F1619-Calc!F28))+((C1609=TRUE)*(F1609-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1606=TRUE)*F1606*IF(AND(Inputs!$B$39&lt;&gt;"pvp",Inputs!$B$44&gt;0),(((R1606-1)*(Skills!Y15*(1+Inputs!$B$34/100))+MIN((Skills!Y15*(1+Inputs!$B$34/100)),MAX(0,Inputs!$B$44-((R1606-1)*Skills!D15))))/Inputs!$B$44),IF(Inputs!$B$39="pvp",MIN((Skills!Y15*(1+Inputs!$B$34/100)),15)/15,(Skills!Y15*(1+Inputs!$B$34/100))/Skills!D15)))/100)*(1+((C1597=TRUE)*F1597*B1625)/100))*B1633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1600)</f>
        <v/>
      </c>
      <c r="L1600">
        <f>K1600*(MIN(Inputs!$B$22+((C1615=TRUE)*(F1615-Calc!F24)),(Inputs!$B$23+0+(IF(ArtifactsInput!$M$15,CHOOSE(ArtifactsInput!$N$15+1,25,30,35,40,45,50)/100*(Inputs!$B$11-Inputs!$B$11),0))))/100+(Inputs!$B$23+0+(IF(ArtifactsInput!$M$15,CHOOSE(ArtifactsInput!$N$15+1,25,30,35,40,45,50)/100*(Inputs!$B$11-Inputs!$B$11),0)))/100)/2</f>
        <v/>
      </c>
      <c r="M1600">
        <f>L1600*(1+(Inputs!$B$10+((C1617=TRUE)*(F1617-Calc!F26))+B1634+(IF(ArtifactsInput!$M$24,CHOOSE(ArtifactsInput!$N$24+1,30,36,42,48,54,60)/100*(Inputs!$B$9-Inputs!$B$9),0)+IF(IF(ArtifactsInput!$M$10,FALSE,TRUE),CHOOSE(ArtifactsInput!$N$10+1,20,24,28,32,36,40)*(IF(Inputs!$B$39="pvp",MIN(15,15)/15,IF(AND(Inputs!$B$39&lt;&gt;"pvp",Inputs!$B$44&gt;0),MIN(15,Inputs!$B$44)/(Inputs!$B$44),0))),0)+IF(ArtifactsInput!$M$31,1.5*CHOOSE(ArtifactsInput!$N$31+1,20,24,28,32,36,40),0)))/100)</f>
        <v/>
      </c>
      <c r="N1600">
        <f>L1600*(1-MIN((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1600*(MIN((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600">
        <f>(1-Summary!$B$11)*T1600+Summary!$B$11*V1600</f>
        <v/>
      </c>
      <c r="P1600">
        <f>IF(B1635=0,0,O1600/B1635)</f>
        <v/>
      </c>
      <c r="Q1600">
        <f>IFERROR(1/IF(Inputs!$B$39="pvp",15,MAX(0.1,Skills!D9-IF(Skills!E9=TRUE,Inputs!$B$32,0))),0)</f>
        <v/>
      </c>
      <c r="R1600">
        <f>IF(AND(Inputs!$B$39&lt;&gt;"pvp",Inputs!$B$44&gt;0),IF(MAX(0,Inputs!$B$44-B1636)&lt;=0,0,(INT(MAX(0,Inputs!$B$44-B1636)/IF(Inputs!$B$39="pvp",15,MAX(0.1,Skills!D9-IF(Skills!E9=TRUE,Inputs!$B$32,0))))+1)),0)</f>
        <v/>
      </c>
      <c r="S1600">
        <f>IFERROR(O1600/N1600,0)</f>
        <v/>
      </c>
      <c r="T1600">
        <f>IF(C1600,(H1600*N1600*IF(AND(Inputs!$B$39&lt;&gt;"pvp",Inputs!$B$44&gt;0),((Skills!G9*((R1600-1)*IF(Skills!H9&gt;0,Skills!I9/Skills!H9,1)+IF(Skills!H9&gt;0,MIN(Skills!I9,MAX(0,MAX(0,Inputs!$B$44-B1636)-((R1600-1)*IF(Inputs!$B$39="pvp",15,MAX(0.1,Skills!D9-IF(Skills!E9=TRUE,Inputs!$B$32,0))))))/Skills!H9,1)))/Inputs!$B$44),G1600*Q1600))*IF(Inputs!$B$39="pvp",1,1+(Inputs!$B$20+((C1618=TRUE)*(F1618-Calc!F27))+Skills!P9+B1632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Hunt"),CHOOSE(ArtifactsInput!$N$35+1,15,18,21,24,27,30)*(1-EXP(-(0.2*B1627)*5)),0)+IF(AND(ArtifactsInput!$M$22,Inputs!$B$4&lt;&gt;"Chapter Hunt"),CHOOSE(ArtifactsInput!$N$22+1,10,12,14,16,18,20)*((0*(((0.15*B1627*5))^0/1)+1*(((0.15*B1627*5))^1/1)+2*(((0.15*B1627*5))^2/2)+3*(((0.15*B1627*5))^3/6)+4*(((0.15*B1627*5))^4/24)+5*(((0.15*B1627*5))^5/120))/((((0.15*B1627*5))^0/1)+(((0.15*B1627*5))^1/1)+(((0.15*B1627*5))^2/2)+(((0.15*B1627*5))^3/6)+(((0.15*B1627*5))^4/24)+(((0.15*B1627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1600*(1-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1600*(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1600*(1-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1600*(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00">
        <f>IF(C1600,(H1600*N1600*IF(AND(Inputs!$B$39&lt;&gt;"pvp",Inputs!$B$44&gt;0),((Skills!G9*((R1600-1)*IF(Skills!H9&gt;0,Skills!I9/Skills!H9,1)+IF(Skills!H9&gt;0,MIN(Skills!I9,MAX(0,MAX(0,Inputs!$B$44-B1636)-((R1600-1)*IF(Inputs!$B$39="pvp",15,MAX(0.1,Skills!D9-IF(Skills!E9=TRUE,Inputs!$B$32,0))))))/Skills!H9,1)))/Inputs!$B$44),G1600*Q1600))*IF(Inputs!$B$39="pvp",1,(1+(Inputs!$B$21+Skills!Q9+B1632+(IF(ArtifactsInput!$M$33,CHOOSE(ArtifactsInput!$N$33+1,30,36,42,48,54,60),0))+(IF(AND(ArtifactsInput!$M$35,Inputs!$B$4&lt;&gt;"Chapter Hunt"),CHOOSE(ArtifactsInput!$N$35+1,15,18,21,24,27,30)*(1-EXP(-(0.2*B1627)*5)),0)+IF(AND(ArtifactsInput!$M$22,Inputs!$B$4&lt;&gt;"Chapter Hunt"),CHOOSE(ArtifactsInput!$N$22+1,10,12,14,16,18,20)*((0*(((0.15*B1627*5))^0/1)+1*(((0.15*B1627*5))^1/1)+2*(((0.15*B1627*5))^2/2)+3*(((0.15*B1627*5))^3/6)+4*(((0.15*B1627*5))^4/24)+5*(((0.15*B1627*5))^5/120))/((((0.15*B1627*5))^0/1)+(((0.15*B1627*5))^1/1)+(((0.15*B1627*5))^2/2)+(((0.15*B1627*5))^3/6)+(((0.15*B1627*5))^4/24)+(((0.15*B1627*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01">
      <c r="A1601">
        <f>Skills!A10</f>
        <v/>
      </c>
      <c r="B1601">
        <f>Skills!B10</f>
        <v/>
      </c>
      <c r="C1601">
        <f>Inputs!$B$3&gt;=117</f>
        <v/>
      </c>
      <c r="D1601">
        <f>IF(Skills!C10=1,60+Inputs!$B$25+Inputs!$B$29,IF(Skills!C10=2,90+Inputs!$B$26+Inputs!$B$29,IF(Skills!C10=3,120+Inputs!$B$27+Inputs!$B$29,MAX(0,(Inputs!$B$3-100)*3)+Inputs!$B$28+Inputs!$B$29)))</f>
        <v/>
      </c>
      <c r="E1601">
        <f>INDEX(FactorTable!$B$2:$Y$301, MATCH(ROUND(MIN(300,MAX(1,D1601)),0), FactorTable!$A$2:$A$301,0), Skills!M10+1)</f>
        <v/>
      </c>
      <c r="F1601">
        <f>IF(Skills!N10=TRUE,(Skills!L10/10)*(E1601/1000),Skills!L10/10)+Skills!O10</f>
        <v/>
      </c>
      <c r="G1601">
        <f>Calc!G10</f>
        <v/>
      </c>
      <c r="H1601">
        <f>Calc!H10</f>
        <v/>
      </c>
      <c r="I1601">
        <f>IF(Skills!AA10&lt;&gt;"",1+(Skills!AA10/10)*(U1594/1000)/100,1)</f>
        <v/>
      </c>
      <c r="J1601">
        <f>((Inputs!$B$6*(1+Inputs!$B$7/100))+(((Inputs!$B$12*(1+Inputs!$B$13/100))-(Inputs!$B$12*(1+Inputs!$B$13/100)))+0.25*(Inputs!$B$14-Inputs!$B$14))*(1+Inputs!$B$7/100))*(F1601/100)</f>
        <v/>
      </c>
      <c r="K1601">
        <f>J1601*(1+((Inputs!$B$12*(1+Inputs!$B$13/100))*0.01+Inputs!$B$14*0.0025)/100)*(1+Inputs!$B$15/100)*(1+Inputs!$B$16/100)*(5000/(6000+Inputs!$B$43*(1-(100*(1-(1-(Inputs!$B$19+0)/100)*(1-CHOOSE(ArtifactsInput!$N$40+1,5,6,7,8,9,10)/100)^(ArtifactsInput!$M$40-ArtifactsInput!$M$40)))/100)))*(1+(Inputs!$B$24+((C1621=TRUE)*(F1621-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1614=TRUE)*(F1614-Calc!F23))+(((IF(AND(ArtifactsInput!$M$42,((Inputs!$B$9+((C1616=TRUE)*(F1616-Calc!F25))+B1631+(ArtifactsInput!$M$24-ArtifactsInput!$M$24)*CHOOSE(ArtifactsInput!$N$24+1,10,12,14,16,18,20)+IF(IF(ArtifactsInput!$M$10,FALSE,TRUE),CHOOSE(ArtifactsInput!$N$10+1,15,18,21,24,27,30)*(IF(Inputs!$B$39="pvp",MIN(15,15)/15,IF(AND(Inputs!$B$39&lt;&gt;"pvp",Inputs!$B$44&gt;0),MIN(15,Inputs!$B$44)/(Inputs!$B$44),0))),0)))&gt;=100),MIN(100,((Inputs!$B$9+((C1616=TRUE)*(F1616-Calc!F25))+B1631+(ArtifactsInput!$M$24-ArtifactsInput!$M$24)*CHOOSE(ArtifactsInput!$N$24+1,10,12,14,16,18,20)+IF(IF(ArtifactsInput!$M$10,FALSE,TRUE),CHOOSE(ArtifactsInput!$N$10+1,15,18,21,24,27,30)*(IF(Inputs!$B$39="pvp",MIN(15,15)/15,IF(AND(Inputs!$B$39&lt;&gt;"pvp",Inputs!$B$44&gt;0),MIN(15,Inputs!$B$44)/(Inputs!$B$44),0))),0)))-100),0))*CHOOSE(ArtifactsInput!$N$42+1,0.6,0.72,0.84,0.96,1.08,1.2))),Inputs!$B$18+((C1620=TRUE)*(F1620-Calc!F29))+(IF(AND(ArtifactsInput!$M$42,((Inputs!$B$9+((C1616=TRUE)*(F1616-Calc!F25))+B1631+(ArtifactsInput!$M$24-ArtifactsInput!$M$24)*CHOOSE(ArtifactsInput!$N$24+1,10,12,14,16,18,20)+IF(IF(ArtifactsInput!$M$10,FALSE,TRUE),CHOOSE(ArtifactsInput!$N$10+1,15,18,21,24,27,30)*(IF(Inputs!$B$39="pvp",MIN(15,15)/15,IF(AND(Inputs!$B$39&lt;&gt;"pvp",Inputs!$B$44&gt;0),MIN(15,Inputs!$B$44)/(Inputs!$B$44),0))),0)))&gt;=100),CHOOSE(ArtifactsInput!$N$42+1,40,48,56,64,72,80),0))))/100)*(((1+(((C1612=TRUE)*F1612*IF(AND(Inputs!$B$39&lt;&gt;"pvp",Inputs!$B$44&gt;0),(((R1612-1)*(Skills!Y21*(1+Inputs!$B$34/100))+MIN((Skills!Y21*(1+Inputs!$B$34/100)),MAX(0,Inputs!$B$44-((R1612-1)*Skills!D21))))/Inputs!$B$44),IF(Inputs!$B$39="pvp",MIN((Skills!Y21*(1+Inputs!$B$34/100)),15)/15,(Skills!Y21*(1+Inputs!$B$34/100))/Skills!D21)))+((C1619=TRUE)*(F1619-Calc!F28))+((C1609=TRUE)*(F1609-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1606=TRUE)*F1606*IF(AND(Inputs!$B$39&lt;&gt;"pvp",Inputs!$B$44&gt;0),(((R1606-1)*(Skills!Y15*(1+Inputs!$B$34/100))+MIN((Skills!Y15*(1+Inputs!$B$34/100)),MAX(0,Inputs!$B$44-((R1606-1)*Skills!D15))))/Inputs!$B$44),IF(Inputs!$B$39="pvp",MIN((Skills!Y15*(1+Inputs!$B$34/100)),15)/15,(Skills!Y15*(1+Inputs!$B$34/100))/Skills!D15)))/100)*(1+((C1597=TRUE)*F1597*B1625)/100))*B1633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1601)</f>
        <v/>
      </c>
      <c r="L1601">
        <f>K1601*(MIN(Inputs!$B$22+((C1615=TRUE)*(F1615-Calc!F24)),(Inputs!$B$23+0+(IF(ArtifactsInput!$M$15,CHOOSE(ArtifactsInput!$N$15+1,25,30,35,40,45,50)/100*(Inputs!$B$11-Inputs!$B$11),0))))/100+(Inputs!$B$23+0+(IF(ArtifactsInput!$M$15,CHOOSE(ArtifactsInput!$N$15+1,25,30,35,40,45,50)/100*(Inputs!$B$11-Inputs!$B$11),0)))/100)/2</f>
        <v/>
      </c>
      <c r="M1601">
        <f>L1601*(1+(Inputs!$B$10+((C1617=TRUE)*(F1617-Calc!F26))+B1634+(IF(ArtifactsInput!$M$24,CHOOSE(ArtifactsInput!$N$24+1,30,36,42,48,54,60)/100*(Inputs!$B$9-Inputs!$B$9),0)+IF(IF(ArtifactsInput!$M$10,FALSE,TRUE),CHOOSE(ArtifactsInput!$N$10+1,20,24,28,32,36,40)*(IF(Inputs!$B$39="pvp",MIN(15,15)/15,IF(AND(Inputs!$B$39&lt;&gt;"pvp",Inputs!$B$44&gt;0),MIN(15,Inputs!$B$44)/(Inputs!$B$44),0))),0)+IF(ArtifactsInput!$M$31,1.5*CHOOSE(ArtifactsInput!$N$31+1,20,24,28,32,36,40),0)))/100)</f>
        <v/>
      </c>
      <c r="N1601">
        <f>L1601*(1-MIN((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1601*(MIN((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601">
        <f>(1-Summary!$B$11)*T1601+Summary!$B$11*V1601</f>
        <v/>
      </c>
      <c r="P1601">
        <f>IF(B1635=0,0,O1601/B1635)</f>
        <v/>
      </c>
      <c r="Q1601" t="n">
        <v>0</v>
      </c>
      <c r="R1601" t="n">
        <v>0</v>
      </c>
      <c r="S1601" t="n">
        <v>0</v>
      </c>
      <c r="T1601">
        <f>IF(C1601,(0.2*SUMPRODUCT((Skills!Z2:Z31=TRUE)*(C1593:C1622=TRUE)*S1593:S1622)*N1601)*IF(Inputs!$B$39="pvp",1,1+(Inputs!$B$20+((C1618=TRUE)*(F1618-Calc!F27))+Skills!P10+B1632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Hunt"),CHOOSE(ArtifactsInput!$N$35+1,15,18,21,24,27,30)*(1-EXP(-(0.2*B1627)*5)),0)+IF(AND(ArtifactsInput!$M$22,Inputs!$B$4&lt;&gt;"Chapter Hunt"),CHOOSE(ArtifactsInput!$N$22+1,10,12,14,16,18,20)*((0*(((0.15*B1627*5))^0/1)+1*(((0.15*B1627*5))^1/1)+2*(((0.15*B1627*5))^2/2)+3*(((0.15*B1627*5))^3/6)+4*(((0.15*B1627*5))^4/24)+5*(((0.15*B1627*5))^5/120))/((((0.15*B1627*5))^0/1)+(((0.15*B1627*5))^1/1)+(((0.15*B1627*5))^2/2)+(((0.15*B1627*5))^3/6)+(((0.15*B1627*5))^4/24)+(((0.15*B1627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1601*(1-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1601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1601*(1-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1601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01">
        <f>IF(C1601,(0.2*SUMPRODUCT((Skills!Z2:Z31=TRUE)*(C1593:C1622=TRUE)*S1593:S1622)*N1601)*IF(Inputs!$B$39="pvp",1,(1+(Inputs!$B$21+Skills!Q10+B1632+(IF(ArtifactsInput!$M$33,CHOOSE(ArtifactsInput!$N$33+1,30,36,42,48,54,60),0))+(IF(AND(ArtifactsInput!$M$35,Inputs!$B$4&lt;&gt;"Chapter Hunt"),CHOOSE(ArtifactsInput!$N$35+1,15,18,21,24,27,30)*(1-EXP(-(0.2*B1627)*5)),0)+IF(AND(ArtifactsInput!$M$22,Inputs!$B$4&lt;&gt;"Chapter Hunt"),CHOOSE(ArtifactsInput!$N$22+1,10,12,14,16,18,20)*((0*(((0.15*B1627*5))^0/1)+1*(((0.15*B1627*5))^1/1)+2*(((0.15*B1627*5))^2/2)+3*(((0.15*B1627*5))^3/6)+4*(((0.15*B1627*5))^4/24)+5*(((0.15*B1627*5))^5/120))/((((0.15*B1627*5))^0/1)+(((0.15*B1627*5))^1/1)+(((0.15*B1627*5))^2/2)+(((0.15*B1627*5))^3/6)+(((0.15*B1627*5))^4/24)+(((0.15*B1627*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02">
      <c r="A1602">
        <f>Skills!A11</f>
        <v/>
      </c>
      <c r="B1602">
        <f>Skills!B11</f>
        <v/>
      </c>
      <c r="C1602">
        <f>Inputs!$B$3&gt;=60</f>
        <v/>
      </c>
      <c r="D1602">
        <f>IF(Skills!C11=1,60+Inputs!$B$25+Inputs!$B$29,IF(Skills!C11=2,90+Inputs!$B$26+Inputs!$B$29,IF(Skills!C11=3,120+Inputs!$B$27+Inputs!$B$29,MAX(0,(Inputs!$B$3-100)*3)+Inputs!$B$28+Inputs!$B$29)))</f>
        <v/>
      </c>
      <c r="E1602">
        <f>INDEX(FactorTable!$B$2:$Y$301, MATCH(ROUND(MIN(300,MAX(1,D1602)),0), FactorTable!$A$2:$A$301,0), Skills!M11+1)</f>
        <v/>
      </c>
      <c r="F1602">
        <f>IF(Skills!N11=TRUE,(Skills!L11/10)*(E1602/1000),Skills!L11/10)+Skills!O11</f>
        <v/>
      </c>
      <c r="G1602">
        <f>Calc!G11</f>
        <v/>
      </c>
      <c r="H1602">
        <f>Calc!H11</f>
        <v/>
      </c>
      <c r="I1602">
        <f>IF(Skills!AA11&lt;&gt;"",1+(Skills!AA11/10)*(U1594/1000)/100,1)</f>
        <v/>
      </c>
      <c r="J1602" t="inlineStr"/>
      <c r="K1602" t="inlineStr"/>
      <c r="L1602" t="inlineStr"/>
      <c r="M1602" t="inlineStr"/>
      <c r="N1602" t="inlineStr"/>
      <c r="O1602">
        <f>(1-Summary!$B$11)*T1602+Summary!$B$11*V1602</f>
        <v/>
      </c>
      <c r="P1602">
        <f>IF(B1635=0,0,O1602/B1635)</f>
        <v/>
      </c>
      <c r="Q1602" t="n">
        <v>0</v>
      </c>
      <c r="R1602" t="n">
        <v>0</v>
      </c>
      <c r="S1602">
        <f>IFERROR(O1602/N1602,0)</f>
        <v/>
      </c>
      <c r="T1602" t="n">
        <v>0</v>
      </c>
      <c r="V1602" t="n">
        <v>0</v>
      </c>
    </row>
    <row r="1603">
      <c r="A1603">
        <f>Skills!A12</f>
        <v/>
      </c>
      <c r="B1603">
        <f>Skills!B12</f>
        <v/>
      </c>
      <c r="C1603">
        <f>Inputs!$B$3&gt;=103</f>
        <v/>
      </c>
      <c r="D1603">
        <f>IF(Skills!C12=1,60+Inputs!$B$25+Inputs!$B$29,IF(Skills!C12=2,90+Inputs!$B$26+Inputs!$B$29,IF(Skills!C12=3,120+Inputs!$B$27+Inputs!$B$29,MAX(0,(Inputs!$B$3-100)*3)+Inputs!$B$28+Inputs!$B$29)))</f>
        <v/>
      </c>
      <c r="E1603">
        <f>INDEX(FactorTable!$B$2:$Y$301, MATCH(ROUND(MIN(300,MAX(1,D1603)),0), FactorTable!$A$2:$A$301,0), Skills!M12+1)</f>
        <v/>
      </c>
      <c r="F1603">
        <f>IF(Skills!N12=TRUE,(Skills!L12/10)*(E1603/1000),Skills!L12/10)+Skills!O12</f>
        <v/>
      </c>
      <c r="G1603">
        <f>Calc!G12</f>
        <v/>
      </c>
      <c r="H1603">
        <f>Calc!H12</f>
        <v/>
      </c>
      <c r="I1603">
        <f>IF(Skills!AA12&lt;&gt;"",1+(Skills!AA12/10)*(U1594/1000)/100,1)</f>
        <v/>
      </c>
      <c r="J1603">
        <f>((Inputs!$B$6*(1+Inputs!$B$7/100))+(((Inputs!$B$12*(1+Inputs!$B$13/100))-(Inputs!$B$12*(1+Inputs!$B$13/100)))+0.25*(Inputs!$B$14-Inputs!$B$14))*(1+Inputs!$B$7/100))*(F1603/100)</f>
        <v/>
      </c>
      <c r="K1603">
        <f>J1603*(1+((Inputs!$B$12*(1+Inputs!$B$13/100))*0.01+Inputs!$B$14*0.0025)/100)*(1+Inputs!$B$15/100)*(1+Inputs!$B$16/100)*(5000/(6000+Inputs!$B$43*(1-(100*(1-(1-(Inputs!$B$19+0)/100)*(1-CHOOSE(ArtifactsInput!$N$40+1,5,6,7,8,9,10)/100)^(ArtifactsInput!$M$40-ArtifactsInput!$M$40)))/100)))*(1+(Inputs!$B$24+((C1621=TRUE)*(F1621-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1614=TRUE)*(F1614-Calc!F23))+(((IF(AND(ArtifactsInput!$M$42,((Inputs!$B$9+((C1616=TRUE)*(F1616-Calc!F25))+B1631+(ArtifactsInput!$M$24-ArtifactsInput!$M$24)*CHOOSE(ArtifactsInput!$N$24+1,10,12,14,16,18,20)+IF(IF(ArtifactsInput!$M$10,FALSE,TRUE),CHOOSE(ArtifactsInput!$N$10+1,15,18,21,24,27,30)*(IF(Inputs!$B$39="pvp",MIN(15,15)/15,IF(AND(Inputs!$B$39&lt;&gt;"pvp",Inputs!$B$44&gt;0),MIN(15,Inputs!$B$44)/(Inputs!$B$44),0))),0)))&gt;=100),MIN(100,((Inputs!$B$9+((C1616=TRUE)*(F1616-Calc!F25))+B1631+(ArtifactsInput!$M$24-ArtifactsInput!$M$24)*CHOOSE(ArtifactsInput!$N$24+1,10,12,14,16,18,20)+IF(IF(ArtifactsInput!$M$10,FALSE,TRUE),CHOOSE(ArtifactsInput!$N$10+1,15,18,21,24,27,30)*(IF(Inputs!$B$39="pvp",MIN(15,15)/15,IF(AND(Inputs!$B$39&lt;&gt;"pvp",Inputs!$B$44&gt;0),MIN(15,Inputs!$B$44)/(Inputs!$B$44),0))),0)))-100),0))*CHOOSE(ArtifactsInput!$N$42+1,0.6,0.72,0.84,0.96,1.08,1.2))),Inputs!$B$18+((C1620=TRUE)*(F1620-Calc!F29))+(IF(AND(ArtifactsInput!$M$42,((Inputs!$B$9+((C1616=TRUE)*(F1616-Calc!F25))+B1631+(ArtifactsInput!$M$24-ArtifactsInput!$M$24)*CHOOSE(ArtifactsInput!$N$24+1,10,12,14,16,18,20)+IF(IF(ArtifactsInput!$M$10,FALSE,TRUE),CHOOSE(ArtifactsInput!$N$10+1,15,18,21,24,27,30)*(IF(Inputs!$B$39="pvp",MIN(15,15)/15,IF(AND(Inputs!$B$39&lt;&gt;"pvp",Inputs!$B$44&gt;0),MIN(15,Inputs!$B$44)/(Inputs!$B$44),0))),0)))&gt;=100),CHOOSE(ArtifactsInput!$N$42+1,40,48,56,64,72,80),0))))/100)*(((1+(((C1612=TRUE)*F1612*IF(AND(Inputs!$B$39&lt;&gt;"pvp",Inputs!$B$44&gt;0),(((R1612-1)*(Skills!Y21*(1+Inputs!$B$34/100))+MIN((Skills!Y21*(1+Inputs!$B$34/100)),MAX(0,Inputs!$B$44-((R1612-1)*Skills!D21))))/Inputs!$B$44),IF(Inputs!$B$39="pvp",MIN((Skills!Y21*(1+Inputs!$B$34/100)),15)/15,(Skills!Y21*(1+Inputs!$B$34/100))/Skills!D21)))+((C1619=TRUE)*(F1619-Calc!F28))+((C1609=TRUE)*(F1609-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1606=TRUE)*F1606*IF(AND(Inputs!$B$39&lt;&gt;"pvp",Inputs!$B$44&gt;0),(((R1606-1)*(Skills!Y15*(1+Inputs!$B$34/100))+MIN((Skills!Y15*(1+Inputs!$B$34/100)),MAX(0,Inputs!$B$44-((R1606-1)*Skills!D15))))/Inputs!$B$44),IF(Inputs!$B$39="pvp",MIN((Skills!Y15*(1+Inputs!$B$34/100)),15)/15,(Skills!Y15*(1+Inputs!$B$34/100))/Skills!D15)))/100)*(1+((C1597=TRUE)*F1597*B1625)/100))*B1633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1603)</f>
        <v/>
      </c>
      <c r="L1603">
        <f>K1603*(MIN(Inputs!$B$22+((C1615=TRUE)*(F1615-Calc!F24)),(Inputs!$B$23+0+(IF(ArtifactsInput!$M$15,CHOOSE(ArtifactsInput!$N$15+1,25,30,35,40,45,50)/100*(Inputs!$B$11-Inputs!$B$11),0))))/100+(Inputs!$B$23+0+(IF(ArtifactsInput!$M$15,CHOOSE(ArtifactsInput!$N$15+1,25,30,35,40,45,50)/100*(Inputs!$B$11-Inputs!$B$11),0)))/100)/2</f>
        <v/>
      </c>
      <c r="M1603">
        <f>L1603*(1+(Inputs!$B$10+((C1617=TRUE)*(F1617-Calc!F26))+B1634+(IF(ArtifactsInput!$M$24,CHOOSE(ArtifactsInput!$N$24+1,30,36,42,48,54,60)/100*(Inputs!$B$9-Inputs!$B$9),0)+IF(IF(ArtifactsInput!$M$10,FALSE,TRUE),CHOOSE(ArtifactsInput!$N$10+1,20,24,28,32,36,40)*(IF(Inputs!$B$39="pvp",MIN(15,15)/15,IF(AND(Inputs!$B$39&lt;&gt;"pvp",Inputs!$B$44&gt;0),MIN(15,Inputs!$B$44)/(Inputs!$B$44),0))),0)+IF(ArtifactsInput!$M$31,1.5*CHOOSE(ArtifactsInput!$N$31+1,20,24,28,32,36,40),0)))/100)</f>
        <v/>
      </c>
      <c r="N1603">
        <f>L1603*(1-MIN((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1603*(MIN((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603">
        <f>(1-Summary!$B$11)*T1603+Summary!$B$11*V1603</f>
        <v/>
      </c>
      <c r="P1603">
        <f>IF(B1635=0,0,O1603/B1635)</f>
        <v/>
      </c>
      <c r="Q1603">
        <f>IFERROR(1/IF(Inputs!$B$39="pvp",15,MAX(0.1,Skills!D12-IF(Skills!E12=TRUE,Inputs!$B$32,0))),0)</f>
        <v/>
      </c>
      <c r="R1603">
        <f>IF(AND(Inputs!$B$39&lt;&gt;"pvp",Inputs!$B$44&gt;0),IF(MAX(0,Inputs!$B$44-B1636)&lt;=0,0,(INT(MAX(0,Inputs!$B$44-B1636)/IF(Inputs!$B$39="pvp",15,MAX(0.1,Skills!D12-IF(Skills!E12=TRUE,Inputs!$B$32,0))))+1)),0)</f>
        <v/>
      </c>
      <c r="S1603">
        <f>IFERROR(O1603/N1603,0)</f>
        <v/>
      </c>
      <c r="T1603">
        <f>IF(C1603,(H1603*N1603*IF(AND(Inputs!$B$39&lt;&gt;"pvp",Inputs!$B$44&gt;0),((Skills!G12*((R1603-1)*IF(Skills!H12&gt;0,Skills!I12/Skills!H12,1)+IF(Skills!H12&gt;0,MIN(Skills!I12,MAX(0,MAX(0,Inputs!$B$44-B1636)-((R1603-1)*IF(Inputs!$B$39="pvp",15,MAX(0.1,Skills!D12-IF(Skills!E12=TRUE,Inputs!$B$32,0))))))/Skills!H12,1)))/Inputs!$B$44),G1603*Q1603))*IF(Inputs!$B$39="pvp",1,1+(Inputs!$B$20+((C1618=TRUE)*(F1618-Calc!F27))+Skills!P12+B1632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Hunt"),CHOOSE(ArtifactsInput!$N$35+1,15,18,21,24,27,30)*(1-EXP(-(0.2*B1627)*5)),0)+IF(AND(ArtifactsInput!$M$22,Inputs!$B$4&lt;&gt;"Chapter Hunt"),CHOOSE(ArtifactsInput!$N$22+1,10,12,14,16,18,20)*((0*(((0.15*B1627*5))^0/1)+1*(((0.15*B1627*5))^1/1)+2*(((0.15*B1627*5))^2/2)+3*(((0.15*B1627*5))^3/6)+4*(((0.15*B1627*5))^4/24)+5*(((0.15*B1627*5))^5/120))/((((0.15*B1627*5))^0/1)+(((0.15*B1627*5))^1/1)+(((0.15*B1627*5))^2/2)+(((0.15*B1627*5))^3/6)+(((0.15*B1627*5))^4/24)+(((0.15*B1627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1603*(1-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1603*(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1603*(1-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1603*(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03">
        <f>IF(C1603,(H1603*N1603*IF(AND(Inputs!$B$39&lt;&gt;"pvp",Inputs!$B$44&gt;0),((Skills!G12*((R1603-1)*IF(Skills!H12&gt;0,Skills!I12/Skills!H12,1)+IF(Skills!H12&gt;0,MIN(Skills!I12,MAX(0,MAX(0,Inputs!$B$44-B1636)-((R1603-1)*IF(Inputs!$B$39="pvp",15,MAX(0.1,Skills!D12-IF(Skills!E12=TRUE,Inputs!$B$32,0))))))/Skills!H12,1)))/Inputs!$B$44),G1603*Q1603))*IF(Inputs!$B$39="pvp",1,(1+(Inputs!$B$21+Skills!Q12+B1632+(IF(ArtifactsInput!$M$33,CHOOSE(ArtifactsInput!$N$33+1,30,36,42,48,54,60),0))+(IF(AND(ArtifactsInput!$M$35,Inputs!$B$4&lt;&gt;"Chapter Hunt"),CHOOSE(ArtifactsInput!$N$35+1,15,18,21,24,27,30)*(1-EXP(-(0.2*B1627)*5)),0)+IF(AND(ArtifactsInput!$M$22,Inputs!$B$4&lt;&gt;"Chapter Hunt"),CHOOSE(ArtifactsInput!$N$22+1,10,12,14,16,18,20)*((0*(((0.15*B1627*5))^0/1)+1*(((0.15*B1627*5))^1/1)+2*(((0.15*B1627*5))^2/2)+3*(((0.15*B1627*5))^3/6)+4*(((0.15*B1627*5))^4/24)+5*(((0.15*B1627*5))^5/120))/((((0.15*B1627*5))^0/1)+(((0.15*B1627*5))^1/1)+(((0.15*B1627*5))^2/2)+(((0.15*B1627*5))^3/6)+(((0.15*B1627*5))^4/24)+(((0.15*B1627*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04">
      <c r="A1604">
        <f>Skills!A13</f>
        <v/>
      </c>
      <c r="B1604">
        <f>Skills!B13</f>
        <v/>
      </c>
      <c r="C1604">
        <f>Inputs!$B$3&gt;=105</f>
        <v/>
      </c>
      <c r="D1604">
        <f>IF(Skills!C13=1,60+Inputs!$B$25+Inputs!$B$29,IF(Skills!C13=2,90+Inputs!$B$26+Inputs!$B$29,IF(Skills!C13=3,120+Inputs!$B$27+Inputs!$B$29,MAX(0,(Inputs!$B$3-100)*3)+Inputs!$B$28+Inputs!$B$29)))</f>
        <v/>
      </c>
      <c r="E1604">
        <f>INDEX(FactorTable!$B$2:$Y$301, MATCH(ROUND(MIN(300,MAX(1,D1604)),0), FactorTable!$A$2:$A$301,0), Skills!M13+1)</f>
        <v/>
      </c>
      <c r="F1604">
        <f>IF(Skills!N13=TRUE,(Skills!L13/10)*(E1604/1000),Skills!L13/10)+Skills!O13</f>
        <v/>
      </c>
      <c r="G1604">
        <f>Calc!G13</f>
        <v/>
      </c>
      <c r="H1604">
        <f>Calc!H13</f>
        <v/>
      </c>
      <c r="I1604">
        <f>IF(Skills!AA13&lt;&gt;"",1+(Skills!AA13/10)*(U1594/1000)/100,1)</f>
        <v/>
      </c>
      <c r="J1604">
        <f>((Inputs!$B$6*(1+Inputs!$B$7/100))+(((Inputs!$B$12*(1+Inputs!$B$13/100))-(Inputs!$B$12*(1+Inputs!$B$13/100)))+0.25*(Inputs!$B$14-Inputs!$B$14))*(1+Inputs!$B$7/100))*(F1604/100)</f>
        <v/>
      </c>
      <c r="K1604">
        <f>J1604*(1+((Inputs!$B$12*(1+Inputs!$B$13/100))*0.01+Inputs!$B$14*0.0025)/100)*(1+Inputs!$B$15/100)*(1+Inputs!$B$16/100)*(5000/(6000+Inputs!$B$43*(1-(100*(1-(1-(Inputs!$B$19+0)/100)*(1-CHOOSE(ArtifactsInput!$N$40+1,5,6,7,8,9,10)/100)^(ArtifactsInput!$M$40-ArtifactsInput!$M$40)))/100)))*(1+(Inputs!$B$24+((C1621=TRUE)*(F1621-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1614=TRUE)*(F1614-Calc!F23))+(((IF(AND(ArtifactsInput!$M$42,((Inputs!$B$9+((C1616=TRUE)*(F1616-Calc!F25))+B1631+(ArtifactsInput!$M$24-ArtifactsInput!$M$24)*CHOOSE(ArtifactsInput!$N$24+1,10,12,14,16,18,20)+IF(IF(ArtifactsInput!$M$10,FALSE,TRUE),CHOOSE(ArtifactsInput!$N$10+1,15,18,21,24,27,30)*(IF(Inputs!$B$39="pvp",MIN(15,15)/15,IF(AND(Inputs!$B$39&lt;&gt;"pvp",Inputs!$B$44&gt;0),MIN(15,Inputs!$B$44)/(Inputs!$B$44),0))),0)))&gt;=100),MIN(100,((Inputs!$B$9+((C1616=TRUE)*(F1616-Calc!F25))+B1631+(ArtifactsInput!$M$24-ArtifactsInput!$M$24)*CHOOSE(ArtifactsInput!$N$24+1,10,12,14,16,18,20)+IF(IF(ArtifactsInput!$M$10,FALSE,TRUE),CHOOSE(ArtifactsInput!$N$10+1,15,18,21,24,27,30)*(IF(Inputs!$B$39="pvp",MIN(15,15)/15,IF(AND(Inputs!$B$39&lt;&gt;"pvp",Inputs!$B$44&gt;0),MIN(15,Inputs!$B$44)/(Inputs!$B$44),0))),0)))-100),0))*CHOOSE(ArtifactsInput!$N$42+1,0.6,0.72,0.84,0.96,1.08,1.2))),Inputs!$B$18+((C1620=TRUE)*(F1620-Calc!F29))+(IF(AND(ArtifactsInput!$M$42,((Inputs!$B$9+((C1616=TRUE)*(F1616-Calc!F25))+B1631+(ArtifactsInput!$M$24-ArtifactsInput!$M$24)*CHOOSE(ArtifactsInput!$N$24+1,10,12,14,16,18,20)+IF(IF(ArtifactsInput!$M$10,FALSE,TRUE),CHOOSE(ArtifactsInput!$N$10+1,15,18,21,24,27,30)*(IF(Inputs!$B$39="pvp",MIN(15,15)/15,IF(AND(Inputs!$B$39&lt;&gt;"pvp",Inputs!$B$44&gt;0),MIN(15,Inputs!$B$44)/(Inputs!$B$44),0))),0)))&gt;=100),CHOOSE(ArtifactsInput!$N$42+1,40,48,56,64,72,80),0))))/100)*(((1+(((C1612=TRUE)*F1612*IF(AND(Inputs!$B$39&lt;&gt;"pvp",Inputs!$B$44&gt;0),(((R1612-1)*(Skills!Y21*(1+Inputs!$B$34/100))+MIN((Skills!Y21*(1+Inputs!$B$34/100)),MAX(0,Inputs!$B$44-((R1612-1)*Skills!D21))))/Inputs!$B$44),IF(Inputs!$B$39="pvp",MIN((Skills!Y21*(1+Inputs!$B$34/100)),15)/15,(Skills!Y21*(1+Inputs!$B$34/100))/Skills!D21)))+((C1619=TRUE)*(F1619-Calc!F28))+((C1609=TRUE)*(F1609-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1606=TRUE)*F1606*IF(AND(Inputs!$B$39&lt;&gt;"pvp",Inputs!$B$44&gt;0),(((R1606-1)*(Skills!Y15*(1+Inputs!$B$34/100))+MIN((Skills!Y15*(1+Inputs!$B$34/100)),MAX(0,Inputs!$B$44-((R1606-1)*Skills!D15))))/Inputs!$B$44),IF(Inputs!$B$39="pvp",MIN((Skills!Y15*(1+Inputs!$B$34/100)),15)/15,(Skills!Y15*(1+Inputs!$B$34/100))/Skills!D15)))/100)*(1+((C1597=TRUE)*F1597*B1625)/100))*B1633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1604)</f>
        <v/>
      </c>
      <c r="L1604">
        <f>K1604*(MIN(Inputs!$B$22+((C1615=TRUE)*(F1615-Calc!F24)),(Inputs!$B$23+0+(IF(ArtifactsInput!$M$15,CHOOSE(ArtifactsInput!$N$15+1,25,30,35,40,45,50)/100*(Inputs!$B$11-Inputs!$B$11),0))))/100+(Inputs!$B$23+0+(IF(ArtifactsInput!$M$15,CHOOSE(ArtifactsInput!$N$15+1,25,30,35,40,45,50)/100*(Inputs!$B$11-Inputs!$B$11),0)))/100)/2</f>
        <v/>
      </c>
      <c r="M1604">
        <f>L1604*(1+(Inputs!$B$10+((C1617=TRUE)*(F1617-Calc!F26))+B1634+(IF(ArtifactsInput!$M$24,CHOOSE(ArtifactsInput!$N$24+1,30,36,42,48,54,60)/100*(Inputs!$B$9-Inputs!$B$9),0)+IF(IF(ArtifactsInput!$M$10,FALSE,TRUE),CHOOSE(ArtifactsInput!$N$10+1,20,24,28,32,36,40)*(IF(Inputs!$B$39="pvp",MIN(15,15)/15,IF(AND(Inputs!$B$39&lt;&gt;"pvp",Inputs!$B$44&gt;0),MIN(15,Inputs!$B$44)/(Inputs!$B$44),0))),0)+IF(ArtifactsInput!$M$31,1.5*CHOOSE(ArtifactsInput!$N$31+1,20,24,28,32,36,40),0)))/100)</f>
        <v/>
      </c>
      <c r="N1604">
        <f>L1604*(1-MIN((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1604*(MIN((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604">
        <f>(1-Summary!$B$11)*T1604+Summary!$B$11*V1604</f>
        <v/>
      </c>
      <c r="P1604">
        <f>IF(B1635=0,0,O1604/B1635)</f>
        <v/>
      </c>
      <c r="Q1604">
        <f>IFERROR(1/IF(Inputs!$B$39="pvp",15,MAX(0.1,Skills!D13-IF(Skills!E13=TRUE,Inputs!$B$32,0))),0)</f>
        <v/>
      </c>
      <c r="R1604">
        <f>IF(AND(Inputs!$B$39&lt;&gt;"pvp",Inputs!$B$44&gt;0),IF(MAX(0,Inputs!$B$44-B1636)&lt;=0,0,(INT(MAX(0,Inputs!$B$44-B1636)/IF(Inputs!$B$39="pvp",15,MAX(0.1,Skills!D13-IF(Skills!E13=TRUE,Inputs!$B$32,0))))+1)),0)</f>
        <v/>
      </c>
      <c r="S1604">
        <f>IFERROR(O1604/N1604,0)</f>
        <v/>
      </c>
      <c r="T1604">
        <f>IF(C1604,(H1604*N1604*IF(AND(Inputs!$B$39&lt;&gt;"pvp",Inputs!$B$44&gt;0),((Skills!G13*((R1604-1)*IF(Skills!H13&gt;0,Skills!I13/Skills!H13,1)+IF(Skills!H13&gt;0,MIN(Skills!I13,MAX(0,MAX(0,Inputs!$B$44-B1636)-((R1604-1)*IF(Inputs!$B$39="pvp",15,MAX(0.1,Skills!D13-IF(Skills!E13=TRUE,Inputs!$B$32,0))))))/Skills!H13,1)))/Inputs!$B$44),G1604*Q1604))*IF(Inputs!$B$39="pvp",1,1+(Inputs!$B$20+((C1618=TRUE)*(F1618-Calc!F27))+Skills!P13+B1632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Hunt"),CHOOSE(ArtifactsInput!$N$35+1,15,18,21,24,27,30)*(1-EXP(-(0.2*B1627)*5)),0)+IF(AND(ArtifactsInput!$M$22,Inputs!$B$4&lt;&gt;"Chapter Hunt"),CHOOSE(ArtifactsInput!$N$22+1,10,12,14,16,18,20)*((0*(((0.15*B1627*5))^0/1)+1*(((0.15*B1627*5))^1/1)+2*(((0.15*B1627*5))^2/2)+3*(((0.15*B1627*5))^3/6)+4*(((0.15*B1627*5))^4/24)+5*(((0.15*B1627*5))^5/120))/((((0.15*B1627*5))^0/1)+(((0.15*B1627*5))^1/1)+(((0.15*B1627*5))^2/2)+(((0.15*B1627*5))^3/6)+(((0.15*B1627*5))^4/24)+(((0.15*B1627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1604*(1-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1604*(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1604*(1-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1604*(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04">
        <f>IF(C1604,(H1604*N1604*IF(AND(Inputs!$B$39&lt;&gt;"pvp",Inputs!$B$44&gt;0),((Skills!G13*((R1604-1)*IF(Skills!H13&gt;0,Skills!I13/Skills!H13,1)+IF(Skills!H13&gt;0,MIN(Skills!I13,MAX(0,MAX(0,Inputs!$B$44-B1636)-((R1604-1)*IF(Inputs!$B$39="pvp",15,MAX(0.1,Skills!D13-IF(Skills!E13=TRUE,Inputs!$B$32,0))))))/Skills!H13,1)))/Inputs!$B$44),G1604*Q1604))*IF(Inputs!$B$39="pvp",1,(1+(Inputs!$B$21+Skills!Q13+B1632+(IF(ArtifactsInput!$M$33,CHOOSE(ArtifactsInput!$N$33+1,30,36,42,48,54,60),0))+(IF(AND(ArtifactsInput!$M$35,Inputs!$B$4&lt;&gt;"Chapter Hunt"),CHOOSE(ArtifactsInput!$N$35+1,15,18,21,24,27,30)*(1-EXP(-(0.2*B1627)*5)),0)+IF(AND(ArtifactsInput!$M$22,Inputs!$B$4&lt;&gt;"Chapter Hunt"),CHOOSE(ArtifactsInput!$N$22+1,10,12,14,16,18,20)*((0*(((0.15*B1627*5))^0/1)+1*(((0.15*B1627*5))^1/1)+2*(((0.15*B1627*5))^2/2)+3*(((0.15*B1627*5))^3/6)+4*(((0.15*B1627*5))^4/24)+5*(((0.15*B1627*5))^5/120))/((((0.15*B1627*5))^0/1)+(((0.15*B1627*5))^1/1)+(((0.15*B1627*5))^2/2)+(((0.15*B1627*5))^3/6)+(((0.15*B1627*5))^4/24)+(((0.15*B1627*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05">
      <c r="A1605">
        <f>Skills!A14</f>
        <v/>
      </c>
      <c r="B1605">
        <f>Skills!B14</f>
        <v/>
      </c>
      <c r="C1605">
        <f>Inputs!$B$3&gt;=105</f>
        <v/>
      </c>
      <c r="D1605">
        <f>IF(Skills!C14=1,60+Inputs!$B$25+Inputs!$B$29,IF(Skills!C14=2,90+Inputs!$B$26+Inputs!$B$29,IF(Skills!C14=3,120+Inputs!$B$27+Inputs!$B$29,MAX(0,(Inputs!$B$3-100)*3)+Inputs!$B$28+Inputs!$B$29)))</f>
        <v/>
      </c>
      <c r="E1605">
        <f>INDEX(FactorTable!$B$2:$Y$301, MATCH(ROUND(MIN(300,MAX(1,D1605)),0), FactorTable!$A$2:$A$301,0), Skills!M14+1)</f>
        <v/>
      </c>
      <c r="F1605">
        <f>IF(Skills!N14=TRUE,(Skills!L14/10)*(E1605/1000),Skills!L14/10)+Skills!O14</f>
        <v/>
      </c>
      <c r="G1605">
        <f>Calc!G14</f>
        <v/>
      </c>
      <c r="H1605">
        <f>Calc!H14</f>
        <v/>
      </c>
      <c r="I1605">
        <f>IF(Skills!AA14&lt;&gt;"",1+(Skills!AA14/10)*(U1594/1000)/100,1)</f>
        <v/>
      </c>
      <c r="J1605">
        <f>((Inputs!$B$6*(1+Inputs!$B$7/100))+(((Inputs!$B$12*(1+Inputs!$B$13/100))-(Inputs!$B$12*(1+Inputs!$B$13/100)))+0.25*(Inputs!$B$14-Inputs!$B$14))*(1+Inputs!$B$7/100))*(F1605/100)</f>
        <v/>
      </c>
      <c r="K1605">
        <f>J1605*(1+((Inputs!$B$12*(1+Inputs!$B$13/100))*0.01+Inputs!$B$14*0.0025)/100)*(1+Inputs!$B$15/100)*(1+Inputs!$B$16/100)*(5000/(6000+Inputs!$B$43*(1-(100*(1-(1-(Inputs!$B$19+0)/100)*(1-CHOOSE(ArtifactsInput!$N$40+1,5,6,7,8,9,10)/100)^(ArtifactsInput!$M$40-ArtifactsInput!$M$40)))/100)))*(1+(Inputs!$B$24+((C1621=TRUE)*(F1621-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1614=TRUE)*(F1614-Calc!F23))+(((IF(AND(ArtifactsInput!$M$42,((Inputs!$B$9+((C1616=TRUE)*(F1616-Calc!F25))+B1631+(ArtifactsInput!$M$24-ArtifactsInput!$M$24)*CHOOSE(ArtifactsInput!$N$24+1,10,12,14,16,18,20)+IF(IF(ArtifactsInput!$M$10,FALSE,TRUE),CHOOSE(ArtifactsInput!$N$10+1,15,18,21,24,27,30)*(IF(Inputs!$B$39="pvp",MIN(15,15)/15,IF(AND(Inputs!$B$39&lt;&gt;"pvp",Inputs!$B$44&gt;0),MIN(15,Inputs!$B$44)/(Inputs!$B$44),0))),0)))&gt;=100),MIN(100,((Inputs!$B$9+((C1616=TRUE)*(F1616-Calc!F25))+B1631+(ArtifactsInput!$M$24-ArtifactsInput!$M$24)*CHOOSE(ArtifactsInput!$N$24+1,10,12,14,16,18,20)+IF(IF(ArtifactsInput!$M$10,FALSE,TRUE),CHOOSE(ArtifactsInput!$N$10+1,15,18,21,24,27,30)*(IF(Inputs!$B$39="pvp",MIN(15,15)/15,IF(AND(Inputs!$B$39&lt;&gt;"pvp",Inputs!$B$44&gt;0),MIN(15,Inputs!$B$44)/(Inputs!$B$44),0))),0)))-100),0))*CHOOSE(ArtifactsInput!$N$42+1,0.6,0.72,0.84,0.96,1.08,1.2))),Inputs!$B$18+((C1620=TRUE)*(F1620-Calc!F29))+(IF(AND(ArtifactsInput!$M$42,((Inputs!$B$9+((C1616=TRUE)*(F1616-Calc!F25))+B1631+(ArtifactsInput!$M$24-ArtifactsInput!$M$24)*CHOOSE(ArtifactsInput!$N$24+1,10,12,14,16,18,20)+IF(IF(ArtifactsInput!$M$10,FALSE,TRUE),CHOOSE(ArtifactsInput!$N$10+1,15,18,21,24,27,30)*(IF(Inputs!$B$39="pvp",MIN(15,15)/15,IF(AND(Inputs!$B$39&lt;&gt;"pvp",Inputs!$B$44&gt;0),MIN(15,Inputs!$B$44)/(Inputs!$B$44),0))),0)))&gt;=100),CHOOSE(ArtifactsInput!$N$42+1,40,48,56,64,72,80),0))))/100)*(((1+(((C1612=TRUE)*F1612*IF(AND(Inputs!$B$39&lt;&gt;"pvp",Inputs!$B$44&gt;0),(((R1612-1)*(Skills!Y21*(1+Inputs!$B$34/100))+MIN((Skills!Y21*(1+Inputs!$B$34/100)),MAX(0,Inputs!$B$44-((R1612-1)*Skills!D21))))/Inputs!$B$44),IF(Inputs!$B$39="pvp",MIN((Skills!Y21*(1+Inputs!$B$34/100)),15)/15,(Skills!Y21*(1+Inputs!$B$34/100))/Skills!D21)))+((C1619=TRUE)*(F1619-Calc!F28))+((C1609=TRUE)*(F1609-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1606=TRUE)*F1606*IF(AND(Inputs!$B$39&lt;&gt;"pvp",Inputs!$B$44&gt;0),(((R1606-1)*(Skills!Y15*(1+Inputs!$B$34/100))+MIN((Skills!Y15*(1+Inputs!$B$34/100)),MAX(0,Inputs!$B$44-((R1606-1)*Skills!D15))))/Inputs!$B$44),IF(Inputs!$B$39="pvp",MIN((Skills!Y15*(1+Inputs!$B$34/100)),15)/15,(Skills!Y15*(1+Inputs!$B$34/100))/Skills!D15)))/100)*(1+((C1597=TRUE)*F1597*B1625)/100))*B1633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1605)</f>
        <v/>
      </c>
      <c r="L1605">
        <f>K1605*(MIN(Inputs!$B$22+((C1615=TRUE)*(F1615-Calc!F24)),(Inputs!$B$23+0+(IF(ArtifactsInput!$M$15,CHOOSE(ArtifactsInput!$N$15+1,25,30,35,40,45,50)/100*(Inputs!$B$11-Inputs!$B$11),0))))/100+(Inputs!$B$23+0+(IF(ArtifactsInput!$M$15,CHOOSE(ArtifactsInput!$N$15+1,25,30,35,40,45,50)/100*(Inputs!$B$11-Inputs!$B$11),0)))/100)/2</f>
        <v/>
      </c>
      <c r="M1605">
        <f>L1605*(1+(Inputs!$B$10+((C1617=TRUE)*(F1617-Calc!F26))+B1634+(IF(ArtifactsInput!$M$24,CHOOSE(ArtifactsInput!$N$24+1,30,36,42,48,54,60)/100*(Inputs!$B$9-Inputs!$B$9),0)+IF(IF(ArtifactsInput!$M$10,FALSE,TRUE),CHOOSE(ArtifactsInput!$N$10+1,20,24,28,32,36,40)*(IF(Inputs!$B$39="pvp",MIN(15,15)/15,IF(AND(Inputs!$B$39&lt;&gt;"pvp",Inputs!$B$44&gt;0),MIN(15,Inputs!$B$44)/(Inputs!$B$44),0))),0)+IF(ArtifactsInput!$M$31,1.5*CHOOSE(ArtifactsInput!$N$31+1,20,24,28,32,36,40),0)))/100)</f>
        <v/>
      </c>
      <c r="N1605">
        <f>L1605*(1-MIN((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1605*(MIN((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605">
        <f>(1-Summary!$B$11)*T1605+Summary!$B$11*V1605</f>
        <v/>
      </c>
      <c r="P1605">
        <f>IF(B1635=0,0,O1605/B1635)</f>
        <v/>
      </c>
      <c r="Q1605">
        <f>IFERROR(1/IF(Inputs!$B$39="pvp",15,MAX(0.1,Skills!D14-IF(Skills!E14=TRUE,Inputs!$B$32,0))),0)</f>
        <v/>
      </c>
      <c r="R1605">
        <f>IF(AND(Inputs!$B$39&lt;&gt;"pvp",Inputs!$B$44&gt;0),IF(MAX(0,Inputs!$B$44-B1636)&lt;=0,0,(INT(MAX(0,Inputs!$B$44-B1636)/IF(Inputs!$B$39="pvp",15,MAX(0.1,Skills!D14-IF(Skills!E14=TRUE,Inputs!$B$32,0))))+1)),0)</f>
        <v/>
      </c>
      <c r="S1605">
        <f>IFERROR(O1605/N1605,0)</f>
        <v/>
      </c>
      <c r="T1605">
        <f>IF(C1605,(H1605*N1605*IF(AND(Inputs!$B$39&lt;&gt;"pvp",Inputs!$B$44&gt;0),((Skills!G14*((R1605-1)*IF(Skills!H14&gt;0,Skills!I14/Skills!H14,1)+IF(Skills!H14&gt;0,MIN(Skills!I14,MAX(0,MAX(0,Inputs!$B$44-B1636)-((R1605-1)*IF(Inputs!$B$39="pvp",15,MAX(0.1,Skills!D14-IF(Skills!E14=TRUE,Inputs!$B$32,0))))))/Skills!H14,1)))/Inputs!$B$44),G1605*Q1605))*IF(Inputs!$B$39="pvp",1,1+(Inputs!$B$20+((C1618=TRUE)*(F1618-Calc!F27))+Skills!P14+B1632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Hunt"),CHOOSE(ArtifactsInput!$N$35+1,15,18,21,24,27,30)*(1-EXP(-(0.2*B1627)*5)),0)+IF(AND(ArtifactsInput!$M$22,Inputs!$B$4&lt;&gt;"Chapter Hunt"),CHOOSE(ArtifactsInput!$N$22+1,10,12,14,16,18,20)*((0*(((0.15*B1627*5))^0/1)+1*(((0.15*B1627*5))^1/1)+2*(((0.15*B1627*5))^2/2)+3*(((0.15*B1627*5))^3/6)+4*(((0.15*B1627*5))^4/24)+5*(((0.15*B1627*5))^5/120))/((((0.15*B1627*5))^0/1)+(((0.15*B1627*5))^1/1)+(((0.15*B1627*5))^2/2)+(((0.15*B1627*5))^3/6)+(((0.15*B1627*5))^4/24)+(((0.15*B1627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1605*(1-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1605*(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1605*(1-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1605*(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05">
        <f>IF(C1605,(H1605*N1605*IF(AND(Inputs!$B$39&lt;&gt;"pvp",Inputs!$B$44&gt;0),((Skills!G14*((R1605-1)*IF(Skills!H14&gt;0,Skills!I14/Skills!H14,1)+IF(Skills!H14&gt;0,MIN(Skills!I14,MAX(0,MAX(0,Inputs!$B$44-B1636)-((R1605-1)*IF(Inputs!$B$39="pvp",15,MAX(0.1,Skills!D14-IF(Skills!E14=TRUE,Inputs!$B$32,0))))))/Skills!H14,1)))/Inputs!$B$44),G1605*Q1605))*IF(Inputs!$B$39="pvp",1,(1+(Inputs!$B$21+Skills!Q14+B1632+(IF(ArtifactsInput!$M$33,CHOOSE(ArtifactsInput!$N$33+1,30,36,42,48,54,60),0))+(IF(AND(ArtifactsInput!$M$35,Inputs!$B$4&lt;&gt;"Chapter Hunt"),CHOOSE(ArtifactsInput!$N$35+1,15,18,21,24,27,30)*(1-EXP(-(0.2*B1627)*5)),0)+IF(AND(ArtifactsInput!$M$22,Inputs!$B$4&lt;&gt;"Chapter Hunt"),CHOOSE(ArtifactsInput!$N$22+1,10,12,14,16,18,20)*((0*(((0.15*B1627*5))^0/1)+1*(((0.15*B1627*5))^1/1)+2*(((0.15*B1627*5))^2/2)+3*(((0.15*B1627*5))^3/6)+4*(((0.15*B1627*5))^4/24)+5*(((0.15*B1627*5))^5/120))/((((0.15*B1627*5))^0/1)+(((0.15*B1627*5))^1/1)+(((0.15*B1627*5))^2/2)+(((0.15*B1627*5))^3/6)+(((0.15*B1627*5))^4/24)+(((0.15*B1627*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06">
      <c r="A1606">
        <f>Skills!A15</f>
        <v/>
      </c>
      <c r="B1606">
        <f>Skills!B15</f>
        <v/>
      </c>
      <c r="C1606">
        <f>Inputs!$B$3&gt;=110</f>
        <v/>
      </c>
      <c r="D1606">
        <f>IF(Skills!C15=1,60+Inputs!$B$25+Inputs!$B$29,IF(Skills!C15=2,90+Inputs!$B$26+Inputs!$B$29,IF(Skills!C15=3,120+Inputs!$B$27+Inputs!$B$29,MAX(0,(Inputs!$B$3-100)*3)+Inputs!$B$28+Inputs!$B$29)))</f>
        <v/>
      </c>
      <c r="E1606">
        <f>INDEX(FactorTable!$B$2:$Y$301, MATCH(ROUND(MIN(300,MAX(1,D1606)),0), FactorTable!$A$2:$A$301,0), Skills!M15+1)</f>
        <v/>
      </c>
      <c r="F1606">
        <f>IF(Skills!N15=TRUE,(Skills!L15/10)*(E1606/1000),Skills!L15/10)+Skills!O15</f>
        <v/>
      </c>
      <c r="G1606">
        <f>Calc!G15</f>
        <v/>
      </c>
      <c r="H1606">
        <f>Calc!H15</f>
        <v/>
      </c>
      <c r="I1606">
        <f>IF(Skills!AA15&lt;&gt;"",1+(Skills!AA15/10)*(U1594/1000)/100,1)</f>
        <v/>
      </c>
      <c r="J1606" t="inlineStr"/>
      <c r="K1606" t="inlineStr"/>
      <c r="L1606" t="inlineStr"/>
      <c r="M1606" t="inlineStr"/>
      <c r="N1606" t="inlineStr"/>
      <c r="O1606">
        <f>(1-Summary!$B$11)*T1606+Summary!$B$11*V1606</f>
        <v/>
      </c>
      <c r="P1606">
        <f>IF(B1635=0,0,O1606/B1635)</f>
        <v/>
      </c>
      <c r="Q1606">
        <f>IFERROR(1/IF(Inputs!$B$39="pvp",15,MAX(0.1,Skills!D15-IF(Skills!E15=TRUE,Inputs!$B$32,0))),0)</f>
        <v/>
      </c>
      <c r="R1606">
        <f>IF(AND(Inputs!$B$39&lt;&gt;"pvp",Inputs!$B$44&gt;0),IF(Inputs!$B$44&lt;=0,0,(INT(Inputs!$B$44/IF(Inputs!$B$39="pvp",15,MAX(0.1,Skills!D15-IF(Skills!E15=TRUE,Inputs!$B$32,0))))+1)),0)</f>
        <v/>
      </c>
      <c r="S1606">
        <f>IFERROR(O1606/N1606,0)</f>
        <v/>
      </c>
      <c r="T1606" t="n">
        <v>0</v>
      </c>
      <c r="V1606" t="n">
        <v>0</v>
      </c>
    </row>
    <row r="1607">
      <c r="A1607">
        <f>Skills!A16</f>
        <v/>
      </c>
      <c r="B1607">
        <f>Skills!B16</f>
        <v/>
      </c>
      <c r="C1607">
        <f>Inputs!$B$3&gt;=110</f>
        <v/>
      </c>
      <c r="D1607">
        <f>IF(Skills!C16=1,60+Inputs!$B$25+Inputs!$B$29,IF(Skills!C16=2,90+Inputs!$B$26+Inputs!$B$29,IF(Skills!C16=3,120+Inputs!$B$27+Inputs!$B$29,MAX(0,(Inputs!$B$3-100)*3)+Inputs!$B$28+Inputs!$B$29)))</f>
        <v/>
      </c>
      <c r="E1607">
        <f>INDEX(FactorTable!$B$2:$Y$301, MATCH(ROUND(MIN(300,MAX(1,D1607)),0), FactorTable!$A$2:$A$301,0), Skills!M16+1)</f>
        <v/>
      </c>
      <c r="F1607">
        <f>IF(Skills!N16=TRUE,(Skills!L16/10)*(E1607/1000),Skills!L16/10)+Skills!O16</f>
        <v/>
      </c>
      <c r="G1607">
        <f>Calc!G16</f>
        <v/>
      </c>
      <c r="H1607">
        <f>Calc!H16</f>
        <v/>
      </c>
      <c r="I1607">
        <f>IF(Skills!AA16&lt;&gt;"",1+(Skills!AA16/10)*(U1594/1000)/100,1)</f>
        <v/>
      </c>
      <c r="J1607" t="inlineStr"/>
      <c r="K1607" t="inlineStr"/>
      <c r="L1607" t="inlineStr"/>
      <c r="M1607" t="inlineStr"/>
      <c r="N1607" t="inlineStr"/>
      <c r="O1607">
        <f>(1-Summary!$B$11)*T1607+Summary!$B$11*V1607</f>
        <v/>
      </c>
      <c r="P1607">
        <f>IF(B1635=0,0,O1607/B1635)</f>
        <v/>
      </c>
      <c r="Q1607">
        <f>IFERROR(1/IF(Inputs!$B$39="pvp",15,MAX(0.1,Skills!D16-IF(Skills!E16=TRUE,Inputs!$B$32,0))),0)</f>
        <v/>
      </c>
      <c r="R1607">
        <f>IF(AND(Inputs!$B$39&lt;&gt;"pvp",Inputs!$B$44&gt;0),IF(Inputs!$B$44&lt;=0,0,(INT(Inputs!$B$44/IF(Inputs!$B$39="pvp",15,MAX(0.1,Skills!D16-IF(Skills!E16=TRUE,Inputs!$B$32,0))))+1)),0)</f>
        <v/>
      </c>
      <c r="S1607">
        <f>IFERROR(O1607/N1607,0)</f>
        <v/>
      </c>
      <c r="T1607" t="n">
        <v>0</v>
      </c>
      <c r="V1607" t="n">
        <v>0</v>
      </c>
    </row>
    <row r="1608">
      <c r="A1608">
        <f>Skills!A17</f>
        <v/>
      </c>
      <c r="B1608">
        <f>Skills!B17</f>
        <v/>
      </c>
      <c r="C1608">
        <f>Inputs!$B$3&gt;=115</f>
        <v/>
      </c>
      <c r="D1608">
        <f>IF(Skills!C17=1,60+Inputs!$B$25+Inputs!$B$29,IF(Skills!C17=2,90+Inputs!$B$26+Inputs!$B$29,IF(Skills!C17=3,120+Inputs!$B$27+Inputs!$B$29,MAX(0,(Inputs!$B$3-100)*3)+Inputs!$B$28+Inputs!$B$29)))</f>
        <v/>
      </c>
      <c r="E1608">
        <f>INDEX(FactorTable!$B$2:$Y$301, MATCH(ROUND(MIN(300,MAX(1,D1608)),0), FactorTable!$A$2:$A$301,0), Skills!M17+1)</f>
        <v/>
      </c>
      <c r="F1608">
        <f>IF(Skills!N17=TRUE,(Skills!L17/10)*(E1608/1000),Skills!L17/10)+Skills!O17</f>
        <v/>
      </c>
      <c r="G1608">
        <f>Calc!G17</f>
        <v/>
      </c>
      <c r="H1608">
        <f>Calc!H17</f>
        <v/>
      </c>
      <c r="I1608">
        <f>IF(Skills!AA17&lt;&gt;"",1+(Skills!AA17/10)*(U1594/1000)/100,1)</f>
        <v/>
      </c>
      <c r="J1608">
        <f>((Inputs!$B$6*(1+Inputs!$B$7/100))+(((Inputs!$B$12*(1+Inputs!$B$13/100))-(Inputs!$B$12*(1+Inputs!$B$13/100)))+0.25*(Inputs!$B$14-Inputs!$B$14))*(1+Inputs!$B$7/100))*(F1608/100)</f>
        <v/>
      </c>
      <c r="K1608">
        <f>J1608*(1+((Inputs!$B$12*(1+Inputs!$B$13/100))*0.01+Inputs!$B$14*0.0025)/100)*(1+Inputs!$B$15/100)*(1+Inputs!$B$16/100)*(5000/(6000+Inputs!$B$43*(1-(100*(1-(1-(Inputs!$B$19+0)/100)*(1-CHOOSE(ArtifactsInput!$N$40+1,5,6,7,8,9,10)/100)^(ArtifactsInput!$M$40-ArtifactsInput!$M$40)))/100)))*(1+(Inputs!$B$24+((C1621=TRUE)*(F1621-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1614=TRUE)*(F1614-Calc!F23))+(((IF(AND(ArtifactsInput!$M$42,((Inputs!$B$9+((C1616=TRUE)*(F1616-Calc!F25))+B1631+(ArtifactsInput!$M$24-ArtifactsInput!$M$24)*CHOOSE(ArtifactsInput!$N$24+1,10,12,14,16,18,20)+IF(IF(ArtifactsInput!$M$10,FALSE,TRUE),CHOOSE(ArtifactsInput!$N$10+1,15,18,21,24,27,30)*(IF(Inputs!$B$39="pvp",MIN(15,15)/15,IF(AND(Inputs!$B$39&lt;&gt;"pvp",Inputs!$B$44&gt;0),MIN(15,Inputs!$B$44)/(Inputs!$B$44),0))),0)))&gt;=100),MIN(100,((Inputs!$B$9+((C1616=TRUE)*(F1616-Calc!F25))+B1631+(ArtifactsInput!$M$24-ArtifactsInput!$M$24)*CHOOSE(ArtifactsInput!$N$24+1,10,12,14,16,18,20)+IF(IF(ArtifactsInput!$M$10,FALSE,TRUE),CHOOSE(ArtifactsInput!$N$10+1,15,18,21,24,27,30)*(IF(Inputs!$B$39="pvp",MIN(15,15)/15,IF(AND(Inputs!$B$39&lt;&gt;"pvp",Inputs!$B$44&gt;0),MIN(15,Inputs!$B$44)/(Inputs!$B$44),0))),0)))-100),0))*CHOOSE(ArtifactsInput!$N$42+1,0.6,0.72,0.84,0.96,1.08,1.2))),Inputs!$B$18+((C1620=TRUE)*(F1620-Calc!F29))+(IF(AND(ArtifactsInput!$M$42,((Inputs!$B$9+((C1616=TRUE)*(F1616-Calc!F25))+B1631+(ArtifactsInput!$M$24-ArtifactsInput!$M$24)*CHOOSE(ArtifactsInput!$N$24+1,10,12,14,16,18,20)+IF(IF(ArtifactsInput!$M$10,FALSE,TRUE),CHOOSE(ArtifactsInput!$N$10+1,15,18,21,24,27,30)*(IF(Inputs!$B$39="pvp",MIN(15,15)/15,IF(AND(Inputs!$B$39&lt;&gt;"pvp",Inputs!$B$44&gt;0),MIN(15,Inputs!$B$44)/(Inputs!$B$44),0))),0)))&gt;=100),CHOOSE(ArtifactsInput!$N$42+1,40,48,56,64,72,80),0))))/100)*(((1+(((C1612=TRUE)*F1612*IF(AND(Inputs!$B$39&lt;&gt;"pvp",Inputs!$B$44&gt;0),(((R1612-1)*(Skills!Y21*(1+Inputs!$B$34/100))+MIN((Skills!Y21*(1+Inputs!$B$34/100)),MAX(0,Inputs!$B$44-((R1612-1)*Skills!D21))))/Inputs!$B$44),IF(Inputs!$B$39="pvp",MIN((Skills!Y21*(1+Inputs!$B$34/100)),15)/15,(Skills!Y21*(1+Inputs!$B$34/100))/Skills!D21)))+((C1619=TRUE)*(F1619-Calc!F28))+((C1609=TRUE)*(F1609-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1606=TRUE)*F1606*IF(AND(Inputs!$B$39&lt;&gt;"pvp",Inputs!$B$44&gt;0),(((R1606-1)*(Skills!Y15*(1+Inputs!$B$34/100))+MIN((Skills!Y15*(1+Inputs!$B$34/100)),MAX(0,Inputs!$B$44-((R1606-1)*Skills!D15))))/Inputs!$B$44),IF(Inputs!$B$39="pvp",MIN((Skills!Y15*(1+Inputs!$B$34/100)),15)/15,(Skills!Y15*(1+Inputs!$B$34/100))/Skills!D15)))/100)*(1+((C1597=TRUE)*F1597*B1625)/100))*B1633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1608)</f>
        <v/>
      </c>
      <c r="L1608">
        <f>K1608*(MIN(Inputs!$B$22+((C1615=TRUE)*(F1615-Calc!F24)),(Inputs!$B$23+0+(IF(ArtifactsInput!$M$15,CHOOSE(ArtifactsInput!$N$15+1,25,30,35,40,45,50)/100*(Inputs!$B$11-Inputs!$B$11),0))))/100+(Inputs!$B$23+0+(IF(ArtifactsInput!$M$15,CHOOSE(ArtifactsInput!$N$15+1,25,30,35,40,45,50)/100*(Inputs!$B$11-Inputs!$B$11),0)))/100)/2</f>
        <v/>
      </c>
      <c r="M1608">
        <f>L1608*(1+(Inputs!$B$10+((C1617=TRUE)*(F1617-Calc!F26))+B1634+(IF(ArtifactsInput!$M$24,CHOOSE(ArtifactsInput!$N$24+1,30,36,42,48,54,60)/100*(Inputs!$B$9-Inputs!$B$9),0)+IF(IF(ArtifactsInput!$M$10,FALSE,TRUE),CHOOSE(ArtifactsInput!$N$10+1,20,24,28,32,36,40)*(IF(Inputs!$B$39="pvp",MIN(15,15)/15,IF(AND(Inputs!$B$39&lt;&gt;"pvp",Inputs!$B$44&gt;0),MIN(15,Inputs!$B$44)/(Inputs!$B$44),0))),0)+IF(ArtifactsInput!$M$31,1.5*CHOOSE(ArtifactsInput!$N$31+1,20,24,28,32,36,40),0)))/100)</f>
        <v/>
      </c>
      <c r="N1608">
        <f>L1608*(1-MIN((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1608*(MIN((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608">
        <f>(1-Summary!$B$11)*T1608+Summary!$B$11*V1608</f>
        <v/>
      </c>
      <c r="P1608">
        <f>IF(B1635=0,0,O1608/B1635)</f>
        <v/>
      </c>
      <c r="Q1608" t="n">
        <v>0</v>
      </c>
      <c r="R1608" t="n">
        <v>0</v>
      </c>
      <c r="S1608">
        <f>IFERROR(O1608/N1608,0)</f>
        <v/>
      </c>
      <c r="T1608">
        <f>IF(C1608,(Inputs!$B$38*0.2*N1608)*IF(Inputs!$B$39="pvp",1,1+(Inputs!$B$20+((C1618=TRUE)*(F1618-Calc!F27))+Skills!P17+B1632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Hunt"),CHOOSE(ArtifactsInput!$N$35+1,15,18,21,24,27,30)*(1-EXP(-(0.2*B1627)*5)),0)+IF(AND(ArtifactsInput!$M$22,Inputs!$B$4&lt;&gt;"Chapter Hunt"),CHOOSE(ArtifactsInput!$N$22+1,10,12,14,16,18,20)*((0*(((0.15*B1627*5))^0/1)+1*(((0.15*B1627*5))^1/1)+2*(((0.15*B1627*5))^2/2)+3*(((0.15*B1627*5))^3/6)+4*(((0.15*B1627*5))^4/24)+5*(((0.15*B1627*5))^5/120))/((((0.15*B1627*5))^0/1)+(((0.15*B1627*5))^1/1)+(((0.15*B1627*5))^2/2)+(((0.15*B1627*5))^3/6)+(((0.15*B1627*5))^4/24)+(((0.15*B1627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1608*(1-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1608*(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1608*(1-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1608*(MIN(100,(Inputs!$B$9+((C1616=TRUE)*(F1616-Calc!F25))+B1631+(ArtifactsInput!$M$24-ArtifactsInput!$M$24)*CHOOSE(ArtifactsInput!$N$24+1,10,12,14,16,18,20)+(IF(AND(ArtifactsInput!$M$42,((Inputs!$B$9+((C1616=TRUE)*(F1616-Calc!F25))+B1631+(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08">
        <f>IF(C1608,(Inputs!$B$38*0.2*N1608)*IF(Inputs!$B$39="pvp",1,(1+(Inputs!$B$21+Skills!Q17+B1632+(IF(ArtifactsInput!$M$33,CHOOSE(ArtifactsInput!$N$33+1,30,36,42,48,54,60),0))+(IF(AND(ArtifactsInput!$M$35,Inputs!$B$4&lt;&gt;"Chapter Hunt"),CHOOSE(ArtifactsInput!$N$35+1,15,18,21,24,27,30)*(1-EXP(-(0.2*B1627)*5)),0)+IF(AND(ArtifactsInput!$M$22,Inputs!$B$4&lt;&gt;"Chapter Hunt"),CHOOSE(ArtifactsInput!$N$22+1,10,12,14,16,18,20)*((0*(((0.15*B1627*5))^0/1)+1*(((0.15*B1627*5))^1/1)+2*(((0.15*B1627*5))^2/2)+3*(((0.15*B1627*5))^3/6)+4*(((0.15*B1627*5))^4/24)+5*(((0.15*B1627*5))^5/120))/((((0.15*B1627*5))^0/1)+(((0.15*B1627*5))^1/1)+(((0.15*B1627*5))^2/2)+(((0.15*B1627*5))^3/6)+(((0.15*B1627*5))^4/24)+(((0.15*B1627*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09">
      <c r="A1609">
        <f>Skills!A18</f>
        <v/>
      </c>
      <c r="B1609">
        <f>Skills!B18</f>
        <v/>
      </c>
      <c r="C1609">
        <f>Inputs!$B$3&gt;=115</f>
        <v/>
      </c>
      <c r="D1609">
        <f>IF(Skills!C18=1,60+Inputs!$B$25+Inputs!$B$29,IF(Skills!C18=2,90+Inputs!$B$26+Inputs!$B$29,IF(Skills!C18=3,120+Inputs!$B$27+Inputs!$B$29,MAX(0,(Inputs!$B$3-100)*3)+Inputs!$B$28+Inputs!$B$29)))</f>
        <v/>
      </c>
      <c r="E1609">
        <f>INDEX(FactorTable!$B$2:$Y$301, MATCH(ROUND(MIN(300,MAX(1,D1609)),0), FactorTable!$A$2:$A$301,0), Skills!M18+1)</f>
        <v/>
      </c>
      <c r="F1609">
        <f>IF(Skills!N18=TRUE,(Skills!L18/10)*(E1609/1000),Skills!L18/10)+Skills!O18</f>
        <v/>
      </c>
      <c r="G1609">
        <f>Calc!G18</f>
        <v/>
      </c>
      <c r="H1609">
        <f>Calc!H18</f>
        <v/>
      </c>
      <c r="I1609">
        <f>IF(Skills!AA18&lt;&gt;"",1+(Skills!AA18/10)*(U1594/1000)/100,1)</f>
        <v/>
      </c>
      <c r="J1609" t="inlineStr"/>
      <c r="K1609" t="inlineStr"/>
      <c r="L1609" t="inlineStr"/>
      <c r="M1609" t="inlineStr"/>
      <c r="N1609" t="inlineStr"/>
      <c r="O1609">
        <f>(1-Summary!$B$11)*T1609+Summary!$B$11*V1609</f>
        <v/>
      </c>
      <c r="P1609">
        <f>IF(B1635=0,0,O1609/B1635)</f>
        <v/>
      </c>
      <c r="Q1609" t="n">
        <v>0</v>
      </c>
      <c r="R1609" t="n">
        <v>0</v>
      </c>
      <c r="S1609">
        <f>IFERROR(O1609/N1609,0)</f>
        <v/>
      </c>
      <c r="T1609" t="n">
        <v>0</v>
      </c>
      <c r="V1609" t="n">
        <v>0</v>
      </c>
    </row>
    <row r="1610">
      <c r="A1610">
        <f>Skills!A19</f>
        <v/>
      </c>
      <c r="B1610">
        <f>Skills!B19</f>
        <v/>
      </c>
      <c r="C1610">
        <f>TRUE</f>
        <v/>
      </c>
      <c r="D1610">
        <f>IF(Skills!C19=1,60+Inputs!$B$25+Inputs!$B$29,IF(Skills!C19=2,90+Inputs!$B$26+Inputs!$B$29,IF(Skills!C19=3,120+Inputs!$B$27+Inputs!$B$29,MAX(0,(Inputs!$B$3-100)*3)+Inputs!$B$28+Inputs!$B$29)))</f>
        <v/>
      </c>
      <c r="E1610">
        <f>INDEX(FactorTable!$B$2:$Y$301, MATCH(ROUND(MIN(300,MAX(1,D1610)),0), FactorTable!$A$2:$A$301,0), Skills!M19+1)</f>
        <v/>
      </c>
      <c r="F1610">
        <f>IF(Skills!N19=TRUE,(Skills!L19/10)*(E1610/1000),Skills!L19/10)+Skills!O19</f>
        <v/>
      </c>
      <c r="G1610">
        <f>Calc!G19</f>
        <v/>
      </c>
      <c r="H1610">
        <f>Calc!H19</f>
        <v/>
      </c>
      <c r="I1610">
        <f>IF(Skills!AA19&lt;&gt;"",1+(Skills!AA19/10)*(U1594/1000)/100,1)</f>
        <v/>
      </c>
      <c r="J1610" t="inlineStr"/>
      <c r="K1610" t="inlineStr"/>
      <c r="L1610" t="inlineStr"/>
      <c r="M1610" t="inlineStr"/>
      <c r="N1610" t="inlineStr"/>
      <c r="O1610">
        <f>(1-Summary!$B$11)*T1610+Summary!$B$11*V1610</f>
        <v/>
      </c>
      <c r="P1610">
        <f>IF(B1635=0,0,O1610/B1635)</f>
        <v/>
      </c>
      <c r="Q1610">
        <f>IFERROR(1/IF(Inputs!$B$39="pvp",15,MAX(0.1,Skills!D19-IF(Skills!E19=TRUE,Inputs!$B$32,0))),0)</f>
        <v/>
      </c>
      <c r="R1610">
        <f>IF(AND(Inputs!$B$39&lt;&gt;"pvp",Inputs!$B$44&gt;0),IF(Inputs!$B$44&lt;=0,0,(INT(Inputs!$B$44/IF(Inputs!$B$39="pvp",15,MAX(0.1,Skills!D19-IF(Skills!E19=TRUE,Inputs!$B$32,0))))+1)),0)</f>
        <v/>
      </c>
      <c r="S1610">
        <f>IFERROR(O1610/N1610,0)</f>
        <v/>
      </c>
      <c r="T1610" t="n">
        <v>0</v>
      </c>
      <c r="V1610" t="n">
        <v>0</v>
      </c>
    </row>
    <row r="1611">
      <c r="A1611">
        <f>Skills!A20</f>
        <v/>
      </c>
      <c r="B1611">
        <f>Skills!B20</f>
        <v/>
      </c>
      <c r="C1611">
        <f>Inputs!$B$3&gt;=15</f>
        <v/>
      </c>
      <c r="D1611">
        <f>IF(Skills!C20=1,60+Inputs!$B$25+Inputs!$B$29,IF(Skills!C20=2,90+Inputs!$B$26+Inputs!$B$29,IF(Skills!C20=3,120+Inputs!$B$27+Inputs!$B$29,MAX(0,(Inputs!$B$3-100)*3)+Inputs!$B$28+Inputs!$B$29)))</f>
        <v/>
      </c>
      <c r="E1611">
        <f>INDEX(FactorTable!$B$2:$Y$301, MATCH(ROUND(MIN(300,MAX(1,D1611)),0), FactorTable!$A$2:$A$301,0), Skills!M20+1)</f>
        <v/>
      </c>
      <c r="F1611">
        <f>IF(Skills!N20=TRUE,(Skills!L20/10)*(E1611/1000),Skills!L20/10)+Skills!O20</f>
        <v/>
      </c>
      <c r="G1611">
        <f>Calc!G20</f>
        <v/>
      </c>
      <c r="H1611">
        <f>Calc!H20</f>
        <v/>
      </c>
      <c r="I1611">
        <f>IF(Skills!AA20&lt;&gt;"",1+(Skills!AA20/10)*(U1594/1000)/100,1)</f>
        <v/>
      </c>
      <c r="J1611" t="inlineStr"/>
      <c r="K1611" t="inlineStr"/>
      <c r="L1611" t="inlineStr"/>
      <c r="M1611" t="inlineStr"/>
      <c r="N1611" t="inlineStr"/>
      <c r="O1611">
        <f>(1-Summary!$B$11)*T1611+Summary!$B$11*V1611</f>
        <v/>
      </c>
      <c r="P1611">
        <f>IF(B1635=0,0,O1611/B1635)</f>
        <v/>
      </c>
      <c r="Q1611">
        <f>IFERROR(1/IF(Inputs!$B$39="pvp",15,MAX(0.1,Skills!D20-IF(Skills!E20=TRUE,Inputs!$B$32,0))),0)</f>
        <v/>
      </c>
      <c r="R1611">
        <f>IF(AND(Inputs!$B$39&lt;&gt;"pvp",Inputs!$B$44&gt;0),IF(Inputs!$B$44&lt;=0,0,(INT(Inputs!$B$44/IF(Inputs!$B$39="pvp",15,MAX(0.1,Skills!D20-IF(Skills!E20=TRUE,Inputs!$B$32,0))))+1)),0)</f>
        <v/>
      </c>
      <c r="S1611">
        <f>IFERROR(O1611/N1611,0)</f>
        <v/>
      </c>
      <c r="T1611" t="n">
        <v>0</v>
      </c>
      <c r="V1611" t="n">
        <v>0</v>
      </c>
    </row>
    <row r="1612">
      <c r="A1612">
        <f>Skills!A21</f>
        <v/>
      </c>
      <c r="B1612">
        <f>Skills!B21</f>
        <v/>
      </c>
      <c r="C1612">
        <f>Inputs!$B$3&gt;=15</f>
        <v/>
      </c>
      <c r="D1612">
        <f>IF(Skills!C21=1,60+Inputs!$B$25+Inputs!$B$29,IF(Skills!C21=2,90+Inputs!$B$26+Inputs!$B$29,IF(Skills!C21=3,120+Inputs!$B$27+Inputs!$B$29,MAX(0,(Inputs!$B$3-100)*3)+Inputs!$B$28+Inputs!$B$29)))</f>
        <v/>
      </c>
      <c r="E1612">
        <f>INDEX(FactorTable!$B$2:$Y$301, MATCH(ROUND(MIN(300,MAX(1,D1612)),0), FactorTable!$A$2:$A$301,0), Skills!M21+1)</f>
        <v/>
      </c>
      <c r="F1612">
        <f>IF(Skills!N21=TRUE,(Skills!L21/10)*(E1612/1000),Skills!L21/10)+Skills!O21</f>
        <v/>
      </c>
      <c r="G1612">
        <f>Calc!G21</f>
        <v/>
      </c>
      <c r="H1612">
        <f>Calc!H21</f>
        <v/>
      </c>
      <c r="I1612">
        <f>IF(Skills!AA21&lt;&gt;"",1+(Skills!AA21/10)*(U1594/1000)/100,1)</f>
        <v/>
      </c>
      <c r="J1612" t="inlineStr"/>
      <c r="K1612" t="inlineStr"/>
      <c r="L1612" t="inlineStr"/>
      <c r="M1612" t="inlineStr"/>
      <c r="N1612" t="inlineStr"/>
      <c r="O1612">
        <f>(1-Summary!$B$11)*T1612+Summary!$B$11*V1612</f>
        <v/>
      </c>
      <c r="P1612">
        <f>IF(B1635=0,0,O1612/B1635)</f>
        <v/>
      </c>
      <c r="Q1612">
        <f>IFERROR(1/IF(Inputs!$B$39="pvp",15,MAX(0.1,Skills!D21-IF(Skills!E21=TRUE,Inputs!$B$32,0))),0)</f>
        <v/>
      </c>
      <c r="R1612">
        <f>IF(AND(Inputs!$B$39&lt;&gt;"pvp",Inputs!$B$44&gt;0),IF(Inputs!$B$44&lt;=0,0,(INT(Inputs!$B$44/IF(Inputs!$B$39="pvp",15,MAX(0.1,Skills!D21-IF(Skills!E21=TRUE,Inputs!$B$32,0))))+1)),0)</f>
        <v/>
      </c>
      <c r="S1612">
        <f>IFERROR(O1612/N1612,0)</f>
        <v/>
      </c>
      <c r="T1612" t="n">
        <v>0</v>
      </c>
      <c r="V1612" t="n">
        <v>0</v>
      </c>
    </row>
    <row r="1613">
      <c r="A1613">
        <f>Skills!A22</f>
        <v/>
      </c>
      <c r="B1613">
        <f>Skills!B22</f>
        <v/>
      </c>
      <c r="C1613">
        <f>Inputs!$B$3&gt;=33</f>
        <v/>
      </c>
      <c r="D1613">
        <f>IF(Skills!C22=1,60+Inputs!$B$25+Inputs!$B$29,IF(Skills!C22=2,90+Inputs!$B$26+Inputs!$B$29,IF(Skills!C22=3,120+Inputs!$B$27+Inputs!$B$29,MAX(0,(Inputs!$B$3-100)*3)+Inputs!$B$28+Inputs!$B$29)))</f>
        <v/>
      </c>
      <c r="E1613">
        <f>INDEX(FactorTable!$B$2:$Y$301, MATCH(ROUND(MIN(300,MAX(1,D1613)),0), FactorTable!$A$2:$A$301,0), Skills!M22+1)</f>
        <v/>
      </c>
      <c r="F1613">
        <f>IF(Skills!N22=TRUE,(Skills!L22/10)*(E1613/1000),Skills!L22/10)+Skills!O22</f>
        <v/>
      </c>
      <c r="G1613">
        <f>Calc!G22</f>
        <v/>
      </c>
      <c r="H1613">
        <f>Calc!H22</f>
        <v/>
      </c>
      <c r="I1613">
        <f>IF(Skills!AA22&lt;&gt;"",1+(Skills!AA22/10)*(U1594/1000)/100,1)</f>
        <v/>
      </c>
      <c r="J1613" t="inlineStr"/>
      <c r="K1613" t="inlineStr"/>
      <c r="L1613" t="inlineStr"/>
      <c r="M1613" t="inlineStr"/>
      <c r="N1613" t="inlineStr"/>
      <c r="O1613">
        <f>(1-Summary!$B$11)*T1613+Summary!$B$11*V1613</f>
        <v/>
      </c>
      <c r="P1613">
        <f>IF(B1635=0,0,O1613/B1635)</f>
        <v/>
      </c>
      <c r="Q1613" t="n">
        <v>0</v>
      </c>
      <c r="R1613" t="n">
        <v>0</v>
      </c>
      <c r="S1613">
        <f>IFERROR(O1613/N1613,0)</f>
        <v/>
      </c>
      <c r="T1613" t="n">
        <v>0</v>
      </c>
      <c r="V1613" t="n">
        <v>0</v>
      </c>
    </row>
    <row r="1614">
      <c r="A1614">
        <f>Skills!A23</f>
        <v/>
      </c>
      <c r="B1614">
        <f>Skills!B23</f>
        <v/>
      </c>
      <c r="C1614">
        <f>Inputs!$B$3&gt;=38</f>
        <v/>
      </c>
      <c r="D1614">
        <f>IF(Skills!C23=1,60+Inputs!$B$25+Inputs!$B$29,IF(Skills!C23=2,90+Inputs!$B$26+Inputs!$B$29,IF(Skills!C23=3,120+Inputs!$B$27+Inputs!$B$29,MAX(0,(Inputs!$B$3-100)*3)+Inputs!$B$28+Inputs!$B$29)))</f>
        <v/>
      </c>
      <c r="E1614">
        <f>INDEX(FactorTable!$B$2:$Y$301, MATCH(ROUND(MIN(300,MAX(1,D1614)),0), FactorTable!$A$2:$A$301,0), Skills!M23+1)</f>
        <v/>
      </c>
      <c r="F1614">
        <f>IF(Skills!N23=TRUE,(Skills!L23/10)*(E1614/1000),Skills!L23/10)+Skills!O23</f>
        <v/>
      </c>
      <c r="G1614">
        <f>Calc!G23</f>
        <v/>
      </c>
      <c r="H1614">
        <f>Calc!H23</f>
        <v/>
      </c>
      <c r="I1614">
        <f>IF(Skills!AA23&lt;&gt;"",1+(Skills!AA23/10)*(U1594/1000)/100,1)</f>
        <v/>
      </c>
      <c r="J1614" t="inlineStr"/>
      <c r="K1614" t="inlineStr"/>
      <c r="L1614" t="inlineStr"/>
      <c r="M1614" t="inlineStr"/>
      <c r="N1614" t="inlineStr"/>
      <c r="O1614">
        <f>(1-Summary!$B$11)*T1614+Summary!$B$11*V1614</f>
        <v/>
      </c>
      <c r="P1614">
        <f>IF(B1635=0,0,O1614/B1635)</f>
        <v/>
      </c>
      <c r="Q1614" t="n">
        <v>0</v>
      </c>
      <c r="R1614" t="n">
        <v>0</v>
      </c>
      <c r="S1614">
        <f>IFERROR(O1614/N1614,0)</f>
        <v/>
      </c>
      <c r="T1614" t="n">
        <v>0</v>
      </c>
      <c r="V1614" t="n">
        <v>0</v>
      </c>
    </row>
    <row r="1615">
      <c r="A1615">
        <f>Skills!A24</f>
        <v/>
      </c>
      <c r="B1615">
        <f>Skills!B24</f>
        <v/>
      </c>
      <c r="C1615">
        <f>Inputs!$B$3&gt;=40</f>
        <v/>
      </c>
      <c r="D1615">
        <f>IF(Skills!C24=1,60+Inputs!$B$25+Inputs!$B$29,IF(Skills!C24=2,90+Inputs!$B$26+Inputs!$B$29,IF(Skills!C24=3,120+Inputs!$B$27+Inputs!$B$29,MAX(0,(Inputs!$B$3-100)*3)+Inputs!$B$28+Inputs!$B$29)))</f>
        <v/>
      </c>
      <c r="E1615">
        <f>INDEX(FactorTable!$B$2:$Y$301, MATCH(ROUND(MIN(300,MAX(1,D1615)),0), FactorTable!$A$2:$A$301,0), Skills!M24+1)</f>
        <v/>
      </c>
      <c r="F1615">
        <f>IF(Skills!N24=TRUE,(Skills!L24/10)*(E1615/1000),Skills!L24/10)+Skills!O24</f>
        <v/>
      </c>
      <c r="G1615">
        <f>Calc!G24</f>
        <v/>
      </c>
      <c r="H1615">
        <f>Calc!H24</f>
        <v/>
      </c>
      <c r="I1615">
        <f>IF(Skills!AA24&lt;&gt;"",1+(Skills!AA24/10)*(U1594/1000)/100,1)</f>
        <v/>
      </c>
      <c r="J1615" t="inlineStr"/>
      <c r="K1615" t="inlineStr"/>
      <c r="L1615" t="inlineStr"/>
      <c r="M1615" t="inlineStr"/>
      <c r="N1615" t="inlineStr"/>
      <c r="O1615">
        <f>(1-Summary!$B$11)*T1615+Summary!$B$11*V1615</f>
        <v/>
      </c>
      <c r="P1615">
        <f>IF(B1635=0,0,O1615/B1635)</f>
        <v/>
      </c>
      <c r="Q1615" t="n">
        <v>0</v>
      </c>
      <c r="R1615" t="n">
        <v>0</v>
      </c>
      <c r="S1615">
        <f>IFERROR(O1615/N1615,0)</f>
        <v/>
      </c>
      <c r="T1615" t="n">
        <v>0</v>
      </c>
      <c r="V1615" t="n">
        <v>0</v>
      </c>
    </row>
    <row r="1616">
      <c r="A1616">
        <f>Skills!A25</f>
        <v/>
      </c>
      <c r="B1616">
        <f>Skills!B25</f>
        <v/>
      </c>
      <c r="C1616">
        <f>Inputs!$B$3&gt;=45</f>
        <v/>
      </c>
      <c r="D1616">
        <f>IF(Skills!C25=1,60+Inputs!$B$25+Inputs!$B$29,IF(Skills!C25=2,90+Inputs!$B$26+Inputs!$B$29,IF(Skills!C25=3,120+Inputs!$B$27+Inputs!$B$29,MAX(0,(Inputs!$B$3-100)*3)+Inputs!$B$28+Inputs!$B$29)))</f>
        <v/>
      </c>
      <c r="E1616">
        <f>INDEX(FactorTable!$B$2:$Y$301, MATCH(ROUND(MIN(300,MAX(1,D1616)),0), FactorTable!$A$2:$A$301,0), Skills!M25+1)</f>
        <v/>
      </c>
      <c r="F1616">
        <f>IF(Skills!N25=TRUE,(Skills!L25/10)*(E1616/1000),Skills!L25/10)+Skills!O25</f>
        <v/>
      </c>
      <c r="G1616">
        <f>Calc!G25</f>
        <v/>
      </c>
      <c r="H1616">
        <f>Calc!H25</f>
        <v/>
      </c>
      <c r="I1616">
        <f>IF(Skills!AA25&lt;&gt;"",1+(Skills!AA25/10)*(U1594/1000)/100,1)</f>
        <v/>
      </c>
      <c r="J1616" t="inlineStr"/>
      <c r="K1616" t="inlineStr"/>
      <c r="L1616" t="inlineStr"/>
      <c r="M1616" t="inlineStr"/>
      <c r="N1616" t="inlineStr"/>
      <c r="O1616">
        <f>(1-Summary!$B$11)*T1616+Summary!$B$11*V1616</f>
        <v/>
      </c>
      <c r="P1616">
        <f>IF(B1635=0,0,O1616/B1635)</f>
        <v/>
      </c>
      <c r="Q1616" t="n">
        <v>0</v>
      </c>
      <c r="R1616" t="n">
        <v>0</v>
      </c>
      <c r="S1616">
        <f>IFERROR(O1616/N1616,0)</f>
        <v/>
      </c>
      <c r="T1616" t="n">
        <v>0</v>
      </c>
      <c r="V1616" t="n">
        <v>0</v>
      </c>
    </row>
    <row r="1617">
      <c r="A1617">
        <f>Skills!A26</f>
        <v/>
      </c>
      <c r="B1617">
        <f>Skills!B26</f>
        <v/>
      </c>
      <c r="C1617">
        <f>Inputs!$B$3&gt;=45</f>
        <v/>
      </c>
      <c r="D1617">
        <f>IF(Skills!C26=1,60+Inputs!$B$25+Inputs!$B$29,IF(Skills!C26=2,90+Inputs!$B$26+Inputs!$B$29,IF(Skills!C26=3,120+Inputs!$B$27+Inputs!$B$29,MAX(0,(Inputs!$B$3-100)*3)+Inputs!$B$28+Inputs!$B$29)))</f>
        <v/>
      </c>
      <c r="E1617">
        <f>INDEX(FactorTable!$B$2:$Y$301, MATCH(ROUND(MIN(300,MAX(1,D1617)),0), FactorTable!$A$2:$A$301,0), Skills!M26+1)</f>
        <v/>
      </c>
      <c r="F1617">
        <f>IF(Skills!N26=TRUE,(Skills!L26/10)*(E1617/1000),Skills!L26/10)+Skills!O26</f>
        <v/>
      </c>
      <c r="G1617">
        <f>Calc!G26</f>
        <v/>
      </c>
      <c r="H1617">
        <f>Calc!H26</f>
        <v/>
      </c>
      <c r="I1617">
        <f>IF(Skills!AA26&lt;&gt;"",1+(Skills!AA26/10)*(U1594/1000)/100,1)</f>
        <v/>
      </c>
      <c r="J1617" t="inlineStr"/>
      <c r="K1617" t="inlineStr"/>
      <c r="L1617" t="inlineStr"/>
      <c r="M1617" t="inlineStr"/>
      <c r="N1617" t="inlineStr"/>
      <c r="O1617">
        <f>(1-Summary!$B$11)*T1617+Summary!$B$11*V1617</f>
        <v/>
      </c>
      <c r="P1617">
        <f>IF(B1635=0,0,O1617/B1635)</f>
        <v/>
      </c>
      <c r="Q1617" t="n">
        <v>0</v>
      </c>
      <c r="R1617" t="n">
        <v>0</v>
      </c>
      <c r="S1617">
        <f>IFERROR(O1617/N1617,0)</f>
        <v/>
      </c>
      <c r="T1617" t="n">
        <v>0</v>
      </c>
      <c r="V1617" t="n">
        <v>0</v>
      </c>
    </row>
    <row r="1618">
      <c r="A1618">
        <f>Skills!A27</f>
        <v/>
      </c>
      <c r="B1618">
        <f>Skills!B27</f>
        <v/>
      </c>
      <c r="C1618">
        <f>Inputs!$B$3&gt;=72</f>
        <v/>
      </c>
      <c r="D1618">
        <f>IF(Skills!C27=1,60+Inputs!$B$25+Inputs!$B$29,IF(Skills!C27=2,90+Inputs!$B$26+Inputs!$B$29,IF(Skills!C27=3,120+Inputs!$B$27+Inputs!$B$29,MAX(0,(Inputs!$B$3-100)*3)+Inputs!$B$28+Inputs!$B$29)))</f>
        <v/>
      </c>
      <c r="E1618">
        <f>INDEX(FactorTable!$B$2:$Y$301, MATCH(ROUND(MIN(300,MAX(1,D1618)),0), FactorTable!$A$2:$A$301,0), Skills!M27+1)</f>
        <v/>
      </c>
      <c r="F1618">
        <f>IF(Skills!N27=TRUE,(Skills!L27/10)*(E1618/1000),Skills!L27/10)+Skills!O27</f>
        <v/>
      </c>
      <c r="G1618">
        <f>Calc!G27</f>
        <v/>
      </c>
      <c r="H1618">
        <f>Calc!H27</f>
        <v/>
      </c>
      <c r="I1618">
        <f>IF(Skills!AA27&lt;&gt;"",1+(Skills!AA27/10)*(U1594/1000)/100,1)</f>
        <v/>
      </c>
      <c r="J1618" t="inlineStr"/>
      <c r="K1618" t="inlineStr"/>
      <c r="L1618" t="inlineStr"/>
      <c r="M1618" t="inlineStr"/>
      <c r="N1618" t="inlineStr"/>
      <c r="O1618">
        <f>(1-Summary!$B$11)*T1618+Summary!$B$11*V1618</f>
        <v/>
      </c>
      <c r="P1618">
        <f>IF(B1635=0,0,O1618/B1635)</f>
        <v/>
      </c>
      <c r="Q1618" t="n">
        <v>0</v>
      </c>
      <c r="R1618" t="n">
        <v>0</v>
      </c>
      <c r="S1618">
        <f>IFERROR(O1618/N1618,0)</f>
        <v/>
      </c>
      <c r="T1618" t="n">
        <v>0</v>
      </c>
      <c r="V1618" t="n">
        <v>0</v>
      </c>
    </row>
    <row r="1619">
      <c r="A1619">
        <f>Skills!A28</f>
        <v/>
      </c>
      <c r="B1619">
        <f>Skills!B28</f>
        <v/>
      </c>
      <c r="C1619">
        <f>Inputs!$B$3&gt;=75</f>
        <v/>
      </c>
      <c r="D1619">
        <f>IF(Skills!C28=1,60+Inputs!$B$25+Inputs!$B$29,IF(Skills!C28=2,90+Inputs!$B$26+Inputs!$B$29,IF(Skills!C28=3,120+Inputs!$B$27+Inputs!$B$29,MAX(0,(Inputs!$B$3-100)*3)+Inputs!$B$28+Inputs!$B$29)))</f>
        <v/>
      </c>
      <c r="E1619">
        <f>INDEX(FactorTable!$B$2:$Y$301, MATCH(ROUND(MIN(300,MAX(1,D1619)),0), FactorTable!$A$2:$A$301,0), Skills!M28+1)</f>
        <v/>
      </c>
      <c r="F1619">
        <f>IF(Skills!N28=TRUE,(Skills!L28/10)*(E1619/1000),Skills!L28/10)+Skills!O28</f>
        <v/>
      </c>
      <c r="G1619">
        <f>Calc!G28</f>
        <v/>
      </c>
      <c r="H1619">
        <f>Calc!H28</f>
        <v/>
      </c>
      <c r="I1619">
        <f>IF(Skills!AA28&lt;&gt;"",1+(Skills!AA28/10)*(U1594/1000)/100,1)</f>
        <v/>
      </c>
      <c r="J1619" t="inlineStr"/>
      <c r="K1619" t="inlineStr"/>
      <c r="L1619" t="inlineStr"/>
      <c r="M1619" t="inlineStr"/>
      <c r="N1619" t="inlineStr"/>
      <c r="O1619">
        <f>(1-Summary!$B$11)*T1619+Summary!$B$11*V1619</f>
        <v/>
      </c>
      <c r="P1619">
        <f>IF(B1635=0,0,O1619/B1635)</f>
        <v/>
      </c>
      <c r="Q1619" t="n">
        <v>0</v>
      </c>
      <c r="R1619" t="n">
        <v>0</v>
      </c>
      <c r="S1619">
        <f>IFERROR(O1619/N1619,0)</f>
        <v/>
      </c>
      <c r="T1619" t="n">
        <v>0</v>
      </c>
      <c r="V1619" t="n">
        <v>0</v>
      </c>
    </row>
    <row r="1620">
      <c r="A1620">
        <f>Skills!A29</f>
        <v/>
      </c>
      <c r="B1620">
        <f>Skills!B29</f>
        <v/>
      </c>
      <c r="C1620">
        <f>Inputs!$B$3&gt;=120</f>
        <v/>
      </c>
      <c r="D1620">
        <f>IF(Skills!C29=1,60+Inputs!$B$25+Inputs!$B$29,IF(Skills!C29=2,90+Inputs!$B$26+Inputs!$B$29,IF(Skills!C29=3,120+Inputs!$B$27+Inputs!$B$29,MAX(0,(Inputs!$B$3-100)*3)+Inputs!$B$28+Inputs!$B$29)))</f>
        <v/>
      </c>
      <c r="E1620">
        <f>INDEX(FactorTable!$B$2:$Y$301, MATCH(ROUND(MIN(300,MAX(1,D1620)),0), FactorTable!$A$2:$A$301,0), Skills!M29+1)</f>
        <v/>
      </c>
      <c r="F1620">
        <f>IF(Skills!N29=TRUE,(Skills!L29/10)*(E1620/1000),Skills!L29/10)+Skills!O29</f>
        <v/>
      </c>
      <c r="G1620">
        <f>Calc!G29</f>
        <v/>
      </c>
      <c r="H1620">
        <f>Calc!H29</f>
        <v/>
      </c>
      <c r="I1620">
        <f>IF(Skills!AA29&lt;&gt;"",1+(Skills!AA29/10)*(U1594/1000)/100,1)</f>
        <v/>
      </c>
      <c r="J1620" t="inlineStr"/>
      <c r="K1620" t="inlineStr"/>
      <c r="L1620" t="inlineStr"/>
      <c r="M1620" t="inlineStr"/>
      <c r="N1620" t="inlineStr"/>
      <c r="O1620">
        <f>(1-Summary!$B$11)*T1620+Summary!$B$11*V1620</f>
        <v/>
      </c>
      <c r="P1620">
        <f>IF(B1635=0,0,O1620/B1635)</f>
        <v/>
      </c>
      <c r="Q1620" t="n">
        <v>0</v>
      </c>
      <c r="R1620" t="n">
        <v>0</v>
      </c>
      <c r="S1620">
        <f>IFERROR(O1620/N1620,0)</f>
        <v/>
      </c>
      <c r="T1620" t="n">
        <v>0</v>
      </c>
      <c r="V1620" t="n">
        <v>0</v>
      </c>
    </row>
    <row r="1621">
      <c r="A1621">
        <f>Skills!A30</f>
        <v/>
      </c>
      <c r="B1621">
        <f>Skills!B30</f>
        <v/>
      </c>
      <c r="C1621">
        <f>Inputs!$B$3&gt;=125</f>
        <v/>
      </c>
      <c r="D1621">
        <f>IF(Skills!C30=1,60+Inputs!$B$25+Inputs!$B$29,IF(Skills!C30=2,90+Inputs!$B$26+Inputs!$B$29,IF(Skills!C30=3,120+Inputs!$B$27+Inputs!$B$29,MAX(0,(Inputs!$B$3-100)*3)+Inputs!$B$28+Inputs!$B$29)))</f>
        <v/>
      </c>
      <c r="E1621">
        <f>INDEX(FactorTable!$B$2:$Y$301, MATCH(ROUND(MIN(300,MAX(1,D1621)),0), FactorTable!$A$2:$A$301,0), Skills!M30+1)</f>
        <v/>
      </c>
      <c r="F1621">
        <f>IF(Skills!N30=TRUE,(Skills!L30/10)*(E1621/1000),Skills!L30/10)+Skills!O30</f>
        <v/>
      </c>
      <c r="G1621">
        <f>Calc!G30</f>
        <v/>
      </c>
      <c r="H1621">
        <f>Calc!H30</f>
        <v/>
      </c>
      <c r="I1621">
        <f>IF(Skills!AA30&lt;&gt;"",1+(Skills!AA30/10)*(U1594/1000)/100,1)</f>
        <v/>
      </c>
      <c r="J1621" t="inlineStr"/>
      <c r="K1621" t="inlineStr"/>
      <c r="L1621" t="inlineStr"/>
      <c r="M1621" t="inlineStr"/>
      <c r="N1621" t="inlineStr"/>
      <c r="O1621">
        <f>(1-Summary!$B$11)*T1621+Summary!$B$11*V1621</f>
        <v/>
      </c>
      <c r="P1621">
        <f>IF(B1635=0,0,O1621/B1635)</f>
        <v/>
      </c>
      <c r="Q1621" t="n">
        <v>0</v>
      </c>
      <c r="R1621" t="n">
        <v>0</v>
      </c>
      <c r="S1621">
        <f>IFERROR(O1621/N1621,0)</f>
        <v/>
      </c>
      <c r="T1621" t="n">
        <v>0</v>
      </c>
      <c r="V1621" t="n">
        <v>0</v>
      </c>
    </row>
    <row r="1622">
      <c r="A1622">
        <f>Skills!A31</f>
        <v/>
      </c>
      <c r="B1622">
        <f>Skills!B31</f>
        <v/>
      </c>
      <c r="C1622">
        <f>Inputs!$B$3&gt;=107</f>
        <v/>
      </c>
      <c r="D1622">
        <f>IF(Skills!C31=1,60+Inputs!$B$25+Inputs!$B$29,IF(Skills!C31=2,90+Inputs!$B$26+Inputs!$B$29,IF(Skills!C31=3,120+Inputs!$B$27+Inputs!$B$29,MAX(0,(Inputs!$B$3-100)*3)+Inputs!$B$28+Inputs!$B$29)))</f>
        <v/>
      </c>
      <c r="E1622">
        <f>INDEX(FactorTable!$B$2:$Y$301, MATCH(ROUND(MIN(300,MAX(1,D1622)),0), FactorTable!$A$2:$A$301,0), Skills!M31+1)</f>
        <v/>
      </c>
      <c r="F1622">
        <f>IF(Skills!N31=TRUE,(Skills!L31/10)*(E1622/1000),Skills!L31/10)+Skills!O31</f>
        <v/>
      </c>
      <c r="G1622">
        <f>Calc!G31</f>
        <v/>
      </c>
      <c r="H1622">
        <f>Calc!H31</f>
        <v/>
      </c>
      <c r="I1622">
        <f>IF(Skills!AA31&lt;&gt;"",1+(Skills!AA31/10)*(U1594/1000)/100,1)</f>
        <v/>
      </c>
      <c r="J1622" t="inlineStr"/>
      <c r="K1622" t="inlineStr"/>
      <c r="L1622" t="inlineStr"/>
      <c r="M1622" t="inlineStr"/>
      <c r="N1622" t="inlineStr"/>
      <c r="O1622">
        <f>(1-Summary!$B$11)*T1622+Summary!$B$11*V1622</f>
        <v/>
      </c>
      <c r="P1622">
        <f>IF(B1635=0,0,O1622/B1635)</f>
        <v/>
      </c>
      <c r="Q1622" t="n">
        <v>0</v>
      </c>
      <c r="R1622" t="n">
        <v>0</v>
      </c>
      <c r="S1622">
        <f>IFERROR(O1622/N1622,0)</f>
        <v/>
      </c>
      <c r="T1622" t="n">
        <v>0</v>
      </c>
      <c r="V1622" t="n">
        <v>0</v>
      </c>
    </row>
    <row r="1624">
      <c r="A1624" t="inlineStr">
        <is>
          <t>Actions Per Second (pre-Adrenalin)</t>
        </is>
      </c>
      <c r="B1624">
        <f>1+MIN(150,150*(1-(1-(Inputs!$B$11+((C1613=TRUE)*(F1613-Calc!F22))+(ArtifactsInput!$M$15-ArtifactsInput!$M$15)*CHOOSE(ArtifactsInput!$N$15+1,8,9.6,11.2,12.8,14.4,16))/150)*(1-((C1610=TRUE)*F1610*IF(AND(Inputs!$B$39&lt;&gt;"pvp",Inputs!$B$44&gt;0),(((R1610-1)*(Skills!Y19*(1+Inputs!$B$34/100))+MIN((Skills!Y19*(1+Inputs!$B$34/100)),MAX(0,Inputs!$B$44-((R1610-1)*Skills!D19))))/Inputs!$B$44),IF(Inputs!$B$39="pvp",MIN((Skills!Y19*(1+Inputs!$B$34/100)),15)/15,(Skills!Y19*(1+Inputs!$B$34/100))/Skills!D19)))/150)))/100</f>
        <v/>
      </c>
    </row>
    <row r="1625">
      <c r="A1625" t="inlineStr">
        <is>
          <t>Alchemic Adrenaline Uptime</t>
        </is>
      </c>
      <c r="B1625">
        <f>(Skills!Y6*(1+Inputs!$B$34/100))/((Skills!Y6*(1+Inputs!$B$34/100))+(5/B1624))</f>
        <v/>
      </c>
    </row>
    <row r="1626">
      <c r="A1626" t="inlineStr">
        <is>
          <t>Attack Speed Buff Bonus %</t>
        </is>
      </c>
      <c r="B1626">
        <f>((C1610=TRUE)*F1610*IF(AND(Inputs!$B$39&lt;&gt;"pvp",Inputs!$B$44&gt;0),(((R1610-1)*(Skills!Y19*(1+Inputs!$B$34/100))+MIN((Skills!Y19*(1+Inputs!$B$34/100)),MAX(0,Inputs!$B$44-((R1610-1)*Skills!D19))))/Inputs!$B$44),IF(Inputs!$B$39="pvp",MIN((Skills!Y19*(1+Inputs!$B$34/100)),15)/15,(Skills!Y19*(1+Inputs!$B$34/100))/Skills!D19)))+((C1598=TRUE)*F1598*B1625)</f>
        <v/>
      </c>
    </row>
    <row r="1627">
      <c r="A1627" t="inlineStr">
        <is>
          <t>Actions Per Second (final)</t>
        </is>
      </c>
      <c r="B1627">
        <f>1+MIN(150,150*(1-(1-(Inputs!$B$11+((C1613=TRUE)*(F1613-Calc!F22))+(ArtifactsInput!$M$15-ArtifactsInput!$M$15)*CHOOSE(ArtifactsInput!$N$15+1,8,9.6,11.2,12.8,14.4,16))/150)*(1-B1626/150)))/100</f>
        <v/>
      </c>
    </row>
    <row r="1628">
      <c r="A1628" t="inlineStr">
        <is>
          <t>Skill + Buff Cast Rate</t>
        </is>
      </c>
      <c r="B1628">
        <f>IF(AND(Inputs!$B$39&lt;&gt;"pvp",Inputs!$B$44&gt;0),SUMPRODUCT((Skills!E2:E31=TRUE)*(C1593:C1622=TRUE)*R1593:R1622*Skills!F2:F31)/Inputs!$B$44,SUMPRODUCT((Skills!E2:E31=TRUE)*(C1593:C1622=TRUE)*Q1593:Q1622*Skills!F2:F31))</f>
        <v/>
      </c>
    </row>
    <row r="1629">
      <c r="A1629" t="inlineStr">
        <is>
          <t>Showdown Casts Per Second</t>
        </is>
      </c>
      <c r="B1629">
        <f>MAX(0,B1627-B1628)</f>
        <v/>
      </c>
    </row>
    <row r="1630">
      <c r="A1630" t="inlineStr">
        <is>
          <t>Average Buff Multiplier</t>
        </is>
      </c>
      <c r="B1630">
        <f>(1+(((C1612=TRUE)*F1612*IF(AND(Inputs!$B$39&lt;&gt;"pvp",Inputs!$B$44&gt;0),(((R1612-1)*(Skills!Y21*(1+Inputs!$B$34/100))+MIN((Skills!Y21*(1+Inputs!$B$34/100)),MAX(0,Inputs!$B$44-((R1612-1)*Skills!D21))))/Inputs!$B$44),IF(Inputs!$B$39="pvp",MIN((Skills!Y21*(1+Inputs!$B$34/100)),15)/15,(Skills!Y21*(1+Inputs!$B$34/100))/Skills!D21)))+((C1619=TRUE)*(F1619-Calc!F28))+((C1609=TRUE)*(F1609-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1606=TRUE)*F1606*IF(AND(Inputs!$B$39&lt;&gt;"pvp",Inputs!$B$44&gt;0),(((R1606-1)*(Skills!Y15*(1+Inputs!$B$34/100))+MIN((Skills!Y15*(1+Inputs!$B$34/100)),MAX(0,Inputs!$B$44-((R1606-1)*Skills!D15))))/Inputs!$B$44),IF(Inputs!$B$39="pvp",MIN((Skills!Y15*(1+Inputs!$B$34/100)),15)/15,(Skills!Y15*(1+Inputs!$B$34/100))/Skills!D15)))/100)*(1+((C1597=TRUE)*F1597*B1625)/100)</f>
        <v/>
      </c>
    </row>
    <row r="1631">
      <c r="A1631" t="inlineStr">
        <is>
          <t>Global Crit Rate Bonus %</t>
        </is>
      </c>
      <c r="B1631">
        <f>IF(Inputs!$B$3&gt;=47,8,0)+((C1611=TRUE)*F1611*IF(AND(Inputs!$B$39&lt;&gt;"pvp",Inputs!$B$44&gt;0),(((R1611-1)*(Skills!Y20*(1+Inputs!$B$34/100))+MIN((Skills!Y20*(1+Inputs!$B$34/100)),MAX(0,Inputs!$B$44-((R1611-1)*Skills!D20))))/Inputs!$B$44),IF(Inputs!$B$39="pvp",MIN((Skills!Y20*(1+Inputs!$B$34/100)),15)/15,(Skills!Y20*(1+Inputs!$B$34/100))/Skills!D20)))</f>
        <v/>
      </c>
    </row>
    <row r="1632">
      <c r="A1632" t="inlineStr">
        <is>
          <t>Global Monster Damage-Taken Bonus %</t>
        </is>
      </c>
      <c r="B1632">
        <f>IF(Inputs!$B$3&gt;=82,15,0)+((C1607=TRUE)*F1607*IF(AND(Inputs!$B$39&lt;&gt;"pvp",Inputs!$B$44&gt;0),(((R1607-1)*(Skills!Y16*(1+Inputs!$B$34/100))+MIN((Skills!Y16*(1+Inputs!$B$34/100)),MAX(0,Inputs!$B$44-((R1607-1)*Skills!D16))))/Inputs!$B$44),IF(Inputs!$B$39="pvp",MIN((Skills!Y16*(1+Inputs!$B$34/100)),15)/15,(Skills!Y16*(1+Inputs!$B$34/100))/Skills!D16)))</f>
        <v/>
      </c>
    </row>
    <row r="1633">
      <c r="A1633" t="inlineStr">
        <is>
          <t>Shadow Partner Average Multiplier</t>
        </is>
      </c>
      <c r="B1633">
        <f>1+((C1602=TRUE)*F1602*I1602*Skills!J11/100)/100</f>
        <v/>
      </c>
    </row>
    <row r="1634">
      <c r="A1634" t="inlineStr">
        <is>
          <t>Global Critical Damage Bonus % (Frailty Curse Mastery Lv.111)</t>
        </is>
      </c>
      <c r="B1634">
        <f>IF(Inputs!$B$3&gt;=111,30,0)*IF(AND(Inputs!$B$39&lt;&gt;"pvp",Inputs!$B$44&gt;0),(((R1607-1)*(Skills!Y16*(1+Inputs!$B$34/100))+MIN((Skills!Y16*(1+Inputs!$B$34/100)),MAX(0,Inputs!$B$44-((R1607-1)*Skills!D16))))/Inputs!$B$44),IF(Inputs!$B$39="pvp",MIN((Skills!Y16*(1+Inputs!$B$34/100)),15)/15,(Skills!Y16*(1+Inputs!$B$34/100))/Skills!D16))</f>
        <v/>
      </c>
    </row>
    <row r="1635">
      <c r="A1635" s="6" t="inlineStr">
        <is>
          <t>TOTAL DPS</t>
        </is>
      </c>
      <c r="B1635" s="6">
        <f>SUM(O1593:O1622)</f>
        <v/>
      </c>
    </row>
    <row r="1636">
      <c r="A1636" t="inlineStr">
        <is>
          <t>Buff-Casting Startup Delay (s, fixed-duration only)</t>
        </is>
      </c>
      <c r="B1636">
        <f>IF(AND(Inputs!$B$39&lt;&gt;"pvp",Inputs!$B$44&gt;0),SUMPRODUCT((Skills!Y2:Y31&gt;0)*(Skills!E2:E31=TRUE)*(C1593:C1622=TRUE))/B1627,0)</f>
        <v/>
      </c>
    </row>
    <row r="1637">
      <c r="A1637" t="inlineStr">
        <is>
          <t>Boss-Only Total DPS (this block's swept value)</t>
        </is>
      </c>
      <c r="B1637">
        <f>SUM(T1593:T1622)</f>
        <v/>
      </c>
    </row>
    <row r="1638">
      <c r="A1638" t="inlineStr">
        <is>
          <t>Normal-Only Total DPS (this block's swept value)</t>
        </is>
      </c>
      <c r="B1638">
        <f>SUM(V1593:V1622)</f>
        <v/>
      </c>
    </row>
    <row r="1640">
      <c r="A1640" s="6" t="inlineStr">
        <is>
          <t>Stat: Hexagon Necklace (Equip)</t>
        </is>
      </c>
    </row>
    <row r="1641">
      <c r="A1641" s="5" t="inlineStr">
        <is>
          <t>Key</t>
        </is>
      </c>
      <c r="B1641" s="5" t="inlineStr">
        <is>
          <t>Name</t>
        </is>
      </c>
      <c r="C1641" s="5" t="inlineStr">
        <is>
          <t>Unlocked</t>
        </is>
      </c>
      <c r="D1641" s="5" t="inlineStr">
        <is>
          <t>InputLevel</t>
        </is>
      </c>
      <c r="E1641" s="5" t="inlineStr">
        <is>
          <t>Factor</t>
        </is>
      </c>
      <c r="F1641" s="5" t="inlineStr">
        <is>
          <t>CoefficientPercent</t>
        </is>
      </c>
      <c r="G1641" s="5" t="inlineStr">
        <is>
          <t>EffectiveHits</t>
        </is>
      </c>
      <c r="H1641" s="5" t="inlineStr">
        <is>
          <t>ProcProbability</t>
        </is>
      </c>
      <c r="I1641" s="5" t="inlineStr">
        <is>
          <t>MapleHeroMultiplier</t>
        </is>
      </c>
      <c r="J1641" s="5" t="inlineStr">
        <is>
          <t>BaseDamage</t>
        </is>
      </c>
      <c r="K1641" s="5" t="inlineStr">
        <is>
          <t>BaseHitDamage</t>
        </is>
      </c>
      <c r="L1641" s="5" t="inlineStr">
        <is>
          <t>NonCritAvg</t>
        </is>
      </c>
      <c r="M1641" s="5" t="inlineStr">
        <is>
          <t>CritAvg</t>
        </is>
      </c>
      <c r="N1641" s="5" t="inlineStr">
        <is>
          <t>ExpectedDamage(perHit)</t>
        </is>
      </c>
      <c r="O1641" s="5" t="inlineStr">
        <is>
          <t>DPS</t>
        </is>
      </c>
      <c r="P1641" s="5" t="inlineStr">
        <is>
          <t>% of Total</t>
        </is>
      </c>
      <c r="Q1641" s="5" t="inlineStr">
        <is>
          <t>InvCooldown</t>
        </is>
      </c>
      <c r="R1641" s="5" t="inlineStr">
        <is>
          <t>CastsInFight</t>
        </is>
      </c>
      <c r="S1641" s="5" t="inlineStr">
        <is>
          <t>HitRate(perSec)</t>
        </is>
      </c>
      <c r="U1641" t="inlineStr">
        <is>
          <t>helpers</t>
        </is>
      </c>
    </row>
    <row r="1642">
      <c r="A1642">
        <f>Skills!A2</f>
        <v/>
      </c>
      <c r="B1642">
        <f>Skills!B2</f>
        <v/>
      </c>
      <c r="C1642">
        <f>Inputs!$B$3&gt;=100</f>
        <v/>
      </c>
      <c r="D1642" t="inlineStr"/>
      <c r="E1642" t="inlineStr"/>
      <c r="F1642">
        <f>U1646+Skills!O2</f>
        <v/>
      </c>
      <c r="G1642">
        <f>Calc!G2</f>
        <v/>
      </c>
      <c r="H1642">
        <f>Calc!H2</f>
        <v/>
      </c>
      <c r="I1642">
        <f>IF(Skills!AA2&lt;&gt;"",1+(Skills!AA2/10)*(U1643/1000)/100,1)</f>
        <v/>
      </c>
      <c r="J1642">
        <f>((Inputs!$B$6*(1+Inputs!$B$7/100))+(((Inputs!$B$12*(1+Inputs!$B$13/100))-(Inputs!$B$12*(1+Inputs!$B$13/100)))+0.25*(Inputs!$B$14-Inputs!$B$14))*(1+Inputs!$B$7/100))*(F1642/100)</f>
        <v/>
      </c>
      <c r="K1642">
        <f>J1642*(1+((Inputs!$B$12*(1+Inputs!$B$13/100))*0.01+Inputs!$B$14*0.0025)/100)*(1+Inputs!$B$15/100)*(1+Inputs!$B$16/100)*(5000/(6000+Inputs!$B$43*(1-(100*(1-(1-(Inputs!$B$19+0)/100)*(1-CHOOSE(ArtifactsInput!$N$40+1,5,6,7,8,9,10)/100)^(ArtifactsInput!$M$40-ArtifactsInput!$M$40)))/100)))*(1+(Inputs!$B$24+((C1670=TRUE)*(F1670-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1663=TRUE)*(F1663-Calc!F23))+(((IF(AND(ArtifactsInput!$M$42,((Inputs!$B$9+((C1665=TRUE)*(F1665-Calc!F25))+B1680+(ArtifactsInput!$M$24-ArtifactsInput!$M$24)*CHOOSE(ArtifactsInput!$N$24+1,10,12,14,16,18,20)+IF(ArtifactsInput!$M$10,CHOOSE(ArtifactsInput!$N$10+1,15,18,21,24,27,30)*(IF(Inputs!$B$39="pvp",MIN(15,15)/15,IF(AND(Inputs!$B$39&lt;&gt;"pvp",Inputs!$B$44&gt;0),MIN(15,Inputs!$B$44)/(Inputs!$B$44),0))),0)))&gt;=100),MIN(100,((Inputs!$B$9+((C1665=TRUE)*(F1665-Calc!F25))+B1680+(ArtifactsInput!$M$24-ArtifactsInput!$M$24)*CHOOSE(ArtifactsInput!$N$24+1,10,12,14,16,18,20)+IF(ArtifactsInput!$M$10,CHOOSE(ArtifactsInput!$N$10+1,15,18,21,24,27,30)*(IF(Inputs!$B$39="pvp",MIN(15,15)/15,IF(AND(Inputs!$B$39&lt;&gt;"pvp",Inputs!$B$44&gt;0),MIN(15,Inputs!$B$44)/(Inputs!$B$44),0))),0)))-100),0))*CHOOSE(ArtifactsInput!$N$42+1,0.6,0.72,0.84,0.96,1.08,1.2))),Inputs!$B$18+((C1669=TRUE)*(F1669-Calc!F29))+(IF(AND(ArtifactsInput!$M$42,((Inputs!$B$9+((C1665=TRUE)*(F1665-Calc!F25))+B1680+(ArtifactsInput!$M$24-ArtifactsInput!$M$24)*CHOOSE(ArtifactsInput!$N$24+1,10,12,14,16,18,20)+IF(ArtifactsInput!$M$10,CHOOSE(ArtifactsInput!$N$10+1,15,18,21,24,27,30)*(IF(Inputs!$B$39="pvp",MIN(15,15)/15,IF(AND(Inputs!$B$39&lt;&gt;"pvp",Inputs!$B$44&gt;0),MIN(15,Inputs!$B$44)/(Inputs!$B$44),0))),0)))&gt;=100),CHOOSE(ArtifactsInput!$N$42+1,40,48,56,64,72,80),0))))/100)*(((1+(((C1661=TRUE)*F1661*IF(AND(Inputs!$B$39&lt;&gt;"pvp",Inputs!$B$44&gt;0),(((R1661-1)*(Skills!Y21*(1+Inputs!$B$34/100))+MIN((Skills!Y21*(1+Inputs!$B$34/100)),MAX(0,Inputs!$B$44-((R1661-1)*Skills!D21))))/Inputs!$B$44),IF(Inputs!$B$39="pvp",MIN((Skills!Y21*(1+Inputs!$B$34/100)),15)/15,(Skills!Y21*(1+Inputs!$B$34/100))/Skills!D21)))+((C1668=TRUE)*(F1668-Calc!F28))+((C1658=TRUE)*(F1658-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1655=TRUE)*F1655*IF(AND(Inputs!$B$39&lt;&gt;"pvp",Inputs!$B$44&gt;0),(((R1655-1)*(Skills!Y15*(1+Inputs!$B$34/100))+MIN((Skills!Y15*(1+Inputs!$B$34/100)),MAX(0,Inputs!$B$44-((R1655-1)*Skills!D15))))/Inputs!$B$44),IF(Inputs!$B$39="pvp",MIN((Skills!Y15*(1+Inputs!$B$34/100)),15)/15,(Skills!Y15*(1+Inputs!$B$34/100))/Skills!D15)))/100)*(1+((C1646=TRUE)*F1646*B1674)/100))*B1682*(1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1642)</f>
        <v/>
      </c>
      <c r="L1642">
        <f>K1642*(MIN(Inputs!$B$22+((C1664=TRUE)*(F1664-Calc!F24)),(Inputs!$B$23+0+(IF(ArtifactsInput!$M$15,CHOOSE(ArtifactsInput!$N$15+1,25,30,35,40,45,50)/100*(Inputs!$B$11-Inputs!$B$11),0))))/100+(Inputs!$B$23+0+(IF(ArtifactsInput!$M$15,CHOOSE(ArtifactsInput!$N$15+1,25,30,35,40,45,50)/100*(Inputs!$B$11-Inputs!$B$11),0)))/100)/2</f>
        <v/>
      </c>
      <c r="M1642">
        <f>L1642*(1+(Inputs!$B$10+((C1666=TRUE)*(F1666-Calc!F26))+B1683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42">
        <f>L1642*(1-MIN((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1642*(MIN((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42">
        <f>(1-Summary!$B$11)*T1642+Summary!$B$11*V1642</f>
        <v/>
      </c>
      <c r="P1642">
        <f>IF(B1684=0,0,O1642/B1684)</f>
        <v/>
      </c>
      <c r="Q1642" t="n">
        <v>0</v>
      </c>
      <c r="R1642" t="n">
        <v>0</v>
      </c>
      <c r="S1642">
        <f>IFERROR(O1642/N1642,0)</f>
        <v/>
      </c>
      <c r="T1642">
        <f>IF(C1642,(Skills!G2*N1642*B1678)*IF(Inputs!$B$39="pvp",1,1+(Inputs!$B$20+((C1667=TRUE)*(F1667-Calc!F27))+Skills!P2+B1681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Hunt"),CHOOSE(ArtifactsInput!$N$35+1,15,18,21,24,27,30)*(1-EXP(-(0.2*B1676)*5)),0)+IF(AND(ArtifactsInput!$M$22,Inputs!$B$4&lt;&gt;"Chapter Hunt"),CHOOSE(ArtifactsInput!$N$22+1,10,12,14,16,18,20)*((0*(((0.15*B1676*5))^0/1)+1*(((0.15*B1676*5))^1/1)+2*(((0.15*B1676*5))^2/2)+3*(((0.15*B1676*5))^3/6)+4*(((0.15*B1676*5))^4/24)+5*(((0.15*B1676*5))^5/120))/((((0.15*B1676*5))^0/1)+(((0.15*B1676*5))^1/1)+(((0.15*B1676*5))^2/2)+(((0.15*B1676*5))^3/6)+(((0.15*B1676*5))^4/24)+(((0.15*B1676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1642*(1-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1642*(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1642*(1-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1642*(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42">
        <f>MAX(0,(Inputs!$B$3-100)*3)+Inputs!$B$28+Inputs!$B$29</f>
        <v/>
      </c>
      <c r="V1642">
        <f>IF(C1642,(Skills!G2*N1642*B1678)*IF(Inputs!$B$39="pvp",1,(1+(Inputs!$B$21+Skills!Q2+B1681+(IF(ArtifactsInput!$M$33,CHOOSE(ArtifactsInput!$N$33+1,30,36,42,48,54,60),0))+(IF(AND(ArtifactsInput!$M$35,Inputs!$B$4&lt;&gt;"Chapter Hunt"),CHOOSE(ArtifactsInput!$N$35+1,15,18,21,24,27,30)*(1-EXP(-(0.2*B1676)*5)),0)+IF(AND(ArtifactsInput!$M$22,Inputs!$B$4&lt;&gt;"Chapter Hunt"),CHOOSE(ArtifactsInput!$N$22+1,10,12,14,16,18,20)*((0*(((0.15*B1676*5))^0/1)+1*(((0.15*B1676*5))^1/1)+2*(((0.15*B1676*5))^2/2)+3*(((0.15*B1676*5))^3/6)+4*(((0.15*B1676*5))^4/24)+5*(((0.15*B1676*5))^5/120))/((((0.15*B1676*5))^0/1)+(((0.15*B1676*5))^1/1)+(((0.15*B1676*5))^2/2)+(((0.15*B1676*5))^3/6)+(((0.15*B1676*5))^4/24)+(((0.15*B1676*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43">
      <c r="A1643">
        <f>Skills!A3</f>
        <v/>
      </c>
      <c r="B1643">
        <f>Skills!B3</f>
        <v/>
      </c>
      <c r="C1643">
        <f>Inputs!$B$3&gt;=35</f>
        <v/>
      </c>
      <c r="D1643">
        <f>IF(Skills!C3=1,60+Inputs!$B$25+Inputs!$B$29,IF(Skills!C3=2,90+Inputs!$B$26+Inputs!$B$29,IF(Skills!C3=3,120+Inputs!$B$27+Inputs!$B$29,MAX(0,(Inputs!$B$3-100)*3)+Inputs!$B$28+Inputs!$B$29)))</f>
        <v/>
      </c>
      <c r="E1643">
        <f>INDEX(FactorTable!$B$2:$Y$301, MATCH(ROUND(MIN(300,MAX(1,D1643)),0), FactorTable!$A$2:$A$301,0), Skills!M3+1)</f>
        <v/>
      </c>
      <c r="F1643">
        <f>IF(Skills!N3=TRUE,(Skills!L3/10)*(E1643/1000),Skills!L3/10)+Skills!O3</f>
        <v/>
      </c>
      <c r="G1643">
        <f>Calc!G3</f>
        <v/>
      </c>
      <c r="H1643">
        <f>Calc!H3</f>
        <v/>
      </c>
      <c r="I1643">
        <f>IF(Skills!AA3&lt;&gt;"",1+(Skills!AA3/10)*(U1643/1000)/100,1)</f>
        <v/>
      </c>
      <c r="J1643">
        <f>((Inputs!$B$6*(1+Inputs!$B$7/100))+(((Inputs!$B$12*(1+Inputs!$B$13/100))-(Inputs!$B$12*(1+Inputs!$B$13/100)))+0.25*(Inputs!$B$14-Inputs!$B$14))*(1+Inputs!$B$7/100))*(F1643/100)</f>
        <v/>
      </c>
      <c r="K1643">
        <f>J1643*(1+((Inputs!$B$12*(1+Inputs!$B$13/100))*0.01+Inputs!$B$14*0.0025)/100)*(1+Inputs!$B$15/100)*(1+Inputs!$B$16/100)*(5000/(6000+Inputs!$B$43*(1-(100*(1-(1-(Inputs!$B$19+0)/100)*(1-CHOOSE(ArtifactsInput!$N$40+1,5,6,7,8,9,10)/100)^(ArtifactsInput!$M$40-ArtifactsInput!$M$40)))/100)))*(1+(Inputs!$B$24+((C1670=TRUE)*(F1670-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1663=TRUE)*(F1663-Calc!F23))+(((IF(AND(ArtifactsInput!$M$42,((Inputs!$B$9+((C1665=TRUE)*(F1665-Calc!F25))+B1680+(ArtifactsInput!$M$24-ArtifactsInput!$M$24)*CHOOSE(ArtifactsInput!$N$24+1,10,12,14,16,18,20)+IF(ArtifactsInput!$M$10,CHOOSE(ArtifactsInput!$N$10+1,15,18,21,24,27,30)*(IF(Inputs!$B$39="pvp",MIN(15,15)/15,IF(AND(Inputs!$B$39&lt;&gt;"pvp",Inputs!$B$44&gt;0),MIN(15,Inputs!$B$44)/(Inputs!$B$44),0))),0)))&gt;=100),MIN(100,((Inputs!$B$9+((C1665=TRUE)*(F1665-Calc!F25))+B1680+(ArtifactsInput!$M$24-ArtifactsInput!$M$24)*CHOOSE(ArtifactsInput!$N$24+1,10,12,14,16,18,20)+IF(ArtifactsInput!$M$10,CHOOSE(ArtifactsInput!$N$10+1,15,18,21,24,27,30)*(IF(Inputs!$B$39="pvp",MIN(15,15)/15,IF(AND(Inputs!$B$39&lt;&gt;"pvp",Inputs!$B$44&gt;0),MIN(15,Inputs!$B$44)/(Inputs!$B$44),0))),0)))-100),0))*CHOOSE(ArtifactsInput!$N$42+1,0.6,0.72,0.84,0.96,1.08,1.2))),Inputs!$B$18+((C1669=TRUE)*(F1669-Calc!F29))+(IF(AND(ArtifactsInput!$M$42,((Inputs!$B$9+((C1665=TRUE)*(F1665-Calc!F25))+B1680+(ArtifactsInput!$M$24-ArtifactsInput!$M$24)*CHOOSE(ArtifactsInput!$N$24+1,10,12,14,16,18,20)+IF(ArtifactsInput!$M$10,CHOOSE(ArtifactsInput!$N$10+1,15,18,21,24,27,30)*(IF(Inputs!$B$39="pvp",MIN(15,15)/15,IF(AND(Inputs!$B$39&lt;&gt;"pvp",Inputs!$B$44&gt;0),MIN(15,Inputs!$B$44)/(Inputs!$B$44),0))),0)))&gt;=100),CHOOSE(ArtifactsInput!$N$42+1,40,48,56,64,72,80),0))))/100)*(((1+(((C1661=TRUE)*F1661*IF(AND(Inputs!$B$39&lt;&gt;"pvp",Inputs!$B$44&gt;0),(((R1661-1)*(Skills!Y21*(1+Inputs!$B$34/100))+MIN((Skills!Y21*(1+Inputs!$B$34/100)),MAX(0,Inputs!$B$44-((R1661-1)*Skills!D21))))/Inputs!$B$44),IF(Inputs!$B$39="pvp",MIN((Skills!Y21*(1+Inputs!$B$34/100)),15)/15,(Skills!Y21*(1+Inputs!$B$34/100))/Skills!D21)))+((C1668=TRUE)*(F1668-Calc!F28))+((C1658=TRUE)*(F1658-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1655=TRUE)*F1655*IF(AND(Inputs!$B$39&lt;&gt;"pvp",Inputs!$B$44&gt;0),(((R1655-1)*(Skills!Y15*(1+Inputs!$B$34/100))+MIN((Skills!Y15*(1+Inputs!$B$34/100)),MAX(0,Inputs!$B$44-((R1655-1)*Skills!D15))))/Inputs!$B$44),IF(Inputs!$B$39="pvp",MIN((Skills!Y15*(1+Inputs!$B$34/100)),15)/15,(Skills!Y15*(1+Inputs!$B$34/100))/Skills!D15)))/100)*(1+((C1646=TRUE)*F1646*B1674)/100))*B1682*(1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1643)</f>
        <v/>
      </c>
      <c r="L1643">
        <f>K1643*(MIN(Inputs!$B$22+((C1664=TRUE)*(F1664-Calc!F24)),(Inputs!$B$23+0+(IF(ArtifactsInput!$M$15,CHOOSE(ArtifactsInput!$N$15+1,25,30,35,40,45,50)/100*(Inputs!$B$11-Inputs!$B$11),0))))/100+(Inputs!$B$23+0+(IF(ArtifactsInput!$M$15,CHOOSE(ArtifactsInput!$N$15+1,25,30,35,40,45,50)/100*(Inputs!$B$11-Inputs!$B$11),0)))/100)/2</f>
        <v/>
      </c>
      <c r="M1643">
        <f>L1643*(1+(Inputs!$B$10+((C1666=TRUE)*(F1666-Calc!F26))+B1683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43">
        <f>L1643*(1-MIN((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1643*(MIN((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43">
        <f>(1-Summary!$B$11)*T1643+Summary!$B$11*V1643</f>
        <v/>
      </c>
      <c r="P1643">
        <f>IF(B1684=0,0,O1643/B1684)</f>
        <v/>
      </c>
      <c r="Q1643">
        <f>IFERROR(1/IF(Inputs!$B$39="pvp",15,MAX(0.1,Skills!D3-IF(Skills!E3=TRUE,Inputs!$B$32,0))),0)</f>
        <v/>
      </c>
      <c r="R1643">
        <f>IF(AND(Inputs!$B$39&lt;&gt;"pvp",Inputs!$B$44&gt;0),IF(MAX(0,Inputs!$B$44-B1685)&lt;=0,0,(INT(MAX(0,Inputs!$B$44-B1685)/IF(Inputs!$B$39="pvp",15,MAX(0.1,Skills!D3-IF(Skills!E3=TRUE,Inputs!$B$32,0))))+1)),0)</f>
        <v/>
      </c>
      <c r="S1643">
        <f>IFERROR(O1643/N1643,0)</f>
        <v/>
      </c>
      <c r="T1643">
        <f>IF(C1643,(H1643*N1643*IF(AND(Inputs!$B$39&lt;&gt;"pvp",Inputs!$B$44&gt;0),((Skills!G3*((R1643-1)*IF(Skills!H3&gt;0,Skills!I3/Skills!H3,1)+IF(Skills!H3&gt;0,MIN(Skills!I3,MAX(0,MAX(0,Inputs!$B$44-B1685)-((R1643-1)*IF(Inputs!$B$39="pvp",15,MAX(0.1,Skills!D3-IF(Skills!E3=TRUE,Inputs!$B$32,0))))))/Skills!H3,1)))/Inputs!$B$44),G1643*Q1643))*IF(Inputs!$B$39="pvp",1,1+(Inputs!$B$20+((C1667=TRUE)*(F1667-Calc!F27))+Skills!P3+B1681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Hunt"),CHOOSE(ArtifactsInput!$N$35+1,15,18,21,24,27,30)*(1-EXP(-(0.2*B1676)*5)),0)+IF(AND(ArtifactsInput!$M$22,Inputs!$B$4&lt;&gt;"Chapter Hunt"),CHOOSE(ArtifactsInput!$N$22+1,10,12,14,16,18,20)*((0*(((0.15*B1676*5))^0/1)+1*(((0.15*B1676*5))^1/1)+2*(((0.15*B1676*5))^2/2)+3*(((0.15*B1676*5))^3/6)+4*(((0.15*B1676*5))^4/24)+5*(((0.15*B1676*5))^5/120))/((((0.15*B1676*5))^0/1)+(((0.15*B1676*5))^1/1)+(((0.15*B1676*5))^2/2)+(((0.15*B1676*5))^3/6)+(((0.15*B1676*5))^4/24)+(((0.15*B1676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1643*(1-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1643*(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1643*(1-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1643*(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43">
        <f>INDEX(FactorTable!$B$2:$Y$301, MATCH(ROUND(MIN(300,MAX(1,U1642)),0), FactorTable!$A$2:$A$301,0), 24)</f>
        <v/>
      </c>
      <c r="V1643">
        <f>IF(C1643,(H1643*N1643*IF(AND(Inputs!$B$39&lt;&gt;"pvp",Inputs!$B$44&gt;0),((Skills!G3*((R1643-1)*IF(Skills!H3&gt;0,Skills!I3/Skills!H3,1)+IF(Skills!H3&gt;0,MIN(Skills!I3,MAX(0,MAX(0,Inputs!$B$44-B1685)-((R1643-1)*IF(Inputs!$B$39="pvp",15,MAX(0.1,Skills!D3-IF(Skills!E3=TRUE,Inputs!$B$32,0))))))/Skills!H3,1)))/Inputs!$B$44),G1643*Q1643))*IF(Inputs!$B$39="pvp",1,(1+(Inputs!$B$21+Skills!Q3+B1681+(IF(ArtifactsInput!$M$33,CHOOSE(ArtifactsInput!$N$33+1,30,36,42,48,54,60),0))+(IF(AND(ArtifactsInput!$M$35,Inputs!$B$4&lt;&gt;"Chapter Hunt"),CHOOSE(ArtifactsInput!$N$35+1,15,18,21,24,27,30)*(1-EXP(-(0.2*B1676)*5)),0)+IF(AND(ArtifactsInput!$M$22,Inputs!$B$4&lt;&gt;"Chapter Hunt"),CHOOSE(ArtifactsInput!$N$22+1,10,12,14,16,18,20)*((0*(((0.15*B1676*5))^0/1)+1*(((0.15*B1676*5))^1/1)+2*(((0.15*B1676*5))^2/2)+3*(((0.15*B1676*5))^3/6)+4*(((0.15*B1676*5))^4/24)+5*(((0.15*B1676*5))^5/120))/((((0.15*B1676*5))^0/1)+(((0.15*B1676*5))^1/1)+(((0.15*B1676*5))^2/2)+(((0.15*B1676*5))^3/6)+(((0.15*B1676*5))^4/24)+(((0.15*B1676*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44">
      <c r="A1644">
        <f>Skills!A4</f>
        <v/>
      </c>
      <c r="B1644">
        <f>Skills!B4</f>
        <v/>
      </c>
      <c r="C1644">
        <f>Inputs!$B$3&gt;=40</f>
        <v/>
      </c>
      <c r="D1644">
        <f>IF(Skills!C4=1,60+Inputs!$B$25+Inputs!$B$29,IF(Skills!C4=2,90+Inputs!$B$26+Inputs!$B$29,IF(Skills!C4=3,120+Inputs!$B$27+Inputs!$B$29,MAX(0,(Inputs!$B$3-100)*3)+Inputs!$B$28+Inputs!$B$29)))</f>
        <v/>
      </c>
      <c r="E1644">
        <f>INDEX(FactorTable!$B$2:$Y$301, MATCH(ROUND(MIN(300,MAX(1,D1644)),0), FactorTable!$A$2:$A$301,0), Skills!M4+1)</f>
        <v/>
      </c>
      <c r="F1644">
        <f>IF(Skills!N4=TRUE,(Skills!L4/10)*(E1644/1000),Skills!L4/10)+Skills!O4</f>
        <v/>
      </c>
      <c r="G1644">
        <f>Calc!G4</f>
        <v/>
      </c>
      <c r="H1644">
        <f>Calc!H4</f>
        <v/>
      </c>
      <c r="I1644">
        <f>IF(Skills!AA4&lt;&gt;"",1+(Skills!AA4/10)*(U1643/1000)/100,1)</f>
        <v/>
      </c>
      <c r="J1644">
        <f>((Inputs!$B$6*(1+Inputs!$B$7/100))+(((Inputs!$B$12*(1+Inputs!$B$13/100))-(Inputs!$B$12*(1+Inputs!$B$13/100)))+0.25*(Inputs!$B$14-Inputs!$B$14))*(1+Inputs!$B$7/100))*(F1644/100)</f>
        <v/>
      </c>
      <c r="K1644">
        <f>J1644*(1+((Inputs!$B$12*(1+Inputs!$B$13/100))*0.01+Inputs!$B$14*0.0025)/100)*(1+Inputs!$B$15/100)*(1+Inputs!$B$16/100)*(5000/(6000+Inputs!$B$43*(1-(100*(1-(1-(Inputs!$B$19+0)/100)*(1-CHOOSE(ArtifactsInput!$N$40+1,5,6,7,8,9,10)/100)^(ArtifactsInput!$M$40-ArtifactsInput!$M$40)))/100)))*(1+(Inputs!$B$24+((C1670=TRUE)*(F1670-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1663=TRUE)*(F1663-Calc!F23))+(((IF(AND(ArtifactsInput!$M$42,((Inputs!$B$9+((C1665=TRUE)*(F1665-Calc!F25))+B1680+(ArtifactsInput!$M$24-ArtifactsInput!$M$24)*CHOOSE(ArtifactsInput!$N$24+1,10,12,14,16,18,20)+IF(ArtifactsInput!$M$10,CHOOSE(ArtifactsInput!$N$10+1,15,18,21,24,27,30)*(IF(Inputs!$B$39="pvp",MIN(15,15)/15,IF(AND(Inputs!$B$39&lt;&gt;"pvp",Inputs!$B$44&gt;0),MIN(15,Inputs!$B$44)/(Inputs!$B$44),0))),0)))&gt;=100),MIN(100,((Inputs!$B$9+((C1665=TRUE)*(F1665-Calc!F25))+B1680+(ArtifactsInput!$M$24-ArtifactsInput!$M$24)*CHOOSE(ArtifactsInput!$N$24+1,10,12,14,16,18,20)+IF(ArtifactsInput!$M$10,CHOOSE(ArtifactsInput!$N$10+1,15,18,21,24,27,30)*(IF(Inputs!$B$39="pvp",MIN(15,15)/15,IF(AND(Inputs!$B$39&lt;&gt;"pvp",Inputs!$B$44&gt;0),MIN(15,Inputs!$B$44)/(Inputs!$B$44),0))),0)))-100),0))*CHOOSE(ArtifactsInput!$N$42+1,0.6,0.72,0.84,0.96,1.08,1.2))),Inputs!$B$18+((C1669=TRUE)*(F1669-Calc!F29))+(IF(AND(ArtifactsInput!$M$42,((Inputs!$B$9+((C1665=TRUE)*(F1665-Calc!F25))+B1680+(ArtifactsInput!$M$24-ArtifactsInput!$M$24)*CHOOSE(ArtifactsInput!$N$24+1,10,12,14,16,18,20)+IF(ArtifactsInput!$M$10,CHOOSE(ArtifactsInput!$N$10+1,15,18,21,24,27,30)*(IF(Inputs!$B$39="pvp",MIN(15,15)/15,IF(AND(Inputs!$B$39&lt;&gt;"pvp",Inputs!$B$44&gt;0),MIN(15,Inputs!$B$44)/(Inputs!$B$44),0))),0)))&gt;=100),CHOOSE(ArtifactsInput!$N$42+1,40,48,56,64,72,80),0))))/100)*(((1+(((C1661=TRUE)*F1661*IF(AND(Inputs!$B$39&lt;&gt;"pvp",Inputs!$B$44&gt;0),(((R1661-1)*(Skills!Y21*(1+Inputs!$B$34/100))+MIN((Skills!Y21*(1+Inputs!$B$34/100)),MAX(0,Inputs!$B$44-((R1661-1)*Skills!D21))))/Inputs!$B$44),IF(Inputs!$B$39="pvp",MIN((Skills!Y21*(1+Inputs!$B$34/100)),15)/15,(Skills!Y21*(1+Inputs!$B$34/100))/Skills!D21)))+((C1668=TRUE)*(F1668-Calc!F28))+((C1658=TRUE)*(F1658-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1655=TRUE)*F1655*IF(AND(Inputs!$B$39&lt;&gt;"pvp",Inputs!$B$44&gt;0),(((R1655-1)*(Skills!Y15*(1+Inputs!$B$34/100))+MIN((Skills!Y15*(1+Inputs!$B$34/100)),MAX(0,Inputs!$B$44-((R1655-1)*Skills!D15))))/Inputs!$B$44),IF(Inputs!$B$39="pvp",MIN((Skills!Y15*(1+Inputs!$B$34/100)),15)/15,(Skills!Y15*(1+Inputs!$B$34/100))/Skills!D15)))/100)*(1+((C1646=TRUE)*F1646*B1674)/100))*B1682*(1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1644)</f>
        <v/>
      </c>
      <c r="L1644">
        <f>K1644*(MIN(Inputs!$B$22+((C1664=TRUE)*(F1664-Calc!F24)),(Inputs!$B$23+0+(IF(ArtifactsInput!$M$15,CHOOSE(ArtifactsInput!$N$15+1,25,30,35,40,45,50)/100*(Inputs!$B$11-Inputs!$B$11),0))))/100+(Inputs!$B$23+0+(IF(ArtifactsInput!$M$15,CHOOSE(ArtifactsInput!$N$15+1,25,30,35,40,45,50)/100*(Inputs!$B$11-Inputs!$B$11),0)))/100)/2</f>
        <v/>
      </c>
      <c r="M1644">
        <f>L1644*(1+(Inputs!$B$10+((C1666=TRUE)*(F1666-Calc!F26))+B1683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44">
        <f>L1644*(1-MIN((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1644*(MIN((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44">
        <f>(1-Summary!$B$11)*T1644+Summary!$B$11*V1644</f>
        <v/>
      </c>
      <c r="P1644">
        <f>IF(B1684=0,0,O1644/B1684)</f>
        <v/>
      </c>
      <c r="Q1644">
        <f>IFERROR(1/IF(Inputs!$B$39="pvp",15,MAX(0.1,Skills!D4-IF(Skills!E4=TRUE,Inputs!$B$32,0))),0)</f>
        <v/>
      </c>
      <c r="R1644">
        <f>IF(AND(Inputs!$B$39&lt;&gt;"pvp",Inputs!$B$44&gt;0),IF(MAX(0,Inputs!$B$44-B1685)&lt;=0,0,(INT(MAX(0,Inputs!$B$44-B1685)/IF(Inputs!$B$39="pvp",15,MAX(0.1,Skills!D4-IF(Skills!E4=TRUE,Inputs!$B$32,0))))+1)),0)</f>
        <v/>
      </c>
      <c r="S1644">
        <f>IFERROR(O1644/N1644,0)</f>
        <v/>
      </c>
      <c r="T1644">
        <f>IF(C1644,(H1644*N1644*IF(AND(Inputs!$B$39&lt;&gt;"pvp",Inputs!$B$44&gt;0),((Skills!G4*((R1644-1)*IF(Skills!H4&gt;0,Skills!I4/Skills!H4,1)+IF(Skills!H4&gt;0,MIN(Skills!I4,MAX(0,MAX(0,Inputs!$B$44-B1685)-((R1644-1)*IF(Inputs!$B$39="pvp",15,MAX(0.1,Skills!D4-IF(Skills!E4=TRUE,Inputs!$B$32,0))))))/Skills!H4,1)))/Inputs!$B$44),G1644*Q1644))*IF(Inputs!$B$39="pvp",1,1+(Inputs!$B$20+((C1667=TRUE)*(F1667-Calc!F27))+Skills!P4+B1681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Hunt"),CHOOSE(ArtifactsInput!$N$35+1,15,18,21,24,27,30)*(1-EXP(-(0.2*B1676)*5)),0)+IF(AND(ArtifactsInput!$M$22,Inputs!$B$4&lt;&gt;"Chapter Hunt"),CHOOSE(ArtifactsInput!$N$22+1,10,12,14,16,18,20)*((0*(((0.15*B1676*5))^0/1)+1*(((0.15*B1676*5))^1/1)+2*(((0.15*B1676*5))^2/2)+3*(((0.15*B1676*5))^3/6)+4*(((0.15*B1676*5))^4/24)+5*(((0.15*B1676*5))^5/120))/((((0.15*B1676*5))^0/1)+(((0.15*B1676*5))^1/1)+(((0.15*B1676*5))^2/2)+(((0.15*B1676*5))^3/6)+(((0.15*B1676*5))^4/24)+(((0.15*B1676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1644*(1-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1644*(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1644*(1-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1644*(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44">
        <f>MAX(0,(Inputs!$B$3-100)*3)+Inputs!$B$28+Inputs!$B$29</f>
        <v/>
      </c>
      <c r="V1644">
        <f>IF(C1644,(H1644*N1644*IF(AND(Inputs!$B$39&lt;&gt;"pvp",Inputs!$B$44&gt;0),((Skills!G4*((R1644-1)*IF(Skills!H4&gt;0,Skills!I4/Skills!H4,1)+IF(Skills!H4&gt;0,MIN(Skills!I4,MAX(0,MAX(0,Inputs!$B$44-B1685)-((R1644-1)*IF(Inputs!$B$39="pvp",15,MAX(0.1,Skills!D4-IF(Skills!E4=TRUE,Inputs!$B$32,0))))))/Skills!H4,1)))/Inputs!$B$44),G1644*Q1644))*IF(Inputs!$B$39="pvp",1,(1+(Inputs!$B$21+Skills!Q4+B1681+(IF(ArtifactsInput!$M$33,CHOOSE(ArtifactsInput!$N$33+1,30,36,42,48,54,60),0))+(IF(AND(ArtifactsInput!$M$35,Inputs!$B$4&lt;&gt;"Chapter Hunt"),CHOOSE(ArtifactsInput!$N$35+1,15,18,21,24,27,30)*(1-EXP(-(0.2*B1676)*5)),0)+IF(AND(ArtifactsInput!$M$22,Inputs!$B$4&lt;&gt;"Chapter Hunt"),CHOOSE(ArtifactsInput!$N$22+1,10,12,14,16,18,20)*((0*(((0.15*B1676*5))^0/1)+1*(((0.15*B1676*5))^1/1)+2*(((0.15*B1676*5))^2/2)+3*(((0.15*B1676*5))^3/6)+4*(((0.15*B1676*5))^4/24)+5*(((0.15*B1676*5))^5/120))/((((0.15*B1676*5))^0/1)+(((0.15*B1676*5))^1/1)+(((0.15*B1676*5))^2/2)+(((0.15*B1676*5))^3/6)+(((0.15*B1676*5))^4/24)+(((0.15*B1676*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45">
      <c r="A1645">
        <f>Skills!A5</f>
        <v/>
      </c>
      <c r="B1645">
        <f>Skills!B5</f>
        <v/>
      </c>
      <c r="C1645">
        <f>Inputs!$B$3&gt;=63</f>
        <v/>
      </c>
      <c r="D1645">
        <f>IF(Skills!C5=1,60+Inputs!$B$25+Inputs!$B$29,IF(Skills!C5=2,90+Inputs!$B$26+Inputs!$B$29,IF(Skills!C5=3,120+Inputs!$B$27+Inputs!$B$29,MAX(0,(Inputs!$B$3-100)*3)+Inputs!$B$28+Inputs!$B$29)))</f>
        <v/>
      </c>
      <c r="E1645">
        <f>INDEX(FactorTable!$B$2:$Y$301, MATCH(ROUND(MIN(300,MAX(1,D1645)),0), FactorTable!$A$2:$A$301,0), Skills!M5+1)</f>
        <v/>
      </c>
      <c r="F1645">
        <f>IF(Skills!N5=TRUE,(Skills!L5/10)*(E1645/1000),Skills!L5/10)+Skills!O5</f>
        <v/>
      </c>
      <c r="G1645">
        <f>Calc!G5</f>
        <v/>
      </c>
      <c r="H1645">
        <f>Calc!H5</f>
        <v/>
      </c>
      <c r="I1645">
        <f>IF(Skills!AA5&lt;&gt;"",1+(Skills!AA5/10)*(U1643/1000)/100,1)</f>
        <v/>
      </c>
      <c r="J1645">
        <f>((Inputs!$B$6*(1+Inputs!$B$7/100))+(((Inputs!$B$12*(1+Inputs!$B$13/100))-(Inputs!$B$12*(1+Inputs!$B$13/100)))+0.25*(Inputs!$B$14-Inputs!$B$14))*(1+Inputs!$B$7/100))*(F1645/100)</f>
        <v/>
      </c>
      <c r="K1645">
        <f>J1645*(1+((Inputs!$B$12*(1+Inputs!$B$13/100))*0.01+Inputs!$B$14*0.0025)/100)*(1+Inputs!$B$15/100)*(1+Inputs!$B$16/100)*(5000/(6000+Inputs!$B$43*(1-(100*(1-(1-(Inputs!$B$19+0)/100)*(1-CHOOSE(ArtifactsInput!$N$40+1,5,6,7,8,9,10)/100)^(ArtifactsInput!$M$40-ArtifactsInput!$M$40)))/100)))*(1+(Inputs!$B$24+((C1670=TRUE)*(F1670-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1663=TRUE)*(F1663-Calc!F23))+(((IF(AND(ArtifactsInput!$M$42,((Inputs!$B$9+((C1665=TRUE)*(F1665-Calc!F25))+B1680+(ArtifactsInput!$M$24-ArtifactsInput!$M$24)*CHOOSE(ArtifactsInput!$N$24+1,10,12,14,16,18,20)+IF(ArtifactsInput!$M$10,CHOOSE(ArtifactsInput!$N$10+1,15,18,21,24,27,30)*(IF(Inputs!$B$39="pvp",MIN(15,15)/15,IF(AND(Inputs!$B$39&lt;&gt;"pvp",Inputs!$B$44&gt;0),MIN(15,Inputs!$B$44)/(Inputs!$B$44),0))),0)))&gt;=100),MIN(100,((Inputs!$B$9+((C1665=TRUE)*(F1665-Calc!F25))+B1680+(ArtifactsInput!$M$24-ArtifactsInput!$M$24)*CHOOSE(ArtifactsInput!$N$24+1,10,12,14,16,18,20)+IF(ArtifactsInput!$M$10,CHOOSE(ArtifactsInput!$N$10+1,15,18,21,24,27,30)*(IF(Inputs!$B$39="pvp",MIN(15,15)/15,IF(AND(Inputs!$B$39&lt;&gt;"pvp",Inputs!$B$44&gt;0),MIN(15,Inputs!$B$44)/(Inputs!$B$44),0))),0)))-100),0))*CHOOSE(ArtifactsInput!$N$42+1,0.6,0.72,0.84,0.96,1.08,1.2))),Inputs!$B$18+((C1669=TRUE)*(F1669-Calc!F29))+(IF(AND(ArtifactsInput!$M$42,((Inputs!$B$9+((C1665=TRUE)*(F1665-Calc!F25))+B1680+(ArtifactsInput!$M$24-ArtifactsInput!$M$24)*CHOOSE(ArtifactsInput!$N$24+1,10,12,14,16,18,20)+IF(ArtifactsInput!$M$10,CHOOSE(ArtifactsInput!$N$10+1,15,18,21,24,27,30)*(IF(Inputs!$B$39="pvp",MIN(15,15)/15,IF(AND(Inputs!$B$39&lt;&gt;"pvp",Inputs!$B$44&gt;0),MIN(15,Inputs!$B$44)/(Inputs!$B$44),0))),0)))&gt;=100),CHOOSE(ArtifactsInput!$N$42+1,40,48,56,64,72,80),0))))/100)*(((1+(((C1661=TRUE)*F1661*IF(AND(Inputs!$B$39&lt;&gt;"pvp",Inputs!$B$44&gt;0),(((R1661-1)*(Skills!Y21*(1+Inputs!$B$34/100))+MIN((Skills!Y21*(1+Inputs!$B$34/100)),MAX(0,Inputs!$B$44-((R1661-1)*Skills!D21))))/Inputs!$B$44),IF(Inputs!$B$39="pvp",MIN((Skills!Y21*(1+Inputs!$B$34/100)),15)/15,(Skills!Y21*(1+Inputs!$B$34/100))/Skills!D21)))+((C1668=TRUE)*(F1668-Calc!F28))+((C1658=TRUE)*(F1658-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1655=TRUE)*F1655*IF(AND(Inputs!$B$39&lt;&gt;"pvp",Inputs!$B$44&gt;0),(((R1655-1)*(Skills!Y15*(1+Inputs!$B$34/100))+MIN((Skills!Y15*(1+Inputs!$B$34/100)),MAX(0,Inputs!$B$44-((R1655-1)*Skills!D15))))/Inputs!$B$44),IF(Inputs!$B$39="pvp",MIN((Skills!Y15*(1+Inputs!$B$34/100)),15)/15,(Skills!Y15*(1+Inputs!$B$34/100))/Skills!D15)))/100)*(1+((C1646=TRUE)*F1646*B1674)/100))*B1682*(1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1645)</f>
        <v/>
      </c>
      <c r="L1645">
        <f>K1645*(MIN(Inputs!$B$22+((C1664=TRUE)*(F1664-Calc!F24)),(Inputs!$B$23+0+(IF(ArtifactsInput!$M$15,CHOOSE(ArtifactsInput!$N$15+1,25,30,35,40,45,50)/100*(Inputs!$B$11-Inputs!$B$11),0))))/100+(Inputs!$B$23+0+(IF(ArtifactsInput!$M$15,CHOOSE(ArtifactsInput!$N$15+1,25,30,35,40,45,50)/100*(Inputs!$B$11-Inputs!$B$11),0)))/100)/2</f>
        <v/>
      </c>
      <c r="M1645">
        <f>L1645*(1+(Inputs!$B$10+((C1666=TRUE)*(F1666-Calc!F26))+B1683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45">
        <f>L1645*(1-MIN((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1645*(MIN((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45">
        <f>(1-Summary!$B$11)*T1645+Summary!$B$11*V1645</f>
        <v/>
      </c>
      <c r="P1645">
        <f>IF(B1684=0,0,O1645/B1684)</f>
        <v/>
      </c>
      <c r="Q1645">
        <f>IFERROR(1/IF(Inputs!$B$39="pvp",15,MAX(0.1,Skills!D5-IF(Skills!E5=TRUE,Inputs!$B$32,0))),0)</f>
        <v/>
      </c>
      <c r="R1645">
        <f>IF(AND(Inputs!$B$39&lt;&gt;"pvp",Inputs!$B$44&gt;0),IF(MAX(0,Inputs!$B$44-B1685)&lt;=0,0,(INT(MAX(0,Inputs!$B$44-B1685)/IF(Inputs!$B$39="pvp",15,MAX(0.1,Skills!D5-IF(Skills!E5=TRUE,Inputs!$B$32,0))))+1)),0)</f>
        <v/>
      </c>
      <c r="S1645">
        <f>IFERROR(O1645/N1645,0)</f>
        <v/>
      </c>
      <c r="T1645">
        <f>IF(C1645,(H1645*N1645*IF(AND(Inputs!$B$39&lt;&gt;"pvp",Inputs!$B$44&gt;0),((Skills!G5*((R1645-1)*IF(Skills!H5&gt;0,Skills!I5/Skills!H5,1)+IF(Skills!H5&gt;0,MIN(Skills!I5,MAX(0,MAX(0,Inputs!$B$44-B1685)-((R1645-1)*IF(Inputs!$B$39="pvp",15,MAX(0.1,Skills!D5-IF(Skills!E5=TRUE,Inputs!$B$32,0))))))/Skills!H5,1)))/Inputs!$B$44),G1645*Q1645))*IF(Inputs!$B$39="pvp",1,1+(Inputs!$B$20+((C1667=TRUE)*(F1667-Calc!F27))+Skills!P5+B1681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Hunt"),CHOOSE(ArtifactsInput!$N$35+1,15,18,21,24,27,30)*(1-EXP(-(0.2*B1676)*5)),0)+IF(AND(ArtifactsInput!$M$22,Inputs!$B$4&lt;&gt;"Chapter Hunt"),CHOOSE(ArtifactsInput!$N$22+1,10,12,14,16,18,20)*((0*(((0.15*B1676*5))^0/1)+1*(((0.15*B1676*5))^1/1)+2*(((0.15*B1676*5))^2/2)+3*(((0.15*B1676*5))^3/6)+4*(((0.15*B1676*5))^4/24)+5*(((0.15*B1676*5))^5/120))/((((0.15*B1676*5))^0/1)+(((0.15*B1676*5))^1/1)+(((0.15*B1676*5))^2/2)+(((0.15*B1676*5))^3/6)+(((0.15*B1676*5))^4/24)+(((0.15*B1676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1645*(1-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1645*(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1645*(1-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1645*(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45">
        <f>INDEX(FactorTable!$B$2:$Y$301, MATCH(ROUND(MIN(300,MAX(1,U1644)),0), FactorTable!$A$2:$A$301,0), 22)</f>
        <v/>
      </c>
      <c r="V1645">
        <f>IF(C1645,(H1645*N1645*IF(AND(Inputs!$B$39&lt;&gt;"pvp",Inputs!$B$44&gt;0),((Skills!G5*((R1645-1)*IF(Skills!H5&gt;0,Skills!I5/Skills!H5,1)+IF(Skills!H5&gt;0,MIN(Skills!I5,MAX(0,MAX(0,Inputs!$B$44-B1685)-((R1645-1)*IF(Inputs!$B$39="pvp",15,MAX(0.1,Skills!D5-IF(Skills!E5=TRUE,Inputs!$B$32,0))))))/Skills!H5,1)))/Inputs!$B$44),G1645*Q1645))*IF(Inputs!$B$39="pvp",1,(1+(Inputs!$B$21+Skills!Q5+B1681+(IF(ArtifactsInput!$M$33,CHOOSE(ArtifactsInput!$N$33+1,30,36,42,48,54,60),0))+(IF(AND(ArtifactsInput!$M$35,Inputs!$B$4&lt;&gt;"Chapter Hunt"),CHOOSE(ArtifactsInput!$N$35+1,15,18,21,24,27,30)*(1-EXP(-(0.2*B1676)*5)),0)+IF(AND(ArtifactsInput!$M$22,Inputs!$B$4&lt;&gt;"Chapter Hunt"),CHOOSE(ArtifactsInput!$N$22+1,10,12,14,16,18,20)*((0*(((0.15*B1676*5))^0/1)+1*(((0.15*B1676*5))^1/1)+2*(((0.15*B1676*5))^2/2)+3*(((0.15*B1676*5))^3/6)+4*(((0.15*B1676*5))^4/24)+5*(((0.15*B1676*5))^5/120))/((((0.15*B1676*5))^0/1)+(((0.15*B1676*5))^1/1)+(((0.15*B1676*5))^2/2)+(((0.15*B1676*5))^3/6)+(((0.15*B1676*5))^4/24)+(((0.15*B1676*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46">
      <c r="A1646">
        <f>Skills!A6</f>
        <v/>
      </c>
      <c r="B1646">
        <f>Skills!B6</f>
        <v/>
      </c>
      <c r="C1646">
        <f>Inputs!$B$3&gt;=66</f>
        <v/>
      </c>
      <c r="D1646">
        <f>IF(Skills!C6=1,60+Inputs!$B$25+Inputs!$B$29,IF(Skills!C6=2,90+Inputs!$B$26+Inputs!$B$29,IF(Skills!C6=3,120+Inputs!$B$27+Inputs!$B$29,MAX(0,(Inputs!$B$3-100)*3)+Inputs!$B$28+Inputs!$B$29)))</f>
        <v/>
      </c>
      <c r="E1646">
        <f>INDEX(FactorTable!$B$2:$Y$301, MATCH(ROUND(MIN(300,MAX(1,D1646)),0), FactorTable!$A$2:$A$301,0), Skills!M6+1)</f>
        <v/>
      </c>
      <c r="F1646">
        <f>IF(Skills!N6=TRUE,(Skills!L6/10)*(E1646/1000),Skills!L6/10)+Skills!O6</f>
        <v/>
      </c>
      <c r="G1646">
        <f>Calc!G6</f>
        <v/>
      </c>
      <c r="H1646">
        <f>Calc!H6</f>
        <v/>
      </c>
      <c r="I1646">
        <f>IF(Skills!AA6&lt;&gt;"",1+(Skills!AA6/10)*(U1643/1000)/100,1)</f>
        <v/>
      </c>
      <c r="J1646" t="inlineStr"/>
      <c r="K1646" t="inlineStr"/>
      <c r="L1646" t="inlineStr"/>
      <c r="M1646" t="inlineStr"/>
      <c r="N1646" t="inlineStr"/>
      <c r="O1646">
        <f>(1-Summary!$B$11)*T1646+Summary!$B$11*V1646</f>
        <v/>
      </c>
      <c r="P1646">
        <f>IF(B1684=0,0,O1646/B1684)</f>
        <v/>
      </c>
      <c r="Q1646" t="n">
        <v>0</v>
      </c>
      <c r="R1646" t="n">
        <v>0</v>
      </c>
      <c r="S1646">
        <f>IFERROR(O1646/N1646,0)</f>
        <v/>
      </c>
      <c r="T1646" t="n">
        <v>0</v>
      </c>
      <c r="U1646">
        <f>290*U1645/1000</f>
        <v/>
      </c>
      <c r="V1646" t="n">
        <v>0</v>
      </c>
    </row>
    <row r="1647">
      <c r="A1647">
        <f>Skills!A7</f>
        <v/>
      </c>
      <c r="B1647">
        <f>Skills!B7</f>
        <v/>
      </c>
      <c r="C1647">
        <f>Inputs!$B$3&gt;=66</f>
        <v/>
      </c>
      <c r="D1647">
        <f>IF(Skills!C7=1,60+Inputs!$B$25+Inputs!$B$29,IF(Skills!C7=2,90+Inputs!$B$26+Inputs!$B$29,IF(Skills!C7=3,120+Inputs!$B$27+Inputs!$B$29,MAX(0,(Inputs!$B$3-100)*3)+Inputs!$B$28+Inputs!$B$29)))</f>
        <v/>
      </c>
      <c r="E1647">
        <f>INDEX(FactorTable!$B$2:$Y$301, MATCH(ROUND(MIN(300,MAX(1,D1647)),0), FactorTable!$A$2:$A$301,0), Skills!M7+1)</f>
        <v/>
      </c>
      <c r="F1647">
        <f>IF(Skills!N7=TRUE,(Skills!L7/10)*(E1647/1000),Skills!L7/10)+Skills!O7</f>
        <v/>
      </c>
      <c r="G1647">
        <f>Calc!G7</f>
        <v/>
      </c>
      <c r="H1647">
        <f>Calc!H7</f>
        <v/>
      </c>
      <c r="I1647">
        <f>IF(Skills!AA7&lt;&gt;"",1+(Skills!AA7/10)*(U1643/1000)/100,1)</f>
        <v/>
      </c>
      <c r="J1647" t="inlineStr"/>
      <c r="K1647" t="inlineStr"/>
      <c r="L1647" t="inlineStr"/>
      <c r="M1647" t="inlineStr"/>
      <c r="N1647" t="inlineStr"/>
      <c r="O1647">
        <f>(1-Summary!$B$11)*T1647+Summary!$B$11*V1647</f>
        <v/>
      </c>
      <c r="P1647">
        <f>IF(B1684=0,0,O1647/B1684)</f>
        <v/>
      </c>
      <c r="Q1647" t="n">
        <v>0</v>
      </c>
      <c r="R1647" t="n">
        <v>0</v>
      </c>
      <c r="S1647">
        <f>IFERROR(O1647/N1647,0)</f>
        <v/>
      </c>
      <c r="T1647" t="n">
        <v>0</v>
      </c>
      <c r="V1647" t="n">
        <v>0</v>
      </c>
    </row>
    <row r="1648">
      <c r="A1648">
        <f>Skills!A8</f>
        <v/>
      </c>
      <c r="B1648">
        <f>Skills!B8</f>
        <v/>
      </c>
      <c r="C1648">
        <f>Inputs!$B$3&gt;=69</f>
        <v/>
      </c>
      <c r="D1648">
        <f>IF(Skills!C8=1,60+Inputs!$B$25+Inputs!$B$29,IF(Skills!C8=2,90+Inputs!$B$26+Inputs!$B$29,IF(Skills!C8=3,120+Inputs!$B$27+Inputs!$B$29,MAX(0,(Inputs!$B$3-100)*3)+Inputs!$B$28+Inputs!$B$29)))</f>
        <v/>
      </c>
      <c r="E1648">
        <f>INDEX(FactorTable!$B$2:$Y$301, MATCH(ROUND(MIN(300,MAX(1,D1648)),0), FactorTable!$A$2:$A$301,0), Skills!M8+1)</f>
        <v/>
      </c>
      <c r="F1648">
        <f>IF(Skills!N8=TRUE,(Skills!L8/10)*(E1648/1000),Skills!L8/10)+Skills!O8</f>
        <v/>
      </c>
      <c r="G1648">
        <f>Calc!G8</f>
        <v/>
      </c>
      <c r="H1648">
        <f>Calc!H8</f>
        <v/>
      </c>
      <c r="I1648">
        <f>IF(Skills!AA8&lt;&gt;"",1+(Skills!AA8/10)*(U1643/1000)/100,1)</f>
        <v/>
      </c>
      <c r="J1648">
        <f>((Inputs!$B$6*(1+Inputs!$B$7/100))+(((Inputs!$B$12*(1+Inputs!$B$13/100))-(Inputs!$B$12*(1+Inputs!$B$13/100)))+0.25*(Inputs!$B$14-Inputs!$B$14))*(1+Inputs!$B$7/100))*(F1648/100)</f>
        <v/>
      </c>
      <c r="K1648">
        <f>J1648*(1+((Inputs!$B$12*(1+Inputs!$B$13/100))*0.01+Inputs!$B$14*0.0025)/100)*(1+Inputs!$B$15/100)*(1+Inputs!$B$16/100)*(5000/(6000+Inputs!$B$43*(1-(100*(1-(1-(Inputs!$B$19+0)/100)*(1-CHOOSE(ArtifactsInput!$N$40+1,5,6,7,8,9,10)/100)^(ArtifactsInput!$M$40-ArtifactsInput!$M$40)))/100)))*(1+(Inputs!$B$24+((C1670=TRUE)*(F1670-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1663=TRUE)*(F1663-Calc!F23))+(((IF(AND(ArtifactsInput!$M$42,((Inputs!$B$9+((C1665=TRUE)*(F1665-Calc!F25))+B1680+(ArtifactsInput!$M$24-ArtifactsInput!$M$24)*CHOOSE(ArtifactsInput!$N$24+1,10,12,14,16,18,20)+IF(ArtifactsInput!$M$10,CHOOSE(ArtifactsInput!$N$10+1,15,18,21,24,27,30)*(IF(Inputs!$B$39="pvp",MIN(15,15)/15,IF(AND(Inputs!$B$39&lt;&gt;"pvp",Inputs!$B$44&gt;0),MIN(15,Inputs!$B$44)/(Inputs!$B$44),0))),0)))&gt;=100),MIN(100,((Inputs!$B$9+((C1665=TRUE)*(F1665-Calc!F25))+B1680+(ArtifactsInput!$M$24-ArtifactsInput!$M$24)*CHOOSE(ArtifactsInput!$N$24+1,10,12,14,16,18,20)+IF(ArtifactsInput!$M$10,CHOOSE(ArtifactsInput!$N$10+1,15,18,21,24,27,30)*(IF(Inputs!$B$39="pvp",MIN(15,15)/15,IF(AND(Inputs!$B$39&lt;&gt;"pvp",Inputs!$B$44&gt;0),MIN(15,Inputs!$B$44)/(Inputs!$B$44),0))),0)))-100),0))*CHOOSE(ArtifactsInput!$N$42+1,0.6,0.72,0.84,0.96,1.08,1.2))),Inputs!$B$18+((C1669=TRUE)*(F1669-Calc!F29))+(IF(AND(ArtifactsInput!$M$42,((Inputs!$B$9+((C1665=TRUE)*(F1665-Calc!F25))+B1680+(ArtifactsInput!$M$24-ArtifactsInput!$M$24)*CHOOSE(ArtifactsInput!$N$24+1,10,12,14,16,18,20)+IF(ArtifactsInput!$M$10,CHOOSE(ArtifactsInput!$N$10+1,15,18,21,24,27,30)*(IF(Inputs!$B$39="pvp",MIN(15,15)/15,IF(AND(Inputs!$B$39&lt;&gt;"pvp",Inputs!$B$44&gt;0),MIN(15,Inputs!$B$44)/(Inputs!$B$44),0))),0)))&gt;=100),CHOOSE(ArtifactsInput!$N$42+1,40,48,56,64,72,80),0))))/100)*(((1+(((C1661=TRUE)*F1661*IF(AND(Inputs!$B$39&lt;&gt;"pvp",Inputs!$B$44&gt;0),(((R1661-1)*(Skills!Y21*(1+Inputs!$B$34/100))+MIN((Skills!Y21*(1+Inputs!$B$34/100)),MAX(0,Inputs!$B$44-((R1661-1)*Skills!D21))))/Inputs!$B$44),IF(Inputs!$B$39="pvp",MIN((Skills!Y21*(1+Inputs!$B$34/100)),15)/15,(Skills!Y21*(1+Inputs!$B$34/100))/Skills!D21)))+((C1668=TRUE)*(F1668-Calc!F28))+((C1658=TRUE)*(F1658-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1655=TRUE)*F1655*IF(AND(Inputs!$B$39&lt;&gt;"pvp",Inputs!$B$44&gt;0),(((R1655-1)*(Skills!Y15*(1+Inputs!$B$34/100))+MIN((Skills!Y15*(1+Inputs!$B$34/100)),MAX(0,Inputs!$B$44-((R1655-1)*Skills!D15))))/Inputs!$B$44),IF(Inputs!$B$39="pvp",MIN((Skills!Y15*(1+Inputs!$B$34/100)),15)/15,(Skills!Y15*(1+Inputs!$B$34/100))/Skills!D15)))/100)*(1+((C1646=TRUE)*F1646*B1674)/100))*B1682*(1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1648)</f>
        <v/>
      </c>
      <c r="L1648">
        <f>K1648*(MIN(Inputs!$B$22+((C1664=TRUE)*(F1664-Calc!F24)),(Inputs!$B$23+0+(IF(ArtifactsInput!$M$15,CHOOSE(ArtifactsInput!$N$15+1,25,30,35,40,45,50)/100*(Inputs!$B$11-Inputs!$B$11),0))))/100+(Inputs!$B$23+0+(IF(ArtifactsInput!$M$15,CHOOSE(ArtifactsInput!$N$15+1,25,30,35,40,45,50)/100*(Inputs!$B$11-Inputs!$B$11),0)))/100)/2</f>
        <v/>
      </c>
      <c r="M1648">
        <f>L1648*(1+(Inputs!$B$10+((C1666=TRUE)*(F1666-Calc!F26))+B1683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48">
        <f>L1648*(1-MIN((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1648*(MIN((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48">
        <f>(1-Summary!$B$11)*T1648+Summary!$B$11*V1648</f>
        <v/>
      </c>
      <c r="P1648">
        <f>IF(B1684=0,0,O1648/B1684)</f>
        <v/>
      </c>
      <c r="Q1648">
        <f>IFERROR(1/IF(Inputs!$B$39="pvp",15,MAX(0.1,Skills!D8-IF(Skills!E8=TRUE,Inputs!$B$32,0))),0)</f>
        <v/>
      </c>
      <c r="R1648">
        <f>IF(AND(Inputs!$B$39&lt;&gt;"pvp",Inputs!$B$44&gt;0),IF(MAX(0,Inputs!$B$44-B1685)&lt;=0,0,(INT(MAX(0,Inputs!$B$44-B1685)/IF(Inputs!$B$39="pvp",15,MAX(0.1,Skills!D8-IF(Skills!E8=TRUE,Inputs!$B$32,0))))+1)),0)</f>
        <v/>
      </c>
      <c r="S1648">
        <f>IFERROR(O1648/N1648,0)</f>
        <v/>
      </c>
      <c r="T1648">
        <f>IF(C1648,(H1648*N1648*IF(AND(Inputs!$B$39&lt;&gt;"pvp",Inputs!$B$44&gt;0),((Skills!G8*((R1648-1)*IF(Skills!H8&gt;0,Skills!I8/Skills!H8,1)+IF(Skills!H8&gt;0,MIN(Skills!I8,MAX(0,MAX(0,Inputs!$B$44-B1685)-((R1648-1)*IF(Inputs!$B$39="pvp",15,MAX(0.1,Skills!D8-IF(Skills!E8=TRUE,Inputs!$B$32,0))))))/Skills!H8,1)))/Inputs!$B$44),G1648*Q1648))*IF(Inputs!$B$39="pvp",1,1+(Inputs!$B$20+((C1667=TRUE)*(F1667-Calc!F27))+Skills!P8+B1681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Hunt"),CHOOSE(ArtifactsInput!$N$35+1,15,18,21,24,27,30)*(1-EXP(-(0.2*B1676)*5)),0)+IF(AND(ArtifactsInput!$M$22,Inputs!$B$4&lt;&gt;"Chapter Hunt"),CHOOSE(ArtifactsInput!$N$22+1,10,12,14,16,18,20)*((0*(((0.15*B1676*5))^0/1)+1*(((0.15*B1676*5))^1/1)+2*(((0.15*B1676*5))^2/2)+3*(((0.15*B1676*5))^3/6)+4*(((0.15*B1676*5))^4/24)+5*(((0.15*B1676*5))^5/120))/((((0.15*B1676*5))^0/1)+(((0.15*B1676*5))^1/1)+(((0.15*B1676*5))^2/2)+(((0.15*B1676*5))^3/6)+(((0.15*B1676*5))^4/24)+(((0.15*B1676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1648*(1-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1648*(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1648*(1-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1648*(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48">
        <f>IF(C1648,(H1648*N1648*IF(AND(Inputs!$B$39&lt;&gt;"pvp",Inputs!$B$44&gt;0),((Skills!G8*((R1648-1)*IF(Skills!H8&gt;0,Skills!I8/Skills!H8,1)+IF(Skills!H8&gt;0,MIN(Skills!I8,MAX(0,MAX(0,Inputs!$B$44-B1685)-((R1648-1)*IF(Inputs!$B$39="pvp",15,MAX(0.1,Skills!D8-IF(Skills!E8=TRUE,Inputs!$B$32,0))))))/Skills!H8,1)))/Inputs!$B$44),G1648*Q1648))*IF(Inputs!$B$39="pvp",1,(1+(Inputs!$B$21+Skills!Q8+B1681+(IF(ArtifactsInput!$M$33,CHOOSE(ArtifactsInput!$N$33+1,30,36,42,48,54,60),0))+(IF(AND(ArtifactsInput!$M$35,Inputs!$B$4&lt;&gt;"Chapter Hunt"),CHOOSE(ArtifactsInput!$N$35+1,15,18,21,24,27,30)*(1-EXP(-(0.2*B1676)*5)),0)+IF(AND(ArtifactsInput!$M$22,Inputs!$B$4&lt;&gt;"Chapter Hunt"),CHOOSE(ArtifactsInput!$N$22+1,10,12,14,16,18,20)*((0*(((0.15*B1676*5))^0/1)+1*(((0.15*B1676*5))^1/1)+2*(((0.15*B1676*5))^2/2)+3*(((0.15*B1676*5))^3/6)+4*(((0.15*B1676*5))^4/24)+5*(((0.15*B1676*5))^5/120))/((((0.15*B1676*5))^0/1)+(((0.15*B1676*5))^1/1)+(((0.15*B1676*5))^2/2)+(((0.15*B1676*5))^3/6)+(((0.15*B1676*5))^4/24)+(((0.15*B1676*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49">
      <c r="A1649">
        <f>Skills!A9</f>
        <v/>
      </c>
      <c r="B1649">
        <f>Skills!B9</f>
        <v/>
      </c>
      <c r="C1649">
        <f>Inputs!$B$3&gt;=72</f>
        <v/>
      </c>
      <c r="D1649">
        <f>IF(Skills!C9=1,60+Inputs!$B$25+Inputs!$B$29,IF(Skills!C9=2,90+Inputs!$B$26+Inputs!$B$29,IF(Skills!C9=3,120+Inputs!$B$27+Inputs!$B$29,MAX(0,(Inputs!$B$3-100)*3)+Inputs!$B$28+Inputs!$B$29)))</f>
        <v/>
      </c>
      <c r="E1649">
        <f>INDEX(FactorTable!$B$2:$Y$301, MATCH(ROUND(MIN(300,MAX(1,D1649)),0), FactorTable!$A$2:$A$301,0), Skills!M9+1)</f>
        <v/>
      </c>
      <c r="F1649">
        <f>IF(Skills!N9=TRUE,(Skills!L9/10)*(E1649/1000),Skills!L9/10)+Skills!O9</f>
        <v/>
      </c>
      <c r="G1649">
        <f>Calc!G9</f>
        <v/>
      </c>
      <c r="H1649">
        <f>Calc!H9</f>
        <v/>
      </c>
      <c r="I1649">
        <f>IF(Skills!AA9&lt;&gt;"",1+(Skills!AA9/10)*(U1643/1000)/100,1)</f>
        <v/>
      </c>
      <c r="J1649">
        <f>((Inputs!$B$6*(1+Inputs!$B$7/100))+(((Inputs!$B$12*(1+Inputs!$B$13/100))-(Inputs!$B$12*(1+Inputs!$B$13/100)))+0.25*(Inputs!$B$14-Inputs!$B$14))*(1+Inputs!$B$7/100))*(F1649/100)</f>
        <v/>
      </c>
      <c r="K1649">
        <f>J1649*(1+((Inputs!$B$12*(1+Inputs!$B$13/100))*0.01+Inputs!$B$14*0.0025)/100)*(1+Inputs!$B$15/100)*(1+Inputs!$B$16/100)*(5000/(6000+Inputs!$B$43*(1-(100*(1-(1-(Inputs!$B$19+0)/100)*(1-CHOOSE(ArtifactsInput!$N$40+1,5,6,7,8,9,10)/100)^(ArtifactsInput!$M$40-ArtifactsInput!$M$40)))/100)))*(1+(Inputs!$B$24+((C1670=TRUE)*(F1670-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1663=TRUE)*(F1663-Calc!F23))+(((IF(AND(ArtifactsInput!$M$42,((Inputs!$B$9+((C1665=TRUE)*(F1665-Calc!F25))+B1680+(ArtifactsInput!$M$24-ArtifactsInput!$M$24)*CHOOSE(ArtifactsInput!$N$24+1,10,12,14,16,18,20)+IF(ArtifactsInput!$M$10,CHOOSE(ArtifactsInput!$N$10+1,15,18,21,24,27,30)*(IF(Inputs!$B$39="pvp",MIN(15,15)/15,IF(AND(Inputs!$B$39&lt;&gt;"pvp",Inputs!$B$44&gt;0),MIN(15,Inputs!$B$44)/(Inputs!$B$44),0))),0)))&gt;=100),MIN(100,((Inputs!$B$9+((C1665=TRUE)*(F1665-Calc!F25))+B1680+(ArtifactsInput!$M$24-ArtifactsInput!$M$24)*CHOOSE(ArtifactsInput!$N$24+1,10,12,14,16,18,20)+IF(ArtifactsInput!$M$10,CHOOSE(ArtifactsInput!$N$10+1,15,18,21,24,27,30)*(IF(Inputs!$B$39="pvp",MIN(15,15)/15,IF(AND(Inputs!$B$39&lt;&gt;"pvp",Inputs!$B$44&gt;0),MIN(15,Inputs!$B$44)/(Inputs!$B$44),0))),0)))-100),0))*CHOOSE(ArtifactsInput!$N$42+1,0.6,0.72,0.84,0.96,1.08,1.2))),Inputs!$B$18+((C1669=TRUE)*(F1669-Calc!F29))+(IF(AND(ArtifactsInput!$M$42,((Inputs!$B$9+((C1665=TRUE)*(F1665-Calc!F25))+B1680+(ArtifactsInput!$M$24-ArtifactsInput!$M$24)*CHOOSE(ArtifactsInput!$N$24+1,10,12,14,16,18,20)+IF(ArtifactsInput!$M$10,CHOOSE(ArtifactsInput!$N$10+1,15,18,21,24,27,30)*(IF(Inputs!$B$39="pvp",MIN(15,15)/15,IF(AND(Inputs!$B$39&lt;&gt;"pvp",Inputs!$B$44&gt;0),MIN(15,Inputs!$B$44)/(Inputs!$B$44),0))),0)))&gt;=100),CHOOSE(ArtifactsInput!$N$42+1,40,48,56,64,72,80),0))))/100)*(((1+(((C1661=TRUE)*F1661*IF(AND(Inputs!$B$39&lt;&gt;"pvp",Inputs!$B$44&gt;0),(((R1661-1)*(Skills!Y21*(1+Inputs!$B$34/100))+MIN((Skills!Y21*(1+Inputs!$B$34/100)),MAX(0,Inputs!$B$44-((R1661-1)*Skills!D21))))/Inputs!$B$44),IF(Inputs!$B$39="pvp",MIN((Skills!Y21*(1+Inputs!$B$34/100)),15)/15,(Skills!Y21*(1+Inputs!$B$34/100))/Skills!D21)))+((C1668=TRUE)*(F1668-Calc!F28))+((C1658=TRUE)*(F1658-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1655=TRUE)*F1655*IF(AND(Inputs!$B$39&lt;&gt;"pvp",Inputs!$B$44&gt;0),(((R1655-1)*(Skills!Y15*(1+Inputs!$B$34/100))+MIN((Skills!Y15*(1+Inputs!$B$34/100)),MAX(0,Inputs!$B$44-((R1655-1)*Skills!D15))))/Inputs!$B$44),IF(Inputs!$B$39="pvp",MIN((Skills!Y15*(1+Inputs!$B$34/100)),15)/15,(Skills!Y15*(1+Inputs!$B$34/100))/Skills!D15)))/100)*(1+((C1646=TRUE)*F1646*B1674)/100))*B1682*(1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1649)</f>
        <v/>
      </c>
      <c r="L1649">
        <f>K1649*(MIN(Inputs!$B$22+((C1664=TRUE)*(F1664-Calc!F24)),(Inputs!$B$23+0+(IF(ArtifactsInput!$M$15,CHOOSE(ArtifactsInput!$N$15+1,25,30,35,40,45,50)/100*(Inputs!$B$11-Inputs!$B$11),0))))/100+(Inputs!$B$23+0+(IF(ArtifactsInput!$M$15,CHOOSE(ArtifactsInput!$N$15+1,25,30,35,40,45,50)/100*(Inputs!$B$11-Inputs!$B$11),0)))/100)/2</f>
        <v/>
      </c>
      <c r="M1649">
        <f>L1649*(1+(Inputs!$B$10+((C1666=TRUE)*(F1666-Calc!F26))+B1683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49">
        <f>L1649*(1-MIN((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1649*(MIN((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49">
        <f>(1-Summary!$B$11)*T1649+Summary!$B$11*V1649</f>
        <v/>
      </c>
      <c r="P1649">
        <f>IF(B1684=0,0,O1649/B1684)</f>
        <v/>
      </c>
      <c r="Q1649">
        <f>IFERROR(1/IF(Inputs!$B$39="pvp",15,MAX(0.1,Skills!D9-IF(Skills!E9=TRUE,Inputs!$B$32,0))),0)</f>
        <v/>
      </c>
      <c r="R1649">
        <f>IF(AND(Inputs!$B$39&lt;&gt;"pvp",Inputs!$B$44&gt;0),IF(MAX(0,Inputs!$B$44-B1685)&lt;=0,0,(INT(MAX(0,Inputs!$B$44-B1685)/IF(Inputs!$B$39="pvp",15,MAX(0.1,Skills!D9-IF(Skills!E9=TRUE,Inputs!$B$32,0))))+1)),0)</f>
        <v/>
      </c>
      <c r="S1649">
        <f>IFERROR(O1649/N1649,0)</f>
        <v/>
      </c>
      <c r="T1649">
        <f>IF(C1649,(H1649*N1649*IF(AND(Inputs!$B$39&lt;&gt;"pvp",Inputs!$B$44&gt;0),((Skills!G9*((R1649-1)*IF(Skills!H9&gt;0,Skills!I9/Skills!H9,1)+IF(Skills!H9&gt;0,MIN(Skills!I9,MAX(0,MAX(0,Inputs!$B$44-B1685)-((R1649-1)*IF(Inputs!$B$39="pvp",15,MAX(0.1,Skills!D9-IF(Skills!E9=TRUE,Inputs!$B$32,0))))))/Skills!H9,1)))/Inputs!$B$44),G1649*Q1649))*IF(Inputs!$B$39="pvp",1,1+(Inputs!$B$20+((C1667=TRUE)*(F1667-Calc!F27))+Skills!P9+B1681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Hunt"),CHOOSE(ArtifactsInput!$N$35+1,15,18,21,24,27,30)*(1-EXP(-(0.2*B1676)*5)),0)+IF(AND(ArtifactsInput!$M$22,Inputs!$B$4&lt;&gt;"Chapter Hunt"),CHOOSE(ArtifactsInput!$N$22+1,10,12,14,16,18,20)*((0*(((0.15*B1676*5))^0/1)+1*(((0.15*B1676*5))^1/1)+2*(((0.15*B1676*5))^2/2)+3*(((0.15*B1676*5))^3/6)+4*(((0.15*B1676*5))^4/24)+5*(((0.15*B1676*5))^5/120))/((((0.15*B1676*5))^0/1)+(((0.15*B1676*5))^1/1)+(((0.15*B1676*5))^2/2)+(((0.15*B1676*5))^3/6)+(((0.15*B1676*5))^4/24)+(((0.15*B1676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1649*(1-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1649*(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1649*(1-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1649*(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49">
        <f>IF(C1649,(H1649*N1649*IF(AND(Inputs!$B$39&lt;&gt;"pvp",Inputs!$B$44&gt;0),((Skills!G9*((R1649-1)*IF(Skills!H9&gt;0,Skills!I9/Skills!H9,1)+IF(Skills!H9&gt;0,MIN(Skills!I9,MAX(0,MAX(0,Inputs!$B$44-B1685)-((R1649-1)*IF(Inputs!$B$39="pvp",15,MAX(0.1,Skills!D9-IF(Skills!E9=TRUE,Inputs!$B$32,0))))))/Skills!H9,1)))/Inputs!$B$44),G1649*Q1649))*IF(Inputs!$B$39="pvp",1,(1+(Inputs!$B$21+Skills!Q9+B1681+(IF(ArtifactsInput!$M$33,CHOOSE(ArtifactsInput!$N$33+1,30,36,42,48,54,60),0))+(IF(AND(ArtifactsInput!$M$35,Inputs!$B$4&lt;&gt;"Chapter Hunt"),CHOOSE(ArtifactsInput!$N$35+1,15,18,21,24,27,30)*(1-EXP(-(0.2*B1676)*5)),0)+IF(AND(ArtifactsInput!$M$22,Inputs!$B$4&lt;&gt;"Chapter Hunt"),CHOOSE(ArtifactsInput!$N$22+1,10,12,14,16,18,20)*((0*(((0.15*B1676*5))^0/1)+1*(((0.15*B1676*5))^1/1)+2*(((0.15*B1676*5))^2/2)+3*(((0.15*B1676*5))^3/6)+4*(((0.15*B1676*5))^4/24)+5*(((0.15*B1676*5))^5/120))/((((0.15*B1676*5))^0/1)+(((0.15*B1676*5))^1/1)+(((0.15*B1676*5))^2/2)+(((0.15*B1676*5))^3/6)+(((0.15*B1676*5))^4/24)+(((0.15*B1676*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50">
      <c r="A1650">
        <f>Skills!A10</f>
        <v/>
      </c>
      <c r="B1650">
        <f>Skills!B10</f>
        <v/>
      </c>
      <c r="C1650">
        <f>Inputs!$B$3&gt;=117</f>
        <v/>
      </c>
      <c r="D1650">
        <f>IF(Skills!C10=1,60+Inputs!$B$25+Inputs!$B$29,IF(Skills!C10=2,90+Inputs!$B$26+Inputs!$B$29,IF(Skills!C10=3,120+Inputs!$B$27+Inputs!$B$29,MAX(0,(Inputs!$B$3-100)*3)+Inputs!$B$28+Inputs!$B$29)))</f>
        <v/>
      </c>
      <c r="E1650">
        <f>INDEX(FactorTable!$B$2:$Y$301, MATCH(ROUND(MIN(300,MAX(1,D1650)),0), FactorTable!$A$2:$A$301,0), Skills!M10+1)</f>
        <v/>
      </c>
      <c r="F1650">
        <f>IF(Skills!N10=TRUE,(Skills!L10/10)*(E1650/1000),Skills!L10/10)+Skills!O10</f>
        <v/>
      </c>
      <c r="G1650">
        <f>Calc!G10</f>
        <v/>
      </c>
      <c r="H1650">
        <f>Calc!H10</f>
        <v/>
      </c>
      <c r="I1650">
        <f>IF(Skills!AA10&lt;&gt;"",1+(Skills!AA10/10)*(U1643/1000)/100,1)</f>
        <v/>
      </c>
      <c r="J1650">
        <f>((Inputs!$B$6*(1+Inputs!$B$7/100))+(((Inputs!$B$12*(1+Inputs!$B$13/100))-(Inputs!$B$12*(1+Inputs!$B$13/100)))+0.25*(Inputs!$B$14-Inputs!$B$14))*(1+Inputs!$B$7/100))*(F1650/100)</f>
        <v/>
      </c>
      <c r="K1650">
        <f>J1650*(1+((Inputs!$B$12*(1+Inputs!$B$13/100))*0.01+Inputs!$B$14*0.0025)/100)*(1+Inputs!$B$15/100)*(1+Inputs!$B$16/100)*(5000/(6000+Inputs!$B$43*(1-(100*(1-(1-(Inputs!$B$19+0)/100)*(1-CHOOSE(ArtifactsInput!$N$40+1,5,6,7,8,9,10)/100)^(ArtifactsInput!$M$40-ArtifactsInput!$M$40)))/100)))*(1+(Inputs!$B$24+((C1670=TRUE)*(F1670-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1663=TRUE)*(F1663-Calc!F23))+(((IF(AND(ArtifactsInput!$M$42,((Inputs!$B$9+((C1665=TRUE)*(F1665-Calc!F25))+B1680+(ArtifactsInput!$M$24-ArtifactsInput!$M$24)*CHOOSE(ArtifactsInput!$N$24+1,10,12,14,16,18,20)+IF(ArtifactsInput!$M$10,CHOOSE(ArtifactsInput!$N$10+1,15,18,21,24,27,30)*(IF(Inputs!$B$39="pvp",MIN(15,15)/15,IF(AND(Inputs!$B$39&lt;&gt;"pvp",Inputs!$B$44&gt;0),MIN(15,Inputs!$B$44)/(Inputs!$B$44),0))),0)))&gt;=100),MIN(100,((Inputs!$B$9+((C1665=TRUE)*(F1665-Calc!F25))+B1680+(ArtifactsInput!$M$24-ArtifactsInput!$M$24)*CHOOSE(ArtifactsInput!$N$24+1,10,12,14,16,18,20)+IF(ArtifactsInput!$M$10,CHOOSE(ArtifactsInput!$N$10+1,15,18,21,24,27,30)*(IF(Inputs!$B$39="pvp",MIN(15,15)/15,IF(AND(Inputs!$B$39&lt;&gt;"pvp",Inputs!$B$44&gt;0),MIN(15,Inputs!$B$44)/(Inputs!$B$44),0))),0)))-100),0))*CHOOSE(ArtifactsInput!$N$42+1,0.6,0.72,0.84,0.96,1.08,1.2))),Inputs!$B$18+((C1669=TRUE)*(F1669-Calc!F29))+(IF(AND(ArtifactsInput!$M$42,((Inputs!$B$9+((C1665=TRUE)*(F1665-Calc!F25))+B1680+(ArtifactsInput!$M$24-ArtifactsInput!$M$24)*CHOOSE(ArtifactsInput!$N$24+1,10,12,14,16,18,20)+IF(ArtifactsInput!$M$10,CHOOSE(ArtifactsInput!$N$10+1,15,18,21,24,27,30)*(IF(Inputs!$B$39="pvp",MIN(15,15)/15,IF(AND(Inputs!$B$39&lt;&gt;"pvp",Inputs!$B$44&gt;0),MIN(15,Inputs!$B$44)/(Inputs!$B$44),0))),0)))&gt;=100),CHOOSE(ArtifactsInput!$N$42+1,40,48,56,64,72,80),0))))/100)*(((1+(((C1661=TRUE)*F1661*IF(AND(Inputs!$B$39&lt;&gt;"pvp",Inputs!$B$44&gt;0),(((R1661-1)*(Skills!Y21*(1+Inputs!$B$34/100))+MIN((Skills!Y21*(1+Inputs!$B$34/100)),MAX(0,Inputs!$B$44-((R1661-1)*Skills!D21))))/Inputs!$B$44),IF(Inputs!$B$39="pvp",MIN((Skills!Y21*(1+Inputs!$B$34/100)),15)/15,(Skills!Y21*(1+Inputs!$B$34/100))/Skills!D21)))+((C1668=TRUE)*(F1668-Calc!F28))+((C1658=TRUE)*(F1658-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1655=TRUE)*F1655*IF(AND(Inputs!$B$39&lt;&gt;"pvp",Inputs!$B$44&gt;0),(((R1655-1)*(Skills!Y15*(1+Inputs!$B$34/100))+MIN((Skills!Y15*(1+Inputs!$B$34/100)),MAX(0,Inputs!$B$44-((R1655-1)*Skills!D15))))/Inputs!$B$44),IF(Inputs!$B$39="pvp",MIN((Skills!Y15*(1+Inputs!$B$34/100)),15)/15,(Skills!Y15*(1+Inputs!$B$34/100))/Skills!D15)))/100)*(1+((C1646=TRUE)*F1646*B1674)/100))*B1682*(1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1650)</f>
        <v/>
      </c>
      <c r="L1650">
        <f>K1650*(MIN(Inputs!$B$22+((C1664=TRUE)*(F1664-Calc!F24)),(Inputs!$B$23+0+(IF(ArtifactsInput!$M$15,CHOOSE(ArtifactsInput!$N$15+1,25,30,35,40,45,50)/100*(Inputs!$B$11-Inputs!$B$11),0))))/100+(Inputs!$B$23+0+(IF(ArtifactsInput!$M$15,CHOOSE(ArtifactsInput!$N$15+1,25,30,35,40,45,50)/100*(Inputs!$B$11-Inputs!$B$11),0)))/100)/2</f>
        <v/>
      </c>
      <c r="M1650">
        <f>L1650*(1+(Inputs!$B$10+((C1666=TRUE)*(F1666-Calc!F26))+B1683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50">
        <f>L1650*(1-MIN((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1650*(MIN((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50">
        <f>(1-Summary!$B$11)*T1650+Summary!$B$11*V1650</f>
        <v/>
      </c>
      <c r="P1650">
        <f>IF(B1684=0,0,O1650/B1684)</f>
        <v/>
      </c>
      <c r="Q1650" t="n">
        <v>0</v>
      </c>
      <c r="R1650" t="n">
        <v>0</v>
      </c>
      <c r="S1650" t="n">
        <v>0</v>
      </c>
      <c r="T1650">
        <f>IF(C1650,(0.2*SUMPRODUCT((Skills!Z2:Z31=TRUE)*(C1642:C1671=TRUE)*S1642:S1671)*N1650)*IF(Inputs!$B$39="pvp",1,1+(Inputs!$B$20+((C1667=TRUE)*(F1667-Calc!F27))+Skills!P10+B1681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Hunt"),CHOOSE(ArtifactsInput!$N$35+1,15,18,21,24,27,30)*(1-EXP(-(0.2*B1676)*5)),0)+IF(AND(ArtifactsInput!$M$22,Inputs!$B$4&lt;&gt;"Chapter Hunt"),CHOOSE(ArtifactsInput!$N$22+1,10,12,14,16,18,20)*((0*(((0.15*B1676*5))^0/1)+1*(((0.15*B1676*5))^1/1)+2*(((0.15*B1676*5))^2/2)+3*(((0.15*B1676*5))^3/6)+4*(((0.15*B1676*5))^4/24)+5*(((0.15*B1676*5))^5/120))/((((0.15*B1676*5))^0/1)+(((0.15*B1676*5))^1/1)+(((0.15*B1676*5))^2/2)+(((0.15*B1676*5))^3/6)+(((0.15*B1676*5))^4/24)+(((0.15*B1676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1650*(1-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1650*(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1650*(1-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1650*(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50">
        <f>IF(C1650,(0.2*SUMPRODUCT((Skills!Z2:Z31=TRUE)*(C1642:C1671=TRUE)*S1642:S1671)*N1650)*IF(Inputs!$B$39="pvp",1,(1+(Inputs!$B$21+Skills!Q10+B1681+(IF(ArtifactsInput!$M$33,CHOOSE(ArtifactsInput!$N$33+1,30,36,42,48,54,60),0))+(IF(AND(ArtifactsInput!$M$35,Inputs!$B$4&lt;&gt;"Chapter Hunt"),CHOOSE(ArtifactsInput!$N$35+1,15,18,21,24,27,30)*(1-EXP(-(0.2*B1676)*5)),0)+IF(AND(ArtifactsInput!$M$22,Inputs!$B$4&lt;&gt;"Chapter Hunt"),CHOOSE(ArtifactsInput!$N$22+1,10,12,14,16,18,20)*((0*(((0.15*B1676*5))^0/1)+1*(((0.15*B1676*5))^1/1)+2*(((0.15*B1676*5))^2/2)+3*(((0.15*B1676*5))^3/6)+4*(((0.15*B1676*5))^4/24)+5*(((0.15*B1676*5))^5/120))/((((0.15*B1676*5))^0/1)+(((0.15*B1676*5))^1/1)+(((0.15*B1676*5))^2/2)+(((0.15*B1676*5))^3/6)+(((0.15*B1676*5))^4/24)+(((0.15*B1676*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51">
      <c r="A1651">
        <f>Skills!A11</f>
        <v/>
      </c>
      <c r="B1651">
        <f>Skills!B11</f>
        <v/>
      </c>
      <c r="C1651">
        <f>Inputs!$B$3&gt;=60</f>
        <v/>
      </c>
      <c r="D1651">
        <f>IF(Skills!C11=1,60+Inputs!$B$25+Inputs!$B$29,IF(Skills!C11=2,90+Inputs!$B$26+Inputs!$B$29,IF(Skills!C11=3,120+Inputs!$B$27+Inputs!$B$29,MAX(0,(Inputs!$B$3-100)*3)+Inputs!$B$28+Inputs!$B$29)))</f>
        <v/>
      </c>
      <c r="E1651">
        <f>INDEX(FactorTable!$B$2:$Y$301, MATCH(ROUND(MIN(300,MAX(1,D1651)),0), FactorTable!$A$2:$A$301,0), Skills!M11+1)</f>
        <v/>
      </c>
      <c r="F1651">
        <f>IF(Skills!N11=TRUE,(Skills!L11/10)*(E1651/1000),Skills!L11/10)+Skills!O11</f>
        <v/>
      </c>
      <c r="G1651">
        <f>Calc!G11</f>
        <v/>
      </c>
      <c r="H1651">
        <f>Calc!H11</f>
        <v/>
      </c>
      <c r="I1651">
        <f>IF(Skills!AA11&lt;&gt;"",1+(Skills!AA11/10)*(U1643/1000)/100,1)</f>
        <v/>
      </c>
      <c r="J1651" t="inlineStr"/>
      <c r="K1651" t="inlineStr"/>
      <c r="L1651" t="inlineStr"/>
      <c r="M1651" t="inlineStr"/>
      <c r="N1651" t="inlineStr"/>
      <c r="O1651">
        <f>(1-Summary!$B$11)*T1651+Summary!$B$11*V1651</f>
        <v/>
      </c>
      <c r="P1651">
        <f>IF(B1684=0,0,O1651/B1684)</f>
        <v/>
      </c>
      <c r="Q1651" t="n">
        <v>0</v>
      </c>
      <c r="R1651" t="n">
        <v>0</v>
      </c>
      <c r="S1651">
        <f>IFERROR(O1651/N1651,0)</f>
        <v/>
      </c>
      <c r="T1651" t="n">
        <v>0</v>
      </c>
      <c r="V1651" t="n">
        <v>0</v>
      </c>
    </row>
    <row r="1652">
      <c r="A1652">
        <f>Skills!A12</f>
        <v/>
      </c>
      <c r="B1652">
        <f>Skills!B12</f>
        <v/>
      </c>
      <c r="C1652">
        <f>Inputs!$B$3&gt;=103</f>
        <v/>
      </c>
      <c r="D1652">
        <f>IF(Skills!C12=1,60+Inputs!$B$25+Inputs!$B$29,IF(Skills!C12=2,90+Inputs!$B$26+Inputs!$B$29,IF(Skills!C12=3,120+Inputs!$B$27+Inputs!$B$29,MAX(0,(Inputs!$B$3-100)*3)+Inputs!$B$28+Inputs!$B$29)))</f>
        <v/>
      </c>
      <c r="E1652">
        <f>INDEX(FactorTable!$B$2:$Y$301, MATCH(ROUND(MIN(300,MAX(1,D1652)),0), FactorTable!$A$2:$A$301,0), Skills!M12+1)</f>
        <v/>
      </c>
      <c r="F1652">
        <f>IF(Skills!N12=TRUE,(Skills!L12/10)*(E1652/1000),Skills!L12/10)+Skills!O12</f>
        <v/>
      </c>
      <c r="G1652">
        <f>Calc!G12</f>
        <v/>
      </c>
      <c r="H1652">
        <f>Calc!H12</f>
        <v/>
      </c>
      <c r="I1652">
        <f>IF(Skills!AA12&lt;&gt;"",1+(Skills!AA12/10)*(U1643/1000)/100,1)</f>
        <v/>
      </c>
      <c r="J1652">
        <f>((Inputs!$B$6*(1+Inputs!$B$7/100))+(((Inputs!$B$12*(1+Inputs!$B$13/100))-(Inputs!$B$12*(1+Inputs!$B$13/100)))+0.25*(Inputs!$B$14-Inputs!$B$14))*(1+Inputs!$B$7/100))*(F1652/100)</f>
        <v/>
      </c>
      <c r="K1652">
        <f>J1652*(1+((Inputs!$B$12*(1+Inputs!$B$13/100))*0.01+Inputs!$B$14*0.0025)/100)*(1+Inputs!$B$15/100)*(1+Inputs!$B$16/100)*(5000/(6000+Inputs!$B$43*(1-(100*(1-(1-(Inputs!$B$19+0)/100)*(1-CHOOSE(ArtifactsInput!$N$40+1,5,6,7,8,9,10)/100)^(ArtifactsInput!$M$40-ArtifactsInput!$M$40)))/100)))*(1+(Inputs!$B$24+((C1670=TRUE)*(F1670-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1663=TRUE)*(F1663-Calc!F23))+(((IF(AND(ArtifactsInput!$M$42,((Inputs!$B$9+((C1665=TRUE)*(F1665-Calc!F25))+B1680+(ArtifactsInput!$M$24-ArtifactsInput!$M$24)*CHOOSE(ArtifactsInput!$N$24+1,10,12,14,16,18,20)+IF(ArtifactsInput!$M$10,CHOOSE(ArtifactsInput!$N$10+1,15,18,21,24,27,30)*(IF(Inputs!$B$39="pvp",MIN(15,15)/15,IF(AND(Inputs!$B$39&lt;&gt;"pvp",Inputs!$B$44&gt;0),MIN(15,Inputs!$B$44)/(Inputs!$B$44),0))),0)))&gt;=100),MIN(100,((Inputs!$B$9+((C1665=TRUE)*(F1665-Calc!F25))+B1680+(ArtifactsInput!$M$24-ArtifactsInput!$M$24)*CHOOSE(ArtifactsInput!$N$24+1,10,12,14,16,18,20)+IF(ArtifactsInput!$M$10,CHOOSE(ArtifactsInput!$N$10+1,15,18,21,24,27,30)*(IF(Inputs!$B$39="pvp",MIN(15,15)/15,IF(AND(Inputs!$B$39&lt;&gt;"pvp",Inputs!$B$44&gt;0),MIN(15,Inputs!$B$44)/(Inputs!$B$44),0))),0)))-100),0))*CHOOSE(ArtifactsInput!$N$42+1,0.6,0.72,0.84,0.96,1.08,1.2))),Inputs!$B$18+((C1669=TRUE)*(F1669-Calc!F29))+(IF(AND(ArtifactsInput!$M$42,((Inputs!$B$9+((C1665=TRUE)*(F1665-Calc!F25))+B1680+(ArtifactsInput!$M$24-ArtifactsInput!$M$24)*CHOOSE(ArtifactsInput!$N$24+1,10,12,14,16,18,20)+IF(ArtifactsInput!$M$10,CHOOSE(ArtifactsInput!$N$10+1,15,18,21,24,27,30)*(IF(Inputs!$B$39="pvp",MIN(15,15)/15,IF(AND(Inputs!$B$39&lt;&gt;"pvp",Inputs!$B$44&gt;0),MIN(15,Inputs!$B$44)/(Inputs!$B$44),0))),0)))&gt;=100),CHOOSE(ArtifactsInput!$N$42+1,40,48,56,64,72,80),0))))/100)*(((1+(((C1661=TRUE)*F1661*IF(AND(Inputs!$B$39&lt;&gt;"pvp",Inputs!$B$44&gt;0),(((R1661-1)*(Skills!Y21*(1+Inputs!$B$34/100))+MIN((Skills!Y21*(1+Inputs!$B$34/100)),MAX(0,Inputs!$B$44-((R1661-1)*Skills!D21))))/Inputs!$B$44),IF(Inputs!$B$39="pvp",MIN((Skills!Y21*(1+Inputs!$B$34/100)),15)/15,(Skills!Y21*(1+Inputs!$B$34/100))/Skills!D21)))+((C1668=TRUE)*(F1668-Calc!F28))+((C1658=TRUE)*(F1658-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1655=TRUE)*F1655*IF(AND(Inputs!$B$39&lt;&gt;"pvp",Inputs!$B$44&gt;0),(((R1655-1)*(Skills!Y15*(1+Inputs!$B$34/100))+MIN((Skills!Y15*(1+Inputs!$B$34/100)),MAX(0,Inputs!$B$44-((R1655-1)*Skills!D15))))/Inputs!$B$44),IF(Inputs!$B$39="pvp",MIN((Skills!Y15*(1+Inputs!$B$34/100)),15)/15,(Skills!Y15*(1+Inputs!$B$34/100))/Skills!D15)))/100)*(1+((C1646=TRUE)*F1646*B1674)/100))*B1682*(1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1652)</f>
        <v/>
      </c>
      <c r="L1652">
        <f>K1652*(MIN(Inputs!$B$22+((C1664=TRUE)*(F1664-Calc!F24)),(Inputs!$B$23+0+(IF(ArtifactsInput!$M$15,CHOOSE(ArtifactsInput!$N$15+1,25,30,35,40,45,50)/100*(Inputs!$B$11-Inputs!$B$11),0))))/100+(Inputs!$B$23+0+(IF(ArtifactsInput!$M$15,CHOOSE(ArtifactsInput!$N$15+1,25,30,35,40,45,50)/100*(Inputs!$B$11-Inputs!$B$11),0)))/100)/2</f>
        <v/>
      </c>
      <c r="M1652">
        <f>L1652*(1+(Inputs!$B$10+((C1666=TRUE)*(F1666-Calc!F26))+B1683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52">
        <f>L1652*(1-MIN((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1652*(MIN((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52">
        <f>(1-Summary!$B$11)*T1652+Summary!$B$11*V1652</f>
        <v/>
      </c>
      <c r="P1652">
        <f>IF(B1684=0,0,O1652/B1684)</f>
        <v/>
      </c>
      <c r="Q1652">
        <f>IFERROR(1/IF(Inputs!$B$39="pvp",15,MAX(0.1,Skills!D12-IF(Skills!E12=TRUE,Inputs!$B$32,0))),0)</f>
        <v/>
      </c>
      <c r="R1652">
        <f>IF(AND(Inputs!$B$39&lt;&gt;"pvp",Inputs!$B$44&gt;0),IF(MAX(0,Inputs!$B$44-B1685)&lt;=0,0,(INT(MAX(0,Inputs!$B$44-B1685)/IF(Inputs!$B$39="pvp",15,MAX(0.1,Skills!D12-IF(Skills!E12=TRUE,Inputs!$B$32,0))))+1)),0)</f>
        <v/>
      </c>
      <c r="S1652">
        <f>IFERROR(O1652/N1652,0)</f>
        <v/>
      </c>
      <c r="T1652">
        <f>IF(C1652,(H1652*N1652*IF(AND(Inputs!$B$39&lt;&gt;"pvp",Inputs!$B$44&gt;0),((Skills!G12*((R1652-1)*IF(Skills!H12&gt;0,Skills!I12/Skills!H12,1)+IF(Skills!H12&gt;0,MIN(Skills!I12,MAX(0,MAX(0,Inputs!$B$44-B1685)-((R1652-1)*IF(Inputs!$B$39="pvp",15,MAX(0.1,Skills!D12-IF(Skills!E12=TRUE,Inputs!$B$32,0))))))/Skills!H12,1)))/Inputs!$B$44),G1652*Q1652))*IF(Inputs!$B$39="pvp",1,1+(Inputs!$B$20+((C1667=TRUE)*(F1667-Calc!F27))+Skills!P12+B1681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Hunt"),CHOOSE(ArtifactsInput!$N$35+1,15,18,21,24,27,30)*(1-EXP(-(0.2*B1676)*5)),0)+IF(AND(ArtifactsInput!$M$22,Inputs!$B$4&lt;&gt;"Chapter Hunt"),CHOOSE(ArtifactsInput!$N$22+1,10,12,14,16,18,20)*((0*(((0.15*B1676*5))^0/1)+1*(((0.15*B1676*5))^1/1)+2*(((0.15*B1676*5))^2/2)+3*(((0.15*B1676*5))^3/6)+4*(((0.15*B1676*5))^4/24)+5*(((0.15*B1676*5))^5/120))/((((0.15*B1676*5))^0/1)+(((0.15*B1676*5))^1/1)+(((0.15*B1676*5))^2/2)+(((0.15*B1676*5))^3/6)+(((0.15*B1676*5))^4/24)+(((0.15*B1676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1652*(1-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1652*(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1652*(1-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1652*(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52">
        <f>IF(C1652,(H1652*N1652*IF(AND(Inputs!$B$39&lt;&gt;"pvp",Inputs!$B$44&gt;0),((Skills!G12*((R1652-1)*IF(Skills!H12&gt;0,Skills!I12/Skills!H12,1)+IF(Skills!H12&gt;0,MIN(Skills!I12,MAX(0,MAX(0,Inputs!$B$44-B1685)-((R1652-1)*IF(Inputs!$B$39="pvp",15,MAX(0.1,Skills!D12-IF(Skills!E12=TRUE,Inputs!$B$32,0))))))/Skills!H12,1)))/Inputs!$B$44),G1652*Q1652))*IF(Inputs!$B$39="pvp",1,(1+(Inputs!$B$21+Skills!Q12+B1681+(IF(ArtifactsInput!$M$33,CHOOSE(ArtifactsInput!$N$33+1,30,36,42,48,54,60),0))+(IF(AND(ArtifactsInput!$M$35,Inputs!$B$4&lt;&gt;"Chapter Hunt"),CHOOSE(ArtifactsInput!$N$35+1,15,18,21,24,27,30)*(1-EXP(-(0.2*B1676)*5)),0)+IF(AND(ArtifactsInput!$M$22,Inputs!$B$4&lt;&gt;"Chapter Hunt"),CHOOSE(ArtifactsInput!$N$22+1,10,12,14,16,18,20)*((0*(((0.15*B1676*5))^0/1)+1*(((0.15*B1676*5))^1/1)+2*(((0.15*B1676*5))^2/2)+3*(((0.15*B1676*5))^3/6)+4*(((0.15*B1676*5))^4/24)+5*(((0.15*B1676*5))^5/120))/((((0.15*B1676*5))^0/1)+(((0.15*B1676*5))^1/1)+(((0.15*B1676*5))^2/2)+(((0.15*B1676*5))^3/6)+(((0.15*B1676*5))^4/24)+(((0.15*B1676*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53">
      <c r="A1653">
        <f>Skills!A13</f>
        <v/>
      </c>
      <c r="B1653">
        <f>Skills!B13</f>
        <v/>
      </c>
      <c r="C1653">
        <f>Inputs!$B$3&gt;=105</f>
        <v/>
      </c>
      <c r="D1653">
        <f>IF(Skills!C13=1,60+Inputs!$B$25+Inputs!$B$29,IF(Skills!C13=2,90+Inputs!$B$26+Inputs!$B$29,IF(Skills!C13=3,120+Inputs!$B$27+Inputs!$B$29,MAX(0,(Inputs!$B$3-100)*3)+Inputs!$B$28+Inputs!$B$29)))</f>
        <v/>
      </c>
      <c r="E1653">
        <f>INDEX(FactorTable!$B$2:$Y$301, MATCH(ROUND(MIN(300,MAX(1,D1653)),0), FactorTable!$A$2:$A$301,0), Skills!M13+1)</f>
        <v/>
      </c>
      <c r="F1653">
        <f>IF(Skills!N13=TRUE,(Skills!L13/10)*(E1653/1000),Skills!L13/10)+Skills!O13</f>
        <v/>
      </c>
      <c r="G1653">
        <f>Calc!G13</f>
        <v/>
      </c>
      <c r="H1653">
        <f>Calc!H13</f>
        <v/>
      </c>
      <c r="I1653">
        <f>IF(Skills!AA13&lt;&gt;"",1+(Skills!AA13/10)*(U1643/1000)/100,1)</f>
        <v/>
      </c>
      <c r="J1653">
        <f>((Inputs!$B$6*(1+Inputs!$B$7/100))+(((Inputs!$B$12*(1+Inputs!$B$13/100))-(Inputs!$B$12*(1+Inputs!$B$13/100)))+0.25*(Inputs!$B$14-Inputs!$B$14))*(1+Inputs!$B$7/100))*(F1653/100)</f>
        <v/>
      </c>
      <c r="K1653">
        <f>J1653*(1+((Inputs!$B$12*(1+Inputs!$B$13/100))*0.01+Inputs!$B$14*0.0025)/100)*(1+Inputs!$B$15/100)*(1+Inputs!$B$16/100)*(5000/(6000+Inputs!$B$43*(1-(100*(1-(1-(Inputs!$B$19+0)/100)*(1-CHOOSE(ArtifactsInput!$N$40+1,5,6,7,8,9,10)/100)^(ArtifactsInput!$M$40-ArtifactsInput!$M$40)))/100)))*(1+(Inputs!$B$24+((C1670=TRUE)*(F1670-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1663=TRUE)*(F1663-Calc!F23))+(((IF(AND(ArtifactsInput!$M$42,((Inputs!$B$9+((C1665=TRUE)*(F1665-Calc!F25))+B1680+(ArtifactsInput!$M$24-ArtifactsInput!$M$24)*CHOOSE(ArtifactsInput!$N$24+1,10,12,14,16,18,20)+IF(ArtifactsInput!$M$10,CHOOSE(ArtifactsInput!$N$10+1,15,18,21,24,27,30)*(IF(Inputs!$B$39="pvp",MIN(15,15)/15,IF(AND(Inputs!$B$39&lt;&gt;"pvp",Inputs!$B$44&gt;0),MIN(15,Inputs!$B$44)/(Inputs!$B$44),0))),0)))&gt;=100),MIN(100,((Inputs!$B$9+((C1665=TRUE)*(F1665-Calc!F25))+B1680+(ArtifactsInput!$M$24-ArtifactsInput!$M$24)*CHOOSE(ArtifactsInput!$N$24+1,10,12,14,16,18,20)+IF(ArtifactsInput!$M$10,CHOOSE(ArtifactsInput!$N$10+1,15,18,21,24,27,30)*(IF(Inputs!$B$39="pvp",MIN(15,15)/15,IF(AND(Inputs!$B$39&lt;&gt;"pvp",Inputs!$B$44&gt;0),MIN(15,Inputs!$B$44)/(Inputs!$B$44),0))),0)))-100),0))*CHOOSE(ArtifactsInput!$N$42+1,0.6,0.72,0.84,0.96,1.08,1.2))),Inputs!$B$18+((C1669=TRUE)*(F1669-Calc!F29))+(IF(AND(ArtifactsInput!$M$42,((Inputs!$B$9+((C1665=TRUE)*(F1665-Calc!F25))+B1680+(ArtifactsInput!$M$24-ArtifactsInput!$M$24)*CHOOSE(ArtifactsInput!$N$24+1,10,12,14,16,18,20)+IF(ArtifactsInput!$M$10,CHOOSE(ArtifactsInput!$N$10+1,15,18,21,24,27,30)*(IF(Inputs!$B$39="pvp",MIN(15,15)/15,IF(AND(Inputs!$B$39&lt;&gt;"pvp",Inputs!$B$44&gt;0),MIN(15,Inputs!$B$44)/(Inputs!$B$44),0))),0)))&gt;=100),CHOOSE(ArtifactsInput!$N$42+1,40,48,56,64,72,80),0))))/100)*(((1+(((C1661=TRUE)*F1661*IF(AND(Inputs!$B$39&lt;&gt;"pvp",Inputs!$B$44&gt;0),(((R1661-1)*(Skills!Y21*(1+Inputs!$B$34/100))+MIN((Skills!Y21*(1+Inputs!$B$34/100)),MAX(0,Inputs!$B$44-((R1661-1)*Skills!D21))))/Inputs!$B$44),IF(Inputs!$B$39="pvp",MIN((Skills!Y21*(1+Inputs!$B$34/100)),15)/15,(Skills!Y21*(1+Inputs!$B$34/100))/Skills!D21)))+((C1668=TRUE)*(F1668-Calc!F28))+((C1658=TRUE)*(F1658-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1655=TRUE)*F1655*IF(AND(Inputs!$B$39&lt;&gt;"pvp",Inputs!$B$44&gt;0),(((R1655-1)*(Skills!Y15*(1+Inputs!$B$34/100))+MIN((Skills!Y15*(1+Inputs!$B$34/100)),MAX(0,Inputs!$B$44-((R1655-1)*Skills!D15))))/Inputs!$B$44),IF(Inputs!$B$39="pvp",MIN((Skills!Y15*(1+Inputs!$B$34/100)),15)/15,(Skills!Y15*(1+Inputs!$B$34/100))/Skills!D15)))/100)*(1+((C1646=TRUE)*F1646*B1674)/100))*B1682*(1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1653)</f>
        <v/>
      </c>
      <c r="L1653">
        <f>K1653*(MIN(Inputs!$B$22+((C1664=TRUE)*(F1664-Calc!F24)),(Inputs!$B$23+0+(IF(ArtifactsInput!$M$15,CHOOSE(ArtifactsInput!$N$15+1,25,30,35,40,45,50)/100*(Inputs!$B$11-Inputs!$B$11),0))))/100+(Inputs!$B$23+0+(IF(ArtifactsInput!$M$15,CHOOSE(ArtifactsInput!$N$15+1,25,30,35,40,45,50)/100*(Inputs!$B$11-Inputs!$B$11),0)))/100)/2</f>
        <v/>
      </c>
      <c r="M1653">
        <f>L1653*(1+(Inputs!$B$10+((C1666=TRUE)*(F1666-Calc!F26))+B1683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53">
        <f>L1653*(1-MIN((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1653*(MIN((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53">
        <f>(1-Summary!$B$11)*T1653+Summary!$B$11*V1653</f>
        <v/>
      </c>
      <c r="P1653">
        <f>IF(B1684=0,0,O1653/B1684)</f>
        <v/>
      </c>
      <c r="Q1653">
        <f>IFERROR(1/IF(Inputs!$B$39="pvp",15,MAX(0.1,Skills!D13-IF(Skills!E13=TRUE,Inputs!$B$32,0))),0)</f>
        <v/>
      </c>
      <c r="R1653">
        <f>IF(AND(Inputs!$B$39&lt;&gt;"pvp",Inputs!$B$44&gt;0),IF(MAX(0,Inputs!$B$44-B1685)&lt;=0,0,(INT(MAX(0,Inputs!$B$44-B1685)/IF(Inputs!$B$39="pvp",15,MAX(0.1,Skills!D13-IF(Skills!E13=TRUE,Inputs!$B$32,0))))+1)),0)</f>
        <v/>
      </c>
      <c r="S1653">
        <f>IFERROR(O1653/N1653,0)</f>
        <v/>
      </c>
      <c r="T1653">
        <f>IF(C1653,(H1653*N1653*IF(AND(Inputs!$B$39&lt;&gt;"pvp",Inputs!$B$44&gt;0),((Skills!G13*((R1653-1)*IF(Skills!H13&gt;0,Skills!I13/Skills!H13,1)+IF(Skills!H13&gt;0,MIN(Skills!I13,MAX(0,MAX(0,Inputs!$B$44-B1685)-((R1653-1)*IF(Inputs!$B$39="pvp",15,MAX(0.1,Skills!D13-IF(Skills!E13=TRUE,Inputs!$B$32,0))))))/Skills!H13,1)))/Inputs!$B$44),G1653*Q1653))*IF(Inputs!$B$39="pvp",1,1+(Inputs!$B$20+((C1667=TRUE)*(F1667-Calc!F27))+Skills!P13+B1681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Hunt"),CHOOSE(ArtifactsInput!$N$35+1,15,18,21,24,27,30)*(1-EXP(-(0.2*B1676)*5)),0)+IF(AND(ArtifactsInput!$M$22,Inputs!$B$4&lt;&gt;"Chapter Hunt"),CHOOSE(ArtifactsInput!$N$22+1,10,12,14,16,18,20)*((0*(((0.15*B1676*5))^0/1)+1*(((0.15*B1676*5))^1/1)+2*(((0.15*B1676*5))^2/2)+3*(((0.15*B1676*5))^3/6)+4*(((0.15*B1676*5))^4/24)+5*(((0.15*B1676*5))^5/120))/((((0.15*B1676*5))^0/1)+(((0.15*B1676*5))^1/1)+(((0.15*B1676*5))^2/2)+(((0.15*B1676*5))^3/6)+(((0.15*B1676*5))^4/24)+(((0.15*B1676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1653*(1-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1653*(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1653*(1-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1653*(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53">
        <f>IF(C1653,(H1653*N1653*IF(AND(Inputs!$B$39&lt;&gt;"pvp",Inputs!$B$44&gt;0),((Skills!G13*((R1653-1)*IF(Skills!H13&gt;0,Skills!I13/Skills!H13,1)+IF(Skills!H13&gt;0,MIN(Skills!I13,MAX(0,MAX(0,Inputs!$B$44-B1685)-((R1653-1)*IF(Inputs!$B$39="pvp",15,MAX(0.1,Skills!D13-IF(Skills!E13=TRUE,Inputs!$B$32,0))))))/Skills!H13,1)))/Inputs!$B$44),G1653*Q1653))*IF(Inputs!$B$39="pvp",1,(1+(Inputs!$B$21+Skills!Q13+B1681+(IF(ArtifactsInput!$M$33,CHOOSE(ArtifactsInput!$N$33+1,30,36,42,48,54,60),0))+(IF(AND(ArtifactsInput!$M$35,Inputs!$B$4&lt;&gt;"Chapter Hunt"),CHOOSE(ArtifactsInput!$N$35+1,15,18,21,24,27,30)*(1-EXP(-(0.2*B1676)*5)),0)+IF(AND(ArtifactsInput!$M$22,Inputs!$B$4&lt;&gt;"Chapter Hunt"),CHOOSE(ArtifactsInput!$N$22+1,10,12,14,16,18,20)*((0*(((0.15*B1676*5))^0/1)+1*(((0.15*B1676*5))^1/1)+2*(((0.15*B1676*5))^2/2)+3*(((0.15*B1676*5))^3/6)+4*(((0.15*B1676*5))^4/24)+5*(((0.15*B1676*5))^5/120))/((((0.15*B1676*5))^0/1)+(((0.15*B1676*5))^1/1)+(((0.15*B1676*5))^2/2)+(((0.15*B1676*5))^3/6)+(((0.15*B1676*5))^4/24)+(((0.15*B1676*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54">
      <c r="A1654">
        <f>Skills!A14</f>
        <v/>
      </c>
      <c r="B1654">
        <f>Skills!B14</f>
        <v/>
      </c>
      <c r="C1654">
        <f>Inputs!$B$3&gt;=105</f>
        <v/>
      </c>
      <c r="D1654">
        <f>IF(Skills!C14=1,60+Inputs!$B$25+Inputs!$B$29,IF(Skills!C14=2,90+Inputs!$B$26+Inputs!$B$29,IF(Skills!C14=3,120+Inputs!$B$27+Inputs!$B$29,MAX(0,(Inputs!$B$3-100)*3)+Inputs!$B$28+Inputs!$B$29)))</f>
        <v/>
      </c>
      <c r="E1654">
        <f>INDEX(FactorTable!$B$2:$Y$301, MATCH(ROUND(MIN(300,MAX(1,D1654)),0), FactorTable!$A$2:$A$301,0), Skills!M14+1)</f>
        <v/>
      </c>
      <c r="F1654">
        <f>IF(Skills!N14=TRUE,(Skills!L14/10)*(E1654/1000),Skills!L14/10)+Skills!O14</f>
        <v/>
      </c>
      <c r="G1654">
        <f>Calc!G14</f>
        <v/>
      </c>
      <c r="H1654">
        <f>Calc!H14</f>
        <v/>
      </c>
      <c r="I1654">
        <f>IF(Skills!AA14&lt;&gt;"",1+(Skills!AA14/10)*(U1643/1000)/100,1)</f>
        <v/>
      </c>
      <c r="J1654">
        <f>((Inputs!$B$6*(1+Inputs!$B$7/100))+(((Inputs!$B$12*(1+Inputs!$B$13/100))-(Inputs!$B$12*(1+Inputs!$B$13/100)))+0.25*(Inputs!$B$14-Inputs!$B$14))*(1+Inputs!$B$7/100))*(F1654/100)</f>
        <v/>
      </c>
      <c r="K1654">
        <f>J1654*(1+((Inputs!$B$12*(1+Inputs!$B$13/100))*0.01+Inputs!$B$14*0.0025)/100)*(1+Inputs!$B$15/100)*(1+Inputs!$B$16/100)*(5000/(6000+Inputs!$B$43*(1-(100*(1-(1-(Inputs!$B$19+0)/100)*(1-CHOOSE(ArtifactsInput!$N$40+1,5,6,7,8,9,10)/100)^(ArtifactsInput!$M$40-ArtifactsInput!$M$40)))/100)))*(1+(Inputs!$B$24+((C1670=TRUE)*(F1670-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1663=TRUE)*(F1663-Calc!F23))+(((IF(AND(ArtifactsInput!$M$42,((Inputs!$B$9+((C1665=TRUE)*(F1665-Calc!F25))+B1680+(ArtifactsInput!$M$24-ArtifactsInput!$M$24)*CHOOSE(ArtifactsInput!$N$24+1,10,12,14,16,18,20)+IF(ArtifactsInput!$M$10,CHOOSE(ArtifactsInput!$N$10+1,15,18,21,24,27,30)*(IF(Inputs!$B$39="pvp",MIN(15,15)/15,IF(AND(Inputs!$B$39&lt;&gt;"pvp",Inputs!$B$44&gt;0),MIN(15,Inputs!$B$44)/(Inputs!$B$44),0))),0)))&gt;=100),MIN(100,((Inputs!$B$9+((C1665=TRUE)*(F1665-Calc!F25))+B1680+(ArtifactsInput!$M$24-ArtifactsInput!$M$24)*CHOOSE(ArtifactsInput!$N$24+1,10,12,14,16,18,20)+IF(ArtifactsInput!$M$10,CHOOSE(ArtifactsInput!$N$10+1,15,18,21,24,27,30)*(IF(Inputs!$B$39="pvp",MIN(15,15)/15,IF(AND(Inputs!$B$39&lt;&gt;"pvp",Inputs!$B$44&gt;0),MIN(15,Inputs!$B$44)/(Inputs!$B$44),0))),0)))-100),0))*CHOOSE(ArtifactsInput!$N$42+1,0.6,0.72,0.84,0.96,1.08,1.2))),Inputs!$B$18+((C1669=TRUE)*(F1669-Calc!F29))+(IF(AND(ArtifactsInput!$M$42,((Inputs!$B$9+((C1665=TRUE)*(F1665-Calc!F25))+B1680+(ArtifactsInput!$M$24-ArtifactsInput!$M$24)*CHOOSE(ArtifactsInput!$N$24+1,10,12,14,16,18,20)+IF(ArtifactsInput!$M$10,CHOOSE(ArtifactsInput!$N$10+1,15,18,21,24,27,30)*(IF(Inputs!$B$39="pvp",MIN(15,15)/15,IF(AND(Inputs!$B$39&lt;&gt;"pvp",Inputs!$B$44&gt;0),MIN(15,Inputs!$B$44)/(Inputs!$B$44),0))),0)))&gt;=100),CHOOSE(ArtifactsInput!$N$42+1,40,48,56,64,72,80),0))))/100)*(((1+(((C1661=TRUE)*F1661*IF(AND(Inputs!$B$39&lt;&gt;"pvp",Inputs!$B$44&gt;0),(((R1661-1)*(Skills!Y21*(1+Inputs!$B$34/100))+MIN((Skills!Y21*(1+Inputs!$B$34/100)),MAX(0,Inputs!$B$44-((R1661-1)*Skills!D21))))/Inputs!$B$44),IF(Inputs!$B$39="pvp",MIN((Skills!Y21*(1+Inputs!$B$34/100)),15)/15,(Skills!Y21*(1+Inputs!$B$34/100))/Skills!D21)))+((C1668=TRUE)*(F1668-Calc!F28))+((C1658=TRUE)*(F1658-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1655=TRUE)*F1655*IF(AND(Inputs!$B$39&lt;&gt;"pvp",Inputs!$B$44&gt;0),(((R1655-1)*(Skills!Y15*(1+Inputs!$B$34/100))+MIN((Skills!Y15*(1+Inputs!$B$34/100)),MAX(0,Inputs!$B$44-((R1655-1)*Skills!D15))))/Inputs!$B$44),IF(Inputs!$B$39="pvp",MIN((Skills!Y15*(1+Inputs!$B$34/100)),15)/15,(Skills!Y15*(1+Inputs!$B$34/100))/Skills!D15)))/100)*(1+((C1646=TRUE)*F1646*B1674)/100))*B1682*(1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1654)</f>
        <v/>
      </c>
      <c r="L1654">
        <f>K1654*(MIN(Inputs!$B$22+((C1664=TRUE)*(F1664-Calc!F24)),(Inputs!$B$23+0+(IF(ArtifactsInput!$M$15,CHOOSE(ArtifactsInput!$N$15+1,25,30,35,40,45,50)/100*(Inputs!$B$11-Inputs!$B$11),0))))/100+(Inputs!$B$23+0+(IF(ArtifactsInput!$M$15,CHOOSE(ArtifactsInput!$N$15+1,25,30,35,40,45,50)/100*(Inputs!$B$11-Inputs!$B$11),0)))/100)/2</f>
        <v/>
      </c>
      <c r="M1654">
        <f>L1654*(1+(Inputs!$B$10+((C1666=TRUE)*(F1666-Calc!F26))+B1683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54">
        <f>L1654*(1-MIN((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1654*(MIN((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54">
        <f>(1-Summary!$B$11)*T1654+Summary!$B$11*V1654</f>
        <v/>
      </c>
      <c r="P1654">
        <f>IF(B1684=0,0,O1654/B1684)</f>
        <v/>
      </c>
      <c r="Q1654">
        <f>IFERROR(1/IF(Inputs!$B$39="pvp",15,MAX(0.1,Skills!D14-IF(Skills!E14=TRUE,Inputs!$B$32,0))),0)</f>
        <v/>
      </c>
      <c r="R1654">
        <f>IF(AND(Inputs!$B$39&lt;&gt;"pvp",Inputs!$B$44&gt;0),IF(MAX(0,Inputs!$B$44-B1685)&lt;=0,0,(INT(MAX(0,Inputs!$B$44-B1685)/IF(Inputs!$B$39="pvp",15,MAX(0.1,Skills!D14-IF(Skills!E14=TRUE,Inputs!$B$32,0))))+1)),0)</f>
        <v/>
      </c>
      <c r="S1654">
        <f>IFERROR(O1654/N1654,0)</f>
        <v/>
      </c>
      <c r="T1654">
        <f>IF(C1654,(H1654*N1654*IF(AND(Inputs!$B$39&lt;&gt;"pvp",Inputs!$B$44&gt;0),((Skills!G14*((R1654-1)*IF(Skills!H14&gt;0,Skills!I14/Skills!H14,1)+IF(Skills!H14&gt;0,MIN(Skills!I14,MAX(0,MAX(0,Inputs!$B$44-B1685)-((R1654-1)*IF(Inputs!$B$39="pvp",15,MAX(0.1,Skills!D14-IF(Skills!E14=TRUE,Inputs!$B$32,0))))))/Skills!H14,1)))/Inputs!$B$44),G1654*Q1654))*IF(Inputs!$B$39="pvp",1,1+(Inputs!$B$20+((C1667=TRUE)*(F1667-Calc!F27))+Skills!P14+B1681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Hunt"),CHOOSE(ArtifactsInput!$N$35+1,15,18,21,24,27,30)*(1-EXP(-(0.2*B1676)*5)),0)+IF(AND(ArtifactsInput!$M$22,Inputs!$B$4&lt;&gt;"Chapter Hunt"),CHOOSE(ArtifactsInput!$N$22+1,10,12,14,16,18,20)*((0*(((0.15*B1676*5))^0/1)+1*(((0.15*B1676*5))^1/1)+2*(((0.15*B1676*5))^2/2)+3*(((0.15*B1676*5))^3/6)+4*(((0.15*B1676*5))^4/24)+5*(((0.15*B1676*5))^5/120))/((((0.15*B1676*5))^0/1)+(((0.15*B1676*5))^1/1)+(((0.15*B1676*5))^2/2)+(((0.15*B1676*5))^3/6)+(((0.15*B1676*5))^4/24)+(((0.15*B1676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1654*(1-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1654*(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1654*(1-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1654*(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54">
        <f>IF(C1654,(H1654*N1654*IF(AND(Inputs!$B$39&lt;&gt;"pvp",Inputs!$B$44&gt;0),((Skills!G14*((R1654-1)*IF(Skills!H14&gt;0,Skills!I14/Skills!H14,1)+IF(Skills!H14&gt;0,MIN(Skills!I14,MAX(0,MAX(0,Inputs!$B$44-B1685)-((R1654-1)*IF(Inputs!$B$39="pvp",15,MAX(0.1,Skills!D14-IF(Skills!E14=TRUE,Inputs!$B$32,0))))))/Skills!H14,1)))/Inputs!$B$44),G1654*Q1654))*IF(Inputs!$B$39="pvp",1,(1+(Inputs!$B$21+Skills!Q14+B1681+(IF(ArtifactsInput!$M$33,CHOOSE(ArtifactsInput!$N$33+1,30,36,42,48,54,60),0))+(IF(AND(ArtifactsInput!$M$35,Inputs!$B$4&lt;&gt;"Chapter Hunt"),CHOOSE(ArtifactsInput!$N$35+1,15,18,21,24,27,30)*(1-EXP(-(0.2*B1676)*5)),0)+IF(AND(ArtifactsInput!$M$22,Inputs!$B$4&lt;&gt;"Chapter Hunt"),CHOOSE(ArtifactsInput!$N$22+1,10,12,14,16,18,20)*((0*(((0.15*B1676*5))^0/1)+1*(((0.15*B1676*5))^1/1)+2*(((0.15*B1676*5))^2/2)+3*(((0.15*B1676*5))^3/6)+4*(((0.15*B1676*5))^4/24)+5*(((0.15*B1676*5))^5/120))/((((0.15*B1676*5))^0/1)+(((0.15*B1676*5))^1/1)+(((0.15*B1676*5))^2/2)+(((0.15*B1676*5))^3/6)+(((0.15*B1676*5))^4/24)+(((0.15*B1676*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55">
      <c r="A1655">
        <f>Skills!A15</f>
        <v/>
      </c>
      <c r="B1655">
        <f>Skills!B15</f>
        <v/>
      </c>
      <c r="C1655">
        <f>Inputs!$B$3&gt;=110</f>
        <v/>
      </c>
      <c r="D1655">
        <f>IF(Skills!C15=1,60+Inputs!$B$25+Inputs!$B$29,IF(Skills!C15=2,90+Inputs!$B$26+Inputs!$B$29,IF(Skills!C15=3,120+Inputs!$B$27+Inputs!$B$29,MAX(0,(Inputs!$B$3-100)*3)+Inputs!$B$28+Inputs!$B$29)))</f>
        <v/>
      </c>
      <c r="E1655">
        <f>INDEX(FactorTable!$B$2:$Y$301, MATCH(ROUND(MIN(300,MAX(1,D1655)),0), FactorTable!$A$2:$A$301,0), Skills!M15+1)</f>
        <v/>
      </c>
      <c r="F1655">
        <f>IF(Skills!N15=TRUE,(Skills!L15/10)*(E1655/1000),Skills!L15/10)+Skills!O15</f>
        <v/>
      </c>
      <c r="G1655">
        <f>Calc!G15</f>
        <v/>
      </c>
      <c r="H1655">
        <f>Calc!H15</f>
        <v/>
      </c>
      <c r="I1655">
        <f>IF(Skills!AA15&lt;&gt;"",1+(Skills!AA15/10)*(U1643/1000)/100,1)</f>
        <v/>
      </c>
      <c r="J1655" t="inlineStr"/>
      <c r="K1655" t="inlineStr"/>
      <c r="L1655" t="inlineStr"/>
      <c r="M1655" t="inlineStr"/>
      <c r="N1655" t="inlineStr"/>
      <c r="O1655">
        <f>(1-Summary!$B$11)*T1655+Summary!$B$11*V1655</f>
        <v/>
      </c>
      <c r="P1655">
        <f>IF(B1684=0,0,O1655/B1684)</f>
        <v/>
      </c>
      <c r="Q1655">
        <f>IFERROR(1/IF(Inputs!$B$39="pvp",15,MAX(0.1,Skills!D15-IF(Skills!E15=TRUE,Inputs!$B$32,0))),0)</f>
        <v/>
      </c>
      <c r="R1655">
        <f>IF(AND(Inputs!$B$39&lt;&gt;"pvp",Inputs!$B$44&gt;0),IF(Inputs!$B$44&lt;=0,0,(INT(Inputs!$B$44/IF(Inputs!$B$39="pvp",15,MAX(0.1,Skills!D15-IF(Skills!E15=TRUE,Inputs!$B$32,0))))+1)),0)</f>
        <v/>
      </c>
      <c r="S1655">
        <f>IFERROR(O1655/N1655,0)</f>
        <v/>
      </c>
      <c r="T1655" t="n">
        <v>0</v>
      </c>
      <c r="V1655" t="n">
        <v>0</v>
      </c>
    </row>
    <row r="1656">
      <c r="A1656">
        <f>Skills!A16</f>
        <v/>
      </c>
      <c r="B1656">
        <f>Skills!B16</f>
        <v/>
      </c>
      <c r="C1656">
        <f>Inputs!$B$3&gt;=110</f>
        <v/>
      </c>
      <c r="D1656">
        <f>IF(Skills!C16=1,60+Inputs!$B$25+Inputs!$B$29,IF(Skills!C16=2,90+Inputs!$B$26+Inputs!$B$29,IF(Skills!C16=3,120+Inputs!$B$27+Inputs!$B$29,MAX(0,(Inputs!$B$3-100)*3)+Inputs!$B$28+Inputs!$B$29)))</f>
        <v/>
      </c>
      <c r="E1656">
        <f>INDEX(FactorTable!$B$2:$Y$301, MATCH(ROUND(MIN(300,MAX(1,D1656)),0), FactorTable!$A$2:$A$301,0), Skills!M16+1)</f>
        <v/>
      </c>
      <c r="F1656">
        <f>IF(Skills!N16=TRUE,(Skills!L16/10)*(E1656/1000),Skills!L16/10)+Skills!O16</f>
        <v/>
      </c>
      <c r="G1656">
        <f>Calc!G16</f>
        <v/>
      </c>
      <c r="H1656">
        <f>Calc!H16</f>
        <v/>
      </c>
      <c r="I1656">
        <f>IF(Skills!AA16&lt;&gt;"",1+(Skills!AA16/10)*(U1643/1000)/100,1)</f>
        <v/>
      </c>
      <c r="J1656" t="inlineStr"/>
      <c r="K1656" t="inlineStr"/>
      <c r="L1656" t="inlineStr"/>
      <c r="M1656" t="inlineStr"/>
      <c r="N1656" t="inlineStr"/>
      <c r="O1656">
        <f>(1-Summary!$B$11)*T1656+Summary!$B$11*V1656</f>
        <v/>
      </c>
      <c r="P1656">
        <f>IF(B1684=0,0,O1656/B1684)</f>
        <v/>
      </c>
      <c r="Q1656">
        <f>IFERROR(1/IF(Inputs!$B$39="pvp",15,MAX(0.1,Skills!D16-IF(Skills!E16=TRUE,Inputs!$B$32,0))),0)</f>
        <v/>
      </c>
      <c r="R1656">
        <f>IF(AND(Inputs!$B$39&lt;&gt;"pvp",Inputs!$B$44&gt;0),IF(Inputs!$B$44&lt;=0,0,(INT(Inputs!$B$44/IF(Inputs!$B$39="pvp",15,MAX(0.1,Skills!D16-IF(Skills!E16=TRUE,Inputs!$B$32,0))))+1)),0)</f>
        <v/>
      </c>
      <c r="S1656">
        <f>IFERROR(O1656/N1656,0)</f>
        <v/>
      </c>
      <c r="T1656" t="n">
        <v>0</v>
      </c>
      <c r="V1656" t="n">
        <v>0</v>
      </c>
    </row>
    <row r="1657">
      <c r="A1657">
        <f>Skills!A17</f>
        <v/>
      </c>
      <c r="B1657">
        <f>Skills!B17</f>
        <v/>
      </c>
      <c r="C1657">
        <f>Inputs!$B$3&gt;=115</f>
        <v/>
      </c>
      <c r="D1657">
        <f>IF(Skills!C17=1,60+Inputs!$B$25+Inputs!$B$29,IF(Skills!C17=2,90+Inputs!$B$26+Inputs!$B$29,IF(Skills!C17=3,120+Inputs!$B$27+Inputs!$B$29,MAX(0,(Inputs!$B$3-100)*3)+Inputs!$B$28+Inputs!$B$29)))</f>
        <v/>
      </c>
      <c r="E1657">
        <f>INDEX(FactorTable!$B$2:$Y$301, MATCH(ROUND(MIN(300,MAX(1,D1657)),0), FactorTable!$A$2:$A$301,0), Skills!M17+1)</f>
        <v/>
      </c>
      <c r="F1657">
        <f>IF(Skills!N17=TRUE,(Skills!L17/10)*(E1657/1000),Skills!L17/10)+Skills!O17</f>
        <v/>
      </c>
      <c r="G1657">
        <f>Calc!G17</f>
        <v/>
      </c>
      <c r="H1657">
        <f>Calc!H17</f>
        <v/>
      </c>
      <c r="I1657">
        <f>IF(Skills!AA17&lt;&gt;"",1+(Skills!AA17/10)*(U1643/1000)/100,1)</f>
        <v/>
      </c>
      <c r="J1657">
        <f>((Inputs!$B$6*(1+Inputs!$B$7/100))+(((Inputs!$B$12*(1+Inputs!$B$13/100))-(Inputs!$B$12*(1+Inputs!$B$13/100)))+0.25*(Inputs!$B$14-Inputs!$B$14))*(1+Inputs!$B$7/100))*(F1657/100)</f>
        <v/>
      </c>
      <c r="K1657">
        <f>J1657*(1+((Inputs!$B$12*(1+Inputs!$B$13/100))*0.01+Inputs!$B$14*0.0025)/100)*(1+Inputs!$B$15/100)*(1+Inputs!$B$16/100)*(5000/(6000+Inputs!$B$43*(1-(100*(1-(1-(Inputs!$B$19+0)/100)*(1-CHOOSE(ArtifactsInput!$N$40+1,5,6,7,8,9,10)/100)^(ArtifactsInput!$M$40-ArtifactsInput!$M$40)))/100)))*(1+(Inputs!$B$24+((C1670=TRUE)*(F1670-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1663=TRUE)*(F1663-Calc!F23))+(((IF(AND(ArtifactsInput!$M$42,((Inputs!$B$9+((C1665=TRUE)*(F1665-Calc!F25))+B1680+(ArtifactsInput!$M$24-ArtifactsInput!$M$24)*CHOOSE(ArtifactsInput!$N$24+1,10,12,14,16,18,20)+IF(ArtifactsInput!$M$10,CHOOSE(ArtifactsInput!$N$10+1,15,18,21,24,27,30)*(IF(Inputs!$B$39="pvp",MIN(15,15)/15,IF(AND(Inputs!$B$39&lt;&gt;"pvp",Inputs!$B$44&gt;0),MIN(15,Inputs!$B$44)/(Inputs!$B$44),0))),0)))&gt;=100),MIN(100,((Inputs!$B$9+((C1665=TRUE)*(F1665-Calc!F25))+B1680+(ArtifactsInput!$M$24-ArtifactsInput!$M$24)*CHOOSE(ArtifactsInput!$N$24+1,10,12,14,16,18,20)+IF(ArtifactsInput!$M$10,CHOOSE(ArtifactsInput!$N$10+1,15,18,21,24,27,30)*(IF(Inputs!$B$39="pvp",MIN(15,15)/15,IF(AND(Inputs!$B$39&lt;&gt;"pvp",Inputs!$B$44&gt;0),MIN(15,Inputs!$B$44)/(Inputs!$B$44),0))),0)))-100),0))*CHOOSE(ArtifactsInput!$N$42+1,0.6,0.72,0.84,0.96,1.08,1.2))),Inputs!$B$18+((C1669=TRUE)*(F1669-Calc!F29))+(IF(AND(ArtifactsInput!$M$42,((Inputs!$B$9+((C1665=TRUE)*(F1665-Calc!F25))+B1680+(ArtifactsInput!$M$24-ArtifactsInput!$M$24)*CHOOSE(ArtifactsInput!$N$24+1,10,12,14,16,18,20)+IF(ArtifactsInput!$M$10,CHOOSE(ArtifactsInput!$N$10+1,15,18,21,24,27,30)*(IF(Inputs!$B$39="pvp",MIN(15,15)/15,IF(AND(Inputs!$B$39&lt;&gt;"pvp",Inputs!$B$44&gt;0),MIN(15,Inputs!$B$44)/(Inputs!$B$44),0))),0)))&gt;=100),CHOOSE(ArtifactsInput!$N$42+1,40,48,56,64,72,80),0))))/100)*(((1+(((C1661=TRUE)*F1661*IF(AND(Inputs!$B$39&lt;&gt;"pvp",Inputs!$B$44&gt;0),(((R1661-1)*(Skills!Y21*(1+Inputs!$B$34/100))+MIN((Skills!Y21*(1+Inputs!$B$34/100)),MAX(0,Inputs!$B$44-((R1661-1)*Skills!D21))))/Inputs!$B$44),IF(Inputs!$B$39="pvp",MIN((Skills!Y21*(1+Inputs!$B$34/100)),15)/15,(Skills!Y21*(1+Inputs!$B$34/100))/Skills!D21)))+((C1668=TRUE)*(F1668-Calc!F28))+((C1658=TRUE)*(F1658-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1655=TRUE)*F1655*IF(AND(Inputs!$B$39&lt;&gt;"pvp",Inputs!$B$44&gt;0),(((R1655-1)*(Skills!Y15*(1+Inputs!$B$34/100))+MIN((Skills!Y15*(1+Inputs!$B$34/100)),MAX(0,Inputs!$B$44-((R1655-1)*Skills!D15))))/Inputs!$B$44),IF(Inputs!$B$39="pvp",MIN((Skills!Y15*(1+Inputs!$B$34/100)),15)/15,(Skills!Y15*(1+Inputs!$B$34/100))/Skills!D15)))/100)*(1+((C1646=TRUE)*F1646*B1674)/100))*B1682*(1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1657)</f>
        <v/>
      </c>
      <c r="L1657">
        <f>K1657*(MIN(Inputs!$B$22+((C1664=TRUE)*(F1664-Calc!F24)),(Inputs!$B$23+0+(IF(ArtifactsInput!$M$15,CHOOSE(ArtifactsInput!$N$15+1,25,30,35,40,45,50)/100*(Inputs!$B$11-Inputs!$B$11),0))))/100+(Inputs!$B$23+0+(IF(ArtifactsInput!$M$15,CHOOSE(ArtifactsInput!$N$15+1,25,30,35,40,45,50)/100*(Inputs!$B$11-Inputs!$B$11),0)))/100)/2</f>
        <v/>
      </c>
      <c r="M1657">
        <f>L1657*(1+(Inputs!$B$10+((C1666=TRUE)*(F1666-Calc!F26))+B1683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57">
        <f>L1657*(1-MIN((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1657*(MIN((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57">
        <f>(1-Summary!$B$11)*T1657+Summary!$B$11*V1657</f>
        <v/>
      </c>
      <c r="P1657">
        <f>IF(B1684=0,0,O1657/B1684)</f>
        <v/>
      </c>
      <c r="Q1657" t="n">
        <v>0</v>
      </c>
      <c r="R1657" t="n">
        <v>0</v>
      </c>
      <c r="S1657">
        <f>IFERROR(O1657/N1657,0)</f>
        <v/>
      </c>
      <c r="T1657">
        <f>IF(C1657,(Inputs!$B$38*0.2*N1657)*IF(Inputs!$B$39="pvp",1,1+(Inputs!$B$20+((C1667=TRUE)*(F1667-Calc!F27))+Skills!P17+B1681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Hunt"),CHOOSE(ArtifactsInput!$N$35+1,15,18,21,24,27,30)*(1-EXP(-(0.2*B1676)*5)),0)+IF(AND(ArtifactsInput!$M$22,Inputs!$B$4&lt;&gt;"Chapter Hunt"),CHOOSE(ArtifactsInput!$N$22+1,10,12,14,16,18,20)*((0*(((0.15*B1676*5))^0/1)+1*(((0.15*B1676*5))^1/1)+2*(((0.15*B1676*5))^2/2)+3*(((0.15*B1676*5))^3/6)+4*(((0.15*B1676*5))^4/24)+5*(((0.15*B1676*5))^5/120))/((((0.15*B1676*5))^0/1)+(((0.15*B1676*5))^1/1)+(((0.15*B1676*5))^2/2)+(((0.15*B1676*5))^3/6)+(((0.15*B1676*5))^4/24)+(((0.15*B1676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1657*(1-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1657*(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1657*(1-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1657*(MIN(100,(Inputs!$B$9+((C1665=TRUE)*(F1665-Calc!F25))+B1680+(ArtifactsInput!$M$24-ArtifactsInput!$M$24)*CHOOSE(ArtifactsInput!$N$24+1,10,12,14,16,18,20)+(IF(AND(ArtifactsInput!$M$42,((Inputs!$B$9+((C1665=TRUE)*(F1665-Calc!F25))+B1680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57">
        <f>IF(C1657,(Inputs!$B$38*0.2*N1657)*IF(Inputs!$B$39="pvp",1,(1+(Inputs!$B$21+Skills!Q17+B1681+(IF(ArtifactsInput!$M$33,CHOOSE(ArtifactsInput!$N$33+1,30,36,42,48,54,60),0))+(IF(AND(ArtifactsInput!$M$35,Inputs!$B$4&lt;&gt;"Chapter Hunt"),CHOOSE(ArtifactsInput!$N$35+1,15,18,21,24,27,30)*(1-EXP(-(0.2*B1676)*5)),0)+IF(AND(ArtifactsInput!$M$22,Inputs!$B$4&lt;&gt;"Chapter Hunt"),CHOOSE(ArtifactsInput!$N$22+1,10,12,14,16,18,20)*((0*(((0.15*B1676*5))^0/1)+1*(((0.15*B1676*5))^1/1)+2*(((0.15*B1676*5))^2/2)+3*(((0.15*B1676*5))^3/6)+4*(((0.15*B1676*5))^4/24)+5*(((0.15*B1676*5))^5/120))/((((0.15*B1676*5))^0/1)+(((0.15*B1676*5))^1/1)+(((0.15*B1676*5))^2/2)+(((0.15*B1676*5))^3/6)+(((0.15*B1676*5))^4/24)+(((0.15*B1676*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58">
      <c r="A1658">
        <f>Skills!A18</f>
        <v/>
      </c>
      <c r="B1658">
        <f>Skills!B18</f>
        <v/>
      </c>
      <c r="C1658">
        <f>Inputs!$B$3&gt;=115</f>
        <v/>
      </c>
      <c r="D1658">
        <f>IF(Skills!C18=1,60+Inputs!$B$25+Inputs!$B$29,IF(Skills!C18=2,90+Inputs!$B$26+Inputs!$B$29,IF(Skills!C18=3,120+Inputs!$B$27+Inputs!$B$29,MAX(0,(Inputs!$B$3-100)*3)+Inputs!$B$28+Inputs!$B$29)))</f>
        <v/>
      </c>
      <c r="E1658">
        <f>INDEX(FactorTable!$B$2:$Y$301, MATCH(ROUND(MIN(300,MAX(1,D1658)),0), FactorTable!$A$2:$A$301,0), Skills!M18+1)</f>
        <v/>
      </c>
      <c r="F1658">
        <f>IF(Skills!N18=TRUE,(Skills!L18/10)*(E1658/1000),Skills!L18/10)+Skills!O18</f>
        <v/>
      </c>
      <c r="G1658">
        <f>Calc!G18</f>
        <v/>
      </c>
      <c r="H1658">
        <f>Calc!H18</f>
        <v/>
      </c>
      <c r="I1658">
        <f>IF(Skills!AA18&lt;&gt;"",1+(Skills!AA18/10)*(U1643/1000)/100,1)</f>
        <v/>
      </c>
      <c r="J1658" t="inlineStr"/>
      <c r="K1658" t="inlineStr"/>
      <c r="L1658" t="inlineStr"/>
      <c r="M1658" t="inlineStr"/>
      <c r="N1658" t="inlineStr"/>
      <c r="O1658">
        <f>(1-Summary!$B$11)*T1658+Summary!$B$11*V1658</f>
        <v/>
      </c>
      <c r="P1658">
        <f>IF(B1684=0,0,O1658/B1684)</f>
        <v/>
      </c>
      <c r="Q1658" t="n">
        <v>0</v>
      </c>
      <c r="R1658" t="n">
        <v>0</v>
      </c>
      <c r="S1658">
        <f>IFERROR(O1658/N1658,0)</f>
        <v/>
      </c>
      <c r="T1658" t="n">
        <v>0</v>
      </c>
      <c r="V1658" t="n">
        <v>0</v>
      </c>
    </row>
    <row r="1659">
      <c r="A1659">
        <f>Skills!A19</f>
        <v/>
      </c>
      <c r="B1659">
        <f>Skills!B19</f>
        <v/>
      </c>
      <c r="C1659">
        <f>TRUE</f>
        <v/>
      </c>
      <c r="D1659">
        <f>IF(Skills!C19=1,60+Inputs!$B$25+Inputs!$B$29,IF(Skills!C19=2,90+Inputs!$B$26+Inputs!$B$29,IF(Skills!C19=3,120+Inputs!$B$27+Inputs!$B$29,MAX(0,(Inputs!$B$3-100)*3)+Inputs!$B$28+Inputs!$B$29)))</f>
        <v/>
      </c>
      <c r="E1659">
        <f>INDEX(FactorTable!$B$2:$Y$301, MATCH(ROUND(MIN(300,MAX(1,D1659)),0), FactorTable!$A$2:$A$301,0), Skills!M19+1)</f>
        <v/>
      </c>
      <c r="F1659">
        <f>IF(Skills!N19=TRUE,(Skills!L19/10)*(E1659/1000),Skills!L19/10)+Skills!O19</f>
        <v/>
      </c>
      <c r="G1659">
        <f>Calc!G19</f>
        <v/>
      </c>
      <c r="H1659">
        <f>Calc!H19</f>
        <v/>
      </c>
      <c r="I1659">
        <f>IF(Skills!AA19&lt;&gt;"",1+(Skills!AA19/10)*(U1643/1000)/100,1)</f>
        <v/>
      </c>
      <c r="J1659" t="inlineStr"/>
      <c r="K1659" t="inlineStr"/>
      <c r="L1659" t="inlineStr"/>
      <c r="M1659" t="inlineStr"/>
      <c r="N1659" t="inlineStr"/>
      <c r="O1659">
        <f>(1-Summary!$B$11)*T1659+Summary!$B$11*V1659</f>
        <v/>
      </c>
      <c r="P1659">
        <f>IF(B1684=0,0,O1659/B1684)</f>
        <v/>
      </c>
      <c r="Q1659">
        <f>IFERROR(1/IF(Inputs!$B$39="pvp",15,MAX(0.1,Skills!D19-IF(Skills!E19=TRUE,Inputs!$B$32,0))),0)</f>
        <v/>
      </c>
      <c r="R1659">
        <f>IF(AND(Inputs!$B$39&lt;&gt;"pvp",Inputs!$B$44&gt;0),IF(Inputs!$B$44&lt;=0,0,(INT(Inputs!$B$44/IF(Inputs!$B$39="pvp",15,MAX(0.1,Skills!D19-IF(Skills!E19=TRUE,Inputs!$B$32,0))))+1)),0)</f>
        <v/>
      </c>
      <c r="S1659">
        <f>IFERROR(O1659/N1659,0)</f>
        <v/>
      </c>
      <c r="T1659" t="n">
        <v>0</v>
      </c>
      <c r="V1659" t="n">
        <v>0</v>
      </c>
    </row>
    <row r="1660">
      <c r="A1660">
        <f>Skills!A20</f>
        <v/>
      </c>
      <c r="B1660">
        <f>Skills!B20</f>
        <v/>
      </c>
      <c r="C1660">
        <f>Inputs!$B$3&gt;=15</f>
        <v/>
      </c>
      <c r="D1660">
        <f>IF(Skills!C20=1,60+Inputs!$B$25+Inputs!$B$29,IF(Skills!C20=2,90+Inputs!$B$26+Inputs!$B$29,IF(Skills!C20=3,120+Inputs!$B$27+Inputs!$B$29,MAX(0,(Inputs!$B$3-100)*3)+Inputs!$B$28+Inputs!$B$29)))</f>
        <v/>
      </c>
      <c r="E1660">
        <f>INDEX(FactorTable!$B$2:$Y$301, MATCH(ROUND(MIN(300,MAX(1,D1660)),0), FactorTable!$A$2:$A$301,0), Skills!M20+1)</f>
        <v/>
      </c>
      <c r="F1660">
        <f>IF(Skills!N20=TRUE,(Skills!L20/10)*(E1660/1000),Skills!L20/10)+Skills!O20</f>
        <v/>
      </c>
      <c r="G1660">
        <f>Calc!G20</f>
        <v/>
      </c>
      <c r="H1660">
        <f>Calc!H20</f>
        <v/>
      </c>
      <c r="I1660">
        <f>IF(Skills!AA20&lt;&gt;"",1+(Skills!AA20/10)*(U1643/1000)/100,1)</f>
        <v/>
      </c>
      <c r="J1660" t="inlineStr"/>
      <c r="K1660" t="inlineStr"/>
      <c r="L1660" t="inlineStr"/>
      <c r="M1660" t="inlineStr"/>
      <c r="N1660" t="inlineStr"/>
      <c r="O1660">
        <f>(1-Summary!$B$11)*T1660+Summary!$B$11*V1660</f>
        <v/>
      </c>
      <c r="P1660">
        <f>IF(B1684=0,0,O1660/B1684)</f>
        <v/>
      </c>
      <c r="Q1660">
        <f>IFERROR(1/IF(Inputs!$B$39="pvp",15,MAX(0.1,Skills!D20-IF(Skills!E20=TRUE,Inputs!$B$32,0))),0)</f>
        <v/>
      </c>
      <c r="R1660">
        <f>IF(AND(Inputs!$B$39&lt;&gt;"pvp",Inputs!$B$44&gt;0),IF(Inputs!$B$44&lt;=0,0,(INT(Inputs!$B$44/IF(Inputs!$B$39="pvp",15,MAX(0.1,Skills!D20-IF(Skills!E20=TRUE,Inputs!$B$32,0))))+1)),0)</f>
        <v/>
      </c>
      <c r="S1660">
        <f>IFERROR(O1660/N1660,0)</f>
        <v/>
      </c>
      <c r="T1660" t="n">
        <v>0</v>
      </c>
      <c r="V1660" t="n">
        <v>0</v>
      </c>
    </row>
    <row r="1661">
      <c r="A1661">
        <f>Skills!A21</f>
        <v/>
      </c>
      <c r="B1661">
        <f>Skills!B21</f>
        <v/>
      </c>
      <c r="C1661">
        <f>Inputs!$B$3&gt;=15</f>
        <v/>
      </c>
      <c r="D1661">
        <f>IF(Skills!C21=1,60+Inputs!$B$25+Inputs!$B$29,IF(Skills!C21=2,90+Inputs!$B$26+Inputs!$B$29,IF(Skills!C21=3,120+Inputs!$B$27+Inputs!$B$29,MAX(0,(Inputs!$B$3-100)*3)+Inputs!$B$28+Inputs!$B$29)))</f>
        <v/>
      </c>
      <c r="E1661">
        <f>INDEX(FactorTable!$B$2:$Y$301, MATCH(ROUND(MIN(300,MAX(1,D1661)),0), FactorTable!$A$2:$A$301,0), Skills!M21+1)</f>
        <v/>
      </c>
      <c r="F1661">
        <f>IF(Skills!N21=TRUE,(Skills!L21/10)*(E1661/1000),Skills!L21/10)+Skills!O21</f>
        <v/>
      </c>
      <c r="G1661">
        <f>Calc!G21</f>
        <v/>
      </c>
      <c r="H1661">
        <f>Calc!H21</f>
        <v/>
      </c>
      <c r="I1661">
        <f>IF(Skills!AA21&lt;&gt;"",1+(Skills!AA21/10)*(U1643/1000)/100,1)</f>
        <v/>
      </c>
      <c r="J1661" t="inlineStr"/>
      <c r="K1661" t="inlineStr"/>
      <c r="L1661" t="inlineStr"/>
      <c r="M1661" t="inlineStr"/>
      <c r="N1661" t="inlineStr"/>
      <c r="O1661">
        <f>(1-Summary!$B$11)*T1661+Summary!$B$11*V1661</f>
        <v/>
      </c>
      <c r="P1661">
        <f>IF(B1684=0,0,O1661/B1684)</f>
        <v/>
      </c>
      <c r="Q1661">
        <f>IFERROR(1/IF(Inputs!$B$39="pvp",15,MAX(0.1,Skills!D21-IF(Skills!E21=TRUE,Inputs!$B$32,0))),0)</f>
        <v/>
      </c>
      <c r="R1661">
        <f>IF(AND(Inputs!$B$39&lt;&gt;"pvp",Inputs!$B$44&gt;0),IF(Inputs!$B$44&lt;=0,0,(INT(Inputs!$B$44/IF(Inputs!$B$39="pvp",15,MAX(0.1,Skills!D21-IF(Skills!E21=TRUE,Inputs!$B$32,0))))+1)),0)</f>
        <v/>
      </c>
      <c r="S1661">
        <f>IFERROR(O1661/N1661,0)</f>
        <v/>
      </c>
      <c r="T1661" t="n">
        <v>0</v>
      </c>
      <c r="V1661" t="n">
        <v>0</v>
      </c>
    </row>
    <row r="1662">
      <c r="A1662">
        <f>Skills!A22</f>
        <v/>
      </c>
      <c r="B1662">
        <f>Skills!B22</f>
        <v/>
      </c>
      <c r="C1662">
        <f>Inputs!$B$3&gt;=33</f>
        <v/>
      </c>
      <c r="D1662">
        <f>IF(Skills!C22=1,60+Inputs!$B$25+Inputs!$B$29,IF(Skills!C22=2,90+Inputs!$B$26+Inputs!$B$29,IF(Skills!C22=3,120+Inputs!$B$27+Inputs!$B$29,MAX(0,(Inputs!$B$3-100)*3)+Inputs!$B$28+Inputs!$B$29)))</f>
        <v/>
      </c>
      <c r="E1662">
        <f>INDEX(FactorTable!$B$2:$Y$301, MATCH(ROUND(MIN(300,MAX(1,D1662)),0), FactorTable!$A$2:$A$301,0), Skills!M22+1)</f>
        <v/>
      </c>
      <c r="F1662">
        <f>IF(Skills!N22=TRUE,(Skills!L22/10)*(E1662/1000),Skills!L22/10)+Skills!O22</f>
        <v/>
      </c>
      <c r="G1662">
        <f>Calc!G22</f>
        <v/>
      </c>
      <c r="H1662">
        <f>Calc!H22</f>
        <v/>
      </c>
      <c r="I1662">
        <f>IF(Skills!AA22&lt;&gt;"",1+(Skills!AA22/10)*(U1643/1000)/100,1)</f>
        <v/>
      </c>
      <c r="J1662" t="inlineStr"/>
      <c r="K1662" t="inlineStr"/>
      <c r="L1662" t="inlineStr"/>
      <c r="M1662" t="inlineStr"/>
      <c r="N1662" t="inlineStr"/>
      <c r="O1662">
        <f>(1-Summary!$B$11)*T1662+Summary!$B$11*V1662</f>
        <v/>
      </c>
      <c r="P1662">
        <f>IF(B1684=0,0,O1662/B1684)</f>
        <v/>
      </c>
      <c r="Q1662" t="n">
        <v>0</v>
      </c>
      <c r="R1662" t="n">
        <v>0</v>
      </c>
      <c r="S1662">
        <f>IFERROR(O1662/N1662,0)</f>
        <v/>
      </c>
      <c r="T1662" t="n">
        <v>0</v>
      </c>
      <c r="V1662" t="n">
        <v>0</v>
      </c>
    </row>
    <row r="1663">
      <c r="A1663">
        <f>Skills!A23</f>
        <v/>
      </c>
      <c r="B1663">
        <f>Skills!B23</f>
        <v/>
      </c>
      <c r="C1663">
        <f>Inputs!$B$3&gt;=38</f>
        <v/>
      </c>
      <c r="D1663">
        <f>IF(Skills!C23=1,60+Inputs!$B$25+Inputs!$B$29,IF(Skills!C23=2,90+Inputs!$B$26+Inputs!$B$29,IF(Skills!C23=3,120+Inputs!$B$27+Inputs!$B$29,MAX(0,(Inputs!$B$3-100)*3)+Inputs!$B$28+Inputs!$B$29)))</f>
        <v/>
      </c>
      <c r="E1663">
        <f>INDEX(FactorTable!$B$2:$Y$301, MATCH(ROUND(MIN(300,MAX(1,D1663)),0), FactorTable!$A$2:$A$301,0), Skills!M23+1)</f>
        <v/>
      </c>
      <c r="F1663">
        <f>IF(Skills!N23=TRUE,(Skills!L23/10)*(E1663/1000),Skills!L23/10)+Skills!O23</f>
        <v/>
      </c>
      <c r="G1663">
        <f>Calc!G23</f>
        <v/>
      </c>
      <c r="H1663">
        <f>Calc!H23</f>
        <v/>
      </c>
      <c r="I1663">
        <f>IF(Skills!AA23&lt;&gt;"",1+(Skills!AA23/10)*(U1643/1000)/100,1)</f>
        <v/>
      </c>
      <c r="J1663" t="inlineStr"/>
      <c r="K1663" t="inlineStr"/>
      <c r="L1663" t="inlineStr"/>
      <c r="M1663" t="inlineStr"/>
      <c r="N1663" t="inlineStr"/>
      <c r="O1663">
        <f>(1-Summary!$B$11)*T1663+Summary!$B$11*V1663</f>
        <v/>
      </c>
      <c r="P1663">
        <f>IF(B1684=0,0,O1663/B1684)</f>
        <v/>
      </c>
      <c r="Q1663" t="n">
        <v>0</v>
      </c>
      <c r="R1663" t="n">
        <v>0</v>
      </c>
      <c r="S1663">
        <f>IFERROR(O1663/N1663,0)</f>
        <v/>
      </c>
      <c r="T1663" t="n">
        <v>0</v>
      </c>
      <c r="V1663" t="n">
        <v>0</v>
      </c>
    </row>
    <row r="1664">
      <c r="A1664">
        <f>Skills!A24</f>
        <v/>
      </c>
      <c r="B1664">
        <f>Skills!B24</f>
        <v/>
      </c>
      <c r="C1664">
        <f>Inputs!$B$3&gt;=40</f>
        <v/>
      </c>
      <c r="D1664">
        <f>IF(Skills!C24=1,60+Inputs!$B$25+Inputs!$B$29,IF(Skills!C24=2,90+Inputs!$B$26+Inputs!$B$29,IF(Skills!C24=3,120+Inputs!$B$27+Inputs!$B$29,MAX(0,(Inputs!$B$3-100)*3)+Inputs!$B$28+Inputs!$B$29)))</f>
        <v/>
      </c>
      <c r="E1664">
        <f>INDEX(FactorTable!$B$2:$Y$301, MATCH(ROUND(MIN(300,MAX(1,D1664)),0), FactorTable!$A$2:$A$301,0), Skills!M24+1)</f>
        <v/>
      </c>
      <c r="F1664">
        <f>IF(Skills!N24=TRUE,(Skills!L24/10)*(E1664/1000),Skills!L24/10)+Skills!O24</f>
        <v/>
      </c>
      <c r="G1664">
        <f>Calc!G24</f>
        <v/>
      </c>
      <c r="H1664">
        <f>Calc!H24</f>
        <v/>
      </c>
      <c r="I1664">
        <f>IF(Skills!AA24&lt;&gt;"",1+(Skills!AA24/10)*(U1643/1000)/100,1)</f>
        <v/>
      </c>
      <c r="J1664" t="inlineStr"/>
      <c r="K1664" t="inlineStr"/>
      <c r="L1664" t="inlineStr"/>
      <c r="M1664" t="inlineStr"/>
      <c r="N1664" t="inlineStr"/>
      <c r="O1664">
        <f>(1-Summary!$B$11)*T1664+Summary!$B$11*V1664</f>
        <v/>
      </c>
      <c r="P1664">
        <f>IF(B1684=0,0,O1664/B1684)</f>
        <v/>
      </c>
      <c r="Q1664" t="n">
        <v>0</v>
      </c>
      <c r="R1664" t="n">
        <v>0</v>
      </c>
      <c r="S1664">
        <f>IFERROR(O1664/N1664,0)</f>
        <v/>
      </c>
      <c r="T1664" t="n">
        <v>0</v>
      </c>
      <c r="V1664" t="n">
        <v>0</v>
      </c>
    </row>
    <row r="1665">
      <c r="A1665">
        <f>Skills!A25</f>
        <v/>
      </c>
      <c r="B1665">
        <f>Skills!B25</f>
        <v/>
      </c>
      <c r="C1665">
        <f>Inputs!$B$3&gt;=45</f>
        <v/>
      </c>
      <c r="D1665">
        <f>IF(Skills!C25=1,60+Inputs!$B$25+Inputs!$B$29,IF(Skills!C25=2,90+Inputs!$B$26+Inputs!$B$29,IF(Skills!C25=3,120+Inputs!$B$27+Inputs!$B$29,MAX(0,(Inputs!$B$3-100)*3)+Inputs!$B$28+Inputs!$B$29)))</f>
        <v/>
      </c>
      <c r="E1665">
        <f>INDEX(FactorTable!$B$2:$Y$301, MATCH(ROUND(MIN(300,MAX(1,D1665)),0), FactorTable!$A$2:$A$301,0), Skills!M25+1)</f>
        <v/>
      </c>
      <c r="F1665">
        <f>IF(Skills!N25=TRUE,(Skills!L25/10)*(E1665/1000),Skills!L25/10)+Skills!O25</f>
        <v/>
      </c>
      <c r="G1665">
        <f>Calc!G25</f>
        <v/>
      </c>
      <c r="H1665">
        <f>Calc!H25</f>
        <v/>
      </c>
      <c r="I1665">
        <f>IF(Skills!AA25&lt;&gt;"",1+(Skills!AA25/10)*(U1643/1000)/100,1)</f>
        <v/>
      </c>
      <c r="J1665" t="inlineStr"/>
      <c r="K1665" t="inlineStr"/>
      <c r="L1665" t="inlineStr"/>
      <c r="M1665" t="inlineStr"/>
      <c r="N1665" t="inlineStr"/>
      <c r="O1665">
        <f>(1-Summary!$B$11)*T1665+Summary!$B$11*V1665</f>
        <v/>
      </c>
      <c r="P1665">
        <f>IF(B1684=0,0,O1665/B1684)</f>
        <v/>
      </c>
      <c r="Q1665" t="n">
        <v>0</v>
      </c>
      <c r="R1665" t="n">
        <v>0</v>
      </c>
      <c r="S1665">
        <f>IFERROR(O1665/N1665,0)</f>
        <v/>
      </c>
      <c r="T1665" t="n">
        <v>0</v>
      </c>
      <c r="V1665" t="n">
        <v>0</v>
      </c>
    </row>
    <row r="1666">
      <c r="A1666">
        <f>Skills!A26</f>
        <v/>
      </c>
      <c r="B1666">
        <f>Skills!B26</f>
        <v/>
      </c>
      <c r="C1666">
        <f>Inputs!$B$3&gt;=45</f>
        <v/>
      </c>
      <c r="D1666">
        <f>IF(Skills!C26=1,60+Inputs!$B$25+Inputs!$B$29,IF(Skills!C26=2,90+Inputs!$B$26+Inputs!$B$29,IF(Skills!C26=3,120+Inputs!$B$27+Inputs!$B$29,MAX(0,(Inputs!$B$3-100)*3)+Inputs!$B$28+Inputs!$B$29)))</f>
        <v/>
      </c>
      <c r="E1666">
        <f>INDEX(FactorTable!$B$2:$Y$301, MATCH(ROUND(MIN(300,MAX(1,D1666)),0), FactorTable!$A$2:$A$301,0), Skills!M26+1)</f>
        <v/>
      </c>
      <c r="F1666">
        <f>IF(Skills!N26=TRUE,(Skills!L26/10)*(E1666/1000),Skills!L26/10)+Skills!O26</f>
        <v/>
      </c>
      <c r="G1666">
        <f>Calc!G26</f>
        <v/>
      </c>
      <c r="H1666">
        <f>Calc!H26</f>
        <v/>
      </c>
      <c r="I1666">
        <f>IF(Skills!AA26&lt;&gt;"",1+(Skills!AA26/10)*(U1643/1000)/100,1)</f>
        <v/>
      </c>
      <c r="J1666" t="inlineStr"/>
      <c r="K1666" t="inlineStr"/>
      <c r="L1666" t="inlineStr"/>
      <c r="M1666" t="inlineStr"/>
      <c r="N1666" t="inlineStr"/>
      <c r="O1666">
        <f>(1-Summary!$B$11)*T1666+Summary!$B$11*V1666</f>
        <v/>
      </c>
      <c r="P1666">
        <f>IF(B1684=0,0,O1666/B1684)</f>
        <v/>
      </c>
      <c r="Q1666" t="n">
        <v>0</v>
      </c>
      <c r="R1666" t="n">
        <v>0</v>
      </c>
      <c r="S1666">
        <f>IFERROR(O1666/N1666,0)</f>
        <v/>
      </c>
      <c r="T1666" t="n">
        <v>0</v>
      </c>
      <c r="V1666" t="n">
        <v>0</v>
      </c>
    </row>
    <row r="1667">
      <c r="A1667">
        <f>Skills!A27</f>
        <v/>
      </c>
      <c r="B1667">
        <f>Skills!B27</f>
        <v/>
      </c>
      <c r="C1667">
        <f>Inputs!$B$3&gt;=72</f>
        <v/>
      </c>
      <c r="D1667">
        <f>IF(Skills!C27=1,60+Inputs!$B$25+Inputs!$B$29,IF(Skills!C27=2,90+Inputs!$B$26+Inputs!$B$29,IF(Skills!C27=3,120+Inputs!$B$27+Inputs!$B$29,MAX(0,(Inputs!$B$3-100)*3)+Inputs!$B$28+Inputs!$B$29)))</f>
        <v/>
      </c>
      <c r="E1667">
        <f>INDEX(FactorTable!$B$2:$Y$301, MATCH(ROUND(MIN(300,MAX(1,D1667)),0), FactorTable!$A$2:$A$301,0), Skills!M27+1)</f>
        <v/>
      </c>
      <c r="F1667">
        <f>IF(Skills!N27=TRUE,(Skills!L27/10)*(E1667/1000),Skills!L27/10)+Skills!O27</f>
        <v/>
      </c>
      <c r="G1667">
        <f>Calc!G27</f>
        <v/>
      </c>
      <c r="H1667">
        <f>Calc!H27</f>
        <v/>
      </c>
      <c r="I1667">
        <f>IF(Skills!AA27&lt;&gt;"",1+(Skills!AA27/10)*(U1643/1000)/100,1)</f>
        <v/>
      </c>
      <c r="J1667" t="inlineStr"/>
      <c r="K1667" t="inlineStr"/>
      <c r="L1667" t="inlineStr"/>
      <c r="M1667" t="inlineStr"/>
      <c r="N1667" t="inlineStr"/>
      <c r="O1667">
        <f>(1-Summary!$B$11)*T1667+Summary!$B$11*V1667</f>
        <v/>
      </c>
      <c r="P1667">
        <f>IF(B1684=0,0,O1667/B1684)</f>
        <v/>
      </c>
      <c r="Q1667" t="n">
        <v>0</v>
      </c>
      <c r="R1667" t="n">
        <v>0</v>
      </c>
      <c r="S1667">
        <f>IFERROR(O1667/N1667,0)</f>
        <v/>
      </c>
      <c r="T1667" t="n">
        <v>0</v>
      </c>
      <c r="V1667" t="n">
        <v>0</v>
      </c>
    </row>
    <row r="1668">
      <c r="A1668">
        <f>Skills!A28</f>
        <v/>
      </c>
      <c r="B1668">
        <f>Skills!B28</f>
        <v/>
      </c>
      <c r="C1668">
        <f>Inputs!$B$3&gt;=75</f>
        <v/>
      </c>
      <c r="D1668">
        <f>IF(Skills!C28=1,60+Inputs!$B$25+Inputs!$B$29,IF(Skills!C28=2,90+Inputs!$B$26+Inputs!$B$29,IF(Skills!C28=3,120+Inputs!$B$27+Inputs!$B$29,MAX(0,(Inputs!$B$3-100)*3)+Inputs!$B$28+Inputs!$B$29)))</f>
        <v/>
      </c>
      <c r="E1668">
        <f>INDEX(FactorTable!$B$2:$Y$301, MATCH(ROUND(MIN(300,MAX(1,D1668)),0), FactorTable!$A$2:$A$301,0), Skills!M28+1)</f>
        <v/>
      </c>
      <c r="F1668">
        <f>IF(Skills!N28=TRUE,(Skills!L28/10)*(E1668/1000),Skills!L28/10)+Skills!O28</f>
        <v/>
      </c>
      <c r="G1668">
        <f>Calc!G28</f>
        <v/>
      </c>
      <c r="H1668">
        <f>Calc!H28</f>
        <v/>
      </c>
      <c r="I1668">
        <f>IF(Skills!AA28&lt;&gt;"",1+(Skills!AA28/10)*(U1643/1000)/100,1)</f>
        <v/>
      </c>
      <c r="J1668" t="inlineStr"/>
      <c r="K1668" t="inlineStr"/>
      <c r="L1668" t="inlineStr"/>
      <c r="M1668" t="inlineStr"/>
      <c r="N1668" t="inlineStr"/>
      <c r="O1668">
        <f>(1-Summary!$B$11)*T1668+Summary!$B$11*V1668</f>
        <v/>
      </c>
      <c r="P1668">
        <f>IF(B1684=0,0,O1668/B1684)</f>
        <v/>
      </c>
      <c r="Q1668" t="n">
        <v>0</v>
      </c>
      <c r="R1668" t="n">
        <v>0</v>
      </c>
      <c r="S1668">
        <f>IFERROR(O1668/N1668,0)</f>
        <v/>
      </c>
      <c r="T1668" t="n">
        <v>0</v>
      </c>
      <c r="V1668" t="n">
        <v>0</v>
      </c>
    </row>
    <row r="1669">
      <c r="A1669">
        <f>Skills!A29</f>
        <v/>
      </c>
      <c r="B1669">
        <f>Skills!B29</f>
        <v/>
      </c>
      <c r="C1669">
        <f>Inputs!$B$3&gt;=120</f>
        <v/>
      </c>
      <c r="D1669">
        <f>IF(Skills!C29=1,60+Inputs!$B$25+Inputs!$B$29,IF(Skills!C29=2,90+Inputs!$B$26+Inputs!$B$29,IF(Skills!C29=3,120+Inputs!$B$27+Inputs!$B$29,MAX(0,(Inputs!$B$3-100)*3)+Inputs!$B$28+Inputs!$B$29)))</f>
        <v/>
      </c>
      <c r="E1669">
        <f>INDEX(FactorTable!$B$2:$Y$301, MATCH(ROUND(MIN(300,MAX(1,D1669)),0), FactorTable!$A$2:$A$301,0), Skills!M29+1)</f>
        <v/>
      </c>
      <c r="F1669">
        <f>IF(Skills!N29=TRUE,(Skills!L29/10)*(E1669/1000),Skills!L29/10)+Skills!O29</f>
        <v/>
      </c>
      <c r="G1669">
        <f>Calc!G29</f>
        <v/>
      </c>
      <c r="H1669">
        <f>Calc!H29</f>
        <v/>
      </c>
      <c r="I1669">
        <f>IF(Skills!AA29&lt;&gt;"",1+(Skills!AA29/10)*(U1643/1000)/100,1)</f>
        <v/>
      </c>
      <c r="J1669" t="inlineStr"/>
      <c r="K1669" t="inlineStr"/>
      <c r="L1669" t="inlineStr"/>
      <c r="M1669" t="inlineStr"/>
      <c r="N1669" t="inlineStr"/>
      <c r="O1669">
        <f>(1-Summary!$B$11)*T1669+Summary!$B$11*V1669</f>
        <v/>
      </c>
      <c r="P1669">
        <f>IF(B1684=0,0,O1669/B1684)</f>
        <v/>
      </c>
      <c r="Q1669" t="n">
        <v>0</v>
      </c>
      <c r="R1669" t="n">
        <v>0</v>
      </c>
      <c r="S1669">
        <f>IFERROR(O1669/N1669,0)</f>
        <v/>
      </c>
      <c r="T1669" t="n">
        <v>0</v>
      </c>
      <c r="V1669" t="n">
        <v>0</v>
      </c>
    </row>
    <row r="1670">
      <c r="A1670">
        <f>Skills!A30</f>
        <v/>
      </c>
      <c r="B1670">
        <f>Skills!B30</f>
        <v/>
      </c>
      <c r="C1670">
        <f>Inputs!$B$3&gt;=125</f>
        <v/>
      </c>
      <c r="D1670">
        <f>IF(Skills!C30=1,60+Inputs!$B$25+Inputs!$B$29,IF(Skills!C30=2,90+Inputs!$B$26+Inputs!$B$29,IF(Skills!C30=3,120+Inputs!$B$27+Inputs!$B$29,MAX(0,(Inputs!$B$3-100)*3)+Inputs!$B$28+Inputs!$B$29)))</f>
        <v/>
      </c>
      <c r="E1670">
        <f>INDEX(FactorTable!$B$2:$Y$301, MATCH(ROUND(MIN(300,MAX(1,D1670)),0), FactorTable!$A$2:$A$301,0), Skills!M30+1)</f>
        <v/>
      </c>
      <c r="F1670">
        <f>IF(Skills!N30=TRUE,(Skills!L30/10)*(E1670/1000),Skills!L30/10)+Skills!O30</f>
        <v/>
      </c>
      <c r="G1670">
        <f>Calc!G30</f>
        <v/>
      </c>
      <c r="H1670">
        <f>Calc!H30</f>
        <v/>
      </c>
      <c r="I1670">
        <f>IF(Skills!AA30&lt;&gt;"",1+(Skills!AA30/10)*(U1643/1000)/100,1)</f>
        <v/>
      </c>
      <c r="J1670" t="inlineStr"/>
      <c r="K1670" t="inlineStr"/>
      <c r="L1670" t="inlineStr"/>
      <c r="M1670" t="inlineStr"/>
      <c r="N1670" t="inlineStr"/>
      <c r="O1670">
        <f>(1-Summary!$B$11)*T1670+Summary!$B$11*V1670</f>
        <v/>
      </c>
      <c r="P1670">
        <f>IF(B1684=0,0,O1670/B1684)</f>
        <v/>
      </c>
      <c r="Q1670" t="n">
        <v>0</v>
      </c>
      <c r="R1670" t="n">
        <v>0</v>
      </c>
      <c r="S1670">
        <f>IFERROR(O1670/N1670,0)</f>
        <v/>
      </c>
      <c r="T1670" t="n">
        <v>0</v>
      </c>
      <c r="V1670" t="n">
        <v>0</v>
      </c>
    </row>
    <row r="1671">
      <c r="A1671">
        <f>Skills!A31</f>
        <v/>
      </c>
      <c r="B1671">
        <f>Skills!B31</f>
        <v/>
      </c>
      <c r="C1671">
        <f>Inputs!$B$3&gt;=107</f>
        <v/>
      </c>
      <c r="D1671">
        <f>IF(Skills!C31=1,60+Inputs!$B$25+Inputs!$B$29,IF(Skills!C31=2,90+Inputs!$B$26+Inputs!$B$29,IF(Skills!C31=3,120+Inputs!$B$27+Inputs!$B$29,MAX(0,(Inputs!$B$3-100)*3)+Inputs!$B$28+Inputs!$B$29)))</f>
        <v/>
      </c>
      <c r="E1671">
        <f>INDEX(FactorTable!$B$2:$Y$301, MATCH(ROUND(MIN(300,MAX(1,D1671)),0), FactorTable!$A$2:$A$301,0), Skills!M31+1)</f>
        <v/>
      </c>
      <c r="F1671">
        <f>IF(Skills!N31=TRUE,(Skills!L31/10)*(E1671/1000),Skills!L31/10)+Skills!O31</f>
        <v/>
      </c>
      <c r="G1671">
        <f>Calc!G31</f>
        <v/>
      </c>
      <c r="H1671">
        <f>Calc!H31</f>
        <v/>
      </c>
      <c r="I1671">
        <f>IF(Skills!AA31&lt;&gt;"",1+(Skills!AA31/10)*(U1643/1000)/100,1)</f>
        <v/>
      </c>
      <c r="J1671" t="inlineStr"/>
      <c r="K1671" t="inlineStr"/>
      <c r="L1671" t="inlineStr"/>
      <c r="M1671" t="inlineStr"/>
      <c r="N1671" t="inlineStr"/>
      <c r="O1671">
        <f>(1-Summary!$B$11)*T1671+Summary!$B$11*V1671</f>
        <v/>
      </c>
      <c r="P1671">
        <f>IF(B1684=0,0,O1671/B1684)</f>
        <v/>
      </c>
      <c r="Q1671" t="n">
        <v>0</v>
      </c>
      <c r="R1671" t="n">
        <v>0</v>
      </c>
      <c r="S1671">
        <f>IFERROR(O1671/N1671,0)</f>
        <v/>
      </c>
      <c r="T1671" t="n">
        <v>0</v>
      </c>
      <c r="V1671" t="n">
        <v>0</v>
      </c>
    </row>
    <row r="1673">
      <c r="A1673" t="inlineStr">
        <is>
          <t>Actions Per Second (pre-Adrenalin)</t>
        </is>
      </c>
      <c r="B1673">
        <f>1+MIN(150,150*(1-(1-(Inputs!$B$11+((C1662=TRUE)*(F1662-Calc!F22))+(ArtifactsInput!$M$15-ArtifactsInput!$M$15)*CHOOSE(ArtifactsInput!$N$15+1,8,9.6,11.2,12.8,14.4,16))/150)*(1-((C1659=TRUE)*F1659*IF(AND(Inputs!$B$39&lt;&gt;"pvp",Inputs!$B$44&gt;0),(((R1659-1)*(Skills!Y19*(1+Inputs!$B$34/100))+MIN((Skills!Y19*(1+Inputs!$B$34/100)),MAX(0,Inputs!$B$44-((R1659-1)*Skills!D19))))/Inputs!$B$44),IF(Inputs!$B$39="pvp",MIN((Skills!Y19*(1+Inputs!$B$34/100)),15)/15,(Skills!Y19*(1+Inputs!$B$34/100))/Skills!D19)))/150)))/100</f>
        <v/>
      </c>
    </row>
    <row r="1674">
      <c r="A1674" t="inlineStr">
        <is>
          <t>Alchemic Adrenaline Uptime</t>
        </is>
      </c>
      <c r="B1674">
        <f>(Skills!Y6*(1+Inputs!$B$34/100))/((Skills!Y6*(1+Inputs!$B$34/100))+(5/B1673))</f>
        <v/>
      </c>
    </row>
    <row r="1675">
      <c r="A1675" t="inlineStr">
        <is>
          <t>Attack Speed Buff Bonus %</t>
        </is>
      </c>
      <c r="B1675">
        <f>((C1659=TRUE)*F1659*IF(AND(Inputs!$B$39&lt;&gt;"pvp",Inputs!$B$44&gt;0),(((R1659-1)*(Skills!Y19*(1+Inputs!$B$34/100))+MIN((Skills!Y19*(1+Inputs!$B$34/100)),MAX(0,Inputs!$B$44-((R1659-1)*Skills!D19))))/Inputs!$B$44),IF(Inputs!$B$39="pvp",MIN((Skills!Y19*(1+Inputs!$B$34/100)),15)/15,(Skills!Y19*(1+Inputs!$B$34/100))/Skills!D19)))+((C1647=TRUE)*F1647*B1674)</f>
        <v/>
      </c>
    </row>
    <row r="1676">
      <c r="A1676" t="inlineStr">
        <is>
          <t>Actions Per Second (final)</t>
        </is>
      </c>
      <c r="B1676">
        <f>1+MIN(150,150*(1-(1-(Inputs!$B$11+((C1662=TRUE)*(F1662-Calc!F22))+(ArtifactsInput!$M$15-ArtifactsInput!$M$15)*CHOOSE(ArtifactsInput!$N$15+1,8,9.6,11.2,12.8,14.4,16))/150)*(1-B1675/150)))/100</f>
        <v/>
      </c>
    </row>
    <row r="1677">
      <c r="A1677" t="inlineStr">
        <is>
          <t>Skill + Buff Cast Rate</t>
        </is>
      </c>
      <c r="B1677">
        <f>IF(AND(Inputs!$B$39&lt;&gt;"pvp",Inputs!$B$44&gt;0),SUMPRODUCT((Skills!E2:E31=TRUE)*(C1642:C1671=TRUE)*R1642:R1671*Skills!F2:F31)/Inputs!$B$44,SUMPRODUCT((Skills!E2:E31=TRUE)*(C1642:C1671=TRUE)*Q1642:Q1671*Skills!F2:F31))</f>
        <v/>
      </c>
    </row>
    <row r="1678">
      <c r="A1678" t="inlineStr">
        <is>
          <t>Showdown Casts Per Second</t>
        </is>
      </c>
      <c r="B1678">
        <f>MAX(0,B1676-B1677)</f>
        <v/>
      </c>
    </row>
    <row r="1679">
      <c r="A1679" t="inlineStr">
        <is>
          <t>Average Buff Multiplier</t>
        </is>
      </c>
      <c r="B1679">
        <f>(1+(((C1661=TRUE)*F1661*IF(AND(Inputs!$B$39&lt;&gt;"pvp",Inputs!$B$44&gt;0),(((R1661-1)*(Skills!Y21*(1+Inputs!$B$34/100))+MIN((Skills!Y21*(1+Inputs!$B$34/100)),MAX(0,Inputs!$B$44-((R1661-1)*Skills!D21))))/Inputs!$B$44),IF(Inputs!$B$39="pvp",MIN((Skills!Y21*(1+Inputs!$B$34/100)),15)/15,(Skills!Y21*(1+Inputs!$B$34/100))/Skills!D21)))+((C1668=TRUE)*(F1668-Calc!F28))+((C1658=TRUE)*(F1658-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1655=TRUE)*F1655*IF(AND(Inputs!$B$39&lt;&gt;"pvp",Inputs!$B$44&gt;0),(((R1655-1)*(Skills!Y15*(1+Inputs!$B$34/100))+MIN((Skills!Y15*(1+Inputs!$B$34/100)),MAX(0,Inputs!$B$44-((R1655-1)*Skills!D15))))/Inputs!$B$44),IF(Inputs!$B$39="pvp",MIN((Skills!Y15*(1+Inputs!$B$34/100)),15)/15,(Skills!Y15*(1+Inputs!$B$34/100))/Skills!D15)))/100)*(1+((C1646=TRUE)*F1646*B1674)/100)</f>
        <v/>
      </c>
    </row>
    <row r="1680">
      <c r="A1680" t="inlineStr">
        <is>
          <t>Global Crit Rate Bonus %</t>
        </is>
      </c>
      <c r="B1680">
        <f>IF(Inputs!$B$3&gt;=47,8,0)+((C1660=TRUE)*F1660*IF(AND(Inputs!$B$39&lt;&gt;"pvp",Inputs!$B$44&gt;0),(((R1660-1)*(Skills!Y20*(1+Inputs!$B$34/100))+MIN((Skills!Y20*(1+Inputs!$B$34/100)),MAX(0,Inputs!$B$44-((R1660-1)*Skills!D20))))/Inputs!$B$44),IF(Inputs!$B$39="pvp",MIN((Skills!Y20*(1+Inputs!$B$34/100)),15)/15,(Skills!Y20*(1+Inputs!$B$34/100))/Skills!D20)))</f>
        <v/>
      </c>
    </row>
    <row r="1681">
      <c r="A1681" t="inlineStr">
        <is>
          <t>Global Monster Damage-Taken Bonus %</t>
        </is>
      </c>
      <c r="B1681">
        <f>IF(Inputs!$B$3&gt;=82,15,0)+((C1656=TRUE)*F1656*IF(AND(Inputs!$B$39&lt;&gt;"pvp",Inputs!$B$44&gt;0),(((R1656-1)*(Skills!Y16*(1+Inputs!$B$34/100))+MIN((Skills!Y16*(1+Inputs!$B$34/100)),MAX(0,Inputs!$B$44-((R1656-1)*Skills!D16))))/Inputs!$B$44),IF(Inputs!$B$39="pvp",MIN((Skills!Y16*(1+Inputs!$B$34/100)),15)/15,(Skills!Y16*(1+Inputs!$B$34/100))/Skills!D16)))</f>
        <v/>
      </c>
    </row>
    <row r="1682">
      <c r="A1682" t="inlineStr">
        <is>
          <t>Shadow Partner Average Multiplier</t>
        </is>
      </c>
      <c r="B1682">
        <f>1+((C1651=TRUE)*F1651*I1651*Skills!J11/100)/100</f>
        <v/>
      </c>
    </row>
    <row r="1683">
      <c r="A1683" t="inlineStr">
        <is>
          <t>Global Critical Damage Bonus % (Frailty Curse Mastery Lv.111)</t>
        </is>
      </c>
      <c r="B1683">
        <f>IF(Inputs!$B$3&gt;=111,30,0)*IF(AND(Inputs!$B$39&lt;&gt;"pvp",Inputs!$B$44&gt;0),(((R1656-1)*(Skills!Y16*(1+Inputs!$B$34/100))+MIN((Skills!Y16*(1+Inputs!$B$34/100)),MAX(0,Inputs!$B$44-((R1656-1)*Skills!D16))))/Inputs!$B$44),IF(Inputs!$B$39="pvp",MIN((Skills!Y16*(1+Inputs!$B$34/100)),15)/15,(Skills!Y16*(1+Inputs!$B$34/100))/Skills!D16))</f>
        <v/>
      </c>
    </row>
    <row r="1684">
      <c r="A1684" s="6" t="inlineStr">
        <is>
          <t>TOTAL DPS</t>
        </is>
      </c>
      <c r="B1684" s="6">
        <f>SUM(O1642:O1671)</f>
        <v/>
      </c>
    </row>
    <row r="1685">
      <c r="A1685" t="inlineStr">
        <is>
          <t>Buff-Casting Startup Delay (s, fixed-duration only)</t>
        </is>
      </c>
      <c r="B1685">
        <f>IF(AND(Inputs!$B$39&lt;&gt;"pvp",Inputs!$B$44&gt;0),SUMPRODUCT((Skills!Y2:Y31&gt;0)*(Skills!E2:E31=TRUE)*(C1642:C1671=TRUE))/B1676,0)</f>
        <v/>
      </c>
    </row>
    <row r="1686">
      <c r="A1686" t="inlineStr">
        <is>
          <t>Boss-Only Total DPS (this block's swept value)</t>
        </is>
      </c>
      <c r="B1686">
        <f>SUM(T1642:T1671)</f>
        <v/>
      </c>
    </row>
    <row r="1687">
      <c r="A1687" t="inlineStr">
        <is>
          <t>Normal-Only Total DPS (this block's swept value)</t>
        </is>
      </c>
      <c r="B1687">
        <f>SUM(V1642:V1671)</f>
        <v/>
      </c>
    </row>
    <row r="1689">
      <c r="A1689" s="6" t="inlineStr">
        <is>
          <t>Stat: Arwen's Glass Shoes (Equip)</t>
        </is>
      </c>
    </row>
    <row r="1690">
      <c r="A1690" s="5" t="inlineStr">
        <is>
          <t>Key</t>
        </is>
      </c>
      <c r="B1690" s="5" t="inlineStr">
        <is>
          <t>Name</t>
        </is>
      </c>
      <c r="C1690" s="5" t="inlineStr">
        <is>
          <t>Unlocked</t>
        </is>
      </c>
      <c r="D1690" s="5" t="inlineStr">
        <is>
          <t>InputLevel</t>
        </is>
      </c>
      <c r="E1690" s="5" t="inlineStr">
        <is>
          <t>Factor</t>
        </is>
      </c>
      <c r="F1690" s="5" t="inlineStr">
        <is>
          <t>CoefficientPercent</t>
        </is>
      </c>
      <c r="G1690" s="5" t="inlineStr">
        <is>
          <t>EffectiveHits</t>
        </is>
      </c>
      <c r="H1690" s="5" t="inlineStr">
        <is>
          <t>ProcProbability</t>
        </is>
      </c>
      <c r="I1690" s="5" t="inlineStr">
        <is>
          <t>MapleHeroMultiplier</t>
        </is>
      </c>
      <c r="J1690" s="5" t="inlineStr">
        <is>
          <t>BaseDamage</t>
        </is>
      </c>
      <c r="K1690" s="5" t="inlineStr">
        <is>
          <t>BaseHitDamage</t>
        </is>
      </c>
      <c r="L1690" s="5" t="inlineStr">
        <is>
          <t>NonCritAvg</t>
        </is>
      </c>
      <c r="M1690" s="5" t="inlineStr">
        <is>
          <t>CritAvg</t>
        </is>
      </c>
      <c r="N1690" s="5" t="inlineStr">
        <is>
          <t>ExpectedDamage(perHit)</t>
        </is>
      </c>
      <c r="O1690" s="5" t="inlineStr">
        <is>
          <t>DPS</t>
        </is>
      </c>
      <c r="P1690" s="5" t="inlineStr">
        <is>
          <t>% of Total</t>
        </is>
      </c>
      <c r="Q1690" s="5" t="inlineStr">
        <is>
          <t>InvCooldown</t>
        </is>
      </c>
      <c r="R1690" s="5" t="inlineStr">
        <is>
          <t>CastsInFight</t>
        </is>
      </c>
      <c r="S1690" s="5" t="inlineStr">
        <is>
          <t>HitRate(perSec)</t>
        </is>
      </c>
      <c r="U1690" t="inlineStr">
        <is>
          <t>helpers</t>
        </is>
      </c>
    </row>
    <row r="1691">
      <c r="A1691">
        <f>Skills!A2</f>
        <v/>
      </c>
      <c r="B1691">
        <f>Skills!B2</f>
        <v/>
      </c>
      <c r="C1691">
        <f>Inputs!$B$3&gt;=100</f>
        <v/>
      </c>
      <c r="D1691" t="inlineStr"/>
      <c r="E1691" t="inlineStr"/>
      <c r="F1691">
        <f>U1695+Skills!O2</f>
        <v/>
      </c>
      <c r="G1691">
        <f>Calc!G2</f>
        <v/>
      </c>
      <c r="H1691">
        <f>Calc!H2</f>
        <v/>
      </c>
      <c r="I1691">
        <f>IF(Skills!AA2&lt;&gt;"",1+(Skills!AA2/10)*(U1692/1000)/100,1)</f>
        <v/>
      </c>
      <c r="J1691">
        <f>((Inputs!$B$6*(1+Inputs!$B$7/100))+(((Inputs!$B$12*(1+Inputs!$B$13/100))-(Inputs!$B$12*(1+Inputs!$B$13/100)))+0.25*(Inputs!$B$14-Inputs!$B$14))*(1+Inputs!$B$7/100))*(F1691/100)</f>
        <v/>
      </c>
      <c r="K1691">
        <f>J1691*(1+((Inputs!$B$12*(1+Inputs!$B$13/100))*0.01+Inputs!$B$14*0.0025)/100)*(1+Inputs!$B$15/100)*(1+Inputs!$B$16/100)*(5000/(6000+Inputs!$B$43*(1-(100*(1-(1-(Inputs!$B$19+0)/100)*(1-CHOOSE(ArtifactsInput!$N$40+1,5,6,7,8,9,10)/100)^(ArtifactsInput!$M$40-ArtifactsInput!$M$40)))/100)))*(1+(Inputs!$B$24+((C1719=TRUE)*(F1719-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1712=TRUE)*(F1712-Calc!F23))+(((IF(AND(ArtifactsInput!$M$42,((Inputs!$B$9+((C1714=TRUE)*(F1714-Calc!F25))+B1729+(ArtifactsInput!$M$24-ArtifactsInput!$M$24)*CHOOSE(ArtifactsInput!$N$24+1,10,12,14,16,18,20)+IF(ArtifactsInput!$M$10,CHOOSE(ArtifactsInput!$N$10+1,15,18,21,24,27,30)*(IF(Inputs!$B$39="pvp",MIN(15,15)/15,IF(AND(Inputs!$B$39&lt;&gt;"pvp",Inputs!$B$44&gt;0),MIN(15,Inputs!$B$44)/(Inputs!$B$44),0))),0)))&gt;=100),MIN(100,((Inputs!$B$9+((C1714=TRUE)*(F1714-Calc!F25))+B1729+(ArtifactsInput!$M$24-ArtifactsInput!$M$24)*CHOOSE(ArtifactsInput!$N$24+1,10,12,14,16,18,20)+IF(ArtifactsInput!$M$10,CHOOSE(ArtifactsInput!$N$10+1,15,18,21,24,27,30)*(IF(Inputs!$B$39="pvp",MIN(15,15)/15,IF(AND(Inputs!$B$39&lt;&gt;"pvp",Inputs!$B$44&gt;0),MIN(15,Inputs!$B$44)/(Inputs!$B$44),0))),0)))-100),0))*CHOOSE(ArtifactsInput!$N$42+1,0.6,0.72,0.84,0.96,1.08,1.2))),Inputs!$B$18+((C1718=TRUE)*(F1718-Calc!F29))+(IF(AND(ArtifactsInput!$M$42,((Inputs!$B$9+((C1714=TRUE)*(F1714-Calc!F25))+B1729+(ArtifactsInput!$M$24-ArtifactsInput!$M$24)*CHOOSE(ArtifactsInput!$N$24+1,10,12,14,16,18,20)+IF(ArtifactsInput!$M$10,CHOOSE(ArtifactsInput!$N$10+1,15,18,21,24,27,30)*(IF(Inputs!$B$39="pvp",MIN(15,15)/15,IF(AND(Inputs!$B$39&lt;&gt;"pvp",Inputs!$B$44&gt;0),MIN(15,Inputs!$B$44)/(Inputs!$B$44),0))),0)))&gt;=100),CHOOSE(ArtifactsInput!$N$42+1,40,48,56,64,72,80),0))))/100)*(((1+(((C1710=TRUE)*F1710*IF(AND(Inputs!$B$39&lt;&gt;"pvp",Inputs!$B$44&gt;0),(((R1710-1)*(Skills!Y21*(1+Inputs!$B$34/100))+MIN((Skills!Y21*(1+Inputs!$B$34/100)),MAX(0,Inputs!$B$44-((R1710-1)*Skills!D21))))/Inputs!$B$44),IF(Inputs!$B$39="pvp",MIN((Skills!Y21*(1+Inputs!$B$34/100)),15)/15,(Skills!Y21*(1+Inputs!$B$34/100))/Skills!D21)))+((C1717=TRUE)*(F1717-Calc!F28))+((C1707=TRUE)*(F1707-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1704=TRUE)*F1704*IF(AND(Inputs!$B$39&lt;&gt;"pvp",Inputs!$B$44&gt;0),(((R1704-1)*(Skills!Y15*(1+Inputs!$B$34/100))+MIN((Skills!Y15*(1+Inputs!$B$34/100)),MAX(0,Inputs!$B$44-((R1704-1)*Skills!D15))))/Inputs!$B$44),IF(Inputs!$B$39="pvp",MIN((Skills!Y15*(1+Inputs!$B$34/100)),15)/15,(Skills!Y15*(1+Inputs!$B$34/100))/Skills!D15)))/100)*(1+((C1695=TRUE)*F1695*B1723)/100))*B1731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1691)</f>
        <v/>
      </c>
      <c r="L1691">
        <f>K1691*(MIN(Inputs!$B$22+((C1713=TRUE)*(F1713-Calc!F24)),(Inputs!$B$23+0+(IF(ArtifactsInput!$M$15,CHOOSE(ArtifactsInput!$N$15+1,25,30,35,40,45,50)/100*(Inputs!$B$11-Inputs!$B$11),0))))/100+(Inputs!$B$23+0+(IF(ArtifactsInput!$M$15,CHOOSE(ArtifactsInput!$N$15+1,25,30,35,40,45,50)/100*(Inputs!$B$11-Inputs!$B$11),0)))/100)/2</f>
        <v/>
      </c>
      <c r="M1691">
        <f>L1691*(1+(Inputs!$B$10+((C1715=TRUE)*(F1715-Calc!F26))+B1732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91">
        <f>L1691*(1-MIN((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1691*(MIN((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91">
        <f>(1-Summary!$B$11)*T1691+Summary!$B$11*V1691</f>
        <v/>
      </c>
      <c r="P1691">
        <f>IF(B1733=0,0,O1691/B1733)</f>
        <v/>
      </c>
      <c r="Q1691" t="n">
        <v>0</v>
      </c>
      <c r="R1691" t="n">
        <v>0</v>
      </c>
      <c r="S1691">
        <f>IFERROR(O1691/N1691,0)</f>
        <v/>
      </c>
      <c r="T1691">
        <f>IF(C1691,(Skills!G2*N1691*B1727)*IF(Inputs!$B$39="pvp",1,1+(Inputs!$B$20+((C1716=TRUE)*(F1716-Calc!F27))+Skills!P2+B1730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1691*(1-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1691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1691*(1-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1691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91">
        <f>MAX(0,(Inputs!$B$3-100)*3)+Inputs!$B$28+Inputs!$B$29</f>
        <v/>
      </c>
      <c r="V1691">
        <f>IF(C1691,(Skills!G2*N1691*B1727)*IF(Inputs!$B$39="pvp",1,(1+(Inputs!$B$21+Skills!Q2+B1730+(IF(ArtifactsInput!$M$33,CHOOSE(ArtifactsInput!$N$33+1,30,36,42,48,54,60),0))+(IF(AND(ArtifactsInput!$M$35,Inputs!$B$4&lt;&gt;"Chapter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92">
      <c r="A1692">
        <f>Skills!A3</f>
        <v/>
      </c>
      <c r="B1692">
        <f>Skills!B3</f>
        <v/>
      </c>
      <c r="C1692">
        <f>Inputs!$B$3&gt;=35</f>
        <v/>
      </c>
      <c r="D1692">
        <f>IF(Skills!C3=1,60+Inputs!$B$25+Inputs!$B$29,IF(Skills!C3=2,90+Inputs!$B$26+Inputs!$B$29,IF(Skills!C3=3,120+Inputs!$B$27+Inputs!$B$29,MAX(0,(Inputs!$B$3-100)*3)+Inputs!$B$28+Inputs!$B$29)))</f>
        <v/>
      </c>
      <c r="E1692">
        <f>INDEX(FactorTable!$B$2:$Y$301, MATCH(ROUND(MIN(300,MAX(1,D1692)),0), FactorTable!$A$2:$A$301,0), Skills!M3+1)</f>
        <v/>
      </c>
      <c r="F1692">
        <f>IF(Skills!N3=TRUE,(Skills!L3/10)*(E1692/1000),Skills!L3/10)+Skills!O3</f>
        <v/>
      </c>
      <c r="G1692">
        <f>Calc!G3</f>
        <v/>
      </c>
      <c r="H1692">
        <f>Calc!H3</f>
        <v/>
      </c>
      <c r="I1692">
        <f>IF(Skills!AA3&lt;&gt;"",1+(Skills!AA3/10)*(U1692/1000)/100,1)</f>
        <v/>
      </c>
      <c r="J1692">
        <f>((Inputs!$B$6*(1+Inputs!$B$7/100))+(((Inputs!$B$12*(1+Inputs!$B$13/100))-(Inputs!$B$12*(1+Inputs!$B$13/100)))+0.25*(Inputs!$B$14-Inputs!$B$14))*(1+Inputs!$B$7/100))*(F1692/100)</f>
        <v/>
      </c>
      <c r="K1692">
        <f>J1692*(1+((Inputs!$B$12*(1+Inputs!$B$13/100))*0.01+Inputs!$B$14*0.0025)/100)*(1+Inputs!$B$15/100)*(1+Inputs!$B$16/100)*(5000/(6000+Inputs!$B$43*(1-(100*(1-(1-(Inputs!$B$19+0)/100)*(1-CHOOSE(ArtifactsInput!$N$40+1,5,6,7,8,9,10)/100)^(ArtifactsInput!$M$40-ArtifactsInput!$M$40)))/100)))*(1+(Inputs!$B$24+((C1719=TRUE)*(F1719-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1712=TRUE)*(F1712-Calc!F23))+(((IF(AND(ArtifactsInput!$M$42,((Inputs!$B$9+((C1714=TRUE)*(F1714-Calc!F25))+B1729+(ArtifactsInput!$M$24-ArtifactsInput!$M$24)*CHOOSE(ArtifactsInput!$N$24+1,10,12,14,16,18,20)+IF(ArtifactsInput!$M$10,CHOOSE(ArtifactsInput!$N$10+1,15,18,21,24,27,30)*(IF(Inputs!$B$39="pvp",MIN(15,15)/15,IF(AND(Inputs!$B$39&lt;&gt;"pvp",Inputs!$B$44&gt;0),MIN(15,Inputs!$B$44)/(Inputs!$B$44),0))),0)))&gt;=100),MIN(100,((Inputs!$B$9+((C1714=TRUE)*(F1714-Calc!F25))+B1729+(ArtifactsInput!$M$24-ArtifactsInput!$M$24)*CHOOSE(ArtifactsInput!$N$24+1,10,12,14,16,18,20)+IF(ArtifactsInput!$M$10,CHOOSE(ArtifactsInput!$N$10+1,15,18,21,24,27,30)*(IF(Inputs!$B$39="pvp",MIN(15,15)/15,IF(AND(Inputs!$B$39&lt;&gt;"pvp",Inputs!$B$44&gt;0),MIN(15,Inputs!$B$44)/(Inputs!$B$44),0))),0)))-100),0))*CHOOSE(ArtifactsInput!$N$42+1,0.6,0.72,0.84,0.96,1.08,1.2))),Inputs!$B$18+((C1718=TRUE)*(F1718-Calc!F29))+(IF(AND(ArtifactsInput!$M$42,((Inputs!$B$9+((C1714=TRUE)*(F1714-Calc!F25))+B1729+(ArtifactsInput!$M$24-ArtifactsInput!$M$24)*CHOOSE(ArtifactsInput!$N$24+1,10,12,14,16,18,20)+IF(ArtifactsInput!$M$10,CHOOSE(ArtifactsInput!$N$10+1,15,18,21,24,27,30)*(IF(Inputs!$B$39="pvp",MIN(15,15)/15,IF(AND(Inputs!$B$39&lt;&gt;"pvp",Inputs!$B$44&gt;0),MIN(15,Inputs!$B$44)/(Inputs!$B$44),0))),0)))&gt;=100),CHOOSE(ArtifactsInput!$N$42+1,40,48,56,64,72,80),0))))/100)*(((1+(((C1710=TRUE)*F1710*IF(AND(Inputs!$B$39&lt;&gt;"pvp",Inputs!$B$44&gt;0),(((R1710-1)*(Skills!Y21*(1+Inputs!$B$34/100))+MIN((Skills!Y21*(1+Inputs!$B$34/100)),MAX(0,Inputs!$B$44-((R1710-1)*Skills!D21))))/Inputs!$B$44),IF(Inputs!$B$39="pvp",MIN((Skills!Y21*(1+Inputs!$B$34/100)),15)/15,(Skills!Y21*(1+Inputs!$B$34/100))/Skills!D21)))+((C1717=TRUE)*(F1717-Calc!F28))+((C1707=TRUE)*(F1707-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1704=TRUE)*F1704*IF(AND(Inputs!$B$39&lt;&gt;"pvp",Inputs!$B$44&gt;0),(((R1704-1)*(Skills!Y15*(1+Inputs!$B$34/100))+MIN((Skills!Y15*(1+Inputs!$B$34/100)),MAX(0,Inputs!$B$44-((R1704-1)*Skills!D15))))/Inputs!$B$44),IF(Inputs!$B$39="pvp",MIN((Skills!Y15*(1+Inputs!$B$34/100)),15)/15,(Skills!Y15*(1+Inputs!$B$34/100))/Skills!D15)))/100)*(1+((C1695=TRUE)*F1695*B1723)/100))*B1731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1692)</f>
        <v/>
      </c>
      <c r="L1692">
        <f>K1692*(MIN(Inputs!$B$22+((C1713=TRUE)*(F1713-Calc!F24)),(Inputs!$B$23+0+(IF(ArtifactsInput!$M$15,CHOOSE(ArtifactsInput!$N$15+1,25,30,35,40,45,50)/100*(Inputs!$B$11-Inputs!$B$11),0))))/100+(Inputs!$B$23+0+(IF(ArtifactsInput!$M$15,CHOOSE(ArtifactsInput!$N$15+1,25,30,35,40,45,50)/100*(Inputs!$B$11-Inputs!$B$11),0)))/100)/2</f>
        <v/>
      </c>
      <c r="M1692">
        <f>L1692*(1+(Inputs!$B$10+((C1715=TRUE)*(F1715-Calc!F26))+B1732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92">
        <f>L1692*(1-MIN((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1692*(MIN((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92">
        <f>(1-Summary!$B$11)*T1692+Summary!$B$11*V1692</f>
        <v/>
      </c>
      <c r="P1692">
        <f>IF(B1733=0,0,O1692/B1733)</f>
        <v/>
      </c>
      <c r="Q1692">
        <f>IFERROR(1/IF(Inputs!$B$39="pvp",15,MAX(0.1,Skills!D3-IF(Skills!E3=TRUE,Inputs!$B$32,0))),0)</f>
        <v/>
      </c>
      <c r="R1692">
        <f>IF(AND(Inputs!$B$39&lt;&gt;"pvp",Inputs!$B$44&gt;0),IF(MAX(0,Inputs!$B$44-B1734)&lt;=0,0,(INT(MAX(0,Inputs!$B$44-B1734)/IF(Inputs!$B$39="pvp",15,MAX(0.1,Skills!D3-IF(Skills!E3=TRUE,Inputs!$B$32,0))))+1)),0)</f>
        <v/>
      </c>
      <c r="S1692">
        <f>IFERROR(O1692/N1692,0)</f>
        <v/>
      </c>
      <c r="T1692">
        <f>IF(C1692,(H1692*N1692*IF(AND(Inputs!$B$39&lt;&gt;"pvp",Inputs!$B$44&gt;0),((Skills!G3*((R1692-1)*IF(Skills!H3&gt;0,Skills!I3/Skills!H3,1)+IF(Skills!H3&gt;0,MIN(Skills!I3,MAX(0,MAX(0,Inputs!$B$44-B1734)-((R1692-1)*IF(Inputs!$B$39="pvp",15,MAX(0.1,Skills!D3-IF(Skills!E3=TRUE,Inputs!$B$32,0))))))/Skills!H3,1)))/Inputs!$B$44),G1692*Q1692))*IF(Inputs!$B$39="pvp",1,1+(Inputs!$B$20+((C1716=TRUE)*(F1716-Calc!F27))+Skills!P3+B1730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1692*(1-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1692*(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1692*(1-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1692*(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92">
        <f>INDEX(FactorTable!$B$2:$Y$301, MATCH(ROUND(MIN(300,MAX(1,U1691)),0), FactorTable!$A$2:$A$301,0), 24)</f>
        <v/>
      </c>
      <c r="V1692">
        <f>IF(C1692,(H1692*N1692*IF(AND(Inputs!$B$39&lt;&gt;"pvp",Inputs!$B$44&gt;0),((Skills!G3*((R1692-1)*IF(Skills!H3&gt;0,Skills!I3/Skills!H3,1)+IF(Skills!H3&gt;0,MIN(Skills!I3,MAX(0,MAX(0,Inputs!$B$44-B1734)-((R1692-1)*IF(Inputs!$B$39="pvp",15,MAX(0.1,Skills!D3-IF(Skills!E3=TRUE,Inputs!$B$32,0))))))/Skills!H3,1)))/Inputs!$B$44),G1692*Q1692))*IF(Inputs!$B$39="pvp",1,(1+(Inputs!$B$21+Skills!Q3+B1730+(IF(ArtifactsInput!$M$33,CHOOSE(ArtifactsInput!$N$33+1,30,36,42,48,54,60)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93">
      <c r="A1693">
        <f>Skills!A4</f>
        <v/>
      </c>
      <c r="B1693">
        <f>Skills!B4</f>
        <v/>
      </c>
      <c r="C1693">
        <f>Inputs!$B$3&gt;=40</f>
        <v/>
      </c>
      <c r="D1693">
        <f>IF(Skills!C4=1,60+Inputs!$B$25+Inputs!$B$29,IF(Skills!C4=2,90+Inputs!$B$26+Inputs!$B$29,IF(Skills!C4=3,120+Inputs!$B$27+Inputs!$B$29,MAX(0,(Inputs!$B$3-100)*3)+Inputs!$B$28+Inputs!$B$29)))</f>
        <v/>
      </c>
      <c r="E1693">
        <f>INDEX(FactorTable!$B$2:$Y$301, MATCH(ROUND(MIN(300,MAX(1,D1693)),0), FactorTable!$A$2:$A$301,0), Skills!M4+1)</f>
        <v/>
      </c>
      <c r="F1693">
        <f>IF(Skills!N4=TRUE,(Skills!L4/10)*(E1693/1000),Skills!L4/10)+Skills!O4</f>
        <v/>
      </c>
      <c r="G1693">
        <f>Calc!G4</f>
        <v/>
      </c>
      <c r="H1693">
        <f>Calc!H4</f>
        <v/>
      </c>
      <c r="I1693">
        <f>IF(Skills!AA4&lt;&gt;"",1+(Skills!AA4/10)*(U1692/1000)/100,1)</f>
        <v/>
      </c>
      <c r="J1693">
        <f>((Inputs!$B$6*(1+Inputs!$B$7/100))+(((Inputs!$B$12*(1+Inputs!$B$13/100))-(Inputs!$B$12*(1+Inputs!$B$13/100)))+0.25*(Inputs!$B$14-Inputs!$B$14))*(1+Inputs!$B$7/100))*(F1693/100)</f>
        <v/>
      </c>
      <c r="K1693">
        <f>J1693*(1+((Inputs!$B$12*(1+Inputs!$B$13/100))*0.01+Inputs!$B$14*0.0025)/100)*(1+Inputs!$B$15/100)*(1+Inputs!$B$16/100)*(5000/(6000+Inputs!$B$43*(1-(100*(1-(1-(Inputs!$B$19+0)/100)*(1-CHOOSE(ArtifactsInput!$N$40+1,5,6,7,8,9,10)/100)^(ArtifactsInput!$M$40-ArtifactsInput!$M$40)))/100)))*(1+(Inputs!$B$24+((C1719=TRUE)*(F1719-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1712=TRUE)*(F1712-Calc!F23))+(((IF(AND(ArtifactsInput!$M$42,((Inputs!$B$9+((C1714=TRUE)*(F1714-Calc!F25))+B1729+(ArtifactsInput!$M$24-ArtifactsInput!$M$24)*CHOOSE(ArtifactsInput!$N$24+1,10,12,14,16,18,20)+IF(ArtifactsInput!$M$10,CHOOSE(ArtifactsInput!$N$10+1,15,18,21,24,27,30)*(IF(Inputs!$B$39="pvp",MIN(15,15)/15,IF(AND(Inputs!$B$39&lt;&gt;"pvp",Inputs!$B$44&gt;0),MIN(15,Inputs!$B$44)/(Inputs!$B$44),0))),0)))&gt;=100),MIN(100,((Inputs!$B$9+((C1714=TRUE)*(F1714-Calc!F25))+B1729+(ArtifactsInput!$M$24-ArtifactsInput!$M$24)*CHOOSE(ArtifactsInput!$N$24+1,10,12,14,16,18,20)+IF(ArtifactsInput!$M$10,CHOOSE(ArtifactsInput!$N$10+1,15,18,21,24,27,30)*(IF(Inputs!$B$39="pvp",MIN(15,15)/15,IF(AND(Inputs!$B$39&lt;&gt;"pvp",Inputs!$B$44&gt;0),MIN(15,Inputs!$B$44)/(Inputs!$B$44),0))),0)))-100),0))*CHOOSE(ArtifactsInput!$N$42+1,0.6,0.72,0.84,0.96,1.08,1.2))),Inputs!$B$18+((C1718=TRUE)*(F1718-Calc!F29))+(IF(AND(ArtifactsInput!$M$42,((Inputs!$B$9+((C1714=TRUE)*(F1714-Calc!F25))+B1729+(ArtifactsInput!$M$24-ArtifactsInput!$M$24)*CHOOSE(ArtifactsInput!$N$24+1,10,12,14,16,18,20)+IF(ArtifactsInput!$M$10,CHOOSE(ArtifactsInput!$N$10+1,15,18,21,24,27,30)*(IF(Inputs!$B$39="pvp",MIN(15,15)/15,IF(AND(Inputs!$B$39&lt;&gt;"pvp",Inputs!$B$44&gt;0),MIN(15,Inputs!$B$44)/(Inputs!$B$44),0))),0)))&gt;=100),CHOOSE(ArtifactsInput!$N$42+1,40,48,56,64,72,80),0))))/100)*(((1+(((C1710=TRUE)*F1710*IF(AND(Inputs!$B$39&lt;&gt;"pvp",Inputs!$B$44&gt;0),(((R1710-1)*(Skills!Y21*(1+Inputs!$B$34/100))+MIN((Skills!Y21*(1+Inputs!$B$34/100)),MAX(0,Inputs!$B$44-((R1710-1)*Skills!D21))))/Inputs!$B$44),IF(Inputs!$B$39="pvp",MIN((Skills!Y21*(1+Inputs!$B$34/100)),15)/15,(Skills!Y21*(1+Inputs!$B$34/100))/Skills!D21)))+((C1717=TRUE)*(F1717-Calc!F28))+((C1707=TRUE)*(F1707-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1704=TRUE)*F1704*IF(AND(Inputs!$B$39&lt;&gt;"pvp",Inputs!$B$44&gt;0),(((R1704-1)*(Skills!Y15*(1+Inputs!$B$34/100))+MIN((Skills!Y15*(1+Inputs!$B$34/100)),MAX(0,Inputs!$B$44-((R1704-1)*Skills!D15))))/Inputs!$B$44),IF(Inputs!$B$39="pvp",MIN((Skills!Y15*(1+Inputs!$B$34/100)),15)/15,(Skills!Y15*(1+Inputs!$B$34/100))/Skills!D15)))/100)*(1+((C1695=TRUE)*F1695*B1723)/100))*B1731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1693)</f>
        <v/>
      </c>
      <c r="L1693">
        <f>K1693*(MIN(Inputs!$B$22+((C1713=TRUE)*(F1713-Calc!F24)),(Inputs!$B$23+0+(IF(ArtifactsInput!$M$15,CHOOSE(ArtifactsInput!$N$15+1,25,30,35,40,45,50)/100*(Inputs!$B$11-Inputs!$B$11),0))))/100+(Inputs!$B$23+0+(IF(ArtifactsInput!$M$15,CHOOSE(ArtifactsInput!$N$15+1,25,30,35,40,45,50)/100*(Inputs!$B$11-Inputs!$B$11),0)))/100)/2</f>
        <v/>
      </c>
      <c r="M1693">
        <f>L1693*(1+(Inputs!$B$10+((C1715=TRUE)*(F1715-Calc!F26))+B1732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93">
        <f>L1693*(1-MIN((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1693*(MIN((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93">
        <f>(1-Summary!$B$11)*T1693+Summary!$B$11*V1693</f>
        <v/>
      </c>
      <c r="P1693">
        <f>IF(B1733=0,0,O1693/B1733)</f>
        <v/>
      </c>
      <c r="Q1693">
        <f>IFERROR(1/IF(Inputs!$B$39="pvp",15,MAX(0.1,Skills!D4-IF(Skills!E4=TRUE,Inputs!$B$32,0))),0)</f>
        <v/>
      </c>
      <c r="R1693">
        <f>IF(AND(Inputs!$B$39&lt;&gt;"pvp",Inputs!$B$44&gt;0),IF(MAX(0,Inputs!$B$44-B1734)&lt;=0,0,(INT(MAX(0,Inputs!$B$44-B1734)/IF(Inputs!$B$39="pvp",15,MAX(0.1,Skills!D4-IF(Skills!E4=TRUE,Inputs!$B$32,0))))+1)),0)</f>
        <v/>
      </c>
      <c r="S1693">
        <f>IFERROR(O1693/N1693,0)</f>
        <v/>
      </c>
      <c r="T1693">
        <f>IF(C1693,(H1693*N1693*IF(AND(Inputs!$B$39&lt;&gt;"pvp",Inputs!$B$44&gt;0),((Skills!G4*((R1693-1)*IF(Skills!H4&gt;0,Skills!I4/Skills!H4,1)+IF(Skills!H4&gt;0,MIN(Skills!I4,MAX(0,MAX(0,Inputs!$B$44-B1734)-((R1693-1)*IF(Inputs!$B$39="pvp",15,MAX(0.1,Skills!D4-IF(Skills!E4=TRUE,Inputs!$B$32,0))))))/Skills!H4,1)))/Inputs!$B$44),G1693*Q1693))*IF(Inputs!$B$39="pvp",1,1+(Inputs!$B$20+((C1716=TRUE)*(F1716-Calc!F27))+Skills!P4+B1730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1693*(1-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1693*(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1693*(1-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1693*(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93">
        <f>MAX(0,(Inputs!$B$3-100)*3)+Inputs!$B$28+Inputs!$B$29</f>
        <v/>
      </c>
      <c r="V1693">
        <f>IF(C1693,(H1693*N1693*IF(AND(Inputs!$B$39&lt;&gt;"pvp",Inputs!$B$44&gt;0),((Skills!G4*((R1693-1)*IF(Skills!H4&gt;0,Skills!I4/Skills!H4,1)+IF(Skills!H4&gt;0,MIN(Skills!I4,MAX(0,MAX(0,Inputs!$B$44-B1734)-((R1693-1)*IF(Inputs!$B$39="pvp",15,MAX(0.1,Skills!D4-IF(Skills!E4=TRUE,Inputs!$B$32,0))))))/Skills!H4,1)))/Inputs!$B$44),G1693*Q1693))*IF(Inputs!$B$39="pvp",1,(1+(Inputs!$B$21+Skills!Q4+B1730+(IF(ArtifactsInput!$M$33,CHOOSE(ArtifactsInput!$N$33+1,30,36,42,48,54,60)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94">
      <c r="A1694">
        <f>Skills!A5</f>
        <v/>
      </c>
      <c r="B1694">
        <f>Skills!B5</f>
        <v/>
      </c>
      <c r="C1694">
        <f>Inputs!$B$3&gt;=63</f>
        <v/>
      </c>
      <c r="D1694">
        <f>IF(Skills!C5=1,60+Inputs!$B$25+Inputs!$B$29,IF(Skills!C5=2,90+Inputs!$B$26+Inputs!$B$29,IF(Skills!C5=3,120+Inputs!$B$27+Inputs!$B$29,MAX(0,(Inputs!$B$3-100)*3)+Inputs!$B$28+Inputs!$B$29)))</f>
        <v/>
      </c>
      <c r="E1694">
        <f>INDEX(FactorTable!$B$2:$Y$301, MATCH(ROUND(MIN(300,MAX(1,D1694)),0), FactorTable!$A$2:$A$301,0), Skills!M5+1)</f>
        <v/>
      </c>
      <c r="F1694">
        <f>IF(Skills!N5=TRUE,(Skills!L5/10)*(E1694/1000),Skills!L5/10)+Skills!O5</f>
        <v/>
      </c>
      <c r="G1694">
        <f>Calc!G5</f>
        <v/>
      </c>
      <c r="H1694">
        <f>Calc!H5</f>
        <v/>
      </c>
      <c r="I1694">
        <f>IF(Skills!AA5&lt;&gt;"",1+(Skills!AA5/10)*(U1692/1000)/100,1)</f>
        <v/>
      </c>
      <c r="J1694">
        <f>((Inputs!$B$6*(1+Inputs!$B$7/100))+(((Inputs!$B$12*(1+Inputs!$B$13/100))-(Inputs!$B$12*(1+Inputs!$B$13/100)))+0.25*(Inputs!$B$14-Inputs!$B$14))*(1+Inputs!$B$7/100))*(F1694/100)</f>
        <v/>
      </c>
      <c r="K1694">
        <f>J1694*(1+((Inputs!$B$12*(1+Inputs!$B$13/100))*0.01+Inputs!$B$14*0.0025)/100)*(1+Inputs!$B$15/100)*(1+Inputs!$B$16/100)*(5000/(6000+Inputs!$B$43*(1-(100*(1-(1-(Inputs!$B$19+0)/100)*(1-CHOOSE(ArtifactsInput!$N$40+1,5,6,7,8,9,10)/100)^(ArtifactsInput!$M$40-ArtifactsInput!$M$40)))/100)))*(1+(Inputs!$B$24+((C1719=TRUE)*(F1719-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1712=TRUE)*(F1712-Calc!F23))+(((IF(AND(ArtifactsInput!$M$42,((Inputs!$B$9+((C1714=TRUE)*(F1714-Calc!F25))+B1729+(ArtifactsInput!$M$24-ArtifactsInput!$M$24)*CHOOSE(ArtifactsInput!$N$24+1,10,12,14,16,18,20)+IF(ArtifactsInput!$M$10,CHOOSE(ArtifactsInput!$N$10+1,15,18,21,24,27,30)*(IF(Inputs!$B$39="pvp",MIN(15,15)/15,IF(AND(Inputs!$B$39&lt;&gt;"pvp",Inputs!$B$44&gt;0),MIN(15,Inputs!$B$44)/(Inputs!$B$44),0))),0)))&gt;=100),MIN(100,((Inputs!$B$9+((C1714=TRUE)*(F1714-Calc!F25))+B1729+(ArtifactsInput!$M$24-ArtifactsInput!$M$24)*CHOOSE(ArtifactsInput!$N$24+1,10,12,14,16,18,20)+IF(ArtifactsInput!$M$10,CHOOSE(ArtifactsInput!$N$10+1,15,18,21,24,27,30)*(IF(Inputs!$B$39="pvp",MIN(15,15)/15,IF(AND(Inputs!$B$39&lt;&gt;"pvp",Inputs!$B$44&gt;0),MIN(15,Inputs!$B$44)/(Inputs!$B$44),0))),0)))-100),0))*CHOOSE(ArtifactsInput!$N$42+1,0.6,0.72,0.84,0.96,1.08,1.2))),Inputs!$B$18+((C1718=TRUE)*(F1718-Calc!F29))+(IF(AND(ArtifactsInput!$M$42,((Inputs!$B$9+((C1714=TRUE)*(F1714-Calc!F25))+B1729+(ArtifactsInput!$M$24-ArtifactsInput!$M$24)*CHOOSE(ArtifactsInput!$N$24+1,10,12,14,16,18,20)+IF(ArtifactsInput!$M$10,CHOOSE(ArtifactsInput!$N$10+1,15,18,21,24,27,30)*(IF(Inputs!$B$39="pvp",MIN(15,15)/15,IF(AND(Inputs!$B$39&lt;&gt;"pvp",Inputs!$B$44&gt;0),MIN(15,Inputs!$B$44)/(Inputs!$B$44),0))),0)))&gt;=100),CHOOSE(ArtifactsInput!$N$42+1,40,48,56,64,72,80),0))))/100)*(((1+(((C1710=TRUE)*F1710*IF(AND(Inputs!$B$39&lt;&gt;"pvp",Inputs!$B$44&gt;0),(((R1710-1)*(Skills!Y21*(1+Inputs!$B$34/100))+MIN((Skills!Y21*(1+Inputs!$B$34/100)),MAX(0,Inputs!$B$44-((R1710-1)*Skills!D21))))/Inputs!$B$44),IF(Inputs!$B$39="pvp",MIN((Skills!Y21*(1+Inputs!$B$34/100)),15)/15,(Skills!Y21*(1+Inputs!$B$34/100))/Skills!D21)))+((C1717=TRUE)*(F1717-Calc!F28))+((C1707=TRUE)*(F1707-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1704=TRUE)*F1704*IF(AND(Inputs!$B$39&lt;&gt;"pvp",Inputs!$B$44&gt;0),(((R1704-1)*(Skills!Y15*(1+Inputs!$B$34/100))+MIN((Skills!Y15*(1+Inputs!$B$34/100)),MAX(0,Inputs!$B$44-((R1704-1)*Skills!D15))))/Inputs!$B$44),IF(Inputs!$B$39="pvp",MIN((Skills!Y15*(1+Inputs!$B$34/100)),15)/15,(Skills!Y15*(1+Inputs!$B$34/100))/Skills!D15)))/100)*(1+((C1695=TRUE)*F1695*B1723)/100))*B1731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1694)</f>
        <v/>
      </c>
      <c r="L1694">
        <f>K1694*(MIN(Inputs!$B$22+((C1713=TRUE)*(F1713-Calc!F24)),(Inputs!$B$23+0+(IF(ArtifactsInput!$M$15,CHOOSE(ArtifactsInput!$N$15+1,25,30,35,40,45,50)/100*(Inputs!$B$11-Inputs!$B$11),0))))/100+(Inputs!$B$23+0+(IF(ArtifactsInput!$M$15,CHOOSE(ArtifactsInput!$N$15+1,25,30,35,40,45,50)/100*(Inputs!$B$11-Inputs!$B$11),0)))/100)/2</f>
        <v/>
      </c>
      <c r="M1694">
        <f>L1694*(1+(Inputs!$B$10+((C1715=TRUE)*(F1715-Calc!F26))+B1732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94">
        <f>L1694*(1-MIN((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1694*(MIN((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94">
        <f>(1-Summary!$B$11)*T1694+Summary!$B$11*V1694</f>
        <v/>
      </c>
      <c r="P1694">
        <f>IF(B1733=0,0,O1694/B1733)</f>
        <v/>
      </c>
      <c r="Q1694">
        <f>IFERROR(1/IF(Inputs!$B$39="pvp",15,MAX(0.1,Skills!D5-IF(Skills!E5=TRUE,Inputs!$B$32,0))),0)</f>
        <v/>
      </c>
      <c r="R1694">
        <f>IF(AND(Inputs!$B$39&lt;&gt;"pvp",Inputs!$B$44&gt;0),IF(MAX(0,Inputs!$B$44-B1734)&lt;=0,0,(INT(MAX(0,Inputs!$B$44-B1734)/IF(Inputs!$B$39="pvp",15,MAX(0.1,Skills!D5-IF(Skills!E5=TRUE,Inputs!$B$32,0))))+1)),0)</f>
        <v/>
      </c>
      <c r="S1694">
        <f>IFERROR(O1694/N1694,0)</f>
        <v/>
      </c>
      <c r="T1694">
        <f>IF(C1694,(H1694*N1694*IF(AND(Inputs!$B$39&lt;&gt;"pvp",Inputs!$B$44&gt;0),((Skills!G5*((R1694-1)*IF(Skills!H5&gt;0,Skills!I5/Skills!H5,1)+IF(Skills!H5&gt;0,MIN(Skills!I5,MAX(0,MAX(0,Inputs!$B$44-B1734)-((R1694-1)*IF(Inputs!$B$39="pvp",15,MAX(0.1,Skills!D5-IF(Skills!E5=TRUE,Inputs!$B$32,0))))))/Skills!H5,1)))/Inputs!$B$44),G1694*Q1694))*IF(Inputs!$B$39="pvp",1,1+(Inputs!$B$20+((C1716=TRUE)*(F1716-Calc!F27))+Skills!P5+B1730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1694*(1-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1694*(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1694*(1-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1694*(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94">
        <f>INDEX(FactorTable!$B$2:$Y$301, MATCH(ROUND(MIN(300,MAX(1,U1693)),0), FactorTable!$A$2:$A$301,0), 22)</f>
        <v/>
      </c>
      <c r="V1694">
        <f>IF(C1694,(H1694*N1694*IF(AND(Inputs!$B$39&lt;&gt;"pvp",Inputs!$B$44&gt;0),((Skills!G5*((R1694-1)*IF(Skills!H5&gt;0,Skills!I5/Skills!H5,1)+IF(Skills!H5&gt;0,MIN(Skills!I5,MAX(0,MAX(0,Inputs!$B$44-B1734)-((R1694-1)*IF(Inputs!$B$39="pvp",15,MAX(0.1,Skills!D5-IF(Skills!E5=TRUE,Inputs!$B$32,0))))))/Skills!H5,1)))/Inputs!$B$44),G1694*Q1694))*IF(Inputs!$B$39="pvp",1,(1+(Inputs!$B$21+Skills!Q5+B1730+(IF(ArtifactsInput!$M$33,CHOOSE(ArtifactsInput!$N$33+1,30,36,42,48,54,60)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95">
      <c r="A1695">
        <f>Skills!A6</f>
        <v/>
      </c>
      <c r="B1695">
        <f>Skills!B6</f>
        <v/>
      </c>
      <c r="C1695">
        <f>Inputs!$B$3&gt;=66</f>
        <v/>
      </c>
      <c r="D1695">
        <f>IF(Skills!C6=1,60+Inputs!$B$25+Inputs!$B$29,IF(Skills!C6=2,90+Inputs!$B$26+Inputs!$B$29,IF(Skills!C6=3,120+Inputs!$B$27+Inputs!$B$29,MAX(0,(Inputs!$B$3-100)*3)+Inputs!$B$28+Inputs!$B$29)))</f>
        <v/>
      </c>
      <c r="E1695">
        <f>INDEX(FactorTable!$B$2:$Y$301, MATCH(ROUND(MIN(300,MAX(1,D1695)),0), FactorTable!$A$2:$A$301,0), Skills!M6+1)</f>
        <v/>
      </c>
      <c r="F1695">
        <f>IF(Skills!N6=TRUE,(Skills!L6/10)*(E1695/1000),Skills!L6/10)+Skills!O6</f>
        <v/>
      </c>
      <c r="G1695">
        <f>Calc!G6</f>
        <v/>
      </c>
      <c r="H1695">
        <f>Calc!H6</f>
        <v/>
      </c>
      <c r="I1695">
        <f>IF(Skills!AA6&lt;&gt;"",1+(Skills!AA6/10)*(U1692/1000)/100,1)</f>
        <v/>
      </c>
      <c r="J1695" t="inlineStr"/>
      <c r="K1695" t="inlineStr"/>
      <c r="L1695" t="inlineStr"/>
      <c r="M1695" t="inlineStr"/>
      <c r="N1695" t="inlineStr"/>
      <c r="O1695">
        <f>(1-Summary!$B$11)*T1695+Summary!$B$11*V1695</f>
        <v/>
      </c>
      <c r="P1695">
        <f>IF(B1733=0,0,O1695/B1733)</f>
        <v/>
      </c>
      <c r="Q1695" t="n">
        <v>0</v>
      </c>
      <c r="R1695" t="n">
        <v>0</v>
      </c>
      <c r="S1695">
        <f>IFERROR(O1695/N1695,0)</f>
        <v/>
      </c>
      <c r="T1695" t="n">
        <v>0</v>
      </c>
      <c r="U1695">
        <f>290*U1694/1000</f>
        <v/>
      </c>
      <c r="V1695" t="n">
        <v>0</v>
      </c>
    </row>
    <row r="1696">
      <c r="A1696">
        <f>Skills!A7</f>
        <v/>
      </c>
      <c r="B1696">
        <f>Skills!B7</f>
        <v/>
      </c>
      <c r="C1696">
        <f>Inputs!$B$3&gt;=66</f>
        <v/>
      </c>
      <c r="D1696">
        <f>IF(Skills!C7=1,60+Inputs!$B$25+Inputs!$B$29,IF(Skills!C7=2,90+Inputs!$B$26+Inputs!$B$29,IF(Skills!C7=3,120+Inputs!$B$27+Inputs!$B$29,MAX(0,(Inputs!$B$3-100)*3)+Inputs!$B$28+Inputs!$B$29)))</f>
        <v/>
      </c>
      <c r="E1696">
        <f>INDEX(FactorTable!$B$2:$Y$301, MATCH(ROUND(MIN(300,MAX(1,D1696)),0), FactorTable!$A$2:$A$301,0), Skills!M7+1)</f>
        <v/>
      </c>
      <c r="F1696">
        <f>IF(Skills!N7=TRUE,(Skills!L7/10)*(E1696/1000),Skills!L7/10)+Skills!O7</f>
        <v/>
      </c>
      <c r="G1696">
        <f>Calc!G7</f>
        <v/>
      </c>
      <c r="H1696">
        <f>Calc!H7</f>
        <v/>
      </c>
      <c r="I1696">
        <f>IF(Skills!AA7&lt;&gt;"",1+(Skills!AA7/10)*(U1692/1000)/100,1)</f>
        <v/>
      </c>
      <c r="J1696" t="inlineStr"/>
      <c r="K1696" t="inlineStr"/>
      <c r="L1696" t="inlineStr"/>
      <c r="M1696" t="inlineStr"/>
      <c r="N1696" t="inlineStr"/>
      <c r="O1696">
        <f>(1-Summary!$B$11)*T1696+Summary!$B$11*V1696</f>
        <v/>
      </c>
      <c r="P1696">
        <f>IF(B1733=0,0,O1696/B1733)</f>
        <v/>
      </c>
      <c r="Q1696" t="n">
        <v>0</v>
      </c>
      <c r="R1696" t="n">
        <v>0</v>
      </c>
      <c r="S1696">
        <f>IFERROR(O1696/N1696,0)</f>
        <v/>
      </c>
      <c r="T1696" t="n">
        <v>0</v>
      </c>
      <c r="V1696" t="n">
        <v>0</v>
      </c>
    </row>
    <row r="1697">
      <c r="A1697">
        <f>Skills!A8</f>
        <v/>
      </c>
      <c r="B1697">
        <f>Skills!B8</f>
        <v/>
      </c>
      <c r="C1697">
        <f>Inputs!$B$3&gt;=69</f>
        <v/>
      </c>
      <c r="D1697">
        <f>IF(Skills!C8=1,60+Inputs!$B$25+Inputs!$B$29,IF(Skills!C8=2,90+Inputs!$B$26+Inputs!$B$29,IF(Skills!C8=3,120+Inputs!$B$27+Inputs!$B$29,MAX(0,(Inputs!$B$3-100)*3)+Inputs!$B$28+Inputs!$B$29)))</f>
        <v/>
      </c>
      <c r="E1697">
        <f>INDEX(FactorTable!$B$2:$Y$301, MATCH(ROUND(MIN(300,MAX(1,D1697)),0), FactorTable!$A$2:$A$301,0), Skills!M8+1)</f>
        <v/>
      </c>
      <c r="F1697">
        <f>IF(Skills!N8=TRUE,(Skills!L8/10)*(E1697/1000),Skills!L8/10)+Skills!O8</f>
        <v/>
      </c>
      <c r="G1697">
        <f>Calc!G8</f>
        <v/>
      </c>
      <c r="H1697">
        <f>Calc!H8</f>
        <v/>
      </c>
      <c r="I1697">
        <f>IF(Skills!AA8&lt;&gt;"",1+(Skills!AA8/10)*(U1692/1000)/100,1)</f>
        <v/>
      </c>
      <c r="J1697">
        <f>((Inputs!$B$6*(1+Inputs!$B$7/100))+(((Inputs!$B$12*(1+Inputs!$B$13/100))-(Inputs!$B$12*(1+Inputs!$B$13/100)))+0.25*(Inputs!$B$14-Inputs!$B$14))*(1+Inputs!$B$7/100))*(F1697/100)</f>
        <v/>
      </c>
      <c r="K1697">
        <f>J1697*(1+((Inputs!$B$12*(1+Inputs!$B$13/100))*0.01+Inputs!$B$14*0.0025)/100)*(1+Inputs!$B$15/100)*(1+Inputs!$B$16/100)*(5000/(6000+Inputs!$B$43*(1-(100*(1-(1-(Inputs!$B$19+0)/100)*(1-CHOOSE(ArtifactsInput!$N$40+1,5,6,7,8,9,10)/100)^(ArtifactsInput!$M$40-ArtifactsInput!$M$40)))/100)))*(1+(Inputs!$B$24+((C1719=TRUE)*(F1719-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1712=TRUE)*(F1712-Calc!F23))+(((IF(AND(ArtifactsInput!$M$42,((Inputs!$B$9+((C1714=TRUE)*(F1714-Calc!F25))+B1729+(ArtifactsInput!$M$24-ArtifactsInput!$M$24)*CHOOSE(ArtifactsInput!$N$24+1,10,12,14,16,18,20)+IF(ArtifactsInput!$M$10,CHOOSE(ArtifactsInput!$N$10+1,15,18,21,24,27,30)*(IF(Inputs!$B$39="pvp",MIN(15,15)/15,IF(AND(Inputs!$B$39&lt;&gt;"pvp",Inputs!$B$44&gt;0),MIN(15,Inputs!$B$44)/(Inputs!$B$44),0))),0)))&gt;=100),MIN(100,((Inputs!$B$9+((C1714=TRUE)*(F1714-Calc!F25))+B1729+(ArtifactsInput!$M$24-ArtifactsInput!$M$24)*CHOOSE(ArtifactsInput!$N$24+1,10,12,14,16,18,20)+IF(ArtifactsInput!$M$10,CHOOSE(ArtifactsInput!$N$10+1,15,18,21,24,27,30)*(IF(Inputs!$B$39="pvp",MIN(15,15)/15,IF(AND(Inputs!$B$39&lt;&gt;"pvp",Inputs!$B$44&gt;0),MIN(15,Inputs!$B$44)/(Inputs!$B$44),0))),0)))-100),0))*CHOOSE(ArtifactsInput!$N$42+1,0.6,0.72,0.84,0.96,1.08,1.2))),Inputs!$B$18+((C1718=TRUE)*(F1718-Calc!F29))+(IF(AND(ArtifactsInput!$M$42,((Inputs!$B$9+((C1714=TRUE)*(F1714-Calc!F25))+B1729+(ArtifactsInput!$M$24-ArtifactsInput!$M$24)*CHOOSE(ArtifactsInput!$N$24+1,10,12,14,16,18,20)+IF(ArtifactsInput!$M$10,CHOOSE(ArtifactsInput!$N$10+1,15,18,21,24,27,30)*(IF(Inputs!$B$39="pvp",MIN(15,15)/15,IF(AND(Inputs!$B$39&lt;&gt;"pvp",Inputs!$B$44&gt;0),MIN(15,Inputs!$B$44)/(Inputs!$B$44),0))),0)))&gt;=100),CHOOSE(ArtifactsInput!$N$42+1,40,48,56,64,72,80),0))))/100)*(((1+(((C1710=TRUE)*F1710*IF(AND(Inputs!$B$39&lt;&gt;"pvp",Inputs!$B$44&gt;0),(((R1710-1)*(Skills!Y21*(1+Inputs!$B$34/100))+MIN((Skills!Y21*(1+Inputs!$B$34/100)),MAX(0,Inputs!$B$44-((R1710-1)*Skills!D21))))/Inputs!$B$44),IF(Inputs!$B$39="pvp",MIN((Skills!Y21*(1+Inputs!$B$34/100)),15)/15,(Skills!Y21*(1+Inputs!$B$34/100))/Skills!D21)))+((C1717=TRUE)*(F1717-Calc!F28))+((C1707=TRUE)*(F1707-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1704=TRUE)*F1704*IF(AND(Inputs!$B$39&lt;&gt;"pvp",Inputs!$B$44&gt;0),(((R1704-1)*(Skills!Y15*(1+Inputs!$B$34/100))+MIN((Skills!Y15*(1+Inputs!$B$34/100)),MAX(0,Inputs!$B$44-((R1704-1)*Skills!D15))))/Inputs!$B$44),IF(Inputs!$B$39="pvp",MIN((Skills!Y15*(1+Inputs!$B$34/100)),15)/15,(Skills!Y15*(1+Inputs!$B$34/100))/Skills!D15)))/100)*(1+((C1695=TRUE)*F1695*B1723)/100))*B1731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1697)</f>
        <v/>
      </c>
      <c r="L1697">
        <f>K1697*(MIN(Inputs!$B$22+((C1713=TRUE)*(F1713-Calc!F24)),(Inputs!$B$23+0+(IF(ArtifactsInput!$M$15,CHOOSE(ArtifactsInput!$N$15+1,25,30,35,40,45,50)/100*(Inputs!$B$11-Inputs!$B$11),0))))/100+(Inputs!$B$23+0+(IF(ArtifactsInput!$M$15,CHOOSE(ArtifactsInput!$N$15+1,25,30,35,40,45,50)/100*(Inputs!$B$11-Inputs!$B$11),0)))/100)/2</f>
        <v/>
      </c>
      <c r="M1697">
        <f>L1697*(1+(Inputs!$B$10+((C1715=TRUE)*(F1715-Calc!F26))+B1732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97">
        <f>L1697*(1-MIN((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1697*(MIN((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97">
        <f>(1-Summary!$B$11)*T1697+Summary!$B$11*V1697</f>
        <v/>
      </c>
      <c r="P1697">
        <f>IF(B1733=0,0,O1697/B1733)</f>
        <v/>
      </c>
      <c r="Q1697">
        <f>IFERROR(1/IF(Inputs!$B$39="pvp",15,MAX(0.1,Skills!D8-IF(Skills!E8=TRUE,Inputs!$B$32,0))),0)</f>
        <v/>
      </c>
      <c r="R1697">
        <f>IF(AND(Inputs!$B$39&lt;&gt;"pvp",Inputs!$B$44&gt;0),IF(MAX(0,Inputs!$B$44-B1734)&lt;=0,0,(INT(MAX(0,Inputs!$B$44-B1734)/IF(Inputs!$B$39="pvp",15,MAX(0.1,Skills!D8-IF(Skills!E8=TRUE,Inputs!$B$32,0))))+1)),0)</f>
        <v/>
      </c>
      <c r="S1697">
        <f>IFERROR(O1697/N1697,0)</f>
        <v/>
      </c>
      <c r="T1697">
        <f>IF(C1697,(H1697*N1697*IF(AND(Inputs!$B$39&lt;&gt;"pvp",Inputs!$B$44&gt;0),((Skills!G8*((R1697-1)*IF(Skills!H8&gt;0,Skills!I8/Skills!H8,1)+IF(Skills!H8&gt;0,MIN(Skills!I8,MAX(0,MAX(0,Inputs!$B$44-B1734)-((R1697-1)*IF(Inputs!$B$39="pvp",15,MAX(0.1,Skills!D8-IF(Skills!E8=TRUE,Inputs!$B$32,0))))))/Skills!H8,1)))/Inputs!$B$44),G1697*Q1697))*IF(Inputs!$B$39="pvp",1,1+(Inputs!$B$20+((C1716=TRUE)*(F1716-Calc!F27))+Skills!P8+B1730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1697*(1-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1697*(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1697*(1-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1697*(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97">
        <f>IF(C1697,(H1697*N1697*IF(AND(Inputs!$B$39&lt;&gt;"pvp",Inputs!$B$44&gt;0),((Skills!G8*((R1697-1)*IF(Skills!H8&gt;0,Skills!I8/Skills!H8,1)+IF(Skills!H8&gt;0,MIN(Skills!I8,MAX(0,MAX(0,Inputs!$B$44-B1734)-((R1697-1)*IF(Inputs!$B$39="pvp",15,MAX(0.1,Skills!D8-IF(Skills!E8=TRUE,Inputs!$B$32,0))))))/Skills!H8,1)))/Inputs!$B$44),G1697*Q1697))*IF(Inputs!$B$39="pvp",1,(1+(Inputs!$B$21+Skills!Q8+B1730+(IF(ArtifactsInput!$M$33,CHOOSE(ArtifactsInput!$N$33+1,30,36,42,48,54,60)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98">
      <c r="A1698">
        <f>Skills!A9</f>
        <v/>
      </c>
      <c r="B1698">
        <f>Skills!B9</f>
        <v/>
      </c>
      <c r="C1698">
        <f>Inputs!$B$3&gt;=72</f>
        <v/>
      </c>
      <c r="D1698">
        <f>IF(Skills!C9=1,60+Inputs!$B$25+Inputs!$B$29,IF(Skills!C9=2,90+Inputs!$B$26+Inputs!$B$29,IF(Skills!C9=3,120+Inputs!$B$27+Inputs!$B$29,MAX(0,(Inputs!$B$3-100)*3)+Inputs!$B$28+Inputs!$B$29)))</f>
        <v/>
      </c>
      <c r="E1698">
        <f>INDEX(FactorTable!$B$2:$Y$301, MATCH(ROUND(MIN(300,MAX(1,D1698)),0), FactorTable!$A$2:$A$301,0), Skills!M9+1)</f>
        <v/>
      </c>
      <c r="F1698">
        <f>IF(Skills!N9=TRUE,(Skills!L9/10)*(E1698/1000),Skills!L9/10)+Skills!O9</f>
        <v/>
      </c>
      <c r="G1698">
        <f>Calc!G9</f>
        <v/>
      </c>
      <c r="H1698">
        <f>Calc!H9</f>
        <v/>
      </c>
      <c r="I1698">
        <f>IF(Skills!AA9&lt;&gt;"",1+(Skills!AA9/10)*(U1692/1000)/100,1)</f>
        <v/>
      </c>
      <c r="J1698">
        <f>((Inputs!$B$6*(1+Inputs!$B$7/100))+(((Inputs!$B$12*(1+Inputs!$B$13/100))-(Inputs!$B$12*(1+Inputs!$B$13/100)))+0.25*(Inputs!$B$14-Inputs!$B$14))*(1+Inputs!$B$7/100))*(F1698/100)</f>
        <v/>
      </c>
      <c r="K1698">
        <f>J1698*(1+((Inputs!$B$12*(1+Inputs!$B$13/100))*0.01+Inputs!$B$14*0.0025)/100)*(1+Inputs!$B$15/100)*(1+Inputs!$B$16/100)*(5000/(6000+Inputs!$B$43*(1-(100*(1-(1-(Inputs!$B$19+0)/100)*(1-CHOOSE(ArtifactsInput!$N$40+1,5,6,7,8,9,10)/100)^(ArtifactsInput!$M$40-ArtifactsInput!$M$40)))/100)))*(1+(Inputs!$B$24+((C1719=TRUE)*(F1719-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1712=TRUE)*(F1712-Calc!F23))+(((IF(AND(ArtifactsInput!$M$42,((Inputs!$B$9+((C1714=TRUE)*(F1714-Calc!F25))+B1729+(ArtifactsInput!$M$24-ArtifactsInput!$M$24)*CHOOSE(ArtifactsInput!$N$24+1,10,12,14,16,18,20)+IF(ArtifactsInput!$M$10,CHOOSE(ArtifactsInput!$N$10+1,15,18,21,24,27,30)*(IF(Inputs!$B$39="pvp",MIN(15,15)/15,IF(AND(Inputs!$B$39&lt;&gt;"pvp",Inputs!$B$44&gt;0),MIN(15,Inputs!$B$44)/(Inputs!$B$44),0))),0)))&gt;=100),MIN(100,((Inputs!$B$9+((C1714=TRUE)*(F1714-Calc!F25))+B1729+(ArtifactsInput!$M$24-ArtifactsInput!$M$24)*CHOOSE(ArtifactsInput!$N$24+1,10,12,14,16,18,20)+IF(ArtifactsInput!$M$10,CHOOSE(ArtifactsInput!$N$10+1,15,18,21,24,27,30)*(IF(Inputs!$B$39="pvp",MIN(15,15)/15,IF(AND(Inputs!$B$39&lt;&gt;"pvp",Inputs!$B$44&gt;0),MIN(15,Inputs!$B$44)/(Inputs!$B$44),0))),0)))-100),0))*CHOOSE(ArtifactsInput!$N$42+1,0.6,0.72,0.84,0.96,1.08,1.2))),Inputs!$B$18+((C1718=TRUE)*(F1718-Calc!F29))+(IF(AND(ArtifactsInput!$M$42,((Inputs!$B$9+((C1714=TRUE)*(F1714-Calc!F25))+B1729+(ArtifactsInput!$M$24-ArtifactsInput!$M$24)*CHOOSE(ArtifactsInput!$N$24+1,10,12,14,16,18,20)+IF(ArtifactsInput!$M$10,CHOOSE(ArtifactsInput!$N$10+1,15,18,21,24,27,30)*(IF(Inputs!$B$39="pvp",MIN(15,15)/15,IF(AND(Inputs!$B$39&lt;&gt;"pvp",Inputs!$B$44&gt;0),MIN(15,Inputs!$B$44)/(Inputs!$B$44),0))),0)))&gt;=100),CHOOSE(ArtifactsInput!$N$42+1,40,48,56,64,72,80),0))))/100)*(((1+(((C1710=TRUE)*F1710*IF(AND(Inputs!$B$39&lt;&gt;"pvp",Inputs!$B$44&gt;0),(((R1710-1)*(Skills!Y21*(1+Inputs!$B$34/100))+MIN((Skills!Y21*(1+Inputs!$B$34/100)),MAX(0,Inputs!$B$44-((R1710-1)*Skills!D21))))/Inputs!$B$44),IF(Inputs!$B$39="pvp",MIN((Skills!Y21*(1+Inputs!$B$34/100)),15)/15,(Skills!Y21*(1+Inputs!$B$34/100))/Skills!D21)))+((C1717=TRUE)*(F1717-Calc!F28))+((C1707=TRUE)*(F1707-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1704=TRUE)*F1704*IF(AND(Inputs!$B$39&lt;&gt;"pvp",Inputs!$B$44&gt;0),(((R1704-1)*(Skills!Y15*(1+Inputs!$B$34/100))+MIN((Skills!Y15*(1+Inputs!$B$34/100)),MAX(0,Inputs!$B$44-((R1704-1)*Skills!D15))))/Inputs!$B$44),IF(Inputs!$B$39="pvp",MIN((Skills!Y15*(1+Inputs!$B$34/100)),15)/15,(Skills!Y15*(1+Inputs!$B$34/100))/Skills!D15)))/100)*(1+((C1695=TRUE)*F1695*B1723)/100))*B1731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1698)</f>
        <v/>
      </c>
      <c r="L1698">
        <f>K1698*(MIN(Inputs!$B$22+((C1713=TRUE)*(F1713-Calc!F24)),(Inputs!$B$23+0+(IF(ArtifactsInput!$M$15,CHOOSE(ArtifactsInput!$N$15+1,25,30,35,40,45,50)/100*(Inputs!$B$11-Inputs!$B$11),0))))/100+(Inputs!$B$23+0+(IF(ArtifactsInput!$M$15,CHOOSE(ArtifactsInput!$N$15+1,25,30,35,40,45,50)/100*(Inputs!$B$11-Inputs!$B$11),0)))/100)/2</f>
        <v/>
      </c>
      <c r="M1698">
        <f>L1698*(1+(Inputs!$B$10+((C1715=TRUE)*(F1715-Calc!F26))+B1732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98">
        <f>L1698*(1-MIN((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1698*(MIN((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98">
        <f>(1-Summary!$B$11)*T1698+Summary!$B$11*V1698</f>
        <v/>
      </c>
      <c r="P1698">
        <f>IF(B1733=0,0,O1698/B1733)</f>
        <v/>
      </c>
      <c r="Q1698">
        <f>IFERROR(1/IF(Inputs!$B$39="pvp",15,MAX(0.1,Skills!D9-IF(Skills!E9=TRUE,Inputs!$B$32,0))),0)</f>
        <v/>
      </c>
      <c r="R1698">
        <f>IF(AND(Inputs!$B$39&lt;&gt;"pvp",Inputs!$B$44&gt;0),IF(MAX(0,Inputs!$B$44-B1734)&lt;=0,0,(INT(MAX(0,Inputs!$B$44-B1734)/IF(Inputs!$B$39="pvp",15,MAX(0.1,Skills!D9-IF(Skills!E9=TRUE,Inputs!$B$32,0))))+1)),0)</f>
        <v/>
      </c>
      <c r="S1698">
        <f>IFERROR(O1698/N1698,0)</f>
        <v/>
      </c>
      <c r="T1698">
        <f>IF(C1698,(H1698*N1698*IF(AND(Inputs!$B$39&lt;&gt;"pvp",Inputs!$B$44&gt;0),((Skills!G9*((R1698-1)*IF(Skills!H9&gt;0,Skills!I9/Skills!H9,1)+IF(Skills!H9&gt;0,MIN(Skills!I9,MAX(0,MAX(0,Inputs!$B$44-B1734)-((R1698-1)*IF(Inputs!$B$39="pvp",15,MAX(0.1,Skills!D9-IF(Skills!E9=TRUE,Inputs!$B$32,0))))))/Skills!H9,1)))/Inputs!$B$44),G1698*Q1698))*IF(Inputs!$B$39="pvp",1,1+(Inputs!$B$20+((C1716=TRUE)*(F1716-Calc!F27))+Skills!P9+B1730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1698*(1-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1698*(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1698*(1-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1698*(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98">
        <f>IF(C1698,(H1698*N1698*IF(AND(Inputs!$B$39&lt;&gt;"pvp",Inputs!$B$44&gt;0),((Skills!G9*((R1698-1)*IF(Skills!H9&gt;0,Skills!I9/Skills!H9,1)+IF(Skills!H9&gt;0,MIN(Skills!I9,MAX(0,MAX(0,Inputs!$B$44-B1734)-((R1698-1)*IF(Inputs!$B$39="pvp",15,MAX(0.1,Skills!D9-IF(Skills!E9=TRUE,Inputs!$B$32,0))))))/Skills!H9,1)))/Inputs!$B$44),G1698*Q1698))*IF(Inputs!$B$39="pvp",1,(1+(Inputs!$B$21+Skills!Q9+B1730+(IF(ArtifactsInput!$M$33,CHOOSE(ArtifactsInput!$N$33+1,30,36,42,48,54,60)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99">
      <c r="A1699">
        <f>Skills!A10</f>
        <v/>
      </c>
      <c r="B1699">
        <f>Skills!B10</f>
        <v/>
      </c>
      <c r="C1699">
        <f>Inputs!$B$3&gt;=117</f>
        <v/>
      </c>
      <c r="D1699">
        <f>IF(Skills!C10=1,60+Inputs!$B$25+Inputs!$B$29,IF(Skills!C10=2,90+Inputs!$B$26+Inputs!$B$29,IF(Skills!C10=3,120+Inputs!$B$27+Inputs!$B$29,MAX(0,(Inputs!$B$3-100)*3)+Inputs!$B$28+Inputs!$B$29)))</f>
        <v/>
      </c>
      <c r="E1699">
        <f>INDEX(FactorTable!$B$2:$Y$301, MATCH(ROUND(MIN(300,MAX(1,D1699)),0), FactorTable!$A$2:$A$301,0), Skills!M10+1)</f>
        <v/>
      </c>
      <c r="F1699">
        <f>IF(Skills!N10=TRUE,(Skills!L10/10)*(E1699/1000),Skills!L10/10)+Skills!O10</f>
        <v/>
      </c>
      <c r="G1699">
        <f>Calc!G10</f>
        <v/>
      </c>
      <c r="H1699">
        <f>Calc!H10</f>
        <v/>
      </c>
      <c r="I1699">
        <f>IF(Skills!AA10&lt;&gt;"",1+(Skills!AA10/10)*(U1692/1000)/100,1)</f>
        <v/>
      </c>
      <c r="J1699">
        <f>((Inputs!$B$6*(1+Inputs!$B$7/100))+(((Inputs!$B$12*(1+Inputs!$B$13/100))-(Inputs!$B$12*(1+Inputs!$B$13/100)))+0.25*(Inputs!$B$14-Inputs!$B$14))*(1+Inputs!$B$7/100))*(F1699/100)</f>
        <v/>
      </c>
      <c r="K1699">
        <f>J1699*(1+((Inputs!$B$12*(1+Inputs!$B$13/100))*0.01+Inputs!$B$14*0.0025)/100)*(1+Inputs!$B$15/100)*(1+Inputs!$B$16/100)*(5000/(6000+Inputs!$B$43*(1-(100*(1-(1-(Inputs!$B$19+0)/100)*(1-CHOOSE(ArtifactsInput!$N$40+1,5,6,7,8,9,10)/100)^(ArtifactsInput!$M$40-ArtifactsInput!$M$40)))/100)))*(1+(Inputs!$B$24+((C1719=TRUE)*(F1719-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1712=TRUE)*(F1712-Calc!F23))+(((IF(AND(ArtifactsInput!$M$42,((Inputs!$B$9+((C1714=TRUE)*(F1714-Calc!F25))+B1729+(ArtifactsInput!$M$24-ArtifactsInput!$M$24)*CHOOSE(ArtifactsInput!$N$24+1,10,12,14,16,18,20)+IF(ArtifactsInput!$M$10,CHOOSE(ArtifactsInput!$N$10+1,15,18,21,24,27,30)*(IF(Inputs!$B$39="pvp",MIN(15,15)/15,IF(AND(Inputs!$B$39&lt;&gt;"pvp",Inputs!$B$44&gt;0),MIN(15,Inputs!$B$44)/(Inputs!$B$44),0))),0)))&gt;=100),MIN(100,((Inputs!$B$9+((C1714=TRUE)*(F1714-Calc!F25))+B1729+(ArtifactsInput!$M$24-ArtifactsInput!$M$24)*CHOOSE(ArtifactsInput!$N$24+1,10,12,14,16,18,20)+IF(ArtifactsInput!$M$10,CHOOSE(ArtifactsInput!$N$10+1,15,18,21,24,27,30)*(IF(Inputs!$B$39="pvp",MIN(15,15)/15,IF(AND(Inputs!$B$39&lt;&gt;"pvp",Inputs!$B$44&gt;0),MIN(15,Inputs!$B$44)/(Inputs!$B$44),0))),0)))-100),0))*CHOOSE(ArtifactsInput!$N$42+1,0.6,0.72,0.84,0.96,1.08,1.2))),Inputs!$B$18+((C1718=TRUE)*(F1718-Calc!F29))+(IF(AND(ArtifactsInput!$M$42,((Inputs!$B$9+((C1714=TRUE)*(F1714-Calc!F25))+B1729+(ArtifactsInput!$M$24-ArtifactsInput!$M$24)*CHOOSE(ArtifactsInput!$N$24+1,10,12,14,16,18,20)+IF(ArtifactsInput!$M$10,CHOOSE(ArtifactsInput!$N$10+1,15,18,21,24,27,30)*(IF(Inputs!$B$39="pvp",MIN(15,15)/15,IF(AND(Inputs!$B$39&lt;&gt;"pvp",Inputs!$B$44&gt;0),MIN(15,Inputs!$B$44)/(Inputs!$B$44),0))),0)))&gt;=100),CHOOSE(ArtifactsInput!$N$42+1,40,48,56,64,72,80),0))))/100)*(((1+(((C1710=TRUE)*F1710*IF(AND(Inputs!$B$39&lt;&gt;"pvp",Inputs!$B$44&gt;0),(((R1710-1)*(Skills!Y21*(1+Inputs!$B$34/100))+MIN((Skills!Y21*(1+Inputs!$B$34/100)),MAX(0,Inputs!$B$44-((R1710-1)*Skills!D21))))/Inputs!$B$44),IF(Inputs!$B$39="pvp",MIN((Skills!Y21*(1+Inputs!$B$34/100)),15)/15,(Skills!Y21*(1+Inputs!$B$34/100))/Skills!D21)))+((C1717=TRUE)*(F1717-Calc!F28))+((C1707=TRUE)*(F1707-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1704=TRUE)*F1704*IF(AND(Inputs!$B$39&lt;&gt;"pvp",Inputs!$B$44&gt;0),(((R1704-1)*(Skills!Y15*(1+Inputs!$B$34/100))+MIN((Skills!Y15*(1+Inputs!$B$34/100)),MAX(0,Inputs!$B$44-((R1704-1)*Skills!D15))))/Inputs!$B$44),IF(Inputs!$B$39="pvp",MIN((Skills!Y15*(1+Inputs!$B$34/100)),15)/15,(Skills!Y15*(1+Inputs!$B$34/100))/Skills!D15)))/100)*(1+((C1695=TRUE)*F1695*B1723)/100))*B1731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1699)</f>
        <v/>
      </c>
      <c r="L1699">
        <f>K1699*(MIN(Inputs!$B$22+((C1713=TRUE)*(F1713-Calc!F24)),(Inputs!$B$23+0+(IF(ArtifactsInput!$M$15,CHOOSE(ArtifactsInput!$N$15+1,25,30,35,40,45,50)/100*(Inputs!$B$11-Inputs!$B$11),0))))/100+(Inputs!$B$23+0+(IF(ArtifactsInput!$M$15,CHOOSE(ArtifactsInput!$N$15+1,25,30,35,40,45,50)/100*(Inputs!$B$11-Inputs!$B$11),0)))/100)/2</f>
        <v/>
      </c>
      <c r="M1699">
        <f>L1699*(1+(Inputs!$B$10+((C1715=TRUE)*(F1715-Calc!F26))+B1732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99">
        <f>L1699*(1-MIN((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1699*(MIN((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99">
        <f>(1-Summary!$B$11)*T1699+Summary!$B$11*V1699</f>
        <v/>
      </c>
      <c r="P1699">
        <f>IF(B1733=0,0,O1699/B1733)</f>
        <v/>
      </c>
      <c r="Q1699" t="n">
        <v>0</v>
      </c>
      <c r="R1699" t="n">
        <v>0</v>
      </c>
      <c r="S1699" t="n">
        <v>0</v>
      </c>
      <c r="T1699">
        <f>IF(C1699,(0.2*SUMPRODUCT((Skills!Z2:Z31=TRUE)*(C1691:C1720=TRUE)*S1691:S1720)*N1699)*IF(Inputs!$B$39="pvp",1,1+(Inputs!$B$20+((C1716=TRUE)*(F1716-Calc!F27))+Skills!P10+B1730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1699*(1-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1699*(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1699*(1-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1699*(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99">
        <f>IF(C1699,(0.2*SUMPRODUCT((Skills!Z2:Z31=TRUE)*(C1691:C1720=TRUE)*S1691:S1720)*N1699)*IF(Inputs!$B$39="pvp",1,(1+(Inputs!$B$21+Skills!Q10+B1730+(IF(ArtifactsInput!$M$33,CHOOSE(ArtifactsInput!$N$33+1,30,36,42,48,54,60),0))+(IF(AND(ArtifactsInput!$M$35,Inputs!$B$4&lt;&gt;"Chapter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00">
      <c r="A1700">
        <f>Skills!A11</f>
        <v/>
      </c>
      <c r="B1700">
        <f>Skills!B11</f>
        <v/>
      </c>
      <c r="C1700">
        <f>Inputs!$B$3&gt;=60</f>
        <v/>
      </c>
      <c r="D1700">
        <f>IF(Skills!C11=1,60+Inputs!$B$25+Inputs!$B$29,IF(Skills!C11=2,90+Inputs!$B$26+Inputs!$B$29,IF(Skills!C11=3,120+Inputs!$B$27+Inputs!$B$29,MAX(0,(Inputs!$B$3-100)*3)+Inputs!$B$28+Inputs!$B$29)))</f>
        <v/>
      </c>
      <c r="E1700">
        <f>INDEX(FactorTable!$B$2:$Y$301, MATCH(ROUND(MIN(300,MAX(1,D1700)),0), FactorTable!$A$2:$A$301,0), Skills!M11+1)</f>
        <v/>
      </c>
      <c r="F1700">
        <f>IF(Skills!N11=TRUE,(Skills!L11/10)*(E1700/1000),Skills!L11/10)+Skills!O11</f>
        <v/>
      </c>
      <c r="G1700">
        <f>Calc!G11</f>
        <v/>
      </c>
      <c r="H1700">
        <f>Calc!H11</f>
        <v/>
      </c>
      <c r="I1700">
        <f>IF(Skills!AA11&lt;&gt;"",1+(Skills!AA11/10)*(U1692/1000)/100,1)</f>
        <v/>
      </c>
      <c r="J1700" t="inlineStr"/>
      <c r="K1700" t="inlineStr"/>
      <c r="L1700" t="inlineStr"/>
      <c r="M1700" t="inlineStr"/>
      <c r="N1700" t="inlineStr"/>
      <c r="O1700">
        <f>(1-Summary!$B$11)*T1700+Summary!$B$11*V1700</f>
        <v/>
      </c>
      <c r="P1700">
        <f>IF(B1733=0,0,O1700/B1733)</f>
        <v/>
      </c>
      <c r="Q1700" t="n">
        <v>0</v>
      </c>
      <c r="R1700" t="n">
        <v>0</v>
      </c>
      <c r="S1700">
        <f>IFERROR(O1700/N1700,0)</f>
        <v/>
      </c>
      <c r="T1700" t="n">
        <v>0</v>
      </c>
      <c r="V1700" t="n">
        <v>0</v>
      </c>
    </row>
    <row r="1701">
      <c r="A1701">
        <f>Skills!A12</f>
        <v/>
      </c>
      <c r="B1701">
        <f>Skills!B12</f>
        <v/>
      </c>
      <c r="C1701">
        <f>Inputs!$B$3&gt;=103</f>
        <v/>
      </c>
      <c r="D1701">
        <f>IF(Skills!C12=1,60+Inputs!$B$25+Inputs!$B$29,IF(Skills!C12=2,90+Inputs!$B$26+Inputs!$B$29,IF(Skills!C12=3,120+Inputs!$B$27+Inputs!$B$29,MAX(0,(Inputs!$B$3-100)*3)+Inputs!$B$28+Inputs!$B$29)))</f>
        <v/>
      </c>
      <c r="E1701">
        <f>INDEX(FactorTable!$B$2:$Y$301, MATCH(ROUND(MIN(300,MAX(1,D1701)),0), FactorTable!$A$2:$A$301,0), Skills!M12+1)</f>
        <v/>
      </c>
      <c r="F1701">
        <f>IF(Skills!N12=TRUE,(Skills!L12/10)*(E1701/1000),Skills!L12/10)+Skills!O12</f>
        <v/>
      </c>
      <c r="G1701">
        <f>Calc!G12</f>
        <v/>
      </c>
      <c r="H1701">
        <f>Calc!H12</f>
        <v/>
      </c>
      <c r="I1701">
        <f>IF(Skills!AA12&lt;&gt;"",1+(Skills!AA12/10)*(U1692/1000)/100,1)</f>
        <v/>
      </c>
      <c r="J1701">
        <f>((Inputs!$B$6*(1+Inputs!$B$7/100))+(((Inputs!$B$12*(1+Inputs!$B$13/100))-(Inputs!$B$12*(1+Inputs!$B$13/100)))+0.25*(Inputs!$B$14-Inputs!$B$14))*(1+Inputs!$B$7/100))*(F1701/100)</f>
        <v/>
      </c>
      <c r="K1701">
        <f>J1701*(1+((Inputs!$B$12*(1+Inputs!$B$13/100))*0.01+Inputs!$B$14*0.0025)/100)*(1+Inputs!$B$15/100)*(1+Inputs!$B$16/100)*(5000/(6000+Inputs!$B$43*(1-(100*(1-(1-(Inputs!$B$19+0)/100)*(1-CHOOSE(ArtifactsInput!$N$40+1,5,6,7,8,9,10)/100)^(ArtifactsInput!$M$40-ArtifactsInput!$M$40)))/100)))*(1+(Inputs!$B$24+((C1719=TRUE)*(F1719-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1712=TRUE)*(F1712-Calc!F23))+(((IF(AND(ArtifactsInput!$M$42,((Inputs!$B$9+((C1714=TRUE)*(F1714-Calc!F25))+B1729+(ArtifactsInput!$M$24-ArtifactsInput!$M$24)*CHOOSE(ArtifactsInput!$N$24+1,10,12,14,16,18,20)+IF(ArtifactsInput!$M$10,CHOOSE(ArtifactsInput!$N$10+1,15,18,21,24,27,30)*(IF(Inputs!$B$39="pvp",MIN(15,15)/15,IF(AND(Inputs!$B$39&lt;&gt;"pvp",Inputs!$B$44&gt;0),MIN(15,Inputs!$B$44)/(Inputs!$B$44),0))),0)))&gt;=100),MIN(100,((Inputs!$B$9+((C1714=TRUE)*(F1714-Calc!F25))+B1729+(ArtifactsInput!$M$24-ArtifactsInput!$M$24)*CHOOSE(ArtifactsInput!$N$24+1,10,12,14,16,18,20)+IF(ArtifactsInput!$M$10,CHOOSE(ArtifactsInput!$N$10+1,15,18,21,24,27,30)*(IF(Inputs!$B$39="pvp",MIN(15,15)/15,IF(AND(Inputs!$B$39&lt;&gt;"pvp",Inputs!$B$44&gt;0),MIN(15,Inputs!$B$44)/(Inputs!$B$44),0))),0)))-100),0))*CHOOSE(ArtifactsInput!$N$42+1,0.6,0.72,0.84,0.96,1.08,1.2))),Inputs!$B$18+((C1718=TRUE)*(F1718-Calc!F29))+(IF(AND(ArtifactsInput!$M$42,((Inputs!$B$9+((C1714=TRUE)*(F1714-Calc!F25))+B1729+(ArtifactsInput!$M$24-ArtifactsInput!$M$24)*CHOOSE(ArtifactsInput!$N$24+1,10,12,14,16,18,20)+IF(ArtifactsInput!$M$10,CHOOSE(ArtifactsInput!$N$10+1,15,18,21,24,27,30)*(IF(Inputs!$B$39="pvp",MIN(15,15)/15,IF(AND(Inputs!$B$39&lt;&gt;"pvp",Inputs!$B$44&gt;0),MIN(15,Inputs!$B$44)/(Inputs!$B$44),0))),0)))&gt;=100),CHOOSE(ArtifactsInput!$N$42+1,40,48,56,64,72,80),0))))/100)*(((1+(((C1710=TRUE)*F1710*IF(AND(Inputs!$B$39&lt;&gt;"pvp",Inputs!$B$44&gt;0),(((R1710-1)*(Skills!Y21*(1+Inputs!$B$34/100))+MIN((Skills!Y21*(1+Inputs!$B$34/100)),MAX(0,Inputs!$B$44-((R1710-1)*Skills!D21))))/Inputs!$B$44),IF(Inputs!$B$39="pvp",MIN((Skills!Y21*(1+Inputs!$B$34/100)),15)/15,(Skills!Y21*(1+Inputs!$B$34/100))/Skills!D21)))+((C1717=TRUE)*(F1717-Calc!F28))+((C1707=TRUE)*(F1707-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1704=TRUE)*F1704*IF(AND(Inputs!$B$39&lt;&gt;"pvp",Inputs!$B$44&gt;0),(((R1704-1)*(Skills!Y15*(1+Inputs!$B$34/100))+MIN((Skills!Y15*(1+Inputs!$B$34/100)),MAX(0,Inputs!$B$44-((R1704-1)*Skills!D15))))/Inputs!$B$44),IF(Inputs!$B$39="pvp",MIN((Skills!Y15*(1+Inputs!$B$34/100)),15)/15,(Skills!Y15*(1+Inputs!$B$34/100))/Skills!D15)))/100)*(1+((C1695=TRUE)*F1695*B1723)/100))*B1731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1701)</f>
        <v/>
      </c>
      <c r="L1701">
        <f>K1701*(MIN(Inputs!$B$22+((C1713=TRUE)*(F1713-Calc!F24)),(Inputs!$B$23+0+(IF(ArtifactsInput!$M$15,CHOOSE(ArtifactsInput!$N$15+1,25,30,35,40,45,50)/100*(Inputs!$B$11-Inputs!$B$11),0))))/100+(Inputs!$B$23+0+(IF(ArtifactsInput!$M$15,CHOOSE(ArtifactsInput!$N$15+1,25,30,35,40,45,50)/100*(Inputs!$B$11-Inputs!$B$11),0)))/100)/2</f>
        <v/>
      </c>
      <c r="M1701">
        <f>L1701*(1+(Inputs!$B$10+((C1715=TRUE)*(F1715-Calc!F26))+B1732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01">
        <f>L1701*(1-MIN((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1701*(MIN((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01">
        <f>(1-Summary!$B$11)*T1701+Summary!$B$11*V1701</f>
        <v/>
      </c>
      <c r="P1701">
        <f>IF(B1733=0,0,O1701/B1733)</f>
        <v/>
      </c>
      <c r="Q1701">
        <f>IFERROR(1/IF(Inputs!$B$39="pvp",15,MAX(0.1,Skills!D12-IF(Skills!E12=TRUE,Inputs!$B$32,0))),0)</f>
        <v/>
      </c>
      <c r="R1701">
        <f>IF(AND(Inputs!$B$39&lt;&gt;"pvp",Inputs!$B$44&gt;0),IF(MAX(0,Inputs!$B$44-B1734)&lt;=0,0,(INT(MAX(0,Inputs!$B$44-B1734)/IF(Inputs!$B$39="pvp",15,MAX(0.1,Skills!D12-IF(Skills!E12=TRUE,Inputs!$B$32,0))))+1)),0)</f>
        <v/>
      </c>
      <c r="S1701">
        <f>IFERROR(O1701/N1701,0)</f>
        <v/>
      </c>
      <c r="T1701">
        <f>IF(C1701,(H1701*N1701*IF(AND(Inputs!$B$39&lt;&gt;"pvp",Inputs!$B$44&gt;0),((Skills!G12*((R1701-1)*IF(Skills!H12&gt;0,Skills!I12/Skills!H12,1)+IF(Skills!H12&gt;0,MIN(Skills!I12,MAX(0,MAX(0,Inputs!$B$44-B1734)-((R1701-1)*IF(Inputs!$B$39="pvp",15,MAX(0.1,Skills!D12-IF(Skills!E12=TRUE,Inputs!$B$32,0))))))/Skills!H12,1)))/Inputs!$B$44),G1701*Q1701))*IF(Inputs!$B$39="pvp",1,1+(Inputs!$B$20+((C1716=TRUE)*(F1716-Calc!F27))+Skills!P12+B1730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1701*(1-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1701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1701*(1-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1701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01">
        <f>IF(C1701,(H1701*N1701*IF(AND(Inputs!$B$39&lt;&gt;"pvp",Inputs!$B$44&gt;0),((Skills!G12*((R1701-1)*IF(Skills!H12&gt;0,Skills!I12/Skills!H12,1)+IF(Skills!H12&gt;0,MIN(Skills!I12,MAX(0,MAX(0,Inputs!$B$44-B1734)-((R1701-1)*IF(Inputs!$B$39="pvp",15,MAX(0.1,Skills!D12-IF(Skills!E12=TRUE,Inputs!$B$32,0))))))/Skills!H12,1)))/Inputs!$B$44),G1701*Q1701))*IF(Inputs!$B$39="pvp",1,(1+(Inputs!$B$21+Skills!Q12+B1730+(IF(ArtifactsInput!$M$33,CHOOSE(ArtifactsInput!$N$33+1,30,36,42,48,54,60)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02">
      <c r="A1702">
        <f>Skills!A13</f>
        <v/>
      </c>
      <c r="B1702">
        <f>Skills!B13</f>
        <v/>
      </c>
      <c r="C1702">
        <f>Inputs!$B$3&gt;=105</f>
        <v/>
      </c>
      <c r="D1702">
        <f>IF(Skills!C13=1,60+Inputs!$B$25+Inputs!$B$29,IF(Skills!C13=2,90+Inputs!$B$26+Inputs!$B$29,IF(Skills!C13=3,120+Inputs!$B$27+Inputs!$B$29,MAX(0,(Inputs!$B$3-100)*3)+Inputs!$B$28+Inputs!$B$29)))</f>
        <v/>
      </c>
      <c r="E1702">
        <f>INDEX(FactorTable!$B$2:$Y$301, MATCH(ROUND(MIN(300,MAX(1,D1702)),0), FactorTable!$A$2:$A$301,0), Skills!M13+1)</f>
        <v/>
      </c>
      <c r="F1702">
        <f>IF(Skills!N13=TRUE,(Skills!L13/10)*(E1702/1000),Skills!L13/10)+Skills!O13</f>
        <v/>
      </c>
      <c r="G1702">
        <f>Calc!G13</f>
        <v/>
      </c>
      <c r="H1702">
        <f>Calc!H13</f>
        <v/>
      </c>
      <c r="I1702">
        <f>IF(Skills!AA13&lt;&gt;"",1+(Skills!AA13/10)*(U1692/1000)/100,1)</f>
        <v/>
      </c>
      <c r="J1702">
        <f>((Inputs!$B$6*(1+Inputs!$B$7/100))+(((Inputs!$B$12*(1+Inputs!$B$13/100))-(Inputs!$B$12*(1+Inputs!$B$13/100)))+0.25*(Inputs!$B$14-Inputs!$B$14))*(1+Inputs!$B$7/100))*(F1702/100)</f>
        <v/>
      </c>
      <c r="K1702">
        <f>J1702*(1+((Inputs!$B$12*(1+Inputs!$B$13/100))*0.01+Inputs!$B$14*0.0025)/100)*(1+Inputs!$B$15/100)*(1+Inputs!$B$16/100)*(5000/(6000+Inputs!$B$43*(1-(100*(1-(1-(Inputs!$B$19+0)/100)*(1-CHOOSE(ArtifactsInput!$N$40+1,5,6,7,8,9,10)/100)^(ArtifactsInput!$M$40-ArtifactsInput!$M$40)))/100)))*(1+(Inputs!$B$24+((C1719=TRUE)*(F1719-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1712=TRUE)*(F1712-Calc!F23))+(((IF(AND(ArtifactsInput!$M$42,((Inputs!$B$9+((C1714=TRUE)*(F1714-Calc!F25))+B1729+(ArtifactsInput!$M$24-ArtifactsInput!$M$24)*CHOOSE(ArtifactsInput!$N$24+1,10,12,14,16,18,20)+IF(ArtifactsInput!$M$10,CHOOSE(ArtifactsInput!$N$10+1,15,18,21,24,27,30)*(IF(Inputs!$B$39="pvp",MIN(15,15)/15,IF(AND(Inputs!$B$39&lt;&gt;"pvp",Inputs!$B$44&gt;0),MIN(15,Inputs!$B$44)/(Inputs!$B$44),0))),0)))&gt;=100),MIN(100,((Inputs!$B$9+((C1714=TRUE)*(F1714-Calc!F25))+B1729+(ArtifactsInput!$M$24-ArtifactsInput!$M$24)*CHOOSE(ArtifactsInput!$N$24+1,10,12,14,16,18,20)+IF(ArtifactsInput!$M$10,CHOOSE(ArtifactsInput!$N$10+1,15,18,21,24,27,30)*(IF(Inputs!$B$39="pvp",MIN(15,15)/15,IF(AND(Inputs!$B$39&lt;&gt;"pvp",Inputs!$B$44&gt;0),MIN(15,Inputs!$B$44)/(Inputs!$B$44),0))),0)))-100),0))*CHOOSE(ArtifactsInput!$N$42+1,0.6,0.72,0.84,0.96,1.08,1.2))),Inputs!$B$18+((C1718=TRUE)*(F1718-Calc!F29))+(IF(AND(ArtifactsInput!$M$42,((Inputs!$B$9+((C1714=TRUE)*(F1714-Calc!F25))+B1729+(ArtifactsInput!$M$24-ArtifactsInput!$M$24)*CHOOSE(ArtifactsInput!$N$24+1,10,12,14,16,18,20)+IF(ArtifactsInput!$M$10,CHOOSE(ArtifactsInput!$N$10+1,15,18,21,24,27,30)*(IF(Inputs!$B$39="pvp",MIN(15,15)/15,IF(AND(Inputs!$B$39&lt;&gt;"pvp",Inputs!$B$44&gt;0),MIN(15,Inputs!$B$44)/(Inputs!$B$44),0))),0)))&gt;=100),CHOOSE(ArtifactsInput!$N$42+1,40,48,56,64,72,80),0))))/100)*(((1+(((C1710=TRUE)*F1710*IF(AND(Inputs!$B$39&lt;&gt;"pvp",Inputs!$B$44&gt;0),(((R1710-1)*(Skills!Y21*(1+Inputs!$B$34/100))+MIN((Skills!Y21*(1+Inputs!$B$34/100)),MAX(0,Inputs!$B$44-((R1710-1)*Skills!D21))))/Inputs!$B$44),IF(Inputs!$B$39="pvp",MIN((Skills!Y21*(1+Inputs!$B$34/100)),15)/15,(Skills!Y21*(1+Inputs!$B$34/100))/Skills!D21)))+((C1717=TRUE)*(F1717-Calc!F28))+((C1707=TRUE)*(F1707-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1704=TRUE)*F1704*IF(AND(Inputs!$B$39&lt;&gt;"pvp",Inputs!$B$44&gt;0),(((R1704-1)*(Skills!Y15*(1+Inputs!$B$34/100))+MIN((Skills!Y15*(1+Inputs!$B$34/100)),MAX(0,Inputs!$B$44-((R1704-1)*Skills!D15))))/Inputs!$B$44),IF(Inputs!$B$39="pvp",MIN((Skills!Y15*(1+Inputs!$B$34/100)),15)/15,(Skills!Y15*(1+Inputs!$B$34/100))/Skills!D15)))/100)*(1+((C1695=TRUE)*F1695*B1723)/100))*B1731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1702)</f>
        <v/>
      </c>
      <c r="L1702">
        <f>K1702*(MIN(Inputs!$B$22+((C1713=TRUE)*(F1713-Calc!F24)),(Inputs!$B$23+0+(IF(ArtifactsInput!$M$15,CHOOSE(ArtifactsInput!$N$15+1,25,30,35,40,45,50)/100*(Inputs!$B$11-Inputs!$B$11),0))))/100+(Inputs!$B$23+0+(IF(ArtifactsInput!$M$15,CHOOSE(ArtifactsInput!$N$15+1,25,30,35,40,45,50)/100*(Inputs!$B$11-Inputs!$B$11),0)))/100)/2</f>
        <v/>
      </c>
      <c r="M1702">
        <f>L1702*(1+(Inputs!$B$10+((C1715=TRUE)*(F1715-Calc!F26))+B1732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02">
        <f>L1702*(1-MIN((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1702*(MIN((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02">
        <f>(1-Summary!$B$11)*T1702+Summary!$B$11*V1702</f>
        <v/>
      </c>
      <c r="P1702">
        <f>IF(B1733=0,0,O1702/B1733)</f>
        <v/>
      </c>
      <c r="Q1702">
        <f>IFERROR(1/IF(Inputs!$B$39="pvp",15,MAX(0.1,Skills!D13-IF(Skills!E13=TRUE,Inputs!$B$32,0))),0)</f>
        <v/>
      </c>
      <c r="R1702">
        <f>IF(AND(Inputs!$B$39&lt;&gt;"pvp",Inputs!$B$44&gt;0),IF(MAX(0,Inputs!$B$44-B1734)&lt;=0,0,(INT(MAX(0,Inputs!$B$44-B1734)/IF(Inputs!$B$39="pvp",15,MAX(0.1,Skills!D13-IF(Skills!E13=TRUE,Inputs!$B$32,0))))+1)),0)</f>
        <v/>
      </c>
      <c r="S1702">
        <f>IFERROR(O1702/N1702,0)</f>
        <v/>
      </c>
      <c r="T1702">
        <f>IF(C1702,(H1702*N1702*IF(AND(Inputs!$B$39&lt;&gt;"pvp",Inputs!$B$44&gt;0),((Skills!G13*((R1702-1)*IF(Skills!H13&gt;0,Skills!I13/Skills!H13,1)+IF(Skills!H13&gt;0,MIN(Skills!I13,MAX(0,MAX(0,Inputs!$B$44-B1734)-((R1702-1)*IF(Inputs!$B$39="pvp",15,MAX(0.1,Skills!D13-IF(Skills!E13=TRUE,Inputs!$B$32,0))))))/Skills!H13,1)))/Inputs!$B$44),G1702*Q1702))*IF(Inputs!$B$39="pvp",1,1+(Inputs!$B$20+((C1716=TRUE)*(F1716-Calc!F27))+Skills!P13+B1730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1702*(1-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1702*(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1702*(1-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1702*(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02">
        <f>IF(C1702,(H1702*N1702*IF(AND(Inputs!$B$39&lt;&gt;"pvp",Inputs!$B$44&gt;0),((Skills!G13*((R1702-1)*IF(Skills!H13&gt;0,Skills!I13/Skills!H13,1)+IF(Skills!H13&gt;0,MIN(Skills!I13,MAX(0,MAX(0,Inputs!$B$44-B1734)-((R1702-1)*IF(Inputs!$B$39="pvp",15,MAX(0.1,Skills!D13-IF(Skills!E13=TRUE,Inputs!$B$32,0))))))/Skills!H13,1)))/Inputs!$B$44),G1702*Q1702))*IF(Inputs!$B$39="pvp",1,(1+(Inputs!$B$21+Skills!Q13+B1730+(IF(ArtifactsInput!$M$33,CHOOSE(ArtifactsInput!$N$33+1,30,36,42,48,54,60)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03">
      <c r="A1703">
        <f>Skills!A14</f>
        <v/>
      </c>
      <c r="B1703">
        <f>Skills!B14</f>
        <v/>
      </c>
      <c r="C1703">
        <f>Inputs!$B$3&gt;=105</f>
        <v/>
      </c>
      <c r="D1703">
        <f>IF(Skills!C14=1,60+Inputs!$B$25+Inputs!$B$29,IF(Skills!C14=2,90+Inputs!$B$26+Inputs!$B$29,IF(Skills!C14=3,120+Inputs!$B$27+Inputs!$B$29,MAX(0,(Inputs!$B$3-100)*3)+Inputs!$B$28+Inputs!$B$29)))</f>
        <v/>
      </c>
      <c r="E1703">
        <f>INDEX(FactorTable!$B$2:$Y$301, MATCH(ROUND(MIN(300,MAX(1,D1703)),0), FactorTable!$A$2:$A$301,0), Skills!M14+1)</f>
        <v/>
      </c>
      <c r="F1703">
        <f>IF(Skills!N14=TRUE,(Skills!L14/10)*(E1703/1000),Skills!L14/10)+Skills!O14</f>
        <v/>
      </c>
      <c r="G1703">
        <f>Calc!G14</f>
        <v/>
      </c>
      <c r="H1703">
        <f>Calc!H14</f>
        <v/>
      </c>
      <c r="I1703">
        <f>IF(Skills!AA14&lt;&gt;"",1+(Skills!AA14/10)*(U1692/1000)/100,1)</f>
        <v/>
      </c>
      <c r="J1703">
        <f>((Inputs!$B$6*(1+Inputs!$B$7/100))+(((Inputs!$B$12*(1+Inputs!$B$13/100))-(Inputs!$B$12*(1+Inputs!$B$13/100)))+0.25*(Inputs!$B$14-Inputs!$B$14))*(1+Inputs!$B$7/100))*(F1703/100)</f>
        <v/>
      </c>
      <c r="K1703">
        <f>J1703*(1+((Inputs!$B$12*(1+Inputs!$B$13/100))*0.01+Inputs!$B$14*0.0025)/100)*(1+Inputs!$B$15/100)*(1+Inputs!$B$16/100)*(5000/(6000+Inputs!$B$43*(1-(100*(1-(1-(Inputs!$B$19+0)/100)*(1-CHOOSE(ArtifactsInput!$N$40+1,5,6,7,8,9,10)/100)^(ArtifactsInput!$M$40-ArtifactsInput!$M$40)))/100)))*(1+(Inputs!$B$24+((C1719=TRUE)*(F1719-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1712=TRUE)*(F1712-Calc!F23))+(((IF(AND(ArtifactsInput!$M$42,((Inputs!$B$9+((C1714=TRUE)*(F1714-Calc!F25))+B1729+(ArtifactsInput!$M$24-ArtifactsInput!$M$24)*CHOOSE(ArtifactsInput!$N$24+1,10,12,14,16,18,20)+IF(ArtifactsInput!$M$10,CHOOSE(ArtifactsInput!$N$10+1,15,18,21,24,27,30)*(IF(Inputs!$B$39="pvp",MIN(15,15)/15,IF(AND(Inputs!$B$39&lt;&gt;"pvp",Inputs!$B$44&gt;0),MIN(15,Inputs!$B$44)/(Inputs!$B$44),0))),0)))&gt;=100),MIN(100,((Inputs!$B$9+((C1714=TRUE)*(F1714-Calc!F25))+B1729+(ArtifactsInput!$M$24-ArtifactsInput!$M$24)*CHOOSE(ArtifactsInput!$N$24+1,10,12,14,16,18,20)+IF(ArtifactsInput!$M$10,CHOOSE(ArtifactsInput!$N$10+1,15,18,21,24,27,30)*(IF(Inputs!$B$39="pvp",MIN(15,15)/15,IF(AND(Inputs!$B$39&lt;&gt;"pvp",Inputs!$B$44&gt;0),MIN(15,Inputs!$B$44)/(Inputs!$B$44),0))),0)))-100),0))*CHOOSE(ArtifactsInput!$N$42+1,0.6,0.72,0.84,0.96,1.08,1.2))),Inputs!$B$18+((C1718=TRUE)*(F1718-Calc!F29))+(IF(AND(ArtifactsInput!$M$42,((Inputs!$B$9+((C1714=TRUE)*(F1714-Calc!F25))+B1729+(ArtifactsInput!$M$24-ArtifactsInput!$M$24)*CHOOSE(ArtifactsInput!$N$24+1,10,12,14,16,18,20)+IF(ArtifactsInput!$M$10,CHOOSE(ArtifactsInput!$N$10+1,15,18,21,24,27,30)*(IF(Inputs!$B$39="pvp",MIN(15,15)/15,IF(AND(Inputs!$B$39&lt;&gt;"pvp",Inputs!$B$44&gt;0),MIN(15,Inputs!$B$44)/(Inputs!$B$44),0))),0)))&gt;=100),CHOOSE(ArtifactsInput!$N$42+1,40,48,56,64,72,80),0))))/100)*(((1+(((C1710=TRUE)*F1710*IF(AND(Inputs!$B$39&lt;&gt;"pvp",Inputs!$B$44&gt;0),(((R1710-1)*(Skills!Y21*(1+Inputs!$B$34/100))+MIN((Skills!Y21*(1+Inputs!$B$34/100)),MAX(0,Inputs!$B$44-((R1710-1)*Skills!D21))))/Inputs!$B$44),IF(Inputs!$B$39="pvp",MIN((Skills!Y21*(1+Inputs!$B$34/100)),15)/15,(Skills!Y21*(1+Inputs!$B$34/100))/Skills!D21)))+((C1717=TRUE)*(F1717-Calc!F28))+((C1707=TRUE)*(F1707-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1704=TRUE)*F1704*IF(AND(Inputs!$B$39&lt;&gt;"pvp",Inputs!$B$44&gt;0),(((R1704-1)*(Skills!Y15*(1+Inputs!$B$34/100))+MIN((Skills!Y15*(1+Inputs!$B$34/100)),MAX(0,Inputs!$B$44-((R1704-1)*Skills!D15))))/Inputs!$B$44),IF(Inputs!$B$39="pvp",MIN((Skills!Y15*(1+Inputs!$B$34/100)),15)/15,(Skills!Y15*(1+Inputs!$B$34/100))/Skills!D15)))/100)*(1+((C1695=TRUE)*F1695*B1723)/100))*B1731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1703)</f>
        <v/>
      </c>
      <c r="L1703">
        <f>K1703*(MIN(Inputs!$B$22+((C1713=TRUE)*(F1713-Calc!F24)),(Inputs!$B$23+0+(IF(ArtifactsInput!$M$15,CHOOSE(ArtifactsInput!$N$15+1,25,30,35,40,45,50)/100*(Inputs!$B$11-Inputs!$B$11),0))))/100+(Inputs!$B$23+0+(IF(ArtifactsInput!$M$15,CHOOSE(ArtifactsInput!$N$15+1,25,30,35,40,45,50)/100*(Inputs!$B$11-Inputs!$B$11),0)))/100)/2</f>
        <v/>
      </c>
      <c r="M1703">
        <f>L1703*(1+(Inputs!$B$10+((C1715=TRUE)*(F1715-Calc!F26))+B1732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03">
        <f>L1703*(1-MIN((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1703*(MIN((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03">
        <f>(1-Summary!$B$11)*T1703+Summary!$B$11*V1703</f>
        <v/>
      </c>
      <c r="P1703">
        <f>IF(B1733=0,0,O1703/B1733)</f>
        <v/>
      </c>
      <c r="Q1703">
        <f>IFERROR(1/IF(Inputs!$B$39="pvp",15,MAX(0.1,Skills!D14-IF(Skills!E14=TRUE,Inputs!$B$32,0))),0)</f>
        <v/>
      </c>
      <c r="R1703">
        <f>IF(AND(Inputs!$B$39&lt;&gt;"pvp",Inputs!$B$44&gt;0),IF(MAX(0,Inputs!$B$44-B1734)&lt;=0,0,(INT(MAX(0,Inputs!$B$44-B1734)/IF(Inputs!$B$39="pvp",15,MAX(0.1,Skills!D14-IF(Skills!E14=TRUE,Inputs!$B$32,0))))+1)),0)</f>
        <v/>
      </c>
      <c r="S1703">
        <f>IFERROR(O1703/N1703,0)</f>
        <v/>
      </c>
      <c r="T1703">
        <f>IF(C1703,(H1703*N1703*IF(AND(Inputs!$B$39&lt;&gt;"pvp",Inputs!$B$44&gt;0),((Skills!G14*((R1703-1)*IF(Skills!H14&gt;0,Skills!I14/Skills!H14,1)+IF(Skills!H14&gt;0,MIN(Skills!I14,MAX(0,MAX(0,Inputs!$B$44-B1734)-((R1703-1)*IF(Inputs!$B$39="pvp",15,MAX(0.1,Skills!D14-IF(Skills!E14=TRUE,Inputs!$B$32,0))))))/Skills!H14,1)))/Inputs!$B$44),G1703*Q1703))*IF(Inputs!$B$39="pvp",1,1+(Inputs!$B$20+((C1716=TRUE)*(F1716-Calc!F27))+Skills!P14+B1730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1703*(1-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1703*(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1703*(1-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1703*(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03">
        <f>IF(C1703,(H1703*N1703*IF(AND(Inputs!$B$39&lt;&gt;"pvp",Inputs!$B$44&gt;0),((Skills!G14*((R1703-1)*IF(Skills!H14&gt;0,Skills!I14/Skills!H14,1)+IF(Skills!H14&gt;0,MIN(Skills!I14,MAX(0,MAX(0,Inputs!$B$44-B1734)-((R1703-1)*IF(Inputs!$B$39="pvp",15,MAX(0.1,Skills!D14-IF(Skills!E14=TRUE,Inputs!$B$32,0))))))/Skills!H14,1)))/Inputs!$B$44),G1703*Q1703))*IF(Inputs!$B$39="pvp",1,(1+(Inputs!$B$21+Skills!Q14+B1730+(IF(ArtifactsInput!$M$33,CHOOSE(ArtifactsInput!$N$33+1,30,36,42,48,54,60)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04">
      <c r="A1704">
        <f>Skills!A15</f>
        <v/>
      </c>
      <c r="B1704">
        <f>Skills!B15</f>
        <v/>
      </c>
      <c r="C1704">
        <f>Inputs!$B$3&gt;=110</f>
        <v/>
      </c>
      <c r="D1704">
        <f>IF(Skills!C15=1,60+Inputs!$B$25+Inputs!$B$29,IF(Skills!C15=2,90+Inputs!$B$26+Inputs!$B$29,IF(Skills!C15=3,120+Inputs!$B$27+Inputs!$B$29,MAX(0,(Inputs!$B$3-100)*3)+Inputs!$B$28+Inputs!$B$29)))</f>
        <v/>
      </c>
      <c r="E1704">
        <f>INDEX(FactorTable!$B$2:$Y$301, MATCH(ROUND(MIN(300,MAX(1,D1704)),0), FactorTable!$A$2:$A$301,0), Skills!M15+1)</f>
        <v/>
      </c>
      <c r="F1704">
        <f>IF(Skills!N15=TRUE,(Skills!L15/10)*(E1704/1000),Skills!L15/10)+Skills!O15</f>
        <v/>
      </c>
      <c r="G1704">
        <f>Calc!G15</f>
        <v/>
      </c>
      <c r="H1704">
        <f>Calc!H15</f>
        <v/>
      </c>
      <c r="I1704">
        <f>IF(Skills!AA15&lt;&gt;"",1+(Skills!AA15/10)*(U1692/1000)/100,1)</f>
        <v/>
      </c>
      <c r="J1704" t="inlineStr"/>
      <c r="K1704" t="inlineStr"/>
      <c r="L1704" t="inlineStr"/>
      <c r="M1704" t="inlineStr"/>
      <c r="N1704" t="inlineStr"/>
      <c r="O1704">
        <f>(1-Summary!$B$11)*T1704+Summary!$B$11*V1704</f>
        <v/>
      </c>
      <c r="P1704">
        <f>IF(B1733=0,0,O1704/B1733)</f>
        <v/>
      </c>
      <c r="Q1704">
        <f>IFERROR(1/IF(Inputs!$B$39="pvp",15,MAX(0.1,Skills!D15-IF(Skills!E15=TRUE,Inputs!$B$32,0))),0)</f>
        <v/>
      </c>
      <c r="R1704">
        <f>IF(AND(Inputs!$B$39&lt;&gt;"pvp",Inputs!$B$44&gt;0),IF(Inputs!$B$44&lt;=0,0,(INT(Inputs!$B$44/IF(Inputs!$B$39="pvp",15,MAX(0.1,Skills!D15-IF(Skills!E15=TRUE,Inputs!$B$32,0))))+1)),0)</f>
        <v/>
      </c>
      <c r="S1704">
        <f>IFERROR(O1704/N1704,0)</f>
        <v/>
      </c>
      <c r="T1704" t="n">
        <v>0</v>
      </c>
      <c r="V1704" t="n">
        <v>0</v>
      </c>
    </row>
    <row r="1705">
      <c r="A1705">
        <f>Skills!A16</f>
        <v/>
      </c>
      <c r="B1705">
        <f>Skills!B16</f>
        <v/>
      </c>
      <c r="C1705">
        <f>Inputs!$B$3&gt;=110</f>
        <v/>
      </c>
      <c r="D1705">
        <f>IF(Skills!C16=1,60+Inputs!$B$25+Inputs!$B$29,IF(Skills!C16=2,90+Inputs!$B$26+Inputs!$B$29,IF(Skills!C16=3,120+Inputs!$B$27+Inputs!$B$29,MAX(0,(Inputs!$B$3-100)*3)+Inputs!$B$28+Inputs!$B$29)))</f>
        <v/>
      </c>
      <c r="E1705">
        <f>INDEX(FactorTable!$B$2:$Y$301, MATCH(ROUND(MIN(300,MAX(1,D1705)),0), FactorTable!$A$2:$A$301,0), Skills!M16+1)</f>
        <v/>
      </c>
      <c r="F1705">
        <f>IF(Skills!N16=TRUE,(Skills!L16/10)*(E1705/1000),Skills!L16/10)+Skills!O16</f>
        <v/>
      </c>
      <c r="G1705">
        <f>Calc!G16</f>
        <v/>
      </c>
      <c r="H1705">
        <f>Calc!H16</f>
        <v/>
      </c>
      <c r="I1705">
        <f>IF(Skills!AA16&lt;&gt;"",1+(Skills!AA16/10)*(U1692/1000)/100,1)</f>
        <v/>
      </c>
      <c r="J1705" t="inlineStr"/>
      <c r="K1705" t="inlineStr"/>
      <c r="L1705" t="inlineStr"/>
      <c r="M1705" t="inlineStr"/>
      <c r="N1705" t="inlineStr"/>
      <c r="O1705">
        <f>(1-Summary!$B$11)*T1705+Summary!$B$11*V1705</f>
        <v/>
      </c>
      <c r="P1705">
        <f>IF(B1733=0,0,O1705/B1733)</f>
        <v/>
      </c>
      <c r="Q1705">
        <f>IFERROR(1/IF(Inputs!$B$39="pvp",15,MAX(0.1,Skills!D16-IF(Skills!E16=TRUE,Inputs!$B$32,0))),0)</f>
        <v/>
      </c>
      <c r="R1705">
        <f>IF(AND(Inputs!$B$39&lt;&gt;"pvp",Inputs!$B$44&gt;0),IF(Inputs!$B$44&lt;=0,0,(INT(Inputs!$B$44/IF(Inputs!$B$39="pvp",15,MAX(0.1,Skills!D16-IF(Skills!E16=TRUE,Inputs!$B$32,0))))+1)),0)</f>
        <v/>
      </c>
      <c r="S1705">
        <f>IFERROR(O1705/N1705,0)</f>
        <v/>
      </c>
      <c r="T1705" t="n">
        <v>0</v>
      </c>
      <c r="V1705" t="n">
        <v>0</v>
      </c>
    </row>
    <row r="1706">
      <c r="A1706">
        <f>Skills!A17</f>
        <v/>
      </c>
      <c r="B1706">
        <f>Skills!B17</f>
        <v/>
      </c>
      <c r="C1706">
        <f>Inputs!$B$3&gt;=115</f>
        <v/>
      </c>
      <c r="D1706">
        <f>IF(Skills!C17=1,60+Inputs!$B$25+Inputs!$B$29,IF(Skills!C17=2,90+Inputs!$B$26+Inputs!$B$29,IF(Skills!C17=3,120+Inputs!$B$27+Inputs!$B$29,MAX(0,(Inputs!$B$3-100)*3)+Inputs!$B$28+Inputs!$B$29)))</f>
        <v/>
      </c>
      <c r="E1706">
        <f>INDEX(FactorTable!$B$2:$Y$301, MATCH(ROUND(MIN(300,MAX(1,D1706)),0), FactorTable!$A$2:$A$301,0), Skills!M17+1)</f>
        <v/>
      </c>
      <c r="F1706">
        <f>IF(Skills!N17=TRUE,(Skills!L17/10)*(E1706/1000),Skills!L17/10)+Skills!O17</f>
        <v/>
      </c>
      <c r="G1706">
        <f>Calc!G17</f>
        <v/>
      </c>
      <c r="H1706">
        <f>Calc!H17</f>
        <v/>
      </c>
      <c r="I1706">
        <f>IF(Skills!AA17&lt;&gt;"",1+(Skills!AA17/10)*(U1692/1000)/100,1)</f>
        <v/>
      </c>
      <c r="J1706">
        <f>((Inputs!$B$6*(1+Inputs!$B$7/100))+(((Inputs!$B$12*(1+Inputs!$B$13/100))-(Inputs!$B$12*(1+Inputs!$B$13/100)))+0.25*(Inputs!$B$14-Inputs!$B$14))*(1+Inputs!$B$7/100))*(F1706/100)</f>
        <v/>
      </c>
      <c r="K1706">
        <f>J1706*(1+((Inputs!$B$12*(1+Inputs!$B$13/100))*0.01+Inputs!$B$14*0.0025)/100)*(1+Inputs!$B$15/100)*(1+Inputs!$B$16/100)*(5000/(6000+Inputs!$B$43*(1-(100*(1-(1-(Inputs!$B$19+0)/100)*(1-CHOOSE(ArtifactsInput!$N$40+1,5,6,7,8,9,10)/100)^(ArtifactsInput!$M$40-ArtifactsInput!$M$40)))/100)))*(1+(Inputs!$B$24+((C1719=TRUE)*(F1719-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1712=TRUE)*(F1712-Calc!F23))+(((IF(AND(ArtifactsInput!$M$42,((Inputs!$B$9+((C1714=TRUE)*(F1714-Calc!F25))+B1729+(ArtifactsInput!$M$24-ArtifactsInput!$M$24)*CHOOSE(ArtifactsInput!$N$24+1,10,12,14,16,18,20)+IF(ArtifactsInput!$M$10,CHOOSE(ArtifactsInput!$N$10+1,15,18,21,24,27,30)*(IF(Inputs!$B$39="pvp",MIN(15,15)/15,IF(AND(Inputs!$B$39&lt;&gt;"pvp",Inputs!$B$44&gt;0),MIN(15,Inputs!$B$44)/(Inputs!$B$44),0))),0)))&gt;=100),MIN(100,((Inputs!$B$9+((C1714=TRUE)*(F1714-Calc!F25))+B1729+(ArtifactsInput!$M$24-ArtifactsInput!$M$24)*CHOOSE(ArtifactsInput!$N$24+1,10,12,14,16,18,20)+IF(ArtifactsInput!$M$10,CHOOSE(ArtifactsInput!$N$10+1,15,18,21,24,27,30)*(IF(Inputs!$B$39="pvp",MIN(15,15)/15,IF(AND(Inputs!$B$39&lt;&gt;"pvp",Inputs!$B$44&gt;0),MIN(15,Inputs!$B$44)/(Inputs!$B$44),0))),0)))-100),0))*CHOOSE(ArtifactsInput!$N$42+1,0.6,0.72,0.84,0.96,1.08,1.2))),Inputs!$B$18+((C1718=TRUE)*(F1718-Calc!F29))+(IF(AND(ArtifactsInput!$M$42,((Inputs!$B$9+((C1714=TRUE)*(F1714-Calc!F25))+B1729+(ArtifactsInput!$M$24-ArtifactsInput!$M$24)*CHOOSE(ArtifactsInput!$N$24+1,10,12,14,16,18,20)+IF(ArtifactsInput!$M$10,CHOOSE(ArtifactsInput!$N$10+1,15,18,21,24,27,30)*(IF(Inputs!$B$39="pvp",MIN(15,15)/15,IF(AND(Inputs!$B$39&lt;&gt;"pvp",Inputs!$B$44&gt;0),MIN(15,Inputs!$B$44)/(Inputs!$B$44),0))),0)))&gt;=100),CHOOSE(ArtifactsInput!$N$42+1,40,48,56,64,72,80),0))))/100)*(((1+(((C1710=TRUE)*F1710*IF(AND(Inputs!$B$39&lt;&gt;"pvp",Inputs!$B$44&gt;0),(((R1710-1)*(Skills!Y21*(1+Inputs!$B$34/100))+MIN((Skills!Y21*(1+Inputs!$B$34/100)),MAX(0,Inputs!$B$44-((R1710-1)*Skills!D21))))/Inputs!$B$44),IF(Inputs!$B$39="pvp",MIN((Skills!Y21*(1+Inputs!$B$34/100)),15)/15,(Skills!Y21*(1+Inputs!$B$34/100))/Skills!D21)))+((C1717=TRUE)*(F1717-Calc!F28))+((C1707=TRUE)*(F1707-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1704=TRUE)*F1704*IF(AND(Inputs!$B$39&lt;&gt;"pvp",Inputs!$B$44&gt;0),(((R1704-1)*(Skills!Y15*(1+Inputs!$B$34/100))+MIN((Skills!Y15*(1+Inputs!$B$34/100)),MAX(0,Inputs!$B$44-((R1704-1)*Skills!D15))))/Inputs!$B$44),IF(Inputs!$B$39="pvp",MIN((Skills!Y15*(1+Inputs!$B$34/100)),15)/15,(Skills!Y15*(1+Inputs!$B$34/100))/Skills!D15)))/100)*(1+((C1695=TRUE)*F1695*B1723)/100))*B1731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1706)</f>
        <v/>
      </c>
      <c r="L1706">
        <f>K1706*(MIN(Inputs!$B$22+((C1713=TRUE)*(F1713-Calc!F24)),(Inputs!$B$23+0+(IF(ArtifactsInput!$M$15,CHOOSE(ArtifactsInput!$N$15+1,25,30,35,40,45,50)/100*(Inputs!$B$11-Inputs!$B$11),0))))/100+(Inputs!$B$23+0+(IF(ArtifactsInput!$M$15,CHOOSE(ArtifactsInput!$N$15+1,25,30,35,40,45,50)/100*(Inputs!$B$11-Inputs!$B$11),0)))/100)/2</f>
        <v/>
      </c>
      <c r="M1706">
        <f>L1706*(1+(Inputs!$B$10+((C1715=TRUE)*(F1715-Calc!F26))+B1732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06">
        <f>L1706*(1-MIN((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1706*(MIN((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06">
        <f>(1-Summary!$B$11)*T1706+Summary!$B$11*V1706</f>
        <v/>
      </c>
      <c r="P1706">
        <f>IF(B1733=0,0,O1706/B1733)</f>
        <v/>
      </c>
      <c r="Q1706" t="n">
        <v>0</v>
      </c>
      <c r="R1706" t="n">
        <v>0</v>
      </c>
      <c r="S1706">
        <f>IFERROR(O1706/N1706,0)</f>
        <v/>
      </c>
      <c r="T1706">
        <f>IF(C1706,(Inputs!$B$38*0.2*N1706)*IF(Inputs!$B$39="pvp",1,1+(Inputs!$B$20+((C1716=TRUE)*(F1716-Calc!F27))+Skills!P17+B1730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1706*(1-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1706*(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1706*(1-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1706*(MIN(100,(Inputs!$B$9+((C1714=TRUE)*(F1714-Calc!F25))+B1729+(ArtifactsInput!$M$24-ArtifactsInput!$M$24)*CHOOSE(ArtifactsInput!$N$24+1,10,12,14,16,18,20)+(IF(AND(ArtifactsInput!$M$42,((Inputs!$B$9+((C1714=TRUE)*(F1714-Calc!F25))+B1729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06">
        <f>IF(C1706,(Inputs!$B$38*0.2*N1706)*IF(Inputs!$B$39="pvp",1,(1+(Inputs!$B$21+Skills!Q17+B1730+(IF(ArtifactsInput!$M$33,CHOOSE(ArtifactsInput!$N$33+1,30,36,42,48,54,60),0))+(IF(AND(ArtifactsInput!$M$35,Inputs!$B$4&lt;&gt;"Chapter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07">
      <c r="A1707">
        <f>Skills!A18</f>
        <v/>
      </c>
      <c r="B1707">
        <f>Skills!B18</f>
        <v/>
      </c>
      <c r="C1707">
        <f>Inputs!$B$3&gt;=115</f>
        <v/>
      </c>
      <c r="D1707">
        <f>IF(Skills!C18=1,60+Inputs!$B$25+Inputs!$B$29,IF(Skills!C18=2,90+Inputs!$B$26+Inputs!$B$29,IF(Skills!C18=3,120+Inputs!$B$27+Inputs!$B$29,MAX(0,(Inputs!$B$3-100)*3)+Inputs!$B$28+Inputs!$B$29)))</f>
        <v/>
      </c>
      <c r="E1707">
        <f>INDEX(FactorTable!$B$2:$Y$301, MATCH(ROUND(MIN(300,MAX(1,D1707)),0), FactorTable!$A$2:$A$301,0), Skills!M18+1)</f>
        <v/>
      </c>
      <c r="F1707">
        <f>IF(Skills!N18=TRUE,(Skills!L18/10)*(E1707/1000),Skills!L18/10)+Skills!O18</f>
        <v/>
      </c>
      <c r="G1707">
        <f>Calc!G18</f>
        <v/>
      </c>
      <c r="H1707">
        <f>Calc!H18</f>
        <v/>
      </c>
      <c r="I1707">
        <f>IF(Skills!AA18&lt;&gt;"",1+(Skills!AA18/10)*(U1692/1000)/100,1)</f>
        <v/>
      </c>
      <c r="J1707" t="inlineStr"/>
      <c r="K1707" t="inlineStr"/>
      <c r="L1707" t="inlineStr"/>
      <c r="M1707" t="inlineStr"/>
      <c r="N1707" t="inlineStr"/>
      <c r="O1707">
        <f>(1-Summary!$B$11)*T1707+Summary!$B$11*V1707</f>
        <v/>
      </c>
      <c r="P1707">
        <f>IF(B1733=0,0,O1707/B1733)</f>
        <v/>
      </c>
      <c r="Q1707" t="n">
        <v>0</v>
      </c>
      <c r="R1707" t="n">
        <v>0</v>
      </c>
      <c r="S1707">
        <f>IFERROR(O1707/N1707,0)</f>
        <v/>
      </c>
      <c r="T1707" t="n">
        <v>0</v>
      </c>
      <c r="V1707" t="n">
        <v>0</v>
      </c>
    </row>
    <row r="1708">
      <c r="A1708">
        <f>Skills!A19</f>
        <v/>
      </c>
      <c r="B1708">
        <f>Skills!B19</f>
        <v/>
      </c>
      <c r="C1708">
        <f>TRUE</f>
        <v/>
      </c>
      <c r="D1708">
        <f>IF(Skills!C19=1,60+Inputs!$B$25+Inputs!$B$29,IF(Skills!C19=2,90+Inputs!$B$26+Inputs!$B$29,IF(Skills!C19=3,120+Inputs!$B$27+Inputs!$B$29,MAX(0,(Inputs!$B$3-100)*3)+Inputs!$B$28+Inputs!$B$29)))</f>
        <v/>
      </c>
      <c r="E1708">
        <f>INDEX(FactorTable!$B$2:$Y$301, MATCH(ROUND(MIN(300,MAX(1,D1708)),0), FactorTable!$A$2:$A$301,0), Skills!M19+1)</f>
        <v/>
      </c>
      <c r="F1708">
        <f>IF(Skills!N19=TRUE,(Skills!L19/10)*(E1708/1000),Skills!L19/10)+Skills!O19</f>
        <v/>
      </c>
      <c r="G1708">
        <f>Calc!G19</f>
        <v/>
      </c>
      <c r="H1708">
        <f>Calc!H19</f>
        <v/>
      </c>
      <c r="I1708">
        <f>IF(Skills!AA19&lt;&gt;"",1+(Skills!AA19/10)*(U1692/1000)/100,1)</f>
        <v/>
      </c>
      <c r="J1708" t="inlineStr"/>
      <c r="K1708" t="inlineStr"/>
      <c r="L1708" t="inlineStr"/>
      <c r="M1708" t="inlineStr"/>
      <c r="N1708" t="inlineStr"/>
      <c r="O1708">
        <f>(1-Summary!$B$11)*T1708+Summary!$B$11*V1708</f>
        <v/>
      </c>
      <c r="P1708">
        <f>IF(B1733=0,0,O1708/B1733)</f>
        <v/>
      </c>
      <c r="Q1708">
        <f>IFERROR(1/IF(Inputs!$B$39="pvp",15,MAX(0.1,Skills!D19-IF(Skills!E19=TRUE,Inputs!$B$32,0))),0)</f>
        <v/>
      </c>
      <c r="R1708">
        <f>IF(AND(Inputs!$B$39&lt;&gt;"pvp",Inputs!$B$44&gt;0),IF(Inputs!$B$44&lt;=0,0,(INT(Inputs!$B$44/IF(Inputs!$B$39="pvp",15,MAX(0.1,Skills!D19-IF(Skills!E19=TRUE,Inputs!$B$32,0))))+1)),0)</f>
        <v/>
      </c>
      <c r="S1708">
        <f>IFERROR(O1708/N1708,0)</f>
        <v/>
      </c>
      <c r="T1708" t="n">
        <v>0</v>
      </c>
      <c r="V1708" t="n">
        <v>0</v>
      </c>
    </row>
    <row r="1709">
      <c r="A1709">
        <f>Skills!A20</f>
        <v/>
      </c>
      <c r="B1709">
        <f>Skills!B20</f>
        <v/>
      </c>
      <c r="C1709">
        <f>Inputs!$B$3&gt;=15</f>
        <v/>
      </c>
      <c r="D1709">
        <f>IF(Skills!C20=1,60+Inputs!$B$25+Inputs!$B$29,IF(Skills!C20=2,90+Inputs!$B$26+Inputs!$B$29,IF(Skills!C20=3,120+Inputs!$B$27+Inputs!$B$29,MAX(0,(Inputs!$B$3-100)*3)+Inputs!$B$28+Inputs!$B$29)))</f>
        <v/>
      </c>
      <c r="E1709">
        <f>INDEX(FactorTable!$B$2:$Y$301, MATCH(ROUND(MIN(300,MAX(1,D1709)),0), FactorTable!$A$2:$A$301,0), Skills!M20+1)</f>
        <v/>
      </c>
      <c r="F1709">
        <f>IF(Skills!N20=TRUE,(Skills!L20/10)*(E1709/1000),Skills!L20/10)+Skills!O20</f>
        <v/>
      </c>
      <c r="G1709">
        <f>Calc!G20</f>
        <v/>
      </c>
      <c r="H1709">
        <f>Calc!H20</f>
        <v/>
      </c>
      <c r="I1709">
        <f>IF(Skills!AA20&lt;&gt;"",1+(Skills!AA20/10)*(U1692/1000)/100,1)</f>
        <v/>
      </c>
      <c r="J1709" t="inlineStr"/>
      <c r="K1709" t="inlineStr"/>
      <c r="L1709" t="inlineStr"/>
      <c r="M1709" t="inlineStr"/>
      <c r="N1709" t="inlineStr"/>
      <c r="O1709">
        <f>(1-Summary!$B$11)*T1709+Summary!$B$11*V1709</f>
        <v/>
      </c>
      <c r="P1709">
        <f>IF(B1733=0,0,O1709/B1733)</f>
        <v/>
      </c>
      <c r="Q1709">
        <f>IFERROR(1/IF(Inputs!$B$39="pvp",15,MAX(0.1,Skills!D20-IF(Skills!E20=TRUE,Inputs!$B$32,0))),0)</f>
        <v/>
      </c>
      <c r="R1709">
        <f>IF(AND(Inputs!$B$39&lt;&gt;"pvp",Inputs!$B$44&gt;0),IF(Inputs!$B$44&lt;=0,0,(INT(Inputs!$B$44/IF(Inputs!$B$39="pvp",15,MAX(0.1,Skills!D20-IF(Skills!E20=TRUE,Inputs!$B$32,0))))+1)),0)</f>
        <v/>
      </c>
      <c r="S1709">
        <f>IFERROR(O1709/N1709,0)</f>
        <v/>
      </c>
      <c r="T1709" t="n">
        <v>0</v>
      </c>
      <c r="V1709" t="n">
        <v>0</v>
      </c>
    </row>
    <row r="1710">
      <c r="A1710">
        <f>Skills!A21</f>
        <v/>
      </c>
      <c r="B1710">
        <f>Skills!B21</f>
        <v/>
      </c>
      <c r="C1710">
        <f>Inputs!$B$3&gt;=15</f>
        <v/>
      </c>
      <c r="D1710">
        <f>IF(Skills!C21=1,60+Inputs!$B$25+Inputs!$B$29,IF(Skills!C21=2,90+Inputs!$B$26+Inputs!$B$29,IF(Skills!C21=3,120+Inputs!$B$27+Inputs!$B$29,MAX(0,(Inputs!$B$3-100)*3)+Inputs!$B$28+Inputs!$B$29)))</f>
        <v/>
      </c>
      <c r="E1710">
        <f>INDEX(FactorTable!$B$2:$Y$301, MATCH(ROUND(MIN(300,MAX(1,D1710)),0), FactorTable!$A$2:$A$301,0), Skills!M21+1)</f>
        <v/>
      </c>
      <c r="F1710">
        <f>IF(Skills!N21=TRUE,(Skills!L21/10)*(E1710/1000),Skills!L21/10)+Skills!O21</f>
        <v/>
      </c>
      <c r="G1710">
        <f>Calc!G21</f>
        <v/>
      </c>
      <c r="H1710">
        <f>Calc!H21</f>
        <v/>
      </c>
      <c r="I1710">
        <f>IF(Skills!AA21&lt;&gt;"",1+(Skills!AA21/10)*(U1692/1000)/100,1)</f>
        <v/>
      </c>
      <c r="J1710" t="inlineStr"/>
      <c r="K1710" t="inlineStr"/>
      <c r="L1710" t="inlineStr"/>
      <c r="M1710" t="inlineStr"/>
      <c r="N1710" t="inlineStr"/>
      <c r="O1710">
        <f>(1-Summary!$B$11)*T1710+Summary!$B$11*V1710</f>
        <v/>
      </c>
      <c r="P1710">
        <f>IF(B1733=0,0,O1710/B1733)</f>
        <v/>
      </c>
      <c r="Q1710">
        <f>IFERROR(1/IF(Inputs!$B$39="pvp",15,MAX(0.1,Skills!D21-IF(Skills!E21=TRUE,Inputs!$B$32,0))),0)</f>
        <v/>
      </c>
      <c r="R1710">
        <f>IF(AND(Inputs!$B$39&lt;&gt;"pvp",Inputs!$B$44&gt;0),IF(Inputs!$B$44&lt;=0,0,(INT(Inputs!$B$44/IF(Inputs!$B$39="pvp",15,MAX(0.1,Skills!D21-IF(Skills!E21=TRUE,Inputs!$B$32,0))))+1)),0)</f>
        <v/>
      </c>
      <c r="S1710">
        <f>IFERROR(O1710/N1710,0)</f>
        <v/>
      </c>
      <c r="T1710" t="n">
        <v>0</v>
      </c>
      <c r="V1710" t="n">
        <v>0</v>
      </c>
    </row>
    <row r="1711">
      <c r="A1711">
        <f>Skills!A22</f>
        <v/>
      </c>
      <c r="B1711">
        <f>Skills!B22</f>
        <v/>
      </c>
      <c r="C1711">
        <f>Inputs!$B$3&gt;=33</f>
        <v/>
      </c>
      <c r="D1711">
        <f>IF(Skills!C22=1,60+Inputs!$B$25+Inputs!$B$29,IF(Skills!C22=2,90+Inputs!$B$26+Inputs!$B$29,IF(Skills!C22=3,120+Inputs!$B$27+Inputs!$B$29,MAX(0,(Inputs!$B$3-100)*3)+Inputs!$B$28+Inputs!$B$29)))</f>
        <v/>
      </c>
      <c r="E1711">
        <f>INDEX(FactorTable!$B$2:$Y$301, MATCH(ROUND(MIN(300,MAX(1,D1711)),0), FactorTable!$A$2:$A$301,0), Skills!M22+1)</f>
        <v/>
      </c>
      <c r="F1711">
        <f>IF(Skills!N22=TRUE,(Skills!L22/10)*(E1711/1000),Skills!L22/10)+Skills!O22</f>
        <v/>
      </c>
      <c r="G1711">
        <f>Calc!G22</f>
        <v/>
      </c>
      <c r="H1711">
        <f>Calc!H22</f>
        <v/>
      </c>
      <c r="I1711">
        <f>IF(Skills!AA22&lt;&gt;"",1+(Skills!AA22/10)*(U1692/1000)/100,1)</f>
        <v/>
      </c>
      <c r="J1711" t="inlineStr"/>
      <c r="K1711" t="inlineStr"/>
      <c r="L1711" t="inlineStr"/>
      <c r="M1711" t="inlineStr"/>
      <c r="N1711" t="inlineStr"/>
      <c r="O1711">
        <f>(1-Summary!$B$11)*T1711+Summary!$B$11*V1711</f>
        <v/>
      </c>
      <c r="P1711">
        <f>IF(B1733=0,0,O1711/B1733)</f>
        <v/>
      </c>
      <c r="Q1711" t="n">
        <v>0</v>
      </c>
      <c r="R1711" t="n">
        <v>0</v>
      </c>
      <c r="S1711">
        <f>IFERROR(O1711/N1711,0)</f>
        <v/>
      </c>
      <c r="T1711" t="n">
        <v>0</v>
      </c>
      <c r="V1711" t="n">
        <v>0</v>
      </c>
    </row>
    <row r="1712">
      <c r="A1712">
        <f>Skills!A23</f>
        <v/>
      </c>
      <c r="B1712">
        <f>Skills!B23</f>
        <v/>
      </c>
      <c r="C1712">
        <f>Inputs!$B$3&gt;=38</f>
        <v/>
      </c>
      <c r="D1712">
        <f>IF(Skills!C23=1,60+Inputs!$B$25+Inputs!$B$29,IF(Skills!C23=2,90+Inputs!$B$26+Inputs!$B$29,IF(Skills!C23=3,120+Inputs!$B$27+Inputs!$B$29,MAX(0,(Inputs!$B$3-100)*3)+Inputs!$B$28+Inputs!$B$29)))</f>
        <v/>
      </c>
      <c r="E1712">
        <f>INDEX(FactorTable!$B$2:$Y$301, MATCH(ROUND(MIN(300,MAX(1,D1712)),0), FactorTable!$A$2:$A$301,0), Skills!M23+1)</f>
        <v/>
      </c>
      <c r="F1712">
        <f>IF(Skills!N23=TRUE,(Skills!L23/10)*(E1712/1000),Skills!L23/10)+Skills!O23</f>
        <v/>
      </c>
      <c r="G1712">
        <f>Calc!G23</f>
        <v/>
      </c>
      <c r="H1712">
        <f>Calc!H23</f>
        <v/>
      </c>
      <c r="I1712">
        <f>IF(Skills!AA23&lt;&gt;"",1+(Skills!AA23/10)*(U1692/1000)/100,1)</f>
        <v/>
      </c>
      <c r="J1712" t="inlineStr"/>
      <c r="K1712" t="inlineStr"/>
      <c r="L1712" t="inlineStr"/>
      <c r="M1712" t="inlineStr"/>
      <c r="N1712" t="inlineStr"/>
      <c r="O1712">
        <f>(1-Summary!$B$11)*T1712+Summary!$B$11*V1712</f>
        <v/>
      </c>
      <c r="P1712">
        <f>IF(B1733=0,0,O1712/B1733)</f>
        <v/>
      </c>
      <c r="Q1712" t="n">
        <v>0</v>
      </c>
      <c r="R1712" t="n">
        <v>0</v>
      </c>
      <c r="S1712">
        <f>IFERROR(O1712/N1712,0)</f>
        <v/>
      </c>
      <c r="T1712" t="n">
        <v>0</v>
      </c>
      <c r="V1712" t="n">
        <v>0</v>
      </c>
    </row>
    <row r="1713">
      <c r="A1713">
        <f>Skills!A24</f>
        <v/>
      </c>
      <c r="B1713">
        <f>Skills!B24</f>
        <v/>
      </c>
      <c r="C1713">
        <f>Inputs!$B$3&gt;=40</f>
        <v/>
      </c>
      <c r="D1713">
        <f>IF(Skills!C24=1,60+Inputs!$B$25+Inputs!$B$29,IF(Skills!C24=2,90+Inputs!$B$26+Inputs!$B$29,IF(Skills!C24=3,120+Inputs!$B$27+Inputs!$B$29,MAX(0,(Inputs!$B$3-100)*3)+Inputs!$B$28+Inputs!$B$29)))</f>
        <v/>
      </c>
      <c r="E1713">
        <f>INDEX(FactorTable!$B$2:$Y$301, MATCH(ROUND(MIN(300,MAX(1,D1713)),0), FactorTable!$A$2:$A$301,0), Skills!M24+1)</f>
        <v/>
      </c>
      <c r="F1713">
        <f>IF(Skills!N24=TRUE,(Skills!L24/10)*(E1713/1000),Skills!L24/10)+Skills!O24</f>
        <v/>
      </c>
      <c r="G1713">
        <f>Calc!G24</f>
        <v/>
      </c>
      <c r="H1713">
        <f>Calc!H24</f>
        <v/>
      </c>
      <c r="I1713">
        <f>IF(Skills!AA24&lt;&gt;"",1+(Skills!AA24/10)*(U1692/1000)/100,1)</f>
        <v/>
      </c>
      <c r="J1713" t="inlineStr"/>
      <c r="K1713" t="inlineStr"/>
      <c r="L1713" t="inlineStr"/>
      <c r="M1713" t="inlineStr"/>
      <c r="N1713" t="inlineStr"/>
      <c r="O1713">
        <f>(1-Summary!$B$11)*T1713+Summary!$B$11*V1713</f>
        <v/>
      </c>
      <c r="P1713">
        <f>IF(B1733=0,0,O1713/B1733)</f>
        <v/>
      </c>
      <c r="Q1713" t="n">
        <v>0</v>
      </c>
      <c r="R1713" t="n">
        <v>0</v>
      </c>
      <c r="S1713">
        <f>IFERROR(O1713/N1713,0)</f>
        <v/>
      </c>
      <c r="T1713" t="n">
        <v>0</v>
      </c>
      <c r="V1713" t="n">
        <v>0</v>
      </c>
    </row>
    <row r="1714">
      <c r="A1714">
        <f>Skills!A25</f>
        <v/>
      </c>
      <c r="B1714">
        <f>Skills!B25</f>
        <v/>
      </c>
      <c r="C1714">
        <f>Inputs!$B$3&gt;=45</f>
        <v/>
      </c>
      <c r="D1714">
        <f>IF(Skills!C25=1,60+Inputs!$B$25+Inputs!$B$29,IF(Skills!C25=2,90+Inputs!$B$26+Inputs!$B$29,IF(Skills!C25=3,120+Inputs!$B$27+Inputs!$B$29,MAX(0,(Inputs!$B$3-100)*3)+Inputs!$B$28+Inputs!$B$29)))</f>
        <v/>
      </c>
      <c r="E1714">
        <f>INDEX(FactorTable!$B$2:$Y$301, MATCH(ROUND(MIN(300,MAX(1,D1714)),0), FactorTable!$A$2:$A$301,0), Skills!M25+1)</f>
        <v/>
      </c>
      <c r="F1714">
        <f>IF(Skills!N25=TRUE,(Skills!L25/10)*(E1714/1000),Skills!L25/10)+Skills!O25</f>
        <v/>
      </c>
      <c r="G1714">
        <f>Calc!G25</f>
        <v/>
      </c>
      <c r="H1714">
        <f>Calc!H25</f>
        <v/>
      </c>
      <c r="I1714">
        <f>IF(Skills!AA25&lt;&gt;"",1+(Skills!AA25/10)*(U1692/1000)/100,1)</f>
        <v/>
      </c>
      <c r="J1714" t="inlineStr"/>
      <c r="K1714" t="inlineStr"/>
      <c r="L1714" t="inlineStr"/>
      <c r="M1714" t="inlineStr"/>
      <c r="N1714" t="inlineStr"/>
      <c r="O1714">
        <f>(1-Summary!$B$11)*T1714+Summary!$B$11*V1714</f>
        <v/>
      </c>
      <c r="P1714">
        <f>IF(B1733=0,0,O1714/B1733)</f>
        <v/>
      </c>
      <c r="Q1714" t="n">
        <v>0</v>
      </c>
      <c r="R1714" t="n">
        <v>0</v>
      </c>
      <c r="S1714">
        <f>IFERROR(O1714/N1714,0)</f>
        <v/>
      </c>
      <c r="T1714" t="n">
        <v>0</v>
      </c>
      <c r="V1714" t="n">
        <v>0</v>
      </c>
    </row>
    <row r="1715">
      <c r="A1715">
        <f>Skills!A26</f>
        <v/>
      </c>
      <c r="B1715">
        <f>Skills!B26</f>
        <v/>
      </c>
      <c r="C1715">
        <f>Inputs!$B$3&gt;=45</f>
        <v/>
      </c>
      <c r="D1715">
        <f>IF(Skills!C26=1,60+Inputs!$B$25+Inputs!$B$29,IF(Skills!C26=2,90+Inputs!$B$26+Inputs!$B$29,IF(Skills!C26=3,120+Inputs!$B$27+Inputs!$B$29,MAX(0,(Inputs!$B$3-100)*3)+Inputs!$B$28+Inputs!$B$29)))</f>
        <v/>
      </c>
      <c r="E1715">
        <f>INDEX(FactorTable!$B$2:$Y$301, MATCH(ROUND(MIN(300,MAX(1,D1715)),0), FactorTable!$A$2:$A$301,0), Skills!M26+1)</f>
        <v/>
      </c>
      <c r="F1715">
        <f>IF(Skills!N26=TRUE,(Skills!L26/10)*(E1715/1000),Skills!L26/10)+Skills!O26</f>
        <v/>
      </c>
      <c r="G1715">
        <f>Calc!G26</f>
        <v/>
      </c>
      <c r="H1715">
        <f>Calc!H26</f>
        <v/>
      </c>
      <c r="I1715">
        <f>IF(Skills!AA26&lt;&gt;"",1+(Skills!AA26/10)*(U1692/1000)/100,1)</f>
        <v/>
      </c>
      <c r="J1715" t="inlineStr"/>
      <c r="K1715" t="inlineStr"/>
      <c r="L1715" t="inlineStr"/>
      <c r="M1715" t="inlineStr"/>
      <c r="N1715" t="inlineStr"/>
      <c r="O1715">
        <f>(1-Summary!$B$11)*T1715+Summary!$B$11*V1715</f>
        <v/>
      </c>
      <c r="P1715">
        <f>IF(B1733=0,0,O1715/B1733)</f>
        <v/>
      </c>
      <c r="Q1715" t="n">
        <v>0</v>
      </c>
      <c r="R1715" t="n">
        <v>0</v>
      </c>
      <c r="S1715">
        <f>IFERROR(O1715/N1715,0)</f>
        <v/>
      </c>
      <c r="T1715" t="n">
        <v>0</v>
      </c>
      <c r="V1715" t="n">
        <v>0</v>
      </c>
    </row>
    <row r="1716">
      <c r="A1716">
        <f>Skills!A27</f>
        <v/>
      </c>
      <c r="B1716">
        <f>Skills!B27</f>
        <v/>
      </c>
      <c r="C1716">
        <f>Inputs!$B$3&gt;=72</f>
        <v/>
      </c>
      <c r="D1716">
        <f>IF(Skills!C27=1,60+Inputs!$B$25+Inputs!$B$29,IF(Skills!C27=2,90+Inputs!$B$26+Inputs!$B$29,IF(Skills!C27=3,120+Inputs!$B$27+Inputs!$B$29,MAX(0,(Inputs!$B$3-100)*3)+Inputs!$B$28+Inputs!$B$29)))</f>
        <v/>
      </c>
      <c r="E1716">
        <f>INDEX(FactorTable!$B$2:$Y$301, MATCH(ROUND(MIN(300,MAX(1,D1716)),0), FactorTable!$A$2:$A$301,0), Skills!M27+1)</f>
        <v/>
      </c>
      <c r="F1716">
        <f>IF(Skills!N27=TRUE,(Skills!L27/10)*(E1716/1000),Skills!L27/10)+Skills!O27</f>
        <v/>
      </c>
      <c r="G1716">
        <f>Calc!G27</f>
        <v/>
      </c>
      <c r="H1716">
        <f>Calc!H27</f>
        <v/>
      </c>
      <c r="I1716">
        <f>IF(Skills!AA27&lt;&gt;"",1+(Skills!AA27/10)*(U1692/1000)/100,1)</f>
        <v/>
      </c>
      <c r="J1716" t="inlineStr"/>
      <c r="K1716" t="inlineStr"/>
      <c r="L1716" t="inlineStr"/>
      <c r="M1716" t="inlineStr"/>
      <c r="N1716" t="inlineStr"/>
      <c r="O1716">
        <f>(1-Summary!$B$11)*T1716+Summary!$B$11*V1716</f>
        <v/>
      </c>
      <c r="P1716">
        <f>IF(B1733=0,0,O1716/B1733)</f>
        <v/>
      </c>
      <c r="Q1716" t="n">
        <v>0</v>
      </c>
      <c r="R1716" t="n">
        <v>0</v>
      </c>
      <c r="S1716">
        <f>IFERROR(O1716/N1716,0)</f>
        <v/>
      </c>
      <c r="T1716" t="n">
        <v>0</v>
      </c>
      <c r="V1716" t="n">
        <v>0</v>
      </c>
    </row>
    <row r="1717">
      <c r="A1717">
        <f>Skills!A28</f>
        <v/>
      </c>
      <c r="B1717">
        <f>Skills!B28</f>
        <v/>
      </c>
      <c r="C1717">
        <f>Inputs!$B$3&gt;=75</f>
        <v/>
      </c>
      <c r="D1717">
        <f>IF(Skills!C28=1,60+Inputs!$B$25+Inputs!$B$29,IF(Skills!C28=2,90+Inputs!$B$26+Inputs!$B$29,IF(Skills!C28=3,120+Inputs!$B$27+Inputs!$B$29,MAX(0,(Inputs!$B$3-100)*3)+Inputs!$B$28+Inputs!$B$29)))</f>
        <v/>
      </c>
      <c r="E1717">
        <f>INDEX(FactorTable!$B$2:$Y$301, MATCH(ROUND(MIN(300,MAX(1,D1717)),0), FactorTable!$A$2:$A$301,0), Skills!M28+1)</f>
        <v/>
      </c>
      <c r="F1717">
        <f>IF(Skills!N28=TRUE,(Skills!L28/10)*(E1717/1000),Skills!L28/10)+Skills!O28</f>
        <v/>
      </c>
      <c r="G1717">
        <f>Calc!G28</f>
        <v/>
      </c>
      <c r="H1717">
        <f>Calc!H28</f>
        <v/>
      </c>
      <c r="I1717">
        <f>IF(Skills!AA28&lt;&gt;"",1+(Skills!AA28/10)*(U1692/1000)/100,1)</f>
        <v/>
      </c>
      <c r="J1717" t="inlineStr"/>
      <c r="K1717" t="inlineStr"/>
      <c r="L1717" t="inlineStr"/>
      <c r="M1717" t="inlineStr"/>
      <c r="N1717" t="inlineStr"/>
      <c r="O1717">
        <f>(1-Summary!$B$11)*T1717+Summary!$B$11*V1717</f>
        <v/>
      </c>
      <c r="P1717">
        <f>IF(B1733=0,0,O1717/B1733)</f>
        <v/>
      </c>
      <c r="Q1717" t="n">
        <v>0</v>
      </c>
      <c r="R1717" t="n">
        <v>0</v>
      </c>
      <c r="S1717">
        <f>IFERROR(O1717/N1717,0)</f>
        <v/>
      </c>
      <c r="T1717" t="n">
        <v>0</v>
      </c>
      <c r="V1717" t="n">
        <v>0</v>
      </c>
    </row>
    <row r="1718">
      <c r="A1718">
        <f>Skills!A29</f>
        <v/>
      </c>
      <c r="B1718">
        <f>Skills!B29</f>
        <v/>
      </c>
      <c r="C1718">
        <f>Inputs!$B$3&gt;=120</f>
        <v/>
      </c>
      <c r="D1718">
        <f>IF(Skills!C29=1,60+Inputs!$B$25+Inputs!$B$29,IF(Skills!C29=2,90+Inputs!$B$26+Inputs!$B$29,IF(Skills!C29=3,120+Inputs!$B$27+Inputs!$B$29,MAX(0,(Inputs!$B$3-100)*3)+Inputs!$B$28+Inputs!$B$29)))</f>
        <v/>
      </c>
      <c r="E1718">
        <f>INDEX(FactorTable!$B$2:$Y$301, MATCH(ROUND(MIN(300,MAX(1,D1718)),0), FactorTable!$A$2:$A$301,0), Skills!M29+1)</f>
        <v/>
      </c>
      <c r="F1718">
        <f>IF(Skills!N29=TRUE,(Skills!L29/10)*(E1718/1000),Skills!L29/10)+Skills!O29</f>
        <v/>
      </c>
      <c r="G1718">
        <f>Calc!G29</f>
        <v/>
      </c>
      <c r="H1718">
        <f>Calc!H29</f>
        <v/>
      </c>
      <c r="I1718">
        <f>IF(Skills!AA29&lt;&gt;"",1+(Skills!AA29/10)*(U1692/1000)/100,1)</f>
        <v/>
      </c>
      <c r="J1718" t="inlineStr"/>
      <c r="K1718" t="inlineStr"/>
      <c r="L1718" t="inlineStr"/>
      <c r="M1718" t="inlineStr"/>
      <c r="N1718" t="inlineStr"/>
      <c r="O1718">
        <f>(1-Summary!$B$11)*T1718+Summary!$B$11*V1718</f>
        <v/>
      </c>
      <c r="P1718">
        <f>IF(B1733=0,0,O1718/B1733)</f>
        <v/>
      </c>
      <c r="Q1718" t="n">
        <v>0</v>
      </c>
      <c r="R1718" t="n">
        <v>0</v>
      </c>
      <c r="S1718">
        <f>IFERROR(O1718/N1718,0)</f>
        <v/>
      </c>
      <c r="T1718" t="n">
        <v>0</v>
      </c>
      <c r="V1718" t="n">
        <v>0</v>
      </c>
    </row>
    <row r="1719">
      <c r="A1719">
        <f>Skills!A30</f>
        <v/>
      </c>
      <c r="B1719">
        <f>Skills!B30</f>
        <v/>
      </c>
      <c r="C1719">
        <f>Inputs!$B$3&gt;=125</f>
        <v/>
      </c>
      <c r="D1719">
        <f>IF(Skills!C30=1,60+Inputs!$B$25+Inputs!$B$29,IF(Skills!C30=2,90+Inputs!$B$26+Inputs!$B$29,IF(Skills!C30=3,120+Inputs!$B$27+Inputs!$B$29,MAX(0,(Inputs!$B$3-100)*3)+Inputs!$B$28+Inputs!$B$29)))</f>
        <v/>
      </c>
      <c r="E1719">
        <f>INDEX(FactorTable!$B$2:$Y$301, MATCH(ROUND(MIN(300,MAX(1,D1719)),0), FactorTable!$A$2:$A$301,0), Skills!M30+1)</f>
        <v/>
      </c>
      <c r="F1719">
        <f>IF(Skills!N30=TRUE,(Skills!L30/10)*(E1719/1000),Skills!L30/10)+Skills!O30</f>
        <v/>
      </c>
      <c r="G1719">
        <f>Calc!G30</f>
        <v/>
      </c>
      <c r="H1719">
        <f>Calc!H30</f>
        <v/>
      </c>
      <c r="I1719">
        <f>IF(Skills!AA30&lt;&gt;"",1+(Skills!AA30/10)*(U1692/1000)/100,1)</f>
        <v/>
      </c>
      <c r="J1719" t="inlineStr"/>
      <c r="K1719" t="inlineStr"/>
      <c r="L1719" t="inlineStr"/>
      <c r="M1719" t="inlineStr"/>
      <c r="N1719" t="inlineStr"/>
      <c r="O1719">
        <f>(1-Summary!$B$11)*T1719+Summary!$B$11*V1719</f>
        <v/>
      </c>
      <c r="P1719">
        <f>IF(B1733=0,0,O1719/B1733)</f>
        <v/>
      </c>
      <c r="Q1719" t="n">
        <v>0</v>
      </c>
      <c r="R1719" t="n">
        <v>0</v>
      </c>
      <c r="S1719">
        <f>IFERROR(O1719/N1719,0)</f>
        <v/>
      </c>
      <c r="T1719" t="n">
        <v>0</v>
      </c>
      <c r="V1719" t="n">
        <v>0</v>
      </c>
    </row>
    <row r="1720">
      <c r="A1720">
        <f>Skills!A31</f>
        <v/>
      </c>
      <c r="B1720">
        <f>Skills!B31</f>
        <v/>
      </c>
      <c r="C1720">
        <f>Inputs!$B$3&gt;=107</f>
        <v/>
      </c>
      <c r="D1720">
        <f>IF(Skills!C31=1,60+Inputs!$B$25+Inputs!$B$29,IF(Skills!C31=2,90+Inputs!$B$26+Inputs!$B$29,IF(Skills!C31=3,120+Inputs!$B$27+Inputs!$B$29,MAX(0,(Inputs!$B$3-100)*3)+Inputs!$B$28+Inputs!$B$29)))</f>
        <v/>
      </c>
      <c r="E1720">
        <f>INDEX(FactorTable!$B$2:$Y$301, MATCH(ROUND(MIN(300,MAX(1,D1720)),0), FactorTable!$A$2:$A$301,0), Skills!M31+1)</f>
        <v/>
      </c>
      <c r="F1720">
        <f>IF(Skills!N31=TRUE,(Skills!L31/10)*(E1720/1000),Skills!L31/10)+Skills!O31</f>
        <v/>
      </c>
      <c r="G1720">
        <f>Calc!G31</f>
        <v/>
      </c>
      <c r="H1720">
        <f>Calc!H31</f>
        <v/>
      </c>
      <c r="I1720">
        <f>IF(Skills!AA31&lt;&gt;"",1+(Skills!AA31/10)*(U1692/1000)/100,1)</f>
        <v/>
      </c>
      <c r="J1720" t="inlineStr"/>
      <c r="K1720" t="inlineStr"/>
      <c r="L1720" t="inlineStr"/>
      <c r="M1720" t="inlineStr"/>
      <c r="N1720" t="inlineStr"/>
      <c r="O1720">
        <f>(1-Summary!$B$11)*T1720+Summary!$B$11*V1720</f>
        <v/>
      </c>
      <c r="P1720">
        <f>IF(B1733=0,0,O1720/B1733)</f>
        <v/>
      </c>
      <c r="Q1720" t="n">
        <v>0</v>
      </c>
      <c r="R1720" t="n">
        <v>0</v>
      </c>
      <c r="S1720">
        <f>IFERROR(O1720/N1720,0)</f>
        <v/>
      </c>
      <c r="T1720" t="n">
        <v>0</v>
      </c>
      <c r="V1720" t="n">
        <v>0</v>
      </c>
    </row>
    <row r="1722">
      <c r="A1722" t="inlineStr">
        <is>
          <t>Actions Per Second (pre-Adrenalin)</t>
        </is>
      </c>
      <c r="B1722">
        <f>1+MIN(150,150*(1-(1-(Inputs!$B$11+((C1711=TRUE)*(F1711-Calc!F22))+(ArtifactsInput!$M$15-ArtifactsInput!$M$15)*CHOOSE(ArtifactsInput!$N$15+1,8,9.6,11.2,12.8,14.4,16))/150)*(1-((C1708=TRUE)*F1708*IF(AND(Inputs!$B$39&lt;&gt;"pvp",Inputs!$B$44&gt;0),(((R1708-1)*(Skills!Y19*(1+Inputs!$B$34/100))+MIN((Skills!Y19*(1+Inputs!$B$34/100)),MAX(0,Inputs!$B$44-((R1708-1)*Skills!D19))))/Inputs!$B$44),IF(Inputs!$B$39="pvp",MIN((Skills!Y19*(1+Inputs!$B$34/100)),15)/15,(Skills!Y19*(1+Inputs!$B$34/100))/Skills!D19)))/150)))/100</f>
        <v/>
      </c>
    </row>
    <row r="1723">
      <c r="A1723" t="inlineStr">
        <is>
          <t>Alchemic Adrenaline Uptime</t>
        </is>
      </c>
      <c r="B1723">
        <f>(Skills!Y6*(1+Inputs!$B$34/100))/((Skills!Y6*(1+Inputs!$B$34/100))+(5/B1722))</f>
        <v/>
      </c>
    </row>
    <row r="1724">
      <c r="A1724" t="inlineStr">
        <is>
          <t>Attack Speed Buff Bonus %</t>
        </is>
      </c>
      <c r="B1724">
        <f>((C1708=TRUE)*F1708*IF(AND(Inputs!$B$39&lt;&gt;"pvp",Inputs!$B$44&gt;0),(((R1708-1)*(Skills!Y19*(1+Inputs!$B$34/100))+MIN((Skills!Y19*(1+Inputs!$B$34/100)),MAX(0,Inputs!$B$44-((R1708-1)*Skills!D19))))/Inputs!$B$44),IF(Inputs!$B$39="pvp",MIN((Skills!Y19*(1+Inputs!$B$34/100)),15)/15,(Skills!Y19*(1+Inputs!$B$34/100))/Skills!D19)))+((C1696=TRUE)*F1696*B1723)</f>
        <v/>
      </c>
    </row>
    <row r="1725">
      <c r="A1725" t="inlineStr">
        <is>
          <t>Actions Per Second (final)</t>
        </is>
      </c>
      <c r="B1725">
        <f>1+MIN(150,150*(1-(1-(Inputs!$B$11+((C1711=TRUE)*(F1711-Calc!F22))+(ArtifactsInput!$M$15-ArtifactsInput!$M$15)*CHOOSE(ArtifactsInput!$N$15+1,8,9.6,11.2,12.8,14.4,16))/150)*(1-B1724/150)))/100</f>
        <v/>
      </c>
    </row>
    <row r="1726">
      <c r="A1726" t="inlineStr">
        <is>
          <t>Skill + Buff Cast Rate</t>
        </is>
      </c>
      <c r="B1726">
        <f>IF(AND(Inputs!$B$39&lt;&gt;"pvp",Inputs!$B$44&gt;0),SUMPRODUCT((Skills!E2:E31=TRUE)*(C1691:C1720=TRUE)*R1691:R1720*Skills!F2:F31)/Inputs!$B$44,SUMPRODUCT((Skills!E2:E31=TRUE)*(C1691:C1720=TRUE)*Q1691:Q1720*Skills!F2:F31))</f>
        <v/>
      </c>
    </row>
    <row r="1727">
      <c r="A1727" t="inlineStr">
        <is>
          <t>Showdown Casts Per Second</t>
        </is>
      </c>
      <c r="B1727">
        <f>MAX(0,B1725-B1726)</f>
        <v/>
      </c>
    </row>
    <row r="1728">
      <c r="A1728" t="inlineStr">
        <is>
          <t>Average Buff Multiplier</t>
        </is>
      </c>
      <c r="B1728">
        <f>(1+(((C1710=TRUE)*F1710*IF(AND(Inputs!$B$39&lt;&gt;"pvp",Inputs!$B$44&gt;0),(((R1710-1)*(Skills!Y21*(1+Inputs!$B$34/100))+MIN((Skills!Y21*(1+Inputs!$B$34/100)),MAX(0,Inputs!$B$44-((R1710-1)*Skills!D21))))/Inputs!$B$44),IF(Inputs!$B$39="pvp",MIN((Skills!Y21*(1+Inputs!$B$34/100)),15)/15,(Skills!Y21*(1+Inputs!$B$34/100))/Skills!D21)))+((C1717=TRUE)*(F1717-Calc!F28))+((C1707=TRUE)*(F1707-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1704=TRUE)*F1704*IF(AND(Inputs!$B$39&lt;&gt;"pvp",Inputs!$B$44&gt;0),(((R1704-1)*(Skills!Y15*(1+Inputs!$B$34/100))+MIN((Skills!Y15*(1+Inputs!$B$34/100)),MAX(0,Inputs!$B$44-((R1704-1)*Skills!D15))))/Inputs!$B$44),IF(Inputs!$B$39="pvp",MIN((Skills!Y15*(1+Inputs!$B$34/100)),15)/15,(Skills!Y15*(1+Inputs!$B$34/100))/Skills!D15)))/100)*(1+((C1695=TRUE)*F1695*B1723)/100)</f>
        <v/>
      </c>
    </row>
    <row r="1729">
      <c r="A1729" t="inlineStr">
        <is>
          <t>Global Crit Rate Bonus %</t>
        </is>
      </c>
      <c r="B1729">
        <f>IF(Inputs!$B$3&gt;=47,8,0)+((C1709=TRUE)*F1709*IF(AND(Inputs!$B$39&lt;&gt;"pvp",Inputs!$B$44&gt;0),(((R1709-1)*(Skills!Y20*(1+Inputs!$B$34/100))+MIN((Skills!Y20*(1+Inputs!$B$34/100)),MAX(0,Inputs!$B$44-((R1709-1)*Skills!D20))))/Inputs!$B$44),IF(Inputs!$B$39="pvp",MIN((Skills!Y20*(1+Inputs!$B$34/100)),15)/15,(Skills!Y20*(1+Inputs!$B$34/100))/Skills!D20)))</f>
        <v/>
      </c>
    </row>
    <row r="1730">
      <c r="A1730" t="inlineStr">
        <is>
          <t>Global Monster Damage-Taken Bonus %</t>
        </is>
      </c>
      <c r="B1730">
        <f>IF(Inputs!$B$3&gt;=82,15,0)+((C1705=TRUE)*F1705*IF(AND(Inputs!$B$39&lt;&gt;"pvp",Inputs!$B$44&gt;0),(((R1705-1)*(Skills!Y16*(1+Inputs!$B$34/100))+MIN((Skills!Y16*(1+Inputs!$B$34/100)),MAX(0,Inputs!$B$44-((R1705-1)*Skills!D16))))/Inputs!$B$44),IF(Inputs!$B$39="pvp",MIN((Skills!Y16*(1+Inputs!$B$34/100)),15)/15,(Skills!Y16*(1+Inputs!$B$34/100))/Skills!D16)))</f>
        <v/>
      </c>
    </row>
    <row r="1731">
      <c r="A1731" t="inlineStr">
        <is>
          <t>Shadow Partner Average Multiplier</t>
        </is>
      </c>
      <c r="B1731">
        <f>1+((C1700=TRUE)*F1700*I1700*Skills!J11/100)/100</f>
        <v/>
      </c>
    </row>
    <row r="1732">
      <c r="A1732" t="inlineStr">
        <is>
          <t>Global Critical Damage Bonus % (Frailty Curse Mastery Lv.111)</t>
        </is>
      </c>
      <c r="B1732">
        <f>IF(Inputs!$B$3&gt;=111,30,0)*IF(AND(Inputs!$B$39&lt;&gt;"pvp",Inputs!$B$44&gt;0),(((R1705-1)*(Skills!Y16*(1+Inputs!$B$34/100))+MIN((Skills!Y16*(1+Inputs!$B$34/100)),MAX(0,Inputs!$B$44-((R1705-1)*Skills!D16))))/Inputs!$B$44),IF(Inputs!$B$39="pvp",MIN((Skills!Y16*(1+Inputs!$B$34/100)),15)/15,(Skills!Y16*(1+Inputs!$B$34/100))/Skills!D16))</f>
        <v/>
      </c>
    </row>
    <row r="1733">
      <c r="A1733" s="6" t="inlineStr">
        <is>
          <t>TOTAL DPS</t>
        </is>
      </c>
      <c r="B1733" s="6">
        <f>SUM(O1691:O1720)</f>
        <v/>
      </c>
    </row>
    <row r="1734">
      <c r="A1734" t="inlineStr">
        <is>
          <t>Buff-Casting Startup Delay (s, fixed-duration only)</t>
        </is>
      </c>
      <c r="B1734">
        <f>IF(AND(Inputs!$B$39&lt;&gt;"pvp",Inputs!$B$44&gt;0),SUMPRODUCT((Skills!Y2:Y31&gt;0)*(Skills!E2:E31=TRUE)*(C1691:C1720=TRUE))/B1725,0)</f>
        <v/>
      </c>
    </row>
    <row r="1735">
      <c r="A1735" t="inlineStr">
        <is>
          <t>Boss-Only Total DPS (this block's swept value)</t>
        </is>
      </c>
      <c r="B1735">
        <f>SUM(T1691:T1720)</f>
        <v/>
      </c>
    </row>
    <row r="1736">
      <c r="A1736" t="inlineStr">
        <is>
          <t>Normal-Only Total DPS (this block's swept value)</t>
        </is>
      </c>
      <c r="B1736">
        <f>SUM(V1691:V1720)</f>
        <v/>
      </c>
    </row>
    <row r="1738">
      <c r="A1738" s="6" t="inlineStr">
        <is>
          <t>Stat: Mushmom's Cap (Equip)</t>
        </is>
      </c>
    </row>
    <row r="1739">
      <c r="A1739" s="5" t="inlineStr">
        <is>
          <t>Key</t>
        </is>
      </c>
      <c r="B1739" s="5" t="inlineStr">
        <is>
          <t>Name</t>
        </is>
      </c>
      <c r="C1739" s="5" t="inlineStr">
        <is>
          <t>Unlocked</t>
        </is>
      </c>
      <c r="D1739" s="5" t="inlineStr">
        <is>
          <t>InputLevel</t>
        </is>
      </c>
      <c r="E1739" s="5" t="inlineStr">
        <is>
          <t>Factor</t>
        </is>
      </c>
      <c r="F1739" s="5" t="inlineStr">
        <is>
          <t>CoefficientPercent</t>
        </is>
      </c>
      <c r="G1739" s="5" t="inlineStr">
        <is>
          <t>EffectiveHits</t>
        </is>
      </c>
      <c r="H1739" s="5" t="inlineStr">
        <is>
          <t>ProcProbability</t>
        </is>
      </c>
      <c r="I1739" s="5" t="inlineStr">
        <is>
          <t>MapleHeroMultiplier</t>
        </is>
      </c>
      <c r="J1739" s="5" t="inlineStr">
        <is>
          <t>BaseDamage</t>
        </is>
      </c>
      <c r="K1739" s="5" t="inlineStr">
        <is>
          <t>BaseHitDamage</t>
        </is>
      </c>
      <c r="L1739" s="5" t="inlineStr">
        <is>
          <t>NonCritAvg</t>
        </is>
      </c>
      <c r="M1739" s="5" t="inlineStr">
        <is>
          <t>CritAvg</t>
        </is>
      </c>
      <c r="N1739" s="5" t="inlineStr">
        <is>
          <t>ExpectedDamage(perHit)</t>
        </is>
      </c>
      <c r="O1739" s="5" t="inlineStr">
        <is>
          <t>DPS</t>
        </is>
      </c>
      <c r="P1739" s="5" t="inlineStr">
        <is>
          <t>% of Total</t>
        </is>
      </c>
      <c r="Q1739" s="5" t="inlineStr">
        <is>
          <t>InvCooldown</t>
        </is>
      </c>
      <c r="R1739" s="5" t="inlineStr">
        <is>
          <t>CastsInFight</t>
        </is>
      </c>
      <c r="S1739" s="5" t="inlineStr">
        <is>
          <t>HitRate(perSec)</t>
        </is>
      </c>
      <c r="U1739" t="inlineStr">
        <is>
          <t>helpers</t>
        </is>
      </c>
    </row>
    <row r="1740">
      <c r="A1740">
        <f>Skills!A2</f>
        <v/>
      </c>
      <c r="B1740">
        <f>Skills!B2</f>
        <v/>
      </c>
      <c r="C1740">
        <f>Inputs!$B$3&gt;=100</f>
        <v/>
      </c>
      <c r="D1740" t="inlineStr"/>
      <c r="E1740" t="inlineStr"/>
      <c r="F1740">
        <f>U1744+Skills!O2</f>
        <v/>
      </c>
      <c r="G1740">
        <f>Calc!G2</f>
        <v/>
      </c>
      <c r="H1740">
        <f>Calc!H2</f>
        <v/>
      </c>
      <c r="I1740">
        <f>IF(Skills!AA2&lt;&gt;"",1+(Skills!AA2/10)*(U1741/1000)/100,1)</f>
        <v/>
      </c>
      <c r="J1740">
        <f>((Inputs!$B$6*(1+Inputs!$B$7/100))+(((Inputs!$B$12*(1+Inputs!$B$13/100))-(Inputs!$B$12*(1+Inputs!$B$13/100)))+0.25*(Inputs!$B$14-Inputs!$B$14))*(1+Inputs!$B$7/100))*(F1740/100)</f>
        <v/>
      </c>
      <c r="K1740">
        <f>J1740*(1+((Inputs!$B$12*(1+Inputs!$B$13/100))*0.01+Inputs!$B$14*0.0025)/100)*(1+Inputs!$B$15/100)*(1+Inputs!$B$16/100)*(5000/(6000+Inputs!$B$43*(1-(100*(1-(1-(Inputs!$B$19+0)/100)*(1-CHOOSE(ArtifactsInput!$N$40+1,5,6,7,8,9,10)/100)^(ArtifactsInput!$M$40-ArtifactsInput!$M$40)))/100)))*(1+(Inputs!$B$24+((C1768=TRUE)*(F1768-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1761=TRUE)*(F1761-Calc!F23))+(((IF(AND(ArtifactsInput!$M$42,((Inputs!$B$9+((C1763=TRUE)*(F1763-Calc!F25))+B1778+(ArtifactsInput!$M$24-ArtifactsInput!$M$24)*CHOOSE(ArtifactsInput!$N$24+1,10,12,14,16,18,20)+IF(ArtifactsInput!$M$10,CHOOSE(ArtifactsInput!$N$10+1,15,18,21,24,27,30)*(IF(Inputs!$B$39="pvp",MIN(15,15)/15,IF(AND(Inputs!$B$39&lt;&gt;"pvp",Inputs!$B$44&gt;0),MIN(15,Inputs!$B$44)/(Inputs!$B$44),0))),0)))&gt;=100),MIN(100,((Inputs!$B$9+((C1763=TRUE)*(F1763-Calc!F25))+B1778+(ArtifactsInput!$M$24-ArtifactsInput!$M$24)*CHOOSE(ArtifactsInput!$N$24+1,10,12,14,16,18,20)+IF(ArtifactsInput!$M$10,CHOOSE(ArtifactsInput!$N$10+1,15,18,21,24,27,30)*(IF(Inputs!$B$39="pvp",MIN(15,15)/15,IF(AND(Inputs!$B$39&lt;&gt;"pvp",Inputs!$B$44&gt;0),MIN(15,Inputs!$B$44)/(Inputs!$B$44),0))),0)))-100),0))*CHOOSE(ArtifactsInput!$N$42+1,0.6,0.72,0.84,0.96,1.08,1.2))),Inputs!$B$18+((C1767=TRUE)*(F1767-Calc!F29))+(IF(AND(ArtifactsInput!$M$42,((Inputs!$B$9+((C1763=TRUE)*(F1763-Calc!F25))+B1778+(ArtifactsInput!$M$24-ArtifactsInput!$M$24)*CHOOSE(ArtifactsInput!$N$24+1,10,12,14,16,18,20)+IF(ArtifactsInput!$M$10,CHOOSE(ArtifactsInput!$N$10+1,15,18,21,24,27,30)*(IF(Inputs!$B$39="pvp",MIN(15,15)/15,IF(AND(Inputs!$B$39&lt;&gt;"pvp",Inputs!$B$44&gt;0),MIN(15,Inputs!$B$44)/(Inputs!$B$44),0))),0)))&gt;=100),CHOOSE(ArtifactsInput!$N$42+1,40,48,56,64,72,80),0))))/100)*(((1+(((C1759=TRUE)*F1759*IF(AND(Inputs!$B$39&lt;&gt;"pvp",Inputs!$B$44&gt;0),(((R1759-1)*(Skills!Y21*(1+Inputs!$B$34/100))+MIN((Skills!Y21*(1+Inputs!$B$34/100)),MAX(0,Inputs!$B$44-((R1759-1)*Skills!D21))))/Inputs!$B$44),IF(Inputs!$B$39="pvp",MIN((Skills!Y21*(1+Inputs!$B$34/100)),15)/15,(Skills!Y21*(1+Inputs!$B$34/100))/Skills!D21)))+((C1766=TRUE)*(F1766-Calc!F28))+((C1756=TRUE)*(F1756-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1753=TRUE)*F1753*IF(AND(Inputs!$B$39&lt;&gt;"pvp",Inputs!$B$44&gt;0),(((R1753-1)*(Skills!Y15*(1+Inputs!$B$34/100))+MIN((Skills!Y15*(1+Inputs!$B$34/100)),MAX(0,Inputs!$B$44-((R1753-1)*Skills!D15))))/Inputs!$B$44),IF(Inputs!$B$39="pvp",MIN((Skills!Y15*(1+Inputs!$B$34/100)),15)/15,(Skills!Y15*(1+Inputs!$B$34/100))/Skills!D15)))/100)*(1+((C1744=TRUE)*F1744*B1772)/100))*B1780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1740)</f>
        <v/>
      </c>
      <c r="L1740">
        <f>K1740*(MIN(Inputs!$B$22+((C1762=TRUE)*(F1762-Calc!F24)),(Inputs!$B$23+0+(IF(ArtifactsInput!$M$15,CHOOSE(ArtifactsInput!$N$15+1,25,30,35,40,45,50)/100*(Inputs!$B$11-Inputs!$B$11),0))))/100+(Inputs!$B$23+0+(IF(ArtifactsInput!$M$15,CHOOSE(ArtifactsInput!$N$15+1,25,30,35,40,45,50)/100*(Inputs!$B$11-Inputs!$B$11),0)))/100)/2</f>
        <v/>
      </c>
      <c r="M1740">
        <f>L1740*(1+(Inputs!$B$10+((C1764=TRUE)*(F1764-Calc!F26))+B1781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40">
        <f>L1740*(1-MIN((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1740*(MIN((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40">
        <f>(1-Summary!$B$11)*T1740+Summary!$B$11*V1740</f>
        <v/>
      </c>
      <c r="P1740">
        <f>IF(B1782=0,0,O1740/B1782)</f>
        <v/>
      </c>
      <c r="Q1740" t="n">
        <v>0</v>
      </c>
      <c r="R1740" t="n">
        <v>0</v>
      </c>
      <c r="S1740">
        <f>IFERROR(O1740/N1740,0)</f>
        <v/>
      </c>
      <c r="T1740">
        <f>IF(C1740,(Skills!G2*N1740*B1776)*IF(Inputs!$B$39="pvp",1,1+(Inputs!$B$20+((C1765=TRUE)*(F1765-Calc!F27))+Skills!P2+B1779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Hunt"),CHOOSE(ArtifactsInput!$N$35+1,15,18,21,24,27,30)*(1-EXP(-(0.2*B1774)*5)),0)+IF(AND(ArtifactsInput!$M$22,Inputs!$B$4&lt;&gt;"Chapter Hunt"),CHOOSE(ArtifactsInput!$N$22+1,10,12,14,16,18,20)*((0*(((0.15*B1774*5))^0/1)+1*(((0.15*B1774*5))^1/1)+2*(((0.15*B1774*5))^2/2)+3*(((0.15*B1774*5))^3/6)+4*(((0.15*B1774*5))^4/24)+5*(((0.15*B1774*5))^5/120))/((((0.15*B1774*5))^0/1)+(((0.15*B1774*5))^1/1)+(((0.15*B1774*5))^2/2)+(((0.15*B1774*5))^3/6)+(((0.15*B1774*5))^4/24)+(((0.15*B1774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1740*(1-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1740*(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1740*(1-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1740*(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40">
        <f>MAX(0,(Inputs!$B$3-100)*3)+Inputs!$B$28+Inputs!$B$29</f>
        <v/>
      </c>
      <c r="V1740">
        <f>IF(C1740,(Skills!G2*N1740*B1776)*IF(Inputs!$B$39="pvp",1,(1+(Inputs!$B$21+Skills!Q2+B1779+(IF(ArtifactsInput!$M$33,CHOOSE(ArtifactsInput!$N$33+1,30,36,42,48,54,60),0))+(IF(AND(ArtifactsInput!$M$35,Inputs!$B$4&lt;&gt;"Chapter Hunt"),CHOOSE(ArtifactsInput!$N$35+1,15,18,21,24,27,30)*(1-EXP(-(0.2*B1774)*5)),0)+IF(AND(ArtifactsInput!$M$22,Inputs!$B$4&lt;&gt;"Chapter Hunt"),CHOOSE(ArtifactsInput!$N$22+1,10,12,14,16,18,20)*((0*(((0.15*B1774*5))^0/1)+1*(((0.15*B1774*5))^1/1)+2*(((0.15*B1774*5))^2/2)+3*(((0.15*B1774*5))^3/6)+4*(((0.15*B1774*5))^4/24)+5*(((0.15*B1774*5))^5/120))/((((0.15*B1774*5))^0/1)+(((0.15*B1774*5))^1/1)+(((0.15*B1774*5))^2/2)+(((0.15*B1774*5))^3/6)+(((0.15*B1774*5))^4/24)+(((0.15*B1774*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41">
      <c r="A1741">
        <f>Skills!A3</f>
        <v/>
      </c>
      <c r="B1741">
        <f>Skills!B3</f>
        <v/>
      </c>
      <c r="C1741">
        <f>Inputs!$B$3&gt;=35</f>
        <v/>
      </c>
      <c r="D1741">
        <f>IF(Skills!C3=1,60+Inputs!$B$25+Inputs!$B$29,IF(Skills!C3=2,90+Inputs!$B$26+Inputs!$B$29,IF(Skills!C3=3,120+Inputs!$B$27+Inputs!$B$29,MAX(0,(Inputs!$B$3-100)*3)+Inputs!$B$28+Inputs!$B$29)))</f>
        <v/>
      </c>
      <c r="E1741">
        <f>INDEX(FactorTable!$B$2:$Y$301, MATCH(ROUND(MIN(300,MAX(1,D1741)),0), FactorTable!$A$2:$A$301,0), Skills!M3+1)</f>
        <v/>
      </c>
      <c r="F1741">
        <f>IF(Skills!N3=TRUE,(Skills!L3/10)*(E1741/1000),Skills!L3/10)+Skills!O3</f>
        <v/>
      </c>
      <c r="G1741">
        <f>Calc!G3</f>
        <v/>
      </c>
      <c r="H1741">
        <f>Calc!H3</f>
        <v/>
      </c>
      <c r="I1741">
        <f>IF(Skills!AA3&lt;&gt;"",1+(Skills!AA3/10)*(U1741/1000)/100,1)</f>
        <v/>
      </c>
      <c r="J1741">
        <f>((Inputs!$B$6*(1+Inputs!$B$7/100))+(((Inputs!$B$12*(1+Inputs!$B$13/100))-(Inputs!$B$12*(1+Inputs!$B$13/100)))+0.25*(Inputs!$B$14-Inputs!$B$14))*(1+Inputs!$B$7/100))*(F1741/100)</f>
        <v/>
      </c>
      <c r="K1741">
        <f>J1741*(1+((Inputs!$B$12*(1+Inputs!$B$13/100))*0.01+Inputs!$B$14*0.0025)/100)*(1+Inputs!$B$15/100)*(1+Inputs!$B$16/100)*(5000/(6000+Inputs!$B$43*(1-(100*(1-(1-(Inputs!$B$19+0)/100)*(1-CHOOSE(ArtifactsInput!$N$40+1,5,6,7,8,9,10)/100)^(ArtifactsInput!$M$40-ArtifactsInput!$M$40)))/100)))*(1+(Inputs!$B$24+((C1768=TRUE)*(F1768-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1761=TRUE)*(F1761-Calc!F23))+(((IF(AND(ArtifactsInput!$M$42,((Inputs!$B$9+((C1763=TRUE)*(F1763-Calc!F25))+B1778+(ArtifactsInput!$M$24-ArtifactsInput!$M$24)*CHOOSE(ArtifactsInput!$N$24+1,10,12,14,16,18,20)+IF(ArtifactsInput!$M$10,CHOOSE(ArtifactsInput!$N$10+1,15,18,21,24,27,30)*(IF(Inputs!$B$39="pvp",MIN(15,15)/15,IF(AND(Inputs!$B$39&lt;&gt;"pvp",Inputs!$B$44&gt;0),MIN(15,Inputs!$B$44)/(Inputs!$B$44),0))),0)))&gt;=100),MIN(100,((Inputs!$B$9+((C1763=TRUE)*(F1763-Calc!F25))+B1778+(ArtifactsInput!$M$24-ArtifactsInput!$M$24)*CHOOSE(ArtifactsInput!$N$24+1,10,12,14,16,18,20)+IF(ArtifactsInput!$M$10,CHOOSE(ArtifactsInput!$N$10+1,15,18,21,24,27,30)*(IF(Inputs!$B$39="pvp",MIN(15,15)/15,IF(AND(Inputs!$B$39&lt;&gt;"pvp",Inputs!$B$44&gt;0),MIN(15,Inputs!$B$44)/(Inputs!$B$44),0))),0)))-100),0))*CHOOSE(ArtifactsInput!$N$42+1,0.6,0.72,0.84,0.96,1.08,1.2))),Inputs!$B$18+((C1767=TRUE)*(F1767-Calc!F29))+(IF(AND(ArtifactsInput!$M$42,((Inputs!$B$9+((C1763=TRUE)*(F1763-Calc!F25))+B1778+(ArtifactsInput!$M$24-ArtifactsInput!$M$24)*CHOOSE(ArtifactsInput!$N$24+1,10,12,14,16,18,20)+IF(ArtifactsInput!$M$10,CHOOSE(ArtifactsInput!$N$10+1,15,18,21,24,27,30)*(IF(Inputs!$B$39="pvp",MIN(15,15)/15,IF(AND(Inputs!$B$39&lt;&gt;"pvp",Inputs!$B$44&gt;0),MIN(15,Inputs!$B$44)/(Inputs!$B$44),0))),0)))&gt;=100),CHOOSE(ArtifactsInput!$N$42+1,40,48,56,64,72,80),0))))/100)*(((1+(((C1759=TRUE)*F1759*IF(AND(Inputs!$B$39&lt;&gt;"pvp",Inputs!$B$44&gt;0),(((R1759-1)*(Skills!Y21*(1+Inputs!$B$34/100))+MIN((Skills!Y21*(1+Inputs!$B$34/100)),MAX(0,Inputs!$B$44-((R1759-1)*Skills!D21))))/Inputs!$B$44),IF(Inputs!$B$39="pvp",MIN((Skills!Y21*(1+Inputs!$B$34/100)),15)/15,(Skills!Y21*(1+Inputs!$B$34/100))/Skills!D21)))+((C1766=TRUE)*(F1766-Calc!F28))+((C1756=TRUE)*(F1756-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1753=TRUE)*F1753*IF(AND(Inputs!$B$39&lt;&gt;"pvp",Inputs!$B$44&gt;0),(((R1753-1)*(Skills!Y15*(1+Inputs!$B$34/100))+MIN((Skills!Y15*(1+Inputs!$B$34/100)),MAX(0,Inputs!$B$44-((R1753-1)*Skills!D15))))/Inputs!$B$44),IF(Inputs!$B$39="pvp",MIN((Skills!Y15*(1+Inputs!$B$34/100)),15)/15,(Skills!Y15*(1+Inputs!$B$34/100))/Skills!D15)))/100)*(1+((C1744=TRUE)*F1744*B1772)/100))*B1780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1741)</f>
        <v/>
      </c>
      <c r="L1741">
        <f>K1741*(MIN(Inputs!$B$22+((C1762=TRUE)*(F1762-Calc!F24)),(Inputs!$B$23+0+(IF(ArtifactsInput!$M$15,CHOOSE(ArtifactsInput!$N$15+1,25,30,35,40,45,50)/100*(Inputs!$B$11-Inputs!$B$11),0))))/100+(Inputs!$B$23+0+(IF(ArtifactsInput!$M$15,CHOOSE(ArtifactsInput!$N$15+1,25,30,35,40,45,50)/100*(Inputs!$B$11-Inputs!$B$11),0)))/100)/2</f>
        <v/>
      </c>
      <c r="M1741">
        <f>L1741*(1+(Inputs!$B$10+((C1764=TRUE)*(F1764-Calc!F26))+B1781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41">
        <f>L1741*(1-MIN((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1741*(MIN((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41">
        <f>(1-Summary!$B$11)*T1741+Summary!$B$11*V1741</f>
        <v/>
      </c>
      <c r="P1741">
        <f>IF(B1782=0,0,O1741/B1782)</f>
        <v/>
      </c>
      <c r="Q1741">
        <f>IFERROR(1/IF(Inputs!$B$39="pvp",15,MAX(0.1,Skills!D3-IF(Skills!E3=TRUE,Inputs!$B$32,0))),0)</f>
        <v/>
      </c>
      <c r="R1741">
        <f>IF(AND(Inputs!$B$39&lt;&gt;"pvp",Inputs!$B$44&gt;0),IF(MAX(0,Inputs!$B$44-B1783)&lt;=0,0,(INT(MAX(0,Inputs!$B$44-B1783)/IF(Inputs!$B$39="pvp",15,MAX(0.1,Skills!D3-IF(Skills!E3=TRUE,Inputs!$B$32,0))))+1)),0)</f>
        <v/>
      </c>
      <c r="S1741">
        <f>IFERROR(O1741/N1741,0)</f>
        <v/>
      </c>
      <c r="T1741">
        <f>IF(C1741,(H1741*N1741*IF(AND(Inputs!$B$39&lt;&gt;"pvp",Inputs!$B$44&gt;0),((Skills!G3*((R1741-1)*IF(Skills!H3&gt;0,Skills!I3/Skills!H3,1)+IF(Skills!H3&gt;0,MIN(Skills!I3,MAX(0,MAX(0,Inputs!$B$44-B1783)-((R1741-1)*IF(Inputs!$B$39="pvp",15,MAX(0.1,Skills!D3-IF(Skills!E3=TRUE,Inputs!$B$32,0))))))/Skills!H3,1)))/Inputs!$B$44),G1741*Q1741))*IF(Inputs!$B$39="pvp",1,1+(Inputs!$B$20+((C1765=TRUE)*(F1765-Calc!F27))+Skills!P3+B1779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Hunt"),CHOOSE(ArtifactsInput!$N$35+1,15,18,21,24,27,30)*(1-EXP(-(0.2*B1774)*5)),0)+IF(AND(ArtifactsInput!$M$22,Inputs!$B$4&lt;&gt;"Chapter Hunt"),CHOOSE(ArtifactsInput!$N$22+1,10,12,14,16,18,20)*((0*(((0.15*B1774*5))^0/1)+1*(((0.15*B1774*5))^1/1)+2*(((0.15*B1774*5))^2/2)+3*(((0.15*B1774*5))^3/6)+4*(((0.15*B1774*5))^4/24)+5*(((0.15*B1774*5))^5/120))/((((0.15*B1774*5))^0/1)+(((0.15*B1774*5))^1/1)+(((0.15*B1774*5))^2/2)+(((0.15*B1774*5))^3/6)+(((0.15*B1774*5))^4/24)+(((0.15*B1774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1741*(1-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1741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1741*(1-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1741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41">
        <f>INDEX(FactorTable!$B$2:$Y$301, MATCH(ROUND(MIN(300,MAX(1,U1740)),0), FactorTable!$A$2:$A$301,0), 24)</f>
        <v/>
      </c>
      <c r="V1741">
        <f>IF(C1741,(H1741*N1741*IF(AND(Inputs!$B$39&lt;&gt;"pvp",Inputs!$B$44&gt;0),((Skills!G3*((R1741-1)*IF(Skills!H3&gt;0,Skills!I3/Skills!H3,1)+IF(Skills!H3&gt;0,MIN(Skills!I3,MAX(0,MAX(0,Inputs!$B$44-B1783)-((R1741-1)*IF(Inputs!$B$39="pvp",15,MAX(0.1,Skills!D3-IF(Skills!E3=TRUE,Inputs!$B$32,0))))))/Skills!H3,1)))/Inputs!$B$44),G1741*Q1741))*IF(Inputs!$B$39="pvp",1,(1+(Inputs!$B$21+Skills!Q3+B1779+(IF(ArtifactsInput!$M$33,CHOOSE(ArtifactsInput!$N$33+1,30,36,42,48,54,60),0))+(IF(AND(ArtifactsInput!$M$35,Inputs!$B$4&lt;&gt;"Chapter Hunt"),CHOOSE(ArtifactsInput!$N$35+1,15,18,21,24,27,30)*(1-EXP(-(0.2*B1774)*5)),0)+IF(AND(ArtifactsInput!$M$22,Inputs!$B$4&lt;&gt;"Chapter Hunt"),CHOOSE(ArtifactsInput!$N$22+1,10,12,14,16,18,20)*((0*(((0.15*B1774*5))^0/1)+1*(((0.15*B1774*5))^1/1)+2*(((0.15*B1774*5))^2/2)+3*(((0.15*B1774*5))^3/6)+4*(((0.15*B1774*5))^4/24)+5*(((0.15*B1774*5))^5/120))/((((0.15*B1774*5))^0/1)+(((0.15*B1774*5))^1/1)+(((0.15*B1774*5))^2/2)+(((0.15*B1774*5))^3/6)+(((0.15*B1774*5))^4/24)+(((0.15*B1774*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42">
      <c r="A1742">
        <f>Skills!A4</f>
        <v/>
      </c>
      <c r="B1742">
        <f>Skills!B4</f>
        <v/>
      </c>
      <c r="C1742">
        <f>Inputs!$B$3&gt;=40</f>
        <v/>
      </c>
      <c r="D1742">
        <f>IF(Skills!C4=1,60+Inputs!$B$25+Inputs!$B$29,IF(Skills!C4=2,90+Inputs!$B$26+Inputs!$B$29,IF(Skills!C4=3,120+Inputs!$B$27+Inputs!$B$29,MAX(0,(Inputs!$B$3-100)*3)+Inputs!$B$28+Inputs!$B$29)))</f>
        <v/>
      </c>
      <c r="E1742">
        <f>INDEX(FactorTable!$B$2:$Y$301, MATCH(ROUND(MIN(300,MAX(1,D1742)),0), FactorTable!$A$2:$A$301,0), Skills!M4+1)</f>
        <v/>
      </c>
      <c r="F1742">
        <f>IF(Skills!N4=TRUE,(Skills!L4/10)*(E1742/1000),Skills!L4/10)+Skills!O4</f>
        <v/>
      </c>
      <c r="G1742">
        <f>Calc!G4</f>
        <v/>
      </c>
      <c r="H1742">
        <f>Calc!H4</f>
        <v/>
      </c>
      <c r="I1742">
        <f>IF(Skills!AA4&lt;&gt;"",1+(Skills!AA4/10)*(U1741/1000)/100,1)</f>
        <v/>
      </c>
      <c r="J1742">
        <f>((Inputs!$B$6*(1+Inputs!$B$7/100))+(((Inputs!$B$12*(1+Inputs!$B$13/100))-(Inputs!$B$12*(1+Inputs!$B$13/100)))+0.25*(Inputs!$B$14-Inputs!$B$14))*(1+Inputs!$B$7/100))*(F1742/100)</f>
        <v/>
      </c>
      <c r="K1742">
        <f>J1742*(1+((Inputs!$B$12*(1+Inputs!$B$13/100))*0.01+Inputs!$B$14*0.0025)/100)*(1+Inputs!$B$15/100)*(1+Inputs!$B$16/100)*(5000/(6000+Inputs!$B$43*(1-(100*(1-(1-(Inputs!$B$19+0)/100)*(1-CHOOSE(ArtifactsInput!$N$40+1,5,6,7,8,9,10)/100)^(ArtifactsInput!$M$40-ArtifactsInput!$M$40)))/100)))*(1+(Inputs!$B$24+((C1768=TRUE)*(F1768-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1761=TRUE)*(F1761-Calc!F23))+(((IF(AND(ArtifactsInput!$M$42,((Inputs!$B$9+((C1763=TRUE)*(F1763-Calc!F25))+B1778+(ArtifactsInput!$M$24-ArtifactsInput!$M$24)*CHOOSE(ArtifactsInput!$N$24+1,10,12,14,16,18,20)+IF(ArtifactsInput!$M$10,CHOOSE(ArtifactsInput!$N$10+1,15,18,21,24,27,30)*(IF(Inputs!$B$39="pvp",MIN(15,15)/15,IF(AND(Inputs!$B$39&lt;&gt;"pvp",Inputs!$B$44&gt;0),MIN(15,Inputs!$B$44)/(Inputs!$B$44),0))),0)))&gt;=100),MIN(100,((Inputs!$B$9+((C1763=TRUE)*(F1763-Calc!F25))+B1778+(ArtifactsInput!$M$24-ArtifactsInput!$M$24)*CHOOSE(ArtifactsInput!$N$24+1,10,12,14,16,18,20)+IF(ArtifactsInput!$M$10,CHOOSE(ArtifactsInput!$N$10+1,15,18,21,24,27,30)*(IF(Inputs!$B$39="pvp",MIN(15,15)/15,IF(AND(Inputs!$B$39&lt;&gt;"pvp",Inputs!$B$44&gt;0),MIN(15,Inputs!$B$44)/(Inputs!$B$44),0))),0)))-100),0))*CHOOSE(ArtifactsInput!$N$42+1,0.6,0.72,0.84,0.96,1.08,1.2))),Inputs!$B$18+((C1767=TRUE)*(F1767-Calc!F29))+(IF(AND(ArtifactsInput!$M$42,((Inputs!$B$9+((C1763=TRUE)*(F1763-Calc!F25))+B1778+(ArtifactsInput!$M$24-ArtifactsInput!$M$24)*CHOOSE(ArtifactsInput!$N$24+1,10,12,14,16,18,20)+IF(ArtifactsInput!$M$10,CHOOSE(ArtifactsInput!$N$10+1,15,18,21,24,27,30)*(IF(Inputs!$B$39="pvp",MIN(15,15)/15,IF(AND(Inputs!$B$39&lt;&gt;"pvp",Inputs!$B$44&gt;0),MIN(15,Inputs!$B$44)/(Inputs!$B$44),0))),0)))&gt;=100),CHOOSE(ArtifactsInput!$N$42+1,40,48,56,64,72,80),0))))/100)*(((1+(((C1759=TRUE)*F1759*IF(AND(Inputs!$B$39&lt;&gt;"pvp",Inputs!$B$44&gt;0),(((R1759-1)*(Skills!Y21*(1+Inputs!$B$34/100))+MIN((Skills!Y21*(1+Inputs!$B$34/100)),MAX(0,Inputs!$B$44-((R1759-1)*Skills!D21))))/Inputs!$B$44),IF(Inputs!$B$39="pvp",MIN((Skills!Y21*(1+Inputs!$B$34/100)),15)/15,(Skills!Y21*(1+Inputs!$B$34/100))/Skills!D21)))+((C1766=TRUE)*(F1766-Calc!F28))+((C1756=TRUE)*(F1756-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1753=TRUE)*F1753*IF(AND(Inputs!$B$39&lt;&gt;"pvp",Inputs!$B$44&gt;0),(((R1753-1)*(Skills!Y15*(1+Inputs!$B$34/100))+MIN((Skills!Y15*(1+Inputs!$B$34/100)),MAX(0,Inputs!$B$44-((R1753-1)*Skills!D15))))/Inputs!$B$44),IF(Inputs!$B$39="pvp",MIN((Skills!Y15*(1+Inputs!$B$34/100)),15)/15,(Skills!Y15*(1+Inputs!$B$34/100))/Skills!D15)))/100)*(1+((C1744=TRUE)*F1744*B1772)/100))*B1780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1742)</f>
        <v/>
      </c>
      <c r="L1742">
        <f>K1742*(MIN(Inputs!$B$22+((C1762=TRUE)*(F1762-Calc!F24)),(Inputs!$B$23+0+(IF(ArtifactsInput!$M$15,CHOOSE(ArtifactsInput!$N$15+1,25,30,35,40,45,50)/100*(Inputs!$B$11-Inputs!$B$11),0))))/100+(Inputs!$B$23+0+(IF(ArtifactsInput!$M$15,CHOOSE(ArtifactsInput!$N$15+1,25,30,35,40,45,50)/100*(Inputs!$B$11-Inputs!$B$11),0)))/100)/2</f>
        <v/>
      </c>
      <c r="M1742">
        <f>L1742*(1+(Inputs!$B$10+((C1764=TRUE)*(F1764-Calc!F26))+B1781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42">
        <f>L1742*(1-MIN((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1742*(MIN((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42">
        <f>(1-Summary!$B$11)*T1742+Summary!$B$11*V1742</f>
        <v/>
      </c>
      <c r="P1742">
        <f>IF(B1782=0,0,O1742/B1782)</f>
        <v/>
      </c>
      <c r="Q1742">
        <f>IFERROR(1/IF(Inputs!$B$39="pvp",15,MAX(0.1,Skills!D4-IF(Skills!E4=TRUE,Inputs!$B$32,0))),0)</f>
        <v/>
      </c>
      <c r="R1742">
        <f>IF(AND(Inputs!$B$39&lt;&gt;"pvp",Inputs!$B$44&gt;0),IF(MAX(0,Inputs!$B$44-B1783)&lt;=0,0,(INT(MAX(0,Inputs!$B$44-B1783)/IF(Inputs!$B$39="pvp",15,MAX(0.1,Skills!D4-IF(Skills!E4=TRUE,Inputs!$B$32,0))))+1)),0)</f>
        <v/>
      </c>
      <c r="S1742">
        <f>IFERROR(O1742/N1742,0)</f>
        <v/>
      </c>
      <c r="T1742">
        <f>IF(C1742,(H1742*N1742*IF(AND(Inputs!$B$39&lt;&gt;"pvp",Inputs!$B$44&gt;0),((Skills!G4*((R1742-1)*IF(Skills!H4&gt;0,Skills!I4/Skills!H4,1)+IF(Skills!H4&gt;0,MIN(Skills!I4,MAX(0,MAX(0,Inputs!$B$44-B1783)-((R1742-1)*IF(Inputs!$B$39="pvp",15,MAX(0.1,Skills!D4-IF(Skills!E4=TRUE,Inputs!$B$32,0))))))/Skills!H4,1)))/Inputs!$B$44),G1742*Q1742))*IF(Inputs!$B$39="pvp",1,1+(Inputs!$B$20+((C1765=TRUE)*(F1765-Calc!F27))+Skills!P4+B1779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Hunt"),CHOOSE(ArtifactsInput!$N$35+1,15,18,21,24,27,30)*(1-EXP(-(0.2*B1774)*5)),0)+IF(AND(ArtifactsInput!$M$22,Inputs!$B$4&lt;&gt;"Chapter Hunt"),CHOOSE(ArtifactsInput!$N$22+1,10,12,14,16,18,20)*((0*(((0.15*B1774*5))^0/1)+1*(((0.15*B1774*5))^1/1)+2*(((0.15*B1774*5))^2/2)+3*(((0.15*B1774*5))^3/6)+4*(((0.15*B1774*5))^4/24)+5*(((0.15*B1774*5))^5/120))/((((0.15*B1774*5))^0/1)+(((0.15*B1774*5))^1/1)+(((0.15*B1774*5))^2/2)+(((0.15*B1774*5))^3/6)+(((0.15*B1774*5))^4/24)+(((0.15*B1774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1742*(1-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1742*(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1742*(1-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1742*(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42">
        <f>MAX(0,(Inputs!$B$3-100)*3)+Inputs!$B$28+Inputs!$B$29</f>
        <v/>
      </c>
      <c r="V1742">
        <f>IF(C1742,(H1742*N1742*IF(AND(Inputs!$B$39&lt;&gt;"pvp",Inputs!$B$44&gt;0),((Skills!G4*((R1742-1)*IF(Skills!H4&gt;0,Skills!I4/Skills!H4,1)+IF(Skills!H4&gt;0,MIN(Skills!I4,MAX(0,MAX(0,Inputs!$B$44-B1783)-((R1742-1)*IF(Inputs!$B$39="pvp",15,MAX(0.1,Skills!D4-IF(Skills!E4=TRUE,Inputs!$B$32,0))))))/Skills!H4,1)))/Inputs!$B$44),G1742*Q1742))*IF(Inputs!$B$39="pvp",1,(1+(Inputs!$B$21+Skills!Q4+B1779+(IF(ArtifactsInput!$M$33,CHOOSE(ArtifactsInput!$N$33+1,30,36,42,48,54,60),0))+(IF(AND(ArtifactsInput!$M$35,Inputs!$B$4&lt;&gt;"Chapter Hunt"),CHOOSE(ArtifactsInput!$N$35+1,15,18,21,24,27,30)*(1-EXP(-(0.2*B1774)*5)),0)+IF(AND(ArtifactsInput!$M$22,Inputs!$B$4&lt;&gt;"Chapter Hunt"),CHOOSE(ArtifactsInput!$N$22+1,10,12,14,16,18,20)*((0*(((0.15*B1774*5))^0/1)+1*(((0.15*B1774*5))^1/1)+2*(((0.15*B1774*5))^2/2)+3*(((0.15*B1774*5))^3/6)+4*(((0.15*B1774*5))^4/24)+5*(((0.15*B1774*5))^5/120))/((((0.15*B1774*5))^0/1)+(((0.15*B1774*5))^1/1)+(((0.15*B1774*5))^2/2)+(((0.15*B1774*5))^3/6)+(((0.15*B1774*5))^4/24)+(((0.15*B1774*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43">
      <c r="A1743">
        <f>Skills!A5</f>
        <v/>
      </c>
      <c r="B1743">
        <f>Skills!B5</f>
        <v/>
      </c>
      <c r="C1743">
        <f>Inputs!$B$3&gt;=63</f>
        <v/>
      </c>
      <c r="D1743">
        <f>IF(Skills!C5=1,60+Inputs!$B$25+Inputs!$B$29,IF(Skills!C5=2,90+Inputs!$B$26+Inputs!$B$29,IF(Skills!C5=3,120+Inputs!$B$27+Inputs!$B$29,MAX(0,(Inputs!$B$3-100)*3)+Inputs!$B$28+Inputs!$B$29)))</f>
        <v/>
      </c>
      <c r="E1743">
        <f>INDEX(FactorTable!$B$2:$Y$301, MATCH(ROUND(MIN(300,MAX(1,D1743)),0), FactorTable!$A$2:$A$301,0), Skills!M5+1)</f>
        <v/>
      </c>
      <c r="F1743">
        <f>IF(Skills!N5=TRUE,(Skills!L5/10)*(E1743/1000),Skills!L5/10)+Skills!O5</f>
        <v/>
      </c>
      <c r="G1743">
        <f>Calc!G5</f>
        <v/>
      </c>
      <c r="H1743">
        <f>Calc!H5</f>
        <v/>
      </c>
      <c r="I1743">
        <f>IF(Skills!AA5&lt;&gt;"",1+(Skills!AA5/10)*(U1741/1000)/100,1)</f>
        <v/>
      </c>
      <c r="J1743">
        <f>((Inputs!$B$6*(1+Inputs!$B$7/100))+(((Inputs!$B$12*(1+Inputs!$B$13/100))-(Inputs!$B$12*(1+Inputs!$B$13/100)))+0.25*(Inputs!$B$14-Inputs!$B$14))*(1+Inputs!$B$7/100))*(F1743/100)</f>
        <v/>
      </c>
      <c r="K1743">
        <f>J1743*(1+((Inputs!$B$12*(1+Inputs!$B$13/100))*0.01+Inputs!$B$14*0.0025)/100)*(1+Inputs!$B$15/100)*(1+Inputs!$B$16/100)*(5000/(6000+Inputs!$B$43*(1-(100*(1-(1-(Inputs!$B$19+0)/100)*(1-CHOOSE(ArtifactsInput!$N$40+1,5,6,7,8,9,10)/100)^(ArtifactsInput!$M$40-ArtifactsInput!$M$40)))/100)))*(1+(Inputs!$B$24+((C1768=TRUE)*(F1768-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1761=TRUE)*(F1761-Calc!F23))+(((IF(AND(ArtifactsInput!$M$42,((Inputs!$B$9+((C1763=TRUE)*(F1763-Calc!F25))+B1778+(ArtifactsInput!$M$24-ArtifactsInput!$M$24)*CHOOSE(ArtifactsInput!$N$24+1,10,12,14,16,18,20)+IF(ArtifactsInput!$M$10,CHOOSE(ArtifactsInput!$N$10+1,15,18,21,24,27,30)*(IF(Inputs!$B$39="pvp",MIN(15,15)/15,IF(AND(Inputs!$B$39&lt;&gt;"pvp",Inputs!$B$44&gt;0),MIN(15,Inputs!$B$44)/(Inputs!$B$44),0))),0)))&gt;=100),MIN(100,((Inputs!$B$9+((C1763=TRUE)*(F1763-Calc!F25))+B1778+(ArtifactsInput!$M$24-ArtifactsInput!$M$24)*CHOOSE(ArtifactsInput!$N$24+1,10,12,14,16,18,20)+IF(ArtifactsInput!$M$10,CHOOSE(ArtifactsInput!$N$10+1,15,18,21,24,27,30)*(IF(Inputs!$B$39="pvp",MIN(15,15)/15,IF(AND(Inputs!$B$39&lt;&gt;"pvp",Inputs!$B$44&gt;0),MIN(15,Inputs!$B$44)/(Inputs!$B$44),0))),0)))-100),0))*CHOOSE(ArtifactsInput!$N$42+1,0.6,0.72,0.84,0.96,1.08,1.2))),Inputs!$B$18+((C1767=TRUE)*(F1767-Calc!F29))+(IF(AND(ArtifactsInput!$M$42,((Inputs!$B$9+((C1763=TRUE)*(F1763-Calc!F25))+B1778+(ArtifactsInput!$M$24-ArtifactsInput!$M$24)*CHOOSE(ArtifactsInput!$N$24+1,10,12,14,16,18,20)+IF(ArtifactsInput!$M$10,CHOOSE(ArtifactsInput!$N$10+1,15,18,21,24,27,30)*(IF(Inputs!$B$39="pvp",MIN(15,15)/15,IF(AND(Inputs!$B$39&lt;&gt;"pvp",Inputs!$B$44&gt;0),MIN(15,Inputs!$B$44)/(Inputs!$B$44),0))),0)))&gt;=100),CHOOSE(ArtifactsInput!$N$42+1,40,48,56,64,72,80),0))))/100)*(((1+(((C1759=TRUE)*F1759*IF(AND(Inputs!$B$39&lt;&gt;"pvp",Inputs!$B$44&gt;0),(((R1759-1)*(Skills!Y21*(1+Inputs!$B$34/100))+MIN((Skills!Y21*(1+Inputs!$B$34/100)),MAX(0,Inputs!$B$44-((R1759-1)*Skills!D21))))/Inputs!$B$44),IF(Inputs!$B$39="pvp",MIN((Skills!Y21*(1+Inputs!$B$34/100)),15)/15,(Skills!Y21*(1+Inputs!$B$34/100))/Skills!D21)))+((C1766=TRUE)*(F1766-Calc!F28))+((C1756=TRUE)*(F1756-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1753=TRUE)*F1753*IF(AND(Inputs!$B$39&lt;&gt;"pvp",Inputs!$B$44&gt;0),(((R1753-1)*(Skills!Y15*(1+Inputs!$B$34/100))+MIN((Skills!Y15*(1+Inputs!$B$34/100)),MAX(0,Inputs!$B$44-((R1753-1)*Skills!D15))))/Inputs!$B$44),IF(Inputs!$B$39="pvp",MIN((Skills!Y15*(1+Inputs!$B$34/100)),15)/15,(Skills!Y15*(1+Inputs!$B$34/100))/Skills!D15)))/100)*(1+((C1744=TRUE)*F1744*B1772)/100))*B1780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1743)</f>
        <v/>
      </c>
      <c r="L1743">
        <f>K1743*(MIN(Inputs!$B$22+((C1762=TRUE)*(F1762-Calc!F24)),(Inputs!$B$23+0+(IF(ArtifactsInput!$M$15,CHOOSE(ArtifactsInput!$N$15+1,25,30,35,40,45,50)/100*(Inputs!$B$11-Inputs!$B$11),0))))/100+(Inputs!$B$23+0+(IF(ArtifactsInput!$M$15,CHOOSE(ArtifactsInput!$N$15+1,25,30,35,40,45,50)/100*(Inputs!$B$11-Inputs!$B$11),0)))/100)/2</f>
        <v/>
      </c>
      <c r="M1743">
        <f>L1743*(1+(Inputs!$B$10+((C1764=TRUE)*(F1764-Calc!F26))+B1781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43">
        <f>L1743*(1-MIN((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1743*(MIN((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43">
        <f>(1-Summary!$B$11)*T1743+Summary!$B$11*V1743</f>
        <v/>
      </c>
      <c r="P1743">
        <f>IF(B1782=0,0,O1743/B1782)</f>
        <v/>
      </c>
      <c r="Q1743">
        <f>IFERROR(1/IF(Inputs!$B$39="pvp",15,MAX(0.1,Skills!D5-IF(Skills!E5=TRUE,Inputs!$B$32,0))),0)</f>
        <v/>
      </c>
      <c r="R1743">
        <f>IF(AND(Inputs!$B$39&lt;&gt;"pvp",Inputs!$B$44&gt;0),IF(MAX(0,Inputs!$B$44-B1783)&lt;=0,0,(INT(MAX(0,Inputs!$B$44-B1783)/IF(Inputs!$B$39="pvp",15,MAX(0.1,Skills!D5-IF(Skills!E5=TRUE,Inputs!$B$32,0))))+1)),0)</f>
        <v/>
      </c>
      <c r="S1743">
        <f>IFERROR(O1743/N1743,0)</f>
        <v/>
      </c>
      <c r="T1743">
        <f>IF(C1743,(H1743*N1743*IF(AND(Inputs!$B$39&lt;&gt;"pvp",Inputs!$B$44&gt;0),((Skills!G5*((R1743-1)*IF(Skills!H5&gt;0,Skills!I5/Skills!H5,1)+IF(Skills!H5&gt;0,MIN(Skills!I5,MAX(0,MAX(0,Inputs!$B$44-B1783)-((R1743-1)*IF(Inputs!$B$39="pvp",15,MAX(0.1,Skills!D5-IF(Skills!E5=TRUE,Inputs!$B$32,0))))))/Skills!H5,1)))/Inputs!$B$44),G1743*Q1743))*IF(Inputs!$B$39="pvp",1,1+(Inputs!$B$20+((C1765=TRUE)*(F1765-Calc!F27))+Skills!P5+B1779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Hunt"),CHOOSE(ArtifactsInput!$N$35+1,15,18,21,24,27,30)*(1-EXP(-(0.2*B1774)*5)),0)+IF(AND(ArtifactsInput!$M$22,Inputs!$B$4&lt;&gt;"Chapter Hunt"),CHOOSE(ArtifactsInput!$N$22+1,10,12,14,16,18,20)*((0*(((0.15*B1774*5))^0/1)+1*(((0.15*B1774*5))^1/1)+2*(((0.15*B1774*5))^2/2)+3*(((0.15*B1774*5))^3/6)+4*(((0.15*B1774*5))^4/24)+5*(((0.15*B1774*5))^5/120))/((((0.15*B1774*5))^0/1)+(((0.15*B1774*5))^1/1)+(((0.15*B1774*5))^2/2)+(((0.15*B1774*5))^3/6)+(((0.15*B1774*5))^4/24)+(((0.15*B1774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1743*(1-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1743*(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1743*(1-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1743*(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43">
        <f>INDEX(FactorTable!$B$2:$Y$301, MATCH(ROUND(MIN(300,MAX(1,U1742)),0), FactorTable!$A$2:$A$301,0), 22)</f>
        <v/>
      </c>
      <c r="V1743">
        <f>IF(C1743,(H1743*N1743*IF(AND(Inputs!$B$39&lt;&gt;"pvp",Inputs!$B$44&gt;0),((Skills!G5*((R1743-1)*IF(Skills!H5&gt;0,Skills!I5/Skills!H5,1)+IF(Skills!H5&gt;0,MIN(Skills!I5,MAX(0,MAX(0,Inputs!$B$44-B1783)-((R1743-1)*IF(Inputs!$B$39="pvp",15,MAX(0.1,Skills!D5-IF(Skills!E5=TRUE,Inputs!$B$32,0))))))/Skills!H5,1)))/Inputs!$B$44),G1743*Q1743))*IF(Inputs!$B$39="pvp",1,(1+(Inputs!$B$21+Skills!Q5+B1779+(IF(ArtifactsInput!$M$33,CHOOSE(ArtifactsInput!$N$33+1,30,36,42,48,54,60),0))+(IF(AND(ArtifactsInput!$M$35,Inputs!$B$4&lt;&gt;"Chapter Hunt"),CHOOSE(ArtifactsInput!$N$35+1,15,18,21,24,27,30)*(1-EXP(-(0.2*B1774)*5)),0)+IF(AND(ArtifactsInput!$M$22,Inputs!$B$4&lt;&gt;"Chapter Hunt"),CHOOSE(ArtifactsInput!$N$22+1,10,12,14,16,18,20)*((0*(((0.15*B1774*5))^0/1)+1*(((0.15*B1774*5))^1/1)+2*(((0.15*B1774*5))^2/2)+3*(((0.15*B1774*5))^3/6)+4*(((0.15*B1774*5))^4/24)+5*(((0.15*B1774*5))^5/120))/((((0.15*B1774*5))^0/1)+(((0.15*B1774*5))^1/1)+(((0.15*B1774*5))^2/2)+(((0.15*B1774*5))^3/6)+(((0.15*B1774*5))^4/24)+(((0.15*B1774*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44">
      <c r="A1744">
        <f>Skills!A6</f>
        <v/>
      </c>
      <c r="B1744">
        <f>Skills!B6</f>
        <v/>
      </c>
      <c r="C1744">
        <f>Inputs!$B$3&gt;=66</f>
        <v/>
      </c>
      <c r="D1744">
        <f>IF(Skills!C6=1,60+Inputs!$B$25+Inputs!$B$29,IF(Skills!C6=2,90+Inputs!$B$26+Inputs!$B$29,IF(Skills!C6=3,120+Inputs!$B$27+Inputs!$B$29,MAX(0,(Inputs!$B$3-100)*3)+Inputs!$B$28+Inputs!$B$29)))</f>
        <v/>
      </c>
      <c r="E1744">
        <f>INDEX(FactorTable!$B$2:$Y$301, MATCH(ROUND(MIN(300,MAX(1,D1744)),0), FactorTable!$A$2:$A$301,0), Skills!M6+1)</f>
        <v/>
      </c>
      <c r="F1744">
        <f>IF(Skills!N6=TRUE,(Skills!L6/10)*(E1744/1000),Skills!L6/10)+Skills!O6</f>
        <v/>
      </c>
      <c r="G1744">
        <f>Calc!G6</f>
        <v/>
      </c>
      <c r="H1744">
        <f>Calc!H6</f>
        <v/>
      </c>
      <c r="I1744">
        <f>IF(Skills!AA6&lt;&gt;"",1+(Skills!AA6/10)*(U1741/1000)/100,1)</f>
        <v/>
      </c>
      <c r="J1744" t="inlineStr"/>
      <c r="K1744" t="inlineStr"/>
      <c r="L1744" t="inlineStr"/>
      <c r="M1744" t="inlineStr"/>
      <c r="N1744" t="inlineStr"/>
      <c r="O1744">
        <f>(1-Summary!$B$11)*T1744+Summary!$B$11*V1744</f>
        <v/>
      </c>
      <c r="P1744">
        <f>IF(B1782=0,0,O1744/B1782)</f>
        <v/>
      </c>
      <c r="Q1744" t="n">
        <v>0</v>
      </c>
      <c r="R1744" t="n">
        <v>0</v>
      </c>
      <c r="S1744">
        <f>IFERROR(O1744/N1744,0)</f>
        <v/>
      </c>
      <c r="T1744" t="n">
        <v>0</v>
      </c>
      <c r="U1744">
        <f>290*U1743/1000</f>
        <v/>
      </c>
      <c r="V1744" t="n">
        <v>0</v>
      </c>
    </row>
    <row r="1745">
      <c r="A1745">
        <f>Skills!A7</f>
        <v/>
      </c>
      <c r="B1745">
        <f>Skills!B7</f>
        <v/>
      </c>
      <c r="C1745">
        <f>Inputs!$B$3&gt;=66</f>
        <v/>
      </c>
      <c r="D1745">
        <f>IF(Skills!C7=1,60+Inputs!$B$25+Inputs!$B$29,IF(Skills!C7=2,90+Inputs!$B$26+Inputs!$B$29,IF(Skills!C7=3,120+Inputs!$B$27+Inputs!$B$29,MAX(0,(Inputs!$B$3-100)*3)+Inputs!$B$28+Inputs!$B$29)))</f>
        <v/>
      </c>
      <c r="E1745">
        <f>INDEX(FactorTable!$B$2:$Y$301, MATCH(ROUND(MIN(300,MAX(1,D1745)),0), FactorTable!$A$2:$A$301,0), Skills!M7+1)</f>
        <v/>
      </c>
      <c r="F1745">
        <f>IF(Skills!N7=TRUE,(Skills!L7/10)*(E1745/1000),Skills!L7/10)+Skills!O7</f>
        <v/>
      </c>
      <c r="G1745">
        <f>Calc!G7</f>
        <v/>
      </c>
      <c r="H1745">
        <f>Calc!H7</f>
        <v/>
      </c>
      <c r="I1745">
        <f>IF(Skills!AA7&lt;&gt;"",1+(Skills!AA7/10)*(U1741/1000)/100,1)</f>
        <v/>
      </c>
      <c r="J1745" t="inlineStr"/>
      <c r="K1745" t="inlineStr"/>
      <c r="L1745" t="inlineStr"/>
      <c r="M1745" t="inlineStr"/>
      <c r="N1745" t="inlineStr"/>
      <c r="O1745">
        <f>(1-Summary!$B$11)*T1745+Summary!$B$11*V1745</f>
        <v/>
      </c>
      <c r="P1745">
        <f>IF(B1782=0,0,O1745/B1782)</f>
        <v/>
      </c>
      <c r="Q1745" t="n">
        <v>0</v>
      </c>
      <c r="R1745" t="n">
        <v>0</v>
      </c>
      <c r="S1745">
        <f>IFERROR(O1745/N1745,0)</f>
        <v/>
      </c>
      <c r="T1745" t="n">
        <v>0</v>
      </c>
      <c r="V1745" t="n">
        <v>0</v>
      </c>
    </row>
    <row r="1746">
      <c r="A1746">
        <f>Skills!A8</f>
        <v/>
      </c>
      <c r="B1746">
        <f>Skills!B8</f>
        <v/>
      </c>
      <c r="C1746">
        <f>Inputs!$B$3&gt;=69</f>
        <v/>
      </c>
      <c r="D1746">
        <f>IF(Skills!C8=1,60+Inputs!$B$25+Inputs!$B$29,IF(Skills!C8=2,90+Inputs!$B$26+Inputs!$B$29,IF(Skills!C8=3,120+Inputs!$B$27+Inputs!$B$29,MAX(0,(Inputs!$B$3-100)*3)+Inputs!$B$28+Inputs!$B$29)))</f>
        <v/>
      </c>
      <c r="E1746">
        <f>INDEX(FactorTable!$B$2:$Y$301, MATCH(ROUND(MIN(300,MAX(1,D1746)),0), FactorTable!$A$2:$A$301,0), Skills!M8+1)</f>
        <v/>
      </c>
      <c r="F1746">
        <f>IF(Skills!N8=TRUE,(Skills!L8/10)*(E1746/1000),Skills!L8/10)+Skills!O8</f>
        <v/>
      </c>
      <c r="G1746">
        <f>Calc!G8</f>
        <v/>
      </c>
      <c r="H1746">
        <f>Calc!H8</f>
        <v/>
      </c>
      <c r="I1746">
        <f>IF(Skills!AA8&lt;&gt;"",1+(Skills!AA8/10)*(U1741/1000)/100,1)</f>
        <v/>
      </c>
      <c r="J1746">
        <f>((Inputs!$B$6*(1+Inputs!$B$7/100))+(((Inputs!$B$12*(1+Inputs!$B$13/100))-(Inputs!$B$12*(1+Inputs!$B$13/100)))+0.25*(Inputs!$B$14-Inputs!$B$14))*(1+Inputs!$B$7/100))*(F1746/100)</f>
        <v/>
      </c>
      <c r="K1746">
        <f>J1746*(1+((Inputs!$B$12*(1+Inputs!$B$13/100))*0.01+Inputs!$B$14*0.0025)/100)*(1+Inputs!$B$15/100)*(1+Inputs!$B$16/100)*(5000/(6000+Inputs!$B$43*(1-(100*(1-(1-(Inputs!$B$19+0)/100)*(1-CHOOSE(ArtifactsInput!$N$40+1,5,6,7,8,9,10)/100)^(ArtifactsInput!$M$40-ArtifactsInput!$M$40)))/100)))*(1+(Inputs!$B$24+((C1768=TRUE)*(F1768-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1761=TRUE)*(F1761-Calc!F23))+(((IF(AND(ArtifactsInput!$M$42,((Inputs!$B$9+((C1763=TRUE)*(F1763-Calc!F25))+B1778+(ArtifactsInput!$M$24-ArtifactsInput!$M$24)*CHOOSE(ArtifactsInput!$N$24+1,10,12,14,16,18,20)+IF(ArtifactsInput!$M$10,CHOOSE(ArtifactsInput!$N$10+1,15,18,21,24,27,30)*(IF(Inputs!$B$39="pvp",MIN(15,15)/15,IF(AND(Inputs!$B$39&lt;&gt;"pvp",Inputs!$B$44&gt;0),MIN(15,Inputs!$B$44)/(Inputs!$B$44),0))),0)))&gt;=100),MIN(100,((Inputs!$B$9+((C1763=TRUE)*(F1763-Calc!F25))+B1778+(ArtifactsInput!$M$24-ArtifactsInput!$M$24)*CHOOSE(ArtifactsInput!$N$24+1,10,12,14,16,18,20)+IF(ArtifactsInput!$M$10,CHOOSE(ArtifactsInput!$N$10+1,15,18,21,24,27,30)*(IF(Inputs!$B$39="pvp",MIN(15,15)/15,IF(AND(Inputs!$B$39&lt;&gt;"pvp",Inputs!$B$44&gt;0),MIN(15,Inputs!$B$44)/(Inputs!$B$44),0))),0)))-100),0))*CHOOSE(ArtifactsInput!$N$42+1,0.6,0.72,0.84,0.96,1.08,1.2))),Inputs!$B$18+((C1767=TRUE)*(F1767-Calc!F29))+(IF(AND(ArtifactsInput!$M$42,((Inputs!$B$9+((C1763=TRUE)*(F1763-Calc!F25))+B1778+(ArtifactsInput!$M$24-ArtifactsInput!$M$24)*CHOOSE(ArtifactsInput!$N$24+1,10,12,14,16,18,20)+IF(ArtifactsInput!$M$10,CHOOSE(ArtifactsInput!$N$10+1,15,18,21,24,27,30)*(IF(Inputs!$B$39="pvp",MIN(15,15)/15,IF(AND(Inputs!$B$39&lt;&gt;"pvp",Inputs!$B$44&gt;0),MIN(15,Inputs!$B$44)/(Inputs!$B$44),0))),0)))&gt;=100),CHOOSE(ArtifactsInput!$N$42+1,40,48,56,64,72,80),0))))/100)*(((1+(((C1759=TRUE)*F1759*IF(AND(Inputs!$B$39&lt;&gt;"pvp",Inputs!$B$44&gt;0),(((R1759-1)*(Skills!Y21*(1+Inputs!$B$34/100))+MIN((Skills!Y21*(1+Inputs!$B$34/100)),MAX(0,Inputs!$B$44-((R1759-1)*Skills!D21))))/Inputs!$B$44),IF(Inputs!$B$39="pvp",MIN((Skills!Y21*(1+Inputs!$B$34/100)),15)/15,(Skills!Y21*(1+Inputs!$B$34/100))/Skills!D21)))+((C1766=TRUE)*(F1766-Calc!F28))+((C1756=TRUE)*(F1756-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1753=TRUE)*F1753*IF(AND(Inputs!$B$39&lt;&gt;"pvp",Inputs!$B$44&gt;0),(((R1753-1)*(Skills!Y15*(1+Inputs!$B$34/100))+MIN((Skills!Y15*(1+Inputs!$B$34/100)),MAX(0,Inputs!$B$44-((R1753-1)*Skills!D15))))/Inputs!$B$44),IF(Inputs!$B$39="pvp",MIN((Skills!Y15*(1+Inputs!$B$34/100)),15)/15,(Skills!Y15*(1+Inputs!$B$34/100))/Skills!D15)))/100)*(1+((C1744=TRUE)*F1744*B1772)/100))*B1780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1746)</f>
        <v/>
      </c>
      <c r="L1746">
        <f>K1746*(MIN(Inputs!$B$22+((C1762=TRUE)*(F1762-Calc!F24)),(Inputs!$B$23+0+(IF(ArtifactsInput!$M$15,CHOOSE(ArtifactsInput!$N$15+1,25,30,35,40,45,50)/100*(Inputs!$B$11-Inputs!$B$11),0))))/100+(Inputs!$B$23+0+(IF(ArtifactsInput!$M$15,CHOOSE(ArtifactsInput!$N$15+1,25,30,35,40,45,50)/100*(Inputs!$B$11-Inputs!$B$11),0)))/100)/2</f>
        <v/>
      </c>
      <c r="M1746">
        <f>L1746*(1+(Inputs!$B$10+((C1764=TRUE)*(F1764-Calc!F26))+B1781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46">
        <f>L1746*(1-MIN((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1746*(MIN((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46">
        <f>(1-Summary!$B$11)*T1746+Summary!$B$11*V1746</f>
        <v/>
      </c>
      <c r="P1746">
        <f>IF(B1782=0,0,O1746/B1782)</f>
        <v/>
      </c>
      <c r="Q1746">
        <f>IFERROR(1/IF(Inputs!$B$39="pvp",15,MAX(0.1,Skills!D8-IF(Skills!E8=TRUE,Inputs!$B$32,0))),0)</f>
        <v/>
      </c>
      <c r="R1746">
        <f>IF(AND(Inputs!$B$39&lt;&gt;"pvp",Inputs!$B$44&gt;0),IF(MAX(0,Inputs!$B$44-B1783)&lt;=0,0,(INT(MAX(0,Inputs!$B$44-B1783)/IF(Inputs!$B$39="pvp",15,MAX(0.1,Skills!D8-IF(Skills!E8=TRUE,Inputs!$B$32,0))))+1)),0)</f>
        <v/>
      </c>
      <c r="S1746">
        <f>IFERROR(O1746/N1746,0)</f>
        <v/>
      </c>
      <c r="T1746">
        <f>IF(C1746,(H1746*N1746*IF(AND(Inputs!$B$39&lt;&gt;"pvp",Inputs!$B$44&gt;0),((Skills!G8*((R1746-1)*IF(Skills!H8&gt;0,Skills!I8/Skills!H8,1)+IF(Skills!H8&gt;0,MIN(Skills!I8,MAX(0,MAX(0,Inputs!$B$44-B1783)-((R1746-1)*IF(Inputs!$B$39="pvp",15,MAX(0.1,Skills!D8-IF(Skills!E8=TRUE,Inputs!$B$32,0))))))/Skills!H8,1)))/Inputs!$B$44),G1746*Q1746))*IF(Inputs!$B$39="pvp",1,1+(Inputs!$B$20+((C1765=TRUE)*(F1765-Calc!F27))+Skills!P8+B1779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Hunt"),CHOOSE(ArtifactsInput!$N$35+1,15,18,21,24,27,30)*(1-EXP(-(0.2*B1774)*5)),0)+IF(AND(ArtifactsInput!$M$22,Inputs!$B$4&lt;&gt;"Chapter Hunt"),CHOOSE(ArtifactsInput!$N$22+1,10,12,14,16,18,20)*((0*(((0.15*B1774*5))^0/1)+1*(((0.15*B1774*5))^1/1)+2*(((0.15*B1774*5))^2/2)+3*(((0.15*B1774*5))^3/6)+4*(((0.15*B1774*5))^4/24)+5*(((0.15*B1774*5))^5/120))/((((0.15*B1774*5))^0/1)+(((0.15*B1774*5))^1/1)+(((0.15*B1774*5))^2/2)+(((0.15*B1774*5))^3/6)+(((0.15*B1774*5))^4/24)+(((0.15*B1774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1746*(1-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1746*(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1746*(1-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1746*(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46">
        <f>IF(C1746,(H1746*N1746*IF(AND(Inputs!$B$39&lt;&gt;"pvp",Inputs!$B$44&gt;0),((Skills!G8*((R1746-1)*IF(Skills!H8&gt;0,Skills!I8/Skills!H8,1)+IF(Skills!H8&gt;0,MIN(Skills!I8,MAX(0,MAX(0,Inputs!$B$44-B1783)-((R1746-1)*IF(Inputs!$B$39="pvp",15,MAX(0.1,Skills!D8-IF(Skills!E8=TRUE,Inputs!$B$32,0))))))/Skills!H8,1)))/Inputs!$B$44),G1746*Q1746))*IF(Inputs!$B$39="pvp",1,(1+(Inputs!$B$21+Skills!Q8+B1779+(IF(ArtifactsInput!$M$33,CHOOSE(ArtifactsInput!$N$33+1,30,36,42,48,54,60),0))+(IF(AND(ArtifactsInput!$M$35,Inputs!$B$4&lt;&gt;"Chapter Hunt"),CHOOSE(ArtifactsInput!$N$35+1,15,18,21,24,27,30)*(1-EXP(-(0.2*B1774)*5)),0)+IF(AND(ArtifactsInput!$M$22,Inputs!$B$4&lt;&gt;"Chapter Hunt"),CHOOSE(ArtifactsInput!$N$22+1,10,12,14,16,18,20)*((0*(((0.15*B1774*5))^0/1)+1*(((0.15*B1774*5))^1/1)+2*(((0.15*B1774*5))^2/2)+3*(((0.15*B1774*5))^3/6)+4*(((0.15*B1774*5))^4/24)+5*(((0.15*B1774*5))^5/120))/((((0.15*B1774*5))^0/1)+(((0.15*B1774*5))^1/1)+(((0.15*B1774*5))^2/2)+(((0.15*B1774*5))^3/6)+(((0.15*B1774*5))^4/24)+(((0.15*B1774*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47">
      <c r="A1747">
        <f>Skills!A9</f>
        <v/>
      </c>
      <c r="B1747">
        <f>Skills!B9</f>
        <v/>
      </c>
      <c r="C1747">
        <f>Inputs!$B$3&gt;=72</f>
        <v/>
      </c>
      <c r="D1747">
        <f>IF(Skills!C9=1,60+Inputs!$B$25+Inputs!$B$29,IF(Skills!C9=2,90+Inputs!$B$26+Inputs!$B$29,IF(Skills!C9=3,120+Inputs!$B$27+Inputs!$B$29,MAX(0,(Inputs!$B$3-100)*3)+Inputs!$B$28+Inputs!$B$29)))</f>
        <v/>
      </c>
      <c r="E1747">
        <f>INDEX(FactorTable!$B$2:$Y$301, MATCH(ROUND(MIN(300,MAX(1,D1747)),0), FactorTable!$A$2:$A$301,0), Skills!M9+1)</f>
        <v/>
      </c>
      <c r="F1747">
        <f>IF(Skills!N9=TRUE,(Skills!L9/10)*(E1747/1000),Skills!L9/10)+Skills!O9</f>
        <v/>
      </c>
      <c r="G1747">
        <f>Calc!G9</f>
        <v/>
      </c>
      <c r="H1747">
        <f>Calc!H9</f>
        <v/>
      </c>
      <c r="I1747">
        <f>IF(Skills!AA9&lt;&gt;"",1+(Skills!AA9/10)*(U1741/1000)/100,1)</f>
        <v/>
      </c>
      <c r="J1747">
        <f>((Inputs!$B$6*(1+Inputs!$B$7/100))+(((Inputs!$B$12*(1+Inputs!$B$13/100))-(Inputs!$B$12*(1+Inputs!$B$13/100)))+0.25*(Inputs!$B$14-Inputs!$B$14))*(1+Inputs!$B$7/100))*(F1747/100)</f>
        <v/>
      </c>
      <c r="K1747">
        <f>J1747*(1+((Inputs!$B$12*(1+Inputs!$B$13/100))*0.01+Inputs!$B$14*0.0025)/100)*(1+Inputs!$B$15/100)*(1+Inputs!$B$16/100)*(5000/(6000+Inputs!$B$43*(1-(100*(1-(1-(Inputs!$B$19+0)/100)*(1-CHOOSE(ArtifactsInput!$N$40+1,5,6,7,8,9,10)/100)^(ArtifactsInput!$M$40-ArtifactsInput!$M$40)))/100)))*(1+(Inputs!$B$24+((C1768=TRUE)*(F1768-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1761=TRUE)*(F1761-Calc!F23))+(((IF(AND(ArtifactsInput!$M$42,((Inputs!$B$9+((C1763=TRUE)*(F1763-Calc!F25))+B1778+(ArtifactsInput!$M$24-ArtifactsInput!$M$24)*CHOOSE(ArtifactsInput!$N$24+1,10,12,14,16,18,20)+IF(ArtifactsInput!$M$10,CHOOSE(ArtifactsInput!$N$10+1,15,18,21,24,27,30)*(IF(Inputs!$B$39="pvp",MIN(15,15)/15,IF(AND(Inputs!$B$39&lt;&gt;"pvp",Inputs!$B$44&gt;0),MIN(15,Inputs!$B$44)/(Inputs!$B$44),0))),0)))&gt;=100),MIN(100,((Inputs!$B$9+((C1763=TRUE)*(F1763-Calc!F25))+B1778+(ArtifactsInput!$M$24-ArtifactsInput!$M$24)*CHOOSE(ArtifactsInput!$N$24+1,10,12,14,16,18,20)+IF(ArtifactsInput!$M$10,CHOOSE(ArtifactsInput!$N$10+1,15,18,21,24,27,30)*(IF(Inputs!$B$39="pvp",MIN(15,15)/15,IF(AND(Inputs!$B$39&lt;&gt;"pvp",Inputs!$B$44&gt;0),MIN(15,Inputs!$B$44)/(Inputs!$B$44),0))),0)))-100),0))*CHOOSE(ArtifactsInput!$N$42+1,0.6,0.72,0.84,0.96,1.08,1.2))),Inputs!$B$18+((C1767=TRUE)*(F1767-Calc!F29))+(IF(AND(ArtifactsInput!$M$42,((Inputs!$B$9+((C1763=TRUE)*(F1763-Calc!F25))+B1778+(ArtifactsInput!$M$24-ArtifactsInput!$M$24)*CHOOSE(ArtifactsInput!$N$24+1,10,12,14,16,18,20)+IF(ArtifactsInput!$M$10,CHOOSE(ArtifactsInput!$N$10+1,15,18,21,24,27,30)*(IF(Inputs!$B$39="pvp",MIN(15,15)/15,IF(AND(Inputs!$B$39&lt;&gt;"pvp",Inputs!$B$44&gt;0),MIN(15,Inputs!$B$44)/(Inputs!$B$44),0))),0)))&gt;=100),CHOOSE(ArtifactsInput!$N$42+1,40,48,56,64,72,80),0))))/100)*(((1+(((C1759=TRUE)*F1759*IF(AND(Inputs!$B$39&lt;&gt;"pvp",Inputs!$B$44&gt;0),(((R1759-1)*(Skills!Y21*(1+Inputs!$B$34/100))+MIN((Skills!Y21*(1+Inputs!$B$34/100)),MAX(0,Inputs!$B$44-((R1759-1)*Skills!D21))))/Inputs!$B$44),IF(Inputs!$B$39="pvp",MIN((Skills!Y21*(1+Inputs!$B$34/100)),15)/15,(Skills!Y21*(1+Inputs!$B$34/100))/Skills!D21)))+((C1766=TRUE)*(F1766-Calc!F28))+((C1756=TRUE)*(F1756-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1753=TRUE)*F1753*IF(AND(Inputs!$B$39&lt;&gt;"pvp",Inputs!$B$44&gt;0),(((R1753-1)*(Skills!Y15*(1+Inputs!$B$34/100))+MIN((Skills!Y15*(1+Inputs!$B$34/100)),MAX(0,Inputs!$B$44-((R1753-1)*Skills!D15))))/Inputs!$B$44),IF(Inputs!$B$39="pvp",MIN((Skills!Y15*(1+Inputs!$B$34/100)),15)/15,(Skills!Y15*(1+Inputs!$B$34/100))/Skills!D15)))/100)*(1+((C1744=TRUE)*F1744*B1772)/100))*B1780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1747)</f>
        <v/>
      </c>
      <c r="L1747">
        <f>K1747*(MIN(Inputs!$B$22+((C1762=TRUE)*(F1762-Calc!F24)),(Inputs!$B$23+0+(IF(ArtifactsInput!$M$15,CHOOSE(ArtifactsInput!$N$15+1,25,30,35,40,45,50)/100*(Inputs!$B$11-Inputs!$B$11),0))))/100+(Inputs!$B$23+0+(IF(ArtifactsInput!$M$15,CHOOSE(ArtifactsInput!$N$15+1,25,30,35,40,45,50)/100*(Inputs!$B$11-Inputs!$B$11),0)))/100)/2</f>
        <v/>
      </c>
      <c r="M1747">
        <f>L1747*(1+(Inputs!$B$10+((C1764=TRUE)*(F1764-Calc!F26))+B1781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47">
        <f>L1747*(1-MIN((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1747*(MIN((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47">
        <f>(1-Summary!$B$11)*T1747+Summary!$B$11*V1747</f>
        <v/>
      </c>
      <c r="P1747">
        <f>IF(B1782=0,0,O1747/B1782)</f>
        <v/>
      </c>
      <c r="Q1747">
        <f>IFERROR(1/IF(Inputs!$B$39="pvp",15,MAX(0.1,Skills!D9-IF(Skills!E9=TRUE,Inputs!$B$32,0))),0)</f>
        <v/>
      </c>
      <c r="R1747">
        <f>IF(AND(Inputs!$B$39&lt;&gt;"pvp",Inputs!$B$44&gt;0),IF(MAX(0,Inputs!$B$44-B1783)&lt;=0,0,(INT(MAX(0,Inputs!$B$44-B1783)/IF(Inputs!$B$39="pvp",15,MAX(0.1,Skills!D9-IF(Skills!E9=TRUE,Inputs!$B$32,0))))+1)),0)</f>
        <v/>
      </c>
      <c r="S1747">
        <f>IFERROR(O1747/N1747,0)</f>
        <v/>
      </c>
      <c r="T1747">
        <f>IF(C1747,(H1747*N1747*IF(AND(Inputs!$B$39&lt;&gt;"pvp",Inputs!$B$44&gt;0),((Skills!G9*((R1747-1)*IF(Skills!H9&gt;0,Skills!I9/Skills!H9,1)+IF(Skills!H9&gt;0,MIN(Skills!I9,MAX(0,MAX(0,Inputs!$B$44-B1783)-((R1747-1)*IF(Inputs!$B$39="pvp",15,MAX(0.1,Skills!D9-IF(Skills!E9=TRUE,Inputs!$B$32,0))))))/Skills!H9,1)))/Inputs!$B$44),G1747*Q1747))*IF(Inputs!$B$39="pvp",1,1+(Inputs!$B$20+((C1765=TRUE)*(F1765-Calc!F27))+Skills!P9+B1779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Hunt"),CHOOSE(ArtifactsInput!$N$35+1,15,18,21,24,27,30)*(1-EXP(-(0.2*B1774)*5)),0)+IF(AND(ArtifactsInput!$M$22,Inputs!$B$4&lt;&gt;"Chapter Hunt"),CHOOSE(ArtifactsInput!$N$22+1,10,12,14,16,18,20)*((0*(((0.15*B1774*5))^0/1)+1*(((0.15*B1774*5))^1/1)+2*(((0.15*B1774*5))^2/2)+3*(((0.15*B1774*5))^3/6)+4*(((0.15*B1774*5))^4/24)+5*(((0.15*B1774*5))^5/120))/((((0.15*B1774*5))^0/1)+(((0.15*B1774*5))^1/1)+(((0.15*B1774*5))^2/2)+(((0.15*B1774*5))^3/6)+(((0.15*B1774*5))^4/24)+(((0.15*B1774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1747*(1-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1747*(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1747*(1-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1747*(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47">
        <f>IF(C1747,(H1747*N1747*IF(AND(Inputs!$B$39&lt;&gt;"pvp",Inputs!$B$44&gt;0),((Skills!G9*((R1747-1)*IF(Skills!H9&gt;0,Skills!I9/Skills!H9,1)+IF(Skills!H9&gt;0,MIN(Skills!I9,MAX(0,MAX(0,Inputs!$B$44-B1783)-((R1747-1)*IF(Inputs!$B$39="pvp",15,MAX(0.1,Skills!D9-IF(Skills!E9=TRUE,Inputs!$B$32,0))))))/Skills!H9,1)))/Inputs!$B$44),G1747*Q1747))*IF(Inputs!$B$39="pvp",1,(1+(Inputs!$B$21+Skills!Q9+B1779+(IF(ArtifactsInput!$M$33,CHOOSE(ArtifactsInput!$N$33+1,30,36,42,48,54,60),0))+(IF(AND(ArtifactsInput!$M$35,Inputs!$B$4&lt;&gt;"Chapter Hunt"),CHOOSE(ArtifactsInput!$N$35+1,15,18,21,24,27,30)*(1-EXP(-(0.2*B1774)*5)),0)+IF(AND(ArtifactsInput!$M$22,Inputs!$B$4&lt;&gt;"Chapter Hunt"),CHOOSE(ArtifactsInput!$N$22+1,10,12,14,16,18,20)*((0*(((0.15*B1774*5))^0/1)+1*(((0.15*B1774*5))^1/1)+2*(((0.15*B1774*5))^2/2)+3*(((0.15*B1774*5))^3/6)+4*(((0.15*B1774*5))^4/24)+5*(((0.15*B1774*5))^5/120))/((((0.15*B1774*5))^0/1)+(((0.15*B1774*5))^1/1)+(((0.15*B1774*5))^2/2)+(((0.15*B1774*5))^3/6)+(((0.15*B1774*5))^4/24)+(((0.15*B1774*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48">
      <c r="A1748">
        <f>Skills!A10</f>
        <v/>
      </c>
      <c r="B1748">
        <f>Skills!B10</f>
        <v/>
      </c>
      <c r="C1748">
        <f>Inputs!$B$3&gt;=117</f>
        <v/>
      </c>
      <c r="D1748">
        <f>IF(Skills!C10=1,60+Inputs!$B$25+Inputs!$B$29,IF(Skills!C10=2,90+Inputs!$B$26+Inputs!$B$29,IF(Skills!C10=3,120+Inputs!$B$27+Inputs!$B$29,MAX(0,(Inputs!$B$3-100)*3)+Inputs!$B$28+Inputs!$B$29)))</f>
        <v/>
      </c>
      <c r="E1748">
        <f>INDEX(FactorTable!$B$2:$Y$301, MATCH(ROUND(MIN(300,MAX(1,D1748)),0), FactorTable!$A$2:$A$301,0), Skills!M10+1)</f>
        <v/>
      </c>
      <c r="F1748">
        <f>IF(Skills!N10=TRUE,(Skills!L10/10)*(E1748/1000),Skills!L10/10)+Skills!O10</f>
        <v/>
      </c>
      <c r="G1748">
        <f>Calc!G10</f>
        <v/>
      </c>
      <c r="H1748">
        <f>Calc!H10</f>
        <v/>
      </c>
      <c r="I1748">
        <f>IF(Skills!AA10&lt;&gt;"",1+(Skills!AA10/10)*(U1741/1000)/100,1)</f>
        <v/>
      </c>
      <c r="J1748">
        <f>((Inputs!$B$6*(1+Inputs!$B$7/100))+(((Inputs!$B$12*(1+Inputs!$B$13/100))-(Inputs!$B$12*(1+Inputs!$B$13/100)))+0.25*(Inputs!$B$14-Inputs!$B$14))*(1+Inputs!$B$7/100))*(F1748/100)</f>
        <v/>
      </c>
      <c r="K1748">
        <f>J1748*(1+((Inputs!$B$12*(1+Inputs!$B$13/100))*0.01+Inputs!$B$14*0.0025)/100)*(1+Inputs!$B$15/100)*(1+Inputs!$B$16/100)*(5000/(6000+Inputs!$B$43*(1-(100*(1-(1-(Inputs!$B$19+0)/100)*(1-CHOOSE(ArtifactsInput!$N$40+1,5,6,7,8,9,10)/100)^(ArtifactsInput!$M$40-ArtifactsInput!$M$40)))/100)))*(1+(Inputs!$B$24+((C1768=TRUE)*(F1768-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1761=TRUE)*(F1761-Calc!F23))+(((IF(AND(ArtifactsInput!$M$42,((Inputs!$B$9+((C1763=TRUE)*(F1763-Calc!F25))+B1778+(ArtifactsInput!$M$24-ArtifactsInput!$M$24)*CHOOSE(ArtifactsInput!$N$24+1,10,12,14,16,18,20)+IF(ArtifactsInput!$M$10,CHOOSE(ArtifactsInput!$N$10+1,15,18,21,24,27,30)*(IF(Inputs!$B$39="pvp",MIN(15,15)/15,IF(AND(Inputs!$B$39&lt;&gt;"pvp",Inputs!$B$44&gt;0),MIN(15,Inputs!$B$44)/(Inputs!$B$44),0))),0)))&gt;=100),MIN(100,((Inputs!$B$9+((C1763=TRUE)*(F1763-Calc!F25))+B1778+(ArtifactsInput!$M$24-ArtifactsInput!$M$24)*CHOOSE(ArtifactsInput!$N$24+1,10,12,14,16,18,20)+IF(ArtifactsInput!$M$10,CHOOSE(ArtifactsInput!$N$10+1,15,18,21,24,27,30)*(IF(Inputs!$B$39="pvp",MIN(15,15)/15,IF(AND(Inputs!$B$39&lt;&gt;"pvp",Inputs!$B$44&gt;0),MIN(15,Inputs!$B$44)/(Inputs!$B$44),0))),0)))-100),0))*CHOOSE(ArtifactsInput!$N$42+1,0.6,0.72,0.84,0.96,1.08,1.2))),Inputs!$B$18+((C1767=TRUE)*(F1767-Calc!F29))+(IF(AND(ArtifactsInput!$M$42,((Inputs!$B$9+((C1763=TRUE)*(F1763-Calc!F25))+B1778+(ArtifactsInput!$M$24-ArtifactsInput!$M$24)*CHOOSE(ArtifactsInput!$N$24+1,10,12,14,16,18,20)+IF(ArtifactsInput!$M$10,CHOOSE(ArtifactsInput!$N$10+1,15,18,21,24,27,30)*(IF(Inputs!$B$39="pvp",MIN(15,15)/15,IF(AND(Inputs!$B$39&lt;&gt;"pvp",Inputs!$B$44&gt;0),MIN(15,Inputs!$B$44)/(Inputs!$B$44),0))),0)))&gt;=100),CHOOSE(ArtifactsInput!$N$42+1,40,48,56,64,72,80),0))))/100)*(((1+(((C1759=TRUE)*F1759*IF(AND(Inputs!$B$39&lt;&gt;"pvp",Inputs!$B$44&gt;0),(((R1759-1)*(Skills!Y21*(1+Inputs!$B$34/100))+MIN((Skills!Y21*(1+Inputs!$B$34/100)),MAX(0,Inputs!$B$44-((R1759-1)*Skills!D21))))/Inputs!$B$44),IF(Inputs!$B$39="pvp",MIN((Skills!Y21*(1+Inputs!$B$34/100)),15)/15,(Skills!Y21*(1+Inputs!$B$34/100))/Skills!D21)))+((C1766=TRUE)*(F1766-Calc!F28))+((C1756=TRUE)*(F1756-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1753=TRUE)*F1753*IF(AND(Inputs!$B$39&lt;&gt;"pvp",Inputs!$B$44&gt;0),(((R1753-1)*(Skills!Y15*(1+Inputs!$B$34/100))+MIN((Skills!Y15*(1+Inputs!$B$34/100)),MAX(0,Inputs!$B$44-((R1753-1)*Skills!D15))))/Inputs!$B$44),IF(Inputs!$B$39="pvp",MIN((Skills!Y15*(1+Inputs!$B$34/100)),15)/15,(Skills!Y15*(1+Inputs!$B$34/100))/Skills!D15)))/100)*(1+((C1744=TRUE)*F1744*B1772)/100))*B1780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1748)</f>
        <v/>
      </c>
      <c r="L1748">
        <f>K1748*(MIN(Inputs!$B$22+((C1762=TRUE)*(F1762-Calc!F24)),(Inputs!$B$23+0+(IF(ArtifactsInput!$M$15,CHOOSE(ArtifactsInput!$N$15+1,25,30,35,40,45,50)/100*(Inputs!$B$11-Inputs!$B$11),0))))/100+(Inputs!$B$23+0+(IF(ArtifactsInput!$M$15,CHOOSE(ArtifactsInput!$N$15+1,25,30,35,40,45,50)/100*(Inputs!$B$11-Inputs!$B$11),0)))/100)/2</f>
        <v/>
      </c>
      <c r="M1748">
        <f>L1748*(1+(Inputs!$B$10+((C1764=TRUE)*(F1764-Calc!F26))+B1781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48">
        <f>L1748*(1-MIN((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1748*(MIN((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48">
        <f>(1-Summary!$B$11)*T1748+Summary!$B$11*V1748</f>
        <v/>
      </c>
      <c r="P1748">
        <f>IF(B1782=0,0,O1748/B1782)</f>
        <v/>
      </c>
      <c r="Q1748" t="n">
        <v>0</v>
      </c>
      <c r="R1748" t="n">
        <v>0</v>
      </c>
      <c r="S1748" t="n">
        <v>0</v>
      </c>
      <c r="T1748">
        <f>IF(C1748,(0.2*SUMPRODUCT((Skills!Z2:Z31=TRUE)*(C1740:C1769=TRUE)*S1740:S1769)*N1748)*IF(Inputs!$B$39="pvp",1,1+(Inputs!$B$20+((C1765=TRUE)*(F1765-Calc!F27))+Skills!P10+B1779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Hunt"),CHOOSE(ArtifactsInput!$N$35+1,15,18,21,24,27,30)*(1-EXP(-(0.2*B1774)*5)),0)+IF(AND(ArtifactsInput!$M$22,Inputs!$B$4&lt;&gt;"Chapter Hunt"),CHOOSE(ArtifactsInput!$N$22+1,10,12,14,16,18,20)*((0*(((0.15*B1774*5))^0/1)+1*(((0.15*B1774*5))^1/1)+2*(((0.15*B1774*5))^2/2)+3*(((0.15*B1774*5))^3/6)+4*(((0.15*B1774*5))^4/24)+5*(((0.15*B1774*5))^5/120))/((((0.15*B1774*5))^0/1)+(((0.15*B1774*5))^1/1)+(((0.15*B1774*5))^2/2)+(((0.15*B1774*5))^3/6)+(((0.15*B1774*5))^4/24)+(((0.15*B1774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1748*(1-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1748*(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1748*(1-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1748*(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48">
        <f>IF(C1748,(0.2*SUMPRODUCT((Skills!Z2:Z31=TRUE)*(C1740:C1769=TRUE)*S1740:S1769)*N1748)*IF(Inputs!$B$39="pvp",1,(1+(Inputs!$B$21+Skills!Q10+B1779+(IF(ArtifactsInput!$M$33,CHOOSE(ArtifactsInput!$N$33+1,30,36,42,48,54,60),0))+(IF(AND(ArtifactsInput!$M$35,Inputs!$B$4&lt;&gt;"Chapter Hunt"),CHOOSE(ArtifactsInput!$N$35+1,15,18,21,24,27,30)*(1-EXP(-(0.2*B1774)*5)),0)+IF(AND(ArtifactsInput!$M$22,Inputs!$B$4&lt;&gt;"Chapter Hunt"),CHOOSE(ArtifactsInput!$N$22+1,10,12,14,16,18,20)*((0*(((0.15*B1774*5))^0/1)+1*(((0.15*B1774*5))^1/1)+2*(((0.15*B1774*5))^2/2)+3*(((0.15*B1774*5))^3/6)+4*(((0.15*B1774*5))^4/24)+5*(((0.15*B1774*5))^5/120))/((((0.15*B1774*5))^0/1)+(((0.15*B1774*5))^1/1)+(((0.15*B1774*5))^2/2)+(((0.15*B1774*5))^3/6)+(((0.15*B1774*5))^4/24)+(((0.15*B1774*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49">
      <c r="A1749">
        <f>Skills!A11</f>
        <v/>
      </c>
      <c r="B1749">
        <f>Skills!B11</f>
        <v/>
      </c>
      <c r="C1749">
        <f>Inputs!$B$3&gt;=60</f>
        <v/>
      </c>
      <c r="D1749">
        <f>IF(Skills!C11=1,60+Inputs!$B$25+Inputs!$B$29,IF(Skills!C11=2,90+Inputs!$B$26+Inputs!$B$29,IF(Skills!C11=3,120+Inputs!$B$27+Inputs!$B$29,MAX(0,(Inputs!$B$3-100)*3)+Inputs!$B$28+Inputs!$B$29)))</f>
        <v/>
      </c>
      <c r="E1749">
        <f>INDEX(FactorTable!$B$2:$Y$301, MATCH(ROUND(MIN(300,MAX(1,D1749)),0), FactorTable!$A$2:$A$301,0), Skills!M11+1)</f>
        <v/>
      </c>
      <c r="F1749">
        <f>IF(Skills!N11=TRUE,(Skills!L11/10)*(E1749/1000),Skills!L11/10)+Skills!O11</f>
        <v/>
      </c>
      <c r="G1749">
        <f>Calc!G11</f>
        <v/>
      </c>
      <c r="H1749">
        <f>Calc!H11</f>
        <v/>
      </c>
      <c r="I1749">
        <f>IF(Skills!AA11&lt;&gt;"",1+(Skills!AA11/10)*(U1741/1000)/100,1)</f>
        <v/>
      </c>
      <c r="J1749" t="inlineStr"/>
      <c r="K1749" t="inlineStr"/>
      <c r="L1749" t="inlineStr"/>
      <c r="M1749" t="inlineStr"/>
      <c r="N1749" t="inlineStr"/>
      <c r="O1749">
        <f>(1-Summary!$B$11)*T1749+Summary!$B$11*V1749</f>
        <v/>
      </c>
      <c r="P1749">
        <f>IF(B1782=0,0,O1749/B1782)</f>
        <v/>
      </c>
      <c r="Q1749" t="n">
        <v>0</v>
      </c>
      <c r="R1749" t="n">
        <v>0</v>
      </c>
      <c r="S1749">
        <f>IFERROR(O1749/N1749,0)</f>
        <v/>
      </c>
      <c r="T1749" t="n">
        <v>0</v>
      </c>
      <c r="V1749" t="n">
        <v>0</v>
      </c>
    </row>
    <row r="1750">
      <c r="A1750">
        <f>Skills!A12</f>
        <v/>
      </c>
      <c r="B1750">
        <f>Skills!B12</f>
        <v/>
      </c>
      <c r="C1750">
        <f>Inputs!$B$3&gt;=103</f>
        <v/>
      </c>
      <c r="D1750">
        <f>IF(Skills!C12=1,60+Inputs!$B$25+Inputs!$B$29,IF(Skills!C12=2,90+Inputs!$B$26+Inputs!$B$29,IF(Skills!C12=3,120+Inputs!$B$27+Inputs!$B$29,MAX(0,(Inputs!$B$3-100)*3)+Inputs!$B$28+Inputs!$B$29)))</f>
        <v/>
      </c>
      <c r="E1750">
        <f>INDEX(FactorTable!$B$2:$Y$301, MATCH(ROUND(MIN(300,MAX(1,D1750)),0), FactorTable!$A$2:$A$301,0), Skills!M12+1)</f>
        <v/>
      </c>
      <c r="F1750">
        <f>IF(Skills!N12=TRUE,(Skills!L12/10)*(E1750/1000),Skills!L12/10)+Skills!O12</f>
        <v/>
      </c>
      <c r="G1750">
        <f>Calc!G12</f>
        <v/>
      </c>
      <c r="H1750">
        <f>Calc!H12</f>
        <v/>
      </c>
      <c r="I1750">
        <f>IF(Skills!AA12&lt;&gt;"",1+(Skills!AA12/10)*(U1741/1000)/100,1)</f>
        <v/>
      </c>
      <c r="J1750">
        <f>((Inputs!$B$6*(1+Inputs!$B$7/100))+(((Inputs!$B$12*(1+Inputs!$B$13/100))-(Inputs!$B$12*(1+Inputs!$B$13/100)))+0.25*(Inputs!$B$14-Inputs!$B$14))*(1+Inputs!$B$7/100))*(F1750/100)</f>
        <v/>
      </c>
      <c r="K1750">
        <f>J1750*(1+((Inputs!$B$12*(1+Inputs!$B$13/100))*0.01+Inputs!$B$14*0.0025)/100)*(1+Inputs!$B$15/100)*(1+Inputs!$B$16/100)*(5000/(6000+Inputs!$B$43*(1-(100*(1-(1-(Inputs!$B$19+0)/100)*(1-CHOOSE(ArtifactsInput!$N$40+1,5,6,7,8,9,10)/100)^(ArtifactsInput!$M$40-ArtifactsInput!$M$40)))/100)))*(1+(Inputs!$B$24+((C1768=TRUE)*(F1768-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1761=TRUE)*(F1761-Calc!F23))+(((IF(AND(ArtifactsInput!$M$42,((Inputs!$B$9+((C1763=TRUE)*(F1763-Calc!F25))+B1778+(ArtifactsInput!$M$24-ArtifactsInput!$M$24)*CHOOSE(ArtifactsInput!$N$24+1,10,12,14,16,18,20)+IF(ArtifactsInput!$M$10,CHOOSE(ArtifactsInput!$N$10+1,15,18,21,24,27,30)*(IF(Inputs!$B$39="pvp",MIN(15,15)/15,IF(AND(Inputs!$B$39&lt;&gt;"pvp",Inputs!$B$44&gt;0),MIN(15,Inputs!$B$44)/(Inputs!$B$44),0))),0)))&gt;=100),MIN(100,((Inputs!$B$9+((C1763=TRUE)*(F1763-Calc!F25))+B1778+(ArtifactsInput!$M$24-ArtifactsInput!$M$24)*CHOOSE(ArtifactsInput!$N$24+1,10,12,14,16,18,20)+IF(ArtifactsInput!$M$10,CHOOSE(ArtifactsInput!$N$10+1,15,18,21,24,27,30)*(IF(Inputs!$B$39="pvp",MIN(15,15)/15,IF(AND(Inputs!$B$39&lt;&gt;"pvp",Inputs!$B$44&gt;0),MIN(15,Inputs!$B$44)/(Inputs!$B$44),0))),0)))-100),0))*CHOOSE(ArtifactsInput!$N$42+1,0.6,0.72,0.84,0.96,1.08,1.2))),Inputs!$B$18+((C1767=TRUE)*(F1767-Calc!F29))+(IF(AND(ArtifactsInput!$M$42,((Inputs!$B$9+((C1763=TRUE)*(F1763-Calc!F25))+B1778+(ArtifactsInput!$M$24-ArtifactsInput!$M$24)*CHOOSE(ArtifactsInput!$N$24+1,10,12,14,16,18,20)+IF(ArtifactsInput!$M$10,CHOOSE(ArtifactsInput!$N$10+1,15,18,21,24,27,30)*(IF(Inputs!$B$39="pvp",MIN(15,15)/15,IF(AND(Inputs!$B$39&lt;&gt;"pvp",Inputs!$B$44&gt;0),MIN(15,Inputs!$B$44)/(Inputs!$B$44),0))),0)))&gt;=100),CHOOSE(ArtifactsInput!$N$42+1,40,48,56,64,72,80),0))))/100)*(((1+(((C1759=TRUE)*F1759*IF(AND(Inputs!$B$39&lt;&gt;"pvp",Inputs!$B$44&gt;0),(((R1759-1)*(Skills!Y21*(1+Inputs!$B$34/100))+MIN((Skills!Y21*(1+Inputs!$B$34/100)),MAX(0,Inputs!$B$44-((R1759-1)*Skills!D21))))/Inputs!$B$44),IF(Inputs!$B$39="pvp",MIN((Skills!Y21*(1+Inputs!$B$34/100)),15)/15,(Skills!Y21*(1+Inputs!$B$34/100))/Skills!D21)))+((C1766=TRUE)*(F1766-Calc!F28))+((C1756=TRUE)*(F1756-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1753=TRUE)*F1753*IF(AND(Inputs!$B$39&lt;&gt;"pvp",Inputs!$B$44&gt;0),(((R1753-1)*(Skills!Y15*(1+Inputs!$B$34/100))+MIN((Skills!Y15*(1+Inputs!$B$34/100)),MAX(0,Inputs!$B$44-((R1753-1)*Skills!D15))))/Inputs!$B$44),IF(Inputs!$B$39="pvp",MIN((Skills!Y15*(1+Inputs!$B$34/100)),15)/15,(Skills!Y15*(1+Inputs!$B$34/100))/Skills!D15)))/100)*(1+((C1744=TRUE)*F1744*B1772)/100))*B1780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1750)</f>
        <v/>
      </c>
      <c r="L1750">
        <f>K1750*(MIN(Inputs!$B$22+((C1762=TRUE)*(F1762-Calc!F24)),(Inputs!$B$23+0+(IF(ArtifactsInput!$M$15,CHOOSE(ArtifactsInput!$N$15+1,25,30,35,40,45,50)/100*(Inputs!$B$11-Inputs!$B$11),0))))/100+(Inputs!$B$23+0+(IF(ArtifactsInput!$M$15,CHOOSE(ArtifactsInput!$N$15+1,25,30,35,40,45,50)/100*(Inputs!$B$11-Inputs!$B$11),0)))/100)/2</f>
        <v/>
      </c>
      <c r="M1750">
        <f>L1750*(1+(Inputs!$B$10+((C1764=TRUE)*(F1764-Calc!F26))+B1781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50">
        <f>L1750*(1-MIN((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1750*(MIN((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50">
        <f>(1-Summary!$B$11)*T1750+Summary!$B$11*V1750</f>
        <v/>
      </c>
      <c r="P1750">
        <f>IF(B1782=0,0,O1750/B1782)</f>
        <v/>
      </c>
      <c r="Q1750">
        <f>IFERROR(1/IF(Inputs!$B$39="pvp",15,MAX(0.1,Skills!D12-IF(Skills!E12=TRUE,Inputs!$B$32,0))),0)</f>
        <v/>
      </c>
      <c r="R1750">
        <f>IF(AND(Inputs!$B$39&lt;&gt;"pvp",Inputs!$B$44&gt;0),IF(MAX(0,Inputs!$B$44-B1783)&lt;=0,0,(INT(MAX(0,Inputs!$B$44-B1783)/IF(Inputs!$B$39="pvp",15,MAX(0.1,Skills!D12-IF(Skills!E12=TRUE,Inputs!$B$32,0))))+1)),0)</f>
        <v/>
      </c>
      <c r="S1750">
        <f>IFERROR(O1750/N1750,0)</f>
        <v/>
      </c>
      <c r="T1750">
        <f>IF(C1750,(H1750*N1750*IF(AND(Inputs!$B$39&lt;&gt;"pvp",Inputs!$B$44&gt;0),((Skills!G12*((R1750-1)*IF(Skills!H12&gt;0,Skills!I12/Skills!H12,1)+IF(Skills!H12&gt;0,MIN(Skills!I12,MAX(0,MAX(0,Inputs!$B$44-B1783)-((R1750-1)*IF(Inputs!$B$39="pvp",15,MAX(0.1,Skills!D12-IF(Skills!E12=TRUE,Inputs!$B$32,0))))))/Skills!H12,1)))/Inputs!$B$44),G1750*Q1750))*IF(Inputs!$B$39="pvp",1,1+(Inputs!$B$20+((C1765=TRUE)*(F1765-Calc!F27))+Skills!P12+B1779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Hunt"),CHOOSE(ArtifactsInput!$N$35+1,15,18,21,24,27,30)*(1-EXP(-(0.2*B1774)*5)),0)+IF(AND(ArtifactsInput!$M$22,Inputs!$B$4&lt;&gt;"Chapter Hunt"),CHOOSE(ArtifactsInput!$N$22+1,10,12,14,16,18,20)*((0*(((0.15*B1774*5))^0/1)+1*(((0.15*B1774*5))^1/1)+2*(((0.15*B1774*5))^2/2)+3*(((0.15*B1774*5))^3/6)+4*(((0.15*B1774*5))^4/24)+5*(((0.15*B1774*5))^5/120))/((((0.15*B1774*5))^0/1)+(((0.15*B1774*5))^1/1)+(((0.15*B1774*5))^2/2)+(((0.15*B1774*5))^3/6)+(((0.15*B1774*5))^4/24)+(((0.15*B1774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1750*(1-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1750*(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1750*(1-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1750*(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50">
        <f>IF(C1750,(H1750*N1750*IF(AND(Inputs!$B$39&lt;&gt;"pvp",Inputs!$B$44&gt;0),((Skills!G12*((R1750-1)*IF(Skills!H12&gt;0,Skills!I12/Skills!H12,1)+IF(Skills!H12&gt;0,MIN(Skills!I12,MAX(0,MAX(0,Inputs!$B$44-B1783)-((R1750-1)*IF(Inputs!$B$39="pvp",15,MAX(0.1,Skills!D12-IF(Skills!E12=TRUE,Inputs!$B$32,0))))))/Skills!H12,1)))/Inputs!$B$44),G1750*Q1750))*IF(Inputs!$B$39="pvp",1,(1+(Inputs!$B$21+Skills!Q12+B1779+(IF(ArtifactsInput!$M$33,CHOOSE(ArtifactsInput!$N$33+1,30,36,42,48,54,60),0))+(IF(AND(ArtifactsInput!$M$35,Inputs!$B$4&lt;&gt;"Chapter Hunt"),CHOOSE(ArtifactsInput!$N$35+1,15,18,21,24,27,30)*(1-EXP(-(0.2*B1774)*5)),0)+IF(AND(ArtifactsInput!$M$22,Inputs!$B$4&lt;&gt;"Chapter Hunt"),CHOOSE(ArtifactsInput!$N$22+1,10,12,14,16,18,20)*((0*(((0.15*B1774*5))^0/1)+1*(((0.15*B1774*5))^1/1)+2*(((0.15*B1774*5))^2/2)+3*(((0.15*B1774*5))^3/6)+4*(((0.15*B1774*5))^4/24)+5*(((0.15*B1774*5))^5/120))/((((0.15*B1774*5))^0/1)+(((0.15*B1774*5))^1/1)+(((0.15*B1774*5))^2/2)+(((0.15*B1774*5))^3/6)+(((0.15*B1774*5))^4/24)+(((0.15*B1774*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51">
      <c r="A1751">
        <f>Skills!A13</f>
        <v/>
      </c>
      <c r="B1751">
        <f>Skills!B13</f>
        <v/>
      </c>
      <c r="C1751">
        <f>Inputs!$B$3&gt;=105</f>
        <v/>
      </c>
      <c r="D1751">
        <f>IF(Skills!C13=1,60+Inputs!$B$25+Inputs!$B$29,IF(Skills!C13=2,90+Inputs!$B$26+Inputs!$B$29,IF(Skills!C13=3,120+Inputs!$B$27+Inputs!$B$29,MAX(0,(Inputs!$B$3-100)*3)+Inputs!$B$28+Inputs!$B$29)))</f>
        <v/>
      </c>
      <c r="E1751">
        <f>INDEX(FactorTable!$B$2:$Y$301, MATCH(ROUND(MIN(300,MAX(1,D1751)),0), FactorTable!$A$2:$A$301,0), Skills!M13+1)</f>
        <v/>
      </c>
      <c r="F1751">
        <f>IF(Skills!N13=TRUE,(Skills!L13/10)*(E1751/1000),Skills!L13/10)+Skills!O13</f>
        <v/>
      </c>
      <c r="G1751">
        <f>Calc!G13</f>
        <v/>
      </c>
      <c r="H1751">
        <f>Calc!H13</f>
        <v/>
      </c>
      <c r="I1751">
        <f>IF(Skills!AA13&lt;&gt;"",1+(Skills!AA13/10)*(U1741/1000)/100,1)</f>
        <v/>
      </c>
      <c r="J1751">
        <f>((Inputs!$B$6*(1+Inputs!$B$7/100))+(((Inputs!$B$12*(1+Inputs!$B$13/100))-(Inputs!$B$12*(1+Inputs!$B$13/100)))+0.25*(Inputs!$B$14-Inputs!$B$14))*(1+Inputs!$B$7/100))*(F1751/100)</f>
        <v/>
      </c>
      <c r="K1751">
        <f>J1751*(1+((Inputs!$B$12*(1+Inputs!$B$13/100))*0.01+Inputs!$B$14*0.0025)/100)*(1+Inputs!$B$15/100)*(1+Inputs!$B$16/100)*(5000/(6000+Inputs!$B$43*(1-(100*(1-(1-(Inputs!$B$19+0)/100)*(1-CHOOSE(ArtifactsInput!$N$40+1,5,6,7,8,9,10)/100)^(ArtifactsInput!$M$40-ArtifactsInput!$M$40)))/100)))*(1+(Inputs!$B$24+((C1768=TRUE)*(F1768-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1761=TRUE)*(F1761-Calc!F23))+(((IF(AND(ArtifactsInput!$M$42,((Inputs!$B$9+((C1763=TRUE)*(F1763-Calc!F25))+B1778+(ArtifactsInput!$M$24-ArtifactsInput!$M$24)*CHOOSE(ArtifactsInput!$N$24+1,10,12,14,16,18,20)+IF(ArtifactsInput!$M$10,CHOOSE(ArtifactsInput!$N$10+1,15,18,21,24,27,30)*(IF(Inputs!$B$39="pvp",MIN(15,15)/15,IF(AND(Inputs!$B$39&lt;&gt;"pvp",Inputs!$B$44&gt;0),MIN(15,Inputs!$B$44)/(Inputs!$B$44),0))),0)))&gt;=100),MIN(100,((Inputs!$B$9+((C1763=TRUE)*(F1763-Calc!F25))+B1778+(ArtifactsInput!$M$24-ArtifactsInput!$M$24)*CHOOSE(ArtifactsInput!$N$24+1,10,12,14,16,18,20)+IF(ArtifactsInput!$M$10,CHOOSE(ArtifactsInput!$N$10+1,15,18,21,24,27,30)*(IF(Inputs!$B$39="pvp",MIN(15,15)/15,IF(AND(Inputs!$B$39&lt;&gt;"pvp",Inputs!$B$44&gt;0),MIN(15,Inputs!$B$44)/(Inputs!$B$44),0))),0)))-100),0))*CHOOSE(ArtifactsInput!$N$42+1,0.6,0.72,0.84,0.96,1.08,1.2))),Inputs!$B$18+((C1767=TRUE)*(F1767-Calc!F29))+(IF(AND(ArtifactsInput!$M$42,((Inputs!$B$9+((C1763=TRUE)*(F1763-Calc!F25))+B1778+(ArtifactsInput!$M$24-ArtifactsInput!$M$24)*CHOOSE(ArtifactsInput!$N$24+1,10,12,14,16,18,20)+IF(ArtifactsInput!$M$10,CHOOSE(ArtifactsInput!$N$10+1,15,18,21,24,27,30)*(IF(Inputs!$B$39="pvp",MIN(15,15)/15,IF(AND(Inputs!$B$39&lt;&gt;"pvp",Inputs!$B$44&gt;0),MIN(15,Inputs!$B$44)/(Inputs!$B$44),0))),0)))&gt;=100),CHOOSE(ArtifactsInput!$N$42+1,40,48,56,64,72,80),0))))/100)*(((1+(((C1759=TRUE)*F1759*IF(AND(Inputs!$B$39&lt;&gt;"pvp",Inputs!$B$44&gt;0),(((R1759-1)*(Skills!Y21*(1+Inputs!$B$34/100))+MIN((Skills!Y21*(1+Inputs!$B$34/100)),MAX(0,Inputs!$B$44-((R1759-1)*Skills!D21))))/Inputs!$B$44),IF(Inputs!$B$39="pvp",MIN((Skills!Y21*(1+Inputs!$B$34/100)),15)/15,(Skills!Y21*(1+Inputs!$B$34/100))/Skills!D21)))+((C1766=TRUE)*(F1766-Calc!F28))+((C1756=TRUE)*(F1756-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1753=TRUE)*F1753*IF(AND(Inputs!$B$39&lt;&gt;"pvp",Inputs!$B$44&gt;0),(((R1753-1)*(Skills!Y15*(1+Inputs!$B$34/100))+MIN((Skills!Y15*(1+Inputs!$B$34/100)),MAX(0,Inputs!$B$44-((R1753-1)*Skills!D15))))/Inputs!$B$44),IF(Inputs!$B$39="pvp",MIN((Skills!Y15*(1+Inputs!$B$34/100)),15)/15,(Skills!Y15*(1+Inputs!$B$34/100))/Skills!D15)))/100)*(1+((C1744=TRUE)*F1744*B1772)/100))*B1780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1751)</f>
        <v/>
      </c>
      <c r="L1751">
        <f>K1751*(MIN(Inputs!$B$22+((C1762=TRUE)*(F1762-Calc!F24)),(Inputs!$B$23+0+(IF(ArtifactsInput!$M$15,CHOOSE(ArtifactsInput!$N$15+1,25,30,35,40,45,50)/100*(Inputs!$B$11-Inputs!$B$11),0))))/100+(Inputs!$B$23+0+(IF(ArtifactsInput!$M$15,CHOOSE(ArtifactsInput!$N$15+1,25,30,35,40,45,50)/100*(Inputs!$B$11-Inputs!$B$11),0)))/100)/2</f>
        <v/>
      </c>
      <c r="M1751">
        <f>L1751*(1+(Inputs!$B$10+((C1764=TRUE)*(F1764-Calc!F26))+B1781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51">
        <f>L1751*(1-MIN((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1751*(MIN((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51">
        <f>(1-Summary!$B$11)*T1751+Summary!$B$11*V1751</f>
        <v/>
      </c>
      <c r="P1751">
        <f>IF(B1782=0,0,O1751/B1782)</f>
        <v/>
      </c>
      <c r="Q1751">
        <f>IFERROR(1/IF(Inputs!$B$39="pvp",15,MAX(0.1,Skills!D13-IF(Skills!E13=TRUE,Inputs!$B$32,0))),0)</f>
        <v/>
      </c>
      <c r="R1751">
        <f>IF(AND(Inputs!$B$39&lt;&gt;"pvp",Inputs!$B$44&gt;0),IF(MAX(0,Inputs!$B$44-B1783)&lt;=0,0,(INT(MAX(0,Inputs!$B$44-B1783)/IF(Inputs!$B$39="pvp",15,MAX(0.1,Skills!D13-IF(Skills!E13=TRUE,Inputs!$B$32,0))))+1)),0)</f>
        <v/>
      </c>
      <c r="S1751">
        <f>IFERROR(O1751/N1751,0)</f>
        <v/>
      </c>
      <c r="T1751">
        <f>IF(C1751,(H1751*N1751*IF(AND(Inputs!$B$39&lt;&gt;"pvp",Inputs!$B$44&gt;0),((Skills!G13*((R1751-1)*IF(Skills!H13&gt;0,Skills!I13/Skills!H13,1)+IF(Skills!H13&gt;0,MIN(Skills!I13,MAX(0,MAX(0,Inputs!$B$44-B1783)-((R1751-1)*IF(Inputs!$B$39="pvp",15,MAX(0.1,Skills!D13-IF(Skills!E13=TRUE,Inputs!$B$32,0))))))/Skills!H13,1)))/Inputs!$B$44),G1751*Q1751))*IF(Inputs!$B$39="pvp",1,1+(Inputs!$B$20+((C1765=TRUE)*(F1765-Calc!F27))+Skills!P13+B1779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Hunt"),CHOOSE(ArtifactsInput!$N$35+1,15,18,21,24,27,30)*(1-EXP(-(0.2*B1774)*5)),0)+IF(AND(ArtifactsInput!$M$22,Inputs!$B$4&lt;&gt;"Chapter Hunt"),CHOOSE(ArtifactsInput!$N$22+1,10,12,14,16,18,20)*((0*(((0.15*B1774*5))^0/1)+1*(((0.15*B1774*5))^1/1)+2*(((0.15*B1774*5))^2/2)+3*(((0.15*B1774*5))^3/6)+4*(((0.15*B1774*5))^4/24)+5*(((0.15*B1774*5))^5/120))/((((0.15*B1774*5))^0/1)+(((0.15*B1774*5))^1/1)+(((0.15*B1774*5))^2/2)+(((0.15*B1774*5))^3/6)+(((0.15*B1774*5))^4/24)+(((0.15*B1774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1751*(1-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1751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1751*(1-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1751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51">
        <f>IF(C1751,(H1751*N1751*IF(AND(Inputs!$B$39&lt;&gt;"pvp",Inputs!$B$44&gt;0),((Skills!G13*((R1751-1)*IF(Skills!H13&gt;0,Skills!I13/Skills!H13,1)+IF(Skills!H13&gt;0,MIN(Skills!I13,MAX(0,MAX(0,Inputs!$B$44-B1783)-((R1751-1)*IF(Inputs!$B$39="pvp",15,MAX(0.1,Skills!D13-IF(Skills!E13=TRUE,Inputs!$B$32,0))))))/Skills!H13,1)))/Inputs!$B$44),G1751*Q1751))*IF(Inputs!$B$39="pvp",1,(1+(Inputs!$B$21+Skills!Q13+B1779+(IF(ArtifactsInput!$M$33,CHOOSE(ArtifactsInput!$N$33+1,30,36,42,48,54,60),0))+(IF(AND(ArtifactsInput!$M$35,Inputs!$B$4&lt;&gt;"Chapter Hunt"),CHOOSE(ArtifactsInput!$N$35+1,15,18,21,24,27,30)*(1-EXP(-(0.2*B1774)*5)),0)+IF(AND(ArtifactsInput!$M$22,Inputs!$B$4&lt;&gt;"Chapter Hunt"),CHOOSE(ArtifactsInput!$N$22+1,10,12,14,16,18,20)*((0*(((0.15*B1774*5))^0/1)+1*(((0.15*B1774*5))^1/1)+2*(((0.15*B1774*5))^2/2)+3*(((0.15*B1774*5))^3/6)+4*(((0.15*B1774*5))^4/24)+5*(((0.15*B1774*5))^5/120))/((((0.15*B1774*5))^0/1)+(((0.15*B1774*5))^1/1)+(((0.15*B1774*5))^2/2)+(((0.15*B1774*5))^3/6)+(((0.15*B1774*5))^4/24)+(((0.15*B1774*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52">
      <c r="A1752">
        <f>Skills!A14</f>
        <v/>
      </c>
      <c r="B1752">
        <f>Skills!B14</f>
        <v/>
      </c>
      <c r="C1752">
        <f>Inputs!$B$3&gt;=105</f>
        <v/>
      </c>
      <c r="D1752">
        <f>IF(Skills!C14=1,60+Inputs!$B$25+Inputs!$B$29,IF(Skills!C14=2,90+Inputs!$B$26+Inputs!$B$29,IF(Skills!C14=3,120+Inputs!$B$27+Inputs!$B$29,MAX(0,(Inputs!$B$3-100)*3)+Inputs!$B$28+Inputs!$B$29)))</f>
        <v/>
      </c>
      <c r="E1752">
        <f>INDEX(FactorTable!$B$2:$Y$301, MATCH(ROUND(MIN(300,MAX(1,D1752)),0), FactorTable!$A$2:$A$301,0), Skills!M14+1)</f>
        <v/>
      </c>
      <c r="F1752">
        <f>IF(Skills!N14=TRUE,(Skills!L14/10)*(E1752/1000),Skills!L14/10)+Skills!O14</f>
        <v/>
      </c>
      <c r="G1752">
        <f>Calc!G14</f>
        <v/>
      </c>
      <c r="H1752">
        <f>Calc!H14</f>
        <v/>
      </c>
      <c r="I1752">
        <f>IF(Skills!AA14&lt;&gt;"",1+(Skills!AA14/10)*(U1741/1000)/100,1)</f>
        <v/>
      </c>
      <c r="J1752">
        <f>((Inputs!$B$6*(1+Inputs!$B$7/100))+(((Inputs!$B$12*(1+Inputs!$B$13/100))-(Inputs!$B$12*(1+Inputs!$B$13/100)))+0.25*(Inputs!$B$14-Inputs!$B$14))*(1+Inputs!$B$7/100))*(F1752/100)</f>
        <v/>
      </c>
      <c r="K1752">
        <f>J1752*(1+((Inputs!$B$12*(1+Inputs!$B$13/100))*0.01+Inputs!$B$14*0.0025)/100)*(1+Inputs!$B$15/100)*(1+Inputs!$B$16/100)*(5000/(6000+Inputs!$B$43*(1-(100*(1-(1-(Inputs!$B$19+0)/100)*(1-CHOOSE(ArtifactsInput!$N$40+1,5,6,7,8,9,10)/100)^(ArtifactsInput!$M$40-ArtifactsInput!$M$40)))/100)))*(1+(Inputs!$B$24+((C1768=TRUE)*(F1768-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1761=TRUE)*(F1761-Calc!F23))+(((IF(AND(ArtifactsInput!$M$42,((Inputs!$B$9+((C1763=TRUE)*(F1763-Calc!F25))+B1778+(ArtifactsInput!$M$24-ArtifactsInput!$M$24)*CHOOSE(ArtifactsInput!$N$24+1,10,12,14,16,18,20)+IF(ArtifactsInput!$M$10,CHOOSE(ArtifactsInput!$N$10+1,15,18,21,24,27,30)*(IF(Inputs!$B$39="pvp",MIN(15,15)/15,IF(AND(Inputs!$B$39&lt;&gt;"pvp",Inputs!$B$44&gt;0),MIN(15,Inputs!$B$44)/(Inputs!$B$44),0))),0)))&gt;=100),MIN(100,((Inputs!$B$9+((C1763=TRUE)*(F1763-Calc!F25))+B1778+(ArtifactsInput!$M$24-ArtifactsInput!$M$24)*CHOOSE(ArtifactsInput!$N$24+1,10,12,14,16,18,20)+IF(ArtifactsInput!$M$10,CHOOSE(ArtifactsInput!$N$10+1,15,18,21,24,27,30)*(IF(Inputs!$B$39="pvp",MIN(15,15)/15,IF(AND(Inputs!$B$39&lt;&gt;"pvp",Inputs!$B$44&gt;0),MIN(15,Inputs!$B$44)/(Inputs!$B$44),0))),0)))-100),0))*CHOOSE(ArtifactsInput!$N$42+1,0.6,0.72,0.84,0.96,1.08,1.2))),Inputs!$B$18+((C1767=TRUE)*(F1767-Calc!F29))+(IF(AND(ArtifactsInput!$M$42,((Inputs!$B$9+((C1763=TRUE)*(F1763-Calc!F25))+B1778+(ArtifactsInput!$M$24-ArtifactsInput!$M$24)*CHOOSE(ArtifactsInput!$N$24+1,10,12,14,16,18,20)+IF(ArtifactsInput!$M$10,CHOOSE(ArtifactsInput!$N$10+1,15,18,21,24,27,30)*(IF(Inputs!$B$39="pvp",MIN(15,15)/15,IF(AND(Inputs!$B$39&lt;&gt;"pvp",Inputs!$B$44&gt;0),MIN(15,Inputs!$B$44)/(Inputs!$B$44),0))),0)))&gt;=100),CHOOSE(ArtifactsInput!$N$42+1,40,48,56,64,72,80),0))))/100)*(((1+(((C1759=TRUE)*F1759*IF(AND(Inputs!$B$39&lt;&gt;"pvp",Inputs!$B$44&gt;0),(((R1759-1)*(Skills!Y21*(1+Inputs!$B$34/100))+MIN((Skills!Y21*(1+Inputs!$B$34/100)),MAX(0,Inputs!$B$44-((R1759-1)*Skills!D21))))/Inputs!$B$44),IF(Inputs!$B$39="pvp",MIN((Skills!Y21*(1+Inputs!$B$34/100)),15)/15,(Skills!Y21*(1+Inputs!$B$34/100))/Skills!D21)))+((C1766=TRUE)*(F1766-Calc!F28))+((C1756=TRUE)*(F1756-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1753=TRUE)*F1753*IF(AND(Inputs!$B$39&lt;&gt;"pvp",Inputs!$B$44&gt;0),(((R1753-1)*(Skills!Y15*(1+Inputs!$B$34/100))+MIN((Skills!Y15*(1+Inputs!$B$34/100)),MAX(0,Inputs!$B$44-((R1753-1)*Skills!D15))))/Inputs!$B$44),IF(Inputs!$B$39="pvp",MIN((Skills!Y15*(1+Inputs!$B$34/100)),15)/15,(Skills!Y15*(1+Inputs!$B$34/100))/Skills!D15)))/100)*(1+((C1744=TRUE)*F1744*B1772)/100))*B1780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1752)</f>
        <v/>
      </c>
      <c r="L1752">
        <f>K1752*(MIN(Inputs!$B$22+((C1762=TRUE)*(F1762-Calc!F24)),(Inputs!$B$23+0+(IF(ArtifactsInput!$M$15,CHOOSE(ArtifactsInput!$N$15+1,25,30,35,40,45,50)/100*(Inputs!$B$11-Inputs!$B$11),0))))/100+(Inputs!$B$23+0+(IF(ArtifactsInput!$M$15,CHOOSE(ArtifactsInput!$N$15+1,25,30,35,40,45,50)/100*(Inputs!$B$11-Inputs!$B$11),0)))/100)/2</f>
        <v/>
      </c>
      <c r="M1752">
        <f>L1752*(1+(Inputs!$B$10+((C1764=TRUE)*(F1764-Calc!F26))+B1781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52">
        <f>L1752*(1-MIN((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1752*(MIN((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52">
        <f>(1-Summary!$B$11)*T1752+Summary!$B$11*V1752</f>
        <v/>
      </c>
      <c r="P1752">
        <f>IF(B1782=0,0,O1752/B1782)</f>
        <v/>
      </c>
      <c r="Q1752">
        <f>IFERROR(1/IF(Inputs!$B$39="pvp",15,MAX(0.1,Skills!D14-IF(Skills!E14=TRUE,Inputs!$B$32,0))),0)</f>
        <v/>
      </c>
      <c r="R1752">
        <f>IF(AND(Inputs!$B$39&lt;&gt;"pvp",Inputs!$B$44&gt;0),IF(MAX(0,Inputs!$B$44-B1783)&lt;=0,0,(INT(MAX(0,Inputs!$B$44-B1783)/IF(Inputs!$B$39="pvp",15,MAX(0.1,Skills!D14-IF(Skills!E14=TRUE,Inputs!$B$32,0))))+1)),0)</f>
        <v/>
      </c>
      <c r="S1752">
        <f>IFERROR(O1752/N1752,0)</f>
        <v/>
      </c>
      <c r="T1752">
        <f>IF(C1752,(H1752*N1752*IF(AND(Inputs!$B$39&lt;&gt;"pvp",Inputs!$B$44&gt;0),((Skills!G14*((R1752-1)*IF(Skills!H14&gt;0,Skills!I14/Skills!H14,1)+IF(Skills!H14&gt;0,MIN(Skills!I14,MAX(0,MAX(0,Inputs!$B$44-B1783)-((R1752-1)*IF(Inputs!$B$39="pvp",15,MAX(0.1,Skills!D14-IF(Skills!E14=TRUE,Inputs!$B$32,0))))))/Skills!H14,1)))/Inputs!$B$44),G1752*Q1752))*IF(Inputs!$B$39="pvp",1,1+(Inputs!$B$20+((C1765=TRUE)*(F1765-Calc!F27))+Skills!P14+B1779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Hunt"),CHOOSE(ArtifactsInput!$N$35+1,15,18,21,24,27,30)*(1-EXP(-(0.2*B1774)*5)),0)+IF(AND(ArtifactsInput!$M$22,Inputs!$B$4&lt;&gt;"Chapter Hunt"),CHOOSE(ArtifactsInput!$N$22+1,10,12,14,16,18,20)*((0*(((0.15*B1774*5))^0/1)+1*(((0.15*B1774*5))^1/1)+2*(((0.15*B1774*5))^2/2)+3*(((0.15*B1774*5))^3/6)+4*(((0.15*B1774*5))^4/24)+5*(((0.15*B1774*5))^5/120))/((((0.15*B1774*5))^0/1)+(((0.15*B1774*5))^1/1)+(((0.15*B1774*5))^2/2)+(((0.15*B1774*5))^3/6)+(((0.15*B1774*5))^4/24)+(((0.15*B1774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1752*(1-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1752*(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1752*(1-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1752*(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52">
        <f>IF(C1752,(H1752*N1752*IF(AND(Inputs!$B$39&lt;&gt;"pvp",Inputs!$B$44&gt;0),((Skills!G14*((R1752-1)*IF(Skills!H14&gt;0,Skills!I14/Skills!H14,1)+IF(Skills!H14&gt;0,MIN(Skills!I14,MAX(0,MAX(0,Inputs!$B$44-B1783)-((R1752-1)*IF(Inputs!$B$39="pvp",15,MAX(0.1,Skills!D14-IF(Skills!E14=TRUE,Inputs!$B$32,0))))))/Skills!H14,1)))/Inputs!$B$44),G1752*Q1752))*IF(Inputs!$B$39="pvp",1,(1+(Inputs!$B$21+Skills!Q14+B1779+(IF(ArtifactsInput!$M$33,CHOOSE(ArtifactsInput!$N$33+1,30,36,42,48,54,60),0))+(IF(AND(ArtifactsInput!$M$35,Inputs!$B$4&lt;&gt;"Chapter Hunt"),CHOOSE(ArtifactsInput!$N$35+1,15,18,21,24,27,30)*(1-EXP(-(0.2*B1774)*5)),0)+IF(AND(ArtifactsInput!$M$22,Inputs!$B$4&lt;&gt;"Chapter Hunt"),CHOOSE(ArtifactsInput!$N$22+1,10,12,14,16,18,20)*((0*(((0.15*B1774*5))^0/1)+1*(((0.15*B1774*5))^1/1)+2*(((0.15*B1774*5))^2/2)+3*(((0.15*B1774*5))^3/6)+4*(((0.15*B1774*5))^4/24)+5*(((0.15*B1774*5))^5/120))/((((0.15*B1774*5))^0/1)+(((0.15*B1774*5))^1/1)+(((0.15*B1774*5))^2/2)+(((0.15*B1774*5))^3/6)+(((0.15*B1774*5))^4/24)+(((0.15*B1774*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53">
      <c r="A1753">
        <f>Skills!A15</f>
        <v/>
      </c>
      <c r="B1753">
        <f>Skills!B15</f>
        <v/>
      </c>
      <c r="C1753">
        <f>Inputs!$B$3&gt;=110</f>
        <v/>
      </c>
      <c r="D1753">
        <f>IF(Skills!C15=1,60+Inputs!$B$25+Inputs!$B$29,IF(Skills!C15=2,90+Inputs!$B$26+Inputs!$B$29,IF(Skills!C15=3,120+Inputs!$B$27+Inputs!$B$29,MAX(0,(Inputs!$B$3-100)*3)+Inputs!$B$28+Inputs!$B$29)))</f>
        <v/>
      </c>
      <c r="E1753">
        <f>INDEX(FactorTable!$B$2:$Y$301, MATCH(ROUND(MIN(300,MAX(1,D1753)),0), FactorTable!$A$2:$A$301,0), Skills!M15+1)</f>
        <v/>
      </c>
      <c r="F1753">
        <f>IF(Skills!N15=TRUE,(Skills!L15/10)*(E1753/1000),Skills!L15/10)+Skills!O15</f>
        <v/>
      </c>
      <c r="G1753">
        <f>Calc!G15</f>
        <v/>
      </c>
      <c r="H1753">
        <f>Calc!H15</f>
        <v/>
      </c>
      <c r="I1753">
        <f>IF(Skills!AA15&lt;&gt;"",1+(Skills!AA15/10)*(U1741/1000)/100,1)</f>
        <v/>
      </c>
      <c r="J1753" t="inlineStr"/>
      <c r="K1753" t="inlineStr"/>
      <c r="L1753" t="inlineStr"/>
      <c r="M1753" t="inlineStr"/>
      <c r="N1753" t="inlineStr"/>
      <c r="O1753">
        <f>(1-Summary!$B$11)*T1753+Summary!$B$11*V1753</f>
        <v/>
      </c>
      <c r="P1753">
        <f>IF(B1782=0,0,O1753/B1782)</f>
        <v/>
      </c>
      <c r="Q1753">
        <f>IFERROR(1/IF(Inputs!$B$39="pvp",15,MAX(0.1,Skills!D15-IF(Skills!E15=TRUE,Inputs!$B$32,0))),0)</f>
        <v/>
      </c>
      <c r="R1753">
        <f>IF(AND(Inputs!$B$39&lt;&gt;"pvp",Inputs!$B$44&gt;0),IF(Inputs!$B$44&lt;=0,0,(INT(Inputs!$B$44/IF(Inputs!$B$39="pvp",15,MAX(0.1,Skills!D15-IF(Skills!E15=TRUE,Inputs!$B$32,0))))+1)),0)</f>
        <v/>
      </c>
      <c r="S1753">
        <f>IFERROR(O1753/N1753,0)</f>
        <v/>
      </c>
      <c r="T1753" t="n">
        <v>0</v>
      </c>
      <c r="V1753" t="n">
        <v>0</v>
      </c>
    </row>
    <row r="1754">
      <c r="A1754">
        <f>Skills!A16</f>
        <v/>
      </c>
      <c r="B1754">
        <f>Skills!B16</f>
        <v/>
      </c>
      <c r="C1754">
        <f>Inputs!$B$3&gt;=110</f>
        <v/>
      </c>
      <c r="D1754">
        <f>IF(Skills!C16=1,60+Inputs!$B$25+Inputs!$B$29,IF(Skills!C16=2,90+Inputs!$B$26+Inputs!$B$29,IF(Skills!C16=3,120+Inputs!$B$27+Inputs!$B$29,MAX(0,(Inputs!$B$3-100)*3)+Inputs!$B$28+Inputs!$B$29)))</f>
        <v/>
      </c>
      <c r="E1754">
        <f>INDEX(FactorTable!$B$2:$Y$301, MATCH(ROUND(MIN(300,MAX(1,D1754)),0), FactorTable!$A$2:$A$301,0), Skills!M16+1)</f>
        <v/>
      </c>
      <c r="F1754">
        <f>IF(Skills!N16=TRUE,(Skills!L16/10)*(E1754/1000),Skills!L16/10)+Skills!O16</f>
        <v/>
      </c>
      <c r="G1754">
        <f>Calc!G16</f>
        <v/>
      </c>
      <c r="H1754">
        <f>Calc!H16</f>
        <v/>
      </c>
      <c r="I1754">
        <f>IF(Skills!AA16&lt;&gt;"",1+(Skills!AA16/10)*(U1741/1000)/100,1)</f>
        <v/>
      </c>
      <c r="J1754" t="inlineStr"/>
      <c r="K1754" t="inlineStr"/>
      <c r="L1754" t="inlineStr"/>
      <c r="M1754" t="inlineStr"/>
      <c r="N1754" t="inlineStr"/>
      <c r="O1754">
        <f>(1-Summary!$B$11)*T1754+Summary!$B$11*V1754</f>
        <v/>
      </c>
      <c r="P1754">
        <f>IF(B1782=0,0,O1754/B1782)</f>
        <v/>
      </c>
      <c r="Q1754">
        <f>IFERROR(1/IF(Inputs!$B$39="pvp",15,MAX(0.1,Skills!D16-IF(Skills!E16=TRUE,Inputs!$B$32,0))),0)</f>
        <v/>
      </c>
      <c r="R1754">
        <f>IF(AND(Inputs!$B$39&lt;&gt;"pvp",Inputs!$B$44&gt;0),IF(Inputs!$B$44&lt;=0,0,(INT(Inputs!$B$44/IF(Inputs!$B$39="pvp",15,MAX(0.1,Skills!D16-IF(Skills!E16=TRUE,Inputs!$B$32,0))))+1)),0)</f>
        <v/>
      </c>
      <c r="S1754">
        <f>IFERROR(O1754/N1754,0)</f>
        <v/>
      </c>
      <c r="T1754" t="n">
        <v>0</v>
      </c>
      <c r="V1754" t="n">
        <v>0</v>
      </c>
    </row>
    <row r="1755">
      <c r="A1755">
        <f>Skills!A17</f>
        <v/>
      </c>
      <c r="B1755">
        <f>Skills!B17</f>
        <v/>
      </c>
      <c r="C1755">
        <f>Inputs!$B$3&gt;=115</f>
        <v/>
      </c>
      <c r="D1755">
        <f>IF(Skills!C17=1,60+Inputs!$B$25+Inputs!$B$29,IF(Skills!C17=2,90+Inputs!$B$26+Inputs!$B$29,IF(Skills!C17=3,120+Inputs!$B$27+Inputs!$B$29,MAX(0,(Inputs!$B$3-100)*3)+Inputs!$B$28+Inputs!$B$29)))</f>
        <v/>
      </c>
      <c r="E1755">
        <f>INDEX(FactorTable!$B$2:$Y$301, MATCH(ROUND(MIN(300,MAX(1,D1755)),0), FactorTable!$A$2:$A$301,0), Skills!M17+1)</f>
        <v/>
      </c>
      <c r="F1755">
        <f>IF(Skills!N17=TRUE,(Skills!L17/10)*(E1755/1000),Skills!L17/10)+Skills!O17</f>
        <v/>
      </c>
      <c r="G1755">
        <f>Calc!G17</f>
        <v/>
      </c>
      <c r="H1755">
        <f>Calc!H17</f>
        <v/>
      </c>
      <c r="I1755">
        <f>IF(Skills!AA17&lt;&gt;"",1+(Skills!AA17/10)*(U1741/1000)/100,1)</f>
        <v/>
      </c>
      <c r="J1755">
        <f>((Inputs!$B$6*(1+Inputs!$B$7/100))+(((Inputs!$B$12*(1+Inputs!$B$13/100))-(Inputs!$B$12*(1+Inputs!$B$13/100)))+0.25*(Inputs!$B$14-Inputs!$B$14))*(1+Inputs!$B$7/100))*(F1755/100)</f>
        <v/>
      </c>
      <c r="K1755">
        <f>J1755*(1+((Inputs!$B$12*(1+Inputs!$B$13/100))*0.01+Inputs!$B$14*0.0025)/100)*(1+Inputs!$B$15/100)*(1+Inputs!$B$16/100)*(5000/(6000+Inputs!$B$43*(1-(100*(1-(1-(Inputs!$B$19+0)/100)*(1-CHOOSE(ArtifactsInput!$N$40+1,5,6,7,8,9,10)/100)^(ArtifactsInput!$M$40-ArtifactsInput!$M$40)))/100)))*(1+(Inputs!$B$24+((C1768=TRUE)*(F1768-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1761=TRUE)*(F1761-Calc!F23))+(((IF(AND(ArtifactsInput!$M$42,((Inputs!$B$9+((C1763=TRUE)*(F1763-Calc!F25))+B1778+(ArtifactsInput!$M$24-ArtifactsInput!$M$24)*CHOOSE(ArtifactsInput!$N$24+1,10,12,14,16,18,20)+IF(ArtifactsInput!$M$10,CHOOSE(ArtifactsInput!$N$10+1,15,18,21,24,27,30)*(IF(Inputs!$B$39="pvp",MIN(15,15)/15,IF(AND(Inputs!$B$39&lt;&gt;"pvp",Inputs!$B$44&gt;0),MIN(15,Inputs!$B$44)/(Inputs!$B$44),0))),0)))&gt;=100),MIN(100,((Inputs!$B$9+((C1763=TRUE)*(F1763-Calc!F25))+B1778+(ArtifactsInput!$M$24-ArtifactsInput!$M$24)*CHOOSE(ArtifactsInput!$N$24+1,10,12,14,16,18,20)+IF(ArtifactsInput!$M$10,CHOOSE(ArtifactsInput!$N$10+1,15,18,21,24,27,30)*(IF(Inputs!$B$39="pvp",MIN(15,15)/15,IF(AND(Inputs!$B$39&lt;&gt;"pvp",Inputs!$B$44&gt;0),MIN(15,Inputs!$B$44)/(Inputs!$B$44),0))),0)))-100),0))*CHOOSE(ArtifactsInput!$N$42+1,0.6,0.72,0.84,0.96,1.08,1.2))),Inputs!$B$18+((C1767=TRUE)*(F1767-Calc!F29))+(IF(AND(ArtifactsInput!$M$42,((Inputs!$B$9+((C1763=TRUE)*(F1763-Calc!F25))+B1778+(ArtifactsInput!$M$24-ArtifactsInput!$M$24)*CHOOSE(ArtifactsInput!$N$24+1,10,12,14,16,18,20)+IF(ArtifactsInput!$M$10,CHOOSE(ArtifactsInput!$N$10+1,15,18,21,24,27,30)*(IF(Inputs!$B$39="pvp",MIN(15,15)/15,IF(AND(Inputs!$B$39&lt;&gt;"pvp",Inputs!$B$44&gt;0),MIN(15,Inputs!$B$44)/(Inputs!$B$44),0))),0)))&gt;=100),CHOOSE(ArtifactsInput!$N$42+1,40,48,56,64,72,80),0))))/100)*(((1+(((C1759=TRUE)*F1759*IF(AND(Inputs!$B$39&lt;&gt;"pvp",Inputs!$B$44&gt;0),(((R1759-1)*(Skills!Y21*(1+Inputs!$B$34/100))+MIN((Skills!Y21*(1+Inputs!$B$34/100)),MAX(0,Inputs!$B$44-((R1759-1)*Skills!D21))))/Inputs!$B$44),IF(Inputs!$B$39="pvp",MIN((Skills!Y21*(1+Inputs!$B$34/100)),15)/15,(Skills!Y21*(1+Inputs!$B$34/100))/Skills!D21)))+((C1766=TRUE)*(F1766-Calc!F28))+((C1756=TRUE)*(F1756-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1753=TRUE)*F1753*IF(AND(Inputs!$B$39&lt;&gt;"pvp",Inputs!$B$44&gt;0),(((R1753-1)*(Skills!Y15*(1+Inputs!$B$34/100))+MIN((Skills!Y15*(1+Inputs!$B$34/100)),MAX(0,Inputs!$B$44-((R1753-1)*Skills!D15))))/Inputs!$B$44),IF(Inputs!$B$39="pvp",MIN((Skills!Y15*(1+Inputs!$B$34/100)),15)/15,(Skills!Y15*(1+Inputs!$B$34/100))/Skills!D15)))/100)*(1+((C1744=TRUE)*F1744*B1772)/100))*B1780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1755)</f>
        <v/>
      </c>
      <c r="L1755">
        <f>K1755*(MIN(Inputs!$B$22+((C1762=TRUE)*(F1762-Calc!F24)),(Inputs!$B$23+0+(IF(ArtifactsInput!$M$15,CHOOSE(ArtifactsInput!$N$15+1,25,30,35,40,45,50)/100*(Inputs!$B$11-Inputs!$B$11),0))))/100+(Inputs!$B$23+0+(IF(ArtifactsInput!$M$15,CHOOSE(ArtifactsInput!$N$15+1,25,30,35,40,45,50)/100*(Inputs!$B$11-Inputs!$B$11),0)))/100)/2</f>
        <v/>
      </c>
      <c r="M1755">
        <f>L1755*(1+(Inputs!$B$10+((C1764=TRUE)*(F1764-Calc!F26))+B1781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55">
        <f>L1755*(1-MIN((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1755*(MIN((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55">
        <f>(1-Summary!$B$11)*T1755+Summary!$B$11*V1755</f>
        <v/>
      </c>
      <c r="P1755">
        <f>IF(B1782=0,0,O1755/B1782)</f>
        <v/>
      </c>
      <c r="Q1755" t="n">
        <v>0</v>
      </c>
      <c r="R1755" t="n">
        <v>0</v>
      </c>
      <c r="S1755">
        <f>IFERROR(O1755/N1755,0)</f>
        <v/>
      </c>
      <c r="T1755">
        <f>IF(C1755,(Inputs!$B$38*0.2*N1755)*IF(Inputs!$B$39="pvp",1,1+(Inputs!$B$20+((C1765=TRUE)*(F1765-Calc!F27))+Skills!P17+B1779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Hunt"),CHOOSE(ArtifactsInput!$N$35+1,15,18,21,24,27,30)*(1-EXP(-(0.2*B1774)*5)),0)+IF(AND(ArtifactsInput!$M$22,Inputs!$B$4&lt;&gt;"Chapter Hunt"),CHOOSE(ArtifactsInput!$N$22+1,10,12,14,16,18,20)*((0*(((0.15*B1774*5))^0/1)+1*(((0.15*B1774*5))^1/1)+2*(((0.15*B1774*5))^2/2)+3*(((0.15*B1774*5))^3/6)+4*(((0.15*B1774*5))^4/24)+5*(((0.15*B1774*5))^5/120))/((((0.15*B1774*5))^0/1)+(((0.15*B1774*5))^1/1)+(((0.15*B1774*5))^2/2)+(((0.15*B1774*5))^3/6)+(((0.15*B1774*5))^4/24)+(((0.15*B1774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1755*(1-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1755*(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1755*(1-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1755*(MIN(100,(Inputs!$B$9+((C1763=TRUE)*(F1763-Calc!F25))+B1778+(ArtifactsInput!$M$24-ArtifactsInput!$M$24)*CHOOSE(ArtifactsInput!$N$24+1,10,12,14,16,18,20)+(IF(AND(ArtifactsInput!$M$42,((Inputs!$B$9+((C1763=TRUE)*(F1763-Calc!F25))+B1778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55">
        <f>IF(C1755,(Inputs!$B$38*0.2*N1755)*IF(Inputs!$B$39="pvp",1,(1+(Inputs!$B$21+Skills!Q17+B1779+(IF(ArtifactsInput!$M$33,CHOOSE(ArtifactsInput!$N$33+1,30,36,42,48,54,60),0))+(IF(AND(ArtifactsInput!$M$35,Inputs!$B$4&lt;&gt;"Chapter Hunt"),CHOOSE(ArtifactsInput!$N$35+1,15,18,21,24,27,30)*(1-EXP(-(0.2*B1774)*5)),0)+IF(AND(ArtifactsInput!$M$22,Inputs!$B$4&lt;&gt;"Chapter Hunt"),CHOOSE(ArtifactsInput!$N$22+1,10,12,14,16,18,20)*((0*(((0.15*B1774*5))^0/1)+1*(((0.15*B1774*5))^1/1)+2*(((0.15*B1774*5))^2/2)+3*(((0.15*B1774*5))^3/6)+4*(((0.15*B1774*5))^4/24)+5*(((0.15*B1774*5))^5/120))/((((0.15*B1774*5))^0/1)+(((0.15*B1774*5))^1/1)+(((0.15*B1774*5))^2/2)+(((0.15*B1774*5))^3/6)+(((0.15*B1774*5))^4/24)+(((0.15*B1774*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56">
      <c r="A1756">
        <f>Skills!A18</f>
        <v/>
      </c>
      <c r="B1756">
        <f>Skills!B18</f>
        <v/>
      </c>
      <c r="C1756">
        <f>Inputs!$B$3&gt;=115</f>
        <v/>
      </c>
      <c r="D1756">
        <f>IF(Skills!C18=1,60+Inputs!$B$25+Inputs!$B$29,IF(Skills!C18=2,90+Inputs!$B$26+Inputs!$B$29,IF(Skills!C18=3,120+Inputs!$B$27+Inputs!$B$29,MAX(0,(Inputs!$B$3-100)*3)+Inputs!$B$28+Inputs!$B$29)))</f>
        <v/>
      </c>
      <c r="E1756">
        <f>INDEX(FactorTable!$B$2:$Y$301, MATCH(ROUND(MIN(300,MAX(1,D1756)),0), FactorTable!$A$2:$A$301,0), Skills!M18+1)</f>
        <v/>
      </c>
      <c r="F1756">
        <f>IF(Skills!N18=TRUE,(Skills!L18/10)*(E1756/1000),Skills!L18/10)+Skills!O18</f>
        <v/>
      </c>
      <c r="G1756">
        <f>Calc!G18</f>
        <v/>
      </c>
      <c r="H1756">
        <f>Calc!H18</f>
        <v/>
      </c>
      <c r="I1756">
        <f>IF(Skills!AA18&lt;&gt;"",1+(Skills!AA18/10)*(U1741/1000)/100,1)</f>
        <v/>
      </c>
      <c r="J1756" t="inlineStr"/>
      <c r="K1756" t="inlineStr"/>
      <c r="L1756" t="inlineStr"/>
      <c r="M1756" t="inlineStr"/>
      <c r="N1756" t="inlineStr"/>
      <c r="O1756">
        <f>(1-Summary!$B$11)*T1756+Summary!$B$11*V1756</f>
        <v/>
      </c>
      <c r="P1756">
        <f>IF(B1782=0,0,O1756/B1782)</f>
        <v/>
      </c>
      <c r="Q1756" t="n">
        <v>0</v>
      </c>
      <c r="R1756" t="n">
        <v>0</v>
      </c>
      <c r="S1756">
        <f>IFERROR(O1756/N1756,0)</f>
        <v/>
      </c>
      <c r="T1756" t="n">
        <v>0</v>
      </c>
      <c r="V1756" t="n">
        <v>0</v>
      </c>
    </row>
    <row r="1757">
      <c r="A1757">
        <f>Skills!A19</f>
        <v/>
      </c>
      <c r="B1757">
        <f>Skills!B19</f>
        <v/>
      </c>
      <c r="C1757">
        <f>TRUE</f>
        <v/>
      </c>
      <c r="D1757">
        <f>IF(Skills!C19=1,60+Inputs!$B$25+Inputs!$B$29,IF(Skills!C19=2,90+Inputs!$B$26+Inputs!$B$29,IF(Skills!C19=3,120+Inputs!$B$27+Inputs!$B$29,MAX(0,(Inputs!$B$3-100)*3)+Inputs!$B$28+Inputs!$B$29)))</f>
        <v/>
      </c>
      <c r="E1757">
        <f>INDEX(FactorTable!$B$2:$Y$301, MATCH(ROUND(MIN(300,MAX(1,D1757)),0), FactorTable!$A$2:$A$301,0), Skills!M19+1)</f>
        <v/>
      </c>
      <c r="F1757">
        <f>IF(Skills!N19=TRUE,(Skills!L19/10)*(E1757/1000),Skills!L19/10)+Skills!O19</f>
        <v/>
      </c>
      <c r="G1757">
        <f>Calc!G19</f>
        <v/>
      </c>
      <c r="H1757">
        <f>Calc!H19</f>
        <v/>
      </c>
      <c r="I1757">
        <f>IF(Skills!AA19&lt;&gt;"",1+(Skills!AA19/10)*(U1741/1000)/100,1)</f>
        <v/>
      </c>
      <c r="J1757" t="inlineStr"/>
      <c r="K1757" t="inlineStr"/>
      <c r="L1757" t="inlineStr"/>
      <c r="M1757" t="inlineStr"/>
      <c r="N1757" t="inlineStr"/>
      <c r="O1757">
        <f>(1-Summary!$B$11)*T1757+Summary!$B$11*V1757</f>
        <v/>
      </c>
      <c r="P1757">
        <f>IF(B1782=0,0,O1757/B1782)</f>
        <v/>
      </c>
      <c r="Q1757">
        <f>IFERROR(1/IF(Inputs!$B$39="pvp",15,MAX(0.1,Skills!D19-IF(Skills!E19=TRUE,Inputs!$B$32,0))),0)</f>
        <v/>
      </c>
      <c r="R1757">
        <f>IF(AND(Inputs!$B$39&lt;&gt;"pvp",Inputs!$B$44&gt;0),IF(Inputs!$B$44&lt;=0,0,(INT(Inputs!$B$44/IF(Inputs!$B$39="pvp",15,MAX(0.1,Skills!D19-IF(Skills!E19=TRUE,Inputs!$B$32,0))))+1)),0)</f>
        <v/>
      </c>
      <c r="S1757">
        <f>IFERROR(O1757/N1757,0)</f>
        <v/>
      </c>
      <c r="T1757" t="n">
        <v>0</v>
      </c>
      <c r="V1757" t="n">
        <v>0</v>
      </c>
    </row>
    <row r="1758">
      <c r="A1758">
        <f>Skills!A20</f>
        <v/>
      </c>
      <c r="B1758">
        <f>Skills!B20</f>
        <v/>
      </c>
      <c r="C1758">
        <f>Inputs!$B$3&gt;=15</f>
        <v/>
      </c>
      <c r="D1758">
        <f>IF(Skills!C20=1,60+Inputs!$B$25+Inputs!$B$29,IF(Skills!C20=2,90+Inputs!$B$26+Inputs!$B$29,IF(Skills!C20=3,120+Inputs!$B$27+Inputs!$B$29,MAX(0,(Inputs!$B$3-100)*3)+Inputs!$B$28+Inputs!$B$29)))</f>
        <v/>
      </c>
      <c r="E1758">
        <f>INDEX(FactorTable!$B$2:$Y$301, MATCH(ROUND(MIN(300,MAX(1,D1758)),0), FactorTable!$A$2:$A$301,0), Skills!M20+1)</f>
        <v/>
      </c>
      <c r="F1758">
        <f>IF(Skills!N20=TRUE,(Skills!L20/10)*(E1758/1000),Skills!L20/10)+Skills!O20</f>
        <v/>
      </c>
      <c r="G1758">
        <f>Calc!G20</f>
        <v/>
      </c>
      <c r="H1758">
        <f>Calc!H20</f>
        <v/>
      </c>
      <c r="I1758">
        <f>IF(Skills!AA20&lt;&gt;"",1+(Skills!AA20/10)*(U1741/1000)/100,1)</f>
        <v/>
      </c>
      <c r="J1758" t="inlineStr"/>
      <c r="K1758" t="inlineStr"/>
      <c r="L1758" t="inlineStr"/>
      <c r="M1758" t="inlineStr"/>
      <c r="N1758" t="inlineStr"/>
      <c r="O1758">
        <f>(1-Summary!$B$11)*T1758+Summary!$B$11*V1758</f>
        <v/>
      </c>
      <c r="P1758">
        <f>IF(B1782=0,0,O1758/B1782)</f>
        <v/>
      </c>
      <c r="Q1758">
        <f>IFERROR(1/IF(Inputs!$B$39="pvp",15,MAX(0.1,Skills!D20-IF(Skills!E20=TRUE,Inputs!$B$32,0))),0)</f>
        <v/>
      </c>
      <c r="R1758">
        <f>IF(AND(Inputs!$B$39&lt;&gt;"pvp",Inputs!$B$44&gt;0),IF(Inputs!$B$44&lt;=0,0,(INT(Inputs!$B$44/IF(Inputs!$B$39="pvp",15,MAX(0.1,Skills!D20-IF(Skills!E20=TRUE,Inputs!$B$32,0))))+1)),0)</f>
        <v/>
      </c>
      <c r="S1758">
        <f>IFERROR(O1758/N1758,0)</f>
        <v/>
      </c>
      <c r="T1758" t="n">
        <v>0</v>
      </c>
      <c r="V1758" t="n">
        <v>0</v>
      </c>
    </row>
    <row r="1759">
      <c r="A1759">
        <f>Skills!A21</f>
        <v/>
      </c>
      <c r="B1759">
        <f>Skills!B21</f>
        <v/>
      </c>
      <c r="C1759">
        <f>Inputs!$B$3&gt;=15</f>
        <v/>
      </c>
      <c r="D1759">
        <f>IF(Skills!C21=1,60+Inputs!$B$25+Inputs!$B$29,IF(Skills!C21=2,90+Inputs!$B$26+Inputs!$B$29,IF(Skills!C21=3,120+Inputs!$B$27+Inputs!$B$29,MAX(0,(Inputs!$B$3-100)*3)+Inputs!$B$28+Inputs!$B$29)))</f>
        <v/>
      </c>
      <c r="E1759">
        <f>INDEX(FactorTable!$B$2:$Y$301, MATCH(ROUND(MIN(300,MAX(1,D1759)),0), FactorTable!$A$2:$A$301,0), Skills!M21+1)</f>
        <v/>
      </c>
      <c r="F1759">
        <f>IF(Skills!N21=TRUE,(Skills!L21/10)*(E1759/1000),Skills!L21/10)+Skills!O21</f>
        <v/>
      </c>
      <c r="G1759">
        <f>Calc!G21</f>
        <v/>
      </c>
      <c r="H1759">
        <f>Calc!H21</f>
        <v/>
      </c>
      <c r="I1759">
        <f>IF(Skills!AA21&lt;&gt;"",1+(Skills!AA21/10)*(U1741/1000)/100,1)</f>
        <v/>
      </c>
      <c r="J1759" t="inlineStr"/>
      <c r="K1759" t="inlineStr"/>
      <c r="L1759" t="inlineStr"/>
      <c r="M1759" t="inlineStr"/>
      <c r="N1759" t="inlineStr"/>
      <c r="O1759">
        <f>(1-Summary!$B$11)*T1759+Summary!$B$11*V1759</f>
        <v/>
      </c>
      <c r="P1759">
        <f>IF(B1782=0,0,O1759/B1782)</f>
        <v/>
      </c>
      <c r="Q1759">
        <f>IFERROR(1/IF(Inputs!$B$39="pvp",15,MAX(0.1,Skills!D21-IF(Skills!E21=TRUE,Inputs!$B$32,0))),0)</f>
        <v/>
      </c>
      <c r="R1759">
        <f>IF(AND(Inputs!$B$39&lt;&gt;"pvp",Inputs!$B$44&gt;0),IF(Inputs!$B$44&lt;=0,0,(INT(Inputs!$B$44/IF(Inputs!$B$39="pvp",15,MAX(0.1,Skills!D21-IF(Skills!E21=TRUE,Inputs!$B$32,0))))+1)),0)</f>
        <v/>
      </c>
      <c r="S1759">
        <f>IFERROR(O1759/N1759,0)</f>
        <v/>
      </c>
      <c r="T1759" t="n">
        <v>0</v>
      </c>
      <c r="V1759" t="n">
        <v>0</v>
      </c>
    </row>
    <row r="1760">
      <c r="A1760">
        <f>Skills!A22</f>
        <v/>
      </c>
      <c r="B1760">
        <f>Skills!B22</f>
        <v/>
      </c>
      <c r="C1760">
        <f>Inputs!$B$3&gt;=33</f>
        <v/>
      </c>
      <c r="D1760">
        <f>IF(Skills!C22=1,60+Inputs!$B$25+Inputs!$B$29,IF(Skills!C22=2,90+Inputs!$B$26+Inputs!$B$29,IF(Skills!C22=3,120+Inputs!$B$27+Inputs!$B$29,MAX(0,(Inputs!$B$3-100)*3)+Inputs!$B$28+Inputs!$B$29)))</f>
        <v/>
      </c>
      <c r="E1760">
        <f>INDEX(FactorTable!$B$2:$Y$301, MATCH(ROUND(MIN(300,MAX(1,D1760)),0), FactorTable!$A$2:$A$301,0), Skills!M22+1)</f>
        <v/>
      </c>
      <c r="F1760">
        <f>IF(Skills!N22=TRUE,(Skills!L22/10)*(E1760/1000),Skills!L22/10)+Skills!O22</f>
        <v/>
      </c>
      <c r="G1760">
        <f>Calc!G22</f>
        <v/>
      </c>
      <c r="H1760">
        <f>Calc!H22</f>
        <v/>
      </c>
      <c r="I1760">
        <f>IF(Skills!AA22&lt;&gt;"",1+(Skills!AA22/10)*(U1741/1000)/100,1)</f>
        <v/>
      </c>
      <c r="J1760" t="inlineStr"/>
      <c r="K1760" t="inlineStr"/>
      <c r="L1760" t="inlineStr"/>
      <c r="M1760" t="inlineStr"/>
      <c r="N1760" t="inlineStr"/>
      <c r="O1760">
        <f>(1-Summary!$B$11)*T1760+Summary!$B$11*V1760</f>
        <v/>
      </c>
      <c r="P1760">
        <f>IF(B1782=0,0,O1760/B1782)</f>
        <v/>
      </c>
      <c r="Q1760" t="n">
        <v>0</v>
      </c>
      <c r="R1760" t="n">
        <v>0</v>
      </c>
      <c r="S1760">
        <f>IFERROR(O1760/N1760,0)</f>
        <v/>
      </c>
      <c r="T1760" t="n">
        <v>0</v>
      </c>
      <c r="V1760" t="n">
        <v>0</v>
      </c>
    </row>
    <row r="1761">
      <c r="A1761">
        <f>Skills!A23</f>
        <v/>
      </c>
      <c r="B1761">
        <f>Skills!B23</f>
        <v/>
      </c>
      <c r="C1761">
        <f>Inputs!$B$3&gt;=38</f>
        <v/>
      </c>
      <c r="D1761">
        <f>IF(Skills!C23=1,60+Inputs!$B$25+Inputs!$B$29,IF(Skills!C23=2,90+Inputs!$B$26+Inputs!$B$29,IF(Skills!C23=3,120+Inputs!$B$27+Inputs!$B$29,MAX(0,(Inputs!$B$3-100)*3)+Inputs!$B$28+Inputs!$B$29)))</f>
        <v/>
      </c>
      <c r="E1761">
        <f>INDEX(FactorTable!$B$2:$Y$301, MATCH(ROUND(MIN(300,MAX(1,D1761)),0), FactorTable!$A$2:$A$301,0), Skills!M23+1)</f>
        <v/>
      </c>
      <c r="F1761">
        <f>IF(Skills!N23=TRUE,(Skills!L23/10)*(E1761/1000),Skills!L23/10)+Skills!O23</f>
        <v/>
      </c>
      <c r="G1761">
        <f>Calc!G23</f>
        <v/>
      </c>
      <c r="H1761">
        <f>Calc!H23</f>
        <v/>
      </c>
      <c r="I1761">
        <f>IF(Skills!AA23&lt;&gt;"",1+(Skills!AA23/10)*(U1741/1000)/100,1)</f>
        <v/>
      </c>
      <c r="J1761" t="inlineStr"/>
      <c r="K1761" t="inlineStr"/>
      <c r="L1761" t="inlineStr"/>
      <c r="M1761" t="inlineStr"/>
      <c r="N1761" t="inlineStr"/>
      <c r="O1761">
        <f>(1-Summary!$B$11)*T1761+Summary!$B$11*V1761</f>
        <v/>
      </c>
      <c r="P1761">
        <f>IF(B1782=0,0,O1761/B1782)</f>
        <v/>
      </c>
      <c r="Q1761" t="n">
        <v>0</v>
      </c>
      <c r="R1761" t="n">
        <v>0</v>
      </c>
      <c r="S1761">
        <f>IFERROR(O1761/N1761,0)</f>
        <v/>
      </c>
      <c r="T1761" t="n">
        <v>0</v>
      </c>
      <c r="V1761" t="n">
        <v>0</v>
      </c>
    </row>
    <row r="1762">
      <c r="A1762">
        <f>Skills!A24</f>
        <v/>
      </c>
      <c r="B1762">
        <f>Skills!B24</f>
        <v/>
      </c>
      <c r="C1762">
        <f>Inputs!$B$3&gt;=40</f>
        <v/>
      </c>
      <c r="D1762">
        <f>IF(Skills!C24=1,60+Inputs!$B$25+Inputs!$B$29,IF(Skills!C24=2,90+Inputs!$B$26+Inputs!$B$29,IF(Skills!C24=3,120+Inputs!$B$27+Inputs!$B$29,MAX(0,(Inputs!$B$3-100)*3)+Inputs!$B$28+Inputs!$B$29)))</f>
        <v/>
      </c>
      <c r="E1762">
        <f>INDEX(FactorTable!$B$2:$Y$301, MATCH(ROUND(MIN(300,MAX(1,D1762)),0), FactorTable!$A$2:$A$301,0), Skills!M24+1)</f>
        <v/>
      </c>
      <c r="F1762">
        <f>IF(Skills!N24=TRUE,(Skills!L24/10)*(E1762/1000),Skills!L24/10)+Skills!O24</f>
        <v/>
      </c>
      <c r="G1762">
        <f>Calc!G24</f>
        <v/>
      </c>
      <c r="H1762">
        <f>Calc!H24</f>
        <v/>
      </c>
      <c r="I1762">
        <f>IF(Skills!AA24&lt;&gt;"",1+(Skills!AA24/10)*(U1741/1000)/100,1)</f>
        <v/>
      </c>
      <c r="J1762" t="inlineStr"/>
      <c r="K1762" t="inlineStr"/>
      <c r="L1762" t="inlineStr"/>
      <c r="M1762" t="inlineStr"/>
      <c r="N1762" t="inlineStr"/>
      <c r="O1762">
        <f>(1-Summary!$B$11)*T1762+Summary!$B$11*V1762</f>
        <v/>
      </c>
      <c r="P1762">
        <f>IF(B1782=0,0,O1762/B1782)</f>
        <v/>
      </c>
      <c r="Q1762" t="n">
        <v>0</v>
      </c>
      <c r="R1762" t="n">
        <v>0</v>
      </c>
      <c r="S1762">
        <f>IFERROR(O1762/N1762,0)</f>
        <v/>
      </c>
      <c r="T1762" t="n">
        <v>0</v>
      </c>
      <c r="V1762" t="n">
        <v>0</v>
      </c>
    </row>
    <row r="1763">
      <c r="A1763">
        <f>Skills!A25</f>
        <v/>
      </c>
      <c r="B1763">
        <f>Skills!B25</f>
        <v/>
      </c>
      <c r="C1763">
        <f>Inputs!$B$3&gt;=45</f>
        <v/>
      </c>
      <c r="D1763">
        <f>IF(Skills!C25=1,60+Inputs!$B$25+Inputs!$B$29,IF(Skills!C25=2,90+Inputs!$B$26+Inputs!$B$29,IF(Skills!C25=3,120+Inputs!$B$27+Inputs!$B$29,MAX(0,(Inputs!$B$3-100)*3)+Inputs!$B$28+Inputs!$B$29)))</f>
        <v/>
      </c>
      <c r="E1763">
        <f>INDEX(FactorTable!$B$2:$Y$301, MATCH(ROUND(MIN(300,MAX(1,D1763)),0), FactorTable!$A$2:$A$301,0), Skills!M25+1)</f>
        <v/>
      </c>
      <c r="F1763">
        <f>IF(Skills!N25=TRUE,(Skills!L25/10)*(E1763/1000),Skills!L25/10)+Skills!O25</f>
        <v/>
      </c>
      <c r="G1763">
        <f>Calc!G25</f>
        <v/>
      </c>
      <c r="H1763">
        <f>Calc!H25</f>
        <v/>
      </c>
      <c r="I1763">
        <f>IF(Skills!AA25&lt;&gt;"",1+(Skills!AA25/10)*(U1741/1000)/100,1)</f>
        <v/>
      </c>
      <c r="J1763" t="inlineStr"/>
      <c r="K1763" t="inlineStr"/>
      <c r="L1763" t="inlineStr"/>
      <c r="M1763" t="inlineStr"/>
      <c r="N1763" t="inlineStr"/>
      <c r="O1763">
        <f>(1-Summary!$B$11)*T1763+Summary!$B$11*V1763</f>
        <v/>
      </c>
      <c r="P1763">
        <f>IF(B1782=0,0,O1763/B1782)</f>
        <v/>
      </c>
      <c r="Q1763" t="n">
        <v>0</v>
      </c>
      <c r="R1763" t="n">
        <v>0</v>
      </c>
      <c r="S1763">
        <f>IFERROR(O1763/N1763,0)</f>
        <v/>
      </c>
      <c r="T1763" t="n">
        <v>0</v>
      </c>
      <c r="V1763" t="n">
        <v>0</v>
      </c>
    </row>
    <row r="1764">
      <c r="A1764">
        <f>Skills!A26</f>
        <v/>
      </c>
      <c r="B1764">
        <f>Skills!B26</f>
        <v/>
      </c>
      <c r="C1764">
        <f>Inputs!$B$3&gt;=45</f>
        <v/>
      </c>
      <c r="D1764">
        <f>IF(Skills!C26=1,60+Inputs!$B$25+Inputs!$B$29,IF(Skills!C26=2,90+Inputs!$B$26+Inputs!$B$29,IF(Skills!C26=3,120+Inputs!$B$27+Inputs!$B$29,MAX(0,(Inputs!$B$3-100)*3)+Inputs!$B$28+Inputs!$B$29)))</f>
        <v/>
      </c>
      <c r="E1764">
        <f>INDEX(FactorTable!$B$2:$Y$301, MATCH(ROUND(MIN(300,MAX(1,D1764)),0), FactorTable!$A$2:$A$301,0), Skills!M26+1)</f>
        <v/>
      </c>
      <c r="F1764">
        <f>IF(Skills!N26=TRUE,(Skills!L26/10)*(E1764/1000),Skills!L26/10)+Skills!O26</f>
        <v/>
      </c>
      <c r="G1764">
        <f>Calc!G26</f>
        <v/>
      </c>
      <c r="H1764">
        <f>Calc!H26</f>
        <v/>
      </c>
      <c r="I1764">
        <f>IF(Skills!AA26&lt;&gt;"",1+(Skills!AA26/10)*(U1741/1000)/100,1)</f>
        <v/>
      </c>
      <c r="J1764" t="inlineStr"/>
      <c r="K1764" t="inlineStr"/>
      <c r="L1764" t="inlineStr"/>
      <c r="M1764" t="inlineStr"/>
      <c r="N1764" t="inlineStr"/>
      <c r="O1764">
        <f>(1-Summary!$B$11)*T1764+Summary!$B$11*V1764</f>
        <v/>
      </c>
      <c r="P1764">
        <f>IF(B1782=0,0,O1764/B1782)</f>
        <v/>
      </c>
      <c r="Q1764" t="n">
        <v>0</v>
      </c>
      <c r="R1764" t="n">
        <v>0</v>
      </c>
      <c r="S1764">
        <f>IFERROR(O1764/N1764,0)</f>
        <v/>
      </c>
      <c r="T1764" t="n">
        <v>0</v>
      </c>
      <c r="V1764" t="n">
        <v>0</v>
      </c>
    </row>
    <row r="1765">
      <c r="A1765">
        <f>Skills!A27</f>
        <v/>
      </c>
      <c r="B1765">
        <f>Skills!B27</f>
        <v/>
      </c>
      <c r="C1765">
        <f>Inputs!$B$3&gt;=72</f>
        <v/>
      </c>
      <c r="D1765">
        <f>IF(Skills!C27=1,60+Inputs!$B$25+Inputs!$B$29,IF(Skills!C27=2,90+Inputs!$B$26+Inputs!$B$29,IF(Skills!C27=3,120+Inputs!$B$27+Inputs!$B$29,MAX(0,(Inputs!$B$3-100)*3)+Inputs!$B$28+Inputs!$B$29)))</f>
        <v/>
      </c>
      <c r="E1765">
        <f>INDEX(FactorTable!$B$2:$Y$301, MATCH(ROUND(MIN(300,MAX(1,D1765)),0), FactorTable!$A$2:$A$301,0), Skills!M27+1)</f>
        <v/>
      </c>
      <c r="F1765">
        <f>IF(Skills!N27=TRUE,(Skills!L27/10)*(E1765/1000),Skills!L27/10)+Skills!O27</f>
        <v/>
      </c>
      <c r="G1765">
        <f>Calc!G27</f>
        <v/>
      </c>
      <c r="H1765">
        <f>Calc!H27</f>
        <v/>
      </c>
      <c r="I1765">
        <f>IF(Skills!AA27&lt;&gt;"",1+(Skills!AA27/10)*(U1741/1000)/100,1)</f>
        <v/>
      </c>
      <c r="J1765" t="inlineStr"/>
      <c r="K1765" t="inlineStr"/>
      <c r="L1765" t="inlineStr"/>
      <c r="M1765" t="inlineStr"/>
      <c r="N1765" t="inlineStr"/>
      <c r="O1765">
        <f>(1-Summary!$B$11)*T1765+Summary!$B$11*V1765</f>
        <v/>
      </c>
      <c r="P1765">
        <f>IF(B1782=0,0,O1765/B1782)</f>
        <v/>
      </c>
      <c r="Q1765" t="n">
        <v>0</v>
      </c>
      <c r="R1765" t="n">
        <v>0</v>
      </c>
      <c r="S1765">
        <f>IFERROR(O1765/N1765,0)</f>
        <v/>
      </c>
      <c r="T1765" t="n">
        <v>0</v>
      </c>
      <c r="V1765" t="n">
        <v>0</v>
      </c>
    </row>
    <row r="1766">
      <c r="A1766">
        <f>Skills!A28</f>
        <v/>
      </c>
      <c r="B1766">
        <f>Skills!B28</f>
        <v/>
      </c>
      <c r="C1766">
        <f>Inputs!$B$3&gt;=75</f>
        <v/>
      </c>
      <c r="D1766">
        <f>IF(Skills!C28=1,60+Inputs!$B$25+Inputs!$B$29,IF(Skills!C28=2,90+Inputs!$B$26+Inputs!$B$29,IF(Skills!C28=3,120+Inputs!$B$27+Inputs!$B$29,MAX(0,(Inputs!$B$3-100)*3)+Inputs!$B$28+Inputs!$B$29)))</f>
        <v/>
      </c>
      <c r="E1766">
        <f>INDEX(FactorTable!$B$2:$Y$301, MATCH(ROUND(MIN(300,MAX(1,D1766)),0), FactorTable!$A$2:$A$301,0), Skills!M28+1)</f>
        <v/>
      </c>
      <c r="F1766">
        <f>IF(Skills!N28=TRUE,(Skills!L28/10)*(E1766/1000),Skills!L28/10)+Skills!O28</f>
        <v/>
      </c>
      <c r="G1766">
        <f>Calc!G28</f>
        <v/>
      </c>
      <c r="H1766">
        <f>Calc!H28</f>
        <v/>
      </c>
      <c r="I1766">
        <f>IF(Skills!AA28&lt;&gt;"",1+(Skills!AA28/10)*(U1741/1000)/100,1)</f>
        <v/>
      </c>
      <c r="J1766" t="inlineStr"/>
      <c r="K1766" t="inlineStr"/>
      <c r="L1766" t="inlineStr"/>
      <c r="M1766" t="inlineStr"/>
      <c r="N1766" t="inlineStr"/>
      <c r="O1766">
        <f>(1-Summary!$B$11)*T1766+Summary!$B$11*V1766</f>
        <v/>
      </c>
      <c r="P1766">
        <f>IF(B1782=0,0,O1766/B1782)</f>
        <v/>
      </c>
      <c r="Q1766" t="n">
        <v>0</v>
      </c>
      <c r="R1766" t="n">
        <v>0</v>
      </c>
      <c r="S1766">
        <f>IFERROR(O1766/N1766,0)</f>
        <v/>
      </c>
      <c r="T1766" t="n">
        <v>0</v>
      </c>
      <c r="V1766" t="n">
        <v>0</v>
      </c>
    </row>
    <row r="1767">
      <c r="A1767">
        <f>Skills!A29</f>
        <v/>
      </c>
      <c r="B1767">
        <f>Skills!B29</f>
        <v/>
      </c>
      <c r="C1767">
        <f>Inputs!$B$3&gt;=120</f>
        <v/>
      </c>
      <c r="D1767">
        <f>IF(Skills!C29=1,60+Inputs!$B$25+Inputs!$B$29,IF(Skills!C29=2,90+Inputs!$B$26+Inputs!$B$29,IF(Skills!C29=3,120+Inputs!$B$27+Inputs!$B$29,MAX(0,(Inputs!$B$3-100)*3)+Inputs!$B$28+Inputs!$B$29)))</f>
        <v/>
      </c>
      <c r="E1767">
        <f>INDEX(FactorTable!$B$2:$Y$301, MATCH(ROUND(MIN(300,MAX(1,D1767)),0), FactorTable!$A$2:$A$301,0), Skills!M29+1)</f>
        <v/>
      </c>
      <c r="F1767">
        <f>IF(Skills!N29=TRUE,(Skills!L29/10)*(E1767/1000),Skills!L29/10)+Skills!O29</f>
        <v/>
      </c>
      <c r="G1767">
        <f>Calc!G29</f>
        <v/>
      </c>
      <c r="H1767">
        <f>Calc!H29</f>
        <v/>
      </c>
      <c r="I1767">
        <f>IF(Skills!AA29&lt;&gt;"",1+(Skills!AA29/10)*(U1741/1000)/100,1)</f>
        <v/>
      </c>
      <c r="J1767" t="inlineStr"/>
      <c r="K1767" t="inlineStr"/>
      <c r="L1767" t="inlineStr"/>
      <c r="M1767" t="inlineStr"/>
      <c r="N1767" t="inlineStr"/>
      <c r="O1767">
        <f>(1-Summary!$B$11)*T1767+Summary!$B$11*V1767</f>
        <v/>
      </c>
      <c r="P1767">
        <f>IF(B1782=0,0,O1767/B1782)</f>
        <v/>
      </c>
      <c r="Q1767" t="n">
        <v>0</v>
      </c>
      <c r="R1767" t="n">
        <v>0</v>
      </c>
      <c r="S1767">
        <f>IFERROR(O1767/N1767,0)</f>
        <v/>
      </c>
      <c r="T1767" t="n">
        <v>0</v>
      </c>
      <c r="V1767" t="n">
        <v>0</v>
      </c>
    </row>
    <row r="1768">
      <c r="A1768">
        <f>Skills!A30</f>
        <v/>
      </c>
      <c r="B1768">
        <f>Skills!B30</f>
        <v/>
      </c>
      <c r="C1768">
        <f>Inputs!$B$3&gt;=125</f>
        <v/>
      </c>
      <c r="D1768">
        <f>IF(Skills!C30=1,60+Inputs!$B$25+Inputs!$B$29,IF(Skills!C30=2,90+Inputs!$B$26+Inputs!$B$29,IF(Skills!C30=3,120+Inputs!$B$27+Inputs!$B$29,MAX(0,(Inputs!$B$3-100)*3)+Inputs!$B$28+Inputs!$B$29)))</f>
        <v/>
      </c>
      <c r="E1768">
        <f>INDEX(FactorTable!$B$2:$Y$301, MATCH(ROUND(MIN(300,MAX(1,D1768)),0), FactorTable!$A$2:$A$301,0), Skills!M30+1)</f>
        <v/>
      </c>
      <c r="F1768">
        <f>IF(Skills!N30=TRUE,(Skills!L30/10)*(E1768/1000),Skills!L30/10)+Skills!O30</f>
        <v/>
      </c>
      <c r="G1768">
        <f>Calc!G30</f>
        <v/>
      </c>
      <c r="H1768">
        <f>Calc!H30</f>
        <v/>
      </c>
      <c r="I1768">
        <f>IF(Skills!AA30&lt;&gt;"",1+(Skills!AA30/10)*(U1741/1000)/100,1)</f>
        <v/>
      </c>
      <c r="J1768" t="inlineStr"/>
      <c r="K1768" t="inlineStr"/>
      <c r="L1768" t="inlineStr"/>
      <c r="M1768" t="inlineStr"/>
      <c r="N1768" t="inlineStr"/>
      <c r="O1768">
        <f>(1-Summary!$B$11)*T1768+Summary!$B$11*V1768</f>
        <v/>
      </c>
      <c r="P1768">
        <f>IF(B1782=0,0,O1768/B1782)</f>
        <v/>
      </c>
      <c r="Q1768" t="n">
        <v>0</v>
      </c>
      <c r="R1768" t="n">
        <v>0</v>
      </c>
      <c r="S1768">
        <f>IFERROR(O1768/N1768,0)</f>
        <v/>
      </c>
      <c r="T1768" t="n">
        <v>0</v>
      </c>
      <c r="V1768" t="n">
        <v>0</v>
      </c>
    </row>
    <row r="1769">
      <c r="A1769">
        <f>Skills!A31</f>
        <v/>
      </c>
      <c r="B1769">
        <f>Skills!B31</f>
        <v/>
      </c>
      <c r="C1769">
        <f>Inputs!$B$3&gt;=107</f>
        <v/>
      </c>
      <c r="D1769">
        <f>IF(Skills!C31=1,60+Inputs!$B$25+Inputs!$B$29,IF(Skills!C31=2,90+Inputs!$B$26+Inputs!$B$29,IF(Skills!C31=3,120+Inputs!$B$27+Inputs!$B$29,MAX(0,(Inputs!$B$3-100)*3)+Inputs!$B$28+Inputs!$B$29)))</f>
        <v/>
      </c>
      <c r="E1769">
        <f>INDEX(FactorTable!$B$2:$Y$301, MATCH(ROUND(MIN(300,MAX(1,D1769)),0), FactorTable!$A$2:$A$301,0), Skills!M31+1)</f>
        <v/>
      </c>
      <c r="F1769">
        <f>IF(Skills!N31=TRUE,(Skills!L31/10)*(E1769/1000),Skills!L31/10)+Skills!O31</f>
        <v/>
      </c>
      <c r="G1769">
        <f>Calc!G31</f>
        <v/>
      </c>
      <c r="H1769">
        <f>Calc!H31</f>
        <v/>
      </c>
      <c r="I1769">
        <f>IF(Skills!AA31&lt;&gt;"",1+(Skills!AA31/10)*(U1741/1000)/100,1)</f>
        <v/>
      </c>
      <c r="J1769" t="inlineStr"/>
      <c r="K1769" t="inlineStr"/>
      <c r="L1769" t="inlineStr"/>
      <c r="M1769" t="inlineStr"/>
      <c r="N1769" t="inlineStr"/>
      <c r="O1769">
        <f>(1-Summary!$B$11)*T1769+Summary!$B$11*V1769</f>
        <v/>
      </c>
      <c r="P1769">
        <f>IF(B1782=0,0,O1769/B1782)</f>
        <v/>
      </c>
      <c r="Q1769" t="n">
        <v>0</v>
      </c>
      <c r="R1769" t="n">
        <v>0</v>
      </c>
      <c r="S1769">
        <f>IFERROR(O1769/N1769,0)</f>
        <v/>
      </c>
      <c r="T1769" t="n">
        <v>0</v>
      </c>
      <c r="V1769" t="n">
        <v>0</v>
      </c>
    </row>
    <row r="1771">
      <c r="A1771" t="inlineStr">
        <is>
          <t>Actions Per Second (pre-Adrenalin)</t>
        </is>
      </c>
      <c r="B1771">
        <f>1+MIN(150,150*(1-(1-(Inputs!$B$11+((C1760=TRUE)*(F1760-Calc!F22))+(ArtifactsInput!$M$15-ArtifactsInput!$M$15)*CHOOSE(ArtifactsInput!$N$15+1,8,9.6,11.2,12.8,14.4,16))/150)*(1-((C1757=TRUE)*F1757*IF(AND(Inputs!$B$39&lt;&gt;"pvp",Inputs!$B$44&gt;0),(((R1757-1)*(Skills!Y19*(1+Inputs!$B$34/100))+MIN((Skills!Y19*(1+Inputs!$B$34/100)),MAX(0,Inputs!$B$44-((R1757-1)*Skills!D19))))/Inputs!$B$44),IF(Inputs!$B$39="pvp",MIN((Skills!Y19*(1+Inputs!$B$34/100)),15)/15,(Skills!Y19*(1+Inputs!$B$34/100))/Skills!D19)))/150)))/100</f>
        <v/>
      </c>
    </row>
    <row r="1772">
      <c r="A1772" t="inlineStr">
        <is>
          <t>Alchemic Adrenaline Uptime</t>
        </is>
      </c>
      <c r="B1772">
        <f>(Skills!Y6*(1+Inputs!$B$34/100))/((Skills!Y6*(1+Inputs!$B$34/100))+(5/B1771))</f>
        <v/>
      </c>
    </row>
    <row r="1773">
      <c r="A1773" t="inlineStr">
        <is>
          <t>Attack Speed Buff Bonus %</t>
        </is>
      </c>
      <c r="B1773">
        <f>((C1757=TRUE)*F1757*IF(AND(Inputs!$B$39&lt;&gt;"pvp",Inputs!$B$44&gt;0),(((R1757-1)*(Skills!Y19*(1+Inputs!$B$34/100))+MIN((Skills!Y19*(1+Inputs!$B$34/100)),MAX(0,Inputs!$B$44-((R1757-1)*Skills!D19))))/Inputs!$B$44),IF(Inputs!$B$39="pvp",MIN((Skills!Y19*(1+Inputs!$B$34/100)),15)/15,(Skills!Y19*(1+Inputs!$B$34/100))/Skills!D19)))+((C1745=TRUE)*F1745*B1772)</f>
        <v/>
      </c>
    </row>
    <row r="1774">
      <c r="A1774" t="inlineStr">
        <is>
          <t>Actions Per Second (final)</t>
        </is>
      </c>
      <c r="B1774">
        <f>1+MIN(150,150*(1-(1-(Inputs!$B$11+((C1760=TRUE)*(F1760-Calc!F22))+(ArtifactsInput!$M$15-ArtifactsInput!$M$15)*CHOOSE(ArtifactsInput!$N$15+1,8,9.6,11.2,12.8,14.4,16))/150)*(1-B1773/150)))/100</f>
        <v/>
      </c>
    </row>
    <row r="1775">
      <c r="A1775" t="inlineStr">
        <is>
          <t>Skill + Buff Cast Rate</t>
        </is>
      </c>
      <c r="B1775">
        <f>IF(AND(Inputs!$B$39&lt;&gt;"pvp",Inputs!$B$44&gt;0),SUMPRODUCT((Skills!E2:E31=TRUE)*(C1740:C1769=TRUE)*R1740:R1769*Skills!F2:F31)/Inputs!$B$44,SUMPRODUCT((Skills!E2:E31=TRUE)*(C1740:C1769=TRUE)*Q1740:Q1769*Skills!F2:F31))</f>
        <v/>
      </c>
    </row>
    <row r="1776">
      <c r="A1776" t="inlineStr">
        <is>
          <t>Showdown Casts Per Second</t>
        </is>
      </c>
      <c r="B1776">
        <f>MAX(0,B1774-B1775)</f>
        <v/>
      </c>
    </row>
    <row r="1777">
      <c r="A1777" t="inlineStr">
        <is>
          <t>Average Buff Multiplier</t>
        </is>
      </c>
      <c r="B1777">
        <f>(1+(((C1759=TRUE)*F1759*IF(AND(Inputs!$B$39&lt;&gt;"pvp",Inputs!$B$44&gt;0),(((R1759-1)*(Skills!Y21*(1+Inputs!$B$34/100))+MIN((Skills!Y21*(1+Inputs!$B$34/100)),MAX(0,Inputs!$B$44-((R1759-1)*Skills!D21))))/Inputs!$B$44),IF(Inputs!$B$39="pvp",MIN((Skills!Y21*(1+Inputs!$B$34/100)),15)/15,(Skills!Y21*(1+Inputs!$B$34/100))/Skills!D21)))+((C1766=TRUE)*(F1766-Calc!F28))+((C1756=TRUE)*(F1756-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1753=TRUE)*F1753*IF(AND(Inputs!$B$39&lt;&gt;"pvp",Inputs!$B$44&gt;0),(((R1753-1)*(Skills!Y15*(1+Inputs!$B$34/100))+MIN((Skills!Y15*(1+Inputs!$B$34/100)),MAX(0,Inputs!$B$44-((R1753-1)*Skills!D15))))/Inputs!$B$44),IF(Inputs!$B$39="pvp",MIN((Skills!Y15*(1+Inputs!$B$34/100)),15)/15,(Skills!Y15*(1+Inputs!$B$34/100))/Skills!D15)))/100)*(1+((C1744=TRUE)*F1744*B1772)/100)</f>
        <v/>
      </c>
    </row>
    <row r="1778">
      <c r="A1778" t="inlineStr">
        <is>
          <t>Global Crit Rate Bonus %</t>
        </is>
      </c>
      <c r="B1778">
        <f>IF(Inputs!$B$3&gt;=47,8,0)+((C1758=TRUE)*F1758*IF(AND(Inputs!$B$39&lt;&gt;"pvp",Inputs!$B$44&gt;0),(((R1758-1)*(Skills!Y20*(1+Inputs!$B$34/100))+MIN((Skills!Y20*(1+Inputs!$B$34/100)),MAX(0,Inputs!$B$44-((R1758-1)*Skills!D20))))/Inputs!$B$44),IF(Inputs!$B$39="pvp",MIN((Skills!Y20*(1+Inputs!$B$34/100)),15)/15,(Skills!Y20*(1+Inputs!$B$34/100))/Skills!D20)))</f>
        <v/>
      </c>
    </row>
    <row r="1779">
      <c r="A1779" t="inlineStr">
        <is>
          <t>Global Monster Damage-Taken Bonus %</t>
        </is>
      </c>
      <c r="B1779">
        <f>IF(Inputs!$B$3&gt;=82,15,0)+((C1754=TRUE)*F1754*IF(AND(Inputs!$B$39&lt;&gt;"pvp",Inputs!$B$44&gt;0),(((R1754-1)*(Skills!Y16*(1+Inputs!$B$34/100))+MIN((Skills!Y16*(1+Inputs!$B$34/100)),MAX(0,Inputs!$B$44-((R1754-1)*Skills!D16))))/Inputs!$B$44),IF(Inputs!$B$39="pvp",MIN((Skills!Y16*(1+Inputs!$B$34/100)),15)/15,(Skills!Y16*(1+Inputs!$B$34/100))/Skills!D16)))</f>
        <v/>
      </c>
    </row>
    <row r="1780">
      <c r="A1780" t="inlineStr">
        <is>
          <t>Shadow Partner Average Multiplier</t>
        </is>
      </c>
      <c r="B1780">
        <f>1+((C1749=TRUE)*F1749*I1749*Skills!J11/100)/100</f>
        <v/>
      </c>
    </row>
    <row r="1781">
      <c r="A1781" t="inlineStr">
        <is>
          <t>Global Critical Damage Bonus % (Frailty Curse Mastery Lv.111)</t>
        </is>
      </c>
      <c r="B1781">
        <f>IF(Inputs!$B$3&gt;=111,30,0)*IF(AND(Inputs!$B$39&lt;&gt;"pvp",Inputs!$B$44&gt;0),(((R1754-1)*(Skills!Y16*(1+Inputs!$B$34/100))+MIN((Skills!Y16*(1+Inputs!$B$34/100)),MAX(0,Inputs!$B$44-((R1754-1)*Skills!D16))))/Inputs!$B$44),IF(Inputs!$B$39="pvp",MIN((Skills!Y16*(1+Inputs!$B$34/100)),15)/15,(Skills!Y16*(1+Inputs!$B$34/100))/Skills!D16))</f>
        <v/>
      </c>
    </row>
    <row r="1782">
      <c r="A1782" s="6" t="inlineStr">
        <is>
          <t>TOTAL DPS</t>
        </is>
      </c>
      <c r="B1782" s="6">
        <f>SUM(O1740:O1769)</f>
        <v/>
      </c>
    </row>
    <row r="1783">
      <c r="A1783" t="inlineStr">
        <is>
          <t>Buff-Casting Startup Delay (s, fixed-duration only)</t>
        </is>
      </c>
      <c r="B1783">
        <f>IF(AND(Inputs!$B$39&lt;&gt;"pvp",Inputs!$B$44&gt;0),SUMPRODUCT((Skills!Y2:Y31&gt;0)*(Skills!E2:E31=TRUE)*(C1740:C1769=TRUE))/B1774,0)</f>
        <v/>
      </c>
    </row>
    <row r="1784">
      <c r="A1784" t="inlineStr">
        <is>
          <t>Boss-Only Total DPS (this block's swept value)</t>
        </is>
      </c>
      <c r="B1784">
        <f>SUM(T1740:T1769)</f>
        <v/>
      </c>
    </row>
    <row r="1785">
      <c r="A1785" t="inlineStr">
        <is>
          <t>Normal-Only Total DPS (this block's swept value)</t>
        </is>
      </c>
      <c r="B1785">
        <f>SUM(V1740:V1769)</f>
        <v/>
      </c>
    </row>
    <row r="1787">
      <c r="A1787" s="6" t="inlineStr">
        <is>
          <t>Stat: Clear Spring Water (Equip)</t>
        </is>
      </c>
    </row>
    <row r="1788">
      <c r="A1788" s="5" t="inlineStr">
        <is>
          <t>Key</t>
        </is>
      </c>
      <c r="B1788" s="5" t="inlineStr">
        <is>
          <t>Name</t>
        </is>
      </c>
      <c r="C1788" s="5" t="inlineStr">
        <is>
          <t>Unlocked</t>
        </is>
      </c>
      <c r="D1788" s="5" t="inlineStr">
        <is>
          <t>InputLevel</t>
        </is>
      </c>
      <c r="E1788" s="5" t="inlineStr">
        <is>
          <t>Factor</t>
        </is>
      </c>
      <c r="F1788" s="5" t="inlineStr">
        <is>
          <t>CoefficientPercent</t>
        </is>
      </c>
      <c r="G1788" s="5" t="inlineStr">
        <is>
          <t>EffectiveHits</t>
        </is>
      </c>
      <c r="H1788" s="5" t="inlineStr">
        <is>
          <t>ProcProbability</t>
        </is>
      </c>
      <c r="I1788" s="5" t="inlineStr">
        <is>
          <t>MapleHeroMultiplier</t>
        </is>
      </c>
      <c r="J1788" s="5" t="inlineStr">
        <is>
          <t>BaseDamage</t>
        </is>
      </c>
      <c r="K1788" s="5" t="inlineStr">
        <is>
          <t>BaseHitDamage</t>
        </is>
      </c>
      <c r="L1788" s="5" t="inlineStr">
        <is>
          <t>NonCritAvg</t>
        </is>
      </c>
      <c r="M1788" s="5" t="inlineStr">
        <is>
          <t>CritAvg</t>
        </is>
      </c>
      <c r="N1788" s="5" t="inlineStr">
        <is>
          <t>ExpectedDamage(perHit)</t>
        </is>
      </c>
      <c r="O1788" s="5" t="inlineStr">
        <is>
          <t>DPS</t>
        </is>
      </c>
      <c r="P1788" s="5" t="inlineStr">
        <is>
          <t>% of Total</t>
        </is>
      </c>
      <c r="Q1788" s="5" t="inlineStr">
        <is>
          <t>InvCooldown</t>
        </is>
      </c>
      <c r="R1788" s="5" t="inlineStr">
        <is>
          <t>CastsInFight</t>
        </is>
      </c>
      <c r="S1788" s="5" t="inlineStr">
        <is>
          <t>HitRate(perSec)</t>
        </is>
      </c>
      <c r="U1788" t="inlineStr">
        <is>
          <t>helpers</t>
        </is>
      </c>
    </row>
    <row r="1789">
      <c r="A1789">
        <f>Skills!A2</f>
        <v/>
      </c>
      <c r="B1789">
        <f>Skills!B2</f>
        <v/>
      </c>
      <c r="C1789">
        <f>Inputs!$B$3&gt;=100</f>
        <v/>
      </c>
      <c r="D1789" t="inlineStr"/>
      <c r="E1789" t="inlineStr"/>
      <c r="F1789">
        <f>U1793+Skills!O2</f>
        <v/>
      </c>
      <c r="G1789">
        <f>Calc!G2</f>
        <v/>
      </c>
      <c r="H1789">
        <f>Calc!H2</f>
        <v/>
      </c>
      <c r="I1789">
        <f>IF(Skills!AA2&lt;&gt;"",1+(Skills!AA2/10)*(U1790/1000)/100,1)</f>
        <v/>
      </c>
      <c r="J1789">
        <f>((Inputs!$B$6*(1+Inputs!$B$7/100))+(((Inputs!$B$12*(1+Inputs!$B$13/100))-(Inputs!$B$12*(1+Inputs!$B$13/100)))+0.25*(Inputs!$B$14-Inputs!$B$14))*(1+Inputs!$B$7/100))*(F1789/100)</f>
        <v/>
      </c>
      <c r="K1789">
        <f>J1789*(1+((Inputs!$B$12*(1+Inputs!$B$13/100))*0.01+Inputs!$B$14*0.0025)/100)*(1+Inputs!$B$15/100)*(1+Inputs!$B$16/100)*(5000/(6000+Inputs!$B$43*(1-(100*(1-(1-(Inputs!$B$19+0)/100)*(1-CHOOSE(ArtifactsInput!$N$40+1,5,6,7,8,9,10)/100)^(ArtifactsInput!$M$40-ArtifactsInput!$M$40)))/100)))*(1+(Inputs!$B$24+((C1817=TRUE)*(F1817-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1810=TRUE)*(F1810-Calc!F23))+(((IF(AND(ArtifactsInput!$M$42,((Inputs!$B$9+((C1812=TRUE)*(F1812-Calc!F25))+B1827+(ArtifactsInput!$M$24-ArtifactsInput!$M$24)*CHOOSE(ArtifactsInput!$N$24+1,10,12,14,16,18,20)+IF(ArtifactsInput!$M$10,CHOOSE(ArtifactsInput!$N$10+1,15,18,21,24,27,30)*(IF(Inputs!$B$39="pvp",MIN(15,15)/15,IF(AND(Inputs!$B$39&lt;&gt;"pvp",Inputs!$B$44&gt;0),MIN(15,Inputs!$B$44)/(Inputs!$B$44),0))),0)))&gt;=100),MIN(100,((Inputs!$B$9+((C1812=TRUE)*(F1812-Calc!F25))+B1827+(ArtifactsInput!$M$24-ArtifactsInput!$M$24)*CHOOSE(ArtifactsInput!$N$24+1,10,12,14,16,18,20)+IF(ArtifactsInput!$M$10,CHOOSE(ArtifactsInput!$N$10+1,15,18,21,24,27,30)*(IF(Inputs!$B$39="pvp",MIN(15,15)/15,IF(AND(Inputs!$B$39&lt;&gt;"pvp",Inputs!$B$44&gt;0),MIN(15,Inputs!$B$44)/(Inputs!$B$44),0))),0)))-100),0))*CHOOSE(ArtifactsInput!$N$42+1,0.6,0.72,0.84,0.96,1.08,1.2))),Inputs!$B$18+((C1816=TRUE)*(F1816-Calc!F29))+(IF(AND(ArtifactsInput!$M$42,((Inputs!$B$9+((C1812=TRUE)*(F1812-Calc!F25))+B1827+(ArtifactsInput!$M$24-ArtifactsInput!$M$24)*CHOOSE(ArtifactsInput!$N$24+1,10,12,14,16,18,20)+IF(ArtifactsInput!$M$10,CHOOSE(ArtifactsInput!$N$10+1,15,18,21,24,27,30)*(IF(Inputs!$B$39="pvp",MIN(15,15)/15,IF(AND(Inputs!$B$39&lt;&gt;"pvp",Inputs!$B$44&gt;0),MIN(15,Inputs!$B$44)/(Inputs!$B$44),0))),0)))&gt;=100),CHOOSE(ArtifactsInput!$N$42+1,40,48,56,64,72,80),0))))/100)*(((1+(((C1808=TRUE)*F1808*IF(AND(Inputs!$B$39&lt;&gt;"pvp",Inputs!$B$44&gt;0),(((R1808-1)*(Skills!Y21*(1+Inputs!$B$34/100))+MIN((Skills!Y21*(1+Inputs!$B$34/100)),MAX(0,Inputs!$B$44-((R1808-1)*Skills!D21))))/Inputs!$B$44),IF(Inputs!$B$39="pvp",MIN((Skills!Y21*(1+Inputs!$B$34/100)),15)/15,(Skills!Y21*(1+Inputs!$B$34/100))/Skills!D21)))+((C1815=TRUE)*(F1815-Calc!F28))+((C1805=TRUE)*(F1805-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1802=TRUE)*F1802*IF(AND(Inputs!$B$39&lt;&gt;"pvp",Inputs!$B$44&gt;0),(((R1802-1)*(Skills!Y15*(1+Inputs!$B$34/100))+MIN((Skills!Y15*(1+Inputs!$B$34/100)),MAX(0,Inputs!$B$44-((R1802-1)*Skills!D15))))/Inputs!$B$44),IF(Inputs!$B$39="pvp",MIN((Skills!Y15*(1+Inputs!$B$34/100)),15)/15,(Skills!Y15*(1+Inputs!$B$34/100))/Skills!D15)))/100)*(1+((C1793=TRUE)*F1793*B1821)/100))*B1829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1789)</f>
        <v/>
      </c>
      <c r="L1789">
        <f>K1789*(MIN(Inputs!$B$22+((C1811=TRUE)*(F1811-Calc!F24)),(Inputs!$B$23+0+(IF(ArtifactsInput!$M$15,CHOOSE(ArtifactsInput!$N$15+1,25,30,35,40,45,50)/100*(Inputs!$B$11-Inputs!$B$11),0))))/100+(Inputs!$B$23+0+(IF(ArtifactsInput!$M$15,CHOOSE(ArtifactsInput!$N$15+1,25,30,35,40,45,50)/100*(Inputs!$B$11-Inputs!$B$11),0)))/100)/2</f>
        <v/>
      </c>
      <c r="M1789">
        <f>L1789*(1+(Inputs!$B$10+((C1813=TRUE)*(F1813-Calc!F26))+B1830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89">
        <f>L1789*(1-MIN((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1789*(MIN((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89">
        <f>(1-Summary!$B$11)*T1789+Summary!$B$11*V1789</f>
        <v/>
      </c>
      <c r="P1789">
        <f>IF(B1831=0,0,O1789/B1831)</f>
        <v/>
      </c>
      <c r="Q1789" t="n">
        <v>0</v>
      </c>
      <c r="R1789" t="n">
        <v>0</v>
      </c>
      <c r="S1789">
        <f>IFERROR(O1789/N1789,0)</f>
        <v/>
      </c>
      <c r="T1789">
        <f>IF(C1789,(Skills!G2*N1789*B1825)*IF(Inputs!$B$39="pvp",1,1+(Inputs!$B$20+((C1814=TRUE)*(F1814-Calc!F27))+Skills!P2+B1828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1789*(1-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1789*(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1789*(1-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1789*(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89">
        <f>MAX(0,(Inputs!$B$3-100)*3)+Inputs!$B$28+Inputs!$B$29</f>
        <v/>
      </c>
      <c r="V1789">
        <f>IF(C1789,(Skills!G2*N1789*B1825)*IF(Inputs!$B$39="pvp",1,(1+(Inputs!$B$21+Skills!Q2+B1828+(IF(ArtifactsInput!$M$33,CHOOSE(ArtifactsInput!$N$33+1,30,36,42,48,54,60),0))+(IF(AND(ArtifactsInput!$M$35,Inputs!$B$4&lt;&gt;"Chapter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90">
      <c r="A1790">
        <f>Skills!A3</f>
        <v/>
      </c>
      <c r="B1790">
        <f>Skills!B3</f>
        <v/>
      </c>
      <c r="C1790">
        <f>Inputs!$B$3&gt;=35</f>
        <v/>
      </c>
      <c r="D1790">
        <f>IF(Skills!C3=1,60+Inputs!$B$25+Inputs!$B$29,IF(Skills!C3=2,90+Inputs!$B$26+Inputs!$B$29,IF(Skills!C3=3,120+Inputs!$B$27+Inputs!$B$29,MAX(0,(Inputs!$B$3-100)*3)+Inputs!$B$28+Inputs!$B$29)))</f>
        <v/>
      </c>
      <c r="E1790">
        <f>INDEX(FactorTable!$B$2:$Y$301, MATCH(ROUND(MIN(300,MAX(1,D1790)),0), FactorTable!$A$2:$A$301,0), Skills!M3+1)</f>
        <v/>
      </c>
      <c r="F1790">
        <f>IF(Skills!N3=TRUE,(Skills!L3/10)*(E1790/1000),Skills!L3/10)+Skills!O3</f>
        <v/>
      </c>
      <c r="G1790">
        <f>Calc!G3</f>
        <v/>
      </c>
      <c r="H1790">
        <f>Calc!H3</f>
        <v/>
      </c>
      <c r="I1790">
        <f>IF(Skills!AA3&lt;&gt;"",1+(Skills!AA3/10)*(U1790/1000)/100,1)</f>
        <v/>
      </c>
      <c r="J1790">
        <f>((Inputs!$B$6*(1+Inputs!$B$7/100))+(((Inputs!$B$12*(1+Inputs!$B$13/100))-(Inputs!$B$12*(1+Inputs!$B$13/100)))+0.25*(Inputs!$B$14-Inputs!$B$14))*(1+Inputs!$B$7/100))*(F1790/100)</f>
        <v/>
      </c>
      <c r="K1790">
        <f>J1790*(1+((Inputs!$B$12*(1+Inputs!$B$13/100))*0.01+Inputs!$B$14*0.0025)/100)*(1+Inputs!$B$15/100)*(1+Inputs!$B$16/100)*(5000/(6000+Inputs!$B$43*(1-(100*(1-(1-(Inputs!$B$19+0)/100)*(1-CHOOSE(ArtifactsInput!$N$40+1,5,6,7,8,9,10)/100)^(ArtifactsInput!$M$40-ArtifactsInput!$M$40)))/100)))*(1+(Inputs!$B$24+((C1817=TRUE)*(F1817-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1810=TRUE)*(F1810-Calc!F23))+(((IF(AND(ArtifactsInput!$M$42,((Inputs!$B$9+((C1812=TRUE)*(F1812-Calc!F25))+B1827+(ArtifactsInput!$M$24-ArtifactsInput!$M$24)*CHOOSE(ArtifactsInput!$N$24+1,10,12,14,16,18,20)+IF(ArtifactsInput!$M$10,CHOOSE(ArtifactsInput!$N$10+1,15,18,21,24,27,30)*(IF(Inputs!$B$39="pvp",MIN(15,15)/15,IF(AND(Inputs!$B$39&lt;&gt;"pvp",Inputs!$B$44&gt;0),MIN(15,Inputs!$B$44)/(Inputs!$B$44),0))),0)))&gt;=100),MIN(100,((Inputs!$B$9+((C1812=TRUE)*(F1812-Calc!F25))+B1827+(ArtifactsInput!$M$24-ArtifactsInput!$M$24)*CHOOSE(ArtifactsInput!$N$24+1,10,12,14,16,18,20)+IF(ArtifactsInput!$M$10,CHOOSE(ArtifactsInput!$N$10+1,15,18,21,24,27,30)*(IF(Inputs!$B$39="pvp",MIN(15,15)/15,IF(AND(Inputs!$B$39&lt;&gt;"pvp",Inputs!$B$44&gt;0),MIN(15,Inputs!$B$44)/(Inputs!$B$44),0))),0)))-100),0))*CHOOSE(ArtifactsInput!$N$42+1,0.6,0.72,0.84,0.96,1.08,1.2))),Inputs!$B$18+((C1816=TRUE)*(F1816-Calc!F29))+(IF(AND(ArtifactsInput!$M$42,((Inputs!$B$9+((C1812=TRUE)*(F1812-Calc!F25))+B1827+(ArtifactsInput!$M$24-ArtifactsInput!$M$24)*CHOOSE(ArtifactsInput!$N$24+1,10,12,14,16,18,20)+IF(ArtifactsInput!$M$10,CHOOSE(ArtifactsInput!$N$10+1,15,18,21,24,27,30)*(IF(Inputs!$B$39="pvp",MIN(15,15)/15,IF(AND(Inputs!$B$39&lt;&gt;"pvp",Inputs!$B$44&gt;0),MIN(15,Inputs!$B$44)/(Inputs!$B$44),0))),0)))&gt;=100),CHOOSE(ArtifactsInput!$N$42+1,40,48,56,64,72,80),0))))/100)*(((1+(((C1808=TRUE)*F1808*IF(AND(Inputs!$B$39&lt;&gt;"pvp",Inputs!$B$44&gt;0),(((R1808-1)*(Skills!Y21*(1+Inputs!$B$34/100))+MIN((Skills!Y21*(1+Inputs!$B$34/100)),MAX(0,Inputs!$B$44-((R1808-1)*Skills!D21))))/Inputs!$B$44),IF(Inputs!$B$39="pvp",MIN((Skills!Y21*(1+Inputs!$B$34/100)),15)/15,(Skills!Y21*(1+Inputs!$B$34/100))/Skills!D21)))+((C1815=TRUE)*(F1815-Calc!F28))+((C1805=TRUE)*(F1805-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1802=TRUE)*F1802*IF(AND(Inputs!$B$39&lt;&gt;"pvp",Inputs!$B$44&gt;0),(((R1802-1)*(Skills!Y15*(1+Inputs!$B$34/100))+MIN((Skills!Y15*(1+Inputs!$B$34/100)),MAX(0,Inputs!$B$44-((R1802-1)*Skills!D15))))/Inputs!$B$44),IF(Inputs!$B$39="pvp",MIN((Skills!Y15*(1+Inputs!$B$34/100)),15)/15,(Skills!Y15*(1+Inputs!$B$34/100))/Skills!D15)))/100)*(1+((C1793=TRUE)*F1793*B1821)/100))*B1829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1790)</f>
        <v/>
      </c>
      <c r="L1790">
        <f>K1790*(MIN(Inputs!$B$22+((C1811=TRUE)*(F1811-Calc!F24)),(Inputs!$B$23+0+(IF(ArtifactsInput!$M$15,CHOOSE(ArtifactsInput!$N$15+1,25,30,35,40,45,50)/100*(Inputs!$B$11-Inputs!$B$11),0))))/100+(Inputs!$B$23+0+(IF(ArtifactsInput!$M$15,CHOOSE(ArtifactsInput!$N$15+1,25,30,35,40,45,50)/100*(Inputs!$B$11-Inputs!$B$11),0)))/100)/2</f>
        <v/>
      </c>
      <c r="M1790">
        <f>L1790*(1+(Inputs!$B$10+((C1813=TRUE)*(F1813-Calc!F26))+B1830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90">
        <f>L1790*(1-MIN((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1790*(MIN((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90">
        <f>(1-Summary!$B$11)*T1790+Summary!$B$11*V1790</f>
        <v/>
      </c>
      <c r="P1790">
        <f>IF(B1831=0,0,O1790/B1831)</f>
        <v/>
      </c>
      <c r="Q1790">
        <f>IFERROR(1/IF(Inputs!$B$39="pvp",15,MAX(0.1,Skills!D3-IF(Skills!E3=TRUE,Inputs!$B$32,0))),0)</f>
        <v/>
      </c>
      <c r="R1790">
        <f>IF(AND(Inputs!$B$39&lt;&gt;"pvp",Inputs!$B$44&gt;0),IF(MAX(0,Inputs!$B$44-B1832)&lt;=0,0,(INT(MAX(0,Inputs!$B$44-B1832)/IF(Inputs!$B$39="pvp",15,MAX(0.1,Skills!D3-IF(Skills!E3=TRUE,Inputs!$B$32,0))))+1)),0)</f>
        <v/>
      </c>
      <c r="S1790">
        <f>IFERROR(O1790/N1790,0)</f>
        <v/>
      </c>
      <c r="T1790">
        <f>IF(C1790,(H1790*N1790*IF(AND(Inputs!$B$39&lt;&gt;"pvp",Inputs!$B$44&gt;0),((Skills!G3*((R1790-1)*IF(Skills!H3&gt;0,Skills!I3/Skills!H3,1)+IF(Skills!H3&gt;0,MIN(Skills!I3,MAX(0,MAX(0,Inputs!$B$44-B1832)-((R1790-1)*IF(Inputs!$B$39="pvp",15,MAX(0.1,Skills!D3-IF(Skills!E3=TRUE,Inputs!$B$32,0))))))/Skills!H3,1)))/Inputs!$B$44),G1790*Q1790))*IF(Inputs!$B$39="pvp",1,1+(Inputs!$B$20+((C1814=TRUE)*(F1814-Calc!F27))+Skills!P3+B1828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1790*(1-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1790*(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1790*(1-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1790*(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90">
        <f>INDEX(FactorTable!$B$2:$Y$301, MATCH(ROUND(MIN(300,MAX(1,U1789)),0), FactorTable!$A$2:$A$301,0), 24)</f>
        <v/>
      </c>
      <c r="V1790">
        <f>IF(C1790,(H1790*N1790*IF(AND(Inputs!$B$39&lt;&gt;"pvp",Inputs!$B$44&gt;0),((Skills!G3*((R1790-1)*IF(Skills!H3&gt;0,Skills!I3/Skills!H3,1)+IF(Skills!H3&gt;0,MIN(Skills!I3,MAX(0,MAX(0,Inputs!$B$44-B1832)-((R1790-1)*IF(Inputs!$B$39="pvp",15,MAX(0.1,Skills!D3-IF(Skills!E3=TRUE,Inputs!$B$32,0))))))/Skills!H3,1)))/Inputs!$B$44),G1790*Q1790))*IF(Inputs!$B$39="pvp",1,(1+(Inputs!$B$21+Skills!Q3+B1828+(IF(ArtifactsInput!$M$33,CHOOSE(ArtifactsInput!$N$33+1,30,36,42,48,54,60),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91">
      <c r="A1791">
        <f>Skills!A4</f>
        <v/>
      </c>
      <c r="B1791">
        <f>Skills!B4</f>
        <v/>
      </c>
      <c r="C1791">
        <f>Inputs!$B$3&gt;=40</f>
        <v/>
      </c>
      <c r="D1791">
        <f>IF(Skills!C4=1,60+Inputs!$B$25+Inputs!$B$29,IF(Skills!C4=2,90+Inputs!$B$26+Inputs!$B$29,IF(Skills!C4=3,120+Inputs!$B$27+Inputs!$B$29,MAX(0,(Inputs!$B$3-100)*3)+Inputs!$B$28+Inputs!$B$29)))</f>
        <v/>
      </c>
      <c r="E1791">
        <f>INDEX(FactorTable!$B$2:$Y$301, MATCH(ROUND(MIN(300,MAX(1,D1791)),0), FactorTable!$A$2:$A$301,0), Skills!M4+1)</f>
        <v/>
      </c>
      <c r="F1791">
        <f>IF(Skills!N4=TRUE,(Skills!L4/10)*(E1791/1000),Skills!L4/10)+Skills!O4</f>
        <v/>
      </c>
      <c r="G1791">
        <f>Calc!G4</f>
        <v/>
      </c>
      <c r="H1791">
        <f>Calc!H4</f>
        <v/>
      </c>
      <c r="I1791">
        <f>IF(Skills!AA4&lt;&gt;"",1+(Skills!AA4/10)*(U1790/1000)/100,1)</f>
        <v/>
      </c>
      <c r="J1791">
        <f>((Inputs!$B$6*(1+Inputs!$B$7/100))+(((Inputs!$B$12*(1+Inputs!$B$13/100))-(Inputs!$B$12*(1+Inputs!$B$13/100)))+0.25*(Inputs!$B$14-Inputs!$B$14))*(1+Inputs!$B$7/100))*(F1791/100)</f>
        <v/>
      </c>
      <c r="K1791">
        <f>J1791*(1+((Inputs!$B$12*(1+Inputs!$B$13/100))*0.01+Inputs!$B$14*0.0025)/100)*(1+Inputs!$B$15/100)*(1+Inputs!$B$16/100)*(5000/(6000+Inputs!$B$43*(1-(100*(1-(1-(Inputs!$B$19+0)/100)*(1-CHOOSE(ArtifactsInput!$N$40+1,5,6,7,8,9,10)/100)^(ArtifactsInput!$M$40-ArtifactsInput!$M$40)))/100)))*(1+(Inputs!$B$24+((C1817=TRUE)*(F1817-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1810=TRUE)*(F1810-Calc!F23))+(((IF(AND(ArtifactsInput!$M$42,((Inputs!$B$9+((C1812=TRUE)*(F1812-Calc!F25))+B1827+(ArtifactsInput!$M$24-ArtifactsInput!$M$24)*CHOOSE(ArtifactsInput!$N$24+1,10,12,14,16,18,20)+IF(ArtifactsInput!$M$10,CHOOSE(ArtifactsInput!$N$10+1,15,18,21,24,27,30)*(IF(Inputs!$B$39="pvp",MIN(15,15)/15,IF(AND(Inputs!$B$39&lt;&gt;"pvp",Inputs!$B$44&gt;0),MIN(15,Inputs!$B$44)/(Inputs!$B$44),0))),0)))&gt;=100),MIN(100,((Inputs!$B$9+((C1812=TRUE)*(F1812-Calc!F25))+B1827+(ArtifactsInput!$M$24-ArtifactsInput!$M$24)*CHOOSE(ArtifactsInput!$N$24+1,10,12,14,16,18,20)+IF(ArtifactsInput!$M$10,CHOOSE(ArtifactsInput!$N$10+1,15,18,21,24,27,30)*(IF(Inputs!$B$39="pvp",MIN(15,15)/15,IF(AND(Inputs!$B$39&lt;&gt;"pvp",Inputs!$B$44&gt;0),MIN(15,Inputs!$B$44)/(Inputs!$B$44),0))),0)))-100),0))*CHOOSE(ArtifactsInput!$N$42+1,0.6,0.72,0.84,0.96,1.08,1.2))),Inputs!$B$18+((C1816=TRUE)*(F1816-Calc!F29))+(IF(AND(ArtifactsInput!$M$42,((Inputs!$B$9+((C1812=TRUE)*(F1812-Calc!F25))+B1827+(ArtifactsInput!$M$24-ArtifactsInput!$M$24)*CHOOSE(ArtifactsInput!$N$24+1,10,12,14,16,18,20)+IF(ArtifactsInput!$M$10,CHOOSE(ArtifactsInput!$N$10+1,15,18,21,24,27,30)*(IF(Inputs!$B$39="pvp",MIN(15,15)/15,IF(AND(Inputs!$B$39&lt;&gt;"pvp",Inputs!$B$44&gt;0),MIN(15,Inputs!$B$44)/(Inputs!$B$44),0))),0)))&gt;=100),CHOOSE(ArtifactsInput!$N$42+1,40,48,56,64,72,80),0))))/100)*(((1+(((C1808=TRUE)*F1808*IF(AND(Inputs!$B$39&lt;&gt;"pvp",Inputs!$B$44&gt;0),(((R1808-1)*(Skills!Y21*(1+Inputs!$B$34/100))+MIN((Skills!Y21*(1+Inputs!$B$34/100)),MAX(0,Inputs!$B$44-((R1808-1)*Skills!D21))))/Inputs!$B$44),IF(Inputs!$B$39="pvp",MIN((Skills!Y21*(1+Inputs!$B$34/100)),15)/15,(Skills!Y21*(1+Inputs!$B$34/100))/Skills!D21)))+((C1815=TRUE)*(F1815-Calc!F28))+((C1805=TRUE)*(F1805-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1802=TRUE)*F1802*IF(AND(Inputs!$B$39&lt;&gt;"pvp",Inputs!$B$44&gt;0),(((R1802-1)*(Skills!Y15*(1+Inputs!$B$34/100))+MIN((Skills!Y15*(1+Inputs!$B$34/100)),MAX(0,Inputs!$B$44-((R1802-1)*Skills!D15))))/Inputs!$B$44),IF(Inputs!$B$39="pvp",MIN((Skills!Y15*(1+Inputs!$B$34/100)),15)/15,(Skills!Y15*(1+Inputs!$B$34/100))/Skills!D15)))/100)*(1+((C1793=TRUE)*F1793*B1821)/100))*B1829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1791)</f>
        <v/>
      </c>
      <c r="L1791">
        <f>K1791*(MIN(Inputs!$B$22+((C1811=TRUE)*(F1811-Calc!F24)),(Inputs!$B$23+0+(IF(ArtifactsInput!$M$15,CHOOSE(ArtifactsInput!$N$15+1,25,30,35,40,45,50)/100*(Inputs!$B$11-Inputs!$B$11),0))))/100+(Inputs!$B$23+0+(IF(ArtifactsInput!$M$15,CHOOSE(ArtifactsInput!$N$15+1,25,30,35,40,45,50)/100*(Inputs!$B$11-Inputs!$B$11),0)))/100)/2</f>
        <v/>
      </c>
      <c r="M1791">
        <f>L1791*(1+(Inputs!$B$10+((C1813=TRUE)*(F1813-Calc!F26))+B1830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91">
        <f>L1791*(1-MIN((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1791*(MIN((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91">
        <f>(1-Summary!$B$11)*T1791+Summary!$B$11*V1791</f>
        <v/>
      </c>
      <c r="P1791">
        <f>IF(B1831=0,0,O1791/B1831)</f>
        <v/>
      </c>
      <c r="Q1791">
        <f>IFERROR(1/IF(Inputs!$B$39="pvp",15,MAX(0.1,Skills!D4-IF(Skills!E4=TRUE,Inputs!$B$32,0))),0)</f>
        <v/>
      </c>
      <c r="R1791">
        <f>IF(AND(Inputs!$B$39&lt;&gt;"pvp",Inputs!$B$44&gt;0),IF(MAX(0,Inputs!$B$44-B1832)&lt;=0,0,(INT(MAX(0,Inputs!$B$44-B1832)/IF(Inputs!$B$39="pvp",15,MAX(0.1,Skills!D4-IF(Skills!E4=TRUE,Inputs!$B$32,0))))+1)),0)</f>
        <v/>
      </c>
      <c r="S1791">
        <f>IFERROR(O1791/N1791,0)</f>
        <v/>
      </c>
      <c r="T1791">
        <f>IF(C1791,(H1791*N1791*IF(AND(Inputs!$B$39&lt;&gt;"pvp",Inputs!$B$44&gt;0),((Skills!G4*((R1791-1)*IF(Skills!H4&gt;0,Skills!I4/Skills!H4,1)+IF(Skills!H4&gt;0,MIN(Skills!I4,MAX(0,MAX(0,Inputs!$B$44-B1832)-((R1791-1)*IF(Inputs!$B$39="pvp",15,MAX(0.1,Skills!D4-IF(Skills!E4=TRUE,Inputs!$B$32,0))))))/Skills!H4,1)))/Inputs!$B$44),G1791*Q1791))*IF(Inputs!$B$39="pvp",1,1+(Inputs!$B$20+((C1814=TRUE)*(F1814-Calc!F27))+Skills!P4+B1828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1791*(1-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1791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1791*(1-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1791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91">
        <f>MAX(0,(Inputs!$B$3-100)*3)+Inputs!$B$28+Inputs!$B$29</f>
        <v/>
      </c>
      <c r="V1791">
        <f>IF(C1791,(H1791*N1791*IF(AND(Inputs!$B$39&lt;&gt;"pvp",Inputs!$B$44&gt;0),((Skills!G4*((R1791-1)*IF(Skills!H4&gt;0,Skills!I4/Skills!H4,1)+IF(Skills!H4&gt;0,MIN(Skills!I4,MAX(0,MAX(0,Inputs!$B$44-B1832)-((R1791-1)*IF(Inputs!$B$39="pvp",15,MAX(0.1,Skills!D4-IF(Skills!E4=TRUE,Inputs!$B$32,0))))))/Skills!H4,1)))/Inputs!$B$44),G1791*Q1791))*IF(Inputs!$B$39="pvp",1,(1+(Inputs!$B$21+Skills!Q4+B1828+(IF(ArtifactsInput!$M$33,CHOOSE(ArtifactsInput!$N$33+1,30,36,42,48,54,60),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92">
      <c r="A1792">
        <f>Skills!A5</f>
        <v/>
      </c>
      <c r="B1792">
        <f>Skills!B5</f>
        <v/>
      </c>
      <c r="C1792">
        <f>Inputs!$B$3&gt;=63</f>
        <v/>
      </c>
      <c r="D1792">
        <f>IF(Skills!C5=1,60+Inputs!$B$25+Inputs!$B$29,IF(Skills!C5=2,90+Inputs!$B$26+Inputs!$B$29,IF(Skills!C5=3,120+Inputs!$B$27+Inputs!$B$29,MAX(0,(Inputs!$B$3-100)*3)+Inputs!$B$28+Inputs!$B$29)))</f>
        <v/>
      </c>
      <c r="E1792">
        <f>INDEX(FactorTable!$B$2:$Y$301, MATCH(ROUND(MIN(300,MAX(1,D1792)),0), FactorTable!$A$2:$A$301,0), Skills!M5+1)</f>
        <v/>
      </c>
      <c r="F1792">
        <f>IF(Skills!N5=TRUE,(Skills!L5/10)*(E1792/1000),Skills!L5/10)+Skills!O5</f>
        <v/>
      </c>
      <c r="G1792">
        <f>Calc!G5</f>
        <v/>
      </c>
      <c r="H1792">
        <f>Calc!H5</f>
        <v/>
      </c>
      <c r="I1792">
        <f>IF(Skills!AA5&lt;&gt;"",1+(Skills!AA5/10)*(U1790/1000)/100,1)</f>
        <v/>
      </c>
      <c r="J1792">
        <f>((Inputs!$B$6*(1+Inputs!$B$7/100))+(((Inputs!$B$12*(1+Inputs!$B$13/100))-(Inputs!$B$12*(1+Inputs!$B$13/100)))+0.25*(Inputs!$B$14-Inputs!$B$14))*(1+Inputs!$B$7/100))*(F1792/100)</f>
        <v/>
      </c>
      <c r="K1792">
        <f>J1792*(1+((Inputs!$B$12*(1+Inputs!$B$13/100))*0.01+Inputs!$B$14*0.0025)/100)*(1+Inputs!$B$15/100)*(1+Inputs!$B$16/100)*(5000/(6000+Inputs!$B$43*(1-(100*(1-(1-(Inputs!$B$19+0)/100)*(1-CHOOSE(ArtifactsInput!$N$40+1,5,6,7,8,9,10)/100)^(ArtifactsInput!$M$40-ArtifactsInput!$M$40)))/100)))*(1+(Inputs!$B$24+((C1817=TRUE)*(F1817-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1810=TRUE)*(F1810-Calc!F23))+(((IF(AND(ArtifactsInput!$M$42,((Inputs!$B$9+((C1812=TRUE)*(F1812-Calc!F25))+B1827+(ArtifactsInput!$M$24-ArtifactsInput!$M$24)*CHOOSE(ArtifactsInput!$N$24+1,10,12,14,16,18,20)+IF(ArtifactsInput!$M$10,CHOOSE(ArtifactsInput!$N$10+1,15,18,21,24,27,30)*(IF(Inputs!$B$39="pvp",MIN(15,15)/15,IF(AND(Inputs!$B$39&lt;&gt;"pvp",Inputs!$B$44&gt;0),MIN(15,Inputs!$B$44)/(Inputs!$B$44),0))),0)))&gt;=100),MIN(100,((Inputs!$B$9+((C1812=TRUE)*(F1812-Calc!F25))+B1827+(ArtifactsInput!$M$24-ArtifactsInput!$M$24)*CHOOSE(ArtifactsInput!$N$24+1,10,12,14,16,18,20)+IF(ArtifactsInput!$M$10,CHOOSE(ArtifactsInput!$N$10+1,15,18,21,24,27,30)*(IF(Inputs!$B$39="pvp",MIN(15,15)/15,IF(AND(Inputs!$B$39&lt;&gt;"pvp",Inputs!$B$44&gt;0),MIN(15,Inputs!$B$44)/(Inputs!$B$44),0))),0)))-100),0))*CHOOSE(ArtifactsInput!$N$42+1,0.6,0.72,0.84,0.96,1.08,1.2))),Inputs!$B$18+((C1816=TRUE)*(F1816-Calc!F29))+(IF(AND(ArtifactsInput!$M$42,((Inputs!$B$9+((C1812=TRUE)*(F1812-Calc!F25))+B1827+(ArtifactsInput!$M$24-ArtifactsInput!$M$24)*CHOOSE(ArtifactsInput!$N$24+1,10,12,14,16,18,20)+IF(ArtifactsInput!$M$10,CHOOSE(ArtifactsInput!$N$10+1,15,18,21,24,27,30)*(IF(Inputs!$B$39="pvp",MIN(15,15)/15,IF(AND(Inputs!$B$39&lt;&gt;"pvp",Inputs!$B$44&gt;0),MIN(15,Inputs!$B$44)/(Inputs!$B$44),0))),0)))&gt;=100),CHOOSE(ArtifactsInput!$N$42+1,40,48,56,64,72,80),0))))/100)*(((1+(((C1808=TRUE)*F1808*IF(AND(Inputs!$B$39&lt;&gt;"pvp",Inputs!$B$44&gt;0),(((R1808-1)*(Skills!Y21*(1+Inputs!$B$34/100))+MIN((Skills!Y21*(1+Inputs!$B$34/100)),MAX(0,Inputs!$B$44-((R1808-1)*Skills!D21))))/Inputs!$B$44),IF(Inputs!$B$39="pvp",MIN((Skills!Y21*(1+Inputs!$B$34/100)),15)/15,(Skills!Y21*(1+Inputs!$B$34/100))/Skills!D21)))+((C1815=TRUE)*(F1815-Calc!F28))+((C1805=TRUE)*(F1805-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1802=TRUE)*F1802*IF(AND(Inputs!$B$39&lt;&gt;"pvp",Inputs!$B$44&gt;0),(((R1802-1)*(Skills!Y15*(1+Inputs!$B$34/100))+MIN((Skills!Y15*(1+Inputs!$B$34/100)),MAX(0,Inputs!$B$44-((R1802-1)*Skills!D15))))/Inputs!$B$44),IF(Inputs!$B$39="pvp",MIN((Skills!Y15*(1+Inputs!$B$34/100)),15)/15,(Skills!Y15*(1+Inputs!$B$34/100))/Skills!D15)))/100)*(1+((C1793=TRUE)*F1793*B1821)/100))*B1829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1792)</f>
        <v/>
      </c>
      <c r="L1792">
        <f>K1792*(MIN(Inputs!$B$22+((C1811=TRUE)*(F1811-Calc!F24)),(Inputs!$B$23+0+(IF(ArtifactsInput!$M$15,CHOOSE(ArtifactsInput!$N$15+1,25,30,35,40,45,50)/100*(Inputs!$B$11-Inputs!$B$11),0))))/100+(Inputs!$B$23+0+(IF(ArtifactsInput!$M$15,CHOOSE(ArtifactsInput!$N$15+1,25,30,35,40,45,50)/100*(Inputs!$B$11-Inputs!$B$11),0)))/100)/2</f>
        <v/>
      </c>
      <c r="M1792">
        <f>L1792*(1+(Inputs!$B$10+((C1813=TRUE)*(F1813-Calc!F26))+B1830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92">
        <f>L1792*(1-MIN((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1792*(MIN((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92">
        <f>(1-Summary!$B$11)*T1792+Summary!$B$11*V1792</f>
        <v/>
      </c>
      <c r="P1792">
        <f>IF(B1831=0,0,O1792/B1831)</f>
        <v/>
      </c>
      <c r="Q1792">
        <f>IFERROR(1/IF(Inputs!$B$39="pvp",15,MAX(0.1,Skills!D5-IF(Skills!E5=TRUE,Inputs!$B$32,0))),0)</f>
        <v/>
      </c>
      <c r="R1792">
        <f>IF(AND(Inputs!$B$39&lt;&gt;"pvp",Inputs!$B$44&gt;0),IF(MAX(0,Inputs!$B$44-B1832)&lt;=0,0,(INT(MAX(0,Inputs!$B$44-B1832)/IF(Inputs!$B$39="pvp",15,MAX(0.1,Skills!D5-IF(Skills!E5=TRUE,Inputs!$B$32,0))))+1)),0)</f>
        <v/>
      </c>
      <c r="S1792">
        <f>IFERROR(O1792/N1792,0)</f>
        <v/>
      </c>
      <c r="T1792">
        <f>IF(C1792,(H1792*N1792*IF(AND(Inputs!$B$39&lt;&gt;"pvp",Inputs!$B$44&gt;0),((Skills!G5*((R1792-1)*IF(Skills!H5&gt;0,Skills!I5/Skills!H5,1)+IF(Skills!H5&gt;0,MIN(Skills!I5,MAX(0,MAX(0,Inputs!$B$44-B1832)-((R1792-1)*IF(Inputs!$B$39="pvp",15,MAX(0.1,Skills!D5-IF(Skills!E5=TRUE,Inputs!$B$32,0))))))/Skills!H5,1)))/Inputs!$B$44),G1792*Q1792))*IF(Inputs!$B$39="pvp",1,1+(Inputs!$B$20+((C1814=TRUE)*(F1814-Calc!F27))+Skills!P5+B1828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1792*(1-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1792*(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1792*(1-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1792*(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92">
        <f>INDEX(FactorTable!$B$2:$Y$301, MATCH(ROUND(MIN(300,MAX(1,U1791)),0), FactorTable!$A$2:$A$301,0), 22)</f>
        <v/>
      </c>
      <c r="V1792">
        <f>IF(C1792,(H1792*N1792*IF(AND(Inputs!$B$39&lt;&gt;"pvp",Inputs!$B$44&gt;0),((Skills!G5*((R1792-1)*IF(Skills!H5&gt;0,Skills!I5/Skills!H5,1)+IF(Skills!H5&gt;0,MIN(Skills!I5,MAX(0,MAX(0,Inputs!$B$44-B1832)-((R1792-1)*IF(Inputs!$B$39="pvp",15,MAX(0.1,Skills!D5-IF(Skills!E5=TRUE,Inputs!$B$32,0))))))/Skills!H5,1)))/Inputs!$B$44),G1792*Q1792))*IF(Inputs!$B$39="pvp",1,(1+(Inputs!$B$21+Skills!Q5+B1828+(IF(ArtifactsInput!$M$33,CHOOSE(ArtifactsInput!$N$33+1,30,36,42,48,54,60),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93">
      <c r="A1793">
        <f>Skills!A6</f>
        <v/>
      </c>
      <c r="B1793">
        <f>Skills!B6</f>
        <v/>
      </c>
      <c r="C1793">
        <f>Inputs!$B$3&gt;=66</f>
        <v/>
      </c>
      <c r="D1793">
        <f>IF(Skills!C6=1,60+Inputs!$B$25+Inputs!$B$29,IF(Skills!C6=2,90+Inputs!$B$26+Inputs!$B$29,IF(Skills!C6=3,120+Inputs!$B$27+Inputs!$B$29,MAX(0,(Inputs!$B$3-100)*3)+Inputs!$B$28+Inputs!$B$29)))</f>
        <v/>
      </c>
      <c r="E1793">
        <f>INDEX(FactorTable!$B$2:$Y$301, MATCH(ROUND(MIN(300,MAX(1,D1793)),0), FactorTable!$A$2:$A$301,0), Skills!M6+1)</f>
        <v/>
      </c>
      <c r="F1793">
        <f>IF(Skills!N6=TRUE,(Skills!L6/10)*(E1793/1000),Skills!L6/10)+Skills!O6</f>
        <v/>
      </c>
      <c r="G1793">
        <f>Calc!G6</f>
        <v/>
      </c>
      <c r="H1793">
        <f>Calc!H6</f>
        <v/>
      </c>
      <c r="I1793">
        <f>IF(Skills!AA6&lt;&gt;"",1+(Skills!AA6/10)*(U1790/1000)/100,1)</f>
        <v/>
      </c>
      <c r="J1793" t="inlineStr"/>
      <c r="K1793" t="inlineStr"/>
      <c r="L1793" t="inlineStr"/>
      <c r="M1793" t="inlineStr"/>
      <c r="N1793" t="inlineStr"/>
      <c r="O1793">
        <f>(1-Summary!$B$11)*T1793+Summary!$B$11*V1793</f>
        <v/>
      </c>
      <c r="P1793">
        <f>IF(B1831=0,0,O1793/B1831)</f>
        <v/>
      </c>
      <c r="Q1793" t="n">
        <v>0</v>
      </c>
      <c r="R1793" t="n">
        <v>0</v>
      </c>
      <c r="S1793">
        <f>IFERROR(O1793/N1793,0)</f>
        <v/>
      </c>
      <c r="T1793" t="n">
        <v>0</v>
      </c>
      <c r="U1793">
        <f>290*U1792/1000</f>
        <v/>
      </c>
      <c r="V1793" t="n">
        <v>0</v>
      </c>
    </row>
    <row r="1794">
      <c r="A1794">
        <f>Skills!A7</f>
        <v/>
      </c>
      <c r="B1794">
        <f>Skills!B7</f>
        <v/>
      </c>
      <c r="C1794">
        <f>Inputs!$B$3&gt;=66</f>
        <v/>
      </c>
      <c r="D1794">
        <f>IF(Skills!C7=1,60+Inputs!$B$25+Inputs!$B$29,IF(Skills!C7=2,90+Inputs!$B$26+Inputs!$B$29,IF(Skills!C7=3,120+Inputs!$B$27+Inputs!$B$29,MAX(0,(Inputs!$B$3-100)*3)+Inputs!$B$28+Inputs!$B$29)))</f>
        <v/>
      </c>
      <c r="E1794">
        <f>INDEX(FactorTable!$B$2:$Y$301, MATCH(ROUND(MIN(300,MAX(1,D1794)),0), FactorTable!$A$2:$A$301,0), Skills!M7+1)</f>
        <v/>
      </c>
      <c r="F1794">
        <f>IF(Skills!N7=TRUE,(Skills!L7/10)*(E1794/1000),Skills!L7/10)+Skills!O7</f>
        <v/>
      </c>
      <c r="G1794">
        <f>Calc!G7</f>
        <v/>
      </c>
      <c r="H1794">
        <f>Calc!H7</f>
        <v/>
      </c>
      <c r="I1794">
        <f>IF(Skills!AA7&lt;&gt;"",1+(Skills!AA7/10)*(U1790/1000)/100,1)</f>
        <v/>
      </c>
      <c r="J1794" t="inlineStr"/>
      <c r="K1794" t="inlineStr"/>
      <c r="L1794" t="inlineStr"/>
      <c r="M1794" t="inlineStr"/>
      <c r="N1794" t="inlineStr"/>
      <c r="O1794">
        <f>(1-Summary!$B$11)*T1794+Summary!$B$11*V1794</f>
        <v/>
      </c>
      <c r="P1794">
        <f>IF(B1831=0,0,O1794/B1831)</f>
        <v/>
      </c>
      <c r="Q1794" t="n">
        <v>0</v>
      </c>
      <c r="R1794" t="n">
        <v>0</v>
      </c>
      <c r="S1794">
        <f>IFERROR(O1794/N1794,0)</f>
        <v/>
      </c>
      <c r="T1794" t="n">
        <v>0</v>
      </c>
      <c r="V1794" t="n">
        <v>0</v>
      </c>
    </row>
    <row r="1795">
      <c r="A1795">
        <f>Skills!A8</f>
        <v/>
      </c>
      <c r="B1795">
        <f>Skills!B8</f>
        <v/>
      </c>
      <c r="C1795">
        <f>Inputs!$B$3&gt;=69</f>
        <v/>
      </c>
      <c r="D1795">
        <f>IF(Skills!C8=1,60+Inputs!$B$25+Inputs!$B$29,IF(Skills!C8=2,90+Inputs!$B$26+Inputs!$B$29,IF(Skills!C8=3,120+Inputs!$B$27+Inputs!$B$29,MAX(0,(Inputs!$B$3-100)*3)+Inputs!$B$28+Inputs!$B$29)))</f>
        <v/>
      </c>
      <c r="E1795">
        <f>INDEX(FactorTable!$B$2:$Y$301, MATCH(ROUND(MIN(300,MAX(1,D1795)),0), FactorTable!$A$2:$A$301,0), Skills!M8+1)</f>
        <v/>
      </c>
      <c r="F1795">
        <f>IF(Skills!N8=TRUE,(Skills!L8/10)*(E1795/1000),Skills!L8/10)+Skills!O8</f>
        <v/>
      </c>
      <c r="G1795">
        <f>Calc!G8</f>
        <v/>
      </c>
      <c r="H1795">
        <f>Calc!H8</f>
        <v/>
      </c>
      <c r="I1795">
        <f>IF(Skills!AA8&lt;&gt;"",1+(Skills!AA8/10)*(U1790/1000)/100,1)</f>
        <v/>
      </c>
      <c r="J1795">
        <f>((Inputs!$B$6*(1+Inputs!$B$7/100))+(((Inputs!$B$12*(1+Inputs!$B$13/100))-(Inputs!$B$12*(1+Inputs!$B$13/100)))+0.25*(Inputs!$B$14-Inputs!$B$14))*(1+Inputs!$B$7/100))*(F1795/100)</f>
        <v/>
      </c>
      <c r="K1795">
        <f>J1795*(1+((Inputs!$B$12*(1+Inputs!$B$13/100))*0.01+Inputs!$B$14*0.0025)/100)*(1+Inputs!$B$15/100)*(1+Inputs!$B$16/100)*(5000/(6000+Inputs!$B$43*(1-(100*(1-(1-(Inputs!$B$19+0)/100)*(1-CHOOSE(ArtifactsInput!$N$40+1,5,6,7,8,9,10)/100)^(ArtifactsInput!$M$40-ArtifactsInput!$M$40)))/100)))*(1+(Inputs!$B$24+((C1817=TRUE)*(F1817-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1810=TRUE)*(F1810-Calc!F23))+(((IF(AND(ArtifactsInput!$M$42,((Inputs!$B$9+((C1812=TRUE)*(F1812-Calc!F25))+B1827+(ArtifactsInput!$M$24-ArtifactsInput!$M$24)*CHOOSE(ArtifactsInput!$N$24+1,10,12,14,16,18,20)+IF(ArtifactsInput!$M$10,CHOOSE(ArtifactsInput!$N$10+1,15,18,21,24,27,30)*(IF(Inputs!$B$39="pvp",MIN(15,15)/15,IF(AND(Inputs!$B$39&lt;&gt;"pvp",Inputs!$B$44&gt;0),MIN(15,Inputs!$B$44)/(Inputs!$B$44),0))),0)))&gt;=100),MIN(100,((Inputs!$B$9+((C1812=TRUE)*(F1812-Calc!F25))+B1827+(ArtifactsInput!$M$24-ArtifactsInput!$M$24)*CHOOSE(ArtifactsInput!$N$24+1,10,12,14,16,18,20)+IF(ArtifactsInput!$M$10,CHOOSE(ArtifactsInput!$N$10+1,15,18,21,24,27,30)*(IF(Inputs!$B$39="pvp",MIN(15,15)/15,IF(AND(Inputs!$B$39&lt;&gt;"pvp",Inputs!$B$44&gt;0),MIN(15,Inputs!$B$44)/(Inputs!$B$44),0))),0)))-100),0))*CHOOSE(ArtifactsInput!$N$42+1,0.6,0.72,0.84,0.96,1.08,1.2))),Inputs!$B$18+((C1816=TRUE)*(F1816-Calc!F29))+(IF(AND(ArtifactsInput!$M$42,((Inputs!$B$9+((C1812=TRUE)*(F1812-Calc!F25))+B1827+(ArtifactsInput!$M$24-ArtifactsInput!$M$24)*CHOOSE(ArtifactsInput!$N$24+1,10,12,14,16,18,20)+IF(ArtifactsInput!$M$10,CHOOSE(ArtifactsInput!$N$10+1,15,18,21,24,27,30)*(IF(Inputs!$B$39="pvp",MIN(15,15)/15,IF(AND(Inputs!$B$39&lt;&gt;"pvp",Inputs!$B$44&gt;0),MIN(15,Inputs!$B$44)/(Inputs!$B$44),0))),0)))&gt;=100),CHOOSE(ArtifactsInput!$N$42+1,40,48,56,64,72,80),0))))/100)*(((1+(((C1808=TRUE)*F1808*IF(AND(Inputs!$B$39&lt;&gt;"pvp",Inputs!$B$44&gt;0),(((R1808-1)*(Skills!Y21*(1+Inputs!$B$34/100))+MIN((Skills!Y21*(1+Inputs!$B$34/100)),MAX(0,Inputs!$B$44-((R1808-1)*Skills!D21))))/Inputs!$B$44),IF(Inputs!$B$39="pvp",MIN((Skills!Y21*(1+Inputs!$B$34/100)),15)/15,(Skills!Y21*(1+Inputs!$B$34/100))/Skills!D21)))+((C1815=TRUE)*(F1815-Calc!F28))+((C1805=TRUE)*(F1805-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1802=TRUE)*F1802*IF(AND(Inputs!$B$39&lt;&gt;"pvp",Inputs!$B$44&gt;0),(((R1802-1)*(Skills!Y15*(1+Inputs!$B$34/100))+MIN((Skills!Y15*(1+Inputs!$B$34/100)),MAX(0,Inputs!$B$44-((R1802-1)*Skills!D15))))/Inputs!$B$44),IF(Inputs!$B$39="pvp",MIN((Skills!Y15*(1+Inputs!$B$34/100)),15)/15,(Skills!Y15*(1+Inputs!$B$34/100))/Skills!D15)))/100)*(1+((C1793=TRUE)*F1793*B1821)/100))*B1829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1795)</f>
        <v/>
      </c>
      <c r="L1795">
        <f>K1795*(MIN(Inputs!$B$22+((C1811=TRUE)*(F1811-Calc!F24)),(Inputs!$B$23+0+(IF(ArtifactsInput!$M$15,CHOOSE(ArtifactsInput!$N$15+1,25,30,35,40,45,50)/100*(Inputs!$B$11-Inputs!$B$11),0))))/100+(Inputs!$B$23+0+(IF(ArtifactsInput!$M$15,CHOOSE(ArtifactsInput!$N$15+1,25,30,35,40,45,50)/100*(Inputs!$B$11-Inputs!$B$11),0)))/100)/2</f>
        <v/>
      </c>
      <c r="M1795">
        <f>L1795*(1+(Inputs!$B$10+((C1813=TRUE)*(F1813-Calc!F26))+B1830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95">
        <f>L1795*(1-MIN((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1795*(MIN((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95">
        <f>(1-Summary!$B$11)*T1795+Summary!$B$11*V1795</f>
        <v/>
      </c>
      <c r="P1795">
        <f>IF(B1831=0,0,O1795/B1831)</f>
        <v/>
      </c>
      <c r="Q1795">
        <f>IFERROR(1/IF(Inputs!$B$39="pvp",15,MAX(0.1,Skills!D8-IF(Skills!E8=TRUE,Inputs!$B$32,0))),0)</f>
        <v/>
      </c>
      <c r="R1795">
        <f>IF(AND(Inputs!$B$39&lt;&gt;"pvp",Inputs!$B$44&gt;0),IF(MAX(0,Inputs!$B$44-B1832)&lt;=0,0,(INT(MAX(0,Inputs!$B$44-B1832)/IF(Inputs!$B$39="pvp",15,MAX(0.1,Skills!D8-IF(Skills!E8=TRUE,Inputs!$B$32,0))))+1)),0)</f>
        <v/>
      </c>
      <c r="S1795">
        <f>IFERROR(O1795/N1795,0)</f>
        <v/>
      </c>
      <c r="T1795">
        <f>IF(C1795,(H1795*N1795*IF(AND(Inputs!$B$39&lt;&gt;"pvp",Inputs!$B$44&gt;0),((Skills!G8*((R1795-1)*IF(Skills!H8&gt;0,Skills!I8/Skills!H8,1)+IF(Skills!H8&gt;0,MIN(Skills!I8,MAX(0,MAX(0,Inputs!$B$44-B1832)-((R1795-1)*IF(Inputs!$B$39="pvp",15,MAX(0.1,Skills!D8-IF(Skills!E8=TRUE,Inputs!$B$32,0))))))/Skills!H8,1)))/Inputs!$B$44),G1795*Q1795))*IF(Inputs!$B$39="pvp",1,1+(Inputs!$B$20+((C1814=TRUE)*(F1814-Calc!F27))+Skills!P8+B1828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1795*(1-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1795*(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1795*(1-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1795*(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95">
        <f>IF(C1795,(H1795*N1795*IF(AND(Inputs!$B$39&lt;&gt;"pvp",Inputs!$B$44&gt;0),((Skills!G8*((R1795-1)*IF(Skills!H8&gt;0,Skills!I8/Skills!H8,1)+IF(Skills!H8&gt;0,MIN(Skills!I8,MAX(0,MAX(0,Inputs!$B$44-B1832)-((R1795-1)*IF(Inputs!$B$39="pvp",15,MAX(0.1,Skills!D8-IF(Skills!E8=TRUE,Inputs!$B$32,0))))))/Skills!H8,1)))/Inputs!$B$44),G1795*Q1795))*IF(Inputs!$B$39="pvp",1,(1+(Inputs!$B$21+Skills!Q8+B1828+(IF(ArtifactsInput!$M$33,CHOOSE(ArtifactsInput!$N$33+1,30,36,42,48,54,60),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96">
      <c r="A1796">
        <f>Skills!A9</f>
        <v/>
      </c>
      <c r="B1796">
        <f>Skills!B9</f>
        <v/>
      </c>
      <c r="C1796">
        <f>Inputs!$B$3&gt;=72</f>
        <v/>
      </c>
      <c r="D1796">
        <f>IF(Skills!C9=1,60+Inputs!$B$25+Inputs!$B$29,IF(Skills!C9=2,90+Inputs!$B$26+Inputs!$B$29,IF(Skills!C9=3,120+Inputs!$B$27+Inputs!$B$29,MAX(0,(Inputs!$B$3-100)*3)+Inputs!$B$28+Inputs!$B$29)))</f>
        <v/>
      </c>
      <c r="E1796">
        <f>INDEX(FactorTable!$B$2:$Y$301, MATCH(ROUND(MIN(300,MAX(1,D1796)),0), FactorTable!$A$2:$A$301,0), Skills!M9+1)</f>
        <v/>
      </c>
      <c r="F1796">
        <f>IF(Skills!N9=TRUE,(Skills!L9/10)*(E1796/1000),Skills!L9/10)+Skills!O9</f>
        <v/>
      </c>
      <c r="G1796">
        <f>Calc!G9</f>
        <v/>
      </c>
      <c r="H1796">
        <f>Calc!H9</f>
        <v/>
      </c>
      <c r="I1796">
        <f>IF(Skills!AA9&lt;&gt;"",1+(Skills!AA9/10)*(U1790/1000)/100,1)</f>
        <v/>
      </c>
      <c r="J1796">
        <f>((Inputs!$B$6*(1+Inputs!$B$7/100))+(((Inputs!$B$12*(1+Inputs!$B$13/100))-(Inputs!$B$12*(1+Inputs!$B$13/100)))+0.25*(Inputs!$B$14-Inputs!$B$14))*(1+Inputs!$B$7/100))*(F1796/100)</f>
        <v/>
      </c>
      <c r="K1796">
        <f>J1796*(1+((Inputs!$B$12*(1+Inputs!$B$13/100))*0.01+Inputs!$B$14*0.0025)/100)*(1+Inputs!$B$15/100)*(1+Inputs!$B$16/100)*(5000/(6000+Inputs!$B$43*(1-(100*(1-(1-(Inputs!$B$19+0)/100)*(1-CHOOSE(ArtifactsInput!$N$40+1,5,6,7,8,9,10)/100)^(ArtifactsInput!$M$40-ArtifactsInput!$M$40)))/100)))*(1+(Inputs!$B$24+((C1817=TRUE)*(F1817-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1810=TRUE)*(F1810-Calc!F23))+(((IF(AND(ArtifactsInput!$M$42,((Inputs!$B$9+((C1812=TRUE)*(F1812-Calc!F25))+B1827+(ArtifactsInput!$M$24-ArtifactsInput!$M$24)*CHOOSE(ArtifactsInput!$N$24+1,10,12,14,16,18,20)+IF(ArtifactsInput!$M$10,CHOOSE(ArtifactsInput!$N$10+1,15,18,21,24,27,30)*(IF(Inputs!$B$39="pvp",MIN(15,15)/15,IF(AND(Inputs!$B$39&lt;&gt;"pvp",Inputs!$B$44&gt;0),MIN(15,Inputs!$B$44)/(Inputs!$B$44),0))),0)))&gt;=100),MIN(100,((Inputs!$B$9+((C1812=TRUE)*(F1812-Calc!F25))+B1827+(ArtifactsInput!$M$24-ArtifactsInput!$M$24)*CHOOSE(ArtifactsInput!$N$24+1,10,12,14,16,18,20)+IF(ArtifactsInput!$M$10,CHOOSE(ArtifactsInput!$N$10+1,15,18,21,24,27,30)*(IF(Inputs!$B$39="pvp",MIN(15,15)/15,IF(AND(Inputs!$B$39&lt;&gt;"pvp",Inputs!$B$44&gt;0),MIN(15,Inputs!$B$44)/(Inputs!$B$44),0))),0)))-100),0))*CHOOSE(ArtifactsInput!$N$42+1,0.6,0.72,0.84,0.96,1.08,1.2))),Inputs!$B$18+((C1816=TRUE)*(F1816-Calc!F29))+(IF(AND(ArtifactsInput!$M$42,((Inputs!$B$9+((C1812=TRUE)*(F1812-Calc!F25))+B1827+(ArtifactsInput!$M$24-ArtifactsInput!$M$24)*CHOOSE(ArtifactsInput!$N$24+1,10,12,14,16,18,20)+IF(ArtifactsInput!$M$10,CHOOSE(ArtifactsInput!$N$10+1,15,18,21,24,27,30)*(IF(Inputs!$B$39="pvp",MIN(15,15)/15,IF(AND(Inputs!$B$39&lt;&gt;"pvp",Inputs!$B$44&gt;0),MIN(15,Inputs!$B$44)/(Inputs!$B$44),0))),0)))&gt;=100),CHOOSE(ArtifactsInput!$N$42+1,40,48,56,64,72,80),0))))/100)*(((1+(((C1808=TRUE)*F1808*IF(AND(Inputs!$B$39&lt;&gt;"pvp",Inputs!$B$44&gt;0),(((R1808-1)*(Skills!Y21*(1+Inputs!$B$34/100))+MIN((Skills!Y21*(1+Inputs!$B$34/100)),MAX(0,Inputs!$B$44-((R1808-1)*Skills!D21))))/Inputs!$B$44),IF(Inputs!$B$39="pvp",MIN((Skills!Y21*(1+Inputs!$B$34/100)),15)/15,(Skills!Y21*(1+Inputs!$B$34/100))/Skills!D21)))+((C1815=TRUE)*(F1815-Calc!F28))+((C1805=TRUE)*(F1805-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1802=TRUE)*F1802*IF(AND(Inputs!$B$39&lt;&gt;"pvp",Inputs!$B$44&gt;0),(((R1802-1)*(Skills!Y15*(1+Inputs!$B$34/100))+MIN((Skills!Y15*(1+Inputs!$B$34/100)),MAX(0,Inputs!$B$44-((R1802-1)*Skills!D15))))/Inputs!$B$44),IF(Inputs!$B$39="pvp",MIN((Skills!Y15*(1+Inputs!$B$34/100)),15)/15,(Skills!Y15*(1+Inputs!$B$34/100))/Skills!D15)))/100)*(1+((C1793=TRUE)*F1793*B1821)/100))*B1829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1796)</f>
        <v/>
      </c>
      <c r="L1796">
        <f>K1796*(MIN(Inputs!$B$22+((C1811=TRUE)*(F1811-Calc!F24)),(Inputs!$B$23+0+(IF(ArtifactsInput!$M$15,CHOOSE(ArtifactsInput!$N$15+1,25,30,35,40,45,50)/100*(Inputs!$B$11-Inputs!$B$11),0))))/100+(Inputs!$B$23+0+(IF(ArtifactsInput!$M$15,CHOOSE(ArtifactsInput!$N$15+1,25,30,35,40,45,50)/100*(Inputs!$B$11-Inputs!$B$11),0)))/100)/2</f>
        <v/>
      </c>
      <c r="M1796">
        <f>L1796*(1+(Inputs!$B$10+((C1813=TRUE)*(F1813-Calc!F26))+B1830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96">
        <f>L1796*(1-MIN((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1796*(MIN((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96">
        <f>(1-Summary!$B$11)*T1796+Summary!$B$11*V1796</f>
        <v/>
      </c>
      <c r="P1796">
        <f>IF(B1831=0,0,O1796/B1831)</f>
        <v/>
      </c>
      <c r="Q1796">
        <f>IFERROR(1/IF(Inputs!$B$39="pvp",15,MAX(0.1,Skills!D9-IF(Skills!E9=TRUE,Inputs!$B$32,0))),0)</f>
        <v/>
      </c>
      <c r="R1796">
        <f>IF(AND(Inputs!$B$39&lt;&gt;"pvp",Inputs!$B$44&gt;0),IF(MAX(0,Inputs!$B$44-B1832)&lt;=0,0,(INT(MAX(0,Inputs!$B$44-B1832)/IF(Inputs!$B$39="pvp",15,MAX(0.1,Skills!D9-IF(Skills!E9=TRUE,Inputs!$B$32,0))))+1)),0)</f>
        <v/>
      </c>
      <c r="S1796">
        <f>IFERROR(O1796/N1796,0)</f>
        <v/>
      </c>
      <c r="T1796">
        <f>IF(C1796,(H1796*N1796*IF(AND(Inputs!$B$39&lt;&gt;"pvp",Inputs!$B$44&gt;0),((Skills!G9*((R1796-1)*IF(Skills!H9&gt;0,Skills!I9/Skills!H9,1)+IF(Skills!H9&gt;0,MIN(Skills!I9,MAX(0,MAX(0,Inputs!$B$44-B1832)-((R1796-1)*IF(Inputs!$B$39="pvp",15,MAX(0.1,Skills!D9-IF(Skills!E9=TRUE,Inputs!$B$32,0))))))/Skills!H9,1)))/Inputs!$B$44),G1796*Q1796))*IF(Inputs!$B$39="pvp",1,1+(Inputs!$B$20+((C1814=TRUE)*(F1814-Calc!F27))+Skills!P9+B1828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1796*(1-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1796*(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1796*(1-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1796*(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96">
        <f>IF(C1796,(H1796*N1796*IF(AND(Inputs!$B$39&lt;&gt;"pvp",Inputs!$B$44&gt;0),((Skills!G9*((R1796-1)*IF(Skills!H9&gt;0,Skills!I9/Skills!H9,1)+IF(Skills!H9&gt;0,MIN(Skills!I9,MAX(0,MAX(0,Inputs!$B$44-B1832)-((R1796-1)*IF(Inputs!$B$39="pvp",15,MAX(0.1,Skills!D9-IF(Skills!E9=TRUE,Inputs!$B$32,0))))))/Skills!H9,1)))/Inputs!$B$44),G1796*Q1796))*IF(Inputs!$B$39="pvp",1,(1+(Inputs!$B$21+Skills!Q9+B1828+(IF(ArtifactsInput!$M$33,CHOOSE(ArtifactsInput!$N$33+1,30,36,42,48,54,60),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97">
      <c r="A1797">
        <f>Skills!A10</f>
        <v/>
      </c>
      <c r="B1797">
        <f>Skills!B10</f>
        <v/>
      </c>
      <c r="C1797">
        <f>Inputs!$B$3&gt;=117</f>
        <v/>
      </c>
      <c r="D1797">
        <f>IF(Skills!C10=1,60+Inputs!$B$25+Inputs!$B$29,IF(Skills!C10=2,90+Inputs!$B$26+Inputs!$B$29,IF(Skills!C10=3,120+Inputs!$B$27+Inputs!$B$29,MAX(0,(Inputs!$B$3-100)*3)+Inputs!$B$28+Inputs!$B$29)))</f>
        <v/>
      </c>
      <c r="E1797">
        <f>INDEX(FactorTable!$B$2:$Y$301, MATCH(ROUND(MIN(300,MAX(1,D1797)),0), FactorTable!$A$2:$A$301,0), Skills!M10+1)</f>
        <v/>
      </c>
      <c r="F1797">
        <f>IF(Skills!N10=TRUE,(Skills!L10/10)*(E1797/1000),Skills!L10/10)+Skills!O10</f>
        <v/>
      </c>
      <c r="G1797">
        <f>Calc!G10</f>
        <v/>
      </c>
      <c r="H1797">
        <f>Calc!H10</f>
        <v/>
      </c>
      <c r="I1797">
        <f>IF(Skills!AA10&lt;&gt;"",1+(Skills!AA10/10)*(U1790/1000)/100,1)</f>
        <v/>
      </c>
      <c r="J1797">
        <f>((Inputs!$B$6*(1+Inputs!$B$7/100))+(((Inputs!$B$12*(1+Inputs!$B$13/100))-(Inputs!$B$12*(1+Inputs!$B$13/100)))+0.25*(Inputs!$B$14-Inputs!$B$14))*(1+Inputs!$B$7/100))*(F1797/100)</f>
        <v/>
      </c>
      <c r="K1797">
        <f>J1797*(1+((Inputs!$B$12*(1+Inputs!$B$13/100))*0.01+Inputs!$B$14*0.0025)/100)*(1+Inputs!$B$15/100)*(1+Inputs!$B$16/100)*(5000/(6000+Inputs!$B$43*(1-(100*(1-(1-(Inputs!$B$19+0)/100)*(1-CHOOSE(ArtifactsInput!$N$40+1,5,6,7,8,9,10)/100)^(ArtifactsInput!$M$40-ArtifactsInput!$M$40)))/100)))*(1+(Inputs!$B$24+((C1817=TRUE)*(F1817-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1810=TRUE)*(F1810-Calc!F23))+(((IF(AND(ArtifactsInput!$M$42,((Inputs!$B$9+((C1812=TRUE)*(F1812-Calc!F25))+B1827+(ArtifactsInput!$M$24-ArtifactsInput!$M$24)*CHOOSE(ArtifactsInput!$N$24+1,10,12,14,16,18,20)+IF(ArtifactsInput!$M$10,CHOOSE(ArtifactsInput!$N$10+1,15,18,21,24,27,30)*(IF(Inputs!$B$39="pvp",MIN(15,15)/15,IF(AND(Inputs!$B$39&lt;&gt;"pvp",Inputs!$B$44&gt;0),MIN(15,Inputs!$B$44)/(Inputs!$B$44),0))),0)))&gt;=100),MIN(100,((Inputs!$B$9+((C1812=TRUE)*(F1812-Calc!F25))+B1827+(ArtifactsInput!$M$24-ArtifactsInput!$M$24)*CHOOSE(ArtifactsInput!$N$24+1,10,12,14,16,18,20)+IF(ArtifactsInput!$M$10,CHOOSE(ArtifactsInput!$N$10+1,15,18,21,24,27,30)*(IF(Inputs!$B$39="pvp",MIN(15,15)/15,IF(AND(Inputs!$B$39&lt;&gt;"pvp",Inputs!$B$44&gt;0),MIN(15,Inputs!$B$44)/(Inputs!$B$44),0))),0)))-100),0))*CHOOSE(ArtifactsInput!$N$42+1,0.6,0.72,0.84,0.96,1.08,1.2))),Inputs!$B$18+((C1816=TRUE)*(F1816-Calc!F29))+(IF(AND(ArtifactsInput!$M$42,((Inputs!$B$9+((C1812=TRUE)*(F1812-Calc!F25))+B1827+(ArtifactsInput!$M$24-ArtifactsInput!$M$24)*CHOOSE(ArtifactsInput!$N$24+1,10,12,14,16,18,20)+IF(ArtifactsInput!$M$10,CHOOSE(ArtifactsInput!$N$10+1,15,18,21,24,27,30)*(IF(Inputs!$B$39="pvp",MIN(15,15)/15,IF(AND(Inputs!$B$39&lt;&gt;"pvp",Inputs!$B$44&gt;0),MIN(15,Inputs!$B$44)/(Inputs!$B$44),0))),0)))&gt;=100),CHOOSE(ArtifactsInput!$N$42+1,40,48,56,64,72,80),0))))/100)*(((1+(((C1808=TRUE)*F1808*IF(AND(Inputs!$B$39&lt;&gt;"pvp",Inputs!$B$44&gt;0),(((R1808-1)*(Skills!Y21*(1+Inputs!$B$34/100))+MIN((Skills!Y21*(1+Inputs!$B$34/100)),MAX(0,Inputs!$B$44-((R1808-1)*Skills!D21))))/Inputs!$B$44),IF(Inputs!$B$39="pvp",MIN((Skills!Y21*(1+Inputs!$B$34/100)),15)/15,(Skills!Y21*(1+Inputs!$B$34/100))/Skills!D21)))+((C1815=TRUE)*(F1815-Calc!F28))+((C1805=TRUE)*(F1805-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1802=TRUE)*F1802*IF(AND(Inputs!$B$39&lt;&gt;"pvp",Inputs!$B$44&gt;0),(((R1802-1)*(Skills!Y15*(1+Inputs!$B$34/100))+MIN((Skills!Y15*(1+Inputs!$B$34/100)),MAX(0,Inputs!$B$44-((R1802-1)*Skills!D15))))/Inputs!$B$44),IF(Inputs!$B$39="pvp",MIN((Skills!Y15*(1+Inputs!$B$34/100)),15)/15,(Skills!Y15*(1+Inputs!$B$34/100))/Skills!D15)))/100)*(1+((C1793=TRUE)*F1793*B1821)/100))*B1829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1797)</f>
        <v/>
      </c>
      <c r="L1797">
        <f>K1797*(MIN(Inputs!$B$22+((C1811=TRUE)*(F1811-Calc!F24)),(Inputs!$B$23+0+(IF(ArtifactsInput!$M$15,CHOOSE(ArtifactsInput!$N$15+1,25,30,35,40,45,50)/100*(Inputs!$B$11-Inputs!$B$11),0))))/100+(Inputs!$B$23+0+(IF(ArtifactsInput!$M$15,CHOOSE(ArtifactsInput!$N$15+1,25,30,35,40,45,50)/100*(Inputs!$B$11-Inputs!$B$11),0)))/100)/2</f>
        <v/>
      </c>
      <c r="M1797">
        <f>L1797*(1+(Inputs!$B$10+((C1813=TRUE)*(F1813-Calc!F26))+B1830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97">
        <f>L1797*(1-MIN((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1797*(MIN((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97">
        <f>(1-Summary!$B$11)*T1797+Summary!$B$11*V1797</f>
        <v/>
      </c>
      <c r="P1797">
        <f>IF(B1831=0,0,O1797/B1831)</f>
        <v/>
      </c>
      <c r="Q1797" t="n">
        <v>0</v>
      </c>
      <c r="R1797" t="n">
        <v>0</v>
      </c>
      <c r="S1797" t="n">
        <v>0</v>
      </c>
      <c r="T1797">
        <f>IF(C1797,(0.2*SUMPRODUCT((Skills!Z2:Z31=TRUE)*(C1789:C1818=TRUE)*S1789:S1818)*N1797)*IF(Inputs!$B$39="pvp",1,1+(Inputs!$B$20+((C1814=TRUE)*(F1814-Calc!F27))+Skills!P10+B1828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1797*(1-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1797*(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1797*(1-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1797*(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97">
        <f>IF(C1797,(0.2*SUMPRODUCT((Skills!Z2:Z31=TRUE)*(C1789:C1818=TRUE)*S1789:S1818)*N1797)*IF(Inputs!$B$39="pvp",1,(1+(Inputs!$B$21+Skills!Q10+B1828+(IF(ArtifactsInput!$M$33,CHOOSE(ArtifactsInput!$N$33+1,30,36,42,48,54,60),0))+(IF(AND(ArtifactsInput!$M$35,Inputs!$B$4&lt;&gt;"Chapter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98">
      <c r="A1798">
        <f>Skills!A11</f>
        <v/>
      </c>
      <c r="B1798">
        <f>Skills!B11</f>
        <v/>
      </c>
      <c r="C1798">
        <f>Inputs!$B$3&gt;=60</f>
        <v/>
      </c>
      <c r="D1798">
        <f>IF(Skills!C11=1,60+Inputs!$B$25+Inputs!$B$29,IF(Skills!C11=2,90+Inputs!$B$26+Inputs!$B$29,IF(Skills!C11=3,120+Inputs!$B$27+Inputs!$B$29,MAX(0,(Inputs!$B$3-100)*3)+Inputs!$B$28+Inputs!$B$29)))</f>
        <v/>
      </c>
      <c r="E1798">
        <f>INDEX(FactorTable!$B$2:$Y$301, MATCH(ROUND(MIN(300,MAX(1,D1798)),0), FactorTable!$A$2:$A$301,0), Skills!M11+1)</f>
        <v/>
      </c>
      <c r="F1798">
        <f>IF(Skills!N11=TRUE,(Skills!L11/10)*(E1798/1000),Skills!L11/10)+Skills!O11</f>
        <v/>
      </c>
      <c r="G1798">
        <f>Calc!G11</f>
        <v/>
      </c>
      <c r="H1798">
        <f>Calc!H11</f>
        <v/>
      </c>
      <c r="I1798">
        <f>IF(Skills!AA11&lt;&gt;"",1+(Skills!AA11/10)*(U1790/1000)/100,1)</f>
        <v/>
      </c>
      <c r="J1798" t="inlineStr"/>
      <c r="K1798" t="inlineStr"/>
      <c r="L1798" t="inlineStr"/>
      <c r="M1798" t="inlineStr"/>
      <c r="N1798" t="inlineStr"/>
      <c r="O1798">
        <f>(1-Summary!$B$11)*T1798+Summary!$B$11*V1798</f>
        <v/>
      </c>
      <c r="P1798">
        <f>IF(B1831=0,0,O1798/B1831)</f>
        <v/>
      </c>
      <c r="Q1798" t="n">
        <v>0</v>
      </c>
      <c r="R1798" t="n">
        <v>0</v>
      </c>
      <c r="S1798">
        <f>IFERROR(O1798/N1798,0)</f>
        <v/>
      </c>
      <c r="T1798" t="n">
        <v>0</v>
      </c>
      <c r="V1798" t="n">
        <v>0</v>
      </c>
    </row>
    <row r="1799">
      <c r="A1799">
        <f>Skills!A12</f>
        <v/>
      </c>
      <c r="B1799">
        <f>Skills!B12</f>
        <v/>
      </c>
      <c r="C1799">
        <f>Inputs!$B$3&gt;=103</f>
        <v/>
      </c>
      <c r="D1799">
        <f>IF(Skills!C12=1,60+Inputs!$B$25+Inputs!$B$29,IF(Skills!C12=2,90+Inputs!$B$26+Inputs!$B$29,IF(Skills!C12=3,120+Inputs!$B$27+Inputs!$B$29,MAX(0,(Inputs!$B$3-100)*3)+Inputs!$B$28+Inputs!$B$29)))</f>
        <v/>
      </c>
      <c r="E1799">
        <f>INDEX(FactorTable!$B$2:$Y$301, MATCH(ROUND(MIN(300,MAX(1,D1799)),0), FactorTable!$A$2:$A$301,0), Skills!M12+1)</f>
        <v/>
      </c>
      <c r="F1799">
        <f>IF(Skills!N12=TRUE,(Skills!L12/10)*(E1799/1000),Skills!L12/10)+Skills!O12</f>
        <v/>
      </c>
      <c r="G1799">
        <f>Calc!G12</f>
        <v/>
      </c>
      <c r="H1799">
        <f>Calc!H12</f>
        <v/>
      </c>
      <c r="I1799">
        <f>IF(Skills!AA12&lt;&gt;"",1+(Skills!AA12/10)*(U1790/1000)/100,1)</f>
        <v/>
      </c>
      <c r="J1799">
        <f>((Inputs!$B$6*(1+Inputs!$B$7/100))+(((Inputs!$B$12*(1+Inputs!$B$13/100))-(Inputs!$B$12*(1+Inputs!$B$13/100)))+0.25*(Inputs!$B$14-Inputs!$B$14))*(1+Inputs!$B$7/100))*(F1799/100)</f>
        <v/>
      </c>
      <c r="K1799">
        <f>J1799*(1+((Inputs!$B$12*(1+Inputs!$B$13/100))*0.01+Inputs!$B$14*0.0025)/100)*(1+Inputs!$B$15/100)*(1+Inputs!$B$16/100)*(5000/(6000+Inputs!$B$43*(1-(100*(1-(1-(Inputs!$B$19+0)/100)*(1-CHOOSE(ArtifactsInput!$N$40+1,5,6,7,8,9,10)/100)^(ArtifactsInput!$M$40-ArtifactsInput!$M$40)))/100)))*(1+(Inputs!$B$24+((C1817=TRUE)*(F1817-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1810=TRUE)*(F1810-Calc!F23))+(((IF(AND(ArtifactsInput!$M$42,((Inputs!$B$9+((C1812=TRUE)*(F1812-Calc!F25))+B1827+(ArtifactsInput!$M$24-ArtifactsInput!$M$24)*CHOOSE(ArtifactsInput!$N$24+1,10,12,14,16,18,20)+IF(ArtifactsInput!$M$10,CHOOSE(ArtifactsInput!$N$10+1,15,18,21,24,27,30)*(IF(Inputs!$B$39="pvp",MIN(15,15)/15,IF(AND(Inputs!$B$39&lt;&gt;"pvp",Inputs!$B$44&gt;0),MIN(15,Inputs!$B$44)/(Inputs!$B$44),0))),0)))&gt;=100),MIN(100,((Inputs!$B$9+((C1812=TRUE)*(F1812-Calc!F25))+B1827+(ArtifactsInput!$M$24-ArtifactsInput!$M$24)*CHOOSE(ArtifactsInput!$N$24+1,10,12,14,16,18,20)+IF(ArtifactsInput!$M$10,CHOOSE(ArtifactsInput!$N$10+1,15,18,21,24,27,30)*(IF(Inputs!$B$39="pvp",MIN(15,15)/15,IF(AND(Inputs!$B$39&lt;&gt;"pvp",Inputs!$B$44&gt;0),MIN(15,Inputs!$B$44)/(Inputs!$B$44),0))),0)))-100),0))*CHOOSE(ArtifactsInput!$N$42+1,0.6,0.72,0.84,0.96,1.08,1.2))),Inputs!$B$18+((C1816=TRUE)*(F1816-Calc!F29))+(IF(AND(ArtifactsInput!$M$42,((Inputs!$B$9+((C1812=TRUE)*(F1812-Calc!F25))+B1827+(ArtifactsInput!$M$24-ArtifactsInput!$M$24)*CHOOSE(ArtifactsInput!$N$24+1,10,12,14,16,18,20)+IF(ArtifactsInput!$M$10,CHOOSE(ArtifactsInput!$N$10+1,15,18,21,24,27,30)*(IF(Inputs!$B$39="pvp",MIN(15,15)/15,IF(AND(Inputs!$B$39&lt;&gt;"pvp",Inputs!$B$44&gt;0),MIN(15,Inputs!$B$44)/(Inputs!$B$44),0))),0)))&gt;=100),CHOOSE(ArtifactsInput!$N$42+1,40,48,56,64,72,80),0))))/100)*(((1+(((C1808=TRUE)*F1808*IF(AND(Inputs!$B$39&lt;&gt;"pvp",Inputs!$B$44&gt;0),(((R1808-1)*(Skills!Y21*(1+Inputs!$B$34/100))+MIN((Skills!Y21*(1+Inputs!$B$34/100)),MAX(0,Inputs!$B$44-((R1808-1)*Skills!D21))))/Inputs!$B$44),IF(Inputs!$B$39="pvp",MIN((Skills!Y21*(1+Inputs!$B$34/100)),15)/15,(Skills!Y21*(1+Inputs!$B$34/100))/Skills!D21)))+((C1815=TRUE)*(F1815-Calc!F28))+((C1805=TRUE)*(F1805-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1802=TRUE)*F1802*IF(AND(Inputs!$B$39&lt;&gt;"pvp",Inputs!$B$44&gt;0),(((R1802-1)*(Skills!Y15*(1+Inputs!$B$34/100))+MIN((Skills!Y15*(1+Inputs!$B$34/100)),MAX(0,Inputs!$B$44-((R1802-1)*Skills!D15))))/Inputs!$B$44),IF(Inputs!$B$39="pvp",MIN((Skills!Y15*(1+Inputs!$B$34/100)),15)/15,(Skills!Y15*(1+Inputs!$B$34/100))/Skills!D15)))/100)*(1+((C1793=TRUE)*F1793*B1821)/100))*B1829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1799)</f>
        <v/>
      </c>
      <c r="L1799">
        <f>K1799*(MIN(Inputs!$B$22+((C1811=TRUE)*(F1811-Calc!F24)),(Inputs!$B$23+0+(IF(ArtifactsInput!$M$15,CHOOSE(ArtifactsInput!$N$15+1,25,30,35,40,45,50)/100*(Inputs!$B$11-Inputs!$B$11),0))))/100+(Inputs!$B$23+0+(IF(ArtifactsInput!$M$15,CHOOSE(ArtifactsInput!$N$15+1,25,30,35,40,45,50)/100*(Inputs!$B$11-Inputs!$B$11),0)))/100)/2</f>
        <v/>
      </c>
      <c r="M1799">
        <f>L1799*(1+(Inputs!$B$10+((C1813=TRUE)*(F1813-Calc!F26))+B1830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99">
        <f>L1799*(1-MIN((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1799*(MIN((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99">
        <f>(1-Summary!$B$11)*T1799+Summary!$B$11*V1799</f>
        <v/>
      </c>
      <c r="P1799">
        <f>IF(B1831=0,0,O1799/B1831)</f>
        <v/>
      </c>
      <c r="Q1799">
        <f>IFERROR(1/IF(Inputs!$B$39="pvp",15,MAX(0.1,Skills!D12-IF(Skills!E12=TRUE,Inputs!$B$32,0))),0)</f>
        <v/>
      </c>
      <c r="R1799">
        <f>IF(AND(Inputs!$B$39&lt;&gt;"pvp",Inputs!$B$44&gt;0),IF(MAX(0,Inputs!$B$44-B1832)&lt;=0,0,(INT(MAX(0,Inputs!$B$44-B1832)/IF(Inputs!$B$39="pvp",15,MAX(0.1,Skills!D12-IF(Skills!E12=TRUE,Inputs!$B$32,0))))+1)),0)</f>
        <v/>
      </c>
      <c r="S1799">
        <f>IFERROR(O1799/N1799,0)</f>
        <v/>
      </c>
      <c r="T1799">
        <f>IF(C1799,(H1799*N1799*IF(AND(Inputs!$B$39&lt;&gt;"pvp",Inputs!$B$44&gt;0),((Skills!G12*((R1799-1)*IF(Skills!H12&gt;0,Skills!I12/Skills!H12,1)+IF(Skills!H12&gt;0,MIN(Skills!I12,MAX(0,MAX(0,Inputs!$B$44-B1832)-((R1799-1)*IF(Inputs!$B$39="pvp",15,MAX(0.1,Skills!D12-IF(Skills!E12=TRUE,Inputs!$B$32,0))))))/Skills!H12,1)))/Inputs!$B$44),G1799*Q1799))*IF(Inputs!$B$39="pvp",1,1+(Inputs!$B$20+((C1814=TRUE)*(F1814-Calc!F27))+Skills!P12+B1828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1799*(1-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1799*(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1799*(1-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1799*(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99">
        <f>IF(C1799,(H1799*N1799*IF(AND(Inputs!$B$39&lt;&gt;"pvp",Inputs!$B$44&gt;0),((Skills!G12*((R1799-1)*IF(Skills!H12&gt;0,Skills!I12/Skills!H12,1)+IF(Skills!H12&gt;0,MIN(Skills!I12,MAX(0,MAX(0,Inputs!$B$44-B1832)-((R1799-1)*IF(Inputs!$B$39="pvp",15,MAX(0.1,Skills!D12-IF(Skills!E12=TRUE,Inputs!$B$32,0))))))/Skills!H12,1)))/Inputs!$B$44),G1799*Q1799))*IF(Inputs!$B$39="pvp",1,(1+(Inputs!$B$21+Skills!Q12+B1828+(IF(ArtifactsInput!$M$33,CHOOSE(ArtifactsInput!$N$33+1,30,36,42,48,54,60),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00">
      <c r="A1800">
        <f>Skills!A13</f>
        <v/>
      </c>
      <c r="B1800">
        <f>Skills!B13</f>
        <v/>
      </c>
      <c r="C1800">
        <f>Inputs!$B$3&gt;=105</f>
        <v/>
      </c>
      <c r="D1800">
        <f>IF(Skills!C13=1,60+Inputs!$B$25+Inputs!$B$29,IF(Skills!C13=2,90+Inputs!$B$26+Inputs!$B$29,IF(Skills!C13=3,120+Inputs!$B$27+Inputs!$B$29,MAX(0,(Inputs!$B$3-100)*3)+Inputs!$B$28+Inputs!$B$29)))</f>
        <v/>
      </c>
      <c r="E1800">
        <f>INDEX(FactorTable!$B$2:$Y$301, MATCH(ROUND(MIN(300,MAX(1,D1800)),0), FactorTable!$A$2:$A$301,0), Skills!M13+1)</f>
        <v/>
      </c>
      <c r="F1800">
        <f>IF(Skills!N13=TRUE,(Skills!L13/10)*(E1800/1000),Skills!L13/10)+Skills!O13</f>
        <v/>
      </c>
      <c r="G1800">
        <f>Calc!G13</f>
        <v/>
      </c>
      <c r="H1800">
        <f>Calc!H13</f>
        <v/>
      </c>
      <c r="I1800">
        <f>IF(Skills!AA13&lt;&gt;"",1+(Skills!AA13/10)*(U1790/1000)/100,1)</f>
        <v/>
      </c>
      <c r="J1800">
        <f>((Inputs!$B$6*(1+Inputs!$B$7/100))+(((Inputs!$B$12*(1+Inputs!$B$13/100))-(Inputs!$B$12*(1+Inputs!$B$13/100)))+0.25*(Inputs!$B$14-Inputs!$B$14))*(1+Inputs!$B$7/100))*(F1800/100)</f>
        <v/>
      </c>
      <c r="K1800">
        <f>J1800*(1+((Inputs!$B$12*(1+Inputs!$B$13/100))*0.01+Inputs!$B$14*0.0025)/100)*(1+Inputs!$B$15/100)*(1+Inputs!$B$16/100)*(5000/(6000+Inputs!$B$43*(1-(100*(1-(1-(Inputs!$B$19+0)/100)*(1-CHOOSE(ArtifactsInput!$N$40+1,5,6,7,8,9,10)/100)^(ArtifactsInput!$M$40-ArtifactsInput!$M$40)))/100)))*(1+(Inputs!$B$24+((C1817=TRUE)*(F1817-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1810=TRUE)*(F1810-Calc!F23))+(((IF(AND(ArtifactsInput!$M$42,((Inputs!$B$9+((C1812=TRUE)*(F1812-Calc!F25))+B1827+(ArtifactsInput!$M$24-ArtifactsInput!$M$24)*CHOOSE(ArtifactsInput!$N$24+1,10,12,14,16,18,20)+IF(ArtifactsInput!$M$10,CHOOSE(ArtifactsInput!$N$10+1,15,18,21,24,27,30)*(IF(Inputs!$B$39="pvp",MIN(15,15)/15,IF(AND(Inputs!$B$39&lt;&gt;"pvp",Inputs!$B$44&gt;0),MIN(15,Inputs!$B$44)/(Inputs!$B$44),0))),0)))&gt;=100),MIN(100,((Inputs!$B$9+((C1812=TRUE)*(F1812-Calc!F25))+B1827+(ArtifactsInput!$M$24-ArtifactsInput!$M$24)*CHOOSE(ArtifactsInput!$N$24+1,10,12,14,16,18,20)+IF(ArtifactsInput!$M$10,CHOOSE(ArtifactsInput!$N$10+1,15,18,21,24,27,30)*(IF(Inputs!$B$39="pvp",MIN(15,15)/15,IF(AND(Inputs!$B$39&lt;&gt;"pvp",Inputs!$B$44&gt;0),MIN(15,Inputs!$B$44)/(Inputs!$B$44),0))),0)))-100),0))*CHOOSE(ArtifactsInput!$N$42+1,0.6,0.72,0.84,0.96,1.08,1.2))),Inputs!$B$18+((C1816=TRUE)*(F1816-Calc!F29))+(IF(AND(ArtifactsInput!$M$42,((Inputs!$B$9+((C1812=TRUE)*(F1812-Calc!F25))+B1827+(ArtifactsInput!$M$24-ArtifactsInput!$M$24)*CHOOSE(ArtifactsInput!$N$24+1,10,12,14,16,18,20)+IF(ArtifactsInput!$M$10,CHOOSE(ArtifactsInput!$N$10+1,15,18,21,24,27,30)*(IF(Inputs!$B$39="pvp",MIN(15,15)/15,IF(AND(Inputs!$B$39&lt;&gt;"pvp",Inputs!$B$44&gt;0),MIN(15,Inputs!$B$44)/(Inputs!$B$44),0))),0)))&gt;=100),CHOOSE(ArtifactsInput!$N$42+1,40,48,56,64,72,80),0))))/100)*(((1+(((C1808=TRUE)*F1808*IF(AND(Inputs!$B$39&lt;&gt;"pvp",Inputs!$B$44&gt;0),(((R1808-1)*(Skills!Y21*(1+Inputs!$B$34/100))+MIN((Skills!Y21*(1+Inputs!$B$34/100)),MAX(0,Inputs!$B$44-((R1808-1)*Skills!D21))))/Inputs!$B$44),IF(Inputs!$B$39="pvp",MIN((Skills!Y21*(1+Inputs!$B$34/100)),15)/15,(Skills!Y21*(1+Inputs!$B$34/100))/Skills!D21)))+((C1815=TRUE)*(F1815-Calc!F28))+((C1805=TRUE)*(F1805-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1802=TRUE)*F1802*IF(AND(Inputs!$B$39&lt;&gt;"pvp",Inputs!$B$44&gt;0),(((R1802-1)*(Skills!Y15*(1+Inputs!$B$34/100))+MIN((Skills!Y15*(1+Inputs!$B$34/100)),MAX(0,Inputs!$B$44-((R1802-1)*Skills!D15))))/Inputs!$B$44),IF(Inputs!$B$39="pvp",MIN((Skills!Y15*(1+Inputs!$B$34/100)),15)/15,(Skills!Y15*(1+Inputs!$B$34/100))/Skills!D15)))/100)*(1+((C1793=TRUE)*F1793*B1821)/100))*B1829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1800)</f>
        <v/>
      </c>
      <c r="L1800">
        <f>K1800*(MIN(Inputs!$B$22+((C1811=TRUE)*(F1811-Calc!F24)),(Inputs!$B$23+0+(IF(ArtifactsInput!$M$15,CHOOSE(ArtifactsInput!$N$15+1,25,30,35,40,45,50)/100*(Inputs!$B$11-Inputs!$B$11),0))))/100+(Inputs!$B$23+0+(IF(ArtifactsInput!$M$15,CHOOSE(ArtifactsInput!$N$15+1,25,30,35,40,45,50)/100*(Inputs!$B$11-Inputs!$B$11),0)))/100)/2</f>
        <v/>
      </c>
      <c r="M1800">
        <f>L1800*(1+(Inputs!$B$10+((C1813=TRUE)*(F1813-Calc!F26))+B1830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00">
        <f>L1800*(1-MIN((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1800*(MIN((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00">
        <f>(1-Summary!$B$11)*T1800+Summary!$B$11*V1800</f>
        <v/>
      </c>
      <c r="P1800">
        <f>IF(B1831=0,0,O1800/B1831)</f>
        <v/>
      </c>
      <c r="Q1800">
        <f>IFERROR(1/IF(Inputs!$B$39="pvp",15,MAX(0.1,Skills!D13-IF(Skills!E13=TRUE,Inputs!$B$32,0))),0)</f>
        <v/>
      </c>
      <c r="R1800">
        <f>IF(AND(Inputs!$B$39&lt;&gt;"pvp",Inputs!$B$44&gt;0),IF(MAX(0,Inputs!$B$44-B1832)&lt;=0,0,(INT(MAX(0,Inputs!$B$44-B1832)/IF(Inputs!$B$39="pvp",15,MAX(0.1,Skills!D13-IF(Skills!E13=TRUE,Inputs!$B$32,0))))+1)),0)</f>
        <v/>
      </c>
      <c r="S1800">
        <f>IFERROR(O1800/N1800,0)</f>
        <v/>
      </c>
      <c r="T1800">
        <f>IF(C1800,(H1800*N1800*IF(AND(Inputs!$B$39&lt;&gt;"pvp",Inputs!$B$44&gt;0),((Skills!G13*((R1800-1)*IF(Skills!H13&gt;0,Skills!I13/Skills!H13,1)+IF(Skills!H13&gt;0,MIN(Skills!I13,MAX(0,MAX(0,Inputs!$B$44-B1832)-((R1800-1)*IF(Inputs!$B$39="pvp",15,MAX(0.1,Skills!D13-IF(Skills!E13=TRUE,Inputs!$B$32,0))))))/Skills!H13,1)))/Inputs!$B$44),G1800*Q1800))*IF(Inputs!$B$39="pvp",1,1+(Inputs!$B$20+((C1814=TRUE)*(F1814-Calc!F27))+Skills!P13+B1828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1800*(1-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1800*(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1800*(1-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1800*(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00">
        <f>IF(C1800,(H1800*N1800*IF(AND(Inputs!$B$39&lt;&gt;"pvp",Inputs!$B$44&gt;0),((Skills!G13*((R1800-1)*IF(Skills!H13&gt;0,Skills!I13/Skills!H13,1)+IF(Skills!H13&gt;0,MIN(Skills!I13,MAX(0,MAX(0,Inputs!$B$44-B1832)-((R1800-1)*IF(Inputs!$B$39="pvp",15,MAX(0.1,Skills!D13-IF(Skills!E13=TRUE,Inputs!$B$32,0))))))/Skills!H13,1)))/Inputs!$B$44),G1800*Q1800))*IF(Inputs!$B$39="pvp",1,(1+(Inputs!$B$21+Skills!Q13+B1828+(IF(ArtifactsInput!$M$33,CHOOSE(ArtifactsInput!$N$33+1,30,36,42,48,54,60),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01">
      <c r="A1801">
        <f>Skills!A14</f>
        <v/>
      </c>
      <c r="B1801">
        <f>Skills!B14</f>
        <v/>
      </c>
      <c r="C1801">
        <f>Inputs!$B$3&gt;=105</f>
        <v/>
      </c>
      <c r="D1801">
        <f>IF(Skills!C14=1,60+Inputs!$B$25+Inputs!$B$29,IF(Skills!C14=2,90+Inputs!$B$26+Inputs!$B$29,IF(Skills!C14=3,120+Inputs!$B$27+Inputs!$B$29,MAX(0,(Inputs!$B$3-100)*3)+Inputs!$B$28+Inputs!$B$29)))</f>
        <v/>
      </c>
      <c r="E1801">
        <f>INDEX(FactorTable!$B$2:$Y$301, MATCH(ROUND(MIN(300,MAX(1,D1801)),0), FactorTable!$A$2:$A$301,0), Skills!M14+1)</f>
        <v/>
      </c>
      <c r="F1801">
        <f>IF(Skills!N14=TRUE,(Skills!L14/10)*(E1801/1000),Skills!L14/10)+Skills!O14</f>
        <v/>
      </c>
      <c r="G1801">
        <f>Calc!G14</f>
        <v/>
      </c>
      <c r="H1801">
        <f>Calc!H14</f>
        <v/>
      </c>
      <c r="I1801">
        <f>IF(Skills!AA14&lt;&gt;"",1+(Skills!AA14/10)*(U1790/1000)/100,1)</f>
        <v/>
      </c>
      <c r="J1801">
        <f>((Inputs!$B$6*(1+Inputs!$B$7/100))+(((Inputs!$B$12*(1+Inputs!$B$13/100))-(Inputs!$B$12*(1+Inputs!$B$13/100)))+0.25*(Inputs!$B$14-Inputs!$B$14))*(1+Inputs!$B$7/100))*(F1801/100)</f>
        <v/>
      </c>
      <c r="K1801">
        <f>J1801*(1+((Inputs!$B$12*(1+Inputs!$B$13/100))*0.01+Inputs!$B$14*0.0025)/100)*(1+Inputs!$B$15/100)*(1+Inputs!$B$16/100)*(5000/(6000+Inputs!$B$43*(1-(100*(1-(1-(Inputs!$B$19+0)/100)*(1-CHOOSE(ArtifactsInput!$N$40+1,5,6,7,8,9,10)/100)^(ArtifactsInput!$M$40-ArtifactsInput!$M$40)))/100)))*(1+(Inputs!$B$24+((C1817=TRUE)*(F1817-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1810=TRUE)*(F1810-Calc!F23))+(((IF(AND(ArtifactsInput!$M$42,((Inputs!$B$9+((C1812=TRUE)*(F1812-Calc!F25))+B1827+(ArtifactsInput!$M$24-ArtifactsInput!$M$24)*CHOOSE(ArtifactsInput!$N$24+1,10,12,14,16,18,20)+IF(ArtifactsInput!$M$10,CHOOSE(ArtifactsInput!$N$10+1,15,18,21,24,27,30)*(IF(Inputs!$B$39="pvp",MIN(15,15)/15,IF(AND(Inputs!$B$39&lt;&gt;"pvp",Inputs!$B$44&gt;0),MIN(15,Inputs!$B$44)/(Inputs!$B$44),0))),0)))&gt;=100),MIN(100,((Inputs!$B$9+((C1812=TRUE)*(F1812-Calc!F25))+B1827+(ArtifactsInput!$M$24-ArtifactsInput!$M$24)*CHOOSE(ArtifactsInput!$N$24+1,10,12,14,16,18,20)+IF(ArtifactsInput!$M$10,CHOOSE(ArtifactsInput!$N$10+1,15,18,21,24,27,30)*(IF(Inputs!$B$39="pvp",MIN(15,15)/15,IF(AND(Inputs!$B$39&lt;&gt;"pvp",Inputs!$B$44&gt;0),MIN(15,Inputs!$B$44)/(Inputs!$B$44),0))),0)))-100),0))*CHOOSE(ArtifactsInput!$N$42+1,0.6,0.72,0.84,0.96,1.08,1.2))),Inputs!$B$18+((C1816=TRUE)*(F1816-Calc!F29))+(IF(AND(ArtifactsInput!$M$42,((Inputs!$B$9+((C1812=TRUE)*(F1812-Calc!F25))+B1827+(ArtifactsInput!$M$24-ArtifactsInput!$M$24)*CHOOSE(ArtifactsInput!$N$24+1,10,12,14,16,18,20)+IF(ArtifactsInput!$M$10,CHOOSE(ArtifactsInput!$N$10+1,15,18,21,24,27,30)*(IF(Inputs!$B$39="pvp",MIN(15,15)/15,IF(AND(Inputs!$B$39&lt;&gt;"pvp",Inputs!$B$44&gt;0),MIN(15,Inputs!$B$44)/(Inputs!$B$44),0))),0)))&gt;=100),CHOOSE(ArtifactsInput!$N$42+1,40,48,56,64,72,80),0))))/100)*(((1+(((C1808=TRUE)*F1808*IF(AND(Inputs!$B$39&lt;&gt;"pvp",Inputs!$B$44&gt;0),(((R1808-1)*(Skills!Y21*(1+Inputs!$B$34/100))+MIN((Skills!Y21*(1+Inputs!$B$34/100)),MAX(0,Inputs!$B$44-((R1808-1)*Skills!D21))))/Inputs!$B$44),IF(Inputs!$B$39="pvp",MIN((Skills!Y21*(1+Inputs!$B$34/100)),15)/15,(Skills!Y21*(1+Inputs!$B$34/100))/Skills!D21)))+((C1815=TRUE)*(F1815-Calc!F28))+((C1805=TRUE)*(F1805-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1802=TRUE)*F1802*IF(AND(Inputs!$B$39&lt;&gt;"pvp",Inputs!$B$44&gt;0),(((R1802-1)*(Skills!Y15*(1+Inputs!$B$34/100))+MIN((Skills!Y15*(1+Inputs!$B$34/100)),MAX(0,Inputs!$B$44-((R1802-1)*Skills!D15))))/Inputs!$B$44),IF(Inputs!$B$39="pvp",MIN((Skills!Y15*(1+Inputs!$B$34/100)),15)/15,(Skills!Y15*(1+Inputs!$B$34/100))/Skills!D15)))/100)*(1+((C1793=TRUE)*F1793*B1821)/100))*B1829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1801)</f>
        <v/>
      </c>
      <c r="L1801">
        <f>K1801*(MIN(Inputs!$B$22+((C1811=TRUE)*(F1811-Calc!F24)),(Inputs!$B$23+0+(IF(ArtifactsInput!$M$15,CHOOSE(ArtifactsInput!$N$15+1,25,30,35,40,45,50)/100*(Inputs!$B$11-Inputs!$B$11),0))))/100+(Inputs!$B$23+0+(IF(ArtifactsInput!$M$15,CHOOSE(ArtifactsInput!$N$15+1,25,30,35,40,45,50)/100*(Inputs!$B$11-Inputs!$B$11),0)))/100)/2</f>
        <v/>
      </c>
      <c r="M1801">
        <f>L1801*(1+(Inputs!$B$10+((C1813=TRUE)*(F1813-Calc!F26))+B1830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01">
        <f>L1801*(1-MIN((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1801*(MIN((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01">
        <f>(1-Summary!$B$11)*T1801+Summary!$B$11*V1801</f>
        <v/>
      </c>
      <c r="P1801">
        <f>IF(B1831=0,0,O1801/B1831)</f>
        <v/>
      </c>
      <c r="Q1801">
        <f>IFERROR(1/IF(Inputs!$B$39="pvp",15,MAX(0.1,Skills!D14-IF(Skills!E14=TRUE,Inputs!$B$32,0))),0)</f>
        <v/>
      </c>
      <c r="R1801">
        <f>IF(AND(Inputs!$B$39&lt;&gt;"pvp",Inputs!$B$44&gt;0),IF(MAX(0,Inputs!$B$44-B1832)&lt;=0,0,(INT(MAX(0,Inputs!$B$44-B1832)/IF(Inputs!$B$39="pvp",15,MAX(0.1,Skills!D14-IF(Skills!E14=TRUE,Inputs!$B$32,0))))+1)),0)</f>
        <v/>
      </c>
      <c r="S1801">
        <f>IFERROR(O1801/N1801,0)</f>
        <v/>
      </c>
      <c r="T1801">
        <f>IF(C1801,(H1801*N1801*IF(AND(Inputs!$B$39&lt;&gt;"pvp",Inputs!$B$44&gt;0),((Skills!G14*((R1801-1)*IF(Skills!H14&gt;0,Skills!I14/Skills!H14,1)+IF(Skills!H14&gt;0,MIN(Skills!I14,MAX(0,MAX(0,Inputs!$B$44-B1832)-((R1801-1)*IF(Inputs!$B$39="pvp",15,MAX(0.1,Skills!D14-IF(Skills!E14=TRUE,Inputs!$B$32,0))))))/Skills!H14,1)))/Inputs!$B$44),G1801*Q1801))*IF(Inputs!$B$39="pvp",1,1+(Inputs!$B$20+((C1814=TRUE)*(F1814-Calc!F27))+Skills!P14+B1828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1801*(1-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1801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1801*(1-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1801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01">
        <f>IF(C1801,(H1801*N1801*IF(AND(Inputs!$B$39&lt;&gt;"pvp",Inputs!$B$44&gt;0),((Skills!G14*((R1801-1)*IF(Skills!H14&gt;0,Skills!I14/Skills!H14,1)+IF(Skills!H14&gt;0,MIN(Skills!I14,MAX(0,MAX(0,Inputs!$B$44-B1832)-((R1801-1)*IF(Inputs!$B$39="pvp",15,MAX(0.1,Skills!D14-IF(Skills!E14=TRUE,Inputs!$B$32,0))))))/Skills!H14,1)))/Inputs!$B$44),G1801*Q1801))*IF(Inputs!$B$39="pvp",1,(1+(Inputs!$B$21+Skills!Q14+B1828+(IF(ArtifactsInput!$M$33,CHOOSE(ArtifactsInput!$N$33+1,30,36,42,48,54,60),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02">
      <c r="A1802">
        <f>Skills!A15</f>
        <v/>
      </c>
      <c r="B1802">
        <f>Skills!B15</f>
        <v/>
      </c>
      <c r="C1802">
        <f>Inputs!$B$3&gt;=110</f>
        <v/>
      </c>
      <c r="D1802">
        <f>IF(Skills!C15=1,60+Inputs!$B$25+Inputs!$B$29,IF(Skills!C15=2,90+Inputs!$B$26+Inputs!$B$29,IF(Skills!C15=3,120+Inputs!$B$27+Inputs!$B$29,MAX(0,(Inputs!$B$3-100)*3)+Inputs!$B$28+Inputs!$B$29)))</f>
        <v/>
      </c>
      <c r="E1802">
        <f>INDEX(FactorTable!$B$2:$Y$301, MATCH(ROUND(MIN(300,MAX(1,D1802)),0), FactorTable!$A$2:$A$301,0), Skills!M15+1)</f>
        <v/>
      </c>
      <c r="F1802">
        <f>IF(Skills!N15=TRUE,(Skills!L15/10)*(E1802/1000),Skills!L15/10)+Skills!O15</f>
        <v/>
      </c>
      <c r="G1802">
        <f>Calc!G15</f>
        <v/>
      </c>
      <c r="H1802">
        <f>Calc!H15</f>
        <v/>
      </c>
      <c r="I1802">
        <f>IF(Skills!AA15&lt;&gt;"",1+(Skills!AA15/10)*(U1790/1000)/100,1)</f>
        <v/>
      </c>
      <c r="J1802" t="inlineStr"/>
      <c r="K1802" t="inlineStr"/>
      <c r="L1802" t="inlineStr"/>
      <c r="M1802" t="inlineStr"/>
      <c r="N1802" t="inlineStr"/>
      <c r="O1802">
        <f>(1-Summary!$B$11)*T1802+Summary!$B$11*V1802</f>
        <v/>
      </c>
      <c r="P1802">
        <f>IF(B1831=0,0,O1802/B1831)</f>
        <v/>
      </c>
      <c r="Q1802">
        <f>IFERROR(1/IF(Inputs!$B$39="pvp",15,MAX(0.1,Skills!D15-IF(Skills!E15=TRUE,Inputs!$B$32,0))),0)</f>
        <v/>
      </c>
      <c r="R1802">
        <f>IF(AND(Inputs!$B$39&lt;&gt;"pvp",Inputs!$B$44&gt;0),IF(Inputs!$B$44&lt;=0,0,(INT(Inputs!$B$44/IF(Inputs!$B$39="pvp",15,MAX(0.1,Skills!D15-IF(Skills!E15=TRUE,Inputs!$B$32,0))))+1)),0)</f>
        <v/>
      </c>
      <c r="S1802">
        <f>IFERROR(O1802/N1802,0)</f>
        <v/>
      </c>
      <c r="T1802" t="n">
        <v>0</v>
      </c>
      <c r="V1802" t="n">
        <v>0</v>
      </c>
    </row>
    <row r="1803">
      <c r="A1803">
        <f>Skills!A16</f>
        <v/>
      </c>
      <c r="B1803">
        <f>Skills!B16</f>
        <v/>
      </c>
      <c r="C1803">
        <f>Inputs!$B$3&gt;=110</f>
        <v/>
      </c>
      <c r="D1803">
        <f>IF(Skills!C16=1,60+Inputs!$B$25+Inputs!$B$29,IF(Skills!C16=2,90+Inputs!$B$26+Inputs!$B$29,IF(Skills!C16=3,120+Inputs!$B$27+Inputs!$B$29,MAX(0,(Inputs!$B$3-100)*3)+Inputs!$B$28+Inputs!$B$29)))</f>
        <v/>
      </c>
      <c r="E1803">
        <f>INDEX(FactorTable!$B$2:$Y$301, MATCH(ROUND(MIN(300,MAX(1,D1803)),0), FactorTable!$A$2:$A$301,0), Skills!M16+1)</f>
        <v/>
      </c>
      <c r="F1803">
        <f>IF(Skills!N16=TRUE,(Skills!L16/10)*(E1803/1000),Skills!L16/10)+Skills!O16</f>
        <v/>
      </c>
      <c r="G1803">
        <f>Calc!G16</f>
        <v/>
      </c>
      <c r="H1803">
        <f>Calc!H16</f>
        <v/>
      </c>
      <c r="I1803">
        <f>IF(Skills!AA16&lt;&gt;"",1+(Skills!AA16/10)*(U1790/1000)/100,1)</f>
        <v/>
      </c>
      <c r="J1803" t="inlineStr"/>
      <c r="K1803" t="inlineStr"/>
      <c r="L1803" t="inlineStr"/>
      <c r="M1803" t="inlineStr"/>
      <c r="N1803" t="inlineStr"/>
      <c r="O1803">
        <f>(1-Summary!$B$11)*T1803+Summary!$B$11*V1803</f>
        <v/>
      </c>
      <c r="P1803">
        <f>IF(B1831=0,0,O1803/B1831)</f>
        <v/>
      </c>
      <c r="Q1803">
        <f>IFERROR(1/IF(Inputs!$B$39="pvp",15,MAX(0.1,Skills!D16-IF(Skills!E16=TRUE,Inputs!$B$32,0))),0)</f>
        <v/>
      </c>
      <c r="R1803">
        <f>IF(AND(Inputs!$B$39&lt;&gt;"pvp",Inputs!$B$44&gt;0),IF(Inputs!$B$44&lt;=0,0,(INT(Inputs!$B$44/IF(Inputs!$B$39="pvp",15,MAX(0.1,Skills!D16-IF(Skills!E16=TRUE,Inputs!$B$32,0))))+1)),0)</f>
        <v/>
      </c>
      <c r="S1803">
        <f>IFERROR(O1803/N1803,0)</f>
        <v/>
      </c>
      <c r="T1803" t="n">
        <v>0</v>
      </c>
      <c r="V1803" t="n">
        <v>0</v>
      </c>
    </row>
    <row r="1804">
      <c r="A1804">
        <f>Skills!A17</f>
        <v/>
      </c>
      <c r="B1804">
        <f>Skills!B17</f>
        <v/>
      </c>
      <c r="C1804">
        <f>Inputs!$B$3&gt;=115</f>
        <v/>
      </c>
      <c r="D1804">
        <f>IF(Skills!C17=1,60+Inputs!$B$25+Inputs!$B$29,IF(Skills!C17=2,90+Inputs!$B$26+Inputs!$B$29,IF(Skills!C17=3,120+Inputs!$B$27+Inputs!$B$29,MAX(0,(Inputs!$B$3-100)*3)+Inputs!$B$28+Inputs!$B$29)))</f>
        <v/>
      </c>
      <c r="E1804">
        <f>INDEX(FactorTable!$B$2:$Y$301, MATCH(ROUND(MIN(300,MAX(1,D1804)),0), FactorTable!$A$2:$A$301,0), Skills!M17+1)</f>
        <v/>
      </c>
      <c r="F1804">
        <f>IF(Skills!N17=TRUE,(Skills!L17/10)*(E1804/1000),Skills!L17/10)+Skills!O17</f>
        <v/>
      </c>
      <c r="G1804">
        <f>Calc!G17</f>
        <v/>
      </c>
      <c r="H1804">
        <f>Calc!H17</f>
        <v/>
      </c>
      <c r="I1804">
        <f>IF(Skills!AA17&lt;&gt;"",1+(Skills!AA17/10)*(U1790/1000)/100,1)</f>
        <v/>
      </c>
      <c r="J1804">
        <f>((Inputs!$B$6*(1+Inputs!$B$7/100))+(((Inputs!$B$12*(1+Inputs!$B$13/100))-(Inputs!$B$12*(1+Inputs!$B$13/100)))+0.25*(Inputs!$B$14-Inputs!$B$14))*(1+Inputs!$B$7/100))*(F1804/100)</f>
        <v/>
      </c>
      <c r="K1804">
        <f>J1804*(1+((Inputs!$B$12*(1+Inputs!$B$13/100))*0.01+Inputs!$B$14*0.0025)/100)*(1+Inputs!$B$15/100)*(1+Inputs!$B$16/100)*(5000/(6000+Inputs!$B$43*(1-(100*(1-(1-(Inputs!$B$19+0)/100)*(1-CHOOSE(ArtifactsInput!$N$40+1,5,6,7,8,9,10)/100)^(ArtifactsInput!$M$40-ArtifactsInput!$M$40)))/100)))*(1+(Inputs!$B$24+((C1817=TRUE)*(F1817-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1810=TRUE)*(F1810-Calc!F23))+(((IF(AND(ArtifactsInput!$M$42,((Inputs!$B$9+((C1812=TRUE)*(F1812-Calc!F25))+B1827+(ArtifactsInput!$M$24-ArtifactsInput!$M$24)*CHOOSE(ArtifactsInput!$N$24+1,10,12,14,16,18,20)+IF(ArtifactsInput!$M$10,CHOOSE(ArtifactsInput!$N$10+1,15,18,21,24,27,30)*(IF(Inputs!$B$39="pvp",MIN(15,15)/15,IF(AND(Inputs!$B$39&lt;&gt;"pvp",Inputs!$B$44&gt;0),MIN(15,Inputs!$B$44)/(Inputs!$B$44),0))),0)))&gt;=100),MIN(100,((Inputs!$B$9+((C1812=TRUE)*(F1812-Calc!F25))+B1827+(ArtifactsInput!$M$24-ArtifactsInput!$M$24)*CHOOSE(ArtifactsInput!$N$24+1,10,12,14,16,18,20)+IF(ArtifactsInput!$M$10,CHOOSE(ArtifactsInput!$N$10+1,15,18,21,24,27,30)*(IF(Inputs!$B$39="pvp",MIN(15,15)/15,IF(AND(Inputs!$B$39&lt;&gt;"pvp",Inputs!$B$44&gt;0),MIN(15,Inputs!$B$44)/(Inputs!$B$44),0))),0)))-100),0))*CHOOSE(ArtifactsInput!$N$42+1,0.6,0.72,0.84,0.96,1.08,1.2))),Inputs!$B$18+((C1816=TRUE)*(F1816-Calc!F29))+(IF(AND(ArtifactsInput!$M$42,((Inputs!$B$9+((C1812=TRUE)*(F1812-Calc!F25))+B1827+(ArtifactsInput!$M$24-ArtifactsInput!$M$24)*CHOOSE(ArtifactsInput!$N$24+1,10,12,14,16,18,20)+IF(ArtifactsInput!$M$10,CHOOSE(ArtifactsInput!$N$10+1,15,18,21,24,27,30)*(IF(Inputs!$B$39="pvp",MIN(15,15)/15,IF(AND(Inputs!$B$39&lt;&gt;"pvp",Inputs!$B$44&gt;0),MIN(15,Inputs!$B$44)/(Inputs!$B$44),0))),0)))&gt;=100),CHOOSE(ArtifactsInput!$N$42+1,40,48,56,64,72,80),0))))/100)*(((1+(((C1808=TRUE)*F1808*IF(AND(Inputs!$B$39&lt;&gt;"pvp",Inputs!$B$44&gt;0),(((R1808-1)*(Skills!Y21*(1+Inputs!$B$34/100))+MIN((Skills!Y21*(1+Inputs!$B$34/100)),MAX(0,Inputs!$B$44-((R1808-1)*Skills!D21))))/Inputs!$B$44),IF(Inputs!$B$39="pvp",MIN((Skills!Y21*(1+Inputs!$B$34/100)),15)/15,(Skills!Y21*(1+Inputs!$B$34/100))/Skills!D21)))+((C1815=TRUE)*(F1815-Calc!F28))+((C1805=TRUE)*(F1805-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1802=TRUE)*F1802*IF(AND(Inputs!$B$39&lt;&gt;"pvp",Inputs!$B$44&gt;0),(((R1802-1)*(Skills!Y15*(1+Inputs!$B$34/100))+MIN((Skills!Y15*(1+Inputs!$B$34/100)),MAX(0,Inputs!$B$44-((R1802-1)*Skills!D15))))/Inputs!$B$44),IF(Inputs!$B$39="pvp",MIN((Skills!Y15*(1+Inputs!$B$34/100)),15)/15,(Skills!Y15*(1+Inputs!$B$34/100))/Skills!D15)))/100)*(1+((C1793=TRUE)*F1793*B1821)/100))*B1829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1804)</f>
        <v/>
      </c>
      <c r="L1804">
        <f>K1804*(MIN(Inputs!$B$22+((C1811=TRUE)*(F1811-Calc!F24)),(Inputs!$B$23+0+(IF(ArtifactsInput!$M$15,CHOOSE(ArtifactsInput!$N$15+1,25,30,35,40,45,50)/100*(Inputs!$B$11-Inputs!$B$11),0))))/100+(Inputs!$B$23+0+(IF(ArtifactsInput!$M$15,CHOOSE(ArtifactsInput!$N$15+1,25,30,35,40,45,50)/100*(Inputs!$B$11-Inputs!$B$11),0)))/100)/2</f>
        <v/>
      </c>
      <c r="M1804">
        <f>L1804*(1+(Inputs!$B$10+((C1813=TRUE)*(F1813-Calc!F26))+B1830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04">
        <f>L1804*(1-MIN((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1804*(MIN((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04">
        <f>(1-Summary!$B$11)*T1804+Summary!$B$11*V1804</f>
        <v/>
      </c>
      <c r="P1804">
        <f>IF(B1831=0,0,O1804/B1831)</f>
        <v/>
      </c>
      <c r="Q1804" t="n">
        <v>0</v>
      </c>
      <c r="R1804" t="n">
        <v>0</v>
      </c>
      <c r="S1804">
        <f>IFERROR(O1804/N1804,0)</f>
        <v/>
      </c>
      <c r="T1804">
        <f>IF(C1804,(Inputs!$B$38*0.2*N1804)*IF(Inputs!$B$39="pvp",1,1+(Inputs!$B$20+((C1814=TRUE)*(F1814-Calc!F27))+Skills!P17+B1828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1804*(1-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1804*(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1804*(1-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1804*(MIN(100,(Inputs!$B$9+((C1812=TRUE)*(F1812-Calc!F25))+B1827+(ArtifactsInput!$M$24-ArtifactsInput!$M$24)*CHOOSE(ArtifactsInput!$N$24+1,10,12,14,16,18,20)+(IF(AND(ArtifactsInput!$M$42,((Inputs!$B$9+((C1812=TRUE)*(F1812-Calc!F25))+B1827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04">
        <f>IF(C1804,(Inputs!$B$38*0.2*N1804)*IF(Inputs!$B$39="pvp",1,(1+(Inputs!$B$21+Skills!Q17+B1828+(IF(ArtifactsInput!$M$33,CHOOSE(ArtifactsInput!$N$33+1,30,36,42,48,54,60),0))+(IF(AND(ArtifactsInput!$M$35,Inputs!$B$4&lt;&gt;"Chapter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05">
      <c r="A1805">
        <f>Skills!A18</f>
        <v/>
      </c>
      <c r="B1805">
        <f>Skills!B18</f>
        <v/>
      </c>
      <c r="C1805">
        <f>Inputs!$B$3&gt;=115</f>
        <v/>
      </c>
      <c r="D1805">
        <f>IF(Skills!C18=1,60+Inputs!$B$25+Inputs!$B$29,IF(Skills!C18=2,90+Inputs!$B$26+Inputs!$B$29,IF(Skills!C18=3,120+Inputs!$B$27+Inputs!$B$29,MAX(0,(Inputs!$B$3-100)*3)+Inputs!$B$28+Inputs!$B$29)))</f>
        <v/>
      </c>
      <c r="E1805">
        <f>INDEX(FactorTable!$B$2:$Y$301, MATCH(ROUND(MIN(300,MAX(1,D1805)),0), FactorTable!$A$2:$A$301,0), Skills!M18+1)</f>
        <v/>
      </c>
      <c r="F1805">
        <f>IF(Skills!N18=TRUE,(Skills!L18/10)*(E1805/1000),Skills!L18/10)+Skills!O18</f>
        <v/>
      </c>
      <c r="G1805">
        <f>Calc!G18</f>
        <v/>
      </c>
      <c r="H1805">
        <f>Calc!H18</f>
        <v/>
      </c>
      <c r="I1805">
        <f>IF(Skills!AA18&lt;&gt;"",1+(Skills!AA18/10)*(U1790/1000)/100,1)</f>
        <v/>
      </c>
      <c r="J1805" t="inlineStr"/>
      <c r="K1805" t="inlineStr"/>
      <c r="L1805" t="inlineStr"/>
      <c r="M1805" t="inlineStr"/>
      <c r="N1805" t="inlineStr"/>
      <c r="O1805">
        <f>(1-Summary!$B$11)*T1805+Summary!$B$11*V1805</f>
        <v/>
      </c>
      <c r="P1805">
        <f>IF(B1831=0,0,O1805/B1831)</f>
        <v/>
      </c>
      <c r="Q1805" t="n">
        <v>0</v>
      </c>
      <c r="R1805" t="n">
        <v>0</v>
      </c>
      <c r="S1805">
        <f>IFERROR(O1805/N1805,0)</f>
        <v/>
      </c>
      <c r="T1805" t="n">
        <v>0</v>
      </c>
      <c r="V1805" t="n">
        <v>0</v>
      </c>
    </row>
    <row r="1806">
      <c r="A1806">
        <f>Skills!A19</f>
        <v/>
      </c>
      <c r="B1806">
        <f>Skills!B19</f>
        <v/>
      </c>
      <c r="C1806">
        <f>TRUE</f>
        <v/>
      </c>
      <c r="D1806">
        <f>IF(Skills!C19=1,60+Inputs!$B$25+Inputs!$B$29,IF(Skills!C19=2,90+Inputs!$B$26+Inputs!$B$29,IF(Skills!C19=3,120+Inputs!$B$27+Inputs!$B$29,MAX(0,(Inputs!$B$3-100)*3)+Inputs!$B$28+Inputs!$B$29)))</f>
        <v/>
      </c>
      <c r="E1806">
        <f>INDEX(FactorTable!$B$2:$Y$301, MATCH(ROUND(MIN(300,MAX(1,D1806)),0), FactorTable!$A$2:$A$301,0), Skills!M19+1)</f>
        <v/>
      </c>
      <c r="F1806">
        <f>IF(Skills!N19=TRUE,(Skills!L19/10)*(E1806/1000),Skills!L19/10)+Skills!O19</f>
        <v/>
      </c>
      <c r="G1806">
        <f>Calc!G19</f>
        <v/>
      </c>
      <c r="H1806">
        <f>Calc!H19</f>
        <v/>
      </c>
      <c r="I1806">
        <f>IF(Skills!AA19&lt;&gt;"",1+(Skills!AA19/10)*(U1790/1000)/100,1)</f>
        <v/>
      </c>
      <c r="J1806" t="inlineStr"/>
      <c r="K1806" t="inlineStr"/>
      <c r="L1806" t="inlineStr"/>
      <c r="M1806" t="inlineStr"/>
      <c r="N1806" t="inlineStr"/>
      <c r="O1806">
        <f>(1-Summary!$B$11)*T1806+Summary!$B$11*V1806</f>
        <v/>
      </c>
      <c r="P1806">
        <f>IF(B1831=0,0,O1806/B1831)</f>
        <v/>
      </c>
      <c r="Q1806">
        <f>IFERROR(1/IF(Inputs!$B$39="pvp",15,MAX(0.1,Skills!D19-IF(Skills!E19=TRUE,Inputs!$B$32,0))),0)</f>
        <v/>
      </c>
      <c r="R1806">
        <f>IF(AND(Inputs!$B$39&lt;&gt;"pvp",Inputs!$B$44&gt;0),IF(Inputs!$B$44&lt;=0,0,(INT(Inputs!$B$44/IF(Inputs!$B$39="pvp",15,MAX(0.1,Skills!D19-IF(Skills!E19=TRUE,Inputs!$B$32,0))))+1)),0)</f>
        <v/>
      </c>
      <c r="S1806">
        <f>IFERROR(O1806/N1806,0)</f>
        <v/>
      </c>
      <c r="T1806" t="n">
        <v>0</v>
      </c>
      <c r="V1806" t="n">
        <v>0</v>
      </c>
    </row>
    <row r="1807">
      <c r="A1807">
        <f>Skills!A20</f>
        <v/>
      </c>
      <c r="B1807">
        <f>Skills!B20</f>
        <v/>
      </c>
      <c r="C1807">
        <f>Inputs!$B$3&gt;=15</f>
        <v/>
      </c>
      <c r="D1807">
        <f>IF(Skills!C20=1,60+Inputs!$B$25+Inputs!$B$29,IF(Skills!C20=2,90+Inputs!$B$26+Inputs!$B$29,IF(Skills!C20=3,120+Inputs!$B$27+Inputs!$B$29,MAX(0,(Inputs!$B$3-100)*3)+Inputs!$B$28+Inputs!$B$29)))</f>
        <v/>
      </c>
      <c r="E1807">
        <f>INDEX(FactorTable!$B$2:$Y$301, MATCH(ROUND(MIN(300,MAX(1,D1807)),0), FactorTable!$A$2:$A$301,0), Skills!M20+1)</f>
        <v/>
      </c>
      <c r="F1807">
        <f>IF(Skills!N20=TRUE,(Skills!L20/10)*(E1807/1000),Skills!L20/10)+Skills!O20</f>
        <v/>
      </c>
      <c r="G1807">
        <f>Calc!G20</f>
        <v/>
      </c>
      <c r="H1807">
        <f>Calc!H20</f>
        <v/>
      </c>
      <c r="I1807">
        <f>IF(Skills!AA20&lt;&gt;"",1+(Skills!AA20/10)*(U1790/1000)/100,1)</f>
        <v/>
      </c>
      <c r="J1807" t="inlineStr"/>
      <c r="K1807" t="inlineStr"/>
      <c r="L1807" t="inlineStr"/>
      <c r="M1807" t="inlineStr"/>
      <c r="N1807" t="inlineStr"/>
      <c r="O1807">
        <f>(1-Summary!$B$11)*T1807+Summary!$B$11*V1807</f>
        <v/>
      </c>
      <c r="P1807">
        <f>IF(B1831=0,0,O1807/B1831)</f>
        <v/>
      </c>
      <c r="Q1807">
        <f>IFERROR(1/IF(Inputs!$B$39="pvp",15,MAX(0.1,Skills!D20-IF(Skills!E20=TRUE,Inputs!$B$32,0))),0)</f>
        <v/>
      </c>
      <c r="R1807">
        <f>IF(AND(Inputs!$B$39&lt;&gt;"pvp",Inputs!$B$44&gt;0),IF(Inputs!$B$44&lt;=0,0,(INT(Inputs!$B$44/IF(Inputs!$B$39="pvp",15,MAX(0.1,Skills!D20-IF(Skills!E20=TRUE,Inputs!$B$32,0))))+1)),0)</f>
        <v/>
      </c>
      <c r="S1807">
        <f>IFERROR(O1807/N1807,0)</f>
        <v/>
      </c>
      <c r="T1807" t="n">
        <v>0</v>
      </c>
      <c r="V1807" t="n">
        <v>0</v>
      </c>
    </row>
    <row r="1808">
      <c r="A1808">
        <f>Skills!A21</f>
        <v/>
      </c>
      <c r="B1808">
        <f>Skills!B21</f>
        <v/>
      </c>
      <c r="C1808">
        <f>Inputs!$B$3&gt;=15</f>
        <v/>
      </c>
      <c r="D1808">
        <f>IF(Skills!C21=1,60+Inputs!$B$25+Inputs!$B$29,IF(Skills!C21=2,90+Inputs!$B$26+Inputs!$B$29,IF(Skills!C21=3,120+Inputs!$B$27+Inputs!$B$29,MAX(0,(Inputs!$B$3-100)*3)+Inputs!$B$28+Inputs!$B$29)))</f>
        <v/>
      </c>
      <c r="E1808">
        <f>INDEX(FactorTable!$B$2:$Y$301, MATCH(ROUND(MIN(300,MAX(1,D1808)),0), FactorTable!$A$2:$A$301,0), Skills!M21+1)</f>
        <v/>
      </c>
      <c r="F1808">
        <f>IF(Skills!N21=TRUE,(Skills!L21/10)*(E1808/1000),Skills!L21/10)+Skills!O21</f>
        <v/>
      </c>
      <c r="G1808">
        <f>Calc!G21</f>
        <v/>
      </c>
      <c r="H1808">
        <f>Calc!H21</f>
        <v/>
      </c>
      <c r="I1808">
        <f>IF(Skills!AA21&lt;&gt;"",1+(Skills!AA21/10)*(U1790/1000)/100,1)</f>
        <v/>
      </c>
      <c r="J1808" t="inlineStr"/>
      <c r="K1808" t="inlineStr"/>
      <c r="L1808" t="inlineStr"/>
      <c r="M1808" t="inlineStr"/>
      <c r="N1808" t="inlineStr"/>
      <c r="O1808">
        <f>(1-Summary!$B$11)*T1808+Summary!$B$11*V1808</f>
        <v/>
      </c>
      <c r="P1808">
        <f>IF(B1831=0,0,O1808/B1831)</f>
        <v/>
      </c>
      <c r="Q1808">
        <f>IFERROR(1/IF(Inputs!$B$39="pvp",15,MAX(0.1,Skills!D21-IF(Skills!E21=TRUE,Inputs!$B$32,0))),0)</f>
        <v/>
      </c>
      <c r="R1808">
        <f>IF(AND(Inputs!$B$39&lt;&gt;"pvp",Inputs!$B$44&gt;0),IF(Inputs!$B$44&lt;=0,0,(INT(Inputs!$B$44/IF(Inputs!$B$39="pvp",15,MAX(0.1,Skills!D21-IF(Skills!E21=TRUE,Inputs!$B$32,0))))+1)),0)</f>
        <v/>
      </c>
      <c r="S1808">
        <f>IFERROR(O1808/N1808,0)</f>
        <v/>
      </c>
      <c r="T1808" t="n">
        <v>0</v>
      </c>
      <c r="V1808" t="n">
        <v>0</v>
      </c>
    </row>
    <row r="1809">
      <c r="A1809">
        <f>Skills!A22</f>
        <v/>
      </c>
      <c r="B1809">
        <f>Skills!B22</f>
        <v/>
      </c>
      <c r="C1809">
        <f>Inputs!$B$3&gt;=33</f>
        <v/>
      </c>
      <c r="D1809">
        <f>IF(Skills!C22=1,60+Inputs!$B$25+Inputs!$B$29,IF(Skills!C22=2,90+Inputs!$B$26+Inputs!$B$29,IF(Skills!C22=3,120+Inputs!$B$27+Inputs!$B$29,MAX(0,(Inputs!$B$3-100)*3)+Inputs!$B$28+Inputs!$B$29)))</f>
        <v/>
      </c>
      <c r="E1809">
        <f>INDEX(FactorTable!$B$2:$Y$301, MATCH(ROUND(MIN(300,MAX(1,D1809)),0), FactorTable!$A$2:$A$301,0), Skills!M22+1)</f>
        <v/>
      </c>
      <c r="F1809">
        <f>IF(Skills!N22=TRUE,(Skills!L22/10)*(E1809/1000),Skills!L22/10)+Skills!O22</f>
        <v/>
      </c>
      <c r="G1809">
        <f>Calc!G22</f>
        <v/>
      </c>
      <c r="H1809">
        <f>Calc!H22</f>
        <v/>
      </c>
      <c r="I1809">
        <f>IF(Skills!AA22&lt;&gt;"",1+(Skills!AA22/10)*(U1790/1000)/100,1)</f>
        <v/>
      </c>
      <c r="J1809" t="inlineStr"/>
      <c r="K1809" t="inlineStr"/>
      <c r="L1809" t="inlineStr"/>
      <c r="M1809" t="inlineStr"/>
      <c r="N1809" t="inlineStr"/>
      <c r="O1809">
        <f>(1-Summary!$B$11)*T1809+Summary!$B$11*V1809</f>
        <v/>
      </c>
      <c r="P1809">
        <f>IF(B1831=0,0,O1809/B1831)</f>
        <v/>
      </c>
      <c r="Q1809" t="n">
        <v>0</v>
      </c>
      <c r="R1809" t="n">
        <v>0</v>
      </c>
      <c r="S1809">
        <f>IFERROR(O1809/N1809,0)</f>
        <v/>
      </c>
      <c r="T1809" t="n">
        <v>0</v>
      </c>
      <c r="V1809" t="n">
        <v>0</v>
      </c>
    </row>
    <row r="1810">
      <c r="A1810">
        <f>Skills!A23</f>
        <v/>
      </c>
      <c r="B1810">
        <f>Skills!B23</f>
        <v/>
      </c>
      <c r="C1810">
        <f>Inputs!$B$3&gt;=38</f>
        <v/>
      </c>
      <c r="D1810">
        <f>IF(Skills!C23=1,60+Inputs!$B$25+Inputs!$B$29,IF(Skills!C23=2,90+Inputs!$B$26+Inputs!$B$29,IF(Skills!C23=3,120+Inputs!$B$27+Inputs!$B$29,MAX(0,(Inputs!$B$3-100)*3)+Inputs!$B$28+Inputs!$B$29)))</f>
        <v/>
      </c>
      <c r="E1810">
        <f>INDEX(FactorTable!$B$2:$Y$301, MATCH(ROUND(MIN(300,MAX(1,D1810)),0), FactorTable!$A$2:$A$301,0), Skills!M23+1)</f>
        <v/>
      </c>
      <c r="F1810">
        <f>IF(Skills!N23=TRUE,(Skills!L23/10)*(E1810/1000),Skills!L23/10)+Skills!O23</f>
        <v/>
      </c>
      <c r="G1810">
        <f>Calc!G23</f>
        <v/>
      </c>
      <c r="H1810">
        <f>Calc!H23</f>
        <v/>
      </c>
      <c r="I1810">
        <f>IF(Skills!AA23&lt;&gt;"",1+(Skills!AA23/10)*(U1790/1000)/100,1)</f>
        <v/>
      </c>
      <c r="J1810" t="inlineStr"/>
      <c r="K1810" t="inlineStr"/>
      <c r="L1810" t="inlineStr"/>
      <c r="M1810" t="inlineStr"/>
      <c r="N1810" t="inlineStr"/>
      <c r="O1810">
        <f>(1-Summary!$B$11)*T1810+Summary!$B$11*V1810</f>
        <v/>
      </c>
      <c r="P1810">
        <f>IF(B1831=0,0,O1810/B1831)</f>
        <v/>
      </c>
      <c r="Q1810" t="n">
        <v>0</v>
      </c>
      <c r="R1810" t="n">
        <v>0</v>
      </c>
      <c r="S1810">
        <f>IFERROR(O1810/N1810,0)</f>
        <v/>
      </c>
      <c r="T1810" t="n">
        <v>0</v>
      </c>
      <c r="V1810" t="n">
        <v>0</v>
      </c>
    </row>
    <row r="1811">
      <c r="A1811">
        <f>Skills!A24</f>
        <v/>
      </c>
      <c r="B1811">
        <f>Skills!B24</f>
        <v/>
      </c>
      <c r="C1811">
        <f>Inputs!$B$3&gt;=40</f>
        <v/>
      </c>
      <c r="D1811">
        <f>IF(Skills!C24=1,60+Inputs!$B$25+Inputs!$B$29,IF(Skills!C24=2,90+Inputs!$B$26+Inputs!$B$29,IF(Skills!C24=3,120+Inputs!$B$27+Inputs!$B$29,MAX(0,(Inputs!$B$3-100)*3)+Inputs!$B$28+Inputs!$B$29)))</f>
        <v/>
      </c>
      <c r="E1811">
        <f>INDEX(FactorTable!$B$2:$Y$301, MATCH(ROUND(MIN(300,MAX(1,D1811)),0), FactorTable!$A$2:$A$301,0), Skills!M24+1)</f>
        <v/>
      </c>
      <c r="F1811">
        <f>IF(Skills!N24=TRUE,(Skills!L24/10)*(E1811/1000),Skills!L24/10)+Skills!O24</f>
        <v/>
      </c>
      <c r="G1811">
        <f>Calc!G24</f>
        <v/>
      </c>
      <c r="H1811">
        <f>Calc!H24</f>
        <v/>
      </c>
      <c r="I1811">
        <f>IF(Skills!AA24&lt;&gt;"",1+(Skills!AA24/10)*(U1790/1000)/100,1)</f>
        <v/>
      </c>
      <c r="J1811" t="inlineStr"/>
      <c r="K1811" t="inlineStr"/>
      <c r="L1811" t="inlineStr"/>
      <c r="M1811" t="inlineStr"/>
      <c r="N1811" t="inlineStr"/>
      <c r="O1811">
        <f>(1-Summary!$B$11)*T1811+Summary!$B$11*V1811</f>
        <v/>
      </c>
      <c r="P1811">
        <f>IF(B1831=0,0,O1811/B1831)</f>
        <v/>
      </c>
      <c r="Q1811" t="n">
        <v>0</v>
      </c>
      <c r="R1811" t="n">
        <v>0</v>
      </c>
      <c r="S1811">
        <f>IFERROR(O1811/N1811,0)</f>
        <v/>
      </c>
      <c r="T1811" t="n">
        <v>0</v>
      </c>
      <c r="V1811" t="n">
        <v>0</v>
      </c>
    </row>
    <row r="1812">
      <c r="A1812">
        <f>Skills!A25</f>
        <v/>
      </c>
      <c r="B1812">
        <f>Skills!B25</f>
        <v/>
      </c>
      <c r="C1812">
        <f>Inputs!$B$3&gt;=45</f>
        <v/>
      </c>
      <c r="D1812">
        <f>IF(Skills!C25=1,60+Inputs!$B$25+Inputs!$B$29,IF(Skills!C25=2,90+Inputs!$B$26+Inputs!$B$29,IF(Skills!C25=3,120+Inputs!$B$27+Inputs!$B$29,MAX(0,(Inputs!$B$3-100)*3)+Inputs!$B$28+Inputs!$B$29)))</f>
        <v/>
      </c>
      <c r="E1812">
        <f>INDEX(FactorTable!$B$2:$Y$301, MATCH(ROUND(MIN(300,MAX(1,D1812)),0), FactorTable!$A$2:$A$301,0), Skills!M25+1)</f>
        <v/>
      </c>
      <c r="F1812">
        <f>IF(Skills!N25=TRUE,(Skills!L25/10)*(E1812/1000),Skills!L25/10)+Skills!O25</f>
        <v/>
      </c>
      <c r="G1812">
        <f>Calc!G25</f>
        <v/>
      </c>
      <c r="H1812">
        <f>Calc!H25</f>
        <v/>
      </c>
      <c r="I1812">
        <f>IF(Skills!AA25&lt;&gt;"",1+(Skills!AA25/10)*(U1790/1000)/100,1)</f>
        <v/>
      </c>
      <c r="J1812" t="inlineStr"/>
      <c r="K1812" t="inlineStr"/>
      <c r="L1812" t="inlineStr"/>
      <c r="M1812" t="inlineStr"/>
      <c r="N1812" t="inlineStr"/>
      <c r="O1812">
        <f>(1-Summary!$B$11)*T1812+Summary!$B$11*V1812</f>
        <v/>
      </c>
      <c r="P1812">
        <f>IF(B1831=0,0,O1812/B1831)</f>
        <v/>
      </c>
      <c r="Q1812" t="n">
        <v>0</v>
      </c>
      <c r="R1812" t="n">
        <v>0</v>
      </c>
      <c r="S1812">
        <f>IFERROR(O1812/N1812,0)</f>
        <v/>
      </c>
      <c r="T1812" t="n">
        <v>0</v>
      </c>
      <c r="V1812" t="n">
        <v>0</v>
      </c>
    </row>
    <row r="1813">
      <c r="A1813">
        <f>Skills!A26</f>
        <v/>
      </c>
      <c r="B1813">
        <f>Skills!B26</f>
        <v/>
      </c>
      <c r="C1813">
        <f>Inputs!$B$3&gt;=45</f>
        <v/>
      </c>
      <c r="D1813">
        <f>IF(Skills!C26=1,60+Inputs!$B$25+Inputs!$B$29,IF(Skills!C26=2,90+Inputs!$B$26+Inputs!$B$29,IF(Skills!C26=3,120+Inputs!$B$27+Inputs!$B$29,MAX(0,(Inputs!$B$3-100)*3)+Inputs!$B$28+Inputs!$B$29)))</f>
        <v/>
      </c>
      <c r="E1813">
        <f>INDEX(FactorTable!$B$2:$Y$301, MATCH(ROUND(MIN(300,MAX(1,D1813)),0), FactorTable!$A$2:$A$301,0), Skills!M26+1)</f>
        <v/>
      </c>
      <c r="F1813">
        <f>IF(Skills!N26=TRUE,(Skills!L26/10)*(E1813/1000),Skills!L26/10)+Skills!O26</f>
        <v/>
      </c>
      <c r="G1813">
        <f>Calc!G26</f>
        <v/>
      </c>
      <c r="H1813">
        <f>Calc!H26</f>
        <v/>
      </c>
      <c r="I1813">
        <f>IF(Skills!AA26&lt;&gt;"",1+(Skills!AA26/10)*(U1790/1000)/100,1)</f>
        <v/>
      </c>
      <c r="J1813" t="inlineStr"/>
      <c r="K1813" t="inlineStr"/>
      <c r="L1813" t="inlineStr"/>
      <c r="M1813" t="inlineStr"/>
      <c r="N1813" t="inlineStr"/>
      <c r="O1813">
        <f>(1-Summary!$B$11)*T1813+Summary!$B$11*V1813</f>
        <v/>
      </c>
      <c r="P1813">
        <f>IF(B1831=0,0,O1813/B1831)</f>
        <v/>
      </c>
      <c r="Q1813" t="n">
        <v>0</v>
      </c>
      <c r="R1813" t="n">
        <v>0</v>
      </c>
      <c r="S1813">
        <f>IFERROR(O1813/N1813,0)</f>
        <v/>
      </c>
      <c r="T1813" t="n">
        <v>0</v>
      </c>
      <c r="V1813" t="n">
        <v>0</v>
      </c>
    </row>
    <row r="1814">
      <c r="A1814">
        <f>Skills!A27</f>
        <v/>
      </c>
      <c r="B1814">
        <f>Skills!B27</f>
        <v/>
      </c>
      <c r="C1814">
        <f>Inputs!$B$3&gt;=72</f>
        <v/>
      </c>
      <c r="D1814">
        <f>IF(Skills!C27=1,60+Inputs!$B$25+Inputs!$B$29,IF(Skills!C27=2,90+Inputs!$B$26+Inputs!$B$29,IF(Skills!C27=3,120+Inputs!$B$27+Inputs!$B$29,MAX(0,(Inputs!$B$3-100)*3)+Inputs!$B$28+Inputs!$B$29)))</f>
        <v/>
      </c>
      <c r="E1814">
        <f>INDEX(FactorTable!$B$2:$Y$301, MATCH(ROUND(MIN(300,MAX(1,D1814)),0), FactorTable!$A$2:$A$301,0), Skills!M27+1)</f>
        <v/>
      </c>
      <c r="F1814">
        <f>IF(Skills!N27=TRUE,(Skills!L27/10)*(E1814/1000),Skills!L27/10)+Skills!O27</f>
        <v/>
      </c>
      <c r="G1814">
        <f>Calc!G27</f>
        <v/>
      </c>
      <c r="H1814">
        <f>Calc!H27</f>
        <v/>
      </c>
      <c r="I1814">
        <f>IF(Skills!AA27&lt;&gt;"",1+(Skills!AA27/10)*(U1790/1000)/100,1)</f>
        <v/>
      </c>
      <c r="J1814" t="inlineStr"/>
      <c r="K1814" t="inlineStr"/>
      <c r="L1814" t="inlineStr"/>
      <c r="M1814" t="inlineStr"/>
      <c r="N1814" t="inlineStr"/>
      <c r="O1814">
        <f>(1-Summary!$B$11)*T1814+Summary!$B$11*V1814</f>
        <v/>
      </c>
      <c r="P1814">
        <f>IF(B1831=0,0,O1814/B1831)</f>
        <v/>
      </c>
      <c r="Q1814" t="n">
        <v>0</v>
      </c>
      <c r="R1814" t="n">
        <v>0</v>
      </c>
      <c r="S1814">
        <f>IFERROR(O1814/N1814,0)</f>
        <v/>
      </c>
      <c r="T1814" t="n">
        <v>0</v>
      </c>
      <c r="V1814" t="n">
        <v>0</v>
      </c>
    </row>
    <row r="1815">
      <c r="A1815">
        <f>Skills!A28</f>
        <v/>
      </c>
      <c r="B1815">
        <f>Skills!B28</f>
        <v/>
      </c>
      <c r="C1815">
        <f>Inputs!$B$3&gt;=75</f>
        <v/>
      </c>
      <c r="D1815">
        <f>IF(Skills!C28=1,60+Inputs!$B$25+Inputs!$B$29,IF(Skills!C28=2,90+Inputs!$B$26+Inputs!$B$29,IF(Skills!C28=3,120+Inputs!$B$27+Inputs!$B$29,MAX(0,(Inputs!$B$3-100)*3)+Inputs!$B$28+Inputs!$B$29)))</f>
        <v/>
      </c>
      <c r="E1815">
        <f>INDEX(FactorTable!$B$2:$Y$301, MATCH(ROUND(MIN(300,MAX(1,D1815)),0), FactorTable!$A$2:$A$301,0), Skills!M28+1)</f>
        <v/>
      </c>
      <c r="F1815">
        <f>IF(Skills!N28=TRUE,(Skills!L28/10)*(E1815/1000),Skills!L28/10)+Skills!O28</f>
        <v/>
      </c>
      <c r="G1815">
        <f>Calc!G28</f>
        <v/>
      </c>
      <c r="H1815">
        <f>Calc!H28</f>
        <v/>
      </c>
      <c r="I1815">
        <f>IF(Skills!AA28&lt;&gt;"",1+(Skills!AA28/10)*(U1790/1000)/100,1)</f>
        <v/>
      </c>
      <c r="J1815" t="inlineStr"/>
      <c r="K1815" t="inlineStr"/>
      <c r="L1815" t="inlineStr"/>
      <c r="M1815" t="inlineStr"/>
      <c r="N1815" t="inlineStr"/>
      <c r="O1815">
        <f>(1-Summary!$B$11)*T1815+Summary!$B$11*V1815</f>
        <v/>
      </c>
      <c r="P1815">
        <f>IF(B1831=0,0,O1815/B1831)</f>
        <v/>
      </c>
      <c r="Q1815" t="n">
        <v>0</v>
      </c>
      <c r="R1815" t="n">
        <v>0</v>
      </c>
      <c r="S1815">
        <f>IFERROR(O1815/N1815,0)</f>
        <v/>
      </c>
      <c r="T1815" t="n">
        <v>0</v>
      </c>
      <c r="V1815" t="n">
        <v>0</v>
      </c>
    </row>
    <row r="1816">
      <c r="A1816">
        <f>Skills!A29</f>
        <v/>
      </c>
      <c r="B1816">
        <f>Skills!B29</f>
        <v/>
      </c>
      <c r="C1816">
        <f>Inputs!$B$3&gt;=120</f>
        <v/>
      </c>
      <c r="D1816">
        <f>IF(Skills!C29=1,60+Inputs!$B$25+Inputs!$B$29,IF(Skills!C29=2,90+Inputs!$B$26+Inputs!$B$29,IF(Skills!C29=3,120+Inputs!$B$27+Inputs!$B$29,MAX(0,(Inputs!$B$3-100)*3)+Inputs!$B$28+Inputs!$B$29)))</f>
        <v/>
      </c>
      <c r="E1816">
        <f>INDEX(FactorTable!$B$2:$Y$301, MATCH(ROUND(MIN(300,MAX(1,D1816)),0), FactorTable!$A$2:$A$301,0), Skills!M29+1)</f>
        <v/>
      </c>
      <c r="F1816">
        <f>IF(Skills!N29=TRUE,(Skills!L29/10)*(E1816/1000),Skills!L29/10)+Skills!O29</f>
        <v/>
      </c>
      <c r="G1816">
        <f>Calc!G29</f>
        <v/>
      </c>
      <c r="H1816">
        <f>Calc!H29</f>
        <v/>
      </c>
      <c r="I1816">
        <f>IF(Skills!AA29&lt;&gt;"",1+(Skills!AA29/10)*(U1790/1000)/100,1)</f>
        <v/>
      </c>
      <c r="J1816" t="inlineStr"/>
      <c r="K1816" t="inlineStr"/>
      <c r="L1816" t="inlineStr"/>
      <c r="M1816" t="inlineStr"/>
      <c r="N1816" t="inlineStr"/>
      <c r="O1816">
        <f>(1-Summary!$B$11)*T1816+Summary!$B$11*V1816</f>
        <v/>
      </c>
      <c r="P1816">
        <f>IF(B1831=0,0,O1816/B1831)</f>
        <v/>
      </c>
      <c r="Q1816" t="n">
        <v>0</v>
      </c>
      <c r="R1816" t="n">
        <v>0</v>
      </c>
      <c r="S1816">
        <f>IFERROR(O1816/N1816,0)</f>
        <v/>
      </c>
      <c r="T1816" t="n">
        <v>0</v>
      </c>
      <c r="V1816" t="n">
        <v>0</v>
      </c>
    </row>
    <row r="1817">
      <c r="A1817">
        <f>Skills!A30</f>
        <v/>
      </c>
      <c r="B1817">
        <f>Skills!B30</f>
        <v/>
      </c>
      <c r="C1817">
        <f>Inputs!$B$3&gt;=125</f>
        <v/>
      </c>
      <c r="D1817">
        <f>IF(Skills!C30=1,60+Inputs!$B$25+Inputs!$B$29,IF(Skills!C30=2,90+Inputs!$B$26+Inputs!$B$29,IF(Skills!C30=3,120+Inputs!$B$27+Inputs!$B$29,MAX(0,(Inputs!$B$3-100)*3)+Inputs!$B$28+Inputs!$B$29)))</f>
        <v/>
      </c>
      <c r="E1817">
        <f>INDEX(FactorTable!$B$2:$Y$301, MATCH(ROUND(MIN(300,MAX(1,D1817)),0), FactorTable!$A$2:$A$301,0), Skills!M30+1)</f>
        <v/>
      </c>
      <c r="F1817">
        <f>IF(Skills!N30=TRUE,(Skills!L30/10)*(E1817/1000),Skills!L30/10)+Skills!O30</f>
        <v/>
      </c>
      <c r="G1817">
        <f>Calc!G30</f>
        <v/>
      </c>
      <c r="H1817">
        <f>Calc!H30</f>
        <v/>
      </c>
      <c r="I1817">
        <f>IF(Skills!AA30&lt;&gt;"",1+(Skills!AA30/10)*(U1790/1000)/100,1)</f>
        <v/>
      </c>
      <c r="J1817" t="inlineStr"/>
      <c r="K1817" t="inlineStr"/>
      <c r="L1817" t="inlineStr"/>
      <c r="M1817" t="inlineStr"/>
      <c r="N1817" t="inlineStr"/>
      <c r="O1817">
        <f>(1-Summary!$B$11)*T1817+Summary!$B$11*V1817</f>
        <v/>
      </c>
      <c r="P1817">
        <f>IF(B1831=0,0,O1817/B1831)</f>
        <v/>
      </c>
      <c r="Q1817" t="n">
        <v>0</v>
      </c>
      <c r="R1817" t="n">
        <v>0</v>
      </c>
      <c r="S1817">
        <f>IFERROR(O1817/N1817,0)</f>
        <v/>
      </c>
      <c r="T1817" t="n">
        <v>0</v>
      </c>
      <c r="V1817" t="n">
        <v>0</v>
      </c>
    </row>
    <row r="1818">
      <c r="A1818">
        <f>Skills!A31</f>
        <v/>
      </c>
      <c r="B1818">
        <f>Skills!B31</f>
        <v/>
      </c>
      <c r="C1818">
        <f>Inputs!$B$3&gt;=107</f>
        <v/>
      </c>
      <c r="D1818">
        <f>IF(Skills!C31=1,60+Inputs!$B$25+Inputs!$B$29,IF(Skills!C31=2,90+Inputs!$B$26+Inputs!$B$29,IF(Skills!C31=3,120+Inputs!$B$27+Inputs!$B$29,MAX(0,(Inputs!$B$3-100)*3)+Inputs!$B$28+Inputs!$B$29)))</f>
        <v/>
      </c>
      <c r="E1818">
        <f>INDEX(FactorTable!$B$2:$Y$301, MATCH(ROUND(MIN(300,MAX(1,D1818)),0), FactorTable!$A$2:$A$301,0), Skills!M31+1)</f>
        <v/>
      </c>
      <c r="F1818">
        <f>IF(Skills!N31=TRUE,(Skills!L31/10)*(E1818/1000),Skills!L31/10)+Skills!O31</f>
        <v/>
      </c>
      <c r="G1818">
        <f>Calc!G31</f>
        <v/>
      </c>
      <c r="H1818">
        <f>Calc!H31</f>
        <v/>
      </c>
      <c r="I1818">
        <f>IF(Skills!AA31&lt;&gt;"",1+(Skills!AA31/10)*(U1790/1000)/100,1)</f>
        <v/>
      </c>
      <c r="J1818" t="inlineStr"/>
      <c r="K1818" t="inlineStr"/>
      <c r="L1818" t="inlineStr"/>
      <c r="M1818" t="inlineStr"/>
      <c r="N1818" t="inlineStr"/>
      <c r="O1818">
        <f>(1-Summary!$B$11)*T1818+Summary!$B$11*V1818</f>
        <v/>
      </c>
      <c r="P1818">
        <f>IF(B1831=0,0,O1818/B1831)</f>
        <v/>
      </c>
      <c r="Q1818" t="n">
        <v>0</v>
      </c>
      <c r="R1818" t="n">
        <v>0</v>
      </c>
      <c r="S1818">
        <f>IFERROR(O1818/N1818,0)</f>
        <v/>
      </c>
      <c r="T1818" t="n">
        <v>0</v>
      </c>
      <c r="V1818" t="n">
        <v>0</v>
      </c>
    </row>
    <row r="1820">
      <c r="A1820" t="inlineStr">
        <is>
          <t>Actions Per Second (pre-Adrenalin)</t>
        </is>
      </c>
      <c r="B1820">
        <f>1+MIN(150,150*(1-(1-(Inputs!$B$11+((C1809=TRUE)*(F1809-Calc!F22))+(ArtifactsInput!$M$15-ArtifactsInput!$M$15)*CHOOSE(ArtifactsInput!$N$15+1,8,9.6,11.2,12.8,14.4,16))/150)*(1-((C1806=TRUE)*F1806*IF(AND(Inputs!$B$39&lt;&gt;"pvp",Inputs!$B$44&gt;0),(((R1806-1)*(Skills!Y19*(1+Inputs!$B$34/100))+MIN((Skills!Y19*(1+Inputs!$B$34/100)),MAX(0,Inputs!$B$44-((R1806-1)*Skills!D19))))/Inputs!$B$44),IF(Inputs!$B$39="pvp",MIN((Skills!Y19*(1+Inputs!$B$34/100)),15)/15,(Skills!Y19*(1+Inputs!$B$34/100))/Skills!D19)))/150)))/100</f>
        <v/>
      </c>
    </row>
    <row r="1821">
      <c r="A1821" t="inlineStr">
        <is>
          <t>Alchemic Adrenaline Uptime</t>
        </is>
      </c>
      <c r="B1821">
        <f>(Skills!Y6*(1+Inputs!$B$34/100))/((Skills!Y6*(1+Inputs!$B$34/100))+(5/B1820))</f>
        <v/>
      </c>
    </row>
    <row r="1822">
      <c r="A1822" t="inlineStr">
        <is>
          <t>Attack Speed Buff Bonus %</t>
        </is>
      </c>
      <c r="B1822">
        <f>((C1806=TRUE)*F1806*IF(AND(Inputs!$B$39&lt;&gt;"pvp",Inputs!$B$44&gt;0),(((R1806-1)*(Skills!Y19*(1+Inputs!$B$34/100))+MIN((Skills!Y19*(1+Inputs!$B$34/100)),MAX(0,Inputs!$B$44-((R1806-1)*Skills!D19))))/Inputs!$B$44),IF(Inputs!$B$39="pvp",MIN((Skills!Y19*(1+Inputs!$B$34/100)),15)/15,(Skills!Y19*(1+Inputs!$B$34/100))/Skills!D19)))+((C1794=TRUE)*F1794*B1821)</f>
        <v/>
      </c>
    </row>
    <row r="1823">
      <c r="A1823" t="inlineStr">
        <is>
          <t>Actions Per Second (final)</t>
        </is>
      </c>
      <c r="B1823">
        <f>1+MIN(150,150*(1-(1-(Inputs!$B$11+((C1809=TRUE)*(F1809-Calc!F22))+(ArtifactsInput!$M$15-ArtifactsInput!$M$15)*CHOOSE(ArtifactsInput!$N$15+1,8,9.6,11.2,12.8,14.4,16))/150)*(1-B1822/150)))/100</f>
        <v/>
      </c>
    </row>
    <row r="1824">
      <c r="A1824" t="inlineStr">
        <is>
          <t>Skill + Buff Cast Rate</t>
        </is>
      </c>
      <c r="B1824">
        <f>IF(AND(Inputs!$B$39&lt;&gt;"pvp",Inputs!$B$44&gt;0),SUMPRODUCT((Skills!E2:E31=TRUE)*(C1789:C1818=TRUE)*R1789:R1818*Skills!F2:F31)/Inputs!$B$44,SUMPRODUCT((Skills!E2:E31=TRUE)*(C1789:C1818=TRUE)*Q1789:Q1818*Skills!F2:F31))</f>
        <v/>
      </c>
    </row>
    <row r="1825">
      <c r="A1825" t="inlineStr">
        <is>
          <t>Showdown Casts Per Second</t>
        </is>
      </c>
      <c r="B1825">
        <f>MAX(0,B1823-B1824)</f>
        <v/>
      </c>
    </row>
    <row r="1826">
      <c r="A1826" t="inlineStr">
        <is>
          <t>Average Buff Multiplier</t>
        </is>
      </c>
      <c r="B1826">
        <f>(1+(((C1808=TRUE)*F1808*IF(AND(Inputs!$B$39&lt;&gt;"pvp",Inputs!$B$44&gt;0),(((R1808-1)*(Skills!Y21*(1+Inputs!$B$34/100))+MIN((Skills!Y21*(1+Inputs!$B$34/100)),MAX(0,Inputs!$B$44-((R1808-1)*Skills!D21))))/Inputs!$B$44),IF(Inputs!$B$39="pvp",MIN((Skills!Y21*(1+Inputs!$B$34/100)),15)/15,(Skills!Y21*(1+Inputs!$B$34/100))/Skills!D21)))+((C1815=TRUE)*(F1815-Calc!F28))+((C1805=TRUE)*(F1805-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1802=TRUE)*F1802*IF(AND(Inputs!$B$39&lt;&gt;"pvp",Inputs!$B$44&gt;0),(((R1802-1)*(Skills!Y15*(1+Inputs!$B$34/100))+MIN((Skills!Y15*(1+Inputs!$B$34/100)),MAX(0,Inputs!$B$44-((R1802-1)*Skills!D15))))/Inputs!$B$44),IF(Inputs!$B$39="pvp",MIN((Skills!Y15*(1+Inputs!$B$34/100)),15)/15,(Skills!Y15*(1+Inputs!$B$34/100))/Skills!D15)))/100)*(1+((C1793=TRUE)*F1793*B1821)/100)</f>
        <v/>
      </c>
    </row>
    <row r="1827">
      <c r="A1827" t="inlineStr">
        <is>
          <t>Global Crit Rate Bonus %</t>
        </is>
      </c>
      <c r="B1827">
        <f>IF(Inputs!$B$3&gt;=47,8,0)+((C1807=TRUE)*F1807*IF(AND(Inputs!$B$39&lt;&gt;"pvp",Inputs!$B$44&gt;0),(((R1807-1)*(Skills!Y20*(1+Inputs!$B$34/100))+MIN((Skills!Y20*(1+Inputs!$B$34/100)),MAX(0,Inputs!$B$44-((R1807-1)*Skills!D20))))/Inputs!$B$44),IF(Inputs!$B$39="pvp",MIN((Skills!Y20*(1+Inputs!$B$34/100)),15)/15,(Skills!Y20*(1+Inputs!$B$34/100))/Skills!D20)))</f>
        <v/>
      </c>
    </row>
    <row r="1828">
      <c r="A1828" t="inlineStr">
        <is>
          <t>Global Monster Damage-Taken Bonus %</t>
        </is>
      </c>
      <c r="B1828">
        <f>IF(Inputs!$B$3&gt;=82,15,0)+((C1803=TRUE)*F1803*IF(AND(Inputs!$B$39&lt;&gt;"pvp",Inputs!$B$44&gt;0),(((R1803-1)*(Skills!Y16*(1+Inputs!$B$34/100))+MIN((Skills!Y16*(1+Inputs!$B$34/100)),MAX(0,Inputs!$B$44-((R1803-1)*Skills!D16))))/Inputs!$B$44),IF(Inputs!$B$39="pvp",MIN((Skills!Y16*(1+Inputs!$B$34/100)),15)/15,(Skills!Y16*(1+Inputs!$B$34/100))/Skills!D16)))</f>
        <v/>
      </c>
    </row>
    <row r="1829">
      <c r="A1829" t="inlineStr">
        <is>
          <t>Shadow Partner Average Multiplier</t>
        </is>
      </c>
      <c r="B1829">
        <f>1+((C1798=TRUE)*F1798*I1798*Skills!J11/100)/100</f>
        <v/>
      </c>
    </row>
    <row r="1830">
      <c r="A1830" t="inlineStr">
        <is>
          <t>Global Critical Damage Bonus % (Frailty Curse Mastery Lv.111)</t>
        </is>
      </c>
      <c r="B1830">
        <f>IF(Inputs!$B$3&gt;=111,30,0)*IF(AND(Inputs!$B$39&lt;&gt;"pvp",Inputs!$B$44&gt;0),(((R1803-1)*(Skills!Y16*(1+Inputs!$B$34/100))+MIN((Skills!Y16*(1+Inputs!$B$34/100)),MAX(0,Inputs!$B$44-((R1803-1)*Skills!D16))))/Inputs!$B$44),IF(Inputs!$B$39="pvp",MIN((Skills!Y16*(1+Inputs!$B$34/100)),15)/15,(Skills!Y16*(1+Inputs!$B$34/100))/Skills!D16))</f>
        <v/>
      </c>
    </row>
    <row r="1831">
      <c r="A1831" s="6" t="inlineStr">
        <is>
          <t>TOTAL DPS</t>
        </is>
      </c>
      <c r="B1831" s="6">
        <f>SUM(O1789:O1818)</f>
        <v/>
      </c>
    </row>
    <row r="1832">
      <c r="A1832" t="inlineStr">
        <is>
          <t>Buff-Casting Startup Delay (s, fixed-duration only)</t>
        </is>
      </c>
      <c r="B1832">
        <f>IF(AND(Inputs!$B$39&lt;&gt;"pvp",Inputs!$B$44&gt;0),SUMPRODUCT((Skills!Y2:Y31&gt;0)*(Skills!E2:E31=TRUE)*(C1789:C1818=TRUE))/B1823,0)</f>
        <v/>
      </c>
    </row>
    <row r="1833">
      <c r="A1833" t="inlineStr">
        <is>
          <t>Boss-Only Total DPS (this block's swept value)</t>
        </is>
      </c>
      <c r="B1833">
        <f>SUM(T1789:T1818)</f>
        <v/>
      </c>
    </row>
    <row r="1834">
      <c r="A1834" t="inlineStr">
        <is>
          <t>Normal-Only Total DPS (this block's swept value)</t>
        </is>
      </c>
      <c r="B1834">
        <f>SUM(V1789:V1818)</f>
        <v/>
      </c>
    </row>
    <row r="1836">
      <c r="A1836" s="6" t="inlineStr">
        <is>
          <t>Stat: Athena Pierce's Old Gloves (Equip)</t>
        </is>
      </c>
    </row>
    <row r="1837">
      <c r="A1837" s="5" t="inlineStr">
        <is>
          <t>Key</t>
        </is>
      </c>
      <c r="B1837" s="5" t="inlineStr">
        <is>
          <t>Name</t>
        </is>
      </c>
      <c r="C1837" s="5" t="inlineStr">
        <is>
          <t>Unlocked</t>
        </is>
      </c>
      <c r="D1837" s="5" t="inlineStr">
        <is>
          <t>InputLevel</t>
        </is>
      </c>
      <c r="E1837" s="5" t="inlineStr">
        <is>
          <t>Factor</t>
        </is>
      </c>
      <c r="F1837" s="5" t="inlineStr">
        <is>
          <t>CoefficientPercent</t>
        </is>
      </c>
      <c r="G1837" s="5" t="inlineStr">
        <is>
          <t>EffectiveHits</t>
        </is>
      </c>
      <c r="H1837" s="5" t="inlineStr">
        <is>
          <t>ProcProbability</t>
        </is>
      </c>
      <c r="I1837" s="5" t="inlineStr">
        <is>
          <t>MapleHeroMultiplier</t>
        </is>
      </c>
      <c r="J1837" s="5" t="inlineStr">
        <is>
          <t>BaseDamage</t>
        </is>
      </c>
      <c r="K1837" s="5" t="inlineStr">
        <is>
          <t>BaseHitDamage</t>
        </is>
      </c>
      <c r="L1837" s="5" t="inlineStr">
        <is>
          <t>NonCritAvg</t>
        </is>
      </c>
      <c r="M1837" s="5" t="inlineStr">
        <is>
          <t>CritAvg</t>
        </is>
      </c>
      <c r="N1837" s="5" t="inlineStr">
        <is>
          <t>ExpectedDamage(perHit)</t>
        </is>
      </c>
      <c r="O1837" s="5" t="inlineStr">
        <is>
          <t>DPS</t>
        </is>
      </c>
      <c r="P1837" s="5" t="inlineStr">
        <is>
          <t>% of Total</t>
        </is>
      </c>
      <c r="Q1837" s="5" t="inlineStr">
        <is>
          <t>InvCooldown</t>
        </is>
      </c>
      <c r="R1837" s="5" t="inlineStr">
        <is>
          <t>CastsInFight</t>
        </is>
      </c>
      <c r="S1837" s="5" t="inlineStr">
        <is>
          <t>HitRate(perSec)</t>
        </is>
      </c>
      <c r="U1837" t="inlineStr">
        <is>
          <t>helpers</t>
        </is>
      </c>
    </row>
    <row r="1838">
      <c r="A1838">
        <f>Skills!A2</f>
        <v/>
      </c>
      <c r="B1838">
        <f>Skills!B2</f>
        <v/>
      </c>
      <c r="C1838">
        <f>Inputs!$B$3&gt;=100</f>
        <v/>
      </c>
      <c r="D1838" t="inlineStr"/>
      <c r="E1838" t="inlineStr"/>
      <c r="F1838">
        <f>U1842+Skills!O2</f>
        <v/>
      </c>
      <c r="G1838">
        <f>Calc!G2</f>
        <v/>
      </c>
      <c r="H1838">
        <f>Calc!H2</f>
        <v/>
      </c>
      <c r="I1838">
        <f>IF(Skills!AA2&lt;&gt;"",1+(Skills!AA2/10)*(U1839/1000)/100,1)</f>
        <v/>
      </c>
      <c r="J1838">
        <f>((Inputs!$B$6*(1+Inputs!$B$7/100))+(((Inputs!$B$12*(1+Inputs!$B$13/100))-(Inputs!$B$12*(1+Inputs!$B$13/100)))+0.25*(Inputs!$B$14-Inputs!$B$14))*(1+Inputs!$B$7/100))*(F1838/100)</f>
        <v/>
      </c>
      <c r="K1838">
        <f>J1838*(1+((Inputs!$B$12*(1+Inputs!$B$13/100))*0.01+Inputs!$B$14*0.0025)/100)*(1+Inputs!$B$15/100)*(1+Inputs!$B$16/100)*(5000/(6000+Inputs!$B$43*(1-(100*(1-(1-(Inputs!$B$19+0)/100)*(1-CHOOSE(ArtifactsInput!$N$40+1,5,6,7,8,9,10)/100)^(ArtifactsInput!$M$40-ArtifactsInput!$M$40)))/100)))*(1+(Inputs!$B$24+((C1866=TRUE)*(F1866-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1859=TRUE)*(F1859-Calc!F23))+(((IF(AND(ArtifactsInput!$M$42,((Inputs!$B$9+((C1861=TRUE)*(F1861-Calc!F25))+B1876+(ArtifactsInput!$M$24-ArtifactsInput!$M$24)*CHOOSE(ArtifactsInput!$N$24+1,10,12,14,16,18,20)+IF(ArtifactsInput!$M$10,CHOOSE(ArtifactsInput!$N$10+1,15,18,21,24,27,30)*(IF(Inputs!$B$39="pvp",MIN(15,15)/15,IF(AND(Inputs!$B$39&lt;&gt;"pvp",Inputs!$B$44&gt;0),MIN(15,Inputs!$B$44)/(Inputs!$B$44),0))),0)))&gt;=100),MIN(100,((Inputs!$B$9+((C1861=TRUE)*(F1861-Calc!F25))+B1876+(ArtifactsInput!$M$24-ArtifactsInput!$M$24)*CHOOSE(ArtifactsInput!$N$24+1,10,12,14,16,18,20)+IF(ArtifactsInput!$M$10,CHOOSE(ArtifactsInput!$N$10+1,15,18,21,24,27,30)*(IF(Inputs!$B$39="pvp",MIN(15,15)/15,IF(AND(Inputs!$B$39&lt;&gt;"pvp",Inputs!$B$44&gt;0),MIN(15,Inputs!$B$44)/(Inputs!$B$44),0))),0)))-100),0))*CHOOSE(ArtifactsInput!$N$42+1,0.6,0.72,0.84,0.96,1.08,1.2))),Inputs!$B$18+((C1865=TRUE)*(F1865-Calc!F29))+(IF(AND(ArtifactsInput!$M$42,((Inputs!$B$9+((C1861=TRUE)*(F1861-Calc!F25))+B1876+(ArtifactsInput!$M$24-ArtifactsInput!$M$24)*CHOOSE(ArtifactsInput!$N$24+1,10,12,14,16,18,20)+IF(ArtifactsInput!$M$10,CHOOSE(ArtifactsInput!$N$10+1,15,18,21,24,27,30)*(IF(Inputs!$B$39="pvp",MIN(15,15)/15,IF(AND(Inputs!$B$39&lt;&gt;"pvp",Inputs!$B$44&gt;0),MIN(15,Inputs!$B$44)/(Inputs!$B$44),0))),0)))&gt;=100),CHOOSE(ArtifactsInput!$N$42+1,40,48,56,64,72,80),0))))/100)*(((1+(((C1857=TRUE)*F1857*IF(AND(Inputs!$B$39&lt;&gt;"pvp",Inputs!$B$44&gt;0),(((R1857-1)*(Skills!Y21*(1+Inputs!$B$34/100))+MIN((Skills!Y21*(1+Inputs!$B$34/100)),MAX(0,Inputs!$B$44-((R1857-1)*Skills!D21))))/Inputs!$B$44),IF(Inputs!$B$39="pvp",MIN((Skills!Y21*(1+Inputs!$B$34/100)),15)/15,(Skills!Y21*(1+Inputs!$B$34/100))/Skills!D21)))+((C1864=TRUE)*(F1864-Calc!F28))+((C1854=TRUE)*(F1854-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1851=TRUE)*F1851*IF(AND(Inputs!$B$39&lt;&gt;"pvp",Inputs!$B$44&gt;0),(((R1851-1)*(Skills!Y15*(1+Inputs!$B$34/100))+MIN((Skills!Y15*(1+Inputs!$B$34/100)),MAX(0,Inputs!$B$44-((R1851-1)*Skills!D15))))/Inputs!$B$44),IF(Inputs!$B$39="pvp",MIN((Skills!Y15*(1+Inputs!$B$34/100)),15)/15,(Skills!Y15*(1+Inputs!$B$34/100))/Skills!D15)))/100)*(1+((C1842=TRUE)*F1842*B1870)/100))*B1878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1838)</f>
        <v/>
      </c>
      <c r="L1838">
        <f>K1838*(MIN(Inputs!$B$22+((C1860=TRUE)*(F1860-Calc!F24)),(Inputs!$B$23+0+((IF(IF(ArtifactsInput!$M$15,FALSE,TRUE),1,-1)*CHOOSE(ArtifactsInput!$N$15+1,25,30,35,40,45,50)/100*IF(IF(ArtifactsInput!$M$15,FALSE,TRUE),(Inputs!$B$11+((C1858=TRUE)*(F1858-Calc!F22))+(IF(ArtifactsInput!$M$15,FALSE,TRUE)-ArtifactsInput!$M$15)*CHOOSE(ArtifactsInput!$N$15+1,8,9.6,11.2,12.8,14.4,16)),Inputs!$B$11)))))/100+(Inputs!$B$23+0+((IF(IF(ArtifactsInput!$M$15,FALSE,TRUE),1,-1)*CHOOSE(ArtifactsInput!$N$15+1,25,30,35,40,45,50)/100*IF(IF(ArtifactsInput!$M$15,FALSE,TRUE),(Inputs!$B$11+((C1858=TRUE)*(F1858-Calc!F22))+(IF(ArtifactsInput!$M$15,FALSE,TRUE)-ArtifactsInput!$M$15)*CHOOSE(ArtifactsInput!$N$15+1,8,9.6,11.2,12.8,14.4,16)),Inputs!$B$11))))/100)/2</f>
        <v/>
      </c>
      <c r="M1838">
        <f>L1838*(1+(Inputs!$B$10+((C1862=TRUE)*(F1862-Calc!F26))+B1879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38">
        <f>L1838*(1-MIN((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1838*(MIN((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38">
        <f>(1-Summary!$B$11)*T1838+Summary!$B$11*V1838</f>
        <v/>
      </c>
      <c r="P1838">
        <f>IF(B1880=0,0,O1838/B1880)</f>
        <v/>
      </c>
      <c r="Q1838" t="n">
        <v>0</v>
      </c>
      <c r="R1838" t="n">
        <v>0</v>
      </c>
      <c r="S1838">
        <f>IFERROR(O1838/N1838,0)</f>
        <v/>
      </c>
      <c r="T1838">
        <f>IF(C1838,(Skills!G2*N1838*B1874)*IF(Inputs!$B$39="pvp",1,1+(Inputs!$B$20+((C1863=TRUE)*(F1863-Calc!F27))+Skills!P2+B1877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Hunt"),CHOOSE(ArtifactsInput!$N$35+1,15,18,21,24,27,30)*(1-EXP(-(0.2*B1872)*5)),0)+IF(AND(ArtifactsInput!$M$22,Inputs!$B$4&lt;&gt;"Chapter Hunt"),CHOOSE(ArtifactsInput!$N$22+1,10,12,14,16,18,20)*((0*(((0.15*B1872*5))^0/1)+1*(((0.15*B1872*5))^1/1)+2*(((0.15*B1872*5))^2/2)+3*(((0.15*B1872*5))^3/6)+4*(((0.15*B1872*5))^4/24)+5*(((0.15*B1872*5))^5/120))/((((0.15*B1872*5))^0/1)+(((0.15*B1872*5))^1/1)+(((0.15*B1872*5))^2/2)+(((0.15*B1872*5))^3/6)+(((0.15*B1872*5))^4/24)+(((0.15*B1872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1838*(1-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1838*(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1838*(1-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1838*(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38">
        <f>MAX(0,(Inputs!$B$3-100)*3)+Inputs!$B$28+Inputs!$B$29</f>
        <v/>
      </c>
      <c r="V1838">
        <f>IF(C1838,(Skills!G2*N1838*B1874)*IF(Inputs!$B$39="pvp",1,(1+(Inputs!$B$21+Skills!Q2+B1877+(IF(ArtifactsInput!$M$33,CHOOSE(ArtifactsInput!$N$33+1,30,36,42,48,54,60),0))+(IF(AND(ArtifactsInput!$M$35,Inputs!$B$4&lt;&gt;"Chapter Hunt"),CHOOSE(ArtifactsInput!$N$35+1,15,18,21,24,27,30)*(1-EXP(-(0.2*B1872)*5)),0)+IF(AND(ArtifactsInput!$M$22,Inputs!$B$4&lt;&gt;"Chapter Hunt"),CHOOSE(ArtifactsInput!$N$22+1,10,12,14,16,18,20)*((0*(((0.15*B1872*5))^0/1)+1*(((0.15*B1872*5))^1/1)+2*(((0.15*B1872*5))^2/2)+3*(((0.15*B1872*5))^3/6)+4*(((0.15*B1872*5))^4/24)+5*(((0.15*B1872*5))^5/120))/((((0.15*B1872*5))^0/1)+(((0.15*B1872*5))^1/1)+(((0.15*B1872*5))^2/2)+(((0.15*B1872*5))^3/6)+(((0.15*B1872*5))^4/24)+(((0.15*B1872*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39">
      <c r="A1839">
        <f>Skills!A3</f>
        <v/>
      </c>
      <c r="B1839">
        <f>Skills!B3</f>
        <v/>
      </c>
      <c r="C1839">
        <f>Inputs!$B$3&gt;=35</f>
        <v/>
      </c>
      <c r="D1839">
        <f>IF(Skills!C3=1,60+Inputs!$B$25+Inputs!$B$29,IF(Skills!C3=2,90+Inputs!$B$26+Inputs!$B$29,IF(Skills!C3=3,120+Inputs!$B$27+Inputs!$B$29,MAX(0,(Inputs!$B$3-100)*3)+Inputs!$B$28+Inputs!$B$29)))</f>
        <v/>
      </c>
      <c r="E1839">
        <f>INDEX(FactorTable!$B$2:$Y$301, MATCH(ROUND(MIN(300,MAX(1,D1839)),0), FactorTable!$A$2:$A$301,0), Skills!M3+1)</f>
        <v/>
      </c>
      <c r="F1839">
        <f>IF(Skills!N3=TRUE,(Skills!L3/10)*(E1839/1000),Skills!L3/10)+Skills!O3</f>
        <v/>
      </c>
      <c r="G1839">
        <f>Calc!G3</f>
        <v/>
      </c>
      <c r="H1839">
        <f>Calc!H3</f>
        <v/>
      </c>
      <c r="I1839">
        <f>IF(Skills!AA3&lt;&gt;"",1+(Skills!AA3/10)*(U1839/1000)/100,1)</f>
        <v/>
      </c>
      <c r="J1839">
        <f>((Inputs!$B$6*(1+Inputs!$B$7/100))+(((Inputs!$B$12*(1+Inputs!$B$13/100))-(Inputs!$B$12*(1+Inputs!$B$13/100)))+0.25*(Inputs!$B$14-Inputs!$B$14))*(1+Inputs!$B$7/100))*(F1839/100)</f>
        <v/>
      </c>
      <c r="K1839">
        <f>J1839*(1+((Inputs!$B$12*(1+Inputs!$B$13/100))*0.01+Inputs!$B$14*0.0025)/100)*(1+Inputs!$B$15/100)*(1+Inputs!$B$16/100)*(5000/(6000+Inputs!$B$43*(1-(100*(1-(1-(Inputs!$B$19+0)/100)*(1-CHOOSE(ArtifactsInput!$N$40+1,5,6,7,8,9,10)/100)^(ArtifactsInput!$M$40-ArtifactsInput!$M$40)))/100)))*(1+(Inputs!$B$24+((C1866=TRUE)*(F1866-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1859=TRUE)*(F1859-Calc!F23))+(((IF(AND(ArtifactsInput!$M$42,((Inputs!$B$9+((C1861=TRUE)*(F1861-Calc!F25))+B1876+(ArtifactsInput!$M$24-ArtifactsInput!$M$24)*CHOOSE(ArtifactsInput!$N$24+1,10,12,14,16,18,20)+IF(ArtifactsInput!$M$10,CHOOSE(ArtifactsInput!$N$10+1,15,18,21,24,27,30)*(IF(Inputs!$B$39="pvp",MIN(15,15)/15,IF(AND(Inputs!$B$39&lt;&gt;"pvp",Inputs!$B$44&gt;0),MIN(15,Inputs!$B$44)/(Inputs!$B$44),0))),0)))&gt;=100),MIN(100,((Inputs!$B$9+((C1861=TRUE)*(F1861-Calc!F25))+B1876+(ArtifactsInput!$M$24-ArtifactsInput!$M$24)*CHOOSE(ArtifactsInput!$N$24+1,10,12,14,16,18,20)+IF(ArtifactsInput!$M$10,CHOOSE(ArtifactsInput!$N$10+1,15,18,21,24,27,30)*(IF(Inputs!$B$39="pvp",MIN(15,15)/15,IF(AND(Inputs!$B$39&lt;&gt;"pvp",Inputs!$B$44&gt;0),MIN(15,Inputs!$B$44)/(Inputs!$B$44),0))),0)))-100),0))*CHOOSE(ArtifactsInput!$N$42+1,0.6,0.72,0.84,0.96,1.08,1.2))),Inputs!$B$18+((C1865=TRUE)*(F1865-Calc!F29))+(IF(AND(ArtifactsInput!$M$42,((Inputs!$B$9+((C1861=TRUE)*(F1861-Calc!F25))+B1876+(ArtifactsInput!$M$24-ArtifactsInput!$M$24)*CHOOSE(ArtifactsInput!$N$24+1,10,12,14,16,18,20)+IF(ArtifactsInput!$M$10,CHOOSE(ArtifactsInput!$N$10+1,15,18,21,24,27,30)*(IF(Inputs!$B$39="pvp",MIN(15,15)/15,IF(AND(Inputs!$B$39&lt;&gt;"pvp",Inputs!$B$44&gt;0),MIN(15,Inputs!$B$44)/(Inputs!$B$44),0))),0)))&gt;=100),CHOOSE(ArtifactsInput!$N$42+1,40,48,56,64,72,80),0))))/100)*(((1+(((C1857=TRUE)*F1857*IF(AND(Inputs!$B$39&lt;&gt;"pvp",Inputs!$B$44&gt;0),(((R1857-1)*(Skills!Y21*(1+Inputs!$B$34/100))+MIN((Skills!Y21*(1+Inputs!$B$34/100)),MAX(0,Inputs!$B$44-((R1857-1)*Skills!D21))))/Inputs!$B$44),IF(Inputs!$B$39="pvp",MIN((Skills!Y21*(1+Inputs!$B$34/100)),15)/15,(Skills!Y21*(1+Inputs!$B$34/100))/Skills!D21)))+((C1864=TRUE)*(F1864-Calc!F28))+((C1854=TRUE)*(F1854-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1851=TRUE)*F1851*IF(AND(Inputs!$B$39&lt;&gt;"pvp",Inputs!$B$44&gt;0),(((R1851-1)*(Skills!Y15*(1+Inputs!$B$34/100))+MIN((Skills!Y15*(1+Inputs!$B$34/100)),MAX(0,Inputs!$B$44-((R1851-1)*Skills!D15))))/Inputs!$B$44),IF(Inputs!$B$39="pvp",MIN((Skills!Y15*(1+Inputs!$B$34/100)),15)/15,(Skills!Y15*(1+Inputs!$B$34/100))/Skills!D15)))/100)*(1+((C1842=TRUE)*F1842*B1870)/100))*B1878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1839)</f>
        <v/>
      </c>
      <c r="L1839">
        <f>K1839*(MIN(Inputs!$B$22+((C1860=TRUE)*(F1860-Calc!F24)),(Inputs!$B$23+0+((IF(IF(ArtifactsInput!$M$15,FALSE,TRUE),1,-1)*CHOOSE(ArtifactsInput!$N$15+1,25,30,35,40,45,50)/100*IF(IF(ArtifactsInput!$M$15,FALSE,TRUE),(Inputs!$B$11+((C1858=TRUE)*(F1858-Calc!F22))+(IF(ArtifactsInput!$M$15,FALSE,TRUE)-ArtifactsInput!$M$15)*CHOOSE(ArtifactsInput!$N$15+1,8,9.6,11.2,12.8,14.4,16)),Inputs!$B$11)))))/100+(Inputs!$B$23+0+((IF(IF(ArtifactsInput!$M$15,FALSE,TRUE),1,-1)*CHOOSE(ArtifactsInput!$N$15+1,25,30,35,40,45,50)/100*IF(IF(ArtifactsInput!$M$15,FALSE,TRUE),(Inputs!$B$11+((C1858=TRUE)*(F1858-Calc!F22))+(IF(ArtifactsInput!$M$15,FALSE,TRUE)-ArtifactsInput!$M$15)*CHOOSE(ArtifactsInput!$N$15+1,8,9.6,11.2,12.8,14.4,16)),Inputs!$B$11))))/100)/2</f>
        <v/>
      </c>
      <c r="M1839">
        <f>L1839*(1+(Inputs!$B$10+((C1862=TRUE)*(F1862-Calc!F26))+B1879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39">
        <f>L1839*(1-MIN((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1839*(MIN((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39">
        <f>(1-Summary!$B$11)*T1839+Summary!$B$11*V1839</f>
        <v/>
      </c>
      <c r="P1839">
        <f>IF(B1880=0,0,O1839/B1880)</f>
        <v/>
      </c>
      <c r="Q1839">
        <f>IFERROR(1/IF(Inputs!$B$39="pvp",15,MAX(0.1,Skills!D3-IF(Skills!E3=TRUE,Inputs!$B$32,0))),0)</f>
        <v/>
      </c>
      <c r="R1839">
        <f>IF(AND(Inputs!$B$39&lt;&gt;"pvp",Inputs!$B$44&gt;0),IF(MAX(0,Inputs!$B$44-B1881)&lt;=0,0,(INT(MAX(0,Inputs!$B$44-B1881)/IF(Inputs!$B$39="pvp",15,MAX(0.1,Skills!D3-IF(Skills!E3=TRUE,Inputs!$B$32,0))))+1)),0)</f>
        <v/>
      </c>
      <c r="S1839">
        <f>IFERROR(O1839/N1839,0)</f>
        <v/>
      </c>
      <c r="T1839">
        <f>IF(C1839,(H1839*N1839*IF(AND(Inputs!$B$39&lt;&gt;"pvp",Inputs!$B$44&gt;0),((Skills!G3*((R1839-1)*IF(Skills!H3&gt;0,Skills!I3/Skills!H3,1)+IF(Skills!H3&gt;0,MIN(Skills!I3,MAX(0,MAX(0,Inputs!$B$44-B1881)-((R1839-1)*IF(Inputs!$B$39="pvp",15,MAX(0.1,Skills!D3-IF(Skills!E3=TRUE,Inputs!$B$32,0))))))/Skills!H3,1)))/Inputs!$B$44),G1839*Q1839))*IF(Inputs!$B$39="pvp",1,1+(Inputs!$B$20+((C1863=TRUE)*(F1863-Calc!F27))+Skills!P3+B1877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Hunt"),CHOOSE(ArtifactsInput!$N$35+1,15,18,21,24,27,30)*(1-EXP(-(0.2*B1872)*5)),0)+IF(AND(ArtifactsInput!$M$22,Inputs!$B$4&lt;&gt;"Chapter Hunt"),CHOOSE(ArtifactsInput!$N$22+1,10,12,14,16,18,20)*((0*(((0.15*B1872*5))^0/1)+1*(((0.15*B1872*5))^1/1)+2*(((0.15*B1872*5))^2/2)+3*(((0.15*B1872*5))^3/6)+4*(((0.15*B1872*5))^4/24)+5*(((0.15*B1872*5))^5/120))/((((0.15*B1872*5))^0/1)+(((0.15*B1872*5))^1/1)+(((0.15*B1872*5))^2/2)+(((0.15*B1872*5))^3/6)+(((0.15*B1872*5))^4/24)+(((0.15*B1872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1839*(1-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1839*(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1839*(1-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1839*(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39">
        <f>INDEX(FactorTable!$B$2:$Y$301, MATCH(ROUND(MIN(300,MAX(1,U1838)),0), FactorTable!$A$2:$A$301,0), 24)</f>
        <v/>
      </c>
      <c r="V1839">
        <f>IF(C1839,(H1839*N1839*IF(AND(Inputs!$B$39&lt;&gt;"pvp",Inputs!$B$44&gt;0),((Skills!G3*((R1839-1)*IF(Skills!H3&gt;0,Skills!I3/Skills!H3,1)+IF(Skills!H3&gt;0,MIN(Skills!I3,MAX(0,MAX(0,Inputs!$B$44-B1881)-((R1839-1)*IF(Inputs!$B$39="pvp",15,MAX(0.1,Skills!D3-IF(Skills!E3=TRUE,Inputs!$B$32,0))))))/Skills!H3,1)))/Inputs!$B$44),G1839*Q1839))*IF(Inputs!$B$39="pvp",1,(1+(Inputs!$B$21+Skills!Q3+B1877+(IF(ArtifactsInput!$M$33,CHOOSE(ArtifactsInput!$N$33+1,30,36,42,48,54,60),0))+(IF(AND(ArtifactsInput!$M$35,Inputs!$B$4&lt;&gt;"Chapter Hunt"),CHOOSE(ArtifactsInput!$N$35+1,15,18,21,24,27,30)*(1-EXP(-(0.2*B1872)*5)),0)+IF(AND(ArtifactsInput!$M$22,Inputs!$B$4&lt;&gt;"Chapter Hunt"),CHOOSE(ArtifactsInput!$N$22+1,10,12,14,16,18,20)*((0*(((0.15*B1872*5))^0/1)+1*(((0.15*B1872*5))^1/1)+2*(((0.15*B1872*5))^2/2)+3*(((0.15*B1872*5))^3/6)+4*(((0.15*B1872*5))^4/24)+5*(((0.15*B1872*5))^5/120))/((((0.15*B1872*5))^0/1)+(((0.15*B1872*5))^1/1)+(((0.15*B1872*5))^2/2)+(((0.15*B1872*5))^3/6)+(((0.15*B1872*5))^4/24)+(((0.15*B1872*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40">
      <c r="A1840">
        <f>Skills!A4</f>
        <v/>
      </c>
      <c r="B1840">
        <f>Skills!B4</f>
        <v/>
      </c>
      <c r="C1840">
        <f>Inputs!$B$3&gt;=40</f>
        <v/>
      </c>
      <c r="D1840">
        <f>IF(Skills!C4=1,60+Inputs!$B$25+Inputs!$B$29,IF(Skills!C4=2,90+Inputs!$B$26+Inputs!$B$29,IF(Skills!C4=3,120+Inputs!$B$27+Inputs!$B$29,MAX(0,(Inputs!$B$3-100)*3)+Inputs!$B$28+Inputs!$B$29)))</f>
        <v/>
      </c>
      <c r="E1840">
        <f>INDEX(FactorTable!$B$2:$Y$301, MATCH(ROUND(MIN(300,MAX(1,D1840)),0), FactorTable!$A$2:$A$301,0), Skills!M4+1)</f>
        <v/>
      </c>
      <c r="F1840">
        <f>IF(Skills!N4=TRUE,(Skills!L4/10)*(E1840/1000),Skills!L4/10)+Skills!O4</f>
        <v/>
      </c>
      <c r="G1840">
        <f>Calc!G4</f>
        <v/>
      </c>
      <c r="H1840">
        <f>Calc!H4</f>
        <v/>
      </c>
      <c r="I1840">
        <f>IF(Skills!AA4&lt;&gt;"",1+(Skills!AA4/10)*(U1839/1000)/100,1)</f>
        <v/>
      </c>
      <c r="J1840">
        <f>((Inputs!$B$6*(1+Inputs!$B$7/100))+(((Inputs!$B$12*(1+Inputs!$B$13/100))-(Inputs!$B$12*(1+Inputs!$B$13/100)))+0.25*(Inputs!$B$14-Inputs!$B$14))*(1+Inputs!$B$7/100))*(F1840/100)</f>
        <v/>
      </c>
      <c r="K1840">
        <f>J1840*(1+((Inputs!$B$12*(1+Inputs!$B$13/100))*0.01+Inputs!$B$14*0.0025)/100)*(1+Inputs!$B$15/100)*(1+Inputs!$B$16/100)*(5000/(6000+Inputs!$B$43*(1-(100*(1-(1-(Inputs!$B$19+0)/100)*(1-CHOOSE(ArtifactsInput!$N$40+1,5,6,7,8,9,10)/100)^(ArtifactsInput!$M$40-ArtifactsInput!$M$40)))/100)))*(1+(Inputs!$B$24+((C1866=TRUE)*(F1866-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1859=TRUE)*(F1859-Calc!F23))+(((IF(AND(ArtifactsInput!$M$42,((Inputs!$B$9+((C1861=TRUE)*(F1861-Calc!F25))+B1876+(ArtifactsInput!$M$24-ArtifactsInput!$M$24)*CHOOSE(ArtifactsInput!$N$24+1,10,12,14,16,18,20)+IF(ArtifactsInput!$M$10,CHOOSE(ArtifactsInput!$N$10+1,15,18,21,24,27,30)*(IF(Inputs!$B$39="pvp",MIN(15,15)/15,IF(AND(Inputs!$B$39&lt;&gt;"pvp",Inputs!$B$44&gt;0),MIN(15,Inputs!$B$44)/(Inputs!$B$44),0))),0)))&gt;=100),MIN(100,((Inputs!$B$9+((C1861=TRUE)*(F1861-Calc!F25))+B1876+(ArtifactsInput!$M$24-ArtifactsInput!$M$24)*CHOOSE(ArtifactsInput!$N$24+1,10,12,14,16,18,20)+IF(ArtifactsInput!$M$10,CHOOSE(ArtifactsInput!$N$10+1,15,18,21,24,27,30)*(IF(Inputs!$B$39="pvp",MIN(15,15)/15,IF(AND(Inputs!$B$39&lt;&gt;"pvp",Inputs!$B$44&gt;0),MIN(15,Inputs!$B$44)/(Inputs!$B$44),0))),0)))-100),0))*CHOOSE(ArtifactsInput!$N$42+1,0.6,0.72,0.84,0.96,1.08,1.2))),Inputs!$B$18+((C1865=TRUE)*(F1865-Calc!F29))+(IF(AND(ArtifactsInput!$M$42,((Inputs!$B$9+((C1861=TRUE)*(F1861-Calc!F25))+B1876+(ArtifactsInput!$M$24-ArtifactsInput!$M$24)*CHOOSE(ArtifactsInput!$N$24+1,10,12,14,16,18,20)+IF(ArtifactsInput!$M$10,CHOOSE(ArtifactsInput!$N$10+1,15,18,21,24,27,30)*(IF(Inputs!$B$39="pvp",MIN(15,15)/15,IF(AND(Inputs!$B$39&lt;&gt;"pvp",Inputs!$B$44&gt;0),MIN(15,Inputs!$B$44)/(Inputs!$B$44),0))),0)))&gt;=100),CHOOSE(ArtifactsInput!$N$42+1,40,48,56,64,72,80),0))))/100)*(((1+(((C1857=TRUE)*F1857*IF(AND(Inputs!$B$39&lt;&gt;"pvp",Inputs!$B$44&gt;0),(((R1857-1)*(Skills!Y21*(1+Inputs!$B$34/100))+MIN((Skills!Y21*(1+Inputs!$B$34/100)),MAX(0,Inputs!$B$44-((R1857-1)*Skills!D21))))/Inputs!$B$44),IF(Inputs!$B$39="pvp",MIN((Skills!Y21*(1+Inputs!$B$34/100)),15)/15,(Skills!Y21*(1+Inputs!$B$34/100))/Skills!D21)))+((C1864=TRUE)*(F1864-Calc!F28))+((C1854=TRUE)*(F1854-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1851=TRUE)*F1851*IF(AND(Inputs!$B$39&lt;&gt;"pvp",Inputs!$B$44&gt;0),(((R1851-1)*(Skills!Y15*(1+Inputs!$B$34/100))+MIN((Skills!Y15*(1+Inputs!$B$34/100)),MAX(0,Inputs!$B$44-((R1851-1)*Skills!D15))))/Inputs!$B$44),IF(Inputs!$B$39="pvp",MIN((Skills!Y15*(1+Inputs!$B$34/100)),15)/15,(Skills!Y15*(1+Inputs!$B$34/100))/Skills!D15)))/100)*(1+((C1842=TRUE)*F1842*B1870)/100))*B1878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1840)</f>
        <v/>
      </c>
      <c r="L1840">
        <f>K1840*(MIN(Inputs!$B$22+((C1860=TRUE)*(F1860-Calc!F24)),(Inputs!$B$23+0+((IF(IF(ArtifactsInput!$M$15,FALSE,TRUE),1,-1)*CHOOSE(ArtifactsInput!$N$15+1,25,30,35,40,45,50)/100*IF(IF(ArtifactsInput!$M$15,FALSE,TRUE),(Inputs!$B$11+((C1858=TRUE)*(F1858-Calc!F22))+(IF(ArtifactsInput!$M$15,FALSE,TRUE)-ArtifactsInput!$M$15)*CHOOSE(ArtifactsInput!$N$15+1,8,9.6,11.2,12.8,14.4,16)),Inputs!$B$11)))))/100+(Inputs!$B$23+0+((IF(IF(ArtifactsInput!$M$15,FALSE,TRUE),1,-1)*CHOOSE(ArtifactsInput!$N$15+1,25,30,35,40,45,50)/100*IF(IF(ArtifactsInput!$M$15,FALSE,TRUE),(Inputs!$B$11+((C1858=TRUE)*(F1858-Calc!F22))+(IF(ArtifactsInput!$M$15,FALSE,TRUE)-ArtifactsInput!$M$15)*CHOOSE(ArtifactsInput!$N$15+1,8,9.6,11.2,12.8,14.4,16)),Inputs!$B$11))))/100)/2</f>
        <v/>
      </c>
      <c r="M1840">
        <f>L1840*(1+(Inputs!$B$10+((C1862=TRUE)*(F1862-Calc!F26))+B1879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40">
        <f>L1840*(1-MIN((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1840*(MIN((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40">
        <f>(1-Summary!$B$11)*T1840+Summary!$B$11*V1840</f>
        <v/>
      </c>
      <c r="P1840">
        <f>IF(B1880=0,0,O1840/B1880)</f>
        <v/>
      </c>
      <c r="Q1840">
        <f>IFERROR(1/IF(Inputs!$B$39="pvp",15,MAX(0.1,Skills!D4-IF(Skills!E4=TRUE,Inputs!$B$32,0))),0)</f>
        <v/>
      </c>
      <c r="R1840">
        <f>IF(AND(Inputs!$B$39&lt;&gt;"pvp",Inputs!$B$44&gt;0),IF(MAX(0,Inputs!$B$44-B1881)&lt;=0,0,(INT(MAX(0,Inputs!$B$44-B1881)/IF(Inputs!$B$39="pvp",15,MAX(0.1,Skills!D4-IF(Skills!E4=TRUE,Inputs!$B$32,0))))+1)),0)</f>
        <v/>
      </c>
      <c r="S1840">
        <f>IFERROR(O1840/N1840,0)</f>
        <v/>
      </c>
      <c r="T1840">
        <f>IF(C1840,(H1840*N1840*IF(AND(Inputs!$B$39&lt;&gt;"pvp",Inputs!$B$44&gt;0),((Skills!G4*((R1840-1)*IF(Skills!H4&gt;0,Skills!I4/Skills!H4,1)+IF(Skills!H4&gt;0,MIN(Skills!I4,MAX(0,MAX(0,Inputs!$B$44-B1881)-((R1840-1)*IF(Inputs!$B$39="pvp",15,MAX(0.1,Skills!D4-IF(Skills!E4=TRUE,Inputs!$B$32,0))))))/Skills!H4,1)))/Inputs!$B$44),G1840*Q1840))*IF(Inputs!$B$39="pvp",1,1+(Inputs!$B$20+((C1863=TRUE)*(F1863-Calc!F27))+Skills!P4+B1877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Hunt"),CHOOSE(ArtifactsInput!$N$35+1,15,18,21,24,27,30)*(1-EXP(-(0.2*B1872)*5)),0)+IF(AND(ArtifactsInput!$M$22,Inputs!$B$4&lt;&gt;"Chapter Hunt"),CHOOSE(ArtifactsInput!$N$22+1,10,12,14,16,18,20)*((0*(((0.15*B1872*5))^0/1)+1*(((0.15*B1872*5))^1/1)+2*(((0.15*B1872*5))^2/2)+3*(((0.15*B1872*5))^3/6)+4*(((0.15*B1872*5))^4/24)+5*(((0.15*B1872*5))^5/120))/((((0.15*B1872*5))^0/1)+(((0.15*B1872*5))^1/1)+(((0.15*B1872*5))^2/2)+(((0.15*B1872*5))^3/6)+(((0.15*B1872*5))^4/24)+(((0.15*B1872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1840*(1-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1840*(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1840*(1-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1840*(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40">
        <f>MAX(0,(Inputs!$B$3-100)*3)+Inputs!$B$28+Inputs!$B$29</f>
        <v/>
      </c>
      <c r="V1840">
        <f>IF(C1840,(H1840*N1840*IF(AND(Inputs!$B$39&lt;&gt;"pvp",Inputs!$B$44&gt;0),((Skills!G4*((R1840-1)*IF(Skills!H4&gt;0,Skills!I4/Skills!H4,1)+IF(Skills!H4&gt;0,MIN(Skills!I4,MAX(0,MAX(0,Inputs!$B$44-B1881)-((R1840-1)*IF(Inputs!$B$39="pvp",15,MAX(0.1,Skills!D4-IF(Skills!E4=TRUE,Inputs!$B$32,0))))))/Skills!H4,1)))/Inputs!$B$44),G1840*Q1840))*IF(Inputs!$B$39="pvp",1,(1+(Inputs!$B$21+Skills!Q4+B1877+(IF(ArtifactsInput!$M$33,CHOOSE(ArtifactsInput!$N$33+1,30,36,42,48,54,60),0))+(IF(AND(ArtifactsInput!$M$35,Inputs!$B$4&lt;&gt;"Chapter Hunt"),CHOOSE(ArtifactsInput!$N$35+1,15,18,21,24,27,30)*(1-EXP(-(0.2*B1872)*5)),0)+IF(AND(ArtifactsInput!$M$22,Inputs!$B$4&lt;&gt;"Chapter Hunt"),CHOOSE(ArtifactsInput!$N$22+1,10,12,14,16,18,20)*((0*(((0.15*B1872*5))^0/1)+1*(((0.15*B1872*5))^1/1)+2*(((0.15*B1872*5))^2/2)+3*(((0.15*B1872*5))^3/6)+4*(((0.15*B1872*5))^4/24)+5*(((0.15*B1872*5))^5/120))/((((0.15*B1872*5))^0/1)+(((0.15*B1872*5))^1/1)+(((0.15*B1872*5))^2/2)+(((0.15*B1872*5))^3/6)+(((0.15*B1872*5))^4/24)+(((0.15*B1872*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41">
      <c r="A1841">
        <f>Skills!A5</f>
        <v/>
      </c>
      <c r="B1841">
        <f>Skills!B5</f>
        <v/>
      </c>
      <c r="C1841">
        <f>Inputs!$B$3&gt;=63</f>
        <v/>
      </c>
      <c r="D1841">
        <f>IF(Skills!C5=1,60+Inputs!$B$25+Inputs!$B$29,IF(Skills!C5=2,90+Inputs!$B$26+Inputs!$B$29,IF(Skills!C5=3,120+Inputs!$B$27+Inputs!$B$29,MAX(0,(Inputs!$B$3-100)*3)+Inputs!$B$28+Inputs!$B$29)))</f>
        <v/>
      </c>
      <c r="E1841">
        <f>INDEX(FactorTable!$B$2:$Y$301, MATCH(ROUND(MIN(300,MAX(1,D1841)),0), FactorTable!$A$2:$A$301,0), Skills!M5+1)</f>
        <v/>
      </c>
      <c r="F1841">
        <f>IF(Skills!N5=TRUE,(Skills!L5/10)*(E1841/1000),Skills!L5/10)+Skills!O5</f>
        <v/>
      </c>
      <c r="G1841">
        <f>Calc!G5</f>
        <v/>
      </c>
      <c r="H1841">
        <f>Calc!H5</f>
        <v/>
      </c>
      <c r="I1841">
        <f>IF(Skills!AA5&lt;&gt;"",1+(Skills!AA5/10)*(U1839/1000)/100,1)</f>
        <v/>
      </c>
      <c r="J1841">
        <f>((Inputs!$B$6*(1+Inputs!$B$7/100))+(((Inputs!$B$12*(1+Inputs!$B$13/100))-(Inputs!$B$12*(1+Inputs!$B$13/100)))+0.25*(Inputs!$B$14-Inputs!$B$14))*(1+Inputs!$B$7/100))*(F1841/100)</f>
        <v/>
      </c>
      <c r="K1841">
        <f>J1841*(1+((Inputs!$B$12*(1+Inputs!$B$13/100))*0.01+Inputs!$B$14*0.0025)/100)*(1+Inputs!$B$15/100)*(1+Inputs!$B$16/100)*(5000/(6000+Inputs!$B$43*(1-(100*(1-(1-(Inputs!$B$19+0)/100)*(1-CHOOSE(ArtifactsInput!$N$40+1,5,6,7,8,9,10)/100)^(ArtifactsInput!$M$40-ArtifactsInput!$M$40)))/100)))*(1+(Inputs!$B$24+((C1866=TRUE)*(F1866-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1859=TRUE)*(F1859-Calc!F23))+(((IF(AND(ArtifactsInput!$M$42,((Inputs!$B$9+((C1861=TRUE)*(F1861-Calc!F25))+B1876+(ArtifactsInput!$M$24-ArtifactsInput!$M$24)*CHOOSE(ArtifactsInput!$N$24+1,10,12,14,16,18,20)+IF(ArtifactsInput!$M$10,CHOOSE(ArtifactsInput!$N$10+1,15,18,21,24,27,30)*(IF(Inputs!$B$39="pvp",MIN(15,15)/15,IF(AND(Inputs!$B$39&lt;&gt;"pvp",Inputs!$B$44&gt;0),MIN(15,Inputs!$B$44)/(Inputs!$B$44),0))),0)))&gt;=100),MIN(100,((Inputs!$B$9+((C1861=TRUE)*(F1861-Calc!F25))+B1876+(ArtifactsInput!$M$24-ArtifactsInput!$M$24)*CHOOSE(ArtifactsInput!$N$24+1,10,12,14,16,18,20)+IF(ArtifactsInput!$M$10,CHOOSE(ArtifactsInput!$N$10+1,15,18,21,24,27,30)*(IF(Inputs!$B$39="pvp",MIN(15,15)/15,IF(AND(Inputs!$B$39&lt;&gt;"pvp",Inputs!$B$44&gt;0),MIN(15,Inputs!$B$44)/(Inputs!$B$44),0))),0)))-100),0))*CHOOSE(ArtifactsInput!$N$42+1,0.6,0.72,0.84,0.96,1.08,1.2))),Inputs!$B$18+((C1865=TRUE)*(F1865-Calc!F29))+(IF(AND(ArtifactsInput!$M$42,((Inputs!$B$9+((C1861=TRUE)*(F1861-Calc!F25))+B1876+(ArtifactsInput!$M$24-ArtifactsInput!$M$24)*CHOOSE(ArtifactsInput!$N$24+1,10,12,14,16,18,20)+IF(ArtifactsInput!$M$10,CHOOSE(ArtifactsInput!$N$10+1,15,18,21,24,27,30)*(IF(Inputs!$B$39="pvp",MIN(15,15)/15,IF(AND(Inputs!$B$39&lt;&gt;"pvp",Inputs!$B$44&gt;0),MIN(15,Inputs!$B$44)/(Inputs!$B$44),0))),0)))&gt;=100),CHOOSE(ArtifactsInput!$N$42+1,40,48,56,64,72,80),0))))/100)*(((1+(((C1857=TRUE)*F1857*IF(AND(Inputs!$B$39&lt;&gt;"pvp",Inputs!$B$44&gt;0),(((R1857-1)*(Skills!Y21*(1+Inputs!$B$34/100))+MIN((Skills!Y21*(1+Inputs!$B$34/100)),MAX(0,Inputs!$B$44-((R1857-1)*Skills!D21))))/Inputs!$B$44),IF(Inputs!$B$39="pvp",MIN((Skills!Y21*(1+Inputs!$B$34/100)),15)/15,(Skills!Y21*(1+Inputs!$B$34/100))/Skills!D21)))+((C1864=TRUE)*(F1864-Calc!F28))+((C1854=TRUE)*(F1854-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1851=TRUE)*F1851*IF(AND(Inputs!$B$39&lt;&gt;"pvp",Inputs!$B$44&gt;0),(((R1851-1)*(Skills!Y15*(1+Inputs!$B$34/100))+MIN((Skills!Y15*(1+Inputs!$B$34/100)),MAX(0,Inputs!$B$44-((R1851-1)*Skills!D15))))/Inputs!$B$44),IF(Inputs!$B$39="pvp",MIN((Skills!Y15*(1+Inputs!$B$34/100)),15)/15,(Skills!Y15*(1+Inputs!$B$34/100))/Skills!D15)))/100)*(1+((C1842=TRUE)*F1842*B1870)/100))*B1878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1841)</f>
        <v/>
      </c>
      <c r="L1841">
        <f>K1841*(MIN(Inputs!$B$22+((C1860=TRUE)*(F1860-Calc!F24)),(Inputs!$B$23+0+((IF(IF(ArtifactsInput!$M$15,FALSE,TRUE),1,-1)*CHOOSE(ArtifactsInput!$N$15+1,25,30,35,40,45,50)/100*IF(IF(ArtifactsInput!$M$15,FALSE,TRUE),(Inputs!$B$11+((C1858=TRUE)*(F1858-Calc!F22))+(IF(ArtifactsInput!$M$15,FALSE,TRUE)-ArtifactsInput!$M$15)*CHOOSE(ArtifactsInput!$N$15+1,8,9.6,11.2,12.8,14.4,16)),Inputs!$B$11)))))/100+(Inputs!$B$23+0+((IF(IF(ArtifactsInput!$M$15,FALSE,TRUE),1,-1)*CHOOSE(ArtifactsInput!$N$15+1,25,30,35,40,45,50)/100*IF(IF(ArtifactsInput!$M$15,FALSE,TRUE),(Inputs!$B$11+((C1858=TRUE)*(F1858-Calc!F22))+(IF(ArtifactsInput!$M$15,FALSE,TRUE)-ArtifactsInput!$M$15)*CHOOSE(ArtifactsInput!$N$15+1,8,9.6,11.2,12.8,14.4,16)),Inputs!$B$11))))/100)/2</f>
        <v/>
      </c>
      <c r="M1841">
        <f>L1841*(1+(Inputs!$B$10+((C1862=TRUE)*(F1862-Calc!F26))+B1879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41">
        <f>L1841*(1-MIN((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1841*(MIN((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41">
        <f>(1-Summary!$B$11)*T1841+Summary!$B$11*V1841</f>
        <v/>
      </c>
      <c r="P1841">
        <f>IF(B1880=0,0,O1841/B1880)</f>
        <v/>
      </c>
      <c r="Q1841">
        <f>IFERROR(1/IF(Inputs!$B$39="pvp",15,MAX(0.1,Skills!D5-IF(Skills!E5=TRUE,Inputs!$B$32,0))),0)</f>
        <v/>
      </c>
      <c r="R1841">
        <f>IF(AND(Inputs!$B$39&lt;&gt;"pvp",Inputs!$B$44&gt;0),IF(MAX(0,Inputs!$B$44-B1881)&lt;=0,0,(INT(MAX(0,Inputs!$B$44-B1881)/IF(Inputs!$B$39="pvp",15,MAX(0.1,Skills!D5-IF(Skills!E5=TRUE,Inputs!$B$32,0))))+1)),0)</f>
        <v/>
      </c>
      <c r="S1841">
        <f>IFERROR(O1841/N1841,0)</f>
        <v/>
      </c>
      <c r="T1841">
        <f>IF(C1841,(H1841*N1841*IF(AND(Inputs!$B$39&lt;&gt;"pvp",Inputs!$B$44&gt;0),((Skills!G5*((R1841-1)*IF(Skills!H5&gt;0,Skills!I5/Skills!H5,1)+IF(Skills!H5&gt;0,MIN(Skills!I5,MAX(0,MAX(0,Inputs!$B$44-B1881)-((R1841-1)*IF(Inputs!$B$39="pvp",15,MAX(0.1,Skills!D5-IF(Skills!E5=TRUE,Inputs!$B$32,0))))))/Skills!H5,1)))/Inputs!$B$44),G1841*Q1841))*IF(Inputs!$B$39="pvp",1,1+(Inputs!$B$20+((C1863=TRUE)*(F1863-Calc!F27))+Skills!P5+B1877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Hunt"),CHOOSE(ArtifactsInput!$N$35+1,15,18,21,24,27,30)*(1-EXP(-(0.2*B1872)*5)),0)+IF(AND(ArtifactsInput!$M$22,Inputs!$B$4&lt;&gt;"Chapter Hunt"),CHOOSE(ArtifactsInput!$N$22+1,10,12,14,16,18,20)*((0*(((0.15*B1872*5))^0/1)+1*(((0.15*B1872*5))^1/1)+2*(((0.15*B1872*5))^2/2)+3*(((0.15*B1872*5))^3/6)+4*(((0.15*B1872*5))^4/24)+5*(((0.15*B1872*5))^5/120))/((((0.15*B1872*5))^0/1)+(((0.15*B1872*5))^1/1)+(((0.15*B1872*5))^2/2)+(((0.15*B1872*5))^3/6)+(((0.15*B1872*5))^4/24)+(((0.15*B1872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1841*(1-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1841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1841*(1-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1841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41">
        <f>INDEX(FactorTable!$B$2:$Y$301, MATCH(ROUND(MIN(300,MAX(1,U1840)),0), FactorTable!$A$2:$A$301,0), 22)</f>
        <v/>
      </c>
      <c r="V1841">
        <f>IF(C1841,(H1841*N1841*IF(AND(Inputs!$B$39&lt;&gt;"pvp",Inputs!$B$44&gt;0),((Skills!G5*((R1841-1)*IF(Skills!H5&gt;0,Skills!I5/Skills!H5,1)+IF(Skills!H5&gt;0,MIN(Skills!I5,MAX(0,MAX(0,Inputs!$B$44-B1881)-((R1841-1)*IF(Inputs!$B$39="pvp",15,MAX(0.1,Skills!D5-IF(Skills!E5=TRUE,Inputs!$B$32,0))))))/Skills!H5,1)))/Inputs!$B$44),G1841*Q1841))*IF(Inputs!$B$39="pvp",1,(1+(Inputs!$B$21+Skills!Q5+B1877+(IF(ArtifactsInput!$M$33,CHOOSE(ArtifactsInput!$N$33+1,30,36,42,48,54,60),0))+(IF(AND(ArtifactsInput!$M$35,Inputs!$B$4&lt;&gt;"Chapter Hunt"),CHOOSE(ArtifactsInput!$N$35+1,15,18,21,24,27,30)*(1-EXP(-(0.2*B1872)*5)),0)+IF(AND(ArtifactsInput!$M$22,Inputs!$B$4&lt;&gt;"Chapter Hunt"),CHOOSE(ArtifactsInput!$N$22+1,10,12,14,16,18,20)*((0*(((0.15*B1872*5))^0/1)+1*(((0.15*B1872*5))^1/1)+2*(((0.15*B1872*5))^2/2)+3*(((0.15*B1872*5))^3/6)+4*(((0.15*B1872*5))^4/24)+5*(((0.15*B1872*5))^5/120))/((((0.15*B1872*5))^0/1)+(((0.15*B1872*5))^1/1)+(((0.15*B1872*5))^2/2)+(((0.15*B1872*5))^3/6)+(((0.15*B1872*5))^4/24)+(((0.15*B1872*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42">
      <c r="A1842">
        <f>Skills!A6</f>
        <v/>
      </c>
      <c r="B1842">
        <f>Skills!B6</f>
        <v/>
      </c>
      <c r="C1842">
        <f>Inputs!$B$3&gt;=66</f>
        <v/>
      </c>
      <c r="D1842">
        <f>IF(Skills!C6=1,60+Inputs!$B$25+Inputs!$B$29,IF(Skills!C6=2,90+Inputs!$B$26+Inputs!$B$29,IF(Skills!C6=3,120+Inputs!$B$27+Inputs!$B$29,MAX(0,(Inputs!$B$3-100)*3)+Inputs!$B$28+Inputs!$B$29)))</f>
        <v/>
      </c>
      <c r="E1842">
        <f>INDEX(FactorTable!$B$2:$Y$301, MATCH(ROUND(MIN(300,MAX(1,D1842)),0), FactorTable!$A$2:$A$301,0), Skills!M6+1)</f>
        <v/>
      </c>
      <c r="F1842">
        <f>IF(Skills!N6=TRUE,(Skills!L6/10)*(E1842/1000),Skills!L6/10)+Skills!O6</f>
        <v/>
      </c>
      <c r="G1842">
        <f>Calc!G6</f>
        <v/>
      </c>
      <c r="H1842">
        <f>Calc!H6</f>
        <v/>
      </c>
      <c r="I1842">
        <f>IF(Skills!AA6&lt;&gt;"",1+(Skills!AA6/10)*(U1839/1000)/100,1)</f>
        <v/>
      </c>
      <c r="J1842" t="inlineStr"/>
      <c r="K1842" t="inlineStr"/>
      <c r="L1842" t="inlineStr"/>
      <c r="M1842" t="inlineStr"/>
      <c r="N1842" t="inlineStr"/>
      <c r="O1842">
        <f>(1-Summary!$B$11)*T1842+Summary!$B$11*V1842</f>
        <v/>
      </c>
      <c r="P1842">
        <f>IF(B1880=0,0,O1842/B1880)</f>
        <v/>
      </c>
      <c r="Q1842" t="n">
        <v>0</v>
      </c>
      <c r="R1842" t="n">
        <v>0</v>
      </c>
      <c r="S1842">
        <f>IFERROR(O1842/N1842,0)</f>
        <v/>
      </c>
      <c r="T1842" t="n">
        <v>0</v>
      </c>
      <c r="U1842">
        <f>290*U1841/1000</f>
        <v/>
      </c>
      <c r="V1842" t="n">
        <v>0</v>
      </c>
    </row>
    <row r="1843">
      <c r="A1843">
        <f>Skills!A7</f>
        <v/>
      </c>
      <c r="B1843">
        <f>Skills!B7</f>
        <v/>
      </c>
      <c r="C1843">
        <f>Inputs!$B$3&gt;=66</f>
        <v/>
      </c>
      <c r="D1843">
        <f>IF(Skills!C7=1,60+Inputs!$B$25+Inputs!$B$29,IF(Skills!C7=2,90+Inputs!$B$26+Inputs!$B$29,IF(Skills!C7=3,120+Inputs!$B$27+Inputs!$B$29,MAX(0,(Inputs!$B$3-100)*3)+Inputs!$B$28+Inputs!$B$29)))</f>
        <v/>
      </c>
      <c r="E1843">
        <f>INDEX(FactorTable!$B$2:$Y$301, MATCH(ROUND(MIN(300,MAX(1,D1843)),0), FactorTable!$A$2:$A$301,0), Skills!M7+1)</f>
        <v/>
      </c>
      <c r="F1843">
        <f>IF(Skills!N7=TRUE,(Skills!L7/10)*(E1843/1000),Skills!L7/10)+Skills!O7</f>
        <v/>
      </c>
      <c r="G1843">
        <f>Calc!G7</f>
        <v/>
      </c>
      <c r="H1843">
        <f>Calc!H7</f>
        <v/>
      </c>
      <c r="I1843">
        <f>IF(Skills!AA7&lt;&gt;"",1+(Skills!AA7/10)*(U1839/1000)/100,1)</f>
        <v/>
      </c>
      <c r="J1843" t="inlineStr"/>
      <c r="K1843" t="inlineStr"/>
      <c r="L1843" t="inlineStr"/>
      <c r="M1843" t="inlineStr"/>
      <c r="N1843" t="inlineStr"/>
      <c r="O1843">
        <f>(1-Summary!$B$11)*T1843+Summary!$B$11*V1843</f>
        <v/>
      </c>
      <c r="P1843">
        <f>IF(B1880=0,0,O1843/B1880)</f>
        <v/>
      </c>
      <c r="Q1843" t="n">
        <v>0</v>
      </c>
      <c r="R1843" t="n">
        <v>0</v>
      </c>
      <c r="S1843">
        <f>IFERROR(O1843/N1843,0)</f>
        <v/>
      </c>
      <c r="T1843" t="n">
        <v>0</v>
      </c>
      <c r="V1843" t="n">
        <v>0</v>
      </c>
    </row>
    <row r="1844">
      <c r="A1844">
        <f>Skills!A8</f>
        <v/>
      </c>
      <c r="B1844">
        <f>Skills!B8</f>
        <v/>
      </c>
      <c r="C1844">
        <f>Inputs!$B$3&gt;=69</f>
        <v/>
      </c>
      <c r="D1844">
        <f>IF(Skills!C8=1,60+Inputs!$B$25+Inputs!$B$29,IF(Skills!C8=2,90+Inputs!$B$26+Inputs!$B$29,IF(Skills!C8=3,120+Inputs!$B$27+Inputs!$B$29,MAX(0,(Inputs!$B$3-100)*3)+Inputs!$B$28+Inputs!$B$29)))</f>
        <v/>
      </c>
      <c r="E1844">
        <f>INDEX(FactorTable!$B$2:$Y$301, MATCH(ROUND(MIN(300,MAX(1,D1844)),0), FactorTable!$A$2:$A$301,0), Skills!M8+1)</f>
        <v/>
      </c>
      <c r="F1844">
        <f>IF(Skills!N8=TRUE,(Skills!L8/10)*(E1844/1000),Skills!L8/10)+Skills!O8</f>
        <v/>
      </c>
      <c r="G1844">
        <f>Calc!G8</f>
        <v/>
      </c>
      <c r="H1844">
        <f>Calc!H8</f>
        <v/>
      </c>
      <c r="I1844">
        <f>IF(Skills!AA8&lt;&gt;"",1+(Skills!AA8/10)*(U1839/1000)/100,1)</f>
        <v/>
      </c>
      <c r="J1844">
        <f>((Inputs!$B$6*(1+Inputs!$B$7/100))+(((Inputs!$B$12*(1+Inputs!$B$13/100))-(Inputs!$B$12*(1+Inputs!$B$13/100)))+0.25*(Inputs!$B$14-Inputs!$B$14))*(1+Inputs!$B$7/100))*(F1844/100)</f>
        <v/>
      </c>
      <c r="K1844">
        <f>J1844*(1+((Inputs!$B$12*(1+Inputs!$B$13/100))*0.01+Inputs!$B$14*0.0025)/100)*(1+Inputs!$B$15/100)*(1+Inputs!$B$16/100)*(5000/(6000+Inputs!$B$43*(1-(100*(1-(1-(Inputs!$B$19+0)/100)*(1-CHOOSE(ArtifactsInput!$N$40+1,5,6,7,8,9,10)/100)^(ArtifactsInput!$M$40-ArtifactsInput!$M$40)))/100)))*(1+(Inputs!$B$24+((C1866=TRUE)*(F1866-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1859=TRUE)*(F1859-Calc!F23))+(((IF(AND(ArtifactsInput!$M$42,((Inputs!$B$9+((C1861=TRUE)*(F1861-Calc!F25))+B1876+(ArtifactsInput!$M$24-ArtifactsInput!$M$24)*CHOOSE(ArtifactsInput!$N$24+1,10,12,14,16,18,20)+IF(ArtifactsInput!$M$10,CHOOSE(ArtifactsInput!$N$10+1,15,18,21,24,27,30)*(IF(Inputs!$B$39="pvp",MIN(15,15)/15,IF(AND(Inputs!$B$39&lt;&gt;"pvp",Inputs!$B$44&gt;0),MIN(15,Inputs!$B$44)/(Inputs!$B$44),0))),0)))&gt;=100),MIN(100,((Inputs!$B$9+((C1861=TRUE)*(F1861-Calc!F25))+B1876+(ArtifactsInput!$M$24-ArtifactsInput!$M$24)*CHOOSE(ArtifactsInput!$N$24+1,10,12,14,16,18,20)+IF(ArtifactsInput!$M$10,CHOOSE(ArtifactsInput!$N$10+1,15,18,21,24,27,30)*(IF(Inputs!$B$39="pvp",MIN(15,15)/15,IF(AND(Inputs!$B$39&lt;&gt;"pvp",Inputs!$B$44&gt;0),MIN(15,Inputs!$B$44)/(Inputs!$B$44),0))),0)))-100),0))*CHOOSE(ArtifactsInput!$N$42+1,0.6,0.72,0.84,0.96,1.08,1.2))),Inputs!$B$18+((C1865=TRUE)*(F1865-Calc!F29))+(IF(AND(ArtifactsInput!$M$42,((Inputs!$B$9+((C1861=TRUE)*(F1861-Calc!F25))+B1876+(ArtifactsInput!$M$24-ArtifactsInput!$M$24)*CHOOSE(ArtifactsInput!$N$24+1,10,12,14,16,18,20)+IF(ArtifactsInput!$M$10,CHOOSE(ArtifactsInput!$N$10+1,15,18,21,24,27,30)*(IF(Inputs!$B$39="pvp",MIN(15,15)/15,IF(AND(Inputs!$B$39&lt;&gt;"pvp",Inputs!$B$44&gt;0),MIN(15,Inputs!$B$44)/(Inputs!$B$44),0))),0)))&gt;=100),CHOOSE(ArtifactsInput!$N$42+1,40,48,56,64,72,80),0))))/100)*(((1+(((C1857=TRUE)*F1857*IF(AND(Inputs!$B$39&lt;&gt;"pvp",Inputs!$B$44&gt;0),(((R1857-1)*(Skills!Y21*(1+Inputs!$B$34/100))+MIN((Skills!Y21*(1+Inputs!$B$34/100)),MAX(0,Inputs!$B$44-((R1857-1)*Skills!D21))))/Inputs!$B$44),IF(Inputs!$B$39="pvp",MIN((Skills!Y21*(1+Inputs!$B$34/100)),15)/15,(Skills!Y21*(1+Inputs!$B$34/100))/Skills!D21)))+((C1864=TRUE)*(F1864-Calc!F28))+((C1854=TRUE)*(F1854-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1851=TRUE)*F1851*IF(AND(Inputs!$B$39&lt;&gt;"pvp",Inputs!$B$44&gt;0),(((R1851-1)*(Skills!Y15*(1+Inputs!$B$34/100))+MIN((Skills!Y15*(1+Inputs!$B$34/100)),MAX(0,Inputs!$B$44-((R1851-1)*Skills!D15))))/Inputs!$B$44),IF(Inputs!$B$39="pvp",MIN((Skills!Y15*(1+Inputs!$B$34/100)),15)/15,(Skills!Y15*(1+Inputs!$B$34/100))/Skills!D15)))/100)*(1+((C1842=TRUE)*F1842*B1870)/100))*B1878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1844)</f>
        <v/>
      </c>
      <c r="L1844">
        <f>K1844*(MIN(Inputs!$B$22+((C1860=TRUE)*(F1860-Calc!F24)),(Inputs!$B$23+0+((IF(IF(ArtifactsInput!$M$15,FALSE,TRUE),1,-1)*CHOOSE(ArtifactsInput!$N$15+1,25,30,35,40,45,50)/100*IF(IF(ArtifactsInput!$M$15,FALSE,TRUE),(Inputs!$B$11+((C1858=TRUE)*(F1858-Calc!F22))+(IF(ArtifactsInput!$M$15,FALSE,TRUE)-ArtifactsInput!$M$15)*CHOOSE(ArtifactsInput!$N$15+1,8,9.6,11.2,12.8,14.4,16)),Inputs!$B$11)))))/100+(Inputs!$B$23+0+((IF(IF(ArtifactsInput!$M$15,FALSE,TRUE),1,-1)*CHOOSE(ArtifactsInput!$N$15+1,25,30,35,40,45,50)/100*IF(IF(ArtifactsInput!$M$15,FALSE,TRUE),(Inputs!$B$11+((C1858=TRUE)*(F1858-Calc!F22))+(IF(ArtifactsInput!$M$15,FALSE,TRUE)-ArtifactsInput!$M$15)*CHOOSE(ArtifactsInput!$N$15+1,8,9.6,11.2,12.8,14.4,16)),Inputs!$B$11))))/100)/2</f>
        <v/>
      </c>
      <c r="M1844">
        <f>L1844*(1+(Inputs!$B$10+((C1862=TRUE)*(F1862-Calc!F26))+B1879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44">
        <f>L1844*(1-MIN((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1844*(MIN((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44">
        <f>(1-Summary!$B$11)*T1844+Summary!$B$11*V1844</f>
        <v/>
      </c>
      <c r="P1844">
        <f>IF(B1880=0,0,O1844/B1880)</f>
        <v/>
      </c>
      <c r="Q1844">
        <f>IFERROR(1/IF(Inputs!$B$39="pvp",15,MAX(0.1,Skills!D8-IF(Skills!E8=TRUE,Inputs!$B$32,0))),0)</f>
        <v/>
      </c>
      <c r="R1844">
        <f>IF(AND(Inputs!$B$39&lt;&gt;"pvp",Inputs!$B$44&gt;0),IF(MAX(0,Inputs!$B$44-B1881)&lt;=0,0,(INT(MAX(0,Inputs!$B$44-B1881)/IF(Inputs!$B$39="pvp",15,MAX(0.1,Skills!D8-IF(Skills!E8=TRUE,Inputs!$B$32,0))))+1)),0)</f>
        <v/>
      </c>
      <c r="S1844">
        <f>IFERROR(O1844/N1844,0)</f>
        <v/>
      </c>
      <c r="T1844">
        <f>IF(C1844,(H1844*N1844*IF(AND(Inputs!$B$39&lt;&gt;"pvp",Inputs!$B$44&gt;0),((Skills!G8*((R1844-1)*IF(Skills!H8&gt;0,Skills!I8/Skills!H8,1)+IF(Skills!H8&gt;0,MIN(Skills!I8,MAX(0,MAX(0,Inputs!$B$44-B1881)-((R1844-1)*IF(Inputs!$B$39="pvp",15,MAX(0.1,Skills!D8-IF(Skills!E8=TRUE,Inputs!$B$32,0))))))/Skills!H8,1)))/Inputs!$B$44),G1844*Q1844))*IF(Inputs!$B$39="pvp",1,1+(Inputs!$B$20+((C1863=TRUE)*(F1863-Calc!F27))+Skills!P8+B1877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Hunt"),CHOOSE(ArtifactsInput!$N$35+1,15,18,21,24,27,30)*(1-EXP(-(0.2*B1872)*5)),0)+IF(AND(ArtifactsInput!$M$22,Inputs!$B$4&lt;&gt;"Chapter Hunt"),CHOOSE(ArtifactsInput!$N$22+1,10,12,14,16,18,20)*((0*(((0.15*B1872*5))^0/1)+1*(((0.15*B1872*5))^1/1)+2*(((0.15*B1872*5))^2/2)+3*(((0.15*B1872*5))^3/6)+4*(((0.15*B1872*5))^4/24)+5*(((0.15*B1872*5))^5/120))/((((0.15*B1872*5))^0/1)+(((0.15*B1872*5))^1/1)+(((0.15*B1872*5))^2/2)+(((0.15*B1872*5))^3/6)+(((0.15*B1872*5))^4/24)+(((0.15*B1872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1844*(1-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1844*(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1844*(1-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1844*(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44">
        <f>IF(C1844,(H1844*N1844*IF(AND(Inputs!$B$39&lt;&gt;"pvp",Inputs!$B$44&gt;0),((Skills!G8*((R1844-1)*IF(Skills!H8&gt;0,Skills!I8/Skills!H8,1)+IF(Skills!H8&gt;0,MIN(Skills!I8,MAX(0,MAX(0,Inputs!$B$44-B1881)-((R1844-1)*IF(Inputs!$B$39="pvp",15,MAX(0.1,Skills!D8-IF(Skills!E8=TRUE,Inputs!$B$32,0))))))/Skills!H8,1)))/Inputs!$B$44),G1844*Q1844))*IF(Inputs!$B$39="pvp",1,(1+(Inputs!$B$21+Skills!Q8+B1877+(IF(ArtifactsInput!$M$33,CHOOSE(ArtifactsInput!$N$33+1,30,36,42,48,54,60),0))+(IF(AND(ArtifactsInput!$M$35,Inputs!$B$4&lt;&gt;"Chapter Hunt"),CHOOSE(ArtifactsInput!$N$35+1,15,18,21,24,27,30)*(1-EXP(-(0.2*B1872)*5)),0)+IF(AND(ArtifactsInput!$M$22,Inputs!$B$4&lt;&gt;"Chapter Hunt"),CHOOSE(ArtifactsInput!$N$22+1,10,12,14,16,18,20)*((0*(((0.15*B1872*5))^0/1)+1*(((0.15*B1872*5))^1/1)+2*(((0.15*B1872*5))^2/2)+3*(((0.15*B1872*5))^3/6)+4*(((0.15*B1872*5))^4/24)+5*(((0.15*B1872*5))^5/120))/((((0.15*B1872*5))^0/1)+(((0.15*B1872*5))^1/1)+(((0.15*B1872*5))^2/2)+(((0.15*B1872*5))^3/6)+(((0.15*B1872*5))^4/24)+(((0.15*B1872*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45">
      <c r="A1845">
        <f>Skills!A9</f>
        <v/>
      </c>
      <c r="B1845">
        <f>Skills!B9</f>
        <v/>
      </c>
      <c r="C1845">
        <f>Inputs!$B$3&gt;=72</f>
        <v/>
      </c>
      <c r="D1845">
        <f>IF(Skills!C9=1,60+Inputs!$B$25+Inputs!$B$29,IF(Skills!C9=2,90+Inputs!$B$26+Inputs!$B$29,IF(Skills!C9=3,120+Inputs!$B$27+Inputs!$B$29,MAX(0,(Inputs!$B$3-100)*3)+Inputs!$B$28+Inputs!$B$29)))</f>
        <v/>
      </c>
      <c r="E1845">
        <f>INDEX(FactorTable!$B$2:$Y$301, MATCH(ROUND(MIN(300,MAX(1,D1845)),0), FactorTable!$A$2:$A$301,0), Skills!M9+1)</f>
        <v/>
      </c>
      <c r="F1845">
        <f>IF(Skills!N9=TRUE,(Skills!L9/10)*(E1845/1000),Skills!L9/10)+Skills!O9</f>
        <v/>
      </c>
      <c r="G1845">
        <f>Calc!G9</f>
        <v/>
      </c>
      <c r="H1845">
        <f>Calc!H9</f>
        <v/>
      </c>
      <c r="I1845">
        <f>IF(Skills!AA9&lt;&gt;"",1+(Skills!AA9/10)*(U1839/1000)/100,1)</f>
        <v/>
      </c>
      <c r="J1845">
        <f>((Inputs!$B$6*(1+Inputs!$B$7/100))+(((Inputs!$B$12*(1+Inputs!$B$13/100))-(Inputs!$B$12*(1+Inputs!$B$13/100)))+0.25*(Inputs!$B$14-Inputs!$B$14))*(1+Inputs!$B$7/100))*(F1845/100)</f>
        <v/>
      </c>
      <c r="K1845">
        <f>J1845*(1+((Inputs!$B$12*(1+Inputs!$B$13/100))*0.01+Inputs!$B$14*0.0025)/100)*(1+Inputs!$B$15/100)*(1+Inputs!$B$16/100)*(5000/(6000+Inputs!$B$43*(1-(100*(1-(1-(Inputs!$B$19+0)/100)*(1-CHOOSE(ArtifactsInput!$N$40+1,5,6,7,8,9,10)/100)^(ArtifactsInput!$M$40-ArtifactsInput!$M$40)))/100)))*(1+(Inputs!$B$24+((C1866=TRUE)*(F1866-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1859=TRUE)*(F1859-Calc!F23))+(((IF(AND(ArtifactsInput!$M$42,((Inputs!$B$9+((C1861=TRUE)*(F1861-Calc!F25))+B1876+(ArtifactsInput!$M$24-ArtifactsInput!$M$24)*CHOOSE(ArtifactsInput!$N$24+1,10,12,14,16,18,20)+IF(ArtifactsInput!$M$10,CHOOSE(ArtifactsInput!$N$10+1,15,18,21,24,27,30)*(IF(Inputs!$B$39="pvp",MIN(15,15)/15,IF(AND(Inputs!$B$39&lt;&gt;"pvp",Inputs!$B$44&gt;0),MIN(15,Inputs!$B$44)/(Inputs!$B$44),0))),0)))&gt;=100),MIN(100,((Inputs!$B$9+((C1861=TRUE)*(F1861-Calc!F25))+B1876+(ArtifactsInput!$M$24-ArtifactsInput!$M$24)*CHOOSE(ArtifactsInput!$N$24+1,10,12,14,16,18,20)+IF(ArtifactsInput!$M$10,CHOOSE(ArtifactsInput!$N$10+1,15,18,21,24,27,30)*(IF(Inputs!$B$39="pvp",MIN(15,15)/15,IF(AND(Inputs!$B$39&lt;&gt;"pvp",Inputs!$B$44&gt;0),MIN(15,Inputs!$B$44)/(Inputs!$B$44),0))),0)))-100),0))*CHOOSE(ArtifactsInput!$N$42+1,0.6,0.72,0.84,0.96,1.08,1.2))),Inputs!$B$18+((C1865=TRUE)*(F1865-Calc!F29))+(IF(AND(ArtifactsInput!$M$42,((Inputs!$B$9+((C1861=TRUE)*(F1861-Calc!F25))+B1876+(ArtifactsInput!$M$24-ArtifactsInput!$M$24)*CHOOSE(ArtifactsInput!$N$24+1,10,12,14,16,18,20)+IF(ArtifactsInput!$M$10,CHOOSE(ArtifactsInput!$N$10+1,15,18,21,24,27,30)*(IF(Inputs!$B$39="pvp",MIN(15,15)/15,IF(AND(Inputs!$B$39&lt;&gt;"pvp",Inputs!$B$44&gt;0),MIN(15,Inputs!$B$44)/(Inputs!$B$44),0))),0)))&gt;=100),CHOOSE(ArtifactsInput!$N$42+1,40,48,56,64,72,80),0))))/100)*(((1+(((C1857=TRUE)*F1857*IF(AND(Inputs!$B$39&lt;&gt;"pvp",Inputs!$B$44&gt;0),(((R1857-1)*(Skills!Y21*(1+Inputs!$B$34/100))+MIN((Skills!Y21*(1+Inputs!$B$34/100)),MAX(0,Inputs!$B$44-((R1857-1)*Skills!D21))))/Inputs!$B$44),IF(Inputs!$B$39="pvp",MIN((Skills!Y21*(1+Inputs!$B$34/100)),15)/15,(Skills!Y21*(1+Inputs!$B$34/100))/Skills!D21)))+((C1864=TRUE)*(F1864-Calc!F28))+((C1854=TRUE)*(F1854-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1851=TRUE)*F1851*IF(AND(Inputs!$B$39&lt;&gt;"pvp",Inputs!$B$44&gt;0),(((R1851-1)*(Skills!Y15*(1+Inputs!$B$34/100))+MIN((Skills!Y15*(1+Inputs!$B$34/100)),MAX(0,Inputs!$B$44-((R1851-1)*Skills!D15))))/Inputs!$B$44),IF(Inputs!$B$39="pvp",MIN((Skills!Y15*(1+Inputs!$B$34/100)),15)/15,(Skills!Y15*(1+Inputs!$B$34/100))/Skills!D15)))/100)*(1+((C1842=TRUE)*F1842*B1870)/100))*B1878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1845)</f>
        <v/>
      </c>
      <c r="L1845">
        <f>K1845*(MIN(Inputs!$B$22+((C1860=TRUE)*(F1860-Calc!F24)),(Inputs!$B$23+0+((IF(IF(ArtifactsInput!$M$15,FALSE,TRUE),1,-1)*CHOOSE(ArtifactsInput!$N$15+1,25,30,35,40,45,50)/100*IF(IF(ArtifactsInput!$M$15,FALSE,TRUE),(Inputs!$B$11+((C1858=TRUE)*(F1858-Calc!F22))+(IF(ArtifactsInput!$M$15,FALSE,TRUE)-ArtifactsInput!$M$15)*CHOOSE(ArtifactsInput!$N$15+1,8,9.6,11.2,12.8,14.4,16)),Inputs!$B$11)))))/100+(Inputs!$B$23+0+((IF(IF(ArtifactsInput!$M$15,FALSE,TRUE),1,-1)*CHOOSE(ArtifactsInput!$N$15+1,25,30,35,40,45,50)/100*IF(IF(ArtifactsInput!$M$15,FALSE,TRUE),(Inputs!$B$11+((C1858=TRUE)*(F1858-Calc!F22))+(IF(ArtifactsInput!$M$15,FALSE,TRUE)-ArtifactsInput!$M$15)*CHOOSE(ArtifactsInput!$N$15+1,8,9.6,11.2,12.8,14.4,16)),Inputs!$B$11))))/100)/2</f>
        <v/>
      </c>
      <c r="M1845">
        <f>L1845*(1+(Inputs!$B$10+((C1862=TRUE)*(F1862-Calc!F26))+B1879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45">
        <f>L1845*(1-MIN((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1845*(MIN((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45">
        <f>(1-Summary!$B$11)*T1845+Summary!$B$11*V1845</f>
        <v/>
      </c>
      <c r="P1845">
        <f>IF(B1880=0,0,O1845/B1880)</f>
        <v/>
      </c>
      <c r="Q1845">
        <f>IFERROR(1/IF(Inputs!$B$39="pvp",15,MAX(0.1,Skills!D9-IF(Skills!E9=TRUE,Inputs!$B$32,0))),0)</f>
        <v/>
      </c>
      <c r="R1845">
        <f>IF(AND(Inputs!$B$39&lt;&gt;"pvp",Inputs!$B$44&gt;0),IF(MAX(0,Inputs!$B$44-B1881)&lt;=0,0,(INT(MAX(0,Inputs!$B$44-B1881)/IF(Inputs!$B$39="pvp",15,MAX(0.1,Skills!D9-IF(Skills!E9=TRUE,Inputs!$B$32,0))))+1)),0)</f>
        <v/>
      </c>
      <c r="S1845">
        <f>IFERROR(O1845/N1845,0)</f>
        <v/>
      </c>
      <c r="T1845">
        <f>IF(C1845,(H1845*N1845*IF(AND(Inputs!$B$39&lt;&gt;"pvp",Inputs!$B$44&gt;0),((Skills!G9*((R1845-1)*IF(Skills!H9&gt;0,Skills!I9/Skills!H9,1)+IF(Skills!H9&gt;0,MIN(Skills!I9,MAX(0,MAX(0,Inputs!$B$44-B1881)-((R1845-1)*IF(Inputs!$B$39="pvp",15,MAX(0.1,Skills!D9-IF(Skills!E9=TRUE,Inputs!$B$32,0))))))/Skills!H9,1)))/Inputs!$B$44),G1845*Q1845))*IF(Inputs!$B$39="pvp",1,1+(Inputs!$B$20+((C1863=TRUE)*(F1863-Calc!F27))+Skills!P9+B1877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Hunt"),CHOOSE(ArtifactsInput!$N$35+1,15,18,21,24,27,30)*(1-EXP(-(0.2*B1872)*5)),0)+IF(AND(ArtifactsInput!$M$22,Inputs!$B$4&lt;&gt;"Chapter Hunt"),CHOOSE(ArtifactsInput!$N$22+1,10,12,14,16,18,20)*((0*(((0.15*B1872*5))^0/1)+1*(((0.15*B1872*5))^1/1)+2*(((0.15*B1872*5))^2/2)+3*(((0.15*B1872*5))^3/6)+4*(((0.15*B1872*5))^4/24)+5*(((0.15*B1872*5))^5/120))/((((0.15*B1872*5))^0/1)+(((0.15*B1872*5))^1/1)+(((0.15*B1872*5))^2/2)+(((0.15*B1872*5))^3/6)+(((0.15*B1872*5))^4/24)+(((0.15*B1872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1845*(1-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1845*(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1845*(1-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1845*(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45">
        <f>IF(C1845,(H1845*N1845*IF(AND(Inputs!$B$39&lt;&gt;"pvp",Inputs!$B$44&gt;0),((Skills!G9*((R1845-1)*IF(Skills!H9&gt;0,Skills!I9/Skills!H9,1)+IF(Skills!H9&gt;0,MIN(Skills!I9,MAX(0,MAX(0,Inputs!$B$44-B1881)-((R1845-1)*IF(Inputs!$B$39="pvp",15,MAX(0.1,Skills!D9-IF(Skills!E9=TRUE,Inputs!$B$32,0))))))/Skills!H9,1)))/Inputs!$B$44),G1845*Q1845))*IF(Inputs!$B$39="pvp",1,(1+(Inputs!$B$21+Skills!Q9+B1877+(IF(ArtifactsInput!$M$33,CHOOSE(ArtifactsInput!$N$33+1,30,36,42,48,54,60),0))+(IF(AND(ArtifactsInput!$M$35,Inputs!$B$4&lt;&gt;"Chapter Hunt"),CHOOSE(ArtifactsInput!$N$35+1,15,18,21,24,27,30)*(1-EXP(-(0.2*B1872)*5)),0)+IF(AND(ArtifactsInput!$M$22,Inputs!$B$4&lt;&gt;"Chapter Hunt"),CHOOSE(ArtifactsInput!$N$22+1,10,12,14,16,18,20)*((0*(((0.15*B1872*5))^0/1)+1*(((0.15*B1872*5))^1/1)+2*(((0.15*B1872*5))^2/2)+3*(((0.15*B1872*5))^3/6)+4*(((0.15*B1872*5))^4/24)+5*(((0.15*B1872*5))^5/120))/((((0.15*B1872*5))^0/1)+(((0.15*B1872*5))^1/1)+(((0.15*B1872*5))^2/2)+(((0.15*B1872*5))^3/6)+(((0.15*B1872*5))^4/24)+(((0.15*B1872*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46">
      <c r="A1846">
        <f>Skills!A10</f>
        <v/>
      </c>
      <c r="B1846">
        <f>Skills!B10</f>
        <v/>
      </c>
      <c r="C1846">
        <f>Inputs!$B$3&gt;=117</f>
        <v/>
      </c>
      <c r="D1846">
        <f>IF(Skills!C10=1,60+Inputs!$B$25+Inputs!$B$29,IF(Skills!C10=2,90+Inputs!$B$26+Inputs!$B$29,IF(Skills!C10=3,120+Inputs!$B$27+Inputs!$B$29,MAX(0,(Inputs!$B$3-100)*3)+Inputs!$B$28+Inputs!$B$29)))</f>
        <v/>
      </c>
      <c r="E1846">
        <f>INDEX(FactorTable!$B$2:$Y$301, MATCH(ROUND(MIN(300,MAX(1,D1846)),0), FactorTable!$A$2:$A$301,0), Skills!M10+1)</f>
        <v/>
      </c>
      <c r="F1846">
        <f>IF(Skills!N10=TRUE,(Skills!L10/10)*(E1846/1000),Skills!L10/10)+Skills!O10</f>
        <v/>
      </c>
      <c r="G1846">
        <f>Calc!G10</f>
        <v/>
      </c>
      <c r="H1846">
        <f>Calc!H10</f>
        <v/>
      </c>
      <c r="I1846">
        <f>IF(Skills!AA10&lt;&gt;"",1+(Skills!AA10/10)*(U1839/1000)/100,1)</f>
        <v/>
      </c>
      <c r="J1846">
        <f>((Inputs!$B$6*(1+Inputs!$B$7/100))+(((Inputs!$B$12*(1+Inputs!$B$13/100))-(Inputs!$B$12*(1+Inputs!$B$13/100)))+0.25*(Inputs!$B$14-Inputs!$B$14))*(1+Inputs!$B$7/100))*(F1846/100)</f>
        <v/>
      </c>
      <c r="K1846">
        <f>J1846*(1+((Inputs!$B$12*(1+Inputs!$B$13/100))*0.01+Inputs!$B$14*0.0025)/100)*(1+Inputs!$B$15/100)*(1+Inputs!$B$16/100)*(5000/(6000+Inputs!$B$43*(1-(100*(1-(1-(Inputs!$B$19+0)/100)*(1-CHOOSE(ArtifactsInput!$N$40+1,5,6,7,8,9,10)/100)^(ArtifactsInput!$M$40-ArtifactsInput!$M$40)))/100)))*(1+(Inputs!$B$24+((C1866=TRUE)*(F1866-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1859=TRUE)*(F1859-Calc!F23))+(((IF(AND(ArtifactsInput!$M$42,((Inputs!$B$9+((C1861=TRUE)*(F1861-Calc!F25))+B1876+(ArtifactsInput!$M$24-ArtifactsInput!$M$24)*CHOOSE(ArtifactsInput!$N$24+1,10,12,14,16,18,20)+IF(ArtifactsInput!$M$10,CHOOSE(ArtifactsInput!$N$10+1,15,18,21,24,27,30)*(IF(Inputs!$B$39="pvp",MIN(15,15)/15,IF(AND(Inputs!$B$39&lt;&gt;"pvp",Inputs!$B$44&gt;0),MIN(15,Inputs!$B$44)/(Inputs!$B$44),0))),0)))&gt;=100),MIN(100,((Inputs!$B$9+((C1861=TRUE)*(F1861-Calc!F25))+B1876+(ArtifactsInput!$M$24-ArtifactsInput!$M$24)*CHOOSE(ArtifactsInput!$N$24+1,10,12,14,16,18,20)+IF(ArtifactsInput!$M$10,CHOOSE(ArtifactsInput!$N$10+1,15,18,21,24,27,30)*(IF(Inputs!$B$39="pvp",MIN(15,15)/15,IF(AND(Inputs!$B$39&lt;&gt;"pvp",Inputs!$B$44&gt;0),MIN(15,Inputs!$B$44)/(Inputs!$B$44),0))),0)))-100),0))*CHOOSE(ArtifactsInput!$N$42+1,0.6,0.72,0.84,0.96,1.08,1.2))),Inputs!$B$18+((C1865=TRUE)*(F1865-Calc!F29))+(IF(AND(ArtifactsInput!$M$42,((Inputs!$B$9+((C1861=TRUE)*(F1861-Calc!F25))+B1876+(ArtifactsInput!$M$24-ArtifactsInput!$M$24)*CHOOSE(ArtifactsInput!$N$24+1,10,12,14,16,18,20)+IF(ArtifactsInput!$M$10,CHOOSE(ArtifactsInput!$N$10+1,15,18,21,24,27,30)*(IF(Inputs!$B$39="pvp",MIN(15,15)/15,IF(AND(Inputs!$B$39&lt;&gt;"pvp",Inputs!$B$44&gt;0),MIN(15,Inputs!$B$44)/(Inputs!$B$44),0))),0)))&gt;=100),CHOOSE(ArtifactsInput!$N$42+1,40,48,56,64,72,80),0))))/100)*(((1+(((C1857=TRUE)*F1857*IF(AND(Inputs!$B$39&lt;&gt;"pvp",Inputs!$B$44&gt;0),(((R1857-1)*(Skills!Y21*(1+Inputs!$B$34/100))+MIN((Skills!Y21*(1+Inputs!$B$34/100)),MAX(0,Inputs!$B$44-((R1857-1)*Skills!D21))))/Inputs!$B$44),IF(Inputs!$B$39="pvp",MIN((Skills!Y21*(1+Inputs!$B$34/100)),15)/15,(Skills!Y21*(1+Inputs!$B$34/100))/Skills!D21)))+((C1864=TRUE)*(F1864-Calc!F28))+((C1854=TRUE)*(F1854-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1851=TRUE)*F1851*IF(AND(Inputs!$B$39&lt;&gt;"pvp",Inputs!$B$44&gt;0),(((R1851-1)*(Skills!Y15*(1+Inputs!$B$34/100))+MIN((Skills!Y15*(1+Inputs!$B$34/100)),MAX(0,Inputs!$B$44-((R1851-1)*Skills!D15))))/Inputs!$B$44),IF(Inputs!$B$39="pvp",MIN((Skills!Y15*(1+Inputs!$B$34/100)),15)/15,(Skills!Y15*(1+Inputs!$B$34/100))/Skills!D15)))/100)*(1+((C1842=TRUE)*F1842*B1870)/100))*B1878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1846)</f>
        <v/>
      </c>
      <c r="L1846">
        <f>K1846*(MIN(Inputs!$B$22+((C1860=TRUE)*(F1860-Calc!F24)),(Inputs!$B$23+0+((IF(IF(ArtifactsInput!$M$15,FALSE,TRUE),1,-1)*CHOOSE(ArtifactsInput!$N$15+1,25,30,35,40,45,50)/100*IF(IF(ArtifactsInput!$M$15,FALSE,TRUE),(Inputs!$B$11+((C1858=TRUE)*(F1858-Calc!F22))+(IF(ArtifactsInput!$M$15,FALSE,TRUE)-ArtifactsInput!$M$15)*CHOOSE(ArtifactsInput!$N$15+1,8,9.6,11.2,12.8,14.4,16)),Inputs!$B$11)))))/100+(Inputs!$B$23+0+((IF(IF(ArtifactsInput!$M$15,FALSE,TRUE),1,-1)*CHOOSE(ArtifactsInput!$N$15+1,25,30,35,40,45,50)/100*IF(IF(ArtifactsInput!$M$15,FALSE,TRUE),(Inputs!$B$11+((C1858=TRUE)*(F1858-Calc!F22))+(IF(ArtifactsInput!$M$15,FALSE,TRUE)-ArtifactsInput!$M$15)*CHOOSE(ArtifactsInput!$N$15+1,8,9.6,11.2,12.8,14.4,16)),Inputs!$B$11))))/100)/2</f>
        <v/>
      </c>
      <c r="M1846">
        <f>L1846*(1+(Inputs!$B$10+((C1862=TRUE)*(F1862-Calc!F26))+B1879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46">
        <f>L1846*(1-MIN((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1846*(MIN((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46">
        <f>(1-Summary!$B$11)*T1846+Summary!$B$11*V1846</f>
        <v/>
      </c>
      <c r="P1846">
        <f>IF(B1880=0,0,O1846/B1880)</f>
        <v/>
      </c>
      <c r="Q1846" t="n">
        <v>0</v>
      </c>
      <c r="R1846" t="n">
        <v>0</v>
      </c>
      <c r="S1846" t="n">
        <v>0</v>
      </c>
      <c r="T1846">
        <f>IF(C1846,(0.2*SUMPRODUCT((Skills!Z2:Z31=TRUE)*(C1838:C1867=TRUE)*S1838:S1867)*N1846)*IF(Inputs!$B$39="pvp",1,1+(Inputs!$B$20+((C1863=TRUE)*(F1863-Calc!F27))+Skills!P10+B1877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Hunt"),CHOOSE(ArtifactsInput!$N$35+1,15,18,21,24,27,30)*(1-EXP(-(0.2*B1872)*5)),0)+IF(AND(ArtifactsInput!$M$22,Inputs!$B$4&lt;&gt;"Chapter Hunt"),CHOOSE(ArtifactsInput!$N$22+1,10,12,14,16,18,20)*((0*(((0.15*B1872*5))^0/1)+1*(((0.15*B1872*5))^1/1)+2*(((0.15*B1872*5))^2/2)+3*(((0.15*B1872*5))^3/6)+4*(((0.15*B1872*5))^4/24)+5*(((0.15*B1872*5))^5/120))/((((0.15*B1872*5))^0/1)+(((0.15*B1872*5))^1/1)+(((0.15*B1872*5))^2/2)+(((0.15*B1872*5))^3/6)+(((0.15*B1872*5))^4/24)+(((0.15*B1872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1846*(1-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1846*(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1846*(1-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1846*(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46">
        <f>IF(C1846,(0.2*SUMPRODUCT((Skills!Z2:Z31=TRUE)*(C1838:C1867=TRUE)*S1838:S1867)*N1846)*IF(Inputs!$B$39="pvp",1,(1+(Inputs!$B$21+Skills!Q10+B1877+(IF(ArtifactsInput!$M$33,CHOOSE(ArtifactsInput!$N$33+1,30,36,42,48,54,60),0))+(IF(AND(ArtifactsInput!$M$35,Inputs!$B$4&lt;&gt;"Chapter Hunt"),CHOOSE(ArtifactsInput!$N$35+1,15,18,21,24,27,30)*(1-EXP(-(0.2*B1872)*5)),0)+IF(AND(ArtifactsInput!$M$22,Inputs!$B$4&lt;&gt;"Chapter Hunt"),CHOOSE(ArtifactsInput!$N$22+1,10,12,14,16,18,20)*((0*(((0.15*B1872*5))^0/1)+1*(((0.15*B1872*5))^1/1)+2*(((0.15*B1872*5))^2/2)+3*(((0.15*B1872*5))^3/6)+4*(((0.15*B1872*5))^4/24)+5*(((0.15*B1872*5))^5/120))/((((0.15*B1872*5))^0/1)+(((0.15*B1872*5))^1/1)+(((0.15*B1872*5))^2/2)+(((0.15*B1872*5))^3/6)+(((0.15*B1872*5))^4/24)+(((0.15*B1872*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47">
      <c r="A1847">
        <f>Skills!A11</f>
        <v/>
      </c>
      <c r="B1847">
        <f>Skills!B11</f>
        <v/>
      </c>
      <c r="C1847">
        <f>Inputs!$B$3&gt;=60</f>
        <v/>
      </c>
      <c r="D1847">
        <f>IF(Skills!C11=1,60+Inputs!$B$25+Inputs!$B$29,IF(Skills!C11=2,90+Inputs!$B$26+Inputs!$B$29,IF(Skills!C11=3,120+Inputs!$B$27+Inputs!$B$29,MAX(0,(Inputs!$B$3-100)*3)+Inputs!$B$28+Inputs!$B$29)))</f>
        <v/>
      </c>
      <c r="E1847">
        <f>INDEX(FactorTable!$B$2:$Y$301, MATCH(ROUND(MIN(300,MAX(1,D1847)),0), FactorTable!$A$2:$A$301,0), Skills!M11+1)</f>
        <v/>
      </c>
      <c r="F1847">
        <f>IF(Skills!N11=TRUE,(Skills!L11/10)*(E1847/1000),Skills!L11/10)+Skills!O11</f>
        <v/>
      </c>
      <c r="G1847">
        <f>Calc!G11</f>
        <v/>
      </c>
      <c r="H1847">
        <f>Calc!H11</f>
        <v/>
      </c>
      <c r="I1847">
        <f>IF(Skills!AA11&lt;&gt;"",1+(Skills!AA11/10)*(U1839/1000)/100,1)</f>
        <v/>
      </c>
      <c r="J1847" t="inlineStr"/>
      <c r="K1847" t="inlineStr"/>
      <c r="L1847" t="inlineStr"/>
      <c r="M1847" t="inlineStr"/>
      <c r="N1847" t="inlineStr"/>
      <c r="O1847">
        <f>(1-Summary!$B$11)*T1847+Summary!$B$11*V1847</f>
        <v/>
      </c>
      <c r="P1847">
        <f>IF(B1880=0,0,O1847/B1880)</f>
        <v/>
      </c>
      <c r="Q1847" t="n">
        <v>0</v>
      </c>
      <c r="R1847" t="n">
        <v>0</v>
      </c>
      <c r="S1847">
        <f>IFERROR(O1847/N1847,0)</f>
        <v/>
      </c>
      <c r="T1847" t="n">
        <v>0</v>
      </c>
      <c r="V1847" t="n">
        <v>0</v>
      </c>
    </row>
    <row r="1848">
      <c r="A1848">
        <f>Skills!A12</f>
        <v/>
      </c>
      <c r="B1848">
        <f>Skills!B12</f>
        <v/>
      </c>
      <c r="C1848">
        <f>Inputs!$B$3&gt;=103</f>
        <v/>
      </c>
      <c r="D1848">
        <f>IF(Skills!C12=1,60+Inputs!$B$25+Inputs!$B$29,IF(Skills!C12=2,90+Inputs!$B$26+Inputs!$B$29,IF(Skills!C12=3,120+Inputs!$B$27+Inputs!$B$29,MAX(0,(Inputs!$B$3-100)*3)+Inputs!$B$28+Inputs!$B$29)))</f>
        <v/>
      </c>
      <c r="E1848">
        <f>INDEX(FactorTable!$B$2:$Y$301, MATCH(ROUND(MIN(300,MAX(1,D1848)),0), FactorTable!$A$2:$A$301,0), Skills!M12+1)</f>
        <v/>
      </c>
      <c r="F1848">
        <f>IF(Skills!N12=TRUE,(Skills!L12/10)*(E1848/1000),Skills!L12/10)+Skills!O12</f>
        <v/>
      </c>
      <c r="G1848">
        <f>Calc!G12</f>
        <v/>
      </c>
      <c r="H1848">
        <f>Calc!H12</f>
        <v/>
      </c>
      <c r="I1848">
        <f>IF(Skills!AA12&lt;&gt;"",1+(Skills!AA12/10)*(U1839/1000)/100,1)</f>
        <v/>
      </c>
      <c r="J1848">
        <f>((Inputs!$B$6*(1+Inputs!$B$7/100))+(((Inputs!$B$12*(1+Inputs!$B$13/100))-(Inputs!$B$12*(1+Inputs!$B$13/100)))+0.25*(Inputs!$B$14-Inputs!$B$14))*(1+Inputs!$B$7/100))*(F1848/100)</f>
        <v/>
      </c>
      <c r="K1848">
        <f>J1848*(1+((Inputs!$B$12*(1+Inputs!$B$13/100))*0.01+Inputs!$B$14*0.0025)/100)*(1+Inputs!$B$15/100)*(1+Inputs!$B$16/100)*(5000/(6000+Inputs!$B$43*(1-(100*(1-(1-(Inputs!$B$19+0)/100)*(1-CHOOSE(ArtifactsInput!$N$40+1,5,6,7,8,9,10)/100)^(ArtifactsInput!$M$40-ArtifactsInput!$M$40)))/100)))*(1+(Inputs!$B$24+((C1866=TRUE)*(F1866-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1859=TRUE)*(F1859-Calc!F23))+(((IF(AND(ArtifactsInput!$M$42,((Inputs!$B$9+((C1861=TRUE)*(F1861-Calc!F25))+B1876+(ArtifactsInput!$M$24-ArtifactsInput!$M$24)*CHOOSE(ArtifactsInput!$N$24+1,10,12,14,16,18,20)+IF(ArtifactsInput!$M$10,CHOOSE(ArtifactsInput!$N$10+1,15,18,21,24,27,30)*(IF(Inputs!$B$39="pvp",MIN(15,15)/15,IF(AND(Inputs!$B$39&lt;&gt;"pvp",Inputs!$B$44&gt;0),MIN(15,Inputs!$B$44)/(Inputs!$B$44),0))),0)))&gt;=100),MIN(100,((Inputs!$B$9+((C1861=TRUE)*(F1861-Calc!F25))+B1876+(ArtifactsInput!$M$24-ArtifactsInput!$M$24)*CHOOSE(ArtifactsInput!$N$24+1,10,12,14,16,18,20)+IF(ArtifactsInput!$M$10,CHOOSE(ArtifactsInput!$N$10+1,15,18,21,24,27,30)*(IF(Inputs!$B$39="pvp",MIN(15,15)/15,IF(AND(Inputs!$B$39&lt;&gt;"pvp",Inputs!$B$44&gt;0),MIN(15,Inputs!$B$44)/(Inputs!$B$44),0))),0)))-100),0))*CHOOSE(ArtifactsInput!$N$42+1,0.6,0.72,0.84,0.96,1.08,1.2))),Inputs!$B$18+((C1865=TRUE)*(F1865-Calc!F29))+(IF(AND(ArtifactsInput!$M$42,((Inputs!$B$9+((C1861=TRUE)*(F1861-Calc!F25))+B1876+(ArtifactsInput!$M$24-ArtifactsInput!$M$24)*CHOOSE(ArtifactsInput!$N$24+1,10,12,14,16,18,20)+IF(ArtifactsInput!$M$10,CHOOSE(ArtifactsInput!$N$10+1,15,18,21,24,27,30)*(IF(Inputs!$B$39="pvp",MIN(15,15)/15,IF(AND(Inputs!$B$39&lt;&gt;"pvp",Inputs!$B$44&gt;0),MIN(15,Inputs!$B$44)/(Inputs!$B$44),0))),0)))&gt;=100),CHOOSE(ArtifactsInput!$N$42+1,40,48,56,64,72,80),0))))/100)*(((1+(((C1857=TRUE)*F1857*IF(AND(Inputs!$B$39&lt;&gt;"pvp",Inputs!$B$44&gt;0),(((R1857-1)*(Skills!Y21*(1+Inputs!$B$34/100))+MIN((Skills!Y21*(1+Inputs!$B$34/100)),MAX(0,Inputs!$B$44-((R1857-1)*Skills!D21))))/Inputs!$B$44),IF(Inputs!$B$39="pvp",MIN((Skills!Y21*(1+Inputs!$B$34/100)),15)/15,(Skills!Y21*(1+Inputs!$B$34/100))/Skills!D21)))+((C1864=TRUE)*(F1864-Calc!F28))+((C1854=TRUE)*(F1854-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1851=TRUE)*F1851*IF(AND(Inputs!$B$39&lt;&gt;"pvp",Inputs!$B$44&gt;0),(((R1851-1)*(Skills!Y15*(1+Inputs!$B$34/100))+MIN((Skills!Y15*(1+Inputs!$B$34/100)),MAX(0,Inputs!$B$44-((R1851-1)*Skills!D15))))/Inputs!$B$44),IF(Inputs!$B$39="pvp",MIN((Skills!Y15*(1+Inputs!$B$34/100)),15)/15,(Skills!Y15*(1+Inputs!$B$34/100))/Skills!D15)))/100)*(1+((C1842=TRUE)*F1842*B1870)/100))*B1878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1848)</f>
        <v/>
      </c>
      <c r="L1848">
        <f>K1848*(MIN(Inputs!$B$22+((C1860=TRUE)*(F1860-Calc!F24)),(Inputs!$B$23+0+((IF(IF(ArtifactsInput!$M$15,FALSE,TRUE),1,-1)*CHOOSE(ArtifactsInput!$N$15+1,25,30,35,40,45,50)/100*IF(IF(ArtifactsInput!$M$15,FALSE,TRUE),(Inputs!$B$11+((C1858=TRUE)*(F1858-Calc!F22))+(IF(ArtifactsInput!$M$15,FALSE,TRUE)-ArtifactsInput!$M$15)*CHOOSE(ArtifactsInput!$N$15+1,8,9.6,11.2,12.8,14.4,16)),Inputs!$B$11)))))/100+(Inputs!$B$23+0+((IF(IF(ArtifactsInput!$M$15,FALSE,TRUE),1,-1)*CHOOSE(ArtifactsInput!$N$15+1,25,30,35,40,45,50)/100*IF(IF(ArtifactsInput!$M$15,FALSE,TRUE),(Inputs!$B$11+((C1858=TRUE)*(F1858-Calc!F22))+(IF(ArtifactsInput!$M$15,FALSE,TRUE)-ArtifactsInput!$M$15)*CHOOSE(ArtifactsInput!$N$15+1,8,9.6,11.2,12.8,14.4,16)),Inputs!$B$11))))/100)/2</f>
        <v/>
      </c>
      <c r="M1848">
        <f>L1848*(1+(Inputs!$B$10+((C1862=TRUE)*(F1862-Calc!F26))+B1879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48">
        <f>L1848*(1-MIN((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1848*(MIN((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48">
        <f>(1-Summary!$B$11)*T1848+Summary!$B$11*V1848</f>
        <v/>
      </c>
      <c r="P1848">
        <f>IF(B1880=0,0,O1848/B1880)</f>
        <v/>
      </c>
      <c r="Q1848">
        <f>IFERROR(1/IF(Inputs!$B$39="pvp",15,MAX(0.1,Skills!D12-IF(Skills!E12=TRUE,Inputs!$B$32,0))),0)</f>
        <v/>
      </c>
      <c r="R1848">
        <f>IF(AND(Inputs!$B$39&lt;&gt;"pvp",Inputs!$B$44&gt;0),IF(MAX(0,Inputs!$B$44-B1881)&lt;=0,0,(INT(MAX(0,Inputs!$B$44-B1881)/IF(Inputs!$B$39="pvp",15,MAX(0.1,Skills!D12-IF(Skills!E12=TRUE,Inputs!$B$32,0))))+1)),0)</f>
        <v/>
      </c>
      <c r="S1848">
        <f>IFERROR(O1848/N1848,0)</f>
        <v/>
      </c>
      <c r="T1848">
        <f>IF(C1848,(H1848*N1848*IF(AND(Inputs!$B$39&lt;&gt;"pvp",Inputs!$B$44&gt;0),((Skills!G12*((R1848-1)*IF(Skills!H12&gt;0,Skills!I12/Skills!H12,1)+IF(Skills!H12&gt;0,MIN(Skills!I12,MAX(0,MAX(0,Inputs!$B$44-B1881)-((R1848-1)*IF(Inputs!$B$39="pvp",15,MAX(0.1,Skills!D12-IF(Skills!E12=TRUE,Inputs!$B$32,0))))))/Skills!H12,1)))/Inputs!$B$44),G1848*Q1848))*IF(Inputs!$B$39="pvp",1,1+(Inputs!$B$20+((C1863=TRUE)*(F1863-Calc!F27))+Skills!P12+B1877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Hunt"),CHOOSE(ArtifactsInput!$N$35+1,15,18,21,24,27,30)*(1-EXP(-(0.2*B1872)*5)),0)+IF(AND(ArtifactsInput!$M$22,Inputs!$B$4&lt;&gt;"Chapter Hunt"),CHOOSE(ArtifactsInput!$N$22+1,10,12,14,16,18,20)*((0*(((0.15*B1872*5))^0/1)+1*(((0.15*B1872*5))^1/1)+2*(((0.15*B1872*5))^2/2)+3*(((0.15*B1872*5))^3/6)+4*(((0.15*B1872*5))^4/24)+5*(((0.15*B1872*5))^5/120))/((((0.15*B1872*5))^0/1)+(((0.15*B1872*5))^1/1)+(((0.15*B1872*5))^2/2)+(((0.15*B1872*5))^3/6)+(((0.15*B1872*5))^4/24)+(((0.15*B1872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1848*(1-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1848*(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1848*(1-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1848*(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48">
        <f>IF(C1848,(H1848*N1848*IF(AND(Inputs!$B$39&lt;&gt;"pvp",Inputs!$B$44&gt;0),((Skills!G12*((R1848-1)*IF(Skills!H12&gt;0,Skills!I12/Skills!H12,1)+IF(Skills!H12&gt;0,MIN(Skills!I12,MAX(0,MAX(0,Inputs!$B$44-B1881)-((R1848-1)*IF(Inputs!$B$39="pvp",15,MAX(0.1,Skills!D12-IF(Skills!E12=TRUE,Inputs!$B$32,0))))))/Skills!H12,1)))/Inputs!$B$44),G1848*Q1848))*IF(Inputs!$B$39="pvp",1,(1+(Inputs!$B$21+Skills!Q12+B1877+(IF(ArtifactsInput!$M$33,CHOOSE(ArtifactsInput!$N$33+1,30,36,42,48,54,60),0))+(IF(AND(ArtifactsInput!$M$35,Inputs!$B$4&lt;&gt;"Chapter Hunt"),CHOOSE(ArtifactsInput!$N$35+1,15,18,21,24,27,30)*(1-EXP(-(0.2*B1872)*5)),0)+IF(AND(ArtifactsInput!$M$22,Inputs!$B$4&lt;&gt;"Chapter Hunt"),CHOOSE(ArtifactsInput!$N$22+1,10,12,14,16,18,20)*((0*(((0.15*B1872*5))^0/1)+1*(((0.15*B1872*5))^1/1)+2*(((0.15*B1872*5))^2/2)+3*(((0.15*B1872*5))^3/6)+4*(((0.15*B1872*5))^4/24)+5*(((0.15*B1872*5))^5/120))/((((0.15*B1872*5))^0/1)+(((0.15*B1872*5))^1/1)+(((0.15*B1872*5))^2/2)+(((0.15*B1872*5))^3/6)+(((0.15*B1872*5))^4/24)+(((0.15*B1872*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49">
      <c r="A1849">
        <f>Skills!A13</f>
        <v/>
      </c>
      <c r="B1849">
        <f>Skills!B13</f>
        <v/>
      </c>
      <c r="C1849">
        <f>Inputs!$B$3&gt;=105</f>
        <v/>
      </c>
      <c r="D1849">
        <f>IF(Skills!C13=1,60+Inputs!$B$25+Inputs!$B$29,IF(Skills!C13=2,90+Inputs!$B$26+Inputs!$B$29,IF(Skills!C13=3,120+Inputs!$B$27+Inputs!$B$29,MAX(0,(Inputs!$B$3-100)*3)+Inputs!$B$28+Inputs!$B$29)))</f>
        <v/>
      </c>
      <c r="E1849">
        <f>INDEX(FactorTable!$B$2:$Y$301, MATCH(ROUND(MIN(300,MAX(1,D1849)),0), FactorTable!$A$2:$A$301,0), Skills!M13+1)</f>
        <v/>
      </c>
      <c r="F1849">
        <f>IF(Skills!N13=TRUE,(Skills!L13/10)*(E1849/1000),Skills!L13/10)+Skills!O13</f>
        <v/>
      </c>
      <c r="G1849">
        <f>Calc!G13</f>
        <v/>
      </c>
      <c r="H1849">
        <f>Calc!H13</f>
        <v/>
      </c>
      <c r="I1849">
        <f>IF(Skills!AA13&lt;&gt;"",1+(Skills!AA13/10)*(U1839/1000)/100,1)</f>
        <v/>
      </c>
      <c r="J1849">
        <f>((Inputs!$B$6*(1+Inputs!$B$7/100))+(((Inputs!$B$12*(1+Inputs!$B$13/100))-(Inputs!$B$12*(1+Inputs!$B$13/100)))+0.25*(Inputs!$B$14-Inputs!$B$14))*(1+Inputs!$B$7/100))*(F1849/100)</f>
        <v/>
      </c>
      <c r="K1849">
        <f>J1849*(1+((Inputs!$B$12*(1+Inputs!$B$13/100))*0.01+Inputs!$B$14*0.0025)/100)*(1+Inputs!$B$15/100)*(1+Inputs!$B$16/100)*(5000/(6000+Inputs!$B$43*(1-(100*(1-(1-(Inputs!$B$19+0)/100)*(1-CHOOSE(ArtifactsInput!$N$40+1,5,6,7,8,9,10)/100)^(ArtifactsInput!$M$40-ArtifactsInput!$M$40)))/100)))*(1+(Inputs!$B$24+((C1866=TRUE)*(F1866-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1859=TRUE)*(F1859-Calc!F23))+(((IF(AND(ArtifactsInput!$M$42,((Inputs!$B$9+((C1861=TRUE)*(F1861-Calc!F25))+B1876+(ArtifactsInput!$M$24-ArtifactsInput!$M$24)*CHOOSE(ArtifactsInput!$N$24+1,10,12,14,16,18,20)+IF(ArtifactsInput!$M$10,CHOOSE(ArtifactsInput!$N$10+1,15,18,21,24,27,30)*(IF(Inputs!$B$39="pvp",MIN(15,15)/15,IF(AND(Inputs!$B$39&lt;&gt;"pvp",Inputs!$B$44&gt;0),MIN(15,Inputs!$B$44)/(Inputs!$B$44),0))),0)))&gt;=100),MIN(100,((Inputs!$B$9+((C1861=TRUE)*(F1861-Calc!F25))+B1876+(ArtifactsInput!$M$24-ArtifactsInput!$M$24)*CHOOSE(ArtifactsInput!$N$24+1,10,12,14,16,18,20)+IF(ArtifactsInput!$M$10,CHOOSE(ArtifactsInput!$N$10+1,15,18,21,24,27,30)*(IF(Inputs!$B$39="pvp",MIN(15,15)/15,IF(AND(Inputs!$B$39&lt;&gt;"pvp",Inputs!$B$44&gt;0),MIN(15,Inputs!$B$44)/(Inputs!$B$44),0))),0)))-100),0))*CHOOSE(ArtifactsInput!$N$42+1,0.6,0.72,0.84,0.96,1.08,1.2))),Inputs!$B$18+((C1865=TRUE)*(F1865-Calc!F29))+(IF(AND(ArtifactsInput!$M$42,((Inputs!$B$9+((C1861=TRUE)*(F1861-Calc!F25))+B1876+(ArtifactsInput!$M$24-ArtifactsInput!$M$24)*CHOOSE(ArtifactsInput!$N$24+1,10,12,14,16,18,20)+IF(ArtifactsInput!$M$10,CHOOSE(ArtifactsInput!$N$10+1,15,18,21,24,27,30)*(IF(Inputs!$B$39="pvp",MIN(15,15)/15,IF(AND(Inputs!$B$39&lt;&gt;"pvp",Inputs!$B$44&gt;0),MIN(15,Inputs!$B$44)/(Inputs!$B$44),0))),0)))&gt;=100),CHOOSE(ArtifactsInput!$N$42+1,40,48,56,64,72,80),0))))/100)*(((1+(((C1857=TRUE)*F1857*IF(AND(Inputs!$B$39&lt;&gt;"pvp",Inputs!$B$44&gt;0),(((R1857-1)*(Skills!Y21*(1+Inputs!$B$34/100))+MIN((Skills!Y21*(1+Inputs!$B$34/100)),MAX(0,Inputs!$B$44-((R1857-1)*Skills!D21))))/Inputs!$B$44),IF(Inputs!$B$39="pvp",MIN((Skills!Y21*(1+Inputs!$B$34/100)),15)/15,(Skills!Y21*(1+Inputs!$B$34/100))/Skills!D21)))+((C1864=TRUE)*(F1864-Calc!F28))+((C1854=TRUE)*(F1854-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1851=TRUE)*F1851*IF(AND(Inputs!$B$39&lt;&gt;"pvp",Inputs!$B$44&gt;0),(((R1851-1)*(Skills!Y15*(1+Inputs!$B$34/100))+MIN((Skills!Y15*(1+Inputs!$B$34/100)),MAX(0,Inputs!$B$44-((R1851-1)*Skills!D15))))/Inputs!$B$44),IF(Inputs!$B$39="pvp",MIN((Skills!Y15*(1+Inputs!$B$34/100)),15)/15,(Skills!Y15*(1+Inputs!$B$34/100))/Skills!D15)))/100)*(1+((C1842=TRUE)*F1842*B1870)/100))*B1878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1849)</f>
        <v/>
      </c>
      <c r="L1849">
        <f>K1849*(MIN(Inputs!$B$22+((C1860=TRUE)*(F1860-Calc!F24)),(Inputs!$B$23+0+((IF(IF(ArtifactsInput!$M$15,FALSE,TRUE),1,-1)*CHOOSE(ArtifactsInput!$N$15+1,25,30,35,40,45,50)/100*IF(IF(ArtifactsInput!$M$15,FALSE,TRUE),(Inputs!$B$11+((C1858=TRUE)*(F1858-Calc!F22))+(IF(ArtifactsInput!$M$15,FALSE,TRUE)-ArtifactsInput!$M$15)*CHOOSE(ArtifactsInput!$N$15+1,8,9.6,11.2,12.8,14.4,16)),Inputs!$B$11)))))/100+(Inputs!$B$23+0+((IF(IF(ArtifactsInput!$M$15,FALSE,TRUE),1,-1)*CHOOSE(ArtifactsInput!$N$15+1,25,30,35,40,45,50)/100*IF(IF(ArtifactsInput!$M$15,FALSE,TRUE),(Inputs!$B$11+((C1858=TRUE)*(F1858-Calc!F22))+(IF(ArtifactsInput!$M$15,FALSE,TRUE)-ArtifactsInput!$M$15)*CHOOSE(ArtifactsInput!$N$15+1,8,9.6,11.2,12.8,14.4,16)),Inputs!$B$11))))/100)/2</f>
        <v/>
      </c>
      <c r="M1849">
        <f>L1849*(1+(Inputs!$B$10+((C1862=TRUE)*(F1862-Calc!F26))+B1879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49">
        <f>L1849*(1-MIN((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1849*(MIN((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49">
        <f>(1-Summary!$B$11)*T1849+Summary!$B$11*V1849</f>
        <v/>
      </c>
      <c r="P1849">
        <f>IF(B1880=0,0,O1849/B1880)</f>
        <v/>
      </c>
      <c r="Q1849">
        <f>IFERROR(1/IF(Inputs!$B$39="pvp",15,MAX(0.1,Skills!D13-IF(Skills!E13=TRUE,Inputs!$B$32,0))),0)</f>
        <v/>
      </c>
      <c r="R1849">
        <f>IF(AND(Inputs!$B$39&lt;&gt;"pvp",Inputs!$B$44&gt;0),IF(MAX(0,Inputs!$B$44-B1881)&lt;=0,0,(INT(MAX(0,Inputs!$B$44-B1881)/IF(Inputs!$B$39="pvp",15,MAX(0.1,Skills!D13-IF(Skills!E13=TRUE,Inputs!$B$32,0))))+1)),0)</f>
        <v/>
      </c>
      <c r="S1849">
        <f>IFERROR(O1849/N1849,0)</f>
        <v/>
      </c>
      <c r="T1849">
        <f>IF(C1849,(H1849*N1849*IF(AND(Inputs!$B$39&lt;&gt;"pvp",Inputs!$B$44&gt;0),((Skills!G13*((R1849-1)*IF(Skills!H13&gt;0,Skills!I13/Skills!H13,1)+IF(Skills!H13&gt;0,MIN(Skills!I13,MAX(0,MAX(0,Inputs!$B$44-B1881)-((R1849-1)*IF(Inputs!$B$39="pvp",15,MAX(0.1,Skills!D13-IF(Skills!E13=TRUE,Inputs!$B$32,0))))))/Skills!H13,1)))/Inputs!$B$44),G1849*Q1849))*IF(Inputs!$B$39="pvp",1,1+(Inputs!$B$20+((C1863=TRUE)*(F1863-Calc!F27))+Skills!P13+B1877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Hunt"),CHOOSE(ArtifactsInput!$N$35+1,15,18,21,24,27,30)*(1-EXP(-(0.2*B1872)*5)),0)+IF(AND(ArtifactsInput!$M$22,Inputs!$B$4&lt;&gt;"Chapter Hunt"),CHOOSE(ArtifactsInput!$N$22+1,10,12,14,16,18,20)*((0*(((0.15*B1872*5))^0/1)+1*(((0.15*B1872*5))^1/1)+2*(((0.15*B1872*5))^2/2)+3*(((0.15*B1872*5))^3/6)+4*(((0.15*B1872*5))^4/24)+5*(((0.15*B1872*5))^5/120))/((((0.15*B1872*5))^0/1)+(((0.15*B1872*5))^1/1)+(((0.15*B1872*5))^2/2)+(((0.15*B1872*5))^3/6)+(((0.15*B1872*5))^4/24)+(((0.15*B1872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1849*(1-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1849*(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1849*(1-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1849*(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49">
        <f>IF(C1849,(H1849*N1849*IF(AND(Inputs!$B$39&lt;&gt;"pvp",Inputs!$B$44&gt;0),((Skills!G13*((R1849-1)*IF(Skills!H13&gt;0,Skills!I13/Skills!H13,1)+IF(Skills!H13&gt;0,MIN(Skills!I13,MAX(0,MAX(0,Inputs!$B$44-B1881)-((R1849-1)*IF(Inputs!$B$39="pvp",15,MAX(0.1,Skills!D13-IF(Skills!E13=TRUE,Inputs!$B$32,0))))))/Skills!H13,1)))/Inputs!$B$44),G1849*Q1849))*IF(Inputs!$B$39="pvp",1,(1+(Inputs!$B$21+Skills!Q13+B1877+(IF(ArtifactsInput!$M$33,CHOOSE(ArtifactsInput!$N$33+1,30,36,42,48,54,60),0))+(IF(AND(ArtifactsInput!$M$35,Inputs!$B$4&lt;&gt;"Chapter Hunt"),CHOOSE(ArtifactsInput!$N$35+1,15,18,21,24,27,30)*(1-EXP(-(0.2*B1872)*5)),0)+IF(AND(ArtifactsInput!$M$22,Inputs!$B$4&lt;&gt;"Chapter Hunt"),CHOOSE(ArtifactsInput!$N$22+1,10,12,14,16,18,20)*((0*(((0.15*B1872*5))^0/1)+1*(((0.15*B1872*5))^1/1)+2*(((0.15*B1872*5))^2/2)+3*(((0.15*B1872*5))^3/6)+4*(((0.15*B1872*5))^4/24)+5*(((0.15*B1872*5))^5/120))/((((0.15*B1872*5))^0/1)+(((0.15*B1872*5))^1/1)+(((0.15*B1872*5))^2/2)+(((0.15*B1872*5))^3/6)+(((0.15*B1872*5))^4/24)+(((0.15*B1872*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50">
      <c r="A1850">
        <f>Skills!A14</f>
        <v/>
      </c>
      <c r="B1850">
        <f>Skills!B14</f>
        <v/>
      </c>
      <c r="C1850">
        <f>Inputs!$B$3&gt;=105</f>
        <v/>
      </c>
      <c r="D1850">
        <f>IF(Skills!C14=1,60+Inputs!$B$25+Inputs!$B$29,IF(Skills!C14=2,90+Inputs!$B$26+Inputs!$B$29,IF(Skills!C14=3,120+Inputs!$B$27+Inputs!$B$29,MAX(0,(Inputs!$B$3-100)*3)+Inputs!$B$28+Inputs!$B$29)))</f>
        <v/>
      </c>
      <c r="E1850">
        <f>INDEX(FactorTable!$B$2:$Y$301, MATCH(ROUND(MIN(300,MAX(1,D1850)),0), FactorTable!$A$2:$A$301,0), Skills!M14+1)</f>
        <v/>
      </c>
      <c r="F1850">
        <f>IF(Skills!N14=TRUE,(Skills!L14/10)*(E1850/1000),Skills!L14/10)+Skills!O14</f>
        <v/>
      </c>
      <c r="G1850">
        <f>Calc!G14</f>
        <v/>
      </c>
      <c r="H1850">
        <f>Calc!H14</f>
        <v/>
      </c>
      <c r="I1850">
        <f>IF(Skills!AA14&lt;&gt;"",1+(Skills!AA14/10)*(U1839/1000)/100,1)</f>
        <v/>
      </c>
      <c r="J1850">
        <f>((Inputs!$B$6*(1+Inputs!$B$7/100))+(((Inputs!$B$12*(1+Inputs!$B$13/100))-(Inputs!$B$12*(1+Inputs!$B$13/100)))+0.25*(Inputs!$B$14-Inputs!$B$14))*(1+Inputs!$B$7/100))*(F1850/100)</f>
        <v/>
      </c>
      <c r="K1850">
        <f>J1850*(1+((Inputs!$B$12*(1+Inputs!$B$13/100))*0.01+Inputs!$B$14*0.0025)/100)*(1+Inputs!$B$15/100)*(1+Inputs!$B$16/100)*(5000/(6000+Inputs!$B$43*(1-(100*(1-(1-(Inputs!$B$19+0)/100)*(1-CHOOSE(ArtifactsInput!$N$40+1,5,6,7,8,9,10)/100)^(ArtifactsInput!$M$40-ArtifactsInput!$M$40)))/100)))*(1+(Inputs!$B$24+((C1866=TRUE)*(F1866-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1859=TRUE)*(F1859-Calc!F23))+(((IF(AND(ArtifactsInput!$M$42,((Inputs!$B$9+((C1861=TRUE)*(F1861-Calc!F25))+B1876+(ArtifactsInput!$M$24-ArtifactsInput!$M$24)*CHOOSE(ArtifactsInput!$N$24+1,10,12,14,16,18,20)+IF(ArtifactsInput!$M$10,CHOOSE(ArtifactsInput!$N$10+1,15,18,21,24,27,30)*(IF(Inputs!$B$39="pvp",MIN(15,15)/15,IF(AND(Inputs!$B$39&lt;&gt;"pvp",Inputs!$B$44&gt;0),MIN(15,Inputs!$B$44)/(Inputs!$B$44),0))),0)))&gt;=100),MIN(100,((Inputs!$B$9+((C1861=TRUE)*(F1861-Calc!F25))+B1876+(ArtifactsInput!$M$24-ArtifactsInput!$M$24)*CHOOSE(ArtifactsInput!$N$24+1,10,12,14,16,18,20)+IF(ArtifactsInput!$M$10,CHOOSE(ArtifactsInput!$N$10+1,15,18,21,24,27,30)*(IF(Inputs!$B$39="pvp",MIN(15,15)/15,IF(AND(Inputs!$B$39&lt;&gt;"pvp",Inputs!$B$44&gt;0),MIN(15,Inputs!$B$44)/(Inputs!$B$44),0))),0)))-100),0))*CHOOSE(ArtifactsInput!$N$42+1,0.6,0.72,0.84,0.96,1.08,1.2))),Inputs!$B$18+((C1865=TRUE)*(F1865-Calc!F29))+(IF(AND(ArtifactsInput!$M$42,((Inputs!$B$9+((C1861=TRUE)*(F1861-Calc!F25))+B1876+(ArtifactsInput!$M$24-ArtifactsInput!$M$24)*CHOOSE(ArtifactsInput!$N$24+1,10,12,14,16,18,20)+IF(ArtifactsInput!$M$10,CHOOSE(ArtifactsInput!$N$10+1,15,18,21,24,27,30)*(IF(Inputs!$B$39="pvp",MIN(15,15)/15,IF(AND(Inputs!$B$39&lt;&gt;"pvp",Inputs!$B$44&gt;0),MIN(15,Inputs!$B$44)/(Inputs!$B$44),0))),0)))&gt;=100),CHOOSE(ArtifactsInput!$N$42+1,40,48,56,64,72,80),0))))/100)*(((1+(((C1857=TRUE)*F1857*IF(AND(Inputs!$B$39&lt;&gt;"pvp",Inputs!$B$44&gt;0),(((R1857-1)*(Skills!Y21*(1+Inputs!$B$34/100))+MIN((Skills!Y21*(1+Inputs!$B$34/100)),MAX(0,Inputs!$B$44-((R1857-1)*Skills!D21))))/Inputs!$B$44),IF(Inputs!$B$39="pvp",MIN((Skills!Y21*(1+Inputs!$B$34/100)),15)/15,(Skills!Y21*(1+Inputs!$B$34/100))/Skills!D21)))+((C1864=TRUE)*(F1864-Calc!F28))+((C1854=TRUE)*(F1854-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1851=TRUE)*F1851*IF(AND(Inputs!$B$39&lt;&gt;"pvp",Inputs!$B$44&gt;0),(((R1851-1)*(Skills!Y15*(1+Inputs!$B$34/100))+MIN((Skills!Y15*(1+Inputs!$B$34/100)),MAX(0,Inputs!$B$44-((R1851-1)*Skills!D15))))/Inputs!$B$44),IF(Inputs!$B$39="pvp",MIN((Skills!Y15*(1+Inputs!$B$34/100)),15)/15,(Skills!Y15*(1+Inputs!$B$34/100))/Skills!D15)))/100)*(1+((C1842=TRUE)*F1842*B1870)/100))*B1878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1850)</f>
        <v/>
      </c>
      <c r="L1850">
        <f>K1850*(MIN(Inputs!$B$22+((C1860=TRUE)*(F1860-Calc!F24)),(Inputs!$B$23+0+((IF(IF(ArtifactsInput!$M$15,FALSE,TRUE),1,-1)*CHOOSE(ArtifactsInput!$N$15+1,25,30,35,40,45,50)/100*IF(IF(ArtifactsInput!$M$15,FALSE,TRUE),(Inputs!$B$11+((C1858=TRUE)*(F1858-Calc!F22))+(IF(ArtifactsInput!$M$15,FALSE,TRUE)-ArtifactsInput!$M$15)*CHOOSE(ArtifactsInput!$N$15+1,8,9.6,11.2,12.8,14.4,16)),Inputs!$B$11)))))/100+(Inputs!$B$23+0+((IF(IF(ArtifactsInput!$M$15,FALSE,TRUE),1,-1)*CHOOSE(ArtifactsInput!$N$15+1,25,30,35,40,45,50)/100*IF(IF(ArtifactsInput!$M$15,FALSE,TRUE),(Inputs!$B$11+((C1858=TRUE)*(F1858-Calc!F22))+(IF(ArtifactsInput!$M$15,FALSE,TRUE)-ArtifactsInput!$M$15)*CHOOSE(ArtifactsInput!$N$15+1,8,9.6,11.2,12.8,14.4,16)),Inputs!$B$11))))/100)/2</f>
        <v/>
      </c>
      <c r="M1850">
        <f>L1850*(1+(Inputs!$B$10+((C1862=TRUE)*(F1862-Calc!F26))+B1879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50">
        <f>L1850*(1-MIN((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1850*(MIN((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50">
        <f>(1-Summary!$B$11)*T1850+Summary!$B$11*V1850</f>
        <v/>
      </c>
      <c r="P1850">
        <f>IF(B1880=0,0,O1850/B1880)</f>
        <v/>
      </c>
      <c r="Q1850">
        <f>IFERROR(1/IF(Inputs!$B$39="pvp",15,MAX(0.1,Skills!D14-IF(Skills!E14=TRUE,Inputs!$B$32,0))),0)</f>
        <v/>
      </c>
      <c r="R1850">
        <f>IF(AND(Inputs!$B$39&lt;&gt;"pvp",Inputs!$B$44&gt;0),IF(MAX(0,Inputs!$B$44-B1881)&lt;=0,0,(INT(MAX(0,Inputs!$B$44-B1881)/IF(Inputs!$B$39="pvp",15,MAX(0.1,Skills!D14-IF(Skills!E14=TRUE,Inputs!$B$32,0))))+1)),0)</f>
        <v/>
      </c>
      <c r="S1850">
        <f>IFERROR(O1850/N1850,0)</f>
        <v/>
      </c>
      <c r="T1850">
        <f>IF(C1850,(H1850*N1850*IF(AND(Inputs!$B$39&lt;&gt;"pvp",Inputs!$B$44&gt;0),((Skills!G14*((R1850-1)*IF(Skills!H14&gt;0,Skills!I14/Skills!H14,1)+IF(Skills!H14&gt;0,MIN(Skills!I14,MAX(0,MAX(0,Inputs!$B$44-B1881)-((R1850-1)*IF(Inputs!$B$39="pvp",15,MAX(0.1,Skills!D14-IF(Skills!E14=TRUE,Inputs!$B$32,0))))))/Skills!H14,1)))/Inputs!$B$44),G1850*Q1850))*IF(Inputs!$B$39="pvp",1,1+(Inputs!$B$20+((C1863=TRUE)*(F1863-Calc!F27))+Skills!P14+B1877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Hunt"),CHOOSE(ArtifactsInput!$N$35+1,15,18,21,24,27,30)*(1-EXP(-(0.2*B1872)*5)),0)+IF(AND(ArtifactsInput!$M$22,Inputs!$B$4&lt;&gt;"Chapter Hunt"),CHOOSE(ArtifactsInput!$N$22+1,10,12,14,16,18,20)*((0*(((0.15*B1872*5))^0/1)+1*(((0.15*B1872*5))^1/1)+2*(((0.15*B1872*5))^2/2)+3*(((0.15*B1872*5))^3/6)+4*(((0.15*B1872*5))^4/24)+5*(((0.15*B1872*5))^5/120))/((((0.15*B1872*5))^0/1)+(((0.15*B1872*5))^1/1)+(((0.15*B1872*5))^2/2)+(((0.15*B1872*5))^3/6)+(((0.15*B1872*5))^4/24)+(((0.15*B1872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1850*(1-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1850*(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1850*(1-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1850*(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50">
        <f>IF(C1850,(H1850*N1850*IF(AND(Inputs!$B$39&lt;&gt;"pvp",Inputs!$B$44&gt;0),((Skills!G14*((R1850-1)*IF(Skills!H14&gt;0,Skills!I14/Skills!H14,1)+IF(Skills!H14&gt;0,MIN(Skills!I14,MAX(0,MAX(0,Inputs!$B$44-B1881)-((R1850-1)*IF(Inputs!$B$39="pvp",15,MAX(0.1,Skills!D14-IF(Skills!E14=TRUE,Inputs!$B$32,0))))))/Skills!H14,1)))/Inputs!$B$44),G1850*Q1850))*IF(Inputs!$B$39="pvp",1,(1+(Inputs!$B$21+Skills!Q14+B1877+(IF(ArtifactsInput!$M$33,CHOOSE(ArtifactsInput!$N$33+1,30,36,42,48,54,60),0))+(IF(AND(ArtifactsInput!$M$35,Inputs!$B$4&lt;&gt;"Chapter Hunt"),CHOOSE(ArtifactsInput!$N$35+1,15,18,21,24,27,30)*(1-EXP(-(0.2*B1872)*5)),0)+IF(AND(ArtifactsInput!$M$22,Inputs!$B$4&lt;&gt;"Chapter Hunt"),CHOOSE(ArtifactsInput!$N$22+1,10,12,14,16,18,20)*((0*(((0.15*B1872*5))^0/1)+1*(((0.15*B1872*5))^1/1)+2*(((0.15*B1872*5))^2/2)+3*(((0.15*B1872*5))^3/6)+4*(((0.15*B1872*5))^4/24)+5*(((0.15*B1872*5))^5/120))/((((0.15*B1872*5))^0/1)+(((0.15*B1872*5))^1/1)+(((0.15*B1872*5))^2/2)+(((0.15*B1872*5))^3/6)+(((0.15*B1872*5))^4/24)+(((0.15*B1872*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51">
      <c r="A1851">
        <f>Skills!A15</f>
        <v/>
      </c>
      <c r="B1851">
        <f>Skills!B15</f>
        <v/>
      </c>
      <c r="C1851">
        <f>Inputs!$B$3&gt;=110</f>
        <v/>
      </c>
      <c r="D1851">
        <f>IF(Skills!C15=1,60+Inputs!$B$25+Inputs!$B$29,IF(Skills!C15=2,90+Inputs!$B$26+Inputs!$B$29,IF(Skills!C15=3,120+Inputs!$B$27+Inputs!$B$29,MAX(0,(Inputs!$B$3-100)*3)+Inputs!$B$28+Inputs!$B$29)))</f>
        <v/>
      </c>
      <c r="E1851">
        <f>INDEX(FactorTable!$B$2:$Y$301, MATCH(ROUND(MIN(300,MAX(1,D1851)),0), FactorTable!$A$2:$A$301,0), Skills!M15+1)</f>
        <v/>
      </c>
      <c r="F1851">
        <f>IF(Skills!N15=TRUE,(Skills!L15/10)*(E1851/1000),Skills!L15/10)+Skills!O15</f>
        <v/>
      </c>
      <c r="G1851">
        <f>Calc!G15</f>
        <v/>
      </c>
      <c r="H1851">
        <f>Calc!H15</f>
        <v/>
      </c>
      <c r="I1851">
        <f>IF(Skills!AA15&lt;&gt;"",1+(Skills!AA15/10)*(U1839/1000)/100,1)</f>
        <v/>
      </c>
      <c r="J1851" t="inlineStr"/>
      <c r="K1851" t="inlineStr"/>
      <c r="L1851" t="inlineStr"/>
      <c r="M1851" t="inlineStr"/>
      <c r="N1851" t="inlineStr"/>
      <c r="O1851">
        <f>(1-Summary!$B$11)*T1851+Summary!$B$11*V1851</f>
        <v/>
      </c>
      <c r="P1851">
        <f>IF(B1880=0,0,O1851/B1880)</f>
        <v/>
      </c>
      <c r="Q1851">
        <f>IFERROR(1/IF(Inputs!$B$39="pvp",15,MAX(0.1,Skills!D15-IF(Skills!E15=TRUE,Inputs!$B$32,0))),0)</f>
        <v/>
      </c>
      <c r="R1851">
        <f>IF(AND(Inputs!$B$39&lt;&gt;"pvp",Inputs!$B$44&gt;0),IF(Inputs!$B$44&lt;=0,0,(INT(Inputs!$B$44/IF(Inputs!$B$39="pvp",15,MAX(0.1,Skills!D15-IF(Skills!E15=TRUE,Inputs!$B$32,0))))+1)),0)</f>
        <v/>
      </c>
      <c r="S1851">
        <f>IFERROR(O1851/N1851,0)</f>
        <v/>
      </c>
      <c r="T1851" t="n">
        <v>0</v>
      </c>
      <c r="V1851" t="n">
        <v>0</v>
      </c>
    </row>
    <row r="1852">
      <c r="A1852">
        <f>Skills!A16</f>
        <v/>
      </c>
      <c r="B1852">
        <f>Skills!B16</f>
        <v/>
      </c>
      <c r="C1852">
        <f>Inputs!$B$3&gt;=110</f>
        <v/>
      </c>
      <c r="D1852">
        <f>IF(Skills!C16=1,60+Inputs!$B$25+Inputs!$B$29,IF(Skills!C16=2,90+Inputs!$B$26+Inputs!$B$29,IF(Skills!C16=3,120+Inputs!$B$27+Inputs!$B$29,MAX(0,(Inputs!$B$3-100)*3)+Inputs!$B$28+Inputs!$B$29)))</f>
        <v/>
      </c>
      <c r="E1852">
        <f>INDEX(FactorTable!$B$2:$Y$301, MATCH(ROUND(MIN(300,MAX(1,D1852)),0), FactorTable!$A$2:$A$301,0), Skills!M16+1)</f>
        <v/>
      </c>
      <c r="F1852">
        <f>IF(Skills!N16=TRUE,(Skills!L16/10)*(E1852/1000),Skills!L16/10)+Skills!O16</f>
        <v/>
      </c>
      <c r="G1852">
        <f>Calc!G16</f>
        <v/>
      </c>
      <c r="H1852">
        <f>Calc!H16</f>
        <v/>
      </c>
      <c r="I1852">
        <f>IF(Skills!AA16&lt;&gt;"",1+(Skills!AA16/10)*(U1839/1000)/100,1)</f>
        <v/>
      </c>
      <c r="J1852" t="inlineStr"/>
      <c r="K1852" t="inlineStr"/>
      <c r="L1852" t="inlineStr"/>
      <c r="M1852" t="inlineStr"/>
      <c r="N1852" t="inlineStr"/>
      <c r="O1852">
        <f>(1-Summary!$B$11)*T1852+Summary!$B$11*V1852</f>
        <v/>
      </c>
      <c r="P1852">
        <f>IF(B1880=0,0,O1852/B1880)</f>
        <v/>
      </c>
      <c r="Q1852">
        <f>IFERROR(1/IF(Inputs!$B$39="pvp",15,MAX(0.1,Skills!D16-IF(Skills!E16=TRUE,Inputs!$B$32,0))),0)</f>
        <v/>
      </c>
      <c r="R1852">
        <f>IF(AND(Inputs!$B$39&lt;&gt;"pvp",Inputs!$B$44&gt;0),IF(Inputs!$B$44&lt;=0,0,(INT(Inputs!$B$44/IF(Inputs!$B$39="pvp",15,MAX(0.1,Skills!D16-IF(Skills!E16=TRUE,Inputs!$B$32,0))))+1)),0)</f>
        <v/>
      </c>
      <c r="S1852">
        <f>IFERROR(O1852/N1852,0)</f>
        <v/>
      </c>
      <c r="T1852" t="n">
        <v>0</v>
      </c>
      <c r="V1852" t="n">
        <v>0</v>
      </c>
    </row>
    <row r="1853">
      <c r="A1853">
        <f>Skills!A17</f>
        <v/>
      </c>
      <c r="B1853">
        <f>Skills!B17</f>
        <v/>
      </c>
      <c r="C1853">
        <f>Inputs!$B$3&gt;=115</f>
        <v/>
      </c>
      <c r="D1853">
        <f>IF(Skills!C17=1,60+Inputs!$B$25+Inputs!$B$29,IF(Skills!C17=2,90+Inputs!$B$26+Inputs!$B$29,IF(Skills!C17=3,120+Inputs!$B$27+Inputs!$B$29,MAX(0,(Inputs!$B$3-100)*3)+Inputs!$B$28+Inputs!$B$29)))</f>
        <v/>
      </c>
      <c r="E1853">
        <f>INDEX(FactorTable!$B$2:$Y$301, MATCH(ROUND(MIN(300,MAX(1,D1853)),0), FactorTable!$A$2:$A$301,0), Skills!M17+1)</f>
        <v/>
      </c>
      <c r="F1853">
        <f>IF(Skills!N17=TRUE,(Skills!L17/10)*(E1853/1000),Skills!L17/10)+Skills!O17</f>
        <v/>
      </c>
      <c r="G1853">
        <f>Calc!G17</f>
        <v/>
      </c>
      <c r="H1853">
        <f>Calc!H17</f>
        <v/>
      </c>
      <c r="I1853">
        <f>IF(Skills!AA17&lt;&gt;"",1+(Skills!AA17/10)*(U1839/1000)/100,1)</f>
        <v/>
      </c>
      <c r="J1853">
        <f>((Inputs!$B$6*(1+Inputs!$B$7/100))+(((Inputs!$B$12*(1+Inputs!$B$13/100))-(Inputs!$B$12*(1+Inputs!$B$13/100)))+0.25*(Inputs!$B$14-Inputs!$B$14))*(1+Inputs!$B$7/100))*(F1853/100)</f>
        <v/>
      </c>
      <c r="K1853">
        <f>J1853*(1+((Inputs!$B$12*(1+Inputs!$B$13/100))*0.01+Inputs!$B$14*0.0025)/100)*(1+Inputs!$B$15/100)*(1+Inputs!$B$16/100)*(5000/(6000+Inputs!$B$43*(1-(100*(1-(1-(Inputs!$B$19+0)/100)*(1-CHOOSE(ArtifactsInput!$N$40+1,5,6,7,8,9,10)/100)^(ArtifactsInput!$M$40-ArtifactsInput!$M$40)))/100)))*(1+(Inputs!$B$24+((C1866=TRUE)*(F1866-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1859=TRUE)*(F1859-Calc!F23))+(((IF(AND(ArtifactsInput!$M$42,((Inputs!$B$9+((C1861=TRUE)*(F1861-Calc!F25))+B1876+(ArtifactsInput!$M$24-ArtifactsInput!$M$24)*CHOOSE(ArtifactsInput!$N$24+1,10,12,14,16,18,20)+IF(ArtifactsInput!$M$10,CHOOSE(ArtifactsInput!$N$10+1,15,18,21,24,27,30)*(IF(Inputs!$B$39="pvp",MIN(15,15)/15,IF(AND(Inputs!$B$39&lt;&gt;"pvp",Inputs!$B$44&gt;0),MIN(15,Inputs!$B$44)/(Inputs!$B$44),0))),0)))&gt;=100),MIN(100,((Inputs!$B$9+((C1861=TRUE)*(F1861-Calc!F25))+B1876+(ArtifactsInput!$M$24-ArtifactsInput!$M$24)*CHOOSE(ArtifactsInput!$N$24+1,10,12,14,16,18,20)+IF(ArtifactsInput!$M$10,CHOOSE(ArtifactsInput!$N$10+1,15,18,21,24,27,30)*(IF(Inputs!$B$39="pvp",MIN(15,15)/15,IF(AND(Inputs!$B$39&lt;&gt;"pvp",Inputs!$B$44&gt;0),MIN(15,Inputs!$B$44)/(Inputs!$B$44),0))),0)))-100),0))*CHOOSE(ArtifactsInput!$N$42+1,0.6,0.72,0.84,0.96,1.08,1.2))),Inputs!$B$18+((C1865=TRUE)*(F1865-Calc!F29))+(IF(AND(ArtifactsInput!$M$42,((Inputs!$B$9+((C1861=TRUE)*(F1861-Calc!F25))+B1876+(ArtifactsInput!$M$24-ArtifactsInput!$M$24)*CHOOSE(ArtifactsInput!$N$24+1,10,12,14,16,18,20)+IF(ArtifactsInput!$M$10,CHOOSE(ArtifactsInput!$N$10+1,15,18,21,24,27,30)*(IF(Inputs!$B$39="pvp",MIN(15,15)/15,IF(AND(Inputs!$B$39&lt;&gt;"pvp",Inputs!$B$44&gt;0),MIN(15,Inputs!$B$44)/(Inputs!$B$44),0))),0)))&gt;=100),CHOOSE(ArtifactsInput!$N$42+1,40,48,56,64,72,80),0))))/100)*(((1+(((C1857=TRUE)*F1857*IF(AND(Inputs!$B$39&lt;&gt;"pvp",Inputs!$B$44&gt;0),(((R1857-1)*(Skills!Y21*(1+Inputs!$B$34/100))+MIN((Skills!Y21*(1+Inputs!$B$34/100)),MAX(0,Inputs!$B$44-((R1857-1)*Skills!D21))))/Inputs!$B$44),IF(Inputs!$B$39="pvp",MIN((Skills!Y21*(1+Inputs!$B$34/100)),15)/15,(Skills!Y21*(1+Inputs!$B$34/100))/Skills!D21)))+((C1864=TRUE)*(F1864-Calc!F28))+((C1854=TRUE)*(F1854-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1851=TRUE)*F1851*IF(AND(Inputs!$B$39&lt;&gt;"pvp",Inputs!$B$44&gt;0),(((R1851-1)*(Skills!Y15*(1+Inputs!$B$34/100))+MIN((Skills!Y15*(1+Inputs!$B$34/100)),MAX(0,Inputs!$B$44-((R1851-1)*Skills!D15))))/Inputs!$B$44),IF(Inputs!$B$39="pvp",MIN((Skills!Y15*(1+Inputs!$B$34/100)),15)/15,(Skills!Y15*(1+Inputs!$B$34/100))/Skills!D15)))/100)*(1+((C1842=TRUE)*F1842*B1870)/100))*B1878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1853)</f>
        <v/>
      </c>
      <c r="L1853">
        <f>K1853*(MIN(Inputs!$B$22+((C1860=TRUE)*(F1860-Calc!F24)),(Inputs!$B$23+0+((IF(IF(ArtifactsInput!$M$15,FALSE,TRUE),1,-1)*CHOOSE(ArtifactsInput!$N$15+1,25,30,35,40,45,50)/100*IF(IF(ArtifactsInput!$M$15,FALSE,TRUE),(Inputs!$B$11+((C1858=TRUE)*(F1858-Calc!F22))+(IF(ArtifactsInput!$M$15,FALSE,TRUE)-ArtifactsInput!$M$15)*CHOOSE(ArtifactsInput!$N$15+1,8,9.6,11.2,12.8,14.4,16)),Inputs!$B$11)))))/100+(Inputs!$B$23+0+((IF(IF(ArtifactsInput!$M$15,FALSE,TRUE),1,-1)*CHOOSE(ArtifactsInput!$N$15+1,25,30,35,40,45,50)/100*IF(IF(ArtifactsInput!$M$15,FALSE,TRUE),(Inputs!$B$11+((C1858=TRUE)*(F1858-Calc!F22))+(IF(ArtifactsInput!$M$15,FALSE,TRUE)-ArtifactsInput!$M$15)*CHOOSE(ArtifactsInput!$N$15+1,8,9.6,11.2,12.8,14.4,16)),Inputs!$B$11))))/100)/2</f>
        <v/>
      </c>
      <c r="M1853">
        <f>L1853*(1+(Inputs!$B$10+((C1862=TRUE)*(F1862-Calc!F26))+B1879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53">
        <f>L1853*(1-MIN((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1853*(MIN((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53">
        <f>(1-Summary!$B$11)*T1853+Summary!$B$11*V1853</f>
        <v/>
      </c>
      <c r="P1853">
        <f>IF(B1880=0,0,O1853/B1880)</f>
        <v/>
      </c>
      <c r="Q1853" t="n">
        <v>0</v>
      </c>
      <c r="R1853" t="n">
        <v>0</v>
      </c>
      <c r="S1853">
        <f>IFERROR(O1853/N1853,0)</f>
        <v/>
      </c>
      <c r="T1853">
        <f>IF(C1853,(Inputs!$B$38*0.2*N1853)*IF(Inputs!$B$39="pvp",1,1+(Inputs!$B$20+((C1863=TRUE)*(F1863-Calc!F27))+Skills!P17+B1877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Hunt"),CHOOSE(ArtifactsInput!$N$35+1,15,18,21,24,27,30)*(1-EXP(-(0.2*B1872)*5)),0)+IF(AND(ArtifactsInput!$M$22,Inputs!$B$4&lt;&gt;"Chapter Hunt"),CHOOSE(ArtifactsInput!$N$22+1,10,12,14,16,18,20)*((0*(((0.15*B1872*5))^0/1)+1*(((0.15*B1872*5))^1/1)+2*(((0.15*B1872*5))^2/2)+3*(((0.15*B1872*5))^3/6)+4*(((0.15*B1872*5))^4/24)+5*(((0.15*B1872*5))^5/120))/((((0.15*B1872*5))^0/1)+(((0.15*B1872*5))^1/1)+(((0.15*B1872*5))^2/2)+(((0.15*B1872*5))^3/6)+(((0.15*B1872*5))^4/24)+(((0.15*B1872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1853*(1-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1853*(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1853*(1-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1853*(MIN(100,(Inputs!$B$9+((C1861=TRUE)*(F1861-Calc!F25))+B1876+(ArtifactsInput!$M$24-ArtifactsInput!$M$24)*CHOOSE(ArtifactsInput!$N$24+1,10,12,14,16,18,20)+(IF(AND(ArtifactsInput!$M$42,((Inputs!$B$9+((C1861=TRUE)*(F1861-Calc!F25))+B1876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53">
        <f>IF(C1853,(Inputs!$B$38*0.2*N1853)*IF(Inputs!$B$39="pvp",1,(1+(Inputs!$B$21+Skills!Q17+B1877+(IF(ArtifactsInput!$M$33,CHOOSE(ArtifactsInput!$N$33+1,30,36,42,48,54,60),0))+(IF(AND(ArtifactsInput!$M$35,Inputs!$B$4&lt;&gt;"Chapter Hunt"),CHOOSE(ArtifactsInput!$N$35+1,15,18,21,24,27,30)*(1-EXP(-(0.2*B1872)*5)),0)+IF(AND(ArtifactsInput!$M$22,Inputs!$B$4&lt;&gt;"Chapter Hunt"),CHOOSE(ArtifactsInput!$N$22+1,10,12,14,16,18,20)*((0*(((0.15*B1872*5))^0/1)+1*(((0.15*B1872*5))^1/1)+2*(((0.15*B1872*5))^2/2)+3*(((0.15*B1872*5))^3/6)+4*(((0.15*B1872*5))^4/24)+5*(((0.15*B1872*5))^5/120))/((((0.15*B1872*5))^0/1)+(((0.15*B1872*5))^1/1)+(((0.15*B1872*5))^2/2)+(((0.15*B1872*5))^3/6)+(((0.15*B1872*5))^4/24)+(((0.15*B1872*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54">
      <c r="A1854">
        <f>Skills!A18</f>
        <v/>
      </c>
      <c r="B1854">
        <f>Skills!B18</f>
        <v/>
      </c>
      <c r="C1854">
        <f>Inputs!$B$3&gt;=115</f>
        <v/>
      </c>
      <c r="D1854">
        <f>IF(Skills!C18=1,60+Inputs!$B$25+Inputs!$B$29,IF(Skills!C18=2,90+Inputs!$B$26+Inputs!$B$29,IF(Skills!C18=3,120+Inputs!$B$27+Inputs!$B$29,MAX(0,(Inputs!$B$3-100)*3)+Inputs!$B$28+Inputs!$B$29)))</f>
        <v/>
      </c>
      <c r="E1854">
        <f>INDEX(FactorTable!$B$2:$Y$301, MATCH(ROUND(MIN(300,MAX(1,D1854)),0), FactorTable!$A$2:$A$301,0), Skills!M18+1)</f>
        <v/>
      </c>
      <c r="F1854">
        <f>IF(Skills!N18=TRUE,(Skills!L18/10)*(E1854/1000),Skills!L18/10)+Skills!O18</f>
        <v/>
      </c>
      <c r="G1854">
        <f>Calc!G18</f>
        <v/>
      </c>
      <c r="H1854">
        <f>Calc!H18</f>
        <v/>
      </c>
      <c r="I1854">
        <f>IF(Skills!AA18&lt;&gt;"",1+(Skills!AA18/10)*(U1839/1000)/100,1)</f>
        <v/>
      </c>
      <c r="J1854" t="inlineStr"/>
      <c r="K1854" t="inlineStr"/>
      <c r="L1854" t="inlineStr"/>
      <c r="M1854" t="inlineStr"/>
      <c r="N1854" t="inlineStr"/>
      <c r="O1854">
        <f>(1-Summary!$B$11)*T1854+Summary!$B$11*V1854</f>
        <v/>
      </c>
      <c r="P1854">
        <f>IF(B1880=0,0,O1854/B1880)</f>
        <v/>
      </c>
      <c r="Q1854" t="n">
        <v>0</v>
      </c>
      <c r="R1854" t="n">
        <v>0</v>
      </c>
      <c r="S1854">
        <f>IFERROR(O1854/N1854,0)</f>
        <v/>
      </c>
      <c r="T1854" t="n">
        <v>0</v>
      </c>
      <c r="V1854" t="n">
        <v>0</v>
      </c>
    </row>
    <row r="1855">
      <c r="A1855">
        <f>Skills!A19</f>
        <v/>
      </c>
      <c r="B1855">
        <f>Skills!B19</f>
        <v/>
      </c>
      <c r="C1855">
        <f>TRUE</f>
        <v/>
      </c>
      <c r="D1855">
        <f>IF(Skills!C19=1,60+Inputs!$B$25+Inputs!$B$29,IF(Skills!C19=2,90+Inputs!$B$26+Inputs!$B$29,IF(Skills!C19=3,120+Inputs!$B$27+Inputs!$B$29,MAX(0,(Inputs!$B$3-100)*3)+Inputs!$B$28+Inputs!$B$29)))</f>
        <v/>
      </c>
      <c r="E1855">
        <f>INDEX(FactorTable!$B$2:$Y$301, MATCH(ROUND(MIN(300,MAX(1,D1855)),0), FactorTable!$A$2:$A$301,0), Skills!M19+1)</f>
        <v/>
      </c>
      <c r="F1855">
        <f>IF(Skills!N19=TRUE,(Skills!L19/10)*(E1855/1000),Skills!L19/10)+Skills!O19</f>
        <v/>
      </c>
      <c r="G1855">
        <f>Calc!G19</f>
        <v/>
      </c>
      <c r="H1855">
        <f>Calc!H19</f>
        <v/>
      </c>
      <c r="I1855">
        <f>IF(Skills!AA19&lt;&gt;"",1+(Skills!AA19/10)*(U1839/1000)/100,1)</f>
        <v/>
      </c>
      <c r="J1855" t="inlineStr"/>
      <c r="K1855" t="inlineStr"/>
      <c r="L1855" t="inlineStr"/>
      <c r="M1855" t="inlineStr"/>
      <c r="N1855" t="inlineStr"/>
      <c r="O1855">
        <f>(1-Summary!$B$11)*T1855+Summary!$B$11*V1855</f>
        <v/>
      </c>
      <c r="P1855">
        <f>IF(B1880=0,0,O1855/B1880)</f>
        <v/>
      </c>
      <c r="Q1855">
        <f>IFERROR(1/IF(Inputs!$B$39="pvp",15,MAX(0.1,Skills!D19-IF(Skills!E19=TRUE,Inputs!$B$32,0))),0)</f>
        <v/>
      </c>
      <c r="R1855">
        <f>IF(AND(Inputs!$B$39&lt;&gt;"pvp",Inputs!$B$44&gt;0),IF(Inputs!$B$44&lt;=0,0,(INT(Inputs!$B$44/IF(Inputs!$B$39="pvp",15,MAX(0.1,Skills!D19-IF(Skills!E19=TRUE,Inputs!$B$32,0))))+1)),0)</f>
        <v/>
      </c>
      <c r="S1855">
        <f>IFERROR(O1855/N1855,0)</f>
        <v/>
      </c>
      <c r="T1855" t="n">
        <v>0</v>
      </c>
      <c r="V1855" t="n">
        <v>0</v>
      </c>
    </row>
    <row r="1856">
      <c r="A1856">
        <f>Skills!A20</f>
        <v/>
      </c>
      <c r="B1856">
        <f>Skills!B20</f>
        <v/>
      </c>
      <c r="C1856">
        <f>Inputs!$B$3&gt;=15</f>
        <v/>
      </c>
      <c r="D1856">
        <f>IF(Skills!C20=1,60+Inputs!$B$25+Inputs!$B$29,IF(Skills!C20=2,90+Inputs!$B$26+Inputs!$B$29,IF(Skills!C20=3,120+Inputs!$B$27+Inputs!$B$29,MAX(0,(Inputs!$B$3-100)*3)+Inputs!$B$28+Inputs!$B$29)))</f>
        <v/>
      </c>
      <c r="E1856">
        <f>INDEX(FactorTable!$B$2:$Y$301, MATCH(ROUND(MIN(300,MAX(1,D1856)),0), FactorTable!$A$2:$A$301,0), Skills!M20+1)</f>
        <v/>
      </c>
      <c r="F1856">
        <f>IF(Skills!N20=TRUE,(Skills!L20/10)*(E1856/1000),Skills!L20/10)+Skills!O20</f>
        <v/>
      </c>
      <c r="G1856">
        <f>Calc!G20</f>
        <v/>
      </c>
      <c r="H1856">
        <f>Calc!H20</f>
        <v/>
      </c>
      <c r="I1856">
        <f>IF(Skills!AA20&lt;&gt;"",1+(Skills!AA20/10)*(U1839/1000)/100,1)</f>
        <v/>
      </c>
      <c r="J1856" t="inlineStr"/>
      <c r="K1856" t="inlineStr"/>
      <c r="L1856" t="inlineStr"/>
      <c r="M1856" t="inlineStr"/>
      <c r="N1856" t="inlineStr"/>
      <c r="O1856">
        <f>(1-Summary!$B$11)*T1856+Summary!$B$11*V1856</f>
        <v/>
      </c>
      <c r="P1856">
        <f>IF(B1880=0,0,O1856/B1880)</f>
        <v/>
      </c>
      <c r="Q1856">
        <f>IFERROR(1/IF(Inputs!$B$39="pvp",15,MAX(0.1,Skills!D20-IF(Skills!E20=TRUE,Inputs!$B$32,0))),0)</f>
        <v/>
      </c>
      <c r="R1856">
        <f>IF(AND(Inputs!$B$39&lt;&gt;"pvp",Inputs!$B$44&gt;0),IF(Inputs!$B$44&lt;=0,0,(INT(Inputs!$B$44/IF(Inputs!$B$39="pvp",15,MAX(0.1,Skills!D20-IF(Skills!E20=TRUE,Inputs!$B$32,0))))+1)),0)</f>
        <v/>
      </c>
      <c r="S1856">
        <f>IFERROR(O1856/N1856,0)</f>
        <v/>
      </c>
      <c r="T1856" t="n">
        <v>0</v>
      </c>
      <c r="V1856" t="n">
        <v>0</v>
      </c>
    </row>
    <row r="1857">
      <c r="A1857">
        <f>Skills!A21</f>
        <v/>
      </c>
      <c r="B1857">
        <f>Skills!B21</f>
        <v/>
      </c>
      <c r="C1857">
        <f>Inputs!$B$3&gt;=15</f>
        <v/>
      </c>
      <c r="D1857">
        <f>IF(Skills!C21=1,60+Inputs!$B$25+Inputs!$B$29,IF(Skills!C21=2,90+Inputs!$B$26+Inputs!$B$29,IF(Skills!C21=3,120+Inputs!$B$27+Inputs!$B$29,MAX(0,(Inputs!$B$3-100)*3)+Inputs!$B$28+Inputs!$B$29)))</f>
        <v/>
      </c>
      <c r="E1857">
        <f>INDEX(FactorTable!$B$2:$Y$301, MATCH(ROUND(MIN(300,MAX(1,D1857)),0), FactorTable!$A$2:$A$301,0), Skills!M21+1)</f>
        <v/>
      </c>
      <c r="F1857">
        <f>IF(Skills!N21=TRUE,(Skills!L21/10)*(E1857/1000),Skills!L21/10)+Skills!O21</f>
        <v/>
      </c>
      <c r="G1857">
        <f>Calc!G21</f>
        <v/>
      </c>
      <c r="H1857">
        <f>Calc!H21</f>
        <v/>
      </c>
      <c r="I1857">
        <f>IF(Skills!AA21&lt;&gt;"",1+(Skills!AA21/10)*(U1839/1000)/100,1)</f>
        <v/>
      </c>
      <c r="J1857" t="inlineStr"/>
      <c r="K1857" t="inlineStr"/>
      <c r="L1857" t="inlineStr"/>
      <c r="M1857" t="inlineStr"/>
      <c r="N1857" t="inlineStr"/>
      <c r="O1857">
        <f>(1-Summary!$B$11)*T1857+Summary!$B$11*V1857</f>
        <v/>
      </c>
      <c r="P1857">
        <f>IF(B1880=0,0,O1857/B1880)</f>
        <v/>
      </c>
      <c r="Q1857">
        <f>IFERROR(1/IF(Inputs!$B$39="pvp",15,MAX(0.1,Skills!D21-IF(Skills!E21=TRUE,Inputs!$B$32,0))),0)</f>
        <v/>
      </c>
      <c r="R1857">
        <f>IF(AND(Inputs!$B$39&lt;&gt;"pvp",Inputs!$B$44&gt;0),IF(Inputs!$B$44&lt;=0,0,(INT(Inputs!$B$44/IF(Inputs!$B$39="pvp",15,MAX(0.1,Skills!D21-IF(Skills!E21=TRUE,Inputs!$B$32,0))))+1)),0)</f>
        <v/>
      </c>
      <c r="S1857">
        <f>IFERROR(O1857/N1857,0)</f>
        <v/>
      </c>
      <c r="T1857" t="n">
        <v>0</v>
      </c>
      <c r="V1857" t="n">
        <v>0</v>
      </c>
    </row>
    <row r="1858">
      <c r="A1858">
        <f>Skills!A22</f>
        <v/>
      </c>
      <c r="B1858">
        <f>Skills!B22</f>
        <v/>
      </c>
      <c r="C1858">
        <f>Inputs!$B$3&gt;=33</f>
        <v/>
      </c>
      <c r="D1858">
        <f>IF(Skills!C22=1,60+Inputs!$B$25+Inputs!$B$29,IF(Skills!C22=2,90+Inputs!$B$26+Inputs!$B$29,IF(Skills!C22=3,120+Inputs!$B$27+Inputs!$B$29,MAX(0,(Inputs!$B$3-100)*3)+Inputs!$B$28+Inputs!$B$29)))</f>
        <v/>
      </c>
      <c r="E1858">
        <f>INDEX(FactorTable!$B$2:$Y$301, MATCH(ROUND(MIN(300,MAX(1,D1858)),0), FactorTable!$A$2:$A$301,0), Skills!M22+1)</f>
        <v/>
      </c>
      <c r="F1858">
        <f>IF(Skills!N22=TRUE,(Skills!L22/10)*(E1858/1000),Skills!L22/10)+Skills!O22</f>
        <v/>
      </c>
      <c r="G1858">
        <f>Calc!G22</f>
        <v/>
      </c>
      <c r="H1858">
        <f>Calc!H22</f>
        <v/>
      </c>
      <c r="I1858">
        <f>IF(Skills!AA22&lt;&gt;"",1+(Skills!AA22/10)*(U1839/1000)/100,1)</f>
        <v/>
      </c>
      <c r="J1858" t="inlineStr"/>
      <c r="K1858" t="inlineStr"/>
      <c r="L1858" t="inlineStr"/>
      <c r="M1858" t="inlineStr"/>
      <c r="N1858" t="inlineStr"/>
      <c r="O1858">
        <f>(1-Summary!$B$11)*T1858+Summary!$B$11*V1858</f>
        <v/>
      </c>
      <c r="P1858">
        <f>IF(B1880=0,0,O1858/B1880)</f>
        <v/>
      </c>
      <c r="Q1858" t="n">
        <v>0</v>
      </c>
      <c r="R1858" t="n">
        <v>0</v>
      </c>
      <c r="S1858">
        <f>IFERROR(O1858/N1858,0)</f>
        <v/>
      </c>
      <c r="T1858" t="n">
        <v>0</v>
      </c>
      <c r="V1858" t="n">
        <v>0</v>
      </c>
    </row>
    <row r="1859">
      <c r="A1859">
        <f>Skills!A23</f>
        <v/>
      </c>
      <c r="B1859">
        <f>Skills!B23</f>
        <v/>
      </c>
      <c r="C1859">
        <f>Inputs!$B$3&gt;=38</f>
        <v/>
      </c>
      <c r="D1859">
        <f>IF(Skills!C23=1,60+Inputs!$B$25+Inputs!$B$29,IF(Skills!C23=2,90+Inputs!$B$26+Inputs!$B$29,IF(Skills!C23=3,120+Inputs!$B$27+Inputs!$B$29,MAX(0,(Inputs!$B$3-100)*3)+Inputs!$B$28+Inputs!$B$29)))</f>
        <v/>
      </c>
      <c r="E1859">
        <f>INDEX(FactorTable!$B$2:$Y$301, MATCH(ROUND(MIN(300,MAX(1,D1859)),0), FactorTable!$A$2:$A$301,0), Skills!M23+1)</f>
        <v/>
      </c>
      <c r="F1859">
        <f>IF(Skills!N23=TRUE,(Skills!L23/10)*(E1859/1000),Skills!L23/10)+Skills!O23</f>
        <v/>
      </c>
      <c r="G1859">
        <f>Calc!G23</f>
        <v/>
      </c>
      <c r="H1859">
        <f>Calc!H23</f>
        <v/>
      </c>
      <c r="I1859">
        <f>IF(Skills!AA23&lt;&gt;"",1+(Skills!AA23/10)*(U1839/1000)/100,1)</f>
        <v/>
      </c>
      <c r="J1859" t="inlineStr"/>
      <c r="K1859" t="inlineStr"/>
      <c r="L1859" t="inlineStr"/>
      <c r="M1859" t="inlineStr"/>
      <c r="N1859" t="inlineStr"/>
      <c r="O1859">
        <f>(1-Summary!$B$11)*T1859+Summary!$B$11*V1859</f>
        <v/>
      </c>
      <c r="P1859">
        <f>IF(B1880=0,0,O1859/B1880)</f>
        <v/>
      </c>
      <c r="Q1859" t="n">
        <v>0</v>
      </c>
      <c r="R1859" t="n">
        <v>0</v>
      </c>
      <c r="S1859">
        <f>IFERROR(O1859/N1859,0)</f>
        <v/>
      </c>
      <c r="T1859" t="n">
        <v>0</v>
      </c>
      <c r="V1859" t="n">
        <v>0</v>
      </c>
    </row>
    <row r="1860">
      <c r="A1860">
        <f>Skills!A24</f>
        <v/>
      </c>
      <c r="B1860">
        <f>Skills!B24</f>
        <v/>
      </c>
      <c r="C1860">
        <f>Inputs!$B$3&gt;=40</f>
        <v/>
      </c>
      <c r="D1860">
        <f>IF(Skills!C24=1,60+Inputs!$B$25+Inputs!$B$29,IF(Skills!C24=2,90+Inputs!$B$26+Inputs!$B$29,IF(Skills!C24=3,120+Inputs!$B$27+Inputs!$B$29,MAX(0,(Inputs!$B$3-100)*3)+Inputs!$B$28+Inputs!$B$29)))</f>
        <v/>
      </c>
      <c r="E1860">
        <f>INDEX(FactorTable!$B$2:$Y$301, MATCH(ROUND(MIN(300,MAX(1,D1860)),0), FactorTable!$A$2:$A$301,0), Skills!M24+1)</f>
        <v/>
      </c>
      <c r="F1860">
        <f>IF(Skills!N24=TRUE,(Skills!L24/10)*(E1860/1000),Skills!L24/10)+Skills!O24</f>
        <v/>
      </c>
      <c r="G1860">
        <f>Calc!G24</f>
        <v/>
      </c>
      <c r="H1860">
        <f>Calc!H24</f>
        <v/>
      </c>
      <c r="I1860">
        <f>IF(Skills!AA24&lt;&gt;"",1+(Skills!AA24/10)*(U1839/1000)/100,1)</f>
        <v/>
      </c>
      <c r="J1860" t="inlineStr"/>
      <c r="K1860" t="inlineStr"/>
      <c r="L1860" t="inlineStr"/>
      <c r="M1860" t="inlineStr"/>
      <c r="N1860" t="inlineStr"/>
      <c r="O1860">
        <f>(1-Summary!$B$11)*T1860+Summary!$B$11*V1860</f>
        <v/>
      </c>
      <c r="P1860">
        <f>IF(B1880=0,0,O1860/B1880)</f>
        <v/>
      </c>
      <c r="Q1860" t="n">
        <v>0</v>
      </c>
      <c r="R1860" t="n">
        <v>0</v>
      </c>
      <c r="S1860">
        <f>IFERROR(O1860/N1860,0)</f>
        <v/>
      </c>
      <c r="T1860" t="n">
        <v>0</v>
      </c>
      <c r="V1860" t="n">
        <v>0</v>
      </c>
    </row>
    <row r="1861">
      <c r="A1861">
        <f>Skills!A25</f>
        <v/>
      </c>
      <c r="B1861">
        <f>Skills!B25</f>
        <v/>
      </c>
      <c r="C1861">
        <f>Inputs!$B$3&gt;=45</f>
        <v/>
      </c>
      <c r="D1861">
        <f>IF(Skills!C25=1,60+Inputs!$B$25+Inputs!$B$29,IF(Skills!C25=2,90+Inputs!$B$26+Inputs!$B$29,IF(Skills!C25=3,120+Inputs!$B$27+Inputs!$B$29,MAX(0,(Inputs!$B$3-100)*3)+Inputs!$B$28+Inputs!$B$29)))</f>
        <v/>
      </c>
      <c r="E1861">
        <f>INDEX(FactorTable!$B$2:$Y$301, MATCH(ROUND(MIN(300,MAX(1,D1861)),0), FactorTable!$A$2:$A$301,0), Skills!M25+1)</f>
        <v/>
      </c>
      <c r="F1861">
        <f>IF(Skills!N25=TRUE,(Skills!L25/10)*(E1861/1000),Skills!L25/10)+Skills!O25</f>
        <v/>
      </c>
      <c r="G1861">
        <f>Calc!G25</f>
        <v/>
      </c>
      <c r="H1861">
        <f>Calc!H25</f>
        <v/>
      </c>
      <c r="I1861">
        <f>IF(Skills!AA25&lt;&gt;"",1+(Skills!AA25/10)*(U1839/1000)/100,1)</f>
        <v/>
      </c>
      <c r="J1861" t="inlineStr"/>
      <c r="K1861" t="inlineStr"/>
      <c r="L1861" t="inlineStr"/>
      <c r="M1861" t="inlineStr"/>
      <c r="N1861" t="inlineStr"/>
      <c r="O1861">
        <f>(1-Summary!$B$11)*T1861+Summary!$B$11*V1861</f>
        <v/>
      </c>
      <c r="P1861">
        <f>IF(B1880=0,0,O1861/B1880)</f>
        <v/>
      </c>
      <c r="Q1861" t="n">
        <v>0</v>
      </c>
      <c r="R1861" t="n">
        <v>0</v>
      </c>
      <c r="S1861">
        <f>IFERROR(O1861/N1861,0)</f>
        <v/>
      </c>
      <c r="T1861" t="n">
        <v>0</v>
      </c>
      <c r="V1861" t="n">
        <v>0</v>
      </c>
    </row>
    <row r="1862">
      <c r="A1862">
        <f>Skills!A26</f>
        <v/>
      </c>
      <c r="B1862">
        <f>Skills!B26</f>
        <v/>
      </c>
      <c r="C1862">
        <f>Inputs!$B$3&gt;=45</f>
        <v/>
      </c>
      <c r="D1862">
        <f>IF(Skills!C26=1,60+Inputs!$B$25+Inputs!$B$29,IF(Skills!C26=2,90+Inputs!$B$26+Inputs!$B$29,IF(Skills!C26=3,120+Inputs!$B$27+Inputs!$B$29,MAX(0,(Inputs!$B$3-100)*3)+Inputs!$B$28+Inputs!$B$29)))</f>
        <v/>
      </c>
      <c r="E1862">
        <f>INDEX(FactorTable!$B$2:$Y$301, MATCH(ROUND(MIN(300,MAX(1,D1862)),0), FactorTable!$A$2:$A$301,0), Skills!M26+1)</f>
        <v/>
      </c>
      <c r="F1862">
        <f>IF(Skills!N26=TRUE,(Skills!L26/10)*(E1862/1000),Skills!L26/10)+Skills!O26</f>
        <v/>
      </c>
      <c r="G1862">
        <f>Calc!G26</f>
        <v/>
      </c>
      <c r="H1862">
        <f>Calc!H26</f>
        <v/>
      </c>
      <c r="I1862">
        <f>IF(Skills!AA26&lt;&gt;"",1+(Skills!AA26/10)*(U1839/1000)/100,1)</f>
        <v/>
      </c>
      <c r="J1862" t="inlineStr"/>
      <c r="K1862" t="inlineStr"/>
      <c r="L1862" t="inlineStr"/>
      <c r="M1862" t="inlineStr"/>
      <c r="N1862" t="inlineStr"/>
      <c r="O1862">
        <f>(1-Summary!$B$11)*T1862+Summary!$B$11*V1862</f>
        <v/>
      </c>
      <c r="P1862">
        <f>IF(B1880=0,0,O1862/B1880)</f>
        <v/>
      </c>
      <c r="Q1862" t="n">
        <v>0</v>
      </c>
      <c r="R1862" t="n">
        <v>0</v>
      </c>
      <c r="S1862">
        <f>IFERROR(O1862/N1862,0)</f>
        <v/>
      </c>
      <c r="T1862" t="n">
        <v>0</v>
      </c>
      <c r="V1862" t="n">
        <v>0</v>
      </c>
    </row>
    <row r="1863">
      <c r="A1863">
        <f>Skills!A27</f>
        <v/>
      </c>
      <c r="B1863">
        <f>Skills!B27</f>
        <v/>
      </c>
      <c r="C1863">
        <f>Inputs!$B$3&gt;=72</f>
        <v/>
      </c>
      <c r="D1863">
        <f>IF(Skills!C27=1,60+Inputs!$B$25+Inputs!$B$29,IF(Skills!C27=2,90+Inputs!$B$26+Inputs!$B$29,IF(Skills!C27=3,120+Inputs!$B$27+Inputs!$B$29,MAX(0,(Inputs!$B$3-100)*3)+Inputs!$B$28+Inputs!$B$29)))</f>
        <v/>
      </c>
      <c r="E1863">
        <f>INDEX(FactorTable!$B$2:$Y$301, MATCH(ROUND(MIN(300,MAX(1,D1863)),0), FactorTable!$A$2:$A$301,0), Skills!M27+1)</f>
        <v/>
      </c>
      <c r="F1863">
        <f>IF(Skills!N27=TRUE,(Skills!L27/10)*(E1863/1000),Skills!L27/10)+Skills!O27</f>
        <v/>
      </c>
      <c r="G1863">
        <f>Calc!G27</f>
        <v/>
      </c>
      <c r="H1863">
        <f>Calc!H27</f>
        <v/>
      </c>
      <c r="I1863">
        <f>IF(Skills!AA27&lt;&gt;"",1+(Skills!AA27/10)*(U1839/1000)/100,1)</f>
        <v/>
      </c>
      <c r="J1863" t="inlineStr"/>
      <c r="K1863" t="inlineStr"/>
      <c r="L1863" t="inlineStr"/>
      <c r="M1863" t="inlineStr"/>
      <c r="N1863" t="inlineStr"/>
      <c r="O1863">
        <f>(1-Summary!$B$11)*T1863+Summary!$B$11*V1863</f>
        <v/>
      </c>
      <c r="P1863">
        <f>IF(B1880=0,0,O1863/B1880)</f>
        <v/>
      </c>
      <c r="Q1863" t="n">
        <v>0</v>
      </c>
      <c r="R1863" t="n">
        <v>0</v>
      </c>
      <c r="S1863">
        <f>IFERROR(O1863/N1863,0)</f>
        <v/>
      </c>
      <c r="T1863" t="n">
        <v>0</v>
      </c>
      <c r="V1863" t="n">
        <v>0</v>
      </c>
    </row>
    <row r="1864">
      <c r="A1864">
        <f>Skills!A28</f>
        <v/>
      </c>
      <c r="B1864">
        <f>Skills!B28</f>
        <v/>
      </c>
      <c r="C1864">
        <f>Inputs!$B$3&gt;=75</f>
        <v/>
      </c>
      <c r="D1864">
        <f>IF(Skills!C28=1,60+Inputs!$B$25+Inputs!$B$29,IF(Skills!C28=2,90+Inputs!$B$26+Inputs!$B$29,IF(Skills!C28=3,120+Inputs!$B$27+Inputs!$B$29,MAX(0,(Inputs!$B$3-100)*3)+Inputs!$B$28+Inputs!$B$29)))</f>
        <v/>
      </c>
      <c r="E1864">
        <f>INDEX(FactorTable!$B$2:$Y$301, MATCH(ROUND(MIN(300,MAX(1,D1864)),0), FactorTable!$A$2:$A$301,0), Skills!M28+1)</f>
        <v/>
      </c>
      <c r="F1864">
        <f>IF(Skills!N28=TRUE,(Skills!L28/10)*(E1864/1000),Skills!L28/10)+Skills!O28</f>
        <v/>
      </c>
      <c r="G1864">
        <f>Calc!G28</f>
        <v/>
      </c>
      <c r="H1864">
        <f>Calc!H28</f>
        <v/>
      </c>
      <c r="I1864">
        <f>IF(Skills!AA28&lt;&gt;"",1+(Skills!AA28/10)*(U1839/1000)/100,1)</f>
        <v/>
      </c>
      <c r="J1864" t="inlineStr"/>
      <c r="K1864" t="inlineStr"/>
      <c r="L1864" t="inlineStr"/>
      <c r="M1864" t="inlineStr"/>
      <c r="N1864" t="inlineStr"/>
      <c r="O1864">
        <f>(1-Summary!$B$11)*T1864+Summary!$B$11*V1864</f>
        <v/>
      </c>
      <c r="P1864">
        <f>IF(B1880=0,0,O1864/B1880)</f>
        <v/>
      </c>
      <c r="Q1864" t="n">
        <v>0</v>
      </c>
      <c r="R1864" t="n">
        <v>0</v>
      </c>
      <c r="S1864">
        <f>IFERROR(O1864/N1864,0)</f>
        <v/>
      </c>
      <c r="T1864" t="n">
        <v>0</v>
      </c>
      <c r="V1864" t="n">
        <v>0</v>
      </c>
    </row>
    <row r="1865">
      <c r="A1865">
        <f>Skills!A29</f>
        <v/>
      </c>
      <c r="B1865">
        <f>Skills!B29</f>
        <v/>
      </c>
      <c r="C1865">
        <f>Inputs!$B$3&gt;=120</f>
        <v/>
      </c>
      <c r="D1865">
        <f>IF(Skills!C29=1,60+Inputs!$B$25+Inputs!$B$29,IF(Skills!C29=2,90+Inputs!$B$26+Inputs!$B$29,IF(Skills!C29=3,120+Inputs!$B$27+Inputs!$B$29,MAX(0,(Inputs!$B$3-100)*3)+Inputs!$B$28+Inputs!$B$29)))</f>
        <v/>
      </c>
      <c r="E1865">
        <f>INDEX(FactorTable!$B$2:$Y$301, MATCH(ROUND(MIN(300,MAX(1,D1865)),0), FactorTable!$A$2:$A$301,0), Skills!M29+1)</f>
        <v/>
      </c>
      <c r="F1865">
        <f>IF(Skills!N29=TRUE,(Skills!L29/10)*(E1865/1000),Skills!L29/10)+Skills!O29</f>
        <v/>
      </c>
      <c r="G1865">
        <f>Calc!G29</f>
        <v/>
      </c>
      <c r="H1865">
        <f>Calc!H29</f>
        <v/>
      </c>
      <c r="I1865">
        <f>IF(Skills!AA29&lt;&gt;"",1+(Skills!AA29/10)*(U1839/1000)/100,1)</f>
        <v/>
      </c>
      <c r="J1865" t="inlineStr"/>
      <c r="K1865" t="inlineStr"/>
      <c r="L1865" t="inlineStr"/>
      <c r="M1865" t="inlineStr"/>
      <c r="N1865" t="inlineStr"/>
      <c r="O1865">
        <f>(1-Summary!$B$11)*T1865+Summary!$B$11*V1865</f>
        <v/>
      </c>
      <c r="P1865">
        <f>IF(B1880=0,0,O1865/B1880)</f>
        <v/>
      </c>
      <c r="Q1865" t="n">
        <v>0</v>
      </c>
      <c r="R1865" t="n">
        <v>0</v>
      </c>
      <c r="S1865">
        <f>IFERROR(O1865/N1865,0)</f>
        <v/>
      </c>
      <c r="T1865" t="n">
        <v>0</v>
      </c>
      <c r="V1865" t="n">
        <v>0</v>
      </c>
    </row>
    <row r="1866">
      <c r="A1866">
        <f>Skills!A30</f>
        <v/>
      </c>
      <c r="B1866">
        <f>Skills!B30</f>
        <v/>
      </c>
      <c r="C1866">
        <f>Inputs!$B$3&gt;=125</f>
        <v/>
      </c>
      <c r="D1866">
        <f>IF(Skills!C30=1,60+Inputs!$B$25+Inputs!$B$29,IF(Skills!C30=2,90+Inputs!$B$26+Inputs!$B$29,IF(Skills!C30=3,120+Inputs!$B$27+Inputs!$B$29,MAX(0,(Inputs!$B$3-100)*3)+Inputs!$B$28+Inputs!$B$29)))</f>
        <v/>
      </c>
      <c r="E1866">
        <f>INDEX(FactorTable!$B$2:$Y$301, MATCH(ROUND(MIN(300,MAX(1,D1866)),0), FactorTable!$A$2:$A$301,0), Skills!M30+1)</f>
        <v/>
      </c>
      <c r="F1866">
        <f>IF(Skills!N30=TRUE,(Skills!L30/10)*(E1866/1000),Skills!L30/10)+Skills!O30</f>
        <v/>
      </c>
      <c r="G1866">
        <f>Calc!G30</f>
        <v/>
      </c>
      <c r="H1866">
        <f>Calc!H30</f>
        <v/>
      </c>
      <c r="I1866">
        <f>IF(Skills!AA30&lt;&gt;"",1+(Skills!AA30/10)*(U1839/1000)/100,1)</f>
        <v/>
      </c>
      <c r="J1866" t="inlineStr"/>
      <c r="K1866" t="inlineStr"/>
      <c r="L1866" t="inlineStr"/>
      <c r="M1866" t="inlineStr"/>
      <c r="N1866" t="inlineStr"/>
      <c r="O1866">
        <f>(1-Summary!$B$11)*T1866+Summary!$B$11*V1866</f>
        <v/>
      </c>
      <c r="P1866">
        <f>IF(B1880=0,0,O1866/B1880)</f>
        <v/>
      </c>
      <c r="Q1866" t="n">
        <v>0</v>
      </c>
      <c r="R1866" t="n">
        <v>0</v>
      </c>
      <c r="S1866">
        <f>IFERROR(O1866/N1866,0)</f>
        <v/>
      </c>
      <c r="T1866" t="n">
        <v>0</v>
      </c>
      <c r="V1866" t="n">
        <v>0</v>
      </c>
    </row>
    <row r="1867">
      <c r="A1867">
        <f>Skills!A31</f>
        <v/>
      </c>
      <c r="B1867">
        <f>Skills!B31</f>
        <v/>
      </c>
      <c r="C1867">
        <f>Inputs!$B$3&gt;=107</f>
        <v/>
      </c>
      <c r="D1867">
        <f>IF(Skills!C31=1,60+Inputs!$B$25+Inputs!$B$29,IF(Skills!C31=2,90+Inputs!$B$26+Inputs!$B$29,IF(Skills!C31=3,120+Inputs!$B$27+Inputs!$B$29,MAX(0,(Inputs!$B$3-100)*3)+Inputs!$B$28+Inputs!$B$29)))</f>
        <v/>
      </c>
      <c r="E1867">
        <f>INDEX(FactorTable!$B$2:$Y$301, MATCH(ROUND(MIN(300,MAX(1,D1867)),0), FactorTable!$A$2:$A$301,0), Skills!M31+1)</f>
        <v/>
      </c>
      <c r="F1867">
        <f>IF(Skills!N31=TRUE,(Skills!L31/10)*(E1867/1000),Skills!L31/10)+Skills!O31</f>
        <v/>
      </c>
      <c r="G1867">
        <f>Calc!G31</f>
        <v/>
      </c>
      <c r="H1867">
        <f>Calc!H31</f>
        <v/>
      </c>
      <c r="I1867">
        <f>IF(Skills!AA31&lt;&gt;"",1+(Skills!AA31/10)*(U1839/1000)/100,1)</f>
        <v/>
      </c>
      <c r="J1867" t="inlineStr"/>
      <c r="K1867" t="inlineStr"/>
      <c r="L1867" t="inlineStr"/>
      <c r="M1867" t="inlineStr"/>
      <c r="N1867" t="inlineStr"/>
      <c r="O1867">
        <f>(1-Summary!$B$11)*T1867+Summary!$B$11*V1867</f>
        <v/>
      </c>
      <c r="P1867">
        <f>IF(B1880=0,0,O1867/B1880)</f>
        <v/>
      </c>
      <c r="Q1867" t="n">
        <v>0</v>
      </c>
      <c r="R1867" t="n">
        <v>0</v>
      </c>
      <c r="S1867">
        <f>IFERROR(O1867/N1867,0)</f>
        <v/>
      </c>
      <c r="T1867" t="n">
        <v>0</v>
      </c>
      <c r="V1867" t="n">
        <v>0</v>
      </c>
    </row>
    <row r="1869">
      <c r="A1869" t="inlineStr">
        <is>
          <t>Actions Per Second (pre-Adrenalin)</t>
        </is>
      </c>
      <c r="B1869">
        <f>1+MIN(150,150*(1-(1-(Inputs!$B$11+((C1858=TRUE)*(F1858-Calc!F22))+(IF(ArtifactsInput!$M$15,FALSE,TRUE)-ArtifactsInput!$M$15)*CHOOSE(ArtifactsInput!$N$15+1,8,9.6,11.2,12.8,14.4,16))/150)*(1-((C1855=TRUE)*F1855*IF(AND(Inputs!$B$39&lt;&gt;"pvp",Inputs!$B$44&gt;0),(((R1855-1)*(Skills!Y19*(1+Inputs!$B$34/100))+MIN((Skills!Y19*(1+Inputs!$B$34/100)),MAX(0,Inputs!$B$44-((R1855-1)*Skills!D19))))/Inputs!$B$44),IF(Inputs!$B$39="pvp",MIN((Skills!Y19*(1+Inputs!$B$34/100)),15)/15,(Skills!Y19*(1+Inputs!$B$34/100))/Skills!D19)))/150)))/100</f>
        <v/>
      </c>
    </row>
    <row r="1870">
      <c r="A1870" t="inlineStr">
        <is>
          <t>Alchemic Adrenaline Uptime</t>
        </is>
      </c>
      <c r="B1870">
        <f>(Skills!Y6*(1+Inputs!$B$34/100))/((Skills!Y6*(1+Inputs!$B$34/100))+(5/B1869))</f>
        <v/>
      </c>
    </row>
    <row r="1871">
      <c r="A1871" t="inlineStr">
        <is>
          <t>Attack Speed Buff Bonus %</t>
        </is>
      </c>
      <c r="B1871">
        <f>((C1855=TRUE)*F1855*IF(AND(Inputs!$B$39&lt;&gt;"pvp",Inputs!$B$44&gt;0),(((R1855-1)*(Skills!Y19*(1+Inputs!$B$34/100))+MIN((Skills!Y19*(1+Inputs!$B$34/100)),MAX(0,Inputs!$B$44-((R1855-1)*Skills!D19))))/Inputs!$B$44),IF(Inputs!$B$39="pvp",MIN((Skills!Y19*(1+Inputs!$B$34/100)),15)/15,(Skills!Y19*(1+Inputs!$B$34/100))/Skills!D19)))+((C1843=TRUE)*F1843*B1870)</f>
        <v/>
      </c>
    </row>
    <row r="1872">
      <c r="A1872" t="inlineStr">
        <is>
          <t>Actions Per Second (final)</t>
        </is>
      </c>
      <c r="B1872">
        <f>1+MIN(150,150*(1-(1-(Inputs!$B$11+((C1858=TRUE)*(F1858-Calc!F22))+(IF(ArtifactsInput!$M$15,FALSE,TRUE)-ArtifactsInput!$M$15)*CHOOSE(ArtifactsInput!$N$15+1,8,9.6,11.2,12.8,14.4,16))/150)*(1-B1871/150)))/100</f>
        <v/>
      </c>
    </row>
    <row r="1873">
      <c r="A1873" t="inlineStr">
        <is>
          <t>Skill + Buff Cast Rate</t>
        </is>
      </c>
      <c r="B1873">
        <f>IF(AND(Inputs!$B$39&lt;&gt;"pvp",Inputs!$B$44&gt;0),SUMPRODUCT((Skills!E2:E31=TRUE)*(C1838:C1867=TRUE)*R1838:R1867*Skills!F2:F31)/Inputs!$B$44,SUMPRODUCT((Skills!E2:E31=TRUE)*(C1838:C1867=TRUE)*Q1838:Q1867*Skills!F2:F31))</f>
        <v/>
      </c>
    </row>
    <row r="1874">
      <c r="A1874" t="inlineStr">
        <is>
          <t>Showdown Casts Per Second</t>
        </is>
      </c>
      <c r="B1874">
        <f>MAX(0,B1872-B1873)</f>
        <v/>
      </c>
    </row>
    <row r="1875">
      <c r="A1875" t="inlineStr">
        <is>
          <t>Average Buff Multiplier</t>
        </is>
      </c>
      <c r="B1875">
        <f>(1+(((C1857=TRUE)*F1857*IF(AND(Inputs!$B$39&lt;&gt;"pvp",Inputs!$B$44&gt;0),(((R1857-1)*(Skills!Y21*(1+Inputs!$B$34/100))+MIN((Skills!Y21*(1+Inputs!$B$34/100)),MAX(0,Inputs!$B$44-((R1857-1)*Skills!D21))))/Inputs!$B$44),IF(Inputs!$B$39="pvp",MIN((Skills!Y21*(1+Inputs!$B$34/100)),15)/15,(Skills!Y21*(1+Inputs!$B$34/100))/Skills!D21)))+((C1864=TRUE)*(F1864-Calc!F28))+((C1854=TRUE)*(F1854-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1851=TRUE)*F1851*IF(AND(Inputs!$B$39&lt;&gt;"pvp",Inputs!$B$44&gt;0),(((R1851-1)*(Skills!Y15*(1+Inputs!$B$34/100))+MIN((Skills!Y15*(1+Inputs!$B$34/100)),MAX(0,Inputs!$B$44-((R1851-1)*Skills!D15))))/Inputs!$B$44),IF(Inputs!$B$39="pvp",MIN((Skills!Y15*(1+Inputs!$B$34/100)),15)/15,(Skills!Y15*(1+Inputs!$B$34/100))/Skills!D15)))/100)*(1+((C1842=TRUE)*F1842*B1870)/100)</f>
        <v/>
      </c>
    </row>
    <row r="1876">
      <c r="A1876" t="inlineStr">
        <is>
          <t>Global Crit Rate Bonus %</t>
        </is>
      </c>
      <c r="B1876">
        <f>IF(Inputs!$B$3&gt;=47,8,0)+((C1856=TRUE)*F1856*IF(AND(Inputs!$B$39&lt;&gt;"pvp",Inputs!$B$44&gt;0),(((R1856-1)*(Skills!Y20*(1+Inputs!$B$34/100))+MIN((Skills!Y20*(1+Inputs!$B$34/100)),MAX(0,Inputs!$B$44-((R1856-1)*Skills!D20))))/Inputs!$B$44),IF(Inputs!$B$39="pvp",MIN((Skills!Y20*(1+Inputs!$B$34/100)),15)/15,(Skills!Y20*(1+Inputs!$B$34/100))/Skills!D20)))</f>
        <v/>
      </c>
    </row>
    <row r="1877">
      <c r="A1877" t="inlineStr">
        <is>
          <t>Global Monster Damage-Taken Bonus %</t>
        </is>
      </c>
      <c r="B1877">
        <f>IF(Inputs!$B$3&gt;=82,15,0)+((C1852=TRUE)*F1852*IF(AND(Inputs!$B$39&lt;&gt;"pvp",Inputs!$B$44&gt;0),(((R1852-1)*(Skills!Y16*(1+Inputs!$B$34/100))+MIN((Skills!Y16*(1+Inputs!$B$34/100)),MAX(0,Inputs!$B$44-((R1852-1)*Skills!D16))))/Inputs!$B$44),IF(Inputs!$B$39="pvp",MIN((Skills!Y16*(1+Inputs!$B$34/100)),15)/15,(Skills!Y16*(1+Inputs!$B$34/100))/Skills!D16)))</f>
        <v/>
      </c>
    </row>
    <row r="1878">
      <c r="A1878" t="inlineStr">
        <is>
          <t>Shadow Partner Average Multiplier</t>
        </is>
      </c>
      <c r="B1878">
        <f>1+((C1847=TRUE)*F1847*I1847*Skills!J11/100)/100</f>
        <v/>
      </c>
    </row>
    <row r="1879">
      <c r="A1879" t="inlineStr">
        <is>
          <t>Global Critical Damage Bonus % (Frailty Curse Mastery Lv.111)</t>
        </is>
      </c>
      <c r="B1879">
        <f>IF(Inputs!$B$3&gt;=111,30,0)*IF(AND(Inputs!$B$39&lt;&gt;"pvp",Inputs!$B$44&gt;0),(((R1852-1)*(Skills!Y16*(1+Inputs!$B$34/100))+MIN((Skills!Y16*(1+Inputs!$B$34/100)),MAX(0,Inputs!$B$44-((R1852-1)*Skills!D16))))/Inputs!$B$44),IF(Inputs!$B$39="pvp",MIN((Skills!Y16*(1+Inputs!$B$34/100)),15)/15,(Skills!Y16*(1+Inputs!$B$34/100))/Skills!D16))</f>
        <v/>
      </c>
    </row>
    <row r="1880">
      <c r="A1880" s="6" t="inlineStr">
        <is>
          <t>TOTAL DPS</t>
        </is>
      </c>
      <c r="B1880" s="6">
        <f>SUM(O1838:O1867)</f>
        <v/>
      </c>
    </row>
    <row r="1881">
      <c r="A1881" t="inlineStr">
        <is>
          <t>Buff-Casting Startup Delay (s, fixed-duration only)</t>
        </is>
      </c>
      <c r="B1881">
        <f>IF(AND(Inputs!$B$39&lt;&gt;"pvp",Inputs!$B$44&gt;0),SUMPRODUCT((Skills!Y2:Y31&gt;0)*(Skills!E2:E31=TRUE)*(C1838:C1867=TRUE))/B1872,0)</f>
        <v/>
      </c>
    </row>
    <row r="1882">
      <c r="A1882" t="inlineStr">
        <is>
          <t>Boss-Only Total DPS (this block's swept value)</t>
        </is>
      </c>
      <c r="B1882">
        <f>SUM(T1838:T1867)</f>
        <v/>
      </c>
    </row>
    <row r="1883">
      <c r="A1883" t="inlineStr">
        <is>
          <t>Normal-Only Total DPS (this block's swept value)</t>
        </is>
      </c>
      <c r="B1883">
        <f>SUM(V1838:V1867)</f>
        <v/>
      </c>
    </row>
    <row r="1885">
      <c r="A1885" s="6" t="inlineStr">
        <is>
          <t>Stat: Zakum's Stone Piece (Equip)</t>
        </is>
      </c>
    </row>
    <row r="1886">
      <c r="A1886" s="5" t="inlineStr">
        <is>
          <t>Key</t>
        </is>
      </c>
      <c r="B1886" s="5" t="inlineStr">
        <is>
          <t>Name</t>
        </is>
      </c>
      <c r="C1886" s="5" t="inlineStr">
        <is>
          <t>Unlocked</t>
        </is>
      </c>
      <c r="D1886" s="5" t="inlineStr">
        <is>
          <t>InputLevel</t>
        </is>
      </c>
      <c r="E1886" s="5" t="inlineStr">
        <is>
          <t>Factor</t>
        </is>
      </c>
      <c r="F1886" s="5" t="inlineStr">
        <is>
          <t>CoefficientPercent</t>
        </is>
      </c>
      <c r="G1886" s="5" t="inlineStr">
        <is>
          <t>EffectiveHits</t>
        </is>
      </c>
      <c r="H1886" s="5" t="inlineStr">
        <is>
          <t>ProcProbability</t>
        </is>
      </c>
      <c r="I1886" s="5" t="inlineStr">
        <is>
          <t>MapleHeroMultiplier</t>
        </is>
      </c>
      <c r="J1886" s="5" t="inlineStr">
        <is>
          <t>BaseDamage</t>
        </is>
      </c>
      <c r="K1886" s="5" t="inlineStr">
        <is>
          <t>BaseHitDamage</t>
        </is>
      </c>
      <c r="L1886" s="5" t="inlineStr">
        <is>
          <t>NonCritAvg</t>
        </is>
      </c>
      <c r="M1886" s="5" t="inlineStr">
        <is>
          <t>CritAvg</t>
        </is>
      </c>
      <c r="N1886" s="5" t="inlineStr">
        <is>
          <t>ExpectedDamage(perHit)</t>
        </is>
      </c>
      <c r="O1886" s="5" t="inlineStr">
        <is>
          <t>DPS</t>
        </is>
      </c>
      <c r="P1886" s="5" t="inlineStr">
        <is>
          <t>% of Total</t>
        </is>
      </c>
      <c r="Q1886" s="5" t="inlineStr">
        <is>
          <t>InvCooldown</t>
        </is>
      </c>
      <c r="R1886" s="5" t="inlineStr">
        <is>
          <t>CastsInFight</t>
        </is>
      </c>
      <c r="S1886" s="5" t="inlineStr">
        <is>
          <t>HitRate(perSec)</t>
        </is>
      </c>
      <c r="U1886" t="inlineStr">
        <is>
          <t>helpers</t>
        </is>
      </c>
    </row>
    <row r="1887">
      <c r="A1887">
        <f>Skills!A2</f>
        <v/>
      </c>
      <c r="B1887">
        <f>Skills!B2</f>
        <v/>
      </c>
      <c r="C1887">
        <f>Inputs!$B$3&gt;=100</f>
        <v/>
      </c>
      <c r="D1887" t="inlineStr"/>
      <c r="E1887" t="inlineStr"/>
      <c r="F1887">
        <f>U1891+Skills!O2</f>
        <v/>
      </c>
      <c r="G1887">
        <f>Calc!G2</f>
        <v/>
      </c>
      <c r="H1887">
        <f>Calc!H2</f>
        <v/>
      </c>
      <c r="I1887">
        <f>IF(Skills!AA2&lt;&gt;"",1+(Skills!AA2/10)*(U1888/1000)/100,1)</f>
        <v/>
      </c>
      <c r="J1887">
        <f>((Inputs!$B$6*(1+Inputs!$B$7/100))+(((Inputs!$B$12*(1+Inputs!$B$13/100))-(Inputs!$B$12*(1+Inputs!$B$13/100)))+0.25*(Inputs!$B$14-Inputs!$B$14))*(1+Inputs!$B$7/100))*(F1887/100)</f>
        <v/>
      </c>
      <c r="K1887">
        <f>J1887*(1+((Inputs!$B$12*(1+Inputs!$B$13/100))*0.01+Inputs!$B$14*0.0025)/100)*(1+Inputs!$B$15/100)*(1+Inputs!$B$16/100)*(5000/(6000+Inputs!$B$43*(1-(100*(1-(1-(Inputs!$B$19+0)/100)*(1-CHOOSE(ArtifactsInput!$N$40+1,5,6,7,8,9,10)/100)^(ArtifactsInput!$M$40-ArtifactsInput!$M$40)))/100)))*(1+(Inputs!$B$24+((C1915=TRUE)*(F1915-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1908=TRUE)*(F1908-Calc!F23))+(((IF(AND(ArtifactsInput!$M$42,((Inputs!$B$9+((C1910=TRUE)*(F1910-Calc!F25))+B1925+(ArtifactsInput!$M$24-ArtifactsInput!$M$24)*CHOOSE(ArtifactsInput!$N$24+1,10,12,14,16,18,20)+IF(ArtifactsInput!$M$10,CHOOSE(ArtifactsInput!$N$10+1,15,18,21,24,27,30)*(IF(Inputs!$B$39="pvp",MIN(15,15)/15,IF(AND(Inputs!$B$39&lt;&gt;"pvp",Inputs!$B$44&gt;0),MIN(15,Inputs!$B$44)/(Inputs!$B$44),0))),0)))&gt;=100),MIN(100,((Inputs!$B$9+((C1910=TRUE)*(F1910-Calc!F25))+B1925+(ArtifactsInput!$M$24-ArtifactsInput!$M$24)*CHOOSE(ArtifactsInput!$N$24+1,10,12,14,16,18,20)+IF(ArtifactsInput!$M$10,CHOOSE(ArtifactsInput!$N$10+1,15,18,21,24,27,30)*(IF(Inputs!$B$39="pvp",MIN(15,15)/15,IF(AND(Inputs!$B$39&lt;&gt;"pvp",Inputs!$B$44&gt;0),MIN(15,Inputs!$B$44)/(Inputs!$B$44),0))),0)))-100),0))*CHOOSE(ArtifactsInput!$N$42+1,0.6,0.72,0.84,0.96,1.08,1.2))),Inputs!$B$18+((C1914=TRUE)*(F1914-Calc!F29))+(IF(AND(ArtifactsInput!$M$42,((Inputs!$B$9+((C1910=TRUE)*(F1910-Calc!F25))+B1925+(ArtifactsInput!$M$24-ArtifactsInput!$M$24)*CHOOSE(ArtifactsInput!$N$24+1,10,12,14,16,18,20)+IF(ArtifactsInput!$M$10,CHOOSE(ArtifactsInput!$N$10+1,15,18,21,24,27,30)*(IF(Inputs!$B$39="pvp",MIN(15,15)/15,IF(AND(Inputs!$B$39&lt;&gt;"pvp",Inputs!$B$44&gt;0),MIN(15,Inputs!$B$44)/(Inputs!$B$44),0))),0)))&gt;=100),CHOOSE(ArtifactsInput!$N$42+1,40,48,56,64,72,80),0))))/100)*(((1+(((C1906=TRUE)*F1906*IF(AND(Inputs!$B$39&lt;&gt;"pvp",Inputs!$B$44&gt;0),(((R1906-1)*(Skills!Y21*(1+Inputs!$B$34/100))+MIN((Skills!Y21*(1+Inputs!$B$34/100)),MAX(0,Inputs!$B$44-((R1906-1)*Skills!D21))))/Inputs!$B$44),IF(Inputs!$B$39="pvp",MIN((Skills!Y21*(1+Inputs!$B$34/100)),15)/15,(Skills!Y21*(1+Inputs!$B$34/100))/Skills!D21)))+((C1913=TRUE)*(F1913-Calc!F28))+((C1903=TRUE)*(F1903-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1900=TRUE)*F1900*IF(AND(Inputs!$B$39&lt;&gt;"pvp",Inputs!$B$44&gt;0),(((R1900-1)*(Skills!Y15*(1+Inputs!$B$34/100))+MIN((Skills!Y15*(1+Inputs!$B$34/100)),MAX(0,Inputs!$B$44-((R1900-1)*Skills!D15))))/Inputs!$B$44),IF(Inputs!$B$39="pvp",MIN((Skills!Y15*(1+Inputs!$B$34/100)),15)/15,(Skills!Y15*(1+Inputs!$B$34/100))/Skills!D15)))/100)*(1+((C1891=TRUE)*F1891*B1919)/100))*B1927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1887)</f>
        <v/>
      </c>
      <c r="L1887">
        <f>K1887*(MIN(Inputs!$B$22+((C1909=TRUE)*(F1909-Calc!F24)),(Inputs!$B$23+0+(IF(ArtifactsInput!$M$15,CHOOSE(ArtifactsInput!$N$15+1,25,30,35,40,45,50)/100*(Inputs!$B$11-Inputs!$B$11),0))))/100+(Inputs!$B$23+0+(IF(ArtifactsInput!$M$15,CHOOSE(ArtifactsInput!$N$15+1,25,30,35,40,45,50)/100*(Inputs!$B$11-Inputs!$B$11),0)))/100)/2</f>
        <v/>
      </c>
      <c r="M1887">
        <f>L1887*(1+(Inputs!$B$10+((C1911=TRUE)*(F1911-Calc!F26))+B1928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87">
        <f>L1887*(1-MIN((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1887*(MIN((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87">
        <f>(1-Summary!$B$11)*T1887+Summary!$B$11*V1887</f>
        <v/>
      </c>
      <c r="P1887">
        <f>IF(B1929=0,0,O1887/B1929)</f>
        <v/>
      </c>
      <c r="Q1887" t="n">
        <v>0</v>
      </c>
      <c r="R1887" t="n">
        <v>0</v>
      </c>
      <c r="S1887">
        <f>IFERROR(O1887/N1887,0)</f>
        <v/>
      </c>
      <c r="T1887">
        <f>IF(C1887,(Skills!G2*N1887*B1923)*IF(Inputs!$B$39="pvp",1,1+(Inputs!$B$20+((C1912=TRUE)*(F1912-Calc!F27))+Skills!P2+B1926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Hunt"),CHOOSE(ArtifactsInput!$N$35+1,15,18,21,24,27,30)*(1-EXP(-(0.2*B1921)*5)),0)+IF(AND(ArtifactsInput!$M$22,Inputs!$B$4&lt;&gt;"Chapter Hunt"),CHOOSE(ArtifactsInput!$N$22+1,10,12,14,16,18,20)*((0*(((0.15*B1921*5))^0/1)+1*(((0.15*B1921*5))^1/1)+2*(((0.15*B1921*5))^2/2)+3*(((0.15*B1921*5))^3/6)+4*(((0.15*B1921*5))^4/24)+5*(((0.15*B1921*5))^5/120))/((((0.15*B1921*5))^0/1)+(((0.15*B1921*5))^1/1)+(((0.15*B1921*5))^2/2)+(((0.15*B1921*5))^3/6)+(((0.15*B1921*5))^4/24)+(((0.15*B1921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1887*(1-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1887*(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1887*(1-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1887*(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87">
        <f>MAX(0,(Inputs!$B$3-100)*3)+Inputs!$B$28+Inputs!$B$29</f>
        <v/>
      </c>
      <c r="V1887">
        <f>IF(C1887,(Skills!G2*N1887*B1923)*IF(Inputs!$B$39="pvp",1,(1+(Inputs!$B$21+Skills!Q2+B1926+(IF(ArtifactsInput!$M$33,CHOOSE(ArtifactsInput!$N$33+1,30,36,42,48,54,60),0))+(IF(AND(ArtifactsInput!$M$35,Inputs!$B$4&lt;&gt;"Chapter Hunt"),CHOOSE(ArtifactsInput!$N$35+1,15,18,21,24,27,30)*(1-EXP(-(0.2*B1921)*5)),0)+IF(AND(ArtifactsInput!$M$22,Inputs!$B$4&lt;&gt;"Chapter Hunt"),CHOOSE(ArtifactsInput!$N$22+1,10,12,14,16,18,20)*((0*(((0.15*B1921*5))^0/1)+1*(((0.15*B1921*5))^1/1)+2*(((0.15*B1921*5))^2/2)+3*(((0.15*B1921*5))^3/6)+4*(((0.15*B1921*5))^4/24)+5*(((0.15*B1921*5))^5/120))/((((0.15*B1921*5))^0/1)+(((0.15*B1921*5))^1/1)+(((0.15*B1921*5))^2/2)+(((0.15*B1921*5))^3/6)+(((0.15*B1921*5))^4/24)+(((0.15*B1921*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88">
      <c r="A1888">
        <f>Skills!A3</f>
        <v/>
      </c>
      <c r="B1888">
        <f>Skills!B3</f>
        <v/>
      </c>
      <c r="C1888">
        <f>Inputs!$B$3&gt;=35</f>
        <v/>
      </c>
      <c r="D1888">
        <f>IF(Skills!C3=1,60+Inputs!$B$25+Inputs!$B$29,IF(Skills!C3=2,90+Inputs!$B$26+Inputs!$B$29,IF(Skills!C3=3,120+Inputs!$B$27+Inputs!$B$29,MAX(0,(Inputs!$B$3-100)*3)+Inputs!$B$28+Inputs!$B$29)))</f>
        <v/>
      </c>
      <c r="E1888">
        <f>INDEX(FactorTable!$B$2:$Y$301, MATCH(ROUND(MIN(300,MAX(1,D1888)),0), FactorTable!$A$2:$A$301,0), Skills!M3+1)</f>
        <v/>
      </c>
      <c r="F1888">
        <f>IF(Skills!N3=TRUE,(Skills!L3/10)*(E1888/1000),Skills!L3/10)+Skills!O3</f>
        <v/>
      </c>
      <c r="G1888">
        <f>Calc!G3</f>
        <v/>
      </c>
      <c r="H1888">
        <f>Calc!H3</f>
        <v/>
      </c>
      <c r="I1888">
        <f>IF(Skills!AA3&lt;&gt;"",1+(Skills!AA3/10)*(U1888/1000)/100,1)</f>
        <v/>
      </c>
      <c r="J1888">
        <f>((Inputs!$B$6*(1+Inputs!$B$7/100))+(((Inputs!$B$12*(1+Inputs!$B$13/100))-(Inputs!$B$12*(1+Inputs!$B$13/100)))+0.25*(Inputs!$B$14-Inputs!$B$14))*(1+Inputs!$B$7/100))*(F1888/100)</f>
        <v/>
      </c>
      <c r="K1888">
        <f>J1888*(1+((Inputs!$B$12*(1+Inputs!$B$13/100))*0.01+Inputs!$B$14*0.0025)/100)*(1+Inputs!$B$15/100)*(1+Inputs!$B$16/100)*(5000/(6000+Inputs!$B$43*(1-(100*(1-(1-(Inputs!$B$19+0)/100)*(1-CHOOSE(ArtifactsInput!$N$40+1,5,6,7,8,9,10)/100)^(ArtifactsInput!$M$40-ArtifactsInput!$M$40)))/100)))*(1+(Inputs!$B$24+((C1915=TRUE)*(F1915-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1908=TRUE)*(F1908-Calc!F23))+(((IF(AND(ArtifactsInput!$M$42,((Inputs!$B$9+((C1910=TRUE)*(F1910-Calc!F25))+B1925+(ArtifactsInput!$M$24-ArtifactsInput!$M$24)*CHOOSE(ArtifactsInput!$N$24+1,10,12,14,16,18,20)+IF(ArtifactsInput!$M$10,CHOOSE(ArtifactsInput!$N$10+1,15,18,21,24,27,30)*(IF(Inputs!$B$39="pvp",MIN(15,15)/15,IF(AND(Inputs!$B$39&lt;&gt;"pvp",Inputs!$B$44&gt;0),MIN(15,Inputs!$B$44)/(Inputs!$B$44),0))),0)))&gt;=100),MIN(100,((Inputs!$B$9+((C1910=TRUE)*(F1910-Calc!F25))+B1925+(ArtifactsInput!$M$24-ArtifactsInput!$M$24)*CHOOSE(ArtifactsInput!$N$24+1,10,12,14,16,18,20)+IF(ArtifactsInput!$M$10,CHOOSE(ArtifactsInput!$N$10+1,15,18,21,24,27,30)*(IF(Inputs!$B$39="pvp",MIN(15,15)/15,IF(AND(Inputs!$B$39&lt;&gt;"pvp",Inputs!$B$44&gt;0),MIN(15,Inputs!$B$44)/(Inputs!$B$44),0))),0)))-100),0))*CHOOSE(ArtifactsInput!$N$42+1,0.6,0.72,0.84,0.96,1.08,1.2))),Inputs!$B$18+((C1914=TRUE)*(F1914-Calc!F29))+(IF(AND(ArtifactsInput!$M$42,((Inputs!$B$9+((C1910=TRUE)*(F1910-Calc!F25))+B1925+(ArtifactsInput!$M$24-ArtifactsInput!$M$24)*CHOOSE(ArtifactsInput!$N$24+1,10,12,14,16,18,20)+IF(ArtifactsInput!$M$10,CHOOSE(ArtifactsInput!$N$10+1,15,18,21,24,27,30)*(IF(Inputs!$B$39="pvp",MIN(15,15)/15,IF(AND(Inputs!$B$39&lt;&gt;"pvp",Inputs!$B$44&gt;0),MIN(15,Inputs!$B$44)/(Inputs!$B$44),0))),0)))&gt;=100),CHOOSE(ArtifactsInput!$N$42+1,40,48,56,64,72,80),0))))/100)*(((1+(((C1906=TRUE)*F1906*IF(AND(Inputs!$B$39&lt;&gt;"pvp",Inputs!$B$44&gt;0),(((R1906-1)*(Skills!Y21*(1+Inputs!$B$34/100))+MIN((Skills!Y21*(1+Inputs!$B$34/100)),MAX(0,Inputs!$B$44-((R1906-1)*Skills!D21))))/Inputs!$B$44),IF(Inputs!$B$39="pvp",MIN((Skills!Y21*(1+Inputs!$B$34/100)),15)/15,(Skills!Y21*(1+Inputs!$B$34/100))/Skills!D21)))+((C1913=TRUE)*(F1913-Calc!F28))+((C1903=TRUE)*(F1903-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1900=TRUE)*F1900*IF(AND(Inputs!$B$39&lt;&gt;"pvp",Inputs!$B$44&gt;0),(((R1900-1)*(Skills!Y15*(1+Inputs!$B$34/100))+MIN((Skills!Y15*(1+Inputs!$B$34/100)),MAX(0,Inputs!$B$44-((R1900-1)*Skills!D15))))/Inputs!$B$44),IF(Inputs!$B$39="pvp",MIN((Skills!Y15*(1+Inputs!$B$34/100)),15)/15,(Skills!Y15*(1+Inputs!$B$34/100))/Skills!D15)))/100)*(1+((C1891=TRUE)*F1891*B1919)/100))*B1927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1888)</f>
        <v/>
      </c>
      <c r="L1888">
        <f>K1888*(MIN(Inputs!$B$22+((C1909=TRUE)*(F1909-Calc!F24)),(Inputs!$B$23+0+(IF(ArtifactsInput!$M$15,CHOOSE(ArtifactsInput!$N$15+1,25,30,35,40,45,50)/100*(Inputs!$B$11-Inputs!$B$11),0))))/100+(Inputs!$B$23+0+(IF(ArtifactsInput!$M$15,CHOOSE(ArtifactsInput!$N$15+1,25,30,35,40,45,50)/100*(Inputs!$B$11-Inputs!$B$11),0)))/100)/2</f>
        <v/>
      </c>
      <c r="M1888">
        <f>L1888*(1+(Inputs!$B$10+((C1911=TRUE)*(F1911-Calc!F26))+B1928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88">
        <f>L1888*(1-MIN((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1888*(MIN((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88">
        <f>(1-Summary!$B$11)*T1888+Summary!$B$11*V1888</f>
        <v/>
      </c>
      <c r="P1888">
        <f>IF(B1929=0,0,O1888/B1929)</f>
        <v/>
      </c>
      <c r="Q1888">
        <f>IFERROR(1/IF(Inputs!$B$39="pvp",15,MAX(0.1,Skills!D3-IF(Skills!E3=TRUE,Inputs!$B$32,0))),0)</f>
        <v/>
      </c>
      <c r="R1888">
        <f>IF(AND(Inputs!$B$39&lt;&gt;"pvp",Inputs!$B$44&gt;0),IF(MAX(0,Inputs!$B$44-B1930)&lt;=0,0,(INT(MAX(0,Inputs!$B$44-B1930)/IF(Inputs!$B$39="pvp",15,MAX(0.1,Skills!D3-IF(Skills!E3=TRUE,Inputs!$B$32,0))))+1)),0)</f>
        <v/>
      </c>
      <c r="S1888">
        <f>IFERROR(O1888/N1888,0)</f>
        <v/>
      </c>
      <c r="T1888">
        <f>IF(C1888,(H1888*N1888*IF(AND(Inputs!$B$39&lt;&gt;"pvp",Inputs!$B$44&gt;0),((Skills!G3*((R1888-1)*IF(Skills!H3&gt;0,Skills!I3/Skills!H3,1)+IF(Skills!H3&gt;0,MIN(Skills!I3,MAX(0,MAX(0,Inputs!$B$44-B1930)-((R1888-1)*IF(Inputs!$B$39="pvp",15,MAX(0.1,Skills!D3-IF(Skills!E3=TRUE,Inputs!$B$32,0))))))/Skills!H3,1)))/Inputs!$B$44),G1888*Q1888))*IF(Inputs!$B$39="pvp",1,1+(Inputs!$B$20+((C1912=TRUE)*(F1912-Calc!F27))+Skills!P3+B1926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Hunt"),CHOOSE(ArtifactsInput!$N$35+1,15,18,21,24,27,30)*(1-EXP(-(0.2*B1921)*5)),0)+IF(AND(ArtifactsInput!$M$22,Inputs!$B$4&lt;&gt;"Chapter Hunt"),CHOOSE(ArtifactsInput!$N$22+1,10,12,14,16,18,20)*((0*(((0.15*B1921*5))^0/1)+1*(((0.15*B1921*5))^1/1)+2*(((0.15*B1921*5))^2/2)+3*(((0.15*B1921*5))^3/6)+4*(((0.15*B1921*5))^4/24)+5*(((0.15*B1921*5))^5/120))/((((0.15*B1921*5))^0/1)+(((0.15*B1921*5))^1/1)+(((0.15*B1921*5))^2/2)+(((0.15*B1921*5))^3/6)+(((0.15*B1921*5))^4/24)+(((0.15*B1921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1888*(1-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1888*(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1888*(1-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1888*(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88">
        <f>INDEX(FactorTable!$B$2:$Y$301, MATCH(ROUND(MIN(300,MAX(1,U1887)),0), FactorTable!$A$2:$A$301,0), 24)</f>
        <v/>
      </c>
      <c r="V1888">
        <f>IF(C1888,(H1888*N1888*IF(AND(Inputs!$B$39&lt;&gt;"pvp",Inputs!$B$44&gt;0),((Skills!G3*((R1888-1)*IF(Skills!H3&gt;0,Skills!I3/Skills!H3,1)+IF(Skills!H3&gt;0,MIN(Skills!I3,MAX(0,MAX(0,Inputs!$B$44-B1930)-((R1888-1)*IF(Inputs!$B$39="pvp",15,MAX(0.1,Skills!D3-IF(Skills!E3=TRUE,Inputs!$B$32,0))))))/Skills!H3,1)))/Inputs!$B$44),G1888*Q1888))*IF(Inputs!$B$39="pvp",1,(1+(Inputs!$B$21+Skills!Q3+B1926+(IF(ArtifactsInput!$M$33,CHOOSE(ArtifactsInput!$N$33+1,30,36,42,48,54,60),0))+(IF(AND(ArtifactsInput!$M$35,Inputs!$B$4&lt;&gt;"Chapter Hunt"),CHOOSE(ArtifactsInput!$N$35+1,15,18,21,24,27,30)*(1-EXP(-(0.2*B1921)*5)),0)+IF(AND(ArtifactsInput!$M$22,Inputs!$B$4&lt;&gt;"Chapter Hunt"),CHOOSE(ArtifactsInput!$N$22+1,10,12,14,16,18,20)*((0*(((0.15*B1921*5))^0/1)+1*(((0.15*B1921*5))^1/1)+2*(((0.15*B1921*5))^2/2)+3*(((0.15*B1921*5))^3/6)+4*(((0.15*B1921*5))^4/24)+5*(((0.15*B1921*5))^5/120))/((((0.15*B1921*5))^0/1)+(((0.15*B1921*5))^1/1)+(((0.15*B1921*5))^2/2)+(((0.15*B1921*5))^3/6)+(((0.15*B1921*5))^4/24)+(((0.15*B1921*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89">
      <c r="A1889">
        <f>Skills!A4</f>
        <v/>
      </c>
      <c r="B1889">
        <f>Skills!B4</f>
        <v/>
      </c>
      <c r="C1889">
        <f>Inputs!$B$3&gt;=40</f>
        <v/>
      </c>
      <c r="D1889">
        <f>IF(Skills!C4=1,60+Inputs!$B$25+Inputs!$B$29,IF(Skills!C4=2,90+Inputs!$B$26+Inputs!$B$29,IF(Skills!C4=3,120+Inputs!$B$27+Inputs!$B$29,MAX(0,(Inputs!$B$3-100)*3)+Inputs!$B$28+Inputs!$B$29)))</f>
        <v/>
      </c>
      <c r="E1889">
        <f>INDEX(FactorTable!$B$2:$Y$301, MATCH(ROUND(MIN(300,MAX(1,D1889)),0), FactorTable!$A$2:$A$301,0), Skills!M4+1)</f>
        <v/>
      </c>
      <c r="F1889">
        <f>IF(Skills!N4=TRUE,(Skills!L4/10)*(E1889/1000),Skills!L4/10)+Skills!O4</f>
        <v/>
      </c>
      <c r="G1889">
        <f>Calc!G4</f>
        <v/>
      </c>
      <c r="H1889">
        <f>Calc!H4</f>
        <v/>
      </c>
      <c r="I1889">
        <f>IF(Skills!AA4&lt;&gt;"",1+(Skills!AA4/10)*(U1888/1000)/100,1)</f>
        <v/>
      </c>
      <c r="J1889">
        <f>((Inputs!$B$6*(1+Inputs!$B$7/100))+(((Inputs!$B$12*(1+Inputs!$B$13/100))-(Inputs!$B$12*(1+Inputs!$B$13/100)))+0.25*(Inputs!$B$14-Inputs!$B$14))*(1+Inputs!$B$7/100))*(F1889/100)</f>
        <v/>
      </c>
      <c r="K1889">
        <f>J1889*(1+((Inputs!$B$12*(1+Inputs!$B$13/100))*0.01+Inputs!$B$14*0.0025)/100)*(1+Inputs!$B$15/100)*(1+Inputs!$B$16/100)*(5000/(6000+Inputs!$B$43*(1-(100*(1-(1-(Inputs!$B$19+0)/100)*(1-CHOOSE(ArtifactsInput!$N$40+1,5,6,7,8,9,10)/100)^(ArtifactsInput!$M$40-ArtifactsInput!$M$40)))/100)))*(1+(Inputs!$B$24+((C1915=TRUE)*(F1915-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1908=TRUE)*(F1908-Calc!F23))+(((IF(AND(ArtifactsInput!$M$42,((Inputs!$B$9+((C1910=TRUE)*(F1910-Calc!F25))+B1925+(ArtifactsInput!$M$24-ArtifactsInput!$M$24)*CHOOSE(ArtifactsInput!$N$24+1,10,12,14,16,18,20)+IF(ArtifactsInput!$M$10,CHOOSE(ArtifactsInput!$N$10+1,15,18,21,24,27,30)*(IF(Inputs!$B$39="pvp",MIN(15,15)/15,IF(AND(Inputs!$B$39&lt;&gt;"pvp",Inputs!$B$44&gt;0),MIN(15,Inputs!$B$44)/(Inputs!$B$44),0))),0)))&gt;=100),MIN(100,((Inputs!$B$9+((C1910=TRUE)*(F1910-Calc!F25))+B1925+(ArtifactsInput!$M$24-ArtifactsInput!$M$24)*CHOOSE(ArtifactsInput!$N$24+1,10,12,14,16,18,20)+IF(ArtifactsInput!$M$10,CHOOSE(ArtifactsInput!$N$10+1,15,18,21,24,27,30)*(IF(Inputs!$B$39="pvp",MIN(15,15)/15,IF(AND(Inputs!$B$39&lt;&gt;"pvp",Inputs!$B$44&gt;0),MIN(15,Inputs!$B$44)/(Inputs!$B$44),0))),0)))-100),0))*CHOOSE(ArtifactsInput!$N$42+1,0.6,0.72,0.84,0.96,1.08,1.2))),Inputs!$B$18+((C1914=TRUE)*(F1914-Calc!F29))+(IF(AND(ArtifactsInput!$M$42,((Inputs!$B$9+((C1910=TRUE)*(F1910-Calc!F25))+B1925+(ArtifactsInput!$M$24-ArtifactsInput!$M$24)*CHOOSE(ArtifactsInput!$N$24+1,10,12,14,16,18,20)+IF(ArtifactsInput!$M$10,CHOOSE(ArtifactsInput!$N$10+1,15,18,21,24,27,30)*(IF(Inputs!$B$39="pvp",MIN(15,15)/15,IF(AND(Inputs!$B$39&lt;&gt;"pvp",Inputs!$B$44&gt;0),MIN(15,Inputs!$B$44)/(Inputs!$B$44),0))),0)))&gt;=100),CHOOSE(ArtifactsInput!$N$42+1,40,48,56,64,72,80),0))))/100)*(((1+(((C1906=TRUE)*F1906*IF(AND(Inputs!$B$39&lt;&gt;"pvp",Inputs!$B$44&gt;0),(((R1906-1)*(Skills!Y21*(1+Inputs!$B$34/100))+MIN((Skills!Y21*(1+Inputs!$B$34/100)),MAX(0,Inputs!$B$44-((R1906-1)*Skills!D21))))/Inputs!$B$44),IF(Inputs!$B$39="pvp",MIN((Skills!Y21*(1+Inputs!$B$34/100)),15)/15,(Skills!Y21*(1+Inputs!$B$34/100))/Skills!D21)))+((C1913=TRUE)*(F1913-Calc!F28))+((C1903=TRUE)*(F1903-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1900=TRUE)*F1900*IF(AND(Inputs!$B$39&lt;&gt;"pvp",Inputs!$B$44&gt;0),(((R1900-1)*(Skills!Y15*(1+Inputs!$B$34/100))+MIN((Skills!Y15*(1+Inputs!$B$34/100)),MAX(0,Inputs!$B$44-((R1900-1)*Skills!D15))))/Inputs!$B$44),IF(Inputs!$B$39="pvp",MIN((Skills!Y15*(1+Inputs!$B$34/100)),15)/15,(Skills!Y15*(1+Inputs!$B$34/100))/Skills!D15)))/100)*(1+((C1891=TRUE)*F1891*B1919)/100))*B1927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1889)</f>
        <v/>
      </c>
      <c r="L1889">
        <f>K1889*(MIN(Inputs!$B$22+((C1909=TRUE)*(F1909-Calc!F24)),(Inputs!$B$23+0+(IF(ArtifactsInput!$M$15,CHOOSE(ArtifactsInput!$N$15+1,25,30,35,40,45,50)/100*(Inputs!$B$11-Inputs!$B$11),0))))/100+(Inputs!$B$23+0+(IF(ArtifactsInput!$M$15,CHOOSE(ArtifactsInput!$N$15+1,25,30,35,40,45,50)/100*(Inputs!$B$11-Inputs!$B$11),0)))/100)/2</f>
        <v/>
      </c>
      <c r="M1889">
        <f>L1889*(1+(Inputs!$B$10+((C1911=TRUE)*(F1911-Calc!F26))+B1928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89">
        <f>L1889*(1-MIN((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1889*(MIN((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89">
        <f>(1-Summary!$B$11)*T1889+Summary!$B$11*V1889</f>
        <v/>
      </c>
      <c r="P1889">
        <f>IF(B1929=0,0,O1889/B1929)</f>
        <v/>
      </c>
      <c r="Q1889">
        <f>IFERROR(1/IF(Inputs!$B$39="pvp",15,MAX(0.1,Skills!D4-IF(Skills!E4=TRUE,Inputs!$B$32,0))),0)</f>
        <v/>
      </c>
      <c r="R1889">
        <f>IF(AND(Inputs!$B$39&lt;&gt;"pvp",Inputs!$B$44&gt;0),IF(MAX(0,Inputs!$B$44-B1930)&lt;=0,0,(INT(MAX(0,Inputs!$B$44-B1930)/IF(Inputs!$B$39="pvp",15,MAX(0.1,Skills!D4-IF(Skills!E4=TRUE,Inputs!$B$32,0))))+1)),0)</f>
        <v/>
      </c>
      <c r="S1889">
        <f>IFERROR(O1889/N1889,0)</f>
        <v/>
      </c>
      <c r="T1889">
        <f>IF(C1889,(H1889*N1889*IF(AND(Inputs!$B$39&lt;&gt;"pvp",Inputs!$B$44&gt;0),((Skills!G4*((R1889-1)*IF(Skills!H4&gt;0,Skills!I4/Skills!H4,1)+IF(Skills!H4&gt;0,MIN(Skills!I4,MAX(0,MAX(0,Inputs!$B$44-B1930)-((R1889-1)*IF(Inputs!$B$39="pvp",15,MAX(0.1,Skills!D4-IF(Skills!E4=TRUE,Inputs!$B$32,0))))))/Skills!H4,1)))/Inputs!$B$44),G1889*Q1889))*IF(Inputs!$B$39="pvp",1,1+(Inputs!$B$20+((C1912=TRUE)*(F1912-Calc!F27))+Skills!P4+B1926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Hunt"),CHOOSE(ArtifactsInput!$N$35+1,15,18,21,24,27,30)*(1-EXP(-(0.2*B1921)*5)),0)+IF(AND(ArtifactsInput!$M$22,Inputs!$B$4&lt;&gt;"Chapter Hunt"),CHOOSE(ArtifactsInput!$N$22+1,10,12,14,16,18,20)*((0*(((0.15*B1921*5))^0/1)+1*(((0.15*B1921*5))^1/1)+2*(((0.15*B1921*5))^2/2)+3*(((0.15*B1921*5))^3/6)+4*(((0.15*B1921*5))^4/24)+5*(((0.15*B1921*5))^5/120))/((((0.15*B1921*5))^0/1)+(((0.15*B1921*5))^1/1)+(((0.15*B1921*5))^2/2)+(((0.15*B1921*5))^3/6)+(((0.15*B1921*5))^4/24)+(((0.15*B1921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1889*(1-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1889*(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1889*(1-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1889*(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89">
        <f>MAX(0,(Inputs!$B$3-100)*3)+Inputs!$B$28+Inputs!$B$29</f>
        <v/>
      </c>
      <c r="V1889">
        <f>IF(C1889,(H1889*N1889*IF(AND(Inputs!$B$39&lt;&gt;"pvp",Inputs!$B$44&gt;0),((Skills!G4*((R1889-1)*IF(Skills!H4&gt;0,Skills!I4/Skills!H4,1)+IF(Skills!H4&gt;0,MIN(Skills!I4,MAX(0,MAX(0,Inputs!$B$44-B1930)-((R1889-1)*IF(Inputs!$B$39="pvp",15,MAX(0.1,Skills!D4-IF(Skills!E4=TRUE,Inputs!$B$32,0))))))/Skills!H4,1)))/Inputs!$B$44),G1889*Q1889))*IF(Inputs!$B$39="pvp",1,(1+(Inputs!$B$21+Skills!Q4+B1926+(IF(ArtifactsInput!$M$33,CHOOSE(ArtifactsInput!$N$33+1,30,36,42,48,54,60),0))+(IF(AND(ArtifactsInput!$M$35,Inputs!$B$4&lt;&gt;"Chapter Hunt"),CHOOSE(ArtifactsInput!$N$35+1,15,18,21,24,27,30)*(1-EXP(-(0.2*B1921)*5)),0)+IF(AND(ArtifactsInput!$M$22,Inputs!$B$4&lt;&gt;"Chapter Hunt"),CHOOSE(ArtifactsInput!$N$22+1,10,12,14,16,18,20)*((0*(((0.15*B1921*5))^0/1)+1*(((0.15*B1921*5))^1/1)+2*(((0.15*B1921*5))^2/2)+3*(((0.15*B1921*5))^3/6)+4*(((0.15*B1921*5))^4/24)+5*(((0.15*B1921*5))^5/120))/((((0.15*B1921*5))^0/1)+(((0.15*B1921*5))^1/1)+(((0.15*B1921*5))^2/2)+(((0.15*B1921*5))^3/6)+(((0.15*B1921*5))^4/24)+(((0.15*B1921*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90">
      <c r="A1890">
        <f>Skills!A5</f>
        <v/>
      </c>
      <c r="B1890">
        <f>Skills!B5</f>
        <v/>
      </c>
      <c r="C1890">
        <f>Inputs!$B$3&gt;=63</f>
        <v/>
      </c>
      <c r="D1890">
        <f>IF(Skills!C5=1,60+Inputs!$B$25+Inputs!$B$29,IF(Skills!C5=2,90+Inputs!$B$26+Inputs!$B$29,IF(Skills!C5=3,120+Inputs!$B$27+Inputs!$B$29,MAX(0,(Inputs!$B$3-100)*3)+Inputs!$B$28+Inputs!$B$29)))</f>
        <v/>
      </c>
      <c r="E1890">
        <f>INDEX(FactorTable!$B$2:$Y$301, MATCH(ROUND(MIN(300,MAX(1,D1890)),0), FactorTable!$A$2:$A$301,0), Skills!M5+1)</f>
        <v/>
      </c>
      <c r="F1890">
        <f>IF(Skills!N5=TRUE,(Skills!L5/10)*(E1890/1000),Skills!L5/10)+Skills!O5</f>
        <v/>
      </c>
      <c r="G1890">
        <f>Calc!G5</f>
        <v/>
      </c>
      <c r="H1890">
        <f>Calc!H5</f>
        <v/>
      </c>
      <c r="I1890">
        <f>IF(Skills!AA5&lt;&gt;"",1+(Skills!AA5/10)*(U1888/1000)/100,1)</f>
        <v/>
      </c>
      <c r="J1890">
        <f>((Inputs!$B$6*(1+Inputs!$B$7/100))+(((Inputs!$B$12*(1+Inputs!$B$13/100))-(Inputs!$B$12*(1+Inputs!$B$13/100)))+0.25*(Inputs!$B$14-Inputs!$B$14))*(1+Inputs!$B$7/100))*(F1890/100)</f>
        <v/>
      </c>
      <c r="K1890">
        <f>J1890*(1+((Inputs!$B$12*(1+Inputs!$B$13/100))*0.01+Inputs!$B$14*0.0025)/100)*(1+Inputs!$B$15/100)*(1+Inputs!$B$16/100)*(5000/(6000+Inputs!$B$43*(1-(100*(1-(1-(Inputs!$B$19+0)/100)*(1-CHOOSE(ArtifactsInput!$N$40+1,5,6,7,8,9,10)/100)^(ArtifactsInput!$M$40-ArtifactsInput!$M$40)))/100)))*(1+(Inputs!$B$24+((C1915=TRUE)*(F1915-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1908=TRUE)*(F1908-Calc!F23))+(((IF(AND(ArtifactsInput!$M$42,((Inputs!$B$9+((C1910=TRUE)*(F1910-Calc!F25))+B1925+(ArtifactsInput!$M$24-ArtifactsInput!$M$24)*CHOOSE(ArtifactsInput!$N$24+1,10,12,14,16,18,20)+IF(ArtifactsInput!$M$10,CHOOSE(ArtifactsInput!$N$10+1,15,18,21,24,27,30)*(IF(Inputs!$B$39="pvp",MIN(15,15)/15,IF(AND(Inputs!$B$39&lt;&gt;"pvp",Inputs!$B$44&gt;0),MIN(15,Inputs!$B$44)/(Inputs!$B$44),0))),0)))&gt;=100),MIN(100,((Inputs!$B$9+((C1910=TRUE)*(F1910-Calc!F25))+B1925+(ArtifactsInput!$M$24-ArtifactsInput!$M$24)*CHOOSE(ArtifactsInput!$N$24+1,10,12,14,16,18,20)+IF(ArtifactsInput!$M$10,CHOOSE(ArtifactsInput!$N$10+1,15,18,21,24,27,30)*(IF(Inputs!$B$39="pvp",MIN(15,15)/15,IF(AND(Inputs!$B$39&lt;&gt;"pvp",Inputs!$B$44&gt;0),MIN(15,Inputs!$B$44)/(Inputs!$B$44),0))),0)))-100),0))*CHOOSE(ArtifactsInput!$N$42+1,0.6,0.72,0.84,0.96,1.08,1.2))),Inputs!$B$18+((C1914=TRUE)*(F1914-Calc!F29))+(IF(AND(ArtifactsInput!$M$42,((Inputs!$B$9+((C1910=TRUE)*(F1910-Calc!F25))+B1925+(ArtifactsInput!$M$24-ArtifactsInput!$M$24)*CHOOSE(ArtifactsInput!$N$24+1,10,12,14,16,18,20)+IF(ArtifactsInput!$M$10,CHOOSE(ArtifactsInput!$N$10+1,15,18,21,24,27,30)*(IF(Inputs!$B$39="pvp",MIN(15,15)/15,IF(AND(Inputs!$B$39&lt;&gt;"pvp",Inputs!$B$44&gt;0),MIN(15,Inputs!$B$44)/(Inputs!$B$44),0))),0)))&gt;=100),CHOOSE(ArtifactsInput!$N$42+1,40,48,56,64,72,80),0))))/100)*(((1+(((C1906=TRUE)*F1906*IF(AND(Inputs!$B$39&lt;&gt;"pvp",Inputs!$B$44&gt;0),(((R1906-1)*(Skills!Y21*(1+Inputs!$B$34/100))+MIN((Skills!Y21*(1+Inputs!$B$34/100)),MAX(0,Inputs!$B$44-((R1906-1)*Skills!D21))))/Inputs!$B$44),IF(Inputs!$B$39="pvp",MIN((Skills!Y21*(1+Inputs!$B$34/100)),15)/15,(Skills!Y21*(1+Inputs!$B$34/100))/Skills!D21)))+((C1913=TRUE)*(F1913-Calc!F28))+((C1903=TRUE)*(F1903-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1900=TRUE)*F1900*IF(AND(Inputs!$B$39&lt;&gt;"pvp",Inputs!$B$44&gt;0),(((R1900-1)*(Skills!Y15*(1+Inputs!$B$34/100))+MIN((Skills!Y15*(1+Inputs!$B$34/100)),MAX(0,Inputs!$B$44-((R1900-1)*Skills!D15))))/Inputs!$B$44),IF(Inputs!$B$39="pvp",MIN((Skills!Y15*(1+Inputs!$B$34/100)),15)/15,(Skills!Y15*(1+Inputs!$B$34/100))/Skills!D15)))/100)*(1+((C1891=TRUE)*F1891*B1919)/100))*B1927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1890)</f>
        <v/>
      </c>
      <c r="L1890">
        <f>K1890*(MIN(Inputs!$B$22+((C1909=TRUE)*(F1909-Calc!F24)),(Inputs!$B$23+0+(IF(ArtifactsInput!$M$15,CHOOSE(ArtifactsInput!$N$15+1,25,30,35,40,45,50)/100*(Inputs!$B$11-Inputs!$B$11),0))))/100+(Inputs!$B$23+0+(IF(ArtifactsInput!$M$15,CHOOSE(ArtifactsInput!$N$15+1,25,30,35,40,45,50)/100*(Inputs!$B$11-Inputs!$B$11),0)))/100)/2</f>
        <v/>
      </c>
      <c r="M1890">
        <f>L1890*(1+(Inputs!$B$10+((C1911=TRUE)*(F1911-Calc!F26))+B1928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90">
        <f>L1890*(1-MIN((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1890*(MIN((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90">
        <f>(1-Summary!$B$11)*T1890+Summary!$B$11*V1890</f>
        <v/>
      </c>
      <c r="P1890">
        <f>IF(B1929=0,0,O1890/B1929)</f>
        <v/>
      </c>
      <c r="Q1890">
        <f>IFERROR(1/IF(Inputs!$B$39="pvp",15,MAX(0.1,Skills!D5-IF(Skills!E5=TRUE,Inputs!$B$32,0))),0)</f>
        <v/>
      </c>
      <c r="R1890">
        <f>IF(AND(Inputs!$B$39&lt;&gt;"pvp",Inputs!$B$44&gt;0),IF(MAX(0,Inputs!$B$44-B1930)&lt;=0,0,(INT(MAX(0,Inputs!$B$44-B1930)/IF(Inputs!$B$39="pvp",15,MAX(0.1,Skills!D5-IF(Skills!E5=TRUE,Inputs!$B$32,0))))+1)),0)</f>
        <v/>
      </c>
      <c r="S1890">
        <f>IFERROR(O1890/N1890,0)</f>
        <v/>
      </c>
      <c r="T1890">
        <f>IF(C1890,(H1890*N1890*IF(AND(Inputs!$B$39&lt;&gt;"pvp",Inputs!$B$44&gt;0),((Skills!G5*((R1890-1)*IF(Skills!H5&gt;0,Skills!I5/Skills!H5,1)+IF(Skills!H5&gt;0,MIN(Skills!I5,MAX(0,MAX(0,Inputs!$B$44-B1930)-((R1890-1)*IF(Inputs!$B$39="pvp",15,MAX(0.1,Skills!D5-IF(Skills!E5=TRUE,Inputs!$B$32,0))))))/Skills!H5,1)))/Inputs!$B$44),G1890*Q1890))*IF(Inputs!$B$39="pvp",1,1+(Inputs!$B$20+((C1912=TRUE)*(F1912-Calc!F27))+Skills!P5+B1926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Hunt"),CHOOSE(ArtifactsInput!$N$35+1,15,18,21,24,27,30)*(1-EXP(-(0.2*B1921)*5)),0)+IF(AND(ArtifactsInput!$M$22,Inputs!$B$4&lt;&gt;"Chapter Hunt"),CHOOSE(ArtifactsInput!$N$22+1,10,12,14,16,18,20)*((0*(((0.15*B1921*5))^0/1)+1*(((0.15*B1921*5))^1/1)+2*(((0.15*B1921*5))^2/2)+3*(((0.15*B1921*5))^3/6)+4*(((0.15*B1921*5))^4/24)+5*(((0.15*B1921*5))^5/120))/((((0.15*B1921*5))^0/1)+(((0.15*B1921*5))^1/1)+(((0.15*B1921*5))^2/2)+(((0.15*B1921*5))^3/6)+(((0.15*B1921*5))^4/24)+(((0.15*B1921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1890*(1-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1890*(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1890*(1-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1890*(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90">
        <f>INDEX(FactorTable!$B$2:$Y$301, MATCH(ROUND(MIN(300,MAX(1,U1889)),0), FactorTable!$A$2:$A$301,0), 22)</f>
        <v/>
      </c>
      <c r="V1890">
        <f>IF(C1890,(H1890*N1890*IF(AND(Inputs!$B$39&lt;&gt;"pvp",Inputs!$B$44&gt;0),((Skills!G5*((R1890-1)*IF(Skills!H5&gt;0,Skills!I5/Skills!H5,1)+IF(Skills!H5&gt;0,MIN(Skills!I5,MAX(0,MAX(0,Inputs!$B$44-B1930)-((R1890-1)*IF(Inputs!$B$39="pvp",15,MAX(0.1,Skills!D5-IF(Skills!E5=TRUE,Inputs!$B$32,0))))))/Skills!H5,1)))/Inputs!$B$44),G1890*Q1890))*IF(Inputs!$B$39="pvp",1,(1+(Inputs!$B$21+Skills!Q5+B1926+(IF(ArtifactsInput!$M$33,CHOOSE(ArtifactsInput!$N$33+1,30,36,42,48,54,60),0))+(IF(AND(ArtifactsInput!$M$35,Inputs!$B$4&lt;&gt;"Chapter Hunt"),CHOOSE(ArtifactsInput!$N$35+1,15,18,21,24,27,30)*(1-EXP(-(0.2*B1921)*5)),0)+IF(AND(ArtifactsInput!$M$22,Inputs!$B$4&lt;&gt;"Chapter Hunt"),CHOOSE(ArtifactsInput!$N$22+1,10,12,14,16,18,20)*((0*(((0.15*B1921*5))^0/1)+1*(((0.15*B1921*5))^1/1)+2*(((0.15*B1921*5))^2/2)+3*(((0.15*B1921*5))^3/6)+4*(((0.15*B1921*5))^4/24)+5*(((0.15*B1921*5))^5/120))/((((0.15*B1921*5))^0/1)+(((0.15*B1921*5))^1/1)+(((0.15*B1921*5))^2/2)+(((0.15*B1921*5))^3/6)+(((0.15*B1921*5))^4/24)+(((0.15*B1921*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91">
      <c r="A1891">
        <f>Skills!A6</f>
        <v/>
      </c>
      <c r="B1891">
        <f>Skills!B6</f>
        <v/>
      </c>
      <c r="C1891">
        <f>Inputs!$B$3&gt;=66</f>
        <v/>
      </c>
      <c r="D1891">
        <f>IF(Skills!C6=1,60+Inputs!$B$25+Inputs!$B$29,IF(Skills!C6=2,90+Inputs!$B$26+Inputs!$B$29,IF(Skills!C6=3,120+Inputs!$B$27+Inputs!$B$29,MAX(0,(Inputs!$B$3-100)*3)+Inputs!$B$28+Inputs!$B$29)))</f>
        <v/>
      </c>
      <c r="E1891">
        <f>INDEX(FactorTable!$B$2:$Y$301, MATCH(ROUND(MIN(300,MAX(1,D1891)),0), FactorTable!$A$2:$A$301,0), Skills!M6+1)</f>
        <v/>
      </c>
      <c r="F1891">
        <f>IF(Skills!N6=TRUE,(Skills!L6/10)*(E1891/1000),Skills!L6/10)+Skills!O6</f>
        <v/>
      </c>
      <c r="G1891">
        <f>Calc!G6</f>
        <v/>
      </c>
      <c r="H1891">
        <f>Calc!H6</f>
        <v/>
      </c>
      <c r="I1891">
        <f>IF(Skills!AA6&lt;&gt;"",1+(Skills!AA6/10)*(U1888/1000)/100,1)</f>
        <v/>
      </c>
      <c r="J1891" t="inlineStr"/>
      <c r="K1891" t="inlineStr"/>
      <c r="L1891" t="inlineStr"/>
      <c r="M1891" t="inlineStr"/>
      <c r="N1891" t="inlineStr"/>
      <c r="O1891">
        <f>(1-Summary!$B$11)*T1891+Summary!$B$11*V1891</f>
        <v/>
      </c>
      <c r="P1891">
        <f>IF(B1929=0,0,O1891/B1929)</f>
        <v/>
      </c>
      <c r="Q1891" t="n">
        <v>0</v>
      </c>
      <c r="R1891" t="n">
        <v>0</v>
      </c>
      <c r="S1891">
        <f>IFERROR(O1891/N1891,0)</f>
        <v/>
      </c>
      <c r="T1891" t="n">
        <v>0</v>
      </c>
      <c r="U1891">
        <f>290*U1890/1000</f>
        <v/>
      </c>
      <c r="V1891" t="n">
        <v>0</v>
      </c>
    </row>
    <row r="1892">
      <c r="A1892">
        <f>Skills!A7</f>
        <v/>
      </c>
      <c r="B1892">
        <f>Skills!B7</f>
        <v/>
      </c>
      <c r="C1892">
        <f>Inputs!$B$3&gt;=66</f>
        <v/>
      </c>
      <c r="D1892">
        <f>IF(Skills!C7=1,60+Inputs!$B$25+Inputs!$B$29,IF(Skills!C7=2,90+Inputs!$B$26+Inputs!$B$29,IF(Skills!C7=3,120+Inputs!$B$27+Inputs!$B$29,MAX(0,(Inputs!$B$3-100)*3)+Inputs!$B$28+Inputs!$B$29)))</f>
        <v/>
      </c>
      <c r="E1892">
        <f>INDEX(FactorTable!$B$2:$Y$301, MATCH(ROUND(MIN(300,MAX(1,D1892)),0), FactorTable!$A$2:$A$301,0), Skills!M7+1)</f>
        <v/>
      </c>
      <c r="F1892">
        <f>IF(Skills!N7=TRUE,(Skills!L7/10)*(E1892/1000),Skills!L7/10)+Skills!O7</f>
        <v/>
      </c>
      <c r="G1892">
        <f>Calc!G7</f>
        <v/>
      </c>
      <c r="H1892">
        <f>Calc!H7</f>
        <v/>
      </c>
      <c r="I1892">
        <f>IF(Skills!AA7&lt;&gt;"",1+(Skills!AA7/10)*(U1888/1000)/100,1)</f>
        <v/>
      </c>
      <c r="J1892" t="inlineStr"/>
      <c r="K1892" t="inlineStr"/>
      <c r="L1892" t="inlineStr"/>
      <c r="M1892" t="inlineStr"/>
      <c r="N1892" t="inlineStr"/>
      <c r="O1892">
        <f>(1-Summary!$B$11)*T1892+Summary!$B$11*V1892</f>
        <v/>
      </c>
      <c r="P1892">
        <f>IF(B1929=0,0,O1892/B1929)</f>
        <v/>
      </c>
      <c r="Q1892" t="n">
        <v>0</v>
      </c>
      <c r="R1892" t="n">
        <v>0</v>
      </c>
      <c r="S1892">
        <f>IFERROR(O1892/N1892,0)</f>
        <v/>
      </c>
      <c r="T1892" t="n">
        <v>0</v>
      </c>
      <c r="V1892" t="n">
        <v>0</v>
      </c>
    </row>
    <row r="1893">
      <c r="A1893">
        <f>Skills!A8</f>
        <v/>
      </c>
      <c r="B1893">
        <f>Skills!B8</f>
        <v/>
      </c>
      <c r="C1893">
        <f>Inputs!$B$3&gt;=69</f>
        <v/>
      </c>
      <c r="D1893">
        <f>IF(Skills!C8=1,60+Inputs!$B$25+Inputs!$B$29,IF(Skills!C8=2,90+Inputs!$B$26+Inputs!$B$29,IF(Skills!C8=3,120+Inputs!$B$27+Inputs!$B$29,MAX(0,(Inputs!$B$3-100)*3)+Inputs!$B$28+Inputs!$B$29)))</f>
        <v/>
      </c>
      <c r="E1893">
        <f>INDEX(FactorTable!$B$2:$Y$301, MATCH(ROUND(MIN(300,MAX(1,D1893)),0), FactorTable!$A$2:$A$301,0), Skills!M8+1)</f>
        <v/>
      </c>
      <c r="F1893">
        <f>IF(Skills!N8=TRUE,(Skills!L8/10)*(E1893/1000),Skills!L8/10)+Skills!O8</f>
        <v/>
      </c>
      <c r="G1893">
        <f>Calc!G8</f>
        <v/>
      </c>
      <c r="H1893">
        <f>Calc!H8</f>
        <v/>
      </c>
      <c r="I1893">
        <f>IF(Skills!AA8&lt;&gt;"",1+(Skills!AA8/10)*(U1888/1000)/100,1)</f>
        <v/>
      </c>
      <c r="J1893">
        <f>((Inputs!$B$6*(1+Inputs!$B$7/100))+(((Inputs!$B$12*(1+Inputs!$B$13/100))-(Inputs!$B$12*(1+Inputs!$B$13/100)))+0.25*(Inputs!$B$14-Inputs!$B$14))*(1+Inputs!$B$7/100))*(F1893/100)</f>
        <v/>
      </c>
      <c r="K1893">
        <f>J1893*(1+((Inputs!$B$12*(1+Inputs!$B$13/100))*0.01+Inputs!$B$14*0.0025)/100)*(1+Inputs!$B$15/100)*(1+Inputs!$B$16/100)*(5000/(6000+Inputs!$B$43*(1-(100*(1-(1-(Inputs!$B$19+0)/100)*(1-CHOOSE(ArtifactsInput!$N$40+1,5,6,7,8,9,10)/100)^(ArtifactsInput!$M$40-ArtifactsInput!$M$40)))/100)))*(1+(Inputs!$B$24+((C1915=TRUE)*(F1915-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1908=TRUE)*(F1908-Calc!F23))+(((IF(AND(ArtifactsInput!$M$42,((Inputs!$B$9+((C1910=TRUE)*(F1910-Calc!F25))+B1925+(ArtifactsInput!$M$24-ArtifactsInput!$M$24)*CHOOSE(ArtifactsInput!$N$24+1,10,12,14,16,18,20)+IF(ArtifactsInput!$M$10,CHOOSE(ArtifactsInput!$N$10+1,15,18,21,24,27,30)*(IF(Inputs!$B$39="pvp",MIN(15,15)/15,IF(AND(Inputs!$B$39&lt;&gt;"pvp",Inputs!$B$44&gt;0),MIN(15,Inputs!$B$44)/(Inputs!$B$44),0))),0)))&gt;=100),MIN(100,((Inputs!$B$9+((C1910=TRUE)*(F1910-Calc!F25))+B1925+(ArtifactsInput!$M$24-ArtifactsInput!$M$24)*CHOOSE(ArtifactsInput!$N$24+1,10,12,14,16,18,20)+IF(ArtifactsInput!$M$10,CHOOSE(ArtifactsInput!$N$10+1,15,18,21,24,27,30)*(IF(Inputs!$B$39="pvp",MIN(15,15)/15,IF(AND(Inputs!$B$39&lt;&gt;"pvp",Inputs!$B$44&gt;0),MIN(15,Inputs!$B$44)/(Inputs!$B$44),0))),0)))-100),0))*CHOOSE(ArtifactsInput!$N$42+1,0.6,0.72,0.84,0.96,1.08,1.2))),Inputs!$B$18+((C1914=TRUE)*(F1914-Calc!F29))+(IF(AND(ArtifactsInput!$M$42,((Inputs!$B$9+((C1910=TRUE)*(F1910-Calc!F25))+B1925+(ArtifactsInput!$M$24-ArtifactsInput!$M$24)*CHOOSE(ArtifactsInput!$N$24+1,10,12,14,16,18,20)+IF(ArtifactsInput!$M$10,CHOOSE(ArtifactsInput!$N$10+1,15,18,21,24,27,30)*(IF(Inputs!$B$39="pvp",MIN(15,15)/15,IF(AND(Inputs!$B$39&lt;&gt;"pvp",Inputs!$B$44&gt;0),MIN(15,Inputs!$B$44)/(Inputs!$B$44),0))),0)))&gt;=100),CHOOSE(ArtifactsInput!$N$42+1,40,48,56,64,72,80),0))))/100)*(((1+(((C1906=TRUE)*F1906*IF(AND(Inputs!$B$39&lt;&gt;"pvp",Inputs!$B$44&gt;0),(((R1906-1)*(Skills!Y21*(1+Inputs!$B$34/100))+MIN((Skills!Y21*(1+Inputs!$B$34/100)),MAX(0,Inputs!$B$44-((R1906-1)*Skills!D21))))/Inputs!$B$44),IF(Inputs!$B$39="pvp",MIN((Skills!Y21*(1+Inputs!$B$34/100)),15)/15,(Skills!Y21*(1+Inputs!$B$34/100))/Skills!D21)))+((C1913=TRUE)*(F1913-Calc!F28))+((C1903=TRUE)*(F1903-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1900=TRUE)*F1900*IF(AND(Inputs!$B$39&lt;&gt;"pvp",Inputs!$B$44&gt;0),(((R1900-1)*(Skills!Y15*(1+Inputs!$B$34/100))+MIN((Skills!Y15*(1+Inputs!$B$34/100)),MAX(0,Inputs!$B$44-((R1900-1)*Skills!D15))))/Inputs!$B$44),IF(Inputs!$B$39="pvp",MIN((Skills!Y15*(1+Inputs!$B$34/100)),15)/15,(Skills!Y15*(1+Inputs!$B$34/100))/Skills!D15)))/100)*(1+((C1891=TRUE)*F1891*B1919)/100))*B1927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1893)</f>
        <v/>
      </c>
      <c r="L1893">
        <f>K1893*(MIN(Inputs!$B$22+((C1909=TRUE)*(F1909-Calc!F24)),(Inputs!$B$23+0+(IF(ArtifactsInput!$M$15,CHOOSE(ArtifactsInput!$N$15+1,25,30,35,40,45,50)/100*(Inputs!$B$11-Inputs!$B$11),0))))/100+(Inputs!$B$23+0+(IF(ArtifactsInput!$M$15,CHOOSE(ArtifactsInput!$N$15+1,25,30,35,40,45,50)/100*(Inputs!$B$11-Inputs!$B$11),0)))/100)/2</f>
        <v/>
      </c>
      <c r="M1893">
        <f>L1893*(1+(Inputs!$B$10+((C1911=TRUE)*(F1911-Calc!F26))+B1928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93">
        <f>L1893*(1-MIN((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1893*(MIN((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93">
        <f>(1-Summary!$B$11)*T1893+Summary!$B$11*V1893</f>
        <v/>
      </c>
      <c r="P1893">
        <f>IF(B1929=0,0,O1893/B1929)</f>
        <v/>
      </c>
      <c r="Q1893">
        <f>IFERROR(1/IF(Inputs!$B$39="pvp",15,MAX(0.1,Skills!D8-IF(Skills!E8=TRUE,Inputs!$B$32,0))),0)</f>
        <v/>
      </c>
      <c r="R1893">
        <f>IF(AND(Inputs!$B$39&lt;&gt;"pvp",Inputs!$B$44&gt;0),IF(MAX(0,Inputs!$B$44-B1930)&lt;=0,0,(INT(MAX(0,Inputs!$B$44-B1930)/IF(Inputs!$B$39="pvp",15,MAX(0.1,Skills!D8-IF(Skills!E8=TRUE,Inputs!$B$32,0))))+1)),0)</f>
        <v/>
      </c>
      <c r="S1893">
        <f>IFERROR(O1893/N1893,0)</f>
        <v/>
      </c>
      <c r="T1893">
        <f>IF(C1893,(H1893*N1893*IF(AND(Inputs!$B$39&lt;&gt;"pvp",Inputs!$B$44&gt;0),((Skills!G8*((R1893-1)*IF(Skills!H8&gt;0,Skills!I8/Skills!H8,1)+IF(Skills!H8&gt;0,MIN(Skills!I8,MAX(0,MAX(0,Inputs!$B$44-B1930)-((R1893-1)*IF(Inputs!$B$39="pvp",15,MAX(0.1,Skills!D8-IF(Skills!E8=TRUE,Inputs!$B$32,0))))))/Skills!H8,1)))/Inputs!$B$44),G1893*Q1893))*IF(Inputs!$B$39="pvp",1,1+(Inputs!$B$20+((C1912=TRUE)*(F1912-Calc!F27))+Skills!P8+B1926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Hunt"),CHOOSE(ArtifactsInput!$N$35+1,15,18,21,24,27,30)*(1-EXP(-(0.2*B1921)*5)),0)+IF(AND(ArtifactsInput!$M$22,Inputs!$B$4&lt;&gt;"Chapter Hunt"),CHOOSE(ArtifactsInput!$N$22+1,10,12,14,16,18,20)*((0*(((0.15*B1921*5))^0/1)+1*(((0.15*B1921*5))^1/1)+2*(((0.15*B1921*5))^2/2)+3*(((0.15*B1921*5))^3/6)+4*(((0.15*B1921*5))^4/24)+5*(((0.15*B1921*5))^5/120))/((((0.15*B1921*5))^0/1)+(((0.15*B1921*5))^1/1)+(((0.15*B1921*5))^2/2)+(((0.15*B1921*5))^3/6)+(((0.15*B1921*5))^4/24)+(((0.15*B1921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1893*(1-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1893*(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1893*(1-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1893*(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93">
        <f>IF(C1893,(H1893*N1893*IF(AND(Inputs!$B$39&lt;&gt;"pvp",Inputs!$B$44&gt;0),((Skills!G8*((R1893-1)*IF(Skills!H8&gt;0,Skills!I8/Skills!H8,1)+IF(Skills!H8&gt;0,MIN(Skills!I8,MAX(0,MAX(0,Inputs!$B$44-B1930)-((R1893-1)*IF(Inputs!$B$39="pvp",15,MAX(0.1,Skills!D8-IF(Skills!E8=TRUE,Inputs!$B$32,0))))))/Skills!H8,1)))/Inputs!$B$44),G1893*Q1893))*IF(Inputs!$B$39="pvp",1,(1+(Inputs!$B$21+Skills!Q8+B1926+(IF(ArtifactsInput!$M$33,CHOOSE(ArtifactsInput!$N$33+1,30,36,42,48,54,60),0))+(IF(AND(ArtifactsInput!$M$35,Inputs!$B$4&lt;&gt;"Chapter Hunt"),CHOOSE(ArtifactsInput!$N$35+1,15,18,21,24,27,30)*(1-EXP(-(0.2*B1921)*5)),0)+IF(AND(ArtifactsInput!$M$22,Inputs!$B$4&lt;&gt;"Chapter Hunt"),CHOOSE(ArtifactsInput!$N$22+1,10,12,14,16,18,20)*((0*(((0.15*B1921*5))^0/1)+1*(((0.15*B1921*5))^1/1)+2*(((0.15*B1921*5))^2/2)+3*(((0.15*B1921*5))^3/6)+4*(((0.15*B1921*5))^4/24)+5*(((0.15*B1921*5))^5/120))/((((0.15*B1921*5))^0/1)+(((0.15*B1921*5))^1/1)+(((0.15*B1921*5))^2/2)+(((0.15*B1921*5))^3/6)+(((0.15*B1921*5))^4/24)+(((0.15*B1921*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94">
      <c r="A1894">
        <f>Skills!A9</f>
        <v/>
      </c>
      <c r="B1894">
        <f>Skills!B9</f>
        <v/>
      </c>
      <c r="C1894">
        <f>Inputs!$B$3&gt;=72</f>
        <v/>
      </c>
      <c r="D1894">
        <f>IF(Skills!C9=1,60+Inputs!$B$25+Inputs!$B$29,IF(Skills!C9=2,90+Inputs!$B$26+Inputs!$B$29,IF(Skills!C9=3,120+Inputs!$B$27+Inputs!$B$29,MAX(0,(Inputs!$B$3-100)*3)+Inputs!$B$28+Inputs!$B$29)))</f>
        <v/>
      </c>
      <c r="E1894">
        <f>INDEX(FactorTable!$B$2:$Y$301, MATCH(ROUND(MIN(300,MAX(1,D1894)),0), FactorTable!$A$2:$A$301,0), Skills!M9+1)</f>
        <v/>
      </c>
      <c r="F1894">
        <f>IF(Skills!N9=TRUE,(Skills!L9/10)*(E1894/1000),Skills!L9/10)+Skills!O9</f>
        <v/>
      </c>
      <c r="G1894">
        <f>Calc!G9</f>
        <v/>
      </c>
      <c r="H1894">
        <f>Calc!H9</f>
        <v/>
      </c>
      <c r="I1894">
        <f>IF(Skills!AA9&lt;&gt;"",1+(Skills!AA9/10)*(U1888/1000)/100,1)</f>
        <v/>
      </c>
      <c r="J1894">
        <f>((Inputs!$B$6*(1+Inputs!$B$7/100))+(((Inputs!$B$12*(1+Inputs!$B$13/100))-(Inputs!$B$12*(1+Inputs!$B$13/100)))+0.25*(Inputs!$B$14-Inputs!$B$14))*(1+Inputs!$B$7/100))*(F1894/100)</f>
        <v/>
      </c>
      <c r="K1894">
        <f>J1894*(1+((Inputs!$B$12*(1+Inputs!$B$13/100))*0.01+Inputs!$B$14*0.0025)/100)*(1+Inputs!$B$15/100)*(1+Inputs!$B$16/100)*(5000/(6000+Inputs!$B$43*(1-(100*(1-(1-(Inputs!$B$19+0)/100)*(1-CHOOSE(ArtifactsInput!$N$40+1,5,6,7,8,9,10)/100)^(ArtifactsInput!$M$40-ArtifactsInput!$M$40)))/100)))*(1+(Inputs!$B$24+((C1915=TRUE)*(F1915-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1908=TRUE)*(F1908-Calc!F23))+(((IF(AND(ArtifactsInput!$M$42,((Inputs!$B$9+((C1910=TRUE)*(F1910-Calc!F25))+B1925+(ArtifactsInput!$M$24-ArtifactsInput!$M$24)*CHOOSE(ArtifactsInput!$N$24+1,10,12,14,16,18,20)+IF(ArtifactsInput!$M$10,CHOOSE(ArtifactsInput!$N$10+1,15,18,21,24,27,30)*(IF(Inputs!$B$39="pvp",MIN(15,15)/15,IF(AND(Inputs!$B$39&lt;&gt;"pvp",Inputs!$B$44&gt;0),MIN(15,Inputs!$B$44)/(Inputs!$B$44),0))),0)))&gt;=100),MIN(100,((Inputs!$B$9+((C1910=TRUE)*(F1910-Calc!F25))+B1925+(ArtifactsInput!$M$24-ArtifactsInput!$M$24)*CHOOSE(ArtifactsInput!$N$24+1,10,12,14,16,18,20)+IF(ArtifactsInput!$M$10,CHOOSE(ArtifactsInput!$N$10+1,15,18,21,24,27,30)*(IF(Inputs!$B$39="pvp",MIN(15,15)/15,IF(AND(Inputs!$B$39&lt;&gt;"pvp",Inputs!$B$44&gt;0),MIN(15,Inputs!$B$44)/(Inputs!$B$44),0))),0)))-100),0))*CHOOSE(ArtifactsInput!$N$42+1,0.6,0.72,0.84,0.96,1.08,1.2))),Inputs!$B$18+((C1914=TRUE)*(F1914-Calc!F29))+(IF(AND(ArtifactsInput!$M$42,((Inputs!$B$9+((C1910=TRUE)*(F1910-Calc!F25))+B1925+(ArtifactsInput!$M$24-ArtifactsInput!$M$24)*CHOOSE(ArtifactsInput!$N$24+1,10,12,14,16,18,20)+IF(ArtifactsInput!$M$10,CHOOSE(ArtifactsInput!$N$10+1,15,18,21,24,27,30)*(IF(Inputs!$B$39="pvp",MIN(15,15)/15,IF(AND(Inputs!$B$39&lt;&gt;"pvp",Inputs!$B$44&gt;0),MIN(15,Inputs!$B$44)/(Inputs!$B$44),0))),0)))&gt;=100),CHOOSE(ArtifactsInput!$N$42+1,40,48,56,64,72,80),0))))/100)*(((1+(((C1906=TRUE)*F1906*IF(AND(Inputs!$B$39&lt;&gt;"pvp",Inputs!$B$44&gt;0),(((R1906-1)*(Skills!Y21*(1+Inputs!$B$34/100))+MIN((Skills!Y21*(1+Inputs!$B$34/100)),MAX(0,Inputs!$B$44-((R1906-1)*Skills!D21))))/Inputs!$B$44),IF(Inputs!$B$39="pvp",MIN((Skills!Y21*(1+Inputs!$B$34/100)),15)/15,(Skills!Y21*(1+Inputs!$B$34/100))/Skills!D21)))+((C1913=TRUE)*(F1913-Calc!F28))+((C1903=TRUE)*(F1903-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1900=TRUE)*F1900*IF(AND(Inputs!$B$39&lt;&gt;"pvp",Inputs!$B$44&gt;0),(((R1900-1)*(Skills!Y15*(1+Inputs!$B$34/100))+MIN((Skills!Y15*(1+Inputs!$B$34/100)),MAX(0,Inputs!$B$44-((R1900-1)*Skills!D15))))/Inputs!$B$44),IF(Inputs!$B$39="pvp",MIN((Skills!Y15*(1+Inputs!$B$34/100)),15)/15,(Skills!Y15*(1+Inputs!$B$34/100))/Skills!D15)))/100)*(1+((C1891=TRUE)*F1891*B1919)/100))*B1927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1894)</f>
        <v/>
      </c>
      <c r="L1894">
        <f>K1894*(MIN(Inputs!$B$22+((C1909=TRUE)*(F1909-Calc!F24)),(Inputs!$B$23+0+(IF(ArtifactsInput!$M$15,CHOOSE(ArtifactsInput!$N$15+1,25,30,35,40,45,50)/100*(Inputs!$B$11-Inputs!$B$11),0))))/100+(Inputs!$B$23+0+(IF(ArtifactsInput!$M$15,CHOOSE(ArtifactsInput!$N$15+1,25,30,35,40,45,50)/100*(Inputs!$B$11-Inputs!$B$11),0)))/100)/2</f>
        <v/>
      </c>
      <c r="M1894">
        <f>L1894*(1+(Inputs!$B$10+((C1911=TRUE)*(F1911-Calc!F26))+B1928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94">
        <f>L1894*(1-MIN((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1894*(MIN((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94">
        <f>(1-Summary!$B$11)*T1894+Summary!$B$11*V1894</f>
        <v/>
      </c>
      <c r="P1894">
        <f>IF(B1929=0,0,O1894/B1929)</f>
        <v/>
      </c>
      <c r="Q1894">
        <f>IFERROR(1/IF(Inputs!$B$39="pvp",15,MAX(0.1,Skills!D9-IF(Skills!E9=TRUE,Inputs!$B$32,0))),0)</f>
        <v/>
      </c>
      <c r="R1894">
        <f>IF(AND(Inputs!$B$39&lt;&gt;"pvp",Inputs!$B$44&gt;0),IF(MAX(0,Inputs!$B$44-B1930)&lt;=0,0,(INT(MAX(0,Inputs!$B$44-B1930)/IF(Inputs!$B$39="pvp",15,MAX(0.1,Skills!D9-IF(Skills!E9=TRUE,Inputs!$B$32,0))))+1)),0)</f>
        <v/>
      </c>
      <c r="S1894">
        <f>IFERROR(O1894/N1894,0)</f>
        <v/>
      </c>
      <c r="T1894">
        <f>IF(C1894,(H1894*N1894*IF(AND(Inputs!$B$39&lt;&gt;"pvp",Inputs!$B$44&gt;0),((Skills!G9*((R1894-1)*IF(Skills!H9&gt;0,Skills!I9/Skills!H9,1)+IF(Skills!H9&gt;0,MIN(Skills!I9,MAX(0,MAX(0,Inputs!$B$44-B1930)-((R1894-1)*IF(Inputs!$B$39="pvp",15,MAX(0.1,Skills!D9-IF(Skills!E9=TRUE,Inputs!$B$32,0))))))/Skills!H9,1)))/Inputs!$B$44),G1894*Q1894))*IF(Inputs!$B$39="pvp",1,1+(Inputs!$B$20+((C1912=TRUE)*(F1912-Calc!F27))+Skills!P9+B1926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Hunt"),CHOOSE(ArtifactsInput!$N$35+1,15,18,21,24,27,30)*(1-EXP(-(0.2*B1921)*5)),0)+IF(AND(ArtifactsInput!$M$22,Inputs!$B$4&lt;&gt;"Chapter Hunt"),CHOOSE(ArtifactsInput!$N$22+1,10,12,14,16,18,20)*((0*(((0.15*B1921*5))^0/1)+1*(((0.15*B1921*5))^1/1)+2*(((0.15*B1921*5))^2/2)+3*(((0.15*B1921*5))^3/6)+4*(((0.15*B1921*5))^4/24)+5*(((0.15*B1921*5))^5/120))/((((0.15*B1921*5))^0/1)+(((0.15*B1921*5))^1/1)+(((0.15*B1921*5))^2/2)+(((0.15*B1921*5))^3/6)+(((0.15*B1921*5))^4/24)+(((0.15*B1921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1894*(1-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1894*(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1894*(1-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1894*(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94">
        <f>IF(C1894,(H1894*N1894*IF(AND(Inputs!$B$39&lt;&gt;"pvp",Inputs!$B$44&gt;0),((Skills!G9*((R1894-1)*IF(Skills!H9&gt;0,Skills!I9/Skills!H9,1)+IF(Skills!H9&gt;0,MIN(Skills!I9,MAX(0,MAX(0,Inputs!$B$44-B1930)-((R1894-1)*IF(Inputs!$B$39="pvp",15,MAX(0.1,Skills!D9-IF(Skills!E9=TRUE,Inputs!$B$32,0))))))/Skills!H9,1)))/Inputs!$B$44),G1894*Q1894))*IF(Inputs!$B$39="pvp",1,(1+(Inputs!$B$21+Skills!Q9+B1926+(IF(ArtifactsInput!$M$33,CHOOSE(ArtifactsInput!$N$33+1,30,36,42,48,54,60),0))+(IF(AND(ArtifactsInput!$M$35,Inputs!$B$4&lt;&gt;"Chapter Hunt"),CHOOSE(ArtifactsInput!$N$35+1,15,18,21,24,27,30)*(1-EXP(-(0.2*B1921)*5)),0)+IF(AND(ArtifactsInput!$M$22,Inputs!$B$4&lt;&gt;"Chapter Hunt"),CHOOSE(ArtifactsInput!$N$22+1,10,12,14,16,18,20)*((0*(((0.15*B1921*5))^0/1)+1*(((0.15*B1921*5))^1/1)+2*(((0.15*B1921*5))^2/2)+3*(((0.15*B1921*5))^3/6)+4*(((0.15*B1921*5))^4/24)+5*(((0.15*B1921*5))^5/120))/((((0.15*B1921*5))^0/1)+(((0.15*B1921*5))^1/1)+(((0.15*B1921*5))^2/2)+(((0.15*B1921*5))^3/6)+(((0.15*B1921*5))^4/24)+(((0.15*B1921*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95">
      <c r="A1895">
        <f>Skills!A10</f>
        <v/>
      </c>
      <c r="B1895">
        <f>Skills!B10</f>
        <v/>
      </c>
      <c r="C1895">
        <f>Inputs!$B$3&gt;=117</f>
        <v/>
      </c>
      <c r="D1895">
        <f>IF(Skills!C10=1,60+Inputs!$B$25+Inputs!$B$29,IF(Skills!C10=2,90+Inputs!$B$26+Inputs!$B$29,IF(Skills!C10=3,120+Inputs!$B$27+Inputs!$B$29,MAX(0,(Inputs!$B$3-100)*3)+Inputs!$B$28+Inputs!$B$29)))</f>
        <v/>
      </c>
      <c r="E1895">
        <f>INDEX(FactorTable!$B$2:$Y$301, MATCH(ROUND(MIN(300,MAX(1,D1895)),0), FactorTable!$A$2:$A$301,0), Skills!M10+1)</f>
        <v/>
      </c>
      <c r="F1895">
        <f>IF(Skills!N10=TRUE,(Skills!L10/10)*(E1895/1000),Skills!L10/10)+Skills!O10</f>
        <v/>
      </c>
      <c r="G1895">
        <f>Calc!G10</f>
        <v/>
      </c>
      <c r="H1895">
        <f>Calc!H10</f>
        <v/>
      </c>
      <c r="I1895">
        <f>IF(Skills!AA10&lt;&gt;"",1+(Skills!AA10/10)*(U1888/1000)/100,1)</f>
        <v/>
      </c>
      <c r="J1895">
        <f>((Inputs!$B$6*(1+Inputs!$B$7/100))+(((Inputs!$B$12*(1+Inputs!$B$13/100))-(Inputs!$B$12*(1+Inputs!$B$13/100)))+0.25*(Inputs!$B$14-Inputs!$B$14))*(1+Inputs!$B$7/100))*(F1895/100)</f>
        <v/>
      </c>
      <c r="K1895">
        <f>J1895*(1+((Inputs!$B$12*(1+Inputs!$B$13/100))*0.01+Inputs!$B$14*0.0025)/100)*(1+Inputs!$B$15/100)*(1+Inputs!$B$16/100)*(5000/(6000+Inputs!$B$43*(1-(100*(1-(1-(Inputs!$B$19+0)/100)*(1-CHOOSE(ArtifactsInput!$N$40+1,5,6,7,8,9,10)/100)^(ArtifactsInput!$M$40-ArtifactsInput!$M$40)))/100)))*(1+(Inputs!$B$24+((C1915=TRUE)*(F1915-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1908=TRUE)*(F1908-Calc!F23))+(((IF(AND(ArtifactsInput!$M$42,((Inputs!$B$9+((C1910=TRUE)*(F1910-Calc!F25))+B1925+(ArtifactsInput!$M$24-ArtifactsInput!$M$24)*CHOOSE(ArtifactsInput!$N$24+1,10,12,14,16,18,20)+IF(ArtifactsInput!$M$10,CHOOSE(ArtifactsInput!$N$10+1,15,18,21,24,27,30)*(IF(Inputs!$B$39="pvp",MIN(15,15)/15,IF(AND(Inputs!$B$39&lt;&gt;"pvp",Inputs!$B$44&gt;0),MIN(15,Inputs!$B$44)/(Inputs!$B$44),0))),0)))&gt;=100),MIN(100,((Inputs!$B$9+((C1910=TRUE)*(F1910-Calc!F25))+B1925+(ArtifactsInput!$M$24-ArtifactsInput!$M$24)*CHOOSE(ArtifactsInput!$N$24+1,10,12,14,16,18,20)+IF(ArtifactsInput!$M$10,CHOOSE(ArtifactsInput!$N$10+1,15,18,21,24,27,30)*(IF(Inputs!$B$39="pvp",MIN(15,15)/15,IF(AND(Inputs!$B$39&lt;&gt;"pvp",Inputs!$B$44&gt;0),MIN(15,Inputs!$B$44)/(Inputs!$B$44),0))),0)))-100),0))*CHOOSE(ArtifactsInput!$N$42+1,0.6,0.72,0.84,0.96,1.08,1.2))),Inputs!$B$18+((C1914=TRUE)*(F1914-Calc!F29))+(IF(AND(ArtifactsInput!$M$42,((Inputs!$B$9+((C1910=TRUE)*(F1910-Calc!F25))+B1925+(ArtifactsInput!$M$24-ArtifactsInput!$M$24)*CHOOSE(ArtifactsInput!$N$24+1,10,12,14,16,18,20)+IF(ArtifactsInput!$M$10,CHOOSE(ArtifactsInput!$N$10+1,15,18,21,24,27,30)*(IF(Inputs!$B$39="pvp",MIN(15,15)/15,IF(AND(Inputs!$B$39&lt;&gt;"pvp",Inputs!$B$44&gt;0),MIN(15,Inputs!$B$44)/(Inputs!$B$44),0))),0)))&gt;=100),CHOOSE(ArtifactsInput!$N$42+1,40,48,56,64,72,80),0))))/100)*(((1+(((C1906=TRUE)*F1906*IF(AND(Inputs!$B$39&lt;&gt;"pvp",Inputs!$B$44&gt;0),(((R1906-1)*(Skills!Y21*(1+Inputs!$B$34/100))+MIN((Skills!Y21*(1+Inputs!$B$34/100)),MAX(0,Inputs!$B$44-((R1906-1)*Skills!D21))))/Inputs!$B$44),IF(Inputs!$B$39="pvp",MIN((Skills!Y21*(1+Inputs!$B$34/100)),15)/15,(Skills!Y21*(1+Inputs!$B$34/100))/Skills!D21)))+((C1913=TRUE)*(F1913-Calc!F28))+((C1903=TRUE)*(F1903-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1900=TRUE)*F1900*IF(AND(Inputs!$B$39&lt;&gt;"pvp",Inputs!$B$44&gt;0),(((R1900-1)*(Skills!Y15*(1+Inputs!$B$34/100))+MIN((Skills!Y15*(1+Inputs!$B$34/100)),MAX(0,Inputs!$B$44-((R1900-1)*Skills!D15))))/Inputs!$B$44),IF(Inputs!$B$39="pvp",MIN((Skills!Y15*(1+Inputs!$B$34/100)),15)/15,(Skills!Y15*(1+Inputs!$B$34/100))/Skills!D15)))/100)*(1+((C1891=TRUE)*F1891*B1919)/100))*B1927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1895)</f>
        <v/>
      </c>
      <c r="L1895">
        <f>K1895*(MIN(Inputs!$B$22+((C1909=TRUE)*(F1909-Calc!F24)),(Inputs!$B$23+0+(IF(ArtifactsInput!$M$15,CHOOSE(ArtifactsInput!$N$15+1,25,30,35,40,45,50)/100*(Inputs!$B$11-Inputs!$B$11),0))))/100+(Inputs!$B$23+0+(IF(ArtifactsInput!$M$15,CHOOSE(ArtifactsInput!$N$15+1,25,30,35,40,45,50)/100*(Inputs!$B$11-Inputs!$B$11),0)))/100)/2</f>
        <v/>
      </c>
      <c r="M1895">
        <f>L1895*(1+(Inputs!$B$10+((C1911=TRUE)*(F1911-Calc!F26))+B1928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95">
        <f>L1895*(1-MIN((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1895*(MIN((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95">
        <f>(1-Summary!$B$11)*T1895+Summary!$B$11*V1895</f>
        <v/>
      </c>
      <c r="P1895">
        <f>IF(B1929=0,0,O1895/B1929)</f>
        <v/>
      </c>
      <c r="Q1895" t="n">
        <v>0</v>
      </c>
      <c r="R1895" t="n">
        <v>0</v>
      </c>
      <c r="S1895" t="n">
        <v>0</v>
      </c>
      <c r="T1895">
        <f>IF(C1895,(0.2*SUMPRODUCT((Skills!Z2:Z31=TRUE)*(C1887:C1916=TRUE)*S1887:S1916)*N1895)*IF(Inputs!$B$39="pvp",1,1+(Inputs!$B$20+((C1912=TRUE)*(F1912-Calc!F27))+Skills!P10+B1926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Hunt"),CHOOSE(ArtifactsInput!$N$35+1,15,18,21,24,27,30)*(1-EXP(-(0.2*B1921)*5)),0)+IF(AND(ArtifactsInput!$M$22,Inputs!$B$4&lt;&gt;"Chapter Hunt"),CHOOSE(ArtifactsInput!$N$22+1,10,12,14,16,18,20)*((0*(((0.15*B1921*5))^0/1)+1*(((0.15*B1921*5))^1/1)+2*(((0.15*B1921*5))^2/2)+3*(((0.15*B1921*5))^3/6)+4*(((0.15*B1921*5))^4/24)+5*(((0.15*B1921*5))^5/120))/((((0.15*B1921*5))^0/1)+(((0.15*B1921*5))^1/1)+(((0.15*B1921*5))^2/2)+(((0.15*B1921*5))^3/6)+(((0.15*B1921*5))^4/24)+(((0.15*B1921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1895*(1-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1895*(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1895*(1-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1895*(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95">
        <f>IF(C1895,(0.2*SUMPRODUCT((Skills!Z2:Z31=TRUE)*(C1887:C1916=TRUE)*S1887:S1916)*N1895)*IF(Inputs!$B$39="pvp",1,(1+(Inputs!$B$21+Skills!Q10+B1926+(IF(ArtifactsInput!$M$33,CHOOSE(ArtifactsInput!$N$33+1,30,36,42,48,54,60),0))+(IF(AND(ArtifactsInput!$M$35,Inputs!$B$4&lt;&gt;"Chapter Hunt"),CHOOSE(ArtifactsInput!$N$35+1,15,18,21,24,27,30)*(1-EXP(-(0.2*B1921)*5)),0)+IF(AND(ArtifactsInput!$M$22,Inputs!$B$4&lt;&gt;"Chapter Hunt"),CHOOSE(ArtifactsInput!$N$22+1,10,12,14,16,18,20)*((0*(((0.15*B1921*5))^0/1)+1*(((0.15*B1921*5))^1/1)+2*(((0.15*B1921*5))^2/2)+3*(((0.15*B1921*5))^3/6)+4*(((0.15*B1921*5))^4/24)+5*(((0.15*B1921*5))^5/120))/((((0.15*B1921*5))^0/1)+(((0.15*B1921*5))^1/1)+(((0.15*B1921*5))^2/2)+(((0.15*B1921*5))^3/6)+(((0.15*B1921*5))^4/24)+(((0.15*B1921*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96">
      <c r="A1896">
        <f>Skills!A11</f>
        <v/>
      </c>
      <c r="B1896">
        <f>Skills!B11</f>
        <v/>
      </c>
      <c r="C1896">
        <f>Inputs!$B$3&gt;=60</f>
        <v/>
      </c>
      <c r="D1896">
        <f>IF(Skills!C11=1,60+Inputs!$B$25+Inputs!$B$29,IF(Skills!C11=2,90+Inputs!$B$26+Inputs!$B$29,IF(Skills!C11=3,120+Inputs!$B$27+Inputs!$B$29,MAX(0,(Inputs!$B$3-100)*3)+Inputs!$B$28+Inputs!$B$29)))</f>
        <v/>
      </c>
      <c r="E1896">
        <f>INDEX(FactorTable!$B$2:$Y$301, MATCH(ROUND(MIN(300,MAX(1,D1896)),0), FactorTable!$A$2:$A$301,0), Skills!M11+1)</f>
        <v/>
      </c>
      <c r="F1896">
        <f>IF(Skills!N11=TRUE,(Skills!L11/10)*(E1896/1000),Skills!L11/10)+Skills!O11</f>
        <v/>
      </c>
      <c r="G1896">
        <f>Calc!G11</f>
        <v/>
      </c>
      <c r="H1896">
        <f>Calc!H11</f>
        <v/>
      </c>
      <c r="I1896">
        <f>IF(Skills!AA11&lt;&gt;"",1+(Skills!AA11/10)*(U1888/1000)/100,1)</f>
        <v/>
      </c>
      <c r="J1896" t="inlineStr"/>
      <c r="K1896" t="inlineStr"/>
      <c r="L1896" t="inlineStr"/>
      <c r="M1896" t="inlineStr"/>
      <c r="N1896" t="inlineStr"/>
      <c r="O1896">
        <f>(1-Summary!$B$11)*T1896+Summary!$B$11*V1896</f>
        <v/>
      </c>
      <c r="P1896">
        <f>IF(B1929=0,0,O1896/B1929)</f>
        <v/>
      </c>
      <c r="Q1896" t="n">
        <v>0</v>
      </c>
      <c r="R1896" t="n">
        <v>0</v>
      </c>
      <c r="S1896">
        <f>IFERROR(O1896/N1896,0)</f>
        <v/>
      </c>
      <c r="T1896" t="n">
        <v>0</v>
      </c>
      <c r="V1896" t="n">
        <v>0</v>
      </c>
    </row>
    <row r="1897">
      <c r="A1897">
        <f>Skills!A12</f>
        <v/>
      </c>
      <c r="B1897">
        <f>Skills!B12</f>
        <v/>
      </c>
      <c r="C1897">
        <f>Inputs!$B$3&gt;=103</f>
        <v/>
      </c>
      <c r="D1897">
        <f>IF(Skills!C12=1,60+Inputs!$B$25+Inputs!$B$29,IF(Skills!C12=2,90+Inputs!$B$26+Inputs!$B$29,IF(Skills!C12=3,120+Inputs!$B$27+Inputs!$B$29,MAX(0,(Inputs!$B$3-100)*3)+Inputs!$B$28+Inputs!$B$29)))</f>
        <v/>
      </c>
      <c r="E1897">
        <f>INDEX(FactorTable!$B$2:$Y$301, MATCH(ROUND(MIN(300,MAX(1,D1897)),0), FactorTable!$A$2:$A$301,0), Skills!M12+1)</f>
        <v/>
      </c>
      <c r="F1897">
        <f>IF(Skills!N12=TRUE,(Skills!L12/10)*(E1897/1000),Skills!L12/10)+Skills!O12</f>
        <v/>
      </c>
      <c r="G1897">
        <f>Calc!G12</f>
        <v/>
      </c>
      <c r="H1897">
        <f>Calc!H12</f>
        <v/>
      </c>
      <c r="I1897">
        <f>IF(Skills!AA12&lt;&gt;"",1+(Skills!AA12/10)*(U1888/1000)/100,1)</f>
        <v/>
      </c>
      <c r="J1897">
        <f>((Inputs!$B$6*(1+Inputs!$B$7/100))+(((Inputs!$B$12*(1+Inputs!$B$13/100))-(Inputs!$B$12*(1+Inputs!$B$13/100)))+0.25*(Inputs!$B$14-Inputs!$B$14))*(1+Inputs!$B$7/100))*(F1897/100)</f>
        <v/>
      </c>
      <c r="K1897">
        <f>J1897*(1+((Inputs!$B$12*(1+Inputs!$B$13/100))*0.01+Inputs!$B$14*0.0025)/100)*(1+Inputs!$B$15/100)*(1+Inputs!$B$16/100)*(5000/(6000+Inputs!$B$43*(1-(100*(1-(1-(Inputs!$B$19+0)/100)*(1-CHOOSE(ArtifactsInput!$N$40+1,5,6,7,8,9,10)/100)^(ArtifactsInput!$M$40-ArtifactsInput!$M$40)))/100)))*(1+(Inputs!$B$24+((C1915=TRUE)*(F1915-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1908=TRUE)*(F1908-Calc!F23))+(((IF(AND(ArtifactsInput!$M$42,((Inputs!$B$9+((C1910=TRUE)*(F1910-Calc!F25))+B1925+(ArtifactsInput!$M$24-ArtifactsInput!$M$24)*CHOOSE(ArtifactsInput!$N$24+1,10,12,14,16,18,20)+IF(ArtifactsInput!$M$10,CHOOSE(ArtifactsInput!$N$10+1,15,18,21,24,27,30)*(IF(Inputs!$B$39="pvp",MIN(15,15)/15,IF(AND(Inputs!$B$39&lt;&gt;"pvp",Inputs!$B$44&gt;0),MIN(15,Inputs!$B$44)/(Inputs!$B$44),0))),0)))&gt;=100),MIN(100,((Inputs!$B$9+((C1910=TRUE)*(F1910-Calc!F25))+B1925+(ArtifactsInput!$M$24-ArtifactsInput!$M$24)*CHOOSE(ArtifactsInput!$N$24+1,10,12,14,16,18,20)+IF(ArtifactsInput!$M$10,CHOOSE(ArtifactsInput!$N$10+1,15,18,21,24,27,30)*(IF(Inputs!$B$39="pvp",MIN(15,15)/15,IF(AND(Inputs!$B$39&lt;&gt;"pvp",Inputs!$B$44&gt;0),MIN(15,Inputs!$B$44)/(Inputs!$B$44),0))),0)))-100),0))*CHOOSE(ArtifactsInput!$N$42+1,0.6,0.72,0.84,0.96,1.08,1.2))),Inputs!$B$18+((C1914=TRUE)*(F1914-Calc!F29))+(IF(AND(ArtifactsInput!$M$42,((Inputs!$B$9+((C1910=TRUE)*(F1910-Calc!F25))+B1925+(ArtifactsInput!$M$24-ArtifactsInput!$M$24)*CHOOSE(ArtifactsInput!$N$24+1,10,12,14,16,18,20)+IF(ArtifactsInput!$M$10,CHOOSE(ArtifactsInput!$N$10+1,15,18,21,24,27,30)*(IF(Inputs!$B$39="pvp",MIN(15,15)/15,IF(AND(Inputs!$B$39&lt;&gt;"pvp",Inputs!$B$44&gt;0),MIN(15,Inputs!$B$44)/(Inputs!$B$44),0))),0)))&gt;=100),CHOOSE(ArtifactsInput!$N$42+1,40,48,56,64,72,80),0))))/100)*(((1+(((C1906=TRUE)*F1906*IF(AND(Inputs!$B$39&lt;&gt;"pvp",Inputs!$B$44&gt;0),(((R1906-1)*(Skills!Y21*(1+Inputs!$B$34/100))+MIN((Skills!Y21*(1+Inputs!$B$34/100)),MAX(0,Inputs!$B$44-((R1906-1)*Skills!D21))))/Inputs!$B$44),IF(Inputs!$B$39="pvp",MIN((Skills!Y21*(1+Inputs!$B$34/100)),15)/15,(Skills!Y21*(1+Inputs!$B$34/100))/Skills!D21)))+((C1913=TRUE)*(F1913-Calc!F28))+((C1903=TRUE)*(F1903-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1900=TRUE)*F1900*IF(AND(Inputs!$B$39&lt;&gt;"pvp",Inputs!$B$44&gt;0),(((R1900-1)*(Skills!Y15*(1+Inputs!$B$34/100))+MIN((Skills!Y15*(1+Inputs!$B$34/100)),MAX(0,Inputs!$B$44-((R1900-1)*Skills!D15))))/Inputs!$B$44),IF(Inputs!$B$39="pvp",MIN((Skills!Y15*(1+Inputs!$B$34/100)),15)/15,(Skills!Y15*(1+Inputs!$B$34/100))/Skills!D15)))/100)*(1+((C1891=TRUE)*F1891*B1919)/100))*B1927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1897)</f>
        <v/>
      </c>
      <c r="L1897">
        <f>K1897*(MIN(Inputs!$B$22+((C1909=TRUE)*(F1909-Calc!F24)),(Inputs!$B$23+0+(IF(ArtifactsInput!$M$15,CHOOSE(ArtifactsInput!$N$15+1,25,30,35,40,45,50)/100*(Inputs!$B$11-Inputs!$B$11),0))))/100+(Inputs!$B$23+0+(IF(ArtifactsInput!$M$15,CHOOSE(ArtifactsInput!$N$15+1,25,30,35,40,45,50)/100*(Inputs!$B$11-Inputs!$B$11),0)))/100)/2</f>
        <v/>
      </c>
      <c r="M1897">
        <f>L1897*(1+(Inputs!$B$10+((C1911=TRUE)*(F1911-Calc!F26))+B1928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97">
        <f>L1897*(1-MIN((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1897*(MIN((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97">
        <f>(1-Summary!$B$11)*T1897+Summary!$B$11*V1897</f>
        <v/>
      </c>
      <c r="P1897">
        <f>IF(B1929=0,0,O1897/B1929)</f>
        <v/>
      </c>
      <c r="Q1897">
        <f>IFERROR(1/IF(Inputs!$B$39="pvp",15,MAX(0.1,Skills!D12-IF(Skills!E12=TRUE,Inputs!$B$32,0))),0)</f>
        <v/>
      </c>
      <c r="R1897">
        <f>IF(AND(Inputs!$B$39&lt;&gt;"pvp",Inputs!$B$44&gt;0),IF(MAX(0,Inputs!$B$44-B1930)&lt;=0,0,(INT(MAX(0,Inputs!$B$44-B1930)/IF(Inputs!$B$39="pvp",15,MAX(0.1,Skills!D12-IF(Skills!E12=TRUE,Inputs!$B$32,0))))+1)),0)</f>
        <v/>
      </c>
      <c r="S1897">
        <f>IFERROR(O1897/N1897,0)</f>
        <v/>
      </c>
      <c r="T1897">
        <f>IF(C1897,(H1897*N1897*IF(AND(Inputs!$B$39&lt;&gt;"pvp",Inputs!$B$44&gt;0),((Skills!G12*((R1897-1)*IF(Skills!H12&gt;0,Skills!I12/Skills!H12,1)+IF(Skills!H12&gt;0,MIN(Skills!I12,MAX(0,MAX(0,Inputs!$B$44-B1930)-((R1897-1)*IF(Inputs!$B$39="pvp",15,MAX(0.1,Skills!D12-IF(Skills!E12=TRUE,Inputs!$B$32,0))))))/Skills!H12,1)))/Inputs!$B$44),G1897*Q1897))*IF(Inputs!$B$39="pvp",1,1+(Inputs!$B$20+((C1912=TRUE)*(F1912-Calc!F27))+Skills!P12+B1926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Hunt"),CHOOSE(ArtifactsInput!$N$35+1,15,18,21,24,27,30)*(1-EXP(-(0.2*B1921)*5)),0)+IF(AND(ArtifactsInput!$M$22,Inputs!$B$4&lt;&gt;"Chapter Hunt"),CHOOSE(ArtifactsInput!$N$22+1,10,12,14,16,18,20)*((0*(((0.15*B1921*5))^0/1)+1*(((0.15*B1921*5))^1/1)+2*(((0.15*B1921*5))^2/2)+3*(((0.15*B1921*5))^3/6)+4*(((0.15*B1921*5))^4/24)+5*(((0.15*B1921*5))^5/120))/((((0.15*B1921*5))^0/1)+(((0.15*B1921*5))^1/1)+(((0.15*B1921*5))^2/2)+(((0.15*B1921*5))^3/6)+(((0.15*B1921*5))^4/24)+(((0.15*B1921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1897*(1-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1897*(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1897*(1-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1897*(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97">
        <f>IF(C1897,(H1897*N1897*IF(AND(Inputs!$B$39&lt;&gt;"pvp",Inputs!$B$44&gt;0),((Skills!G12*((R1897-1)*IF(Skills!H12&gt;0,Skills!I12/Skills!H12,1)+IF(Skills!H12&gt;0,MIN(Skills!I12,MAX(0,MAX(0,Inputs!$B$44-B1930)-((R1897-1)*IF(Inputs!$B$39="pvp",15,MAX(0.1,Skills!D12-IF(Skills!E12=TRUE,Inputs!$B$32,0))))))/Skills!H12,1)))/Inputs!$B$44),G1897*Q1897))*IF(Inputs!$B$39="pvp",1,(1+(Inputs!$B$21+Skills!Q12+B1926+(IF(ArtifactsInput!$M$33,CHOOSE(ArtifactsInput!$N$33+1,30,36,42,48,54,60),0))+(IF(AND(ArtifactsInput!$M$35,Inputs!$B$4&lt;&gt;"Chapter Hunt"),CHOOSE(ArtifactsInput!$N$35+1,15,18,21,24,27,30)*(1-EXP(-(0.2*B1921)*5)),0)+IF(AND(ArtifactsInput!$M$22,Inputs!$B$4&lt;&gt;"Chapter Hunt"),CHOOSE(ArtifactsInput!$N$22+1,10,12,14,16,18,20)*((0*(((0.15*B1921*5))^0/1)+1*(((0.15*B1921*5))^1/1)+2*(((0.15*B1921*5))^2/2)+3*(((0.15*B1921*5))^3/6)+4*(((0.15*B1921*5))^4/24)+5*(((0.15*B1921*5))^5/120))/((((0.15*B1921*5))^0/1)+(((0.15*B1921*5))^1/1)+(((0.15*B1921*5))^2/2)+(((0.15*B1921*5))^3/6)+(((0.15*B1921*5))^4/24)+(((0.15*B1921*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98">
      <c r="A1898">
        <f>Skills!A13</f>
        <v/>
      </c>
      <c r="B1898">
        <f>Skills!B13</f>
        <v/>
      </c>
      <c r="C1898">
        <f>Inputs!$B$3&gt;=105</f>
        <v/>
      </c>
      <c r="D1898">
        <f>IF(Skills!C13=1,60+Inputs!$B$25+Inputs!$B$29,IF(Skills!C13=2,90+Inputs!$B$26+Inputs!$B$29,IF(Skills!C13=3,120+Inputs!$B$27+Inputs!$B$29,MAX(0,(Inputs!$B$3-100)*3)+Inputs!$B$28+Inputs!$B$29)))</f>
        <v/>
      </c>
      <c r="E1898">
        <f>INDEX(FactorTable!$B$2:$Y$301, MATCH(ROUND(MIN(300,MAX(1,D1898)),0), FactorTable!$A$2:$A$301,0), Skills!M13+1)</f>
        <v/>
      </c>
      <c r="F1898">
        <f>IF(Skills!N13=TRUE,(Skills!L13/10)*(E1898/1000),Skills!L13/10)+Skills!O13</f>
        <v/>
      </c>
      <c r="G1898">
        <f>Calc!G13</f>
        <v/>
      </c>
      <c r="H1898">
        <f>Calc!H13</f>
        <v/>
      </c>
      <c r="I1898">
        <f>IF(Skills!AA13&lt;&gt;"",1+(Skills!AA13/10)*(U1888/1000)/100,1)</f>
        <v/>
      </c>
      <c r="J1898">
        <f>((Inputs!$B$6*(1+Inputs!$B$7/100))+(((Inputs!$B$12*(1+Inputs!$B$13/100))-(Inputs!$B$12*(1+Inputs!$B$13/100)))+0.25*(Inputs!$B$14-Inputs!$B$14))*(1+Inputs!$B$7/100))*(F1898/100)</f>
        <v/>
      </c>
      <c r="K1898">
        <f>J1898*(1+((Inputs!$B$12*(1+Inputs!$B$13/100))*0.01+Inputs!$B$14*0.0025)/100)*(1+Inputs!$B$15/100)*(1+Inputs!$B$16/100)*(5000/(6000+Inputs!$B$43*(1-(100*(1-(1-(Inputs!$B$19+0)/100)*(1-CHOOSE(ArtifactsInput!$N$40+1,5,6,7,8,9,10)/100)^(ArtifactsInput!$M$40-ArtifactsInput!$M$40)))/100)))*(1+(Inputs!$B$24+((C1915=TRUE)*(F1915-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1908=TRUE)*(F1908-Calc!F23))+(((IF(AND(ArtifactsInput!$M$42,((Inputs!$B$9+((C1910=TRUE)*(F1910-Calc!F25))+B1925+(ArtifactsInput!$M$24-ArtifactsInput!$M$24)*CHOOSE(ArtifactsInput!$N$24+1,10,12,14,16,18,20)+IF(ArtifactsInput!$M$10,CHOOSE(ArtifactsInput!$N$10+1,15,18,21,24,27,30)*(IF(Inputs!$B$39="pvp",MIN(15,15)/15,IF(AND(Inputs!$B$39&lt;&gt;"pvp",Inputs!$B$44&gt;0),MIN(15,Inputs!$B$44)/(Inputs!$B$44),0))),0)))&gt;=100),MIN(100,((Inputs!$B$9+((C1910=TRUE)*(F1910-Calc!F25))+B1925+(ArtifactsInput!$M$24-ArtifactsInput!$M$24)*CHOOSE(ArtifactsInput!$N$24+1,10,12,14,16,18,20)+IF(ArtifactsInput!$M$10,CHOOSE(ArtifactsInput!$N$10+1,15,18,21,24,27,30)*(IF(Inputs!$B$39="pvp",MIN(15,15)/15,IF(AND(Inputs!$B$39&lt;&gt;"pvp",Inputs!$B$44&gt;0),MIN(15,Inputs!$B$44)/(Inputs!$B$44),0))),0)))-100),0))*CHOOSE(ArtifactsInput!$N$42+1,0.6,0.72,0.84,0.96,1.08,1.2))),Inputs!$B$18+((C1914=TRUE)*(F1914-Calc!F29))+(IF(AND(ArtifactsInput!$M$42,((Inputs!$B$9+((C1910=TRUE)*(F1910-Calc!F25))+B1925+(ArtifactsInput!$M$24-ArtifactsInput!$M$24)*CHOOSE(ArtifactsInput!$N$24+1,10,12,14,16,18,20)+IF(ArtifactsInput!$M$10,CHOOSE(ArtifactsInput!$N$10+1,15,18,21,24,27,30)*(IF(Inputs!$B$39="pvp",MIN(15,15)/15,IF(AND(Inputs!$B$39&lt;&gt;"pvp",Inputs!$B$44&gt;0),MIN(15,Inputs!$B$44)/(Inputs!$B$44),0))),0)))&gt;=100),CHOOSE(ArtifactsInput!$N$42+1,40,48,56,64,72,80),0))))/100)*(((1+(((C1906=TRUE)*F1906*IF(AND(Inputs!$B$39&lt;&gt;"pvp",Inputs!$B$44&gt;0),(((R1906-1)*(Skills!Y21*(1+Inputs!$B$34/100))+MIN((Skills!Y21*(1+Inputs!$B$34/100)),MAX(0,Inputs!$B$44-((R1906-1)*Skills!D21))))/Inputs!$B$44),IF(Inputs!$B$39="pvp",MIN((Skills!Y21*(1+Inputs!$B$34/100)),15)/15,(Skills!Y21*(1+Inputs!$B$34/100))/Skills!D21)))+((C1913=TRUE)*(F1913-Calc!F28))+((C1903=TRUE)*(F1903-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1900=TRUE)*F1900*IF(AND(Inputs!$B$39&lt;&gt;"pvp",Inputs!$B$44&gt;0),(((R1900-1)*(Skills!Y15*(1+Inputs!$B$34/100))+MIN((Skills!Y15*(1+Inputs!$B$34/100)),MAX(0,Inputs!$B$44-((R1900-1)*Skills!D15))))/Inputs!$B$44),IF(Inputs!$B$39="pvp",MIN((Skills!Y15*(1+Inputs!$B$34/100)),15)/15,(Skills!Y15*(1+Inputs!$B$34/100))/Skills!D15)))/100)*(1+((C1891=TRUE)*F1891*B1919)/100))*B1927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1898)</f>
        <v/>
      </c>
      <c r="L1898">
        <f>K1898*(MIN(Inputs!$B$22+((C1909=TRUE)*(F1909-Calc!F24)),(Inputs!$B$23+0+(IF(ArtifactsInput!$M$15,CHOOSE(ArtifactsInput!$N$15+1,25,30,35,40,45,50)/100*(Inputs!$B$11-Inputs!$B$11),0))))/100+(Inputs!$B$23+0+(IF(ArtifactsInput!$M$15,CHOOSE(ArtifactsInput!$N$15+1,25,30,35,40,45,50)/100*(Inputs!$B$11-Inputs!$B$11),0)))/100)/2</f>
        <v/>
      </c>
      <c r="M1898">
        <f>L1898*(1+(Inputs!$B$10+((C1911=TRUE)*(F1911-Calc!F26))+B1928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98">
        <f>L1898*(1-MIN((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1898*(MIN((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98">
        <f>(1-Summary!$B$11)*T1898+Summary!$B$11*V1898</f>
        <v/>
      </c>
      <c r="P1898">
        <f>IF(B1929=0,0,O1898/B1929)</f>
        <v/>
      </c>
      <c r="Q1898">
        <f>IFERROR(1/IF(Inputs!$B$39="pvp",15,MAX(0.1,Skills!D13-IF(Skills!E13=TRUE,Inputs!$B$32,0))),0)</f>
        <v/>
      </c>
      <c r="R1898">
        <f>IF(AND(Inputs!$B$39&lt;&gt;"pvp",Inputs!$B$44&gt;0),IF(MAX(0,Inputs!$B$44-B1930)&lt;=0,0,(INT(MAX(0,Inputs!$B$44-B1930)/IF(Inputs!$B$39="pvp",15,MAX(0.1,Skills!D13-IF(Skills!E13=TRUE,Inputs!$B$32,0))))+1)),0)</f>
        <v/>
      </c>
      <c r="S1898">
        <f>IFERROR(O1898/N1898,0)</f>
        <v/>
      </c>
      <c r="T1898">
        <f>IF(C1898,(H1898*N1898*IF(AND(Inputs!$B$39&lt;&gt;"pvp",Inputs!$B$44&gt;0),((Skills!G13*((R1898-1)*IF(Skills!H13&gt;0,Skills!I13/Skills!H13,1)+IF(Skills!H13&gt;0,MIN(Skills!I13,MAX(0,MAX(0,Inputs!$B$44-B1930)-((R1898-1)*IF(Inputs!$B$39="pvp",15,MAX(0.1,Skills!D13-IF(Skills!E13=TRUE,Inputs!$B$32,0))))))/Skills!H13,1)))/Inputs!$B$44),G1898*Q1898))*IF(Inputs!$B$39="pvp",1,1+(Inputs!$B$20+((C1912=TRUE)*(F1912-Calc!F27))+Skills!P13+B1926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Hunt"),CHOOSE(ArtifactsInput!$N$35+1,15,18,21,24,27,30)*(1-EXP(-(0.2*B1921)*5)),0)+IF(AND(ArtifactsInput!$M$22,Inputs!$B$4&lt;&gt;"Chapter Hunt"),CHOOSE(ArtifactsInput!$N$22+1,10,12,14,16,18,20)*((0*(((0.15*B1921*5))^0/1)+1*(((0.15*B1921*5))^1/1)+2*(((0.15*B1921*5))^2/2)+3*(((0.15*B1921*5))^3/6)+4*(((0.15*B1921*5))^4/24)+5*(((0.15*B1921*5))^5/120))/((((0.15*B1921*5))^0/1)+(((0.15*B1921*5))^1/1)+(((0.15*B1921*5))^2/2)+(((0.15*B1921*5))^3/6)+(((0.15*B1921*5))^4/24)+(((0.15*B1921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1898*(1-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1898*(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1898*(1-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1898*(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98">
        <f>IF(C1898,(H1898*N1898*IF(AND(Inputs!$B$39&lt;&gt;"pvp",Inputs!$B$44&gt;0),((Skills!G13*((R1898-1)*IF(Skills!H13&gt;0,Skills!I13/Skills!H13,1)+IF(Skills!H13&gt;0,MIN(Skills!I13,MAX(0,MAX(0,Inputs!$B$44-B1930)-((R1898-1)*IF(Inputs!$B$39="pvp",15,MAX(0.1,Skills!D13-IF(Skills!E13=TRUE,Inputs!$B$32,0))))))/Skills!H13,1)))/Inputs!$B$44),G1898*Q1898))*IF(Inputs!$B$39="pvp",1,(1+(Inputs!$B$21+Skills!Q13+B1926+(IF(ArtifactsInput!$M$33,CHOOSE(ArtifactsInput!$N$33+1,30,36,42,48,54,60),0))+(IF(AND(ArtifactsInput!$M$35,Inputs!$B$4&lt;&gt;"Chapter Hunt"),CHOOSE(ArtifactsInput!$N$35+1,15,18,21,24,27,30)*(1-EXP(-(0.2*B1921)*5)),0)+IF(AND(ArtifactsInput!$M$22,Inputs!$B$4&lt;&gt;"Chapter Hunt"),CHOOSE(ArtifactsInput!$N$22+1,10,12,14,16,18,20)*((0*(((0.15*B1921*5))^0/1)+1*(((0.15*B1921*5))^1/1)+2*(((0.15*B1921*5))^2/2)+3*(((0.15*B1921*5))^3/6)+4*(((0.15*B1921*5))^4/24)+5*(((0.15*B1921*5))^5/120))/((((0.15*B1921*5))^0/1)+(((0.15*B1921*5))^1/1)+(((0.15*B1921*5))^2/2)+(((0.15*B1921*5))^3/6)+(((0.15*B1921*5))^4/24)+(((0.15*B1921*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99">
      <c r="A1899">
        <f>Skills!A14</f>
        <v/>
      </c>
      <c r="B1899">
        <f>Skills!B14</f>
        <v/>
      </c>
      <c r="C1899">
        <f>Inputs!$B$3&gt;=105</f>
        <v/>
      </c>
      <c r="D1899">
        <f>IF(Skills!C14=1,60+Inputs!$B$25+Inputs!$B$29,IF(Skills!C14=2,90+Inputs!$B$26+Inputs!$B$29,IF(Skills!C14=3,120+Inputs!$B$27+Inputs!$B$29,MAX(0,(Inputs!$B$3-100)*3)+Inputs!$B$28+Inputs!$B$29)))</f>
        <v/>
      </c>
      <c r="E1899">
        <f>INDEX(FactorTable!$B$2:$Y$301, MATCH(ROUND(MIN(300,MAX(1,D1899)),0), FactorTable!$A$2:$A$301,0), Skills!M14+1)</f>
        <v/>
      </c>
      <c r="F1899">
        <f>IF(Skills!N14=TRUE,(Skills!L14/10)*(E1899/1000),Skills!L14/10)+Skills!O14</f>
        <v/>
      </c>
      <c r="G1899">
        <f>Calc!G14</f>
        <v/>
      </c>
      <c r="H1899">
        <f>Calc!H14</f>
        <v/>
      </c>
      <c r="I1899">
        <f>IF(Skills!AA14&lt;&gt;"",1+(Skills!AA14/10)*(U1888/1000)/100,1)</f>
        <v/>
      </c>
      <c r="J1899">
        <f>((Inputs!$B$6*(1+Inputs!$B$7/100))+(((Inputs!$B$12*(1+Inputs!$B$13/100))-(Inputs!$B$12*(1+Inputs!$B$13/100)))+0.25*(Inputs!$B$14-Inputs!$B$14))*(1+Inputs!$B$7/100))*(F1899/100)</f>
        <v/>
      </c>
      <c r="K1899">
        <f>J1899*(1+((Inputs!$B$12*(1+Inputs!$B$13/100))*0.01+Inputs!$B$14*0.0025)/100)*(1+Inputs!$B$15/100)*(1+Inputs!$B$16/100)*(5000/(6000+Inputs!$B$43*(1-(100*(1-(1-(Inputs!$B$19+0)/100)*(1-CHOOSE(ArtifactsInput!$N$40+1,5,6,7,8,9,10)/100)^(ArtifactsInput!$M$40-ArtifactsInput!$M$40)))/100)))*(1+(Inputs!$B$24+((C1915=TRUE)*(F1915-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1908=TRUE)*(F1908-Calc!F23))+(((IF(AND(ArtifactsInput!$M$42,((Inputs!$B$9+((C1910=TRUE)*(F1910-Calc!F25))+B1925+(ArtifactsInput!$M$24-ArtifactsInput!$M$24)*CHOOSE(ArtifactsInput!$N$24+1,10,12,14,16,18,20)+IF(ArtifactsInput!$M$10,CHOOSE(ArtifactsInput!$N$10+1,15,18,21,24,27,30)*(IF(Inputs!$B$39="pvp",MIN(15,15)/15,IF(AND(Inputs!$B$39&lt;&gt;"pvp",Inputs!$B$44&gt;0),MIN(15,Inputs!$B$44)/(Inputs!$B$44),0))),0)))&gt;=100),MIN(100,((Inputs!$B$9+((C1910=TRUE)*(F1910-Calc!F25))+B1925+(ArtifactsInput!$M$24-ArtifactsInput!$M$24)*CHOOSE(ArtifactsInput!$N$24+1,10,12,14,16,18,20)+IF(ArtifactsInput!$M$10,CHOOSE(ArtifactsInput!$N$10+1,15,18,21,24,27,30)*(IF(Inputs!$B$39="pvp",MIN(15,15)/15,IF(AND(Inputs!$B$39&lt;&gt;"pvp",Inputs!$B$44&gt;0),MIN(15,Inputs!$B$44)/(Inputs!$B$44),0))),0)))-100),0))*CHOOSE(ArtifactsInput!$N$42+1,0.6,0.72,0.84,0.96,1.08,1.2))),Inputs!$B$18+((C1914=TRUE)*(F1914-Calc!F29))+(IF(AND(ArtifactsInput!$M$42,((Inputs!$B$9+((C1910=TRUE)*(F1910-Calc!F25))+B1925+(ArtifactsInput!$M$24-ArtifactsInput!$M$24)*CHOOSE(ArtifactsInput!$N$24+1,10,12,14,16,18,20)+IF(ArtifactsInput!$M$10,CHOOSE(ArtifactsInput!$N$10+1,15,18,21,24,27,30)*(IF(Inputs!$B$39="pvp",MIN(15,15)/15,IF(AND(Inputs!$B$39&lt;&gt;"pvp",Inputs!$B$44&gt;0),MIN(15,Inputs!$B$44)/(Inputs!$B$44),0))),0)))&gt;=100),CHOOSE(ArtifactsInput!$N$42+1,40,48,56,64,72,80),0))))/100)*(((1+(((C1906=TRUE)*F1906*IF(AND(Inputs!$B$39&lt;&gt;"pvp",Inputs!$B$44&gt;0),(((R1906-1)*(Skills!Y21*(1+Inputs!$B$34/100))+MIN((Skills!Y21*(1+Inputs!$B$34/100)),MAX(0,Inputs!$B$44-((R1906-1)*Skills!D21))))/Inputs!$B$44),IF(Inputs!$B$39="pvp",MIN((Skills!Y21*(1+Inputs!$B$34/100)),15)/15,(Skills!Y21*(1+Inputs!$B$34/100))/Skills!D21)))+((C1913=TRUE)*(F1913-Calc!F28))+((C1903=TRUE)*(F1903-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1900=TRUE)*F1900*IF(AND(Inputs!$B$39&lt;&gt;"pvp",Inputs!$B$44&gt;0),(((R1900-1)*(Skills!Y15*(1+Inputs!$B$34/100))+MIN((Skills!Y15*(1+Inputs!$B$34/100)),MAX(0,Inputs!$B$44-((R1900-1)*Skills!D15))))/Inputs!$B$44),IF(Inputs!$B$39="pvp",MIN((Skills!Y15*(1+Inputs!$B$34/100)),15)/15,(Skills!Y15*(1+Inputs!$B$34/100))/Skills!D15)))/100)*(1+((C1891=TRUE)*F1891*B1919)/100))*B1927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1899)</f>
        <v/>
      </c>
      <c r="L1899">
        <f>K1899*(MIN(Inputs!$B$22+((C1909=TRUE)*(F1909-Calc!F24)),(Inputs!$B$23+0+(IF(ArtifactsInput!$M$15,CHOOSE(ArtifactsInput!$N$15+1,25,30,35,40,45,50)/100*(Inputs!$B$11-Inputs!$B$11),0))))/100+(Inputs!$B$23+0+(IF(ArtifactsInput!$M$15,CHOOSE(ArtifactsInput!$N$15+1,25,30,35,40,45,50)/100*(Inputs!$B$11-Inputs!$B$11),0)))/100)/2</f>
        <v/>
      </c>
      <c r="M1899">
        <f>L1899*(1+(Inputs!$B$10+((C1911=TRUE)*(F1911-Calc!F26))+B1928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99">
        <f>L1899*(1-MIN((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1899*(MIN((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99">
        <f>(1-Summary!$B$11)*T1899+Summary!$B$11*V1899</f>
        <v/>
      </c>
      <c r="P1899">
        <f>IF(B1929=0,0,O1899/B1929)</f>
        <v/>
      </c>
      <c r="Q1899">
        <f>IFERROR(1/IF(Inputs!$B$39="pvp",15,MAX(0.1,Skills!D14-IF(Skills!E14=TRUE,Inputs!$B$32,0))),0)</f>
        <v/>
      </c>
      <c r="R1899">
        <f>IF(AND(Inputs!$B$39&lt;&gt;"pvp",Inputs!$B$44&gt;0),IF(MAX(0,Inputs!$B$44-B1930)&lt;=0,0,(INT(MAX(0,Inputs!$B$44-B1930)/IF(Inputs!$B$39="pvp",15,MAX(0.1,Skills!D14-IF(Skills!E14=TRUE,Inputs!$B$32,0))))+1)),0)</f>
        <v/>
      </c>
      <c r="S1899">
        <f>IFERROR(O1899/N1899,0)</f>
        <v/>
      </c>
      <c r="T1899">
        <f>IF(C1899,(H1899*N1899*IF(AND(Inputs!$B$39&lt;&gt;"pvp",Inputs!$B$44&gt;0),((Skills!G14*((R1899-1)*IF(Skills!H14&gt;0,Skills!I14/Skills!H14,1)+IF(Skills!H14&gt;0,MIN(Skills!I14,MAX(0,MAX(0,Inputs!$B$44-B1930)-((R1899-1)*IF(Inputs!$B$39="pvp",15,MAX(0.1,Skills!D14-IF(Skills!E14=TRUE,Inputs!$B$32,0))))))/Skills!H14,1)))/Inputs!$B$44),G1899*Q1899))*IF(Inputs!$B$39="pvp",1,1+(Inputs!$B$20+((C1912=TRUE)*(F1912-Calc!F27))+Skills!P14+B1926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Hunt"),CHOOSE(ArtifactsInput!$N$35+1,15,18,21,24,27,30)*(1-EXP(-(0.2*B1921)*5)),0)+IF(AND(ArtifactsInput!$M$22,Inputs!$B$4&lt;&gt;"Chapter Hunt"),CHOOSE(ArtifactsInput!$N$22+1,10,12,14,16,18,20)*((0*(((0.15*B1921*5))^0/1)+1*(((0.15*B1921*5))^1/1)+2*(((0.15*B1921*5))^2/2)+3*(((0.15*B1921*5))^3/6)+4*(((0.15*B1921*5))^4/24)+5*(((0.15*B1921*5))^5/120))/((((0.15*B1921*5))^0/1)+(((0.15*B1921*5))^1/1)+(((0.15*B1921*5))^2/2)+(((0.15*B1921*5))^3/6)+(((0.15*B1921*5))^4/24)+(((0.15*B1921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1899*(1-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1899*(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1899*(1-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1899*(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99">
        <f>IF(C1899,(H1899*N1899*IF(AND(Inputs!$B$39&lt;&gt;"pvp",Inputs!$B$44&gt;0),((Skills!G14*((R1899-1)*IF(Skills!H14&gt;0,Skills!I14/Skills!H14,1)+IF(Skills!H14&gt;0,MIN(Skills!I14,MAX(0,MAX(0,Inputs!$B$44-B1930)-((R1899-1)*IF(Inputs!$B$39="pvp",15,MAX(0.1,Skills!D14-IF(Skills!E14=TRUE,Inputs!$B$32,0))))))/Skills!H14,1)))/Inputs!$B$44),G1899*Q1899))*IF(Inputs!$B$39="pvp",1,(1+(Inputs!$B$21+Skills!Q14+B1926+(IF(ArtifactsInput!$M$33,CHOOSE(ArtifactsInput!$N$33+1,30,36,42,48,54,60),0))+(IF(AND(ArtifactsInput!$M$35,Inputs!$B$4&lt;&gt;"Chapter Hunt"),CHOOSE(ArtifactsInput!$N$35+1,15,18,21,24,27,30)*(1-EXP(-(0.2*B1921)*5)),0)+IF(AND(ArtifactsInput!$M$22,Inputs!$B$4&lt;&gt;"Chapter Hunt"),CHOOSE(ArtifactsInput!$N$22+1,10,12,14,16,18,20)*((0*(((0.15*B1921*5))^0/1)+1*(((0.15*B1921*5))^1/1)+2*(((0.15*B1921*5))^2/2)+3*(((0.15*B1921*5))^3/6)+4*(((0.15*B1921*5))^4/24)+5*(((0.15*B1921*5))^5/120))/((((0.15*B1921*5))^0/1)+(((0.15*B1921*5))^1/1)+(((0.15*B1921*5))^2/2)+(((0.15*B1921*5))^3/6)+(((0.15*B1921*5))^4/24)+(((0.15*B1921*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00">
      <c r="A1900">
        <f>Skills!A15</f>
        <v/>
      </c>
      <c r="B1900">
        <f>Skills!B15</f>
        <v/>
      </c>
      <c r="C1900">
        <f>Inputs!$B$3&gt;=110</f>
        <v/>
      </c>
      <c r="D1900">
        <f>IF(Skills!C15=1,60+Inputs!$B$25+Inputs!$B$29,IF(Skills!C15=2,90+Inputs!$B$26+Inputs!$B$29,IF(Skills!C15=3,120+Inputs!$B$27+Inputs!$B$29,MAX(0,(Inputs!$B$3-100)*3)+Inputs!$B$28+Inputs!$B$29)))</f>
        <v/>
      </c>
      <c r="E1900">
        <f>INDEX(FactorTable!$B$2:$Y$301, MATCH(ROUND(MIN(300,MAX(1,D1900)),0), FactorTable!$A$2:$A$301,0), Skills!M15+1)</f>
        <v/>
      </c>
      <c r="F1900">
        <f>IF(Skills!N15=TRUE,(Skills!L15/10)*(E1900/1000),Skills!L15/10)+Skills!O15</f>
        <v/>
      </c>
      <c r="G1900">
        <f>Calc!G15</f>
        <v/>
      </c>
      <c r="H1900">
        <f>Calc!H15</f>
        <v/>
      </c>
      <c r="I1900">
        <f>IF(Skills!AA15&lt;&gt;"",1+(Skills!AA15/10)*(U1888/1000)/100,1)</f>
        <v/>
      </c>
      <c r="J1900" t="inlineStr"/>
      <c r="K1900" t="inlineStr"/>
      <c r="L1900" t="inlineStr"/>
      <c r="M1900" t="inlineStr"/>
      <c r="N1900" t="inlineStr"/>
      <c r="O1900">
        <f>(1-Summary!$B$11)*T1900+Summary!$B$11*V1900</f>
        <v/>
      </c>
      <c r="P1900">
        <f>IF(B1929=0,0,O1900/B1929)</f>
        <v/>
      </c>
      <c r="Q1900">
        <f>IFERROR(1/IF(Inputs!$B$39="pvp",15,MAX(0.1,Skills!D15-IF(Skills!E15=TRUE,Inputs!$B$32,0))),0)</f>
        <v/>
      </c>
      <c r="R1900">
        <f>IF(AND(Inputs!$B$39&lt;&gt;"pvp",Inputs!$B$44&gt;0),IF(Inputs!$B$44&lt;=0,0,(INT(Inputs!$B$44/IF(Inputs!$B$39="pvp",15,MAX(0.1,Skills!D15-IF(Skills!E15=TRUE,Inputs!$B$32,0))))+1)),0)</f>
        <v/>
      </c>
      <c r="S1900">
        <f>IFERROR(O1900/N1900,0)</f>
        <v/>
      </c>
      <c r="T1900" t="n">
        <v>0</v>
      </c>
      <c r="V1900" t="n">
        <v>0</v>
      </c>
    </row>
    <row r="1901">
      <c r="A1901">
        <f>Skills!A16</f>
        <v/>
      </c>
      <c r="B1901">
        <f>Skills!B16</f>
        <v/>
      </c>
      <c r="C1901">
        <f>Inputs!$B$3&gt;=110</f>
        <v/>
      </c>
      <c r="D1901">
        <f>IF(Skills!C16=1,60+Inputs!$B$25+Inputs!$B$29,IF(Skills!C16=2,90+Inputs!$B$26+Inputs!$B$29,IF(Skills!C16=3,120+Inputs!$B$27+Inputs!$B$29,MAX(0,(Inputs!$B$3-100)*3)+Inputs!$B$28+Inputs!$B$29)))</f>
        <v/>
      </c>
      <c r="E1901">
        <f>INDEX(FactorTable!$B$2:$Y$301, MATCH(ROUND(MIN(300,MAX(1,D1901)),0), FactorTable!$A$2:$A$301,0), Skills!M16+1)</f>
        <v/>
      </c>
      <c r="F1901">
        <f>IF(Skills!N16=TRUE,(Skills!L16/10)*(E1901/1000),Skills!L16/10)+Skills!O16</f>
        <v/>
      </c>
      <c r="G1901">
        <f>Calc!G16</f>
        <v/>
      </c>
      <c r="H1901">
        <f>Calc!H16</f>
        <v/>
      </c>
      <c r="I1901">
        <f>IF(Skills!AA16&lt;&gt;"",1+(Skills!AA16/10)*(U1888/1000)/100,1)</f>
        <v/>
      </c>
      <c r="J1901" t="inlineStr"/>
      <c r="K1901" t="inlineStr"/>
      <c r="L1901" t="inlineStr"/>
      <c r="M1901" t="inlineStr"/>
      <c r="N1901" t="inlineStr"/>
      <c r="O1901">
        <f>(1-Summary!$B$11)*T1901+Summary!$B$11*V1901</f>
        <v/>
      </c>
      <c r="P1901">
        <f>IF(B1929=0,0,O1901/B1929)</f>
        <v/>
      </c>
      <c r="Q1901">
        <f>IFERROR(1/IF(Inputs!$B$39="pvp",15,MAX(0.1,Skills!D16-IF(Skills!E16=TRUE,Inputs!$B$32,0))),0)</f>
        <v/>
      </c>
      <c r="R1901">
        <f>IF(AND(Inputs!$B$39&lt;&gt;"pvp",Inputs!$B$44&gt;0),IF(Inputs!$B$44&lt;=0,0,(INT(Inputs!$B$44/IF(Inputs!$B$39="pvp",15,MAX(0.1,Skills!D16-IF(Skills!E16=TRUE,Inputs!$B$32,0))))+1)),0)</f>
        <v/>
      </c>
      <c r="S1901">
        <f>IFERROR(O1901/N1901,0)</f>
        <v/>
      </c>
      <c r="T1901" t="n">
        <v>0</v>
      </c>
      <c r="V1901" t="n">
        <v>0</v>
      </c>
    </row>
    <row r="1902">
      <c r="A1902">
        <f>Skills!A17</f>
        <v/>
      </c>
      <c r="B1902">
        <f>Skills!B17</f>
        <v/>
      </c>
      <c r="C1902">
        <f>Inputs!$B$3&gt;=115</f>
        <v/>
      </c>
      <c r="D1902">
        <f>IF(Skills!C17=1,60+Inputs!$B$25+Inputs!$B$29,IF(Skills!C17=2,90+Inputs!$B$26+Inputs!$B$29,IF(Skills!C17=3,120+Inputs!$B$27+Inputs!$B$29,MAX(0,(Inputs!$B$3-100)*3)+Inputs!$B$28+Inputs!$B$29)))</f>
        <v/>
      </c>
      <c r="E1902">
        <f>INDEX(FactorTable!$B$2:$Y$301, MATCH(ROUND(MIN(300,MAX(1,D1902)),0), FactorTable!$A$2:$A$301,0), Skills!M17+1)</f>
        <v/>
      </c>
      <c r="F1902">
        <f>IF(Skills!N17=TRUE,(Skills!L17/10)*(E1902/1000),Skills!L17/10)+Skills!O17</f>
        <v/>
      </c>
      <c r="G1902">
        <f>Calc!G17</f>
        <v/>
      </c>
      <c r="H1902">
        <f>Calc!H17</f>
        <v/>
      </c>
      <c r="I1902">
        <f>IF(Skills!AA17&lt;&gt;"",1+(Skills!AA17/10)*(U1888/1000)/100,1)</f>
        <v/>
      </c>
      <c r="J1902">
        <f>((Inputs!$B$6*(1+Inputs!$B$7/100))+(((Inputs!$B$12*(1+Inputs!$B$13/100))-(Inputs!$B$12*(1+Inputs!$B$13/100)))+0.25*(Inputs!$B$14-Inputs!$B$14))*(1+Inputs!$B$7/100))*(F1902/100)</f>
        <v/>
      </c>
      <c r="K1902">
        <f>J1902*(1+((Inputs!$B$12*(1+Inputs!$B$13/100))*0.01+Inputs!$B$14*0.0025)/100)*(1+Inputs!$B$15/100)*(1+Inputs!$B$16/100)*(5000/(6000+Inputs!$B$43*(1-(100*(1-(1-(Inputs!$B$19+0)/100)*(1-CHOOSE(ArtifactsInput!$N$40+1,5,6,7,8,9,10)/100)^(ArtifactsInput!$M$40-ArtifactsInput!$M$40)))/100)))*(1+(Inputs!$B$24+((C1915=TRUE)*(F1915-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1908=TRUE)*(F1908-Calc!F23))+(((IF(AND(ArtifactsInput!$M$42,((Inputs!$B$9+((C1910=TRUE)*(F1910-Calc!F25))+B1925+(ArtifactsInput!$M$24-ArtifactsInput!$M$24)*CHOOSE(ArtifactsInput!$N$24+1,10,12,14,16,18,20)+IF(ArtifactsInput!$M$10,CHOOSE(ArtifactsInput!$N$10+1,15,18,21,24,27,30)*(IF(Inputs!$B$39="pvp",MIN(15,15)/15,IF(AND(Inputs!$B$39&lt;&gt;"pvp",Inputs!$B$44&gt;0),MIN(15,Inputs!$B$44)/(Inputs!$B$44),0))),0)))&gt;=100),MIN(100,((Inputs!$B$9+((C1910=TRUE)*(F1910-Calc!F25))+B1925+(ArtifactsInput!$M$24-ArtifactsInput!$M$24)*CHOOSE(ArtifactsInput!$N$24+1,10,12,14,16,18,20)+IF(ArtifactsInput!$M$10,CHOOSE(ArtifactsInput!$N$10+1,15,18,21,24,27,30)*(IF(Inputs!$B$39="pvp",MIN(15,15)/15,IF(AND(Inputs!$B$39&lt;&gt;"pvp",Inputs!$B$44&gt;0),MIN(15,Inputs!$B$44)/(Inputs!$B$44),0))),0)))-100),0))*CHOOSE(ArtifactsInput!$N$42+1,0.6,0.72,0.84,0.96,1.08,1.2))),Inputs!$B$18+((C1914=TRUE)*(F1914-Calc!F29))+(IF(AND(ArtifactsInput!$M$42,((Inputs!$B$9+((C1910=TRUE)*(F1910-Calc!F25))+B1925+(ArtifactsInput!$M$24-ArtifactsInput!$M$24)*CHOOSE(ArtifactsInput!$N$24+1,10,12,14,16,18,20)+IF(ArtifactsInput!$M$10,CHOOSE(ArtifactsInput!$N$10+1,15,18,21,24,27,30)*(IF(Inputs!$B$39="pvp",MIN(15,15)/15,IF(AND(Inputs!$B$39&lt;&gt;"pvp",Inputs!$B$44&gt;0),MIN(15,Inputs!$B$44)/(Inputs!$B$44),0))),0)))&gt;=100),CHOOSE(ArtifactsInput!$N$42+1,40,48,56,64,72,80),0))))/100)*(((1+(((C1906=TRUE)*F1906*IF(AND(Inputs!$B$39&lt;&gt;"pvp",Inputs!$B$44&gt;0),(((R1906-1)*(Skills!Y21*(1+Inputs!$B$34/100))+MIN((Skills!Y21*(1+Inputs!$B$34/100)),MAX(0,Inputs!$B$44-((R1906-1)*Skills!D21))))/Inputs!$B$44),IF(Inputs!$B$39="pvp",MIN((Skills!Y21*(1+Inputs!$B$34/100)),15)/15,(Skills!Y21*(1+Inputs!$B$34/100))/Skills!D21)))+((C1913=TRUE)*(F1913-Calc!F28))+((C1903=TRUE)*(F1903-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1900=TRUE)*F1900*IF(AND(Inputs!$B$39&lt;&gt;"pvp",Inputs!$B$44&gt;0),(((R1900-1)*(Skills!Y15*(1+Inputs!$B$34/100))+MIN((Skills!Y15*(1+Inputs!$B$34/100)),MAX(0,Inputs!$B$44-((R1900-1)*Skills!D15))))/Inputs!$B$44),IF(Inputs!$B$39="pvp",MIN((Skills!Y15*(1+Inputs!$B$34/100)),15)/15,(Skills!Y15*(1+Inputs!$B$34/100))/Skills!D15)))/100)*(1+((C1891=TRUE)*F1891*B1919)/100))*B1927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1902)</f>
        <v/>
      </c>
      <c r="L1902">
        <f>K1902*(MIN(Inputs!$B$22+((C1909=TRUE)*(F1909-Calc!F24)),(Inputs!$B$23+0+(IF(ArtifactsInput!$M$15,CHOOSE(ArtifactsInput!$N$15+1,25,30,35,40,45,50)/100*(Inputs!$B$11-Inputs!$B$11),0))))/100+(Inputs!$B$23+0+(IF(ArtifactsInput!$M$15,CHOOSE(ArtifactsInput!$N$15+1,25,30,35,40,45,50)/100*(Inputs!$B$11-Inputs!$B$11),0)))/100)/2</f>
        <v/>
      </c>
      <c r="M1902">
        <f>L1902*(1+(Inputs!$B$10+((C1911=TRUE)*(F1911-Calc!F26))+B1928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02">
        <f>L1902*(1-MIN((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1902*(MIN((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02">
        <f>(1-Summary!$B$11)*T1902+Summary!$B$11*V1902</f>
        <v/>
      </c>
      <c r="P1902">
        <f>IF(B1929=0,0,O1902/B1929)</f>
        <v/>
      </c>
      <c r="Q1902" t="n">
        <v>0</v>
      </c>
      <c r="R1902" t="n">
        <v>0</v>
      </c>
      <c r="S1902">
        <f>IFERROR(O1902/N1902,0)</f>
        <v/>
      </c>
      <c r="T1902">
        <f>IF(C1902,(Inputs!$B$38*0.2*N1902)*IF(Inputs!$B$39="pvp",1,1+(Inputs!$B$20+((C1912=TRUE)*(F1912-Calc!F27))+Skills!P17+B1926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Hunt"),CHOOSE(ArtifactsInput!$N$35+1,15,18,21,24,27,30)*(1-EXP(-(0.2*B1921)*5)),0)+IF(AND(ArtifactsInput!$M$22,Inputs!$B$4&lt;&gt;"Chapter Hunt"),CHOOSE(ArtifactsInput!$N$22+1,10,12,14,16,18,20)*((0*(((0.15*B1921*5))^0/1)+1*(((0.15*B1921*5))^1/1)+2*(((0.15*B1921*5))^2/2)+3*(((0.15*B1921*5))^3/6)+4*(((0.15*B1921*5))^4/24)+5*(((0.15*B1921*5))^5/120))/((((0.15*B1921*5))^0/1)+(((0.15*B1921*5))^1/1)+(((0.15*B1921*5))^2/2)+(((0.15*B1921*5))^3/6)+(((0.15*B1921*5))^4/24)+(((0.15*B1921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1902*(1-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1902*(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1902*(1-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1902*(MIN(100,(Inputs!$B$9+((C1910=TRUE)*(F1910-Calc!F25))+B1925+(ArtifactsInput!$M$24-ArtifactsInput!$M$24)*CHOOSE(ArtifactsInput!$N$24+1,10,12,14,16,18,20)+(IF(AND(ArtifactsInput!$M$42,((Inputs!$B$9+((C1910=TRUE)*(F1910-Calc!F25))+B1925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02">
        <f>IF(C1902,(Inputs!$B$38*0.2*N1902)*IF(Inputs!$B$39="pvp",1,(1+(Inputs!$B$21+Skills!Q17+B1926+(IF(ArtifactsInput!$M$33,CHOOSE(ArtifactsInput!$N$33+1,30,36,42,48,54,60),0))+(IF(AND(ArtifactsInput!$M$35,Inputs!$B$4&lt;&gt;"Chapter Hunt"),CHOOSE(ArtifactsInput!$N$35+1,15,18,21,24,27,30)*(1-EXP(-(0.2*B1921)*5)),0)+IF(AND(ArtifactsInput!$M$22,Inputs!$B$4&lt;&gt;"Chapter Hunt"),CHOOSE(ArtifactsInput!$N$22+1,10,12,14,16,18,20)*((0*(((0.15*B1921*5))^0/1)+1*(((0.15*B1921*5))^1/1)+2*(((0.15*B1921*5))^2/2)+3*(((0.15*B1921*5))^3/6)+4*(((0.15*B1921*5))^4/24)+5*(((0.15*B1921*5))^5/120))/((((0.15*B1921*5))^0/1)+(((0.15*B1921*5))^1/1)+(((0.15*B1921*5))^2/2)+(((0.15*B1921*5))^3/6)+(((0.15*B1921*5))^4/24)+(((0.15*B1921*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03">
      <c r="A1903">
        <f>Skills!A18</f>
        <v/>
      </c>
      <c r="B1903">
        <f>Skills!B18</f>
        <v/>
      </c>
      <c r="C1903">
        <f>Inputs!$B$3&gt;=115</f>
        <v/>
      </c>
      <c r="D1903">
        <f>IF(Skills!C18=1,60+Inputs!$B$25+Inputs!$B$29,IF(Skills!C18=2,90+Inputs!$B$26+Inputs!$B$29,IF(Skills!C18=3,120+Inputs!$B$27+Inputs!$B$29,MAX(0,(Inputs!$B$3-100)*3)+Inputs!$B$28+Inputs!$B$29)))</f>
        <v/>
      </c>
      <c r="E1903">
        <f>INDEX(FactorTable!$B$2:$Y$301, MATCH(ROUND(MIN(300,MAX(1,D1903)),0), FactorTable!$A$2:$A$301,0), Skills!M18+1)</f>
        <v/>
      </c>
      <c r="F1903">
        <f>IF(Skills!N18=TRUE,(Skills!L18/10)*(E1903/1000),Skills!L18/10)+Skills!O18</f>
        <v/>
      </c>
      <c r="G1903">
        <f>Calc!G18</f>
        <v/>
      </c>
      <c r="H1903">
        <f>Calc!H18</f>
        <v/>
      </c>
      <c r="I1903">
        <f>IF(Skills!AA18&lt;&gt;"",1+(Skills!AA18/10)*(U1888/1000)/100,1)</f>
        <v/>
      </c>
      <c r="J1903" t="inlineStr"/>
      <c r="K1903" t="inlineStr"/>
      <c r="L1903" t="inlineStr"/>
      <c r="M1903" t="inlineStr"/>
      <c r="N1903" t="inlineStr"/>
      <c r="O1903">
        <f>(1-Summary!$B$11)*T1903+Summary!$B$11*V1903</f>
        <v/>
      </c>
      <c r="P1903">
        <f>IF(B1929=0,0,O1903/B1929)</f>
        <v/>
      </c>
      <c r="Q1903" t="n">
        <v>0</v>
      </c>
      <c r="R1903" t="n">
        <v>0</v>
      </c>
      <c r="S1903">
        <f>IFERROR(O1903/N1903,0)</f>
        <v/>
      </c>
      <c r="T1903" t="n">
        <v>0</v>
      </c>
      <c r="V1903" t="n">
        <v>0</v>
      </c>
    </row>
    <row r="1904">
      <c r="A1904">
        <f>Skills!A19</f>
        <v/>
      </c>
      <c r="B1904">
        <f>Skills!B19</f>
        <v/>
      </c>
      <c r="C1904">
        <f>TRUE</f>
        <v/>
      </c>
      <c r="D1904">
        <f>IF(Skills!C19=1,60+Inputs!$B$25+Inputs!$B$29,IF(Skills!C19=2,90+Inputs!$B$26+Inputs!$B$29,IF(Skills!C19=3,120+Inputs!$B$27+Inputs!$B$29,MAX(0,(Inputs!$B$3-100)*3)+Inputs!$B$28+Inputs!$B$29)))</f>
        <v/>
      </c>
      <c r="E1904">
        <f>INDEX(FactorTable!$B$2:$Y$301, MATCH(ROUND(MIN(300,MAX(1,D1904)),0), FactorTable!$A$2:$A$301,0), Skills!M19+1)</f>
        <v/>
      </c>
      <c r="F1904">
        <f>IF(Skills!N19=TRUE,(Skills!L19/10)*(E1904/1000),Skills!L19/10)+Skills!O19</f>
        <v/>
      </c>
      <c r="G1904">
        <f>Calc!G19</f>
        <v/>
      </c>
      <c r="H1904">
        <f>Calc!H19</f>
        <v/>
      </c>
      <c r="I1904">
        <f>IF(Skills!AA19&lt;&gt;"",1+(Skills!AA19/10)*(U1888/1000)/100,1)</f>
        <v/>
      </c>
      <c r="J1904" t="inlineStr"/>
      <c r="K1904" t="inlineStr"/>
      <c r="L1904" t="inlineStr"/>
      <c r="M1904" t="inlineStr"/>
      <c r="N1904" t="inlineStr"/>
      <c r="O1904">
        <f>(1-Summary!$B$11)*T1904+Summary!$B$11*V1904</f>
        <v/>
      </c>
      <c r="P1904">
        <f>IF(B1929=0,0,O1904/B1929)</f>
        <v/>
      </c>
      <c r="Q1904">
        <f>IFERROR(1/IF(Inputs!$B$39="pvp",15,MAX(0.1,Skills!D19-IF(Skills!E19=TRUE,Inputs!$B$32,0))),0)</f>
        <v/>
      </c>
      <c r="R1904">
        <f>IF(AND(Inputs!$B$39&lt;&gt;"pvp",Inputs!$B$44&gt;0),IF(Inputs!$B$44&lt;=0,0,(INT(Inputs!$B$44/IF(Inputs!$B$39="pvp",15,MAX(0.1,Skills!D19-IF(Skills!E19=TRUE,Inputs!$B$32,0))))+1)),0)</f>
        <v/>
      </c>
      <c r="S1904">
        <f>IFERROR(O1904/N1904,0)</f>
        <v/>
      </c>
      <c r="T1904" t="n">
        <v>0</v>
      </c>
      <c r="V1904" t="n">
        <v>0</v>
      </c>
    </row>
    <row r="1905">
      <c r="A1905">
        <f>Skills!A20</f>
        <v/>
      </c>
      <c r="B1905">
        <f>Skills!B20</f>
        <v/>
      </c>
      <c r="C1905">
        <f>Inputs!$B$3&gt;=15</f>
        <v/>
      </c>
      <c r="D1905">
        <f>IF(Skills!C20=1,60+Inputs!$B$25+Inputs!$B$29,IF(Skills!C20=2,90+Inputs!$B$26+Inputs!$B$29,IF(Skills!C20=3,120+Inputs!$B$27+Inputs!$B$29,MAX(0,(Inputs!$B$3-100)*3)+Inputs!$B$28+Inputs!$B$29)))</f>
        <v/>
      </c>
      <c r="E1905">
        <f>INDEX(FactorTable!$B$2:$Y$301, MATCH(ROUND(MIN(300,MAX(1,D1905)),0), FactorTable!$A$2:$A$301,0), Skills!M20+1)</f>
        <v/>
      </c>
      <c r="F1905">
        <f>IF(Skills!N20=TRUE,(Skills!L20/10)*(E1905/1000),Skills!L20/10)+Skills!O20</f>
        <v/>
      </c>
      <c r="G1905">
        <f>Calc!G20</f>
        <v/>
      </c>
      <c r="H1905">
        <f>Calc!H20</f>
        <v/>
      </c>
      <c r="I1905">
        <f>IF(Skills!AA20&lt;&gt;"",1+(Skills!AA20/10)*(U1888/1000)/100,1)</f>
        <v/>
      </c>
      <c r="J1905" t="inlineStr"/>
      <c r="K1905" t="inlineStr"/>
      <c r="L1905" t="inlineStr"/>
      <c r="M1905" t="inlineStr"/>
      <c r="N1905" t="inlineStr"/>
      <c r="O1905">
        <f>(1-Summary!$B$11)*T1905+Summary!$B$11*V1905</f>
        <v/>
      </c>
      <c r="P1905">
        <f>IF(B1929=0,0,O1905/B1929)</f>
        <v/>
      </c>
      <c r="Q1905">
        <f>IFERROR(1/IF(Inputs!$B$39="pvp",15,MAX(0.1,Skills!D20-IF(Skills!E20=TRUE,Inputs!$B$32,0))),0)</f>
        <v/>
      </c>
      <c r="R1905">
        <f>IF(AND(Inputs!$B$39&lt;&gt;"pvp",Inputs!$B$44&gt;0),IF(Inputs!$B$44&lt;=0,0,(INT(Inputs!$B$44/IF(Inputs!$B$39="pvp",15,MAX(0.1,Skills!D20-IF(Skills!E20=TRUE,Inputs!$B$32,0))))+1)),0)</f>
        <v/>
      </c>
      <c r="S1905">
        <f>IFERROR(O1905/N1905,0)</f>
        <v/>
      </c>
      <c r="T1905" t="n">
        <v>0</v>
      </c>
      <c r="V1905" t="n">
        <v>0</v>
      </c>
    </row>
    <row r="1906">
      <c r="A1906">
        <f>Skills!A21</f>
        <v/>
      </c>
      <c r="B1906">
        <f>Skills!B21</f>
        <v/>
      </c>
      <c r="C1906">
        <f>Inputs!$B$3&gt;=15</f>
        <v/>
      </c>
      <c r="D1906">
        <f>IF(Skills!C21=1,60+Inputs!$B$25+Inputs!$B$29,IF(Skills!C21=2,90+Inputs!$B$26+Inputs!$B$29,IF(Skills!C21=3,120+Inputs!$B$27+Inputs!$B$29,MAX(0,(Inputs!$B$3-100)*3)+Inputs!$B$28+Inputs!$B$29)))</f>
        <v/>
      </c>
      <c r="E1906">
        <f>INDEX(FactorTable!$B$2:$Y$301, MATCH(ROUND(MIN(300,MAX(1,D1906)),0), FactorTable!$A$2:$A$301,0), Skills!M21+1)</f>
        <v/>
      </c>
      <c r="F1906">
        <f>IF(Skills!N21=TRUE,(Skills!L21/10)*(E1906/1000),Skills!L21/10)+Skills!O21</f>
        <v/>
      </c>
      <c r="G1906">
        <f>Calc!G21</f>
        <v/>
      </c>
      <c r="H1906">
        <f>Calc!H21</f>
        <v/>
      </c>
      <c r="I1906">
        <f>IF(Skills!AA21&lt;&gt;"",1+(Skills!AA21/10)*(U1888/1000)/100,1)</f>
        <v/>
      </c>
      <c r="J1906" t="inlineStr"/>
      <c r="K1906" t="inlineStr"/>
      <c r="L1906" t="inlineStr"/>
      <c r="M1906" t="inlineStr"/>
      <c r="N1906" t="inlineStr"/>
      <c r="O1906">
        <f>(1-Summary!$B$11)*T1906+Summary!$B$11*V1906</f>
        <v/>
      </c>
      <c r="P1906">
        <f>IF(B1929=0,0,O1906/B1929)</f>
        <v/>
      </c>
      <c r="Q1906">
        <f>IFERROR(1/IF(Inputs!$B$39="pvp",15,MAX(0.1,Skills!D21-IF(Skills!E21=TRUE,Inputs!$B$32,0))),0)</f>
        <v/>
      </c>
      <c r="R1906">
        <f>IF(AND(Inputs!$B$39&lt;&gt;"pvp",Inputs!$B$44&gt;0),IF(Inputs!$B$44&lt;=0,0,(INT(Inputs!$B$44/IF(Inputs!$B$39="pvp",15,MAX(0.1,Skills!D21-IF(Skills!E21=TRUE,Inputs!$B$32,0))))+1)),0)</f>
        <v/>
      </c>
      <c r="S1906">
        <f>IFERROR(O1906/N1906,0)</f>
        <v/>
      </c>
      <c r="T1906" t="n">
        <v>0</v>
      </c>
      <c r="V1906" t="n">
        <v>0</v>
      </c>
    </row>
    <row r="1907">
      <c r="A1907">
        <f>Skills!A22</f>
        <v/>
      </c>
      <c r="B1907">
        <f>Skills!B22</f>
        <v/>
      </c>
      <c r="C1907">
        <f>Inputs!$B$3&gt;=33</f>
        <v/>
      </c>
      <c r="D1907">
        <f>IF(Skills!C22=1,60+Inputs!$B$25+Inputs!$B$29,IF(Skills!C22=2,90+Inputs!$B$26+Inputs!$B$29,IF(Skills!C22=3,120+Inputs!$B$27+Inputs!$B$29,MAX(0,(Inputs!$B$3-100)*3)+Inputs!$B$28+Inputs!$B$29)))</f>
        <v/>
      </c>
      <c r="E1907">
        <f>INDEX(FactorTable!$B$2:$Y$301, MATCH(ROUND(MIN(300,MAX(1,D1907)),0), FactorTable!$A$2:$A$301,0), Skills!M22+1)</f>
        <v/>
      </c>
      <c r="F1907">
        <f>IF(Skills!N22=TRUE,(Skills!L22/10)*(E1907/1000),Skills!L22/10)+Skills!O22</f>
        <v/>
      </c>
      <c r="G1907">
        <f>Calc!G22</f>
        <v/>
      </c>
      <c r="H1907">
        <f>Calc!H22</f>
        <v/>
      </c>
      <c r="I1907">
        <f>IF(Skills!AA22&lt;&gt;"",1+(Skills!AA22/10)*(U1888/1000)/100,1)</f>
        <v/>
      </c>
      <c r="J1907" t="inlineStr"/>
      <c r="K1907" t="inlineStr"/>
      <c r="L1907" t="inlineStr"/>
      <c r="M1907" t="inlineStr"/>
      <c r="N1907" t="inlineStr"/>
      <c r="O1907">
        <f>(1-Summary!$B$11)*T1907+Summary!$B$11*V1907</f>
        <v/>
      </c>
      <c r="P1907">
        <f>IF(B1929=0,0,O1907/B1929)</f>
        <v/>
      </c>
      <c r="Q1907" t="n">
        <v>0</v>
      </c>
      <c r="R1907" t="n">
        <v>0</v>
      </c>
      <c r="S1907">
        <f>IFERROR(O1907/N1907,0)</f>
        <v/>
      </c>
      <c r="T1907" t="n">
        <v>0</v>
      </c>
      <c r="V1907" t="n">
        <v>0</v>
      </c>
    </row>
    <row r="1908">
      <c r="A1908">
        <f>Skills!A23</f>
        <v/>
      </c>
      <c r="B1908">
        <f>Skills!B23</f>
        <v/>
      </c>
      <c r="C1908">
        <f>Inputs!$B$3&gt;=38</f>
        <v/>
      </c>
      <c r="D1908">
        <f>IF(Skills!C23=1,60+Inputs!$B$25+Inputs!$B$29,IF(Skills!C23=2,90+Inputs!$B$26+Inputs!$B$29,IF(Skills!C23=3,120+Inputs!$B$27+Inputs!$B$29,MAX(0,(Inputs!$B$3-100)*3)+Inputs!$B$28+Inputs!$B$29)))</f>
        <v/>
      </c>
      <c r="E1908">
        <f>INDEX(FactorTable!$B$2:$Y$301, MATCH(ROUND(MIN(300,MAX(1,D1908)),0), FactorTable!$A$2:$A$301,0), Skills!M23+1)</f>
        <v/>
      </c>
      <c r="F1908">
        <f>IF(Skills!N23=TRUE,(Skills!L23/10)*(E1908/1000),Skills!L23/10)+Skills!O23</f>
        <v/>
      </c>
      <c r="G1908">
        <f>Calc!G23</f>
        <v/>
      </c>
      <c r="H1908">
        <f>Calc!H23</f>
        <v/>
      </c>
      <c r="I1908">
        <f>IF(Skills!AA23&lt;&gt;"",1+(Skills!AA23/10)*(U1888/1000)/100,1)</f>
        <v/>
      </c>
      <c r="J1908" t="inlineStr"/>
      <c r="K1908" t="inlineStr"/>
      <c r="L1908" t="inlineStr"/>
      <c r="M1908" t="inlineStr"/>
      <c r="N1908" t="inlineStr"/>
      <c r="O1908">
        <f>(1-Summary!$B$11)*T1908+Summary!$B$11*V1908</f>
        <v/>
      </c>
      <c r="P1908">
        <f>IF(B1929=0,0,O1908/B1929)</f>
        <v/>
      </c>
      <c r="Q1908" t="n">
        <v>0</v>
      </c>
      <c r="R1908" t="n">
        <v>0</v>
      </c>
      <c r="S1908">
        <f>IFERROR(O1908/N1908,0)</f>
        <v/>
      </c>
      <c r="T1908" t="n">
        <v>0</v>
      </c>
      <c r="V1908" t="n">
        <v>0</v>
      </c>
    </row>
    <row r="1909">
      <c r="A1909">
        <f>Skills!A24</f>
        <v/>
      </c>
      <c r="B1909">
        <f>Skills!B24</f>
        <v/>
      </c>
      <c r="C1909">
        <f>Inputs!$B$3&gt;=40</f>
        <v/>
      </c>
      <c r="D1909">
        <f>IF(Skills!C24=1,60+Inputs!$B$25+Inputs!$B$29,IF(Skills!C24=2,90+Inputs!$B$26+Inputs!$B$29,IF(Skills!C24=3,120+Inputs!$B$27+Inputs!$B$29,MAX(0,(Inputs!$B$3-100)*3)+Inputs!$B$28+Inputs!$B$29)))</f>
        <v/>
      </c>
      <c r="E1909">
        <f>INDEX(FactorTable!$B$2:$Y$301, MATCH(ROUND(MIN(300,MAX(1,D1909)),0), FactorTable!$A$2:$A$301,0), Skills!M24+1)</f>
        <v/>
      </c>
      <c r="F1909">
        <f>IF(Skills!N24=TRUE,(Skills!L24/10)*(E1909/1000),Skills!L24/10)+Skills!O24</f>
        <v/>
      </c>
      <c r="G1909">
        <f>Calc!G24</f>
        <v/>
      </c>
      <c r="H1909">
        <f>Calc!H24</f>
        <v/>
      </c>
      <c r="I1909">
        <f>IF(Skills!AA24&lt;&gt;"",1+(Skills!AA24/10)*(U1888/1000)/100,1)</f>
        <v/>
      </c>
      <c r="J1909" t="inlineStr"/>
      <c r="K1909" t="inlineStr"/>
      <c r="L1909" t="inlineStr"/>
      <c r="M1909" t="inlineStr"/>
      <c r="N1909" t="inlineStr"/>
      <c r="O1909">
        <f>(1-Summary!$B$11)*T1909+Summary!$B$11*V1909</f>
        <v/>
      </c>
      <c r="P1909">
        <f>IF(B1929=0,0,O1909/B1929)</f>
        <v/>
      </c>
      <c r="Q1909" t="n">
        <v>0</v>
      </c>
      <c r="R1909" t="n">
        <v>0</v>
      </c>
      <c r="S1909">
        <f>IFERROR(O1909/N1909,0)</f>
        <v/>
      </c>
      <c r="T1909" t="n">
        <v>0</v>
      </c>
      <c r="V1909" t="n">
        <v>0</v>
      </c>
    </row>
    <row r="1910">
      <c r="A1910">
        <f>Skills!A25</f>
        <v/>
      </c>
      <c r="B1910">
        <f>Skills!B25</f>
        <v/>
      </c>
      <c r="C1910">
        <f>Inputs!$B$3&gt;=45</f>
        <v/>
      </c>
      <c r="D1910">
        <f>IF(Skills!C25=1,60+Inputs!$B$25+Inputs!$B$29,IF(Skills!C25=2,90+Inputs!$B$26+Inputs!$B$29,IF(Skills!C25=3,120+Inputs!$B$27+Inputs!$B$29,MAX(0,(Inputs!$B$3-100)*3)+Inputs!$B$28+Inputs!$B$29)))</f>
        <v/>
      </c>
      <c r="E1910">
        <f>INDEX(FactorTable!$B$2:$Y$301, MATCH(ROUND(MIN(300,MAX(1,D1910)),0), FactorTable!$A$2:$A$301,0), Skills!M25+1)</f>
        <v/>
      </c>
      <c r="F1910">
        <f>IF(Skills!N25=TRUE,(Skills!L25/10)*(E1910/1000),Skills!L25/10)+Skills!O25</f>
        <v/>
      </c>
      <c r="G1910">
        <f>Calc!G25</f>
        <v/>
      </c>
      <c r="H1910">
        <f>Calc!H25</f>
        <v/>
      </c>
      <c r="I1910">
        <f>IF(Skills!AA25&lt;&gt;"",1+(Skills!AA25/10)*(U1888/1000)/100,1)</f>
        <v/>
      </c>
      <c r="J1910" t="inlineStr"/>
      <c r="K1910" t="inlineStr"/>
      <c r="L1910" t="inlineStr"/>
      <c r="M1910" t="inlineStr"/>
      <c r="N1910" t="inlineStr"/>
      <c r="O1910">
        <f>(1-Summary!$B$11)*T1910+Summary!$B$11*V1910</f>
        <v/>
      </c>
      <c r="P1910">
        <f>IF(B1929=0,0,O1910/B1929)</f>
        <v/>
      </c>
      <c r="Q1910" t="n">
        <v>0</v>
      </c>
      <c r="R1910" t="n">
        <v>0</v>
      </c>
      <c r="S1910">
        <f>IFERROR(O1910/N1910,0)</f>
        <v/>
      </c>
      <c r="T1910" t="n">
        <v>0</v>
      </c>
      <c r="V1910" t="n">
        <v>0</v>
      </c>
    </row>
    <row r="1911">
      <c r="A1911">
        <f>Skills!A26</f>
        <v/>
      </c>
      <c r="B1911">
        <f>Skills!B26</f>
        <v/>
      </c>
      <c r="C1911">
        <f>Inputs!$B$3&gt;=45</f>
        <v/>
      </c>
      <c r="D1911">
        <f>IF(Skills!C26=1,60+Inputs!$B$25+Inputs!$B$29,IF(Skills!C26=2,90+Inputs!$B$26+Inputs!$B$29,IF(Skills!C26=3,120+Inputs!$B$27+Inputs!$B$29,MAX(0,(Inputs!$B$3-100)*3)+Inputs!$B$28+Inputs!$B$29)))</f>
        <v/>
      </c>
      <c r="E1911">
        <f>INDEX(FactorTable!$B$2:$Y$301, MATCH(ROUND(MIN(300,MAX(1,D1911)),0), FactorTable!$A$2:$A$301,0), Skills!M26+1)</f>
        <v/>
      </c>
      <c r="F1911">
        <f>IF(Skills!N26=TRUE,(Skills!L26/10)*(E1911/1000),Skills!L26/10)+Skills!O26</f>
        <v/>
      </c>
      <c r="G1911">
        <f>Calc!G26</f>
        <v/>
      </c>
      <c r="H1911">
        <f>Calc!H26</f>
        <v/>
      </c>
      <c r="I1911">
        <f>IF(Skills!AA26&lt;&gt;"",1+(Skills!AA26/10)*(U1888/1000)/100,1)</f>
        <v/>
      </c>
      <c r="J1911" t="inlineStr"/>
      <c r="K1911" t="inlineStr"/>
      <c r="L1911" t="inlineStr"/>
      <c r="M1911" t="inlineStr"/>
      <c r="N1911" t="inlineStr"/>
      <c r="O1911">
        <f>(1-Summary!$B$11)*T1911+Summary!$B$11*V1911</f>
        <v/>
      </c>
      <c r="P1911">
        <f>IF(B1929=0,0,O1911/B1929)</f>
        <v/>
      </c>
      <c r="Q1911" t="n">
        <v>0</v>
      </c>
      <c r="R1911" t="n">
        <v>0</v>
      </c>
      <c r="S1911">
        <f>IFERROR(O1911/N1911,0)</f>
        <v/>
      </c>
      <c r="T1911" t="n">
        <v>0</v>
      </c>
      <c r="V1911" t="n">
        <v>0</v>
      </c>
    </row>
    <row r="1912">
      <c r="A1912">
        <f>Skills!A27</f>
        <v/>
      </c>
      <c r="B1912">
        <f>Skills!B27</f>
        <v/>
      </c>
      <c r="C1912">
        <f>Inputs!$B$3&gt;=72</f>
        <v/>
      </c>
      <c r="D1912">
        <f>IF(Skills!C27=1,60+Inputs!$B$25+Inputs!$B$29,IF(Skills!C27=2,90+Inputs!$B$26+Inputs!$B$29,IF(Skills!C27=3,120+Inputs!$B$27+Inputs!$B$29,MAX(0,(Inputs!$B$3-100)*3)+Inputs!$B$28+Inputs!$B$29)))</f>
        <v/>
      </c>
      <c r="E1912">
        <f>INDEX(FactorTable!$B$2:$Y$301, MATCH(ROUND(MIN(300,MAX(1,D1912)),0), FactorTable!$A$2:$A$301,0), Skills!M27+1)</f>
        <v/>
      </c>
      <c r="F1912">
        <f>IF(Skills!N27=TRUE,(Skills!L27/10)*(E1912/1000),Skills!L27/10)+Skills!O27</f>
        <v/>
      </c>
      <c r="G1912">
        <f>Calc!G27</f>
        <v/>
      </c>
      <c r="H1912">
        <f>Calc!H27</f>
        <v/>
      </c>
      <c r="I1912">
        <f>IF(Skills!AA27&lt;&gt;"",1+(Skills!AA27/10)*(U1888/1000)/100,1)</f>
        <v/>
      </c>
      <c r="J1912" t="inlineStr"/>
      <c r="K1912" t="inlineStr"/>
      <c r="L1912" t="inlineStr"/>
      <c r="M1912" t="inlineStr"/>
      <c r="N1912" t="inlineStr"/>
      <c r="O1912">
        <f>(1-Summary!$B$11)*T1912+Summary!$B$11*V1912</f>
        <v/>
      </c>
      <c r="P1912">
        <f>IF(B1929=0,0,O1912/B1929)</f>
        <v/>
      </c>
      <c r="Q1912" t="n">
        <v>0</v>
      </c>
      <c r="R1912" t="n">
        <v>0</v>
      </c>
      <c r="S1912">
        <f>IFERROR(O1912/N1912,0)</f>
        <v/>
      </c>
      <c r="T1912" t="n">
        <v>0</v>
      </c>
      <c r="V1912" t="n">
        <v>0</v>
      </c>
    </row>
    <row r="1913">
      <c r="A1913">
        <f>Skills!A28</f>
        <v/>
      </c>
      <c r="B1913">
        <f>Skills!B28</f>
        <v/>
      </c>
      <c r="C1913">
        <f>Inputs!$B$3&gt;=75</f>
        <v/>
      </c>
      <c r="D1913">
        <f>IF(Skills!C28=1,60+Inputs!$B$25+Inputs!$B$29,IF(Skills!C28=2,90+Inputs!$B$26+Inputs!$B$29,IF(Skills!C28=3,120+Inputs!$B$27+Inputs!$B$29,MAX(0,(Inputs!$B$3-100)*3)+Inputs!$B$28+Inputs!$B$29)))</f>
        <v/>
      </c>
      <c r="E1913">
        <f>INDEX(FactorTable!$B$2:$Y$301, MATCH(ROUND(MIN(300,MAX(1,D1913)),0), FactorTable!$A$2:$A$301,0), Skills!M28+1)</f>
        <v/>
      </c>
      <c r="F1913">
        <f>IF(Skills!N28=TRUE,(Skills!L28/10)*(E1913/1000),Skills!L28/10)+Skills!O28</f>
        <v/>
      </c>
      <c r="G1913">
        <f>Calc!G28</f>
        <v/>
      </c>
      <c r="H1913">
        <f>Calc!H28</f>
        <v/>
      </c>
      <c r="I1913">
        <f>IF(Skills!AA28&lt;&gt;"",1+(Skills!AA28/10)*(U1888/1000)/100,1)</f>
        <v/>
      </c>
      <c r="J1913" t="inlineStr"/>
      <c r="K1913" t="inlineStr"/>
      <c r="L1913" t="inlineStr"/>
      <c r="M1913" t="inlineStr"/>
      <c r="N1913" t="inlineStr"/>
      <c r="O1913">
        <f>(1-Summary!$B$11)*T1913+Summary!$B$11*V1913</f>
        <v/>
      </c>
      <c r="P1913">
        <f>IF(B1929=0,0,O1913/B1929)</f>
        <v/>
      </c>
      <c r="Q1913" t="n">
        <v>0</v>
      </c>
      <c r="R1913" t="n">
        <v>0</v>
      </c>
      <c r="S1913">
        <f>IFERROR(O1913/N1913,0)</f>
        <v/>
      </c>
      <c r="T1913" t="n">
        <v>0</v>
      </c>
      <c r="V1913" t="n">
        <v>0</v>
      </c>
    </row>
    <row r="1914">
      <c r="A1914">
        <f>Skills!A29</f>
        <v/>
      </c>
      <c r="B1914">
        <f>Skills!B29</f>
        <v/>
      </c>
      <c r="C1914">
        <f>Inputs!$B$3&gt;=120</f>
        <v/>
      </c>
      <c r="D1914">
        <f>IF(Skills!C29=1,60+Inputs!$B$25+Inputs!$B$29,IF(Skills!C29=2,90+Inputs!$B$26+Inputs!$B$29,IF(Skills!C29=3,120+Inputs!$B$27+Inputs!$B$29,MAX(0,(Inputs!$B$3-100)*3)+Inputs!$B$28+Inputs!$B$29)))</f>
        <v/>
      </c>
      <c r="E1914">
        <f>INDEX(FactorTable!$B$2:$Y$301, MATCH(ROUND(MIN(300,MAX(1,D1914)),0), FactorTable!$A$2:$A$301,0), Skills!M29+1)</f>
        <v/>
      </c>
      <c r="F1914">
        <f>IF(Skills!N29=TRUE,(Skills!L29/10)*(E1914/1000),Skills!L29/10)+Skills!O29</f>
        <v/>
      </c>
      <c r="G1914">
        <f>Calc!G29</f>
        <v/>
      </c>
      <c r="H1914">
        <f>Calc!H29</f>
        <v/>
      </c>
      <c r="I1914">
        <f>IF(Skills!AA29&lt;&gt;"",1+(Skills!AA29/10)*(U1888/1000)/100,1)</f>
        <v/>
      </c>
      <c r="J1914" t="inlineStr"/>
      <c r="K1914" t="inlineStr"/>
      <c r="L1914" t="inlineStr"/>
      <c r="M1914" t="inlineStr"/>
      <c r="N1914" t="inlineStr"/>
      <c r="O1914">
        <f>(1-Summary!$B$11)*T1914+Summary!$B$11*V1914</f>
        <v/>
      </c>
      <c r="P1914">
        <f>IF(B1929=0,0,O1914/B1929)</f>
        <v/>
      </c>
      <c r="Q1914" t="n">
        <v>0</v>
      </c>
      <c r="R1914" t="n">
        <v>0</v>
      </c>
      <c r="S1914">
        <f>IFERROR(O1914/N1914,0)</f>
        <v/>
      </c>
      <c r="T1914" t="n">
        <v>0</v>
      </c>
      <c r="V1914" t="n">
        <v>0</v>
      </c>
    </row>
    <row r="1915">
      <c r="A1915">
        <f>Skills!A30</f>
        <v/>
      </c>
      <c r="B1915">
        <f>Skills!B30</f>
        <v/>
      </c>
      <c r="C1915">
        <f>Inputs!$B$3&gt;=125</f>
        <v/>
      </c>
      <c r="D1915">
        <f>IF(Skills!C30=1,60+Inputs!$B$25+Inputs!$B$29,IF(Skills!C30=2,90+Inputs!$B$26+Inputs!$B$29,IF(Skills!C30=3,120+Inputs!$B$27+Inputs!$B$29,MAX(0,(Inputs!$B$3-100)*3)+Inputs!$B$28+Inputs!$B$29)))</f>
        <v/>
      </c>
      <c r="E1915">
        <f>INDEX(FactorTable!$B$2:$Y$301, MATCH(ROUND(MIN(300,MAX(1,D1915)),0), FactorTable!$A$2:$A$301,0), Skills!M30+1)</f>
        <v/>
      </c>
      <c r="F1915">
        <f>IF(Skills!N30=TRUE,(Skills!L30/10)*(E1915/1000),Skills!L30/10)+Skills!O30</f>
        <v/>
      </c>
      <c r="G1915">
        <f>Calc!G30</f>
        <v/>
      </c>
      <c r="H1915">
        <f>Calc!H30</f>
        <v/>
      </c>
      <c r="I1915">
        <f>IF(Skills!AA30&lt;&gt;"",1+(Skills!AA30/10)*(U1888/1000)/100,1)</f>
        <v/>
      </c>
      <c r="J1915" t="inlineStr"/>
      <c r="K1915" t="inlineStr"/>
      <c r="L1915" t="inlineStr"/>
      <c r="M1915" t="inlineStr"/>
      <c r="N1915" t="inlineStr"/>
      <c r="O1915">
        <f>(1-Summary!$B$11)*T1915+Summary!$B$11*V1915</f>
        <v/>
      </c>
      <c r="P1915">
        <f>IF(B1929=0,0,O1915/B1929)</f>
        <v/>
      </c>
      <c r="Q1915" t="n">
        <v>0</v>
      </c>
      <c r="R1915" t="n">
        <v>0</v>
      </c>
      <c r="S1915">
        <f>IFERROR(O1915/N1915,0)</f>
        <v/>
      </c>
      <c r="T1915" t="n">
        <v>0</v>
      </c>
      <c r="V1915" t="n">
        <v>0</v>
      </c>
    </row>
    <row r="1916">
      <c r="A1916">
        <f>Skills!A31</f>
        <v/>
      </c>
      <c r="B1916">
        <f>Skills!B31</f>
        <v/>
      </c>
      <c r="C1916">
        <f>Inputs!$B$3&gt;=107</f>
        <v/>
      </c>
      <c r="D1916">
        <f>IF(Skills!C31=1,60+Inputs!$B$25+Inputs!$B$29,IF(Skills!C31=2,90+Inputs!$B$26+Inputs!$B$29,IF(Skills!C31=3,120+Inputs!$B$27+Inputs!$B$29,MAX(0,(Inputs!$B$3-100)*3)+Inputs!$B$28+Inputs!$B$29)))</f>
        <v/>
      </c>
      <c r="E1916">
        <f>INDEX(FactorTable!$B$2:$Y$301, MATCH(ROUND(MIN(300,MAX(1,D1916)),0), FactorTable!$A$2:$A$301,0), Skills!M31+1)</f>
        <v/>
      </c>
      <c r="F1916">
        <f>IF(Skills!N31=TRUE,(Skills!L31/10)*(E1916/1000),Skills!L31/10)+Skills!O31</f>
        <v/>
      </c>
      <c r="G1916">
        <f>Calc!G31</f>
        <v/>
      </c>
      <c r="H1916">
        <f>Calc!H31</f>
        <v/>
      </c>
      <c r="I1916">
        <f>IF(Skills!AA31&lt;&gt;"",1+(Skills!AA31/10)*(U1888/1000)/100,1)</f>
        <v/>
      </c>
      <c r="J1916" t="inlineStr"/>
      <c r="K1916" t="inlineStr"/>
      <c r="L1916" t="inlineStr"/>
      <c r="M1916" t="inlineStr"/>
      <c r="N1916" t="inlineStr"/>
      <c r="O1916">
        <f>(1-Summary!$B$11)*T1916+Summary!$B$11*V1916</f>
        <v/>
      </c>
      <c r="P1916">
        <f>IF(B1929=0,0,O1916/B1929)</f>
        <v/>
      </c>
      <c r="Q1916" t="n">
        <v>0</v>
      </c>
      <c r="R1916" t="n">
        <v>0</v>
      </c>
      <c r="S1916">
        <f>IFERROR(O1916/N1916,0)</f>
        <v/>
      </c>
      <c r="T1916" t="n">
        <v>0</v>
      </c>
      <c r="V1916" t="n">
        <v>0</v>
      </c>
    </row>
    <row r="1918">
      <c r="A1918" t="inlineStr">
        <is>
          <t>Actions Per Second (pre-Adrenalin)</t>
        </is>
      </c>
      <c r="B1918">
        <f>1+MIN(150,150*(1-(1-(Inputs!$B$11+((C1907=TRUE)*(F1907-Calc!F22))+(ArtifactsInput!$M$15-ArtifactsInput!$M$15)*CHOOSE(ArtifactsInput!$N$15+1,8,9.6,11.2,12.8,14.4,16))/150)*(1-((C1904=TRUE)*F1904*IF(AND(Inputs!$B$39&lt;&gt;"pvp",Inputs!$B$44&gt;0),(((R1904-1)*(Skills!Y19*(1+Inputs!$B$34/100))+MIN((Skills!Y19*(1+Inputs!$B$34/100)),MAX(0,Inputs!$B$44-((R1904-1)*Skills!D19))))/Inputs!$B$44),IF(Inputs!$B$39="pvp",MIN((Skills!Y19*(1+Inputs!$B$34/100)),15)/15,(Skills!Y19*(1+Inputs!$B$34/100))/Skills!D19)))/150)))/100</f>
        <v/>
      </c>
    </row>
    <row r="1919">
      <c r="A1919" t="inlineStr">
        <is>
          <t>Alchemic Adrenaline Uptime</t>
        </is>
      </c>
      <c r="B1919">
        <f>(Skills!Y6*(1+Inputs!$B$34/100))/((Skills!Y6*(1+Inputs!$B$34/100))+(5/B1918))</f>
        <v/>
      </c>
    </row>
    <row r="1920">
      <c r="A1920" t="inlineStr">
        <is>
          <t>Attack Speed Buff Bonus %</t>
        </is>
      </c>
      <c r="B1920">
        <f>((C1904=TRUE)*F1904*IF(AND(Inputs!$B$39&lt;&gt;"pvp",Inputs!$B$44&gt;0),(((R1904-1)*(Skills!Y19*(1+Inputs!$B$34/100))+MIN((Skills!Y19*(1+Inputs!$B$34/100)),MAX(0,Inputs!$B$44-((R1904-1)*Skills!D19))))/Inputs!$B$44),IF(Inputs!$B$39="pvp",MIN((Skills!Y19*(1+Inputs!$B$34/100)),15)/15,(Skills!Y19*(1+Inputs!$B$34/100))/Skills!D19)))+((C1892=TRUE)*F1892*B1919)</f>
        <v/>
      </c>
    </row>
    <row r="1921">
      <c r="A1921" t="inlineStr">
        <is>
          <t>Actions Per Second (final)</t>
        </is>
      </c>
      <c r="B1921">
        <f>1+MIN(150,150*(1-(1-(Inputs!$B$11+((C1907=TRUE)*(F1907-Calc!F22))+(ArtifactsInput!$M$15-ArtifactsInput!$M$15)*CHOOSE(ArtifactsInput!$N$15+1,8,9.6,11.2,12.8,14.4,16))/150)*(1-B1920/150)))/100</f>
        <v/>
      </c>
    </row>
    <row r="1922">
      <c r="A1922" t="inlineStr">
        <is>
          <t>Skill + Buff Cast Rate</t>
        </is>
      </c>
      <c r="B1922">
        <f>IF(AND(Inputs!$B$39&lt;&gt;"pvp",Inputs!$B$44&gt;0),SUMPRODUCT((Skills!E2:E31=TRUE)*(C1887:C1916=TRUE)*R1887:R1916*Skills!F2:F31)/Inputs!$B$44,SUMPRODUCT((Skills!E2:E31=TRUE)*(C1887:C1916=TRUE)*Q1887:Q1916*Skills!F2:F31))</f>
        <v/>
      </c>
    </row>
    <row r="1923">
      <c r="A1923" t="inlineStr">
        <is>
          <t>Showdown Casts Per Second</t>
        </is>
      </c>
      <c r="B1923">
        <f>MAX(0,B1921-B1922)</f>
        <v/>
      </c>
    </row>
    <row r="1924">
      <c r="A1924" t="inlineStr">
        <is>
          <t>Average Buff Multiplier</t>
        </is>
      </c>
      <c r="B1924">
        <f>(1+(((C1906=TRUE)*F1906*IF(AND(Inputs!$B$39&lt;&gt;"pvp",Inputs!$B$44&gt;0),(((R1906-1)*(Skills!Y21*(1+Inputs!$B$34/100))+MIN((Skills!Y21*(1+Inputs!$B$34/100)),MAX(0,Inputs!$B$44-((R1906-1)*Skills!D21))))/Inputs!$B$44),IF(Inputs!$B$39="pvp",MIN((Skills!Y21*(1+Inputs!$B$34/100)),15)/15,(Skills!Y21*(1+Inputs!$B$34/100))/Skills!D21)))+((C1913=TRUE)*(F1913-Calc!F28))+((C1903=TRUE)*(F1903-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1900=TRUE)*F1900*IF(AND(Inputs!$B$39&lt;&gt;"pvp",Inputs!$B$44&gt;0),(((R1900-1)*(Skills!Y15*(1+Inputs!$B$34/100))+MIN((Skills!Y15*(1+Inputs!$B$34/100)),MAX(0,Inputs!$B$44-((R1900-1)*Skills!D15))))/Inputs!$B$44),IF(Inputs!$B$39="pvp",MIN((Skills!Y15*(1+Inputs!$B$34/100)),15)/15,(Skills!Y15*(1+Inputs!$B$34/100))/Skills!D15)))/100)*(1+((C1891=TRUE)*F1891*B1919)/100)</f>
        <v/>
      </c>
    </row>
    <row r="1925">
      <c r="A1925" t="inlineStr">
        <is>
          <t>Global Crit Rate Bonus %</t>
        </is>
      </c>
      <c r="B1925">
        <f>IF(Inputs!$B$3&gt;=47,8,0)+((C1905=TRUE)*F1905*IF(AND(Inputs!$B$39&lt;&gt;"pvp",Inputs!$B$44&gt;0),(((R1905-1)*(Skills!Y20*(1+Inputs!$B$34/100))+MIN((Skills!Y20*(1+Inputs!$B$34/100)),MAX(0,Inputs!$B$44-((R1905-1)*Skills!D20))))/Inputs!$B$44),IF(Inputs!$B$39="pvp",MIN((Skills!Y20*(1+Inputs!$B$34/100)),15)/15,(Skills!Y20*(1+Inputs!$B$34/100))/Skills!D20)))</f>
        <v/>
      </c>
    </row>
    <row r="1926">
      <c r="A1926" t="inlineStr">
        <is>
          <t>Global Monster Damage-Taken Bonus %</t>
        </is>
      </c>
      <c r="B1926">
        <f>IF(Inputs!$B$3&gt;=82,15,0)+((C1901=TRUE)*F1901*IF(AND(Inputs!$B$39&lt;&gt;"pvp",Inputs!$B$44&gt;0),(((R1901-1)*(Skills!Y16*(1+Inputs!$B$34/100))+MIN((Skills!Y16*(1+Inputs!$B$34/100)),MAX(0,Inputs!$B$44-((R1901-1)*Skills!D16))))/Inputs!$B$44),IF(Inputs!$B$39="pvp",MIN((Skills!Y16*(1+Inputs!$B$34/100)),15)/15,(Skills!Y16*(1+Inputs!$B$34/100))/Skills!D16)))</f>
        <v/>
      </c>
    </row>
    <row r="1927">
      <c r="A1927" t="inlineStr">
        <is>
          <t>Shadow Partner Average Multiplier</t>
        </is>
      </c>
      <c r="B1927">
        <f>1+((C1896=TRUE)*F1896*I1896*Skills!J11/100)/100</f>
        <v/>
      </c>
    </row>
    <row r="1928">
      <c r="A1928" t="inlineStr">
        <is>
          <t>Global Critical Damage Bonus % (Frailty Curse Mastery Lv.111)</t>
        </is>
      </c>
      <c r="B1928">
        <f>IF(Inputs!$B$3&gt;=111,30,0)*IF(AND(Inputs!$B$39&lt;&gt;"pvp",Inputs!$B$44&gt;0),(((R1901-1)*(Skills!Y16*(1+Inputs!$B$34/100))+MIN((Skills!Y16*(1+Inputs!$B$34/100)),MAX(0,Inputs!$B$44-((R1901-1)*Skills!D16))))/Inputs!$B$44),IF(Inputs!$B$39="pvp",MIN((Skills!Y16*(1+Inputs!$B$34/100)),15)/15,(Skills!Y16*(1+Inputs!$B$34/100))/Skills!D16))</f>
        <v/>
      </c>
    </row>
    <row r="1929">
      <c r="A1929" s="6" t="inlineStr">
        <is>
          <t>TOTAL DPS</t>
        </is>
      </c>
      <c r="B1929" s="6">
        <f>SUM(O1887:O1916)</f>
        <v/>
      </c>
    </row>
    <row r="1930">
      <c r="A1930" t="inlineStr">
        <is>
          <t>Buff-Casting Startup Delay (s, fixed-duration only)</t>
        </is>
      </c>
      <c r="B1930">
        <f>IF(AND(Inputs!$B$39&lt;&gt;"pvp",Inputs!$B$44&gt;0),SUMPRODUCT((Skills!Y2:Y31&gt;0)*(Skills!E2:E31=TRUE)*(C1887:C1916=TRUE))/B1921,0)</f>
        <v/>
      </c>
    </row>
    <row r="1931">
      <c r="A1931" t="inlineStr">
        <is>
          <t>Boss-Only Total DPS (this block's swept value)</t>
        </is>
      </c>
      <c r="B1931">
        <f>SUM(T1887:T1916)</f>
        <v/>
      </c>
    </row>
    <row r="1932">
      <c r="A1932" t="inlineStr">
        <is>
          <t>Normal-Only Total DPS (this block's swept value)</t>
        </is>
      </c>
      <c r="B1932">
        <f>SUM(V1887:V1916)</f>
        <v/>
      </c>
    </row>
    <row r="1934">
      <c r="A1934" s="6" t="inlineStr">
        <is>
          <t>Stat: Horntail's Scale (Equip)</t>
        </is>
      </c>
    </row>
    <row r="1935">
      <c r="A1935" s="5" t="inlineStr">
        <is>
          <t>Key</t>
        </is>
      </c>
      <c r="B1935" s="5" t="inlineStr">
        <is>
          <t>Name</t>
        </is>
      </c>
      <c r="C1935" s="5" t="inlineStr">
        <is>
          <t>Unlocked</t>
        </is>
      </c>
      <c r="D1935" s="5" t="inlineStr">
        <is>
          <t>InputLevel</t>
        </is>
      </c>
      <c r="E1935" s="5" t="inlineStr">
        <is>
          <t>Factor</t>
        </is>
      </c>
      <c r="F1935" s="5" t="inlineStr">
        <is>
          <t>CoefficientPercent</t>
        </is>
      </c>
      <c r="G1935" s="5" t="inlineStr">
        <is>
          <t>EffectiveHits</t>
        </is>
      </c>
      <c r="H1935" s="5" t="inlineStr">
        <is>
          <t>ProcProbability</t>
        </is>
      </c>
      <c r="I1935" s="5" t="inlineStr">
        <is>
          <t>MapleHeroMultiplier</t>
        </is>
      </c>
      <c r="J1935" s="5" t="inlineStr">
        <is>
          <t>BaseDamage</t>
        </is>
      </c>
      <c r="K1935" s="5" t="inlineStr">
        <is>
          <t>BaseHitDamage</t>
        </is>
      </c>
      <c r="L1935" s="5" t="inlineStr">
        <is>
          <t>NonCritAvg</t>
        </is>
      </c>
      <c r="M1935" s="5" t="inlineStr">
        <is>
          <t>CritAvg</t>
        </is>
      </c>
      <c r="N1935" s="5" t="inlineStr">
        <is>
          <t>ExpectedDamage(perHit)</t>
        </is>
      </c>
      <c r="O1935" s="5" t="inlineStr">
        <is>
          <t>DPS</t>
        </is>
      </c>
      <c r="P1935" s="5" t="inlineStr">
        <is>
          <t>% of Total</t>
        </is>
      </c>
      <c r="Q1935" s="5" t="inlineStr">
        <is>
          <t>InvCooldown</t>
        </is>
      </c>
      <c r="R1935" s="5" t="inlineStr">
        <is>
          <t>CastsInFight</t>
        </is>
      </c>
      <c r="S1935" s="5" t="inlineStr">
        <is>
          <t>HitRate(perSec)</t>
        </is>
      </c>
      <c r="U1935" t="inlineStr">
        <is>
          <t>helpers</t>
        </is>
      </c>
    </row>
    <row r="1936">
      <c r="A1936">
        <f>Skills!A2</f>
        <v/>
      </c>
      <c r="B1936">
        <f>Skills!B2</f>
        <v/>
      </c>
      <c r="C1936">
        <f>Inputs!$B$3&gt;=100</f>
        <v/>
      </c>
      <c r="D1936" t="inlineStr"/>
      <c r="E1936" t="inlineStr"/>
      <c r="F1936">
        <f>U1940+Skills!O2</f>
        <v/>
      </c>
      <c r="G1936">
        <f>Calc!G2</f>
        <v/>
      </c>
      <c r="H1936">
        <f>Calc!H2</f>
        <v/>
      </c>
      <c r="I1936">
        <f>IF(Skills!AA2&lt;&gt;"",1+(Skills!AA2/10)*(U1937/1000)/100,1)</f>
        <v/>
      </c>
      <c r="J1936">
        <f>((Inputs!$B$6*(1+Inputs!$B$7/100))+(((Inputs!$B$12*(1+Inputs!$B$13/100))-(Inputs!$B$12*(1+Inputs!$B$13/100)))+0.25*(Inputs!$B$14-Inputs!$B$14))*(1+Inputs!$B$7/100))*(F1936/100)</f>
        <v/>
      </c>
      <c r="K1936">
        <f>J1936*(1+((Inputs!$B$12*(1+Inputs!$B$13/100))*0.01+Inputs!$B$14*0.0025)/100)*(1+Inputs!$B$15/100)*(1+Inputs!$B$16/100)*(5000/(6000+Inputs!$B$43*(1-(100*(1-(1-(Inputs!$B$19+0)/100)*(1-CHOOSE(ArtifactsInput!$N$40+1,5,6,7,8,9,10)/100)^(ArtifactsInput!$M$40-ArtifactsInput!$M$40)))/100)))*(1+(Inputs!$B$24+((C1964=TRUE)*(F1964-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1957=TRUE)*(F1957-Calc!F23))+(((IF(AND(ArtifactsInput!$M$42,((Inputs!$B$9+((C1959=TRUE)*(F1959-Calc!F25))+B1974+(ArtifactsInput!$M$24-ArtifactsInput!$M$24)*CHOOSE(ArtifactsInput!$N$24+1,10,12,14,16,18,20)+IF(ArtifactsInput!$M$10,CHOOSE(ArtifactsInput!$N$10+1,15,18,21,24,27,30)*(IF(Inputs!$B$39="pvp",MIN(15,15)/15,IF(AND(Inputs!$B$39&lt;&gt;"pvp",Inputs!$B$44&gt;0),MIN(15,Inputs!$B$44)/(Inputs!$B$44),0))),0)))&gt;=100),MIN(100,((Inputs!$B$9+((C1959=TRUE)*(F1959-Calc!F25))+B1974+(ArtifactsInput!$M$24-ArtifactsInput!$M$24)*CHOOSE(ArtifactsInput!$N$24+1,10,12,14,16,18,20)+IF(ArtifactsInput!$M$10,CHOOSE(ArtifactsInput!$N$10+1,15,18,21,24,27,30)*(IF(Inputs!$B$39="pvp",MIN(15,15)/15,IF(AND(Inputs!$B$39&lt;&gt;"pvp",Inputs!$B$44&gt;0),MIN(15,Inputs!$B$44)/(Inputs!$B$44),0))),0)))-100),0))*CHOOSE(ArtifactsInput!$N$42+1,0.6,0.72,0.84,0.96,1.08,1.2))),Inputs!$B$18+((C1963=TRUE)*(F1963-Calc!F29))+(IF(AND(ArtifactsInput!$M$42,((Inputs!$B$9+((C1959=TRUE)*(F1959-Calc!F25))+B1974+(ArtifactsInput!$M$24-ArtifactsInput!$M$24)*CHOOSE(ArtifactsInput!$N$24+1,10,12,14,16,18,20)+IF(ArtifactsInput!$M$10,CHOOSE(ArtifactsInput!$N$10+1,15,18,21,24,27,30)*(IF(Inputs!$B$39="pvp",MIN(15,15)/15,IF(AND(Inputs!$B$39&lt;&gt;"pvp",Inputs!$B$44&gt;0),MIN(15,Inputs!$B$44)/(Inputs!$B$44),0))),0)))&gt;=100),CHOOSE(ArtifactsInput!$N$42+1,40,48,56,64,72,80),0))))/100)*(((1+(((C1955=TRUE)*F1955*IF(AND(Inputs!$B$39&lt;&gt;"pvp",Inputs!$B$44&gt;0),(((R1955-1)*(Skills!Y21*(1+Inputs!$B$34/100))+MIN((Skills!Y21*(1+Inputs!$B$34/100)),MAX(0,Inputs!$B$44-((R1955-1)*Skills!D21))))/Inputs!$B$44),IF(Inputs!$B$39="pvp",MIN((Skills!Y21*(1+Inputs!$B$34/100)),15)/15,(Skills!Y21*(1+Inputs!$B$34/100))/Skills!D21)))+((C1962=TRUE)*(F1962-Calc!F28))+((C1952=TRUE)*(F1952-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1949=TRUE)*F1949*IF(AND(Inputs!$B$39&lt;&gt;"pvp",Inputs!$B$44&gt;0),(((R1949-1)*(Skills!Y15*(1+Inputs!$B$34/100))+MIN((Skills!Y15*(1+Inputs!$B$34/100)),MAX(0,Inputs!$B$44-((R1949-1)*Skills!D15))))/Inputs!$B$44),IF(Inputs!$B$39="pvp",MIN((Skills!Y15*(1+Inputs!$B$34/100)),15)/15,(Skills!Y15*(1+Inputs!$B$34/100))/Skills!D15)))/100)*(1+((C1940=TRUE)*F1940*B1968)/100))*B1976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1936)</f>
        <v/>
      </c>
      <c r="L1936">
        <f>K1936*(MIN(Inputs!$B$22+((C1958=TRUE)*(F1958-Calc!F24)),(Inputs!$B$23+0+(IF(ArtifactsInput!$M$15,CHOOSE(ArtifactsInput!$N$15+1,25,30,35,40,45,50)/100*(Inputs!$B$11-Inputs!$B$11),0))))/100+(Inputs!$B$23+0+(IF(ArtifactsInput!$M$15,CHOOSE(ArtifactsInput!$N$15+1,25,30,35,40,45,50)/100*(Inputs!$B$11-Inputs!$B$11),0)))/100)/2</f>
        <v/>
      </c>
      <c r="M1936">
        <f>L1936*(1+(Inputs!$B$10+((C1960=TRUE)*(F1960-Calc!F26))+B1977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36">
        <f>L1936*(1-MIN((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1936*(MIN((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36">
        <f>(1-Summary!$B$11)*T1936+Summary!$B$11*V1936</f>
        <v/>
      </c>
      <c r="P1936">
        <f>IF(B1978=0,0,O1936/B1978)</f>
        <v/>
      </c>
      <c r="Q1936" t="n">
        <v>0</v>
      </c>
      <c r="R1936" t="n">
        <v>0</v>
      </c>
      <c r="S1936">
        <f>IFERROR(O1936/N1936,0)</f>
        <v/>
      </c>
      <c r="T1936">
        <f>IF(C1936,(Skills!G2*N1936*B1972)*IF(Inputs!$B$39="pvp",1,1+(Inputs!$B$20+((C1961=TRUE)*(F1961-Calc!F27))+Skills!P2+B1975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Hunt"),CHOOSE(ArtifactsInput!$N$35+1,15,18,21,24,27,30)*(1-EXP(-(0.2*B1970)*5)),0)+IF(AND(ArtifactsInput!$M$22,Inputs!$B$4&lt;&gt;"Chapter Hunt"),CHOOSE(ArtifactsInput!$N$22+1,10,12,14,16,18,20)*((0*(((0.15*B1970*5))^0/1)+1*(((0.15*B1970*5))^1/1)+2*(((0.15*B1970*5))^2/2)+3*(((0.15*B1970*5))^3/6)+4*(((0.15*B1970*5))^4/24)+5*(((0.15*B1970*5))^5/120))/((((0.15*B1970*5))^0/1)+(((0.15*B1970*5))^1/1)+(((0.15*B1970*5))^2/2)+(((0.15*B1970*5))^3/6)+(((0.15*B1970*5))^4/24)+(((0.15*B1970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1936*(1-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1936*(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1936*(1-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1936*(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36">
        <f>MAX(0,(Inputs!$B$3-100)*3)+Inputs!$B$28+Inputs!$B$29</f>
        <v/>
      </c>
      <c r="V1936">
        <f>IF(C1936,(Skills!G2*N1936*B1972)*IF(Inputs!$B$39="pvp",1,(1+(Inputs!$B$21+Skills!Q2+B1975+(IF(ArtifactsInput!$M$33,CHOOSE(ArtifactsInput!$N$33+1,30,36,42,48,54,60),0))+(IF(AND(ArtifactsInput!$M$35,Inputs!$B$4&lt;&gt;"Chapter Hunt"),CHOOSE(ArtifactsInput!$N$35+1,15,18,21,24,27,30)*(1-EXP(-(0.2*B1970)*5)),0)+IF(AND(ArtifactsInput!$M$22,Inputs!$B$4&lt;&gt;"Chapter Hunt"),CHOOSE(ArtifactsInput!$N$22+1,10,12,14,16,18,20)*((0*(((0.15*B1970*5))^0/1)+1*(((0.15*B1970*5))^1/1)+2*(((0.15*B1970*5))^2/2)+3*(((0.15*B1970*5))^3/6)+4*(((0.15*B1970*5))^4/24)+5*(((0.15*B1970*5))^5/120))/((((0.15*B1970*5))^0/1)+(((0.15*B1970*5))^1/1)+(((0.15*B1970*5))^2/2)+(((0.15*B1970*5))^3/6)+(((0.15*B1970*5))^4/24)+(((0.15*B1970*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37">
      <c r="A1937">
        <f>Skills!A3</f>
        <v/>
      </c>
      <c r="B1937">
        <f>Skills!B3</f>
        <v/>
      </c>
      <c r="C1937">
        <f>Inputs!$B$3&gt;=35</f>
        <v/>
      </c>
      <c r="D1937">
        <f>IF(Skills!C3=1,60+Inputs!$B$25+Inputs!$B$29,IF(Skills!C3=2,90+Inputs!$B$26+Inputs!$B$29,IF(Skills!C3=3,120+Inputs!$B$27+Inputs!$B$29,MAX(0,(Inputs!$B$3-100)*3)+Inputs!$B$28+Inputs!$B$29)))</f>
        <v/>
      </c>
      <c r="E1937">
        <f>INDEX(FactorTable!$B$2:$Y$301, MATCH(ROUND(MIN(300,MAX(1,D1937)),0), FactorTable!$A$2:$A$301,0), Skills!M3+1)</f>
        <v/>
      </c>
      <c r="F1937">
        <f>IF(Skills!N3=TRUE,(Skills!L3/10)*(E1937/1000),Skills!L3/10)+Skills!O3</f>
        <v/>
      </c>
      <c r="G1937">
        <f>Calc!G3</f>
        <v/>
      </c>
      <c r="H1937">
        <f>Calc!H3</f>
        <v/>
      </c>
      <c r="I1937">
        <f>IF(Skills!AA3&lt;&gt;"",1+(Skills!AA3/10)*(U1937/1000)/100,1)</f>
        <v/>
      </c>
      <c r="J1937">
        <f>((Inputs!$B$6*(1+Inputs!$B$7/100))+(((Inputs!$B$12*(1+Inputs!$B$13/100))-(Inputs!$B$12*(1+Inputs!$B$13/100)))+0.25*(Inputs!$B$14-Inputs!$B$14))*(1+Inputs!$B$7/100))*(F1937/100)</f>
        <v/>
      </c>
      <c r="K1937">
        <f>J1937*(1+((Inputs!$B$12*(1+Inputs!$B$13/100))*0.01+Inputs!$B$14*0.0025)/100)*(1+Inputs!$B$15/100)*(1+Inputs!$B$16/100)*(5000/(6000+Inputs!$B$43*(1-(100*(1-(1-(Inputs!$B$19+0)/100)*(1-CHOOSE(ArtifactsInput!$N$40+1,5,6,7,8,9,10)/100)^(ArtifactsInput!$M$40-ArtifactsInput!$M$40)))/100)))*(1+(Inputs!$B$24+((C1964=TRUE)*(F1964-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1957=TRUE)*(F1957-Calc!F23))+(((IF(AND(ArtifactsInput!$M$42,((Inputs!$B$9+((C1959=TRUE)*(F1959-Calc!F25))+B1974+(ArtifactsInput!$M$24-ArtifactsInput!$M$24)*CHOOSE(ArtifactsInput!$N$24+1,10,12,14,16,18,20)+IF(ArtifactsInput!$M$10,CHOOSE(ArtifactsInput!$N$10+1,15,18,21,24,27,30)*(IF(Inputs!$B$39="pvp",MIN(15,15)/15,IF(AND(Inputs!$B$39&lt;&gt;"pvp",Inputs!$B$44&gt;0),MIN(15,Inputs!$B$44)/(Inputs!$B$44),0))),0)))&gt;=100),MIN(100,((Inputs!$B$9+((C1959=TRUE)*(F1959-Calc!F25))+B1974+(ArtifactsInput!$M$24-ArtifactsInput!$M$24)*CHOOSE(ArtifactsInput!$N$24+1,10,12,14,16,18,20)+IF(ArtifactsInput!$M$10,CHOOSE(ArtifactsInput!$N$10+1,15,18,21,24,27,30)*(IF(Inputs!$B$39="pvp",MIN(15,15)/15,IF(AND(Inputs!$B$39&lt;&gt;"pvp",Inputs!$B$44&gt;0),MIN(15,Inputs!$B$44)/(Inputs!$B$44),0))),0)))-100),0))*CHOOSE(ArtifactsInput!$N$42+1,0.6,0.72,0.84,0.96,1.08,1.2))),Inputs!$B$18+((C1963=TRUE)*(F1963-Calc!F29))+(IF(AND(ArtifactsInput!$M$42,((Inputs!$B$9+((C1959=TRUE)*(F1959-Calc!F25))+B1974+(ArtifactsInput!$M$24-ArtifactsInput!$M$24)*CHOOSE(ArtifactsInput!$N$24+1,10,12,14,16,18,20)+IF(ArtifactsInput!$M$10,CHOOSE(ArtifactsInput!$N$10+1,15,18,21,24,27,30)*(IF(Inputs!$B$39="pvp",MIN(15,15)/15,IF(AND(Inputs!$B$39&lt;&gt;"pvp",Inputs!$B$44&gt;0),MIN(15,Inputs!$B$44)/(Inputs!$B$44),0))),0)))&gt;=100),CHOOSE(ArtifactsInput!$N$42+1,40,48,56,64,72,80),0))))/100)*(((1+(((C1955=TRUE)*F1955*IF(AND(Inputs!$B$39&lt;&gt;"pvp",Inputs!$B$44&gt;0),(((R1955-1)*(Skills!Y21*(1+Inputs!$B$34/100))+MIN((Skills!Y21*(1+Inputs!$B$34/100)),MAX(0,Inputs!$B$44-((R1955-1)*Skills!D21))))/Inputs!$B$44),IF(Inputs!$B$39="pvp",MIN((Skills!Y21*(1+Inputs!$B$34/100)),15)/15,(Skills!Y21*(1+Inputs!$B$34/100))/Skills!D21)))+((C1962=TRUE)*(F1962-Calc!F28))+((C1952=TRUE)*(F1952-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1949=TRUE)*F1949*IF(AND(Inputs!$B$39&lt;&gt;"pvp",Inputs!$B$44&gt;0),(((R1949-1)*(Skills!Y15*(1+Inputs!$B$34/100))+MIN((Skills!Y15*(1+Inputs!$B$34/100)),MAX(0,Inputs!$B$44-((R1949-1)*Skills!D15))))/Inputs!$B$44),IF(Inputs!$B$39="pvp",MIN((Skills!Y15*(1+Inputs!$B$34/100)),15)/15,(Skills!Y15*(1+Inputs!$B$34/100))/Skills!D15)))/100)*(1+((C1940=TRUE)*F1940*B1968)/100))*B1976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1937)</f>
        <v/>
      </c>
      <c r="L1937">
        <f>K1937*(MIN(Inputs!$B$22+((C1958=TRUE)*(F1958-Calc!F24)),(Inputs!$B$23+0+(IF(ArtifactsInput!$M$15,CHOOSE(ArtifactsInput!$N$15+1,25,30,35,40,45,50)/100*(Inputs!$B$11-Inputs!$B$11),0))))/100+(Inputs!$B$23+0+(IF(ArtifactsInput!$M$15,CHOOSE(ArtifactsInput!$N$15+1,25,30,35,40,45,50)/100*(Inputs!$B$11-Inputs!$B$11),0)))/100)/2</f>
        <v/>
      </c>
      <c r="M1937">
        <f>L1937*(1+(Inputs!$B$10+((C1960=TRUE)*(F1960-Calc!F26))+B1977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37">
        <f>L1937*(1-MIN((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1937*(MIN((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37">
        <f>(1-Summary!$B$11)*T1937+Summary!$B$11*V1937</f>
        <v/>
      </c>
      <c r="P1937">
        <f>IF(B1978=0,0,O1937/B1978)</f>
        <v/>
      </c>
      <c r="Q1937">
        <f>IFERROR(1/IF(Inputs!$B$39="pvp",15,MAX(0.1,Skills!D3-IF(Skills!E3=TRUE,Inputs!$B$32,0))),0)</f>
        <v/>
      </c>
      <c r="R1937">
        <f>IF(AND(Inputs!$B$39&lt;&gt;"pvp",Inputs!$B$44&gt;0),IF(MAX(0,Inputs!$B$44-B1979)&lt;=0,0,(INT(MAX(0,Inputs!$B$44-B1979)/IF(Inputs!$B$39="pvp",15,MAX(0.1,Skills!D3-IF(Skills!E3=TRUE,Inputs!$B$32,0))))+1)),0)</f>
        <v/>
      </c>
      <c r="S1937">
        <f>IFERROR(O1937/N1937,0)</f>
        <v/>
      </c>
      <c r="T1937">
        <f>IF(C1937,(H1937*N1937*IF(AND(Inputs!$B$39&lt;&gt;"pvp",Inputs!$B$44&gt;0),((Skills!G3*((R1937-1)*IF(Skills!H3&gt;0,Skills!I3/Skills!H3,1)+IF(Skills!H3&gt;0,MIN(Skills!I3,MAX(0,MAX(0,Inputs!$B$44-B1979)-((R1937-1)*IF(Inputs!$B$39="pvp",15,MAX(0.1,Skills!D3-IF(Skills!E3=TRUE,Inputs!$B$32,0))))))/Skills!H3,1)))/Inputs!$B$44),G1937*Q1937))*IF(Inputs!$B$39="pvp",1,1+(Inputs!$B$20+((C1961=TRUE)*(F1961-Calc!F27))+Skills!P3+B1975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Hunt"),CHOOSE(ArtifactsInput!$N$35+1,15,18,21,24,27,30)*(1-EXP(-(0.2*B1970)*5)),0)+IF(AND(ArtifactsInput!$M$22,Inputs!$B$4&lt;&gt;"Chapter Hunt"),CHOOSE(ArtifactsInput!$N$22+1,10,12,14,16,18,20)*((0*(((0.15*B1970*5))^0/1)+1*(((0.15*B1970*5))^1/1)+2*(((0.15*B1970*5))^2/2)+3*(((0.15*B1970*5))^3/6)+4*(((0.15*B1970*5))^4/24)+5*(((0.15*B1970*5))^5/120))/((((0.15*B1970*5))^0/1)+(((0.15*B1970*5))^1/1)+(((0.15*B1970*5))^2/2)+(((0.15*B1970*5))^3/6)+(((0.15*B1970*5))^4/24)+(((0.15*B1970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1937*(1-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1937*(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1937*(1-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1937*(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37">
        <f>INDEX(FactorTable!$B$2:$Y$301, MATCH(ROUND(MIN(300,MAX(1,U1936)),0), FactorTable!$A$2:$A$301,0), 24)</f>
        <v/>
      </c>
      <c r="V1937">
        <f>IF(C1937,(H1937*N1937*IF(AND(Inputs!$B$39&lt;&gt;"pvp",Inputs!$B$44&gt;0),((Skills!G3*((R1937-1)*IF(Skills!H3&gt;0,Skills!I3/Skills!H3,1)+IF(Skills!H3&gt;0,MIN(Skills!I3,MAX(0,MAX(0,Inputs!$B$44-B1979)-((R1937-1)*IF(Inputs!$B$39="pvp",15,MAX(0.1,Skills!D3-IF(Skills!E3=TRUE,Inputs!$B$32,0))))))/Skills!H3,1)))/Inputs!$B$44),G1937*Q1937))*IF(Inputs!$B$39="pvp",1,(1+(Inputs!$B$21+Skills!Q3+B1975+(IF(ArtifactsInput!$M$33,CHOOSE(ArtifactsInput!$N$33+1,30,36,42,48,54,60),0))+(IF(AND(ArtifactsInput!$M$35,Inputs!$B$4&lt;&gt;"Chapter Hunt"),CHOOSE(ArtifactsInput!$N$35+1,15,18,21,24,27,30)*(1-EXP(-(0.2*B1970)*5)),0)+IF(AND(ArtifactsInput!$M$22,Inputs!$B$4&lt;&gt;"Chapter Hunt"),CHOOSE(ArtifactsInput!$N$22+1,10,12,14,16,18,20)*((0*(((0.15*B1970*5))^0/1)+1*(((0.15*B1970*5))^1/1)+2*(((0.15*B1970*5))^2/2)+3*(((0.15*B1970*5))^3/6)+4*(((0.15*B1970*5))^4/24)+5*(((0.15*B1970*5))^5/120))/((((0.15*B1970*5))^0/1)+(((0.15*B1970*5))^1/1)+(((0.15*B1970*5))^2/2)+(((0.15*B1970*5))^3/6)+(((0.15*B1970*5))^4/24)+(((0.15*B1970*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38">
      <c r="A1938">
        <f>Skills!A4</f>
        <v/>
      </c>
      <c r="B1938">
        <f>Skills!B4</f>
        <v/>
      </c>
      <c r="C1938">
        <f>Inputs!$B$3&gt;=40</f>
        <v/>
      </c>
      <c r="D1938">
        <f>IF(Skills!C4=1,60+Inputs!$B$25+Inputs!$B$29,IF(Skills!C4=2,90+Inputs!$B$26+Inputs!$B$29,IF(Skills!C4=3,120+Inputs!$B$27+Inputs!$B$29,MAX(0,(Inputs!$B$3-100)*3)+Inputs!$B$28+Inputs!$B$29)))</f>
        <v/>
      </c>
      <c r="E1938">
        <f>INDEX(FactorTable!$B$2:$Y$301, MATCH(ROUND(MIN(300,MAX(1,D1938)),0), FactorTable!$A$2:$A$301,0), Skills!M4+1)</f>
        <v/>
      </c>
      <c r="F1938">
        <f>IF(Skills!N4=TRUE,(Skills!L4/10)*(E1938/1000),Skills!L4/10)+Skills!O4</f>
        <v/>
      </c>
      <c r="G1938">
        <f>Calc!G4</f>
        <v/>
      </c>
      <c r="H1938">
        <f>Calc!H4</f>
        <v/>
      </c>
      <c r="I1938">
        <f>IF(Skills!AA4&lt;&gt;"",1+(Skills!AA4/10)*(U1937/1000)/100,1)</f>
        <v/>
      </c>
      <c r="J1938">
        <f>((Inputs!$B$6*(1+Inputs!$B$7/100))+(((Inputs!$B$12*(1+Inputs!$B$13/100))-(Inputs!$B$12*(1+Inputs!$B$13/100)))+0.25*(Inputs!$B$14-Inputs!$B$14))*(1+Inputs!$B$7/100))*(F1938/100)</f>
        <v/>
      </c>
      <c r="K1938">
        <f>J1938*(1+((Inputs!$B$12*(1+Inputs!$B$13/100))*0.01+Inputs!$B$14*0.0025)/100)*(1+Inputs!$B$15/100)*(1+Inputs!$B$16/100)*(5000/(6000+Inputs!$B$43*(1-(100*(1-(1-(Inputs!$B$19+0)/100)*(1-CHOOSE(ArtifactsInput!$N$40+1,5,6,7,8,9,10)/100)^(ArtifactsInput!$M$40-ArtifactsInput!$M$40)))/100)))*(1+(Inputs!$B$24+((C1964=TRUE)*(F1964-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1957=TRUE)*(F1957-Calc!F23))+(((IF(AND(ArtifactsInput!$M$42,((Inputs!$B$9+((C1959=TRUE)*(F1959-Calc!F25))+B1974+(ArtifactsInput!$M$24-ArtifactsInput!$M$24)*CHOOSE(ArtifactsInput!$N$24+1,10,12,14,16,18,20)+IF(ArtifactsInput!$M$10,CHOOSE(ArtifactsInput!$N$10+1,15,18,21,24,27,30)*(IF(Inputs!$B$39="pvp",MIN(15,15)/15,IF(AND(Inputs!$B$39&lt;&gt;"pvp",Inputs!$B$44&gt;0),MIN(15,Inputs!$B$44)/(Inputs!$B$44),0))),0)))&gt;=100),MIN(100,((Inputs!$B$9+((C1959=TRUE)*(F1959-Calc!F25))+B1974+(ArtifactsInput!$M$24-ArtifactsInput!$M$24)*CHOOSE(ArtifactsInput!$N$24+1,10,12,14,16,18,20)+IF(ArtifactsInput!$M$10,CHOOSE(ArtifactsInput!$N$10+1,15,18,21,24,27,30)*(IF(Inputs!$B$39="pvp",MIN(15,15)/15,IF(AND(Inputs!$B$39&lt;&gt;"pvp",Inputs!$B$44&gt;0),MIN(15,Inputs!$B$44)/(Inputs!$B$44),0))),0)))-100),0))*CHOOSE(ArtifactsInput!$N$42+1,0.6,0.72,0.84,0.96,1.08,1.2))),Inputs!$B$18+((C1963=TRUE)*(F1963-Calc!F29))+(IF(AND(ArtifactsInput!$M$42,((Inputs!$B$9+((C1959=TRUE)*(F1959-Calc!F25))+B1974+(ArtifactsInput!$M$24-ArtifactsInput!$M$24)*CHOOSE(ArtifactsInput!$N$24+1,10,12,14,16,18,20)+IF(ArtifactsInput!$M$10,CHOOSE(ArtifactsInput!$N$10+1,15,18,21,24,27,30)*(IF(Inputs!$B$39="pvp",MIN(15,15)/15,IF(AND(Inputs!$B$39&lt;&gt;"pvp",Inputs!$B$44&gt;0),MIN(15,Inputs!$B$44)/(Inputs!$B$44),0))),0)))&gt;=100),CHOOSE(ArtifactsInput!$N$42+1,40,48,56,64,72,80),0))))/100)*(((1+(((C1955=TRUE)*F1955*IF(AND(Inputs!$B$39&lt;&gt;"pvp",Inputs!$B$44&gt;0),(((R1955-1)*(Skills!Y21*(1+Inputs!$B$34/100))+MIN((Skills!Y21*(1+Inputs!$B$34/100)),MAX(0,Inputs!$B$44-((R1955-1)*Skills!D21))))/Inputs!$B$44),IF(Inputs!$B$39="pvp",MIN((Skills!Y21*(1+Inputs!$B$34/100)),15)/15,(Skills!Y21*(1+Inputs!$B$34/100))/Skills!D21)))+((C1962=TRUE)*(F1962-Calc!F28))+((C1952=TRUE)*(F1952-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1949=TRUE)*F1949*IF(AND(Inputs!$B$39&lt;&gt;"pvp",Inputs!$B$44&gt;0),(((R1949-1)*(Skills!Y15*(1+Inputs!$B$34/100))+MIN((Skills!Y15*(1+Inputs!$B$34/100)),MAX(0,Inputs!$B$44-((R1949-1)*Skills!D15))))/Inputs!$B$44),IF(Inputs!$B$39="pvp",MIN((Skills!Y15*(1+Inputs!$B$34/100)),15)/15,(Skills!Y15*(1+Inputs!$B$34/100))/Skills!D15)))/100)*(1+((C1940=TRUE)*F1940*B1968)/100))*B1976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1938)</f>
        <v/>
      </c>
      <c r="L1938">
        <f>K1938*(MIN(Inputs!$B$22+((C1958=TRUE)*(F1958-Calc!F24)),(Inputs!$B$23+0+(IF(ArtifactsInput!$M$15,CHOOSE(ArtifactsInput!$N$15+1,25,30,35,40,45,50)/100*(Inputs!$B$11-Inputs!$B$11),0))))/100+(Inputs!$B$23+0+(IF(ArtifactsInput!$M$15,CHOOSE(ArtifactsInput!$N$15+1,25,30,35,40,45,50)/100*(Inputs!$B$11-Inputs!$B$11),0)))/100)/2</f>
        <v/>
      </c>
      <c r="M1938">
        <f>L1938*(1+(Inputs!$B$10+((C1960=TRUE)*(F1960-Calc!F26))+B1977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38">
        <f>L1938*(1-MIN((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1938*(MIN((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38">
        <f>(1-Summary!$B$11)*T1938+Summary!$B$11*V1938</f>
        <v/>
      </c>
      <c r="P1938">
        <f>IF(B1978=0,0,O1938/B1978)</f>
        <v/>
      </c>
      <c r="Q1938">
        <f>IFERROR(1/IF(Inputs!$B$39="pvp",15,MAX(0.1,Skills!D4-IF(Skills!E4=TRUE,Inputs!$B$32,0))),0)</f>
        <v/>
      </c>
      <c r="R1938">
        <f>IF(AND(Inputs!$B$39&lt;&gt;"pvp",Inputs!$B$44&gt;0),IF(MAX(0,Inputs!$B$44-B1979)&lt;=0,0,(INT(MAX(0,Inputs!$B$44-B1979)/IF(Inputs!$B$39="pvp",15,MAX(0.1,Skills!D4-IF(Skills!E4=TRUE,Inputs!$B$32,0))))+1)),0)</f>
        <v/>
      </c>
      <c r="S1938">
        <f>IFERROR(O1938/N1938,0)</f>
        <v/>
      </c>
      <c r="T1938">
        <f>IF(C1938,(H1938*N1938*IF(AND(Inputs!$B$39&lt;&gt;"pvp",Inputs!$B$44&gt;0),((Skills!G4*((R1938-1)*IF(Skills!H4&gt;0,Skills!I4/Skills!H4,1)+IF(Skills!H4&gt;0,MIN(Skills!I4,MAX(0,MAX(0,Inputs!$B$44-B1979)-((R1938-1)*IF(Inputs!$B$39="pvp",15,MAX(0.1,Skills!D4-IF(Skills!E4=TRUE,Inputs!$B$32,0))))))/Skills!H4,1)))/Inputs!$B$44),G1938*Q1938))*IF(Inputs!$B$39="pvp",1,1+(Inputs!$B$20+((C1961=TRUE)*(F1961-Calc!F27))+Skills!P4+B1975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Hunt"),CHOOSE(ArtifactsInput!$N$35+1,15,18,21,24,27,30)*(1-EXP(-(0.2*B1970)*5)),0)+IF(AND(ArtifactsInput!$M$22,Inputs!$B$4&lt;&gt;"Chapter Hunt"),CHOOSE(ArtifactsInput!$N$22+1,10,12,14,16,18,20)*((0*(((0.15*B1970*5))^0/1)+1*(((0.15*B1970*5))^1/1)+2*(((0.15*B1970*5))^2/2)+3*(((0.15*B1970*5))^3/6)+4*(((0.15*B1970*5))^4/24)+5*(((0.15*B1970*5))^5/120))/((((0.15*B1970*5))^0/1)+(((0.15*B1970*5))^1/1)+(((0.15*B1970*5))^2/2)+(((0.15*B1970*5))^3/6)+(((0.15*B1970*5))^4/24)+(((0.15*B1970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1938*(1-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1938*(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1938*(1-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1938*(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38">
        <f>MAX(0,(Inputs!$B$3-100)*3)+Inputs!$B$28+Inputs!$B$29</f>
        <v/>
      </c>
      <c r="V1938">
        <f>IF(C1938,(H1938*N1938*IF(AND(Inputs!$B$39&lt;&gt;"pvp",Inputs!$B$44&gt;0),((Skills!G4*((R1938-1)*IF(Skills!H4&gt;0,Skills!I4/Skills!H4,1)+IF(Skills!H4&gt;0,MIN(Skills!I4,MAX(0,MAX(0,Inputs!$B$44-B1979)-((R1938-1)*IF(Inputs!$B$39="pvp",15,MAX(0.1,Skills!D4-IF(Skills!E4=TRUE,Inputs!$B$32,0))))))/Skills!H4,1)))/Inputs!$B$44),G1938*Q1938))*IF(Inputs!$B$39="pvp",1,(1+(Inputs!$B$21+Skills!Q4+B1975+(IF(ArtifactsInput!$M$33,CHOOSE(ArtifactsInput!$N$33+1,30,36,42,48,54,60),0))+(IF(AND(ArtifactsInput!$M$35,Inputs!$B$4&lt;&gt;"Chapter Hunt"),CHOOSE(ArtifactsInput!$N$35+1,15,18,21,24,27,30)*(1-EXP(-(0.2*B1970)*5)),0)+IF(AND(ArtifactsInput!$M$22,Inputs!$B$4&lt;&gt;"Chapter Hunt"),CHOOSE(ArtifactsInput!$N$22+1,10,12,14,16,18,20)*((0*(((0.15*B1970*5))^0/1)+1*(((0.15*B1970*5))^1/1)+2*(((0.15*B1970*5))^2/2)+3*(((0.15*B1970*5))^3/6)+4*(((0.15*B1970*5))^4/24)+5*(((0.15*B1970*5))^5/120))/((((0.15*B1970*5))^0/1)+(((0.15*B1970*5))^1/1)+(((0.15*B1970*5))^2/2)+(((0.15*B1970*5))^3/6)+(((0.15*B1970*5))^4/24)+(((0.15*B1970*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39">
      <c r="A1939">
        <f>Skills!A5</f>
        <v/>
      </c>
      <c r="B1939">
        <f>Skills!B5</f>
        <v/>
      </c>
      <c r="C1939">
        <f>Inputs!$B$3&gt;=63</f>
        <v/>
      </c>
      <c r="D1939">
        <f>IF(Skills!C5=1,60+Inputs!$B$25+Inputs!$B$29,IF(Skills!C5=2,90+Inputs!$B$26+Inputs!$B$29,IF(Skills!C5=3,120+Inputs!$B$27+Inputs!$B$29,MAX(0,(Inputs!$B$3-100)*3)+Inputs!$B$28+Inputs!$B$29)))</f>
        <v/>
      </c>
      <c r="E1939">
        <f>INDEX(FactorTable!$B$2:$Y$301, MATCH(ROUND(MIN(300,MAX(1,D1939)),0), FactorTable!$A$2:$A$301,0), Skills!M5+1)</f>
        <v/>
      </c>
      <c r="F1939">
        <f>IF(Skills!N5=TRUE,(Skills!L5/10)*(E1939/1000),Skills!L5/10)+Skills!O5</f>
        <v/>
      </c>
      <c r="G1939">
        <f>Calc!G5</f>
        <v/>
      </c>
      <c r="H1939">
        <f>Calc!H5</f>
        <v/>
      </c>
      <c r="I1939">
        <f>IF(Skills!AA5&lt;&gt;"",1+(Skills!AA5/10)*(U1937/1000)/100,1)</f>
        <v/>
      </c>
      <c r="J1939">
        <f>((Inputs!$B$6*(1+Inputs!$B$7/100))+(((Inputs!$B$12*(1+Inputs!$B$13/100))-(Inputs!$B$12*(1+Inputs!$B$13/100)))+0.25*(Inputs!$B$14-Inputs!$B$14))*(1+Inputs!$B$7/100))*(F1939/100)</f>
        <v/>
      </c>
      <c r="K1939">
        <f>J1939*(1+((Inputs!$B$12*(1+Inputs!$B$13/100))*0.01+Inputs!$B$14*0.0025)/100)*(1+Inputs!$B$15/100)*(1+Inputs!$B$16/100)*(5000/(6000+Inputs!$B$43*(1-(100*(1-(1-(Inputs!$B$19+0)/100)*(1-CHOOSE(ArtifactsInput!$N$40+1,5,6,7,8,9,10)/100)^(ArtifactsInput!$M$40-ArtifactsInput!$M$40)))/100)))*(1+(Inputs!$B$24+((C1964=TRUE)*(F1964-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1957=TRUE)*(F1957-Calc!F23))+(((IF(AND(ArtifactsInput!$M$42,((Inputs!$B$9+((C1959=TRUE)*(F1959-Calc!F25))+B1974+(ArtifactsInput!$M$24-ArtifactsInput!$M$24)*CHOOSE(ArtifactsInput!$N$24+1,10,12,14,16,18,20)+IF(ArtifactsInput!$M$10,CHOOSE(ArtifactsInput!$N$10+1,15,18,21,24,27,30)*(IF(Inputs!$B$39="pvp",MIN(15,15)/15,IF(AND(Inputs!$B$39&lt;&gt;"pvp",Inputs!$B$44&gt;0),MIN(15,Inputs!$B$44)/(Inputs!$B$44),0))),0)))&gt;=100),MIN(100,((Inputs!$B$9+((C1959=TRUE)*(F1959-Calc!F25))+B1974+(ArtifactsInput!$M$24-ArtifactsInput!$M$24)*CHOOSE(ArtifactsInput!$N$24+1,10,12,14,16,18,20)+IF(ArtifactsInput!$M$10,CHOOSE(ArtifactsInput!$N$10+1,15,18,21,24,27,30)*(IF(Inputs!$B$39="pvp",MIN(15,15)/15,IF(AND(Inputs!$B$39&lt;&gt;"pvp",Inputs!$B$44&gt;0),MIN(15,Inputs!$B$44)/(Inputs!$B$44),0))),0)))-100),0))*CHOOSE(ArtifactsInput!$N$42+1,0.6,0.72,0.84,0.96,1.08,1.2))),Inputs!$B$18+((C1963=TRUE)*(F1963-Calc!F29))+(IF(AND(ArtifactsInput!$M$42,((Inputs!$B$9+((C1959=TRUE)*(F1959-Calc!F25))+B1974+(ArtifactsInput!$M$24-ArtifactsInput!$M$24)*CHOOSE(ArtifactsInput!$N$24+1,10,12,14,16,18,20)+IF(ArtifactsInput!$M$10,CHOOSE(ArtifactsInput!$N$10+1,15,18,21,24,27,30)*(IF(Inputs!$B$39="pvp",MIN(15,15)/15,IF(AND(Inputs!$B$39&lt;&gt;"pvp",Inputs!$B$44&gt;0),MIN(15,Inputs!$B$44)/(Inputs!$B$44),0))),0)))&gt;=100),CHOOSE(ArtifactsInput!$N$42+1,40,48,56,64,72,80),0))))/100)*(((1+(((C1955=TRUE)*F1955*IF(AND(Inputs!$B$39&lt;&gt;"pvp",Inputs!$B$44&gt;0),(((R1955-1)*(Skills!Y21*(1+Inputs!$B$34/100))+MIN((Skills!Y21*(1+Inputs!$B$34/100)),MAX(0,Inputs!$B$44-((R1955-1)*Skills!D21))))/Inputs!$B$44),IF(Inputs!$B$39="pvp",MIN((Skills!Y21*(1+Inputs!$B$34/100)),15)/15,(Skills!Y21*(1+Inputs!$B$34/100))/Skills!D21)))+((C1962=TRUE)*(F1962-Calc!F28))+((C1952=TRUE)*(F1952-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1949=TRUE)*F1949*IF(AND(Inputs!$B$39&lt;&gt;"pvp",Inputs!$B$44&gt;0),(((R1949-1)*(Skills!Y15*(1+Inputs!$B$34/100))+MIN((Skills!Y15*(1+Inputs!$B$34/100)),MAX(0,Inputs!$B$44-((R1949-1)*Skills!D15))))/Inputs!$B$44),IF(Inputs!$B$39="pvp",MIN((Skills!Y15*(1+Inputs!$B$34/100)),15)/15,(Skills!Y15*(1+Inputs!$B$34/100))/Skills!D15)))/100)*(1+((C1940=TRUE)*F1940*B1968)/100))*B1976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1939)</f>
        <v/>
      </c>
      <c r="L1939">
        <f>K1939*(MIN(Inputs!$B$22+((C1958=TRUE)*(F1958-Calc!F24)),(Inputs!$B$23+0+(IF(ArtifactsInput!$M$15,CHOOSE(ArtifactsInput!$N$15+1,25,30,35,40,45,50)/100*(Inputs!$B$11-Inputs!$B$11),0))))/100+(Inputs!$B$23+0+(IF(ArtifactsInput!$M$15,CHOOSE(ArtifactsInput!$N$15+1,25,30,35,40,45,50)/100*(Inputs!$B$11-Inputs!$B$11),0)))/100)/2</f>
        <v/>
      </c>
      <c r="M1939">
        <f>L1939*(1+(Inputs!$B$10+((C1960=TRUE)*(F1960-Calc!F26))+B1977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39">
        <f>L1939*(1-MIN((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1939*(MIN((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39">
        <f>(1-Summary!$B$11)*T1939+Summary!$B$11*V1939</f>
        <v/>
      </c>
      <c r="P1939">
        <f>IF(B1978=0,0,O1939/B1978)</f>
        <v/>
      </c>
      <c r="Q1939">
        <f>IFERROR(1/IF(Inputs!$B$39="pvp",15,MAX(0.1,Skills!D5-IF(Skills!E5=TRUE,Inputs!$B$32,0))),0)</f>
        <v/>
      </c>
      <c r="R1939">
        <f>IF(AND(Inputs!$B$39&lt;&gt;"pvp",Inputs!$B$44&gt;0),IF(MAX(0,Inputs!$B$44-B1979)&lt;=0,0,(INT(MAX(0,Inputs!$B$44-B1979)/IF(Inputs!$B$39="pvp",15,MAX(0.1,Skills!D5-IF(Skills!E5=TRUE,Inputs!$B$32,0))))+1)),0)</f>
        <v/>
      </c>
      <c r="S1939">
        <f>IFERROR(O1939/N1939,0)</f>
        <v/>
      </c>
      <c r="T1939">
        <f>IF(C1939,(H1939*N1939*IF(AND(Inputs!$B$39&lt;&gt;"pvp",Inputs!$B$44&gt;0),((Skills!G5*((R1939-1)*IF(Skills!H5&gt;0,Skills!I5/Skills!H5,1)+IF(Skills!H5&gt;0,MIN(Skills!I5,MAX(0,MAX(0,Inputs!$B$44-B1979)-((R1939-1)*IF(Inputs!$B$39="pvp",15,MAX(0.1,Skills!D5-IF(Skills!E5=TRUE,Inputs!$B$32,0))))))/Skills!H5,1)))/Inputs!$B$44),G1939*Q1939))*IF(Inputs!$B$39="pvp",1,1+(Inputs!$B$20+((C1961=TRUE)*(F1961-Calc!F27))+Skills!P5+B1975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Hunt"),CHOOSE(ArtifactsInput!$N$35+1,15,18,21,24,27,30)*(1-EXP(-(0.2*B1970)*5)),0)+IF(AND(ArtifactsInput!$M$22,Inputs!$B$4&lt;&gt;"Chapter Hunt"),CHOOSE(ArtifactsInput!$N$22+1,10,12,14,16,18,20)*((0*(((0.15*B1970*5))^0/1)+1*(((0.15*B1970*5))^1/1)+2*(((0.15*B1970*5))^2/2)+3*(((0.15*B1970*5))^3/6)+4*(((0.15*B1970*5))^4/24)+5*(((0.15*B1970*5))^5/120))/((((0.15*B1970*5))^0/1)+(((0.15*B1970*5))^1/1)+(((0.15*B1970*5))^2/2)+(((0.15*B1970*5))^3/6)+(((0.15*B1970*5))^4/24)+(((0.15*B1970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1939*(1-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1939*(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1939*(1-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1939*(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39">
        <f>INDEX(FactorTable!$B$2:$Y$301, MATCH(ROUND(MIN(300,MAX(1,U1938)),0), FactorTable!$A$2:$A$301,0), 22)</f>
        <v/>
      </c>
      <c r="V1939">
        <f>IF(C1939,(H1939*N1939*IF(AND(Inputs!$B$39&lt;&gt;"pvp",Inputs!$B$44&gt;0),((Skills!G5*((R1939-1)*IF(Skills!H5&gt;0,Skills!I5/Skills!H5,1)+IF(Skills!H5&gt;0,MIN(Skills!I5,MAX(0,MAX(0,Inputs!$B$44-B1979)-((R1939-1)*IF(Inputs!$B$39="pvp",15,MAX(0.1,Skills!D5-IF(Skills!E5=TRUE,Inputs!$B$32,0))))))/Skills!H5,1)))/Inputs!$B$44),G1939*Q1939))*IF(Inputs!$B$39="pvp",1,(1+(Inputs!$B$21+Skills!Q5+B1975+(IF(ArtifactsInput!$M$33,CHOOSE(ArtifactsInput!$N$33+1,30,36,42,48,54,60),0))+(IF(AND(ArtifactsInput!$M$35,Inputs!$B$4&lt;&gt;"Chapter Hunt"),CHOOSE(ArtifactsInput!$N$35+1,15,18,21,24,27,30)*(1-EXP(-(0.2*B1970)*5)),0)+IF(AND(ArtifactsInput!$M$22,Inputs!$B$4&lt;&gt;"Chapter Hunt"),CHOOSE(ArtifactsInput!$N$22+1,10,12,14,16,18,20)*((0*(((0.15*B1970*5))^0/1)+1*(((0.15*B1970*5))^1/1)+2*(((0.15*B1970*5))^2/2)+3*(((0.15*B1970*5))^3/6)+4*(((0.15*B1970*5))^4/24)+5*(((0.15*B1970*5))^5/120))/((((0.15*B1970*5))^0/1)+(((0.15*B1970*5))^1/1)+(((0.15*B1970*5))^2/2)+(((0.15*B1970*5))^3/6)+(((0.15*B1970*5))^4/24)+(((0.15*B1970*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40">
      <c r="A1940">
        <f>Skills!A6</f>
        <v/>
      </c>
      <c r="B1940">
        <f>Skills!B6</f>
        <v/>
      </c>
      <c r="C1940">
        <f>Inputs!$B$3&gt;=66</f>
        <v/>
      </c>
      <c r="D1940">
        <f>IF(Skills!C6=1,60+Inputs!$B$25+Inputs!$B$29,IF(Skills!C6=2,90+Inputs!$B$26+Inputs!$B$29,IF(Skills!C6=3,120+Inputs!$B$27+Inputs!$B$29,MAX(0,(Inputs!$B$3-100)*3)+Inputs!$B$28+Inputs!$B$29)))</f>
        <v/>
      </c>
      <c r="E1940">
        <f>INDEX(FactorTable!$B$2:$Y$301, MATCH(ROUND(MIN(300,MAX(1,D1940)),0), FactorTable!$A$2:$A$301,0), Skills!M6+1)</f>
        <v/>
      </c>
      <c r="F1940">
        <f>IF(Skills!N6=TRUE,(Skills!L6/10)*(E1940/1000),Skills!L6/10)+Skills!O6</f>
        <v/>
      </c>
      <c r="G1940">
        <f>Calc!G6</f>
        <v/>
      </c>
      <c r="H1940">
        <f>Calc!H6</f>
        <v/>
      </c>
      <c r="I1940">
        <f>IF(Skills!AA6&lt;&gt;"",1+(Skills!AA6/10)*(U1937/1000)/100,1)</f>
        <v/>
      </c>
      <c r="J1940" t="inlineStr"/>
      <c r="K1940" t="inlineStr"/>
      <c r="L1940" t="inlineStr"/>
      <c r="M1940" t="inlineStr"/>
      <c r="N1940" t="inlineStr"/>
      <c r="O1940">
        <f>(1-Summary!$B$11)*T1940+Summary!$B$11*V1940</f>
        <v/>
      </c>
      <c r="P1940">
        <f>IF(B1978=0,0,O1940/B1978)</f>
        <v/>
      </c>
      <c r="Q1940" t="n">
        <v>0</v>
      </c>
      <c r="R1940" t="n">
        <v>0</v>
      </c>
      <c r="S1940">
        <f>IFERROR(O1940/N1940,0)</f>
        <v/>
      </c>
      <c r="T1940" t="n">
        <v>0</v>
      </c>
      <c r="U1940">
        <f>290*U1939/1000</f>
        <v/>
      </c>
      <c r="V1940" t="n">
        <v>0</v>
      </c>
    </row>
    <row r="1941">
      <c r="A1941">
        <f>Skills!A7</f>
        <v/>
      </c>
      <c r="B1941">
        <f>Skills!B7</f>
        <v/>
      </c>
      <c r="C1941">
        <f>Inputs!$B$3&gt;=66</f>
        <v/>
      </c>
      <c r="D1941">
        <f>IF(Skills!C7=1,60+Inputs!$B$25+Inputs!$B$29,IF(Skills!C7=2,90+Inputs!$B$26+Inputs!$B$29,IF(Skills!C7=3,120+Inputs!$B$27+Inputs!$B$29,MAX(0,(Inputs!$B$3-100)*3)+Inputs!$B$28+Inputs!$B$29)))</f>
        <v/>
      </c>
      <c r="E1941">
        <f>INDEX(FactorTable!$B$2:$Y$301, MATCH(ROUND(MIN(300,MAX(1,D1941)),0), FactorTable!$A$2:$A$301,0), Skills!M7+1)</f>
        <v/>
      </c>
      <c r="F1941">
        <f>IF(Skills!N7=TRUE,(Skills!L7/10)*(E1941/1000),Skills!L7/10)+Skills!O7</f>
        <v/>
      </c>
      <c r="G1941">
        <f>Calc!G7</f>
        <v/>
      </c>
      <c r="H1941">
        <f>Calc!H7</f>
        <v/>
      </c>
      <c r="I1941">
        <f>IF(Skills!AA7&lt;&gt;"",1+(Skills!AA7/10)*(U1937/1000)/100,1)</f>
        <v/>
      </c>
      <c r="J1941" t="inlineStr"/>
      <c r="K1941" t="inlineStr"/>
      <c r="L1941" t="inlineStr"/>
      <c r="M1941" t="inlineStr"/>
      <c r="N1941" t="inlineStr"/>
      <c r="O1941">
        <f>(1-Summary!$B$11)*T1941+Summary!$B$11*V1941</f>
        <v/>
      </c>
      <c r="P1941">
        <f>IF(B1978=0,0,O1941/B1978)</f>
        <v/>
      </c>
      <c r="Q1941" t="n">
        <v>0</v>
      </c>
      <c r="R1941" t="n">
        <v>0</v>
      </c>
      <c r="S1941">
        <f>IFERROR(O1941/N1941,0)</f>
        <v/>
      </c>
      <c r="T1941" t="n">
        <v>0</v>
      </c>
      <c r="V1941" t="n">
        <v>0</v>
      </c>
    </row>
    <row r="1942">
      <c r="A1942">
        <f>Skills!A8</f>
        <v/>
      </c>
      <c r="B1942">
        <f>Skills!B8</f>
        <v/>
      </c>
      <c r="C1942">
        <f>Inputs!$B$3&gt;=69</f>
        <v/>
      </c>
      <c r="D1942">
        <f>IF(Skills!C8=1,60+Inputs!$B$25+Inputs!$B$29,IF(Skills!C8=2,90+Inputs!$B$26+Inputs!$B$29,IF(Skills!C8=3,120+Inputs!$B$27+Inputs!$B$29,MAX(0,(Inputs!$B$3-100)*3)+Inputs!$B$28+Inputs!$B$29)))</f>
        <v/>
      </c>
      <c r="E1942">
        <f>INDEX(FactorTable!$B$2:$Y$301, MATCH(ROUND(MIN(300,MAX(1,D1942)),0), FactorTable!$A$2:$A$301,0), Skills!M8+1)</f>
        <v/>
      </c>
      <c r="F1942">
        <f>IF(Skills!N8=TRUE,(Skills!L8/10)*(E1942/1000),Skills!L8/10)+Skills!O8</f>
        <v/>
      </c>
      <c r="G1942">
        <f>Calc!G8</f>
        <v/>
      </c>
      <c r="H1942">
        <f>Calc!H8</f>
        <v/>
      </c>
      <c r="I1942">
        <f>IF(Skills!AA8&lt;&gt;"",1+(Skills!AA8/10)*(U1937/1000)/100,1)</f>
        <v/>
      </c>
      <c r="J1942">
        <f>((Inputs!$B$6*(1+Inputs!$B$7/100))+(((Inputs!$B$12*(1+Inputs!$B$13/100))-(Inputs!$B$12*(1+Inputs!$B$13/100)))+0.25*(Inputs!$B$14-Inputs!$B$14))*(1+Inputs!$B$7/100))*(F1942/100)</f>
        <v/>
      </c>
      <c r="K1942">
        <f>J1942*(1+((Inputs!$B$12*(1+Inputs!$B$13/100))*0.01+Inputs!$B$14*0.0025)/100)*(1+Inputs!$B$15/100)*(1+Inputs!$B$16/100)*(5000/(6000+Inputs!$B$43*(1-(100*(1-(1-(Inputs!$B$19+0)/100)*(1-CHOOSE(ArtifactsInput!$N$40+1,5,6,7,8,9,10)/100)^(ArtifactsInput!$M$40-ArtifactsInput!$M$40)))/100)))*(1+(Inputs!$B$24+((C1964=TRUE)*(F1964-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1957=TRUE)*(F1957-Calc!F23))+(((IF(AND(ArtifactsInput!$M$42,((Inputs!$B$9+((C1959=TRUE)*(F1959-Calc!F25))+B1974+(ArtifactsInput!$M$24-ArtifactsInput!$M$24)*CHOOSE(ArtifactsInput!$N$24+1,10,12,14,16,18,20)+IF(ArtifactsInput!$M$10,CHOOSE(ArtifactsInput!$N$10+1,15,18,21,24,27,30)*(IF(Inputs!$B$39="pvp",MIN(15,15)/15,IF(AND(Inputs!$B$39&lt;&gt;"pvp",Inputs!$B$44&gt;0),MIN(15,Inputs!$B$44)/(Inputs!$B$44),0))),0)))&gt;=100),MIN(100,((Inputs!$B$9+((C1959=TRUE)*(F1959-Calc!F25))+B1974+(ArtifactsInput!$M$24-ArtifactsInput!$M$24)*CHOOSE(ArtifactsInput!$N$24+1,10,12,14,16,18,20)+IF(ArtifactsInput!$M$10,CHOOSE(ArtifactsInput!$N$10+1,15,18,21,24,27,30)*(IF(Inputs!$B$39="pvp",MIN(15,15)/15,IF(AND(Inputs!$B$39&lt;&gt;"pvp",Inputs!$B$44&gt;0),MIN(15,Inputs!$B$44)/(Inputs!$B$44),0))),0)))-100),0))*CHOOSE(ArtifactsInput!$N$42+1,0.6,0.72,0.84,0.96,1.08,1.2))),Inputs!$B$18+((C1963=TRUE)*(F1963-Calc!F29))+(IF(AND(ArtifactsInput!$M$42,((Inputs!$B$9+((C1959=TRUE)*(F1959-Calc!F25))+B1974+(ArtifactsInput!$M$24-ArtifactsInput!$M$24)*CHOOSE(ArtifactsInput!$N$24+1,10,12,14,16,18,20)+IF(ArtifactsInput!$M$10,CHOOSE(ArtifactsInput!$N$10+1,15,18,21,24,27,30)*(IF(Inputs!$B$39="pvp",MIN(15,15)/15,IF(AND(Inputs!$B$39&lt;&gt;"pvp",Inputs!$B$44&gt;0),MIN(15,Inputs!$B$44)/(Inputs!$B$44),0))),0)))&gt;=100),CHOOSE(ArtifactsInput!$N$42+1,40,48,56,64,72,80),0))))/100)*(((1+(((C1955=TRUE)*F1955*IF(AND(Inputs!$B$39&lt;&gt;"pvp",Inputs!$B$44&gt;0),(((R1955-1)*(Skills!Y21*(1+Inputs!$B$34/100))+MIN((Skills!Y21*(1+Inputs!$B$34/100)),MAX(0,Inputs!$B$44-((R1955-1)*Skills!D21))))/Inputs!$B$44),IF(Inputs!$B$39="pvp",MIN((Skills!Y21*(1+Inputs!$B$34/100)),15)/15,(Skills!Y21*(1+Inputs!$B$34/100))/Skills!D21)))+((C1962=TRUE)*(F1962-Calc!F28))+((C1952=TRUE)*(F1952-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1949=TRUE)*F1949*IF(AND(Inputs!$B$39&lt;&gt;"pvp",Inputs!$B$44&gt;0),(((R1949-1)*(Skills!Y15*(1+Inputs!$B$34/100))+MIN((Skills!Y15*(1+Inputs!$B$34/100)),MAX(0,Inputs!$B$44-((R1949-1)*Skills!D15))))/Inputs!$B$44),IF(Inputs!$B$39="pvp",MIN((Skills!Y15*(1+Inputs!$B$34/100)),15)/15,(Skills!Y15*(1+Inputs!$B$34/100))/Skills!D15)))/100)*(1+((C1940=TRUE)*F1940*B1968)/100))*B1976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1942)</f>
        <v/>
      </c>
      <c r="L1942">
        <f>K1942*(MIN(Inputs!$B$22+((C1958=TRUE)*(F1958-Calc!F24)),(Inputs!$B$23+0+(IF(ArtifactsInput!$M$15,CHOOSE(ArtifactsInput!$N$15+1,25,30,35,40,45,50)/100*(Inputs!$B$11-Inputs!$B$11),0))))/100+(Inputs!$B$23+0+(IF(ArtifactsInput!$M$15,CHOOSE(ArtifactsInput!$N$15+1,25,30,35,40,45,50)/100*(Inputs!$B$11-Inputs!$B$11),0)))/100)/2</f>
        <v/>
      </c>
      <c r="M1942">
        <f>L1942*(1+(Inputs!$B$10+((C1960=TRUE)*(F1960-Calc!F26))+B1977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42">
        <f>L1942*(1-MIN((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1942*(MIN((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42">
        <f>(1-Summary!$B$11)*T1942+Summary!$B$11*V1942</f>
        <v/>
      </c>
      <c r="P1942">
        <f>IF(B1978=0,0,O1942/B1978)</f>
        <v/>
      </c>
      <c r="Q1942">
        <f>IFERROR(1/IF(Inputs!$B$39="pvp",15,MAX(0.1,Skills!D8-IF(Skills!E8=TRUE,Inputs!$B$32,0))),0)</f>
        <v/>
      </c>
      <c r="R1942">
        <f>IF(AND(Inputs!$B$39&lt;&gt;"pvp",Inputs!$B$44&gt;0),IF(MAX(0,Inputs!$B$44-B1979)&lt;=0,0,(INT(MAX(0,Inputs!$B$44-B1979)/IF(Inputs!$B$39="pvp",15,MAX(0.1,Skills!D8-IF(Skills!E8=TRUE,Inputs!$B$32,0))))+1)),0)</f>
        <v/>
      </c>
      <c r="S1942">
        <f>IFERROR(O1942/N1942,0)</f>
        <v/>
      </c>
      <c r="T1942">
        <f>IF(C1942,(H1942*N1942*IF(AND(Inputs!$B$39&lt;&gt;"pvp",Inputs!$B$44&gt;0),((Skills!G8*((R1942-1)*IF(Skills!H8&gt;0,Skills!I8/Skills!H8,1)+IF(Skills!H8&gt;0,MIN(Skills!I8,MAX(0,MAX(0,Inputs!$B$44-B1979)-((R1942-1)*IF(Inputs!$B$39="pvp",15,MAX(0.1,Skills!D8-IF(Skills!E8=TRUE,Inputs!$B$32,0))))))/Skills!H8,1)))/Inputs!$B$44),G1942*Q1942))*IF(Inputs!$B$39="pvp",1,1+(Inputs!$B$20+((C1961=TRUE)*(F1961-Calc!F27))+Skills!P8+B1975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Hunt"),CHOOSE(ArtifactsInput!$N$35+1,15,18,21,24,27,30)*(1-EXP(-(0.2*B1970)*5)),0)+IF(AND(ArtifactsInput!$M$22,Inputs!$B$4&lt;&gt;"Chapter Hunt"),CHOOSE(ArtifactsInput!$N$22+1,10,12,14,16,18,20)*((0*(((0.15*B1970*5))^0/1)+1*(((0.15*B1970*5))^1/1)+2*(((0.15*B1970*5))^2/2)+3*(((0.15*B1970*5))^3/6)+4*(((0.15*B1970*5))^4/24)+5*(((0.15*B1970*5))^5/120))/((((0.15*B1970*5))^0/1)+(((0.15*B1970*5))^1/1)+(((0.15*B1970*5))^2/2)+(((0.15*B1970*5))^3/6)+(((0.15*B1970*5))^4/24)+(((0.15*B1970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1942*(1-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1942*(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1942*(1-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1942*(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42">
        <f>IF(C1942,(H1942*N1942*IF(AND(Inputs!$B$39&lt;&gt;"pvp",Inputs!$B$44&gt;0),((Skills!G8*((R1942-1)*IF(Skills!H8&gt;0,Skills!I8/Skills!H8,1)+IF(Skills!H8&gt;0,MIN(Skills!I8,MAX(0,MAX(0,Inputs!$B$44-B1979)-((R1942-1)*IF(Inputs!$B$39="pvp",15,MAX(0.1,Skills!D8-IF(Skills!E8=TRUE,Inputs!$B$32,0))))))/Skills!H8,1)))/Inputs!$B$44),G1942*Q1942))*IF(Inputs!$B$39="pvp",1,(1+(Inputs!$B$21+Skills!Q8+B1975+(IF(ArtifactsInput!$M$33,CHOOSE(ArtifactsInput!$N$33+1,30,36,42,48,54,60),0))+(IF(AND(ArtifactsInput!$M$35,Inputs!$B$4&lt;&gt;"Chapter Hunt"),CHOOSE(ArtifactsInput!$N$35+1,15,18,21,24,27,30)*(1-EXP(-(0.2*B1970)*5)),0)+IF(AND(ArtifactsInput!$M$22,Inputs!$B$4&lt;&gt;"Chapter Hunt"),CHOOSE(ArtifactsInput!$N$22+1,10,12,14,16,18,20)*((0*(((0.15*B1970*5))^0/1)+1*(((0.15*B1970*5))^1/1)+2*(((0.15*B1970*5))^2/2)+3*(((0.15*B1970*5))^3/6)+4*(((0.15*B1970*5))^4/24)+5*(((0.15*B1970*5))^5/120))/((((0.15*B1970*5))^0/1)+(((0.15*B1970*5))^1/1)+(((0.15*B1970*5))^2/2)+(((0.15*B1970*5))^3/6)+(((0.15*B1970*5))^4/24)+(((0.15*B1970*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43">
      <c r="A1943">
        <f>Skills!A9</f>
        <v/>
      </c>
      <c r="B1943">
        <f>Skills!B9</f>
        <v/>
      </c>
      <c r="C1943">
        <f>Inputs!$B$3&gt;=72</f>
        <v/>
      </c>
      <c r="D1943">
        <f>IF(Skills!C9=1,60+Inputs!$B$25+Inputs!$B$29,IF(Skills!C9=2,90+Inputs!$B$26+Inputs!$B$29,IF(Skills!C9=3,120+Inputs!$B$27+Inputs!$B$29,MAX(0,(Inputs!$B$3-100)*3)+Inputs!$B$28+Inputs!$B$29)))</f>
        <v/>
      </c>
      <c r="E1943">
        <f>INDEX(FactorTable!$B$2:$Y$301, MATCH(ROUND(MIN(300,MAX(1,D1943)),0), FactorTable!$A$2:$A$301,0), Skills!M9+1)</f>
        <v/>
      </c>
      <c r="F1943">
        <f>IF(Skills!N9=TRUE,(Skills!L9/10)*(E1943/1000),Skills!L9/10)+Skills!O9</f>
        <v/>
      </c>
      <c r="G1943">
        <f>Calc!G9</f>
        <v/>
      </c>
      <c r="H1943">
        <f>Calc!H9</f>
        <v/>
      </c>
      <c r="I1943">
        <f>IF(Skills!AA9&lt;&gt;"",1+(Skills!AA9/10)*(U1937/1000)/100,1)</f>
        <v/>
      </c>
      <c r="J1943">
        <f>((Inputs!$B$6*(1+Inputs!$B$7/100))+(((Inputs!$B$12*(1+Inputs!$B$13/100))-(Inputs!$B$12*(1+Inputs!$B$13/100)))+0.25*(Inputs!$B$14-Inputs!$B$14))*(1+Inputs!$B$7/100))*(F1943/100)</f>
        <v/>
      </c>
      <c r="K1943">
        <f>J1943*(1+((Inputs!$B$12*(1+Inputs!$B$13/100))*0.01+Inputs!$B$14*0.0025)/100)*(1+Inputs!$B$15/100)*(1+Inputs!$B$16/100)*(5000/(6000+Inputs!$B$43*(1-(100*(1-(1-(Inputs!$B$19+0)/100)*(1-CHOOSE(ArtifactsInput!$N$40+1,5,6,7,8,9,10)/100)^(ArtifactsInput!$M$40-ArtifactsInput!$M$40)))/100)))*(1+(Inputs!$B$24+((C1964=TRUE)*(F1964-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1957=TRUE)*(F1957-Calc!F23))+(((IF(AND(ArtifactsInput!$M$42,((Inputs!$B$9+((C1959=TRUE)*(F1959-Calc!F25))+B1974+(ArtifactsInput!$M$24-ArtifactsInput!$M$24)*CHOOSE(ArtifactsInput!$N$24+1,10,12,14,16,18,20)+IF(ArtifactsInput!$M$10,CHOOSE(ArtifactsInput!$N$10+1,15,18,21,24,27,30)*(IF(Inputs!$B$39="pvp",MIN(15,15)/15,IF(AND(Inputs!$B$39&lt;&gt;"pvp",Inputs!$B$44&gt;0),MIN(15,Inputs!$B$44)/(Inputs!$B$44),0))),0)))&gt;=100),MIN(100,((Inputs!$B$9+((C1959=TRUE)*(F1959-Calc!F25))+B1974+(ArtifactsInput!$M$24-ArtifactsInput!$M$24)*CHOOSE(ArtifactsInput!$N$24+1,10,12,14,16,18,20)+IF(ArtifactsInput!$M$10,CHOOSE(ArtifactsInput!$N$10+1,15,18,21,24,27,30)*(IF(Inputs!$B$39="pvp",MIN(15,15)/15,IF(AND(Inputs!$B$39&lt;&gt;"pvp",Inputs!$B$44&gt;0),MIN(15,Inputs!$B$44)/(Inputs!$B$44),0))),0)))-100),0))*CHOOSE(ArtifactsInput!$N$42+1,0.6,0.72,0.84,0.96,1.08,1.2))),Inputs!$B$18+((C1963=TRUE)*(F1963-Calc!F29))+(IF(AND(ArtifactsInput!$M$42,((Inputs!$B$9+((C1959=TRUE)*(F1959-Calc!F25))+B1974+(ArtifactsInput!$M$24-ArtifactsInput!$M$24)*CHOOSE(ArtifactsInput!$N$24+1,10,12,14,16,18,20)+IF(ArtifactsInput!$M$10,CHOOSE(ArtifactsInput!$N$10+1,15,18,21,24,27,30)*(IF(Inputs!$B$39="pvp",MIN(15,15)/15,IF(AND(Inputs!$B$39&lt;&gt;"pvp",Inputs!$B$44&gt;0),MIN(15,Inputs!$B$44)/(Inputs!$B$44),0))),0)))&gt;=100),CHOOSE(ArtifactsInput!$N$42+1,40,48,56,64,72,80),0))))/100)*(((1+(((C1955=TRUE)*F1955*IF(AND(Inputs!$B$39&lt;&gt;"pvp",Inputs!$B$44&gt;0),(((R1955-1)*(Skills!Y21*(1+Inputs!$B$34/100))+MIN((Skills!Y21*(1+Inputs!$B$34/100)),MAX(0,Inputs!$B$44-((R1955-1)*Skills!D21))))/Inputs!$B$44),IF(Inputs!$B$39="pvp",MIN((Skills!Y21*(1+Inputs!$B$34/100)),15)/15,(Skills!Y21*(1+Inputs!$B$34/100))/Skills!D21)))+((C1962=TRUE)*(F1962-Calc!F28))+((C1952=TRUE)*(F1952-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1949=TRUE)*F1949*IF(AND(Inputs!$B$39&lt;&gt;"pvp",Inputs!$B$44&gt;0),(((R1949-1)*(Skills!Y15*(1+Inputs!$B$34/100))+MIN((Skills!Y15*(1+Inputs!$B$34/100)),MAX(0,Inputs!$B$44-((R1949-1)*Skills!D15))))/Inputs!$B$44),IF(Inputs!$B$39="pvp",MIN((Skills!Y15*(1+Inputs!$B$34/100)),15)/15,(Skills!Y15*(1+Inputs!$B$34/100))/Skills!D15)))/100)*(1+((C1940=TRUE)*F1940*B1968)/100))*B1976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1943)</f>
        <v/>
      </c>
      <c r="L1943">
        <f>K1943*(MIN(Inputs!$B$22+((C1958=TRUE)*(F1958-Calc!F24)),(Inputs!$B$23+0+(IF(ArtifactsInput!$M$15,CHOOSE(ArtifactsInput!$N$15+1,25,30,35,40,45,50)/100*(Inputs!$B$11-Inputs!$B$11),0))))/100+(Inputs!$B$23+0+(IF(ArtifactsInput!$M$15,CHOOSE(ArtifactsInput!$N$15+1,25,30,35,40,45,50)/100*(Inputs!$B$11-Inputs!$B$11),0)))/100)/2</f>
        <v/>
      </c>
      <c r="M1943">
        <f>L1943*(1+(Inputs!$B$10+((C1960=TRUE)*(F1960-Calc!F26))+B1977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43">
        <f>L1943*(1-MIN((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1943*(MIN((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43">
        <f>(1-Summary!$B$11)*T1943+Summary!$B$11*V1943</f>
        <v/>
      </c>
      <c r="P1943">
        <f>IF(B1978=0,0,O1943/B1978)</f>
        <v/>
      </c>
      <c r="Q1943">
        <f>IFERROR(1/IF(Inputs!$B$39="pvp",15,MAX(0.1,Skills!D9-IF(Skills!E9=TRUE,Inputs!$B$32,0))),0)</f>
        <v/>
      </c>
      <c r="R1943">
        <f>IF(AND(Inputs!$B$39&lt;&gt;"pvp",Inputs!$B$44&gt;0),IF(MAX(0,Inputs!$B$44-B1979)&lt;=0,0,(INT(MAX(0,Inputs!$B$44-B1979)/IF(Inputs!$B$39="pvp",15,MAX(0.1,Skills!D9-IF(Skills!E9=TRUE,Inputs!$B$32,0))))+1)),0)</f>
        <v/>
      </c>
      <c r="S1943">
        <f>IFERROR(O1943/N1943,0)</f>
        <v/>
      </c>
      <c r="T1943">
        <f>IF(C1943,(H1943*N1943*IF(AND(Inputs!$B$39&lt;&gt;"pvp",Inputs!$B$44&gt;0),((Skills!G9*((R1943-1)*IF(Skills!H9&gt;0,Skills!I9/Skills!H9,1)+IF(Skills!H9&gt;0,MIN(Skills!I9,MAX(0,MAX(0,Inputs!$B$44-B1979)-((R1943-1)*IF(Inputs!$B$39="pvp",15,MAX(0.1,Skills!D9-IF(Skills!E9=TRUE,Inputs!$B$32,0))))))/Skills!H9,1)))/Inputs!$B$44),G1943*Q1943))*IF(Inputs!$B$39="pvp",1,1+(Inputs!$B$20+((C1961=TRUE)*(F1961-Calc!F27))+Skills!P9+B1975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Hunt"),CHOOSE(ArtifactsInput!$N$35+1,15,18,21,24,27,30)*(1-EXP(-(0.2*B1970)*5)),0)+IF(AND(ArtifactsInput!$M$22,Inputs!$B$4&lt;&gt;"Chapter Hunt"),CHOOSE(ArtifactsInput!$N$22+1,10,12,14,16,18,20)*((0*(((0.15*B1970*5))^0/1)+1*(((0.15*B1970*5))^1/1)+2*(((0.15*B1970*5))^2/2)+3*(((0.15*B1970*5))^3/6)+4*(((0.15*B1970*5))^4/24)+5*(((0.15*B1970*5))^5/120))/((((0.15*B1970*5))^0/1)+(((0.15*B1970*5))^1/1)+(((0.15*B1970*5))^2/2)+(((0.15*B1970*5))^3/6)+(((0.15*B1970*5))^4/24)+(((0.15*B1970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1943*(1-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1943*(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1943*(1-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1943*(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43">
        <f>IF(C1943,(H1943*N1943*IF(AND(Inputs!$B$39&lt;&gt;"pvp",Inputs!$B$44&gt;0),((Skills!G9*((R1943-1)*IF(Skills!H9&gt;0,Skills!I9/Skills!H9,1)+IF(Skills!H9&gt;0,MIN(Skills!I9,MAX(0,MAX(0,Inputs!$B$44-B1979)-((R1943-1)*IF(Inputs!$B$39="pvp",15,MAX(0.1,Skills!D9-IF(Skills!E9=TRUE,Inputs!$B$32,0))))))/Skills!H9,1)))/Inputs!$B$44),G1943*Q1943))*IF(Inputs!$B$39="pvp",1,(1+(Inputs!$B$21+Skills!Q9+B1975+(IF(ArtifactsInput!$M$33,CHOOSE(ArtifactsInput!$N$33+1,30,36,42,48,54,60),0))+(IF(AND(ArtifactsInput!$M$35,Inputs!$B$4&lt;&gt;"Chapter Hunt"),CHOOSE(ArtifactsInput!$N$35+1,15,18,21,24,27,30)*(1-EXP(-(0.2*B1970)*5)),0)+IF(AND(ArtifactsInput!$M$22,Inputs!$B$4&lt;&gt;"Chapter Hunt"),CHOOSE(ArtifactsInput!$N$22+1,10,12,14,16,18,20)*((0*(((0.15*B1970*5))^0/1)+1*(((0.15*B1970*5))^1/1)+2*(((0.15*B1970*5))^2/2)+3*(((0.15*B1970*5))^3/6)+4*(((0.15*B1970*5))^4/24)+5*(((0.15*B1970*5))^5/120))/((((0.15*B1970*5))^0/1)+(((0.15*B1970*5))^1/1)+(((0.15*B1970*5))^2/2)+(((0.15*B1970*5))^3/6)+(((0.15*B1970*5))^4/24)+(((0.15*B1970*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44">
      <c r="A1944">
        <f>Skills!A10</f>
        <v/>
      </c>
      <c r="B1944">
        <f>Skills!B10</f>
        <v/>
      </c>
      <c r="C1944">
        <f>Inputs!$B$3&gt;=117</f>
        <v/>
      </c>
      <c r="D1944">
        <f>IF(Skills!C10=1,60+Inputs!$B$25+Inputs!$B$29,IF(Skills!C10=2,90+Inputs!$B$26+Inputs!$B$29,IF(Skills!C10=3,120+Inputs!$B$27+Inputs!$B$29,MAX(0,(Inputs!$B$3-100)*3)+Inputs!$B$28+Inputs!$B$29)))</f>
        <v/>
      </c>
      <c r="E1944">
        <f>INDEX(FactorTable!$B$2:$Y$301, MATCH(ROUND(MIN(300,MAX(1,D1944)),0), FactorTable!$A$2:$A$301,0), Skills!M10+1)</f>
        <v/>
      </c>
      <c r="F1944">
        <f>IF(Skills!N10=TRUE,(Skills!L10/10)*(E1944/1000),Skills!L10/10)+Skills!O10</f>
        <v/>
      </c>
      <c r="G1944">
        <f>Calc!G10</f>
        <v/>
      </c>
      <c r="H1944">
        <f>Calc!H10</f>
        <v/>
      </c>
      <c r="I1944">
        <f>IF(Skills!AA10&lt;&gt;"",1+(Skills!AA10/10)*(U1937/1000)/100,1)</f>
        <v/>
      </c>
      <c r="J1944">
        <f>((Inputs!$B$6*(1+Inputs!$B$7/100))+(((Inputs!$B$12*(1+Inputs!$B$13/100))-(Inputs!$B$12*(1+Inputs!$B$13/100)))+0.25*(Inputs!$B$14-Inputs!$B$14))*(1+Inputs!$B$7/100))*(F1944/100)</f>
        <v/>
      </c>
      <c r="K1944">
        <f>J1944*(1+((Inputs!$B$12*(1+Inputs!$B$13/100))*0.01+Inputs!$B$14*0.0025)/100)*(1+Inputs!$B$15/100)*(1+Inputs!$B$16/100)*(5000/(6000+Inputs!$B$43*(1-(100*(1-(1-(Inputs!$B$19+0)/100)*(1-CHOOSE(ArtifactsInput!$N$40+1,5,6,7,8,9,10)/100)^(ArtifactsInput!$M$40-ArtifactsInput!$M$40)))/100)))*(1+(Inputs!$B$24+((C1964=TRUE)*(F1964-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1957=TRUE)*(F1957-Calc!F23))+(((IF(AND(ArtifactsInput!$M$42,((Inputs!$B$9+((C1959=TRUE)*(F1959-Calc!F25))+B1974+(ArtifactsInput!$M$24-ArtifactsInput!$M$24)*CHOOSE(ArtifactsInput!$N$24+1,10,12,14,16,18,20)+IF(ArtifactsInput!$M$10,CHOOSE(ArtifactsInput!$N$10+1,15,18,21,24,27,30)*(IF(Inputs!$B$39="pvp",MIN(15,15)/15,IF(AND(Inputs!$B$39&lt;&gt;"pvp",Inputs!$B$44&gt;0),MIN(15,Inputs!$B$44)/(Inputs!$B$44),0))),0)))&gt;=100),MIN(100,((Inputs!$B$9+((C1959=TRUE)*(F1959-Calc!F25))+B1974+(ArtifactsInput!$M$24-ArtifactsInput!$M$24)*CHOOSE(ArtifactsInput!$N$24+1,10,12,14,16,18,20)+IF(ArtifactsInput!$M$10,CHOOSE(ArtifactsInput!$N$10+1,15,18,21,24,27,30)*(IF(Inputs!$B$39="pvp",MIN(15,15)/15,IF(AND(Inputs!$B$39&lt;&gt;"pvp",Inputs!$B$44&gt;0),MIN(15,Inputs!$B$44)/(Inputs!$B$44),0))),0)))-100),0))*CHOOSE(ArtifactsInput!$N$42+1,0.6,0.72,0.84,0.96,1.08,1.2))),Inputs!$B$18+((C1963=TRUE)*(F1963-Calc!F29))+(IF(AND(ArtifactsInput!$M$42,((Inputs!$B$9+((C1959=TRUE)*(F1959-Calc!F25))+B1974+(ArtifactsInput!$M$24-ArtifactsInput!$M$24)*CHOOSE(ArtifactsInput!$N$24+1,10,12,14,16,18,20)+IF(ArtifactsInput!$M$10,CHOOSE(ArtifactsInput!$N$10+1,15,18,21,24,27,30)*(IF(Inputs!$B$39="pvp",MIN(15,15)/15,IF(AND(Inputs!$B$39&lt;&gt;"pvp",Inputs!$B$44&gt;0),MIN(15,Inputs!$B$44)/(Inputs!$B$44),0))),0)))&gt;=100),CHOOSE(ArtifactsInput!$N$42+1,40,48,56,64,72,80),0))))/100)*(((1+(((C1955=TRUE)*F1955*IF(AND(Inputs!$B$39&lt;&gt;"pvp",Inputs!$B$44&gt;0),(((R1955-1)*(Skills!Y21*(1+Inputs!$B$34/100))+MIN((Skills!Y21*(1+Inputs!$B$34/100)),MAX(0,Inputs!$B$44-((R1955-1)*Skills!D21))))/Inputs!$B$44),IF(Inputs!$B$39="pvp",MIN((Skills!Y21*(1+Inputs!$B$34/100)),15)/15,(Skills!Y21*(1+Inputs!$B$34/100))/Skills!D21)))+((C1962=TRUE)*(F1962-Calc!F28))+((C1952=TRUE)*(F1952-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1949=TRUE)*F1949*IF(AND(Inputs!$B$39&lt;&gt;"pvp",Inputs!$B$44&gt;0),(((R1949-1)*(Skills!Y15*(1+Inputs!$B$34/100))+MIN((Skills!Y15*(1+Inputs!$B$34/100)),MAX(0,Inputs!$B$44-((R1949-1)*Skills!D15))))/Inputs!$B$44),IF(Inputs!$B$39="pvp",MIN((Skills!Y15*(1+Inputs!$B$34/100)),15)/15,(Skills!Y15*(1+Inputs!$B$34/100))/Skills!D15)))/100)*(1+((C1940=TRUE)*F1940*B1968)/100))*B1976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1944)</f>
        <v/>
      </c>
      <c r="L1944">
        <f>K1944*(MIN(Inputs!$B$22+((C1958=TRUE)*(F1958-Calc!F24)),(Inputs!$B$23+0+(IF(ArtifactsInput!$M$15,CHOOSE(ArtifactsInput!$N$15+1,25,30,35,40,45,50)/100*(Inputs!$B$11-Inputs!$B$11),0))))/100+(Inputs!$B$23+0+(IF(ArtifactsInput!$M$15,CHOOSE(ArtifactsInput!$N$15+1,25,30,35,40,45,50)/100*(Inputs!$B$11-Inputs!$B$11),0)))/100)/2</f>
        <v/>
      </c>
      <c r="M1944">
        <f>L1944*(1+(Inputs!$B$10+((C1960=TRUE)*(F1960-Calc!F26))+B1977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44">
        <f>L1944*(1-MIN((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1944*(MIN((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44">
        <f>(1-Summary!$B$11)*T1944+Summary!$B$11*V1944</f>
        <v/>
      </c>
      <c r="P1944">
        <f>IF(B1978=0,0,O1944/B1978)</f>
        <v/>
      </c>
      <c r="Q1944" t="n">
        <v>0</v>
      </c>
      <c r="R1944" t="n">
        <v>0</v>
      </c>
      <c r="S1944" t="n">
        <v>0</v>
      </c>
      <c r="T1944">
        <f>IF(C1944,(0.2*SUMPRODUCT((Skills!Z2:Z31=TRUE)*(C1936:C1965=TRUE)*S1936:S1965)*N1944)*IF(Inputs!$B$39="pvp",1,1+(Inputs!$B$20+((C1961=TRUE)*(F1961-Calc!F27))+Skills!P10+B1975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Hunt"),CHOOSE(ArtifactsInput!$N$35+1,15,18,21,24,27,30)*(1-EXP(-(0.2*B1970)*5)),0)+IF(AND(ArtifactsInput!$M$22,Inputs!$B$4&lt;&gt;"Chapter Hunt"),CHOOSE(ArtifactsInput!$N$22+1,10,12,14,16,18,20)*((0*(((0.15*B1970*5))^0/1)+1*(((0.15*B1970*5))^1/1)+2*(((0.15*B1970*5))^2/2)+3*(((0.15*B1970*5))^3/6)+4*(((0.15*B1970*5))^4/24)+5*(((0.15*B1970*5))^5/120))/((((0.15*B1970*5))^0/1)+(((0.15*B1970*5))^1/1)+(((0.15*B1970*5))^2/2)+(((0.15*B1970*5))^3/6)+(((0.15*B1970*5))^4/24)+(((0.15*B1970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1944*(1-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1944*(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1944*(1-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1944*(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44">
        <f>IF(C1944,(0.2*SUMPRODUCT((Skills!Z2:Z31=TRUE)*(C1936:C1965=TRUE)*S1936:S1965)*N1944)*IF(Inputs!$B$39="pvp",1,(1+(Inputs!$B$21+Skills!Q10+B1975+(IF(ArtifactsInput!$M$33,CHOOSE(ArtifactsInput!$N$33+1,30,36,42,48,54,60),0))+(IF(AND(ArtifactsInput!$M$35,Inputs!$B$4&lt;&gt;"Chapter Hunt"),CHOOSE(ArtifactsInput!$N$35+1,15,18,21,24,27,30)*(1-EXP(-(0.2*B1970)*5)),0)+IF(AND(ArtifactsInput!$M$22,Inputs!$B$4&lt;&gt;"Chapter Hunt"),CHOOSE(ArtifactsInput!$N$22+1,10,12,14,16,18,20)*((0*(((0.15*B1970*5))^0/1)+1*(((0.15*B1970*5))^1/1)+2*(((0.15*B1970*5))^2/2)+3*(((0.15*B1970*5))^3/6)+4*(((0.15*B1970*5))^4/24)+5*(((0.15*B1970*5))^5/120))/((((0.15*B1970*5))^0/1)+(((0.15*B1970*5))^1/1)+(((0.15*B1970*5))^2/2)+(((0.15*B1970*5))^3/6)+(((0.15*B1970*5))^4/24)+(((0.15*B1970*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45">
      <c r="A1945">
        <f>Skills!A11</f>
        <v/>
      </c>
      <c r="B1945">
        <f>Skills!B11</f>
        <v/>
      </c>
      <c r="C1945">
        <f>Inputs!$B$3&gt;=60</f>
        <v/>
      </c>
      <c r="D1945">
        <f>IF(Skills!C11=1,60+Inputs!$B$25+Inputs!$B$29,IF(Skills!C11=2,90+Inputs!$B$26+Inputs!$B$29,IF(Skills!C11=3,120+Inputs!$B$27+Inputs!$B$29,MAX(0,(Inputs!$B$3-100)*3)+Inputs!$B$28+Inputs!$B$29)))</f>
        <v/>
      </c>
      <c r="E1945">
        <f>INDEX(FactorTable!$B$2:$Y$301, MATCH(ROUND(MIN(300,MAX(1,D1945)),0), FactorTable!$A$2:$A$301,0), Skills!M11+1)</f>
        <v/>
      </c>
      <c r="F1945">
        <f>IF(Skills!N11=TRUE,(Skills!L11/10)*(E1945/1000),Skills!L11/10)+Skills!O11</f>
        <v/>
      </c>
      <c r="G1945">
        <f>Calc!G11</f>
        <v/>
      </c>
      <c r="H1945">
        <f>Calc!H11</f>
        <v/>
      </c>
      <c r="I1945">
        <f>IF(Skills!AA11&lt;&gt;"",1+(Skills!AA11/10)*(U1937/1000)/100,1)</f>
        <v/>
      </c>
      <c r="J1945" t="inlineStr"/>
      <c r="K1945" t="inlineStr"/>
      <c r="L1945" t="inlineStr"/>
      <c r="M1945" t="inlineStr"/>
      <c r="N1945" t="inlineStr"/>
      <c r="O1945">
        <f>(1-Summary!$B$11)*T1945+Summary!$B$11*V1945</f>
        <v/>
      </c>
      <c r="P1945">
        <f>IF(B1978=0,0,O1945/B1978)</f>
        <v/>
      </c>
      <c r="Q1945" t="n">
        <v>0</v>
      </c>
      <c r="R1945" t="n">
        <v>0</v>
      </c>
      <c r="S1945">
        <f>IFERROR(O1945/N1945,0)</f>
        <v/>
      </c>
      <c r="T1945" t="n">
        <v>0</v>
      </c>
      <c r="V1945" t="n">
        <v>0</v>
      </c>
    </row>
    <row r="1946">
      <c r="A1946">
        <f>Skills!A12</f>
        <v/>
      </c>
      <c r="B1946">
        <f>Skills!B12</f>
        <v/>
      </c>
      <c r="C1946">
        <f>Inputs!$B$3&gt;=103</f>
        <v/>
      </c>
      <c r="D1946">
        <f>IF(Skills!C12=1,60+Inputs!$B$25+Inputs!$B$29,IF(Skills!C12=2,90+Inputs!$B$26+Inputs!$B$29,IF(Skills!C12=3,120+Inputs!$B$27+Inputs!$B$29,MAX(0,(Inputs!$B$3-100)*3)+Inputs!$B$28+Inputs!$B$29)))</f>
        <v/>
      </c>
      <c r="E1946">
        <f>INDEX(FactorTable!$B$2:$Y$301, MATCH(ROUND(MIN(300,MAX(1,D1946)),0), FactorTable!$A$2:$A$301,0), Skills!M12+1)</f>
        <v/>
      </c>
      <c r="F1946">
        <f>IF(Skills!N12=TRUE,(Skills!L12/10)*(E1946/1000),Skills!L12/10)+Skills!O12</f>
        <v/>
      </c>
      <c r="G1946">
        <f>Calc!G12</f>
        <v/>
      </c>
      <c r="H1946">
        <f>Calc!H12</f>
        <v/>
      </c>
      <c r="I1946">
        <f>IF(Skills!AA12&lt;&gt;"",1+(Skills!AA12/10)*(U1937/1000)/100,1)</f>
        <v/>
      </c>
      <c r="J1946">
        <f>((Inputs!$B$6*(1+Inputs!$B$7/100))+(((Inputs!$B$12*(1+Inputs!$B$13/100))-(Inputs!$B$12*(1+Inputs!$B$13/100)))+0.25*(Inputs!$B$14-Inputs!$B$14))*(1+Inputs!$B$7/100))*(F1946/100)</f>
        <v/>
      </c>
      <c r="K1946">
        <f>J1946*(1+((Inputs!$B$12*(1+Inputs!$B$13/100))*0.01+Inputs!$B$14*0.0025)/100)*(1+Inputs!$B$15/100)*(1+Inputs!$B$16/100)*(5000/(6000+Inputs!$B$43*(1-(100*(1-(1-(Inputs!$B$19+0)/100)*(1-CHOOSE(ArtifactsInput!$N$40+1,5,6,7,8,9,10)/100)^(ArtifactsInput!$M$40-ArtifactsInput!$M$40)))/100)))*(1+(Inputs!$B$24+((C1964=TRUE)*(F1964-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1957=TRUE)*(F1957-Calc!F23))+(((IF(AND(ArtifactsInput!$M$42,((Inputs!$B$9+((C1959=TRUE)*(F1959-Calc!F25))+B1974+(ArtifactsInput!$M$24-ArtifactsInput!$M$24)*CHOOSE(ArtifactsInput!$N$24+1,10,12,14,16,18,20)+IF(ArtifactsInput!$M$10,CHOOSE(ArtifactsInput!$N$10+1,15,18,21,24,27,30)*(IF(Inputs!$B$39="pvp",MIN(15,15)/15,IF(AND(Inputs!$B$39&lt;&gt;"pvp",Inputs!$B$44&gt;0),MIN(15,Inputs!$B$44)/(Inputs!$B$44),0))),0)))&gt;=100),MIN(100,((Inputs!$B$9+((C1959=TRUE)*(F1959-Calc!F25))+B1974+(ArtifactsInput!$M$24-ArtifactsInput!$M$24)*CHOOSE(ArtifactsInput!$N$24+1,10,12,14,16,18,20)+IF(ArtifactsInput!$M$10,CHOOSE(ArtifactsInput!$N$10+1,15,18,21,24,27,30)*(IF(Inputs!$B$39="pvp",MIN(15,15)/15,IF(AND(Inputs!$B$39&lt;&gt;"pvp",Inputs!$B$44&gt;0),MIN(15,Inputs!$B$44)/(Inputs!$B$44),0))),0)))-100),0))*CHOOSE(ArtifactsInput!$N$42+1,0.6,0.72,0.84,0.96,1.08,1.2))),Inputs!$B$18+((C1963=TRUE)*(F1963-Calc!F29))+(IF(AND(ArtifactsInput!$M$42,((Inputs!$B$9+((C1959=TRUE)*(F1959-Calc!F25))+B1974+(ArtifactsInput!$M$24-ArtifactsInput!$M$24)*CHOOSE(ArtifactsInput!$N$24+1,10,12,14,16,18,20)+IF(ArtifactsInput!$M$10,CHOOSE(ArtifactsInput!$N$10+1,15,18,21,24,27,30)*(IF(Inputs!$B$39="pvp",MIN(15,15)/15,IF(AND(Inputs!$B$39&lt;&gt;"pvp",Inputs!$B$44&gt;0),MIN(15,Inputs!$B$44)/(Inputs!$B$44),0))),0)))&gt;=100),CHOOSE(ArtifactsInput!$N$42+1,40,48,56,64,72,80),0))))/100)*(((1+(((C1955=TRUE)*F1955*IF(AND(Inputs!$B$39&lt;&gt;"pvp",Inputs!$B$44&gt;0),(((R1955-1)*(Skills!Y21*(1+Inputs!$B$34/100))+MIN((Skills!Y21*(1+Inputs!$B$34/100)),MAX(0,Inputs!$B$44-((R1955-1)*Skills!D21))))/Inputs!$B$44),IF(Inputs!$B$39="pvp",MIN((Skills!Y21*(1+Inputs!$B$34/100)),15)/15,(Skills!Y21*(1+Inputs!$B$34/100))/Skills!D21)))+((C1962=TRUE)*(F1962-Calc!F28))+((C1952=TRUE)*(F1952-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1949=TRUE)*F1949*IF(AND(Inputs!$B$39&lt;&gt;"pvp",Inputs!$B$44&gt;0),(((R1949-1)*(Skills!Y15*(1+Inputs!$B$34/100))+MIN((Skills!Y15*(1+Inputs!$B$34/100)),MAX(0,Inputs!$B$44-((R1949-1)*Skills!D15))))/Inputs!$B$44),IF(Inputs!$B$39="pvp",MIN((Skills!Y15*(1+Inputs!$B$34/100)),15)/15,(Skills!Y15*(1+Inputs!$B$34/100))/Skills!D15)))/100)*(1+((C1940=TRUE)*F1940*B1968)/100))*B1976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1946)</f>
        <v/>
      </c>
      <c r="L1946">
        <f>K1946*(MIN(Inputs!$B$22+((C1958=TRUE)*(F1958-Calc!F24)),(Inputs!$B$23+0+(IF(ArtifactsInput!$M$15,CHOOSE(ArtifactsInput!$N$15+1,25,30,35,40,45,50)/100*(Inputs!$B$11-Inputs!$B$11),0))))/100+(Inputs!$B$23+0+(IF(ArtifactsInput!$M$15,CHOOSE(ArtifactsInput!$N$15+1,25,30,35,40,45,50)/100*(Inputs!$B$11-Inputs!$B$11),0)))/100)/2</f>
        <v/>
      </c>
      <c r="M1946">
        <f>L1946*(1+(Inputs!$B$10+((C1960=TRUE)*(F1960-Calc!F26))+B1977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46">
        <f>L1946*(1-MIN((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1946*(MIN((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46">
        <f>(1-Summary!$B$11)*T1946+Summary!$B$11*V1946</f>
        <v/>
      </c>
      <c r="P1946">
        <f>IF(B1978=0,0,O1946/B1978)</f>
        <v/>
      </c>
      <c r="Q1946">
        <f>IFERROR(1/IF(Inputs!$B$39="pvp",15,MAX(0.1,Skills!D12-IF(Skills!E12=TRUE,Inputs!$B$32,0))),0)</f>
        <v/>
      </c>
      <c r="R1946">
        <f>IF(AND(Inputs!$B$39&lt;&gt;"pvp",Inputs!$B$44&gt;0),IF(MAX(0,Inputs!$B$44-B1979)&lt;=0,0,(INT(MAX(0,Inputs!$B$44-B1979)/IF(Inputs!$B$39="pvp",15,MAX(0.1,Skills!D12-IF(Skills!E12=TRUE,Inputs!$B$32,0))))+1)),0)</f>
        <v/>
      </c>
      <c r="S1946">
        <f>IFERROR(O1946/N1946,0)</f>
        <v/>
      </c>
      <c r="T1946">
        <f>IF(C1946,(H1946*N1946*IF(AND(Inputs!$B$39&lt;&gt;"pvp",Inputs!$B$44&gt;0),((Skills!G12*((R1946-1)*IF(Skills!H12&gt;0,Skills!I12/Skills!H12,1)+IF(Skills!H12&gt;0,MIN(Skills!I12,MAX(0,MAX(0,Inputs!$B$44-B1979)-((R1946-1)*IF(Inputs!$B$39="pvp",15,MAX(0.1,Skills!D12-IF(Skills!E12=TRUE,Inputs!$B$32,0))))))/Skills!H12,1)))/Inputs!$B$44),G1946*Q1946))*IF(Inputs!$B$39="pvp",1,1+(Inputs!$B$20+((C1961=TRUE)*(F1961-Calc!F27))+Skills!P12+B1975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Hunt"),CHOOSE(ArtifactsInput!$N$35+1,15,18,21,24,27,30)*(1-EXP(-(0.2*B1970)*5)),0)+IF(AND(ArtifactsInput!$M$22,Inputs!$B$4&lt;&gt;"Chapter Hunt"),CHOOSE(ArtifactsInput!$N$22+1,10,12,14,16,18,20)*((0*(((0.15*B1970*5))^0/1)+1*(((0.15*B1970*5))^1/1)+2*(((0.15*B1970*5))^2/2)+3*(((0.15*B1970*5))^3/6)+4*(((0.15*B1970*5))^4/24)+5*(((0.15*B1970*5))^5/120))/((((0.15*B1970*5))^0/1)+(((0.15*B1970*5))^1/1)+(((0.15*B1970*5))^2/2)+(((0.15*B1970*5))^3/6)+(((0.15*B1970*5))^4/24)+(((0.15*B1970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1946*(1-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1946*(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1946*(1-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1946*(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46">
        <f>IF(C1946,(H1946*N1946*IF(AND(Inputs!$B$39&lt;&gt;"pvp",Inputs!$B$44&gt;0),((Skills!G12*((R1946-1)*IF(Skills!H12&gt;0,Skills!I12/Skills!H12,1)+IF(Skills!H12&gt;0,MIN(Skills!I12,MAX(0,MAX(0,Inputs!$B$44-B1979)-((R1946-1)*IF(Inputs!$B$39="pvp",15,MAX(0.1,Skills!D12-IF(Skills!E12=TRUE,Inputs!$B$32,0))))))/Skills!H12,1)))/Inputs!$B$44),G1946*Q1946))*IF(Inputs!$B$39="pvp",1,(1+(Inputs!$B$21+Skills!Q12+B1975+(IF(ArtifactsInput!$M$33,CHOOSE(ArtifactsInput!$N$33+1,30,36,42,48,54,60),0))+(IF(AND(ArtifactsInput!$M$35,Inputs!$B$4&lt;&gt;"Chapter Hunt"),CHOOSE(ArtifactsInput!$N$35+1,15,18,21,24,27,30)*(1-EXP(-(0.2*B1970)*5)),0)+IF(AND(ArtifactsInput!$M$22,Inputs!$B$4&lt;&gt;"Chapter Hunt"),CHOOSE(ArtifactsInput!$N$22+1,10,12,14,16,18,20)*((0*(((0.15*B1970*5))^0/1)+1*(((0.15*B1970*5))^1/1)+2*(((0.15*B1970*5))^2/2)+3*(((0.15*B1970*5))^3/6)+4*(((0.15*B1970*5))^4/24)+5*(((0.15*B1970*5))^5/120))/((((0.15*B1970*5))^0/1)+(((0.15*B1970*5))^1/1)+(((0.15*B1970*5))^2/2)+(((0.15*B1970*5))^3/6)+(((0.15*B1970*5))^4/24)+(((0.15*B1970*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47">
      <c r="A1947">
        <f>Skills!A13</f>
        <v/>
      </c>
      <c r="B1947">
        <f>Skills!B13</f>
        <v/>
      </c>
      <c r="C1947">
        <f>Inputs!$B$3&gt;=105</f>
        <v/>
      </c>
      <c r="D1947">
        <f>IF(Skills!C13=1,60+Inputs!$B$25+Inputs!$B$29,IF(Skills!C13=2,90+Inputs!$B$26+Inputs!$B$29,IF(Skills!C13=3,120+Inputs!$B$27+Inputs!$B$29,MAX(0,(Inputs!$B$3-100)*3)+Inputs!$B$28+Inputs!$B$29)))</f>
        <v/>
      </c>
      <c r="E1947">
        <f>INDEX(FactorTable!$B$2:$Y$301, MATCH(ROUND(MIN(300,MAX(1,D1947)),0), FactorTable!$A$2:$A$301,0), Skills!M13+1)</f>
        <v/>
      </c>
      <c r="F1947">
        <f>IF(Skills!N13=TRUE,(Skills!L13/10)*(E1947/1000),Skills!L13/10)+Skills!O13</f>
        <v/>
      </c>
      <c r="G1947">
        <f>Calc!G13</f>
        <v/>
      </c>
      <c r="H1947">
        <f>Calc!H13</f>
        <v/>
      </c>
      <c r="I1947">
        <f>IF(Skills!AA13&lt;&gt;"",1+(Skills!AA13/10)*(U1937/1000)/100,1)</f>
        <v/>
      </c>
      <c r="J1947">
        <f>((Inputs!$B$6*(1+Inputs!$B$7/100))+(((Inputs!$B$12*(1+Inputs!$B$13/100))-(Inputs!$B$12*(1+Inputs!$B$13/100)))+0.25*(Inputs!$B$14-Inputs!$B$14))*(1+Inputs!$B$7/100))*(F1947/100)</f>
        <v/>
      </c>
      <c r="K1947">
        <f>J1947*(1+((Inputs!$B$12*(1+Inputs!$B$13/100))*0.01+Inputs!$B$14*0.0025)/100)*(1+Inputs!$B$15/100)*(1+Inputs!$B$16/100)*(5000/(6000+Inputs!$B$43*(1-(100*(1-(1-(Inputs!$B$19+0)/100)*(1-CHOOSE(ArtifactsInput!$N$40+1,5,6,7,8,9,10)/100)^(ArtifactsInput!$M$40-ArtifactsInput!$M$40)))/100)))*(1+(Inputs!$B$24+((C1964=TRUE)*(F1964-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1957=TRUE)*(F1957-Calc!F23))+(((IF(AND(ArtifactsInput!$M$42,((Inputs!$B$9+((C1959=TRUE)*(F1959-Calc!F25))+B1974+(ArtifactsInput!$M$24-ArtifactsInput!$M$24)*CHOOSE(ArtifactsInput!$N$24+1,10,12,14,16,18,20)+IF(ArtifactsInput!$M$10,CHOOSE(ArtifactsInput!$N$10+1,15,18,21,24,27,30)*(IF(Inputs!$B$39="pvp",MIN(15,15)/15,IF(AND(Inputs!$B$39&lt;&gt;"pvp",Inputs!$B$44&gt;0),MIN(15,Inputs!$B$44)/(Inputs!$B$44),0))),0)))&gt;=100),MIN(100,((Inputs!$B$9+((C1959=TRUE)*(F1959-Calc!F25))+B1974+(ArtifactsInput!$M$24-ArtifactsInput!$M$24)*CHOOSE(ArtifactsInput!$N$24+1,10,12,14,16,18,20)+IF(ArtifactsInput!$M$10,CHOOSE(ArtifactsInput!$N$10+1,15,18,21,24,27,30)*(IF(Inputs!$B$39="pvp",MIN(15,15)/15,IF(AND(Inputs!$B$39&lt;&gt;"pvp",Inputs!$B$44&gt;0),MIN(15,Inputs!$B$44)/(Inputs!$B$44),0))),0)))-100),0))*CHOOSE(ArtifactsInput!$N$42+1,0.6,0.72,0.84,0.96,1.08,1.2))),Inputs!$B$18+((C1963=TRUE)*(F1963-Calc!F29))+(IF(AND(ArtifactsInput!$M$42,((Inputs!$B$9+((C1959=TRUE)*(F1959-Calc!F25))+B1974+(ArtifactsInput!$M$24-ArtifactsInput!$M$24)*CHOOSE(ArtifactsInput!$N$24+1,10,12,14,16,18,20)+IF(ArtifactsInput!$M$10,CHOOSE(ArtifactsInput!$N$10+1,15,18,21,24,27,30)*(IF(Inputs!$B$39="pvp",MIN(15,15)/15,IF(AND(Inputs!$B$39&lt;&gt;"pvp",Inputs!$B$44&gt;0),MIN(15,Inputs!$B$44)/(Inputs!$B$44),0))),0)))&gt;=100),CHOOSE(ArtifactsInput!$N$42+1,40,48,56,64,72,80),0))))/100)*(((1+(((C1955=TRUE)*F1955*IF(AND(Inputs!$B$39&lt;&gt;"pvp",Inputs!$B$44&gt;0),(((R1955-1)*(Skills!Y21*(1+Inputs!$B$34/100))+MIN((Skills!Y21*(1+Inputs!$B$34/100)),MAX(0,Inputs!$B$44-((R1955-1)*Skills!D21))))/Inputs!$B$44),IF(Inputs!$B$39="pvp",MIN((Skills!Y21*(1+Inputs!$B$34/100)),15)/15,(Skills!Y21*(1+Inputs!$B$34/100))/Skills!D21)))+((C1962=TRUE)*(F1962-Calc!F28))+((C1952=TRUE)*(F1952-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1949=TRUE)*F1949*IF(AND(Inputs!$B$39&lt;&gt;"pvp",Inputs!$B$44&gt;0),(((R1949-1)*(Skills!Y15*(1+Inputs!$B$34/100))+MIN((Skills!Y15*(1+Inputs!$B$34/100)),MAX(0,Inputs!$B$44-((R1949-1)*Skills!D15))))/Inputs!$B$44),IF(Inputs!$B$39="pvp",MIN((Skills!Y15*(1+Inputs!$B$34/100)),15)/15,(Skills!Y15*(1+Inputs!$B$34/100))/Skills!D15)))/100)*(1+((C1940=TRUE)*F1940*B1968)/100))*B1976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1947)</f>
        <v/>
      </c>
      <c r="L1947">
        <f>K1947*(MIN(Inputs!$B$22+((C1958=TRUE)*(F1958-Calc!F24)),(Inputs!$B$23+0+(IF(ArtifactsInput!$M$15,CHOOSE(ArtifactsInput!$N$15+1,25,30,35,40,45,50)/100*(Inputs!$B$11-Inputs!$B$11),0))))/100+(Inputs!$B$23+0+(IF(ArtifactsInput!$M$15,CHOOSE(ArtifactsInput!$N$15+1,25,30,35,40,45,50)/100*(Inputs!$B$11-Inputs!$B$11),0)))/100)/2</f>
        <v/>
      </c>
      <c r="M1947">
        <f>L1947*(1+(Inputs!$B$10+((C1960=TRUE)*(F1960-Calc!F26))+B1977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47">
        <f>L1947*(1-MIN((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1947*(MIN((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47">
        <f>(1-Summary!$B$11)*T1947+Summary!$B$11*V1947</f>
        <v/>
      </c>
      <c r="P1947">
        <f>IF(B1978=0,0,O1947/B1978)</f>
        <v/>
      </c>
      <c r="Q1947">
        <f>IFERROR(1/IF(Inputs!$B$39="pvp",15,MAX(0.1,Skills!D13-IF(Skills!E13=TRUE,Inputs!$B$32,0))),0)</f>
        <v/>
      </c>
      <c r="R1947">
        <f>IF(AND(Inputs!$B$39&lt;&gt;"pvp",Inputs!$B$44&gt;0),IF(MAX(0,Inputs!$B$44-B1979)&lt;=0,0,(INT(MAX(0,Inputs!$B$44-B1979)/IF(Inputs!$B$39="pvp",15,MAX(0.1,Skills!D13-IF(Skills!E13=TRUE,Inputs!$B$32,0))))+1)),0)</f>
        <v/>
      </c>
      <c r="S1947">
        <f>IFERROR(O1947/N1947,0)</f>
        <v/>
      </c>
      <c r="T1947">
        <f>IF(C1947,(H1947*N1947*IF(AND(Inputs!$B$39&lt;&gt;"pvp",Inputs!$B$44&gt;0),((Skills!G13*((R1947-1)*IF(Skills!H13&gt;0,Skills!I13/Skills!H13,1)+IF(Skills!H13&gt;0,MIN(Skills!I13,MAX(0,MAX(0,Inputs!$B$44-B1979)-((R1947-1)*IF(Inputs!$B$39="pvp",15,MAX(0.1,Skills!D13-IF(Skills!E13=TRUE,Inputs!$B$32,0))))))/Skills!H13,1)))/Inputs!$B$44),G1947*Q1947))*IF(Inputs!$B$39="pvp",1,1+(Inputs!$B$20+((C1961=TRUE)*(F1961-Calc!F27))+Skills!P13+B1975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Hunt"),CHOOSE(ArtifactsInput!$N$35+1,15,18,21,24,27,30)*(1-EXP(-(0.2*B1970)*5)),0)+IF(AND(ArtifactsInput!$M$22,Inputs!$B$4&lt;&gt;"Chapter Hunt"),CHOOSE(ArtifactsInput!$N$22+1,10,12,14,16,18,20)*((0*(((0.15*B1970*5))^0/1)+1*(((0.15*B1970*5))^1/1)+2*(((0.15*B1970*5))^2/2)+3*(((0.15*B1970*5))^3/6)+4*(((0.15*B1970*5))^4/24)+5*(((0.15*B1970*5))^5/120))/((((0.15*B1970*5))^0/1)+(((0.15*B1970*5))^1/1)+(((0.15*B1970*5))^2/2)+(((0.15*B1970*5))^3/6)+(((0.15*B1970*5))^4/24)+(((0.15*B1970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1947*(1-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1947*(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1947*(1-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1947*(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47">
        <f>IF(C1947,(H1947*N1947*IF(AND(Inputs!$B$39&lt;&gt;"pvp",Inputs!$B$44&gt;0),((Skills!G13*((R1947-1)*IF(Skills!H13&gt;0,Skills!I13/Skills!H13,1)+IF(Skills!H13&gt;0,MIN(Skills!I13,MAX(0,MAX(0,Inputs!$B$44-B1979)-((R1947-1)*IF(Inputs!$B$39="pvp",15,MAX(0.1,Skills!D13-IF(Skills!E13=TRUE,Inputs!$B$32,0))))))/Skills!H13,1)))/Inputs!$B$44),G1947*Q1947))*IF(Inputs!$B$39="pvp",1,(1+(Inputs!$B$21+Skills!Q13+B1975+(IF(ArtifactsInput!$M$33,CHOOSE(ArtifactsInput!$N$33+1,30,36,42,48,54,60),0))+(IF(AND(ArtifactsInput!$M$35,Inputs!$B$4&lt;&gt;"Chapter Hunt"),CHOOSE(ArtifactsInput!$N$35+1,15,18,21,24,27,30)*(1-EXP(-(0.2*B1970)*5)),0)+IF(AND(ArtifactsInput!$M$22,Inputs!$B$4&lt;&gt;"Chapter Hunt"),CHOOSE(ArtifactsInput!$N$22+1,10,12,14,16,18,20)*((0*(((0.15*B1970*5))^0/1)+1*(((0.15*B1970*5))^1/1)+2*(((0.15*B1970*5))^2/2)+3*(((0.15*B1970*5))^3/6)+4*(((0.15*B1970*5))^4/24)+5*(((0.15*B1970*5))^5/120))/((((0.15*B1970*5))^0/1)+(((0.15*B1970*5))^1/1)+(((0.15*B1970*5))^2/2)+(((0.15*B1970*5))^3/6)+(((0.15*B1970*5))^4/24)+(((0.15*B1970*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48">
      <c r="A1948">
        <f>Skills!A14</f>
        <v/>
      </c>
      <c r="B1948">
        <f>Skills!B14</f>
        <v/>
      </c>
      <c r="C1948">
        <f>Inputs!$B$3&gt;=105</f>
        <v/>
      </c>
      <c r="D1948">
        <f>IF(Skills!C14=1,60+Inputs!$B$25+Inputs!$B$29,IF(Skills!C14=2,90+Inputs!$B$26+Inputs!$B$29,IF(Skills!C14=3,120+Inputs!$B$27+Inputs!$B$29,MAX(0,(Inputs!$B$3-100)*3)+Inputs!$B$28+Inputs!$B$29)))</f>
        <v/>
      </c>
      <c r="E1948">
        <f>INDEX(FactorTable!$B$2:$Y$301, MATCH(ROUND(MIN(300,MAX(1,D1948)),0), FactorTable!$A$2:$A$301,0), Skills!M14+1)</f>
        <v/>
      </c>
      <c r="F1948">
        <f>IF(Skills!N14=TRUE,(Skills!L14/10)*(E1948/1000),Skills!L14/10)+Skills!O14</f>
        <v/>
      </c>
      <c r="G1948">
        <f>Calc!G14</f>
        <v/>
      </c>
      <c r="H1948">
        <f>Calc!H14</f>
        <v/>
      </c>
      <c r="I1948">
        <f>IF(Skills!AA14&lt;&gt;"",1+(Skills!AA14/10)*(U1937/1000)/100,1)</f>
        <v/>
      </c>
      <c r="J1948">
        <f>((Inputs!$B$6*(1+Inputs!$B$7/100))+(((Inputs!$B$12*(1+Inputs!$B$13/100))-(Inputs!$B$12*(1+Inputs!$B$13/100)))+0.25*(Inputs!$B$14-Inputs!$B$14))*(1+Inputs!$B$7/100))*(F1948/100)</f>
        <v/>
      </c>
      <c r="K1948">
        <f>J1948*(1+((Inputs!$B$12*(1+Inputs!$B$13/100))*0.01+Inputs!$B$14*0.0025)/100)*(1+Inputs!$B$15/100)*(1+Inputs!$B$16/100)*(5000/(6000+Inputs!$B$43*(1-(100*(1-(1-(Inputs!$B$19+0)/100)*(1-CHOOSE(ArtifactsInput!$N$40+1,5,6,7,8,9,10)/100)^(ArtifactsInput!$M$40-ArtifactsInput!$M$40)))/100)))*(1+(Inputs!$B$24+((C1964=TRUE)*(F1964-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1957=TRUE)*(F1957-Calc!F23))+(((IF(AND(ArtifactsInput!$M$42,((Inputs!$B$9+((C1959=TRUE)*(F1959-Calc!F25))+B1974+(ArtifactsInput!$M$24-ArtifactsInput!$M$24)*CHOOSE(ArtifactsInput!$N$24+1,10,12,14,16,18,20)+IF(ArtifactsInput!$M$10,CHOOSE(ArtifactsInput!$N$10+1,15,18,21,24,27,30)*(IF(Inputs!$B$39="pvp",MIN(15,15)/15,IF(AND(Inputs!$B$39&lt;&gt;"pvp",Inputs!$B$44&gt;0),MIN(15,Inputs!$B$44)/(Inputs!$B$44),0))),0)))&gt;=100),MIN(100,((Inputs!$B$9+((C1959=TRUE)*(F1959-Calc!F25))+B1974+(ArtifactsInput!$M$24-ArtifactsInput!$M$24)*CHOOSE(ArtifactsInput!$N$24+1,10,12,14,16,18,20)+IF(ArtifactsInput!$M$10,CHOOSE(ArtifactsInput!$N$10+1,15,18,21,24,27,30)*(IF(Inputs!$B$39="pvp",MIN(15,15)/15,IF(AND(Inputs!$B$39&lt;&gt;"pvp",Inputs!$B$44&gt;0),MIN(15,Inputs!$B$44)/(Inputs!$B$44),0))),0)))-100),0))*CHOOSE(ArtifactsInput!$N$42+1,0.6,0.72,0.84,0.96,1.08,1.2))),Inputs!$B$18+((C1963=TRUE)*(F1963-Calc!F29))+(IF(AND(ArtifactsInput!$M$42,((Inputs!$B$9+((C1959=TRUE)*(F1959-Calc!F25))+B1974+(ArtifactsInput!$M$24-ArtifactsInput!$M$24)*CHOOSE(ArtifactsInput!$N$24+1,10,12,14,16,18,20)+IF(ArtifactsInput!$M$10,CHOOSE(ArtifactsInput!$N$10+1,15,18,21,24,27,30)*(IF(Inputs!$B$39="pvp",MIN(15,15)/15,IF(AND(Inputs!$B$39&lt;&gt;"pvp",Inputs!$B$44&gt;0),MIN(15,Inputs!$B$44)/(Inputs!$B$44),0))),0)))&gt;=100),CHOOSE(ArtifactsInput!$N$42+1,40,48,56,64,72,80),0))))/100)*(((1+(((C1955=TRUE)*F1955*IF(AND(Inputs!$B$39&lt;&gt;"pvp",Inputs!$B$44&gt;0),(((R1955-1)*(Skills!Y21*(1+Inputs!$B$34/100))+MIN((Skills!Y21*(1+Inputs!$B$34/100)),MAX(0,Inputs!$B$44-((R1955-1)*Skills!D21))))/Inputs!$B$44),IF(Inputs!$B$39="pvp",MIN((Skills!Y21*(1+Inputs!$B$34/100)),15)/15,(Skills!Y21*(1+Inputs!$B$34/100))/Skills!D21)))+((C1962=TRUE)*(F1962-Calc!F28))+((C1952=TRUE)*(F1952-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1949=TRUE)*F1949*IF(AND(Inputs!$B$39&lt;&gt;"pvp",Inputs!$B$44&gt;0),(((R1949-1)*(Skills!Y15*(1+Inputs!$B$34/100))+MIN((Skills!Y15*(1+Inputs!$B$34/100)),MAX(0,Inputs!$B$44-((R1949-1)*Skills!D15))))/Inputs!$B$44),IF(Inputs!$B$39="pvp",MIN((Skills!Y15*(1+Inputs!$B$34/100)),15)/15,(Skills!Y15*(1+Inputs!$B$34/100))/Skills!D15)))/100)*(1+((C1940=TRUE)*F1940*B1968)/100))*B1976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1948)</f>
        <v/>
      </c>
      <c r="L1948">
        <f>K1948*(MIN(Inputs!$B$22+((C1958=TRUE)*(F1958-Calc!F24)),(Inputs!$B$23+0+(IF(ArtifactsInput!$M$15,CHOOSE(ArtifactsInput!$N$15+1,25,30,35,40,45,50)/100*(Inputs!$B$11-Inputs!$B$11),0))))/100+(Inputs!$B$23+0+(IF(ArtifactsInput!$M$15,CHOOSE(ArtifactsInput!$N$15+1,25,30,35,40,45,50)/100*(Inputs!$B$11-Inputs!$B$11),0)))/100)/2</f>
        <v/>
      </c>
      <c r="M1948">
        <f>L1948*(1+(Inputs!$B$10+((C1960=TRUE)*(F1960-Calc!F26))+B1977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48">
        <f>L1948*(1-MIN((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1948*(MIN((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48">
        <f>(1-Summary!$B$11)*T1948+Summary!$B$11*V1948</f>
        <v/>
      </c>
      <c r="P1948">
        <f>IF(B1978=0,0,O1948/B1978)</f>
        <v/>
      </c>
      <c r="Q1948">
        <f>IFERROR(1/IF(Inputs!$B$39="pvp",15,MAX(0.1,Skills!D14-IF(Skills!E14=TRUE,Inputs!$B$32,0))),0)</f>
        <v/>
      </c>
      <c r="R1948">
        <f>IF(AND(Inputs!$B$39&lt;&gt;"pvp",Inputs!$B$44&gt;0),IF(MAX(0,Inputs!$B$44-B1979)&lt;=0,0,(INT(MAX(0,Inputs!$B$44-B1979)/IF(Inputs!$B$39="pvp",15,MAX(0.1,Skills!D14-IF(Skills!E14=TRUE,Inputs!$B$32,0))))+1)),0)</f>
        <v/>
      </c>
      <c r="S1948">
        <f>IFERROR(O1948/N1948,0)</f>
        <v/>
      </c>
      <c r="T1948">
        <f>IF(C1948,(H1948*N1948*IF(AND(Inputs!$B$39&lt;&gt;"pvp",Inputs!$B$44&gt;0),((Skills!G14*((R1948-1)*IF(Skills!H14&gt;0,Skills!I14/Skills!H14,1)+IF(Skills!H14&gt;0,MIN(Skills!I14,MAX(0,MAX(0,Inputs!$B$44-B1979)-((R1948-1)*IF(Inputs!$B$39="pvp",15,MAX(0.1,Skills!D14-IF(Skills!E14=TRUE,Inputs!$B$32,0))))))/Skills!H14,1)))/Inputs!$B$44),G1948*Q1948))*IF(Inputs!$B$39="pvp",1,1+(Inputs!$B$20+((C1961=TRUE)*(F1961-Calc!F27))+Skills!P14+B1975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Hunt"),CHOOSE(ArtifactsInput!$N$35+1,15,18,21,24,27,30)*(1-EXP(-(0.2*B1970)*5)),0)+IF(AND(ArtifactsInput!$M$22,Inputs!$B$4&lt;&gt;"Chapter Hunt"),CHOOSE(ArtifactsInput!$N$22+1,10,12,14,16,18,20)*((0*(((0.15*B1970*5))^0/1)+1*(((0.15*B1970*5))^1/1)+2*(((0.15*B1970*5))^2/2)+3*(((0.15*B1970*5))^3/6)+4*(((0.15*B1970*5))^4/24)+5*(((0.15*B1970*5))^5/120))/((((0.15*B1970*5))^0/1)+(((0.15*B1970*5))^1/1)+(((0.15*B1970*5))^2/2)+(((0.15*B1970*5))^3/6)+(((0.15*B1970*5))^4/24)+(((0.15*B1970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1948*(1-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1948*(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1948*(1-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1948*(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48">
        <f>IF(C1948,(H1948*N1948*IF(AND(Inputs!$B$39&lt;&gt;"pvp",Inputs!$B$44&gt;0),((Skills!G14*((R1948-1)*IF(Skills!H14&gt;0,Skills!I14/Skills!H14,1)+IF(Skills!H14&gt;0,MIN(Skills!I14,MAX(0,MAX(0,Inputs!$B$44-B1979)-((R1948-1)*IF(Inputs!$B$39="pvp",15,MAX(0.1,Skills!D14-IF(Skills!E14=TRUE,Inputs!$B$32,0))))))/Skills!H14,1)))/Inputs!$B$44),G1948*Q1948))*IF(Inputs!$B$39="pvp",1,(1+(Inputs!$B$21+Skills!Q14+B1975+(IF(ArtifactsInput!$M$33,CHOOSE(ArtifactsInput!$N$33+1,30,36,42,48,54,60),0))+(IF(AND(ArtifactsInput!$M$35,Inputs!$B$4&lt;&gt;"Chapter Hunt"),CHOOSE(ArtifactsInput!$N$35+1,15,18,21,24,27,30)*(1-EXP(-(0.2*B1970)*5)),0)+IF(AND(ArtifactsInput!$M$22,Inputs!$B$4&lt;&gt;"Chapter Hunt"),CHOOSE(ArtifactsInput!$N$22+1,10,12,14,16,18,20)*((0*(((0.15*B1970*5))^0/1)+1*(((0.15*B1970*5))^1/1)+2*(((0.15*B1970*5))^2/2)+3*(((0.15*B1970*5))^3/6)+4*(((0.15*B1970*5))^4/24)+5*(((0.15*B1970*5))^5/120))/((((0.15*B1970*5))^0/1)+(((0.15*B1970*5))^1/1)+(((0.15*B1970*5))^2/2)+(((0.15*B1970*5))^3/6)+(((0.15*B1970*5))^4/24)+(((0.15*B1970*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49">
      <c r="A1949">
        <f>Skills!A15</f>
        <v/>
      </c>
      <c r="B1949">
        <f>Skills!B15</f>
        <v/>
      </c>
      <c r="C1949">
        <f>Inputs!$B$3&gt;=110</f>
        <v/>
      </c>
      <c r="D1949">
        <f>IF(Skills!C15=1,60+Inputs!$B$25+Inputs!$B$29,IF(Skills!C15=2,90+Inputs!$B$26+Inputs!$B$29,IF(Skills!C15=3,120+Inputs!$B$27+Inputs!$B$29,MAX(0,(Inputs!$B$3-100)*3)+Inputs!$B$28+Inputs!$B$29)))</f>
        <v/>
      </c>
      <c r="E1949">
        <f>INDEX(FactorTable!$B$2:$Y$301, MATCH(ROUND(MIN(300,MAX(1,D1949)),0), FactorTable!$A$2:$A$301,0), Skills!M15+1)</f>
        <v/>
      </c>
      <c r="F1949">
        <f>IF(Skills!N15=TRUE,(Skills!L15/10)*(E1949/1000),Skills!L15/10)+Skills!O15</f>
        <v/>
      </c>
      <c r="G1949">
        <f>Calc!G15</f>
        <v/>
      </c>
      <c r="H1949">
        <f>Calc!H15</f>
        <v/>
      </c>
      <c r="I1949">
        <f>IF(Skills!AA15&lt;&gt;"",1+(Skills!AA15/10)*(U1937/1000)/100,1)</f>
        <v/>
      </c>
      <c r="J1949" t="inlineStr"/>
      <c r="K1949" t="inlineStr"/>
      <c r="L1949" t="inlineStr"/>
      <c r="M1949" t="inlineStr"/>
      <c r="N1949" t="inlineStr"/>
      <c r="O1949">
        <f>(1-Summary!$B$11)*T1949+Summary!$B$11*V1949</f>
        <v/>
      </c>
      <c r="P1949">
        <f>IF(B1978=0,0,O1949/B1978)</f>
        <v/>
      </c>
      <c r="Q1949">
        <f>IFERROR(1/IF(Inputs!$B$39="pvp",15,MAX(0.1,Skills!D15-IF(Skills!E15=TRUE,Inputs!$B$32,0))),0)</f>
        <v/>
      </c>
      <c r="R1949">
        <f>IF(AND(Inputs!$B$39&lt;&gt;"pvp",Inputs!$B$44&gt;0),IF(Inputs!$B$44&lt;=0,0,(INT(Inputs!$B$44/IF(Inputs!$B$39="pvp",15,MAX(0.1,Skills!D15-IF(Skills!E15=TRUE,Inputs!$B$32,0))))+1)),0)</f>
        <v/>
      </c>
      <c r="S1949">
        <f>IFERROR(O1949/N1949,0)</f>
        <v/>
      </c>
      <c r="T1949" t="n">
        <v>0</v>
      </c>
      <c r="V1949" t="n">
        <v>0</v>
      </c>
    </row>
    <row r="1950">
      <c r="A1950">
        <f>Skills!A16</f>
        <v/>
      </c>
      <c r="B1950">
        <f>Skills!B16</f>
        <v/>
      </c>
      <c r="C1950">
        <f>Inputs!$B$3&gt;=110</f>
        <v/>
      </c>
      <c r="D1950">
        <f>IF(Skills!C16=1,60+Inputs!$B$25+Inputs!$B$29,IF(Skills!C16=2,90+Inputs!$B$26+Inputs!$B$29,IF(Skills!C16=3,120+Inputs!$B$27+Inputs!$B$29,MAX(0,(Inputs!$B$3-100)*3)+Inputs!$B$28+Inputs!$B$29)))</f>
        <v/>
      </c>
      <c r="E1950">
        <f>INDEX(FactorTable!$B$2:$Y$301, MATCH(ROUND(MIN(300,MAX(1,D1950)),0), FactorTable!$A$2:$A$301,0), Skills!M16+1)</f>
        <v/>
      </c>
      <c r="F1950">
        <f>IF(Skills!N16=TRUE,(Skills!L16/10)*(E1950/1000),Skills!L16/10)+Skills!O16</f>
        <v/>
      </c>
      <c r="G1950">
        <f>Calc!G16</f>
        <v/>
      </c>
      <c r="H1950">
        <f>Calc!H16</f>
        <v/>
      </c>
      <c r="I1950">
        <f>IF(Skills!AA16&lt;&gt;"",1+(Skills!AA16/10)*(U1937/1000)/100,1)</f>
        <v/>
      </c>
      <c r="J1950" t="inlineStr"/>
      <c r="K1950" t="inlineStr"/>
      <c r="L1950" t="inlineStr"/>
      <c r="M1950" t="inlineStr"/>
      <c r="N1950" t="inlineStr"/>
      <c r="O1950">
        <f>(1-Summary!$B$11)*T1950+Summary!$B$11*V1950</f>
        <v/>
      </c>
      <c r="P1950">
        <f>IF(B1978=0,0,O1950/B1978)</f>
        <v/>
      </c>
      <c r="Q1950">
        <f>IFERROR(1/IF(Inputs!$B$39="pvp",15,MAX(0.1,Skills!D16-IF(Skills!E16=TRUE,Inputs!$B$32,0))),0)</f>
        <v/>
      </c>
      <c r="R1950">
        <f>IF(AND(Inputs!$B$39&lt;&gt;"pvp",Inputs!$B$44&gt;0),IF(Inputs!$B$44&lt;=0,0,(INT(Inputs!$B$44/IF(Inputs!$B$39="pvp",15,MAX(0.1,Skills!D16-IF(Skills!E16=TRUE,Inputs!$B$32,0))))+1)),0)</f>
        <v/>
      </c>
      <c r="S1950">
        <f>IFERROR(O1950/N1950,0)</f>
        <v/>
      </c>
      <c r="T1950" t="n">
        <v>0</v>
      </c>
      <c r="V1950" t="n">
        <v>0</v>
      </c>
    </row>
    <row r="1951">
      <c r="A1951">
        <f>Skills!A17</f>
        <v/>
      </c>
      <c r="B1951">
        <f>Skills!B17</f>
        <v/>
      </c>
      <c r="C1951">
        <f>Inputs!$B$3&gt;=115</f>
        <v/>
      </c>
      <c r="D1951">
        <f>IF(Skills!C17=1,60+Inputs!$B$25+Inputs!$B$29,IF(Skills!C17=2,90+Inputs!$B$26+Inputs!$B$29,IF(Skills!C17=3,120+Inputs!$B$27+Inputs!$B$29,MAX(0,(Inputs!$B$3-100)*3)+Inputs!$B$28+Inputs!$B$29)))</f>
        <v/>
      </c>
      <c r="E1951">
        <f>INDEX(FactorTable!$B$2:$Y$301, MATCH(ROUND(MIN(300,MAX(1,D1951)),0), FactorTable!$A$2:$A$301,0), Skills!M17+1)</f>
        <v/>
      </c>
      <c r="F1951">
        <f>IF(Skills!N17=TRUE,(Skills!L17/10)*(E1951/1000),Skills!L17/10)+Skills!O17</f>
        <v/>
      </c>
      <c r="G1951">
        <f>Calc!G17</f>
        <v/>
      </c>
      <c r="H1951">
        <f>Calc!H17</f>
        <v/>
      </c>
      <c r="I1951">
        <f>IF(Skills!AA17&lt;&gt;"",1+(Skills!AA17/10)*(U1937/1000)/100,1)</f>
        <v/>
      </c>
      <c r="J1951">
        <f>((Inputs!$B$6*(1+Inputs!$B$7/100))+(((Inputs!$B$12*(1+Inputs!$B$13/100))-(Inputs!$B$12*(1+Inputs!$B$13/100)))+0.25*(Inputs!$B$14-Inputs!$B$14))*(1+Inputs!$B$7/100))*(F1951/100)</f>
        <v/>
      </c>
      <c r="K1951">
        <f>J1951*(1+((Inputs!$B$12*(1+Inputs!$B$13/100))*0.01+Inputs!$B$14*0.0025)/100)*(1+Inputs!$B$15/100)*(1+Inputs!$B$16/100)*(5000/(6000+Inputs!$B$43*(1-(100*(1-(1-(Inputs!$B$19+0)/100)*(1-CHOOSE(ArtifactsInput!$N$40+1,5,6,7,8,9,10)/100)^(ArtifactsInput!$M$40-ArtifactsInput!$M$40)))/100)))*(1+(Inputs!$B$24+((C1964=TRUE)*(F1964-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1957=TRUE)*(F1957-Calc!F23))+(((IF(AND(ArtifactsInput!$M$42,((Inputs!$B$9+((C1959=TRUE)*(F1959-Calc!F25))+B1974+(ArtifactsInput!$M$24-ArtifactsInput!$M$24)*CHOOSE(ArtifactsInput!$N$24+1,10,12,14,16,18,20)+IF(ArtifactsInput!$M$10,CHOOSE(ArtifactsInput!$N$10+1,15,18,21,24,27,30)*(IF(Inputs!$B$39="pvp",MIN(15,15)/15,IF(AND(Inputs!$B$39&lt;&gt;"pvp",Inputs!$B$44&gt;0),MIN(15,Inputs!$B$44)/(Inputs!$B$44),0))),0)))&gt;=100),MIN(100,((Inputs!$B$9+((C1959=TRUE)*(F1959-Calc!F25))+B1974+(ArtifactsInput!$M$24-ArtifactsInput!$M$24)*CHOOSE(ArtifactsInput!$N$24+1,10,12,14,16,18,20)+IF(ArtifactsInput!$M$10,CHOOSE(ArtifactsInput!$N$10+1,15,18,21,24,27,30)*(IF(Inputs!$B$39="pvp",MIN(15,15)/15,IF(AND(Inputs!$B$39&lt;&gt;"pvp",Inputs!$B$44&gt;0),MIN(15,Inputs!$B$44)/(Inputs!$B$44),0))),0)))-100),0))*CHOOSE(ArtifactsInput!$N$42+1,0.6,0.72,0.84,0.96,1.08,1.2))),Inputs!$B$18+((C1963=TRUE)*(F1963-Calc!F29))+(IF(AND(ArtifactsInput!$M$42,((Inputs!$B$9+((C1959=TRUE)*(F1959-Calc!F25))+B1974+(ArtifactsInput!$M$24-ArtifactsInput!$M$24)*CHOOSE(ArtifactsInput!$N$24+1,10,12,14,16,18,20)+IF(ArtifactsInput!$M$10,CHOOSE(ArtifactsInput!$N$10+1,15,18,21,24,27,30)*(IF(Inputs!$B$39="pvp",MIN(15,15)/15,IF(AND(Inputs!$B$39&lt;&gt;"pvp",Inputs!$B$44&gt;0),MIN(15,Inputs!$B$44)/(Inputs!$B$44),0))),0)))&gt;=100),CHOOSE(ArtifactsInput!$N$42+1,40,48,56,64,72,80),0))))/100)*(((1+(((C1955=TRUE)*F1955*IF(AND(Inputs!$B$39&lt;&gt;"pvp",Inputs!$B$44&gt;0),(((R1955-1)*(Skills!Y21*(1+Inputs!$B$34/100))+MIN((Skills!Y21*(1+Inputs!$B$34/100)),MAX(0,Inputs!$B$44-((R1955-1)*Skills!D21))))/Inputs!$B$44),IF(Inputs!$B$39="pvp",MIN((Skills!Y21*(1+Inputs!$B$34/100)),15)/15,(Skills!Y21*(1+Inputs!$B$34/100))/Skills!D21)))+((C1962=TRUE)*(F1962-Calc!F28))+((C1952=TRUE)*(F1952-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1949=TRUE)*F1949*IF(AND(Inputs!$B$39&lt;&gt;"pvp",Inputs!$B$44&gt;0),(((R1949-1)*(Skills!Y15*(1+Inputs!$B$34/100))+MIN((Skills!Y15*(1+Inputs!$B$34/100)),MAX(0,Inputs!$B$44-((R1949-1)*Skills!D15))))/Inputs!$B$44),IF(Inputs!$B$39="pvp",MIN((Skills!Y15*(1+Inputs!$B$34/100)),15)/15,(Skills!Y15*(1+Inputs!$B$34/100))/Skills!D15)))/100)*(1+((C1940=TRUE)*F1940*B1968)/100))*B1976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1951)</f>
        <v/>
      </c>
      <c r="L1951">
        <f>K1951*(MIN(Inputs!$B$22+((C1958=TRUE)*(F1958-Calc!F24)),(Inputs!$B$23+0+(IF(ArtifactsInput!$M$15,CHOOSE(ArtifactsInput!$N$15+1,25,30,35,40,45,50)/100*(Inputs!$B$11-Inputs!$B$11),0))))/100+(Inputs!$B$23+0+(IF(ArtifactsInput!$M$15,CHOOSE(ArtifactsInput!$N$15+1,25,30,35,40,45,50)/100*(Inputs!$B$11-Inputs!$B$11),0)))/100)/2</f>
        <v/>
      </c>
      <c r="M1951">
        <f>L1951*(1+(Inputs!$B$10+((C1960=TRUE)*(F1960-Calc!F26))+B1977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51">
        <f>L1951*(1-MIN((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1951*(MIN((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51">
        <f>(1-Summary!$B$11)*T1951+Summary!$B$11*V1951</f>
        <v/>
      </c>
      <c r="P1951">
        <f>IF(B1978=0,0,O1951/B1978)</f>
        <v/>
      </c>
      <c r="Q1951" t="n">
        <v>0</v>
      </c>
      <c r="R1951" t="n">
        <v>0</v>
      </c>
      <c r="S1951">
        <f>IFERROR(O1951/N1951,0)</f>
        <v/>
      </c>
      <c r="T1951">
        <f>IF(C1951,(Inputs!$B$38*0.2*N1951)*IF(Inputs!$B$39="pvp",1,1+(Inputs!$B$20+((C1961=TRUE)*(F1961-Calc!F27))+Skills!P17+B1975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Hunt"),CHOOSE(ArtifactsInput!$N$35+1,15,18,21,24,27,30)*(1-EXP(-(0.2*B1970)*5)),0)+IF(AND(ArtifactsInput!$M$22,Inputs!$B$4&lt;&gt;"Chapter Hunt"),CHOOSE(ArtifactsInput!$N$22+1,10,12,14,16,18,20)*((0*(((0.15*B1970*5))^0/1)+1*(((0.15*B1970*5))^1/1)+2*(((0.15*B1970*5))^2/2)+3*(((0.15*B1970*5))^3/6)+4*(((0.15*B1970*5))^4/24)+5*(((0.15*B1970*5))^5/120))/((((0.15*B1970*5))^0/1)+(((0.15*B1970*5))^1/1)+(((0.15*B1970*5))^2/2)+(((0.15*B1970*5))^3/6)+(((0.15*B1970*5))^4/24)+(((0.15*B1970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1951*(1-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1951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1951*(1-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1951*(MIN(100,(Inputs!$B$9+((C1959=TRUE)*(F1959-Calc!F25))+B1974+(ArtifactsInput!$M$24-ArtifactsInput!$M$24)*CHOOSE(ArtifactsInput!$N$24+1,10,12,14,16,18,20)+(IF(AND(ArtifactsInput!$M$42,((Inputs!$B$9+((C1959=TRUE)*(F1959-Calc!F25))+B1974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51">
        <f>IF(C1951,(Inputs!$B$38*0.2*N1951)*IF(Inputs!$B$39="pvp",1,(1+(Inputs!$B$21+Skills!Q17+B1975+(IF(ArtifactsInput!$M$33,CHOOSE(ArtifactsInput!$N$33+1,30,36,42,48,54,60),0))+(IF(AND(ArtifactsInput!$M$35,Inputs!$B$4&lt;&gt;"Chapter Hunt"),CHOOSE(ArtifactsInput!$N$35+1,15,18,21,24,27,30)*(1-EXP(-(0.2*B1970)*5)),0)+IF(AND(ArtifactsInput!$M$22,Inputs!$B$4&lt;&gt;"Chapter Hunt"),CHOOSE(ArtifactsInput!$N$22+1,10,12,14,16,18,20)*((0*(((0.15*B1970*5))^0/1)+1*(((0.15*B1970*5))^1/1)+2*(((0.15*B1970*5))^2/2)+3*(((0.15*B1970*5))^3/6)+4*(((0.15*B1970*5))^4/24)+5*(((0.15*B1970*5))^5/120))/((((0.15*B1970*5))^0/1)+(((0.15*B1970*5))^1/1)+(((0.15*B1970*5))^2/2)+(((0.15*B1970*5))^3/6)+(((0.15*B1970*5))^4/24)+(((0.15*B1970*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52">
      <c r="A1952">
        <f>Skills!A18</f>
        <v/>
      </c>
      <c r="B1952">
        <f>Skills!B18</f>
        <v/>
      </c>
      <c r="C1952">
        <f>Inputs!$B$3&gt;=115</f>
        <v/>
      </c>
      <c r="D1952">
        <f>IF(Skills!C18=1,60+Inputs!$B$25+Inputs!$B$29,IF(Skills!C18=2,90+Inputs!$B$26+Inputs!$B$29,IF(Skills!C18=3,120+Inputs!$B$27+Inputs!$B$29,MAX(0,(Inputs!$B$3-100)*3)+Inputs!$B$28+Inputs!$B$29)))</f>
        <v/>
      </c>
      <c r="E1952">
        <f>INDEX(FactorTable!$B$2:$Y$301, MATCH(ROUND(MIN(300,MAX(1,D1952)),0), FactorTable!$A$2:$A$301,0), Skills!M18+1)</f>
        <v/>
      </c>
      <c r="F1952">
        <f>IF(Skills!N18=TRUE,(Skills!L18/10)*(E1952/1000),Skills!L18/10)+Skills!O18</f>
        <v/>
      </c>
      <c r="G1952">
        <f>Calc!G18</f>
        <v/>
      </c>
      <c r="H1952">
        <f>Calc!H18</f>
        <v/>
      </c>
      <c r="I1952">
        <f>IF(Skills!AA18&lt;&gt;"",1+(Skills!AA18/10)*(U1937/1000)/100,1)</f>
        <v/>
      </c>
      <c r="J1952" t="inlineStr"/>
      <c r="K1952" t="inlineStr"/>
      <c r="L1952" t="inlineStr"/>
      <c r="M1952" t="inlineStr"/>
      <c r="N1952" t="inlineStr"/>
      <c r="O1952">
        <f>(1-Summary!$B$11)*T1952+Summary!$B$11*V1952</f>
        <v/>
      </c>
      <c r="P1952">
        <f>IF(B1978=0,0,O1952/B1978)</f>
        <v/>
      </c>
      <c r="Q1952" t="n">
        <v>0</v>
      </c>
      <c r="R1952" t="n">
        <v>0</v>
      </c>
      <c r="S1952">
        <f>IFERROR(O1952/N1952,0)</f>
        <v/>
      </c>
      <c r="T1952" t="n">
        <v>0</v>
      </c>
      <c r="V1952" t="n">
        <v>0</v>
      </c>
    </row>
    <row r="1953">
      <c r="A1953">
        <f>Skills!A19</f>
        <v/>
      </c>
      <c r="B1953">
        <f>Skills!B19</f>
        <v/>
      </c>
      <c r="C1953">
        <f>TRUE</f>
        <v/>
      </c>
      <c r="D1953">
        <f>IF(Skills!C19=1,60+Inputs!$B$25+Inputs!$B$29,IF(Skills!C19=2,90+Inputs!$B$26+Inputs!$B$29,IF(Skills!C19=3,120+Inputs!$B$27+Inputs!$B$29,MAX(0,(Inputs!$B$3-100)*3)+Inputs!$B$28+Inputs!$B$29)))</f>
        <v/>
      </c>
      <c r="E1953">
        <f>INDEX(FactorTable!$B$2:$Y$301, MATCH(ROUND(MIN(300,MAX(1,D1953)),0), FactorTable!$A$2:$A$301,0), Skills!M19+1)</f>
        <v/>
      </c>
      <c r="F1953">
        <f>IF(Skills!N19=TRUE,(Skills!L19/10)*(E1953/1000),Skills!L19/10)+Skills!O19</f>
        <v/>
      </c>
      <c r="G1953">
        <f>Calc!G19</f>
        <v/>
      </c>
      <c r="H1953">
        <f>Calc!H19</f>
        <v/>
      </c>
      <c r="I1953">
        <f>IF(Skills!AA19&lt;&gt;"",1+(Skills!AA19/10)*(U1937/1000)/100,1)</f>
        <v/>
      </c>
      <c r="J1953" t="inlineStr"/>
      <c r="K1953" t="inlineStr"/>
      <c r="L1953" t="inlineStr"/>
      <c r="M1953" t="inlineStr"/>
      <c r="N1953" t="inlineStr"/>
      <c r="O1953">
        <f>(1-Summary!$B$11)*T1953+Summary!$B$11*V1953</f>
        <v/>
      </c>
      <c r="P1953">
        <f>IF(B1978=0,0,O1953/B1978)</f>
        <v/>
      </c>
      <c r="Q1953">
        <f>IFERROR(1/IF(Inputs!$B$39="pvp",15,MAX(0.1,Skills!D19-IF(Skills!E19=TRUE,Inputs!$B$32,0))),0)</f>
        <v/>
      </c>
      <c r="R1953">
        <f>IF(AND(Inputs!$B$39&lt;&gt;"pvp",Inputs!$B$44&gt;0),IF(Inputs!$B$44&lt;=0,0,(INT(Inputs!$B$44/IF(Inputs!$B$39="pvp",15,MAX(0.1,Skills!D19-IF(Skills!E19=TRUE,Inputs!$B$32,0))))+1)),0)</f>
        <v/>
      </c>
      <c r="S1953">
        <f>IFERROR(O1953/N1953,0)</f>
        <v/>
      </c>
      <c r="T1953" t="n">
        <v>0</v>
      </c>
      <c r="V1953" t="n">
        <v>0</v>
      </c>
    </row>
    <row r="1954">
      <c r="A1954">
        <f>Skills!A20</f>
        <v/>
      </c>
      <c r="B1954">
        <f>Skills!B20</f>
        <v/>
      </c>
      <c r="C1954">
        <f>Inputs!$B$3&gt;=15</f>
        <v/>
      </c>
      <c r="D1954">
        <f>IF(Skills!C20=1,60+Inputs!$B$25+Inputs!$B$29,IF(Skills!C20=2,90+Inputs!$B$26+Inputs!$B$29,IF(Skills!C20=3,120+Inputs!$B$27+Inputs!$B$29,MAX(0,(Inputs!$B$3-100)*3)+Inputs!$B$28+Inputs!$B$29)))</f>
        <v/>
      </c>
      <c r="E1954">
        <f>INDEX(FactorTable!$B$2:$Y$301, MATCH(ROUND(MIN(300,MAX(1,D1954)),0), FactorTable!$A$2:$A$301,0), Skills!M20+1)</f>
        <v/>
      </c>
      <c r="F1954">
        <f>IF(Skills!N20=TRUE,(Skills!L20/10)*(E1954/1000),Skills!L20/10)+Skills!O20</f>
        <v/>
      </c>
      <c r="G1954">
        <f>Calc!G20</f>
        <v/>
      </c>
      <c r="H1954">
        <f>Calc!H20</f>
        <v/>
      </c>
      <c r="I1954">
        <f>IF(Skills!AA20&lt;&gt;"",1+(Skills!AA20/10)*(U1937/1000)/100,1)</f>
        <v/>
      </c>
      <c r="J1954" t="inlineStr"/>
      <c r="K1954" t="inlineStr"/>
      <c r="L1954" t="inlineStr"/>
      <c r="M1954" t="inlineStr"/>
      <c r="N1954" t="inlineStr"/>
      <c r="O1954">
        <f>(1-Summary!$B$11)*T1954+Summary!$B$11*V1954</f>
        <v/>
      </c>
      <c r="P1954">
        <f>IF(B1978=0,0,O1954/B1978)</f>
        <v/>
      </c>
      <c r="Q1954">
        <f>IFERROR(1/IF(Inputs!$B$39="pvp",15,MAX(0.1,Skills!D20-IF(Skills!E20=TRUE,Inputs!$B$32,0))),0)</f>
        <v/>
      </c>
      <c r="R1954">
        <f>IF(AND(Inputs!$B$39&lt;&gt;"pvp",Inputs!$B$44&gt;0),IF(Inputs!$B$44&lt;=0,0,(INT(Inputs!$B$44/IF(Inputs!$B$39="pvp",15,MAX(0.1,Skills!D20-IF(Skills!E20=TRUE,Inputs!$B$32,0))))+1)),0)</f>
        <v/>
      </c>
      <c r="S1954">
        <f>IFERROR(O1954/N1954,0)</f>
        <v/>
      </c>
      <c r="T1954" t="n">
        <v>0</v>
      </c>
      <c r="V1954" t="n">
        <v>0</v>
      </c>
    </row>
    <row r="1955">
      <c r="A1955">
        <f>Skills!A21</f>
        <v/>
      </c>
      <c r="B1955">
        <f>Skills!B21</f>
        <v/>
      </c>
      <c r="C1955">
        <f>Inputs!$B$3&gt;=15</f>
        <v/>
      </c>
      <c r="D1955">
        <f>IF(Skills!C21=1,60+Inputs!$B$25+Inputs!$B$29,IF(Skills!C21=2,90+Inputs!$B$26+Inputs!$B$29,IF(Skills!C21=3,120+Inputs!$B$27+Inputs!$B$29,MAX(0,(Inputs!$B$3-100)*3)+Inputs!$B$28+Inputs!$B$29)))</f>
        <v/>
      </c>
      <c r="E1955">
        <f>INDEX(FactorTable!$B$2:$Y$301, MATCH(ROUND(MIN(300,MAX(1,D1955)),0), FactorTable!$A$2:$A$301,0), Skills!M21+1)</f>
        <v/>
      </c>
      <c r="F1955">
        <f>IF(Skills!N21=TRUE,(Skills!L21/10)*(E1955/1000),Skills!L21/10)+Skills!O21</f>
        <v/>
      </c>
      <c r="G1955">
        <f>Calc!G21</f>
        <v/>
      </c>
      <c r="H1955">
        <f>Calc!H21</f>
        <v/>
      </c>
      <c r="I1955">
        <f>IF(Skills!AA21&lt;&gt;"",1+(Skills!AA21/10)*(U1937/1000)/100,1)</f>
        <v/>
      </c>
      <c r="J1955" t="inlineStr"/>
      <c r="K1955" t="inlineStr"/>
      <c r="L1955" t="inlineStr"/>
      <c r="M1955" t="inlineStr"/>
      <c r="N1955" t="inlineStr"/>
      <c r="O1955">
        <f>(1-Summary!$B$11)*T1955+Summary!$B$11*V1955</f>
        <v/>
      </c>
      <c r="P1955">
        <f>IF(B1978=0,0,O1955/B1978)</f>
        <v/>
      </c>
      <c r="Q1955">
        <f>IFERROR(1/IF(Inputs!$B$39="pvp",15,MAX(0.1,Skills!D21-IF(Skills!E21=TRUE,Inputs!$B$32,0))),0)</f>
        <v/>
      </c>
      <c r="R1955">
        <f>IF(AND(Inputs!$B$39&lt;&gt;"pvp",Inputs!$B$44&gt;0),IF(Inputs!$B$44&lt;=0,0,(INT(Inputs!$B$44/IF(Inputs!$B$39="pvp",15,MAX(0.1,Skills!D21-IF(Skills!E21=TRUE,Inputs!$B$32,0))))+1)),0)</f>
        <v/>
      </c>
      <c r="S1955">
        <f>IFERROR(O1955/N1955,0)</f>
        <v/>
      </c>
      <c r="T1955" t="n">
        <v>0</v>
      </c>
      <c r="V1955" t="n">
        <v>0</v>
      </c>
    </row>
    <row r="1956">
      <c r="A1956">
        <f>Skills!A22</f>
        <v/>
      </c>
      <c r="B1956">
        <f>Skills!B22</f>
        <v/>
      </c>
      <c r="C1956">
        <f>Inputs!$B$3&gt;=33</f>
        <v/>
      </c>
      <c r="D1956">
        <f>IF(Skills!C22=1,60+Inputs!$B$25+Inputs!$B$29,IF(Skills!C22=2,90+Inputs!$B$26+Inputs!$B$29,IF(Skills!C22=3,120+Inputs!$B$27+Inputs!$B$29,MAX(0,(Inputs!$B$3-100)*3)+Inputs!$B$28+Inputs!$B$29)))</f>
        <v/>
      </c>
      <c r="E1956">
        <f>INDEX(FactorTable!$B$2:$Y$301, MATCH(ROUND(MIN(300,MAX(1,D1956)),0), FactorTable!$A$2:$A$301,0), Skills!M22+1)</f>
        <v/>
      </c>
      <c r="F1956">
        <f>IF(Skills!N22=TRUE,(Skills!L22/10)*(E1956/1000),Skills!L22/10)+Skills!O22</f>
        <v/>
      </c>
      <c r="G1956">
        <f>Calc!G22</f>
        <v/>
      </c>
      <c r="H1956">
        <f>Calc!H22</f>
        <v/>
      </c>
      <c r="I1956">
        <f>IF(Skills!AA22&lt;&gt;"",1+(Skills!AA22/10)*(U1937/1000)/100,1)</f>
        <v/>
      </c>
      <c r="J1956" t="inlineStr"/>
      <c r="K1956" t="inlineStr"/>
      <c r="L1956" t="inlineStr"/>
      <c r="M1956" t="inlineStr"/>
      <c r="N1956" t="inlineStr"/>
      <c r="O1956">
        <f>(1-Summary!$B$11)*T1956+Summary!$B$11*V1956</f>
        <v/>
      </c>
      <c r="P1956">
        <f>IF(B1978=0,0,O1956/B1978)</f>
        <v/>
      </c>
      <c r="Q1956" t="n">
        <v>0</v>
      </c>
      <c r="R1956" t="n">
        <v>0</v>
      </c>
      <c r="S1956">
        <f>IFERROR(O1956/N1956,0)</f>
        <v/>
      </c>
      <c r="T1956" t="n">
        <v>0</v>
      </c>
      <c r="V1956" t="n">
        <v>0</v>
      </c>
    </row>
    <row r="1957">
      <c r="A1957">
        <f>Skills!A23</f>
        <v/>
      </c>
      <c r="B1957">
        <f>Skills!B23</f>
        <v/>
      </c>
      <c r="C1957">
        <f>Inputs!$B$3&gt;=38</f>
        <v/>
      </c>
      <c r="D1957">
        <f>IF(Skills!C23=1,60+Inputs!$B$25+Inputs!$B$29,IF(Skills!C23=2,90+Inputs!$B$26+Inputs!$B$29,IF(Skills!C23=3,120+Inputs!$B$27+Inputs!$B$29,MAX(0,(Inputs!$B$3-100)*3)+Inputs!$B$28+Inputs!$B$29)))</f>
        <v/>
      </c>
      <c r="E1957">
        <f>INDEX(FactorTable!$B$2:$Y$301, MATCH(ROUND(MIN(300,MAX(1,D1957)),0), FactorTable!$A$2:$A$301,0), Skills!M23+1)</f>
        <v/>
      </c>
      <c r="F1957">
        <f>IF(Skills!N23=TRUE,(Skills!L23/10)*(E1957/1000),Skills!L23/10)+Skills!O23</f>
        <v/>
      </c>
      <c r="G1957">
        <f>Calc!G23</f>
        <v/>
      </c>
      <c r="H1957">
        <f>Calc!H23</f>
        <v/>
      </c>
      <c r="I1957">
        <f>IF(Skills!AA23&lt;&gt;"",1+(Skills!AA23/10)*(U1937/1000)/100,1)</f>
        <v/>
      </c>
      <c r="J1957" t="inlineStr"/>
      <c r="K1957" t="inlineStr"/>
      <c r="L1957" t="inlineStr"/>
      <c r="M1957" t="inlineStr"/>
      <c r="N1957" t="inlineStr"/>
      <c r="O1957">
        <f>(1-Summary!$B$11)*T1957+Summary!$B$11*V1957</f>
        <v/>
      </c>
      <c r="P1957">
        <f>IF(B1978=0,0,O1957/B1978)</f>
        <v/>
      </c>
      <c r="Q1957" t="n">
        <v>0</v>
      </c>
      <c r="R1957" t="n">
        <v>0</v>
      </c>
      <c r="S1957">
        <f>IFERROR(O1957/N1957,0)</f>
        <v/>
      </c>
      <c r="T1957" t="n">
        <v>0</v>
      </c>
      <c r="V1957" t="n">
        <v>0</v>
      </c>
    </row>
    <row r="1958">
      <c r="A1958">
        <f>Skills!A24</f>
        <v/>
      </c>
      <c r="B1958">
        <f>Skills!B24</f>
        <v/>
      </c>
      <c r="C1958">
        <f>Inputs!$B$3&gt;=40</f>
        <v/>
      </c>
      <c r="D1958">
        <f>IF(Skills!C24=1,60+Inputs!$B$25+Inputs!$B$29,IF(Skills!C24=2,90+Inputs!$B$26+Inputs!$B$29,IF(Skills!C24=3,120+Inputs!$B$27+Inputs!$B$29,MAX(0,(Inputs!$B$3-100)*3)+Inputs!$B$28+Inputs!$B$29)))</f>
        <v/>
      </c>
      <c r="E1958">
        <f>INDEX(FactorTable!$B$2:$Y$301, MATCH(ROUND(MIN(300,MAX(1,D1958)),0), FactorTable!$A$2:$A$301,0), Skills!M24+1)</f>
        <v/>
      </c>
      <c r="F1958">
        <f>IF(Skills!N24=TRUE,(Skills!L24/10)*(E1958/1000),Skills!L24/10)+Skills!O24</f>
        <v/>
      </c>
      <c r="G1958">
        <f>Calc!G24</f>
        <v/>
      </c>
      <c r="H1958">
        <f>Calc!H24</f>
        <v/>
      </c>
      <c r="I1958">
        <f>IF(Skills!AA24&lt;&gt;"",1+(Skills!AA24/10)*(U1937/1000)/100,1)</f>
        <v/>
      </c>
      <c r="J1958" t="inlineStr"/>
      <c r="K1958" t="inlineStr"/>
      <c r="L1958" t="inlineStr"/>
      <c r="M1958" t="inlineStr"/>
      <c r="N1958" t="inlineStr"/>
      <c r="O1958">
        <f>(1-Summary!$B$11)*T1958+Summary!$B$11*V1958</f>
        <v/>
      </c>
      <c r="P1958">
        <f>IF(B1978=0,0,O1958/B1978)</f>
        <v/>
      </c>
      <c r="Q1958" t="n">
        <v>0</v>
      </c>
      <c r="R1958" t="n">
        <v>0</v>
      </c>
      <c r="S1958">
        <f>IFERROR(O1958/N1958,0)</f>
        <v/>
      </c>
      <c r="T1958" t="n">
        <v>0</v>
      </c>
      <c r="V1958" t="n">
        <v>0</v>
      </c>
    </row>
    <row r="1959">
      <c r="A1959">
        <f>Skills!A25</f>
        <v/>
      </c>
      <c r="B1959">
        <f>Skills!B25</f>
        <v/>
      </c>
      <c r="C1959">
        <f>Inputs!$B$3&gt;=45</f>
        <v/>
      </c>
      <c r="D1959">
        <f>IF(Skills!C25=1,60+Inputs!$B$25+Inputs!$B$29,IF(Skills!C25=2,90+Inputs!$B$26+Inputs!$B$29,IF(Skills!C25=3,120+Inputs!$B$27+Inputs!$B$29,MAX(0,(Inputs!$B$3-100)*3)+Inputs!$B$28+Inputs!$B$29)))</f>
        <v/>
      </c>
      <c r="E1959">
        <f>INDEX(FactorTable!$B$2:$Y$301, MATCH(ROUND(MIN(300,MAX(1,D1959)),0), FactorTable!$A$2:$A$301,0), Skills!M25+1)</f>
        <v/>
      </c>
      <c r="F1959">
        <f>IF(Skills!N25=TRUE,(Skills!L25/10)*(E1959/1000),Skills!L25/10)+Skills!O25</f>
        <v/>
      </c>
      <c r="G1959">
        <f>Calc!G25</f>
        <v/>
      </c>
      <c r="H1959">
        <f>Calc!H25</f>
        <v/>
      </c>
      <c r="I1959">
        <f>IF(Skills!AA25&lt;&gt;"",1+(Skills!AA25/10)*(U1937/1000)/100,1)</f>
        <v/>
      </c>
      <c r="J1959" t="inlineStr"/>
      <c r="K1959" t="inlineStr"/>
      <c r="L1959" t="inlineStr"/>
      <c r="M1959" t="inlineStr"/>
      <c r="N1959" t="inlineStr"/>
      <c r="O1959">
        <f>(1-Summary!$B$11)*T1959+Summary!$B$11*V1959</f>
        <v/>
      </c>
      <c r="P1959">
        <f>IF(B1978=0,0,O1959/B1978)</f>
        <v/>
      </c>
      <c r="Q1959" t="n">
        <v>0</v>
      </c>
      <c r="R1959" t="n">
        <v>0</v>
      </c>
      <c r="S1959">
        <f>IFERROR(O1959/N1959,0)</f>
        <v/>
      </c>
      <c r="T1959" t="n">
        <v>0</v>
      </c>
      <c r="V1959" t="n">
        <v>0</v>
      </c>
    </row>
    <row r="1960">
      <c r="A1960">
        <f>Skills!A26</f>
        <v/>
      </c>
      <c r="B1960">
        <f>Skills!B26</f>
        <v/>
      </c>
      <c r="C1960">
        <f>Inputs!$B$3&gt;=45</f>
        <v/>
      </c>
      <c r="D1960">
        <f>IF(Skills!C26=1,60+Inputs!$B$25+Inputs!$B$29,IF(Skills!C26=2,90+Inputs!$B$26+Inputs!$B$29,IF(Skills!C26=3,120+Inputs!$B$27+Inputs!$B$29,MAX(0,(Inputs!$B$3-100)*3)+Inputs!$B$28+Inputs!$B$29)))</f>
        <v/>
      </c>
      <c r="E1960">
        <f>INDEX(FactorTable!$B$2:$Y$301, MATCH(ROUND(MIN(300,MAX(1,D1960)),0), FactorTable!$A$2:$A$301,0), Skills!M26+1)</f>
        <v/>
      </c>
      <c r="F1960">
        <f>IF(Skills!N26=TRUE,(Skills!L26/10)*(E1960/1000),Skills!L26/10)+Skills!O26</f>
        <v/>
      </c>
      <c r="G1960">
        <f>Calc!G26</f>
        <v/>
      </c>
      <c r="H1960">
        <f>Calc!H26</f>
        <v/>
      </c>
      <c r="I1960">
        <f>IF(Skills!AA26&lt;&gt;"",1+(Skills!AA26/10)*(U1937/1000)/100,1)</f>
        <v/>
      </c>
      <c r="J1960" t="inlineStr"/>
      <c r="K1960" t="inlineStr"/>
      <c r="L1960" t="inlineStr"/>
      <c r="M1960" t="inlineStr"/>
      <c r="N1960" t="inlineStr"/>
      <c r="O1960">
        <f>(1-Summary!$B$11)*T1960+Summary!$B$11*V1960</f>
        <v/>
      </c>
      <c r="P1960">
        <f>IF(B1978=0,0,O1960/B1978)</f>
        <v/>
      </c>
      <c r="Q1960" t="n">
        <v>0</v>
      </c>
      <c r="R1960" t="n">
        <v>0</v>
      </c>
      <c r="S1960">
        <f>IFERROR(O1960/N1960,0)</f>
        <v/>
      </c>
      <c r="T1960" t="n">
        <v>0</v>
      </c>
      <c r="V1960" t="n">
        <v>0</v>
      </c>
    </row>
    <row r="1961">
      <c r="A1961">
        <f>Skills!A27</f>
        <v/>
      </c>
      <c r="B1961">
        <f>Skills!B27</f>
        <v/>
      </c>
      <c r="C1961">
        <f>Inputs!$B$3&gt;=72</f>
        <v/>
      </c>
      <c r="D1961">
        <f>IF(Skills!C27=1,60+Inputs!$B$25+Inputs!$B$29,IF(Skills!C27=2,90+Inputs!$B$26+Inputs!$B$29,IF(Skills!C27=3,120+Inputs!$B$27+Inputs!$B$29,MAX(0,(Inputs!$B$3-100)*3)+Inputs!$B$28+Inputs!$B$29)))</f>
        <v/>
      </c>
      <c r="E1961">
        <f>INDEX(FactorTable!$B$2:$Y$301, MATCH(ROUND(MIN(300,MAX(1,D1961)),0), FactorTable!$A$2:$A$301,0), Skills!M27+1)</f>
        <v/>
      </c>
      <c r="F1961">
        <f>IF(Skills!N27=TRUE,(Skills!L27/10)*(E1961/1000),Skills!L27/10)+Skills!O27</f>
        <v/>
      </c>
      <c r="G1961">
        <f>Calc!G27</f>
        <v/>
      </c>
      <c r="H1961">
        <f>Calc!H27</f>
        <v/>
      </c>
      <c r="I1961">
        <f>IF(Skills!AA27&lt;&gt;"",1+(Skills!AA27/10)*(U1937/1000)/100,1)</f>
        <v/>
      </c>
      <c r="J1961" t="inlineStr"/>
      <c r="K1961" t="inlineStr"/>
      <c r="L1961" t="inlineStr"/>
      <c r="M1961" t="inlineStr"/>
      <c r="N1961" t="inlineStr"/>
      <c r="O1961">
        <f>(1-Summary!$B$11)*T1961+Summary!$B$11*V1961</f>
        <v/>
      </c>
      <c r="P1961">
        <f>IF(B1978=0,0,O1961/B1978)</f>
        <v/>
      </c>
      <c r="Q1961" t="n">
        <v>0</v>
      </c>
      <c r="R1961" t="n">
        <v>0</v>
      </c>
      <c r="S1961">
        <f>IFERROR(O1961/N1961,0)</f>
        <v/>
      </c>
      <c r="T1961" t="n">
        <v>0</v>
      </c>
      <c r="V1961" t="n">
        <v>0</v>
      </c>
    </row>
    <row r="1962">
      <c r="A1962">
        <f>Skills!A28</f>
        <v/>
      </c>
      <c r="B1962">
        <f>Skills!B28</f>
        <v/>
      </c>
      <c r="C1962">
        <f>Inputs!$B$3&gt;=75</f>
        <v/>
      </c>
      <c r="D1962">
        <f>IF(Skills!C28=1,60+Inputs!$B$25+Inputs!$B$29,IF(Skills!C28=2,90+Inputs!$B$26+Inputs!$B$29,IF(Skills!C28=3,120+Inputs!$B$27+Inputs!$B$29,MAX(0,(Inputs!$B$3-100)*3)+Inputs!$B$28+Inputs!$B$29)))</f>
        <v/>
      </c>
      <c r="E1962">
        <f>INDEX(FactorTable!$B$2:$Y$301, MATCH(ROUND(MIN(300,MAX(1,D1962)),0), FactorTable!$A$2:$A$301,0), Skills!M28+1)</f>
        <v/>
      </c>
      <c r="F1962">
        <f>IF(Skills!N28=TRUE,(Skills!L28/10)*(E1962/1000),Skills!L28/10)+Skills!O28</f>
        <v/>
      </c>
      <c r="G1962">
        <f>Calc!G28</f>
        <v/>
      </c>
      <c r="H1962">
        <f>Calc!H28</f>
        <v/>
      </c>
      <c r="I1962">
        <f>IF(Skills!AA28&lt;&gt;"",1+(Skills!AA28/10)*(U1937/1000)/100,1)</f>
        <v/>
      </c>
      <c r="J1962" t="inlineStr"/>
      <c r="K1962" t="inlineStr"/>
      <c r="L1962" t="inlineStr"/>
      <c r="M1962" t="inlineStr"/>
      <c r="N1962" t="inlineStr"/>
      <c r="O1962">
        <f>(1-Summary!$B$11)*T1962+Summary!$B$11*V1962</f>
        <v/>
      </c>
      <c r="P1962">
        <f>IF(B1978=0,0,O1962/B1978)</f>
        <v/>
      </c>
      <c r="Q1962" t="n">
        <v>0</v>
      </c>
      <c r="R1962" t="n">
        <v>0</v>
      </c>
      <c r="S1962">
        <f>IFERROR(O1962/N1962,0)</f>
        <v/>
      </c>
      <c r="T1962" t="n">
        <v>0</v>
      </c>
      <c r="V1962" t="n">
        <v>0</v>
      </c>
    </row>
    <row r="1963">
      <c r="A1963">
        <f>Skills!A29</f>
        <v/>
      </c>
      <c r="B1963">
        <f>Skills!B29</f>
        <v/>
      </c>
      <c r="C1963">
        <f>Inputs!$B$3&gt;=120</f>
        <v/>
      </c>
      <c r="D1963">
        <f>IF(Skills!C29=1,60+Inputs!$B$25+Inputs!$B$29,IF(Skills!C29=2,90+Inputs!$B$26+Inputs!$B$29,IF(Skills!C29=3,120+Inputs!$B$27+Inputs!$B$29,MAX(0,(Inputs!$B$3-100)*3)+Inputs!$B$28+Inputs!$B$29)))</f>
        <v/>
      </c>
      <c r="E1963">
        <f>INDEX(FactorTable!$B$2:$Y$301, MATCH(ROUND(MIN(300,MAX(1,D1963)),0), FactorTable!$A$2:$A$301,0), Skills!M29+1)</f>
        <v/>
      </c>
      <c r="F1963">
        <f>IF(Skills!N29=TRUE,(Skills!L29/10)*(E1963/1000),Skills!L29/10)+Skills!O29</f>
        <v/>
      </c>
      <c r="G1963">
        <f>Calc!G29</f>
        <v/>
      </c>
      <c r="H1963">
        <f>Calc!H29</f>
        <v/>
      </c>
      <c r="I1963">
        <f>IF(Skills!AA29&lt;&gt;"",1+(Skills!AA29/10)*(U1937/1000)/100,1)</f>
        <v/>
      </c>
      <c r="J1963" t="inlineStr"/>
      <c r="K1963" t="inlineStr"/>
      <c r="L1963" t="inlineStr"/>
      <c r="M1963" t="inlineStr"/>
      <c r="N1963" t="inlineStr"/>
      <c r="O1963">
        <f>(1-Summary!$B$11)*T1963+Summary!$B$11*V1963</f>
        <v/>
      </c>
      <c r="P1963">
        <f>IF(B1978=0,0,O1963/B1978)</f>
        <v/>
      </c>
      <c r="Q1963" t="n">
        <v>0</v>
      </c>
      <c r="R1963" t="n">
        <v>0</v>
      </c>
      <c r="S1963">
        <f>IFERROR(O1963/N1963,0)</f>
        <v/>
      </c>
      <c r="T1963" t="n">
        <v>0</v>
      </c>
      <c r="V1963" t="n">
        <v>0</v>
      </c>
    </row>
    <row r="1964">
      <c r="A1964">
        <f>Skills!A30</f>
        <v/>
      </c>
      <c r="B1964">
        <f>Skills!B30</f>
        <v/>
      </c>
      <c r="C1964">
        <f>Inputs!$B$3&gt;=125</f>
        <v/>
      </c>
      <c r="D1964">
        <f>IF(Skills!C30=1,60+Inputs!$B$25+Inputs!$B$29,IF(Skills!C30=2,90+Inputs!$B$26+Inputs!$B$29,IF(Skills!C30=3,120+Inputs!$B$27+Inputs!$B$29,MAX(0,(Inputs!$B$3-100)*3)+Inputs!$B$28+Inputs!$B$29)))</f>
        <v/>
      </c>
      <c r="E1964">
        <f>INDEX(FactorTable!$B$2:$Y$301, MATCH(ROUND(MIN(300,MAX(1,D1964)),0), FactorTable!$A$2:$A$301,0), Skills!M30+1)</f>
        <v/>
      </c>
      <c r="F1964">
        <f>IF(Skills!N30=TRUE,(Skills!L30/10)*(E1964/1000),Skills!L30/10)+Skills!O30</f>
        <v/>
      </c>
      <c r="G1964">
        <f>Calc!G30</f>
        <v/>
      </c>
      <c r="H1964">
        <f>Calc!H30</f>
        <v/>
      </c>
      <c r="I1964">
        <f>IF(Skills!AA30&lt;&gt;"",1+(Skills!AA30/10)*(U1937/1000)/100,1)</f>
        <v/>
      </c>
      <c r="J1964" t="inlineStr"/>
      <c r="K1964" t="inlineStr"/>
      <c r="L1964" t="inlineStr"/>
      <c r="M1964" t="inlineStr"/>
      <c r="N1964" t="inlineStr"/>
      <c r="O1964">
        <f>(1-Summary!$B$11)*T1964+Summary!$B$11*V1964</f>
        <v/>
      </c>
      <c r="P1964">
        <f>IF(B1978=0,0,O1964/B1978)</f>
        <v/>
      </c>
      <c r="Q1964" t="n">
        <v>0</v>
      </c>
      <c r="R1964" t="n">
        <v>0</v>
      </c>
      <c r="S1964">
        <f>IFERROR(O1964/N1964,0)</f>
        <v/>
      </c>
      <c r="T1964" t="n">
        <v>0</v>
      </c>
      <c r="V1964" t="n">
        <v>0</v>
      </c>
    </row>
    <row r="1965">
      <c r="A1965">
        <f>Skills!A31</f>
        <v/>
      </c>
      <c r="B1965">
        <f>Skills!B31</f>
        <v/>
      </c>
      <c r="C1965">
        <f>Inputs!$B$3&gt;=107</f>
        <v/>
      </c>
      <c r="D1965">
        <f>IF(Skills!C31=1,60+Inputs!$B$25+Inputs!$B$29,IF(Skills!C31=2,90+Inputs!$B$26+Inputs!$B$29,IF(Skills!C31=3,120+Inputs!$B$27+Inputs!$B$29,MAX(0,(Inputs!$B$3-100)*3)+Inputs!$B$28+Inputs!$B$29)))</f>
        <v/>
      </c>
      <c r="E1965">
        <f>INDEX(FactorTable!$B$2:$Y$301, MATCH(ROUND(MIN(300,MAX(1,D1965)),0), FactorTable!$A$2:$A$301,0), Skills!M31+1)</f>
        <v/>
      </c>
      <c r="F1965">
        <f>IF(Skills!N31=TRUE,(Skills!L31/10)*(E1965/1000),Skills!L31/10)+Skills!O31</f>
        <v/>
      </c>
      <c r="G1965">
        <f>Calc!G31</f>
        <v/>
      </c>
      <c r="H1965">
        <f>Calc!H31</f>
        <v/>
      </c>
      <c r="I1965">
        <f>IF(Skills!AA31&lt;&gt;"",1+(Skills!AA31/10)*(U1937/1000)/100,1)</f>
        <v/>
      </c>
      <c r="J1965" t="inlineStr"/>
      <c r="K1965" t="inlineStr"/>
      <c r="L1965" t="inlineStr"/>
      <c r="M1965" t="inlineStr"/>
      <c r="N1965" t="inlineStr"/>
      <c r="O1965">
        <f>(1-Summary!$B$11)*T1965+Summary!$B$11*V1965</f>
        <v/>
      </c>
      <c r="P1965">
        <f>IF(B1978=0,0,O1965/B1978)</f>
        <v/>
      </c>
      <c r="Q1965" t="n">
        <v>0</v>
      </c>
      <c r="R1965" t="n">
        <v>0</v>
      </c>
      <c r="S1965">
        <f>IFERROR(O1965/N1965,0)</f>
        <v/>
      </c>
      <c r="T1965" t="n">
        <v>0</v>
      </c>
      <c r="V1965" t="n">
        <v>0</v>
      </c>
    </row>
    <row r="1967">
      <c r="A1967" t="inlineStr">
        <is>
          <t>Actions Per Second (pre-Adrenalin)</t>
        </is>
      </c>
      <c r="B1967">
        <f>1+MIN(150,150*(1-(1-(Inputs!$B$11+((C1956=TRUE)*(F1956-Calc!F22))+(ArtifactsInput!$M$15-ArtifactsInput!$M$15)*CHOOSE(ArtifactsInput!$N$15+1,8,9.6,11.2,12.8,14.4,16))/150)*(1-((C1953=TRUE)*F1953*IF(AND(Inputs!$B$39&lt;&gt;"pvp",Inputs!$B$44&gt;0),(((R1953-1)*(Skills!Y19*(1+Inputs!$B$34/100))+MIN((Skills!Y19*(1+Inputs!$B$34/100)),MAX(0,Inputs!$B$44-((R1953-1)*Skills!D19))))/Inputs!$B$44),IF(Inputs!$B$39="pvp",MIN((Skills!Y19*(1+Inputs!$B$34/100)),15)/15,(Skills!Y19*(1+Inputs!$B$34/100))/Skills!D19)))/150)))/100</f>
        <v/>
      </c>
    </row>
    <row r="1968">
      <c r="A1968" t="inlineStr">
        <is>
          <t>Alchemic Adrenaline Uptime</t>
        </is>
      </c>
      <c r="B1968">
        <f>(Skills!Y6*(1+Inputs!$B$34/100))/((Skills!Y6*(1+Inputs!$B$34/100))+(5/B1967))</f>
        <v/>
      </c>
    </row>
    <row r="1969">
      <c r="A1969" t="inlineStr">
        <is>
          <t>Attack Speed Buff Bonus %</t>
        </is>
      </c>
      <c r="B1969">
        <f>((C1953=TRUE)*F1953*IF(AND(Inputs!$B$39&lt;&gt;"pvp",Inputs!$B$44&gt;0),(((R1953-1)*(Skills!Y19*(1+Inputs!$B$34/100))+MIN((Skills!Y19*(1+Inputs!$B$34/100)),MAX(0,Inputs!$B$44-((R1953-1)*Skills!D19))))/Inputs!$B$44),IF(Inputs!$B$39="pvp",MIN((Skills!Y19*(1+Inputs!$B$34/100)),15)/15,(Skills!Y19*(1+Inputs!$B$34/100))/Skills!D19)))+((C1941=TRUE)*F1941*B1968)</f>
        <v/>
      </c>
    </row>
    <row r="1970">
      <c r="A1970" t="inlineStr">
        <is>
          <t>Actions Per Second (final)</t>
        </is>
      </c>
      <c r="B1970">
        <f>1+MIN(150,150*(1-(1-(Inputs!$B$11+((C1956=TRUE)*(F1956-Calc!F22))+(ArtifactsInput!$M$15-ArtifactsInput!$M$15)*CHOOSE(ArtifactsInput!$N$15+1,8,9.6,11.2,12.8,14.4,16))/150)*(1-B1969/150)))/100</f>
        <v/>
      </c>
    </row>
    <row r="1971">
      <c r="A1971" t="inlineStr">
        <is>
          <t>Skill + Buff Cast Rate</t>
        </is>
      </c>
      <c r="B1971">
        <f>IF(AND(Inputs!$B$39&lt;&gt;"pvp",Inputs!$B$44&gt;0),SUMPRODUCT((Skills!E2:E31=TRUE)*(C1936:C1965=TRUE)*R1936:R1965*Skills!F2:F31)/Inputs!$B$44,SUMPRODUCT((Skills!E2:E31=TRUE)*(C1936:C1965=TRUE)*Q1936:Q1965*Skills!F2:F31))</f>
        <v/>
      </c>
    </row>
    <row r="1972">
      <c r="A1972" t="inlineStr">
        <is>
          <t>Showdown Casts Per Second</t>
        </is>
      </c>
      <c r="B1972">
        <f>MAX(0,B1970-B1971)</f>
        <v/>
      </c>
    </row>
    <row r="1973">
      <c r="A1973" t="inlineStr">
        <is>
          <t>Average Buff Multiplier</t>
        </is>
      </c>
      <c r="B1973">
        <f>(1+(((C1955=TRUE)*F1955*IF(AND(Inputs!$B$39&lt;&gt;"pvp",Inputs!$B$44&gt;0),(((R1955-1)*(Skills!Y21*(1+Inputs!$B$34/100))+MIN((Skills!Y21*(1+Inputs!$B$34/100)),MAX(0,Inputs!$B$44-((R1955-1)*Skills!D21))))/Inputs!$B$44),IF(Inputs!$B$39="pvp",MIN((Skills!Y21*(1+Inputs!$B$34/100)),15)/15,(Skills!Y21*(1+Inputs!$B$34/100))/Skills!D21)))+((C1962=TRUE)*(F1962-Calc!F28))+((C1952=TRUE)*(F1952-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1949=TRUE)*F1949*IF(AND(Inputs!$B$39&lt;&gt;"pvp",Inputs!$B$44&gt;0),(((R1949-1)*(Skills!Y15*(1+Inputs!$B$34/100))+MIN((Skills!Y15*(1+Inputs!$B$34/100)),MAX(0,Inputs!$B$44-((R1949-1)*Skills!D15))))/Inputs!$B$44),IF(Inputs!$B$39="pvp",MIN((Skills!Y15*(1+Inputs!$B$34/100)),15)/15,(Skills!Y15*(1+Inputs!$B$34/100))/Skills!D15)))/100)*(1+((C1940=TRUE)*F1940*B1968)/100)</f>
        <v/>
      </c>
    </row>
    <row r="1974">
      <c r="A1974" t="inlineStr">
        <is>
          <t>Global Crit Rate Bonus %</t>
        </is>
      </c>
      <c r="B1974">
        <f>IF(Inputs!$B$3&gt;=47,8,0)+((C1954=TRUE)*F1954*IF(AND(Inputs!$B$39&lt;&gt;"pvp",Inputs!$B$44&gt;0),(((R1954-1)*(Skills!Y20*(1+Inputs!$B$34/100))+MIN((Skills!Y20*(1+Inputs!$B$34/100)),MAX(0,Inputs!$B$44-((R1954-1)*Skills!D20))))/Inputs!$B$44),IF(Inputs!$B$39="pvp",MIN((Skills!Y20*(1+Inputs!$B$34/100)),15)/15,(Skills!Y20*(1+Inputs!$B$34/100))/Skills!D20)))</f>
        <v/>
      </c>
    </row>
    <row r="1975">
      <c r="A1975" t="inlineStr">
        <is>
          <t>Global Monster Damage-Taken Bonus %</t>
        </is>
      </c>
      <c r="B1975">
        <f>IF(Inputs!$B$3&gt;=82,15,0)+((C1950=TRUE)*F1950*IF(AND(Inputs!$B$39&lt;&gt;"pvp",Inputs!$B$44&gt;0),(((R1950-1)*(Skills!Y16*(1+Inputs!$B$34/100))+MIN((Skills!Y16*(1+Inputs!$B$34/100)),MAX(0,Inputs!$B$44-((R1950-1)*Skills!D16))))/Inputs!$B$44),IF(Inputs!$B$39="pvp",MIN((Skills!Y16*(1+Inputs!$B$34/100)),15)/15,(Skills!Y16*(1+Inputs!$B$34/100))/Skills!D16)))</f>
        <v/>
      </c>
    </row>
    <row r="1976">
      <c r="A1976" t="inlineStr">
        <is>
          <t>Shadow Partner Average Multiplier</t>
        </is>
      </c>
      <c r="B1976">
        <f>1+((C1945=TRUE)*F1945*I1945*Skills!J11/100)/100</f>
        <v/>
      </c>
    </row>
    <row r="1977">
      <c r="A1977" t="inlineStr">
        <is>
          <t>Global Critical Damage Bonus % (Frailty Curse Mastery Lv.111)</t>
        </is>
      </c>
      <c r="B1977">
        <f>IF(Inputs!$B$3&gt;=111,30,0)*IF(AND(Inputs!$B$39&lt;&gt;"pvp",Inputs!$B$44&gt;0),(((R1950-1)*(Skills!Y16*(1+Inputs!$B$34/100))+MIN((Skills!Y16*(1+Inputs!$B$34/100)),MAX(0,Inputs!$B$44-((R1950-1)*Skills!D16))))/Inputs!$B$44),IF(Inputs!$B$39="pvp",MIN((Skills!Y16*(1+Inputs!$B$34/100)),15)/15,(Skills!Y16*(1+Inputs!$B$34/100))/Skills!D16))</f>
        <v/>
      </c>
    </row>
    <row r="1978">
      <c r="A1978" s="6" t="inlineStr">
        <is>
          <t>TOTAL DPS</t>
        </is>
      </c>
      <c r="B1978" s="6">
        <f>SUM(O1936:O1965)</f>
        <v/>
      </c>
    </row>
    <row r="1979">
      <c r="A1979" t="inlineStr">
        <is>
          <t>Buff-Casting Startup Delay (s, fixed-duration only)</t>
        </is>
      </c>
      <c r="B1979">
        <f>IF(AND(Inputs!$B$39&lt;&gt;"pvp",Inputs!$B$44&gt;0),SUMPRODUCT((Skills!Y2:Y31&gt;0)*(Skills!E2:E31=TRUE)*(C1936:C1965=TRUE))/B1970,0)</f>
        <v/>
      </c>
    </row>
    <row r="1980">
      <c r="A1980" t="inlineStr">
        <is>
          <t>Boss-Only Total DPS (this block's swept value)</t>
        </is>
      </c>
      <c r="B1980">
        <f>SUM(T1936:T1965)</f>
        <v/>
      </c>
    </row>
    <row r="1981">
      <c r="A1981" t="inlineStr">
        <is>
          <t>Normal-Only Total DPS (this block's swept value)</t>
        </is>
      </c>
      <c r="B1981">
        <f>SUM(V1936:V1965)</f>
        <v/>
      </c>
    </row>
    <row r="1983">
      <c r="A1983" s="6" t="inlineStr">
        <is>
          <t>Stat: Pink Bean's Giant Rib (Equip)</t>
        </is>
      </c>
    </row>
    <row r="1984">
      <c r="A1984" s="5" t="inlineStr">
        <is>
          <t>Key</t>
        </is>
      </c>
      <c r="B1984" s="5" t="inlineStr">
        <is>
          <t>Name</t>
        </is>
      </c>
      <c r="C1984" s="5" t="inlineStr">
        <is>
          <t>Unlocked</t>
        </is>
      </c>
      <c r="D1984" s="5" t="inlineStr">
        <is>
          <t>InputLevel</t>
        </is>
      </c>
      <c r="E1984" s="5" t="inlineStr">
        <is>
          <t>Factor</t>
        </is>
      </c>
      <c r="F1984" s="5" t="inlineStr">
        <is>
          <t>CoefficientPercent</t>
        </is>
      </c>
      <c r="G1984" s="5" t="inlineStr">
        <is>
          <t>EffectiveHits</t>
        </is>
      </c>
      <c r="H1984" s="5" t="inlineStr">
        <is>
          <t>ProcProbability</t>
        </is>
      </c>
      <c r="I1984" s="5" t="inlineStr">
        <is>
          <t>MapleHeroMultiplier</t>
        </is>
      </c>
      <c r="J1984" s="5" t="inlineStr">
        <is>
          <t>BaseDamage</t>
        </is>
      </c>
      <c r="K1984" s="5" t="inlineStr">
        <is>
          <t>BaseHitDamage</t>
        </is>
      </c>
      <c r="L1984" s="5" t="inlineStr">
        <is>
          <t>NonCritAvg</t>
        </is>
      </c>
      <c r="M1984" s="5" t="inlineStr">
        <is>
          <t>CritAvg</t>
        </is>
      </c>
      <c r="N1984" s="5" t="inlineStr">
        <is>
          <t>ExpectedDamage(perHit)</t>
        </is>
      </c>
      <c r="O1984" s="5" t="inlineStr">
        <is>
          <t>DPS</t>
        </is>
      </c>
      <c r="P1984" s="5" t="inlineStr">
        <is>
          <t>% of Total</t>
        </is>
      </c>
      <c r="Q1984" s="5" t="inlineStr">
        <is>
          <t>InvCooldown</t>
        </is>
      </c>
      <c r="R1984" s="5" t="inlineStr">
        <is>
          <t>CastsInFight</t>
        </is>
      </c>
      <c r="S1984" s="5" t="inlineStr">
        <is>
          <t>HitRate(perSec)</t>
        </is>
      </c>
      <c r="U1984" t="inlineStr">
        <is>
          <t>helpers</t>
        </is>
      </c>
    </row>
    <row r="1985">
      <c r="A1985">
        <f>Skills!A2</f>
        <v/>
      </c>
      <c r="B1985">
        <f>Skills!B2</f>
        <v/>
      </c>
      <c r="C1985">
        <f>Inputs!$B$3&gt;=100</f>
        <v/>
      </c>
      <c r="D1985" t="inlineStr"/>
      <c r="E1985" t="inlineStr"/>
      <c r="F1985">
        <f>U1989+Skills!O2</f>
        <v/>
      </c>
      <c r="G1985">
        <f>Calc!G2</f>
        <v/>
      </c>
      <c r="H1985">
        <f>Calc!H2</f>
        <v/>
      </c>
      <c r="I1985">
        <f>IF(Skills!AA2&lt;&gt;"",1+(Skills!AA2/10)*(U1986/1000)/100,1)</f>
        <v/>
      </c>
      <c r="J1985">
        <f>((Inputs!$B$6*(1+Inputs!$B$7/100))+(((Inputs!$B$12*(1+Inputs!$B$13/100))-(Inputs!$B$12*(1+Inputs!$B$13/100)))+0.25*(Inputs!$B$14-Inputs!$B$14))*(1+Inputs!$B$7/100))*(F1985/100)</f>
        <v/>
      </c>
      <c r="K1985">
        <f>J1985*(1+((Inputs!$B$12*(1+Inputs!$B$13/100))*0.01+Inputs!$B$14*0.0025)/100)*(1+Inputs!$B$15/100)*(1+Inputs!$B$16/100)*(5000/(6000+Inputs!$B$43*(1-(100*(1-(1-(Inputs!$B$19+0)/100)*(1-CHOOSE(ArtifactsInput!$N$40+1,5,6,7,8,9,10)/100)^(ArtifactsInput!$M$40-ArtifactsInput!$M$40)))/100)))*(1+(Inputs!$B$24+((C2013=TRUE)*(F2013-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2006=TRUE)*(F2006-Calc!F23))+(((IF(AND(ArtifactsInput!$M$42,((Inputs!$B$9+((C2008=TRUE)*(F2008-Calc!F25))+B2023+(ArtifactsInput!$M$24-ArtifactsInput!$M$24)*CHOOSE(ArtifactsInput!$N$24+1,10,12,14,16,18,20)+IF(ArtifactsInput!$M$10,CHOOSE(ArtifactsInput!$N$10+1,15,18,21,24,27,30)*(IF(Inputs!$B$39="pvp",MIN(15,15)/15,IF(AND(Inputs!$B$39&lt;&gt;"pvp",Inputs!$B$44&gt;0),MIN(15,Inputs!$B$44)/(Inputs!$B$44),0))),0)))&gt;=100),MIN(100,((Inputs!$B$9+((C2008=TRUE)*(F2008-Calc!F25))+B2023+(ArtifactsInput!$M$24-ArtifactsInput!$M$24)*CHOOSE(ArtifactsInput!$N$24+1,10,12,14,16,18,20)+IF(ArtifactsInput!$M$10,CHOOSE(ArtifactsInput!$N$10+1,15,18,21,24,27,30)*(IF(Inputs!$B$39="pvp",MIN(15,15)/15,IF(AND(Inputs!$B$39&lt;&gt;"pvp",Inputs!$B$44&gt;0),MIN(15,Inputs!$B$44)/(Inputs!$B$44),0))),0)))-100),0))*CHOOSE(ArtifactsInput!$N$42+1,0.6,0.72,0.84,0.96,1.08,1.2))),Inputs!$B$18+((C2012=TRUE)*(F2012-Calc!F29))+(IF(AND(ArtifactsInput!$M$42,((Inputs!$B$9+((C2008=TRUE)*(F2008-Calc!F25))+B2023+(ArtifactsInput!$M$24-ArtifactsInput!$M$24)*CHOOSE(ArtifactsInput!$N$24+1,10,12,14,16,18,20)+IF(ArtifactsInput!$M$10,CHOOSE(ArtifactsInput!$N$10+1,15,18,21,24,27,30)*(IF(Inputs!$B$39="pvp",MIN(15,15)/15,IF(AND(Inputs!$B$39&lt;&gt;"pvp",Inputs!$B$44&gt;0),MIN(15,Inputs!$B$44)/(Inputs!$B$44),0))),0)))&gt;=100),CHOOSE(ArtifactsInput!$N$42+1,40,48,56,64,72,80),0))))/100)*(((1+(((C2004=TRUE)*F2004*IF(AND(Inputs!$B$39&lt;&gt;"pvp",Inputs!$B$44&gt;0),(((R2004-1)*(Skills!Y21*(1+Inputs!$B$34/100))+MIN((Skills!Y21*(1+Inputs!$B$34/100)),MAX(0,Inputs!$B$44-((R2004-1)*Skills!D21))))/Inputs!$B$44),IF(Inputs!$B$39="pvp",MIN((Skills!Y21*(1+Inputs!$B$34/100)),15)/15,(Skills!Y21*(1+Inputs!$B$34/100))/Skills!D21)))+((C2011=TRUE)*(F2011-Calc!F28))+((C2001=TRUE)*(F2001-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1998=TRUE)*F1998*IF(AND(Inputs!$B$39&lt;&gt;"pvp",Inputs!$B$44&gt;0),(((R1998-1)*(Skills!Y15*(1+Inputs!$B$34/100))+MIN((Skills!Y15*(1+Inputs!$B$34/100)),MAX(0,Inputs!$B$44-((R1998-1)*Skills!D15))))/Inputs!$B$44),IF(Inputs!$B$39="pvp",MIN((Skills!Y15*(1+Inputs!$B$34/100)),15)/15,(Skills!Y15*(1+Inputs!$B$34/100))/Skills!D15)))/100)*(1+((C1989=TRUE)*F1989*B2017)/100))*B2025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1985)</f>
        <v/>
      </c>
      <c r="L1985">
        <f>K1985*(MIN(Inputs!$B$22+((C2007=TRUE)*(F2007-Calc!F24)),(Inputs!$B$23+0+(IF(ArtifactsInput!$M$15,CHOOSE(ArtifactsInput!$N$15+1,25,30,35,40,45,50)/100*(Inputs!$B$11-Inputs!$B$11),0))))/100+(Inputs!$B$23+0+(IF(ArtifactsInput!$M$15,CHOOSE(ArtifactsInput!$N$15+1,25,30,35,40,45,50)/100*(Inputs!$B$11-Inputs!$B$11),0)))/100)/2</f>
        <v/>
      </c>
      <c r="M1985">
        <f>L1985*(1+(Inputs!$B$10+((C2009=TRUE)*(F2009-Calc!F26))+B2026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85">
        <f>L1985*(1-MIN((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1985*(MIN((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85">
        <f>(1-Summary!$B$11)*T1985+Summary!$B$11*V1985</f>
        <v/>
      </c>
      <c r="P1985">
        <f>IF(B2027=0,0,O1985/B2027)</f>
        <v/>
      </c>
      <c r="Q1985" t="n">
        <v>0</v>
      </c>
      <c r="R1985" t="n">
        <v>0</v>
      </c>
      <c r="S1985">
        <f>IFERROR(O1985/N1985,0)</f>
        <v/>
      </c>
      <c r="T1985">
        <f>IF(C1985,(Skills!G2*N1985*B2021)*IF(Inputs!$B$39="pvp",1,1+(Inputs!$B$20+((C2010=TRUE)*(F2010-Calc!F27))+Skills!P2+B2024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Hunt"),CHOOSE(ArtifactsInput!$N$35+1,15,18,21,24,27,30)*(1-EXP(-(0.2*B2019)*5)),0)+IF(AND(ArtifactsInput!$M$22,Inputs!$B$4&lt;&gt;"Chapter Hunt"),CHOOSE(ArtifactsInput!$N$22+1,10,12,14,16,18,20)*((0*(((0.15*B2019*5))^0/1)+1*(((0.15*B2019*5))^1/1)+2*(((0.15*B2019*5))^2/2)+3*(((0.15*B2019*5))^3/6)+4*(((0.15*B2019*5))^4/24)+5*(((0.15*B2019*5))^5/120))/((((0.15*B2019*5))^0/1)+(((0.15*B2019*5))^1/1)+(((0.15*B2019*5))^2/2)+(((0.15*B2019*5))^3/6)+(((0.15*B2019*5))^4/24)+(((0.15*B2019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1985*(1-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1985*(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1985*(1-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1985*(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85">
        <f>MAX(0,(Inputs!$B$3-100)*3)+Inputs!$B$28+Inputs!$B$29</f>
        <v/>
      </c>
      <c r="V1985">
        <f>IF(C1985,(Skills!G2*N1985*B2021)*IF(Inputs!$B$39="pvp",1,(1+(Inputs!$B$21+Skills!Q2+B2024+(IF(ArtifactsInput!$M$33,CHOOSE(ArtifactsInput!$N$33+1,30,36,42,48,54,60),0))+(IF(AND(ArtifactsInput!$M$35,Inputs!$B$4&lt;&gt;"Chapter Hunt"),CHOOSE(ArtifactsInput!$N$35+1,15,18,21,24,27,30)*(1-EXP(-(0.2*B2019)*5)),0)+IF(AND(ArtifactsInput!$M$22,Inputs!$B$4&lt;&gt;"Chapter Hunt"),CHOOSE(ArtifactsInput!$N$22+1,10,12,14,16,18,20)*((0*(((0.15*B2019*5))^0/1)+1*(((0.15*B2019*5))^1/1)+2*(((0.15*B2019*5))^2/2)+3*(((0.15*B2019*5))^3/6)+4*(((0.15*B2019*5))^4/24)+5*(((0.15*B2019*5))^5/120))/((((0.15*B2019*5))^0/1)+(((0.15*B2019*5))^1/1)+(((0.15*B2019*5))^2/2)+(((0.15*B2019*5))^3/6)+(((0.15*B2019*5))^4/24)+(((0.15*B2019*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86">
      <c r="A1986">
        <f>Skills!A3</f>
        <v/>
      </c>
      <c r="B1986">
        <f>Skills!B3</f>
        <v/>
      </c>
      <c r="C1986">
        <f>Inputs!$B$3&gt;=35</f>
        <v/>
      </c>
      <c r="D1986">
        <f>IF(Skills!C3=1,60+Inputs!$B$25+Inputs!$B$29,IF(Skills!C3=2,90+Inputs!$B$26+Inputs!$B$29,IF(Skills!C3=3,120+Inputs!$B$27+Inputs!$B$29,MAX(0,(Inputs!$B$3-100)*3)+Inputs!$B$28+Inputs!$B$29)))</f>
        <v/>
      </c>
      <c r="E1986">
        <f>INDEX(FactorTable!$B$2:$Y$301, MATCH(ROUND(MIN(300,MAX(1,D1986)),0), FactorTable!$A$2:$A$301,0), Skills!M3+1)</f>
        <v/>
      </c>
      <c r="F1986">
        <f>IF(Skills!N3=TRUE,(Skills!L3/10)*(E1986/1000),Skills!L3/10)+Skills!O3</f>
        <v/>
      </c>
      <c r="G1986">
        <f>Calc!G3</f>
        <v/>
      </c>
      <c r="H1986">
        <f>Calc!H3</f>
        <v/>
      </c>
      <c r="I1986">
        <f>IF(Skills!AA3&lt;&gt;"",1+(Skills!AA3/10)*(U1986/1000)/100,1)</f>
        <v/>
      </c>
      <c r="J1986">
        <f>((Inputs!$B$6*(1+Inputs!$B$7/100))+(((Inputs!$B$12*(1+Inputs!$B$13/100))-(Inputs!$B$12*(1+Inputs!$B$13/100)))+0.25*(Inputs!$B$14-Inputs!$B$14))*(1+Inputs!$B$7/100))*(F1986/100)</f>
        <v/>
      </c>
      <c r="K1986">
        <f>J1986*(1+((Inputs!$B$12*(1+Inputs!$B$13/100))*0.01+Inputs!$B$14*0.0025)/100)*(1+Inputs!$B$15/100)*(1+Inputs!$B$16/100)*(5000/(6000+Inputs!$B$43*(1-(100*(1-(1-(Inputs!$B$19+0)/100)*(1-CHOOSE(ArtifactsInput!$N$40+1,5,6,7,8,9,10)/100)^(ArtifactsInput!$M$40-ArtifactsInput!$M$40)))/100)))*(1+(Inputs!$B$24+((C2013=TRUE)*(F2013-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2006=TRUE)*(F2006-Calc!F23))+(((IF(AND(ArtifactsInput!$M$42,((Inputs!$B$9+((C2008=TRUE)*(F2008-Calc!F25))+B2023+(ArtifactsInput!$M$24-ArtifactsInput!$M$24)*CHOOSE(ArtifactsInput!$N$24+1,10,12,14,16,18,20)+IF(ArtifactsInput!$M$10,CHOOSE(ArtifactsInput!$N$10+1,15,18,21,24,27,30)*(IF(Inputs!$B$39="pvp",MIN(15,15)/15,IF(AND(Inputs!$B$39&lt;&gt;"pvp",Inputs!$B$44&gt;0),MIN(15,Inputs!$B$44)/(Inputs!$B$44),0))),0)))&gt;=100),MIN(100,((Inputs!$B$9+((C2008=TRUE)*(F2008-Calc!F25))+B2023+(ArtifactsInput!$M$24-ArtifactsInput!$M$24)*CHOOSE(ArtifactsInput!$N$24+1,10,12,14,16,18,20)+IF(ArtifactsInput!$M$10,CHOOSE(ArtifactsInput!$N$10+1,15,18,21,24,27,30)*(IF(Inputs!$B$39="pvp",MIN(15,15)/15,IF(AND(Inputs!$B$39&lt;&gt;"pvp",Inputs!$B$44&gt;0),MIN(15,Inputs!$B$44)/(Inputs!$B$44),0))),0)))-100),0))*CHOOSE(ArtifactsInput!$N$42+1,0.6,0.72,0.84,0.96,1.08,1.2))),Inputs!$B$18+((C2012=TRUE)*(F2012-Calc!F29))+(IF(AND(ArtifactsInput!$M$42,((Inputs!$B$9+((C2008=TRUE)*(F2008-Calc!F25))+B2023+(ArtifactsInput!$M$24-ArtifactsInput!$M$24)*CHOOSE(ArtifactsInput!$N$24+1,10,12,14,16,18,20)+IF(ArtifactsInput!$M$10,CHOOSE(ArtifactsInput!$N$10+1,15,18,21,24,27,30)*(IF(Inputs!$B$39="pvp",MIN(15,15)/15,IF(AND(Inputs!$B$39&lt;&gt;"pvp",Inputs!$B$44&gt;0),MIN(15,Inputs!$B$44)/(Inputs!$B$44),0))),0)))&gt;=100),CHOOSE(ArtifactsInput!$N$42+1,40,48,56,64,72,80),0))))/100)*(((1+(((C2004=TRUE)*F2004*IF(AND(Inputs!$B$39&lt;&gt;"pvp",Inputs!$B$44&gt;0),(((R2004-1)*(Skills!Y21*(1+Inputs!$B$34/100))+MIN((Skills!Y21*(1+Inputs!$B$34/100)),MAX(0,Inputs!$B$44-((R2004-1)*Skills!D21))))/Inputs!$B$44),IF(Inputs!$B$39="pvp",MIN((Skills!Y21*(1+Inputs!$B$34/100)),15)/15,(Skills!Y21*(1+Inputs!$B$34/100))/Skills!D21)))+((C2011=TRUE)*(F2011-Calc!F28))+((C2001=TRUE)*(F2001-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1998=TRUE)*F1998*IF(AND(Inputs!$B$39&lt;&gt;"pvp",Inputs!$B$44&gt;0),(((R1998-1)*(Skills!Y15*(1+Inputs!$B$34/100))+MIN((Skills!Y15*(1+Inputs!$B$34/100)),MAX(0,Inputs!$B$44-((R1998-1)*Skills!D15))))/Inputs!$B$44),IF(Inputs!$B$39="pvp",MIN((Skills!Y15*(1+Inputs!$B$34/100)),15)/15,(Skills!Y15*(1+Inputs!$B$34/100))/Skills!D15)))/100)*(1+((C1989=TRUE)*F1989*B2017)/100))*B2025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1986)</f>
        <v/>
      </c>
      <c r="L1986">
        <f>K1986*(MIN(Inputs!$B$22+((C2007=TRUE)*(F2007-Calc!F24)),(Inputs!$B$23+0+(IF(ArtifactsInput!$M$15,CHOOSE(ArtifactsInput!$N$15+1,25,30,35,40,45,50)/100*(Inputs!$B$11-Inputs!$B$11),0))))/100+(Inputs!$B$23+0+(IF(ArtifactsInput!$M$15,CHOOSE(ArtifactsInput!$N$15+1,25,30,35,40,45,50)/100*(Inputs!$B$11-Inputs!$B$11),0)))/100)/2</f>
        <v/>
      </c>
      <c r="M1986">
        <f>L1986*(1+(Inputs!$B$10+((C2009=TRUE)*(F2009-Calc!F26))+B2026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86">
        <f>L1986*(1-MIN((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1986*(MIN((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86">
        <f>(1-Summary!$B$11)*T1986+Summary!$B$11*V1986</f>
        <v/>
      </c>
      <c r="P1986">
        <f>IF(B2027=0,0,O1986/B2027)</f>
        <v/>
      </c>
      <c r="Q1986">
        <f>IFERROR(1/IF(Inputs!$B$39="pvp",15,MAX(0.1,Skills!D3-IF(Skills!E3=TRUE,Inputs!$B$32,0))),0)</f>
        <v/>
      </c>
      <c r="R1986">
        <f>IF(AND(Inputs!$B$39&lt;&gt;"pvp",Inputs!$B$44&gt;0),IF(MAX(0,Inputs!$B$44-B2028)&lt;=0,0,(INT(MAX(0,Inputs!$B$44-B2028)/IF(Inputs!$B$39="pvp",15,MAX(0.1,Skills!D3-IF(Skills!E3=TRUE,Inputs!$B$32,0))))+1)),0)</f>
        <v/>
      </c>
      <c r="S1986">
        <f>IFERROR(O1986/N1986,0)</f>
        <v/>
      </c>
      <c r="T1986">
        <f>IF(C1986,(H1986*N1986*IF(AND(Inputs!$B$39&lt;&gt;"pvp",Inputs!$B$44&gt;0),((Skills!G3*((R1986-1)*IF(Skills!H3&gt;0,Skills!I3/Skills!H3,1)+IF(Skills!H3&gt;0,MIN(Skills!I3,MAX(0,MAX(0,Inputs!$B$44-B2028)-((R1986-1)*IF(Inputs!$B$39="pvp",15,MAX(0.1,Skills!D3-IF(Skills!E3=TRUE,Inputs!$B$32,0))))))/Skills!H3,1)))/Inputs!$B$44),G1986*Q1986))*IF(Inputs!$B$39="pvp",1,1+(Inputs!$B$20+((C2010=TRUE)*(F2010-Calc!F27))+Skills!P3+B2024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Hunt"),CHOOSE(ArtifactsInput!$N$35+1,15,18,21,24,27,30)*(1-EXP(-(0.2*B2019)*5)),0)+IF(AND(ArtifactsInput!$M$22,Inputs!$B$4&lt;&gt;"Chapter Hunt"),CHOOSE(ArtifactsInput!$N$22+1,10,12,14,16,18,20)*((0*(((0.15*B2019*5))^0/1)+1*(((0.15*B2019*5))^1/1)+2*(((0.15*B2019*5))^2/2)+3*(((0.15*B2019*5))^3/6)+4*(((0.15*B2019*5))^4/24)+5*(((0.15*B2019*5))^5/120))/((((0.15*B2019*5))^0/1)+(((0.15*B2019*5))^1/1)+(((0.15*B2019*5))^2/2)+(((0.15*B2019*5))^3/6)+(((0.15*B2019*5))^4/24)+(((0.15*B2019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1986*(1-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1986*(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1986*(1-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1986*(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86">
        <f>INDEX(FactorTable!$B$2:$Y$301, MATCH(ROUND(MIN(300,MAX(1,U1985)),0), FactorTable!$A$2:$A$301,0), 24)</f>
        <v/>
      </c>
      <c r="V1986">
        <f>IF(C1986,(H1986*N1986*IF(AND(Inputs!$B$39&lt;&gt;"pvp",Inputs!$B$44&gt;0),((Skills!G3*((R1986-1)*IF(Skills!H3&gt;0,Skills!I3/Skills!H3,1)+IF(Skills!H3&gt;0,MIN(Skills!I3,MAX(0,MAX(0,Inputs!$B$44-B2028)-((R1986-1)*IF(Inputs!$B$39="pvp",15,MAX(0.1,Skills!D3-IF(Skills!E3=TRUE,Inputs!$B$32,0))))))/Skills!H3,1)))/Inputs!$B$44),G1986*Q1986))*IF(Inputs!$B$39="pvp",1,(1+(Inputs!$B$21+Skills!Q3+B2024+(IF(ArtifactsInput!$M$33,CHOOSE(ArtifactsInput!$N$33+1,30,36,42,48,54,60),0))+(IF(AND(ArtifactsInput!$M$35,Inputs!$B$4&lt;&gt;"Chapter Hunt"),CHOOSE(ArtifactsInput!$N$35+1,15,18,21,24,27,30)*(1-EXP(-(0.2*B2019)*5)),0)+IF(AND(ArtifactsInput!$M$22,Inputs!$B$4&lt;&gt;"Chapter Hunt"),CHOOSE(ArtifactsInput!$N$22+1,10,12,14,16,18,20)*((0*(((0.15*B2019*5))^0/1)+1*(((0.15*B2019*5))^1/1)+2*(((0.15*B2019*5))^2/2)+3*(((0.15*B2019*5))^3/6)+4*(((0.15*B2019*5))^4/24)+5*(((0.15*B2019*5))^5/120))/((((0.15*B2019*5))^0/1)+(((0.15*B2019*5))^1/1)+(((0.15*B2019*5))^2/2)+(((0.15*B2019*5))^3/6)+(((0.15*B2019*5))^4/24)+(((0.15*B2019*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87">
      <c r="A1987">
        <f>Skills!A4</f>
        <v/>
      </c>
      <c r="B1987">
        <f>Skills!B4</f>
        <v/>
      </c>
      <c r="C1987">
        <f>Inputs!$B$3&gt;=40</f>
        <v/>
      </c>
      <c r="D1987">
        <f>IF(Skills!C4=1,60+Inputs!$B$25+Inputs!$B$29,IF(Skills!C4=2,90+Inputs!$B$26+Inputs!$B$29,IF(Skills!C4=3,120+Inputs!$B$27+Inputs!$B$29,MAX(0,(Inputs!$B$3-100)*3)+Inputs!$B$28+Inputs!$B$29)))</f>
        <v/>
      </c>
      <c r="E1987">
        <f>INDEX(FactorTable!$B$2:$Y$301, MATCH(ROUND(MIN(300,MAX(1,D1987)),0), FactorTable!$A$2:$A$301,0), Skills!M4+1)</f>
        <v/>
      </c>
      <c r="F1987">
        <f>IF(Skills!N4=TRUE,(Skills!L4/10)*(E1987/1000),Skills!L4/10)+Skills!O4</f>
        <v/>
      </c>
      <c r="G1987">
        <f>Calc!G4</f>
        <v/>
      </c>
      <c r="H1987">
        <f>Calc!H4</f>
        <v/>
      </c>
      <c r="I1987">
        <f>IF(Skills!AA4&lt;&gt;"",1+(Skills!AA4/10)*(U1986/1000)/100,1)</f>
        <v/>
      </c>
      <c r="J1987">
        <f>((Inputs!$B$6*(1+Inputs!$B$7/100))+(((Inputs!$B$12*(1+Inputs!$B$13/100))-(Inputs!$B$12*(1+Inputs!$B$13/100)))+0.25*(Inputs!$B$14-Inputs!$B$14))*(1+Inputs!$B$7/100))*(F1987/100)</f>
        <v/>
      </c>
      <c r="K1987">
        <f>J1987*(1+((Inputs!$B$12*(1+Inputs!$B$13/100))*0.01+Inputs!$B$14*0.0025)/100)*(1+Inputs!$B$15/100)*(1+Inputs!$B$16/100)*(5000/(6000+Inputs!$B$43*(1-(100*(1-(1-(Inputs!$B$19+0)/100)*(1-CHOOSE(ArtifactsInput!$N$40+1,5,6,7,8,9,10)/100)^(ArtifactsInput!$M$40-ArtifactsInput!$M$40)))/100)))*(1+(Inputs!$B$24+((C2013=TRUE)*(F2013-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2006=TRUE)*(F2006-Calc!F23))+(((IF(AND(ArtifactsInput!$M$42,((Inputs!$B$9+((C2008=TRUE)*(F2008-Calc!F25))+B2023+(ArtifactsInput!$M$24-ArtifactsInput!$M$24)*CHOOSE(ArtifactsInput!$N$24+1,10,12,14,16,18,20)+IF(ArtifactsInput!$M$10,CHOOSE(ArtifactsInput!$N$10+1,15,18,21,24,27,30)*(IF(Inputs!$B$39="pvp",MIN(15,15)/15,IF(AND(Inputs!$B$39&lt;&gt;"pvp",Inputs!$B$44&gt;0),MIN(15,Inputs!$B$44)/(Inputs!$B$44),0))),0)))&gt;=100),MIN(100,((Inputs!$B$9+((C2008=TRUE)*(F2008-Calc!F25))+B2023+(ArtifactsInput!$M$24-ArtifactsInput!$M$24)*CHOOSE(ArtifactsInput!$N$24+1,10,12,14,16,18,20)+IF(ArtifactsInput!$M$10,CHOOSE(ArtifactsInput!$N$10+1,15,18,21,24,27,30)*(IF(Inputs!$B$39="pvp",MIN(15,15)/15,IF(AND(Inputs!$B$39&lt;&gt;"pvp",Inputs!$B$44&gt;0),MIN(15,Inputs!$B$44)/(Inputs!$B$44),0))),0)))-100),0))*CHOOSE(ArtifactsInput!$N$42+1,0.6,0.72,0.84,0.96,1.08,1.2))),Inputs!$B$18+((C2012=TRUE)*(F2012-Calc!F29))+(IF(AND(ArtifactsInput!$M$42,((Inputs!$B$9+((C2008=TRUE)*(F2008-Calc!F25))+B2023+(ArtifactsInput!$M$24-ArtifactsInput!$M$24)*CHOOSE(ArtifactsInput!$N$24+1,10,12,14,16,18,20)+IF(ArtifactsInput!$M$10,CHOOSE(ArtifactsInput!$N$10+1,15,18,21,24,27,30)*(IF(Inputs!$B$39="pvp",MIN(15,15)/15,IF(AND(Inputs!$B$39&lt;&gt;"pvp",Inputs!$B$44&gt;0),MIN(15,Inputs!$B$44)/(Inputs!$B$44),0))),0)))&gt;=100),CHOOSE(ArtifactsInput!$N$42+1,40,48,56,64,72,80),0))))/100)*(((1+(((C2004=TRUE)*F2004*IF(AND(Inputs!$B$39&lt;&gt;"pvp",Inputs!$B$44&gt;0),(((R2004-1)*(Skills!Y21*(1+Inputs!$B$34/100))+MIN((Skills!Y21*(1+Inputs!$B$34/100)),MAX(0,Inputs!$B$44-((R2004-1)*Skills!D21))))/Inputs!$B$44),IF(Inputs!$B$39="pvp",MIN((Skills!Y21*(1+Inputs!$B$34/100)),15)/15,(Skills!Y21*(1+Inputs!$B$34/100))/Skills!D21)))+((C2011=TRUE)*(F2011-Calc!F28))+((C2001=TRUE)*(F2001-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1998=TRUE)*F1998*IF(AND(Inputs!$B$39&lt;&gt;"pvp",Inputs!$B$44&gt;0),(((R1998-1)*(Skills!Y15*(1+Inputs!$B$34/100))+MIN((Skills!Y15*(1+Inputs!$B$34/100)),MAX(0,Inputs!$B$44-((R1998-1)*Skills!D15))))/Inputs!$B$44),IF(Inputs!$B$39="pvp",MIN((Skills!Y15*(1+Inputs!$B$34/100)),15)/15,(Skills!Y15*(1+Inputs!$B$34/100))/Skills!D15)))/100)*(1+((C1989=TRUE)*F1989*B2017)/100))*B2025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1987)</f>
        <v/>
      </c>
      <c r="L1987">
        <f>K1987*(MIN(Inputs!$B$22+((C2007=TRUE)*(F2007-Calc!F24)),(Inputs!$B$23+0+(IF(ArtifactsInput!$M$15,CHOOSE(ArtifactsInput!$N$15+1,25,30,35,40,45,50)/100*(Inputs!$B$11-Inputs!$B$11),0))))/100+(Inputs!$B$23+0+(IF(ArtifactsInput!$M$15,CHOOSE(ArtifactsInput!$N$15+1,25,30,35,40,45,50)/100*(Inputs!$B$11-Inputs!$B$11),0)))/100)/2</f>
        <v/>
      </c>
      <c r="M1987">
        <f>L1987*(1+(Inputs!$B$10+((C2009=TRUE)*(F2009-Calc!F26))+B2026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87">
        <f>L1987*(1-MIN((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1987*(MIN((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87">
        <f>(1-Summary!$B$11)*T1987+Summary!$B$11*V1987</f>
        <v/>
      </c>
      <c r="P1987">
        <f>IF(B2027=0,0,O1987/B2027)</f>
        <v/>
      </c>
      <c r="Q1987">
        <f>IFERROR(1/IF(Inputs!$B$39="pvp",15,MAX(0.1,Skills!D4-IF(Skills!E4=TRUE,Inputs!$B$32,0))),0)</f>
        <v/>
      </c>
      <c r="R1987">
        <f>IF(AND(Inputs!$B$39&lt;&gt;"pvp",Inputs!$B$44&gt;0),IF(MAX(0,Inputs!$B$44-B2028)&lt;=0,0,(INT(MAX(0,Inputs!$B$44-B2028)/IF(Inputs!$B$39="pvp",15,MAX(0.1,Skills!D4-IF(Skills!E4=TRUE,Inputs!$B$32,0))))+1)),0)</f>
        <v/>
      </c>
      <c r="S1987">
        <f>IFERROR(O1987/N1987,0)</f>
        <v/>
      </c>
      <c r="T1987">
        <f>IF(C1987,(H1987*N1987*IF(AND(Inputs!$B$39&lt;&gt;"pvp",Inputs!$B$44&gt;0),((Skills!G4*((R1987-1)*IF(Skills!H4&gt;0,Skills!I4/Skills!H4,1)+IF(Skills!H4&gt;0,MIN(Skills!I4,MAX(0,MAX(0,Inputs!$B$44-B2028)-((R1987-1)*IF(Inputs!$B$39="pvp",15,MAX(0.1,Skills!D4-IF(Skills!E4=TRUE,Inputs!$B$32,0))))))/Skills!H4,1)))/Inputs!$B$44),G1987*Q1987))*IF(Inputs!$B$39="pvp",1,1+(Inputs!$B$20+((C2010=TRUE)*(F2010-Calc!F27))+Skills!P4+B2024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Hunt"),CHOOSE(ArtifactsInput!$N$35+1,15,18,21,24,27,30)*(1-EXP(-(0.2*B2019)*5)),0)+IF(AND(ArtifactsInput!$M$22,Inputs!$B$4&lt;&gt;"Chapter Hunt"),CHOOSE(ArtifactsInput!$N$22+1,10,12,14,16,18,20)*((0*(((0.15*B2019*5))^0/1)+1*(((0.15*B2019*5))^1/1)+2*(((0.15*B2019*5))^2/2)+3*(((0.15*B2019*5))^3/6)+4*(((0.15*B2019*5))^4/24)+5*(((0.15*B2019*5))^5/120))/((((0.15*B2019*5))^0/1)+(((0.15*B2019*5))^1/1)+(((0.15*B2019*5))^2/2)+(((0.15*B2019*5))^3/6)+(((0.15*B2019*5))^4/24)+(((0.15*B2019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1987*(1-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1987*(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1987*(1-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1987*(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87">
        <f>MAX(0,(Inputs!$B$3-100)*3)+Inputs!$B$28+Inputs!$B$29</f>
        <v/>
      </c>
      <c r="V1987">
        <f>IF(C1987,(H1987*N1987*IF(AND(Inputs!$B$39&lt;&gt;"pvp",Inputs!$B$44&gt;0),((Skills!G4*((R1987-1)*IF(Skills!H4&gt;0,Skills!I4/Skills!H4,1)+IF(Skills!H4&gt;0,MIN(Skills!I4,MAX(0,MAX(0,Inputs!$B$44-B2028)-((R1987-1)*IF(Inputs!$B$39="pvp",15,MAX(0.1,Skills!D4-IF(Skills!E4=TRUE,Inputs!$B$32,0))))))/Skills!H4,1)))/Inputs!$B$44),G1987*Q1987))*IF(Inputs!$B$39="pvp",1,(1+(Inputs!$B$21+Skills!Q4+B2024+(IF(ArtifactsInput!$M$33,CHOOSE(ArtifactsInput!$N$33+1,30,36,42,48,54,60),0))+(IF(AND(ArtifactsInput!$M$35,Inputs!$B$4&lt;&gt;"Chapter Hunt"),CHOOSE(ArtifactsInput!$N$35+1,15,18,21,24,27,30)*(1-EXP(-(0.2*B2019)*5)),0)+IF(AND(ArtifactsInput!$M$22,Inputs!$B$4&lt;&gt;"Chapter Hunt"),CHOOSE(ArtifactsInput!$N$22+1,10,12,14,16,18,20)*((0*(((0.15*B2019*5))^0/1)+1*(((0.15*B2019*5))^1/1)+2*(((0.15*B2019*5))^2/2)+3*(((0.15*B2019*5))^3/6)+4*(((0.15*B2019*5))^4/24)+5*(((0.15*B2019*5))^5/120))/((((0.15*B2019*5))^0/1)+(((0.15*B2019*5))^1/1)+(((0.15*B2019*5))^2/2)+(((0.15*B2019*5))^3/6)+(((0.15*B2019*5))^4/24)+(((0.15*B2019*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88">
      <c r="A1988">
        <f>Skills!A5</f>
        <v/>
      </c>
      <c r="B1988">
        <f>Skills!B5</f>
        <v/>
      </c>
      <c r="C1988">
        <f>Inputs!$B$3&gt;=63</f>
        <v/>
      </c>
      <c r="D1988">
        <f>IF(Skills!C5=1,60+Inputs!$B$25+Inputs!$B$29,IF(Skills!C5=2,90+Inputs!$B$26+Inputs!$B$29,IF(Skills!C5=3,120+Inputs!$B$27+Inputs!$B$29,MAX(0,(Inputs!$B$3-100)*3)+Inputs!$B$28+Inputs!$B$29)))</f>
        <v/>
      </c>
      <c r="E1988">
        <f>INDEX(FactorTable!$B$2:$Y$301, MATCH(ROUND(MIN(300,MAX(1,D1988)),0), FactorTable!$A$2:$A$301,0), Skills!M5+1)</f>
        <v/>
      </c>
      <c r="F1988">
        <f>IF(Skills!N5=TRUE,(Skills!L5/10)*(E1988/1000),Skills!L5/10)+Skills!O5</f>
        <v/>
      </c>
      <c r="G1988">
        <f>Calc!G5</f>
        <v/>
      </c>
      <c r="H1988">
        <f>Calc!H5</f>
        <v/>
      </c>
      <c r="I1988">
        <f>IF(Skills!AA5&lt;&gt;"",1+(Skills!AA5/10)*(U1986/1000)/100,1)</f>
        <v/>
      </c>
      <c r="J1988">
        <f>((Inputs!$B$6*(1+Inputs!$B$7/100))+(((Inputs!$B$12*(1+Inputs!$B$13/100))-(Inputs!$B$12*(1+Inputs!$B$13/100)))+0.25*(Inputs!$B$14-Inputs!$B$14))*(1+Inputs!$B$7/100))*(F1988/100)</f>
        <v/>
      </c>
      <c r="K1988">
        <f>J1988*(1+((Inputs!$B$12*(1+Inputs!$B$13/100))*0.01+Inputs!$B$14*0.0025)/100)*(1+Inputs!$B$15/100)*(1+Inputs!$B$16/100)*(5000/(6000+Inputs!$B$43*(1-(100*(1-(1-(Inputs!$B$19+0)/100)*(1-CHOOSE(ArtifactsInput!$N$40+1,5,6,7,8,9,10)/100)^(ArtifactsInput!$M$40-ArtifactsInput!$M$40)))/100)))*(1+(Inputs!$B$24+((C2013=TRUE)*(F2013-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2006=TRUE)*(F2006-Calc!F23))+(((IF(AND(ArtifactsInput!$M$42,((Inputs!$B$9+((C2008=TRUE)*(F2008-Calc!F25))+B2023+(ArtifactsInput!$M$24-ArtifactsInput!$M$24)*CHOOSE(ArtifactsInput!$N$24+1,10,12,14,16,18,20)+IF(ArtifactsInput!$M$10,CHOOSE(ArtifactsInput!$N$10+1,15,18,21,24,27,30)*(IF(Inputs!$B$39="pvp",MIN(15,15)/15,IF(AND(Inputs!$B$39&lt;&gt;"pvp",Inputs!$B$44&gt;0),MIN(15,Inputs!$B$44)/(Inputs!$B$44),0))),0)))&gt;=100),MIN(100,((Inputs!$B$9+((C2008=TRUE)*(F2008-Calc!F25))+B2023+(ArtifactsInput!$M$24-ArtifactsInput!$M$24)*CHOOSE(ArtifactsInput!$N$24+1,10,12,14,16,18,20)+IF(ArtifactsInput!$M$10,CHOOSE(ArtifactsInput!$N$10+1,15,18,21,24,27,30)*(IF(Inputs!$B$39="pvp",MIN(15,15)/15,IF(AND(Inputs!$B$39&lt;&gt;"pvp",Inputs!$B$44&gt;0),MIN(15,Inputs!$B$44)/(Inputs!$B$44),0))),0)))-100),0))*CHOOSE(ArtifactsInput!$N$42+1,0.6,0.72,0.84,0.96,1.08,1.2))),Inputs!$B$18+((C2012=TRUE)*(F2012-Calc!F29))+(IF(AND(ArtifactsInput!$M$42,((Inputs!$B$9+((C2008=TRUE)*(F2008-Calc!F25))+B2023+(ArtifactsInput!$M$24-ArtifactsInput!$M$24)*CHOOSE(ArtifactsInput!$N$24+1,10,12,14,16,18,20)+IF(ArtifactsInput!$M$10,CHOOSE(ArtifactsInput!$N$10+1,15,18,21,24,27,30)*(IF(Inputs!$B$39="pvp",MIN(15,15)/15,IF(AND(Inputs!$B$39&lt;&gt;"pvp",Inputs!$B$44&gt;0),MIN(15,Inputs!$B$44)/(Inputs!$B$44),0))),0)))&gt;=100),CHOOSE(ArtifactsInput!$N$42+1,40,48,56,64,72,80),0))))/100)*(((1+(((C2004=TRUE)*F2004*IF(AND(Inputs!$B$39&lt;&gt;"pvp",Inputs!$B$44&gt;0),(((R2004-1)*(Skills!Y21*(1+Inputs!$B$34/100))+MIN((Skills!Y21*(1+Inputs!$B$34/100)),MAX(0,Inputs!$B$44-((R2004-1)*Skills!D21))))/Inputs!$B$44),IF(Inputs!$B$39="pvp",MIN((Skills!Y21*(1+Inputs!$B$34/100)),15)/15,(Skills!Y21*(1+Inputs!$B$34/100))/Skills!D21)))+((C2011=TRUE)*(F2011-Calc!F28))+((C2001=TRUE)*(F2001-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1998=TRUE)*F1998*IF(AND(Inputs!$B$39&lt;&gt;"pvp",Inputs!$B$44&gt;0),(((R1998-1)*(Skills!Y15*(1+Inputs!$B$34/100))+MIN((Skills!Y15*(1+Inputs!$B$34/100)),MAX(0,Inputs!$B$44-((R1998-1)*Skills!D15))))/Inputs!$B$44),IF(Inputs!$B$39="pvp",MIN((Skills!Y15*(1+Inputs!$B$34/100)),15)/15,(Skills!Y15*(1+Inputs!$B$34/100))/Skills!D15)))/100)*(1+((C1989=TRUE)*F1989*B2017)/100))*B2025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1988)</f>
        <v/>
      </c>
      <c r="L1988">
        <f>K1988*(MIN(Inputs!$B$22+((C2007=TRUE)*(F2007-Calc!F24)),(Inputs!$B$23+0+(IF(ArtifactsInput!$M$15,CHOOSE(ArtifactsInput!$N$15+1,25,30,35,40,45,50)/100*(Inputs!$B$11-Inputs!$B$11),0))))/100+(Inputs!$B$23+0+(IF(ArtifactsInput!$M$15,CHOOSE(ArtifactsInput!$N$15+1,25,30,35,40,45,50)/100*(Inputs!$B$11-Inputs!$B$11),0)))/100)/2</f>
        <v/>
      </c>
      <c r="M1988">
        <f>L1988*(1+(Inputs!$B$10+((C2009=TRUE)*(F2009-Calc!F26))+B2026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88">
        <f>L1988*(1-MIN((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1988*(MIN((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88">
        <f>(1-Summary!$B$11)*T1988+Summary!$B$11*V1988</f>
        <v/>
      </c>
      <c r="P1988">
        <f>IF(B2027=0,0,O1988/B2027)</f>
        <v/>
      </c>
      <c r="Q1988">
        <f>IFERROR(1/IF(Inputs!$B$39="pvp",15,MAX(0.1,Skills!D5-IF(Skills!E5=TRUE,Inputs!$B$32,0))),0)</f>
        <v/>
      </c>
      <c r="R1988">
        <f>IF(AND(Inputs!$B$39&lt;&gt;"pvp",Inputs!$B$44&gt;0),IF(MAX(0,Inputs!$B$44-B2028)&lt;=0,0,(INT(MAX(0,Inputs!$B$44-B2028)/IF(Inputs!$B$39="pvp",15,MAX(0.1,Skills!D5-IF(Skills!E5=TRUE,Inputs!$B$32,0))))+1)),0)</f>
        <v/>
      </c>
      <c r="S1988">
        <f>IFERROR(O1988/N1988,0)</f>
        <v/>
      </c>
      <c r="T1988">
        <f>IF(C1988,(H1988*N1988*IF(AND(Inputs!$B$39&lt;&gt;"pvp",Inputs!$B$44&gt;0),((Skills!G5*((R1988-1)*IF(Skills!H5&gt;0,Skills!I5/Skills!H5,1)+IF(Skills!H5&gt;0,MIN(Skills!I5,MAX(0,MAX(0,Inputs!$B$44-B2028)-((R1988-1)*IF(Inputs!$B$39="pvp",15,MAX(0.1,Skills!D5-IF(Skills!E5=TRUE,Inputs!$B$32,0))))))/Skills!H5,1)))/Inputs!$B$44),G1988*Q1988))*IF(Inputs!$B$39="pvp",1,1+(Inputs!$B$20+((C2010=TRUE)*(F2010-Calc!F27))+Skills!P5+B2024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Hunt"),CHOOSE(ArtifactsInput!$N$35+1,15,18,21,24,27,30)*(1-EXP(-(0.2*B2019)*5)),0)+IF(AND(ArtifactsInput!$M$22,Inputs!$B$4&lt;&gt;"Chapter Hunt"),CHOOSE(ArtifactsInput!$N$22+1,10,12,14,16,18,20)*((0*(((0.15*B2019*5))^0/1)+1*(((0.15*B2019*5))^1/1)+2*(((0.15*B2019*5))^2/2)+3*(((0.15*B2019*5))^3/6)+4*(((0.15*B2019*5))^4/24)+5*(((0.15*B2019*5))^5/120))/((((0.15*B2019*5))^0/1)+(((0.15*B2019*5))^1/1)+(((0.15*B2019*5))^2/2)+(((0.15*B2019*5))^3/6)+(((0.15*B2019*5))^4/24)+(((0.15*B2019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1988*(1-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1988*(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1988*(1-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1988*(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88">
        <f>INDEX(FactorTable!$B$2:$Y$301, MATCH(ROUND(MIN(300,MAX(1,U1987)),0), FactorTable!$A$2:$A$301,0), 22)</f>
        <v/>
      </c>
      <c r="V1988">
        <f>IF(C1988,(H1988*N1988*IF(AND(Inputs!$B$39&lt;&gt;"pvp",Inputs!$B$44&gt;0),((Skills!G5*((R1988-1)*IF(Skills!H5&gt;0,Skills!I5/Skills!H5,1)+IF(Skills!H5&gt;0,MIN(Skills!I5,MAX(0,MAX(0,Inputs!$B$44-B2028)-((R1988-1)*IF(Inputs!$B$39="pvp",15,MAX(0.1,Skills!D5-IF(Skills!E5=TRUE,Inputs!$B$32,0))))))/Skills!H5,1)))/Inputs!$B$44),G1988*Q1988))*IF(Inputs!$B$39="pvp",1,(1+(Inputs!$B$21+Skills!Q5+B2024+(IF(ArtifactsInput!$M$33,CHOOSE(ArtifactsInput!$N$33+1,30,36,42,48,54,60),0))+(IF(AND(ArtifactsInput!$M$35,Inputs!$B$4&lt;&gt;"Chapter Hunt"),CHOOSE(ArtifactsInput!$N$35+1,15,18,21,24,27,30)*(1-EXP(-(0.2*B2019)*5)),0)+IF(AND(ArtifactsInput!$M$22,Inputs!$B$4&lt;&gt;"Chapter Hunt"),CHOOSE(ArtifactsInput!$N$22+1,10,12,14,16,18,20)*((0*(((0.15*B2019*5))^0/1)+1*(((0.15*B2019*5))^1/1)+2*(((0.15*B2019*5))^2/2)+3*(((0.15*B2019*5))^3/6)+4*(((0.15*B2019*5))^4/24)+5*(((0.15*B2019*5))^5/120))/((((0.15*B2019*5))^0/1)+(((0.15*B2019*5))^1/1)+(((0.15*B2019*5))^2/2)+(((0.15*B2019*5))^3/6)+(((0.15*B2019*5))^4/24)+(((0.15*B2019*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89">
      <c r="A1989">
        <f>Skills!A6</f>
        <v/>
      </c>
      <c r="B1989">
        <f>Skills!B6</f>
        <v/>
      </c>
      <c r="C1989">
        <f>Inputs!$B$3&gt;=66</f>
        <v/>
      </c>
      <c r="D1989">
        <f>IF(Skills!C6=1,60+Inputs!$B$25+Inputs!$B$29,IF(Skills!C6=2,90+Inputs!$B$26+Inputs!$B$29,IF(Skills!C6=3,120+Inputs!$B$27+Inputs!$B$29,MAX(0,(Inputs!$B$3-100)*3)+Inputs!$B$28+Inputs!$B$29)))</f>
        <v/>
      </c>
      <c r="E1989">
        <f>INDEX(FactorTable!$B$2:$Y$301, MATCH(ROUND(MIN(300,MAX(1,D1989)),0), FactorTable!$A$2:$A$301,0), Skills!M6+1)</f>
        <v/>
      </c>
      <c r="F1989">
        <f>IF(Skills!N6=TRUE,(Skills!L6/10)*(E1989/1000),Skills!L6/10)+Skills!O6</f>
        <v/>
      </c>
      <c r="G1989">
        <f>Calc!G6</f>
        <v/>
      </c>
      <c r="H1989">
        <f>Calc!H6</f>
        <v/>
      </c>
      <c r="I1989">
        <f>IF(Skills!AA6&lt;&gt;"",1+(Skills!AA6/10)*(U1986/1000)/100,1)</f>
        <v/>
      </c>
      <c r="J1989" t="inlineStr"/>
      <c r="K1989" t="inlineStr"/>
      <c r="L1989" t="inlineStr"/>
      <c r="M1989" t="inlineStr"/>
      <c r="N1989" t="inlineStr"/>
      <c r="O1989">
        <f>(1-Summary!$B$11)*T1989+Summary!$B$11*V1989</f>
        <v/>
      </c>
      <c r="P1989">
        <f>IF(B2027=0,0,O1989/B2027)</f>
        <v/>
      </c>
      <c r="Q1989" t="n">
        <v>0</v>
      </c>
      <c r="R1989" t="n">
        <v>0</v>
      </c>
      <c r="S1989">
        <f>IFERROR(O1989/N1989,0)</f>
        <v/>
      </c>
      <c r="T1989" t="n">
        <v>0</v>
      </c>
      <c r="U1989">
        <f>290*U1988/1000</f>
        <v/>
      </c>
      <c r="V1989" t="n">
        <v>0</v>
      </c>
    </row>
    <row r="1990">
      <c r="A1990">
        <f>Skills!A7</f>
        <v/>
      </c>
      <c r="B1990">
        <f>Skills!B7</f>
        <v/>
      </c>
      <c r="C1990">
        <f>Inputs!$B$3&gt;=66</f>
        <v/>
      </c>
      <c r="D1990">
        <f>IF(Skills!C7=1,60+Inputs!$B$25+Inputs!$B$29,IF(Skills!C7=2,90+Inputs!$B$26+Inputs!$B$29,IF(Skills!C7=3,120+Inputs!$B$27+Inputs!$B$29,MAX(0,(Inputs!$B$3-100)*3)+Inputs!$B$28+Inputs!$B$29)))</f>
        <v/>
      </c>
      <c r="E1990">
        <f>INDEX(FactorTable!$B$2:$Y$301, MATCH(ROUND(MIN(300,MAX(1,D1990)),0), FactorTable!$A$2:$A$301,0), Skills!M7+1)</f>
        <v/>
      </c>
      <c r="F1990">
        <f>IF(Skills!N7=TRUE,(Skills!L7/10)*(E1990/1000),Skills!L7/10)+Skills!O7</f>
        <v/>
      </c>
      <c r="G1990">
        <f>Calc!G7</f>
        <v/>
      </c>
      <c r="H1990">
        <f>Calc!H7</f>
        <v/>
      </c>
      <c r="I1990">
        <f>IF(Skills!AA7&lt;&gt;"",1+(Skills!AA7/10)*(U1986/1000)/100,1)</f>
        <v/>
      </c>
      <c r="J1990" t="inlineStr"/>
      <c r="K1990" t="inlineStr"/>
      <c r="L1990" t="inlineStr"/>
      <c r="M1990" t="inlineStr"/>
      <c r="N1990" t="inlineStr"/>
      <c r="O1990">
        <f>(1-Summary!$B$11)*T1990+Summary!$B$11*V1990</f>
        <v/>
      </c>
      <c r="P1990">
        <f>IF(B2027=0,0,O1990/B2027)</f>
        <v/>
      </c>
      <c r="Q1990" t="n">
        <v>0</v>
      </c>
      <c r="R1990" t="n">
        <v>0</v>
      </c>
      <c r="S1990">
        <f>IFERROR(O1990/N1990,0)</f>
        <v/>
      </c>
      <c r="T1990" t="n">
        <v>0</v>
      </c>
      <c r="V1990" t="n">
        <v>0</v>
      </c>
    </row>
    <row r="1991">
      <c r="A1991">
        <f>Skills!A8</f>
        <v/>
      </c>
      <c r="B1991">
        <f>Skills!B8</f>
        <v/>
      </c>
      <c r="C1991">
        <f>Inputs!$B$3&gt;=69</f>
        <v/>
      </c>
      <c r="D1991">
        <f>IF(Skills!C8=1,60+Inputs!$B$25+Inputs!$B$29,IF(Skills!C8=2,90+Inputs!$B$26+Inputs!$B$29,IF(Skills!C8=3,120+Inputs!$B$27+Inputs!$B$29,MAX(0,(Inputs!$B$3-100)*3)+Inputs!$B$28+Inputs!$B$29)))</f>
        <v/>
      </c>
      <c r="E1991">
        <f>INDEX(FactorTable!$B$2:$Y$301, MATCH(ROUND(MIN(300,MAX(1,D1991)),0), FactorTable!$A$2:$A$301,0), Skills!M8+1)</f>
        <v/>
      </c>
      <c r="F1991">
        <f>IF(Skills!N8=TRUE,(Skills!L8/10)*(E1991/1000),Skills!L8/10)+Skills!O8</f>
        <v/>
      </c>
      <c r="G1991">
        <f>Calc!G8</f>
        <v/>
      </c>
      <c r="H1991">
        <f>Calc!H8</f>
        <v/>
      </c>
      <c r="I1991">
        <f>IF(Skills!AA8&lt;&gt;"",1+(Skills!AA8/10)*(U1986/1000)/100,1)</f>
        <v/>
      </c>
      <c r="J1991">
        <f>((Inputs!$B$6*(1+Inputs!$B$7/100))+(((Inputs!$B$12*(1+Inputs!$B$13/100))-(Inputs!$B$12*(1+Inputs!$B$13/100)))+0.25*(Inputs!$B$14-Inputs!$B$14))*(1+Inputs!$B$7/100))*(F1991/100)</f>
        <v/>
      </c>
      <c r="K1991">
        <f>J1991*(1+((Inputs!$B$12*(1+Inputs!$B$13/100))*0.01+Inputs!$B$14*0.0025)/100)*(1+Inputs!$B$15/100)*(1+Inputs!$B$16/100)*(5000/(6000+Inputs!$B$43*(1-(100*(1-(1-(Inputs!$B$19+0)/100)*(1-CHOOSE(ArtifactsInput!$N$40+1,5,6,7,8,9,10)/100)^(ArtifactsInput!$M$40-ArtifactsInput!$M$40)))/100)))*(1+(Inputs!$B$24+((C2013=TRUE)*(F2013-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2006=TRUE)*(F2006-Calc!F23))+(((IF(AND(ArtifactsInput!$M$42,((Inputs!$B$9+((C2008=TRUE)*(F2008-Calc!F25))+B2023+(ArtifactsInput!$M$24-ArtifactsInput!$M$24)*CHOOSE(ArtifactsInput!$N$24+1,10,12,14,16,18,20)+IF(ArtifactsInput!$M$10,CHOOSE(ArtifactsInput!$N$10+1,15,18,21,24,27,30)*(IF(Inputs!$B$39="pvp",MIN(15,15)/15,IF(AND(Inputs!$B$39&lt;&gt;"pvp",Inputs!$B$44&gt;0),MIN(15,Inputs!$B$44)/(Inputs!$B$44),0))),0)))&gt;=100),MIN(100,((Inputs!$B$9+((C2008=TRUE)*(F2008-Calc!F25))+B2023+(ArtifactsInput!$M$24-ArtifactsInput!$M$24)*CHOOSE(ArtifactsInput!$N$24+1,10,12,14,16,18,20)+IF(ArtifactsInput!$M$10,CHOOSE(ArtifactsInput!$N$10+1,15,18,21,24,27,30)*(IF(Inputs!$B$39="pvp",MIN(15,15)/15,IF(AND(Inputs!$B$39&lt;&gt;"pvp",Inputs!$B$44&gt;0),MIN(15,Inputs!$B$44)/(Inputs!$B$44),0))),0)))-100),0))*CHOOSE(ArtifactsInput!$N$42+1,0.6,0.72,0.84,0.96,1.08,1.2))),Inputs!$B$18+((C2012=TRUE)*(F2012-Calc!F29))+(IF(AND(ArtifactsInput!$M$42,((Inputs!$B$9+((C2008=TRUE)*(F2008-Calc!F25))+B2023+(ArtifactsInput!$M$24-ArtifactsInput!$M$24)*CHOOSE(ArtifactsInput!$N$24+1,10,12,14,16,18,20)+IF(ArtifactsInput!$M$10,CHOOSE(ArtifactsInput!$N$10+1,15,18,21,24,27,30)*(IF(Inputs!$B$39="pvp",MIN(15,15)/15,IF(AND(Inputs!$B$39&lt;&gt;"pvp",Inputs!$B$44&gt;0),MIN(15,Inputs!$B$44)/(Inputs!$B$44),0))),0)))&gt;=100),CHOOSE(ArtifactsInput!$N$42+1,40,48,56,64,72,80),0))))/100)*(((1+(((C2004=TRUE)*F2004*IF(AND(Inputs!$B$39&lt;&gt;"pvp",Inputs!$B$44&gt;0),(((R2004-1)*(Skills!Y21*(1+Inputs!$B$34/100))+MIN((Skills!Y21*(1+Inputs!$B$34/100)),MAX(0,Inputs!$B$44-((R2004-1)*Skills!D21))))/Inputs!$B$44),IF(Inputs!$B$39="pvp",MIN((Skills!Y21*(1+Inputs!$B$34/100)),15)/15,(Skills!Y21*(1+Inputs!$B$34/100))/Skills!D21)))+((C2011=TRUE)*(F2011-Calc!F28))+((C2001=TRUE)*(F2001-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1998=TRUE)*F1998*IF(AND(Inputs!$B$39&lt;&gt;"pvp",Inputs!$B$44&gt;0),(((R1998-1)*(Skills!Y15*(1+Inputs!$B$34/100))+MIN((Skills!Y15*(1+Inputs!$B$34/100)),MAX(0,Inputs!$B$44-((R1998-1)*Skills!D15))))/Inputs!$B$44),IF(Inputs!$B$39="pvp",MIN((Skills!Y15*(1+Inputs!$B$34/100)),15)/15,(Skills!Y15*(1+Inputs!$B$34/100))/Skills!D15)))/100)*(1+((C1989=TRUE)*F1989*B2017)/100))*B2025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1991)</f>
        <v/>
      </c>
      <c r="L1991">
        <f>K1991*(MIN(Inputs!$B$22+((C2007=TRUE)*(F2007-Calc!F24)),(Inputs!$B$23+0+(IF(ArtifactsInput!$M$15,CHOOSE(ArtifactsInput!$N$15+1,25,30,35,40,45,50)/100*(Inputs!$B$11-Inputs!$B$11),0))))/100+(Inputs!$B$23+0+(IF(ArtifactsInput!$M$15,CHOOSE(ArtifactsInput!$N$15+1,25,30,35,40,45,50)/100*(Inputs!$B$11-Inputs!$B$11),0)))/100)/2</f>
        <v/>
      </c>
      <c r="M1991">
        <f>L1991*(1+(Inputs!$B$10+((C2009=TRUE)*(F2009-Calc!F26))+B2026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91">
        <f>L1991*(1-MIN((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1991*(MIN((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91">
        <f>(1-Summary!$B$11)*T1991+Summary!$B$11*V1991</f>
        <v/>
      </c>
      <c r="P1991">
        <f>IF(B2027=0,0,O1991/B2027)</f>
        <v/>
      </c>
      <c r="Q1991">
        <f>IFERROR(1/IF(Inputs!$B$39="pvp",15,MAX(0.1,Skills!D8-IF(Skills!E8=TRUE,Inputs!$B$32,0))),0)</f>
        <v/>
      </c>
      <c r="R1991">
        <f>IF(AND(Inputs!$B$39&lt;&gt;"pvp",Inputs!$B$44&gt;0),IF(MAX(0,Inputs!$B$44-B2028)&lt;=0,0,(INT(MAX(0,Inputs!$B$44-B2028)/IF(Inputs!$B$39="pvp",15,MAX(0.1,Skills!D8-IF(Skills!E8=TRUE,Inputs!$B$32,0))))+1)),0)</f>
        <v/>
      </c>
      <c r="S1991">
        <f>IFERROR(O1991/N1991,0)</f>
        <v/>
      </c>
      <c r="T1991">
        <f>IF(C1991,(H1991*N1991*IF(AND(Inputs!$B$39&lt;&gt;"pvp",Inputs!$B$44&gt;0),((Skills!G8*((R1991-1)*IF(Skills!H8&gt;0,Skills!I8/Skills!H8,1)+IF(Skills!H8&gt;0,MIN(Skills!I8,MAX(0,MAX(0,Inputs!$B$44-B2028)-((R1991-1)*IF(Inputs!$B$39="pvp",15,MAX(0.1,Skills!D8-IF(Skills!E8=TRUE,Inputs!$B$32,0))))))/Skills!H8,1)))/Inputs!$B$44),G1991*Q1991))*IF(Inputs!$B$39="pvp",1,1+(Inputs!$B$20+((C2010=TRUE)*(F2010-Calc!F27))+Skills!P8+B2024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Hunt"),CHOOSE(ArtifactsInput!$N$35+1,15,18,21,24,27,30)*(1-EXP(-(0.2*B2019)*5)),0)+IF(AND(ArtifactsInput!$M$22,Inputs!$B$4&lt;&gt;"Chapter Hunt"),CHOOSE(ArtifactsInput!$N$22+1,10,12,14,16,18,20)*((0*(((0.15*B2019*5))^0/1)+1*(((0.15*B2019*5))^1/1)+2*(((0.15*B2019*5))^2/2)+3*(((0.15*B2019*5))^3/6)+4*(((0.15*B2019*5))^4/24)+5*(((0.15*B2019*5))^5/120))/((((0.15*B2019*5))^0/1)+(((0.15*B2019*5))^1/1)+(((0.15*B2019*5))^2/2)+(((0.15*B2019*5))^3/6)+(((0.15*B2019*5))^4/24)+(((0.15*B2019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1991*(1-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1991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1991*(1-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1991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91">
        <f>IF(C1991,(H1991*N1991*IF(AND(Inputs!$B$39&lt;&gt;"pvp",Inputs!$B$44&gt;0),((Skills!G8*((R1991-1)*IF(Skills!H8&gt;0,Skills!I8/Skills!H8,1)+IF(Skills!H8&gt;0,MIN(Skills!I8,MAX(0,MAX(0,Inputs!$B$44-B2028)-((R1991-1)*IF(Inputs!$B$39="pvp",15,MAX(0.1,Skills!D8-IF(Skills!E8=TRUE,Inputs!$B$32,0))))))/Skills!H8,1)))/Inputs!$B$44),G1991*Q1991))*IF(Inputs!$B$39="pvp",1,(1+(Inputs!$B$21+Skills!Q8+B2024+(IF(ArtifactsInput!$M$33,CHOOSE(ArtifactsInput!$N$33+1,30,36,42,48,54,60),0))+(IF(AND(ArtifactsInput!$M$35,Inputs!$B$4&lt;&gt;"Chapter Hunt"),CHOOSE(ArtifactsInput!$N$35+1,15,18,21,24,27,30)*(1-EXP(-(0.2*B2019)*5)),0)+IF(AND(ArtifactsInput!$M$22,Inputs!$B$4&lt;&gt;"Chapter Hunt"),CHOOSE(ArtifactsInput!$N$22+1,10,12,14,16,18,20)*((0*(((0.15*B2019*5))^0/1)+1*(((0.15*B2019*5))^1/1)+2*(((0.15*B2019*5))^2/2)+3*(((0.15*B2019*5))^3/6)+4*(((0.15*B2019*5))^4/24)+5*(((0.15*B2019*5))^5/120))/((((0.15*B2019*5))^0/1)+(((0.15*B2019*5))^1/1)+(((0.15*B2019*5))^2/2)+(((0.15*B2019*5))^3/6)+(((0.15*B2019*5))^4/24)+(((0.15*B2019*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92">
      <c r="A1992">
        <f>Skills!A9</f>
        <v/>
      </c>
      <c r="B1992">
        <f>Skills!B9</f>
        <v/>
      </c>
      <c r="C1992">
        <f>Inputs!$B$3&gt;=72</f>
        <v/>
      </c>
      <c r="D1992">
        <f>IF(Skills!C9=1,60+Inputs!$B$25+Inputs!$B$29,IF(Skills!C9=2,90+Inputs!$B$26+Inputs!$B$29,IF(Skills!C9=3,120+Inputs!$B$27+Inputs!$B$29,MAX(0,(Inputs!$B$3-100)*3)+Inputs!$B$28+Inputs!$B$29)))</f>
        <v/>
      </c>
      <c r="E1992">
        <f>INDEX(FactorTable!$B$2:$Y$301, MATCH(ROUND(MIN(300,MAX(1,D1992)),0), FactorTable!$A$2:$A$301,0), Skills!M9+1)</f>
        <v/>
      </c>
      <c r="F1992">
        <f>IF(Skills!N9=TRUE,(Skills!L9/10)*(E1992/1000),Skills!L9/10)+Skills!O9</f>
        <v/>
      </c>
      <c r="G1992">
        <f>Calc!G9</f>
        <v/>
      </c>
      <c r="H1992">
        <f>Calc!H9</f>
        <v/>
      </c>
      <c r="I1992">
        <f>IF(Skills!AA9&lt;&gt;"",1+(Skills!AA9/10)*(U1986/1000)/100,1)</f>
        <v/>
      </c>
      <c r="J1992">
        <f>((Inputs!$B$6*(1+Inputs!$B$7/100))+(((Inputs!$B$12*(1+Inputs!$B$13/100))-(Inputs!$B$12*(1+Inputs!$B$13/100)))+0.25*(Inputs!$B$14-Inputs!$B$14))*(1+Inputs!$B$7/100))*(F1992/100)</f>
        <v/>
      </c>
      <c r="K1992">
        <f>J1992*(1+((Inputs!$B$12*(1+Inputs!$B$13/100))*0.01+Inputs!$B$14*0.0025)/100)*(1+Inputs!$B$15/100)*(1+Inputs!$B$16/100)*(5000/(6000+Inputs!$B$43*(1-(100*(1-(1-(Inputs!$B$19+0)/100)*(1-CHOOSE(ArtifactsInput!$N$40+1,5,6,7,8,9,10)/100)^(ArtifactsInput!$M$40-ArtifactsInput!$M$40)))/100)))*(1+(Inputs!$B$24+((C2013=TRUE)*(F2013-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2006=TRUE)*(F2006-Calc!F23))+(((IF(AND(ArtifactsInput!$M$42,((Inputs!$B$9+((C2008=TRUE)*(F2008-Calc!F25))+B2023+(ArtifactsInput!$M$24-ArtifactsInput!$M$24)*CHOOSE(ArtifactsInput!$N$24+1,10,12,14,16,18,20)+IF(ArtifactsInput!$M$10,CHOOSE(ArtifactsInput!$N$10+1,15,18,21,24,27,30)*(IF(Inputs!$B$39="pvp",MIN(15,15)/15,IF(AND(Inputs!$B$39&lt;&gt;"pvp",Inputs!$B$44&gt;0),MIN(15,Inputs!$B$44)/(Inputs!$B$44),0))),0)))&gt;=100),MIN(100,((Inputs!$B$9+((C2008=TRUE)*(F2008-Calc!F25))+B2023+(ArtifactsInput!$M$24-ArtifactsInput!$M$24)*CHOOSE(ArtifactsInput!$N$24+1,10,12,14,16,18,20)+IF(ArtifactsInput!$M$10,CHOOSE(ArtifactsInput!$N$10+1,15,18,21,24,27,30)*(IF(Inputs!$B$39="pvp",MIN(15,15)/15,IF(AND(Inputs!$B$39&lt;&gt;"pvp",Inputs!$B$44&gt;0),MIN(15,Inputs!$B$44)/(Inputs!$B$44),0))),0)))-100),0))*CHOOSE(ArtifactsInput!$N$42+1,0.6,0.72,0.84,0.96,1.08,1.2))),Inputs!$B$18+((C2012=TRUE)*(F2012-Calc!F29))+(IF(AND(ArtifactsInput!$M$42,((Inputs!$B$9+((C2008=TRUE)*(F2008-Calc!F25))+B2023+(ArtifactsInput!$M$24-ArtifactsInput!$M$24)*CHOOSE(ArtifactsInput!$N$24+1,10,12,14,16,18,20)+IF(ArtifactsInput!$M$10,CHOOSE(ArtifactsInput!$N$10+1,15,18,21,24,27,30)*(IF(Inputs!$B$39="pvp",MIN(15,15)/15,IF(AND(Inputs!$B$39&lt;&gt;"pvp",Inputs!$B$44&gt;0),MIN(15,Inputs!$B$44)/(Inputs!$B$44),0))),0)))&gt;=100),CHOOSE(ArtifactsInput!$N$42+1,40,48,56,64,72,80),0))))/100)*(((1+(((C2004=TRUE)*F2004*IF(AND(Inputs!$B$39&lt;&gt;"pvp",Inputs!$B$44&gt;0),(((R2004-1)*(Skills!Y21*(1+Inputs!$B$34/100))+MIN((Skills!Y21*(1+Inputs!$B$34/100)),MAX(0,Inputs!$B$44-((R2004-1)*Skills!D21))))/Inputs!$B$44),IF(Inputs!$B$39="pvp",MIN((Skills!Y21*(1+Inputs!$B$34/100)),15)/15,(Skills!Y21*(1+Inputs!$B$34/100))/Skills!D21)))+((C2011=TRUE)*(F2011-Calc!F28))+((C2001=TRUE)*(F2001-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1998=TRUE)*F1998*IF(AND(Inputs!$B$39&lt;&gt;"pvp",Inputs!$B$44&gt;0),(((R1998-1)*(Skills!Y15*(1+Inputs!$B$34/100))+MIN((Skills!Y15*(1+Inputs!$B$34/100)),MAX(0,Inputs!$B$44-((R1998-1)*Skills!D15))))/Inputs!$B$44),IF(Inputs!$B$39="pvp",MIN((Skills!Y15*(1+Inputs!$B$34/100)),15)/15,(Skills!Y15*(1+Inputs!$B$34/100))/Skills!D15)))/100)*(1+((C1989=TRUE)*F1989*B2017)/100))*B2025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1992)</f>
        <v/>
      </c>
      <c r="L1992">
        <f>K1992*(MIN(Inputs!$B$22+((C2007=TRUE)*(F2007-Calc!F24)),(Inputs!$B$23+0+(IF(ArtifactsInput!$M$15,CHOOSE(ArtifactsInput!$N$15+1,25,30,35,40,45,50)/100*(Inputs!$B$11-Inputs!$B$11),0))))/100+(Inputs!$B$23+0+(IF(ArtifactsInput!$M$15,CHOOSE(ArtifactsInput!$N$15+1,25,30,35,40,45,50)/100*(Inputs!$B$11-Inputs!$B$11),0)))/100)/2</f>
        <v/>
      </c>
      <c r="M1992">
        <f>L1992*(1+(Inputs!$B$10+((C2009=TRUE)*(F2009-Calc!F26))+B2026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92">
        <f>L1992*(1-MIN((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1992*(MIN((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92">
        <f>(1-Summary!$B$11)*T1992+Summary!$B$11*V1992</f>
        <v/>
      </c>
      <c r="P1992">
        <f>IF(B2027=0,0,O1992/B2027)</f>
        <v/>
      </c>
      <c r="Q1992">
        <f>IFERROR(1/IF(Inputs!$B$39="pvp",15,MAX(0.1,Skills!D9-IF(Skills!E9=TRUE,Inputs!$B$32,0))),0)</f>
        <v/>
      </c>
      <c r="R1992">
        <f>IF(AND(Inputs!$B$39&lt;&gt;"pvp",Inputs!$B$44&gt;0),IF(MAX(0,Inputs!$B$44-B2028)&lt;=0,0,(INT(MAX(0,Inputs!$B$44-B2028)/IF(Inputs!$B$39="pvp",15,MAX(0.1,Skills!D9-IF(Skills!E9=TRUE,Inputs!$B$32,0))))+1)),0)</f>
        <v/>
      </c>
      <c r="S1992">
        <f>IFERROR(O1992/N1992,0)</f>
        <v/>
      </c>
      <c r="T1992">
        <f>IF(C1992,(H1992*N1992*IF(AND(Inputs!$B$39&lt;&gt;"pvp",Inputs!$B$44&gt;0),((Skills!G9*((R1992-1)*IF(Skills!H9&gt;0,Skills!I9/Skills!H9,1)+IF(Skills!H9&gt;0,MIN(Skills!I9,MAX(0,MAX(0,Inputs!$B$44-B2028)-((R1992-1)*IF(Inputs!$B$39="pvp",15,MAX(0.1,Skills!D9-IF(Skills!E9=TRUE,Inputs!$B$32,0))))))/Skills!H9,1)))/Inputs!$B$44),G1992*Q1992))*IF(Inputs!$B$39="pvp",1,1+(Inputs!$B$20+((C2010=TRUE)*(F2010-Calc!F27))+Skills!P9+B2024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Hunt"),CHOOSE(ArtifactsInput!$N$35+1,15,18,21,24,27,30)*(1-EXP(-(0.2*B2019)*5)),0)+IF(AND(ArtifactsInput!$M$22,Inputs!$B$4&lt;&gt;"Chapter Hunt"),CHOOSE(ArtifactsInput!$N$22+1,10,12,14,16,18,20)*((0*(((0.15*B2019*5))^0/1)+1*(((0.15*B2019*5))^1/1)+2*(((0.15*B2019*5))^2/2)+3*(((0.15*B2019*5))^3/6)+4*(((0.15*B2019*5))^4/24)+5*(((0.15*B2019*5))^5/120))/((((0.15*B2019*5))^0/1)+(((0.15*B2019*5))^1/1)+(((0.15*B2019*5))^2/2)+(((0.15*B2019*5))^3/6)+(((0.15*B2019*5))^4/24)+(((0.15*B2019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1992*(1-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1992*(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1992*(1-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1992*(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92">
        <f>IF(C1992,(H1992*N1992*IF(AND(Inputs!$B$39&lt;&gt;"pvp",Inputs!$B$44&gt;0),((Skills!G9*((R1992-1)*IF(Skills!H9&gt;0,Skills!I9/Skills!H9,1)+IF(Skills!H9&gt;0,MIN(Skills!I9,MAX(0,MAX(0,Inputs!$B$44-B2028)-((R1992-1)*IF(Inputs!$B$39="pvp",15,MAX(0.1,Skills!D9-IF(Skills!E9=TRUE,Inputs!$B$32,0))))))/Skills!H9,1)))/Inputs!$B$44),G1992*Q1992))*IF(Inputs!$B$39="pvp",1,(1+(Inputs!$B$21+Skills!Q9+B2024+(IF(ArtifactsInput!$M$33,CHOOSE(ArtifactsInput!$N$33+1,30,36,42,48,54,60),0))+(IF(AND(ArtifactsInput!$M$35,Inputs!$B$4&lt;&gt;"Chapter Hunt"),CHOOSE(ArtifactsInput!$N$35+1,15,18,21,24,27,30)*(1-EXP(-(0.2*B2019)*5)),0)+IF(AND(ArtifactsInput!$M$22,Inputs!$B$4&lt;&gt;"Chapter Hunt"),CHOOSE(ArtifactsInput!$N$22+1,10,12,14,16,18,20)*((0*(((0.15*B2019*5))^0/1)+1*(((0.15*B2019*5))^1/1)+2*(((0.15*B2019*5))^2/2)+3*(((0.15*B2019*5))^3/6)+4*(((0.15*B2019*5))^4/24)+5*(((0.15*B2019*5))^5/120))/((((0.15*B2019*5))^0/1)+(((0.15*B2019*5))^1/1)+(((0.15*B2019*5))^2/2)+(((0.15*B2019*5))^3/6)+(((0.15*B2019*5))^4/24)+(((0.15*B2019*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93">
      <c r="A1993">
        <f>Skills!A10</f>
        <v/>
      </c>
      <c r="B1993">
        <f>Skills!B10</f>
        <v/>
      </c>
      <c r="C1993">
        <f>Inputs!$B$3&gt;=117</f>
        <v/>
      </c>
      <c r="D1993">
        <f>IF(Skills!C10=1,60+Inputs!$B$25+Inputs!$B$29,IF(Skills!C10=2,90+Inputs!$B$26+Inputs!$B$29,IF(Skills!C10=3,120+Inputs!$B$27+Inputs!$B$29,MAX(0,(Inputs!$B$3-100)*3)+Inputs!$B$28+Inputs!$B$29)))</f>
        <v/>
      </c>
      <c r="E1993">
        <f>INDEX(FactorTable!$B$2:$Y$301, MATCH(ROUND(MIN(300,MAX(1,D1993)),0), FactorTable!$A$2:$A$301,0), Skills!M10+1)</f>
        <v/>
      </c>
      <c r="F1993">
        <f>IF(Skills!N10=TRUE,(Skills!L10/10)*(E1993/1000),Skills!L10/10)+Skills!O10</f>
        <v/>
      </c>
      <c r="G1993">
        <f>Calc!G10</f>
        <v/>
      </c>
      <c r="H1993">
        <f>Calc!H10</f>
        <v/>
      </c>
      <c r="I1993">
        <f>IF(Skills!AA10&lt;&gt;"",1+(Skills!AA10/10)*(U1986/1000)/100,1)</f>
        <v/>
      </c>
      <c r="J1993">
        <f>((Inputs!$B$6*(1+Inputs!$B$7/100))+(((Inputs!$B$12*(1+Inputs!$B$13/100))-(Inputs!$B$12*(1+Inputs!$B$13/100)))+0.25*(Inputs!$B$14-Inputs!$B$14))*(1+Inputs!$B$7/100))*(F1993/100)</f>
        <v/>
      </c>
      <c r="K1993">
        <f>J1993*(1+((Inputs!$B$12*(1+Inputs!$B$13/100))*0.01+Inputs!$B$14*0.0025)/100)*(1+Inputs!$B$15/100)*(1+Inputs!$B$16/100)*(5000/(6000+Inputs!$B$43*(1-(100*(1-(1-(Inputs!$B$19+0)/100)*(1-CHOOSE(ArtifactsInput!$N$40+1,5,6,7,8,9,10)/100)^(ArtifactsInput!$M$40-ArtifactsInput!$M$40)))/100)))*(1+(Inputs!$B$24+((C2013=TRUE)*(F2013-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2006=TRUE)*(F2006-Calc!F23))+(((IF(AND(ArtifactsInput!$M$42,((Inputs!$B$9+((C2008=TRUE)*(F2008-Calc!F25))+B2023+(ArtifactsInput!$M$24-ArtifactsInput!$M$24)*CHOOSE(ArtifactsInput!$N$24+1,10,12,14,16,18,20)+IF(ArtifactsInput!$M$10,CHOOSE(ArtifactsInput!$N$10+1,15,18,21,24,27,30)*(IF(Inputs!$B$39="pvp",MIN(15,15)/15,IF(AND(Inputs!$B$39&lt;&gt;"pvp",Inputs!$B$44&gt;0),MIN(15,Inputs!$B$44)/(Inputs!$B$44),0))),0)))&gt;=100),MIN(100,((Inputs!$B$9+((C2008=TRUE)*(F2008-Calc!F25))+B2023+(ArtifactsInput!$M$24-ArtifactsInput!$M$24)*CHOOSE(ArtifactsInput!$N$24+1,10,12,14,16,18,20)+IF(ArtifactsInput!$M$10,CHOOSE(ArtifactsInput!$N$10+1,15,18,21,24,27,30)*(IF(Inputs!$B$39="pvp",MIN(15,15)/15,IF(AND(Inputs!$B$39&lt;&gt;"pvp",Inputs!$B$44&gt;0),MIN(15,Inputs!$B$44)/(Inputs!$B$44),0))),0)))-100),0))*CHOOSE(ArtifactsInput!$N$42+1,0.6,0.72,0.84,0.96,1.08,1.2))),Inputs!$B$18+((C2012=TRUE)*(F2012-Calc!F29))+(IF(AND(ArtifactsInput!$M$42,((Inputs!$B$9+((C2008=TRUE)*(F2008-Calc!F25))+B2023+(ArtifactsInput!$M$24-ArtifactsInput!$M$24)*CHOOSE(ArtifactsInput!$N$24+1,10,12,14,16,18,20)+IF(ArtifactsInput!$M$10,CHOOSE(ArtifactsInput!$N$10+1,15,18,21,24,27,30)*(IF(Inputs!$B$39="pvp",MIN(15,15)/15,IF(AND(Inputs!$B$39&lt;&gt;"pvp",Inputs!$B$44&gt;0),MIN(15,Inputs!$B$44)/(Inputs!$B$44),0))),0)))&gt;=100),CHOOSE(ArtifactsInput!$N$42+1,40,48,56,64,72,80),0))))/100)*(((1+(((C2004=TRUE)*F2004*IF(AND(Inputs!$B$39&lt;&gt;"pvp",Inputs!$B$44&gt;0),(((R2004-1)*(Skills!Y21*(1+Inputs!$B$34/100))+MIN((Skills!Y21*(1+Inputs!$B$34/100)),MAX(0,Inputs!$B$44-((R2004-1)*Skills!D21))))/Inputs!$B$44),IF(Inputs!$B$39="pvp",MIN((Skills!Y21*(1+Inputs!$B$34/100)),15)/15,(Skills!Y21*(1+Inputs!$B$34/100))/Skills!D21)))+((C2011=TRUE)*(F2011-Calc!F28))+((C2001=TRUE)*(F2001-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1998=TRUE)*F1998*IF(AND(Inputs!$B$39&lt;&gt;"pvp",Inputs!$B$44&gt;0),(((R1998-1)*(Skills!Y15*(1+Inputs!$B$34/100))+MIN((Skills!Y15*(1+Inputs!$B$34/100)),MAX(0,Inputs!$B$44-((R1998-1)*Skills!D15))))/Inputs!$B$44),IF(Inputs!$B$39="pvp",MIN((Skills!Y15*(1+Inputs!$B$34/100)),15)/15,(Skills!Y15*(1+Inputs!$B$34/100))/Skills!D15)))/100)*(1+((C1989=TRUE)*F1989*B2017)/100))*B2025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1993)</f>
        <v/>
      </c>
      <c r="L1993">
        <f>K1993*(MIN(Inputs!$B$22+((C2007=TRUE)*(F2007-Calc!F24)),(Inputs!$B$23+0+(IF(ArtifactsInput!$M$15,CHOOSE(ArtifactsInput!$N$15+1,25,30,35,40,45,50)/100*(Inputs!$B$11-Inputs!$B$11),0))))/100+(Inputs!$B$23+0+(IF(ArtifactsInput!$M$15,CHOOSE(ArtifactsInput!$N$15+1,25,30,35,40,45,50)/100*(Inputs!$B$11-Inputs!$B$11),0)))/100)/2</f>
        <v/>
      </c>
      <c r="M1993">
        <f>L1993*(1+(Inputs!$B$10+((C2009=TRUE)*(F2009-Calc!F26))+B2026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93">
        <f>L1993*(1-MIN((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1993*(MIN((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93">
        <f>(1-Summary!$B$11)*T1993+Summary!$B$11*V1993</f>
        <v/>
      </c>
      <c r="P1993">
        <f>IF(B2027=0,0,O1993/B2027)</f>
        <v/>
      </c>
      <c r="Q1993" t="n">
        <v>0</v>
      </c>
      <c r="R1993" t="n">
        <v>0</v>
      </c>
      <c r="S1993" t="n">
        <v>0</v>
      </c>
      <c r="T1993">
        <f>IF(C1993,(0.2*SUMPRODUCT((Skills!Z2:Z31=TRUE)*(C1985:C2014=TRUE)*S1985:S2014)*N1993)*IF(Inputs!$B$39="pvp",1,1+(Inputs!$B$20+((C2010=TRUE)*(F2010-Calc!F27))+Skills!P10+B2024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Hunt"),CHOOSE(ArtifactsInput!$N$35+1,15,18,21,24,27,30)*(1-EXP(-(0.2*B2019)*5)),0)+IF(AND(ArtifactsInput!$M$22,Inputs!$B$4&lt;&gt;"Chapter Hunt"),CHOOSE(ArtifactsInput!$N$22+1,10,12,14,16,18,20)*((0*(((0.15*B2019*5))^0/1)+1*(((0.15*B2019*5))^1/1)+2*(((0.15*B2019*5))^2/2)+3*(((0.15*B2019*5))^3/6)+4*(((0.15*B2019*5))^4/24)+5*(((0.15*B2019*5))^5/120))/((((0.15*B2019*5))^0/1)+(((0.15*B2019*5))^1/1)+(((0.15*B2019*5))^2/2)+(((0.15*B2019*5))^3/6)+(((0.15*B2019*5))^4/24)+(((0.15*B2019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1993*(1-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1993*(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1993*(1-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1993*(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93">
        <f>IF(C1993,(0.2*SUMPRODUCT((Skills!Z2:Z31=TRUE)*(C1985:C2014=TRUE)*S1985:S2014)*N1993)*IF(Inputs!$B$39="pvp",1,(1+(Inputs!$B$21+Skills!Q10+B2024+(IF(ArtifactsInput!$M$33,CHOOSE(ArtifactsInput!$N$33+1,30,36,42,48,54,60),0))+(IF(AND(ArtifactsInput!$M$35,Inputs!$B$4&lt;&gt;"Chapter Hunt"),CHOOSE(ArtifactsInput!$N$35+1,15,18,21,24,27,30)*(1-EXP(-(0.2*B2019)*5)),0)+IF(AND(ArtifactsInput!$M$22,Inputs!$B$4&lt;&gt;"Chapter Hunt"),CHOOSE(ArtifactsInput!$N$22+1,10,12,14,16,18,20)*((0*(((0.15*B2019*5))^0/1)+1*(((0.15*B2019*5))^1/1)+2*(((0.15*B2019*5))^2/2)+3*(((0.15*B2019*5))^3/6)+4*(((0.15*B2019*5))^4/24)+5*(((0.15*B2019*5))^5/120))/((((0.15*B2019*5))^0/1)+(((0.15*B2019*5))^1/1)+(((0.15*B2019*5))^2/2)+(((0.15*B2019*5))^3/6)+(((0.15*B2019*5))^4/24)+(((0.15*B2019*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94">
      <c r="A1994">
        <f>Skills!A11</f>
        <v/>
      </c>
      <c r="B1994">
        <f>Skills!B11</f>
        <v/>
      </c>
      <c r="C1994">
        <f>Inputs!$B$3&gt;=60</f>
        <v/>
      </c>
      <c r="D1994">
        <f>IF(Skills!C11=1,60+Inputs!$B$25+Inputs!$B$29,IF(Skills!C11=2,90+Inputs!$B$26+Inputs!$B$29,IF(Skills!C11=3,120+Inputs!$B$27+Inputs!$B$29,MAX(0,(Inputs!$B$3-100)*3)+Inputs!$B$28+Inputs!$B$29)))</f>
        <v/>
      </c>
      <c r="E1994">
        <f>INDEX(FactorTable!$B$2:$Y$301, MATCH(ROUND(MIN(300,MAX(1,D1994)),0), FactorTable!$A$2:$A$301,0), Skills!M11+1)</f>
        <v/>
      </c>
      <c r="F1994">
        <f>IF(Skills!N11=TRUE,(Skills!L11/10)*(E1994/1000),Skills!L11/10)+Skills!O11</f>
        <v/>
      </c>
      <c r="G1994">
        <f>Calc!G11</f>
        <v/>
      </c>
      <c r="H1994">
        <f>Calc!H11</f>
        <v/>
      </c>
      <c r="I1994">
        <f>IF(Skills!AA11&lt;&gt;"",1+(Skills!AA11/10)*(U1986/1000)/100,1)</f>
        <v/>
      </c>
      <c r="J1994" t="inlineStr"/>
      <c r="K1994" t="inlineStr"/>
      <c r="L1994" t="inlineStr"/>
      <c r="M1994" t="inlineStr"/>
      <c r="N1994" t="inlineStr"/>
      <c r="O1994">
        <f>(1-Summary!$B$11)*T1994+Summary!$B$11*V1994</f>
        <v/>
      </c>
      <c r="P1994">
        <f>IF(B2027=0,0,O1994/B2027)</f>
        <v/>
      </c>
      <c r="Q1994" t="n">
        <v>0</v>
      </c>
      <c r="R1994" t="n">
        <v>0</v>
      </c>
      <c r="S1994">
        <f>IFERROR(O1994/N1994,0)</f>
        <v/>
      </c>
      <c r="T1994" t="n">
        <v>0</v>
      </c>
      <c r="V1994" t="n">
        <v>0</v>
      </c>
    </row>
    <row r="1995">
      <c r="A1995">
        <f>Skills!A12</f>
        <v/>
      </c>
      <c r="B1995">
        <f>Skills!B12</f>
        <v/>
      </c>
      <c r="C1995">
        <f>Inputs!$B$3&gt;=103</f>
        <v/>
      </c>
      <c r="D1995">
        <f>IF(Skills!C12=1,60+Inputs!$B$25+Inputs!$B$29,IF(Skills!C12=2,90+Inputs!$B$26+Inputs!$B$29,IF(Skills!C12=3,120+Inputs!$B$27+Inputs!$B$29,MAX(0,(Inputs!$B$3-100)*3)+Inputs!$B$28+Inputs!$B$29)))</f>
        <v/>
      </c>
      <c r="E1995">
        <f>INDEX(FactorTable!$B$2:$Y$301, MATCH(ROUND(MIN(300,MAX(1,D1995)),0), FactorTable!$A$2:$A$301,0), Skills!M12+1)</f>
        <v/>
      </c>
      <c r="F1995">
        <f>IF(Skills!N12=TRUE,(Skills!L12/10)*(E1995/1000),Skills!L12/10)+Skills!O12</f>
        <v/>
      </c>
      <c r="G1995">
        <f>Calc!G12</f>
        <v/>
      </c>
      <c r="H1995">
        <f>Calc!H12</f>
        <v/>
      </c>
      <c r="I1995">
        <f>IF(Skills!AA12&lt;&gt;"",1+(Skills!AA12/10)*(U1986/1000)/100,1)</f>
        <v/>
      </c>
      <c r="J1995">
        <f>((Inputs!$B$6*(1+Inputs!$B$7/100))+(((Inputs!$B$12*(1+Inputs!$B$13/100))-(Inputs!$B$12*(1+Inputs!$B$13/100)))+0.25*(Inputs!$B$14-Inputs!$B$14))*(1+Inputs!$B$7/100))*(F1995/100)</f>
        <v/>
      </c>
      <c r="K1995">
        <f>J1995*(1+((Inputs!$B$12*(1+Inputs!$B$13/100))*0.01+Inputs!$B$14*0.0025)/100)*(1+Inputs!$B$15/100)*(1+Inputs!$B$16/100)*(5000/(6000+Inputs!$B$43*(1-(100*(1-(1-(Inputs!$B$19+0)/100)*(1-CHOOSE(ArtifactsInput!$N$40+1,5,6,7,8,9,10)/100)^(ArtifactsInput!$M$40-ArtifactsInput!$M$40)))/100)))*(1+(Inputs!$B$24+((C2013=TRUE)*(F2013-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2006=TRUE)*(F2006-Calc!F23))+(((IF(AND(ArtifactsInput!$M$42,((Inputs!$B$9+((C2008=TRUE)*(F2008-Calc!F25))+B2023+(ArtifactsInput!$M$24-ArtifactsInput!$M$24)*CHOOSE(ArtifactsInput!$N$24+1,10,12,14,16,18,20)+IF(ArtifactsInput!$M$10,CHOOSE(ArtifactsInput!$N$10+1,15,18,21,24,27,30)*(IF(Inputs!$B$39="pvp",MIN(15,15)/15,IF(AND(Inputs!$B$39&lt;&gt;"pvp",Inputs!$B$44&gt;0),MIN(15,Inputs!$B$44)/(Inputs!$B$44),0))),0)))&gt;=100),MIN(100,((Inputs!$B$9+((C2008=TRUE)*(F2008-Calc!F25))+B2023+(ArtifactsInput!$M$24-ArtifactsInput!$M$24)*CHOOSE(ArtifactsInput!$N$24+1,10,12,14,16,18,20)+IF(ArtifactsInput!$M$10,CHOOSE(ArtifactsInput!$N$10+1,15,18,21,24,27,30)*(IF(Inputs!$B$39="pvp",MIN(15,15)/15,IF(AND(Inputs!$B$39&lt;&gt;"pvp",Inputs!$B$44&gt;0),MIN(15,Inputs!$B$44)/(Inputs!$B$44),0))),0)))-100),0))*CHOOSE(ArtifactsInput!$N$42+1,0.6,0.72,0.84,0.96,1.08,1.2))),Inputs!$B$18+((C2012=TRUE)*(F2012-Calc!F29))+(IF(AND(ArtifactsInput!$M$42,((Inputs!$B$9+((C2008=TRUE)*(F2008-Calc!F25))+B2023+(ArtifactsInput!$M$24-ArtifactsInput!$M$24)*CHOOSE(ArtifactsInput!$N$24+1,10,12,14,16,18,20)+IF(ArtifactsInput!$M$10,CHOOSE(ArtifactsInput!$N$10+1,15,18,21,24,27,30)*(IF(Inputs!$B$39="pvp",MIN(15,15)/15,IF(AND(Inputs!$B$39&lt;&gt;"pvp",Inputs!$B$44&gt;0),MIN(15,Inputs!$B$44)/(Inputs!$B$44),0))),0)))&gt;=100),CHOOSE(ArtifactsInput!$N$42+1,40,48,56,64,72,80),0))))/100)*(((1+(((C2004=TRUE)*F2004*IF(AND(Inputs!$B$39&lt;&gt;"pvp",Inputs!$B$44&gt;0),(((R2004-1)*(Skills!Y21*(1+Inputs!$B$34/100))+MIN((Skills!Y21*(1+Inputs!$B$34/100)),MAX(0,Inputs!$B$44-((R2004-1)*Skills!D21))))/Inputs!$B$44),IF(Inputs!$B$39="pvp",MIN((Skills!Y21*(1+Inputs!$B$34/100)),15)/15,(Skills!Y21*(1+Inputs!$B$34/100))/Skills!D21)))+((C2011=TRUE)*(F2011-Calc!F28))+((C2001=TRUE)*(F2001-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1998=TRUE)*F1998*IF(AND(Inputs!$B$39&lt;&gt;"pvp",Inputs!$B$44&gt;0),(((R1998-1)*(Skills!Y15*(1+Inputs!$B$34/100))+MIN((Skills!Y15*(1+Inputs!$B$34/100)),MAX(0,Inputs!$B$44-((R1998-1)*Skills!D15))))/Inputs!$B$44),IF(Inputs!$B$39="pvp",MIN((Skills!Y15*(1+Inputs!$B$34/100)),15)/15,(Skills!Y15*(1+Inputs!$B$34/100))/Skills!D15)))/100)*(1+((C1989=TRUE)*F1989*B2017)/100))*B2025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1995)</f>
        <v/>
      </c>
      <c r="L1995">
        <f>K1995*(MIN(Inputs!$B$22+((C2007=TRUE)*(F2007-Calc!F24)),(Inputs!$B$23+0+(IF(ArtifactsInput!$M$15,CHOOSE(ArtifactsInput!$N$15+1,25,30,35,40,45,50)/100*(Inputs!$B$11-Inputs!$B$11),0))))/100+(Inputs!$B$23+0+(IF(ArtifactsInput!$M$15,CHOOSE(ArtifactsInput!$N$15+1,25,30,35,40,45,50)/100*(Inputs!$B$11-Inputs!$B$11),0)))/100)/2</f>
        <v/>
      </c>
      <c r="M1995">
        <f>L1995*(1+(Inputs!$B$10+((C2009=TRUE)*(F2009-Calc!F26))+B2026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95">
        <f>L1995*(1-MIN((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1995*(MIN((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95">
        <f>(1-Summary!$B$11)*T1995+Summary!$B$11*V1995</f>
        <v/>
      </c>
      <c r="P1995">
        <f>IF(B2027=0,0,O1995/B2027)</f>
        <v/>
      </c>
      <c r="Q1995">
        <f>IFERROR(1/IF(Inputs!$B$39="pvp",15,MAX(0.1,Skills!D12-IF(Skills!E12=TRUE,Inputs!$B$32,0))),0)</f>
        <v/>
      </c>
      <c r="R1995">
        <f>IF(AND(Inputs!$B$39&lt;&gt;"pvp",Inputs!$B$44&gt;0),IF(MAX(0,Inputs!$B$44-B2028)&lt;=0,0,(INT(MAX(0,Inputs!$B$44-B2028)/IF(Inputs!$B$39="pvp",15,MAX(0.1,Skills!D12-IF(Skills!E12=TRUE,Inputs!$B$32,0))))+1)),0)</f>
        <v/>
      </c>
      <c r="S1995">
        <f>IFERROR(O1995/N1995,0)</f>
        <v/>
      </c>
      <c r="T1995">
        <f>IF(C1995,(H1995*N1995*IF(AND(Inputs!$B$39&lt;&gt;"pvp",Inputs!$B$44&gt;0),((Skills!G12*((R1995-1)*IF(Skills!H12&gt;0,Skills!I12/Skills!H12,1)+IF(Skills!H12&gt;0,MIN(Skills!I12,MAX(0,MAX(0,Inputs!$B$44-B2028)-((R1995-1)*IF(Inputs!$B$39="pvp",15,MAX(0.1,Skills!D12-IF(Skills!E12=TRUE,Inputs!$B$32,0))))))/Skills!H12,1)))/Inputs!$B$44),G1995*Q1995))*IF(Inputs!$B$39="pvp",1,1+(Inputs!$B$20+((C2010=TRUE)*(F2010-Calc!F27))+Skills!P12+B2024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Hunt"),CHOOSE(ArtifactsInput!$N$35+1,15,18,21,24,27,30)*(1-EXP(-(0.2*B2019)*5)),0)+IF(AND(ArtifactsInput!$M$22,Inputs!$B$4&lt;&gt;"Chapter Hunt"),CHOOSE(ArtifactsInput!$N$22+1,10,12,14,16,18,20)*((0*(((0.15*B2019*5))^0/1)+1*(((0.15*B2019*5))^1/1)+2*(((0.15*B2019*5))^2/2)+3*(((0.15*B2019*5))^3/6)+4*(((0.15*B2019*5))^4/24)+5*(((0.15*B2019*5))^5/120))/((((0.15*B2019*5))^0/1)+(((0.15*B2019*5))^1/1)+(((0.15*B2019*5))^2/2)+(((0.15*B2019*5))^3/6)+(((0.15*B2019*5))^4/24)+(((0.15*B2019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1995*(1-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1995*(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1995*(1-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1995*(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95">
        <f>IF(C1995,(H1995*N1995*IF(AND(Inputs!$B$39&lt;&gt;"pvp",Inputs!$B$44&gt;0),((Skills!G12*((R1995-1)*IF(Skills!H12&gt;0,Skills!I12/Skills!H12,1)+IF(Skills!H12&gt;0,MIN(Skills!I12,MAX(0,MAX(0,Inputs!$B$44-B2028)-((R1995-1)*IF(Inputs!$B$39="pvp",15,MAX(0.1,Skills!D12-IF(Skills!E12=TRUE,Inputs!$B$32,0))))))/Skills!H12,1)))/Inputs!$B$44),G1995*Q1995))*IF(Inputs!$B$39="pvp",1,(1+(Inputs!$B$21+Skills!Q12+B2024+(IF(ArtifactsInput!$M$33,CHOOSE(ArtifactsInput!$N$33+1,30,36,42,48,54,60),0))+(IF(AND(ArtifactsInput!$M$35,Inputs!$B$4&lt;&gt;"Chapter Hunt"),CHOOSE(ArtifactsInput!$N$35+1,15,18,21,24,27,30)*(1-EXP(-(0.2*B2019)*5)),0)+IF(AND(ArtifactsInput!$M$22,Inputs!$B$4&lt;&gt;"Chapter Hunt"),CHOOSE(ArtifactsInput!$N$22+1,10,12,14,16,18,20)*((0*(((0.15*B2019*5))^0/1)+1*(((0.15*B2019*5))^1/1)+2*(((0.15*B2019*5))^2/2)+3*(((0.15*B2019*5))^3/6)+4*(((0.15*B2019*5))^4/24)+5*(((0.15*B2019*5))^5/120))/((((0.15*B2019*5))^0/1)+(((0.15*B2019*5))^1/1)+(((0.15*B2019*5))^2/2)+(((0.15*B2019*5))^3/6)+(((0.15*B2019*5))^4/24)+(((0.15*B2019*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96">
      <c r="A1996">
        <f>Skills!A13</f>
        <v/>
      </c>
      <c r="B1996">
        <f>Skills!B13</f>
        <v/>
      </c>
      <c r="C1996">
        <f>Inputs!$B$3&gt;=105</f>
        <v/>
      </c>
      <c r="D1996">
        <f>IF(Skills!C13=1,60+Inputs!$B$25+Inputs!$B$29,IF(Skills!C13=2,90+Inputs!$B$26+Inputs!$B$29,IF(Skills!C13=3,120+Inputs!$B$27+Inputs!$B$29,MAX(0,(Inputs!$B$3-100)*3)+Inputs!$B$28+Inputs!$B$29)))</f>
        <v/>
      </c>
      <c r="E1996">
        <f>INDEX(FactorTable!$B$2:$Y$301, MATCH(ROUND(MIN(300,MAX(1,D1996)),0), FactorTable!$A$2:$A$301,0), Skills!M13+1)</f>
        <v/>
      </c>
      <c r="F1996">
        <f>IF(Skills!N13=TRUE,(Skills!L13/10)*(E1996/1000),Skills!L13/10)+Skills!O13</f>
        <v/>
      </c>
      <c r="G1996">
        <f>Calc!G13</f>
        <v/>
      </c>
      <c r="H1996">
        <f>Calc!H13</f>
        <v/>
      </c>
      <c r="I1996">
        <f>IF(Skills!AA13&lt;&gt;"",1+(Skills!AA13/10)*(U1986/1000)/100,1)</f>
        <v/>
      </c>
      <c r="J1996">
        <f>((Inputs!$B$6*(1+Inputs!$B$7/100))+(((Inputs!$B$12*(1+Inputs!$B$13/100))-(Inputs!$B$12*(1+Inputs!$B$13/100)))+0.25*(Inputs!$B$14-Inputs!$B$14))*(1+Inputs!$B$7/100))*(F1996/100)</f>
        <v/>
      </c>
      <c r="K1996">
        <f>J1996*(1+((Inputs!$B$12*(1+Inputs!$B$13/100))*0.01+Inputs!$B$14*0.0025)/100)*(1+Inputs!$B$15/100)*(1+Inputs!$B$16/100)*(5000/(6000+Inputs!$B$43*(1-(100*(1-(1-(Inputs!$B$19+0)/100)*(1-CHOOSE(ArtifactsInput!$N$40+1,5,6,7,8,9,10)/100)^(ArtifactsInput!$M$40-ArtifactsInput!$M$40)))/100)))*(1+(Inputs!$B$24+((C2013=TRUE)*(F2013-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2006=TRUE)*(F2006-Calc!F23))+(((IF(AND(ArtifactsInput!$M$42,((Inputs!$B$9+((C2008=TRUE)*(F2008-Calc!F25))+B2023+(ArtifactsInput!$M$24-ArtifactsInput!$M$24)*CHOOSE(ArtifactsInput!$N$24+1,10,12,14,16,18,20)+IF(ArtifactsInput!$M$10,CHOOSE(ArtifactsInput!$N$10+1,15,18,21,24,27,30)*(IF(Inputs!$B$39="pvp",MIN(15,15)/15,IF(AND(Inputs!$B$39&lt;&gt;"pvp",Inputs!$B$44&gt;0),MIN(15,Inputs!$B$44)/(Inputs!$B$44),0))),0)))&gt;=100),MIN(100,((Inputs!$B$9+((C2008=TRUE)*(F2008-Calc!F25))+B2023+(ArtifactsInput!$M$24-ArtifactsInput!$M$24)*CHOOSE(ArtifactsInput!$N$24+1,10,12,14,16,18,20)+IF(ArtifactsInput!$M$10,CHOOSE(ArtifactsInput!$N$10+1,15,18,21,24,27,30)*(IF(Inputs!$B$39="pvp",MIN(15,15)/15,IF(AND(Inputs!$B$39&lt;&gt;"pvp",Inputs!$B$44&gt;0),MIN(15,Inputs!$B$44)/(Inputs!$B$44),0))),0)))-100),0))*CHOOSE(ArtifactsInput!$N$42+1,0.6,0.72,0.84,0.96,1.08,1.2))),Inputs!$B$18+((C2012=TRUE)*(F2012-Calc!F29))+(IF(AND(ArtifactsInput!$M$42,((Inputs!$B$9+((C2008=TRUE)*(F2008-Calc!F25))+B2023+(ArtifactsInput!$M$24-ArtifactsInput!$M$24)*CHOOSE(ArtifactsInput!$N$24+1,10,12,14,16,18,20)+IF(ArtifactsInput!$M$10,CHOOSE(ArtifactsInput!$N$10+1,15,18,21,24,27,30)*(IF(Inputs!$B$39="pvp",MIN(15,15)/15,IF(AND(Inputs!$B$39&lt;&gt;"pvp",Inputs!$B$44&gt;0),MIN(15,Inputs!$B$44)/(Inputs!$B$44),0))),0)))&gt;=100),CHOOSE(ArtifactsInput!$N$42+1,40,48,56,64,72,80),0))))/100)*(((1+(((C2004=TRUE)*F2004*IF(AND(Inputs!$B$39&lt;&gt;"pvp",Inputs!$B$44&gt;0),(((R2004-1)*(Skills!Y21*(1+Inputs!$B$34/100))+MIN((Skills!Y21*(1+Inputs!$B$34/100)),MAX(0,Inputs!$B$44-((R2004-1)*Skills!D21))))/Inputs!$B$44),IF(Inputs!$B$39="pvp",MIN((Skills!Y21*(1+Inputs!$B$34/100)),15)/15,(Skills!Y21*(1+Inputs!$B$34/100))/Skills!D21)))+((C2011=TRUE)*(F2011-Calc!F28))+((C2001=TRUE)*(F2001-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1998=TRUE)*F1998*IF(AND(Inputs!$B$39&lt;&gt;"pvp",Inputs!$B$44&gt;0),(((R1998-1)*(Skills!Y15*(1+Inputs!$B$34/100))+MIN((Skills!Y15*(1+Inputs!$B$34/100)),MAX(0,Inputs!$B$44-((R1998-1)*Skills!D15))))/Inputs!$B$44),IF(Inputs!$B$39="pvp",MIN((Skills!Y15*(1+Inputs!$B$34/100)),15)/15,(Skills!Y15*(1+Inputs!$B$34/100))/Skills!D15)))/100)*(1+((C1989=TRUE)*F1989*B2017)/100))*B2025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1996)</f>
        <v/>
      </c>
      <c r="L1996">
        <f>K1996*(MIN(Inputs!$B$22+((C2007=TRUE)*(F2007-Calc!F24)),(Inputs!$B$23+0+(IF(ArtifactsInput!$M$15,CHOOSE(ArtifactsInput!$N$15+1,25,30,35,40,45,50)/100*(Inputs!$B$11-Inputs!$B$11),0))))/100+(Inputs!$B$23+0+(IF(ArtifactsInput!$M$15,CHOOSE(ArtifactsInput!$N$15+1,25,30,35,40,45,50)/100*(Inputs!$B$11-Inputs!$B$11),0)))/100)/2</f>
        <v/>
      </c>
      <c r="M1996">
        <f>L1996*(1+(Inputs!$B$10+((C2009=TRUE)*(F2009-Calc!F26))+B2026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96">
        <f>L1996*(1-MIN((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1996*(MIN((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96">
        <f>(1-Summary!$B$11)*T1996+Summary!$B$11*V1996</f>
        <v/>
      </c>
      <c r="P1996">
        <f>IF(B2027=0,0,O1996/B2027)</f>
        <v/>
      </c>
      <c r="Q1996">
        <f>IFERROR(1/IF(Inputs!$B$39="pvp",15,MAX(0.1,Skills!D13-IF(Skills!E13=TRUE,Inputs!$B$32,0))),0)</f>
        <v/>
      </c>
      <c r="R1996">
        <f>IF(AND(Inputs!$B$39&lt;&gt;"pvp",Inputs!$B$44&gt;0),IF(MAX(0,Inputs!$B$44-B2028)&lt;=0,0,(INT(MAX(0,Inputs!$B$44-B2028)/IF(Inputs!$B$39="pvp",15,MAX(0.1,Skills!D13-IF(Skills!E13=TRUE,Inputs!$B$32,0))))+1)),0)</f>
        <v/>
      </c>
      <c r="S1996">
        <f>IFERROR(O1996/N1996,0)</f>
        <v/>
      </c>
      <c r="T1996">
        <f>IF(C1996,(H1996*N1996*IF(AND(Inputs!$B$39&lt;&gt;"pvp",Inputs!$B$44&gt;0),((Skills!G13*((R1996-1)*IF(Skills!H13&gt;0,Skills!I13/Skills!H13,1)+IF(Skills!H13&gt;0,MIN(Skills!I13,MAX(0,MAX(0,Inputs!$B$44-B2028)-((R1996-1)*IF(Inputs!$B$39="pvp",15,MAX(0.1,Skills!D13-IF(Skills!E13=TRUE,Inputs!$B$32,0))))))/Skills!H13,1)))/Inputs!$B$44),G1996*Q1996))*IF(Inputs!$B$39="pvp",1,1+(Inputs!$B$20+((C2010=TRUE)*(F2010-Calc!F27))+Skills!P13+B2024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Hunt"),CHOOSE(ArtifactsInput!$N$35+1,15,18,21,24,27,30)*(1-EXP(-(0.2*B2019)*5)),0)+IF(AND(ArtifactsInput!$M$22,Inputs!$B$4&lt;&gt;"Chapter Hunt"),CHOOSE(ArtifactsInput!$N$22+1,10,12,14,16,18,20)*((0*(((0.15*B2019*5))^0/1)+1*(((0.15*B2019*5))^1/1)+2*(((0.15*B2019*5))^2/2)+3*(((0.15*B2019*5))^3/6)+4*(((0.15*B2019*5))^4/24)+5*(((0.15*B2019*5))^5/120))/((((0.15*B2019*5))^0/1)+(((0.15*B2019*5))^1/1)+(((0.15*B2019*5))^2/2)+(((0.15*B2019*5))^3/6)+(((0.15*B2019*5))^4/24)+(((0.15*B2019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1996*(1-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1996*(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1996*(1-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1996*(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96">
        <f>IF(C1996,(H1996*N1996*IF(AND(Inputs!$B$39&lt;&gt;"pvp",Inputs!$B$44&gt;0),((Skills!G13*((R1996-1)*IF(Skills!H13&gt;0,Skills!I13/Skills!H13,1)+IF(Skills!H13&gt;0,MIN(Skills!I13,MAX(0,MAX(0,Inputs!$B$44-B2028)-((R1996-1)*IF(Inputs!$B$39="pvp",15,MAX(0.1,Skills!D13-IF(Skills!E13=TRUE,Inputs!$B$32,0))))))/Skills!H13,1)))/Inputs!$B$44),G1996*Q1996))*IF(Inputs!$B$39="pvp",1,(1+(Inputs!$B$21+Skills!Q13+B2024+(IF(ArtifactsInput!$M$33,CHOOSE(ArtifactsInput!$N$33+1,30,36,42,48,54,60),0))+(IF(AND(ArtifactsInput!$M$35,Inputs!$B$4&lt;&gt;"Chapter Hunt"),CHOOSE(ArtifactsInput!$N$35+1,15,18,21,24,27,30)*(1-EXP(-(0.2*B2019)*5)),0)+IF(AND(ArtifactsInput!$M$22,Inputs!$B$4&lt;&gt;"Chapter Hunt"),CHOOSE(ArtifactsInput!$N$22+1,10,12,14,16,18,20)*((0*(((0.15*B2019*5))^0/1)+1*(((0.15*B2019*5))^1/1)+2*(((0.15*B2019*5))^2/2)+3*(((0.15*B2019*5))^3/6)+4*(((0.15*B2019*5))^4/24)+5*(((0.15*B2019*5))^5/120))/((((0.15*B2019*5))^0/1)+(((0.15*B2019*5))^1/1)+(((0.15*B2019*5))^2/2)+(((0.15*B2019*5))^3/6)+(((0.15*B2019*5))^4/24)+(((0.15*B2019*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97">
      <c r="A1997">
        <f>Skills!A14</f>
        <v/>
      </c>
      <c r="B1997">
        <f>Skills!B14</f>
        <v/>
      </c>
      <c r="C1997">
        <f>Inputs!$B$3&gt;=105</f>
        <v/>
      </c>
      <c r="D1997">
        <f>IF(Skills!C14=1,60+Inputs!$B$25+Inputs!$B$29,IF(Skills!C14=2,90+Inputs!$B$26+Inputs!$B$29,IF(Skills!C14=3,120+Inputs!$B$27+Inputs!$B$29,MAX(0,(Inputs!$B$3-100)*3)+Inputs!$B$28+Inputs!$B$29)))</f>
        <v/>
      </c>
      <c r="E1997">
        <f>INDEX(FactorTable!$B$2:$Y$301, MATCH(ROUND(MIN(300,MAX(1,D1997)),0), FactorTable!$A$2:$A$301,0), Skills!M14+1)</f>
        <v/>
      </c>
      <c r="F1997">
        <f>IF(Skills!N14=TRUE,(Skills!L14/10)*(E1997/1000),Skills!L14/10)+Skills!O14</f>
        <v/>
      </c>
      <c r="G1997">
        <f>Calc!G14</f>
        <v/>
      </c>
      <c r="H1997">
        <f>Calc!H14</f>
        <v/>
      </c>
      <c r="I1997">
        <f>IF(Skills!AA14&lt;&gt;"",1+(Skills!AA14/10)*(U1986/1000)/100,1)</f>
        <v/>
      </c>
      <c r="J1997">
        <f>((Inputs!$B$6*(1+Inputs!$B$7/100))+(((Inputs!$B$12*(1+Inputs!$B$13/100))-(Inputs!$B$12*(1+Inputs!$B$13/100)))+0.25*(Inputs!$B$14-Inputs!$B$14))*(1+Inputs!$B$7/100))*(F1997/100)</f>
        <v/>
      </c>
      <c r="K1997">
        <f>J1997*(1+((Inputs!$B$12*(1+Inputs!$B$13/100))*0.01+Inputs!$B$14*0.0025)/100)*(1+Inputs!$B$15/100)*(1+Inputs!$B$16/100)*(5000/(6000+Inputs!$B$43*(1-(100*(1-(1-(Inputs!$B$19+0)/100)*(1-CHOOSE(ArtifactsInput!$N$40+1,5,6,7,8,9,10)/100)^(ArtifactsInput!$M$40-ArtifactsInput!$M$40)))/100)))*(1+(Inputs!$B$24+((C2013=TRUE)*(F2013-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2006=TRUE)*(F2006-Calc!F23))+(((IF(AND(ArtifactsInput!$M$42,((Inputs!$B$9+((C2008=TRUE)*(F2008-Calc!F25))+B2023+(ArtifactsInput!$M$24-ArtifactsInput!$M$24)*CHOOSE(ArtifactsInput!$N$24+1,10,12,14,16,18,20)+IF(ArtifactsInput!$M$10,CHOOSE(ArtifactsInput!$N$10+1,15,18,21,24,27,30)*(IF(Inputs!$B$39="pvp",MIN(15,15)/15,IF(AND(Inputs!$B$39&lt;&gt;"pvp",Inputs!$B$44&gt;0),MIN(15,Inputs!$B$44)/(Inputs!$B$44),0))),0)))&gt;=100),MIN(100,((Inputs!$B$9+((C2008=TRUE)*(F2008-Calc!F25))+B2023+(ArtifactsInput!$M$24-ArtifactsInput!$M$24)*CHOOSE(ArtifactsInput!$N$24+1,10,12,14,16,18,20)+IF(ArtifactsInput!$M$10,CHOOSE(ArtifactsInput!$N$10+1,15,18,21,24,27,30)*(IF(Inputs!$B$39="pvp",MIN(15,15)/15,IF(AND(Inputs!$B$39&lt;&gt;"pvp",Inputs!$B$44&gt;0),MIN(15,Inputs!$B$44)/(Inputs!$B$44),0))),0)))-100),0))*CHOOSE(ArtifactsInput!$N$42+1,0.6,0.72,0.84,0.96,1.08,1.2))),Inputs!$B$18+((C2012=TRUE)*(F2012-Calc!F29))+(IF(AND(ArtifactsInput!$M$42,((Inputs!$B$9+((C2008=TRUE)*(F2008-Calc!F25))+B2023+(ArtifactsInput!$M$24-ArtifactsInput!$M$24)*CHOOSE(ArtifactsInput!$N$24+1,10,12,14,16,18,20)+IF(ArtifactsInput!$M$10,CHOOSE(ArtifactsInput!$N$10+1,15,18,21,24,27,30)*(IF(Inputs!$B$39="pvp",MIN(15,15)/15,IF(AND(Inputs!$B$39&lt;&gt;"pvp",Inputs!$B$44&gt;0),MIN(15,Inputs!$B$44)/(Inputs!$B$44),0))),0)))&gt;=100),CHOOSE(ArtifactsInput!$N$42+1,40,48,56,64,72,80),0))))/100)*(((1+(((C2004=TRUE)*F2004*IF(AND(Inputs!$B$39&lt;&gt;"pvp",Inputs!$B$44&gt;0),(((R2004-1)*(Skills!Y21*(1+Inputs!$B$34/100))+MIN((Skills!Y21*(1+Inputs!$B$34/100)),MAX(0,Inputs!$B$44-((R2004-1)*Skills!D21))))/Inputs!$B$44),IF(Inputs!$B$39="pvp",MIN((Skills!Y21*(1+Inputs!$B$34/100)),15)/15,(Skills!Y21*(1+Inputs!$B$34/100))/Skills!D21)))+((C2011=TRUE)*(F2011-Calc!F28))+((C2001=TRUE)*(F2001-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1998=TRUE)*F1998*IF(AND(Inputs!$B$39&lt;&gt;"pvp",Inputs!$B$44&gt;0),(((R1998-1)*(Skills!Y15*(1+Inputs!$B$34/100))+MIN((Skills!Y15*(1+Inputs!$B$34/100)),MAX(0,Inputs!$B$44-((R1998-1)*Skills!D15))))/Inputs!$B$44),IF(Inputs!$B$39="pvp",MIN((Skills!Y15*(1+Inputs!$B$34/100)),15)/15,(Skills!Y15*(1+Inputs!$B$34/100))/Skills!D15)))/100)*(1+((C1989=TRUE)*F1989*B2017)/100))*B2025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1997)</f>
        <v/>
      </c>
      <c r="L1997">
        <f>K1997*(MIN(Inputs!$B$22+((C2007=TRUE)*(F2007-Calc!F24)),(Inputs!$B$23+0+(IF(ArtifactsInput!$M$15,CHOOSE(ArtifactsInput!$N$15+1,25,30,35,40,45,50)/100*(Inputs!$B$11-Inputs!$B$11),0))))/100+(Inputs!$B$23+0+(IF(ArtifactsInput!$M$15,CHOOSE(ArtifactsInput!$N$15+1,25,30,35,40,45,50)/100*(Inputs!$B$11-Inputs!$B$11),0)))/100)/2</f>
        <v/>
      </c>
      <c r="M1997">
        <f>L1997*(1+(Inputs!$B$10+((C2009=TRUE)*(F2009-Calc!F26))+B2026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97">
        <f>L1997*(1-MIN((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1997*(MIN((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97">
        <f>(1-Summary!$B$11)*T1997+Summary!$B$11*V1997</f>
        <v/>
      </c>
      <c r="P1997">
        <f>IF(B2027=0,0,O1997/B2027)</f>
        <v/>
      </c>
      <c r="Q1997">
        <f>IFERROR(1/IF(Inputs!$B$39="pvp",15,MAX(0.1,Skills!D14-IF(Skills!E14=TRUE,Inputs!$B$32,0))),0)</f>
        <v/>
      </c>
      <c r="R1997">
        <f>IF(AND(Inputs!$B$39&lt;&gt;"pvp",Inputs!$B$44&gt;0),IF(MAX(0,Inputs!$B$44-B2028)&lt;=0,0,(INT(MAX(0,Inputs!$B$44-B2028)/IF(Inputs!$B$39="pvp",15,MAX(0.1,Skills!D14-IF(Skills!E14=TRUE,Inputs!$B$32,0))))+1)),0)</f>
        <v/>
      </c>
      <c r="S1997">
        <f>IFERROR(O1997/N1997,0)</f>
        <v/>
      </c>
      <c r="T1997">
        <f>IF(C1997,(H1997*N1997*IF(AND(Inputs!$B$39&lt;&gt;"pvp",Inputs!$B$44&gt;0),((Skills!G14*((R1997-1)*IF(Skills!H14&gt;0,Skills!I14/Skills!H14,1)+IF(Skills!H14&gt;0,MIN(Skills!I14,MAX(0,MAX(0,Inputs!$B$44-B2028)-((R1997-1)*IF(Inputs!$B$39="pvp",15,MAX(0.1,Skills!D14-IF(Skills!E14=TRUE,Inputs!$B$32,0))))))/Skills!H14,1)))/Inputs!$B$44),G1997*Q1997))*IF(Inputs!$B$39="pvp",1,1+(Inputs!$B$20+((C2010=TRUE)*(F2010-Calc!F27))+Skills!P14+B2024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Hunt"),CHOOSE(ArtifactsInput!$N$35+1,15,18,21,24,27,30)*(1-EXP(-(0.2*B2019)*5)),0)+IF(AND(ArtifactsInput!$M$22,Inputs!$B$4&lt;&gt;"Chapter Hunt"),CHOOSE(ArtifactsInput!$N$22+1,10,12,14,16,18,20)*((0*(((0.15*B2019*5))^0/1)+1*(((0.15*B2019*5))^1/1)+2*(((0.15*B2019*5))^2/2)+3*(((0.15*B2019*5))^3/6)+4*(((0.15*B2019*5))^4/24)+5*(((0.15*B2019*5))^5/120))/((((0.15*B2019*5))^0/1)+(((0.15*B2019*5))^1/1)+(((0.15*B2019*5))^2/2)+(((0.15*B2019*5))^3/6)+(((0.15*B2019*5))^4/24)+(((0.15*B2019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1997*(1-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1997*(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1997*(1-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1997*(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97">
        <f>IF(C1997,(H1997*N1997*IF(AND(Inputs!$B$39&lt;&gt;"pvp",Inputs!$B$44&gt;0),((Skills!G14*((R1997-1)*IF(Skills!H14&gt;0,Skills!I14/Skills!H14,1)+IF(Skills!H14&gt;0,MIN(Skills!I14,MAX(0,MAX(0,Inputs!$B$44-B2028)-((R1997-1)*IF(Inputs!$B$39="pvp",15,MAX(0.1,Skills!D14-IF(Skills!E14=TRUE,Inputs!$B$32,0))))))/Skills!H14,1)))/Inputs!$B$44),G1997*Q1997))*IF(Inputs!$B$39="pvp",1,(1+(Inputs!$B$21+Skills!Q14+B2024+(IF(ArtifactsInput!$M$33,CHOOSE(ArtifactsInput!$N$33+1,30,36,42,48,54,60),0))+(IF(AND(ArtifactsInput!$M$35,Inputs!$B$4&lt;&gt;"Chapter Hunt"),CHOOSE(ArtifactsInput!$N$35+1,15,18,21,24,27,30)*(1-EXP(-(0.2*B2019)*5)),0)+IF(AND(ArtifactsInput!$M$22,Inputs!$B$4&lt;&gt;"Chapter Hunt"),CHOOSE(ArtifactsInput!$N$22+1,10,12,14,16,18,20)*((0*(((0.15*B2019*5))^0/1)+1*(((0.15*B2019*5))^1/1)+2*(((0.15*B2019*5))^2/2)+3*(((0.15*B2019*5))^3/6)+4*(((0.15*B2019*5))^4/24)+5*(((0.15*B2019*5))^5/120))/((((0.15*B2019*5))^0/1)+(((0.15*B2019*5))^1/1)+(((0.15*B2019*5))^2/2)+(((0.15*B2019*5))^3/6)+(((0.15*B2019*5))^4/24)+(((0.15*B2019*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98">
      <c r="A1998">
        <f>Skills!A15</f>
        <v/>
      </c>
      <c r="B1998">
        <f>Skills!B15</f>
        <v/>
      </c>
      <c r="C1998">
        <f>Inputs!$B$3&gt;=110</f>
        <v/>
      </c>
      <c r="D1998">
        <f>IF(Skills!C15=1,60+Inputs!$B$25+Inputs!$B$29,IF(Skills!C15=2,90+Inputs!$B$26+Inputs!$B$29,IF(Skills!C15=3,120+Inputs!$B$27+Inputs!$B$29,MAX(0,(Inputs!$B$3-100)*3)+Inputs!$B$28+Inputs!$B$29)))</f>
        <v/>
      </c>
      <c r="E1998">
        <f>INDEX(FactorTable!$B$2:$Y$301, MATCH(ROUND(MIN(300,MAX(1,D1998)),0), FactorTable!$A$2:$A$301,0), Skills!M15+1)</f>
        <v/>
      </c>
      <c r="F1998">
        <f>IF(Skills!N15=TRUE,(Skills!L15/10)*(E1998/1000),Skills!L15/10)+Skills!O15</f>
        <v/>
      </c>
      <c r="G1998">
        <f>Calc!G15</f>
        <v/>
      </c>
      <c r="H1998">
        <f>Calc!H15</f>
        <v/>
      </c>
      <c r="I1998">
        <f>IF(Skills!AA15&lt;&gt;"",1+(Skills!AA15/10)*(U1986/1000)/100,1)</f>
        <v/>
      </c>
      <c r="J1998" t="inlineStr"/>
      <c r="K1998" t="inlineStr"/>
      <c r="L1998" t="inlineStr"/>
      <c r="M1998" t="inlineStr"/>
      <c r="N1998" t="inlineStr"/>
      <c r="O1998">
        <f>(1-Summary!$B$11)*T1998+Summary!$B$11*V1998</f>
        <v/>
      </c>
      <c r="P1998">
        <f>IF(B2027=0,0,O1998/B2027)</f>
        <v/>
      </c>
      <c r="Q1998">
        <f>IFERROR(1/IF(Inputs!$B$39="pvp",15,MAX(0.1,Skills!D15-IF(Skills!E15=TRUE,Inputs!$B$32,0))),0)</f>
        <v/>
      </c>
      <c r="R1998">
        <f>IF(AND(Inputs!$B$39&lt;&gt;"pvp",Inputs!$B$44&gt;0),IF(Inputs!$B$44&lt;=0,0,(INT(Inputs!$B$44/IF(Inputs!$B$39="pvp",15,MAX(0.1,Skills!D15-IF(Skills!E15=TRUE,Inputs!$B$32,0))))+1)),0)</f>
        <v/>
      </c>
      <c r="S1998">
        <f>IFERROR(O1998/N1998,0)</f>
        <v/>
      </c>
      <c r="T1998" t="n">
        <v>0</v>
      </c>
      <c r="V1998" t="n">
        <v>0</v>
      </c>
    </row>
    <row r="1999">
      <c r="A1999">
        <f>Skills!A16</f>
        <v/>
      </c>
      <c r="B1999">
        <f>Skills!B16</f>
        <v/>
      </c>
      <c r="C1999">
        <f>Inputs!$B$3&gt;=110</f>
        <v/>
      </c>
      <c r="D1999">
        <f>IF(Skills!C16=1,60+Inputs!$B$25+Inputs!$B$29,IF(Skills!C16=2,90+Inputs!$B$26+Inputs!$B$29,IF(Skills!C16=3,120+Inputs!$B$27+Inputs!$B$29,MAX(0,(Inputs!$B$3-100)*3)+Inputs!$B$28+Inputs!$B$29)))</f>
        <v/>
      </c>
      <c r="E1999">
        <f>INDEX(FactorTable!$B$2:$Y$301, MATCH(ROUND(MIN(300,MAX(1,D1999)),0), FactorTable!$A$2:$A$301,0), Skills!M16+1)</f>
        <v/>
      </c>
      <c r="F1999">
        <f>IF(Skills!N16=TRUE,(Skills!L16/10)*(E1999/1000),Skills!L16/10)+Skills!O16</f>
        <v/>
      </c>
      <c r="G1999">
        <f>Calc!G16</f>
        <v/>
      </c>
      <c r="H1999">
        <f>Calc!H16</f>
        <v/>
      </c>
      <c r="I1999">
        <f>IF(Skills!AA16&lt;&gt;"",1+(Skills!AA16/10)*(U1986/1000)/100,1)</f>
        <v/>
      </c>
      <c r="J1999" t="inlineStr"/>
      <c r="K1999" t="inlineStr"/>
      <c r="L1999" t="inlineStr"/>
      <c r="M1999" t="inlineStr"/>
      <c r="N1999" t="inlineStr"/>
      <c r="O1999">
        <f>(1-Summary!$B$11)*T1999+Summary!$B$11*V1999</f>
        <v/>
      </c>
      <c r="P1999">
        <f>IF(B2027=0,0,O1999/B2027)</f>
        <v/>
      </c>
      <c r="Q1999">
        <f>IFERROR(1/IF(Inputs!$B$39="pvp",15,MAX(0.1,Skills!D16-IF(Skills!E16=TRUE,Inputs!$B$32,0))),0)</f>
        <v/>
      </c>
      <c r="R1999">
        <f>IF(AND(Inputs!$B$39&lt;&gt;"pvp",Inputs!$B$44&gt;0),IF(Inputs!$B$44&lt;=0,0,(INT(Inputs!$B$44/IF(Inputs!$B$39="pvp",15,MAX(0.1,Skills!D16-IF(Skills!E16=TRUE,Inputs!$B$32,0))))+1)),0)</f>
        <v/>
      </c>
      <c r="S1999">
        <f>IFERROR(O1999/N1999,0)</f>
        <v/>
      </c>
      <c r="T1999" t="n">
        <v>0</v>
      </c>
      <c r="V1999" t="n">
        <v>0</v>
      </c>
    </row>
    <row r="2000">
      <c r="A2000">
        <f>Skills!A17</f>
        <v/>
      </c>
      <c r="B2000">
        <f>Skills!B17</f>
        <v/>
      </c>
      <c r="C2000">
        <f>Inputs!$B$3&gt;=115</f>
        <v/>
      </c>
      <c r="D2000">
        <f>IF(Skills!C17=1,60+Inputs!$B$25+Inputs!$B$29,IF(Skills!C17=2,90+Inputs!$B$26+Inputs!$B$29,IF(Skills!C17=3,120+Inputs!$B$27+Inputs!$B$29,MAX(0,(Inputs!$B$3-100)*3)+Inputs!$B$28+Inputs!$B$29)))</f>
        <v/>
      </c>
      <c r="E2000">
        <f>INDEX(FactorTable!$B$2:$Y$301, MATCH(ROUND(MIN(300,MAX(1,D2000)),0), FactorTable!$A$2:$A$301,0), Skills!M17+1)</f>
        <v/>
      </c>
      <c r="F2000">
        <f>IF(Skills!N17=TRUE,(Skills!L17/10)*(E2000/1000),Skills!L17/10)+Skills!O17</f>
        <v/>
      </c>
      <c r="G2000">
        <f>Calc!G17</f>
        <v/>
      </c>
      <c r="H2000">
        <f>Calc!H17</f>
        <v/>
      </c>
      <c r="I2000">
        <f>IF(Skills!AA17&lt;&gt;"",1+(Skills!AA17/10)*(U1986/1000)/100,1)</f>
        <v/>
      </c>
      <c r="J2000">
        <f>((Inputs!$B$6*(1+Inputs!$B$7/100))+(((Inputs!$B$12*(1+Inputs!$B$13/100))-(Inputs!$B$12*(1+Inputs!$B$13/100)))+0.25*(Inputs!$B$14-Inputs!$B$14))*(1+Inputs!$B$7/100))*(F2000/100)</f>
        <v/>
      </c>
      <c r="K2000">
        <f>J2000*(1+((Inputs!$B$12*(1+Inputs!$B$13/100))*0.01+Inputs!$B$14*0.0025)/100)*(1+Inputs!$B$15/100)*(1+Inputs!$B$16/100)*(5000/(6000+Inputs!$B$43*(1-(100*(1-(1-(Inputs!$B$19+0)/100)*(1-CHOOSE(ArtifactsInput!$N$40+1,5,6,7,8,9,10)/100)^(ArtifactsInput!$M$40-ArtifactsInput!$M$40)))/100)))*(1+(Inputs!$B$24+((C2013=TRUE)*(F2013-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2006=TRUE)*(F2006-Calc!F23))+(((IF(AND(ArtifactsInput!$M$42,((Inputs!$B$9+((C2008=TRUE)*(F2008-Calc!F25))+B2023+(ArtifactsInput!$M$24-ArtifactsInput!$M$24)*CHOOSE(ArtifactsInput!$N$24+1,10,12,14,16,18,20)+IF(ArtifactsInput!$M$10,CHOOSE(ArtifactsInput!$N$10+1,15,18,21,24,27,30)*(IF(Inputs!$B$39="pvp",MIN(15,15)/15,IF(AND(Inputs!$B$39&lt;&gt;"pvp",Inputs!$B$44&gt;0),MIN(15,Inputs!$B$44)/(Inputs!$B$44),0))),0)))&gt;=100),MIN(100,((Inputs!$B$9+((C2008=TRUE)*(F2008-Calc!F25))+B2023+(ArtifactsInput!$M$24-ArtifactsInput!$M$24)*CHOOSE(ArtifactsInput!$N$24+1,10,12,14,16,18,20)+IF(ArtifactsInput!$M$10,CHOOSE(ArtifactsInput!$N$10+1,15,18,21,24,27,30)*(IF(Inputs!$B$39="pvp",MIN(15,15)/15,IF(AND(Inputs!$B$39&lt;&gt;"pvp",Inputs!$B$44&gt;0),MIN(15,Inputs!$B$44)/(Inputs!$B$44),0))),0)))-100),0))*CHOOSE(ArtifactsInput!$N$42+1,0.6,0.72,0.84,0.96,1.08,1.2))),Inputs!$B$18+((C2012=TRUE)*(F2012-Calc!F29))+(IF(AND(ArtifactsInput!$M$42,((Inputs!$B$9+((C2008=TRUE)*(F2008-Calc!F25))+B2023+(ArtifactsInput!$M$24-ArtifactsInput!$M$24)*CHOOSE(ArtifactsInput!$N$24+1,10,12,14,16,18,20)+IF(ArtifactsInput!$M$10,CHOOSE(ArtifactsInput!$N$10+1,15,18,21,24,27,30)*(IF(Inputs!$B$39="pvp",MIN(15,15)/15,IF(AND(Inputs!$B$39&lt;&gt;"pvp",Inputs!$B$44&gt;0),MIN(15,Inputs!$B$44)/(Inputs!$B$44),0))),0)))&gt;=100),CHOOSE(ArtifactsInput!$N$42+1,40,48,56,64,72,80),0))))/100)*(((1+(((C2004=TRUE)*F2004*IF(AND(Inputs!$B$39&lt;&gt;"pvp",Inputs!$B$44&gt;0),(((R2004-1)*(Skills!Y21*(1+Inputs!$B$34/100))+MIN((Skills!Y21*(1+Inputs!$B$34/100)),MAX(0,Inputs!$B$44-((R2004-1)*Skills!D21))))/Inputs!$B$44),IF(Inputs!$B$39="pvp",MIN((Skills!Y21*(1+Inputs!$B$34/100)),15)/15,(Skills!Y21*(1+Inputs!$B$34/100))/Skills!D21)))+((C2011=TRUE)*(F2011-Calc!F28))+((C2001=TRUE)*(F2001-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1998=TRUE)*F1998*IF(AND(Inputs!$B$39&lt;&gt;"pvp",Inputs!$B$44&gt;0),(((R1998-1)*(Skills!Y15*(1+Inputs!$B$34/100))+MIN((Skills!Y15*(1+Inputs!$B$34/100)),MAX(0,Inputs!$B$44-((R1998-1)*Skills!D15))))/Inputs!$B$44),IF(Inputs!$B$39="pvp",MIN((Skills!Y15*(1+Inputs!$B$34/100)),15)/15,(Skills!Y15*(1+Inputs!$B$34/100))/Skills!D15)))/100)*(1+((C1989=TRUE)*F1989*B2017)/100))*B2025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2000)</f>
        <v/>
      </c>
      <c r="L2000">
        <f>K2000*(MIN(Inputs!$B$22+((C2007=TRUE)*(F2007-Calc!F24)),(Inputs!$B$23+0+(IF(ArtifactsInput!$M$15,CHOOSE(ArtifactsInput!$N$15+1,25,30,35,40,45,50)/100*(Inputs!$B$11-Inputs!$B$11),0))))/100+(Inputs!$B$23+0+(IF(ArtifactsInput!$M$15,CHOOSE(ArtifactsInput!$N$15+1,25,30,35,40,45,50)/100*(Inputs!$B$11-Inputs!$B$11),0)))/100)/2</f>
        <v/>
      </c>
      <c r="M2000">
        <f>L2000*(1+(Inputs!$B$10+((C2009=TRUE)*(F2009-Calc!F26))+B2026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00">
        <f>L2000*(1-MIN((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2000*(MIN((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00">
        <f>(1-Summary!$B$11)*T2000+Summary!$B$11*V2000</f>
        <v/>
      </c>
      <c r="P2000">
        <f>IF(B2027=0,0,O2000/B2027)</f>
        <v/>
      </c>
      <c r="Q2000" t="n">
        <v>0</v>
      </c>
      <c r="R2000" t="n">
        <v>0</v>
      </c>
      <c r="S2000">
        <f>IFERROR(O2000/N2000,0)</f>
        <v/>
      </c>
      <c r="T2000">
        <f>IF(C2000,(Inputs!$B$38*0.2*N2000)*IF(Inputs!$B$39="pvp",1,1+(Inputs!$B$20+((C2010=TRUE)*(F2010-Calc!F27))+Skills!P17+B2024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Hunt"),CHOOSE(ArtifactsInput!$N$35+1,15,18,21,24,27,30)*(1-EXP(-(0.2*B2019)*5)),0)+IF(AND(ArtifactsInput!$M$22,Inputs!$B$4&lt;&gt;"Chapter Hunt"),CHOOSE(ArtifactsInput!$N$22+1,10,12,14,16,18,20)*((0*(((0.15*B2019*5))^0/1)+1*(((0.15*B2019*5))^1/1)+2*(((0.15*B2019*5))^2/2)+3*(((0.15*B2019*5))^3/6)+4*(((0.15*B2019*5))^4/24)+5*(((0.15*B2019*5))^5/120))/((((0.15*B2019*5))^0/1)+(((0.15*B2019*5))^1/1)+(((0.15*B2019*5))^2/2)+(((0.15*B2019*5))^3/6)+(((0.15*B2019*5))^4/24)+(((0.15*B2019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2000*(1-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2000*(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2000*(1-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2000*(MIN(100,(Inputs!$B$9+((C2008=TRUE)*(F2008-Calc!F25))+B2023+(ArtifactsInput!$M$24-ArtifactsInput!$M$24)*CHOOSE(ArtifactsInput!$N$24+1,10,12,14,16,18,20)+(IF(AND(ArtifactsInput!$M$42,((Inputs!$B$9+((C2008=TRUE)*(F2008-Calc!F25))+B2023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00">
        <f>IF(C2000,(Inputs!$B$38*0.2*N2000)*IF(Inputs!$B$39="pvp",1,(1+(Inputs!$B$21+Skills!Q17+B2024+(IF(ArtifactsInput!$M$33,CHOOSE(ArtifactsInput!$N$33+1,30,36,42,48,54,60),0))+(IF(AND(ArtifactsInput!$M$35,Inputs!$B$4&lt;&gt;"Chapter Hunt"),CHOOSE(ArtifactsInput!$N$35+1,15,18,21,24,27,30)*(1-EXP(-(0.2*B2019)*5)),0)+IF(AND(ArtifactsInput!$M$22,Inputs!$B$4&lt;&gt;"Chapter Hunt"),CHOOSE(ArtifactsInput!$N$22+1,10,12,14,16,18,20)*((0*(((0.15*B2019*5))^0/1)+1*(((0.15*B2019*5))^1/1)+2*(((0.15*B2019*5))^2/2)+3*(((0.15*B2019*5))^3/6)+4*(((0.15*B2019*5))^4/24)+5*(((0.15*B2019*5))^5/120))/((((0.15*B2019*5))^0/1)+(((0.15*B2019*5))^1/1)+(((0.15*B2019*5))^2/2)+(((0.15*B2019*5))^3/6)+(((0.15*B2019*5))^4/24)+(((0.15*B2019*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01">
      <c r="A2001">
        <f>Skills!A18</f>
        <v/>
      </c>
      <c r="B2001">
        <f>Skills!B18</f>
        <v/>
      </c>
      <c r="C2001">
        <f>Inputs!$B$3&gt;=115</f>
        <v/>
      </c>
      <c r="D2001">
        <f>IF(Skills!C18=1,60+Inputs!$B$25+Inputs!$B$29,IF(Skills!C18=2,90+Inputs!$B$26+Inputs!$B$29,IF(Skills!C18=3,120+Inputs!$B$27+Inputs!$B$29,MAX(0,(Inputs!$B$3-100)*3)+Inputs!$B$28+Inputs!$B$29)))</f>
        <v/>
      </c>
      <c r="E2001">
        <f>INDEX(FactorTable!$B$2:$Y$301, MATCH(ROUND(MIN(300,MAX(1,D2001)),0), FactorTable!$A$2:$A$301,0), Skills!M18+1)</f>
        <v/>
      </c>
      <c r="F2001">
        <f>IF(Skills!N18=TRUE,(Skills!L18/10)*(E2001/1000),Skills!L18/10)+Skills!O18</f>
        <v/>
      </c>
      <c r="G2001">
        <f>Calc!G18</f>
        <v/>
      </c>
      <c r="H2001">
        <f>Calc!H18</f>
        <v/>
      </c>
      <c r="I2001">
        <f>IF(Skills!AA18&lt;&gt;"",1+(Skills!AA18/10)*(U1986/1000)/100,1)</f>
        <v/>
      </c>
      <c r="J2001" t="inlineStr"/>
      <c r="K2001" t="inlineStr"/>
      <c r="L2001" t="inlineStr"/>
      <c r="M2001" t="inlineStr"/>
      <c r="N2001" t="inlineStr"/>
      <c r="O2001">
        <f>(1-Summary!$B$11)*T2001+Summary!$B$11*V2001</f>
        <v/>
      </c>
      <c r="P2001">
        <f>IF(B2027=0,0,O2001/B2027)</f>
        <v/>
      </c>
      <c r="Q2001" t="n">
        <v>0</v>
      </c>
      <c r="R2001" t="n">
        <v>0</v>
      </c>
      <c r="S2001">
        <f>IFERROR(O2001/N2001,0)</f>
        <v/>
      </c>
      <c r="T2001" t="n">
        <v>0</v>
      </c>
      <c r="V2001" t="n">
        <v>0</v>
      </c>
    </row>
    <row r="2002">
      <c r="A2002">
        <f>Skills!A19</f>
        <v/>
      </c>
      <c r="B2002">
        <f>Skills!B19</f>
        <v/>
      </c>
      <c r="C2002">
        <f>TRUE</f>
        <v/>
      </c>
      <c r="D2002">
        <f>IF(Skills!C19=1,60+Inputs!$B$25+Inputs!$B$29,IF(Skills!C19=2,90+Inputs!$B$26+Inputs!$B$29,IF(Skills!C19=3,120+Inputs!$B$27+Inputs!$B$29,MAX(0,(Inputs!$B$3-100)*3)+Inputs!$B$28+Inputs!$B$29)))</f>
        <v/>
      </c>
      <c r="E2002">
        <f>INDEX(FactorTable!$B$2:$Y$301, MATCH(ROUND(MIN(300,MAX(1,D2002)),0), FactorTable!$A$2:$A$301,0), Skills!M19+1)</f>
        <v/>
      </c>
      <c r="F2002">
        <f>IF(Skills!N19=TRUE,(Skills!L19/10)*(E2002/1000),Skills!L19/10)+Skills!O19</f>
        <v/>
      </c>
      <c r="G2002">
        <f>Calc!G19</f>
        <v/>
      </c>
      <c r="H2002">
        <f>Calc!H19</f>
        <v/>
      </c>
      <c r="I2002">
        <f>IF(Skills!AA19&lt;&gt;"",1+(Skills!AA19/10)*(U1986/1000)/100,1)</f>
        <v/>
      </c>
      <c r="J2002" t="inlineStr"/>
      <c r="K2002" t="inlineStr"/>
      <c r="L2002" t="inlineStr"/>
      <c r="M2002" t="inlineStr"/>
      <c r="N2002" t="inlineStr"/>
      <c r="O2002">
        <f>(1-Summary!$B$11)*T2002+Summary!$B$11*V2002</f>
        <v/>
      </c>
      <c r="P2002">
        <f>IF(B2027=0,0,O2002/B2027)</f>
        <v/>
      </c>
      <c r="Q2002">
        <f>IFERROR(1/IF(Inputs!$B$39="pvp",15,MAX(0.1,Skills!D19-IF(Skills!E19=TRUE,Inputs!$B$32,0))),0)</f>
        <v/>
      </c>
      <c r="R2002">
        <f>IF(AND(Inputs!$B$39&lt;&gt;"pvp",Inputs!$B$44&gt;0),IF(Inputs!$B$44&lt;=0,0,(INT(Inputs!$B$44/IF(Inputs!$B$39="pvp",15,MAX(0.1,Skills!D19-IF(Skills!E19=TRUE,Inputs!$B$32,0))))+1)),0)</f>
        <v/>
      </c>
      <c r="S2002">
        <f>IFERROR(O2002/N2002,0)</f>
        <v/>
      </c>
      <c r="T2002" t="n">
        <v>0</v>
      </c>
      <c r="V2002" t="n">
        <v>0</v>
      </c>
    </row>
    <row r="2003">
      <c r="A2003">
        <f>Skills!A20</f>
        <v/>
      </c>
      <c r="B2003">
        <f>Skills!B20</f>
        <v/>
      </c>
      <c r="C2003">
        <f>Inputs!$B$3&gt;=15</f>
        <v/>
      </c>
      <c r="D2003">
        <f>IF(Skills!C20=1,60+Inputs!$B$25+Inputs!$B$29,IF(Skills!C20=2,90+Inputs!$B$26+Inputs!$B$29,IF(Skills!C20=3,120+Inputs!$B$27+Inputs!$B$29,MAX(0,(Inputs!$B$3-100)*3)+Inputs!$B$28+Inputs!$B$29)))</f>
        <v/>
      </c>
      <c r="E2003">
        <f>INDEX(FactorTable!$B$2:$Y$301, MATCH(ROUND(MIN(300,MAX(1,D2003)),0), FactorTable!$A$2:$A$301,0), Skills!M20+1)</f>
        <v/>
      </c>
      <c r="F2003">
        <f>IF(Skills!N20=TRUE,(Skills!L20/10)*(E2003/1000),Skills!L20/10)+Skills!O20</f>
        <v/>
      </c>
      <c r="G2003">
        <f>Calc!G20</f>
        <v/>
      </c>
      <c r="H2003">
        <f>Calc!H20</f>
        <v/>
      </c>
      <c r="I2003">
        <f>IF(Skills!AA20&lt;&gt;"",1+(Skills!AA20/10)*(U1986/1000)/100,1)</f>
        <v/>
      </c>
      <c r="J2003" t="inlineStr"/>
      <c r="K2003" t="inlineStr"/>
      <c r="L2003" t="inlineStr"/>
      <c r="M2003" t="inlineStr"/>
      <c r="N2003" t="inlineStr"/>
      <c r="O2003">
        <f>(1-Summary!$B$11)*T2003+Summary!$B$11*V2003</f>
        <v/>
      </c>
      <c r="P2003">
        <f>IF(B2027=0,0,O2003/B2027)</f>
        <v/>
      </c>
      <c r="Q2003">
        <f>IFERROR(1/IF(Inputs!$B$39="pvp",15,MAX(0.1,Skills!D20-IF(Skills!E20=TRUE,Inputs!$B$32,0))),0)</f>
        <v/>
      </c>
      <c r="R2003">
        <f>IF(AND(Inputs!$B$39&lt;&gt;"pvp",Inputs!$B$44&gt;0),IF(Inputs!$B$44&lt;=0,0,(INT(Inputs!$B$44/IF(Inputs!$B$39="pvp",15,MAX(0.1,Skills!D20-IF(Skills!E20=TRUE,Inputs!$B$32,0))))+1)),0)</f>
        <v/>
      </c>
      <c r="S2003">
        <f>IFERROR(O2003/N2003,0)</f>
        <v/>
      </c>
      <c r="T2003" t="n">
        <v>0</v>
      </c>
      <c r="V2003" t="n">
        <v>0</v>
      </c>
    </row>
    <row r="2004">
      <c r="A2004">
        <f>Skills!A21</f>
        <v/>
      </c>
      <c r="B2004">
        <f>Skills!B21</f>
        <v/>
      </c>
      <c r="C2004">
        <f>Inputs!$B$3&gt;=15</f>
        <v/>
      </c>
      <c r="D2004">
        <f>IF(Skills!C21=1,60+Inputs!$B$25+Inputs!$B$29,IF(Skills!C21=2,90+Inputs!$B$26+Inputs!$B$29,IF(Skills!C21=3,120+Inputs!$B$27+Inputs!$B$29,MAX(0,(Inputs!$B$3-100)*3)+Inputs!$B$28+Inputs!$B$29)))</f>
        <v/>
      </c>
      <c r="E2004">
        <f>INDEX(FactorTable!$B$2:$Y$301, MATCH(ROUND(MIN(300,MAX(1,D2004)),0), FactorTable!$A$2:$A$301,0), Skills!M21+1)</f>
        <v/>
      </c>
      <c r="F2004">
        <f>IF(Skills!N21=TRUE,(Skills!L21/10)*(E2004/1000),Skills!L21/10)+Skills!O21</f>
        <v/>
      </c>
      <c r="G2004">
        <f>Calc!G21</f>
        <v/>
      </c>
      <c r="H2004">
        <f>Calc!H21</f>
        <v/>
      </c>
      <c r="I2004">
        <f>IF(Skills!AA21&lt;&gt;"",1+(Skills!AA21/10)*(U1986/1000)/100,1)</f>
        <v/>
      </c>
      <c r="J2004" t="inlineStr"/>
      <c r="K2004" t="inlineStr"/>
      <c r="L2004" t="inlineStr"/>
      <c r="M2004" t="inlineStr"/>
      <c r="N2004" t="inlineStr"/>
      <c r="O2004">
        <f>(1-Summary!$B$11)*T2004+Summary!$B$11*V2004</f>
        <v/>
      </c>
      <c r="P2004">
        <f>IF(B2027=0,0,O2004/B2027)</f>
        <v/>
      </c>
      <c r="Q2004">
        <f>IFERROR(1/IF(Inputs!$B$39="pvp",15,MAX(0.1,Skills!D21-IF(Skills!E21=TRUE,Inputs!$B$32,0))),0)</f>
        <v/>
      </c>
      <c r="R2004">
        <f>IF(AND(Inputs!$B$39&lt;&gt;"pvp",Inputs!$B$44&gt;0),IF(Inputs!$B$44&lt;=0,0,(INT(Inputs!$B$44/IF(Inputs!$B$39="pvp",15,MAX(0.1,Skills!D21-IF(Skills!E21=TRUE,Inputs!$B$32,0))))+1)),0)</f>
        <v/>
      </c>
      <c r="S2004">
        <f>IFERROR(O2004/N2004,0)</f>
        <v/>
      </c>
      <c r="T2004" t="n">
        <v>0</v>
      </c>
      <c r="V2004" t="n">
        <v>0</v>
      </c>
    </row>
    <row r="2005">
      <c r="A2005">
        <f>Skills!A22</f>
        <v/>
      </c>
      <c r="B2005">
        <f>Skills!B22</f>
        <v/>
      </c>
      <c r="C2005">
        <f>Inputs!$B$3&gt;=33</f>
        <v/>
      </c>
      <c r="D2005">
        <f>IF(Skills!C22=1,60+Inputs!$B$25+Inputs!$B$29,IF(Skills!C22=2,90+Inputs!$B$26+Inputs!$B$29,IF(Skills!C22=3,120+Inputs!$B$27+Inputs!$B$29,MAX(0,(Inputs!$B$3-100)*3)+Inputs!$B$28+Inputs!$B$29)))</f>
        <v/>
      </c>
      <c r="E2005">
        <f>INDEX(FactorTable!$B$2:$Y$301, MATCH(ROUND(MIN(300,MAX(1,D2005)),0), FactorTable!$A$2:$A$301,0), Skills!M22+1)</f>
        <v/>
      </c>
      <c r="F2005">
        <f>IF(Skills!N22=TRUE,(Skills!L22/10)*(E2005/1000),Skills!L22/10)+Skills!O22</f>
        <v/>
      </c>
      <c r="G2005">
        <f>Calc!G22</f>
        <v/>
      </c>
      <c r="H2005">
        <f>Calc!H22</f>
        <v/>
      </c>
      <c r="I2005">
        <f>IF(Skills!AA22&lt;&gt;"",1+(Skills!AA22/10)*(U1986/1000)/100,1)</f>
        <v/>
      </c>
      <c r="J2005" t="inlineStr"/>
      <c r="K2005" t="inlineStr"/>
      <c r="L2005" t="inlineStr"/>
      <c r="M2005" t="inlineStr"/>
      <c r="N2005" t="inlineStr"/>
      <c r="O2005">
        <f>(1-Summary!$B$11)*T2005+Summary!$B$11*V2005</f>
        <v/>
      </c>
      <c r="P2005">
        <f>IF(B2027=0,0,O2005/B2027)</f>
        <v/>
      </c>
      <c r="Q2005" t="n">
        <v>0</v>
      </c>
      <c r="R2005" t="n">
        <v>0</v>
      </c>
      <c r="S2005">
        <f>IFERROR(O2005/N2005,0)</f>
        <v/>
      </c>
      <c r="T2005" t="n">
        <v>0</v>
      </c>
      <c r="V2005" t="n">
        <v>0</v>
      </c>
    </row>
    <row r="2006">
      <c r="A2006">
        <f>Skills!A23</f>
        <v/>
      </c>
      <c r="B2006">
        <f>Skills!B23</f>
        <v/>
      </c>
      <c r="C2006">
        <f>Inputs!$B$3&gt;=38</f>
        <v/>
      </c>
      <c r="D2006">
        <f>IF(Skills!C23=1,60+Inputs!$B$25+Inputs!$B$29,IF(Skills!C23=2,90+Inputs!$B$26+Inputs!$B$29,IF(Skills!C23=3,120+Inputs!$B$27+Inputs!$B$29,MAX(0,(Inputs!$B$3-100)*3)+Inputs!$B$28+Inputs!$B$29)))</f>
        <v/>
      </c>
      <c r="E2006">
        <f>INDEX(FactorTable!$B$2:$Y$301, MATCH(ROUND(MIN(300,MAX(1,D2006)),0), FactorTable!$A$2:$A$301,0), Skills!M23+1)</f>
        <v/>
      </c>
      <c r="F2006">
        <f>IF(Skills!N23=TRUE,(Skills!L23/10)*(E2006/1000),Skills!L23/10)+Skills!O23</f>
        <v/>
      </c>
      <c r="G2006">
        <f>Calc!G23</f>
        <v/>
      </c>
      <c r="H2006">
        <f>Calc!H23</f>
        <v/>
      </c>
      <c r="I2006">
        <f>IF(Skills!AA23&lt;&gt;"",1+(Skills!AA23/10)*(U1986/1000)/100,1)</f>
        <v/>
      </c>
      <c r="J2006" t="inlineStr"/>
      <c r="K2006" t="inlineStr"/>
      <c r="L2006" t="inlineStr"/>
      <c r="M2006" t="inlineStr"/>
      <c r="N2006" t="inlineStr"/>
      <c r="O2006">
        <f>(1-Summary!$B$11)*T2006+Summary!$B$11*V2006</f>
        <v/>
      </c>
      <c r="P2006">
        <f>IF(B2027=0,0,O2006/B2027)</f>
        <v/>
      </c>
      <c r="Q2006" t="n">
        <v>0</v>
      </c>
      <c r="R2006" t="n">
        <v>0</v>
      </c>
      <c r="S2006">
        <f>IFERROR(O2006/N2006,0)</f>
        <v/>
      </c>
      <c r="T2006" t="n">
        <v>0</v>
      </c>
      <c r="V2006" t="n">
        <v>0</v>
      </c>
    </row>
    <row r="2007">
      <c r="A2007">
        <f>Skills!A24</f>
        <v/>
      </c>
      <c r="B2007">
        <f>Skills!B24</f>
        <v/>
      </c>
      <c r="C2007">
        <f>Inputs!$B$3&gt;=40</f>
        <v/>
      </c>
      <c r="D2007">
        <f>IF(Skills!C24=1,60+Inputs!$B$25+Inputs!$B$29,IF(Skills!C24=2,90+Inputs!$B$26+Inputs!$B$29,IF(Skills!C24=3,120+Inputs!$B$27+Inputs!$B$29,MAX(0,(Inputs!$B$3-100)*3)+Inputs!$B$28+Inputs!$B$29)))</f>
        <v/>
      </c>
      <c r="E2007">
        <f>INDEX(FactorTable!$B$2:$Y$301, MATCH(ROUND(MIN(300,MAX(1,D2007)),0), FactorTable!$A$2:$A$301,0), Skills!M24+1)</f>
        <v/>
      </c>
      <c r="F2007">
        <f>IF(Skills!N24=TRUE,(Skills!L24/10)*(E2007/1000),Skills!L24/10)+Skills!O24</f>
        <v/>
      </c>
      <c r="G2007">
        <f>Calc!G24</f>
        <v/>
      </c>
      <c r="H2007">
        <f>Calc!H24</f>
        <v/>
      </c>
      <c r="I2007">
        <f>IF(Skills!AA24&lt;&gt;"",1+(Skills!AA24/10)*(U1986/1000)/100,1)</f>
        <v/>
      </c>
      <c r="J2007" t="inlineStr"/>
      <c r="K2007" t="inlineStr"/>
      <c r="L2007" t="inlineStr"/>
      <c r="M2007" t="inlineStr"/>
      <c r="N2007" t="inlineStr"/>
      <c r="O2007">
        <f>(1-Summary!$B$11)*T2007+Summary!$B$11*V2007</f>
        <v/>
      </c>
      <c r="P2007">
        <f>IF(B2027=0,0,O2007/B2027)</f>
        <v/>
      </c>
      <c r="Q2007" t="n">
        <v>0</v>
      </c>
      <c r="R2007" t="n">
        <v>0</v>
      </c>
      <c r="S2007">
        <f>IFERROR(O2007/N2007,0)</f>
        <v/>
      </c>
      <c r="T2007" t="n">
        <v>0</v>
      </c>
      <c r="V2007" t="n">
        <v>0</v>
      </c>
    </row>
    <row r="2008">
      <c r="A2008">
        <f>Skills!A25</f>
        <v/>
      </c>
      <c r="B2008">
        <f>Skills!B25</f>
        <v/>
      </c>
      <c r="C2008">
        <f>Inputs!$B$3&gt;=45</f>
        <v/>
      </c>
      <c r="D2008">
        <f>IF(Skills!C25=1,60+Inputs!$B$25+Inputs!$B$29,IF(Skills!C25=2,90+Inputs!$B$26+Inputs!$B$29,IF(Skills!C25=3,120+Inputs!$B$27+Inputs!$B$29,MAX(0,(Inputs!$B$3-100)*3)+Inputs!$B$28+Inputs!$B$29)))</f>
        <v/>
      </c>
      <c r="E2008">
        <f>INDEX(FactorTable!$B$2:$Y$301, MATCH(ROUND(MIN(300,MAX(1,D2008)),0), FactorTable!$A$2:$A$301,0), Skills!M25+1)</f>
        <v/>
      </c>
      <c r="F2008">
        <f>IF(Skills!N25=TRUE,(Skills!L25/10)*(E2008/1000),Skills!L25/10)+Skills!O25</f>
        <v/>
      </c>
      <c r="G2008">
        <f>Calc!G25</f>
        <v/>
      </c>
      <c r="H2008">
        <f>Calc!H25</f>
        <v/>
      </c>
      <c r="I2008">
        <f>IF(Skills!AA25&lt;&gt;"",1+(Skills!AA25/10)*(U1986/1000)/100,1)</f>
        <v/>
      </c>
      <c r="J2008" t="inlineStr"/>
      <c r="K2008" t="inlineStr"/>
      <c r="L2008" t="inlineStr"/>
      <c r="M2008" t="inlineStr"/>
      <c r="N2008" t="inlineStr"/>
      <c r="O2008">
        <f>(1-Summary!$B$11)*T2008+Summary!$B$11*V2008</f>
        <v/>
      </c>
      <c r="P2008">
        <f>IF(B2027=0,0,O2008/B2027)</f>
        <v/>
      </c>
      <c r="Q2008" t="n">
        <v>0</v>
      </c>
      <c r="R2008" t="n">
        <v>0</v>
      </c>
      <c r="S2008">
        <f>IFERROR(O2008/N2008,0)</f>
        <v/>
      </c>
      <c r="T2008" t="n">
        <v>0</v>
      </c>
      <c r="V2008" t="n">
        <v>0</v>
      </c>
    </row>
    <row r="2009">
      <c r="A2009">
        <f>Skills!A26</f>
        <v/>
      </c>
      <c r="B2009">
        <f>Skills!B26</f>
        <v/>
      </c>
      <c r="C2009">
        <f>Inputs!$B$3&gt;=45</f>
        <v/>
      </c>
      <c r="D2009">
        <f>IF(Skills!C26=1,60+Inputs!$B$25+Inputs!$B$29,IF(Skills!C26=2,90+Inputs!$B$26+Inputs!$B$29,IF(Skills!C26=3,120+Inputs!$B$27+Inputs!$B$29,MAX(0,(Inputs!$B$3-100)*3)+Inputs!$B$28+Inputs!$B$29)))</f>
        <v/>
      </c>
      <c r="E2009">
        <f>INDEX(FactorTable!$B$2:$Y$301, MATCH(ROUND(MIN(300,MAX(1,D2009)),0), FactorTable!$A$2:$A$301,0), Skills!M26+1)</f>
        <v/>
      </c>
      <c r="F2009">
        <f>IF(Skills!N26=TRUE,(Skills!L26/10)*(E2009/1000),Skills!L26/10)+Skills!O26</f>
        <v/>
      </c>
      <c r="G2009">
        <f>Calc!G26</f>
        <v/>
      </c>
      <c r="H2009">
        <f>Calc!H26</f>
        <v/>
      </c>
      <c r="I2009">
        <f>IF(Skills!AA26&lt;&gt;"",1+(Skills!AA26/10)*(U1986/1000)/100,1)</f>
        <v/>
      </c>
      <c r="J2009" t="inlineStr"/>
      <c r="K2009" t="inlineStr"/>
      <c r="L2009" t="inlineStr"/>
      <c r="M2009" t="inlineStr"/>
      <c r="N2009" t="inlineStr"/>
      <c r="O2009">
        <f>(1-Summary!$B$11)*T2009+Summary!$B$11*V2009</f>
        <v/>
      </c>
      <c r="P2009">
        <f>IF(B2027=0,0,O2009/B2027)</f>
        <v/>
      </c>
      <c r="Q2009" t="n">
        <v>0</v>
      </c>
      <c r="R2009" t="n">
        <v>0</v>
      </c>
      <c r="S2009">
        <f>IFERROR(O2009/N2009,0)</f>
        <v/>
      </c>
      <c r="T2009" t="n">
        <v>0</v>
      </c>
      <c r="V2009" t="n">
        <v>0</v>
      </c>
    </row>
    <row r="2010">
      <c r="A2010">
        <f>Skills!A27</f>
        <v/>
      </c>
      <c r="B2010">
        <f>Skills!B27</f>
        <v/>
      </c>
      <c r="C2010">
        <f>Inputs!$B$3&gt;=72</f>
        <v/>
      </c>
      <c r="D2010">
        <f>IF(Skills!C27=1,60+Inputs!$B$25+Inputs!$B$29,IF(Skills!C27=2,90+Inputs!$B$26+Inputs!$B$29,IF(Skills!C27=3,120+Inputs!$B$27+Inputs!$B$29,MAX(0,(Inputs!$B$3-100)*3)+Inputs!$B$28+Inputs!$B$29)))</f>
        <v/>
      </c>
      <c r="E2010">
        <f>INDEX(FactorTable!$B$2:$Y$301, MATCH(ROUND(MIN(300,MAX(1,D2010)),0), FactorTable!$A$2:$A$301,0), Skills!M27+1)</f>
        <v/>
      </c>
      <c r="F2010">
        <f>IF(Skills!N27=TRUE,(Skills!L27/10)*(E2010/1000),Skills!L27/10)+Skills!O27</f>
        <v/>
      </c>
      <c r="G2010">
        <f>Calc!G27</f>
        <v/>
      </c>
      <c r="H2010">
        <f>Calc!H27</f>
        <v/>
      </c>
      <c r="I2010">
        <f>IF(Skills!AA27&lt;&gt;"",1+(Skills!AA27/10)*(U1986/1000)/100,1)</f>
        <v/>
      </c>
      <c r="J2010" t="inlineStr"/>
      <c r="K2010" t="inlineStr"/>
      <c r="L2010" t="inlineStr"/>
      <c r="M2010" t="inlineStr"/>
      <c r="N2010" t="inlineStr"/>
      <c r="O2010">
        <f>(1-Summary!$B$11)*T2010+Summary!$B$11*V2010</f>
        <v/>
      </c>
      <c r="P2010">
        <f>IF(B2027=0,0,O2010/B2027)</f>
        <v/>
      </c>
      <c r="Q2010" t="n">
        <v>0</v>
      </c>
      <c r="R2010" t="n">
        <v>0</v>
      </c>
      <c r="S2010">
        <f>IFERROR(O2010/N2010,0)</f>
        <v/>
      </c>
      <c r="T2010" t="n">
        <v>0</v>
      </c>
      <c r="V2010" t="n">
        <v>0</v>
      </c>
    </row>
    <row r="2011">
      <c r="A2011">
        <f>Skills!A28</f>
        <v/>
      </c>
      <c r="B2011">
        <f>Skills!B28</f>
        <v/>
      </c>
      <c r="C2011">
        <f>Inputs!$B$3&gt;=75</f>
        <v/>
      </c>
      <c r="D2011">
        <f>IF(Skills!C28=1,60+Inputs!$B$25+Inputs!$B$29,IF(Skills!C28=2,90+Inputs!$B$26+Inputs!$B$29,IF(Skills!C28=3,120+Inputs!$B$27+Inputs!$B$29,MAX(0,(Inputs!$B$3-100)*3)+Inputs!$B$28+Inputs!$B$29)))</f>
        <v/>
      </c>
      <c r="E2011">
        <f>INDEX(FactorTable!$B$2:$Y$301, MATCH(ROUND(MIN(300,MAX(1,D2011)),0), FactorTable!$A$2:$A$301,0), Skills!M28+1)</f>
        <v/>
      </c>
      <c r="F2011">
        <f>IF(Skills!N28=TRUE,(Skills!L28/10)*(E2011/1000),Skills!L28/10)+Skills!O28</f>
        <v/>
      </c>
      <c r="G2011">
        <f>Calc!G28</f>
        <v/>
      </c>
      <c r="H2011">
        <f>Calc!H28</f>
        <v/>
      </c>
      <c r="I2011">
        <f>IF(Skills!AA28&lt;&gt;"",1+(Skills!AA28/10)*(U1986/1000)/100,1)</f>
        <v/>
      </c>
      <c r="J2011" t="inlineStr"/>
      <c r="K2011" t="inlineStr"/>
      <c r="L2011" t="inlineStr"/>
      <c r="M2011" t="inlineStr"/>
      <c r="N2011" t="inlineStr"/>
      <c r="O2011">
        <f>(1-Summary!$B$11)*T2011+Summary!$B$11*V2011</f>
        <v/>
      </c>
      <c r="P2011">
        <f>IF(B2027=0,0,O2011/B2027)</f>
        <v/>
      </c>
      <c r="Q2011" t="n">
        <v>0</v>
      </c>
      <c r="R2011" t="n">
        <v>0</v>
      </c>
      <c r="S2011">
        <f>IFERROR(O2011/N2011,0)</f>
        <v/>
      </c>
      <c r="T2011" t="n">
        <v>0</v>
      </c>
      <c r="V2011" t="n">
        <v>0</v>
      </c>
    </row>
    <row r="2012">
      <c r="A2012">
        <f>Skills!A29</f>
        <v/>
      </c>
      <c r="B2012">
        <f>Skills!B29</f>
        <v/>
      </c>
      <c r="C2012">
        <f>Inputs!$B$3&gt;=120</f>
        <v/>
      </c>
      <c r="D2012">
        <f>IF(Skills!C29=1,60+Inputs!$B$25+Inputs!$B$29,IF(Skills!C29=2,90+Inputs!$B$26+Inputs!$B$29,IF(Skills!C29=3,120+Inputs!$B$27+Inputs!$B$29,MAX(0,(Inputs!$B$3-100)*3)+Inputs!$B$28+Inputs!$B$29)))</f>
        <v/>
      </c>
      <c r="E2012">
        <f>INDEX(FactorTable!$B$2:$Y$301, MATCH(ROUND(MIN(300,MAX(1,D2012)),0), FactorTable!$A$2:$A$301,0), Skills!M29+1)</f>
        <v/>
      </c>
      <c r="F2012">
        <f>IF(Skills!N29=TRUE,(Skills!L29/10)*(E2012/1000),Skills!L29/10)+Skills!O29</f>
        <v/>
      </c>
      <c r="G2012">
        <f>Calc!G29</f>
        <v/>
      </c>
      <c r="H2012">
        <f>Calc!H29</f>
        <v/>
      </c>
      <c r="I2012">
        <f>IF(Skills!AA29&lt;&gt;"",1+(Skills!AA29/10)*(U1986/1000)/100,1)</f>
        <v/>
      </c>
      <c r="J2012" t="inlineStr"/>
      <c r="K2012" t="inlineStr"/>
      <c r="L2012" t="inlineStr"/>
      <c r="M2012" t="inlineStr"/>
      <c r="N2012" t="inlineStr"/>
      <c r="O2012">
        <f>(1-Summary!$B$11)*T2012+Summary!$B$11*V2012</f>
        <v/>
      </c>
      <c r="P2012">
        <f>IF(B2027=0,0,O2012/B2027)</f>
        <v/>
      </c>
      <c r="Q2012" t="n">
        <v>0</v>
      </c>
      <c r="R2012" t="n">
        <v>0</v>
      </c>
      <c r="S2012">
        <f>IFERROR(O2012/N2012,0)</f>
        <v/>
      </c>
      <c r="T2012" t="n">
        <v>0</v>
      </c>
      <c r="V2012" t="n">
        <v>0</v>
      </c>
    </row>
    <row r="2013">
      <c r="A2013">
        <f>Skills!A30</f>
        <v/>
      </c>
      <c r="B2013">
        <f>Skills!B30</f>
        <v/>
      </c>
      <c r="C2013">
        <f>Inputs!$B$3&gt;=125</f>
        <v/>
      </c>
      <c r="D2013">
        <f>IF(Skills!C30=1,60+Inputs!$B$25+Inputs!$B$29,IF(Skills!C30=2,90+Inputs!$B$26+Inputs!$B$29,IF(Skills!C30=3,120+Inputs!$B$27+Inputs!$B$29,MAX(0,(Inputs!$B$3-100)*3)+Inputs!$B$28+Inputs!$B$29)))</f>
        <v/>
      </c>
      <c r="E2013">
        <f>INDEX(FactorTable!$B$2:$Y$301, MATCH(ROUND(MIN(300,MAX(1,D2013)),0), FactorTable!$A$2:$A$301,0), Skills!M30+1)</f>
        <v/>
      </c>
      <c r="F2013">
        <f>IF(Skills!N30=TRUE,(Skills!L30/10)*(E2013/1000),Skills!L30/10)+Skills!O30</f>
        <v/>
      </c>
      <c r="G2013">
        <f>Calc!G30</f>
        <v/>
      </c>
      <c r="H2013">
        <f>Calc!H30</f>
        <v/>
      </c>
      <c r="I2013">
        <f>IF(Skills!AA30&lt;&gt;"",1+(Skills!AA30/10)*(U1986/1000)/100,1)</f>
        <v/>
      </c>
      <c r="J2013" t="inlineStr"/>
      <c r="K2013" t="inlineStr"/>
      <c r="L2013" t="inlineStr"/>
      <c r="M2013" t="inlineStr"/>
      <c r="N2013" t="inlineStr"/>
      <c r="O2013">
        <f>(1-Summary!$B$11)*T2013+Summary!$B$11*V2013</f>
        <v/>
      </c>
      <c r="P2013">
        <f>IF(B2027=0,0,O2013/B2027)</f>
        <v/>
      </c>
      <c r="Q2013" t="n">
        <v>0</v>
      </c>
      <c r="R2013" t="n">
        <v>0</v>
      </c>
      <c r="S2013">
        <f>IFERROR(O2013/N2013,0)</f>
        <v/>
      </c>
      <c r="T2013" t="n">
        <v>0</v>
      </c>
      <c r="V2013" t="n">
        <v>0</v>
      </c>
    </row>
    <row r="2014">
      <c r="A2014">
        <f>Skills!A31</f>
        <v/>
      </c>
      <c r="B2014">
        <f>Skills!B31</f>
        <v/>
      </c>
      <c r="C2014">
        <f>Inputs!$B$3&gt;=107</f>
        <v/>
      </c>
      <c r="D2014">
        <f>IF(Skills!C31=1,60+Inputs!$B$25+Inputs!$B$29,IF(Skills!C31=2,90+Inputs!$B$26+Inputs!$B$29,IF(Skills!C31=3,120+Inputs!$B$27+Inputs!$B$29,MAX(0,(Inputs!$B$3-100)*3)+Inputs!$B$28+Inputs!$B$29)))</f>
        <v/>
      </c>
      <c r="E2014">
        <f>INDEX(FactorTable!$B$2:$Y$301, MATCH(ROUND(MIN(300,MAX(1,D2014)),0), FactorTable!$A$2:$A$301,0), Skills!M31+1)</f>
        <v/>
      </c>
      <c r="F2014">
        <f>IF(Skills!N31=TRUE,(Skills!L31/10)*(E2014/1000),Skills!L31/10)+Skills!O31</f>
        <v/>
      </c>
      <c r="G2014">
        <f>Calc!G31</f>
        <v/>
      </c>
      <c r="H2014">
        <f>Calc!H31</f>
        <v/>
      </c>
      <c r="I2014">
        <f>IF(Skills!AA31&lt;&gt;"",1+(Skills!AA31/10)*(U1986/1000)/100,1)</f>
        <v/>
      </c>
      <c r="J2014" t="inlineStr"/>
      <c r="K2014" t="inlineStr"/>
      <c r="L2014" t="inlineStr"/>
      <c r="M2014" t="inlineStr"/>
      <c r="N2014" t="inlineStr"/>
      <c r="O2014">
        <f>(1-Summary!$B$11)*T2014+Summary!$B$11*V2014</f>
        <v/>
      </c>
      <c r="P2014">
        <f>IF(B2027=0,0,O2014/B2027)</f>
        <v/>
      </c>
      <c r="Q2014" t="n">
        <v>0</v>
      </c>
      <c r="R2014" t="n">
        <v>0</v>
      </c>
      <c r="S2014">
        <f>IFERROR(O2014/N2014,0)</f>
        <v/>
      </c>
      <c r="T2014" t="n">
        <v>0</v>
      </c>
      <c r="V2014" t="n">
        <v>0</v>
      </c>
    </row>
    <row r="2016">
      <c r="A2016" t="inlineStr">
        <is>
          <t>Actions Per Second (pre-Adrenalin)</t>
        </is>
      </c>
      <c r="B2016">
        <f>1+MIN(150,150*(1-(1-(Inputs!$B$11+((C2005=TRUE)*(F2005-Calc!F22))+(ArtifactsInput!$M$15-ArtifactsInput!$M$15)*CHOOSE(ArtifactsInput!$N$15+1,8,9.6,11.2,12.8,14.4,16))/150)*(1-((C2002=TRUE)*F2002*IF(AND(Inputs!$B$39&lt;&gt;"pvp",Inputs!$B$44&gt;0),(((R2002-1)*(Skills!Y19*(1+Inputs!$B$34/100))+MIN((Skills!Y19*(1+Inputs!$B$34/100)),MAX(0,Inputs!$B$44-((R2002-1)*Skills!D19))))/Inputs!$B$44),IF(Inputs!$B$39="pvp",MIN((Skills!Y19*(1+Inputs!$B$34/100)),15)/15,(Skills!Y19*(1+Inputs!$B$34/100))/Skills!D19)))/150)))/100</f>
        <v/>
      </c>
    </row>
    <row r="2017">
      <c r="A2017" t="inlineStr">
        <is>
          <t>Alchemic Adrenaline Uptime</t>
        </is>
      </c>
      <c r="B2017">
        <f>(Skills!Y6*(1+Inputs!$B$34/100))/((Skills!Y6*(1+Inputs!$B$34/100))+(5/B2016))</f>
        <v/>
      </c>
    </row>
    <row r="2018">
      <c r="A2018" t="inlineStr">
        <is>
          <t>Attack Speed Buff Bonus %</t>
        </is>
      </c>
      <c r="B2018">
        <f>((C2002=TRUE)*F2002*IF(AND(Inputs!$B$39&lt;&gt;"pvp",Inputs!$B$44&gt;0),(((R2002-1)*(Skills!Y19*(1+Inputs!$B$34/100))+MIN((Skills!Y19*(1+Inputs!$B$34/100)),MAX(0,Inputs!$B$44-((R2002-1)*Skills!D19))))/Inputs!$B$44),IF(Inputs!$B$39="pvp",MIN((Skills!Y19*(1+Inputs!$B$34/100)),15)/15,(Skills!Y19*(1+Inputs!$B$34/100))/Skills!D19)))+((C1990=TRUE)*F1990*B2017)</f>
        <v/>
      </c>
    </row>
    <row r="2019">
      <c r="A2019" t="inlineStr">
        <is>
          <t>Actions Per Second (final)</t>
        </is>
      </c>
      <c r="B2019">
        <f>1+MIN(150,150*(1-(1-(Inputs!$B$11+((C2005=TRUE)*(F2005-Calc!F22))+(ArtifactsInput!$M$15-ArtifactsInput!$M$15)*CHOOSE(ArtifactsInput!$N$15+1,8,9.6,11.2,12.8,14.4,16))/150)*(1-B2018/150)))/100</f>
        <v/>
      </c>
    </row>
    <row r="2020">
      <c r="A2020" t="inlineStr">
        <is>
          <t>Skill + Buff Cast Rate</t>
        </is>
      </c>
      <c r="B2020">
        <f>IF(AND(Inputs!$B$39&lt;&gt;"pvp",Inputs!$B$44&gt;0),SUMPRODUCT((Skills!E2:E31=TRUE)*(C1985:C2014=TRUE)*R1985:R2014*Skills!F2:F31)/Inputs!$B$44,SUMPRODUCT((Skills!E2:E31=TRUE)*(C1985:C2014=TRUE)*Q1985:Q2014*Skills!F2:F31))</f>
        <v/>
      </c>
    </row>
    <row r="2021">
      <c r="A2021" t="inlineStr">
        <is>
          <t>Showdown Casts Per Second</t>
        </is>
      </c>
      <c r="B2021">
        <f>MAX(0,B2019-B2020)</f>
        <v/>
      </c>
    </row>
    <row r="2022">
      <c r="A2022" t="inlineStr">
        <is>
          <t>Average Buff Multiplier</t>
        </is>
      </c>
      <c r="B2022">
        <f>(1+(((C2004=TRUE)*F2004*IF(AND(Inputs!$B$39&lt;&gt;"pvp",Inputs!$B$44&gt;0),(((R2004-1)*(Skills!Y21*(1+Inputs!$B$34/100))+MIN((Skills!Y21*(1+Inputs!$B$34/100)),MAX(0,Inputs!$B$44-((R2004-1)*Skills!D21))))/Inputs!$B$44),IF(Inputs!$B$39="pvp",MIN((Skills!Y21*(1+Inputs!$B$34/100)),15)/15,(Skills!Y21*(1+Inputs!$B$34/100))/Skills!D21)))+((C2011=TRUE)*(F2011-Calc!F28))+((C2001=TRUE)*(F2001-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1998=TRUE)*F1998*IF(AND(Inputs!$B$39&lt;&gt;"pvp",Inputs!$B$44&gt;0),(((R1998-1)*(Skills!Y15*(1+Inputs!$B$34/100))+MIN((Skills!Y15*(1+Inputs!$B$34/100)),MAX(0,Inputs!$B$44-((R1998-1)*Skills!D15))))/Inputs!$B$44),IF(Inputs!$B$39="pvp",MIN((Skills!Y15*(1+Inputs!$B$34/100)),15)/15,(Skills!Y15*(1+Inputs!$B$34/100))/Skills!D15)))/100)*(1+((C1989=TRUE)*F1989*B2017)/100)</f>
        <v/>
      </c>
    </row>
    <row r="2023">
      <c r="A2023" t="inlineStr">
        <is>
          <t>Global Crit Rate Bonus %</t>
        </is>
      </c>
      <c r="B2023">
        <f>IF(Inputs!$B$3&gt;=47,8,0)+((C2003=TRUE)*F2003*IF(AND(Inputs!$B$39&lt;&gt;"pvp",Inputs!$B$44&gt;0),(((R2003-1)*(Skills!Y20*(1+Inputs!$B$34/100))+MIN((Skills!Y20*(1+Inputs!$B$34/100)),MAX(0,Inputs!$B$44-((R2003-1)*Skills!D20))))/Inputs!$B$44),IF(Inputs!$B$39="pvp",MIN((Skills!Y20*(1+Inputs!$B$34/100)),15)/15,(Skills!Y20*(1+Inputs!$B$34/100))/Skills!D20)))</f>
        <v/>
      </c>
    </row>
    <row r="2024">
      <c r="A2024" t="inlineStr">
        <is>
          <t>Global Monster Damage-Taken Bonus %</t>
        </is>
      </c>
      <c r="B2024">
        <f>IF(Inputs!$B$3&gt;=82,15,0)+((C1999=TRUE)*F1999*IF(AND(Inputs!$B$39&lt;&gt;"pvp",Inputs!$B$44&gt;0),(((R1999-1)*(Skills!Y16*(1+Inputs!$B$34/100))+MIN((Skills!Y16*(1+Inputs!$B$34/100)),MAX(0,Inputs!$B$44-((R1999-1)*Skills!D16))))/Inputs!$B$44),IF(Inputs!$B$39="pvp",MIN((Skills!Y16*(1+Inputs!$B$34/100)),15)/15,(Skills!Y16*(1+Inputs!$B$34/100))/Skills!D16)))</f>
        <v/>
      </c>
    </row>
    <row r="2025">
      <c r="A2025" t="inlineStr">
        <is>
          <t>Shadow Partner Average Multiplier</t>
        </is>
      </c>
      <c r="B2025">
        <f>1+((C1994=TRUE)*F1994*I1994*Skills!J11/100)/100</f>
        <v/>
      </c>
    </row>
    <row r="2026">
      <c r="A2026" t="inlineStr">
        <is>
          <t>Global Critical Damage Bonus % (Frailty Curse Mastery Lv.111)</t>
        </is>
      </c>
      <c r="B2026">
        <f>IF(Inputs!$B$3&gt;=111,30,0)*IF(AND(Inputs!$B$39&lt;&gt;"pvp",Inputs!$B$44&gt;0),(((R1999-1)*(Skills!Y16*(1+Inputs!$B$34/100))+MIN((Skills!Y16*(1+Inputs!$B$34/100)),MAX(0,Inputs!$B$44-((R1999-1)*Skills!D16))))/Inputs!$B$44),IF(Inputs!$B$39="pvp",MIN((Skills!Y16*(1+Inputs!$B$34/100)),15)/15,(Skills!Y16*(1+Inputs!$B$34/100))/Skills!D16))</f>
        <v/>
      </c>
    </row>
    <row r="2027">
      <c r="A2027" s="6" t="inlineStr">
        <is>
          <t>TOTAL DPS</t>
        </is>
      </c>
      <c r="B2027" s="6">
        <f>SUM(O1985:O2014)</f>
        <v/>
      </c>
    </row>
    <row r="2028">
      <c r="A2028" t="inlineStr">
        <is>
          <t>Buff-Casting Startup Delay (s, fixed-duration only)</t>
        </is>
      </c>
      <c r="B2028">
        <f>IF(AND(Inputs!$B$39&lt;&gt;"pvp",Inputs!$B$44&gt;0),SUMPRODUCT((Skills!Y2:Y31&gt;0)*(Skills!E2:E31=TRUE)*(C1985:C2014=TRUE))/B2019,0)</f>
        <v/>
      </c>
    </row>
    <row r="2029">
      <c r="A2029" t="inlineStr">
        <is>
          <t>Boss-Only Total DPS (this block's swept value)</t>
        </is>
      </c>
      <c r="B2029">
        <f>SUM(T1985:T2014)</f>
        <v/>
      </c>
    </row>
    <row r="2030">
      <c r="A2030" t="inlineStr">
        <is>
          <t>Normal-Only Total DPS (this block's swept value)</t>
        </is>
      </c>
      <c r="B2030">
        <f>SUM(V1985:V2014)</f>
        <v/>
      </c>
    </row>
    <row r="2032">
      <c r="A2032" s="6" t="inlineStr">
        <is>
          <t>Stat: Chalice (Equip)</t>
        </is>
      </c>
    </row>
    <row r="2033">
      <c r="A2033" s="5" t="inlineStr">
        <is>
          <t>Key</t>
        </is>
      </c>
      <c r="B2033" s="5" t="inlineStr">
        <is>
          <t>Name</t>
        </is>
      </c>
      <c r="C2033" s="5" t="inlineStr">
        <is>
          <t>Unlocked</t>
        </is>
      </c>
      <c r="D2033" s="5" t="inlineStr">
        <is>
          <t>InputLevel</t>
        </is>
      </c>
      <c r="E2033" s="5" t="inlineStr">
        <is>
          <t>Factor</t>
        </is>
      </c>
      <c r="F2033" s="5" t="inlineStr">
        <is>
          <t>CoefficientPercent</t>
        </is>
      </c>
      <c r="G2033" s="5" t="inlineStr">
        <is>
          <t>EffectiveHits</t>
        </is>
      </c>
      <c r="H2033" s="5" t="inlineStr">
        <is>
          <t>ProcProbability</t>
        </is>
      </c>
      <c r="I2033" s="5" t="inlineStr">
        <is>
          <t>MapleHeroMultiplier</t>
        </is>
      </c>
      <c r="J2033" s="5" t="inlineStr">
        <is>
          <t>BaseDamage</t>
        </is>
      </c>
      <c r="K2033" s="5" t="inlineStr">
        <is>
          <t>BaseHitDamage</t>
        </is>
      </c>
      <c r="L2033" s="5" t="inlineStr">
        <is>
          <t>NonCritAvg</t>
        </is>
      </c>
      <c r="M2033" s="5" t="inlineStr">
        <is>
          <t>CritAvg</t>
        </is>
      </c>
      <c r="N2033" s="5" t="inlineStr">
        <is>
          <t>ExpectedDamage(perHit)</t>
        </is>
      </c>
      <c r="O2033" s="5" t="inlineStr">
        <is>
          <t>DPS</t>
        </is>
      </c>
      <c r="P2033" s="5" t="inlineStr">
        <is>
          <t>% of Total</t>
        </is>
      </c>
      <c r="Q2033" s="5" t="inlineStr">
        <is>
          <t>InvCooldown</t>
        </is>
      </c>
      <c r="R2033" s="5" t="inlineStr">
        <is>
          <t>CastsInFight</t>
        </is>
      </c>
      <c r="S2033" s="5" t="inlineStr">
        <is>
          <t>HitRate(perSec)</t>
        </is>
      </c>
      <c r="U2033" t="inlineStr">
        <is>
          <t>helpers</t>
        </is>
      </c>
    </row>
    <row r="2034">
      <c r="A2034">
        <f>Skills!A2</f>
        <v/>
      </c>
      <c r="B2034">
        <f>Skills!B2</f>
        <v/>
      </c>
      <c r="C2034">
        <f>Inputs!$B$3&gt;=100</f>
        <v/>
      </c>
      <c r="D2034" t="inlineStr"/>
      <c r="E2034" t="inlineStr"/>
      <c r="F2034">
        <f>U2038+Skills!O2</f>
        <v/>
      </c>
      <c r="G2034">
        <f>Calc!G2</f>
        <v/>
      </c>
      <c r="H2034">
        <f>Calc!H2</f>
        <v/>
      </c>
      <c r="I2034">
        <f>IF(Skills!AA2&lt;&gt;"",1+(Skills!AA2/10)*(U2035/1000)/100,1)</f>
        <v/>
      </c>
      <c r="J2034">
        <f>((Inputs!$B$6*(1+Inputs!$B$7/100))+(((Inputs!$B$12*(1+Inputs!$B$13/100))-(Inputs!$B$12*(1+Inputs!$B$13/100)))+0.25*(Inputs!$B$14-Inputs!$B$14))*(1+Inputs!$B$7/100))*(F2034/100)</f>
        <v/>
      </c>
      <c r="K2034">
        <f>J2034*(1+((Inputs!$B$12*(1+Inputs!$B$13/100))*0.01+Inputs!$B$14*0.0025)/100)*(1+Inputs!$B$15/100)*(1+Inputs!$B$16/100)*(5000/(6000+Inputs!$B$43*(1-(100*(1-(1-(Inputs!$B$19+0)/100)*(1-CHOOSE(ArtifactsInput!$N$40+1,5,6,7,8,9,10)/100)^(ArtifactsInput!$M$40-ArtifactsInput!$M$40)))/100)))*(1+(Inputs!$B$24+((C2062=TRUE)*(F2062-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2055=TRUE)*(F2055-Calc!F23))+(((IF(AND(ArtifactsInput!$M$42,((Inputs!$B$9+((C2057=TRUE)*(F2057-Calc!F25))+B2072+(ArtifactsInput!$M$24-ArtifactsInput!$M$24)*CHOOSE(ArtifactsInput!$N$24+1,10,12,14,16,18,20)+IF(ArtifactsInput!$M$10,CHOOSE(ArtifactsInput!$N$10+1,15,18,21,24,27,30)*(IF(Inputs!$B$39="pvp",MIN(15,15)/15,IF(AND(Inputs!$B$39&lt;&gt;"pvp",Inputs!$B$44&gt;0),MIN(15,Inputs!$B$44)/(Inputs!$B$44),0))),0)))&gt;=100),MIN(100,((Inputs!$B$9+((C2057=TRUE)*(F2057-Calc!F25))+B2072+(ArtifactsInput!$M$24-ArtifactsInput!$M$24)*CHOOSE(ArtifactsInput!$N$24+1,10,12,14,16,18,20)+IF(ArtifactsInput!$M$10,CHOOSE(ArtifactsInput!$N$10+1,15,18,21,24,27,30)*(IF(Inputs!$B$39="pvp",MIN(15,15)/15,IF(AND(Inputs!$B$39&lt;&gt;"pvp",Inputs!$B$44&gt;0),MIN(15,Inputs!$B$44)/(Inputs!$B$44),0))),0)))-100),0))*CHOOSE(ArtifactsInput!$N$42+1,0.6,0.72,0.84,0.96,1.08,1.2))),Inputs!$B$18+((C2061=TRUE)*(F2061-Calc!F29))+(IF(AND(ArtifactsInput!$M$42,((Inputs!$B$9+((C2057=TRUE)*(F2057-Calc!F25))+B2072+(ArtifactsInput!$M$24-ArtifactsInput!$M$24)*CHOOSE(ArtifactsInput!$N$24+1,10,12,14,16,18,20)+IF(ArtifactsInput!$M$10,CHOOSE(ArtifactsInput!$N$10+1,15,18,21,24,27,30)*(IF(Inputs!$B$39="pvp",MIN(15,15)/15,IF(AND(Inputs!$B$39&lt;&gt;"pvp",Inputs!$B$44&gt;0),MIN(15,Inputs!$B$44)/(Inputs!$B$44),0))),0)))&gt;=100),CHOOSE(ArtifactsInput!$N$42+1,40,48,56,64,72,80),0))))/100)*(((1+(((C2053=TRUE)*F2053*IF(AND(Inputs!$B$39&lt;&gt;"pvp",Inputs!$B$44&gt;0),(((R2053-1)*(Skills!Y21*(1+Inputs!$B$34/100))+MIN((Skills!Y21*(1+Inputs!$B$34/100)),MAX(0,Inputs!$B$44-((R2053-1)*Skills!D21))))/Inputs!$B$44),IF(Inputs!$B$39="pvp",MIN((Skills!Y21*(1+Inputs!$B$34/100)),15)/15,(Skills!Y21*(1+Inputs!$B$34/100))/Skills!D21)))+((C2060=TRUE)*(F2060-Calc!F28))+((C2050=TRUE)*(F2050-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2047=TRUE)*F2047*IF(AND(Inputs!$B$39&lt;&gt;"pvp",Inputs!$B$44&gt;0),(((R2047-1)*(Skills!Y15*(1+Inputs!$B$34/100))+MIN((Skills!Y15*(1+Inputs!$B$34/100)),MAX(0,Inputs!$B$44-((R2047-1)*Skills!D15))))/Inputs!$B$44),IF(Inputs!$B$39="pvp",MIN((Skills!Y15*(1+Inputs!$B$34/100)),15)/15,(Skills!Y15*(1+Inputs!$B$34/100))/Skills!D15)))/100)*(1+((C2038=TRUE)*F2038*B2066)/100))*B2074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2034)</f>
        <v/>
      </c>
      <c r="L2034">
        <f>K2034*(MIN(Inputs!$B$22+((C2056=TRUE)*(F2056-Calc!F24)),(Inputs!$B$23+0+(IF(ArtifactsInput!$M$15,CHOOSE(ArtifactsInput!$N$15+1,25,30,35,40,45,50)/100*(Inputs!$B$11-Inputs!$B$11),0))))/100+(Inputs!$B$23+0+(IF(ArtifactsInput!$M$15,CHOOSE(ArtifactsInput!$N$15+1,25,30,35,40,45,50)/100*(Inputs!$B$11-Inputs!$B$11),0)))/100)/2</f>
        <v/>
      </c>
      <c r="M2034">
        <f>L2034*(1+(Inputs!$B$10+((C2058=TRUE)*(F2058-Calc!F26))+B2075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34">
        <f>L2034*(1-MIN((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2034*(MIN((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34">
        <f>(1-Summary!$B$11)*T2034+Summary!$B$11*V2034</f>
        <v/>
      </c>
      <c r="P2034">
        <f>IF(B2076=0,0,O2034/B2076)</f>
        <v/>
      </c>
      <c r="Q2034" t="n">
        <v>0</v>
      </c>
      <c r="R2034" t="n">
        <v>0</v>
      </c>
      <c r="S2034">
        <f>IFERROR(O2034/N2034,0)</f>
        <v/>
      </c>
      <c r="T2034">
        <f>IF(C2034,(Skills!G2*N2034*B2070)*IF(Inputs!$B$39="pvp",1,1+(Inputs!$B$20+((C2059=TRUE)*(F2059-Calc!F27))+Skills!P2+B2073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Hunt"),CHOOSE(ArtifactsInput!$N$35+1,15,18,21,24,27,30)*(1-EXP(-(0.2*B2068)*5)),0)+IF(AND(ArtifactsInput!$M$22,Inputs!$B$4&lt;&gt;"Chapter Hunt"),CHOOSE(ArtifactsInput!$N$22+1,10,12,14,16,18,20)*((0*(((0.15*B2068*5))^0/1)+1*(((0.15*B2068*5))^1/1)+2*(((0.15*B2068*5))^2/2)+3*(((0.15*B2068*5))^3/6)+4*(((0.15*B2068*5))^4/24)+5*(((0.15*B2068*5))^5/120))/((((0.15*B2068*5))^0/1)+(((0.15*B2068*5))^1/1)+(((0.15*B2068*5))^2/2)+(((0.15*B2068*5))^3/6)+(((0.15*B2068*5))^4/24)+(((0.15*B2068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2034*(1-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2034*(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2034*(1-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2034*(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34">
        <f>MAX(0,(Inputs!$B$3-100)*3)+Inputs!$B$28+Inputs!$B$29</f>
        <v/>
      </c>
      <c r="V2034">
        <f>IF(C2034,(Skills!G2*N2034*B2070)*IF(Inputs!$B$39="pvp",1,(1+(Inputs!$B$21+Skills!Q2+B2073+(IF(ArtifactsInput!$M$33,CHOOSE(ArtifactsInput!$N$33+1,30,36,42,48,54,60),0))+(IF(AND(ArtifactsInput!$M$35,Inputs!$B$4&lt;&gt;"Chapter Hunt"),CHOOSE(ArtifactsInput!$N$35+1,15,18,21,24,27,30)*(1-EXP(-(0.2*B2068)*5)),0)+IF(AND(ArtifactsInput!$M$22,Inputs!$B$4&lt;&gt;"Chapter Hunt"),CHOOSE(ArtifactsInput!$N$22+1,10,12,14,16,18,20)*((0*(((0.15*B2068*5))^0/1)+1*(((0.15*B2068*5))^1/1)+2*(((0.15*B2068*5))^2/2)+3*(((0.15*B2068*5))^3/6)+4*(((0.15*B2068*5))^4/24)+5*(((0.15*B2068*5))^5/120))/((((0.15*B2068*5))^0/1)+(((0.15*B2068*5))^1/1)+(((0.15*B2068*5))^2/2)+(((0.15*B2068*5))^3/6)+(((0.15*B2068*5))^4/24)+(((0.15*B2068*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35">
      <c r="A2035">
        <f>Skills!A3</f>
        <v/>
      </c>
      <c r="B2035">
        <f>Skills!B3</f>
        <v/>
      </c>
      <c r="C2035">
        <f>Inputs!$B$3&gt;=35</f>
        <v/>
      </c>
      <c r="D2035">
        <f>IF(Skills!C3=1,60+Inputs!$B$25+Inputs!$B$29,IF(Skills!C3=2,90+Inputs!$B$26+Inputs!$B$29,IF(Skills!C3=3,120+Inputs!$B$27+Inputs!$B$29,MAX(0,(Inputs!$B$3-100)*3)+Inputs!$B$28+Inputs!$B$29)))</f>
        <v/>
      </c>
      <c r="E2035">
        <f>INDEX(FactorTable!$B$2:$Y$301, MATCH(ROUND(MIN(300,MAX(1,D2035)),0), FactorTable!$A$2:$A$301,0), Skills!M3+1)</f>
        <v/>
      </c>
      <c r="F2035">
        <f>IF(Skills!N3=TRUE,(Skills!L3/10)*(E2035/1000),Skills!L3/10)+Skills!O3</f>
        <v/>
      </c>
      <c r="G2035">
        <f>Calc!G3</f>
        <v/>
      </c>
      <c r="H2035">
        <f>Calc!H3</f>
        <v/>
      </c>
      <c r="I2035">
        <f>IF(Skills!AA3&lt;&gt;"",1+(Skills!AA3/10)*(U2035/1000)/100,1)</f>
        <v/>
      </c>
      <c r="J2035">
        <f>((Inputs!$B$6*(1+Inputs!$B$7/100))+(((Inputs!$B$12*(1+Inputs!$B$13/100))-(Inputs!$B$12*(1+Inputs!$B$13/100)))+0.25*(Inputs!$B$14-Inputs!$B$14))*(1+Inputs!$B$7/100))*(F2035/100)</f>
        <v/>
      </c>
      <c r="K2035">
        <f>J2035*(1+((Inputs!$B$12*(1+Inputs!$B$13/100))*0.01+Inputs!$B$14*0.0025)/100)*(1+Inputs!$B$15/100)*(1+Inputs!$B$16/100)*(5000/(6000+Inputs!$B$43*(1-(100*(1-(1-(Inputs!$B$19+0)/100)*(1-CHOOSE(ArtifactsInput!$N$40+1,5,6,7,8,9,10)/100)^(ArtifactsInput!$M$40-ArtifactsInput!$M$40)))/100)))*(1+(Inputs!$B$24+((C2062=TRUE)*(F2062-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2055=TRUE)*(F2055-Calc!F23))+(((IF(AND(ArtifactsInput!$M$42,((Inputs!$B$9+((C2057=TRUE)*(F2057-Calc!F25))+B2072+(ArtifactsInput!$M$24-ArtifactsInput!$M$24)*CHOOSE(ArtifactsInput!$N$24+1,10,12,14,16,18,20)+IF(ArtifactsInput!$M$10,CHOOSE(ArtifactsInput!$N$10+1,15,18,21,24,27,30)*(IF(Inputs!$B$39="pvp",MIN(15,15)/15,IF(AND(Inputs!$B$39&lt;&gt;"pvp",Inputs!$B$44&gt;0),MIN(15,Inputs!$B$44)/(Inputs!$B$44),0))),0)))&gt;=100),MIN(100,((Inputs!$B$9+((C2057=TRUE)*(F2057-Calc!F25))+B2072+(ArtifactsInput!$M$24-ArtifactsInput!$M$24)*CHOOSE(ArtifactsInput!$N$24+1,10,12,14,16,18,20)+IF(ArtifactsInput!$M$10,CHOOSE(ArtifactsInput!$N$10+1,15,18,21,24,27,30)*(IF(Inputs!$B$39="pvp",MIN(15,15)/15,IF(AND(Inputs!$B$39&lt;&gt;"pvp",Inputs!$B$44&gt;0),MIN(15,Inputs!$B$44)/(Inputs!$B$44),0))),0)))-100),0))*CHOOSE(ArtifactsInput!$N$42+1,0.6,0.72,0.84,0.96,1.08,1.2))),Inputs!$B$18+((C2061=TRUE)*(F2061-Calc!F29))+(IF(AND(ArtifactsInput!$M$42,((Inputs!$B$9+((C2057=TRUE)*(F2057-Calc!F25))+B2072+(ArtifactsInput!$M$24-ArtifactsInput!$M$24)*CHOOSE(ArtifactsInput!$N$24+1,10,12,14,16,18,20)+IF(ArtifactsInput!$M$10,CHOOSE(ArtifactsInput!$N$10+1,15,18,21,24,27,30)*(IF(Inputs!$B$39="pvp",MIN(15,15)/15,IF(AND(Inputs!$B$39&lt;&gt;"pvp",Inputs!$B$44&gt;0),MIN(15,Inputs!$B$44)/(Inputs!$B$44),0))),0)))&gt;=100),CHOOSE(ArtifactsInput!$N$42+1,40,48,56,64,72,80),0))))/100)*(((1+(((C2053=TRUE)*F2053*IF(AND(Inputs!$B$39&lt;&gt;"pvp",Inputs!$B$44&gt;0),(((R2053-1)*(Skills!Y21*(1+Inputs!$B$34/100))+MIN((Skills!Y21*(1+Inputs!$B$34/100)),MAX(0,Inputs!$B$44-((R2053-1)*Skills!D21))))/Inputs!$B$44),IF(Inputs!$B$39="pvp",MIN((Skills!Y21*(1+Inputs!$B$34/100)),15)/15,(Skills!Y21*(1+Inputs!$B$34/100))/Skills!D21)))+((C2060=TRUE)*(F2060-Calc!F28))+((C2050=TRUE)*(F2050-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2047=TRUE)*F2047*IF(AND(Inputs!$B$39&lt;&gt;"pvp",Inputs!$B$44&gt;0),(((R2047-1)*(Skills!Y15*(1+Inputs!$B$34/100))+MIN((Skills!Y15*(1+Inputs!$B$34/100)),MAX(0,Inputs!$B$44-((R2047-1)*Skills!D15))))/Inputs!$B$44),IF(Inputs!$B$39="pvp",MIN((Skills!Y15*(1+Inputs!$B$34/100)),15)/15,(Skills!Y15*(1+Inputs!$B$34/100))/Skills!D15)))/100)*(1+((C2038=TRUE)*F2038*B2066)/100))*B2074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2035)</f>
        <v/>
      </c>
      <c r="L2035">
        <f>K2035*(MIN(Inputs!$B$22+((C2056=TRUE)*(F2056-Calc!F24)),(Inputs!$B$23+0+(IF(ArtifactsInput!$M$15,CHOOSE(ArtifactsInput!$N$15+1,25,30,35,40,45,50)/100*(Inputs!$B$11-Inputs!$B$11),0))))/100+(Inputs!$B$23+0+(IF(ArtifactsInput!$M$15,CHOOSE(ArtifactsInput!$N$15+1,25,30,35,40,45,50)/100*(Inputs!$B$11-Inputs!$B$11),0)))/100)/2</f>
        <v/>
      </c>
      <c r="M2035">
        <f>L2035*(1+(Inputs!$B$10+((C2058=TRUE)*(F2058-Calc!F26))+B2075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35">
        <f>L2035*(1-MIN((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2035*(MIN((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35">
        <f>(1-Summary!$B$11)*T2035+Summary!$B$11*V2035</f>
        <v/>
      </c>
      <c r="P2035">
        <f>IF(B2076=0,0,O2035/B2076)</f>
        <v/>
      </c>
      <c r="Q2035">
        <f>IFERROR(1/IF(Inputs!$B$39="pvp",15,MAX(0.1,Skills!D3-IF(Skills!E3=TRUE,Inputs!$B$32,0))),0)</f>
        <v/>
      </c>
      <c r="R2035">
        <f>IF(AND(Inputs!$B$39&lt;&gt;"pvp",Inputs!$B$44&gt;0),IF(MAX(0,Inputs!$B$44-B2077)&lt;=0,0,(INT(MAX(0,Inputs!$B$44-B2077)/IF(Inputs!$B$39="pvp",15,MAX(0.1,Skills!D3-IF(Skills!E3=TRUE,Inputs!$B$32,0))))+1)),0)</f>
        <v/>
      </c>
      <c r="S2035">
        <f>IFERROR(O2035/N2035,0)</f>
        <v/>
      </c>
      <c r="T2035">
        <f>IF(C2035,(H2035*N2035*IF(AND(Inputs!$B$39&lt;&gt;"pvp",Inputs!$B$44&gt;0),((Skills!G3*((R2035-1)*IF(Skills!H3&gt;0,Skills!I3/Skills!H3,1)+IF(Skills!H3&gt;0,MIN(Skills!I3,MAX(0,MAX(0,Inputs!$B$44-B2077)-((R2035-1)*IF(Inputs!$B$39="pvp",15,MAX(0.1,Skills!D3-IF(Skills!E3=TRUE,Inputs!$B$32,0))))))/Skills!H3,1)))/Inputs!$B$44),G2035*Q2035))*IF(Inputs!$B$39="pvp",1,1+(Inputs!$B$20+((C2059=TRUE)*(F2059-Calc!F27))+Skills!P3+B2073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Hunt"),CHOOSE(ArtifactsInput!$N$35+1,15,18,21,24,27,30)*(1-EXP(-(0.2*B2068)*5)),0)+IF(AND(ArtifactsInput!$M$22,Inputs!$B$4&lt;&gt;"Chapter Hunt"),CHOOSE(ArtifactsInput!$N$22+1,10,12,14,16,18,20)*((0*(((0.15*B2068*5))^0/1)+1*(((0.15*B2068*5))^1/1)+2*(((0.15*B2068*5))^2/2)+3*(((0.15*B2068*5))^3/6)+4*(((0.15*B2068*5))^4/24)+5*(((0.15*B2068*5))^5/120))/((((0.15*B2068*5))^0/1)+(((0.15*B2068*5))^1/1)+(((0.15*B2068*5))^2/2)+(((0.15*B2068*5))^3/6)+(((0.15*B2068*5))^4/24)+(((0.15*B2068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2035*(1-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2035*(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2035*(1-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2035*(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35">
        <f>INDEX(FactorTable!$B$2:$Y$301, MATCH(ROUND(MIN(300,MAX(1,U2034)),0), FactorTable!$A$2:$A$301,0), 24)</f>
        <v/>
      </c>
      <c r="V2035">
        <f>IF(C2035,(H2035*N2035*IF(AND(Inputs!$B$39&lt;&gt;"pvp",Inputs!$B$44&gt;0),((Skills!G3*((R2035-1)*IF(Skills!H3&gt;0,Skills!I3/Skills!H3,1)+IF(Skills!H3&gt;0,MIN(Skills!I3,MAX(0,MAX(0,Inputs!$B$44-B2077)-((R2035-1)*IF(Inputs!$B$39="pvp",15,MAX(0.1,Skills!D3-IF(Skills!E3=TRUE,Inputs!$B$32,0))))))/Skills!H3,1)))/Inputs!$B$44),G2035*Q2035))*IF(Inputs!$B$39="pvp",1,(1+(Inputs!$B$21+Skills!Q3+B2073+(IF(ArtifactsInput!$M$33,CHOOSE(ArtifactsInput!$N$33+1,30,36,42,48,54,60),0))+(IF(AND(ArtifactsInput!$M$35,Inputs!$B$4&lt;&gt;"Chapter Hunt"),CHOOSE(ArtifactsInput!$N$35+1,15,18,21,24,27,30)*(1-EXP(-(0.2*B2068)*5)),0)+IF(AND(ArtifactsInput!$M$22,Inputs!$B$4&lt;&gt;"Chapter Hunt"),CHOOSE(ArtifactsInput!$N$22+1,10,12,14,16,18,20)*((0*(((0.15*B2068*5))^0/1)+1*(((0.15*B2068*5))^1/1)+2*(((0.15*B2068*5))^2/2)+3*(((0.15*B2068*5))^3/6)+4*(((0.15*B2068*5))^4/24)+5*(((0.15*B2068*5))^5/120))/((((0.15*B2068*5))^0/1)+(((0.15*B2068*5))^1/1)+(((0.15*B2068*5))^2/2)+(((0.15*B2068*5))^3/6)+(((0.15*B2068*5))^4/24)+(((0.15*B2068*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36">
      <c r="A2036">
        <f>Skills!A4</f>
        <v/>
      </c>
      <c r="B2036">
        <f>Skills!B4</f>
        <v/>
      </c>
      <c r="C2036">
        <f>Inputs!$B$3&gt;=40</f>
        <v/>
      </c>
      <c r="D2036">
        <f>IF(Skills!C4=1,60+Inputs!$B$25+Inputs!$B$29,IF(Skills!C4=2,90+Inputs!$B$26+Inputs!$B$29,IF(Skills!C4=3,120+Inputs!$B$27+Inputs!$B$29,MAX(0,(Inputs!$B$3-100)*3)+Inputs!$B$28+Inputs!$B$29)))</f>
        <v/>
      </c>
      <c r="E2036">
        <f>INDEX(FactorTable!$B$2:$Y$301, MATCH(ROUND(MIN(300,MAX(1,D2036)),0), FactorTable!$A$2:$A$301,0), Skills!M4+1)</f>
        <v/>
      </c>
      <c r="F2036">
        <f>IF(Skills!N4=TRUE,(Skills!L4/10)*(E2036/1000),Skills!L4/10)+Skills!O4</f>
        <v/>
      </c>
      <c r="G2036">
        <f>Calc!G4</f>
        <v/>
      </c>
      <c r="H2036">
        <f>Calc!H4</f>
        <v/>
      </c>
      <c r="I2036">
        <f>IF(Skills!AA4&lt;&gt;"",1+(Skills!AA4/10)*(U2035/1000)/100,1)</f>
        <v/>
      </c>
      <c r="J2036">
        <f>((Inputs!$B$6*(1+Inputs!$B$7/100))+(((Inputs!$B$12*(1+Inputs!$B$13/100))-(Inputs!$B$12*(1+Inputs!$B$13/100)))+0.25*(Inputs!$B$14-Inputs!$B$14))*(1+Inputs!$B$7/100))*(F2036/100)</f>
        <v/>
      </c>
      <c r="K2036">
        <f>J2036*(1+((Inputs!$B$12*(1+Inputs!$B$13/100))*0.01+Inputs!$B$14*0.0025)/100)*(1+Inputs!$B$15/100)*(1+Inputs!$B$16/100)*(5000/(6000+Inputs!$B$43*(1-(100*(1-(1-(Inputs!$B$19+0)/100)*(1-CHOOSE(ArtifactsInput!$N$40+1,5,6,7,8,9,10)/100)^(ArtifactsInput!$M$40-ArtifactsInput!$M$40)))/100)))*(1+(Inputs!$B$24+((C2062=TRUE)*(F2062-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2055=TRUE)*(F2055-Calc!F23))+(((IF(AND(ArtifactsInput!$M$42,((Inputs!$B$9+((C2057=TRUE)*(F2057-Calc!F25))+B2072+(ArtifactsInput!$M$24-ArtifactsInput!$M$24)*CHOOSE(ArtifactsInput!$N$24+1,10,12,14,16,18,20)+IF(ArtifactsInput!$M$10,CHOOSE(ArtifactsInput!$N$10+1,15,18,21,24,27,30)*(IF(Inputs!$B$39="pvp",MIN(15,15)/15,IF(AND(Inputs!$B$39&lt;&gt;"pvp",Inputs!$B$44&gt;0),MIN(15,Inputs!$B$44)/(Inputs!$B$44),0))),0)))&gt;=100),MIN(100,((Inputs!$B$9+((C2057=TRUE)*(F2057-Calc!F25))+B2072+(ArtifactsInput!$M$24-ArtifactsInput!$M$24)*CHOOSE(ArtifactsInput!$N$24+1,10,12,14,16,18,20)+IF(ArtifactsInput!$M$10,CHOOSE(ArtifactsInput!$N$10+1,15,18,21,24,27,30)*(IF(Inputs!$B$39="pvp",MIN(15,15)/15,IF(AND(Inputs!$B$39&lt;&gt;"pvp",Inputs!$B$44&gt;0),MIN(15,Inputs!$B$44)/(Inputs!$B$44),0))),0)))-100),0))*CHOOSE(ArtifactsInput!$N$42+1,0.6,0.72,0.84,0.96,1.08,1.2))),Inputs!$B$18+((C2061=TRUE)*(F2061-Calc!F29))+(IF(AND(ArtifactsInput!$M$42,((Inputs!$B$9+((C2057=TRUE)*(F2057-Calc!F25))+B2072+(ArtifactsInput!$M$24-ArtifactsInput!$M$24)*CHOOSE(ArtifactsInput!$N$24+1,10,12,14,16,18,20)+IF(ArtifactsInput!$M$10,CHOOSE(ArtifactsInput!$N$10+1,15,18,21,24,27,30)*(IF(Inputs!$B$39="pvp",MIN(15,15)/15,IF(AND(Inputs!$B$39&lt;&gt;"pvp",Inputs!$B$44&gt;0),MIN(15,Inputs!$B$44)/(Inputs!$B$44),0))),0)))&gt;=100),CHOOSE(ArtifactsInput!$N$42+1,40,48,56,64,72,80),0))))/100)*(((1+(((C2053=TRUE)*F2053*IF(AND(Inputs!$B$39&lt;&gt;"pvp",Inputs!$B$44&gt;0),(((R2053-1)*(Skills!Y21*(1+Inputs!$B$34/100))+MIN((Skills!Y21*(1+Inputs!$B$34/100)),MAX(0,Inputs!$B$44-((R2053-1)*Skills!D21))))/Inputs!$B$44),IF(Inputs!$B$39="pvp",MIN((Skills!Y21*(1+Inputs!$B$34/100)),15)/15,(Skills!Y21*(1+Inputs!$B$34/100))/Skills!D21)))+((C2060=TRUE)*(F2060-Calc!F28))+((C2050=TRUE)*(F2050-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2047=TRUE)*F2047*IF(AND(Inputs!$B$39&lt;&gt;"pvp",Inputs!$B$44&gt;0),(((R2047-1)*(Skills!Y15*(1+Inputs!$B$34/100))+MIN((Skills!Y15*(1+Inputs!$B$34/100)),MAX(0,Inputs!$B$44-((R2047-1)*Skills!D15))))/Inputs!$B$44),IF(Inputs!$B$39="pvp",MIN((Skills!Y15*(1+Inputs!$B$34/100)),15)/15,(Skills!Y15*(1+Inputs!$B$34/100))/Skills!D15)))/100)*(1+((C2038=TRUE)*F2038*B2066)/100))*B2074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2036)</f>
        <v/>
      </c>
      <c r="L2036">
        <f>K2036*(MIN(Inputs!$B$22+((C2056=TRUE)*(F2056-Calc!F24)),(Inputs!$B$23+0+(IF(ArtifactsInput!$M$15,CHOOSE(ArtifactsInput!$N$15+1,25,30,35,40,45,50)/100*(Inputs!$B$11-Inputs!$B$11),0))))/100+(Inputs!$B$23+0+(IF(ArtifactsInput!$M$15,CHOOSE(ArtifactsInput!$N$15+1,25,30,35,40,45,50)/100*(Inputs!$B$11-Inputs!$B$11),0)))/100)/2</f>
        <v/>
      </c>
      <c r="M2036">
        <f>L2036*(1+(Inputs!$B$10+((C2058=TRUE)*(F2058-Calc!F26))+B2075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36">
        <f>L2036*(1-MIN((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2036*(MIN((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36">
        <f>(1-Summary!$B$11)*T2036+Summary!$B$11*V2036</f>
        <v/>
      </c>
      <c r="P2036">
        <f>IF(B2076=0,0,O2036/B2076)</f>
        <v/>
      </c>
      <c r="Q2036">
        <f>IFERROR(1/IF(Inputs!$B$39="pvp",15,MAX(0.1,Skills!D4-IF(Skills!E4=TRUE,Inputs!$B$32,0))),0)</f>
        <v/>
      </c>
      <c r="R2036">
        <f>IF(AND(Inputs!$B$39&lt;&gt;"pvp",Inputs!$B$44&gt;0),IF(MAX(0,Inputs!$B$44-B2077)&lt;=0,0,(INT(MAX(0,Inputs!$B$44-B2077)/IF(Inputs!$B$39="pvp",15,MAX(0.1,Skills!D4-IF(Skills!E4=TRUE,Inputs!$B$32,0))))+1)),0)</f>
        <v/>
      </c>
      <c r="S2036">
        <f>IFERROR(O2036/N2036,0)</f>
        <v/>
      </c>
      <c r="T2036">
        <f>IF(C2036,(H2036*N2036*IF(AND(Inputs!$B$39&lt;&gt;"pvp",Inputs!$B$44&gt;0),((Skills!G4*((R2036-1)*IF(Skills!H4&gt;0,Skills!I4/Skills!H4,1)+IF(Skills!H4&gt;0,MIN(Skills!I4,MAX(0,MAX(0,Inputs!$B$44-B2077)-((R2036-1)*IF(Inputs!$B$39="pvp",15,MAX(0.1,Skills!D4-IF(Skills!E4=TRUE,Inputs!$B$32,0))))))/Skills!H4,1)))/Inputs!$B$44),G2036*Q2036))*IF(Inputs!$B$39="pvp",1,1+(Inputs!$B$20+((C2059=TRUE)*(F2059-Calc!F27))+Skills!P4+B2073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Hunt"),CHOOSE(ArtifactsInput!$N$35+1,15,18,21,24,27,30)*(1-EXP(-(0.2*B2068)*5)),0)+IF(AND(ArtifactsInput!$M$22,Inputs!$B$4&lt;&gt;"Chapter Hunt"),CHOOSE(ArtifactsInput!$N$22+1,10,12,14,16,18,20)*((0*(((0.15*B2068*5))^0/1)+1*(((0.15*B2068*5))^1/1)+2*(((0.15*B2068*5))^2/2)+3*(((0.15*B2068*5))^3/6)+4*(((0.15*B2068*5))^4/24)+5*(((0.15*B2068*5))^5/120))/((((0.15*B2068*5))^0/1)+(((0.15*B2068*5))^1/1)+(((0.15*B2068*5))^2/2)+(((0.15*B2068*5))^3/6)+(((0.15*B2068*5))^4/24)+(((0.15*B2068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2036*(1-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2036*(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2036*(1-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2036*(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36">
        <f>MAX(0,(Inputs!$B$3-100)*3)+Inputs!$B$28+Inputs!$B$29</f>
        <v/>
      </c>
      <c r="V2036">
        <f>IF(C2036,(H2036*N2036*IF(AND(Inputs!$B$39&lt;&gt;"pvp",Inputs!$B$44&gt;0),((Skills!G4*((R2036-1)*IF(Skills!H4&gt;0,Skills!I4/Skills!H4,1)+IF(Skills!H4&gt;0,MIN(Skills!I4,MAX(0,MAX(0,Inputs!$B$44-B2077)-((R2036-1)*IF(Inputs!$B$39="pvp",15,MAX(0.1,Skills!D4-IF(Skills!E4=TRUE,Inputs!$B$32,0))))))/Skills!H4,1)))/Inputs!$B$44),G2036*Q2036))*IF(Inputs!$B$39="pvp",1,(1+(Inputs!$B$21+Skills!Q4+B2073+(IF(ArtifactsInput!$M$33,CHOOSE(ArtifactsInput!$N$33+1,30,36,42,48,54,60),0))+(IF(AND(ArtifactsInput!$M$35,Inputs!$B$4&lt;&gt;"Chapter Hunt"),CHOOSE(ArtifactsInput!$N$35+1,15,18,21,24,27,30)*(1-EXP(-(0.2*B2068)*5)),0)+IF(AND(ArtifactsInput!$M$22,Inputs!$B$4&lt;&gt;"Chapter Hunt"),CHOOSE(ArtifactsInput!$N$22+1,10,12,14,16,18,20)*((0*(((0.15*B2068*5))^0/1)+1*(((0.15*B2068*5))^1/1)+2*(((0.15*B2068*5))^2/2)+3*(((0.15*B2068*5))^3/6)+4*(((0.15*B2068*5))^4/24)+5*(((0.15*B2068*5))^5/120))/((((0.15*B2068*5))^0/1)+(((0.15*B2068*5))^1/1)+(((0.15*B2068*5))^2/2)+(((0.15*B2068*5))^3/6)+(((0.15*B2068*5))^4/24)+(((0.15*B2068*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37">
      <c r="A2037">
        <f>Skills!A5</f>
        <v/>
      </c>
      <c r="B2037">
        <f>Skills!B5</f>
        <v/>
      </c>
      <c r="C2037">
        <f>Inputs!$B$3&gt;=63</f>
        <v/>
      </c>
      <c r="D2037">
        <f>IF(Skills!C5=1,60+Inputs!$B$25+Inputs!$B$29,IF(Skills!C5=2,90+Inputs!$B$26+Inputs!$B$29,IF(Skills!C5=3,120+Inputs!$B$27+Inputs!$B$29,MAX(0,(Inputs!$B$3-100)*3)+Inputs!$B$28+Inputs!$B$29)))</f>
        <v/>
      </c>
      <c r="E2037">
        <f>INDEX(FactorTable!$B$2:$Y$301, MATCH(ROUND(MIN(300,MAX(1,D2037)),0), FactorTable!$A$2:$A$301,0), Skills!M5+1)</f>
        <v/>
      </c>
      <c r="F2037">
        <f>IF(Skills!N5=TRUE,(Skills!L5/10)*(E2037/1000),Skills!L5/10)+Skills!O5</f>
        <v/>
      </c>
      <c r="G2037">
        <f>Calc!G5</f>
        <v/>
      </c>
      <c r="H2037">
        <f>Calc!H5</f>
        <v/>
      </c>
      <c r="I2037">
        <f>IF(Skills!AA5&lt;&gt;"",1+(Skills!AA5/10)*(U2035/1000)/100,1)</f>
        <v/>
      </c>
      <c r="J2037">
        <f>((Inputs!$B$6*(1+Inputs!$B$7/100))+(((Inputs!$B$12*(1+Inputs!$B$13/100))-(Inputs!$B$12*(1+Inputs!$B$13/100)))+0.25*(Inputs!$B$14-Inputs!$B$14))*(1+Inputs!$B$7/100))*(F2037/100)</f>
        <v/>
      </c>
      <c r="K2037">
        <f>J2037*(1+((Inputs!$B$12*(1+Inputs!$B$13/100))*0.01+Inputs!$B$14*0.0025)/100)*(1+Inputs!$B$15/100)*(1+Inputs!$B$16/100)*(5000/(6000+Inputs!$B$43*(1-(100*(1-(1-(Inputs!$B$19+0)/100)*(1-CHOOSE(ArtifactsInput!$N$40+1,5,6,7,8,9,10)/100)^(ArtifactsInput!$M$40-ArtifactsInput!$M$40)))/100)))*(1+(Inputs!$B$24+((C2062=TRUE)*(F2062-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2055=TRUE)*(F2055-Calc!F23))+(((IF(AND(ArtifactsInput!$M$42,((Inputs!$B$9+((C2057=TRUE)*(F2057-Calc!F25))+B2072+(ArtifactsInput!$M$24-ArtifactsInput!$M$24)*CHOOSE(ArtifactsInput!$N$24+1,10,12,14,16,18,20)+IF(ArtifactsInput!$M$10,CHOOSE(ArtifactsInput!$N$10+1,15,18,21,24,27,30)*(IF(Inputs!$B$39="pvp",MIN(15,15)/15,IF(AND(Inputs!$B$39&lt;&gt;"pvp",Inputs!$B$44&gt;0),MIN(15,Inputs!$B$44)/(Inputs!$B$44),0))),0)))&gt;=100),MIN(100,((Inputs!$B$9+((C2057=TRUE)*(F2057-Calc!F25))+B2072+(ArtifactsInput!$M$24-ArtifactsInput!$M$24)*CHOOSE(ArtifactsInput!$N$24+1,10,12,14,16,18,20)+IF(ArtifactsInput!$M$10,CHOOSE(ArtifactsInput!$N$10+1,15,18,21,24,27,30)*(IF(Inputs!$B$39="pvp",MIN(15,15)/15,IF(AND(Inputs!$B$39&lt;&gt;"pvp",Inputs!$B$44&gt;0),MIN(15,Inputs!$B$44)/(Inputs!$B$44),0))),0)))-100),0))*CHOOSE(ArtifactsInput!$N$42+1,0.6,0.72,0.84,0.96,1.08,1.2))),Inputs!$B$18+((C2061=TRUE)*(F2061-Calc!F29))+(IF(AND(ArtifactsInput!$M$42,((Inputs!$B$9+((C2057=TRUE)*(F2057-Calc!F25))+B2072+(ArtifactsInput!$M$24-ArtifactsInput!$M$24)*CHOOSE(ArtifactsInput!$N$24+1,10,12,14,16,18,20)+IF(ArtifactsInput!$M$10,CHOOSE(ArtifactsInput!$N$10+1,15,18,21,24,27,30)*(IF(Inputs!$B$39="pvp",MIN(15,15)/15,IF(AND(Inputs!$B$39&lt;&gt;"pvp",Inputs!$B$44&gt;0),MIN(15,Inputs!$B$44)/(Inputs!$B$44),0))),0)))&gt;=100),CHOOSE(ArtifactsInput!$N$42+1,40,48,56,64,72,80),0))))/100)*(((1+(((C2053=TRUE)*F2053*IF(AND(Inputs!$B$39&lt;&gt;"pvp",Inputs!$B$44&gt;0),(((R2053-1)*(Skills!Y21*(1+Inputs!$B$34/100))+MIN((Skills!Y21*(1+Inputs!$B$34/100)),MAX(0,Inputs!$B$44-((R2053-1)*Skills!D21))))/Inputs!$B$44),IF(Inputs!$B$39="pvp",MIN((Skills!Y21*(1+Inputs!$B$34/100)),15)/15,(Skills!Y21*(1+Inputs!$B$34/100))/Skills!D21)))+((C2060=TRUE)*(F2060-Calc!F28))+((C2050=TRUE)*(F2050-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2047=TRUE)*F2047*IF(AND(Inputs!$B$39&lt;&gt;"pvp",Inputs!$B$44&gt;0),(((R2047-1)*(Skills!Y15*(1+Inputs!$B$34/100))+MIN((Skills!Y15*(1+Inputs!$B$34/100)),MAX(0,Inputs!$B$44-((R2047-1)*Skills!D15))))/Inputs!$B$44),IF(Inputs!$B$39="pvp",MIN((Skills!Y15*(1+Inputs!$B$34/100)),15)/15,(Skills!Y15*(1+Inputs!$B$34/100))/Skills!D15)))/100)*(1+((C2038=TRUE)*F2038*B2066)/100))*B2074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2037)</f>
        <v/>
      </c>
      <c r="L2037">
        <f>K2037*(MIN(Inputs!$B$22+((C2056=TRUE)*(F2056-Calc!F24)),(Inputs!$B$23+0+(IF(ArtifactsInput!$M$15,CHOOSE(ArtifactsInput!$N$15+1,25,30,35,40,45,50)/100*(Inputs!$B$11-Inputs!$B$11),0))))/100+(Inputs!$B$23+0+(IF(ArtifactsInput!$M$15,CHOOSE(ArtifactsInput!$N$15+1,25,30,35,40,45,50)/100*(Inputs!$B$11-Inputs!$B$11),0)))/100)/2</f>
        <v/>
      </c>
      <c r="M2037">
        <f>L2037*(1+(Inputs!$B$10+((C2058=TRUE)*(F2058-Calc!F26))+B2075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37">
        <f>L2037*(1-MIN((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2037*(MIN((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37">
        <f>(1-Summary!$B$11)*T2037+Summary!$B$11*V2037</f>
        <v/>
      </c>
      <c r="P2037">
        <f>IF(B2076=0,0,O2037/B2076)</f>
        <v/>
      </c>
      <c r="Q2037">
        <f>IFERROR(1/IF(Inputs!$B$39="pvp",15,MAX(0.1,Skills!D5-IF(Skills!E5=TRUE,Inputs!$B$32,0))),0)</f>
        <v/>
      </c>
      <c r="R2037">
        <f>IF(AND(Inputs!$B$39&lt;&gt;"pvp",Inputs!$B$44&gt;0),IF(MAX(0,Inputs!$B$44-B2077)&lt;=0,0,(INT(MAX(0,Inputs!$B$44-B2077)/IF(Inputs!$B$39="pvp",15,MAX(0.1,Skills!D5-IF(Skills!E5=TRUE,Inputs!$B$32,0))))+1)),0)</f>
        <v/>
      </c>
      <c r="S2037">
        <f>IFERROR(O2037/N2037,0)</f>
        <v/>
      </c>
      <c r="T2037">
        <f>IF(C2037,(H2037*N2037*IF(AND(Inputs!$B$39&lt;&gt;"pvp",Inputs!$B$44&gt;0),((Skills!G5*((R2037-1)*IF(Skills!H5&gt;0,Skills!I5/Skills!H5,1)+IF(Skills!H5&gt;0,MIN(Skills!I5,MAX(0,MAX(0,Inputs!$B$44-B2077)-((R2037-1)*IF(Inputs!$B$39="pvp",15,MAX(0.1,Skills!D5-IF(Skills!E5=TRUE,Inputs!$B$32,0))))))/Skills!H5,1)))/Inputs!$B$44),G2037*Q2037))*IF(Inputs!$B$39="pvp",1,1+(Inputs!$B$20+((C2059=TRUE)*(F2059-Calc!F27))+Skills!P5+B2073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Hunt"),CHOOSE(ArtifactsInput!$N$35+1,15,18,21,24,27,30)*(1-EXP(-(0.2*B2068)*5)),0)+IF(AND(ArtifactsInput!$M$22,Inputs!$B$4&lt;&gt;"Chapter Hunt"),CHOOSE(ArtifactsInput!$N$22+1,10,12,14,16,18,20)*((0*(((0.15*B2068*5))^0/1)+1*(((0.15*B2068*5))^1/1)+2*(((0.15*B2068*5))^2/2)+3*(((0.15*B2068*5))^3/6)+4*(((0.15*B2068*5))^4/24)+5*(((0.15*B2068*5))^5/120))/((((0.15*B2068*5))^0/1)+(((0.15*B2068*5))^1/1)+(((0.15*B2068*5))^2/2)+(((0.15*B2068*5))^3/6)+(((0.15*B2068*5))^4/24)+(((0.15*B2068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2037*(1-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2037*(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2037*(1-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2037*(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37">
        <f>INDEX(FactorTable!$B$2:$Y$301, MATCH(ROUND(MIN(300,MAX(1,U2036)),0), FactorTable!$A$2:$A$301,0), 22)</f>
        <v/>
      </c>
      <c r="V2037">
        <f>IF(C2037,(H2037*N2037*IF(AND(Inputs!$B$39&lt;&gt;"pvp",Inputs!$B$44&gt;0),((Skills!G5*((R2037-1)*IF(Skills!H5&gt;0,Skills!I5/Skills!H5,1)+IF(Skills!H5&gt;0,MIN(Skills!I5,MAX(0,MAX(0,Inputs!$B$44-B2077)-((R2037-1)*IF(Inputs!$B$39="pvp",15,MAX(0.1,Skills!D5-IF(Skills!E5=TRUE,Inputs!$B$32,0))))))/Skills!H5,1)))/Inputs!$B$44),G2037*Q2037))*IF(Inputs!$B$39="pvp",1,(1+(Inputs!$B$21+Skills!Q5+B2073+(IF(ArtifactsInput!$M$33,CHOOSE(ArtifactsInput!$N$33+1,30,36,42,48,54,60),0))+(IF(AND(ArtifactsInput!$M$35,Inputs!$B$4&lt;&gt;"Chapter Hunt"),CHOOSE(ArtifactsInput!$N$35+1,15,18,21,24,27,30)*(1-EXP(-(0.2*B2068)*5)),0)+IF(AND(ArtifactsInput!$M$22,Inputs!$B$4&lt;&gt;"Chapter Hunt"),CHOOSE(ArtifactsInput!$N$22+1,10,12,14,16,18,20)*((0*(((0.15*B2068*5))^0/1)+1*(((0.15*B2068*5))^1/1)+2*(((0.15*B2068*5))^2/2)+3*(((0.15*B2068*5))^3/6)+4*(((0.15*B2068*5))^4/24)+5*(((0.15*B2068*5))^5/120))/((((0.15*B2068*5))^0/1)+(((0.15*B2068*5))^1/1)+(((0.15*B2068*5))^2/2)+(((0.15*B2068*5))^3/6)+(((0.15*B2068*5))^4/24)+(((0.15*B2068*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38">
      <c r="A2038">
        <f>Skills!A6</f>
        <v/>
      </c>
      <c r="B2038">
        <f>Skills!B6</f>
        <v/>
      </c>
      <c r="C2038">
        <f>Inputs!$B$3&gt;=66</f>
        <v/>
      </c>
      <c r="D2038">
        <f>IF(Skills!C6=1,60+Inputs!$B$25+Inputs!$B$29,IF(Skills!C6=2,90+Inputs!$B$26+Inputs!$B$29,IF(Skills!C6=3,120+Inputs!$B$27+Inputs!$B$29,MAX(0,(Inputs!$B$3-100)*3)+Inputs!$B$28+Inputs!$B$29)))</f>
        <v/>
      </c>
      <c r="E2038">
        <f>INDEX(FactorTable!$B$2:$Y$301, MATCH(ROUND(MIN(300,MAX(1,D2038)),0), FactorTable!$A$2:$A$301,0), Skills!M6+1)</f>
        <v/>
      </c>
      <c r="F2038">
        <f>IF(Skills!N6=TRUE,(Skills!L6/10)*(E2038/1000),Skills!L6/10)+Skills!O6</f>
        <v/>
      </c>
      <c r="G2038">
        <f>Calc!G6</f>
        <v/>
      </c>
      <c r="H2038">
        <f>Calc!H6</f>
        <v/>
      </c>
      <c r="I2038">
        <f>IF(Skills!AA6&lt;&gt;"",1+(Skills!AA6/10)*(U2035/1000)/100,1)</f>
        <v/>
      </c>
      <c r="J2038" t="inlineStr"/>
      <c r="K2038" t="inlineStr"/>
      <c r="L2038" t="inlineStr"/>
      <c r="M2038" t="inlineStr"/>
      <c r="N2038" t="inlineStr"/>
      <c r="O2038">
        <f>(1-Summary!$B$11)*T2038+Summary!$B$11*V2038</f>
        <v/>
      </c>
      <c r="P2038">
        <f>IF(B2076=0,0,O2038/B2076)</f>
        <v/>
      </c>
      <c r="Q2038" t="n">
        <v>0</v>
      </c>
      <c r="R2038" t="n">
        <v>0</v>
      </c>
      <c r="S2038">
        <f>IFERROR(O2038/N2038,0)</f>
        <v/>
      </c>
      <c r="T2038" t="n">
        <v>0</v>
      </c>
      <c r="U2038">
        <f>290*U2037/1000</f>
        <v/>
      </c>
      <c r="V2038" t="n">
        <v>0</v>
      </c>
    </row>
    <row r="2039">
      <c r="A2039">
        <f>Skills!A7</f>
        <v/>
      </c>
      <c r="B2039">
        <f>Skills!B7</f>
        <v/>
      </c>
      <c r="C2039">
        <f>Inputs!$B$3&gt;=66</f>
        <v/>
      </c>
      <c r="D2039">
        <f>IF(Skills!C7=1,60+Inputs!$B$25+Inputs!$B$29,IF(Skills!C7=2,90+Inputs!$B$26+Inputs!$B$29,IF(Skills!C7=3,120+Inputs!$B$27+Inputs!$B$29,MAX(0,(Inputs!$B$3-100)*3)+Inputs!$B$28+Inputs!$B$29)))</f>
        <v/>
      </c>
      <c r="E2039">
        <f>INDEX(FactorTable!$B$2:$Y$301, MATCH(ROUND(MIN(300,MAX(1,D2039)),0), FactorTable!$A$2:$A$301,0), Skills!M7+1)</f>
        <v/>
      </c>
      <c r="F2039">
        <f>IF(Skills!N7=TRUE,(Skills!L7/10)*(E2039/1000),Skills!L7/10)+Skills!O7</f>
        <v/>
      </c>
      <c r="G2039">
        <f>Calc!G7</f>
        <v/>
      </c>
      <c r="H2039">
        <f>Calc!H7</f>
        <v/>
      </c>
      <c r="I2039">
        <f>IF(Skills!AA7&lt;&gt;"",1+(Skills!AA7/10)*(U2035/1000)/100,1)</f>
        <v/>
      </c>
      <c r="J2039" t="inlineStr"/>
      <c r="K2039" t="inlineStr"/>
      <c r="L2039" t="inlineStr"/>
      <c r="M2039" t="inlineStr"/>
      <c r="N2039" t="inlineStr"/>
      <c r="O2039">
        <f>(1-Summary!$B$11)*T2039+Summary!$B$11*V2039</f>
        <v/>
      </c>
      <c r="P2039">
        <f>IF(B2076=0,0,O2039/B2076)</f>
        <v/>
      </c>
      <c r="Q2039" t="n">
        <v>0</v>
      </c>
      <c r="R2039" t="n">
        <v>0</v>
      </c>
      <c r="S2039">
        <f>IFERROR(O2039/N2039,0)</f>
        <v/>
      </c>
      <c r="T2039" t="n">
        <v>0</v>
      </c>
      <c r="V2039" t="n">
        <v>0</v>
      </c>
    </row>
    <row r="2040">
      <c r="A2040">
        <f>Skills!A8</f>
        <v/>
      </c>
      <c r="B2040">
        <f>Skills!B8</f>
        <v/>
      </c>
      <c r="C2040">
        <f>Inputs!$B$3&gt;=69</f>
        <v/>
      </c>
      <c r="D2040">
        <f>IF(Skills!C8=1,60+Inputs!$B$25+Inputs!$B$29,IF(Skills!C8=2,90+Inputs!$B$26+Inputs!$B$29,IF(Skills!C8=3,120+Inputs!$B$27+Inputs!$B$29,MAX(0,(Inputs!$B$3-100)*3)+Inputs!$B$28+Inputs!$B$29)))</f>
        <v/>
      </c>
      <c r="E2040">
        <f>INDEX(FactorTable!$B$2:$Y$301, MATCH(ROUND(MIN(300,MAX(1,D2040)),0), FactorTable!$A$2:$A$301,0), Skills!M8+1)</f>
        <v/>
      </c>
      <c r="F2040">
        <f>IF(Skills!N8=TRUE,(Skills!L8/10)*(E2040/1000),Skills!L8/10)+Skills!O8</f>
        <v/>
      </c>
      <c r="G2040">
        <f>Calc!G8</f>
        <v/>
      </c>
      <c r="H2040">
        <f>Calc!H8</f>
        <v/>
      </c>
      <c r="I2040">
        <f>IF(Skills!AA8&lt;&gt;"",1+(Skills!AA8/10)*(U2035/1000)/100,1)</f>
        <v/>
      </c>
      <c r="J2040">
        <f>((Inputs!$B$6*(1+Inputs!$B$7/100))+(((Inputs!$B$12*(1+Inputs!$B$13/100))-(Inputs!$B$12*(1+Inputs!$B$13/100)))+0.25*(Inputs!$B$14-Inputs!$B$14))*(1+Inputs!$B$7/100))*(F2040/100)</f>
        <v/>
      </c>
      <c r="K2040">
        <f>J2040*(1+((Inputs!$B$12*(1+Inputs!$B$13/100))*0.01+Inputs!$B$14*0.0025)/100)*(1+Inputs!$B$15/100)*(1+Inputs!$B$16/100)*(5000/(6000+Inputs!$B$43*(1-(100*(1-(1-(Inputs!$B$19+0)/100)*(1-CHOOSE(ArtifactsInput!$N$40+1,5,6,7,8,9,10)/100)^(ArtifactsInput!$M$40-ArtifactsInput!$M$40)))/100)))*(1+(Inputs!$B$24+((C2062=TRUE)*(F2062-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2055=TRUE)*(F2055-Calc!F23))+(((IF(AND(ArtifactsInput!$M$42,((Inputs!$B$9+((C2057=TRUE)*(F2057-Calc!F25))+B2072+(ArtifactsInput!$M$24-ArtifactsInput!$M$24)*CHOOSE(ArtifactsInput!$N$24+1,10,12,14,16,18,20)+IF(ArtifactsInput!$M$10,CHOOSE(ArtifactsInput!$N$10+1,15,18,21,24,27,30)*(IF(Inputs!$B$39="pvp",MIN(15,15)/15,IF(AND(Inputs!$B$39&lt;&gt;"pvp",Inputs!$B$44&gt;0),MIN(15,Inputs!$B$44)/(Inputs!$B$44),0))),0)))&gt;=100),MIN(100,((Inputs!$B$9+((C2057=TRUE)*(F2057-Calc!F25))+B2072+(ArtifactsInput!$M$24-ArtifactsInput!$M$24)*CHOOSE(ArtifactsInput!$N$24+1,10,12,14,16,18,20)+IF(ArtifactsInput!$M$10,CHOOSE(ArtifactsInput!$N$10+1,15,18,21,24,27,30)*(IF(Inputs!$B$39="pvp",MIN(15,15)/15,IF(AND(Inputs!$B$39&lt;&gt;"pvp",Inputs!$B$44&gt;0),MIN(15,Inputs!$B$44)/(Inputs!$B$44),0))),0)))-100),0))*CHOOSE(ArtifactsInput!$N$42+1,0.6,0.72,0.84,0.96,1.08,1.2))),Inputs!$B$18+((C2061=TRUE)*(F2061-Calc!F29))+(IF(AND(ArtifactsInput!$M$42,((Inputs!$B$9+((C2057=TRUE)*(F2057-Calc!F25))+B2072+(ArtifactsInput!$M$24-ArtifactsInput!$M$24)*CHOOSE(ArtifactsInput!$N$24+1,10,12,14,16,18,20)+IF(ArtifactsInput!$M$10,CHOOSE(ArtifactsInput!$N$10+1,15,18,21,24,27,30)*(IF(Inputs!$B$39="pvp",MIN(15,15)/15,IF(AND(Inputs!$B$39&lt;&gt;"pvp",Inputs!$B$44&gt;0),MIN(15,Inputs!$B$44)/(Inputs!$B$44),0))),0)))&gt;=100),CHOOSE(ArtifactsInput!$N$42+1,40,48,56,64,72,80),0))))/100)*(((1+(((C2053=TRUE)*F2053*IF(AND(Inputs!$B$39&lt;&gt;"pvp",Inputs!$B$44&gt;0),(((R2053-1)*(Skills!Y21*(1+Inputs!$B$34/100))+MIN((Skills!Y21*(1+Inputs!$B$34/100)),MAX(0,Inputs!$B$44-((R2053-1)*Skills!D21))))/Inputs!$B$44),IF(Inputs!$B$39="pvp",MIN((Skills!Y21*(1+Inputs!$B$34/100)),15)/15,(Skills!Y21*(1+Inputs!$B$34/100))/Skills!D21)))+((C2060=TRUE)*(F2060-Calc!F28))+((C2050=TRUE)*(F2050-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2047=TRUE)*F2047*IF(AND(Inputs!$B$39&lt;&gt;"pvp",Inputs!$B$44&gt;0),(((R2047-1)*(Skills!Y15*(1+Inputs!$B$34/100))+MIN((Skills!Y15*(1+Inputs!$B$34/100)),MAX(0,Inputs!$B$44-((R2047-1)*Skills!D15))))/Inputs!$B$44),IF(Inputs!$B$39="pvp",MIN((Skills!Y15*(1+Inputs!$B$34/100)),15)/15,(Skills!Y15*(1+Inputs!$B$34/100))/Skills!D15)))/100)*(1+((C2038=TRUE)*F2038*B2066)/100))*B2074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2040)</f>
        <v/>
      </c>
      <c r="L2040">
        <f>K2040*(MIN(Inputs!$B$22+((C2056=TRUE)*(F2056-Calc!F24)),(Inputs!$B$23+0+(IF(ArtifactsInput!$M$15,CHOOSE(ArtifactsInput!$N$15+1,25,30,35,40,45,50)/100*(Inputs!$B$11-Inputs!$B$11),0))))/100+(Inputs!$B$23+0+(IF(ArtifactsInput!$M$15,CHOOSE(ArtifactsInput!$N$15+1,25,30,35,40,45,50)/100*(Inputs!$B$11-Inputs!$B$11),0)))/100)/2</f>
        <v/>
      </c>
      <c r="M2040">
        <f>L2040*(1+(Inputs!$B$10+((C2058=TRUE)*(F2058-Calc!F26))+B2075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40">
        <f>L2040*(1-MIN((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2040*(MIN((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40">
        <f>(1-Summary!$B$11)*T2040+Summary!$B$11*V2040</f>
        <v/>
      </c>
      <c r="P2040">
        <f>IF(B2076=0,0,O2040/B2076)</f>
        <v/>
      </c>
      <c r="Q2040">
        <f>IFERROR(1/IF(Inputs!$B$39="pvp",15,MAX(0.1,Skills!D8-IF(Skills!E8=TRUE,Inputs!$B$32,0))),0)</f>
        <v/>
      </c>
      <c r="R2040">
        <f>IF(AND(Inputs!$B$39&lt;&gt;"pvp",Inputs!$B$44&gt;0),IF(MAX(0,Inputs!$B$44-B2077)&lt;=0,0,(INT(MAX(0,Inputs!$B$44-B2077)/IF(Inputs!$B$39="pvp",15,MAX(0.1,Skills!D8-IF(Skills!E8=TRUE,Inputs!$B$32,0))))+1)),0)</f>
        <v/>
      </c>
      <c r="S2040">
        <f>IFERROR(O2040/N2040,0)</f>
        <v/>
      </c>
      <c r="T2040">
        <f>IF(C2040,(H2040*N2040*IF(AND(Inputs!$B$39&lt;&gt;"pvp",Inputs!$B$44&gt;0),((Skills!G8*((R2040-1)*IF(Skills!H8&gt;0,Skills!I8/Skills!H8,1)+IF(Skills!H8&gt;0,MIN(Skills!I8,MAX(0,MAX(0,Inputs!$B$44-B2077)-((R2040-1)*IF(Inputs!$B$39="pvp",15,MAX(0.1,Skills!D8-IF(Skills!E8=TRUE,Inputs!$B$32,0))))))/Skills!H8,1)))/Inputs!$B$44),G2040*Q2040))*IF(Inputs!$B$39="pvp",1,1+(Inputs!$B$20+((C2059=TRUE)*(F2059-Calc!F27))+Skills!P8+B2073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Hunt"),CHOOSE(ArtifactsInput!$N$35+1,15,18,21,24,27,30)*(1-EXP(-(0.2*B2068)*5)),0)+IF(AND(ArtifactsInput!$M$22,Inputs!$B$4&lt;&gt;"Chapter Hunt"),CHOOSE(ArtifactsInput!$N$22+1,10,12,14,16,18,20)*((0*(((0.15*B2068*5))^0/1)+1*(((0.15*B2068*5))^1/1)+2*(((0.15*B2068*5))^2/2)+3*(((0.15*B2068*5))^3/6)+4*(((0.15*B2068*5))^4/24)+5*(((0.15*B2068*5))^5/120))/((((0.15*B2068*5))^0/1)+(((0.15*B2068*5))^1/1)+(((0.15*B2068*5))^2/2)+(((0.15*B2068*5))^3/6)+(((0.15*B2068*5))^4/24)+(((0.15*B2068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2040*(1-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2040*(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2040*(1-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2040*(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40">
        <f>IF(C2040,(H2040*N2040*IF(AND(Inputs!$B$39&lt;&gt;"pvp",Inputs!$B$44&gt;0),((Skills!G8*((R2040-1)*IF(Skills!H8&gt;0,Skills!I8/Skills!H8,1)+IF(Skills!H8&gt;0,MIN(Skills!I8,MAX(0,MAX(0,Inputs!$B$44-B2077)-((R2040-1)*IF(Inputs!$B$39="pvp",15,MAX(0.1,Skills!D8-IF(Skills!E8=TRUE,Inputs!$B$32,0))))))/Skills!H8,1)))/Inputs!$B$44),G2040*Q2040))*IF(Inputs!$B$39="pvp",1,(1+(Inputs!$B$21+Skills!Q8+B2073+(IF(ArtifactsInput!$M$33,CHOOSE(ArtifactsInput!$N$33+1,30,36,42,48,54,60),0))+(IF(AND(ArtifactsInput!$M$35,Inputs!$B$4&lt;&gt;"Chapter Hunt"),CHOOSE(ArtifactsInput!$N$35+1,15,18,21,24,27,30)*(1-EXP(-(0.2*B2068)*5)),0)+IF(AND(ArtifactsInput!$M$22,Inputs!$B$4&lt;&gt;"Chapter Hunt"),CHOOSE(ArtifactsInput!$N$22+1,10,12,14,16,18,20)*((0*(((0.15*B2068*5))^0/1)+1*(((0.15*B2068*5))^1/1)+2*(((0.15*B2068*5))^2/2)+3*(((0.15*B2068*5))^3/6)+4*(((0.15*B2068*5))^4/24)+5*(((0.15*B2068*5))^5/120))/((((0.15*B2068*5))^0/1)+(((0.15*B2068*5))^1/1)+(((0.15*B2068*5))^2/2)+(((0.15*B2068*5))^3/6)+(((0.15*B2068*5))^4/24)+(((0.15*B2068*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41">
      <c r="A2041">
        <f>Skills!A9</f>
        <v/>
      </c>
      <c r="B2041">
        <f>Skills!B9</f>
        <v/>
      </c>
      <c r="C2041">
        <f>Inputs!$B$3&gt;=72</f>
        <v/>
      </c>
      <c r="D2041">
        <f>IF(Skills!C9=1,60+Inputs!$B$25+Inputs!$B$29,IF(Skills!C9=2,90+Inputs!$B$26+Inputs!$B$29,IF(Skills!C9=3,120+Inputs!$B$27+Inputs!$B$29,MAX(0,(Inputs!$B$3-100)*3)+Inputs!$B$28+Inputs!$B$29)))</f>
        <v/>
      </c>
      <c r="E2041">
        <f>INDEX(FactorTable!$B$2:$Y$301, MATCH(ROUND(MIN(300,MAX(1,D2041)),0), FactorTable!$A$2:$A$301,0), Skills!M9+1)</f>
        <v/>
      </c>
      <c r="F2041">
        <f>IF(Skills!N9=TRUE,(Skills!L9/10)*(E2041/1000),Skills!L9/10)+Skills!O9</f>
        <v/>
      </c>
      <c r="G2041">
        <f>Calc!G9</f>
        <v/>
      </c>
      <c r="H2041">
        <f>Calc!H9</f>
        <v/>
      </c>
      <c r="I2041">
        <f>IF(Skills!AA9&lt;&gt;"",1+(Skills!AA9/10)*(U2035/1000)/100,1)</f>
        <v/>
      </c>
      <c r="J2041">
        <f>((Inputs!$B$6*(1+Inputs!$B$7/100))+(((Inputs!$B$12*(1+Inputs!$B$13/100))-(Inputs!$B$12*(1+Inputs!$B$13/100)))+0.25*(Inputs!$B$14-Inputs!$B$14))*(1+Inputs!$B$7/100))*(F2041/100)</f>
        <v/>
      </c>
      <c r="K2041">
        <f>J2041*(1+((Inputs!$B$12*(1+Inputs!$B$13/100))*0.01+Inputs!$B$14*0.0025)/100)*(1+Inputs!$B$15/100)*(1+Inputs!$B$16/100)*(5000/(6000+Inputs!$B$43*(1-(100*(1-(1-(Inputs!$B$19+0)/100)*(1-CHOOSE(ArtifactsInput!$N$40+1,5,6,7,8,9,10)/100)^(ArtifactsInput!$M$40-ArtifactsInput!$M$40)))/100)))*(1+(Inputs!$B$24+((C2062=TRUE)*(F2062-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2055=TRUE)*(F2055-Calc!F23))+(((IF(AND(ArtifactsInput!$M$42,((Inputs!$B$9+((C2057=TRUE)*(F2057-Calc!F25))+B2072+(ArtifactsInput!$M$24-ArtifactsInput!$M$24)*CHOOSE(ArtifactsInput!$N$24+1,10,12,14,16,18,20)+IF(ArtifactsInput!$M$10,CHOOSE(ArtifactsInput!$N$10+1,15,18,21,24,27,30)*(IF(Inputs!$B$39="pvp",MIN(15,15)/15,IF(AND(Inputs!$B$39&lt;&gt;"pvp",Inputs!$B$44&gt;0),MIN(15,Inputs!$B$44)/(Inputs!$B$44),0))),0)))&gt;=100),MIN(100,((Inputs!$B$9+((C2057=TRUE)*(F2057-Calc!F25))+B2072+(ArtifactsInput!$M$24-ArtifactsInput!$M$24)*CHOOSE(ArtifactsInput!$N$24+1,10,12,14,16,18,20)+IF(ArtifactsInput!$M$10,CHOOSE(ArtifactsInput!$N$10+1,15,18,21,24,27,30)*(IF(Inputs!$B$39="pvp",MIN(15,15)/15,IF(AND(Inputs!$B$39&lt;&gt;"pvp",Inputs!$B$44&gt;0),MIN(15,Inputs!$B$44)/(Inputs!$B$44),0))),0)))-100),0))*CHOOSE(ArtifactsInput!$N$42+1,0.6,0.72,0.84,0.96,1.08,1.2))),Inputs!$B$18+((C2061=TRUE)*(F2061-Calc!F29))+(IF(AND(ArtifactsInput!$M$42,((Inputs!$B$9+((C2057=TRUE)*(F2057-Calc!F25))+B2072+(ArtifactsInput!$M$24-ArtifactsInput!$M$24)*CHOOSE(ArtifactsInput!$N$24+1,10,12,14,16,18,20)+IF(ArtifactsInput!$M$10,CHOOSE(ArtifactsInput!$N$10+1,15,18,21,24,27,30)*(IF(Inputs!$B$39="pvp",MIN(15,15)/15,IF(AND(Inputs!$B$39&lt;&gt;"pvp",Inputs!$B$44&gt;0),MIN(15,Inputs!$B$44)/(Inputs!$B$44),0))),0)))&gt;=100),CHOOSE(ArtifactsInput!$N$42+1,40,48,56,64,72,80),0))))/100)*(((1+(((C2053=TRUE)*F2053*IF(AND(Inputs!$B$39&lt;&gt;"pvp",Inputs!$B$44&gt;0),(((R2053-1)*(Skills!Y21*(1+Inputs!$B$34/100))+MIN((Skills!Y21*(1+Inputs!$B$34/100)),MAX(0,Inputs!$B$44-((R2053-1)*Skills!D21))))/Inputs!$B$44),IF(Inputs!$B$39="pvp",MIN((Skills!Y21*(1+Inputs!$B$34/100)),15)/15,(Skills!Y21*(1+Inputs!$B$34/100))/Skills!D21)))+((C2060=TRUE)*(F2060-Calc!F28))+((C2050=TRUE)*(F2050-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2047=TRUE)*F2047*IF(AND(Inputs!$B$39&lt;&gt;"pvp",Inputs!$B$44&gt;0),(((R2047-1)*(Skills!Y15*(1+Inputs!$B$34/100))+MIN((Skills!Y15*(1+Inputs!$B$34/100)),MAX(0,Inputs!$B$44-((R2047-1)*Skills!D15))))/Inputs!$B$44),IF(Inputs!$B$39="pvp",MIN((Skills!Y15*(1+Inputs!$B$34/100)),15)/15,(Skills!Y15*(1+Inputs!$B$34/100))/Skills!D15)))/100)*(1+((C2038=TRUE)*F2038*B2066)/100))*B2074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2041)</f>
        <v/>
      </c>
      <c r="L2041">
        <f>K2041*(MIN(Inputs!$B$22+((C2056=TRUE)*(F2056-Calc!F24)),(Inputs!$B$23+0+(IF(ArtifactsInput!$M$15,CHOOSE(ArtifactsInput!$N$15+1,25,30,35,40,45,50)/100*(Inputs!$B$11-Inputs!$B$11),0))))/100+(Inputs!$B$23+0+(IF(ArtifactsInput!$M$15,CHOOSE(ArtifactsInput!$N$15+1,25,30,35,40,45,50)/100*(Inputs!$B$11-Inputs!$B$11),0)))/100)/2</f>
        <v/>
      </c>
      <c r="M2041">
        <f>L2041*(1+(Inputs!$B$10+((C2058=TRUE)*(F2058-Calc!F26))+B2075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41">
        <f>L2041*(1-MIN((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2041*(MIN((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41">
        <f>(1-Summary!$B$11)*T2041+Summary!$B$11*V2041</f>
        <v/>
      </c>
      <c r="P2041">
        <f>IF(B2076=0,0,O2041/B2076)</f>
        <v/>
      </c>
      <c r="Q2041">
        <f>IFERROR(1/IF(Inputs!$B$39="pvp",15,MAX(0.1,Skills!D9-IF(Skills!E9=TRUE,Inputs!$B$32,0))),0)</f>
        <v/>
      </c>
      <c r="R2041">
        <f>IF(AND(Inputs!$B$39&lt;&gt;"pvp",Inputs!$B$44&gt;0),IF(MAX(0,Inputs!$B$44-B2077)&lt;=0,0,(INT(MAX(0,Inputs!$B$44-B2077)/IF(Inputs!$B$39="pvp",15,MAX(0.1,Skills!D9-IF(Skills!E9=TRUE,Inputs!$B$32,0))))+1)),0)</f>
        <v/>
      </c>
      <c r="S2041">
        <f>IFERROR(O2041/N2041,0)</f>
        <v/>
      </c>
      <c r="T2041">
        <f>IF(C2041,(H2041*N2041*IF(AND(Inputs!$B$39&lt;&gt;"pvp",Inputs!$B$44&gt;0),((Skills!G9*((R2041-1)*IF(Skills!H9&gt;0,Skills!I9/Skills!H9,1)+IF(Skills!H9&gt;0,MIN(Skills!I9,MAX(0,MAX(0,Inputs!$B$44-B2077)-((R2041-1)*IF(Inputs!$B$39="pvp",15,MAX(0.1,Skills!D9-IF(Skills!E9=TRUE,Inputs!$B$32,0))))))/Skills!H9,1)))/Inputs!$B$44),G2041*Q2041))*IF(Inputs!$B$39="pvp",1,1+(Inputs!$B$20+((C2059=TRUE)*(F2059-Calc!F27))+Skills!P9+B2073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Hunt"),CHOOSE(ArtifactsInput!$N$35+1,15,18,21,24,27,30)*(1-EXP(-(0.2*B2068)*5)),0)+IF(AND(ArtifactsInput!$M$22,Inputs!$B$4&lt;&gt;"Chapter Hunt"),CHOOSE(ArtifactsInput!$N$22+1,10,12,14,16,18,20)*((0*(((0.15*B2068*5))^0/1)+1*(((0.15*B2068*5))^1/1)+2*(((0.15*B2068*5))^2/2)+3*(((0.15*B2068*5))^3/6)+4*(((0.15*B2068*5))^4/24)+5*(((0.15*B2068*5))^5/120))/((((0.15*B2068*5))^0/1)+(((0.15*B2068*5))^1/1)+(((0.15*B2068*5))^2/2)+(((0.15*B2068*5))^3/6)+(((0.15*B2068*5))^4/24)+(((0.15*B2068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2041*(1-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2041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2041*(1-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2041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41">
        <f>IF(C2041,(H2041*N2041*IF(AND(Inputs!$B$39&lt;&gt;"pvp",Inputs!$B$44&gt;0),((Skills!G9*((R2041-1)*IF(Skills!H9&gt;0,Skills!I9/Skills!H9,1)+IF(Skills!H9&gt;0,MIN(Skills!I9,MAX(0,MAX(0,Inputs!$B$44-B2077)-((R2041-1)*IF(Inputs!$B$39="pvp",15,MAX(0.1,Skills!D9-IF(Skills!E9=TRUE,Inputs!$B$32,0))))))/Skills!H9,1)))/Inputs!$B$44),G2041*Q2041))*IF(Inputs!$B$39="pvp",1,(1+(Inputs!$B$21+Skills!Q9+B2073+(IF(ArtifactsInput!$M$33,CHOOSE(ArtifactsInput!$N$33+1,30,36,42,48,54,60),0))+(IF(AND(ArtifactsInput!$M$35,Inputs!$B$4&lt;&gt;"Chapter Hunt"),CHOOSE(ArtifactsInput!$N$35+1,15,18,21,24,27,30)*(1-EXP(-(0.2*B2068)*5)),0)+IF(AND(ArtifactsInput!$M$22,Inputs!$B$4&lt;&gt;"Chapter Hunt"),CHOOSE(ArtifactsInput!$N$22+1,10,12,14,16,18,20)*((0*(((0.15*B2068*5))^0/1)+1*(((0.15*B2068*5))^1/1)+2*(((0.15*B2068*5))^2/2)+3*(((0.15*B2068*5))^3/6)+4*(((0.15*B2068*5))^4/24)+5*(((0.15*B2068*5))^5/120))/((((0.15*B2068*5))^0/1)+(((0.15*B2068*5))^1/1)+(((0.15*B2068*5))^2/2)+(((0.15*B2068*5))^3/6)+(((0.15*B2068*5))^4/24)+(((0.15*B2068*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42">
      <c r="A2042">
        <f>Skills!A10</f>
        <v/>
      </c>
      <c r="B2042">
        <f>Skills!B10</f>
        <v/>
      </c>
      <c r="C2042">
        <f>Inputs!$B$3&gt;=117</f>
        <v/>
      </c>
      <c r="D2042">
        <f>IF(Skills!C10=1,60+Inputs!$B$25+Inputs!$B$29,IF(Skills!C10=2,90+Inputs!$B$26+Inputs!$B$29,IF(Skills!C10=3,120+Inputs!$B$27+Inputs!$B$29,MAX(0,(Inputs!$B$3-100)*3)+Inputs!$B$28+Inputs!$B$29)))</f>
        <v/>
      </c>
      <c r="E2042">
        <f>INDEX(FactorTable!$B$2:$Y$301, MATCH(ROUND(MIN(300,MAX(1,D2042)),0), FactorTable!$A$2:$A$301,0), Skills!M10+1)</f>
        <v/>
      </c>
      <c r="F2042">
        <f>IF(Skills!N10=TRUE,(Skills!L10/10)*(E2042/1000),Skills!L10/10)+Skills!O10</f>
        <v/>
      </c>
      <c r="G2042">
        <f>Calc!G10</f>
        <v/>
      </c>
      <c r="H2042">
        <f>Calc!H10</f>
        <v/>
      </c>
      <c r="I2042">
        <f>IF(Skills!AA10&lt;&gt;"",1+(Skills!AA10/10)*(U2035/1000)/100,1)</f>
        <v/>
      </c>
      <c r="J2042">
        <f>((Inputs!$B$6*(1+Inputs!$B$7/100))+(((Inputs!$B$12*(1+Inputs!$B$13/100))-(Inputs!$B$12*(1+Inputs!$B$13/100)))+0.25*(Inputs!$B$14-Inputs!$B$14))*(1+Inputs!$B$7/100))*(F2042/100)</f>
        <v/>
      </c>
      <c r="K2042">
        <f>J2042*(1+((Inputs!$B$12*(1+Inputs!$B$13/100))*0.01+Inputs!$B$14*0.0025)/100)*(1+Inputs!$B$15/100)*(1+Inputs!$B$16/100)*(5000/(6000+Inputs!$B$43*(1-(100*(1-(1-(Inputs!$B$19+0)/100)*(1-CHOOSE(ArtifactsInput!$N$40+1,5,6,7,8,9,10)/100)^(ArtifactsInput!$M$40-ArtifactsInput!$M$40)))/100)))*(1+(Inputs!$B$24+((C2062=TRUE)*(F2062-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2055=TRUE)*(F2055-Calc!F23))+(((IF(AND(ArtifactsInput!$M$42,((Inputs!$B$9+((C2057=TRUE)*(F2057-Calc!F25))+B2072+(ArtifactsInput!$M$24-ArtifactsInput!$M$24)*CHOOSE(ArtifactsInput!$N$24+1,10,12,14,16,18,20)+IF(ArtifactsInput!$M$10,CHOOSE(ArtifactsInput!$N$10+1,15,18,21,24,27,30)*(IF(Inputs!$B$39="pvp",MIN(15,15)/15,IF(AND(Inputs!$B$39&lt;&gt;"pvp",Inputs!$B$44&gt;0),MIN(15,Inputs!$B$44)/(Inputs!$B$44),0))),0)))&gt;=100),MIN(100,((Inputs!$B$9+((C2057=TRUE)*(F2057-Calc!F25))+B2072+(ArtifactsInput!$M$24-ArtifactsInput!$M$24)*CHOOSE(ArtifactsInput!$N$24+1,10,12,14,16,18,20)+IF(ArtifactsInput!$M$10,CHOOSE(ArtifactsInput!$N$10+1,15,18,21,24,27,30)*(IF(Inputs!$B$39="pvp",MIN(15,15)/15,IF(AND(Inputs!$B$39&lt;&gt;"pvp",Inputs!$B$44&gt;0),MIN(15,Inputs!$B$44)/(Inputs!$B$44),0))),0)))-100),0))*CHOOSE(ArtifactsInput!$N$42+1,0.6,0.72,0.84,0.96,1.08,1.2))),Inputs!$B$18+((C2061=TRUE)*(F2061-Calc!F29))+(IF(AND(ArtifactsInput!$M$42,((Inputs!$B$9+((C2057=TRUE)*(F2057-Calc!F25))+B2072+(ArtifactsInput!$M$24-ArtifactsInput!$M$24)*CHOOSE(ArtifactsInput!$N$24+1,10,12,14,16,18,20)+IF(ArtifactsInput!$M$10,CHOOSE(ArtifactsInput!$N$10+1,15,18,21,24,27,30)*(IF(Inputs!$B$39="pvp",MIN(15,15)/15,IF(AND(Inputs!$B$39&lt;&gt;"pvp",Inputs!$B$44&gt;0),MIN(15,Inputs!$B$44)/(Inputs!$B$44),0))),0)))&gt;=100),CHOOSE(ArtifactsInput!$N$42+1,40,48,56,64,72,80),0))))/100)*(((1+(((C2053=TRUE)*F2053*IF(AND(Inputs!$B$39&lt;&gt;"pvp",Inputs!$B$44&gt;0),(((R2053-1)*(Skills!Y21*(1+Inputs!$B$34/100))+MIN((Skills!Y21*(1+Inputs!$B$34/100)),MAX(0,Inputs!$B$44-((R2053-1)*Skills!D21))))/Inputs!$B$44),IF(Inputs!$B$39="pvp",MIN((Skills!Y21*(1+Inputs!$B$34/100)),15)/15,(Skills!Y21*(1+Inputs!$B$34/100))/Skills!D21)))+((C2060=TRUE)*(F2060-Calc!F28))+((C2050=TRUE)*(F2050-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2047=TRUE)*F2047*IF(AND(Inputs!$B$39&lt;&gt;"pvp",Inputs!$B$44&gt;0),(((R2047-1)*(Skills!Y15*(1+Inputs!$B$34/100))+MIN((Skills!Y15*(1+Inputs!$B$34/100)),MAX(0,Inputs!$B$44-((R2047-1)*Skills!D15))))/Inputs!$B$44),IF(Inputs!$B$39="pvp",MIN((Skills!Y15*(1+Inputs!$B$34/100)),15)/15,(Skills!Y15*(1+Inputs!$B$34/100))/Skills!D15)))/100)*(1+((C2038=TRUE)*F2038*B2066)/100))*B2074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2042)</f>
        <v/>
      </c>
      <c r="L2042">
        <f>K2042*(MIN(Inputs!$B$22+((C2056=TRUE)*(F2056-Calc!F24)),(Inputs!$B$23+0+(IF(ArtifactsInput!$M$15,CHOOSE(ArtifactsInput!$N$15+1,25,30,35,40,45,50)/100*(Inputs!$B$11-Inputs!$B$11),0))))/100+(Inputs!$B$23+0+(IF(ArtifactsInput!$M$15,CHOOSE(ArtifactsInput!$N$15+1,25,30,35,40,45,50)/100*(Inputs!$B$11-Inputs!$B$11),0)))/100)/2</f>
        <v/>
      </c>
      <c r="M2042">
        <f>L2042*(1+(Inputs!$B$10+((C2058=TRUE)*(F2058-Calc!F26))+B2075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42">
        <f>L2042*(1-MIN((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2042*(MIN((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42">
        <f>(1-Summary!$B$11)*T2042+Summary!$B$11*V2042</f>
        <v/>
      </c>
      <c r="P2042">
        <f>IF(B2076=0,0,O2042/B2076)</f>
        <v/>
      </c>
      <c r="Q2042" t="n">
        <v>0</v>
      </c>
      <c r="R2042" t="n">
        <v>0</v>
      </c>
      <c r="S2042" t="n">
        <v>0</v>
      </c>
      <c r="T2042">
        <f>IF(C2042,(0.2*SUMPRODUCT((Skills!Z2:Z31=TRUE)*(C2034:C2063=TRUE)*S2034:S2063)*N2042)*IF(Inputs!$B$39="pvp",1,1+(Inputs!$B$20+((C2059=TRUE)*(F2059-Calc!F27))+Skills!P10+B2073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Hunt"),CHOOSE(ArtifactsInput!$N$35+1,15,18,21,24,27,30)*(1-EXP(-(0.2*B2068)*5)),0)+IF(AND(ArtifactsInput!$M$22,Inputs!$B$4&lt;&gt;"Chapter Hunt"),CHOOSE(ArtifactsInput!$N$22+1,10,12,14,16,18,20)*((0*(((0.15*B2068*5))^0/1)+1*(((0.15*B2068*5))^1/1)+2*(((0.15*B2068*5))^2/2)+3*(((0.15*B2068*5))^3/6)+4*(((0.15*B2068*5))^4/24)+5*(((0.15*B2068*5))^5/120))/((((0.15*B2068*5))^0/1)+(((0.15*B2068*5))^1/1)+(((0.15*B2068*5))^2/2)+(((0.15*B2068*5))^3/6)+(((0.15*B2068*5))^4/24)+(((0.15*B2068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2042*(1-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2042*(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2042*(1-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2042*(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42">
        <f>IF(C2042,(0.2*SUMPRODUCT((Skills!Z2:Z31=TRUE)*(C2034:C2063=TRUE)*S2034:S2063)*N2042)*IF(Inputs!$B$39="pvp",1,(1+(Inputs!$B$21+Skills!Q10+B2073+(IF(ArtifactsInput!$M$33,CHOOSE(ArtifactsInput!$N$33+1,30,36,42,48,54,60),0))+(IF(AND(ArtifactsInput!$M$35,Inputs!$B$4&lt;&gt;"Chapter Hunt"),CHOOSE(ArtifactsInput!$N$35+1,15,18,21,24,27,30)*(1-EXP(-(0.2*B2068)*5)),0)+IF(AND(ArtifactsInput!$M$22,Inputs!$B$4&lt;&gt;"Chapter Hunt"),CHOOSE(ArtifactsInput!$N$22+1,10,12,14,16,18,20)*((0*(((0.15*B2068*5))^0/1)+1*(((0.15*B2068*5))^1/1)+2*(((0.15*B2068*5))^2/2)+3*(((0.15*B2068*5))^3/6)+4*(((0.15*B2068*5))^4/24)+5*(((0.15*B2068*5))^5/120))/((((0.15*B2068*5))^0/1)+(((0.15*B2068*5))^1/1)+(((0.15*B2068*5))^2/2)+(((0.15*B2068*5))^3/6)+(((0.15*B2068*5))^4/24)+(((0.15*B2068*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43">
      <c r="A2043">
        <f>Skills!A11</f>
        <v/>
      </c>
      <c r="B2043">
        <f>Skills!B11</f>
        <v/>
      </c>
      <c r="C2043">
        <f>Inputs!$B$3&gt;=60</f>
        <v/>
      </c>
      <c r="D2043">
        <f>IF(Skills!C11=1,60+Inputs!$B$25+Inputs!$B$29,IF(Skills!C11=2,90+Inputs!$B$26+Inputs!$B$29,IF(Skills!C11=3,120+Inputs!$B$27+Inputs!$B$29,MAX(0,(Inputs!$B$3-100)*3)+Inputs!$B$28+Inputs!$B$29)))</f>
        <v/>
      </c>
      <c r="E2043">
        <f>INDEX(FactorTable!$B$2:$Y$301, MATCH(ROUND(MIN(300,MAX(1,D2043)),0), FactorTable!$A$2:$A$301,0), Skills!M11+1)</f>
        <v/>
      </c>
      <c r="F2043">
        <f>IF(Skills!N11=TRUE,(Skills!L11/10)*(E2043/1000),Skills!L11/10)+Skills!O11</f>
        <v/>
      </c>
      <c r="G2043">
        <f>Calc!G11</f>
        <v/>
      </c>
      <c r="H2043">
        <f>Calc!H11</f>
        <v/>
      </c>
      <c r="I2043">
        <f>IF(Skills!AA11&lt;&gt;"",1+(Skills!AA11/10)*(U2035/1000)/100,1)</f>
        <v/>
      </c>
      <c r="J2043" t="inlineStr"/>
      <c r="K2043" t="inlineStr"/>
      <c r="L2043" t="inlineStr"/>
      <c r="M2043" t="inlineStr"/>
      <c r="N2043" t="inlineStr"/>
      <c r="O2043">
        <f>(1-Summary!$B$11)*T2043+Summary!$B$11*V2043</f>
        <v/>
      </c>
      <c r="P2043">
        <f>IF(B2076=0,0,O2043/B2076)</f>
        <v/>
      </c>
      <c r="Q2043" t="n">
        <v>0</v>
      </c>
      <c r="R2043" t="n">
        <v>0</v>
      </c>
      <c r="S2043">
        <f>IFERROR(O2043/N2043,0)</f>
        <v/>
      </c>
      <c r="T2043" t="n">
        <v>0</v>
      </c>
      <c r="V2043" t="n">
        <v>0</v>
      </c>
    </row>
    <row r="2044">
      <c r="A2044">
        <f>Skills!A12</f>
        <v/>
      </c>
      <c r="B2044">
        <f>Skills!B12</f>
        <v/>
      </c>
      <c r="C2044">
        <f>Inputs!$B$3&gt;=103</f>
        <v/>
      </c>
      <c r="D2044">
        <f>IF(Skills!C12=1,60+Inputs!$B$25+Inputs!$B$29,IF(Skills!C12=2,90+Inputs!$B$26+Inputs!$B$29,IF(Skills!C12=3,120+Inputs!$B$27+Inputs!$B$29,MAX(0,(Inputs!$B$3-100)*3)+Inputs!$B$28+Inputs!$B$29)))</f>
        <v/>
      </c>
      <c r="E2044">
        <f>INDEX(FactorTable!$B$2:$Y$301, MATCH(ROUND(MIN(300,MAX(1,D2044)),0), FactorTable!$A$2:$A$301,0), Skills!M12+1)</f>
        <v/>
      </c>
      <c r="F2044">
        <f>IF(Skills!N12=TRUE,(Skills!L12/10)*(E2044/1000),Skills!L12/10)+Skills!O12</f>
        <v/>
      </c>
      <c r="G2044">
        <f>Calc!G12</f>
        <v/>
      </c>
      <c r="H2044">
        <f>Calc!H12</f>
        <v/>
      </c>
      <c r="I2044">
        <f>IF(Skills!AA12&lt;&gt;"",1+(Skills!AA12/10)*(U2035/1000)/100,1)</f>
        <v/>
      </c>
      <c r="J2044">
        <f>((Inputs!$B$6*(1+Inputs!$B$7/100))+(((Inputs!$B$12*(1+Inputs!$B$13/100))-(Inputs!$B$12*(1+Inputs!$B$13/100)))+0.25*(Inputs!$B$14-Inputs!$B$14))*(1+Inputs!$B$7/100))*(F2044/100)</f>
        <v/>
      </c>
      <c r="K2044">
        <f>J2044*(1+((Inputs!$B$12*(1+Inputs!$B$13/100))*0.01+Inputs!$B$14*0.0025)/100)*(1+Inputs!$B$15/100)*(1+Inputs!$B$16/100)*(5000/(6000+Inputs!$B$43*(1-(100*(1-(1-(Inputs!$B$19+0)/100)*(1-CHOOSE(ArtifactsInput!$N$40+1,5,6,7,8,9,10)/100)^(ArtifactsInput!$M$40-ArtifactsInput!$M$40)))/100)))*(1+(Inputs!$B$24+((C2062=TRUE)*(F2062-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2055=TRUE)*(F2055-Calc!F23))+(((IF(AND(ArtifactsInput!$M$42,((Inputs!$B$9+((C2057=TRUE)*(F2057-Calc!F25))+B2072+(ArtifactsInput!$M$24-ArtifactsInput!$M$24)*CHOOSE(ArtifactsInput!$N$24+1,10,12,14,16,18,20)+IF(ArtifactsInput!$M$10,CHOOSE(ArtifactsInput!$N$10+1,15,18,21,24,27,30)*(IF(Inputs!$B$39="pvp",MIN(15,15)/15,IF(AND(Inputs!$B$39&lt;&gt;"pvp",Inputs!$B$44&gt;0),MIN(15,Inputs!$B$44)/(Inputs!$B$44),0))),0)))&gt;=100),MIN(100,((Inputs!$B$9+((C2057=TRUE)*(F2057-Calc!F25))+B2072+(ArtifactsInput!$M$24-ArtifactsInput!$M$24)*CHOOSE(ArtifactsInput!$N$24+1,10,12,14,16,18,20)+IF(ArtifactsInput!$M$10,CHOOSE(ArtifactsInput!$N$10+1,15,18,21,24,27,30)*(IF(Inputs!$B$39="pvp",MIN(15,15)/15,IF(AND(Inputs!$B$39&lt;&gt;"pvp",Inputs!$B$44&gt;0),MIN(15,Inputs!$B$44)/(Inputs!$B$44),0))),0)))-100),0))*CHOOSE(ArtifactsInput!$N$42+1,0.6,0.72,0.84,0.96,1.08,1.2))),Inputs!$B$18+((C2061=TRUE)*(F2061-Calc!F29))+(IF(AND(ArtifactsInput!$M$42,((Inputs!$B$9+((C2057=TRUE)*(F2057-Calc!F25))+B2072+(ArtifactsInput!$M$24-ArtifactsInput!$M$24)*CHOOSE(ArtifactsInput!$N$24+1,10,12,14,16,18,20)+IF(ArtifactsInput!$M$10,CHOOSE(ArtifactsInput!$N$10+1,15,18,21,24,27,30)*(IF(Inputs!$B$39="pvp",MIN(15,15)/15,IF(AND(Inputs!$B$39&lt;&gt;"pvp",Inputs!$B$44&gt;0),MIN(15,Inputs!$B$44)/(Inputs!$B$44),0))),0)))&gt;=100),CHOOSE(ArtifactsInput!$N$42+1,40,48,56,64,72,80),0))))/100)*(((1+(((C2053=TRUE)*F2053*IF(AND(Inputs!$B$39&lt;&gt;"pvp",Inputs!$B$44&gt;0),(((R2053-1)*(Skills!Y21*(1+Inputs!$B$34/100))+MIN((Skills!Y21*(1+Inputs!$B$34/100)),MAX(0,Inputs!$B$44-((R2053-1)*Skills!D21))))/Inputs!$B$44),IF(Inputs!$B$39="pvp",MIN((Skills!Y21*(1+Inputs!$B$34/100)),15)/15,(Skills!Y21*(1+Inputs!$B$34/100))/Skills!D21)))+((C2060=TRUE)*(F2060-Calc!F28))+((C2050=TRUE)*(F2050-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2047=TRUE)*F2047*IF(AND(Inputs!$B$39&lt;&gt;"pvp",Inputs!$B$44&gt;0),(((R2047-1)*(Skills!Y15*(1+Inputs!$B$34/100))+MIN((Skills!Y15*(1+Inputs!$B$34/100)),MAX(0,Inputs!$B$44-((R2047-1)*Skills!D15))))/Inputs!$B$44),IF(Inputs!$B$39="pvp",MIN((Skills!Y15*(1+Inputs!$B$34/100)),15)/15,(Skills!Y15*(1+Inputs!$B$34/100))/Skills!D15)))/100)*(1+((C2038=TRUE)*F2038*B2066)/100))*B2074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2044)</f>
        <v/>
      </c>
      <c r="L2044">
        <f>K2044*(MIN(Inputs!$B$22+((C2056=TRUE)*(F2056-Calc!F24)),(Inputs!$B$23+0+(IF(ArtifactsInput!$M$15,CHOOSE(ArtifactsInput!$N$15+1,25,30,35,40,45,50)/100*(Inputs!$B$11-Inputs!$B$11),0))))/100+(Inputs!$B$23+0+(IF(ArtifactsInput!$M$15,CHOOSE(ArtifactsInput!$N$15+1,25,30,35,40,45,50)/100*(Inputs!$B$11-Inputs!$B$11),0)))/100)/2</f>
        <v/>
      </c>
      <c r="M2044">
        <f>L2044*(1+(Inputs!$B$10+((C2058=TRUE)*(F2058-Calc!F26))+B2075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44">
        <f>L2044*(1-MIN((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2044*(MIN((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44">
        <f>(1-Summary!$B$11)*T2044+Summary!$B$11*V2044</f>
        <v/>
      </c>
      <c r="P2044">
        <f>IF(B2076=0,0,O2044/B2076)</f>
        <v/>
      </c>
      <c r="Q2044">
        <f>IFERROR(1/IF(Inputs!$B$39="pvp",15,MAX(0.1,Skills!D12-IF(Skills!E12=TRUE,Inputs!$B$32,0))),0)</f>
        <v/>
      </c>
      <c r="R2044">
        <f>IF(AND(Inputs!$B$39&lt;&gt;"pvp",Inputs!$B$44&gt;0),IF(MAX(0,Inputs!$B$44-B2077)&lt;=0,0,(INT(MAX(0,Inputs!$B$44-B2077)/IF(Inputs!$B$39="pvp",15,MAX(0.1,Skills!D12-IF(Skills!E12=TRUE,Inputs!$B$32,0))))+1)),0)</f>
        <v/>
      </c>
      <c r="S2044">
        <f>IFERROR(O2044/N2044,0)</f>
        <v/>
      </c>
      <c r="T2044">
        <f>IF(C2044,(H2044*N2044*IF(AND(Inputs!$B$39&lt;&gt;"pvp",Inputs!$B$44&gt;0),((Skills!G12*((R2044-1)*IF(Skills!H12&gt;0,Skills!I12/Skills!H12,1)+IF(Skills!H12&gt;0,MIN(Skills!I12,MAX(0,MAX(0,Inputs!$B$44-B2077)-((R2044-1)*IF(Inputs!$B$39="pvp",15,MAX(0.1,Skills!D12-IF(Skills!E12=TRUE,Inputs!$B$32,0))))))/Skills!H12,1)))/Inputs!$B$44),G2044*Q2044))*IF(Inputs!$B$39="pvp",1,1+(Inputs!$B$20+((C2059=TRUE)*(F2059-Calc!F27))+Skills!P12+B2073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Hunt"),CHOOSE(ArtifactsInput!$N$35+1,15,18,21,24,27,30)*(1-EXP(-(0.2*B2068)*5)),0)+IF(AND(ArtifactsInput!$M$22,Inputs!$B$4&lt;&gt;"Chapter Hunt"),CHOOSE(ArtifactsInput!$N$22+1,10,12,14,16,18,20)*((0*(((0.15*B2068*5))^0/1)+1*(((0.15*B2068*5))^1/1)+2*(((0.15*B2068*5))^2/2)+3*(((0.15*B2068*5))^3/6)+4*(((0.15*B2068*5))^4/24)+5*(((0.15*B2068*5))^5/120))/((((0.15*B2068*5))^0/1)+(((0.15*B2068*5))^1/1)+(((0.15*B2068*5))^2/2)+(((0.15*B2068*5))^3/6)+(((0.15*B2068*5))^4/24)+(((0.15*B2068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2044*(1-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2044*(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2044*(1-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2044*(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44">
        <f>IF(C2044,(H2044*N2044*IF(AND(Inputs!$B$39&lt;&gt;"pvp",Inputs!$B$44&gt;0),((Skills!G12*((R2044-1)*IF(Skills!H12&gt;0,Skills!I12/Skills!H12,1)+IF(Skills!H12&gt;0,MIN(Skills!I12,MAX(0,MAX(0,Inputs!$B$44-B2077)-((R2044-1)*IF(Inputs!$B$39="pvp",15,MAX(0.1,Skills!D12-IF(Skills!E12=TRUE,Inputs!$B$32,0))))))/Skills!H12,1)))/Inputs!$B$44),G2044*Q2044))*IF(Inputs!$B$39="pvp",1,(1+(Inputs!$B$21+Skills!Q12+B2073+(IF(ArtifactsInput!$M$33,CHOOSE(ArtifactsInput!$N$33+1,30,36,42,48,54,60),0))+(IF(AND(ArtifactsInput!$M$35,Inputs!$B$4&lt;&gt;"Chapter Hunt"),CHOOSE(ArtifactsInput!$N$35+1,15,18,21,24,27,30)*(1-EXP(-(0.2*B2068)*5)),0)+IF(AND(ArtifactsInput!$M$22,Inputs!$B$4&lt;&gt;"Chapter Hunt"),CHOOSE(ArtifactsInput!$N$22+1,10,12,14,16,18,20)*((0*(((0.15*B2068*5))^0/1)+1*(((0.15*B2068*5))^1/1)+2*(((0.15*B2068*5))^2/2)+3*(((0.15*B2068*5))^3/6)+4*(((0.15*B2068*5))^4/24)+5*(((0.15*B2068*5))^5/120))/((((0.15*B2068*5))^0/1)+(((0.15*B2068*5))^1/1)+(((0.15*B2068*5))^2/2)+(((0.15*B2068*5))^3/6)+(((0.15*B2068*5))^4/24)+(((0.15*B2068*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45">
      <c r="A2045">
        <f>Skills!A13</f>
        <v/>
      </c>
      <c r="B2045">
        <f>Skills!B13</f>
        <v/>
      </c>
      <c r="C2045">
        <f>Inputs!$B$3&gt;=105</f>
        <v/>
      </c>
      <c r="D2045">
        <f>IF(Skills!C13=1,60+Inputs!$B$25+Inputs!$B$29,IF(Skills!C13=2,90+Inputs!$B$26+Inputs!$B$29,IF(Skills!C13=3,120+Inputs!$B$27+Inputs!$B$29,MAX(0,(Inputs!$B$3-100)*3)+Inputs!$B$28+Inputs!$B$29)))</f>
        <v/>
      </c>
      <c r="E2045">
        <f>INDEX(FactorTable!$B$2:$Y$301, MATCH(ROUND(MIN(300,MAX(1,D2045)),0), FactorTable!$A$2:$A$301,0), Skills!M13+1)</f>
        <v/>
      </c>
      <c r="F2045">
        <f>IF(Skills!N13=TRUE,(Skills!L13/10)*(E2045/1000),Skills!L13/10)+Skills!O13</f>
        <v/>
      </c>
      <c r="G2045">
        <f>Calc!G13</f>
        <v/>
      </c>
      <c r="H2045">
        <f>Calc!H13</f>
        <v/>
      </c>
      <c r="I2045">
        <f>IF(Skills!AA13&lt;&gt;"",1+(Skills!AA13/10)*(U2035/1000)/100,1)</f>
        <v/>
      </c>
      <c r="J2045">
        <f>((Inputs!$B$6*(1+Inputs!$B$7/100))+(((Inputs!$B$12*(1+Inputs!$B$13/100))-(Inputs!$B$12*(1+Inputs!$B$13/100)))+0.25*(Inputs!$B$14-Inputs!$B$14))*(1+Inputs!$B$7/100))*(F2045/100)</f>
        <v/>
      </c>
      <c r="K2045">
        <f>J2045*(1+((Inputs!$B$12*(1+Inputs!$B$13/100))*0.01+Inputs!$B$14*0.0025)/100)*(1+Inputs!$B$15/100)*(1+Inputs!$B$16/100)*(5000/(6000+Inputs!$B$43*(1-(100*(1-(1-(Inputs!$B$19+0)/100)*(1-CHOOSE(ArtifactsInput!$N$40+1,5,6,7,8,9,10)/100)^(ArtifactsInput!$M$40-ArtifactsInput!$M$40)))/100)))*(1+(Inputs!$B$24+((C2062=TRUE)*(F2062-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2055=TRUE)*(F2055-Calc!F23))+(((IF(AND(ArtifactsInput!$M$42,((Inputs!$B$9+((C2057=TRUE)*(F2057-Calc!F25))+B2072+(ArtifactsInput!$M$24-ArtifactsInput!$M$24)*CHOOSE(ArtifactsInput!$N$24+1,10,12,14,16,18,20)+IF(ArtifactsInput!$M$10,CHOOSE(ArtifactsInput!$N$10+1,15,18,21,24,27,30)*(IF(Inputs!$B$39="pvp",MIN(15,15)/15,IF(AND(Inputs!$B$39&lt;&gt;"pvp",Inputs!$B$44&gt;0),MIN(15,Inputs!$B$44)/(Inputs!$B$44),0))),0)))&gt;=100),MIN(100,((Inputs!$B$9+((C2057=TRUE)*(F2057-Calc!F25))+B2072+(ArtifactsInput!$M$24-ArtifactsInput!$M$24)*CHOOSE(ArtifactsInput!$N$24+1,10,12,14,16,18,20)+IF(ArtifactsInput!$M$10,CHOOSE(ArtifactsInput!$N$10+1,15,18,21,24,27,30)*(IF(Inputs!$B$39="pvp",MIN(15,15)/15,IF(AND(Inputs!$B$39&lt;&gt;"pvp",Inputs!$B$44&gt;0),MIN(15,Inputs!$B$44)/(Inputs!$B$44),0))),0)))-100),0))*CHOOSE(ArtifactsInput!$N$42+1,0.6,0.72,0.84,0.96,1.08,1.2))),Inputs!$B$18+((C2061=TRUE)*(F2061-Calc!F29))+(IF(AND(ArtifactsInput!$M$42,((Inputs!$B$9+((C2057=TRUE)*(F2057-Calc!F25))+B2072+(ArtifactsInput!$M$24-ArtifactsInput!$M$24)*CHOOSE(ArtifactsInput!$N$24+1,10,12,14,16,18,20)+IF(ArtifactsInput!$M$10,CHOOSE(ArtifactsInput!$N$10+1,15,18,21,24,27,30)*(IF(Inputs!$B$39="pvp",MIN(15,15)/15,IF(AND(Inputs!$B$39&lt;&gt;"pvp",Inputs!$B$44&gt;0),MIN(15,Inputs!$B$44)/(Inputs!$B$44),0))),0)))&gt;=100),CHOOSE(ArtifactsInput!$N$42+1,40,48,56,64,72,80),0))))/100)*(((1+(((C2053=TRUE)*F2053*IF(AND(Inputs!$B$39&lt;&gt;"pvp",Inputs!$B$44&gt;0),(((R2053-1)*(Skills!Y21*(1+Inputs!$B$34/100))+MIN((Skills!Y21*(1+Inputs!$B$34/100)),MAX(0,Inputs!$B$44-((R2053-1)*Skills!D21))))/Inputs!$B$44),IF(Inputs!$B$39="pvp",MIN((Skills!Y21*(1+Inputs!$B$34/100)),15)/15,(Skills!Y21*(1+Inputs!$B$34/100))/Skills!D21)))+((C2060=TRUE)*(F2060-Calc!F28))+((C2050=TRUE)*(F2050-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2047=TRUE)*F2047*IF(AND(Inputs!$B$39&lt;&gt;"pvp",Inputs!$B$44&gt;0),(((R2047-1)*(Skills!Y15*(1+Inputs!$B$34/100))+MIN((Skills!Y15*(1+Inputs!$B$34/100)),MAX(0,Inputs!$B$44-((R2047-1)*Skills!D15))))/Inputs!$B$44),IF(Inputs!$B$39="pvp",MIN((Skills!Y15*(1+Inputs!$B$34/100)),15)/15,(Skills!Y15*(1+Inputs!$B$34/100))/Skills!D15)))/100)*(1+((C2038=TRUE)*F2038*B2066)/100))*B2074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2045)</f>
        <v/>
      </c>
      <c r="L2045">
        <f>K2045*(MIN(Inputs!$B$22+((C2056=TRUE)*(F2056-Calc!F24)),(Inputs!$B$23+0+(IF(ArtifactsInput!$M$15,CHOOSE(ArtifactsInput!$N$15+1,25,30,35,40,45,50)/100*(Inputs!$B$11-Inputs!$B$11),0))))/100+(Inputs!$B$23+0+(IF(ArtifactsInput!$M$15,CHOOSE(ArtifactsInput!$N$15+1,25,30,35,40,45,50)/100*(Inputs!$B$11-Inputs!$B$11),0)))/100)/2</f>
        <v/>
      </c>
      <c r="M2045">
        <f>L2045*(1+(Inputs!$B$10+((C2058=TRUE)*(F2058-Calc!F26))+B2075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45">
        <f>L2045*(1-MIN((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2045*(MIN((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45">
        <f>(1-Summary!$B$11)*T2045+Summary!$B$11*V2045</f>
        <v/>
      </c>
      <c r="P2045">
        <f>IF(B2076=0,0,O2045/B2076)</f>
        <v/>
      </c>
      <c r="Q2045">
        <f>IFERROR(1/IF(Inputs!$B$39="pvp",15,MAX(0.1,Skills!D13-IF(Skills!E13=TRUE,Inputs!$B$32,0))),0)</f>
        <v/>
      </c>
      <c r="R2045">
        <f>IF(AND(Inputs!$B$39&lt;&gt;"pvp",Inputs!$B$44&gt;0),IF(MAX(0,Inputs!$B$44-B2077)&lt;=0,0,(INT(MAX(0,Inputs!$B$44-B2077)/IF(Inputs!$B$39="pvp",15,MAX(0.1,Skills!D13-IF(Skills!E13=TRUE,Inputs!$B$32,0))))+1)),0)</f>
        <v/>
      </c>
      <c r="S2045">
        <f>IFERROR(O2045/N2045,0)</f>
        <v/>
      </c>
      <c r="T2045">
        <f>IF(C2045,(H2045*N2045*IF(AND(Inputs!$B$39&lt;&gt;"pvp",Inputs!$B$44&gt;0),((Skills!G13*((R2045-1)*IF(Skills!H13&gt;0,Skills!I13/Skills!H13,1)+IF(Skills!H13&gt;0,MIN(Skills!I13,MAX(0,MAX(0,Inputs!$B$44-B2077)-((R2045-1)*IF(Inputs!$B$39="pvp",15,MAX(0.1,Skills!D13-IF(Skills!E13=TRUE,Inputs!$B$32,0))))))/Skills!H13,1)))/Inputs!$B$44),G2045*Q2045))*IF(Inputs!$B$39="pvp",1,1+(Inputs!$B$20+((C2059=TRUE)*(F2059-Calc!F27))+Skills!P13+B2073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Hunt"),CHOOSE(ArtifactsInput!$N$35+1,15,18,21,24,27,30)*(1-EXP(-(0.2*B2068)*5)),0)+IF(AND(ArtifactsInput!$M$22,Inputs!$B$4&lt;&gt;"Chapter Hunt"),CHOOSE(ArtifactsInput!$N$22+1,10,12,14,16,18,20)*((0*(((0.15*B2068*5))^0/1)+1*(((0.15*B2068*5))^1/1)+2*(((0.15*B2068*5))^2/2)+3*(((0.15*B2068*5))^3/6)+4*(((0.15*B2068*5))^4/24)+5*(((0.15*B2068*5))^5/120))/((((0.15*B2068*5))^0/1)+(((0.15*B2068*5))^1/1)+(((0.15*B2068*5))^2/2)+(((0.15*B2068*5))^3/6)+(((0.15*B2068*5))^4/24)+(((0.15*B2068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2045*(1-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2045*(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2045*(1-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2045*(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45">
        <f>IF(C2045,(H2045*N2045*IF(AND(Inputs!$B$39&lt;&gt;"pvp",Inputs!$B$44&gt;0),((Skills!G13*((R2045-1)*IF(Skills!H13&gt;0,Skills!I13/Skills!H13,1)+IF(Skills!H13&gt;0,MIN(Skills!I13,MAX(0,MAX(0,Inputs!$B$44-B2077)-((R2045-1)*IF(Inputs!$B$39="pvp",15,MAX(0.1,Skills!D13-IF(Skills!E13=TRUE,Inputs!$B$32,0))))))/Skills!H13,1)))/Inputs!$B$44),G2045*Q2045))*IF(Inputs!$B$39="pvp",1,(1+(Inputs!$B$21+Skills!Q13+B2073+(IF(ArtifactsInput!$M$33,CHOOSE(ArtifactsInput!$N$33+1,30,36,42,48,54,60),0))+(IF(AND(ArtifactsInput!$M$35,Inputs!$B$4&lt;&gt;"Chapter Hunt"),CHOOSE(ArtifactsInput!$N$35+1,15,18,21,24,27,30)*(1-EXP(-(0.2*B2068)*5)),0)+IF(AND(ArtifactsInput!$M$22,Inputs!$B$4&lt;&gt;"Chapter Hunt"),CHOOSE(ArtifactsInput!$N$22+1,10,12,14,16,18,20)*((0*(((0.15*B2068*5))^0/1)+1*(((0.15*B2068*5))^1/1)+2*(((0.15*B2068*5))^2/2)+3*(((0.15*B2068*5))^3/6)+4*(((0.15*B2068*5))^4/24)+5*(((0.15*B2068*5))^5/120))/((((0.15*B2068*5))^0/1)+(((0.15*B2068*5))^1/1)+(((0.15*B2068*5))^2/2)+(((0.15*B2068*5))^3/6)+(((0.15*B2068*5))^4/24)+(((0.15*B2068*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46">
      <c r="A2046">
        <f>Skills!A14</f>
        <v/>
      </c>
      <c r="B2046">
        <f>Skills!B14</f>
        <v/>
      </c>
      <c r="C2046">
        <f>Inputs!$B$3&gt;=105</f>
        <v/>
      </c>
      <c r="D2046">
        <f>IF(Skills!C14=1,60+Inputs!$B$25+Inputs!$B$29,IF(Skills!C14=2,90+Inputs!$B$26+Inputs!$B$29,IF(Skills!C14=3,120+Inputs!$B$27+Inputs!$B$29,MAX(0,(Inputs!$B$3-100)*3)+Inputs!$B$28+Inputs!$B$29)))</f>
        <v/>
      </c>
      <c r="E2046">
        <f>INDEX(FactorTable!$B$2:$Y$301, MATCH(ROUND(MIN(300,MAX(1,D2046)),0), FactorTable!$A$2:$A$301,0), Skills!M14+1)</f>
        <v/>
      </c>
      <c r="F2046">
        <f>IF(Skills!N14=TRUE,(Skills!L14/10)*(E2046/1000),Skills!L14/10)+Skills!O14</f>
        <v/>
      </c>
      <c r="G2046">
        <f>Calc!G14</f>
        <v/>
      </c>
      <c r="H2046">
        <f>Calc!H14</f>
        <v/>
      </c>
      <c r="I2046">
        <f>IF(Skills!AA14&lt;&gt;"",1+(Skills!AA14/10)*(U2035/1000)/100,1)</f>
        <v/>
      </c>
      <c r="J2046">
        <f>((Inputs!$B$6*(1+Inputs!$B$7/100))+(((Inputs!$B$12*(1+Inputs!$B$13/100))-(Inputs!$B$12*(1+Inputs!$B$13/100)))+0.25*(Inputs!$B$14-Inputs!$B$14))*(1+Inputs!$B$7/100))*(F2046/100)</f>
        <v/>
      </c>
      <c r="K2046">
        <f>J2046*(1+((Inputs!$B$12*(1+Inputs!$B$13/100))*0.01+Inputs!$B$14*0.0025)/100)*(1+Inputs!$B$15/100)*(1+Inputs!$B$16/100)*(5000/(6000+Inputs!$B$43*(1-(100*(1-(1-(Inputs!$B$19+0)/100)*(1-CHOOSE(ArtifactsInput!$N$40+1,5,6,7,8,9,10)/100)^(ArtifactsInput!$M$40-ArtifactsInput!$M$40)))/100)))*(1+(Inputs!$B$24+((C2062=TRUE)*(F2062-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2055=TRUE)*(F2055-Calc!F23))+(((IF(AND(ArtifactsInput!$M$42,((Inputs!$B$9+((C2057=TRUE)*(F2057-Calc!F25))+B2072+(ArtifactsInput!$M$24-ArtifactsInput!$M$24)*CHOOSE(ArtifactsInput!$N$24+1,10,12,14,16,18,20)+IF(ArtifactsInput!$M$10,CHOOSE(ArtifactsInput!$N$10+1,15,18,21,24,27,30)*(IF(Inputs!$B$39="pvp",MIN(15,15)/15,IF(AND(Inputs!$B$39&lt;&gt;"pvp",Inputs!$B$44&gt;0),MIN(15,Inputs!$B$44)/(Inputs!$B$44),0))),0)))&gt;=100),MIN(100,((Inputs!$B$9+((C2057=TRUE)*(F2057-Calc!F25))+B2072+(ArtifactsInput!$M$24-ArtifactsInput!$M$24)*CHOOSE(ArtifactsInput!$N$24+1,10,12,14,16,18,20)+IF(ArtifactsInput!$M$10,CHOOSE(ArtifactsInput!$N$10+1,15,18,21,24,27,30)*(IF(Inputs!$B$39="pvp",MIN(15,15)/15,IF(AND(Inputs!$B$39&lt;&gt;"pvp",Inputs!$B$44&gt;0),MIN(15,Inputs!$B$44)/(Inputs!$B$44),0))),0)))-100),0))*CHOOSE(ArtifactsInput!$N$42+1,0.6,0.72,0.84,0.96,1.08,1.2))),Inputs!$B$18+((C2061=TRUE)*(F2061-Calc!F29))+(IF(AND(ArtifactsInput!$M$42,((Inputs!$B$9+((C2057=TRUE)*(F2057-Calc!F25))+B2072+(ArtifactsInput!$M$24-ArtifactsInput!$M$24)*CHOOSE(ArtifactsInput!$N$24+1,10,12,14,16,18,20)+IF(ArtifactsInput!$M$10,CHOOSE(ArtifactsInput!$N$10+1,15,18,21,24,27,30)*(IF(Inputs!$B$39="pvp",MIN(15,15)/15,IF(AND(Inputs!$B$39&lt;&gt;"pvp",Inputs!$B$44&gt;0),MIN(15,Inputs!$B$44)/(Inputs!$B$44),0))),0)))&gt;=100),CHOOSE(ArtifactsInput!$N$42+1,40,48,56,64,72,80),0))))/100)*(((1+(((C2053=TRUE)*F2053*IF(AND(Inputs!$B$39&lt;&gt;"pvp",Inputs!$B$44&gt;0),(((R2053-1)*(Skills!Y21*(1+Inputs!$B$34/100))+MIN((Skills!Y21*(1+Inputs!$B$34/100)),MAX(0,Inputs!$B$44-((R2053-1)*Skills!D21))))/Inputs!$B$44),IF(Inputs!$B$39="pvp",MIN((Skills!Y21*(1+Inputs!$B$34/100)),15)/15,(Skills!Y21*(1+Inputs!$B$34/100))/Skills!D21)))+((C2060=TRUE)*(F2060-Calc!F28))+((C2050=TRUE)*(F2050-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2047=TRUE)*F2047*IF(AND(Inputs!$B$39&lt;&gt;"pvp",Inputs!$B$44&gt;0),(((R2047-1)*(Skills!Y15*(1+Inputs!$B$34/100))+MIN((Skills!Y15*(1+Inputs!$B$34/100)),MAX(0,Inputs!$B$44-((R2047-1)*Skills!D15))))/Inputs!$B$44),IF(Inputs!$B$39="pvp",MIN((Skills!Y15*(1+Inputs!$B$34/100)),15)/15,(Skills!Y15*(1+Inputs!$B$34/100))/Skills!D15)))/100)*(1+((C2038=TRUE)*F2038*B2066)/100))*B2074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2046)</f>
        <v/>
      </c>
      <c r="L2046">
        <f>K2046*(MIN(Inputs!$B$22+((C2056=TRUE)*(F2056-Calc!F24)),(Inputs!$B$23+0+(IF(ArtifactsInput!$M$15,CHOOSE(ArtifactsInput!$N$15+1,25,30,35,40,45,50)/100*(Inputs!$B$11-Inputs!$B$11),0))))/100+(Inputs!$B$23+0+(IF(ArtifactsInput!$M$15,CHOOSE(ArtifactsInput!$N$15+1,25,30,35,40,45,50)/100*(Inputs!$B$11-Inputs!$B$11),0)))/100)/2</f>
        <v/>
      </c>
      <c r="M2046">
        <f>L2046*(1+(Inputs!$B$10+((C2058=TRUE)*(F2058-Calc!F26))+B2075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46">
        <f>L2046*(1-MIN((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2046*(MIN((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46">
        <f>(1-Summary!$B$11)*T2046+Summary!$B$11*V2046</f>
        <v/>
      </c>
      <c r="P2046">
        <f>IF(B2076=0,0,O2046/B2076)</f>
        <v/>
      </c>
      <c r="Q2046">
        <f>IFERROR(1/IF(Inputs!$B$39="pvp",15,MAX(0.1,Skills!D14-IF(Skills!E14=TRUE,Inputs!$B$32,0))),0)</f>
        <v/>
      </c>
      <c r="R2046">
        <f>IF(AND(Inputs!$B$39&lt;&gt;"pvp",Inputs!$B$44&gt;0),IF(MAX(0,Inputs!$B$44-B2077)&lt;=0,0,(INT(MAX(0,Inputs!$B$44-B2077)/IF(Inputs!$B$39="pvp",15,MAX(0.1,Skills!D14-IF(Skills!E14=TRUE,Inputs!$B$32,0))))+1)),0)</f>
        <v/>
      </c>
      <c r="S2046">
        <f>IFERROR(O2046/N2046,0)</f>
        <v/>
      </c>
      <c r="T2046">
        <f>IF(C2046,(H2046*N2046*IF(AND(Inputs!$B$39&lt;&gt;"pvp",Inputs!$B$44&gt;0),((Skills!G14*((R2046-1)*IF(Skills!H14&gt;0,Skills!I14/Skills!H14,1)+IF(Skills!H14&gt;0,MIN(Skills!I14,MAX(0,MAX(0,Inputs!$B$44-B2077)-((R2046-1)*IF(Inputs!$B$39="pvp",15,MAX(0.1,Skills!D14-IF(Skills!E14=TRUE,Inputs!$B$32,0))))))/Skills!H14,1)))/Inputs!$B$44),G2046*Q2046))*IF(Inputs!$B$39="pvp",1,1+(Inputs!$B$20+((C2059=TRUE)*(F2059-Calc!F27))+Skills!P14+B2073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Hunt"),CHOOSE(ArtifactsInput!$N$35+1,15,18,21,24,27,30)*(1-EXP(-(0.2*B2068)*5)),0)+IF(AND(ArtifactsInput!$M$22,Inputs!$B$4&lt;&gt;"Chapter Hunt"),CHOOSE(ArtifactsInput!$N$22+1,10,12,14,16,18,20)*((0*(((0.15*B2068*5))^0/1)+1*(((0.15*B2068*5))^1/1)+2*(((0.15*B2068*5))^2/2)+3*(((0.15*B2068*5))^3/6)+4*(((0.15*B2068*5))^4/24)+5*(((0.15*B2068*5))^5/120))/((((0.15*B2068*5))^0/1)+(((0.15*B2068*5))^1/1)+(((0.15*B2068*5))^2/2)+(((0.15*B2068*5))^3/6)+(((0.15*B2068*5))^4/24)+(((0.15*B2068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2046*(1-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2046*(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2046*(1-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2046*(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46">
        <f>IF(C2046,(H2046*N2046*IF(AND(Inputs!$B$39&lt;&gt;"pvp",Inputs!$B$44&gt;0),((Skills!G14*((R2046-1)*IF(Skills!H14&gt;0,Skills!I14/Skills!H14,1)+IF(Skills!H14&gt;0,MIN(Skills!I14,MAX(0,MAX(0,Inputs!$B$44-B2077)-((R2046-1)*IF(Inputs!$B$39="pvp",15,MAX(0.1,Skills!D14-IF(Skills!E14=TRUE,Inputs!$B$32,0))))))/Skills!H14,1)))/Inputs!$B$44),G2046*Q2046))*IF(Inputs!$B$39="pvp",1,(1+(Inputs!$B$21+Skills!Q14+B2073+(IF(ArtifactsInput!$M$33,CHOOSE(ArtifactsInput!$N$33+1,30,36,42,48,54,60),0))+(IF(AND(ArtifactsInput!$M$35,Inputs!$B$4&lt;&gt;"Chapter Hunt"),CHOOSE(ArtifactsInput!$N$35+1,15,18,21,24,27,30)*(1-EXP(-(0.2*B2068)*5)),0)+IF(AND(ArtifactsInput!$M$22,Inputs!$B$4&lt;&gt;"Chapter Hunt"),CHOOSE(ArtifactsInput!$N$22+1,10,12,14,16,18,20)*((0*(((0.15*B2068*5))^0/1)+1*(((0.15*B2068*5))^1/1)+2*(((0.15*B2068*5))^2/2)+3*(((0.15*B2068*5))^3/6)+4*(((0.15*B2068*5))^4/24)+5*(((0.15*B2068*5))^5/120))/((((0.15*B2068*5))^0/1)+(((0.15*B2068*5))^1/1)+(((0.15*B2068*5))^2/2)+(((0.15*B2068*5))^3/6)+(((0.15*B2068*5))^4/24)+(((0.15*B2068*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47">
      <c r="A2047">
        <f>Skills!A15</f>
        <v/>
      </c>
      <c r="B2047">
        <f>Skills!B15</f>
        <v/>
      </c>
      <c r="C2047">
        <f>Inputs!$B$3&gt;=110</f>
        <v/>
      </c>
      <c r="D2047">
        <f>IF(Skills!C15=1,60+Inputs!$B$25+Inputs!$B$29,IF(Skills!C15=2,90+Inputs!$B$26+Inputs!$B$29,IF(Skills!C15=3,120+Inputs!$B$27+Inputs!$B$29,MAX(0,(Inputs!$B$3-100)*3)+Inputs!$B$28+Inputs!$B$29)))</f>
        <v/>
      </c>
      <c r="E2047">
        <f>INDEX(FactorTable!$B$2:$Y$301, MATCH(ROUND(MIN(300,MAX(1,D2047)),0), FactorTable!$A$2:$A$301,0), Skills!M15+1)</f>
        <v/>
      </c>
      <c r="F2047">
        <f>IF(Skills!N15=TRUE,(Skills!L15/10)*(E2047/1000),Skills!L15/10)+Skills!O15</f>
        <v/>
      </c>
      <c r="G2047">
        <f>Calc!G15</f>
        <v/>
      </c>
      <c r="H2047">
        <f>Calc!H15</f>
        <v/>
      </c>
      <c r="I2047">
        <f>IF(Skills!AA15&lt;&gt;"",1+(Skills!AA15/10)*(U2035/1000)/100,1)</f>
        <v/>
      </c>
      <c r="J2047" t="inlineStr"/>
      <c r="K2047" t="inlineStr"/>
      <c r="L2047" t="inlineStr"/>
      <c r="M2047" t="inlineStr"/>
      <c r="N2047" t="inlineStr"/>
      <c r="O2047">
        <f>(1-Summary!$B$11)*T2047+Summary!$B$11*V2047</f>
        <v/>
      </c>
      <c r="P2047">
        <f>IF(B2076=0,0,O2047/B2076)</f>
        <v/>
      </c>
      <c r="Q2047">
        <f>IFERROR(1/IF(Inputs!$B$39="pvp",15,MAX(0.1,Skills!D15-IF(Skills!E15=TRUE,Inputs!$B$32,0))),0)</f>
        <v/>
      </c>
      <c r="R2047">
        <f>IF(AND(Inputs!$B$39&lt;&gt;"pvp",Inputs!$B$44&gt;0),IF(Inputs!$B$44&lt;=0,0,(INT(Inputs!$B$44/IF(Inputs!$B$39="pvp",15,MAX(0.1,Skills!D15-IF(Skills!E15=TRUE,Inputs!$B$32,0))))+1)),0)</f>
        <v/>
      </c>
      <c r="S2047">
        <f>IFERROR(O2047/N2047,0)</f>
        <v/>
      </c>
      <c r="T2047" t="n">
        <v>0</v>
      </c>
      <c r="V2047" t="n">
        <v>0</v>
      </c>
    </row>
    <row r="2048">
      <c r="A2048">
        <f>Skills!A16</f>
        <v/>
      </c>
      <c r="B2048">
        <f>Skills!B16</f>
        <v/>
      </c>
      <c r="C2048">
        <f>Inputs!$B$3&gt;=110</f>
        <v/>
      </c>
      <c r="D2048">
        <f>IF(Skills!C16=1,60+Inputs!$B$25+Inputs!$B$29,IF(Skills!C16=2,90+Inputs!$B$26+Inputs!$B$29,IF(Skills!C16=3,120+Inputs!$B$27+Inputs!$B$29,MAX(0,(Inputs!$B$3-100)*3)+Inputs!$B$28+Inputs!$B$29)))</f>
        <v/>
      </c>
      <c r="E2048">
        <f>INDEX(FactorTable!$B$2:$Y$301, MATCH(ROUND(MIN(300,MAX(1,D2048)),0), FactorTable!$A$2:$A$301,0), Skills!M16+1)</f>
        <v/>
      </c>
      <c r="F2048">
        <f>IF(Skills!N16=TRUE,(Skills!L16/10)*(E2048/1000),Skills!L16/10)+Skills!O16</f>
        <v/>
      </c>
      <c r="G2048">
        <f>Calc!G16</f>
        <v/>
      </c>
      <c r="H2048">
        <f>Calc!H16</f>
        <v/>
      </c>
      <c r="I2048">
        <f>IF(Skills!AA16&lt;&gt;"",1+(Skills!AA16/10)*(U2035/1000)/100,1)</f>
        <v/>
      </c>
      <c r="J2048" t="inlineStr"/>
      <c r="K2048" t="inlineStr"/>
      <c r="L2048" t="inlineStr"/>
      <c r="M2048" t="inlineStr"/>
      <c r="N2048" t="inlineStr"/>
      <c r="O2048">
        <f>(1-Summary!$B$11)*T2048+Summary!$B$11*V2048</f>
        <v/>
      </c>
      <c r="P2048">
        <f>IF(B2076=0,0,O2048/B2076)</f>
        <v/>
      </c>
      <c r="Q2048">
        <f>IFERROR(1/IF(Inputs!$B$39="pvp",15,MAX(0.1,Skills!D16-IF(Skills!E16=TRUE,Inputs!$B$32,0))),0)</f>
        <v/>
      </c>
      <c r="R2048">
        <f>IF(AND(Inputs!$B$39&lt;&gt;"pvp",Inputs!$B$44&gt;0),IF(Inputs!$B$44&lt;=0,0,(INT(Inputs!$B$44/IF(Inputs!$B$39="pvp",15,MAX(0.1,Skills!D16-IF(Skills!E16=TRUE,Inputs!$B$32,0))))+1)),0)</f>
        <v/>
      </c>
      <c r="S2048">
        <f>IFERROR(O2048/N2048,0)</f>
        <v/>
      </c>
      <c r="T2048" t="n">
        <v>0</v>
      </c>
      <c r="V2048" t="n">
        <v>0</v>
      </c>
    </row>
    <row r="2049">
      <c r="A2049">
        <f>Skills!A17</f>
        <v/>
      </c>
      <c r="B2049">
        <f>Skills!B17</f>
        <v/>
      </c>
      <c r="C2049">
        <f>Inputs!$B$3&gt;=115</f>
        <v/>
      </c>
      <c r="D2049">
        <f>IF(Skills!C17=1,60+Inputs!$B$25+Inputs!$B$29,IF(Skills!C17=2,90+Inputs!$B$26+Inputs!$B$29,IF(Skills!C17=3,120+Inputs!$B$27+Inputs!$B$29,MAX(0,(Inputs!$B$3-100)*3)+Inputs!$B$28+Inputs!$B$29)))</f>
        <v/>
      </c>
      <c r="E2049">
        <f>INDEX(FactorTable!$B$2:$Y$301, MATCH(ROUND(MIN(300,MAX(1,D2049)),0), FactorTable!$A$2:$A$301,0), Skills!M17+1)</f>
        <v/>
      </c>
      <c r="F2049">
        <f>IF(Skills!N17=TRUE,(Skills!L17/10)*(E2049/1000),Skills!L17/10)+Skills!O17</f>
        <v/>
      </c>
      <c r="G2049">
        <f>Calc!G17</f>
        <v/>
      </c>
      <c r="H2049">
        <f>Calc!H17</f>
        <v/>
      </c>
      <c r="I2049">
        <f>IF(Skills!AA17&lt;&gt;"",1+(Skills!AA17/10)*(U2035/1000)/100,1)</f>
        <v/>
      </c>
      <c r="J2049">
        <f>((Inputs!$B$6*(1+Inputs!$B$7/100))+(((Inputs!$B$12*(1+Inputs!$B$13/100))-(Inputs!$B$12*(1+Inputs!$B$13/100)))+0.25*(Inputs!$B$14-Inputs!$B$14))*(1+Inputs!$B$7/100))*(F2049/100)</f>
        <v/>
      </c>
      <c r="K2049">
        <f>J2049*(1+((Inputs!$B$12*(1+Inputs!$B$13/100))*0.01+Inputs!$B$14*0.0025)/100)*(1+Inputs!$B$15/100)*(1+Inputs!$B$16/100)*(5000/(6000+Inputs!$B$43*(1-(100*(1-(1-(Inputs!$B$19+0)/100)*(1-CHOOSE(ArtifactsInput!$N$40+1,5,6,7,8,9,10)/100)^(ArtifactsInput!$M$40-ArtifactsInput!$M$40)))/100)))*(1+(Inputs!$B$24+((C2062=TRUE)*(F2062-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2055=TRUE)*(F2055-Calc!F23))+(((IF(AND(ArtifactsInput!$M$42,((Inputs!$B$9+((C2057=TRUE)*(F2057-Calc!F25))+B2072+(ArtifactsInput!$M$24-ArtifactsInput!$M$24)*CHOOSE(ArtifactsInput!$N$24+1,10,12,14,16,18,20)+IF(ArtifactsInput!$M$10,CHOOSE(ArtifactsInput!$N$10+1,15,18,21,24,27,30)*(IF(Inputs!$B$39="pvp",MIN(15,15)/15,IF(AND(Inputs!$B$39&lt;&gt;"pvp",Inputs!$B$44&gt;0),MIN(15,Inputs!$B$44)/(Inputs!$B$44),0))),0)))&gt;=100),MIN(100,((Inputs!$B$9+((C2057=TRUE)*(F2057-Calc!F25))+B2072+(ArtifactsInput!$M$24-ArtifactsInput!$M$24)*CHOOSE(ArtifactsInput!$N$24+1,10,12,14,16,18,20)+IF(ArtifactsInput!$M$10,CHOOSE(ArtifactsInput!$N$10+1,15,18,21,24,27,30)*(IF(Inputs!$B$39="pvp",MIN(15,15)/15,IF(AND(Inputs!$B$39&lt;&gt;"pvp",Inputs!$B$44&gt;0),MIN(15,Inputs!$B$44)/(Inputs!$B$44),0))),0)))-100),0))*CHOOSE(ArtifactsInput!$N$42+1,0.6,0.72,0.84,0.96,1.08,1.2))),Inputs!$B$18+((C2061=TRUE)*(F2061-Calc!F29))+(IF(AND(ArtifactsInput!$M$42,((Inputs!$B$9+((C2057=TRUE)*(F2057-Calc!F25))+B2072+(ArtifactsInput!$M$24-ArtifactsInput!$M$24)*CHOOSE(ArtifactsInput!$N$24+1,10,12,14,16,18,20)+IF(ArtifactsInput!$M$10,CHOOSE(ArtifactsInput!$N$10+1,15,18,21,24,27,30)*(IF(Inputs!$B$39="pvp",MIN(15,15)/15,IF(AND(Inputs!$B$39&lt;&gt;"pvp",Inputs!$B$44&gt;0),MIN(15,Inputs!$B$44)/(Inputs!$B$44),0))),0)))&gt;=100),CHOOSE(ArtifactsInput!$N$42+1,40,48,56,64,72,80),0))))/100)*(((1+(((C2053=TRUE)*F2053*IF(AND(Inputs!$B$39&lt;&gt;"pvp",Inputs!$B$44&gt;0),(((R2053-1)*(Skills!Y21*(1+Inputs!$B$34/100))+MIN((Skills!Y21*(1+Inputs!$B$34/100)),MAX(0,Inputs!$B$44-((R2053-1)*Skills!D21))))/Inputs!$B$44),IF(Inputs!$B$39="pvp",MIN((Skills!Y21*(1+Inputs!$B$34/100)),15)/15,(Skills!Y21*(1+Inputs!$B$34/100))/Skills!D21)))+((C2060=TRUE)*(F2060-Calc!F28))+((C2050=TRUE)*(F2050-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2047=TRUE)*F2047*IF(AND(Inputs!$B$39&lt;&gt;"pvp",Inputs!$B$44&gt;0),(((R2047-1)*(Skills!Y15*(1+Inputs!$B$34/100))+MIN((Skills!Y15*(1+Inputs!$B$34/100)),MAX(0,Inputs!$B$44-((R2047-1)*Skills!D15))))/Inputs!$B$44),IF(Inputs!$B$39="pvp",MIN((Skills!Y15*(1+Inputs!$B$34/100)),15)/15,(Skills!Y15*(1+Inputs!$B$34/100))/Skills!D15)))/100)*(1+((C2038=TRUE)*F2038*B2066)/100))*B2074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2049)</f>
        <v/>
      </c>
      <c r="L2049">
        <f>K2049*(MIN(Inputs!$B$22+((C2056=TRUE)*(F2056-Calc!F24)),(Inputs!$B$23+0+(IF(ArtifactsInput!$M$15,CHOOSE(ArtifactsInput!$N$15+1,25,30,35,40,45,50)/100*(Inputs!$B$11-Inputs!$B$11),0))))/100+(Inputs!$B$23+0+(IF(ArtifactsInput!$M$15,CHOOSE(ArtifactsInput!$N$15+1,25,30,35,40,45,50)/100*(Inputs!$B$11-Inputs!$B$11),0)))/100)/2</f>
        <v/>
      </c>
      <c r="M2049">
        <f>L2049*(1+(Inputs!$B$10+((C2058=TRUE)*(F2058-Calc!F26))+B2075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49">
        <f>L2049*(1-MIN((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2049*(MIN((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49">
        <f>(1-Summary!$B$11)*T2049+Summary!$B$11*V2049</f>
        <v/>
      </c>
      <c r="P2049">
        <f>IF(B2076=0,0,O2049/B2076)</f>
        <v/>
      </c>
      <c r="Q2049" t="n">
        <v>0</v>
      </c>
      <c r="R2049" t="n">
        <v>0</v>
      </c>
      <c r="S2049">
        <f>IFERROR(O2049/N2049,0)</f>
        <v/>
      </c>
      <c r="T2049">
        <f>IF(C2049,(Inputs!$B$38*0.2*N2049)*IF(Inputs!$B$39="pvp",1,1+(Inputs!$B$20+((C2059=TRUE)*(F2059-Calc!F27))+Skills!P17+B2073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Hunt"),CHOOSE(ArtifactsInput!$N$35+1,15,18,21,24,27,30)*(1-EXP(-(0.2*B2068)*5)),0)+IF(AND(ArtifactsInput!$M$22,Inputs!$B$4&lt;&gt;"Chapter Hunt"),CHOOSE(ArtifactsInput!$N$22+1,10,12,14,16,18,20)*((0*(((0.15*B2068*5))^0/1)+1*(((0.15*B2068*5))^1/1)+2*(((0.15*B2068*5))^2/2)+3*(((0.15*B2068*5))^3/6)+4*(((0.15*B2068*5))^4/24)+5*(((0.15*B2068*5))^5/120))/((((0.15*B2068*5))^0/1)+(((0.15*B2068*5))^1/1)+(((0.15*B2068*5))^2/2)+(((0.15*B2068*5))^3/6)+(((0.15*B2068*5))^4/24)+(((0.15*B2068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2049*(1-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2049*(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2049*(1-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2049*(MIN(100,(Inputs!$B$9+((C2057=TRUE)*(F2057-Calc!F25))+B2072+(ArtifactsInput!$M$24-ArtifactsInput!$M$24)*CHOOSE(ArtifactsInput!$N$24+1,10,12,14,16,18,20)+(IF(AND(ArtifactsInput!$M$42,((Inputs!$B$9+((C2057=TRUE)*(F2057-Calc!F25))+B2072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49">
        <f>IF(C2049,(Inputs!$B$38*0.2*N2049)*IF(Inputs!$B$39="pvp",1,(1+(Inputs!$B$21+Skills!Q17+B2073+(IF(ArtifactsInput!$M$33,CHOOSE(ArtifactsInput!$N$33+1,30,36,42,48,54,60),0))+(IF(AND(ArtifactsInput!$M$35,Inputs!$B$4&lt;&gt;"Chapter Hunt"),CHOOSE(ArtifactsInput!$N$35+1,15,18,21,24,27,30)*(1-EXP(-(0.2*B2068)*5)),0)+IF(AND(ArtifactsInput!$M$22,Inputs!$B$4&lt;&gt;"Chapter Hunt"),CHOOSE(ArtifactsInput!$N$22+1,10,12,14,16,18,20)*((0*(((0.15*B2068*5))^0/1)+1*(((0.15*B2068*5))^1/1)+2*(((0.15*B2068*5))^2/2)+3*(((0.15*B2068*5))^3/6)+4*(((0.15*B2068*5))^4/24)+5*(((0.15*B2068*5))^5/120))/((((0.15*B2068*5))^0/1)+(((0.15*B2068*5))^1/1)+(((0.15*B2068*5))^2/2)+(((0.15*B2068*5))^3/6)+(((0.15*B2068*5))^4/24)+(((0.15*B2068*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50">
      <c r="A2050">
        <f>Skills!A18</f>
        <v/>
      </c>
      <c r="B2050">
        <f>Skills!B18</f>
        <v/>
      </c>
      <c r="C2050">
        <f>Inputs!$B$3&gt;=115</f>
        <v/>
      </c>
      <c r="D2050">
        <f>IF(Skills!C18=1,60+Inputs!$B$25+Inputs!$B$29,IF(Skills!C18=2,90+Inputs!$B$26+Inputs!$B$29,IF(Skills!C18=3,120+Inputs!$B$27+Inputs!$B$29,MAX(0,(Inputs!$B$3-100)*3)+Inputs!$B$28+Inputs!$B$29)))</f>
        <v/>
      </c>
      <c r="E2050">
        <f>INDEX(FactorTable!$B$2:$Y$301, MATCH(ROUND(MIN(300,MAX(1,D2050)),0), FactorTable!$A$2:$A$301,0), Skills!M18+1)</f>
        <v/>
      </c>
      <c r="F2050">
        <f>IF(Skills!N18=TRUE,(Skills!L18/10)*(E2050/1000),Skills!L18/10)+Skills!O18</f>
        <v/>
      </c>
      <c r="G2050">
        <f>Calc!G18</f>
        <v/>
      </c>
      <c r="H2050">
        <f>Calc!H18</f>
        <v/>
      </c>
      <c r="I2050">
        <f>IF(Skills!AA18&lt;&gt;"",1+(Skills!AA18/10)*(U2035/1000)/100,1)</f>
        <v/>
      </c>
      <c r="J2050" t="inlineStr"/>
      <c r="K2050" t="inlineStr"/>
      <c r="L2050" t="inlineStr"/>
      <c r="M2050" t="inlineStr"/>
      <c r="N2050" t="inlineStr"/>
      <c r="O2050">
        <f>(1-Summary!$B$11)*T2050+Summary!$B$11*V2050</f>
        <v/>
      </c>
      <c r="P2050">
        <f>IF(B2076=0,0,O2050/B2076)</f>
        <v/>
      </c>
      <c r="Q2050" t="n">
        <v>0</v>
      </c>
      <c r="R2050" t="n">
        <v>0</v>
      </c>
      <c r="S2050">
        <f>IFERROR(O2050/N2050,0)</f>
        <v/>
      </c>
      <c r="T2050" t="n">
        <v>0</v>
      </c>
      <c r="V2050" t="n">
        <v>0</v>
      </c>
    </row>
    <row r="2051">
      <c r="A2051">
        <f>Skills!A19</f>
        <v/>
      </c>
      <c r="B2051">
        <f>Skills!B19</f>
        <v/>
      </c>
      <c r="C2051">
        <f>TRUE</f>
        <v/>
      </c>
      <c r="D2051">
        <f>IF(Skills!C19=1,60+Inputs!$B$25+Inputs!$B$29,IF(Skills!C19=2,90+Inputs!$B$26+Inputs!$B$29,IF(Skills!C19=3,120+Inputs!$B$27+Inputs!$B$29,MAX(0,(Inputs!$B$3-100)*3)+Inputs!$B$28+Inputs!$B$29)))</f>
        <v/>
      </c>
      <c r="E2051">
        <f>INDEX(FactorTable!$B$2:$Y$301, MATCH(ROUND(MIN(300,MAX(1,D2051)),0), FactorTable!$A$2:$A$301,0), Skills!M19+1)</f>
        <v/>
      </c>
      <c r="F2051">
        <f>IF(Skills!N19=TRUE,(Skills!L19/10)*(E2051/1000),Skills!L19/10)+Skills!O19</f>
        <v/>
      </c>
      <c r="G2051">
        <f>Calc!G19</f>
        <v/>
      </c>
      <c r="H2051">
        <f>Calc!H19</f>
        <v/>
      </c>
      <c r="I2051">
        <f>IF(Skills!AA19&lt;&gt;"",1+(Skills!AA19/10)*(U2035/1000)/100,1)</f>
        <v/>
      </c>
      <c r="J2051" t="inlineStr"/>
      <c r="K2051" t="inlineStr"/>
      <c r="L2051" t="inlineStr"/>
      <c r="M2051" t="inlineStr"/>
      <c r="N2051" t="inlineStr"/>
      <c r="O2051">
        <f>(1-Summary!$B$11)*T2051+Summary!$B$11*V2051</f>
        <v/>
      </c>
      <c r="P2051">
        <f>IF(B2076=0,0,O2051/B2076)</f>
        <v/>
      </c>
      <c r="Q2051">
        <f>IFERROR(1/IF(Inputs!$B$39="pvp",15,MAX(0.1,Skills!D19-IF(Skills!E19=TRUE,Inputs!$B$32,0))),0)</f>
        <v/>
      </c>
      <c r="R2051">
        <f>IF(AND(Inputs!$B$39&lt;&gt;"pvp",Inputs!$B$44&gt;0),IF(Inputs!$B$44&lt;=0,0,(INT(Inputs!$B$44/IF(Inputs!$B$39="pvp",15,MAX(0.1,Skills!D19-IF(Skills!E19=TRUE,Inputs!$B$32,0))))+1)),0)</f>
        <v/>
      </c>
      <c r="S2051">
        <f>IFERROR(O2051/N2051,0)</f>
        <v/>
      </c>
      <c r="T2051" t="n">
        <v>0</v>
      </c>
      <c r="V2051" t="n">
        <v>0</v>
      </c>
    </row>
    <row r="2052">
      <c r="A2052">
        <f>Skills!A20</f>
        <v/>
      </c>
      <c r="B2052">
        <f>Skills!B20</f>
        <v/>
      </c>
      <c r="C2052">
        <f>Inputs!$B$3&gt;=15</f>
        <v/>
      </c>
      <c r="D2052">
        <f>IF(Skills!C20=1,60+Inputs!$B$25+Inputs!$B$29,IF(Skills!C20=2,90+Inputs!$B$26+Inputs!$B$29,IF(Skills!C20=3,120+Inputs!$B$27+Inputs!$B$29,MAX(0,(Inputs!$B$3-100)*3)+Inputs!$B$28+Inputs!$B$29)))</f>
        <v/>
      </c>
      <c r="E2052">
        <f>INDEX(FactorTable!$B$2:$Y$301, MATCH(ROUND(MIN(300,MAX(1,D2052)),0), FactorTable!$A$2:$A$301,0), Skills!M20+1)</f>
        <v/>
      </c>
      <c r="F2052">
        <f>IF(Skills!N20=TRUE,(Skills!L20/10)*(E2052/1000),Skills!L20/10)+Skills!O20</f>
        <v/>
      </c>
      <c r="G2052">
        <f>Calc!G20</f>
        <v/>
      </c>
      <c r="H2052">
        <f>Calc!H20</f>
        <v/>
      </c>
      <c r="I2052">
        <f>IF(Skills!AA20&lt;&gt;"",1+(Skills!AA20/10)*(U2035/1000)/100,1)</f>
        <v/>
      </c>
      <c r="J2052" t="inlineStr"/>
      <c r="K2052" t="inlineStr"/>
      <c r="L2052" t="inlineStr"/>
      <c r="M2052" t="inlineStr"/>
      <c r="N2052" t="inlineStr"/>
      <c r="O2052">
        <f>(1-Summary!$B$11)*T2052+Summary!$B$11*V2052</f>
        <v/>
      </c>
      <c r="P2052">
        <f>IF(B2076=0,0,O2052/B2076)</f>
        <v/>
      </c>
      <c r="Q2052">
        <f>IFERROR(1/IF(Inputs!$B$39="pvp",15,MAX(0.1,Skills!D20-IF(Skills!E20=TRUE,Inputs!$B$32,0))),0)</f>
        <v/>
      </c>
      <c r="R2052">
        <f>IF(AND(Inputs!$B$39&lt;&gt;"pvp",Inputs!$B$44&gt;0),IF(Inputs!$B$44&lt;=0,0,(INT(Inputs!$B$44/IF(Inputs!$B$39="pvp",15,MAX(0.1,Skills!D20-IF(Skills!E20=TRUE,Inputs!$B$32,0))))+1)),0)</f>
        <v/>
      </c>
      <c r="S2052">
        <f>IFERROR(O2052/N2052,0)</f>
        <v/>
      </c>
      <c r="T2052" t="n">
        <v>0</v>
      </c>
      <c r="V2052" t="n">
        <v>0</v>
      </c>
    </row>
    <row r="2053">
      <c r="A2053">
        <f>Skills!A21</f>
        <v/>
      </c>
      <c r="B2053">
        <f>Skills!B21</f>
        <v/>
      </c>
      <c r="C2053">
        <f>Inputs!$B$3&gt;=15</f>
        <v/>
      </c>
      <c r="D2053">
        <f>IF(Skills!C21=1,60+Inputs!$B$25+Inputs!$B$29,IF(Skills!C21=2,90+Inputs!$B$26+Inputs!$B$29,IF(Skills!C21=3,120+Inputs!$B$27+Inputs!$B$29,MAX(0,(Inputs!$B$3-100)*3)+Inputs!$B$28+Inputs!$B$29)))</f>
        <v/>
      </c>
      <c r="E2053">
        <f>INDEX(FactorTable!$B$2:$Y$301, MATCH(ROUND(MIN(300,MAX(1,D2053)),0), FactorTable!$A$2:$A$301,0), Skills!M21+1)</f>
        <v/>
      </c>
      <c r="F2053">
        <f>IF(Skills!N21=TRUE,(Skills!L21/10)*(E2053/1000),Skills!L21/10)+Skills!O21</f>
        <v/>
      </c>
      <c r="G2053">
        <f>Calc!G21</f>
        <v/>
      </c>
      <c r="H2053">
        <f>Calc!H21</f>
        <v/>
      </c>
      <c r="I2053">
        <f>IF(Skills!AA21&lt;&gt;"",1+(Skills!AA21/10)*(U2035/1000)/100,1)</f>
        <v/>
      </c>
      <c r="J2053" t="inlineStr"/>
      <c r="K2053" t="inlineStr"/>
      <c r="L2053" t="inlineStr"/>
      <c r="M2053" t="inlineStr"/>
      <c r="N2053" t="inlineStr"/>
      <c r="O2053">
        <f>(1-Summary!$B$11)*T2053+Summary!$B$11*V2053</f>
        <v/>
      </c>
      <c r="P2053">
        <f>IF(B2076=0,0,O2053/B2076)</f>
        <v/>
      </c>
      <c r="Q2053">
        <f>IFERROR(1/IF(Inputs!$B$39="pvp",15,MAX(0.1,Skills!D21-IF(Skills!E21=TRUE,Inputs!$B$32,0))),0)</f>
        <v/>
      </c>
      <c r="R2053">
        <f>IF(AND(Inputs!$B$39&lt;&gt;"pvp",Inputs!$B$44&gt;0),IF(Inputs!$B$44&lt;=0,0,(INT(Inputs!$B$44/IF(Inputs!$B$39="pvp",15,MAX(0.1,Skills!D21-IF(Skills!E21=TRUE,Inputs!$B$32,0))))+1)),0)</f>
        <v/>
      </c>
      <c r="S2053">
        <f>IFERROR(O2053/N2053,0)</f>
        <v/>
      </c>
      <c r="T2053" t="n">
        <v>0</v>
      </c>
      <c r="V2053" t="n">
        <v>0</v>
      </c>
    </row>
    <row r="2054">
      <c r="A2054">
        <f>Skills!A22</f>
        <v/>
      </c>
      <c r="B2054">
        <f>Skills!B22</f>
        <v/>
      </c>
      <c r="C2054">
        <f>Inputs!$B$3&gt;=33</f>
        <v/>
      </c>
      <c r="D2054">
        <f>IF(Skills!C22=1,60+Inputs!$B$25+Inputs!$B$29,IF(Skills!C22=2,90+Inputs!$B$26+Inputs!$B$29,IF(Skills!C22=3,120+Inputs!$B$27+Inputs!$B$29,MAX(0,(Inputs!$B$3-100)*3)+Inputs!$B$28+Inputs!$B$29)))</f>
        <v/>
      </c>
      <c r="E2054">
        <f>INDEX(FactorTable!$B$2:$Y$301, MATCH(ROUND(MIN(300,MAX(1,D2054)),0), FactorTable!$A$2:$A$301,0), Skills!M22+1)</f>
        <v/>
      </c>
      <c r="F2054">
        <f>IF(Skills!N22=TRUE,(Skills!L22/10)*(E2054/1000),Skills!L22/10)+Skills!O22</f>
        <v/>
      </c>
      <c r="G2054">
        <f>Calc!G22</f>
        <v/>
      </c>
      <c r="H2054">
        <f>Calc!H22</f>
        <v/>
      </c>
      <c r="I2054">
        <f>IF(Skills!AA22&lt;&gt;"",1+(Skills!AA22/10)*(U2035/1000)/100,1)</f>
        <v/>
      </c>
      <c r="J2054" t="inlineStr"/>
      <c r="K2054" t="inlineStr"/>
      <c r="L2054" t="inlineStr"/>
      <c r="M2054" t="inlineStr"/>
      <c r="N2054" t="inlineStr"/>
      <c r="O2054">
        <f>(1-Summary!$B$11)*T2054+Summary!$B$11*V2054</f>
        <v/>
      </c>
      <c r="P2054">
        <f>IF(B2076=0,0,O2054/B2076)</f>
        <v/>
      </c>
      <c r="Q2054" t="n">
        <v>0</v>
      </c>
      <c r="R2054" t="n">
        <v>0</v>
      </c>
      <c r="S2054">
        <f>IFERROR(O2054/N2054,0)</f>
        <v/>
      </c>
      <c r="T2054" t="n">
        <v>0</v>
      </c>
      <c r="V2054" t="n">
        <v>0</v>
      </c>
    </row>
    <row r="2055">
      <c r="A2055">
        <f>Skills!A23</f>
        <v/>
      </c>
      <c r="B2055">
        <f>Skills!B23</f>
        <v/>
      </c>
      <c r="C2055">
        <f>Inputs!$B$3&gt;=38</f>
        <v/>
      </c>
      <c r="D2055">
        <f>IF(Skills!C23=1,60+Inputs!$B$25+Inputs!$B$29,IF(Skills!C23=2,90+Inputs!$B$26+Inputs!$B$29,IF(Skills!C23=3,120+Inputs!$B$27+Inputs!$B$29,MAX(0,(Inputs!$B$3-100)*3)+Inputs!$B$28+Inputs!$B$29)))</f>
        <v/>
      </c>
      <c r="E2055">
        <f>INDEX(FactorTable!$B$2:$Y$301, MATCH(ROUND(MIN(300,MAX(1,D2055)),0), FactorTable!$A$2:$A$301,0), Skills!M23+1)</f>
        <v/>
      </c>
      <c r="F2055">
        <f>IF(Skills!N23=TRUE,(Skills!L23/10)*(E2055/1000),Skills!L23/10)+Skills!O23</f>
        <v/>
      </c>
      <c r="G2055">
        <f>Calc!G23</f>
        <v/>
      </c>
      <c r="H2055">
        <f>Calc!H23</f>
        <v/>
      </c>
      <c r="I2055">
        <f>IF(Skills!AA23&lt;&gt;"",1+(Skills!AA23/10)*(U2035/1000)/100,1)</f>
        <v/>
      </c>
      <c r="J2055" t="inlineStr"/>
      <c r="K2055" t="inlineStr"/>
      <c r="L2055" t="inlineStr"/>
      <c r="M2055" t="inlineStr"/>
      <c r="N2055" t="inlineStr"/>
      <c r="O2055">
        <f>(1-Summary!$B$11)*T2055+Summary!$B$11*V2055</f>
        <v/>
      </c>
      <c r="P2055">
        <f>IF(B2076=0,0,O2055/B2076)</f>
        <v/>
      </c>
      <c r="Q2055" t="n">
        <v>0</v>
      </c>
      <c r="R2055" t="n">
        <v>0</v>
      </c>
      <c r="S2055">
        <f>IFERROR(O2055/N2055,0)</f>
        <v/>
      </c>
      <c r="T2055" t="n">
        <v>0</v>
      </c>
      <c r="V2055" t="n">
        <v>0</v>
      </c>
    </row>
    <row r="2056">
      <c r="A2056">
        <f>Skills!A24</f>
        <v/>
      </c>
      <c r="B2056">
        <f>Skills!B24</f>
        <v/>
      </c>
      <c r="C2056">
        <f>Inputs!$B$3&gt;=40</f>
        <v/>
      </c>
      <c r="D2056">
        <f>IF(Skills!C24=1,60+Inputs!$B$25+Inputs!$B$29,IF(Skills!C24=2,90+Inputs!$B$26+Inputs!$B$29,IF(Skills!C24=3,120+Inputs!$B$27+Inputs!$B$29,MAX(0,(Inputs!$B$3-100)*3)+Inputs!$B$28+Inputs!$B$29)))</f>
        <v/>
      </c>
      <c r="E2056">
        <f>INDEX(FactorTable!$B$2:$Y$301, MATCH(ROUND(MIN(300,MAX(1,D2056)),0), FactorTable!$A$2:$A$301,0), Skills!M24+1)</f>
        <v/>
      </c>
      <c r="F2056">
        <f>IF(Skills!N24=TRUE,(Skills!L24/10)*(E2056/1000),Skills!L24/10)+Skills!O24</f>
        <v/>
      </c>
      <c r="G2056">
        <f>Calc!G24</f>
        <v/>
      </c>
      <c r="H2056">
        <f>Calc!H24</f>
        <v/>
      </c>
      <c r="I2056">
        <f>IF(Skills!AA24&lt;&gt;"",1+(Skills!AA24/10)*(U2035/1000)/100,1)</f>
        <v/>
      </c>
      <c r="J2056" t="inlineStr"/>
      <c r="K2056" t="inlineStr"/>
      <c r="L2056" t="inlineStr"/>
      <c r="M2056" t="inlineStr"/>
      <c r="N2056" t="inlineStr"/>
      <c r="O2056">
        <f>(1-Summary!$B$11)*T2056+Summary!$B$11*V2056</f>
        <v/>
      </c>
      <c r="P2056">
        <f>IF(B2076=0,0,O2056/B2076)</f>
        <v/>
      </c>
      <c r="Q2056" t="n">
        <v>0</v>
      </c>
      <c r="R2056" t="n">
        <v>0</v>
      </c>
      <c r="S2056">
        <f>IFERROR(O2056/N2056,0)</f>
        <v/>
      </c>
      <c r="T2056" t="n">
        <v>0</v>
      </c>
      <c r="V2056" t="n">
        <v>0</v>
      </c>
    </row>
    <row r="2057">
      <c r="A2057">
        <f>Skills!A25</f>
        <v/>
      </c>
      <c r="B2057">
        <f>Skills!B25</f>
        <v/>
      </c>
      <c r="C2057">
        <f>Inputs!$B$3&gt;=45</f>
        <v/>
      </c>
      <c r="D2057">
        <f>IF(Skills!C25=1,60+Inputs!$B$25+Inputs!$B$29,IF(Skills!C25=2,90+Inputs!$B$26+Inputs!$B$29,IF(Skills!C25=3,120+Inputs!$B$27+Inputs!$B$29,MAX(0,(Inputs!$B$3-100)*3)+Inputs!$B$28+Inputs!$B$29)))</f>
        <v/>
      </c>
      <c r="E2057">
        <f>INDEX(FactorTable!$B$2:$Y$301, MATCH(ROUND(MIN(300,MAX(1,D2057)),0), FactorTable!$A$2:$A$301,0), Skills!M25+1)</f>
        <v/>
      </c>
      <c r="F2057">
        <f>IF(Skills!N25=TRUE,(Skills!L25/10)*(E2057/1000),Skills!L25/10)+Skills!O25</f>
        <v/>
      </c>
      <c r="G2057">
        <f>Calc!G25</f>
        <v/>
      </c>
      <c r="H2057">
        <f>Calc!H25</f>
        <v/>
      </c>
      <c r="I2057">
        <f>IF(Skills!AA25&lt;&gt;"",1+(Skills!AA25/10)*(U2035/1000)/100,1)</f>
        <v/>
      </c>
      <c r="J2057" t="inlineStr"/>
      <c r="K2057" t="inlineStr"/>
      <c r="L2057" t="inlineStr"/>
      <c r="M2057" t="inlineStr"/>
      <c r="N2057" t="inlineStr"/>
      <c r="O2057">
        <f>(1-Summary!$B$11)*T2057+Summary!$B$11*V2057</f>
        <v/>
      </c>
      <c r="P2057">
        <f>IF(B2076=0,0,O2057/B2076)</f>
        <v/>
      </c>
      <c r="Q2057" t="n">
        <v>0</v>
      </c>
      <c r="R2057" t="n">
        <v>0</v>
      </c>
      <c r="S2057">
        <f>IFERROR(O2057/N2057,0)</f>
        <v/>
      </c>
      <c r="T2057" t="n">
        <v>0</v>
      </c>
      <c r="V2057" t="n">
        <v>0</v>
      </c>
    </row>
    <row r="2058">
      <c r="A2058">
        <f>Skills!A26</f>
        <v/>
      </c>
      <c r="B2058">
        <f>Skills!B26</f>
        <v/>
      </c>
      <c r="C2058">
        <f>Inputs!$B$3&gt;=45</f>
        <v/>
      </c>
      <c r="D2058">
        <f>IF(Skills!C26=1,60+Inputs!$B$25+Inputs!$B$29,IF(Skills!C26=2,90+Inputs!$B$26+Inputs!$B$29,IF(Skills!C26=3,120+Inputs!$B$27+Inputs!$B$29,MAX(0,(Inputs!$B$3-100)*3)+Inputs!$B$28+Inputs!$B$29)))</f>
        <v/>
      </c>
      <c r="E2058">
        <f>INDEX(FactorTable!$B$2:$Y$301, MATCH(ROUND(MIN(300,MAX(1,D2058)),0), FactorTable!$A$2:$A$301,0), Skills!M26+1)</f>
        <v/>
      </c>
      <c r="F2058">
        <f>IF(Skills!N26=TRUE,(Skills!L26/10)*(E2058/1000),Skills!L26/10)+Skills!O26</f>
        <v/>
      </c>
      <c r="G2058">
        <f>Calc!G26</f>
        <v/>
      </c>
      <c r="H2058">
        <f>Calc!H26</f>
        <v/>
      </c>
      <c r="I2058">
        <f>IF(Skills!AA26&lt;&gt;"",1+(Skills!AA26/10)*(U2035/1000)/100,1)</f>
        <v/>
      </c>
      <c r="J2058" t="inlineStr"/>
      <c r="K2058" t="inlineStr"/>
      <c r="L2058" t="inlineStr"/>
      <c r="M2058" t="inlineStr"/>
      <c r="N2058" t="inlineStr"/>
      <c r="O2058">
        <f>(1-Summary!$B$11)*T2058+Summary!$B$11*V2058</f>
        <v/>
      </c>
      <c r="P2058">
        <f>IF(B2076=0,0,O2058/B2076)</f>
        <v/>
      </c>
      <c r="Q2058" t="n">
        <v>0</v>
      </c>
      <c r="R2058" t="n">
        <v>0</v>
      </c>
      <c r="S2058">
        <f>IFERROR(O2058/N2058,0)</f>
        <v/>
      </c>
      <c r="T2058" t="n">
        <v>0</v>
      </c>
      <c r="V2058" t="n">
        <v>0</v>
      </c>
    </row>
    <row r="2059">
      <c r="A2059">
        <f>Skills!A27</f>
        <v/>
      </c>
      <c r="B2059">
        <f>Skills!B27</f>
        <v/>
      </c>
      <c r="C2059">
        <f>Inputs!$B$3&gt;=72</f>
        <v/>
      </c>
      <c r="D2059">
        <f>IF(Skills!C27=1,60+Inputs!$B$25+Inputs!$B$29,IF(Skills!C27=2,90+Inputs!$B$26+Inputs!$B$29,IF(Skills!C27=3,120+Inputs!$B$27+Inputs!$B$29,MAX(0,(Inputs!$B$3-100)*3)+Inputs!$B$28+Inputs!$B$29)))</f>
        <v/>
      </c>
      <c r="E2059">
        <f>INDEX(FactorTable!$B$2:$Y$301, MATCH(ROUND(MIN(300,MAX(1,D2059)),0), FactorTable!$A$2:$A$301,0), Skills!M27+1)</f>
        <v/>
      </c>
      <c r="F2059">
        <f>IF(Skills!N27=TRUE,(Skills!L27/10)*(E2059/1000),Skills!L27/10)+Skills!O27</f>
        <v/>
      </c>
      <c r="G2059">
        <f>Calc!G27</f>
        <v/>
      </c>
      <c r="H2059">
        <f>Calc!H27</f>
        <v/>
      </c>
      <c r="I2059">
        <f>IF(Skills!AA27&lt;&gt;"",1+(Skills!AA27/10)*(U2035/1000)/100,1)</f>
        <v/>
      </c>
      <c r="J2059" t="inlineStr"/>
      <c r="K2059" t="inlineStr"/>
      <c r="L2059" t="inlineStr"/>
      <c r="M2059" t="inlineStr"/>
      <c r="N2059" t="inlineStr"/>
      <c r="O2059">
        <f>(1-Summary!$B$11)*T2059+Summary!$B$11*V2059</f>
        <v/>
      </c>
      <c r="P2059">
        <f>IF(B2076=0,0,O2059/B2076)</f>
        <v/>
      </c>
      <c r="Q2059" t="n">
        <v>0</v>
      </c>
      <c r="R2059" t="n">
        <v>0</v>
      </c>
      <c r="S2059">
        <f>IFERROR(O2059/N2059,0)</f>
        <v/>
      </c>
      <c r="T2059" t="n">
        <v>0</v>
      </c>
      <c r="V2059" t="n">
        <v>0</v>
      </c>
    </row>
    <row r="2060">
      <c r="A2060">
        <f>Skills!A28</f>
        <v/>
      </c>
      <c r="B2060">
        <f>Skills!B28</f>
        <v/>
      </c>
      <c r="C2060">
        <f>Inputs!$B$3&gt;=75</f>
        <v/>
      </c>
      <c r="D2060">
        <f>IF(Skills!C28=1,60+Inputs!$B$25+Inputs!$B$29,IF(Skills!C28=2,90+Inputs!$B$26+Inputs!$B$29,IF(Skills!C28=3,120+Inputs!$B$27+Inputs!$B$29,MAX(0,(Inputs!$B$3-100)*3)+Inputs!$B$28+Inputs!$B$29)))</f>
        <v/>
      </c>
      <c r="E2060">
        <f>INDEX(FactorTable!$B$2:$Y$301, MATCH(ROUND(MIN(300,MAX(1,D2060)),0), FactorTable!$A$2:$A$301,0), Skills!M28+1)</f>
        <v/>
      </c>
      <c r="F2060">
        <f>IF(Skills!N28=TRUE,(Skills!L28/10)*(E2060/1000),Skills!L28/10)+Skills!O28</f>
        <v/>
      </c>
      <c r="G2060">
        <f>Calc!G28</f>
        <v/>
      </c>
      <c r="H2060">
        <f>Calc!H28</f>
        <v/>
      </c>
      <c r="I2060">
        <f>IF(Skills!AA28&lt;&gt;"",1+(Skills!AA28/10)*(U2035/1000)/100,1)</f>
        <v/>
      </c>
      <c r="J2060" t="inlineStr"/>
      <c r="K2060" t="inlineStr"/>
      <c r="L2060" t="inlineStr"/>
      <c r="M2060" t="inlineStr"/>
      <c r="N2060" t="inlineStr"/>
      <c r="O2060">
        <f>(1-Summary!$B$11)*T2060+Summary!$B$11*V2060</f>
        <v/>
      </c>
      <c r="P2060">
        <f>IF(B2076=0,0,O2060/B2076)</f>
        <v/>
      </c>
      <c r="Q2060" t="n">
        <v>0</v>
      </c>
      <c r="R2060" t="n">
        <v>0</v>
      </c>
      <c r="S2060">
        <f>IFERROR(O2060/N2060,0)</f>
        <v/>
      </c>
      <c r="T2060" t="n">
        <v>0</v>
      </c>
      <c r="V2060" t="n">
        <v>0</v>
      </c>
    </row>
    <row r="2061">
      <c r="A2061">
        <f>Skills!A29</f>
        <v/>
      </c>
      <c r="B2061">
        <f>Skills!B29</f>
        <v/>
      </c>
      <c r="C2061">
        <f>Inputs!$B$3&gt;=120</f>
        <v/>
      </c>
      <c r="D2061">
        <f>IF(Skills!C29=1,60+Inputs!$B$25+Inputs!$B$29,IF(Skills!C29=2,90+Inputs!$B$26+Inputs!$B$29,IF(Skills!C29=3,120+Inputs!$B$27+Inputs!$B$29,MAX(0,(Inputs!$B$3-100)*3)+Inputs!$B$28+Inputs!$B$29)))</f>
        <v/>
      </c>
      <c r="E2061">
        <f>INDEX(FactorTable!$B$2:$Y$301, MATCH(ROUND(MIN(300,MAX(1,D2061)),0), FactorTable!$A$2:$A$301,0), Skills!M29+1)</f>
        <v/>
      </c>
      <c r="F2061">
        <f>IF(Skills!N29=TRUE,(Skills!L29/10)*(E2061/1000),Skills!L29/10)+Skills!O29</f>
        <v/>
      </c>
      <c r="G2061">
        <f>Calc!G29</f>
        <v/>
      </c>
      <c r="H2061">
        <f>Calc!H29</f>
        <v/>
      </c>
      <c r="I2061">
        <f>IF(Skills!AA29&lt;&gt;"",1+(Skills!AA29/10)*(U2035/1000)/100,1)</f>
        <v/>
      </c>
      <c r="J2061" t="inlineStr"/>
      <c r="K2061" t="inlineStr"/>
      <c r="L2061" t="inlineStr"/>
      <c r="M2061" t="inlineStr"/>
      <c r="N2061" t="inlineStr"/>
      <c r="O2061">
        <f>(1-Summary!$B$11)*T2061+Summary!$B$11*V2061</f>
        <v/>
      </c>
      <c r="P2061">
        <f>IF(B2076=0,0,O2061/B2076)</f>
        <v/>
      </c>
      <c r="Q2061" t="n">
        <v>0</v>
      </c>
      <c r="R2061" t="n">
        <v>0</v>
      </c>
      <c r="S2061">
        <f>IFERROR(O2061/N2061,0)</f>
        <v/>
      </c>
      <c r="T2061" t="n">
        <v>0</v>
      </c>
      <c r="V2061" t="n">
        <v>0</v>
      </c>
    </row>
    <row r="2062">
      <c r="A2062">
        <f>Skills!A30</f>
        <v/>
      </c>
      <c r="B2062">
        <f>Skills!B30</f>
        <v/>
      </c>
      <c r="C2062">
        <f>Inputs!$B$3&gt;=125</f>
        <v/>
      </c>
      <c r="D2062">
        <f>IF(Skills!C30=1,60+Inputs!$B$25+Inputs!$B$29,IF(Skills!C30=2,90+Inputs!$B$26+Inputs!$B$29,IF(Skills!C30=3,120+Inputs!$B$27+Inputs!$B$29,MAX(0,(Inputs!$B$3-100)*3)+Inputs!$B$28+Inputs!$B$29)))</f>
        <v/>
      </c>
      <c r="E2062">
        <f>INDEX(FactorTable!$B$2:$Y$301, MATCH(ROUND(MIN(300,MAX(1,D2062)),0), FactorTable!$A$2:$A$301,0), Skills!M30+1)</f>
        <v/>
      </c>
      <c r="F2062">
        <f>IF(Skills!N30=TRUE,(Skills!L30/10)*(E2062/1000),Skills!L30/10)+Skills!O30</f>
        <v/>
      </c>
      <c r="G2062">
        <f>Calc!G30</f>
        <v/>
      </c>
      <c r="H2062">
        <f>Calc!H30</f>
        <v/>
      </c>
      <c r="I2062">
        <f>IF(Skills!AA30&lt;&gt;"",1+(Skills!AA30/10)*(U2035/1000)/100,1)</f>
        <v/>
      </c>
      <c r="J2062" t="inlineStr"/>
      <c r="K2062" t="inlineStr"/>
      <c r="L2062" t="inlineStr"/>
      <c r="M2062" t="inlineStr"/>
      <c r="N2062" t="inlineStr"/>
      <c r="O2062">
        <f>(1-Summary!$B$11)*T2062+Summary!$B$11*V2062</f>
        <v/>
      </c>
      <c r="P2062">
        <f>IF(B2076=0,0,O2062/B2076)</f>
        <v/>
      </c>
      <c r="Q2062" t="n">
        <v>0</v>
      </c>
      <c r="R2062" t="n">
        <v>0</v>
      </c>
      <c r="S2062">
        <f>IFERROR(O2062/N2062,0)</f>
        <v/>
      </c>
      <c r="T2062" t="n">
        <v>0</v>
      </c>
      <c r="V2062" t="n">
        <v>0</v>
      </c>
    </row>
    <row r="2063">
      <c r="A2063">
        <f>Skills!A31</f>
        <v/>
      </c>
      <c r="B2063">
        <f>Skills!B31</f>
        <v/>
      </c>
      <c r="C2063">
        <f>Inputs!$B$3&gt;=107</f>
        <v/>
      </c>
      <c r="D2063">
        <f>IF(Skills!C31=1,60+Inputs!$B$25+Inputs!$B$29,IF(Skills!C31=2,90+Inputs!$B$26+Inputs!$B$29,IF(Skills!C31=3,120+Inputs!$B$27+Inputs!$B$29,MAX(0,(Inputs!$B$3-100)*3)+Inputs!$B$28+Inputs!$B$29)))</f>
        <v/>
      </c>
      <c r="E2063">
        <f>INDEX(FactorTable!$B$2:$Y$301, MATCH(ROUND(MIN(300,MAX(1,D2063)),0), FactorTable!$A$2:$A$301,0), Skills!M31+1)</f>
        <v/>
      </c>
      <c r="F2063">
        <f>IF(Skills!N31=TRUE,(Skills!L31/10)*(E2063/1000),Skills!L31/10)+Skills!O31</f>
        <v/>
      </c>
      <c r="G2063">
        <f>Calc!G31</f>
        <v/>
      </c>
      <c r="H2063">
        <f>Calc!H31</f>
        <v/>
      </c>
      <c r="I2063">
        <f>IF(Skills!AA31&lt;&gt;"",1+(Skills!AA31/10)*(U2035/1000)/100,1)</f>
        <v/>
      </c>
      <c r="J2063" t="inlineStr"/>
      <c r="K2063" t="inlineStr"/>
      <c r="L2063" t="inlineStr"/>
      <c r="M2063" t="inlineStr"/>
      <c r="N2063" t="inlineStr"/>
      <c r="O2063">
        <f>(1-Summary!$B$11)*T2063+Summary!$B$11*V2063</f>
        <v/>
      </c>
      <c r="P2063">
        <f>IF(B2076=0,0,O2063/B2076)</f>
        <v/>
      </c>
      <c r="Q2063" t="n">
        <v>0</v>
      </c>
      <c r="R2063" t="n">
        <v>0</v>
      </c>
      <c r="S2063">
        <f>IFERROR(O2063/N2063,0)</f>
        <v/>
      </c>
      <c r="T2063" t="n">
        <v>0</v>
      </c>
      <c r="V2063" t="n">
        <v>0</v>
      </c>
    </row>
    <row r="2065">
      <c r="A2065" t="inlineStr">
        <is>
          <t>Actions Per Second (pre-Adrenalin)</t>
        </is>
      </c>
      <c r="B2065">
        <f>1+MIN(150,150*(1-(1-(Inputs!$B$11+((C2054=TRUE)*(F2054-Calc!F22))+(ArtifactsInput!$M$15-ArtifactsInput!$M$15)*CHOOSE(ArtifactsInput!$N$15+1,8,9.6,11.2,12.8,14.4,16))/150)*(1-((C2051=TRUE)*F2051*IF(AND(Inputs!$B$39&lt;&gt;"pvp",Inputs!$B$44&gt;0),(((R2051-1)*(Skills!Y19*(1+Inputs!$B$34/100))+MIN((Skills!Y19*(1+Inputs!$B$34/100)),MAX(0,Inputs!$B$44-((R2051-1)*Skills!D19))))/Inputs!$B$44),IF(Inputs!$B$39="pvp",MIN((Skills!Y19*(1+Inputs!$B$34/100)),15)/15,(Skills!Y19*(1+Inputs!$B$34/100))/Skills!D19)))/150)))/100</f>
        <v/>
      </c>
    </row>
    <row r="2066">
      <c r="A2066" t="inlineStr">
        <is>
          <t>Alchemic Adrenaline Uptime</t>
        </is>
      </c>
      <c r="B2066">
        <f>(Skills!Y6*(1+Inputs!$B$34/100))/((Skills!Y6*(1+Inputs!$B$34/100))+(5/B2065))</f>
        <v/>
      </c>
    </row>
    <row r="2067">
      <c r="A2067" t="inlineStr">
        <is>
          <t>Attack Speed Buff Bonus %</t>
        </is>
      </c>
      <c r="B2067">
        <f>((C2051=TRUE)*F2051*IF(AND(Inputs!$B$39&lt;&gt;"pvp",Inputs!$B$44&gt;0),(((R2051-1)*(Skills!Y19*(1+Inputs!$B$34/100))+MIN((Skills!Y19*(1+Inputs!$B$34/100)),MAX(0,Inputs!$B$44-((R2051-1)*Skills!D19))))/Inputs!$B$44),IF(Inputs!$B$39="pvp",MIN((Skills!Y19*(1+Inputs!$B$34/100)),15)/15,(Skills!Y19*(1+Inputs!$B$34/100))/Skills!D19)))+((C2039=TRUE)*F2039*B2066)</f>
        <v/>
      </c>
    </row>
    <row r="2068">
      <c r="A2068" t="inlineStr">
        <is>
          <t>Actions Per Second (final)</t>
        </is>
      </c>
      <c r="B2068">
        <f>1+MIN(150,150*(1-(1-(Inputs!$B$11+((C2054=TRUE)*(F2054-Calc!F22))+(ArtifactsInput!$M$15-ArtifactsInput!$M$15)*CHOOSE(ArtifactsInput!$N$15+1,8,9.6,11.2,12.8,14.4,16))/150)*(1-B2067/150)))/100</f>
        <v/>
      </c>
    </row>
    <row r="2069">
      <c r="A2069" t="inlineStr">
        <is>
          <t>Skill + Buff Cast Rate</t>
        </is>
      </c>
      <c r="B2069">
        <f>IF(AND(Inputs!$B$39&lt;&gt;"pvp",Inputs!$B$44&gt;0),SUMPRODUCT((Skills!E2:E31=TRUE)*(C2034:C2063=TRUE)*R2034:R2063*Skills!F2:F31)/Inputs!$B$44,SUMPRODUCT((Skills!E2:E31=TRUE)*(C2034:C2063=TRUE)*Q2034:Q2063*Skills!F2:F31))</f>
        <v/>
      </c>
    </row>
    <row r="2070">
      <c r="A2070" t="inlineStr">
        <is>
          <t>Showdown Casts Per Second</t>
        </is>
      </c>
      <c r="B2070">
        <f>MAX(0,B2068-B2069)</f>
        <v/>
      </c>
    </row>
    <row r="2071">
      <c r="A2071" t="inlineStr">
        <is>
          <t>Average Buff Multiplier</t>
        </is>
      </c>
      <c r="B2071">
        <f>(1+(((C2053=TRUE)*F2053*IF(AND(Inputs!$B$39&lt;&gt;"pvp",Inputs!$B$44&gt;0),(((R2053-1)*(Skills!Y21*(1+Inputs!$B$34/100))+MIN((Skills!Y21*(1+Inputs!$B$34/100)),MAX(0,Inputs!$B$44-((R2053-1)*Skills!D21))))/Inputs!$B$44),IF(Inputs!$B$39="pvp",MIN((Skills!Y21*(1+Inputs!$B$34/100)),15)/15,(Skills!Y21*(1+Inputs!$B$34/100))/Skills!D21)))+((C2060=TRUE)*(F2060-Calc!F28))+((C2050=TRUE)*(F2050-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2047=TRUE)*F2047*IF(AND(Inputs!$B$39&lt;&gt;"pvp",Inputs!$B$44&gt;0),(((R2047-1)*(Skills!Y15*(1+Inputs!$B$34/100))+MIN((Skills!Y15*(1+Inputs!$B$34/100)),MAX(0,Inputs!$B$44-((R2047-1)*Skills!D15))))/Inputs!$B$44),IF(Inputs!$B$39="pvp",MIN((Skills!Y15*(1+Inputs!$B$34/100)),15)/15,(Skills!Y15*(1+Inputs!$B$34/100))/Skills!D15)))/100)*(1+((C2038=TRUE)*F2038*B2066)/100)</f>
        <v/>
      </c>
    </row>
    <row r="2072">
      <c r="A2072" t="inlineStr">
        <is>
          <t>Global Crit Rate Bonus %</t>
        </is>
      </c>
      <c r="B2072">
        <f>IF(Inputs!$B$3&gt;=47,8,0)+((C2052=TRUE)*F2052*IF(AND(Inputs!$B$39&lt;&gt;"pvp",Inputs!$B$44&gt;0),(((R2052-1)*(Skills!Y20*(1+Inputs!$B$34/100))+MIN((Skills!Y20*(1+Inputs!$B$34/100)),MAX(0,Inputs!$B$44-((R2052-1)*Skills!D20))))/Inputs!$B$44),IF(Inputs!$B$39="pvp",MIN((Skills!Y20*(1+Inputs!$B$34/100)),15)/15,(Skills!Y20*(1+Inputs!$B$34/100))/Skills!D20)))</f>
        <v/>
      </c>
    </row>
    <row r="2073">
      <c r="A2073" t="inlineStr">
        <is>
          <t>Global Monster Damage-Taken Bonus %</t>
        </is>
      </c>
      <c r="B2073">
        <f>IF(Inputs!$B$3&gt;=82,15,0)+((C2048=TRUE)*F2048*IF(AND(Inputs!$B$39&lt;&gt;"pvp",Inputs!$B$44&gt;0),(((R2048-1)*(Skills!Y16*(1+Inputs!$B$34/100))+MIN((Skills!Y16*(1+Inputs!$B$34/100)),MAX(0,Inputs!$B$44-((R2048-1)*Skills!D16))))/Inputs!$B$44),IF(Inputs!$B$39="pvp",MIN((Skills!Y16*(1+Inputs!$B$34/100)),15)/15,(Skills!Y16*(1+Inputs!$B$34/100))/Skills!D16)))</f>
        <v/>
      </c>
    </row>
    <row r="2074">
      <c r="A2074" t="inlineStr">
        <is>
          <t>Shadow Partner Average Multiplier</t>
        </is>
      </c>
      <c r="B2074">
        <f>1+((C2043=TRUE)*F2043*I2043*Skills!J11/100)/100</f>
        <v/>
      </c>
    </row>
    <row r="2075">
      <c r="A2075" t="inlineStr">
        <is>
          <t>Global Critical Damage Bonus % (Frailty Curse Mastery Lv.111)</t>
        </is>
      </c>
      <c r="B2075">
        <f>IF(Inputs!$B$3&gt;=111,30,0)*IF(AND(Inputs!$B$39&lt;&gt;"pvp",Inputs!$B$44&gt;0),(((R2048-1)*(Skills!Y16*(1+Inputs!$B$34/100))+MIN((Skills!Y16*(1+Inputs!$B$34/100)),MAX(0,Inputs!$B$44-((R2048-1)*Skills!D16))))/Inputs!$B$44),IF(Inputs!$B$39="pvp",MIN((Skills!Y16*(1+Inputs!$B$34/100)),15)/15,(Skills!Y16*(1+Inputs!$B$34/100))/Skills!D16))</f>
        <v/>
      </c>
    </row>
    <row r="2076">
      <c r="A2076" s="6" t="inlineStr">
        <is>
          <t>TOTAL DPS</t>
        </is>
      </c>
      <c r="B2076" s="6">
        <f>SUM(O2034:O2063)</f>
        <v/>
      </c>
    </row>
    <row r="2077">
      <c r="A2077" t="inlineStr">
        <is>
          <t>Buff-Casting Startup Delay (s, fixed-duration only)</t>
        </is>
      </c>
      <c r="B2077">
        <f>IF(AND(Inputs!$B$39&lt;&gt;"pvp",Inputs!$B$44&gt;0),SUMPRODUCT((Skills!Y2:Y31&gt;0)*(Skills!E2:E31=TRUE)*(C2034:C2063=TRUE))/B2068,0)</f>
        <v/>
      </c>
    </row>
    <row r="2078">
      <c r="A2078" t="inlineStr">
        <is>
          <t>Boss-Only Total DPS (this block's swept value)</t>
        </is>
      </c>
      <c r="B2078">
        <f>SUM(T2034:T2063)</f>
        <v/>
      </c>
    </row>
    <row r="2079">
      <c r="A2079" t="inlineStr">
        <is>
          <t>Normal-Only Total DPS (this block's swept value)</t>
        </is>
      </c>
      <c r="B2079">
        <f>SUM(V2034:V2063)</f>
        <v/>
      </c>
    </row>
    <row r="2081">
      <c r="A2081" s="6" t="inlineStr">
        <is>
          <t>Stat: Old Music Box (Equip)</t>
        </is>
      </c>
    </row>
    <row r="2082">
      <c r="A2082" s="5" t="inlineStr">
        <is>
          <t>Key</t>
        </is>
      </c>
      <c r="B2082" s="5" t="inlineStr">
        <is>
          <t>Name</t>
        </is>
      </c>
      <c r="C2082" s="5" t="inlineStr">
        <is>
          <t>Unlocked</t>
        </is>
      </c>
      <c r="D2082" s="5" t="inlineStr">
        <is>
          <t>InputLevel</t>
        </is>
      </c>
      <c r="E2082" s="5" t="inlineStr">
        <is>
          <t>Factor</t>
        </is>
      </c>
      <c r="F2082" s="5" t="inlineStr">
        <is>
          <t>CoefficientPercent</t>
        </is>
      </c>
      <c r="G2082" s="5" t="inlineStr">
        <is>
          <t>EffectiveHits</t>
        </is>
      </c>
      <c r="H2082" s="5" t="inlineStr">
        <is>
          <t>ProcProbability</t>
        </is>
      </c>
      <c r="I2082" s="5" t="inlineStr">
        <is>
          <t>MapleHeroMultiplier</t>
        </is>
      </c>
      <c r="J2082" s="5" t="inlineStr">
        <is>
          <t>BaseDamage</t>
        </is>
      </c>
      <c r="K2082" s="5" t="inlineStr">
        <is>
          <t>BaseHitDamage</t>
        </is>
      </c>
      <c r="L2082" s="5" t="inlineStr">
        <is>
          <t>NonCritAvg</t>
        </is>
      </c>
      <c r="M2082" s="5" t="inlineStr">
        <is>
          <t>CritAvg</t>
        </is>
      </c>
      <c r="N2082" s="5" t="inlineStr">
        <is>
          <t>ExpectedDamage(perHit)</t>
        </is>
      </c>
      <c r="O2082" s="5" t="inlineStr">
        <is>
          <t>DPS</t>
        </is>
      </c>
      <c r="P2082" s="5" t="inlineStr">
        <is>
          <t>% of Total</t>
        </is>
      </c>
      <c r="Q2082" s="5" t="inlineStr">
        <is>
          <t>InvCooldown</t>
        </is>
      </c>
      <c r="R2082" s="5" t="inlineStr">
        <is>
          <t>CastsInFight</t>
        </is>
      </c>
      <c r="S2082" s="5" t="inlineStr">
        <is>
          <t>HitRate(perSec)</t>
        </is>
      </c>
      <c r="U2082" t="inlineStr">
        <is>
          <t>helpers</t>
        </is>
      </c>
    </row>
    <row r="2083">
      <c r="A2083">
        <f>Skills!A2</f>
        <v/>
      </c>
      <c r="B2083">
        <f>Skills!B2</f>
        <v/>
      </c>
      <c r="C2083">
        <f>Inputs!$B$3&gt;=100</f>
        <v/>
      </c>
      <c r="D2083" t="inlineStr"/>
      <c r="E2083" t="inlineStr"/>
      <c r="F2083">
        <f>U2087+Skills!O2</f>
        <v/>
      </c>
      <c r="G2083">
        <f>Calc!G2</f>
        <v/>
      </c>
      <c r="H2083">
        <f>Calc!H2</f>
        <v/>
      </c>
      <c r="I2083">
        <f>IF(Skills!AA2&lt;&gt;"",1+(Skills!AA2/10)*(U2084/1000)/100,1)</f>
        <v/>
      </c>
      <c r="J2083">
        <f>((Inputs!$B$6*(1+Inputs!$B$7/100))+(((Inputs!$B$12*(1+Inputs!$B$13/100))-(Inputs!$B$12*(1+Inputs!$B$13/100)))+0.25*(Inputs!$B$14-Inputs!$B$14))*(1+Inputs!$B$7/100))*(F2083/100)</f>
        <v/>
      </c>
      <c r="K2083">
        <f>J2083*(1+((Inputs!$B$12*(1+Inputs!$B$13/100))*0.01+Inputs!$B$14*0.0025)/100)*(1+Inputs!$B$15/100)*(1+Inputs!$B$16/100)*(5000/(6000+Inputs!$B$43*(1-(100*(1-(1-(Inputs!$B$19+0)/100)*(1-CHOOSE(ArtifactsInput!$N$40+1,5,6,7,8,9,10)/100)^(ArtifactsInput!$M$40-ArtifactsInput!$M$40)))/100)))*(1+(Inputs!$B$24+((C2111=TRUE)*(F2111-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2104=TRUE)*(F2104-Calc!F23))+(((IF(AND(ArtifactsInput!$M$42,((Inputs!$B$9+((C2106=TRUE)*(F2106-Calc!F25))+B2121+(ArtifactsInput!$M$24-ArtifactsInput!$M$24)*CHOOSE(ArtifactsInput!$N$24+1,10,12,14,16,18,20)+IF(ArtifactsInput!$M$10,CHOOSE(ArtifactsInput!$N$10+1,15,18,21,24,27,30)*(IF(Inputs!$B$39="pvp",MIN(15,15)/15,IF(AND(Inputs!$B$39&lt;&gt;"pvp",Inputs!$B$44&gt;0),MIN(15,Inputs!$B$44)/(Inputs!$B$44),0))),0)))&gt;=100),MIN(100,((Inputs!$B$9+((C2106=TRUE)*(F2106-Calc!F25))+B2121+(ArtifactsInput!$M$24-ArtifactsInput!$M$24)*CHOOSE(ArtifactsInput!$N$24+1,10,12,14,16,18,20)+IF(ArtifactsInput!$M$10,CHOOSE(ArtifactsInput!$N$10+1,15,18,21,24,27,30)*(IF(Inputs!$B$39="pvp",MIN(15,15)/15,IF(AND(Inputs!$B$39&lt;&gt;"pvp",Inputs!$B$44&gt;0),MIN(15,Inputs!$B$44)/(Inputs!$B$44),0))),0)))-100),0))*CHOOSE(ArtifactsInput!$N$42+1,0.6,0.72,0.84,0.96,1.08,1.2))),Inputs!$B$18+((C2110=TRUE)*(F2110-Calc!F29))+(IF(AND(ArtifactsInput!$M$42,((Inputs!$B$9+((C2106=TRUE)*(F2106-Calc!F25))+B2121+(ArtifactsInput!$M$24-ArtifactsInput!$M$24)*CHOOSE(ArtifactsInput!$N$24+1,10,12,14,16,18,20)+IF(ArtifactsInput!$M$10,CHOOSE(ArtifactsInput!$N$10+1,15,18,21,24,27,30)*(IF(Inputs!$B$39="pvp",MIN(15,15)/15,IF(AND(Inputs!$B$39&lt;&gt;"pvp",Inputs!$B$44&gt;0),MIN(15,Inputs!$B$44)/(Inputs!$B$44),0))),0)))&gt;=100),CHOOSE(ArtifactsInput!$N$42+1,40,48,56,64,72,80),0))))/100)*(((1+(((C2102=TRUE)*F2102*IF(AND(Inputs!$B$39&lt;&gt;"pvp",Inputs!$B$44&gt;0),(((R2102-1)*(Skills!Y21*(1+Inputs!$B$34/100))+MIN((Skills!Y21*(1+Inputs!$B$34/100)),MAX(0,Inputs!$B$44-((R2102-1)*Skills!D21))))/Inputs!$B$44),IF(Inputs!$B$39="pvp",MIN((Skills!Y21*(1+Inputs!$B$34/100)),15)/15,(Skills!Y21*(1+Inputs!$B$34/100))/Skills!D21)))+((C2109=TRUE)*(F2109-Calc!F28))+((C2099=TRUE)*(F2099-Calc!F18))+(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2096=TRUE)*F2096*IF(AND(Inputs!$B$39&lt;&gt;"pvp",Inputs!$B$44&gt;0),(((R2096-1)*(Skills!Y15*(1+Inputs!$B$34/100))+MIN((Skills!Y15*(1+Inputs!$B$34/100)),MAX(0,Inputs!$B$44-((R2096-1)*Skills!D15))))/Inputs!$B$44),IF(Inputs!$B$39="pvp",MIN((Skills!Y15*(1+Inputs!$B$34/100)),15)/15,(Skills!Y15*(1+Inputs!$B$34/100))/Skills!D15)))/100)*(1+((C2087=TRUE)*F2087*B2115)/100))*B2123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2083)</f>
        <v/>
      </c>
      <c r="L2083">
        <f>K2083*(MIN(Inputs!$B$22+((C2105=TRUE)*(F2105-Calc!F24)),(Inputs!$B$23+0+(IF(ArtifactsInput!$M$15,CHOOSE(ArtifactsInput!$N$15+1,25,30,35,40,45,50)/100*(Inputs!$B$11-Inputs!$B$11),0))))/100+(Inputs!$B$23+0+(IF(ArtifactsInput!$M$15,CHOOSE(ArtifactsInput!$N$15+1,25,30,35,40,45,50)/100*(Inputs!$B$11-Inputs!$B$11),0)))/100)/2</f>
        <v/>
      </c>
      <c r="M2083">
        <f>L2083*(1+(Inputs!$B$10+((C2107=TRUE)*(F2107-Calc!F26))+B2124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83">
        <f>L2083*(1-MIN((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2083*(MIN((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83">
        <f>(1-Summary!$B$11)*T2083+Summary!$B$11*V2083</f>
        <v/>
      </c>
      <c r="P2083">
        <f>IF(B2125=0,0,O2083/B2125)</f>
        <v/>
      </c>
      <c r="Q2083" t="n">
        <v>0</v>
      </c>
      <c r="R2083" t="n">
        <v>0</v>
      </c>
      <c r="S2083">
        <f>IFERROR(O2083/N2083,0)</f>
        <v/>
      </c>
      <c r="T2083">
        <f>IF(C2083,(Skills!G2*N2083*B2119)*IF(Inputs!$B$39="pvp",1,1+(Inputs!$B$20+((C2108=TRUE)*(F2108-Calc!F27))+Skills!P2+B2122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Hunt"),CHOOSE(ArtifactsInput!$N$35+1,15,18,21,24,27,30)*(1-EXP(-(0.2*B2117)*5)),0)+IF(AND(ArtifactsInput!$M$22,Inputs!$B$4&lt;&gt;"Chapter Hunt"),CHOOSE(ArtifactsInput!$N$22+1,10,12,14,16,18,20)*((0*(((0.15*B2117*5))^0/1)+1*(((0.15*B2117*5))^1/1)+2*(((0.15*B2117*5))^2/2)+3*(((0.15*B2117*5))^3/6)+4*(((0.15*B2117*5))^4/24)+5*(((0.15*B2117*5))^5/120))/((((0.15*B2117*5))^0/1)+(((0.15*B2117*5))^1/1)+(((0.15*B2117*5))^2/2)+(((0.15*B2117*5))^3/6)+(((0.15*B2117*5))^4/24)+(((0.15*B2117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2083*(1-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2083*(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2083*(1-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2083*(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83">
        <f>MAX(0,(Inputs!$B$3-100)*3)+Inputs!$B$28+Inputs!$B$29</f>
        <v/>
      </c>
      <c r="V2083">
        <f>IF(C2083,(Skills!G2*N2083*B2119)*IF(Inputs!$B$39="pvp",1,(1+(Inputs!$B$21+Skills!Q2+B2122+(IF(ArtifactsInput!$M$33,CHOOSE(ArtifactsInput!$N$33+1,30,36,42,48,54,60),0))+(IF(AND(ArtifactsInput!$M$35,Inputs!$B$4&lt;&gt;"Chapter Hunt"),CHOOSE(ArtifactsInput!$N$35+1,15,18,21,24,27,30)*(1-EXP(-(0.2*B2117)*5)),0)+IF(AND(ArtifactsInput!$M$22,Inputs!$B$4&lt;&gt;"Chapter Hunt"),CHOOSE(ArtifactsInput!$N$22+1,10,12,14,16,18,20)*((0*(((0.15*B2117*5))^0/1)+1*(((0.15*B2117*5))^1/1)+2*(((0.15*B2117*5))^2/2)+3*(((0.15*B2117*5))^3/6)+4*(((0.15*B2117*5))^4/24)+5*(((0.15*B2117*5))^5/120))/((((0.15*B2117*5))^0/1)+(((0.15*B2117*5))^1/1)+(((0.15*B2117*5))^2/2)+(((0.15*B2117*5))^3/6)+(((0.15*B2117*5))^4/24)+(((0.15*B2117*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84">
      <c r="A2084">
        <f>Skills!A3</f>
        <v/>
      </c>
      <c r="B2084">
        <f>Skills!B3</f>
        <v/>
      </c>
      <c r="C2084">
        <f>Inputs!$B$3&gt;=35</f>
        <v/>
      </c>
      <c r="D2084">
        <f>IF(Skills!C3=1,60+Inputs!$B$25+Inputs!$B$29,IF(Skills!C3=2,90+Inputs!$B$26+Inputs!$B$29,IF(Skills!C3=3,120+Inputs!$B$27+Inputs!$B$29,MAX(0,(Inputs!$B$3-100)*3)+Inputs!$B$28+Inputs!$B$29)))</f>
        <v/>
      </c>
      <c r="E2084">
        <f>INDEX(FactorTable!$B$2:$Y$301, MATCH(ROUND(MIN(300,MAX(1,D2084)),0), FactorTable!$A$2:$A$301,0), Skills!M3+1)</f>
        <v/>
      </c>
      <c r="F2084">
        <f>IF(Skills!N3=TRUE,(Skills!L3/10)*(E2084/1000),Skills!L3/10)+Skills!O3</f>
        <v/>
      </c>
      <c r="G2084">
        <f>Calc!G3</f>
        <v/>
      </c>
      <c r="H2084">
        <f>Calc!H3</f>
        <v/>
      </c>
      <c r="I2084">
        <f>IF(Skills!AA3&lt;&gt;"",1+(Skills!AA3/10)*(U2084/1000)/100,1)</f>
        <v/>
      </c>
      <c r="J2084">
        <f>((Inputs!$B$6*(1+Inputs!$B$7/100))+(((Inputs!$B$12*(1+Inputs!$B$13/100))-(Inputs!$B$12*(1+Inputs!$B$13/100)))+0.25*(Inputs!$B$14-Inputs!$B$14))*(1+Inputs!$B$7/100))*(F2084/100)</f>
        <v/>
      </c>
      <c r="K2084">
        <f>J2084*(1+((Inputs!$B$12*(1+Inputs!$B$13/100))*0.01+Inputs!$B$14*0.0025)/100)*(1+Inputs!$B$15/100)*(1+Inputs!$B$16/100)*(5000/(6000+Inputs!$B$43*(1-(100*(1-(1-(Inputs!$B$19+0)/100)*(1-CHOOSE(ArtifactsInput!$N$40+1,5,6,7,8,9,10)/100)^(ArtifactsInput!$M$40-ArtifactsInput!$M$40)))/100)))*(1+(Inputs!$B$24+((C2111=TRUE)*(F2111-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2104=TRUE)*(F2104-Calc!F23))+(((IF(AND(ArtifactsInput!$M$42,((Inputs!$B$9+((C2106=TRUE)*(F2106-Calc!F25))+B2121+(ArtifactsInput!$M$24-ArtifactsInput!$M$24)*CHOOSE(ArtifactsInput!$N$24+1,10,12,14,16,18,20)+IF(ArtifactsInput!$M$10,CHOOSE(ArtifactsInput!$N$10+1,15,18,21,24,27,30)*(IF(Inputs!$B$39="pvp",MIN(15,15)/15,IF(AND(Inputs!$B$39&lt;&gt;"pvp",Inputs!$B$44&gt;0),MIN(15,Inputs!$B$44)/(Inputs!$B$44),0))),0)))&gt;=100),MIN(100,((Inputs!$B$9+((C2106=TRUE)*(F2106-Calc!F25))+B2121+(ArtifactsInput!$M$24-ArtifactsInput!$M$24)*CHOOSE(ArtifactsInput!$N$24+1,10,12,14,16,18,20)+IF(ArtifactsInput!$M$10,CHOOSE(ArtifactsInput!$N$10+1,15,18,21,24,27,30)*(IF(Inputs!$B$39="pvp",MIN(15,15)/15,IF(AND(Inputs!$B$39&lt;&gt;"pvp",Inputs!$B$44&gt;0),MIN(15,Inputs!$B$44)/(Inputs!$B$44),0))),0)))-100),0))*CHOOSE(ArtifactsInput!$N$42+1,0.6,0.72,0.84,0.96,1.08,1.2))),Inputs!$B$18+((C2110=TRUE)*(F2110-Calc!F29))+(IF(AND(ArtifactsInput!$M$42,((Inputs!$B$9+((C2106=TRUE)*(F2106-Calc!F25))+B2121+(ArtifactsInput!$M$24-ArtifactsInput!$M$24)*CHOOSE(ArtifactsInput!$N$24+1,10,12,14,16,18,20)+IF(ArtifactsInput!$M$10,CHOOSE(ArtifactsInput!$N$10+1,15,18,21,24,27,30)*(IF(Inputs!$B$39="pvp",MIN(15,15)/15,IF(AND(Inputs!$B$39&lt;&gt;"pvp",Inputs!$B$44&gt;0),MIN(15,Inputs!$B$44)/(Inputs!$B$44),0))),0)))&gt;=100),CHOOSE(ArtifactsInput!$N$42+1,40,48,56,64,72,80),0))))/100)*(((1+(((C2102=TRUE)*F2102*IF(AND(Inputs!$B$39&lt;&gt;"pvp",Inputs!$B$44&gt;0),(((R2102-1)*(Skills!Y21*(1+Inputs!$B$34/100))+MIN((Skills!Y21*(1+Inputs!$B$34/100)),MAX(0,Inputs!$B$44-((R2102-1)*Skills!D21))))/Inputs!$B$44),IF(Inputs!$B$39="pvp",MIN((Skills!Y21*(1+Inputs!$B$34/100)),15)/15,(Skills!Y21*(1+Inputs!$B$34/100))/Skills!D21)))+((C2109=TRUE)*(F2109-Calc!F28))+((C2099=TRUE)*(F2099-Calc!F18))+(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2096=TRUE)*F2096*IF(AND(Inputs!$B$39&lt;&gt;"pvp",Inputs!$B$44&gt;0),(((R2096-1)*(Skills!Y15*(1+Inputs!$B$34/100))+MIN((Skills!Y15*(1+Inputs!$B$34/100)),MAX(0,Inputs!$B$44-((R2096-1)*Skills!D15))))/Inputs!$B$44),IF(Inputs!$B$39="pvp",MIN((Skills!Y15*(1+Inputs!$B$34/100)),15)/15,(Skills!Y15*(1+Inputs!$B$34/100))/Skills!D15)))/100)*(1+((C2087=TRUE)*F2087*B2115)/100))*B2123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2084)</f>
        <v/>
      </c>
      <c r="L2084">
        <f>K2084*(MIN(Inputs!$B$22+((C2105=TRUE)*(F2105-Calc!F24)),(Inputs!$B$23+0+(IF(ArtifactsInput!$M$15,CHOOSE(ArtifactsInput!$N$15+1,25,30,35,40,45,50)/100*(Inputs!$B$11-Inputs!$B$11),0))))/100+(Inputs!$B$23+0+(IF(ArtifactsInput!$M$15,CHOOSE(ArtifactsInput!$N$15+1,25,30,35,40,45,50)/100*(Inputs!$B$11-Inputs!$B$11),0)))/100)/2</f>
        <v/>
      </c>
      <c r="M2084">
        <f>L2084*(1+(Inputs!$B$10+((C2107=TRUE)*(F2107-Calc!F26))+B2124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84">
        <f>L2084*(1-MIN((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2084*(MIN((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84">
        <f>(1-Summary!$B$11)*T2084+Summary!$B$11*V2084</f>
        <v/>
      </c>
      <c r="P2084">
        <f>IF(B2125=0,0,O2084/B2125)</f>
        <v/>
      </c>
      <c r="Q2084">
        <f>IFERROR(1/IF(Inputs!$B$39="pvp",15,MAX(0.1,Skills!D3-IF(Skills!E3=TRUE,Inputs!$B$32,0))),0)</f>
        <v/>
      </c>
      <c r="R2084">
        <f>IF(AND(Inputs!$B$39&lt;&gt;"pvp",Inputs!$B$44&gt;0),IF(MAX(0,Inputs!$B$44-B2126)&lt;=0,0,(INT(MAX(0,Inputs!$B$44-B2126)/IF(Inputs!$B$39="pvp",15,MAX(0.1,Skills!D3-IF(Skills!E3=TRUE,Inputs!$B$32,0))))+1)),0)</f>
        <v/>
      </c>
      <c r="S2084">
        <f>IFERROR(O2084/N2084,0)</f>
        <v/>
      </c>
      <c r="T2084">
        <f>IF(C2084,(H2084*N2084*IF(AND(Inputs!$B$39&lt;&gt;"pvp",Inputs!$B$44&gt;0),((Skills!G3*((R2084-1)*IF(Skills!H3&gt;0,Skills!I3/Skills!H3,1)+IF(Skills!H3&gt;0,MIN(Skills!I3,MAX(0,MAX(0,Inputs!$B$44-B2126)-((R2084-1)*IF(Inputs!$B$39="pvp",15,MAX(0.1,Skills!D3-IF(Skills!E3=TRUE,Inputs!$B$32,0))))))/Skills!H3,1)))/Inputs!$B$44),G2084*Q2084))*IF(Inputs!$B$39="pvp",1,1+(Inputs!$B$20+((C2108=TRUE)*(F2108-Calc!F27))+Skills!P3+B2122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Hunt"),CHOOSE(ArtifactsInput!$N$35+1,15,18,21,24,27,30)*(1-EXP(-(0.2*B2117)*5)),0)+IF(AND(ArtifactsInput!$M$22,Inputs!$B$4&lt;&gt;"Chapter Hunt"),CHOOSE(ArtifactsInput!$N$22+1,10,12,14,16,18,20)*((0*(((0.15*B2117*5))^0/1)+1*(((0.15*B2117*5))^1/1)+2*(((0.15*B2117*5))^2/2)+3*(((0.15*B2117*5))^3/6)+4*(((0.15*B2117*5))^4/24)+5*(((0.15*B2117*5))^5/120))/((((0.15*B2117*5))^0/1)+(((0.15*B2117*5))^1/1)+(((0.15*B2117*5))^2/2)+(((0.15*B2117*5))^3/6)+(((0.15*B2117*5))^4/24)+(((0.15*B2117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2084*(1-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2084*(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2084*(1-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2084*(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84">
        <f>INDEX(FactorTable!$B$2:$Y$301, MATCH(ROUND(MIN(300,MAX(1,U2083)),0), FactorTable!$A$2:$A$301,0), 24)</f>
        <v/>
      </c>
      <c r="V2084">
        <f>IF(C2084,(H2084*N2084*IF(AND(Inputs!$B$39&lt;&gt;"pvp",Inputs!$B$44&gt;0),((Skills!G3*((R2084-1)*IF(Skills!H3&gt;0,Skills!I3/Skills!H3,1)+IF(Skills!H3&gt;0,MIN(Skills!I3,MAX(0,MAX(0,Inputs!$B$44-B2126)-((R2084-1)*IF(Inputs!$B$39="pvp",15,MAX(0.1,Skills!D3-IF(Skills!E3=TRUE,Inputs!$B$32,0))))))/Skills!H3,1)))/Inputs!$B$44),G2084*Q2084))*IF(Inputs!$B$39="pvp",1,(1+(Inputs!$B$21+Skills!Q3+B2122+(IF(ArtifactsInput!$M$33,CHOOSE(ArtifactsInput!$N$33+1,30,36,42,48,54,60),0))+(IF(AND(ArtifactsInput!$M$35,Inputs!$B$4&lt;&gt;"Chapter Hunt"),CHOOSE(ArtifactsInput!$N$35+1,15,18,21,24,27,30)*(1-EXP(-(0.2*B2117)*5)),0)+IF(AND(ArtifactsInput!$M$22,Inputs!$B$4&lt;&gt;"Chapter Hunt"),CHOOSE(ArtifactsInput!$N$22+1,10,12,14,16,18,20)*((0*(((0.15*B2117*5))^0/1)+1*(((0.15*B2117*5))^1/1)+2*(((0.15*B2117*5))^2/2)+3*(((0.15*B2117*5))^3/6)+4*(((0.15*B2117*5))^4/24)+5*(((0.15*B2117*5))^5/120))/((((0.15*B2117*5))^0/1)+(((0.15*B2117*5))^1/1)+(((0.15*B2117*5))^2/2)+(((0.15*B2117*5))^3/6)+(((0.15*B2117*5))^4/24)+(((0.15*B2117*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85">
      <c r="A2085">
        <f>Skills!A4</f>
        <v/>
      </c>
      <c r="B2085">
        <f>Skills!B4</f>
        <v/>
      </c>
      <c r="C2085">
        <f>Inputs!$B$3&gt;=40</f>
        <v/>
      </c>
      <c r="D2085">
        <f>IF(Skills!C4=1,60+Inputs!$B$25+Inputs!$B$29,IF(Skills!C4=2,90+Inputs!$B$26+Inputs!$B$29,IF(Skills!C4=3,120+Inputs!$B$27+Inputs!$B$29,MAX(0,(Inputs!$B$3-100)*3)+Inputs!$B$28+Inputs!$B$29)))</f>
        <v/>
      </c>
      <c r="E2085">
        <f>INDEX(FactorTable!$B$2:$Y$301, MATCH(ROUND(MIN(300,MAX(1,D2085)),0), FactorTable!$A$2:$A$301,0), Skills!M4+1)</f>
        <v/>
      </c>
      <c r="F2085">
        <f>IF(Skills!N4=TRUE,(Skills!L4/10)*(E2085/1000),Skills!L4/10)+Skills!O4</f>
        <v/>
      </c>
      <c r="G2085">
        <f>Calc!G4</f>
        <v/>
      </c>
      <c r="H2085">
        <f>Calc!H4</f>
        <v/>
      </c>
      <c r="I2085">
        <f>IF(Skills!AA4&lt;&gt;"",1+(Skills!AA4/10)*(U2084/1000)/100,1)</f>
        <v/>
      </c>
      <c r="J2085">
        <f>((Inputs!$B$6*(1+Inputs!$B$7/100))+(((Inputs!$B$12*(1+Inputs!$B$13/100))-(Inputs!$B$12*(1+Inputs!$B$13/100)))+0.25*(Inputs!$B$14-Inputs!$B$14))*(1+Inputs!$B$7/100))*(F2085/100)</f>
        <v/>
      </c>
      <c r="K2085">
        <f>J2085*(1+((Inputs!$B$12*(1+Inputs!$B$13/100))*0.01+Inputs!$B$14*0.0025)/100)*(1+Inputs!$B$15/100)*(1+Inputs!$B$16/100)*(5000/(6000+Inputs!$B$43*(1-(100*(1-(1-(Inputs!$B$19+0)/100)*(1-CHOOSE(ArtifactsInput!$N$40+1,5,6,7,8,9,10)/100)^(ArtifactsInput!$M$40-ArtifactsInput!$M$40)))/100)))*(1+(Inputs!$B$24+((C2111=TRUE)*(F2111-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2104=TRUE)*(F2104-Calc!F23))+(((IF(AND(ArtifactsInput!$M$42,((Inputs!$B$9+((C2106=TRUE)*(F2106-Calc!F25))+B2121+(ArtifactsInput!$M$24-ArtifactsInput!$M$24)*CHOOSE(ArtifactsInput!$N$24+1,10,12,14,16,18,20)+IF(ArtifactsInput!$M$10,CHOOSE(ArtifactsInput!$N$10+1,15,18,21,24,27,30)*(IF(Inputs!$B$39="pvp",MIN(15,15)/15,IF(AND(Inputs!$B$39&lt;&gt;"pvp",Inputs!$B$44&gt;0),MIN(15,Inputs!$B$44)/(Inputs!$B$44),0))),0)))&gt;=100),MIN(100,((Inputs!$B$9+((C2106=TRUE)*(F2106-Calc!F25))+B2121+(ArtifactsInput!$M$24-ArtifactsInput!$M$24)*CHOOSE(ArtifactsInput!$N$24+1,10,12,14,16,18,20)+IF(ArtifactsInput!$M$10,CHOOSE(ArtifactsInput!$N$10+1,15,18,21,24,27,30)*(IF(Inputs!$B$39="pvp",MIN(15,15)/15,IF(AND(Inputs!$B$39&lt;&gt;"pvp",Inputs!$B$44&gt;0),MIN(15,Inputs!$B$44)/(Inputs!$B$44),0))),0)))-100),0))*CHOOSE(ArtifactsInput!$N$42+1,0.6,0.72,0.84,0.96,1.08,1.2))),Inputs!$B$18+((C2110=TRUE)*(F2110-Calc!F29))+(IF(AND(ArtifactsInput!$M$42,((Inputs!$B$9+((C2106=TRUE)*(F2106-Calc!F25))+B2121+(ArtifactsInput!$M$24-ArtifactsInput!$M$24)*CHOOSE(ArtifactsInput!$N$24+1,10,12,14,16,18,20)+IF(ArtifactsInput!$M$10,CHOOSE(ArtifactsInput!$N$10+1,15,18,21,24,27,30)*(IF(Inputs!$B$39="pvp",MIN(15,15)/15,IF(AND(Inputs!$B$39&lt;&gt;"pvp",Inputs!$B$44&gt;0),MIN(15,Inputs!$B$44)/(Inputs!$B$44),0))),0)))&gt;=100),CHOOSE(ArtifactsInput!$N$42+1,40,48,56,64,72,80),0))))/100)*(((1+(((C2102=TRUE)*F2102*IF(AND(Inputs!$B$39&lt;&gt;"pvp",Inputs!$B$44&gt;0),(((R2102-1)*(Skills!Y21*(1+Inputs!$B$34/100))+MIN((Skills!Y21*(1+Inputs!$B$34/100)),MAX(0,Inputs!$B$44-((R2102-1)*Skills!D21))))/Inputs!$B$44),IF(Inputs!$B$39="pvp",MIN((Skills!Y21*(1+Inputs!$B$34/100)),15)/15,(Skills!Y21*(1+Inputs!$B$34/100))/Skills!D21)))+((C2109=TRUE)*(F2109-Calc!F28))+((C2099=TRUE)*(F2099-Calc!F18))+(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2096=TRUE)*F2096*IF(AND(Inputs!$B$39&lt;&gt;"pvp",Inputs!$B$44&gt;0),(((R2096-1)*(Skills!Y15*(1+Inputs!$B$34/100))+MIN((Skills!Y15*(1+Inputs!$B$34/100)),MAX(0,Inputs!$B$44-((R2096-1)*Skills!D15))))/Inputs!$B$44),IF(Inputs!$B$39="pvp",MIN((Skills!Y15*(1+Inputs!$B$34/100)),15)/15,(Skills!Y15*(1+Inputs!$B$34/100))/Skills!D15)))/100)*(1+((C2087=TRUE)*F2087*B2115)/100))*B2123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2085)</f>
        <v/>
      </c>
      <c r="L2085">
        <f>K2085*(MIN(Inputs!$B$22+((C2105=TRUE)*(F2105-Calc!F24)),(Inputs!$B$23+0+(IF(ArtifactsInput!$M$15,CHOOSE(ArtifactsInput!$N$15+1,25,30,35,40,45,50)/100*(Inputs!$B$11-Inputs!$B$11),0))))/100+(Inputs!$B$23+0+(IF(ArtifactsInput!$M$15,CHOOSE(ArtifactsInput!$N$15+1,25,30,35,40,45,50)/100*(Inputs!$B$11-Inputs!$B$11),0)))/100)/2</f>
        <v/>
      </c>
      <c r="M2085">
        <f>L2085*(1+(Inputs!$B$10+((C2107=TRUE)*(F2107-Calc!F26))+B2124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85">
        <f>L2085*(1-MIN((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2085*(MIN((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85">
        <f>(1-Summary!$B$11)*T2085+Summary!$B$11*V2085</f>
        <v/>
      </c>
      <c r="P2085">
        <f>IF(B2125=0,0,O2085/B2125)</f>
        <v/>
      </c>
      <c r="Q2085">
        <f>IFERROR(1/IF(Inputs!$B$39="pvp",15,MAX(0.1,Skills!D4-IF(Skills!E4=TRUE,Inputs!$B$32,0))),0)</f>
        <v/>
      </c>
      <c r="R2085">
        <f>IF(AND(Inputs!$B$39&lt;&gt;"pvp",Inputs!$B$44&gt;0),IF(MAX(0,Inputs!$B$44-B2126)&lt;=0,0,(INT(MAX(0,Inputs!$B$44-B2126)/IF(Inputs!$B$39="pvp",15,MAX(0.1,Skills!D4-IF(Skills!E4=TRUE,Inputs!$B$32,0))))+1)),0)</f>
        <v/>
      </c>
      <c r="S2085">
        <f>IFERROR(O2085/N2085,0)</f>
        <v/>
      </c>
      <c r="T2085">
        <f>IF(C2085,(H2085*N2085*IF(AND(Inputs!$B$39&lt;&gt;"pvp",Inputs!$B$44&gt;0),((Skills!G4*((R2085-1)*IF(Skills!H4&gt;0,Skills!I4/Skills!H4,1)+IF(Skills!H4&gt;0,MIN(Skills!I4,MAX(0,MAX(0,Inputs!$B$44-B2126)-((R2085-1)*IF(Inputs!$B$39="pvp",15,MAX(0.1,Skills!D4-IF(Skills!E4=TRUE,Inputs!$B$32,0))))))/Skills!H4,1)))/Inputs!$B$44),G2085*Q2085))*IF(Inputs!$B$39="pvp",1,1+(Inputs!$B$20+((C2108=TRUE)*(F2108-Calc!F27))+Skills!P4+B2122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Hunt"),CHOOSE(ArtifactsInput!$N$35+1,15,18,21,24,27,30)*(1-EXP(-(0.2*B2117)*5)),0)+IF(AND(ArtifactsInput!$M$22,Inputs!$B$4&lt;&gt;"Chapter Hunt"),CHOOSE(ArtifactsInput!$N$22+1,10,12,14,16,18,20)*((0*(((0.15*B2117*5))^0/1)+1*(((0.15*B2117*5))^1/1)+2*(((0.15*B2117*5))^2/2)+3*(((0.15*B2117*5))^3/6)+4*(((0.15*B2117*5))^4/24)+5*(((0.15*B2117*5))^5/120))/((((0.15*B2117*5))^0/1)+(((0.15*B2117*5))^1/1)+(((0.15*B2117*5))^2/2)+(((0.15*B2117*5))^3/6)+(((0.15*B2117*5))^4/24)+(((0.15*B2117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2085*(1-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2085*(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2085*(1-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2085*(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85">
        <f>MAX(0,(Inputs!$B$3-100)*3)+Inputs!$B$28+Inputs!$B$29</f>
        <v/>
      </c>
      <c r="V2085">
        <f>IF(C2085,(H2085*N2085*IF(AND(Inputs!$B$39&lt;&gt;"pvp",Inputs!$B$44&gt;0),((Skills!G4*((R2085-1)*IF(Skills!H4&gt;0,Skills!I4/Skills!H4,1)+IF(Skills!H4&gt;0,MIN(Skills!I4,MAX(0,MAX(0,Inputs!$B$44-B2126)-((R2085-1)*IF(Inputs!$B$39="pvp",15,MAX(0.1,Skills!D4-IF(Skills!E4=TRUE,Inputs!$B$32,0))))))/Skills!H4,1)))/Inputs!$B$44),G2085*Q2085))*IF(Inputs!$B$39="pvp",1,(1+(Inputs!$B$21+Skills!Q4+B2122+(IF(ArtifactsInput!$M$33,CHOOSE(ArtifactsInput!$N$33+1,30,36,42,48,54,60),0))+(IF(AND(ArtifactsInput!$M$35,Inputs!$B$4&lt;&gt;"Chapter Hunt"),CHOOSE(ArtifactsInput!$N$35+1,15,18,21,24,27,30)*(1-EXP(-(0.2*B2117)*5)),0)+IF(AND(ArtifactsInput!$M$22,Inputs!$B$4&lt;&gt;"Chapter Hunt"),CHOOSE(ArtifactsInput!$N$22+1,10,12,14,16,18,20)*((0*(((0.15*B2117*5))^0/1)+1*(((0.15*B2117*5))^1/1)+2*(((0.15*B2117*5))^2/2)+3*(((0.15*B2117*5))^3/6)+4*(((0.15*B2117*5))^4/24)+5*(((0.15*B2117*5))^5/120))/((((0.15*B2117*5))^0/1)+(((0.15*B2117*5))^1/1)+(((0.15*B2117*5))^2/2)+(((0.15*B2117*5))^3/6)+(((0.15*B2117*5))^4/24)+(((0.15*B2117*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86">
      <c r="A2086">
        <f>Skills!A5</f>
        <v/>
      </c>
      <c r="B2086">
        <f>Skills!B5</f>
        <v/>
      </c>
      <c r="C2086">
        <f>Inputs!$B$3&gt;=63</f>
        <v/>
      </c>
      <c r="D2086">
        <f>IF(Skills!C5=1,60+Inputs!$B$25+Inputs!$B$29,IF(Skills!C5=2,90+Inputs!$B$26+Inputs!$B$29,IF(Skills!C5=3,120+Inputs!$B$27+Inputs!$B$29,MAX(0,(Inputs!$B$3-100)*3)+Inputs!$B$28+Inputs!$B$29)))</f>
        <v/>
      </c>
      <c r="E2086">
        <f>INDEX(FactorTable!$B$2:$Y$301, MATCH(ROUND(MIN(300,MAX(1,D2086)),0), FactorTable!$A$2:$A$301,0), Skills!M5+1)</f>
        <v/>
      </c>
      <c r="F2086">
        <f>IF(Skills!N5=TRUE,(Skills!L5/10)*(E2086/1000),Skills!L5/10)+Skills!O5</f>
        <v/>
      </c>
      <c r="G2086">
        <f>Calc!G5</f>
        <v/>
      </c>
      <c r="H2086">
        <f>Calc!H5</f>
        <v/>
      </c>
      <c r="I2086">
        <f>IF(Skills!AA5&lt;&gt;"",1+(Skills!AA5/10)*(U2084/1000)/100,1)</f>
        <v/>
      </c>
      <c r="J2086">
        <f>((Inputs!$B$6*(1+Inputs!$B$7/100))+(((Inputs!$B$12*(1+Inputs!$B$13/100))-(Inputs!$B$12*(1+Inputs!$B$13/100)))+0.25*(Inputs!$B$14-Inputs!$B$14))*(1+Inputs!$B$7/100))*(F2086/100)</f>
        <v/>
      </c>
      <c r="K2086">
        <f>J2086*(1+((Inputs!$B$12*(1+Inputs!$B$13/100))*0.01+Inputs!$B$14*0.0025)/100)*(1+Inputs!$B$15/100)*(1+Inputs!$B$16/100)*(5000/(6000+Inputs!$B$43*(1-(100*(1-(1-(Inputs!$B$19+0)/100)*(1-CHOOSE(ArtifactsInput!$N$40+1,5,6,7,8,9,10)/100)^(ArtifactsInput!$M$40-ArtifactsInput!$M$40)))/100)))*(1+(Inputs!$B$24+((C2111=TRUE)*(F2111-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2104=TRUE)*(F2104-Calc!F23))+(((IF(AND(ArtifactsInput!$M$42,((Inputs!$B$9+((C2106=TRUE)*(F2106-Calc!F25))+B2121+(ArtifactsInput!$M$24-ArtifactsInput!$M$24)*CHOOSE(ArtifactsInput!$N$24+1,10,12,14,16,18,20)+IF(ArtifactsInput!$M$10,CHOOSE(ArtifactsInput!$N$10+1,15,18,21,24,27,30)*(IF(Inputs!$B$39="pvp",MIN(15,15)/15,IF(AND(Inputs!$B$39&lt;&gt;"pvp",Inputs!$B$44&gt;0),MIN(15,Inputs!$B$44)/(Inputs!$B$44),0))),0)))&gt;=100),MIN(100,((Inputs!$B$9+((C2106=TRUE)*(F2106-Calc!F25))+B2121+(ArtifactsInput!$M$24-ArtifactsInput!$M$24)*CHOOSE(ArtifactsInput!$N$24+1,10,12,14,16,18,20)+IF(ArtifactsInput!$M$10,CHOOSE(ArtifactsInput!$N$10+1,15,18,21,24,27,30)*(IF(Inputs!$B$39="pvp",MIN(15,15)/15,IF(AND(Inputs!$B$39&lt;&gt;"pvp",Inputs!$B$44&gt;0),MIN(15,Inputs!$B$44)/(Inputs!$B$44),0))),0)))-100),0))*CHOOSE(ArtifactsInput!$N$42+1,0.6,0.72,0.84,0.96,1.08,1.2))),Inputs!$B$18+((C2110=TRUE)*(F2110-Calc!F29))+(IF(AND(ArtifactsInput!$M$42,((Inputs!$B$9+((C2106=TRUE)*(F2106-Calc!F25))+B2121+(ArtifactsInput!$M$24-ArtifactsInput!$M$24)*CHOOSE(ArtifactsInput!$N$24+1,10,12,14,16,18,20)+IF(ArtifactsInput!$M$10,CHOOSE(ArtifactsInput!$N$10+1,15,18,21,24,27,30)*(IF(Inputs!$B$39="pvp",MIN(15,15)/15,IF(AND(Inputs!$B$39&lt;&gt;"pvp",Inputs!$B$44&gt;0),MIN(15,Inputs!$B$44)/(Inputs!$B$44),0))),0)))&gt;=100),CHOOSE(ArtifactsInput!$N$42+1,40,48,56,64,72,80),0))))/100)*(((1+(((C2102=TRUE)*F2102*IF(AND(Inputs!$B$39&lt;&gt;"pvp",Inputs!$B$44&gt;0),(((R2102-1)*(Skills!Y21*(1+Inputs!$B$34/100))+MIN((Skills!Y21*(1+Inputs!$B$34/100)),MAX(0,Inputs!$B$44-((R2102-1)*Skills!D21))))/Inputs!$B$44),IF(Inputs!$B$39="pvp",MIN((Skills!Y21*(1+Inputs!$B$34/100)),15)/15,(Skills!Y21*(1+Inputs!$B$34/100))/Skills!D21)))+((C2109=TRUE)*(F2109-Calc!F28))+((C2099=TRUE)*(F2099-Calc!F18))+(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2096=TRUE)*F2096*IF(AND(Inputs!$B$39&lt;&gt;"pvp",Inputs!$B$44&gt;0),(((R2096-1)*(Skills!Y15*(1+Inputs!$B$34/100))+MIN((Skills!Y15*(1+Inputs!$B$34/100)),MAX(0,Inputs!$B$44-((R2096-1)*Skills!D15))))/Inputs!$B$44),IF(Inputs!$B$39="pvp",MIN((Skills!Y15*(1+Inputs!$B$34/100)),15)/15,(Skills!Y15*(1+Inputs!$B$34/100))/Skills!D15)))/100)*(1+((C2087=TRUE)*F2087*B2115)/100))*B2123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2086)</f>
        <v/>
      </c>
      <c r="L2086">
        <f>K2086*(MIN(Inputs!$B$22+((C2105=TRUE)*(F2105-Calc!F24)),(Inputs!$B$23+0+(IF(ArtifactsInput!$M$15,CHOOSE(ArtifactsInput!$N$15+1,25,30,35,40,45,50)/100*(Inputs!$B$11-Inputs!$B$11),0))))/100+(Inputs!$B$23+0+(IF(ArtifactsInput!$M$15,CHOOSE(ArtifactsInput!$N$15+1,25,30,35,40,45,50)/100*(Inputs!$B$11-Inputs!$B$11),0)))/100)/2</f>
        <v/>
      </c>
      <c r="M2086">
        <f>L2086*(1+(Inputs!$B$10+((C2107=TRUE)*(F2107-Calc!F26))+B2124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86">
        <f>L2086*(1-MIN((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2086*(MIN((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86">
        <f>(1-Summary!$B$11)*T2086+Summary!$B$11*V2086</f>
        <v/>
      </c>
      <c r="P2086">
        <f>IF(B2125=0,0,O2086/B2125)</f>
        <v/>
      </c>
      <c r="Q2086">
        <f>IFERROR(1/IF(Inputs!$B$39="pvp",15,MAX(0.1,Skills!D5-IF(Skills!E5=TRUE,Inputs!$B$32,0))),0)</f>
        <v/>
      </c>
      <c r="R2086">
        <f>IF(AND(Inputs!$B$39&lt;&gt;"pvp",Inputs!$B$44&gt;0),IF(MAX(0,Inputs!$B$44-B2126)&lt;=0,0,(INT(MAX(0,Inputs!$B$44-B2126)/IF(Inputs!$B$39="pvp",15,MAX(0.1,Skills!D5-IF(Skills!E5=TRUE,Inputs!$B$32,0))))+1)),0)</f>
        <v/>
      </c>
      <c r="S2086">
        <f>IFERROR(O2086/N2086,0)</f>
        <v/>
      </c>
      <c r="T2086">
        <f>IF(C2086,(H2086*N2086*IF(AND(Inputs!$B$39&lt;&gt;"pvp",Inputs!$B$44&gt;0),((Skills!G5*((R2086-1)*IF(Skills!H5&gt;0,Skills!I5/Skills!H5,1)+IF(Skills!H5&gt;0,MIN(Skills!I5,MAX(0,MAX(0,Inputs!$B$44-B2126)-((R2086-1)*IF(Inputs!$B$39="pvp",15,MAX(0.1,Skills!D5-IF(Skills!E5=TRUE,Inputs!$B$32,0))))))/Skills!H5,1)))/Inputs!$B$44),G2086*Q2086))*IF(Inputs!$B$39="pvp",1,1+(Inputs!$B$20+((C2108=TRUE)*(F2108-Calc!F27))+Skills!P5+B2122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Hunt"),CHOOSE(ArtifactsInput!$N$35+1,15,18,21,24,27,30)*(1-EXP(-(0.2*B2117)*5)),0)+IF(AND(ArtifactsInput!$M$22,Inputs!$B$4&lt;&gt;"Chapter Hunt"),CHOOSE(ArtifactsInput!$N$22+1,10,12,14,16,18,20)*((0*(((0.15*B2117*5))^0/1)+1*(((0.15*B2117*5))^1/1)+2*(((0.15*B2117*5))^2/2)+3*(((0.15*B2117*5))^3/6)+4*(((0.15*B2117*5))^4/24)+5*(((0.15*B2117*5))^5/120))/((((0.15*B2117*5))^0/1)+(((0.15*B2117*5))^1/1)+(((0.15*B2117*5))^2/2)+(((0.15*B2117*5))^3/6)+(((0.15*B2117*5))^4/24)+(((0.15*B2117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2086*(1-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2086*(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2086*(1-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2086*(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86">
        <f>INDEX(FactorTable!$B$2:$Y$301, MATCH(ROUND(MIN(300,MAX(1,U2085)),0), FactorTable!$A$2:$A$301,0), 22)</f>
        <v/>
      </c>
      <c r="V2086">
        <f>IF(C2086,(H2086*N2086*IF(AND(Inputs!$B$39&lt;&gt;"pvp",Inputs!$B$44&gt;0),((Skills!G5*((R2086-1)*IF(Skills!H5&gt;0,Skills!I5/Skills!H5,1)+IF(Skills!H5&gt;0,MIN(Skills!I5,MAX(0,MAX(0,Inputs!$B$44-B2126)-((R2086-1)*IF(Inputs!$B$39="pvp",15,MAX(0.1,Skills!D5-IF(Skills!E5=TRUE,Inputs!$B$32,0))))))/Skills!H5,1)))/Inputs!$B$44),G2086*Q2086))*IF(Inputs!$B$39="pvp",1,(1+(Inputs!$B$21+Skills!Q5+B2122+(IF(ArtifactsInput!$M$33,CHOOSE(ArtifactsInput!$N$33+1,30,36,42,48,54,60),0))+(IF(AND(ArtifactsInput!$M$35,Inputs!$B$4&lt;&gt;"Chapter Hunt"),CHOOSE(ArtifactsInput!$N$35+1,15,18,21,24,27,30)*(1-EXP(-(0.2*B2117)*5)),0)+IF(AND(ArtifactsInput!$M$22,Inputs!$B$4&lt;&gt;"Chapter Hunt"),CHOOSE(ArtifactsInput!$N$22+1,10,12,14,16,18,20)*((0*(((0.15*B2117*5))^0/1)+1*(((0.15*B2117*5))^1/1)+2*(((0.15*B2117*5))^2/2)+3*(((0.15*B2117*5))^3/6)+4*(((0.15*B2117*5))^4/24)+5*(((0.15*B2117*5))^5/120))/((((0.15*B2117*5))^0/1)+(((0.15*B2117*5))^1/1)+(((0.15*B2117*5))^2/2)+(((0.15*B2117*5))^3/6)+(((0.15*B2117*5))^4/24)+(((0.15*B2117*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87">
      <c r="A2087">
        <f>Skills!A6</f>
        <v/>
      </c>
      <c r="B2087">
        <f>Skills!B6</f>
        <v/>
      </c>
      <c r="C2087">
        <f>Inputs!$B$3&gt;=66</f>
        <v/>
      </c>
      <c r="D2087">
        <f>IF(Skills!C6=1,60+Inputs!$B$25+Inputs!$B$29,IF(Skills!C6=2,90+Inputs!$B$26+Inputs!$B$29,IF(Skills!C6=3,120+Inputs!$B$27+Inputs!$B$29,MAX(0,(Inputs!$B$3-100)*3)+Inputs!$B$28+Inputs!$B$29)))</f>
        <v/>
      </c>
      <c r="E2087">
        <f>INDEX(FactorTable!$B$2:$Y$301, MATCH(ROUND(MIN(300,MAX(1,D2087)),0), FactorTable!$A$2:$A$301,0), Skills!M6+1)</f>
        <v/>
      </c>
      <c r="F2087">
        <f>IF(Skills!N6=TRUE,(Skills!L6/10)*(E2087/1000),Skills!L6/10)+Skills!O6</f>
        <v/>
      </c>
      <c r="G2087">
        <f>Calc!G6</f>
        <v/>
      </c>
      <c r="H2087">
        <f>Calc!H6</f>
        <v/>
      </c>
      <c r="I2087">
        <f>IF(Skills!AA6&lt;&gt;"",1+(Skills!AA6/10)*(U2084/1000)/100,1)</f>
        <v/>
      </c>
      <c r="J2087" t="inlineStr"/>
      <c r="K2087" t="inlineStr"/>
      <c r="L2087" t="inlineStr"/>
      <c r="M2087" t="inlineStr"/>
      <c r="N2087" t="inlineStr"/>
      <c r="O2087">
        <f>(1-Summary!$B$11)*T2087+Summary!$B$11*V2087</f>
        <v/>
      </c>
      <c r="P2087">
        <f>IF(B2125=0,0,O2087/B2125)</f>
        <v/>
      </c>
      <c r="Q2087" t="n">
        <v>0</v>
      </c>
      <c r="R2087" t="n">
        <v>0</v>
      </c>
      <c r="S2087">
        <f>IFERROR(O2087/N2087,0)</f>
        <v/>
      </c>
      <c r="T2087" t="n">
        <v>0</v>
      </c>
      <c r="U2087">
        <f>290*U2086/1000</f>
        <v/>
      </c>
      <c r="V2087" t="n">
        <v>0</v>
      </c>
    </row>
    <row r="2088">
      <c r="A2088">
        <f>Skills!A7</f>
        <v/>
      </c>
      <c r="B2088">
        <f>Skills!B7</f>
        <v/>
      </c>
      <c r="C2088">
        <f>Inputs!$B$3&gt;=66</f>
        <v/>
      </c>
      <c r="D2088">
        <f>IF(Skills!C7=1,60+Inputs!$B$25+Inputs!$B$29,IF(Skills!C7=2,90+Inputs!$B$26+Inputs!$B$29,IF(Skills!C7=3,120+Inputs!$B$27+Inputs!$B$29,MAX(0,(Inputs!$B$3-100)*3)+Inputs!$B$28+Inputs!$B$29)))</f>
        <v/>
      </c>
      <c r="E2088">
        <f>INDEX(FactorTable!$B$2:$Y$301, MATCH(ROUND(MIN(300,MAX(1,D2088)),0), FactorTable!$A$2:$A$301,0), Skills!M7+1)</f>
        <v/>
      </c>
      <c r="F2088">
        <f>IF(Skills!N7=TRUE,(Skills!L7/10)*(E2088/1000),Skills!L7/10)+Skills!O7</f>
        <v/>
      </c>
      <c r="G2088">
        <f>Calc!G7</f>
        <v/>
      </c>
      <c r="H2088">
        <f>Calc!H7</f>
        <v/>
      </c>
      <c r="I2088">
        <f>IF(Skills!AA7&lt;&gt;"",1+(Skills!AA7/10)*(U2084/1000)/100,1)</f>
        <v/>
      </c>
      <c r="J2088" t="inlineStr"/>
      <c r="K2088" t="inlineStr"/>
      <c r="L2088" t="inlineStr"/>
      <c r="M2088" t="inlineStr"/>
      <c r="N2088" t="inlineStr"/>
      <c r="O2088">
        <f>(1-Summary!$B$11)*T2088+Summary!$B$11*V2088</f>
        <v/>
      </c>
      <c r="P2088">
        <f>IF(B2125=0,0,O2088/B2125)</f>
        <v/>
      </c>
      <c r="Q2088" t="n">
        <v>0</v>
      </c>
      <c r="R2088" t="n">
        <v>0</v>
      </c>
      <c r="S2088">
        <f>IFERROR(O2088/N2088,0)</f>
        <v/>
      </c>
      <c r="T2088" t="n">
        <v>0</v>
      </c>
      <c r="V2088" t="n">
        <v>0</v>
      </c>
    </row>
    <row r="2089">
      <c r="A2089">
        <f>Skills!A8</f>
        <v/>
      </c>
      <c r="B2089">
        <f>Skills!B8</f>
        <v/>
      </c>
      <c r="C2089">
        <f>Inputs!$B$3&gt;=69</f>
        <v/>
      </c>
      <c r="D2089">
        <f>IF(Skills!C8=1,60+Inputs!$B$25+Inputs!$B$29,IF(Skills!C8=2,90+Inputs!$B$26+Inputs!$B$29,IF(Skills!C8=3,120+Inputs!$B$27+Inputs!$B$29,MAX(0,(Inputs!$B$3-100)*3)+Inputs!$B$28+Inputs!$B$29)))</f>
        <v/>
      </c>
      <c r="E2089">
        <f>INDEX(FactorTable!$B$2:$Y$301, MATCH(ROUND(MIN(300,MAX(1,D2089)),0), FactorTable!$A$2:$A$301,0), Skills!M8+1)</f>
        <v/>
      </c>
      <c r="F2089">
        <f>IF(Skills!N8=TRUE,(Skills!L8/10)*(E2089/1000),Skills!L8/10)+Skills!O8</f>
        <v/>
      </c>
      <c r="G2089">
        <f>Calc!G8</f>
        <v/>
      </c>
      <c r="H2089">
        <f>Calc!H8</f>
        <v/>
      </c>
      <c r="I2089">
        <f>IF(Skills!AA8&lt;&gt;"",1+(Skills!AA8/10)*(U2084/1000)/100,1)</f>
        <v/>
      </c>
      <c r="J2089">
        <f>((Inputs!$B$6*(1+Inputs!$B$7/100))+(((Inputs!$B$12*(1+Inputs!$B$13/100))-(Inputs!$B$12*(1+Inputs!$B$13/100)))+0.25*(Inputs!$B$14-Inputs!$B$14))*(1+Inputs!$B$7/100))*(F2089/100)</f>
        <v/>
      </c>
      <c r="K2089">
        <f>J2089*(1+((Inputs!$B$12*(1+Inputs!$B$13/100))*0.01+Inputs!$B$14*0.0025)/100)*(1+Inputs!$B$15/100)*(1+Inputs!$B$16/100)*(5000/(6000+Inputs!$B$43*(1-(100*(1-(1-(Inputs!$B$19+0)/100)*(1-CHOOSE(ArtifactsInput!$N$40+1,5,6,7,8,9,10)/100)^(ArtifactsInput!$M$40-ArtifactsInput!$M$40)))/100)))*(1+(Inputs!$B$24+((C2111=TRUE)*(F2111-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2104=TRUE)*(F2104-Calc!F23))+(((IF(AND(ArtifactsInput!$M$42,((Inputs!$B$9+((C2106=TRUE)*(F2106-Calc!F25))+B2121+(ArtifactsInput!$M$24-ArtifactsInput!$M$24)*CHOOSE(ArtifactsInput!$N$24+1,10,12,14,16,18,20)+IF(ArtifactsInput!$M$10,CHOOSE(ArtifactsInput!$N$10+1,15,18,21,24,27,30)*(IF(Inputs!$B$39="pvp",MIN(15,15)/15,IF(AND(Inputs!$B$39&lt;&gt;"pvp",Inputs!$B$44&gt;0),MIN(15,Inputs!$B$44)/(Inputs!$B$44),0))),0)))&gt;=100),MIN(100,((Inputs!$B$9+((C2106=TRUE)*(F2106-Calc!F25))+B2121+(ArtifactsInput!$M$24-ArtifactsInput!$M$24)*CHOOSE(ArtifactsInput!$N$24+1,10,12,14,16,18,20)+IF(ArtifactsInput!$M$10,CHOOSE(ArtifactsInput!$N$10+1,15,18,21,24,27,30)*(IF(Inputs!$B$39="pvp",MIN(15,15)/15,IF(AND(Inputs!$B$39&lt;&gt;"pvp",Inputs!$B$44&gt;0),MIN(15,Inputs!$B$44)/(Inputs!$B$44),0))),0)))-100),0))*CHOOSE(ArtifactsInput!$N$42+1,0.6,0.72,0.84,0.96,1.08,1.2))),Inputs!$B$18+((C2110=TRUE)*(F2110-Calc!F29))+(IF(AND(ArtifactsInput!$M$42,((Inputs!$B$9+((C2106=TRUE)*(F2106-Calc!F25))+B2121+(ArtifactsInput!$M$24-ArtifactsInput!$M$24)*CHOOSE(ArtifactsInput!$N$24+1,10,12,14,16,18,20)+IF(ArtifactsInput!$M$10,CHOOSE(ArtifactsInput!$N$10+1,15,18,21,24,27,30)*(IF(Inputs!$B$39="pvp",MIN(15,15)/15,IF(AND(Inputs!$B$39&lt;&gt;"pvp",Inputs!$B$44&gt;0),MIN(15,Inputs!$B$44)/(Inputs!$B$44),0))),0)))&gt;=100),CHOOSE(ArtifactsInput!$N$42+1,40,48,56,64,72,80),0))))/100)*(((1+(((C2102=TRUE)*F2102*IF(AND(Inputs!$B$39&lt;&gt;"pvp",Inputs!$B$44&gt;0),(((R2102-1)*(Skills!Y21*(1+Inputs!$B$34/100))+MIN((Skills!Y21*(1+Inputs!$B$34/100)),MAX(0,Inputs!$B$44-((R2102-1)*Skills!D21))))/Inputs!$B$44),IF(Inputs!$B$39="pvp",MIN((Skills!Y21*(1+Inputs!$B$34/100)),15)/15,(Skills!Y21*(1+Inputs!$B$34/100))/Skills!D21)))+((C2109=TRUE)*(F2109-Calc!F28))+((C2099=TRUE)*(F2099-Calc!F18))+(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2096=TRUE)*F2096*IF(AND(Inputs!$B$39&lt;&gt;"pvp",Inputs!$B$44&gt;0),(((R2096-1)*(Skills!Y15*(1+Inputs!$B$34/100))+MIN((Skills!Y15*(1+Inputs!$B$34/100)),MAX(0,Inputs!$B$44-((R2096-1)*Skills!D15))))/Inputs!$B$44),IF(Inputs!$B$39="pvp",MIN((Skills!Y15*(1+Inputs!$B$34/100)),15)/15,(Skills!Y15*(1+Inputs!$B$34/100))/Skills!D15)))/100)*(1+((C2087=TRUE)*F2087*B2115)/100))*B2123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2089)</f>
        <v/>
      </c>
      <c r="L2089">
        <f>K2089*(MIN(Inputs!$B$22+((C2105=TRUE)*(F2105-Calc!F24)),(Inputs!$B$23+0+(IF(ArtifactsInput!$M$15,CHOOSE(ArtifactsInput!$N$15+1,25,30,35,40,45,50)/100*(Inputs!$B$11-Inputs!$B$11),0))))/100+(Inputs!$B$23+0+(IF(ArtifactsInput!$M$15,CHOOSE(ArtifactsInput!$N$15+1,25,30,35,40,45,50)/100*(Inputs!$B$11-Inputs!$B$11),0)))/100)/2</f>
        <v/>
      </c>
      <c r="M2089">
        <f>L2089*(1+(Inputs!$B$10+((C2107=TRUE)*(F2107-Calc!F26))+B2124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89">
        <f>L2089*(1-MIN((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2089*(MIN((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89">
        <f>(1-Summary!$B$11)*T2089+Summary!$B$11*V2089</f>
        <v/>
      </c>
      <c r="P2089">
        <f>IF(B2125=0,0,O2089/B2125)</f>
        <v/>
      </c>
      <c r="Q2089">
        <f>IFERROR(1/IF(Inputs!$B$39="pvp",15,MAX(0.1,Skills!D8-IF(Skills!E8=TRUE,Inputs!$B$32,0))),0)</f>
        <v/>
      </c>
      <c r="R2089">
        <f>IF(AND(Inputs!$B$39&lt;&gt;"pvp",Inputs!$B$44&gt;0),IF(MAX(0,Inputs!$B$44-B2126)&lt;=0,0,(INT(MAX(0,Inputs!$B$44-B2126)/IF(Inputs!$B$39="pvp",15,MAX(0.1,Skills!D8-IF(Skills!E8=TRUE,Inputs!$B$32,0))))+1)),0)</f>
        <v/>
      </c>
      <c r="S2089">
        <f>IFERROR(O2089/N2089,0)</f>
        <v/>
      </c>
      <c r="T2089">
        <f>IF(C2089,(H2089*N2089*IF(AND(Inputs!$B$39&lt;&gt;"pvp",Inputs!$B$44&gt;0),((Skills!G8*((R2089-1)*IF(Skills!H8&gt;0,Skills!I8/Skills!H8,1)+IF(Skills!H8&gt;0,MIN(Skills!I8,MAX(0,MAX(0,Inputs!$B$44-B2126)-((R2089-1)*IF(Inputs!$B$39="pvp",15,MAX(0.1,Skills!D8-IF(Skills!E8=TRUE,Inputs!$B$32,0))))))/Skills!H8,1)))/Inputs!$B$44),G2089*Q2089))*IF(Inputs!$B$39="pvp",1,1+(Inputs!$B$20+((C2108=TRUE)*(F2108-Calc!F27))+Skills!P8+B2122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Hunt"),CHOOSE(ArtifactsInput!$N$35+1,15,18,21,24,27,30)*(1-EXP(-(0.2*B2117)*5)),0)+IF(AND(ArtifactsInput!$M$22,Inputs!$B$4&lt;&gt;"Chapter Hunt"),CHOOSE(ArtifactsInput!$N$22+1,10,12,14,16,18,20)*((0*(((0.15*B2117*5))^0/1)+1*(((0.15*B2117*5))^1/1)+2*(((0.15*B2117*5))^2/2)+3*(((0.15*B2117*5))^3/6)+4*(((0.15*B2117*5))^4/24)+5*(((0.15*B2117*5))^5/120))/((((0.15*B2117*5))^0/1)+(((0.15*B2117*5))^1/1)+(((0.15*B2117*5))^2/2)+(((0.15*B2117*5))^3/6)+(((0.15*B2117*5))^4/24)+(((0.15*B2117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2089*(1-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2089*(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2089*(1-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2089*(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89">
        <f>IF(C2089,(H2089*N2089*IF(AND(Inputs!$B$39&lt;&gt;"pvp",Inputs!$B$44&gt;0),((Skills!G8*((R2089-1)*IF(Skills!H8&gt;0,Skills!I8/Skills!H8,1)+IF(Skills!H8&gt;0,MIN(Skills!I8,MAX(0,MAX(0,Inputs!$B$44-B2126)-((R2089-1)*IF(Inputs!$B$39="pvp",15,MAX(0.1,Skills!D8-IF(Skills!E8=TRUE,Inputs!$B$32,0))))))/Skills!H8,1)))/Inputs!$B$44),G2089*Q2089))*IF(Inputs!$B$39="pvp",1,(1+(Inputs!$B$21+Skills!Q8+B2122+(IF(ArtifactsInput!$M$33,CHOOSE(ArtifactsInput!$N$33+1,30,36,42,48,54,60),0))+(IF(AND(ArtifactsInput!$M$35,Inputs!$B$4&lt;&gt;"Chapter Hunt"),CHOOSE(ArtifactsInput!$N$35+1,15,18,21,24,27,30)*(1-EXP(-(0.2*B2117)*5)),0)+IF(AND(ArtifactsInput!$M$22,Inputs!$B$4&lt;&gt;"Chapter Hunt"),CHOOSE(ArtifactsInput!$N$22+1,10,12,14,16,18,20)*((0*(((0.15*B2117*5))^0/1)+1*(((0.15*B2117*5))^1/1)+2*(((0.15*B2117*5))^2/2)+3*(((0.15*B2117*5))^3/6)+4*(((0.15*B2117*5))^4/24)+5*(((0.15*B2117*5))^5/120))/((((0.15*B2117*5))^0/1)+(((0.15*B2117*5))^1/1)+(((0.15*B2117*5))^2/2)+(((0.15*B2117*5))^3/6)+(((0.15*B2117*5))^4/24)+(((0.15*B2117*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90">
      <c r="A2090">
        <f>Skills!A9</f>
        <v/>
      </c>
      <c r="B2090">
        <f>Skills!B9</f>
        <v/>
      </c>
      <c r="C2090">
        <f>Inputs!$B$3&gt;=72</f>
        <v/>
      </c>
      <c r="D2090">
        <f>IF(Skills!C9=1,60+Inputs!$B$25+Inputs!$B$29,IF(Skills!C9=2,90+Inputs!$B$26+Inputs!$B$29,IF(Skills!C9=3,120+Inputs!$B$27+Inputs!$B$29,MAX(0,(Inputs!$B$3-100)*3)+Inputs!$B$28+Inputs!$B$29)))</f>
        <v/>
      </c>
      <c r="E2090">
        <f>INDEX(FactorTable!$B$2:$Y$301, MATCH(ROUND(MIN(300,MAX(1,D2090)),0), FactorTable!$A$2:$A$301,0), Skills!M9+1)</f>
        <v/>
      </c>
      <c r="F2090">
        <f>IF(Skills!N9=TRUE,(Skills!L9/10)*(E2090/1000),Skills!L9/10)+Skills!O9</f>
        <v/>
      </c>
      <c r="G2090">
        <f>Calc!G9</f>
        <v/>
      </c>
      <c r="H2090">
        <f>Calc!H9</f>
        <v/>
      </c>
      <c r="I2090">
        <f>IF(Skills!AA9&lt;&gt;"",1+(Skills!AA9/10)*(U2084/1000)/100,1)</f>
        <v/>
      </c>
      <c r="J2090">
        <f>((Inputs!$B$6*(1+Inputs!$B$7/100))+(((Inputs!$B$12*(1+Inputs!$B$13/100))-(Inputs!$B$12*(1+Inputs!$B$13/100)))+0.25*(Inputs!$B$14-Inputs!$B$14))*(1+Inputs!$B$7/100))*(F2090/100)</f>
        <v/>
      </c>
      <c r="K2090">
        <f>J2090*(1+((Inputs!$B$12*(1+Inputs!$B$13/100))*0.01+Inputs!$B$14*0.0025)/100)*(1+Inputs!$B$15/100)*(1+Inputs!$B$16/100)*(5000/(6000+Inputs!$B$43*(1-(100*(1-(1-(Inputs!$B$19+0)/100)*(1-CHOOSE(ArtifactsInput!$N$40+1,5,6,7,8,9,10)/100)^(ArtifactsInput!$M$40-ArtifactsInput!$M$40)))/100)))*(1+(Inputs!$B$24+((C2111=TRUE)*(F2111-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2104=TRUE)*(F2104-Calc!F23))+(((IF(AND(ArtifactsInput!$M$42,((Inputs!$B$9+((C2106=TRUE)*(F2106-Calc!F25))+B2121+(ArtifactsInput!$M$24-ArtifactsInput!$M$24)*CHOOSE(ArtifactsInput!$N$24+1,10,12,14,16,18,20)+IF(ArtifactsInput!$M$10,CHOOSE(ArtifactsInput!$N$10+1,15,18,21,24,27,30)*(IF(Inputs!$B$39="pvp",MIN(15,15)/15,IF(AND(Inputs!$B$39&lt;&gt;"pvp",Inputs!$B$44&gt;0),MIN(15,Inputs!$B$44)/(Inputs!$B$44),0))),0)))&gt;=100),MIN(100,((Inputs!$B$9+((C2106=TRUE)*(F2106-Calc!F25))+B2121+(ArtifactsInput!$M$24-ArtifactsInput!$M$24)*CHOOSE(ArtifactsInput!$N$24+1,10,12,14,16,18,20)+IF(ArtifactsInput!$M$10,CHOOSE(ArtifactsInput!$N$10+1,15,18,21,24,27,30)*(IF(Inputs!$B$39="pvp",MIN(15,15)/15,IF(AND(Inputs!$B$39&lt;&gt;"pvp",Inputs!$B$44&gt;0),MIN(15,Inputs!$B$44)/(Inputs!$B$44),0))),0)))-100),0))*CHOOSE(ArtifactsInput!$N$42+1,0.6,0.72,0.84,0.96,1.08,1.2))),Inputs!$B$18+((C2110=TRUE)*(F2110-Calc!F29))+(IF(AND(ArtifactsInput!$M$42,((Inputs!$B$9+((C2106=TRUE)*(F2106-Calc!F25))+B2121+(ArtifactsInput!$M$24-ArtifactsInput!$M$24)*CHOOSE(ArtifactsInput!$N$24+1,10,12,14,16,18,20)+IF(ArtifactsInput!$M$10,CHOOSE(ArtifactsInput!$N$10+1,15,18,21,24,27,30)*(IF(Inputs!$B$39="pvp",MIN(15,15)/15,IF(AND(Inputs!$B$39&lt;&gt;"pvp",Inputs!$B$44&gt;0),MIN(15,Inputs!$B$44)/(Inputs!$B$44),0))),0)))&gt;=100),CHOOSE(ArtifactsInput!$N$42+1,40,48,56,64,72,80),0))))/100)*(((1+(((C2102=TRUE)*F2102*IF(AND(Inputs!$B$39&lt;&gt;"pvp",Inputs!$B$44&gt;0),(((R2102-1)*(Skills!Y21*(1+Inputs!$B$34/100))+MIN((Skills!Y21*(1+Inputs!$B$34/100)),MAX(0,Inputs!$B$44-((R2102-1)*Skills!D21))))/Inputs!$B$44),IF(Inputs!$B$39="pvp",MIN((Skills!Y21*(1+Inputs!$B$34/100)),15)/15,(Skills!Y21*(1+Inputs!$B$34/100))/Skills!D21)))+((C2109=TRUE)*(F2109-Calc!F28))+((C2099=TRUE)*(F2099-Calc!F18))+(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2096=TRUE)*F2096*IF(AND(Inputs!$B$39&lt;&gt;"pvp",Inputs!$B$44&gt;0),(((R2096-1)*(Skills!Y15*(1+Inputs!$B$34/100))+MIN((Skills!Y15*(1+Inputs!$B$34/100)),MAX(0,Inputs!$B$44-((R2096-1)*Skills!D15))))/Inputs!$B$44),IF(Inputs!$B$39="pvp",MIN((Skills!Y15*(1+Inputs!$B$34/100)),15)/15,(Skills!Y15*(1+Inputs!$B$34/100))/Skills!D15)))/100)*(1+((C2087=TRUE)*F2087*B2115)/100))*B2123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2090)</f>
        <v/>
      </c>
      <c r="L2090">
        <f>K2090*(MIN(Inputs!$B$22+((C2105=TRUE)*(F2105-Calc!F24)),(Inputs!$B$23+0+(IF(ArtifactsInput!$M$15,CHOOSE(ArtifactsInput!$N$15+1,25,30,35,40,45,50)/100*(Inputs!$B$11-Inputs!$B$11),0))))/100+(Inputs!$B$23+0+(IF(ArtifactsInput!$M$15,CHOOSE(ArtifactsInput!$N$15+1,25,30,35,40,45,50)/100*(Inputs!$B$11-Inputs!$B$11),0)))/100)/2</f>
        <v/>
      </c>
      <c r="M2090">
        <f>L2090*(1+(Inputs!$B$10+((C2107=TRUE)*(F2107-Calc!F26))+B2124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90">
        <f>L2090*(1-MIN((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2090*(MIN((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90">
        <f>(1-Summary!$B$11)*T2090+Summary!$B$11*V2090</f>
        <v/>
      </c>
      <c r="P2090">
        <f>IF(B2125=0,0,O2090/B2125)</f>
        <v/>
      </c>
      <c r="Q2090">
        <f>IFERROR(1/IF(Inputs!$B$39="pvp",15,MAX(0.1,Skills!D9-IF(Skills!E9=TRUE,Inputs!$B$32,0))),0)</f>
        <v/>
      </c>
      <c r="R2090">
        <f>IF(AND(Inputs!$B$39&lt;&gt;"pvp",Inputs!$B$44&gt;0),IF(MAX(0,Inputs!$B$44-B2126)&lt;=0,0,(INT(MAX(0,Inputs!$B$44-B2126)/IF(Inputs!$B$39="pvp",15,MAX(0.1,Skills!D9-IF(Skills!E9=TRUE,Inputs!$B$32,0))))+1)),0)</f>
        <v/>
      </c>
      <c r="S2090">
        <f>IFERROR(O2090/N2090,0)</f>
        <v/>
      </c>
      <c r="T2090">
        <f>IF(C2090,(H2090*N2090*IF(AND(Inputs!$B$39&lt;&gt;"pvp",Inputs!$B$44&gt;0),((Skills!G9*((R2090-1)*IF(Skills!H9&gt;0,Skills!I9/Skills!H9,1)+IF(Skills!H9&gt;0,MIN(Skills!I9,MAX(0,MAX(0,Inputs!$B$44-B2126)-((R2090-1)*IF(Inputs!$B$39="pvp",15,MAX(0.1,Skills!D9-IF(Skills!E9=TRUE,Inputs!$B$32,0))))))/Skills!H9,1)))/Inputs!$B$44),G2090*Q2090))*IF(Inputs!$B$39="pvp",1,1+(Inputs!$B$20+((C2108=TRUE)*(F2108-Calc!F27))+Skills!P9+B2122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Hunt"),CHOOSE(ArtifactsInput!$N$35+1,15,18,21,24,27,30)*(1-EXP(-(0.2*B2117)*5)),0)+IF(AND(ArtifactsInput!$M$22,Inputs!$B$4&lt;&gt;"Chapter Hunt"),CHOOSE(ArtifactsInput!$N$22+1,10,12,14,16,18,20)*((0*(((0.15*B2117*5))^0/1)+1*(((0.15*B2117*5))^1/1)+2*(((0.15*B2117*5))^2/2)+3*(((0.15*B2117*5))^3/6)+4*(((0.15*B2117*5))^4/24)+5*(((0.15*B2117*5))^5/120))/((((0.15*B2117*5))^0/1)+(((0.15*B2117*5))^1/1)+(((0.15*B2117*5))^2/2)+(((0.15*B2117*5))^3/6)+(((0.15*B2117*5))^4/24)+(((0.15*B2117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2090*(1-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2090*(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2090*(1-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2090*(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90">
        <f>IF(C2090,(H2090*N2090*IF(AND(Inputs!$B$39&lt;&gt;"pvp",Inputs!$B$44&gt;0),((Skills!G9*((R2090-1)*IF(Skills!H9&gt;0,Skills!I9/Skills!H9,1)+IF(Skills!H9&gt;0,MIN(Skills!I9,MAX(0,MAX(0,Inputs!$B$44-B2126)-((R2090-1)*IF(Inputs!$B$39="pvp",15,MAX(0.1,Skills!D9-IF(Skills!E9=TRUE,Inputs!$B$32,0))))))/Skills!H9,1)))/Inputs!$B$44),G2090*Q2090))*IF(Inputs!$B$39="pvp",1,(1+(Inputs!$B$21+Skills!Q9+B2122+(IF(ArtifactsInput!$M$33,CHOOSE(ArtifactsInput!$N$33+1,30,36,42,48,54,60),0))+(IF(AND(ArtifactsInput!$M$35,Inputs!$B$4&lt;&gt;"Chapter Hunt"),CHOOSE(ArtifactsInput!$N$35+1,15,18,21,24,27,30)*(1-EXP(-(0.2*B2117)*5)),0)+IF(AND(ArtifactsInput!$M$22,Inputs!$B$4&lt;&gt;"Chapter Hunt"),CHOOSE(ArtifactsInput!$N$22+1,10,12,14,16,18,20)*((0*(((0.15*B2117*5))^0/1)+1*(((0.15*B2117*5))^1/1)+2*(((0.15*B2117*5))^2/2)+3*(((0.15*B2117*5))^3/6)+4*(((0.15*B2117*5))^4/24)+5*(((0.15*B2117*5))^5/120))/((((0.15*B2117*5))^0/1)+(((0.15*B2117*5))^1/1)+(((0.15*B2117*5))^2/2)+(((0.15*B2117*5))^3/6)+(((0.15*B2117*5))^4/24)+(((0.15*B2117*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91">
      <c r="A2091">
        <f>Skills!A10</f>
        <v/>
      </c>
      <c r="B2091">
        <f>Skills!B10</f>
        <v/>
      </c>
      <c r="C2091">
        <f>Inputs!$B$3&gt;=117</f>
        <v/>
      </c>
      <c r="D2091">
        <f>IF(Skills!C10=1,60+Inputs!$B$25+Inputs!$B$29,IF(Skills!C10=2,90+Inputs!$B$26+Inputs!$B$29,IF(Skills!C10=3,120+Inputs!$B$27+Inputs!$B$29,MAX(0,(Inputs!$B$3-100)*3)+Inputs!$B$28+Inputs!$B$29)))</f>
        <v/>
      </c>
      <c r="E2091">
        <f>INDEX(FactorTable!$B$2:$Y$301, MATCH(ROUND(MIN(300,MAX(1,D2091)),0), FactorTable!$A$2:$A$301,0), Skills!M10+1)</f>
        <v/>
      </c>
      <c r="F2091">
        <f>IF(Skills!N10=TRUE,(Skills!L10/10)*(E2091/1000),Skills!L10/10)+Skills!O10</f>
        <v/>
      </c>
      <c r="G2091">
        <f>Calc!G10</f>
        <v/>
      </c>
      <c r="H2091">
        <f>Calc!H10</f>
        <v/>
      </c>
      <c r="I2091">
        <f>IF(Skills!AA10&lt;&gt;"",1+(Skills!AA10/10)*(U2084/1000)/100,1)</f>
        <v/>
      </c>
      <c r="J2091">
        <f>((Inputs!$B$6*(1+Inputs!$B$7/100))+(((Inputs!$B$12*(1+Inputs!$B$13/100))-(Inputs!$B$12*(1+Inputs!$B$13/100)))+0.25*(Inputs!$B$14-Inputs!$B$14))*(1+Inputs!$B$7/100))*(F2091/100)</f>
        <v/>
      </c>
      <c r="K2091">
        <f>J2091*(1+((Inputs!$B$12*(1+Inputs!$B$13/100))*0.01+Inputs!$B$14*0.0025)/100)*(1+Inputs!$B$15/100)*(1+Inputs!$B$16/100)*(5000/(6000+Inputs!$B$43*(1-(100*(1-(1-(Inputs!$B$19+0)/100)*(1-CHOOSE(ArtifactsInput!$N$40+1,5,6,7,8,9,10)/100)^(ArtifactsInput!$M$40-ArtifactsInput!$M$40)))/100)))*(1+(Inputs!$B$24+((C2111=TRUE)*(F2111-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2104=TRUE)*(F2104-Calc!F23))+(((IF(AND(ArtifactsInput!$M$42,((Inputs!$B$9+((C2106=TRUE)*(F2106-Calc!F25))+B2121+(ArtifactsInput!$M$24-ArtifactsInput!$M$24)*CHOOSE(ArtifactsInput!$N$24+1,10,12,14,16,18,20)+IF(ArtifactsInput!$M$10,CHOOSE(ArtifactsInput!$N$10+1,15,18,21,24,27,30)*(IF(Inputs!$B$39="pvp",MIN(15,15)/15,IF(AND(Inputs!$B$39&lt;&gt;"pvp",Inputs!$B$44&gt;0),MIN(15,Inputs!$B$44)/(Inputs!$B$44),0))),0)))&gt;=100),MIN(100,((Inputs!$B$9+((C2106=TRUE)*(F2106-Calc!F25))+B2121+(ArtifactsInput!$M$24-ArtifactsInput!$M$24)*CHOOSE(ArtifactsInput!$N$24+1,10,12,14,16,18,20)+IF(ArtifactsInput!$M$10,CHOOSE(ArtifactsInput!$N$10+1,15,18,21,24,27,30)*(IF(Inputs!$B$39="pvp",MIN(15,15)/15,IF(AND(Inputs!$B$39&lt;&gt;"pvp",Inputs!$B$44&gt;0),MIN(15,Inputs!$B$44)/(Inputs!$B$44),0))),0)))-100),0))*CHOOSE(ArtifactsInput!$N$42+1,0.6,0.72,0.84,0.96,1.08,1.2))),Inputs!$B$18+((C2110=TRUE)*(F2110-Calc!F29))+(IF(AND(ArtifactsInput!$M$42,((Inputs!$B$9+((C2106=TRUE)*(F2106-Calc!F25))+B2121+(ArtifactsInput!$M$24-ArtifactsInput!$M$24)*CHOOSE(ArtifactsInput!$N$24+1,10,12,14,16,18,20)+IF(ArtifactsInput!$M$10,CHOOSE(ArtifactsInput!$N$10+1,15,18,21,24,27,30)*(IF(Inputs!$B$39="pvp",MIN(15,15)/15,IF(AND(Inputs!$B$39&lt;&gt;"pvp",Inputs!$B$44&gt;0),MIN(15,Inputs!$B$44)/(Inputs!$B$44),0))),0)))&gt;=100),CHOOSE(ArtifactsInput!$N$42+1,40,48,56,64,72,80),0))))/100)*(((1+(((C2102=TRUE)*F2102*IF(AND(Inputs!$B$39&lt;&gt;"pvp",Inputs!$B$44&gt;0),(((R2102-1)*(Skills!Y21*(1+Inputs!$B$34/100))+MIN((Skills!Y21*(1+Inputs!$B$34/100)),MAX(0,Inputs!$B$44-((R2102-1)*Skills!D21))))/Inputs!$B$44),IF(Inputs!$B$39="pvp",MIN((Skills!Y21*(1+Inputs!$B$34/100)),15)/15,(Skills!Y21*(1+Inputs!$B$34/100))/Skills!D21)))+((C2109=TRUE)*(F2109-Calc!F28))+((C2099=TRUE)*(F2099-Calc!F18))+(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2096=TRUE)*F2096*IF(AND(Inputs!$B$39&lt;&gt;"pvp",Inputs!$B$44&gt;0),(((R2096-1)*(Skills!Y15*(1+Inputs!$B$34/100))+MIN((Skills!Y15*(1+Inputs!$B$34/100)),MAX(0,Inputs!$B$44-((R2096-1)*Skills!D15))))/Inputs!$B$44),IF(Inputs!$B$39="pvp",MIN((Skills!Y15*(1+Inputs!$B$34/100)),15)/15,(Skills!Y15*(1+Inputs!$B$34/100))/Skills!D15)))/100)*(1+((C2087=TRUE)*F2087*B2115)/100))*B2123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2091)</f>
        <v/>
      </c>
      <c r="L2091">
        <f>K2091*(MIN(Inputs!$B$22+((C2105=TRUE)*(F2105-Calc!F24)),(Inputs!$B$23+0+(IF(ArtifactsInput!$M$15,CHOOSE(ArtifactsInput!$N$15+1,25,30,35,40,45,50)/100*(Inputs!$B$11-Inputs!$B$11),0))))/100+(Inputs!$B$23+0+(IF(ArtifactsInput!$M$15,CHOOSE(ArtifactsInput!$N$15+1,25,30,35,40,45,50)/100*(Inputs!$B$11-Inputs!$B$11),0)))/100)/2</f>
        <v/>
      </c>
      <c r="M2091">
        <f>L2091*(1+(Inputs!$B$10+((C2107=TRUE)*(F2107-Calc!F26))+B2124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91">
        <f>L2091*(1-MIN((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2091*(MIN((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91">
        <f>(1-Summary!$B$11)*T2091+Summary!$B$11*V2091</f>
        <v/>
      </c>
      <c r="P2091">
        <f>IF(B2125=0,0,O2091/B2125)</f>
        <v/>
      </c>
      <c r="Q2091" t="n">
        <v>0</v>
      </c>
      <c r="R2091" t="n">
        <v>0</v>
      </c>
      <c r="S2091" t="n">
        <v>0</v>
      </c>
      <c r="T2091">
        <f>IF(C2091,(0.2*SUMPRODUCT((Skills!Z2:Z31=TRUE)*(C2083:C2112=TRUE)*S2083:S2112)*N2091)*IF(Inputs!$B$39="pvp",1,1+(Inputs!$B$20+((C2108=TRUE)*(F2108-Calc!F27))+Skills!P10+B2122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Hunt"),CHOOSE(ArtifactsInput!$N$35+1,15,18,21,24,27,30)*(1-EXP(-(0.2*B2117)*5)),0)+IF(AND(ArtifactsInput!$M$22,Inputs!$B$4&lt;&gt;"Chapter Hunt"),CHOOSE(ArtifactsInput!$N$22+1,10,12,14,16,18,20)*((0*(((0.15*B2117*5))^0/1)+1*(((0.15*B2117*5))^1/1)+2*(((0.15*B2117*5))^2/2)+3*(((0.15*B2117*5))^3/6)+4*(((0.15*B2117*5))^4/24)+5*(((0.15*B2117*5))^5/120))/((((0.15*B2117*5))^0/1)+(((0.15*B2117*5))^1/1)+(((0.15*B2117*5))^2/2)+(((0.15*B2117*5))^3/6)+(((0.15*B2117*5))^4/24)+(((0.15*B2117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2091*(1-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2091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2091*(1-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2091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91">
        <f>IF(C2091,(0.2*SUMPRODUCT((Skills!Z2:Z31=TRUE)*(C2083:C2112=TRUE)*S2083:S2112)*N2091)*IF(Inputs!$B$39="pvp",1,(1+(Inputs!$B$21+Skills!Q10+B2122+(IF(ArtifactsInput!$M$33,CHOOSE(ArtifactsInput!$N$33+1,30,36,42,48,54,60),0))+(IF(AND(ArtifactsInput!$M$35,Inputs!$B$4&lt;&gt;"Chapter Hunt"),CHOOSE(ArtifactsInput!$N$35+1,15,18,21,24,27,30)*(1-EXP(-(0.2*B2117)*5)),0)+IF(AND(ArtifactsInput!$M$22,Inputs!$B$4&lt;&gt;"Chapter Hunt"),CHOOSE(ArtifactsInput!$N$22+1,10,12,14,16,18,20)*((0*(((0.15*B2117*5))^0/1)+1*(((0.15*B2117*5))^1/1)+2*(((0.15*B2117*5))^2/2)+3*(((0.15*B2117*5))^3/6)+4*(((0.15*B2117*5))^4/24)+5*(((0.15*B2117*5))^5/120))/((((0.15*B2117*5))^0/1)+(((0.15*B2117*5))^1/1)+(((0.15*B2117*5))^2/2)+(((0.15*B2117*5))^3/6)+(((0.15*B2117*5))^4/24)+(((0.15*B2117*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92">
      <c r="A2092">
        <f>Skills!A11</f>
        <v/>
      </c>
      <c r="B2092">
        <f>Skills!B11</f>
        <v/>
      </c>
      <c r="C2092">
        <f>Inputs!$B$3&gt;=60</f>
        <v/>
      </c>
      <c r="D2092">
        <f>IF(Skills!C11=1,60+Inputs!$B$25+Inputs!$B$29,IF(Skills!C11=2,90+Inputs!$B$26+Inputs!$B$29,IF(Skills!C11=3,120+Inputs!$B$27+Inputs!$B$29,MAX(0,(Inputs!$B$3-100)*3)+Inputs!$B$28+Inputs!$B$29)))</f>
        <v/>
      </c>
      <c r="E2092">
        <f>INDEX(FactorTable!$B$2:$Y$301, MATCH(ROUND(MIN(300,MAX(1,D2092)),0), FactorTable!$A$2:$A$301,0), Skills!M11+1)</f>
        <v/>
      </c>
      <c r="F2092">
        <f>IF(Skills!N11=TRUE,(Skills!L11/10)*(E2092/1000),Skills!L11/10)+Skills!O11</f>
        <v/>
      </c>
      <c r="G2092">
        <f>Calc!G11</f>
        <v/>
      </c>
      <c r="H2092">
        <f>Calc!H11</f>
        <v/>
      </c>
      <c r="I2092">
        <f>IF(Skills!AA11&lt;&gt;"",1+(Skills!AA11/10)*(U2084/1000)/100,1)</f>
        <v/>
      </c>
      <c r="J2092" t="inlineStr"/>
      <c r="K2092" t="inlineStr"/>
      <c r="L2092" t="inlineStr"/>
      <c r="M2092" t="inlineStr"/>
      <c r="N2092" t="inlineStr"/>
      <c r="O2092">
        <f>(1-Summary!$B$11)*T2092+Summary!$B$11*V2092</f>
        <v/>
      </c>
      <c r="P2092">
        <f>IF(B2125=0,0,O2092/B2125)</f>
        <v/>
      </c>
      <c r="Q2092" t="n">
        <v>0</v>
      </c>
      <c r="R2092" t="n">
        <v>0</v>
      </c>
      <c r="S2092">
        <f>IFERROR(O2092/N2092,0)</f>
        <v/>
      </c>
      <c r="T2092" t="n">
        <v>0</v>
      </c>
      <c r="V2092" t="n">
        <v>0</v>
      </c>
    </row>
    <row r="2093">
      <c r="A2093">
        <f>Skills!A12</f>
        <v/>
      </c>
      <c r="B2093">
        <f>Skills!B12</f>
        <v/>
      </c>
      <c r="C2093">
        <f>Inputs!$B$3&gt;=103</f>
        <v/>
      </c>
      <c r="D2093">
        <f>IF(Skills!C12=1,60+Inputs!$B$25+Inputs!$B$29,IF(Skills!C12=2,90+Inputs!$B$26+Inputs!$B$29,IF(Skills!C12=3,120+Inputs!$B$27+Inputs!$B$29,MAX(0,(Inputs!$B$3-100)*3)+Inputs!$B$28+Inputs!$B$29)))</f>
        <v/>
      </c>
      <c r="E2093">
        <f>INDEX(FactorTable!$B$2:$Y$301, MATCH(ROUND(MIN(300,MAX(1,D2093)),0), FactorTable!$A$2:$A$301,0), Skills!M12+1)</f>
        <v/>
      </c>
      <c r="F2093">
        <f>IF(Skills!N12=TRUE,(Skills!L12/10)*(E2093/1000),Skills!L12/10)+Skills!O12</f>
        <v/>
      </c>
      <c r="G2093">
        <f>Calc!G12</f>
        <v/>
      </c>
      <c r="H2093">
        <f>Calc!H12</f>
        <v/>
      </c>
      <c r="I2093">
        <f>IF(Skills!AA12&lt;&gt;"",1+(Skills!AA12/10)*(U2084/1000)/100,1)</f>
        <v/>
      </c>
      <c r="J2093">
        <f>((Inputs!$B$6*(1+Inputs!$B$7/100))+(((Inputs!$B$12*(1+Inputs!$B$13/100))-(Inputs!$B$12*(1+Inputs!$B$13/100)))+0.25*(Inputs!$B$14-Inputs!$B$14))*(1+Inputs!$B$7/100))*(F2093/100)</f>
        <v/>
      </c>
      <c r="K2093">
        <f>J2093*(1+((Inputs!$B$12*(1+Inputs!$B$13/100))*0.01+Inputs!$B$14*0.0025)/100)*(1+Inputs!$B$15/100)*(1+Inputs!$B$16/100)*(5000/(6000+Inputs!$B$43*(1-(100*(1-(1-(Inputs!$B$19+0)/100)*(1-CHOOSE(ArtifactsInput!$N$40+1,5,6,7,8,9,10)/100)^(ArtifactsInput!$M$40-ArtifactsInput!$M$40)))/100)))*(1+(Inputs!$B$24+((C2111=TRUE)*(F2111-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2104=TRUE)*(F2104-Calc!F23))+(((IF(AND(ArtifactsInput!$M$42,((Inputs!$B$9+((C2106=TRUE)*(F2106-Calc!F25))+B2121+(ArtifactsInput!$M$24-ArtifactsInput!$M$24)*CHOOSE(ArtifactsInput!$N$24+1,10,12,14,16,18,20)+IF(ArtifactsInput!$M$10,CHOOSE(ArtifactsInput!$N$10+1,15,18,21,24,27,30)*(IF(Inputs!$B$39="pvp",MIN(15,15)/15,IF(AND(Inputs!$B$39&lt;&gt;"pvp",Inputs!$B$44&gt;0),MIN(15,Inputs!$B$44)/(Inputs!$B$44),0))),0)))&gt;=100),MIN(100,((Inputs!$B$9+((C2106=TRUE)*(F2106-Calc!F25))+B2121+(ArtifactsInput!$M$24-ArtifactsInput!$M$24)*CHOOSE(ArtifactsInput!$N$24+1,10,12,14,16,18,20)+IF(ArtifactsInput!$M$10,CHOOSE(ArtifactsInput!$N$10+1,15,18,21,24,27,30)*(IF(Inputs!$B$39="pvp",MIN(15,15)/15,IF(AND(Inputs!$B$39&lt;&gt;"pvp",Inputs!$B$44&gt;0),MIN(15,Inputs!$B$44)/(Inputs!$B$44),0))),0)))-100),0))*CHOOSE(ArtifactsInput!$N$42+1,0.6,0.72,0.84,0.96,1.08,1.2))),Inputs!$B$18+((C2110=TRUE)*(F2110-Calc!F29))+(IF(AND(ArtifactsInput!$M$42,((Inputs!$B$9+((C2106=TRUE)*(F2106-Calc!F25))+B2121+(ArtifactsInput!$M$24-ArtifactsInput!$M$24)*CHOOSE(ArtifactsInput!$N$24+1,10,12,14,16,18,20)+IF(ArtifactsInput!$M$10,CHOOSE(ArtifactsInput!$N$10+1,15,18,21,24,27,30)*(IF(Inputs!$B$39="pvp",MIN(15,15)/15,IF(AND(Inputs!$B$39&lt;&gt;"pvp",Inputs!$B$44&gt;0),MIN(15,Inputs!$B$44)/(Inputs!$B$44),0))),0)))&gt;=100),CHOOSE(ArtifactsInput!$N$42+1,40,48,56,64,72,80),0))))/100)*(((1+(((C2102=TRUE)*F2102*IF(AND(Inputs!$B$39&lt;&gt;"pvp",Inputs!$B$44&gt;0),(((R2102-1)*(Skills!Y21*(1+Inputs!$B$34/100))+MIN((Skills!Y21*(1+Inputs!$B$34/100)),MAX(0,Inputs!$B$44-((R2102-1)*Skills!D21))))/Inputs!$B$44),IF(Inputs!$B$39="pvp",MIN((Skills!Y21*(1+Inputs!$B$34/100)),15)/15,(Skills!Y21*(1+Inputs!$B$34/100))/Skills!D21)))+((C2109=TRUE)*(F2109-Calc!F28))+((C2099=TRUE)*(F2099-Calc!F18))+(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2096=TRUE)*F2096*IF(AND(Inputs!$B$39&lt;&gt;"pvp",Inputs!$B$44&gt;0),(((R2096-1)*(Skills!Y15*(1+Inputs!$B$34/100))+MIN((Skills!Y15*(1+Inputs!$B$34/100)),MAX(0,Inputs!$B$44-((R2096-1)*Skills!D15))))/Inputs!$B$44),IF(Inputs!$B$39="pvp",MIN((Skills!Y15*(1+Inputs!$B$34/100)),15)/15,(Skills!Y15*(1+Inputs!$B$34/100))/Skills!D15)))/100)*(1+((C2087=TRUE)*F2087*B2115)/100))*B2123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2093)</f>
        <v/>
      </c>
      <c r="L2093">
        <f>K2093*(MIN(Inputs!$B$22+((C2105=TRUE)*(F2105-Calc!F24)),(Inputs!$B$23+0+(IF(ArtifactsInput!$M$15,CHOOSE(ArtifactsInput!$N$15+1,25,30,35,40,45,50)/100*(Inputs!$B$11-Inputs!$B$11),0))))/100+(Inputs!$B$23+0+(IF(ArtifactsInput!$M$15,CHOOSE(ArtifactsInput!$N$15+1,25,30,35,40,45,50)/100*(Inputs!$B$11-Inputs!$B$11),0)))/100)/2</f>
        <v/>
      </c>
      <c r="M2093">
        <f>L2093*(1+(Inputs!$B$10+((C2107=TRUE)*(F2107-Calc!F26))+B2124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93">
        <f>L2093*(1-MIN((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2093*(MIN((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93">
        <f>(1-Summary!$B$11)*T2093+Summary!$B$11*V2093</f>
        <v/>
      </c>
      <c r="P2093">
        <f>IF(B2125=0,0,O2093/B2125)</f>
        <v/>
      </c>
      <c r="Q2093">
        <f>IFERROR(1/IF(Inputs!$B$39="pvp",15,MAX(0.1,Skills!D12-IF(Skills!E12=TRUE,Inputs!$B$32,0))),0)</f>
        <v/>
      </c>
      <c r="R2093">
        <f>IF(AND(Inputs!$B$39&lt;&gt;"pvp",Inputs!$B$44&gt;0),IF(MAX(0,Inputs!$B$44-B2126)&lt;=0,0,(INT(MAX(0,Inputs!$B$44-B2126)/IF(Inputs!$B$39="pvp",15,MAX(0.1,Skills!D12-IF(Skills!E12=TRUE,Inputs!$B$32,0))))+1)),0)</f>
        <v/>
      </c>
      <c r="S2093">
        <f>IFERROR(O2093/N2093,0)</f>
        <v/>
      </c>
      <c r="T2093">
        <f>IF(C2093,(H2093*N2093*IF(AND(Inputs!$B$39&lt;&gt;"pvp",Inputs!$B$44&gt;0),((Skills!G12*((R2093-1)*IF(Skills!H12&gt;0,Skills!I12/Skills!H12,1)+IF(Skills!H12&gt;0,MIN(Skills!I12,MAX(0,MAX(0,Inputs!$B$44-B2126)-((R2093-1)*IF(Inputs!$B$39="pvp",15,MAX(0.1,Skills!D12-IF(Skills!E12=TRUE,Inputs!$B$32,0))))))/Skills!H12,1)))/Inputs!$B$44),G2093*Q2093))*IF(Inputs!$B$39="pvp",1,1+(Inputs!$B$20+((C2108=TRUE)*(F2108-Calc!F27))+Skills!P12+B2122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Hunt"),CHOOSE(ArtifactsInput!$N$35+1,15,18,21,24,27,30)*(1-EXP(-(0.2*B2117)*5)),0)+IF(AND(ArtifactsInput!$M$22,Inputs!$B$4&lt;&gt;"Chapter Hunt"),CHOOSE(ArtifactsInput!$N$22+1,10,12,14,16,18,20)*((0*(((0.15*B2117*5))^0/1)+1*(((0.15*B2117*5))^1/1)+2*(((0.15*B2117*5))^2/2)+3*(((0.15*B2117*5))^3/6)+4*(((0.15*B2117*5))^4/24)+5*(((0.15*B2117*5))^5/120))/((((0.15*B2117*5))^0/1)+(((0.15*B2117*5))^1/1)+(((0.15*B2117*5))^2/2)+(((0.15*B2117*5))^3/6)+(((0.15*B2117*5))^4/24)+(((0.15*B2117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2093*(1-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2093*(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2093*(1-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2093*(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93">
        <f>IF(C2093,(H2093*N2093*IF(AND(Inputs!$B$39&lt;&gt;"pvp",Inputs!$B$44&gt;0),((Skills!G12*((R2093-1)*IF(Skills!H12&gt;0,Skills!I12/Skills!H12,1)+IF(Skills!H12&gt;0,MIN(Skills!I12,MAX(0,MAX(0,Inputs!$B$44-B2126)-((R2093-1)*IF(Inputs!$B$39="pvp",15,MAX(0.1,Skills!D12-IF(Skills!E12=TRUE,Inputs!$B$32,0))))))/Skills!H12,1)))/Inputs!$B$44),G2093*Q2093))*IF(Inputs!$B$39="pvp",1,(1+(Inputs!$B$21+Skills!Q12+B2122+(IF(ArtifactsInput!$M$33,CHOOSE(ArtifactsInput!$N$33+1,30,36,42,48,54,60),0))+(IF(AND(ArtifactsInput!$M$35,Inputs!$B$4&lt;&gt;"Chapter Hunt"),CHOOSE(ArtifactsInput!$N$35+1,15,18,21,24,27,30)*(1-EXP(-(0.2*B2117)*5)),0)+IF(AND(ArtifactsInput!$M$22,Inputs!$B$4&lt;&gt;"Chapter Hunt"),CHOOSE(ArtifactsInput!$N$22+1,10,12,14,16,18,20)*((0*(((0.15*B2117*5))^0/1)+1*(((0.15*B2117*5))^1/1)+2*(((0.15*B2117*5))^2/2)+3*(((0.15*B2117*5))^3/6)+4*(((0.15*B2117*5))^4/24)+5*(((0.15*B2117*5))^5/120))/((((0.15*B2117*5))^0/1)+(((0.15*B2117*5))^1/1)+(((0.15*B2117*5))^2/2)+(((0.15*B2117*5))^3/6)+(((0.15*B2117*5))^4/24)+(((0.15*B2117*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94">
      <c r="A2094">
        <f>Skills!A13</f>
        <v/>
      </c>
      <c r="B2094">
        <f>Skills!B13</f>
        <v/>
      </c>
      <c r="C2094">
        <f>Inputs!$B$3&gt;=105</f>
        <v/>
      </c>
      <c r="D2094">
        <f>IF(Skills!C13=1,60+Inputs!$B$25+Inputs!$B$29,IF(Skills!C13=2,90+Inputs!$B$26+Inputs!$B$29,IF(Skills!C13=3,120+Inputs!$B$27+Inputs!$B$29,MAX(0,(Inputs!$B$3-100)*3)+Inputs!$B$28+Inputs!$B$29)))</f>
        <v/>
      </c>
      <c r="E2094">
        <f>INDEX(FactorTable!$B$2:$Y$301, MATCH(ROUND(MIN(300,MAX(1,D2094)),0), FactorTable!$A$2:$A$301,0), Skills!M13+1)</f>
        <v/>
      </c>
      <c r="F2094">
        <f>IF(Skills!N13=TRUE,(Skills!L13/10)*(E2094/1000),Skills!L13/10)+Skills!O13</f>
        <v/>
      </c>
      <c r="G2094">
        <f>Calc!G13</f>
        <v/>
      </c>
      <c r="H2094">
        <f>Calc!H13</f>
        <v/>
      </c>
      <c r="I2094">
        <f>IF(Skills!AA13&lt;&gt;"",1+(Skills!AA13/10)*(U2084/1000)/100,1)</f>
        <v/>
      </c>
      <c r="J2094">
        <f>((Inputs!$B$6*(1+Inputs!$B$7/100))+(((Inputs!$B$12*(1+Inputs!$B$13/100))-(Inputs!$B$12*(1+Inputs!$B$13/100)))+0.25*(Inputs!$B$14-Inputs!$B$14))*(1+Inputs!$B$7/100))*(F2094/100)</f>
        <v/>
      </c>
      <c r="K2094">
        <f>J2094*(1+((Inputs!$B$12*(1+Inputs!$B$13/100))*0.01+Inputs!$B$14*0.0025)/100)*(1+Inputs!$B$15/100)*(1+Inputs!$B$16/100)*(5000/(6000+Inputs!$B$43*(1-(100*(1-(1-(Inputs!$B$19+0)/100)*(1-CHOOSE(ArtifactsInput!$N$40+1,5,6,7,8,9,10)/100)^(ArtifactsInput!$M$40-ArtifactsInput!$M$40)))/100)))*(1+(Inputs!$B$24+((C2111=TRUE)*(F2111-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2104=TRUE)*(F2104-Calc!F23))+(((IF(AND(ArtifactsInput!$M$42,((Inputs!$B$9+((C2106=TRUE)*(F2106-Calc!F25))+B2121+(ArtifactsInput!$M$24-ArtifactsInput!$M$24)*CHOOSE(ArtifactsInput!$N$24+1,10,12,14,16,18,20)+IF(ArtifactsInput!$M$10,CHOOSE(ArtifactsInput!$N$10+1,15,18,21,24,27,30)*(IF(Inputs!$B$39="pvp",MIN(15,15)/15,IF(AND(Inputs!$B$39&lt;&gt;"pvp",Inputs!$B$44&gt;0),MIN(15,Inputs!$B$44)/(Inputs!$B$44),0))),0)))&gt;=100),MIN(100,((Inputs!$B$9+((C2106=TRUE)*(F2106-Calc!F25))+B2121+(ArtifactsInput!$M$24-ArtifactsInput!$M$24)*CHOOSE(ArtifactsInput!$N$24+1,10,12,14,16,18,20)+IF(ArtifactsInput!$M$10,CHOOSE(ArtifactsInput!$N$10+1,15,18,21,24,27,30)*(IF(Inputs!$B$39="pvp",MIN(15,15)/15,IF(AND(Inputs!$B$39&lt;&gt;"pvp",Inputs!$B$44&gt;0),MIN(15,Inputs!$B$44)/(Inputs!$B$44),0))),0)))-100),0))*CHOOSE(ArtifactsInput!$N$42+1,0.6,0.72,0.84,0.96,1.08,1.2))),Inputs!$B$18+((C2110=TRUE)*(F2110-Calc!F29))+(IF(AND(ArtifactsInput!$M$42,((Inputs!$B$9+((C2106=TRUE)*(F2106-Calc!F25))+B2121+(ArtifactsInput!$M$24-ArtifactsInput!$M$24)*CHOOSE(ArtifactsInput!$N$24+1,10,12,14,16,18,20)+IF(ArtifactsInput!$M$10,CHOOSE(ArtifactsInput!$N$10+1,15,18,21,24,27,30)*(IF(Inputs!$B$39="pvp",MIN(15,15)/15,IF(AND(Inputs!$B$39&lt;&gt;"pvp",Inputs!$B$44&gt;0),MIN(15,Inputs!$B$44)/(Inputs!$B$44),0))),0)))&gt;=100),CHOOSE(ArtifactsInput!$N$42+1,40,48,56,64,72,80),0))))/100)*(((1+(((C2102=TRUE)*F2102*IF(AND(Inputs!$B$39&lt;&gt;"pvp",Inputs!$B$44&gt;0),(((R2102-1)*(Skills!Y21*(1+Inputs!$B$34/100))+MIN((Skills!Y21*(1+Inputs!$B$34/100)),MAX(0,Inputs!$B$44-((R2102-1)*Skills!D21))))/Inputs!$B$44),IF(Inputs!$B$39="pvp",MIN((Skills!Y21*(1+Inputs!$B$34/100)),15)/15,(Skills!Y21*(1+Inputs!$B$34/100))/Skills!D21)))+((C2109=TRUE)*(F2109-Calc!F28))+((C2099=TRUE)*(F2099-Calc!F18))+(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2096=TRUE)*F2096*IF(AND(Inputs!$B$39&lt;&gt;"pvp",Inputs!$B$44&gt;0),(((R2096-1)*(Skills!Y15*(1+Inputs!$B$34/100))+MIN((Skills!Y15*(1+Inputs!$B$34/100)),MAX(0,Inputs!$B$44-((R2096-1)*Skills!D15))))/Inputs!$B$44),IF(Inputs!$B$39="pvp",MIN((Skills!Y15*(1+Inputs!$B$34/100)),15)/15,(Skills!Y15*(1+Inputs!$B$34/100))/Skills!D15)))/100)*(1+((C2087=TRUE)*F2087*B2115)/100))*B2123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2094)</f>
        <v/>
      </c>
      <c r="L2094">
        <f>K2094*(MIN(Inputs!$B$22+((C2105=TRUE)*(F2105-Calc!F24)),(Inputs!$B$23+0+(IF(ArtifactsInput!$M$15,CHOOSE(ArtifactsInput!$N$15+1,25,30,35,40,45,50)/100*(Inputs!$B$11-Inputs!$B$11),0))))/100+(Inputs!$B$23+0+(IF(ArtifactsInput!$M$15,CHOOSE(ArtifactsInput!$N$15+1,25,30,35,40,45,50)/100*(Inputs!$B$11-Inputs!$B$11),0)))/100)/2</f>
        <v/>
      </c>
      <c r="M2094">
        <f>L2094*(1+(Inputs!$B$10+((C2107=TRUE)*(F2107-Calc!F26))+B2124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94">
        <f>L2094*(1-MIN((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2094*(MIN((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94">
        <f>(1-Summary!$B$11)*T2094+Summary!$B$11*V2094</f>
        <v/>
      </c>
      <c r="P2094">
        <f>IF(B2125=0,0,O2094/B2125)</f>
        <v/>
      </c>
      <c r="Q2094">
        <f>IFERROR(1/IF(Inputs!$B$39="pvp",15,MAX(0.1,Skills!D13-IF(Skills!E13=TRUE,Inputs!$B$32,0))),0)</f>
        <v/>
      </c>
      <c r="R2094">
        <f>IF(AND(Inputs!$B$39&lt;&gt;"pvp",Inputs!$B$44&gt;0),IF(MAX(0,Inputs!$B$44-B2126)&lt;=0,0,(INT(MAX(0,Inputs!$B$44-B2126)/IF(Inputs!$B$39="pvp",15,MAX(0.1,Skills!D13-IF(Skills!E13=TRUE,Inputs!$B$32,0))))+1)),0)</f>
        <v/>
      </c>
      <c r="S2094">
        <f>IFERROR(O2094/N2094,0)</f>
        <v/>
      </c>
      <c r="T2094">
        <f>IF(C2094,(H2094*N2094*IF(AND(Inputs!$B$39&lt;&gt;"pvp",Inputs!$B$44&gt;0),((Skills!G13*((R2094-1)*IF(Skills!H13&gt;0,Skills!I13/Skills!H13,1)+IF(Skills!H13&gt;0,MIN(Skills!I13,MAX(0,MAX(0,Inputs!$B$44-B2126)-((R2094-1)*IF(Inputs!$B$39="pvp",15,MAX(0.1,Skills!D13-IF(Skills!E13=TRUE,Inputs!$B$32,0))))))/Skills!H13,1)))/Inputs!$B$44),G2094*Q2094))*IF(Inputs!$B$39="pvp",1,1+(Inputs!$B$20+((C2108=TRUE)*(F2108-Calc!F27))+Skills!P13+B2122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Hunt"),CHOOSE(ArtifactsInput!$N$35+1,15,18,21,24,27,30)*(1-EXP(-(0.2*B2117)*5)),0)+IF(AND(ArtifactsInput!$M$22,Inputs!$B$4&lt;&gt;"Chapter Hunt"),CHOOSE(ArtifactsInput!$N$22+1,10,12,14,16,18,20)*((0*(((0.15*B2117*5))^0/1)+1*(((0.15*B2117*5))^1/1)+2*(((0.15*B2117*5))^2/2)+3*(((0.15*B2117*5))^3/6)+4*(((0.15*B2117*5))^4/24)+5*(((0.15*B2117*5))^5/120))/((((0.15*B2117*5))^0/1)+(((0.15*B2117*5))^1/1)+(((0.15*B2117*5))^2/2)+(((0.15*B2117*5))^3/6)+(((0.15*B2117*5))^4/24)+(((0.15*B2117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2094*(1-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2094*(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2094*(1-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2094*(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94">
        <f>IF(C2094,(H2094*N2094*IF(AND(Inputs!$B$39&lt;&gt;"pvp",Inputs!$B$44&gt;0),((Skills!G13*((R2094-1)*IF(Skills!H13&gt;0,Skills!I13/Skills!H13,1)+IF(Skills!H13&gt;0,MIN(Skills!I13,MAX(0,MAX(0,Inputs!$B$44-B2126)-((R2094-1)*IF(Inputs!$B$39="pvp",15,MAX(0.1,Skills!D13-IF(Skills!E13=TRUE,Inputs!$B$32,0))))))/Skills!H13,1)))/Inputs!$B$44),G2094*Q2094))*IF(Inputs!$B$39="pvp",1,(1+(Inputs!$B$21+Skills!Q13+B2122+(IF(ArtifactsInput!$M$33,CHOOSE(ArtifactsInput!$N$33+1,30,36,42,48,54,60),0))+(IF(AND(ArtifactsInput!$M$35,Inputs!$B$4&lt;&gt;"Chapter Hunt"),CHOOSE(ArtifactsInput!$N$35+1,15,18,21,24,27,30)*(1-EXP(-(0.2*B2117)*5)),0)+IF(AND(ArtifactsInput!$M$22,Inputs!$B$4&lt;&gt;"Chapter Hunt"),CHOOSE(ArtifactsInput!$N$22+1,10,12,14,16,18,20)*((0*(((0.15*B2117*5))^0/1)+1*(((0.15*B2117*5))^1/1)+2*(((0.15*B2117*5))^2/2)+3*(((0.15*B2117*5))^3/6)+4*(((0.15*B2117*5))^4/24)+5*(((0.15*B2117*5))^5/120))/((((0.15*B2117*5))^0/1)+(((0.15*B2117*5))^1/1)+(((0.15*B2117*5))^2/2)+(((0.15*B2117*5))^3/6)+(((0.15*B2117*5))^4/24)+(((0.15*B2117*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95">
      <c r="A2095">
        <f>Skills!A14</f>
        <v/>
      </c>
      <c r="B2095">
        <f>Skills!B14</f>
        <v/>
      </c>
      <c r="C2095">
        <f>Inputs!$B$3&gt;=105</f>
        <v/>
      </c>
      <c r="D2095">
        <f>IF(Skills!C14=1,60+Inputs!$B$25+Inputs!$B$29,IF(Skills!C14=2,90+Inputs!$B$26+Inputs!$B$29,IF(Skills!C14=3,120+Inputs!$B$27+Inputs!$B$29,MAX(0,(Inputs!$B$3-100)*3)+Inputs!$B$28+Inputs!$B$29)))</f>
        <v/>
      </c>
      <c r="E2095">
        <f>INDEX(FactorTable!$B$2:$Y$301, MATCH(ROUND(MIN(300,MAX(1,D2095)),0), FactorTable!$A$2:$A$301,0), Skills!M14+1)</f>
        <v/>
      </c>
      <c r="F2095">
        <f>IF(Skills!N14=TRUE,(Skills!L14/10)*(E2095/1000),Skills!L14/10)+Skills!O14</f>
        <v/>
      </c>
      <c r="G2095">
        <f>Calc!G14</f>
        <v/>
      </c>
      <c r="H2095">
        <f>Calc!H14</f>
        <v/>
      </c>
      <c r="I2095">
        <f>IF(Skills!AA14&lt;&gt;"",1+(Skills!AA14/10)*(U2084/1000)/100,1)</f>
        <v/>
      </c>
      <c r="J2095">
        <f>((Inputs!$B$6*(1+Inputs!$B$7/100))+(((Inputs!$B$12*(1+Inputs!$B$13/100))-(Inputs!$B$12*(1+Inputs!$B$13/100)))+0.25*(Inputs!$B$14-Inputs!$B$14))*(1+Inputs!$B$7/100))*(F2095/100)</f>
        <v/>
      </c>
      <c r="K2095">
        <f>J2095*(1+((Inputs!$B$12*(1+Inputs!$B$13/100))*0.01+Inputs!$B$14*0.0025)/100)*(1+Inputs!$B$15/100)*(1+Inputs!$B$16/100)*(5000/(6000+Inputs!$B$43*(1-(100*(1-(1-(Inputs!$B$19+0)/100)*(1-CHOOSE(ArtifactsInput!$N$40+1,5,6,7,8,9,10)/100)^(ArtifactsInput!$M$40-ArtifactsInput!$M$40)))/100)))*(1+(Inputs!$B$24+((C2111=TRUE)*(F2111-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2104=TRUE)*(F2104-Calc!F23))+(((IF(AND(ArtifactsInput!$M$42,((Inputs!$B$9+((C2106=TRUE)*(F2106-Calc!F25))+B2121+(ArtifactsInput!$M$24-ArtifactsInput!$M$24)*CHOOSE(ArtifactsInput!$N$24+1,10,12,14,16,18,20)+IF(ArtifactsInput!$M$10,CHOOSE(ArtifactsInput!$N$10+1,15,18,21,24,27,30)*(IF(Inputs!$B$39="pvp",MIN(15,15)/15,IF(AND(Inputs!$B$39&lt;&gt;"pvp",Inputs!$B$44&gt;0),MIN(15,Inputs!$B$44)/(Inputs!$B$44),0))),0)))&gt;=100),MIN(100,((Inputs!$B$9+((C2106=TRUE)*(F2106-Calc!F25))+B2121+(ArtifactsInput!$M$24-ArtifactsInput!$M$24)*CHOOSE(ArtifactsInput!$N$24+1,10,12,14,16,18,20)+IF(ArtifactsInput!$M$10,CHOOSE(ArtifactsInput!$N$10+1,15,18,21,24,27,30)*(IF(Inputs!$B$39="pvp",MIN(15,15)/15,IF(AND(Inputs!$B$39&lt;&gt;"pvp",Inputs!$B$44&gt;0),MIN(15,Inputs!$B$44)/(Inputs!$B$44),0))),0)))-100),0))*CHOOSE(ArtifactsInput!$N$42+1,0.6,0.72,0.84,0.96,1.08,1.2))),Inputs!$B$18+((C2110=TRUE)*(F2110-Calc!F29))+(IF(AND(ArtifactsInput!$M$42,((Inputs!$B$9+((C2106=TRUE)*(F2106-Calc!F25))+B2121+(ArtifactsInput!$M$24-ArtifactsInput!$M$24)*CHOOSE(ArtifactsInput!$N$24+1,10,12,14,16,18,20)+IF(ArtifactsInput!$M$10,CHOOSE(ArtifactsInput!$N$10+1,15,18,21,24,27,30)*(IF(Inputs!$B$39="pvp",MIN(15,15)/15,IF(AND(Inputs!$B$39&lt;&gt;"pvp",Inputs!$B$44&gt;0),MIN(15,Inputs!$B$44)/(Inputs!$B$44),0))),0)))&gt;=100),CHOOSE(ArtifactsInput!$N$42+1,40,48,56,64,72,80),0))))/100)*(((1+(((C2102=TRUE)*F2102*IF(AND(Inputs!$B$39&lt;&gt;"pvp",Inputs!$B$44&gt;0),(((R2102-1)*(Skills!Y21*(1+Inputs!$B$34/100))+MIN((Skills!Y21*(1+Inputs!$B$34/100)),MAX(0,Inputs!$B$44-((R2102-1)*Skills!D21))))/Inputs!$B$44),IF(Inputs!$B$39="pvp",MIN((Skills!Y21*(1+Inputs!$B$34/100)),15)/15,(Skills!Y21*(1+Inputs!$B$34/100))/Skills!D21)))+((C2109=TRUE)*(F2109-Calc!F28))+((C2099=TRUE)*(F2099-Calc!F18))+(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2096=TRUE)*F2096*IF(AND(Inputs!$B$39&lt;&gt;"pvp",Inputs!$B$44&gt;0),(((R2096-1)*(Skills!Y15*(1+Inputs!$B$34/100))+MIN((Skills!Y15*(1+Inputs!$B$34/100)),MAX(0,Inputs!$B$44-((R2096-1)*Skills!D15))))/Inputs!$B$44),IF(Inputs!$B$39="pvp",MIN((Skills!Y15*(1+Inputs!$B$34/100)),15)/15,(Skills!Y15*(1+Inputs!$B$34/100))/Skills!D15)))/100)*(1+((C2087=TRUE)*F2087*B2115)/100))*B2123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2095)</f>
        <v/>
      </c>
      <c r="L2095">
        <f>K2095*(MIN(Inputs!$B$22+((C2105=TRUE)*(F2105-Calc!F24)),(Inputs!$B$23+0+(IF(ArtifactsInput!$M$15,CHOOSE(ArtifactsInput!$N$15+1,25,30,35,40,45,50)/100*(Inputs!$B$11-Inputs!$B$11),0))))/100+(Inputs!$B$23+0+(IF(ArtifactsInput!$M$15,CHOOSE(ArtifactsInput!$N$15+1,25,30,35,40,45,50)/100*(Inputs!$B$11-Inputs!$B$11),0)))/100)/2</f>
        <v/>
      </c>
      <c r="M2095">
        <f>L2095*(1+(Inputs!$B$10+((C2107=TRUE)*(F2107-Calc!F26))+B2124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95">
        <f>L2095*(1-MIN((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2095*(MIN((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95">
        <f>(1-Summary!$B$11)*T2095+Summary!$B$11*V2095</f>
        <v/>
      </c>
      <c r="P2095">
        <f>IF(B2125=0,0,O2095/B2125)</f>
        <v/>
      </c>
      <c r="Q2095">
        <f>IFERROR(1/IF(Inputs!$B$39="pvp",15,MAX(0.1,Skills!D14-IF(Skills!E14=TRUE,Inputs!$B$32,0))),0)</f>
        <v/>
      </c>
      <c r="R2095">
        <f>IF(AND(Inputs!$B$39&lt;&gt;"pvp",Inputs!$B$44&gt;0),IF(MAX(0,Inputs!$B$44-B2126)&lt;=0,0,(INT(MAX(0,Inputs!$B$44-B2126)/IF(Inputs!$B$39="pvp",15,MAX(0.1,Skills!D14-IF(Skills!E14=TRUE,Inputs!$B$32,0))))+1)),0)</f>
        <v/>
      </c>
      <c r="S2095">
        <f>IFERROR(O2095/N2095,0)</f>
        <v/>
      </c>
      <c r="T2095">
        <f>IF(C2095,(H2095*N2095*IF(AND(Inputs!$B$39&lt;&gt;"pvp",Inputs!$B$44&gt;0),((Skills!G14*((R2095-1)*IF(Skills!H14&gt;0,Skills!I14/Skills!H14,1)+IF(Skills!H14&gt;0,MIN(Skills!I14,MAX(0,MAX(0,Inputs!$B$44-B2126)-((R2095-1)*IF(Inputs!$B$39="pvp",15,MAX(0.1,Skills!D14-IF(Skills!E14=TRUE,Inputs!$B$32,0))))))/Skills!H14,1)))/Inputs!$B$44),G2095*Q2095))*IF(Inputs!$B$39="pvp",1,1+(Inputs!$B$20+((C2108=TRUE)*(F2108-Calc!F27))+Skills!P14+B2122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Hunt"),CHOOSE(ArtifactsInput!$N$35+1,15,18,21,24,27,30)*(1-EXP(-(0.2*B2117)*5)),0)+IF(AND(ArtifactsInput!$M$22,Inputs!$B$4&lt;&gt;"Chapter Hunt"),CHOOSE(ArtifactsInput!$N$22+1,10,12,14,16,18,20)*((0*(((0.15*B2117*5))^0/1)+1*(((0.15*B2117*5))^1/1)+2*(((0.15*B2117*5))^2/2)+3*(((0.15*B2117*5))^3/6)+4*(((0.15*B2117*5))^4/24)+5*(((0.15*B2117*5))^5/120))/((((0.15*B2117*5))^0/1)+(((0.15*B2117*5))^1/1)+(((0.15*B2117*5))^2/2)+(((0.15*B2117*5))^3/6)+(((0.15*B2117*5))^4/24)+(((0.15*B2117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2095*(1-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2095*(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2095*(1-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2095*(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95">
        <f>IF(C2095,(H2095*N2095*IF(AND(Inputs!$B$39&lt;&gt;"pvp",Inputs!$B$44&gt;0),((Skills!G14*((R2095-1)*IF(Skills!H14&gt;0,Skills!I14/Skills!H14,1)+IF(Skills!H14&gt;0,MIN(Skills!I14,MAX(0,MAX(0,Inputs!$B$44-B2126)-((R2095-1)*IF(Inputs!$B$39="pvp",15,MAX(0.1,Skills!D14-IF(Skills!E14=TRUE,Inputs!$B$32,0))))))/Skills!H14,1)))/Inputs!$B$44),G2095*Q2095))*IF(Inputs!$B$39="pvp",1,(1+(Inputs!$B$21+Skills!Q14+B2122+(IF(ArtifactsInput!$M$33,CHOOSE(ArtifactsInput!$N$33+1,30,36,42,48,54,60),0))+(IF(AND(ArtifactsInput!$M$35,Inputs!$B$4&lt;&gt;"Chapter Hunt"),CHOOSE(ArtifactsInput!$N$35+1,15,18,21,24,27,30)*(1-EXP(-(0.2*B2117)*5)),0)+IF(AND(ArtifactsInput!$M$22,Inputs!$B$4&lt;&gt;"Chapter Hunt"),CHOOSE(ArtifactsInput!$N$22+1,10,12,14,16,18,20)*((0*(((0.15*B2117*5))^0/1)+1*(((0.15*B2117*5))^1/1)+2*(((0.15*B2117*5))^2/2)+3*(((0.15*B2117*5))^3/6)+4*(((0.15*B2117*5))^4/24)+5*(((0.15*B2117*5))^5/120))/((((0.15*B2117*5))^0/1)+(((0.15*B2117*5))^1/1)+(((0.15*B2117*5))^2/2)+(((0.15*B2117*5))^3/6)+(((0.15*B2117*5))^4/24)+(((0.15*B2117*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96">
      <c r="A2096">
        <f>Skills!A15</f>
        <v/>
      </c>
      <c r="B2096">
        <f>Skills!B15</f>
        <v/>
      </c>
      <c r="C2096">
        <f>Inputs!$B$3&gt;=110</f>
        <v/>
      </c>
      <c r="D2096">
        <f>IF(Skills!C15=1,60+Inputs!$B$25+Inputs!$B$29,IF(Skills!C15=2,90+Inputs!$B$26+Inputs!$B$29,IF(Skills!C15=3,120+Inputs!$B$27+Inputs!$B$29,MAX(0,(Inputs!$B$3-100)*3)+Inputs!$B$28+Inputs!$B$29)))</f>
        <v/>
      </c>
      <c r="E2096">
        <f>INDEX(FactorTable!$B$2:$Y$301, MATCH(ROUND(MIN(300,MAX(1,D2096)),0), FactorTable!$A$2:$A$301,0), Skills!M15+1)</f>
        <v/>
      </c>
      <c r="F2096">
        <f>IF(Skills!N15=TRUE,(Skills!L15/10)*(E2096/1000),Skills!L15/10)+Skills!O15</f>
        <v/>
      </c>
      <c r="G2096">
        <f>Calc!G15</f>
        <v/>
      </c>
      <c r="H2096">
        <f>Calc!H15</f>
        <v/>
      </c>
      <c r="I2096">
        <f>IF(Skills!AA15&lt;&gt;"",1+(Skills!AA15/10)*(U2084/1000)/100,1)</f>
        <v/>
      </c>
      <c r="J2096" t="inlineStr"/>
      <c r="K2096" t="inlineStr"/>
      <c r="L2096" t="inlineStr"/>
      <c r="M2096" t="inlineStr"/>
      <c r="N2096" t="inlineStr"/>
      <c r="O2096">
        <f>(1-Summary!$B$11)*T2096+Summary!$B$11*V2096</f>
        <v/>
      </c>
      <c r="P2096">
        <f>IF(B2125=0,0,O2096/B2125)</f>
        <v/>
      </c>
      <c r="Q2096">
        <f>IFERROR(1/IF(Inputs!$B$39="pvp",15,MAX(0.1,Skills!D15-IF(Skills!E15=TRUE,Inputs!$B$32,0))),0)</f>
        <v/>
      </c>
      <c r="R2096">
        <f>IF(AND(Inputs!$B$39&lt;&gt;"pvp",Inputs!$B$44&gt;0),IF(Inputs!$B$44&lt;=0,0,(INT(Inputs!$B$44/IF(Inputs!$B$39="pvp",15,MAX(0.1,Skills!D15-IF(Skills!E15=TRUE,Inputs!$B$32,0))))+1)),0)</f>
        <v/>
      </c>
      <c r="S2096">
        <f>IFERROR(O2096/N2096,0)</f>
        <v/>
      </c>
      <c r="T2096" t="n">
        <v>0</v>
      </c>
      <c r="V2096" t="n">
        <v>0</v>
      </c>
    </row>
    <row r="2097">
      <c r="A2097">
        <f>Skills!A16</f>
        <v/>
      </c>
      <c r="B2097">
        <f>Skills!B16</f>
        <v/>
      </c>
      <c r="C2097">
        <f>Inputs!$B$3&gt;=110</f>
        <v/>
      </c>
      <c r="D2097">
        <f>IF(Skills!C16=1,60+Inputs!$B$25+Inputs!$B$29,IF(Skills!C16=2,90+Inputs!$B$26+Inputs!$B$29,IF(Skills!C16=3,120+Inputs!$B$27+Inputs!$B$29,MAX(0,(Inputs!$B$3-100)*3)+Inputs!$B$28+Inputs!$B$29)))</f>
        <v/>
      </c>
      <c r="E2097">
        <f>INDEX(FactorTable!$B$2:$Y$301, MATCH(ROUND(MIN(300,MAX(1,D2097)),0), FactorTable!$A$2:$A$301,0), Skills!M16+1)</f>
        <v/>
      </c>
      <c r="F2097">
        <f>IF(Skills!N16=TRUE,(Skills!L16/10)*(E2097/1000),Skills!L16/10)+Skills!O16</f>
        <v/>
      </c>
      <c r="G2097">
        <f>Calc!G16</f>
        <v/>
      </c>
      <c r="H2097">
        <f>Calc!H16</f>
        <v/>
      </c>
      <c r="I2097">
        <f>IF(Skills!AA16&lt;&gt;"",1+(Skills!AA16/10)*(U2084/1000)/100,1)</f>
        <v/>
      </c>
      <c r="J2097" t="inlineStr"/>
      <c r="K2097" t="inlineStr"/>
      <c r="L2097" t="inlineStr"/>
      <c r="M2097" t="inlineStr"/>
      <c r="N2097" t="inlineStr"/>
      <c r="O2097">
        <f>(1-Summary!$B$11)*T2097+Summary!$B$11*V2097</f>
        <v/>
      </c>
      <c r="P2097">
        <f>IF(B2125=0,0,O2097/B2125)</f>
        <v/>
      </c>
      <c r="Q2097">
        <f>IFERROR(1/IF(Inputs!$B$39="pvp",15,MAX(0.1,Skills!D16-IF(Skills!E16=TRUE,Inputs!$B$32,0))),0)</f>
        <v/>
      </c>
      <c r="R2097">
        <f>IF(AND(Inputs!$B$39&lt;&gt;"pvp",Inputs!$B$44&gt;0),IF(Inputs!$B$44&lt;=0,0,(INT(Inputs!$B$44/IF(Inputs!$B$39="pvp",15,MAX(0.1,Skills!D16-IF(Skills!E16=TRUE,Inputs!$B$32,0))))+1)),0)</f>
        <v/>
      </c>
      <c r="S2097">
        <f>IFERROR(O2097/N2097,0)</f>
        <v/>
      </c>
      <c r="T2097" t="n">
        <v>0</v>
      </c>
      <c r="V2097" t="n">
        <v>0</v>
      </c>
    </row>
    <row r="2098">
      <c r="A2098">
        <f>Skills!A17</f>
        <v/>
      </c>
      <c r="B2098">
        <f>Skills!B17</f>
        <v/>
      </c>
      <c r="C2098">
        <f>Inputs!$B$3&gt;=115</f>
        <v/>
      </c>
      <c r="D2098">
        <f>IF(Skills!C17=1,60+Inputs!$B$25+Inputs!$B$29,IF(Skills!C17=2,90+Inputs!$B$26+Inputs!$B$29,IF(Skills!C17=3,120+Inputs!$B$27+Inputs!$B$29,MAX(0,(Inputs!$B$3-100)*3)+Inputs!$B$28+Inputs!$B$29)))</f>
        <v/>
      </c>
      <c r="E2098">
        <f>INDEX(FactorTable!$B$2:$Y$301, MATCH(ROUND(MIN(300,MAX(1,D2098)),0), FactorTable!$A$2:$A$301,0), Skills!M17+1)</f>
        <v/>
      </c>
      <c r="F2098">
        <f>IF(Skills!N17=TRUE,(Skills!L17/10)*(E2098/1000),Skills!L17/10)+Skills!O17</f>
        <v/>
      </c>
      <c r="G2098">
        <f>Calc!G17</f>
        <v/>
      </c>
      <c r="H2098">
        <f>Calc!H17</f>
        <v/>
      </c>
      <c r="I2098">
        <f>IF(Skills!AA17&lt;&gt;"",1+(Skills!AA17/10)*(U2084/1000)/100,1)</f>
        <v/>
      </c>
      <c r="J2098">
        <f>((Inputs!$B$6*(1+Inputs!$B$7/100))+(((Inputs!$B$12*(1+Inputs!$B$13/100))-(Inputs!$B$12*(1+Inputs!$B$13/100)))+0.25*(Inputs!$B$14-Inputs!$B$14))*(1+Inputs!$B$7/100))*(F2098/100)</f>
        <v/>
      </c>
      <c r="K2098">
        <f>J2098*(1+((Inputs!$B$12*(1+Inputs!$B$13/100))*0.01+Inputs!$B$14*0.0025)/100)*(1+Inputs!$B$15/100)*(1+Inputs!$B$16/100)*(5000/(6000+Inputs!$B$43*(1-(100*(1-(1-(Inputs!$B$19+0)/100)*(1-CHOOSE(ArtifactsInput!$N$40+1,5,6,7,8,9,10)/100)^(ArtifactsInput!$M$40-ArtifactsInput!$M$40)))/100)))*(1+(Inputs!$B$24+((C2111=TRUE)*(F2111-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2104=TRUE)*(F2104-Calc!F23))+(((IF(AND(ArtifactsInput!$M$42,((Inputs!$B$9+((C2106=TRUE)*(F2106-Calc!F25))+B2121+(ArtifactsInput!$M$24-ArtifactsInput!$M$24)*CHOOSE(ArtifactsInput!$N$24+1,10,12,14,16,18,20)+IF(ArtifactsInput!$M$10,CHOOSE(ArtifactsInput!$N$10+1,15,18,21,24,27,30)*(IF(Inputs!$B$39="pvp",MIN(15,15)/15,IF(AND(Inputs!$B$39&lt;&gt;"pvp",Inputs!$B$44&gt;0),MIN(15,Inputs!$B$44)/(Inputs!$B$44),0))),0)))&gt;=100),MIN(100,((Inputs!$B$9+((C2106=TRUE)*(F2106-Calc!F25))+B2121+(ArtifactsInput!$M$24-ArtifactsInput!$M$24)*CHOOSE(ArtifactsInput!$N$24+1,10,12,14,16,18,20)+IF(ArtifactsInput!$M$10,CHOOSE(ArtifactsInput!$N$10+1,15,18,21,24,27,30)*(IF(Inputs!$B$39="pvp",MIN(15,15)/15,IF(AND(Inputs!$B$39&lt;&gt;"pvp",Inputs!$B$44&gt;0),MIN(15,Inputs!$B$44)/(Inputs!$B$44),0))),0)))-100),0))*CHOOSE(ArtifactsInput!$N$42+1,0.6,0.72,0.84,0.96,1.08,1.2))),Inputs!$B$18+((C2110=TRUE)*(F2110-Calc!F29))+(IF(AND(ArtifactsInput!$M$42,((Inputs!$B$9+((C2106=TRUE)*(F2106-Calc!F25))+B2121+(ArtifactsInput!$M$24-ArtifactsInput!$M$24)*CHOOSE(ArtifactsInput!$N$24+1,10,12,14,16,18,20)+IF(ArtifactsInput!$M$10,CHOOSE(ArtifactsInput!$N$10+1,15,18,21,24,27,30)*(IF(Inputs!$B$39="pvp",MIN(15,15)/15,IF(AND(Inputs!$B$39&lt;&gt;"pvp",Inputs!$B$44&gt;0),MIN(15,Inputs!$B$44)/(Inputs!$B$44),0))),0)))&gt;=100),CHOOSE(ArtifactsInput!$N$42+1,40,48,56,64,72,80),0))))/100)*(((1+(((C2102=TRUE)*F2102*IF(AND(Inputs!$B$39&lt;&gt;"pvp",Inputs!$B$44&gt;0),(((R2102-1)*(Skills!Y21*(1+Inputs!$B$34/100))+MIN((Skills!Y21*(1+Inputs!$B$34/100)),MAX(0,Inputs!$B$44-((R2102-1)*Skills!D21))))/Inputs!$B$44),IF(Inputs!$B$39="pvp",MIN((Skills!Y21*(1+Inputs!$B$34/100)),15)/15,(Skills!Y21*(1+Inputs!$B$34/100))/Skills!D21)))+((C2109=TRUE)*(F2109-Calc!F28))+((C2099=TRUE)*(F2099-Calc!F18))+(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2096=TRUE)*F2096*IF(AND(Inputs!$B$39&lt;&gt;"pvp",Inputs!$B$44&gt;0),(((R2096-1)*(Skills!Y15*(1+Inputs!$B$34/100))+MIN((Skills!Y15*(1+Inputs!$B$34/100)),MAX(0,Inputs!$B$44-((R2096-1)*Skills!D15))))/Inputs!$B$44),IF(Inputs!$B$39="pvp",MIN((Skills!Y15*(1+Inputs!$B$34/100)),15)/15,(Skills!Y15*(1+Inputs!$B$34/100))/Skills!D15)))/100)*(1+((C2087=TRUE)*F2087*B2115)/100))*B2123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2098)</f>
        <v/>
      </c>
      <c r="L2098">
        <f>K2098*(MIN(Inputs!$B$22+((C2105=TRUE)*(F2105-Calc!F24)),(Inputs!$B$23+0+(IF(ArtifactsInput!$M$15,CHOOSE(ArtifactsInput!$N$15+1,25,30,35,40,45,50)/100*(Inputs!$B$11-Inputs!$B$11),0))))/100+(Inputs!$B$23+0+(IF(ArtifactsInput!$M$15,CHOOSE(ArtifactsInput!$N$15+1,25,30,35,40,45,50)/100*(Inputs!$B$11-Inputs!$B$11),0)))/100)/2</f>
        <v/>
      </c>
      <c r="M2098">
        <f>L2098*(1+(Inputs!$B$10+((C2107=TRUE)*(F2107-Calc!F26))+B2124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98">
        <f>L2098*(1-MIN((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2098*(MIN((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98">
        <f>(1-Summary!$B$11)*T2098+Summary!$B$11*V2098</f>
        <v/>
      </c>
      <c r="P2098">
        <f>IF(B2125=0,0,O2098/B2125)</f>
        <v/>
      </c>
      <c r="Q2098" t="n">
        <v>0</v>
      </c>
      <c r="R2098" t="n">
        <v>0</v>
      </c>
      <c r="S2098">
        <f>IFERROR(O2098/N2098,0)</f>
        <v/>
      </c>
      <c r="T2098">
        <f>IF(C2098,(Inputs!$B$38*0.2*N2098)*IF(Inputs!$B$39="pvp",1,1+(Inputs!$B$20+((C2108=TRUE)*(F2108-Calc!F27))+Skills!P17+B2122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Hunt"),CHOOSE(ArtifactsInput!$N$35+1,15,18,21,24,27,30)*(1-EXP(-(0.2*B2117)*5)),0)+IF(AND(ArtifactsInput!$M$22,Inputs!$B$4&lt;&gt;"Chapter Hunt"),CHOOSE(ArtifactsInput!$N$22+1,10,12,14,16,18,20)*((0*(((0.15*B2117*5))^0/1)+1*(((0.15*B2117*5))^1/1)+2*(((0.15*B2117*5))^2/2)+3*(((0.15*B2117*5))^3/6)+4*(((0.15*B2117*5))^4/24)+5*(((0.15*B2117*5))^5/120))/((((0.15*B2117*5))^0/1)+(((0.15*B2117*5))^1/1)+(((0.15*B2117*5))^2/2)+(((0.15*B2117*5))^3/6)+(((0.15*B2117*5))^4/24)+(((0.15*B2117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2098*(1-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2098*(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2098*(1-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2098*(MIN(100,(Inputs!$B$9+((C2106=TRUE)*(F2106-Calc!F25))+B2121+(ArtifactsInput!$M$24-ArtifactsInput!$M$24)*CHOOSE(ArtifactsInput!$N$24+1,10,12,14,16,18,20)+(IF(AND(ArtifactsInput!$M$42,((Inputs!$B$9+((C2106=TRUE)*(F2106-Calc!F25))+B2121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98">
        <f>IF(C2098,(Inputs!$B$38*0.2*N2098)*IF(Inputs!$B$39="pvp",1,(1+(Inputs!$B$21+Skills!Q17+B2122+(IF(ArtifactsInput!$M$33,CHOOSE(ArtifactsInput!$N$33+1,30,36,42,48,54,60),0))+(IF(AND(ArtifactsInput!$M$35,Inputs!$B$4&lt;&gt;"Chapter Hunt"),CHOOSE(ArtifactsInput!$N$35+1,15,18,21,24,27,30)*(1-EXP(-(0.2*B2117)*5)),0)+IF(AND(ArtifactsInput!$M$22,Inputs!$B$4&lt;&gt;"Chapter Hunt"),CHOOSE(ArtifactsInput!$N$22+1,10,12,14,16,18,20)*((0*(((0.15*B2117*5))^0/1)+1*(((0.15*B2117*5))^1/1)+2*(((0.15*B2117*5))^2/2)+3*(((0.15*B2117*5))^3/6)+4*(((0.15*B2117*5))^4/24)+5*(((0.15*B2117*5))^5/120))/((((0.15*B2117*5))^0/1)+(((0.15*B2117*5))^1/1)+(((0.15*B2117*5))^2/2)+(((0.15*B2117*5))^3/6)+(((0.15*B2117*5))^4/24)+(((0.15*B2117*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99">
      <c r="A2099">
        <f>Skills!A18</f>
        <v/>
      </c>
      <c r="B2099">
        <f>Skills!B18</f>
        <v/>
      </c>
      <c r="C2099">
        <f>Inputs!$B$3&gt;=115</f>
        <v/>
      </c>
      <c r="D2099">
        <f>IF(Skills!C18=1,60+Inputs!$B$25+Inputs!$B$29,IF(Skills!C18=2,90+Inputs!$B$26+Inputs!$B$29,IF(Skills!C18=3,120+Inputs!$B$27+Inputs!$B$29,MAX(0,(Inputs!$B$3-100)*3)+Inputs!$B$28+Inputs!$B$29)))</f>
        <v/>
      </c>
      <c r="E2099">
        <f>INDEX(FactorTable!$B$2:$Y$301, MATCH(ROUND(MIN(300,MAX(1,D2099)),0), FactorTable!$A$2:$A$301,0), Skills!M18+1)</f>
        <v/>
      </c>
      <c r="F2099">
        <f>IF(Skills!N18=TRUE,(Skills!L18/10)*(E2099/1000),Skills!L18/10)+Skills!O18</f>
        <v/>
      </c>
      <c r="G2099">
        <f>Calc!G18</f>
        <v/>
      </c>
      <c r="H2099">
        <f>Calc!H18</f>
        <v/>
      </c>
      <c r="I2099">
        <f>IF(Skills!AA18&lt;&gt;"",1+(Skills!AA18/10)*(U2084/1000)/100,1)</f>
        <v/>
      </c>
      <c r="J2099" t="inlineStr"/>
      <c r="K2099" t="inlineStr"/>
      <c r="L2099" t="inlineStr"/>
      <c r="M2099" t="inlineStr"/>
      <c r="N2099" t="inlineStr"/>
      <c r="O2099">
        <f>(1-Summary!$B$11)*T2099+Summary!$B$11*V2099</f>
        <v/>
      </c>
      <c r="P2099">
        <f>IF(B2125=0,0,O2099/B2125)</f>
        <v/>
      </c>
      <c r="Q2099" t="n">
        <v>0</v>
      </c>
      <c r="R2099" t="n">
        <v>0</v>
      </c>
      <c r="S2099">
        <f>IFERROR(O2099/N2099,0)</f>
        <v/>
      </c>
      <c r="T2099" t="n">
        <v>0</v>
      </c>
      <c r="V2099" t="n">
        <v>0</v>
      </c>
    </row>
    <row r="2100">
      <c r="A2100">
        <f>Skills!A19</f>
        <v/>
      </c>
      <c r="B2100">
        <f>Skills!B19</f>
        <v/>
      </c>
      <c r="C2100">
        <f>TRUE</f>
        <v/>
      </c>
      <c r="D2100">
        <f>IF(Skills!C19=1,60+Inputs!$B$25+Inputs!$B$29,IF(Skills!C19=2,90+Inputs!$B$26+Inputs!$B$29,IF(Skills!C19=3,120+Inputs!$B$27+Inputs!$B$29,MAX(0,(Inputs!$B$3-100)*3)+Inputs!$B$28+Inputs!$B$29)))</f>
        <v/>
      </c>
      <c r="E2100">
        <f>INDEX(FactorTable!$B$2:$Y$301, MATCH(ROUND(MIN(300,MAX(1,D2100)),0), FactorTable!$A$2:$A$301,0), Skills!M19+1)</f>
        <v/>
      </c>
      <c r="F2100">
        <f>IF(Skills!N19=TRUE,(Skills!L19/10)*(E2100/1000),Skills!L19/10)+Skills!O19</f>
        <v/>
      </c>
      <c r="G2100">
        <f>Calc!G19</f>
        <v/>
      </c>
      <c r="H2100">
        <f>Calc!H19</f>
        <v/>
      </c>
      <c r="I2100">
        <f>IF(Skills!AA19&lt;&gt;"",1+(Skills!AA19/10)*(U2084/1000)/100,1)</f>
        <v/>
      </c>
      <c r="J2100" t="inlineStr"/>
      <c r="K2100" t="inlineStr"/>
      <c r="L2100" t="inlineStr"/>
      <c r="M2100" t="inlineStr"/>
      <c r="N2100" t="inlineStr"/>
      <c r="O2100">
        <f>(1-Summary!$B$11)*T2100+Summary!$B$11*V2100</f>
        <v/>
      </c>
      <c r="P2100">
        <f>IF(B2125=0,0,O2100/B2125)</f>
        <v/>
      </c>
      <c r="Q2100">
        <f>IFERROR(1/IF(Inputs!$B$39="pvp",15,MAX(0.1,Skills!D19-IF(Skills!E19=TRUE,Inputs!$B$32,0))),0)</f>
        <v/>
      </c>
      <c r="R2100">
        <f>IF(AND(Inputs!$B$39&lt;&gt;"pvp",Inputs!$B$44&gt;0),IF(Inputs!$B$44&lt;=0,0,(INT(Inputs!$B$44/IF(Inputs!$B$39="pvp",15,MAX(0.1,Skills!D19-IF(Skills!E19=TRUE,Inputs!$B$32,0))))+1)),0)</f>
        <v/>
      </c>
      <c r="S2100">
        <f>IFERROR(O2100/N2100,0)</f>
        <v/>
      </c>
      <c r="T2100" t="n">
        <v>0</v>
      </c>
      <c r="V2100" t="n">
        <v>0</v>
      </c>
    </row>
    <row r="2101">
      <c r="A2101">
        <f>Skills!A20</f>
        <v/>
      </c>
      <c r="B2101">
        <f>Skills!B20</f>
        <v/>
      </c>
      <c r="C2101">
        <f>Inputs!$B$3&gt;=15</f>
        <v/>
      </c>
      <c r="D2101">
        <f>IF(Skills!C20=1,60+Inputs!$B$25+Inputs!$B$29,IF(Skills!C20=2,90+Inputs!$B$26+Inputs!$B$29,IF(Skills!C20=3,120+Inputs!$B$27+Inputs!$B$29,MAX(0,(Inputs!$B$3-100)*3)+Inputs!$B$28+Inputs!$B$29)))</f>
        <v/>
      </c>
      <c r="E2101">
        <f>INDEX(FactorTable!$B$2:$Y$301, MATCH(ROUND(MIN(300,MAX(1,D2101)),0), FactorTable!$A$2:$A$301,0), Skills!M20+1)</f>
        <v/>
      </c>
      <c r="F2101">
        <f>IF(Skills!N20=TRUE,(Skills!L20/10)*(E2101/1000),Skills!L20/10)+Skills!O20</f>
        <v/>
      </c>
      <c r="G2101">
        <f>Calc!G20</f>
        <v/>
      </c>
      <c r="H2101">
        <f>Calc!H20</f>
        <v/>
      </c>
      <c r="I2101">
        <f>IF(Skills!AA20&lt;&gt;"",1+(Skills!AA20/10)*(U2084/1000)/100,1)</f>
        <v/>
      </c>
      <c r="J2101" t="inlineStr"/>
      <c r="K2101" t="inlineStr"/>
      <c r="L2101" t="inlineStr"/>
      <c r="M2101" t="inlineStr"/>
      <c r="N2101" t="inlineStr"/>
      <c r="O2101">
        <f>(1-Summary!$B$11)*T2101+Summary!$B$11*V2101</f>
        <v/>
      </c>
      <c r="P2101">
        <f>IF(B2125=0,0,O2101/B2125)</f>
        <v/>
      </c>
      <c r="Q2101">
        <f>IFERROR(1/IF(Inputs!$B$39="pvp",15,MAX(0.1,Skills!D20-IF(Skills!E20=TRUE,Inputs!$B$32,0))),0)</f>
        <v/>
      </c>
      <c r="R2101">
        <f>IF(AND(Inputs!$B$39&lt;&gt;"pvp",Inputs!$B$44&gt;0),IF(Inputs!$B$44&lt;=0,0,(INT(Inputs!$B$44/IF(Inputs!$B$39="pvp",15,MAX(0.1,Skills!D20-IF(Skills!E20=TRUE,Inputs!$B$32,0))))+1)),0)</f>
        <v/>
      </c>
      <c r="S2101">
        <f>IFERROR(O2101/N2101,0)</f>
        <v/>
      </c>
      <c r="T2101" t="n">
        <v>0</v>
      </c>
      <c r="V2101" t="n">
        <v>0</v>
      </c>
    </row>
    <row r="2102">
      <c r="A2102">
        <f>Skills!A21</f>
        <v/>
      </c>
      <c r="B2102">
        <f>Skills!B21</f>
        <v/>
      </c>
      <c r="C2102">
        <f>Inputs!$B$3&gt;=15</f>
        <v/>
      </c>
      <c r="D2102">
        <f>IF(Skills!C21=1,60+Inputs!$B$25+Inputs!$B$29,IF(Skills!C21=2,90+Inputs!$B$26+Inputs!$B$29,IF(Skills!C21=3,120+Inputs!$B$27+Inputs!$B$29,MAX(0,(Inputs!$B$3-100)*3)+Inputs!$B$28+Inputs!$B$29)))</f>
        <v/>
      </c>
      <c r="E2102">
        <f>INDEX(FactorTable!$B$2:$Y$301, MATCH(ROUND(MIN(300,MAX(1,D2102)),0), FactorTable!$A$2:$A$301,0), Skills!M21+1)</f>
        <v/>
      </c>
      <c r="F2102">
        <f>IF(Skills!N21=TRUE,(Skills!L21/10)*(E2102/1000),Skills!L21/10)+Skills!O21</f>
        <v/>
      </c>
      <c r="G2102">
        <f>Calc!G21</f>
        <v/>
      </c>
      <c r="H2102">
        <f>Calc!H21</f>
        <v/>
      </c>
      <c r="I2102">
        <f>IF(Skills!AA21&lt;&gt;"",1+(Skills!AA21/10)*(U2084/1000)/100,1)</f>
        <v/>
      </c>
      <c r="J2102" t="inlineStr"/>
      <c r="K2102" t="inlineStr"/>
      <c r="L2102" t="inlineStr"/>
      <c r="M2102" t="inlineStr"/>
      <c r="N2102" t="inlineStr"/>
      <c r="O2102">
        <f>(1-Summary!$B$11)*T2102+Summary!$B$11*V2102</f>
        <v/>
      </c>
      <c r="P2102">
        <f>IF(B2125=0,0,O2102/B2125)</f>
        <v/>
      </c>
      <c r="Q2102">
        <f>IFERROR(1/IF(Inputs!$B$39="pvp",15,MAX(0.1,Skills!D21-IF(Skills!E21=TRUE,Inputs!$B$32,0))),0)</f>
        <v/>
      </c>
      <c r="R2102">
        <f>IF(AND(Inputs!$B$39&lt;&gt;"pvp",Inputs!$B$44&gt;0),IF(Inputs!$B$44&lt;=0,0,(INT(Inputs!$B$44/IF(Inputs!$B$39="pvp",15,MAX(0.1,Skills!D21-IF(Skills!E21=TRUE,Inputs!$B$32,0))))+1)),0)</f>
        <v/>
      </c>
      <c r="S2102">
        <f>IFERROR(O2102/N2102,0)</f>
        <v/>
      </c>
      <c r="T2102" t="n">
        <v>0</v>
      </c>
      <c r="V2102" t="n">
        <v>0</v>
      </c>
    </row>
    <row r="2103">
      <c r="A2103">
        <f>Skills!A22</f>
        <v/>
      </c>
      <c r="B2103">
        <f>Skills!B22</f>
        <v/>
      </c>
      <c r="C2103">
        <f>Inputs!$B$3&gt;=33</f>
        <v/>
      </c>
      <c r="D2103">
        <f>IF(Skills!C22=1,60+Inputs!$B$25+Inputs!$B$29,IF(Skills!C22=2,90+Inputs!$B$26+Inputs!$B$29,IF(Skills!C22=3,120+Inputs!$B$27+Inputs!$B$29,MAX(0,(Inputs!$B$3-100)*3)+Inputs!$B$28+Inputs!$B$29)))</f>
        <v/>
      </c>
      <c r="E2103">
        <f>INDEX(FactorTable!$B$2:$Y$301, MATCH(ROUND(MIN(300,MAX(1,D2103)),0), FactorTable!$A$2:$A$301,0), Skills!M22+1)</f>
        <v/>
      </c>
      <c r="F2103">
        <f>IF(Skills!N22=TRUE,(Skills!L22/10)*(E2103/1000),Skills!L22/10)+Skills!O22</f>
        <v/>
      </c>
      <c r="G2103">
        <f>Calc!G22</f>
        <v/>
      </c>
      <c r="H2103">
        <f>Calc!H22</f>
        <v/>
      </c>
      <c r="I2103">
        <f>IF(Skills!AA22&lt;&gt;"",1+(Skills!AA22/10)*(U2084/1000)/100,1)</f>
        <v/>
      </c>
      <c r="J2103" t="inlineStr"/>
      <c r="K2103" t="inlineStr"/>
      <c r="L2103" t="inlineStr"/>
      <c r="M2103" t="inlineStr"/>
      <c r="N2103" t="inlineStr"/>
      <c r="O2103">
        <f>(1-Summary!$B$11)*T2103+Summary!$B$11*V2103</f>
        <v/>
      </c>
      <c r="P2103">
        <f>IF(B2125=0,0,O2103/B2125)</f>
        <v/>
      </c>
      <c r="Q2103" t="n">
        <v>0</v>
      </c>
      <c r="R2103" t="n">
        <v>0</v>
      </c>
      <c r="S2103">
        <f>IFERROR(O2103/N2103,0)</f>
        <v/>
      </c>
      <c r="T2103" t="n">
        <v>0</v>
      </c>
      <c r="V2103" t="n">
        <v>0</v>
      </c>
    </row>
    <row r="2104">
      <c r="A2104">
        <f>Skills!A23</f>
        <v/>
      </c>
      <c r="B2104">
        <f>Skills!B23</f>
        <v/>
      </c>
      <c r="C2104">
        <f>Inputs!$B$3&gt;=38</f>
        <v/>
      </c>
      <c r="D2104">
        <f>IF(Skills!C23=1,60+Inputs!$B$25+Inputs!$B$29,IF(Skills!C23=2,90+Inputs!$B$26+Inputs!$B$29,IF(Skills!C23=3,120+Inputs!$B$27+Inputs!$B$29,MAX(0,(Inputs!$B$3-100)*3)+Inputs!$B$28+Inputs!$B$29)))</f>
        <v/>
      </c>
      <c r="E2104">
        <f>INDEX(FactorTable!$B$2:$Y$301, MATCH(ROUND(MIN(300,MAX(1,D2104)),0), FactorTable!$A$2:$A$301,0), Skills!M23+1)</f>
        <v/>
      </c>
      <c r="F2104">
        <f>IF(Skills!N23=TRUE,(Skills!L23/10)*(E2104/1000),Skills!L23/10)+Skills!O23</f>
        <v/>
      </c>
      <c r="G2104">
        <f>Calc!G23</f>
        <v/>
      </c>
      <c r="H2104">
        <f>Calc!H23</f>
        <v/>
      </c>
      <c r="I2104">
        <f>IF(Skills!AA23&lt;&gt;"",1+(Skills!AA23/10)*(U2084/1000)/100,1)</f>
        <v/>
      </c>
      <c r="J2104" t="inlineStr"/>
      <c r="K2104" t="inlineStr"/>
      <c r="L2104" t="inlineStr"/>
      <c r="M2104" t="inlineStr"/>
      <c r="N2104" t="inlineStr"/>
      <c r="O2104">
        <f>(1-Summary!$B$11)*T2104+Summary!$B$11*V2104</f>
        <v/>
      </c>
      <c r="P2104">
        <f>IF(B2125=0,0,O2104/B2125)</f>
        <v/>
      </c>
      <c r="Q2104" t="n">
        <v>0</v>
      </c>
      <c r="R2104" t="n">
        <v>0</v>
      </c>
      <c r="S2104">
        <f>IFERROR(O2104/N2104,0)</f>
        <v/>
      </c>
      <c r="T2104" t="n">
        <v>0</v>
      </c>
      <c r="V2104" t="n">
        <v>0</v>
      </c>
    </row>
    <row r="2105">
      <c r="A2105">
        <f>Skills!A24</f>
        <v/>
      </c>
      <c r="B2105">
        <f>Skills!B24</f>
        <v/>
      </c>
      <c r="C2105">
        <f>Inputs!$B$3&gt;=40</f>
        <v/>
      </c>
      <c r="D2105">
        <f>IF(Skills!C24=1,60+Inputs!$B$25+Inputs!$B$29,IF(Skills!C24=2,90+Inputs!$B$26+Inputs!$B$29,IF(Skills!C24=3,120+Inputs!$B$27+Inputs!$B$29,MAX(0,(Inputs!$B$3-100)*3)+Inputs!$B$28+Inputs!$B$29)))</f>
        <v/>
      </c>
      <c r="E2105">
        <f>INDEX(FactorTable!$B$2:$Y$301, MATCH(ROUND(MIN(300,MAX(1,D2105)),0), FactorTable!$A$2:$A$301,0), Skills!M24+1)</f>
        <v/>
      </c>
      <c r="F2105">
        <f>IF(Skills!N24=TRUE,(Skills!L24/10)*(E2105/1000),Skills!L24/10)+Skills!O24</f>
        <v/>
      </c>
      <c r="G2105">
        <f>Calc!G24</f>
        <v/>
      </c>
      <c r="H2105">
        <f>Calc!H24</f>
        <v/>
      </c>
      <c r="I2105">
        <f>IF(Skills!AA24&lt;&gt;"",1+(Skills!AA24/10)*(U2084/1000)/100,1)</f>
        <v/>
      </c>
      <c r="J2105" t="inlineStr"/>
      <c r="K2105" t="inlineStr"/>
      <c r="L2105" t="inlineStr"/>
      <c r="M2105" t="inlineStr"/>
      <c r="N2105" t="inlineStr"/>
      <c r="O2105">
        <f>(1-Summary!$B$11)*T2105+Summary!$B$11*V2105</f>
        <v/>
      </c>
      <c r="P2105">
        <f>IF(B2125=0,0,O2105/B2125)</f>
        <v/>
      </c>
      <c r="Q2105" t="n">
        <v>0</v>
      </c>
      <c r="R2105" t="n">
        <v>0</v>
      </c>
      <c r="S2105">
        <f>IFERROR(O2105/N2105,0)</f>
        <v/>
      </c>
      <c r="T2105" t="n">
        <v>0</v>
      </c>
      <c r="V2105" t="n">
        <v>0</v>
      </c>
    </row>
    <row r="2106">
      <c r="A2106">
        <f>Skills!A25</f>
        <v/>
      </c>
      <c r="B2106">
        <f>Skills!B25</f>
        <v/>
      </c>
      <c r="C2106">
        <f>Inputs!$B$3&gt;=45</f>
        <v/>
      </c>
      <c r="D2106">
        <f>IF(Skills!C25=1,60+Inputs!$B$25+Inputs!$B$29,IF(Skills!C25=2,90+Inputs!$B$26+Inputs!$B$29,IF(Skills!C25=3,120+Inputs!$B$27+Inputs!$B$29,MAX(0,(Inputs!$B$3-100)*3)+Inputs!$B$28+Inputs!$B$29)))</f>
        <v/>
      </c>
      <c r="E2106">
        <f>INDEX(FactorTable!$B$2:$Y$301, MATCH(ROUND(MIN(300,MAX(1,D2106)),0), FactorTable!$A$2:$A$301,0), Skills!M25+1)</f>
        <v/>
      </c>
      <c r="F2106">
        <f>IF(Skills!N25=TRUE,(Skills!L25/10)*(E2106/1000),Skills!L25/10)+Skills!O25</f>
        <v/>
      </c>
      <c r="G2106">
        <f>Calc!G25</f>
        <v/>
      </c>
      <c r="H2106">
        <f>Calc!H25</f>
        <v/>
      </c>
      <c r="I2106">
        <f>IF(Skills!AA25&lt;&gt;"",1+(Skills!AA25/10)*(U2084/1000)/100,1)</f>
        <v/>
      </c>
      <c r="J2106" t="inlineStr"/>
      <c r="K2106" t="inlineStr"/>
      <c r="L2106" t="inlineStr"/>
      <c r="M2106" t="inlineStr"/>
      <c r="N2106" t="inlineStr"/>
      <c r="O2106">
        <f>(1-Summary!$B$11)*T2106+Summary!$B$11*V2106</f>
        <v/>
      </c>
      <c r="P2106">
        <f>IF(B2125=0,0,O2106/B2125)</f>
        <v/>
      </c>
      <c r="Q2106" t="n">
        <v>0</v>
      </c>
      <c r="R2106" t="n">
        <v>0</v>
      </c>
      <c r="S2106">
        <f>IFERROR(O2106/N2106,0)</f>
        <v/>
      </c>
      <c r="T2106" t="n">
        <v>0</v>
      </c>
      <c r="V2106" t="n">
        <v>0</v>
      </c>
    </row>
    <row r="2107">
      <c r="A2107">
        <f>Skills!A26</f>
        <v/>
      </c>
      <c r="B2107">
        <f>Skills!B26</f>
        <v/>
      </c>
      <c r="C2107">
        <f>Inputs!$B$3&gt;=45</f>
        <v/>
      </c>
      <c r="D2107">
        <f>IF(Skills!C26=1,60+Inputs!$B$25+Inputs!$B$29,IF(Skills!C26=2,90+Inputs!$B$26+Inputs!$B$29,IF(Skills!C26=3,120+Inputs!$B$27+Inputs!$B$29,MAX(0,(Inputs!$B$3-100)*3)+Inputs!$B$28+Inputs!$B$29)))</f>
        <v/>
      </c>
      <c r="E2107">
        <f>INDEX(FactorTable!$B$2:$Y$301, MATCH(ROUND(MIN(300,MAX(1,D2107)),0), FactorTable!$A$2:$A$301,0), Skills!M26+1)</f>
        <v/>
      </c>
      <c r="F2107">
        <f>IF(Skills!N26=TRUE,(Skills!L26/10)*(E2107/1000),Skills!L26/10)+Skills!O26</f>
        <v/>
      </c>
      <c r="G2107">
        <f>Calc!G26</f>
        <v/>
      </c>
      <c r="H2107">
        <f>Calc!H26</f>
        <v/>
      </c>
      <c r="I2107">
        <f>IF(Skills!AA26&lt;&gt;"",1+(Skills!AA26/10)*(U2084/1000)/100,1)</f>
        <v/>
      </c>
      <c r="J2107" t="inlineStr"/>
      <c r="K2107" t="inlineStr"/>
      <c r="L2107" t="inlineStr"/>
      <c r="M2107" t="inlineStr"/>
      <c r="N2107" t="inlineStr"/>
      <c r="O2107">
        <f>(1-Summary!$B$11)*T2107+Summary!$B$11*V2107</f>
        <v/>
      </c>
      <c r="P2107">
        <f>IF(B2125=0,0,O2107/B2125)</f>
        <v/>
      </c>
      <c r="Q2107" t="n">
        <v>0</v>
      </c>
      <c r="R2107" t="n">
        <v>0</v>
      </c>
      <c r="S2107">
        <f>IFERROR(O2107/N2107,0)</f>
        <v/>
      </c>
      <c r="T2107" t="n">
        <v>0</v>
      </c>
      <c r="V2107" t="n">
        <v>0</v>
      </c>
    </row>
    <row r="2108">
      <c r="A2108">
        <f>Skills!A27</f>
        <v/>
      </c>
      <c r="B2108">
        <f>Skills!B27</f>
        <v/>
      </c>
      <c r="C2108">
        <f>Inputs!$B$3&gt;=72</f>
        <v/>
      </c>
      <c r="D2108">
        <f>IF(Skills!C27=1,60+Inputs!$B$25+Inputs!$B$29,IF(Skills!C27=2,90+Inputs!$B$26+Inputs!$B$29,IF(Skills!C27=3,120+Inputs!$B$27+Inputs!$B$29,MAX(0,(Inputs!$B$3-100)*3)+Inputs!$B$28+Inputs!$B$29)))</f>
        <v/>
      </c>
      <c r="E2108">
        <f>INDEX(FactorTable!$B$2:$Y$301, MATCH(ROUND(MIN(300,MAX(1,D2108)),0), FactorTable!$A$2:$A$301,0), Skills!M27+1)</f>
        <v/>
      </c>
      <c r="F2108">
        <f>IF(Skills!N27=TRUE,(Skills!L27/10)*(E2108/1000),Skills!L27/10)+Skills!O27</f>
        <v/>
      </c>
      <c r="G2108">
        <f>Calc!G27</f>
        <v/>
      </c>
      <c r="H2108">
        <f>Calc!H27</f>
        <v/>
      </c>
      <c r="I2108">
        <f>IF(Skills!AA27&lt;&gt;"",1+(Skills!AA27/10)*(U2084/1000)/100,1)</f>
        <v/>
      </c>
      <c r="J2108" t="inlineStr"/>
      <c r="K2108" t="inlineStr"/>
      <c r="L2108" t="inlineStr"/>
      <c r="M2108" t="inlineStr"/>
      <c r="N2108" t="inlineStr"/>
      <c r="O2108">
        <f>(1-Summary!$B$11)*T2108+Summary!$B$11*V2108</f>
        <v/>
      </c>
      <c r="P2108">
        <f>IF(B2125=0,0,O2108/B2125)</f>
        <v/>
      </c>
      <c r="Q2108" t="n">
        <v>0</v>
      </c>
      <c r="R2108" t="n">
        <v>0</v>
      </c>
      <c r="S2108">
        <f>IFERROR(O2108/N2108,0)</f>
        <v/>
      </c>
      <c r="T2108" t="n">
        <v>0</v>
      </c>
      <c r="V2108" t="n">
        <v>0</v>
      </c>
    </row>
    <row r="2109">
      <c r="A2109">
        <f>Skills!A28</f>
        <v/>
      </c>
      <c r="B2109">
        <f>Skills!B28</f>
        <v/>
      </c>
      <c r="C2109">
        <f>Inputs!$B$3&gt;=75</f>
        <v/>
      </c>
      <c r="D2109">
        <f>IF(Skills!C28=1,60+Inputs!$B$25+Inputs!$B$29,IF(Skills!C28=2,90+Inputs!$B$26+Inputs!$B$29,IF(Skills!C28=3,120+Inputs!$B$27+Inputs!$B$29,MAX(0,(Inputs!$B$3-100)*3)+Inputs!$B$28+Inputs!$B$29)))</f>
        <v/>
      </c>
      <c r="E2109">
        <f>INDEX(FactorTable!$B$2:$Y$301, MATCH(ROUND(MIN(300,MAX(1,D2109)),0), FactorTable!$A$2:$A$301,0), Skills!M28+1)</f>
        <v/>
      </c>
      <c r="F2109">
        <f>IF(Skills!N28=TRUE,(Skills!L28/10)*(E2109/1000),Skills!L28/10)+Skills!O28</f>
        <v/>
      </c>
      <c r="G2109">
        <f>Calc!G28</f>
        <v/>
      </c>
      <c r="H2109">
        <f>Calc!H28</f>
        <v/>
      </c>
      <c r="I2109">
        <f>IF(Skills!AA28&lt;&gt;"",1+(Skills!AA28/10)*(U2084/1000)/100,1)</f>
        <v/>
      </c>
      <c r="J2109" t="inlineStr"/>
      <c r="K2109" t="inlineStr"/>
      <c r="L2109" t="inlineStr"/>
      <c r="M2109" t="inlineStr"/>
      <c r="N2109" t="inlineStr"/>
      <c r="O2109">
        <f>(1-Summary!$B$11)*T2109+Summary!$B$11*V2109</f>
        <v/>
      </c>
      <c r="P2109">
        <f>IF(B2125=0,0,O2109/B2125)</f>
        <v/>
      </c>
      <c r="Q2109" t="n">
        <v>0</v>
      </c>
      <c r="R2109" t="n">
        <v>0</v>
      </c>
      <c r="S2109">
        <f>IFERROR(O2109/N2109,0)</f>
        <v/>
      </c>
      <c r="T2109" t="n">
        <v>0</v>
      </c>
      <c r="V2109" t="n">
        <v>0</v>
      </c>
    </row>
    <row r="2110">
      <c r="A2110">
        <f>Skills!A29</f>
        <v/>
      </c>
      <c r="B2110">
        <f>Skills!B29</f>
        <v/>
      </c>
      <c r="C2110">
        <f>Inputs!$B$3&gt;=120</f>
        <v/>
      </c>
      <c r="D2110">
        <f>IF(Skills!C29=1,60+Inputs!$B$25+Inputs!$B$29,IF(Skills!C29=2,90+Inputs!$B$26+Inputs!$B$29,IF(Skills!C29=3,120+Inputs!$B$27+Inputs!$B$29,MAX(0,(Inputs!$B$3-100)*3)+Inputs!$B$28+Inputs!$B$29)))</f>
        <v/>
      </c>
      <c r="E2110">
        <f>INDEX(FactorTable!$B$2:$Y$301, MATCH(ROUND(MIN(300,MAX(1,D2110)),0), FactorTable!$A$2:$A$301,0), Skills!M29+1)</f>
        <v/>
      </c>
      <c r="F2110">
        <f>IF(Skills!N29=TRUE,(Skills!L29/10)*(E2110/1000),Skills!L29/10)+Skills!O29</f>
        <v/>
      </c>
      <c r="G2110">
        <f>Calc!G29</f>
        <v/>
      </c>
      <c r="H2110">
        <f>Calc!H29</f>
        <v/>
      </c>
      <c r="I2110">
        <f>IF(Skills!AA29&lt;&gt;"",1+(Skills!AA29/10)*(U2084/1000)/100,1)</f>
        <v/>
      </c>
      <c r="J2110" t="inlineStr"/>
      <c r="K2110" t="inlineStr"/>
      <c r="L2110" t="inlineStr"/>
      <c r="M2110" t="inlineStr"/>
      <c r="N2110" t="inlineStr"/>
      <c r="O2110">
        <f>(1-Summary!$B$11)*T2110+Summary!$B$11*V2110</f>
        <v/>
      </c>
      <c r="P2110">
        <f>IF(B2125=0,0,O2110/B2125)</f>
        <v/>
      </c>
      <c r="Q2110" t="n">
        <v>0</v>
      </c>
      <c r="R2110" t="n">
        <v>0</v>
      </c>
      <c r="S2110">
        <f>IFERROR(O2110/N2110,0)</f>
        <v/>
      </c>
      <c r="T2110" t="n">
        <v>0</v>
      </c>
      <c r="V2110" t="n">
        <v>0</v>
      </c>
    </row>
    <row r="2111">
      <c r="A2111">
        <f>Skills!A30</f>
        <v/>
      </c>
      <c r="B2111">
        <f>Skills!B30</f>
        <v/>
      </c>
      <c r="C2111">
        <f>Inputs!$B$3&gt;=125</f>
        <v/>
      </c>
      <c r="D2111">
        <f>IF(Skills!C30=1,60+Inputs!$B$25+Inputs!$B$29,IF(Skills!C30=2,90+Inputs!$B$26+Inputs!$B$29,IF(Skills!C30=3,120+Inputs!$B$27+Inputs!$B$29,MAX(0,(Inputs!$B$3-100)*3)+Inputs!$B$28+Inputs!$B$29)))</f>
        <v/>
      </c>
      <c r="E2111">
        <f>INDEX(FactorTable!$B$2:$Y$301, MATCH(ROUND(MIN(300,MAX(1,D2111)),0), FactorTable!$A$2:$A$301,0), Skills!M30+1)</f>
        <v/>
      </c>
      <c r="F2111">
        <f>IF(Skills!N30=TRUE,(Skills!L30/10)*(E2111/1000),Skills!L30/10)+Skills!O30</f>
        <v/>
      </c>
      <c r="G2111">
        <f>Calc!G30</f>
        <v/>
      </c>
      <c r="H2111">
        <f>Calc!H30</f>
        <v/>
      </c>
      <c r="I2111">
        <f>IF(Skills!AA30&lt;&gt;"",1+(Skills!AA30/10)*(U2084/1000)/100,1)</f>
        <v/>
      </c>
      <c r="J2111" t="inlineStr"/>
      <c r="K2111" t="inlineStr"/>
      <c r="L2111" t="inlineStr"/>
      <c r="M2111" t="inlineStr"/>
      <c r="N2111" t="inlineStr"/>
      <c r="O2111">
        <f>(1-Summary!$B$11)*T2111+Summary!$B$11*V2111</f>
        <v/>
      </c>
      <c r="P2111">
        <f>IF(B2125=0,0,O2111/B2125)</f>
        <v/>
      </c>
      <c r="Q2111" t="n">
        <v>0</v>
      </c>
      <c r="R2111" t="n">
        <v>0</v>
      </c>
      <c r="S2111">
        <f>IFERROR(O2111/N2111,0)</f>
        <v/>
      </c>
      <c r="T2111" t="n">
        <v>0</v>
      </c>
      <c r="V2111" t="n">
        <v>0</v>
      </c>
    </row>
    <row r="2112">
      <c r="A2112">
        <f>Skills!A31</f>
        <v/>
      </c>
      <c r="B2112">
        <f>Skills!B31</f>
        <v/>
      </c>
      <c r="C2112">
        <f>Inputs!$B$3&gt;=107</f>
        <v/>
      </c>
      <c r="D2112">
        <f>IF(Skills!C31=1,60+Inputs!$B$25+Inputs!$B$29,IF(Skills!C31=2,90+Inputs!$B$26+Inputs!$B$29,IF(Skills!C31=3,120+Inputs!$B$27+Inputs!$B$29,MAX(0,(Inputs!$B$3-100)*3)+Inputs!$B$28+Inputs!$B$29)))</f>
        <v/>
      </c>
      <c r="E2112">
        <f>INDEX(FactorTable!$B$2:$Y$301, MATCH(ROUND(MIN(300,MAX(1,D2112)),0), FactorTable!$A$2:$A$301,0), Skills!M31+1)</f>
        <v/>
      </c>
      <c r="F2112">
        <f>IF(Skills!N31=TRUE,(Skills!L31/10)*(E2112/1000),Skills!L31/10)+Skills!O31</f>
        <v/>
      </c>
      <c r="G2112">
        <f>Calc!G31</f>
        <v/>
      </c>
      <c r="H2112">
        <f>Calc!H31</f>
        <v/>
      </c>
      <c r="I2112">
        <f>IF(Skills!AA31&lt;&gt;"",1+(Skills!AA31/10)*(U2084/1000)/100,1)</f>
        <v/>
      </c>
      <c r="J2112" t="inlineStr"/>
      <c r="K2112" t="inlineStr"/>
      <c r="L2112" t="inlineStr"/>
      <c r="M2112" t="inlineStr"/>
      <c r="N2112" t="inlineStr"/>
      <c r="O2112">
        <f>(1-Summary!$B$11)*T2112+Summary!$B$11*V2112</f>
        <v/>
      </c>
      <c r="P2112">
        <f>IF(B2125=0,0,O2112/B2125)</f>
        <v/>
      </c>
      <c r="Q2112" t="n">
        <v>0</v>
      </c>
      <c r="R2112" t="n">
        <v>0</v>
      </c>
      <c r="S2112">
        <f>IFERROR(O2112/N2112,0)</f>
        <v/>
      </c>
      <c r="T2112" t="n">
        <v>0</v>
      </c>
      <c r="V2112" t="n">
        <v>0</v>
      </c>
    </row>
    <row r="2114">
      <c r="A2114" t="inlineStr">
        <is>
          <t>Actions Per Second (pre-Adrenalin)</t>
        </is>
      </c>
      <c r="B2114">
        <f>1+MIN(150,150*(1-(1-(Inputs!$B$11+((C2103=TRUE)*(F2103-Calc!F22))+(ArtifactsInput!$M$15-ArtifactsInput!$M$15)*CHOOSE(ArtifactsInput!$N$15+1,8,9.6,11.2,12.8,14.4,16))/150)*(1-((C2100=TRUE)*F2100*IF(AND(Inputs!$B$39&lt;&gt;"pvp",Inputs!$B$44&gt;0),(((R2100-1)*(Skills!Y19*(1+Inputs!$B$34/100))+MIN((Skills!Y19*(1+Inputs!$B$34/100)),MAX(0,Inputs!$B$44-((R2100-1)*Skills!D19))))/Inputs!$B$44),IF(Inputs!$B$39="pvp",MIN((Skills!Y19*(1+Inputs!$B$34/100)),15)/15,(Skills!Y19*(1+Inputs!$B$34/100))/Skills!D19)))/150)))/100</f>
        <v/>
      </c>
    </row>
    <row r="2115">
      <c r="A2115" t="inlineStr">
        <is>
          <t>Alchemic Adrenaline Uptime</t>
        </is>
      </c>
      <c r="B2115">
        <f>(Skills!Y6*(1+Inputs!$B$34/100))/((Skills!Y6*(1+Inputs!$B$34/100))+(5/B2114))</f>
        <v/>
      </c>
    </row>
    <row r="2116">
      <c r="A2116" t="inlineStr">
        <is>
          <t>Attack Speed Buff Bonus %</t>
        </is>
      </c>
      <c r="B2116">
        <f>((C2100=TRUE)*F2100*IF(AND(Inputs!$B$39&lt;&gt;"pvp",Inputs!$B$44&gt;0),(((R2100-1)*(Skills!Y19*(1+Inputs!$B$34/100))+MIN((Skills!Y19*(1+Inputs!$B$34/100)),MAX(0,Inputs!$B$44-((R2100-1)*Skills!D19))))/Inputs!$B$44),IF(Inputs!$B$39="pvp",MIN((Skills!Y19*(1+Inputs!$B$34/100)),15)/15,(Skills!Y19*(1+Inputs!$B$34/100))/Skills!D19)))+((C2088=TRUE)*F2088*B2115)</f>
        <v/>
      </c>
    </row>
    <row r="2117">
      <c r="A2117" t="inlineStr">
        <is>
          <t>Actions Per Second (final)</t>
        </is>
      </c>
      <c r="B2117">
        <f>1+MIN(150,150*(1-(1-(Inputs!$B$11+((C2103=TRUE)*(F2103-Calc!F22))+(ArtifactsInput!$M$15-ArtifactsInput!$M$15)*CHOOSE(ArtifactsInput!$N$15+1,8,9.6,11.2,12.8,14.4,16))/150)*(1-B2116/150)))/100</f>
        <v/>
      </c>
    </row>
    <row r="2118">
      <c r="A2118" t="inlineStr">
        <is>
          <t>Skill + Buff Cast Rate</t>
        </is>
      </c>
      <c r="B2118">
        <f>IF(AND(Inputs!$B$39&lt;&gt;"pvp",Inputs!$B$44&gt;0),SUMPRODUCT((Skills!E2:E31=TRUE)*(C2083:C2112=TRUE)*R2083:R2112*Skills!F2:F31)/Inputs!$B$44,SUMPRODUCT((Skills!E2:E31=TRUE)*(C2083:C2112=TRUE)*Q2083:Q2112*Skills!F2:F31))</f>
        <v/>
      </c>
    </row>
    <row r="2119">
      <c r="A2119" t="inlineStr">
        <is>
          <t>Showdown Casts Per Second</t>
        </is>
      </c>
      <c r="B2119">
        <f>MAX(0,B2117-B2118)</f>
        <v/>
      </c>
    </row>
    <row r="2120">
      <c r="A2120" t="inlineStr">
        <is>
          <t>Average Buff Multiplier</t>
        </is>
      </c>
      <c r="B2120">
        <f>(1+(((C2102=TRUE)*F2102*IF(AND(Inputs!$B$39&lt;&gt;"pvp",Inputs!$B$44&gt;0),(((R2102-1)*(Skills!Y21*(1+Inputs!$B$34/100))+MIN((Skills!Y21*(1+Inputs!$B$34/100)),MAX(0,Inputs!$B$44-((R2102-1)*Skills!D21))))/Inputs!$B$44),IF(Inputs!$B$39="pvp",MIN((Skills!Y21*(1+Inputs!$B$34/100)),15)/15,(Skills!Y21*(1+Inputs!$B$34/100))/Skills!D21)))+((C2109=TRUE)*(F2109-Calc!F28))+((C2099=TRUE)*(F2099-Calc!F18))+(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2096=TRUE)*F2096*IF(AND(Inputs!$B$39&lt;&gt;"pvp",Inputs!$B$44&gt;0),(((R2096-1)*(Skills!Y15*(1+Inputs!$B$34/100))+MIN((Skills!Y15*(1+Inputs!$B$34/100)),MAX(0,Inputs!$B$44-((R2096-1)*Skills!D15))))/Inputs!$B$44),IF(Inputs!$B$39="pvp",MIN((Skills!Y15*(1+Inputs!$B$34/100)),15)/15,(Skills!Y15*(1+Inputs!$B$34/100))/Skills!D15)))/100)*(1+((C2087=TRUE)*F2087*B2115)/100)</f>
        <v/>
      </c>
    </row>
    <row r="2121">
      <c r="A2121" t="inlineStr">
        <is>
          <t>Global Crit Rate Bonus %</t>
        </is>
      </c>
      <c r="B2121">
        <f>IF(Inputs!$B$3&gt;=47,8,0)+((C2101=TRUE)*F2101*IF(AND(Inputs!$B$39&lt;&gt;"pvp",Inputs!$B$44&gt;0),(((R2101-1)*(Skills!Y20*(1+Inputs!$B$34/100))+MIN((Skills!Y20*(1+Inputs!$B$34/100)),MAX(0,Inputs!$B$44-((R2101-1)*Skills!D20))))/Inputs!$B$44),IF(Inputs!$B$39="pvp",MIN((Skills!Y20*(1+Inputs!$B$34/100)),15)/15,(Skills!Y20*(1+Inputs!$B$34/100))/Skills!D20)))</f>
        <v/>
      </c>
    </row>
    <row r="2122">
      <c r="A2122" t="inlineStr">
        <is>
          <t>Global Monster Damage-Taken Bonus %</t>
        </is>
      </c>
      <c r="B2122">
        <f>IF(Inputs!$B$3&gt;=82,15,0)+((C2097=TRUE)*F2097*IF(AND(Inputs!$B$39&lt;&gt;"pvp",Inputs!$B$44&gt;0),(((R2097-1)*(Skills!Y16*(1+Inputs!$B$34/100))+MIN((Skills!Y16*(1+Inputs!$B$34/100)),MAX(0,Inputs!$B$44-((R2097-1)*Skills!D16))))/Inputs!$B$44),IF(Inputs!$B$39="pvp",MIN((Skills!Y16*(1+Inputs!$B$34/100)),15)/15,(Skills!Y16*(1+Inputs!$B$34/100))/Skills!D16)))</f>
        <v/>
      </c>
    </row>
    <row r="2123">
      <c r="A2123" t="inlineStr">
        <is>
          <t>Shadow Partner Average Multiplier</t>
        </is>
      </c>
      <c r="B2123">
        <f>1+((C2092=TRUE)*F2092*I2092*Skills!J11/100)/100</f>
        <v/>
      </c>
    </row>
    <row r="2124">
      <c r="A2124" t="inlineStr">
        <is>
          <t>Global Critical Damage Bonus % (Frailty Curse Mastery Lv.111)</t>
        </is>
      </c>
      <c r="B2124">
        <f>IF(Inputs!$B$3&gt;=111,30,0)*IF(AND(Inputs!$B$39&lt;&gt;"pvp",Inputs!$B$44&gt;0),(((R2097-1)*(Skills!Y16*(1+Inputs!$B$34/100))+MIN((Skills!Y16*(1+Inputs!$B$34/100)),MAX(0,Inputs!$B$44-((R2097-1)*Skills!D16))))/Inputs!$B$44),IF(Inputs!$B$39="pvp",MIN((Skills!Y16*(1+Inputs!$B$34/100)),15)/15,(Skills!Y16*(1+Inputs!$B$34/100))/Skills!D16))</f>
        <v/>
      </c>
    </row>
    <row r="2125">
      <c r="A2125" s="6" t="inlineStr">
        <is>
          <t>TOTAL DPS</t>
        </is>
      </c>
      <c r="B2125" s="6">
        <f>SUM(O2083:O2112)</f>
        <v/>
      </c>
    </row>
    <row r="2126">
      <c r="A2126" t="inlineStr">
        <is>
          <t>Buff-Casting Startup Delay (s, fixed-duration only)</t>
        </is>
      </c>
      <c r="B2126">
        <f>IF(AND(Inputs!$B$39&lt;&gt;"pvp",Inputs!$B$44&gt;0),SUMPRODUCT((Skills!Y2:Y31&gt;0)*(Skills!E2:E31=TRUE)*(C2083:C2112=TRUE))/B2117,0)</f>
        <v/>
      </c>
    </row>
    <row r="2127">
      <c r="A2127" t="inlineStr">
        <is>
          <t>Boss-Only Total DPS (this block's swept value)</t>
        </is>
      </c>
      <c r="B2127">
        <f>SUM(T2083:T2112)</f>
        <v/>
      </c>
    </row>
    <row r="2128">
      <c r="A2128" t="inlineStr">
        <is>
          <t>Normal-Only Total DPS (this block's swept value)</t>
        </is>
      </c>
      <c r="B2128">
        <f>SUM(V2083:V2112)</f>
        <v/>
      </c>
    </row>
    <row r="2130">
      <c r="A2130" s="6" t="inlineStr">
        <is>
          <t>Stat: Silver Pendant (Equip)</t>
        </is>
      </c>
    </row>
    <row r="2131">
      <c r="A2131" s="5" t="inlineStr">
        <is>
          <t>Key</t>
        </is>
      </c>
      <c r="B2131" s="5" t="inlineStr">
        <is>
          <t>Name</t>
        </is>
      </c>
      <c r="C2131" s="5" t="inlineStr">
        <is>
          <t>Unlocked</t>
        </is>
      </c>
      <c r="D2131" s="5" t="inlineStr">
        <is>
          <t>InputLevel</t>
        </is>
      </c>
      <c r="E2131" s="5" t="inlineStr">
        <is>
          <t>Factor</t>
        </is>
      </c>
      <c r="F2131" s="5" t="inlineStr">
        <is>
          <t>CoefficientPercent</t>
        </is>
      </c>
      <c r="G2131" s="5" t="inlineStr">
        <is>
          <t>EffectiveHits</t>
        </is>
      </c>
      <c r="H2131" s="5" t="inlineStr">
        <is>
          <t>ProcProbability</t>
        </is>
      </c>
      <c r="I2131" s="5" t="inlineStr">
        <is>
          <t>MapleHeroMultiplier</t>
        </is>
      </c>
      <c r="J2131" s="5" t="inlineStr">
        <is>
          <t>BaseDamage</t>
        </is>
      </c>
      <c r="K2131" s="5" t="inlineStr">
        <is>
          <t>BaseHitDamage</t>
        </is>
      </c>
      <c r="L2131" s="5" t="inlineStr">
        <is>
          <t>NonCritAvg</t>
        </is>
      </c>
      <c r="M2131" s="5" t="inlineStr">
        <is>
          <t>CritAvg</t>
        </is>
      </c>
      <c r="N2131" s="5" t="inlineStr">
        <is>
          <t>ExpectedDamage(perHit)</t>
        </is>
      </c>
      <c r="O2131" s="5" t="inlineStr">
        <is>
          <t>DPS</t>
        </is>
      </c>
      <c r="P2131" s="5" t="inlineStr">
        <is>
          <t>% of Total</t>
        </is>
      </c>
      <c r="Q2131" s="5" t="inlineStr">
        <is>
          <t>InvCooldown</t>
        </is>
      </c>
      <c r="R2131" s="5" t="inlineStr">
        <is>
          <t>CastsInFight</t>
        </is>
      </c>
      <c r="S2131" s="5" t="inlineStr">
        <is>
          <t>HitRate(perSec)</t>
        </is>
      </c>
      <c r="U2131" t="inlineStr">
        <is>
          <t>helpers</t>
        </is>
      </c>
    </row>
    <row r="2132">
      <c r="A2132">
        <f>Skills!A2</f>
        <v/>
      </c>
      <c r="B2132">
        <f>Skills!B2</f>
        <v/>
      </c>
      <c r="C2132">
        <f>Inputs!$B$3&gt;=100</f>
        <v/>
      </c>
      <c r="D2132" t="inlineStr"/>
      <c r="E2132" t="inlineStr"/>
      <c r="F2132">
        <f>U2136+Skills!O2</f>
        <v/>
      </c>
      <c r="G2132">
        <f>Calc!G2</f>
        <v/>
      </c>
      <c r="H2132">
        <f>Calc!H2</f>
        <v/>
      </c>
      <c r="I2132">
        <f>IF(Skills!AA2&lt;&gt;"",1+(Skills!AA2/10)*(U2133/1000)/100,1)</f>
        <v/>
      </c>
      <c r="J2132">
        <f>((Inputs!$B$6*(1+Inputs!$B$7/100))+(((Inputs!$B$12*(1+Inputs!$B$13/100))-(Inputs!$B$12*(1+Inputs!$B$13/100)))+0.25*(Inputs!$B$14-Inputs!$B$14))*(1+Inputs!$B$7/100))*(F2132/100)</f>
        <v/>
      </c>
      <c r="K2132">
        <f>J2132*(1+((Inputs!$B$12*(1+Inputs!$B$13/100))*0.01+Inputs!$B$14*0.0025)/100)*(1+Inputs!$B$15/100)*(1+Inputs!$B$16/100)*(5000/(6000+Inputs!$B$43*(1-(100*(1-(1-(Inputs!$B$19+0)/100)*(1-CHOOSE(ArtifactsInput!$N$40+1,5,6,7,8,9,10)/100)^(ArtifactsInput!$M$40-ArtifactsInput!$M$40)))/100)))*(1+(Inputs!$B$24+((C2160=TRUE)*(F2160-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2153=TRUE)*(F2153-Calc!F23))+(((IF(AND(ArtifactsInput!$M$42,((Inputs!$B$9+((C2155=TRUE)*(F2155-Calc!F25))+B2170+(ArtifactsInput!$M$24-ArtifactsInput!$M$24)*CHOOSE(ArtifactsInput!$N$24+1,10,12,14,16,18,20)+IF(ArtifactsInput!$M$10,CHOOSE(ArtifactsInput!$N$10+1,15,18,21,24,27,30)*(IF(Inputs!$B$39="pvp",MIN(15,15)/15,IF(AND(Inputs!$B$39&lt;&gt;"pvp",Inputs!$B$44&gt;0),MIN(15,Inputs!$B$44)/(Inputs!$B$44),0))),0)))&gt;=100),MIN(100,((Inputs!$B$9+((C2155=TRUE)*(F2155-Calc!F25))+B2170+(ArtifactsInput!$M$24-ArtifactsInput!$M$24)*CHOOSE(ArtifactsInput!$N$24+1,10,12,14,16,18,20)+IF(ArtifactsInput!$M$10,CHOOSE(ArtifactsInput!$N$10+1,15,18,21,24,27,30)*(IF(Inputs!$B$39="pvp",MIN(15,15)/15,IF(AND(Inputs!$B$39&lt;&gt;"pvp",Inputs!$B$44&gt;0),MIN(15,Inputs!$B$44)/(Inputs!$B$44),0))),0)))-100),0))*CHOOSE(ArtifactsInput!$N$42+1,0.6,0.72,0.84,0.96,1.08,1.2))),Inputs!$B$18+((C2159=TRUE)*(F2159-Calc!F29))+(IF(AND(ArtifactsInput!$M$42,((Inputs!$B$9+((C2155=TRUE)*(F2155-Calc!F25))+B2170+(ArtifactsInput!$M$24-ArtifactsInput!$M$24)*CHOOSE(ArtifactsInput!$N$24+1,10,12,14,16,18,20)+IF(ArtifactsInput!$M$10,CHOOSE(ArtifactsInput!$N$10+1,15,18,21,24,27,30)*(IF(Inputs!$B$39="pvp",MIN(15,15)/15,IF(AND(Inputs!$B$39&lt;&gt;"pvp",Inputs!$B$44&gt;0),MIN(15,Inputs!$B$44)/(Inputs!$B$44),0))),0)))&gt;=100),CHOOSE(ArtifactsInput!$N$42+1,40,48,56,64,72,80),0))))/100)*(((1+(((C2151=TRUE)*F2151*IF(AND(Inputs!$B$39&lt;&gt;"pvp",Inputs!$B$44&gt;0),(((R2151-1)*(Skills!Y21*(1+Inputs!$B$34/100))+MIN((Skills!Y21*(1+Inputs!$B$34/100)),MAX(0,Inputs!$B$44-((R2151-1)*Skills!D21))))/Inputs!$B$44),IF(Inputs!$B$39="pvp",MIN((Skills!Y21*(1+Inputs!$B$34/100)),15)/15,(Skills!Y21*(1+Inputs!$B$34/100))/Skills!D21)))+((C2158=TRUE)*(F2158-Calc!F28))+((C2148=TRUE)*(F2148-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2145=TRUE)*F2145*IF(AND(Inputs!$B$39&lt;&gt;"pvp",Inputs!$B$44&gt;0),(((R2145-1)*(Skills!Y15*(1+Inputs!$B$34/100))+MIN((Skills!Y15*(1+Inputs!$B$34/100)),MAX(0,Inputs!$B$44-((R2145-1)*Skills!D15))))/Inputs!$B$44),IF(Inputs!$B$39="pvp",MIN((Skills!Y15*(1+Inputs!$B$34/100)),15)/15,(Skills!Y15*(1+Inputs!$B$34/100))/Skills!D15)))/100)*(1+((C2136=TRUE)*F2136*B2164)/100))*B2172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2132)</f>
        <v/>
      </c>
      <c r="L2132">
        <f>K2132*(MIN(Inputs!$B$22+((C2154=TRUE)*(F2154-Calc!F24)),(Inputs!$B$23+0+(IF(ArtifactsInput!$M$15,CHOOSE(ArtifactsInput!$N$15+1,25,30,35,40,45,50)/100*(Inputs!$B$11-Inputs!$B$11),0))))/100+(Inputs!$B$23+0+(IF(ArtifactsInput!$M$15,CHOOSE(ArtifactsInput!$N$15+1,25,30,35,40,45,50)/100*(Inputs!$B$11-Inputs!$B$11),0)))/100)/2</f>
        <v/>
      </c>
      <c r="M2132">
        <f>L2132*(1+(Inputs!$B$10+((C2156=TRUE)*(F2156-Calc!F26))+B2173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32">
        <f>L2132*(1-MIN((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2132*(MIN((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32">
        <f>(1-Summary!$B$11)*T2132+Summary!$B$11*V2132</f>
        <v/>
      </c>
      <c r="P2132">
        <f>IF(B2174=0,0,O2132/B2174)</f>
        <v/>
      </c>
      <c r="Q2132" t="n">
        <v>0</v>
      </c>
      <c r="R2132" t="n">
        <v>0</v>
      </c>
      <c r="S2132">
        <f>IFERROR(O2132/N2132,0)</f>
        <v/>
      </c>
      <c r="T2132">
        <f>IF(C2132,(Skills!G2*N2132*B2168)*IF(Inputs!$B$39="pvp",1,1+(Inputs!$B$20+((C2157=TRUE)*(F2157-Calc!F27))+Skills!P2+B2171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Hunt"),CHOOSE(ArtifactsInput!$N$35+1,15,18,21,24,27,30)*(1-EXP(-(0.2*B2166)*5)),0)+IF(AND(IF(ArtifactsInput!$M$22,FALSE,TRUE),Inputs!$B$4&lt;&gt;"Chapter Hunt"),CHOOSE(ArtifactsInput!$N$22+1,10,12,14,16,18,20)*((0*(((0.15*B2166*5))^0/1)+1*(((0.15*B2166*5))^1/1)+2*(((0.15*B2166*5))^2/2)+3*(((0.15*B2166*5))^3/6)+4*(((0.15*B2166*5))^4/24)+5*(((0.15*B2166*5))^5/120))/((((0.15*B2166*5))^0/1)+(((0.15*B2166*5))^1/1)+(((0.15*B2166*5))^2/2)+(((0.15*B2166*5))^3/6)+(((0.15*B2166*5))^4/24)+(((0.15*B2166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2132*(1-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2132*(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2132*(1-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2132*(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32">
        <f>MAX(0,(Inputs!$B$3-100)*3)+Inputs!$B$28+Inputs!$B$29</f>
        <v/>
      </c>
      <c r="V2132">
        <f>IF(C2132,(Skills!G2*N2132*B2168)*IF(Inputs!$B$39="pvp",1,(1+(Inputs!$B$21+Skills!Q2+B2171+(IF(ArtifactsInput!$M$33,CHOOSE(ArtifactsInput!$N$33+1,30,36,42,48,54,60),0))+(IF(AND(ArtifactsInput!$M$35,Inputs!$B$4&lt;&gt;"Chapter Hunt"),CHOOSE(ArtifactsInput!$N$35+1,15,18,21,24,27,30)*(1-EXP(-(0.2*B2166)*5)),0)+IF(AND(IF(ArtifactsInput!$M$22,FALSE,TRUE),Inputs!$B$4&lt;&gt;"Chapter Hunt"),CHOOSE(ArtifactsInput!$N$22+1,10,12,14,16,18,20)*((0*(((0.15*B2166*5))^0/1)+1*(((0.15*B2166*5))^1/1)+2*(((0.15*B2166*5))^2/2)+3*(((0.15*B2166*5))^3/6)+4*(((0.15*B2166*5))^4/24)+5*(((0.15*B2166*5))^5/120))/((((0.15*B2166*5))^0/1)+(((0.15*B2166*5))^1/1)+(((0.15*B2166*5))^2/2)+(((0.15*B2166*5))^3/6)+(((0.15*B2166*5))^4/24)+(((0.15*B2166*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33">
      <c r="A2133">
        <f>Skills!A3</f>
        <v/>
      </c>
      <c r="B2133">
        <f>Skills!B3</f>
        <v/>
      </c>
      <c r="C2133">
        <f>Inputs!$B$3&gt;=35</f>
        <v/>
      </c>
      <c r="D2133">
        <f>IF(Skills!C3=1,60+Inputs!$B$25+Inputs!$B$29,IF(Skills!C3=2,90+Inputs!$B$26+Inputs!$B$29,IF(Skills!C3=3,120+Inputs!$B$27+Inputs!$B$29,MAX(0,(Inputs!$B$3-100)*3)+Inputs!$B$28+Inputs!$B$29)))</f>
        <v/>
      </c>
      <c r="E2133">
        <f>INDEX(FactorTable!$B$2:$Y$301, MATCH(ROUND(MIN(300,MAX(1,D2133)),0), FactorTable!$A$2:$A$301,0), Skills!M3+1)</f>
        <v/>
      </c>
      <c r="F2133">
        <f>IF(Skills!N3=TRUE,(Skills!L3/10)*(E2133/1000),Skills!L3/10)+Skills!O3</f>
        <v/>
      </c>
      <c r="G2133">
        <f>Calc!G3</f>
        <v/>
      </c>
      <c r="H2133">
        <f>Calc!H3</f>
        <v/>
      </c>
      <c r="I2133">
        <f>IF(Skills!AA3&lt;&gt;"",1+(Skills!AA3/10)*(U2133/1000)/100,1)</f>
        <v/>
      </c>
      <c r="J2133">
        <f>((Inputs!$B$6*(1+Inputs!$B$7/100))+(((Inputs!$B$12*(1+Inputs!$B$13/100))-(Inputs!$B$12*(1+Inputs!$B$13/100)))+0.25*(Inputs!$B$14-Inputs!$B$14))*(1+Inputs!$B$7/100))*(F2133/100)</f>
        <v/>
      </c>
      <c r="K2133">
        <f>J2133*(1+((Inputs!$B$12*(1+Inputs!$B$13/100))*0.01+Inputs!$B$14*0.0025)/100)*(1+Inputs!$B$15/100)*(1+Inputs!$B$16/100)*(5000/(6000+Inputs!$B$43*(1-(100*(1-(1-(Inputs!$B$19+0)/100)*(1-CHOOSE(ArtifactsInput!$N$40+1,5,6,7,8,9,10)/100)^(ArtifactsInput!$M$40-ArtifactsInput!$M$40)))/100)))*(1+(Inputs!$B$24+((C2160=TRUE)*(F2160-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2153=TRUE)*(F2153-Calc!F23))+(((IF(AND(ArtifactsInput!$M$42,((Inputs!$B$9+((C2155=TRUE)*(F2155-Calc!F25))+B2170+(ArtifactsInput!$M$24-ArtifactsInput!$M$24)*CHOOSE(ArtifactsInput!$N$24+1,10,12,14,16,18,20)+IF(ArtifactsInput!$M$10,CHOOSE(ArtifactsInput!$N$10+1,15,18,21,24,27,30)*(IF(Inputs!$B$39="pvp",MIN(15,15)/15,IF(AND(Inputs!$B$39&lt;&gt;"pvp",Inputs!$B$44&gt;0),MIN(15,Inputs!$B$44)/(Inputs!$B$44),0))),0)))&gt;=100),MIN(100,((Inputs!$B$9+((C2155=TRUE)*(F2155-Calc!F25))+B2170+(ArtifactsInput!$M$24-ArtifactsInput!$M$24)*CHOOSE(ArtifactsInput!$N$24+1,10,12,14,16,18,20)+IF(ArtifactsInput!$M$10,CHOOSE(ArtifactsInput!$N$10+1,15,18,21,24,27,30)*(IF(Inputs!$B$39="pvp",MIN(15,15)/15,IF(AND(Inputs!$B$39&lt;&gt;"pvp",Inputs!$B$44&gt;0),MIN(15,Inputs!$B$44)/(Inputs!$B$44),0))),0)))-100),0))*CHOOSE(ArtifactsInput!$N$42+1,0.6,0.72,0.84,0.96,1.08,1.2))),Inputs!$B$18+((C2159=TRUE)*(F2159-Calc!F29))+(IF(AND(ArtifactsInput!$M$42,((Inputs!$B$9+((C2155=TRUE)*(F2155-Calc!F25))+B2170+(ArtifactsInput!$M$24-ArtifactsInput!$M$24)*CHOOSE(ArtifactsInput!$N$24+1,10,12,14,16,18,20)+IF(ArtifactsInput!$M$10,CHOOSE(ArtifactsInput!$N$10+1,15,18,21,24,27,30)*(IF(Inputs!$B$39="pvp",MIN(15,15)/15,IF(AND(Inputs!$B$39&lt;&gt;"pvp",Inputs!$B$44&gt;0),MIN(15,Inputs!$B$44)/(Inputs!$B$44),0))),0)))&gt;=100),CHOOSE(ArtifactsInput!$N$42+1,40,48,56,64,72,80),0))))/100)*(((1+(((C2151=TRUE)*F2151*IF(AND(Inputs!$B$39&lt;&gt;"pvp",Inputs!$B$44&gt;0),(((R2151-1)*(Skills!Y21*(1+Inputs!$B$34/100))+MIN((Skills!Y21*(1+Inputs!$B$34/100)),MAX(0,Inputs!$B$44-((R2151-1)*Skills!D21))))/Inputs!$B$44),IF(Inputs!$B$39="pvp",MIN((Skills!Y21*(1+Inputs!$B$34/100)),15)/15,(Skills!Y21*(1+Inputs!$B$34/100))/Skills!D21)))+((C2158=TRUE)*(F2158-Calc!F28))+((C2148=TRUE)*(F2148-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2145=TRUE)*F2145*IF(AND(Inputs!$B$39&lt;&gt;"pvp",Inputs!$B$44&gt;0),(((R2145-1)*(Skills!Y15*(1+Inputs!$B$34/100))+MIN((Skills!Y15*(1+Inputs!$B$34/100)),MAX(0,Inputs!$B$44-((R2145-1)*Skills!D15))))/Inputs!$B$44),IF(Inputs!$B$39="pvp",MIN((Skills!Y15*(1+Inputs!$B$34/100)),15)/15,(Skills!Y15*(1+Inputs!$B$34/100))/Skills!D15)))/100)*(1+((C2136=TRUE)*F2136*B2164)/100))*B2172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2133)</f>
        <v/>
      </c>
      <c r="L2133">
        <f>K2133*(MIN(Inputs!$B$22+((C2154=TRUE)*(F2154-Calc!F24)),(Inputs!$B$23+0+(IF(ArtifactsInput!$M$15,CHOOSE(ArtifactsInput!$N$15+1,25,30,35,40,45,50)/100*(Inputs!$B$11-Inputs!$B$11),0))))/100+(Inputs!$B$23+0+(IF(ArtifactsInput!$M$15,CHOOSE(ArtifactsInput!$N$15+1,25,30,35,40,45,50)/100*(Inputs!$B$11-Inputs!$B$11),0)))/100)/2</f>
        <v/>
      </c>
      <c r="M2133">
        <f>L2133*(1+(Inputs!$B$10+((C2156=TRUE)*(F2156-Calc!F26))+B2173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33">
        <f>L2133*(1-MIN((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2133*(MIN((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33">
        <f>(1-Summary!$B$11)*T2133+Summary!$B$11*V2133</f>
        <v/>
      </c>
      <c r="P2133">
        <f>IF(B2174=0,0,O2133/B2174)</f>
        <v/>
      </c>
      <c r="Q2133">
        <f>IFERROR(1/IF(Inputs!$B$39="pvp",15,MAX(0.1,Skills!D3-IF(Skills!E3=TRUE,Inputs!$B$32,0))),0)</f>
        <v/>
      </c>
      <c r="R2133">
        <f>IF(AND(Inputs!$B$39&lt;&gt;"pvp",Inputs!$B$44&gt;0),IF(MAX(0,Inputs!$B$44-B2175)&lt;=0,0,(INT(MAX(0,Inputs!$B$44-B2175)/IF(Inputs!$B$39="pvp",15,MAX(0.1,Skills!D3-IF(Skills!E3=TRUE,Inputs!$B$32,0))))+1)),0)</f>
        <v/>
      </c>
      <c r="S2133">
        <f>IFERROR(O2133/N2133,0)</f>
        <v/>
      </c>
      <c r="T2133">
        <f>IF(C2133,(H2133*N2133*IF(AND(Inputs!$B$39&lt;&gt;"pvp",Inputs!$B$44&gt;0),((Skills!G3*((R2133-1)*IF(Skills!H3&gt;0,Skills!I3/Skills!H3,1)+IF(Skills!H3&gt;0,MIN(Skills!I3,MAX(0,MAX(0,Inputs!$B$44-B2175)-((R2133-1)*IF(Inputs!$B$39="pvp",15,MAX(0.1,Skills!D3-IF(Skills!E3=TRUE,Inputs!$B$32,0))))))/Skills!H3,1)))/Inputs!$B$44),G2133*Q2133))*IF(Inputs!$B$39="pvp",1,1+(Inputs!$B$20+((C2157=TRUE)*(F2157-Calc!F27))+Skills!P3+B2171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Hunt"),CHOOSE(ArtifactsInput!$N$35+1,15,18,21,24,27,30)*(1-EXP(-(0.2*B2166)*5)),0)+IF(AND(IF(ArtifactsInput!$M$22,FALSE,TRUE),Inputs!$B$4&lt;&gt;"Chapter Hunt"),CHOOSE(ArtifactsInput!$N$22+1,10,12,14,16,18,20)*((0*(((0.15*B2166*5))^0/1)+1*(((0.15*B2166*5))^1/1)+2*(((0.15*B2166*5))^2/2)+3*(((0.15*B2166*5))^3/6)+4*(((0.15*B2166*5))^4/24)+5*(((0.15*B2166*5))^5/120))/((((0.15*B2166*5))^0/1)+(((0.15*B2166*5))^1/1)+(((0.15*B2166*5))^2/2)+(((0.15*B2166*5))^3/6)+(((0.15*B2166*5))^4/24)+(((0.15*B2166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2133*(1-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2133*(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2133*(1-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2133*(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33">
        <f>INDEX(FactorTable!$B$2:$Y$301, MATCH(ROUND(MIN(300,MAX(1,U2132)),0), FactorTable!$A$2:$A$301,0), 24)</f>
        <v/>
      </c>
      <c r="V2133">
        <f>IF(C2133,(H2133*N2133*IF(AND(Inputs!$B$39&lt;&gt;"pvp",Inputs!$B$44&gt;0),((Skills!G3*((R2133-1)*IF(Skills!H3&gt;0,Skills!I3/Skills!H3,1)+IF(Skills!H3&gt;0,MIN(Skills!I3,MAX(0,MAX(0,Inputs!$B$44-B2175)-((R2133-1)*IF(Inputs!$B$39="pvp",15,MAX(0.1,Skills!D3-IF(Skills!E3=TRUE,Inputs!$B$32,0))))))/Skills!H3,1)))/Inputs!$B$44),G2133*Q2133))*IF(Inputs!$B$39="pvp",1,(1+(Inputs!$B$21+Skills!Q3+B2171+(IF(ArtifactsInput!$M$33,CHOOSE(ArtifactsInput!$N$33+1,30,36,42,48,54,60),0))+(IF(AND(ArtifactsInput!$M$35,Inputs!$B$4&lt;&gt;"Chapter Hunt"),CHOOSE(ArtifactsInput!$N$35+1,15,18,21,24,27,30)*(1-EXP(-(0.2*B2166)*5)),0)+IF(AND(IF(ArtifactsInput!$M$22,FALSE,TRUE),Inputs!$B$4&lt;&gt;"Chapter Hunt"),CHOOSE(ArtifactsInput!$N$22+1,10,12,14,16,18,20)*((0*(((0.15*B2166*5))^0/1)+1*(((0.15*B2166*5))^1/1)+2*(((0.15*B2166*5))^2/2)+3*(((0.15*B2166*5))^3/6)+4*(((0.15*B2166*5))^4/24)+5*(((0.15*B2166*5))^5/120))/((((0.15*B2166*5))^0/1)+(((0.15*B2166*5))^1/1)+(((0.15*B2166*5))^2/2)+(((0.15*B2166*5))^3/6)+(((0.15*B2166*5))^4/24)+(((0.15*B2166*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34">
      <c r="A2134">
        <f>Skills!A4</f>
        <v/>
      </c>
      <c r="B2134">
        <f>Skills!B4</f>
        <v/>
      </c>
      <c r="C2134">
        <f>Inputs!$B$3&gt;=40</f>
        <v/>
      </c>
      <c r="D2134">
        <f>IF(Skills!C4=1,60+Inputs!$B$25+Inputs!$B$29,IF(Skills!C4=2,90+Inputs!$B$26+Inputs!$B$29,IF(Skills!C4=3,120+Inputs!$B$27+Inputs!$B$29,MAX(0,(Inputs!$B$3-100)*3)+Inputs!$B$28+Inputs!$B$29)))</f>
        <v/>
      </c>
      <c r="E2134">
        <f>INDEX(FactorTable!$B$2:$Y$301, MATCH(ROUND(MIN(300,MAX(1,D2134)),0), FactorTable!$A$2:$A$301,0), Skills!M4+1)</f>
        <v/>
      </c>
      <c r="F2134">
        <f>IF(Skills!N4=TRUE,(Skills!L4/10)*(E2134/1000),Skills!L4/10)+Skills!O4</f>
        <v/>
      </c>
      <c r="G2134">
        <f>Calc!G4</f>
        <v/>
      </c>
      <c r="H2134">
        <f>Calc!H4</f>
        <v/>
      </c>
      <c r="I2134">
        <f>IF(Skills!AA4&lt;&gt;"",1+(Skills!AA4/10)*(U2133/1000)/100,1)</f>
        <v/>
      </c>
      <c r="J2134">
        <f>((Inputs!$B$6*(1+Inputs!$B$7/100))+(((Inputs!$B$12*(1+Inputs!$B$13/100))-(Inputs!$B$12*(1+Inputs!$B$13/100)))+0.25*(Inputs!$B$14-Inputs!$B$14))*(1+Inputs!$B$7/100))*(F2134/100)</f>
        <v/>
      </c>
      <c r="K2134">
        <f>J2134*(1+((Inputs!$B$12*(1+Inputs!$B$13/100))*0.01+Inputs!$B$14*0.0025)/100)*(1+Inputs!$B$15/100)*(1+Inputs!$B$16/100)*(5000/(6000+Inputs!$B$43*(1-(100*(1-(1-(Inputs!$B$19+0)/100)*(1-CHOOSE(ArtifactsInput!$N$40+1,5,6,7,8,9,10)/100)^(ArtifactsInput!$M$40-ArtifactsInput!$M$40)))/100)))*(1+(Inputs!$B$24+((C2160=TRUE)*(F2160-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2153=TRUE)*(F2153-Calc!F23))+(((IF(AND(ArtifactsInput!$M$42,((Inputs!$B$9+((C2155=TRUE)*(F2155-Calc!F25))+B2170+(ArtifactsInput!$M$24-ArtifactsInput!$M$24)*CHOOSE(ArtifactsInput!$N$24+1,10,12,14,16,18,20)+IF(ArtifactsInput!$M$10,CHOOSE(ArtifactsInput!$N$10+1,15,18,21,24,27,30)*(IF(Inputs!$B$39="pvp",MIN(15,15)/15,IF(AND(Inputs!$B$39&lt;&gt;"pvp",Inputs!$B$44&gt;0),MIN(15,Inputs!$B$44)/(Inputs!$B$44),0))),0)))&gt;=100),MIN(100,((Inputs!$B$9+((C2155=TRUE)*(F2155-Calc!F25))+B2170+(ArtifactsInput!$M$24-ArtifactsInput!$M$24)*CHOOSE(ArtifactsInput!$N$24+1,10,12,14,16,18,20)+IF(ArtifactsInput!$M$10,CHOOSE(ArtifactsInput!$N$10+1,15,18,21,24,27,30)*(IF(Inputs!$B$39="pvp",MIN(15,15)/15,IF(AND(Inputs!$B$39&lt;&gt;"pvp",Inputs!$B$44&gt;0),MIN(15,Inputs!$B$44)/(Inputs!$B$44),0))),0)))-100),0))*CHOOSE(ArtifactsInput!$N$42+1,0.6,0.72,0.84,0.96,1.08,1.2))),Inputs!$B$18+((C2159=TRUE)*(F2159-Calc!F29))+(IF(AND(ArtifactsInput!$M$42,((Inputs!$B$9+((C2155=TRUE)*(F2155-Calc!F25))+B2170+(ArtifactsInput!$M$24-ArtifactsInput!$M$24)*CHOOSE(ArtifactsInput!$N$24+1,10,12,14,16,18,20)+IF(ArtifactsInput!$M$10,CHOOSE(ArtifactsInput!$N$10+1,15,18,21,24,27,30)*(IF(Inputs!$B$39="pvp",MIN(15,15)/15,IF(AND(Inputs!$B$39&lt;&gt;"pvp",Inputs!$B$44&gt;0),MIN(15,Inputs!$B$44)/(Inputs!$B$44),0))),0)))&gt;=100),CHOOSE(ArtifactsInput!$N$42+1,40,48,56,64,72,80),0))))/100)*(((1+(((C2151=TRUE)*F2151*IF(AND(Inputs!$B$39&lt;&gt;"pvp",Inputs!$B$44&gt;0),(((R2151-1)*(Skills!Y21*(1+Inputs!$B$34/100))+MIN((Skills!Y21*(1+Inputs!$B$34/100)),MAX(0,Inputs!$B$44-((R2151-1)*Skills!D21))))/Inputs!$B$44),IF(Inputs!$B$39="pvp",MIN((Skills!Y21*(1+Inputs!$B$34/100)),15)/15,(Skills!Y21*(1+Inputs!$B$34/100))/Skills!D21)))+((C2158=TRUE)*(F2158-Calc!F28))+((C2148=TRUE)*(F2148-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2145=TRUE)*F2145*IF(AND(Inputs!$B$39&lt;&gt;"pvp",Inputs!$B$44&gt;0),(((R2145-1)*(Skills!Y15*(1+Inputs!$B$34/100))+MIN((Skills!Y15*(1+Inputs!$B$34/100)),MAX(0,Inputs!$B$44-((R2145-1)*Skills!D15))))/Inputs!$B$44),IF(Inputs!$B$39="pvp",MIN((Skills!Y15*(1+Inputs!$B$34/100)),15)/15,(Skills!Y15*(1+Inputs!$B$34/100))/Skills!D15)))/100)*(1+((C2136=TRUE)*F2136*B2164)/100))*B2172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2134)</f>
        <v/>
      </c>
      <c r="L2134">
        <f>K2134*(MIN(Inputs!$B$22+((C2154=TRUE)*(F2154-Calc!F24)),(Inputs!$B$23+0+(IF(ArtifactsInput!$M$15,CHOOSE(ArtifactsInput!$N$15+1,25,30,35,40,45,50)/100*(Inputs!$B$11-Inputs!$B$11),0))))/100+(Inputs!$B$23+0+(IF(ArtifactsInput!$M$15,CHOOSE(ArtifactsInput!$N$15+1,25,30,35,40,45,50)/100*(Inputs!$B$11-Inputs!$B$11),0)))/100)/2</f>
        <v/>
      </c>
      <c r="M2134">
        <f>L2134*(1+(Inputs!$B$10+((C2156=TRUE)*(F2156-Calc!F26))+B2173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34">
        <f>L2134*(1-MIN((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2134*(MIN((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34">
        <f>(1-Summary!$B$11)*T2134+Summary!$B$11*V2134</f>
        <v/>
      </c>
      <c r="P2134">
        <f>IF(B2174=0,0,O2134/B2174)</f>
        <v/>
      </c>
      <c r="Q2134">
        <f>IFERROR(1/IF(Inputs!$B$39="pvp",15,MAX(0.1,Skills!D4-IF(Skills!E4=TRUE,Inputs!$B$32,0))),0)</f>
        <v/>
      </c>
      <c r="R2134">
        <f>IF(AND(Inputs!$B$39&lt;&gt;"pvp",Inputs!$B$44&gt;0),IF(MAX(0,Inputs!$B$44-B2175)&lt;=0,0,(INT(MAX(0,Inputs!$B$44-B2175)/IF(Inputs!$B$39="pvp",15,MAX(0.1,Skills!D4-IF(Skills!E4=TRUE,Inputs!$B$32,0))))+1)),0)</f>
        <v/>
      </c>
      <c r="S2134">
        <f>IFERROR(O2134/N2134,0)</f>
        <v/>
      </c>
      <c r="T2134">
        <f>IF(C2134,(H2134*N2134*IF(AND(Inputs!$B$39&lt;&gt;"pvp",Inputs!$B$44&gt;0),((Skills!G4*((R2134-1)*IF(Skills!H4&gt;0,Skills!I4/Skills!H4,1)+IF(Skills!H4&gt;0,MIN(Skills!I4,MAX(0,MAX(0,Inputs!$B$44-B2175)-((R2134-1)*IF(Inputs!$B$39="pvp",15,MAX(0.1,Skills!D4-IF(Skills!E4=TRUE,Inputs!$B$32,0))))))/Skills!H4,1)))/Inputs!$B$44),G2134*Q2134))*IF(Inputs!$B$39="pvp",1,1+(Inputs!$B$20+((C2157=TRUE)*(F2157-Calc!F27))+Skills!P4+B2171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Hunt"),CHOOSE(ArtifactsInput!$N$35+1,15,18,21,24,27,30)*(1-EXP(-(0.2*B2166)*5)),0)+IF(AND(IF(ArtifactsInput!$M$22,FALSE,TRUE),Inputs!$B$4&lt;&gt;"Chapter Hunt"),CHOOSE(ArtifactsInput!$N$22+1,10,12,14,16,18,20)*((0*(((0.15*B2166*5))^0/1)+1*(((0.15*B2166*5))^1/1)+2*(((0.15*B2166*5))^2/2)+3*(((0.15*B2166*5))^3/6)+4*(((0.15*B2166*5))^4/24)+5*(((0.15*B2166*5))^5/120))/((((0.15*B2166*5))^0/1)+(((0.15*B2166*5))^1/1)+(((0.15*B2166*5))^2/2)+(((0.15*B2166*5))^3/6)+(((0.15*B2166*5))^4/24)+(((0.15*B2166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2134*(1-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2134*(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2134*(1-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2134*(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34">
        <f>MAX(0,(Inputs!$B$3-100)*3)+Inputs!$B$28+Inputs!$B$29</f>
        <v/>
      </c>
      <c r="V2134">
        <f>IF(C2134,(H2134*N2134*IF(AND(Inputs!$B$39&lt;&gt;"pvp",Inputs!$B$44&gt;0),((Skills!G4*((R2134-1)*IF(Skills!H4&gt;0,Skills!I4/Skills!H4,1)+IF(Skills!H4&gt;0,MIN(Skills!I4,MAX(0,MAX(0,Inputs!$B$44-B2175)-((R2134-1)*IF(Inputs!$B$39="pvp",15,MAX(0.1,Skills!D4-IF(Skills!E4=TRUE,Inputs!$B$32,0))))))/Skills!H4,1)))/Inputs!$B$44),G2134*Q2134))*IF(Inputs!$B$39="pvp",1,(1+(Inputs!$B$21+Skills!Q4+B2171+(IF(ArtifactsInput!$M$33,CHOOSE(ArtifactsInput!$N$33+1,30,36,42,48,54,60),0))+(IF(AND(ArtifactsInput!$M$35,Inputs!$B$4&lt;&gt;"Chapter Hunt"),CHOOSE(ArtifactsInput!$N$35+1,15,18,21,24,27,30)*(1-EXP(-(0.2*B2166)*5)),0)+IF(AND(IF(ArtifactsInput!$M$22,FALSE,TRUE),Inputs!$B$4&lt;&gt;"Chapter Hunt"),CHOOSE(ArtifactsInput!$N$22+1,10,12,14,16,18,20)*((0*(((0.15*B2166*5))^0/1)+1*(((0.15*B2166*5))^1/1)+2*(((0.15*B2166*5))^2/2)+3*(((0.15*B2166*5))^3/6)+4*(((0.15*B2166*5))^4/24)+5*(((0.15*B2166*5))^5/120))/((((0.15*B2166*5))^0/1)+(((0.15*B2166*5))^1/1)+(((0.15*B2166*5))^2/2)+(((0.15*B2166*5))^3/6)+(((0.15*B2166*5))^4/24)+(((0.15*B2166*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35">
      <c r="A2135">
        <f>Skills!A5</f>
        <v/>
      </c>
      <c r="B2135">
        <f>Skills!B5</f>
        <v/>
      </c>
      <c r="C2135">
        <f>Inputs!$B$3&gt;=63</f>
        <v/>
      </c>
      <c r="D2135">
        <f>IF(Skills!C5=1,60+Inputs!$B$25+Inputs!$B$29,IF(Skills!C5=2,90+Inputs!$B$26+Inputs!$B$29,IF(Skills!C5=3,120+Inputs!$B$27+Inputs!$B$29,MAX(0,(Inputs!$B$3-100)*3)+Inputs!$B$28+Inputs!$B$29)))</f>
        <v/>
      </c>
      <c r="E2135">
        <f>INDEX(FactorTable!$B$2:$Y$301, MATCH(ROUND(MIN(300,MAX(1,D2135)),0), FactorTable!$A$2:$A$301,0), Skills!M5+1)</f>
        <v/>
      </c>
      <c r="F2135">
        <f>IF(Skills!N5=TRUE,(Skills!L5/10)*(E2135/1000),Skills!L5/10)+Skills!O5</f>
        <v/>
      </c>
      <c r="G2135">
        <f>Calc!G5</f>
        <v/>
      </c>
      <c r="H2135">
        <f>Calc!H5</f>
        <v/>
      </c>
      <c r="I2135">
        <f>IF(Skills!AA5&lt;&gt;"",1+(Skills!AA5/10)*(U2133/1000)/100,1)</f>
        <v/>
      </c>
      <c r="J2135">
        <f>((Inputs!$B$6*(1+Inputs!$B$7/100))+(((Inputs!$B$12*(1+Inputs!$B$13/100))-(Inputs!$B$12*(1+Inputs!$B$13/100)))+0.25*(Inputs!$B$14-Inputs!$B$14))*(1+Inputs!$B$7/100))*(F2135/100)</f>
        <v/>
      </c>
      <c r="K2135">
        <f>J2135*(1+((Inputs!$B$12*(1+Inputs!$B$13/100))*0.01+Inputs!$B$14*0.0025)/100)*(1+Inputs!$B$15/100)*(1+Inputs!$B$16/100)*(5000/(6000+Inputs!$B$43*(1-(100*(1-(1-(Inputs!$B$19+0)/100)*(1-CHOOSE(ArtifactsInput!$N$40+1,5,6,7,8,9,10)/100)^(ArtifactsInput!$M$40-ArtifactsInput!$M$40)))/100)))*(1+(Inputs!$B$24+((C2160=TRUE)*(F2160-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2153=TRUE)*(F2153-Calc!F23))+(((IF(AND(ArtifactsInput!$M$42,((Inputs!$B$9+((C2155=TRUE)*(F2155-Calc!F25))+B2170+(ArtifactsInput!$M$24-ArtifactsInput!$M$24)*CHOOSE(ArtifactsInput!$N$24+1,10,12,14,16,18,20)+IF(ArtifactsInput!$M$10,CHOOSE(ArtifactsInput!$N$10+1,15,18,21,24,27,30)*(IF(Inputs!$B$39="pvp",MIN(15,15)/15,IF(AND(Inputs!$B$39&lt;&gt;"pvp",Inputs!$B$44&gt;0),MIN(15,Inputs!$B$44)/(Inputs!$B$44),0))),0)))&gt;=100),MIN(100,((Inputs!$B$9+((C2155=TRUE)*(F2155-Calc!F25))+B2170+(ArtifactsInput!$M$24-ArtifactsInput!$M$24)*CHOOSE(ArtifactsInput!$N$24+1,10,12,14,16,18,20)+IF(ArtifactsInput!$M$10,CHOOSE(ArtifactsInput!$N$10+1,15,18,21,24,27,30)*(IF(Inputs!$B$39="pvp",MIN(15,15)/15,IF(AND(Inputs!$B$39&lt;&gt;"pvp",Inputs!$B$44&gt;0),MIN(15,Inputs!$B$44)/(Inputs!$B$44),0))),0)))-100),0))*CHOOSE(ArtifactsInput!$N$42+1,0.6,0.72,0.84,0.96,1.08,1.2))),Inputs!$B$18+((C2159=TRUE)*(F2159-Calc!F29))+(IF(AND(ArtifactsInput!$M$42,((Inputs!$B$9+((C2155=TRUE)*(F2155-Calc!F25))+B2170+(ArtifactsInput!$M$24-ArtifactsInput!$M$24)*CHOOSE(ArtifactsInput!$N$24+1,10,12,14,16,18,20)+IF(ArtifactsInput!$M$10,CHOOSE(ArtifactsInput!$N$10+1,15,18,21,24,27,30)*(IF(Inputs!$B$39="pvp",MIN(15,15)/15,IF(AND(Inputs!$B$39&lt;&gt;"pvp",Inputs!$B$44&gt;0),MIN(15,Inputs!$B$44)/(Inputs!$B$44),0))),0)))&gt;=100),CHOOSE(ArtifactsInput!$N$42+1,40,48,56,64,72,80),0))))/100)*(((1+(((C2151=TRUE)*F2151*IF(AND(Inputs!$B$39&lt;&gt;"pvp",Inputs!$B$44&gt;0),(((R2151-1)*(Skills!Y21*(1+Inputs!$B$34/100))+MIN((Skills!Y21*(1+Inputs!$B$34/100)),MAX(0,Inputs!$B$44-((R2151-1)*Skills!D21))))/Inputs!$B$44),IF(Inputs!$B$39="pvp",MIN((Skills!Y21*(1+Inputs!$B$34/100)),15)/15,(Skills!Y21*(1+Inputs!$B$34/100))/Skills!D21)))+((C2158=TRUE)*(F2158-Calc!F28))+((C2148=TRUE)*(F2148-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2145=TRUE)*F2145*IF(AND(Inputs!$B$39&lt;&gt;"pvp",Inputs!$B$44&gt;0),(((R2145-1)*(Skills!Y15*(1+Inputs!$B$34/100))+MIN((Skills!Y15*(1+Inputs!$B$34/100)),MAX(0,Inputs!$B$44-((R2145-1)*Skills!D15))))/Inputs!$B$44),IF(Inputs!$B$39="pvp",MIN((Skills!Y15*(1+Inputs!$B$34/100)),15)/15,(Skills!Y15*(1+Inputs!$B$34/100))/Skills!D15)))/100)*(1+((C2136=TRUE)*F2136*B2164)/100))*B2172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2135)</f>
        <v/>
      </c>
      <c r="L2135">
        <f>K2135*(MIN(Inputs!$B$22+((C2154=TRUE)*(F2154-Calc!F24)),(Inputs!$B$23+0+(IF(ArtifactsInput!$M$15,CHOOSE(ArtifactsInput!$N$15+1,25,30,35,40,45,50)/100*(Inputs!$B$11-Inputs!$B$11),0))))/100+(Inputs!$B$23+0+(IF(ArtifactsInput!$M$15,CHOOSE(ArtifactsInput!$N$15+1,25,30,35,40,45,50)/100*(Inputs!$B$11-Inputs!$B$11),0)))/100)/2</f>
        <v/>
      </c>
      <c r="M2135">
        <f>L2135*(1+(Inputs!$B$10+((C2156=TRUE)*(F2156-Calc!F26))+B2173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35">
        <f>L2135*(1-MIN((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2135*(MIN((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35">
        <f>(1-Summary!$B$11)*T2135+Summary!$B$11*V2135</f>
        <v/>
      </c>
      <c r="P2135">
        <f>IF(B2174=0,0,O2135/B2174)</f>
        <v/>
      </c>
      <c r="Q2135">
        <f>IFERROR(1/IF(Inputs!$B$39="pvp",15,MAX(0.1,Skills!D5-IF(Skills!E5=TRUE,Inputs!$B$32,0))),0)</f>
        <v/>
      </c>
      <c r="R2135">
        <f>IF(AND(Inputs!$B$39&lt;&gt;"pvp",Inputs!$B$44&gt;0),IF(MAX(0,Inputs!$B$44-B2175)&lt;=0,0,(INT(MAX(0,Inputs!$B$44-B2175)/IF(Inputs!$B$39="pvp",15,MAX(0.1,Skills!D5-IF(Skills!E5=TRUE,Inputs!$B$32,0))))+1)),0)</f>
        <v/>
      </c>
      <c r="S2135">
        <f>IFERROR(O2135/N2135,0)</f>
        <v/>
      </c>
      <c r="T2135">
        <f>IF(C2135,(H2135*N2135*IF(AND(Inputs!$B$39&lt;&gt;"pvp",Inputs!$B$44&gt;0),((Skills!G5*((R2135-1)*IF(Skills!H5&gt;0,Skills!I5/Skills!H5,1)+IF(Skills!H5&gt;0,MIN(Skills!I5,MAX(0,MAX(0,Inputs!$B$44-B2175)-((R2135-1)*IF(Inputs!$B$39="pvp",15,MAX(0.1,Skills!D5-IF(Skills!E5=TRUE,Inputs!$B$32,0))))))/Skills!H5,1)))/Inputs!$B$44),G2135*Q2135))*IF(Inputs!$B$39="pvp",1,1+(Inputs!$B$20+((C2157=TRUE)*(F2157-Calc!F27))+Skills!P5+B2171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Hunt"),CHOOSE(ArtifactsInput!$N$35+1,15,18,21,24,27,30)*(1-EXP(-(0.2*B2166)*5)),0)+IF(AND(IF(ArtifactsInput!$M$22,FALSE,TRUE),Inputs!$B$4&lt;&gt;"Chapter Hunt"),CHOOSE(ArtifactsInput!$N$22+1,10,12,14,16,18,20)*((0*(((0.15*B2166*5))^0/1)+1*(((0.15*B2166*5))^1/1)+2*(((0.15*B2166*5))^2/2)+3*(((0.15*B2166*5))^3/6)+4*(((0.15*B2166*5))^4/24)+5*(((0.15*B2166*5))^5/120))/((((0.15*B2166*5))^0/1)+(((0.15*B2166*5))^1/1)+(((0.15*B2166*5))^2/2)+(((0.15*B2166*5))^3/6)+(((0.15*B2166*5))^4/24)+(((0.15*B2166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2135*(1-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2135*(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2135*(1-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2135*(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35">
        <f>INDEX(FactorTable!$B$2:$Y$301, MATCH(ROUND(MIN(300,MAX(1,U2134)),0), FactorTable!$A$2:$A$301,0), 22)</f>
        <v/>
      </c>
      <c r="V2135">
        <f>IF(C2135,(H2135*N2135*IF(AND(Inputs!$B$39&lt;&gt;"pvp",Inputs!$B$44&gt;0),((Skills!G5*((R2135-1)*IF(Skills!H5&gt;0,Skills!I5/Skills!H5,1)+IF(Skills!H5&gt;0,MIN(Skills!I5,MAX(0,MAX(0,Inputs!$B$44-B2175)-((R2135-1)*IF(Inputs!$B$39="pvp",15,MAX(0.1,Skills!D5-IF(Skills!E5=TRUE,Inputs!$B$32,0))))))/Skills!H5,1)))/Inputs!$B$44),G2135*Q2135))*IF(Inputs!$B$39="pvp",1,(1+(Inputs!$B$21+Skills!Q5+B2171+(IF(ArtifactsInput!$M$33,CHOOSE(ArtifactsInput!$N$33+1,30,36,42,48,54,60),0))+(IF(AND(ArtifactsInput!$M$35,Inputs!$B$4&lt;&gt;"Chapter Hunt"),CHOOSE(ArtifactsInput!$N$35+1,15,18,21,24,27,30)*(1-EXP(-(0.2*B2166)*5)),0)+IF(AND(IF(ArtifactsInput!$M$22,FALSE,TRUE),Inputs!$B$4&lt;&gt;"Chapter Hunt"),CHOOSE(ArtifactsInput!$N$22+1,10,12,14,16,18,20)*((0*(((0.15*B2166*5))^0/1)+1*(((0.15*B2166*5))^1/1)+2*(((0.15*B2166*5))^2/2)+3*(((0.15*B2166*5))^3/6)+4*(((0.15*B2166*5))^4/24)+5*(((0.15*B2166*5))^5/120))/((((0.15*B2166*5))^0/1)+(((0.15*B2166*5))^1/1)+(((0.15*B2166*5))^2/2)+(((0.15*B2166*5))^3/6)+(((0.15*B2166*5))^4/24)+(((0.15*B2166*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36">
      <c r="A2136">
        <f>Skills!A6</f>
        <v/>
      </c>
      <c r="B2136">
        <f>Skills!B6</f>
        <v/>
      </c>
      <c r="C2136">
        <f>Inputs!$B$3&gt;=66</f>
        <v/>
      </c>
      <c r="D2136">
        <f>IF(Skills!C6=1,60+Inputs!$B$25+Inputs!$B$29,IF(Skills!C6=2,90+Inputs!$B$26+Inputs!$B$29,IF(Skills!C6=3,120+Inputs!$B$27+Inputs!$B$29,MAX(0,(Inputs!$B$3-100)*3)+Inputs!$B$28+Inputs!$B$29)))</f>
        <v/>
      </c>
      <c r="E2136">
        <f>INDEX(FactorTable!$B$2:$Y$301, MATCH(ROUND(MIN(300,MAX(1,D2136)),0), FactorTable!$A$2:$A$301,0), Skills!M6+1)</f>
        <v/>
      </c>
      <c r="F2136">
        <f>IF(Skills!N6=TRUE,(Skills!L6/10)*(E2136/1000),Skills!L6/10)+Skills!O6</f>
        <v/>
      </c>
      <c r="G2136">
        <f>Calc!G6</f>
        <v/>
      </c>
      <c r="H2136">
        <f>Calc!H6</f>
        <v/>
      </c>
      <c r="I2136">
        <f>IF(Skills!AA6&lt;&gt;"",1+(Skills!AA6/10)*(U2133/1000)/100,1)</f>
        <v/>
      </c>
      <c r="J2136" t="inlineStr"/>
      <c r="K2136" t="inlineStr"/>
      <c r="L2136" t="inlineStr"/>
      <c r="M2136" t="inlineStr"/>
      <c r="N2136" t="inlineStr"/>
      <c r="O2136">
        <f>(1-Summary!$B$11)*T2136+Summary!$B$11*V2136</f>
        <v/>
      </c>
      <c r="P2136">
        <f>IF(B2174=0,0,O2136/B2174)</f>
        <v/>
      </c>
      <c r="Q2136" t="n">
        <v>0</v>
      </c>
      <c r="R2136" t="n">
        <v>0</v>
      </c>
      <c r="S2136">
        <f>IFERROR(O2136/N2136,0)</f>
        <v/>
      </c>
      <c r="T2136" t="n">
        <v>0</v>
      </c>
      <c r="U2136">
        <f>290*U2135/1000</f>
        <v/>
      </c>
      <c r="V2136" t="n">
        <v>0</v>
      </c>
    </row>
    <row r="2137">
      <c r="A2137">
        <f>Skills!A7</f>
        <v/>
      </c>
      <c r="B2137">
        <f>Skills!B7</f>
        <v/>
      </c>
      <c r="C2137">
        <f>Inputs!$B$3&gt;=66</f>
        <v/>
      </c>
      <c r="D2137">
        <f>IF(Skills!C7=1,60+Inputs!$B$25+Inputs!$B$29,IF(Skills!C7=2,90+Inputs!$B$26+Inputs!$B$29,IF(Skills!C7=3,120+Inputs!$B$27+Inputs!$B$29,MAX(0,(Inputs!$B$3-100)*3)+Inputs!$B$28+Inputs!$B$29)))</f>
        <v/>
      </c>
      <c r="E2137">
        <f>INDEX(FactorTable!$B$2:$Y$301, MATCH(ROUND(MIN(300,MAX(1,D2137)),0), FactorTable!$A$2:$A$301,0), Skills!M7+1)</f>
        <v/>
      </c>
      <c r="F2137">
        <f>IF(Skills!N7=TRUE,(Skills!L7/10)*(E2137/1000),Skills!L7/10)+Skills!O7</f>
        <v/>
      </c>
      <c r="G2137">
        <f>Calc!G7</f>
        <v/>
      </c>
      <c r="H2137">
        <f>Calc!H7</f>
        <v/>
      </c>
      <c r="I2137">
        <f>IF(Skills!AA7&lt;&gt;"",1+(Skills!AA7/10)*(U2133/1000)/100,1)</f>
        <v/>
      </c>
      <c r="J2137" t="inlineStr"/>
      <c r="K2137" t="inlineStr"/>
      <c r="L2137" t="inlineStr"/>
      <c r="M2137" t="inlineStr"/>
      <c r="N2137" t="inlineStr"/>
      <c r="O2137">
        <f>(1-Summary!$B$11)*T2137+Summary!$B$11*V2137</f>
        <v/>
      </c>
      <c r="P2137">
        <f>IF(B2174=0,0,O2137/B2174)</f>
        <v/>
      </c>
      <c r="Q2137" t="n">
        <v>0</v>
      </c>
      <c r="R2137" t="n">
        <v>0</v>
      </c>
      <c r="S2137">
        <f>IFERROR(O2137/N2137,0)</f>
        <v/>
      </c>
      <c r="T2137" t="n">
        <v>0</v>
      </c>
      <c r="V2137" t="n">
        <v>0</v>
      </c>
    </row>
    <row r="2138">
      <c r="A2138">
        <f>Skills!A8</f>
        <v/>
      </c>
      <c r="B2138">
        <f>Skills!B8</f>
        <v/>
      </c>
      <c r="C2138">
        <f>Inputs!$B$3&gt;=69</f>
        <v/>
      </c>
      <c r="D2138">
        <f>IF(Skills!C8=1,60+Inputs!$B$25+Inputs!$B$29,IF(Skills!C8=2,90+Inputs!$B$26+Inputs!$B$29,IF(Skills!C8=3,120+Inputs!$B$27+Inputs!$B$29,MAX(0,(Inputs!$B$3-100)*3)+Inputs!$B$28+Inputs!$B$29)))</f>
        <v/>
      </c>
      <c r="E2138">
        <f>INDEX(FactorTable!$B$2:$Y$301, MATCH(ROUND(MIN(300,MAX(1,D2138)),0), FactorTable!$A$2:$A$301,0), Skills!M8+1)</f>
        <v/>
      </c>
      <c r="F2138">
        <f>IF(Skills!N8=TRUE,(Skills!L8/10)*(E2138/1000),Skills!L8/10)+Skills!O8</f>
        <v/>
      </c>
      <c r="G2138">
        <f>Calc!G8</f>
        <v/>
      </c>
      <c r="H2138">
        <f>Calc!H8</f>
        <v/>
      </c>
      <c r="I2138">
        <f>IF(Skills!AA8&lt;&gt;"",1+(Skills!AA8/10)*(U2133/1000)/100,1)</f>
        <v/>
      </c>
      <c r="J2138">
        <f>((Inputs!$B$6*(1+Inputs!$B$7/100))+(((Inputs!$B$12*(1+Inputs!$B$13/100))-(Inputs!$B$12*(1+Inputs!$B$13/100)))+0.25*(Inputs!$B$14-Inputs!$B$14))*(1+Inputs!$B$7/100))*(F2138/100)</f>
        <v/>
      </c>
      <c r="K2138">
        <f>J2138*(1+((Inputs!$B$12*(1+Inputs!$B$13/100))*0.01+Inputs!$B$14*0.0025)/100)*(1+Inputs!$B$15/100)*(1+Inputs!$B$16/100)*(5000/(6000+Inputs!$B$43*(1-(100*(1-(1-(Inputs!$B$19+0)/100)*(1-CHOOSE(ArtifactsInput!$N$40+1,5,6,7,8,9,10)/100)^(ArtifactsInput!$M$40-ArtifactsInput!$M$40)))/100)))*(1+(Inputs!$B$24+((C2160=TRUE)*(F2160-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2153=TRUE)*(F2153-Calc!F23))+(((IF(AND(ArtifactsInput!$M$42,((Inputs!$B$9+((C2155=TRUE)*(F2155-Calc!F25))+B2170+(ArtifactsInput!$M$24-ArtifactsInput!$M$24)*CHOOSE(ArtifactsInput!$N$24+1,10,12,14,16,18,20)+IF(ArtifactsInput!$M$10,CHOOSE(ArtifactsInput!$N$10+1,15,18,21,24,27,30)*(IF(Inputs!$B$39="pvp",MIN(15,15)/15,IF(AND(Inputs!$B$39&lt;&gt;"pvp",Inputs!$B$44&gt;0),MIN(15,Inputs!$B$44)/(Inputs!$B$44),0))),0)))&gt;=100),MIN(100,((Inputs!$B$9+((C2155=TRUE)*(F2155-Calc!F25))+B2170+(ArtifactsInput!$M$24-ArtifactsInput!$M$24)*CHOOSE(ArtifactsInput!$N$24+1,10,12,14,16,18,20)+IF(ArtifactsInput!$M$10,CHOOSE(ArtifactsInput!$N$10+1,15,18,21,24,27,30)*(IF(Inputs!$B$39="pvp",MIN(15,15)/15,IF(AND(Inputs!$B$39&lt;&gt;"pvp",Inputs!$B$44&gt;0),MIN(15,Inputs!$B$44)/(Inputs!$B$44),0))),0)))-100),0))*CHOOSE(ArtifactsInput!$N$42+1,0.6,0.72,0.84,0.96,1.08,1.2))),Inputs!$B$18+((C2159=TRUE)*(F2159-Calc!F29))+(IF(AND(ArtifactsInput!$M$42,((Inputs!$B$9+((C2155=TRUE)*(F2155-Calc!F25))+B2170+(ArtifactsInput!$M$24-ArtifactsInput!$M$24)*CHOOSE(ArtifactsInput!$N$24+1,10,12,14,16,18,20)+IF(ArtifactsInput!$M$10,CHOOSE(ArtifactsInput!$N$10+1,15,18,21,24,27,30)*(IF(Inputs!$B$39="pvp",MIN(15,15)/15,IF(AND(Inputs!$B$39&lt;&gt;"pvp",Inputs!$B$44&gt;0),MIN(15,Inputs!$B$44)/(Inputs!$B$44),0))),0)))&gt;=100),CHOOSE(ArtifactsInput!$N$42+1,40,48,56,64,72,80),0))))/100)*(((1+(((C2151=TRUE)*F2151*IF(AND(Inputs!$B$39&lt;&gt;"pvp",Inputs!$B$44&gt;0),(((R2151-1)*(Skills!Y21*(1+Inputs!$B$34/100))+MIN((Skills!Y21*(1+Inputs!$B$34/100)),MAX(0,Inputs!$B$44-((R2151-1)*Skills!D21))))/Inputs!$B$44),IF(Inputs!$B$39="pvp",MIN((Skills!Y21*(1+Inputs!$B$34/100)),15)/15,(Skills!Y21*(1+Inputs!$B$34/100))/Skills!D21)))+((C2158=TRUE)*(F2158-Calc!F28))+((C2148=TRUE)*(F2148-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2145=TRUE)*F2145*IF(AND(Inputs!$B$39&lt;&gt;"pvp",Inputs!$B$44&gt;0),(((R2145-1)*(Skills!Y15*(1+Inputs!$B$34/100))+MIN((Skills!Y15*(1+Inputs!$B$34/100)),MAX(0,Inputs!$B$44-((R2145-1)*Skills!D15))))/Inputs!$B$44),IF(Inputs!$B$39="pvp",MIN((Skills!Y15*(1+Inputs!$B$34/100)),15)/15,(Skills!Y15*(1+Inputs!$B$34/100))/Skills!D15)))/100)*(1+((C2136=TRUE)*F2136*B2164)/100))*B2172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2138)</f>
        <v/>
      </c>
      <c r="L2138">
        <f>K2138*(MIN(Inputs!$B$22+((C2154=TRUE)*(F2154-Calc!F24)),(Inputs!$B$23+0+(IF(ArtifactsInput!$M$15,CHOOSE(ArtifactsInput!$N$15+1,25,30,35,40,45,50)/100*(Inputs!$B$11-Inputs!$B$11),0))))/100+(Inputs!$B$23+0+(IF(ArtifactsInput!$M$15,CHOOSE(ArtifactsInput!$N$15+1,25,30,35,40,45,50)/100*(Inputs!$B$11-Inputs!$B$11),0)))/100)/2</f>
        <v/>
      </c>
      <c r="M2138">
        <f>L2138*(1+(Inputs!$B$10+((C2156=TRUE)*(F2156-Calc!F26))+B2173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38">
        <f>L2138*(1-MIN((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2138*(MIN((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38">
        <f>(1-Summary!$B$11)*T2138+Summary!$B$11*V2138</f>
        <v/>
      </c>
      <c r="P2138">
        <f>IF(B2174=0,0,O2138/B2174)</f>
        <v/>
      </c>
      <c r="Q2138">
        <f>IFERROR(1/IF(Inputs!$B$39="pvp",15,MAX(0.1,Skills!D8-IF(Skills!E8=TRUE,Inputs!$B$32,0))),0)</f>
        <v/>
      </c>
      <c r="R2138">
        <f>IF(AND(Inputs!$B$39&lt;&gt;"pvp",Inputs!$B$44&gt;0),IF(MAX(0,Inputs!$B$44-B2175)&lt;=0,0,(INT(MAX(0,Inputs!$B$44-B2175)/IF(Inputs!$B$39="pvp",15,MAX(0.1,Skills!D8-IF(Skills!E8=TRUE,Inputs!$B$32,0))))+1)),0)</f>
        <v/>
      </c>
      <c r="S2138">
        <f>IFERROR(O2138/N2138,0)</f>
        <v/>
      </c>
      <c r="T2138">
        <f>IF(C2138,(H2138*N2138*IF(AND(Inputs!$B$39&lt;&gt;"pvp",Inputs!$B$44&gt;0),((Skills!G8*((R2138-1)*IF(Skills!H8&gt;0,Skills!I8/Skills!H8,1)+IF(Skills!H8&gt;0,MIN(Skills!I8,MAX(0,MAX(0,Inputs!$B$44-B2175)-((R2138-1)*IF(Inputs!$B$39="pvp",15,MAX(0.1,Skills!D8-IF(Skills!E8=TRUE,Inputs!$B$32,0))))))/Skills!H8,1)))/Inputs!$B$44),G2138*Q2138))*IF(Inputs!$B$39="pvp",1,1+(Inputs!$B$20+((C2157=TRUE)*(F2157-Calc!F27))+Skills!P8+B2171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Hunt"),CHOOSE(ArtifactsInput!$N$35+1,15,18,21,24,27,30)*(1-EXP(-(0.2*B2166)*5)),0)+IF(AND(IF(ArtifactsInput!$M$22,FALSE,TRUE),Inputs!$B$4&lt;&gt;"Chapter Hunt"),CHOOSE(ArtifactsInput!$N$22+1,10,12,14,16,18,20)*((0*(((0.15*B2166*5))^0/1)+1*(((0.15*B2166*5))^1/1)+2*(((0.15*B2166*5))^2/2)+3*(((0.15*B2166*5))^3/6)+4*(((0.15*B2166*5))^4/24)+5*(((0.15*B2166*5))^5/120))/((((0.15*B2166*5))^0/1)+(((0.15*B2166*5))^1/1)+(((0.15*B2166*5))^2/2)+(((0.15*B2166*5))^3/6)+(((0.15*B2166*5))^4/24)+(((0.15*B2166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2138*(1-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2138*(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2138*(1-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2138*(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38">
        <f>IF(C2138,(H2138*N2138*IF(AND(Inputs!$B$39&lt;&gt;"pvp",Inputs!$B$44&gt;0),((Skills!G8*((R2138-1)*IF(Skills!H8&gt;0,Skills!I8/Skills!H8,1)+IF(Skills!H8&gt;0,MIN(Skills!I8,MAX(0,MAX(0,Inputs!$B$44-B2175)-((R2138-1)*IF(Inputs!$B$39="pvp",15,MAX(0.1,Skills!D8-IF(Skills!E8=TRUE,Inputs!$B$32,0))))))/Skills!H8,1)))/Inputs!$B$44),G2138*Q2138))*IF(Inputs!$B$39="pvp",1,(1+(Inputs!$B$21+Skills!Q8+B2171+(IF(ArtifactsInput!$M$33,CHOOSE(ArtifactsInput!$N$33+1,30,36,42,48,54,60),0))+(IF(AND(ArtifactsInput!$M$35,Inputs!$B$4&lt;&gt;"Chapter Hunt"),CHOOSE(ArtifactsInput!$N$35+1,15,18,21,24,27,30)*(1-EXP(-(0.2*B2166)*5)),0)+IF(AND(IF(ArtifactsInput!$M$22,FALSE,TRUE),Inputs!$B$4&lt;&gt;"Chapter Hunt"),CHOOSE(ArtifactsInput!$N$22+1,10,12,14,16,18,20)*((0*(((0.15*B2166*5))^0/1)+1*(((0.15*B2166*5))^1/1)+2*(((0.15*B2166*5))^2/2)+3*(((0.15*B2166*5))^3/6)+4*(((0.15*B2166*5))^4/24)+5*(((0.15*B2166*5))^5/120))/((((0.15*B2166*5))^0/1)+(((0.15*B2166*5))^1/1)+(((0.15*B2166*5))^2/2)+(((0.15*B2166*5))^3/6)+(((0.15*B2166*5))^4/24)+(((0.15*B2166*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39">
      <c r="A2139">
        <f>Skills!A9</f>
        <v/>
      </c>
      <c r="B2139">
        <f>Skills!B9</f>
        <v/>
      </c>
      <c r="C2139">
        <f>Inputs!$B$3&gt;=72</f>
        <v/>
      </c>
      <c r="D2139">
        <f>IF(Skills!C9=1,60+Inputs!$B$25+Inputs!$B$29,IF(Skills!C9=2,90+Inputs!$B$26+Inputs!$B$29,IF(Skills!C9=3,120+Inputs!$B$27+Inputs!$B$29,MAX(0,(Inputs!$B$3-100)*3)+Inputs!$B$28+Inputs!$B$29)))</f>
        <v/>
      </c>
      <c r="E2139">
        <f>INDEX(FactorTable!$B$2:$Y$301, MATCH(ROUND(MIN(300,MAX(1,D2139)),0), FactorTable!$A$2:$A$301,0), Skills!M9+1)</f>
        <v/>
      </c>
      <c r="F2139">
        <f>IF(Skills!N9=TRUE,(Skills!L9/10)*(E2139/1000),Skills!L9/10)+Skills!O9</f>
        <v/>
      </c>
      <c r="G2139">
        <f>Calc!G9</f>
        <v/>
      </c>
      <c r="H2139">
        <f>Calc!H9</f>
        <v/>
      </c>
      <c r="I2139">
        <f>IF(Skills!AA9&lt;&gt;"",1+(Skills!AA9/10)*(U2133/1000)/100,1)</f>
        <v/>
      </c>
      <c r="J2139">
        <f>((Inputs!$B$6*(1+Inputs!$B$7/100))+(((Inputs!$B$12*(1+Inputs!$B$13/100))-(Inputs!$B$12*(1+Inputs!$B$13/100)))+0.25*(Inputs!$B$14-Inputs!$B$14))*(1+Inputs!$B$7/100))*(F2139/100)</f>
        <v/>
      </c>
      <c r="K2139">
        <f>J2139*(1+((Inputs!$B$12*(1+Inputs!$B$13/100))*0.01+Inputs!$B$14*0.0025)/100)*(1+Inputs!$B$15/100)*(1+Inputs!$B$16/100)*(5000/(6000+Inputs!$B$43*(1-(100*(1-(1-(Inputs!$B$19+0)/100)*(1-CHOOSE(ArtifactsInput!$N$40+1,5,6,7,8,9,10)/100)^(ArtifactsInput!$M$40-ArtifactsInput!$M$40)))/100)))*(1+(Inputs!$B$24+((C2160=TRUE)*(F2160-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2153=TRUE)*(F2153-Calc!F23))+(((IF(AND(ArtifactsInput!$M$42,((Inputs!$B$9+((C2155=TRUE)*(F2155-Calc!F25))+B2170+(ArtifactsInput!$M$24-ArtifactsInput!$M$24)*CHOOSE(ArtifactsInput!$N$24+1,10,12,14,16,18,20)+IF(ArtifactsInput!$M$10,CHOOSE(ArtifactsInput!$N$10+1,15,18,21,24,27,30)*(IF(Inputs!$B$39="pvp",MIN(15,15)/15,IF(AND(Inputs!$B$39&lt;&gt;"pvp",Inputs!$B$44&gt;0),MIN(15,Inputs!$B$44)/(Inputs!$B$44),0))),0)))&gt;=100),MIN(100,((Inputs!$B$9+((C2155=TRUE)*(F2155-Calc!F25))+B2170+(ArtifactsInput!$M$24-ArtifactsInput!$M$24)*CHOOSE(ArtifactsInput!$N$24+1,10,12,14,16,18,20)+IF(ArtifactsInput!$M$10,CHOOSE(ArtifactsInput!$N$10+1,15,18,21,24,27,30)*(IF(Inputs!$B$39="pvp",MIN(15,15)/15,IF(AND(Inputs!$B$39&lt;&gt;"pvp",Inputs!$B$44&gt;0),MIN(15,Inputs!$B$44)/(Inputs!$B$44),0))),0)))-100),0))*CHOOSE(ArtifactsInput!$N$42+1,0.6,0.72,0.84,0.96,1.08,1.2))),Inputs!$B$18+((C2159=TRUE)*(F2159-Calc!F29))+(IF(AND(ArtifactsInput!$M$42,((Inputs!$B$9+((C2155=TRUE)*(F2155-Calc!F25))+B2170+(ArtifactsInput!$M$24-ArtifactsInput!$M$24)*CHOOSE(ArtifactsInput!$N$24+1,10,12,14,16,18,20)+IF(ArtifactsInput!$M$10,CHOOSE(ArtifactsInput!$N$10+1,15,18,21,24,27,30)*(IF(Inputs!$B$39="pvp",MIN(15,15)/15,IF(AND(Inputs!$B$39&lt;&gt;"pvp",Inputs!$B$44&gt;0),MIN(15,Inputs!$B$44)/(Inputs!$B$44),0))),0)))&gt;=100),CHOOSE(ArtifactsInput!$N$42+1,40,48,56,64,72,80),0))))/100)*(((1+(((C2151=TRUE)*F2151*IF(AND(Inputs!$B$39&lt;&gt;"pvp",Inputs!$B$44&gt;0),(((R2151-1)*(Skills!Y21*(1+Inputs!$B$34/100))+MIN((Skills!Y21*(1+Inputs!$B$34/100)),MAX(0,Inputs!$B$44-((R2151-1)*Skills!D21))))/Inputs!$B$44),IF(Inputs!$B$39="pvp",MIN((Skills!Y21*(1+Inputs!$B$34/100)),15)/15,(Skills!Y21*(1+Inputs!$B$34/100))/Skills!D21)))+((C2158=TRUE)*(F2158-Calc!F28))+((C2148=TRUE)*(F2148-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2145=TRUE)*F2145*IF(AND(Inputs!$B$39&lt;&gt;"pvp",Inputs!$B$44&gt;0),(((R2145-1)*(Skills!Y15*(1+Inputs!$B$34/100))+MIN((Skills!Y15*(1+Inputs!$B$34/100)),MAX(0,Inputs!$B$44-((R2145-1)*Skills!D15))))/Inputs!$B$44),IF(Inputs!$B$39="pvp",MIN((Skills!Y15*(1+Inputs!$B$34/100)),15)/15,(Skills!Y15*(1+Inputs!$B$34/100))/Skills!D15)))/100)*(1+((C2136=TRUE)*F2136*B2164)/100))*B2172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2139)</f>
        <v/>
      </c>
      <c r="L2139">
        <f>K2139*(MIN(Inputs!$B$22+((C2154=TRUE)*(F2154-Calc!F24)),(Inputs!$B$23+0+(IF(ArtifactsInput!$M$15,CHOOSE(ArtifactsInput!$N$15+1,25,30,35,40,45,50)/100*(Inputs!$B$11-Inputs!$B$11),0))))/100+(Inputs!$B$23+0+(IF(ArtifactsInput!$M$15,CHOOSE(ArtifactsInput!$N$15+1,25,30,35,40,45,50)/100*(Inputs!$B$11-Inputs!$B$11),0)))/100)/2</f>
        <v/>
      </c>
      <c r="M2139">
        <f>L2139*(1+(Inputs!$B$10+((C2156=TRUE)*(F2156-Calc!F26))+B2173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39">
        <f>L2139*(1-MIN((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2139*(MIN((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39">
        <f>(1-Summary!$B$11)*T2139+Summary!$B$11*V2139</f>
        <v/>
      </c>
      <c r="P2139">
        <f>IF(B2174=0,0,O2139/B2174)</f>
        <v/>
      </c>
      <c r="Q2139">
        <f>IFERROR(1/IF(Inputs!$B$39="pvp",15,MAX(0.1,Skills!D9-IF(Skills!E9=TRUE,Inputs!$B$32,0))),0)</f>
        <v/>
      </c>
      <c r="R2139">
        <f>IF(AND(Inputs!$B$39&lt;&gt;"pvp",Inputs!$B$44&gt;0),IF(MAX(0,Inputs!$B$44-B2175)&lt;=0,0,(INT(MAX(0,Inputs!$B$44-B2175)/IF(Inputs!$B$39="pvp",15,MAX(0.1,Skills!D9-IF(Skills!E9=TRUE,Inputs!$B$32,0))))+1)),0)</f>
        <v/>
      </c>
      <c r="S2139">
        <f>IFERROR(O2139/N2139,0)</f>
        <v/>
      </c>
      <c r="T2139">
        <f>IF(C2139,(H2139*N2139*IF(AND(Inputs!$B$39&lt;&gt;"pvp",Inputs!$B$44&gt;0),((Skills!G9*((R2139-1)*IF(Skills!H9&gt;0,Skills!I9/Skills!H9,1)+IF(Skills!H9&gt;0,MIN(Skills!I9,MAX(0,MAX(0,Inputs!$B$44-B2175)-((R2139-1)*IF(Inputs!$B$39="pvp",15,MAX(0.1,Skills!D9-IF(Skills!E9=TRUE,Inputs!$B$32,0))))))/Skills!H9,1)))/Inputs!$B$44),G2139*Q2139))*IF(Inputs!$B$39="pvp",1,1+(Inputs!$B$20+((C2157=TRUE)*(F2157-Calc!F27))+Skills!P9+B2171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Hunt"),CHOOSE(ArtifactsInput!$N$35+1,15,18,21,24,27,30)*(1-EXP(-(0.2*B2166)*5)),0)+IF(AND(IF(ArtifactsInput!$M$22,FALSE,TRUE),Inputs!$B$4&lt;&gt;"Chapter Hunt"),CHOOSE(ArtifactsInput!$N$22+1,10,12,14,16,18,20)*((0*(((0.15*B2166*5))^0/1)+1*(((0.15*B2166*5))^1/1)+2*(((0.15*B2166*5))^2/2)+3*(((0.15*B2166*5))^3/6)+4*(((0.15*B2166*5))^4/24)+5*(((0.15*B2166*5))^5/120))/((((0.15*B2166*5))^0/1)+(((0.15*B2166*5))^1/1)+(((0.15*B2166*5))^2/2)+(((0.15*B2166*5))^3/6)+(((0.15*B2166*5))^4/24)+(((0.15*B2166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2139*(1-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2139*(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2139*(1-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2139*(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39">
        <f>IF(C2139,(H2139*N2139*IF(AND(Inputs!$B$39&lt;&gt;"pvp",Inputs!$B$44&gt;0),((Skills!G9*((R2139-1)*IF(Skills!H9&gt;0,Skills!I9/Skills!H9,1)+IF(Skills!H9&gt;0,MIN(Skills!I9,MAX(0,MAX(0,Inputs!$B$44-B2175)-((R2139-1)*IF(Inputs!$B$39="pvp",15,MAX(0.1,Skills!D9-IF(Skills!E9=TRUE,Inputs!$B$32,0))))))/Skills!H9,1)))/Inputs!$B$44),G2139*Q2139))*IF(Inputs!$B$39="pvp",1,(1+(Inputs!$B$21+Skills!Q9+B2171+(IF(ArtifactsInput!$M$33,CHOOSE(ArtifactsInput!$N$33+1,30,36,42,48,54,60),0))+(IF(AND(ArtifactsInput!$M$35,Inputs!$B$4&lt;&gt;"Chapter Hunt"),CHOOSE(ArtifactsInput!$N$35+1,15,18,21,24,27,30)*(1-EXP(-(0.2*B2166)*5)),0)+IF(AND(IF(ArtifactsInput!$M$22,FALSE,TRUE),Inputs!$B$4&lt;&gt;"Chapter Hunt"),CHOOSE(ArtifactsInput!$N$22+1,10,12,14,16,18,20)*((0*(((0.15*B2166*5))^0/1)+1*(((0.15*B2166*5))^1/1)+2*(((0.15*B2166*5))^2/2)+3*(((0.15*B2166*5))^3/6)+4*(((0.15*B2166*5))^4/24)+5*(((0.15*B2166*5))^5/120))/((((0.15*B2166*5))^0/1)+(((0.15*B2166*5))^1/1)+(((0.15*B2166*5))^2/2)+(((0.15*B2166*5))^3/6)+(((0.15*B2166*5))^4/24)+(((0.15*B2166*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40">
      <c r="A2140">
        <f>Skills!A10</f>
        <v/>
      </c>
      <c r="B2140">
        <f>Skills!B10</f>
        <v/>
      </c>
      <c r="C2140">
        <f>Inputs!$B$3&gt;=117</f>
        <v/>
      </c>
      <c r="D2140">
        <f>IF(Skills!C10=1,60+Inputs!$B$25+Inputs!$B$29,IF(Skills!C10=2,90+Inputs!$B$26+Inputs!$B$29,IF(Skills!C10=3,120+Inputs!$B$27+Inputs!$B$29,MAX(0,(Inputs!$B$3-100)*3)+Inputs!$B$28+Inputs!$B$29)))</f>
        <v/>
      </c>
      <c r="E2140">
        <f>INDEX(FactorTable!$B$2:$Y$301, MATCH(ROUND(MIN(300,MAX(1,D2140)),0), FactorTable!$A$2:$A$301,0), Skills!M10+1)</f>
        <v/>
      </c>
      <c r="F2140">
        <f>IF(Skills!N10=TRUE,(Skills!L10/10)*(E2140/1000),Skills!L10/10)+Skills!O10</f>
        <v/>
      </c>
      <c r="G2140">
        <f>Calc!G10</f>
        <v/>
      </c>
      <c r="H2140">
        <f>Calc!H10</f>
        <v/>
      </c>
      <c r="I2140">
        <f>IF(Skills!AA10&lt;&gt;"",1+(Skills!AA10/10)*(U2133/1000)/100,1)</f>
        <v/>
      </c>
      <c r="J2140">
        <f>((Inputs!$B$6*(1+Inputs!$B$7/100))+(((Inputs!$B$12*(1+Inputs!$B$13/100))-(Inputs!$B$12*(1+Inputs!$B$13/100)))+0.25*(Inputs!$B$14-Inputs!$B$14))*(1+Inputs!$B$7/100))*(F2140/100)</f>
        <v/>
      </c>
      <c r="K2140">
        <f>J2140*(1+((Inputs!$B$12*(1+Inputs!$B$13/100))*0.01+Inputs!$B$14*0.0025)/100)*(1+Inputs!$B$15/100)*(1+Inputs!$B$16/100)*(5000/(6000+Inputs!$B$43*(1-(100*(1-(1-(Inputs!$B$19+0)/100)*(1-CHOOSE(ArtifactsInput!$N$40+1,5,6,7,8,9,10)/100)^(ArtifactsInput!$M$40-ArtifactsInput!$M$40)))/100)))*(1+(Inputs!$B$24+((C2160=TRUE)*(F2160-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2153=TRUE)*(F2153-Calc!F23))+(((IF(AND(ArtifactsInput!$M$42,((Inputs!$B$9+((C2155=TRUE)*(F2155-Calc!F25))+B2170+(ArtifactsInput!$M$24-ArtifactsInput!$M$24)*CHOOSE(ArtifactsInput!$N$24+1,10,12,14,16,18,20)+IF(ArtifactsInput!$M$10,CHOOSE(ArtifactsInput!$N$10+1,15,18,21,24,27,30)*(IF(Inputs!$B$39="pvp",MIN(15,15)/15,IF(AND(Inputs!$B$39&lt;&gt;"pvp",Inputs!$B$44&gt;0),MIN(15,Inputs!$B$44)/(Inputs!$B$44),0))),0)))&gt;=100),MIN(100,((Inputs!$B$9+((C2155=TRUE)*(F2155-Calc!F25))+B2170+(ArtifactsInput!$M$24-ArtifactsInput!$M$24)*CHOOSE(ArtifactsInput!$N$24+1,10,12,14,16,18,20)+IF(ArtifactsInput!$M$10,CHOOSE(ArtifactsInput!$N$10+1,15,18,21,24,27,30)*(IF(Inputs!$B$39="pvp",MIN(15,15)/15,IF(AND(Inputs!$B$39&lt;&gt;"pvp",Inputs!$B$44&gt;0),MIN(15,Inputs!$B$44)/(Inputs!$B$44),0))),0)))-100),0))*CHOOSE(ArtifactsInput!$N$42+1,0.6,0.72,0.84,0.96,1.08,1.2))),Inputs!$B$18+((C2159=TRUE)*(F2159-Calc!F29))+(IF(AND(ArtifactsInput!$M$42,((Inputs!$B$9+((C2155=TRUE)*(F2155-Calc!F25))+B2170+(ArtifactsInput!$M$24-ArtifactsInput!$M$24)*CHOOSE(ArtifactsInput!$N$24+1,10,12,14,16,18,20)+IF(ArtifactsInput!$M$10,CHOOSE(ArtifactsInput!$N$10+1,15,18,21,24,27,30)*(IF(Inputs!$B$39="pvp",MIN(15,15)/15,IF(AND(Inputs!$B$39&lt;&gt;"pvp",Inputs!$B$44&gt;0),MIN(15,Inputs!$B$44)/(Inputs!$B$44),0))),0)))&gt;=100),CHOOSE(ArtifactsInput!$N$42+1,40,48,56,64,72,80),0))))/100)*(((1+(((C2151=TRUE)*F2151*IF(AND(Inputs!$B$39&lt;&gt;"pvp",Inputs!$B$44&gt;0),(((R2151-1)*(Skills!Y21*(1+Inputs!$B$34/100))+MIN((Skills!Y21*(1+Inputs!$B$34/100)),MAX(0,Inputs!$B$44-((R2151-1)*Skills!D21))))/Inputs!$B$44),IF(Inputs!$B$39="pvp",MIN((Skills!Y21*(1+Inputs!$B$34/100)),15)/15,(Skills!Y21*(1+Inputs!$B$34/100))/Skills!D21)))+((C2158=TRUE)*(F2158-Calc!F28))+((C2148=TRUE)*(F2148-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2145=TRUE)*F2145*IF(AND(Inputs!$B$39&lt;&gt;"pvp",Inputs!$B$44&gt;0),(((R2145-1)*(Skills!Y15*(1+Inputs!$B$34/100))+MIN((Skills!Y15*(1+Inputs!$B$34/100)),MAX(0,Inputs!$B$44-((R2145-1)*Skills!D15))))/Inputs!$B$44),IF(Inputs!$B$39="pvp",MIN((Skills!Y15*(1+Inputs!$B$34/100)),15)/15,(Skills!Y15*(1+Inputs!$B$34/100))/Skills!D15)))/100)*(1+((C2136=TRUE)*F2136*B2164)/100))*B2172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2140)</f>
        <v/>
      </c>
      <c r="L2140">
        <f>K2140*(MIN(Inputs!$B$22+((C2154=TRUE)*(F2154-Calc!F24)),(Inputs!$B$23+0+(IF(ArtifactsInput!$M$15,CHOOSE(ArtifactsInput!$N$15+1,25,30,35,40,45,50)/100*(Inputs!$B$11-Inputs!$B$11),0))))/100+(Inputs!$B$23+0+(IF(ArtifactsInput!$M$15,CHOOSE(ArtifactsInput!$N$15+1,25,30,35,40,45,50)/100*(Inputs!$B$11-Inputs!$B$11),0)))/100)/2</f>
        <v/>
      </c>
      <c r="M2140">
        <f>L2140*(1+(Inputs!$B$10+((C2156=TRUE)*(F2156-Calc!F26))+B2173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40">
        <f>L2140*(1-MIN((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2140*(MIN((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40">
        <f>(1-Summary!$B$11)*T2140+Summary!$B$11*V2140</f>
        <v/>
      </c>
      <c r="P2140">
        <f>IF(B2174=0,0,O2140/B2174)</f>
        <v/>
      </c>
      <c r="Q2140" t="n">
        <v>0</v>
      </c>
      <c r="R2140" t="n">
        <v>0</v>
      </c>
      <c r="S2140" t="n">
        <v>0</v>
      </c>
      <c r="T2140">
        <f>IF(C2140,(0.2*SUMPRODUCT((Skills!Z2:Z31=TRUE)*(C2132:C2161=TRUE)*S2132:S2161)*N2140)*IF(Inputs!$B$39="pvp",1,1+(Inputs!$B$20+((C2157=TRUE)*(F2157-Calc!F27))+Skills!P10+B2171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Hunt"),CHOOSE(ArtifactsInput!$N$35+1,15,18,21,24,27,30)*(1-EXP(-(0.2*B2166)*5)),0)+IF(AND(IF(ArtifactsInput!$M$22,FALSE,TRUE),Inputs!$B$4&lt;&gt;"Chapter Hunt"),CHOOSE(ArtifactsInput!$N$22+1,10,12,14,16,18,20)*((0*(((0.15*B2166*5))^0/1)+1*(((0.15*B2166*5))^1/1)+2*(((0.15*B2166*5))^2/2)+3*(((0.15*B2166*5))^3/6)+4*(((0.15*B2166*5))^4/24)+5*(((0.15*B2166*5))^5/120))/((((0.15*B2166*5))^0/1)+(((0.15*B2166*5))^1/1)+(((0.15*B2166*5))^2/2)+(((0.15*B2166*5))^3/6)+(((0.15*B2166*5))^4/24)+(((0.15*B2166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2140*(1-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2140*(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2140*(1-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2140*(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40">
        <f>IF(C2140,(0.2*SUMPRODUCT((Skills!Z2:Z31=TRUE)*(C2132:C2161=TRUE)*S2132:S2161)*N2140)*IF(Inputs!$B$39="pvp",1,(1+(Inputs!$B$21+Skills!Q10+B2171+(IF(ArtifactsInput!$M$33,CHOOSE(ArtifactsInput!$N$33+1,30,36,42,48,54,60),0))+(IF(AND(ArtifactsInput!$M$35,Inputs!$B$4&lt;&gt;"Chapter Hunt"),CHOOSE(ArtifactsInput!$N$35+1,15,18,21,24,27,30)*(1-EXP(-(0.2*B2166)*5)),0)+IF(AND(IF(ArtifactsInput!$M$22,FALSE,TRUE),Inputs!$B$4&lt;&gt;"Chapter Hunt"),CHOOSE(ArtifactsInput!$N$22+1,10,12,14,16,18,20)*((0*(((0.15*B2166*5))^0/1)+1*(((0.15*B2166*5))^1/1)+2*(((0.15*B2166*5))^2/2)+3*(((0.15*B2166*5))^3/6)+4*(((0.15*B2166*5))^4/24)+5*(((0.15*B2166*5))^5/120))/((((0.15*B2166*5))^0/1)+(((0.15*B2166*5))^1/1)+(((0.15*B2166*5))^2/2)+(((0.15*B2166*5))^3/6)+(((0.15*B2166*5))^4/24)+(((0.15*B2166*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41">
      <c r="A2141">
        <f>Skills!A11</f>
        <v/>
      </c>
      <c r="B2141">
        <f>Skills!B11</f>
        <v/>
      </c>
      <c r="C2141">
        <f>Inputs!$B$3&gt;=60</f>
        <v/>
      </c>
      <c r="D2141">
        <f>IF(Skills!C11=1,60+Inputs!$B$25+Inputs!$B$29,IF(Skills!C11=2,90+Inputs!$B$26+Inputs!$B$29,IF(Skills!C11=3,120+Inputs!$B$27+Inputs!$B$29,MAX(0,(Inputs!$B$3-100)*3)+Inputs!$B$28+Inputs!$B$29)))</f>
        <v/>
      </c>
      <c r="E2141">
        <f>INDEX(FactorTable!$B$2:$Y$301, MATCH(ROUND(MIN(300,MAX(1,D2141)),0), FactorTable!$A$2:$A$301,0), Skills!M11+1)</f>
        <v/>
      </c>
      <c r="F2141">
        <f>IF(Skills!N11=TRUE,(Skills!L11/10)*(E2141/1000),Skills!L11/10)+Skills!O11</f>
        <v/>
      </c>
      <c r="G2141">
        <f>Calc!G11</f>
        <v/>
      </c>
      <c r="H2141">
        <f>Calc!H11</f>
        <v/>
      </c>
      <c r="I2141">
        <f>IF(Skills!AA11&lt;&gt;"",1+(Skills!AA11/10)*(U2133/1000)/100,1)</f>
        <v/>
      </c>
      <c r="J2141" t="inlineStr"/>
      <c r="K2141" t="inlineStr"/>
      <c r="L2141" t="inlineStr"/>
      <c r="M2141" t="inlineStr"/>
      <c r="N2141" t="inlineStr"/>
      <c r="O2141">
        <f>(1-Summary!$B$11)*T2141+Summary!$B$11*V2141</f>
        <v/>
      </c>
      <c r="P2141">
        <f>IF(B2174=0,0,O2141/B2174)</f>
        <v/>
      </c>
      <c r="Q2141" t="n">
        <v>0</v>
      </c>
      <c r="R2141" t="n">
        <v>0</v>
      </c>
      <c r="S2141">
        <f>IFERROR(O2141/N2141,0)</f>
        <v/>
      </c>
      <c r="T2141" t="n">
        <v>0</v>
      </c>
      <c r="V2141" t="n">
        <v>0</v>
      </c>
    </row>
    <row r="2142">
      <c r="A2142">
        <f>Skills!A12</f>
        <v/>
      </c>
      <c r="B2142">
        <f>Skills!B12</f>
        <v/>
      </c>
      <c r="C2142">
        <f>Inputs!$B$3&gt;=103</f>
        <v/>
      </c>
      <c r="D2142">
        <f>IF(Skills!C12=1,60+Inputs!$B$25+Inputs!$B$29,IF(Skills!C12=2,90+Inputs!$B$26+Inputs!$B$29,IF(Skills!C12=3,120+Inputs!$B$27+Inputs!$B$29,MAX(0,(Inputs!$B$3-100)*3)+Inputs!$B$28+Inputs!$B$29)))</f>
        <v/>
      </c>
      <c r="E2142">
        <f>INDEX(FactorTable!$B$2:$Y$301, MATCH(ROUND(MIN(300,MAX(1,D2142)),0), FactorTable!$A$2:$A$301,0), Skills!M12+1)</f>
        <v/>
      </c>
      <c r="F2142">
        <f>IF(Skills!N12=TRUE,(Skills!L12/10)*(E2142/1000),Skills!L12/10)+Skills!O12</f>
        <v/>
      </c>
      <c r="G2142">
        <f>Calc!G12</f>
        <v/>
      </c>
      <c r="H2142">
        <f>Calc!H12</f>
        <v/>
      </c>
      <c r="I2142">
        <f>IF(Skills!AA12&lt;&gt;"",1+(Skills!AA12/10)*(U2133/1000)/100,1)</f>
        <v/>
      </c>
      <c r="J2142">
        <f>((Inputs!$B$6*(1+Inputs!$B$7/100))+(((Inputs!$B$12*(1+Inputs!$B$13/100))-(Inputs!$B$12*(1+Inputs!$B$13/100)))+0.25*(Inputs!$B$14-Inputs!$B$14))*(1+Inputs!$B$7/100))*(F2142/100)</f>
        <v/>
      </c>
      <c r="K2142">
        <f>J2142*(1+((Inputs!$B$12*(1+Inputs!$B$13/100))*0.01+Inputs!$B$14*0.0025)/100)*(1+Inputs!$B$15/100)*(1+Inputs!$B$16/100)*(5000/(6000+Inputs!$B$43*(1-(100*(1-(1-(Inputs!$B$19+0)/100)*(1-CHOOSE(ArtifactsInput!$N$40+1,5,6,7,8,9,10)/100)^(ArtifactsInput!$M$40-ArtifactsInput!$M$40)))/100)))*(1+(Inputs!$B$24+((C2160=TRUE)*(F2160-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2153=TRUE)*(F2153-Calc!F23))+(((IF(AND(ArtifactsInput!$M$42,((Inputs!$B$9+((C2155=TRUE)*(F2155-Calc!F25))+B2170+(ArtifactsInput!$M$24-ArtifactsInput!$M$24)*CHOOSE(ArtifactsInput!$N$24+1,10,12,14,16,18,20)+IF(ArtifactsInput!$M$10,CHOOSE(ArtifactsInput!$N$10+1,15,18,21,24,27,30)*(IF(Inputs!$B$39="pvp",MIN(15,15)/15,IF(AND(Inputs!$B$39&lt;&gt;"pvp",Inputs!$B$44&gt;0),MIN(15,Inputs!$B$44)/(Inputs!$B$44),0))),0)))&gt;=100),MIN(100,((Inputs!$B$9+((C2155=TRUE)*(F2155-Calc!F25))+B2170+(ArtifactsInput!$M$24-ArtifactsInput!$M$24)*CHOOSE(ArtifactsInput!$N$24+1,10,12,14,16,18,20)+IF(ArtifactsInput!$M$10,CHOOSE(ArtifactsInput!$N$10+1,15,18,21,24,27,30)*(IF(Inputs!$B$39="pvp",MIN(15,15)/15,IF(AND(Inputs!$B$39&lt;&gt;"pvp",Inputs!$B$44&gt;0),MIN(15,Inputs!$B$44)/(Inputs!$B$44),0))),0)))-100),0))*CHOOSE(ArtifactsInput!$N$42+1,0.6,0.72,0.84,0.96,1.08,1.2))),Inputs!$B$18+((C2159=TRUE)*(F2159-Calc!F29))+(IF(AND(ArtifactsInput!$M$42,((Inputs!$B$9+((C2155=TRUE)*(F2155-Calc!F25))+B2170+(ArtifactsInput!$M$24-ArtifactsInput!$M$24)*CHOOSE(ArtifactsInput!$N$24+1,10,12,14,16,18,20)+IF(ArtifactsInput!$M$10,CHOOSE(ArtifactsInput!$N$10+1,15,18,21,24,27,30)*(IF(Inputs!$B$39="pvp",MIN(15,15)/15,IF(AND(Inputs!$B$39&lt;&gt;"pvp",Inputs!$B$44&gt;0),MIN(15,Inputs!$B$44)/(Inputs!$B$44),0))),0)))&gt;=100),CHOOSE(ArtifactsInput!$N$42+1,40,48,56,64,72,80),0))))/100)*(((1+(((C2151=TRUE)*F2151*IF(AND(Inputs!$B$39&lt;&gt;"pvp",Inputs!$B$44&gt;0),(((R2151-1)*(Skills!Y21*(1+Inputs!$B$34/100))+MIN((Skills!Y21*(1+Inputs!$B$34/100)),MAX(0,Inputs!$B$44-((R2151-1)*Skills!D21))))/Inputs!$B$44),IF(Inputs!$B$39="pvp",MIN((Skills!Y21*(1+Inputs!$B$34/100)),15)/15,(Skills!Y21*(1+Inputs!$B$34/100))/Skills!D21)))+((C2158=TRUE)*(F2158-Calc!F28))+((C2148=TRUE)*(F2148-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2145=TRUE)*F2145*IF(AND(Inputs!$B$39&lt;&gt;"pvp",Inputs!$B$44&gt;0),(((R2145-1)*(Skills!Y15*(1+Inputs!$B$34/100))+MIN((Skills!Y15*(1+Inputs!$B$34/100)),MAX(0,Inputs!$B$44-((R2145-1)*Skills!D15))))/Inputs!$B$44),IF(Inputs!$B$39="pvp",MIN((Skills!Y15*(1+Inputs!$B$34/100)),15)/15,(Skills!Y15*(1+Inputs!$B$34/100))/Skills!D15)))/100)*(1+((C2136=TRUE)*F2136*B2164)/100))*B2172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2142)</f>
        <v/>
      </c>
      <c r="L2142">
        <f>K2142*(MIN(Inputs!$B$22+((C2154=TRUE)*(F2154-Calc!F24)),(Inputs!$B$23+0+(IF(ArtifactsInput!$M$15,CHOOSE(ArtifactsInput!$N$15+1,25,30,35,40,45,50)/100*(Inputs!$B$11-Inputs!$B$11),0))))/100+(Inputs!$B$23+0+(IF(ArtifactsInput!$M$15,CHOOSE(ArtifactsInput!$N$15+1,25,30,35,40,45,50)/100*(Inputs!$B$11-Inputs!$B$11),0)))/100)/2</f>
        <v/>
      </c>
      <c r="M2142">
        <f>L2142*(1+(Inputs!$B$10+((C2156=TRUE)*(F2156-Calc!F26))+B2173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42">
        <f>L2142*(1-MIN((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2142*(MIN((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42">
        <f>(1-Summary!$B$11)*T2142+Summary!$B$11*V2142</f>
        <v/>
      </c>
      <c r="P2142">
        <f>IF(B2174=0,0,O2142/B2174)</f>
        <v/>
      </c>
      <c r="Q2142">
        <f>IFERROR(1/IF(Inputs!$B$39="pvp",15,MAX(0.1,Skills!D12-IF(Skills!E12=TRUE,Inputs!$B$32,0))),0)</f>
        <v/>
      </c>
      <c r="R2142">
        <f>IF(AND(Inputs!$B$39&lt;&gt;"pvp",Inputs!$B$44&gt;0),IF(MAX(0,Inputs!$B$44-B2175)&lt;=0,0,(INT(MAX(0,Inputs!$B$44-B2175)/IF(Inputs!$B$39="pvp",15,MAX(0.1,Skills!D12-IF(Skills!E12=TRUE,Inputs!$B$32,0))))+1)),0)</f>
        <v/>
      </c>
      <c r="S2142">
        <f>IFERROR(O2142/N2142,0)</f>
        <v/>
      </c>
      <c r="T2142">
        <f>IF(C2142,(H2142*N2142*IF(AND(Inputs!$B$39&lt;&gt;"pvp",Inputs!$B$44&gt;0),((Skills!G12*((R2142-1)*IF(Skills!H12&gt;0,Skills!I12/Skills!H12,1)+IF(Skills!H12&gt;0,MIN(Skills!I12,MAX(0,MAX(0,Inputs!$B$44-B2175)-((R2142-1)*IF(Inputs!$B$39="pvp",15,MAX(0.1,Skills!D12-IF(Skills!E12=TRUE,Inputs!$B$32,0))))))/Skills!H12,1)))/Inputs!$B$44),G2142*Q2142))*IF(Inputs!$B$39="pvp",1,1+(Inputs!$B$20+((C2157=TRUE)*(F2157-Calc!F27))+Skills!P12+B2171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Hunt"),CHOOSE(ArtifactsInput!$N$35+1,15,18,21,24,27,30)*(1-EXP(-(0.2*B2166)*5)),0)+IF(AND(IF(ArtifactsInput!$M$22,FALSE,TRUE),Inputs!$B$4&lt;&gt;"Chapter Hunt"),CHOOSE(ArtifactsInput!$N$22+1,10,12,14,16,18,20)*((0*(((0.15*B2166*5))^0/1)+1*(((0.15*B2166*5))^1/1)+2*(((0.15*B2166*5))^2/2)+3*(((0.15*B2166*5))^3/6)+4*(((0.15*B2166*5))^4/24)+5*(((0.15*B2166*5))^5/120))/((((0.15*B2166*5))^0/1)+(((0.15*B2166*5))^1/1)+(((0.15*B2166*5))^2/2)+(((0.15*B2166*5))^3/6)+(((0.15*B2166*5))^4/24)+(((0.15*B2166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2142*(1-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2142*(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2142*(1-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2142*(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42">
        <f>IF(C2142,(H2142*N2142*IF(AND(Inputs!$B$39&lt;&gt;"pvp",Inputs!$B$44&gt;0),((Skills!G12*((R2142-1)*IF(Skills!H12&gt;0,Skills!I12/Skills!H12,1)+IF(Skills!H12&gt;0,MIN(Skills!I12,MAX(0,MAX(0,Inputs!$B$44-B2175)-((R2142-1)*IF(Inputs!$B$39="pvp",15,MAX(0.1,Skills!D12-IF(Skills!E12=TRUE,Inputs!$B$32,0))))))/Skills!H12,1)))/Inputs!$B$44),G2142*Q2142))*IF(Inputs!$B$39="pvp",1,(1+(Inputs!$B$21+Skills!Q12+B2171+(IF(ArtifactsInput!$M$33,CHOOSE(ArtifactsInput!$N$33+1,30,36,42,48,54,60),0))+(IF(AND(ArtifactsInput!$M$35,Inputs!$B$4&lt;&gt;"Chapter Hunt"),CHOOSE(ArtifactsInput!$N$35+1,15,18,21,24,27,30)*(1-EXP(-(0.2*B2166)*5)),0)+IF(AND(IF(ArtifactsInput!$M$22,FALSE,TRUE),Inputs!$B$4&lt;&gt;"Chapter Hunt"),CHOOSE(ArtifactsInput!$N$22+1,10,12,14,16,18,20)*((0*(((0.15*B2166*5))^0/1)+1*(((0.15*B2166*5))^1/1)+2*(((0.15*B2166*5))^2/2)+3*(((0.15*B2166*5))^3/6)+4*(((0.15*B2166*5))^4/24)+5*(((0.15*B2166*5))^5/120))/((((0.15*B2166*5))^0/1)+(((0.15*B2166*5))^1/1)+(((0.15*B2166*5))^2/2)+(((0.15*B2166*5))^3/6)+(((0.15*B2166*5))^4/24)+(((0.15*B2166*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43">
      <c r="A2143">
        <f>Skills!A13</f>
        <v/>
      </c>
      <c r="B2143">
        <f>Skills!B13</f>
        <v/>
      </c>
      <c r="C2143">
        <f>Inputs!$B$3&gt;=105</f>
        <v/>
      </c>
      <c r="D2143">
        <f>IF(Skills!C13=1,60+Inputs!$B$25+Inputs!$B$29,IF(Skills!C13=2,90+Inputs!$B$26+Inputs!$B$29,IF(Skills!C13=3,120+Inputs!$B$27+Inputs!$B$29,MAX(0,(Inputs!$B$3-100)*3)+Inputs!$B$28+Inputs!$B$29)))</f>
        <v/>
      </c>
      <c r="E2143">
        <f>INDEX(FactorTable!$B$2:$Y$301, MATCH(ROUND(MIN(300,MAX(1,D2143)),0), FactorTable!$A$2:$A$301,0), Skills!M13+1)</f>
        <v/>
      </c>
      <c r="F2143">
        <f>IF(Skills!N13=TRUE,(Skills!L13/10)*(E2143/1000),Skills!L13/10)+Skills!O13</f>
        <v/>
      </c>
      <c r="G2143">
        <f>Calc!G13</f>
        <v/>
      </c>
      <c r="H2143">
        <f>Calc!H13</f>
        <v/>
      </c>
      <c r="I2143">
        <f>IF(Skills!AA13&lt;&gt;"",1+(Skills!AA13/10)*(U2133/1000)/100,1)</f>
        <v/>
      </c>
      <c r="J2143">
        <f>((Inputs!$B$6*(1+Inputs!$B$7/100))+(((Inputs!$B$12*(1+Inputs!$B$13/100))-(Inputs!$B$12*(1+Inputs!$B$13/100)))+0.25*(Inputs!$B$14-Inputs!$B$14))*(1+Inputs!$B$7/100))*(F2143/100)</f>
        <v/>
      </c>
      <c r="K2143">
        <f>J2143*(1+((Inputs!$B$12*(1+Inputs!$B$13/100))*0.01+Inputs!$B$14*0.0025)/100)*(1+Inputs!$B$15/100)*(1+Inputs!$B$16/100)*(5000/(6000+Inputs!$B$43*(1-(100*(1-(1-(Inputs!$B$19+0)/100)*(1-CHOOSE(ArtifactsInput!$N$40+1,5,6,7,8,9,10)/100)^(ArtifactsInput!$M$40-ArtifactsInput!$M$40)))/100)))*(1+(Inputs!$B$24+((C2160=TRUE)*(F2160-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2153=TRUE)*(F2153-Calc!F23))+(((IF(AND(ArtifactsInput!$M$42,((Inputs!$B$9+((C2155=TRUE)*(F2155-Calc!F25))+B2170+(ArtifactsInput!$M$24-ArtifactsInput!$M$24)*CHOOSE(ArtifactsInput!$N$24+1,10,12,14,16,18,20)+IF(ArtifactsInput!$M$10,CHOOSE(ArtifactsInput!$N$10+1,15,18,21,24,27,30)*(IF(Inputs!$B$39="pvp",MIN(15,15)/15,IF(AND(Inputs!$B$39&lt;&gt;"pvp",Inputs!$B$44&gt;0),MIN(15,Inputs!$B$44)/(Inputs!$B$44),0))),0)))&gt;=100),MIN(100,((Inputs!$B$9+((C2155=TRUE)*(F2155-Calc!F25))+B2170+(ArtifactsInput!$M$24-ArtifactsInput!$M$24)*CHOOSE(ArtifactsInput!$N$24+1,10,12,14,16,18,20)+IF(ArtifactsInput!$M$10,CHOOSE(ArtifactsInput!$N$10+1,15,18,21,24,27,30)*(IF(Inputs!$B$39="pvp",MIN(15,15)/15,IF(AND(Inputs!$B$39&lt;&gt;"pvp",Inputs!$B$44&gt;0),MIN(15,Inputs!$B$44)/(Inputs!$B$44),0))),0)))-100),0))*CHOOSE(ArtifactsInput!$N$42+1,0.6,0.72,0.84,0.96,1.08,1.2))),Inputs!$B$18+((C2159=TRUE)*(F2159-Calc!F29))+(IF(AND(ArtifactsInput!$M$42,((Inputs!$B$9+((C2155=TRUE)*(F2155-Calc!F25))+B2170+(ArtifactsInput!$M$24-ArtifactsInput!$M$24)*CHOOSE(ArtifactsInput!$N$24+1,10,12,14,16,18,20)+IF(ArtifactsInput!$M$10,CHOOSE(ArtifactsInput!$N$10+1,15,18,21,24,27,30)*(IF(Inputs!$B$39="pvp",MIN(15,15)/15,IF(AND(Inputs!$B$39&lt;&gt;"pvp",Inputs!$B$44&gt;0),MIN(15,Inputs!$B$44)/(Inputs!$B$44),0))),0)))&gt;=100),CHOOSE(ArtifactsInput!$N$42+1,40,48,56,64,72,80),0))))/100)*(((1+(((C2151=TRUE)*F2151*IF(AND(Inputs!$B$39&lt;&gt;"pvp",Inputs!$B$44&gt;0),(((R2151-1)*(Skills!Y21*(1+Inputs!$B$34/100))+MIN((Skills!Y21*(1+Inputs!$B$34/100)),MAX(0,Inputs!$B$44-((R2151-1)*Skills!D21))))/Inputs!$B$44),IF(Inputs!$B$39="pvp",MIN((Skills!Y21*(1+Inputs!$B$34/100)),15)/15,(Skills!Y21*(1+Inputs!$B$34/100))/Skills!D21)))+((C2158=TRUE)*(F2158-Calc!F28))+((C2148=TRUE)*(F2148-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2145=TRUE)*F2145*IF(AND(Inputs!$B$39&lt;&gt;"pvp",Inputs!$B$44&gt;0),(((R2145-1)*(Skills!Y15*(1+Inputs!$B$34/100))+MIN((Skills!Y15*(1+Inputs!$B$34/100)),MAX(0,Inputs!$B$44-((R2145-1)*Skills!D15))))/Inputs!$B$44),IF(Inputs!$B$39="pvp",MIN((Skills!Y15*(1+Inputs!$B$34/100)),15)/15,(Skills!Y15*(1+Inputs!$B$34/100))/Skills!D15)))/100)*(1+((C2136=TRUE)*F2136*B2164)/100))*B2172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2143)</f>
        <v/>
      </c>
      <c r="L2143">
        <f>K2143*(MIN(Inputs!$B$22+((C2154=TRUE)*(F2154-Calc!F24)),(Inputs!$B$23+0+(IF(ArtifactsInput!$M$15,CHOOSE(ArtifactsInput!$N$15+1,25,30,35,40,45,50)/100*(Inputs!$B$11-Inputs!$B$11),0))))/100+(Inputs!$B$23+0+(IF(ArtifactsInput!$M$15,CHOOSE(ArtifactsInput!$N$15+1,25,30,35,40,45,50)/100*(Inputs!$B$11-Inputs!$B$11),0)))/100)/2</f>
        <v/>
      </c>
      <c r="M2143">
        <f>L2143*(1+(Inputs!$B$10+((C2156=TRUE)*(F2156-Calc!F26))+B2173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43">
        <f>L2143*(1-MIN((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2143*(MIN((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43">
        <f>(1-Summary!$B$11)*T2143+Summary!$B$11*V2143</f>
        <v/>
      </c>
      <c r="P2143">
        <f>IF(B2174=0,0,O2143/B2174)</f>
        <v/>
      </c>
      <c r="Q2143">
        <f>IFERROR(1/IF(Inputs!$B$39="pvp",15,MAX(0.1,Skills!D13-IF(Skills!E13=TRUE,Inputs!$B$32,0))),0)</f>
        <v/>
      </c>
      <c r="R2143">
        <f>IF(AND(Inputs!$B$39&lt;&gt;"pvp",Inputs!$B$44&gt;0),IF(MAX(0,Inputs!$B$44-B2175)&lt;=0,0,(INT(MAX(0,Inputs!$B$44-B2175)/IF(Inputs!$B$39="pvp",15,MAX(0.1,Skills!D13-IF(Skills!E13=TRUE,Inputs!$B$32,0))))+1)),0)</f>
        <v/>
      </c>
      <c r="S2143">
        <f>IFERROR(O2143/N2143,0)</f>
        <v/>
      </c>
      <c r="T2143">
        <f>IF(C2143,(H2143*N2143*IF(AND(Inputs!$B$39&lt;&gt;"pvp",Inputs!$B$44&gt;0),((Skills!G13*((R2143-1)*IF(Skills!H13&gt;0,Skills!I13/Skills!H13,1)+IF(Skills!H13&gt;0,MIN(Skills!I13,MAX(0,MAX(0,Inputs!$B$44-B2175)-((R2143-1)*IF(Inputs!$B$39="pvp",15,MAX(0.1,Skills!D13-IF(Skills!E13=TRUE,Inputs!$B$32,0))))))/Skills!H13,1)))/Inputs!$B$44),G2143*Q2143))*IF(Inputs!$B$39="pvp",1,1+(Inputs!$B$20+((C2157=TRUE)*(F2157-Calc!F27))+Skills!P13+B2171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Hunt"),CHOOSE(ArtifactsInput!$N$35+1,15,18,21,24,27,30)*(1-EXP(-(0.2*B2166)*5)),0)+IF(AND(IF(ArtifactsInput!$M$22,FALSE,TRUE),Inputs!$B$4&lt;&gt;"Chapter Hunt"),CHOOSE(ArtifactsInput!$N$22+1,10,12,14,16,18,20)*((0*(((0.15*B2166*5))^0/1)+1*(((0.15*B2166*5))^1/1)+2*(((0.15*B2166*5))^2/2)+3*(((0.15*B2166*5))^3/6)+4*(((0.15*B2166*5))^4/24)+5*(((0.15*B2166*5))^5/120))/((((0.15*B2166*5))^0/1)+(((0.15*B2166*5))^1/1)+(((0.15*B2166*5))^2/2)+(((0.15*B2166*5))^3/6)+(((0.15*B2166*5))^4/24)+(((0.15*B2166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2143*(1-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2143*(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2143*(1-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2143*(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43">
        <f>IF(C2143,(H2143*N2143*IF(AND(Inputs!$B$39&lt;&gt;"pvp",Inputs!$B$44&gt;0),((Skills!G13*((R2143-1)*IF(Skills!H13&gt;0,Skills!I13/Skills!H13,1)+IF(Skills!H13&gt;0,MIN(Skills!I13,MAX(0,MAX(0,Inputs!$B$44-B2175)-((R2143-1)*IF(Inputs!$B$39="pvp",15,MAX(0.1,Skills!D13-IF(Skills!E13=TRUE,Inputs!$B$32,0))))))/Skills!H13,1)))/Inputs!$B$44),G2143*Q2143))*IF(Inputs!$B$39="pvp",1,(1+(Inputs!$B$21+Skills!Q13+B2171+(IF(ArtifactsInput!$M$33,CHOOSE(ArtifactsInput!$N$33+1,30,36,42,48,54,60),0))+(IF(AND(ArtifactsInput!$M$35,Inputs!$B$4&lt;&gt;"Chapter Hunt"),CHOOSE(ArtifactsInput!$N$35+1,15,18,21,24,27,30)*(1-EXP(-(0.2*B2166)*5)),0)+IF(AND(IF(ArtifactsInput!$M$22,FALSE,TRUE),Inputs!$B$4&lt;&gt;"Chapter Hunt"),CHOOSE(ArtifactsInput!$N$22+1,10,12,14,16,18,20)*((0*(((0.15*B2166*5))^0/1)+1*(((0.15*B2166*5))^1/1)+2*(((0.15*B2166*5))^2/2)+3*(((0.15*B2166*5))^3/6)+4*(((0.15*B2166*5))^4/24)+5*(((0.15*B2166*5))^5/120))/((((0.15*B2166*5))^0/1)+(((0.15*B2166*5))^1/1)+(((0.15*B2166*5))^2/2)+(((0.15*B2166*5))^3/6)+(((0.15*B2166*5))^4/24)+(((0.15*B2166*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44">
      <c r="A2144">
        <f>Skills!A14</f>
        <v/>
      </c>
      <c r="B2144">
        <f>Skills!B14</f>
        <v/>
      </c>
      <c r="C2144">
        <f>Inputs!$B$3&gt;=105</f>
        <v/>
      </c>
      <c r="D2144">
        <f>IF(Skills!C14=1,60+Inputs!$B$25+Inputs!$B$29,IF(Skills!C14=2,90+Inputs!$B$26+Inputs!$B$29,IF(Skills!C14=3,120+Inputs!$B$27+Inputs!$B$29,MAX(0,(Inputs!$B$3-100)*3)+Inputs!$B$28+Inputs!$B$29)))</f>
        <v/>
      </c>
      <c r="E2144">
        <f>INDEX(FactorTable!$B$2:$Y$301, MATCH(ROUND(MIN(300,MAX(1,D2144)),0), FactorTable!$A$2:$A$301,0), Skills!M14+1)</f>
        <v/>
      </c>
      <c r="F2144">
        <f>IF(Skills!N14=TRUE,(Skills!L14/10)*(E2144/1000),Skills!L14/10)+Skills!O14</f>
        <v/>
      </c>
      <c r="G2144">
        <f>Calc!G14</f>
        <v/>
      </c>
      <c r="H2144">
        <f>Calc!H14</f>
        <v/>
      </c>
      <c r="I2144">
        <f>IF(Skills!AA14&lt;&gt;"",1+(Skills!AA14/10)*(U2133/1000)/100,1)</f>
        <v/>
      </c>
      <c r="J2144">
        <f>((Inputs!$B$6*(1+Inputs!$B$7/100))+(((Inputs!$B$12*(1+Inputs!$B$13/100))-(Inputs!$B$12*(1+Inputs!$B$13/100)))+0.25*(Inputs!$B$14-Inputs!$B$14))*(1+Inputs!$B$7/100))*(F2144/100)</f>
        <v/>
      </c>
      <c r="K2144">
        <f>J2144*(1+((Inputs!$B$12*(1+Inputs!$B$13/100))*0.01+Inputs!$B$14*0.0025)/100)*(1+Inputs!$B$15/100)*(1+Inputs!$B$16/100)*(5000/(6000+Inputs!$B$43*(1-(100*(1-(1-(Inputs!$B$19+0)/100)*(1-CHOOSE(ArtifactsInput!$N$40+1,5,6,7,8,9,10)/100)^(ArtifactsInput!$M$40-ArtifactsInput!$M$40)))/100)))*(1+(Inputs!$B$24+((C2160=TRUE)*(F2160-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2153=TRUE)*(F2153-Calc!F23))+(((IF(AND(ArtifactsInput!$M$42,((Inputs!$B$9+((C2155=TRUE)*(F2155-Calc!F25))+B2170+(ArtifactsInput!$M$24-ArtifactsInput!$M$24)*CHOOSE(ArtifactsInput!$N$24+1,10,12,14,16,18,20)+IF(ArtifactsInput!$M$10,CHOOSE(ArtifactsInput!$N$10+1,15,18,21,24,27,30)*(IF(Inputs!$B$39="pvp",MIN(15,15)/15,IF(AND(Inputs!$B$39&lt;&gt;"pvp",Inputs!$B$44&gt;0),MIN(15,Inputs!$B$44)/(Inputs!$B$44),0))),0)))&gt;=100),MIN(100,((Inputs!$B$9+((C2155=TRUE)*(F2155-Calc!F25))+B2170+(ArtifactsInput!$M$24-ArtifactsInput!$M$24)*CHOOSE(ArtifactsInput!$N$24+1,10,12,14,16,18,20)+IF(ArtifactsInput!$M$10,CHOOSE(ArtifactsInput!$N$10+1,15,18,21,24,27,30)*(IF(Inputs!$B$39="pvp",MIN(15,15)/15,IF(AND(Inputs!$B$39&lt;&gt;"pvp",Inputs!$B$44&gt;0),MIN(15,Inputs!$B$44)/(Inputs!$B$44),0))),0)))-100),0))*CHOOSE(ArtifactsInput!$N$42+1,0.6,0.72,0.84,0.96,1.08,1.2))),Inputs!$B$18+((C2159=TRUE)*(F2159-Calc!F29))+(IF(AND(ArtifactsInput!$M$42,((Inputs!$B$9+((C2155=TRUE)*(F2155-Calc!F25))+B2170+(ArtifactsInput!$M$24-ArtifactsInput!$M$24)*CHOOSE(ArtifactsInput!$N$24+1,10,12,14,16,18,20)+IF(ArtifactsInput!$M$10,CHOOSE(ArtifactsInput!$N$10+1,15,18,21,24,27,30)*(IF(Inputs!$B$39="pvp",MIN(15,15)/15,IF(AND(Inputs!$B$39&lt;&gt;"pvp",Inputs!$B$44&gt;0),MIN(15,Inputs!$B$44)/(Inputs!$B$44),0))),0)))&gt;=100),CHOOSE(ArtifactsInput!$N$42+1,40,48,56,64,72,80),0))))/100)*(((1+(((C2151=TRUE)*F2151*IF(AND(Inputs!$B$39&lt;&gt;"pvp",Inputs!$B$44&gt;0),(((R2151-1)*(Skills!Y21*(1+Inputs!$B$34/100))+MIN((Skills!Y21*(1+Inputs!$B$34/100)),MAX(0,Inputs!$B$44-((R2151-1)*Skills!D21))))/Inputs!$B$44),IF(Inputs!$B$39="pvp",MIN((Skills!Y21*(1+Inputs!$B$34/100)),15)/15,(Skills!Y21*(1+Inputs!$B$34/100))/Skills!D21)))+((C2158=TRUE)*(F2158-Calc!F28))+((C2148=TRUE)*(F2148-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2145=TRUE)*F2145*IF(AND(Inputs!$B$39&lt;&gt;"pvp",Inputs!$B$44&gt;0),(((R2145-1)*(Skills!Y15*(1+Inputs!$B$34/100))+MIN((Skills!Y15*(1+Inputs!$B$34/100)),MAX(0,Inputs!$B$44-((R2145-1)*Skills!D15))))/Inputs!$B$44),IF(Inputs!$B$39="pvp",MIN((Skills!Y15*(1+Inputs!$B$34/100)),15)/15,(Skills!Y15*(1+Inputs!$B$34/100))/Skills!D15)))/100)*(1+((C2136=TRUE)*F2136*B2164)/100))*B2172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2144)</f>
        <v/>
      </c>
      <c r="L2144">
        <f>K2144*(MIN(Inputs!$B$22+((C2154=TRUE)*(F2154-Calc!F24)),(Inputs!$B$23+0+(IF(ArtifactsInput!$M$15,CHOOSE(ArtifactsInput!$N$15+1,25,30,35,40,45,50)/100*(Inputs!$B$11-Inputs!$B$11),0))))/100+(Inputs!$B$23+0+(IF(ArtifactsInput!$M$15,CHOOSE(ArtifactsInput!$N$15+1,25,30,35,40,45,50)/100*(Inputs!$B$11-Inputs!$B$11),0)))/100)/2</f>
        <v/>
      </c>
      <c r="M2144">
        <f>L2144*(1+(Inputs!$B$10+((C2156=TRUE)*(F2156-Calc!F26))+B2173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44">
        <f>L2144*(1-MIN((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2144*(MIN((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44">
        <f>(1-Summary!$B$11)*T2144+Summary!$B$11*V2144</f>
        <v/>
      </c>
      <c r="P2144">
        <f>IF(B2174=0,0,O2144/B2174)</f>
        <v/>
      </c>
      <c r="Q2144">
        <f>IFERROR(1/IF(Inputs!$B$39="pvp",15,MAX(0.1,Skills!D14-IF(Skills!E14=TRUE,Inputs!$B$32,0))),0)</f>
        <v/>
      </c>
      <c r="R2144">
        <f>IF(AND(Inputs!$B$39&lt;&gt;"pvp",Inputs!$B$44&gt;0),IF(MAX(0,Inputs!$B$44-B2175)&lt;=0,0,(INT(MAX(0,Inputs!$B$44-B2175)/IF(Inputs!$B$39="pvp",15,MAX(0.1,Skills!D14-IF(Skills!E14=TRUE,Inputs!$B$32,0))))+1)),0)</f>
        <v/>
      </c>
      <c r="S2144">
        <f>IFERROR(O2144/N2144,0)</f>
        <v/>
      </c>
      <c r="T2144">
        <f>IF(C2144,(H2144*N2144*IF(AND(Inputs!$B$39&lt;&gt;"pvp",Inputs!$B$44&gt;0),((Skills!G14*((R2144-1)*IF(Skills!H14&gt;0,Skills!I14/Skills!H14,1)+IF(Skills!H14&gt;0,MIN(Skills!I14,MAX(0,MAX(0,Inputs!$B$44-B2175)-((R2144-1)*IF(Inputs!$B$39="pvp",15,MAX(0.1,Skills!D14-IF(Skills!E14=TRUE,Inputs!$B$32,0))))))/Skills!H14,1)))/Inputs!$B$44),G2144*Q2144))*IF(Inputs!$B$39="pvp",1,1+(Inputs!$B$20+((C2157=TRUE)*(F2157-Calc!F27))+Skills!P14+B2171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Hunt"),CHOOSE(ArtifactsInput!$N$35+1,15,18,21,24,27,30)*(1-EXP(-(0.2*B2166)*5)),0)+IF(AND(IF(ArtifactsInput!$M$22,FALSE,TRUE),Inputs!$B$4&lt;&gt;"Chapter Hunt"),CHOOSE(ArtifactsInput!$N$22+1,10,12,14,16,18,20)*((0*(((0.15*B2166*5))^0/1)+1*(((0.15*B2166*5))^1/1)+2*(((0.15*B2166*5))^2/2)+3*(((0.15*B2166*5))^3/6)+4*(((0.15*B2166*5))^4/24)+5*(((0.15*B2166*5))^5/120))/((((0.15*B2166*5))^0/1)+(((0.15*B2166*5))^1/1)+(((0.15*B2166*5))^2/2)+(((0.15*B2166*5))^3/6)+(((0.15*B2166*5))^4/24)+(((0.15*B2166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2144*(1-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2144*(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2144*(1-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2144*(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44">
        <f>IF(C2144,(H2144*N2144*IF(AND(Inputs!$B$39&lt;&gt;"pvp",Inputs!$B$44&gt;0),((Skills!G14*((R2144-1)*IF(Skills!H14&gt;0,Skills!I14/Skills!H14,1)+IF(Skills!H14&gt;0,MIN(Skills!I14,MAX(0,MAX(0,Inputs!$B$44-B2175)-((R2144-1)*IF(Inputs!$B$39="pvp",15,MAX(0.1,Skills!D14-IF(Skills!E14=TRUE,Inputs!$B$32,0))))))/Skills!H14,1)))/Inputs!$B$44),G2144*Q2144))*IF(Inputs!$B$39="pvp",1,(1+(Inputs!$B$21+Skills!Q14+B2171+(IF(ArtifactsInput!$M$33,CHOOSE(ArtifactsInput!$N$33+1,30,36,42,48,54,60),0))+(IF(AND(ArtifactsInput!$M$35,Inputs!$B$4&lt;&gt;"Chapter Hunt"),CHOOSE(ArtifactsInput!$N$35+1,15,18,21,24,27,30)*(1-EXP(-(0.2*B2166)*5)),0)+IF(AND(IF(ArtifactsInput!$M$22,FALSE,TRUE),Inputs!$B$4&lt;&gt;"Chapter Hunt"),CHOOSE(ArtifactsInput!$N$22+1,10,12,14,16,18,20)*((0*(((0.15*B2166*5))^0/1)+1*(((0.15*B2166*5))^1/1)+2*(((0.15*B2166*5))^2/2)+3*(((0.15*B2166*5))^3/6)+4*(((0.15*B2166*5))^4/24)+5*(((0.15*B2166*5))^5/120))/((((0.15*B2166*5))^0/1)+(((0.15*B2166*5))^1/1)+(((0.15*B2166*5))^2/2)+(((0.15*B2166*5))^3/6)+(((0.15*B2166*5))^4/24)+(((0.15*B2166*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45">
      <c r="A2145">
        <f>Skills!A15</f>
        <v/>
      </c>
      <c r="B2145">
        <f>Skills!B15</f>
        <v/>
      </c>
      <c r="C2145">
        <f>Inputs!$B$3&gt;=110</f>
        <v/>
      </c>
      <c r="D2145">
        <f>IF(Skills!C15=1,60+Inputs!$B$25+Inputs!$B$29,IF(Skills!C15=2,90+Inputs!$B$26+Inputs!$B$29,IF(Skills!C15=3,120+Inputs!$B$27+Inputs!$B$29,MAX(0,(Inputs!$B$3-100)*3)+Inputs!$B$28+Inputs!$B$29)))</f>
        <v/>
      </c>
      <c r="E2145">
        <f>INDEX(FactorTable!$B$2:$Y$301, MATCH(ROUND(MIN(300,MAX(1,D2145)),0), FactorTable!$A$2:$A$301,0), Skills!M15+1)</f>
        <v/>
      </c>
      <c r="F2145">
        <f>IF(Skills!N15=TRUE,(Skills!L15/10)*(E2145/1000),Skills!L15/10)+Skills!O15</f>
        <v/>
      </c>
      <c r="G2145">
        <f>Calc!G15</f>
        <v/>
      </c>
      <c r="H2145">
        <f>Calc!H15</f>
        <v/>
      </c>
      <c r="I2145">
        <f>IF(Skills!AA15&lt;&gt;"",1+(Skills!AA15/10)*(U2133/1000)/100,1)</f>
        <v/>
      </c>
      <c r="J2145" t="inlineStr"/>
      <c r="K2145" t="inlineStr"/>
      <c r="L2145" t="inlineStr"/>
      <c r="M2145" t="inlineStr"/>
      <c r="N2145" t="inlineStr"/>
      <c r="O2145">
        <f>(1-Summary!$B$11)*T2145+Summary!$B$11*V2145</f>
        <v/>
      </c>
      <c r="P2145">
        <f>IF(B2174=0,0,O2145/B2174)</f>
        <v/>
      </c>
      <c r="Q2145">
        <f>IFERROR(1/IF(Inputs!$B$39="pvp",15,MAX(0.1,Skills!D15-IF(Skills!E15=TRUE,Inputs!$B$32,0))),0)</f>
        <v/>
      </c>
      <c r="R2145">
        <f>IF(AND(Inputs!$B$39&lt;&gt;"pvp",Inputs!$B$44&gt;0),IF(Inputs!$B$44&lt;=0,0,(INT(Inputs!$B$44/IF(Inputs!$B$39="pvp",15,MAX(0.1,Skills!D15-IF(Skills!E15=TRUE,Inputs!$B$32,0))))+1)),0)</f>
        <v/>
      </c>
      <c r="S2145">
        <f>IFERROR(O2145/N2145,0)</f>
        <v/>
      </c>
      <c r="T2145" t="n">
        <v>0</v>
      </c>
      <c r="V2145" t="n">
        <v>0</v>
      </c>
    </row>
    <row r="2146">
      <c r="A2146">
        <f>Skills!A16</f>
        <v/>
      </c>
      <c r="B2146">
        <f>Skills!B16</f>
        <v/>
      </c>
      <c r="C2146">
        <f>Inputs!$B$3&gt;=110</f>
        <v/>
      </c>
      <c r="D2146">
        <f>IF(Skills!C16=1,60+Inputs!$B$25+Inputs!$B$29,IF(Skills!C16=2,90+Inputs!$B$26+Inputs!$B$29,IF(Skills!C16=3,120+Inputs!$B$27+Inputs!$B$29,MAX(0,(Inputs!$B$3-100)*3)+Inputs!$B$28+Inputs!$B$29)))</f>
        <v/>
      </c>
      <c r="E2146">
        <f>INDEX(FactorTable!$B$2:$Y$301, MATCH(ROUND(MIN(300,MAX(1,D2146)),0), FactorTable!$A$2:$A$301,0), Skills!M16+1)</f>
        <v/>
      </c>
      <c r="F2146">
        <f>IF(Skills!N16=TRUE,(Skills!L16/10)*(E2146/1000),Skills!L16/10)+Skills!O16</f>
        <v/>
      </c>
      <c r="G2146">
        <f>Calc!G16</f>
        <v/>
      </c>
      <c r="H2146">
        <f>Calc!H16</f>
        <v/>
      </c>
      <c r="I2146">
        <f>IF(Skills!AA16&lt;&gt;"",1+(Skills!AA16/10)*(U2133/1000)/100,1)</f>
        <v/>
      </c>
      <c r="J2146" t="inlineStr"/>
      <c r="K2146" t="inlineStr"/>
      <c r="L2146" t="inlineStr"/>
      <c r="M2146" t="inlineStr"/>
      <c r="N2146" t="inlineStr"/>
      <c r="O2146">
        <f>(1-Summary!$B$11)*T2146+Summary!$B$11*V2146</f>
        <v/>
      </c>
      <c r="P2146">
        <f>IF(B2174=0,0,O2146/B2174)</f>
        <v/>
      </c>
      <c r="Q2146">
        <f>IFERROR(1/IF(Inputs!$B$39="pvp",15,MAX(0.1,Skills!D16-IF(Skills!E16=TRUE,Inputs!$B$32,0))),0)</f>
        <v/>
      </c>
      <c r="R2146">
        <f>IF(AND(Inputs!$B$39&lt;&gt;"pvp",Inputs!$B$44&gt;0),IF(Inputs!$B$44&lt;=0,0,(INT(Inputs!$B$44/IF(Inputs!$B$39="pvp",15,MAX(0.1,Skills!D16-IF(Skills!E16=TRUE,Inputs!$B$32,0))))+1)),0)</f>
        <v/>
      </c>
      <c r="S2146">
        <f>IFERROR(O2146/N2146,0)</f>
        <v/>
      </c>
      <c r="T2146" t="n">
        <v>0</v>
      </c>
      <c r="V2146" t="n">
        <v>0</v>
      </c>
    </row>
    <row r="2147">
      <c r="A2147">
        <f>Skills!A17</f>
        <v/>
      </c>
      <c r="B2147">
        <f>Skills!B17</f>
        <v/>
      </c>
      <c r="C2147">
        <f>Inputs!$B$3&gt;=115</f>
        <v/>
      </c>
      <c r="D2147">
        <f>IF(Skills!C17=1,60+Inputs!$B$25+Inputs!$B$29,IF(Skills!C17=2,90+Inputs!$B$26+Inputs!$B$29,IF(Skills!C17=3,120+Inputs!$B$27+Inputs!$B$29,MAX(0,(Inputs!$B$3-100)*3)+Inputs!$B$28+Inputs!$B$29)))</f>
        <v/>
      </c>
      <c r="E2147">
        <f>INDEX(FactorTable!$B$2:$Y$301, MATCH(ROUND(MIN(300,MAX(1,D2147)),0), FactorTable!$A$2:$A$301,0), Skills!M17+1)</f>
        <v/>
      </c>
      <c r="F2147">
        <f>IF(Skills!N17=TRUE,(Skills!L17/10)*(E2147/1000),Skills!L17/10)+Skills!O17</f>
        <v/>
      </c>
      <c r="G2147">
        <f>Calc!G17</f>
        <v/>
      </c>
      <c r="H2147">
        <f>Calc!H17</f>
        <v/>
      </c>
      <c r="I2147">
        <f>IF(Skills!AA17&lt;&gt;"",1+(Skills!AA17/10)*(U2133/1000)/100,1)</f>
        <v/>
      </c>
      <c r="J2147">
        <f>((Inputs!$B$6*(1+Inputs!$B$7/100))+(((Inputs!$B$12*(1+Inputs!$B$13/100))-(Inputs!$B$12*(1+Inputs!$B$13/100)))+0.25*(Inputs!$B$14-Inputs!$B$14))*(1+Inputs!$B$7/100))*(F2147/100)</f>
        <v/>
      </c>
      <c r="K2147">
        <f>J2147*(1+((Inputs!$B$12*(1+Inputs!$B$13/100))*0.01+Inputs!$B$14*0.0025)/100)*(1+Inputs!$B$15/100)*(1+Inputs!$B$16/100)*(5000/(6000+Inputs!$B$43*(1-(100*(1-(1-(Inputs!$B$19+0)/100)*(1-CHOOSE(ArtifactsInput!$N$40+1,5,6,7,8,9,10)/100)^(ArtifactsInput!$M$40-ArtifactsInput!$M$40)))/100)))*(1+(Inputs!$B$24+((C2160=TRUE)*(F2160-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2153=TRUE)*(F2153-Calc!F23))+(((IF(AND(ArtifactsInput!$M$42,((Inputs!$B$9+((C2155=TRUE)*(F2155-Calc!F25))+B2170+(ArtifactsInput!$M$24-ArtifactsInput!$M$24)*CHOOSE(ArtifactsInput!$N$24+1,10,12,14,16,18,20)+IF(ArtifactsInput!$M$10,CHOOSE(ArtifactsInput!$N$10+1,15,18,21,24,27,30)*(IF(Inputs!$B$39="pvp",MIN(15,15)/15,IF(AND(Inputs!$B$39&lt;&gt;"pvp",Inputs!$B$44&gt;0),MIN(15,Inputs!$B$44)/(Inputs!$B$44),0))),0)))&gt;=100),MIN(100,((Inputs!$B$9+((C2155=TRUE)*(F2155-Calc!F25))+B2170+(ArtifactsInput!$M$24-ArtifactsInput!$M$24)*CHOOSE(ArtifactsInput!$N$24+1,10,12,14,16,18,20)+IF(ArtifactsInput!$M$10,CHOOSE(ArtifactsInput!$N$10+1,15,18,21,24,27,30)*(IF(Inputs!$B$39="pvp",MIN(15,15)/15,IF(AND(Inputs!$B$39&lt;&gt;"pvp",Inputs!$B$44&gt;0),MIN(15,Inputs!$B$44)/(Inputs!$B$44),0))),0)))-100),0))*CHOOSE(ArtifactsInput!$N$42+1,0.6,0.72,0.84,0.96,1.08,1.2))),Inputs!$B$18+((C2159=TRUE)*(F2159-Calc!F29))+(IF(AND(ArtifactsInput!$M$42,((Inputs!$B$9+((C2155=TRUE)*(F2155-Calc!F25))+B2170+(ArtifactsInput!$M$24-ArtifactsInput!$M$24)*CHOOSE(ArtifactsInput!$N$24+1,10,12,14,16,18,20)+IF(ArtifactsInput!$M$10,CHOOSE(ArtifactsInput!$N$10+1,15,18,21,24,27,30)*(IF(Inputs!$B$39="pvp",MIN(15,15)/15,IF(AND(Inputs!$B$39&lt;&gt;"pvp",Inputs!$B$44&gt;0),MIN(15,Inputs!$B$44)/(Inputs!$B$44),0))),0)))&gt;=100),CHOOSE(ArtifactsInput!$N$42+1,40,48,56,64,72,80),0))))/100)*(((1+(((C2151=TRUE)*F2151*IF(AND(Inputs!$B$39&lt;&gt;"pvp",Inputs!$B$44&gt;0),(((R2151-1)*(Skills!Y21*(1+Inputs!$B$34/100))+MIN((Skills!Y21*(1+Inputs!$B$34/100)),MAX(0,Inputs!$B$44-((R2151-1)*Skills!D21))))/Inputs!$B$44),IF(Inputs!$B$39="pvp",MIN((Skills!Y21*(1+Inputs!$B$34/100)),15)/15,(Skills!Y21*(1+Inputs!$B$34/100))/Skills!D21)))+((C2158=TRUE)*(F2158-Calc!F28))+((C2148=TRUE)*(F2148-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2145=TRUE)*F2145*IF(AND(Inputs!$B$39&lt;&gt;"pvp",Inputs!$B$44&gt;0),(((R2145-1)*(Skills!Y15*(1+Inputs!$B$34/100))+MIN((Skills!Y15*(1+Inputs!$B$34/100)),MAX(0,Inputs!$B$44-((R2145-1)*Skills!D15))))/Inputs!$B$44),IF(Inputs!$B$39="pvp",MIN((Skills!Y15*(1+Inputs!$B$34/100)),15)/15,(Skills!Y15*(1+Inputs!$B$34/100))/Skills!D15)))/100)*(1+((C2136=TRUE)*F2136*B2164)/100))*B2172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2147)</f>
        <v/>
      </c>
      <c r="L2147">
        <f>K2147*(MIN(Inputs!$B$22+((C2154=TRUE)*(F2154-Calc!F24)),(Inputs!$B$23+0+(IF(ArtifactsInput!$M$15,CHOOSE(ArtifactsInput!$N$15+1,25,30,35,40,45,50)/100*(Inputs!$B$11-Inputs!$B$11),0))))/100+(Inputs!$B$23+0+(IF(ArtifactsInput!$M$15,CHOOSE(ArtifactsInput!$N$15+1,25,30,35,40,45,50)/100*(Inputs!$B$11-Inputs!$B$11),0)))/100)/2</f>
        <v/>
      </c>
      <c r="M2147">
        <f>L2147*(1+(Inputs!$B$10+((C2156=TRUE)*(F2156-Calc!F26))+B2173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47">
        <f>L2147*(1-MIN((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2147*(MIN((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47">
        <f>(1-Summary!$B$11)*T2147+Summary!$B$11*V2147</f>
        <v/>
      </c>
      <c r="P2147">
        <f>IF(B2174=0,0,O2147/B2174)</f>
        <v/>
      </c>
      <c r="Q2147" t="n">
        <v>0</v>
      </c>
      <c r="R2147" t="n">
        <v>0</v>
      </c>
      <c r="S2147">
        <f>IFERROR(O2147/N2147,0)</f>
        <v/>
      </c>
      <c r="T2147">
        <f>IF(C2147,(Inputs!$B$38*0.2*N2147)*IF(Inputs!$B$39="pvp",1,1+(Inputs!$B$20+((C2157=TRUE)*(F2157-Calc!F27))+Skills!P17+B2171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Hunt"),CHOOSE(ArtifactsInput!$N$35+1,15,18,21,24,27,30)*(1-EXP(-(0.2*B2166)*5)),0)+IF(AND(IF(ArtifactsInput!$M$22,FALSE,TRUE),Inputs!$B$4&lt;&gt;"Chapter Hunt"),CHOOSE(ArtifactsInput!$N$22+1,10,12,14,16,18,20)*((0*(((0.15*B2166*5))^0/1)+1*(((0.15*B2166*5))^1/1)+2*(((0.15*B2166*5))^2/2)+3*(((0.15*B2166*5))^3/6)+4*(((0.15*B2166*5))^4/24)+5*(((0.15*B2166*5))^5/120))/((((0.15*B2166*5))^0/1)+(((0.15*B2166*5))^1/1)+(((0.15*B2166*5))^2/2)+(((0.15*B2166*5))^3/6)+(((0.15*B2166*5))^4/24)+(((0.15*B2166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2147*(1-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2147*(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2147*(1-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2147*(MIN(100,(Inputs!$B$9+((C2155=TRUE)*(F2155-Calc!F25))+B2170+(ArtifactsInput!$M$24-ArtifactsInput!$M$24)*CHOOSE(ArtifactsInput!$N$24+1,10,12,14,16,18,20)+(IF(AND(ArtifactsInput!$M$42,((Inputs!$B$9+((C2155=TRUE)*(F2155-Calc!F25))+B2170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47">
        <f>IF(C2147,(Inputs!$B$38*0.2*N2147)*IF(Inputs!$B$39="pvp",1,(1+(Inputs!$B$21+Skills!Q17+B2171+(IF(ArtifactsInput!$M$33,CHOOSE(ArtifactsInput!$N$33+1,30,36,42,48,54,60),0))+(IF(AND(ArtifactsInput!$M$35,Inputs!$B$4&lt;&gt;"Chapter Hunt"),CHOOSE(ArtifactsInput!$N$35+1,15,18,21,24,27,30)*(1-EXP(-(0.2*B2166)*5)),0)+IF(AND(IF(ArtifactsInput!$M$22,FALSE,TRUE),Inputs!$B$4&lt;&gt;"Chapter Hunt"),CHOOSE(ArtifactsInput!$N$22+1,10,12,14,16,18,20)*((0*(((0.15*B2166*5))^0/1)+1*(((0.15*B2166*5))^1/1)+2*(((0.15*B2166*5))^2/2)+3*(((0.15*B2166*5))^3/6)+4*(((0.15*B2166*5))^4/24)+5*(((0.15*B2166*5))^5/120))/((((0.15*B2166*5))^0/1)+(((0.15*B2166*5))^1/1)+(((0.15*B2166*5))^2/2)+(((0.15*B2166*5))^3/6)+(((0.15*B2166*5))^4/24)+(((0.15*B2166*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48">
      <c r="A2148">
        <f>Skills!A18</f>
        <v/>
      </c>
      <c r="B2148">
        <f>Skills!B18</f>
        <v/>
      </c>
      <c r="C2148">
        <f>Inputs!$B$3&gt;=115</f>
        <v/>
      </c>
      <c r="D2148">
        <f>IF(Skills!C18=1,60+Inputs!$B$25+Inputs!$B$29,IF(Skills!C18=2,90+Inputs!$B$26+Inputs!$B$29,IF(Skills!C18=3,120+Inputs!$B$27+Inputs!$B$29,MAX(0,(Inputs!$B$3-100)*3)+Inputs!$B$28+Inputs!$B$29)))</f>
        <v/>
      </c>
      <c r="E2148">
        <f>INDEX(FactorTable!$B$2:$Y$301, MATCH(ROUND(MIN(300,MAX(1,D2148)),0), FactorTable!$A$2:$A$301,0), Skills!M18+1)</f>
        <v/>
      </c>
      <c r="F2148">
        <f>IF(Skills!N18=TRUE,(Skills!L18/10)*(E2148/1000),Skills!L18/10)+Skills!O18</f>
        <v/>
      </c>
      <c r="G2148">
        <f>Calc!G18</f>
        <v/>
      </c>
      <c r="H2148">
        <f>Calc!H18</f>
        <v/>
      </c>
      <c r="I2148">
        <f>IF(Skills!AA18&lt;&gt;"",1+(Skills!AA18/10)*(U2133/1000)/100,1)</f>
        <v/>
      </c>
      <c r="J2148" t="inlineStr"/>
      <c r="K2148" t="inlineStr"/>
      <c r="L2148" t="inlineStr"/>
      <c r="M2148" t="inlineStr"/>
      <c r="N2148" t="inlineStr"/>
      <c r="O2148">
        <f>(1-Summary!$B$11)*T2148+Summary!$B$11*V2148</f>
        <v/>
      </c>
      <c r="P2148">
        <f>IF(B2174=0,0,O2148/B2174)</f>
        <v/>
      </c>
      <c r="Q2148" t="n">
        <v>0</v>
      </c>
      <c r="R2148" t="n">
        <v>0</v>
      </c>
      <c r="S2148">
        <f>IFERROR(O2148/N2148,0)</f>
        <v/>
      </c>
      <c r="T2148" t="n">
        <v>0</v>
      </c>
      <c r="V2148" t="n">
        <v>0</v>
      </c>
    </row>
    <row r="2149">
      <c r="A2149">
        <f>Skills!A19</f>
        <v/>
      </c>
      <c r="B2149">
        <f>Skills!B19</f>
        <v/>
      </c>
      <c r="C2149">
        <f>TRUE</f>
        <v/>
      </c>
      <c r="D2149">
        <f>IF(Skills!C19=1,60+Inputs!$B$25+Inputs!$B$29,IF(Skills!C19=2,90+Inputs!$B$26+Inputs!$B$29,IF(Skills!C19=3,120+Inputs!$B$27+Inputs!$B$29,MAX(0,(Inputs!$B$3-100)*3)+Inputs!$B$28+Inputs!$B$29)))</f>
        <v/>
      </c>
      <c r="E2149">
        <f>INDEX(FactorTable!$B$2:$Y$301, MATCH(ROUND(MIN(300,MAX(1,D2149)),0), FactorTable!$A$2:$A$301,0), Skills!M19+1)</f>
        <v/>
      </c>
      <c r="F2149">
        <f>IF(Skills!N19=TRUE,(Skills!L19/10)*(E2149/1000),Skills!L19/10)+Skills!O19</f>
        <v/>
      </c>
      <c r="G2149">
        <f>Calc!G19</f>
        <v/>
      </c>
      <c r="H2149">
        <f>Calc!H19</f>
        <v/>
      </c>
      <c r="I2149">
        <f>IF(Skills!AA19&lt;&gt;"",1+(Skills!AA19/10)*(U2133/1000)/100,1)</f>
        <v/>
      </c>
      <c r="J2149" t="inlineStr"/>
      <c r="K2149" t="inlineStr"/>
      <c r="L2149" t="inlineStr"/>
      <c r="M2149" t="inlineStr"/>
      <c r="N2149" t="inlineStr"/>
      <c r="O2149">
        <f>(1-Summary!$B$11)*T2149+Summary!$B$11*V2149</f>
        <v/>
      </c>
      <c r="P2149">
        <f>IF(B2174=0,0,O2149/B2174)</f>
        <v/>
      </c>
      <c r="Q2149">
        <f>IFERROR(1/IF(Inputs!$B$39="pvp",15,MAX(0.1,Skills!D19-IF(Skills!E19=TRUE,Inputs!$B$32,0))),0)</f>
        <v/>
      </c>
      <c r="R2149">
        <f>IF(AND(Inputs!$B$39&lt;&gt;"pvp",Inputs!$B$44&gt;0),IF(Inputs!$B$44&lt;=0,0,(INT(Inputs!$B$44/IF(Inputs!$B$39="pvp",15,MAX(0.1,Skills!D19-IF(Skills!E19=TRUE,Inputs!$B$32,0))))+1)),0)</f>
        <v/>
      </c>
      <c r="S2149">
        <f>IFERROR(O2149/N2149,0)</f>
        <v/>
      </c>
      <c r="T2149" t="n">
        <v>0</v>
      </c>
      <c r="V2149" t="n">
        <v>0</v>
      </c>
    </row>
    <row r="2150">
      <c r="A2150">
        <f>Skills!A20</f>
        <v/>
      </c>
      <c r="B2150">
        <f>Skills!B20</f>
        <v/>
      </c>
      <c r="C2150">
        <f>Inputs!$B$3&gt;=15</f>
        <v/>
      </c>
      <c r="D2150">
        <f>IF(Skills!C20=1,60+Inputs!$B$25+Inputs!$B$29,IF(Skills!C20=2,90+Inputs!$B$26+Inputs!$B$29,IF(Skills!C20=3,120+Inputs!$B$27+Inputs!$B$29,MAX(0,(Inputs!$B$3-100)*3)+Inputs!$B$28+Inputs!$B$29)))</f>
        <v/>
      </c>
      <c r="E2150">
        <f>INDEX(FactorTable!$B$2:$Y$301, MATCH(ROUND(MIN(300,MAX(1,D2150)),0), FactorTable!$A$2:$A$301,0), Skills!M20+1)</f>
        <v/>
      </c>
      <c r="F2150">
        <f>IF(Skills!N20=TRUE,(Skills!L20/10)*(E2150/1000),Skills!L20/10)+Skills!O20</f>
        <v/>
      </c>
      <c r="G2150">
        <f>Calc!G20</f>
        <v/>
      </c>
      <c r="H2150">
        <f>Calc!H20</f>
        <v/>
      </c>
      <c r="I2150">
        <f>IF(Skills!AA20&lt;&gt;"",1+(Skills!AA20/10)*(U2133/1000)/100,1)</f>
        <v/>
      </c>
      <c r="J2150" t="inlineStr"/>
      <c r="K2150" t="inlineStr"/>
      <c r="L2150" t="inlineStr"/>
      <c r="M2150" t="inlineStr"/>
      <c r="N2150" t="inlineStr"/>
      <c r="O2150">
        <f>(1-Summary!$B$11)*T2150+Summary!$B$11*V2150</f>
        <v/>
      </c>
      <c r="P2150">
        <f>IF(B2174=0,0,O2150/B2174)</f>
        <v/>
      </c>
      <c r="Q2150">
        <f>IFERROR(1/IF(Inputs!$B$39="pvp",15,MAX(0.1,Skills!D20-IF(Skills!E20=TRUE,Inputs!$B$32,0))),0)</f>
        <v/>
      </c>
      <c r="R2150">
        <f>IF(AND(Inputs!$B$39&lt;&gt;"pvp",Inputs!$B$44&gt;0),IF(Inputs!$B$44&lt;=0,0,(INT(Inputs!$B$44/IF(Inputs!$B$39="pvp",15,MAX(0.1,Skills!D20-IF(Skills!E20=TRUE,Inputs!$B$32,0))))+1)),0)</f>
        <v/>
      </c>
      <c r="S2150">
        <f>IFERROR(O2150/N2150,0)</f>
        <v/>
      </c>
      <c r="T2150" t="n">
        <v>0</v>
      </c>
      <c r="V2150" t="n">
        <v>0</v>
      </c>
    </row>
    <row r="2151">
      <c r="A2151">
        <f>Skills!A21</f>
        <v/>
      </c>
      <c r="B2151">
        <f>Skills!B21</f>
        <v/>
      </c>
      <c r="C2151">
        <f>Inputs!$B$3&gt;=15</f>
        <v/>
      </c>
      <c r="D2151">
        <f>IF(Skills!C21=1,60+Inputs!$B$25+Inputs!$B$29,IF(Skills!C21=2,90+Inputs!$B$26+Inputs!$B$29,IF(Skills!C21=3,120+Inputs!$B$27+Inputs!$B$29,MAX(0,(Inputs!$B$3-100)*3)+Inputs!$B$28+Inputs!$B$29)))</f>
        <v/>
      </c>
      <c r="E2151">
        <f>INDEX(FactorTable!$B$2:$Y$301, MATCH(ROUND(MIN(300,MAX(1,D2151)),0), FactorTable!$A$2:$A$301,0), Skills!M21+1)</f>
        <v/>
      </c>
      <c r="F2151">
        <f>IF(Skills!N21=TRUE,(Skills!L21/10)*(E2151/1000),Skills!L21/10)+Skills!O21</f>
        <v/>
      </c>
      <c r="G2151">
        <f>Calc!G21</f>
        <v/>
      </c>
      <c r="H2151">
        <f>Calc!H21</f>
        <v/>
      </c>
      <c r="I2151">
        <f>IF(Skills!AA21&lt;&gt;"",1+(Skills!AA21/10)*(U2133/1000)/100,1)</f>
        <v/>
      </c>
      <c r="J2151" t="inlineStr"/>
      <c r="K2151" t="inlineStr"/>
      <c r="L2151" t="inlineStr"/>
      <c r="M2151" t="inlineStr"/>
      <c r="N2151" t="inlineStr"/>
      <c r="O2151">
        <f>(1-Summary!$B$11)*T2151+Summary!$B$11*V2151</f>
        <v/>
      </c>
      <c r="P2151">
        <f>IF(B2174=0,0,O2151/B2174)</f>
        <v/>
      </c>
      <c r="Q2151">
        <f>IFERROR(1/IF(Inputs!$B$39="pvp",15,MAX(0.1,Skills!D21-IF(Skills!E21=TRUE,Inputs!$B$32,0))),0)</f>
        <v/>
      </c>
      <c r="R2151">
        <f>IF(AND(Inputs!$B$39&lt;&gt;"pvp",Inputs!$B$44&gt;0),IF(Inputs!$B$44&lt;=0,0,(INT(Inputs!$B$44/IF(Inputs!$B$39="pvp",15,MAX(0.1,Skills!D21-IF(Skills!E21=TRUE,Inputs!$B$32,0))))+1)),0)</f>
        <v/>
      </c>
      <c r="S2151">
        <f>IFERROR(O2151/N2151,0)</f>
        <v/>
      </c>
      <c r="T2151" t="n">
        <v>0</v>
      </c>
      <c r="V2151" t="n">
        <v>0</v>
      </c>
    </row>
    <row r="2152">
      <c r="A2152">
        <f>Skills!A22</f>
        <v/>
      </c>
      <c r="B2152">
        <f>Skills!B22</f>
        <v/>
      </c>
      <c r="C2152">
        <f>Inputs!$B$3&gt;=33</f>
        <v/>
      </c>
      <c r="D2152">
        <f>IF(Skills!C22=1,60+Inputs!$B$25+Inputs!$B$29,IF(Skills!C22=2,90+Inputs!$B$26+Inputs!$B$29,IF(Skills!C22=3,120+Inputs!$B$27+Inputs!$B$29,MAX(0,(Inputs!$B$3-100)*3)+Inputs!$B$28+Inputs!$B$29)))</f>
        <v/>
      </c>
      <c r="E2152">
        <f>INDEX(FactorTable!$B$2:$Y$301, MATCH(ROUND(MIN(300,MAX(1,D2152)),0), FactorTable!$A$2:$A$301,0), Skills!M22+1)</f>
        <v/>
      </c>
      <c r="F2152">
        <f>IF(Skills!N22=TRUE,(Skills!L22/10)*(E2152/1000),Skills!L22/10)+Skills!O22</f>
        <v/>
      </c>
      <c r="G2152">
        <f>Calc!G22</f>
        <v/>
      </c>
      <c r="H2152">
        <f>Calc!H22</f>
        <v/>
      </c>
      <c r="I2152">
        <f>IF(Skills!AA22&lt;&gt;"",1+(Skills!AA22/10)*(U2133/1000)/100,1)</f>
        <v/>
      </c>
      <c r="J2152" t="inlineStr"/>
      <c r="K2152" t="inlineStr"/>
      <c r="L2152" t="inlineStr"/>
      <c r="M2152" t="inlineStr"/>
      <c r="N2152" t="inlineStr"/>
      <c r="O2152">
        <f>(1-Summary!$B$11)*T2152+Summary!$B$11*V2152</f>
        <v/>
      </c>
      <c r="P2152">
        <f>IF(B2174=0,0,O2152/B2174)</f>
        <v/>
      </c>
      <c r="Q2152" t="n">
        <v>0</v>
      </c>
      <c r="R2152" t="n">
        <v>0</v>
      </c>
      <c r="S2152">
        <f>IFERROR(O2152/N2152,0)</f>
        <v/>
      </c>
      <c r="T2152" t="n">
        <v>0</v>
      </c>
      <c r="V2152" t="n">
        <v>0</v>
      </c>
    </row>
    <row r="2153">
      <c r="A2153">
        <f>Skills!A23</f>
        <v/>
      </c>
      <c r="B2153">
        <f>Skills!B23</f>
        <v/>
      </c>
      <c r="C2153">
        <f>Inputs!$B$3&gt;=38</f>
        <v/>
      </c>
      <c r="D2153">
        <f>IF(Skills!C23=1,60+Inputs!$B$25+Inputs!$B$29,IF(Skills!C23=2,90+Inputs!$B$26+Inputs!$B$29,IF(Skills!C23=3,120+Inputs!$B$27+Inputs!$B$29,MAX(0,(Inputs!$B$3-100)*3)+Inputs!$B$28+Inputs!$B$29)))</f>
        <v/>
      </c>
      <c r="E2153">
        <f>INDEX(FactorTable!$B$2:$Y$301, MATCH(ROUND(MIN(300,MAX(1,D2153)),0), FactorTable!$A$2:$A$301,0), Skills!M23+1)</f>
        <v/>
      </c>
      <c r="F2153">
        <f>IF(Skills!N23=TRUE,(Skills!L23/10)*(E2153/1000),Skills!L23/10)+Skills!O23</f>
        <v/>
      </c>
      <c r="G2153">
        <f>Calc!G23</f>
        <v/>
      </c>
      <c r="H2153">
        <f>Calc!H23</f>
        <v/>
      </c>
      <c r="I2153">
        <f>IF(Skills!AA23&lt;&gt;"",1+(Skills!AA23/10)*(U2133/1000)/100,1)</f>
        <v/>
      </c>
      <c r="J2153" t="inlineStr"/>
      <c r="K2153" t="inlineStr"/>
      <c r="L2153" t="inlineStr"/>
      <c r="M2153" t="inlineStr"/>
      <c r="N2153" t="inlineStr"/>
      <c r="O2153">
        <f>(1-Summary!$B$11)*T2153+Summary!$B$11*V2153</f>
        <v/>
      </c>
      <c r="P2153">
        <f>IF(B2174=0,0,O2153/B2174)</f>
        <v/>
      </c>
      <c r="Q2153" t="n">
        <v>0</v>
      </c>
      <c r="R2153" t="n">
        <v>0</v>
      </c>
      <c r="S2153">
        <f>IFERROR(O2153/N2153,0)</f>
        <v/>
      </c>
      <c r="T2153" t="n">
        <v>0</v>
      </c>
      <c r="V2153" t="n">
        <v>0</v>
      </c>
    </row>
    <row r="2154">
      <c r="A2154">
        <f>Skills!A24</f>
        <v/>
      </c>
      <c r="B2154">
        <f>Skills!B24</f>
        <v/>
      </c>
      <c r="C2154">
        <f>Inputs!$B$3&gt;=40</f>
        <v/>
      </c>
      <c r="D2154">
        <f>IF(Skills!C24=1,60+Inputs!$B$25+Inputs!$B$29,IF(Skills!C24=2,90+Inputs!$B$26+Inputs!$B$29,IF(Skills!C24=3,120+Inputs!$B$27+Inputs!$B$29,MAX(0,(Inputs!$B$3-100)*3)+Inputs!$B$28+Inputs!$B$29)))</f>
        <v/>
      </c>
      <c r="E2154">
        <f>INDEX(FactorTable!$B$2:$Y$301, MATCH(ROUND(MIN(300,MAX(1,D2154)),0), FactorTable!$A$2:$A$301,0), Skills!M24+1)</f>
        <v/>
      </c>
      <c r="F2154">
        <f>IF(Skills!N24=TRUE,(Skills!L24/10)*(E2154/1000),Skills!L24/10)+Skills!O24</f>
        <v/>
      </c>
      <c r="G2154">
        <f>Calc!G24</f>
        <v/>
      </c>
      <c r="H2154">
        <f>Calc!H24</f>
        <v/>
      </c>
      <c r="I2154">
        <f>IF(Skills!AA24&lt;&gt;"",1+(Skills!AA24/10)*(U2133/1000)/100,1)</f>
        <v/>
      </c>
      <c r="J2154" t="inlineStr"/>
      <c r="K2154" t="inlineStr"/>
      <c r="L2154" t="inlineStr"/>
      <c r="M2154" t="inlineStr"/>
      <c r="N2154" t="inlineStr"/>
      <c r="O2154">
        <f>(1-Summary!$B$11)*T2154+Summary!$B$11*V2154</f>
        <v/>
      </c>
      <c r="P2154">
        <f>IF(B2174=0,0,O2154/B2174)</f>
        <v/>
      </c>
      <c r="Q2154" t="n">
        <v>0</v>
      </c>
      <c r="R2154" t="n">
        <v>0</v>
      </c>
      <c r="S2154">
        <f>IFERROR(O2154/N2154,0)</f>
        <v/>
      </c>
      <c r="T2154" t="n">
        <v>0</v>
      </c>
      <c r="V2154" t="n">
        <v>0</v>
      </c>
    </row>
    <row r="2155">
      <c r="A2155">
        <f>Skills!A25</f>
        <v/>
      </c>
      <c r="B2155">
        <f>Skills!B25</f>
        <v/>
      </c>
      <c r="C2155">
        <f>Inputs!$B$3&gt;=45</f>
        <v/>
      </c>
      <c r="D2155">
        <f>IF(Skills!C25=1,60+Inputs!$B$25+Inputs!$B$29,IF(Skills!C25=2,90+Inputs!$B$26+Inputs!$B$29,IF(Skills!C25=3,120+Inputs!$B$27+Inputs!$B$29,MAX(0,(Inputs!$B$3-100)*3)+Inputs!$B$28+Inputs!$B$29)))</f>
        <v/>
      </c>
      <c r="E2155">
        <f>INDEX(FactorTable!$B$2:$Y$301, MATCH(ROUND(MIN(300,MAX(1,D2155)),0), FactorTable!$A$2:$A$301,0), Skills!M25+1)</f>
        <v/>
      </c>
      <c r="F2155">
        <f>IF(Skills!N25=TRUE,(Skills!L25/10)*(E2155/1000),Skills!L25/10)+Skills!O25</f>
        <v/>
      </c>
      <c r="G2155">
        <f>Calc!G25</f>
        <v/>
      </c>
      <c r="H2155">
        <f>Calc!H25</f>
        <v/>
      </c>
      <c r="I2155">
        <f>IF(Skills!AA25&lt;&gt;"",1+(Skills!AA25/10)*(U2133/1000)/100,1)</f>
        <v/>
      </c>
      <c r="J2155" t="inlineStr"/>
      <c r="K2155" t="inlineStr"/>
      <c r="L2155" t="inlineStr"/>
      <c r="M2155" t="inlineStr"/>
      <c r="N2155" t="inlineStr"/>
      <c r="O2155">
        <f>(1-Summary!$B$11)*T2155+Summary!$B$11*V2155</f>
        <v/>
      </c>
      <c r="P2155">
        <f>IF(B2174=0,0,O2155/B2174)</f>
        <v/>
      </c>
      <c r="Q2155" t="n">
        <v>0</v>
      </c>
      <c r="R2155" t="n">
        <v>0</v>
      </c>
      <c r="S2155">
        <f>IFERROR(O2155/N2155,0)</f>
        <v/>
      </c>
      <c r="T2155" t="n">
        <v>0</v>
      </c>
      <c r="V2155" t="n">
        <v>0</v>
      </c>
    </row>
    <row r="2156">
      <c r="A2156">
        <f>Skills!A26</f>
        <v/>
      </c>
      <c r="B2156">
        <f>Skills!B26</f>
        <v/>
      </c>
      <c r="C2156">
        <f>Inputs!$B$3&gt;=45</f>
        <v/>
      </c>
      <c r="D2156">
        <f>IF(Skills!C26=1,60+Inputs!$B$25+Inputs!$B$29,IF(Skills!C26=2,90+Inputs!$B$26+Inputs!$B$29,IF(Skills!C26=3,120+Inputs!$B$27+Inputs!$B$29,MAX(0,(Inputs!$B$3-100)*3)+Inputs!$B$28+Inputs!$B$29)))</f>
        <v/>
      </c>
      <c r="E2156">
        <f>INDEX(FactorTable!$B$2:$Y$301, MATCH(ROUND(MIN(300,MAX(1,D2156)),0), FactorTable!$A$2:$A$301,0), Skills!M26+1)</f>
        <v/>
      </c>
      <c r="F2156">
        <f>IF(Skills!N26=TRUE,(Skills!L26/10)*(E2156/1000),Skills!L26/10)+Skills!O26</f>
        <v/>
      </c>
      <c r="G2156">
        <f>Calc!G26</f>
        <v/>
      </c>
      <c r="H2156">
        <f>Calc!H26</f>
        <v/>
      </c>
      <c r="I2156">
        <f>IF(Skills!AA26&lt;&gt;"",1+(Skills!AA26/10)*(U2133/1000)/100,1)</f>
        <v/>
      </c>
      <c r="J2156" t="inlineStr"/>
      <c r="K2156" t="inlineStr"/>
      <c r="L2156" t="inlineStr"/>
      <c r="M2156" t="inlineStr"/>
      <c r="N2156" t="inlineStr"/>
      <c r="O2156">
        <f>(1-Summary!$B$11)*T2156+Summary!$B$11*V2156</f>
        <v/>
      </c>
      <c r="P2156">
        <f>IF(B2174=0,0,O2156/B2174)</f>
        <v/>
      </c>
      <c r="Q2156" t="n">
        <v>0</v>
      </c>
      <c r="R2156" t="n">
        <v>0</v>
      </c>
      <c r="S2156">
        <f>IFERROR(O2156/N2156,0)</f>
        <v/>
      </c>
      <c r="T2156" t="n">
        <v>0</v>
      </c>
      <c r="V2156" t="n">
        <v>0</v>
      </c>
    </row>
    <row r="2157">
      <c r="A2157">
        <f>Skills!A27</f>
        <v/>
      </c>
      <c r="B2157">
        <f>Skills!B27</f>
        <v/>
      </c>
      <c r="C2157">
        <f>Inputs!$B$3&gt;=72</f>
        <v/>
      </c>
      <c r="D2157">
        <f>IF(Skills!C27=1,60+Inputs!$B$25+Inputs!$B$29,IF(Skills!C27=2,90+Inputs!$B$26+Inputs!$B$29,IF(Skills!C27=3,120+Inputs!$B$27+Inputs!$B$29,MAX(0,(Inputs!$B$3-100)*3)+Inputs!$B$28+Inputs!$B$29)))</f>
        <v/>
      </c>
      <c r="E2157">
        <f>INDEX(FactorTable!$B$2:$Y$301, MATCH(ROUND(MIN(300,MAX(1,D2157)),0), FactorTable!$A$2:$A$301,0), Skills!M27+1)</f>
        <v/>
      </c>
      <c r="F2157">
        <f>IF(Skills!N27=TRUE,(Skills!L27/10)*(E2157/1000),Skills!L27/10)+Skills!O27</f>
        <v/>
      </c>
      <c r="G2157">
        <f>Calc!G27</f>
        <v/>
      </c>
      <c r="H2157">
        <f>Calc!H27</f>
        <v/>
      </c>
      <c r="I2157">
        <f>IF(Skills!AA27&lt;&gt;"",1+(Skills!AA27/10)*(U2133/1000)/100,1)</f>
        <v/>
      </c>
      <c r="J2157" t="inlineStr"/>
      <c r="K2157" t="inlineStr"/>
      <c r="L2157" t="inlineStr"/>
      <c r="M2157" t="inlineStr"/>
      <c r="N2157" t="inlineStr"/>
      <c r="O2157">
        <f>(1-Summary!$B$11)*T2157+Summary!$B$11*V2157</f>
        <v/>
      </c>
      <c r="P2157">
        <f>IF(B2174=0,0,O2157/B2174)</f>
        <v/>
      </c>
      <c r="Q2157" t="n">
        <v>0</v>
      </c>
      <c r="R2157" t="n">
        <v>0</v>
      </c>
      <c r="S2157">
        <f>IFERROR(O2157/N2157,0)</f>
        <v/>
      </c>
      <c r="T2157" t="n">
        <v>0</v>
      </c>
      <c r="V2157" t="n">
        <v>0</v>
      </c>
    </row>
    <row r="2158">
      <c r="A2158">
        <f>Skills!A28</f>
        <v/>
      </c>
      <c r="B2158">
        <f>Skills!B28</f>
        <v/>
      </c>
      <c r="C2158">
        <f>Inputs!$B$3&gt;=75</f>
        <v/>
      </c>
      <c r="D2158">
        <f>IF(Skills!C28=1,60+Inputs!$B$25+Inputs!$B$29,IF(Skills!C28=2,90+Inputs!$B$26+Inputs!$B$29,IF(Skills!C28=3,120+Inputs!$B$27+Inputs!$B$29,MAX(0,(Inputs!$B$3-100)*3)+Inputs!$B$28+Inputs!$B$29)))</f>
        <v/>
      </c>
      <c r="E2158">
        <f>INDEX(FactorTable!$B$2:$Y$301, MATCH(ROUND(MIN(300,MAX(1,D2158)),0), FactorTable!$A$2:$A$301,0), Skills!M28+1)</f>
        <v/>
      </c>
      <c r="F2158">
        <f>IF(Skills!N28=TRUE,(Skills!L28/10)*(E2158/1000),Skills!L28/10)+Skills!O28</f>
        <v/>
      </c>
      <c r="G2158">
        <f>Calc!G28</f>
        <v/>
      </c>
      <c r="H2158">
        <f>Calc!H28</f>
        <v/>
      </c>
      <c r="I2158">
        <f>IF(Skills!AA28&lt;&gt;"",1+(Skills!AA28/10)*(U2133/1000)/100,1)</f>
        <v/>
      </c>
      <c r="J2158" t="inlineStr"/>
      <c r="K2158" t="inlineStr"/>
      <c r="L2158" t="inlineStr"/>
      <c r="M2158" t="inlineStr"/>
      <c r="N2158" t="inlineStr"/>
      <c r="O2158">
        <f>(1-Summary!$B$11)*T2158+Summary!$B$11*V2158</f>
        <v/>
      </c>
      <c r="P2158">
        <f>IF(B2174=0,0,O2158/B2174)</f>
        <v/>
      </c>
      <c r="Q2158" t="n">
        <v>0</v>
      </c>
      <c r="R2158" t="n">
        <v>0</v>
      </c>
      <c r="S2158">
        <f>IFERROR(O2158/N2158,0)</f>
        <v/>
      </c>
      <c r="T2158" t="n">
        <v>0</v>
      </c>
      <c r="V2158" t="n">
        <v>0</v>
      </c>
    </row>
    <row r="2159">
      <c r="A2159">
        <f>Skills!A29</f>
        <v/>
      </c>
      <c r="B2159">
        <f>Skills!B29</f>
        <v/>
      </c>
      <c r="C2159">
        <f>Inputs!$B$3&gt;=120</f>
        <v/>
      </c>
      <c r="D2159">
        <f>IF(Skills!C29=1,60+Inputs!$B$25+Inputs!$B$29,IF(Skills!C29=2,90+Inputs!$B$26+Inputs!$B$29,IF(Skills!C29=3,120+Inputs!$B$27+Inputs!$B$29,MAX(0,(Inputs!$B$3-100)*3)+Inputs!$B$28+Inputs!$B$29)))</f>
        <v/>
      </c>
      <c r="E2159">
        <f>INDEX(FactorTable!$B$2:$Y$301, MATCH(ROUND(MIN(300,MAX(1,D2159)),0), FactorTable!$A$2:$A$301,0), Skills!M29+1)</f>
        <v/>
      </c>
      <c r="F2159">
        <f>IF(Skills!N29=TRUE,(Skills!L29/10)*(E2159/1000),Skills!L29/10)+Skills!O29</f>
        <v/>
      </c>
      <c r="G2159">
        <f>Calc!G29</f>
        <v/>
      </c>
      <c r="H2159">
        <f>Calc!H29</f>
        <v/>
      </c>
      <c r="I2159">
        <f>IF(Skills!AA29&lt;&gt;"",1+(Skills!AA29/10)*(U2133/1000)/100,1)</f>
        <v/>
      </c>
      <c r="J2159" t="inlineStr"/>
      <c r="K2159" t="inlineStr"/>
      <c r="L2159" t="inlineStr"/>
      <c r="M2159" t="inlineStr"/>
      <c r="N2159" t="inlineStr"/>
      <c r="O2159">
        <f>(1-Summary!$B$11)*T2159+Summary!$B$11*V2159</f>
        <v/>
      </c>
      <c r="P2159">
        <f>IF(B2174=0,0,O2159/B2174)</f>
        <v/>
      </c>
      <c r="Q2159" t="n">
        <v>0</v>
      </c>
      <c r="R2159" t="n">
        <v>0</v>
      </c>
      <c r="S2159">
        <f>IFERROR(O2159/N2159,0)</f>
        <v/>
      </c>
      <c r="T2159" t="n">
        <v>0</v>
      </c>
      <c r="V2159" t="n">
        <v>0</v>
      </c>
    </row>
    <row r="2160">
      <c r="A2160">
        <f>Skills!A30</f>
        <v/>
      </c>
      <c r="B2160">
        <f>Skills!B30</f>
        <v/>
      </c>
      <c r="C2160">
        <f>Inputs!$B$3&gt;=125</f>
        <v/>
      </c>
      <c r="D2160">
        <f>IF(Skills!C30=1,60+Inputs!$B$25+Inputs!$B$29,IF(Skills!C30=2,90+Inputs!$B$26+Inputs!$B$29,IF(Skills!C30=3,120+Inputs!$B$27+Inputs!$B$29,MAX(0,(Inputs!$B$3-100)*3)+Inputs!$B$28+Inputs!$B$29)))</f>
        <v/>
      </c>
      <c r="E2160">
        <f>INDEX(FactorTable!$B$2:$Y$301, MATCH(ROUND(MIN(300,MAX(1,D2160)),0), FactorTable!$A$2:$A$301,0), Skills!M30+1)</f>
        <v/>
      </c>
      <c r="F2160">
        <f>IF(Skills!N30=TRUE,(Skills!L30/10)*(E2160/1000),Skills!L30/10)+Skills!O30</f>
        <v/>
      </c>
      <c r="G2160">
        <f>Calc!G30</f>
        <v/>
      </c>
      <c r="H2160">
        <f>Calc!H30</f>
        <v/>
      </c>
      <c r="I2160">
        <f>IF(Skills!AA30&lt;&gt;"",1+(Skills!AA30/10)*(U2133/1000)/100,1)</f>
        <v/>
      </c>
      <c r="J2160" t="inlineStr"/>
      <c r="K2160" t="inlineStr"/>
      <c r="L2160" t="inlineStr"/>
      <c r="M2160" t="inlineStr"/>
      <c r="N2160" t="inlineStr"/>
      <c r="O2160">
        <f>(1-Summary!$B$11)*T2160+Summary!$B$11*V2160</f>
        <v/>
      </c>
      <c r="P2160">
        <f>IF(B2174=0,0,O2160/B2174)</f>
        <v/>
      </c>
      <c r="Q2160" t="n">
        <v>0</v>
      </c>
      <c r="R2160" t="n">
        <v>0</v>
      </c>
      <c r="S2160">
        <f>IFERROR(O2160/N2160,0)</f>
        <v/>
      </c>
      <c r="T2160" t="n">
        <v>0</v>
      </c>
      <c r="V2160" t="n">
        <v>0</v>
      </c>
    </row>
    <row r="2161">
      <c r="A2161">
        <f>Skills!A31</f>
        <v/>
      </c>
      <c r="B2161">
        <f>Skills!B31</f>
        <v/>
      </c>
      <c r="C2161">
        <f>Inputs!$B$3&gt;=107</f>
        <v/>
      </c>
      <c r="D2161">
        <f>IF(Skills!C31=1,60+Inputs!$B$25+Inputs!$B$29,IF(Skills!C31=2,90+Inputs!$B$26+Inputs!$B$29,IF(Skills!C31=3,120+Inputs!$B$27+Inputs!$B$29,MAX(0,(Inputs!$B$3-100)*3)+Inputs!$B$28+Inputs!$B$29)))</f>
        <v/>
      </c>
      <c r="E2161">
        <f>INDEX(FactorTable!$B$2:$Y$301, MATCH(ROUND(MIN(300,MAX(1,D2161)),0), FactorTable!$A$2:$A$301,0), Skills!M31+1)</f>
        <v/>
      </c>
      <c r="F2161">
        <f>IF(Skills!N31=TRUE,(Skills!L31/10)*(E2161/1000),Skills!L31/10)+Skills!O31</f>
        <v/>
      </c>
      <c r="G2161">
        <f>Calc!G31</f>
        <v/>
      </c>
      <c r="H2161">
        <f>Calc!H31</f>
        <v/>
      </c>
      <c r="I2161">
        <f>IF(Skills!AA31&lt;&gt;"",1+(Skills!AA31/10)*(U2133/1000)/100,1)</f>
        <v/>
      </c>
      <c r="J2161" t="inlineStr"/>
      <c r="K2161" t="inlineStr"/>
      <c r="L2161" t="inlineStr"/>
      <c r="M2161" t="inlineStr"/>
      <c r="N2161" t="inlineStr"/>
      <c r="O2161">
        <f>(1-Summary!$B$11)*T2161+Summary!$B$11*V2161</f>
        <v/>
      </c>
      <c r="P2161">
        <f>IF(B2174=0,0,O2161/B2174)</f>
        <v/>
      </c>
      <c r="Q2161" t="n">
        <v>0</v>
      </c>
      <c r="R2161" t="n">
        <v>0</v>
      </c>
      <c r="S2161">
        <f>IFERROR(O2161/N2161,0)</f>
        <v/>
      </c>
      <c r="T2161" t="n">
        <v>0</v>
      </c>
      <c r="V2161" t="n">
        <v>0</v>
      </c>
    </row>
    <row r="2163">
      <c r="A2163" t="inlineStr">
        <is>
          <t>Actions Per Second (pre-Adrenalin)</t>
        </is>
      </c>
      <c r="B2163">
        <f>1+MIN(150,150*(1-(1-(Inputs!$B$11+((C2152=TRUE)*(F2152-Calc!F22))+(ArtifactsInput!$M$15-ArtifactsInput!$M$15)*CHOOSE(ArtifactsInput!$N$15+1,8,9.6,11.2,12.8,14.4,16))/150)*(1-((C2149=TRUE)*F2149*IF(AND(Inputs!$B$39&lt;&gt;"pvp",Inputs!$B$44&gt;0),(((R2149-1)*(Skills!Y19*(1+Inputs!$B$34/100))+MIN((Skills!Y19*(1+Inputs!$B$34/100)),MAX(0,Inputs!$B$44-((R2149-1)*Skills!D19))))/Inputs!$B$44),IF(Inputs!$B$39="pvp",MIN((Skills!Y19*(1+Inputs!$B$34/100)),15)/15,(Skills!Y19*(1+Inputs!$B$34/100))/Skills!D19)))/150)))/100</f>
        <v/>
      </c>
    </row>
    <row r="2164">
      <c r="A2164" t="inlineStr">
        <is>
          <t>Alchemic Adrenaline Uptime</t>
        </is>
      </c>
      <c r="B2164">
        <f>(Skills!Y6*(1+Inputs!$B$34/100))/((Skills!Y6*(1+Inputs!$B$34/100))+(5/B2163))</f>
        <v/>
      </c>
    </row>
    <row r="2165">
      <c r="A2165" t="inlineStr">
        <is>
          <t>Attack Speed Buff Bonus %</t>
        </is>
      </c>
      <c r="B2165">
        <f>((C2149=TRUE)*F2149*IF(AND(Inputs!$B$39&lt;&gt;"pvp",Inputs!$B$44&gt;0),(((R2149-1)*(Skills!Y19*(1+Inputs!$B$34/100))+MIN((Skills!Y19*(1+Inputs!$B$34/100)),MAX(0,Inputs!$B$44-((R2149-1)*Skills!D19))))/Inputs!$B$44),IF(Inputs!$B$39="pvp",MIN((Skills!Y19*(1+Inputs!$B$34/100)),15)/15,(Skills!Y19*(1+Inputs!$B$34/100))/Skills!D19)))+((C2137=TRUE)*F2137*B2164)</f>
        <v/>
      </c>
    </row>
    <row r="2166">
      <c r="A2166" t="inlineStr">
        <is>
          <t>Actions Per Second (final)</t>
        </is>
      </c>
      <c r="B2166">
        <f>1+MIN(150,150*(1-(1-(Inputs!$B$11+((C2152=TRUE)*(F2152-Calc!F22))+(ArtifactsInput!$M$15-ArtifactsInput!$M$15)*CHOOSE(ArtifactsInput!$N$15+1,8,9.6,11.2,12.8,14.4,16))/150)*(1-B2165/150)))/100</f>
        <v/>
      </c>
    </row>
    <row r="2167">
      <c r="A2167" t="inlineStr">
        <is>
          <t>Skill + Buff Cast Rate</t>
        </is>
      </c>
      <c r="B2167">
        <f>IF(AND(Inputs!$B$39&lt;&gt;"pvp",Inputs!$B$44&gt;0),SUMPRODUCT((Skills!E2:E31=TRUE)*(C2132:C2161=TRUE)*R2132:R2161*Skills!F2:F31)/Inputs!$B$44,SUMPRODUCT((Skills!E2:E31=TRUE)*(C2132:C2161=TRUE)*Q2132:Q2161*Skills!F2:F31))</f>
        <v/>
      </c>
    </row>
    <row r="2168">
      <c r="A2168" t="inlineStr">
        <is>
          <t>Showdown Casts Per Second</t>
        </is>
      </c>
      <c r="B2168">
        <f>MAX(0,B2166-B2167)</f>
        <v/>
      </c>
    </row>
    <row r="2169">
      <c r="A2169" t="inlineStr">
        <is>
          <t>Average Buff Multiplier</t>
        </is>
      </c>
      <c r="B2169">
        <f>(1+(((C2151=TRUE)*F2151*IF(AND(Inputs!$B$39&lt;&gt;"pvp",Inputs!$B$44&gt;0),(((R2151-1)*(Skills!Y21*(1+Inputs!$B$34/100))+MIN((Skills!Y21*(1+Inputs!$B$34/100)),MAX(0,Inputs!$B$44-((R2151-1)*Skills!D21))))/Inputs!$B$44),IF(Inputs!$B$39="pvp",MIN((Skills!Y21*(1+Inputs!$B$34/100)),15)/15,(Skills!Y21*(1+Inputs!$B$34/100))/Skills!D21)))+((C2158=TRUE)*(F2158-Calc!F28))+((C2148=TRUE)*(F2148-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2145=TRUE)*F2145*IF(AND(Inputs!$B$39&lt;&gt;"pvp",Inputs!$B$44&gt;0),(((R2145-1)*(Skills!Y15*(1+Inputs!$B$34/100))+MIN((Skills!Y15*(1+Inputs!$B$34/100)),MAX(0,Inputs!$B$44-((R2145-1)*Skills!D15))))/Inputs!$B$44),IF(Inputs!$B$39="pvp",MIN((Skills!Y15*(1+Inputs!$B$34/100)),15)/15,(Skills!Y15*(1+Inputs!$B$34/100))/Skills!D15)))/100)*(1+((C2136=TRUE)*F2136*B2164)/100)</f>
        <v/>
      </c>
    </row>
    <row r="2170">
      <c r="A2170" t="inlineStr">
        <is>
          <t>Global Crit Rate Bonus %</t>
        </is>
      </c>
      <c r="B2170">
        <f>IF(Inputs!$B$3&gt;=47,8,0)+((C2150=TRUE)*F2150*IF(AND(Inputs!$B$39&lt;&gt;"pvp",Inputs!$B$44&gt;0),(((R2150-1)*(Skills!Y20*(1+Inputs!$B$34/100))+MIN((Skills!Y20*(1+Inputs!$B$34/100)),MAX(0,Inputs!$B$44-((R2150-1)*Skills!D20))))/Inputs!$B$44),IF(Inputs!$B$39="pvp",MIN((Skills!Y20*(1+Inputs!$B$34/100)),15)/15,(Skills!Y20*(1+Inputs!$B$34/100))/Skills!D20)))</f>
        <v/>
      </c>
    </row>
    <row r="2171">
      <c r="A2171" t="inlineStr">
        <is>
          <t>Global Monster Damage-Taken Bonus %</t>
        </is>
      </c>
      <c r="B2171">
        <f>IF(Inputs!$B$3&gt;=82,15,0)+((C2146=TRUE)*F2146*IF(AND(Inputs!$B$39&lt;&gt;"pvp",Inputs!$B$44&gt;0),(((R2146-1)*(Skills!Y16*(1+Inputs!$B$34/100))+MIN((Skills!Y16*(1+Inputs!$B$34/100)),MAX(0,Inputs!$B$44-((R2146-1)*Skills!D16))))/Inputs!$B$44),IF(Inputs!$B$39="pvp",MIN((Skills!Y16*(1+Inputs!$B$34/100)),15)/15,(Skills!Y16*(1+Inputs!$B$34/100))/Skills!D16)))</f>
        <v/>
      </c>
    </row>
    <row r="2172">
      <c r="A2172" t="inlineStr">
        <is>
          <t>Shadow Partner Average Multiplier</t>
        </is>
      </c>
      <c r="B2172">
        <f>1+((C2141=TRUE)*F2141*I2141*Skills!J11/100)/100</f>
        <v/>
      </c>
    </row>
    <row r="2173">
      <c r="A2173" t="inlineStr">
        <is>
          <t>Global Critical Damage Bonus % (Frailty Curse Mastery Lv.111)</t>
        </is>
      </c>
      <c r="B2173">
        <f>IF(Inputs!$B$3&gt;=111,30,0)*IF(AND(Inputs!$B$39&lt;&gt;"pvp",Inputs!$B$44&gt;0),(((R2146-1)*(Skills!Y16*(1+Inputs!$B$34/100))+MIN((Skills!Y16*(1+Inputs!$B$34/100)),MAX(0,Inputs!$B$44-((R2146-1)*Skills!D16))))/Inputs!$B$44),IF(Inputs!$B$39="pvp",MIN((Skills!Y16*(1+Inputs!$B$34/100)),15)/15,(Skills!Y16*(1+Inputs!$B$34/100))/Skills!D16))</f>
        <v/>
      </c>
    </row>
    <row r="2174">
      <c r="A2174" s="6" t="inlineStr">
        <is>
          <t>TOTAL DPS</t>
        </is>
      </c>
      <c r="B2174" s="6">
        <f>SUM(O2132:O2161)</f>
        <v/>
      </c>
    </row>
    <row r="2175">
      <c r="A2175" t="inlineStr">
        <is>
          <t>Buff-Casting Startup Delay (s, fixed-duration only)</t>
        </is>
      </c>
      <c r="B2175">
        <f>IF(AND(Inputs!$B$39&lt;&gt;"pvp",Inputs!$B$44&gt;0),SUMPRODUCT((Skills!Y2:Y31&gt;0)*(Skills!E2:E31=TRUE)*(C2132:C2161=TRUE))/B2166,0)</f>
        <v/>
      </c>
    </row>
    <row r="2176">
      <c r="A2176" t="inlineStr">
        <is>
          <t>Boss-Only Total DPS (this block's swept value)</t>
        </is>
      </c>
      <c r="B2176">
        <f>SUM(T2132:T2161)</f>
        <v/>
      </c>
    </row>
    <row r="2177">
      <c r="A2177" t="inlineStr">
        <is>
          <t>Normal-Only Total DPS (this block's swept value)</t>
        </is>
      </c>
      <c r="B2177">
        <f>SUM(V2132:V2161)</f>
        <v/>
      </c>
    </row>
    <row r="2179">
      <c r="A2179" s="6" t="inlineStr">
        <is>
          <t>Stat: Star Rock (Equip)</t>
        </is>
      </c>
    </row>
    <row r="2180">
      <c r="A2180" s="5" t="inlineStr">
        <is>
          <t>Key</t>
        </is>
      </c>
      <c r="B2180" s="5" t="inlineStr">
        <is>
          <t>Name</t>
        </is>
      </c>
      <c r="C2180" s="5" t="inlineStr">
        <is>
          <t>Unlocked</t>
        </is>
      </c>
      <c r="D2180" s="5" t="inlineStr">
        <is>
          <t>InputLevel</t>
        </is>
      </c>
      <c r="E2180" s="5" t="inlineStr">
        <is>
          <t>Factor</t>
        </is>
      </c>
      <c r="F2180" s="5" t="inlineStr">
        <is>
          <t>CoefficientPercent</t>
        </is>
      </c>
      <c r="G2180" s="5" t="inlineStr">
        <is>
          <t>EffectiveHits</t>
        </is>
      </c>
      <c r="H2180" s="5" t="inlineStr">
        <is>
          <t>ProcProbability</t>
        </is>
      </c>
      <c r="I2180" s="5" t="inlineStr">
        <is>
          <t>MapleHeroMultiplier</t>
        </is>
      </c>
      <c r="J2180" s="5" t="inlineStr">
        <is>
          <t>BaseDamage</t>
        </is>
      </c>
      <c r="K2180" s="5" t="inlineStr">
        <is>
          <t>BaseHitDamage</t>
        </is>
      </c>
      <c r="L2180" s="5" t="inlineStr">
        <is>
          <t>NonCritAvg</t>
        </is>
      </c>
      <c r="M2180" s="5" t="inlineStr">
        <is>
          <t>CritAvg</t>
        </is>
      </c>
      <c r="N2180" s="5" t="inlineStr">
        <is>
          <t>ExpectedDamage(perHit)</t>
        </is>
      </c>
      <c r="O2180" s="5" t="inlineStr">
        <is>
          <t>DPS</t>
        </is>
      </c>
      <c r="P2180" s="5" t="inlineStr">
        <is>
          <t>% of Total</t>
        </is>
      </c>
      <c r="Q2180" s="5" t="inlineStr">
        <is>
          <t>InvCooldown</t>
        </is>
      </c>
      <c r="R2180" s="5" t="inlineStr">
        <is>
          <t>CastsInFight</t>
        </is>
      </c>
      <c r="S2180" s="5" t="inlineStr">
        <is>
          <t>HitRate(perSec)</t>
        </is>
      </c>
      <c r="U2180" t="inlineStr">
        <is>
          <t>helpers</t>
        </is>
      </c>
    </row>
    <row r="2181">
      <c r="A2181">
        <f>Skills!A2</f>
        <v/>
      </c>
      <c r="B2181">
        <f>Skills!B2</f>
        <v/>
      </c>
      <c r="C2181">
        <f>Inputs!$B$3&gt;=100</f>
        <v/>
      </c>
      <c r="D2181" t="inlineStr"/>
      <c r="E2181" t="inlineStr"/>
      <c r="F2181">
        <f>U2185+Skills!O2</f>
        <v/>
      </c>
      <c r="G2181">
        <f>Calc!G2</f>
        <v/>
      </c>
      <c r="H2181">
        <f>Calc!H2</f>
        <v/>
      </c>
      <c r="I2181">
        <f>IF(Skills!AA2&lt;&gt;"",1+(Skills!AA2/10)*(U2182/1000)/100,1)</f>
        <v/>
      </c>
      <c r="J2181">
        <f>((Inputs!$B$6*(1+Inputs!$B$7/100))+(((Inputs!$B$12*(1+Inputs!$B$13/100))-(Inputs!$B$12*(1+Inputs!$B$13/100)))+0.25*(Inputs!$B$14-Inputs!$B$14))*(1+Inputs!$B$7/100))*(F2181/100)</f>
        <v/>
      </c>
      <c r="K2181">
        <f>J2181*(1+((Inputs!$B$12*(1+Inputs!$B$13/100))*0.01+Inputs!$B$14*0.0025)/100)*(1+Inputs!$B$15/100)*(1+Inputs!$B$16/100)*(5000/(6000+Inputs!$B$43*(1-(100*(1-(1-(Inputs!$B$19+0)/100)*(1-CHOOSE(ArtifactsInput!$N$40+1,5,6,7,8,9,10)/100)^(ArtifactsInput!$M$40-ArtifactsInput!$M$40)))/100)))*(1+(Inputs!$B$24+((C2209=TRUE)*(F2209-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2202=TRUE)*(F2202-Calc!F23))+(((IF(AND(ArtifactsInput!$M$42,((Inputs!$B$9+((C2204=TRUE)*(F2204-Calc!F25))+B2219+(ArtifactsInput!$M$24-ArtifactsInput!$M$24)*CHOOSE(ArtifactsInput!$N$24+1,10,12,14,16,18,20)+IF(ArtifactsInput!$M$10,CHOOSE(ArtifactsInput!$N$10+1,15,18,21,24,27,30)*(IF(Inputs!$B$39="pvp",MIN(15,15)/15,IF(AND(Inputs!$B$39&lt;&gt;"pvp",Inputs!$B$44&gt;0),MIN(15,Inputs!$B$44)/(Inputs!$B$44),0))),0)))&gt;=100),MIN(100,((Inputs!$B$9+((C2204=TRUE)*(F2204-Calc!F25))+B2219+(ArtifactsInput!$M$24-ArtifactsInput!$M$24)*CHOOSE(ArtifactsInput!$N$24+1,10,12,14,16,18,20)+IF(ArtifactsInput!$M$10,CHOOSE(ArtifactsInput!$N$10+1,15,18,21,24,27,30)*(IF(Inputs!$B$39="pvp",MIN(15,15)/15,IF(AND(Inputs!$B$39&lt;&gt;"pvp",Inputs!$B$44&gt;0),MIN(15,Inputs!$B$44)/(Inputs!$B$44),0))),0)))-100),0))*CHOOSE(ArtifactsInput!$N$42+1,0.6,0.72,0.84,0.96,1.08,1.2))),Inputs!$B$18+((C2208=TRUE)*(F2208-Calc!F29))+(IF(AND(ArtifactsInput!$M$42,((Inputs!$B$9+((C2204=TRUE)*(F2204-Calc!F25))+B2219+(ArtifactsInput!$M$24-ArtifactsInput!$M$24)*CHOOSE(ArtifactsInput!$N$24+1,10,12,14,16,18,20)+IF(ArtifactsInput!$M$10,CHOOSE(ArtifactsInput!$N$10+1,15,18,21,24,27,30)*(IF(Inputs!$B$39="pvp",MIN(15,15)/15,IF(AND(Inputs!$B$39&lt;&gt;"pvp",Inputs!$B$44&gt;0),MIN(15,Inputs!$B$44)/(Inputs!$B$44),0))),0)))&gt;=100),CHOOSE(ArtifactsInput!$N$42+1,40,48,56,64,72,80),0))))/100)*(((1+(((C2200=TRUE)*F2200*IF(AND(Inputs!$B$39&lt;&gt;"pvp",Inputs!$B$44&gt;0),(((R2200-1)*(Skills!Y21*(1+Inputs!$B$34/100))+MIN((Skills!Y21*(1+Inputs!$B$34/100)),MAX(0,Inputs!$B$44-((R2200-1)*Skills!D21))))/Inputs!$B$44),IF(Inputs!$B$39="pvp",MIN((Skills!Y21*(1+Inputs!$B$34/100)),15)/15,(Skills!Y21*(1+Inputs!$B$34/100))/Skills!D21)))+((C2207=TRUE)*(F2207-Calc!F28))+((C2197=TRUE)*(F2197-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2194=TRUE)*F2194*IF(AND(Inputs!$B$39&lt;&gt;"pvp",Inputs!$B$44&gt;0),(((R2194-1)*(Skills!Y15*(1+Inputs!$B$34/100))+MIN((Skills!Y15*(1+Inputs!$B$34/100)),MAX(0,Inputs!$B$44-((R2194-1)*Skills!D15))))/Inputs!$B$44),IF(Inputs!$B$39="pvp",MIN((Skills!Y15*(1+Inputs!$B$34/100)),15)/15,(Skills!Y15*(1+Inputs!$B$34/100))/Skills!D15)))/100)*(1+((C2185=TRUE)*F2185*B2213)/100))*B2221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2181)</f>
        <v/>
      </c>
      <c r="L2181">
        <f>K2181*(MIN(Inputs!$B$22+((C2203=TRUE)*(F2203-Calc!F24)),(Inputs!$B$23+0+(IF(ArtifactsInput!$M$15,CHOOSE(ArtifactsInput!$N$15+1,25,30,35,40,45,50)/100*(Inputs!$B$11-Inputs!$B$11),0))))/100+(Inputs!$B$23+0+(IF(ArtifactsInput!$M$15,CHOOSE(ArtifactsInput!$N$15+1,25,30,35,40,45,50)/100*(Inputs!$B$11-Inputs!$B$11),0)))/100)/2</f>
        <v/>
      </c>
      <c r="M2181">
        <f>L2181*(1+(Inputs!$B$10+((C2205=TRUE)*(F2205-Calc!F26))+B2222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81">
        <f>L2181*(1-MIN((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2181*(MIN((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81">
        <f>(1-Summary!$B$11)*T2181+Summary!$B$11*V2181</f>
        <v/>
      </c>
      <c r="P2181">
        <f>IF(B2223=0,0,O2181/B2223)</f>
        <v/>
      </c>
      <c r="Q2181" t="n">
        <v>0</v>
      </c>
      <c r="R2181" t="n">
        <v>0</v>
      </c>
      <c r="S2181">
        <f>IFERROR(O2181/N2181,0)</f>
        <v/>
      </c>
      <c r="T2181">
        <f>IF(C2181,(Skills!G2*N2181*B2217)*IF(Inputs!$B$39="pvp",1,1+(Inputs!$B$20+((C2206=TRUE)*(F2206-Calc!F27))+Skills!P2+B2220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Hunt"),CHOOSE(ArtifactsInput!$N$35+1,15,18,21,24,27,30)*(1-EXP(-(0.2*B2215)*5)),0)+IF(AND(ArtifactsInput!$M$22,Inputs!$B$4&lt;&gt;"Chapter Hunt"),CHOOSE(ArtifactsInput!$N$22+1,10,12,14,16,18,20)*((0*(((0.15*B2215*5))^0/1)+1*(((0.15*B2215*5))^1/1)+2*(((0.15*B2215*5))^2/2)+3*(((0.15*B2215*5))^3/6)+4*(((0.15*B2215*5))^4/24)+5*(((0.15*B2215*5))^5/120))/((((0.15*B2215*5))^0/1)+(((0.15*B2215*5))^1/1)+(((0.15*B2215*5))^2/2)+(((0.15*B2215*5))^3/6)+(((0.15*B2215*5))^4/24)+(((0.15*B2215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2181*(1-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2181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2181*(1-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2181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81">
        <f>MAX(0,(Inputs!$B$3-100)*3)+Inputs!$B$28+Inputs!$B$29</f>
        <v/>
      </c>
      <c r="V2181">
        <f>IF(C2181,(Skills!G2*N2181*B2217)*IF(Inputs!$B$39="pvp",1,(1+(Inputs!$B$21+Skills!Q2+B2220+(IF(ArtifactsInput!$M$33,CHOOSE(ArtifactsInput!$N$33+1,30,36,42,48,54,60),0))+(IF(AND(ArtifactsInput!$M$35,Inputs!$B$4&lt;&gt;"Chapter Hunt"),CHOOSE(ArtifactsInput!$N$35+1,15,18,21,24,27,30)*(1-EXP(-(0.2*B2215)*5)),0)+IF(AND(ArtifactsInput!$M$22,Inputs!$B$4&lt;&gt;"Chapter Hunt"),CHOOSE(ArtifactsInput!$N$22+1,10,12,14,16,18,20)*((0*(((0.15*B2215*5))^0/1)+1*(((0.15*B2215*5))^1/1)+2*(((0.15*B2215*5))^2/2)+3*(((0.15*B2215*5))^3/6)+4*(((0.15*B2215*5))^4/24)+5*(((0.15*B2215*5))^5/120))/((((0.15*B2215*5))^0/1)+(((0.15*B2215*5))^1/1)+(((0.15*B2215*5))^2/2)+(((0.15*B2215*5))^3/6)+(((0.15*B2215*5))^4/24)+(((0.15*B2215*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82">
      <c r="A2182">
        <f>Skills!A3</f>
        <v/>
      </c>
      <c r="B2182">
        <f>Skills!B3</f>
        <v/>
      </c>
      <c r="C2182">
        <f>Inputs!$B$3&gt;=35</f>
        <v/>
      </c>
      <c r="D2182">
        <f>IF(Skills!C3=1,60+Inputs!$B$25+Inputs!$B$29,IF(Skills!C3=2,90+Inputs!$B$26+Inputs!$B$29,IF(Skills!C3=3,120+Inputs!$B$27+Inputs!$B$29,MAX(0,(Inputs!$B$3-100)*3)+Inputs!$B$28+Inputs!$B$29)))</f>
        <v/>
      </c>
      <c r="E2182">
        <f>INDEX(FactorTable!$B$2:$Y$301, MATCH(ROUND(MIN(300,MAX(1,D2182)),0), FactorTable!$A$2:$A$301,0), Skills!M3+1)</f>
        <v/>
      </c>
      <c r="F2182">
        <f>IF(Skills!N3=TRUE,(Skills!L3/10)*(E2182/1000),Skills!L3/10)+Skills!O3</f>
        <v/>
      </c>
      <c r="G2182">
        <f>Calc!G3</f>
        <v/>
      </c>
      <c r="H2182">
        <f>Calc!H3</f>
        <v/>
      </c>
      <c r="I2182">
        <f>IF(Skills!AA3&lt;&gt;"",1+(Skills!AA3/10)*(U2182/1000)/100,1)</f>
        <v/>
      </c>
      <c r="J2182">
        <f>((Inputs!$B$6*(1+Inputs!$B$7/100))+(((Inputs!$B$12*(1+Inputs!$B$13/100))-(Inputs!$B$12*(1+Inputs!$B$13/100)))+0.25*(Inputs!$B$14-Inputs!$B$14))*(1+Inputs!$B$7/100))*(F2182/100)</f>
        <v/>
      </c>
      <c r="K2182">
        <f>J2182*(1+((Inputs!$B$12*(1+Inputs!$B$13/100))*0.01+Inputs!$B$14*0.0025)/100)*(1+Inputs!$B$15/100)*(1+Inputs!$B$16/100)*(5000/(6000+Inputs!$B$43*(1-(100*(1-(1-(Inputs!$B$19+0)/100)*(1-CHOOSE(ArtifactsInput!$N$40+1,5,6,7,8,9,10)/100)^(ArtifactsInput!$M$40-ArtifactsInput!$M$40)))/100)))*(1+(Inputs!$B$24+((C2209=TRUE)*(F2209-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2202=TRUE)*(F2202-Calc!F23))+(((IF(AND(ArtifactsInput!$M$42,((Inputs!$B$9+((C2204=TRUE)*(F2204-Calc!F25))+B2219+(ArtifactsInput!$M$24-ArtifactsInput!$M$24)*CHOOSE(ArtifactsInput!$N$24+1,10,12,14,16,18,20)+IF(ArtifactsInput!$M$10,CHOOSE(ArtifactsInput!$N$10+1,15,18,21,24,27,30)*(IF(Inputs!$B$39="pvp",MIN(15,15)/15,IF(AND(Inputs!$B$39&lt;&gt;"pvp",Inputs!$B$44&gt;0),MIN(15,Inputs!$B$44)/(Inputs!$B$44),0))),0)))&gt;=100),MIN(100,((Inputs!$B$9+((C2204=TRUE)*(F2204-Calc!F25))+B2219+(ArtifactsInput!$M$24-ArtifactsInput!$M$24)*CHOOSE(ArtifactsInput!$N$24+1,10,12,14,16,18,20)+IF(ArtifactsInput!$M$10,CHOOSE(ArtifactsInput!$N$10+1,15,18,21,24,27,30)*(IF(Inputs!$B$39="pvp",MIN(15,15)/15,IF(AND(Inputs!$B$39&lt;&gt;"pvp",Inputs!$B$44&gt;0),MIN(15,Inputs!$B$44)/(Inputs!$B$44),0))),0)))-100),0))*CHOOSE(ArtifactsInput!$N$42+1,0.6,0.72,0.84,0.96,1.08,1.2))),Inputs!$B$18+((C2208=TRUE)*(F2208-Calc!F29))+(IF(AND(ArtifactsInput!$M$42,((Inputs!$B$9+((C2204=TRUE)*(F2204-Calc!F25))+B2219+(ArtifactsInput!$M$24-ArtifactsInput!$M$24)*CHOOSE(ArtifactsInput!$N$24+1,10,12,14,16,18,20)+IF(ArtifactsInput!$M$10,CHOOSE(ArtifactsInput!$N$10+1,15,18,21,24,27,30)*(IF(Inputs!$B$39="pvp",MIN(15,15)/15,IF(AND(Inputs!$B$39&lt;&gt;"pvp",Inputs!$B$44&gt;0),MIN(15,Inputs!$B$44)/(Inputs!$B$44),0))),0)))&gt;=100),CHOOSE(ArtifactsInput!$N$42+1,40,48,56,64,72,80),0))))/100)*(((1+(((C2200=TRUE)*F2200*IF(AND(Inputs!$B$39&lt;&gt;"pvp",Inputs!$B$44&gt;0),(((R2200-1)*(Skills!Y21*(1+Inputs!$B$34/100))+MIN((Skills!Y21*(1+Inputs!$B$34/100)),MAX(0,Inputs!$B$44-((R2200-1)*Skills!D21))))/Inputs!$B$44),IF(Inputs!$B$39="pvp",MIN((Skills!Y21*(1+Inputs!$B$34/100)),15)/15,(Skills!Y21*(1+Inputs!$B$34/100))/Skills!D21)))+((C2207=TRUE)*(F2207-Calc!F28))+((C2197=TRUE)*(F2197-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2194=TRUE)*F2194*IF(AND(Inputs!$B$39&lt;&gt;"pvp",Inputs!$B$44&gt;0),(((R2194-1)*(Skills!Y15*(1+Inputs!$B$34/100))+MIN((Skills!Y15*(1+Inputs!$B$34/100)),MAX(0,Inputs!$B$44-((R2194-1)*Skills!D15))))/Inputs!$B$44),IF(Inputs!$B$39="pvp",MIN((Skills!Y15*(1+Inputs!$B$34/100)),15)/15,(Skills!Y15*(1+Inputs!$B$34/100))/Skills!D15)))/100)*(1+((C2185=TRUE)*F2185*B2213)/100))*B2221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2182)</f>
        <v/>
      </c>
      <c r="L2182">
        <f>K2182*(MIN(Inputs!$B$22+((C2203=TRUE)*(F2203-Calc!F24)),(Inputs!$B$23+0+(IF(ArtifactsInput!$M$15,CHOOSE(ArtifactsInput!$N$15+1,25,30,35,40,45,50)/100*(Inputs!$B$11-Inputs!$B$11),0))))/100+(Inputs!$B$23+0+(IF(ArtifactsInput!$M$15,CHOOSE(ArtifactsInput!$N$15+1,25,30,35,40,45,50)/100*(Inputs!$B$11-Inputs!$B$11),0)))/100)/2</f>
        <v/>
      </c>
      <c r="M2182">
        <f>L2182*(1+(Inputs!$B$10+((C2205=TRUE)*(F2205-Calc!F26))+B2222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82">
        <f>L2182*(1-MIN((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2182*(MIN((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82">
        <f>(1-Summary!$B$11)*T2182+Summary!$B$11*V2182</f>
        <v/>
      </c>
      <c r="P2182">
        <f>IF(B2223=0,0,O2182/B2223)</f>
        <v/>
      </c>
      <c r="Q2182">
        <f>IFERROR(1/IF(Inputs!$B$39="pvp",15,MAX(0.1,Skills!D3-IF(Skills!E3=TRUE,Inputs!$B$32,0))),0)</f>
        <v/>
      </c>
      <c r="R2182">
        <f>IF(AND(Inputs!$B$39&lt;&gt;"pvp",Inputs!$B$44&gt;0),IF(MAX(0,Inputs!$B$44-B2224)&lt;=0,0,(INT(MAX(0,Inputs!$B$44-B2224)/IF(Inputs!$B$39="pvp",15,MAX(0.1,Skills!D3-IF(Skills!E3=TRUE,Inputs!$B$32,0))))+1)),0)</f>
        <v/>
      </c>
      <c r="S2182">
        <f>IFERROR(O2182/N2182,0)</f>
        <v/>
      </c>
      <c r="T2182">
        <f>IF(C2182,(H2182*N2182*IF(AND(Inputs!$B$39&lt;&gt;"pvp",Inputs!$B$44&gt;0),((Skills!G3*((R2182-1)*IF(Skills!H3&gt;0,Skills!I3/Skills!H3,1)+IF(Skills!H3&gt;0,MIN(Skills!I3,MAX(0,MAX(0,Inputs!$B$44-B2224)-((R2182-1)*IF(Inputs!$B$39="pvp",15,MAX(0.1,Skills!D3-IF(Skills!E3=TRUE,Inputs!$B$32,0))))))/Skills!H3,1)))/Inputs!$B$44),G2182*Q2182))*IF(Inputs!$B$39="pvp",1,1+(Inputs!$B$20+((C2206=TRUE)*(F2206-Calc!F27))+Skills!P3+B2220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Hunt"),CHOOSE(ArtifactsInput!$N$35+1,15,18,21,24,27,30)*(1-EXP(-(0.2*B2215)*5)),0)+IF(AND(ArtifactsInput!$M$22,Inputs!$B$4&lt;&gt;"Chapter Hunt"),CHOOSE(ArtifactsInput!$N$22+1,10,12,14,16,18,20)*((0*(((0.15*B2215*5))^0/1)+1*(((0.15*B2215*5))^1/1)+2*(((0.15*B2215*5))^2/2)+3*(((0.15*B2215*5))^3/6)+4*(((0.15*B2215*5))^4/24)+5*(((0.15*B2215*5))^5/120))/((((0.15*B2215*5))^0/1)+(((0.15*B2215*5))^1/1)+(((0.15*B2215*5))^2/2)+(((0.15*B2215*5))^3/6)+(((0.15*B2215*5))^4/24)+(((0.15*B2215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2182*(1-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2182*(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2182*(1-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2182*(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82">
        <f>INDEX(FactorTable!$B$2:$Y$301, MATCH(ROUND(MIN(300,MAX(1,U2181)),0), FactorTable!$A$2:$A$301,0), 24)</f>
        <v/>
      </c>
      <c r="V2182">
        <f>IF(C2182,(H2182*N2182*IF(AND(Inputs!$B$39&lt;&gt;"pvp",Inputs!$B$44&gt;0),((Skills!G3*((R2182-1)*IF(Skills!H3&gt;0,Skills!I3/Skills!H3,1)+IF(Skills!H3&gt;0,MIN(Skills!I3,MAX(0,MAX(0,Inputs!$B$44-B2224)-((R2182-1)*IF(Inputs!$B$39="pvp",15,MAX(0.1,Skills!D3-IF(Skills!E3=TRUE,Inputs!$B$32,0))))))/Skills!H3,1)))/Inputs!$B$44),G2182*Q2182))*IF(Inputs!$B$39="pvp",1,(1+(Inputs!$B$21+Skills!Q3+B2220+(IF(ArtifactsInput!$M$33,CHOOSE(ArtifactsInput!$N$33+1,30,36,42,48,54,60),0))+(IF(AND(ArtifactsInput!$M$35,Inputs!$B$4&lt;&gt;"Chapter Hunt"),CHOOSE(ArtifactsInput!$N$35+1,15,18,21,24,27,30)*(1-EXP(-(0.2*B2215)*5)),0)+IF(AND(ArtifactsInput!$M$22,Inputs!$B$4&lt;&gt;"Chapter Hunt"),CHOOSE(ArtifactsInput!$N$22+1,10,12,14,16,18,20)*((0*(((0.15*B2215*5))^0/1)+1*(((0.15*B2215*5))^1/1)+2*(((0.15*B2215*5))^2/2)+3*(((0.15*B2215*5))^3/6)+4*(((0.15*B2215*5))^4/24)+5*(((0.15*B2215*5))^5/120))/((((0.15*B2215*5))^0/1)+(((0.15*B2215*5))^1/1)+(((0.15*B2215*5))^2/2)+(((0.15*B2215*5))^3/6)+(((0.15*B2215*5))^4/24)+(((0.15*B2215*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83">
      <c r="A2183">
        <f>Skills!A4</f>
        <v/>
      </c>
      <c r="B2183">
        <f>Skills!B4</f>
        <v/>
      </c>
      <c r="C2183">
        <f>Inputs!$B$3&gt;=40</f>
        <v/>
      </c>
      <c r="D2183">
        <f>IF(Skills!C4=1,60+Inputs!$B$25+Inputs!$B$29,IF(Skills!C4=2,90+Inputs!$B$26+Inputs!$B$29,IF(Skills!C4=3,120+Inputs!$B$27+Inputs!$B$29,MAX(0,(Inputs!$B$3-100)*3)+Inputs!$B$28+Inputs!$B$29)))</f>
        <v/>
      </c>
      <c r="E2183">
        <f>INDEX(FactorTable!$B$2:$Y$301, MATCH(ROUND(MIN(300,MAX(1,D2183)),0), FactorTable!$A$2:$A$301,0), Skills!M4+1)</f>
        <v/>
      </c>
      <c r="F2183">
        <f>IF(Skills!N4=TRUE,(Skills!L4/10)*(E2183/1000),Skills!L4/10)+Skills!O4</f>
        <v/>
      </c>
      <c r="G2183">
        <f>Calc!G4</f>
        <v/>
      </c>
      <c r="H2183">
        <f>Calc!H4</f>
        <v/>
      </c>
      <c r="I2183">
        <f>IF(Skills!AA4&lt;&gt;"",1+(Skills!AA4/10)*(U2182/1000)/100,1)</f>
        <v/>
      </c>
      <c r="J2183">
        <f>((Inputs!$B$6*(1+Inputs!$B$7/100))+(((Inputs!$B$12*(1+Inputs!$B$13/100))-(Inputs!$B$12*(1+Inputs!$B$13/100)))+0.25*(Inputs!$B$14-Inputs!$B$14))*(1+Inputs!$B$7/100))*(F2183/100)</f>
        <v/>
      </c>
      <c r="K2183">
        <f>J2183*(1+((Inputs!$B$12*(1+Inputs!$B$13/100))*0.01+Inputs!$B$14*0.0025)/100)*(1+Inputs!$B$15/100)*(1+Inputs!$B$16/100)*(5000/(6000+Inputs!$B$43*(1-(100*(1-(1-(Inputs!$B$19+0)/100)*(1-CHOOSE(ArtifactsInput!$N$40+1,5,6,7,8,9,10)/100)^(ArtifactsInput!$M$40-ArtifactsInput!$M$40)))/100)))*(1+(Inputs!$B$24+((C2209=TRUE)*(F2209-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2202=TRUE)*(F2202-Calc!F23))+(((IF(AND(ArtifactsInput!$M$42,((Inputs!$B$9+((C2204=TRUE)*(F2204-Calc!F25))+B2219+(ArtifactsInput!$M$24-ArtifactsInput!$M$24)*CHOOSE(ArtifactsInput!$N$24+1,10,12,14,16,18,20)+IF(ArtifactsInput!$M$10,CHOOSE(ArtifactsInput!$N$10+1,15,18,21,24,27,30)*(IF(Inputs!$B$39="pvp",MIN(15,15)/15,IF(AND(Inputs!$B$39&lt;&gt;"pvp",Inputs!$B$44&gt;0),MIN(15,Inputs!$B$44)/(Inputs!$B$44),0))),0)))&gt;=100),MIN(100,((Inputs!$B$9+((C2204=TRUE)*(F2204-Calc!F25))+B2219+(ArtifactsInput!$M$24-ArtifactsInput!$M$24)*CHOOSE(ArtifactsInput!$N$24+1,10,12,14,16,18,20)+IF(ArtifactsInput!$M$10,CHOOSE(ArtifactsInput!$N$10+1,15,18,21,24,27,30)*(IF(Inputs!$B$39="pvp",MIN(15,15)/15,IF(AND(Inputs!$B$39&lt;&gt;"pvp",Inputs!$B$44&gt;0),MIN(15,Inputs!$B$44)/(Inputs!$B$44),0))),0)))-100),0))*CHOOSE(ArtifactsInput!$N$42+1,0.6,0.72,0.84,0.96,1.08,1.2))),Inputs!$B$18+((C2208=TRUE)*(F2208-Calc!F29))+(IF(AND(ArtifactsInput!$M$42,((Inputs!$B$9+((C2204=TRUE)*(F2204-Calc!F25))+B2219+(ArtifactsInput!$M$24-ArtifactsInput!$M$24)*CHOOSE(ArtifactsInput!$N$24+1,10,12,14,16,18,20)+IF(ArtifactsInput!$M$10,CHOOSE(ArtifactsInput!$N$10+1,15,18,21,24,27,30)*(IF(Inputs!$B$39="pvp",MIN(15,15)/15,IF(AND(Inputs!$B$39&lt;&gt;"pvp",Inputs!$B$44&gt;0),MIN(15,Inputs!$B$44)/(Inputs!$B$44),0))),0)))&gt;=100),CHOOSE(ArtifactsInput!$N$42+1,40,48,56,64,72,80),0))))/100)*(((1+(((C2200=TRUE)*F2200*IF(AND(Inputs!$B$39&lt;&gt;"pvp",Inputs!$B$44&gt;0),(((R2200-1)*(Skills!Y21*(1+Inputs!$B$34/100))+MIN((Skills!Y21*(1+Inputs!$B$34/100)),MAX(0,Inputs!$B$44-((R2200-1)*Skills!D21))))/Inputs!$B$44),IF(Inputs!$B$39="pvp",MIN((Skills!Y21*(1+Inputs!$B$34/100)),15)/15,(Skills!Y21*(1+Inputs!$B$34/100))/Skills!D21)))+((C2207=TRUE)*(F2207-Calc!F28))+((C2197=TRUE)*(F2197-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2194=TRUE)*F2194*IF(AND(Inputs!$B$39&lt;&gt;"pvp",Inputs!$B$44&gt;0),(((R2194-1)*(Skills!Y15*(1+Inputs!$B$34/100))+MIN((Skills!Y15*(1+Inputs!$B$34/100)),MAX(0,Inputs!$B$44-((R2194-1)*Skills!D15))))/Inputs!$B$44),IF(Inputs!$B$39="pvp",MIN((Skills!Y15*(1+Inputs!$B$34/100)),15)/15,(Skills!Y15*(1+Inputs!$B$34/100))/Skills!D15)))/100)*(1+((C2185=TRUE)*F2185*B2213)/100))*B2221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2183)</f>
        <v/>
      </c>
      <c r="L2183">
        <f>K2183*(MIN(Inputs!$B$22+((C2203=TRUE)*(F2203-Calc!F24)),(Inputs!$B$23+0+(IF(ArtifactsInput!$M$15,CHOOSE(ArtifactsInput!$N$15+1,25,30,35,40,45,50)/100*(Inputs!$B$11-Inputs!$B$11),0))))/100+(Inputs!$B$23+0+(IF(ArtifactsInput!$M$15,CHOOSE(ArtifactsInput!$N$15+1,25,30,35,40,45,50)/100*(Inputs!$B$11-Inputs!$B$11),0)))/100)/2</f>
        <v/>
      </c>
      <c r="M2183">
        <f>L2183*(1+(Inputs!$B$10+((C2205=TRUE)*(F2205-Calc!F26))+B2222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83">
        <f>L2183*(1-MIN((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2183*(MIN((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83">
        <f>(1-Summary!$B$11)*T2183+Summary!$B$11*V2183</f>
        <v/>
      </c>
      <c r="P2183">
        <f>IF(B2223=0,0,O2183/B2223)</f>
        <v/>
      </c>
      <c r="Q2183">
        <f>IFERROR(1/IF(Inputs!$B$39="pvp",15,MAX(0.1,Skills!D4-IF(Skills!E4=TRUE,Inputs!$B$32,0))),0)</f>
        <v/>
      </c>
      <c r="R2183">
        <f>IF(AND(Inputs!$B$39&lt;&gt;"pvp",Inputs!$B$44&gt;0),IF(MAX(0,Inputs!$B$44-B2224)&lt;=0,0,(INT(MAX(0,Inputs!$B$44-B2224)/IF(Inputs!$B$39="pvp",15,MAX(0.1,Skills!D4-IF(Skills!E4=TRUE,Inputs!$B$32,0))))+1)),0)</f>
        <v/>
      </c>
      <c r="S2183">
        <f>IFERROR(O2183/N2183,0)</f>
        <v/>
      </c>
      <c r="T2183">
        <f>IF(C2183,(H2183*N2183*IF(AND(Inputs!$B$39&lt;&gt;"pvp",Inputs!$B$44&gt;0),((Skills!G4*((R2183-1)*IF(Skills!H4&gt;0,Skills!I4/Skills!H4,1)+IF(Skills!H4&gt;0,MIN(Skills!I4,MAX(0,MAX(0,Inputs!$B$44-B2224)-((R2183-1)*IF(Inputs!$B$39="pvp",15,MAX(0.1,Skills!D4-IF(Skills!E4=TRUE,Inputs!$B$32,0))))))/Skills!H4,1)))/Inputs!$B$44),G2183*Q2183))*IF(Inputs!$B$39="pvp",1,1+(Inputs!$B$20+((C2206=TRUE)*(F2206-Calc!F27))+Skills!P4+B2220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Hunt"),CHOOSE(ArtifactsInput!$N$35+1,15,18,21,24,27,30)*(1-EXP(-(0.2*B2215)*5)),0)+IF(AND(ArtifactsInput!$M$22,Inputs!$B$4&lt;&gt;"Chapter Hunt"),CHOOSE(ArtifactsInput!$N$22+1,10,12,14,16,18,20)*((0*(((0.15*B2215*5))^0/1)+1*(((0.15*B2215*5))^1/1)+2*(((0.15*B2215*5))^2/2)+3*(((0.15*B2215*5))^3/6)+4*(((0.15*B2215*5))^4/24)+5*(((0.15*B2215*5))^5/120))/((((0.15*B2215*5))^0/1)+(((0.15*B2215*5))^1/1)+(((0.15*B2215*5))^2/2)+(((0.15*B2215*5))^3/6)+(((0.15*B2215*5))^4/24)+(((0.15*B2215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2183*(1-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2183*(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2183*(1-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2183*(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83">
        <f>MAX(0,(Inputs!$B$3-100)*3)+Inputs!$B$28+Inputs!$B$29</f>
        <v/>
      </c>
      <c r="V2183">
        <f>IF(C2183,(H2183*N2183*IF(AND(Inputs!$B$39&lt;&gt;"pvp",Inputs!$B$44&gt;0),((Skills!G4*((R2183-1)*IF(Skills!H4&gt;0,Skills!I4/Skills!H4,1)+IF(Skills!H4&gt;0,MIN(Skills!I4,MAX(0,MAX(0,Inputs!$B$44-B2224)-((R2183-1)*IF(Inputs!$B$39="pvp",15,MAX(0.1,Skills!D4-IF(Skills!E4=TRUE,Inputs!$B$32,0))))))/Skills!H4,1)))/Inputs!$B$44),G2183*Q2183))*IF(Inputs!$B$39="pvp",1,(1+(Inputs!$B$21+Skills!Q4+B2220+(IF(ArtifactsInput!$M$33,CHOOSE(ArtifactsInput!$N$33+1,30,36,42,48,54,60),0))+(IF(AND(ArtifactsInput!$M$35,Inputs!$B$4&lt;&gt;"Chapter Hunt"),CHOOSE(ArtifactsInput!$N$35+1,15,18,21,24,27,30)*(1-EXP(-(0.2*B2215)*5)),0)+IF(AND(ArtifactsInput!$M$22,Inputs!$B$4&lt;&gt;"Chapter Hunt"),CHOOSE(ArtifactsInput!$N$22+1,10,12,14,16,18,20)*((0*(((0.15*B2215*5))^0/1)+1*(((0.15*B2215*5))^1/1)+2*(((0.15*B2215*5))^2/2)+3*(((0.15*B2215*5))^3/6)+4*(((0.15*B2215*5))^4/24)+5*(((0.15*B2215*5))^5/120))/((((0.15*B2215*5))^0/1)+(((0.15*B2215*5))^1/1)+(((0.15*B2215*5))^2/2)+(((0.15*B2215*5))^3/6)+(((0.15*B2215*5))^4/24)+(((0.15*B2215*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84">
      <c r="A2184">
        <f>Skills!A5</f>
        <v/>
      </c>
      <c r="B2184">
        <f>Skills!B5</f>
        <v/>
      </c>
      <c r="C2184">
        <f>Inputs!$B$3&gt;=63</f>
        <v/>
      </c>
      <c r="D2184">
        <f>IF(Skills!C5=1,60+Inputs!$B$25+Inputs!$B$29,IF(Skills!C5=2,90+Inputs!$B$26+Inputs!$B$29,IF(Skills!C5=3,120+Inputs!$B$27+Inputs!$B$29,MAX(0,(Inputs!$B$3-100)*3)+Inputs!$B$28+Inputs!$B$29)))</f>
        <v/>
      </c>
      <c r="E2184">
        <f>INDEX(FactorTable!$B$2:$Y$301, MATCH(ROUND(MIN(300,MAX(1,D2184)),0), FactorTable!$A$2:$A$301,0), Skills!M5+1)</f>
        <v/>
      </c>
      <c r="F2184">
        <f>IF(Skills!N5=TRUE,(Skills!L5/10)*(E2184/1000),Skills!L5/10)+Skills!O5</f>
        <v/>
      </c>
      <c r="G2184">
        <f>Calc!G5</f>
        <v/>
      </c>
      <c r="H2184">
        <f>Calc!H5</f>
        <v/>
      </c>
      <c r="I2184">
        <f>IF(Skills!AA5&lt;&gt;"",1+(Skills!AA5/10)*(U2182/1000)/100,1)</f>
        <v/>
      </c>
      <c r="J2184">
        <f>((Inputs!$B$6*(1+Inputs!$B$7/100))+(((Inputs!$B$12*(1+Inputs!$B$13/100))-(Inputs!$B$12*(1+Inputs!$B$13/100)))+0.25*(Inputs!$B$14-Inputs!$B$14))*(1+Inputs!$B$7/100))*(F2184/100)</f>
        <v/>
      </c>
      <c r="K2184">
        <f>J2184*(1+((Inputs!$B$12*(1+Inputs!$B$13/100))*0.01+Inputs!$B$14*0.0025)/100)*(1+Inputs!$B$15/100)*(1+Inputs!$B$16/100)*(5000/(6000+Inputs!$B$43*(1-(100*(1-(1-(Inputs!$B$19+0)/100)*(1-CHOOSE(ArtifactsInput!$N$40+1,5,6,7,8,9,10)/100)^(ArtifactsInput!$M$40-ArtifactsInput!$M$40)))/100)))*(1+(Inputs!$B$24+((C2209=TRUE)*(F2209-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2202=TRUE)*(F2202-Calc!F23))+(((IF(AND(ArtifactsInput!$M$42,((Inputs!$B$9+((C2204=TRUE)*(F2204-Calc!F25))+B2219+(ArtifactsInput!$M$24-ArtifactsInput!$M$24)*CHOOSE(ArtifactsInput!$N$24+1,10,12,14,16,18,20)+IF(ArtifactsInput!$M$10,CHOOSE(ArtifactsInput!$N$10+1,15,18,21,24,27,30)*(IF(Inputs!$B$39="pvp",MIN(15,15)/15,IF(AND(Inputs!$B$39&lt;&gt;"pvp",Inputs!$B$44&gt;0),MIN(15,Inputs!$B$44)/(Inputs!$B$44),0))),0)))&gt;=100),MIN(100,((Inputs!$B$9+((C2204=TRUE)*(F2204-Calc!F25))+B2219+(ArtifactsInput!$M$24-ArtifactsInput!$M$24)*CHOOSE(ArtifactsInput!$N$24+1,10,12,14,16,18,20)+IF(ArtifactsInput!$M$10,CHOOSE(ArtifactsInput!$N$10+1,15,18,21,24,27,30)*(IF(Inputs!$B$39="pvp",MIN(15,15)/15,IF(AND(Inputs!$B$39&lt;&gt;"pvp",Inputs!$B$44&gt;0),MIN(15,Inputs!$B$44)/(Inputs!$B$44),0))),0)))-100),0))*CHOOSE(ArtifactsInput!$N$42+1,0.6,0.72,0.84,0.96,1.08,1.2))),Inputs!$B$18+((C2208=TRUE)*(F2208-Calc!F29))+(IF(AND(ArtifactsInput!$M$42,((Inputs!$B$9+((C2204=TRUE)*(F2204-Calc!F25))+B2219+(ArtifactsInput!$M$24-ArtifactsInput!$M$24)*CHOOSE(ArtifactsInput!$N$24+1,10,12,14,16,18,20)+IF(ArtifactsInput!$M$10,CHOOSE(ArtifactsInput!$N$10+1,15,18,21,24,27,30)*(IF(Inputs!$B$39="pvp",MIN(15,15)/15,IF(AND(Inputs!$B$39&lt;&gt;"pvp",Inputs!$B$44&gt;0),MIN(15,Inputs!$B$44)/(Inputs!$B$44),0))),0)))&gt;=100),CHOOSE(ArtifactsInput!$N$42+1,40,48,56,64,72,80),0))))/100)*(((1+(((C2200=TRUE)*F2200*IF(AND(Inputs!$B$39&lt;&gt;"pvp",Inputs!$B$44&gt;0),(((R2200-1)*(Skills!Y21*(1+Inputs!$B$34/100))+MIN((Skills!Y21*(1+Inputs!$B$34/100)),MAX(0,Inputs!$B$44-((R2200-1)*Skills!D21))))/Inputs!$B$44),IF(Inputs!$B$39="pvp",MIN((Skills!Y21*(1+Inputs!$B$34/100)),15)/15,(Skills!Y21*(1+Inputs!$B$34/100))/Skills!D21)))+((C2207=TRUE)*(F2207-Calc!F28))+((C2197=TRUE)*(F2197-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2194=TRUE)*F2194*IF(AND(Inputs!$B$39&lt;&gt;"pvp",Inputs!$B$44&gt;0),(((R2194-1)*(Skills!Y15*(1+Inputs!$B$34/100))+MIN((Skills!Y15*(1+Inputs!$B$34/100)),MAX(0,Inputs!$B$44-((R2194-1)*Skills!D15))))/Inputs!$B$44),IF(Inputs!$B$39="pvp",MIN((Skills!Y15*(1+Inputs!$B$34/100)),15)/15,(Skills!Y15*(1+Inputs!$B$34/100))/Skills!D15)))/100)*(1+((C2185=TRUE)*F2185*B2213)/100))*B2221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2184)</f>
        <v/>
      </c>
      <c r="L2184">
        <f>K2184*(MIN(Inputs!$B$22+((C2203=TRUE)*(F2203-Calc!F24)),(Inputs!$B$23+0+(IF(ArtifactsInput!$M$15,CHOOSE(ArtifactsInput!$N$15+1,25,30,35,40,45,50)/100*(Inputs!$B$11-Inputs!$B$11),0))))/100+(Inputs!$B$23+0+(IF(ArtifactsInput!$M$15,CHOOSE(ArtifactsInput!$N$15+1,25,30,35,40,45,50)/100*(Inputs!$B$11-Inputs!$B$11),0)))/100)/2</f>
        <v/>
      </c>
      <c r="M2184">
        <f>L2184*(1+(Inputs!$B$10+((C2205=TRUE)*(F2205-Calc!F26))+B2222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84">
        <f>L2184*(1-MIN((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2184*(MIN((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84">
        <f>(1-Summary!$B$11)*T2184+Summary!$B$11*V2184</f>
        <v/>
      </c>
      <c r="P2184">
        <f>IF(B2223=0,0,O2184/B2223)</f>
        <v/>
      </c>
      <c r="Q2184">
        <f>IFERROR(1/IF(Inputs!$B$39="pvp",15,MAX(0.1,Skills!D5-IF(Skills!E5=TRUE,Inputs!$B$32,0))),0)</f>
        <v/>
      </c>
      <c r="R2184">
        <f>IF(AND(Inputs!$B$39&lt;&gt;"pvp",Inputs!$B$44&gt;0),IF(MAX(0,Inputs!$B$44-B2224)&lt;=0,0,(INT(MAX(0,Inputs!$B$44-B2224)/IF(Inputs!$B$39="pvp",15,MAX(0.1,Skills!D5-IF(Skills!E5=TRUE,Inputs!$B$32,0))))+1)),0)</f>
        <v/>
      </c>
      <c r="S2184">
        <f>IFERROR(O2184/N2184,0)</f>
        <v/>
      </c>
      <c r="T2184">
        <f>IF(C2184,(H2184*N2184*IF(AND(Inputs!$B$39&lt;&gt;"pvp",Inputs!$B$44&gt;0),((Skills!G5*((R2184-1)*IF(Skills!H5&gt;0,Skills!I5/Skills!H5,1)+IF(Skills!H5&gt;0,MIN(Skills!I5,MAX(0,MAX(0,Inputs!$B$44-B2224)-((R2184-1)*IF(Inputs!$B$39="pvp",15,MAX(0.1,Skills!D5-IF(Skills!E5=TRUE,Inputs!$B$32,0))))))/Skills!H5,1)))/Inputs!$B$44),G2184*Q2184))*IF(Inputs!$B$39="pvp",1,1+(Inputs!$B$20+((C2206=TRUE)*(F2206-Calc!F27))+Skills!P5+B2220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Hunt"),CHOOSE(ArtifactsInput!$N$35+1,15,18,21,24,27,30)*(1-EXP(-(0.2*B2215)*5)),0)+IF(AND(ArtifactsInput!$M$22,Inputs!$B$4&lt;&gt;"Chapter Hunt"),CHOOSE(ArtifactsInput!$N$22+1,10,12,14,16,18,20)*((0*(((0.15*B2215*5))^0/1)+1*(((0.15*B2215*5))^1/1)+2*(((0.15*B2215*5))^2/2)+3*(((0.15*B2215*5))^3/6)+4*(((0.15*B2215*5))^4/24)+5*(((0.15*B2215*5))^5/120))/((((0.15*B2215*5))^0/1)+(((0.15*B2215*5))^1/1)+(((0.15*B2215*5))^2/2)+(((0.15*B2215*5))^3/6)+(((0.15*B2215*5))^4/24)+(((0.15*B2215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2184*(1-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2184*(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2184*(1-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2184*(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84">
        <f>INDEX(FactorTable!$B$2:$Y$301, MATCH(ROUND(MIN(300,MAX(1,U2183)),0), FactorTable!$A$2:$A$301,0), 22)</f>
        <v/>
      </c>
      <c r="V2184">
        <f>IF(C2184,(H2184*N2184*IF(AND(Inputs!$B$39&lt;&gt;"pvp",Inputs!$B$44&gt;0),((Skills!G5*((R2184-1)*IF(Skills!H5&gt;0,Skills!I5/Skills!H5,1)+IF(Skills!H5&gt;0,MIN(Skills!I5,MAX(0,MAX(0,Inputs!$B$44-B2224)-((R2184-1)*IF(Inputs!$B$39="pvp",15,MAX(0.1,Skills!D5-IF(Skills!E5=TRUE,Inputs!$B$32,0))))))/Skills!H5,1)))/Inputs!$B$44),G2184*Q2184))*IF(Inputs!$B$39="pvp",1,(1+(Inputs!$B$21+Skills!Q5+B2220+(IF(ArtifactsInput!$M$33,CHOOSE(ArtifactsInput!$N$33+1,30,36,42,48,54,60),0))+(IF(AND(ArtifactsInput!$M$35,Inputs!$B$4&lt;&gt;"Chapter Hunt"),CHOOSE(ArtifactsInput!$N$35+1,15,18,21,24,27,30)*(1-EXP(-(0.2*B2215)*5)),0)+IF(AND(ArtifactsInput!$M$22,Inputs!$B$4&lt;&gt;"Chapter Hunt"),CHOOSE(ArtifactsInput!$N$22+1,10,12,14,16,18,20)*((0*(((0.15*B2215*5))^0/1)+1*(((0.15*B2215*5))^1/1)+2*(((0.15*B2215*5))^2/2)+3*(((0.15*B2215*5))^3/6)+4*(((0.15*B2215*5))^4/24)+5*(((0.15*B2215*5))^5/120))/((((0.15*B2215*5))^0/1)+(((0.15*B2215*5))^1/1)+(((0.15*B2215*5))^2/2)+(((0.15*B2215*5))^3/6)+(((0.15*B2215*5))^4/24)+(((0.15*B2215*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85">
      <c r="A2185">
        <f>Skills!A6</f>
        <v/>
      </c>
      <c r="B2185">
        <f>Skills!B6</f>
        <v/>
      </c>
      <c r="C2185">
        <f>Inputs!$B$3&gt;=66</f>
        <v/>
      </c>
      <c r="D2185">
        <f>IF(Skills!C6=1,60+Inputs!$B$25+Inputs!$B$29,IF(Skills!C6=2,90+Inputs!$B$26+Inputs!$B$29,IF(Skills!C6=3,120+Inputs!$B$27+Inputs!$B$29,MAX(0,(Inputs!$B$3-100)*3)+Inputs!$B$28+Inputs!$B$29)))</f>
        <v/>
      </c>
      <c r="E2185">
        <f>INDEX(FactorTable!$B$2:$Y$301, MATCH(ROUND(MIN(300,MAX(1,D2185)),0), FactorTable!$A$2:$A$301,0), Skills!M6+1)</f>
        <v/>
      </c>
      <c r="F2185">
        <f>IF(Skills!N6=TRUE,(Skills!L6/10)*(E2185/1000),Skills!L6/10)+Skills!O6</f>
        <v/>
      </c>
      <c r="G2185">
        <f>Calc!G6</f>
        <v/>
      </c>
      <c r="H2185">
        <f>Calc!H6</f>
        <v/>
      </c>
      <c r="I2185">
        <f>IF(Skills!AA6&lt;&gt;"",1+(Skills!AA6/10)*(U2182/1000)/100,1)</f>
        <v/>
      </c>
      <c r="J2185" t="inlineStr"/>
      <c r="K2185" t="inlineStr"/>
      <c r="L2185" t="inlineStr"/>
      <c r="M2185" t="inlineStr"/>
      <c r="N2185" t="inlineStr"/>
      <c r="O2185">
        <f>(1-Summary!$B$11)*T2185+Summary!$B$11*V2185</f>
        <v/>
      </c>
      <c r="P2185">
        <f>IF(B2223=0,0,O2185/B2223)</f>
        <v/>
      </c>
      <c r="Q2185" t="n">
        <v>0</v>
      </c>
      <c r="R2185" t="n">
        <v>0</v>
      </c>
      <c r="S2185">
        <f>IFERROR(O2185/N2185,0)</f>
        <v/>
      </c>
      <c r="T2185" t="n">
        <v>0</v>
      </c>
      <c r="U2185">
        <f>290*U2184/1000</f>
        <v/>
      </c>
      <c r="V2185" t="n">
        <v>0</v>
      </c>
    </row>
    <row r="2186">
      <c r="A2186">
        <f>Skills!A7</f>
        <v/>
      </c>
      <c r="B2186">
        <f>Skills!B7</f>
        <v/>
      </c>
      <c r="C2186">
        <f>Inputs!$B$3&gt;=66</f>
        <v/>
      </c>
      <c r="D2186">
        <f>IF(Skills!C7=1,60+Inputs!$B$25+Inputs!$B$29,IF(Skills!C7=2,90+Inputs!$B$26+Inputs!$B$29,IF(Skills!C7=3,120+Inputs!$B$27+Inputs!$B$29,MAX(0,(Inputs!$B$3-100)*3)+Inputs!$B$28+Inputs!$B$29)))</f>
        <v/>
      </c>
      <c r="E2186">
        <f>INDEX(FactorTable!$B$2:$Y$301, MATCH(ROUND(MIN(300,MAX(1,D2186)),0), FactorTable!$A$2:$A$301,0), Skills!M7+1)</f>
        <v/>
      </c>
      <c r="F2186">
        <f>IF(Skills!N7=TRUE,(Skills!L7/10)*(E2186/1000),Skills!L7/10)+Skills!O7</f>
        <v/>
      </c>
      <c r="G2186">
        <f>Calc!G7</f>
        <v/>
      </c>
      <c r="H2186">
        <f>Calc!H7</f>
        <v/>
      </c>
      <c r="I2186">
        <f>IF(Skills!AA7&lt;&gt;"",1+(Skills!AA7/10)*(U2182/1000)/100,1)</f>
        <v/>
      </c>
      <c r="J2186" t="inlineStr"/>
      <c r="K2186" t="inlineStr"/>
      <c r="L2186" t="inlineStr"/>
      <c r="M2186" t="inlineStr"/>
      <c r="N2186" t="inlineStr"/>
      <c r="O2186">
        <f>(1-Summary!$B$11)*T2186+Summary!$B$11*V2186</f>
        <v/>
      </c>
      <c r="P2186">
        <f>IF(B2223=0,0,O2186/B2223)</f>
        <v/>
      </c>
      <c r="Q2186" t="n">
        <v>0</v>
      </c>
      <c r="R2186" t="n">
        <v>0</v>
      </c>
      <c r="S2186">
        <f>IFERROR(O2186/N2186,0)</f>
        <v/>
      </c>
      <c r="T2186" t="n">
        <v>0</v>
      </c>
      <c r="V2186" t="n">
        <v>0</v>
      </c>
    </row>
    <row r="2187">
      <c r="A2187">
        <f>Skills!A8</f>
        <v/>
      </c>
      <c r="B2187">
        <f>Skills!B8</f>
        <v/>
      </c>
      <c r="C2187">
        <f>Inputs!$B$3&gt;=69</f>
        <v/>
      </c>
      <c r="D2187">
        <f>IF(Skills!C8=1,60+Inputs!$B$25+Inputs!$B$29,IF(Skills!C8=2,90+Inputs!$B$26+Inputs!$B$29,IF(Skills!C8=3,120+Inputs!$B$27+Inputs!$B$29,MAX(0,(Inputs!$B$3-100)*3)+Inputs!$B$28+Inputs!$B$29)))</f>
        <v/>
      </c>
      <c r="E2187">
        <f>INDEX(FactorTable!$B$2:$Y$301, MATCH(ROUND(MIN(300,MAX(1,D2187)),0), FactorTable!$A$2:$A$301,0), Skills!M8+1)</f>
        <v/>
      </c>
      <c r="F2187">
        <f>IF(Skills!N8=TRUE,(Skills!L8/10)*(E2187/1000),Skills!L8/10)+Skills!O8</f>
        <v/>
      </c>
      <c r="G2187">
        <f>Calc!G8</f>
        <v/>
      </c>
      <c r="H2187">
        <f>Calc!H8</f>
        <v/>
      </c>
      <c r="I2187">
        <f>IF(Skills!AA8&lt;&gt;"",1+(Skills!AA8/10)*(U2182/1000)/100,1)</f>
        <v/>
      </c>
      <c r="J2187">
        <f>((Inputs!$B$6*(1+Inputs!$B$7/100))+(((Inputs!$B$12*(1+Inputs!$B$13/100))-(Inputs!$B$12*(1+Inputs!$B$13/100)))+0.25*(Inputs!$B$14-Inputs!$B$14))*(1+Inputs!$B$7/100))*(F2187/100)</f>
        <v/>
      </c>
      <c r="K2187">
        <f>J2187*(1+((Inputs!$B$12*(1+Inputs!$B$13/100))*0.01+Inputs!$B$14*0.0025)/100)*(1+Inputs!$B$15/100)*(1+Inputs!$B$16/100)*(5000/(6000+Inputs!$B$43*(1-(100*(1-(1-(Inputs!$B$19+0)/100)*(1-CHOOSE(ArtifactsInput!$N$40+1,5,6,7,8,9,10)/100)^(ArtifactsInput!$M$40-ArtifactsInput!$M$40)))/100)))*(1+(Inputs!$B$24+((C2209=TRUE)*(F2209-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2202=TRUE)*(F2202-Calc!F23))+(((IF(AND(ArtifactsInput!$M$42,((Inputs!$B$9+((C2204=TRUE)*(F2204-Calc!F25))+B2219+(ArtifactsInput!$M$24-ArtifactsInput!$M$24)*CHOOSE(ArtifactsInput!$N$24+1,10,12,14,16,18,20)+IF(ArtifactsInput!$M$10,CHOOSE(ArtifactsInput!$N$10+1,15,18,21,24,27,30)*(IF(Inputs!$B$39="pvp",MIN(15,15)/15,IF(AND(Inputs!$B$39&lt;&gt;"pvp",Inputs!$B$44&gt;0),MIN(15,Inputs!$B$44)/(Inputs!$B$44),0))),0)))&gt;=100),MIN(100,((Inputs!$B$9+((C2204=TRUE)*(F2204-Calc!F25))+B2219+(ArtifactsInput!$M$24-ArtifactsInput!$M$24)*CHOOSE(ArtifactsInput!$N$24+1,10,12,14,16,18,20)+IF(ArtifactsInput!$M$10,CHOOSE(ArtifactsInput!$N$10+1,15,18,21,24,27,30)*(IF(Inputs!$B$39="pvp",MIN(15,15)/15,IF(AND(Inputs!$B$39&lt;&gt;"pvp",Inputs!$B$44&gt;0),MIN(15,Inputs!$B$44)/(Inputs!$B$44),0))),0)))-100),0))*CHOOSE(ArtifactsInput!$N$42+1,0.6,0.72,0.84,0.96,1.08,1.2))),Inputs!$B$18+((C2208=TRUE)*(F2208-Calc!F29))+(IF(AND(ArtifactsInput!$M$42,((Inputs!$B$9+((C2204=TRUE)*(F2204-Calc!F25))+B2219+(ArtifactsInput!$M$24-ArtifactsInput!$M$24)*CHOOSE(ArtifactsInput!$N$24+1,10,12,14,16,18,20)+IF(ArtifactsInput!$M$10,CHOOSE(ArtifactsInput!$N$10+1,15,18,21,24,27,30)*(IF(Inputs!$B$39="pvp",MIN(15,15)/15,IF(AND(Inputs!$B$39&lt;&gt;"pvp",Inputs!$B$44&gt;0),MIN(15,Inputs!$B$44)/(Inputs!$B$44),0))),0)))&gt;=100),CHOOSE(ArtifactsInput!$N$42+1,40,48,56,64,72,80),0))))/100)*(((1+(((C2200=TRUE)*F2200*IF(AND(Inputs!$B$39&lt;&gt;"pvp",Inputs!$B$44&gt;0),(((R2200-1)*(Skills!Y21*(1+Inputs!$B$34/100))+MIN((Skills!Y21*(1+Inputs!$B$34/100)),MAX(0,Inputs!$B$44-((R2200-1)*Skills!D21))))/Inputs!$B$44),IF(Inputs!$B$39="pvp",MIN((Skills!Y21*(1+Inputs!$B$34/100)),15)/15,(Skills!Y21*(1+Inputs!$B$34/100))/Skills!D21)))+((C2207=TRUE)*(F2207-Calc!F28))+((C2197=TRUE)*(F2197-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2194=TRUE)*F2194*IF(AND(Inputs!$B$39&lt;&gt;"pvp",Inputs!$B$44&gt;0),(((R2194-1)*(Skills!Y15*(1+Inputs!$B$34/100))+MIN((Skills!Y15*(1+Inputs!$B$34/100)),MAX(0,Inputs!$B$44-((R2194-1)*Skills!D15))))/Inputs!$B$44),IF(Inputs!$B$39="pvp",MIN((Skills!Y15*(1+Inputs!$B$34/100)),15)/15,(Skills!Y15*(1+Inputs!$B$34/100))/Skills!D15)))/100)*(1+((C2185=TRUE)*F2185*B2213)/100))*B2221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2187)</f>
        <v/>
      </c>
      <c r="L2187">
        <f>K2187*(MIN(Inputs!$B$22+((C2203=TRUE)*(F2203-Calc!F24)),(Inputs!$B$23+0+(IF(ArtifactsInput!$M$15,CHOOSE(ArtifactsInput!$N$15+1,25,30,35,40,45,50)/100*(Inputs!$B$11-Inputs!$B$11),0))))/100+(Inputs!$B$23+0+(IF(ArtifactsInput!$M$15,CHOOSE(ArtifactsInput!$N$15+1,25,30,35,40,45,50)/100*(Inputs!$B$11-Inputs!$B$11),0)))/100)/2</f>
        <v/>
      </c>
      <c r="M2187">
        <f>L2187*(1+(Inputs!$B$10+((C2205=TRUE)*(F2205-Calc!F26))+B2222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87">
        <f>L2187*(1-MIN((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2187*(MIN((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87">
        <f>(1-Summary!$B$11)*T2187+Summary!$B$11*V2187</f>
        <v/>
      </c>
      <c r="P2187">
        <f>IF(B2223=0,0,O2187/B2223)</f>
        <v/>
      </c>
      <c r="Q2187">
        <f>IFERROR(1/IF(Inputs!$B$39="pvp",15,MAX(0.1,Skills!D8-IF(Skills!E8=TRUE,Inputs!$B$32,0))),0)</f>
        <v/>
      </c>
      <c r="R2187">
        <f>IF(AND(Inputs!$B$39&lt;&gt;"pvp",Inputs!$B$44&gt;0),IF(MAX(0,Inputs!$B$44-B2224)&lt;=0,0,(INT(MAX(0,Inputs!$B$44-B2224)/IF(Inputs!$B$39="pvp",15,MAX(0.1,Skills!D8-IF(Skills!E8=TRUE,Inputs!$B$32,0))))+1)),0)</f>
        <v/>
      </c>
      <c r="S2187">
        <f>IFERROR(O2187/N2187,0)</f>
        <v/>
      </c>
      <c r="T2187">
        <f>IF(C2187,(H2187*N2187*IF(AND(Inputs!$B$39&lt;&gt;"pvp",Inputs!$B$44&gt;0),((Skills!G8*((R2187-1)*IF(Skills!H8&gt;0,Skills!I8/Skills!H8,1)+IF(Skills!H8&gt;0,MIN(Skills!I8,MAX(0,MAX(0,Inputs!$B$44-B2224)-((R2187-1)*IF(Inputs!$B$39="pvp",15,MAX(0.1,Skills!D8-IF(Skills!E8=TRUE,Inputs!$B$32,0))))))/Skills!H8,1)))/Inputs!$B$44),G2187*Q2187))*IF(Inputs!$B$39="pvp",1,1+(Inputs!$B$20+((C2206=TRUE)*(F2206-Calc!F27))+Skills!P8+B2220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Hunt"),CHOOSE(ArtifactsInput!$N$35+1,15,18,21,24,27,30)*(1-EXP(-(0.2*B2215)*5)),0)+IF(AND(ArtifactsInput!$M$22,Inputs!$B$4&lt;&gt;"Chapter Hunt"),CHOOSE(ArtifactsInput!$N$22+1,10,12,14,16,18,20)*((0*(((0.15*B2215*5))^0/1)+1*(((0.15*B2215*5))^1/1)+2*(((0.15*B2215*5))^2/2)+3*(((0.15*B2215*5))^3/6)+4*(((0.15*B2215*5))^4/24)+5*(((0.15*B2215*5))^5/120))/((((0.15*B2215*5))^0/1)+(((0.15*B2215*5))^1/1)+(((0.15*B2215*5))^2/2)+(((0.15*B2215*5))^3/6)+(((0.15*B2215*5))^4/24)+(((0.15*B2215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2187*(1-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2187*(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2187*(1-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2187*(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87">
        <f>IF(C2187,(H2187*N2187*IF(AND(Inputs!$B$39&lt;&gt;"pvp",Inputs!$B$44&gt;0),((Skills!G8*((R2187-1)*IF(Skills!H8&gt;0,Skills!I8/Skills!H8,1)+IF(Skills!H8&gt;0,MIN(Skills!I8,MAX(0,MAX(0,Inputs!$B$44-B2224)-((R2187-1)*IF(Inputs!$B$39="pvp",15,MAX(0.1,Skills!D8-IF(Skills!E8=TRUE,Inputs!$B$32,0))))))/Skills!H8,1)))/Inputs!$B$44),G2187*Q2187))*IF(Inputs!$B$39="pvp",1,(1+(Inputs!$B$21+Skills!Q8+B2220+(IF(ArtifactsInput!$M$33,CHOOSE(ArtifactsInput!$N$33+1,30,36,42,48,54,60),0))+(IF(AND(ArtifactsInput!$M$35,Inputs!$B$4&lt;&gt;"Chapter Hunt"),CHOOSE(ArtifactsInput!$N$35+1,15,18,21,24,27,30)*(1-EXP(-(0.2*B2215)*5)),0)+IF(AND(ArtifactsInput!$M$22,Inputs!$B$4&lt;&gt;"Chapter Hunt"),CHOOSE(ArtifactsInput!$N$22+1,10,12,14,16,18,20)*((0*(((0.15*B2215*5))^0/1)+1*(((0.15*B2215*5))^1/1)+2*(((0.15*B2215*5))^2/2)+3*(((0.15*B2215*5))^3/6)+4*(((0.15*B2215*5))^4/24)+5*(((0.15*B2215*5))^5/120))/((((0.15*B2215*5))^0/1)+(((0.15*B2215*5))^1/1)+(((0.15*B2215*5))^2/2)+(((0.15*B2215*5))^3/6)+(((0.15*B2215*5))^4/24)+(((0.15*B2215*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88">
      <c r="A2188">
        <f>Skills!A9</f>
        <v/>
      </c>
      <c r="B2188">
        <f>Skills!B9</f>
        <v/>
      </c>
      <c r="C2188">
        <f>Inputs!$B$3&gt;=72</f>
        <v/>
      </c>
      <c r="D2188">
        <f>IF(Skills!C9=1,60+Inputs!$B$25+Inputs!$B$29,IF(Skills!C9=2,90+Inputs!$B$26+Inputs!$B$29,IF(Skills!C9=3,120+Inputs!$B$27+Inputs!$B$29,MAX(0,(Inputs!$B$3-100)*3)+Inputs!$B$28+Inputs!$B$29)))</f>
        <v/>
      </c>
      <c r="E2188">
        <f>INDEX(FactorTable!$B$2:$Y$301, MATCH(ROUND(MIN(300,MAX(1,D2188)),0), FactorTable!$A$2:$A$301,0), Skills!M9+1)</f>
        <v/>
      </c>
      <c r="F2188">
        <f>IF(Skills!N9=TRUE,(Skills!L9/10)*(E2188/1000),Skills!L9/10)+Skills!O9</f>
        <v/>
      </c>
      <c r="G2188">
        <f>Calc!G9</f>
        <v/>
      </c>
      <c r="H2188">
        <f>Calc!H9</f>
        <v/>
      </c>
      <c r="I2188">
        <f>IF(Skills!AA9&lt;&gt;"",1+(Skills!AA9/10)*(U2182/1000)/100,1)</f>
        <v/>
      </c>
      <c r="J2188">
        <f>((Inputs!$B$6*(1+Inputs!$B$7/100))+(((Inputs!$B$12*(1+Inputs!$B$13/100))-(Inputs!$B$12*(1+Inputs!$B$13/100)))+0.25*(Inputs!$B$14-Inputs!$B$14))*(1+Inputs!$B$7/100))*(F2188/100)</f>
        <v/>
      </c>
      <c r="K2188">
        <f>J2188*(1+((Inputs!$B$12*(1+Inputs!$B$13/100))*0.01+Inputs!$B$14*0.0025)/100)*(1+Inputs!$B$15/100)*(1+Inputs!$B$16/100)*(5000/(6000+Inputs!$B$43*(1-(100*(1-(1-(Inputs!$B$19+0)/100)*(1-CHOOSE(ArtifactsInput!$N$40+1,5,6,7,8,9,10)/100)^(ArtifactsInput!$M$40-ArtifactsInput!$M$40)))/100)))*(1+(Inputs!$B$24+((C2209=TRUE)*(F2209-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2202=TRUE)*(F2202-Calc!F23))+(((IF(AND(ArtifactsInput!$M$42,((Inputs!$B$9+((C2204=TRUE)*(F2204-Calc!F25))+B2219+(ArtifactsInput!$M$24-ArtifactsInput!$M$24)*CHOOSE(ArtifactsInput!$N$24+1,10,12,14,16,18,20)+IF(ArtifactsInput!$M$10,CHOOSE(ArtifactsInput!$N$10+1,15,18,21,24,27,30)*(IF(Inputs!$B$39="pvp",MIN(15,15)/15,IF(AND(Inputs!$B$39&lt;&gt;"pvp",Inputs!$B$44&gt;0),MIN(15,Inputs!$B$44)/(Inputs!$B$44),0))),0)))&gt;=100),MIN(100,((Inputs!$B$9+((C2204=TRUE)*(F2204-Calc!F25))+B2219+(ArtifactsInput!$M$24-ArtifactsInput!$M$24)*CHOOSE(ArtifactsInput!$N$24+1,10,12,14,16,18,20)+IF(ArtifactsInput!$M$10,CHOOSE(ArtifactsInput!$N$10+1,15,18,21,24,27,30)*(IF(Inputs!$B$39="pvp",MIN(15,15)/15,IF(AND(Inputs!$B$39&lt;&gt;"pvp",Inputs!$B$44&gt;0),MIN(15,Inputs!$B$44)/(Inputs!$B$44),0))),0)))-100),0))*CHOOSE(ArtifactsInput!$N$42+1,0.6,0.72,0.84,0.96,1.08,1.2))),Inputs!$B$18+((C2208=TRUE)*(F2208-Calc!F29))+(IF(AND(ArtifactsInput!$M$42,((Inputs!$B$9+((C2204=TRUE)*(F2204-Calc!F25))+B2219+(ArtifactsInput!$M$24-ArtifactsInput!$M$24)*CHOOSE(ArtifactsInput!$N$24+1,10,12,14,16,18,20)+IF(ArtifactsInput!$M$10,CHOOSE(ArtifactsInput!$N$10+1,15,18,21,24,27,30)*(IF(Inputs!$B$39="pvp",MIN(15,15)/15,IF(AND(Inputs!$B$39&lt;&gt;"pvp",Inputs!$B$44&gt;0),MIN(15,Inputs!$B$44)/(Inputs!$B$44),0))),0)))&gt;=100),CHOOSE(ArtifactsInput!$N$42+1,40,48,56,64,72,80),0))))/100)*(((1+(((C2200=TRUE)*F2200*IF(AND(Inputs!$B$39&lt;&gt;"pvp",Inputs!$B$44&gt;0),(((R2200-1)*(Skills!Y21*(1+Inputs!$B$34/100))+MIN((Skills!Y21*(1+Inputs!$B$34/100)),MAX(0,Inputs!$B$44-((R2200-1)*Skills!D21))))/Inputs!$B$44),IF(Inputs!$B$39="pvp",MIN((Skills!Y21*(1+Inputs!$B$34/100)),15)/15,(Skills!Y21*(1+Inputs!$B$34/100))/Skills!D21)))+((C2207=TRUE)*(F2207-Calc!F28))+((C2197=TRUE)*(F2197-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2194=TRUE)*F2194*IF(AND(Inputs!$B$39&lt;&gt;"pvp",Inputs!$B$44&gt;0),(((R2194-1)*(Skills!Y15*(1+Inputs!$B$34/100))+MIN((Skills!Y15*(1+Inputs!$B$34/100)),MAX(0,Inputs!$B$44-((R2194-1)*Skills!D15))))/Inputs!$B$44),IF(Inputs!$B$39="pvp",MIN((Skills!Y15*(1+Inputs!$B$34/100)),15)/15,(Skills!Y15*(1+Inputs!$B$34/100))/Skills!D15)))/100)*(1+((C2185=TRUE)*F2185*B2213)/100))*B2221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2188)</f>
        <v/>
      </c>
      <c r="L2188">
        <f>K2188*(MIN(Inputs!$B$22+((C2203=TRUE)*(F2203-Calc!F24)),(Inputs!$B$23+0+(IF(ArtifactsInput!$M$15,CHOOSE(ArtifactsInput!$N$15+1,25,30,35,40,45,50)/100*(Inputs!$B$11-Inputs!$B$11),0))))/100+(Inputs!$B$23+0+(IF(ArtifactsInput!$M$15,CHOOSE(ArtifactsInput!$N$15+1,25,30,35,40,45,50)/100*(Inputs!$B$11-Inputs!$B$11),0)))/100)/2</f>
        <v/>
      </c>
      <c r="M2188">
        <f>L2188*(1+(Inputs!$B$10+((C2205=TRUE)*(F2205-Calc!F26))+B2222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88">
        <f>L2188*(1-MIN((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2188*(MIN((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88">
        <f>(1-Summary!$B$11)*T2188+Summary!$B$11*V2188</f>
        <v/>
      </c>
      <c r="P2188">
        <f>IF(B2223=0,0,O2188/B2223)</f>
        <v/>
      </c>
      <c r="Q2188">
        <f>IFERROR(1/IF(Inputs!$B$39="pvp",15,MAX(0.1,Skills!D9-IF(Skills!E9=TRUE,Inputs!$B$32,0))),0)</f>
        <v/>
      </c>
      <c r="R2188">
        <f>IF(AND(Inputs!$B$39&lt;&gt;"pvp",Inputs!$B$44&gt;0),IF(MAX(0,Inputs!$B$44-B2224)&lt;=0,0,(INT(MAX(0,Inputs!$B$44-B2224)/IF(Inputs!$B$39="pvp",15,MAX(0.1,Skills!D9-IF(Skills!E9=TRUE,Inputs!$B$32,0))))+1)),0)</f>
        <v/>
      </c>
      <c r="S2188">
        <f>IFERROR(O2188/N2188,0)</f>
        <v/>
      </c>
      <c r="T2188">
        <f>IF(C2188,(H2188*N2188*IF(AND(Inputs!$B$39&lt;&gt;"pvp",Inputs!$B$44&gt;0),((Skills!G9*((R2188-1)*IF(Skills!H9&gt;0,Skills!I9/Skills!H9,1)+IF(Skills!H9&gt;0,MIN(Skills!I9,MAX(0,MAX(0,Inputs!$B$44-B2224)-((R2188-1)*IF(Inputs!$B$39="pvp",15,MAX(0.1,Skills!D9-IF(Skills!E9=TRUE,Inputs!$B$32,0))))))/Skills!H9,1)))/Inputs!$B$44),G2188*Q2188))*IF(Inputs!$B$39="pvp",1,1+(Inputs!$B$20+((C2206=TRUE)*(F2206-Calc!F27))+Skills!P9+B2220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Hunt"),CHOOSE(ArtifactsInput!$N$35+1,15,18,21,24,27,30)*(1-EXP(-(0.2*B2215)*5)),0)+IF(AND(ArtifactsInput!$M$22,Inputs!$B$4&lt;&gt;"Chapter Hunt"),CHOOSE(ArtifactsInput!$N$22+1,10,12,14,16,18,20)*((0*(((0.15*B2215*5))^0/1)+1*(((0.15*B2215*5))^1/1)+2*(((0.15*B2215*5))^2/2)+3*(((0.15*B2215*5))^3/6)+4*(((0.15*B2215*5))^4/24)+5*(((0.15*B2215*5))^5/120))/((((0.15*B2215*5))^0/1)+(((0.15*B2215*5))^1/1)+(((0.15*B2215*5))^2/2)+(((0.15*B2215*5))^3/6)+(((0.15*B2215*5))^4/24)+(((0.15*B2215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2188*(1-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2188*(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2188*(1-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2188*(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88">
        <f>IF(C2188,(H2188*N2188*IF(AND(Inputs!$B$39&lt;&gt;"pvp",Inputs!$B$44&gt;0),((Skills!G9*((R2188-1)*IF(Skills!H9&gt;0,Skills!I9/Skills!H9,1)+IF(Skills!H9&gt;0,MIN(Skills!I9,MAX(0,MAX(0,Inputs!$B$44-B2224)-((R2188-1)*IF(Inputs!$B$39="pvp",15,MAX(0.1,Skills!D9-IF(Skills!E9=TRUE,Inputs!$B$32,0))))))/Skills!H9,1)))/Inputs!$B$44),G2188*Q2188))*IF(Inputs!$B$39="pvp",1,(1+(Inputs!$B$21+Skills!Q9+B2220+(IF(ArtifactsInput!$M$33,CHOOSE(ArtifactsInput!$N$33+1,30,36,42,48,54,60),0))+(IF(AND(ArtifactsInput!$M$35,Inputs!$B$4&lt;&gt;"Chapter Hunt"),CHOOSE(ArtifactsInput!$N$35+1,15,18,21,24,27,30)*(1-EXP(-(0.2*B2215)*5)),0)+IF(AND(ArtifactsInput!$M$22,Inputs!$B$4&lt;&gt;"Chapter Hunt"),CHOOSE(ArtifactsInput!$N$22+1,10,12,14,16,18,20)*((0*(((0.15*B2215*5))^0/1)+1*(((0.15*B2215*5))^1/1)+2*(((0.15*B2215*5))^2/2)+3*(((0.15*B2215*5))^3/6)+4*(((0.15*B2215*5))^4/24)+5*(((0.15*B2215*5))^5/120))/((((0.15*B2215*5))^0/1)+(((0.15*B2215*5))^1/1)+(((0.15*B2215*5))^2/2)+(((0.15*B2215*5))^3/6)+(((0.15*B2215*5))^4/24)+(((0.15*B2215*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89">
      <c r="A2189">
        <f>Skills!A10</f>
        <v/>
      </c>
      <c r="B2189">
        <f>Skills!B10</f>
        <v/>
      </c>
      <c r="C2189">
        <f>Inputs!$B$3&gt;=117</f>
        <v/>
      </c>
      <c r="D2189">
        <f>IF(Skills!C10=1,60+Inputs!$B$25+Inputs!$B$29,IF(Skills!C10=2,90+Inputs!$B$26+Inputs!$B$29,IF(Skills!C10=3,120+Inputs!$B$27+Inputs!$B$29,MAX(0,(Inputs!$B$3-100)*3)+Inputs!$B$28+Inputs!$B$29)))</f>
        <v/>
      </c>
      <c r="E2189">
        <f>INDEX(FactorTable!$B$2:$Y$301, MATCH(ROUND(MIN(300,MAX(1,D2189)),0), FactorTable!$A$2:$A$301,0), Skills!M10+1)</f>
        <v/>
      </c>
      <c r="F2189">
        <f>IF(Skills!N10=TRUE,(Skills!L10/10)*(E2189/1000),Skills!L10/10)+Skills!O10</f>
        <v/>
      </c>
      <c r="G2189">
        <f>Calc!G10</f>
        <v/>
      </c>
      <c r="H2189">
        <f>Calc!H10</f>
        <v/>
      </c>
      <c r="I2189">
        <f>IF(Skills!AA10&lt;&gt;"",1+(Skills!AA10/10)*(U2182/1000)/100,1)</f>
        <v/>
      </c>
      <c r="J2189">
        <f>((Inputs!$B$6*(1+Inputs!$B$7/100))+(((Inputs!$B$12*(1+Inputs!$B$13/100))-(Inputs!$B$12*(1+Inputs!$B$13/100)))+0.25*(Inputs!$B$14-Inputs!$B$14))*(1+Inputs!$B$7/100))*(F2189/100)</f>
        <v/>
      </c>
      <c r="K2189">
        <f>J2189*(1+((Inputs!$B$12*(1+Inputs!$B$13/100))*0.01+Inputs!$B$14*0.0025)/100)*(1+Inputs!$B$15/100)*(1+Inputs!$B$16/100)*(5000/(6000+Inputs!$B$43*(1-(100*(1-(1-(Inputs!$B$19+0)/100)*(1-CHOOSE(ArtifactsInput!$N$40+1,5,6,7,8,9,10)/100)^(ArtifactsInput!$M$40-ArtifactsInput!$M$40)))/100)))*(1+(Inputs!$B$24+((C2209=TRUE)*(F2209-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2202=TRUE)*(F2202-Calc!F23))+(((IF(AND(ArtifactsInput!$M$42,((Inputs!$B$9+((C2204=TRUE)*(F2204-Calc!F25))+B2219+(ArtifactsInput!$M$24-ArtifactsInput!$M$24)*CHOOSE(ArtifactsInput!$N$24+1,10,12,14,16,18,20)+IF(ArtifactsInput!$M$10,CHOOSE(ArtifactsInput!$N$10+1,15,18,21,24,27,30)*(IF(Inputs!$B$39="pvp",MIN(15,15)/15,IF(AND(Inputs!$B$39&lt;&gt;"pvp",Inputs!$B$44&gt;0),MIN(15,Inputs!$B$44)/(Inputs!$B$44),0))),0)))&gt;=100),MIN(100,((Inputs!$B$9+((C2204=TRUE)*(F2204-Calc!F25))+B2219+(ArtifactsInput!$M$24-ArtifactsInput!$M$24)*CHOOSE(ArtifactsInput!$N$24+1,10,12,14,16,18,20)+IF(ArtifactsInput!$M$10,CHOOSE(ArtifactsInput!$N$10+1,15,18,21,24,27,30)*(IF(Inputs!$B$39="pvp",MIN(15,15)/15,IF(AND(Inputs!$B$39&lt;&gt;"pvp",Inputs!$B$44&gt;0),MIN(15,Inputs!$B$44)/(Inputs!$B$44),0))),0)))-100),0))*CHOOSE(ArtifactsInput!$N$42+1,0.6,0.72,0.84,0.96,1.08,1.2))),Inputs!$B$18+((C2208=TRUE)*(F2208-Calc!F29))+(IF(AND(ArtifactsInput!$M$42,((Inputs!$B$9+((C2204=TRUE)*(F2204-Calc!F25))+B2219+(ArtifactsInput!$M$24-ArtifactsInput!$M$24)*CHOOSE(ArtifactsInput!$N$24+1,10,12,14,16,18,20)+IF(ArtifactsInput!$M$10,CHOOSE(ArtifactsInput!$N$10+1,15,18,21,24,27,30)*(IF(Inputs!$B$39="pvp",MIN(15,15)/15,IF(AND(Inputs!$B$39&lt;&gt;"pvp",Inputs!$B$44&gt;0),MIN(15,Inputs!$B$44)/(Inputs!$B$44),0))),0)))&gt;=100),CHOOSE(ArtifactsInput!$N$42+1,40,48,56,64,72,80),0))))/100)*(((1+(((C2200=TRUE)*F2200*IF(AND(Inputs!$B$39&lt;&gt;"pvp",Inputs!$B$44&gt;0),(((R2200-1)*(Skills!Y21*(1+Inputs!$B$34/100))+MIN((Skills!Y21*(1+Inputs!$B$34/100)),MAX(0,Inputs!$B$44-((R2200-1)*Skills!D21))))/Inputs!$B$44),IF(Inputs!$B$39="pvp",MIN((Skills!Y21*(1+Inputs!$B$34/100)),15)/15,(Skills!Y21*(1+Inputs!$B$34/100))/Skills!D21)))+((C2207=TRUE)*(F2207-Calc!F28))+((C2197=TRUE)*(F2197-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2194=TRUE)*F2194*IF(AND(Inputs!$B$39&lt;&gt;"pvp",Inputs!$B$44&gt;0),(((R2194-1)*(Skills!Y15*(1+Inputs!$B$34/100))+MIN((Skills!Y15*(1+Inputs!$B$34/100)),MAX(0,Inputs!$B$44-((R2194-1)*Skills!D15))))/Inputs!$B$44),IF(Inputs!$B$39="pvp",MIN((Skills!Y15*(1+Inputs!$B$34/100)),15)/15,(Skills!Y15*(1+Inputs!$B$34/100))/Skills!D15)))/100)*(1+((C2185=TRUE)*F2185*B2213)/100))*B2221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2189)</f>
        <v/>
      </c>
      <c r="L2189">
        <f>K2189*(MIN(Inputs!$B$22+((C2203=TRUE)*(F2203-Calc!F24)),(Inputs!$B$23+0+(IF(ArtifactsInput!$M$15,CHOOSE(ArtifactsInput!$N$15+1,25,30,35,40,45,50)/100*(Inputs!$B$11-Inputs!$B$11),0))))/100+(Inputs!$B$23+0+(IF(ArtifactsInput!$M$15,CHOOSE(ArtifactsInput!$N$15+1,25,30,35,40,45,50)/100*(Inputs!$B$11-Inputs!$B$11),0)))/100)/2</f>
        <v/>
      </c>
      <c r="M2189">
        <f>L2189*(1+(Inputs!$B$10+((C2205=TRUE)*(F2205-Calc!F26))+B2222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89">
        <f>L2189*(1-MIN((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2189*(MIN((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89">
        <f>(1-Summary!$B$11)*T2189+Summary!$B$11*V2189</f>
        <v/>
      </c>
      <c r="P2189">
        <f>IF(B2223=0,0,O2189/B2223)</f>
        <v/>
      </c>
      <c r="Q2189" t="n">
        <v>0</v>
      </c>
      <c r="R2189" t="n">
        <v>0</v>
      </c>
      <c r="S2189" t="n">
        <v>0</v>
      </c>
      <c r="T2189">
        <f>IF(C2189,(0.2*SUMPRODUCT((Skills!Z2:Z31=TRUE)*(C2181:C2210=TRUE)*S2181:S2210)*N2189)*IF(Inputs!$B$39="pvp",1,1+(Inputs!$B$20+((C2206=TRUE)*(F2206-Calc!F27))+Skills!P10+B2220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Hunt"),CHOOSE(ArtifactsInput!$N$35+1,15,18,21,24,27,30)*(1-EXP(-(0.2*B2215)*5)),0)+IF(AND(ArtifactsInput!$M$22,Inputs!$B$4&lt;&gt;"Chapter Hunt"),CHOOSE(ArtifactsInput!$N$22+1,10,12,14,16,18,20)*((0*(((0.15*B2215*5))^0/1)+1*(((0.15*B2215*5))^1/1)+2*(((0.15*B2215*5))^2/2)+3*(((0.15*B2215*5))^3/6)+4*(((0.15*B2215*5))^4/24)+5*(((0.15*B2215*5))^5/120))/((((0.15*B2215*5))^0/1)+(((0.15*B2215*5))^1/1)+(((0.15*B2215*5))^2/2)+(((0.15*B2215*5))^3/6)+(((0.15*B2215*5))^4/24)+(((0.15*B2215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2189*(1-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2189*(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2189*(1-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2189*(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89">
        <f>IF(C2189,(0.2*SUMPRODUCT((Skills!Z2:Z31=TRUE)*(C2181:C2210=TRUE)*S2181:S2210)*N2189)*IF(Inputs!$B$39="pvp",1,(1+(Inputs!$B$21+Skills!Q10+B2220+(IF(ArtifactsInput!$M$33,CHOOSE(ArtifactsInput!$N$33+1,30,36,42,48,54,60),0))+(IF(AND(ArtifactsInput!$M$35,Inputs!$B$4&lt;&gt;"Chapter Hunt"),CHOOSE(ArtifactsInput!$N$35+1,15,18,21,24,27,30)*(1-EXP(-(0.2*B2215)*5)),0)+IF(AND(ArtifactsInput!$M$22,Inputs!$B$4&lt;&gt;"Chapter Hunt"),CHOOSE(ArtifactsInput!$N$22+1,10,12,14,16,18,20)*((0*(((0.15*B2215*5))^0/1)+1*(((0.15*B2215*5))^1/1)+2*(((0.15*B2215*5))^2/2)+3*(((0.15*B2215*5))^3/6)+4*(((0.15*B2215*5))^4/24)+5*(((0.15*B2215*5))^5/120))/((((0.15*B2215*5))^0/1)+(((0.15*B2215*5))^1/1)+(((0.15*B2215*5))^2/2)+(((0.15*B2215*5))^3/6)+(((0.15*B2215*5))^4/24)+(((0.15*B2215*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90">
      <c r="A2190">
        <f>Skills!A11</f>
        <v/>
      </c>
      <c r="B2190">
        <f>Skills!B11</f>
        <v/>
      </c>
      <c r="C2190">
        <f>Inputs!$B$3&gt;=60</f>
        <v/>
      </c>
      <c r="D2190">
        <f>IF(Skills!C11=1,60+Inputs!$B$25+Inputs!$B$29,IF(Skills!C11=2,90+Inputs!$B$26+Inputs!$B$29,IF(Skills!C11=3,120+Inputs!$B$27+Inputs!$B$29,MAX(0,(Inputs!$B$3-100)*3)+Inputs!$B$28+Inputs!$B$29)))</f>
        <v/>
      </c>
      <c r="E2190">
        <f>INDEX(FactorTable!$B$2:$Y$301, MATCH(ROUND(MIN(300,MAX(1,D2190)),0), FactorTable!$A$2:$A$301,0), Skills!M11+1)</f>
        <v/>
      </c>
      <c r="F2190">
        <f>IF(Skills!N11=TRUE,(Skills!L11/10)*(E2190/1000),Skills!L11/10)+Skills!O11</f>
        <v/>
      </c>
      <c r="G2190">
        <f>Calc!G11</f>
        <v/>
      </c>
      <c r="H2190">
        <f>Calc!H11</f>
        <v/>
      </c>
      <c r="I2190">
        <f>IF(Skills!AA11&lt;&gt;"",1+(Skills!AA11/10)*(U2182/1000)/100,1)</f>
        <v/>
      </c>
      <c r="J2190" t="inlineStr"/>
      <c r="K2190" t="inlineStr"/>
      <c r="L2190" t="inlineStr"/>
      <c r="M2190" t="inlineStr"/>
      <c r="N2190" t="inlineStr"/>
      <c r="O2190">
        <f>(1-Summary!$B$11)*T2190+Summary!$B$11*V2190</f>
        <v/>
      </c>
      <c r="P2190">
        <f>IF(B2223=0,0,O2190/B2223)</f>
        <v/>
      </c>
      <c r="Q2190" t="n">
        <v>0</v>
      </c>
      <c r="R2190" t="n">
        <v>0</v>
      </c>
      <c r="S2190">
        <f>IFERROR(O2190/N2190,0)</f>
        <v/>
      </c>
      <c r="T2190" t="n">
        <v>0</v>
      </c>
      <c r="V2190" t="n">
        <v>0</v>
      </c>
    </row>
    <row r="2191">
      <c r="A2191">
        <f>Skills!A12</f>
        <v/>
      </c>
      <c r="B2191">
        <f>Skills!B12</f>
        <v/>
      </c>
      <c r="C2191">
        <f>Inputs!$B$3&gt;=103</f>
        <v/>
      </c>
      <c r="D2191">
        <f>IF(Skills!C12=1,60+Inputs!$B$25+Inputs!$B$29,IF(Skills!C12=2,90+Inputs!$B$26+Inputs!$B$29,IF(Skills!C12=3,120+Inputs!$B$27+Inputs!$B$29,MAX(0,(Inputs!$B$3-100)*3)+Inputs!$B$28+Inputs!$B$29)))</f>
        <v/>
      </c>
      <c r="E2191">
        <f>INDEX(FactorTable!$B$2:$Y$301, MATCH(ROUND(MIN(300,MAX(1,D2191)),0), FactorTable!$A$2:$A$301,0), Skills!M12+1)</f>
        <v/>
      </c>
      <c r="F2191">
        <f>IF(Skills!N12=TRUE,(Skills!L12/10)*(E2191/1000),Skills!L12/10)+Skills!O12</f>
        <v/>
      </c>
      <c r="G2191">
        <f>Calc!G12</f>
        <v/>
      </c>
      <c r="H2191">
        <f>Calc!H12</f>
        <v/>
      </c>
      <c r="I2191">
        <f>IF(Skills!AA12&lt;&gt;"",1+(Skills!AA12/10)*(U2182/1000)/100,1)</f>
        <v/>
      </c>
      <c r="J2191">
        <f>((Inputs!$B$6*(1+Inputs!$B$7/100))+(((Inputs!$B$12*(1+Inputs!$B$13/100))-(Inputs!$B$12*(1+Inputs!$B$13/100)))+0.25*(Inputs!$B$14-Inputs!$B$14))*(1+Inputs!$B$7/100))*(F2191/100)</f>
        <v/>
      </c>
      <c r="K2191">
        <f>J2191*(1+((Inputs!$B$12*(1+Inputs!$B$13/100))*0.01+Inputs!$B$14*0.0025)/100)*(1+Inputs!$B$15/100)*(1+Inputs!$B$16/100)*(5000/(6000+Inputs!$B$43*(1-(100*(1-(1-(Inputs!$B$19+0)/100)*(1-CHOOSE(ArtifactsInput!$N$40+1,5,6,7,8,9,10)/100)^(ArtifactsInput!$M$40-ArtifactsInput!$M$40)))/100)))*(1+(Inputs!$B$24+((C2209=TRUE)*(F2209-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2202=TRUE)*(F2202-Calc!F23))+(((IF(AND(ArtifactsInput!$M$42,((Inputs!$B$9+((C2204=TRUE)*(F2204-Calc!F25))+B2219+(ArtifactsInput!$M$24-ArtifactsInput!$M$24)*CHOOSE(ArtifactsInput!$N$24+1,10,12,14,16,18,20)+IF(ArtifactsInput!$M$10,CHOOSE(ArtifactsInput!$N$10+1,15,18,21,24,27,30)*(IF(Inputs!$B$39="pvp",MIN(15,15)/15,IF(AND(Inputs!$B$39&lt;&gt;"pvp",Inputs!$B$44&gt;0),MIN(15,Inputs!$B$44)/(Inputs!$B$44),0))),0)))&gt;=100),MIN(100,((Inputs!$B$9+((C2204=TRUE)*(F2204-Calc!F25))+B2219+(ArtifactsInput!$M$24-ArtifactsInput!$M$24)*CHOOSE(ArtifactsInput!$N$24+1,10,12,14,16,18,20)+IF(ArtifactsInput!$M$10,CHOOSE(ArtifactsInput!$N$10+1,15,18,21,24,27,30)*(IF(Inputs!$B$39="pvp",MIN(15,15)/15,IF(AND(Inputs!$B$39&lt;&gt;"pvp",Inputs!$B$44&gt;0),MIN(15,Inputs!$B$44)/(Inputs!$B$44),0))),0)))-100),0))*CHOOSE(ArtifactsInput!$N$42+1,0.6,0.72,0.84,0.96,1.08,1.2))),Inputs!$B$18+((C2208=TRUE)*(F2208-Calc!F29))+(IF(AND(ArtifactsInput!$M$42,((Inputs!$B$9+((C2204=TRUE)*(F2204-Calc!F25))+B2219+(ArtifactsInput!$M$24-ArtifactsInput!$M$24)*CHOOSE(ArtifactsInput!$N$24+1,10,12,14,16,18,20)+IF(ArtifactsInput!$M$10,CHOOSE(ArtifactsInput!$N$10+1,15,18,21,24,27,30)*(IF(Inputs!$B$39="pvp",MIN(15,15)/15,IF(AND(Inputs!$B$39&lt;&gt;"pvp",Inputs!$B$44&gt;0),MIN(15,Inputs!$B$44)/(Inputs!$B$44),0))),0)))&gt;=100),CHOOSE(ArtifactsInput!$N$42+1,40,48,56,64,72,80),0))))/100)*(((1+(((C2200=TRUE)*F2200*IF(AND(Inputs!$B$39&lt;&gt;"pvp",Inputs!$B$44&gt;0),(((R2200-1)*(Skills!Y21*(1+Inputs!$B$34/100))+MIN((Skills!Y21*(1+Inputs!$B$34/100)),MAX(0,Inputs!$B$44-((R2200-1)*Skills!D21))))/Inputs!$B$44),IF(Inputs!$B$39="pvp",MIN((Skills!Y21*(1+Inputs!$B$34/100)),15)/15,(Skills!Y21*(1+Inputs!$B$34/100))/Skills!D21)))+((C2207=TRUE)*(F2207-Calc!F28))+((C2197=TRUE)*(F2197-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2194=TRUE)*F2194*IF(AND(Inputs!$B$39&lt;&gt;"pvp",Inputs!$B$44&gt;0),(((R2194-1)*(Skills!Y15*(1+Inputs!$B$34/100))+MIN((Skills!Y15*(1+Inputs!$B$34/100)),MAX(0,Inputs!$B$44-((R2194-1)*Skills!D15))))/Inputs!$B$44),IF(Inputs!$B$39="pvp",MIN((Skills!Y15*(1+Inputs!$B$34/100)),15)/15,(Skills!Y15*(1+Inputs!$B$34/100))/Skills!D15)))/100)*(1+((C2185=TRUE)*F2185*B2213)/100))*B2221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2191)</f>
        <v/>
      </c>
      <c r="L2191">
        <f>K2191*(MIN(Inputs!$B$22+((C2203=TRUE)*(F2203-Calc!F24)),(Inputs!$B$23+0+(IF(ArtifactsInput!$M$15,CHOOSE(ArtifactsInput!$N$15+1,25,30,35,40,45,50)/100*(Inputs!$B$11-Inputs!$B$11),0))))/100+(Inputs!$B$23+0+(IF(ArtifactsInput!$M$15,CHOOSE(ArtifactsInput!$N$15+1,25,30,35,40,45,50)/100*(Inputs!$B$11-Inputs!$B$11),0)))/100)/2</f>
        <v/>
      </c>
      <c r="M2191">
        <f>L2191*(1+(Inputs!$B$10+((C2205=TRUE)*(F2205-Calc!F26))+B2222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91">
        <f>L2191*(1-MIN((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2191*(MIN((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91">
        <f>(1-Summary!$B$11)*T2191+Summary!$B$11*V2191</f>
        <v/>
      </c>
      <c r="P2191">
        <f>IF(B2223=0,0,O2191/B2223)</f>
        <v/>
      </c>
      <c r="Q2191">
        <f>IFERROR(1/IF(Inputs!$B$39="pvp",15,MAX(0.1,Skills!D12-IF(Skills!E12=TRUE,Inputs!$B$32,0))),0)</f>
        <v/>
      </c>
      <c r="R2191">
        <f>IF(AND(Inputs!$B$39&lt;&gt;"pvp",Inputs!$B$44&gt;0),IF(MAX(0,Inputs!$B$44-B2224)&lt;=0,0,(INT(MAX(0,Inputs!$B$44-B2224)/IF(Inputs!$B$39="pvp",15,MAX(0.1,Skills!D12-IF(Skills!E12=TRUE,Inputs!$B$32,0))))+1)),0)</f>
        <v/>
      </c>
      <c r="S2191">
        <f>IFERROR(O2191/N2191,0)</f>
        <v/>
      </c>
      <c r="T2191">
        <f>IF(C2191,(H2191*N2191*IF(AND(Inputs!$B$39&lt;&gt;"pvp",Inputs!$B$44&gt;0),((Skills!G12*((R2191-1)*IF(Skills!H12&gt;0,Skills!I12/Skills!H12,1)+IF(Skills!H12&gt;0,MIN(Skills!I12,MAX(0,MAX(0,Inputs!$B$44-B2224)-((R2191-1)*IF(Inputs!$B$39="pvp",15,MAX(0.1,Skills!D12-IF(Skills!E12=TRUE,Inputs!$B$32,0))))))/Skills!H12,1)))/Inputs!$B$44),G2191*Q2191))*IF(Inputs!$B$39="pvp",1,1+(Inputs!$B$20+((C2206=TRUE)*(F2206-Calc!F27))+Skills!P12+B2220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Hunt"),CHOOSE(ArtifactsInput!$N$35+1,15,18,21,24,27,30)*(1-EXP(-(0.2*B2215)*5)),0)+IF(AND(ArtifactsInput!$M$22,Inputs!$B$4&lt;&gt;"Chapter Hunt"),CHOOSE(ArtifactsInput!$N$22+1,10,12,14,16,18,20)*((0*(((0.15*B2215*5))^0/1)+1*(((0.15*B2215*5))^1/1)+2*(((0.15*B2215*5))^2/2)+3*(((0.15*B2215*5))^3/6)+4*(((0.15*B2215*5))^4/24)+5*(((0.15*B2215*5))^5/120))/((((0.15*B2215*5))^0/1)+(((0.15*B2215*5))^1/1)+(((0.15*B2215*5))^2/2)+(((0.15*B2215*5))^3/6)+(((0.15*B2215*5))^4/24)+(((0.15*B2215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2191*(1-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2191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2191*(1-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2191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91">
        <f>IF(C2191,(H2191*N2191*IF(AND(Inputs!$B$39&lt;&gt;"pvp",Inputs!$B$44&gt;0),((Skills!G12*((R2191-1)*IF(Skills!H12&gt;0,Skills!I12/Skills!H12,1)+IF(Skills!H12&gt;0,MIN(Skills!I12,MAX(0,MAX(0,Inputs!$B$44-B2224)-((R2191-1)*IF(Inputs!$B$39="pvp",15,MAX(0.1,Skills!D12-IF(Skills!E12=TRUE,Inputs!$B$32,0))))))/Skills!H12,1)))/Inputs!$B$44),G2191*Q2191))*IF(Inputs!$B$39="pvp",1,(1+(Inputs!$B$21+Skills!Q12+B2220+(IF(ArtifactsInput!$M$33,CHOOSE(ArtifactsInput!$N$33+1,30,36,42,48,54,60),0))+(IF(AND(ArtifactsInput!$M$35,Inputs!$B$4&lt;&gt;"Chapter Hunt"),CHOOSE(ArtifactsInput!$N$35+1,15,18,21,24,27,30)*(1-EXP(-(0.2*B2215)*5)),0)+IF(AND(ArtifactsInput!$M$22,Inputs!$B$4&lt;&gt;"Chapter Hunt"),CHOOSE(ArtifactsInput!$N$22+1,10,12,14,16,18,20)*((0*(((0.15*B2215*5))^0/1)+1*(((0.15*B2215*5))^1/1)+2*(((0.15*B2215*5))^2/2)+3*(((0.15*B2215*5))^3/6)+4*(((0.15*B2215*5))^4/24)+5*(((0.15*B2215*5))^5/120))/((((0.15*B2215*5))^0/1)+(((0.15*B2215*5))^1/1)+(((0.15*B2215*5))^2/2)+(((0.15*B2215*5))^3/6)+(((0.15*B2215*5))^4/24)+(((0.15*B2215*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92">
      <c r="A2192">
        <f>Skills!A13</f>
        <v/>
      </c>
      <c r="B2192">
        <f>Skills!B13</f>
        <v/>
      </c>
      <c r="C2192">
        <f>Inputs!$B$3&gt;=105</f>
        <v/>
      </c>
      <c r="D2192">
        <f>IF(Skills!C13=1,60+Inputs!$B$25+Inputs!$B$29,IF(Skills!C13=2,90+Inputs!$B$26+Inputs!$B$29,IF(Skills!C13=3,120+Inputs!$B$27+Inputs!$B$29,MAX(0,(Inputs!$B$3-100)*3)+Inputs!$B$28+Inputs!$B$29)))</f>
        <v/>
      </c>
      <c r="E2192">
        <f>INDEX(FactorTable!$B$2:$Y$301, MATCH(ROUND(MIN(300,MAX(1,D2192)),0), FactorTable!$A$2:$A$301,0), Skills!M13+1)</f>
        <v/>
      </c>
      <c r="F2192">
        <f>IF(Skills!N13=TRUE,(Skills!L13/10)*(E2192/1000),Skills!L13/10)+Skills!O13</f>
        <v/>
      </c>
      <c r="G2192">
        <f>Calc!G13</f>
        <v/>
      </c>
      <c r="H2192">
        <f>Calc!H13</f>
        <v/>
      </c>
      <c r="I2192">
        <f>IF(Skills!AA13&lt;&gt;"",1+(Skills!AA13/10)*(U2182/1000)/100,1)</f>
        <v/>
      </c>
      <c r="J2192">
        <f>((Inputs!$B$6*(1+Inputs!$B$7/100))+(((Inputs!$B$12*(1+Inputs!$B$13/100))-(Inputs!$B$12*(1+Inputs!$B$13/100)))+0.25*(Inputs!$B$14-Inputs!$B$14))*(1+Inputs!$B$7/100))*(F2192/100)</f>
        <v/>
      </c>
      <c r="K2192">
        <f>J2192*(1+((Inputs!$B$12*(1+Inputs!$B$13/100))*0.01+Inputs!$B$14*0.0025)/100)*(1+Inputs!$B$15/100)*(1+Inputs!$B$16/100)*(5000/(6000+Inputs!$B$43*(1-(100*(1-(1-(Inputs!$B$19+0)/100)*(1-CHOOSE(ArtifactsInput!$N$40+1,5,6,7,8,9,10)/100)^(ArtifactsInput!$M$40-ArtifactsInput!$M$40)))/100)))*(1+(Inputs!$B$24+((C2209=TRUE)*(F2209-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2202=TRUE)*(F2202-Calc!F23))+(((IF(AND(ArtifactsInput!$M$42,((Inputs!$B$9+((C2204=TRUE)*(F2204-Calc!F25))+B2219+(ArtifactsInput!$M$24-ArtifactsInput!$M$24)*CHOOSE(ArtifactsInput!$N$24+1,10,12,14,16,18,20)+IF(ArtifactsInput!$M$10,CHOOSE(ArtifactsInput!$N$10+1,15,18,21,24,27,30)*(IF(Inputs!$B$39="pvp",MIN(15,15)/15,IF(AND(Inputs!$B$39&lt;&gt;"pvp",Inputs!$B$44&gt;0),MIN(15,Inputs!$B$44)/(Inputs!$B$44),0))),0)))&gt;=100),MIN(100,((Inputs!$B$9+((C2204=TRUE)*(F2204-Calc!F25))+B2219+(ArtifactsInput!$M$24-ArtifactsInput!$M$24)*CHOOSE(ArtifactsInput!$N$24+1,10,12,14,16,18,20)+IF(ArtifactsInput!$M$10,CHOOSE(ArtifactsInput!$N$10+1,15,18,21,24,27,30)*(IF(Inputs!$B$39="pvp",MIN(15,15)/15,IF(AND(Inputs!$B$39&lt;&gt;"pvp",Inputs!$B$44&gt;0),MIN(15,Inputs!$B$44)/(Inputs!$B$44),0))),0)))-100),0))*CHOOSE(ArtifactsInput!$N$42+1,0.6,0.72,0.84,0.96,1.08,1.2))),Inputs!$B$18+((C2208=TRUE)*(F2208-Calc!F29))+(IF(AND(ArtifactsInput!$M$42,((Inputs!$B$9+((C2204=TRUE)*(F2204-Calc!F25))+B2219+(ArtifactsInput!$M$24-ArtifactsInput!$M$24)*CHOOSE(ArtifactsInput!$N$24+1,10,12,14,16,18,20)+IF(ArtifactsInput!$M$10,CHOOSE(ArtifactsInput!$N$10+1,15,18,21,24,27,30)*(IF(Inputs!$B$39="pvp",MIN(15,15)/15,IF(AND(Inputs!$B$39&lt;&gt;"pvp",Inputs!$B$44&gt;0),MIN(15,Inputs!$B$44)/(Inputs!$B$44),0))),0)))&gt;=100),CHOOSE(ArtifactsInput!$N$42+1,40,48,56,64,72,80),0))))/100)*(((1+(((C2200=TRUE)*F2200*IF(AND(Inputs!$B$39&lt;&gt;"pvp",Inputs!$B$44&gt;0),(((R2200-1)*(Skills!Y21*(1+Inputs!$B$34/100))+MIN((Skills!Y21*(1+Inputs!$B$34/100)),MAX(0,Inputs!$B$44-((R2200-1)*Skills!D21))))/Inputs!$B$44),IF(Inputs!$B$39="pvp",MIN((Skills!Y21*(1+Inputs!$B$34/100)),15)/15,(Skills!Y21*(1+Inputs!$B$34/100))/Skills!D21)))+((C2207=TRUE)*(F2207-Calc!F28))+((C2197=TRUE)*(F2197-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2194=TRUE)*F2194*IF(AND(Inputs!$B$39&lt;&gt;"pvp",Inputs!$B$44&gt;0),(((R2194-1)*(Skills!Y15*(1+Inputs!$B$34/100))+MIN((Skills!Y15*(1+Inputs!$B$34/100)),MAX(0,Inputs!$B$44-((R2194-1)*Skills!D15))))/Inputs!$B$44),IF(Inputs!$B$39="pvp",MIN((Skills!Y15*(1+Inputs!$B$34/100)),15)/15,(Skills!Y15*(1+Inputs!$B$34/100))/Skills!D15)))/100)*(1+((C2185=TRUE)*F2185*B2213)/100))*B2221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2192)</f>
        <v/>
      </c>
      <c r="L2192">
        <f>K2192*(MIN(Inputs!$B$22+((C2203=TRUE)*(F2203-Calc!F24)),(Inputs!$B$23+0+(IF(ArtifactsInput!$M$15,CHOOSE(ArtifactsInput!$N$15+1,25,30,35,40,45,50)/100*(Inputs!$B$11-Inputs!$B$11),0))))/100+(Inputs!$B$23+0+(IF(ArtifactsInput!$M$15,CHOOSE(ArtifactsInput!$N$15+1,25,30,35,40,45,50)/100*(Inputs!$B$11-Inputs!$B$11),0)))/100)/2</f>
        <v/>
      </c>
      <c r="M2192">
        <f>L2192*(1+(Inputs!$B$10+((C2205=TRUE)*(F2205-Calc!F26))+B2222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92">
        <f>L2192*(1-MIN((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2192*(MIN((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92">
        <f>(1-Summary!$B$11)*T2192+Summary!$B$11*V2192</f>
        <v/>
      </c>
      <c r="P2192">
        <f>IF(B2223=0,0,O2192/B2223)</f>
        <v/>
      </c>
      <c r="Q2192">
        <f>IFERROR(1/IF(Inputs!$B$39="pvp",15,MAX(0.1,Skills!D13-IF(Skills!E13=TRUE,Inputs!$B$32,0))),0)</f>
        <v/>
      </c>
      <c r="R2192">
        <f>IF(AND(Inputs!$B$39&lt;&gt;"pvp",Inputs!$B$44&gt;0),IF(MAX(0,Inputs!$B$44-B2224)&lt;=0,0,(INT(MAX(0,Inputs!$B$44-B2224)/IF(Inputs!$B$39="pvp",15,MAX(0.1,Skills!D13-IF(Skills!E13=TRUE,Inputs!$B$32,0))))+1)),0)</f>
        <v/>
      </c>
      <c r="S2192">
        <f>IFERROR(O2192/N2192,0)</f>
        <v/>
      </c>
      <c r="T2192">
        <f>IF(C2192,(H2192*N2192*IF(AND(Inputs!$B$39&lt;&gt;"pvp",Inputs!$B$44&gt;0),((Skills!G13*((R2192-1)*IF(Skills!H13&gt;0,Skills!I13/Skills!H13,1)+IF(Skills!H13&gt;0,MIN(Skills!I13,MAX(0,MAX(0,Inputs!$B$44-B2224)-((R2192-1)*IF(Inputs!$B$39="pvp",15,MAX(0.1,Skills!D13-IF(Skills!E13=TRUE,Inputs!$B$32,0))))))/Skills!H13,1)))/Inputs!$B$44),G2192*Q2192))*IF(Inputs!$B$39="pvp",1,1+(Inputs!$B$20+((C2206=TRUE)*(F2206-Calc!F27))+Skills!P13+B2220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Hunt"),CHOOSE(ArtifactsInput!$N$35+1,15,18,21,24,27,30)*(1-EXP(-(0.2*B2215)*5)),0)+IF(AND(ArtifactsInput!$M$22,Inputs!$B$4&lt;&gt;"Chapter Hunt"),CHOOSE(ArtifactsInput!$N$22+1,10,12,14,16,18,20)*((0*(((0.15*B2215*5))^0/1)+1*(((0.15*B2215*5))^1/1)+2*(((0.15*B2215*5))^2/2)+3*(((0.15*B2215*5))^3/6)+4*(((0.15*B2215*5))^4/24)+5*(((0.15*B2215*5))^5/120))/((((0.15*B2215*5))^0/1)+(((0.15*B2215*5))^1/1)+(((0.15*B2215*5))^2/2)+(((0.15*B2215*5))^3/6)+(((0.15*B2215*5))^4/24)+(((0.15*B2215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2192*(1-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2192*(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2192*(1-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2192*(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92">
        <f>IF(C2192,(H2192*N2192*IF(AND(Inputs!$B$39&lt;&gt;"pvp",Inputs!$B$44&gt;0),((Skills!G13*((R2192-1)*IF(Skills!H13&gt;0,Skills!I13/Skills!H13,1)+IF(Skills!H13&gt;0,MIN(Skills!I13,MAX(0,MAX(0,Inputs!$B$44-B2224)-((R2192-1)*IF(Inputs!$B$39="pvp",15,MAX(0.1,Skills!D13-IF(Skills!E13=TRUE,Inputs!$B$32,0))))))/Skills!H13,1)))/Inputs!$B$44),G2192*Q2192))*IF(Inputs!$B$39="pvp",1,(1+(Inputs!$B$21+Skills!Q13+B2220+(IF(ArtifactsInput!$M$33,CHOOSE(ArtifactsInput!$N$33+1,30,36,42,48,54,60),0))+(IF(AND(ArtifactsInput!$M$35,Inputs!$B$4&lt;&gt;"Chapter Hunt"),CHOOSE(ArtifactsInput!$N$35+1,15,18,21,24,27,30)*(1-EXP(-(0.2*B2215)*5)),0)+IF(AND(ArtifactsInput!$M$22,Inputs!$B$4&lt;&gt;"Chapter Hunt"),CHOOSE(ArtifactsInput!$N$22+1,10,12,14,16,18,20)*((0*(((0.15*B2215*5))^0/1)+1*(((0.15*B2215*5))^1/1)+2*(((0.15*B2215*5))^2/2)+3*(((0.15*B2215*5))^3/6)+4*(((0.15*B2215*5))^4/24)+5*(((0.15*B2215*5))^5/120))/((((0.15*B2215*5))^0/1)+(((0.15*B2215*5))^1/1)+(((0.15*B2215*5))^2/2)+(((0.15*B2215*5))^3/6)+(((0.15*B2215*5))^4/24)+(((0.15*B2215*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93">
      <c r="A2193">
        <f>Skills!A14</f>
        <v/>
      </c>
      <c r="B2193">
        <f>Skills!B14</f>
        <v/>
      </c>
      <c r="C2193">
        <f>Inputs!$B$3&gt;=105</f>
        <v/>
      </c>
      <c r="D2193">
        <f>IF(Skills!C14=1,60+Inputs!$B$25+Inputs!$B$29,IF(Skills!C14=2,90+Inputs!$B$26+Inputs!$B$29,IF(Skills!C14=3,120+Inputs!$B$27+Inputs!$B$29,MAX(0,(Inputs!$B$3-100)*3)+Inputs!$B$28+Inputs!$B$29)))</f>
        <v/>
      </c>
      <c r="E2193">
        <f>INDEX(FactorTable!$B$2:$Y$301, MATCH(ROUND(MIN(300,MAX(1,D2193)),0), FactorTable!$A$2:$A$301,0), Skills!M14+1)</f>
        <v/>
      </c>
      <c r="F2193">
        <f>IF(Skills!N14=TRUE,(Skills!L14/10)*(E2193/1000),Skills!L14/10)+Skills!O14</f>
        <v/>
      </c>
      <c r="G2193">
        <f>Calc!G14</f>
        <v/>
      </c>
      <c r="H2193">
        <f>Calc!H14</f>
        <v/>
      </c>
      <c r="I2193">
        <f>IF(Skills!AA14&lt;&gt;"",1+(Skills!AA14/10)*(U2182/1000)/100,1)</f>
        <v/>
      </c>
      <c r="J2193">
        <f>((Inputs!$B$6*(1+Inputs!$B$7/100))+(((Inputs!$B$12*(1+Inputs!$B$13/100))-(Inputs!$B$12*(1+Inputs!$B$13/100)))+0.25*(Inputs!$B$14-Inputs!$B$14))*(1+Inputs!$B$7/100))*(F2193/100)</f>
        <v/>
      </c>
      <c r="K2193">
        <f>J2193*(1+((Inputs!$B$12*(1+Inputs!$B$13/100))*0.01+Inputs!$B$14*0.0025)/100)*(1+Inputs!$B$15/100)*(1+Inputs!$B$16/100)*(5000/(6000+Inputs!$B$43*(1-(100*(1-(1-(Inputs!$B$19+0)/100)*(1-CHOOSE(ArtifactsInput!$N$40+1,5,6,7,8,9,10)/100)^(ArtifactsInput!$M$40-ArtifactsInput!$M$40)))/100)))*(1+(Inputs!$B$24+((C2209=TRUE)*(F2209-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2202=TRUE)*(F2202-Calc!F23))+(((IF(AND(ArtifactsInput!$M$42,((Inputs!$B$9+((C2204=TRUE)*(F2204-Calc!F25))+B2219+(ArtifactsInput!$M$24-ArtifactsInput!$M$24)*CHOOSE(ArtifactsInput!$N$24+1,10,12,14,16,18,20)+IF(ArtifactsInput!$M$10,CHOOSE(ArtifactsInput!$N$10+1,15,18,21,24,27,30)*(IF(Inputs!$B$39="pvp",MIN(15,15)/15,IF(AND(Inputs!$B$39&lt;&gt;"pvp",Inputs!$B$44&gt;0),MIN(15,Inputs!$B$44)/(Inputs!$B$44),0))),0)))&gt;=100),MIN(100,((Inputs!$B$9+((C2204=TRUE)*(F2204-Calc!F25))+B2219+(ArtifactsInput!$M$24-ArtifactsInput!$M$24)*CHOOSE(ArtifactsInput!$N$24+1,10,12,14,16,18,20)+IF(ArtifactsInput!$M$10,CHOOSE(ArtifactsInput!$N$10+1,15,18,21,24,27,30)*(IF(Inputs!$B$39="pvp",MIN(15,15)/15,IF(AND(Inputs!$B$39&lt;&gt;"pvp",Inputs!$B$44&gt;0),MIN(15,Inputs!$B$44)/(Inputs!$B$44),0))),0)))-100),0))*CHOOSE(ArtifactsInput!$N$42+1,0.6,0.72,0.84,0.96,1.08,1.2))),Inputs!$B$18+((C2208=TRUE)*(F2208-Calc!F29))+(IF(AND(ArtifactsInput!$M$42,((Inputs!$B$9+((C2204=TRUE)*(F2204-Calc!F25))+B2219+(ArtifactsInput!$M$24-ArtifactsInput!$M$24)*CHOOSE(ArtifactsInput!$N$24+1,10,12,14,16,18,20)+IF(ArtifactsInput!$M$10,CHOOSE(ArtifactsInput!$N$10+1,15,18,21,24,27,30)*(IF(Inputs!$B$39="pvp",MIN(15,15)/15,IF(AND(Inputs!$B$39&lt;&gt;"pvp",Inputs!$B$44&gt;0),MIN(15,Inputs!$B$44)/(Inputs!$B$44),0))),0)))&gt;=100),CHOOSE(ArtifactsInput!$N$42+1,40,48,56,64,72,80),0))))/100)*(((1+(((C2200=TRUE)*F2200*IF(AND(Inputs!$B$39&lt;&gt;"pvp",Inputs!$B$44&gt;0),(((R2200-1)*(Skills!Y21*(1+Inputs!$B$34/100))+MIN((Skills!Y21*(1+Inputs!$B$34/100)),MAX(0,Inputs!$B$44-((R2200-1)*Skills!D21))))/Inputs!$B$44),IF(Inputs!$B$39="pvp",MIN((Skills!Y21*(1+Inputs!$B$34/100)),15)/15,(Skills!Y21*(1+Inputs!$B$34/100))/Skills!D21)))+((C2207=TRUE)*(F2207-Calc!F28))+((C2197=TRUE)*(F2197-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2194=TRUE)*F2194*IF(AND(Inputs!$B$39&lt;&gt;"pvp",Inputs!$B$44&gt;0),(((R2194-1)*(Skills!Y15*(1+Inputs!$B$34/100))+MIN((Skills!Y15*(1+Inputs!$B$34/100)),MAX(0,Inputs!$B$44-((R2194-1)*Skills!D15))))/Inputs!$B$44),IF(Inputs!$B$39="pvp",MIN((Skills!Y15*(1+Inputs!$B$34/100)),15)/15,(Skills!Y15*(1+Inputs!$B$34/100))/Skills!D15)))/100)*(1+((C2185=TRUE)*F2185*B2213)/100))*B2221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2193)</f>
        <v/>
      </c>
      <c r="L2193">
        <f>K2193*(MIN(Inputs!$B$22+((C2203=TRUE)*(F2203-Calc!F24)),(Inputs!$B$23+0+(IF(ArtifactsInput!$M$15,CHOOSE(ArtifactsInput!$N$15+1,25,30,35,40,45,50)/100*(Inputs!$B$11-Inputs!$B$11),0))))/100+(Inputs!$B$23+0+(IF(ArtifactsInput!$M$15,CHOOSE(ArtifactsInput!$N$15+1,25,30,35,40,45,50)/100*(Inputs!$B$11-Inputs!$B$11),0)))/100)/2</f>
        <v/>
      </c>
      <c r="M2193">
        <f>L2193*(1+(Inputs!$B$10+((C2205=TRUE)*(F2205-Calc!F26))+B2222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93">
        <f>L2193*(1-MIN((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2193*(MIN((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93">
        <f>(1-Summary!$B$11)*T2193+Summary!$B$11*V2193</f>
        <v/>
      </c>
      <c r="P2193">
        <f>IF(B2223=0,0,O2193/B2223)</f>
        <v/>
      </c>
      <c r="Q2193">
        <f>IFERROR(1/IF(Inputs!$B$39="pvp",15,MAX(0.1,Skills!D14-IF(Skills!E14=TRUE,Inputs!$B$32,0))),0)</f>
        <v/>
      </c>
      <c r="R2193">
        <f>IF(AND(Inputs!$B$39&lt;&gt;"pvp",Inputs!$B$44&gt;0),IF(MAX(0,Inputs!$B$44-B2224)&lt;=0,0,(INT(MAX(0,Inputs!$B$44-B2224)/IF(Inputs!$B$39="pvp",15,MAX(0.1,Skills!D14-IF(Skills!E14=TRUE,Inputs!$B$32,0))))+1)),0)</f>
        <v/>
      </c>
      <c r="S2193">
        <f>IFERROR(O2193/N2193,0)</f>
        <v/>
      </c>
      <c r="T2193">
        <f>IF(C2193,(H2193*N2193*IF(AND(Inputs!$B$39&lt;&gt;"pvp",Inputs!$B$44&gt;0),((Skills!G14*((R2193-1)*IF(Skills!H14&gt;0,Skills!I14/Skills!H14,1)+IF(Skills!H14&gt;0,MIN(Skills!I14,MAX(0,MAX(0,Inputs!$B$44-B2224)-((R2193-1)*IF(Inputs!$B$39="pvp",15,MAX(0.1,Skills!D14-IF(Skills!E14=TRUE,Inputs!$B$32,0))))))/Skills!H14,1)))/Inputs!$B$44),G2193*Q2193))*IF(Inputs!$B$39="pvp",1,1+(Inputs!$B$20+((C2206=TRUE)*(F2206-Calc!F27))+Skills!P14+B2220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Hunt"),CHOOSE(ArtifactsInput!$N$35+1,15,18,21,24,27,30)*(1-EXP(-(0.2*B2215)*5)),0)+IF(AND(ArtifactsInput!$M$22,Inputs!$B$4&lt;&gt;"Chapter Hunt"),CHOOSE(ArtifactsInput!$N$22+1,10,12,14,16,18,20)*((0*(((0.15*B2215*5))^0/1)+1*(((0.15*B2215*5))^1/1)+2*(((0.15*B2215*5))^2/2)+3*(((0.15*B2215*5))^3/6)+4*(((0.15*B2215*5))^4/24)+5*(((0.15*B2215*5))^5/120))/((((0.15*B2215*5))^0/1)+(((0.15*B2215*5))^1/1)+(((0.15*B2215*5))^2/2)+(((0.15*B2215*5))^3/6)+(((0.15*B2215*5))^4/24)+(((0.15*B2215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2193*(1-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2193*(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2193*(1-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2193*(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93">
        <f>IF(C2193,(H2193*N2193*IF(AND(Inputs!$B$39&lt;&gt;"pvp",Inputs!$B$44&gt;0),((Skills!G14*((R2193-1)*IF(Skills!H14&gt;0,Skills!I14/Skills!H14,1)+IF(Skills!H14&gt;0,MIN(Skills!I14,MAX(0,MAX(0,Inputs!$B$44-B2224)-((R2193-1)*IF(Inputs!$B$39="pvp",15,MAX(0.1,Skills!D14-IF(Skills!E14=TRUE,Inputs!$B$32,0))))))/Skills!H14,1)))/Inputs!$B$44),G2193*Q2193))*IF(Inputs!$B$39="pvp",1,(1+(Inputs!$B$21+Skills!Q14+B2220+(IF(ArtifactsInput!$M$33,CHOOSE(ArtifactsInput!$N$33+1,30,36,42,48,54,60),0))+(IF(AND(ArtifactsInput!$M$35,Inputs!$B$4&lt;&gt;"Chapter Hunt"),CHOOSE(ArtifactsInput!$N$35+1,15,18,21,24,27,30)*(1-EXP(-(0.2*B2215)*5)),0)+IF(AND(ArtifactsInput!$M$22,Inputs!$B$4&lt;&gt;"Chapter Hunt"),CHOOSE(ArtifactsInput!$N$22+1,10,12,14,16,18,20)*((0*(((0.15*B2215*5))^0/1)+1*(((0.15*B2215*5))^1/1)+2*(((0.15*B2215*5))^2/2)+3*(((0.15*B2215*5))^3/6)+4*(((0.15*B2215*5))^4/24)+5*(((0.15*B2215*5))^5/120))/((((0.15*B2215*5))^0/1)+(((0.15*B2215*5))^1/1)+(((0.15*B2215*5))^2/2)+(((0.15*B2215*5))^3/6)+(((0.15*B2215*5))^4/24)+(((0.15*B2215*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94">
      <c r="A2194">
        <f>Skills!A15</f>
        <v/>
      </c>
      <c r="B2194">
        <f>Skills!B15</f>
        <v/>
      </c>
      <c r="C2194">
        <f>Inputs!$B$3&gt;=110</f>
        <v/>
      </c>
      <c r="D2194">
        <f>IF(Skills!C15=1,60+Inputs!$B$25+Inputs!$B$29,IF(Skills!C15=2,90+Inputs!$B$26+Inputs!$B$29,IF(Skills!C15=3,120+Inputs!$B$27+Inputs!$B$29,MAX(0,(Inputs!$B$3-100)*3)+Inputs!$B$28+Inputs!$B$29)))</f>
        <v/>
      </c>
      <c r="E2194">
        <f>INDEX(FactorTable!$B$2:$Y$301, MATCH(ROUND(MIN(300,MAX(1,D2194)),0), FactorTable!$A$2:$A$301,0), Skills!M15+1)</f>
        <v/>
      </c>
      <c r="F2194">
        <f>IF(Skills!N15=TRUE,(Skills!L15/10)*(E2194/1000),Skills!L15/10)+Skills!O15</f>
        <v/>
      </c>
      <c r="G2194">
        <f>Calc!G15</f>
        <v/>
      </c>
      <c r="H2194">
        <f>Calc!H15</f>
        <v/>
      </c>
      <c r="I2194">
        <f>IF(Skills!AA15&lt;&gt;"",1+(Skills!AA15/10)*(U2182/1000)/100,1)</f>
        <v/>
      </c>
      <c r="J2194" t="inlineStr"/>
      <c r="K2194" t="inlineStr"/>
      <c r="L2194" t="inlineStr"/>
      <c r="M2194" t="inlineStr"/>
      <c r="N2194" t="inlineStr"/>
      <c r="O2194">
        <f>(1-Summary!$B$11)*T2194+Summary!$B$11*V2194</f>
        <v/>
      </c>
      <c r="P2194">
        <f>IF(B2223=0,0,O2194/B2223)</f>
        <v/>
      </c>
      <c r="Q2194">
        <f>IFERROR(1/IF(Inputs!$B$39="pvp",15,MAX(0.1,Skills!D15-IF(Skills!E15=TRUE,Inputs!$B$32,0))),0)</f>
        <v/>
      </c>
      <c r="R2194">
        <f>IF(AND(Inputs!$B$39&lt;&gt;"pvp",Inputs!$B$44&gt;0),IF(Inputs!$B$44&lt;=0,0,(INT(Inputs!$B$44/IF(Inputs!$B$39="pvp",15,MAX(0.1,Skills!D15-IF(Skills!E15=TRUE,Inputs!$B$32,0))))+1)),0)</f>
        <v/>
      </c>
      <c r="S2194">
        <f>IFERROR(O2194/N2194,0)</f>
        <v/>
      </c>
      <c r="T2194" t="n">
        <v>0</v>
      </c>
      <c r="V2194" t="n">
        <v>0</v>
      </c>
    </row>
    <row r="2195">
      <c r="A2195">
        <f>Skills!A16</f>
        <v/>
      </c>
      <c r="B2195">
        <f>Skills!B16</f>
        <v/>
      </c>
      <c r="C2195">
        <f>Inputs!$B$3&gt;=110</f>
        <v/>
      </c>
      <c r="D2195">
        <f>IF(Skills!C16=1,60+Inputs!$B$25+Inputs!$B$29,IF(Skills!C16=2,90+Inputs!$B$26+Inputs!$B$29,IF(Skills!C16=3,120+Inputs!$B$27+Inputs!$B$29,MAX(0,(Inputs!$B$3-100)*3)+Inputs!$B$28+Inputs!$B$29)))</f>
        <v/>
      </c>
      <c r="E2195">
        <f>INDEX(FactorTable!$B$2:$Y$301, MATCH(ROUND(MIN(300,MAX(1,D2195)),0), FactorTable!$A$2:$A$301,0), Skills!M16+1)</f>
        <v/>
      </c>
      <c r="F2195">
        <f>IF(Skills!N16=TRUE,(Skills!L16/10)*(E2195/1000),Skills!L16/10)+Skills!O16</f>
        <v/>
      </c>
      <c r="G2195">
        <f>Calc!G16</f>
        <v/>
      </c>
      <c r="H2195">
        <f>Calc!H16</f>
        <v/>
      </c>
      <c r="I2195">
        <f>IF(Skills!AA16&lt;&gt;"",1+(Skills!AA16/10)*(U2182/1000)/100,1)</f>
        <v/>
      </c>
      <c r="J2195" t="inlineStr"/>
      <c r="K2195" t="inlineStr"/>
      <c r="L2195" t="inlineStr"/>
      <c r="M2195" t="inlineStr"/>
      <c r="N2195" t="inlineStr"/>
      <c r="O2195">
        <f>(1-Summary!$B$11)*T2195+Summary!$B$11*V2195</f>
        <v/>
      </c>
      <c r="P2195">
        <f>IF(B2223=0,0,O2195/B2223)</f>
        <v/>
      </c>
      <c r="Q2195">
        <f>IFERROR(1/IF(Inputs!$B$39="pvp",15,MAX(0.1,Skills!D16-IF(Skills!E16=TRUE,Inputs!$B$32,0))),0)</f>
        <v/>
      </c>
      <c r="R2195">
        <f>IF(AND(Inputs!$B$39&lt;&gt;"pvp",Inputs!$B$44&gt;0),IF(Inputs!$B$44&lt;=0,0,(INT(Inputs!$B$44/IF(Inputs!$B$39="pvp",15,MAX(0.1,Skills!D16-IF(Skills!E16=TRUE,Inputs!$B$32,0))))+1)),0)</f>
        <v/>
      </c>
      <c r="S2195">
        <f>IFERROR(O2195/N2195,0)</f>
        <v/>
      </c>
      <c r="T2195" t="n">
        <v>0</v>
      </c>
      <c r="V2195" t="n">
        <v>0</v>
      </c>
    </row>
    <row r="2196">
      <c r="A2196">
        <f>Skills!A17</f>
        <v/>
      </c>
      <c r="B2196">
        <f>Skills!B17</f>
        <v/>
      </c>
      <c r="C2196">
        <f>Inputs!$B$3&gt;=115</f>
        <v/>
      </c>
      <c r="D2196">
        <f>IF(Skills!C17=1,60+Inputs!$B$25+Inputs!$B$29,IF(Skills!C17=2,90+Inputs!$B$26+Inputs!$B$29,IF(Skills!C17=3,120+Inputs!$B$27+Inputs!$B$29,MAX(0,(Inputs!$B$3-100)*3)+Inputs!$B$28+Inputs!$B$29)))</f>
        <v/>
      </c>
      <c r="E2196">
        <f>INDEX(FactorTable!$B$2:$Y$301, MATCH(ROUND(MIN(300,MAX(1,D2196)),0), FactorTable!$A$2:$A$301,0), Skills!M17+1)</f>
        <v/>
      </c>
      <c r="F2196">
        <f>IF(Skills!N17=TRUE,(Skills!L17/10)*(E2196/1000),Skills!L17/10)+Skills!O17</f>
        <v/>
      </c>
      <c r="G2196">
        <f>Calc!G17</f>
        <v/>
      </c>
      <c r="H2196">
        <f>Calc!H17</f>
        <v/>
      </c>
      <c r="I2196">
        <f>IF(Skills!AA17&lt;&gt;"",1+(Skills!AA17/10)*(U2182/1000)/100,1)</f>
        <v/>
      </c>
      <c r="J2196">
        <f>((Inputs!$B$6*(1+Inputs!$B$7/100))+(((Inputs!$B$12*(1+Inputs!$B$13/100))-(Inputs!$B$12*(1+Inputs!$B$13/100)))+0.25*(Inputs!$B$14-Inputs!$B$14))*(1+Inputs!$B$7/100))*(F2196/100)</f>
        <v/>
      </c>
      <c r="K2196">
        <f>J2196*(1+((Inputs!$B$12*(1+Inputs!$B$13/100))*0.01+Inputs!$B$14*0.0025)/100)*(1+Inputs!$B$15/100)*(1+Inputs!$B$16/100)*(5000/(6000+Inputs!$B$43*(1-(100*(1-(1-(Inputs!$B$19+0)/100)*(1-CHOOSE(ArtifactsInput!$N$40+1,5,6,7,8,9,10)/100)^(ArtifactsInput!$M$40-ArtifactsInput!$M$40)))/100)))*(1+(Inputs!$B$24+((C2209=TRUE)*(F2209-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2202=TRUE)*(F2202-Calc!F23))+(((IF(AND(ArtifactsInput!$M$42,((Inputs!$B$9+((C2204=TRUE)*(F2204-Calc!F25))+B2219+(ArtifactsInput!$M$24-ArtifactsInput!$M$24)*CHOOSE(ArtifactsInput!$N$24+1,10,12,14,16,18,20)+IF(ArtifactsInput!$M$10,CHOOSE(ArtifactsInput!$N$10+1,15,18,21,24,27,30)*(IF(Inputs!$B$39="pvp",MIN(15,15)/15,IF(AND(Inputs!$B$39&lt;&gt;"pvp",Inputs!$B$44&gt;0),MIN(15,Inputs!$B$44)/(Inputs!$B$44),0))),0)))&gt;=100),MIN(100,((Inputs!$B$9+((C2204=TRUE)*(F2204-Calc!F25))+B2219+(ArtifactsInput!$M$24-ArtifactsInput!$M$24)*CHOOSE(ArtifactsInput!$N$24+1,10,12,14,16,18,20)+IF(ArtifactsInput!$M$10,CHOOSE(ArtifactsInput!$N$10+1,15,18,21,24,27,30)*(IF(Inputs!$B$39="pvp",MIN(15,15)/15,IF(AND(Inputs!$B$39&lt;&gt;"pvp",Inputs!$B$44&gt;0),MIN(15,Inputs!$B$44)/(Inputs!$B$44),0))),0)))-100),0))*CHOOSE(ArtifactsInput!$N$42+1,0.6,0.72,0.84,0.96,1.08,1.2))),Inputs!$B$18+((C2208=TRUE)*(F2208-Calc!F29))+(IF(AND(ArtifactsInput!$M$42,((Inputs!$B$9+((C2204=TRUE)*(F2204-Calc!F25))+B2219+(ArtifactsInput!$M$24-ArtifactsInput!$M$24)*CHOOSE(ArtifactsInput!$N$24+1,10,12,14,16,18,20)+IF(ArtifactsInput!$M$10,CHOOSE(ArtifactsInput!$N$10+1,15,18,21,24,27,30)*(IF(Inputs!$B$39="pvp",MIN(15,15)/15,IF(AND(Inputs!$B$39&lt;&gt;"pvp",Inputs!$B$44&gt;0),MIN(15,Inputs!$B$44)/(Inputs!$B$44),0))),0)))&gt;=100),CHOOSE(ArtifactsInput!$N$42+1,40,48,56,64,72,80),0))))/100)*(((1+(((C2200=TRUE)*F2200*IF(AND(Inputs!$B$39&lt;&gt;"pvp",Inputs!$B$44&gt;0),(((R2200-1)*(Skills!Y21*(1+Inputs!$B$34/100))+MIN((Skills!Y21*(1+Inputs!$B$34/100)),MAX(0,Inputs!$B$44-((R2200-1)*Skills!D21))))/Inputs!$B$44),IF(Inputs!$B$39="pvp",MIN((Skills!Y21*(1+Inputs!$B$34/100)),15)/15,(Skills!Y21*(1+Inputs!$B$34/100))/Skills!D21)))+((C2207=TRUE)*(F2207-Calc!F28))+((C2197=TRUE)*(F2197-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2194=TRUE)*F2194*IF(AND(Inputs!$B$39&lt;&gt;"pvp",Inputs!$B$44&gt;0),(((R2194-1)*(Skills!Y15*(1+Inputs!$B$34/100))+MIN((Skills!Y15*(1+Inputs!$B$34/100)),MAX(0,Inputs!$B$44-((R2194-1)*Skills!D15))))/Inputs!$B$44),IF(Inputs!$B$39="pvp",MIN((Skills!Y15*(1+Inputs!$B$34/100)),15)/15,(Skills!Y15*(1+Inputs!$B$34/100))/Skills!D15)))/100)*(1+((C2185=TRUE)*F2185*B2213)/100))*B2221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2196)</f>
        <v/>
      </c>
      <c r="L2196">
        <f>K2196*(MIN(Inputs!$B$22+((C2203=TRUE)*(F2203-Calc!F24)),(Inputs!$B$23+0+(IF(ArtifactsInput!$M$15,CHOOSE(ArtifactsInput!$N$15+1,25,30,35,40,45,50)/100*(Inputs!$B$11-Inputs!$B$11),0))))/100+(Inputs!$B$23+0+(IF(ArtifactsInput!$M$15,CHOOSE(ArtifactsInput!$N$15+1,25,30,35,40,45,50)/100*(Inputs!$B$11-Inputs!$B$11),0)))/100)/2</f>
        <v/>
      </c>
      <c r="M2196">
        <f>L2196*(1+(Inputs!$B$10+((C2205=TRUE)*(F2205-Calc!F26))+B2222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96">
        <f>L2196*(1-MIN((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2196*(MIN((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96">
        <f>(1-Summary!$B$11)*T2196+Summary!$B$11*V2196</f>
        <v/>
      </c>
      <c r="P2196">
        <f>IF(B2223=0,0,O2196/B2223)</f>
        <v/>
      </c>
      <c r="Q2196" t="n">
        <v>0</v>
      </c>
      <c r="R2196" t="n">
        <v>0</v>
      </c>
      <c r="S2196">
        <f>IFERROR(O2196/N2196,0)</f>
        <v/>
      </c>
      <c r="T2196">
        <f>IF(C2196,(Inputs!$B$38*0.2*N2196)*IF(Inputs!$B$39="pvp",1,1+(Inputs!$B$20+((C2206=TRUE)*(F2206-Calc!F27))+Skills!P17+B2220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Hunt"),CHOOSE(ArtifactsInput!$N$35+1,15,18,21,24,27,30)*(1-EXP(-(0.2*B2215)*5)),0)+IF(AND(ArtifactsInput!$M$22,Inputs!$B$4&lt;&gt;"Chapter Hunt"),CHOOSE(ArtifactsInput!$N$22+1,10,12,14,16,18,20)*((0*(((0.15*B2215*5))^0/1)+1*(((0.15*B2215*5))^1/1)+2*(((0.15*B2215*5))^2/2)+3*(((0.15*B2215*5))^3/6)+4*(((0.15*B2215*5))^4/24)+5*(((0.15*B2215*5))^5/120))/((((0.15*B2215*5))^0/1)+(((0.15*B2215*5))^1/1)+(((0.15*B2215*5))^2/2)+(((0.15*B2215*5))^3/6)+(((0.15*B2215*5))^4/24)+(((0.15*B2215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2196*(1-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2196*(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2196*(1-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2196*(MIN(100,(Inputs!$B$9+((C2204=TRUE)*(F2204-Calc!F25))+B2219+(ArtifactsInput!$M$24-ArtifactsInput!$M$24)*CHOOSE(ArtifactsInput!$N$24+1,10,12,14,16,18,20)+(IF(AND(ArtifactsInput!$M$42,((Inputs!$B$9+((C2204=TRUE)*(F2204-Calc!F25))+B2219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96">
        <f>IF(C2196,(Inputs!$B$38*0.2*N2196)*IF(Inputs!$B$39="pvp",1,(1+(Inputs!$B$21+Skills!Q17+B2220+(IF(ArtifactsInput!$M$33,CHOOSE(ArtifactsInput!$N$33+1,30,36,42,48,54,60),0))+(IF(AND(ArtifactsInput!$M$35,Inputs!$B$4&lt;&gt;"Chapter Hunt"),CHOOSE(ArtifactsInput!$N$35+1,15,18,21,24,27,30)*(1-EXP(-(0.2*B2215)*5)),0)+IF(AND(ArtifactsInput!$M$22,Inputs!$B$4&lt;&gt;"Chapter Hunt"),CHOOSE(ArtifactsInput!$N$22+1,10,12,14,16,18,20)*((0*(((0.15*B2215*5))^0/1)+1*(((0.15*B2215*5))^1/1)+2*(((0.15*B2215*5))^2/2)+3*(((0.15*B2215*5))^3/6)+4*(((0.15*B2215*5))^4/24)+5*(((0.15*B2215*5))^5/120))/((((0.15*B2215*5))^0/1)+(((0.15*B2215*5))^1/1)+(((0.15*B2215*5))^2/2)+(((0.15*B2215*5))^3/6)+(((0.15*B2215*5))^4/24)+(((0.15*B2215*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97">
      <c r="A2197">
        <f>Skills!A18</f>
        <v/>
      </c>
      <c r="B2197">
        <f>Skills!B18</f>
        <v/>
      </c>
      <c r="C2197">
        <f>Inputs!$B$3&gt;=115</f>
        <v/>
      </c>
      <c r="D2197">
        <f>IF(Skills!C18=1,60+Inputs!$B$25+Inputs!$B$29,IF(Skills!C18=2,90+Inputs!$B$26+Inputs!$B$29,IF(Skills!C18=3,120+Inputs!$B$27+Inputs!$B$29,MAX(0,(Inputs!$B$3-100)*3)+Inputs!$B$28+Inputs!$B$29)))</f>
        <v/>
      </c>
      <c r="E2197">
        <f>INDEX(FactorTable!$B$2:$Y$301, MATCH(ROUND(MIN(300,MAX(1,D2197)),0), FactorTable!$A$2:$A$301,0), Skills!M18+1)</f>
        <v/>
      </c>
      <c r="F2197">
        <f>IF(Skills!N18=TRUE,(Skills!L18/10)*(E2197/1000),Skills!L18/10)+Skills!O18</f>
        <v/>
      </c>
      <c r="G2197">
        <f>Calc!G18</f>
        <v/>
      </c>
      <c r="H2197">
        <f>Calc!H18</f>
        <v/>
      </c>
      <c r="I2197">
        <f>IF(Skills!AA18&lt;&gt;"",1+(Skills!AA18/10)*(U2182/1000)/100,1)</f>
        <v/>
      </c>
      <c r="J2197" t="inlineStr"/>
      <c r="K2197" t="inlineStr"/>
      <c r="L2197" t="inlineStr"/>
      <c r="M2197" t="inlineStr"/>
      <c r="N2197" t="inlineStr"/>
      <c r="O2197">
        <f>(1-Summary!$B$11)*T2197+Summary!$B$11*V2197</f>
        <v/>
      </c>
      <c r="P2197">
        <f>IF(B2223=0,0,O2197/B2223)</f>
        <v/>
      </c>
      <c r="Q2197" t="n">
        <v>0</v>
      </c>
      <c r="R2197" t="n">
        <v>0</v>
      </c>
      <c r="S2197">
        <f>IFERROR(O2197/N2197,0)</f>
        <v/>
      </c>
      <c r="T2197" t="n">
        <v>0</v>
      </c>
      <c r="V2197" t="n">
        <v>0</v>
      </c>
    </row>
    <row r="2198">
      <c r="A2198">
        <f>Skills!A19</f>
        <v/>
      </c>
      <c r="B2198">
        <f>Skills!B19</f>
        <v/>
      </c>
      <c r="C2198">
        <f>TRUE</f>
        <v/>
      </c>
      <c r="D2198">
        <f>IF(Skills!C19=1,60+Inputs!$B$25+Inputs!$B$29,IF(Skills!C19=2,90+Inputs!$B$26+Inputs!$B$29,IF(Skills!C19=3,120+Inputs!$B$27+Inputs!$B$29,MAX(0,(Inputs!$B$3-100)*3)+Inputs!$B$28+Inputs!$B$29)))</f>
        <v/>
      </c>
      <c r="E2198">
        <f>INDEX(FactorTable!$B$2:$Y$301, MATCH(ROUND(MIN(300,MAX(1,D2198)),0), FactorTable!$A$2:$A$301,0), Skills!M19+1)</f>
        <v/>
      </c>
      <c r="F2198">
        <f>IF(Skills!N19=TRUE,(Skills!L19/10)*(E2198/1000),Skills!L19/10)+Skills!O19</f>
        <v/>
      </c>
      <c r="G2198">
        <f>Calc!G19</f>
        <v/>
      </c>
      <c r="H2198">
        <f>Calc!H19</f>
        <v/>
      </c>
      <c r="I2198">
        <f>IF(Skills!AA19&lt;&gt;"",1+(Skills!AA19/10)*(U2182/1000)/100,1)</f>
        <v/>
      </c>
      <c r="J2198" t="inlineStr"/>
      <c r="K2198" t="inlineStr"/>
      <c r="L2198" t="inlineStr"/>
      <c r="M2198" t="inlineStr"/>
      <c r="N2198" t="inlineStr"/>
      <c r="O2198">
        <f>(1-Summary!$B$11)*T2198+Summary!$B$11*V2198</f>
        <v/>
      </c>
      <c r="P2198">
        <f>IF(B2223=0,0,O2198/B2223)</f>
        <v/>
      </c>
      <c r="Q2198">
        <f>IFERROR(1/IF(Inputs!$B$39="pvp",15,MAX(0.1,Skills!D19-IF(Skills!E19=TRUE,Inputs!$B$32,0))),0)</f>
        <v/>
      </c>
      <c r="R2198">
        <f>IF(AND(Inputs!$B$39&lt;&gt;"pvp",Inputs!$B$44&gt;0),IF(Inputs!$B$44&lt;=0,0,(INT(Inputs!$B$44/IF(Inputs!$B$39="pvp",15,MAX(0.1,Skills!D19-IF(Skills!E19=TRUE,Inputs!$B$32,0))))+1)),0)</f>
        <v/>
      </c>
      <c r="S2198">
        <f>IFERROR(O2198/N2198,0)</f>
        <v/>
      </c>
      <c r="T2198" t="n">
        <v>0</v>
      </c>
      <c r="V2198" t="n">
        <v>0</v>
      </c>
    </row>
    <row r="2199">
      <c r="A2199">
        <f>Skills!A20</f>
        <v/>
      </c>
      <c r="B2199">
        <f>Skills!B20</f>
        <v/>
      </c>
      <c r="C2199">
        <f>Inputs!$B$3&gt;=15</f>
        <v/>
      </c>
      <c r="D2199">
        <f>IF(Skills!C20=1,60+Inputs!$B$25+Inputs!$B$29,IF(Skills!C20=2,90+Inputs!$B$26+Inputs!$B$29,IF(Skills!C20=3,120+Inputs!$B$27+Inputs!$B$29,MAX(0,(Inputs!$B$3-100)*3)+Inputs!$B$28+Inputs!$B$29)))</f>
        <v/>
      </c>
      <c r="E2199">
        <f>INDEX(FactorTable!$B$2:$Y$301, MATCH(ROUND(MIN(300,MAX(1,D2199)),0), FactorTable!$A$2:$A$301,0), Skills!M20+1)</f>
        <v/>
      </c>
      <c r="F2199">
        <f>IF(Skills!N20=TRUE,(Skills!L20/10)*(E2199/1000),Skills!L20/10)+Skills!O20</f>
        <v/>
      </c>
      <c r="G2199">
        <f>Calc!G20</f>
        <v/>
      </c>
      <c r="H2199">
        <f>Calc!H20</f>
        <v/>
      </c>
      <c r="I2199">
        <f>IF(Skills!AA20&lt;&gt;"",1+(Skills!AA20/10)*(U2182/1000)/100,1)</f>
        <v/>
      </c>
      <c r="J2199" t="inlineStr"/>
      <c r="K2199" t="inlineStr"/>
      <c r="L2199" t="inlineStr"/>
      <c r="M2199" t="inlineStr"/>
      <c r="N2199" t="inlineStr"/>
      <c r="O2199">
        <f>(1-Summary!$B$11)*T2199+Summary!$B$11*V2199</f>
        <v/>
      </c>
      <c r="P2199">
        <f>IF(B2223=0,0,O2199/B2223)</f>
        <v/>
      </c>
      <c r="Q2199">
        <f>IFERROR(1/IF(Inputs!$B$39="pvp",15,MAX(0.1,Skills!D20-IF(Skills!E20=TRUE,Inputs!$B$32,0))),0)</f>
        <v/>
      </c>
      <c r="R2199">
        <f>IF(AND(Inputs!$B$39&lt;&gt;"pvp",Inputs!$B$44&gt;0),IF(Inputs!$B$44&lt;=0,0,(INT(Inputs!$B$44/IF(Inputs!$B$39="pvp",15,MAX(0.1,Skills!D20-IF(Skills!E20=TRUE,Inputs!$B$32,0))))+1)),0)</f>
        <v/>
      </c>
      <c r="S2199">
        <f>IFERROR(O2199/N2199,0)</f>
        <v/>
      </c>
      <c r="T2199" t="n">
        <v>0</v>
      </c>
      <c r="V2199" t="n">
        <v>0</v>
      </c>
    </row>
    <row r="2200">
      <c r="A2200">
        <f>Skills!A21</f>
        <v/>
      </c>
      <c r="B2200">
        <f>Skills!B21</f>
        <v/>
      </c>
      <c r="C2200">
        <f>Inputs!$B$3&gt;=15</f>
        <v/>
      </c>
      <c r="D2200">
        <f>IF(Skills!C21=1,60+Inputs!$B$25+Inputs!$B$29,IF(Skills!C21=2,90+Inputs!$B$26+Inputs!$B$29,IF(Skills!C21=3,120+Inputs!$B$27+Inputs!$B$29,MAX(0,(Inputs!$B$3-100)*3)+Inputs!$B$28+Inputs!$B$29)))</f>
        <v/>
      </c>
      <c r="E2200">
        <f>INDEX(FactorTable!$B$2:$Y$301, MATCH(ROUND(MIN(300,MAX(1,D2200)),0), FactorTable!$A$2:$A$301,0), Skills!M21+1)</f>
        <v/>
      </c>
      <c r="F2200">
        <f>IF(Skills!N21=TRUE,(Skills!L21/10)*(E2200/1000),Skills!L21/10)+Skills!O21</f>
        <v/>
      </c>
      <c r="G2200">
        <f>Calc!G21</f>
        <v/>
      </c>
      <c r="H2200">
        <f>Calc!H21</f>
        <v/>
      </c>
      <c r="I2200">
        <f>IF(Skills!AA21&lt;&gt;"",1+(Skills!AA21/10)*(U2182/1000)/100,1)</f>
        <v/>
      </c>
      <c r="J2200" t="inlineStr"/>
      <c r="K2200" t="inlineStr"/>
      <c r="L2200" t="inlineStr"/>
      <c r="M2200" t="inlineStr"/>
      <c r="N2200" t="inlineStr"/>
      <c r="O2200">
        <f>(1-Summary!$B$11)*T2200+Summary!$B$11*V2200</f>
        <v/>
      </c>
      <c r="P2200">
        <f>IF(B2223=0,0,O2200/B2223)</f>
        <v/>
      </c>
      <c r="Q2200">
        <f>IFERROR(1/IF(Inputs!$B$39="pvp",15,MAX(0.1,Skills!D21-IF(Skills!E21=TRUE,Inputs!$B$32,0))),0)</f>
        <v/>
      </c>
      <c r="R2200">
        <f>IF(AND(Inputs!$B$39&lt;&gt;"pvp",Inputs!$B$44&gt;0),IF(Inputs!$B$44&lt;=0,0,(INT(Inputs!$B$44/IF(Inputs!$B$39="pvp",15,MAX(0.1,Skills!D21-IF(Skills!E21=TRUE,Inputs!$B$32,0))))+1)),0)</f>
        <v/>
      </c>
      <c r="S2200">
        <f>IFERROR(O2200/N2200,0)</f>
        <v/>
      </c>
      <c r="T2200" t="n">
        <v>0</v>
      </c>
      <c r="V2200" t="n">
        <v>0</v>
      </c>
    </row>
    <row r="2201">
      <c r="A2201">
        <f>Skills!A22</f>
        <v/>
      </c>
      <c r="B2201">
        <f>Skills!B22</f>
        <v/>
      </c>
      <c r="C2201">
        <f>Inputs!$B$3&gt;=33</f>
        <v/>
      </c>
      <c r="D2201">
        <f>IF(Skills!C22=1,60+Inputs!$B$25+Inputs!$B$29,IF(Skills!C22=2,90+Inputs!$B$26+Inputs!$B$29,IF(Skills!C22=3,120+Inputs!$B$27+Inputs!$B$29,MAX(0,(Inputs!$B$3-100)*3)+Inputs!$B$28+Inputs!$B$29)))</f>
        <v/>
      </c>
      <c r="E2201">
        <f>INDEX(FactorTable!$B$2:$Y$301, MATCH(ROUND(MIN(300,MAX(1,D2201)),0), FactorTable!$A$2:$A$301,0), Skills!M22+1)</f>
        <v/>
      </c>
      <c r="F2201">
        <f>IF(Skills!N22=TRUE,(Skills!L22/10)*(E2201/1000),Skills!L22/10)+Skills!O22</f>
        <v/>
      </c>
      <c r="G2201">
        <f>Calc!G22</f>
        <v/>
      </c>
      <c r="H2201">
        <f>Calc!H22</f>
        <v/>
      </c>
      <c r="I2201">
        <f>IF(Skills!AA22&lt;&gt;"",1+(Skills!AA22/10)*(U2182/1000)/100,1)</f>
        <v/>
      </c>
      <c r="J2201" t="inlineStr"/>
      <c r="K2201" t="inlineStr"/>
      <c r="L2201" t="inlineStr"/>
      <c r="M2201" t="inlineStr"/>
      <c r="N2201" t="inlineStr"/>
      <c r="O2201">
        <f>(1-Summary!$B$11)*T2201+Summary!$B$11*V2201</f>
        <v/>
      </c>
      <c r="P2201">
        <f>IF(B2223=0,0,O2201/B2223)</f>
        <v/>
      </c>
      <c r="Q2201" t="n">
        <v>0</v>
      </c>
      <c r="R2201" t="n">
        <v>0</v>
      </c>
      <c r="S2201">
        <f>IFERROR(O2201/N2201,0)</f>
        <v/>
      </c>
      <c r="T2201" t="n">
        <v>0</v>
      </c>
      <c r="V2201" t="n">
        <v>0</v>
      </c>
    </row>
    <row r="2202">
      <c r="A2202">
        <f>Skills!A23</f>
        <v/>
      </c>
      <c r="B2202">
        <f>Skills!B23</f>
        <v/>
      </c>
      <c r="C2202">
        <f>Inputs!$B$3&gt;=38</f>
        <v/>
      </c>
      <c r="D2202">
        <f>IF(Skills!C23=1,60+Inputs!$B$25+Inputs!$B$29,IF(Skills!C23=2,90+Inputs!$B$26+Inputs!$B$29,IF(Skills!C23=3,120+Inputs!$B$27+Inputs!$B$29,MAX(0,(Inputs!$B$3-100)*3)+Inputs!$B$28+Inputs!$B$29)))</f>
        <v/>
      </c>
      <c r="E2202">
        <f>INDEX(FactorTable!$B$2:$Y$301, MATCH(ROUND(MIN(300,MAX(1,D2202)),0), FactorTable!$A$2:$A$301,0), Skills!M23+1)</f>
        <v/>
      </c>
      <c r="F2202">
        <f>IF(Skills!N23=TRUE,(Skills!L23/10)*(E2202/1000),Skills!L23/10)+Skills!O23</f>
        <v/>
      </c>
      <c r="G2202">
        <f>Calc!G23</f>
        <v/>
      </c>
      <c r="H2202">
        <f>Calc!H23</f>
        <v/>
      </c>
      <c r="I2202">
        <f>IF(Skills!AA23&lt;&gt;"",1+(Skills!AA23/10)*(U2182/1000)/100,1)</f>
        <v/>
      </c>
      <c r="J2202" t="inlineStr"/>
      <c r="K2202" t="inlineStr"/>
      <c r="L2202" t="inlineStr"/>
      <c r="M2202" t="inlineStr"/>
      <c r="N2202" t="inlineStr"/>
      <c r="O2202">
        <f>(1-Summary!$B$11)*T2202+Summary!$B$11*V2202</f>
        <v/>
      </c>
      <c r="P2202">
        <f>IF(B2223=0,0,O2202/B2223)</f>
        <v/>
      </c>
      <c r="Q2202" t="n">
        <v>0</v>
      </c>
      <c r="R2202" t="n">
        <v>0</v>
      </c>
      <c r="S2202">
        <f>IFERROR(O2202/N2202,0)</f>
        <v/>
      </c>
      <c r="T2202" t="n">
        <v>0</v>
      </c>
      <c r="V2202" t="n">
        <v>0</v>
      </c>
    </row>
    <row r="2203">
      <c r="A2203">
        <f>Skills!A24</f>
        <v/>
      </c>
      <c r="B2203">
        <f>Skills!B24</f>
        <v/>
      </c>
      <c r="C2203">
        <f>Inputs!$B$3&gt;=40</f>
        <v/>
      </c>
      <c r="D2203">
        <f>IF(Skills!C24=1,60+Inputs!$B$25+Inputs!$B$29,IF(Skills!C24=2,90+Inputs!$B$26+Inputs!$B$29,IF(Skills!C24=3,120+Inputs!$B$27+Inputs!$B$29,MAX(0,(Inputs!$B$3-100)*3)+Inputs!$B$28+Inputs!$B$29)))</f>
        <v/>
      </c>
      <c r="E2203">
        <f>INDEX(FactorTable!$B$2:$Y$301, MATCH(ROUND(MIN(300,MAX(1,D2203)),0), FactorTable!$A$2:$A$301,0), Skills!M24+1)</f>
        <v/>
      </c>
      <c r="F2203">
        <f>IF(Skills!N24=TRUE,(Skills!L24/10)*(E2203/1000),Skills!L24/10)+Skills!O24</f>
        <v/>
      </c>
      <c r="G2203">
        <f>Calc!G24</f>
        <v/>
      </c>
      <c r="H2203">
        <f>Calc!H24</f>
        <v/>
      </c>
      <c r="I2203">
        <f>IF(Skills!AA24&lt;&gt;"",1+(Skills!AA24/10)*(U2182/1000)/100,1)</f>
        <v/>
      </c>
      <c r="J2203" t="inlineStr"/>
      <c r="K2203" t="inlineStr"/>
      <c r="L2203" t="inlineStr"/>
      <c r="M2203" t="inlineStr"/>
      <c r="N2203" t="inlineStr"/>
      <c r="O2203">
        <f>(1-Summary!$B$11)*T2203+Summary!$B$11*V2203</f>
        <v/>
      </c>
      <c r="P2203">
        <f>IF(B2223=0,0,O2203/B2223)</f>
        <v/>
      </c>
      <c r="Q2203" t="n">
        <v>0</v>
      </c>
      <c r="R2203" t="n">
        <v>0</v>
      </c>
      <c r="S2203">
        <f>IFERROR(O2203/N2203,0)</f>
        <v/>
      </c>
      <c r="T2203" t="n">
        <v>0</v>
      </c>
      <c r="V2203" t="n">
        <v>0</v>
      </c>
    </row>
    <row r="2204">
      <c r="A2204">
        <f>Skills!A25</f>
        <v/>
      </c>
      <c r="B2204">
        <f>Skills!B25</f>
        <v/>
      </c>
      <c r="C2204">
        <f>Inputs!$B$3&gt;=45</f>
        <v/>
      </c>
      <c r="D2204">
        <f>IF(Skills!C25=1,60+Inputs!$B$25+Inputs!$B$29,IF(Skills!C25=2,90+Inputs!$B$26+Inputs!$B$29,IF(Skills!C25=3,120+Inputs!$B$27+Inputs!$B$29,MAX(0,(Inputs!$B$3-100)*3)+Inputs!$B$28+Inputs!$B$29)))</f>
        <v/>
      </c>
      <c r="E2204">
        <f>INDEX(FactorTable!$B$2:$Y$301, MATCH(ROUND(MIN(300,MAX(1,D2204)),0), FactorTable!$A$2:$A$301,0), Skills!M25+1)</f>
        <v/>
      </c>
      <c r="F2204">
        <f>IF(Skills!N25=TRUE,(Skills!L25/10)*(E2204/1000),Skills!L25/10)+Skills!O25</f>
        <v/>
      </c>
      <c r="G2204">
        <f>Calc!G25</f>
        <v/>
      </c>
      <c r="H2204">
        <f>Calc!H25</f>
        <v/>
      </c>
      <c r="I2204">
        <f>IF(Skills!AA25&lt;&gt;"",1+(Skills!AA25/10)*(U2182/1000)/100,1)</f>
        <v/>
      </c>
      <c r="J2204" t="inlineStr"/>
      <c r="K2204" t="inlineStr"/>
      <c r="L2204" t="inlineStr"/>
      <c r="M2204" t="inlineStr"/>
      <c r="N2204" t="inlineStr"/>
      <c r="O2204">
        <f>(1-Summary!$B$11)*T2204+Summary!$B$11*V2204</f>
        <v/>
      </c>
      <c r="P2204">
        <f>IF(B2223=0,0,O2204/B2223)</f>
        <v/>
      </c>
      <c r="Q2204" t="n">
        <v>0</v>
      </c>
      <c r="R2204" t="n">
        <v>0</v>
      </c>
      <c r="S2204">
        <f>IFERROR(O2204/N2204,0)</f>
        <v/>
      </c>
      <c r="T2204" t="n">
        <v>0</v>
      </c>
      <c r="V2204" t="n">
        <v>0</v>
      </c>
    </row>
    <row r="2205">
      <c r="A2205">
        <f>Skills!A26</f>
        <v/>
      </c>
      <c r="B2205">
        <f>Skills!B26</f>
        <v/>
      </c>
      <c r="C2205">
        <f>Inputs!$B$3&gt;=45</f>
        <v/>
      </c>
      <c r="D2205">
        <f>IF(Skills!C26=1,60+Inputs!$B$25+Inputs!$B$29,IF(Skills!C26=2,90+Inputs!$B$26+Inputs!$B$29,IF(Skills!C26=3,120+Inputs!$B$27+Inputs!$B$29,MAX(0,(Inputs!$B$3-100)*3)+Inputs!$B$28+Inputs!$B$29)))</f>
        <v/>
      </c>
      <c r="E2205">
        <f>INDEX(FactorTable!$B$2:$Y$301, MATCH(ROUND(MIN(300,MAX(1,D2205)),0), FactorTable!$A$2:$A$301,0), Skills!M26+1)</f>
        <v/>
      </c>
      <c r="F2205">
        <f>IF(Skills!N26=TRUE,(Skills!L26/10)*(E2205/1000),Skills!L26/10)+Skills!O26</f>
        <v/>
      </c>
      <c r="G2205">
        <f>Calc!G26</f>
        <v/>
      </c>
      <c r="H2205">
        <f>Calc!H26</f>
        <v/>
      </c>
      <c r="I2205">
        <f>IF(Skills!AA26&lt;&gt;"",1+(Skills!AA26/10)*(U2182/1000)/100,1)</f>
        <v/>
      </c>
      <c r="J2205" t="inlineStr"/>
      <c r="K2205" t="inlineStr"/>
      <c r="L2205" t="inlineStr"/>
      <c r="M2205" t="inlineStr"/>
      <c r="N2205" t="inlineStr"/>
      <c r="O2205">
        <f>(1-Summary!$B$11)*T2205+Summary!$B$11*V2205</f>
        <v/>
      </c>
      <c r="P2205">
        <f>IF(B2223=0,0,O2205/B2223)</f>
        <v/>
      </c>
      <c r="Q2205" t="n">
        <v>0</v>
      </c>
      <c r="R2205" t="n">
        <v>0</v>
      </c>
      <c r="S2205">
        <f>IFERROR(O2205/N2205,0)</f>
        <v/>
      </c>
      <c r="T2205" t="n">
        <v>0</v>
      </c>
      <c r="V2205" t="n">
        <v>0</v>
      </c>
    </row>
    <row r="2206">
      <c r="A2206">
        <f>Skills!A27</f>
        <v/>
      </c>
      <c r="B2206">
        <f>Skills!B27</f>
        <v/>
      </c>
      <c r="C2206">
        <f>Inputs!$B$3&gt;=72</f>
        <v/>
      </c>
      <c r="D2206">
        <f>IF(Skills!C27=1,60+Inputs!$B$25+Inputs!$B$29,IF(Skills!C27=2,90+Inputs!$B$26+Inputs!$B$29,IF(Skills!C27=3,120+Inputs!$B$27+Inputs!$B$29,MAX(0,(Inputs!$B$3-100)*3)+Inputs!$B$28+Inputs!$B$29)))</f>
        <v/>
      </c>
      <c r="E2206">
        <f>INDEX(FactorTable!$B$2:$Y$301, MATCH(ROUND(MIN(300,MAX(1,D2206)),0), FactorTable!$A$2:$A$301,0), Skills!M27+1)</f>
        <v/>
      </c>
      <c r="F2206">
        <f>IF(Skills!N27=TRUE,(Skills!L27/10)*(E2206/1000),Skills!L27/10)+Skills!O27</f>
        <v/>
      </c>
      <c r="G2206">
        <f>Calc!G27</f>
        <v/>
      </c>
      <c r="H2206">
        <f>Calc!H27</f>
        <v/>
      </c>
      <c r="I2206">
        <f>IF(Skills!AA27&lt;&gt;"",1+(Skills!AA27/10)*(U2182/1000)/100,1)</f>
        <v/>
      </c>
      <c r="J2206" t="inlineStr"/>
      <c r="K2206" t="inlineStr"/>
      <c r="L2206" t="inlineStr"/>
      <c r="M2206" t="inlineStr"/>
      <c r="N2206" t="inlineStr"/>
      <c r="O2206">
        <f>(1-Summary!$B$11)*T2206+Summary!$B$11*V2206</f>
        <v/>
      </c>
      <c r="P2206">
        <f>IF(B2223=0,0,O2206/B2223)</f>
        <v/>
      </c>
      <c r="Q2206" t="n">
        <v>0</v>
      </c>
      <c r="R2206" t="n">
        <v>0</v>
      </c>
      <c r="S2206">
        <f>IFERROR(O2206/N2206,0)</f>
        <v/>
      </c>
      <c r="T2206" t="n">
        <v>0</v>
      </c>
      <c r="V2206" t="n">
        <v>0</v>
      </c>
    </row>
    <row r="2207">
      <c r="A2207">
        <f>Skills!A28</f>
        <v/>
      </c>
      <c r="B2207">
        <f>Skills!B28</f>
        <v/>
      </c>
      <c r="C2207">
        <f>Inputs!$B$3&gt;=75</f>
        <v/>
      </c>
      <c r="D2207">
        <f>IF(Skills!C28=1,60+Inputs!$B$25+Inputs!$B$29,IF(Skills!C28=2,90+Inputs!$B$26+Inputs!$B$29,IF(Skills!C28=3,120+Inputs!$B$27+Inputs!$B$29,MAX(0,(Inputs!$B$3-100)*3)+Inputs!$B$28+Inputs!$B$29)))</f>
        <v/>
      </c>
      <c r="E2207">
        <f>INDEX(FactorTable!$B$2:$Y$301, MATCH(ROUND(MIN(300,MAX(1,D2207)),0), FactorTable!$A$2:$A$301,0), Skills!M28+1)</f>
        <v/>
      </c>
      <c r="F2207">
        <f>IF(Skills!N28=TRUE,(Skills!L28/10)*(E2207/1000),Skills!L28/10)+Skills!O28</f>
        <v/>
      </c>
      <c r="G2207">
        <f>Calc!G28</f>
        <v/>
      </c>
      <c r="H2207">
        <f>Calc!H28</f>
        <v/>
      </c>
      <c r="I2207">
        <f>IF(Skills!AA28&lt;&gt;"",1+(Skills!AA28/10)*(U2182/1000)/100,1)</f>
        <v/>
      </c>
      <c r="J2207" t="inlineStr"/>
      <c r="K2207" t="inlineStr"/>
      <c r="L2207" t="inlineStr"/>
      <c r="M2207" t="inlineStr"/>
      <c r="N2207" t="inlineStr"/>
      <c r="O2207">
        <f>(1-Summary!$B$11)*T2207+Summary!$B$11*V2207</f>
        <v/>
      </c>
      <c r="P2207">
        <f>IF(B2223=0,0,O2207/B2223)</f>
        <v/>
      </c>
      <c r="Q2207" t="n">
        <v>0</v>
      </c>
      <c r="R2207" t="n">
        <v>0</v>
      </c>
      <c r="S2207">
        <f>IFERROR(O2207/N2207,0)</f>
        <v/>
      </c>
      <c r="T2207" t="n">
        <v>0</v>
      </c>
      <c r="V2207" t="n">
        <v>0</v>
      </c>
    </row>
    <row r="2208">
      <c r="A2208">
        <f>Skills!A29</f>
        <v/>
      </c>
      <c r="B2208">
        <f>Skills!B29</f>
        <v/>
      </c>
      <c r="C2208">
        <f>Inputs!$B$3&gt;=120</f>
        <v/>
      </c>
      <c r="D2208">
        <f>IF(Skills!C29=1,60+Inputs!$B$25+Inputs!$B$29,IF(Skills!C29=2,90+Inputs!$B$26+Inputs!$B$29,IF(Skills!C29=3,120+Inputs!$B$27+Inputs!$B$29,MAX(0,(Inputs!$B$3-100)*3)+Inputs!$B$28+Inputs!$B$29)))</f>
        <v/>
      </c>
      <c r="E2208">
        <f>INDEX(FactorTable!$B$2:$Y$301, MATCH(ROUND(MIN(300,MAX(1,D2208)),0), FactorTable!$A$2:$A$301,0), Skills!M29+1)</f>
        <v/>
      </c>
      <c r="F2208">
        <f>IF(Skills!N29=TRUE,(Skills!L29/10)*(E2208/1000),Skills!L29/10)+Skills!O29</f>
        <v/>
      </c>
      <c r="G2208">
        <f>Calc!G29</f>
        <v/>
      </c>
      <c r="H2208">
        <f>Calc!H29</f>
        <v/>
      </c>
      <c r="I2208">
        <f>IF(Skills!AA29&lt;&gt;"",1+(Skills!AA29/10)*(U2182/1000)/100,1)</f>
        <v/>
      </c>
      <c r="J2208" t="inlineStr"/>
      <c r="K2208" t="inlineStr"/>
      <c r="L2208" t="inlineStr"/>
      <c r="M2208" t="inlineStr"/>
      <c r="N2208" t="inlineStr"/>
      <c r="O2208">
        <f>(1-Summary!$B$11)*T2208+Summary!$B$11*V2208</f>
        <v/>
      </c>
      <c r="P2208">
        <f>IF(B2223=0,0,O2208/B2223)</f>
        <v/>
      </c>
      <c r="Q2208" t="n">
        <v>0</v>
      </c>
      <c r="R2208" t="n">
        <v>0</v>
      </c>
      <c r="S2208">
        <f>IFERROR(O2208/N2208,0)</f>
        <v/>
      </c>
      <c r="T2208" t="n">
        <v>0</v>
      </c>
      <c r="V2208" t="n">
        <v>0</v>
      </c>
    </row>
    <row r="2209">
      <c r="A2209">
        <f>Skills!A30</f>
        <v/>
      </c>
      <c r="B2209">
        <f>Skills!B30</f>
        <v/>
      </c>
      <c r="C2209">
        <f>Inputs!$B$3&gt;=125</f>
        <v/>
      </c>
      <c r="D2209">
        <f>IF(Skills!C30=1,60+Inputs!$B$25+Inputs!$B$29,IF(Skills!C30=2,90+Inputs!$B$26+Inputs!$B$29,IF(Skills!C30=3,120+Inputs!$B$27+Inputs!$B$29,MAX(0,(Inputs!$B$3-100)*3)+Inputs!$B$28+Inputs!$B$29)))</f>
        <v/>
      </c>
      <c r="E2209">
        <f>INDEX(FactorTable!$B$2:$Y$301, MATCH(ROUND(MIN(300,MAX(1,D2209)),0), FactorTable!$A$2:$A$301,0), Skills!M30+1)</f>
        <v/>
      </c>
      <c r="F2209">
        <f>IF(Skills!N30=TRUE,(Skills!L30/10)*(E2209/1000),Skills!L30/10)+Skills!O30</f>
        <v/>
      </c>
      <c r="G2209">
        <f>Calc!G30</f>
        <v/>
      </c>
      <c r="H2209">
        <f>Calc!H30</f>
        <v/>
      </c>
      <c r="I2209">
        <f>IF(Skills!AA30&lt;&gt;"",1+(Skills!AA30/10)*(U2182/1000)/100,1)</f>
        <v/>
      </c>
      <c r="J2209" t="inlineStr"/>
      <c r="K2209" t="inlineStr"/>
      <c r="L2209" t="inlineStr"/>
      <c r="M2209" t="inlineStr"/>
      <c r="N2209" t="inlineStr"/>
      <c r="O2209">
        <f>(1-Summary!$B$11)*T2209+Summary!$B$11*V2209</f>
        <v/>
      </c>
      <c r="P2209">
        <f>IF(B2223=0,0,O2209/B2223)</f>
        <v/>
      </c>
      <c r="Q2209" t="n">
        <v>0</v>
      </c>
      <c r="R2209" t="n">
        <v>0</v>
      </c>
      <c r="S2209">
        <f>IFERROR(O2209/N2209,0)</f>
        <v/>
      </c>
      <c r="T2209" t="n">
        <v>0</v>
      </c>
      <c r="V2209" t="n">
        <v>0</v>
      </c>
    </row>
    <row r="2210">
      <c r="A2210">
        <f>Skills!A31</f>
        <v/>
      </c>
      <c r="B2210">
        <f>Skills!B31</f>
        <v/>
      </c>
      <c r="C2210">
        <f>Inputs!$B$3&gt;=107</f>
        <v/>
      </c>
      <c r="D2210">
        <f>IF(Skills!C31=1,60+Inputs!$B$25+Inputs!$B$29,IF(Skills!C31=2,90+Inputs!$B$26+Inputs!$B$29,IF(Skills!C31=3,120+Inputs!$B$27+Inputs!$B$29,MAX(0,(Inputs!$B$3-100)*3)+Inputs!$B$28+Inputs!$B$29)))</f>
        <v/>
      </c>
      <c r="E2210">
        <f>INDEX(FactorTable!$B$2:$Y$301, MATCH(ROUND(MIN(300,MAX(1,D2210)),0), FactorTable!$A$2:$A$301,0), Skills!M31+1)</f>
        <v/>
      </c>
      <c r="F2210">
        <f>IF(Skills!N31=TRUE,(Skills!L31/10)*(E2210/1000),Skills!L31/10)+Skills!O31</f>
        <v/>
      </c>
      <c r="G2210">
        <f>Calc!G31</f>
        <v/>
      </c>
      <c r="H2210">
        <f>Calc!H31</f>
        <v/>
      </c>
      <c r="I2210">
        <f>IF(Skills!AA31&lt;&gt;"",1+(Skills!AA31/10)*(U2182/1000)/100,1)</f>
        <v/>
      </c>
      <c r="J2210" t="inlineStr"/>
      <c r="K2210" t="inlineStr"/>
      <c r="L2210" t="inlineStr"/>
      <c r="M2210" t="inlineStr"/>
      <c r="N2210" t="inlineStr"/>
      <c r="O2210">
        <f>(1-Summary!$B$11)*T2210+Summary!$B$11*V2210</f>
        <v/>
      </c>
      <c r="P2210">
        <f>IF(B2223=0,0,O2210/B2223)</f>
        <v/>
      </c>
      <c r="Q2210" t="n">
        <v>0</v>
      </c>
      <c r="R2210" t="n">
        <v>0</v>
      </c>
      <c r="S2210">
        <f>IFERROR(O2210/N2210,0)</f>
        <v/>
      </c>
      <c r="T2210" t="n">
        <v>0</v>
      </c>
      <c r="V2210" t="n">
        <v>0</v>
      </c>
    </row>
    <row r="2212">
      <c r="A2212" t="inlineStr">
        <is>
          <t>Actions Per Second (pre-Adrenalin)</t>
        </is>
      </c>
      <c r="B2212">
        <f>1+MIN(150,150*(1-(1-(Inputs!$B$11+((C2201=TRUE)*(F2201-Calc!F22))+(ArtifactsInput!$M$15-ArtifactsInput!$M$15)*CHOOSE(ArtifactsInput!$N$15+1,8,9.6,11.2,12.8,14.4,16))/150)*(1-((C2198=TRUE)*F2198*IF(AND(Inputs!$B$39&lt;&gt;"pvp",Inputs!$B$44&gt;0),(((R2198-1)*(Skills!Y19*(1+Inputs!$B$34/100))+MIN((Skills!Y19*(1+Inputs!$B$34/100)),MAX(0,Inputs!$B$44-((R2198-1)*Skills!D19))))/Inputs!$B$44),IF(Inputs!$B$39="pvp",MIN((Skills!Y19*(1+Inputs!$B$34/100)),15)/15,(Skills!Y19*(1+Inputs!$B$34/100))/Skills!D19)))/150)))/100</f>
        <v/>
      </c>
    </row>
    <row r="2213">
      <c r="A2213" t="inlineStr">
        <is>
          <t>Alchemic Adrenaline Uptime</t>
        </is>
      </c>
      <c r="B2213">
        <f>(Skills!Y6*(1+Inputs!$B$34/100))/((Skills!Y6*(1+Inputs!$B$34/100))+(5/B2212))</f>
        <v/>
      </c>
    </row>
    <row r="2214">
      <c r="A2214" t="inlineStr">
        <is>
          <t>Attack Speed Buff Bonus %</t>
        </is>
      </c>
      <c r="B2214">
        <f>((C2198=TRUE)*F2198*IF(AND(Inputs!$B$39&lt;&gt;"pvp",Inputs!$B$44&gt;0),(((R2198-1)*(Skills!Y19*(1+Inputs!$B$34/100))+MIN((Skills!Y19*(1+Inputs!$B$34/100)),MAX(0,Inputs!$B$44-((R2198-1)*Skills!D19))))/Inputs!$B$44),IF(Inputs!$B$39="pvp",MIN((Skills!Y19*(1+Inputs!$B$34/100)),15)/15,(Skills!Y19*(1+Inputs!$B$34/100))/Skills!D19)))+((C2186=TRUE)*F2186*B2213)</f>
        <v/>
      </c>
    </row>
    <row r="2215">
      <c r="A2215" t="inlineStr">
        <is>
          <t>Actions Per Second (final)</t>
        </is>
      </c>
      <c r="B2215">
        <f>1+MIN(150,150*(1-(1-(Inputs!$B$11+((C2201=TRUE)*(F2201-Calc!F22))+(ArtifactsInput!$M$15-ArtifactsInput!$M$15)*CHOOSE(ArtifactsInput!$N$15+1,8,9.6,11.2,12.8,14.4,16))/150)*(1-B2214/150)))/100</f>
        <v/>
      </c>
    </row>
    <row r="2216">
      <c r="A2216" t="inlineStr">
        <is>
          <t>Skill + Buff Cast Rate</t>
        </is>
      </c>
      <c r="B2216">
        <f>IF(AND(Inputs!$B$39&lt;&gt;"pvp",Inputs!$B$44&gt;0),SUMPRODUCT((Skills!E2:E31=TRUE)*(C2181:C2210=TRUE)*R2181:R2210*Skills!F2:F31)/Inputs!$B$44,SUMPRODUCT((Skills!E2:E31=TRUE)*(C2181:C2210=TRUE)*Q2181:Q2210*Skills!F2:F31))</f>
        <v/>
      </c>
    </row>
    <row r="2217">
      <c r="A2217" t="inlineStr">
        <is>
          <t>Showdown Casts Per Second</t>
        </is>
      </c>
      <c r="B2217">
        <f>MAX(0,B2215-B2216)</f>
        <v/>
      </c>
    </row>
    <row r="2218">
      <c r="A2218" t="inlineStr">
        <is>
          <t>Average Buff Multiplier</t>
        </is>
      </c>
      <c r="B2218">
        <f>(1+(((C2200=TRUE)*F2200*IF(AND(Inputs!$B$39&lt;&gt;"pvp",Inputs!$B$44&gt;0),(((R2200-1)*(Skills!Y21*(1+Inputs!$B$34/100))+MIN((Skills!Y21*(1+Inputs!$B$34/100)),MAX(0,Inputs!$B$44-((R2200-1)*Skills!D21))))/Inputs!$B$44),IF(Inputs!$B$39="pvp",MIN((Skills!Y21*(1+Inputs!$B$34/100)),15)/15,(Skills!Y21*(1+Inputs!$B$34/100))/Skills!D21)))+((C2207=TRUE)*(F2207-Calc!F28))+((C2197=TRUE)*(F2197-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2194=TRUE)*F2194*IF(AND(Inputs!$B$39&lt;&gt;"pvp",Inputs!$B$44&gt;0),(((R2194-1)*(Skills!Y15*(1+Inputs!$B$34/100))+MIN((Skills!Y15*(1+Inputs!$B$34/100)),MAX(0,Inputs!$B$44-((R2194-1)*Skills!D15))))/Inputs!$B$44),IF(Inputs!$B$39="pvp",MIN((Skills!Y15*(1+Inputs!$B$34/100)),15)/15,(Skills!Y15*(1+Inputs!$B$34/100))/Skills!D15)))/100)*(1+((C2185=TRUE)*F2185*B2213)/100)</f>
        <v/>
      </c>
    </row>
    <row r="2219">
      <c r="A2219" t="inlineStr">
        <is>
          <t>Global Crit Rate Bonus %</t>
        </is>
      </c>
      <c r="B2219">
        <f>IF(Inputs!$B$3&gt;=47,8,0)+((C2199=TRUE)*F2199*IF(AND(Inputs!$B$39&lt;&gt;"pvp",Inputs!$B$44&gt;0),(((R2199-1)*(Skills!Y20*(1+Inputs!$B$34/100))+MIN((Skills!Y20*(1+Inputs!$B$34/100)),MAX(0,Inputs!$B$44-((R2199-1)*Skills!D20))))/Inputs!$B$44),IF(Inputs!$B$39="pvp",MIN((Skills!Y20*(1+Inputs!$B$34/100)),15)/15,(Skills!Y20*(1+Inputs!$B$34/100))/Skills!D20)))</f>
        <v/>
      </c>
    </row>
    <row r="2220">
      <c r="A2220" t="inlineStr">
        <is>
          <t>Global Monster Damage-Taken Bonus %</t>
        </is>
      </c>
      <c r="B2220">
        <f>IF(Inputs!$B$3&gt;=82,15,0)+((C2195=TRUE)*F2195*IF(AND(Inputs!$B$39&lt;&gt;"pvp",Inputs!$B$44&gt;0),(((R2195-1)*(Skills!Y16*(1+Inputs!$B$34/100))+MIN((Skills!Y16*(1+Inputs!$B$34/100)),MAX(0,Inputs!$B$44-((R2195-1)*Skills!D16))))/Inputs!$B$44),IF(Inputs!$B$39="pvp",MIN((Skills!Y16*(1+Inputs!$B$34/100)),15)/15,(Skills!Y16*(1+Inputs!$B$34/100))/Skills!D16)))</f>
        <v/>
      </c>
    </row>
    <row r="2221">
      <c r="A2221" t="inlineStr">
        <is>
          <t>Shadow Partner Average Multiplier</t>
        </is>
      </c>
      <c r="B2221">
        <f>1+((C2190=TRUE)*F2190*I2190*Skills!J11/100)/100</f>
        <v/>
      </c>
    </row>
    <row r="2222">
      <c r="A2222" t="inlineStr">
        <is>
          <t>Global Critical Damage Bonus % (Frailty Curse Mastery Lv.111)</t>
        </is>
      </c>
      <c r="B2222">
        <f>IF(Inputs!$B$3&gt;=111,30,0)*IF(AND(Inputs!$B$39&lt;&gt;"pvp",Inputs!$B$44&gt;0),(((R2195-1)*(Skills!Y16*(1+Inputs!$B$34/100))+MIN((Skills!Y16*(1+Inputs!$B$34/100)),MAX(0,Inputs!$B$44-((R2195-1)*Skills!D16))))/Inputs!$B$44),IF(Inputs!$B$39="pvp",MIN((Skills!Y16*(1+Inputs!$B$34/100)),15)/15,(Skills!Y16*(1+Inputs!$B$34/100))/Skills!D16))</f>
        <v/>
      </c>
    </row>
    <row r="2223">
      <c r="A2223" s="6" t="inlineStr">
        <is>
          <t>TOTAL DPS</t>
        </is>
      </c>
      <c r="B2223" s="6">
        <f>SUM(O2181:O2210)</f>
        <v/>
      </c>
    </row>
    <row r="2224">
      <c r="A2224" t="inlineStr">
        <is>
          <t>Buff-Casting Startup Delay (s, fixed-duration only)</t>
        </is>
      </c>
      <c r="B2224">
        <f>IF(AND(Inputs!$B$39&lt;&gt;"pvp",Inputs!$B$44&gt;0),SUMPRODUCT((Skills!Y2:Y31&gt;0)*(Skills!E2:E31=TRUE)*(C2181:C2210=TRUE))/B2215,0)</f>
        <v/>
      </c>
    </row>
    <row r="2225">
      <c r="A2225" t="inlineStr">
        <is>
          <t>Boss-Only Total DPS (this block's swept value)</t>
        </is>
      </c>
      <c r="B2225">
        <f>SUM(T2181:T2210)</f>
        <v/>
      </c>
    </row>
    <row r="2226">
      <c r="A2226" t="inlineStr">
        <is>
          <t>Normal-Only Total DPS (this block's swept value)</t>
        </is>
      </c>
      <c r="B2226">
        <f>SUM(V2181:V2210)</f>
        <v/>
      </c>
    </row>
    <row r="2228">
      <c r="A2228" s="6" t="inlineStr">
        <is>
          <t>Stat: Book of Ancient (Equip)</t>
        </is>
      </c>
    </row>
    <row r="2229">
      <c r="A2229" s="5" t="inlineStr">
        <is>
          <t>Key</t>
        </is>
      </c>
      <c r="B2229" s="5" t="inlineStr">
        <is>
          <t>Name</t>
        </is>
      </c>
      <c r="C2229" s="5" t="inlineStr">
        <is>
          <t>Unlocked</t>
        </is>
      </c>
      <c r="D2229" s="5" t="inlineStr">
        <is>
          <t>InputLevel</t>
        </is>
      </c>
      <c r="E2229" s="5" t="inlineStr">
        <is>
          <t>Factor</t>
        </is>
      </c>
      <c r="F2229" s="5" t="inlineStr">
        <is>
          <t>CoefficientPercent</t>
        </is>
      </c>
      <c r="G2229" s="5" t="inlineStr">
        <is>
          <t>EffectiveHits</t>
        </is>
      </c>
      <c r="H2229" s="5" t="inlineStr">
        <is>
          <t>ProcProbability</t>
        </is>
      </c>
      <c r="I2229" s="5" t="inlineStr">
        <is>
          <t>MapleHeroMultiplier</t>
        </is>
      </c>
      <c r="J2229" s="5" t="inlineStr">
        <is>
          <t>BaseDamage</t>
        </is>
      </c>
      <c r="K2229" s="5" t="inlineStr">
        <is>
          <t>BaseHitDamage</t>
        </is>
      </c>
      <c r="L2229" s="5" t="inlineStr">
        <is>
          <t>NonCritAvg</t>
        </is>
      </c>
      <c r="M2229" s="5" t="inlineStr">
        <is>
          <t>CritAvg</t>
        </is>
      </c>
      <c r="N2229" s="5" t="inlineStr">
        <is>
          <t>ExpectedDamage(perHit)</t>
        </is>
      </c>
      <c r="O2229" s="5" t="inlineStr">
        <is>
          <t>DPS</t>
        </is>
      </c>
      <c r="P2229" s="5" t="inlineStr">
        <is>
          <t>% of Total</t>
        </is>
      </c>
      <c r="Q2229" s="5" t="inlineStr">
        <is>
          <t>InvCooldown</t>
        </is>
      </c>
      <c r="R2229" s="5" t="inlineStr">
        <is>
          <t>CastsInFight</t>
        </is>
      </c>
      <c r="S2229" s="5" t="inlineStr">
        <is>
          <t>HitRate(perSec)</t>
        </is>
      </c>
      <c r="U2229" t="inlineStr">
        <is>
          <t>helpers</t>
        </is>
      </c>
    </row>
    <row r="2230">
      <c r="A2230">
        <f>Skills!A2</f>
        <v/>
      </c>
      <c r="B2230">
        <f>Skills!B2</f>
        <v/>
      </c>
      <c r="C2230">
        <f>Inputs!$B$3&gt;=100</f>
        <v/>
      </c>
      <c r="D2230" t="inlineStr"/>
      <c r="E2230" t="inlineStr"/>
      <c r="F2230">
        <f>U2234+Skills!O2</f>
        <v/>
      </c>
      <c r="G2230">
        <f>Calc!G2</f>
        <v/>
      </c>
      <c r="H2230">
        <f>Calc!H2</f>
        <v/>
      </c>
      <c r="I2230">
        <f>IF(Skills!AA2&lt;&gt;"",1+(Skills!AA2/10)*(U2231/1000)/100,1)</f>
        <v/>
      </c>
      <c r="J2230">
        <f>((Inputs!$B$6*(1+Inputs!$B$7/100))+(((Inputs!$B$12*(1+Inputs!$B$13/100))-(Inputs!$B$12*(1+Inputs!$B$13/100)))+0.25*(Inputs!$B$14-Inputs!$B$14))*(1+Inputs!$B$7/100))*(F2230/100)</f>
        <v/>
      </c>
      <c r="K2230">
        <f>J2230*(1+((Inputs!$B$12*(1+Inputs!$B$13/100))*0.01+Inputs!$B$14*0.0025)/100)*(1+Inputs!$B$15/100)*(1+Inputs!$B$16/100)*(5000/(6000+Inputs!$B$43*(1-(100*(1-(1-(Inputs!$B$19+0)/100)*(1-CHOOSE(ArtifactsInput!$N$40+1,5,6,7,8,9,10)/100)^(ArtifactsInput!$M$40-ArtifactsInput!$M$40)))/100)))*(1+(Inputs!$B$24+((C2258=TRUE)*(F2258-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2251=TRUE)*(F2251-Calc!F23))+(((IF(AND(ArtifactsInput!$M$42,((Inputs!$B$9+((C2253=TRUE)*(F2253-Calc!F25))+B2268+(IF(ArtifactsInput!$M$24,FALSE,TRUE)-ArtifactsInput!$M$24)*CHOOSE(ArtifactsInput!$N$24+1,10,12,14,16,18,20)+IF(ArtifactsInput!$M$10,CHOOSE(ArtifactsInput!$N$10+1,15,18,21,24,27,30)*(IF(Inputs!$B$39="pvp",MIN(15,15)/15,IF(AND(Inputs!$B$39&lt;&gt;"pvp",Inputs!$B$44&gt;0),MIN(15,Inputs!$B$44)/(Inputs!$B$44),0))),0)))&gt;=100),MIN(100,((Inputs!$B$9+((C2253=TRUE)*(F2253-Calc!F25))+B2268+(IF(ArtifactsInput!$M$24,FALSE,TRUE)-ArtifactsInput!$M$24)*CHOOSE(ArtifactsInput!$N$24+1,10,12,14,16,18,20)+IF(ArtifactsInput!$M$10,CHOOSE(ArtifactsInput!$N$10+1,15,18,21,24,27,30)*(IF(Inputs!$B$39="pvp",MIN(15,15)/15,IF(AND(Inputs!$B$39&lt;&gt;"pvp",Inputs!$B$44&gt;0),MIN(15,Inputs!$B$44)/(Inputs!$B$44),0))),0)))-100),0))*CHOOSE(ArtifactsInput!$N$42+1,0.6,0.72,0.84,0.96,1.08,1.2))),Inputs!$B$18+((C2257=TRUE)*(F2257-Calc!F29))+(IF(AND(ArtifactsInput!$M$42,((Inputs!$B$9+((C2253=TRUE)*(F2253-Calc!F25))+B2268+(IF(ArtifactsInput!$M$24,FALSE,TRUE)-ArtifactsInput!$M$24)*CHOOSE(ArtifactsInput!$N$24+1,10,12,14,16,18,20)+IF(ArtifactsInput!$M$10,CHOOSE(ArtifactsInput!$N$10+1,15,18,21,24,27,30)*(IF(Inputs!$B$39="pvp",MIN(15,15)/15,IF(AND(Inputs!$B$39&lt;&gt;"pvp",Inputs!$B$44&gt;0),MIN(15,Inputs!$B$44)/(Inputs!$B$44),0))),0)))&gt;=100),CHOOSE(ArtifactsInput!$N$42+1,40,48,56,64,72,80),0))))/100)*(((1+(((C2249=TRUE)*F2249*IF(AND(Inputs!$B$39&lt;&gt;"pvp",Inputs!$B$44&gt;0),(((R2249-1)*(Skills!Y21*(1+Inputs!$B$34/100))+MIN((Skills!Y21*(1+Inputs!$B$34/100)),MAX(0,Inputs!$B$44-((R2249-1)*Skills!D21))))/Inputs!$B$44),IF(Inputs!$B$39="pvp",MIN((Skills!Y21*(1+Inputs!$B$34/100)),15)/15,(Skills!Y21*(1+Inputs!$B$34/100))/Skills!D21)))+((C2256=TRUE)*(F2256-Calc!F28))+((C2246=TRUE)*(F2246-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2243=TRUE)*F2243*IF(AND(Inputs!$B$39&lt;&gt;"pvp",Inputs!$B$44&gt;0),(((R2243-1)*(Skills!Y15*(1+Inputs!$B$34/100))+MIN((Skills!Y15*(1+Inputs!$B$34/100)),MAX(0,Inputs!$B$44-((R2243-1)*Skills!D15))))/Inputs!$B$44),IF(Inputs!$B$39="pvp",MIN((Skills!Y15*(1+Inputs!$B$34/100)),15)/15,(Skills!Y15*(1+Inputs!$B$34/100))/Skills!D15)))/100)*(1+((C2234=TRUE)*F2234*B2262)/100))*B2270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2230)</f>
        <v/>
      </c>
      <c r="L2230">
        <f>K2230*(MIN(Inputs!$B$22+((C2252=TRUE)*(F2252-Calc!F24)),(Inputs!$B$23+0+(IF(ArtifactsInput!$M$15,CHOOSE(ArtifactsInput!$N$15+1,25,30,35,40,45,50)/100*(Inputs!$B$11-Inputs!$B$11),0))))/100+(Inputs!$B$23+0+(IF(ArtifactsInput!$M$15,CHOOSE(ArtifactsInput!$N$15+1,25,30,35,40,45,50)/100*(Inputs!$B$11-Inputs!$B$11),0)))/100)/2</f>
        <v/>
      </c>
      <c r="M2230">
        <f>L2230*(1+(Inputs!$B$10+((C2254=TRUE)*(F2254-Calc!F26))+B2271+((IF(IF(ArtifactsInput!$M$24,FALSE,TRUE),1,-1)*CHOOSE(ArtifactsInput!$N$24+1,30,36,42,48,54,60)/100*IF(IF(ArtifactsInput!$M$24,FALSE,TRUE),(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$9+Summary!$B$14+Artifacts!$B$5+Artifacts!$B$29)))+IF(ArtifactsInput!$M$10,CHOOSE(ArtifactsInput!$N$10+1,20,24,28,32,36,40)*(IF(Inputs!$B$39="pvp",MIN(15,15)/15,IF(AND(Inputs!$B$39&lt;&gt;"pvp",Inputs!$B$44&gt;0),MIN(15,Inputs!$B$44)/(Inputs!$B$44),0))),0)+IF(ArtifactsInput!$M$31,1.5*CHOOSE(ArtifactsInput!$N$31+1,20,24,28,32,36,40),0)))/100)</f>
        <v/>
      </c>
      <c r="N2230">
        <f>L2230*(1-MIN((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2230*(MIN((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30">
        <f>(1-Summary!$B$11)*T2230+Summary!$B$11*V2230</f>
        <v/>
      </c>
      <c r="P2230">
        <f>IF(B2272=0,0,O2230/B2272)</f>
        <v/>
      </c>
      <c r="Q2230" t="n">
        <v>0</v>
      </c>
      <c r="R2230" t="n">
        <v>0</v>
      </c>
      <c r="S2230">
        <f>IFERROR(O2230/N2230,0)</f>
        <v/>
      </c>
      <c r="T2230">
        <f>IF(C2230,(Skills!G2*N2230*B2266)*IF(Inputs!$B$39="pvp",1,1+(Inputs!$B$20+((C2255=TRUE)*(F2255-Calc!F27))+Skills!P2+B2269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Hunt"),CHOOSE(ArtifactsInput!$N$35+1,15,18,21,24,27,30)*(1-EXP(-(0.2*B2264)*5)),0)+IF(AND(ArtifactsInput!$M$22,Inputs!$B$4&lt;&gt;"Chapter Hunt"),CHOOSE(ArtifactsInput!$N$22+1,10,12,14,16,18,20)*((0*(((0.15*B2264*5))^0/1)+1*(((0.15*B2264*5))^1/1)+2*(((0.15*B2264*5))^2/2)+3*(((0.15*B2264*5))^3/6)+4*(((0.15*B2264*5))^4/24)+5*(((0.15*B2264*5))^5/120))/((((0.15*B2264*5))^0/1)+(((0.15*B2264*5))^1/1)+(((0.15*B2264*5))^2/2)+(((0.15*B2264*5))^3/6)+(((0.15*B2264*5))^4/24)+(((0.15*B2264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2230*(1-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2230*(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2230*(1-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2230*(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30">
        <f>MAX(0,(Inputs!$B$3-100)*3)+Inputs!$B$28+Inputs!$B$29</f>
        <v/>
      </c>
      <c r="V2230">
        <f>IF(C2230,(Skills!G2*N2230*B2266)*IF(Inputs!$B$39="pvp",1,(1+(Inputs!$B$21+Skills!Q2+B2269+(IF(ArtifactsInput!$M$33,CHOOSE(ArtifactsInput!$N$33+1,30,36,42,48,54,60),0))+(IF(AND(ArtifactsInput!$M$35,Inputs!$B$4&lt;&gt;"Chapter Hunt"),CHOOSE(ArtifactsInput!$N$35+1,15,18,21,24,27,30)*(1-EXP(-(0.2*B2264)*5)),0)+IF(AND(ArtifactsInput!$M$22,Inputs!$B$4&lt;&gt;"Chapter Hunt"),CHOOSE(ArtifactsInput!$N$22+1,10,12,14,16,18,20)*((0*(((0.15*B2264*5))^0/1)+1*(((0.15*B2264*5))^1/1)+2*(((0.15*B2264*5))^2/2)+3*(((0.15*B2264*5))^3/6)+4*(((0.15*B2264*5))^4/24)+5*(((0.15*B2264*5))^5/120))/((((0.15*B2264*5))^0/1)+(((0.15*B2264*5))^1/1)+(((0.15*B2264*5))^2/2)+(((0.15*B2264*5))^3/6)+(((0.15*B2264*5))^4/24)+(((0.15*B2264*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31">
      <c r="A2231">
        <f>Skills!A3</f>
        <v/>
      </c>
      <c r="B2231">
        <f>Skills!B3</f>
        <v/>
      </c>
      <c r="C2231">
        <f>Inputs!$B$3&gt;=35</f>
        <v/>
      </c>
      <c r="D2231">
        <f>IF(Skills!C3=1,60+Inputs!$B$25+Inputs!$B$29,IF(Skills!C3=2,90+Inputs!$B$26+Inputs!$B$29,IF(Skills!C3=3,120+Inputs!$B$27+Inputs!$B$29,MAX(0,(Inputs!$B$3-100)*3)+Inputs!$B$28+Inputs!$B$29)))</f>
        <v/>
      </c>
      <c r="E2231">
        <f>INDEX(FactorTable!$B$2:$Y$301, MATCH(ROUND(MIN(300,MAX(1,D2231)),0), FactorTable!$A$2:$A$301,0), Skills!M3+1)</f>
        <v/>
      </c>
      <c r="F2231">
        <f>IF(Skills!N3=TRUE,(Skills!L3/10)*(E2231/1000),Skills!L3/10)+Skills!O3</f>
        <v/>
      </c>
      <c r="G2231">
        <f>Calc!G3</f>
        <v/>
      </c>
      <c r="H2231">
        <f>Calc!H3</f>
        <v/>
      </c>
      <c r="I2231">
        <f>IF(Skills!AA3&lt;&gt;"",1+(Skills!AA3/10)*(U2231/1000)/100,1)</f>
        <v/>
      </c>
      <c r="J2231">
        <f>((Inputs!$B$6*(1+Inputs!$B$7/100))+(((Inputs!$B$12*(1+Inputs!$B$13/100))-(Inputs!$B$12*(1+Inputs!$B$13/100)))+0.25*(Inputs!$B$14-Inputs!$B$14))*(1+Inputs!$B$7/100))*(F2231/100)</f>
        <v/>
      </c>
      <c r="K2231">
        <f>J2231*(1+((Inputs!$B$12*(1+Inputs!$B$13/100))*0.01+Inputs!$B$14*0.0025)/100)*(1+Inputs!$B$15/100)*(1+Inputs!$B$16/100)*(5000/(6000+Inputs!$B$43*(1-(100*(1-(1-(Inputs!$B$19+0)/100)*(1-CHOOSE(ArtifactsInput!$N$40+1,5,6,7,8,9,10)/100)^(ArtifactsInput!$M$40-ArtifactsInput!$M$40)))/100)))*(1+(Inputs!$B$24+((C2258=TRUE)*(F2258-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2251=TRUE)*(F2251-Calc!F23))+(((IF(AND(ArtifactsInput!$M$42,((Inputs!$B$9+((C2253=TRUE)*(F2253-Calc!F25))+B2268+(IF(ArtifactsInput!$M$24,FALSE,TRUE)-ArtifactsInput!$M$24)*CHOOSE(ArtifactsInput!$N$24+1,10,12,14,16,18,20)+IF(ArtifactsInput!$M$10,CHOOSE(ArtifactsInput!$N$10+1,15,18,21,24,27,30)*(IF(Inputs!$B$39="pvp",MIN(15,15)/15,IF(AND(Inputs!$B$39&lt;&gt;"pvp",Inputs!$B$44&gt;0),MIN(15,Inputs!$B$44)/(Inputs!$B$44),0))),0)))&gt;=100),MIN(100,((Inputs!$B$9+((C2253=TRUE)*(F2253-Calc!F25))+B2268+(IF(ArtifactsInput!$M$24,FALSE,TRUE)-ArtifactsInput!$M$24)*CHOOSE(ArtifactsInput!$N$24+1,10,12,14,16,18,20)+IF(ArtifactsInput!$M$10,CHOOSE(ArtifactsInput!$N$10+1,15,18,21,24,27,30)*(IF(Inputs!$B$39="pvp",MIN(15,15)/15,IF(AND(Inputs!$B$39&lt;&gt;"pvp",Inputs!$B$44&gt;0),MIN(15,Inputs!$B$44)/(Inputs!$B$44),0))),0)))-100),0))*CHOOSE(ArtifactsInput!$N$42+1,0.6,0.72,0.84,0.96,1.08,1.2))),Inputs!$B$18+((C2257=TRUE)*(F2257-Calc!F29))+(IF(AND(ArtifactsInput!$M$42,((Inputs!$B$9+((C2253=TRUE)*(F2253-Calc!F25))+B2268+(IF(ArtifactsInput!$M$24,FALSE,TRUE)-ArtifactsInput!$M$24)*CHOOSE(ArtifactsInput!$N$24+1,10,12,14,16,18,20)+IF(ArtifactsInput!$M$10,CHOOSE(ArtifactsInput!$N$10+1,15,18,21,24,27,30)*(IF(Inputs!$B$39="pvp",MIN(15,15)/15,IF(AND(Inputs!$B$39&lt;&gt;"pvp",Inputs!$B$44&gt;0),MIN(15,Inputs!$B$44)/(Inputs!$B$44),0))),0)))&gt;=100),CHOOSE(ArtifactsInput!$N$42+1,40,48,56,64,72,80),0))))/100)*(((1+(((C2249=TRUE)*F2249*IF(AND(Inputs!$B$39&lt;&gt;"pvp",Inputs!$B$44&gt;0),(((R2249-1)*(Skills!Y21*(1+Inputs!$B$34/100))+MIN((Skills!Y21*(1+Inputs!$B$34/100)),MAX(0,Inputs!$B$44-((R2249-1)*Skills!D21))))/Inputs!$B$44),IF(Inputs!$B$39="pvp",MIN((Skills!Y21*(1+Inputs!$B$34/100)),15)/15,(Skills!Y21*(1+Inputs!$B$34/100))/Skills!D21)))+((C2256=TRUE)*(F2256-Calc!F28))+((C2246=TRUE)*(F2246-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2243=TRUE)*F2243*IF(AND(Inputs!$B$39&lt;&gt;"pvp",Inputs!$B$44&gt;0),(((R2243-1)*(Skills!Y15*(1+Inputs!$B$34/100))+MIN((Skills!Y15*(1+Inputs!$B$34/100)),MAX(0,Inputs!$B$44-((R2243-1)*Skills!D15))))/Inputs!$B$44),IF(Inputs!$B$39="pvp",MIN((Skills!Y15*(1+Inputs!$B$34/100)),15)/15,(Skills!Y15*(1+Inputs!$B$34/100))/Skills!D15)))/100)*(1+((C2234=TRUE)*F2234*B2262)/100))*B2270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2231)</f>
        <v/>
      </c>
      <c r="L2231">
        <f>K2231*(MIN(Inputs!$B$22+((C2252=TRUE)*(F2252-Calc!F24)),(Inputs!$B$23+0+(IF(ArtifactsInput!$M$15,CHOOSE(ArtifactsInput!$N$15+1,25,30,35,40,45,50)/100*(Inputs!$B$11-Inputs!$B$11),0))))/100+(Inputs!$B$23+0+(IF(ArtifactsInput!$M$15,CHOOSE(ArtifactsInput!$N$15+1,25,30,35,40,45,50)/100*(Inputs!$B$11-Inputs!$B$11),0)))/100)/2</f>
        <v/>
      </c>
      <c r="M2231">
        <f>L2231*(1+(Inputs!$B$10+((C2254=TRUE)*(F2254-Calc!F26))+B2271+((IF(IF(ArtifactsInput!$M$24,FALSE,TRUE),1,-1)*CHOOSE(ArtifactsInput!$N$24+1,30,36,42,48,54,60)/100*IF(IF(ArtifactsInput!$M$24,FALSE,TRUE),(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$9+Summary!$B$14+Artifacts!$B$5+Artifacts!$B$29)))+IF(ArtifactsInput!$M$10,CHOOSE(ArtifactsInput!$N$10+1,20,24,28,32,36,40)*(IF(Inputs!$B$39="pvp",MIN(15,15)/15,IF(AND(Inputs!$B$39&lt;&gt;"pvp",Inputs!$B$44&gt;0),MIN(15,Inputs!$B$44)/(Inputs!$B$44),0))),0)+IF(ArtifactsInput!$M$31,1.5*CHOOSE(ArtifactsInput!$N$31+1,20,24,28,32,36,40),0)))/100)</f>
        <v/>
      </c>
      <c r="N2231">
        <f>L2231*(1-MIN((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2231*(MIN((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31">
        <f>(1-Summary!$B$11)*T2231+Summary!$B$11*V2231</f>
        <v/>
      </c>
      <c r="P2231">
        <f>IF(B2272=0,0,O2231/B2272)</f>
        <v/>
      </c>
      <c r="Q2231">
        <f>IFERROR(1/IF(Inputs!$B$39="pvp",15,MAX(0.1,Skills!D3-IF(Skills!E3=TRUE,Inputs!$B$32,0))),0)</f>
        <v/>
      </c>
      <c r="R2231">
        <f>IF(AND(Inputs!$B$39&lt;&gt;"pvp",Inputs!$B$44&gt;0),IF(MAX(0,Inputs!$B$44-B2273)&lt;=0,0,(INT(MAX(0,Inputs!$B$44-B2273)/IF(Inputs!$B$39="pvp",15,MAX(0.1,Skills!D3-IF(Skills!E3=TRUE,Inputs!$B$32,0))))+1)),0)</f>
        <v/>
      </c>
      <c r="S2231">
        <f>IFERROR(O2231/N2231,0)</f>
        <v/>
      </c>
      <c r="T2231">
        <f>IF(C2231,(H2231*N2231*IF(AND(Inputs!$B$39&lt;&gt;"pvp",Inputs!$B$44&gt;0),((Skills!G3*((R2231-1)*IF(Skills!H3&gt;0,Skills!I3/Skills!H3,1)+IF(Skills!H3&gt;0,MIN(Skills!I3,MAX(0,MAX(0,Inputs!$B$44-B2273)-((R2231-1)*IF(Inputs!$B$39="pvp",15,MAX(0.1,Skills!D3-IF(Skills!E3=TRUE,Inputs!$B$32,0))))))/Skills!H3,1)))/Inputs!$B$44),G2231*Q2231))*IF(Inputs!$B$39="pvp",1,1+(Inputs!$B$20+((C2255=TRUE)*(F2255-Calc!F27))+Skills!P3+B2269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Hunt"),CHOOSE(ArtifactsInput!$N$35+1,15,18,21,24,27,30)*(1-EXP(-(0.2*B2264)*5)),0)+IF(AND(ArtifactsInput!$M$22,Inputs!$B$4&lt;&gt;"Chapter Hunt"),CHOOSE(ArtifactsInput!$N$22+1,10,12,14,16,18,20)*((0*(((0.15*B2264*5))^0/1)+1*(((0.15*B2264*5))^1/1)+2*(((0.15*B2264*5))^2/2)+3*(((0.15*B2264*5))^3/6)+4*(((0.15*B2264*5))^4/24)+5*(((0.15*B2264*5))^5/120))/((((0.15*B2264*5))^0/1)+(((0.15*B2264*5))^1/1)+(((0.15*B2264*5))^2/2)+(((0.15*B2264*5))^3/6)+(((0.15*B2264*5))^4/24)+(((0.15*B2264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2231*(1-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2231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2231*(1-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2231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31">
        <f>INDEX(FactorTable!$B$2:$Y$301, MATCH(ROUND(MIN(300,MAX(1,U2230)),0), FactorTable!$A$2:$A$301,0), 24)</f>
        <v/>
      </c>
      <c r="V2231">
        <f>IF(C2231,(H2231*N2231*IF(AND(Inputs!$B$39&lt;&gt;"pvp",Inputs!$B$44&gt;0),((Skills!G3*((R2231-1)*IF(Skills!H3&gt;0,Skills!I3/Skills!H3,1)+IF(Skills!H3&gt;0,MIN(Skills!I3,MAX(0,MAX(0,Inputs!$B$44-B2273)-((R2231-1)*IF(Inputs!$B$39="pvp",15,MAX(0.1,Skills!D3-IF(Skills!E3=TRUE,Inputs!$B$32,0))))))/Skills!H3,1)))/Inputs!$B$44),G2231*Q2231))*IF(Inputs!$B$39="pvp",1,(1+(Inputs!$B$21+Skills!Q3+B2269+(IF(ArtifactsInput!$M$33,CHOOSE(ArtifactsInput!$N$33+1,30,36,42,48,54,60),0))+(IF(AND(ArtifactsInput!$M$35,Inputs!$B$4&lt;&gt;"Chapter Hunt"),CHOOSE(ArtifactsInput!$N$35+1,15,18,21,24,27,30)*(1-EXP(-(0.2*B2264)*5)),0)+IF(AND(ArtifactsInput!$M$22,Inputs!$B$4&lt;&gt;"Chapter Hunt"),CHOOSE(ArtifactsInput!$N$22+1,10,12,14,16,18,20)*((0*(((0.15*B2264*5))^0/1)+1*(((0.15*B2264*5))^1/1)+2*(((0.15*B2264*5))^2/2)+3*(((0.15*B2264*5))^3/6)+4*(((0.15*B2264*5))^4/24)+5*(((0.15*B2264*5))^5/120))/((((0.15*B2264*5))^0/1)+(((0.15*B2264*5))^1/1)+(((0.15*B2264*5))^2/2)+(((0.15*B2264*5))^3/6)+(((0.15*B2264*5))^4/24)+(((0.15*B2264*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32">
      <c r="A2232">
        <f>Skills!A4</f>
        <v/>
      </c>
      <c r="B2232">
        <f>Skills!B4</f>
        <v/>
      </c>
      <c r="C2232">
        <f>Inputs!$B$3&gt;=40</f>
        <v/>
      </c>
      <c r="D2232">
        <f>IF(Skills!C4=1,60+Inputs!$B$25+Inputs!$B$29,IF(Skills!C4=2,90+Inputs!$B$26+Inputs!$B$29,IF(Skills!C4=3,120+Inputs!$B$27+Inputs!$B$29,MAX(0,(Inputs!$B$3-100)*3)+Inputs!$B$28+Inputs!$B$29)))</f>
        <v/>
      </c>
      <c r="E2232">
        <f>INDEX(FactorTable!$B$2:$Y$301, MATCH(ROUND(MIN(300,MAX(1,D2232)),0), FactorTable!$A$2:$A$301,0), Skills!M4+1)</f>
        <v/>
      </c>
      <c r="F2232">
        <f>IF(Skills!N4=TRUE,(Skills!L4/10)*(E2232/1000),Skills!L4/10)+Skills!O4</f>
        <v/>
      </c>
      <c r="G2232">
        <f>Calc!G4</f>
        <v/>
      </c>
      <c r="H2232">
        <f>Calc!H4</f>
        <v/>
      </c>
      <c r="I2232">
        <f>IF(Skills!AA4&lt;&gt;"",1+(Skills!AA4/10)*(U2231/1000)/100,1)</f>
        <v/>
      </c>
      <c r="J2232">
        <f>((Inputs!$B$6*(1+Inputs!$B$7/100))+(((Inputs!$B$12*(1+Inputs!$B$13/100))-(Inputs!$B$12*(1+Inputs!$B$13/100)))+0.25*(Inputs!$B$14-Inputs!$B$14))*(1+Inputs!$B$7/100))*(F2232/100)</f>
        <v/>
      </c>
      <c r="K2232">
        <f>J2232*(1+((Inputs!$B$12*(1+Inputs!$B$13/100))*0.01+Inputs!$B$14*0.0025)/100)*(1+Inputs!$B$15/100)*(1+Inputs!$B$16/100)*(5000/(6000+Inputs!$B$43*(1-(100*(1-(1-(Inputs!$B$19+0)/100)*(1-CHOOSE(ArtifactsInput!$N$40+1,5,6,7,8,9,10)/100)^(ArtifactsInput!$M$40-ArtifactsInput!$M$40)))/100)))*(1+(Inputs!$B$24+((C2258=TRUE)*(F2258-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2251=TRUE)*(F2251-Calc!F23))+(((IF(AND(ArtifactsInput!$M$42,((Inputs!$B$9+((C2253=TRUE)*(F2253-Calc!F25))+B2268+(IF(ArtifactsInput!$M$24,FALSE,TRUE)-ArtifactsInput!$M$24)*CHOOSE(ArtifactsInput!$N$24+1,10,12,14,16,18,20)+IF(ArtifactsInput!$M$10,CHOOSE(ArtifactsInput!$N$10+1,15,18,21,24,27,30)*(IF(Inputs!$B$39="pvp",MIN(15,15)/15,IF(AND(Inputs!$B$39&lt;&gt;"pvp",Inputs!$B$44&gt;0),MIN(15,Inputs!$B$44)/(Inputs!$B$44),0))),0)))&gt;=100),MIN(100,((Inputs!$B$9+((C2253=TRUE)*(F2253-Calc!F25))+B2268+(IF(ArtifactsInput!$M$24,FALSE,TRUE)-ArtifactsInput!$M$24)*CHOOSE(ArtifactsInput!$N$24+1,10,12,14,16,18,20)+IF(ArtifactsInput!$M$10,CHOOSE(ArtifactsInput!$N$10+1,15,18,21,24,27,30)*(IF(Inputs!$B$39="pvp",MIN(15,15)/15,IF(AND(Inputs!$B$39&lt;&gt;"pvp",Inputs!$B$44&gt;0),MIN(15,Inputs!$B$44)/(Inputs!$B$44),0))),0)))-100),0))*CHOOSE(ArtifactsInput!$N$42+1,0.6,0.72,0.84,0.96,1.08,1.2))),Inputs!$B$18+((C2257=TRUE)*(F2257-Calc!F29))+(IF(AND(ArtifactsInput!$M$42,((Inputs!$B$9+((C2253=TRUE)*(F2253-Calc!F25))+B2268+(IF(ArtifactsInput!$M$24,FALSE,TRUE)-ArtifactsInput!$M$24)*CHOOSE(ArtifactsInput!$N$24+1,10,12,14,16,18,20)+IF(ArtifactsInput!$M$10,CHOOSE(ArtifactsInput!$N$10+1,15,18,21,24,27,30)*(IF(Inputs!$B$39="pvp",MIN(15,15)/15,IF(AND(Inputs!$B$39&lt;&gt;"pvp",Inputs!$B$44&gt;0),MIN(15,Inputs!$B$44)/(Inputs!$B$44),0))),0)))&gt;=100),CHOOSE(ArtifactsInput!$N$42+1,40,48,56,64,72,80),0))))/100)*(((1+(((C2249=TRUE)*F2249*IF(AND(Inputs!$B$39&lt;&gt;"pvp",Inputs!$B$44&gt;0),(((R2249-1)*(Skills!Y21*(1+Inputs!$B$34/100))+MIN((Skills!Y21*(1+Inputs!$B$34/100)),MAX(0,Inputs!$B$44-((R2249-1)*Skills!D21))))/Inputs!$B$44),IF(Inputs!$B$39="pvp",MIN((Skills!Y21*(1+Inputs!$B$34/100)),15)/15,(Skills!Y21*(1+Inputs!$B$34/100))/Skills!D21)))+((C2256=TRUE)*(F2256-Calc!F28))+((C2246=TRUE)*(F2246-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2243=TRUE)*F2243*IF(AND(Inputs!$B$39&lt;&gt;"pvp",Inputs!$B$44&gt;0),(((R2243-1)*(Skills!Y15*(1+Inputs!$B$34/100))+MIN((Skills!Y15*(1+Inputs!$B$34/100)),MAX(0,Inputs!$B$44-((R2243-1)*Skills!D15))))/Inputs!$B$44),IF(Inputs!$B$39="pvp",MIN((Skills!Y15*(1+Inputs!$B$34/100)),15)/15,(Skills!Y15*(1+Inputs!$B$34/100))/Skills!D15)))/100)*(1+((C2234=TRUE)*F2234*B2262)/100))*B2270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2232)</f>
        <v/>
      </c>
      <c r="L2232">
        <f>K2232*(MIN(Inputs!$B$22+((C2252=TRUE)*(F2252-Calc!F24)),(Inputs!$B$23+0+(IF(ArtifactsInput!$M$15,CHOOSE(ArtifactsInput!$N$15+1,25,30,35,40,45,50)/100*(Inputs!$B$11-Inputs!$B$11),0))))/100+(Inputs!$B$23+0+(IF(ArtifactsInput!$M$15,CHOOSE(ArtifactsInput!$N$15+1,25,30,35,40,45,50)/100*(Inputs!$B$11-Inputs!$B$11),0)))/100)/2</f>
        <v/>
      </c>
      <c r="M2232">
        <f>L2232*(1+(Inputs!$B$10+((C2254=TRUE)*(F2254-Calc!F26))+B2271+((IF(IF(ArtifactsInput!$M$24,FALSE,TRUE),1,-1)*CHOOSE(ArtifactsInput!$N$24+1,30,36,42,48,54,60)/100*IF(IF(ArtifactsInput!$M$24,FALSE,TRUE),(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$9+Summary!$B$14+Artifacts!$B$5+Artifacts!$B$29)))+IF(ArtifactsInput!$M$10,CHOOSE(ArtifactsInput!$N$10+1,20,24,28,32,36,40)*(IF(Inputs!$B$39="pvp",MIN(15,15)/15,IF(AND(Inputs!$B$39&lt;&gt;"pvp",Inputs!$B$44&gt;0),MIN(15,Inputs!$B$44)/(Inputs!$B$44),0))),0)+IF(ArtifactsInput!$M$31,1.5*CHOOSE(ArtifactsInput!$N$31+1,20,24,28,32,36,40),0)))/100)</f>
        <v/>
      </c>
      <c r="N2232">
        <f>L2232*(1-MIN((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2232*(MIN((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32">
        <f>(1-Summary!$B$11)*T2232+Summary!$B$11*V2232</f>
        <v/>
      </c>
      <c r="P2232">
        <f>IF(B2272=0,0,O2232/B2272)</f>
        <v/>
      </c>
      <c r="Q2232">
        <f>IFERROR(1/IF(Inputs!$B$39="pvp",15,MAX(0.1,Skills!D4-IF(Skills!E4=TRUE,Inputs!$B$32,0))),0)</f>
        <v/>
      </c>
      <c r="R2232">
        <f>IF(AND(Inputs!$B$39&lt;&gt;"pvp",Inputs!$B$44&gt;0),IF(MAX(0,Inputs!$B$44-B2273)&lt;=0,0,(INT(MAX(0,Inputs!$B$44-B2273)/IF(Inputs!$B$39="pvp",15,MAX(0.1,Skills!D4-IF(Skills!E4=TRUE,Inputs!$B$32,0))))+1)),0)</f>
        <v/>
      </c>
      <c r="S2232">
        <f>IFERROR(O2232/N2232,0)</f>
        <v/>
      </c>
      <c r="T2232">
        <f>IF(C2232,(H2232*N2232*IF(AND(Inputs!$B$39&lt;&gt;"pvp",Inputs!$B$44&gt;0),((Skills!G4*((R2232-1)*IF(Skills!H4&gt;0,Skills!I4/Skills!H4,1)+IF(Skills!H4&gt;0,MIN(Skills!I4,MAX(0,MAX(0,Inputs!$B$44-B2273)-((R2232-1)*IF(Inputs!$B$39="pvp",15,MAX(0.1,Skills!D4-IF(Skills!E4=TRUE,Inputs!$B$32,0))))))/Skills!H4,1)))/Inputs!$B$44),G2232*Q2232))*IF(Inputs!$B$39="pvp",1,1+(Inputs!$B$20+((C2255=TRUE)*(F2255-Calc!F27))+Skills!P4+B2269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Hunt"),CHOOSE(ArtifactsInput!$N$35+1,15,18,21,24,27,30)*(1-EXP(-(0.2*B2264)*5)),0)+IF(AND(ArtifactsInput!$M$22,Inputs!$B$4&lt;&gt;"Chapter Hunt"),CHOOSE(ArtifactsInput!$N$22+1,10,12,14,16,18,20)*((0*(((0.15*B2264*5))^0/1)+1*(((0.15*B2264*5))^1/1)+2*(((0.15*B2264*5))^2/2)+3*(((0.15*B2264*5))^3/6)+4*(((0.15*B2264*5))^4/24)+5*(((0.15*B2264*5))^5/120))/((((0.15*B2264*5))^0/1)+(((0.15*B2264*5))^1/1)+(((0.15*B2264*5))^2/2)+(((0.15*B2264*5))^3/6)+(((0.15*B2264*5))^4/24)+(((0.15*B2264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2232*(1-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2232*(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2232*(1-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2232*(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32">
        <f>MAX(0,(Inputs!$B$3-100)*3)+Inputs!$B$28+Inputs!$B$29</f>
        <v/>
      </c>
      <c r="V2232">
        <f>IF(C2232,(H2232*N2232*IF(AND(Inputs!$B$39&lt;&gt;"pvp",Inputs!$B$44&gt;0),((Skills!G4*((R2232-1)*IF(Skills!H4&gt;0,Skills!I4/Skills!H4,1)+IF(Skills!H4&gt;0,MIN(Skills!I4,MAX(0,MAX(0,Inputs!$B$44-B2273)-((R2232-1)*IF(Inputs!$B$39="pvp",15,MAX(0.1,Skills!D4-IF(Skills!E4=TRUE,Inputs!$B$32,0))))))/Skills!H4,1)))/Inputs!$B$44),G2232*Q2232))*IF(Inputs!$B$39="pvp",1,(1+(Inputs!$B$21+Skills!Q4+B2269+(IF(ArtifactsInput!$M$33,CHOOSE(ArtifactsInput!$N$33+1,30,36,42,48,54,60),0))+(IF(AND(ArtifactsInput!$M$35,Inputs!$B$4&lt;&gt;"Chapter Hunt"),CHOOSE(ArtifactsInput!$N$35+1,15,18,21,24,27,30)*(1-EXP(-(0.2*B2264)*5)),0)+IF(AND(ArtifactsInput!$M$22,Inputs!$B$4&lt;&gt;"Chapter Hunt"),CHOOSE(ArtifactsInput!$N$22+1,10,12,14,16,18,20)*((0*(((0.15*B2264*5))^0/1)+1*(((0.15*B2264*5))^1/1)+2*(((0.15*B2264*5))^2/2)+3*(((0.15*B2264*5))^3/6)+4*(((0.15*B2264*5))^4/24)+5*(((0.15*B2264*5))^5/120))/((((0.15*B2264*5))^0/1)+(((0.15*B2264*5))^1/1)+(((0.15*B2264*5))^2/2)+(((0.15*B2264*5))^3/6)+(((0.15*B2264*5))^4/24)+(((0.15*B2264*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33">
      <c r="A2233">
        <f>Skills!A5</f>
        <v/>
      </c>
      <c r="B2233">
        <f>Skills!B5</f>
        <v/>
      </c>
      <c r="C2233">
        <f>Inputs!$B$3&gt;=63</f>
        <v/>
      </c>
      <c r="D2233">
        <f>IF(Skills!C5=1,60+Inputs!$B$25+Inputs!$B$29,IF(Skills!C5=2,90+Inputs!$B$26+Inputs!$B$29,IF(Skills!C5=3,120+Inputs!$B$27+Inputs!$B$29,MAX(0,(Inputs!$B$3-100)*3)+Inputs!$B$28+Inputs!$B$29)))</f>
        <v/>
      </c>
      <c r="E2233">
        <f>INDEX(FactorTable!$B$2:$Y$301, MATCH(ROUND(MIN(300,MAX(1,D2233)),0), FactorTable!$A$2:$A$301,0), Skills!M5+1)</f>
        <v/>
      </c>
      <c r="F2233">
        <f>IF(Skills!N5=TRUE,(Skills!L5/10)*(E2233/1000),Skills!L5/10)+Skills!O5</f>
        <v/>
      </c>
      <c r="G2233">
        <f>Calc!G5</f>
        <v/>
      </c>
      <c r="H2233">
        <f>Calc!H5</f>
        <v/>
      </c>
      <c r="I2233">
        <f>IF(Skills!AA5&lt;&gt;"",1+(Skills!AA5/10)*(U2231/1000)/100,1)</f>
        <v/>
      </c>
      <c r="J2233">
        <f>((Inputs!$B$6*(1+Inputs!$B$7/100))+(((Inputs!$B$12*(1+Inputs!$B$13/100))-(Inputs!$B$12*(1+Inputs!$B$13/100)))+0.25*(Inputs!$B$14-Inputs!$B$14))*(1+Inputs!$B$7/100))*(F2233/100)</f>
        <v/>
      </c>
      <c r="K2233">
        <f>J2233*(1+((Inputs!$B$12*(1+Inputs!$B$13/100))*0.01+Inputs!$B$14*0.0025)/100)*(1+Inputs!$B$15/100)*(1+Inputs!$B$16/100)*(5000/(6000+Inputs!$B$43*(1-(100*(1-(1-(Inputs!$B$19+0)/100)*(1-CHOOSE(ArtifactsInput!$N$40+1,5,6,7,8,9,10)/100)^(ArtifactsInput!$M$40-ArtifactsInput!$M$40)))/100)))*(1+(Inputs!$B$24+((C2258=TRUE)*(F2258-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2251=TRUE)*(F2251-Calc!F23))+(((IF(AND(ArtifactsInput!$M$42,((Inputs!$B$9+((C2253=TRUE)*(F2253-Calc!F25))+B2268+(IF(ArtifactsInput!$M$24,FALSE,TRUE)-ArtifactsInput!$M$24)*CHOOSE(ArtifactsInput!$N$24+1,10,12,14,16,18,20)+IF(ArtifactsInput!$M$10,CHOOSE(ArtifactsInput!$N$10+1,15,18,21,24,27,30)*(IF(Inputs!$B$39="pvp",MIN(15,15)/15,IF(AND(Inputs!$B$39&lt;&gt;"pvp",Inputs!$B$44&gt;0),MIN(15,Inputs!$B$44)/(Inputs!$B$44),0))),0)))&gt;=100),MIN(100,((Inputs!$B$9+((C2253=TRUE)*(F2253-Calc!F25))+B2268+(IF(ArtifactsInput!$M$24,FALSE,TRUE)-ArtifactsInput!$M$24)*CHOOSE(ArtifactsInput!$N$24+1,10,12,14,16,18,20)+IF(ArtifactsInput!$M$10,CHOOSE(ArtifactsInput!$N$10+1,15,18,21,24,27,30)*(IF(Inputs!$B$39="pvp",MIN(15,15)/15,IF(AND(Inputs!$B$39&lt;&gt;"pvp",Inputs!$B$44&gt;0),MIN(15,Inputs!$B$44)/(Inputs!$B$44),0))),0)))-100),0))*CHOOSE(ArtifactsInput!$N$42+1,0.6,0.72,0.84,0.96,1.08,1.2))),Inputs!$B$18+((C2257=TRUE)*(F2257-Calc!F29))+(IF(AND(ArtifactsInput!$M$42,((Inputs!$B$9+((C2253=TRUE)*(F2253-Calc!F25))+B2268+(IF(ArtifactsInput!$M$24,FALSE,TRUE)-ArtifactsInput!$M$24)*CHOOSE(ArtifactsInput!$N$24+1,10,12,14,16,18,20)+IF(ArtifactsInput!$M$10,CHOOSE(ArtifactsInput!$N$10+1,15,18,21,24,27,30)*(IF(Inputs!$B$39="pvp",MIN(15,15)/15,IF(AND(Inputs!$B$39&lt;&gt;"pvp",Inputs!$B$44&gt;0),MIN(15,Inputs!$B$44)/(Inputs!$B$44),0))),0)))&gt;=100),CHOOSE(ArtifactsInput!$N$42+1,40,48,56,64,72,80),0))))/100)*(((1+(((C2249=TRUE)*F2249*IF(AND(Inputs!$B$39&lt;&gt;"pvp",Inputs!$B$44&gt;0),(((R2249-1)*(Skills!Y21*(1+Inputs!$B$34/100))+MIN((Skills!Y21*(1+Inputs!$B$34/100)),MAX(0,Inputs!$B$44-((R2249-1)*Skills!D21))))/Inputs!$B$44),IF(Inputs!$B$39="pvp",MIN((Skills!Y21*(1+Inputs!$B$34/100)),15)/15,(Skills!Y21*(1+Inputs!$B$34/100))/Skills!D21)))+((C2256=TRUE)*(F2256-Calc!F28))+((C2246=TRUE)*(F2246-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2243=TRUE)*F2243*IF(AND(Inputs!$B$39&lt;&gt;"pvp",Inputs!$B$44&gt;0),(((R2243-1)*(Skills!Y15*(1+Inputs!$B$34/100))+MIN((Skills!Y15*(1+Inputs!$B$34/100)),MAX(0,Inputs!$B$44-((R2243-1)*Skills!D15))))/Inputs!$B$44),IF(Inputs!$B$39="pvp",MIN((Skills!Y15*(1+Inputs!$B$34/100)),15)/15,(Skills!Y15*(1+Inputs!$B$34/100))/Skills!D15)))/100)*(1+((C2234=TRUE)*F2234*B2262)/100))*B2270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2233)</f>
        <v/>
      </c>
      <c r="L2233">
        <f>K2233*(MIN(Inputs!$B$22+((C2252=TRUE)*(F2252-Calc!F24)),(Inputs!$B$23+0+(IF(ArtifactsInput!$M$15,CHOOSE(ArtifactsInput!$N$15+1,25,30,35,40,45,50)/100*(Inputs!$B$11-Inputs!$B$11),0))))/100+(Inputs!$B$23+0+(IF(ArtifactsInput!$M$15,CHOOSE(ArtifactsInput!$N$15+1,25,30,35,40,45,50)/100*(Inputs!$B$11-Inputs!$B$11),0)))/100)/2</f>
        <v/>
      </c>
      <c r="M2233">
        <f>L2233*(1+(Inputs!$B$10+((C2254=TRUE)*(F2254-Calc!F26))+B2271+((IF(IF(ArtifactsInput!$M$24,FALSE,TRUE),1,-1)*CHOOSE(ArtifactsInput!$N$24+1,30,36,42,48,54,60)/100*IF(IF(ArtifactsInput!$M$24,FALSE,TRUE),(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$9+Summary!$B$14+Artifacts!$B$5+Artifacts!$B$29)))+IF(ArtifactsInput!$M$10,CHOOSE(ArtifactsInput!$N$10+1,20,24,28,32,36,40)*(IF(Inputs!$B$39="pvp",MIN(15,15)/15,IF(AND(Inputs!$B$39&lt;&gt;"pvp",Inputs!$B$44&gt;0),MIN(15,Inputs!$B$44)/(Inputs!$B$44),0))),0)+IF(ArtifactsInput!$M$31,1.5*CHOOSE(ArtifactsInput!$N$31+1,20,24,28,32,36,40),0)))/100)</f>
        <v/>
      </c>
      <c r="N2233">
        <f>L2233*(1-MIN((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2233*(MIN((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33">
        <f>(1-Summary!$B$11)*T2233+Summary!$B$11*V2233</f>
        <v/>
      </c>
      <c r="P2233">
        <f>IF(B2272=0,0,O2233/B2272)</f>
        <v/>
      </c>
      <c r="Q2233">
        <f>IFERROR(1/IF(Inputs!$B$39="pvp",15,MAX(0.1,Skills!D5-IF(Skills!E5=TRUE,Inputs!$B$32,0))),0)</f>
        <v/>
      </c>
      <c r="R2233">
        <f>IF(AND(Inputs!$B$39&lt;&gt;"pvp",Inputs!$B$44&gt;0),IF(MAX(0,Inputs!$B$44-B2273)&lt;=0,0,(INT(MAX(0,Inputs!$B$44-B2273)/IF(Inputs!$B$39="pvp",15,MAX(0.1,Skills!D5-IF(Skills!E5=TRUE,Inputs!$B$32,0))))+1)),0)</f>
        <v/>
      </c>
      <c r="S2233">
        <f>IFERROR(O2233/N2233,0)</f>
        <v/>
      </c>
      <c r="T2233">
        <f>IF(C2233,(H2233*N2233*IF(AND(Inputs!$B$39&lt;&gt;"pvp",Inputs!$B$44&gt;0),((Skills!G5*((R2233-1)*IF(Skills!H5&gt;0,Skills!I5/Skills!H5,1)+IF(Skills!H5&gt;0,MIN(Skills!I5,MAX(0,MAX(0,Inputs!$B$44-B2273)-((R2233-1)*IF(Inputs!$B$39="pvp",15,MAX(0.1,Skills!D5-IF(Skills!E5=TRUE,Inputs!$B$32,0))))))/Skills!H5,1)))/Inputs!$B$44),G2233*Q2233))*IF(Inputs!$B$39="pvp",1,1+(Inputs!$B$20+((C2255=TRUE)*(F2255-Calc!F27))+Skills!P5+B2269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Hunt"),CHOOSE(ArtifactsInput!$N$35+1,15,18,21,24,27,30)*(1-EXP(-(0.2*B2264)*5)),0)+IF(AND(ArtifactsInput!$M$22,Inputs!$B$4&lt;&gt;"Chapter Hunt"),CHOOSE(ArtifactsInput!$N$22+1,10,12,14,16,18,20)*((0*(((0.15*B2264*5))^0/1)+1*(((0.15*B2264*5))^1/1)+2*(((0.15*B2264*5))^2/2)+3*(((0.15*B2264*5))^3/6)+4*(((0.15*B2264*5))^4/24)+5*(((0.15*B2264*5))^5/120))/((((0.15*B2264*5))^0/1)+(((0.15*B2264*5))^1/1)+(((0.15*B2264*5))^2/2)+(((0.15*B2264*5))^3/6)+(((0.15*B2264*5))^4/24)+(((0.15*B2264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2233*(1-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2233*(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2233*(1-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2233*(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33">
        <f>INDEX(FactorTable!$B$2:$Y$301, MATCH(ROUND(MIN(300,MAX(1,U2232)),0), FactorTable!$A$2:$A$301,0), 22)</f>
        <v/>
      </c>
      <c r="V2233">
        <f>IF(C2233,(H2233*N2233*IF(AND(Inputs!$B$39&lt;&gt;"pvp",Inputs!$B$44&gt;0),((Skills!G5*((R2233-1)*IF(Skills!H5&gt;0,Skills!I5/Skills!H5,1)+IF(Skills!H5&gt;0,MIN(Skills!I5,MAX(0,MAX(0,Inputs!$B$44-B2273)-((R2233-1)*IF(Inputs!$B$39="pvp",15,MAX(0.1,Skills!D5-IF(Skills!E5=TRUE,Inputs!$B$32,0))))))/Skills!H5,1)))/Inputs!$B$44),G2233*Q2233))*IF(Inputs!$B$39="pvp",1,(1+(Inputs!$B$21+Skills!Q5+B2269+(IF(ArtifactsInput!$M$33,CHOOSE(ArtifactsInput!$N$33+1,30,36,42,48,54,60),0))+(IF(AND(ArtifactsInput!$M$35,Inputs!$B$4&lt;&gt;"Chapter Hunt"),CHOOSE(ArtifactsInput!$N$35+1,15,18,21,24,27,30)*(1-EXP(-(0.2*B2264)*5)),0)+IF(AND(ArtifactsInput!$M$22,Inputs!$B$4&lt;&gt;"Chapter Hunt"),CHOOSE(ArtifactsInput!$N$22+1,10,12,14,16,18,20)*((0*(((0.15*B2264*5))^0/1)+1*(((0.15*B2264*5))^1/1)+2*(((0.15*B2264*5))^2/2)+3*(((0.15*B2264*5))^3/6)+4*(((0.15*B2264*5))^4/24)+5*(((0.15*B2264*5))^5/120))/((((0.15*B2264*5))^0/1)+(((0.15*B2264*5))^1/1)+(((0.15*B2264*5))^2/2)+(((0.15*B2264*5))^3/6)+(((0.15*B2264*5))^4/24)+(((0.15*B2264*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34">
      <c r="A2234">
        <f>Skills!A6</f>
        <v/>
      </c>
      <c r="B2234">
        <f>Skills!B6</f>
        <v/>
      </c>
      <c r="C2234">
        <f>Inputs!$B$3&gt;=66</f>
        <v/>
      </c>
      <c r="D2234">
        <f>IF(Skills!C6=1,60+Inputs!$B$25+Inputs!$B$29,IF(Skills!C6=2,90+Inputs!$B$26+Inputs!$B$29,IF(Skills!C6=3,120+Inputs!$B$27+Inputs!$B$29,MAX(0,(Inputs!$B$3-100)*3)+Inputs!$B$28+Inputs!$B$29)))</f>
        <v/>
      </c>
      <c r="E2234">
        <f>INDEX(FactorTable!$B$2:$Y$301, MATCH(ROUND(MIN(300,MAX(1,D2234)),0), FactorTable!$A$2:$A$301,0), Skills!M6+1)</f>
        <v/>
      </c>
      <c r="F2234">
        <f>IF(Skills!N6=TRUE,(Skills!L6/10)*(E2234/1000),Skills!L6/10)+Skills!O6</f>
        <v/>
      </c>
      <c r="G2234">
        <f>Calc!G6</f>
        <v/>
      </c>
      <c r="H2234">
        <f>Calc!H6</f>
        <v/>
      </c>
      <c r="I2234">
        <f>IF(Skills!AA6&lt;&gt;"",1+(Skills!AA6/10)*(U2231/1000)/100,1)</f>
        <v/>
      </c>
      <c r="J2234" t="inlineStr"/>
      <c r="K2234" t="inlineStr"/>
      <c r="L2234" t="inlineStr"/>
      <c r="M2234" t="inlineStr"/>
      <c r="N2234" t="inlineStr"/>
      <c r="O2234">
        <f>(1-Summary!$B$11)*T2234+Summary!$B$11*V2234</f>
        <v/>
      </c>
      <c r="P2234">
        <f>IF(B2272=0,0,O2234/B2272)</f>
        <v/>
      </c>
      <c r="Q2234" t="n">
        <v>0</v>
      </c>
      <c r="R2234" t="n">
        <v>0</v>
      </c>
      <c r="S2234">
        <f>IFERROR(O2234/N2234,0)</f>
        <v/>
      </c>
      <c r="T2234" t="n">
        <v>0</v>
      </c>
      <c r="U2234">
        <f>290*U2233/1000</f>
        <v/>
      </c>
      <c r="V2234" t="n">
        <v>0</v>
      </c>
    </row>
    <row r="2235">
      <c r="A2235">
        <f>Skills!A7</f>
        <v/>
      </c>
      <c r="B2235">
        <f>Skills!B7</f>
        <v/>
      </c>
      <c r="C2235">
        <f>Inputs!$B$3&gt;=66</f>
        <v/>
      </c>
      <c r="D2235">
        <f>IF(Skills!C7=1,60+Inputs!$B$25+Inputs!$B$29,IF(Skills!C7=2,90+Inputs!$B$26+Inputs!$B$29,IF(Skills!C7=3,120+Inputs!$B$27+Inputs!$B$29,MAX(0,(Inputs!$B$3-100)*3)+Inputs!$B$28+Inputs!$B$29)))</f>
        <v/>
      </c>
      <c r="E2235">
        <f>INDEX(FactorTable!$B$2:$Y$301, MATCH(ROUND(MIN(300,MAX(1,D2235)),0), FactorTable!$A$2:$A$301,0), Skills!M7+1)</f>
        <v/>
      </c>
      <c r="F2235">
        <f>IF(Skills!N7=TRUE,(Skills!L7/10)*(E2235/1000),Skills!L7/10)+Skills!O7</f>
        <v/>
      </c>
      <c r="G2235">
        <f>Calc!G7</f>
        <v/>
      </c>
      <c r="H2235">
        <f>Calc!H7</f>
        <v/>
      </c>
      <c r="I2235">
        <f>IF(Skills!AA7&lt;&gt;"",1+(Skills!AA7/10)*(U2231/1000)/100,1)</f>
        <v/>
      </c>
      <c r="J2235" t="inlineStr"/>
      <c r="K2235" t="inlineStr"/>
      <c r="L2235" t="inlineStr"/>
      <c r="M2235" t="inlineStr"/>
      <c r="N2235" t="inlineStr"/>
      <c r="O2235">
        <f>(1-Summary!$B$11)*T2235+Summary!$B$11*V2235</f>
        <v/>
      </c>
      <c r="P2235">
        <f>IF(B2272=0,0,O2235/B2272)</f>
        <v/>
      </c>
      <c r="Q2235" t="n">
        <v>0</v>
      </c>
      <c r="R2235" t="n">
        <v>0</v>
      </c>
      <c r="S2235">
        <f>IFERROR(O2235/N2235,0)</f>
        <v/>
      </c>
      <c r="T2235" t="n">
        <v>0</v>
      </c>
      <c r="V2235" t="n">
        <v>0</v>
      </c>
    </row>
    <row r="2236">
      <c r="A2236">
        <f>Skills!A8</f>
        <v/>
      </c>
      <c r="B2236">
        <f>Skills!B8</f>
        <v/>
      </c>
      <c r="C2236">
        <f>Inputs!$B$3&gt;=69</f>
        <v/>
      </c>
      <c r="D2236">
        <f>IF(Skills!C8=1,60+Inputs!$B$25+Inputs!$B$29,IF(Skills!C8=2,90+Inputs!$B$26+Inputs!$B$29,IF(Skills!C8=3,120+Inputs!$B$27+Inputs!$B$29,MAX(0,(Inputs!$B$3-100)*3)+Inputs!$B$28+Inputs!$B$29)))</f>
        <v/>
      </c>
      <c r="E2236">
        <f>INDEX(FactorTable!$B$2:$Y$301, MATCH(ROUND(MIN(300,MAX(1,D2236)),0), FactorTable!$A$2:$A$301,0), Skills!M8+1)</f>
        <v/>
      </c>
      <c r="F2236">
        <f>IF(Skills!N8=TRUE,(Skills!L8/10)*(E2236/1000),Skills!L8/10)+Skills!O8</f>
        <v/>
      </c>
      <c r="G2236">
        <f>Calc!G8</f>
        <v/>
      </c>
      <c r="H2236">
        <f>Calc!H8</f>
        <v/>
      </c>
      <c r="I2236">
        <f>IF(Skills!AA8&lt;&gt;"",1+(Skills!AA8/10)*(U2231/1000)/100,1)</f>
        <v/>
      </c>
      <c r="J2236">
        <f>((Inputs!$B$6*(1+Inputs!$B$7/100))+(((Inputs!$B$12*(1+Inputs!$B$13/100))-(Inputs!$B$12*(1+Inputs!$B$13/100)))+0.25*(Inputs!$B$14-Inputs!$B$14))*(1+Inputs!$B$7/100))*(F2236/100)</f>
        <v/>
      </c>
      <c r="K2236">
        <f>J2236*(1+((Inputs!$B$12*(1+Inputs!$B$13/100))*0.01+Inputs!$B$14*0.0025)/100)*(1+Inputs!$B$15/100)*(1+Inputs!$B$16/100)*(5000/(6000+Inputs!$B$43*(1-(100*(1-(1-(Inputs!$B$19+0)/100)*(1-CHOOSE(ArtifactsInput!$N$40+1,5,6,7,8,9,10)/100)^(ArtifactsInput!$M$40-ArtifactsInput!$M$40)))/100)))*(1+(Inputs!$B$24+((C2258=TRUE)*(F2258-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2251=TRUE)*(F2251-Calc!F23))+(((IF(AND(ArtifactsInput!$M$42,((Inputs!$B$9+((C2253=TRUE)*(F2253-Calc!F25))+B2268+(IF(ArtifactsInput!$M$24,FALSE,TRUE)-ArtifactsInput!$M$24)*CHOOSE(ArtifactsInput!$N$24+1,10,12,14,16,18,20)+IF(ArtifactsInput!$M$10,CHOOSE(ArtifactsInput!$N$10+1,15,18,21,24,27,30)*(IF(Inputs!$B$39="pvp",MIN(15,15)/15,IF(AND(Inputs!$B$39&lt;&gt;"pvp",Inputs!$B$44&gt;0),MIN(15,Inputs!$B$44)/(Inputs!$B$44),0))),0)))&gt;=100),MIN(100,((Inputs!$B$9+((C2253=TRUE)*(F2253-Calc!F25))+B2268+(IF(ArtifactsInput!$M$24,FALSE,TRUE)-ArtifactsInput!$M$24)*CHOOSE(ArtifactsInput!$N$24+1,10,12,14,16,18,20)+IF(ArtifactsInput!$M$10,CHOOSE(ArtifactsInput!$N$10+1,15,18,21,24,27,30)*(IF(Inputs!$B$39="pvp",MIN(15,15)/15,IF(AND(Inputs!$B$39&lt;&gt;"pvp",Inputs!$B$44&gt;0),MIN(15,Inputs!$B$44)/(Inputs!$B$44),0))),0)))-100),0))*CHOOSE(ArtifactsInput!$N$42+1,0.6,0.72,0.84,0.96,1.08,1.2))),Inputs!$B$18+((C2257=TRUE)*(F2257-Calc!F29))+(IF(AND(ArtifactsInput!$M$42,((Inputs!$B$9+((C2253=TRUE)*(F2253-Calc!F25))+B2268+(IF(ArtifactsInput!$M$24,FALSE,TRUE)-ArtifactsInput!$M$24)*CHOOSE(ArtifactsInput!$N$24+1,10,12,14,16,18,20)+IF(ArtifactsInput!$M$10,CHOOSE(ArtifactsInput!$N$10+1,15,18,21,24,27,30)*(IF(Inputs!$B$39="pvp",MIN(15,15)/15,IF(AND(Inputs!$B$39&lt;&gt;"pvp",Inputs!$B$44&gt;0),MIN(15,Inputs!$B$44)/(Inputs!$B$44),0))),0)))&gt;=100),CHOOSE(ArtifactsInput!$N$42+1,40,48,56,64,72,80),0))))/100)*(((1+(((C2249=TRUE)*F2249*IF(AND(Inputs!$B$39&lt;&gt;"pvp",Inputs!$B$44&gt;0),(((R2249-1)*(Skills!Y21*(1+Inputs!$B$34/100))+MIN((Skills!Y21*(1+Inputs!$B$34/100)),MAX(0,Inputs!$B$44-((R2249-1)*Skills!D21))))/Inputs!$B$44),IF(Inputs!$B$39="pvp",MIN((Skills!Y21*(1+Inputs!$B$34/100)),15)/15,(Skills!Y21*(1+Inputs!$B$34/100))/Skills!D21)))+((C2256=TRUE)*(F2256-Calc!F28))+((C2246=TRUE)*(F2246-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2243=TRUE)*F2243*IF(AND(Inputs!$B$39&lt;&gt;"pvp",Inputs!$B$44&gt;0),(((R2243-1)*(Skills!Y15*(1+Inputs!$B$34/100))+MIN((Skills!Y15*(1+Inputs!$B$34/100)),MAX(0,Inputs!$B$44-((R2243-1)*Skills!D15))))/Inputs!$B$44),IF(Inputs!$B$39="pvp",MIN((Skills!Y15*(1+Inputs!$B$34/100)),15)/15,(Skills!Y15*(1+Inputs!$B$34/100))/Skills!D15)))/100)*(1+((C2234=TRUE)*F2234*B2262)/100))*B2270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2236)</f>
        <v/>
      </c>
      <c r="L2236">
        <f>K2236*(MIN(Inputs!$B$22+((C2252=TRUE)*(F2252-Calc!F24)),(Inputs!$B$23+0+(IF(ArtifactsInput!$M$15,CHOOSE(ArtifactsInput!$N$15+1,25,30,35,40,45,50)/100*(Inputs!$B$11-Inputs!$B$11),0))))/100+(Inputs!$B$23+0+(IF(ArtifactsInput!$M$15,CHOOSE(ArtifactsInput!$N$15+1,25,30,35,40,45,50)/100*(Inputs!$B$11-Inputs!$B$11),0)))/100)/2</f>
        <v/>
      </c>
      <c r="M2236">
        <f>L2236*(1+(Inputs!$B$10+((C2254=TRUE)*(F2254-Calc!F26))+B2271+((IF(IF(ArtifactsInput!$M$24,FALSE,TRUE),1,-1)*CHOOSE(ArtifactsInput!$N$24+1,30,36,42,48,54,60)/100*IF(IF(ArtifactsInput!$M$24,FALSE,TRUE),(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$9+Summary!$B$14+Artifacts!$B$5+Artifacts!$B$29)))+IF(ArtifactsInput!$M$10,CHOOSE(ArtifactsInput!$N$10+1,20,24,28,32,36,40)*(IF(Inputs!$B$39="pvp",MIN(15,15)/15,IF(AND(Inputs!$B$39&lt;&gt;"pvp",Inputs!$B$44&gt;0),MIN(15,Inputs!$B$44)/(Inputs!$B$44),0))),0)+IF(ArtifactsInput!$M$31,1.5*CHOOSE(ArtifactsInput!$N$31+1,20,24,28,32,36,40),0)))/100)</f>
        <v/>
      </c>
      <c r="N2236">
        <f>L2236*(1-MIN((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2236*(MIN((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36">
        <f>(1-Summary!$B$11)*T2236+Summary!$B$11*V2236</f>
        <v/>
      </c>
      <c r="P2236">
        <f>IF(B2272=0,0,O2236/B2272)</f>
        <v/>
      </c>
      <c r="Q2236">
        <f>IFERROR(1/IF(Inputs!$B$39="pvp",15,MAX(0.1,Skills!D8-IF(Skills!E8=TRUE,Inputs!$B$32,0))),0)</f>
        <v/>
      </c>
      <c r="R2236">
        <f>IF(AND(Inputs!$B$39&lt;&gt;"pvp",Inputs!$B$44&gt;0),IF(MAX(0,Inputs!$B$44-B2273)&lt;=0,0,(INT(MAX(0,Inputs!$B$44-B2273)/IF(Inputs!$B$39="pvp",15,MAX(0.1,Skills!D8-IF(Skills!E8=TRUE,Inputs!$B$32,0))))+1)),0)</f>
        <v/>
      </c>
      <c r="S2236">
        <f>IFERROR(O2236/N2236,0)</f>
        <v/>
      </c>
      <c r="T2236">
        <f>IF(C2236,(H2236*N2236*IF(AND(Inputs!$B$39&lt;&gt;"pvp",Inputs!$B$44&gt;0),((Skills!G8*((R2236-1)*IF(Skills!H8&gt;0,Skills!I8/Skills!H8,1)+IF(Skills!H8&gt;0,MIN(Skills!I8,MAX(0,MAX(0,Inputs!$B$44-B2273)-((R2236-1)*IF(Inputs!$B$39="pvp",15,MAX(0.1,Skills!D8-IF(Skills!E8=TRUE,Inputs!$B$32,0))))))/Skills!H8,1)))/Inputs!$B$44),G2236*Q2236))*IF(Inputs!$B$39="pvp",1,1+(Inputs!$B$20+((C2255=TRUE)*(F2255-Calc!F27))+Skills!P8+B2269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Hunt"),CHOOSE(ArtifactsInput!$N$35+1,15,18,21,24,27,30)*(1-EXP(-(0.2*B2264)*5)),0)+IF(AND(ArtifactsInput!$M$22,Inputs!$B$4&lt;&gt;"Chapter Hunt"),CHOOSE(ArtifactsInput!$N$22+1,10,12,14,16,18,20)*((0*(((0.15*B2264*5))^0/1)+1*(((0.15*B2264*5))^1/1)+2*(((0.15*B2264*5))^2/2)+3*(((0.15*B2264*5))^3/6)+4*(((0.15*B2264*5))^4/24)+5*(((0.15*B2264*5))^5/120))/((((0.15*B2264*5))^0/1)+(((0.15*B2264*5))^1/1)+(((0.15*B2264*5))^2/2)+(((0.15*B2264*5))^3/6)+(((0.15*B2264*5))^4/24)+(((0.15*B2264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2236*(1-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2236*(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2236*(1-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2236*(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36">
        <f>IF(C2236,(H2236*N2236*IF(AND(Inputs!$B$39&lt;&gt;"pvp",Inputs!$B$44&gt;0),((Skills!G8*((R2236-1)*IF(Skills!H8&gt;0,Skills!I8/Skills!H8,1)+IF(Skills!H8&gt;0,MIN(Skills!I8,MAX(0,MAX(0,Inputs!$B$44-B2273)-((R2236-1)*IF(Inputs!$B$39="pvp",15,MAX(0.1,Skills!D8-IF(Skills!E8=TRUE,Inputs!$B$32,0))))))/Skills!H8,1)))/Inputs!$B$44),G2236*Q2236))*IF(Inputs!$B$39="pvp",1,(1+(Inputs!$B$21+Skills!Q8+B2269+(IF(ArtifactsInput!$M$33,CHOOSE(ArtifactsInput!$N$33+1,30,36,42,48,54,60),0))+(IF(AND(ArtifactsInput!$M$35,Inputs!$B$4&lt;&gt;"Chapter Hunt"),CHOOSE(ArtifactsInput!$N$35+1,15,18,21,24,27,30)*(1-EXP(-(0.2*B2264)*5)),0)+IF(AND(ArtifactsInput!$M$22,Inputs!$B$4&lt;&gt;"Chapter Hunt"),CHOOSE(ArtifactsInput!$N$22+1,10,12,14,16,18,20)*((0*(((0.15*B2264*5))^0/1)+1*(((0.15*B2264*5))^1/1)+2*(((0.15*B2264*5))^2/2)+3*(((0.15*B2264*5))^3/6)+4*(((0.15*B2264*5))^4/24)+5*(((0.15*B2264*5))^5/120))/((((0.15*B2264*5))^0/1)+(((0.15*B2264*5))^1/1)+(((0.15*B2264*5))^2/2)+(((0.15*B2264*5))^3/6)+(((0.15*B2264*5))^4/24)+(((0.15*B2264*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37">
      <c r="A2237">
        <f>Skills!A9</f>
        <v/>
      </c>
      <c r="B2237">
        <f>Skills!B9</f>
        <v/>
      </c>
      <c r="C2237">
        <f>Inputs!$B$3&gt;=72</f>
        <v/>
      </c>
      <c r="D2237">
        <f>IF(Skills!C9=1,60+Inputs!$B$25+Inputs!$B$29,IF(Skills!C9=2,90+Inputs!$B$26+Inputs!$B$29,IF(Skills!C9=3,120+Inputs!$B$27+Inputs!$B$29,MAX(0,(Inputs!$B$3-100)*3)+Inputs!$B$28+Inputs!$B$29)))</f>
        <v/>
      </c>
      <c r="E2237">
        <f>INDEX(FactorTable!$B$2:$Y$301, MATCH(ROUND(MIN(300,MAX(1,D2237)),0), FactorTable!$A$2:$A$301,0), Skills!M9+1)</f>
        <v/>
      </c>
      <c r="F2237">
        <f>IF(Skills!N9=TRUE,(Skills!L9/10)*(E2237/1000),Skills!L9/10)+Skills!O9</f>
        <v/>
      </c>
      <c r="G2237">
        <f>Calc!G9</f>
        <v/>
      </c>
      <c r="H2237">
        <f>Calc!H9</f>
        <v/>
      </c>
      <c r="I2237">
        <f>IF(Skills!AA9&lt;&gt;"",1+(Skills!AA9/10)*(U2231/1000)/100,1)</f>
        <v/>
      </c>
      <c r="J2237">
        <f>((Inputs!$B$6*(1+Inputs!$B$7/100))+(((Inputs!$B$12*(1+Inputs!$B$13/100))-(Inputs!$B$12*(1+Inputs!$B$13/100)))+0.25*(Inputs!$B$14-Inputs!$B$14))*(1+Inputs!$B$7/100))*(F2237/100)</f>
        <v/>
      </c>
      <c r="K2237">
        <f>J2237*(1+((Inputs!$B$12*(1+Inputs!$B$13/100))*0.01+Inputs!$B$14*0.0025)/100)*(1+Inputs!$B$15/100)*(1+Inputs!$B$16/100)*(5000/(6000+Inputs!$B$43*(1-(100*(1-(1-(Inputs!$B$19+0)/100)*(1-CHOOSE(ArtifactsInput!$N$40+1,5,6,7,8,9,10)/100)^(ArtifactsInput!$M$40-ArtifactsInput!$M$40)))/100)))*(1+(Inputs!$B$24+((C2258=TRUE)*(F2258-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2251=TRUE)*(F2251-Calc!F23))+(((IF(AND(ArtifactsInput!$M$42,((Inputs!$B$9+((C2253=TRUE)*(F2253-Calc!F25))+B2268+(IF(ArtifactsInput!$M$24,FALSE,TRUE)-ArtifactsInput!$M$24)*CHOOSE(ArtifactsInput!$N$24+1,10,12,14,16,18,20)+IF(ArtifactsInput!$M$10,CHOOSE(ArtifactsInput!$N$10+1,15,18,21,24,27,30)*(IF(Inputs!$B$39="pvp",MIN(15,15)/15,IF(AND(Inputs!$B$39&lt;&gt;"pvp",Inputs!$B$44&gt;0),MIN(15,Inputs!$B$44)/(Inputs!$B$44),0))),0)))&gt;=100),MIN(100,((Inputs!$B$9+((C2253=TRUE)*(F2253-Calc!F25))+B2268+(IF(ArtifactsInput!$M$24,FALSE,TRUE)-ArtifactsInput!$M$24)*CHOOSE(ArtifactsInput!$N$24+1,10,12,14,16,18,20)+IF(ArtifactsInput!$M$10,CHOOSE(ArtifactsInput!$N$10+1,15,18,21,24,27,30)*(IF(Inputs!$B$39="pvp",MIN(15,15)/15,IF(AND(Inputs!$B$39&lt;&gt;"pvp",Inputs!$B$44&gt;0),MIN(15,Inputs!$B$44)/(Inputs!$B$44),0))),0)))-100),0))*CHOOSE(ArtifactsInput!$N$42+1,0.6,0.72,0.84,0.96,1.08,1.2))),Inputs!$B$18+((C2257=TRUE)*(F2257-Calc!F29))+(IF(AND(ArtifactsInput!$M$42,((Inputs!$B$9+((C2253=TRUE)*(F2253-Calc!F25))+B2268+(IF(ArtifactsInput!$M$24,FALSE,TRUE)-ArtifactsInput!$M$24)*CHOOSE(ArtifactsInput!$N$24+1,10,12,14,16,18,20)+IF(ArtifactsInput!$M$10,CHOOSE(ArtifactsInput!$N$10+1,15,18,21,24,27,30)*(IF(Inputs!$B$39="pvp",MIN(15,15)/15,IF(AND(Inputs!$B$39&lt;&gt;"pvp",Inputs!$B$44&gt;0),MIN(15,Inputs!$B$44)/(Inputs!$B$44),0))),0)))&gt;=100),CHOOSE(ArtifactsInput!$N$42+1,40,48,56,64,72,80),0))))/100)*(((1+(((C2249=TRUE)*F2249*IF(AND(Inputs!$B$39&lt;&gt;"pvp",Inputs!$B$44&gt;0),(((R2249-1)*(Skills!Y21*(1+Inputs!$B$34/100))+MIN((Skills!Y21*(1+Inputs!$B$34/100)),MAX(0,Inputs!$B$44-((R2249-1)*Skills!D21))))/Inputs!$B$44),IF(Inputs!$B$39="pvp",MIN((Skills!Y21*(1+Inputs!$B$34/100)),15)/15,(Skills!Y21*(1+Inputs!$B$34/100))/Skills!D21)))+((C2256=TRUE)*(F2256-Calc!F28))+((C2246=TRUE)*(F2246-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2243=TRUE)*F2243*IF(AND(Inputs!$B$39&lt;&gt;"pvp",Inputs!$B$44&gt;0),(((R2243-1)*(Skills!Y15*(1+Inputs!$B$34/100))+MIN((Skills!Y15*(1+Inputs!$B$34/100)),MAX(0,Inputs!$B$44-((R2243-1)*Skills!D15))))/Inputs!$B$44),IF(Inputs!$B$39="pvp",MIN((Skills!Y15*(1+Inputs!$B$34/100)),15)/15,(Skills!Y15*(1+Inputs!$B$34/100))/Skills!D15)))/100)*(1+((C2234=TRUE)*F2234*B2262)/100))*B2270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2237)</f>
        <v/>
      </c>
      <c r="L2237">
        <f>K2237*(MIN(Inputs!$B$22+((C2252=TRUE)*(F2252-Calc!F24)),(Inputs!$B$23+0+(IF(ArtifactsInput!$M$15,CHOOSE(ArtifactsInput!$N$15+1,25,30,35,40,45,50)/100*(Inputs!$B$11-Inputs!$B$11),0))))/100+(Inputs!$B$23+0+(IF(ArtifactsInput!$M$15,CHOOSE(ArtifactsInput!$N$15+1,25,30,35,40,45,50)/100*(Inputs!$B$11-Inputs!$B$11),0)))/100)/2</f>
        <v/>
      </c>
      <c r="M2237">
        <f>L2237*(1+(Inputs!$B$10+((C2254=TRUE)*(F2254-Calc!F26))+B2271+((IF(IF(ArtifactsInput!$M$24,FALSE,TRUE),1,-1)*CHOOSE(ArtifactsInput!$N$24+1,30,36,42,48,54,60)/100*IF(IF(ArtifactsInput!$M$24,FALSE,TRUE),(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$9+Summary!$B$14+Artifacts!$B$5+Artifacts!$B$29)))+IF(ArtifactsInput!$M$10,CHOOSE(ArtifactsInput!$N$10+1,20,24,28,32,36,40)*(IF(Inputs!$B$39="pvp",MIN(15,15)/15,IF(AND(Inputs!$B$39&lt;&gt;"pvp",Inputs!$B$44&gt;0),MIN(15,Inputs!$B$44)/(Inputs!$B$44),0))),0)+IF(ArtifactsInput!$M$31,1.5*CHOOSE(ArtifactsInput!$N$31+1,20,24,28,32,36,40),0)))/100)</f>
        <v/>
      </c>
      <c r="N2237">
        <f>L2237*(1-MIN((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2237*(MIN((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37">
        <f>(1-Summary!$B$11)*T2237+Summary!$B$11*V2237</f>
        <v/>
      </c>
      <c r="P2237">
        <f>IF(B2272=0,0,O2237/B2272)</f>
        <v/>
      </c>
      <c r="Q2237">
        <f>IFERROR(1/IF(Inputs!$B$39="pvp",15,MAX(0.1,Skills!D9-IF(Skills!E9=TRUE,Inputs!$B$32,0))),0)</f>
        <v/>
      </c>
      <c r="R2237">
        <f>IF(AND(Inputs!$B$39&lt;&gt;"pvp",Inputs!$B$44&gt;0),IF(MAX(0,Inputs!$B$44-B2273)&lt;=0,0,(INT(MAX(0,Inputs!$B$44-B2273)/IF(Inputs!$B$39="pvp",15,MAX(0.1,Skills!D9-IF(Skills!E9=TRUE,Inputs!$B$32,0))))+1)),0)</f>
        <v/>
      </c>
      <c r="S2237">
        <f>IFERROR(O2237/N2237,0)</f>
        <v/>
      </c>
      <c r="T2237">
        <f>IF(C2237,(H2237*N2237*IF(AND(Inputs!$B$39&lt;&gt;"pvp",Inputs!$B$44&gt;0),((Skills!G9*((R2237-1)*IF(Skills!H9&gt;0,Skills!I9/Skills!H9,1)+IF(Skills!H9&gt;0,MIN(Skills!I9,MAX(0,MAX(0,Inputs!$B$44-B2273)-((R2237-1)*IF(Inputs!$B$39="pvp",15,MAX(0.1,Skills!D9-IF(Skills!E9=TRUE,Inputs!$B$32,0))))))/Skills!H9,1)))/Inputs!$B$44),G2237*Q2237))*IF(Inputs!$B$39="pvp",1,1+(Inputs!$B$20+((C2255=TRUE)*(F2255-Calc!F27))+Skills!P9+B2269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Hunt"),CHOOSE(ArtifactsInput!$N$35+1,15,18,21,24,27,30)*(1-EXP(-(0.2*B2264)*5)),0)+IF(AND(ArtifactsInput!$M$22,Inputs!$B$4&lt;&gt;"Chapter Hunt"),CHOOSE(ArtifactsInput!$N$22+1,10,12,14,16,18,20)*((0*(((0.15*B2264*5))^0/1)+1*(((0.15*B2264*5))^1/1)+2*(((0.15*B2264*5))^2/2)+3*(((0.15*B2264*5))^3/6)+4*(((0.15*B2264*5))^4/24)+5*(((0.15*B2264*5))^5/120))/((((0.15*B2264*5))^0/1)+(((0.15*B2264*5))^1/1)+(((0.15*B2264*5))^2/2)+(((0.15*B2264*5))^3/6)+(((0.15*B2264*5))^4/24)+(((0.15*B2264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2237*(1-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2237*(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2237*(1-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2237*(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37">
        <f>IF(C2237,(H2237*N2237*IF(AND(Inputs!$B$39&lt;&gt;"pvp",Inputs!$B$44&gt;0),((Skills!G9*((R2237-1)*IF(Skills!H9&gt;0,Skills!I9/Skills!H9,1)+IF(Skills!H9&gt;0,MIN(Skills!I9,MAX(0,MAX(0,Inputs!$B$44-B2273)-((R2237-1)*IF(Inputs!$B$39="pvp",15,MAX(0.1,Skills!D9-IF(Skills!E9=TRUE,Inputs!$B$32,0))))))/Skills!H9,1)))/Inputs!$B$44),G2237*Q2237))*IF(Inputs!$B$39="pvp",1,(1+(Inputs!$B$21+Skills!Q9+B2269+(IF(ArtifactsInput!$M$33,CHOOSE(ArtifactsInput!$N$33+1,30,36,42,48,54,60),0))+(IF(AND(ArtifactsInput!$M$35,Inputs!$B$4&lt;&gt;"Chapter Hunt"),CHOOSE(ArtifactsInput!$N$35+1,15,18,21,24,27,30)*(1-EXP(-(0.2*B2264)*5)),0)+IF(AND(ArtifactsInput!$M$22,Inputs!$B$4&lt;&gt;"Chapter Hunt"),CHOOSE(ArtifactsInput!$N$22+1,10,12,14,16,18,20)*((0*(((0.15*B2264*5))^0/1)+1*(((0.15*B2264*5))^1/1)+2*(((0.15*B2264*5))^2/2)+3*(((0.15*B2264*5))^3/6)+4*(((0.15*B2264*5))^4/24)+5*(((0.15*B2264*5))^5/120))/((((0.15*B2264*5))^0/1)+(((0.15*B2264*5))^1/1)+(((0.15*B2264*5))^2/2)+(((0.15*B2264*5))^3/6)+(((0.15*B2264*5))^4/24)+(((0.15*B2264*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38">
      <c r="A2238">
        <f>Skills!A10</f>
        <v/>
      </c>
      <c r="B2238">
        <f>Skills!B10</f>
        <v/>
      </c>
      <c r="C2238">
        <f>Inputs!$B$3&gt;=117</f>
        <v/>
      </c>
      <c r="D2238">
        <f>IF(Skills!C10=1,60+Inputs!$B$25+Inputs!$B$29,IF(Skills!C10=2,90+Inputs!$B$26+Inputs!$B$29,IF(Skills!C10=3,120+Inputs!$B$27+Inputs!$B$29,MAX(0,(Inputs!$B$3-100)*3)+Inputs!$B$28+Inputs!$B$29)))</f>
        <v/>
      </c>
      <c r="E2238">
        <f>INDEX(FactorTable!$B$2:$Y$301, MATCH(ROUND(MIN(300,MAX(1,D2238)),0), FactorTable!$A$2:$A$301,0), Skills!M10+1)</f>
        <v/>
      </c>
      <c r="F2238">
        <f>IF(Skills!N10=TRUE,(Skills!L10/10)*(E2238/1000),Skills!L10/10)+Skills!O10</f>
        <v/>
      </c>
      <c r="G2238">
        <f>Calc!G10</f>
        <v/>
      </c>
      <c r="H2238">
        <f>Calc!H10</f>
        <v/>
      </c>
      <c r="I2238">
        <f>IF(Skills!AA10&lt;&gt;"",1+(Skills!AA10/10)*(U2231/1000)/100,1)</f>
        <v/>
      </c>
      <c r="J2238">
        <f>((Inputs!$B$6*(1+Inputs!$B$7/100))+(((Inputs!$B$12*(1+Inputs!$B$13/100))-(Inputs!$B$12*(1+Inputs!$B$13/100)))+0.25*(Inputs!$B$14-Inputs!$B$14))*(1+Inputs!$B$7/100))*(F2238/100)</f>
        <v/>
      </c>
      <c r="K2238">
        <f>J2238*(1+((Inputs!$B$12*(1+Inputs!$B$13/100))*0.01+Inputs!$B$14*0.0025)/100)*(1+Inputs!$B$15/100)*(1+Inputs!$B$16/100)*(5000/(6000+Inputs!$B$43*(1-(100*(1-(1-(Inputs!$B$19+0)/100)*(1-CHOOSE(ArtifactsInput!$N$40+1,5,6,7,8,9,10)/100)^(ArtifactsInput!$M$40-ArtifactsInput!$M$40)))/100)))*(1+(Inputs!$B$24+((C2258=TRUE)*(F2258-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2251=TRUE)*(F2251-Calc!F23))+(((IF(AND(ArtifactsInput!$M$42,((Inputs!$B$9+((C2253=TRUE)*(F2253-Calc!F25))+B2268+(IF(ArtifactsInput!$M$24,FALSE,TRUE)-ArtifactsInput!$M$24)*CHOOSE(ArtifactsInput!$N$24+1,10,12,14,16,18,20)+IF(ArtifactsInput!$M$10,CHOOSE(ArtifactsInput!$N$10+1,15,18,21,24,27,30)*(IF(Inputs!$B$39="pvp",MIN(15,15)/15,IF(AND(Inputs!$B$39&lt;&gt;"pvp",Inputs!$B$44&gt;0),MIN(15,Inputs!$B$44)/(Inputs!$B$44),0))),0)))&gt;=100),MIN(100,((Inputs!$B$9+((C2253=TRUE)*(F2253-Calc!F25))+B2268+(IF(ArtifactsInput!$M$24,FALSE,TRUE)-ArtifactsInput!$M$24)*CHOOSE(ArtifactsInput!$N$24+1,10,12,14,16,18,20)+IF(ArtifactsInput!$M$10,CHOOSE(ArtifactsInput!$N$10+1,15,18,21,24,27,30)*(IF(Inputs!$B$39="pvp",MIN(15,15)/15,IF(AND(Inputs!$B$39&lt;&gt;"pvp",Inputs!$B$44&gt;0),MIN(15,Inputs!$B$44)/(Inputs!$B$44),0))),0)))-100),0))*CHOOSE(ArtifactsInput!$N$42+1,0.6,0.72,0.84,0.96,1.08,1.2))),Inputs!$B$18+((C2257=TRUE)*(F2257-Calc!F29))+(IF(AND(ArtifactsInput!$M$42,((Inputs!$B$9+((C2253=TRUE)*(F2253-Calc!F25))+B2268+(IF(ArtifactsInput!$M$24,FALSE,TRUE)-ArtifactsInput!$M$24)*CHOOSE(ArtifactsInput!$N$24+1,10,12,14,16,18,20)+IF(ArtifactsInput!$M$10,CHOOSE(ArtifactsInput!$N$10+1,15,18,21,24,27,30)*(IF(Inputs!$B$39="pvp",MIN(15,15)/15,IF(AND(Inputs!$B$39&lt;&gt;"pvp",Inputs!$B$44&gt;0),MIN(15,Inputs!$B$44)/(Inputs!$B$44),0))),0)))&gt;=100),CHOOSE(ArtifactsInput!$N$42+1,40,48,56,64,72,80),0))))/100)*(((1+(((C2249=TRUE)*F2249*IF(AND(Inputs!$B$39&lt;&gt;"pvp",Inputs!$B$44&gt;0),(((R2249-1)*(Skills!Y21*(1+Inputs!$B$34/100))+MIN((Skills!Y21*(1+Inputs!$B$34/100)),MAX(0,Inputs!$B$44-((R2249-1)*Skills!D21))))/Inputs!$B$44),IF(Inputs!$B$39="pvp",MIN((Skills!Y21*(1+Inputs!$B$34/100)),15)/15,(Skills!Y21*(1+Inputs!$B$34/100))/Skills!D21)))+((C2256=TRUE)*(F2256-Calc!F28))+((C2246=TRUE)*(F2246-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2243=TRUE)*F2243*IF(AND(Inputs!$B$39&lt;&gt;"pvp",Inputs!$B$44&gt;0),(((R2243-1)*(Skills!Y15*(1+Inputs!$B$34/100))+MIN((Skills!Y15*(1+Inputs!$B$34/100)),MAX(0,Inputs!$B$44-((R2243-1)*Skills!D15))))/Inputs!$B$44),IF(Inputs!$B$39="pvp",MIN((Skills!Y15*(1+Inputs!$B$34/100)),15)/15,(Skills!Y15*(1+Inputs!$B$34/100))/Skills!D15)))/100)*(1+((C2234=TRUE)*F2234*B2262)/100))*B2270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2238)</f>
        <v/>
      </c>
      <c r="L2238">
        <f>K2238*(MIN(Inputs!$B$22+((C2252=TRUE)*(F2252-Calc!F24)),(Inputs!$B$23+0+(IF(ArtifactsInput!$M$15,CHOOSE(ArtifactsInput!$N$15+1,25,30,35,40,45,50)/100*(Inputs!$B$11-Inputs!$B$11),0))))/100+(Inputs!$B$23+0+(IF(ArtifactsInput!$M$15,CHOOSE(ArtifactsInput!$N$15+1,25,30,35,40,45,50)/100*(Inputs!$B$11-Inputs!$B$11),0)))/100)/2</f>
        <v/>
      </c>
      <c r="M2238">
        <f>L2238*(1+(Inputs!$B$10+((C2254=TRUE)*(F2254-Calc!F26))+B2271+((IF(IF(ArtifactsInput!$M$24,FALSE,TRUE),1,-1)*CHOOSE(ArtifactsInput!$N$24+1,30,36,42,48,54,60)/100*IF(IF(ArtifactsInput!$M$24,FALSE,TRUE),(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$9+Summary!$B$14+Artifacts!$B$5+Artifacts!$B$29)))+IF(ArtifactsInput!$M$10,CHOOSE(ArtifactsInput!$N$10+1,20,24,28,32,36,40)*(IF(Inputs!$B$39="pvp",MIN(15,15)/15,IF(AND(Inputs!$B$39&lt;&gt;"pvp",Inputs!$B$44&gt;0),MIN(15,Inputs!$B$44)/(Inputs!$B$44),0))),0)+IF(ArtifactsInput!$M$31,1.5*CHOOSE(ArtifactsInput!$N$31+1,20,24,28,32,36,40),0)))/100)</f>
        <v/>
      </c>
      <c r="N2238">
        <f>L2238*(1-MIN((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2238*(MIN((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38">
        <f>(1-Summary!$B$11)*T2238+Summary!$B$11*V2238</f>
        <v/>
      </c>
      <c r="P2238">
        <f>IF(B2272=0,0,O2238/B2272)</f>
        <v/>
      </c>
      <c r="Q2238" t="n">
        <v>0</v>
      </c>
      <c r="R2238" t="n">
        <v>0</v>
      </c>
      <c r="S2238" t="n">
        <v>0</v>
      </c>
      <c r="T2238">
        <f>IF(C2238,(0.2*SUMPRODUCT((Skills!Z2:Z31=TRUE)*(C2230:C2259=TRUE)*S2230:S2259)*N2238)*IF(Inputs!$B$39="pvp",1,1+(Inputs!$B$20+((C2255=TRUE)*(F2255-Calc!F27))+Skills!P10+B2269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Hunt"),CHOOSE(ArtifactsInput!$N$35+1,15,18,21,24,27,30)*(1-EXP(-(0.2*B2264)*5)),0)+IF(AND(ArtifactsInput!$M$22,Inputs!$B$4&lt;&gt;"Chapter Hunt"),CHOOSE(ArtifactsInput!$N$22+1,10,12,14,16,18,20)*((0*(((0.15*B2264*5))^0/1)+1*(((0.15*B2264*5))^1/1)+2*(((0.15*B2264*5))^2/2)+3*(((0.15*B2264*5))^3/6)+4*(((0.15*B2264*5))^4/24)+5*(((0.15*B2264*5))^5/120))/((((0.15*B2264*5))^0/1)+(((0.15*B2264*5))^1/1)+(((0.15*B2264*5))^2/2)+(((0.15*B2264*5))^3/6)+(((0.15*B2264*5))^4/24)+(((0.15*B2264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2238*(1-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2238*(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2238*(1-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2238*(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38">
        <f>IF(C2238,(0.2*SUMPRODUCT((Skills!Z2:Z31=TRUE)*(C2230:C2259=TRUE)*S2230:S2259)*N2238)*IF(Inputs!$B$39="pvp",1,(1+(Inputs!$B$21+Skills!Q10+B2269+(IF(ArtifactsInput!$M$33,CHOOSE(ArtifactsInput!$N$33+1,30,36,42,48,54,60),0))+(IF(AND(ArtifactsInput!$M$35,Inputs!$B$4&lt;&gt;"Chapter Hunt"),CHOOSE(ArtifactsInput!$N$35+1,15,18,21,24,27,30)*(1-EXP(-(0.2*B2264)*5)),0)+IF(AND(ArtifactsInput!$M$22,Inputs!$B$4&lt;&gt;"Chapter Hunt"),CHOOSE(ArtifactsInput!$N$22+1,10,12,14,16,18,20)*((0*(((0.15*B2264*5))^0/1)+1*(((0.15*B2264*5))^1/1)+2*(((0.15*B2264*5))^2/2)+3*(((0.15*B2264*5))^3/6)+4*(((0.15*B2264*5))^4/24)+5*(((0.15*B2264*5))^5/120))/((((0.15*B2264*5))^0/1)+(((0.15*B2264*5))^1/1)+(((0.15*B2264*5))^2/2)+(((0.15*B2264*5))^3/6)+(((0.15*B2264*5))^4/24)+(((0.15*B2264*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39">
      <c r="A2239">
        <f>Skills!A11</f>
        <v/>
      </c>
      <c r="B2239">
        <f>Skills!B11</f>
        <v/>
      </c>
      <c r="C2239">
        <f>Inputs!$B$3&gt;=60</f>
        <v/>
      </c>
      <c r="D2239">
        <f>IF(Skills!C11=1,60+Inputs!$B$25+Inputs!$B$29,IF(Skills!C11=2,90+Inputs!$B$26+Inputs!$B$29,IF(Skills!C11=3,120+Inputs!$B$27+Inputs!$B$29,MAX(0,(Inputs!$B$3-100)*3)+Inputs!$B$28+Inputs!$B$29)))</f>
        <v/>
      </c>
      <c r="E2239">
        <f>INDEX(FactorTable!$B$2:$Y$301, MATCH(ROUND(MIN(300,MAX(1,D2239)),0), FactorTable!$A$2:$A$301,0), Skills!M11+1)</f>
        <v/>
      </c>
      <c r="F2239">
        <f>IF(Skills!N11=TRUE,(Skills!L11/10)*(E2239/1000),Skills!L11/10)+Skills!O11</f>
        <v/>
      </c>
      <c r="G2239">
        <f>Calc!G11</f>
        <v/>
      </c>
      <c r="H2239">
        <f>Calc!H11</f>
        <v/>
      </c>
      <c r="I2239">
        <f>IF(Skills!AA11&lt;&gt;"",1+(Skills!AA11/10)*(U2231/1000)/100,1)</f>
        <v/>
      </c>
      <c r="J2239" t="inlineStr"/>
      <c r="K2239" t="inlineStr"/>
      <c r="L2239" t="inlineStr"/>
      <c r="M2239" t="inlineStr"/>
      <c r="N2239" t="inlineStr"/>
      <c r="O2239">
        <f>(1-Summary!$B$11)*T2239+Summary!$B$11*V2239</f>
        <v/>
      </c>
      <c r="P2239">
        <f>IF(B2272=0,0,O2239/B2272)</f>
        <v/>
      </c>
      <c r="Q2239" t="n">
        <v>0</v>
      </c>
      <c r="R2239" t="n">
        <v>0</v>
      </c>
      <c r="S2239">
        <f>IFERROR(O2239/N2239,0)</f>
        <v/>
      </c>
      <c r="T2239" t="n">
        <v>0</v>
      </c>
      <c r="V2239" t="n">
        <v>0</v>
      </c>
    </row>
    <row r="2240">
      <c r="A2240">
        <f>Skills!A12</f>
        <v/>
      </c>
      <c r="B2240">
        <f>Skills!B12</f>
        <v/>
      </c>
      <c r="C2240">
        <f>Inputs!$B$3&gt;=103</f>
        <v/>
      </c>
      <c r="D2240">
        <f>IF(Skills!C12=1,60+Inputs!$B$25+Inputs!$B$29,IF(Skills!C12=2,90+Inputs!$B$26+Inputs!$B$29,IF(Skills!C12=3,120+Inputs!$B$27+Inputs!$B$29,MAX(0,(Inputs!$B$3-100)*3)+Inputs!$B$28+Inputs!$B$29)))</f>
        <v/>
      </c>
      <c r="E2240">
        <f>INDEX(FactorTable!$B$2:$Y$301, MATCH(ROUND(MIN(300,MAX(1,D2240)),0), FactorTable!$A$2:$A$301,0), Skills!M12+1)</f>
        <v/>
      </c>
      <c r="F2240">
        <f>IF(Skills!N12=TRUE,(Skills!L12/10)*(E2240/1000),Skills!L12/10)+Skills!O12</f>
        <v/>
      </c>
      <c r="G2240">
        <f>Calc!G12</f>
        <v/>
      </c>
      <c r="H2240">
        <f>Calc!H12</f>
        <v/>
      </c>
      <c r="I2240">
        <f>IF(Skills!AA12&lt;&gt;"",1+(Skills!AA12/10)*(U2231/1000)/100,1)</f>
        <v/>
      </c>
      <c r="J2240">
        <f>((Inputs!$B$6*(1+Inputs!$B$7/100))+(((Inputs!$B$12*(1+Inputs!$B$13/100))-(Inputs!$B$12*(1+Inputs!$B$13/100)))+0.25*(Inputs!$B$14-Inputs!$B$14))*(1+Inputs!$B$7/100))*(F2240/100)</f>
        <v/>
      </c>
      <c r="K2240">
        <f>J2240*(1+((Inputs!$B$12*(1+Inputs!$B$13/100))*0.01+Inputs!$B$14*0.0025)/100)*(1+Inputs!$B$15/100)*(1+Inputs!$B$16/100)*(5000/(6000+Inputs!$B$43*(1-(100*(1-(1-(Inputs!$B$19+0)/100)*(1-CHOOSE(ArtifactsInput!$N$40+1,5,6,7,8,9,10)/100)^(ArtifactsInput!$M$40-ArtifactsInput!$M$40)))/100)))*(1+(Inputs!$B$24+((C2258=TRUE)*(F2258-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2251=TRUE)*(F2251-Calc!F23))+(((IF(AND(ArtifactsInput!$M$42,((Inputs!$B$9+((C2253=TRUE)*(F2253-Calc!F25))+B2268+(IF(ArtifactsInput!$M$24,FALSE,TRUE)-ArtifactsInput!$M$24)*CHOOSE(ArtifactsInput!$N$24+1,10,12,14,16,18,20)+IF(ArtifactsInput!$M$10,CHOOSE(ArtifactsInput!$N$10+1,15,18,21,24,27,30)*(IF(Inputs!$B$39="pvp",MIN(15,15)/15,IF(AND(Inputs!$B$39&lt;&gt;"pvp",Inputs!$B$44&gt;0),MIN(15,Inputs!$B$44)/(Inputs!$B$44),0))),0)))&gt;=100),MIN(100,((Inputs!$B$9+((C2253=TRUE)*(F2253-Calc!F25))+B2268+(IF(ArtifactsInput!$M$24,FALSE,TRUE)-ArtifactsInput!$M$24)*CHOOSE(ArtifactsInput!$N$24+1,10,12,14,16,18,20)+IF(ArtifactsInput!$M$10,CHOOSE(ArtifactsInput!$N$10+1,15,18,21,24,27,30)*(IF(Inputs!$B$39="pvp",MIN(15,15)/15,IF(AND(Inputs!$B$39&lt;&gt;"pvp",Inputs!$B$44&gt;0),MIN(15,Inputs!$B$44)/(Inputs!$B$44),0))),0)))-100),0))*CHOOSE(ArtifactsInput!$N$42+1,0.6,0.72,0.84,0.96,1.08,1.2))),Inputs!$B$18+((C2257=TRUE)*(F2257-Calc!F29))+(IF(AND(ArtifactsInput!$M$42,((Inputs!$B$9+((C2253=TRUE)*(F2253-Calc!F25))+B2268+(IF(ArtifactsInput!$M$24,FALSE,TRUE)-ArtifactsInput!$M$24)*CHOOSE(ArtifactsInput!$N$24+1,10,12,14,16,18,20)+IF(ArtifactsInput!$M$10,CHOOSE(ArtifactsInput!$N$10+1,15,18,21,24,27,30)*(IF(Inputs!$B$39="pvp",MIN(15,15)/15,IF(AND(Inputs!$B$39&lt;&gt;"pvp",Inputs!$B$44&gt;0),MIN(15,Inputs!$B$44)/(Inputs!$B$44),0))),0)))&gt;=100),CHOOSE(ArtifactsInput!$N$42+1,40,48,56,64,72,80),0))))/100)*(((1+(((C2249=TRUE)*F2249*IF(AND(Inputs!$B$39&lt;&gt;"pvp",Inputs!$B$44&gt;0),(((R2249-1)*(Skills!Y21*(1+Inputs!$B$34/100))+MIN((Skills!Y21*(1+Inputs!$B$34/100)),MAX(0,Inputs!$B$44-((R2249-1)*Skills!D21))))/Inputs!$B$44),IF(Inputs!$B$39="pvp",MIN((Skills!Y21*(1+Inputs!$B$34/100)),15)/15,(Skills!Y21*(1+Inputs!$B$34/100))/Skills!D21)))+((C2256=TRUE)*(F2256-Calc!F28))+((C2246=TRUE)*(F2246-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2243=TRUE)*F2243*IF(AND(Inputs!$B$39&lt;&gt;"pvp",Inputs!$B$44&gt;0),(((R2243-1)*(Skills!Y15*(1+Inputs!$B$34/100))+MIN((Skills!Y15*(1+Inputs!$B$34/100)),MAX(0,Inputs!$B$44-((R2243-1)*Skills!D15))))/Inputs!$B$44),IF(Inputs!$B$39="pvp",MIN((Skills!Y15*(1+Inputs!$B$34/100)),15)/15,(Skills!Y15*(1+Inputs!$B$34/100))/Skills!D15)))/100)*(1+((C2234=TRUE)*F2234*B2262)/100))*B2270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2240)</f>
        <v/>
      </c>
      <c r="L2240">
        <f>K2240*(MIN(Inputs!$B$22+((C2252=TRUE)*(F2252-Calc!F24)),(Inputs!$B$23+0+(IF(ArtifactsInput!$M$15,CHOOSE(ArtifactsInput!$N$15+1,25,30,35,40,45,50)/100*(Inputs!$B$11-Inputs!$B$11),0))))/100+(Inputs!$B$23+0+(IF(ArtifactsInput!$M$15,CHOOSE(ArtifactsInput!$N$15+1,25,30,35,40,45,50)/100*(Inputs!$B$11-Inputs!$B$11),0)))/100)/2</f>
        <v/>
      </c>
      <c r="M2240">
        <f>L2240*(1+(Inputs!$B$10+((C2254=TRUE)*(F2254-Calc!F26))+B2271+((IF(IF(ArtifactsInput!$M$24,FALSE,TRUE),1,-1)*CHOOSE(ArtifactsInput!$N$24+1,30,36,42,48,54,60)/100*IF(IF(ArtifactsInput!$M$24,FALSE,TRUE),(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$9+Summary!$B$14+Artifacts!$B$5+Artifacts!$B$29)))+IF(ArtifactsInput!$M$10,CHOOSE(ArtifactsInput!$N$10+1,20,24,28,32,36,40)*(IF(Inputs!$B$39="pvp",MIN(15,15)/15,IF(AND(Inputs!$B$39&lt;&gt;"pvp",Inputs!$B$44&gt;0),MIN(15,Inputs!$B$44)/(Inputs!$B$44),0))),0)+IF(ArtifactsInput!$M$31,1.5*CHOOSE(ArtifactsInput!$N$31+1,20,24,28,32,36,40),0)))/100)</f>
        <v/>
      </c>
      <c r="N2240">
        <f>L2240*(1-MIN((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2240*(MIN((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40">
        <f>(1-Summary!$B$11)*T2240+Summary!$B$11*V2240</f>
        <v/>
      </c>
      <c r="P2240">
        <f>IF(B2272=0,0,O2240/B2272)</f>
        <v/>
      </c>
      <c r="Q2240">
        <f>IFERROR(1/IF(Inputs!$B$39="pvp",15,MAX(0.1,Skills!D12-IF(Skills!E12=TRUE,Inputs!$B$32,0))),0)</f>
        <v/>
      </c>
      <c r="R2240">
        <f>IF(AND(Inputs!$B$39&lt;&gt;"pvp",Inputs!$B$44&gt;0),IF(MAX(0,Inputs!$B$44-B2273)&lt;=0,0,(INT(MAX(0,Inputs!$B$44-B2273)/IF(Inputs!$B$39="pvp",15,MAX(0.1,Skills!D12-IF(Skills!E12=TRUE,Inputs!$B$32,0))))+1)),0)</f>
        <v/>
      </c>
      <c r="S2240">
        <f>IFERROR(O2240/N2240,0)</f>
        <v/>
      </c>
      <c r="T2240">
        <f>IF(C2240,(H2240*N2240*IF(AND(Inputs!$B$39&lt;&gt;"pvp",Inputs!$B$44&gt;0),((Skills!G12*((R2240-1)*IF(Skills!H12&gt;0,Skills!I12/Skills!H12,1)+IF(Skills!H12&gt;0,MIN(Skills!I12,MAX(0,MAX(0,Inputs!$B$44-B2273)-((R2240-1)*IF(Inputs!$B$39="pvp",15,MAX(0.1,Skills!D12-IF(Skills!E12=TRUE,Inputs!$B$32,0))))))/Skills!H12,1)))/Inputs!$B$44),G2240*Q2240))*IF(Inputs!$B$39="pvp",1,1+(Inputs!$B$20+((C2255=TRUE)*(F2255-Calc!F27))+Skills!P12+B2269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Hunt"),CHOOSE(ArtifactsInput!$N$35+1,15,18,21,24,27,30)*(1-EXP(-(0.2*B2264)*5)),0)+IF(AND(ArtifactsInput!$M$22,Inputs!$B$4&lt;&gt;"Chapter Hunt"),CHOOSE(ArtifactsInput!$N$22+1,10,12,14,16,18,20)*((0*(((0.15*B2264*5))^0/1)+1*(((0.15*B2264*5))^1/1)+2*(((0.15*B2264*5))^2/2)+3*(((0.15*B2264*5))^3/6)+4*(((0.15*B2264*5))^4/24)+5*(((0.15*B2264*5))^5/120))/((((0.15*B2264*5))^0/1)+(((0.15*B2264*5))^1/1)+(((0.15*B2264*5))^2/2)+(((0.15*B2264*5))^3/6)+(((0.15*B2264*5))^4/24)+(((0.15*B2264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2240*(1-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2240*(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2240*(1-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2240*(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40">
        <f>IF(C2240,(H2240*N2240*IF(AND(Inputs!$B$39&lt;&gt;"pvp",Inputs!$B$44&gt;0),((Skills!G12*((R2240-1)*IF(Skills!H12&gt;0,Skills!I12/Skills!H12,1)+IF(Skills!H12&gt;0,MIN(Skills!I12,MAX(0,MAX(0,Inputs!$B$44-B2273)-((R2240-1)*IF(Inputs!$B$39="pvp",15,MAX(0.1,Skills!D12-IF(Skills!E12=TRUE,Inputs!$B$32,0))))))/Skills!H12,1)))/Inputs!$B$44),G2240*Q2240))*IF(Inputs!$B$39="pvp",1,(1+(Inputs!$B$21+Skills!Q12+B2269+(IF(ArtifactsInput!$M$33,CHOOSE(ArtifactsInput!$N$33+1,30,36,42,48,54,60),0))+(IF(AND(ArtifactsInput!$M$35,Inputs!$B$4&lt;&gt;"Chapter Hunt"),CHOOSE(ArtifactsInput!$N$35+1,15,18,21,24,27,30)*(1-EXP(-(0.2*B2264)*5)),0)+IF(AND(ArtifactsInput!$M$22,Inputs!$B$4&lt;&gt;"Chapter Hunt"),CHOOSE(ArtifactsInput!$N$22+1,10,12,14,16,18,20)*((0*(((0.15*B2264*5))^0/1)+1*(((0.15*B2264*5))^1/1)+2*(((0.15*B2264*5))^2/2)+3*(((0.15*B2264*5))^3/6)+4*(((0.15*B2264*5))^4/24)+5*(((0.15*B2264*5))^5/120))/((((0.15*B2264*5))^0/1)+(((0.15*B2264*5))^1/1)+(((0.15*B2264*5))^2/2)+(((0.15*B2264*5))^3/6)+(((0.15*B2264*5))^4/24)+(((0.15*B2264*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41">
      <c r="A2241">
        <f>Skills!A13</f>
        <v/>
      </c>
      <c r="B2241">
        <f>Skills!B13</f>
        <v/>
      </c>
      <c r="C2241">
        <f>Inputs!$B$3&gt;=105</f>
        <v/>
      </c>
      <c r="D2241">
        <f>IF(Skills!C13=1,60+Inputs!$B$25+Inputs!$B$29,IF(Skills!C13=2,90+Inputs!$B$26+Inputs!$B$29,IF(Skills!C13=3,120+Inputs!$B$27+Inputs!$B$29,MAX(0,(Inputs!$B$3-100)*3)+Inputs!$B$28+Inputs!$B$29)))</f>
        <v/>
      </c>
      <c r="E2241">
        <f>INDEX(FactorTable!$B$2:$Y$301, MATCH(ROUND(MIN(300,MAX(1,D2241)),0), FactorTable!$A$2:$A$301,0), Skills!M13+1)</f>
        <v/>
      </c>
      <c r="F2241">
        <f>IF(Skills!N13=TRUE,(Skills!L13/10)*(E2241/1000),Skills!L13/10)+Skills!O13</f>
        <v/>
      </c>
      <c r="G2241">
        <f>Calc!G13</f>
        <v/>
      </c>
      <c r="H2241">
        <f>Calc!H13</f>
        <v/>
      </c>
      <c r="I2241">
        <f>IF(Skills!AA13&lt;&gt;"",1+(Skills!AA13/10)*(U2231/1000)/100,1)</f>
        <v/>
      </c>
      <c r="J2241">
        <f>((Inputs!$B$6*(1+Inputs!$B$7/100))+(((Inputs!$B$12*(1+Inputs!$B$13/100))-(Inputs!$B$12*(1+Inputs!$B$13/100)))+0.25*(Inputs!$B$14-Inputs!$B$14))*(1+Inputs!$B$7/100))*(F2241/100)</f>
        <v/>
      </c>
      <c r="K2241">
        <f>J2241*(1+((Inputs!$B$12*(1+Inputs!$B$13/100))*0.01+Inputs!$B$14*0.0025)/100)*(1+Inputs!$B$15/100)*(1+Inputs!$B$16/100)*(5000/(6000+Inputs!$B$43*(1-(100*(1-(1-(Inputs!$B$19+0)/100)*(1-CHOOSE(ArtifactsInput!$N$40+1,5,6,7,8,9,10)/100)^(ArtifactsInput!$M$40-ArtifactsInput!$M$40)))/100)))*(1+(Inputs!$B$24+((C2258=TRUE)*(F2258-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2251=TRUE)*(F2251-Calc!F23))+(((IF(AND(ArtifactsInput!$M$42,((Inputs!$B$9+((C2253=TRUE)*(F2253-Calc!F25))+B2268+(IF(ArtifactsInput!$M$24,FALSE,TRUE)-ArtifactsInput!$M$24)*CHOOSE(ArtifactsInput!$N$24+1,10,12,14,16,18,20)+IF(ArtifactsInput!$M$10,CHOOSE(ArtifactsInput!$N$10+1,15,18,21,24,27,30)*(IF(Inputs!$B$39="pvp",MIN(15,15)/15,IF(AND(Inputs!$B$39&lt;&gt;"pvp",Inputs!$B$44&gt;0),MIN(15,Inputs!$B$44)/(Inputs!$B$44),0))),0)))&gt;=100),MIN(100,((Inputs!$B$9+((C2253=TRUE)*(F2253-Calc!F25))+B2268+(IF(ArtifactsInput!$M$24,FALSE,TRUE)-ArtifactsInput!$M$24)*CHOOSE(ArtifactsInput!$N$24+1,10,12,14,16,18,20)+IF(ArtifactsInput!$M$10,CHOOSE(ArtifactsInput!$N$10+1,15,18,21,24,27,30)*(IF(Inputs!$B$39="pvp",MIN(15,15)/15,IF(AND(Inputs!$B$39&lt;&gt;"pvp",Inputs!$B$44&gt;0),MIN(15,Inputs!$B$44)/(Inputs!$B$44),0))),0)))-100),0))*CHOOSE(ArtifactsInput!$N$42+1,0.6,0.72,0.84,0.96,1.08,1.2))),Inputs!$B$18+((C2257=TRUE)*(F2257-Calc!F29))+(IF(AND(ArtifactsInput!$M$42,((Inputs!$B$9+((C2253=TRUE)*(F2253-Calc!F25))+B2268+(IF(ArtifactsInput!$M$24,FALSE,TRUE)-ArtifactsInput!$M$24)*CHOOSE(ArtifactsInput!$N$24+1,10,12,14,16,18,20)+IF(ArtifactsInput!$M$10,CHOOSE(ArtifactsInput!$N$10+1,15,18,21,24,27,30)*(IF(Inputs!$B$39="pvp",MIN(15,15)/15,IF(AND(Inputs!$B$39&lt;&gt;"pvp",Inputs!$B$44&gt;0),MIN(15,Inputs!$B$44)/(Inputs!$B$44),0))),0)))&gt;=100),CHOOSE(ArtifactsInput!$N$42+1,40,48,56,64,72,80),0))))/100)*(((1+(((C2249=TRUE)*F2249*IF(AND(Inputs!$B$39&lt;&gt;"pvp",Inputs!$B$44&gt;0),(((R2249-1)*(Skills!Y21*(1+Inputs!$B$34/100))+MIN((Skills!Y21*(1+Inputs!$B$34/100)),MAX(0,Inputs!$B$44-((R2249-1)*Skills!D21))))/Inputs!$B$44),IF(Inputs!$B$39="pvp",MIN((Skills!Y21*(1+Inputs!$B$34/100)),15)/15,(Skills!Y21*(1+Inputs!$B$34/100))/Skills!D21)))+((C2256=TRUE)*(F2256-Calc!F28))+((C2246=TRUE)*(F2246-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2243=TRUE)*F2243*IF(AND(Inputs!$B$39&lt;&gt;"pvp",Inputs!$B$44&gt;0),(((R2243-1)*(Skills!Y15*(1+Inputs!$B$34/100))+MIN((Skills!Y15*(1+Inputs!$B$34/100)),MAX(0,Inputs!$B$44-((R2243-1)*Skills!D15))))/Inputs!$B$44),IF(Inputs!$B$39="pvp",MIN((Skills!Y15*(1+Inputs!$B$34/100)),15)/15,(Skills!Y15*(1+Inputs!$B$34/100))/Skills!D15)))/100)*(1+((C2234=TRUE)*F2234*B2262)/100))*B2270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2241)</f>
        <v/>
      </c>
      <c r="L2241">
        <f>K2241*(MIN(Inputs!$B$22+((C2252=TRUE)*(F2252-Calc!F24)),(Inputs!$B$23+0+(IF(ArtifactsInput!$M$15,CHOOSE(ArtifactsInput!$N$15+1,25,30,35,40,45,50)/100*(Inputs!$B$11-Inputs!$B$11),0))))/100+(Inputs!$B$23+0+(IF(ArtifactsInput!$M$15,CHOOSE(ArtifactsInput!$N$15+1,25,30,35,40,45,50)/100*(Inputs!$B$11-Inputs!$B$11),0)))/100)/2</f>
        <v/>
      </c>
      <c r="M2241">
        <f>L2241*(1+(Inputs!$B$10+((C2254=TRUE)*(F2254-Calc!F26))+B2271+((IF(IF(ArtifactsInput!$M$24,FALSE,TRUE),1,-1)*CHOOSE(ArtifactsInput!$N$24+1,30,36,42,48,54,60)/100*IF(IF(ArtifactsInput!$M$24,FALSE,TRUE),(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$9+Summary!$B$14+Artifacts!$B$5+Artifacts!$B$29)))+IF(ArtifactsInput!$M$10,CHOOSE(ArtifactsInput!$N$10+1,20,24,28,32,36,40)*(IF(Inputs!$B$39="pvp",MIN(15,15)/15,IF(AND(Inputs!$B$39&lt;&gt;"pvp",Inputs!$B$44&gt;0),MIN(15,Inputs!$B$44)/(Inputs!$B$44),0))),0)+IF(ArtifactsInput!$M$31,1.5*CHOOSE(ArtifactsInput!$N$31+1,20,24,28,32,36,40),0)))/100)</f>
        <v/>
      </c>
      <c r="N2241">
        <f>L2241*(1-MIN((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2241*(MIN((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41">
        <f>(1-Summary!$B$11)*T2241+Summary!$B$11*V2241</f>
        <v/>
      </c>
      <c r="P2241">
        <f>IF(B2272=0,0,O2241/B2272)</f>
        <v/>
      </c>
      <c r="Q2241">
        <f>IFERROR(1/IF(Inputs!$B$39="pvp",15,MAX(0.1,Skills!D13-IF(Skills!E13=TRUE,Inputs!$B$32,0))),0)</f>
        <v/>
      </c>
      <c r="R2241">
        <f>IF(AND(Inputs!$B$39&lt;&gt;"pvp",Inputs!$B$44&gt;0),IF(MAX(0,Inputs!$B$44-B2273)&lt;=0,0,(INT(MAX(0,Inputs!$B$44-B2273)/IF(Inputs!$B$39="pvp",15,MAX(0.1,Skills!D13-IF(Skills!E13=TRUE,Inputs!$B$32,0))))+1)),0)</f>
        <v/>
      </c>
      <c r="S2241">
        <f>IFERROR(O2241/N2241,0)</f>
        <v/>
      </c>
      <c r="T2241">
        <f>IF(C2241,(H2241*N2241*IF(AND(Inputs!$B$39&lt;&gt;"pvp",Inputs!$B$44&gt;0),((Skills!G13*((R2241-1)*IF(Skills!H13&gt;0,Skills!I13/Skills!H13,1)+IF(Skills!H13&gt;0,MIN(Skills!I13,MAX(0,MAX(0,Inputs!$B$44-B2273)-((R2241-1)*IF(Inputs!$B$39="pvp",15,MAX(0.1,Skills!D13-IF(Skills!E13=TRUE,Inputs!$B$32,0))))))/Skills!H13,1)))/Inputs!$B$44),G2241*Q2241))*IF(Inputs!$B$39="pvp",1,1+(Inputs!$B$20+((C2255=TRUE)*(F2255-Calc!F27))+Skills!P13+B2269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Hunt"),CHOOSE(ArtifactsInput!$N$35+1,15,18,21,24,27,30)*(1-EXP(-(0.2*B2264)*5)),0)+IF(AND(ArtifactsInput!$M$22,Inputs!$B$4&lt;&gt;"Chapter Hunt"),CHOOSE(ArtifactsInput!$N$22+1,10,12,14,16,18,20)*((0*(((0.15*B2264*5))^0/1)+1*(((0.15*B2264*5))^1/1)+2*(((0.15*B2264*5))^2/2)+3*(((0.15*B2264*5))^3/6)+4*(((0.15*B2264*5))^4/24)+5*(((0.15*B2264*5))^5/120))/((((0.15*B2264*5))^0/1)+(((0.15*B2264*5))^1/1)+(((0.15*B2264*5))^2/2)+(((0.15*B2264*5))^3/6)+(((0.15*B2264*5))^4/24)+(((0.15*B2264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2241*(1-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2241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2241*(1-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2241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41">
        <f>IF(C2241,(H2241*N2241*IF(AND(Inputs!$B$39&lt;&gt;"pvp",Inputs!$B$44&gt;0),((Skills!G13*((R2241-1)*IF(Skills!H13&gt;0,Skills!I13/Skills!H13,1)+IF(Skills!H13&gt;0,MIN(Skills!I13,MAX(0,MAX(0,Inputs!$B$44-B2273)-((R2241-1)*IF(Inputs!$B$39="pvp",15,MAX(0.1,Skills!D13-IF(Skills!E13=TRUE,Inputs!$B$32,0))))))/Skills!H13,1)))/Inputs!$B$44),G2241*Q2241))*IF(Inputs!$B$39="pvp",1,(1+(Inputs!$B$21+Skills!Q13+B2269+(IF(ArtifactsInput!$M$33,CHOOSE(ArtifactsInput!$N$33+1,30,36,42,48,54,60),0))+(IF(AND(ArtifactsInput!$M$35,Inputs!$B$4&lt;&gt;"Chapter Hunt"),CHOOSE(ArtifactsInput!$N$35+1,15,18,21,24,27,30)*(1-EXP(-(0.2*B2264)*5)),0)+IF(AND(ArtifactsInput!$M$22,Inputs!$B$4&lt;&gt;"Chapter Hunt"),CHOOSE(ArtifactsInput!$N$22+1,10,12,14,16,18,20)*((0*(((0.15*B2264*5))^0/1)+1*(((0.15*B2264*5))^1/1)+2*(((0.15*B2264*5))^2/2)+3*(((0.15*B2264*5))^3/6)+4*(((0.15*B2264*5))^4/24)+5*(((0.15*B2264*5))^5/120))/((((0.15*B2264*5))^0/1)+(((0.15*B2264*5))^1/1)+(((0.15*B2264*5))^2/2)+(((0.15*B2264*5))^3/6)+(((0.15*B2264*5))^4/24)+(((0.15*B2264*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42">
      <c r="A2242">
        <f>Skills!A14</f>
        <v/>
      </c>
      <c r="B2242">
        <f>Skills!B14</f>
        <v/>
      </c>
      <c r="C2242">
        <f>Inputs!$B$3&gt;=105</f>
        <v/>
      </c>
      <c r="D2242">
        <f>IF(Skills!C14=1,60+Inputs!$B$25+Inputs!$B$29,IF(Skills!C14=2,90+Inputs!$B$26+Inputs!$B$29,IF(Skills!C14=3,120+Inputs!$B$27+Inputs!$B$29,MAX(0,(Inputs!$B$3-100)*3)+Inputs!$B$28+Inputs!$B$29)))</f>
        <v/>
      </c>
      <c r="E2242">
        <f>INDEX(FactorTable!$B$2:$Y$301, MATCH(ROUND(MIN(300,MAX(1,D2242)),0), FactorTable!$A$2:$A$301,0), Skills!M14+1)</f>
        <v/>
      </c>
      <c r="F2242">
        <f>IF(Skills!N14=TRUE,(Skills!L14/10)*(E2242/1000),Skills!L14/10)+Skills!O14</f>
        <v/>
      </c>
      <c r="G2242">
        <f>Calc!G14</f>
        <v/>
      </c>
      <c r="H2242">
        <f>Calc!H14</f>
        <v/>
      </c>
      <c r="I2242">
        <f>IF(Skills!AA14&lt;&gt;"",1+(Skills!AA14/10)*(U2231/1000)/100,1)</f>
        <v/>
      </c>
      <c r="J2242">
        <f>((Inputs!$B$6*(1+Inputs!$B$7/100))+(((Inputs!$B$12*(1+Inputs!$B$13/100))-(Inputs!$B$12*(1+Inputs!$B$13/100)))+0.25*(Inputs!$B$14-Inputs!$B$14))*(1+Inputs!$B$7/100))*(F2242/100)</f>
        <v/>
      </c>
      <c r="K2242">
        <f>J2242*(1+((Inputs!$B$12*(1+Inputs!$B$13/100))*0.01+Inputs!$B$14*0.0025)/100)*(1+Inputs!$B$15/100)*(1+Inputs!$B$16/100)*(5000/(6000+Inputs!$B$43*(1-(100*(1-(1-(Inputs!$B$19+0)/100)*(1-CHOOSE(ArtifactsInput!$N$40+1,5,6,7,8,9,10)/100)^(ArtifactsInput!$M$40-ArtifactsInput!$M$40)))/100)))*(1+(Inputs!$B$24+((C2258=TRUE)*(F2258-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2251=TRUE)*(F2251-Calc!F23))+(((IF(AND(ArtifactsInput!$M$42,((Inputs!$B$9+((C2253=TRUE)*(F2253-Calc!F25))+B2268+(IF(ArtifactsInput!$M$24,FALSE,TRUE)-ArtifactsInput!$M$24)*CHOOSE(ArtifactsInput!$N$24+1,10,12,14,16,18,20)+IF(ArtifactsInput!$M$10,CHOOSE(ArtifactsInput!$N$10+1,15,18,21,24,27,30)*(IF(Inputs!$B$39="pvp",MIN(15,15)/15,IF(AND(Inputs!$B$39&lt;&gt;"pvp",Inputs!$B$44&gt;0),MIN(15,Inputs!$B$44)/(Inputs!$B$44),0))),0)))&gt;=100),MIN(100,((Inputs!$B$9+((C2253=TRUE)*(F2253-Calc!F25))+B2268+(IF(ArtifactsInput!$M$24,FALSE,TRUE)-ArtifactsInput!$M$24)*CHOOSE(ArtifactsInput!$N$24+1,10,12,14,16,18,20)+IF(ArtifactsInput!$M$10,CHOOSE(ArtifactsInput!$N$10+1,15,18,21,24,27,30)*(IF(Inputs!$B$39="pvp",MIN(15,15)/15,IF(AND(Inputs!$B$39&lt;&gt;"pvp",Inputs!$B$44&gt;0),MIN(15,Inputs!$B$44)/(Inputs!$B$44),0))),0)))-100),0))*CHOOSE(ArtifactsInput!$N$42+1,0.6,0.72,0.84,0.96,1.08,1.2))),Inputs!$B$18+((C2257=TRUE)*(F2257-Calc!F29))+(IF(AND(ArtifactsInput!$M$42,((Inputs!$B$9+((C2253=TRUE)*(F2253-Calc!F25))+B2268+(IF(ArtifactsInput!$M$24,FALSE,TRUE)-ArtifactsInput!$M$24)*CHOOSE(ArtifactsInput!$N$24+1,10,12,14,16,18,20)+IF(ArtifactsInput!$M$10,CHOOSE(ArtifactsInput!$N$10+1,15,18,21,24,27,30)*(IF(Inputs!$B$39="pvp",MIN(15,15)/15,IF(AND(Inputs!$B$39&lt;&gt;"pvp",Inputs!$B$44&gt;0),MIN(15,Inputs!$B$44)/(Inputs!$B$44),0))),0)))&gt;=100),CHOOSE(ArtifactsInput!$N$42+1,40,48,56,64,72,80),0))))/100)*(((1+(((C2249=TRUE)*F2249*IF(AND(Inputs!$B$39&lt;&gt;"pvp",Inputs!$B$44&gt;0),(((R2249-1)*(Skills!Y21*(1+Inputs!$B$34/100))+MIN((Skills!Y21*(1+Inputs!$B$34/100)),MAX(0,Inputs!$B$44-((R2249-1)*Skills!D21))))/Inputs!$B$44),IF(Inputs!$B$39="pvp",MIN((Skills!Y21*(1+Inputs!$B$34/100)),15)/15,(Skills!Y21*(1+Inputs!$B$34/100))/Skills!D21)))+((C2256=TRUE)*(F2256-Calc!F28))+((C2246=TRUE)*(F2246-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2243=TRUE)*F2243*IF(AND(Inputs!$B$39&lt;&gt;"pvp",Inputs!$B$44&gt;0),(((R2243-1)*(Skills!Y15*(1+Inputs!$B$34/100))+MIN((Skills!Y15*(1+Inputs!$B$34/100)),MAX(0,Inputs!$B$44-((R2243-1)*Skills!D15))))/Inputs!$B$44),IF(Inputs!$B$39="pvp",MIN((Skills!Y15*(1+Inputs!$B$34/100)),15)/15,(Skills!Y15*(1+Inputs!$B$34/100))/Skills!D15)))/100)*(1+((C2234=TRUE)*F2234*B2262)/100))*B2270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2242)</f>
        <v/>
      </c>
      <c r="L2242">
        <f>K2242*(MIN(Inputs!$B$22+((C2252=TRUE)*(F2252-Calc!F24)),(Inputs!$B$23+0+(IF(ArtifactsInput!$M$15,CHOOSE(ArtifactsInput!$N$15+1,25,30,35,40,45,50)/100*(Inputs!$B$11-Inputs!$B$11),0))))/100+(Inputs!$B$23+0+(IF(ArtifactsInput!$M$15,CHOOSE(ArtifactsInput!$N$15+1,25,30,35,40,45,50)/100*(Inputs!$B$11-Inputs!$B$11),0)))/100)/2</f>
        <v/>
      </c>
      <c r="M2242">
        <f>L2242*(1+(Inputs!$B$10+((C2254=TRUE)*(F2254-Calc!F26))+B2271+((IF(IF(ArtifactsInput!$M$24,FALSE,TRUE),1,-1)*CHOOSE(ArtifactsInput!$N$24+1,30,36,42,48,54,60)/100*IF(IF(ArtifactsInput!$M$24,FALSE,TRUE),(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$9+Summary!$B$14+Artifacts!$B$5+Artifacts!$B$29)))+IF(ArtifactsInput!$M$10,CHOOSE(ArtifactsInput!$N$10+1,20,24,28,32,36,40)*(IF(Inputs!$B$39="pvp",MIN(15,15)/15,IF(AND(Inputs!$B$39&lt;&gt;"pvp",Inputs!$B$44&gt;0),MIN(15,Inputs!$B$44)/(Inputs!$B$44),0))),0)+IF(ArtifactsInput!$M$31,1.5*CHOOSE(ArtifactsInput!$N$31+1,20,24,28,32,36,40),0)))/100)</f>
        <v/>
      </c>
      <c r="N2242">
        <f>L2242*(1-MIN((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2242*(MIN((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42">
        <f>(1-Summary!$B$11)*T2242+Summary!$B$11*V2242</f>
        <v/>
      </c>
      <c r="P2242">
        <f>IF(B2272=0,0,O2242/B2272)</f>
        <v/>
      </c>
      <c r="Q2242">
        <f>IFERROR(1/IF(Inputs!$B$39="pvp",15,MAX(0.1,Skills!D14-IF(Skills!E14=TRUE,Inputs!$B$32,0))),0)</f>
        <v/>
      </c>
      <c r="R2242">
        <f>IF(AND(Inputs!$B$39&lt;&gt;"pvp",Inputs!$B$44&gt;0),IF(MAX(0,Inputs!$B$44-B2273)&lt;=0,0,(INT(MAX(0,Inputs!$B$44-B2273)/IF(Inputs!$B$39="pvp",15,MAX(0.1,Skills!D14-IF(Skills!E14=TRUE,Inputs!$B$32,0))))+1)),0)</f>
        <v/>
      </c>
      <c r="S2242">
        <f>IFERROR(O2242/N2242,0)</f>
        <v/>
      </c>
      <c r="T2242">
        <f>IF(C2242,(H2242*N2242*IF(AND(Inputs!$B$39&lt;&gt;"pvp",Inputs!$B$44&gt;0),((Skills!G14*((R2242-1)*IF(Skills!H14&gt;0,Skills!I14/Skills!H14,1)+IF(Skills!H14&gt;0,MIN(Skills!I14,MAX(0,MAX(0,Inputs!$B$44-B2273)-((R2242-1)*IF(Inputs!$B$39="pvp",15,MAX(0.1,Skills!D14-IF(Skills!E14=TRUE,Inputs!$B$32,0))))))/Skills!H14,1)))/Inputs!$B$44),G2242*Q2242))*IF(Inputs!$B$39="pvp",1,1+(Inputs!$B$20+((C2255=TRUE)*(F2255-Calc!F27))+Skills!P14+B2269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Hunt"),CHOOSE(ArtifactsInput!$N$35+1,15,18,21,24,27,30)*(1-EXP(-(0.2*B2264)*5)),0)+IF(AND(ArtifactsInput!$M$22,Inputs!$B$4&lt;&gt;"Chapter Hunt"),CHOOSE(ArtifactsInput!$N$22+1,10,12,14,16,18,20)*((0*(((0.15*B2264*5))^0/1)+1*(((0.15*B2264*5))^1/1)+2*(((0.15*B2264*5))^2/2)+3*(((0.15*B2264*5))^3/6)+4*(((0.15*B2264*5))^4/24)+5*(((0.15*B2264*5))^5/120))/((((0.15*B2264*5))^0/1)+(((0.15*B2264*5))^1/1)+(((0.15*B2264*5))^2/2)+(((0.15*B2264*5))^3/6)+(((0.15*B2264*5))^4/24)+(((0.15*B2264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2242*(1-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2242*(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2242*(1-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2242*(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42">
        <f>IF(C2242,(H2242*N2242*IF(AND(Inputs!$B$39&lt;&gt;"pvp",Inputs!$B$44&gt;0),((Skills!G14*((R2242-1)*IF(Skills!H14&gt;0,Skills!I14/Skills!H14,1)+IF(Skills!H14&gt;0,MIN(Skills!I14,MAX(0,MAX(0,Inputs!$B$44-B2273)-((R2242-1)*IF(Inputs!$B$39="pvp",15,MAX(0.1,Skills!D14-IF(Skills!E14=TRUE,Inputs!$B$32,0))))))/Skills!H14,1)))/Inputs!$B$44),G2242*Q2242))*IF(Inputs!$B$39="pvp",1,(1+(Inputs!$B$21+Skills!Q14+B2269+(IF(ArtifactsInput!$M$33,CHOOSE(ArtifactsInput!$N$33+1,30,36,42,48,54,60),0))+(IF(AND(ArtifactsInput!$M$35,Inputs!$B$4&lt;&gt;"Chapter Hunt"),CHOOSE(ArtifactsInput!$N$35+1,15,18,21,24,27,30)*(1-EXP(-(0.2*B2264)*5)),0)+IF(AND(ArtifactsInput!$M$22,Inputs!$B$4&lt;&gt;"Chapter Hunt"),CHOOSE(ArtifactsInput!$N$22+1,10,12,14,16,18,20)*((0*(((0.15*B2264*5))^0/1)+1*(((0.15*B2264*5))^1/1)+2*(((0.15*B2264*5))^2/2)+3*(((0.15*B2264*5))^3/6)+4*(((0.15*B2264*5))^4/24)+5*(((0.15*B2264*5))^5/120))/((((0.15*B2264*5))^0/1)+(((0.15*B2264*5))^1/1)+(((0.15*B2264*5))^2/2)+(((0.15*B2264*5))^3/6)+(((0.15*B2264*5))^4/24)+(((0.15*B2264*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43">
      <c r="A2243">
        <f>Skills!A15</f>
        <v/>
      </c>
      <c r="B2243">
        <f>Skills!B15</f>
        <v/>
      </c>
      <c r="C2243">
        <f>Inputs!$B$3&gt;=110</f>
        <v/>
      </c>
      <c r="D2243">
        <f>IF(Skills!C15=1,60+Inputs!$B$25+Inputs!$B$29,IF(Skills!C15=2,90+Inputs!$B$26+Inputs!$B$29,IF(Skills!C15=3,120+Inputs!$B$27+Inputs!$B$29,MAX(0,(Inputs!$B$3-100)*3)+Inputs!$B$28+Inputs!$B$29)))</f>
        <v/>
      </c>
      <c r="E2243">
        <f>INDEX(FactorTable!$B$2:$Y$301, MATCH(ROUND(MIN(300,MAX(1,D2243)),0), FactorTable!$A$2:$A$301,0), Skills!M15+1)</f>
        <v/>
      </c>
      <c r="F2243">
        <f>IF(Skills!N15=TRUE,(Skills!L15/10)*(E2243/1000),Skills!L15/10)+Skills!O15</f>
        <v/>
      </c>
      <c r="G2243">
        <f>Calc!G15</f>
        <v/>
      </c>
      <c r="H2243">
        <f>Calc!H15</f>
        <v/>
      </c>
      <c r="I2243">
        <f>IF(Skills!AA15&lt;&gt;"",1+(Skills!AA15/10)*(U2231/1000)/100,1)</f>
        <v/>
      </c>
      <c r="J2243" t="inlineStr"/>
      <c r="K2243" t="inlineStr"/>
      <c r="L2243" t="inlineStr"/>
      <c r="M2243" t="inlineStr"/>
      <c r="N2243" t="inlineStr"/>
      <c r="O2243">
        <f>(1-Summary!$B$11)*T2243+Summary!$B$11*V2243</f>
        <v/>
      </c>
      <c r="P2243">
        <f>IF(B2272=0,0,O2243/B2272)</f>
        <v/>
      </c>
      <c r="Q2243">
        <f>IFERROR(1/IF(Inputs!$B$39="pvp",15,MAX(0.1,Skills!D15-IF(Skills!E15=TRUE,Inputs!$B$32,0))),0)</f>
        <v/>
      </c>
      <c r="R2243">
        <f>IF(AND(Inputs!$B$39&lt;&gt;"pvp",Inputs!$B$44&gt;0),IF(Inputs!$B$44&lt;=0,0,(INT(Inputs!$B$44/IF(Inputs!$B$39="pvp",15,MAX(0.1,Skills!D15-IF(Skills!E15=TRUE,Inputs!$B$32,0))))+1)),0)</f>
        <v/>
      </c>
      <c r="S2243">
        <f>IFERROR(O2243/N2243,0)</f>
        <v/>
      </c>
      <c r="T2243" t="n">
        <v>0</v>
      </c>
      <c r="V2243" t="n">
        <v>0</v>
      </c>
    </row>
    <row r="2244">
      <c r="A2244">
        <f>Skills!A16</f>
        <v/>
      </c>
      <c r="B2244">
        <f>Skills!B16</f>
        <v/>
      </c>
      <c r="C2244">
        <f>Inputs!$B$3&gt;=110</f>
        <v/>
      </c>
      <c r="D2244">
        <f>IF(Skills!C16=1,60+Inputs!$B$25+Inputs!$B$29,IF(Skills!C16=2,90+Inputs!$B$26+Inputs!$B$29,IF(Skills!C16=3,120+Inputs!$B$27+Inputs!$B$29,MAX(0,(Inputs!$B$3-100)*3)+Inputs!$B$28+Inputs!$B$29)))</f>
        <v/>
      </c>
      <c r="E2244">
        <f>INDEX(FactorTable!$B$2:$Y$301, MATCH(ROUND(MIN(300,MAX(1,D2244)),0), FactorTable!$A$2:$A$301,0), Skills!M16+1)</f>
        <v/>
      </c>
      <c r="F2244">
        <f>IF(Skills!N16=TRUE,(Skills!L16/10)*(E2244/1000),Skills!L16/10)+Skills!O16</f>
        <v/>
      </c>
      <c r="G2244">
        <f>Calc!G16</f>
        <v/>
      </c>
      <c r="H2244">
        <f>Calc!H16</f>
        <v/>
      </c>
      <c r="I2244">
        <f>IF(Skills!AA16&lt;&gt;"",1+(Skills!AA16/10)*(U2231/1000)/100,1)</f>
        <v/>
      </c>
      <c r="J2244" t="inlineStr"/>
      <c r="K2244" t="inlineStr"/>
      <c r="L2244" t="inlineStr"/>
      <c r="M2244" t="inlineStr"/>
      <c r="N2244" t="inlineStr"/>
      <c r="O2244">
        <f>(1-Summary!$B$11)*T2244+Summary!$B$11*V2244</f>
        <v/>
      </c>
      <c r="P2244">
        <f>IF(B2272=0,0,O2244/B2272)</f>
        <v/>
      </c>
      <c r="Q2244">
        <f>IFERROR(1/IF(Inputs!$B$39="pvp",15,MAX(0.1,Skills!D16-IF(Skills!E16=TRUE,Inputs!$B$32,0))),0)</f>
        <v/>
      </c>
      <c r="R2244">
        <f>IF(AND(Inputs!$B$39&lt;&gt;"pvp",Inputs!$B$44&gt;0),IF(Inputs!$B$44&lt;=0,0,(INT(Inputs!$B$44/IF(Inputs!$B$39="pvp",15,MAX(0.1,Skills!D16-IF(Skills!E16=TRUE,Inputs!$B$32,0))))+1)),0)</f>
        <v/>
      </c>
      <c r="S2244">
        <f>IFERROR(O2244/N2244,0)</f>
        <v/>
      </c>
      <c r="T2244" t="n">
        <v>0</v>
      </c>
      <c r="V2244" t="n">
        <v>0</v>
      </c>
    </row>
    <row r="2245">
      <c r="A2245">
        <f>Skills!A17</f>
        <v/>
      </c>
      <c r="B2245">
        <f>Skills!B17</f>
        <v/>
      </c>
      <c r="C2245">
        <f>Inputs!$B$3&gt;=115</f>
        <v/>
      </c>
      <c r="D2245">
        <f>IF(Skills!C17=1,60+Inputs!$B$25+Inputs!$B$29,IF(Skills!C17=2,90+Inputs!$B$26+Inputs!$B$29,IF(Skills!C17=3,120+Inputs!$B$27+Inputs!$B$29,MAX(0,(Inputs!$B$3-100)*3)+Inputs!$B$28+Inputs!$B$29)))</f>
        <v/>
      </c>
      <c r="E2245">
        <f>INDEX(FactorTable!$B$2:$Y$301, MATCH(ROUND(MIN(300,MAX(1,D2245)),0), FactorTable!$A$2:$A$301,0), Skills!M17+1)</f>
        <v/>
      </c>
      <c r="F2245">
        <f>IF(Skills!N17=TRUE,(Skills!L17/10)*(E2245/1000),Skills!L17/10)+Skills!O17</f>
        <v/>
      </c>
      <c r="G2245">
        <f>Calc!G17</f>
        <v/>
      </c>
      <c r="H2245">
        <f>Calc!H17</f>
        <v/>
      </c>
      <c r="I2245">
        <f>IF(Skills!AA17&lt;&gt;"",1+(Skills!AA17/10)*(U2231/1000)/100,1)</f>
        <v/>
      </c>
      <c r="J2245">
        <f>((Inputs!$B$6*(1+Inputs!$B$7/100))+(((Inputs!$B$12*(1+Inputs!$B$13/100))-(Inputs!$B$12*(1+Inputs!$B$13/100)))+0.25*(Inputs!$B$14-Inputs!$B$14))*(1+Inputs!$B$7/100))*(F2245/100)</f>
        <v/>
      </c>
      <c r="K2245">
        <f>J2245*(1+((Inputs!$B$12*(1+Inputs!$B$13/100))*0.01+Inputs!$B$14*0.0025)/100)*(1+Inputs!$B$15/100)*(1+Inputs!$B$16/100)*(5000/(6000+Inputs!$B$43*(1-(100*(1-(1-(Inputs!$B$19+0)/100)*(1-CHOOSE(ArtifactsInput!$N$40+1,5,6,7,8,9,10)/100)^(ArtifactsInput!$M$40-ArtifactsInput!$M$40)))/100)))*(1+(Inputs!$B$24+((C2258=TRUE)*(F2258-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2251=TRUE)*(F2251-Calc!F23))+(((IF(AND(ArtifactsInput!$M$42,((Inputs!$B$9+((C2253=TRUE)*(F2253-Calc!F25))+B2268+(IF(ArtifactsInput!$M$24,FALSE,TRUE)-ArtifactsInput!$M$24)*CHOOSE(ArtifactsInput!$N$24+1,10,12,14,16,18,20)+IF(ArtifactsInput!$M$10,CHOOSE(ArtifactsInput!$N$10+1,15,18,21,24,27,30)*(IF(Inputs!$B$39="pvp",MIN(15,15)/15,IF(AND(Inputs!$B$39&lt;&gt;"pvp",Inputs!$B$44&gt;0),MIN(15,Inputs!$B$44)/(Inputs!$B$44),0))),0)))&gt;=100),MIN(100,((Inputs!$B$9+((C2253=TRUE)*(F2253-Calc!F25))+B2268+(IF(ArtifactsInput!$M$24,FALSE,TRUE)-ArtifactsInput!$M$24)*CHOOSE(ArtifactsInput!$N$24+1,10,12,14,16,18,20)+IF(ArtifactsInput!$M$10,CHOOSE(ArtifactsInput!$N$10+1,15,18,21,24,27,30)*(IF(Inputs!$B$39="pvp",MIN(15,15)/15,IF(AND(Inputs!$B$39&lt;&gt;"pvp",Inputs!$B$44&gt;0),MIN(15,Inputs!$B$44)/(Inputs!$B$44),0))),0)))-100),0))*CHOOSE(ArtifactsInput!$N$42+1,0.6,0.72,0.84,0.96,1.08,1.2))),Inputs!$B$18+((C2257=TRUE)*(F2257-Calc!F29))+(IF(AND(ArtifactsInput!$M$42,((Inputs!$B$9+((C2253=TRUE)*(F2253-Calc!F25))+B2268+(IF(ArtifactsInput!$M$24,FALSE,TRUE)-ArtifactsInput!$M$24)*CHOOSE(ArtifactsInput!$N$24+1,10,12,14,16,18,20)+IF(ArtifactsInput!$M$10,CHOOSE(ArtifactsInput!$N$10+1,15,18,21,24,27,30)*(IF(Inputs!$B$39="pvp",MIN(15,15)/15,IF(AND(Inputs!$B$39&lt;&gt;"pvp",Inputs!$B$44&gt;0),MIN(15,Inputs!$B$44)/(Inputs!$B$44),0))),0)))&gt;=100),CHOOSE(ArtifactsInput!$N$42+1,40,48,56,64,72,80),0))))/100)*(((1+(((C2249=TRUE)*F2249*IF(AND(Inputs!$B$39&lt;&gt;"pvp",Inputs!$B$44&gt;0),(((R2249-1)*(Skills!Y21*(1+Inputs!$B$34/100))+MIN((Skills!Y21*(1+Inputs!$B$34/100)),MAX(0,Inputs!$B$44-((R2249-1)*Skills!D21))))/Inputs!$B$44),IF(Inputs!$B$39="pvp",MIN((Skills!Y21*(1+Inputs!$B$34/100)),15)/15,(Skills!Y21*(1+Inputs!$B$34/100))/Skills!D21)))+((C2256=TRUE)*(F2256-Calc!F28))+((C2246=TRUE)*(F2246-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2243=TRUE)*F2243*IF(AND(Inputs!$B$39&lt;&gt;"pvp",Inputs!$B$44&gt;0),(((R2243-1)*(Skills!Y15*(1+Inputs!$B$34/100))+MIN((Skills!Y15*(1+Inputs!$B$34/100)),MAX(0,Inputs!$B$44-((R2243-1)*Skills!D15))))/Inputs!$B$44),IF(Inputs!$B$39="pvp",MIN((Skills!Y15*(1+Inputs!$B$34/100)),15)/15,(Skills!Y15*(1+Inputs!$B$34/100))/Skills!D15)))/100)*(1+((C2234=TRUE)*F2234*B2262)/100))*B2270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2245)</f>
        <v/>
      </c>
      <c r="L2245">
        <f>K2245*(MIN(Inputs!$B$22+((C2252=TRUE)*(F2252-Calc!F24)),(Inputs!$B$23+0+(IF(ArtifactsInput!$M$15,CHOOSE(ArtifactsInput!$N$15+1,25,30,35,40,45,50)/100*(Inputs!$B$11-Inputs!$B$11),0))))/100+(Inputs!$B$23+0+(IF(ArtifactsInput!$M$15,CHOOSE(ArtifactsInput!$N$15+1,25,30,35,40,45,50)/100*(Inputs!$B$11-Inputs!$B$11),0)))/100)/2</f>
        <v/>
      </c>
      <c r="M2245">
        <f>L2245*(1+(Inputs!$B$10+((C2254=TRUE)*(F2254-Calc!F26))+B2271+((IF(IF(ArtifactsInput!$M$24,FALSE,TRUE),1,-1)*CHOOSE(ArtifactsInput!$N$24+1,30,36,42,48,54,60)/100*IF(IF(ArtifactsInput!$M$24,FALSE,TRUE),(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$9+Summary!$B$14+Artifacts!$B$5+Artifacts!$B$29)))+IF(ArtifactsInput!$M$10,CHOOSE(ArtifactsInput!$N$10+1,20,24,28,32,36,40)*(IF(Inputs!$B$39="pvp",MIN(15,15)/15,IF(AND(Inputs!$B$39&lt;&gt;"pvp",Inputs!$B$44&gt;0),MIN(15,Inputs!$B$44)/(Inputs!$B$44),0))),0)+IF(ArtifactsInput!$M$31,1.5*CHOOSE(ArtifactsInput!$N$31+1,20,24,28,32,36,40),0)))/100)</f>
        <v/>
      </c>
      <c r="N2245">
        <f>L2245*(1-MIN((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2245*(MIN((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45">
        <f>(1-Summary!$B$11)*T2245+Summary!$B$11*V2245</f>
        <v/>
      </c>
      <c r="P2245">
        <f>IF(B2272=0,0,O2245/B2272)</f>
        <v/>
      </c>
      <c r="Q2245" t="n">
        <v>0</v>
      </c>
      <c r="R2245" t="n">
        <v>0</v>
      </c>
      <c r="S2245">
        <f>IFERROR(O2245/N2245,0)</f>
        <v/>
      </c>
      <c r="T2245">
        <f>IF(C2245,(Inputs!$B$38*0.2*N2245)*IF(Inputs!$B$39="pvp",1,1+(Inputs!$B$20+((C2255=TRUE)*(F2255-Calc!F27))+Skills!P17+B2269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Hunt"),CHOOSE(ArtifactsInput!$N$35+1,15,18,21,24,27,30)*(1-EXP(-(0.2*B2264)*5)),0)+IF(AND(ArtifactsInput!$M$22,Inputs!$B$4&lt;&gt;"Chapter Hunt"),CHOOSE(ArtifactsInput!$N$22+1,10,12,14,16,18,20)*((0*(((0.15*B2264*5))^0/1)+1*(((0.15*B2264*5))^1/1)+2*(((0.15*B2264*5))^2/2)+3*(((0.15*B2264*5))^3/6)+4*(((0.15*B2264*5))^4/24)+5*(((0.15*B2264*5))^5/120))/((((0.15*B2264*5))^0/1)+(((0.15*B2264*5))^1/1)+(((0.15*B2264*5))^2/2)+(((0.15*B2264*5))^3/6)+(((0.15*B2264*5))^4/24)+(((0.15*B2264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2245*(1-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2245*(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2245*(1-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2245*(MIN(100,(Inputs!$B$9+((C2253=TRUE)*(F2253-Calc!F25))+B2268+(IF(ArtifactsInput!$M$24,FALSE,TRUE)-ArtifactsInput!$M$24)*CHOOSE(ArtifactsInput!$N$24+1,10,12,14,16,18,20)+(IF(AND(ArtifactsInput!$M$42,((Inputs!$B$9+((C2253=TRUE)*(F2253-Calc!F25))+B2268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45">
        <f>IF(C2245,(Inputs!$B$38*0.2*N2245)*IF(Inputs!$B$39="pvp",1,(1+(Inputs!$B$21+Skills!Q17+B2269+(IF(ArtifactsInput!$M$33,CHOOSE(ArtifactsInput!$N$33+1,30,36,42,48,54,60),0))+(IF(AND(ArtifactsInput!$M$35,Inputs!$B$4&lt;&gt;"Chapter Hunt"),CHOOSE(ArtifactsInput!$N$35+1,15,18,21,24,27,30)*(1-EXP(-(0.2*B2264)*5)),0)+IF(AND(ArtifactsInput!$M$22,Inputs!$B$4&lt;&gt;"Chapter Hunt"),CHOOSE(ArtifactsInput!$N$22+1,10,12,14,16,18,20)*((0*(((0.15*B2264*5))^0/1)+1*(((0.15*B2264*5))^1/1)+2*(((0.15*B2264*5))^2/2)+3*(((0.15*B2264*5))^3/6)+4*(((0.15*B2264*5))^4/24)+5*(((0.15*B2264*5))^5/120))/((((0.15*B2264*5))^0/1)+(((0.15*B2264*5))^1/1)+(((0.15*B2264*5))^2/2)+(((0.15*B2264*5))^3/6)+(((0.15*B2264*5))^4/24)+(((0.15*B2264*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46">
      <c r="A2246">
        <f>Skills!A18</f>
        <v/>
      </c>
      <c r="B2246">
        <f>Skills!B18</f>
        <v/>
      </c>
      <c r="C2246">
        <f>Inputs!$B$3&gt;=115</f>
        <v/>
      </c>
      <c r="D2246">
        <f>IF(Skills!C18=1,60+Inputs!$B$25+Inputs!$B$29,IF(Skills!C18=2,90+Inputs!$B$26+Inputs!$B$29,IF(Skills!C18=3,120+Inputs!$B$27+Inputs!$B$29,MAX(0,(Inputs!$B$3-100)*3)+Inputs!$B$28+Inputs!$B$29)))</f>
        <v/>
      </c>
      <c r="E2246">
        <f>INDEX(FactorTable!$B$2:$Y$301, MATCH(ROUND(MIN(300,MAX(1,D2246)),0), FactorTable!$A$2:$A$301,0), Skills!M18+1)</f>
        <v/>
      </c>
      <c r="F2246">
        <f>IF(Skills!N18=TRUE,(Skills!L18/10)*(E2246/1000),Skills!L18/10)+Skills!O18</f>
        <v/>
      </c>
      <c r="G2246">
        <f>Calc!G18</f>
        <v/>
      </c>
      <c r="H2246">
        <f>Calc!H18</f>
        <v/>
      </c>
      <c r="I2246">
        <f>IF(Skills!AA18&lt;&gt;"",1+(Skills!AA18/10)*(U2231/1000)/100,1)</f>
        <v/>
      </c>
      <c r="J2246" t="inlineStr"/>
      <c r="K2246" t="inlineStr"/>
      <c r="L2246" t="inlineStr"/>
      <c r="M2246" t="inlineStr"/>
      <c r="N2246" t="inlineStr"/>
      <c r="O2246">
        <f>(1-Summary!$B$11)*T2246+Summary!$B$11*V2246</f>
        <v/>
      </c>
      <c r="P2246">
        <f>IF(B2272=0,0,O2246/B2272)</f>
        <v/>
      </c>
      <c r="Q2246" t="n">
        <v>0</v>
      </c>
      <c r="R2246" t="n">
        <v>0</v>
      </c>
      <c r="S2246">
        <f>IFERROR(O2246/N2246,0)</f>
        <v/>
      </c>
      <c r="T2246" t="n">
        <v>0</v>
      </c>
      <c r="V2246" t="n">
        <v>0</v>
      </c>
    </row>
    <row r="2247">
      <c r="A2247">
        <f>Skills!A19</f>
        <v/>
      </c>
      <c r="B2247">
        <f>Skills!B19</f>
        <v/>
      </c>
      <c r="C2247">
        <f>TRUE</f>
        <v/>
      </c>
      <c r="D2247">
        <f>IF(Skills!C19=1,60+Inputs!$B$25+Inputs!$B$29,IF(Skills!C19=2,90+Inputs!$B$26+Inputs!$B$29,IF(Skills!C19=3,120+Inputs!$B$27+Inputs!$B$29,MAX(0,(Inputs!$B$3-100)*3)+Inputs!$B$28+Inputs!$B$29)))</f>
        <v/>
      </c>
      <c r="E2247">
        <f>INDEX(FactorTable!$B$2:$Y$301, MATCH(ROUND(MIN(300,MAX(1,D2247)),0), FactorTable!$A$2:$A$301,0), Skills!M19+1)</f>
        <v/>
      </c>
      <c r="F2247">
        <f>IF(Skills!N19=TRUE,(Skills!L19/10)*(E2247/1000),Skills!L19/10)+Skills!O19</f>
        <v/>
      </c>
      <c r="G2247">
        <f>Calc!G19</f>
        <v/>
      </c>
      <c r="H2247">
        <f>Calc!H19</f>
        <v/>
      </c>
      <c r="I2247">
        <f>IF(Skills!AA19&lt;&gt;"",1+(Skills!AA19/10)*(U2231/1000)/100,1)</f>
        <v/>
      </c>
      <c r="J2247" t="inlineStr"/>
      <c r="K2247" t="inlineStr"/>
      <c r="L2247" t="inlineStr"/>
      <c r="M2247" t="inlineStr"/>
      <c r="N2247" t="inlineStr"/>
      <c r="O2247">
        <f>(1-Summary!$B$11)*T2247+Summary!$B$11*V2247</f>
        <v/>
      </c>
      <c r="P2247">
        <f>IF(B2272=0,0,O2247/B2272)</f>
        <v/>
      </c>
      <c r="Q2247">
        <f>IFERROR(1/IF(Inputs!$B$39="pvp",15,MAX(0.1,Skills!D19-IF(Skills!E19=TRUE,Inputs!$B$32,0))),0)</f>
        <v/>
      </c>
      <c r="R2247">
        <f>IF(AND(Inputs!$B$39&lt;&gt;"pvp",Inputs!$B$44&gt;0),IF(Inputs!$B$44&lt;=0,0,(INT(Inputs!$B$44/IF(Inputs!$B$39="pvp",15,MAX(0.1,Skills!D19-IF(Skills!E19=TRUE,Inputs!$B$32,0))))+1)),0)</f>
        <v/>
      </c>
      <c r="S2247">
        <f>IFERROR(O2247/N2247,0)</f>
        <v/>
      </c>
      <c r="T2247" t="n">
        <v>0</v>
      </c>
      <c r="V2247" t="n">
        <v>0</v>
      </c>
    </row>
    <row r="2248">
      <c r="A2248">
        <f>Skills!A20</f>
        <v/>
      </c>
      <c r="B2248">
        <f>Skills!B20</f>
        <v/>
      </c>
      <c r="C2248">
        <f>Inputs!$B$3&gt;=15</f>
        <v/>
      </c>
      <c r="D2248">
        <f>IF(Skills!C20=1,60+Inputs!$B$25+Inputs!$B$29,IF(Skills!C20=2,90+Inputs!$B$26+Inputs!$B$29,IF(Skills!C20=3,120+Inputs!$B$27+Inputs!$B$29,MAX(0,(Inputs!$B$3-100)*3)+Inputs!$B$28+Inputs!$B$29)))</f>
        <v/>
      </c>
      <c r="E2248">
        <f>INDEX(FactorTable!$B$2:$Y$301, MATCH(ROUND(MIN(300,MAX(1,D2248)),0), FactorTable!$A$2:$A$301,0), Skills!M20+1)</f>
        <v/>
      </c>
      <c r="F2248">
        <f>IF(Skills!N20=TRUE,(Skills!L20/10)*(E2248/1000),Skills!L20/10)+Skills!O20</f>
        <v/>
      </c>
      <c r="G2248">
        <f>Calc!G20</f>
        <v/>
      </c>
      <c r="H2248">
        <f>Calc!H20</f>
        <v/>
      </c>
      <c r="I2248">
        <f>IF(Skills!AA20&lt;&gt;"",1+(Skills!AA20/10)*(U2231/1000)/100,1)</f>
        <v/>
      </c>
      <c r="J2248" t="inlineStr"/>
      <c r="K2248" t="inlineStr"/>
      <c r="L2248" t="inlineStr"/>
      <c r="M2248" t="inlineStr"/>
      <c r="N2248" t="inlineStr"/>
      <c r="O2248">
        <f>(1-Summary!$B$11)*T2248+Summary!$B$11*V2248</f>
        <v/>
      </c>
      <c r="P2248">
        <f>IF(B2272=0,0,O2248/B2272)</f>
        <v/>
      </c>
      <c r="Q2248">
        <f>IFERROR(1/IF(Inputs!$B$39="pvp",15,MAX(0.1,Skills!D20-IF(Skills!E20=TRUE,Inputs!$B$32,0))),0)</f>
        <v/>
      </c>
      <c r="R2248">
        <f>IF(AND(Inputs!$B$39&lt;&gt;"pvp",Inputs!$B$44&gt;0),IF(Inputs!$B$44&lt;=0,0,(INT(Inputs!$B$44/IF(Inputs!$B$39="pvp",15,MAX(0.1,Skills!D20-IF(Skills!E20=TRUE,Inputs!$B$32,0))))+1)),0)</f>
        <v/>
      </c>
      <c r="S2248">
        <f>IFERROR(O2248/N2248,0)</f>
        <v/>
      </c>
      <c r="T2248" t="n">
        <v>0</v>
      </c>
      <c r="V2248" t="n">
        <v>0</v>
      </c>
    </row>
    <row r="2249">
      <c r="A2249">
        <f>Skills!A21</f>
        <v/>
      </c>
      <c r="B2249">
        <f>Skills!B21</f>
        <v/>
      </c>
      <c r="C2249">
        <f>Inputs!$B$3&gt;=15</f>
        <v/>
      </c>
      <c r="D2249">
        <f>IF(Skills!C21=1,60+Inputs!$B$25+Inputs!$B$29,IF(Skills!C21=2,90+Inputs!$B$26+Inputs!$B$29,IF(Skills!C21=3,120+Inputs!$B$27+Inputs!$B$29,MAX(0,(Inputs!$B$3-100)*3)+Inputs!$B$28+Inputs!$B$29)))</f>
        <v/>
      </c>
      <c r="E2249">
        <f>INDEX(FactorTable!$B$2:$Y$301, MATCH(ROUND(MIN(300,MAX(1,D2249)),0), FactorTable!$A$2:$A$301,0), Skills!M21+1)</f>
        <v/>
      </c>
      <c r="F2249">
        <f>IF(Skills!N21=TRUE,(Skills!L21/10)*(E2249/1000),Skills!L21/10)+Skills!O21</f>
        <v/>
      </c>
      <c r="G2249">
        <f>Calc!G21</f>
        <v/>
      </c>
      <c r="H2249">
        <f>Calc!H21</f>
        <v/>
      </c>
      <c r="I2249">
        <f>IF(Skills!AA21&lt;&gt;"",1+(Skills!AA21/10)*(U2231/1000)/100,1)</f>
        <v/>
      </c>
      <c r="J2249" t="inlineStr"/>
      <c r="K2249" t="inlineStr"/>
      <c r="L2249" t="inlineStr"/>
      <c r="M2249" t="inlineStr"/>
      <c r="N2249" t="inlineStr"/>
      <c r="O2249">
        <f>(1-Summary!$B$11)*T2249+Summary!$B$11*V2249</f>
        <v/>
      </c>
      <c r="P2249">
        <f>IF(B2272=0,0,O2249/B2272)</f>
        <v/>
      </c>
      <c r="Q2249">
        <f>IFERROR(1/IF(Inputs!$B$39="pvp",15,MAX(0.1,Skills!D21-IF(Skills!E21=TRUE,Inputs!$B$32,0))),0)</f>
        <v/>
      </c>
      <c r="R2249">
        <f>IF(AND(Inputs!$B$39&lt;&gt;"pvp",Inputs!$B$44&gt;0),IF(Inputs!$B$44&lt;=0,0,(INT(Inputs!$B$44/IF(Inputs!$B$39="pvp",15,MAX(0.1,Skills!D21-IF(Skills!E21=TRUE,Inputs!$B$32,0))))+1)),0)</f>
        <v/>
      </c>
      <c r="S2249">
        <f>IFERROR(O2249/N2249,0)</f>
        <v/>
      </c>
      <c r="T2249" t="n">
        <v>0</v>
      </c>
      <c r="V2249" t="n">
        <v>0</v>
      </c>
    </row>
    <row r="2250">
      <c r="A2250">
        <f>Skills!A22</f>
        <v/>
      </c>
      <c r="B2250">
        <f>Skills!B22</f>
        <v/>
      </c>
      <c r="C2250">
        <f>Inputs!$B$3&gt;=33</f>
        <v/>
      </c>
      <c r="D2250">
        <f>IF(Skills!C22=1,60+Inputs!$B$25+Inputs!$B$29,IF(Skills!C22=2,90+Inputs!$B$26+Inputs!$B$29,IF(Skills!C22=3,120+Inputs!$B$27+Inputs!$B$29,MAX(0,(Inputs!$B$3-100)*3)+Inputs!$B$28+Inputs!$B$29)))</f>
        <v/>
      </c>
      <c r="E2250">
        <f>INDEX(FactorTable!$B$2:$Y$301, MATCH(ROUND(MIN(300,MAX(1,D2250)),0), FactorTable!$A$2:$A$301,0), Skills!M22+1)</f>
        <v/>
      </c>
      <c r="F2250">
        <f>IF(Skills!N22=TRUE,(Skills!L22/10)*(E2250/1000),Skills!L22/10)+Skills!O22</f>
        <v/>
      </c>
      <c r="G2250">
        <f>Calc!G22</f>
        <v/>
      </c>
      <c r="H2250">
        <f>Calc!H22</f>
        <v/>
      </c>
      <c r="I2250">
        <f>IF(Skills!AA22&lt;&gt;"",1+(Skills!AA22/10)*(U2231/1000)/100,1)</f>
        <v/>
      </c>
      <c r="J2250" t="inlineStr"/>
      <c r="K2250" t="inlineStr"/>
      <c r="L2250" t="inlineStr"/>
      <c r="M2250" t="inlineStr"/>
      <c r="N2250" t="inlineStr"/>
      <c r="O2250">
        <f>(1-Summary!$B$11)*T2250+Summary!$B$11*V2250</f>
        <v/>
      </c>
      <c r="P2250">
        <f>IF(B2272=0,0,O2250/B2272)</f>
        <v/>
      </c>
      <c r="Q2250" t="n">
        <v>0</v>
      </c>
      <c r="R2250" t="n">
        <v>0</v>
      </c>
      <c r="S2250">
        <f>IFERROR(O2250/N2250,0)</f>
        <v/>
      </c>
      <c r="T2250" t="n">
        <v>0</v>
      </c>
      <c r="V2250" t="n">
        <v>0</v>
      </c>
    </row>
    <row r="2251">
      <c r="A2251">
        <f>Skills!A23</f>
        <v/>
      </c>
      <c r="B2251">
        <f>Skills!B23</f>
        <v/>
      </c>
      <c r="C2251">
        <f>Inputs!$B$3&gt;=38</f>
        <v/>
      </c>
      <c r="D2251">
        <f>IF(Skills!C23=1,60+Inputs!$B$25+Inputs!$B$29,IF(Skills!C23=2,90+Inputs!$B$26+Inputs!$B$29,IF(Skills!C23=3,120+Inputs!$B$27+Inputs!$B$29,MAX(0,(Inputs!$B$3-100)*3)+Inputs!$B$28+Inputs!$B$29)))</f>
        <v/>
      </c>
      <c r="E2251">
        <f>INDEX(FactorTable!$B$2:$Y$301, MATCH(ROUND(MIN(300,MAX(1,D2251)),0), FactorTable!$A$2:$A$301,0), Skills!M23+1)</f>
        <v/>
      </c>
      <c r="F2251">
        <f>IF(Skills!N23=TRUE,(Skills!L23/10)*(E2251/1000),Skills!L23/10)+Skills!O23</f>
        <v/>
      </c>
      <c r="G2251">
        <f>Calc!G23</f>
        <v/>
      </c>
      <c r="H2251">
        <f>Calc!H23</f>
        <v/>
      </c>
      <c r="I2251">
        <f>IF(Skills!AA23&lt;&gt;"",1+(Skills!AA23/10)*(U2231/1000)/100,1)</f>
        <v/>
      </c>
      <c r="J2251" t="inlineStr"/>
      <c r="K2251" t="inlineStr"/>
      <c r="L2251" t="inlineStr"/>
      <c r="M2251" t="inlineStr"/>
      <c r="N2251" t="inlineStr"/>
      <c r="O2251">
        <f>(1-Summary!$B$11)*T2251+Summary!$B$11*V2251</f>
        <v/>
      </c>
      <c r="P2251">
        <f>IF(B2272=0,0,O2251/B2272)</f>
        <v/>
      </c>
      <c r="Q2251" t="n">
        <v>0</v>
      </c>
      <c r="R2251" t="n">
        <v>0</v>
      </c>
      <c r="S2251">
        <f>IFERROR(O2251/N2251,0)</f>
        <v/>
      </c>
      <c r="T2251" t="n">
        <v>0</v>
      </c>
      <c r="V2251" t="n">
        <v>0</v>
      </c>
    </row>
    <row r="2252">
      <c r="A2252">
        <f>Skills!A24</f>
        <v/>
      </c>
      <c r="B2252">
        <f>Skills!B24</f>
        <v/>
      </c>
      <c r="C2252">
        <f>Inputs!$B$3&gt;=40</f>
        <v/>
      </c>
      <c r="D2252">
        <f>IF(Skills!C24=1,60+Inputs!$B$25+Inputs!$B$29,IF(Skills!C24=2,90+Inputs!$B$26+Inputs!$B$29,IF(Skills!C24=3,120+Inputs!$B$27+Inputs!$B$29,MAX(0,(Inputs!$B$3-100)*3)+Inputs!$B$28+Inputs!$B$29)))</f>
        <v/>
      </c>
      <c r="E2252">
        <f>INDEX(FactorTable!$B$2:$Y$301, MATCH(ROUND(MIN(300,MAX(1,D2252)),0), FactorTable!$A$2:$A$301,0), Skills!M24+1)</f>
        <v/>
      </c>
      <c r="F2252">
        <f>IF(Skills!N24=TRUE,(Skills!L24/10)*(E2252/1000),Skills!L24/10)+Skills!O24</f>
        <v/>
      </c>
      <c r="G2252">
        <f>Calc!G24</f>
        <v/>
      </c>
      <c r="H2252">
        <f>Calc!H24</f>
        <v/>
      </c>
      <c r="I2252">
        <f>IF(Skills!AA24&lt;&gt;"",1+(Skills!AA24/10)*(U2231/1000)/100,1)</f>
        <v/>
      </c>
      <c r="J2252" t="inlineStr"/>
      <c r="K2252" t="inlineStr"/>
      <c r="L2252" t="inlineStr"/>
      <c r="M2252" t="inlineStr"/>
      <c r="N2252" t="inlineStr"/>
      <c r="O2252">
        <f>(1-Summary!$B$11)*T2252+Summary!$B$11*V2252</f>
        <v/>
      </c>
      <c r="P2252">
        <f>IF(B2272=0,0,O2252/B2272)</f>
        <v/>
      </c>
      <c r="Q2252" t="n">
        <v>0</v>
      </c>
      <c r="R2252" t="n">
        <v>0</v>
      </c>
      <c r="S2252">
        <f>IFERROR(O2252/N2252,0)</f>
        <v/>
      </c>
      <c r="T2252" t="n">
        <v>0</v>
      </c>
      <c r="V2252" t="n">
        <v>0</v>
      </c>
    </row>
    <row r="2253">
      <c r="A2253">
        <f>Skills!A25</f>
        <v/>
      </c>
      <c r="B2253">
        <f>Skills!B25</f>
        <v/>
      </c>
      <c r="C2253">
        <f>Inputs!$B$3&gt;=45</f>
        <v/>
      </c>
      <c r="D2253">
        <f>IF(Skills!C25=1,60+Inputs!$B$25+Inputs!$B$29,IF(Skills!C25=2,90+Inputs!$B$26+Inputs!$B$29,IF(Skills!C25=3,120+Inputs!$B$27+Inputs!$B$29,MAX(0,(Inputs!$B$3-100)*3)+Inputs!$B$28+Inputs!$B$29)))</f>
        <v/>
      </c>
      <c r="E2253">
        <f>INDEX(FactorTable!$B$2:$Y$301, MATCH(ROUND(MIN(300,MAX(1,D2253)),0), FactorTable!$A$2:$A$301,0), Skills!M25+1)</f>
        <v/>
      </c>
      <c r="F2253">
        <f>IF(Skills!N25=TRUE,(Skills!L25/10)*(E2253/1000),Skills!L25/10)+Skills!O25</f>
        <v/>
      </c>
      <c r="G2253">
        <f>Calc!G25</f>
        <v/>
      </c>
      <c r="H2253">
        <f>Calc!H25</f>
        <v/>
      </c>
      <c r="I2253">
        <f>IF(Skills!AA25&lt;&gt;"",1+(Skills!AA25/10)*(U2231/1000)/100,1)</f>
        <v/>
      </c>
      <c r="J2253" t="inlineStr"/>
      <c r="K2253" t="inlineStr"/>
      <c r="L2253" t="inlineStr"/>
      <c r="M2253" t="inlineStr"/>
      <c r="N2253" t="inlineStr"/>
      <c r="O2253">
        <f>(1-Summary!$B$11)*T2253+Summary!$B$11*V2253</f>
        <v/>
      </c>
      <c r="P2253">
        <f>IF(B2272=0,0,O2253/B2272)</f>
        <v/>
      </c>
      <c r="Q2253" t="n">
        <v>0</v>
      </c>
      <c r="R2253" t="n">
        <v>0</v>
      </c>
      <c r="S2253">
        <f>IFERROR(O2253/N2253,0)</f>
        <v/>
      </c>
      <c r="T2253" t="n">
        <v>0</v>
      </c>
      <c r="V2253" t="n">
        <v>0</v>
      </c>
    </row>
    <row r="2254">
      <c r="A2254">
        <f>Skills!A26</f>
        <v/>
      </c>
      <c r="B2254">
        <f>Skills!B26</f>
        <v/>
      </c>
      <c r="C2254">
        <f>Inputs!$B$3&gt;=45</f>
        <v/>
      </c>
      <c r="D2254">
        <f>IF(Skills!C26=1,60+Inputs!$B$25+Inputs!$B$29,IF(Skills!C26=2,90+Inputs!$B$26+Inputs!$B$29,IF(Skills!C26=3,120+Inputs!$B$27+Inputs!$B$29,MAX(0,(Inputs!$B$3-100)*3)+Inputs!$B$28+Inputs!$B$29)))</f>
        <v/>
      </c>
      <c r="E2254">
        <f>INDEX(FactorTable!$B$2:$Y$301, MATCH(ROUND(MIN(300,MAX(1,D2254)),0), FactorTable!$A$2:$A$301,0), Skills!M26+1)</f>
        <v/>
      </c>
      <c r="F2254">
        <f>IF(Skills!N26=TRUE,(Skills!L26/10)*(E2254/1000),Skills!L26/10)+Skills!O26</f>
        <v/>
      </c>
      <c r="G2254">
        <f>Calc!G26</f>
        <v/>
      </c>
      <c r="H2254">
        <f>Calc!H26</f>
        <v/>
      </c>
      <c r="I2254">
        <f>IF(Skills!AA26&lt;&gt;"",1+(Skills!AA26/10)*(U2231/1000)/100,1)</f>
        <v/>
      </c>
      <c r="J2254" t="inlineStr"/>
      <c r="K2254" t="inlineStr"/>
      <c r="L2254" t="inlineStr"/>
      <c r="M2254" t="inlineStr"/>
      <c r="N2254" t="inlineStr"/>
      <c r="O2254">
        <f>(1-Summary!$B$11)*T2254+Summary!$B$11*V2254</f>
        <v/>
      </c>
      <c r="P2254">
        <f>IF(B2272=0,0,O2254/B2272)</f>
        <v/>
      </c>
      <c r="Q2254" t="n">
        <v>0</v>
      </c>
      <c r="R2254" t="n">
        <v>0</v>
      </c>
      <c r="S2254">
        <f>IFERROR(O2254/N2254,0)</f>
        <v/>
      </c>
      <c r="T2254" t="n">
        <v>0</v>
      </c>
      <c r="V2254" t="n">
        <v>0</v>
      </c>
    </row>
    <row r="2255">
      <c r="A2255">
        <f>Skills!A27</f>
        <v/>
      </c>
      <c r="B2255">
        <f>Skills!B27</f>
        <v/>
      </c>
      <c r="C2255">
        <f>Inputs!$B$3&gt;=72</f>
        <v/>
      </c>
      <c r="D2255">
        <f>IF(Skills!C27=1,60+Inputs!$B$25+Inputs!$B$29,IF(Skills!C27=2,90+Inputs!$B$26+Inputs!$B$29,IF(Skills!C27=3,120+Inputs!$B$27+Inputs!$B$29,MAX(0,(Inputs!$B$3-100)*3)+Inputs!$B$28+Inputs!$B$29)))</f>
        <v/>
      </c>
      <c r="E2255">
        <f>INDEX(FactorTable!$B$2:$Y$301, MATCH(ROUND(MIN(300,MAX(1,D2255)),0), FactorTable!$A$2:$A$301,0), Skills!M27+1)</f>
        <v/>
      </c>
      <c r="F2255">
        <f>IF(Skills!N27=TRUE,(Skills!L27/10)*(E2255/1000),Skills!L27/10)+Skills!O27</f>
        <v/>
      </c>
      <c r="G2255">
        <f>Calc!G27</f>
        <v/>
      </c>
      <c r="H2255">
        <f>Calc!H27</f>
        <v/>
      </c>
      <c r="I2255">
        <f>IF(Skills!AA27&lt;&gt;"",1+(Skills!AA27/10)*(U2231/1000)/100,1)</f>
        <v/>
      </c>
      <c r="J2255" t="inlineStr"/>
      <c r="K2255" t="inlineStr"/>
      <c r="L2255" t="inlineStr"/>
      <c r="M2255" t="inlineStr"/>
      <c r="N2255" t="inlineStr"/>
      <c r="O2255">
        <f>(1-Summary!$B$11)*T2255+Summary!$B$11*V2255</f>
        <v/>
      </c>
      <c r="P2255">
        <f>IF(B2272=0,0,O2255/B2272)</f>
        <v/>
      </c>
      <c r="Q2255" t="n">
        <v>0</v>
      </c>
      <c r="R2255" t="n">
        <v>0</v>
      </c>
      <c r="S2255">
        <f>IFERROR(O2255/N2255,0)</f>
        <v/>
      </c>
      <c r="T2255" t="n">
        <v>0</v>
      </c>
      <c r="V2255" t="n">
        <v>0</v>
      </c>
    </row>
    <row r="2256">
      <c r="A2256">
        <f>Skills!A28</f>
        <v/>
      </c>
      <c r="B2256">
        <f>Skills!B28</f>
        <v/>
      </c>
      <c r="C2256">
        <f>Inputs!$B$3&gt;=75</f>
        <v/>
      </c>
      <c r="D2256">
        <f>IF(Skills!C28=1,60+Inputs!$B$25+Inputs!$B$29,IF(Skills!C28=2,90+Inputs!$B$26+Inputs!$B$29,IF(Skills!C28=3,120+Inputs!$B$27+Inputs!$B$29,MAX(0,(Inputs!$B$3-100)*3)+Inputs!$B$28+Inputs!$B$29)))</f>
        <v/>
      </c>
      <c r="E2256">
        <f>INDEX(FactorTable!$B$2:$Y$301, MATCH(ROUND(MIN(300,MAX(1,D2256)),0), FactorTable!$A$2:$A$301,0), Skills!M28+1)</f>
        <v/>
      </c>
      <c r="F2256">
        <f>IF(Skills!N28=TRUE,(Skills!L28/10)*(E2256/1000),Skills!L28/10)+Skills!O28</f>
        <v/>
      </c>
      <c r="G2256">
        <f>Calc!G28</f>
        <v/>
      </c>
      <c r="H2256">
        <f>Calc!H28</f>
        <v/>
      </c>
      <c r="I2256">
        <f>IF(Skills!AA28&lt;&gt;"",1+(Skills!AA28/10)*(U2231/1000)/100,1)</f>
        <v/>
      </c>
      <c r="J2256" t="inlineStr"/>
      <c r="K2256" t="inlineStr"/>
      <c r="L2256" t="inlineStr"/>
      <c r="M2256" t="inlineStr"/>
      <c r="N2256" t="inlineStr"/>
      <c r="O2256">
        <f>(1-Summary!$B$11)*T2256+Summary!$B$11*V2256</f>
        <v/>
      </c>
      <c r="P2256">
        <f>IF(B2272=0,0,O2256/B2272)</f>
        <v/>
      </c>
      <c r="Q2256" t="n">
        <v>0</v>
      </c>
      <c r="R2256" t="n">
        <v>0</v>
      </c>
      <c r="S2256">
        <f>IFERROR(O2256/N2256,0)</f>
        <v/>
      </c>
      <c r="T2256" t="n">
        <v>0</v>
      </c>
      <c r="V2256" t="n">
        <v>0</v>
      </c>
    </row>
    <row r="2257">
      <c r="A2257">
        <f>Skills!A29</f>
        <v/>
      </c>
      <c r="B2257">
        <f>Skills!B29</f>
        <v/>
      </c>
      <c r="C2257">
        <f>Inputs!$B$3&gt;=120</f>
        <v/>
      </c>
      <c r="D2257">
        <f>IF(Skills!C29=1,60+Inputs!$B$25+Inputs!$B$29,IF(Skills!C29=2,90+Inputs!$B$26+Inputs!$B$29,IF(Skills!C29=3,120+Inputs!$B$27+Inputs!$B$29,MAX(0,(Inputs!$B$3-100)*3)+Inputs!$B$28+Inputs!$B$29)))</f>
        <v/>
      </c>
      <c r="E2257">
        <f>INDEX(FactorTable!$B$2:$Y$301, MATCH(ROUND(MIN(300,MAX(1,D2257)),0), FactorTable!$A$2:$A$301,0), Skills!M29+1)</f>
        <v/>
      </c>
      <c r="F2257">
        <f>IF(Skills!N29=TRUE,(Skills!L29/10)*(E2257/1000),Skills!L29/10)+Skills!O29</f>
        <v/>
      </c>
      <c r="G2257">
        <f>Calc!G29</f>
        <v/>
      </c>
      <c r="H2257">
        <f>Calc!H29</f>
        <v/>
      </c>
      <c r="I2257">
        <f>IF(Skills!AA29&lt;&gt;"",1+(Skills!AA29/10)*(U2231/1000)/100,1)</f>
        <v/>
      </c>
      <c r="J2257" t="inlineStr"/>
      <c r="K2257" t="inlineStr"/>
      <c r="L2257" t="inlineStr"/>
      <c r="M2257" t="inlineStr"/>
      <c r="N2257" t="inlineStr"/>
      <c r="O2257">
        <f>(1-Summary!$B$11)*T2257+Summary!$B$11*V2257</f>
        <v/>
      </c>
      <c r="P2257">
        <f>IF(B2272=0,0,O2257/B2272)</f>
        <v/>
      </c>
      <c r="Q2257" t="n">
        <v>0</v>
      </c>
      <c r="R2257" t="n">
        <v>0</v>
      </c>
      <c r="S2257">
        <f>IFERROR(O2257/N2257,0)</f>
        <v/>
      </c>
      <c r="T2257" t="n">
        <v>0</v>
      </c>
      <c r="V2257" t="n">
        <v>0</v>
      </c>
    </row>
    <row r="2258">
      <c r="A2258">
        <f>Skills!A30</f>
        <v/>
      </c>
      <c r="B2258">
        <f>Skills!B30</f>
        <v/>
      </c>
      <c r="C2258">
        <f>Inputs!$B$3&gt;=125</f>
        <v/>
      </c>
      <c r="D2258">
        <f>IF(Skills!C30=1,60+Inputs!$B$25+Inputs!$B$29,IF(Skills!C30=2,90+Inputs!$B$26+Inputs!$B$29,IF(Skills!C30=3,120+Inputs!$B$27+Inputs!$B$29,MAX(0,(Inputs!$B$3-100)*3)+Inputs!$B$28+Inputs!$B$29)))</f>
        <v/>
      </c>
      <c r="E2258">
        <f>INDEX(FactorTable!$B$2:$Y$301, MATCH(ROUND(MIN(300,MAX(1,D2258)),0), FactorTable!$A$2:$A$301,0), Skills!M30+1)</f>
        <v/>
      </c>
      <c r="F2258">
        <f>IF(Skills!N30=TRUE,(Skills!L30/10)*(E2258/1000),Skills!L30/10)+Skills!O30</f>
        <v/>
      </c>
      <c r="G2258">
        <f>Calc!G30</f>
        <v/>
      </c>
      <c r="H2258">
        <f>Calc!H30</f>
        <v/>
      </c>
      <c r="I2258">
        <f>IF(Skills!AA30&lt;&gt;"",1+(Skills!AA30/10)*(U2231/1000)/100,1)</f>
        <v/>
      </c>
      <c r="J2258" t="inlineStr"/>
      <c r="K2258" t="inlineStr"/>
      <c r="L2258" t="inlineStr"/>
      <c r="M2258" t="inlineStr"/>
      <c r="N2258" t="inlineStr"/>
      <c r="O2258">
        <f>(1-Summary!$B$11)*T2258+Summary!$B$11*V2258</f>
        <v/>
      </c>
      <c r="P2258">
        <f>IF(B2272=0,0,O2258/B2272)</f>
        <v/>
      </c>
      <c r="Q2258" t="n">
        <v>0</v>
      </c>
      <c r="R2258" t="n">
        <v>0</v>
      </c>
      <c r="S2258">
        <f>IFERROR(O2258/N2258,0)</f>
        <v/>
      </c>
      <c r="T2258" t="n">
        <v>0</v>
      </c>
      <c r="V2258" t="n">
        <v>0</v>
      </c>
    </row>
    <row r="2259">
      <c r="A2259">
        <f>Skills!A31</f>
        <v/>
      </c>
      <c r="B2259">
        <f>Skills!B31</f>
        <v/>
      </c>
      <c r="C2259">
        <f>Inputs!$B$3&gt;=107</f>
        <v/>
      </c>
      <c r="D2259">
        <f>IF(Skills!C31=1,60+Inputs!$B$25+Inputs!$B$29,IF(Skills!C31=2,90+Inputs!$B$26+Inputs!$B$29,IF(Skills!C31=3,120+Inputs!$B$27+Inputs!$B$29,MAX(0,(Inputs!$B$3-100)*3)+Inputs!$B$28+Inputs!$B$29)))</f>
        <v/>
      </c>
      <c r="E2259">
        <f>INDEX(FactorTable!$B$2:$Y$301, MATCH(ROUND(MIN(300,MAX(1,D2259)),0), FactorTable!$A$2:$A$301,0), Skills!M31+1)</f>
        <v/>
      </c>
      <c r="F2259">
        <f>IF(Skills!N31=TRUE,(Skills!L31/10)*(E2259/1000),Skills!L31/10)+Skills!O31</f>
        <v/>
      </c>
      <c r="G2259">
        <f>Calc!G31</f>
        <v/>
      </c>
      <c r="H2259">
        <f>Calc!H31</f>
        <v/>
      </c>
      <c r="I2259">
        <f>IF(Skills!AA31&lt;&gt;"",1+(Skills!AA31/10)*(U2231/1000)/100,1)</f>
        <v/>
      </c>
      <c r="J2259" t="inlineStr"/>
      <c r="K2259" t="inlineStr"/>
      <c r="L2259" t="inlineStr"/>
      <c r="M2259" t="inlineStr"/>
      <c r="N2259" t="inlineStr"/>
      <c r="O2259">
        <f>(1-Summary!$B$11)*T2259+Summary!$B$11*V2259</f>
        <v/>
      </c>
      <c r="P2259">
        <f>IF(B2272=0,0,O2259/B2272)</f>
        <v/>
      </c>
      <c r="Q2259" t="n">
        <v>0</v>
      </c>
      <c r="R2259" t="n">
        <v>0</v>
      </c>
      <c r="S2259">
        <f>IFERROR(O2259/N2259,0)</f>
        <v/>
      </c>
      <c r="T2259" t="n">
        <v>0</v>
      </c>
      <c r="V2259" t="n">
        <v>0</v>
      </c>
    </row>
    <row r="2261">
      <c r="A2261" t="inlineStr">
        <is>
          <t>Actions Per Second (pre-Adrenalin)</t>
        </is>
      </c>
      <c r="B2261">
        <f>1+MIN(150,150*(1-(1-(Inputs!$B$11+((C2250=TRUE)*(F2250-Calc!F22))+(ArtifactsInput!$M$15-ArtifactsInput!$M$15)*CHOOSE(ArtifactsInput!$N$15+1,8,9.6,11.2,12.8,14.4,16))/150)*(1-((C2247=TRUE)*F2247*IF(AND(Inputs!$B$39&lt;&gt;"pvp",Inputs!$B$44&gt;0),(((R2247-1)*(Skills!Y19*(1+Inputs!$B$34/100))+MIN((Skills!Y19*(1+Inputs!$B$34/100)),MAX(0,Inputs!$B$44-((R2247-1)*Skills!D19))))/Inputs!$B$44),IF(Inputs!$B$39="pvp",MIN((Skills!Y19*(1+Inputs!$B$34/100)),15)/15,(Skills!Y19*(1+Inputs!$B$34/100))/Skills!D19)))/150)))/100</f>
        <v/>
      </c>
    </row>
    <row r="2262">
      <c r="A2262" t="inlineStr">
        <is>
          <t>Alchemic Adrenaline Uptime</t>
        </is>
      </c>
      <c r="B2262">
        <f>(Skills!Y6*(1+Inputs!$B$34/100))/((Skills!Y6*(1+Inputs!$B$34/100))+(5/B2261))</f>
        <v/>
      </c>
    </row>
    <row r="2263">
      <c r="A2263" t="inlineStr">
        <is>
          <t>Attack Speed Buff Bonus %</t>
        </is>
      </c>
      <c r="B2263">
        <f>((C2247=TRUE)*F2247*IF(AND(Inputs!$B$39&lt;&gt;"pvp",Inputs!$B$44&gt;0),(((R2247-1)*(Skills!Y19*(1+Inputs!$B$34/100))+MIN((Skills!Y19*(1+Inputs!$B$34/100)),MAX(0,Inputs!$B$44-((R2247-1)*Skills!D19))))/Inputs!$B$44),IF(Inputs!$B$39="pvp",MIN((Skills!Y19*(1+Inputs!$B$34/100)),15)/15,(Skills!Y19*(1+Inputs!$B$34/100))/Skills!D19)))+((C2235=TRUE)*F2235*B2262)</f>
        <v/>
      </c>
    </row>
    <row r="2264">
      <c r="A2264" t="inlineStr">
        <is>
          <t>Actions Per Second (final)</t>
        </is>
      </c>
      <c r="B2264">
        <f>1+MIN(150,150*(1-(1-(Inputs!$B$11+((C2250=TRUE)*(F2250-Calc!F22))+(ArtifactsInput!$M$15-ArtifactsInput!$M$15)*CHOOSE(ArtifactsInput!$N$15+1,8,9.6,11.2,12.8,14.4,16))/150)*(1-B2263/150)))/100</f>
        <v/>
      </c>
    </row>
    <row r="2265">
      <c r="A2265" t="inlineStr">
        <is>
          <t>Skill + Buff Cast Rate</t>
        </is>
      </c>
      <c r="B2265">
        <f>IF(AND(Inputs!$B$39&lt;&gt;"pvp",Inputs!$B$44&gt;0),SUMPRODUCT((Skills!E2:E31=TRUE)*(C2230:C2259=TRUE)*R2230:R2259*Skills!F2:F31)/Inputs!$B$44,SUMPRODUCT((Skills!E2:E31=TRUE)*(C2230:C2259=TRUE)*Q2230:Q2259*Skills!F2:F31))</f>
        <v/>
      </c>
    </row>
    <row r="2266">
      <c r="A2266" t="inlineStr">
        <is>
          <t>Showdown Casts Per Second</t>
        </is>
      </c>
      <c r="B2266">
        <f>MAX(0,B2264-B2265)</f>
        <v/>
      </c>
    </row>
    <row r="2267">
      <c r="A2267" t="inlineStr">
        <is>
          <t>Average Buff Multiplier</t>
        </is>
      </c>
      <c r="B2267">
        <f>(1+(((C2249=TRUE)*F2249*IF(AND(Inputs!$B$39&lt;&gt;"pvp",Inputs!$B$44&gt;0),(((R2249-1)*(Skills!Y21*(1+Inputs!$B$34/100))+MIN((Skills!Y21*(1+Inputs!$B$34/100)),MAX(0,Inputs!$B$44-((R2249-1)*Skills!D21))))/Inputs!$B$44),IF(Inputs!$B$39="pvp",MIN((Skills!Y21*(1+Inputs!$B$34/100)),15)/15,(Skills!Y21*(1+Inputs!$B$34/100))/Skills!D21)))+((C2256=TRUE)*(F2256-Calc!F28))+((C2246=TRUE)*(F2246-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2243=TRUE)*F2243*IF(AND(Inputs!$B$39&lt;&gt;"pvp",Inputs!$B$44&gt;0),(((R2243-1)*(Skills!Y15*(1+Inputs!$B$34/100))+MIN((Skills!Y15*(1+Inputs!$B$34/100)),MAX(0,Inputs!$B$44-((R2243-1)*Skills!D15))))/Inputs!$B$44),IF(Inputs!$B$39="pvp",MIN((Skills!Y15*(1+Inputs!$B$34/100)),15)/15,(Skills!Y15*(1+Inputs!$B$34/100))/Skills!D15)))/100)*(1+((C2234=TRUE)*F2234*B2262)/100)</f>
        <v/>
      </c>
    </row>
    <row r="2268">
      <c r="A2268" t="inlineStr">
        <is>
          <t>Global Crit Rate Bonus %</t>
        </is>
      </c>
      <c r="B2268">
        <f>IF(Inputs!$B$3&gt;=47,8,0)+((C2248=TRUE)*F2248*IF(AND(Inputs!$B$39&lt;&gt;"pvp",Inputs!$B$44&gt;0),(((R2248-1)*(Skills!Y20*(1+Inputs!$B$34/100))+MIN((Skills!Y20*(1+Inputs!$B$34/100)),MAX(0,Inputs!$B$44-((R2248-1)*Skills!D20))))/Inputs!$B$44),IF(Inputs!$B$39="pvp",MIN((Skills!Y20*(1+Inputs!$B$34/100)),15)/15,(Skills!Y20*(1+Inputs!$B$34/100))/Skills!D20)))</f>
        <v/>
      </c>
    </row>
    <row r="2269">
      <c r="A2269" t="inlineStr">
        <is>
          <t>Global Monster Damage-Taken Bonus %</t>
        </is>
      </c>
      <c r="B2269">
        <f>IF(Inputs!$B$3&gt;=82,15,0)+((C2244=TRUE)*F2244*IF(AND(Inputs!$B$39&lt;&gt;"pvp",Inputs!$B$44&gt;0),(((R2244-1)*(Skills!Y16*(1+Inputs!$B$34/100))+MIN((Skills!Y16*(1+Inputs!$B$34/100)),MAX(0,Inputs!$B$44-((R2244-1)*Skills!D16))))/Inputs!$B$44),IF(Inputs!$B$39="pvp",MIN((Skills!Y16*(1+Inputs!$B$34/100)),15)/15,(Skills!Y16*(1+Inputs!$B$34/100))/Skills!D16)))</f>
        <v/>
      </c>
    </row>
    <row r="2270">
      <c r="A2270" t="inlineStr">
        <is>
          <t>Shadow Partner Average Multiplier</t>
        </is>
      </c>
      <c r="B2270">
        <f>1+((C2239=TRUE)*F2239*I2239*Skills!J11/100)/100</f>
        <v/>
      </c>
    </row>
    <row r="2271">
      <c r="A2271" t="inlineStr">
        <is>
          <t>Global Critical Damage Bonus % (Frailty Curse Mastery Lv.111)</t>
        </is>
      </c>
      <c r="B2271">
        <f>IF(Inputs!$B$3&gt;=111,30,0)*IF(AND(Inputs!$B$39&lt;&gt;"pvp",Inputs!$B$44&gt;0),(((R2244-1)*(Skills!Y16*(1+Inputs!$B$34/100))+MIN((Skills!Y16*(1+Inputs!$B$34/100)),MAX(0,Inputs!$B$44-((R2244-1)*Skills!D16))))/Inputs!$B$44),IF(Inputs!$B$39="pvp",MIN((Skills!Y16*(1+Inputs!$B$34/100)),15)/15,(Skills!Y16*(1+Inputs!$B$34/100))/Skills!D16))</f>
        <v/>
      </c>
    </row>
    <row r="2272">
      <c r="A2272" s="6" t="inlineStr">
        <is>
          <t>TOTAL DPS</t>
        </is>
      </c>
      <c r="B2272" s="6">
        <f>SUM(O2230:O2259)</f>
        <v/>
      </c>
    </row>
    <row r="2273">
      <c r="A2273" t="inlineStr">
        <is>
          <t>Buff-Casting Startup Delay (s, fixed-duration only)</t>
        </is>
      </c>
      <c r="B2273">
        <f>IF(AND(Inputs!$B$39&lt;&gt;"pvp",Inputs!$B$44&gt;0),SUMPRODUCT((Skills!Y2:Y31&gt;0)*(Skills!E2:E31=TRUE)*(C2230:C2259=TRUE))/B2264,0)</f>
        <v/>
      </c>
    </row>
    <row r="2274">
      <c r="A2274" t="inlineStr">
        <is>
          <t>Boss-Only Total DPS (this block's swept value)</t>
        </is>
      </c>
      <c r="B2274">
        <f>SUM(T2230:T2259)</f>
        <v/>
      </c>
    </row>
    <row r="2275">
      <c r="A2275" t="inlineStr">
        <is>
          <t>Normal-Only Total DPS (this block's swept value)</t>
        </is>
      </c>
      <c r="B2275">
        <f>SUM(V2230:V2259)</f>
        <v/>
      </c>
    </row>
    <row r="2277">
      <c r="A2277" s="6" t="inlineStr">
        <is>
          <t>Stat: Lunar Dew (Equip)</t>
        </is>
      </c>
    </row>
    <row r="2278">
      <c r="A2278" s="5" t="inlineStr">
        <is>
          <t>Key</t>
        </is>
      </c>
      <c r="B2278" s="5" t="inlineStr">
        <is>
          <t>Name</t>
        </is>
      </c>
      <c r="C2278" s="5" t="inlineStr">
        <is>
          <t>Unlocked</t>
        </is>
      </c>
      <c r="D2278" s="5" t="inlineStr">
        <is>
          <t>InputLevel</t>
        </is>
      </c>
      <c r="E2278" s="5" t="inlineStr">
        <is>
          <t>Factor</t>
        </is>
      </c>
      <c r="F2278" s="5" t="inlineStr">
        <is>
          <t>CoefficientPercent</t>
        </is>
      </c>
      <c r="G2278" s="5" t="inlineStr">
        <is>
          <t>EffectiveHits</t>
        </is>
      </c>
      <c r="H2278" s="5" t="inlineStr">
        <is>
          <t>ProcProbability</t>
        </is>
      </c>
      <c r="I2278" s="5" t="inlineStr">
        <is>
          <t>MapleHeroMultiplier</t>
        </is>
      </c>
      <c r="J2278" s="5" t="inlineStr">
        <is>
          <t>BaseDamage</t>
        </is>
      </c>
      <c r="K2278" s="5" t="inlineStr">
        <is>
          <t>BaseHitDamage</t>
        </is>
      </c>
      <c r="L2278" s="5" t="inlineStr">
        <is>
          <t>NonCritAvg</t>
        </is>
      </c>
      <c r="M2278" s="5" t="inlineStr">
        <is>
          <t>CritAvg</t>
        </is>
      </c>
      <c r="N2278" s="5" t="inlineStr">
        <is>
          <t>ExpectedDamage(perHit)</t>
        </is>
      </c>
      <c r="O2278" s="5" t="inlineStr">
        <is>
          <t>DPS</t>
        </is>
      </c>
      <c r="P2278" s="5" t="inlineStr">
        <is>
          <t>% of Total</t>
        </is>
      </c>
      <c r="Q2278" s="5" t="inlineStr">
        <is>
          <t>InvCooldown</t>
        </is>
      </c>
      <c r="R2278" s="5" t="inlineStr">
        <is>
          <t>CastsInFight</t>
        </is>
      </c>
      <c r="S2278" s="5" t="inlineStr">
        <is>
          <t>HitRate(perSec)</t>
        </is>
      </c>
      <c r="U2278" t="inlineStr">
        <is>
          <t>helpers</t>
        </is>
      </c>
    </row>
    <row r="2279">
      <c r="A2279">
        <f>Skills!A2</f>
        <v/>
      </c>
      <c r="B2279">
        <f>Skills!B2</f>
        <v/>
      </c>
      <c r="C2279">
        <f>Inputs!$B$3&gt;=100</f>
        <v/>
      </c>
      <c r="D2279" t="inlineStr"/>
      <c r="E2279" t="inlineStr"/>
      <c r="F2279">
        <f>U2283+Skills!O2</f>
        <v/>
      </c>
      <c r="G2279">
        <f>Calc!G2</f>
        <v/>
      </c>
      <c r="H2279">
        <f>Calc!H2</f>
        <v/>
      </c>
      <c r="I2279">
        <f>IF(Skills!AA2&lt;&gt;"",1+(Skills!AA2/10)*(U2280/1000)/100,1)</f>
        <v/>
      </c>
      <c r="J2279">
        <f>((Inputs!$B$6*(1+Inputs!$B$7/100))+(((Inputs!$B$12*(1+Inputs!$B$13/100))-(Inputs!$B$12*(1+Inputs!$B$13/100)))+0.25*(Inputs!$B$14-Inputs!$B$14))*(1+Inputs!$B$7/100))*(F2279/100)</f>
        <v/>
      </c>
      <c r="K2279">
        <f>J2279*(1+((Inputs!$B$12*(1+Inputs!$B$13/100))*0.01+Inputs!$B$14*0.0025)/100)*(1+Inputs!$B$15/100)*(1+Inputs!$B$16/100)*(5000/(6000+Inputs!$B$43*(1-(100*(1-(1-(Inputs!$B$19+0)/100)*(1-CHOOSE(ArtifactsInput!$N$40+1,5,6,7,8,9,10)/100)^(ArtifactsInput!$M$40-ArtifactsInput!$M$40)))/100)))*(1+(Inputs!$B$24+((C2307=TRUE)*(F2307-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2300=TRUE)*(F2300-Calc!F23))+(((IF(AND(ArtifactsInput!$M$42,((Inputs!$B$9+((C2302=TRUE)*(F2302-Calc!F25))+B2317+(ArtifactsInput!$M$24-ArtifactsInput!$M$24)*CHOOSE(ArtifactsInput!$N$24+1,10,12,14,16,18,20)+IF(ArtifactsInput!$M$10,CHOOSE(ArtifactsInput!$N$10+1,15,18,21,24,27,30)*(IF(Inputs!$B$39="pvp",MIN(15,15)/15,IF(AND(Inputs!$B$39&lt;&gt;"pvp",Inputs!$B$44&gt;0),MIN(15,Inputs!$B$44)/(Inputs!$B$44),0))),0)))&gt;=100),MIN(100,((Inputs!$B$9+((C2302=TRUE)*(F2302-Calc!F25))+B2317+(ArtifactsInput!$M$24-ArtifactsInput!$M$24)*CHOOSE(ArtifactsInput!$N$24+1,10,12,14,16,18,20)+IF(ArtifactsInput!$M$10,CHOOSE(ArtifactsInput!$N$10+1,15,18,21,24,27,30)*(IF(Inputs!$B$39="pvp",MIN(15,15)/15,IF(AND(Inputs!$B$39&lt;&gt;"pvp",Inputs!$B$44&gt;0),MIN(15,Inputs!$B$44)/(Inputs!$B$44),0))),0)))-100),0))*CHOOSE(ArtifactsInput!$N$42+1,0.6,0.72,0.84,0.96,1.08,1.2))),Inputs!$B$18+((C2306=TRUE)*(F2306-Calc!F29))+(IF(AND(ArtifactsInput!$M$42,((Inputs!$B$9+((C2302=TRUE)*(F2302-Calc!F25))+B2317+(ArtifactsInput!$M$24-ArtifactsInput!$M$24)*CHOOSE(ArtifactsInput!$N$24+1,10,12,14,16,18,20)+IF(ArtifactsInput!$M$10,CHOOSE(ArtifactsInput!$N$10+1,15,18,21,24,27,30)*(IF(Inputs!$B$39="pvp",MIN(15,15)/15,IF(AND(Inputs!$B$39&lt;&gt;"pvp",Inputs!$B$44&gt;0),MIN(15,Inputs!$B$44)/(Inputs!$B$44),0))),0)))&gt;=100),CHOOSE(ArtifactsInput!$N$42+1,40,48,56,64,72,80),0))))/100)*(((1+(((C2298=TRUE)*F2298*IF(AND(Inputs!$B$39&lt;&gt;"pvp",Inputs!$B$44&gt;0),(((R2298-1)*(Skills!Y21*(1+Inputs!$B$34/100))+MIN((Skills!Y21*(1+Inputs!$B$34/100)),MAX(0,Inputs!$B$44-((R2298-1)*Skills!D21))))/Inputs!$B$44),IF(Inputs!$B$39="pvp",MIN((Skills!Y21*(1+Inputs!$B$34/100)),15)/15,(Skills!Y21*(1+Inputs!$B$34/100))/Skills!D21)))+((C2305=TRUE)*(F2305-Calc!F28))+((C2295=TRUE)*(F2295-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2292=TRUE)*F2292*IF(AND(Inputs!$B$39&lt;&gt;"pvp",Inputs!$B$44&gt;0),(((R2292-1)*(Skills!Y15*(1+Inputs!$B$34/100))+MIN((Skills!Y15*(1+Inputs!$B$34/100)),MAX(0,Inputs!$B$44-((R2292-1)*Skills!D15))))/Inputs!$B$44),IF(Inputs!$B$39="pvp",MIN((Skills!Y15*(1+Inputs!$B$34/100)),15)/15,(Skills!Y15*(1+Inputs!$B$34/100))/Skills!D15)))/100)*(1+((C2283=TRUE)*F2283*B2311)/100))*B2319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2279)</f>
        <v/>
      </c>
      <c r="L2279">
        <f>K2279*(MIN(Inputs!$B$22+((C2301=TRUE)*(F2301-Calc!F24)),(Inputs!$B$23+0+(IF(ArtifactsInput!$M$15,CHOOSE(ArtifactsInput!$N$15+1,25,30,35,40,45,50)/100*(Inputs!$B$11-Inputs!$B$11),0))))/100+(Inputs!$B$23+0+(IF(ArtifactsInput!$M$15,CHOOSE(ArtifactsInput!$N$15+1,25,30,35,40,45,50)/100*(Inputs!$B$11-Inputs!$B$11),0)))/100)/2</f>
        <v/>
      </c>
      <c r="M2279">
        <f>L2279*(1+(Inputs!$B$10+((C2303=TRUE)*(F2303-Calc!F26))+B2320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79">
        <f>L2279*(1-MIN((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2279*(MIN((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79">
        <f>(1-Summary!$B$11)*T2279+Summary!$B$11*V2279</f>
        <v/>
      </c>
      <c r="P2279">
        <f>IF(B2321=0,0,O2279/B2321)</f>
        <v/>
      </c>
      <c r="Q2279" t="n">
        <v>0</v>
      </c>
      <c r="R2279" t="n">
        <v>0</v>
      </c>
      <c r="S2279">
        <f>IFERROR(O2279/N2279,0)</f>
        <v/>
      </c>
      <c r="T2279">
        <f>IF(C2279,(Skills!G2*N2279*B2315)*IF(Inputs!$B$39="pvp",1,1+(Inputs!$B$20+((C2304=TRUE)*(F2304-Calc!F27))+Skills!P2+B2318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2279*(1-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2279*(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2279*(1-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2279*(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79">
        <f>MAX(0,(Inputs!$B$3-100)*3)+Inputs!$B$28+Inputs!$B$29</f>
        <v/>
      </c>
      <c r="V2279">
        <f>IF(C2279,(Skills!G2*N2279*B2315)*IF(Inputs!$B$39="pvp",1,(1+(Inputs!$B$21+Skills!Q2+B2318+(IF(ArtifactsInput!$M$33,CHOOSE(ArtifactsInput!$N$33+1,30,36,42,48,54,60),0))+(IF(AND(ArtifactsInput!$M$35,Inputs!$B$4&lt;&gt;"Chapter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80">
      <c r="A2280">
        <f>Skills!A3</f>
        <v/>
      </c>
      <c r="B2280">
        <f>Skills!B3</f>
        <v/>
      </c>
      <c r="C2280">
        <f>Inputs!$B$3&gt;=35</f>
        <v/>
      </c>
      <c r="D2280">
        <f>IF(Skills!C3=1,60+Inputs!$B$25+Inputs!$B$29,IF(Skills!C3=2,90+Inputs!$B$26+Inputs!$B$29,IF(Skills!C3=3,120+Inputs!$B$27+Inputs!$B$29,MAX(0,(Inputs!$B$3-100)*3)+Inputs!$B$28+Inputs!$B$29)))</f>
        <v/>
      </c>
      <c r="E2280">
        <f>INDEX(FactorTable!$B$2:$Y$301, MATCH(ROUND(MIN(300,MAX(1,D2280)),0), FactorTable!$A$2:$A$301,0), Skills!M3+1)</f>
        <v/>
      </c>
      <c r="F2280">
        <f>IF(Skills!N3=TRUE,(Skills!L3/10)*(E2280/1000),Skills!L3/10)+Skills!O3</f>
        <v/>
      </c>
      <c r="G2280">
        <f>Calc!G3</f>
        <v/>
      </c>
      <c r="H2280">
        <f>Calc!H3</f>
        <v/>
      </c>
      <c r="I2280">
        <f>IF(Skills!AA3&lt;&gt;"",1+(Skills!AA3/10)*(U2280/1000)/100,1)</f>
        <v/>
      </c>
      <c r="J2280">
        <f>((Inputs!$B$6*(1+Inputs!$B$7/100))+(((Inputs!$B$12*(1+Inputs!$B$13/100))-(Inputs!$B$12*(1+Inputs!$B$13/100)))+0.25*(Inputs!$B$14-Inputs!$B$14))*(1+Inputs!$B$7/100))*(F2280/100)</f>
        <v/>
      </c>
      <c r="K2280">
        <f>J2280*(1+((Inputs!$B$12*(1+Inputs!$B$13/100))*0.01+Inputs!$B$14*0.0025)/100)*(1+Inputs!$B$15/100)*(1+Inputs!$B$16/100)*(5000/(6000+Inputs!$B$43*(1-(100*(1-(1-(Inputs!$B$19+0)/100)*(1-CHOOSE(ArtifactsInput!$N$40+1,5,6,7,8,9,10)/100)^(ArtifactsInput!$M$40-ArtifactsInput!$M$40)))/100)))*(1+(Inputs!$B$24+((C2307=TRUE)*(F2307-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2300=TRUE)*(F2300-Calc!F23))+(((IF(AND(ArtifactsInput!$M$42,((Inputs!$B$9+((C2302=TRUE)*(F2302-Calc!F25))+B2317+(ArtifactsInput!$M$24-ArtifactsInput!$M$24)*CHOOSE(ArtifactsInput!$N$24+1,10,12,14,16,18,20)+IF(ArtifactsInput!$M$10,CHOOSE(ArtifactsInput!$N$10+1,15,18,21,24,27,30)*(IF(Inputs!$B$39="pvp",MIN(15,15)/15,IF(AND(Inputs!$B$39&lt;&gt;"pvp",Inputs!$B$44&gt;0),MIN(15,Inputs!$B$44)/(Inputs!$B$44),0))),0)))&gt;=100),MIN(100,((Inputs!$B$9+((C2302=TRUE)*(F2302-Calc!F25))+B2317+(ArtifactsInput!$M$24-ArtifactsInput!$M$24)*CHOOSE(ArtifactsInput!$N$24+1,10,12,14,16,18,20)+IF(ArtifactsInput!$M$10,CHOOSE(ArtifactsInput!$N$10+1,15,18,21,24,27,30)*(IF(Inputs!$B$39="pvp",MIN(15,15)/15,IF(AND(Inputs!$B$39&lt;&gt;"pvp",Inputs!$B$44&gt;0),MIN(15,Inputs!$B$44)/(Inputs!$B$44),0))),0)))-100),0))*CHOOSE(ArtifactsInput!$N$42+1,0.6,0.72,0.84,0.96,1.08,1.2))),Inputs!$B$18+((C2306=TRUE)*(F2306-Calc!F29))+(IF(AND(ArtifactsInput!$M$42,((Inputs!$B$9+((C2302=TRUE)*(F2302-Calc!F25))+B2317+(ArtifactsInput!$M$24-ArtifactsInput!$M$24)*CHOOSE(ArtifactsInput!$N$24+1,10,12,14,16,18,20)+IF(ArtifactsInput!$M$10,CHOOSE(ArtifactsInput!$N$10+1,15,18,21,24,27,30)*(IF(Inputs!$B$39="pvp",MIN(15,15)/15,IF(AND(Inputs!$B$39&lt;&gt;"pvp",Inputs!$B$44&gt;0),MIN(15,Inputs!$B$44)/(Inputs!$B$44),0))),0)))&gt;=100),CHOOSE(ArtifactsInput!$N$42+1,40,48,56,64,72,80),0))))/100)*(((1+(((C2298=TRUE)*F2298*IF(AND(Inputs!$B$39&lt;&gt;"pvp",Inputs!$B$44&gt;0),(((R2298-1)*(Skills!Y21*(1+Inputs!$B$34/100))+MIN((Skills!Y21*(1+Inputs!$B$34/100)),MAX(0,Inputs!$B$44-((R2298-1)*Skills!D21))))/Inputs!$B$44),IF(Inputs!$B$39="pvp",MIN((Skills!Y21*(1+Inputs!$B$34/100)),15)/15,(Skills!Y21*(1+Inputs!$B$34/100))/Skills!D21)))+((C2305=TRUE)*(F2305-Calc!F28))+((C2295=TRUE)*(F2295-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2292=TRUE)*F2292*IF(AND(Inputs!$B$39&lt;&gt;"pvp",Inputs!$B$44&gt;0),(((R2292-1)*(Skills!Y15*(1+Inputs!$B$34/100))+MIN((Skills!Y15*(1+Inputs!$B$34/100)),MAX(0,Inputs!$B$44-((R2292-1)*Skills!D15))))/Inputs!$B$44),IF(Inputs!$B$39="pvp",MIN((Skills!Y15*(1+Inputs!$B$34/100)),15)/15,(Skills!Y15*(1+Inputs!$B$34/100))/Skills!D15)))/100)*(1+((C2283=TRUE)*F2283*B2311)/100))*B2319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2280)</f>
        <v/>
      </c>
      <c r="L2280">
        <f>K2280*(MIN(Inputs!$B$22+((C2301=TRUE)*(F2301-Calc!F24)),(Inputs!$B$23+0+(IF(ArtifactsInput!$M$15,CHOOSE(ArtifactsInput!$N$15+1,25,30,35,40,45,50)/100*(Inputs!$B$11-Inputs!$B$11),0))))/100+(Inputs!$B$23+0+(IF(ArtifactsInput!$M$15,CHOOSE(ArtifactsInput!$N$15+1,25,30,35,40,45,50)/100*(Inputs!$B$11-Inputs!$B$11),0)))/100)/2</f>
        <v/>
      </c>
      <c r="M2280">
        <f>L2280*(1+(Inputs!$B$10+((C2303=TRUE)*(F2303-Calc!F26))+B2320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80">
        <f>L2280*(1-MIN((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2280*(MIN((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80">
        <f>(1-Summary!$B$11)*T2280+Summary!$B$11*V2280</f>
        <v/>
      </c>
      <c r="P2280">
        <f>IF(B2321=0,0,O2280/B2321)</f>
        <v/>
      </c>
      <c r="Q2280">
        <f>IFERROR(1/IF(Inputs!$B$39="pvp",15,MAX(0.1,Skills!D3-IF(Skills!E3=TRUE,Inputs!$B$32,0))),0)</f>
        <v/>
      </c>
      <c r="R2280">
        <f>IF(AND(Inputs!$B$39&lt;&gt;"pvp",Inputs!$B$44&gt;0),IF(MAX(0,Inputs!$B$44-B2322)&lt;=0,0,(INT(MAX(0,Inputs!$B$44-B2322)/IF(Inputs!$B$39="pvp",15,MAX(0.1,Skills!D3-IF(Skills!E3=TRUE,Inputs!$B$32,0))))+1)),0)</f>
        <v/>
      </c>
      <c r="S2280">
        <f>IFERROR(O2280/N2280,0)</f>
        <v/>
      </c>
      <c r="T2280">
        <f>IF(C2280,(H2280*N2280*IF(AND(Inputs!$B$39&lt;&gt;"pvp",Inputs!$B$44&gt;0),((Skills!G3*((R2280-1)*IF(Skills!H3&gt;0,Skills!I3/Skills!H3,1)+IF(Skills!H3&gt;0,MIN(Skills!I3,MAX(0,MAX(0,Inputs!$B$44-B2322)-((R2280-1)*IF(Inputs!$B$39="pvp",15,MAX(0.1,Skills!D3-IF(Skills!E3=TRUE,Inputs!$B$32,0))))))/Skills!H3,1)))/Inputs!$B$44),G2280*Q2280))*IF(Inputs!$B$39="pvp",1,1+(Inputs!$B$20+((C2304=TRUE)*(F2304-Calc!F27))+Skills!P3+B2318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2280*(1-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2280*(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2280*(1-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2280*(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80">
        <f>INDEX(FactorTable!$B$2:$Y$301, MATCH(ROUND(MIN(300,MAX(1,U2279)),0), FactorTable!$A$2:$A$301,0), 24)</f>
        <v/>
      </c>
      <c r="V2280">
        <f>IF(C2280,(H2280*N2280*IF(AND(Inputs!$B$39&lt;&gt;"pvp",Inputs!$B$44&gt;0),((Skills!G3*((R2280-1)*IF(Skills!H3&gt;0,Skills!I3/Skills!H3,1)+IF(Skills!H3&gt;0,MIN(Skills!I3,MAX(0,MAX(0,Inputs!$B$44-B2322)-((R2280-1)*IF(Inputs!$B$39="pvp",15,MAX(0.1,Skills!D3-IF(Skills!E3=TRUE,Inputs!$B$32,0))))))/Skills!H3,1)))/Inputs!$B$44),G2280*Q2280))*IF(Inputs!$B$39="pvp",1,(1+(Inputs!$B$21+Skills!Q3+B2318+(IF(ArtifactsInput!$M$33,CHOOSE(ArtifactsInput!$N$33+1,30,36,42,48,54,60),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81">
      <c r="A2281">
        <f>Skills!A4</f>
        <v/>
      </c>
      <c r="B2281">
        <f>Skills!B4</f>
        <v/>
      </c>
      <c r="C2281">
        <f>Inputs!$B$3&gt;=40</f>
        <v/>
      </c>
      <c r="D2281">
        <f>IF(Skills!C4=1,60+Inputs!$B$25+Inputs!$B$29,IF(Skills!C4=2,90+Inputs!$B$26+Inputs!$B$29,IF(Skills!C4=3,120+Inputs!$B$27+Inputs!$B$29,MAX(0,(Inputs!$B$3-100)*3)+Inputs!$B$28+Inputs!$B$29)))</f>
        <v/>
      </c>
      <c r="E2281">
        <f>INDEX(FactorTable!$B$2:$Y$301, MATCH(ROUND(MIN(300,MAX(1,D2281)),0), FactorTable!$A$2:$A$301,0), Skills!M4+1)</f>
        <v/>
      </c>
      <c r="F2281">
        <f>IF(Skills!N4=TRUE,(Skills!L4/10)*(E2281/1000),Skills!L4/10)+Skills!O4</f>
        <v/>
      </c>
      <c r="G2281">
        <f>Calc!G4</f>
        <v/>
      </c>
      <c r="H2281">
        <f>Calc!H4</f>
        <v/>
      </c>
      <c r="I2281">
        <f>IF(Skills!AA4&lt;&gt;"",1+(Skills!AA4/10)*(U2280/1000)/100,1)</f>
        <v/>
      </c>
      <c r="J2281">
        <f>((Inputs!$B$6*(1+Inputs!$B$7/100))+(((Inputs!$B$12*(1+Inputs!$B$13/100))-(Inputs!$B$12*(1+Inputs!$B$13/100)))+0.25*(Inputs!$B$14-Inputs!$B$14))*(1+Inputs!$B$7/100))*(F2281/100)</f>
        <v/>
      </c>
      <c r="K2281">
        <f>J2281*(1+((Inputs!$B$12*(1+Inputs!$B$13/100))*0.01+Inputs!$B$14*0.0025)/100)*(1+Inputs!$B$15/100)*(1+Inputs!$B$16/100)*(5000/(6000+Inputs!$B$43*(1-(100*(1-(1-(Inputs!$B$19+0)/100)*(1-CHOOSE(ArtifactsInput!$N$40+1,5,6,7,8,9,10)/100)^(ArtifactsInput!$M$40-ArtifactsInput!$M$40)))/100)))*(1+(Inputs!$B$24+((C2307=TRUE)*(F2307-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2300=TRUE)*(F2300-Calc!F23))+(((IF(AND(ArtifactsInput!$M$42,((Inputs!$B$9+((C2302=TRUE)*(F2302-Calc!F25))+B2317+(ArtifactsInput!$M$24-ArtifactsInput!$M$24)*CHOOSE(ArtifactsInput!$N$24+1,10,12,14,16,18,20)+IF(ArtifactsInput!$M$10,CHOOSE(ArtifactsInput!$N$10+1,15,18,21,24,27,30)*(IF(Inputs!$B$39="pvp",MIN(15,15)/15,IF(AND(Inputs!$B$39&lt;&gt;"pvp",Inputs!$B$44&gt;0),MIN(15,Inputs!$B$44)/(Inputs!$B$44),0))),0)))&gt;=100),MIN(100,((Inputs!$B$9+((C2302=TRUE)*(F2302-Calc!F25))+B2317+(ArtifactsInput!$M$24-ArtifactsInput!$M$24)*CHOOSE(ArtifactsInput!$N$24+1,10,12,14,16,18,20)+IF(ArtifactsInput!$M$10,CHOOSE(ArtifactsInput!$N$10+1,15,18,21,24,27,30)*(IF(Inputs!$B$39="pvp",MIN(15,15)/15,IF(AND(Inputs!$B$39&lt;&gt;"pvp",Inputs!$B$44&gt;0),MIN(15,Inputs!$B$44)/(Inputs!$B$44),0))),0)))-100),0))*CHOOSE(ArtifactsInput!$N$42+1,0.6,0.72,0.84,0.96,1.08,1.2))),Inputs!$B$18+((C2306=TRUE)*(F2306-Calc!F29))+(IF(AND(ArtifactsInput!$M$42,((Inputs!$B$9+((C2302=TRUE)*(F2302-Calc!F25))+B2317+(ArtifactsInput!$M$24-ArtifactsInput!$M$24)*CHOOSE(ArtifactsInput!$N$24+1,10,12,14,16,18,20)+IF(ArtifactsInput!$M$10,CHOOSE(ArtifactsInput!$N$10+1,15,18,21,24,27,30)*(IF(Inputs!$B$39="pvp",MIN(15,15)/15,IF(AND(Inputs!$B$39&lt;&gt;"pvp",Inputs!$B$44&gt;0),MIN(15,Inputs!$B$44)/(Inputs!$B$44),0))),0)))&gt;=100),CHOOSE(ArtifactsInput!$N$42+1,40,48,56,64,72,80),0))))/100)*(((1+(((C2298=TRUE)*F2298*IF(AND(Inputs!$B$39&lt;&gt;"pvp",Inputs!$B$44&gt;0),(((R2298-1)*(Skills!Y21*(1+Inputs!$B$34/100))+MIN((Skills!Y21*(1+Inputs!$B$34/100)),MAX(0,Inputs!$B$44-((R2298-1)*Skills!D21))))/Inputs!$B$44),IF(Inputs!$B$39="pvp",MIN((Skills!Y21*(1+Inputs!$B$34/100)),15)/15,(Skills!Y21*(1+Inputs!$B$34/100))/Skills!D21)))+((C2305=TRUE)*(F2305-Calc!F28))+((C2295=TRUE)*(F2295-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2292=TRUE)*F2292*IF(AND(Inputs!$B$39&lt;&gt;"pvp",Inputs!$B$44&gt;0),(((R2292-1)*(Skills!Y15*(1+Inputs!$B$34/100))+MIN((Skills!Y15*(1+Inputs!$B$34/100)),MAX(0,Inputs!$B$44-((R2292-1)*Skills!D15))))/Inputs!$B$44),IF(Inputs!$B$39="pvp",MIN((Skills!Y15*(1+Inputs!$B$34/100)),15)/15,(Skills!Y15*(1+Inputs!$B$34/100))/Skills!D15)))/100)*(1+((C2283=TRUE)*F2283*B2311)/100))*B2319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2281)</f>
        <v/>
      </c>
      <c r="L2281">
        <f>K2281*(MIN(Inputs!$B$22+((C2301=TRUE)*(F2301-Calc!F24)),(Inputs!$B$23+0+(IF(ArtifactsInput!$M$15,CHOOSE(ArtifactsInput!$N$15+1,25,30,35,40,45,50)/100*(Inputs!$B$11-Inputs!$B$11),0))))/100+(Inputs!$B$23+0+(IF(ArtifactsInput!$M$15,CHOOSE(ArtifactsInput!$N$15+1,25,30,35,40,45,50)/100*(Inputs!$B$11-Inputs!$B$11),0)))/100)/2</f>
        <v/>
      </c>
      <c r="M2281">
        <f>L2281*(1+(Inputs!$B$10+((C2303=TRUE)*(F2303-Calc!F26))+B2320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81">
        <f>L2281*(1-MIN((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2281*(MIN((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81">
        <f>(1-Summary!$B$11)*T2281+Summary!$B$11*V2281</f>
        <v/>
      </c>
      <c r="P2281">
        <f>IF(B2321=0,0,O2281/B2321)</f>
        <v/>
      </c>
      <c r="Q2281">
        <f>IFERROR(1/IF(Inputs!$B$39="pvp",15,MAX(0.1,Skills!D4-IF(Skills!E4=TRUE,Inputs!$B$32,0))),0)</f>
        <v/>
      </c>
      <c r="R2281">
        <f>IF(AND(Inputs!$B$39&lt;&gt;"pvp",Inputs!$B$44&gt;0),IF(MAX(0,Inputs!$B$44-B2322)&lt;=0,0,(INT(MAX(0,Inputs!$B$44-B2322)/IF(Inputs!$B$39="pvp",15,MAX(0.1,Skills!D4-IF(Skills!E4=TRUE,Inputs!$B$32,0))))+1)),0)</f>
        <v/>
      </c>
      <c r="S2281">
        <f>IFERROR(O2281/N2281,0)</f>
        <v/>
      </c>
      <c r="T2281">
        <f>IF(C2281,(H2281*N2281*IF(AND(Inputs!$B$39&lt;&gt;"pvp",Inputs!$B$44&gt;0),((Skills!G4*((R2281-1)*IF(Skills!H4&gt;0,Skills!I4/Skills!H4,1)+IF(Skills!H4&gt;0,MIN(Skills!I4,MAX(0,MAX(0,Inputs!$B$44-B2322)-((R2281-1)*IF(Inputs!$B$39="pvp",15,MAX(0.1,Skills!D4-IF(Skills!E4=TRUE,Inputs!$B$32,0))))))/Skills!H4,1)))/Inputs!$B$44),G2281*Q2281))*IF(Inputs!$B$39="pvp",1,1+(Inputs!$B$20+((C2304=TRUE)*(F2304-Calc!F27))+Skills!P4+B2318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2281*(1-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2281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2281*(1-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2281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81">
        <f>MAX(0,(Inputs!$B$3-100)*3)+Inputs!$B$28+Inputs!$B$29</f>
        <v/>
      </c>
      <c r="V2281">
        <f>IF(C2281,(H2281*N2281*IF(AND(Inputs!$B$39&lt;&gt;"pvp",Inputs!$B$44&gt;0),((Skills!G4*((R2281-1)*IF(Skills!H4&gt;0,Skills!I4/Skills!H4,1)+IF(Skills!H4&gt;0,MIN(Skills!I4,MAX(0,MAX(0,Inputs!$B$44-B2322)-((R2281-1)*IF(Inputs!$B$39="pvp",15,MAX(0.1,Skills!D4-IF(Skills!E4=TRUE,Inputs!$B$32,0))))))/Skills!H4,1)))/Inputs!$B$44),G2281*Q2281))*IF(Inputs!$B$39="pvp",1,(1+(Inputs!$B$21+Skills!Q4+B2318+(IF(ArtifactsInput!$M$33,CHOOSE(ArtifactsInput!$N$33+1,30,36,42,48,54,60),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82">
      <c r="A2282">
        <f>Skills!A5</f>
        <v/>
      </c>
      <c r="B2282">
        <f>Skills!B5</f>
        <v/>
      </c>
      <c r="C2282">
        <f>Inputs!$B$3&gt;=63</f>
        <v/>
      </c>
      <c r="D2282">
        <f>IF(Skills!C5=1,60+Inputs!$B$25+Inputs!$B$29,IF(Skills!C5=2,90+Inputs!$B$26+Inputs!$B$29,IF(Skills!C5=3,120+Inputs!$B$27+Inputs!$B$29,MAX(0,(Inputs!$B$3-100)*3)+Inputs!$B$28+Inputs!$B$29)))</f>
        <v/>
      </c>
      <c r="E2282">
        <f>INDEX(FactorTable!$B$2:$Y$301, MATCH(ROUND(MIN(300,MAX(1,D2282)),0), FactorTable!$A$2:$A$301,0), Skills!M5+1)</f>
        <v/>
      </c>
      <c r="F2282">
        <f>IF(Skills!N5=TRUE,(Skills!L5/10)*(E2282/1000),Skills!L5/10)+Skills!O5</f>
        <v/>
      </c>
      <c r="G2282">
        <f>Calc!G5</f>
        <v/>
      </c>
      <c r="H2282">
        <f>Calc!H5</f>
        <v/>
      </c>
      <c r="I2282">
        <f>IF(Skills!AA5&lt;&gt;"",1+(Skills!AA5/10)*(U2280/1000)/100,1)</f>
        <v/>
      </c>
      <c r="J2282">
        <f>((Inputs!$B$6*(1+Inputs!$B$7/100))+(((Inputs!$B$12*(1+Inputs!$B$13/100))-(Inputs!$B$12*(1+Inputs!$B$13/100)))+0.25*(Inputs!$B$14-Inputs!$B$14))*(1+Inputs!$B$7/100))*(F2282/100)</f>
        <v/>
      </c>
      <c r="K2282">
        <f>J2282*(1+((Inputs!$B$12*(1+Inputs!$B$13/100))*0.01+Inputs!$B$14*0.0025)/100)*(1+Inputs!$B$15/100)*(1+Inputs!$B$16/100)*(5000/(6000+Inputs!$B$43*(1-(100*(1-(1-(Inputs!$B$19+0)/100)*(1-CHOOSE(ArtifactsInput!$N$40+1,5,6,7,8,9,10)/100)^(ArtifactsInput!$M$40-ArtifactsInput!$M$40)))/100)))*(1+(Inputs!$B$24+((C2307=TRUE)*(F2307-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2300=TRUE)*(F2300-Calc!F23))+(((IF(AND(ArtifactsInput!$M$42,((Inputs!$B$9+((C2302=TRUE)*(F2302-Calc!F25))+B2317+(ArtifactsInput!$M$24-ArtifactsInput!$M$24)*CHOOSE(ArtifactsInput!$N$24+1,10,12,14,16,18,20)+IF(ArtifactsInput!$M$10,CHOOSE(ArtifactsInput!$N$10+1,15,18,21,24,27,30)*(IF(Inputs!$B$39="pvp",MIN(15,15)/15,IF(AND(Inputs!$B$39&lt;&gt;"pvp",Inputs!$B$44&gt;0),MIN(15,Inputs!$B$44)/(Inputs!$B$44),0))),0)))&gt;=100),MIN(100,((Inputs!$B$9+((C2302=TRUE)*(F2302-Calc!F25))+B2317+(ArtifactsInput!$M$24-ArtifactsInput!$M$24)*CHOOSE(ArtifactsInput!$N$24+1,10,12,14,16,18,20)+IF(ArtifactsInput!$M$10,CHOOSE(ArtifactsInput!$N$10+1,15,18,21,24,27,30)*(IF(Inputs!$B$39="pvp",MIN(15,15)/15,IF(AND(Inputs!$B$39&lt;&gt;"pvp",Inputs!$B$44&gt;0),MIN(15,Inputs!$B$44)/(Inputs!$B$44),0))),0)))-100),0))*CHOOSE(ArtifactsInput!$N$42+1,0.6,0.72,0.84,0.96,1.08,1.2))),Inputs!$B$18+((C2306=TRUE)*(F2306-Calc!F29))+(IF(AND(ArtifactsInput!$M$42,((Inputs!$B$9+((C2302=TRUE)*(F2302-Calc!F25))+B2317+(ArtifactsInput!$M$24-ArtifactsInput!$M$24)*CHOOSE(ArtifactsInput!$N$24+1,10,12,14,16,18,20)+IF(ArtifactsInput!$M$10,CHOOSE(ArtifactsInput!$N$10+1,15,18,21,24,27,30)*(IF(Inputs!$B$39="pvp",MIN(15,15)/15,IF(AND(Inputs!$B$39&lt;&gt;"pvp",Inputs!$B$44&gt;0),MIN(15,Inputs!$B$44)/(Inputs!$B$44),0))),0)))&gt;=100),CHOOSE(ArtifactsInput!$N$42+1,40,48,56,64,72,80),0))))/100)*(((1+(((C2298=TRUE)*F2298*IF(AND(Inputs!$B$39&lt;&gt;"pvp",Inputs!$B$44&gt;0),(((R2298-1)*(Skills!Y21*(1+Inputs!$B$34/100))+MIN((Skills!Y21*(1+Inputs!$B$34/100)),MAX(0,Inputs!$B$44-((R2298-1)*Skills!D21))))/Inputs!$B$44),IF(Inputs!$B$39="pvp",MIN((Skills!Y21*(1+Inputs!$B$34/100)),15)/15,(Skills!Y21*(1+Inputs!$B$34/100))/Skills!D21)))+((C2305=TRUE)*(F2305-Calc!F28))+((C2295=TRUE)*(F2295-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2292=TRUE)*F2292*IF(AND(Inputs!$B$39&lt;&gt;"pvp",Inputs!$B$44&gt;0),(((R2292-1)*(Skills!Y15*(1+Inputs!$B$34/100))+MIN((Skills!Y15*(1+Inputs!$B$34/100)),MAX(0,Inputs!$B$44-((R2292-1)*Skills!D15))))/Inputs!$B$44),IF(Inputs!$B$39="pvp",MIN((Skills!Y15*(1+Inputs!$B$34/100)),15)/15,(Skills!Y15*(1+Inputs!$B$34/100))/Skills!D15)))/100)*(1+((C2283=TRUE)*F2283*B2311)/100))*B2319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2282)</f>
        <v/>
      </c>
      <c r="L2282">
        <f>K2282*(MIN(Inputs!$B$22+((C2301=TRUE)*(F2301-Calc!F24)),(Inputs!$B$23+0+(IF(ArtifactsInput!$M$15,CHOOSE(ArtifactsInput!$N$15+1,25,30,35,40,45,50)/100*(Inputs!$B$11-Inputs!$B$11),0))))/100+(Inputs!$B$23+0+(IF(ArtifactsInput!$M$15,CHOOSE(ArtifactsInput!$N$15+1,25,30,35,40,45,50)/100*(Inputs!$B$11-Inputs!$B$11),0)))/100)/2</f>
        <v/>
      </c>
      <c r="M2282">
        <f>L2282*(1+(Inputs!$B$10+((C2303=TRUE)*(F2303-Calc!F26))+B2320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82">
        <f>L2282*(1-MIN((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2282*(MIN((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82">
        <f>(1-Summary!$B$11)*T2282+Summary!$B$11*V2282</f>
        <v/>
      </c>
      <c r="P2282">
        <f>IF(B2321=0,0,O2282/B2321)</f>
        <v/>
      </c>
      <c r="Q2282">
        <f>IFERROR(1/IF(Inputs!$B$39="pvp",15,MAX(0.1,Skills!D5-IF(Skills!E5=TRUE,Inputs!$B$32,0))),0)</f>
        <v/>
      </c>
      <c r="R2282">
        <f>IF(AND(Inputs!$B$39&lt;&gt;"pvp",Inputs!$B$44&gt;0),IF(MAX(0,Inputs!$B$44-B2322)&lt;=0,0,(INT(MAX(0,Inputs!$B$44-B2322)/IF(Inputs!$B$39="pvp",15,MAX(0.1,Skills!D5-IF(Skills!E5=TRUE,Inputs!$B$32,0))))+1)),0)</f>
        <v/>
      </c>
      <c r="S2282">
        <f>IFERROR(O2282/N2282,0)</f>
        <v/>
      </c>
      <c r="T2282">
        <f>IF(C2282,(H2282*N2282*IF(AND(Inputs!$B$39&lt;&gt;"pvp",Inputs!$B$44&gt;0),((Skills!G5*((R2282-1)*IF(Skills!H5&gt;0,Skills!I5/Skills!H5,1)+IF(Skills!H5&gt;0,MIN(Skills!I5,MAX(0,MAX(0,Inputs!$B$44-B2322)-((R2282-1)*IF(Inputs!$B$39="pvp",15,MAX(0.1,Skills!D5-IF(Skills!E5=TRUE,Inputs!$B$32,0))))))/Skills!H5,1)))/Inputs!$B$44),G2282*Q2282))*IF(Inputs!$B$39="pvp",1,1+(Inputs!$B$20+((C2304=TRUE)*(F2304-Calc!F27))+Skills!P5+B2318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2282*(1-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2282*(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2282*(1-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2282*(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82">
        <f>INDEX(FactorTable!$B$2:$Y$301, MATCH(ROUND(MIN(300,MAX(1,U2281)),0), FactorTable!$A$2:$A$301,0), 22)</f>
        <v/>
      </c>
      <c r="V2282">
        <f>IF(C2282,(H2282*N2282*IF(AND(Inputs!$B$39&lt;&gt;"pvp",Inputs!$B$44&gt;0),((Skills!G5*((R2282-1)*IF(Skills!H5&gt;0,Skills!I5/Skills!H5,1)+IF(Skills!H5&gt;0,MIN(Skills!I5,MAX(0,MAX(0,Inputs!$B$44-B2322)-((R2282-1)*IF(Inputs!$B$39="pvp",15,MAX(0.1,Skills!D5-IF(Skills!E5=TRUE,Inputs!$B$32,0))))))/Skills!H5,1)))/Inputs!$B$44),G2282*Q2282))*IF(Inputs!$B$39="pvp",1,(1+(Inputs!$B$21+Skills!Q5+B2318+(IF(ArtifactsInput!$M$33,CHOOSE(ArtifactsInput!$N$33+1,30,36,42,48,54,60),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83">
      <c r="A2283">
        <f>Skills!A6</f>
        <v/>
      </c>
      <c r="B2283">
        <f>Skills!B6</f>
        <v/>
      </c>
      <c r="C2283">
        <f>Inputs!$B$3&gt;=66</f>
        <v/>
      </c>
      <c r="D2283">
        <f>IF(Skills!C6=1,60+Inputs!$B$25+Inputs!$B$29,IF(Skills!C6=2,90+Inputs!$B$26+Inputs!$B$29,IF(Skills!C6=3,120+Inputs!$B$27+Inputs!$B$29,MAX(0,(Inputs!$B$3-100)*3)+Inputs!$B$28+Inputs!$B$29)))</f>
        <v/>
      </c>
      <c r="E2283">
        <f>INDEX(FactorTable!$B$2:$Y$301, MATCH(ROUND(MIN(300,MAX(1,D2283)),0), FactorTable!$A$2:$A$301,0), Skills!M6+1)</f>
        <v/>
      </c>
      <c r="F2283">
        <f>IF(Skills!N6=TRUE,(Skills!L6/10)*(E2283/1000),Skills!L6/10)+Skills!O6</f>
        <v/>
      </c>
      <c r="G2283">
        <f>Calc!G6</f>
        <v/>
      </c>
      <c r="H2283">
        <f>Calc!H6</f>
        <v/>
      </c>
      <c r="I2283">
        <f>IF(Skills!AA6&lt;&gt;"",1+(Skills!AA6/10)*(U2280/1000)/100,1)</f>
        <v/>
      </c>
      <c r="J2283" t="inlineStr"/>
      <c r="K2283" t="inlineStr"/>
      <c r="L2283" t="inlineStr"/>
      <c r="M2283" t="inlineStr"/>
      <c r="N2283" t="inlineStr"/>
      <c r="O2283">
        <f>(1-Summary!$B$11)*T2283+Summary!$B$11*V2283</f>
        <v/>
      </c>
      <c r="P2283">
        <f>IF(B2321=0,0,O2283/B2321)</f>
        <v/>
      </c>
      <c r="Q2283" t="n">
        <v>0</v>
      </c>
      <c r="R2283" t="n">
        <v>0</v>
      </c>
      <c r="S2283">
        <f>IFERROR(O2283/N2283,0)</f>
        <v/>
      </c>
      <c r="T2283" t="n">
        <v>0</v>
      </c>
      <c r="U2283">
        <f>290*U2282/1000</f>
        <v/>
      </c>
      <c r="V2283" t="n">
        <v>0</v>
      </c>
    </row>
    <row r="2284">
      <c r="A2284">
        <f>Skills!A7</f>
        <v/>
      </c>
      <c r="B2284">
        <f>Skills!B7</f>
        <v/>
      </c>
      <c r="C2284">
        <f>Inputs!$B$3&gt;=66</f>
        <v/>
      </c>
      <c r="D2284">
        <f>IF(Skills!C7=1,60+Inputs!$B$25+Inputs!$B$29,IF(Skills!C7=2,90+Inputs!$B$26+Inputs!$B$29,IF(Skills!C7=3,120+Inputs!$B$27+Inputs!$B$29,MAX(0,(Inputs!$B$3-100)*3)+Inputs!$B$28+Inputs!$B$29)))</f>
        <v/>
      </c>
      <c r="E2284">
        <f>INDEX(FactorTable!$B$2:$Y$301, MATCH(ROUND(MIN(300,MAX(1,D2284)),0), FactorTable!$A$2:$A$301,0), Skills!M7+1)</f>
        <v/>
      </c>
      <c r="F2284">
        <f>IF(Skills!N7=TRUE,(Skills!L7/10)*(E2284/1000),Skills!L7/10)+Skills!O7</f>
        <v/>
      </c>
      <c r="G2284">
        <f>Calc!G7</f>
        <v/>
      </c>
      <c r="H2284">
        <f>Calc!H7</f>
        <v/>
      </c>
      <c r="I2284">
        <f>IF(Skills!AA7&lt;&gt;"",1+(Skills!AA7/10)*(U2280/1000)/100,1)</f>
        <v/>
      </c>
      <c r="J2284" t="inlineStr"/>
      <c r="K2284" t="inlineStr"/>
      <c r="L2284" t="inlineStr"/>
      <c r="M2284" t="inlineStr"/>
      <c r="N2284" t="inlineStr"/>
      <c r="O2284">
        <f>(1-Summary!$B$11)*T2284+Summary!$B$11*V2284</f>
        <v/>
      </c>
      <c r="P2284">
        <f>IF(B2321=0,0,O2284/B2321)</f>
        <v/>
      </c>
      <c r="Q2284" t="n">
        <v>0</v>
      </c>
      <c r="R2284" t="n">
        <v>0</v>
      </c>
      <c r="S2284">
        <f>IFERROR(O2284/N2284,0)</f>
        <v/>
      </c>
      <c r="T2284" t="n">
        <v>0</v>
      </c>
      <c r="V2284" t="n">
        <v>0</v>
      </c>
    </row>
    <row r="2285">
      <c r="A2285">
        <f>Skills!A8</f>
        <v/>
      </c>
      <c r="B2285">
        <f>Skills!B8</f>
        <v/>
      </c>
      <c r="C2285">
        <f>Inputs!$B$3&gt;=69</f>
        <v/>
      </c>
      <c r="D2285">
        <f>IF(Skills!C8=1,60+Inputs!$B$25+Inputs!$B$29,IF(Skills!C8=2,90+Inputs!$B$26+Inputs!$B$29,IF(Skills!C8=3,120+Inputs!$B$27+Inputs!$B$29,MAX(0,(Inputs!$B$3-100)*3)+Inputs!$B$28+Inputs!$B$29)))</f>
        <v/>
      </c>
      <c r="E2285">
        <f>INDEX(FactorTable!$B$2:$Y$301, MATCH(ROUND(MIN(300,MAX(1,D2285)),0), FactorTable!$A$2:$A$301,0), Skills!M8+1)</f>
        <v/>
      </c>
      <c r="F2285">
        <f>IF(Skills!N8=TRUE,(Skills!L8/10)*(E2285/1000),Skills!L8/10)+Skills!O8</f>
        <v/>
      </c>
      <c r="G2285">
        <f>Calc!G8</f>
        <v/>
      </c>
      <c r="H2285">
        <f>Calc!H8</f>
        <v/>
      </c>
      <c r="I2285">
        <f>IF(Skills!AA8&lt;&gt;"",1+(Skills!AA8/10)*(U2280/1000)/100,1)</f>
        <v/>
      </c>
      <c r="J2285">
        <f>((Inputs!$B$6*(1+Inputs!$B$7/100))+(((Inputs!$B$12*(1+Inputs!$B$13/100))-(Inputs!$B$12*(1+Inputs!$B$13/100)))+0.25*(Inputs!$B$14-Inputs!$B$14))*(1+Inputs!$B$7/100))*(F2285/100)</f>
        <v/>
      </c>
      <c r="K2285">
        <f>J2285*(1+((Inputs!$B$12*(1+Inputs!$B$13/100))*0.01+Inputs!$B$14*0.0025)/100)*(1+Inputs!$B$15/100)*(1+Inputs!$B$16/100)*(5000/(6000+Inputs!$B$43*(1-(100*(1-(1-(Inputs!$B$19+0)/100)*(1-CHOOSE(ArtifactsInput!$N$40+1,5,6,7,8,9,10)/100)^(ArtifactsInput!$M$40-ArtifactsInput!$M$40)))/100)))*(1+(Inputs!$B$24+((C2307=TRUE)*(F2307-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2300=TRUE)*(F2300-Calc!F23))+(((IF(AND(ArtifactsInput!$M$42,((Inputs!$B$9+((C2302=TRUE)*(F2302-Calc!F25))+B2317+(ArtifactsInput!$M$24-ArtifactsInput!$M$24)*CHOOSE(ArtifactsInput!$N$24+1,10,12,14,16,18,20)+IF(ArtifactsInput!$M$10,CHOOSE(ArtifactsInput!$N$10+1,15,18,21,24,27,30)*(IF(Inputs!$B$39="pvp",MIN(15,15)/15,IF(AND(Inputs!$B$39&lt;&gt;"pvp",Inputs!$B$44&gt;0),MIN(15,Inputs!$B$44)/(Inputs!$B$44),0))),0)))&gt;=100),MIN(100,((Inputs!$B$9+((C2302=TRUE)*(F2302-Calc!F25))+B2317+(ArtifactsInput!$M$24-ArtifactsInput!$M$24)*CHOOSE(ArtifactsInput!$N$24+1,10,12,14,16,18,20)+IF(ArtifactsInput!$M$10,CHOOSE(ArtifactsInput!$N$10+1,15,18,21,24,27,30)*(IF(Inputs!$B$39="pvp",MIN(15,15)/15,IF(AND(Inputs!$B$39&lt;&gt;"pvp",Inputs!$B$44&gt;0),MIN(15,Inputs!$B$44)/(Inputs!$B$44),0))),0)))-100),0))*CHOOSE(ArtifactsInput!$N$42+1,0.6,0.72,0.84,0.96,1.08,1.2))),Inputs!$B$18+((C2306=TRUE)*(F2306-Calc!F29))+(IF(AND(ArtifactsInput!$M$42,((Inputs!$B$9+((C2302=TRUE)*(F2302-Calc!F25))+B2317+(ArtifactsInput!$M$24-ArtifactsInput!$M$24)*CHOOSE(ArtifactsInput!$N$24+1,10,12,14,16,18,20)+IF(ArtifactsInput!$M$10,CHOOSE(ArtifactsInput!$N$10+1,15,18,21,24,27,30)*(IF(Inputs!$B$39="pvp",MIN(15,15)/15,IF(AND(Inputs!$B$39&lt;&gt;"pvp",Inputs!$B$44&gt;0),MIN(15,Inputs!$B$44)/(Inputs!$B$44),0))),0)))&gt;=100),CHOOSE(ArtifactsInput!$N$42+1,40,48,56,64,72,80),0))))/100)*(((1+(((C2298=TRUE)*F2298*IF(AND(Inputs!$B$39&lt;&gt;"pvp",Inputs!$B$44&gt;0),(((R2298-1)*(Skills!Y21*(1+Inputs!$B$34/100))+MIN((Skills!Y21*(1+Inputs!$B$34/100)),MAX(0,Inputs!$B$44-((R2298-1)*Skills!D21))))/Inputs!$B$44),IF(Inputs!$B$39="pvp",MIN((Skills!Y21*(1+Inputs!$B$34/100)),15)/15,(Skills!Y21*(1+Inputs!$B$34/100))/Skills!D21)))+((C2305=TRUE)*(F2305-Calc!F28))+((C2295=TRUE)*(F2295-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2292=TRUE)*F2292*IF(AND(Inputs!$B$39&lt;&gt;"pvp",Inputs!$B$44&gt;0),(((R2292-1)*(Skills!Y15*(1+Inputs!$B$34/100))+MIN((Skills!Y15*(1+Inputs!$B$34/100)),MAX(0,Inputs!$B$44-((R2292-1)*Skills!D15))))/Inputs!$B$44),IF(Inputs!$B$39="pvp",MIN((Skills!Y15*(1+Inputs!$B$34/100)),15)/15,(Skills!Y15*(1+Inputs!$B$34/100))/Skills!D15)))/100)*(1+((C2283=TRUE)*F2283*B2311)/100))*B2319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2285)</f>
        <v/>
      </c>
      <c r="L2285">
        <f>K2285*(MIN(Inputs!$B$22+((C2301=TRUE)*(F2301-Calc!F24)),(Inputs!$B$23+0+(IF(ArtifactsInput!$M$15,CHOOSE(ArtifactsInput!$N$15+1,25,30,35,40,45,50)/100*(Inputs!$B$11-Inputs!$B$11),0))))/100+(Inputs!$B$23+0+(IF(ArtifactsInput!$M$15,CHOOSE(ArtifactsInput!$N$15+1,25,30,35,40,45,50)/100*(Inputs!$B$11-Inputs!$B$11),0)))/100)/2</f>
        <v/>
      </c>
      <c r="M2285">
        <f>L2285*(1+(Inputs!$B$10+((C2303=TRUE)*(F2303-Calc!F26))+B2320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85">
        <f>L2285*(1-MIN((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2285*(MIN((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85">
        <f>(1-Summary!$B$11)*T2285+Summary!$B$11*V2285</f>
        <v/>
      </c>
      <c r="P2285">
        <f>IF(B2321=0,0,O2285/B2321)</f>
        <v/>
      </c>
      <c r="Q2285">
        <f>IFERROR(1/IF(Inputs!$B$39="pvp",15,MAX(0.1,Skills!D8-IF(Skills!E8=TRUE,Inputs!$B$32,0))),0)</f>
        <v/>
      </c>
      <c r="R2285">
        <f>IF(AND(Inputs!$B$39&lt;&gt;"pvp",Inputs!$B$44&gt;0),IF(MAX(0,Inputs!$B$44-B2322)&lt;=0,0,(INT(MAX(0,Inputs!$B$44-B2322)/IF(Inputs!$B$39="pvp",15,MAX(0.1,Skills!D8-IF(Skills!E8=TRUE,Inputs!$B$32,0))))+1)),0)</f>
        <v/>
      </c>
      <c r="S2285">
        <f>IFERROR(O2285/N2285,0)</f>
        <v/>
      </c>
      <c r="T2285">
        <f>IF(C2285,(H2285*N2285*IF(AND(Inputs!$B$39&lt;&gt;"pvp",Inputs!$B$44&gt;0),((Skills!G8*((R2285-1)*IF(Skills!H8&gt;0,Skills!I8/Skills!H8,1)+IF(Skills!H8&gt;0,MIN(Skills!I8,MAX(0,MAX(0,Inputs!$B$44-B2322)-((R2285-1)*IF(Inputs!$B$39="pvp",15,MAX(0.1,Skills!D8-IF(Skills!E8=TRUE,Inputs!$B$32,0))))))/Skills!H8,1)))/Inputs!$B$44),G2285*Q2285))*IF(Inputs!$B$39="pvp",1,1+(Inputs!$B$20+((C2304=TRUE)*(F2304-Calc!F27))+Skills!P8+B2318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2285*(1-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2285*(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2285*(1-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2285*(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85">
        <f>IF(C2285,(H2285*N2285*IF(AND(Inputs!$B$39&lt;&gt;"pvp",Inputs!$B$44&gt;0),((Skills!G8*((R2285-1)*IF(Skills!H8&gt;0,Skills!I8/Skills!H8,1)+IF(Skills!H8&gt;0,MIN(Skills!I8,MAX(0,MAX(0,Inputs!$B$44-B2322)-((R2285-1)*IF(Inputs!$B$39="pvp",15,MAX(0.1,Skills!D8-IF(Skills!E8=TRUE,Inputs!$B$32,0))))))/Skills!H8,1)))/Inputs!$B$44),G2285*Q2285))*IF(Inputs!$B$39="pvp",1,(1+(Inputs!$B$21+Skills!Q8+B2318+(IF(ArtifactsInput!$M$33,CHOOSE(ArtifactsInput!$N$33+1,30,36,42,48,54,60),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86">
      <c r="A2286">
        <f>Skills!A9</f>
        <v/>
      </c>
      <c r="B2286">
        <f>Skills!B9</f>
        <v/>
      </c>
      <c r="C2286">
        <f>Inputs!$B$3&gt;=72</f>
        <v/>
      </c>
      <c r="D2286">
        <f>IF(Skills!C9=1,60+Inputs!$B$25+Inputs!$B$29,IF(Skills!C9=2,90+Inputs!$B$26+Inputs!$B$29,IF(Skills!C9=3,120+Inputs!$B$27+Inputs!$B$29,MAX(0,(Inputs!$B$3-100)*3)+Inputs!$B$28+Inputs!$B$29)))</f>
        <v/>
      </c>
      <c r="E2286">
        <f>INDEX(FactorTable!$B$2:$Y$301, MATCH(ROUND(MIN(300,MAX(1,D2286)),0), FactorTable!$A$2:$A$301,0), Skills!M9+1)</f>
        <v/>
      </c>
      <c r="F2286">
        <f>IF(Skills!N9=TRUE,(Skills!L9/10)*(E2286/1000),Skills!L9/10)+Skills!O9</f>
        <v/>
      </c>
      <c r="G2286">
        <f>Calc!G9</f>
        <v/>
      </c>
      <c r="H2286">
        <f>Calc!H9</f>
        <v/>
      </c>
      <c r="I2286">
        <f>IF(Skills!AA9&lt;&gt;"",1+(Skills!AA9/10)*(U2280/1000)/100,1)</f>
        <v/>
      </c>
      <c r="J2286">
        <f>((Inputs!$B$6*(1+Inputs!$B$7/100))+(((Inputs!$B$12*(1+Inputs!$B$13/100))-(Inputs!$B$12*(1+Inputs!$B$13/100)))+0.25*(Inputs!$B$14-Inputs!$B$14))*(1+Inputs!$B$7/100))*(F2286/100)</f>
        <v/>
      </c>
      <c r="K2286">
        <f>J2286*(1+((Inputs!$B$12*(1+Inputs!$B$13/100))*0.01+Inputs!$B$14*0.0025)/100)*(1+Inputs!$B$15/100)*(1+Inputs!$B$16/100)*(5000/(6000+Inputs!$B$43*(1-(100*(1-(1-(Inputs!$B$19+0)/100)*(1-CHOOSE(ArtifactsInput!$N$40+1,5,6,7,8,9,10)/100)^(ArtifactsInput!$M$40-ArtifactsInput!$M$40)))/100)))*(1+(Inputs!$B$24+((C2307=TRUE)*(F2307-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2300=TRUE)*(F2300-Calc!F23))+(((IF(AND(ArtifactsInput!$M$42,((Inputs!$B$9+((C2302=TRUE)*(F2302-Calc!F25))+B2317+(ArtifactsInput!$M$24-ArtifactsInput!$M$24)*CHOOSE(ArtifactsInput!$N$24+1,10,12,14,16,18,20)+IF(ArtifactsInput!$M$10,CHOOSE(ArtifactsInput!$N$10+1,15,18,21,24,27,30)*(IF(Inputs!$B$39="pvp",MIN(15,15)/15,IF(AND(Inputs!$B$39&lt;&gt;"pvp",Inputs!$B$44&gt;0),MIN(15,Inputs!$B$44)/(Inputs!$B$44),0))),0)))&gt;=100),MIN(100,((Inputs!$B$9+((C2302=TRUE)*(F2302-Calc!F25))+B2317+(ArtifactsInput!$M$24-ArtifactsInput!$M$24)*CHOOSE(ArtifactsInput!$N$24+1,10,12,14,16,18,20)+IF(ArtifactsInput!$M$10,CHOOSE(ArtifactsInput!$N$10+1,15,18,21,24,27,30)*(IF(Inputs!$B$39="pvp",MIN(15,15)/15,IF(AND(Inputs!$B$39&lt;&gt;"pvp",Inputs!$B$44&gt;0),MIN(15,Inputs!$B$44)/(Inputs!$B$44),0))),0)))-100),0))*CHOOSE(ArtifactsInput!$N$42+1,0.6,0.72,0.84,0.96,1.08,1.2))),Inputs!$B$18+((C2306=TRUE)*(F2306-Calc!F29))+(IF(AND(ArtifactsInput!$M$42,((Inputs!$B$9+((C2302=TRUE)*(F2302-Calc!F25))+B2317+(ArtifactsInput!$M$24-ArtifactsInput!$M$24)*CHOOSE(ArtifactsInput!$N$24+1,10,12,14,16,18,20)+IF(ArtifactsInput!$M$10,CHOOSE(ArtifactsInput!$N$10+1,15,18,21,24,27,30)*(IF(Inputs!$B$39="pvp",MIN(15,15)/15,IF(AND(Inputs!$B$39&lt;&gt;"pvp",Inputs!$B$44&gt;0),MIN(15,Inputs!$B$44)/(Inputs!$B$44),0))),0)))&gt;=100),CHOOSE(ArtifactsInput!$N$42+1,40,48,56,64,72,80),0))))/100)*(((1+(((C2298=TRUE)*F2298*IF(AND(Inputs!$B$39&lt;&gt;"pvp",Inputs!$B$44&gt;0),(((R2298-1)*(Skills!Y21*(1+Inputs!$B$34/100))+MIN((Skills!Y21*(1+Inputs!$B$34/100)),MAX(0,Inputs!$B$44-((R2298-1)*Skills!D21))))/Inputs!$B$44),IF(Inputs!$B$39="pvp",MIN((Skills!Y21*(1+Inputs!$B$34/100)),15)/15,(Skills!Y21*(1+Inputs!$B$34/100))/Skills!D21)))+((C2305=TRUE)*(F2305-Calc!F28))+((C2295=TRUE)*(F2295-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2292=TRUE)*F2292*IF(AND(Inputs!$B$39&lt;&gt;"pvp",Inputs!$B$44&gt;0),(((R2292-1)*(Skills!Y15*(1+Inputs!$B$34/100))+MIN((Skills!Y15*(1+Inputs!$B$34/100)),MAX(0,Inputs!$B$44-((R2292-1)*Skills!D15))))/Inputs!$B$44),IF(Inputs!$B$39="pvp",MIN((Skills!Y15*(1+Inputs!$B$34/100)),15)/15,(Skills!Y15*(1+Inputs!$B$34/100))/Skills!D15)))/100)*(1+((C2283=TRUE)*F2283*B2311)/100))*B2319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2286)</f>
        <v/>
      </c>
      <c r="L2286">
        <f>K2286*(MIN(Inputs!$B$22+((C2301=TRUE)*(F2301-Calc!F24)),(Inputs!$B$23+0+(IF(ArtifactsInput!$M$15,CHOOSE(ArtifactsInput!$N$15+1,25,30,35,40,45,50)/100*(Inputs!$B$11-Inputs!$B$11),0))))/100+(Inputs!$B$23+0+(IF(ArtifactsInput!$M$15,CHOOSE(ArtifactsInput!$N$15+1,25,30,35,40,45,50)/100*(Inputs!$B$11-Inputs!$B$11),0)))/100)/2</f>
        <v/>
      </c>
      <c r="M2286">
        <f>L2286*(1+(Inputs!$B$10+((C2303=TRUE)*(F2303-Calc!F26))+B2320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86">
        <f>L2286*(1-MIN((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2286*(MIN((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86">
        <f>(1-Summary!$B$11)*T2286+Summary!$B$11*V2286</f>
        <v/>
      </c>
      <c r="P2286">
        <f>IF(B2321=0,0,O2286/B2321)</f>
        <v/>
      </c>
      <c r="Q2286">
        <f>IFERROR(1/IF(Inputs!$B$39="pvp",15,MAX(0.1,Skills!D9-IF(Skills!E9=TRUE,Inputs!$B$32,0))),0)</f>
        <v/>
      </c>
      <c r="R2286">
        <f>IF(AND(Inputs!$B$39&lt;&gt;"pvp",Inputs!$B$44&gt;0),IF(MAX(0,Inputs!$B$44-B2322)&lt;=0,0,(INT(MAX(0,Inputs!$B$44-B2322)/IF(Inputs!$B$39="pvp",15,MAX(0.1,Skills!D9-IF(Skills!E9=TRUE,Inputs!$B$32,0))))+1)),0)</f>
        <v/>
      </c>
      <c r="S2286">
        <f>IFERROR(O2286/N2286,0)</f>
        <v/>
      </c>
      <c r="T2286">
        <f>IF(C2286,(H2286*N2286*IF(AND(Inputs!$B$39&lt;&gt;"pvp",Inputs!$B$44&gt;0),((Skills!G9*((R2286-1)*IF(Skills!H9&gt;0,Skills!I9/Skills!H9,1)+IF(Skills!H9&gt;0,MIN(Skills!I9,MAX(0,MAX(0,Inputs!$B$44-B2322)-((R2286-1)*IF(Inputs!$B$39="pvp",15,MAX(0.1,Skills!D9-IF(Skills!E9=TRUE,Inputs!$B$32,0))))))/Skills!H9,1)))/Inputs!$B$44),G2286*Q2286))*IF(Inputs!$B$39="pvp",1,1+(Inputs!$B$20+((C2304=TRUE)*(F2304-Calc!F27))+Skills!P9+B2318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2286*(1-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2286*(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2286*(1-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2286*(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86">
        <f>IF(C2286,(H2286*N2286*IF(AND(Inputs!$B$39&lt;&gt;"pvp",Inputs!$B$44&gt;0),((Skills!G9*((R2286-1)*IF(Skills!H9&gt;0,Skills!I9/Skills!H9,1)+IF(Skills!H9&gt;0,MIN(Skills!I9,MAX(0,MAX(0,Inputs!$B$44-B2322)-((R2286-1)*IF(Inputs!$B$39="pvp",15,MAX(0.1,Skills!D9-IF(Skills!E9=TRUE,Inputs!$B$32,0))))))/Skills!H9,1)))/Inputs!$B$44),G2286*Q2286))*IF(Inputs!$B$39="pvp",1,(1+(Inputs!$B$21+Skills!Q9+B2318+(IF(ArtifactsInput!$M$33,CHOOSE(ArtifactsInput!$N$33+1,30,36,42,48,54,60),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87">
      <c r="A2287">
        <f>Skills!A10</f>
        <v/>
      </c>
      <c r="B2287">
        <f>Skills!B10</f>
        <v/>
      </c>
      <c r="C2287">
        <f>Inputs!$B$3&gt;=117</f>
        <v/>
      </c>
      <c r="D2287">
        <f>IF(Skills!C10=1,60+Inputs!$B$25+Inputs!$B$29,IF(Skills!C10=2,90+Inputs!$B$26+Inputs!$B$29,IF(Skills!C10=3,120+Inputs!$B$27+Inputs!$B$29,MAX(0,(Inputs!$B$3-100)*3)+Inputs!$B$28+Inputs!$B$29)))</f>
        <v/>
      </c>
      <c r="E2287">
        <f>INDEX(FactorTable!$B$2:$Y$301, MATCH(ROUND(MIN(300,MAX(1,D2287)),0), FactorTable!$A$2:$A$301,0), Skills!M10+1)</f>
        <v/>
      </c>
      <c r="F2287">
        <f>IF(Skills!N10=TRUE,(Skills!L10/10)*(E2287/1000),Skills!L10/10)+Skills!O10</f>
        <v/>
      </c>
      <c r="G2287">
        <f>Calc!G10</f>
        <v/>
      </c>
      <c r="H2287">
        <f>Calc!H10</f>
        <v/>
      </c>
      <c r="I2287">
        <f>IF(Skills!AA10&lt;&gt;"",1+(Skills!AA10/10)*(U2280/1000)/100,1)</f>
        <v/>
      </c>
      <c r="J2287">
        <f>((Inputs!$B$6*(1+Inputs!$B$7/100))+(((Inputs!$B$12*(1+Inputs!$B$13/100))-(Inputs!$B$12*(1+Inputs!$B$13/100)))+0.25*(Inputs!$B$14-Inputs!$B$14))*(1+Inputs!$B$7/100))*(F2287/100)</f>
        <v/>
      </c>
      <c r="K2287">
        <f>J2287*(1+((Inputs!$B$12*(1+Inputs!$B$13/100))*0.01+Inputs!$B$14*0.0025)/100)*(1+Inputs!$B$15/100)*(1+Inputs!$B$16/100)*(5000/(6000+Inputs!$B$43*(1-(100*(1-(1-(Inputs!$B$19+0)/100)*(1-CHOOSE(ArtifactsInput!$N$40+1,5,6,7,8,9,10)/100)^(ArtifactsInput!$M$40-ArtifactsInput!$M$40)))/100)))*(1+(Inputs!$B$24+((C2307=TRUE)*(F2307-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2300=TRUE)*(F2300-Calc!F23))+(((IF(AND(ArtifactsInput!$M$42,((Inputs!$B$9+((C2302=TRUE)*(F2302-Calc!F25))+B2317+(ArtifactsInput!$M$24-ArtifactsInput!$M$24)*CHOOSE(ArtifactsInput!$N$24+1,10,12,14,16,18,20)+IF(ArtifactsInput!$M$10,CHOOSE(ArtifactsInput!$N$10+1,15,18,21,24,27,30)*(IF(Inputs!$B$39="pvp",MIN(15,15)/15,IF(AND(Inputs!$B$39&lt;&gt;"pvp",Inputs!$B$44&gt;0),MIN(15,Inputs!$B$44)/(Inputs!$B$44),0))),0)))&gt;=100),MIN(100,((Inputs!$B$9+((C2302=TRUE)*(F2302-Calc!F25))+B2317+(ArtifactsInput!$M$24-ArtifactsInput!$M$24)*CHOOSE(ArtifactsInput!$N$24+1,10,12,14,16,18,20)+IF(ArtifactsInput!$M$10,CHOOSE(ArtifactsInput!$N$10+1,15,18,21,24,27,30)*(IF(Inputs!$B$39="pvp",MIN(15,15)/15,IF(AND(Inputs!$B$39&lt;&gt;"pvp",Inputs!$B$44&gt;0),MIN(15,Inputs!$B$44)/(Inputs!$B$44),0))),0)))-100),0))*CHOOSE(ArtifactsInput!$N$42+1,0.6,0.72,0.84,0.96,1.08,1.2))),Inputs!$B$18+((C2306=TRUE)*(F2306-Calc!F29))+(IF(AND(ArtifactsInput!$M$42,((Inputs!$B$9+((C2302=TRUE)*(F2302-Calc!F25))+B2317+(ArtifactsInput!$M$24-ArtifactsInput!$M$24)*CHOOSE(ArtifactsInput!$N$24+1,10,12,14,16,18,20)+IF(ArtifactsInput!$M$10,CHOOSE(ArtifactsInput!$N$10+1,15,18,21,24,27,30)*(IF(Inputs!$B$39="pvp",MIN(15,15)/15,IF(AND(Inputs!$B$39&lt;&gt;"pvp",Inputs!$B$44&gt;0),MIN(15,Inputs!$B$44)/(Inputs!$B$44),0))),0)))&gt;=100),CHOOSE(ArtifactsInput!$N$42+1,40,48,56,64,72,80),0))))/100)*(((1+(((C2298=TRUE)*F2298*IF(AND(Inputs!$B$39&lt;&gt;"pvp",Inputs!$B$44&gt;0),(((R2298-1)*(Skills!Y21*(1+Inputs!$B$34/100))+MIN((Skills!Y21*(1+Inputs!$B$34/100)),MAX(0,Inputs!$B$44-((R2298-1)*Skills!D21))))/Inputs!$B$44),IF(Inputs!$B$39="pvp",MIN((Skills!Y21*(1+Inputs!$B$34/100)),15)/15,(Skills!Y21*(1+Inputs!$B$34/100))/Skills!D21)))+((C2305=TRUE)*(F2305-Calc!F28))+((C2295=TRUE)*(F2295-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2292=TRUE)*F2292*IF(AND(Inputs!$B$39&lt;&gt;"pvp",Inputs!$B$44&gt;0),(((R2292-1)*(Skills!Y15*(1+Inputs!$B$34/100))+MIN((Skills!Y15*(1+Inputs!$B$34/100)),MAX(0,Inputs!$B$44-((R2292-1)*Skills!D15))))/Inputs!$B$44),IF(Inputs!$B$39="pvp",MIN((Skills!Y15*(1+Inputs!$B$34/100)),15)/15,(Skills!Y15*(1+Inputs!$B$34/100))/Skills!D15)))/100)*(1+((C2283=TRUE)*F2283*B2311)/100))*B2319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2287)</f>
        <v/>
      </c>
      <c r="L2287">
        <f>K2287*(MIN(Inputs!$B$22+((C2301=TRUE)*(F2301-Calc!F24)),(Inputs!$B$23+0+(IF(ArtifactsInput!$M$15,CHOOSE(ArtifactsInput!$N$15+1,25,30,35,40,45,50)/100*(Inputs!$B$11-Inputs!$B$11),0))))/100+(Inputs!$B$23+0+(IF(ArtifactsInput!$M$15,CHOOSE(ArtifactsInput!$N$15+1,25,30,35,40,45,50)/100*(Inputs!$B$11-Inputs!$B$11),0)))/100)/2</f>
        <v/>
      </c>
      <c r="M2287">
        <f>L2287*(1+(Inputs!$B$10+((C2303=TRUE)*(F2303-Calc!F26))+B2320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87">
        <f>L2287*(1-MIN((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2287*(MIN((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87">
        <f>(1-Summary!$B$11)*T2287+Summary!$B$11*V2287</f>
        <v/>
      </c>
      <c r="P2287">
        <f>IF(B2321=0,0,O2287/B2321)</f>
        <v/>
      </c>
      <c r="Q2287" t="n">
        <v>0</v>
      </c>
      <c r="R2287" t="n">
        <v>0</v>
      </c>
      <c r="S2287" t="n">
        <v>0</v>
      </c>
      <c r="T2287">
        <f>IF(C2287,(0.2*SUMPRODUCT((Skills!Z2:Z31=TRUE)*(C2279:C2308=TRUE)*S2279:S2308)*N2287)*IF(Inputs!$B$39="pvp",1,1+(Inputs!$B$20+((C2304=TRUE)*(F2304-Calc!F27))+Skills!P10+B2318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2287*(1-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2287*(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2287*(1-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2287*(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87">
        <f>IF(C2287,(0.2*SUMPRODUCT((Skills!Z2:Z31=TRUE)*(C2279:C2308=TRUE)*S2279:S2308)*N2287)*IF(Inputs!$B$39="pvp",1,(1+(Inputs!$B$21+Skills!Q10+B2318+(IF(ArtifactsInput!$M$33,CHOOSE(ArtifactsInput!$N$33+1,30,36,42,48,54,60),0))+(IF(AND(ArtifactsInput!$M$35,Inputs!$B$4&lt;&gt;"Chapter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88">
      <c r="A2288">
        <f>Skills!A11</f>
        <v/>
      </c>
      <c r="B2288">
        <f>Skills!B11</f>
        <v/>
      </c>
      <c r="C2288">
        <f>Inputs!$B$3&gt;=60</f>
        <v/>
      </c>
      <c r="D2288">
        <f>IF(Skills!C11=1,60+Inputs!$B$25+Inputs!$B$29,IF(Skills!C11=2,90+Inputs!$B$26+Inputs!$B$29,IF(Skills!C11=3,120+Inputs!$B$27+Inputs!$B$29,MAX(0,(Inputs!$B$3-100)*3)+Inputs!$B$28+Inputs!$B$29)))</f>
        <v/>
      </c>
      <c r="E2288">
        <f>INDEX(FactorTable!$B$2:$Y$301, MATCH(ROUND(MIN(300,MAX(1,D2288)),0), FactorTable!$A$2:$A$301,0), Skills!M11+1)</f>
        <v/>
      </c>
      <c r="F2288">
        <f>IF(Skills!N11=TRUE,(Skills!L11/10)*(E2288/1000),Skills!L11/10)+Skills!O11</f>
        <v/>
      </c>
      <c r="G2288">
        <f>Calc!G11</f>
        <v/>
      </c>
      <c r="H2288">
        <f>Calc!H11</f>
        <v/>
      </c>
      <c r="I2288">
        <f>IF(Skills!AA11&lt;&gt;"",1+(Skills!AA11/10)*(U2280/1000)/100,1)</f>
        <v/>
      </c>
      <c r="J2288" t="inlineStr"/>
      <c r="K2288" t="inlineStr"/>
      <c r="L2288" t="inlineStr"/>
      <c r="M2288" t="inlineStr"/>
      <c r="N2288" t="inlineStr"/>
      <c r="O2288">
        <f>(1-Summary!$B$11)*T2288+Summary!$B$11*V2288</f>
        <v/>
      </c>
      <c r="P2288">
        <f>IF(B2321=0,0,O2288/B2321)</f>
        <v/>
      </c>
      <c r="Q2288" t="n">
        <v>0</v>
      </c>
      <c r="R2288" t="n">
        <v>0</v>
      </c>
      <c r="S2288">
        <f>IFERROR(O2288/N2288,0)</f>
        <v/>
      </c>
      <c r="T2288" t="n">
        <v>0</v>
      </c>
      <c r="V2288" t="n">
        <v>0</v>
      </c>
    </row>
    <row r="2289">
      <c r="A2289">
        <f>Skills!A12</f>
        <v/>
      </c>
      <c r="B2289">
        <f>Skills!B12</f>
        <v/>
      </c>
      <c r="C2289">
        <f>Inputs!$B$3&gt;=103</f>
        <v/>
      </c>
      <c r="D2289">
        <f>IF(Skills!C12=1,60+Inputs!$B$25+Inputs!$B$29,IF(Skills!C12=2,90+Inputs!$B$26+Inputs!$B$29,IF(Skills!C12=3,120+Inputs!$B$27+Inputs!$B$29,MAX(0,(Inputs!$B$3-100)*3)+Inputs!$B$28+Inputs!$B$29)))</f>
        <v/>
      </c>
      <c r="E2289">
        <f>INDEX(FactorTable!$B$2:$Y$301, MATCH(ROUND(MIN(300,MAX(1,D2289)),0), FactorTable!$A$2:$A$301,0), Skills!M12+1)</f>
        <v/>
      </c>
      <c r="F2289">
        <f>IF(Skills!N12=TRUE,(Skills!L12/10)*(E2289/1000),Skills!L12/10)+Skills!O12</f>
        <v/>
      </c>
      <c r="G2289">
        <f>Calc!G12</f>
        <v/>
      </c>
      <c r="H2289">
        <f>Calc!H12</f>
        <v/>
      </c>
      <c r="I2289">
        <f>IF(Skills!AA12&lt;&gt;"",1+(Skills!AA12/10)*(U2280/1000)/100,1)</f>
        <v/>
      </c>
      <c r="J2289">
        <f>((Inputs!$B$6*(1+Inputs!$B$7/100))+(((Inputs!$B$12*(1+Inputs!$B$13/100))-(Inputs!$B$12*(1+Inputs!$B$13/100)))+0.25*(Inputs!$B$14-Inputs!$B$14))*(1+Inputs!$B$7/100))*(F2289/100)</f>
        <v/>
      </c>
      <c r="K2289">
        <f>J2289*(1+((Inputs!$B$12*(1+Inputs!$B$13/100))*0.01+Inputs!$B$14*0.0025)/100)*(1+Inputs!$B$15/100)*(1+Inputs!$B$16/100)*(5000/(6000+Inputs!$B$43*(1-(100*(1-(1-(Inputs!$B$19+0)/100)*(1-CHOOSE(ArtifactsInput!$N$40+1,5,6,7,8,9,10)/100)^(ArtifactsInput!$M$40-ArtifactsInput!$M$40)))/100)))*(1+(Inputs!$B$24+((C2307=TRUE)*(F2307-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2300=TRUE)*(F2300-Calc!F23))+(((IF(AND(ArtifactsInput!$M$42,((Inputs!$B$9+((C2302=TRUE)*(F2302-Calc!F25))+B2317+(ArtifactsInput!$M$24-ArtifactsInput!$M$24)*CHOOSE(ArtifactsInput!$N$24+1,10,12,14,16,18,20)+IF(ArtifactsInput!$M$10,CHOOSE(ArtifactsInput!$N$10+1,15,18,21,24,27,30)*(IF(Inputs!$B$39="pvp",MIN(15,15)/15,IF(AND(Inputs!$B$39&lt;&gt;"pvp",Inputs!$B$44&gt;0),MIN(15,Inputs!$B$44)/(Inputs!$B$44),0))),0)))&gt;=100),MIN(100,((Inputs!$B$9+((C2302=TRUE)*(F2302-Calc!F25))+B2317+(ArtifactsInput!$M$24-ArtifactsInput!$M$24)*CHOOSE(ArtifactsInput!$N$24+1,10,12,14,16,18,20)+IF(ArtifactsInput!$M$10,CHOOSE(ArtifactsInput!$N$10+1,15,18,21,24,27,30)*(IF(Inputs!$B$39="pvp",MIN(15,15)/15,IF(AND(Inputs!$B$39&lt;&gt;"pvp",Inputs!$B$44&gt;0),MIN(15,Inputs!$B$44)/(Inputs!$B$44),0))),0)))-100),0))*CHOOSE(ArtifactsInput!$N$42+1,0.6,0.72,0.84,0.96,1.08,1.2))),Inputs!$B$18+((C2306=TRUE)*(F2306-Calc!F29))+(IF(AND(ArtifactsInput!$M$42,((Inputs!$B$9+((C2302=TRUE)*(F2302-Calc!F25))+B2317+(ArtifactsInput!$M$24-ArtifactsInput!$M$24)*CHOOSE(ArtifactsInput!$N$24+1,10,12,14,16,18,20)+IF(ArtifactsInput!$M$10,CHOOSE(ArtifactsInput!$N$10+1,15,18,21,24,27,30)*(IF(Inputs!$B$39="pvp",MIN(15,15)/15,IF(AND(Inputs!$B$39&lt;&gt;"pvp",Inputs!$B$44&gt;0),MIN(15,Inputs!$B$44)/(Inputs!$B$44),0))),0)))&gt;=100),CHOOSE(ArtifactsInput!$N$42+1,40,48,56,64,72,80),0))))/100)*(((1+(((C2298=TRUE)*F2298*IF(AND(Inputs!$B$39&lt;&gt;"pvp",Inputs!$B$44&gt;0),(((R2298-1)*(Skills!Y21*(1+Inputs!$B$34/100))+MIN((Skills!Y21*(1+Inputs!$B$34/100)),MAX(0,Inputs!$B$44-((R2298-1)*Skills!D21))))/Inputs!$B$44),IF(Inputs!$B$39="pvp",MIN((Skills!Y21*(1+Inputs!$B$34/100)),15)/15,(Skills!Y21*(1+Inputs!$B$34/100))/Skills!D21)))+((C2305=TRUE)*(F2305-Calc!F28))+((C2295=TRUE)*(F2295-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2292=TRUE)*F2292*IF(AND(Inputs!$B$39&lt;&gt;"pvp",Inputs!$B$44&gt;0),(((R2292-1)*(Skills!Y15*(1+Inputs!$B$34/100))+MIN((Skills!Y15*(1+Inputs!$B$34/100)),MAX(0,Inputs!$B$44-((R2292-1)*Skills!D15))))/Inputs!$B$44),IF(Inputs!$B$39="pvp",MIN((Skills!Y15*(1+Inputs!$B$34/100)),15)/15,(Skills!Y15*(1+Inputs!$B$34/100))/Skills!D15)))/100)*(1+((C2283=TRUE)*F2283*B2311)/100))*B2319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2289)</f>
        <v/>
      </c>
      <c r="L2289">
        <f>K2289*(MIN(Inputs!$B$22+((C2301=TRUE)*(F2301-Calc!F24)),(Inputs!$B$23+0+(IF(ArtifactsInput!$M$15,CHOOSE(ArtifactsInput!$N$15+1,25,30,35,40,45,50)/100*(Inputs!$B$11-Inputs!$B$11),0))))/100+(Inputs!$B$23+0+(IF(ArtifactsInput!$M$15,CHOOSE(ArtifactsInput!$N$15+1,25,30,35,40,45,50)/100*(Inputs!$B$11-Inputs!$B$11),0)))/100)/2</f>
        <v/>
      </c>
      <c r="M2289">
        <f>L2289*(1+(Inputs!$B$10+((C2303=TRUE)*(F2303-Calc!F26))+B2320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89">
        <f>L2289*(1-MIN((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2289*(MIN((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89">
        <f>(1-Summary!$B$11)*T2289+Summary!$B$11*V2289</f>
        <v/>
      </c>
      <c r="P2289">
        <f>IF(B2321=0,0,O2289/B2321)</f>
        <v/>
      </c>
      <c r="Q2289">
        <f>IFERROR(1/IF(Inputs!$B$39="pvp",15,MAX(0.1,Skills!D12-IF(Skills!E12=TRUE,Inputs!$B$32,0))),0)</f>
        <v/>
      </c>
      <c r="R2289">
        <f>IF(AND(Inputs!$B$39&lt;&gt;"pvp",Inputs!$B$44&gt;0),IF(MAX(0,Inputs!$B$44-B2322)&lt;=0,0,(INT(MAX(0,Inputs!$B$44-B2322)/IF(Inputs!$B$39="pvp",15,MAX(0.1,Skills!D12-IF(Skills!E12=TRUE,Inputs!$B$32,0))))+1)),0)</f>
        <v/>
      </c>
      <c r="S2289">
        <f>IFERROR(O2289/N2289,0)</f>
        <v/>
      </c>
      <c r="T2289">
        <f>IF(C2289,(H2289*N2289*IF(AND(Inputs!$B$39&lt;&gt;"pvp",Inputs!$B$44&gt;0),((Skills!G12*((R2289-1)*IF(Skills!H12&gt;0,Skills!I12/Skills!H12,1)+IF(Skills!H12&gt;0,MIN(Skills!I12,MAX(0,MAX(0,Inputs!$B$44-B2322)-((R2289-1)*IF(Inputs!$B$39="pvp",15,MAX(0.1,Skills!D12-IF(Skills!E12=TRUE,Inputs!$B$32,0))))))/Skills!H12,1)))/Inputs!$B$44),G2289*Q2289))*IF(Inputs!$B$39="pvp",1,1+(Inputs!$B$20+((C2304=TRUE)*(F2304-Calc!F27))+Skills!P12+B2318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2289*(1-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2289*(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2289*(1-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2289*(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89">
        <f>IF(C2289,(H2289*N2289*IF(AND(Inputs!$B$39&lt;&gt;"pvp",Inputs!$B$44&gt;0),((Skills!G12*((R2289-1)*IF(Skills!H12&gt;0,Skills!I12/Skills!H12,1)+IF(Skills!H12&gt;0,MIN(Skills!I12,MAX(0,MAX(0,Inputs!$B$44-B2322)-((R2289-1)*IF(Inputs!$B$39="pvp",15,MAX(0.1,Skills!D12-IF(Skills!E12=TRUE,Inputs!$B$32,0))))))/Skills!H12,1)))/Inputs!$B$44),G2289*Q2289))*IF(Inputs!$B$39="pvp",1,(1+(Inputs!$B$21+Skills!Q12+B2318+(IF(ArtifactsInput!$M$33,CHOOSE(ArtifactsInput!$N$33+1,30,36,42,48,54,60),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90">
      <c r="A2290">
        <f>Skills!A13</f>
        <v/>
      </c>
      <c r="B2290">
        <f>Skills!B13</f>
        <v/>
      </c>
      <c r="C2290">
        <f>Inputs!$B$3&gt;=105</f>
        <v/>
      </c>
      <c r="D2290">
        <f>IF(Skills!C13=1,60+Inputs!$B$25+Inputs!$B$29,IF(Skills!C13=2,90+Inputs!$B$26+Inputs!$B$29,IF(Skills!C13=3,120+Inputs!$B$27+Inputs!$B$29,MAX(0,(Inputs!$B$3-100)*3)+Inputs!$B$28+Inputs!$B$29)))</f>
        <v/>
      </c>
      <c r="E2290">
        <f>INDEX(FactorTable!$B$2:$Y$301, MATCH(ROUND(MIN(300,MAX(1,D2290)),0), FactorTable!$A$2:$A$301,0), Skills!M13+1)</f>
        <v/>
      </c>
      <c r="F2290">
        <f>IF(Skills!N13=TRUE,(Skills!L13/10)*(E2290/1000),Skills!L13/10)+Skills!O13</f>
        <v/>
      </c>
      <c r="G2290">
        <f>Calc!G13</f>
        <v/>
      </c>
      <c r="H2290">
        <f>Calc!H13</f>
        <v/>
      </c>
      <c r="I2290">
        <f>IF(Skills!AA13&lt;&gt;"",1+(Skills!AA13/10)*(U2280/1000)/100,1)</f>
        <v/>
      </c>
      <c r="J2290">
        <f>((Inputs!$B$6*(1+Inputs!$B$7/100))+(((Inputs!$B$12*(1+Inputs!$B$13/100))-(Inputs!$B$12*(1+Inputs!$B$13/100)))+0.25*(Inputs!$B$14-Inputs!$B$14))*(1+Inputs!$B$7/100))*(F2290/100)</f>
        <v/>
      </c>
      <c r="K2290">
        <f>J2290*(1+((Inputs!$B$12*(1+Inputs!$B$13/100))*0.01+Inputs!$B$14*0.0025)/100)*(1+Inputs!$B$15/100)*(1+Inputs!$B$16/100)*(5000/(6000+Inputs!$B$43*(1-(100*(1-(1-(Inputs!$B$19+0)/100)*(1-CHOOSE(ArtifactsInput!$N$40+1,5,6,7,8,9,10)/100)^(ArtifactsInput!$M$40-ArtifactsInput!$M$40)))/100)))*(1+(Inputs!$B$24+((C2307=TRUE)*(F2307-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2300=TRUE)*(F2300-Calc!F23))+(((IF(AND(ArtifactsInput!$M$42,((Inputs!$B$9+((C2302=TRUE)*(F2302-Calc!F25))+B2317+(ArtifactsInput!$M$24-ArtifactsInput!$M$24)*CHOOSE(ArtifactsInput!$N$24+1,10,12,14,16,18,20)+IF(ArtifactsInput!$M$10,CHOOSE(ArtifactsInput!$N$10+1,15,18,21,24,27,30)*(IF(Inputs!$B$39="pvp",MIN(15,15)/15,IF(AND(Inputs!$B$39&lt;&gt;"pvp",Inputs!$B$44&gt;0),MIN(15,Inputs!$B$44)/(Inputs!$B$44),0))),0)))&gt;=100),MIN(100,((Inputs!$B$9+((C2302=TRUE)*(F2302-Calc!F25))+B2317+(ArtifactsInput!$M$24-ArtifactsInput!$M$24)*CHOOSE(ArtifactsInput!$N$24+1,10,12,14,16,18,20)+IF(ArtifactsInput!$M$10,CHOOSE(ArtifactsInput!$N$10+1,15,18,21,24,27,30)*(IF(Inputs!$B$39="pvp",MIN(15,15)/15,IF(AND(Inputs!$B$39&lt;&gt;"pvp",Inputs!$B$44&gt;0),MIN(15,Inputs!$B$44)/(Inputs!$B$44),0))),0)))-100),0))*CHOOSE(ArtifactsInput!$N$42+1,0.6,0.72,0.84,0.96,1.08,1.2))),Inputs!$B$18+((C2306=TRUE)*(F2306-Calc!F29))+(IF(AND(ArtifactsInput!$M$42,((Inputs!$B$9+((C2302=TRUE)*(F2302-Calc!F25))+B2317+(ArtifactsInput!$M$24-ArtifactsInput!$M$24)*CHOOSE(ArtifactsInput!$N$24+1,10,12,14,16,18,20)+IF(ArtifactsInput!$M$10,CHOOSE(ArtifactsInput!$N$10+1,15,18,21,24,27,30)*(IF(Inputs!$B$39="pvp",MIN(15,15)/15,IF(AND(Inputs!$B$39&lt;&gt;"pvp",Inputs!$B$44&gt;0),MIN(15,Inputs!$B$44)/(Inputs!$B$44),0))),0)))&gt;=100),CHOOSE(ArtifactsInput!$N$42+1,40,48,56,64,72,80),0))))/100)*(((1+(((C2298=TRUE)*F2298*IF(AND(Inputs!$B$39&lt;&gt;"pvp",Inputs!$B$44&gt;0),(((R2298-1)*(Skills!Y21*(1+Inputs!$B$34/100))+MIN((Skills!Y21*(1+Inputs!$B$34/100)),MAX(0,Inputs!$B$44-((R2298-1)*Skills!D21))))/Inputs!$B$44),IF(Inputs!$B$39="pvp",MIN((Skills!Y21*(1+Inputs!$B$34/100)),15)/15,(Skills!Y21*(1+Inputs!$B$34/100))/Skills!D21)))+((C2305=TRUE)*(F2305-Calc!F28))+((C2295=TRUE)*(F2295-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2292=TRUE)*F2292*IF(AND(Inputs!$B$39&lt;&gt;"pvp",Inputs!$B$44&gt;0),(((R2292-1)*(Skills!Y15*(1+Inputs!$B$34/100))+MIN((Skills!Y15*(1+Inputs!$B$34/100)),MAX(0,Inputs!$B$44-((R2292-1)*Skills!D15))))/Inputs!$B$44),IF(Inputs!$B$39="pvp",MIN((Skills!Y15*(1+Inputs!$B$34/100)),15)/15,(Skills!Y15*(1+Inputs!$B$34/100))/Skills!D15)))/100)*(1+((C2283=TRUE)*F2283*B2311)/100))*B2319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2290)</f>
        <v/>
      </c>
      <c r="L2290">
        <f>K2290*(MIN(Inputs!$B$22+((C2301=TRUE)*(F2301-Calc!F24)),(Inputs!$B$23+0+(IF(ArtifactsInput!$M$15,CHOOSE(ArtifactsInput!$N$15+1,25,30,35,40,45,50)/100*(Inputs!$B$11-Inputs!$B$11),0))))/100+(Inputs!$B$23+0+(IF(ArtifactsInput!$M$15,CHOOSE(ArtifactsInput!$N$15+1,25,30,35,40,45,50)/100*(Inputs!$B$11-Inputs!$B$11),0)))/100)/2</f>
        <v/>
      </c>
      <c r="M2290">
        <f>L2290*(1+(Inputs!$B$10+((C2303=TRUE)*(F2303-Calc!F26))+B2320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90">
        <f>L2290*(1-MIN((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2290*(MIN((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90">
        <f>(1-Summary!$B$11)*T2290+Summary!$B$11*V2290</f>
        <v/>
      </c>
      <c r="P2290">
        <f>IF(B2321=0,0,O2290/B2321)</f>
        <v/>
      </c>
      <c r="Q2290">
        <f>IFERROR(1/IF(Inputs!$B$39="pvp",15,MAX(0.1,Skills!D13-IF(Skills!E13=TRUE,Inputs!$B$32,0))),0)</f>
        <v/>
      </c>
      <c r="R2290">
        <f>IF(AND(Inputs!$B$39&lt;&gt;"pvp",Inputs!$B$44&gt;0),IF(MAX(0,Inputs!$B$44-B2322)&lt;=0,0,(INT(MAX(0,Inputs!$B$44-B2322)/IF(Inputs!$B$39="pvp",15,MAX(0.1,Skills!D13-IF(Skills!E13=TRUE,Inputs!$B$32,0))))+1)),0)</f>
        <v/>
      </c>
      <c r="S2290">
        <f>IFERROR(O2290/N2290,0)</f>
        <v/>
      </c>
      <c r="T2290">
        <f>IF(C2290,(H2290*N2290*IF(AND(Inputs!$B$39&lt;&gt;"pvp",Inputs!$B$44&gt;0),((Skills!G13*((R2290-1)*IF(Skills!H13&gt;0,Skills!I13/Skills!H13,1)+IF(Skills!H13&gt;0,MIN(Skills!I13,MAX(0,MAX(0,Inputs!$B$44-B2322)-((R2290-1)*IF(Inputs!$B$39="pvp",15,MAX(0.1,Skills!D13-IF(Skills!E13=TRUE,Inputs!$B$32,0))))))/Skills!H13,1)))/Inputs!$B$44),G2290*Q2290))*IF(Inputs!$B$39="pvp",1,1+(Inputs!$B$20+((C2304=TRUE)*(F2304-Calc!F27))+Skills!P13+B2318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2290*(1-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2290*(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2290*(1-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2290*(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90">
        <f>IF(C2290,(H2290*N2290*IF(AND(Inputs!$B$39&lt;&gt;"pvp",Inputs!$B$44&gt;0),((Skills!G13*((R2290-1)*IF(Skills!H13&gt;0,Skills!I13/Skills!H13,1)+IF(Skills!H13&gt;0,MIN(Skills!I13,MAX(0,MAX(0,Inputs!$B$44-B2322)-((R2290-1)*IF(Inputs!$B$39="pvp",15,MAX(0.1,Skills!D13-IF(Skills!E13=TRUE,Inputs!$B$32,0))))))/Skills!H13,1)))/Inputs!$B$44),G2290*Q2290))*IF(Inputs!$B$39="pvp",1,(1+(Inputs!$B$21+Skills!Q13+B2318+(IF(ArtifactsInput!$M$33,CHOOSE(ArtifactsInput!$N$33+1,30,36,42,48,54,60),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91">
      <c r="A2291">
        <f>Skills!A14</f>
        <v/>
      </c>
      <c r="B2291">
        <f>Skills!B14</f>
        <v/>
      </c>
      <c r="C2291">
        <f>Inputs!$B$3&gt;=105</f>
        <v/>
      </c>
      <c r="D2291">
        <f>IF(Skills!C14=1,60+Inputs!$B$25+Inputs!$B$29,IF(Skills!C14=2,90+Inputs!$B$26+Inputs!$B$29,IF(Skills!C14=3,120+Inputs!$B$27+Inputs!$B$29,MAX(0,(Inputs!$B$3-100)*3)+Inputs!$B$28+Inputs!$B$29)))</f>
        <v/>
      </c>
      <c r="E2291">
        <f>INDEX(FactorTable!$B$2:$Y$301, MATCH(ROUND(MIN(300,MAX(1,D2291)),0), FactorTable!$A$2:$A$301,0), Skills!M14+1)</f>
        <v/>
      </c>
      <c r="F2291">
        <f>IF(Skills!N14=TRUE,(Skills!L14/10)*(E2291/1000),Skills!L14/10)+Skills!O14</f>
        <v/>
      </c>
      <c r="G2291">
        <f>Calc!G14</f>
        <v/>
      </c>
      <c r="H2291">
        <f>Calc!H14</f>
        <v/>
      </c>
      <c r="I2291">
        <f>IF(Skills!AA14&lt;&gt;"",1+(Skills!AA14/10)*(U2280/1000)/100,1)</f>
        <v/>
      </c>
      <c r="J2291">
        <f>((Inputs!$B$6*(1+Inputs!$B$7/100))+(((Inputs!$B$12*(1+Inputs!$B$13/100))-(Inputs!$B$12*(1+Inputs!$B$13/100)))+0.25*(Inputs!$B$14-Inputs!$B$14))*(1+Inputs!$B$7/100))*(F2291/100)</f>
        <v/>
      </c>
      <c r="K2291">
        <f>J2291*(1+((Inputs!$B$12*(1+Inputs!$B$13/100))*0.01+Inputs!$B$14*0.0025)/100)*(1+Inputs!$B$15/100)*(1+Inputs!$B$16/100)*(5000/(6000+Inputs!$B$43*(1-(100*(1-(1-(Inputs!$B$19+0)/100)*(1-CHOOSE(ArtifactsInput!$N$40+1,5,6,7,8,9,10)/100)^(ArtifactsInput!$M$40-ArtifactsInput!$M$40)))/100)))*(1+(Inputs!$B$24+((C2307=TRUE)*(F2307-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2300=TRUE)*(F2300-Calc!F23))+(((IF(AND(ArtifactsInput!$M$42,((Inputs!$B$9+((C2302=TRUE)*(F2302-Calc!F25))+B2317+(ArtifactsInput!$M$24-ArtifactsInput!$M$24)*CHOOSE(ArtifactsInput!$N$24+1,10,12,14,16,18,20)+IF(ArtifactsInput!$M$10,CHOOSE(ArtifactsInput!$N$10+1,15,18,21,24,27,30)*(IF(Inputs!$B$39="pvp",MIN(15,15)/15,IF(AND(Inputs!$B$39&lt;&gt;"pvp",Inputs!$B$44&gt;0),MIN(15,Inputs!$B$44)/(Inputs!$B$44),0))),0)))&gt;=100),MIN(100,((Inputs!$B$9+((C2302=TRUE)*(F2302-Calc!F25))+B2317+(ArtifactsInput!$M$24-ArtifactsInput!$M$24)*CHOOSE(ArtifactsInput!$N$24+1,10,12,14,16,18,20)+IF(ArtifactsInput!$M$10,CHOOSE(ArtifactsInput!$N$10+1,15,18,21,24,27,30)*(IF(Inputs!$B$39="pvp",MIN(15,15)/15,IF(AND(Inputs!$B$39&lt;&gt;"pvp",Inputs!$B$44&gt;0),MIN(15,Inputs!$B$44)/(Inputs!$B$44),0))),0)))-100),0))*CHOOSE(ArtifactsInput!$N$42+1,0.6,0.72,0.84,0.96,1.08,1.2))),Inputs!$B$18+((C2306=TRUE)*(F2306-Calc!F29))+(IF(AND(ArtifactsInput!$M$42,((Inputs!$B$9+((C2302=TRUE)*(F2302-Calc!F25))+B2317+(ArtifactsInput!$M$24-ArtifactsInput!$M$24)*CHOOSE(ArtifactsInput!$N$24+1,10,12,14,16,18,20)+IF(ArtifactsInput!$M$10,CHOOSE(ArtifactsInput!$N$10+1,15,18,21,24,27,30)*(IF(Inputs!$B$39="pvp",MIN(15,15)/15,IF(AND(Inputs!$B$39&lt;&gt;"pvp",Inputs!$B$44&gt;0),MIN(15,Inputs!$B$44)/(Inputs!$B$44),0))),0)))&gt;=100),CHOOSE(ArtifactsInput!$N$42+1,40,48,56,64,72,80),0))))/100)*(((1+(((C2298=TRUE)*F2298*IF(AND(Inputs!$B$39&lt;&gt;"pvp",Inputs!$B$44&gt;0),(((R2298-1)*(Skills!Y21*(1+Inputs!$B$34/100))+MIN((Skills!Y21*(1+Inputs!$B$34/100)),MAX(0,Inputs!$B$44-((R2298-1)*Skills!D21))))/Inputs!$B$44),IF(Inputs!$B$39="pvp",MIN((Skills!Y21*(1+Inputs!$B$34/100)),15)/15,(Skills!Y21*(1+Inputs!$B$34/100))/Skills!D21)))+((C2305=TRUE)*(F2305-Calc!F28))+((C2295=TRUE)*(F2295-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2292=TRUE)*F2292*IF(AND(Inputs!$B$39&lt;&gt;"pvp",Inputs!$B$44&gt;0),(((R2292-1)*(Skills!Y15*(1+Inputs!$B$34/100))+MIN((Skills!Y15*(1+Inputs!$B$34/100)),MAX(0,Inputs!$B$44-((R2292-1)*Skills!D15))))/Inputs!$B$44),IF(Inputs!$B$39="pvp",MIN((Skills!Y15*(1+Inputs!$B$34/100)),15)/15,(Skills!Y15*(1+Inputs!$B$34/100))/Skills!D15)))/100)*(1+((C2283=TRUE)*F2283*B2311)/100))*B2319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2291)</f>
        <v/>
      </c>
      <c r="L2291">
        <f>K2291*(MIN(Inputs!$B$22+((C2301=TRUE)*(F2301-Calc!F24)),(Inputs!$B$23+0+(IF(ArtifactsInput!$M$15,CHOOSE(ArtifactsInput!$N$15+1,25,30,35,40,45,50)/100*(Inputs!$B$11-Inputs!$B$11),0))))/100+(Inputs!$B$23+0+(IF(ArtifactsInput!$M$15,CHOOSE(ArtifactsInput!$N$15+1,25,30,35,40,45,50)/100*(Inputs!$B$11-Inputs!$B$11),0)))/100)/2</f>
        <v/>
      </c>
      <c r="M2291">
        <f>L2291*(1+(Inputs!$B$10+((C2303=TRUE)*(F2303-Calc!F26))+B2320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91">
        <f>L2291*(1-MIN((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2291*(MIN((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91">
        <f>(1-Summary!$B$11)*T2291+Summary!$B$11*V2291</f>
        <v/>
      </c>
      <c r="P2291">
        <f>IF(B2321=0,0,O2291/B2321)</f>
        <v/>
      </c>
      <c r="Q2291">
        <f>IFERROR(1/IF(Inputs!$B$39="pvp",15,MAX(0.1,Skills!D14-IF(Skills!E14=TRUE,Inputs!$B$32,0))),0)</f>
        <v/>
      </c>
      <c r="R2291">
        <f>IF(AND(Inputs!$B$39&lt;&gt;"pvp",Inputs!$B$44&gt;0),IF(MAX(0,Inputs!$B$44-B2322)&lt;=0,0,(INT(MAX(0,Inputs!$B$44-B2322)/IF(Inputs!$B$39="pvp",15,MAX(0.1,Skills!D14-IF(Skills!E14=TRUE,Inputs!$B$32,0))))+1)),0)</f>
        <v/>
      </c>
      <c r="S2291">
        <f>IFERROR(O2291/N2291,0)</f>
        <v/>
      </c>
      <c r="T2291">
        <f>IF(C2291,(H2291*N2291*IF(AND(Inputs!$B$39&lt;&gt;"pvp",Inputs!$B$44&gt;0),((Skills!G14*((R2291-1)*IF(Skills!H14&gt;0,Skills!I14/Skills!H14,1)+IF(Skills!H14&gt;0,MIN(Skills!I14,MAX(0,MAX(0,Inputs!$B$44-B2322)-((R2291-1)*IF(Inputs!$B$39="pvp",15,MAX(0.1,Skills!D14-IF(Skills!E14=TRUE,Inputs!$B$32,0))))))/Skills!H14,1)))/Inputs!$B$44),G2291*Q2291))*IF(Inputs!$B$39="pvp",1,1+(Inputs!$B$20+((C2304=TRUE)*(F2304-Calc!F27))+Skills!P14+B2318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2291*(1-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2291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2291*(1-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2291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91">
        <f>IF(C2291,(H2291*N2291*IF(AND(Inputs!$B$39&lt;&gt;"pvp",Inputs!$B$44&gt;0),((Skills!G14*((R2291-1)*IF(Skills!H14&gt;0,Skills!I14/Skills!H14,1)+IF(Skills!H14&gt;0,MIN(Skills!I14,MAX(0,MAX(0,Inputs!$B$44-B2322)-((R2291-1)*IF(Inputs!$B$39="pvp",15,MAX(0.1,Skills!D14-IF(Skills!E14=TRUE,Inputs!$B$32,0))))))/Skills!H14,1)))/Inputs!$B$44),G2291*Q2291))*IF(Inputs!$B$39="pvp",1,(1+(Inputs!$B$21+Skills!Q14+B2318+(IF(ArtifactsInput!$M$33,CHOOSE(ArtifactsInput!$N$33+1,30,36,42,48,54,60),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92">
      <c r="A2292">
        <f>Skills!A15</f>
        <v/>
      </c>
      <c r="B2292">
        <f>Skills!B15</f>
        <v/>
      </c>
      <c r="C2292">
        <f>Inputs!$B$3&gt;=110</f>
        <v/>
      </c>
      <c r="D2292">
        <f>IF(Skills!C15=1,60+Inputs!$B$25+Inputs!$B$29,IF(Skills!C15=2,90+Inputs!$B$26+Inputs!$B$29,IF(Skills!C15=3,120+Inputs!$B$27+Inputs!$B$29,MAX(0,(Inputs!$B$3-100)*3)+Inputs!$B$28+Inputs!$B$29)))</f>
        <v/>
      </c>
      <c r="E2292">
        <f>INDEX(FactorTable!$B$2:$Y$301, MATCH(ROUND(MIN(300,MAX(1,D2292)),0), FactorTable!$A$2:$A$301,0), Skills!M15+1)</f>
        <v/>
      </c>
      <c r="F2292">
        <f>IF(Skills!N15=TRUE,(Skills!L15/10)*(E2292/1000),Skills!L15/10)+Skills!O15</f>
        <v/>
      </c>
      <c r="G2292">
        <f>Calc!G15</f>
        <v/>
      </c>
      <c r="H2292">
        <f>Calc!H15</f>
        <v/>
      </c>
      <c r="I2292">
        <f>IF(Skills!AA15&lt;&gt;"",1+(Skills!AA15/10)*(U2280/1000)/100,1)</f>
        <v/>
      </c>
      <c r="J2292" t="inlineStr"/>
      <c r="K2292" t="inlineStr"/>
      <c r="L2292" t="inlineStr"/>
      <c r="M2292" t="inlineStr"/>
      <c r="N2292" t="inlineStr"/>
      <c r="O2292">
        <f>(1-Summary!$B$11)*T2292+Summary!$B$11*V2292</f>
        <v/>
      </c>
      <c r="P2292">
        <f>IF(B2321=0,0,O2292/B2321)</f>
        <v/>
      </c>
      <c r="Q2292">
        <f>IFERROR(1/IF(Inputs!$B$39="pvp",15,MAX(0.1,Skills!D15-IF(Skills!E15=TRUE,Inputs!$B$32,0))),0)</f>
        <v/>
      </c>
      <c r="R2292">
        <f>IF(AND(Inputs!$B$39&lt;&gt;"pvp",Inputs!$B$44&gt;0),IF(Inputs!$B$44&lt;=0,0,(INT(Inputs!$B$44/IF(Inputs!$B$39="pvp",15,MAX(0.1,Skills!D15-IF(Skills!E15=TRUE,Inputs!$B$32,0))))+1)),0)</f>
        <v/>
      </c>
      <c r="S2292">
        <f>IFERROR(O2292/N2292,0)</f>
        <v/>
      </c>
      <c r="T2292" t="n">
        <v>0</v>
      </c>
      <c r="V2292" t="n">
        <v>0</v>
      </c>
    </row>
    <row r="2293">
      <c r="A2293">
        <f>Skills!A16</f>
        <v/>
      </c>
      <c r="B2293">
        <f>Skills!B16</f>
        <v/>
      </c>
      <c r="C2293">
        <f>Inputs!$B$3&gt;=110</f>
        <v/>
      </c>
      <c r="D2293">
        <f>IF(Skills!C16=1,60+Inputs!$B$25+Inputs!$B$29,IF(Skills!C16=2,90+Inputs!$B$26+Inputs!$B$29,IF(Skills!C16=3,120+Inputs!$B$27+Inputs!$B$29,MAX(0,(Inputs!$B$3-100)*3)+Inputs!$B$28+Inputs!$B$29)))</f>
        <v/>
      </c>
      <c r="E2293">
        <f>INDEX(FactorTable!$B$2:$Y$301, MATCH(ROUND(MIN(300,MAX(1,D2293)),0), FactorTable!$A$2:$A$301,0), Skills!M16+1)</f>
        <v/>
      </c>
      <c r="F2293">
        <f>IF(Skills!N16=TRUE,(Skills!L16/10)*(E2293/1000),Skills!L16/10)+Skills!O16</f>
        <v/>
      </c>
      <c r="G2293">
        <f>Calc!G16</f>
        <v/>
      </c>
      <c r="H2293">
        <f>Calc!H16</f>
        <v/>
      </c>
      <c r="I2293">
        <f>IF(Skills!AA16&lt;&gt;"",1+(Skills!AA16/10)*(U2280/1000)/100,1)</f>
        <v/>
      </c>
      <c r="J2293" t="inlineStr"/>
      <c r="K2293" t="inlineStr"/>
      <c r="L2293" t="inlineStr"/>
      <c r="M2293" t="inlineStr"/>
      <c r="N2293" t="inlineStr"/>
      <c r="O2293">
        <f>(1-Summary!$B$11)*T2293+Summary!$B$11*V2293</f>
        <v/>
      </c>
      <c r="P2293">
        <f>IF(B2321=0,0,O2293/B2321)</f>
        <v/>
      </c>
      <c r="Q2293">
        <f>IFERROR(1/IF(Inputs!$B$39="pvp",15,MAX(0.1,Skills!D16-IF(Skills!E16=TRUE,Inputs!$B$32,0))),0)</f>
        <v/>
      </c>
      <c r="R2293">
        <f>IF(AND(Inputs!$B$39&lt;&gt;"pvp",Inputs!$B$44&gt;0),IF(Inputs!$B$44&lt;=0,0,(INT(Inputs!$B$44/IF(Inputs!$B$39="pvp",15,MAX(0.1,Skills!D16-IF(Skills!E16=TRUE,Inputs!$B$32,0))))+1)),0)</f>
        <v/>
      </c>
      <c r="S2293">
        <f>IFERROR(O2293/N2293,0)</f>
        <v/>
      </c>
      <c r="T2293" t="n">
        <v>0</v>
      </c>
      <c r="V2293" t="n">
        <v>0</v>
      </c>
    </row>
    <row r="2294">
      <c r="A2294">
        <f>Skills!A17</f>
        <v/>
      </c>
      <c r="B2294">
        <f>Skills!B17</f>
        <v/>
      </c>
      <c r="C2294">
        <f>Inputs!$B$3&gt;=115</f>
        <v/>
      </c>
      <c r="D2294">
        <f>IF(Skills!C17=1,60+Inputs!$B$25+Inputs!$B$29,IF(Skills!C17=2,90+Inputs!$B$26+Inputs!$B$29,IF(Skills!C17=3,120+Inputs!$B$27+Inputs!$B$29,MAX(0,(Inputs!$B$3-100)*3)+Inputs!$B$28+Inputs!$B$29)))</f>
        <v/>
      </c>
      <c r="E2294">
        <f>INDEX(FactorTable!$B$2:$Y$301, MATCH(ROUND(MIN(300,MAX(1,D2294)),0), FactorTable!$A$2:$A$301,0), Skills!M17+1)</f>
        <v/>
      </c>
      <c r="F2294">
        <f>IF(Skills!N17=TRUE,(Skills!L17/10)*(E2294/1000),Skills!L17/10)+Skills!O17</f>
        <v/>
      </c>
      <c r="G2294">
        <f>Calc!G17</f>
        <v/>
      </c>
      <c r="H2294">
        <f>Calc!H17</f>
        <v/>
      </c>
      <c r="I2294">
        <f>IF(Skills!AA17&lt;&gt;"",1+(Skills!AA17/10)*(U2280/1000)/100,1)</f>
        <v/>
      </c>
      <c r="J2294">
        <f>((Inputs!$B$6*(1+Inputs!$B$7/100))+(((Inputs!$B$12*(1+Inputs!$B$13/100))-(Inputs!$B$12*(1+Inputs!$B$13/100)))+0.25*(Inputs!$B$14-Inputs!$B$14))*(1+Inputs!$B$7/100))*(F2294/100)</f>
        <v/>
      </c>
      <c r="K2294">
        <f>J2294*(1+((Inputs!$B$12*(1+Inputs!$B$13/100))*0.01+Inputs!$B$14*0.0025)/100)*(1+Inputs!$B$15/100)*(1+Inputs!$B$16/100)*(5000/(6000+Inputs!$B$43*(1-(100*(1-(1-(Inputs!$B$19+0)/100)*(1-CHOOSE(ArtifactsInput!$N$40+1,5,6,7,8,9,10)/100)^(ArtifactsInput!$M$40-ArtifactsInput!$M$40)))/100)))*(1+(Inputs!$B$24+((C2307=TRUE)*(F2307-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2300=TRUE)*(F2300-Calc!F23))+(((IF(AND(ArtifactsInput!$M$42,((Inputs!$B$9+((C2302=TRUE)*(F2302-Calc!F25))+B2317+(ArtifactsInput!$M$24-ArtifactsInput!$M$24)*CHOOSE(ArtifactsInput!$N$24+1,10,12,14,16,18,20)+IF(ArtifactsInput!$M$10,CHOOSE(ArtifactsInput!$N$10+1,15,18,21,24,27,30)*(IF(Inputs!$B$39="pvp",MIN(15,15)/15,IF(AND(Inputs!$B$39&lt;&gt;"pvp",Inputs!$B$44&gt;0),MIN(15,Inputs!$B$44)/(Inputs!$B$44),0))),0)))&gt;=100),MIN(100,((Inputs!$B$9+((C2302=TRUE)*(F2302-Calc!F25))+B2317+(ArtifactsInput!$M$24-ArtifactsInput!$M$24)*CHOOSE(ArtifactsInput!$N$24+1,10,12,14,16,18,20)+IF(ArtifactsInput!$M$10,CHOOSE(ArtifactsInput!$N$10+1,15,18,21,24,27,30)*(IF(Inputs!$B$39="pvp",MIN(15,15)/15,IF(AND(Inputs!$B$39&lt;&gt;"pvp",Inputs!$B$44&gt;0),MIN(15,Inputs!$B$44)/(Inputs!$B$44),0))),0)))-100),0))*CHOOSE(ArtifactsInput!$N$42+1,0.6,0.72,0.84,0.96,1.08,1.2))),Inputs!$B$18+((C2306=TRUE)*(F2306-Calc!F29))+(IF(AND(ArtifactsInput!$M$42,((Inputs!$B$9+((C2302=TRUE)*(F2302-Calc!F25))+B2317+(ArtifactsInput!$M$24-ArtifactsInput!$M$24)*CHOOSE(ArtifactsInput!$N$24+1,10,12,14,16,18,20)+IF(ArtifactsInput!$M$10,CHOOSE(ArtifactsInput!$N$10+1,15,18,21,24,27,30)*(IF(Inputs!$B$39="pvp",MIN(15,15)/15,IF(AND(Inputs!$B$39&lt;&gt;"pvp",Inputs!$B$44&gt;0),MIN(15,Inputs!$B$44)/(Inputs!$B$44),0))),0)))&gt;=100),CHOOSE(ArtifactsInput!$N$42+1,40,48,56,64,72,80),0))))/100)*(((1+(((C2298=TRUE)*F2298*IF(AND(Inputs!$B$39&lt;&gt;"pvp",Inputs!$B$44&gt;0),(((R2298-1)*(Skills!Y21*(1+Inputs!$B$34/100))+MIN((Skills!Y21*(1+Inputs!$B$34/100)),MAX(0,Inputs!$B$44-((R2298-1)*Skills!D21))))/Inputs!$B$44),IF(Inputs!$B$39="pvp",MIN((Skills!Y21*(1+Inputs!$B$34/100)),15)/15,(Skills!Y21*(1+Inputs!$B$34/100))/Skills!D21)))+((C2305=TRUE)*(F2305-Calc!F28))+((C2295=TRUE)*(F2295-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2292=TRUE)*F2292*IF(AND(Inputs!$B$39&lt;&gt;"pvp",Inputs!$B$44&gt;0),(((R2292-1)*(Skills!Y15*(1+Inputs!$B$34/100))+MIN((Skills!Y15*(1+Inputs!$B$34/100)),MAX(0,Inputs!$B$44-((R2292-1)*Skills!D15))))/Inputs!$B$44),IF(Inputs!$B$39="pvp",MIN((Skills!Y15*(1+Inputs!$B$34/100)),15)/15,(Skills!Y15*(1+Inputs!$B$34/100))/Skills!D15)))/100)*(1+((C2283=TRUE)*F2283*B2311)/100))*B2319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2294)</f>
        <v/>
      </c>
      <c r="L2294">
        <f>K2294*(MIN(Inputs!$B$22+((C2301=TRUE)*(F2301-Calc!F24)),(Inputs!$B$23+0+(IF(ArtifactsInput!$M$15,CHOOSE(ArtifactsInput!$N$15+1,25,30,35,40,45,50)/100*(Inputs!$B$11-Inputs!$B$11),0))))/100+(Inputs!$B$23+0+(IF(ArtifactsInput!$M$15,CHOOSE(ArtifactsInput!$N$15+1,25,30,35,40,45,50)/100*(Inputs!$B$11-Inputs!$B$11),0)))/100)/2</f>
        <v/>
      </c>
      <c r="M2294">
        <f>L2294*(1+(Inputs!$B$10+((C2303=TRUE)*(F2303-Calc!F26))+B2320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94">
        <f>L2294*(1-MIN((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2294*(MIN((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94">
        <f>(1-Summary!$B$11)*T2294+Summary!$B$11*V2294</f>
        <v/>
      </c>
      <c r="P2294">
        <f>IF(B2321=0,0,O2294/B2321)</f>
        <v/>
      </c>
      <c r="Q2294" t="n">
        <v>0</v>
      </c>
      <c r="R2294" t="n">
        <v>0</v>
      </c>
      <c r="S2294">
        <f>IFERROR(O2294/N2294,0)</f>
        <v/>
      </c>
      <c r="T2294">
        <f>IF(C2294,(Inputs!$B$38*0.2*N2294)*IF(Inputs!$B$39="pvp",1,1+(Inputs!$B$20+((C2304=TRUE)*(F2304-Calc!F27))+Skills!P17+B2318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2294*(1-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2294*(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2294*(1-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2294*(MIN(100,(Inputs!$B$9+((C2302=TRUE)*(F2302-Calc!F25))+B2317+(ArtifactsInput!$M$24-ArtifactsInput!$M$24)*CHOOSE(ArtifactsInput!$N$24+1,10,12,14,16,18,20)+(IF(AND(ArtifactsInput!$M$42,((Inputs!$B$9+((C2302=TRUE)*(F2302-Calc!F25))+B2317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94">
        <f>IF(C2294,(Inputs!$B$38*0.2*N2294)*IF(Inputs!$B$39="pvp",1,(1+(Inputs!$B$21+Skills!Q17+B2318+(IF(ArtifactsInput!$M$33,CHOOSE(ArtifactsInput!$N$33+1,30,36,42,48,54,60),0))+(IF(AND(ArtifactsInput!$M$35,Inputs!$B$4&lt;&gt;"Chapter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95">
      <c r="A2295">
        <f>Skills!A18</f>
        <v/>
      </c>
      <c r="B2295">
        <f>Skills!B18</f>
        <v/>
      </c>
      <c r="C2295">
        <f>Inputs!$B$3&gt;=115</f>
        <v/>
      </c>
      <c r="D2295">
        <f>IF(Skills!C18=1,60+Inputs!$B$25+Inputs!$B$29,IF(Skills!C18=2,90+Inputs!$B$26+Inputs!$B$29,IF(Skills!C18=3,120+Inputs!$B$27+Inputs!$B$29,MAX(0,(Inputs!$B$3-100)*3)+Inputs!$B$28+Inputs!$B$29)))</f>
        <v/>
      </c>
      <c r="E2295">
        <f>INDEX(FactorTable!$B$2:$Y$301, MATCH(ROUND(MIN(300,MAX(1,D2295)),0), FactorTable!$A$2:$A$301,0), Skills!M18+1)</f>
        <v/>
      </c>
      <c r="F2295">
        <f>IF(Skills!N18=TRUE,(Skills!L18/10)*(E2295/1000),Skills!L18/10)+Skills!O18</f>
        <v/>
      </c>
      <c r="G2295">
        <f>Calc!G18</f>
        <v/>
      </c>
      <c r="H2295">
        <f>Calc!H18</f>
        <v/>
      </c>
      <c r="I2295">
        <f>IF(Skills!AA18&lt;&gt;"",1+(Skills!AA18/10)*(U2280/1000)/100,1)</f>
        <v/>
      </c>
      <c r="J2295" t="inlineStr"/>
      <c r="K2295" t="inlineStr"/>
      <c r="L2295" t="inlineStr"/>
      <c r="M2295" t="inlineStr"/>
      <c r="N2295" t="inlineStr"/>
      <c r="O2295">
        <f>(1-Summary!$B$11)*T2295+Summary!$B$11*V2295</f>
        <v/>
      </c>
      <c r="P2295">
        <f>IF(B2321=0,0,O2295/B2321)</f>
        <v/>
      </c>
      <c r="Q2295" t="n">
        <v>0</v>
      </c>
      <c r="R2295" t="n">
        <v>0</v>
      </c>
      <c r="S2295">
        <f>IFERROR(O2295/N2295,0)</f>
        <v/>
      </c>
      <c r="T2295" t="n">
        <v>0</v>
      </c>
      <c r="V2295" t="n">
        <v>0</v>
      </c>
    </row>
    <row r="2296">
      <c r="A2296">
        <f>Skills!A19</f>
        <v/>
      </c>
      <c r="B2296">
        <f>Skills!B19</f>
        <v/>
      </c>
      <c r="C2296">
        <f>TRUE</f>
        <v/>
      </c>
      <c r="D2296">
        <f>IF(Skills!C19=1,60+Inputs!$B$25+Inputs!$B$29,IF(Skills!C19=2,90+Inputs!$B$26+Inputs!$B$29,IF(Skills!C19=3,120+Inputs!$B$27+Inputs!$B$29,MAX(0,(Inputs!$B$3-100)*3)+Inputs!$B$28+Inputs!$B$29)))</f>
        <v/>
      </c>
      <c r="E2296">
        <f>INDEX(FactorTable!$B$2:$Y$301, MATCH(ROUND(MIN(300,MAX(1,D2296)),0), FactorTable!$A$2:$A$301,0), Skills!M19+1)</f>
        <v/>
      </c>
      <c r="F2296">
        <f>IF(Skills!N19=TRUE,(Skills!L19/10)*(E2296/1000),Skills!L19/10)+Skills!O19</f>
        <v/>
      </c>
      <c r="G2296">
        <f>Calc!G19</f>
        <v/>
      </c>
      <c r="H2296">
        <f>Calc!H19</f>
        <v/>
      </c>
      <c r="I2296">
        <f>IF(Skills!AA19&lt;&gt;"",1+(Skills!AA19/10)*(U2280/1000)/100,1)</f>
        <v/>
      </c>
      <c r="J2296" t="inlineStr"/>
      <c r="K2296" t="inlineStr"/>
      <c r="L2296" t="inlineStr"/>
      <c r="M2296" t="inlineStr"/>
      <c r="N2296" t="inlineStr"/>
      <c r="O2296">
        <f>(1-Summary!$B$11)*T2296+Summary!$B$11*V2296</f>
        <v/>
      </c>
      <c r="P2296">
        <f>IF(B2321=0,0,O2296/B2321)</f>
        <v/>
      </c>
      <c r="Q2296">
        <f>IFERROR(1/IF(Inputs!$B$39="pvp",15,MAX(0.1,Skills!D19-IF(Skills!E19=TRUE,Inputs!$B$32,0))),0)</f>
        <v/>
      </c>
      <c r="R2296">
        <f>IF(AND(Inputs!$B$39&lt;&gt;"pvp",Inputs!$B$44&gt;0),IF(Inputs!$B$44&lt;=0,0,(INT(Inputs!$B$44/IF(Inputs!$B$39="pvp",15,MAX(0.1,Skills!D19-IF(Skills!E19=TRUE,Inputs!$B$32,0))))+1)),0)</f>
        <v/>
      </c>
      <c r="S2296">
        <f>IFERROR(O2296/N2296,0)</f>
        <v/>
      </c>
      <c r="T2296" t="n">
        <v>0</v>
      </c>
      <c r="V2296" t="n">
        <v>0</v>
      </c>
    </row>
    <row r="2297">
      <c r="A2297">
        <f>Skills!A20</f>
        <v/>
      </c>
      <c r="B2297">
        <f>Skills!B20</f>
        <v/>
      </c>
      <c r="C2297">
        <f>Inputs!$B$3&gt;=15</f>
        <v/>
      </c>
      <c r="D2297">
        <f>IF(Skills!C20=1,60+Inputs!$B$25+Inputs!$B$29,IF(Skills!C20=2,90+Inputs!$B$26+Inputs!$B$29,IF(Skills!C20=3,120+Inputs!$B$27+Inputs!$B$29,MAX(0,(Inputs!$B$3-100)*3)+Inputs!$B$28+Inputs!$B$29)))</f>
        <v/>
      </c>
      <c r="E2297">
        <f>INDEX(FactorTable!$B$2:$Y$301, MATCH(ROUND(MIN(300,MAX(1,D2297)),0), FactorTable!$A$2:$A$301,0), Skills!M20+1)</f>
        <v/>
      </c>
      <c r="F2297">
        <f>IF(Skills!N20=TRUE,(Skills!L20/10)*(E2297/1000),Skills!L20/10)+Skills!O20</f>
        <v/>
      </c>
      <c r="G2297">
        <f>Calc!G20</f>
        <v/>
      </c>
      <c r="H2297">
        <f>Calc!H20</f>
        <v/>
      </c>
      <c r="I2297">
        <f>IF(Skills!AA20&lt;&gt;"",1+(Skills!AA20/10)*(U2280/1000)/100,1)</f>
        <v/>
      </c>
      <c r="J2297" t="inlineStr"/>
      <c r="K2297" t="inlineStr"/>
      <c r="L2297" t="inlineStr"/>
      <c r="M2297" t="inlineStr"/>
      <c r="N2297" t="inlineStr"/>
      <c r="O2297">
        <f>(1-Summary!$B$11)*T2297+Summary!$B$11*V2297</f>
        <v/>
      </c>
      <c r="P2297">
        <f>IF(B2321=0,0,O2297/B2321)</f>
        <v/>
      </c>
      <c r="Q2297">
        <f>IFERROR(1/IF(Inputs!$B$39="pvp",15,MAX(0.1,Skills!D20-IF(Skills!E20=TRUE,Inputs!$B$32,0))),0)</f>
        <v/>
      </c>
      <c r="R2297">
        <f>IF(AND(Inputs!$B$39&lt;&gt;"pvp",Inputs!$B$44&gt;0),IF(Inputs!$B$44&lt;=0,0,(INT(Inputs!$B$44/IF(Inputs!$B$39="pvp",15,MAX(0.1,Skills!D20-IF(Skills!E20=TRUE,Inputs!$B$32,0))))+1)),0)</f>
        <v/>
      </c>
      <c r="S2297">
        <f>IFERROR(O2297/N2297,0)</f>
        <v/>
      </c>
      <c r="T2297" t="n">
        <v>0</v>
      </c>
      <c r="V2297" t="n">
        <v>0</v>
      </c>
    </row>
    <row r="2298">
      <c r="A2298">
        <f>Skills!A21</f>
        <v/>
      </c>
      <c r="B2298">
        <f>Skills!B21</f>
        <v/>
      </c>
      <c r="C2298">
        <f>Inputs!$B$3&gt;=15</f>
        <v/>
      </c>
      <c r="D2298">
        <f>IF(Skills!C21=1,60+Inputs!$B$25+Inputs!$B$29,IF(Skills!C21=2,90+Inputs!$B$26+Inputs!$B$29,IF(Skills!C21=3,120+Inputs!$B$27+Inputs!$B$29,MAX(0,(Inputs!$B$3-100)*3)+Inputs!$B$28+Inputs!$B$29)))</f>
        <v/>
      </c>
      <c r="E2298">
        <f>INDEX(FactorTable!$B$2:$Y$301, MATCH(ROUND(MIN(300,MAX(1,D2298)),0), FactorTable!$A$2:$A$301,0), Skills!M21+1)</f>
        <v/>
      </c>
      <c r="F2298">
        <f>IF(Skills!N21=TRUE,(Skills!L21/10)*(E2298/1000),Skills!L21/10)+Skills!O21</f>
        <v/>
      </c>
      <c r="G2298">
        <f>Calc!G21</f>
        <v/>
      </c>
      <c r="H2298">
        <f>Calc!H21</f>
        <v/>
      </c>
      <c r="I2298">
        <f>IF(Skills!AA21&lt;&gt;"",1+(Skills!AA21/10)*(U2280/1000)/100,1)</f>
        <v/>
      </c>
      <c r="J2298" t="inlineStr"/>
      <c r="K2298" t="inlineStr"/>
      <c r="L2298" t="inlineStr"/>
      <c r="M2298" t="inlineStr"/>
      <c r="N2298" t="inlineStr"/>
      <c r="O2298">
        <f>(1-Summary!$B$11)*T2298+Summary!$B$11*V2298</f>
        <v/>
      </c>
      <c r="P2298">
        <f>IF(B2321=0,0,O2298/B2321)</f>
        <v/>
      </c>
      <c r="Q2298">
        <f>IFERROR(1/IF(Inputs!$B$39="pvp",15,MAX(0.1,Skills!D21-IF(Skills!E21=TRUE,Inputs!$B$32,0))),0)</f>
        <v/>
      </c>
      <c r="R2298">
        <f>IF(AND(Inputs!$B$39&lt;&gt;"pvp",Inputs!$B$44&gt;0),IF(Inputs!$B$44&lt;=0,0,(INT(Inputs!$B$44/IF(Inputs!$B$39="pvp",15,MAX(0.1,Skills!D21-IF(Skills!E21=TRUE,Inputs!$B$32,0))))+1)),0)</f>
        <v/>
      </c>
      <c r="S2298">
        <f>IFERROR(O2298/N2298,0)</f>
        <v/>
      </c>
      <c r="T2298" t="n">
        <v>0</v>
      </c>
      <c r="V2298" t="n">
        <v>0</v>
      </c>
    </row>
    <row r="2299">
      <c r="A2299">
        <f>Skills!A22</f>
        <v/>
      </c>
      <c r="B2299">
        <f>Skills!B22</f>
        <v/>
      </c>
      <c r="C2299">
        <f>Inputs!$B$3&gt;=33</f>
        <v/>
      </c>
      <c r="D2299">
        <f>IF(Skills!C22=1,60+Inputs!$B$25+Inputs!$B$29,IF(Skills!C22=2,90+Inputs!$B$26+Inputs!$B$29,IF(Skills!C22=3,120+Inputs!$B$27+Inputs!$B$29,MAX(0,(Inputs!$B$3-100)*3)+Inputs!$B$28+Inputs!$B$29)))</f>
        <v/>
      </c>
      <c r="E2299">
        <f>INDEX(FactorTable!$B$2:$Y$301, MATCH(ROUND(MIN(300,MAX(1,D2299)),0), FactorTable!$A$2:$A$301,0), Skills!M22+1)</f>
        <v/>
      </c>
      <c r="F2299">
        <f>IF(Skills!N22=TRUE,(Skills!L22/10)*(E2299/1000),Skills!L22/10)+Skills!O22</f>
        <v/>
      </c>
      <c r="G2299">
        <f>Calc!G22</f>
        <v/>
      </c>
      <c r="H2299">
        <f>Calc!H22</f>
        <v/>
      </c>
      <c r="I2299">
        <f>IF(Skills!AA22&lt;&gt;"",1+(Skills!AA22/10)*(U2280/1000)/100,1)</f>
        <v/>
      </c>
      <c r="J2299" t="inlineStr"/>
      <c r="K2299" t="inlineStr"/>
      <c r="L2299" t="inlineStr"/>
      <c r="M2299" t="inlineStr"/>
      <c r="N2299" t="inlineStr"/>
      <c r="O2299">
        <f>(1-Summary!$B$11)*T2299+Summary!$B$11*V2299</f>
        <v/>
      </c>
      <c r="P2299">
        <f>IF(B2321=0,0,O2299/B2321)</f>
        <v/>
      </c>
      <c r="Q2299" t="n">
        <v>0</v>
      </c>
      <c r="R2299" t="n">
        <v>0</v>
      </c>
      <c r="S2299">
        <f>IFERROR(O2299/N2299,0)</f>
        <v/>
      </c>
      <c r="T2299" t="n">
        <v>0</v>
      </c>
      <c r="V2299" t="n">
        <v>0</v>
      </c>
    </row>
    <row r="2300">
      <c r="A2300">
        <f>Skills!A23</f>
        <v/>
      </c>
      <c r="B2300">
        <f>Skills!B23</f>
        <v/>
      </c>
      <c r="C2300">
        <f>Inputs!$B$3&gt;=38</f>
        <v/>
      </c>
      <c r="D2300">
        <f>IF(Skills!C23=1,60+Inputs!$B$25+Inputs!$B$29,IF(Skills!C23=2,90+Inputs!$B$26+Inputs!$B$29,IF(Skills!C23=3,120+Inputs!$B$27+Inputs!$B$29,MAX(0,(Inputs!$B$3-100)*3)+Inputs!$B$28+Inputs!$B$29)))</f>
        <v/>
      </c>
      <c r="E2300">
        <f>INDEX(FactorTable!$B$2:$Y$301, MATCH(ROUND(MIN(300,MAX(1,D2300)),0), FactorTable!$A$2:$A$301,0), Skills!M23+1)</f>
        <v/>
      </c>
      <c r="F2300">
        <f>IF(Skills!N23=TRUE,(Skills!L23/10)*(E2300/1000),Skills!L23/10)+Skills!O23</f>
        <v/>
      </c>
      <c r="G2300">
        <f>Calc!G23</f>
        <v/>
      </c>
      <c r="H2300">
        <f>Calc!H23</f>
        <v/>
      </c>
      <c r="I2300">
        <f>IF(Skills!AA23&lt;&gt;"",1+(Skills!AA23/10)*(U2280/1000)/100,1)</f>
        <v/>
      </c>
      <c r="J2300" t="inlineStr"/>
      <c r="K2300" t="inlineStr"/>
      <c r="L2300" t="inlineStr"/>
      <c r="M2300" t="inlineStr"/>
      <c r="N2300" t="inlineStr"/>
      <c r="O2300">
        <f>(1-Summary!$B$11)*T2300+Summary!$B$11*V2300</f>
        <v/>
      </c>
      <c r="P2300">
        <f>IF(B2321=0,0,O2300/B2321)</f>
        <v/>
      </c>
      <c r="Q2300" t="n">
        <v>0</v>
      </c>
      <c r="R2300" t="n">
        <v>0</v>
      </c>
      <c r="S2300">
        <f>IFERROR(O2300/N2300,0)</f>
        <v/>
      </c>
      <c r="T2300" t="n">
        <v>0</v>
      </c>
      <c r="V2300" t="n">
        <v>0</v>
      </c>
    </row>
    <row r="2301">
      <c r="A2301">
        <f>Skills!A24</f>
        <v/>
      </c>
      <c r="B2301">
        <f>Skills!B24</f>
        <v/>
      </c>
      <c r="C2301">
        <f>Inputs!$B$3&gt;=40</f>
        <v/>
      </c>
      <c r="D2301">
        <f>IF(Skills!C24=1,60+Inputs!$B$25+Inputs!$B$29,IF(Skills!C24=2,90+Inputs!$B$26+Inputs!$B$29,IF(Skills!C24=3,120+Inputs!$B$27+Inputs!$B$29,MAX(0,(Inputs!$B$3-100)*3)+Inputs!$B$28+Inputs!$B$29)))</f>
        <v/>
      </c>
      <c r="E2301">
        <f>INDEX(FactorTable!$B$2:$Y$301, MATCH(ROUND(MIN(300,MAX(1,D2301)),0), FactorTable!$A$2:$A$301,0), Skills!M24+1)</f>
        <v/>
      </c>
      <c r="F2301">
        <f>IF(Skills!N24=TRUE,(Skills!L24/10)*(E2301/1000),Skills!L24/10)+Skills!O24</f>
        <v/>
      </c>
      <c r="G2301">
        <f>Calc!G24</f>
        <v/>
      </c>
      <c r="H2301">
        <f>Calc!H24</f>
        <v/>
      </c>
      <c r="I2301">
        <f>IF(Skills!AA24&lt;&gt;"",1+(Skills!AA24/10)*(U2280/1000)/100,1)</f>
        <v/>
      </c>
      <c r="J2301" t="inlineStr"/>
      <c r="K2301" t="inlineStr"/>
      <c r="L2301" t="inlineStr"/>
      <c r="M2301" t="inlineStr"/>
      <c r="N2301" t="inlineStr"/>
      <c r="O2301">
        <f>(1-Summary!$B$11)*T2301+Summary!$B$11*V2301</f>
        <v/>
      </c>
      <c r="P2301">
        <f>IF(B2321=0,0,O2301/B2321)</f>
        <v/>
      </c>
      <c r="Q2301" t="n">
        <v>0</v>
      </c>
      <c r="R2301" t="n">
        <v>0</v>
      </c>
      <c r="S2301">
        <f>IFERROR(O2301/N2301,0)</f>
        <v/>
      </c>
      <c r="T2301" t="n">
        <v>0</v>
      </c>
      <c r="V2301" t="n">
        <v>0</v>
      </c>
    </row>
    <row r="2302">
      <c r="A2302">
        <f>Skills!A25</f>
        <v/>
      </c>
      <c r="B2302">
        <f>Skills!B25</f>
        <v/>
      </c>
      <c r="C2302">
        <f>Inputs!$B$3&gt;=45</f>
        <v/>
      </c>
      <c r="D2302">
        <f>IF(Skills!C25=1,60+Inputs!$B$25+Inputs!$B$29,IF(Skills!C25=2,90+Inputs!$B$26+Inputs!$B$29,IF(Skills!C25=3,120+Inputs!$B$27+Inputs!$B$29,MAX(0,(Inputs!$B$3-100)*3)+Inputs!$B$28+Inputs!$B$29)))</f>
        <v/>
      </c>
      <c r="E2302">
        <f>INDEX(FactorTable!$B$2:$Y$301, MATCH(ROUND(MIN(300,MAX(1,D2302)),0), FactorTable!$A$2:$A$301,0), Skills!M25+1)</f>
        <v/>
      </c>
      <c r="F2302">
        <f>IF(Skills!N25=TRUE,(Skills!L25/10)*(E2302/1000),Skills!L25/10)+Skills!O25</f>
        <v/>
      </c>
      <c r="G2302">
        <f>Calc!G25</f>
        <v/>
      </c>
      <c r="H2302">
        <f>Calc!H25</f>
        <v/>
      </c>
      <c r="I2302">
        <f>IF(Skills!AA25&lt;&gt;"",1+(Skills!AA25/10)*(U2280/1000)/100,1)</f>
        <v/>
      </c>
      <c r="J2302" t="inlineStr"/>
      <c r="K2302" t="inlineStr"/>
      <c r="L2302" t="inlineStr"/>
      <c r="M2302" t="inlineStr"/>
      <c r="N2302" t="inlineStr"/>
      <c r="O2302">
        <f>(1-Summary!$B$11)*T2302+Summary!$B$11*V2302</f>
        <v/>
      </c>
      <c r="P2302">
        <f>IF(B2321=0,0,O2302/B2321)</f>
        <v/>
      </c>
      <c r="Q2302" t="n">
        <v>0</v>
      </c>
      <c r="R2302" t="n">
        <v>0</v>
      </c>
      <c r="S2302">
        <f>IFERROR(O2302/N2302,0)</f>
        <v/>
      </c>
      <c r="T2302" t="n">
        <v>0</v>
      </c>
      <c r="V2302" t="n">
        <v>0</v>
      </c>
    </row>
    <row r="2303">
      <c r="A2303">
        <f>Skills!A26</f>
        <v/>
      </c>
      <c r="B2303">
        <f>Skills!B26</f>
        <v/>
      </c>
      <c r="C2303">
        <f>Inputs!$B$3&gt;=45</f>
        <v/>
      </c>
      <c r="D2303">
        <f>IF(Skills!C26=1,60+Inputs!$B$25+Inputs!$B$29,IF(Skills!C26=2,90+Inputs!$B$26+Inputs!$B$29,IF(Skills!C26=3,120+Inputs!$B$27+Inputs!$B$29,MAX(0,(Inputs!$B$3-100)*3)+Inputs!$B$28+Inputs!$B$29)))</f>
        <v/>
      </c>
      <c r="E2303">
        <f>INDEX(FactorTable!$B$2:$Y$301, MATCH(ROUND(MIN(300,MAX(1,D2303)),0), FactorTable!$A$2:$A$301,0), Skills!M26+1)</f>
        <v/>
      </c>
      <c r="F2303">
        <f>IF(Skills!N26=TRUE,(Skills!L26/10)*(E2303/1000),Skills!L26/10)+Skills!O26</f>
        <v/>
      </c>
      <c r="G2303">
        <f>Calc!G26</f>
        <v/>
      </c>
      <c r="H2303">
        <f>Calc!H26</f>
        <v/>
      </c>
      <c r="I2303">
        <f>IF(Skills!AA26&lt;&gt;"",1+(Skills!AA26/10)*(U2280/1000)/100,1)</f>
        <v/>
      </c>
      <c r="J2303" t="inlineStr"/>
      <c r="K2303" t="inlineStr"/>
      <c r="L2303" t="inlineStr"/>
      <c r="M2303" t="inlineStr"/>
      <c r="N2303" t="inlineStr"/>
      <c r="O2303">
        <f>(1-Summary!$B$11)*T2303+Summary!$B$11*V2303</f>
        <v/>
      </c>
      <c r="P2303">
        <f>IF(B2321=0,0,O2303/B2321)</f>
        <v/>
      </c>
      <c r="Q2303" t="n">
        <v>0</v>
      </c>
      <c r="R2303" t="n">
        <v>0</v>
      </c>
      <c r="S2303">
        <f>IFERROR(O2303/N2303,0)</f>
        <v/>
      </c>
      <c r="T2303" t="n">
        <v>0</v>
      </c>
      <c r="V2303" t="n">
        <v>0</v>
      </c>
    </row>
    <row r="2304">
      <c r="A2304">
        <f>Skills!A27</f>
        <v/>
      </c>
      <c r="B2304">
        <f>Skills!B27</f>
        <v/>
      </c>
      <c r="C2304">
        <f>Inputs!$B$3&gt;=72</f>
        <v/>
      </c>
      <c r="D2304">
        <f>IF(Skills!C27=1,60+Inputs!$B$25+Inputs!$B$29,IF(Skills!C27=2,90+Inputs!$B$26+Inputs!$B$29,IF(Skills!C27=3,120+Inputs!$B$27+Inputs!$B$29,MAX(0,(Inputs!$B$3-100)*3)+Inputs!$B$28+Inputs!$B$29)))</f>
        <v/>
      </c>
      <c r="E2304">
        <f>INDEX(FactorTable!$B$2:$Y$301, MATCH(ROUND(MIN(300,MAX(1,D2304)),0), FactorTable!$A$2:$A$301,0), Skills!M27+1)</f>
        <v/>
      </c>
      <c r="F2304">
        <f>IF(Skills!N27=TRUE,(Skills!L27/10)*(E2304/1000),Skills!L27/10)+Skills!O27</f>
        <v/>
      </c>
      <c r="G2304">
        <f>Calc!G27</f>
        <v/>
      </c>
      <c r="H2304">
        <f>Calc!H27</f>
        <v/>
      </c>
      <c r="I2304">
        <f>IF(Skills!AA27&lt;&gt;"",1+(Skills!AA27/10)*(U2280/1000)/100,1)</f>
        <v/>
      </c>
      <c r="J2304" t="inlineStr"/>
      <c r="K2304" t="inlineStr"/>
      <c r="L2304" t="inlineStr"/>
      <c r="M2304" t="inlineStr"/>
      <c r="N2304" t="inlineStr"/>
      <c r="O2304">
        <f>(1-Summary!$B$11)*T2304+Summary!$B$11*V2304</f>
        <v/>
      </c>
      <c r="P2304">
        <f>IF(B2321=0,0,O2304/B2321)</f>
        <v/>
      </c>
      <c r="Q2304" t="n">
        <v>0</v>
      </c>
      <c r="R2304" t="n">
        <v>0</v>
      </c>
      <c r="S2304">
        <f>IFERROR(O2304/N2304,0)</f>
        <v/>
      </c>
      <c r="T2304" t="n">
        <v>0</v>
      </c>
      <c r="V2304" t="n">
        <v>0</v>
      </c>
    </row>
    <row r="2305">
      <c r="A2305">
        <f>Skills!A28</f>
        <v/>
      </c>
      <c r="B2305">
        <f>Skills!B28</f>
        <v/>
      </c>
      <c r="C2305">
        <f>Inputs!$B$3&gt;=75</f>
        <v/>
      </c>
      <c r="D2305">
        <f>IF(Skills!C28=1,60+Inputs!$B$25+Inputs!$B$29,IF(Skills!C28=2,90+Inputs!$B$26+Inputs!$B$29,IF(Skills!C28=3,120+Inputs!$B$27+Inputs!$B$29,MAX(0,(Inputs!$B$3-100)*3)+Inputs!$B$28+Inputs!$B$29)))</f>
        <v/>
      </c>
      <c r="E2305">
        <f>INDEX(FactorTable!$B$2:$Y$301, MATCH(ROUND(MIN(300,MAX(1,D2305)),0), FactorTable!$A$2:$A$301,0), Skills!M28+1)</f>
        <v/>
      </c>
      <c r="F2305">
        <f>IF(Skills!N28=TRUE,(Skills!L28/10)*(E2305/1000),Skills!L28/10)+Skills!O28</f>
        <v/>
      </c>
      <c r="G2305">
        <f>Calc!G28</f>
        <v/>
      </c>
      <c r="H2305">
        <f>Calc!H28</f>
        <v/>
      </c>
      <c r="I2305">
        <f>IF(Skills!AA28&lt;&gt;"",1+(Skills!AA28/10)*(U2280/1000)/100,1)</f>
        <v/>
      </c>
      <c r="J2305" t="inlineStr"/>
      <c r="K2305" t="inlineStr"/>
      <c r="L2305" t="inlineStr"/>
      <c r="M2305" t="inlineStr"/>
      <c r="N2305" t="inlineStr"/>
      <c r="O2305">
        <f>(1-Summary!$B$11)*T2305+Summary!$B$11*V2305</f>
        <v/>
      </c>
      <c r="P2305">
        <f>IF(B2321=0,0,O2305/B2321)</f>
        <v/>
      </c>
      <c r="Q2305" t="n">
        <v>0</v>
      </c>
      <c r="R2305" t="n">
        <v>0</v>
      </c>
      <c r="S2305">
        <f>IFERROR(O2305/N2305,0)</f>
        <v/>
      </c>
      <c r="T2305" t="n">
        <v>0</v>
      </c>
      <c r="V2305" t="n">
        <v>0</v>
      </c>
    </row>
    <row r="2306">
      <c r="A2306">
        <f>Skills!A29</f>
        <v/>
      </c>
      <c r="B2306">
        <f>Skills!B29</f>
        <v/>
      </c>
      <c r="C2306">
        <f>Inputs!$B$3&gt;=120</f>
        <v/>
      </c>
      <c r="D2306">
        <f>IF(Skills!C29=1,60+Inputs!$B$25+Inputs!$B$29,IF(Skills!C29=2,90+Inputs!$B$26+Inputs!$B$29,IF(Skills!C29=3,120+Inputs!$B$27+Inputs!$B$29,MAX(0,(Inputs!$B$3-100)*3)+Inputs!$B$28+Inputs!$B$29)))</f>
        <v/>
      </c>
      <c r="E2306">
        <f>INDEX(FactorTable!$B$2:$Y$301, MATCH(ROUND(MIN(300,MAX(1,D2306)),0), FactorTable!$A$2:$A$301,0), Skills!M29+1)</f>
        <v/>
      </c>
      <c r="F2306">
        <f>IF(Skills!N29=TRUE,(Skills!L29/10)*(E2306/1000),Skills!L29/10)+Skills!O29</f>
        <v/>
      </c>
      <c r="G2306">
        <f>Calc!G29</f>
        <v/>
      </c>
      <c r="H2306">
        <f>Calc!H29</f>
        <v/>
      </c>
      <c r="I2306">
        <f>IF(Skills!AA29&lt;&gt;"",1+(Skills!AA29/10)*(U2280/1000)/100,1)</f>
        <v/>
      </c>
      <c r="J2306" t="inlineStr"/>
      <c r="K2306" t="inlineStr"/>
      <c r="L2306" t="inlineStr"/>
      <c r="M2306" t="inlineStr"/>
      <c r="N2306" t="inlineStr"/>
      <c r="O2306">
        <f>(1-Summary!$B$11)*T2306+Summary!$B$11*V2306</f>
        <v/>
      </c>
      <c r="P2306">
        <f>IF(B2321=0,0,O2306/B2321)</f>
        <v/>
      </c>
      <c r="Q2306" t="n">
        <v>0</v>
      </c>
      <c r="R2306" t="n">
        <v>0</v>
      </c>
      <c r="S2306">
        <f>IFERROR(O2306/N2306,0)</f>
        <v/>
      </c>
      <c r="T2306" t="n">
        <v>0</v>
      </c>
      <c r="V2306" t="n">
        <v>0</v>
      </c>
    </row>
    <row r="2307">
      <c r="A2307">
        <f>Skills!A30</f>
        <v/>
      </c>
      <c r="B2307">
        <f>Skills!B30</f>
        <v/>
      </c>
      <c r="C2307">
        <f>Inputs!$B$3&gt;=125</f>
        <v/>
      </c>
      <c r="D2307">
        <f>IF(Skills!C30=1,60+Inputs!$B$25+Inputs!$B$29,IF(Skills!C30=2,90+Inputs!$B$26+Inputs!$B$29,IF(Skills!C30=3,120+Inputs!$B$27+Inputs!$B$29,MAX(0,(Inputs!$B$3-100)*3)+Inputs!$B$28+Inputs!$B$29)))</f>
        <v/>
      </c>
      <c r="E2307">
        <f>INDEX(FactorTable!$B$2:$Y$301, MATCH(ROUND(MIN(300,MAX(1,D2307)),0), FactorTable!$A$2:$A$301,0), Skills!M30+1)</f>
        <v/>
      </c>
      <c r="F2307">
        <f>IF(Skills!N30=TRUE,(Skills!L30/10)*(E2307/1000),Skills!L30/10)+Skills!O30</f>
        <v/>
      </c>
      <c r="G2307">
        <f>Calc!G30</f>
        <v/>
      </c>
      <c r="H2307">
        <f>Calc!H30</f>
        <v/>
      </c>
      <c r="I2307">
        <f>IF(Skills!AA30&lt;&gt;"",1+(Skills!AA30/10)*(U2280/1000)/100,1)</f>
        <v/>
      </c>
      <c r="J2307" t="inlineStr"/>
      <c r="K2307" t="inlineStr"/>
      <c r="L2307" t="inlineStr"/>
      <c r="M2307" t="inlineStr"/>
      <c r="N2307" t="inlineStr"/>
      <c r="O2307">
        <f>(1-Summary!$B$11)*T2307+Summary!$B$11*V2307</f>
        <v/>
      </c>
      <c r="P2307">
        <f>IF(B2321=0,0,O2307/B2321)</f>
        <v/>
      </c>
      <c r="Q2307" t="n">
        <v>0</v>
      </c>
      <c r="R2307" t="n">
        <v>0</v>
      </c>
      <c r="S2307">
        <f>IFERROR(O2307/N2307,0)</f>
        <v/>
      </c>
      <c r="T2307" t="n">
        <v>0</v>
      </c>
      <c r="V2307" t="n">
        <v>0</v>
      </c>
    </row>
    <row r="2308">
      <c r="A2308">
        <f>Skills!A31</f>
        <v/>
      </c>
      <c r="B2308">
        <f>Skills!B31</f>
        <v/>
      </c>
      <c r="C2308">
        <f>Inputs!$B$3&gt;=107</f>
        <v/>
      </c>
      <c r="D2308">
        <f>IF(Skills!C31=1,60+Inputs!$B$25+Inputs!$B$29,IF(Skills!C31=2,90+Inputs!$B$26+Inputs!$B$29,IF(Skills!C31=3,120+Inputs!$B$27+Inputs!$B$29,MAX(0,(Inputs!$B$3-100)*3)+Inputs!$B$28+Inputs!$B$29)))</f>
        <v/>
      </c>
      <c r="E2308">
        <f>INDEX(FactorTable!$B$2:$Y$301, MATCH(ROUND(MIN(300,MAX(1,D2308)),0), FactorTable!$A$2:$A$301,0), Skills!M31+1)</f>
        <v/>
      </c>
      <c r="F2308">
        <f>IF(Skills!N31=TRUE,(Skills!L31/10)*(E2308/1000),Skills!L31/10)+Skills!O31</f>
        <v/>
      </c>
      <c r="G2308">
        <f>Calc!G31</f>
        <v/>
      </c>
      <c r="H2308">
        <f>Calc!H31</f>
        <v/>
      </c>
      <c r="I2308">
        <f>IF(Skills!AA31&lt;&gt;"",1+(Skills!AA31/10)*(U2280/1000)/100,1)</f>
        <v/>
      </c>
      <c r="J2308" t="inlineStr"/>
      <c r="K2308" t="inlineStr"/>
      <c r="L2308" t="inlineStr"/>
      <c r="M2308" t="inlineStr"/>
      <c r="N2308" t="inlineStr"/>
      <c r="O2308">
        <f>(1-Summary!$B$11)*T2308+Summary!$B$11*V2308</f>
        <v/>
      </c>
      <c r="P2308">
        <f>IF(B2321=0,0,O2308/B2321)</f>
        <v/>
      </c>
      <c r="Q2308" t="n">
        <v>0</v>
      </c>
      <c r="R2308" t="n">
        <v>0</v>
      </c>
      <c r="S2308">
        <f>IFERROR(O2308/N2308,0)</f>
        <v/>
      </c>
      <c r="T2308" t="n">
        <v>0</v>
      </c>
      <c r="V2308" t="n">
        <v>0</v>
      </c>
    </row>
    <row r="2310">
      <c r="A2310" t="inlineStr">
        <is>
          <t>Actions Per Second (pre-Adrenalin)</t>
        </is>
      </c>
      <c r="B2310">
        <f>1+MIN(150,150*(1-(1-(Inputs!$B$11+((C2299=TRUE)*(F2299-Calc!F22))+(ArtifactsInput!$M$15-ArtifactsInput!$M$15)*CHOOSE(ArtifactsInput!$N$15+1,8,9.6,11.2,12.8,14.4,16))/150)*(1-((C2296=TRUE)*F2296*IF(AND(Inputs!$B$39&lt;&gt;"pvp",Inputs!$B$44&gt;0),(((R2296-1)*(Skills!Y19*(1+Inputs!$B$34/100))+MIN((Skills!Y19*(1+Inputs!$B$34/100)),MAX(0,Inputs!$B$44-((R2296-1)*Skills!D19))))/Inputs!$B$44),IF(Inputs!$B$39="pvp",MIN((Skills!Y19*(1+Inputs!$B$34/100)),15)/15,(Skills!Y19*(1+Inputs!$B$34/100))/Skills!D19)))/150)))/100</f>
        <v/>
      </c>
    </row>
    <row r="2311">
      <c r="A2311" t="inlineStr">
        <is>
          <t>Alchemic Adrenaline Uptime</t>
        </is>
      </c>
      <c r="B2311">
        <f>(Skills!Y6*(1+Inputs!$B$34/100))/((Skills!Y6*(1+Inputs!$B$34/100))+(5/B2310))</f>
        <v/>
      </c>
    </row>
    <row r="2312">
      <c r="A2312" t="inlineStr">
        <is>
          <t>Attack Speed Buff Bonus %</t>
        </is>
      </c>
      <c r="B2312">
        <f>((C2296=TRUE)*F2296*IF(AND(Inputs!$B$39&lt;&gt;"pvp",Inputs!$B$44&gt;0),(((R2296-1)*(Skills!Y19*(1+Inputs!$B$34/100))+MIN((Skills!Y19*(1+Inputs!$B$34/100)),MAX(0,Inputs!$B$44-((R2296-1)*Skills!D19))))/Inputs!$B$44),IF(Inputs!$B$39="pvp",MIN((Skills!Y19*(1+Inputs!$B$34/100)),15)/15,(Skills!Y19*(1+Inputs!$B$34/100))/Skills!D19)))+((C2284=TRUE)*F2284*B2311)</f>
        <v/>
      </c>
    </row>
    <row r="2313">
      <c r="A2313" t="inlineStr">
        <is>
          <t>Actions Per Second (final)</t>
        </is>
      </c>
      <c r="B2313">
        <f>1+MIN(150,150*(1-(1-(Inputs!$B$11+((C2299=TRUE)*(F2299-Calc!F22))+(ArtifactsInput!$M$15-ArtifactsInput!$M$15)*CHOOSE(ArtifactsInput!$N$15+1,8,9.6,11.2,12.8,14.4,16))/150)*(1-B2312/150)))/100</f>
        <v/>
      </c>
    </row>
    <row r="2314">
      <c r="A2314" t="inlineStr">
        <is>
          <t>Skill + Buff Cast Rate</t>
        </is>
      </c>
      <c r="B2314">
        <f>IF(AND(Inputs!$B$39&lt;&gt;"pvp",Inputs!$B$44&gt;0),SUMPRODUCT((Skills!E2:E31=TRUE)*(C2279:C2308=TRUE)*R2279:R2308*Skills!F2:F31)/Inputs!$B$44,SUMPRODUCT((Skills!E2:E31=TRUE)*(C2279:C2308=TRUE)*Q2279:Q2308*Skills!F2:F31))</f>
        <v/>
      </c>
    </row>
    <row r="2315">
      <c r="A2315" t="inlineStr">
        <is>
          <t>Showdown Casts Per Second</t>
        </is>
      </c>
      <c r="B2315">
        <f>MAX(0,B2313-B2314)</f>
        <v/>
      </c>
    </row>
    <row r="2316">
      <c r="A2316" t="inlineStr">
        <is>
          <t>Average Buff Multiplier</t>
        </is>
      </c>
      <c r="B2316">
        <f>(1+(((C2298=TRUE)*F2298*IF(AND(Inputs!$B$39&lt;&gt;"pvp",Inputs!$B$44&gt;0),(((R2298-1)*(Skills!Y21*(1+Inputs!$B$34/100))+MIN((Skills!Y21*(1+Inputs!$B$34/100)),MAX(0,Inputs!$B$44-((R2298-1)*Skills!D21))))/Inputs!$B$44),IF(Inputs!$B$39="pvp",MIN((Skills!Y21*(1+Inputs!$B$34/100)),15)/15,(Skills!Y21*(1+Inputs!$B$34/100))/Skills!D21)))+((C2305=TRUE)*(F2305-Calc!F28))+((C2295=TRUE)*(F2295-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2292=TRUE)*F2292*IF(AND(Inputs!$B$39&lt;&gt;"pvp",Inputs!$B$44&gt;0),(((R2292-1)*(Skills!Y15*(1+Inputs!$B$34/100))+MIN((Skills!Y15*(1+Inputs!$B$34/100)),MAX(0,Inputs!$B$44-((R2292-1)*Skills!D15))))/Inputs!$B$44),IF(Inputs!$B$39="pvp",MIN((Skills!Y15*(1+Inputs!$B$34/100)),15)/15,(Skills!Y15*(1+Inputs!$B$34/100))/Skills!D15)))/100)*(1+((C2283=TRUE)*F2283*B2311)/100)</f>
        <v/>
      </c>
    </row>
    <row r="2317">
      <c r="A2317" t="inlineStr">
        <is>
          <t>Global Crit Rate Bonus %</t>
        </is>
      </c>
      <c r="B2317">
        <f>IF(Inputs!$B$3&gt;=47,8,0)+((C2297=TRUE)*F2297*IF(AND(Inputs!$B$39&lt;&gt;"pvp",Inputs!$B$44&gt;0),(((R2297-1)*(Skills!Y20*(1+Inputs!$B$34/100))+MIN((Skills!Y20*(1+Inputs!$B$34/100)),MAX(0,Inputs!$B$44-((R2297-1)*Skills!D20))))/Inputs!$B$44),IF(Inputs!$B$39="pvp",MIN((Skills!Y20*(1+Inputs!$B$34/100)),15)/15,(Skills!Y20*(1+Inputs!$B$34/100))/Skills!D20)))</f>
        <v/>
      </c>
    </row>
    <row r="2318">
      <c r="A2318" t="inlineStr">
        <is>
          <t>Global Monster Damage-Taken Bonus %</t>
        </is>
      </c>
      <c r="B2318">
        <f>IF(Inputs!$B$3&gt;=82,15,0)+((C2293=TRUE)*F2293*IF(AND(Inputs!$B$39&lt;&gt;"pvp",Inputs!$B$44&gt;0),(((R2293-1)*(Skills!Y16*(1+Inputs!$B$34/100))+MIN((Skills!Y16*(1+Inputs!$B$34/100)),MAX(0,Inputs!$B$44-((R2293-1)*Skills!D16))))/Inputs!$B$44),IF(Inputs!$B$39="pvp",MIN((Skills!Y16*(1+Inputs!$B$34/100)),15)/15,(Skills!Y16*(1+Inputs!$B$34/100))/Skills!D16)))</f>
        <v/>
      </c>
    </row>
    <row r="2319">
      <c r="A2319" t="inlineStr">
        <is>
          <t>Shadow Partner Average Multiplier</t>
        </is>
      </c>
      <c r="B2319">
        <f>1+((C2288=TRUE)*F2288*I2288*Skills!J11/100)/100</f>
        <v/>
      </c>
    </row>
    <row r="2320">
      <c r="A2320" t="inlineStr">
        <is>
          <t>Global Critical Damage Bonus % (Frailty Curse Mastery Lv.111)</t>
        </is>
      </c>
      <c r="B2320">
        <f>IF(Inputs!$B$3&gt;=111,30,0)*IF(AND(Inputs!$B$39&lt;&gt;"pvp",Inputs!$B$44&gt;0),(((R2293-1)*(Skills!Y16*(1+Inputs!$B$34/100))+MIN((Skills!Y16*(1+Inputs!$B$34/100)),MAX(0,Inputs!$B$44-((R2293-1)*Skills!D16))))/Inputs!$B$44),IF(Inputs!$B$39="pvp",MIN((Skills!Y16*(1+Inputs!$B$34/100)),15)/15,(Skills!Y16*(1+Inputs!$B$34/100))/Skills!D16))</f>
        <v/>
      </c>
    </row>
    <row r="2321">
      <c r="A2321" s="6" t="inlineStr">
        <is>
          <t>TOTAL DPS</t>
        </is>
      </c>
      <c r="B2321" s="6">
        <f>SUM(O2279:O2308)</f>
        <v/>
      </c>
    </row>
    <row r="2322">
      <c r="A2322" t="inlineStr">
        <is>
          <t>Buff-Casting Startup Delay (s, fixed-duration only)</t>
        </is>
      </c>
      <c r="B2322">
        <f>IF(AND(Inputs!$B$39&lt;&gt;"pvp",Inputs!$B$44&gt;0),SUMPRODUCT((Skills!Y2:Y31&gt;0)*(Skills!E2:E31=TRUE)*(C2279:C2308=TRUE))/B2313,0)</f>
        <v/>
      </c>
    </row>
    <row r="2323">
      <c r="A2323" t="inlineStr">
        <is>
          <t>Boss-Only Total DPS (this block's swept value)</t>
        </is>
      </c>
      <c r="B2323">
        <f>SUM(T2279:T2308)</f>
        <v/>
      </c>
    </row>
    <row r="2324">
      <c r="A2324" t="inlineStr">
        <is>
          <t>Normal-Only Total DPS (this block's swept value)</t>
        </is>
      </c>
      <c r="B2324">
        <f>SUM(V2279:V2308)</f>
        <v/>
      </c>
    </row>
    <row r="2326">
      <c r="A2326" s="6" t="inlineStr">
        <is>
          <t>Stat: Fire Flower (Equip)</t>
        </is>
      </c>
    </row>
    <row r="2327">
      <c r="A2327" s="5" t="inlineStr">
        <is>
          <t>Key</t>
        </is>
      </c>
      <c r="B2327" s="5" t="inlineStr">
        <is>
          <t>Name</t>
        </is>
      </c>
      <c r="C2327" s="5" t="inlineStr">
        <is>
          <t>Unlocked</t>
        </is>
      </c>
      <c r="D2327" s="5" t="inlineStr">
        <is>
          <t>InputLevel</t>
        </is>
      </c>
      <c r="E2327" s="5" t="inlineStr">
        <is>
          <t>Factor</t>
        </is>
      </c>
      <c r="F2327" s="5" t="inlineStr">
        <is>
          <t>CoefficientPercent</t>
        </is>
      </c>
      <c r="G2327" s="5" t="inlineStr">
        <is>
          <t>EffectiveHits</t>
        </is>
      </c>
      <c r="H2327" s="5" t="inlineStr">
        <is>
          <t>ProcProbability</t>
        </is>
      </c>
      <c r="I2327" s="5" t="inlineStr">
        <is>
          <t>MapleHeroMultiplier</t>
        </is>
      </c>
      <c r="J2327" s="5" t="inlineStr">
        <is>
          <t>BaseDamage</t>
        </is>
      </c>
      <c r="K2327" s="5" t="inlineStr">
        <is>
          <t>BaseHitDamage</t>
        </is>
      </c>
      <c r="L2327" s="5" t="inlineStr">
        <is>
          <t>NonCritAvg</t>
        </is>
      </c>
      <c r="M2327" s="5" t="inlineStr">
        <is>
          <t>CritAvg</t>
        </is>
      </c>
      <c r="N2327" s="5" t="inlineStr">
        <is>
          <t>ExpectedDamage(perHit)</t>
        </is>
      </c>
      <c r="O2327" s="5" t="inlineStr">
        <is>
          <t>DPS</t>
        </is>
      </c>
      <c r="P2327" s="5" t="inlineStr">
        <is>
          <t>% of Total</t>
        </is>
      </c>
      <c r="Q2327" s="5" t="inlineStr">
        <is>
          <t>InvCooldown</t>
        </is>
      </c>
      <c r="R2327" s="5" t="inlineStr">
        <is>
          <t>CastsInFight</t>
        </is>
      </c>
      <c r="S2327" s="5" t="inlineStr">
        <is>
          <t>HitRate(perSec)</t>
        </is>
      </c>
      <c r="U2327" t="inlineStr">
        <is>
          <t>helpers</t>
        </is>
      </c>
    </row>
    <row r="2328">
      <c r="A2328">
        <f>Skills!A2</f>
        <v/>
      </c>
      <c r="B2328">
        <f>Skills!B2</f>
        <v/>
      </c>
      <c r="C2328">
        <f>Inputs!$B$3&gt;=100</f>
        <v/>
      </c>
      <c r="D2328" t="inlineStr"/>
      <c r="E2328" t="inlineStr"/>
      <c r="F2328">
        <f>U2332+Skills!O2</f>
        <v/>
      </c>
      <c r="G2328">
        <f>Calc!G2</f>
        <v/>
      </c>
      <c r="H2328">
        <f>Calc!H2</f>
        <v/>
      </c>
      <c r="I2328">
        <f>IF(Skills!AA2&lt;&gt;"",1+(Skills!AA2/10)*(U2329/1000)/100,1)</f>
        <v/>
      </c>
      <c r="J2328">
        <f>((Inputs!$B$6*(1+Inputs!$B$7/100))+(((Inputs!$B$12*(1+Inputs!$B$13/100))-(Inputs!$B$12*(1+Inputs!$B$13/100)))+0.25*(Inputs!$B$14-Inputs!$B$14))*(1+Inputs!$B$7/100))*(F2328/100)</f>
        <v/>
      </c>
      <c r="K2328">
        <f>J2328*(1+((Inputs!$B$12*(1+Inputs!$B$13/100))*0.01+Inputs!$B$14*0.0025)/100)*(1+Inputs!$B$15/100)*(1+Inputs!$B$16/100)*(5000/(6000+Inputs!$B$43*(1-(100*(1-(1-(Inputs!$B$19+0)/100)*(1-CHOOSE(ArtifactsInput!$N$40+1,5,6,7,8,9,10)/100)^(ArtifactsInput!$M$40-ArtifactsInput!$M$40)))/100)))*(1+(Inputs!$B$24+((C2356=TRUE)*(F2356-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2349=TRUE)*(F2349-Calc!F23))+(((IF(AND(ArtifactsInput!$M$42,((Inputs!$B$9+((C2351=TRUE)*(F2351-Calc!F25))+B2366+(ArtifactsInput!$M$24-ArtifactsInput!$M$24)*CHOOSE(ArtifactsInput!$N$24+1,10,12,14,16,18,20)+IF(ArtifactsInput!$M$10,CHOOSE(ArtifactsInput!$N$10+1,15,18,21,24,27,30)*(IF(Inputs!$B$39="pvp",MIN(15,15)/15,IF(AND(Inputs!$B$39&lt;&gt;"pvp",Inputs!$B$44&gt;0),MIN(15,Inputs!$B$44)/(Inputs!$B$44),0))),0)))&gt;=100),MIN(100,((Inputs!$B$9+((C2351=TRUE)*(F2351-Calc!F25))+B2366+(ArtifactsInput!$M$24-ArtifactsInput!$M$24)*CHOOSE(ArtifactsInput!$N$24+1,10,12,14,16,18,20)+IF(ArtifactsInput!$M$10,CHOOSE(ArtifactsInput!$N$10+1,15,18,21,24,27,30)*(IF(Inputs!$B$39="pvp",MIN(15,15)/15,IF(AND(Inputs!$B$39&lt;&gt;"pvp",Inputs!$B$44&gt;0),MIN(15,Inputs!$B$44)/(Inputs!$B$44),0))),0)))-100),0))*CHOOSE(ArtifactsInput!$N$42+1,0.6,0.72,0.84,0.96,1.08,1.2))),Inputs!$B$18+((C2355=TRUE)*(F2355-Calc!F29))+(IF(AND(ArtifactsInput!$M$42,((Inputs!$B$9+((C2351=TRUE)*(F2351-Calc!F25))+B2366+(ArtifactsInput!$M$24-ArtifactsInput!$M$24)*CHOOSE(ArtifactsInput!$N$24+1,10,12,14,16,18,20)+IF(ArtifactsInput!$M$10,CHOOSE(ArtifactsInput!$N$10+1,15,18,21,24,27,30)*(IF(Inputs!$B$39="pvp",MIN(15,15)/15,IF(AND(Inputs!$B$39&lt;&gt;"pvp",Inputs!$B$44&gt;0),MIN(15,Inputs!$B$44)/(Inputs!$B$44),0))),0)))&gt;=100),CHOOSE(ArtifactsInput!$N$42+1,40,48,56,64,72,80),0))))/100)*(((1+(((C2347=TRUE)*F2347*IF(AND(Inputs!$B$39&lt;&gt;"pvp",Inputs!$B$44&gt;0),(((R2347-1)*(Skills!Y21*(1+Inputs!$B$34/100))+MIN((Skills!Y21*(1+Inputs!$B$34/100)),MAX(0,Inputs!$B$44-((R2347-1)*Skills!D21))))/Inputs!$B$44),IF(Inputs!$B$39="pvp",MIN((Skills!Y21*(1+Inputs!$B$34/100)),15)/15,(Skills!Y21*(1+Inputs!$B$34/100))/Skills!D21)))+((C2354=TRUE)*(F2354-Calc!F28))+((C2344=TRUE)*(F2344-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2341=TRUE)*F2341*IF(AND(Inputs!$B$39&lt;&gt;"pvp",Inputs!$B$44&gt;0),(((R2341-1)*(Skills!Y15*(1+Inputs!$B$34/100))+MIN((Skills!Y15*(1+Inputs!$B$34/100)),MAX(0,Inputs!$B$44-((R2341-1)*Skills!D15))))/Inputs!$B$44),IF(Inputs!$B$39="pvp",MIN((Skills!Y15*(1+Inputs!$B$34/100)),15)/15,(Skills!Y15*(1+Inputs!$B$34/100))/Skills!D15)))/100)*(1+((C2332=TRUE)*F2332*B2360)/100))*B2368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2328)</f>
        <v/>
      </c>
      <c r="L2328">
        <f>K2328*(MIN(Inputs!$B$22+((C2350=TRUE)*(F2350-Calc!F24)),(Inputs!$B$23+0+(IF(ArtifactsInput!$M$15,CHOOSE(ArtifactsInput!$N$15+1,25,30,35,40,45,50)/100*(Inputs!$B$11-Inputs!$B$11),0))))/100+(Inputs!$B$23+0+(IF(ArtifactsInput!$M$15,CHOOSE(ArtifactsInput!$N$15+1,25,30,35,40,45,50)/100*(Inputs!$B$11-Inputs!$B$11),0)))/100)/2</f>
        <v/>
      </c>
      <c r="M2328">
        <f>L2328*(1+(Inputs!$B$10+((C2352=TRUE)*(F2352-Calc!F26))+B2369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28">
        <f>L2328*(1-MIN((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2328*(MIN((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28">
        <f>(1-Summary!$B$11)*T2328+Summary!$B$11*V2328</f>
        <v/>
      </c>
      <c r="P2328">
        <f>IF(B2370=0,0,O2328/B2370)</f>
        <v/>
      </c>
      <c r="Q2328" t="n">
        <v>0</v>
      </c>
      <c r="R2328" t="n">
        <v>0</v>
      </c>
      <c r="S2328">
        <f>IFERROR(O2328/N2328,0)</f>
        <v/>
      </c>
      <c r="T2328">
        <f>IF(C2328,(Skills!G2*N2328*B2364)*IF(Inputs!$B$39="pvp",1,1+(Inputs!$B$20+((C2353=TRUE)*(F2353-Calc!F27))+Skills!P2+B2367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Hunt"),CHOOSE(ArtifactsInput!$N$35+1,15,18,21,24,27,30)*(1-EXP(-(0.2*B2362)*5)),0)+IF(AND(ArtifactsInput!$M$22,Inputs!$B$4&lt;&gt;"Chapter Hunt"),CHOOSE(ArtifactsInput!$N$22+1,10,12,14,16,18,20)*((0*(((0.15*B2362*5))^0/1)+1*(((0.15*B2362*5))^1/1)+2*(((0.15*B2362*5))^2/2)+3*(((0.15*B2362*5))^3/6)+4*(((0.15*B2362*5))^4/24)+5*(((0.15*B2362*5))^5/120))/((((0.15*B2362*5))^0/1)+(((0.15*B2362*5))^1/1)+(((0.15*B2362*5))^2/2)+(((0.15*B2362*5))^3/6)+(((0.15*B2362*5))^4/24)+(((0.15*B2362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2328*(1-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2328*(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2328*(1-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2328*(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28">
        <f>MAX(0,(Inputs!$B$3-100)*3)+Inputs!$B$28+Inputs!$B$29</f>
        <v/>
      </c>
      <c r="V2328">
        <f>IF(C2328,(Skills!G2*N2328*B2364)*IF(Inputs!$B$39="pvp",1,(1+(Inputs!$B$21+Skills!Q2+B2367+(IF(ArtifactsInput!$M$33,CHOOSE(ArtifactsInput!$N$33+1,30,36,42,48,54,60),0))+(IF(AND(ArtifactsInput!$M$35,Inputs!$B$4&lt;&gt;"Chapter Hunt"),CHOOSE(ArtifactsInput!$N$35+1,15,18,21,24,27,30)*(1-EXP(-(0.2*B2362)*5)),0)+IF(AND(ArtifactsInput!$M$22,Inputs!$B$4&lt;&gt;"Chapter Hunt"),CHOOSE(ArtifactsInput!$N$22+1,10,12,14,16,18,20)*((0*(((0.15*B2362*5))^0/1)+1*(((0.15*B2362*5))^1/1)+2*(((0.15*B2362*5))^2/2)+3*(((0.15*B2362*5))^3/6)+4*(((0.15*B2362*5))^4/24)+5*(((0.15*B2362*5))^5/120))/((((0.15*B2362*5))^0/1)+(((0.15*B2362*5))^1/1)+(((0.15*B2362*5))^2/2)+(((0.15*B2362*5))^3/6)+(((0.15*B2362*5))^4/24)+(((0.15*B2362*5))^5/120))),0)))/100)*(MIN((6+Inputs!$B$33),Inputs!$B$37)))*((1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29">
      <c r="A2329">
        <f>Skills!A3</f>
        <v/>
      </c>
      <c r="B2329">
        <f>Skills!B3</f>
        <v/>
      </c>
      <c r="C2329">
        <f>Inputs!$B$3&gt;=35</f>
        <v/>
      </c>
      <c r="D2329">
        <f>IF(Skills!C3=1,60+Inputs!$B$25+Inputs!$B$29,IF(Skills!C3=2,90+Inputs!$B$26+Inputs!$B$29,IF(Skills!C3=3,120+Inputs!$B$27+Inputs!$B$29,MAX(0,(Inputs!$B$3-100)*3)+Inputs!$B$28+Inputs!$B$29)))</f>
        <v/>
      </c>
      <c r="E2329">
        <f>INDEX(FactorTable!$B$2:$Y$301, MATCH(ROUND(MIN(300,MAX(1,D2329)),0), FactorTable!$A$2:$A$301,0), Skills!M3+1)</f>
        <v/>
      </c>
      <c r="F2329">
        <f>IF(Skills!N3=TRUE,(Skills!L3/10)*(E2329/1000),Skills!L3/10)+Skills!O3</f>
        <v/>
      </c>
      <c r="G2329">
        <f>Calc!G3</f>
        <v/>
      </c>
      <c r="H2329">
        <f>Calc!H3</f>
        <v/>
      </c>
      <c r="I2329">
        <f>IF(Skills!AA3&lt;&gt;"",1+(Skills!AA3/10)*(U2329/1000)/100,1)</f>
        <v/>
      </c>
      <c r="J2329">
        <f>((Inputs!$B$6*(1+Inputs!$B$7/100))+(((Inputs!$B$12*(1+Inputs!$B$13/100))-(Inputs!$B$12*(1+Inputs!$B$13/100)))+0.25*(Inputs!$B$14-Inputs!$B$14))*(1+Inputs!$B$7/100))*(F2329/100)</f>
        <v/>
      </c>
      <c r="K2329">
        <f>J2329*(1+((Inputs!$B$12*(1+Inputs!$B$13/100))*0.01+Inputs!$B$14*0.0025)/100)*(1+Inputs!$B$15/100)*(1+Inputs!$B$16/100)*(5000/(6000+Inputs!$B$43*(1-(100*(1-(1-(Inputs!$B$19+0)/100)*(1-CHOOSE(ArtifactsInput!$N$40+1,5,6,7,8,9,10)/100)^(ArtifactsInput!$M$40-ArtifactsInput!$M$40)))/100)))*(1+(Inputs!$B$24+((C2356=TRUE)*(F2356-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2349=TRUE)*(F2349-Calc!F23))+(((IF(AND(ArtifactsInput!$M$42,((Inputs!$B$9+((C2351=TRUE)*(F2351-Calc!F25))+B2366+(ArtifactsInput!$M$24-ArtifactsInput!$M$24)*CHOOSE(ArtifactsInput!$N$24+1,10,12,14,16,18,20)+IF(ArtifactsInput!$M$10,CHOOSE(ArtifactsInput!$N$10+1,15,18,21,24,27,30)*(IF(Inputs!$B$39="pvp",MIN(15,15)/15,IF(AND(Inputs!$B$39&lt;&gt;"pvp",Inputs!$B$44&gt;0),MIN(15,Inputs!$B$44)/(Inputs!$B$44),0))),0)))&gt;=100),MIN(100,((Inputs!$B$9+((C2351=TRUE)*(F2351-Calc!F25))+B2366+(ArtifactsInput!$M$24-ArtifactsInput!$M$24)*CHOOSE(ArtifactsInput!$N$24+1,10,12,14,16,18,20)+IF(ArtifactsInput!$M$10,CHOOSE(ArtifactsInput!$N$10+1,15,18,21,24,27,30)*(IF(Inputs!$B$39="pvp",MIN(15,15)/15,IF(AND(Inputs!$B$39&lt;&gt;"pvp",Inputs!$B$44&gt;0),MIN(15,Inputs!$B$44)/(Inputs!$B$44),0))),0)))-100),0))*CHOOSE(ArtifactsInput!$N$42+1,0.6,0.72,0.84,0.96,1.08,1.2))),Inputs!$B$18+((C2355=TRUE)*(F2355-Calc!F29))+(IF(AND(ArtifactsInput!$M$42,((Inputs!$B$9+((C2351=TRUE)*(F2351-Calc!F25))+B2366+(ArtifactsInput!$M$24-ArtifactsInput!$M$24)*CHOOSE(ArtifactsInput!$N$24+1,10,12,14,16,18,20)+IF(ArtifactsInput!$M$10,CHOOSE(ArtifactsInput!$N$10+1,15,18,21,24,27,30)*(IF(Inputs!$B$39="pvp",MIN(15,15)/15,IF(AND(Inputs!$B$39&lt;&gt;"pvp",Inputs!$B$44&gt;0),MIN(15,Inputs!$B$44)/(Inputs!$B$44),0))),0)))&gt;=100),CHOOSE(ArtifactsInput!$N$42+1,40,48,56,64,72,80),0))))/100)*(((1+(((C2347=TRUE)*F2347*IF(AND(Inputs!$B$39&lt;&gt;"pvp",Inputs!$B$44&gt;0),(((R2347-1)*(Skills!Y21*(1+Inputs!$B$34/100))+MIN((Skills!Y21*(1+Inputs!$B$34/100)),MAX(0,Inputs!$B$44-((R2347-1)*Skills!D21))))/Inputs!$B$44),IF(Inputs!$B$39="pvp",MIN((Skills!Y21*(1+Inputs!$B$34/100)),15)/15,(Skills!Y21*(1+Inputs!$B$34/100))/Skills!D21)))+((C2354=TRUE)*(F2354-Calc!F28))+((C2344=TRUE)*(F2344-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2341=TRUE)*F2341*IF(AND(Inputs!$B$39&lt;&gt;"pvp",Inputs!$B$44&gt;0),(((R2341-1)*(Skills!Y15*(1+Inputs!$B$34/100))+MIN((Skills!Y15*(1+Inputs!$B$34/100)),MAX(0,Inputs!$B$44-((R2341-1)*Skills!D15))))/Inputs!$B$44),IF(Inputs!$B$39="pvp",MIN((Skills!Y15*(1+Inputs!$B$34/100)),15)/15,(Skills!Y15*(1+Inputs!$B$34/100))/Skills!D15)))/100)*(1+((C2332=TRUE)*F2332*B2360)/100))*B2368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2329)</f>
        <v/>
      </c>
      <c r="L2329">
        <f>K2329*(MIN(Inputs!$B$22+((C2350=TRUE)*(F2350-Calc!F24)),(Inputs!$B$23+0+(IF(ArtifactsInput!$M$15,CHOOSE(ArtifactsInput!$N$15+1,25,30,35,40,45,50)/100*(Inputs!$B$11-Inputs!$B$11),0))))/100+(Inputs!$B$23+0+(IF(ArtifactsInput!$M$15,CHOOSE(ArtifactsInput!$N$15+1,25,30,35,40,45,50)/100*(Inputs!$B$11-Inputs!$B$11),0)))/100)/2</f>
        <v/>
      </c>
      <c r="M2329">
        <f>L2329*(1+(Inputs!$B$10+((C2352=TRUE)*(F2352-Calc!F26))+B2369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29">
        <f>L2329*(1-MIN((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2329*(MIN((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29">
        <f>(1-Summary!$B$11)*T2329+Summary!$B$11*V2329</f>
        <v/>
      </c>
      <c r="P2329">
        <f>IF(B2370=0,0,O2329/B2370)</f>
        <v/>
      </c>
      <c r="Q2329">
        <f>IFERROR(1/IF(Inputs!$B$39="pvp",15,MAX(0.1,Skills!D3-IF(Skills!E3=TRUE,Inputs!$B$32,0))),0)</f>
        <v/>
      </c>
      <c r="R2329">
        <f>IF(AND(Inputs!$B$39&lt;&gt;"pvp",Inputs!$B$44&gt;0),IF(MAX(0,Inputs!$B$44-B2371)&lt;=0,0,(INT(MAX(0,Inputs!$B$44-B2371)/IF(Inputs!$B$39="pvp",15,MAX(0.1,Skills!D3-IF(Skills!E3=TRUE,Inputs!$B$32,0))))+1)),0)</f>
        <v/>
      </c>
      <c r="S2329">
        <f>IFERROR(O2329/N2329,0)</f>
        <v/>
      </c>
      <c r="T2329">
        <f>IF(C2329,(H2329*N2329*IF(AND(Inputs!$B$39&lt;&gt;"pvp",Inputs!$B$44&gt;0),((Skills!G3*((R2329-1)*IF(Skills!H3&gt;0,Skills!I3/Skills!H3,1)+IF(Skills!H3&gt;0,MIN(Skills!I3,MAX(0,MAX(0,Inputs!$B$44-B2371)-((R2329-1)*IF(Inputs!$B$39="pvp",15,MAX(0.1,Skills!D3-IF(Skills!E3=TRUE,Inputs!$B$32,0))))))/Skills!H3,1)))/Inputs!$B$44),G2329*Q2329))*IF(Inputs!$B$39="pvp",1,1+(Inputs!$B$20+((C2353=TRUE)*(F2353-Calc!F27))+Skills!P3+B2367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Hunt"),CHOOSE(ArtifactsInput!$N$35+1,15,18,21,24,27,30)*(1-EXP(-(0.2*B2362)*5)),0)+IF(AND(ArtifactsInput!$M$22,Inputs!$B$4&lt;&gt;"Chapter Hunt"),CHOOSE(ArtifactsInput!$N$22+1,10,12,14,16,18,20)*((0*(((0.15*B2362*5))^0/1)+1*(((0.15*B2362*5))^1/1)+2*(((0.15*B2362*5))^2/2)+3*(((0.15*B2362*5))^3/6)+4*(((0.15*B2362*5))^4/24)+5*(((0.15*B2362*5))^5/120))/((((0.15*B2362*5))^0/1)+(((0.15*B2362*5))^1/1)+(((0.15*B2362*5))^2/2)+(((0.15*B2362*5))^3/6)+(((0.15*B2362*5))^4/24)+(((0.15*B2362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2329*(1-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2329*(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2329*(1-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2329*(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29">
        <f>INDEX(FactorTable!$B$2:$Y$301, MATCH(ROUND(MIN(300,MAX(1,U2328)),0), FactorTable!$A$2:$A$301,0), 24)</f>
        <v/>
      </c>
      <c r="V2329">
        <f>IF(C2329,(H2329*N2329*IF(AND(Inputs!$B$39&lt;&gt;"pvp",Inputs!$B$44&gt;0),((Skills!G3*((R2329-1)*IF(Skills!H3&gt;0,Skills!I3/Skills!H3,1)+IF(Skills!H3&gt;0,MIN(Skills!I3,MAX(0,MAX(0,Inputs!$B$44-B2371)-((R2329-1)*IF(Inputs!$B$39="pvp",15,MAX(0.1,Skills!D3-IF(Skills!E3=TRUE,Inputs!$B$32,0))))))/Skills!H3,1)))/Inputs!$B$44),G2329*Q2329))*IF(Inputs!$B$39="pvp",1,(1+(Inputs!$B$21+Skills!Q3+B2367+(IF(ArtifactsInput!$M$33,CHOOSE(ArtifactsInput!$N$33+1,30,36,42,48,54,60),0))+(IF(AND(ArtifactsInput!$M$35,Inputs!$B$4&lt;&gt;"Chapter Hunt"),CHOOSE(ArtifactsInput!$N$35+1,15,18,21,24,27,30)*(1-EXP(-(0.2*B2362)*5)),0)+IF(AND(ArtifactsInput!$M$22,Inputs!$B$4&lt;&gt;"Chapter Hunt"),CHOOSE(ArtifactsInput!$N$22+1,10,12,14,16,18,20)*((0*(((0.15*B2362*5))^0/1)+1*(((0.15*B2362*5))^1/1)+2*(((0.15*B2362*5))^2/2)+3*(((0.15*B2362*5))^3/6)+4*(((0.15*B2362*5))^4/24)+5*(((0.15*B2362*5))^5/120))/((((0.15*B2362*5))^0/1)+(((0.15*B2362*5))^1/1)+(((0.15*B2362*5))^2/2)+(((0.15*B2362*5))^3/6)+(((0.15*B2362*5))^4/24)+(((0.15*B2362*5))^5/120))),0)))/100)*(MIN(Skills!W3,Inputs!$B$37)))*((1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30">
      <c r="A2330">
        <f>Skills!A4</f>
        <v/>
      </c>
      <c r="B2330">
        <f>Skills!B4</f>
        <v/>
      </c>
      <c r="C2330">
        <f>Inputs!$B$3&gt;=40</f>
        <v/>
      </c>
      <c r="D2330">
        <f>IF(Skills!C4=1,60+Inputs!$B$25+Inputs!$B$29,IF(Skills!C4=2,90+Inputs!$B$26+Inputs!$B$29,IF(Skills!C4=3,120+Inputs!$B$27+Inputs!$B$29,MAX(0,(Inputs!$B$3-100)*3)+Inputs!$B$28+Inputs!$B$29)))</f>
        <v/>
      </c>
      <c r="E2330">
        <f>INDEX(FactorTable!$B$2:$Y$301, MATCH(ROUND(MIN(300,MAX(1,D2330)),0), FactorTable!$A$2:$A$301,0), Skills!M4+1)</f>
        <v/>
      </c>
      <c r="F2330">
        <f>IF(Skills!N4=TRUE,(Skills!L4/10)*(E2330/1000),Skills!L4/10)+Skills!O4</f>
        <v/>
      </c>
      <c r="G2330">
        <f>Calc!G4</f>
        <v/>
      </c>
      <c r="H2330">
        <f>Calc!H4</f>
        <v/>
      </c>
      <c r="I2330">
        <f>IF(Skills!AA4&lt;&gt;"",1+(Skills!AA4/10)*(U2329/1000)/100,1)</f>
        <v/>
      </c>
      <c r="J2330">
        <f>((Inputs!$B$6*(1+Inputs!$B$7/100))+(((Inputs!$B$12*(1+Inputs!$B$13/100))-(Inputs!$B$12*(1+Inputs!$B$13/100)))+0.25*(Inputs!$B$14-Inputs!$B$14))*(1+Inputs!$B$7/100))*(F2330/100)</f>
        <v/>
      </c>
      <c r="K2330">
        <f>J2330*(1+((Inputs!$B$12*(1+Inputs!$B$13/100))*0.01+Inputs!$B$14*0.0025)/100)*(1+Inputs!$B$15/100)*(1+Inputs!$B$16/100)*(5000/(6000+Inputs!$B$43*(1-(100*(1-(1-(Inputs!$B$19+0)/100)*(1-CHOOSE(ArtifactsInput!$N$40+1,5,6,7,8,9,10)/100)^(ArtifactsInput!$M$40-ArtifactsInput!$M$40)))/100)))*(1+(Inputs!$B$24+((C2356=TRUE)*(F2356-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2349=TRUE)*(F2349-Calc!F23))+(((IF(AND(ArtifactsInput!$M$42,((Inputs!$B$9+((C2351=TRUE)*(F2351-Calc!F25))+B2366+(ArtifactsInput!$M$24-ArtifactsInput!$M$24)*CHOOSE(ArtifactsInput!$N$24+1,10,12,14,16,18,20)+IF(ArtifactsInput!$M$10,CHOOSE(ArtifactsInput!$N$10+1,15,18,21,24,27,30)*(IF(Inputs!$B$39="pvp",MIN(15,15)/15,IF(AND(Inputs!$B$39&lt;&gt;"pvp",Inputs!$B$44&gt;0),MIN(15,Inputs!$B$44)/(Inputs!$B$44),0))),0)))&gt;=100),MIN(100,((Inputs!$B$9+((C2351=TRUE)*(F2351-Calc!F25))+B2366+(ArtifactsInput!$M$24-ArtifactsInput!$M$24)*CHOOSE(ArtifactsInput!$N$24+1,10,12,14,16,18,20)+IF(ArtifactsInput!$M$10,CHOOSE(ArtifactsInput!$N$10+1,15,18,21,24,27,30)*(IF(Inputs!$B$39="pvp",MIN(15,15)/15,IF(AND(Inputs!$B$39&lt;&gt;"pvp",Inputs!$B$44&gt;0),MIN(15,Inputs!$B$44)/(Inputs!$B$44),0))),0)))-100),0))*CHOOSE(ArtifactsInput!$N$42+1,0.6,0.72,0.84,0.96,1.08,1.2))),Inputs!$B$18+((C2355=TRUE)*(F2355-Calc!F29))+(IF(AND(ArtifactsInput!$M$42,((Inputs!$B$9+((C2351=TRUE)*(F2351-Calc!F25))+B2366+(ArtifactsInput!$M$24-ArtifactsInput!$M$24)*CHOOSE(ArtifactsInput!$N$24+1,10,12,14,16,18,20)+IF(ArtifactsInput!$M$10,CHOOSE(ArtifactsInput!$N$10+1,15,18,21,24,27,30)*(IF(Inputs!$B$39="pvp",MIN(15,15)/15,IF(AND(Inputs!$B$39&lt;&gt;"pvp",Inputs!$B$44&gt;0),MIN(15,Inputs!$B$44)/(Inputs!$B$44),0))),0)))&gt;=100),CHOOSE(ArtifactsInput!$N$42+1,40,48,56,64,72,80),0))))/100)*(((1+(((C2347=TRUE)*F2347*IF(AND(Inputs!$B$39&lt;&gt;"pvp",Inputs!$B$44&gt;0),(((R2347-1)*(Skills!Y21*(1+Inputs!$B$34/100))+MIN((Skills!Y21*(1+Inputs!$B$34/100)),MAX(0,Inputs!$B$44-((R2347-1)*Skills!D21))))/Inputs!$B$44),IF(Inputs!$B$39="pvp",MIN((Skills!Y21*(1+Inputs!$B$34/100)),15)/15,(Skills!Y21*(1+Inputs!$B$34/100))/Skills!D21)))+((C2354=TRUE)*(F2354-Calc!F28))+((C2344=TRUE)*(F2344-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2341=TRUE)*F2341*IF(AND(Inputs!$B$39&lt;&gt;"pvp",Inputs!$B$44&gt;0),(((R2341-1)*(Skills!Y15*(1+Inputs!$B$34/100))+MIN((Skills!Y15*(1+Inputs!$B$34/100)),MAX(0,Inputs!$B$44-((R2341-1)*Skills!D15))))/Inputs!$B$44),IF(Inputs!$B$39="pvp",MIN((Skills!Y15*(1+Inputs!$B$34/100)),15)/15,(Skills!Y15*(1+Inputs!$B$34/100))/Skills!D15)))/100)*(1+((C2332=TRUE)*F2332*B2360)/100))*B2368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2330)</f>
        <v/>
      </c>
      <c r="L2330">
        <f>K2330*(MIN(Inputs!$B$22+((C2350=TRUE)*(F2350-Calc!F24)),(Inputs!$B$23+0+(IF(ArtifactsInput!$M$15,CHOOSE(ArtifactsInput!$N$15+1,25,30,35,40,45,50)/100*(Inputs!$B$11-Inputs!$B$11),0))))/100+(Inputs!$B$23+0+(IF(ArtifactsInput!$M$15,CHOOSE(ArtifactsInput!$N$15+1,25,30,35,40,45,50)/100*(Inputs!$B$11-Inputs!$B$11),0)))/100)/2</f>
        <v/>
      </c>
      <c r="M2330">
        <f>L2330*(1+(Inputs!$B$10+((C2352=TRUE)*(F2352-Calc!F26))+B2369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30">
        <f>L2330*(1-MIN((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2330*(MIN((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30">
        <f>(1-Summary!$B$11)*T2330+Summary!$B$11*V2330</f>
        <v/>
      </c>
      <c r="P2330">
        <f>IF(B2370=0,0,O2330/B2370)</f>
        <v/>
      </c>
      <c r="Q2330">
        <f>IFERROR(1/IF(Inputs!$B$39="pvp",15,MAX(0.1,Skills!D4-IF(Skills!E4=TRUE,Inputs!$B$32,0))),0)</f>
        <v/>
      </c>
      <c r="R2330">
        <f>IF(AND(Inputs!$B$39&lt;&gt;"pvp",Inputs!$B$44&gt;0),IF(MAX(0,Inputs!$B$44-B2371)&lt;=0,0,(INT(MAX(0,Inputs!$B$44-B2371)/IF(Inputs!$B$39="pvp",15,MAX(0.1,Skills!D4-IF(Skills!E4=TRUE,Inputs!$B$32,0))))+1)),0)</f>
        <v/>
      </c>
      <c r="S2330">
        <f>IFERROR(O2330/N2330,0)</f>
        <v/>
      </c>
      <c r="T2330">
        <f>IF(C2330,(H2330*N2330*IF(AND(Inputs!$B$39&lt;&gt;"pvp",Inputs!$B$44&gt;0),((Skills!G4*((R2330-1)*IF(Skills!H4&gt;0,Skills!I4/Skills!H4,1)+IF(Skills!H4&gt;0,MIN(Skills!I4,MAX(0,MAX(0,Inputs!$B$44-B2371)-((R2330-1)*IF(Inputs!$B$39="pvp",15,MAX(0.1,Skills!D4-IF(Skills!E4=TRUE,Inputs!$B$32,0))))))/Skills!H4,1)))/Inputs!$B$44),G2330*Q2330))*IF(Inputs!$B$39="pvp",1,1+(Inputs!$B$20+((C2353=TRUE)*(F2353-Calc!F27))+Skills!P4+B2367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Hunt"),CHOOSE(ArtifactsInput!$N$35+1,15,18,21,24,27,30)*(1-EXP(-(0.2*B2362)*5)),0)+IF(AND(ArtifactsInput!$M$22,Inputs!$B$4&lt;&gt;"Chapter Hunt"),CHOOSE(ArtifactsInput!$N$22+1,10,12,14,16,18,20)*((0*(((0.15*B2362*5))^0/1)+1*(((0.15*B2362*5))^1/1)+2*(((0.15*B2362*5))^2/2)+3*(((0.15*B2362*5))^3/6)+4*(((0.15*B2362*5))^4/24)+5*(((0.15*B2362*5))^5/120))/((((0.15*B2362*5))^0/1)+(((0.15*B2362*5))^1/1)+(((0.15*B2362*5))^2/2)+(((0.15*B2362*5))^3/6)+(((0.15*B2362*5))^4/24)+(((0.15*B2362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2330*(1-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2330*(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2330*(1-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2330*(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30">
        <f>MAX(0,(Inputs!$B$3-100)*3)+Inputs!$B$28+Inputs!$B$29</f>
        <v/>
      </c>
      <c r="V2330">
        <f>IF(C2330,(H2330*N2330*IF(AND(Inputs!$B$39&lt;&gt;"pvp",Inputs!$B$44&gt;0),((Skills!G4*((R2330-1)*IF(Skills!H4&gt;0,Skills!I4/Skills!H4,1)+IF(Skills!H4&gt;0,MIN(Skills!I4,MAX(0,MAX(0,Inputs!$B$44-B2371)-((R2330-1)*IF(Inputs!$B$39="pvp",15,MAX(0.1,Skills!D4-IF(Skills!E4=TRUE,Inputs!$B$32,0))))))/Skills!H4,1)))/Inputs!$B$44),G2330*Q2330))*IF(Inputs!$B$39="pvp",1,(1+(Inputs!$B$21+Skills!Q4+B2367+(IF(ArtifactsInput!$M$33,CHOOSE(ArtifactsInput!$N$33+1,30,36,42,48,54,60),0))+(IF(AND(ArtifactsInput!$M$35,Inputs!$B$4&lt;&gt;"Chapter Hunt"),CHOOSE(ArtifactsInput!$N$35+1,15,18,21,24,27,30)*(1-EXP(-(0.2*B2362)*5)),0)+IF(AND(ArtifactsInput!$M$22,Inputs!$B$4&lt;&gt;"Chapter Hunt"),CHOOSE(ArtifactsInput!$N$22+1,10,12,14,16,18,20)*((0*(((0.15*B2362*5))^0/1)+1*(((0.15*B2362*5))^1/1)+2*(((0.15*B2362*5))^2/2)+3*(((0.15*B2362*5))^3/6)+4*(((0.15*B2362*5))^4/24)+5*(((0.15*B2362*5))^5/120))/((((0.15*B2362*5))^0/1)+(((0.15*B2362*5))^1/1)+(((0.15*B2362*5))^2/2)+(((0.15*B2362*5))^3/6)+(((0.15*B2362*5))^4/24)+(((0.15*B2362*5))^5/120))),0)))/100)*(MIN(Skills!W4,Inputs!$B$37)))*((1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31">
      <c r="A2331">
        <f>Skills!A5</f>
        <v/>
      </c>
      <c r="B2331">
        <f>Skills!B5</f>
        <v/>
      </c>
      <c r="C2331">
        <f>Inputs!$B$3&gt;=63</f>
        <v/>
      </c>
      <c r="D2331">
        <f>IF(Skills!C5=1,60+Inputs!$B$25+Inputs!$B$29,IF(Skills!C5=2,90+Inputs!$B$26+Inputs!$B$29,IF(Skills!C5=3,120+Inputs!$B$27+Inputs!$B$29,MAX(0,(Inputs!$B$3-100)*3)+Inputs!$B$28+Inputs!$B$29)))</f>
        <v/>
      </c>
      <c r="E2331">
        <f>INDEX(FactorTable!$B$2:$Y$301, MATCH(ROUND(MIN(300,MAX(1,D2331)),0), FactorTable!$A$2:$A$301,0), Skills!M5+1)</f>
        <v/>
      </c>
      <c r="F2331">
        <f>IF(Skills!N5=TRUE,(Skills!L5/10)*(E2331/1000),Skills!L5/10)+Skills!O5</f>
        <v/>
      </c>
      <c r="G2331">
        <f>Calc!G5</f>
        <v/>
      </c>
      <c r="H2331">
        <f>Calc!H5</f>
        <v/>
      </c>
      <c r="I2331">
        <f>IF(Skills!AA5&lt;&gt;"",1+(Skills!AA5/10)*(U2329/1000)/100,1)</f>
        <v/>
      </c>
      <c r="J2331">
        <f>((Inputs!$B$6*(1+Inputs!$B$7/100))+(((Inputs!$B$12*(1+Inputs!$B$13/100))-(Inputs!$B$12*(1+Inputs!$B$13/100)))+0.25*(Inputs!$B$14-Inputs!$B$14))*(1+Inputs!$B$7/100))*(F2331/100)</f>
        <v/>
      </c>
      <c r="K2331">
        <f>J2331*(1+((Inputs!$B$12*(1+Inputs!$B$13/100))*0.01+Inputs!$B$14*0.0025)/100)*(1+Inputs!$B$15/100)*(1+Inputs!$B$16/100)*(5000/(6000+Inputs!$B$43*(1-(100*(1-(1-(Inputs!$B$19+0)/100)*(1-CHOOSE(ArtifactsInput!$N$40+1,5,6,7,8,9,10)/100)^(ArtifactsInput!$M$40-ArtifactsInput!$M$40)))/100)))*(1+(Inputs!$B$24+((C2356=TRUE)*(F2356-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2349=TRUE)*(F2349-Calc!F23))+(((IF(AND(ArtifactsInput!$M$42,((Inputs!$B$9+((C2351=TRUE)*(F2351-Calc!F25))+B2366+(ArtifactsInput!$M$24-ArtifactsInput!$M$24)*CHOOSE(ArtifactsInput!$N$24+1,10,12,14,16,18,20)+IF(ArtifactsInput!$M$10,CHOOSE(ArtifactsInput!$N$10+1,15,18,21,24,27,30)*(IF(Inputs!$B$39="pvp",MIN(15,15)/15,IF(AND(Inputs!$B$39&lt;&gt;"pvp",Inputs!$B$44&gt;0),MIN(15,Inputs!$B$44)/(Inputs!$B$44),0))),0)))&gt;=100),MIN(100,((Inputs!$B$9+((C2351=TRUE)*(F2351-Calc!F25))+B2366+(ArtifactsInput!$M$24-ArtifactsInput!$M$24)*CHOOSE(ArtifactsInput!$N$24+1,10,12,14,16,18,20)+IF(ArtifactsInput!$M$10,CHOOSE(ArtifactsInput!$N$10+1,15,18,21,24,27,30)*(IF(Inputs!$B$39="pvp",MIN(15,15)/15,IF(AND(Inputs!$B$39&lt;&gt;"pvp",Inputs!$B$44&gt;0),MIN(15,Inputs!$B$44)/(Inputs!$B$44),0))),0)))-100),0))*CHOOSE(ArtifactsInput!$N$42+1,0.6,0.72,0.84,0.96,1.08,1.2))),Inputs!$B$18+((C2355=TRUE)*(F2355-Calc!F29))+(IF(AND(ArtifactsInput!$M$42,((Inputs!$B$9+((C2351=TRUE)*(F2351-Calc!F25))+B2366+(ArtifactsInput!$M$24-ArtifactsInput!$M$24)*CHOOSE(ArtifactsInput!$N$24+1,10,12,14,16,18,20)+IF(ArtifactsInput!$M$10,CHOOSE(ArtifactsInput!$N$10+1,15,18,21,24,27,30)*(IF(Inputs!$B$39="pvp",MIN(15,15)/15,IF(AND(Inputs!$B$39&lt;&gt;"pvp",Inputs!$B$44&gt;0),MIN(15,Inputs!$B$44)/(Inputs!$B$44),0))),0)))&gt;=100),CHOOSE(ArtifactsInput!$N$42+1,40,48,56,64,72,80),0))))/100)*(((1+(((C2347=TRUE)*F2347*IF(AND(Inputs!$B$39&lt;&gt;"pvp",Inputs!$B$44&gt;0),(((R2347-1)*(Skills!Y21*(1+Inputs!$B$34/100))+MIN((Skills!Y21*(1+Inputs!$B$34/100)),MAX(0,Inputs!$B$44-((R2347-1)*Skills!D21))))/Inputs!$B$44),IF(Inputs!$B$39="pvp",MIN((Skills!Y21*(1+Inputs!$B$34/100)),15)/15,(Skills!Y21*(1+Inputs!$B$34/100))/Skills!D21)))+((C2354=TRUE)*(F2354-Calc!F28))+((C2344=TRUE)*(F2344-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2341=TRUE)*F2341*IF(AND(Inputs!$B$39&lt;&gt;"pvp",Inputs!$B$44&gt;0),(((R2341-1)*(Skills!Y15*(1+Inputs!$B$34/100))+MIN((Skills!Y15*(1+Inputs!$B$34/100)),MAX(0,Inputs!$B$44-((R2341-1)*Skills!D15))))/Inputs!$B$44),IF(Inputs!$B$39="pvp",MIN((Skills!Y15*(1+Inputs!$B$34/100)),15)/15,(Skills!Y15*(1+Inputs!$B$34/100))/Skills!D15)))/100)*(1+((C2332=TRUE)*F2332*B2360)/100))*B2368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2331)</f>
        <v/>
      </c>
      <c r="L2331">
        <f>K2331*(MIN(Inputs!$B$22+((C2350=TRUE)*(F2350-Calc!F24)),(Inputs!$B$23+0+(IF(ArtifactsInput!$M$15,CHOOSE(ArtifactsInput!$N$15+1,25,30,35,40,45,50)/100*(Inputs!$B$11-Inputs!$B$11),0))))/100+(Inputs!$B$23+0+(IF(ArtifactsInput!$M$15,CHOOSE(ArtifactsInput!$N$15+1,25,30,35,40,45,50)/100*(Inputs!$B$11-Inputs!$B$11),0)))/100)/2</f>
        <v/>
      </c>
      <c r="M2331">
        <f>L2331*(1+(Inputs!$B$10+((C2352=TRUE)*(F2352-Calc!F26))+B2369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31">
        <f>L2331*(1-MIN((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2331*(MIN((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31">
        <f>(1-Summary!$B$11)*T2331+Summary!$B$11*V2331</f>
        <v/>
      </c>
      <c r="P2331">
        <f>IF(B2370=0,0,O2331/B2370)</f>
        <v/>
      </c>
      <c r="Q2331">
        <f>IFERROR(1/IF(Inputs!$B$39="pvp",15,MAX(0.1,Skills!D5-IF(Skills!E5=TRUE,Inputs!$B$32,0))),0)</f>
        <v/>
      </c>
      <c r="R2331">
        <f>IF(AND(Inputs!$B$39&lt;&gt;"pvp",Inputs!$B$44&gt;0),IF(MAX(0,Inputs!$B$44-B2371)&lt;=0,0,(INT(MAX(0,Inputs!$B$44-B2371)/IF(Inputs!$B$39="pvp",15,MAX(0.1,Skills!D5-IF(Skills!E5=TRUE,Inputs!$B$32,0))))+1)),0)</f>
        <v/>
      </c>
      <c r="S2331">
        <f>IFERROR(O2331/N2331,0)</f>
        <v/>
      </c>
      <c r="T2331">
        <f>IF(C2331,(H2331*N2331*IF(AND(Inputs!$B$39&lt;&gt;"pvp",Inputs!$B$44&gt;0),((Skills!G5*((R2331-1)*IF(Skills!H5&gt;0,Skills!I5/Skills!H5,1)+IF(Skills!H5&gt;0,MIN(Skills!I5,MAX(0,MAX(0,Inputs!$B$44-B2371)-((R2331-1)*IF(Inputs!$B$39="pvp",15,MAX(0.1,Skills!D5-IF(Skills!E5=TRUE,Inputs!$B$32,0))))))/Skills!H5,1)))/Inputs!$B$44),G2331*Q2331))*IF(Inputs!$B$39="pvp",1,1+(Inputs!$B$20+((C2353=TRUE)*(F2353-Calc!F27))+Skills!P5+B2367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Hunt"),CHOOSE(ArtifactsInput!$N$35+1,15,18,21,24,27,30)*(1-EXP(-(0.2*B2362)*5)),0)+IF(AND(ArtifactsInput!$M$22,Inputs!$B$4&lt;&gt;"Chapter Hunt"),CHOOSE(ArtifactsInput!$N$22+1,10,12,14,16,18,20)*((0*(((0.15*B2362*5))^0/1)+1*(((0.15*B2362*5))^1/1)+2*(((0.15*B2362*5))^2/2)+3*(((0.15*B2362*5))^3/6)+4*(((0.15*B2362*5))^4/24)+5*(((0.15*B2362*5))^5/120))/((((0.15*B2362*5))^0/1)+(((0.15*B2362*5))^1/1)+(((0.15*B2362*5))^2/2)+(((0.15*B2362*5))^3/6)+(((0.15*B2362*5))^4/24)+(((0.15*B2362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2331*(1-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2331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2331*(1-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2331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31">
        <f>INDEX(FactorTable!$B$2:$Y$301, MATCH(ROUND(MIN(300,MAX(1,U2330)),0), FactorTable!$A$2:$A$301,0), 22)</f>
        <v/>
      </c>
      <c r="V2331">
        <f>IF(C2331,(H2331*N2331*IF(AND(Inputs!$B$39&lt;&gt;"pvp",Inputs!$B$44&gt;0),((Skills!G5*((R2331-1)*IF(Skills!H5&gt;0,Skills!I5/Skills!H5,1)+IF(Skills!H5&gt;0,MIN(Skills!I5,MAX(0,MAX(0,Inputs!$B$44-B2371)-((R2331-1)*IF(Inputs!$B$39="pvp",15,MAX(0.1,Skills!D5-IF(Skills!E5=TRUE,Inputs!$B$32,0))))))/Skills!H5,1)))/Inputs!$B$44),G2331*Q2331))*IF(Inputs!$B$39="pvp",1,(1+(Inputs!$B$21+Skills!Q5+B2367+(IF(ArtifactsInput!$M$33,CHOOSE(ArtifactsInput!$N$33+1,30,36,42,48,54,60),0))+(IF(AND(ArtifactsInput!$M$35,Inputs!$B$4&lt;&gt;"Chapter Hunt"),CHOOSE(ArtifactsInput!$N$35+1,15,18,21,24,27,30)*(1-EXP(-(0.2*B2362)*5)),0)+IF(AND(ArtifactsInput!$M$22,Inputs!$B$4&lt;&gt;"Chapter Hunt"),CHOOSE(ArtifactsInput!$N$22+1,10,12,14,16,18,20)*((0*(((0.15*B2362*5))^0/1)+1*(((0.15*B2362*5))^1/1)+2*(((0.15*B2362*5))^2/2)+3*(((0.15*B2362*5))^3/6)+4*(((0.15*B2362*5))^4/24)+5*(((0.15*B2362*5))^5/120))/((((0.15*B2362*5))^0/1)+(((0.15*B2362*5))^1/1)+(((0.15*B2362*5))^2/2)+(((0.15*B2362*5))^3/6)+(((0.15*B2362*5))^4/24)+(((0.15*B2362*5))^5/120))),0)))/100)*(MIN(Skills!W5,Inputs!$B$37)))*((1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32">
      <c r="A2332">
        <f>Skills!A6</f>
        <v/>
      </c>
      <c r="B2332">
        <f>Skills!B6</f>
        <v/>
      </c>
      <c r="C2332">
        <f>Inputs!$B$3&gt;=66</f>
        <v/>
      </c>
      <c r="D2332">
        <f>IF(Skills!C6=1,60+Inputs!$B$25+Inputs!$B$29,IF(Skills!C6=2,90+Inputs!$B$26+Inputs!$B$29,IF(Skills!C6=3,120+Inputs!$B$27+Inputs!$B$29,MAX(0,(Inputs!$B$3-100)*3)+Inputs!$B$28+Inputs!$B$29)))</f>
        <v/>
      </c>
      <c r="E2332">
        <f>INDEX(FactorTable!$B$2:$Y$301, MATCH(ROUND(MIN(300,MAX(1,D2332)),0), FactorTable!$A$2:$A$301,0), Skills!M6+1)</f>
        <v/>
      </c>
      <c r="F2332">
        <f>IF(Skills!N6=TRUE,(Skills!L6/10)*(E2332/1000),Skills!L6/10)+Skills!O6</f>
        <v/>
      </c>
      <c r="G2332">
        <f>Calc!G6</f>
        <v/>
      </c>
      <c r="H2332">
        <f>Calc!H6</f>
        <v/>
      </c>
      <c r="I2332">
        <f>IF(Skills!AA6&lt;&gt;"",1+(Skills!AA6/10)*(U2329/1000)/100,1)</f>
        <v/>
      </c>
      <c r="J2332" t="inlineStr"/>
      <c r="K2332" t="inlineStr"/>
      <c r="L2332" t="inlineStr"/>
      <c r="M2332" t="inlineStr"/>
      <c r="N2332" t="inlineStr"/>
      <c r="O2332">
        <f>(1-Summary!$B$11)*T2332+Summary!$B$11*V2332</f>
        <v/>
      </c>
      <c r="P2332">
        <f>IF(B2370=0,0,O2332/B2370)</f>
        <v/>
      </c>
      <c r="Q2332" t="n">
        <v>0</v>
      </c>
      <c r="R2332" t="n">
        <v>0</v>
      </c>
      <c r="S2332">
        <f>IFERROR(O2332/N2332,0)</f>
        <v/>
      </c>
      <c r="T2332" t="n">
        <v>0</v>
      </c>
      <c r="U2332">
        <f>290*U2331/1000</f>
        <v/>
      </c>
      <c r="V2332" t="n">
        <v>0</v>
      </c>
    </row>
    <row r="2333">
      <c r="A2333">
        <f>Skills!A7</f>
        <v/>
      </c>
      <c r="B2333">
        <f>Skills!B7</f>
        <v/>
      </c>
      <c r="C2333">
        <f>Inputs!$B$3&gt;=66</f>
        <v/>
      </c>
      <c r="D2333">
        <f>IF(Skills!C7=1,60+Inputs!$B$25+Inputs!$B$29,IF(Skills!C7=2,90+Inputs!$B$26+Inputs!$B$29,IF(Skills!C7=3,120+Inputs!$B$27+Inputs!$B$29,MAX(0,(Inputs!$B$3-100)*3)+Inputs!$B$28+Inputs!$B$29)))</f>
        <v/>
      </c>
      <c r="E2333">
        <f>INDEX(FactorTable!$B$2:$Y$301, MATCH(ROUND(MIN(300,MAX(1,D2333)),0), FactorTable!$A$2:$A$301,0), Skills!M7+1)</f>
        <v/>
      </c>
      <c r="F2333">
        <f>IF(Skills!N7=TRUE,(Skills!L7/10)*(E2333/1000),Skills!L7/10)+Skills!O7</f>
        <v/>
      </c>
      <c r="G2333">
        <f>Calc!G7</f>
        <v/>
      </c>
      <c r="H2333">
        <f>Calc!H7</f>
        <v/>
      </c>
      <c r="I2333">
        <f>IF(Skills!AA7&lt;&gt;"",1+(Skills!AA7/10)*(U2329/1000)/100,1)</f>
        <v/>
      </c>
      <c r="J2333" t="inlineStr"/>
      <c r="K2333" t="inlineStr"/>
      <c r="L2333" t="inlineStr"/>
      <c r="M2333" t="inlineStr"/>
      <c r="N2333" t="inlineStr"/>
      <c r="O2333">
        <f>(1-Summary!$B$11)*T2333+Summary!$B$11*V2333</f>
        <v/>
      </c>
      <c r="P2333">
        <f>IF(B2370=0,0,O2333/B2370)</f>
        <v/>
      </c>
      <c r="Q2333" t="n">
        <v>0</v>
      </c>
      <c r="R2333" t="n">
        <v>0</v>
      </c>
      <c r="S2333">
        <f>IFERROR(O2333/N2333,0)</f>
        <v/>
      </c>
      <c r="T2333" t="n">
        <v>0</v>
      </c>
      <c r="V2333" t="n">
        <v>0</v>
      </c>
    </row>
    <row r="2334">
      <c r="A2334">
        <f>Skills!A8</f>
        <v/>
      </c>
      <c r="B2334">
        <f>Skills!B8</f>
        <v/>
      </c>
      <c r="C2334">
        <f>Inputs!$B$3&gt;=69</f>
        <v/>
      </c>
      <c r="D2334">
        <f>IF(Skills!C8=1,60+Inputs!$B$25+Inputs!$B$29,IF(Skills!C8=2,90+Inputs!$B$26+Inputs!$B$29,IF(Skills!C8=3,120+Inputs!$B$27+Inputs!$B$29,MAX(0,(Inputs!$B$3-100)*3)+Inputs!$B$28+Inputs!$B$29)))</f>
        <v/>
      </c>
      <c r="E2334">
        <f>INDEX(FactorTable!$B$2:$Y$301, MATCH(ROUND(MIN(300,MAX(1,D2334)),0), FactorTable!$A$2:$A$301,0), Skills!M8+1)</f>
        <v/>
      </c>
      <c r="F2334">
        <f>IF(Skills!N8=TRUE,(Skills!L8/10)*(E2334/1000),Skills!L8/10)+Skills!O8</f>
        <v/>
      </c>
      <c r="G2334">
        <f>Calc!G8</f>
        <v/>
      </c>
      <c r="H2334">
        <f>Calc!H8</f>
        <v/>
      </c>
      <c r="I2334">
        <f>IF(Skills!AA8&lt;&gt;"",1+(Skills!AA8/10)*(U2329/1000)/100,1)</f>
        <v/>
      </c>
      <c r="J2334">
        <f>((Inputs!$B$6*(1+Inputs!$B$7/100))+(((Inputs!$B$12*(1+Inputs!$B$13/100))-(Inputs!$B$12*(1+Inputs!$B$13/100)))+0.25*(Inputs!$B$14-Inputs!$B$14))*(1+Inputs!$B$7/100))*(F2334/100)</f>
        <v/>
      </c>
      <c r="K2334">
        <f>J2334*(1+((Inputs!$B$12*(1+Inputs!$B$13/100))*0.01+Inputs!$B$14*0.0025)/100)*(1+Inputs!$B$15/100)*(1+Inputs!$B$16/100)*(5000/(6000+Inputs!$B$43*(1-(100*(1-(1-(Inputs!$B$19+0)/100)*(1-CHOOSE(ArtifactsInput!$N$40+1,5,6,7,8,9,10)/100)^(ArtifactsInput!$M$40-ArtifactsInput!$M$40)))/100)))*(1+(Inputs!$B$24+((C2356=TRUE)*(F2356-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2349=TRUE)*(F2349-Calc!F23))+(((IF(AND(ArtifactsInput!$M$42,((Inputs!$B$9+((C2351=TRUE)*(F2351-Calc!F25))+B2366+(ArtifactsInput!$M$24-ArtifactsInput!$M$24)*CHOOSE(ArtifactsInput!$N$24+1,10,12,14,16,18,20)+IF(ArtifactsInput!$M$10,CHOOSE(ArtifactsInput!$N$10+1,15,18,21,24,27,30)*(IF(Inputs!$B$39="pvp",MIN(15,15)/15,IF(AND(Inputs!$B$39&lt;&gt;"pvp",Inputs!$B$44&gt;0),MIN(15,Inputs!$B$44)/(Inputs!$B$44),0))),0)))&gt;=100),MIN(100,((Inputs!$B$9+((C2351=TRUE)*(F2351-Calc!F25))+B2366+(ArtifactsInput!$M$24-ArtifactsInput!$M$24)*CHOOSE(ArtifactsInput!$N$24+1,10,12,14,16,18,20)+IF(ArtifactsInput!$M$10,CHOOSE(ArtifactsInput!$N$10+1,15,18,21,24,27,30)*(IF(Inputs!$B$39="pvp",MIN(15,15)/15,IF(AND(Inputs!$B$39&lt;&gt;"pvp",Inputs!$B$44&gt;0),MIN(15,Inputs!$B$44)/(Inputs!$B$44),0))),0)))-100),0))*CHOOSE(ArtifactsInput!$N$42+1,0.6,0.72,0.84,0.96,1.08,1.2))),Inputs!$B$18+((C2355=TRUE)*(F2355-Calc!F29))+(IF(AND(ArtifactsInput!$M$42,((Inputs!$B$9+((C2351=TRUE)*(F2351-Calc!F25))+B2366+(ArtifactsInput!$M$24-ArtifactsInput!$M$24)*CHOOSE(ArtifactsInput!$N$24+1,10,12,14,16,18,20)+IF(ArtifactsInput!$M$10,CHOOSE(ArtifactsInput!$N$10+1,15,18,21,24,27,30)*(IF(Inputs!$B$39="pvp",MIN(15,15)/15,IF(AND(Inputs!$B$39&lt;&gt;"pvp",Inputs!$B$44&gt;0),MIN(15,Inputs!$B$44)/(Inputs!$B$44),0))),0)))&gt;=100),CHOOSE(ArtifactsInput!$N$42+1,40,48,56,64,72,80),0))))/100)*(((1+(((C2347=TRUE)*F2347*IF(AND(Inputs!$B$39&lt;&gt;"pvp",Inputs!$B$44&gt;0),(((R2347-1)*(Skills!Y21*(1+Inputs!$B$34/100))+MIN((Skills!Y21*(1+Inputs!$B$34/100)),MAX(0,Inputs!$B$44-((R2347-1)*Skills!D21))))/Inputs!$B$44),IF(Inputs!$B$39="pvp",MIN((Skills!Y21*(1+Inputs!$B$34/100)),15)/15,(Skills!Y21*(1+Inputs!$B$34/100))/Skills!D21)))+((C2354=TRUE)*(F2354-Calc!F28))+((C2344=TRUE)*(F2344-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2341=TRUE)*F2341*IF(AND(Inputs!$B$39&lt;&gt;"pvp",Inputs!$B$44&gt;0),(((R2341-1)*(Skills!Y15*(1+Inputs!$B$34/100))+MIN((Skills!Y15*(1+Inputs!$B$34/100)),MAX(0,Inputs!$B$44-((R2341-1)*Skills!D15))))/Inputs!$B$44),IF(Inputs!$B$39="pvp",MIN((Skills!Y15*(1+Inputs!$B$34/100)),15)/15,(Skills!Y15*(1+Inputs!$B$34/100))/Skills!D15)))/100)*(1+((C2332=TRUE)*F2332*B2360)/100))*B2368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2334)</f>
        <v/>
      </c>
      <c r="L2334">
        <f>K2334*(MIN(Inputs!$B$22+((C2350=TRUE)*(F2350-Calc!F24)),(Inputs!$B$23+0+(IF(ArtifactsInput!$M$15,CHOOSE(ArtifactsInput!$N$15+1,25,30,35,40,45,50)/100*(Inputs!$B$11-Inputs!$B$11),0))))/100+(Inputs!$B$23+0+(IF(ArtifactsInput!$M$15,CHOOSE(ArtifactsInput!$N$15+1,25,30,35,40,45,50)/100*(Inputs!$B$11-Inputs!$B$11),0)))/100)/2</f>
        <v/>
      </c>
      <c r="M2334">
        <f>L2334*(1+(Inputs!$B$10+((C2352=TRUE)*(F2352-Calc!F26))+B2369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34">
        <f>L2334*(1-MIN((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2334*(MIN((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34">
        <f>(1-Summary!$B$11)*T2334+Summary!$B$11*V2334</f>
        <v/>
      </c>
      <c r="P2334">
        <f>IF(B2370=0,0,O2334/B2370)</f>
        <v/>
      </c>
      <c r="Q2334">
        <f>IFERROR(1/IF(Inputs!$B$39="pvp",15,MAX(0.1,Skills!D8-IF(Skills!E8=TRUE,Inputs!$B$32,0))),0)</f>
        <v/>
      </c>
      <c r="R2334">
        <f>IF(AND(Inputs!$B$39&lt;&gt;"pvp",Inputs!$B$44&gt;0),IF(MAX(0,Inputs!$B$44-B2371)&lt;=0,0,(INT(MAX(0,Inputs!$B$44-B2371)/IF(Inputs!$B$39="pvp",15,MAX(0.1,Skills!D8-IF(Skills!E8=TRUE,Inputs!$B$32,0))))+1)),0)</f>
        <v/>
      </c>
      <c r="S2334">
        <f>IFERROR(O2334/N2334,0)</f>
        <v/>
      </c>
      <c r="T2334">
        <f>IF(C2334,(H2334*N2334*IF(AND(Inputs!$B$39&lt;&gt;"pvp",Inputs!$B$44&gt;0),((Skills!G8*((R2334-1)*IF(Skills!H8&gt;0,Skills!I8/Skills!H8,1)+IF(Skills!H8&gt;0,MIN(Skills!I8,MAX(0,MAX(0,Inputs!$B$44-B2371)-((R2334-1)*IF(Inputs!$B$39="pvp",15,MAX(0.1,Skills!D8-IF(Skills!E8=TRUE,Inputs!$B$32,0))))))/Skills!H8,1)))/Inputs!$B$44),G2334*Q2334))*IF(Inputs!$B$39="pvp",1,1+(Inputs!$B$20+((C2353=TRUE)*(F2353-Calc!F27))+Skills!P8+B2367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Hunt"),CHOOSE(ArtifactsInput!$N$35+1,15,18,21,24,27,30)*(1-EXP(-(0.2*B2362)*5)),0)+IF(AND(ArtifactsInput!$M$22,Inputs!$B$4&lt;&gt;"Chapter Hunt"),CHOOSE(ArtifactsInput!$N$22+1,10,12,14,16,18,20)*((0*(((0.15*B2362*5))^0/1)+1*(((0.15*B2362*5))^1/1)+2*(((0.15*B2362*5))^2/2)+3*(((0.15*B2362*5))^3/6)+4*(((0.15*B2362*5))^4/24)+5*(((0.15*B2362*5))^5/120))/((((0.15*B2362*5))^0/1)+(((0.15*B2362*5))^1/1)+(((0.15*B2362*5))^2/2)+(((0.15*B2362*5))^3/6)+(((0.15*B2362*5))^4/24)+(((0.15*B2362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2334*(1-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2334*(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2334*(1-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2334*(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34">
        <f>IF(C2334,(H2334*N2334*IF(AND(Inputs!$B$39&lt;&gt;"pvp",Inputs!$B$44&gt;0),((Skills!G8*((R2334-1)*IF(Skills!H8&gt;0,Skills!I8/Skills!H8,1)+IF(Skills!H8&gt;0,MIN(Skills!I8,MAX(0,MAX(0,Inputs!$B$44-B2371)-((R2334-1)*IF(Inputs!$B$39="pvp",15,MAX(0.1,Skills!D8-IF(Skills!E8=TRUE,Inputs!$B$32,0))))))/Skills!H8,1)))/Inputs!$B$44),G2334*Q2334))*IF(Inputs!$B$39="pvp",1,(1+(Inputs!$B$21+Skills!Q8+B2367+(IF(ArtifactsInput!$M$33,CHOOSE(ArtifactsInput!$N$33+1,30,36,42,48,54,60),0))+(IF(AND(ArtifactsInput!$M$35,Inputs!$B$4&lt;&gt;"Chapter Hunt"),CHOOSE(ArtifactsInput!$N$35+1,15,18,21,24,27,30)*(1-EXP(-(0.2*B2362)*5)),0)+IF(AND(ArtifactsInput!$M$22,Inputs!$B$4&lt;&gt;"Chapter Hunt"),CHOOSE(ArtifactsInput!$N$22+1,10,12,14,16,18,20)*((0*(((0.15*B2362*5))^0/1)+1*(((0.15*B2362*5))^1/1)+2*(((0.15*B2362*5))^2/2)+3*(((0.15*B2362*5))^3/6)+4*(((0.15*B2362*5))^4/24)+5*(((0.15*B2362*5))^5/120))/((((0.15*B2362*5))^0/1)+(((0.15*B2362*5))^1/1)+(((0.15*B2362*5))^2/2)+(((0.15*B2362*5))^3/6)+(((0.15*B2362*5))^4/24)+(((0.15*B2362*5))^5/120))),0)))/100)*(MIN(Skills!W8,Inputs!$B$37)))*((1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35">
      <c r="A2335">
        <f>Skills!A9</f>
        <v/>
      </c>
      <c r="B2335">
        <f>Skills!B9</f>
        <v/>
      </c>
      <c r="C2335">
        <f>Inputs!$B$3&gt;=72</f>
        <v/>
      </c>
      <c r="D2335">
        <f>IF(Skills!C9=1,60+Inputs!$B$25+Inputs!$B$29,IF(Skills!C9=2,90+Inputs!$B$26+Inputs!$B$29,IF(Skills!C9=3,120+Inputs!$B$27+Inputs!$B$29,MAX(0,(Inputs!$B$3-100)*3)+Inputs!$B$28+Inputs!$B$29)))</f>
        <v/>
      </c>
      <c r="E2335">
        <f>INDEX(FactorTable!$B$2:$Y$301, MATCH(ROUND(MIN(300,MAX(1,D2335)),0), FactorTable!$A$2:$A$301,0), Skills!M9+1)</f>
        <v/>
      </c>
      <c r="F2335">
        <f>IF(Skills!N9=TRUE,(Skills!L9/10)*(E2335/1000),Skills!L9/10)+Skills!O9</f>
        <v/>
      </c>
      <c r="G2335">
        <f>Calc!G9</f>
        <v/>
      </c>
      <c r="H2335">
        <f>Calc!H9</f>
        <v/>
      </c>
      <c r="I2335">
        <f>IF(Skills!AA9&lt;&gt;"",1+(Skills!AA9/10)*(U2329/1000)/100,1)</f>
        <v/>
      </c>
      <c r="J2335">
        <f>((Inputs!$B$6*(1+Inputs!$B$7/100))+(((Inputs!$B$12*(1+Inputs!$B$13/100))-(Inputs!$B$12*(1+Inputs!$B$13/100)))+0.25*(Inputs!$B$14-Inputs!$B$14))*(1+Inputs!$B$7/100))*(F2335/100)</f>
        <v/>
      </c>
      <c r="K2335">
        <f>J2335*(1+((Inputs!$B$12*(1+Inputs!$B$13/100))*0.01+Inputs!$B$14*0.0025)/100)*(1+Inputs!$B$15/100)*(1+Inputs!$B$16/100)*(5000/(6000+Inputs!$B$43*(1-(100*(1-(1-(Inputs!$B$19+0)/100)*(1-CHOOSE(ArtifactsInput!$N$40+1,5,6,7,8,9,10)/100)^(ArtifactsInput!$M$40-ArtifactsInput!$M$40)))/100)))*(1+(Inputs!$B$24+((C2356=TRUE)*(F2356-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2349=TRUE)*(F2349-Calc!F23))+(((IF(AND(ArtifactsInput!$M$42,((Inputs!$B$9+((C2351=TRUE)*(F2351-Calc!F25))+B2366+(ArtifactsInput!$M$24-ArtifactsInput!$M$24)*CHOOSE(ArtifactsInput!$N$24+1,10,12,14,16,18,20)+IF(ArtifactsInput!$M$10,CHOOSE(ArtifactsInput!$N$10+1,15,18,21,24,27,30)*(IF(Inputs!$B$39="pvp",MIN(15,15)/15,IF(AND(Inputs!$B$39&lt;&gt;"pvp",Inputs!$B$44&gt;0),MIN(15,Inputs!$B$44)/(Inputs!$B$44),0))),0)))&gt;=100),MIN(100,((Inputs!$B$9+((C2351=TRUE)*(F2351-Calc!F25))+B2366+(ArtifactsInput!$M$24-ArtifactsInput!$M$24)*CHOOSE(ArtifactsInput!$N$24+1,10,12,14,16,18,20)+IF(ArtifactsInput!$M$10,CHOOSE(ArtifactsInput!$N$10+1,15,18,21,24,27,30)*(IF(Inputs!$B$39="pvp",MIN(15,15)/15,IF(AND(Inputs!$B$39&lt;&gt;"pvp",Inputs!$B$44&gt;0),MIN(15,Inputs!$B$44)/(Inputs!$B$44),0))),0)))-100),0))*CHOOSE(ArtifactsInput!$N$42+1,0.6,0.72,0.84,0.96,1.08,1.2))),Inputs!$B$18+((C2355=TRUE)*(F2355-Calc!F29))+(IF(AND(ArtifactsInput!$M$42,((Inputs!$B$9+((C2351=TRUE)*(F2351-Calc!F25))+B2366+(ArtifactsInput!$M$24-ArtifactsInput!$M$24)*CHOOSE(ArtifactsInput!$N$24+1,10,12,14,16,18,20)+IF(ArtifactsInput!$M$10,CHOOSE(ArtifactsInput!$N$10+1,15,18,21,24,27,30)*(IF(Inputs!$B$39="pvp",MIN(15,15)/15,IF(AND(Inputs!$B$39&lt;&gt;"pvp",Inputs!$B$44&gt;0),MIN(15,Inputs!$B$44)/(Inputs!$B$44),0))),0)))&gt;=100),CHOOSE(ArtifactsInput!$N$42+1,40,48,56,64,72,80),0))))/100)*(((1+(((C2347=TRUE)*F2347*IF(AND(Inputs!$B$39&lt;&gt;"pvp",Inputs!$B$44&gt;0),(((R2347-1)*(Skills!Y21*(1+Inputs!$B$34/100))+MIN((Skills!Y21*(1+Inputs!$B$34/100)),MAX(0,Inputs!$B$44-((R2347-1)*Skills!D21))))/Inputs!$B$44),IF(Inputs!$B$39="pvp",MIN((Skills!Y21*(1+Inputs!$B$34/100)),15)/15,(Skills!Y21*(1+Inputs!$B$34/100))/Skills!D21)))+((C2354=TRUE)*(F2354-Calc!F28))+((C2344=TRUE)*(F2344-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2341=TRUE)*F2341*IF(AND(Inputs!$B$39&lt;&gt;"pvp",Inputs!$B$44&gt;0),(((R2341-1)*(Skills!Y15*(1+Inputs!$B$34/100))+MIN((Skills!Y15*(1+Inputs!$B$34/100)),MAX(0,Inputs!$B$44-((R2341-1)*Skills!D15))))/Inputs!$B$44),IF(Inputs!$B$39="pvp",MIN((Skills!Y15*(1+Inputs!$B$34/100)),15)/15,(Skills!Y15*(1+Inputs!$B$34/100))/Skills!D15)))/100)*(1+((C2332=TRUE)*F2332*B2360)/100))*B2368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2335)</f>
        <v/>
      </c>
      <c r="L2335">
        <f>K2335*(MIN(Inputs!$B$22+((C2350=TRUE)*(F2350-Calc!F24)),(Inputs!$B$23+0+(IF(ArtifactsInput!$M$15,CHOOSE(ArtifactsInput!$N$15+1,25,30,35,40,45,50)/100*(Inputs!$B$11-Inputs!$B$11),0))))/100+(Inputs!$B$23+0+(IF(ArtifactsInput!$M$15,CHOOSE(ArtifactsInput!$N$15+1,25,30,35,40,45,50)/100*(Inputs!$B$11-Inputs!$B$11),0)))/100)/2</f>
        <v/>
      </c>
      <c r="M2335">
        <f>L2335*(1+(Inputs!$B$10+((C2352=TRUE)*(F2352-Calc!F26))+B2369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35">
        <f>L2335*(1-MIN((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2335*(MIN((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35">
        <f>(1-Summary!$B$11)*T2335+Summary!$B$11*V2335</f>
        <v/>
      </c>
      <c r="P2335">
        <f>IF(B2370=0,0,O2335/B2370)</f>
        <v/>
      </c>
      <c r="Q2335">
        <f>IFERROR(1/IF(Inputs!$B$39="pvp",15,MAX(0.1,Skills!D9-IF(Skills!E9=TRUE,Inputs!$B$32,0))),0)</f>
        <v/>
      </c>
      <c r="R2335">
        <f>IF(AND(Inputs!$B$39&lt;&gt;"pvp",Inputs!$B$44&gt;0),IF(MAX(0,Inputs!$B$44-B2371)&lt;=0,0,(INT(MAX(0,Inputs!$B$44-B2371)/IF(Inputs!$B$39="pvp",15,MAX(0.1,Skills!D9-IF(Skills!E9=TRUE,Inputs!$B$32,0))))+1)),0)</f>
        <v/>
      </c>
      <c r="S2335">
        <f>IFERROR(O2335/N2335,0)</f>
        <v/>
      </c>
      <c r="T2335">
        <f>IF(C2335,(H2335*N2335*IF(AND(Inputs!$B$39&lt;&gt;"pvp",Inputs!$B$44&gt;0),((Skills!G9*((R2335-1)*IF(Skills!H9&gt;0,Skills!I9/Skills!H9,1)+IF(Skills!H9&gt;0,MIN(Skills!I9,MAX(0,MAX(0,Inputs!$B$44-B2371)-((R2335-1)*IF(Inputs!$B$39="pvp",15,MAX(0.1,Skills!D9-IF(Skills!E9=TRUE,Inputs!$B$32,0))))))/Skills!H9,1)))/Inputs!$B$44),G2335*Q2335))*IF(Inputs!$B$39="pvp",1,1+(Inputs!$B$20+((C2353=TRUE)*(F2353-Calc!F27))+Skills!P9+B2367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Hunt"),CHOOSE(ArtifactsInput!$N$35+1,15,18,21,24,27,30)*(1-EXP(-(0.2*B2362)*5)),0)+IF(AND(ArtifactsInput!$M$22,Inputs!$B$4&lt;&gt;"Chapter Hunt"),CHOOSE(ArtifactsInput!$N$22+1,10,12,14,16,18,20)*((0*(((0.15*B2362*5))^0/1)+1*(((0.15*B2362*5))^1/1)+2*(((0.15*B2362*5))^2/2)+3*(((0.15*B2362*5))^3/6)+4*(((0.15*B2362*5))^4/24)+5*(((0.15*B2362*5))^5/120))/((((0.15*B2362*5))^0/1)+(((0.15*B2362*5))^1/1)+(((0.15*B2362*5))^2/2)+(((0.15*B2362*5))^3/6)+(((0.15*B2362*5))^4/24)+(((0.15*B2362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2335*(1-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2335*(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2335*(1-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2335*(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35">
        <f>IF(C2335,(H2335*N2335*IF(AND(Inputs!$B$39&lt;&gt;"pvp",Inputs!$B$44&gt;0),((Skills!G9*((R2335-1)*IF(Skills!H9&gt;0,Skills!I9/Skills!H9,1)+IF(Skills!H9&gt;0,MIN(Skills!I9,MAX(0,MAX(0,Inputs!$B$44-B2371)-((R2335-1)*IF(Inputs!$B$39="pvp",15,MAX(0.1,Skills!D9-IF(Skills!E9=TRUE,Inputs!$B$32,0))))))/Skills!H9,1)))/Inputs!$B$44),G2335*Q2335))*IF(Inputs!$B$39="pvp",1,(1+(Inputs!$B$21+Skills!Q9+B2367+(IF(ArtifactsInput!$M$33,CHOOSE(ArtifactsInput!$N$33+1,30,36,42,48,54,60),0))+(IF(AND(ArtifactsInput!$M$35,Inputs!$B$4&lt;&gt;"Chapter Hunt"),CHOOSE(ArtifactsInput!$N$35+1,15,18,21,24,27,30)*(1-EXP(-(0.2*B2362)*5)),0)+IF(AND(ArtifactsInput!$M$22,Inputs!$B$4&lt;&gt;"Chapter Hunt"),CHOOSE(ArtifactsInput!$N$22+1,10,12,14,16,18,20)*((0*(((0.15*B2362*5))^0/1)+1*(((0.15*B2362*5))^1/1)+2*(((0.15*B2362*5))^2/2)+3*(((0.15*B2362*5))^3/6)+4*(((0.15*B2362*5))^4/24)+5*(((0.15*B2362*5))^5/120))/((((0.15*B2362*5))^0/1)+(((0.15*B2362*5))^1/1)+(((0.15*B2362*5))^2/2)+(((0.15*B2362*5))^3/6)+(((0.15*B2362*5))^4/24)+(((0.15*B2362*5))^5/120))),0)))/100)*(MIN(Skills!W9,Inputs!$B$37)))*((1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36">
      <c r="A2336">
        <f>Skills!A10</f>
        <v/>
      </c>
      <c r="B2336">
        <f>Skills!B10</f>
        <v/>
      </c>
      <c r="C2336">
        <f>Inputs!$B$3&gt;=117</f>
        <v/>
      </c>
      <c r="D2336">
        <f>IF(Skills!C10=1,60+Inputs!$B$25+Inputs!$B$29,IF(Skills!C10=2,90+Inputs!$B$26+Inputs!$B$29,IF(Skills!C10=3,120+Inputs!$B$27+Inputs!$B$29,MAX(0,(Inputs!$B$3-100)*3)+Inputs!$B$28+Inputs!$B$29)))</f>
        <v/>
      </c>
      <c r="E2336">
        <f>INDEX(FactorTable!$B$2:$Y$301, MATCH(ROUND(MIN(300,MAX(1,D2336)),0), FactorTable!$A$2:$A$301,0), Skills!M10+1)</f>
        <v/>
      </c>
      <c r="F2336">
        <f>IF(Skills!N10=TRUE,(Skills!L10/10)*(E2336/1000),Skills!L10/10)+Skills!O10</f>
        <v/>
      </c>
      <c r="G2336">
        <f>Calc!G10</f>
        <v/>
      </c>
      <c r="H2336">
        <f>Calc!H10</f>
        <v/>
      </c>
      <c r="I2336">
        <f>IF(Skills!AA10&lt;&gt;"",1+(Skills!AA10/10)*(U2329/1000)/100,1)</f>
        <v/>
      </c>
      <c r="J2336">
        <f>((Inputs!$B$6*(1+Inputs!$B$7/100))+(((Inputs!$B$12*(1+Inputs!$B$13/100))-(Inputs!$B$12*(1+Inputs!$B$13/100)))+0.25*(Inputs!$B$14-Inputs!$B$14))*(1+Inputs!$B$7/100))*(F2336/100)</f>
        <v/>
      </c>
      <c r="K2336">
        <f>J2336*(1+((Inputs!$B$12*(1+Inputs!$B$13/100))*0.01+Inputs!$B$14*0.0025)/100)*(1+Inputs!$B$15/100)*(1+Inputs!$B$16/100)*(5000/(6000+Inputs!$B$43*(1-(100*(1-(1-(Inputs!$B$19+0)/100)*(1-CHOOSE(ArtifactsInput!$N$40+1,5,6,7,8,9,10)/100)^(ArtifactsInput!$M$40-ArtifactsInput!$M$40)))/100)))*(1+(Inputs!$B$24+((C2356=TRUE)*(F2356-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2349=TRUE)*(F2349-Calc!F23))+(((IF(AND(ArtifactsInput!$M$42,((Inputs!$B$9+((C2351=TRUE)*(F2351-Calc!F25))+B2366+(ArtifactsInput!$M$24-ArtifactsInput!$M$24)*CHOOSE(ArtifactsInput!$N$24+1,10,12,14,16,18,20)+IF(ArtifactsInput!$M$10,CHOOSE(ArtifactsInput!$N$10+1,15,18,21,24,27,30)*(IF(Inputs!$B$39="pvp",MIN(15,15)/15,IF(AND(Inputs!$B$39&lt;&gt;"pvp",Inputs!$B$44&gt;0),MIN(15,Inputs!$B$44)/(Inputs!$B$44),0))),0)))&gt;=100),MIN(100,((Inputs!$B$9+((C2351=TRUE)*(F2351-Calc!F25))+B2366+(ArtifactsInput!$M$24-ArtifactsInput!$M$24)*CHOOSE(ArtifactsInput!$N$24+1,10,12,14,16,18,20)+IF(ArtifactsInput!$M$10,CHOOSE(ArtifactsInput!$N$10+1,15,18,21,24,27,30)*(IF(Inputs!$B$39="pvp",MIN(15,15)/15,IF(AND(Inputs!$B$39&lt;&gt;"pvp",Inputs!$B$44&gt;0),MIN(15,Inputs!$B$44)/(Inputs!$B$44),0))),0)))-100),0))*CHOOSE(ArtifactsInput!$N$42+1,0.6,0.72,0.84,0.96,1.08,1.2))),Inputs!$B$18+((C2355=TRUE)*(F2355-Calc!F29))+(IF(AND(ArtifactsInput!$M$42,((Inputs!$B$9+((C2351=TRUE)*(F2351-Calc!F25))+B2366+(ArtifactsInput!$M$24-ArtifactsInput!$M$24)*CHOOSE(ArtifactsInput!$N$24+1,10,12,14,16,18,20)+IF(ArtifactsInput!$M$10,CHOOSE(ArtifactsInput!$N$10+1,15,18,21,24,27,30)*(IF(Inputs!$B$39="pvp",MIN(15,15)/15,IF(AND(Inputs!$B$39&lt;&gt;"pvp",Inputs!$B$44&gt;0),MIN(15,Inputs!$B$44)/(Inputs!$B$44),0))),0)))&gt;=100),CHOOSE(ArtifactsInput!$N$42+1,40,48,56,64,72,80),0))))/100)*(((1+(((C2347=TRUE)*F2347*IF(AND(Inputs!$B$39&lt;&gt;"pvp",Inputs!$B$44&gt;0),(((R2347-1)*(Skills!Y21*(1+Inputs!$B$34/100))+MIN((Skills!Y21*(1+Inputs!$B$34/100)),MAX(0,Inputs!$B$44-((R2347-1)*Skills!D21))))/Inputs!$B$44),IF(Inputs!$B$39="pvp",MIN((Skills!Y21*(1+Inputs!$B$34/100)),15)/15,(Skills!Y21*(1+Inputs!$B$34/100))/Skills!D21)))+((C2354=TRUE)*(F2354-Calc!F28))+((C2344=TRUE)*(F2344-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2341=TRUE)*F2341*IF(AND(Inputs!$B$39&lt;&gt;"pvp",Inputs!$B$44&gt;0),(((R2341-1)*(Skills!Y15*(1+Inputs!$B$34/100))+MIN((Skills!Y15*(1+Inputs!$B$34/100)),MAX(0,Inputs!$B$44-((R2341-1)*Skills!D15))))/Inputs!$B$44),IF(Inputs!$B$39="pvp",MIN((Skills!Y15*(1+Inputs!$B$34/100)),15)/15,(Skills!Y15*(1+Inputs!$B$34/100))/Skills!D15)))/100)*(1+((C2332=TRUE)*F2332*B2360)/100))*B2368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2336)</f>
        <v/>
      </c>
      <c r="L2336">
        <f>K2336*(MIN(Inputs!$B$22+((C2350=TRUE)*(F2350-Calc!F24)),(Inputs!$B$23+0+(IF(ArtifactsInput!$M$15,CHOOSE(ArtifactsInput!$N$15+1,25,30,35,40,45,50)/100*(Inputs!$B$11-Inputs!$B$11),0))))/100+(Inputs!$B$23+0+(IF(ArtifactsInput!$M$15,CHOOSE(ArtifactsInput!$N$15+1,25,30,35,40,45,50)/100*(Inputs!$B$11-Inputs!$B$11),0)))/100)/2</f>
        <v/>
      </c>
      <c r="M2336">
        <f>L2336*(1+(Inputs!$B$10+((C2352=TRUE)*(F2352-Calc!F26))+B2369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36">
        <f>L2336*(1-MIN((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2336*(MIN((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36">
        <f>(1-Summary!$B$11)*T2336+Summary!$B$11*V2336</f>
        <v/>
      </c>
      <c r="P2336">
        <f>IF(B2370=0,0,O2336/B2370)</f>
        <v/>
      </c>
      <c r="Q2336" t="n">
        <v>0</v>
      </c>
      <c r="R2336" t="n">
        <v>0</v>
      </c>
      <c r="S2336" t="n">
        <v>0</v>
      </c>
      <c r="T2336">
        <f>IF(C2336,(0.2*SUMPRODUCT((Skills!Z2:Z31=TRUE)*(C2328:C2357=TRUE)*S2328:S2357)*N2336)*IF(Inputs!$B$39="pvp",1,1+(Inputs!$B$20+((C2353=TRUE)*(F2353-Calc!F27))+Skills!P10+B2367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Hunt"),CHOOSE(ArtifactsInput!$N$35+1,15,18,21,24,27,30)*(1-EXP(-(0.2*B2362)*5)),0)+IF(AND(ArtifactsInput!$M$22,Inputs!$B$4&lt;&gt;"Chapter Hunt"),CHOOSE(ArtifactsInput!$N$22+1,10,12,14,16,18,20)*((0*(((0.15*B2362*5))^0/1)+1*(((0.15*B2362*5))^1/1)+2*(((0.15*B2362*5))^2/2)+3*(((0.15*B2362*5))^3/6)+4*(((0.15*B2362*5))^4/24)+5*(((0.15*B2362*5))^5/120))/((((0.15*B2362*5))^0/1)+(((0.15*B2362*5))^1/1)+(((0.15*B2362*5))^2/2)+(((0.15*B2362*5))^3/6)+(((0.15*B2362*5))^4/24)+(((0.15*B2362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2336*(1-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2336*(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2336*(1-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2336*(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36">
        <f>IF(C2336,(0.2*SUMPRODUCT((Skills!Z2:Z31=TRUE)*(C2328:C2357=TRUE)*S2328:S2357)*N2336)*IF(Inputs!$B$39="pvp",1,(1+(Inputs!$B$21+Skills!Q10+B2367+(IF(ArtifactsInput!$M$33,CHOOSE(ArtifactsInput!$N$33+1,30,36,42,48,54,60),0))+(IF(AND(ArtifactsInput!$M$35,Inputs!$B$4&lt;&gt;"Chapter Hunt"),CHOOSE(ArtifactsInput!$N$35+1,15,18,21,24,27,30)*(1-EXP(-(0.2*B2362)*5)),0)+IF(AND(ArtifactsInput!$M$22,Inputs!$B$4&lt;&gt;"Chapter Hunt"),CHOOSE(ArtifactsInput!$N$22+1,10,12,14,16,18,20)*((0*(((0.15*B2362*5))^0/1)+1*(((0.15*B2362*5))^1/1)+2*(((0.15*B2362*5))^2/2)+3*(((0.15*B2362*5))^3/6)+4*(((0.15*B2362*5))^4/24)+5*(((0.15*B2362*5))^5/120))/((((0.15*B2362*5))^0/1)+(((0.15*B2362*5))^1/1)+(((0.15*B2362*5))^2/2)+(((0.15*B2362*5))^3/6)+(((0.15*B2362*5))^4/24)+(((0.15*B2362*5))^5/120))),0)))/100)*(MIN(Skills!W10,Inputs!$B$37)))*((1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37">
      <c r="A2337">
        <f>Skills!A11</f>
        <v/>
      </c>
      <c r="B2337">
        <f>Skills!B11</f>
        <v/>
      </c>
      <c r="C2337">
        <f>Inputs!$B$3&gt;=60</f>
        <v/>
      </c>
      <c r="D2337">
        <f>IF(Skills!C11=1,60+Inputs!$B$25+Inputs!$B$29,IF(Skills!C11=2,90+Inputs!$B$26+Inputs!$B$29,IF(Skills!C11=3,120+Inputs!$B$27+Inputs!$B$29,MAX(0,(Inputs!$B$3-100)*3)+Inputs!$B$28+Inputs!$B$29)))</f>
        <v/>
      </c>
      <c r="E2337">
        <f>INDEX(FactorTable!$B$2:$Y$301, MATCH(ROUND(MIN(300,MAX(1,D2337)),0), FactorTable!$A$2:$A$301,0), Skills!M11+1)</f>
        <v/>
      </c>
      <c r="F2337">
        <f>IF(Skills!N11=TRUE,(Skills!L11/10)*(E2337/1000),Skills!L11/10)+Skills!O11</f>
        <v/>
      </c>
      <c r="G2337">
        <f>Calc!G11</f>
        <v/>
      </c>
      <c r="H2337">
        <f>Calc!H11</f>
        <v/>
      </c>
      <c r="I2337">
        <f>IF(Skills!AA11&lt;&gt;"",1+(Skills!AA11/10)*(U2329/1000)/100,1)</f>
        <v/>
      </c>
      <c r="J2337" t="inlineStr"/>
      <c r="K2337" t="inlineStr"/>
      <c r="L2337" t="inlineStr"/>
      <c r="M2337" t="inlineStr"/>
      <c r="N2337" t="inlineStr"/>
      <c r="O2337">
        <f>(1-Summary!$B$11)*T2337+Summary!$B$11*V2337</f>
        <v/>
      </c>
      <c r="P2337">
        <f>IF(B2370=0,0,O2337/B2370)</f>
        <v/>
      </c>
      <c r="Q2337" t="n">
        <v>0</v>
      </c>
      <c r="R2337" t="n">
        <v>0</v>
      </c>
      <c r="S2337">
        <f>IFERROR(O2337/N2337,0)</f>
        <v/>
      </c>
      <c r="T2337" t="n">
        <v>0</v>
      </c>
      <c r="V2337" t="n">
        <v>0</v>
      </c>
    </row>
    <row r="2338">
      <c r="A2338">
        <f>Skills!A12</f>
        <v/>
      </c>
      <c r="B2338">
        <f>Skills!B12</f>
        <v/>
      </c>
      <c r="C2338">
        <f>Inputs!$B$3&gt;=103</f>
        <v/>
      </c>
      <c r="D2338">
        <f>IF(Skills!C12=1,60+Inputs!$B$25+Inputs!$B$29,IF(Skills!C12=2,90+Inputs!$B$26+Inputs!$B$29,IF(Skills!C12=3,120+Inputs!$B$27+Inputs!$B$29,MAX(0,(Inputs!$B$3-100)*3)+Inputs!$B$28+Inputs!$B$29)))</f>
        <v/>
      </c>
      <c r="E2338">
        <f>INDEX(FactorTable!$B$2:$Y$301, MATCH(ROUND(MIN(300,MAX(1,D2338)),0), FactorTable!$A$2:$A$301,0), Skills!M12+1)</f>
        <v/>
      </c>
      <c r="F2338">
        <f>IF(Skills!N12=TRUE,(Skills!L12/10)*(E2338/1000),Skills!L12/10)+Skills!O12</f>
        <v/>
      </c>
      <c r="G2338">
        <f>Calc!G12</f>
        <v/>
      </c>
      <c r="H2338">
        <f>Calc!H12</f>
        <v/>
      </c>
      <c r="I2338">
        <f>IF(Skills!AA12&lt;&gt;"",1+(Skills!AA12/10)*(U2329/1000)/100,1)</f>
        <v/>
      </c>
      <c r="J2338">
        <f>((Inputs!$B$6*(1+Inputs!$B$7/100))+(((Inputs!$B$12*(1+Inputs!$B$13/100))-(Inputs!$B$12*(1+Inputs!$B$13/100)))+0.25*(Inputs!$B$14-Inputs!$B$14))*(1+Inputs!$B$7/100))*(F2338/100)</f>
        <v/>
      </c>
      <c r="K2338">
        <f>J2338*(1+((Inputs!$B$12*(1+Inputs!$B$13/100))*0.01+Inputs!$B$14*0.0025)/100)*(1+Inputs!$B$15/100)*(1+Inputs!$B$16/100)*(5000/(6000+Inputs!$B$43*(1-(100*(1-(1-(Inputs!$B$19+0)/100)*(1-CHOOSE(ArtifactsInput!$N$40+1,5,6,7,8,9,10)/100)^(ArtifactsInput!$M$40-ArtifactsInput!$M$40)))/100)))*(1+(Inputs!$B$24+((C2356=TRUE)*(F2356-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2349=TRUE)*(F2349-Calc!F23))+(((IF(AND(ArtifactsInput!$M$42,((Inputs!$B$9+((C2351=TRUE)*(F2351-Calc!F25))+B2366+(ArtifactsInput!$M$24-ArtifactsInput!$M$24)*CHOOSE(ArtifactsInput!$N$24+1,10,12,14,16,18,20)+IF(ArtifactsInput!$M$10,CHOOSE(ArtifactsInput!$N$10+1,15,18,21,24,27,30)*(IF(Inputs!$B$39="pvp",MIN(15,15)/15,IF(AND(Inputs!$B$39&lt;&gt;"pvp",Inputs!$B$44&gt;0),MIN(15,Inputs!$B$44)/(Inputs!$B$44),0))),0)))&gt;=100),MIN(100,((Inputs!$B$9+((C2351=TRUE)*(F2351-Calc!F25))+B2366+(ArtifactsInput!$M$24-ArtifactsInput!$M$24)*CHOOSE(ArtifactsInput!$N$24+1,10,12,14,16,18,20)+IF(ArtifactsInput!$M$10,CHOOSE(ArtifactsInput!$N$10+1,15,18,21,24,27,30)*(IF(Inputs!$B$39="pvp",MIN(15,15)/15,IF(AND(Inputs!$B$39&lt;&gt;"pvp",Inputs!$B$44&gt;0),MIN(15,Inputs!$B$44)/(Inputs!$B$44),0))),0)))-100),0))*CHOOSE(ArtifactsInput!$N$42+1,0.6,0.72,0.84,0.96,1.08,1.2))),Inputs!$B$18+((C2355=TRUE)*(F2355-Calc!F29))+(IF(AND(ArtifactsInput!$M$42,((Inputs!$B$9+((C2351=TRUE)*(F2351-Calc!F25))+B2366+(ArtifactsInput!$M$24-ArtifactsInput!$M$24)*CHOOSE(ArtifactsInput!$N$24+1,10,12,14,16,18,20)+IF(ArtifactsInput!$M$10,CHOOSE(ArtifactsInput!$N$10+1,15,18,21,24,27,30)*(IF(Inputs!$B$39="pvp",MIN(15,15)/15,IF(AND(Inputs!$B$39&lt;&gt;"pvp",Inputs!$B$44&gt;0),MIN(15,Inputs!$B$44)/(Inputs!$B$44),0))),0)))&gt;=100),CHOOSE(ArtifactsInput!$N$42+1,40,48,56,64,72,80),0))))/100)*(((1+(((C2347=TRUE)*F2347*IF(AND(Inputs!$B$39&lt;&gt;"pvp",Inputs!$B$44&gt;0),(((R2347-1)*(Skills!Y21*(1+Inputs!$B$34/100))+MIN((Skills!Y21*(1+Inputs!$B$34/100)),MAX(0,Inputs!$B$44-((R2347-1)*Skills!D21))))/Inputs!$B$44),IF(Inputs!$B$39="pvp",MIN((Skills!Y21*(1+Inputs!$B$34/100)),15)/15,(Skills!Y21*(1+Inputs!$B$34/100))/Skills!D21)))+((C2354=TRUE)*(F2354-Calc!F28))+((C2344=TRUE)*(F2344-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2341=TRUE)*F2341*IF(AND(Inputs!$B$39&lt;&gt;"pvp",Inputs!$B$44&gt;0),(((R2341-1)*(Skills!Y15*(1+Inputs!$B$34/100))+MIN((Skills!Y15*(1+Inputs!$B$34/100)),MAX(0,Inputs!$B$44-((R2341-1)*Skills!D15))))/Inputs!$B$44),IF(Inputs!$B$39="pvp",MIN((Skills!Y15*(1+Inputs!$B$34/100)),15)/15,(Skills!Y15*(1+Inputs!$B$34/100))/Skills!D15)))/100)*(1+((C2332=TRUE)*F2332*B2360)/100))*B2368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2338)</f>
        <v/>
      </c>
      <c r="L2338">
        <f>K2338*(MIN(Inputs!$B$22+((C2350=TRUE)*(F2350-Calc!F24)),(Inputs!$B$23+0+(IF(ArtifactsInput!$M$15,CHOOSE(ArtifactsInput!$N$15+1,25,30,35,40,45,50)/100*(Inputs!$B$11-Inputs!$B$11),0))))/100+(Inputs!$B$23+0+(IF(ArtifactsInput!$M$15,CHOOSE(ArtifactsInput!$N$15+1,25,30,35,40,45,50)/100*(Inputs!$B$11-Inputs!$B$11),0)))/100)/2</f>
        <v/>
      </c>
      <c r="M2338">
        <f>L2338*(1+(Inputs!$B$10+((C2352=TRUE)*(F2352-Calc!F26))+B2369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38">
        <f>L2338*(1-MIN((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2338*(MIN((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38">
        <f>(1-Summary!$B$11)*T2338+Summary!$B$11*V2338</f>
        <v/>
      </c>
      <c r="P2338">
        <f>IF(B2370=0,0,O2338/B2370)</f>
        <v/>
      </c>
      <c r="Q2338">
        <f>IFERROR(1/IF(Inputs!$B$39="pvp",15,MAX(0.1,Skills!D12-IF(Skills!E12=TRUE,Inputs!$B$32,0))),0)</f>
        <v/>
      </c>
      <c r="R2338">
        <f>IF(AND(Inputs!$B$39&lt;&gt;"pvp",Inputs!$B$44&gt;0),IF(MAX(0,Inputs!$B$44-B2371)&lt;=0,0,(INT(MAX(0,Inputs!$B$44-B2371)/IF(Inputs!$B$39="pvp",15,MAX(0.1,Skills!D12-IF(Skills!E12=TRUE,Inputs!$B$32,0))))+1)),0)</f>
        <v/>
      </c>
      <c r="S2338">
        <f>IFERROR(O2338/N2338,0)</f>
        <v/>
      </c>
      <c r="T2338">
        <f>IF(C2338,(H2338*N2338*IF(AND(Inputs!$B$39&lt;&gt;"pvp",Inputs!$B$44&gt;0),((Skills!G12*((R2338-1)*IF(Skills!H12&gt;0,Skills!I12/Skills!H12,1)+IF(Skills!H12&gt;0,MIN(Skills!I12,MAX(0,MAX(0,Inputs!$B$44-B2371)-((R2338-1)*IF(Inputs!$B$39="pvp",15,MAX(0.1,Skills!D12-IF(Skills!E12=TRUE,Inputs!$B$32,0))))))/Skills!H12,1)))/Inputs!$B$44),G2338*Q2338))*IF(Inputs!$B$39="pvp",1,1+(Inputs!$B$20+((C2353=TRUE)*(F2353-Calc!F27))+Skills!P12+B2367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Hunt"),CHOOSE(ArtifactsInput!$N$35+1,15,18,21,24,27,30)*(1-EXP(-(0.2*B2362)*5)),0)+IF(AND(ArtifactsInput!$M$22,Inputs!$B$4&lt;&gt;"Chapter Hunt"),CHOOSE(ArtifactsInput!$N$22+1,10,12,14,16,18,20)*((0*(((0.15*B2362*5))^0/1)+1*(((0.15*B2362*5))^1/1)+2*(((0.15*B2362*5))^2/2)+3*(((0.15*B2362*5))^3/6)+4*(((0.15*B2362*5))^4/24)+5*(((0.15*B2362*5))^5/120))/((((0.15*B2362*5))^0/1)+(((0.15*B2362*5))^1/1)+(((0.15*B2362*5))^2/2)+(((0.15*B2362*5))^3/6)+(((0.15*B2362*5))^4/24)+(((0.15*B2362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2338*(1-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2338*(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2338*(1-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2338*(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38">
        <f>IF(C2338,(H2338*N2338*IF(AND(Inputs!$B$39&lt;&gt;"pvp",Inputs!$B$44&gt;0),((Skills!G12*((R2338-1)*IF(Skills!H12&gt;0,Skills!I12/Skills!H12,1)+IF(Skills!H12&gt;0,MIN(Skills!I12,MAX(0,MAX(0,Inputs!$B$44-B2371)-((R2338-1)*IF(Inputs!$B$39="pvp",15,MAX(0.1,Skills!D12-IF(Skills!E12=TRUE,Inputs!$B$32,0))))))/Skills!H12,1)))/Inputs!$B$44),G2338*Q2338))*IF(Inputs!$B$39="pvp",1,(1+(Inputs!$B$21+Skills!Q12+B2367+(IF(ArtifactsInput!$M$33,CHOOSE(ArtifactsInput!$N$33+1,30,36,42,48,54,60),0))+(IF(AND(ArtifactsInput!$M$35,Inputs!$B$4&lt;&gt;"Chapter Hunt"),CHOOSE(ArtifactsInput!$N$35+1,15,18,21,24,27,30)*(1-EXP(-(0.2*B2362)*5)),0)+IF(AND(ArtifactsInput!$M$22,Inputs!$B$4&lt;&gt;"Chapter Hunt"),CHOOSE(ArtifactsInput!$N$22+1,10,12,14,16,18,20)*((0*(((0.15*B2362*5))^0/1)+1*(((0.15*B2362*5))^1/1)+2*(((0.15*B2362*5))^2/2)+3*(((0.15*B2362*5))^3/6)+4*(((0.15*B2362*5))^4/24)+5*(((0.15*B2362*5))^5/120))/((((0.15*B2362*5))^0/1)+(((0.15*B2362*5))^1/1)+(((0.15*B2362*5))^2/2)+(((0.15*B2362*5))^3/6)+(((0.15*B2362*5))^4/24)+(((0.15*B2362*5))^5/120))),0)))/100)*(MIN(Skills!W12,Inputs!$B$37)))*((1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39">
      <c r="A2339">
        <f>Skills!A13</f>
        <v/>
      </c>
      <c r="B2339">
        <f>Skills!B13</f>
        <v/>
      </c>
      <c r="C2339">
        <f>Inputs!$B$3&gt;=105</f>
        <v/>
      </c>
      <c r="D2339">
        <f>IF(Skills!C13=1,60+Inputs!$B$25+Inputs!$B$29,IF(Skills!C13=2,90+Inputs!$B$26+Inputs!$B$29,IF(Skills!C13=3,120+Inputs!$B$27+Inputs!$B$29,MAX(0,(Inputs!$B$3-100)*3)+Inputs!$B$28+Inputs!$B$29)))</f>
        <v/>
      </c>
      <c r="E2339">
        <f>INDEX(FactorTable!$B$2:$Y$301, MATCH(ROUND(MIN(300,MAX(1,D2339)),0), FactorTable!$A$2:$A$301,0), Skills!M13+1)</f>
        <v/>
      </c>
      <c r="F2339">
        <f>IF(Skills!N13=TRUE,(Skills!L13/10)*(E2339/1000),Skills!L13/10)+Skills!O13</f>
        <v/>
      </c>
      <c r="G2339">
        <f>Calc!G13</f>
        <v/>
      </c>
      <c r="H2339">
        <f>Calc!H13</f>
        <v/>
      </c>
      <c r="I2339">
        <f>IF(Skills!AA13&lt;&gt;"",1+(Skills!AA13/10)*(U2329/1000)/100,1)</f>
        <v/>
      </c>
      <c r="J2339">
        <f>((Inputs!$B$6*(1+Inputs!$B$7/100))+(((Inputs!$B$12*(1+Inputs!$B$13/100))-(Inputs!$B$12*(1+Inputs!$B$13/100)))+0.25*(Inputs!$B$14-Inputs!$B$14))*(1+Inputs!$B$7/100))*(F2339/100)</f>
        <v/>
      </c>
      <c r="K2339">
        <f>J2339*(1+((Inputs!$B$12*(1+Inputs!$B$13/100))*0.01+Inputs!$B$14*0.0025)/100)*(1+Inputs!$B$15/100)*(1+Inputs!$B$16/100)*(5000/(6000+Inputs!$B$43*(1-(100*(1-(1-(Inputs!$B$19+0)/100)*(1-CHOOSE(ArtifactsInput!$N$40+1,5,6,7,8,9,10)/100)^(ArtifactsInput!$M$40-ArtifactsInput!$M$40)))/100)))*(1+(Inputs!$B$24+((C2356=TRUE)*(F2356-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2349=TRUE)*(F2349-Calc!F23))+(((IF(AND(ArtifactsInput!$M$42,((Inputs!$B$9+((C2351=TRUE)*(F2351-Calc!F25))+B2366+(ArtifactsInput!$M$24-ArtifactsInput!$M$24)*CHOOSE(ArtifactsInput!$N$24+1,10,12,14,16,18,20)+IF(ArtifactsInput!$M$10,CHOOSE(ArtifactsInput!$N$10+1,15,18,21,24,27,30)*(IF(Inputs!$B$39="pvp",MIN(15,15)/15,IF(AND(Inputs!$B$39&lt;&gt;"pvp",Inputs!$B$44&gt;0),MIN(15,Inputs!$B$44)/(Inputs!$B$44),0))),0)))&gt;=100),MIN(100,((Inputs!$B$9+((C2351=TRUE)*(F2351-Calc!F25))+B2366+(ArtifactsInput!$M$24-ArtifactsInput!$M$24)*CHOOSE(ArtifactsInput!$N$24+1,10,12,14,16,18,20)+IF(ArtifactsInput!$M$10,CHOOSE(ArtifactsInput!$N$10+1,15,18,21,24,27,30)*(IF(Inputs!$B$39="pvp",MIN(15,15)/15,IF(AND(Inputs!$B$39&lt;&gt;"pvp",Inputs!$B$44&gt;0),MIN(15,Inputs!$B$44)/(Inputs!$B$44),0))),0)))-100),0))*CHOOSE(ArtifactsInput!$N$42+1,0.6,0.72,0.84,0.96,1.08,1.2))),Inputs!$B$18+((C2355=TRUE)*(F2355-Calc!F29))+(IF(AND(ArtifactsInput!$M$42,((Inputs!$B$9+((C2351=TRUE)*(F2351-Calc!F25))+B2366+(ArtifactsInput!$M$24-ArtifactsInput!$M$24)*CHOOSE(ArtifactsInput!$N$24+1,10,12,14,16,18,20)+IF(ArtifactsInput!$M$10,CHOOSE(ArtifactsInput!$N$10+1,15,18,21,24,27,30)*(IF(Inputs!$B$39="pvp",MIN(15,15)/15,IF(AND(Inputs!$B$39&lt;&gt;"pvp",Inputs!$B$44&gt;0),MIN(15,Inputs!$B$44)/(Inputs!$B$44),0))),0)))&gt;=100),CHOOSE(ArtifactsInput!$N$42+1,40,48,56,64,72,80),0))))/100)*(((1+(((C2347=TRUE)*F2347*IF(AND(Inputs!$B$39&lt;&gt;"pvp",Inputs!$B$44&gt;0),(((R2347-1)*(Skills!Y21*(1+Inputs!$B$34/100))+MIN((Skills!Y21*(1+Inputs!$B$34/100)),MAX(0,Inputs!$B$44-((R2347-1)*Skills!D21))))/Inputs!$B$44),IF(Inputs!$B$39="pvp",MIN((Skills!Y21*(1+Inputs!$B$34/100)),15)/15,(Skills!Y21*(1+Inputs!$B$34/100))/Skills!D21)))+((C2354=TRUE)*(F2354-Calc!F28))+((C2344=TRUE)*(F2344-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2341=TRUE)*F2341*IF(AND(Inputs!$B$39&lt;&gt;"pvp",Inputs!$B$44&gt;0),(((R2341-1)*(Skills!Y15*(1+Inputs!$B$34/100))+MIN((Skills!Y15*(1+Inputs!$B$34/100)),MAX(0,Inputs!$B$44-((R2341-1)*Skills!D15))))/Inputs!$B$44),IF(Inputs!$B$39="pvp",MIN((Skills!Y15*(1+Inputs!$B$34/100)),15)/15,(Skills!Y15*(1+Inputs!$B$34/100))/Skills!D15)))/100)*(1+((C2332=TRUE)*F2332*B2360)/100))*B2368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2339)</f>
        <v/>
      </c>
      <c r="L2339">
        <f>K2339*(MIN(Inputs!$B$22+((C2350=TRUE)*(F2350-Calc!F24)),(Inputs!$B$23+0+(IF(ArtifactsInput!$M$15,CHOOSE(ArtifactsInput!$N$15+1,25,30,35,40,45,50)/100*(Inputs!$B$11-Inputs!$B$11),0))))/100+(Inputs!$B$23+0+(IF(ArtifactsInput!$M$15,CHOOSE(ArtifactsInput!$N$15+1,25,30,35,40,45,50)/100*(Inputs!$B$11-Inputs!$B$11),0)))/100)/2</f>
        <v/>
      </c>
      <c r="M2339">
        <f>L2339*(1+(Inputs!$B$10+((C2352=TRUE)*(F2352-Calc!F26))+B2369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39">
        <f>L2339*(1-MIN((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2339*(MIN((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39">
        <f>(1-Summary!$B$11)*T2339+Summary!$B$11*V2339</f>
        <v/>
      </c>
      <c r="P2339">
        <f>IF(B2370=0,0,O2339/B2370)</f>
        <v/>
      </c>
      <c r="Q2339">
        <f>IFERROR(1/IF(Inputs!$B$39="pvp",15,MAX(0.1,Skills!D13-IF(Skills!E13=TRUE,Inputs!$B$32,0))),0)</f>
        <v/>
      </c>
      <c r="R2339">
        <f>IF(AND(Inputs!$B$39&lt;&gt;"pvp",Inputs!$B$44&gt;0),IF(MAX(0,Inputs!$B$44-B2371)&lt;=0,0,(INT(MAX(0,Inputs!$B$44-B2371)/IF(Inputs!$B$39="pvp",15,MAX(0.1,Skills!D13-IF(Skills!E13=TRUE,Inputs!$B$32,0))))+1)),0)</f>
        <v/>
      </c>
      <c r="S2339">
        <f>IFERROR(O2339/N2339,0)</f>
        <v/>
      </c>
      <c r="T2339">
        <f>IF(C2339,(H2339*N2339*IF(AND(Inputs!$B$39&lt;&gt;"pvp",Inputs!$B$44&gt;0),((Skills!G13*((R2339-1)*IF(Skills!H13&gt;0,Skills!I13/Skills!H13,1)+IF(Skills!H13&gt;0,MIN(Skills!I13,MAX(0,MAX(0,Inputs!$B$44-B2371)-((R2339-1)*IF(Inputs!$B$39="pvp",15,MAX(0.1,Skills!D13-IF(Skills!E13=TRUE,Inputs!$B$32,0))))))/Skills!H13,1)))/Inputs!$B$44),G2339*Q2339))*IF(Inputs!$B$39="pvp",1,1+(Inputs!$B$20+((C2353=TRUE)*(F2353-Calc!F27))+Skills!P13+B2367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Hunt"),CHOOSE(ArtifactsInput!$N$35+1,15,18,21,24,27,30)*(1-EXP(-(0.2*B2362)*5)),0)+IF(AND(ArtifactsInput!$M$22,Inputs!$B$4&lt;&gt;"Chapter Hunt"),CHOOSE(ArtifactsInput!$N$22+1,10,12,14,16,18,20)*((0*(((0.15*B2362*5))^0/1)+1*(((0.15*B2362*5))^1/1)+2*(((0.15*B2362*5))^2/2)+3*(((0.15*B2362*5))^3/6)+4*(((0.15*B2362*5))^4/24)+5*(((0.15*B2362*5))^5/120))/((((0.15*B2362*5))^0/1)+(((0.15*B2362*5))^1/1)+(((0.15*B2362*5))^2/2)+(((0.15*B2362*5))^3/6)+(((0.15*B2362*5))^4/24)+(((0.15*B2362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2339*(1-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2339*(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2339*(1-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2339*(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39">
        <f>IF(C2339,(H2339*N2339*IF(AND(Inputs!$B$39&lt;&gt;"pvp",Inputs!$B$44&gt;0),((Skills!G13*((R2339-1)*IF(Skills!H13&gt;0,Skills!I13/Skills!H13,1)+IF(Skills!H13&gt;0,MIN(Skills!I13,MAX(0,MAX(0,Inputs!$B$44-B2371)-((R2339-1)*IF(Inputs!$B$39="pvp",15,MAX(0.1,Skills!D13-IF(Skills!E13=TRUE,Inputs!$B$32,0))))))/Skills!H13,1)))/Inputs!$B$44),G2339*Q2339))*IF(Inputs!$B$39="pvp",1,(1+(Inputs!$B$21+Skills!Q13+B2367+(IF(ArtifactsInput!$M$33,CHOOSE(ArtifactsInput!$N$33+1,30,36,42,48,54,60),0))+(IF(AND(ArtifactsInput!$M$35,Inputs!$B$4&lt;&gt;"Chapter Hunt"),CHOOSE(ArtifactsInput!$N$35+1,15,18,21,24,27,30)*(1-EXP(-(0.2*B2362)*5)),0)+IF(AND(ArtifactsInput!$M$22,Inputs!$B$4&lt;&gt;"Chapter Hunt"),CHOOSE(ArtifactsInput!$N$22+1,10,12,14,16,18,20)*((0*(((0.15*B2362*5))^0/1)+1*(((0.15*B2362*5))^1/1)+2*(((0.15*B2362*5))^2/2)+3*(((0.15*B2362*5))^3/6)+4*(((0.15*B2362*5))^4/24)+5*(((0.15*B2362*5))^5/120))/((((0.15*B2362*5))^0/1)+(((0.15*B2362*5))^1/1)+(((0.15*B2362*5))^2/2)+(((0.15*B2362*5))^3/6)+(((0.15*B2362*5))^4/24)+(((0.15*B2362*5))^5/120))),0)))/100)*(MIN(Skills!W13,Inputs!$B$37)))*((1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40">
      <c r="A2340">
        <f>Skills!A14</f>
        <v/>
      </c>
      <c r="B2340">
        <f>Skills!B14</f>
        <v/>
      </c>
      <c r="C2340">
        <f>Inputs!$B$3&gt;=105</f>
        <v/>
      </c>
      <c r="D2340">
        <f>IF(Skills!C14=1,60+Inputs!$B$25+Inputs!$B$29,IF(Skills!C14=2,90+Inputs!$B$26+Inputs!$B$29,IF(Skills!C14=3,120+Inputs!$B$27+Inputs!$B$29,MAX(0,(Inputs!$B$3-100)*3)+Inputs!$B$28+Inputs!$B$29)))</f>
        <v/>
      </c>
      <c r="E2340">
        <f>INDEX(FactorTable!$B$2:$Y$301, MATCH(ROUND(MIN(300,MAX(1,D2340)),0), FactorTable!$A$2:$A$301,0), Skills!M14+1)</f>
        <v/>
      </c>
      <c r="F2340">
        <f>IF(Skills!N14=TRUE,(Skills!L14/10)*(E2340/1000),Skills!L14/10)+Skills!O14</f>
        <v/>
      </c>
      <c r="G2340">
        <f>Calc!G14</f>
        <v/>
      </c>
      <c r="H2340">
        <f>Calc!H14</f>
        <v/>
      </c>
      <c r="I2340">
        <f>IF(Skills!AA14&lt;&gt;"",1+(Skills!AA14/10)*(U2329/1000)/100,1)</f>
        <v/>
      </c>
      <c r="J2340">
        <f>((Inputs!$B$6*(1+Inputs!$B$7/100))+(((Inputs!$B$12*(1+Inputs!$B$13/100))-(Inputs!$B$12*(1+Inputs!$B$13/100)))+0.25*(Inputs!$B$14-Inputs!$B$14))*(1+Inputs!$B$7/100))*(F2340/100)</f>
        <v/>
      </c>
      <c r="K2340">
        <f>J2340*(1+((Inputs!$B$12*(1+Inputs!$B$13/100))*0.01+Inputs!$B$14*0.0025)/100)*(1+Inputs!$B$15/100)*(1+Inputs!$B$16/100)*(5000/(6000+Inputs!$B$43*(1-(100*(1-(1-(Inputs!$B$19+0)/100)*(1-CHOOSE(ArtifactsInput!$N$40+1,5,6,7,8,9,10)/100)^(ArtifactsInput!$M$40-ArtifactsInput!$M$40)))/100)))*(1+(Inputs!$B$24+((C2356=TRUE)*(F2356-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2349=TRUE)*(F2349-Calc!F23))+(((IF(AND(ArtifactsInput!$M$42,((Inputs!$B$9+((C2351=TRUE)*(F2351-Calc!F25))+B2366+(ArtifactsInput!$M$24-ArtifactsInput!$M$24)*CHOOSE(ArtifactsInput!$N$24+1,10,12,14,16,18,20)+IF(ArtifactsInput!$M$10,CHOOSE(ArtifactsInput!$N$10+1,15,18,21,24,27,30)*(IF(Inputs!$B$39="pvp",MIN(15,15)/15,IF(AND(Inputs!$B$39&lt;&gt;"pvp",Inputs!$B$44&gt;0),MIN(15,Inputs!$B$44)/(Inputs!$B$44),0))),0)))&gt;=100),MIN(100,((Inputs!$B$9+((C2351=TRUE)*(F2351-Calc!F25))+B2366+(ArtifactsInput!$M$24-ArtifactsInput!$M$24)*CHOOSE(ArtifactsInput!$N$24+1,10,12,14,16,18,20)+IF(ArtifactsInput!$M$10,CHOOSE(ArtifactsInput!$N$10+1,15,18,21,24,27,30)*(IF(Inputs!$B$39="pvp",MIN(15,15)/15,IF(AND(Inputs!$B$39&lt;&gt;"pvp",Inputs!$B$44&gt;0),MIN(15,Inputs!$B$44)/(Inputs!$B$44),0))),0)))-100),0))*CHOOSE(ArtifactsInput!$N$42+1,0.6,0.72,0.84,0.96,1.08,1.2))),Inputs!$B$18+((C2355=TRUE)*(F2355-Calc!F29))+(IF(AND(ArtifactsInput!$M$42,((Inputs!$B$9+((C2351=TRUE)*(F2351-Calc!F25))+B2366+(ArtifactsInput!$M$24-ArtifactsInput!$M$24)*CHOOSE(ArtifactsInput!$N$24+1,10,12,14,16,18,20)+IF(ArtifactsInput!$M$10,CHOOSE(ArtifactsInput!$N$10+1,15,18,21,24,27,30)*(IF(Inputs!$B$39="pvp",MIN(15,15)/15,IF(AND(Inputs!$B$39&lt;&gt;"pvp",Inputs!$B$44&gt;0),MIN(15,Inputs!$B$44)/(Inputs!$B$44),0))),0)))&gt;=100),CHOOSE(ArtifactsInput!$N$42+1,40,48,56,64,72,80),0))))/100)*(((1+(((C2347=TRUE)*F2347*IF(AND(Inputs!$B$39&lt;&gt;"pvp",Inputs!$B$44&gt;0),(((R2347-1)*(Skills!Y21*(1+Inputs!$B$34/100))+MIN((Skills!Y21*(1+Inputs!$B$34/100)),MAX(0,Inputs!$B$44-((R2347-1)*Skills!D21))))/Inputs!$B$44),IF(Inputs!$B$39="pvp",MIN((Skills!Y21*(1+Inputs!$B$34/100)),15)/15,(Skills!Y21*(1+Inputs!$B$34/100))/Skills!D21)))+((C2354=TRUE)*(F2354-Calc!F28))+((C2344=TRUE)*(F2344-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2341=TRUE)*F2341*IF(AND(Inputs!$B$39&lt;&gt;"pvp",Inputs!$B$44&gt;0),(((R2341-1)*(Skills!Y15*(1+Inputs!$B$34/100))+MIN((Skills!Y15*(1+Inputs!$B$34/100)),MAX(0,Inputs!$B$44-((R2341-1)*Skills!D15))))/Inputs!$B$44),IF(Inputs!$B$39="pvp",MIN((Skills!Y15*(1+Inputs!$B$34/100)),15)/15,(Skills!Y15*(1+Inputs!$B$34/100))/Skills!D15)))/100)*(1+((C2332=TRUE)*F2332*B2360)/100))*B2368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2340)</f>
        <v/>
      </c>
      <c r="L2340">
        <f>K2340*(MIN(Inputs!$B$22+((C2350=TRUE)*(F2350-Calc!F24)),(Inputs!$B$23+0+(IF(ArtifactsInput!$M$15,CHOOSE(ArtifactsInput!$N$15+1,25,30,35,40,45,50)/100*(Inputs!$B$11-Inputs!$B$11),0))))/100+(Inputs!$B$23+0+(IF(ArtifactsInput!$M$15,CHOOSE(ArtifactsInput!$N$15+1,25,30,35,40,45,50)/100*(Inputs!$B$11-Inputs!$B$11),0)))/100)/2</f>
        <v/>
      </c>
      <c r="M2340">
        <f>L2340*(1+(Inputs!$B$10+((C2352=TRUE)*(F2352-Calc!F26))+B2369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40">
        <f>L2340*(1-MIN((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2340*(MIN((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40">
        <f>(1-Summary!$B$11)*T2340+Summary!$B$11*V2340</f>
        <v/>
      </c>
      <c r="P2340">
        <f>IF(B2370=0,0,O2340/B2370)</f>
        <v/>
      </c>
      <c r="Q2340">
        <f>IFERROR(1/IF(Inputs!$B$39="pvp",15,MAX(0.1,Skills!D14-IF(Skills!E14=TRUE,Inputs!$B$32,0))),0)</f>
        <v/>
      </c>
      <c r="R2340">
        <f>IF(AND(Inputs!$B$39&lt;&gt;"pvp",Inputs!$B$44&gt;0),IF(MAX(0,Inputs!$B$44-B2371)&lt;=0,0,(INT(MAX(0,Inputs!$B$44-B2371)/IF(Inputs!$B$39="pvp",15,MAX(0.1,Skills!D14-IF(Skills!E14=TRUE,Inputs!$B$32,0))))+1)),0)</f>
        <v/>
      </c>
      <c r="S2340">
        <f>IFERROR(O2340/N2340,0)</f>
        <v/>
      </c>
      <c r="T2340">
        <f>IF(C2340,(H2340*N2340*IF(AND(Inputs!$B$39&lt;&gt;"pvp",Inputs!$B$44&gt;0),((Skills!G14*((R2340-1)*IF(Skills!H14&gt;0,Skills!I14/Skills!H14,1)+IF(Skills!H14&gt;0,MIN(Skills!I14,MAX(0,MAX(0,Inputs!$B$44-B2371)-((R2340-1)*IF(Inputs!$B$39="pvp",15,MAX(0.1,Skills!D14-IF(Skills!E14=TRUE,Inputs!$B$32,0))))))/Skills!H14,1)))/Inputs!$B$44),G2340*Q2340))*IF(Inputs!$B$39="pvp",1,1+(Inputs!$B$20+((C2353=TRUE)*(F2353-Calc!F27))+Skills!P14+B2367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Hunt"),CHOOSE(ArtifactsInput!$N$35+1,15,18,21,24,27,30)*(1-EXP(-(0.2*B2362)*5)),0)+IF(AND(ArtifactsInput!$M$22,Inputs!$B$4&lt;&gt;"Chapter Hunt"),CHOOSE(ArtifactsInput!$N$22+1,10,12,14,16,18,20)*((0*(((0.15*B2362*5))^0/1)+1*(((0.15*B2362*5))^1/1)+2*(((0.15*B2362*5))^2/2)+3*(((0.15*B2362*5))^3/6)+4*(((0.15*B2362*5))^4/24)+5*(((0.15*B2362*5))^5/120))/((((0.15*B2362*5))^0/1)+(((0.15*B2362*5))^1/1)+(((0.15*B2362*5))^2/2)+(((0.15*B2362*5))^3/6)+(((0.15*B2362*5))^4/24)+(((0.15*B2362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2340*(1-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2340*(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2340*(1-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2340*(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40">
        <f>IF(C2340,(H2340*N2340*IF(AND(Inputs!$B$39&lt;&gt;"pvp",Inputs!$B$44&gt;0),((Skills!G14*((R2340-1)*IF(Skills!H14&gt;0,Skills!I14/Skills!H14,1)+IF(Skills!H14&gt;0,MIN(Skills!I14,MAX(0,MAX(0,Inputs!$B$44-B2371)-((R2340-1)*IF(Inputs!$B$39="pvp",15,MAX(0.1,Skills!D14-IF(Skills!E14=TRUE,Inputs!$B$32,0))))))/Skills!H14,1)))/Inputs!$B$44),G2340*Q2340))*IF(Inputs!$B$39="pvp",1,(1+(Inputs!$B$21+Skills!Q14+B2367+(IF(ArtifactsInput!$M$33,CHOOSE(ArtifactsInput!$N$33+1,30,36,42,48,54,60),0))+(IF(AND(ArtifactsInput!$M$35,Inputs!$B$4&lt;&gt;"Chapter Hunt"),CHOOSE(ArtifactsInput!$N$35+1,15,18,21,24,27,30)*(1-EXP(-(0.2*B2362)*5)),0)+IF(AND(ArtifactsInput!$M$22,Inputs!$B$4&lt;&gt;"Chapter Hunt"),CHOOSE(ArtifactsInput!$N$22+1,10,12,14,16,18,20)*((0*(((0.15*B2362*5))^0/1)+1*(((0.15*B2362*5))^1/1)+2*(((0.15*B2362*5))^2/2)+3*(((0.15*B2362*5))^3/6)+4*(((0.15*B2362*5))^4/24)+5*(((0.15*B2362*5))^5/120))/((((0.15*B2362*5))^0/1)+(((0.15*B2362*5))^1/1)+(((0.15*B2362*5))^2/2)+(((0.15*B2362*5))^3/6)+(((0.15*B2362*5))^4/24)+(((0.15*B2362*5))^5/120))),0)))/100)*(MIN(Skills!W14,Inputs!$B$37)))*((1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41">
      <c r="A2341">
        <f>Skills!A15</f>
        <v/>
      </c>
      <c r="B2341">
        <f>Skills!B15</f>
        <v/>
      </c>
      <c r="C2341">
        <f>Inputs!$B$3&gt;=110</f>
        <v/>
      </c>
      <c r="D2341">
        <f>IF(Skills!C15=1,60+Inputs!$B$25+Inputs!$B$29,IF(Skills!C15=2,90+Inputs!$B$26+Inputs!$B$29,IF(Skills!C15=3,120+Inputs!$B$27+Inputs!$B$29,MAX(0,(Inputs!$B$3-100)*3)+Inputs!$B$28+Inputs!$B$29)))</f>
        <v/>
      </c>
      <c r="E2341">
        <f>INDEX(FactorTable!$B$2:$Y$301, MATCH(ROUND(MIN(300,MAX(1,D2341)),0), FactorTable!$A$2:$A$301,0), Skills!M15+1)</f>
        <v/>
      </c>
      <c r="F2341">
        <f>IF(Skills!N15=TRUE,(Skills!L15/10)*(E2341/1000),Skills!L15/10)+Skills!O15</f>
        <v/>
      </c>
      <c r="G2341">
        <f>Calc!G15</f>
        <v/>
      </c>
      <c r="H2341">
        <f>Calc!H15</f>
        <v/>
      </c>
      <c r="I2341">
        <f>IF(Skills!AA15&lt;&gt;"",1+(Skills!AA15/10)*(U2329/1000)/100,1)</f>
        <v/>
      </c>
      <c r="J2341" t="inlineStr"/>
      <c r="K2341" t="inlineStr"/>
      <c r="L2341" t="inlineStr"/>
      <c r="M2341" t="inlineStr"/>
      <c r="N2341" t="inlineStr"/>
      <c r="O2341">
        <f>(1-Summary!$B$11)*T2341+Summary!$B$11*V2341</f>
        <v/>
      </c>
      <c r="P2341">
        <f>IF(B2370=0,0,O2341/B2370)</f>
        <v/>
      </c>
      <c r="Q2341">
        <f>IFERROR(1/IF(Inputs!$B$39="pvp",15,MAX(0.1,Skills!D15-IF(Skills!E15=TRUE,Inputs!$B$32,0))),0)</f>
        <v/>
      </c>
      <c r="R2341">
        <f>IF(AND(Inputs!$B$39&lt;&gt;"pvp",Inputs!$B$44&gt;0),IF(Inputs!$B$44&lt;=0,0,(INT(Inputs!$B$44/IF(Inputs!$B$39="pvp",15,MAX(0.1,Skills!D15-IF(Skills!E15=TRUE,Inputs!$B$32,0))))+1)),0)</f>
        <v/>
      </c>
      <c r="S2341">
        <f>IFERROR(O2341/N2341,0)</f>
        <v/>
      </c>
      <c r="T2341" t="n">
        <v>0</v>
      </c>
      <c r="V2341" t="n">
        <v>0</v>
      </c>
    </row>
    <row r="2342">
      <c r="A2342">
        <f>Skills!A16</f>
        <v/>
      </c>
      <c r="B2342">
        <f>Skills!B16</f>
        <v/>
      </c>
      <c r="C2342">
        <f>Inputs!$B$3&gt;=110</f>
        <v/>
      </c>
      <c r="D2342">
        <f>IF(Skills!C16=1,60+Inputs!$B$25+Inputs!$B$29,IF(Skills!C16=2,90+Inputs!$B$26+Inputs!$B$29,IF(Skills!C16=3,120+Inputs!$B$27+Inputs!$B$29,MAX(0,(Inputs!$B$3-100)*3)+Inputs!$B$28+Inputs!$B$29)))</f>
        <v/>
      </c>
      <c r="E2342">
        <f>INDEX(FactorTable!$B$2:$Y$301, MATCH(ROUND(MIN(300,MAX(1,D2342)),0), FactorTable!$A$2:$A$301,0), Skills!M16+1)</f>
        <v/>
      </c>
      <c r="F2342">
        <f>IF(Skills!N16=TRUE,(Skills!L16/10)*(E2342/1000),Skills!L16/10)+Skills!O16</f>
        <v/>
      </c>
      <c r="G2342">
        <f>Calc!G16</f>
        <v/>
      </c>
      <c r="H2342">
        <f>Calc!H16</f>
        <v/>
      </c>
      <c r="I2342">
        <f>IF(Skills!AA16&lt;&gt;"",1+(Skills!AA16/10)*(U2329/1000)/100,1)</f>
        <v/>
      </c>
      <c r="J2342" t="inlineStr"/>
      <c r="K2342" t="inlineStr"/>
      <c r="L2342" t="inlineStr"/>
      <c r="M2342" t="inlineStr"/>
      <c r="N2342" t="inlineStr"/>
      <c r="O2342">
        <f>(1-Summary!$B$11)*T2342+Summary!$B$11*V2342</f>
        <v/>
      </c>
      <c r="P2342">
        <f>IF(B2370=0,0,O2342/B2370)</f>
        <v/>
      </c>
      <c r="Q2342">
        <f>IFERROR(1/IF(Inputs!$B$39="pvp",15,MAX(0.1,Skills!D16-IF(Skills!E16=TRUE,Inputs!$B$32,0))),0)</f>
        <v/>
      </c>
      <c r="R2342">
        <f>IF(AND(Inputs!$B$39&lt;&gt;"pvp",Inputs!$B$44&gt;0),IF(Inputs!$B$44&lt;=0,0,(INT(Inputs!$B$44/IF(Inputs!$B$39="pvp",15,MAX(0.1,Skills!D16-IF(Skills!E16=TRUE,Inputs!$B$32,0))))+1)),0)</f>
        <v/>
      </c>
      <c r="S2342">
        <f>IFERROR(O2342/N2342,0)</f>
        <v/>
      </c>
      <c r="T2342" t="n">
        <v>0</v>
      </c>
      <c r="V2342" t="n">
        <v>0</v>
      </c>
    </row>
    <row r="2343">
      <c r="A2343">
        <f>Skills!A17</f>
        <v/>
      </c>
      <c r="B2343">
        <f>Skills!B17</f>
        <v/>
      </c>
      <c r="C2343">
        <f>Inputs!$B$3&gt;=115</f>
        <v/>
      </c>
      <c r="D2343">
        <f>IF(Skills!C17=1,60+Inputs!$B$25+Inputs!$B$29,IF(Skills!C17=2,90+Inputs!$B$26+Inputs!$B$29,IF(Skills!C17=3,120+Inputs!$B$27+Inputs!$B$29,MAX(0,(Inputs!$B$3-100)*3)+Inputs!$B$28+Inputs!$B$29)))</f>
        <v/>
      </c>
      <c r="E2343">
        <f>INDEX(FactorTable!$B$2:$Y$301, MATCH(ROUND(MIN(300,MAX(1,D2343)),0), FactorTable!$A$2:$A$301,0), Skills!M17+1)</f>
        <v/>
      </c>
      <c r="F2343">
        <f>IF(Skills!N17=TRUE,(Skills!L17/10)*(E2343/1000),Skills!L17/10)+Skills!O17</f>
        <v/>
      </c>
      <c r="G2343">
        <f>Calc!G17</f>
        <v/>
      </c>
      <c r="H2343">
        <f>Calc!H17</f>
        <v/>
      </c>
      <c r="I2343">
        <f>IF(Skills!AA17&lt;&gt;"",1+(Skills!AA17/10)*(U2329/1000)/100,1)</f>
        <v/>
      </c>
      <c r="J2343">
        <f>((Inputs!$B$6*(1+Inputs!$B$7/100))+(((Inputs!$B$12*(1+Inputs!$B$13/100))-(Inputs!$B$12*(1+Inputs!$B$13/100)))+0.25*(Inputs!$B$14-Inputs!$B$14))*(1+Inputs!$B$7/100))*(F2343/100)</f>
        <v/>
      </c>
      <c r="K2343">
        <f>J2343*(1+((Inputs!$B$12*(1+Inputs!$B$13/100))*0.01+Inputs!$B$14*0.0025)/100)*(1+Inputs!$B$15/100)*(1+Inputs!$B$16/100)*(5000/(6000+Inputs!$B$43*(1-(100*(1-(1-(Inputs!$B$19+0)/100)*(1-CHOOSE(ArtifactsInput!$N$40+1,5,6,7,8,9,10)/100)^(ArtifactsInput!$M$40-ArtifactsInput!$M$40)))/100)))*(1+(Inputs!$B$24+((C2356=TRUE)*(F2356-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2349=TRUE)*(F2349-Calc!F23))+(((IF(AND(ArtifactsInput!$M$42,((Inputs!$B$9+((C2351=TRUE)*(F2351-Calc!F25))+B2366+(ArtifactsInput!$M$24-ArtifactsInput!$M$24)*CHOOSE(ArtifactsInput!$N$24+1,10,12,14,16,18,20)+IF(ArtifactsInput!$M$10,CHOOSE(ArtifactsInput!$N$10+1,15,18,21,24,27,30)*(IF(Inputs!$B$39="pvp",MIN(15,15)/15,IF(AND(Inputs!$B$39&lt;&gt;"pvp",Inputs!$B$44&gt;0),MIN(15,Inputs!$B$44)/(Inputs!$B$44),0))),0)))&gt;=100),MIN(100,((Inputs!$B$9+((C2351=TRUE)*(F2351-Calc!F25))+B2366+(ArtifactsInput!$M$24-ArtifactsInput!$M$24)*CHOOSE(ArtifactsInput!$N$24+1,10,12,14,16,18,20)+IF(ArtifactsInput!$M$10,CHOOSE(ArtifactsInput!$N$10+1,15,18,21,24,27,30)*(IF(Inputs!$B$39="pvp",MIN(15,15)/15,IF(AND(Inputs!$B$39&lt;&gt;"pvp",Inputs!$B$44&gt;0),MIN(15,Inputs!$B$44)/(Inputs!$B$44),0))),0)))-100),0))*CHOOSE(ArtifactsInput!$N$42+1,0.6,0.72,0.84,0.96,1.08,1.2))),Inputs!$B$18+((C2355=TRUE)*(F2355-Calc!F29))+(IF(AND(ArtifactsInput!$M$42,((Inputs!$B$9+((C2351=TRUE)*(F2351-Calc!F25))+B2366+(ArtifactsInput!$M$24-ArtifactsInput!$M$24)*CHOOSE(ArtifactsInput!$N$24+1,10,12,14,16,18,20)+IF(ArtifactsInput!$M$10,CHOOSE(ArtifactsInput!$N$10+1,15,18,21,24,27,30)*(IF(Inputs!$B$39="pvp",MIN(15,15)/15,IF(AND(Inputs!$B$39&lt;&gt;"pvp",Inputs!$B$44&gt;0),MIN(15,Inputs!$B$44)/(Inputs!$B$44),0))),0)))&gt;=100),CHOOSE(ArtifactsInput!$N$42+1,40,48,56,64,72,80),0))))/100)*(((1+(((C2347=TRUE)*F2347*IF(AND(Inputs!$B$39&lt;&gt;"pvp",Inputs!$B$44&gt;0),(((R2347-1)*(Skills!Y21*(1+Inputs!$B$34/100))+MIN((Skills!Y21*(1+Inputs!$B$34/100)),MAX(0,Inputs!$B$44-((R2347-1)*Skills!D21))))/Inputs!$B$44),IF(Inputs!$B$39="pvp",MIN((Skills!Y21*(1+Inputs!$B$34/100)),15)/15,(Skills!Y21*(1+Inputs!$B$34/100))/Skills!D21)))+((C2354=TRUE)*(F2354-Calc!F28))+((C2344=TRUE)*(F2344-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2341=TRUE)*F2341*IF(AND(Inputs!$B$39&lt;&gt;"pvp",Inputs!$B$44&gt;0),(((R2341-1)*(Skills!Y15*(1+Inputs!$B$34/100))+MIN((Skills!Y15*(1+Inputs!$B$34/100)),MAX(0,Inputs!$B$44-((R2341-1)*Skills!D15))))/Inputs!$B$44),IF(Inputs!$B$39="pvp",MIN((Skills!Y15*(1+Inputs!$B$34/100)),15)/15,(Skills!Y15*(1+Inputs!$B$34/100))/Skills!D15)))/100)*(1+((C2332=TRUE)*F2332*B2360)/100))*B2368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2343)</f>
        <v/>
      </c>
      <c r="L2343">
        <f>K2343*(MIN(Inputs!$B$22+((C2350=TRUE)*(F2350-Calc!F24)),(Inputs!$B$23+0+(IF(ArtifactsInput!$M$15,CHOOSE(ArtifactsInput!$N$15+1,25,30,35,40,45,50)/100*(Inputs!$B$11-Inputs!$B$11),0))))/100+(Inputs!$B$23+0+(IF(ArtifactsInput!$M$15,CHOOSE(ArtifactsInput!$N$15+1,25,30,35,40,45,50)/100*(Inputs!$B$11-Inputs!$B$11),0)))/100)/2</f>
        <v/>
      </c>
      <c r="M2343">
        <f>L2343*(1+(Inputs!$B$10+((C2352=TRUE)*(F2352-Calc!F26))+B2369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43">
        <f>L2343*(1-MIN((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2343*(MIN((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43">
        <f>(1-Summary!$B$11)*T2343+Summary!$B$11*V2343</f>
        <v/>
      </c>
      <c r="P2343">
        <f>IF(B2370=0,0,O2343/B2370)</f>
        <v/>
      </c>
      <c r="Q2343" t="n">
        <v>0</v>
      </c>
      <c r="R2343" t="n">
        <v>0</v>
      </c>
      <c r="S2343">
        <f>IFERROR(O2343/N2343,0)</f>
        <v/>
      </c>
      <c r="T2343">
        <f>IF(C2343,(Inputs!$B$38*0.2*N2343)*IF(Inputs!$B$39="pvp",1,1+(Inputs!$B$20+((C2353=TRUE)*(F2353-Calc!F27))+Skills!P17+B2367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Hunt"),CHOOSE(ArtifactsInput!$N$35+1,15,18,21,24,27,30)*(1-EXP(-(0.2*B2362)*5)),0)+IF(AND(ArtifactsInput!$M$22,Inputs!$B$4&lt;&gt;"Chapter Hunt"),CHOOSE(ArtifactsInput!$N$22+1,10,12,14,16,18,20)*((0*(((0.15*B2362*5))^0/1)+1*(((0.15*B2362*5))^1/1)+2*(((0.15*B2362*5))^2/2)+3*(((0.15*B2362*5))^3/6)+4*(((0.15*B2362*5))^4/24)+5*(((0.15*B2362*5))^5/120))/((((0.15*B2362*5))^0/1)+(((0.15*B2362*5))^1/1)+(((0.15*B2362*5))^2/2)+(((0.15*B2362*5))^3/6)+(((0.15*B2362*5))^4/24)+(((0.15*B2362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2343*(1-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2343*(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2343*(1-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2343*(MIN(100,(Inputs!$B$9+((C2351=TRUE)*(F2351-Calc!F25))+B2366+(ArtifactsInput!$M$24-ArtifactsInput!$M$24)*CHOOSE(ArtifactsInput!$N$24+1,10,12,14,16,18,20)+(IF(AND(ArtifactsInput!$M$42,((Inputs!$B$9+((C2351=TRUE)*(F2351-Calc!F25))+B2366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43">
        <f>IF(C2343,(Inputs!$B$38*0.2*N2343)*IF(Inputs!$B$39="pvp",1,(1+(Inputs!$B$21+Skills!Q17+B2367+(IF(ArtifactsInput!$M$33,CHOOSE(ArtifactsInput!$N$33+1,30,36,42,48,54,60),0))+(IF(AND(ArtifactsInput!$M$35,Inputs!$B$4&lt;&gt;"Chapter Hunt"),CHOOSE(ArtifactsInput!$N$35+1,15,18,21,24,27,30)*(1-EXP(-(0.2*B2362)*5)),0)+IF(AND(ArtifactsInput!$M$22,Inputs!$B$4&lt;&gt;"Chapter Hunt"),CHOOSE(ArtifactsInput!$N$22+1,10,12,14,16,18,20)*((0*(((0.15*B2362*5))^0/1)+1*(((0.15*B2362*5))^1/1)+2*(((0.15*B2362*5))^2/2)+3*(((0.15*B2362*5))^3/6)+4*(((0.15*B2362*5))^4/24)+5*(((0.15*B2362*5))^5/120))/((((0.15*B2362*5))^0/1)+(((0.15*B2362*5))^1/1)+(((0.15*B2362*5))^2/2)+(((0.15*B2362*5))^3/6)+(((0.15*B2362*5))^4/24)+(((0.15*B2362*5))^5/120))),0)))/100)*(MIN(Skills!W17,Inputs!$B$37)))*((1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44">
      <c r="A2344">
        <f>Skills!A18</f>
        <v/>
      </c>
      <c r="B2344">
        <f>Skills!B18</f>
        <v/>
      </c>
      <c r="C2344">
        <f>Inputs!$B$3&gt;=115</f>
        <v/>
      </c>
      <c r="D2344">
        <f>IF(Skills!C18=1,60+Inputs!$B$25+Inputs!$B$29,IF(Skills!C18=2,90+Inputs!$B$26+Inputs!$B$29,IF(Skills!C18=3,120+Inputs!$B$27+Inputs!$B$29,MAX(0,(Inputs!$B$3-100)*3)+Inputs!$B$28+Inputs!$B$29)))</f>
        <v/>
      </c>
      <c r="E2344">
        <f>INDEX(FactorTable!$B$2:$Y$301, MATCH(ROUND(MIN(300,MAX(1,D2344)),0), FactorTable!$A$2:$A$301,0), Skills!M18+1)</f>
        <v/>
      </c>
      <c r="F2344">
        <f>IF(Skills!N18=TRUE,(Skills!L18/10)*(E2344/1000),Skills!L18/10)+Skills!O18</f>
        <v/>
      </c>
      <c r="G2344">
        <f>Calc!G18</f>
        <v/>
      </c>
      <c r="H2344">
        <f>Calc!H18</f>
        <v/>
      </c>
      <c r="I2344">
        <f>IF(Skills!AA18&lt;&gt;"",1+(Skills!AA18/10)*(U2329/1000)/100,1)</f>
        <v/>
      </c>
      <c r="J2344" t="inlineStr"/>
      <c r="K2344" t="inlineStr"/>
      <c r="L2344" t="inlineStr"/>
      <c r="M2344" t="inlineStr"/>
      <c r="N2344" t="inlineStr"/>
      <c r="O2344">
        <f>(1-Summary!$B$11)*T2344+Summary!$B$11*V2344</f>
        <v/>
      </c>
      <c r="P2344">
        <f>IF(B2370=0,0,O2344/B2370)</f>
        <v/>
      </c>
      <c r="Q2344" t="n">
        <v>0</v>
      </c>
      <c r="R2344" t="n">
        <v>0</v>
      </c>
      <c r="S2344">
        <f>IFERROR(O2344/N2344,0)</f>
        <v/>
      </c>
      <c r="T2344" t="n">
        <v>0</v>
      </c>
      <c r="V2344" t="n">
        <v>0</v>
      </c>
    </row>
    <row r="2345">
      <c r="A2345">
        <f>Skills!A19</f>
        <v/>
      </c>
      <c r="B2345">
        <f>Skills!B19</f>
        <v/>
      </c>
      <c r="C2345">
        <f>TRUE</f>
        <v/>
      </c>
      <c r="D2345">
        <f>IF(Skills!C19=1,60+Inputs!$B$25+Inputs!$B$29,IF(Skills!C19=2,90+Inputs!$B$26+Inputs!$B$29,IF(Skills!C19=3,120+Inputs!$B$27+Inputs!$B$29,MAX(0,(Inputs!$B$3-100)*3)+Inputs!$B$28+Inputs!$B$29)))</f>
        <v/>
      </c>
      <c r="E2345">
        <f>INDEX(FactorTable!$B$2:$Y$301, MATCH(ROUND(MIN(300,MAX(1,D2345)),0), FactorTable!$A$2:$A$301,0), Skills!M19+1)</f>
        <v/>
      </c>
      <c r="F2345">
        <f>IF(Skills!N19=TRUE,(Skills!L19/10)*(E2345/1000),Skills!L19/10)+Skills!O19</f>
        <v/>
      </c>
      <c r="G2345">
        <f>Calc!G19</f>
        <v/>
      </c>
      <c r="H2345">
        <f>Calc!H19</f>
        <v/>
      </c>
      <c r="I2345">
        <f>IF(Skills!AA19&lt;&gt;"",1+(Skills!AA19/10)*(U2329/1000)/100,1)</f>
        <v/>
      </c>
      <c r="J2345" t="inlineStr"/>
      <c r="K2345" t="inlineStr"/>
      <c r="L2345" t="inlineStr"/>
      <c r="M2345" t="inlineStr"/>
      <c r="N2345" t="inlineStr"/>
      <c r="O2345">
        <f>(1-Summary!$B$11)*T2345+Summary!$B$11*V2345</f>
        <v/>
      </c>
      <c r="P2345">
        <f>IF(B2370=0,0,O2345/B2370)</f>
        <v/>
      </c>
      <c r="Q2345">
        <f>IFERROR(1/IF(Inputs!$B$39="pvp",15,MAX(0.1,Skills!D19-IF(Skills!E19=TRUE,Inputs!$B$32,0))),0)</f>
        <v/>
      </c>
      <c r="R2345">
        <f>IF(AND(Inputs!$B$39&lt;&gt;"pvp",Inputs!$B$44&gt;0),IF(Inputs!$B$44&lt;=0,0,(INT(Inputs!$B$44/IF(Inputs!$B$39="pvp",15,MAX(0.1,Skills!D19-IF(Skills!E19=TRUE,Inputs!$B$32,0))))+1)),0)</f>
        <v/>
      </c>
      <c r="S2345">
        <f>IFERROR(O2345/N2345,0)</f>
        <v/>
      </c>
      <c r="T2345" t="n">
        <v>0</v>
      </c>
      <c r="V2345" t="n">
        <v>0</v>
      </c>
    </row>
    <row r="2346">
      <c r="A2346">
        <f>Skills!A20</f>
        <v/>
      </c>
      <c r="B2346">
        <f>Skills!B20</f>
        <v/>
      </c>
      <c r="C2346">
        <f>Inputs!$B$3&gt;=15</f>
        <v/>
      </c>
      <c r="D2346">
        <f>IF(Skills!C20=1,60+Inputs!$B$25+Inputs!$B$29,IF(Skills!C20=2,90+Inputs!$B$26+Inputs!$B$29,IF(Skills!C20=3,120+Inputs!$B$27+Inputs!$B$29,MAX(0,(Inputs!$B$3-100)*3)+Inputs!$B$28+Inputs!$B$29)))</f>
        <v/>
      </c>
      <c r="E2346">
        <f>INDEX(FactorTable!$B$2:$Y$301, MATCH(ROUND(MIN(300,MAX(1,D2346)),0), FactorTable!$A$2:$A$301,0), Skills!M20+1)</f>
        <v/>
      </c>
      <c r="F2346">
        <f>IF(Skills!N20=TRUE,(Skills!L20/10)*(E2346/1000),Skills!L20/10)+Skills!O20</f>
        <v/>
      </c>
      <c r="G2346">
        <f>Calc!G20</f>
        <v/>
      </c>
      <c r="H2346">
        <f>Calc!H20</f>
        <v/>
      </c>
      <c r="I2346">
        <f>IF(Skills!AA20&lt;&gt;"",1+(Skills!AA20/10)*(U2329/1000)/100,1)</f>
        <v/>
      </c>
      <c r="J2346" t="inlineStr"/>
      <c r="K2346" t="inlineStr"/>
      <c r="L2346" t="inlineStr"/>
      <c r="M2346" t="inlineStr"/>
      <c r="N2346" t="inlineStr"/>
      <c r="O2346">
        <f>(1-Summary!$B$11)*T2346+Summary!$B$11*V2346</f>
        <v/>
      </c>
      <c r="P2346">
        <f>IF(B2370=0,0,O2346/B2370)</f>
        <v/>
      </c>
      <c r="Q2346">
        <f>IFERROR(1/IF(Inputs!$B$39="pvp",15,MAX(0.1,Skills!D20-IF(Skills!E20=TRUE,Inputs!$B$32,0))),0)</f>
        <v/>
      </c>
      <c r="R2346">
        <f>IF(AND(Inputs!$B$39&lt;&gt;"pvp",Inputs!$B$44&gt;0),IF(Inputs!$B$44&lt;=0,0,(INT(Inputs!$B$44/IF(Inputs!$B$39="pvp",15,MAX(0.1,Skills!D20-IF(Skills!E20=TRUE,Inputs!$B$32,0))))+1)),0)</f>
        <v/>
      </c>
      <c r="S2346">
        <f>IFERROR(O2346/N2346,0)</f>
        <v/>
      </c>
      <c r="T2346" t="n">
        <v>0</v>
      </c>
      <c r="V2346" t="n">
        <v>0</v>
      </c>
    </row>
    <row r="2347">
      <c r="A2347">
        <f>Skills!A21</f>
        <v/>
      </c>
      <c r="B2347">
        <f>Skills!B21</f>
        <v/>
      </c>
      <c r="C2347">
        <f>Inputs!$B$3&gt;=15</f>
        <v/>
      </c>
      <c r="D2347">
        <f>IF(Skills!C21=1,60+Inputs!$B$25+Inputs!$B$29,IF(Skills!C21=2,90+Inputs!$B$26+Inputs!$B$29,IF(Skills!C21=3,120+Inputs!$B$27+Inputs!$B$29,MAX(0,(Inputs!$B$3-100)*3)+Inputs!$B$28+Inputs!$B$29)))</f>
        <v/>
      </c>
      <c r="E2347">
        <f>INDEX(FactorTable!$B$2:$Y$301, MATCH(ROUND(MIN(300,MAX(1,D2347)),0), FactorTable!$A$2:$A$301,0), Skills!M21+1)</f>
        <v/>
      </c>
      <c r="F2347">
        <f>IF(Skills!N21=TRUE,(Skills!L21/10)*(E2347/1000),Skills!L21/10)+Skills!O21</f>
        <v/>
      </c>
      <c r="G2347">
        <f>Calc!G21</f>
        <v/>
      </c>
      <c r="H2347">
        <f>Calc!H21</f>
        <v/>
      </c>
      <c r="I2347">
        <f>IF(Skills!AA21&lt;&gt;"",1+(Skills!AA21/10)*(U2329/1000)/100,1)</f>
        <v/>
      </c>
      <c r="J2347" t="inlineStr"/>
      <c r="K2347" t="inlineStr"/>
      <c r="L2347" t="inlineStr"/>
      <c r="M2347" t="inlineStr"/>
      <c r="N2347" t="inlineStr"/>
      <c r="O2347">
        <f>(1-Summary!$B$11)*T2347+Summary!$B$11*V2347</f>
        <v/>
      </c>
      <c r="P2347">
        <f>IF(B2370=0,0,O2347/B2370)</f>
        <v/>
      </c>
      <c r="Q2347">
        <f>IFERROR(1/IF(Inputs!$B$39="pvp",15,MAX(0.1,Skills!D21-IF(Skills!E21=TRUE,Inputs!$B$32,0))),0)</f>
        <v/>
      </c>
      <c r="R2347">
        <f>IF(AND(Inputs!$B$39&lt;&gt;"pvp",Inputs!$B$44&gt;0),IF(Inputs!$B$44&lt;=0,0,(INT(Inputs!$B$44/IF(Inputs!$B$39="pvp",15,MAX(0.1,Skills!D21-IF(Skills!E21=TRUE,Inputs!$B$32,0))))+1)),0)</f>
        <v/>
      </c>
      <c r="S2347">
        <f>IFERROR(O2347/N2347,0)</f>
        <v/>
      </c>
      <c r="T2347" t="n">
        <v>0</v>
      </c>
      <c r="V2347" t="n">
        <v>0</v>
      </c>
    </row>
    <row r="2348">
      <c r="A2348">
        <f>Skills!A22</f>
        <v/>
      </c>
      <c r="B2348">
        <f>Skills!B22</f>
        <v/>
      </c>
      <c r="C2348">
        <f>Inputs!$B$3&gt;=33</f>
        <v/>
      </c>
      <c r="D2348">
        <f>IF(Skills!C22=1,60+Inputs!$B$25+Inputs!$B$29,IF(Skills!C22=2,90+Inputs!$B$26+Inputs!$B$29,IF(Skills!C22=3,120+Inputs!$B$27+Inputs!$B$29,MAX(0,(Inputs!$B$3-100)*3)+Inputs!$B$28+Inputs!$B$29)))</f>
        <v/>
      </c>
      <c r="E2348">
        <f>INDEX(FactorTable!$B$2:$Y$301, MATCH(ROUND(MIN(300,MAX(1,D2348)),0), FactorTable!$A$2:$A$301,0), Skills!M22+1)</f>
        <v/>
      </c>
      <c r="F2348">
        <f>IF(Skills!N22=TRUE,(Skills!L22/10)*(E2348/1000),Skills!L22/10)+Skills!O22</f>
        <v/>
      </c>
      <c r="G2348">
        <f>Calc!G22</f>
        <v/>
      </c>
      <c r="H2348">
        <f>Calc!H22</f>
        <v/>
      </c>
      <c r="I2348">
        <f>IF(Skills!AA22&lt;&gt;"",1+(Skills!AA22/10)*(U2329/1000)/100,1)</f>
        <v/>
      </c>
      <c r="J2348" t="inlineStr"/>
      <c r="K2348" t="inlineStr"/>
      <c r="L2348" t="inlineStr"/>
      <c r="M2348" t="inlineStr"/>
      <c r="N2348" t="inlineStr"/>
      <c r="O2348">
        <f>(1-Summary!$B$11)*T2348+Summary!$B$11*V2348</f>
        <v/>
      </c>
      <c r="P2348">
        <f>IF(B2370=0,0,O2348/B2370)</f>
        <v/>
      </c>
      <c r="Q2348" t="n">
        <v>0</v>
      </c>
      <c r="R2348" t="n">
        <v>0</v>
      </c>
      <c r="S2348">
        <f>IFERROR(O2348/N2348,0)</f>
        <v/>
      </c>
      <c r="T2348" t="n">
        <v>0</v>
      </c>
      <c r="V2348" t="n">
        <v>0</v>
      </c>
    </row>
    <row r="2349">
      <c r="A2349">
        <f>Skills!A23</f>
        <v/>
      </c>
      <c r="B2349">
        <f>Skills!B23</f>
        <v/>
      </c>
      <c r="C2349">
        <f>Inputs!$B$3&gt;=38</f>
        <v/>
      </c>
      <c r="D2349">
        <f>IF(Skills!C23=1,60+Inputs!$B$25+Inputs!$B$29,IF(Skills!C23=2,90+Inputs!$B$26+Inputs!$B$29,IF(Skills!C23=3,120+Inputs!$B$27+Inputs!$B$29,MAX(0,(Inputs!$B$3-100)*3)+Inputs!$B$28+Inputs!$B$29)))</f>
        <v/>
      </c>
      <c r="E2349">
        <f>INDEX(FactorTable!$B$2:$Y$301, MATCH(ROUND(MIN(300,MAX(1,D2349)),0), FactorTable!$A$2:$A$301,0), Skills!M23+1)</f>
        <v/>
      </c>
      <c r="F2349">
        <f>IF(Skills!N23=TRUE,(Skills!L23/10)*(E2349/1000),Skills!L23/10)+Skills!O23</f>
        <v/>
      </c>
      <c r="G2349">
        <f>Calc!G23</f>
        <v/>
      </c>
      <c r="H2349">
        <f>Calc!H23</f>
        <v/>
      </c>
      <c r="I2349">
        <f>IF(Skills!AA23&lt;&gt;"",1+(Skills!AA23/10)*(U2329/1000)/100,1)</f>
        <v/>
      </c>
      <c r="J2349" t="inlineStr"/>
      <c r="K2349" t="inlineStr"/>
      <c r="L2349" t="inlineStr"/>
      <c r="M2349" t="inlineStr"/>
      <c r="N2349" t="inlineStr"/>
      <c r="O2349">
        <f>(1-Summary!$B$11)*T2349+Summary!$B$11*V2349</f>
        <v/>
      </c>
      <c r="P2349">
        <f>IF(B2370=0,0,O2349/B2370)</f>
        <v/>
      </c>
      <c r="Q2349" t="n">
        <v>0</v>
      </c>
      <c r="R2349" t="n">
        <v>0</v>
      </c>
      <c r="S2349">
        <f>IFERROR(O2349/N2349,0)</f>
        <v/>
      </c>
      <c r="T2349" t="n">
        <v>0</v>
      </c>
      <c r="V2349" t="n">
        <v>0</v>
      </c>
    </row>
    <row r="2350">
      <c r="A2350">
        <f>Skills!A24</f>
        <v/>
      </c>
      <c r="B2350">
        <f>Skills!B24</f>
        <v/>
      </c>
      <c r="C2350">
        <f>Inputs!$B$3&gt;=40</f>
        <v/>
      </c>
      <c r="D2350">
        <f>IF(Skills!C24=1,60+Inputs!$B$25+Inputs!$B$29,IF(Skills!C24=2,90+Inputs!$B$26+Inputs!$B$29,IF(Skills!C24=3,120+Inputs!$B$27+Inputs!$B$29,MAX(0,(Inputs!$B$3-100)*3)+Inputs!$B$28+Inputs!$B$29)))</f>
        <v/>
      </c>
      <c r="E2350">
        <f>INDEX(FactorTable!$B$2:$Y$301, MATCH(ROUND(MIN(300,MAX(1,D2350)),0), FactorTable!$A$2:$A$301,0), Skills!M24+1)</f>
        <v/>
      </c>
      <c r="F2350">
        <f>IF(Skills!N24=TRUE,(Skills!L24/10)*(E2350/1000),Skills!L24/10)+Skills!O24</f>
        <v/>
      </c>
      <c r="G2350">
        <f>Calc!G24</f>
        <v/>
      </c>
      <c r="H2350">
        <f>Calc!H24</f>
        <v/>
      </c>
      <c r="I2350">
        <f>IF(Skills!AA24&lt;&gt;"",1+(Skills!AA24/10)*(U2329/1000)/100,1)</f>
        <v/>
      </c>
      <c r="J2350" t="inlineStr"/>
      <c r="K2350" t="inlineStr"/>
      <c r="L2350" t="inlineStr"/>
      <c r="M2350" t="inlineStr"/>
      <c r="N2350" t="inlineStr"/>
      <c r="O2350">
        <f>(1-Summary!$B$11)*T2350+Summary!$B$11*V2350</f>
        <v/>
      </c>
      <c r="P2350">
        <f>IF(B2370=0,0,O2350/B2370)</f>
        <v/>
      </c>
      <c r="Q2350" t="n">
        <v>0</v>
      </c>
      <c r="R2350" t="n">
        <v>0</v>
      </c>
      <c r="S2350">
        <f>IFERROR(O2350/N2350,0)</f>
        <v/>
      </c>
      <c r="T2350" t="n">
        <v>0</v>
      </c>
      <c r="V2350" t="n">
        <v>0</v>
      </c>
    </row>
    <row r="2351">
      <c r="A2351">
        <f>Skills!A25</f>
        <v/>
      </c>
      <c r="B2351">
        <f>Skills!B25</f>
        <v/>
      </c>
      <c r="C2351">
        <f>Inputs!$B$3&gt;=45</f>
        <v/>
      </c>
      <c r="D2351">
        <f>IF(Skills!C25=1,60+Inputs!$B$25+Inputs!$B$29,IF(Skills!C25=2,90+Inputs!$B$26+Inputs!$B$29,IF(Skills!C25=3,120+Inputs!$B$27+Inputs!$B$29,MAX(0,(Inputs!$B$3-100)*3)+Inputs!$B$28+Inputs!$B$29)))</f>
        <v/>
      </c>
      <c r="E2351">
        <f>INDEX(FactorTable!$B$2:$Y$301, MATCH(ROUND(MIN(300,MAX(1,D2351)),0), FactorTable!$A$2:$A$301,0), Skills!M25+1)</f>
        <v/>
      </c>
      <c r="F2351">
        <f>IF(Skills!N25=TRUE,(Skills!L25/10)*(E2351/1000),Skills!L25/10)+Skills!O25</f>
        <v/>
      </c>
      <c r="G2351">
        <f>Calc!G25</f>
        <v/>
      </c>
      <c r="H2351">
        <f>Calc!H25</f>
        <v/>
      </c>
      <c r="I2351">
        <f>IF(Skills!AA25&lt;&gt;"",1+(Skills!AA25/10)*(U2329/1000)/100,1)</f>
        <v/>
      </c>
      <c r="J2351" t="inlineStr"/>
      <c r="K2351" t="inlineStr"/>
      <c r="L2351" t="inlineStr"/>
      <c r="M2351" t="inlineStr"/>
      <c r="N2351" t="inlineStr"/>
      <c r="O2351">
        <f>(1-Summary!$B$11)*T2351+Summary!$B$11*V2351</f>
        <v/>
      </c>
      <c r="P2351">
        <f>IF(B2370=0,0,O2351/B2370)</f>
        <v/>
      </c>
      <c r="Q2351" t="n">
        <v>0</v>
      </c>
      <c r="R2351" t="n">
        <v>0</v>
      </c>
      <c r="S2351">
        <f>IFERROR(O2351/N2351,0)</f>
        <v/>
      </c>
      <c r="T2351" t="n">
        <v>0</v>
      </c>
      <c r="V2351" t="n">
        <v>0</v>
      </c>
    </row>
    <row r="2352">
      <c r="A2352">
        <f>Skills!A26</f>
        <v/>
      </c>
      <c r="B2352">
        <f>Skills!B26</f>
        <v/>
      </c>
      <c r="C2352">
        <f>Inputs!$B$3&gt;=45</f>
        <v/>
      </c>
      <c r="D2352">
        <f>IF(Skills!C26=1,60+Inputs!$B$25+Inputs!$B$29,IF(Skills!C26=2,90+Inputs!$B$26+Inputs!$B$29,IF(Skills!C26=3,120+Inputs!$B$27+Inputs!$B$29,MAX(0,(Inputs!$B$3-100)*3)+Inputs!$B$28+Inputs!$B$29)))</f>
        <v/>
      </c>
      <c r="E2352">
        <f>INDEX(FactorTable!$B$2:$Y$301, MATCH(ROUND(MIN(300,MAX(1,D2352)),0), FactorTable!$A$2:$A$301,0), Skills!M26+1)</f>
        <v/>
      </c>
      <c r="F2352">
        <f>IF(Skills!N26=TRUE,(Skills!L26/10)*(E2352/1000),Skills!L26/10)+Skills!O26</f>
        <v/>
      </c>
      <c r="G2352">
        <f>Calc!G26</f>
        <v/>
      </c>
      <c r="H2352">
        <f>Calc!H26</f>
        <v/>
      </c>
      <c r="I2352">
        <f>IF(Skills!AA26&lt;&gt;"",1+(Skills!AA26/10)*(U2329/1000)/100,1)</f>
        <v/>
      </c>
      <c r="J2352" t="inlineStr"/>
      <c r="K2352" t="inlineStr"/>
      <c r="L2352" t="inlineStr"/>
      <c r="M2352" t="inlineStr"/>
      <c r="N2352" t="inlineStr"/>
      <c r="O2352">
        <f>(1-Summary!$B$11)*T2352+Summary!$B$11*V2352</f>
        <v/>
      </c>
      <c r="P2352">
        <f>IF(B2370=0,0,O2352/B2370)</f>
        <v/>
      </c>
      <c r="Q2352" t="n">
        <v>0</v>
      </c>
      <c r="R2352" t="n">
        <v>0</v>
      </c>
      <c r="S2352">
        <f>IFERROR(O2352/N2352,0)</f>
        <v/>
      </c>
      <c r="T2352" t="n">
        <v>0</v>
      </c>
      <c r="V2352" t="n">
        <v>0</v>
      </c>
    </row>
    <row r="2353">
      <c r="A2353">
        <f>Skills!A27</f>
        <v/>
      </c>
      <c r="B2353">
        <f>Skills!B27</f>
        <v/>
      </c>
      <c r="C2353">
        <f>Inputs!$B$3&gt;=72</f>
        <v/>
      </c>
      <c r="D2353">
        <f>IF(Skills!C27=1,60+Inputs!$B$25+Inputs!$B$29,IF(Skills!C27=2,90+Inputs!$B$26+Inputs!$B$29,IF(Skills!C27=3,120+Inputs!$B$27+Inputs!$B$29,MAX(0,(Inputs!$B$3-100)*3)+Inputs!$B$28+Inputs!$B$29)))</f>
        <v/>
      </c>
      <c r="E2353">
        <f>INDEX(FactorTable!$B$2:$Y$301, MATCH(ROUND(MIN(300,MAX(1,D2353)),0), FactorTable!$A$2:$A$301,0), Skills!M27+1)</f>
        <v/>
      </c>
      <c r="F2353">
        <f>IF(Skills!N27=TRUE,(Skills!L27/10)*(E2353/1000),Skills!L27/10)+Skills!O27</f>
        <v/>
      </c>
      <c r="G2353">
        <f>Calc!G27</f>
        <v/>
      </c>
      <c r="H2353">
        <f>Calc!H27</f>
        <v/>
      </c>
      <c r="I2353">
        <f>IF(Skills!AA27&lt;&gt;"",1+(Skills!AA27/10)*(U2329/1000)/100,1)</f>
        <v/>
      </c>
      <c r="J2353" t="inlineStr"/>
      <c r="K2353" t="inlineStr"/>
      <c r="L2353" t="inlineStr"/>
      <c r="M2353" t="inlineStr"/>
      <c r="N2353" t="inlineStr"/>
      <c r="O2353">
        <f>(1-Summary!$B$11)*T2353+Summary!$B$11*V2353</f>
        <v/>
      </c>
      <c r="P2353">
        <f>IF(B2370=0,0,O2353/B2370)</f>
        <v/>
      </c>
      <c r="Q2353" t="n">
        <v>0</v>
      </c>
      <c r="R2353" t="n">
        <v>0</v>
      </c>
      <c r="S2353">
        <f>IFERROR(O2353/N2353,0)</f>
        <v/>
      </c>
      <c r="T2353" t="n">
        <v>0</v>
      </c>
      <c r="V2353" t="n">
        <v>0</v>
      </c>
    </row>
    <row r="2354">
      <c r="A2354">
        <f>Skills!A28</f>
        <v/>
      </c>
      <c r="B2354">
        <f>Skills!B28</f>
        <v/>
      </c>
      <c r="C2354">
        <f>Inputs!$B$3&gt;=75</f>
        <v/>
      </c>
      <c r="D2354">
        <f>IF(Skills!C28=1,60+Inputs!$B$25+Inputs!$B$29,IF(Skills!C28=2,90+Inputs!$B$26+Inputs!$B$29,IF(Skills!C28=3,120+Inputs!$B$27+Inputs!$B$29,MAX(0,(Inputs!$B$3-100)*3)+Inputs!$B$28+Inputs!$B$29)))</f>
        <v/>
      </c>
      <c r="E2354">
        <f>INDEX(FactorTable!$B$2:$Y$301, MATCH(ROUND(MIN(300,MAX(1,D2354)),0), FactorTable!$A$2:$A$301,0), Skills!M28+1)</f>
        <v/>
      </c>
      <c r="F2354">
        <f>IF(Skills!N28=TRUE,(Skills!L28/10)*(E2354/1000),Skills!L28/10)+Skills!O28</f>
        <v/>
      </c>
      <c r="G2354">
        <f>Calc!G28</f>
        <v/>
      </c>
      <c r="H2354">
        <f>Calc!H28</f>
        <v/>
      </c>
      <c r="I2354">
        <f>IF(Skills!AA28&lt;&gt;"",1+(Skills!AA28/10)*(U2329/1000)/100,1)</f>
        <v/>
      </c>
      <c r="J2354" t="inlineStr"/>
      <c r="K2354" t="inlineStr"/>
      <c r="L2354" t="inlineStr"/>
      <c r="M2354" t="inlineStr"/>
      <c r="N2354" t="inlineStr"/>
      <c r="O2354">
        <f>(1-Summary!$B$11)*T2354+Summary!$B$11*V2354</f>
        <v/>
      </c>
      <c r="P2354">
        <f>IF(B2370=0,0,O2354/B2370)</f>
        <v/>
      </c>
      <c r="Q2354" t="n">
        <v>0</v>
      </c>
      <c r="R2354" t="n">
        <v>0</v>
      </c>
      <c r="S2354">
        <f>IFERROR(O2354/N2354,0)</f>
        <v/>
      </c>
      <c r="T2354" t="n">
        <v>0</v>
      </c>
      <c r="V2354" t="n">
        <v>0</v>
      </c>
    </row>
    <row r="2355">
      <c r="A2355">
        <f>Skills!A29</f>
        <v/>
      </c>
      <c r="B2355">
        <f>Skills!B29</f>
        <v/>
      </c>
      <c r="C2355">
        <f>Inputs!$B$3&gt;=120</f>
        <v/>
      </c>
      <c r="D2355">
        <f>IF(Skills!C29=1,60+Inputs!$B$25+Inputs!$B$29,IF(Skills!C29=2,90+Inputs!$B$26+Inputs!$B$29,IF(Skills!C29=3,120+Inputs!$B$27+Inputs!$B$29,MAX(0,(Inputs!$B$3-100)*3)+Inputs!$B$28+Inputs!$B$29)))</f>
        <v/>
      </c>
      <c r="E2355">
        <f>INDEX(FactorTable!$B$2:$Y$301, MATCH(ROUND(MIN(300,MAX(1,D2355)),0), FactorTable!$A$2:$A$301,0), Skills!M29+1)</f>
        <v/>
      </c>
      <c r="F2355">
        <f>IF(Skills!N29=TRUE,(Skills!L29/10)*(E2355/1000),Skills!L29/10)+Skills!O29</f>
        <v/>
      </c>
      <c r="G2355">
        <f>Calc!G29</f>
        <v/>
      </c>
      <c r="H2355">
        <f>Calc!H29</f>
        <v/>
      </c>
      <c r="I2355">
        <f>IF(Skills!AA29&lt;&gt;"",1+(Skills!AA29/10)*(U2329/1000)/100,1)</f>
        <v/>
      </c>
      <c r="J2355" t="inlineStr"/>
      <c r="K2355" t="inlineStr"/>
      <c r="L2355" t="inlineStr"/>
      <c r="M2355" t="inlineStr"/>
      <c r="N2355" t="inlineStr"/>
      <c r="O2355">
        <f>(1-Summary!$B$11)*T2355+Summary!$B$11*V2355</f>
        <v/>
      </c>
      <c r="P2355">
        <f>IF(B2370=0,0,O2355/B2370)</f>
        <v/>
      </c>
      <c r="Q2355" t="n">
        <v>0</v>
      </c>
      <c r="R2355" t="n">
        <v>0</v>
      </c>
      <c r="S2355">
        <f>IFERROR(O2355/N2355,0)</f>
        <v/>
      </c>
      <c r="T2355" t="n">
        <v>0</v>
      </c>
      <c r="V2355" t="n">
        <v>0</v>
      </c>
    </row>
    <row r="2356">
      <c r="A2356">
        <f>Skills!A30</f>
        <v/>
      </c>
      <c r="B2356">
        <f>Skills!B30</f>
        <v/>
      </c>
      <c r="C2356">
        <f>Inputs!$B$3&gt;=125</f>
        <v/>
      </c>
      <c r="D2356">
        <f>IF(Skills!C30=1,60+Inputs!$B$25+Inputs!$B$29,IF(Skills!C30=2,90+Inputs!$B$26+Inputs!$B$29,IF(Skills!C30=3,120+Inputs!$B$27+Inputs!$B$29,MAX(0,(Inputs!$B$3-100)*3)+Inputs!$B$28+Inputs!$B$29)))</f>
        <v/>
      </c>
      <c r="E2356">
        <f>INDEX(FactorTable!$B$2:$Y$301, MATCH(ROUND(MIN(300,MAX(1,D2356)),0), FactorTable!$A$2:$A$301,0), Skills!M30+1)</f>
        <v/>
      </c>
      <c r="F2356">
        <f>IF(Skills!N30=TRUE,(Skills!L30/10)*(E2356/1000),Skills!L30/10)+Skills!O30</f>
        <v/>
      </c>
      <c r="G2356">
        <f>Calc!G30</f>
        <v/>
      </c>
      <c r="H2356">
        <f>Calc!H30</f>
        <v/>
      </c>
      <c r="I2356">
        <f>IF(Skills!AA30&lt;&gt;"",1+(Skills!AA30/10)*(U2329/1000)/100,1)</f>
        <v/>
      </c>
      <c r="J2356" t="inlineStr"/>
      <c r="K2356" t="inlineStr"/>
      <c r="L2356" t="inlineStr"/>
      <c r="M2356" t="inlineStr"/>
      <c r="N2356" t="inlineStr"/>
      <c r="O2356">
        <f>(1-Summary!$B$11)*T2356+Summary!$B$11*V2356</f>
        <v/>
      </c>
      <c r="P2356">
        <f>IF(B2370=0,0,O2356/B2370)</f>
        <v/>
      </c>
      <c r="Q2356" t="n">
        <v>0</v>
      </c>
      <c r="R2356" t="n">
        <v>0</v>
      </c>
      <c r="S2356">
        <f>IFERROR(O2356/N2356,0)</f>
        <v/>
      </c>
      <c r="T2356" t="n">
        <v>0</v>
      </c>
      <c r="V2356" t="n">
        <v>0</v>
      </c>
    </row>
    <row r="2357">
      <c r="A2357">
        <f>Skills!A31</f>
        <v/>
      </c>
      <c r="B2357">
        <f>Skills!B31</f>
        <v/>
      </c>
      <c r="C2357">
        <f>Inputs!$B$3&gt;=107</f>
        <v/>
      </c>
      <c r="D2357">
        <f>IF(Skills!C31=1,60+Inputs!$B$25+Inputs!$B$29,IF(Skills!C31=2,90+Inputs!$B$26+Inputs!$B$29,IF(Skills!C31=3,120+Inputs!$B$27+Inputs!$B$29,MAX(0,(Inputs!$B$3-100)*3)+Inputs!$B$28+Inputs!$B$29)))</f>
        <v/>
      </c>
      <c r="E2357">
        <f>INDEX(FactorTable!$B$2:$Y$301, MATCH(ROUND(MIN(300,MAX(1,D2357)),0), FactorTable!$A$2:$A$301,0), Skills!M31+1)</f>
        <v/>
      </c>
      <c r="F2357">
        <f>IF(Skills!N31=TRUE,(Skills!L31/10)*(E2357/1000),Skills!L31/10)+Skills!O31</f>
        <v/>
      </c>
      <c r="G2357">
        <f>Calc!G31</f>
        <v/>
      </c>
      <c r="H2357">
        <f>Calc!H31</f>
        <v/>
      </c>
      <c r="I2357">
        <f>IF(Skills!AA31&lt;&gt;"",1+(Skills!AA31/10)*(U2329/1000)/100,1)</f>
        <v/>
      </c>
      <c r="J2357" t="inlineStr"/>
      <c r="K2357" t="inlineStr"/>
      <c r="L2357" t="inlineStr"/>
      <c r="M2357" t="inlineStr"/>
      <c r="N2357" t="inlineStr"/>
      <c r="O2357">
        <f>(1-Summary!$B$11)*T2357+Summary!$B$11*V2357</f>
        <v/>
      </c>
      <c r="P2357">
        <f>IF(B2370=0,0,O2357/B2370)</f>
        <v/>
      </c>
      <c r="Q2357" t="n">
        <v>0</v>
      </c>
      <c r="R2357" t="n">
        <v>0</v>
      </c>
      <c r="S2357">
        <f>IFERROR(O2357/N2357,0)</f>
        <v/>
      </c>
      <c r="T2357" t="n">
        <v>0</v>
      </c>
      <c r="V2357" t="n">
        <v>0</v>
      </c>
    </row>
    <row r="2359">
      <c r="A2359" t="inlineStr">
        <is>
          <t>Actions Per Second (pre-Adrenalin)</t>
        </is>
      </c>
      <c r="B2359">
        <f>1+MIN(150,150*(1-(1-(Inputs!$B$11+((C2348=TRUE)*(F2348-Calc!F22))+(ArtifactsInput!$M$15-ArtifactsInput!$M$15)*CHOOSE(ArtifactsInput!$N$15+1,8,9.6,11.2,12.8,14.4,16))/150)*(1-((C2345=TRUE)*F2345*IF(AND(Inputs!$B$39&lt;&gt;"pvp",Inputs!$B$44&gt;0),(((R2345-1)*(Skills!Y19*(1+Inputs!$B$34/100))+MIN((Skills!Y19*(1+Inputs!$B$34/100)),MAX(0,Inputs!$B$44-((R2345-1)*Skills!D19))))/Inputs!$B$44),IF(Inputs!$B$39="pvp",MIN((Skills!Y19*(1+Inputs!$B$34/100)),15)/15,(Skills!Y19*(1+Inputs!$B$34/100))/Skills!D19)))/150)))/100</f>
        <v/>
      </c>
    </row>
    <row r="2360">
      <c r="A2360" t="inlineStr">
        <is>
          <t>Alchemic Adrenaline Uptime</t>
        </is>
      </c>
      <c r="B2360">
        <f>(Skills!Y6*(1+Inputs!$B$34/100))/((Skills!Y6*(1+Inputs!$B$34/100))+(5/B2359))</f>
        <v/>
      </c>
    </row>
    <row r="2361">
      <c r="A2361" t="inlineStr">
        <is>
          <t>Attack Speed Buff Bonus %</t>
        </is>
      </c>
      <c r="B2361">
        <f>((C2345=TRUE)*F2345*IF(AND(Inputs!$B$39&lt;&gt;"pvp",Inputs!$B$44&gt;0),(((R2345-1)*(Skills!Y19*(1+Inputs!$B$34/100))+MIN((Skills!Y19*(1+Inputs!$B$34/100)),MAX(0,Inputs!$B$44-((R2345-1)*Skills!D19))))/Inputs!$B$44),IF(Inputs!$B$39="pvp",MIN((Skills!Y19*(1+Inputs!$B$34/100)),15)/15,(Skills!Y19*(1+Inputs!$B$34/100))/Skills!D19)))+((C2333=TRUE)*F2333*B2360)</f>
        <v/>
      </c>
    </row>
    <row r="2362">
      <c r="A2362" t="inlineStr">
        <is>
          <t>Actions Per Second (final)</t>
        </is>
      </c>
      <c r="B2362">
        <f>1+MIN(150,150*(1-(1-(Inputs!$B$11+((C2348=TRUE)*(F2348-Calc!F22))+(ArtifactsInput!$M$15-ArtifactsInput!$M$15)*CHOOSE(ArtifactsInput!$N$15+1,8,9.6,11.2,12.8,14.4,16))/150)*(1-B2361/150)))/100</f>
        <v/>
      </c>
    </row>
    <row r="2363">
      <c r="A2363" t="inlineStr">
        <is>
          <t>Skill + Buff Cast Rate</t>
        </is>
      </c>
      <c r="B2363">
        <f>IF(AND(Inputs!$B$39&lt;&gt;"pvp",Inputs!$B$44&gt;0),SUMPRODUCT((Skills!E2:E31=TRUE)*(C2328:C2357=TRUE)*R2328:R2357*Skills!F2:F31)/Inputs!$B$44,SUMPRODUCT((Skills!E2:E31=TRUE)*(C2328:C2357=TRUE)*Q2328:Q2357*Skills!F2:F31))</f>
        <v/>
      </c>
    </row>
    <row r="2364">
      <c r="A2364" t="inlineStr">
        <is>
          <t>Showdown Casts Per Second</t>
        </is>
      </c>
      <c r="B2364">
        <f>MAX(0,B2362-B2363)</f>
        <v/>
      </c>
    </row>
    <row r="2365">
      <c r="A2365" t="inlineStr">
        <is>
          <t>Average Buff Multiplier</t>
        </is>
      </c>
      <c r="B2365">
        <f>(1+(((C2347=TRUE)*F2347*IF(AND(Inputs!$B$39&lt;&gt;"pvp",Inputs!$B$44&gt;0),(((R2347-1)*(Skills!Y21*(1+Inputs!$B$34/100))+MIN((Skills!Y21*(1+Inputs!$B$34/100)),MAX(0,Inputs!$B$44-((R2347-1)*Skills!D21))))/Inputs!$B$44),IF(Inputs!$B$39="pvp",MIN((Skills!Y21*(1+Inputs!$B$34/100)),15)/15,(Skills!Y21*(1+Inputs!$B$34/100))/Skills!D21)))+((C2354=TRUE)*(F2354-Calc!F28))+((C2344=TRUE)*(F2344-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2341=TRUE)*F2341*IF(AND(Inputs!$B$39&lt;&gt;"pvp",Inputs!$B$44&gt;0),(((R2341-1)*(Skills!Y15*(1+Inputs!$B$34/100))+MIN((Skills!Y15*(1+Inputs!$B$34/100)),MAX(0,Inputs!$B$44-((R2341-1)*Skills!D15))))/Inputs!$B$44),IF(Inputs!$B$39="pvp",MIN((Skills!Y15*(1+Inputs!$B$34/100)),15)/15,(Skills!Y15*(1+Inputs!$B$34/100))/Skills!D15)))/100)*(1+((C2332=TRUE)*F2332*B2360)/100)</f>
        <v/>
      </c>
    </row>
    <row r="2366">
      <c r="A2366" t="inlineStr">
        <is>
          <t>Global Crit Rate Bonus %</t>
        </is>
      </c>
      <c r="B2366">
        <f>IF(Inputs!$B$3&gt;=47,8,0)+((C2346=TRUE)*F2346*IF(AND(Inputs!$B$39&lt;&gt;"pvp",Inputs!$B$44&gt;0),(((R2346-1)*(Skills!Y20*(1+Inputs!$B$34/100))+MIN((Skills!Y20*(1+Inputs!$B$34/100)),MAX(0,Inputs!$B$44-((R2346-1)*Skills!D20))))/Inputs!$B$44),IF(Inputs!$B$39="pvp",MIN((Skills!Y20*(1+Inputs!$B$34/100)),15)/15,(Skills!Y20*(1+Inputs!$B$34/100))/Skills!D20)))</f>
        <v/>
      </c>
    </row>
    <row r="2367">
      <c r="A2367" t="inlineStr">
        <is>
          <t>Global Monster Damage-Taken Bonus %</t>
        </is>
      </c>
      <c r="B2367">
        <f>IF(Inputs!$B$3&gt;=82,15,0)+((C2342=TRUE)*F2342*IF(AND(Inputs!$B$39&lt;&gt;"pvp",Inputs!$B$44&gt;0),(((R2342-1)*(Skills!Y16*(1+Inputs!$B$34/100))+MIN((Skills!Y16*(1+Inputs!$B$34/100)),MAX(0,Inputs!$B$44-((R2342-1)*Skills!D16))))/Inputs!$B$44),IF(Inputs!$B$39="pvp",MIN((Skills!Y16*(1+Inputs!$B$34/100)),15)/15,(Skills!Y16*(1+Inputs!$B$34/100))/Skills!D16)))</f>
        <v/>
      </c>
    </row>
    <row r="2368">
      <c r="A2368" t="inlineStr">
        <is>
          <t>Shadow Partner Average Multiplier</t>
        </is>
      </c>
      <c r="B2368">
        <f>1+((C2337=TRUE)*F2337*I2337*Skills!J11/100)/100</f>
        <v/>
      </c>
    </row>
    <row r="2369">
      <c r="A2369" t="inlineStr">
        <is>
          <t>Global Critical Damage Bonus % (Frailty Curse Mastery Lv.111)</t>
        </is>
      </c>
      <c r="B2369">
        <f>IF(Inputs!$B$3&gt;=111,30,0)*IF(AND(Inputs!$B$39&lt;&gt;"pvp",Inputs!$B$44&gt;0),(((R2342-1)*(Skills!Y16*(1+Inputs!$B$34/100))+MIN((Skills!Y16*(1+Inputs!$B$34/100)),MAX(0,Inputs!$B$44-((R2342-1)*Skills!D16))))/Inputs!$B$44),IF(Inputs!$B$39="pvp",MIN((Skills!Y16*(1+Inputs!$B$34/100)),15)/15,(Skills!Y16*(1+Inputs!$B$34/100))/Skills!D16))</f>
        <v/>
      </c>
    </row>
    <row r="2370">
      <c r="A2370" s="6" t="inlineStr">
        <is>
          <t>TOTAL DPS</t>
        </is>
      </c>
      <c r="B2370" s="6">
        <f>SUM(O2328:O2357)</f>
        <v/>
      </c>
    </row>
    <row r="2371">
      <c r="A2371" t="inlineStr">
        <is>
          <t>Buff-Casting Startup Delay (s, fixed-duration only)</t>
        </is>
      </c>
      <c r="B2371">
        <f>IF(AND(Inputs!$B$39&lt;&gt;"pvp",Inputs!$B$44&gt;0),SUMPRODUCT((Skills!Y2:Y31&gt;0)*(Skills!E2:E31=TRUE)*(C2328:C2357=TRUE))/B2362,0)</f>
        <v/>
      </c>
    </row>
    <row r="2372">
      <c r="A2372" t="inlineStr">
        <is>
          <t>Boss-Only Total DPS (this block's swept value)</t>
        </is>
      </c>
      <c r="B2372">
        <f>SUM(T2328:T2357)</f>
        <v/>
      </c>
    </row>
    <row r="2373">
      <c r="A2373" t="inlineStr">
        <is>
          <t>Normal-Only Total DPS (this block's swept value)</t>
        </is>
      </c>
      <c r="B2373">
        <f>SUM(V2328:V2357)</f>
        <v/>
      </c>
    </row>
    <row r="2375">
      <c r="A2375" s="6" t="inlineStr">
        <is>
          <t>Stat: Soul Contract (Equip)</t>
        </is>
      </c>
    </row>
    <row r="2376">
      <c r="A2376" s="5" t="inlineStr">
        <is>
          <t>Key</t>
        </is>
      </c>
      <c r="B2376" s="5" t="inlineStr">
        <is>
          <t>Name</t>
        </is>
      </c>
      <c r="C2376" s="5" t="inlineStr">
        <is>
          <t>Unlocked</t>
        </is>
      </c>
      <c r="D2376" s="5" t="inlineStr">
        <is>
          <t>InputLevel</t>
        </is>
      </c>
      <c r="E2376" s="5" t="inlineStr">
        <is>
          <t>Factor</t>
        </is>
      </c>
      <c r="F2376" s="5" t="inlineStr">
        <is>
          <t>CoefficientPercent</t>
        </is>
      </c>
      <c r="G2376" s="5" t="inlineStr">
        <is>
          <t>EffectiveHits</t>
        </is>
      </c>
      <c r="H2376" s="5" t="inlineStr">
        <is>
          <t>ProcProbability</t>
        </is>
      </c>
      <c r="I2376" s="5" t="inlineStr">
        <is>
          <t>MapleHeroMultiplier</t>
        </is>
      </c>
      <c r="J2376" s="5" t="inlineStr">
        <is>
          <t>BaseDamage</t>
        </is>
      </c>
      <c r="K2376" s="5" t="inlineStr">
        <is>
          <t>BaseHitDamage</t>
        </is>
      </c>
      <c r="L2376" s="5" t="inlineStr">
        <is>
          <t>NonCritAvg</t>
        </is>
      </c>
      <c r="M2376" s="5" t="inlineStr">
        <is>
          <t>CritAvg</t>
        </is>
      </c>
      <c r="N2376" s="5" t="inlineStr">
        <is>
          <t>ExpectedDamage(perHit)</t>
        </is>
      </c>
      <c r="O2376" s="5" t="inlineStr">
        <is>
          <t>DPS</t>
        </is>
      </c>
      <c r="P2376" s="5" t="inlineStr">
        <is>
          <t>% of Total</t>
        </is>
      </c>
      <c r="Q2376" s="5" t="inlineStr">
        <is>
          <t>InvCooldown</t>
        </is>
      </c>
      <c r="R2376" s="5" t="inlineStr">
        <is>
          <t>CastsInFight</t>
        </is>
      </c>
      <c r="S2376" s="5" t="inlineStr">
        <is>
          <t>HitRate(perSec)</t>
        </is>
      </c>
      <c r="U2376" t="inlineStr">
        <is>
          <t>helpers</t>
        </is>
      </c>
    </row>
    <row r="2377">
      <c r="A2377">
        <f>Skills!A2</f>
        <v/>
      </c>
      <c r="B2377">
        <f>Skills!B2</f>
        <v/>
      </c>
      <c r="C2377">
        <f>Inputs!$B$3&gt;=100</f>
        <v/>
      </c>
      <c r="D2377" t="inlineStr"/>
      <c r="E2377" t="inlineStr"/>
      <c r="F2377">
        <f>U2381+Skills!O2</f>
        <v/>
      </c>
      <c r="G2377">
        <f>Calc!G2</f>
        <v/>
      </c>
      <c r="H2377">
        <f>Calc!H2</f>
        <v/>
      </c>
      <c r="I2377">
        <f>IF(Skills!AA2&lt;&gt;"",1+(Skills!AA2/10)*(U2378/1000)/100,1)</f>
        <v/>
      </c>
      <c r="J2377">
        <f>((Inputs!$B$6*(1+Inputs!$B$7/100))+(((Inputs!$B$12*(1+Inputs!$B$13/100))-(Inputs!$B$12*(1+Inputs!$B$13/100)))+0.25*(Inputs!$B$14-Inputs!$B$14))*(1+Inputs!$B$7/100))*(F2377/100)</f>
        <v/>
      </c>
      <c r="K2377">
        <f>J2377*(1+((Inputs!$B$12*(1+Inputs!$B$13/100))*0.01+Inputs!$B$14*0.0025)/100)*(1+Inputs!$B$15/100)*(1+Inputs!$B$16/100)*(5000/(6000+Inputs!$B$43*(1-(100*(1-(1-(Inputs!$B$19+0)/100)*(1-CHOOSE(ArtifactsInput!$N$40+1,5,6,7,8,9,10)/100)^(ArtifactsInput!$M$40-ArtifactsInput!$M$40)))/100)))*(1+(Inputs!$B$24+((C2405=TRUE)*(F2405-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2398=TRUE)*(F2398-Calc!F23))+(((IF(AND(ArtifactsInput!$M$42,((Inputs!$B$9+((C2400=TRUE)*(F2400-Calc!F25))+B2415+(ArtifactsInput!$M$24-ArtifactsInput!$M$24)*CHOOSE(ArtifactsInput!$N$24+1,10,12,14,16,18,20)+IF(ArtifactsInput!$M$10,CHOOSE(ArtifactsInput!$N$10+1,15,18,21,24,27,30)*(IF(Inputs!$B$39="pvp",MIN(15,15)/15,IF(AND(Inputs!$B$39&lt;&gt;"pvp",Inputs!$B$44&gt;0),MIN(15,Inputs!$B$44)/(Inputs!$B$44),0))),0)))&gt;=100),MIN(100,((Inputs!$B$9+((C2400=TRUE)*(F2400-Calc!F25))+B2415+(ArtifactsInput!$M$24-ArtifactsInput!$M$24)*CHOOSE(ArtifactsInput!$N$24+1,10,12,14,16,18,20)+IF(ArtifactsInput!$M$10,CHOOSE(ArtifactsInput!$N$10+1,15,18,21,24,27,30)*(IF(Inputs!$B$39="pvp",MIN(15,15)/15,IF(AND(Inputs!$B$39&lt;&gt;"pvp",Inputs!$B$44&gt;0),MIN(15,Inputs!$B$44)/(Inputs!$B$44),0))),0)))-100),0))*CHOOSE(ArtifactsInput!$N$42+1,0.6,0.72,0.84,0.96,1.08,1.2))),Inputs!$B$18+((C2404=TRUE)*(F2404-Calc!F29))+(IF(AND(ArtifactsInput!$M$42,((Inputs!$B$9+((C2400=TRUE)*(F2400-Calc!F25))+B2415+(ArtifactsInput!$M$24-ArtifactsInput!$M$24)*CHOOSE(ArtifactsInput!$N$24+1,10,12,14,16,18,20)+IF(ArtifactsInput!$M$10,CHOOSE(ArtifactsInput!$N$10+1,15,18,21,24,27,30)*(IF(Inputs!$B$39="pvp",MIN(15,15)/15,IF(AND(Inputs!$B$39&lt;&gt;"pvp",Inputs!$B$44&gt;0),MIN(15,Inputs!$B$44)/(Inputs!$B$44),0))),0)))&gt;=100),CHOOSE(ArtifactsInput!$N$42+1,40,48,56,64,72,80),0))))/100)*(((1+(((C2396=TRUE)*F2396*IF(AND(Inputs!$B$39&lt;&gt;"pvp",Inputs!$B$44&gt;0),(((R2396-1)*(Skills!Y21*(1+Inputs!$B$34/100))+MIN((Skills!Y21*(1+Inputs!$B$34/100)),MAX(0,Inputs!$B$44-((R2396-1)*Skills!D21))))/Inputs!$B$44),IF(Inputs!$B$39="pvp",MIN((Skills!Y21*(1+Inputs!$B$34/100)),15)/15,(Skills!Y21*(1+Inputs!$B$34/100))/Skills!D21)))+((C2403=TRUE)*(F2403-Calc!F28))+((C2393=TRUE)*(F2393-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2390=TRUE)*F2390*IF(AND(Inputs!$B$39&lt;&gt;"pvp",Inputs!$B$44&gt;0),(((R2390-1)*(Skills!Y15*(1+Inputs!$B$34/100))+MIN((Skills!Y15*(1+Inputs!$B$34/100)),MAX(0,Inputs!$B$44-((R2390-1)*Skills!D15))))/Inputs!$B$44),IF(Inputs!$B$39="pvp",MIN((Skills!Y15*(1+Inputs!$B$34/100)),15)/15,(Skills!Y15*(1+Inputs!$B$34/100))/Skills!D15)))/100)*(1+((C2381=TRUE)*F2381*B2409)/100))*B2417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2377)</f>
        <v/>
      </c>
      <c r="L2377">
        <f>K2377*(MIN(Inputs!$B$22+((C2399=TRUE)*(F2399-Calc!F24)),(Inputs!$B$23+0+(IF(ArtifactsInput!$M$15,CHOOSE(ArtifactsInput!$N$15+1,25,30,35,40,45,50)/100*(Inputs!$B$11-Inputs!$B$11),0))))/100+(Inputs!$B$23+0+(IF(ArtifactsInput!$M$15,CHOOSE(ArtifactsInput!$N$15+1,25,30,35,40,45,50)/100*(Inputs!$B$11-Inputs!$B$11),0)))/100)/2</f>
        <v/>
      </c>
      <c r="M2377">
        <f>L2377*(1+(Inputs!$B$10+((C2401=TRUE)*(F2401-Calc!F26))+B2418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77">
        <f>L2377*(1-MIN((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2377*(MIN((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77">
        <f>(1-Summary!$B$11)*T2377+Summary!$B$11*V2377</f>
        <v/>
      </c>
      <c r="P2377">
        <f>IF(B2419=0,0,O2377/B2419)</f>
        <v/>
      </c>
      <c r="Q2377" t="n">
        <v>0</v>
      </c>
      <c r="R2377" t="n">
        <v>0</v>
      </c>
      <c r="S2377">
        <f>IFERROR(O2377/N2377,0)</f>
        <v/>
      </c>
      <c r="T2377">
        <f>IF(C2377,(Skills!G2*N2377*B2413)*IF(Inputs!$B$39="pvp",1,1+(Inputs!$B$20+((C2402=TRUE)*(F2402-Calc!F27))+Skills!P2+B2416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Hunt"),CHOOSE(ArtifactsInput!$N$35+1,15,18,21,24,27,30)*(1-EXP(-(0.2*B2411)*5)),0)+IF(AND(ArtifactsInput!$M$22,Inputs!$B$4&lt;&gt;"Chapter Hunt"),CHOOSE(ArtifactsInput!$N$22+1,10,12,14,16,18,20)*((0*(((0.15*B2411*5))^0/1)+1*(((0.15*B2411*5))^1/1)+2*(((0.15*B2411*5))^2/2)+3*(((0.15*B2411*5))^3/6)+4*(((0.15*B2411*5))^4/24)+5*(((0.15*B2411*5))^5/120))/((((0.15*B2411*5))^0/1)+(((0.15*B2411*5))^1/1)+(((0.15*B2411*5))^2/2)+(((0.15*B2411*5))^3/6)+(((0.15*B2411*5))^4/24)+(((0.15*B2411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2377*(1-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2377*(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2377*(1-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2377*(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77">
        <f>MAX(0,(Inputs!$B$3-100)*3)+Inputs!$B$28+Inputs!$B$29</f>
        <v/>
      </c>
      <c r="V2377">
        <f>IF(C2377,(Skills!G2*N2377*B2413)*IF(Inputs!$B$39="pvp",1,(1+(Inputs!$B$21+Skills!Q2+B2416+(IF(ArtifactsInput!$M$33,CHOOSE(ArtifactsInput!$N$33+1,30,36,42,48,54,60),0))+(IF(AND(ArtifactsInput!$M$35,Inputs!$B$4&lt;&gt;"Chapter Hunt"),CHOOSE(ArtifactsInput!$N$35+1,15,18,21,24,27,30)*(1-EXP(-(0.2*B2411)*5)),0)+IF(AND(ArtifactsInput!$M$22,Inputs!$B$4&lt;&gt;"Chapter Hunt"),CHOOSE(ArtifactsInput!$N$22+1,10,12,14,16,18,20)*((0*(((0.15*B2411*5))^0/1)+1*(((0.15*B2411*5))^1/1)+2*(((0.15*B2411*5))^2/2)+3*(((0.15*B2411*5))^3/6)+4*(((0.15*B2411*5))^4/24)+5*(((0.15*B2411*5))^5/120))/((((0.15*B2411*5))^0/1)+(((0.15*B2411*5))^1/1)+(((0.15*B2411*5))^2/2)+(((0.15*B2411*5))^3/6)+(((0.15*B2411*5))^4/24)+(((0.15*B2411*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78">
      <c r="A2378">
        <f>Skills!A3</f>
        <v/>
      </c>
      <c r="B2378">
        <f>Skills!B3</f>
        <v/>
      </c>
      <c r="C2378">
        <f>Inputs!$B$3&gt;=35</f>
        <v/>
      </c>
      <c r="D2378">
        <f>IF(Skills!C3=1,60+Inputs!$B$25+Inputs!$B$29,IF(Skills!C3=2,90+Inputs!$B$26+Inputs!$B$29,IF(Skills!C3=3,120+Inputs!$B$27+Inputs!$B$29,MAX(0,(Inputs!$B$3-100)*3)+Inputs!$B$28+Inputs!$B$29)))</f>
        <v/>
      </c>
      <c r="E2378">
        <f>INDEX(FactorTable!$B$2:$Y$301, MATCH(ROUND(MIN(300,MAX(1,D2378)),0), FactorTable!$A$2:$A$301,0), Skills!M3+1)</f>
        <v/>
      </c>
      <c r="F2378">
        <f>IF(Skills!N3=TRUE,(Skills!L3/10)*(E2378/1000),Skills!L3/10)+Skills!O3</f>
        <v/>
      </c>
      <c r="G2378">
        <f>Calc!G3</f>
        <v/>
      </c>
      <c r="H2378">
        <f>Calc!H3</f>
        <v/>
      </c>
      <c r="I2378">
        <f>IF(Skills!AA3&lt;&gt;"",1+(Skills!AA3/10)*(U2378/1000)/100,1)</f>
        <v/>
      </c>
      <c r="J2378">
        <f>((Inputs!$B$6*(1+Inputs!$B$7/100))+(((Inputs!$B$12*(1+Inputs!$B$13/100))-(Inputs!$B$12*(1+Inputs!$B$13/100)))+0.25*(Inputs!$B$14-Inputs!$B$14))*(1+Inputs!$B$7/100))*(F2378/100)</f>
        <v/>
      </c>
      <c r="K2378">
        <f>J2378*(1+((Inputs!$B$12*(1+Inputs!$B$13/100))*0.01+Inputs!$B$14*0.0025)/100)*(1+Inputs!$B$15/100)*(1+Inputs!$B$16/100)*(5000/(6000+Inputs!$B$43*(1-(100*(1-(1-(Inputs!$B$19+0)/100)*(1-CHOOSE(ArtifactsInput!$N$40+1,5,6,7,8,9,10)/100)^(ArtifactsInput!$M$40-ArtifactsInput!$M$40)))/100)))*(1+(Inputs!$B$24+((C2405=TRUE)*(F2405-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2398=TRUE)*(F2398-Calc!F23))+(((IF(AND(ArtifactsInput!$M$42,((Inputs!$B$9+((C2400=TRUE)*(F2400-Calc!F25))+B2415+(ArtifactsInput!$M$24-ArtifactsInput!$M$24)*CHOOSE(ArtifactsInput!$N$24+1,10,12,14,16,18,20)+IF(ArtifactsInput!$M$10,CHOOSE(ArtifactsInput!$N$10+1,15,18,21,24,27,30)*(IF(Inputs!$B$39="pvp",MIN(15,15)/15,IF(AND(Inputs!$B$39&lt;&gt;"pvp",Inputs!$B$44&gt;0),MIN(15,Inputs!$B$44)/(Inputs!$B$44),0))),0)))&gt;=100),MIN(100,((Inputs!$B$9+((C2400=TRUE)*(F2400-Calc!F25))+B2415+(ArtifactsInput!$M$24-ArtifactsInput!$M$24)*CHOOSE(ArtifactsInput!$N$24+1,10,12,14,16,18,20)+IF(ArtifactsInput!$M$10,CHOOSE(ArtifactsInput!$N$10+1,15,18,21,24,27,30)*(IF(Inputs!$B$39="pvp",MIN(15,15)/15,IF(AND(Inputs!$B$39&lt;&gt;"pvp",Inputs!$B$44&gt;0),MIN(15,Inputs!$B$44)/(Inputs!$B$44),0))),0)))-100),0))*CHOOSE(ArtifactsInput!$N$42+1,0.6,0.72,0.84,0.96,1.08,1.2))),Inputs!$B$18+((C2404=TRUE)*(F2404-Calc!F29))+(IF(AND(ArtifactsInput!$M$42,((Inputs!$B$9+((C2400=TRUE)*(F2400-Calc!F25))+B2415+(ArtifactsInput!$M$24-ArtifactsInput!$M$24)*CHOOSE(ArtifactsInput!$N$24+1,10,12,14,16,18,20)+IF(ArtifactsInput!$M$10,CHOOSE(ArtifactsInput!$N$10+1,15,18,21,24,27,30)*(IF(Inputs!$B$39="pvp",MIN(15,15)/15,IF(AND(Inputs!$B$39&lt;&gt;"pvp",Inputs!$B$44&gt;0),MIN(15,Inputs!$B$44)/(Inputs!$B$44),0))),0)))&gt;=100),CHOOSE(ArtifactsInput!$N$42+1,40,48,56,64,72,80),0))))/100)*(((1+(((C2396=TRUE)*F2396*IF(AND(Inputs!$B$39&lt;&gt;"pvp",Inputs!$B$44&gt;0),(((R2396-1)*(Skills!Y21*(1+Inputs!$B$34/100))+MIN((Skills!Y21*(1+Inputs!$B$34/100)),MAX(0,Inputs!$B$44-((R2396-1)*Skills!D21))))/Inputs!$B$44),IF(Inputs!$B$39="pvp",MIN((Skills!Y21*(1+Inputs!$B$34/100)),15)/15,(Skills!Y21*(1+Inputs!$B$34/100))/Skills!D21)))+((C2403=TRUE)*(F2403-Calc!F28))+((C2393=TRUE)*(F2393-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2390=TRUE)*F2390*IF(AND(Inputs!$B$39&lt;&gt;"pvp",Inputs!$B$44&gt;0),(((R2390-1)*(Skills!Y15*(1+Inputs!$B$34/100))+MIN((Skills!Y15*(1+Inputs!$B$34/100)),MAX(0,Inputs!$B$44-((R2390-1)*Skills!D15))))/Inputs!$B$44),IF(Inputs!$B$39="pvp",MIN((Skills!Y15*(1+Inputs!$B$34/100)),15)/15,(Skills!Y15*(1+Inputs!$B$34/100))/Skills!D15)))/100)*(1+((C2381=TRUE)*F2381*B2409)/100))*B2417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2378)</f>
        <v/>
      </c>
      <c r="L2378">
        <f>K2378*(MIN(Inputs!$B$22+((C2399=TRUE)*(F2399-Calc!F24)),(Inputs!$B$23+0+(IF(ArtifactsInput!$M$15,CHOOSE(ArtifactsInput!$N$15+1,25,30,35,40,45,50)/100*(Inputs!$B$11-Inputs!$B$11),0))))/100+(Inputs!$B$23+0+(IF(ArtifactsInput!$M$15,CHOOSE(ArtifactsInput!$N$15+1,25,30,35,40,45,50)/100*(Inputs!$B$11-Inputs!$B$11),0)))/100)/2</f>
        <v/>
      </c>
      <c r="M2378">
        <f>L2378*(1+(Inputs!$B$10+((C2401=TRUE)*(F2401-Calc!F26))+B2418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78">
        <f>L2378*(1-MIN((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2378*(MIN((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78">
        <f>(1-Summary!$B$11)*T2378+Summary!$B$11*V2378</f>
        <v/>
      </c>
      <c r="P2378">
        <f>IF(B2419=0,0,O2378/B2419)</f>
        <v/>
      </c>
      <c r="Q2378">
        <f>IFERROR(1/IF(Inputs!$B$39="pvp",15,MAX(0.1,Skills!D3-IF(Skills!E3=TRUE,Inputs!$B$32,0))),0)</f>
        <v/>
      </c>
      <c r="R2378">
        <f>IF(AND(Inputs!$B$39&lt;&gt;"pvp",Inputs!$B$44&gt;0),IF(MAX(0,Inputs!$B$44-B2420)&lt;=0,0,(INT(MAX(0,Inputs!$B$44-B2420)/IF(Inputs!$B$39="pvp",15,MAX(0.1,Skills!D3-IF(Skills!E3=TRUE,Inputs!$B$32,0))))+1)),0)</f>
        <v/>
      </c>
      <c r="S2378">
        <f>IFERROR(O2378/N2378,0)</f>
        <v/>
      </c>
      <c r="T2378">
        <f>IF(C2378,(H2378*N2378*IF(AND(Inputs!$B$39&lt;&gt;"pvp",Inputs!$B$44&gt;0),((Skills!G3*((R2378-1)*IF(Skills!H3&gt;0,Skills!I3/Skills!H3,1)+IF(Skills!H3&gt;0,MIN(Skills!I3,MAX(0,MAX(0,Inputs!$B$44-B2420)-((R2378-1)*IF(Inputs!$B$39="pvp",15,MAX(0.1,Skills!D3-IF(Skills!E3=TRUE,Inputs!$B$32,0))))))/Skills!H3,1)))/Inputs!$B$44),G2378*Q2378))*IF(Inputs!$B$39="pvp",1,1+(Inputs!$B$20+((C2402=TRUE)*(F2402-Calc!F27))+Skills!P3+B2416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Hunt"),CHOOSE(ArtifactsInput!$N$35+1,15,18,21,24,27,30)*(1-EXP(-(0.2*B2411)*5)),0)+IF(AND(ArtifactsInput!$M$22,Inputs!$B$4&lt;&gt;"Chapter Hunt"),CHOOSE(ArtifactsInput!$N$22+1,10,12,14,16,18,20)*((0*(((0.15*B2411*5))^0/1)+1*(((0.15*B2411*5))^1/1)+2*(((0.15*B2411*5))^2/2)+3*(((0.15*B2411*5))^3/6)+4*(((0.15*B2411*5))^4/24)+5*(((0.15*B2411*5))^5/120))/((((0.15*B2411*5))^0/1)+(((0.15*B2411*5))^1/1)+(((0.15*B2411*5))^2/2)+(((0.15*B2411*5))^3/6)+(((0.15*B2411*5))^4/24)+(((0.15*B2411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2378*(1-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2378*(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2378*(1-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2378*(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78">
        <f>INDEX(FactorTable!$B$2:$Y$301, MATCH(ROUND(MIN(300,MAX(1,U2377)),0), FactorTable!$A$2:$A$301,0), 24)</f>
        <v/>
      </c>
      <c r="V2378">
        <f>IF(C2378,(H2378*N2378*IF(AND(Inputs!$B$39&lt;&gt;"pvp",Inputs!$B$44&gt;0),((Skills!G3*((R2378-1)*IF(Skills!H3&gt;0,Skills!I3/Skills!H3,1)+IF(Skills!H3&gt;0,MIN(Skills!I3,MAX(0,MAX(0,Inputs!$B$44-B2420)-((R2378-1)*IF(Inputs!$B$39="pvp",15,MAX(0.1,Skills!D3-IF(Skills!E3=TRUE,Inputs!$B$32,0))))))/Skills!H3,1)))/Inputs!$B$44),G2378*Q2378))*IF(Inputs!$B$39="pvp",1,(1+(Inputs!$B$21+Skills!Q3+B2416+(IF(ArtifactsInput!$M$33,CHOOSE(ArtifactsInput!$N$33+1,30,36,42,48,54,60),0))+(IF(AND(ArtifactsInput!$M$35,Inputs!$B$4&lt;&gt;"Chapter Hunt"),CHOOSE(ArtifactsInput!$N$35+1,15,18,21,24,27,30)*(1-EXP(-(0.2*B2411)*5)),0)+IF(AND(ArtifactsInput!$M$22,Inputs!$B$4&lt;&gt;"Chapter Hunt"),CHOOSE(ArtifactsInput!$N$22+1,10,12,14,16,18,20)*((0*(((0.15*B2411*5))^0/1)+1*(((0.15*B2411*5))^1/1)+2*(((0.15*B2411*5))^2/2)+3*(((0.15*B2411*5))^3/6)+4*(((0.15*B2411*5))^4/24)+5*(((0.15*B2411*5))^5/120))/((((0.15*B2411*5))^0/1)+(((0.15*B2411*5))^1/1)+(((0.15*B2411*5))^2/2)+(((0.15*B2411*5))^3/6)+(((0.15*B2411*5))^4/24)+(((0.15*B2411*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79">
      <c r="A2379">
        <f>Skills!A4</f>
        <v/>
      </c>
      <c r="B2379">
        <f>Skills!B4</f>
        <v/>
      </c>
      <c r="C2379">
        <f>Inputs!$B$3&gt;=40</f>
        <v/>
      </c>
      <c r="D2379">
        <f>IF(Skills!C4=1,60+Inputs!$B$25+Inputs!$B$29,IF(Skills!C4=2,90+Inputs!$B$26+Inputs!$B$29,IF(Skills!C4=3,120+Inputs!$B$27+Inputs!$B$29,MAX(0,(Inputs!$B$3-100)*3)+Inputs!$B$28+Inputs!$B$29)))</f>
        <v/>
      </c>
      <c r="E2379">
        <f>INDEX(FactorTable!$B$2:$Y$301, MATCH(ROUND(MIN(300,MAX(1,D2379)),0), FactorTable!$A$2:$A$301,0), Skills!M4+1)</f>
        <v/>
      </c>
      <c r="F2379">
        <f>IF(Skills!N4=TRUE,(Skills!L4/10)*(E2379/1000),Skills!L4/10)+Skills!O4</f>
        <v/>
      </c>
      <c r="G2379">
        <f>Calc!G4</f>
        <v/>
      </c>
      <c r="H2379">
        <f>Calc!H4</f>
        <v/>
      </c>
      <c r="I2379">
        <f>IF(Skills!AA4&lt;&gt;"",1+(Skills!AA4/10)*(U2378/1000)/100,1)</f>
        <v/>
      </c>
      <c r="J2379">
        <f>((Inputs!$B$6*(1+Inputs!$B$7/100))+(((Inputs!$B$12*(1+Inputs!$B$13/100))-(Inputs!$B$12*(1+Inputs!$B$13/100)))+0.25*(Inputs!$B$14-Inputs!$B$14))*(1+Inputs!$B$7/100))*(F2379/100)</f>
        <v/>
      </c>
      <c r="K2379">
        <f>J2379*(1+((Inputs!$B$12*(1+Inputs!$B$13/100))*0.01+Inputs!$B$14*0.0025)/100)*(1+Inputs!$B$15/100)*(1+Inputs!$B$16/100)*(5000/(6000+Inputs!$B$43*(1-(100*(1-(1-(Inputs!$B$19+0)/100)*(1-CHOOSE(ArtifactsInput!$N$40+1,5,6,7,8,9,10)/100)^(ArtifactsInput!$M$40-ArtifactsInput!$M$40)))/100)))*(1+(Inputs!$B$24+((C2405=TRUE)*(F2405-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2398=TRUE)*(F2398-Calc!F23))+(((IF(AND(ArtifactsInput!$M$42,((Inputs!$B$9+((C2400=TRUE)*(F2400-Calc!F25))+B2415+(ArtifactsInput!$M$24-ArtifactsInput!$M$24)*CHOOSE(ArtifactsInput!$N$24+1,10,12,14,16,18,20)+IF(ArtifactsInput!$M$10,CHOOSE(ArtifactsInput!$N$10+1,15,18,21,24,27,30)*(IF(Inputs!$B$39="pvp",MIN(15,15)/15,IF(AND(Inputs!$B$39&lt;&gt;"pvp",Inputs!$B$44&gt;0),MIN(15,Inputs!$B$44)/(Inputs!$B$44),0))),0)))&gt;=100),MIN(100,((Inputs!$B$9+((C2400=TRUE)*(F2400-Calc!F25))+B2415+(ArtifactsInput!$M$24-ArtifactsInput!$M$24)*CHOOSE(ArtifactsInput!$N$24+1,10,12,14,16,18,20)+IF(ArtifactsInput!$M$10,CHOOSE(ArtifactsInput!$N$10+1,15,18,21,24,27,30)*(IF(Inputs!$B$39="pvp",MIN(15,15)/15,IF(AND(Inputs!$B$39&lt;&gt;"pvp",Inputs!$B$44&gt;0),MIN(15,Inputs!$B$44)/(Inputs!$B$44),0))),0)))-100),0))*CHOOSE(ArtifactsInput!$N$42+1,0.6,0.72,0.84,0.96,1.08,1.2))),Inputs!$B$18+((C2404=TRUE)*(F2404-Calc!F29))+(IF(AND(ArtifactsInput!$M$42,((Inputs!$B$9+((C2400=TRUE)*(F2400-Calc!F25))+B2415+(ArtifactsInput!$M$24-ArtifactsInput!$M$24)*CHOOSE(ArtifactsInput!$N$24+1,10,12,14,16,18,20)+IF(ArtifactsInput!$M$10,CHOOSE(ArtifactsInput!$N$10+1,15,18,21,24,27,30)*(IF(Inputs!$B$39="pvp",MIN(15,15)/15,IF(AND(Inputs!$B$39&lt;&gt;"pvp",Inputs!$B$44&gt;0),MIN(15,Inputs!$B$44)/(Inputs!$B$44),0))),0)))&gt;=100),CHOOSE(ArtifactsInput!$N$42+1,40,48,56,64,72,80),0))))/100)*(((1+(((C2396=TRUE)*F2396*IF(AND(Inputs!$B$39&lt;&gt;"pvp",Inputs!$B$44&gt;0),(((R2396-1)*(Skills!Y21*(1+Inputs!$B$34/100))+MIN((Skills!Y21*(1+Inputs!$B$34/100)),MAX(0,Inputs!$B$44-((R2396-1)*Skills!D21))))/Inputs!$B$44),IF(Inputs!$B$39="pvp",MIN((Skills!Y21*(1+Inputs!$B$34/100)),15)/15,(Skills!Y21*(1+Inputs!$B$34/100))/Skills!D21)))+((C2403=TRUE)*(F2403-Calc!F28))+((C2393=TRUE)*(F2393-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2390=TRUE)*F2390*IF(AND(Inputs!$B$39&lt;&gt;"pvp",Inputs!$B$44&gt;0),(((R2390-1)*(Skills!Y15*(1+Inputs!$B$34/100))+MIN((Skills!Y15*(1+Inputs!$B$34/100)),MAX(0,Inputs!$B$44-((R2390-1)*Skills!D15))))/Inputs!$B$44),IF(Inputs!$B$39="pvp",MIN((Skills!Y15*(1+Inputs!$B$34/100)),15)/15,(Skills!Y15*(1+Inputs!$B$34/100))/Skills!D15)))/100)*(1+((C2381=TRUE)*F2381*B2409)/100))*B2417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2379)</f>
        <v/>
      </c>
      <c r="L2379">
        <f>K2379*(MIN(Inputs!$B$22+((C2399=TRUE)*(F2399-Calc!F24)),(Inputs!$B$23+0+(IF(ArtifactsInput!$M$15,CHOOSE(ArtifactsInput!$N$15+1,25,30,35,40,45,50)/100*(Inputs!$B$11-Inputs!$B$11),0))))/100+(Inputs!$B$23+0+(IF(ArtifactsInput!$M$15,CHOOSE(ArtifactsInput!$N$15+1,25,30,35,40,45,50)/100*(Inputs!$B$11-Inputs!$B$11),0)))/100)/2</f>
        <v/>
      </c>
      <c r="M2379">
        <f>L2379*(1+(Inputs!$B$10+((C2401=TRUE)*(F2401-Calc!F26))+B2418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79">
        <f>L2379*(1-MIN((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2379*(MIN((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79">
        <f>(1-Summary!$B$11)*T2379+Summary!$B$11*V2379</f>
        <v/>
      </c>
      <c r="P2379">
        <f>IF(B2419=0,0,O2379/B2419)</f>
        <v/>
      </c>
      <c r="Q2379">
        <f>IFERROR(1/IF(Inputs!$B$39="pvp",15,MAX(0.1,Skills!D4-IF(Skills!E4=TRUE,Inputs!$B$32,0))),0)</f>
        <v/>
      </c>
      <c r="R2379">
        <f>IF(AND(Inputs!$B$39&lt;&gt;"pvp",Inputs!$B$44&gt;0),IF(MAX(0,Inputs!$B$44-B2420)&lt;=0,0,(INT(MAX(0,Inputs!$B$44-B2420)/IF(Inputs!$B$39="pvp",15,MAX(0.1,Skills!D4-IF(Skills!E4=TRUE,Inputs!$B$32,0))))+1)),0)</f>
        <v/>
      </c>
      <c r="S2379">
        <f>IFERROR(O2379/N2379,0)</f>
        <v/>
      </c>
      <c r="T2379">
        <f>IF(C2379,(H2379*N2379*IF(AND(Inputs!$B$39&lt;&gt;"pvp",Inputs!$B$44&gt;0),((Skills!G4*((R2379-1)*IF(Skills!H4&gt;0,Skills!I4/Skills!H4,1)+IF(Skills!H4&gt;0,MIN(Skills!I4,MAX(0,MAX(0,Inputs!$B$44-B2420)-((R2379-1)*IF(Inputs!$B$39="pvp",15,MAX(0.1,Skills!D4-IF(Skills!E4=TRUE,Inputs!$B$32,0))))))/Skills!H4,1)))/Inputs!$B$44),G2379*Q2379))*IF(Inputs!$B$39="pvp",1,1+(Inputs!$B$20+((C2402=TRUE)*(F2402-Calc!F27))+Skills!P4+B2416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Hunt"),CHOOSE(ArtifactsInput!$N$35+1,15,18,21,24,27,30)*(1-EXP(-(0.2*B2411)*5)),0)+IF(AND(ArtifactsInput!$M$22,Inputs!$B$4&lt;&gt;"Chapter Hunt"),CHOOSE(ArtifactsInput!$N$22+1,10,12,14,16,18,20)*((0*(((0.15*B2411*5))^0/1)+1*(((0.15*B2411*5))^1/1)+2*(((0.15*B2411*5))^2/2)+3*(((0.15*B2411*5))^3/6)+4*(((0.15*B2411*5))^4/24)+5*(((0.15*B2411*5))^5/120))/((((0.15*B2411*5))^0/1)+(((0.15*B2411*5))^1/1)+(((0.15*B2411*5))^2/2)+(((0.15*B2411*5))^3/6)+(((0.15*B2411*5))^4/24)+(((0.15*B2411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2379*(1-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2379*(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2379*(1-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2379*(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79">
        <f>MAX(0,(Inputs!$B$3-100)*3)+Inputs!$B$28+Inputs!$B$29</f>
        <v/>
      </c>
      <c r="V2379">
        <f>IF(C2379,(H2379*N2379*IF(AND(Inputs!$B$39&lt;&gt;"pvp",Inputs!$B$44&gt;0),((Skills!G4*((R2379-1)*IF(Skills!H4&gt;0,Skills!I4/Skills!H4,1)+IF(Skills!H4&gt;0,MIN(Skills!I4,MAX(0,MAX(0,Inputs!$B$44-B2420)-((R2379-1)*IF(Inputs!$B$39="pvp",15,MAX(0.1,Skills!D4-IF(Skills!E4=TRUE,Inputs!$B$32,0))))))/Skills!H4,1)))/Inputs!$B$44),G2379*Q2379))*IF(Inputs!$B$39="pvp",1,(1+(Inputs!$B$21+Skills!Q4+B2416+(IF(ArtifactsInput!$M$33,CHOOSE(ArtifactsInput!$N$33+1,30,36,42,48,54,60),0))+(IF(AND(ArtifactsInput!$M$35,Inputs!$B$4&lt;&gt;"Chapter Hunt"),CHOOSE(ArtifactsInput!$N$35+1,15,18,21,24,27,30)*(1-EXP(-(0.2*B2411)*5)),0)+IF(AND(ArtifactsInput!$M$22,Inputs!$B$4&lt;&gt;"Chapter Hunt"),CHOOSE(ArtifactsInput!$N$22+1,10,12,14,16,18,20)*((0*(((0.15*B2411*5))^0/1)+1*(((0.15*B2411*5))^1/1)+2*(((0.15*B2411*5))^2/2)+3*(((0.15*B2411*5))^3/6)+4*(((0.15*B2411*5))^4/24)+5*(((0.15*B2411*5))^5/120))/((((0.15*B2411*5))^0/1)+(((0.15*B2411*5))^1/1)+(((0.15*B2411*5))^2/2)+(((0.15*B2411*5))^3/6)+(((0.15*B2411*5))^4/24)+(((0.15*B2411*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80">
      <c r="A2380">
        <f>Skills!A5</f>
        <v/>
      </c>
      <c r="B2380">
        <f>Skills!B5</f>
        <v/>
      </c>
      <c r="C2380">
        <f>Inputs!$B$3&gt;=63</f>
        <v/>
      </c>
      <c r="D2380">
        <f>IF(Skills!C5=1,60+Inputs!$B$25+Inputs!$B$29,IF(Skills!C5=2,90+Inputs!$B$26+Inputs!$B$29,IF(Skills!C5=3,120+Inputs!$B$27+Inputs!$B$29,MAX(0,(Inputs!$B$3-100)*3)+Inputs!$B$28+Inputs!$B$29)))</f>
        <v/>
      </c>
      <c r="E2380">
        <f>INDEX(FactorTable!$B$2:$Y$301, MATCH(ROUND(MIN(300,MAX(1,D2380)),0), FactorTable!$A$2:$A$301,0), Skills!M5+1)</f>
        <v/>
      </c>
      <c r="F2380">
        <f>IF(Skills!N5=TRUE,(Skills!L5/10)*(E2380/1000),Skills!L5/10)+Skills!O5</f>
        <v/>
      </c>
      <c r="G2380">
        <f>Calc!G5</f>
        <v/>
      </c>
      <c r="H2380">
        <f>Calc!H5</f>
        <v/>
      </c>
      <c r="I2380">
        <f>IF(Skills!AA5&lt;&gt;"",1+(Skills!AA5/10)*(U2378/1000)/100,1)</f>
        <v/>
      </c>
      <c r="J2380">
        <f>((Inputs!$B$6*(1+Inputs!$B$7/100))+(((Inputs!$B$12*(1+Inputs!$B$13/100))-(Inputs!$B$12*(1+Inputs!$B$13/100)))+0.25*(Inputs!$B$14-Inputs!$B$14))*(1+Inputs!$B$7/100))*(F2380/100)</f>
        <v/>
      </c>
      <c r="K2380">
        <f>J2380*(1+((Inputs!$B$12*(1+Inputs!$B$13/100))*0.01+Inputs!$B$14*0.0025)/100)*(1+Inputs!$B$15/100)*(1+Inputs!$B$16/100)*(5000/(6000+Inputs!$B$43*(1-(100*(1-(1-(Inputs!$B$19+0)/100)*(1-CHOOSE(ArtifactsInput!$N$40+1,5,6,7,8,9,10)/100)^(ArtifactsInput!$M$40-ArtifactsInput!$M$40)))/100)))*(1+(Inputs!$B$24+((C2405=TRUE)*(F2405-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2398=TRUE)*(F2398-Calc!F23))+(((IF(AND(ArtifactsInput!$M$42,((Inputs!$B$9+((C2400=TRUE)*(F2400-Calc!F25))+B2415+(ArtifactsInput!$M$24-ArtifactsInput!$M$24)*CHOOSE(ArtifactsInput!$N$24+1,10,12,14,16,18,20)+IF(ArtifactsInput!$M$10,CHOOSE(ArtifactsInput!$N$10+1,15,18,21,24,27,30)*(IF(Inputs!$B$39="pvp",MIN(15,15)/15,IF(AND(Inputs!$B$39&lt;&gt;"pvp",Inputs!$B$44&gt;0),MIN(15,Inputs!$B$44)/(Inputs!$B$44),0))),0)))&gt;=100),MIN(100,((Inputs!$B$9+((C2400=TRUE)*(F2400-Calc!F25))+B2415+(ArtifactsInput!$M$24-ArtifactsInput!$M$24)*CHOOSE(ArtifactsInput!$N$24+1,10,12,14,16,18,20)+IF(ArtifactsInput!$M$10,CHOOSE(ArtifactsInput!$N$10+1,15,18,21,24,27,30)*(IF(Inputs!$B$39="pvp",MIN(15,15)/15,IF(AND(Inputs!$B$39&lt;&gt;"pvp",Inputs!$B$44&gt;0),MIN(15,Inputs!$B$44)/(Inputs!$B$44),0))),0)))-100),0))*CHOOSE(ArtifactsInput!$N$42+1,0.6,0.72,0.84,0.96,1.08,1.2))),Inputs!$B$18+((C2404=TRUE)*(F2404-Calc!F29))+(IF(AND(ArtifactsInput!$M$42,((Inputs!$B$9+((C2400=TRUE)*(F2400-Calc!F25))+B2415+(ArtifactsInput!$M$24-ArtifactsInput!$M$24)*CHOOSE(ArtifactsInput!$N$24+1,10,12,14,16,18,20)+IF(ArtifactsInput!$M$10,CHOOSE(ArtifactsInput!$N$10+1,15,18,21,24,27,30)*(IF(Inputs!$B$39="pvp",MIN(15,15)/15,IF(AND(Inputs!$B$39&lt;&gt;"pvp",Inputs!$B$44&gt;0),MIN(15,Inputs!$B$44)/(Inputs!$B$44),0))),0)))&gt;=100),CHOOSE(ArtifactsInput!$N$42+1,40,48,56,64,72,80),0))))/100)*(((1+(((C2396=TRUE)*F2396*IF(AND(Inputs!$B$39&lt;&gt;"pvp",Inputs!$B$44&gt;0),(((R2396-1)*(Skills!Y21*(1+Inputs!$B$34/100))+MIN((Skills!Y21*(1+Inputs!$B$34/100)),MAX(0,Inputs!$B$44-((R2396-1)*Skills!D21))))/Inputs!$B$44),IF(Inputs!$B$39="pvp",MIN((Skills!Y21*(1+Inputs!$B$34/100)),15)/15,(Skills!Y21*(1+Inputs!$B$34/100))/Skills!D21)))+((C2403=TRUE)*(F2403-Calc!F28))+((C2393=TRUE)*(F2393-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2390=TRUE)*F2390*IF(AND(Inputs!$B$39&lt;&gt;"pvp",Inputs!$B$44&gt;0),(((R2390-1)*(Skills!Y15*(1+Inputs!$B$34/100))+MIN((Skills!Y15*(1+Inputs!$B$34/100)),MAX(0,Inputs!$B$44-((R2390-1)*Skills!D15))))/Inputs!$B$44),IF(Inputs!$B$39="pvp",MIN((Skills!Y15*(1+Inputs!$B$34/100)),15)/15,(Skills!Y15*(1+Inputs!$B$34/100))/Skills!D15)))/100)*(1+((C2381=TRUE)*F2381*B2409)/100))*B2417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2380)</f>
        <v/>
      </c>
      <c r="L2380">
        <f>K2380*(MIN(Inputs!$B$22+((C2399=TRUE)*(F2399-Calc!F24)),(Inputs!$B$23+0+(IF(ArtifactsInput!$M$15,CHOOSE(ArtifactsInput!$N$15+1,25,30,35,40,45,50)/100*(Inputs!$B$11-Inputs!$B$11),0))))/100+(Inputs!$B$23+0+(IF(ArtifactsInput!$M$15,CHOOSE(ArtifactsInput!$N$15+1,25,30,35,40,45,50)/100*(Inputs!$B$11-Inputs!$B$11),0)))/100)/2</f>
        <v/>
      </c>
      <c r="M2380">
        <f>L2380*(1+(Inputs!$B$10+((C2401=TRUE)*(F2401-Calc!F26))+B2418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80">
        <f>L2380*(1-MIN((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2380*(MIN((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80">
        <f>(1-Summary!$B$11)*T2380+Summary!$B$11*V2380</f>
        <v/>
      </c>
      <c r="P2380">
        <f>IF(B2419=0,0,O2380/B2419)</f>
        <v/>
      </c>
      <c r="Q2380">
        <f>IFERROR(1/IF(Inputs!$B$39="pvp",15,MAX(0.1,Skills!D5-IF(Skills!E5=TRUE,Inputs!$B$32,0))),0)</f>
        <v/>
      </c>
      <c r="R2380">
        <f>IF(AND(Inputs!$B$39&lt;&gt;"pvp",Inputs!$B$44&gt;0),IF(MAX(0,Inputs!$B$44-B2420)&lt;=0,0,(INT(MAX(0,Inputs!$B$44-B2420)/IF(Inputs!$B$39="pvp",15,MAX(0.1,Skills!D5-IF(Skills!E5=TRUE,Inputs!$B$32,0))))+1)),0)</f>
        <v/>
      </c>
      <c r="S2380">
        <f>IFERROR(O2380/N2380,0)</f>
        <v/>
      </c>
      <c r="T2380">
        <f>IF(C2380,(H2380*N2380*IF(AND(Inputs!$B$39&lt;&gt;"pvp",Inputs!$B$44&gt;0),((Skills!G5*((R2380-1)*IF(Skills!H5&gt;0,Skills!I5/Skills!H5,1)+IF(Skills!H5&gt;0,MIN(Skills!I5,MAX(0,MAX(0,Inputs!$B$44-B2420)-((R2380-1)*IF(Inputs!$B$39="pvp",15,MAX(0.1,Skills!D5-IF(Skills!E5=TRUE,Inputs!$B$32,0))))))/Skills!H5,1)))/Inputs!$B$44),G2380*Q2380))*IF(Inputs!$B$39="pvp",1,1+(Inputs!$B$20+((C2402=TRUE)*(F2402-Calc!F27))+Skills!P5+B2416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Hunt"),CHOOSE(ArtifactsInput!$N$35+1,15,18,21,24,27,30)*(1-EXP(-(0.2*B2411)*5)),0)+IF(AND(ArtifactsInput!$M$22,Inputs!$B$4&lt;&gt;"Chapter Hunt"),CHOOSE(ArtifactsInput!$N$22+1,10,12,14,16,18,20)*((0*(((0.15*B2411*5))^0/1)+1*(((0.15*B2411*5))^1/1)+2*(((0.15*B2411*5))^2/2)+3*(((0.15*B2411*5))^3/6)+4*(((0.15*B2411*5))^4/24)+5*(((0.15*B2411*5))^5/120))/((((0.15*B2411*5))^0/1)+(((0.15*B2411*5))^1/1)+(((0.15*B2411*5))^2/2)+(((0.15*B2411*5))^3/6)+(((0.15*B2411*5))^4/24)+(((0.15*B2411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2380*(1-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2380*(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2380*(1-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2380*(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80">
        <f>INDEX(FactorTable!$B$2:$Y$301, MATCH(ROUND(MIN(300,MAX(1,U2379)),0), FactorTable!$A$2:$A$301,0), 22)</f>
        <v/>
      </c>
      <c r="V2380">
        <f>IF(C2380,(H2380*N2380*IF(AND(Inputs!$B$39&lt;&gt;"pvp",Inputs!$B$44&gt;0),((Skills!G5*((R2380-1)*IF(Skills!H5&gt;0,Skills!I5/Skills!H5,1)+IF(Skills!H5&gt;0,MIN(Skills!I5,MAX(0,MAX(0,Inputs!$B$44-B2420)-((R2380-1)*IF(Inputs!$B$39="pvp",15,MAX(0.1,Skills!D5-IF(Skills!E5=TRUE,Inputs!$B$32,0))))))/Skills!H5,1)))/Inputs!$B$44),G2380*Q2380))*IF(Inputs!$B$39="pvp",1,(1+(Inputs!$B$21+Skills!Q5+B2416+(IF(ArtifactsInput!$M$33,CHOOSE(ArtifactsInput!$N$33+1,30,36,42,48,54,60),0))+(IF(AND(ArtifactsInput!$M$35,Inputs!$B$4&lt;&gt;"Chapter Hunt"),CHOOSE(ArtifactsInput!$N$35+1,15,18,21,24,27,30)*(1-EXP(-(0.2*B2411)*5)),0)+IF(AND(ArtifactsInput!$M$22,Inputs!$B$4&lt;&gt;"Chapter Hunt"),CHOOSE(ArtifactsInput!$N$22+1,10,12,14,16,18,20)*((0*(((0.15*B2411*5))^0/1)+1*(((0.15*B2411*5))^1/1)+2*(((0.15*B2411*5))^2/2)+3*(((0.15*B2411*5))^3/6)+4*(((0.15*B2411*5))^4/24)+5*(((0.15*B2411*5))^5/120))/((((0.15*B2411*5))^0/1)+(((0.15*B2411*5))^1/1)+(((0.15*B2411*5))^2/2)+(((0.15*B2411*5))^3/6)+(((0.15*B2411*5))^4/24)+(((0.15*B2411*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81">
      <c r="A2381">
        <f>Skills!A6</f>
        <v/>
      </c>
      <c r="B2381">
        <f>Skills!B6</f>
        <v/>
      </c>
      <c r="C2381">
        <f>Inputs!$B$3&gt;=66</f>
        <v/>
      </c>
      <c r="D2381">
        <f>IF(Skills!C6=1,60+Inputs!$B$25+Inputs!$B$29,IF(Skills!C6=2,90+Inputs!$B$26+Inputs!$B$29,IF(Skills!C6=3,120+Inputs!$B$27+Inputs!$B$29,MAX(0,(Inputs!$B$3-100)*3)+Inputs!$B$28+Inputs!$B$29)))</f>
        <v/>
      </c>
      <c r="E2381">
        <f>INDEX(FactorTable!$B$2:$Y$301, MATCH(ROUND(MIN(300,MAX(1,D2381)),0), FactorTable!$A$2:$A$301,0), Skills!M6+1)</f>
        <v/>
      </c>
      <c r="F2381">
        <f>IF(Skills!N6=TRUE,(Skills!L6/10)*(E2381/1000),Skills!L6/10)+Skills!O6</f>
        <v/>
      </c>
      <c r="G2381">
        <f>Calc!G6</f>
        <v/>
      </c>
      <c r="H2381">
        <f>Calc!H6</f>
        <v/>
      </c>
      <c r="I2381">
        <f>IF(Skills!AA6&lt;&gt;"",1+(Skills!AA6/10)*(U2378/1000)/100,1)</f>
        <v/>
      </c>
      <c r="J2381" t="inlineStr"/>
      <c r="K2381" t="inlineStr"/>
      <c r="L2381" t="inlineStr"/>
      <c r="M2381" t="inlineStr"/>
      <c r="N2381" t="inlineStr"/>
      <c r="O2381">
        <f>(1-Summary!$B$11)*T2381+Summary!$B$11*V2381</f>
        <v/>
      </c>
      <c r="P2381">
        <f>IF(B2419=0,0,O2381/B2419)</f>
        <v/>
      </c>
      <c r="Q2381" t="n">
        <v>0</v>
      </c>
      <c r="R2381" t="n">
        <v>0</v>
      </c>
      <c r="S2381">
        <f>IFERROR(O2381/N2381,0)</f>
        <v/>
      </c>
      <c r="T2381" t="n">
        <v>0</v>
      </c>
      <c r="U2381">
        <f>290*U2380/1000</f>
        <v/>
      </c>
      <c r="V2381" t="n">
        <v>0</v>
      </c>
    </row>
    <row r="2382">
      <c r="A2382">
        <f>Skills!A7</f>
        <v/>
      </c>
      <c r="B2382">
        <f>Skills!B7</f>
        <v/>
      </c>
      <c r="C2382">
        <f>Inputs!$B$3&gt;=66</f>
        <v/>
      </c>
      <c r="D2382">
        <f>IF(Skills!C7=1,60+Inputs!$B$25+Inputs!$B$29,IF(Skills!C7=2,90+Inputs!$B$26+Inputs!$B$29,IF(Skills!C7=3,120+Inputs!$B$27+Inputs!$B$29,MAX(0,(Inputs!$B$3-100)*3)+Inputs!$B$28+Inputs!$B$29)))</f>
        <v/>
      </c>
      <c r="E2382">
        <f>INDEX(FactorTable!$B$2:$Y$301, MATCH(ROUND(MIN(300,MAX(1,D2382)),0), FactorTable!$A$2:$A$301,0), Skills!M7+1)</f>
        <v/>
      </c>
      <c r="F2382">
        <f>IF(Skills!N7=TRUE,(Skills!L7/10)*(E2382/1000),Skills!L7/10)+Skills!O7</f>
        <v/>
      </c>
      <c r="G2382">
        <f>Calc!G7</f>
        <v/>
      </c>
      <c r="H2382">
        <f>Calc!H7</f>
        <v/>
      </c>
      <c r="I2382">
        <f>IF(Skills!AA7&lt;&gt;"",1+(Skills!AA7/10)*(U2378/1000)/100,1)</f>
        <v/>
      </c>
      <c r="J2382" t="inlineStr"/>
      <c r="K2382" t="inlineStr"/>
      <c r="L2382" t="inlineStr"/>
      <c r="M2382" t="inlineStr"/>
      <c r="N2382" t="inlineStr"/>
      <c r="O2382">
        <f>(1-Summary!$B$11)*T2382+Summary!$B$11*V2382</f>
        <v/>
      </c>
      <c r="P2382">
        <f>IF(B2419=0,0,O2382/B2419)</f>
        <v/>
      </c>
      <c r="Q2382" t="n">
        <v>0</v>
      </c>
      <c r="R2382" t="n">
        <v>0</v>
      </c>
      <c r="S2382">
        <f>IFERROR(O2382/N2382,0)</f>
        <v/>
      </c>
      <c r="T2382" t="n">
        <v>0</v>
      </c>
      <c r="V2382" t="n">
        <v>0</v>
      </c>
    </row>
    <row r="2383">
      <c r="A2383">
        <f>Skills!A8</f>
        <v/>
      </c>
      <c r="B2383">
        <f>Skills!B8</f>
        <v/>
      </c>
      <c r="C2383">
        <f>Inputs!$B$3&gt;=69</f>
        <v/>
      </c>
      <c r="D2383">
        <f>IF(Skills!C8=1,60+Inputs!$B$25+Inputs!$B$29,IF(Skills!C8=2,90+Inputs!$B$26+Inputs!$B$29,IF(Skills!C8=3,120+Inputs!$B$27+Inputs!$B$29,MAX(0,(Inputs!$B$3-100)*3)+Inputs!$B$28+Inputs!$B$29)))</f>
        <v/>
      </c>
      <c r="E2383">
        <f>INDEX(FactorTable!$B$2:$Y$301, MATCH(ROUND(MIN(300,MAX(1,D2383)),0), FactorTable!$A$2:$A$301,0), Skills!M8+1)</f>
        <v/>
      </c>
      <c r="F2383">
        <f>IF(Skills!N8=TRUE,(Skills!L8/10)*(E2383/1000),Skills!L8/10)+Skills!O8</f>
        <v/>
      </c>
      <c r="G2383">
        <f>Calc!G8</f>
        <v/>
      </c>
      <c r="H2383">
        <f>Calc!H8</f>
        <v/>
      </c>
      <c r="I2383">
        <f>IF(Skills!AA8&lt;&gt;"",1+(Skills!AA8/10)*(U2378/1000)/100,1)</f>
        <v/>
      </c>
      <c r="J2383">
        <f>((Inputs!$B$6*(1+Inputs!$B$7/100))+(((Inputs!$B$12*(1+Inputs!$B$13/100))-(Inputs!$B$12*(1+Inputs!$B$13/100)))+0.25*(Inputs!$B$14-Inputs!$B$14))*(1+Inputs!$B$7/100))*(F2383/100)</f>
        <v/>
      </c>
      <c r="K2383">
        <f>J2383*(1+((Inputs!$B$12*(1+Inputs!$B$13/100))*0.01+Inputs!$B$14*0.0025)/100)*(1+Inputs!$B$15/100)*(1+Inputs!$B$16/100)*(5000/(6000+Inputs!$B$43*(1-(100*(1-(1-(Inputs!$B$19+0)/100)*(1-CHOOSE(ArtifactsInput!$N$40+1,5,6,7,8,9,10)/100)^(ArtifactsInput!$M$40-ArtifactsInput!$M$40)))/100)))*(1+(Inputs!$B$24+((C2405=TRUE)*(F2405-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2398=TRUE)*(F2398-Calc!F23))+(((IF(AND(ArtifactsInput!$M$42,((Inputs!$B$9+((C2400=TRUE)*(F2400-Calc!F25))+B2415+(ArtifactsInput!$M$24-ArtifactsInput!$M$24)*CHOOSE(ArtifactsInput!$N$24+1,10,12,14,16,18,20)+IF(ArtifactsInput!$M$10,CHOOSE(ArtifactsInput!$N$10+1,15,18,21,24,27,30)*(IF(Inputs!$B$39="pvp",MIN(15,15)/15,IF(AND(Inputs!$B$39&lt;&gt;"pvp",Inputs!$B$44&gt;0),MIN(15,Inputs!$B$44)/(Inputs!$B$44),0))),0)))&gt;=100),MIN(100,((Inputs!$B$9+((C2400=TRUE)*(F2400-Calc!F25))+B2415+(ArtifactsInput!$M$24-ArtifactsInput!$M$24)*CHOOSE(ArtifactsInput!$N$24+1,10,12,14,16,18,20)+IF(ArtifactsInput!$M$10,CHOOSE(ArtifactsInput!$N$10+1,15,18,21,24,27,30)*(IF(Inputs!$B$39="pvp",MIN(15,15)/15,IF(AND(Inputs!$B$39&lt;&gt;"pvp",Inputs!$B$44&gt;0),MIN(15,Inputs!$B$44)/(Inputs!$B$44),0))),0)))-100),0))*CHOOSE(ArtifactsInput!$N$42+1,0.6,0.72,0.84,0.96,1.08,1.2))),Inputs!$B$18+((C2404=TRUE)*(F2404-Calc!F29))+(IF(AND(ArtifactsInput!$M$42,((Inputs!$B$9+((C2400=TRUE)*(F2400-Calc!F25))+B2415+(ArtifactsInput!$M$24-ArtifactsInput!$M$24)*CHOOSE(ArtifactsInput!$N$24+1,10,12,14,16,18,20)+IF(ArtifactsInput!$M$10,CHOOSE(ArtifactsInput!$N$10+1,15,18,21,24,27,30)*(IF(Inputs!$B$39="pvp",MIN(15,15)/15,IF(AND(Inputs!$B$39&lt;&gt;"pvp",Inputs!$B$44&gt;0),MIN(15,Inputs!$B$44)/(Inputs!$B$44),0))),0)))&gt;=100),CHOOSE(ArtifactsInput!$N$42+1,40,48,56,64,72,80),0))))/100)*(((1+(((C2396=TRUE)*F2396*IF(AND(Inputs!$B$39&lt;&gt;"pvp",Inputs!$B$44&gt;0),(((R2396-1)*(Skills!Y21*(1+Inputs!$B$34/100))+MIN((Skills!Y21*(1+Inputs!$B$34/100)),MAX(0,Inputs!$B$44-((R2396-1)*Skills!D21))))/Inputs!$B$44),IF(Inputs!$B$39="pvp",MIN((Skills!Y21*(1+Inputs!$B$34/100)),15)/15,(Skills!Y21*(1+Inputs!$B$34/100))/Skills!D21)))+((C2403=TRUE)*(F2403-Calc!F28))+((C2393=TRUE)*(F2393-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2390=TRUE)*F2390*IF(AND(Inputs!$B$39&lt;&gt;"pvp",Inputs!$B$44&gt;0),(((R2390-1)*(Skills!Y15*(1+Inputs!$B$34/100))+MIN((Skills!Y15*(1+Inputs!$B$34/100)),MAX(0,Inputs!$B$44-((R2390-1)*Skills!D15))))/Inputs!$B$44),IF(Inputs!$B$39="pvp",MIN((Skills!Y15*(1+Inputs!$B$34/100)),15)/15,(Skills!Y15*(1+Inputs!$B$34/100))/Skills!D15)))/100)*(1+((C2381=TRUE)*F2381*B2409)/100))*B2417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2383)</f>
        <v/>
      </c>
      <c r="L2383">
        <f>K2383*(MIN(Inputs!$B$22+((C2399=TRUE)*(F2399-Calc!F24)),(Inputs!$B$23+0+(IF(ArtifactsInput!$M$15,CHOOSE(ArtifactsInput!$N$15+1,25,30,35,40,45,50)/100*(Inputs!$B$11-Inputs!$B$11),0))))/100+(Inputs!$B$23+0+(IF(ArtifactsInput!$M$15,CHOOSE(ArtifactsInput!$N$15+1,25,30,35,40,45,50)/100*(Inputs!$B$11-Inputs!$B$11),0)))/100)/2</f>
        <v/>
      </c>
      <c r="M2383">
        <f>L2383*(1+(Inputs!$B$10+((C2401=TRUE)*(F2401-Calc!F26))+B2418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83">
        <f>L2383*(1-MIN((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2383*(MIN((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83">
        <f>(1-Summary!$B$11)*T2383+Summary!$B$11*V2383</f>
        <v/>
      </c>
      <c r="P2383">
        <f>IF(B2419=0,0,O2383/B2419)</f>
        <v/>
      </c>
      <c r="Q2383">
        <f>IFERROR(1/IF(Inputs!$B$39="pvp",15,MAX(0.1,Skills!D8-IF(Skills!E8=TRUE,Inputs!$B$32,0))),0)</f>
        <v/>
      </c>
      <c r="R2383">
        <f>IF(AND(Inputs!$B$39&lt;&gt;"pvp",Inputs!$B$44&gt;0),IF(MAX(0,Inputs!$B$44-B2420)&lt;=0,0,(INT(MAX(0,Inputs!$B$44-B2420)/IF(Inputs!$B$39="pvp",15,MAX(0.1,Skills!D8-IF(Skills!E8=TRUE,Inputs!$B$32,0))))+1)),0)</f>
        <v/>
      </c>
      <c r="S2383">
        <f>IFERROR(O2383/N2383,0)</f>
        <v/>
      </c>
      <c r="T2383">
        <f>IF(C2383,(H2383*N2383*IF(AND(Inputs!$B$39&lt;&gt;"pvp",Inputs!$B$44&gt;0),((Skills!G8*((R2383-1)*IF(Skills!H8&gt;0,Skills!I8/Skills!H8,1)+IF(Skills!H8&gt;0,MIN(Skills!I8,MAX(0,MAX(0,Inputs!$B$44-B2420)-((R2383-1)*IF(Inputs!$B$39="pvp",15,MAX(0.1,Skills!D8-IF(Skills!E8=TRUE,Inputs!$B$32,0))))))/Skills!H8,1)))/Inputs!$B$44),G2383*Q2383))*IF(Inputs!$B$39="pvp",1,1+(Inputs!$B$20+((C2402=TRUE)*(F2402-Calc!F27))+Skills!P8+B2416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Hunt"),CHOOSE(ArtifactsInput!$N$35+1,15,18,21,24,27,30)*(1-EXP(-(0.2*B2411)*5)),0)+IF(AND(ArtifactsInput!$M$22,Inputs!$B$4&lt;&gt;"Chapter Hunt"),CHOOSE(ArtifactsInput!$N$22+1,10,12,14,16,18,20)*((0*(((0.15*B2411*5))^0/1)+1*(((0.15*B2411*5))^1/1)+2*(((0.15*B2411*5))^2/2)+3*(((0.15*B2411*5))^3/6)+4*(((0.15*B2411*5))^4/24)+5*(((0.15*B2411*5))^5/120))/((((0.15*B2411*5))^0/1)+(((0.15*B2411*5))^1/1)+(((0.15*B2411*5))^2/2)+(((0.15*B2411*5))^3/6)+(((0.15*B2411*5))^4/24)+(((0.15*B2411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2383*(1-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2383*(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2383*(1-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2383*(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83">
        <f>IF(C2383,(H2383*N2383*IF(AND(Inputs!$B$39&lt;&gt;"pvp",Inputs!$B$44&gt;0),((Skills!G8*((R2383-1)*IF(Skills!H8&gt;0,Skills!I8/Skills!H8,1)+IF(Skills!H8&gt;0,MIN(Skills!I8,MAX(0,MAX(0,Inputs!$B$44-B2420)-((R2383-1)*IF(Inputs!$B$39="pvp",15,MAX(0.1,Skills!D8-IF(Skills!E8=TRUE,Inputs!$B$32,0))))))/Skills!H8,1)))/Inputs!$B$44),G2383*Q2383))*IF(Inputs!$B$39="pvp",1,(1+(Inputs!$B$21+Skills!Q8+B2416+(IF(ArtifactsInput!$M$33,CHOOSE(ArtifactsInput!$N$33+1,30,36,42,48,54,60),0))+(IF(AND(ArtifactsInput!$M$35,Inputs!$B$4&lt;&gt;"Chapter Hunt"),CHOOSE(ArtifactsInput!$N$35+1,15,18,21,24,27,30)*(1-EXP(-(0.2*B2411)*5)),0)+IF(AND(ArtifactsInput!$M$22,Inputs!$B$4&lt;&gt;"Chapter Hunt"),CHOOSE(ArtifactsInput!$N$22+1,10,12,14,16,18,20)*((0*(((0.15*B2411*5))^0/1)+1*(((0.15*B2411*5))^1/1)+2*(((0.15*B2411*5))^2/2)+3*(((0.15*B2411*5))^3/6)+4*(((0.15*B2411*5))^4/24)+5*(((0.15*B2411*5))^5/120))/((((0.15*B2411*5))^0/1)+(((0.15*B2411*5))^1/1)+(((0.15*B2411*5))^2/2)+(((0.15*B2411*5))^3/6)+(((0.15*B2411*5))^4/24)+(((0.15*B2411*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84">
      <c r="A2384">
        <f>Skills!A9</f>
        <v/>
      </c>
      <c r="B2384">
        <f>Skills!B9</f>
        <v/>
      </c>
      <c r="C2384">
        <f>Inputs!$B$3&gt;=72</f>
        <v/>
      </c>
      <c r="D2384">
        <f>IF(Skills!C9=1,60+Inputs!$B$25+Inputs!$B$29,IF(Skills!C9=2,90+Inputs!$B$26+Inputs!$B$29,IF(Skills!C9=3,120+Inputs!$B$27+Inputs!$B$29,MAX(0,(Inputs!$B$3-100)*3)+Inputs!$B$28+Inputs!$B$29)))</f>
        <v/>
      </c>
      <c r="E2384">
        <f>INDEX(FactorTable!$B$2:$Y$301, MATCH(ROUND(MIN(300,MAX(1,D2384)),0), FactorTable!$A$2:$A$301,0), Skills!M9+1)</f>
        <v/>
      </c>
      <c r="F2384">
        <f>IF(Skills!N9=TRUE,(Skills!L9/10)*(E2384/1000),Skills!L9/10)+Skills!O9</f>
        <v/>
      </c>
      <c r="G2384">
        <f>Calc!G9</f>
        <v/>
      </c>
      <c r="H2384">
        <f>Calc!H9</f>
        <v/>
      </c>
      <c r="I2384">
        <f>IF(Skills!AA9&lt;&gt;"",1+(Skills!AA9/10)*(U2378/1000)/100,1)</f>
        <v/>
      </c>
      <c r="J2384">
        <f>((Inputs!$B$6*(1+Inputs!$B$7/100))+(((Inputs!$B$12*(1+Inputs!$B$13/100))-(Inputs!$B$12*(1+Inputs!$B$13/100)))+0.25*(Inputs!$B$14-Inputs!$B$14))*(1+Inputs!$B$7/100))*(F2384/100)</f>
        <v/>
      </c>
      <c r="K2384">
        <f>J2384*(1+((Inputs!$B$12*(1+Inputs!$B$13/100))*0.01+Inputs!$B$14*0.0025)/100)*(1+Inputs!$B$15/100)*(1+Inputs!$B$16/100)*(5000/(6000+Inputs!$B$43*(1-(100*(1-(1-(Inputs!$B$19+0)/100)*(1-CHOOSE(ArtifactsInput!$N$40+1,5,6,7,8,9,10)/100)^(ArtifactsInput!$M$40-ArtifactsInput!$M$40)))/100)))*(1+(Inputs!$B$24+((C2405=TRUE)*(F2405-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2398=TRUE)*(F2398-Calc!F23))+(((IF(AND(ArtifactsInput!$M$42,((Inputs!$B$9+((C2400=TRUE)*(F2400-Calc!F25))+B2415+(ArtifactsInput!$M$24-ArtifactsInput!$M$24)*CHOOSE(ArtifactsInput!$N$24+1,10,12,14,16,18,20)+IF(ArtifactsInput!$M$10,CHOOSE(ArtifactsInput!$N$10+1,15,18,21,24,27,30)*(IF(Inputs!$B$39="pvp",MIN(15,15)/15,IF(AND(Inputs!$B$39&lt;&gt;"pvp",Inputs!$B$44&gt;0),MIN(15,Inputs!$B$44)/(Inputs!$B$44),0))),0)))&gt;=100),MIN(100,((Inputs!$B$9+((C2400=TRUE)*(F2400-Calc!F25))+B2415+(ArtifactsInput!$M$24-ArtifactsInput!$M$24)*CHOOSE(ArtifactsInput!$N$24+1,10,12,14,16,18,20)+IF(ArtifactsInput!$M$10,CHOOSE(ArtifactsInput!$N$10+1,15,18,21,24,27,30)*(IF(Inputs!$B$39="pvp",MIN(15,15)/15,IF(AND(Inputs!$B$39&lt;&gt;"pvp",Inputs!$B$44&gt;0),MIN(15,Inputs!$B$44)/(Inputs!$B$44),0))),0)))-100),0))*CHOOSE(ArtifactsInput!$N$42+1,0.6,0.72,0.84,0.96,1.08,1.2))),Inputs!$B$18+((C2404=TRUE)*(F2404-Calc!F29))+(IF(AND(ArtifactsInput!$M$42,((Inputs!$B$9+((C2400=TRUE)*(F2400-Calc!F25))+B2415+(ArtifactsInput!$M$24-ArtifactsInput!$M$24)*CHOOSE(ArtifactsInput!$N$24+1,10,12,14,16,18,20)+IF(ArtifactsInput!$M$10,CHOOSE(ArtifactsInput!$N$10+1,15,18,21,24,27,30)*(IF(Inputs!$B$39="pvp",MIN(15,15)/15,IF(AND(Inputs!$B$39&lt;&gt;"pvp",Inputs!$B$44&gt;0),MIN(15,Inputs!$B$44)/(Inputs!$B$44),0))),0)))&gt;=100),CHOOSE(ArtifactsInput!$N$42+1,40,48,56,64,72,80),0))))/100)*(((1+(((C2396=TRUE)*F2396*IF(AND(Inputs!$B$39&lt;&gt;"pvp",Inputs!$B$44&gt;0),(((R2396-1)*(Skills!Y21*(1+Inputs!$B$34/100))+MIN((Skills!Y21*(1+Inputs!$B$34/100)),MAX(0,Inputs!$B$44-((R2396-1)*Skills!D21))))/Inputs!$B$44),IF(Inputs!$B$39="pvp",MIN((Skills!Y21*(1+Inputs!$B$34/100)),15)/15,(Skills!Y21*(1+Inputs!$B$34/100))/Skills!D21)))+((C2403=TRUE)*(F2403-Calc!F28))+((C2393=TRUE)*(F2393-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2390=TRUE)*F2390*IF(AND(Inputs!$B$39&lt;&gt;"pvp",Inputs!$B$44&gt;0),(((R2390-1)*(Skills!Y15*(1+Inputs!$B$34/100))+MIN((Skills!Y15*(1+Inputs!$B$34/100)),MAX(0,Inputs!$B$44-((R2390-1)*Skills!D15))))/Inputs!$B$44),IF(Inputs!$B$39="pvp",MIN((Skills!Y15*(1+Inputs!$B$34/100)),15)/15,(Skills!Y15*(1+Inputs!$B$34/100))/Skills!D15)))/100)*(1+((C2381=TRUE)*F2381*B2409)/100))*B2417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2384)</f>
        <v/>
      </c>
      <c r="L2384">
        <f>K2384*(MIN(Inputs!$B$22+((C2399=TRUE)*(F2399-Calc!F24)),(Inputs!$B$23+0+(IF(ArtifactsInput!$M$15,CHOOSE(ArtifactsInput!$N$15+1,25,30,35,40,45,50)/100*(Inputs!$B$11-Inputs!$B$11),0))))/100+(Inputs!$B$23+0+(IF(ArtifactsInput!$M$15,CHOOSE(ArtifactsInput!$N$15+1,25,30,35,40,45,50)/100*(Inputs!$B$11-Inputs!$B$11),0)))/100)/2</f>
        <v/>
      </c>
      <c r="M2384">
        <f>L2384*(1+(Inputs!$B$10+((C2401=TRUE)*(F2401-Calc!F26))+B2418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84">
        <f>L2384*(1-MIN((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2384*(MIN((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84">
        <f>(1-Summary!$B$11)*T2384+Summary!$B$11*V2384</f>
        <v/>
      </c>
      <c r="P2384">
        <f>IF(B2419=0,0,O2384/B2419)</f>
        <v/>
      </c>
      <c r="Q2384">
        <f>IFERROR(1/IF(Inputs!$B$39="pvp",15,MAX(0.1,Skills!D9-IF(Skills!E9=TRUE,Inputs!$B$32,0))),0)</f>
        <v/>
      </c>
      <c r="R2384">
        <f>IF(AND(Inputs!$B$39&lt;&gt;"pvp",Inputs!$B$44&gt;0),IF(MAX(0,Inputs!$B$44-B2420)&lt;=0,0,(INT(MAX(0,Inputs!$B$44-B2420)/IF(Inputs!$B$39="pvp",15,MAX(0.1,Skills!D9-IF(Skills!E9=TRUE,Inputs!$B$32,0))))+1)),0)</f>
        <v/>
      </c>
      <c r="S2384">
        <f>IFERROR(O2384/N2384,0)</f>
        <v/>
      </c>
      <c r="T2384">
        <f>IF(C2384,(H2384*N2384*IF(AND(Inputs!$B$39&lt;&gt;"pvp",Inputs!$B$44&gt;0),((Skills!G9*((R2384-1)*IF(Skills!H9&gt;0,Skills!I9/Skills!H9,1)+IF(Skills!H9&gt;0,MIN(Skills!I9,MAX(0,MAX(0,Inputs!$B$44-B2420)-((R2384-1)*IF(Inputs!$B$39="pvp",15,MAX(0.1,Skills!D9-IF(Skills!E9=TRUE,Inputs!$B$32,0))))))/Skills!H9,1)))/Inputs!$B$44),G2384*Q2384))*IF(Inputs!$B$39="pvp",1,1+(Inputs!$B$20+((C2402=TRUE)*(F2402-Calc!F27))+Skills!P9+B2416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Hunt"),CHOOSE(ArtifactsInput!$N$35+1,15,18,21,24,27,30)*(1-EXP(-(0.2*B2411)*5)),0)+IF(AND(ArtifactsInput!$M$22,Inputs!$B$4&lt;&gt;"Chapter Hunt"),CHOOSE(ArtifactsInput!$N$22+1,10,12,14,16,18,20)*((0*(((0.15*B2411*5))^0/1)+1*(((0.15*B2411*5))^1/1)+2*(((0.15*B2411*5))^2/2)+3*(((0.15*B2411*5))^3/6)+4*(((0.15*B2411*5))^4/24)+5*(((0.15*B2411*5))^5/120))/((((0.15*B2411*5))^0/1)+(((0.15*B2411*5))^1/1)+(((0.15*B2411*5))^2/2)+(((0.15*B2411*5))^3/6)+(((0.15*B2411*5))^4/24)+(((0.15*B2411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2384*(1-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2384*(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2384*(1-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2384*(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84">
        <f>IF(C2384,(H2384*N2384*IF(AND(Inputs!$B$39&lt;&gt;"pvp",Inputs!$B$44&gt;0),((Skills!G9*((R2384-1)*IF(Skills!H9&gt;0,Skills!I9/Skills!H9,1)+IF(Skills!H9&gt;0,MIN(Skills!I9,MAX(0,MAX(0,Inputs!$B$44-B2420)-((R2384-1)*IF(Inputs!$B$39="pvp",15,MAX(0.1,Skills!D9-IF(Skills!E9=TRUE,Inputs!$B$32,0))))))/Skills!H9,1)))/Inputs!$B$44),G2384*Q2384))*IF(Inputs!$B$39="pvp",1,(1+(Inputs!$B$21+Skills!Q9+B2416+(IF(ArtifactsInput!$M$33,CHOOSE(ArtifactsInput!$N$33+1,30,36,42,48,54,60),0))+(IF(AND(ArtifactsInput!$M$35,Inputs!$B$4&lt;&gt;"Chapter Hunt"),CHOOSE(ArtifactsInput!$N$35+1,15,18,21,24,27,30)*(1-EXP(-(0.2*B2411)*5)),0)+IF(AND(ArtifactsInput!$M$22,Inputs!$B$4&lt;&gt;"Chapter Hunt"),CHOOSE(ArtifactsInput!$N$22+1,10,12,14,16,18,20)*((0*(((0.15*B2411*5))^0/1)+1*(((0.15*B2411*5))^1/1)+2*(((0.15*B2411*5))^2/2)+3*(((0.15*B2411*5))^3/6)+4*(((0.15*B2411*5))^4/24)+5*(((0.15*B2411*5))^5/120))/((((0.15*B2411*5))^0/1)+(((0.15*B2411*5))^1/1)+(((0.15*B2411*5))^2/2)+(((0.15*B2411*5))^3/6)+(((0.15*B2411*5))^4/24)+(((0.15*B2411*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85">
      <c r="A2385">
        <f>Skills!A10</f>
        <v/>
      </c>
      <c r="B2385">
        <f>Skills!B10</f>
        <v/>
      </c>
      <c r="C2385">
        <f>Inputs!$B$3&gt;=117</f>
        <v/>
      </c>
      <c r="D2385">
        <f>IF(Skills!C10=1,60+Inputs!$B$25+Inputs!$B$29,IF(Skills!C10=2,90+Inputs!$B$26+Inputs!$B$29,IF(Skills!C10=3,120+Inputs!$B$27+Inputs!$B$29,MAX(0,(Inputs!$B$3-100)*3)+Inputs!$B$28+Inputs!$B$29)))</f>
        <v/>
      </c>
      <c r="E2385">
        <f>INDEX(FactorTable!$B$2:$Y$301, MATCH(ROUND(MIN(300,MAX(1,D2385)),0), FactorTable!$A$2:$A$301,0), Skills!M10+1)</f>
        <v/>
      </c>
      <c r="F2385">
        <f>IF(Skills!N10=TRUE,(Skills!L10/10)*(E2385/1000),Skills!L10/10)+Skills!O10</f>
        <v/>
      </c>
      <c r="G2385">
        <f>Calc!G10</f>
        <v/>
      </c>
      <c r="H2385">
        <f>Calc!H10</f>
        <v/>
      </c>
      <c r="I2385">
        <f>IF(Skills!AA10&lt;&gt;"",1+(Skills!AA10/10)*(U2378/1000)/100,1)</f>
        <v/>
      </c>
      <c r="J2385">
        <f>((Inputs!$B$6*(1+Inputs!$B$7/100))+(((Inputs!$B$12*(1+Inputs!$B$13/100))-(Inputs!$B$12*(1+Inputs!$B$13/100)))+0.25*(Inputs!$B$14-Inputs!$B$14))*(1+Inputs!$B$7/100))*(F2385/100)</f>
        <v/>
      </c>
      <c r="K2385">
        <f>J2385*(1+((Inputs!$B$12*(1+Inputs!$B$13/100))*0.01+Inputs!$B$14*0.0025)/100)*(1+Inputs!$B$15/100)*(1+Inputs!$B$16/100)*(5000/(6000+Inputs!$B$43*(1-(100*(1-(1-(Inputs!$B$19+0)/100)*(1-CHOOSE(ArtifactsInput!$N$40+1,5,6,7,8,9,10)/100)^(ArtifactsInput!$M$40-ArtifactsInput!$M$40)))/100)))*(1+(Inputs!$B$24+((C2405=TRUE)*(F2405-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2398=TRUE)*(F2398-Calc!F23))+(((IF(AND(ArtifactsInput!$M$42,((Inputs!$B$9+((C2400=TRUE)*(F2400-Calc!F25))+B2415+(ArtifactsInput!$M$24-ArtifactsInput!$M$24)*CHOOSE(ArtifactsInput!$N$24+1,10,12,14,16,18,20)+IF(ArtifactsInput!$M$10,CHOOSE(ArtifactsInput!$N$10+1,15,18,21,24,27,30)*(IF(Inputs!$B$39="pvp",MIN(15,15)/15,IF(AND(Inputs!$B$39&lt;&gt;"pvp",Inputs!$B$44&gt;0),MIN(15,Inputs!$B$44)/(Inputs!$B$44),0))),0)))&gt;=100),MIN(100,((Inputs!$B$9+((C2400=TRUE)*(F2400-Calc!F25))+B2415+(ArtifactsInput!$M$24-ArtifactsInput!$M$24)*CHOOSE(ArtifactsInput!$N$24+1,10,12,14,16,18,20)+IF(ArtifactsInput!$M$10,CHOOSE(ArtifactsInput!$N$10+1,15,18,21,24,27,30)*(IF(Inputs!$B$39="pvp",MIN(15,15)/15,IF(AND(Inputs!$B$39&lt;&gt;"pvp",Inputs!$B$44&gt;0),MIN(15,Inputs!$B$44)/(Inputs!$B$44),0))),0)))-100),0))*CHOOSE(ArtifactsInput!$N$42+1,0.6,0.72,0.84,0.96,1.08,1.2))),Inputs!$B$18+((C2404=TRUE)*(F2404-Calc!F29))+(IF(AND(ArtifactsInput!$M$42,((Inputs!$B$9+((C2400=TRUE)*(F2400-Calc!F25))+B2415+(ArtifactsInput!$M$24-ArtifactsInput!$M$24)*CHOOSE(ArtifactsInput!$N$24+1,10,12,14,16,18,20)+IF(ArtifactsInput!$M$10,CHOOSE(ArtifactsInput!$N$10+1,15,18,21,24,27,30)*(IF(Inputs!$B$39="pvp",MIN(15,15)/15,IF(AND(Inputs!$B$39&lt;&gt;"pvp",Inputs!$B$44&gt;0),MIN(15,Inputs!$B$44)/(Inputs!$B$44),0))),0)))&gt;=100),CHOOSE(ArtifactsInput!$N$42+1,40,48,56,64,72,80),0))))/100)*(((1+(((C2396=TRUE)*F2396*IF(AND(Inputs!$B$39&lt;&gt;"pvp",Inputs!$B$44&gt;0),(((R2396-1)*(Skills!Y21*(1+Inputs!$B$34/100))+MIN((Skills!Y21*(1+Inputs!$B$34/100)),MAX(0,Inputs!$B$44-((R2396-1)*Skills!D21))))/Inputs!$B$44),IF(Inputs!$B$39="pvp",MIN((Skills!Y21*(1+Inputs!$B$34/100)),15)/15,(Skills!Y21*(1+Inputs!$B$34/100))/Skills!D21)))+((C2403=TRUE)*(F2403-Calc!F28))+((C2393=TRUE)*(F2393-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2390=TRUE)*F2390*IF(AND(Inputs!$B$39&lt;&gt;"pvp",Inputs!$B$44&gt;0),(((R2390-1)*(Skills!Y15*(1+Inputs!$B$34/100))+MIN((Skills!Y15*(1+Inputs!$B$34/100)),MAX(0,Inputs!$B$44-((R2390-1)*Skills!D15))))/Inputs!$B$44),IF(Inputs!$B$39="pvp",MIN((Skills!Y15*(1+Inputs!$B$34/100)),15)/15,(Skills!Y15*(1+Inputs!$B$34/100))/Skills!D15)))/100)*(1+((C2381=TRUE)*F2381*B2409)/100))*B2417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2385)</f>
        <v/>
      </c>
      <c r="L2385">
        <f>K2385*(MIN(Inputs!$B$22+((C2399=TRUE)*(F2399-Calc!F24)),(Inputs!$B$23+0+(IF(ArtifactsInput!$M$15,CHOOSE(ArtifactsInput!$N$15+1,25,30,35,40,45,50)/100*(Inputs!$B$11-Inputs!$B$11),0))))/100+(Inputs!$B$23+0+(IF(ArtifactsInput!$M$15,CHOOSE(ArtifactsInput!$N$15+1,25,30,35,40,45,50)/100*(Inputs!$B$11-Inputs!$B$11),0)))/100)/2</f>
        <v/>
      </c>
      <c r="M2385">
        <f>L2385*(1+(Inputs!$B$10+((C2401=TRUE)*(F2401-Calc!F26))+B2418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85">
        <f>L2385*(1-MIN((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2385*(MIN((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85">
        <f>(1-Summary!$B$11)*T2385+Summary!$B$11*V2385</f>
        <v/>
      </c>
      <c r="P2385">
        <f>IF(B2419=0,0,O2385/B2419)</f>
        <v/>
      </c>
      <c r="Q2385" t="n">
        <v>0</v>
      </c>
      <c r="R2385" t="n">
        <v>0</v>
      </c>
      <c r="S2385" t="n">
        <v>0</v>
      </c>
      <c r="T2385">
        <f>IF(C2385,(0.2*SUMPRODUCT((Skills!Z2:Z31=TRUE)*(C2377:C2406=TRUE)*S2377:S2406)*N2385)*IF(Inputs!$B$39="pvp",1,1+(Inputs!$B$20+((C2402=TRUE)*(F2402-Calc!F27))+Skills!P10+B2416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Hunt"),CHOOSE(ArtifactsInput!$N$35+1,15,18,21,24,27,30)*(1-EXP(-(0.2*B2411)*5)),0)+IF(AND(ArtifactsInput!$M$22,Inputs!$B$4&lt;&gt;"Chapter Hunt"),CHOOSE(ArtifactsInput!$N$22+1,10,12,14,16,18,20)*((0*(((0.15*B2411*5))^0/1)+1*(((0.15*B2411*5))^1/1)+2*(((0.15*B2411*5))^2/2)+3*(((0.15*B2411*5))^3/6)+4*(((0.15*B2411*5))^4/24)+5*(((0.15*B2411*5))^5/120))/((((0.15*B2411*5))^0/1)+(((0.15*B2411*5))^1/1)+(((0.15*B2411*5))^2/2)+(((0.15*B2411*5))^3/6)+(((0.15*B2411*5))^4/24)+(((0.15*B2411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2385*(1-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2385*(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2385*(1-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2385*(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85">
        <f>IF(C2385,(0.2*SUMPRODUCT((Skills!Z2:Z31=TRUE)*(C2377:C2406=TRUE)*S2377:S2406)*N2385)*IF(Inputs!$B$39="pvp",1,(1+(Inputs!$B$21+Skills!Q10+B2416+(IF(ArtifactsInput!$M$33,CHOOSE(ArtifactsInput!$N$33+1,30,36,42,48,54,60),0))+(IF(AND(ArtifactsInput!$M$35,Inputs!$B$4&lt;&gt;"Chapter Hunt"),CHOOSE(ArtifactsInput!$N$35+1,15,18,21,24,27,30)*(1-EXP(-(0.2*B2411)*5)),0)+IF(AND(ArtifactsInput!$M$22,Inputs!$B$4&lt;&gt;"Chapter Hunt"),CHOOSE(ArtifactsInput!$N$22+1,10,12,14,16,18,20)*((0*(((0.15*B2411*5))^0/1)+1*(((0.15*B2411*5))^1/1)+2*(((0.15*B2411*5))^2/2)+3*(((0.15*B2411*5))^3/6)+4*(((0.15*B2411*5))^4/24)+5*(((0.15*B2411*5))^5/120))/((((0.15*B2411*5))^0/1)+(((0.15*B2411*5))^1/1)+(((0.15*B2411*5))^2/2)+(((0.15*B2411*5))^3/6)+(((0.15*B2411*5))^4/24)+(((0.15*B2411*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86">
      <c r="A2386">
        <f>Skills!A11</f>
        <v/>
      </c>
      <c r="B2386">
        <f>Skills!B11</f>
        <v/>
      </c>
      <c r="C2386">
        <f>Inputs!$B$3&gt;=60</f>
        <v/>
      </c>
      <c r="D2386">
        <f>IF(Skills!C11=1,60+Inputs!$B$25+Inputs!$B$29,IF(Skills!C11=2,90+Inputs!$B$26+Inputs!$B$29,IF(Skills!C11=3,120+Inputs!$B$27+Inputs!$B$29,MAX(0,(Inputs!$B$3-100)*3)+Inputs!$B$28+Inputs!$B$29)))</f>
        <v/>
      </c>
      <c r="E2386">
        <f>INDEX(FactorTable!$B$2:$Y$301, MATCH(ROUND(MIN(300,MAX(1,D2386)),0), FactorTable!$A$2:$A$301,0), Skills!M11+1)</f>
        <v/>
      </c>
      <c r="F2386">
        <f>IF(Skills!N11=TRUE,(Skills!L11/10)*(E2386/1000),Skills!L11/10)+Skills!O11</f>
        <v/>
      </c>
      <c r="G2386">
        <f>Calc!G11</f>
        <v/>
      </c>
      <c r="H2386">
        <f>Calc!H11</f>
        <v/>
      </c>
      <c r="I2386">
        <f>IF(Skills!AA11&lt;&gt;"",1+(Skills!AA11/10)*(U2378/1000)/100,1)</f>
        <v/>
      </c>
      <c r="J2386" t="inlineStr"/>
      <c r="K2386" t="inlineStr"/>
      <c r="L2386" t="inlineStr"/>
      <c r="M2386" t="inlineStr"/>
      <c r="N2386" t="inlineStr"/>
      <c r="O2386">
        <f>(1-Summary!$B$11)*T2386+Summary!$B$11*V2386</f>
        <v/>
      </c>
      <c r="P2386">
        <f>IF(B2419=0,0,O2386/B2419)</f>
        <v/>
      </c>
      <c r="Q2386" t="n">
        <v>0</v>
      </c>
      <c r="R2386" t="n">
        <v>0</v>
      </c>
      <c r="S2386">
        <f>IFERROR(O2386/N2386,0)</f>
        <v/>
      </c>
      <c r="T2386" t="n">
        <v>0</v>
      </c>
      <c r="V2386" t="n">
        <v>0</v>
      </c>
    </row>
    <row r="2387">
      <c r="A2387">
        <f>Skills!A12</f>
        <v/>
      </c>
      <c r="B2387">
        <f>Skills!B12</f>
        <v/>
      </c>
      <c r="C2387">
        <f>Inputs!$B$3&gt;=103</f>
        <v/>
      </c>
      <c r="D2387">
        <f>IF(Skills!C12=1,60+Inputs!$B$25+Inputs!$B$29,IF(Skills!C12=2,90+Inputs!$B$26+Inputs!$B$29,IF(Skills!C12=3,120+Inputs!$B$27+Inputs!$B$29,MAX(0,(Inputs!$B$3-100)*3)+Inputs!$B$28+Inputs!$B$29)))</f>
        <v/>
      </c>
      <c r="E2387">
        <f>INDEX(FactorTable!$B$2:$Y$301, MATCH(ROUND(MIN(300,MAX(1,D2387)),0), FactorTable!$A$2:$A$301,0), Skills!M12+1)</f>
        <v/>
      </c>
      <c r="F2387">
        <f>IF(Skills!N12=TRUE,(Skills!L12/10)*(E2387/1000),Skills!L12/10)+Skills!O12</f>
        <v/>
      </c>
      <c r="G2387">
        <f>Calc!G12</f>
        <v/>
      </c>
      <c r="H2387">
        <f>Calc!H12</f>
        <v/>
      </c>
      <c r="I2387">
        <f>IF(Skills!AA12&lt;&gt;"",1+(Skills!AA12/10)*(U2378/1000)/100,1)</f>
        <v/>
      </c>
      <c r="J2387">
        <f>((Inputs!$B$6*(1+Inputs!$B$7/100))+(((Inputs!$B$12*(1+Inputs!$B$13/100))-(Inputs!$B$12*(1+Inputs!$B$13/100)))+0.25*(Inputs!$B$14-Inputs!$B$14))*(1+Inputs!$B$7/100))*(F2387/100)</f>
        <v/>
      </c>
      <c r="K2387">
        <f>J2387*(1+((Inputs!$B$12*(1+Inputs!$B$13/100))*0.01+Inputs!$B$14*0.0025)/100)*(1+Inputs!$B$15/100)*(1+Inputs!$B$16/100)*(5000/(6000+Inputs!$B$43*(1-(100*(1-(1-(Inputs!$B$19+0)/100)*(1-CHOOSE(ArtifactsInput!$N$40+1,5,6,7,8,9,10)/100)^(ArtifactsInput!$M$40-ArtifactsInput!$M$40)))/100)))*(1+(Inputs!$B$24+((C2405=TRUE)*(F2405-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2398=TRUE)*(F2398-Calc!F23))+(((IF(AND(ArtifactsInput!$M$42,((Inputs!$B$9+((C2400=TRUE)*(F2400-Calc!F25))+B2415+(ArtifactsInput!$M$24-ArtifactsInput!$M$24)*CHOOSE(ArtifactsInput!$N$24+1,10,12,14,16,18,20)+IF(ArtifactsInput!$M$10,CHOOSE(ArtifactsInput!$N$10+1,15,18,21,24,27,30)*(IF(Inputs!$B$39="pvp",MIN(15,15)/15,IF(AND(Inputs!$B$39&lt;&gt;"pvp",Inputs!$B$44&gt;0),MIN(15,Inputs!$B$44)/(Inputs!$B$44),0))),0)))&gt;=100),MIN(100,((Inputs!$B$9+((C2400=TRUE)*(F2400-Calc!F25))+B2415+(ArtifactsInput!$M$24-ArtifactsInput!$M$24)*CHOOSE(ArtifactsInput!$N$24+1,10,12,14,16,18,20)+IF(ArtifactsInput!$M$10,CHOOSE(ArtifactsInput!$N$10+1,15,18,21,24,27,30)*(IF(Inputs!$B$39="pvp",MIN(15,15)/15,IF(AND(Inputs!$B$39&lt;&gt;"pvp",Inputs!$B$44&gt;0),MIN(15,Inputs!$B$44)/(Inputs!$B$44),0))),0)))-100),0))*CHOOSE(ArtifactsInput!$N$42+1,0.6,0.72,0.84,0.96,1.08,1.2))),Inputs!$B$18+((C2404=TRUE)*(F2404-Calc!F29))+(IF(AND(ArtifactsInput!$M$42,((Inputs!$B$9+((C2400=TRUE)*(F2400-Calc!F25))+B2415+(ArtifactsInput!$M$24-ArtifactsInput!$M$24)*CHOOSE(ArtifactsInput!$N$24+1,10,12,14,16,18,20)+IF(ArtifactsInput!$M$10,CHOOSE(ArtifactsInput!$N$10+1,15,18,21,24,27,30)*(IF(Inputs!$B$39="pvp",MIN(15,15)/15,IF(AND(Inputs!$B$39&lt;&gt;"pvp",Inputs!$B$44&gt;0),MIN(15,Inputs!$B$44)/(Inputs!$B$44),0))),0)))&gt;=100),CHOOSE(ArtifactsInput!$N$42+1,40,48,56,64,72,80),0))))/100)*(((1+(((C2396=TRUE)*F2396*IF(AND(Inputs!$B$39&lt;&gt;"pvp",Inputs!$B$44&gt;0),(((R2396-1)*(Skills!Y21*(1+Inputs!$B$34/100))+MIN((Skills!Y21*(1+Inputs!$B$34/100)),MAX(0,Inputs!$B$44-((R2396-1)*Skills!D21))))/Inputs!$B$44),IF(Inputs!$B$39="pvp",MIN((Skills!Y21*(1+Inputs!$B$34/100)),15)/15,(Skills!Y21*(1+Inputs!$B$34/100))/Skills!D21)))+((C2403=TRUE)*(F2403-Calc!F28))+((C2393=TRUE)*(F2393-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2390=TRUE)*F2390*IF(AND(Inputs!$B$39&lt;&gt;"pvp",Inputs!$B$44&gt;0),(((R2390-1)*(Skills!Y15*(1+Inputs!$B$34/100))+MIN((Skills!Y15*(1+Inputs!$B$34/100)),MAX(0,Inputs!$B$44-((R2390-1)*Skills!D15))))/Inputs!$B$44),IF(Inputs!$B$39="pvp",MIN((Skills!Y15*(1+Inputs!$B$34/100)),15)/15,(Skills!Y15*(1+Inputs!$B$34/100))/Skills!D15)))/100)*(1+((C2381=TRUE)*F2381*B2409)/100))*B2417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2387)</f>
        <v/>
      </c>
      <c r="L2387">
        <f>K2387*(MIN(Inputs!$B$22+((C2399=TRUE)*(F2399-Calc!F24)),(Inputs!$B$23+0+(IF(ArtifactsInput!$M$15,CHOOSE(ArtifactsInput!$N$15+1,25,30,35,40,45,50)/100*(Inputs!$B$11-Inputs!$B$11),0))))/100+(Inputs!$B$23+0+(IF(ArtifactsInput!$M$15,CHOOSE(ArtifactsInput!$N$15+1,25,30,35,40,45,50)/100*(Inputs!$B$11-Inputs!$B$11),0)))/100)/2</f>
        <v/>
      </c>
      <c r="M2387">
        <f>L2387*(1+(Inputs!$B$10+((C2401=TRUE)*(F2401-Calc!F26))+B2418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87">
        <f>L2387*(1-MIN((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2387*(MIN((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87">
        <f>(1-Summary!$B$11)*T2387+Summary!$B$11*V2387</f>
        <v/>
      </c>
      <c r="P2387">
        <f>IF(B2419=0,0,O2387/B2419)</f>
        <v/>
      </c>
      <c r="Q2387">
        <f>IFERROR(1/IF(Inputs!$B$39="pvp",15,MAX(0.1,Skills!D12-IF(Skills!E12=TRUE,Inputs!$B$32,0))),0)</f>
        <v/>
      </c>
      <c r="R2387">
        <f>IF(AND(Inputs!$B$39&lt;&gt;"pvp",Inputs!$B$44&gt;0),IF(MAX(0,Inputs!$B$44-B2420)&lt;=0,0,(INT(MAX(0,Inputs!$B$44-B2420)/IF(Inputs!$B$39="pvp",15,MAX(0.1,Skills!D12-IF(Skills!E12=TRUE,Inputs!$B$32,0))))+1)),0)</f>
        <v/>
      </c>
      <c r="S2387">
        <f>IFERROR(O2387/N2387,0)</f>
        <v/>
      </c>
      <c r="T2387">
        <f>IF(C2387,(H2387*N2387*IF(AND(Inputs!$B$39&lt;&gt;"pvp",Inputs!$B$44&gt;0),((Skills!G12*((R2387-1)*IF(Skills!H12&gt;0,Skills!I12/Skills!H12,1)+IF(Skills!H12&gt;0,MIN(Skills!I12,MAX(0,MAX(0,Inputs!$B$44-B2420)-((R2387-1)*IF(Inputs!$B$39="pvp",15,MAX(0.1,Skills!D12-IF(Skills!E12=TRUE,Inputs!$B$32,0))))))/Skills!H12,1)))/Inputs!$B$44),G2387*Q2387))*IF(Inputs!$B$39="pvp",1,1+(Inputs!$B$20+((C2402=TRUE)*(F2402-Calc!F27))+Skills!P12+B2416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Hunt"),CHOOSE(ArtifactsInput!$N$35+1,15,18,21,24,27,30)*(1-EXP(-(0.2*B2411)*5)),0)+IF(AND(ArtifactsInput!$M$22,Inputs!$B$4&lt;&gt;"Chapter Hunt"),CHOOSE(ArtifactsInput!$N$22+1,10,12,14,16,18,20)*((0*(((0.15*B2411*5))^0/1)+1*(((0.15*B2411*5))^1/1)+2*(((0.15*B2411*5))^2/2)+3*(((0.15*B2411*5))^3/6)+4*(((0.15*B2411*5))^4/24)+5*(((0.15*B2411*5))^5/120))/((((0.15*B2411*5))^0/1)+(((0.15*B2411*5))^1/1)+(((0.15*B2411*5))^2/2)+(((0.15*B2411*5))^3/6)+(((0.15*B2411*5))^4/24)+(((0.15*B2411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2387*(1-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2387*(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2387*(1-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2387*(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87">
        <f>IF(C2387,(H2387*N2387*IF(AND(Inputs!$B$39&lt;&gt;"pvp",Inputs!$B$44&gt;0),((Skills!G12*((R2387-1)*IF(Skills!H12&gt;0,Skills!I12/Skills!H12,1)+IF(Skills!H12&gt;0,MIN(Skills!I12,MAX(0,MAX(0,Inputs!$B$44-B2420)-((R2387-1)*IF(Inputs!$B$39="pvp",15,MAX(0.1,Skills!D12-IF(Skills!E12=TRUE,Inputs!$B$32,0))))))/Skills!H12,1)))/Inputs!$B$44),G2387*Q2387))*IF(Inputs!$B$39="pvp",1,(1+(Inputs!$B$21+Skills!Q12+B2416+(IF(ArtifactsInput!$M$33,CHOOSE(ArtifactsInput!$N$33+1,30,36,42,48,54,60),0))+(IF(AND(ArtifactsInput!$M$35,Inputs!$B$4&lt;&gt;"Chapter Hunt"),CHOOSE(ArtifactsInput!$N$35+1,15,18,21,24,27,30)*(1-EXP(-(0.2*B2411)*5)),0)+IF(AND(ArtifactsInput!$M$22,Inputs!$B$4&lt;&gt;"Chapter Hunt"),CHOOSE(ArtifactsInput!$N$22+1,10,12,14,16,18,20)*((0*(((0.15*B2411*5))^0/1)+1*(((0.15*B2411*5))^1/1)+2*(((0.15*B2411*5))^2/2)+3*(((0.15*B2411*5))^3/6)+4*(((0.15*B2411*5))^4/24)+5*(((0.15*B2411*5))^5/120))/((((0.15*B2411*5))^0/1)+(((0.15*B2411*5))^1/1)+(((0.15*B2411*5))^2/2)+(((0.15*B2411*5))^3/6)+(((0.15*B2411*5))^4/24)+(((0.15*B2411*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88">
      <c r="A2388">
        <f>Skills!A13</f>
        <v/>
      </c>
      <c r="B2388">
        <f>Skills!B13</f>
        <v/>
      </c>
      <c r="C2388">
        <f>Inputs!$B$3&gt;=105</f>
        <v/>
      </c>
      <c r="D2388">
        <f>IF(Skills!C13=1,60+Inputs!$B$25+Inputs!$B$29,IF(Skills!C13=2,90+Inputs!$B$26+Inputs!$B$29,IF(Skills!C13=3,120+Inputs!$B$27+Inputs!$B$29,MAX(0,(Inputs!$B$3-100)*3)+Inputs!$B$28+Inputs!$B$29)))</f>
        <v/>
      </c>
      <c r="E2388">
        <f>INDEX(FactorTable!$B$2:$Y$301, MATCH(ROUND(MIN(300,MAX(1,D2388)),0), FactorTable!$A$2:$A$301,0), Skills!M13+1)</f>
        <v/>
      </c>
      <c r="F2388">
        <f>IF(Skills!N13=TRUE,(Skills!L13/10)*(E2388/1000),Skills!L13/10)+Skills!O13</f>
        <v/>
      </c>
      <c r="G2388">
        <f>Calc!G13</f>
        <v/>
      </c>
      <c r="H2388">
        <f>Calc!H13</f>
        <v/>
      </c>
      <c r="I2388">
        <f>IF(Skills!AA13&lt;&gt;"",1+(Skills!AA13/10)*(U2378/1000)/100,1)</f>
        <v/>
      </c>
      <c r="J2388">
        <f>((Inputs!$B$6*(1+Inputs!$B$7/100))+(((Inputs!$B$12*(1+Inputs!$B$13/100))-(Inputs!$B$12*(1+Inputs!$B$13/100)))+0.25*(Inputs!$B$14-Inputs!$B$14))*(1+Inputs!$B$7/100))*(F2388/100)</f>
        <v/>
      </c>
      <c r="K2388">
        <f>J2388*(1+((Inputs!$B$12*(1+Inputs!$B$13/100))*0.01+Inputs!$B$14*0.0025)/100)*(1+Inputs!$B$15/100)*(1+Inputs!$B$16/100)*(5000/(6000+Inputs!$B$43*(1-(100*(1-(1-(Inputs!$B$19+0)/100)*(1-CHOOSE(ArtifactsInput!$N$40+1,5,6,7,8,9,10)/100)^(ArtifactsInput!$M$40-ArtifactsInput!$M$40)))/100)))*(1+(Inputs!$B$24+((C2405=TRUE)*(F2405-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2398=TRUE)*(F2398-Calc!F23))+(((IF(AND(ArtifactsInput!$M$42,((Inputs!$B$9+((C2400=TRUE)*(F2400-Calc!F25))+B2415+(ArtifactsInput!$M$24-ArtifactsInput!$M$24)*CHOOSE(ArtifactsInput!$N$24+1,10,12,14,16,18,20)+IF(ArtifactsInput!$M$10,CHOOSE(ArtifactsInput!$N$10+1,15,18,21,24,27,30)*(IF(Inputs!$B$39="pvp",MIN(15,15)/15,IF(AND(Inputs!$B$39&lt;&gt;"pvp",Inputs!$B$44&gt;0),MIN(15,Inputs!$B$44)/(Inputs!$B$44),0))),0)))&gt;=100),MIN(100,((Inputs!$B$9+((C2400=TRUE)*(F2400-Calc!F25))+B2415+(ArtifactsInput!$M$24-ArtifactsInput!$M$24)*CHOOSE(ArtifactsInput!$N$24+1,10,12,14,16,18,20)+IF(ArtifactsInput!$M$10,CHOOSE(ArtifactsInput!$N$10+1,15,18,21,24,27,30)*(IF(Inputs!$B$39="pvp",MIN(15,15)/15,IF(AND(Inputs!$B$39&lt;&gt;"pvp",Inputs!$B$44&gt;0),MIN(15,Inputs!$B$44)/(Inputs!$B$44),0))),0)))-100),0))*CHOOSE(ArtifactsInput!$N$42+1,0.6,0.72,0.84,0.96,1.08,1.2))),Inputs!$B$18+((C2404=TRUE)*(F2404-Calc!F29))+(IF(AND(ArtifactsInput!$M$42,((Inputs!$B$9+((C2400=TRUE)*(F2400-Calc!F25))+B2415+(ArtifactsInput!$M$24-ArtifactsInput!$M$24)*CHOOSE(ArtifactsInput!$N$24+1,10,12,14,16,18,20)+IF(ArtifactsInput!$M$10,CHOOSE(ArtifactsInput!$N$10+1,15,18,21,24,27,30)*(IF(Inputs!$B$39="pvp",MIN(15,15)/15,IF(AND(Inputs!$B$39&lt;&gt;"pvp",Inputs!$B$44&gt;0),MIN(15,Inputs!$B$44)/(Inputs!$B$44),0))),0)))&gt;=100),CHOOSE(ArtifactsInput!$N$42+1,40,48,56,64,72,80),0))))/100)*(((1+(((C2396=TRUE)*F2396*IF(AND(Inputs!$B$39&lt;&gt;"pvp",Inputs!$B$44&gt;0),(((R2396-1)*(Skills!Y21*(1+Inputs!$B$34/100))+MIN((Skills!Y21*(1+Inputs!$B$34/100)),MAX(0,Inputs!$B$44-((R2396-1)*Skills!D21))))/Inputs!$B$44),IF(Inputs!$B$39="pvp",MIN((Skills!Y21*(1+Inputs!$B$34/100)),15)/15,(Skills!Y21*(1+Inputs!$B$34/100))/Skills!D21)))+((C2403=TRUE)*(F2403-Calc!F28))+((C2393=TRUE)*(F2393-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2390=TRUE)*F2390*IF(AND(Inputs!$B$39&lt;&gt;"pvp",Inputs!$B$44&gt;0),(((R2390-1)*(Skills!Y15*(1+Inputs!$B$34/100))+MIN((Skills!Y15*(1+Inputs!$B$34/100)),MAX(0,Inputs!$B$44-((R2390-1)*Skills!D15))))/Inputs!$B$44),IF(Inputs!$B$39="pvp",MIN((Skills!Y15*(1+Inputs!$B$34/100)),15)/15,(Skills!Y15*(1+Inputs!$B$34/100))/Skills!D15)))/100)*(1+((C2381=TRUE)*F2381*B2409)/100))*B2417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2388)</f>
        <v/>
      </c>
      <c r="L2388">
        <f>K2388*(MIN(Inputs!$B$22+((C2399=TRUE)*(F2399-Calc!F24)),(Inputs!$B$23+0+(IF(ArtifactsInput!$M$15,CHOOSE(ArtifactsInput!$N$15+1,25,30,35,40,45,50)/100*(Inputs!$B$11-Inputs!$B$11),0))))/100+(Inputs!$B$23+0+(IF(ArtifactsInput!$M$15,CHOOSE(ArtifactsInput!$N$15+1,25,30,35,40,45,50)/100*(Inputs!$B$11-Inputs!$B$11),0)))/100)/2</f>
        <v/>
      </c>
      <c r="M2388">
        <f>L2388*(1+(Inputs!$B$10+((C2401=TRUE)*(F2401-Calc!F26))+B2418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88">
        <f>L2388*(1-MIN((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2388*(MIN((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88">
        <f>(1-Summary!$B$11)*T2388+Summary!$B$11*V2388</f>
        <v/>
      </c>
      <c r="P2388">
        <f>IF(B2419=0,0,O2388/B2419)</f>
        <v/>
      </c>
      <c r="Q2388">
        <f>IFERROR(1/IF(Inputs!$B$39="pvp",15,MAX(0.1,Skills!D13-IF(Skills!E13=TRUE,Inputs!$B$32,0))),0)</f>
        <v/>
      </c>
      <c r="R2388">
        <f>IF(AND(Inputs!$B$39&lt;&gt;"pvp",Inputs!$B$44&gt;0),IF(MAX(0,Inputs!$B$44-B2420)&lt;=0,0,(INT(MAX(0,Inputs!$B$44-B2420)/IF(Inputs!$B$39="pvp",15,MAX(0.1,Skills!D13-IF(Skills!E13=TRUE,Inputs!$B$32,0))))+1)),0)</f>
        <v/>
      </c>
      <c r="S2388">
        <f>IFERROR(O2388/N2388,0)</f>
        <v/>
      </c>
      <c r="T2388">
        <f>IF(C2388,(H2388*N2388*IF(AND(Inputs!$B$39&lt;&gt;"pvp",Inputs!$B$44&gt;0),((Skills!G13*((R2388-1)*IF(Skills!H13&gt;0,Skills!I13/Skills!H13,1)+IF(Skills!H13&gt;0,MIN(Skills!I13,MAX(0,MAX(0,Inputs!$B$44-B2420)-((R2388-1)*IF(Inputs!$B$39="pvp",15,MAX(0.1,Skills!D13-IF(Skills!E13=TRUE,Inputs!$B$32,0))))))/Skills!H13,1)))/Inputs!$B$44),G2388*Q2388))*IF(Inputs!$B$39="pvp",1,1+(Inputs!$B$20+((C2402=TRUE)*(F2402-Calc!F27))+Skills!P13+B2416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Hunt"),CHOOSE(ArtifactsInput!$N$35+1,15,18,21,24,27,30)*(1-EXP(-(0.2*B2411)*5)),0)+IF(AND(ArtifactsInput!$M$22,Inputs!$B$4&lt;&gt;"Chapter Hunt"),CHOOSE(ArtifactsInput!$N$22+1,10,12,14,16,18,20)*((0*(((0.15*B2411*5))^0/1)+1*(((0.15*B2411*5))^1/1)+2*(((0.15*B2411*5))^2/2)+3*(((0.15*B2411*5))^3/6)+4*(((0.15*B2411*5))^4/24)+5*(((0.15*B2411*5))^5/120))/((((0.15*B2411*5))^0/1)+(((0.15*B2411*5))^1/1)+(((0.15*B2411*5))^2/2)+(((0.15*B2411*5))^3/6)+(((0.15*B2411*5))^4/24)+(((0.15*B2411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2388*(1-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2388*(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2388*(1-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2388*(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88">
        <f>IF(C2388,(H2388*N2388*IF(AND(Inputs!$B$39&lt;&gt;"pvp",Inputs!$B$44&gt;0),((Skills!G13*((R2388-1)*IF(Skills!H13&gt;0,Skills!I13/Skills!H13,1)+IF(Skills!H13&gt;0,MIN(Skills!I13,MAX(0,MAX(0,Inputs!$B$44-B2420)-((R2388-1)*IF(Inputs!$B$39="pvp",15,MAX(0.1,Skills!D13-IF(Skills!E13=TRUE,Inputs!$B$32,0))))))/Skills!H13,1)))/Inputs!$B$44),G2388*Q2388))*IF(Inputs!$B$39="pvp",1,(1+(Inputs!$B$21+Skills!Q13+B2416+(IF(ArtifactsInput!$M$33,CHOOSE(ArtifactsInput!$N$33+1,30,36,42,48,54,60),0))+(IF(AND(ArtifactsInput!$M$35,Inputs!$B$4&lt;&gt;"Chapter Hunt"),CHOOSE(ArtifactsInput!$N$35+1,15,18,21,24,27,30)*(1-EXP(-(0.2*B2411)*5)),0)+IF(AND(ArtifactsInput!$M$22,Inputs!$B$4&lt;&gt;"Chapter Hunt"),CHOOSE(ArtifactsInput!$N$22+1,10,12,14,16,18,20)*((0*(((0.15*B2411*5))^0/1)+1*(((0.15*B2411*5))^1/1)+2*(((0.15*B2411*5))^2/2)+3*(((0.15*B2411*5))^3/6)+4*(((0.15*B2411*5))^4/24)+5*(((0.15*B2411*5))^5/120))/((((0.15*B2411*5))^0/1)+(((0.15*B2411*5))^1/1)+(((0.15*B2411*5))^2/2)+(((0.15*B2411*5))^3/6)+(((0.15*B2411*5))^4/24)+(((0.15*B2411*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89">
      <c r="A2389">
        <f>Skills!A14</f>
        <v/>
      </c>
      <c r="B2389">
        <f>Skills!B14</f>
        <v/>
      </c>
      <c r="C2389">
        <f>Inputs!$B$3&gt;=105</f>
        <v/>
      </c>
      <c r="D2389">
        <f>IF(Skills!C14=1,60+Inputs!$B$25+Inputs!$B$29,IF(Skills!C14=2,90+Inputs!$B$26+Inputs!$B$29,IF(Skills!C14=3,120+Inputs!$B$27+Inputs!$B$29,MAX(0,(Inputs!$B$3-100)*3)+Inputs!$B$28+Inputs!$B$29)))</f>
        <v/>
      </c>
      <c r="E2389">
        <f>INDEX(FactorTable!$B$2:$Y$301, MATCH(ROUND(MIN(300,MAX(1,D2389)),0), FactorTable!$A$2:$A$301,0), Skills!M14+1)</f>
        <v/>
      </c>
      <c r="F2389">
        <f>IF(Skills!N14=TRUE,(Skills!L14/10)*(E2389/1000),Skills!L14/10)+Skills!O14</f>
        <v/>
      </c>
      <c r="G2389">
        <f>Calc!G14</f>
        <v/>
      </c>
      <c r="H2389">
        <f>Calc!H14</f>
        <v/>
      </c>
      <c r="I2389">
        <f>IF(Skills!AA14&lt;&gt;"",1+(Skills!AA14/10)*(U2378/1000)/100,1)</f>
        <v/>
      </c>
      <c r="J2389">
        <f>((Inputs!$B$6*(1+Inputs!$B$7/100))+(((Inputs!$B$12*(1+Inputs!$B$13/100))-(Inputs!$B$12*(1+Inputs!$B$13/100)))+0.25*(Inputs!$B$14-Inputs!$B$14))*(1+Inputs!$B$7/100))*(F2389/100)</f>
        <v/>
      </c>
      <c r="K2389">
        <f>J2389*(1+((Inputs!$B$12*(1+Inputs!$B$13/100))*0.01+Inputs!$B$14*0.0025)/100)*(1+Inputs!$B$15/100)*(1+Inputs!$B$16/100)*(5000/(6000+Inputs!$B$43*(1-(100*(1-(1-(Inputs!$B$19+0)/100)*(1-CHOOSE(ArtifactsInput!$N$40+1,5,6,7,8,9,10)/100)^(ArtifactsInput!$M$40-ArtifactsInput!$M$40)))/100)))*(1+(Inputs!$B$24+((C2405=TRUE)*(F2405-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2398=TRUE)*(F2398-Calc!F23))+(((IF(AND(ArtifactsInput!$M$42,((Inputs!$B$9+((C2400=TRUE)*(F2400-Calc!F25))+B2415+(ArtifactsInput!$M$24-ArtifactsInput!$M$24)*CHOOSE(ArtifactsInput!$N$24+1,10,12,14,16,18,20)+IF(ArtifactsInput!$M$10,CHOOSE(ArtifactsInput!$N$10+1,15,18,21,24,27,30)*(IF(Inputs!$B$39="pvp",MIN(15,15)/15,IF(AND(Inputs!$B$39&lt;&gt;"pvp",Inputs!$B$44&gt;0),MIN(15,Inputs!$B$44)/(Inputs!$B$44),0))),0)))&gt;=100),MIN(100,((Inputs!$B$9+((C2400=TRUE)*(F2400-Calc!F25))+B2415+(ArtifactsInput!$M$24-ArtifactsInput!$M$24)*CHOOSE(ArtifactsInput!$N$24+1,10,12,14,16,18,20)+IF(ArtifactsInput!$M$10,CHOOSE(ArtifactsInput!$N$10+1,15,18,21,24,27,30)*(IF(Inputs!$B$39="pvp",MIN(15,15)/15,IF(AND(Inputs!$B$39&lt;&gt;"pvp",Inputs!$B$44&gt;0),MIN(15,Inputs!$B$44)/(Inputs!$B$44),0))),0)))-100),0))*CHOOSE(ArtifactsInput!$N$42+1,0.6,0.72,0.84,0.96,1.08,1.2))),Inputs!$B$18+((C2404=TRUE)*(F2404-Calc!F29))+(IF(AND(ArtifactsInput!$M$42,((Inputs!$B$9+((C2400=TRUE)*(F2400-Calc!F25))+B2415+(ArtifactsInput!$M$24-ArtifactsInput!$M$24)*CHOOSE(ArtifactsInput!$N$24+1,10,12,14,16,18,20)+IF(ArtifactsInput!$M$10,CHOOSE(ArtifactsInput!$N$10+1,15,18,21,24,27,30)*(IF(Inputs!$B$39="pvp",MIN(15,15)/15,IF(AND(Inputs!$B$39&lt;&gt;"pvp",Inputs!$B$44&gt;0),MIN(15,Inputs!$B$44)/(Inputs!$B$44),0))),0)))&gt;=100),CHOOSE(ArtifactsInput!$N$42+1,40,48,56,64,72,80),0))))/100)*(((1+(((C2396=TRUE)*F2396*IF(AND(Inputs!$B$39&lt;&gt;"pvp",Inputs!$B$44&gt;0),(((R2396-1)*(Skills!Y21*(1+Inputs!$B$34/100))+MIN((Skills!Y21*(1+Inputs!$B$34/100)),MAX(0,Inputs!$B$44-((R2396-1)*Skills!D21))))/Inputs!$B$44),IF(Inputs!$B$39="pvp",MIN((Skills!Y21*(1+Inputs!$B$34/100)),15)/15,(Skills!Y21*(1+Inputs!$B$34/100))/Skills!D21)))+((C2403=TRUE)*(F2403-Calc!F28))+((C2393=TRUE)*(F2393-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2390=TRUE)*F2390*IF(AND(Inputs!$B$39&lt;&gt;"pvp",Inputs!$B$44&gt;0),(((R2390-1)*(Skills!Y15*(1+Inputs!$B$34/100))+MIN((Skills!Y15*(1+Inputs!$B$34/100)),MAX(0,Inputs!$B$44-((R2390-1)*Skills!D15))))/Inputs!$B$44),IF(Inputs!$B$39="pvp",MIN((Skills!Y15*(1+Inputs!$B$34/100)),15)/15,(Skills!Y15*(1+Inputs!$B$34/100))/Skills!D15)))/100)*(1+((C2381=TRUE)*F2381*B2409)/100))*B2417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2389)</f>
        <v/>
      </c>
      <c r="L2389">
        <f>K2389*(MIN(Inputs!$B$22+((C2399=TRUE)*(F2399-Calc!F24)),(Inputs!$B$23+0+(IF(ArtifactsInput!$M$15,CHOOSE(ArtifactsInput!$N$15+1,25,30,35,40,45,50)/100*(Inputs!$B$11-Inputs!$B$11),0))))/100+(Inputs!$B$23+0+(IF(ArtifactsInput!$M$15,CHOOSE(ArtifactsInput!$N$15+1,25,30,35,40,45,50)/100*(Inputs!$B$11-Inputs!$B$11),0)))/100)/2</f>
        <v/>
      </c>
      <c r="M2389">
        <f>L2389*(1+(Inputs!$B$10+((C2401=TRUE)*(F2401-Calc!F26))+B2418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89">
        <f>L2389*(1-MIN((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2389*(MIN((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89">
        <f>(1-Summary!$B$11)*T2389+Summary!$B$11*V2389</f>
        <v/>
      </c>
      <c r="P2389">
        <f>IF(B2419=0,0,O2389/B2419)</f>
        <v/>
      </c>
      <c r="Q2389">
        <f>IFERROR(1/IF(Inputs!$B$39="pvp",15,MAX(0.1,Skills!D14-IF(Skills!E14=TRUE,Inputs!$B$32,0))),0)</f>
        <v/>
      </c>
      <c r="R2389">
        <f>IF(AND(Inputs!$B$39&lt;&gt;"pvp",Inputs!$B$44&gt;0),IF(MAX(0,Inputs!$B$44-B2420)&lt;=0,0,(INT(MAX(0,Inputs!$B$44-B2420)/IF(Inputs!$B$39="pvp",15,MAX(0.1,Skills!D14-IF(Skills!E14=TRUE,Inputs!$B$32,0))))+1)),0)</f>
        <v/>
      </c>
      <c r="S2389">
        <f>IFERROR(O2389/N2389,0)</f>
        <v/>
      </c>
      <c r="T2389">
        <f>IF(C2389,(H2389*N2389*IF(AND(Inputs!$B$39&lt;&gt;"pvp",Inputs!$B$44&gt;0),((Skills!G14*((R2389-1)*IF(Skills!H14&gt;0,Skills!I14/Skills!H14,1)+IF(Skills!H14&gt;0,MIN(Skills!I14,MAX(0,MAX(0,Inputs!$B$44-B2420)-((R2389-1)*IF(Inputs!$B$39="pvp",15,MAX(0.1,Skills!D14-IF(Skills!E14=TRUE,Inputs!$B$32,0))))))/Skills!H14,1)))/Inputs!$B$44),G2389*Q2389))*IF(Inputs!$B$39="pvp",1,1+(Inputs!$B$20+((C2402=TRUE)*(F2402-Calc!F27))+Skills!P14+B2416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Hunt"),CHOOSE(ArtifactsInput!$N$35+1,15,18,21,24,27,30)*(1-EXP(-(0.2*B2411)*5)),0)+IF(AND(ArtifactsInput!$M$22,Inputs!$B$4&lt;&gt;"Chapter Hunt"),CHOOSE(ArtifactsInput!$N$22+1,10,12,14,16,18,20)*((0*(((0.15*B2411*5))^0/1)+1*(((0.15*B2411*5))^1/1)+2*(((0.15*B2411*5))^2/2)+3*(((0.15*B2411*5))^3/6)+4*(((0.15*B2411*5))^4/24)+5*(((0.15*B2411*5))^5/120))/((((0.15*B2411*5))^0/1)+(((0.15*B2411*5))^1/1)+(((0.15*B2411*5))^2/2)+(((0.15*B2411*5))^3/6)+(((0.15*B2411*5))^4/24)+(((0.15*B2411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2389*(1-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2389*(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2389*(1-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2389*(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89">
        <f>IF(C2389,(H2389*N2389*IF(AND(Inputs!$B$39&lt;&gt;"pvp",Inputs!$B$44&gt;0),((Skills!G14*((R2389-1)*IF(Skills!H14&gt;0,Skills!I14/Skills!H14,1)+IF(Skills!H14&gt;0,MIN(Skills!I14,MAX(0,MAX(0,Inputs!$B$44-B2420)-((R2389-1)*IF(Inputs!$B$39="pvp",15,MAX(0.1,Skills!D14-IF(Skills!E14=TRUE,Inputs!$B$32,0))))))/Skills!H14,1)))/Inputs!$B$44),G2389*Q2389))*IF(Inputs!$B$39="pvp",1,(1+(Inputs!$B$21+Skills!Q14+B2416+(IF(ArtifactsInput!$M$33,CHOOSE(ArtifactsInput!$N$33+1,30,36,42,48,54,60),0))+(IF(AND(ArtifactsInput!$M$35,Inputs!$B$4&lt;&gt;"Chapter Hunt"),CHOOSE(ArtifactsInput!$N$35+1,15,18,21,24,27,30)*(1-EXP(-(0.2*B2411)*5)),0)+IF(AND(ArtifactsInput!$M$22,Inputs!$B$4&lt;&gt;"Chapter Hunt"),CHOOSE(ArtifactsInput!$N$22+1,10,12,14,16,18,20)*((0*(((0.15*B2411*5))^0/1)+1*(((0.15*B2411*5))^1/1)+2*(((0.15*B2411*5))^2/2)+3*(((0.15*B2411*5))^3/6)+4*(((0.15*B2411*5))^4/24)+5*(((0.15*B2411*5))^5/120))/((((0.15*B2411*5))^0/1)+(((0.15*B2411*5))^1/1)+(((0.15*B2411*5))^2/2)+(((0.15*B2411*5))^3/6)+(((0.15*B2411*5))^4/24)+(((0.15*B2411*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90">
      <c r="A2390">
        <f>Skills!A15</f>
        <v/>
      </c>
      <c r="B2390">
        <f>Skills!B15</f>
        <v/>
      </c>
      <c r="C2390">
        <f>Inputs!$B$3&gt;=110</f>
        <v/>
      </c>
      <c r="D2390">
        <f>IF(Skills!C15=1,60+Inputs!$B$25+Inputs!$B$29,IF(Skills!C15=2,90+Inputs!$B$26+Inputs!$B$29,IF(Skills!C15=3,120+Inputs!$B$27+Inputs!$B$29,MAX(0,(Inputs!$B$3-100)*3)+Inputs!$B$28+Inputs!$B$29)))</f>
        <v/>
      </c>
      <c r="E2390">
        <f>INDEX(FactorTable!$B$2:$Y$301, MATCH(ROUND(MIN(300,MAX(1,D2390)),0), FactorTable!$A$2:$A$301,0), Skills!M15+1)</f>
        <v/>
      </c>
      <c r="F2390">
        <f>IF(Skills!N15=TRUE,(Skills!L15/10)*(E2390/1000),Skills!L15/10)+Skills!O15</f>
        <v/>
      </c>
      <c r="G2390">
        <f>Calc!G15</f>
        <v/>
      </c>
      <c r="H2390">
        <f>Calc!H15</f>
        <v/>
      </c>
      <c r="I2390">
        <f>IF(Skills!AA15&lt;&gt;"",1+(Skills!AA15/10)*(U2378/1000)/100,1)</f>
        <v/>
      </c>
      <c r="J2390" t="inlineStr"/>
      <c r="K2390" t="inlineStr"/>
      <c r="L2390" t="inlineStr"/>
      <c r="M2390" t="inlineStr"/>
      <c r="N2390" t="inlineStr"/>
      <c r="O2390">
        <f>(1-Summary!$B$11)*T2390+Summary!$B$11*V2390</f>
        <v/>
      </c>
      <c r="P2390">
        <f>IF(B2419=0,0,O2390/B2419)</f>
        <v/>
      </c>
      <c r="Q2390">
        <f>IFERROR(1/IF(Inputs!$B$39="pvp",15,MAX(0.1,Skills!D15-IF(Skills!E15=TRUE,Inputs!$B$32,0))),0)</f>
        <v/>
      </c>
      <c r="R2390">
        <f>IF(AND(Inputs!$B$39&lt;&gt;"pvp",Inputs!$B$44&gt;0),IF(Inputs!$B$44&lt;=0,0,(INT(Inputs!$B$44/IF(Inputs!$B$39="pvp",15,MAX(0.1,Skills!D15-IF(Skills!E15=TRUE,Inputs!$B$32,0))))+1)),0)</f>
        <v/>
      </c>
      <c r="S2390">
        <f>IFERROR(O2390/N2390,0)</f>
        <v/>
      </c>
      <c r="T2390" t="n">
        <v>0</v>
      </c>
      <c r="V2390" t="n">
        <v>0</v>
      </c>
    </row>
    <row r="2391">
      <c r="A2391">
        <f>Skills!A16</f>
        <v/>
      </c>
      <c r="B2391">
        <f>Skills!B16</f>
        <v/>
      </c>
      <c r="C2391">
        <f>Inputs!$B$3&gt;=110</f>
        <v/>
      </c>
      <c r="D2391">
        <f>IF(Skills!C16=1,60+Inputs!$B$25+Inputs!$B$29,IF(Skills!C16=2,90+Inputs!$B$26+Inputs!$B$29,IF(Skills!C16=3,120+Inputs!$B$27+Inputs!$B$29,MAX(0,(Inputs!$B$3-100)*3)+Inputs!$B$28+Inputs!$B$29)))</f>
        <v/>
      </c>
      <c r="E2391">
        <f>INDEX(FactorTable!$B$2:$Y$301, MATCH(ROUND(MIN(300,MAX(1,D2391)),0), FactorTable!$A$2:$A$301,0), Skills!M16+1)</f>
        <v/>
      </c>
      <c r="F2391">
        <f>IF(Skills!N16=TRUE,(Skills!L16/10)*(E2391/1000),Skills!L16/10)+Skills!O16</f>
        <v/>
      </c>
      <c r="G2391">
        <f>Calc!G16</f>
        <v/>
      </c>
      <c r="H2391">
        <f>Calc!H16</f>
        <v/>
      </c>
      <c r="I2391">
        <f>IF(Skills!AA16&lt;&gt;"",1+(Skills!AA16/10)*(U2378/1000)/100,1)</f>
        <v/>
      </c>
      <c r="J2391" t="inlineStr"/>
      <c r="K2391" t="inlineStr"/>
      <c r="L2391" t="inlineStr"/>
      <c r="M2391" t="inlineStr"/>
      <c r="N2391" t="inlineStr"/>
      <c r="O2391">
        <f>(1-Summary!$B$11)*T2391+Summary!$B$11*V2391</f>
        <v/>
      </c>
      <c r="P2391">
        <f>IF(B2419=0,0,O2391/B2419)</f>
        <v/>
      </c>
      <c r="Q2391">
        <f>IFERROR(1/IF(Inputs!$B$39="pvp",15,MAX(0.1,Skills!D16-IF(Skills!E16=TRUE,Inputs!$B$32,0))),0)</f>
        <v/>
      </c>
      <c r="R2391">
        <f>IF(AND(Inputs!$B$39&lt;&gt;"pvp",Inputs!$B$44&gt;0),IF(Inputs!$B$44&lt;=0,0,(INT(Inputs!$B$44/IF(Inputs!$B$39="pvp",15,MAX(0.1,Skills!D16-IF(Skills!E16=TRUE,Inputs!$B$32,0))))+1)),0)</f>
        <v/>
      </c>
      <c r="S2391">
        <f>IFERROR(O2391/N2391,0)</f>
        <v/>
      </c>
      <c r="T2391" t="n">
        <v>0</v>
      </c>
      <c r="V2391" t="n">
        <v>0</v>
      </c>
    </row>
    <row r="2392">
      <c r="A2392">
        <f>Skills!A17</f>
        <v/>
      </c>
      <c r="B2392">
        <f>Skills!B17</f>
        <v/>
      </c>
      <c r="C2392">
        <f>Inputs!$B$3&gt;=115</f>
        <v/>
      </c>
      <c r="D2392">
        <f>IF(Skills!C17=1,60+Inputs!$B$25+Inputs!$B$29,IF(Skills!C17=2,90+Inputs!$B$26+Inputs!$B$29,IF(Skills!C17=3,120+Inputs!$B$27+Inputs!$B$29,MAX(0,(Inputs!$B$3-100)*3)+Inputs!$B$28+Inputs!$B$29)))</f>
        <v/>
      </c>
      <c r="E2392">
        <f>INDEX(FactorTable!$B$2:$Y$301, MATCH(ROUND(MIN(300,MAX(1,D2392)),0), FactorTable!$A$2:$A$301,0), Skills!M17+1)</f>
        <v/>
      </c>
      <c r="F2392">
        <f>IF(Skills!N17=TRUE,(Skills!L17/10)*(E2392/1000),Skills!L17/10)+Skills!O17</f>
        <v/>
      </c>
      <c r="G2392">
        <f>Calc!G17</f>
        <v/>
      </c>
      <c r="H2392">
        <f>Calc!H17</f>
        <v/>
      </c>
      <c r="I2392">
        <f>IF(Skills!AA17&lt;&gt;"",1+(Skills!AA17/10)*(U2378/1000)/100,1)</f>
        <v/>
      </c>
      <c r="J2392">
        <f>((Inputs!$B$6*(1+Inputs!$B$7/100))+(((Inputs!$B$12*(1+Inputs!$B$13/100))-(Inputs!$B$12*(1+Inputs!$B$13/100)))+0.25*(Inputs!$B$14-Inputs!$B$14))*(1+Inputs!$B$7/100))*(F2392/100)</f>
        <v/>
      </c>
      <c r="K2392">
        <f>J2392*(1+((Inputs!$B$12*(1+Inputs!$B$13/100))*0.01+Inputs!$B$14*0.0025)/100)*(1+Inputs!$B$15/100)*(1+Inputs!$B$16/100)*(5000/(6000+Inputs!$B$43*(1-(100*(1-(1-(Inputs!$B$19+0)/100)*(1-CHOOSE(ArtifactsInput!$N$40+1,5,6,7,8,9,10)/100)^(ArtifactsInput!$M$40-ArtifactsInput!$M$40)))/100)))*(1+(Inputs!$B$24+((C2405=TRUE)*(F2405-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2398=TRUE)*(F2398-Calc!F23))+(((IF(AND(ArtifactsInput!$M$42,((Inputs!$B$9+((C2400=TRUE)*(F2400-Calc!F25))+B2415+(ArtifactsInput!$M$24-ArtifactsInput!$M$24)*CHOOSE(ArtifactsInput!$N$24+1,10,12,14,16,18,20)+IF(ArtifactsInput!$M$10,CHOOSE(ArtifactsInput!$N$10+1,15,18,21,24,27,30)*(IF(Inputs!$B$39="pvp",MIN(15,15)/15,IF(AND(Inputs!$B$39&lt;&gt;"pvp",Inputs!$B$44&gt;0),MIN(15,Inputs!$B$44)/(Inputs!$B$44),0))),0)))&gt;=100),MIN(100,((Inputs!$B$9+((C2400=TRUE)*(F2400-Calc!F25))+B2415+(ArtifactsInput!$M$24-ArtifactsInput!$M$24)*CHOOSE(ArtifactsInput!$N$24+1,10,12,14,16,18,20)+IF(ArtifactsInput!$M$10,CHOOSE(ArtifactsInput!$N$10+1,15,18,21,24,27,30)*(IF(Inputs!$B$39="pvp",MIN(15,15)/15,IF(AND(Inputs!$B$39&lt;&gt;"pvp",Inputs!$B$44&gt;0),MIN(15,Inputs!$B$44)/(Inputs!$B$44),0))),0)))-100),0))*CHOOSE(ArtifactsInput!$N$42+1,0.6,0.72,0.84,0.96,1.08,1.2))),Inputs!$B$18+((C2404=TRUE)*(F2404-Calc!F29))+(IF(AND(ArtifactsInput!$M$42,((Inputs!$B$9+((C2400=TRUE)*(F2400-Calc!F25))+B2415+(ArtifactsInput!$M$24-ArtifactsInput!$M$24)*CHOOSE(ArtifactsInput!$N$24+1,10,12,14,16,18,20)+IF(ArtifactsInput!$M$10,CHOOSE(ArtifactsInput!$N$10+1,15,18,21,24,27,30)*(IF(Inputs!$B$39="pvp",MIN(15,15)/15,IF(AND(Inputs!$B$39&lt;&gt;"pvp",Inputs!$B$44&gt;0),MIN(15,Inputs!$B$44)/(Inputs!$B$44),0))),0)))&gt;=100),CHOOSE(ArtifactsInput!$N$42+1,40,48,56,64,72,80),0))))/100)*(((1+(((C2396=TRUE)*F2396*IF(AND(Inputs!$B$39&lt;&gt;"pvp",Inputs!$B$44&gt;0),(((R2396-1)*(Skills!Y21*(1+Inputs!$B$34/100))+MIN((Skills!Y21*(1+Inputs!$B$34/100)),MAX(0,Inputs!$B$44-((R2396-1)*Skills!D21))))/Inputs!$B$44),IF(Inputs!$B$39="pvp",MIN((Skills!Y21*(1+Inputs!$B$34/100)),15)/15,(Skills!Y21*(1+Inputs!$B$34/100))/Skills!D21)))+((C2403=TRUE)*(F2403-Calc!F28))+((C2393=TRUE)*(F2393-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2390=TRUE)*F2390*IF(AND(Inputs!$B$39&lt;&gt;"pvp",Inputs!$B$44&gt;0),(((R2390-1)*(Skills!Y15*(1+Inputs!$B$34/100))+MIN((Skills!Y15*(1+Inputs!$B$34/100)),MAX(0,Inputs!$B$44-((R2390-1)*Skills!D15))))/Inputs!$B$44),IF(Inputs!$B$39="pvp",MIN((Skills!Y15*(1+Inputs!$B$34/100)),15)/15,(Skills!Y15*(1+Inputs!$B$34/100))/Skills!D15)))/100)*(1+((C2381=TRUE)*F2381*B2409)/100))*B2417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2392)</f>
        <v/>
      </c>
      <c r="L2392">
        <f>K2392*(MIN(Inputs!$B$22+((C2399=TRUE)*(F2399-Calc!F24)),(Inputs!$B$23+0+(IF(ArtifactsInput!$M$15,CHOOSE(ArtifactsInput!$N$15+1,25,30,35,40,45,50)/100*(Inputs!$B$11-Inputs!$B$11),0))))/100+(Inputs!$B$23+0+(IF(ArtifactsInput!$M$15,CHOOSE(ArtifactsInput!$N$15+1,25,30,35,40,45,50)/100*(Inputs!$B$11-Inputs!$B$11),0)))/100)/2</f>
        <v/>
      </c>
      <c r="M2392">
        <f>L2392*(1+(Inputs!$B$10+((C2401=TRUE)*(F2401-Calc!F26))+B2418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92">
        <f>L2392*(1-MIN((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2392*(MIN((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92">
        <f>(1-Summary!$B$11)*T2392+Summary!$B$11*V2392</f>
        <v/>
      </c>
      <c r="P2392">
        <f>IF(B2419=0,0,O2392/B2419)</f>
        <v/>
      </c>
      <c r="Q2392" t="n">
        <v>0</v>
      </c>
      <c r="R2392" t="n">
        <v>0</v>
      </c>
      <c r="S2392">
        <f>IFERROR(O2392/N2392,0)</f>
        <v/>
      </c>
      <c r="T2392">
        <f>IF(C2392,(Inputs!$B$38*0.2*N2392)*IF(Inputs!$B$39="pvp",1,1+(Inputs!$B$20+((C2402=TRUE)*(F2402-Calc!F27))+Skills!P17+B2416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Hunt"),CHOOSE(ArtifactsInput!$N$35+1,15,18,21,24,27,30)*(1-EXP(-(0.2*B2411)*5)),0)+IF(AND(ArtifactsInput!$M$22,Inputs!$B$4&lt;&gt;"Chapter Hunt"),CHOOSE(ArtifactsInput!$N$22+1,10,12,14,16,18,20)*((0*(((0.15*B2411*5))^0/1)+1*(((0.15*B2411*5))^1/1)+2*(((0.15*B2411*5))^2/2)+3*(((0.15*B2411*5))^3/6)+4*(((0.15*B2411*5))^4/24)+5*(((0.15*B2411*5))^5/120))/((((0.15*B2411*5))^0/1)+(((0.15*B2411*5))^1/1)+(((0.15*B2411*5))^2/2)+(((0.15*B2411*5))^3/6)+(((0.15*B2411*5))^4/24)+(((0.15*B2411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2392*(1-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2392*(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2392*(1-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2392*(MIN(100,(Inputs!$B$9+((C2400=TRUE)*(F2400-Calc!F25))+B2415+(ArtifactsInput!$M$24-ArtifactsInput!$M$24)*CHOOSE(ArtifactsInput!$N$24+1,10,12,14,16,18,20)+(IF(AND(ArtifactsInput!$M$42,((Inputs!$B$9+((C2400=TRUE)*(F2400-Calc!F25))+B2415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92">
        <f>IF(C2392,(Inputs!$B$38*0.2*N2392)*IF(Inputs!$B$39="pvp",1,(1+(Inputs!$B$21+Skills!Q17+B2416+(IF(ArtifactsInput!$M$33,CHOOSE(ArtifactsInput!$N$33+1,30,36,42,48,54,60),0))+(IF(AND(ArtifactsInput!$M$35,Inputs!$B$4&lt;&gt;"Chapter Hunt"),CHOOSE(ArtifactsInput!$N$35+1,15,18,21,24,27,30)*(1-EXP(-(0.2*B2411)*5)),0)+IF(AND(ArtifactsInput!$M$22,Inputs!$B$4&lt;&gt;"Chapter Hunt"),CHOOSE(ArtifactsInput!$N$22+1,10,12,14,16,18,20)*((0*(((0.15*B2411*5))^0/1)+1*(((0.15*B2411*5))^1/1)+2*(((0.15*B2411*5))^2/2)+3*(((0.15*B2411*5))^3/6)+4*(((0.15*B2411*5))^4/24)+5*(((0.15*B2411*5))^5/120))/((((0.15*B2411*5))^0/1)+(((0.15*B2411*5))^1/1)+(((0.15*B2411*5))^2/2)+(((0.15*B2411*5))^3/6)+(((0.15*B2411*5))^4/24)+(((0.15*B2411*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93">
      <c r="A2393">
        <f>Skills!A18</f>
        <v/>
      </c>
      <c r="B2393">
        <f>Skills!B18</f>
        <v/>
      </c>
      <c r="C2393">
        <f>Inputs!$B$3&gt;=115</f>
        <v/>
      </c>
      <c r="D2393">
        <f>IF(Skills!C18=1,60+Inputs!$B$25+Inputs!$B$29,IF(Skills!C18=2,90+Inputs!$B$26+Inputs!$B$29,IF(Skills!C18=3,120+Inputs!$B$27+Inputs!$B$29,MAX(0,(Inputs!$B$3-100)*3)+Inputs!$B$28+Inputs!$B$29)))</f>
        <v/>
      </c>
      <c r="E2393">
        <f>INDEX(FactorTable!$B$2:$Y$301, MATCH(ROUND(MIN(300,MAX(1,D2393)),0), FactorTable!$A$2:$A$301,0), Skills!M18+1)</f>
        <v/>
      </c>
      <c r="F2393">
        <f>IF(Skills!N18=TRUE,(Skills!L18/10)*(E2393/1000),Skills!L18/10)+Skills!O18</f>
        <v/>
      </c>
      <c r="G2393">
        <f>Calc!G18</f>
        <v/>
      </c>
      <c r="H2393">
        <f>Calc!H18</f>
        <v/>
      </c>
      <c r="I2393">
        <f>IF(Skills!AA18&lt;&gt;"",1+(Skills!AA18/10)*(U2378/1000)/100,1)</f>
        <v/>
      </c>
      <c r="J2393" t="inlineStr"/>
      <c r="K2393" t="inlineStr"/>
      <c r="L2393" t="inlineStr"/>
      <c r="M2393" t="inlineStr"/>
      <c r="N2393" t="inlineStr"/>
      <c r="O2393">
        <f>(1-Summary!$B$11)*T2393+Summary!$B$11*V2393</f>
        <v/>
      </c>
      <c r="P2393">
        <f>IF(B2419=0,0,O2393/B2419)</f>
        <v/>
      </c>
      <c r="Q2393" t="n">
        <v>0</v>
      </c>
      <c r="R2393" t="n">
        <v>0</v>
      </c>
      <c r="S2393">
        <f>IFERROR(O2393/N2393,0)</f>
        <v/>
      </c>
      <c r="T2393" t="n">
        <v>0</v>
      </c>
      <c r="V2393" t="n">
        <v>0</v>
      </c>
    </row>
    <row r="2394">
      <c r="A2394">
        <f>Skills!A19</f>
        <v/>
      </c>
      <c r="B2394">
        <f>Skills!B19</f>
        <v/>
      </c>
      <c r="C2394">
        <f>TRUE</f>
        <v/>
      </c>
      <c r="D2394">
        <f>IF(Skills!C19=1,60+Inputs!$B$25+Inputs!$B$29,IF(Skills!C19=2,90+Inputs!$B$26+Inputs!$B$29,IF(Skills!C19=3,120+Inputs!$B$27+Inputs!$B$29,MAX(0,(Inputs!$B$3-100)*3)+Inputs!$B$28+Inputs!$B$29)))</f>
        <v/>
      </c>
      <c r="E2394">
        <f>INDEX(FactorTable!$B$2:$Y$301, MATCH(ROUND(MIN(300,MAX(1,D2394)),0), FactorTable!$A$2:$A$301,0), Skills!M19+1)</f>
        <v/>
      </c>
      <c r="F2394">
        <f>IF(Skills!N19=TRUE,(Skills!L19/10)*(E2394/1000),Skills!L19/10)+Skills!O19</f>
        <v/>
      </c>
      <c r="G2394">
        <f>Calc!G19</f>
        <v/>
      </c>
      <c r="H2394">
        <f>Calc!H19</f>
        <v/>
      </c>
      <c r="I2394">
        <f>IF(Skills!AA19&lt;&gt;"",1+(Skills!AA19/10)*(U2378/1000)/100,1)</f>
        <v/>
      </c>
      <c r="J2394" t="inlineStr"/>
      <c r="K2394" t="inlineStr"/>
      <c r="L2394" t="inlineStr"/>
      <c r="M2394" t="inlineStr"/>
      <c r="N2394" t="inlineStr"/>
      <c r="O2394">
        <f>(1-Summary!$B$11)*T2394+Summary!$B$11*V2394</f>
        <v/>
      </c>
      <c r="P2394">
        <f>IF(B2419=0,0,O2394/B2419)</f>
        <v/>
      </c>
      <c r="Q2394">
        <f>IFERROR(1/IF(Inputs!$B$39="pvp",15,MAX(0.1,Skills!D19-IF(Skills!E19=TRUE,Inputs!$B$32,0))),0)</f>
        <v/>
      </c>
      <c r="R2394">
        <f>IF(AND(Inputs!$B$39&lt;&gt;"pvp",Inputs!$B$44&gt;0),IF(Inputs!$B$44&lt;=0,0,(INT(Inputs!$B$44/IF(Inputs!$B$39="pvp",15,MAX(0.1,Skills!D19-IF(Skills!E19=TRUE,Inputs!$B$32,0))))+1)),0)</f>
        <v/>
      </c>
      <c r="S2394">
        <f>IFERROR(O2394/N2394,0)</f>
        <v/>
      </c>
      <c r="T2394" t="n">
        <v>0</v>
      </c>
      <c r="V2394" t="n">
        <v>0</v>
      </c>
    </row>
    <row r="2395">
      <c r="A2395">
        <f>Skills!A20</f>
        <v/>
      </c>
      <c r="B2395">
        <f>Skills!B20</f>
        <v/>
      </c>
      <c r="C2395">
        <f>Inputs!$B$3&gt;=15</f>
        <v/>
      </c>
      <c r="D2395">
        <f>IF(Skills!C20=1,60+Inputs!$B$25+Inputs!$B$29,IF(Skills!C20=2,90+Inputs!$B$26+Inputs!$B$29,IF(Skills!C20=3,120+Inputs!$B$27+Inputs!$B$29,MAX(0,(Inputs!$B$3-100)*3)+Inputs!$B$28+Inputs!$B$29)))</f>
        <v/>
      </c>
      <c r="E2395">
        <f>INDEX(FactorTable!$B$2:$Y$301, MATCH(ROUND(MIN(300,MAX(1,D2395)),0), FactorTable!$A$2:$A$301,0), Skills!M20+1)</f>
        <v/>
      </c>
      <c r="F2395">
        <f>IF(Skills!N20=TRUE,(Skills!L20/10)*(E2395/1000),Skills!L20/10)+Skills!O20</f>
        <v/>
      </c>
      <c r="G2395">
        <f>Calc!G20</f>
        <v/>
      </c>
      <c r="H2395">
        <f>Calc!H20</f>
        <v/>
      </c>
      <c r="I2395">
        <f>IF(Skills!AA20&lt;&gt;"",1+(Skills!AA20/10)*(U2378/1000)/100,1)</f>
        <v/>
      </c>
      <c r="J2395" t="inlineStr"/>
      <c r="K2395" t="inlineStr"/>
      <c r="L2395" t="inlineStr"/>
      <c r="M2395" t="inlineStr"/>
      <c r="N2395" t="inlineStr"/>
      <c r="O2395">
        <f>(1-Summary!$B$11)*T2395+Summary!$B$11*V2395</f>
        <v/>
      </c>
      <c r="P2395">
        <f>IF(B2419=0,0,O2395/B2419)</f>
        <v/>
      </c>
      <c r="Q2395">
        <f>IFERROR(1/IF(Inputs!$B$39="pvp",15,MAX(0.1,Skills!D20-IF(Skills!E20=TRUE,Inputs!$B$32,0))),0)</f>
        <v/>
      </c>
      <c r="R2395">
        <f>IF(AND(Inputs!$B$39&lt;&gt;"pvp",Inputs!$B$44&gt;0),IF(Inputs!$B$44&lt;=0,0,(INT(Inputs!$B$44/IF(Inputs!$B$39="pvp",15,MAX(0.1,Skills!D20-IF(Skills!E20=TRUE,Inputs!$B$32,0))))+1)),0)</f>
        <v/>
      </c>
      <c r="S2395">
        <f>IFERROR(O2395/N2395,0)</f>
        <v/>
      </c>
      <c r="T2395" t="n">
        <v>0</v>
      </c>
      <c r="V2395" t="n">
        <v>0</v>
      </c>
    </row>
    <row r="2396">
      <c r="A2396">
        <f>Skills!A21</f>
        <v/>
      </c>
      <c r="B2396">
        <f>Skills!B21</f>
        <v/>
      </c>
      <c r="C2396">
        <f>Inputs!$B$3&gt;=15</f>
        <v/>
      </c>
      <c r="D2396">
        <f>IF(Skills!C21=1,60+Inputs!$B$25+Inputs!$B$29,IF(Skills!C21=2,90+Inputs!$B$26+Inputs!$B$29,IF(Skills!C21=3,120+Inputs!$B$27+Inputs!$B$29,MAX(0,(Inputs!$B$3-100)*3)+Inputs!$B$28+Inputs!$B$29)))</f>
        <v/>
      </c>
      <c r="E2396">
        <f>INDEX(FactorTable!$B$2:$Y$301, MATCH(ROUND(MIN(300,MAX(1,D2396)),0), FactorTable!$A$2:$A$301,0), Skills!M21+1)</f>
        <v/>
      </c>
      <c r="F2396">
        <f>IF(Skills!N21=TRUE,(Skills!L21/10)*(E2396/1000),Skills!L21/10)+Skills!O21</f>
        <v/>
      </c>
      <c r="G2396">
        <f>Calc!G21</f>
        <v/>
      </c>
      <c r="H2396">
        <f>Calc!H21</f>
        <v/>
      </c>
      <c r="I2396">
        <f>IF(Skills!AA21&lt;&gt;"",1+(Skills!AA21/10)*(U2378/1000)/100,1)</f>
        <v/>
      </c>
      <c r="J2396" t="inlineStr"/>
      <c r="K2396" t="inlineStr"/>
      <c r="L2396" t="inlineStr"/>
      <c r="M2396" t="inlineStr"/>
      <c r="N2396" t="inlineStr"/>
      <c r="O2396">
        <f>(1-Summary!$B$11)*T2396+Summary!$B$11*V2396</f>
        <v/>
      </c>
      <c r="P2396">
        <f>IF(B2419=0,0,O2396/B2419)</f>
        <v/>
      </c>
      <c r="Q2396">
        <f>IFERROR(1/IF(Inputs!$B$39="pvp",15,MAX(0.1,Skills!D21-IF(Skills!E21=TRUE,Inputs!$B$32,0))),0)</f>
        <v/>
      </c>
      <c r="R2396">
        <f>IF(AND(Inputs!$B$39&lt;&gt;"pvp",Inputs!$B$44&gt;0),IF(Inputs!$B$44&lt;=0,0,(INT(Inputs!$B$44/IF(Inputs!$B$39="pvp",15,MAX(0.1,Skills!D21-IF(Skills!E21=TRUE,Inputs!$B$32,0))))+1)),0)</f>
        <v/>
      </c>
      <c r="S2396">
        <f>IFERROR(O2396/N2396,0)</f>
        <v/>
      </c>
      <c r="T2396" t="n">
        <v>0</v>
      </c>
      <c r="V2396" t="n">
        <v>0</v>
      </c>
    </row>
    <row r="2397">
      <c r="A2397">
        <f>Skills!A22</f>
        <v/>
      </c>
      <c r="B2397">
        <f>Skills!B22</f>
        <v/>
      </c>
      <c r="C2397">
        <f>Inputs!$B$3&gt;=33</f>
        <v/>
      </c>
      <c r="D2397">
        <f>IF(Skills!C22=1,60+Inputs!$B$25+Inputs!$B$29,IF(Skills!C22=2,90+Inputs!$B$26+Inputs!$B$29,IF(Skills!C22=3,120+Inputs!$B$27+Inputs!$B$29,MAX(0,(Inputs!$B$3-100)*3)+Inputs!$B$28+Inputs!$B$29)))</f>
        <v/>
      </c>
      <c r="E2397">
        <f>INDEX(FactorTable!$B$2:$Y$301, MATCH(ROUND(MIN(300,MAX(1,D2397)),0), FactorTable!$A$2:$A$301,0), Skills!M22+1)</f>
        <v/>
      </c>
      <c r="F2397">
        <f>IF(Skills!N22=TRUE,(Skills!L22/10)*(E2397/1000),Skills!L22/10)+Skills!O22</f>
        <v/>
      </c>
      <c r="G2397">
        <f>Calc!G22</f>
        <v/>
      </c>
      <c r="H2397">
        <f>Calc!H22</f>
        <v/>
      </c>
      <c r="I2397">
        <f>IF(Skills!AA22&lt;&gt;"",1+(Skills!AA22/10)*(U2378/1000)/100,1)</f>
        <v/>
      </c>
      <c r="J2397" t="inlineStr"/>
      <c r="K2397" t="inlineStr"/>
      <c r="L2397" t="inlineStr"/>
      <c r="M2397" t="inlineStr"/>
      <c r="N2397" t="inlineStr"/>
      <c r="O2397">
        <f>(1-Summary!$B$11)*T2397+Summary!$B$11*V2397</f>
        <v/>
      </c>
      <c r="P2397">
        <f>IF(B2419=0,0,O2397/B2419)</f>
        <v/>
      </c>
      <c r="Q2397" t="n">
        <v>0</v>
      </c>
      <c r="R2397" t="n">
        <v>0</v>
      </c>
      <c r="S2397">
        <f>IFERROR(O2397/N2397,0)</f>
        <v/>
      </c>
      <c r="T2397" t="n">
        <v>0</v>
      </c>
      <c r="V2397" t="n">
        <v>0</v>
      </c>
    </row>
    <row r="2398">
      <c r="A2398">
        <f>Skills!A23</f>
        <v/>
      </c>
      <c r="B2398">
        <f>Skills!B23</f>
        <v/>
      </c>
      <c r="C2398">
        <f>Inputs!$B$3&gt;=38</f>
        <v/>
      </c>
      <c r="D2398">
        <f>IF(Skills!C23=1,60+Inputs!$B$25+Inputs!$B$29,IF(Skills!C23=2,90+Inputs!$B$26+Inputs!$B$29,IF(Skills!C23=3,120+Inputs!$B$27+Inputs!$B$29,MAX(0,(Inputs!$B$3-100)*3)+Inputs!$B$28+Inputs!$B$29)))</f>
        <v/>
      </c>
      <c r="E2398">
        <f>INDEX(FactorTable!$B$2:$Y$301, MATCH(ROUND(MIN(300,MAX(1,D2398)),0), FactorTable!$A$2:$A$301,0), Skills!M23+1)</f>
        <v/>
      </c>
      <c r="F2398">
        <f>IF(Skills!N23=TRUE,(Skills!L23/10)*(E2398/1000),Skills!L23/10)+Skills!O23</f>
        <v/>
      </c>
      <c r="G2398">
        <f>Calc!G23</f>
        <v/>
      </c>
      <c r="H2398">
        <f>Calc!H23</f>
        <v/>
      </c>
      <c r="I2398">
        <f>IF(Skills!AA23&lt;&gt;"",1+(Skills!AA23/10)*(U2378/1000)/100,1)</f>
        <v/>
      </c>
      <c r="J2398" t="inlineStr"/>
      <c r="K2398" t="inlineStr"/>
      <c r="L2398" t="inlineStr"/>
      <c r="M2398" t="inlineStr"/>
      <c r="N2398" t="inlineStr"/>
      <c r="O2398">
        <f>(1-Summary!$B$11)*T2398+Summary!$B$11*V2398</f>
        <v/>
      </c>
      <c r="P2398">
        <f>IF(B2419=0,0,O2398/B2419)</f>
        <v/>
      </c>
      <c r="Q2398" t="n">
        <v>0</v>
      </c>
      <c r="R2398" t="n">
        <v>0</v>
      </c>
      <c r="S2398">
        <f>IFERROR(O2398/N2398,0)</f>
        <v/>
      </c>
      <c r="T2398" t="n">
        <v>0</v>
      </c>
      <c r="V2398" t="n">
        <v>0</v>
      </c>
    </row>
    <row r="2399">
      <c r="A2399">
        <f>Skills!A24</f>
        <v/>
      </c>
      <c r="B2399">
        <f>Skills!B24</f>
        <v/>
      </c>
      <c r="C2399">
        <f>Inputs!$B$3&gt;=40</f>
        <v/>
      </c>
      <c r="D2399">
        <f>IF(Skills!C24=1,60+Inputs!$B$25+Inputs!$B$29,IF(Skills!C24=2,90+Inputs!$B$26+Inputs!$B$29,IF(Skills!C24=3,120+Inputs!$B$27+Inputs!$B$29,MAX(0,(Inputs!$B$3-100)*3)+Inputs!$B$28+Inputs!$B$29)))</f>
        <v/>
      </c>
      <c r="E2399">
        <f>INDEX(FactorTable!$B$2:$Y$301, MATCH(ROUND(MIN(300,MAX(1,D2399)),0), FactorTable!$A$2:$A$301,0), Skills!M24+1)</f>
        <v/>
      </c>
      <c r="F2399">
        <f>IF(Skills!N24=TRUE,(Skills!L24/10)*(E2399/1000),Skills!L24/10)+Skills!O24</f>
        <v/>
      </c>
      <c r="G2399">
        <f>Calc!G24</f>
        <v/>
      </c>
      <c r="H2399">
        <f>Calc!H24</f>
        <v/>
      </c>
      <c r="I2399">
        <f>IF(Skills!AA24&lt;&gt;"",1+(Skills!AA24/10)*(U2378/1000)/100,1)</f>
        <v/>
      </c>
      <c r="J2399" t="inlineStr"/>
      <c r="K2399" t="inlineStr"/>
      <c r="L2399" t="inlineStr"/>
      <c r="M2399" t="inlineStr"/>
      <c r="N2399" t="inlineStr"/>
      <c r="O2399">
        <f>(1-Summary!$B$11)*T2399+Summary!$B$11*V2399</f>
        <v/>
      </c>
      <c r="P2399">
        <f>IF(B2419=0,0,O2399/B2419)</f>
        <v/>
      </c>
      <c r="Q2399" t="n">
        <v>0</v>
      </c>
      <c r="R2399" t="n">
        <v>0</v>
      </c>
      <c r="S2399">
        <f>IFERROR(O2399/N2399,0)</f>
        <v/>
      </c>
      <c r="T2399" t="n">
        <v>0</v>
      </c>
      <c r="V2399" t="n">
        <v>0</v>
      </c>
    </row>
    <row r="2400">
      <c r="A2400">
        <f>Skills!A25</f>
        <v/>
      </c>
      <c r="B2400">
        <f>Skills!B25</f>
        <v/>
      </c>
      <c r="C2400">
        <f>Inputs!$B$3&gt;=45</f>
        <v/>
      </c>
      <c r="D2400">
        <f>IF(Skills!C25=1,60+Inputs!$B$25+Inputs!$B$29,IF(Skills!C25=2,90+Inputs!$B$26+Inputs!$B$29,IF(Skills!C25=3,120+Inputs!$B$27+Inputs!$B$29,MAX(0,(Inputs!$B$3-100)*3)+Inputs!$B$28+Inputs!$B$29)))</f>
        <v/>
      </c>
      <c r="E2400">
        <f>INDEX(FactorTable!$B$2:$Y$301, MATCH(ROUND(MIN(300,MAX(1,D2400)),0), FactorTable!$A$2:$A$301,0), Skills!M25+1)</f>
        <v/>
      </c>
      <c r="F2400">
        <f>IF(Skills!N25=TRUE,(Skills!L25/10)*(E2400/1000),Skills!L25/10)+Skills!O25</f>
        <v/>
      </c>
      <c r="G2400">
        <f>Calc!G25</f>
        <v/>
      </c>
      <c r="H2400">
        <f>Calc!H25</f>
        <v/>
      </c>
      <c r="I2400">
        <f>IF(Skills!AA25&lt;&gt;"",1+(Skills!AA25/10)*(U2378/1000)/100,1)</f>
        <v/>
      </c>
      <c r="J2400" t="inlineStr"/>
      <c r="K2400" t="inlineStr"/>
      <c r="L2400" t="inlineStr"/>
      <c r="M2400" t="inlineStr"/>
      <c r="N2400" t="inlineStr"/>
      <c r="O2400">
        <f>(1-Summary!$B$11)*T2400+Summary!$B$11*V2400</f>
        <v/>
      </c>
      <c r="P2400">
        <f>IF(B2419=0,0,O2400/B2419)</f>
        <v/>
      </c>
      <c r="Q2400" t="n">
        <v>0</v>
      </c>
      <c r="R2400" t="n">
        <v>0</v>
      </c>
      <c r="S2400">
        <f>IFERROR(O2400/N2400,0)</f>
        <v/>
      </c>
      <c r="T2400" t="n">
        <v>0</v>
      </c>
      <c r="V2400" t="n">
        <v>0</v>
      </c>
    </row>
    <row r="2401">
      <c r="A2401">
        <f>Skills!A26</f>
        <v/>
      </c>
      <c r="B2401">
        <f>Skills!B26</f>
        <v/>
      </c>
      <c r="C2401">
        <f>Inputs!$B$3&gt;=45</f>
        <v/>
      </c>
      <c r="D2401">
        <f>IF(Skills!C26=1,60+Inputs!$B$25+Inputs!$B$29,IF(Skills!C26=2,90+Inputs!$B$26+Inputs!$B$29,IF(Skills!C26=3,120+Inputs!$B$27+Inputs!$B$29,MAX(0,(Inputs!$B$3-100)*3)+Inputs!$B$28+Inputs!$B$29)))</f>
        <v/>
      </c>
      <c r="E2401">
        <f>INDEX(FactorTable!$B$2:$Y$301, MATCH(ROUND(MIN(300,MAX(1,D2401)),0), FactorTable!$A$2:$A$301,0), Skills!M26+1)</f>
        <v/>
      </c>
      <c r="F2401">
        <f>IF(Skills!N26=TRUE,(Skills!L26/10)*(E2401/1000),Skills!L26/10)+Skills!O26</f>
        <v/>
      </c>
      <c r="G2401">
        <f>Calc!G26</f>
        <v/>
      </c>
      <c r="H2401">
        <f>Calc!H26</f>
        <v/>
      </c>
      <c r="I2401">
        <f>IF(Skills!AA26&lt;&gt;"",1+(Skills!AA26/10)*(U2378/1000)/100,1)</f>
        <v/>
      </c>
      <c r="J2401" t="inlineStr"/>
      <c r="K2401" t="inlineStr"/>
      <c r="L2401" t="inlineStr"/>
      <c r="M2401" t="inlineStr"/>
      <c r="N2401" t="inlineStr"/>
      <c r="O2401">
        <f>(1-Summary!$B$11)*T2401+Summary!$B$11*V2401</f>
        <v/>
      </c>
      <c r="P2401">
        <f>IF(B2419=0,0,O2401/B2419)</f>
        <v/>
      </c>
      <c r="Q2401" t="n">
        <v>0</v>
      </c>
      <c r="R2401" t="n">
        <v>0</v>
      </c>
      <c r="S2401">
        <f>IFERROR(O2401/N2401,0)</f>
        <v/>
      </c>
      <c r="T2401" t="n">
        <v>0</v>
      </c>
      <c r="V2401" t="n">
        <v>0</v>
      </c>
    </row>
    <row r="2402">
      <c r="A2402">
        <f>Skills!A27</f>
        <v/>
      </c>
      <c r="B2402">
        <f>Skills!B27</f>
        <v/>
      </c>
      <c r="C2402">
        <f>Inputs!$B$3&gt;=72</f>
        <v/>
      </c>
      <c r="D2402">
        <f>IF(Skills!C27=1,60+Inputs!$B$25+Inputs!$B$29,IF(Skills!C27=2,90+Inputs!$B$26+Inputs!$B$29,IF(Skills!C27=3,120+Inputs!$B$27+Inputs!$B$29,MAX(0,(Inputs!$B$3-100)*3)+Inputs!$B$28+Inputs!$B$29)))</f>
        <v/>
      </c>
      <c r="E2402">
        <f>INDEX(FactorTable!$B$2:$Y$301, MATCH(ROUND(MIN(300,MAX(1,D2402)),0), FactorTable!$A$2:$A$301,0), Skills!M27+1)</f>
        <v/>
      </c>
      <c r="F2402">
        <f>IF(Skills!N27=TRUE,(Skills!L27/10)*(E2402/1000),Skills!L27/10)+Skills!O27</f>
        <v/>
      </c>
      <c r="G2402">
        <f>Calc!G27</f>
        <v/>
      </c>
      <c r="H2402">
        <f>Calc!H27</f>
        <v/>
      </c>
      <c r="I2402">
        <f>IF(Skills!AA27&lt;&gt;"",1+(Skills!AA27/10)*(U2378/1000)/100,1)</f>
        <v/>
      </c>
      <c r="J2402" t="inlineStr"/>
      <c r="K2402" t="inlineStr"/>
      <c r="L2402" t="inlineStr"/>
      <c r="M2402" t="inlineStr"/>
      <c r="N2402" t="inlineStr"/>
      <c r="O2402">
        <f>(1-Summary!$B$11)*T2402+Summary!$B$11*V2402</f>
        <v/>
      </c>
      <c r="P2402">
        <f>IF(B2419=0,0,O2402/B2419)</f>
        <v/>
      </c>
      <c r="Q2402" t="n">
        <v>0</v>
      </c>
      <c r="R2402" t="n">
        <v>0</v>
      </c>
      <c r="S2402">
        <f>IFERROR(O2402/N2402,0)</f>
        <v/>
      </c>
      <c r="T2402" t="n">
        <v>0</v>
      </c>
      <c r="V2402" t="n">
        <v>0</v>
      </c>
    </row>
    <row r="2403">
      <c r="A2403">
        <f>Skills!A28</f>
        <v/>
      </c>
      <c r="B2403">
        <f>Skills!B28</f>
        <v/>
      </c>
      <c r="C2403">
        <f>Inputs!$B$3&gt;=75</f>
        <v/>
      </c>
      <c r="D2403">
        <f>IF(Skills!C28=1,60+Inputs!$B$25+Inputs!$B$29,IF(Skills!C28=2,90+Inputs!$B$26+Inputs!$B$29,IF(Skills!C28=3,120+Inputs!$B$27+Inputs!$B$29,MAX(0,(Inputs!$B$3-100)*3)+Inputs!$B$28+Inputs!$B$29)))</f>
        <v/>
      </c>
      <c r="E2403">
        <f>INDEX(FactorTable!$B$2:$Y$301, MATCH(ROUND(MIN(300,MAX(1,D2403)),0), FactorTable!$A$2:$A$301,0), Skills!M28+1)</f>
        <v/>
      </c>
      <c r="F2403">
        <f>IF(Skills!N28=TRUE,(Skills!L28/10)*(E2403/1000),Skills!L28/10)+Skills!O28</f>
        <v/>
      </c>
      <c r="G2403">
        <f>Calc!G28</f>
        <v/>
      </c>
      <c r="H2403">
        <f>Calc!H28</f>
        <v/>
      </c>
      <c r="I2403">
        <f>IF(Skills!AA28&lt;&gt;"",1+(Skills!AA28/10)*(U2378/1000)/100,1)</f>
        <v/>
      </c>
      <c r="J2403" t="inlineStr"/>
      <c r="K2403" t="inlineStr"/>
      <c r="L2403" t="inlineStr"/>
      <c r="M2403" t="inlineStr"/>
      <c r="N2403" t="inlineStr"/>
      <c r="O2403">
        <f>(1-Summary!$B$11)*T2403+Summary!$B$11*V2403</f>
        <v/>
      </c>
      <c r="P2403">
        <f>IF(B2419=0,0,O2403/B2419)</f>
        <v/>
      </c>
      <c r="Q2403" t="n">
        <v>0</v>
      </c>
      <c r="R2403" t="n">
        <v>0</v>
      </c>
      <c r="S2403">
        <f>IFERROR(O2403/N2403,0)</f>
        <v/>
      </c>
      <c r="T2403" t="n">
        <v>0</v>
      </c>
      <c r="V2403" t="n">
        <v>0</v>
      </c>
    </row>
    <row r="2404">
      <c r="A2404">
        <f>Skills!A29</f>
        <v/>
      </c>
      <c r="B2404">
        <f>Skills!B29</f>
        <v/>
      </c>
      <c r="C2404">
        <f>Inputs!$B$3&gt;=120</f>
        <v/>
      </c>
      <c r="D2404">
        <f>IF(Skills!C29=1,60+Inputs!$B$25+Inputs!$B$29,IF(Skills!C29=2,90+Inputs!$B$26+Inputs!$B$29,IF(Skills!C29=3,120+Inputs!$B$27+Inputs!$B$29,MAX(0,(Inputs!$B$3-100)*3)+Inputs!$B$28+Inputs!$B$29)))</f>
        <v/>
      </c>
      <c r="E2404">
        <f>INDEX(FactorTable!$B$2:$Y$301, MATCH(ROUND(MIN(300,MAX(1,D2404)),0), FactorTable!$A$2:$A$301,0), Skills!M29+1)</f>
        <v/>
      </c>
      <c r="F2404">
        <f>IF(Skills!N29=TRUE,(Skills!L29/10)*(E2404/1000),Skills!L29/10)+Skills!O29</f>
        <v/>
      </c>
      <c r="G2404">
        <f>Calc!G29</f>
        <v/>
      </c>
      <c r="H2404">
        <f>Calc!H29</f>
        <v/>
      </c>
      <c r="I2404">
        <f>IF(Skills!AA29&lt;&gt;"",1+(Skills!AA29/10)*(U2378/1000)/100,1)</f>
        <v/>
      </c>
      <c r="J2404" t="inlineStr"/>
      <c r="K2404" t="inlineStr"/>
      <c r="L2404" t="inlineStr"/>
      <c r="M2404" t="inlineStr"/>
      <c r="N2404" t="inlineStr"/>
      <c r="O2404">
        <f>(1-Summary!$B$11)*T2404+Summary!$B$11*V2404</f>
        <v/>
      </c>
      <c r="P2404">
        <f>IF(B2419=0,0,O2404/B2419)</f>
        <v/>
      </c>
      <c r="Q2404" t="n">
        <v>0</v>
      </c>
      <c r="R2404" t="n">
        <v>0</v>
      </c>
      <c r="S2404">
        <f>IFERROR(O2404/N2404,0)</f>
        <v/>
      </c>
      <c r="T2404" t="n">
        <v>0</v>
      </c>
      <c r="V2404" t="n">
        <v>0</v>
      </c>
    </row>
    <row r="2405">
      <c r="A2405">
        <f>Skills!A30</f>
        <v/>
      </c>
      <c r="B2405">
        <f>Skills!B30</f>
        <v/>
      </c>
      <c r="C2405">
        <f>Inputs!$B$3&gt;=125</f>
        <v/>
      </c>
      <c r="D2405">
        <f>IF(Skills!C30=1,60+Inputs!$B$25+Inputs!$B$29,IF(Skills!C30=2,90+Inputs!$B$26+Inputs!$B$29,IF(Skills!C30=3,120+Inputs!$B$27+Inputs!$B$29,MAX(0,(Inputs!$B$3-100)*3)+Inputs!$B$28+Inputs!$B$29)))</f>
        <v/>
      </c>
      <c r="E2405">
        <f>INDEX(FactorTable!$B$2:$Y$301, MATCH(ROUND(MIN(300,MAX(1,D2405)),0), FactorTable!$A$2:$A$301,0), Skills!M30+1)</f>
        <v/>
      </c>
      <c r="F2405">
        <f>IF(Skills!N30=TRUE,(Skills!L30/10)*(E2405/1000),Skills!L30/10)+Skills!O30</f>
        <v/>
      </c>
      <c r="G2405">
        <f>Calc!G30</f>
        <v/>
      </c>
      <c r="H2405">
        <f>Calc!H30</f>
        <v/>
      </c>
      <c r="I2405">
        <f>IF(Skills!AA30&lt;&gt;"",1+(Skills!AA30/10)*(U2378/1000)/100,1)</f>
        <v/>
      </c>
      <c r="J2405" t="inlineStr"/>
      <c r="K2405" t="inlineStr"/>
      <c r="L2405" t="inlineStr"/>
      <c r="M2405" t="inlineStr"/>
      <c r="N2405" t="inlineStr"/>
      <c r="O2405">
        <f>(1-Summary!$B$11)*T2405+Summary!$B$11*V2405</f>
        <v/>
      </c>
      <c r="P2405">
        <f>IF(B2419=0,0,O2405/B2419)</f>
        <v/>
      </c>
      <c r="Q2405" t="n">
        <v>0</v>
      </c>
      <c r="R2405" t="n">
        <v>0</v>
      </c>
      <c r="S2405">
        <f>IFERROR(O2405/N2405,0)</f>
        <v/>
      </c>
      <c r="T2405" t="n">
        <v>0</v>
      </c>
      <c r="V2405" t="n">
        <v>0</v>
      </c>
    </row>
    <row r="2406">
      <c r="A2406">
        <f>Skills!A31</f>
        <v/>
      </c>
      <c r="B2406">
        <f>Skills!B31</f>
        <v/>
      </c>
      <c r="C2406">
        <f>Inputs!$B$3&gt;=107</f>
        <v/>
      </c>
      <c r="D2406">
        <f>IF(Skills!C31=1,60+Inputs!$B$25+Inputs!$B$29,IF(Skills!C31=2,90+Inputs!$B$26+Inputs!$B$29,IF(Skills!C31=3,120+Inputs!$B$27+Inputs!$B$29,MAX(0,(Inputs!$B$3-100)*3)+Inputs!$B$28+Inputs!$B$29)))</f>
        <v/>
      </c>
      <c r="E2406">
        <f>INDEX(FactorTable!$B$2:$Y$301, MATCH(ROUND(MIN(300,MAX(1,D2406)),0), FactorTable!$A$2:$A$301,0), Skills!M31+1)</f>
        <v/>
      </c>
      <c r="F2406">
        <f>IF(Skills!N31=TRUE,(Skills!L31/10)*(E2406/1000),Skills!L31/10)+Skills!O31</f>
        <v/>
      </c>
      <c r="G2406">
        <f>Calc!G31</f>
        <v/>
      </c>
      <c r="H2406">
        <f>Calc!H31</f>
        <v/>
      </c>
      <c r="I2406">
        <f>IF(Skills!AA31&lt;&gt;"",1+(Skills!AA31/10)*(U2378/1000)/100,1)</f>
        <v/>
      </c>
      <c r="J2406" t="inlineStr"/>
      <c r="K2406" t="inlineStr"/>
      <c r="L2406" t="inlineStr"/>
      <c r="M2406" t="inlineStr"/>
      <c r="N2406" t="inlineStr"/>
      <c r="O2406">
        <f>(1-Summary!$B$11)*T2406+Summary!$B$11*V2406</f>
        <v/>
      </c>
      <c r="P2406">
        <f>IF(B2419=0,0,O2406/B2419)</f>
        <v/>
      </c>
      <c r="Q2406" t="n">
        <v>0</v>
      </c>
      <c r="R2406" t="n">
        <v>0</v>
      </c>
      <c r="S2406">
        <f>IFERROR(O2406/N2406,0)</f>
        <v/>
      </c>
      <c r="T2406" t="n">
        <v>0</v>
      </c>
      <c r="V2406" t="n">
        <v>0</v>
      </c>
    </row>
    <row r="2408">
      <c r="A2408" t="inlineStr">
        <is>
          <t>Actions Per Second (pre-Adrenalin)</t>
        </is>
      </c>
      <c r="B2408">
        <f>1+MIN(150,150*(1-(1-(Inputs!$B$11+((C2397=TRUE)*(F2397-Calc!F22))+(ArtifactsInput!$M$15-ArtifactsInput!$M$15)*CHOOSE(ArtifactsInput!$N$15+1,8,9.6,11.2,12.8,14.4,16))/150)*(1-((C2394=TRUE)*F2394*IF(AND(Inputs!$B$39&lt;&gt;"pvp",Inputs!$B$44&gt;0),(((R2394-1)*(Skills!Y19*(1+Inputs!$B$34/100))+MIN((Skills!Y19*(1+Inputs!$B$34/100)),MAX(0,Inputs!$B$44-((R2394-1)*Skills!D19))))/Inputs!$B$44),IF(Inputs!$B$39="pvp",MIN((Skills!Y19*(1+Inputs!$B$34/100)),15)/15,(Skills!Y19*(1+Inputs!$B$34/100))/Skills!D19)))/150)))/100</f>
        <v/>
      </c>
    </row>
    <row r="2409">
      <c r="A2409" t="inlineStr">
        <is>
          <t>Alchemic Adrenaline Uptime</t>
        </is>
      </c>
      <c r="B2409">
        <f>(Skills!Y6*(1+Inputs!$B$34/100))/((Skills!Y6*(1+Inputs!$B$34/100))+(5/B2408))</f>
        <v/>
      </c>
    </row>
    <row r="2410">
      <c r="A2410" t="inlineStr">
        <is>
          <t>Attack Speed Buff Bonus %</t>
        </is>
      </c>
      <c r="B2410">
        <f>((C2394=TRUE)*F2394*IF(AND(Inputs!$B$39&lt;&gt;"pvp",Inputs!$B$44&gt;0),(((R2394-1)*(Skills!Y19*(1+Inputs!$B$34/100))+MIN((Skills!Y19*(1+Inputs!$B$34/100)),MAX(0,Inputs!$B$44-((R2394-1)*Skills!D19))))/Inputs!$B$44),IF(Inputs!$B$39="pvp",MIN((Skills!Y19*(1+Inputs!$B$34/100)),15)/15,(Skills!Y19*(1+Inputs!$B$34/100))/Skills!D19)))+((C2382=TRUE)*F2382*B2409)</f>
        <v/>
      </c>
    </row>
    <row r="2411">
      <c r="A2411" t="inlineStr">
        <is>
          <t>Actions Per Second (final)</t>
        </is>
      </c>
      <c r="B2411">
        <f>1+MIN(150,150*(1-(1-(Inputs!$B$11+((C2397=TRUE)*(F2397-Calc!F22))+(ArtifactsInput!$M$15-ArtifactsInput!$M$15)*CHOOSE(ArtifactsInput!$N$15+1,8,9.6,11.2,12.8,14.4,16))/150)*(1-B2410/150)))/100</f>
        <v/>
      </c>
    </row>
    <row r="2412">
      <c r="A2412" t="inlineStr">
        <is>
          <t>Skill + Buff Cast Rate</t>
        </is>
      </c>
      <c r="B2412">
        <f>IF(AND(Inputs!$B$39&lt;&gt;"pvp",Inputs!$B$44&gt;0),SUMPRODUCT((Skills!E2:E31=TRUE)*(C2377:C2406=TRUE)*R2377:R2406*Skills!F2:F31)/Inputs!$B$44,SUMPRODUCT((Skills!E2:E31=TRUE)*(C2377:C2406=TRUE)*Q2377:Q2406*Skills!F2:F31))</f>
        <v/>
      </c>
    </row>
    <row r="2413">
      <c r="A2413" t="inlineStr">
        <is>
          <t>Showdown Casts Per Second</t>
        </is>
      </c>
      <c r="B2413">
        <f>MAX(0,B2411-B2412)</f>
        <v/>
      </c>
    </row>
    <row r="2414">
      <c r="A2414" t="inlineStr">
        <is>
          <t>Average Buff Multiplier</t>
        </is>
      </c>
      <c r="B2414">
        <f>(1+(((C2396=TRUE)*F2396*IF(AND(Inputs!$B$39&lt;&gt;"pvp",Inputs!$B$44&gt;0),(((R2396-1)*(Skills!Y21*(1+Inputs!$B$34/100))+MIN((Skills!Y21*(1+Inputs!$B$34/100)),MAX(0,Inputs!$B$44-((R2396-1)*Skills!D21))))/Inputs!$B$44),IF(Inputs!$B$39="pvp",MIN((Skills!Y21*(1+Inputs!$B$34/100)),15)/15,(Skills!Y21*(1+Inputs!$B$34/100))/Skills!D21)))+((C2403=TRUE)*(F2403-Calc!F28))+((C2393=TRUE)*(F2393-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2390=TRUE)*F2390*IF(AND(Inputs!$B$39&lt;&gt;"pvp",Inputs!$B$44&gt;0),(((R2390-1)*(Skills!Y15*(1+Inputs!$B$34/100))+MIN((Skills!Y15*(1+Inputs!$B$34/100)),MAX(0,Inputs!$B$44-((R2390-1)*Skills!D15))))/Inputs!$B$44),IF(Inputs!$B$39="pvp",MIN((Skills!Y15*(1+Inputs!$B$34/100)),15)/15,(Skills!Y15*(1+Inputs!$B$34/100))/Skills!D15)))/100)*(1+((C2381=TRUE)*F2381*B2409)/100)</f>
        <v/>
      </c>
    </row>
    <row r="2415">
      <c r="A2415" t="inlineStr">
        <is>
          <t>Global Crit Rate Bonus %</t>
        </is>
      </c>
      <c r="B2415">
        <f>IF(Inputs!$B$3&gt;=47,8,0)+((C2395=TRUE)*F2395*IF(AND(Inputs!$B$39&lt;&gt;"pvp",Inputs!$B$44&gt;0),(((R2395-1)*(Skills!Y20*(1+Inputs!$B$34/100))+MIN((Skills!Y20*(1+Inputs!$B$34/100)),MAX(0,Inputs!$B$44-((R2395-1)*Skills!D20))))/Inputs!$B$44),IF(Inputs!$B$39="pvp",MIN((Skills!Y20*(1+Inputs!$B$34/100)),15)/15,(Skills!Y20*(1+Inputs!$B$34/100))/Skills!D20)))</f>
        <v/>
      </c>
    </row>
    <row r="2416">
      <c r="A2416" t="inlineStr">
        <is>
          <t>Global Monster Damage-Taken Bonus %</t>
        </is>
      </c>
      <c r="B2416">
        <f>IF(Inputs!$B$3&gt;=82,15,0)+((C2391=TRUE)*F2391*IF(AND(Inputs!$B$39&lt;&gt;"pvp",Inputs!$B$44&gt;0),(((R2391-1)*(Skills!Y16*(1+Inputs!$B$34/100))+MIN((Skills!Y16*(1+Inputs!$B$34/100)),MAX(0,Inputs!$B$44-((R2391-1)*Skills!D16))))/Inputs!$B$44),IF(Inputs!$B$39="pvp",MIN((Skills!Y16*(1+Inputs!$B$34/100)),15)/15,(Skills!Y16*(1+Inputs!$B$34/100))/Skills!D16)))</f>
        <v/>
      </c>
    </row>
    <row r="2417">
      <c r="A2417" t="inlineStr">
        <is>
          <t>Shadow Partner Average Multiplier</t>
        </is>
      </c>
      <c r="B2417">
        <f>1+((C2386=TRUE)*F2386*I2386*Skills!J11/100)/100</f>
        <v/>
      </c>
    </row>
    <row r="2418">
      <c r="A2418" t="inlineStr">
        <is>
          <t>Global Critical Damage Bonus % (Frailty Curse Mastery Lv.111)</t>
        </is>
      </c>
      <c r="B2418">
        <f>IF(Inputs!$B$3&gt;=111,30,0)*IF(AND(Inputs!$B$39&lt;&gt;"pvp",Inputs!$B$44&gt;0),(((R2391-1)*(Skills!Y16*(1+Inputs!$B$34/100))+MIN((Skills!Y16*(1+Inputs!$B$34/100)),MAX(0,Inputs!$B$44-((R2391-1)*Skills!D16))))/Inputs!$B$44),IF(Inputs!$B$39="pvp",MIN((Skills!Y16*(1+Inputs!$B$34/100)),15)/15,(Skills!Y16*(1+Inputs!$B$34/100))/Skills!D16))</f>
        <v/>
      </c>
    </row>
    <row r="2419">
      <c r="A2419" s="6" t="inlineStr">
        <is>
          <t>TOTAL DPS</t>
        </is>
      </c>
      <c r="B2419" s="6">
        <f>SUM(O2377:O2406)</f>
        <v/>
      </c>
    </row>
    <row r="2420">
      <c r="A2420" t="inlineStr">
        <is>
          <t>Buff-Casting Startup Delay (s, fixed-duration only)</t>
        </is>
      </c>
      <c r="B2420">
        <f>IF(AND(Inputs!$B$39&lt;&gt;"pvp",Inputs!$B$44&gt;0),SUMPRODUCT((Skills!Y2:Y31&gt;0)*(Skills!E2:E31=TRUE)*(C2377:C2406=TRUE))/B2411,0)</f>
        <v/>
      </c>
    </row>
    <row r="2421">
      <c r="A2421" t="inlineStr">
        <is>
          <t>Boss-Only Total DPS (this block's swept value)</t>
        </is>
      </c>
      <c r="B2421">
        <f>SUM(T2377:T2406)</f>
        <v/>
      </c>
    </row>
    <row r="2422">
      <c r="A2422" t="inlineStr">
        <is>
          <t>Normal-Only Total DPS (this block's swept value)</t>
        </is>
      </c>
      <c r="B2422">
        <f>SUM(V2377:V2406)</f>
        <v/>
      </c>
    </row>
    <row r="2424">
      <c r="A2424" s="6" t="inlineStr">
        <is>
          <t>Stat: Lit Lamp (Equip)</t>
        </is>
      </c>
    </row>
    <row r="2425">
      <c r="A2425" s="5" t="inlineStr">
        <is>
          <t>Key</t>
        </is>
      </c>
      <c r="B2425" s="5" t="inlineStr">
        <is>
          <t>Name</t>
        </is>
      </c>
      <c r="C2425" s="5" t="inlineStr">
        <is>
          <t>Unlocked</t>
        </is>
      </c>
      <c r="D2425" s="5" t="inlineStr">
        <is>
          <t>InputLevel</t>
        </is>
      </c>
      <c r="E2425" s="5" t="inlineStr">
        <is>
          <t>Factor</t>
        </is>
      </c>
      <c r="F2425" s="5" t="inlineStr">
        <is>
          <t>CoefficientPercent</t>
        </is>
      </c>
      <c r="G2425" s="5" t="inlineStr">
        <is>
          <t>EffectiveHits</t>
        </is>
      </c>
      <c r="H2425" s="5" t="inlineStr">
        <is>
          <t>ProcProbability</t>
        </is>
      </c>
      <c r="I2425" s="5" t="inlineStr">
        <is>
          <t>MapleHeroMultiplier</t>
        </is>
      </c>
      <c r="J2425" s="5" t="inlineStr">
        <is>
          <t>BaseDamage</t>
        </is>
      </c>
      <c r="K2425" s="5" t="inlineStr">
        <is>
          <t>BaseHitDamage</t>
        </is>
      </c>
      <c r="L2425" s="5" t="inlineStr">
        <is>
          <t>NonCritAvg</t>
        </is>
      </c>
      <c r="M2425" s="5" t="inlineStr">
        <is>
          <t>CritAvg</t>
        </is>
      </c>
      <c r="N2425" s="5" t="inlineStr">
        <is>
          <t>ExpectedDamage(perHit)</t>
        </is>
      </c>
      <c r="O2425" s="5" t="inlineStr">
        <is>
          <t>DPS</t>
        </is>
      </c>
      <c r="P2425" s="5" t="inlineStr">
        <is>
          <t>% of Total</t>
        </is>
      </c>
      <c r="Q2425" s="5" t="inlineStr">
        <is>
          <t>InvCooldown</t>
        </is>
      </c>
      <c r="R2425" s="5" t="inlineStr">
        <is>
          <t>CastsInFight</t>
        </is>
      </c>
      <c r="S2425" s="5" t="inlineStr">
        <is>
          <t>HitRate(perSec)</t>
        </is>
      </c>
      <c r="U2425" t="inlineStr">
        <is>
          <t>helpers</t>
        </is>
      </c>
    </row>
    <row r="2426">
      <c r="A2426">
        <f>Skills!A2</f>
        <v/>
      </c>
      <c r="B2426">
        <f>Skills!B2</f>
        <v/>
      </c>
      <c r="C2426">
        <f>Inputs!$B$3&gt;=100</f>
        <v/>
      </c>
      <c r="D2426" t="inlineStr"/>
      <c r="E2426" t="inlineStr"/>
      <c r="F2426">
        <f>U2430+Skills!O2</f>
        <v/>
      </c>
      <c r="G2426">
        <f>Calc!G2</f>
        <v/>
      </c>
      <c r="H2426">
        <f>Calc!H2</f>
        <v/>
      </c>
      <c r="I2426">
        <f>IF(Skills!AA2&lt;&gt;"",1+(Skills!AA2/10)*(U2427/1000)/100,1)</f>
        <v/>
      </c>
      <c r="J2426">
        <f>((Inputs!$B$6*(1+Inputs!$B$7/100))+(((Inputs!$B$12*(1+Inputs!$B$13/100))-(Inputs!$B$12*(1+Inputs!$B$13/100)))+0.25*(Inputs!$B$14-Inputs!$B$14))*(1+Inputs!$B$7/100))*(F2426/100)</f>
        <v/>
      </c>
      <c r="K2426">
        <f>J2426*(1+((Inputs!$B$12*(1+Inputs!$B$13/100))*0.01+Inputs!$B$14*0.0025)/100)*(1+Inputs!$B$15/100)*(1+Inputs!$B$16/100)*(5000/(6000+Inputs!$B$43*(1-(100*(1-(1-(Inputs!$B$19+0)/100)*(1-CHOOSE(ArtifactsInput!$N$40+1,5,6,7,8,9,10)/100)^(ArtifactsInput!$M$40-ArtifactsInput!$M$40)))/100)))*(1+(Inputs!$B$24+((C2454=TRUE)*(F2454-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2447=TRUE)*(F2447-Calc!F23))+(((IF(AND(ArtifactsInput!$M$42,((Inputs!$B$9+((C2449=TRUE)*(F2449-Calc!F25))+B2464+(ArtifactsInput!$M$24-ArtifactsInput!$M$24)*CHOOSE(ArtifactsInput!$N$24+1,10,12,14,16,18,20)+IF(ArtifactsInput!$M$10,CHOOSE(ArtifactsInput!$N$10+1,15,18,21,24,27,30)*(IF(Inputs!$B$39="pvp",MIN(15,15)/15,IF(AND(Inputs!$B$39&lt;&gt;"pvp",Inputs!$B$44&gt;0),MIN(15,Inputs!$B$44)/(Inputs!$B$44),0))),0)))&gt;=100),MIN(100,((Inputs!$B$9+((C2449=TRUE)*(F2449-Calc!F25))+B2464+(ArtifactsInput!$M$24-ArtifactsInput!$M$24)*CHOOSE(ArtifactsInput!$N$24+1,10,12,14,16,18,20)+IF(ArtifactsInput!$M$10,CHOOSE(ArtifactsInput!$N$10+1,15,18,21,24,27,30)*(IF(Inputs!$B$39="pvp",MIN(15,15)/15,IF(AND(Inputs!$B$39&lt;&gt;"pvp",Inputs!$B$44&gt;0),MIN(15,Inputs!$B$44)/(Inputs!$B$44),0))),0)))-100),0))*CHOOSE(ArtifactsInput!$N$42+1,0.6,0.72,0.84,0.96,1.08,1.2))),Inputs!$B$18+((C2453=TRUE)*(F2453-Calc!F29))+(IF(AND(ArtifactsInput!$M$42,((Inputs!$B$9+((C2449=TRUE)*(F2449-Calc!F25))+B2464+(ArtifactsInput!$M$24-ArtifactsInput!$M$24)*CHOOSE(ArtifactsInput!$N$24+1,10,12,14,16,18,20)+IF(ArtifactsInput!$M$10,CHOOSE(ArtifactsInput!$N$10+1,15,18,21,24,27,30)*(IF(Inputs!$B$39="pvp",MIN(15,15)/15,IF(AND(Inputs!$B$39&lt;&gt;"pvp",Inputs!$B$44&gt;0),MIN(15,Inputs!$B$44)/(Inputs!$B$44),0))),0)))&gt;=100),CHOOSE(ArtifactsInput!$N$42+1,40,48,56,64,72,80),0))))/100)*(((1+(((C2445=TRUE)*F2445*IF(AND(Inputs!$B$39&lt;&gt;"pvp",Inputs!$B$44&gt;0),(((R2445-1)*(Skills!Y21*(1+Inputs!$B$34/100))+MIN((Skills!Y21*(1+Inputs!$B$34/100)),MAX(0,Inputs!$B$44-((R2445-1)*Skills!D21))))/Inputs!$B$44),IF(Inputs!$B$39="pvp",MIN((Skills!Y21*(1+Inputs!$B$34/100)),15)/15,(Skills!Y21*(1+Inputs!$B$34/100))/Skills!D21)))+((C2452=TRUE)*(F2452-Calc!F28))+((C2442=TRUE)*(F2442-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2439=TRUE)*F2439*IF(AND(Inputs!$B$39&lt;&gt;"pvp",Inputs!$B$44&gt;0),(((R2439-1)*(Skills!Y15*(1+Inputs!$B$34/100))+MIN((Skills!Y15*(1+Inputs!$B$34/100)),MAX(0,Inputs!$B$44-((R2439-1)*Skills!D15))))/Inputs!$B$44),IF(Inputs!$B$39="pvp",MIN((Skills!Y15*(1+Inputs!$B$34/100)),15)/15,(Skills!Y15*(1+Inputs!$B$34/100))/Skills!D15)))/100)*(1+((C2430=TRUE)*F2430*B2458)/100))*B2466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2426)</f>
        <v/>
      </c>
      <c r="L2426">
        <f>K2426*(MIN(Inputs!$B$22+((C2448=TRUE)*(F2448-Calc!F24)),(Inputs!$B$23+0+(IF(ArtifactsInput!$M$15,CHOOSE(ArtifactsInput!$N$15+1,25,30,35,40,45,50)/100*(Inputs!$B$11-Inputs!$B$11),0))))/100+(Inputs!$B$23+0+(IF(ArtifactsInput!$M$15,CHOOSE(ArtifactsInput!$N$15+1,25,30,35,40,45,50)/100*(Inputs!$B$11-Inputs!$B$11),0)))/100)/2</f>
        <v/>
      </c>
      <c r="M2426">
        <f>L2426*(1+(Inputs!$B$10+((C2450=TRUE)*(F2450-Calc!F26))+B2467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26">
        <f>L2426*(1-MIN((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2426*(MIN((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26">
        <f>(1-Summary!$B$11)*T2426+Summary!$B$11*V2426</f>
        <v/>
      </c>
      <c r="P2426">
        <f>IF(B2468=0,0,O2426/B2468)</f>
        <v/>
      </c>
      <c r="Q2426" t="n">
        <v>0</v>
      </c>
      <c r="R2426" t="n">
        <v>0</v>
      </c>
      <c r="S2426">
        <f>IFERROR(O2426/N2426,0)</f>
        <v/>
      </c>
      <c r="T2426">
        <f>IF(C2426,(Skills!G2*N2426*B2462)*IF(Inputs!$B$39="pvp",1,1+(Inputs!$B$20+((C2451=TRUE)*(F2451-Calc!F27))+Skills!P2+B2465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2426*(1-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2426*(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2426*(1-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2426*(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26">
        <f>MAX(0,(Inputs!$B$3-100)*3)+Inputs!$B$28+Inputs!$B$29</f>
        <v/>
      </c>
      <c r="V2426">
        <f>IF(C2426,(Skills!G2*N2426*B2462)*IF(Inputs!$B$39="pvp",1,(1+(Inputs!$B$21+Skills!Q2+B2465+(IF(ArtifactsInput!$M$33,CHOOSE(ArtifactsInput!$N$33+1,30,36,42,48,54,60),0))+(IF(AND(ArtifactsInput!$M$35,Inputs!$B$4&lt;&gt;"Chapter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27">
      <c r="A2427">
        <f>Skills!A3</f>
        <v/>
      </c>
      <c r="B2427">
        <f>Skills!B3</f>
        <v/>
      </c>
      <c r="C2427">
        <f>Inputs!$B$3&gt;=35</f>
        <v/>
      </c>
      <c r="D2427">
        <f>IF(Skills!C3=1,60+Inputs!$B$25+Inputs!$B$29,IF(Skills!C3=2,90+Inputs!$B$26+Inputs!$B$29,IF(Skills!C3=3,120+Inputs!$B$27+Inputs!$B$29,MAX(0,(Inputs!$B$3-100)*3)+Inputs!$B$28+Inputs!$B$29)))</f>
        <v/>
      </c>
      <c r="E2427">
        <f>INDEX(FactorTable!$B$2:$Y$301, MATCH(ROUND(MIN(300,MAX(1,D2427)),0), FactorTable!$A$2:$A$301,0), Skills!M3+1)</f>
        <v/>
      </c>
      <c r="F2427">
        <f>IF(Skills!N3=TRUE,(Skills!L3/10)*(E2427/1000),Skills!L3/10)+Skills!O3</f>
        <v/>
      </c>
      <c r="G2427">
        <f>Calc!G3</f>
        <v/>
      </c>
      <c r="H2427">
        <f>Calc!H3</f>
        <v/>
      </c>
      <c r="I2427">
        <f>IF(Skills!AA3&lt;&gt;"",1+(Skills!AA3/10)*(U2427/1000)/100,1)</f>
        <v/>
      </c>
      <c r="J2427">
        <f>((Inputs!$B$6*(1+Inputs!$B$7/100))+(((Inputs!$B$12*(1+Inputs!$B$13/100))-(Inputs!$B$12*(1+Inputs!$B$13/100)))+0.25*(Inputs!$B$14-Inputs!$B$14))*(1+Inputs!$B$7/100))*(F2427/100)</f>
        <v/>
      </c>
      <c r="K2427">
        <f>J2427*(1+((Inputs!$B$12*(1+Inputs!$B$13/100))*0.01+Inputs!$B$14*0.0025)/100)*(1+Inputs!$B$15/100)*(1+Inputs!$B$16/100)*(5000/(6000+Inputs!$B$43*(1-(100*(1-(1-(Inputs!$B$19+0)/100)*(1-CHOOSE(ArtifactsInput!$N$40+1,5,6,7,8,9,10)/100)^(ArtifactsInput!$M$40-ArtifactsInput!$M$40)))/100)))*(1+(Inputs!$B$24+((C2454=TRUE)*(F2454-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2447=TRUE)*(F2447-Calc!F23))+(((IF(AND(ArtifactsInput!$M$42,((Inputs!$B$9+((C2449=TRUE)*(F2449-Calc!F25))+B2464+(ArtifactsInput!$M$24-ArtifactsInput!$M$24)*CHOOSE(ArtifactsInput!$N$24+1,10,12,14,16,18,20)+IF(ArtifactsInput!$M$10,CHOOSE(ArtifactsInput!$N$10+1,15,18,21,24,27,30)*(IF(Inputs!$B$39="pvp",MIN(15,15)/15,IF(AND(Inputs!$B$39&lt;&gt;"pvp",Inputs!$B$44&gt;0),MIN(15,Inputs!$B$44)/(Inputs!$B$44),0))),0)))&gt;=100),MIN(100,((Inputs!$B$9+((C2449=TRUE)*(F2449-Calc!F25))+B2464+(ArtifactsInput!$M$24-ArtifactsInput!$M$24)*CHOOSE(ArtifactsInput!$N$24+1,10,12,14,16,18,20)+IF(ArtifactsInput!$M$10,CHOOSE(ArtifactsInput!$N$10+1,15,18,21,24,27,30)*(IF(Inputs!$B$39="pvp",MIN(15,15)/15,IF(AND(Inputs!$B$39&lt;&gt;"pvp",Inputs!$B$44&gt;0),MIN(15,Inputs!$B$44)/(Inputs!$B$44),0))),0)))-100),0))*CHOOSE(ArtifactsInput!$N$42+1,0.6,0.72,0.84,0.96,1.08,1.2))),Inputs!$B$18+((C2453=TRUE)*(F2453-Calc!F29))+(IF(AND(ArtifactsInput!$M$42,((Inputs!$B$9+((C2449=TRUE)*(F2449-Calc!F25))+B2464+(ArtifactsInput!$M$24-ArtifactsInput!$M$24)*CHOOSE(ArtifactsInput!$N$24+1,10,12,14,16,18,20)+IF(ArtifactsInput!$M$10,CHOOSE(ArtifactsInput!$N$10+1,15,18,21,24,27,30)*(IF(Inputs!$B$39="pvp",MIN(15,15)/15,IF(AND(Inputs!$B$39&lt;&gt;"pvp",Inputs!$B$44&gt;0),MIN(15,Inputs!$B$44)/(Inputs!$B$44),0))),0)))&gt;=100),CHOOSE(ArtifactsInput!$N$42+1,40,48,56,64,72,80),0))))/100)*(((1+(((C2445=TRUE)*F2445*IF(AND(Inputs!$B$39&lt;&gt;"pvp",Inputs!$B$44&gt;0),(((R2445-1)*(Skills!Y21*(1+Inputs!$B$34/100))+MIN((Skills!Y21*(1+Inputs!$B$34/100)),MAX(0,Inputs!$B$44-((R2445-1)*Skills!D21))))/Inputs!$B$44),IF(Inputs!$B$39="pvp",MIN((Skills!Y21*(1+Inputs!$B$34/100)),15)/15,(Skills!Y21*(1+Inputs!$B$34/100))/Skills!D21)))+((C2452=TRUE)*(F2452-Calc!F28))+((C2442=TRUE)*(F2442-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2439=TRUE)*F2439*IF(AND(Inputs!$B$39&lt;&gt;"pvp",Inputs!$B$44&gt;0),(((R2439-1)*(Skills!Y15*(1+Inputs!$B$34/100))+MIN((Skills!Y15*(1+Inputs!$B$34/100)),MAX(0,Inputs!$B$44-((R2439-1)*Skills!D15))))/Inputs!$B$44),IF(Inputs!$B$39="pvp",MIN((Skills!Y15*(1+Inputs!$B$34/100)),15)/15,(Skills!Y15*(1+Inputs!$B$34/100))/Skills!D15)))/100)*(1+((C2430=TRUE)*F2430*B2458)/100))*B2466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2427)</f>
        <v/>
      </c>
      <c r="L2427">
        <f>K2427*(MIN(Inputs!$B$22+((C2448=TRUE)*(F2448-Calc!F24)),(Inputs!$B$23+0+(IF(ArtifactsInput!$M$15,CHOOSE(ArtifactsInput!$N$15+1,25,30,35,40,45,50)/100*(Inputs!$B$11-Inputs!$B$11),0))))/100+(Inputs!$B$23+0+(IF(ArtifactsInput!$M$15,CHOOSE(ArtifactsInput!$N$15+1,25,30,35,40,45,50)/100*(Inputs!$B$11-Inputs!$B$11),0)))/100)/2</f>
        <v/>
      </c>
      <c r="M2427">
        <f>L2427*(1+(Inputs!$B$10+((C2450=TRUE)*(F2450-Calc!F26))+B2467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27">
        <f>L2427*(1-MIN((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2427*(MIN((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27">
        <f>(1-Summary!$B$11)*T2427+Summary!$B$11*V2427</f>
        <v/>
      </c>
      <c r="P2427">
        <f>IF(B2468=0,0,O2427/B2468)</f>
        <v/>
      </c>
      <c r="Q2427">
        <f>IFERROR(1/IF(Inputs!$B$39="pvp",15,MAX(0.1,Skills!D3-IF(Skills!E3=TRUE,Inputs!$B$32,0))),0)</f>
        <v/>
      </c>
      <c r="R2427">
        <f>IF(AND(Inputs!$B$39&lt;&gt;"pvp",Inputs!$B$44&gt;0),IF(MAX(0,Inputs!$B$44-B2469)&lt;=0,0,(INT(MAX(0,Inputs!$B$44-B2469)/IF(Inputs!$B$39="pvp",15,MAX(0.1,Skills!D3-IF(Skills!E3=TRUE,Inputs!$B$32,0))))+1)),0)</f>
        <v/>
      </c>
      <c r="S2427">
        <f>IFERROR(O2427/N2427,0)</f>
        <v/>
      </c>
      <c r="T2427">
        <f>IF(C2427,(H2427*N2427*IF(AND(Inputs!$B$39&lt;&gt;"pvp",Inputs!$B$44&gt;0),((Skills!G3*((R2427-1)*IF(Skills!H3&gt;0,Skills!I3/Skills!H3,1)+IF(Skills!H3&gt;0,MIN(Skills!I3,MAX(0,MAX(0,Inputs!$B$44-B2469)-((R2427-1)*IF(Inputs!$B$39="pvp",15,MAX(0.1,Skills!D3-IF(Skills!E3=TRUE,Inputs!$B$32,0))))))/Skills!H3,1)))/Inputs!$B$44),G2427*Q2427))*IF(Inputs!$B$39="pvp",1,1+(Inputs!$B$20+((C2451=TRUE)*(F2451-Calc!F27))+Skills!P3+B2465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2427*(1-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2427*(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2427*(1-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2427*(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27">
        <f>INDEX(FactorTable!$B$2:$Y$301, MATCH(ROUND(MIN(300,MAX(1,U2426)),0), FactorTable!$A$2:$A$301,0), 24)</f>
        <v/>
      </c>
      <c r="V2427">
        <f>IF(C2427,(H2427*N2427*IF(AND(Inputs!$B$39&lt;&gt;"pvp",Inputs!$B$44&gt;0),((Skills!G3*((R2427-1)*IF(Skills!H3&gt;0,Skills!I3/Skills!H3,1)+IF(Skills!H3&gt;0,MIN(Skills!I3,MAX(0,MAX(0,Inputs!$B$44-B2469)-((R2427-1)*IF(Inputs!$B$39="pvp",15,MAX(0.1,Skills!D3-IF(Skills!E3=TRUE,Inputs!$B$32,0))))))/Skills!H3,1)))/Inputs!$B$44),G2427*Q2427))*IF(Inputs!$B$39="pvp",1,(1+(Inputs!$B$21+Skills!Q3+B2465+(IF(ArtifactsInput!$M$33,CHOOSE(ArtifactsInput!$N$33+1,30,36,42,48,54,60)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28">
      <c r="A2428">
        <f>Skills!A4</f>
        <v/>
      </c>
      <c r="B2428">
        <f>Skills!B4</f>
        <v/>
      </c>
      <c r="C2428">
        <f>Inputs!$B$3&gt;=40</f>
        <v/>
      </c>
      <c r="D2428">
        <f>IF(Skills!C4=1,60+Inputs!$B$25+Inputs!$B$29,IF(Skills!C4=2,90+Inputs!$B$26+Inputs!$B$29,IF(Skills!C4=3,120+Inputs!$B$27+Inputs!$B$29,MAX(0,(Inputs!$B$3-100)*3)+Inputs!$B$28+Inputs!$B$29)))</f>
        <v/>
      </c>
      <c r="E2428">
        <f>INDEX(FactorTable!$B$2:$Y$301, MATCH(ROUND(MIN(300,MAX(1,D2428)),0), FactorTable!$A$2:$A$301,0), Skills!M4+1)</f>
        <v/>
      </c>
      <c r="F2428">
        <f>IF(Skills!N4=TRUE,(Skills!L4/10)*(E2428/1000),Skills!L4/10)+Skills!O4</f>
        <v/>
      </c>
      <c r="G2428">
        <f>Calc!G4</f>
        <v/>
      </c>
      <c r="H2428">
        <f>Calc!H4</f>
        <v/>
      </c>
      <c r="I2428">
        <f>IF(Skills!AA4&lt;&gt;"",1+(Skills!AA4/10)*(U2427/1000)/100,1)</f>
        <v/>
      </c>
      <c r="J2428">
        <f>((Inputs!$B$6*(1+Inputs!$B$7/100))+(((Inputs!$B$12*(1+Inputs!$B$13/100))-(Inputs!$B$12*(1+Inputs!$B$13/100)))+0.25*(Inputs!$B$14-Inputs!$B$14))*(1+Inputs!$B$7/100))*(F2428/100)</f>
        <v/>
      </c>
      <c r="K2428">
        <f>J2428*(1+((Inputs!$B$12*(1+Inputs!$B$13/100))*0.01+Inputs!$B$14*0.0025)/100)*(1+Inputs!$B$15/100)*(1+Inputs!$B$16/100)*(5000/(6000+Inputs!$B$43*(1-(100*(1-(1-(Inputs!$B$19+0)/100)*(1-CHOOSE(ArtifactsInput!$N$40+1,5,6,7,8,9,10)/100)^(ArtifactsInput!$M$40-ArtifactsInput!$M$40)))/100)))*(1+(Inputs!$B$24+((C2454=TRUE)*(F2454-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2447=TRUE)*(F2447-Calc!F23))+(((IF(AND(ArtifactsInput!$M$42,((Inputs!$B$9+((C2449=TRUE)*(F2449-Calc!F25))+B2464+(ArtifactsInput!$M$24-ArtifactsInput!$M$24)*CHOOSE(ArtifactsInput!$N$24+1,10,12,14,16,18,20)+IF(ArtifactsInput!$M$10,CHOOSE(ArtifactsInput!$N$10+1,15,18,21,24,27,30)*(IF(Inputs!$B$39="pvp",MIN(15,15)/15,IF(AND(Inputs!$B$39&lt;&gt;"pvp",Inputs!$B$44&gt;0),MIN(15,Inputs!$B$44)/(Inputs!$B$44),0))),0)))&gt;=100),MIN(100,((Inputs!$B$9+((C2449=TRUE)*(F2449-Calc!F25))+B2464+(ArtifactsInput!$M$24-ArtifactsInput!$M$24)*CHOOSE(ArtifactsInput!$N$24+1,10,12,14,16,18,20)+IF(ArtifactsInput!$M$10,CHOOSE(ArtifactsInput!$N$10+1,15,18,21,24,27,30)*(IF(Inputs!$B$39="pvp",MIN(15,15)/15,IF(AND(Inputs!$B$39&lt;&gt;"pvp",Inputs!$B$44&gt;0),MIN(15,Inputs!$B$44)/(Inputs!$B$44),0))),0)))-100),0))*CHOOSE(ArtifactsInput!$N$42+1,0.6,0.72,0.84,0.96,1.08,1.2))),Inputs!$B$18+((C2453=TRUE)*(F2453-Calc!F29))+(IF(AND(ArtifactsInput!$M$42,((Inputs!$B$9+((C2449=TRUE)*(F2449-Calc!F25))+B2464+(ArtifactsInput!$M$24-ArtifactsInput!$M$24)*CHOOSE(ArtifactsInput!$N$24+1,10,12,14,16,18,20)+IF(ArtifactsInput!$M$10,CHOOSE(ArtifactsInput!$N$10+1,15,18,21,24,27,30)*(IF(Inputs!$B$39="pvp",MIN(15,15)/15,IF(AND(Inputs!$B$39&lt;&gt;"pvp",Inputs!$B$44&gt;0),MIN(15,Inputs!$B$44)/(Inputs!$B$44),0))),0)))&gt;=100),CHOOSE(ArtifactsInput!$N$42+1,40,48,56,64,72,80),0))))/100)*(((1+(((C2445=TRUE)*F2445*IF(AND(Inputs!$B$39&lt;&gt;"pvp",Inputs!$B$44&gt;0),(((R2445-1)*(Skills!Y21*(1+Inputs!$B$34/100))+MIN((Skills!Y21*(1+Inputs!$B$34/100)),MAX(0,Inputs!$B$44-((R2445-1)*Skills!D21))))/Inputs!$B$44),IF(Inputs!$B$39="pvp",MIN((Skills!Y21*(1+Inputs!$B$34/100)),15)/15,(Skills!Y21*(1+Inputs!$B$34/100))/Skills!D21)))+((C2452=TRUE)*(F2452-Calc!F28))+((C2442=TRUE)*(F2442-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2439=TRUE)*F2439*IF(AND(Inputs!$B$39&lt;&gt;"pvp",Inputs!$B$44&gt;0),(((R2439-1)*(Skills!Y15*(1+Inputs!$B$34/100))+MIN((Skills!Y15*(1+Inputs!$B$34/100)),MAX(0,Inputs!$B$44-((R2439-1)*Skills!D15))))/Inputs!$B$44),IF(Inputs!$B$39="pvp",MIN((Skills!Y15*(1+Inputs!$B$34/100)),15)/15,(Skills!Y15*(1+Inputs!$B$34/100))/Skills!D15)))/100)*(1+((C2430=TRUE)*F2430*B2458)/100))*B2466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2428)</f>
        <v/>
      </c>
      <c r="L2428">
        <f>K2428*(MIN(Inputs!$B$22+((C2448=TRUE)*(F2448-Calc!F24)),(Inputs!$B$23+0+(IF(ArtifactsInput!$M$15,CHOOSE(ArtifactsInput!$N$15+1,25,30,35,40,45,50)/100*(Inputs!$B$11-Inputs!$B$11),0))))/100+(Inputs!$B$23+0+(IF(ArtifactsInput!$M$15,CHOOSE(ArtifactsInput!$N$15+1,25,30,35,40,45,50)/100*(Inputs!$B$11-Inputs!$B$11),0)))/100)/2</f>
        <v/>
      </c>
      <c r="M2428">
        <f>L2428*(1+(Inputs!$B$10+((C2450=TRUE)*(F2450-Calc!F26))+B2467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28">
        <f>L2428*(1-MIN((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2428*(MIN((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28">
        <f>(1-Summary!$B$11)*T2428+Summary!$B$11*V2428</f>
        <v/>
      </c>
      <c r="P2428">
        <f>IF(B2468=0,0,O2428/B2468)</f>
        <v/>
      </c>
      <c r="Q2428">
        <f>IFERROR(1/IF(Inputs!$B$39="pvp",15,MAX(0.1,Skills!D4-IF(Skills!E4=TRUE,Inputs!$B$32,0))),0)</f>
        <v/>
      </c>
      <c r="R2428">
        <f>IF(AND(Inputs!$B$39&lt;&gt;"pvp",Inputs!$B$44&gt;0),IF(MAX(0,Inputs!$B$44-B2469)&lt;=0,0,(INT(MAX(0,Inputs!$B$44-B2469)/IF(Inputs!$B$39="pvp",15,MAX(0.1,Skills!D4-IF(Skills!E4=TRUE,Inputs!$B$32,0))))+1)),0)</f>
        <v/>
      </c>
      <c r="S2428">
        <f>IFERROR(O2428/N2428,0)</f>
        <v/>
      </c>
      <c r="T2428">
        <f>IF(C2428,(H2428*N2428*IF(AND(Inputs!$B$39&lt;&gt;"pvp",Inputs!$B$44&gt;0),((Skills!G4*((R2428-1)*IF(Skills!H4&gt;0,Skills!I4/Skills!H4,1)+IF(Skills!H4&gt;0,MIN(Skills!I4,MAX(0,MAX(0,Inputs!$B$44-B2469)-((R2428-1)*IF(Inputs!$B$39="pvp",15,MAX(0.1,Skills!D4-IF(Skills!E4=TRUE,Inputs!$B$32,0))))))/Skills!H4,1)))/Inputs!$B$44),G2428*Q2428))*IF(Inputs!$B$39="pvp",1,1+(Inputs!$B$20+((C2451=TRUE)*(F2451-Calc!F27))+Skills!P4+B2465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2428*(1-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2428*(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2428*(1-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2428*(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28">
        <f>MAX(0,(Inputs!$B$3-100)*3)+Inputs!$B$28+Inputs!$B$29</f>
        <v/>
      </c>
      <c r="V2428">
        <f>IF(C2428,(H2428*N2428*IF(AND(Inputs!$B$39&lt;&gt;"pvp",Inputs!$B$44&gt;0),((Skills!G4*((R2428-1)*IF(Skills!H4&gt;0,Skills!I4/Skills!H4,1)+IF(Skills!H4&gt;0,MIN(Skills!I4,MAX(0,MAX(0,Inputs!$B$44-B2469)-((R2428-1)*IF(Inputs!$B$39="pvp",15,MAX(0.1,Skills!D4-IF(Skills!E4=TRUE,Inputs!$B$32,0))))))/Skills!H4,1)))/Inputs!$B$44),G2428*Q2428))*IF(Inputs!$B$39="pvp",1,(1+(Inputs!$B$21+Skills!Q4+B2465+(IF(ArtifactsInput!$M$33,CHOOSE(ArtifactsInput!$N$33+1,30,36,42,48,54,60)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29">
      <c r="A2429">
        <f>Skills!A5</f>
        <v/>
      </c>
      <c r="B2429">
        <f>Skills!B5</f>
        <v/>
      </c>
      <c r="C2429">
        <f>Inputs!$B$3&gt;=63</f>
        <v/>
      </c>
      <c r="D2429">
        <f>IF(Skills!C5=1,60+Inputs!$B$25+Inputs!$B$29,IF(Skills!C5=2,90+Inputs!$B$26+Inputs!$B$29,IF(Skills!C5=3,120+Inputs!$B$27+Inputs!$B$29,MAX(0,(Inputs!$B$3-100)*3)+Inputs!$B$28+Inputs!$B$29)))</f>
        <v/>
      </c>
      <c r="E2429">
        <f>INDEX(FactorTable!$B$2:$Y$301, MATCH(ROUND(MIN(300,MAX(1,D2429)),0), FactorTable!$A$2:$A$301,0), Skills!M5+1)</f>
        <v/>
      </c>
      <c r="F2429">
        <f>IF(Skills!N5=TRUE,(Skills!L5/10)*(E2429/1000),Skills!L5/10)+Skills!O5</f>
        <v/>
      </c>
      <c r="G2429">
        <f>Calc!G5</f>
        <v/>
      </c>
      <c r="H2429">
        <f>Calc!H5</f>
        <v/>
      </c>
      <c r="I2429">
        <f>IF(Skills!AA5&lt;&gt;"",1+(Skills!AA5/10)*(U2427/1000)/100,1)</f>
        <v/>
      </c>
      <c r="J2429">
        <f>((Inputs!$B$6*(1+Inputs!$B$7/100))+(((Inputs!$B$12*(1+Inputs!$B$13/100))-(Inputs!$B$12*(1+Inputs!$B$13/100)))+0.25*(Inputs!$B$14-Inputs!$B$14))*(1+Inputs!$B$7/100))*(F2429/100)</f>
        <v/>
      </c>
      <c r="K2429">
        <f>J2429*(1+((Inputs!$B$12*(1+Inputs!$B$13/100))*0.01+Inputs!$B$14*0.0025)/100)*(1+Inputs!$B$15/100)*(1+Inputs!$B$16/100)*(5000/(6000+Inputs!$B$43*(1-(100*(1-(1-(Inputs!$B$19+0)/100)*(1-CHOOSE(ArtifactsInput!$N$40+1,5,6,7,8,9,10)/100)^(ArtifactsInput!$M$40-ArtifactsInput!$M$40)))/100)))*(1+(Inputs!$B$24+((C2454=TRUE)*(F2454-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2447=TRUE)*(F2447-Calc!F23))+(((IF(AND(ArtifactsInput!$M$42,((Inputs!$B$9+((C2449=TRUE)*(F2449-Calc!F25))+B2464+(ArtifactsInput!$M$24-ArtifactsInput!$M$24)*CHOOSE(ArtifactsInput!$N$24+1,10,12,14,16,18,20)+IF(ArtifactsInput!$M$10,CHOOSE(ArtifactsInput!$N$10+1,15,18,21,24,27,30)*(IF(Inputs!$B$39="pvp",MIN(15,15)/15,IF(AND(Inputs!$B$39&lt;&gt;"pvp",Inputs!$B$44&gt;0),MIN(15,Inputs!$B$44)/(Inputs!$B$44),0))),0)))&gt;=100),MIN(100,((Inputs!$B$9+((C2449=TRUE)*(F2449-Calc!F25))+B2464+(ArtifactsInput!$M$24-ArtifactsInput!$M$24)*CHOOSE(ArtifactsInput!$N$24+1,10,12,14,16,18,20)+IF(ArtifactsInput!$M$10,CHOOSE(ArtifactsInput!$N$10+1,15,18,21,24,27,30)*(IF(Inputs!$B$39="pvp",MIN(15,15)/15,IF(AND(Inputs!$B$39&lt;&gt;"pvp",Inputs!$B$44&gt;0),MIN(15,Inputs!$B$44)/(Inputs!$B$44),0))),0)))-100),0))*CHOOSE(ArtifactsInput!$N$42+1,0.6,0.72,0.84,0.96,1.08,1.2))),Inputs!$B$18+((C2453=TRUE)*(F2453-Calc!F29))+(IF(AND(ArtifactsInput!$M$42,((Inputs!$B$9+((C2449=TRUE)*(F2449-Calc!F25))+B2464+(ArtifactsInput!$M$24-ArtifactsInput!$M$24)*CHOOSE(ArtifactsInput!$N$24+1,10,12,14,16,18,20)+IF(ArtifactsInput!$M$10,CHOOSE(ArtifactsInput!$N$10+1,15,18,21,24,27,30)*(IF(Inputs!$B$39="pvp",MIN(15,15)/15,IF(AND(Inputs!$B$39&lt;&gt;"pvp",Inputs!$B$44&gt;0),MIN(15,Inputs!$B$44)/(Inputs!$B$44),0))),0)))&gt;=100),CHOOSE(ArtifactsInput!$N$42+1,40,48,56,64,72,80),0))))/100)*(((1+(((C2445=TRUE)*F2445*IF(AND(Inputs!$B$39&lt;&gt;"pvp",Inputs!$B$44&gt;0),(((R2445-1)*(Skills!Y21*(1+Inputs!$B$34/100))+MIN((Skills!Y21*(1+Inputs!$B$34/100)),MAX(0,Inputs!$B$44-((R2445-1)*Skills!D21))))/Inputs!$B$44),IF(Inputs!$B$39="pvp",MIN((Skills!Y21*(1+Inputs!$B$34/100)),15)/15,(Skills!Y21*(1+Inputs!$B$34/100))/Skills!D21)))+((C2452=TRUE)*(F2452-Calc!F28))+((C2442=TRUE)*(F2442-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2439=TRUE)*F2439*IF(AND(Inputs!$B$39&lt;&gt;"pvp",Inputs!$B$44&gt;0),(((R2439-1)*(Skills!Y15*(1+Inputs!$B$34/100))+MIN((Skills!Y15*(1+Inputs!$B$34/100)),MAX(0,Inputs!$B$44-((R2439-1)*Skills!D15))))/Inputs!$B$44),IF(Inputs!$B$39="pvp",MIN((Skills!Y15*(1+Inputs!$B$34/100)),15)/15,(Skills!Y15*(1+Inputs!$B$34/100))/Skills!D15)))/100)*(1+((C2430=TRUE)*F2430*B2458)/100))*B2466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2429)</f>
        <v/>
      </c>
      <c r="L2429">
        <f>K2429*(MIN(Inputs!$B$22+((C2448=TRUE)*(F2448-Calc!F24)),(Inputs!$B$23+0+(IF(ArtifactsInput!$M$15,CHOOSE(ArtifactsInput!$N$15+1,25,30,35,40,45,50)/100*(Inputs!$B$11-Inputs!$B$11),0))))/100+(Inputs!$B$23+0+(IF(ArtifactsInput!$M$15,CHOOSE(ArtifactsInput!$N$15+1,25,30,35,40,45,50)/100*(Inputs!$B$11-Inputs!$B$11),0)))/100)/2</f>
        <v/>
      </c>
      <c r="M2429">
        <f>L2429*(1+(Inputs!$B$10+((C2450=TRUE)*(F2450-Calc!F26))+B2467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29">
        <f>L2429*(1-MIN((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2429*(MIN((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29">
        <f>(1-Summary!$B$11)*T2429+Summary!$B$11*V2429</f>
        <v/>
      </c>
      <c r="P2429">
        <f>IF(B2468=0,0,O2429/B2468)</f>
        <v/>
      </c>
      <c r="Q2429">
        <f>IFERROR(1/IF(Inputs!$B$39="pvp",15,MAX(0.1,Skills!D5-IF(Skills!E5=TRUE,Inputs!$B$32,0))),0)</f>
        <v/>
      </c>
      <c r="R2429">
        <f>IF(AND(Inputs!$B$39&lt;&gt;"pvp",Inputs!$B$44&gt;0),IF(MAX(0,Inputs!$B$44-B2469)&lt;=0,0,(INT(MAX(0,Inputs!$B$44-B2469)/IF(Inputs!$B$39="pvp",15,MAX(0.1,Skills!D5-IF(Skills!E5=TRUE,Inputs!$B$32,0))))+1)),0)</f>
        <v/>
      </c>
      <c r="S2429">
        <f>IFERROR(O2429/N2429,0)</f>
        <v/>
      </c>
      <c r="T2429">
        <f>IF(C2429,(H2429*N2429*IF(AND(Inputs!$B$39&lt;&gt;"pvp",Inputs!$B$44&gt;0),((Skills!G5*((R2429-1)*IF(Skills!H5&gt;0,Skills!I5/Skills!H5,1)+IF(Skills!H5&gt;0,MIN(Skills!I5,MAX(0,MAX(0,Inputs!$B$44-B2469)-((R2429-1)*IF(Inputs!$B$39="pvp",15,MAX(0.1,Skills!D5-IF(Skills!E5=TRUE,Inputs!$B$32,0))))))/Skills!H5,1)))/Inputs!$B$44),G2429*Q2429))*IF(Inputs!$B$39="pvp",1,1+(Inputs!$B$20+((C2451=TRUE)*(F2451-Calc!F27))+Skills!P5+B2465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2429*(1-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2429*(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2429*(1-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2429*(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29">
        <f>INDEX(FactorTable!$B$2:$Y$301, MATCH(ROUND(MIN(300,MAX(1,U2428)),0), FactorTable!$A$2:$A$301,0), 22)</f>
        <v/>
      </c>
      <c r="V2429">
        <f>IF(C2429,(H2429*N2429*IF(AND(Inputs!$B$39&lt;&gt;"pvp",Inputs!$B$44&gt;0),((Skills!G5*((R2429-1)*IF(Skills!H5&gt;0,Skills!I5/Skills!H5,1)+IF(Skills!H5&gt;0,MIN(Skills!I5,MAX(0,MAX(0,Inputs!$B$44-B2469)-((R2429-1)*IF(Inputs!$B$39="pvp",15,MAX(0.1,Skills!D5-IF(Skills!E5=TRUE,Inputs!$B$32,0))))))/Skills!H5,1)))/Inputs!$B$44),G2429*Q2429))*IF(Inputs!$B$39="pvp",1,(1+(Inputs!$B$21+Skills!Q5+B2465+(IF(ArtifactsInput!$M$33,CHOOSE(ArtifactsInput!$N$33+1,30,36,42,48,54,60)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30">
      <c r="A2430">
        <f>Skills!A6</f>
        <v/>
      </c>
      <c r="B2430">
        <f>Skills!B6</f>
        <v/>
      </c>
      <c r="C2430">
        <f>Inputs!$B$3&gt;=66</f>
        <v/>
      </c>
      <c r="D2430">
        <f>IF(Skills!C6=1,60+Inputs!$B$25+Inputs!$B$29,IF(Skills!C6=2,90+Inputs!$B$26+Inputs!$B$29,IF(Skills!C6=3,120+Inputs!$B$27+Inputs!$B$29,MAX(0,(Inputs!$B$3-100)*3)+Inputs!$B$28+Inputs!$B$29)))</f>
        <v/>
      </c>
      <c r="E2430">
        <f>INDEX(FactorTable!$B$2:$Y$301, MATCH(ROUND(MIN(300,MAX(1,D2430)),0), FactorTable!$A$2:$A$301,0), Skills!M6+1)</f>
        <v/>
      </c>
      <c r="F2430">
        <f>IF(Skills!N6=TRUE,(Skills!L6/10)*(E2430/1000),Skills!L6/10)+Skills!O6</f>
        <v/>
      </c>
      <c r="G2430">
        <f>Calc!G6</f>
        <v/>
      </c>
      <c r="H2430">
        <f>Calc!H6</f>
        <v/>
      </c>
      <c r="I2430">
        <f>IF(Skills!AA6&lt;&gt;"",1+(Skills!AA6/10)*(U2427/1000)/100,1)</f>
        <v/>
      </c>
      <c r="J2430" t="inlineStr"/>
      <c r="K2430" t="inlineStr"/>
      <c r="L2430" t="inlineStr"/>
      <c r="M2430" t="inlineStr"/>
      <c r="N2430" t="inlineStr"/>
      <c r="O2430">
        <f>(1-Summary!$B$11)*T2430+Summary!$B$11*V2430</f>
        <v/>
      </c>
      <c r="P2430">
        <f>IF(B2468=0,0,O2430/B2468)</f>
        <v/>
      </c>
      <c r="Q2430" t="n">
        <v>0</v>
      </c>
      <c r="R2430" t="n">
        <v>0</v>
      </c>
      <c r="S2430">
        <f>IFERROR(O2430/N2430,0)</f>
        <v/>
      </c>
      <c r="T2430" t="n">
        <v>0</v>
      </c>
      <c r="U2430">
        <f>290*U2429/1000</f>
        <v/>
      </c>
      <c r="V2430" t="n">
        <v>0</v>
      </c>
    </row>
    <row r="2431">
      <c r="A2431">
        <f>Skills!A7</f>
        <v/>
      </c>
      <c r="B2431">
        <f>Skills!B7</f>
        <v/>
      </c>
      <c r="C2431">
        <f>Inputs!$B$3&gt;=66</f>
        <v/>
      </c>
      <c r="D2431">
        <f>IF(Skills!C7=1,60+Inputs!$B$25+Inputs!$B$29,IF(Skills!C7=2,90+Inputs!$B$26+Inputs!$B$29,IF(Skills!C7=3,120+Inputs!$B$27+Inputs!$B$29,MAX(0,(Inputs!$B$3-100)*3)+Inputs!$B$28+Inputs!$B$29)))</f>
        <v/>
      </c>
      <c r="E2431">
        <f>INDEX(FactorTable!$B$2:$Y$301, MATCH(ROUND(MIN(300,MAX(1,D2431)),0), FactorTable!$A$2:$A$301,0), Skills!M7+1)</f>
        <v/>
      </c>
      <c r="F2431">
        <f>IF(Skills!N7=TRUE,(Skills!L7/10)*(E2431/1000),Skills!L7/10)+Skills!O7</f>
        <v/>
      </c>
      <c r="G2431">
        <f>Calc!G7</f>
        <v/>
      </c>
      <c r="H2431">
        <f>Calc!H7</f>
        <v/>
      </c>
      <c r="I2431">
        <f>IF(Skills!AA7&lt;&gt;"",1+(Skills!AA7/10)*(U2427/1000)/100,1)</f>
        <v/>
      </c>
      <c r="J2431" t="inlineStr"/>
      <c r="K2431" t="inlineStr"/>
      <c r="L2431" t="inlineStr"/>
      <c r="M2431" t="inlineStr"/>
      <c r="N2431" t="inlineStr"/>
      <c r="O2431">
        <f>(1-Summary!$B$11)*T2431+Summary!$B$11*V2431</f>
        <v/>
      </c>
      <c r="P2431">
        <f>IF(B2468=0,0,O2431/B2468)</f>
        <v/>
      </c>
      <c r="Q2431" t="n">
        <v>0</v>
      </c>
      <c r="R2431" t="n">
        <v>0</v>
      </c>
      <c r="S2431">
        <f>IFERROR(O2431/N2431,0)</f>
        <v/>
      </c>
      <c r="T2431" t="n">
        <v>0</v>
      </c>
      <c r="V2431" t="n">
        <v>0</v>
      </c>
    </row>
    <row r="2432">
      <c r="A2432">
        <f>Skills!A8</f>
        <v/>
      </c>
      <c r="B2432">
        <f>Skills!B8</f>
        <v/>
      </c>
      <c r="C2432">
        <f>Inputs!$B$3&gt;=69</f>
        <v/>
      </c>
      <c r="D2432">
        <f>IF(Skills!C8=1,60+Inputs!$B$25+Inputs!$B$29,IF(Skills!C8=2,90+Inputs!$B$26+Inputs!$B$29,IF(Skills!C8=3,120+Inputs!$B$27+Inputs!$B$29,MAX(0,(Inputs!$B$3-100)*3)+Inputs!$B$28+Inputs!$B$29)))</f>
        <v/>
      </c>
      <c r="E2432">
        <f>INDEX(FactorTable!$B$2:$Y$301, MATCH(ROUND(MIN(300,MAX(1,D2432)),0), FactorTable!$A$2:$A$301,0), Skills!M8+1)</f>
        <v/>
      </c>
      <c r="F2432">
        <f>IF(Skills!N8=TRUE,(Skills!L8/10)*(E2432/1000),Skills!L8/10)+Skills!O8</f>
        <v/>
      </c>
      <c r="G2432">
        <f>Calc!G8</f>
        <v/>
      </c>
      <c r="H2432">
        <f>Calc!H8</f>
        <v/>
      </c>
      <c r="I2432">
        <f>IF(Skills!AA8&lt;&gt;"",1+(Skills!AA8/10)*(U2427/1000)/100,1)</f>
        <v/>
      </c>
      <c r="J2432">
        <f>((Inputs!$B$6*(1+Inputs!$B$7/100))+(((Inputs!$B$12*(1+Inputs!$B$13/100))-(Inputs!$B$12*(1+Inputs!$B$13/100)))+0.25*(Inputs!$B$14-Inputs!$B$14))*(1+Inputs!$B$7/100))*(F2432/100)</f>
        <v/>
      </c>
      <c r="K2432">
        <f>J2432*(1+((Inputs!$B$12*(1+Inputs!$B$13/100))*0.01+Inputs!$B$14*0.0025)/100)*(1+Inputs!$B$15/100)*(1+Inputs!$B$16/100)*(5000/(6000+Inputs!$B$43*(1-(100*(1-(1-(Inputs!$B$19+0)/100)*(1-CHOOSE(ArtifactsInput!$N$40+1,5,6,7,8,9,10)/100)^(ArtifactsInput!$M$40-ArtifactsInput!$M$40)))/100)))*(1+(Inputs!$B$24+((C2454=TRUE)*(F2454-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2447=TRUE)*(F2447-Calc!F23))+(((IF(AND(ArtifactsInput!$M$42,((Inputs!$B$9+((C2449=TRUE)*(F2449-Calc!F25))+B2464+(ArtifactsInput!$M$24-ArtifactsInput!$M$24)*CHOOSE(ArtifactsInput!$N$24+1,10,12,14,16,18,20)+IF(ArtifactsInput!$M$10,CHOOSE(ArtifactsInput!$N$10+1,15,18,21,24,27,30)*(IF(Inputs!$B$39="pvp",MIN(15,15)/15,IF(AND(Inputs!$B$39&lt;&gt;"pvp",Inputs!$B$44&gt;0),MIN(15,Inputs!$B$44)/(Inputs!$B$44),0))),0)))&gt;=100),MIN(100,((Inputs!$B$9+((C2449=TRUE)*(F2449-Calc!F25))+B2464+(ArtifactsInput!$M$24-ArtifactsInput!$M$24)*CHOOSE(ArtifactsInput!$N$24+1,10,12,14,16,18,20)+IF(ArtifactsInput!$M$10,CHOOSE(ArtifactsInput!$N$10+1,15,18,21,24,27,30)*(IF(Inputs!$B$39="pvp",MIN(15,15)/15,IF(AND(Inputs!$B$39&lt;&gt;"pvp",Inputs!$B$44&gt;0),MIN(15,Inputs!$B$44)/(Inputs!$B$44),0))),0)))-100),0))*CHOOSE(ArtifactsInput!$N$42+1,0.6,0.72,0.84,0.96,1.08,1.2))),Inputs!$B$18+((C2453=TRUE)*(F2453-Calc!F29))+(IF(AND(ArtifactsInput!$M$42,((Inputs!$B$9+((C2449=TRUE)*(F2449-Calc!F25))+B2464+(ArtifactsInput!$M$24-ArtifactsInput!$M$24)*CHOOSE(ArtifactsInput!$N$24+1,10,12,14,16,18,20)+IF(ArtifactsInput!$M$10,CHOOSE(ArtifactsInput!$N$10+1,15,18,21,24,27,30)*(IF(Inputs!$B$39="pvp",MIN(15,15)/15,IF(AND(Inputs!$B$39&lt;&gt;"pvp",Inputs!$B$44&gt;0),MIN(15,Inputs!$B$44)/(Inputs!$B$44),0))),0)))&gt;=100),CHOOSE(ArtifactsInput!$N$42+1,40,48,56,64,72,80),0))))/100)*(((1+(((C2445=TRUE)*F2445*IF(AND(Inputs!$B$39&lt;&gt;"pvp",Inputs!$B$44&gt;0),(((R2445-1)*(Skills!Y21*(1+Inputs!$B$34/100))+MIN((Skills!Y21*(1+Inputs!$B$34/100)),MAX(0,Inputs!$B$44-((R2445-1)*Skills!D21))))/Inputs!$B$44),IF(Inputs!$B$39="pvp",MIN((Skills!Y21*(1+Inputs!$B$34/100)),15)/15,(Skills!Y21*(1+Inputs!$B$34/100))/Skills!D21)))+((C2452=TRUE)*(F2452-Calc!F28))+((C2442=TRUE)*(F2442-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2439=TRUE)*F2439*IF(AND(Inputs!$B$39&lt;&gt;"pvp",Inputs!$B$44&gt;0),(((R2439-1)*(Skills!Y15*(1+Inputs!$B$34/100))+MIN((Skills!Y15*(1+Inputs!$B$34/100)),MAX(0,Inputs!$B$44-((R2439-1)*Skills!D15))))/Inputs!$B$44),IF(Inputs!$B$39="pvp",MIN((Skills!Y15*(1+Inputs!$B$34/100)),15)/15,(Skills!Y15*(1+Inputs!$B$34/100))/Skills!D15)))/100)*(1+((C2430=TRUE)*F2430*B2458)/100))*B2466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2432)</f>
        <v/>
      </c>
      <c r="L2432">
        <f>K2432*(MIN(Inputs!$B$22+((C2448=TRUE)*(F2448-Calc!F24)),(Inputs!$B$23+0+(IF(ArtifactsInput!$M$15,CHOOSE(ArtifactsInput!$N$15+1,25,30,35,40,45,50)/100*(Inputs!$B$11-Inputs!$B$11),0))))/100+(Inputs!$B$23+0+(IF(ArtifactsInput!$M$15,CHOOSE(ArtifactsInput!$N$15+1,25,30,35,40,45,50)/100*(Inputs!$B$11-Inputs!$B$11),0)))/100)/2</f>
        <v/>
      </c>
      <c r="M2432">
        <f>L2432*(1+(Inputs!$B$10+((C2450=TRUE)*(F2450-Calc!F26))+B2467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32">
        <f>L2432*(1-MIN((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2432*(MIN((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32">
        <f>(1-Summary!$B$11)*T2432+Summary!$B$11*V2432</f>
        <v/>
      </c>
      <c r="P2432">
        <f>IF(B2468=0,0,O2432/B2468)</f>
        <v/>
      </c>
      <c r="Q2432">
        <f>IFERROR(1/IF(Inputs!$B$39="pvp",15,MAX(0.1,Skills!D8-IF(Skills!E8=TRUE,Inputs!$B$32,0))),0)</f>
        <v/>
      </c>
      <c r="R2432">
        <f>IF(AND(Inputs!$B$39&lt;&gt;"pvp",Inputs!$B$44&gt;0),IF(MAX(0,Inputs!$B$44-B2469)&lt;=0,0,(INT(MAX(0,Inputs!$B$44-B2469)/IF(Inputs!$B$39="pvp",15,MAX(0.1,Skills!D8-IF(Skills!E8=TRUE,Inputs!$B$32,0))))+1)),0)</f>
        <v/>
      </c>
      <c r="S2432">
        <f>IFERROR(O2432/N2432,0)</f>
        <v/>
      </c>
      <c r="T2432">
        <f>IF(C2432,(H2432*N2432*IF(AND(Inputs!$B$39&lt;&gt;"pvp",Inputs!$B$44&gt;0),((Skills!G8*((R2432-1)*IF(Skills!H8&gt;0,Skills!I8/Skills!H8,1)+IF(Skills!H8&gt;0,MIN(Skills!I8,MAX(0,MAX(0,Inputs!$B$44-B2469)-((R2432-1)*IF(Inputs!$B$39="pvp",15,MAX(0.1,Skills!D8-IF(Skills!E8=TRUE,Inputs!$B$32,0))))))/Skills!H8,1)))/Inputs!$B$44),G2432*Q2432))*IF(Inputs!$B$39="pvp",1,1+(Inputs!$B$20+((C2451=TRUE)*(F2451-Calc!F27))+Skills!P8+B2465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2432*(1-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2432*(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2432*(1-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2432*(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32">
        <f>IF(C2432,(H2432*N2432*IF(AND(Inputs!$B$39&lt;&gt;"pvp",Inputs!$B$44&gt;0),((Skills!G8*((R2432-1)*IF(Skills!H8&gt;0,Skills!I8/Skills!H8,1)+IF(Skills!H8&gt;0,MIN(Skills!I8,MAX(0,MAX(0,Inputs!$B$44-B2469)-((R2432-1)*IF(Inputs!$B$39="pvp",15,MAX(0.1,Skills!D8-IF(Skills!E8=TRUE,Inputs!$B$32,0))))))/Skills!H8,1)))/Inputs!$B$44),G2432*Q2432))*IF(Inputs!$B$39="pvp",1,(1+(Inputs!$B$21+Skills!Q8+B2465+(IF(ArtifactsInput!$M$33,CHOOSE(ArtifactsInput!$N$33+1,30,36,42,48,54,60)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33">
      <c r="A2433">
        <f>Skills!A9</f>
        <v/>
      </c>
      <c r="B2433">
        <f>Skills!B9</f>
        <v/>
      </c>
      <c r="C2433">
        <f>Inputs!$B$3&gt;=72</f>
        <v/>
      </c>
      <c r="D2433">
        <f>IF(Skills!C9=1,60+Inputs!$B$25+Inputs!$B$29,IF(Skills!C9=2,90+Inputs!$B$26+Inputs!$B$29,IF(Skills!C9=3,120+Inputs!$B$27+Inputs!$B$29,MAX(0,(Inputs!$B$3-100)*3)+Inputs!$B$28+Inputs!$B$29)))</f>
        <v/>
      </c>
      <c r="E2433">
        <f>INDEX(FactorTable!$B$2:$Y$301, MATCH(ROUND(MIN(300,MAX(1,D2433)),0), FactorTable!$A$2:$A$301,0), Skills!M9+1)</f>
        <v/>
      </c>
      <c r="F2433">
        <f>IF(Skills!N9=TRUE,(Skills!L9/10)*(E2433/1000),Skills!L9/10)+Skills!O9</f>
        <v/>
      </c>
      <c r="G2433">
        <f>Calc!G9</f>
        <v/>
      </c>
      <c r="H2433">
        <f>Calc!H9</f>
        <v/>
      </c>
      <c r="I2433">
        <f>IF(Skills!AA9&lt;&gt;"",1+(Skills!AA9/10)*(U2427/1000)/100,1)</f>
        <v/>
      </c>
      <c r="J2433">
        <f>((Inputs!$B$6*(1+Inputs!$B$7/100))+(((Inputs!$B$12*(1+Inputs!$B$13/100))-(Inputs!$B$12*(1+Inputs!$B$13/100)))+0.25*(Inputs!$B$14-Inputs!$B$14))*(1+Inputs!$B$7/100))*(F2433/100)</f>
        <v/>
      </c>
      <c r="K2433">
        <f>J2433*(1+((Inputs!$B$12*(1+Inputs!$B$13/100))*0.01+Inputs!$B$14*0.0025)/100)*(1+Inputs!$B$15/100)*(1+Inputs!$B$16/100)*(5000/(6000+Inputs!$B$43*(1-(100*(1-(1-(Inputs!$B$19+0)/100)*(1-CHOOSE(ArtifactsInput!$N$40+1,5,6,7,8,9,10)/100)^(ArtifactsInput!$M$40-ArtifactsInput!$M$40)))/100)))*(1+(Inputs!$B$24+((C2454=TRUE)*(F2454-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2447=TRUE)*(F2447-Calc!F23))+(((IF(AND(ArtifactsInput!$M$42,((Inputs!$B$9+((C2449=TRUE)*(F2449-Calc!F25))+B2464+(ArtifactsInput!$M$24-ArtifactsInput!$M$24)*CHOOSE(ArtifactsInput!$N$24+1,10,12,14,16,18,20)+IF(ArtifactsInput!$M$10,CHOOSE(ArtifactsInput!$N$10+1,15,18,21,24,27,30)*(IF(Inputs!$B$39="pvp",MIN(15,15)/15,IF(AND(Inputs!$B$39&lt;&gt;"pvp",Inputs!$B$44&gt;0),MIN(15,Inputs!$B$44)/(Inputs!$B$44),0))),0)))&gt;=100),MIN(100,((Inputs!$B$9+((C2449=TRUE)*(F2449-Calc!F25))+B2464+(ArtifactsInput!$M$24-ArtifactsInput!$M$24)*CHOOSE(ArtifactsInput!$N$24+1,10,12,14,16,18,20)+IF(ArtifactsInput!$M$10,CHOOSE(ArtifactsInput!$N$10+1,15,18,21,24,27,30)*(IF(Inputs!$B$39="pvp",MIN(15,15)/15,IF(AND(Inputs!$B$39&lt;&gt;"pvp",Inputs!$B$44&gt;0),MIN(15,Inputs!$B$44)/(Inputs!$B$44),0))),0)))-100),0))*CHOOSE(ArtifactsInput!$N$42+1,0.6,0.72,0.84,0.96,1.08,1.2))),Inputs!$B$18+((C2453=TRUE)*(F2453-Calc!F29))+(IF(AND(ArtifactsInput!$M$42,((Inputs!$B$9+((C2449=TRUE)*(F2449-Calc!F25))+B2464+(ArtifactsInput!$M$24-ArtifactsInput!$M$24)*CHOOSE(ArtifactsInput!$N$24+1,10,12,14,16,18,20)+IF(ArtifactsInput!$M$10,CHOOSE(ArtifactsInput!$N$10+1,15,18,21,24,27,30)*(IF(Inputs!$B$39="pvp",MIN(15,15)/15,IF(AND(Inputs!$B$39&lt;&gt;"pvp",Inputs!$B$44&gt;0),MIN(15,Inputs!$B$44)/(Inputs!$B$44),0))),0)))&gt;=100),CHOOSE(ArtifactsInput!$N$42+1,40,48,56,64,72,80),0))))/100)*(((1+(((C2445=TRUE)*F2445*IF(AND(Inputs!$B$39&lt;&gt;"pvp",Inputs!$B$44&gt;0),(((R2445-1)*(Skills!Y21*(1+Inputs!$B$34/100))+MIN((Skills!Y21*(1+Inputs!$B$34/100)),MAX(0,Inputs!$B$44-((R2445-1)*Skills!D21))))/Inputs!$B$44),IF(Inputs!$B$39="pvp",MIN((Skills!Y21*(1+Inputs!$B$34/100)),15)/15,(Skills!Y21*(1+Inputs!$B$34/100))/Skills!D21)))+((C2452=TRUE)*(F2452-Calc!F28))+((C2442=TRUE)*(F2442-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2439=TRUE)*F2439*IF(AND(Inputs!$B$39&lt;&gt;"pvp",Inputs!$B$44&gt;0),(((R2439-1)*(Skills!Y15*(1+Inputs!$B$34/100))+MIN((Skills!Y15*(1+Inputs!$B$34/100)),MAX(0,Inputs!$B$44-((R2439-1)*Skills!D15))))/Inputs!$B$44),IF(Inputs!$B$39="pvp",MIN((Skills!Y15*(1+Inputs!$B$34/100)),15)/15,(Skills!Y15*(1+Inputs!$B$34/100))/Skills!D15)))/100)*(1+((C2430=TRUE)*F2430*B2458)/100))*B2466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2433)</f>
        <v/>
      </c>
      <c r="L2433">
        <f>K2433*(MIN(Inputs!$B$22+((C2448=TRUE)*(F2448-Calc!F24)),(Inputs!$B$23+0+(IF(ArtifactsInput!$M$15,CHOOSE(ArtifactsInput!$N$15+1,25,30,35,40,45,50)/100*(Inputs!$B$11-Inputs!$B$11),0))))/100+(Inputs!$B$23+0+(IF(ArtifactsInput!$M$15,CHOOSE(ArtifactsInput!$N$15+1,25,30,35,40,45,50)/100*(Inputs!$B$11-Inputs!$B$11),0)))/100)/2</f>
        <v/>
      </c>
      <c r="M2433">
        <f>L2433*(1+(Inputs!$B$10+((C2450=TRUE)*(F2450-Calc!F26))+B2467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33">
        <f>L2433*(1-MIN((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2433*(MIN((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33">
        <f>(1-Summary!$B$11)*T2433+Summary!$B$11*V2433</f>
        <v/>
      </c>
      <c r="P2433">
        <f>IF(B2468=0,0,O2433/B2468)</f>
        <v/>
      </c>
      <c r="Q2433">
        <f>IFERROR(1/IF(Inputs!$B$39="pvp",15,MAX(0.1,Skills!D9-IF(Skills!E9=TRUE,Inputs!$B$32,0))),0)</f>
        <v/>
      </c>
      <c r="R2433">
        <f>IF(AND(Inputs!$B$39&lt;&gt;"pvp",Inputs!$B$44&gt;0),IF(MAX(0,Inputs!$B$44-B2469)&lt;=0,0,(INT(MAX(0,Inputs!$B$44-B2469)/IF(Inputs!$B$39="pvp",15,MAX(0.1,Skills!D9-IF(Skills!E9=TRUE,Inputs!$B$32,0))))+1)),0)</f>
        <v/>
      </c>
      <c r="S2433">
        <f>IFERROR(O2433/N2433,0)</f>
        <v/>
      </c>
      <c r="T2433">
        <f>IF(C2433,(H2433*N2433*IF(AND(Inputs!$B$39&lt;&gt;"pvp",Inputs!$B$44&gt;0),((Skills!G9*((R2433-1)*IF(Skills!H9&gt;0,Skills!I9/Skills!H9,1)+IF(Skills!H9&gt;0,MIN(Skills!I9,MAX(0,MAX(0,Inputs!$B$44-B2469)-((R2433-1)*IF(Inputs!$B$39="pvp",15,MAX(0.1,Skills!D9-IF(Skills!E9=TRUE,Inputs!$B$32,0))))))/Skills!H9,1)))/Inputs!$B$44),G2433*Q2433))*IF(Inputs!$B$39="pvp",1,1+(Inputs!$B$20+((C2451=TRUE)*(F2451-Calc!F27))+Skills!P9+B2465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2433*(1-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2433*(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2433*(1-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2433*(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33">
        <f>IF(C2433,(H2433*N2433*IF(AND(Inputs!$B$39&lt;&gt;"pvp",Inputs!$B$44&gt;0),((Skills!G9*((R2433-1)*IF(Skills!H9&gt;0,Skills!I9/Skills!H9,1)+IF(Skills!H9&gt;0,MIN(Skills!I9,MAX(0,MAX(0,Inputs!$B$44-B2469)-((R2433-1)*IF(Inputs!$B$39="pvp",15,MAX(0.1,Skills!D9-IF(Skills!E9=TRUE,Inputs!$B$32,0))))))/Skills!H9,1)))/Inputs!$B$44),G2433*Q2433))*IF(Inputs!$B$39="pvp",1,(1+(Inputs!$B$21+Skills!Q9+B2465+(IF(ArtifactsInput!$M$33,CHOOSE(ArtifactsInput!$N$33+1,30,36,42,48,54,60)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34">
      <c r="A2434">
        <f>Skills!A10</f>
        <v/>
      </c>
      <c r="B2434">
        <f>Skills!B10</f>
        <v/>
      </c>
      <c r="C2434">
        <f>Inputs!$B$3&gt;=117</f>
        <v/>
      </c>
      <c r="D2434">
        <f>IF(Skills!C10=1,60+Inputs!$B$25+Inputs!$B$29,IF(Skills!C10=2,90+Inputs!$B$26+Inputs!$B$29,IF(Skills!C10=3,120+Inputs!$B$27+Inputs!$B$29,MAX(0,(Inputs!$B$3-100)*3)+Inputs!$B$28+Inputs!$B$29)))</f>
        <v/>
      </c>
      <c r="E2434">
        <f>INDEX(FactorTable!$B$2:$Y$301, MATCH(ROUND(MIN(300,MAX(1,D2434)),0), FactorTable!$A$2:$A$301,0), Skills!M10+1)</f>
        <v/>
      </c>
      <c r="F2434">
        <f>IF(Skills!N10=TRUE,(Skills!L10/10)*(E2434/1000),Skills!L10/10)+Skills!O10</f>
        <v/>
      </c>
      <c r="G2434">
        <f>Calc!G10</f>
        <v/>
      </c>
      <c r="H2434">
        <f>Calc!H10</f>
        <v/>
      </c>
      <c r="I2434">
        <f>IF(Skills!AA10&lt;&gt;"",1+(Skills!AA10/10)*(U2427/1000)/100,1)</f>
        <v/>
      </c>
      <c r="J2434">
        <f>((Inputs!$B$6*(1+Inputs!$B$7/100))+(((Inputs!$B$12*(1+Inputs!$B$13/100))-(Inputs!$B$12*(1+Inputs!$B$13/100)))+0.25*(Inputs!$B$14-Inputs!$B$14))*(1+Inputs!$B$7/100))*(F2434/100)</f>
        <v/>
      </c>
      <c r="K2434">
        <f>J2434*(1+((Inputs!$B$12*(1+Inputs!$B$13/100))*0.01+Inputs!$B$14*0.0025)/100)*(1+Inputs!$B$15/100)*(1+Inputs!$B$16/100)*(5000/(6000+Inputs!$B$43*(1-(100*(1-(1-(Inputs!$B$19+0)/100)*(1-CHOOSE(ArtifactsInput!$N$40+1,5,6,7,8,9,10)/100)^(ArtifactsInput!$M$40-ArtifactsInput!$M$40)))/100)))*(1+(Inputs!$B$24+((C2454=TRUE)*(F2454-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2447=TRUE)*(F2447-Calc!F23))+(((IF(AND(ArtifactsInput!$M$42,((Inputs!$B$9+((C2449=TRUE)*(F2449-Calc!F25))+B2464+(ArtifactsInput!$M$24-ArtifactsInput!$M$24)*CHOOSE(ArtifactsInput!$N$24+1,10,12,14,16,18,20)+IF(ArtifactsInput!$M$10,CHOOSE(ArtifactsInput!$N$10+1,15,18,21,24,27,30)*(IF(Inputs!$B$39="pvp",MIN(15,15)/15,IF(AND(Inputs!$B$39&lt;&gt;"pvp",Inputs!$B$44&gt;0),MIN(15,Inputs!$B$44)/(Inputs!$B$44),0))),0)))&gt;=100),MIN(100,((Inputs!$B$9+((C2449=TRUE)*(F2449-Calc!F25))+B2464+(ArtifactsInput!$M$24-ArtifactsInput!$M$24)*CHOOSE(ArtifactsInput!$N$24+1,10,12,14,16,18,20)+IF(ArtifactsInput!$M$10,CHOOSE(ArtifactsInput!$N$10+1,15,18,21,24,27,30)*(IF(Inputs!$B$39="pvp",MIN(15,15)/15,IF(AND(Inputs!$B$39&lt;&gt;"pvp",Inputs!$B$44&gt;0),MIN(15,Inputs!$B$44)/(Inputs!$B$44),0))),0)))-100),0))*CHOOSE(ArtifactsInput!$N$42+1,0.6,0.72,0.84,0.96,1.08,1.2))),Inputs!$B$18+((C2453=TRUE)*(F2453-Calc!F29))+(IF(AND(ArtifactsInput!$M$42,((Inputs!$B$9+((C2449=TRUE)*(F2449-Calc!F25))+B2464+(ArtifactsInput!$M$24-ArtifactsInput!$M$24)*CHOOSE(ArtifactsInput!$N$24+1,10,12,14,16,18,20)+IF(ArtifactsInput!$M$10,CHOOSE(ArtifactsInput!$N$10+1,15,18,21,24,27,30)*(IF(Inputs!$B$39="pvp",MIN(15,15)/15,IF(AND(Inputs!$B$39&lt;&gt;"pvp",Inputs!$B$44&gt;0),MIN(15,Inputs!$B$44)/(Inputs!$B$44),0))),0)))&gt;=100),CHOOSE(ArtifactsInput!$N$42+1,40,48,56,64,72,80),0))))/100)*(((1+(((C2445=TRUE)*F2445*IF(AND(Inputs!$B$39&lt;&gt;"pvp",Inputs!$B$44&gt;0),(((R2445-1)*(Skills!Y21*(1+Inputs!$B$34/100))+MIN((Skills!Y21*(1+Inputs!$B$34/100)),MAX(0,Inputs!$B$44-((R2445-1)*Skills!D21))))/Inputs!$B$44),IF(Inputs!$B$39="pvp",MIN((Skills!Y21*(1+Inputs!$B$34/100)),15)/15,(Skills!Y21*(1+Inputs!$B$34/100))/Skills!D21)))+((C2452=TRUE)*(F2452-Calc!F28))+((C2442=TRUE)*(F2442-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2439=TRUE)*F2439*IF(AND(Inputs!$B$39&lt;&gt;"pvp",Inputs!$B$44&gt;0),(((R2439-1)*(Skills!Y15*(1+Inputs!$B$34/100))+MIN((Skills!Y15*(1+Inputs!$B$34/100)),MAX(0,Inputs!$B$44-((R2439-1)*Skills!D15))))/Inputs!$B$44),IF(Inputs!$B$39="pvp",MIN((Skills!Y15*(1+Inputs!$B$34/100)),15)/15,(Skills!Y15*(1+Inputs!$B$34/100))/Skills!D15)))/100)*(1+((C2430=TRUE)*F2430*B2458)/100))*B2466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2434)</f>
        <v/>
      </c>
      <c r="L2434">
        <f>K2434*(MIN(Inputs!$B$22+((C2448=TRUE)*(F2448-Calc!F24)),(Inputs!$B$23+0+(IF(ArtifactsInput!$M$15,CHOOSE(ArtifactsInput!$N$15+1,25,30,35,40,45,50)/100*(Inputs!$B$11-Inputs!$B$11),0))))/100+(Inputs!$B$23+0+(IF(ArtifactsInput!$M$15,CHOOSE(ArtifactsInput!$N$15+1,25,30,35,40,45,50)/100*(Inputs!$B$11-Inputs!$B$11),0)))/100)/2</f>
        <v/>
      </c>
      <c r="M2434">
        <f>L2434*(1+(Inputs!$B$10+((C2450=TRUE)*(F2450-Calc!F26))+B2467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34">
        <f>L2434*(1-MIN((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2434*(MIN((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34">
        <f>(1-Summary!$B$11)*T2434+Summary!$B$11*V2434</f>
        <v/>
      </c>
      <c r="P2434">
        <f>IF(B2468=0,0,O2434/B2468)</f>
        <v/>
      </c>
      <c r="Q2434" t="n">
        <v>0</v>
      </c>
      <c r="R2434" t="n">
        <v>0</v>
      </c>
      <c r="S2434" t="n">
        <v>0</v>
      </c>
      <c r="T2434">
        <f>IF(C2434,(0.2*SUMPRODUCT((Skills!Z2:Z31=TRUE)*(C2426:C2455=TRUE)*S2426:S2455)*N2434)*IF(Inputs!$B$39="pvp",1,1+(Inputs!$B$20+((C2451=TRUE)*(F2451-Calc!F27))+Skills!P10+B2465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2434*(1-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2434*(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2434*(1-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2434*(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34">
        <f>IF(C2434,(0.2*SUMPRODUCT((Skills!Z2:Z31=TRUE)*(C2426:C2455=TRUE)*S2426:S2455)*N2434)*IF(Inputs!$B$39="pvp",1,(1+(Inputs!$B$21+Skills!Q10+B2465+(IF(ArtifactsInput!$M$33,CHOOSE(ArtifactsInput!$N$33+1,30,36,42,48,54,60),0))+(IF(AND(ArtifactsInput!$M$35,Inputs!$B$4&lt;&gt;"Chapter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35">
      <c r="A2435">
        <f>Skills!A11</f>
        <v/>
      </c>
      <c r="B2435">
        <f>Skills!B11</f>
        <v/>
      </c>
      <c r="C2435">
        <f>Inputs!$B$3&gt;=60</f>
        <v/>
      </c>
      <c r="D2435">
        <f>IF(Skills!C11=1,60+Inputs!$B$25+Inputs!$B$29,IF(Skills!C11=2,90+Inputs!$B$26+Inputs!$B$29,IF(Skills!C11=3,120+Inputs!$B$27+Inputs!$B$29,MAX(0,(Inputs!$B$3-100)*3)+Inputs!$B$28+Inputs!$B$29)))</f>
        <v/>
      </c>
      <c r="E2435">
        <f>INDEX(FactorTable!$B$2:$Y$301, MATCH(ROUND(MIN(300,MAX(1,D2435)),0), FactorTable!$A$2:$A$301,0), Skills!M11+1)</f>
        <v/>
      </c>
      <c r="F2435">
        <f>IF(Skills!N11=TRUE,(Skills!L11/10)*(E2435/1000),Skills!L11/10)+Skills!O11</f>
        <v/>
      </c>
      <c r="G2435">
        <f>Calc!G11</f>
        <v/>
      </c>
      <c r="H2435">
        <f>Calc!H11</f>
        <v/>
      </c>
      <c r="I2435">
        <f>IF(Skills!AA11&lt;&gt;"",1+(Skills!AA11/10)*(U2427/1000)/100,1)</f>
        <v/>
      </c>
      <c r="J2435" t="inlineStr"/>
      <c r="K2435" t="inlineStr"/>
      <c r="L2435" t="inlineStr"/>
      <c r="M2435" t="inlineStr"/>
      <c r="N2435" t="inlineStr"/>
      <c r="O2435">
        <f>(1-Summary!$B$11)*T2435+Summary!$B$11*V2435</f>
        <v/>
      </c>
      <c r="P2435">
        <f>IF(B2468=0,0,O2435/B2468)</f>
        <v/>
      </c>
      <c r="Q2435" t="n">
        <v>0</v>
      </c>
      <c r="R2435" t="n">
        <v>0</v>
      </c>
      <c r="S2435">
        <f>IFERROR(O2435/N2435,0)</f>
        <v/>
      </c>
      <c r="T2435" t="n">
        <v>0</v>
      </c>
      <c r="V2435" t="n">
        <v>0</v>
      </c>
    </row>
    <row r="2436">
      <c r="A2436">
        <f>Skills!A12</f>
        <v/>
      </c>
      <c r="B2436">
        <f>Skills!B12</f>
        <v/>
      </c>
      <c r="C2436">
        <f>Inputs!$B$3&gt;=103</f>
        <v/>
      </c>
      <c r="D2436">
        <f>IF(Skills!C12=1,60+Inputs!$B$25+Inputs!$B$29,IF(Skills!C12=2,90+Inputs!$B$26+Inputs!$B$29,IF(Skills!C12=3,120+Inputs!$B$27+Inputs!$B$29,MAX(0,(Inputs!$B$3-100)*3)+Inputs!$B$28+Inputs!$B$29)))</f>
        <v/>
      </c>
      <c r="E2436">
        <f>INDEX(FactorTable!$B$2:$Y$301, MATCH(ROUND(MIN(300,MAX(1,D2436)),0), FactorTable!$A$2:$A$301,0), Skills!M12+1)</f>
        <v/>
      </c>
      <c r="F2436">
        <f>IF(Skills!N12=TRUE,(Skills!L12/10)*(E2436/1000),Skills!L12/10)+Skills!O12</f>
        <v/>
      </c>
      <c r="G2436">
        <f>Calc!G12</f>
        <v/>
      </c>
      <c r="H2436">
        <f>Calc!H12</f>
        <v/>
      </c>
      <c r="I2436">
        <f>IF(Skills!AA12&lt;&gt;"",1+(Skills!AA12/10)*(U2427/1000)/100,1)</f>
        <v/>
      </c>
      <c r="J2436">
        <f>((Inputs!$B$6*(1+Inputs!$B$7/100))+(((Inputs!$B$12*(1+Inputs!$B$13/100))-(Inputs!$B$12*(1+Inputs!$B$13/100)))+0.25*(Inputs!$B$14-Inputs!$B$14))*(1+Inputs!$B$7/100))*(F2436/100)</f>
        <v/>
      </c>
      <c r="K2436">
        <f>J2436*(1+((Inputs!$B$12*(1+Inputs!$B$13/100))*0.01+Inputs!$B$14*0.0025)/100)*(1+Inputs!$B$15/100)*(1+Inputs!$B$16/100)*(5000/(6000+Inputs!$B$43*(1-(100*(1-(1-(Inputs!$B$19+0)/100)*(1-CHOOSE(ArtifactsInput!$N$40+1,5,6,7,8,9,10)/100)^(ArtifactsInput!$M$40-ArtifactsInput!$M$40)))/100)))*(1+(Inputs!$B$24+((C2454=TRUE)*(F2454-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2447=TRUE)*(F2447-Calc!F23))+(((IF(AND(ArtifactsInput!$M$42,((Inputs!$B$9+((C2449=TRUE)*(F2449-Calc!F25))+B2464+(ArtifactsInput!$M$24-ArtifactsInput!$M$24)*CHOOSE(ArtifactsInput!$N$24+1,10,12,14,16,18,20)+IF(ArtifactsInput!$M$10,CHOOSE(ArtifactsInput!$N$10+1,15,18,21,24,27,30)*(IF(Inputs!$B$39="pvp",MIN(15,15)/15,IF(AND(Inputs!$B$39&lt;&gt;"pvp",Inputs!$B$44&gt;0),MIN(15,Inputs!$B$44)/(Inputs!$B$44),0))),0)))&gt;=100),MIN(100,((Inputs!$B$9+((C2449=TRUE)*(F2449-Calc!F25))+B2464+(ArtifactsInput!$M$24-ArtifactsInput!$M$24)*CHOOSE(ArtifactsInput!$N$24+1,10,12,14,16,18,20)+IF(ArtifactsInput!$M$10,CHOOSE(ArtifactsInput!$N$10+1,15,18,21,24,27,30)*(IF(Inputs!$B$39="pvp",MIN(15,15)/15,IF(AND(Inputs!$B$39&lt;&gt;"pvp",Inputs!$B$44&gt;0),MIN(15,Inputs!$B$44)/(Inputs!$B$44),0))),0)))-100),0))*CHOOSE(ArtifactsInput!$N$42+1,0.6,0.72,0.84,0.96,1.08,1.2))),Inputs!$B$18+((C2453=TRUE)*(F2453-Calc!F29))+(IF(AND(ArtifactsInput!$M$42,((Inputs!$B$9+((C2449=TRUE)*(F2449-Calc!F25))+B2464+(ArtifactsInput!$M$24-ArtifactsInput!$M$24)*CHOOSE(ArtifactsInput!$N$24+1,10,12,14,16,18,20)+IF(ArtifactsInput!$M$10,CHOOSE(ArtifactsInput!$N$10+1,15,18,21,24,27,30)*(IF(Inputs!$B$39="pvp",MIN(15,15)/15,IF(AND(Inputs!$B$39&lt;&gt;"pvp",Inputs!$B$44&gt;0),MIN(15,Inputs!$B$44)/(Inputs!$B$44),0))),0)))&gt;=100),CHOOSE(ArtifactsInput!$N$42+1,40,48,56,64,72,80),0))))/100)*(((1+(((C2445=TRUE)*F2445*IF(AND(Inputs!$B$39&lt;&gt;"pvp",Inputs!$B$44&gt;0),(((R2445-1)*(Skills!Y21*(1+Inputs!$B$34/100))+MIN((Skills!Y21*(1+Inputs!$B$34/100)),MAX(0,Inputs!$B$44-((R2445-1)*Skills!D21))))/Inputs!$B$44),IF(Inputs!$B$39="pvp",MIN((Skills!Y21*(1+Inputs!$B$34/100)),15)/15,(Skills!Y21*(1+Inputs!$B$34/100))/Skills!D21)))+((C2452=TRUE)*(F2452-Calc!F28))+((C2442=TRUE)*(F2442-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2439=TRUE)*F2439*IF(AND(Inputs!$B$39&lt;&gt;"pvp",Inputs!$B$44&gt;0),(((R2439-1)*(Skills!Y15*(1+Inputs!$B$34/100))+MIN((Skills!Y15*(1+Inputs!$B$34/100)),MAX(0,Inputs!$B$44-((R2439-1)*Skills!D15))))/Inputs!$B$44),IF(Inputs!$B$39="pvp",MIN((Skills!Y15*(1+Inputs!$B$34/100)),15)/15,(Skills!Y15*(1+Inputs!$B$34/100))/Skills!D15)))/100)*(1+((C2430=TRUE)*F2430*B2458)/100))*B2466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2436)</f>
        <v/>
      </c>
      <c r="L2436">
        <f>K2436*(MIN(Inputs!$B$22+((C2448=TRUE)*(F2448-Calc!F24)),(Inputs!$B$23+0+(IF(ArtifactsInput!$M$15,CHOOSE(ArtifactsInput!$N$15+1,25,30,35,40,45,50)/100*(Inputs!$B$11-Inputs!$B$11),0))))/100+(Inputs!$B$23+0+(IF(ArtifactsInput!$M$15,CHOOSE(ArtifactsInput!$N$15+1,25,30,35,40,45,50)/100*(Inputs!$B$11-Inputs!$B$11),0)))/100)/2</f>
        <v/>
      </c>
      <c r="M2436">
        <f>L2436*(1+(Inputs!$B$10+((C2450=TRUE)*(F2450-Calc!F26))+B2467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36">
        <f>L2436*(1-MIN((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2436*(MIN((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36">
        <f>(1-Summary!$B$11)*T2436+Summary!$B$11*V2436</f>
        <v/>
      </c>
      <c r="P2436">
        <f>IF(B2468=0,0,O2436/B2468)</f>
        <v/>
      </c>
      <c r="Q2436">
        <f>IFERROR(1/IF(Inputs!$B$39="pvp",15,MAX(0.1,Skills!D12-IF(Skills!E12=TRUE,Inputs!$B$32,0))),0)</f>
        <v/>
      </c>
      <c r="R2436">
        <f>IF(AND(Inputs!$B$39&lt;&gt;"pvp",Inputs!$B$44&gt;0),IF(MAX(0,Inputs!$B$44-B2469)&lt;=0,0,(INT(MAX(0,Inputs!$B$44-B2469)/IF(Inputs!$B$39="pvp",15,MAX(0.1,Skills!D12-IF(Skills!E12=TRUE,Inputs!$B$32,0))))+1)),0)</f>
        <v/>
      </c>
      <c r="S2436">
        <f>IFERROR(O2436/N2436,0)</f>
        <v/>
      </c>
      <c r="T2436">
        <f>IF(C2436,(H2436*N2436*IF(AND(Inputs!$B$39&lt;&gt;"pvp",Inputs!$B$44&gt;0),((Skills!G12*((R2436-1)*IF(Skills!H12&gt;0,Skills!I12/Skills!H12,1)+IF(Skills!H12&gt;0,MIN(Skills!I12,MAX(0,MAX(0,Inputs!$B$44-B2469)-((R2436-1)*IF(Inputs!$B$39="pvp",15,MAX(0.1,Skills!D12-IF(Skills!E12=TRUE,Inputs!$B$32,0))))))/Skills!H12,1)))/Inputs!$B$44),G2436*Q2436))*IF(Inputs!$B$39="pvp",1,1+(Inputs!$B$20+((C2451=TRUE)*(F2451-Calc!F27))+Skills!P12+B2465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2436*(1-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2436*(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2436*(1-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2436*(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36">
        <f>IF(C2436,(H2436*N2436*IF(AND(Inputs!$B$39&lt;&gt;"pvp",Inputs!$B$44&gt;0),((Skills!G12*((R2436-1)*IF(Skills!H12&gt;0,Skills!I12/Skills!H12,1)+IF(Skills!H12&gt;0,MIN(Skills!I12,MAX(0,MAX(0,Inputs!$B$44-B2469)-((R2436-1)*IF(Inputs!$B$39="pvp",15,MAX(0.1,Skills!D12-IF(Skills!E12=TRUE,Inputs!$B$32,0))))))/Skills!H12,1)))/Inputs!$B$44),G2436*Q2436))*IF(Inputs!$B$39="pvp",1,(1+(Inputs!$B$21+Skills!Q12+B2465+(IF(ArtifactsInput!$M$33,CHOOSE(ArtifactsInput!$N$33+1,30,36,42,48,54,60)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37">
      <c r="A2437">
        <f>Skills!A13</f>
        <v/>
      </c>
      <c r="B2437">
        <f>Skills!B13</f>
        <v/>
      </c>
      <c r="C2437">
        <f>Inputs!$B$3&gt;=105</f>
        <v/>
      </c>
      <c r="D2437">
        <f>IF(Skills!C13=1,60+Inputs!$B$25+Inputs!$B$29,IF(Skills!C13=2,90+Inputs!$B$26+Inputs!$B$29,IF(Skills!C13=3,120+Inputs!$B$27+Inputs!$B$29,MAX(0,(Inputs!$B$3-100)*3)+Inputs!$B$28+Inputs!$B$29)))</f>
        <v/>
      </c>
      <c r="E2437">
        <f>INDEX(FactorTable!$B$2:$Y$301, MATCH(ROUND(MIN(300,MAX(1,D2437)),0), FactorTable!$A$2:$A$301,0), Skills!M13+1)</f>
        <v/>
      </c>
      <c r="F2437">
        <f>IF(Skills!N13=TRUE,(Skills!L13/10)*(E2437/1000),Skills!L13/10)+Skills!O13</f>
        <v/>
      </c>
      <c r="G2437">
        <f>Calc!G13</f>
        <v/>
      </c>
      <c r="H2437">
        <f>Calc!H13</f>
        <v/>
      </c>
      <c r="I2437">
        <f>IF(Skills!AA13&lt;&gt;"",1+(Skills!AA13/10)*(U2427/1000)/100,1)</f>
        <v/>
      </c>
      <c r="J2437">
        <f>((Inputs!$B$6*(1+Inputs!$B$7/100))+(((Inputs!$B$12*(1+Inputs!$B$13/100))-(Inputs!$B$12*(1+Inputs!$B$13/100)))+0.25*(Inputs!$B$14-Inputs!$B$14))*(1+Inputs!$B$7/100))*(F2437/100)</f>
        <v/>
      </c>
      <c r="K2437">
        <f>J2437*(1+((Inputs!$B$12*(1+Inputs!$B$13/100))*0.01+Inputs!$B$14*0.0025)/100)*(1+Inputs!$B$15/100)*(1+Inputs!$B$16/100)*(5000/(6000+Inputs!$B$43*(1-(100*(1-(1-(Inputs!$B$19+0)/100)*(1-CHOOSE(ArtifactsInput!$N$40+1,5,6,7,8,9,10)/100)^(ArtifactsInput!$M$40-ArtifactsInput!$M$40)))/100)))*(1+(Inputs!$B$24+((C2454=TRUE)*(F2454-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2447=TRUE)*(F2447-Calc!F23))+(((IF(AND(ArtifactsInput!$M$42,((Inputs!$B$9+((C2449=TRUE)*(F2449-Calc!F25))+B2464+(ArtifactsInput!$M$24-ArtifactsInput!$M$24)*CHOOSE(ArtifactsInput!$N$24+1,10,12,14,16,18,20)+IF(ArtifactsInput!$M$10,CHOOSE(ArtifactsInput!$N$10+1,15,18,21,24,27,30)*(IF(Inputs!$B$39="pvp",MIN(15,15)/15,IF(AND(Inputs!$B$39&lt;&gt;"pvp",Inputs!$B$44&gt;0),MIN(15,Inputs!$B$44)/(Inputs!$B$44),0))),0)))&gt;=100),MIN(100,((Inputs!$B$9+((C2449=TRUE)*(F2449-Calc!F25))+B2464+(ArtifactsInput!$M$24-ArtifactsInput!$M$24)*CHOOSE(ArtifactsInput!$N$24+1,10,12,14,16,18,20)+IF(ArtifactsInput!$M$10,CHOOSE(ArtifactsInput!$N$10+1,15,18,21,24,27,30)*(IF(Inputs!$B$39="pvp",MIN(15,15)/15,IF(AND(Inputs!$B$39&lt;&gt;"pvp",Inputs!$B$44&gt;0),MIN(15,Inputs!$B$44)/(Inputs!$B$44),0))),0)))-100),0))*CHOOSE(ArtifactsInput!$N$42+1,0.6,0.72,0.84,0.96,1.08,1.2))),Inputs!$B$18+((C2453=TRUE)*(F2453-Calc!F29))+(IF(AND(ArtifactsInput!$M$42,((Inputs!$B$9+((C2449=TRUE)*(F2449-Calc!F25))+B2464+(ArtifactsInput!$M$24-ArtifactsInput!$M$24)*CHOOSE(ArtifactsInput!$N$24+1,10,12,14,16,18,20)+IF(ArtifactsInput!$M$10,CHOOSE(ArtifactsInput!$N$10+1,15,18,21,24,27,30)*(IF(Inputs!$B$39="pvp",MIN(15,15)/15,IF(AND(Inputs!$B$39&lt;&gt;"pvp",Inputs!$B$44&gt;0),MIN(15,Inputs!$B$44)/(Inputs!$B$44),0))),0)))&gt;=100),CHOOSE(ArtifactsInput!$N$42+1,40,48,56,64,72,80),0))))/100)*(((1+(((C2445=TRUE)*F2445*IF(AND(Inputs!$B$39&lt;&gt;"pvp",Inputs!$B$44&gt;0),(((R2445-1)*(Skills!Y21*(1+Inputs!$B$34/100))+MIN((Skills!Y21*(1+Inputs!$B$34/100)),MAX(0,Inputs!$B$44-((R2445-1)*Skills!D21))))/Inputs!$B$44),IF(Inputs!$B$39="pvp",MIN((Skills!Y21*(1+Inputs!$B$34/100)),15)/15,(Skills!Y21*(1+Inputs!$B$34/100))/Skills!D21)))+((C2452=TRUE)*(F2452-Calc!F28))+((C2442=TRUE)*(F2442-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2439=TRUE)*F2439*IF(AND(Inputs!$B$39&lt;&gt;"pvp",Inputs!$B$44&gt;0),(((R2439-1)*(Skills!Y15*(1+Inputs!$B$34/100))+MIN((Skills!Y15*(1+Inputs!$B$34/100)),MAX(0,Inputs!$B$44-((R2439-1)*Skills!D15))))/Inputs!$B$44),IF(Inputs!$B$39="pvp",MIN((Skills!Y15*(1+Inputs!$B$34/100)),15)/15,(Skills!Y15*(1+Inputs!$B$34/100))/Skills!D15)))/100)*(1+((C2430=TRUE)*F2430*B2458)/100))*B2466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2437)</f>
        <v/>
      </c>
      <c r="L2437">
        <f>K2437*(MIN(Inputs!$B$22+((C2448=TRUE)*(F2448-Calc!F24)),(Inputs!$B$23+0+(IF(ArtifactsInput!$M$15,CHOOSE(ArtifactsInput!$N$15+1,25,30,35,40,45,50)/100*(Inputs!$B$11-Inputs!$B$11),0))))/100+(Inputs!$B$23+0+(IF(ArtifactsInput!$M$15,CHOOSE(ArtifactsInput!$N$15+1,25,30,35,40,45,50)/100*(Inputs!$B$11-Inputs!$B$11),0)))/100)/2</f>
        <v/>
      </c>
      <c r="M2437">
        <f>L2437*(1+(Inputs!$B$10+((C2450=TRUE)*(F2450-Calc!F26))+B2467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37">
        <f>L2437*(1-MIN((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2437*(MIN((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37">
        <f>(1-Summary!$B$11)*T2437+Summary!$B$11*V2437</f>
        <v/>
      </c>
      <c r="P2437">
        <f>IF(B2468=0,0,O2437/B2468)</f>
        <v/>
      </c>
      <c r="Q2437">
        <f>IFERROR(1/IF(Inputs!$B$39="pvp",15,MAX(0.1,Skills!D13-IF(Skills!E13=TRUE,Inputs!$B$32,0))),0)</f>
        <v/>
      </c>
      <c r="R2437">
        <f>IF(AND(Inputs!$B$39&lt;&gt;"pvp",Inputs!$B$44&gt;0),IF(MAX(0,Inputs!$B$44-B2469)&lt;=0,0,(INT(MAX(0,Inputs!$B$44-B2469)/IF(Inputs!$B$39="pvp",15,MAX(0.1,Skills!D13-IF(Skills!E13=TRUE,Inputs!$B$32,0))))+1)),0)</f>
        <v/>
      </c>
      <c r="S2437">
        <f>IFERROR(O2437/N2437,0)</f>
        <v/>
      </c>
      <c r="T2437">
        <f>IF(C2437,(H2437*N2437*IF(AND(Inputs!$B$39&lt;&gt;"pvp",Inputs!$B$44&gt;0),((Skills!G13*((R2437-1)*IF(Skills!H13&gt;0,Skills!I13/Skills!H13,1)+IF(Skills!H13&gt;0,MIN(Skills!I13,MAX(0,MAX(0,Inputs!$B$44-B2469)-((R2437-1)*IF(Inputs!$B$39="pvp",15,MAX(0.1,Skills!D13-IF(Skills!E13=TRUE,Inputs!$B$32,0))))))/Skills!H13,1)))/Inputs!$B$44),G2437*Q2437))*IF(Inputs!$B$39="pvp",1,1+(Inputs!$B$20+((C2451=TRUE)*(F2451-Calc!F27))+Skills!P13+B2465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2437*(1-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2437*(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2437*(1-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2437*(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37">
        <f>IF(C2437,(H2437*N2437*IF(AND(Inputs!$B$39&lt;&gt;"pvp",Inputs!$B$44&gt;0),((Skills!G13*((R2437-1)*IF(Skills!H13&gt;0,Skills!I13/Skills!H13,1)+IF(Skills!H13&gt;0,MIN(Skills!I13,MAX(0,MAX(0,Inputs!$B$44-B2469)-((R2437-1)*IF(Inputs!$B$39="pvp",15,MAX(0.1,Skills!D13-IF(Skills!E13=TRUE,Inputs!$B$32,0))))))/Skills!H13,1)))/Inputs!$B$44),G2437*Q2437))*IF(Inputs!$B$39="pvp",1,(1+(Inputs!$B$21+Skills!Q13+B2465+(IF(ArtifactsInput!$M$33,CHOOSE(ArtifactsInput!$N$33+1,30,36,42,48,54,60)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38">
      <c r="A2438">
        <f>Skills!A14</f>
        <v/>
      </c>
      <c r="B2438">
        <f>Skills!B14</f>
        <v/>
      </c>
      <c r="C2438">
        <f>Inputs!$B$3&gt;=105</f>
        <v/>
      </c>
      <c r="D2438">
        <f>IF(Skills!C14=1,60+Inputs!$B$25+Inputs!$B$29,IF(Skills!C14=2,90+Inputs!$B$26+Inputs!$B$29,IF(Skills!C14=3,120+Inputs!$B$27+Inputs!$B$29,MAX(0,(Inputs!$B$3-100)*3)+Inputs!$B$28+Inputs!$B$29)))</f>
        <v/>
      </c>
      <c r="E2438">
        <f>INDEX(FactorTable!$B$2:$Y$301, MATCH(ROUND(MIN(300,MAX(1,D2438)),0), FactorTable!$A$2:$A$301,0), Skills!M14+1)</f>
        <v/>
      </c>
      <c r="F2438">
        <f>IF(Skills!N14=TRUE,(Skills!L14/10)*(E2438/1000),Skills!L14/10)+Skills!O14</f>
        <v/>
      </c>
      <c r="G2438">
        <f>Calc!G14</f>
        <v/>
      </c>
      <c r="H2438">
        <f>Calc!H14</f>
        <v/>
      </c>
      <c r="I2438">
        <f>IF(Skills!AA14&lt;&gt;"",1+(Skills!AA14/10)*(U2427/1000)/100,1)</f>
        <v/>
      </c>
      <c r="J2438">
        <f>((Inputs!$B$6*(1+Inputs!$B$7/100))+(((Inputs!$B$12*(1+Inputs!$B$13/100))-(Inputs!$B$12*(1+Inputs!$B$13/100)))+0.25*(Inputs!$B$14-Inputs!$B$14))*(1+Inputs!$B$7/100))*(F2438/100)</f>
        <v/>
      </c>
      <c r="K2438">
        <f>J2438*(1+((Inputs!$B$12*(1+Inputs!$B$13/100))*0.01+Inputs!$B$14*0.0025)/100)*(1+Inputs!$B$15/100)*(1+Inputs!$B$16/100)*(5000/(6000+Inputs!$B$43*(1-(100*(1-(1-(Inputs!$B$19+0)/100)*(1-CHOOSE(ArtifactsInput!$N$40+1,5,6,7,8,9,10)/100)^(ArtifactsInput!$M$40-ArtifactsInput!$M$40)))/100)))*(1+(Inputs!$B$24+((C2454=TRUE)*(F2454-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2447=TRUE)*(F2447-Calc!F23))+(((IF(AND(ArtifactsInput!$M$42,((Inputs!$B$9+((C2449=TRUE)*(F2449-Calc!F25))+B2464+(ArtifactsInput!$M$24-ArtifactsInput!$M$24)*CHOOSE(ArtifactsInput!$N$24+1,10,12,14,16,18,20)+IF(ArtifactsInput!$M$10,CHOOSE(ArtifactsInput!$N$10+1,15,18,21,24,27,30)*(IF(Inputs!$B$39="pvp",MIN(15,15)/15,IF(AND(Inputs!$B$39&lt;&gt;"pvp",Inputs!$B$44&gt;0),MIN(15,Inputs!$B$44)/(Inputs!$B$44),0))),0)))&gt;=100),MIN(100,((Inputs!$B$9+((C2449=TRUE)*(F2449-Calc!F25))+B2464+(ArtifactsInput!$M$24-ArtifactsInput!$M$24)*CHOOSE(ArtifactsInput!$N$24+1,10,12,14,16,18,20)+IF(ArtifactsInput!$M$10,CHOOSE(ArtifactsInput!$N$10+1,15,18,21,24,27,30)*(IF(Inputs!$B$39="pvp",MIN(15,15)/15,IF(AND(Inputs!$B$39&lt;&gt;"pvp",Inputs!$B$44&gt;0),MIN(15,Inputs!$B$44)/(Inputs!$B$44),0))),0)))-100),0))*CHOOSE(ArtifactsInput!$N$42+1,0.6,0.72,0.84,0.96,1.08,1.2))),Inputs!$B$18+((C2453=TRUE)*(F2453-Calc!F29))+(IF(AND(ArtifactsInput!$M$42,((Inputs!$B$9+((C2449=TRUE)*(F2449-Calc!F25))+B2464+(ArtifactsInput!$M$24-ArtifactsInput!$M$24)*CHOOSE(ArtifactsInput!$N$24+1,10,12,14,16,18,20)+IF(ArtifactsInput!$M$10,CHOOSE(ArtifactsInput!$N$10+1,15,18,21,24,27,30)*(IF(Inputs!$B$39="pvp",MIN(15,15)/15,IF(AND(Inputs!$B$39&lt;&gt;"pvp",Inputs!$B$44&gt;0),MIN(15,Inputs!$B$44)/(Inputs!$B$44),0))),0)))&gt;=100),CHOOSE(ArtifactsInput!$N$42+1,40,48,56,64,72,80),0))))/100)*(((1+(((C2445=TRUE)*F2445*IF(AND(Inputs!$B$39&lt;&gt;"pvp",Inputs!$B$44&gt;0),(((R2445-1)*(Skills!Y21*(1+Inputs!$B$34/100))+MIN((Skills!Y21*(1+Inputs!$B$34/100)),MAX(0,Inputs!$B$44-((R2445-1)*Skills!D21))))/Inputs!$B$44),IF(Inputs!$B$39="pvp",MIN((Skills!Y21*(1+Inputs!$B$34/100)),15)/15,(Skills!Y21*(1+Inputs!$B$34/100))/Skills!D21)))+((C2452=TRUE)*(F2452-Calc!F28))+((C2442=TRUE)*(F2442-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2439=TRUE)*F2439*IF(AND(Inputs!$B$39&lt;&gt;"pvp",Inputs!$B$44&gt;0),(((R2439-1)*(Skills!Y15*(1+Inputs!$B$34/100))+MIN((Skills!Y15*(1+Inputs!$B$34/100)),MAX(0,Inputs!$B$44-((R2439-1)*Skills!D15))))/Inputs!$B$44),IF(Inputs!$B$39="pvp",MIN((Skills!Y15*(1+Inputs!$B$34/100)),15)/15,(Skills!Y15*(1+Inputs!$B$34/100))/Skills!D15)))/100)*(1+((C2430=TRUE)*F2430*B2458)/100))*B2466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2438)</f>
        <v/>
      </c>
      <c r="L2438">
        <f>K2438*(MIN(Inputs!$B$22+((C2448=TRUE)*(F2448-Calc!F24)),(Inputs!$B$23+0+(IF(ArtifactsInput!$M$15,CHOOSE(ArtifactsInput!$N$15+1,25,30,35,40,45,50)/100*(Inputs!$B$11-Inputs!$B$11),0))))/100+(Inputs!$B$23+0+(IF(ArtifactsInput!$M$15,CHOOSE(ArtifactsInput!$N$15+1,25,30,35,40,45,50)/100*(Inputs!$B$11-Inputs!$B$11),0)))/100)/2</f>
        <v/>
      </c>
      <c r="M2438">
        <f>L2438*(1+(Inputs!$B$10+((C2450=TRUE)*(F2450-Calc!F26))+B2467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38">
        <f>L2438*(1-MIN((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2438*(MIN((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38">
        <f>(1-Summary!$B$11)*T2438+Summary!$B$11*V2438</f>
        <v/>
      </c>
      <c r="P2438">
        <f>IF(B2468=0,0,O2438/B2468)</f>
        <v/>
      </c>
      <c r="Q2438">
        <f>IFERROR(1/IF(Inputs!$B$39="pvp",15,MAX(0.1,Skills!D14-IF(Skills!E14=TRUE,Inputs!$B$32,0))),0)</f>
        <v/>
      </c>
      <c r="R2438">
        <f>IF(AND(Inputs!$B$39&lt;&gt;"pvp",Inputs!$B$44&gt;0),IF(MAX(0,Inputs!$B$44-B2469)&lt;=0,0,(INT(MAX(0,Inputs!$B$44-B2469)/IF(Inputs!$B$39="pvp",15,MAX(0.1,Skills!D14-IF(Skills!E14=TRUE,Inputs!$B$32,0))))+1)),0)</f>
        <v/>
      </c>
      <c r="S2438">
        <f>IFERROR(O2438/N2438,0)</f>
        <v/>
      </c>
      <c r="T2438">
        <f>IF(C2438,(H2438*N2438*IF(AND(Inputs!$B$39&lt;&gt;"pvp",Inputs!$B$44&gt;0),((Skills!G14*((R2438-1)*IF(Skills!H14&gt;0,Skills!I14/Skills!H14,1)+IF(Skills!H14&gt;0,MIN(Skills!I14,MAX(0,MAX(0,Inputs!$B$44-B2469)-((R2438-1)*IF(Inputs!$B$39="pvp",15,MAX(0.1,Skills!D14-IF(Skills!E14=TRUE,Inputs!$B$32,0))))))/Skills!H14,1)))/Inputs!$B$44),G2438*Q2438))*IF(Inputs!$B$39="pvp",1,1+(Inputs!$B$20+((C2451=TRUE)*(F2451-Calc!F27))+Skills!P14+B2465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2438*(1-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2438*(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2438*(1-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2438*(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38">
        <f>IF(C2438,(H2438*N2438*IF(AND(Inputs!$B$39&lt;&gt;"pvp",Inputs!$B$44&gt;0),((Skills!G14*((R2438-1)*IF(Skills!H14&gt;0,Skills!I14/Skills!H14,1)+IF(Skills!H14&gt;0,MIN(Skills!I14,MAX(0,MAX(0,Inputs!$B$44-B2469)-((R2438-1)*IF(Inputs!$B$39="pvp",15,MAX(0.1,Skills!D14-IF(Skills!E14=TRUE,Inputs!$B$32,0))))))/Skills!H14,1)))/Inputs!$B$44),G2438*Q2438))*IF(Inputs!$B$39="pvp",1,(1+(Inputs!$B$21+Skills!Q14+B2465+(IF(ArtifactsInput!$M$33,CHOOSE(ArtifactsInput!$N$33+1,30,36,42,48,54,60)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39">
      <c r="A2439">
        <f>Skills!A15</f>
        <v/>
      </c>
      <c r="B2439">
        <f>Skills!B15</f>
        <v/>
      </c>
      <c r="C2439">
        <f>Inputs!$B$3&gt;=110</f>
        <v/>
      </c>
      <c r="D2439">
        <f>IF(Skills!C15=1,60+Inputs!$B$25+Inputs!$B$29,IF(Skills!C15=2,90+Inputs!$B$26+Inputs!$B$29,IF(Skills!C15=3,120+Inputs!$B$27+Inputs!$B$29,MAX(0,(Inputs!$B$3-100)*3)+Inputs!$B$28+Inputs!$B$29)))</f>
        <v/>
      </c>
      <c r="E2439">
        <f>INDEX(FactorTable!$B$2:$Y$301, MATCH(ROUND(MIN(300,MAX(1,D2439)),0), FactorTable!$A$2:$A$301,0), Skills!M15+1)</f>
        <v/>
      </c>
      <c r="F2439">
        <f>IF(Skills!N15=TRUE,(Skills!L15/10)*(E2439/1000),Skills!L15/10)+Skills!O15</f>
        <v/>
      </c>
      <c r="G2439">
        <f>Calc!G15</f>
        <v/>
      </c>
      <c r="H2439">
        <f>Calc!H15</f>
        <v/>
      </c>
      <c r="I2439">
        <f>IF(Skills!AA15&lt;&gt;"",1+(Skills!AA15/10)*(U2427/1000)/100,1)</f>
        <v/>
      </c>
      <c r="J2439" t="inlineStr"/>
      <c r="K2439" t="inlineStr"/>
      <c r="L2439" t="inlineStr"/>
      <c r="M2439" t="inlineStr"/>
      <c r="N2439" t="inlineStr"/>
      <c r="O2439">
        <f>(1-Summary!$B$11)*T2439+Summary!$B$11*V2439</f>
        <v/>
      </c>
      <c r="P2439">
        <f>IF(B2468=0,0,O2439/B2468)</f>
        <v/>
      </c>
      <c r="Q2439">
        <f>IFERROR(1/IF(Inputs!$B$39="pvp",15,MAX(0.1,Skills!D15-IF(Skills!E15=TRUE,Inputs!$B$32,0))),0)</f>
        <v/>
      </c>
      <c r="R2439">
        <f>IF(AND(Inputs!$B$39&lt;&gt;"pvp",Inputs!$B$44&gt;0),IF(Inputs!$B$44&lt;=0,0,(INT(Inputs!$B$44/IF(Inputs!$B$39="pvp",15,MAX(0.1,Skills!D15-IF(Skills!E15=TRUE,Inputs!$B$32,0))))+1)),0)</f>
        <v/>
      </c>
      <c r="S2439">
        <f>IFERROR(O2439/N2439,0)</f>
        <v/>
      </c>
      <c r="T2439" t="n">
        <v>0</v>
      </c>
      <c r="V2439" t="n">
        <v>0</v>
      </c>
    </row>
    <row r="2440">
      <c r="A2440">
        <f>Skills!A16</f>
        <v/>
      </c>
      <c r="B2440">
        <f>Skills!B16</f>
        <v/>
      </c>
      <c r="C2440">
        <f>Inputs!$B$3&gt;=110</f>
        <v/>
      </c>
      <c r="D2440">
        <f>IF(Skills!C16=1,60+Inputs!$B$25+Inputs!$B$29,IF(Skills!C16=2,90+Inputs!$B$26+Inputs!$B$29,IF(Skills!C16=3,120+Inputs!$B$27+Inputs!$B$29,MAX(0,(Inputs!$B$3-100)*3)+Inputs!$B$28+Inputs!$B$29)))</f>
        <v/>
      </c>
      <c r="E2440">
        <f>INDEX(FactorTable!$B$2:$Y$301, MATCH(ROUND(MIN(300,MAX(1,D2440)),0), FactorTable!$A$2:$A$301,0), Skills!M16+1)</f>
        <v/>
      </c>
      <c r="F2440">
        <f>IF(Skills!N16=TRUE,(Skills!L16/10)*(E2440/1000),Skills!L16/10)+Skills!O16</f>
        <v/>
      </c>
      <c r="G2440">
        <f>Calc!G16</f>
        <v/>
      </c>
      <c r="H2440">
        <f>Calc!H16</f>
        <v/>
      </c>
      <c r="I2440">
        <f>IF(Skills!AA16&lt;&gt;"",1+(Skills!AA16/10)*(U2427/1000)/100,1)</f>
        <v/>
      </c>
      <c r="J2440" t="inlineStr"/>
      <c r="K2440" t="inlineStr"/>
      <c r="L2440" t="inlineStr"/>
      <c r="M2440" t="inlineStr"/>
      <c r="N2440" t="inlineStr"/>
      <c r="O2440">
        <f>(1-Summary!$B$11)*T2440+Summary!$B$11*V2440</f>
        <v/>
      </c>
      <c r="P2440">
        <f>IF(B2468=0,0,O2440/B2468)</f>
        <v/>
      </c>
      <c r="Q2440">
        <f>IFERROR(1/IF(Inputs!$B$39="pvp",15,MAX(0.1,Skills!D16-IF(Skills!E16=TRUE,Inputs!$B$32,0))),0)</f>
        <v/>
      </c>
      <c r="R2440">
        <f>IF(AND(Inputs!$B$39&lt;&gt;"pvp",Inputs!$B$44&gt;0),IF(Inputs!$B$44&lt;=0,0,(INT(Inputs!$B$44/IF(Inputs!$B$39="pvp",15,MAX(0.1,Skills!D16-IF(Skills!E16=TRUE,Inputs!$B$32,0))))+1)),0)</f>
        <v/>
      </c>
      <c r="S2440">
        <f>IFERROR(O2440/N2440,0)</f>
        <v/>
      </c>
      <c r="T2440" t="n">
        <v>0</v>
      </c>
      <c r="V2440" t="n">
        <v>0</v>
      </c>
    </row>
    <row r="2441">
      <c r="A2441">
        <f>Skills!A17</f>
        <v/>
      </c>
      <c r="B2441">
        <f>Skills!B17</f>
        <v/>
      </c>
      <c r="C2441">
        <f>Inputs!$B$3&gt;=115</f>
        <v/>
      </c>
      <c r="D2441">
        <f>IF(Skills!C17=1,60+Inputs!$B$25+Inputs!$B$29,IF(Skills!C17=2,90+Inputs!$B$26+Inputs!$B$29,IF(Skills!C17=3,120+Inputs!$B$27+Inputs!$B$29,MAX(0,(Inputs!$B$3-100)*3)+Inputs!$B$28+Inputs!$B$29)))</f>
        <v/>
      </c>
      <c r="E2441">
        <f>INDEX(FactorTable!$B$2:$Y$301, MATCH(ROUND(MIN(300,MAX(1,D2441)),0), FactorTable!$A$2:$A$301,0), Skills!M17+1)</f>
        <v/>
      </c>
      <c r="F2441">
        <f>IF(Skills!N17=TRUE,(Skills!L17/10)*(E2441/1000),Skills!L17/10)+Skills!O17</f>
        <v/>
      </c>
      <c r="G2441">
        <f>Calc!G17</f>
        <v/>
      </c>
      <c r="H2441">
        <f>Calc!H17</f>
        <v/>
      </c>
      <c r="I2441">
        <f>IF(Skills!AA17&lt;&gt;"",1+(Skills!AA17/10)*(U2427/1000)/100,1)</f>
        <v/>
      </c>
      <c r="J2441">
        <f>((Inputs!$B$6*(1+Inputs!$B$7/100))+(((Inputs!$B$12*(1+Inputs!$B$13/100))-(Inputs!$B$12*(1+Inputs!$B$13/100)))+0.25*(Inputs!$B$14-Inputs!$B$14))*(1+Inputs!$B$7/100))*(F2441/100)</f>
        <v/>
      </c>
      <c r="K2441">
        <f>J2441*(1+((Inputs!$B$12*(1+Inputs!$B$13/100))*0.01+Inputs!$B$14*0.0025)/100)*(1+Inputs!$B$15/100)*(1+Inputs!$B$16/100)*(5000/(6000+Inputs!$B$43*(1-(100*(1-(1-(Inputs!$B$19+0)/100)*(1-CHOOSE(ArtifactsInput!$N$40+1,5,6,7,8,9,10)/100)^(ArtifactsInput!$M$40-ArtifactsInput!$M$40)))/100)))*(1+(Inputs!$B$24+((C2454=TRUE)*(F2454-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2447=TRUE)*(F2447-Calc!F23))+(((IF(AND(ArtifactsInput!$M$42,((Inputs!$B$9+((C2449=TRUE)*(F2449-Calc!F25))+B2464+(ArtifactsInput!$M$24-ArtifactsInput!$M$24)*CHOOSE(ArtifactsInput!$N$24+1,10,12,14,16,18,20)+IF(ArtifactsInput!$M$10,CHOOSE(ArtifactsInput!$N$10+1,15,18,21,24,27,30)*(IF(Inputs!$B$39="pvp",MIN(15,15)/15,IF(AND(Inputs!$B$39&lt;&gt;"pvp",Inputs!$B$44&gt;0),MIN(15,Inputs!$B$44)/(Inputs!$B$44),0))),0)))&gt;=100),MIN(100,((Inputs!$B$9+((C2449=TRUE)*(F2449-Calc!F25))+B2464+(ArtifactsInput!$M$24-ArtifactsInput!$M$24)*CHOOSE(ArtifactsInput!$N$24+1,10,12,14,16,18,20)+IF(ArtifactsInput!$M$10,CHOOSE(ArtifactsInput!$N$10+1,15,18,21,24,27,30)*(IF(Inputs!$B$39="pvp",MIN(15,15)/15,IF(AND(Inputs!$B$39&lt;&gt;"pvp",Inputs!$B$44&gt;0),MIN(15,Inputs!$B$44)/(Inputs!$B$44),0))),0)))-100),0))*CHOOSE(ArtifactsInput!$N$42+1,0.6,0.72,0.84,0.96,1.08,1.2))),Inputs!$B$18+((C2453=TRUE)*(F2453-Calc!F29))+(IF(AND(ArtifactsInput!$M$42,((Inputs!$B$9+((C2449=TRUE)*(F2449-Calc!F25))+B2464+(ArtifactsInput!$M$24-ArtifactsInput!$M$24)*CHOOSE(ArtifactsInput!$N$24+1,10,12,14,16,18,20)+IF(ArtifactsInput!$M$10,CHOOSE(ArtifactsInput!$N$10+1,15,18,21,24,27,30)*(IF(Inputs!$B$39="pvp",MIN(15,15)/15,IF(AND(Inputs!$B$39&lt;&gt;"pvp",Inputs!$B$44&gt;0),MIN(15,Inputs!$B$44)/(Inputs!$B$44),0))),0)))&gt;=100),CHOOSE(ArtifactsInput!$N$42+1,40,48,56,64,72,80),0))))/100)*(((1+(((C2445=TRUE)*F2445*IF(AND(Inputs!$B$39&lt;&gt;"pvp",Inputs!$B$44&gt;0),(((R2445-1)*(Skills!Y21*(1+Inputs!$B$34/100))+MIN((Skills!Y21*(1+Inputs!$B$34/100)),MAX(0,Inputs!$B$44-((R2445-1)*Skills!D21))))/Inputs!$B$44),IF(Inputs!$B$39="pvp",MIN((Skills!Y21*(1+Inputs!$B$34/100)),15)/15,(Skills!Y21*(1+Inputs!$B$34/100))/Skills!D21)))+((C2452=TRUE)*(F2452-Calc!F28))+((C2442=TRUE)*(F2442-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2439=TRUE)*F2439*IF(AND(Inputs!$B$39&lt;&gt;"pvp",Inputs!$B$44&gt;0),(((R2439-1)*(Skills!Y15*(1+Inputs!$B$34/100))+MIN((Skills!Y15*(1+Inputs!$B$34/100)),MAX(0,Inputs!$B$44-((R2439-1)*Skills!D15))))/Inputs!$B$44),IF(Inputs!$B$39="pvp",MIN((Skills!Y15*(1+Inputs!$B$34/100)),15)/15,(Skills!Y15*(1+Inputs!$B$34/100))/Skills!D15)))/100)*(1+((C2430=TRUE)*F2430*B2458)/100))*B2466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2441)</f>
        <v/>
      </c>
      <c r="L2441">
        <f>K2441*(MIN(Inputs!$B$22+((C2448=TRUE)*(F2448-Calc!F24)),(Inputs!$B$23+0+(IF(ArtifactsInput!$M$15,CHOOSE(ArtifactsInput!$N$15+1,25,30,35,40,45,50)/100*(Inputs!$B$11-Inputs!$B$11),0))))/100+(Inputs!$B$23+0+(IF(ArtifactsInput!$M$15,CHOOSE(ArtifactsInput!$N$15+1,25,30,35,40,45,50)/100*(Inputs!$B$11-Inputs!$B$11),0)))/100)/2</f>
        <v/>
      </c>
      <c r="M2441">
        <f>L2441*(1+(Inputs!$B$10+((C2450=TRUE)*(F2450-Calc!F26))+B2467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41">
        <f>L2441*(1-MIN((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2441*(MIN((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41">
        <f>(1-Summary!$B$11)*T2441+Summary!$B$11*V2441</f>
        <v/>
      </c>
      <c r="P2441">
        <f>IF(B2468=0,0,O2441/B2468)</f>
        <v/>
      </c>
      <c r="Q2441" t="n">
        <v>0</v>
      </c>
      <c r="R2441" t="n">
        <v>0</v>
      </c>
      <c r="S2441">
        <f>IFERROR(O2441/N2441,0)</f>
        <v/>
      </c>
      <c r="T2441">
        <f>IF(C2441,(Inputs!$B$38*0.2*N2441)*IF(Inputs!$B$39="pvp",1,1+(Inputs!$B$20+((C2451=TRUE)*(F2451-Calc!F27))+Skills!P17+B2465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2441*(1-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2441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2441*(1-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2441*(MIN(100,(Inputs!$B$9+((C2449=TRUE)*(F2449-Calc!F25))+B2464+(ArtifactsInput!$M$24-ArtifactsInput!$M$24)*CHOOSE(ArtifactsInput!$N$24+1,10,12,14,16,18,20)+(IF(AND(ArtifactsInput!$M$42,((Inputs!$B$9+((C2449=TRUE)*(F2449-Calc!F25))+B2464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41">
        <f>IF(C2441,(Inputs!$B$38*0.2*N2441)*IF(Inputs!$B$39="pvp",1,(1+(Inputs!$B$21+Skills!Q17+B2465+(IF(ArtifactsInput!$M$33,CHOOSE(ArtifactsInput!$N$33+1,30,36,42,48,54,60),0))+(IF(AND(ArtifactsInput!$M$35,Inputs!$B$4&lt;&gt;"Chapter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42">
      <c r="A2442">
        <f>Skills!A18</f>
        <v/>
      </c>
      <c r="B2442">
        <f>Skills!B18</f>
        <v/>
      </c>
      <c r="C2442">
        <f>Inputs!$B$3&gt;=115</f>
        <v/>
      </c>
      <c r="D2442">
        <f>IF(Skills!C18=1,60+Inputs!$B$25+Inputs!$B$29,IF(Skills!C18=2,90+Inputs!$B$26+Inputs!$B$29,IF(Skills!C18=3,120+Inputs!$B$27+Inputs!$B$29,MAX(0,(Inputs!$B$3-100)*3)+Inputs!$B$28+Inputs!$B$29)))</f>
        <v/>
      </c>
      <c r="E2442">
        <f>INDEX(FactorTable!$B$2:$Y$301, MATCH(ROUND(MIN(300,MAX(1,D2442)),0), FactorTable!$A$2:$A$301,0), Skills!M18+1)</f>
        <v/>
      </c>
      <c r="F2442">
        <f>IF(Skills!N18=TRUE,(Skills!L18/10)*(E2442/1000),Skills!L18/10)+Skills!O18</f>
        <v/>
      </c>
      <c r="G2442">
        <f>Calc!G18</f>
        <v/>
      </c>
      <c r="H2442">
        <f>Calc!H18</f>
        <v/>
      </c>
      <c r="I2442">
        <f>IF(Skills!AA18&lt;&gt;"",1+(Skills!AA18/10)*(U2427/1000)/100,1)</f>
        <v/>
      </c>
      <c r="J2442" t="inlineStr"/>
      <c r="K2442" t="inlineStr"/>
      <c r="L2442" t="inlineStr"/>
      <c r="M2442" t="inlineStr"/>
      <c r="N2442" t="inlineStr"/>
      <c r="O2442">
        <f>(1-Summary!$B$11)*T2442+Summary!$B$11*V2442</f>
        <v/>
      </c>
      <c r="P2442">
        <f>IF(B2468=0,0,O2442/B2468)</f>
        <v/>
      </c>
      <c r="Q2442" t="n">
        <v>0</v>
      </c>
      <c r="R2442" t="n">
        <v>0</v>
      </c>
      <c r="S2442">
        <f>IFERROR(O2442/N2442,0)</f>
        <v/>
      </c>
      <c r="T2442" t="n">
        <v>0</v>
      </c>
      <c r="V2442" t="n">
        <v>0</v>
      </c>
    </row>
    <row r="2443">
      <c r="A2443">
        <f>Skills!A19</f>
        <v/>
      </c>
      <c r="B2443">
        <f>Skills!B19</f>
        <v/>
      </c>
      <c r="C2443">
        <f>TRUE</f>
        <v/>
      </c>
      <c r="D2443">
        <f>IF(Skills!C19=1,60+Inputs!$B$25+Inputs!$B$29,IF(Skills!C19=2,90+Inputs!$B$26+Inputs!$B$29,IF(Skills!C19=3,120+Inputs!$B$27+Inputs!$B$29,MAX(0,(Inputs!$B$3-100)*3)+Inputs!$B$28+Inputs!$B$29)))</f>
        <v/>
      </c>
      <c r="E2443">
        <f>INDEX(FactorTable!$B$2:$Y$301, MATCH(ROUND(MIN(300,MAX(1,D2443)),0), FactorTable!$A$2:$A$301,0), Skills!M19+1)</f>
        <v/>
      </c>
      <c r="F2443">
        <f>IF(Skills!N19=TRUE,(Skills!L19/10)*(E2443/1000),Skills!L19/10)+Skills!O19</f>
        <v/>
      </c>
      <c r="G2443">
        <f>Calc!G19</f>
        <v/>
      </c>
      <c r="H2443">
        <f>Calc!H19</f>
        <v/>
      </c>
      <c r="I2443">
        <f>IF(Skills!AA19&lt;&gt;"",1+(Skills!AA19/10)*(U2427/1000)/100,1)</f>
        <v/>
      </c>
      <c r="J2443" t="inlineStr"/>
      <c r="K2443" t="inlineStr"/>
      <c r="L2443" t="inlineStr"/>
      <c r="M2443" t="inlineStr"/>
      <c r="N2443" t="inlineStr"/>
      <c r="O2443">
        <f>(1-Summary!$B$11)*T2443+Summary!$B$11*V2443</f>
        <v/>
      </c>
      <c r="P2443">
        <f>IF(B2468=0,0,O2443/B2468)</f>
        <v/>
      </c>
      <c r="Q2443">
        <f>IFERROR(1/IF(Inputs!$B$39="pvp",15,MAX(0.1,Skills!D19-IF(Skills!E19=TRUE,Inputs!$B$32,0))),0)</f>
        <v/>
      </c>
      <c r="R2443">
        <f>IF(AND(Inputs!$B$39&lt;&gt;"pvp",Inputs!$B$44&gt;0),IF(Inputs!$B$44&lt;=0,0,(INT(Inputs!$B$44/IF(Inputs!$B$39="pvp",15,MAX(0.1,Skills!D19-IF(Skills!E19=TRUE,Inputs!$B$32,0))))+1)),0)</f>
        <v/>
      </c>
      <c r="S2443">
        <f>IFERROR(O2443/N2443,0)</f>
        <v/>
      </c>
      <c r="T2443" t="n">
        <v>0</v>
      </c>
      <c r="V2443" t="n">
        <v>0</v>
      </c>
    </row>
    <row r="2444">
      <c r="A2444">
        <f>Skills!A20</f>
        <v/>
      </c>
      <c r="B2444">
        <f>Skills!B20</f>
        <v/>
      </c>
      <c r="C2444">
        <f>Inputs!$B$3&gt;=15</f>
        <v/>
      </c>
      <c r="D2444">
        <f>IF(Skills!C20=1,60+Inputs!$B$25+Inputs!$B$29,IF(Skills!C20=2,90+Inputs!$B$26+Inputs!$B$29,IF(Skills!C20=3,120+Inputs!$B$27+Inputs!$B$29,MAX(0,(Inputs!$B$3-100)*3)+Inputs!$B$28+Inputs!$B$29)))</f>
        <v/>
      </c>
      <c r="E2444">
        <f>INDEX(FactorTable!$B$2:$Y$301, MATCH(ROUND(MIN(300,MAX(1,D2444)),0), FactorTable!$A$2:$A$301,0), Skills!M20+1)</f>
        <v/>
      </c>
      <c r="F2444">
        <f>IF(Skills!N20=TRUE,(Skills!L20/10)*(E2444/1000),Skills!L20/10)+Skills!O20</f>
        <v/>
      </c>
      <c r="G2444">
        <f>Calc!G20</f>
        <v/>
      </c>
      <c r="H2444">
        <f>Calc!H20</f>
        <v/>
      </c>
      <c r="I2444">
        <f>IF(Skills!AA20&lt;&gt;"",1+(Skills!AA20/10)*(U2427/1000)/100,1)</f>
        <v/>
      </c>
      <c r="J2444" t="inlineStr"/>
      <c r="K2444" t="inlineStr"/>
      <c r="L2444" t="inlineStr"/>
      <c r="M2444" t="inlineStr"/>
      <c r="N2444" t="inlineStr"/>
      <c r="O2444">
        <f>(1-Summary!$B$11)*T2444+Summary!$B$11*V2444</f>
        <v/>
      </c>
      <c r="P2444">
        <f>IF(B2468=0,0,O2444/B2468)</f>
        <v/>
      </c>
      <c r="Q2444">
        <f>IFERROR(1/IF(Inputs!$B$39="pvp",15,MAX(0.1,Skills!D20-IF(Skills!E20=TRUE,Inputs!$B$32,0))),0)</f>
        <v/>
      </c>
      <c r="R2444">
        <f>IF(AND(Inputs!$B$39&lt;&gt;"pvp",Inputs!$B$44&gt;0),IF(Inputs!$B$44&lt;=0,0,(INT(Inputs!$B$44/IF(Inputs!$B$39="pvp",15,MAX(0.1,Skills!D20-IF(Skills!E20=TRUE,Inputs!$B$32,0))))+1)),0)</f>
        <v/>
      </c>
      <c r="S2444">
        <f>IFERROR(O2444/N2444,0)</f>
        <v/>
      </c>
      <c r="T2444" t="n">
        <v>0</v>
      </c>
      <c r="V2444" t="n">
        <v>0</v>
      </c>
    </row>
    <row r="2445">
      <c r="A2445">
        <f>Skills!A21</f>
        <v/>
      </c>
      <c r="B2445">
        <f>Skills!B21</f>
        <v/>
      </c>
      <c r="C2445">
        <f>Inputs!$B$3&gt;=15</f>
        <v/>
      </c>
      <c r="D2445">
        <f>IF(Skills!C21=1,60+Inputs!$B$25+Inputs!$B$29,IF(Skills!C21=2,90+Inputs!$B$26+Inputs!$B$29,IF(Skills!C21=3,120+Inputs!$B$27+Inputs!$B$29,MAX(0,(Inputs!$B$3-100)*3)+Inputs!$B$28+Inputs!$B$29)))</f>
        <v/>
      </c>
      <c r="E2445">
        <f>INDEX(FactorTable!$B$2:$Y$301, MATCH(ROUND(MIN(300,MAX(1,D2445)),0), FactorTable!$A$2:$A$301,0), Skills!M21+1)</f>
        <v/>
      </c>
      <c r="F2445">
        <f>IF(Skills!N21=TRUE,(Skills!L21/10)*(E2445/1000),Skills!L21/10)+Skills!O21</f>
        <v/>
      </c>
      <c r="G2445">
        <f>Calc!G21</f>
        <v/>
      </c>
      <c r="H2445">
        <f>Calc!H21</f>
        <v/>
      </c>
      <c r="I2445">
        <f>IF(Skills!AA21&lt;&gt;"",1+(Skills!AA21/10)*(U2427/1000)/100,1)</f>
        <v/>
      </c>
      <c r="J2445" t="inlineStr"/>
      <c r="K2445" t="inlineStr"/>
      <c r="L2445" t="inlineStr"/>
      <c r="M2445" t="inlineStr"/>
      <c r="N2445" t="inlineStr"/>
      <c r="O2445">
        <f>(1-Summary!$B$11)*T2445+Summary!$B$11*V2445</f>
        <v/>
      </c>
      <c r="P2445">
        <f>IF(B2468=0,0,O2445/B2468)</f>
        <v/>
      </c>
      <c r="Q2445">
        <f>IFERROR(1/IF(Inputs!$B$39="pvp",15,MAX(0.1,Skills!D21-IF(Skills!E21=TRUE,Inputs!$B$32,0))),0)</f>
        <v/>
      </c>
      <c r="R2445">
        <f>IF(AND(Inputs!$B$39&lt;&gt;"pvp",Inputs!$B$44&gt;0),IF(Inputs!$B$44&lt;=0,0,(INT(Inputs!$B$44/IF(Inputs!$B$39="pvp",15,MAX(0.1,Skills!D21-IF(Skills!E21=TRUE,Inputs!$B$32,0))))+1)),0)</f>
        <v/>
      </c>
      <c r="S2445">
        <f>IFERROR(O2445/N2445,0)</f>
        <v/>
      </c>
      <c r="T2445" t="n">
        <v>0</v>
      </c>
      <c r="V2445" t="n">
        <v>0</v>
      </c>
    </row>
    <row r="2446">
      <c r="A2446">
        <f>Skills!A22</f>
        <v/>
      </c>
      <c r="B2446">
        <f>Skills!B22</f>
        <v/>
      </c>
      <c r="C2446">
        <f>Inputs!$B$3&gt;=33</f>
        <v/>
      </c>
      <c r="D2446">
        <f>IF(Skills!C22=1,60+Inputs!$B$25+Inputs!$B$29,IF(Skills!C22=2,90+Inputs!$B$26+Inputs!$B$29,IF(Skills!C22=3,120+Inputs!$B$27+Inputs!$B$29,MAX(0,(Inputs!$B$3-100)*3)+Inputs!$B$28+Inputs!$B$29)))</f>
        <v/>
      </c>
      <c r="E2446">
        <f>INDEX(FactorTable!$B$2:$Y$301, MATCH(ROUND(MIN(300,MAX(1,D2446)),0), FactorTable!$A$2:$A$301,0), Skills!M22+1)</f>
        <v/>
      </c>
      <c r="F2446">
        <f>IF(Skills!N22=TRUE,(Skills!L22/10)*(E2446/1000),Skills!L22/10)+Skills!O22</f>
        <v/>
      </c>
      <c r="G2446">
        <f>Calc!G22</f>
        <v/>
      </c>
      <c r="H2446">
        <f>Calc!H22</f>
        <v/>
      </c>
      <c r="I2446">
        <f>IF(Skills!AA22&lt;&gt;"",1+(Skills!AA22/10)*(U2427/1000)/100,1)</f>
        <v/>
      </c>
      <c r="J2446" t="inlineStr"/>
      <c r="K2446" t="inlineStr"/>
      <c r="L2446" t="inlineStr"/>
      <c r="M2446" t="inlineStr"/>
      <c r="N2446" t="inlineStr"/>
      <c r="O2446">
        <f>(1-Summary!$B$11)*T2446+Summary!$B$11*V2446</f>
        <v/>
      </c>
      <c r="P2446">
        <f>IF(B2468=0,0,O2446/B2468)</f>
        <v/>
      </c>
      <c r="Q2446" t="n">
        <v>0</v>
      </c>
      <c r="R2446" t="n">
        <v>0</v>
      </c>
      <c r="S2446">
        <f>IFERROR(O2446/N2446,0)</f>
        <v/>
      </c>
      <c r="T2446" t="n">
        <v>0</v>
      </c>
      <c r="V2446" t="n">
        <v>0</v>
      </c>
    </row>
    <row r="2447">
      <c r="A2447">
        <f>Skills!A23</f>
        <v/>
      </c>
      <c r="B2447">
        <f>Skills!B23</f>
        <v/>
      </c>
      <c r="C2447">
        <f>Inputs!$B$3&gt;=38</f>
        <v/>
      </c>
      <c r="D2447">
        <f>IF(Skills!C23=1,60+Inputs!$B$25+Inputs!$B$29,IF(Skills!C23=2,90+Inputs!$B$26+Inputs!$B$29,IF(Skills!C23=3,120+Inputs!$B$27+Inputs!$B$29,MAX(0,(Inputs!$B$3-100)*3)+Inputs!$B$28+Inputs!$B$29)))</f>
        <v/>
      </c>
      <c r="E2447">
        <f>INDEX(FactorTable!$B$2:$Y$301, MATCH(ROUND(MIN(300,MAX(1,D2447)),0), FactorTable!$A$2:$A$301,0), Skills!M23+1)</f>
        <v/>
      </c>
      <c r="F2447">
        <f>IF(Skills!N23=TRUE,(Skills!L23/10)*(E2447/1000),Skills!L23/10)+Skills!O23</f>
        <v/>
      </c>
      <c r="G2447">
        <f>Calc!G23</f>
        <v/>
      </c>
      <c r="H2447">
        <f>Calc!H23</f>
        <v/>
      </c>
      <c r="I2447">
        <f>IF(Skills!AA23&lt;&gt;"",1+(Skills!AA23/10)*(U2427/1000)/100,1)</f>
        <v/>
      </c>
      <c r="J2447" t="inlineStr"/>
      <c r="K2447" t="inlineStr"/>
      <c r="L2447" t="inlineStr"/>
      <c r="M2447" t="inlineStr"/>
      <c r="N2447" t="inlineStr"/>
      <c r="O2447">
        <f>(1-Summary!$B$11)*T2447+Summary!$B$11*V2447</f>
        <v/>
      </c>
      <c r="P2447">
        <f>IF(B2468=0,0,O2447/B2468)</f>
        <v/>
      </c>
      <c r="Q2447" t="n">
        <v>0</v>
      </c>
      <c r="R2447" t="n">
        <v>0</v>
      </c>
      <c r="S2447">
        <f>IFERROR(O2447/N2447,0)</f>
        <v/>
      </c>
      <c r="T2447" t="n">
        <v>0</v>
      </c>
      <c r="V2447" t="n">
        <v>0</v>
      </c>
    </row>
    <row r="2448">
      <c r="A2448">
        <f>Skills!A24</f>
        <v/>
      </c>
      <c r="B2448">
        <f>Skills!B24</f>
        <v/>
      </c>
      <c r="C2448">
        <f>Inputs!$B$3&gt;=40</f>
        <v/>
      </c>
      <c r="D2448">
        <f>IF(Skills!C24=1,60+Inputs!$B$25+Inputs!$B$29,IF(Skills!C24=2,90+Inputs!$B$26+Inputs!$B$29,IF(Skills!C24=3,120+Inputs!$B$27+Inputs!$B$29,MAX(0,(Inputs!$B$3-100)*3)+Inputs!$B$28+Inputs!$B$29)))</f>
        <v/>
      </c>
      <c r="E2448">
        <f>INDEX(FactorTable!$B$2:$Y$301, MATCH(ROUND(MIN(300,MAX(1,D2448)),0), FactorTable!$A$2:$A$301,0), Skills!M24+1)</f>
        <v/>
      </c>
      <c r="F2448">
        <f>IF(Skills!N24=TRUE,(Skills!L24/10)*(E2448/1000),Skills!L24/10)+Skills!O24</f>
        <v/>
      </c>
      <c r="G2448">
        <f>Calc!G24</f>
        <v/>
      </c>
      <c r="H2448">
        <f>Calc!H24</f>
        <v/>
      </c>
      <c r="I2448">
        <f>IF(Skills!AA24&lt;&gt;"",1+(Skills!AA24/10)*(U2427/1000)/100,1)</f>
        <v/>
      </c>
      <c r="J2448" t="inlineStr"/>
      <c r="K2448" t="inlineStr"/>
      <c r="L2448" t="inlineStr"/>
      <c r="M2448" t="inlineStr"/>
      <c r="N2448" t="inlineStr"/>
      <c r="O2448">
        <f>(1-Summary!$B$11)*T2448+Summary!$B$11*V2448</f>
        <v/>
      </c>
      <c r="P2448">
        <f>IF(B2468=0,0,O2448/B2468)</f>
        <v/>
      </c>
      <c r="Q2448" t="n">
        <v>0</v>
      </c>
      <c r="R2448" t="n">
        <v>0</v>
      </c>
      <c r="S2448">
        <f>IFERROR(O2448/N2448,0)</f>
        <v/>
      </c>
      <c r="T2448" t="n">
        <v>0</v>
      </c>
      <c r="V2448" t="n">
        <v>0</v>
      </c>
    </row>
    <row r="2449">
      <c r="A2449">
        <f>Skills!A25</f>
        <v/>
      </c>
      <c r="B2449">
        <f>Skills!B25</f>
        <v/>
      </c>
      <c r="C2449">
        <f>Inputs!$B$3&gt;=45</f>
        <v/>
      </c>
      <c r="D2449">
        <f>IF(Skills!C25=1,60+Inputs!$B$25+Inputs!$B$29,IF(Skills!C25=2,90+Inputs!$B$26+Inputs!$B$29,IF(Skills!C25=3,120+Inputs!$B$27+Inputs!$B$29,MAX(0,(Inputs!$B$3-100)*3)+Inputs!$B$28+Inputs!$B$29)))</f>
        <v/>
      </c>
      <c r="E2449">
        <f>INDEX(FactorTable!$B$2:$Y$301, MATCH(ROUND(MIN(300,MAX(1,D2449)),0), FactorTable!$A$2:$A$301,0), Skills!M25+1)</f>
        <v/>
      </c>
      <c r="F2449">
        <f>IF(Skills!N25=TRUE,(Skills!L25/10)*(E2449/1000),Skills!L25/10)+Skills!O25</f>
        <v/>
      </c>
      <c r="G2449">
        <f>Calc!G25</f>
        <v/>
      </c>
      <c r="H2449">
        <f>Calc!H25</f>
        <v/>
      </c>
      <c r="I2449">
        <f>IF(Skills!AA25&lt;&gt;"",1+(Skills!AA25/10)*(U2427/1000)/100,1)</f>
        <v/>
      </c>
      <c r="J2449" t="inlineStr"/>
      <c r="K2449" t="inlineStr"/>
      <c r="L2449" t="inlineStr"/>
      <c r="M2449" t="inlineStr"/>
      <c r="N2449" t="inlineStr"/>
      <c r="O2449">
        <f>(1-Summary!$B$11)*T2449+Summary!$B$11*V2449</f>
        <v/>
      </c>
      <c r="P2449">
        <f>IF(B2468=0,0,O2449/B2468)</f>
        <v/>
      </c>
      <c r="Q2449" t="n">
        <v>0</v>
      </c>
      <c r="R2449" t="n">
        <v>0</v>
      </c>
      <c r="S2449">
        <f>IFERROR(O2449/N2449,0)</f>
        <v/>
      </c>
      <c r="T2449" t="n">
        <v>0</v>
      </c>
      <c r="V2449" t="n">
        <v>0</v>
      </c>
    </row>
    <row r="2450">
      <c r="A2450">
        <f>Skills!A26</f>
        <v/>
      </c>
      <c r="B2450">
        <f>Skills!B26</f>
        <v/>
      </c>
      <c r="C2450">
        <f>Inputs!$B$3&gt;=45</f>
        <v/>
      </c>
      <c r="D2450">
        <f>IF(Skills!C26=1,60+Inputs!$B$25+Inputs!$B$29,IF(Skills!C26=2,90+Inputs!$B$26+Inputs!$B$29,IF(Skills!C26=3,120+Inputs!$B$27+Inputs!$B$29,MAX(0,(Inputs!$B$3-100)*3)+Inputs!$B$28+Inputs!$B$29)))</f>
        <v/>
      </c>
      <c r="E2450">
        <f>INDEX(FactorTable!$B$2:$Y$301, MATCH(ROUND(MIN(300,MAX(1,D2450)),0), FactorTable!$A$2:$A$301,0), Skills!M26+1)</f>
        <v/>
      </c>
      <c r="F2450">
        <f>IF(Skills!N26=TRUE,(Skills!L26/10)*(E2450/1000),Skills!L26/10)+Skills!O26</f>
        <v/>
      </c>
      <c r="G2450">
        <f>Calc!G26</f>
        <v/>
      </c>
      <c r="H2450">
        <f>Calc!H26</f>
        <v/>
      </c>
      <c r="I2450">
        <f>IF(Skills!AA26&lt;&gt;"",1+(Skills!AA26/10)*(U2427/1000)/100,1)</f>
        <v/>
      </c>
      <c r="J2450" t="inlineStr"/>
      <c r="K2450" t="inlineStr"/>
      <c r="L2450" t="inlineStr"/>
      <c r="M2450" t="inlineStr"/>
      <c r="N2450" t="inlineStr"/>
      <c r="O2450">
        <f>(1-Summary!$B$11)*T2450+Summary!$B$11*V2450</f>
        <v/>
      </c>
      <c r="P2450">
        <f>IF(B2468=0,0,O2450/B2468)</f>
        <v/>
      </c>
      <c r="Q2450" t="n">
        <v>0</v>
      </c>
      <c r="R2450" t="n">
        <v>0</v>
      </c>
      <c r="S2450">
        <f>IFERROR(O2450/N2450,0)</f>
        <v/>
      </c>
      <c r="T2450" t="n">
        <v>0</v>
      </c>
      <c r="V2450" t="n">
        <v>0</v>
      </c>
    </row>
    <row r="2451">
      <c r="A2451">
        <f>Skills!A27</f>
        <v/>
      </c>
      <c r="B2451">
        <f>Skills!B27</f>
        <v/>
      </c>
      <c r="C2451">
        <f>Inputs!$B$3&gt;=72</f>
        <v/>
      </c>
      <c r="D2451">
        <f>IF(Skills!C27=1,60+Inputs!$B$25+Inputs!$B$29,IF(Skills!C27=2,90+Inputs!$B$26+Inputs!$B$29,IF(Skills!C27=3,120+Inputs!$B$27+Inputs!$B$29,MAX(0,(Inputs!$B$3-100)*3)+Inputs!$B$28+Inputs!$B$29)))</f>
        <v/>
      </c>
      <c r="E2451">
        <f>INDEX(FactorTable!$B$2:$Y$301, MATCH(ROUND(MIN(300,MAX(1,D2451)),0), FactorTable!$A$2:$A$301,0), Skills!M27+1)</f>
        <v/>
      </c>
      <c r="F2451">
        <f>IF(Skills!N27=TRUE,(Skills!L27/10)*(E2451/1000),Skills!L27/10)+Skills!O27</f>
        <v/>
      </c>
      <c r="G2451">
        <f>Calc!G27</f>
        <v/>
      </c>
      <c r="H2451">
        <f>Calc!H27</f>
        <v/>
      </c>
      <c r="I2451">
        <f>IF(Skills!AA27&lt;&gt;"",1+(Skills!AA27/10)*(U2427/1000)/100,1)</f>
        <v/>
      </c>
      <c r="J2451" t="inlineStr"/>
      <c r="K2451" t="inlineStr"/>
      <c r="L2451" t="inlineStr"/>
      <c r="M2451" t="inlineStr"/>
      <c r="N2451" t="inlineStr"/>
      <c r="O2451">
        <f>(1-Summary!$B$11)*T2451+Summary!$B$11*V2451</f>
        <v/>
      </c>
      <c r="P2451">
        <f>IF(B2468=0,0,O2451/B2468)</f>
        <v/>
      </c>
      <c r="Q2451" t="n">
        <v>0</v>
      </c>
      <c r="R2451" t="n">
        <v>0</v>
      </c>
      <c r="S2451">
        <f>IFERROR(O2451/N2451,0)</f>
        <v/>
      </c>
      <c r="T2451" t="n">
        <v>0</v>
      </c>
      <c r="V2451" t="n">
        <v>0</v>
      </c>
    </row>
    <row r="2452">
      <c r="A2452">
        <f>Skills!A28</f>
        <v/>
      </c>
      <c r="B2452">
        <f>Skills!B28</f>
        <v/>
      </c>
      <c r="C2452">
        <f>Inputs!$B$3&gt;=75</f>
        <v/>
      </c>
      <c r="D2452">
        <f>IF(Skills!C28=1,60+Inputs!$B$25+Inputs!$B$29,IF(Skills!C28=2,90+Inputs!$B$26+Inputs!$B$29,IF(Skills!C28=3,120+Inputs!$B$27+Inputs!$B$29,MAX(0,(Inputs!$B$3-100)*3)+Inputs!$B$28+Inputs!$B$29)))</f>
        <v/>
      </c>
      <c r="E2452">
        <f>INDEX(FactorTable!$B$2:$Y$301, MATCH(ROUND(MIN(300,MAX(1,D2452)),0), FactorTable!$A$2:$A$301,0), Skills!M28+1)</f>
        <v/>
      </c>
      <c r="F2452">
        <f>IF(Skills!N28=TRUE,(Skills!L28/10)*(E2452/1000),Skills!L28/10)+Skills!O28</f>
        <v/>
      </c>
      <c r="G2452">
        <f>Calc!G28</f>
        <v/>
      </c>
      <c r="H2452">
        <f>Calc!H28</f>
        <v/>
      </c>
      <c r="I2452">
        <f>IF(Skills!AA28&lt;&gt;"",1+(Skills!AA28/10)*(U2427/1000)/100,1)</f>
        <v/>
      </c>
      <c r="J2452" t="inlineStr"/>
      <c r="K2452" t="inlineStr"/>
      <c r="L2452" t="inlineStr"/>
      <c r="M2452" t="inlineStr"/>
      <c r="N2452" t="inlineStr"/>
      <c r="O2452">
        <f>(1-Summary!$B$11)*T2452+Summary!$B$11*V2452</f>
        <v/>
      </c>
      <c r="P2452">
        <f>IF(B2468=0,0,O2452/B2468)</f>
        <v/>
      </c>
      <c r="Q2452" t="n">
        <v>0</v>
      </c>
      <c r="R2452" t="n">
        <v>0</v>
      </c>
      <c r="S2452">
        <f>IFERROR(O2452/N2452,0)</f>
        <v/>
      </c>
      <c r="T2452" t="n">
        <v>0</v>
      </c>
      <c r="V2452" t="n">
        <v>0</v>
      </c>
    </row>
    <row r="2453">
      <c r="A2453">
        <f>Skills!A29</f>
        <v/>
      </c>
      <c r="B2453">
        <f>Skills!B29</f>
        <v/>
      </c>
      <c r="C2453">
        <f>Inputs!$B$3&gt;=120</f>
        <v/>
      </c>
      <c r="D2453">
        <f>IF(Skills!C29=1,60+Inputs!$B$25+Inputs!$B$29,IF(Skills!C29=2,90+Inputs!$B$26+Inputs!$B$29,IF(Skills!C29=3,120+Inputs!$B$27+Inputs!$B$29,MAX(0,(Inputs!$B$3-100)*3)+Inputs!$B$28+Inputs!$B$29)))</f>
        <v/>
      </c>
      <c r="E2453">
        <f>INDEX(FactorTable!$B$2:$Y$301, MATCH(ROUND(MIN(300,MAX(1,D2453)),0), FactorTable!$A$2:$A$301,0), Skills!M29+1)</f>
        <v/>
      </c>
      <c r="F2453">
        <f>IF(Skills!N29=TRUE,(Skills!L29/10)*(E2453/1000),Skills!L29/10)+Skills!O29</f>
        <v/>
      </c>
      <c r="G2453">
        <f>Calc!G29</f>
        <v/>
      </c>
      <c r="H2453">
        <f>Calc!H29</f>
        <v/>
      </c>
      <c r="I2453">
        <f>IF(Skills!AA29&lt;&gt;"",1+(Skills!AA29/10)*(U2427/1000)/100,1)</f>
        <v/>
      </c>
      <c r="J2453" t="inlineStr"/>
      <c r="K2453" t="inlineStr"/>
      <c r="L2453" t="inlineStr"/>
      <c r="M2453" t="inlineStr"/>
      <c r="N2453" t="inlineStr"/>
      <c r="O2453">
        <f>(1-Summary!$B$11)*T2453+Summary!$B$11*V2453</f>
        <v/>
      </c>
      <c r="P2453">
        <f>IF(B2468=0,0,O2453/B2468)</f>
        <v/>
      </c>
      <c r="Q2453" t="n">
        <v>0</v>
      </c>
      <c r="R2453" t="n">
        <v>0</v>
      </c>
      <c r="S2453">
        <f>IFERROR(O2453/N2453,0)</f>
        <v/>
      </c>
      <c r="T2453" t="n">
        <v>0</v>
      </c>
      <c r="V2453" t="n">
        <v>0</v>
      </c>
    </row>
    <row r="2454">
      <c r="A2454">
        <f>Skills!A30</f>
        <v/>
      </c>
      <c r="B2454">
        <f>Skills!B30</f>
        <v/>
      </c>
      <c r="C2454">
        <f>Inputs!$B$3&gt;=125</f>
        <v/>
      </c>
      <c r="D2454">
        <f>IF(Skills!C30=1,60+Inputs!$B$25+Inputs!$B$29,IF(Skills!C30=2,90+Inputs!$B$26+Inputs!$B$29,IF(Skills!C30=3,120+Inputs!$B$27+Inputs!$B$29,MAX(0,(Inputs!$B$3-100)*3)+Inputs!$B$28+Inputs!$B$29)))</f>
        <v/>
      </c>
      <c r="E2454">
        <f>INDEX(FactorTable!$B$2:$Y$301, MATCH(ROUND(MIN(300,MAX(1,D2454)),0), FactorTable!$A$2:$A$301,0), Skills!M30+1)</f>
        <v/>
      </c>
      <c r="F2454">
        <f>IF(Skills!N30=TRUE,(Skills!L30/10)*(E2454/1000),Skills!L30/10)+Skills!O30</f>
        <v/>
      </c>
      <c r="G2454">
        <f>Calc!G30</f>
        <v/>
      </c>
      <c r="H2454">
        <f>Calc!H30</f>
        <v/>
      </c>
      <c r="I2454">
        <f>IF(Skills!AA30&lt;&gt;"",1+(Skills!AA30/10)*(U2427/1000)/100,1)</f>
        <v/>
      </c>
      <c r="J2454" t="inlineStr"/>
      <c r="K2454" t="inlineStr"/>
      <c r="L2454" t="inlineStr"/>
      <c r="M2454" t="inlineStr"/>
      <c r="N2454" t="inlineStr"/>
      <c r="O2454">
        <f>(1-Summary!$B$11)*T2454+Summary!$B$11*V2454</f>
        <v/>
      </c>
      <c r="P2454">
        <f>IF(B2468=0,0,O2454/B2468)</f>
        <v/>
      </c>
      <c r="Q2454" t="n">
        <v>0</v>
      </c>
      <c r="R2454" t="n">
        <v>0</v>
      </c>
      <c r="S2454">
        <f>IFERROR(O2454/N2454,0)</f>
        <v/>
      </c>
      <c r="T2454" t="n">
        <v>0</v>
      </c>
      <c r="V2454" t="n">
        <v>0</v>
      </c>
    </row>
    <row r="2455">
      <c r="A2455">
        <f>Skills!A31</f>
        <v/>
      </c>
      <c r="B2455">
        <f>Skills!B31</f>
        <v/>
      </c>
      <c r="C2455">
        <f>Inputs!$B$3&gt;=107</f>
        <v/>
      </c>
      <c r="D2455">
        <f>IF(Skills!C31=1,60+Inputs!$B$25+Inputs!$B$29,IF(Skills!C31=2,90+Inputs!$B$26+Inputs!$B$29,IF(Skills!C31=3,120+Inputs!$B$27+Inputs!$B$29,MAX(0,(Inputs!$B$3-100)*3)+Inputs!$B$28+Inputs!$B$29)))</f>
        <v/>
      </c>
      <c r="E2455">
        <f>INDEX(FactorTable!$B$2:$Y$301, MATCH(ROUND(MIN(300,MAX(1,D2455)),0), FactorTable!$A$2:$A$301,0), Skills!M31+1)</f>
        <v/>
      </c>
      <c r="F2455">
        <f>IF(Skills!N31=TRUE,(Skills!L31/10)*(E2455/1000),Skills!L31/10)+Skills!O31</f>
        <v/>
      </c>
      <c r="G2455">
        <f>Calc!G31</f>
        <v/>
      </c>
      <c r="H2455">
        <f>Calc!H31</f>
        <v/>
      </c>
      <c r="I2455">
        <f>IF(Skills!AA31&lt;&gt;"",1+(Skills!AA31/10)*(U2427/1000)/100,1)</f>
        <v/>
      </c>
      <c r="J2455" t="inlineStr"/>
      <c r="K2455" t="inlineStr"/>
      <c r="L2455" t="inlineStr"/>
      <c r="M2455" t="inlineStr"/>
      <c r="N2455" t="inlineStr"/>
      <c r="O2455">
        <f>(1-Summary!$B$11)*T2455+Summary!$B$11*V2455</f>
        <v/>
      </c>
      <c r="P2455">
        <f>IF(B2468=0,0,O2455/B2468)</f>
        <v/>
      </c>
      <c r="Q2455" t="n">
        <v>0</v>
      </c>
      <c r="R2455" t="n">
        <v>0</v>
      </c>
      <c r="S2455">
        <f>IFERROR(O2455/N2455,0)</f>
        <v/>
      </c>
      <c r="T2455" t="n">
        <v>0</v>
      </c>
      <c r="V2455" t="n">
        <v>0</v>
      </c>
    </row>
    <row r="2457">
      <c r="A2457" t="inlineStr">
        <is>
          <t>Actions Per Second (pre-Adrenalin)</t>
        </is>
      </c>
      <c r="B2457">
        <f>1+MIN(150,150*(1-(1-(Inputs!$B$11+((C2446=TRUE)*(F2446-Calc!F22))+(ArtifactsInput!$M$15-ArtifactsInput!$M$15)*CHOOSE(ArtifactsInput!$N$15+1,8,9.6,11.2,12.8,14.4,16))/150)*(1-((C2443=TRUE)*F2443*IF(AND(Inputs!$B$39&lt;&gt;"pvp",Inputs!$B$44&gt;0),(((R2443-1)*(Skills!Y19*(1+Inputs!$B$34/100))+MIN((Skills!Y19*(1+Inputs!$B$34/100)),MAX(0,Inputs!$B$44-((R2443-1)*Skills!D19))))/Inputs!$B$44),IF(Inputs!$B$39="pvp",MIN((Skills!Y19*(1+Inputs!$B$34/100)),15)/15,(Skills!Y19*(1+Inputs!$B$34/100))/Skills!D19)))/150)))/100</f>
        <v/>
      </c>
    </row>
    <row r="2458">
      <c r="A2458" t="inlineStr">
        <is>
          <t>Alchemic Adrenaline Uptime</t>
        </is>
      </c>
      <c r="B2458">
        <f>(Skills!Y6*(1+Inputs!$B$34/100))/((Skills!Y6*(1+Inputs!$B$34/100))+(5/B2457))</f>
        <v/>
      </c>
    </row>
    <row r="2459">
      <c r="A2459" t="inlineStr">
        <is>
          <t>Attack Speed Buff Bonus %</t>
        </is>
      </c>
      <c r="B2459">
        <f>((C2443=TRUE)*F2443*IF(AND(Inputs!$B$39&lt;&gt;"pvp",Inputs!$B$44&gt;0),(((R2443-1)*(Skills!Y19*(1+Inputs!$B$34/100))+MIN((Skills!Y19*(1+Inputs!$B$34/100)),MAX(0,Inputs!$B$44-((R2443-1)*Skills!D19))))/Inputs!$B$44),IF(Inputs!$B$39="pvp",MIN((Skills!Y19*(1+Inputs!$B$34/100)),15)/15,(Skills!Y19*(1+Inputs!$B$34/100))/Skills!D19)))+((C2431=TRUE)*F2431*B2458)</f>
        <v/>
      </c>
    </row>
    <row r="2460">
      <c r="A2460" t="inlineStr">
        <is>
          <t>Actions Per Second (final)</t>
        </is>
      </c>
      <c r="B2460">
        <f>1+MIN(150,150*(1-(1-(Inputs!$B$11+((C2446=TRUE)*(F2446-Calc!F22))+(ArtifactsInput!$M$15-ArtifactsInput!$M$15)*CHOOSE(ArtifactsInput!$N$15+1,8,9.6,11.2,12.8,14.4,16))/150)*(1-B2459/150)))/100</f>
        <v/>
      </c>
    </row>
    <row r="2461">
      <c r="A2461" t="inlineStr">
        <is>
          <t>Skill + Buff Cast Rate</t>
        </is>
      </c>
      <c r="B2461">
        <f>IF(AND(Inputs!$B$39&lt;&gt;"pvp",Inputs!$B$44&gt;0),SUMPRODUCT((Skills!E2:E31=TRUE)*(C2426:C2455=TRUE)*R2426:R2455*Skills!F2:F31)/Inputs!$B$44,SUMPRODUCT((Skills!E2:E31=TRUE)*(C2426:C2455=TRUE)*Q2426:Q2455*Skills!F2:F31))</f>
        <v/>
      </c>
    </row>
    <row r="2462">
      <c r="A2462" t="inlineStr">
        <is>
          <t>Showdown Casts Per Second</t>
        </is>
      </c>
      <c r="B2462">
        <f>MAX(0,B2460-B2461)</f>
        <v/>
      </c>
    </row>
    <row r="2463">
      <c r="A2463" t="inlineStr">
        <is>
          <t>Average Buff Multiplier</t>
        </is>
      </c>
      <c r="B2463">
        <f>(1+(((C2445=TRUE)*F2445*IF(AND(Inputs!$B$39&lt;&gt;"pvp",Inputs!$B$44&gt;0),(((R2445-1)*(Skills!Y21*(1+Inputs!$B$34/100))+MIN((Skills!Y21*(1+Inputs!$B$34/100)),MAX(0,Inputs!$B$44-((R2445-1)*Skills!D21))))/Inputs!$B$44),IF(Inputs!$B$39="pvp",MIN((Skills!Y21*(1+Inputs!$B$34/100)),15)/15,(Skills!Y21*(1+Inputs!$B$34/100))/Skills!D21)))+((C2452=TRUE)*(F2452-Calc!F28))+((C2442=TRUE)*(F2442-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2439=TRUE)*F2439*IF(AND(Inputs!$B$39&lt;&gt;"pvp",Inputs!$B$44&gt;0),(((R2439-1)*(Skills!Y15*(1+Inputs!$B$34/100))+MIN((Skills!Y15*(1+Inputs!$B$34/100)),MAX(0,Inputs!$B$44-((R2439-1)*Skills!D15))))/Inputs!$B$44),IF(Inputs!$B$39="pvp",MIN((Skills!Y15*(1+Inputs!$B$34/100)),15)/15,(Skills!Y15*(1+Inputs!$B$34/100))/Skills!D15)))/100)*(1+((C2430=TRUE)*F2430*B2458)/100)</f>
        <v/>
      </c>
    </row>
    <row r="2464">
      <c r="A2464" t="inlineStr">
        <is>
          <t>Global Crit Rate Bonus %</t>
        </is>
      </c>
      <c r="B2464">
        <f>IF(Inputs!$B$3&gt;=47,8,0)+((C2444=TRUE)*F2444*IF(AND(Inputs!$B$39&lt;&gt;"pvp",Inputs!$B$44&gt;0),(((R2444-1)*(Skills!Y20*(1+Inputs!$B$34/100))+MIN((Skills!Y20*(1+Inputs!$B$34/100)),MAX(0,Inputs!$B$44-((R2444-1)*Skills!D20))))/Inputs!$B$44),IF(Inputs!$B$39="pvp",MIN((Skills!Y20*(1+Inputs!$B$34/100)),15)/15,(Skills!Y20*(1+Inputs!$B$34/100))/Skills!D20)))</f>
        <v/>
      </c>
    </row>
    <row r="2465">
      <c r="A2465" t="inlineStr">
        <is>
          <t>Global Monster Damage-Taken Bonus %</t>
        </is>
      </c>
      <c r="B2465">
        <f>IF(Inputs!$B$3&gt;=82,15,0)+((C2440=TRUE)*F2440*IF(AND(Inputs!$B$39&lt;&gt;"pvp",Inputs!$B$44&gt;0),(((R2440-1)*(Skills!Y16*(1+Inputs!$B$34/100))+MIN((Skills!Y16*(1+Inputs!$B$34/100)),MAX(0,Inputs!$B$44-((R2440-1)*Skills!D16))))/Inputs!$B$44),IF(Inputs!$B$39="pvp",MIN((Skills!Y16*(1+Inputs!$B$34/100)),15)/15,(Skills!Y16*(1+Inputs!$B$34/100))/Skills!D16)))</f>
        <v/>
      </c>
    </row>
    <row r="2466">
      <c r="A2466" t="inlineStr">
        <is>
          <t>Shadow Partner Average Multiplier</t>
        </is>
      </c>
      <c r="B2466">
        <f>1+((C2435=TRUE)*F2435*I2435*Skills!J11/100)/100</f>
        <v/>
      </c>
    </row>
    <row r="2467">
      <c r="A2467" t="inlineStr">
        <is>
          <t>Global Critical Damage Bonus % (Frailty Curse Mastery Lv.111)</t>
        </is>
      </c>
      <c r="B2467">
        <f>IF(Inputs!$B$3&gt;=111,30,0)*IF(AND(Inputs!$B$39&lt;&gt;"pvp",Inputs!$B$44&gt;0),(((R2440-1)*(Skills!Y16*(1+Inputs!$B$34/100))+MIN((Skills!Y16*(1+Inputs!$B$34/100)),MAX(0,Inputs!$B$44-((R2440-1)*Skills!D16))))/Inputs!$B$44),IF(Inputs!$B$39="pvp",MIN((Skills!Y16*(1+Inputs!$B$34/100)),15)/15,(Skills!Y16*(1+Inputs!$B$34/100))/Skills!D16))</f>
        <v/>
      </c>
    </row>
    <row r="2468">
      <c r="A2468" s="6" t="inlineStr">
        <is>
          <t>TOTAL DPS</t>
        </is>
      </c>
      <c r="B2468" s="6">
        <f>SUM(O2426:O2455)</f>
        <v/>
      </c>
    </row>
    <row r="2469">
      <c r="A2469" t="inlineStr">
        <is>
          <t>Buff-Casting Startup Delay (s, fixed-duration only)</t>
        </is>
      </c>
      <c r="B2469">
        <f>IF(AND(Inputs!$B$39&lt;&gt;"pvp",Inputs!$B$44&gt;0),SUMPRODUCT((Skills!Y2:Y31&gt;0)*(Skills!E2:E31=TRUE)*(C2426:C2455=TRUE))/B2460,0)</f>
        <v/>
      </c>
    </row>
    <row r="2470">
      <c r="A2470" t="inlineStr">
        <is>
          <t>Boss-Only Total DPS (this block's swept value)</t>
        </is>
      </c>
      <c r="B2470">
        <f>SUM(T2426:T2455)</f>
        <v/>
      </c>
    </row>
    <row r="2471">
      <c r="A2471" t="inlineStr">
        <is>
          <t>Normal-Only Total DPS (this block's swept value)</t>
        </is>
      </c>
      <c r="B2471">
        <f>SUM(V2426:V2455)</f>
        <v/>
      </c>
    </row>
    <row r="2473">
      <c r="A2473" s="6" t="inlineStr">
        <is>
          <t>Stat: Soul Pouch (Equip)</t>
        </is>
      </c>
    </row>
    <row r="2474">
      <c r="A2474" s="5" t="inlineStr">
        <is>
          <t>Key</t>
        </is>
      </c>
      <c r="B2474" s="5" t="inlineStr">
        <is>
          <t>Name</t>
        </is>
      </c>
      <c r="C2474" s="5" t="inlineStr">
        <is>
          <t>Unlocked</t>
        </is>
      </c>
      <c r="D2474" s="5" t="inlineStr">
        <is>
          <t>InputLevel</t>
        </is>
      </c>
      <c r="E2474" s="5" t="inlineStr">
        <is>
          <t>Factor</t>
        </is>
      </c>
      <c r="F2474" s="5" t="inlineStr">
        <is>
          <t>CoefficientPercent</t>
        </is>
      </c>
      <c r="G2474" s="5" t="inlineStr">
        <is>
          <t>EffectiveHits</t>
        </is>
      </c>
      <c r="H2474" s="5" t="inlineStr">
        <is>
          <t>ProcProbability</t>
        </is>
      </c>
      <c r="I2474" s="5" t="inlineStr">
        <is>
          <t>MapleHeroMultiplier</t>
        </is>
      </c>
      <c r="J2474" s="5" t="inlineStr">
        <is>
          <t>BaseDamage</t>
        </is>
      </c>
      <c r="K2474" s="5" t="inlineStr">
        <is>
          <t>BaseHitDamage</t>
        </is>
      </c>
      <c r="L2474" s="5" t="inlineStr">
        <is>
          <t>NonCritAvg</t>
        </is>
      </c>
      <c r="M2474" s="5" t="inlineStr">
        <is>
          <t>CritAvg</t>
        </is>
      </c>
      <c r="N2474" s="5" t="inlineStr">
        <is>
          <t>ExpectedDamage(perHit)</t>
        </is>
      </c>
      <c r="O2474" s="5" t="inlineStr">
        <is>
          <t>DPS</t>
        </is>
      </c>
      <c r="P2474" s="5" t="inlineStr">
        <is>
          <t>% of Total</t>
        </is>
      </c>
      <c r="Q2474" s="5" t="inlineStr">
        <is>
          <t>InvCooldown</t>
        </is>
      </c>
      <c r="R2474" s="5" t="inlineStr">
        <is>
          <t>CastsInFight</t>
        </is>
      </c>
      <c r="S2474" s="5" t="inlineStr">
        <is>
          <t>HitRate(perSec)</t>
        </is>
      </c>
      <c r="U2474" t="inlineStr">
        <is>
          <t>helpers</t>
        </is>
      </c>
    </row>
    <row r="2475">
      <c r="A2475">
        <f>Skills!A2</f>
        <v/>
      </c>
      <c r="B2475">
        <f>Skills!B2</f>
        <v/>
      </c>
      <c r="C2475">
        <f>Inputs!$B$3&gt;=100</f>
        <v/>
      </c>
      <c r="D2475" t="inlineStr"/>
      <c r="E2475" t="inlineStr"/>
      <c r="F2475">
        <f>U2479+Skills!O2</f>
        <v/>
      </c>
      <c r="G2475">
        <f>Calc!G2</f>
        <v/>
      </c>
      <c r="H2475">
        <f>Calc!H2</f>
        <v/>
      </c>
      <c r="I2475">
        <f>IF(Skills!AA2&lt;&gt;"",1+(Skills!AA2/10)*(U2476/1000)/100,1)</f>
        <v/>
      </c>
      <c r="J2475">
        <f>((Inputs!$B$6*(1+Inputs!$B$7/100))+(((Inputs!$B$12*(1+Inputs!$B$13/100))-(Inputs!$B$12*(1+Inputs!$B$13/100)))+0.25*(Inputs!$B$14-Inputs!$B$14))*(1+Inputs!$B$7/100))*(F2475/100)</f>
        <v/>
      </c>
      <c r="K2475">
        <f>J2475*(1+((Inputs!$B$12*(1+Inputs!$B$13/100))*0.01+Inputs!$B$14*0.0025)/100)*(1+Inputs!$B$15/100)*(1+Inputs!$B$16/100)*(5000/(6000+Inputs!$B$43*(1-(100*(1-(1-(Inputs!$B$19+0)/100)*(1-CHOOSE(ArtifactsInput!$N$40+1,5,6,7,8,9,10)/100)^(ArtifactsInput!$M$40-ArtifactsInput!$M$40)))/100)))*(1+(Inputs!$B$24+((C2503=TRUE)*(F2503-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2496=TRUE)*(F2496-Calc!F23))+(((IF(AND(ArtifactsInput!$M$42,((Inputs!$B$9+((C2498=TRUE)*(F2498-Calc!F25))+B2513+(ArtifactsInput!$M$24-ArtifactsInput!$M$24)*CHOOSE(ArtifactsInput!$N$24+1,10,12,14,16,18,20)+IF(ArtifactsInput!$M$10,CHOOSE(ArtifactsInput!$N$10+1,15,18,21,24,27,30)*(IF(Inputs!$B$39="pvp",MIN(15,15)/15,IF(AND(Inputs!$B$39&lt;&gt;"pvp",Inputs!$B$44&gt;0),MIN(15,Inputs!$B$44)/(Inputs!$B$44),0))),0)))&gt;=100),MIN(100,((Inputs!$B$9+((C2498=TRUE)*(F2498-Calc!F25))+B2513+(ArtifactsInput!$M$24-ArtifactsInput!$M$24)*CHOOSE(ArtifactsInput!$N$24+1,10,12,14,16,18,20)+IF(ArtifactsInput!$M$10,CHOOSE(ArtifactsInput!$N$10+1,15,18,21,24,27,30)*(IF(Inputs!$B$39="pvp",MIN(15,15)/15,IF(AND(Inputs!$B$39&lt;&gt;"pvp",Inputs!$B$44&gt;0),MIN(15,Inputs!$B$44)/(Inputs!$B$44),0))),0)))-100),0))*CHOOSE(ArtifactsInput!$N$42+1,0.6,0.72,0.84,0.96,1.08,1.2))),Inputs!$B$18+((C2502=TRUE)*(F2502-Calc!F29))+(IF(AND(ArtifactsInput!$M$42,((Inputs!$B$9+((C2498=TRUE)*(F2498-Calc!F25))+B2513+(ArtifactsInput!$M$24-ArtifactsInput!$M$24)*CHOOSE(ArtifactsInput!$N$24+1,10,12,14,16,18,20)+IF(ArtifactsInput!$M$10,CHOOSE(ArtifactsInput!$N$10+1,15,18,21,24,27,30)*(IF(Inputs!$B$39="pvp",MIN(15,15)/15,IF(AND(Inputs!$B$39&lt;&gt;"pvp",Inputs!$B$44&gt;0),MIN(15,Inputs!$B$44)/(Inputs!$B$44),0))),0)))&gt;=100),CHOOSE(ArtifactsInput!$N$42+1,40,48,56,64,72,80),0))))/100)*(((1+(((C2494=TRUE)*F2494*IF(AND(Inputs!$B$39&lt;&gt;"pvp",Inputs!$B$44&gt;0),(((R2494-1)*(Skills!Y21*(1+Inputs!$B$34/100))+MIN((Skills!Y21*(1+Inputs!$B$34/100)),MAX(0,Inputs!$B$44-((R2494-1)*Skills!D21))))/Inputs!$B$44),IF(Inputs!$B$39="pvp",MIN((Skills!Y21*(1+Inputs!$B$34/100)),15)/15,(Skills!Y21*(1+Inputs!$B$34/100))/Skills!D21)))+((C2501=TRUE)*(F2501-Calc!F28))+((C2491=TRUE)*(F2491-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2488=TRUE)*F2488*IF(AND(Inputs!$B$39&lt;&gt;"pvp",Inputs!$B$44&gt;0),(((R2488-1)*(Skills!Y15*(1+Inputs!$B$34/100))+MIN((Skills!Y15*(1+Inputs!$B$34/100)),MAX(0,Inputs!$B$44-((R2488-1)*Skills!D15))))/Inputs!$B$44),IF(Inputs!$B$39="pvp",MIN((Skills!Y15*(1+Inputs!$B$34/100)),15)/15,(Skills!Y15*(1+Inputs!$B$34/100))/Skills!D15)))/100)*(1+((C2479=TRUE)*F2479*B2507)/100))*B2515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2475)</f>
        <v/>
      </c>
      <c r="L2475">
        <f>K2475*(MIN(Inputs!$B$22+((C2497=TRUE)*(F2497-Calc!F24)),(Inputs!$B$23+0+(IF(ArtifactsInput!$M$15,CHOOSE(ArtifactsInput!$N$15+1,25,30,35,40,45,50)/100*(Inputs!$B$11-Inputs!$B$11),0))))/100+(Inputs!$B$23+0+(IF(ArtifactsInput!$M$15,CHOOSE(ArtifactsInput!$N$15+1,25,30,35,40,45,50)/100*(Inputs!$B$11-Inputs!$B$11),0)))/100)/2</f>
        <v/>
      </c>
      <c r="M2475">
        <f>L2475*(1+(Inputs!$B$10+((C2499=TRUE)*(F2499-Calc!F26))+B2516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75">
        <f>L2475*(1-MIN((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2475*(MIN((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75">
        <f>(1-Summary!$B$11)*T2475+Summary!$B$11*V2475</f>
        <v/>
      </c>
      <c r="P2475">
        <f>IF(B2517=0,0,O2475/B2517)</f>
        <v/>
      </c>
      <c r="Q2475" t="n">
        <v>0</v>
      </c>
      <c r="R2475" t="n">
        <v>0</v>
      </c>
      <c r="S2475">
        <f>IFERROR(O2475/N2475,0)</f>
        <v/>
      </c>
      <c r="T2475">
        <f>IF(C2475,(Skills!G2*N2475*B2511)*IF(Inputs!$B$39="pvp",1,1+(Inputs!$B$20+((C2500=TRUE)*(F2500-Calc!F27))+Skills!P2+B2514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Hunt"),CHOOSE(ArtifactsInput!$N$35+1,15,18,21,24,27,30)*(1-EXP(-(0.2*B2509)*5)),0)+IF(AND(ArtifactsInput!$M$22,Inputs!$B$4&lt;&gt;"Chapter Hunt"),CHOOSE(ArtifactsInput!$N$22+1,10,12,14,16,18,20)*((0*(((0.15*B2509*5))^0/1)+1*(((0.15*B2509*5))^1/1)+2*(((0.15*B2509*5))^2/2)+3*(((0.15*B2509*5))^3/6)+4*(((0.15*B2509*5))^4/24)+5*(((0.15*B2509*5))^5/120))/((((0.15*B2509*5))^0/1)+(((0.15*B2509*5))^1/1)+(((0.15*B2509*5))^2/2)+(((0.15*B2509*5))^3/6)+(((0.15*B2509*5))^4/24)+(((0.15*B2509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2475*(1-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2475*(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2475*(1-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2475*(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75">
        <f>MAX(0,(Inputs!$B$3-100)*3)+Inputs!$B$28+Inputs!$B$29</f>
        <v/>
      </c>
      <c r="V2475">
        <f>IF(C2475,(Skills!G2*N2475*B2511)*IF(Inputs!$B$39="pvp",1,(1+(Inputs!$B$21+Skills!Q2+B2514+(IF(ArtifactsInput!$M$33,CHOOSE(ArtifactsInput!$N$33+1,30,36,42,48,54,60),0))+(IF(AND(ArtifactsInput!$M$35,Inputs!$B$4&lt;&gt;"Chapter Hunt"),CHOOSE(ArtifactsInput!$N$35+1,15,18,21,24,27,30)*(1-EXP(-(0.2*B2509)*5)),0)+IF(AND(ArtifactsInput!$M$22,Inputs!$B$4&lt;&gt;"Chapter Hunt"),CHOOSE(ArtifactsInput!$N$22+1,10,12,14,16,18,20)*((0*(((0.15*B2509*5))^0/1)+1*(((0.15*B2509*5))^1/1)+2*(((0.15*B2509*5))^2/2)+3*(((0.15*B2509*5))^3/6)+4*(((0.15*B2509*5))^4/24)+5*(((0.15*B2509*5))^5/120))/((((0.15*B2509*5))^0/1)+(((0.15*B2509*5))^1/1)+(((0.15*B2509*5))^2/2)+(((0.15*B2509*5))^3/6)+(((0.15*B2509*5))^4/24)+(((0.15*B2509*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76">
      <c r="A2476">
        <f>Skills!A3</f>
        <v/>
      </c>
      <c r="B2476">
        <f>Skills!B3</f>
        <v/>
      </c>
      <c r="C2476">
        <f>Inputs!$B$3&gt;=35</f>
        <v/>
      </c>
      <c r="D2476">
        <f>IF(Skills!C3=1,60+Inputs!$B$25+Inputs!$B$29,IF(Skills!C3=2,90+Inputs!$B$26+Inputs!$B$29,IF(Skills!C3=3,120+Inputs!$B$27+Inputs!$B$29,MAX(0,(Inputs!$B$3-100)*3)+Inputs!$B$28+Inputs!$B$29)))</f>
        <v/>
      </c>
      <c r="E2476">
        <f>INDEX(FactorTable!$B$2:$Y$301, MATCH(ROUND(MIN(300,MAX(1,D2476)),0), FactorTable!$A$2:$A$301,0), Skills!M3+1)</f>
        <v/>
      </c>
      <c r="F2476">
        <f>IF(Skills!N3=TRUE,(Skills!L3/10)*(E2476/1000),Skills!L3/10)+Skills!O3</f>
        <v/>
      </c>
      <c r="G2476">
        <f>Calc!G3</f>
        <v/>
      </c>
      <c r="H2476">
        <f>Calc!H3</f>
        <v/>
      </c>
      <c r="I2476">
        <f>IF(Skills!AA3&lt;&gt;"",1+(Skills!AA3/10)*(U2476/1000)/100,1)</f>
        <v/>
      </c>
      <c r="J2476">
        <f>((Inputs!$B$6*(1+Inputs!$B$7/100))+(((Inputs!$B$12*(1+Inputs!$B$13/100))-(Inputs!$B$12*(1+Inputs!$B$13/100)))+0.25*(Inputs!$B$14-Inputs!$B$14))*(1+Inputs!$B$7/100))*(F2476/100)</f>
        <v/>
      </c>
      <c r="K2476">
        <f>J2476*(1+((Inputs!$B$12*(1+Inputs!$B$13/100))*0.01+Inputs!$B$14*0.0025)/100)*(1+Inputs!$B$15/100)*(1+Inputs!$B$16/100)*(5000/(6000+Inputs!$B$43*(1-(100*(1-(1-(Inputs!$B$19+0)/100)*(1-CHOOSE(ArtifactsInput!$N$40+1,5,6,7,8,9,10)/100)^(ArtifactsInput!$M$40-ArtifactsInput!$M$40)))/100)))*(1+(Inputs!$B$24+((C2503=TRUE)*(F2503-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2496=TRUE)*(F2496-Calc!F23))+(((IF(AND(ArtifactsInput!$M$42,((Inputs!$B$9+((C2498=TRUE)*(F2498-Calc!F25))+B2513+(ArtifactsInput!$M$24-ArtifactsInput!$M$24)*CHOOSE(ArtifactsInput!$N$24+1,10,12,14,16,18,20)+IF(ArtifactsInput!$M$10,CHOOSE(ArtifactsInput!$N$10+1,15,18,21,24,27,30)*(IF(Inputs!$B$39="pvp",MIN(15,15)/15,IF(AND(Inputs!$B$39&lt;&gt;"pvp",Inputs!$B$44&gt;0),MIN(15,Inputs!$B$44)/(Inputs!$B$44),0))),0)))&gt;=100),MIN(100,((Inputs!$B$9+((C2498=TRUE)*(F2498-Calc!F25))+B2513+(ArtifactsInput!$M$24-ArtifactsInput!$M$24)*CHOOSE(ArtifactsInput!$N$24+1,10,12,14,16,18,20)+IF(ArtifactsInput!$M$10,CHOOSE(ArtifactsInput!$N$10+1,15,18,21,24,27,30)*(IF(Inputs!$B$39="pvp",MIN(15,15)/15,IF(AND(Inputs!$B$39&lt;&gt;"pvp",Inputs!$B$44&gt;0),MIN(15,Inputs!$B$44)/(Inputs!$B$44),0))),0)))-100),0))*CHOOSE(ArtifactsInput!$N$42+1,0.6,0.72,0.84,0.96,1.08,1.2))),Inputs!$B$18+((C2502=TRUE)*(F2502-Calc!F29))+(IF(AND(ArtifactsInput!$M$42,((Inputs!$B$9+((C2498=TRUE)*(F2498-Calc!F25))+B2513+(ArtifactsInput!$M$24-ArtifactsInput!$M$24)*CHOOSE(ArtifactsInput!$N$24+1,10,12,14,16,18,20)+IF(ArtifactsInput!$M$10,CHOOSE(ArtifactsInput!$N$10+1,15,18,21,24,27,30)*(IF(Inputs!$B$39="pvp",MIN(15,15)/15,IF(AND(Inputs!$B$39&lt;&gt;"pvp",Inputs!$B$44&gt;0),MIN(15,Inputs!$B$44)/(Inputs!$B$44),0))),0)))&gt;=100),CHOOSE(ArtifactsInput!$N$42+1,40,48,56,64,72,80),0))))/100)*(((1+(((C2494=TRUE)*F2494*IF(AND(Inputs!$B$39&lt;&gt;"pvp",Inputs!$B$44&gt;0),(((R2494-1)*(Skills!Y21*(1+Inputs!$B$34/100))+MIN((Skills!Y21*(1+Inputs!$B$34/100)),MAX(0,Inputs!$B$44-((R2494-1)*Skills!D21))))/Inputs!$B$44),IF(Inputs!$B$39="pvp",MIN((Skills!Y21*(1+Inputs!$B$34/100)),15)/15,(Skills!Y21*(1+Inputs!$B$34/100))/Skills!D21)))+((C2501=TRUE)*(F2501-Calc!F28))+((C2491=TRUE)*(F2491-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2488=TRUE)*F2488*IF(AND(Inputs!$B$39&lt;&gt;"pvp",Inputs!$B$44&gt;0),(((R2488-1)*(Skills!Y15*(1+Inputs!$B$34/100))+MIN((Skills!Y15*(1+Inputs!$B$34/100)),MAX(0,Inputs!$B$44-((R2488-1)*Skills!D15))))/Inputs!$B$44),IF(Inputs!$B$39="pvp",MIN((Skills!Y15*(1+Inputs!$B$34/100)),15)/15,(Skills!Y15*(1+Inputs!$B$34/100))/Skills!D15)))/100)*(1+((C2479=TRUE)*F2479*B2507)/100))*B2515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2476)</f>
        <v/>
      </c>
      <c r="L2476">
        <f>K2476*(MIN(Inputs!$B$22+((C2497=TRUE)*(F2497-Calc!F24)),(Inputs!$B$23+0+(IF(ArtifactsInput!$M$15,CHOOSE(ArtifactsInput!$N$15+1,25,30,35,40,45,50)/100*(Inputs!$B$11-Inputs!$B$11),0))))/100+(Inputs!$B$23+0+(IF(ArtifactsInput!$M$15,CHOOSE(ArtifactsInput!$N$15+1,25,30,35,40,45,50)/100*(Inputs!$B$11-Inputs!$B$11),0)))/100)/2</f>
        <v/>
      </c>
      <c r="M2476">
        <f>L2476*(1+(Inputs!$B$10+((C2499=TRUE)*(F2499-Calc!F26))+B2516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76">
        <f>L2476*(1-MIN((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2476*(MIN((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76">
        <f>(1-Summary!$B$11)*T2476+Summary!$B$11*V2476</f>
        <v/>
      </c>
      <c r="P2476">
        <f>IF(B2517=0,0,O2476/B2517)</f>
        <v/>
      </c>
      <c r="Q2476">
        <f>IFERROR(1/IF(Inputs!$B$39="pvp",15,MAX(0.1,Skills!D3-IF(Skills!E3=TRUE,Inputs!$B$32,0))),0)</f>
        <v/>
      </c>
      <c r="R2476">
        <f>IF(AND(Inputs!$B$39&lt;&gt;"pvp",Inputs!$B$44&gt;0),IF(MAX(0,Inputs!$B$44-B2518)&lt;=0,0,(INT(MAX(0,Inputs!$B$44-B2518)/IF(Inputs!$B$39="pvp",15,MAX(0.1,Skills!D3-IF(Skills!E3=TRUE,Inputs!$B$32,0))))+1)),0)</f>
        <v/>
      </c>
      <c r="S2476">
        <f>IFERROR(O2476/N2476,0)</f>
        <v/>
      </c>
      <c r="T2476">
        <f>IF(C2476,(H2476*N2476*IF(AND(Inputs!$B$39&lt;&gt;"pvp",Inputs!$B$44&gt;0),((Skills!G3*((R2476-1)*IF(Skills!H3&gt;0,Skills!I3/Skills!H3,1)+IF(Skills!H3&gt;0,MIN(Skills!I3,MAX(0,MAX(0,Inputs!$B$44-B2518)-((R2476-1)*IF(Inputs!$B$39="pvp",15,MAX(0.1,Skills!D3-IF(Skills!E3=TRUE,Inputs!$B$32,0))))))/Skills!H3,1)))/Inputs!$B$44),G2476*Q2476))*IF(Inputs!$B$39="pvp",1,1+(Inputs!$B$20+((C2500=TRUE)*(F2500-Calc!F27))+Skills!P3+B2514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Hunt"),CHOOSE(ArtifactsInput!$N$35+1,15,18,21,24,27,30)*(1-EXP(-(0.2*B2509)*5)),0)+IF(AND(ArtifactsInput!$M$22,Inputs!$B$4&lt;&gt;"Chapter Hunt"),CHOOSE(ArtifactsInput!$N$22+1,10,12,14,16,18,20)*((0*(((0.15*B2509*5))^0/1)+1*(((0.15*B2509*5))^1/1)+2*(((0.15*B2509*5))^2/2)+3*(((0.15*B2509*5))^3/6)+4*(((0.15*B2509*5))^4/24)+5*(((0.15*B2509*5))^5/120))/((((0.15*B2509*5))^0/1)+(((0.15*B2509*5))^1/1)+(((0.15*B2509*5))^2/2)+(((0.15*B2509*5))^3/6)+(((0.15*B2509*5))^4/24)+(((0.15*B2509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2476*(1-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2476*(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2476*(1-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2476*(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76">
        <f>INDEX(FactorTable!$B$2:$Y$301, MATCH(ROUND(MIN(300,MAX(1,U2475)),0), FactorTable!$A$2:$A$301,0), 24)</f>
        <v/>
      </c>
      <c r="V2476">
        <f>IF(C2476,(H2476*N2476*IF(AND(Inputs!$B$39&lt;&gt;"pvp",Inputs!$B$44&gt;0),((Skills!G3*((R2476-1)*IF(Skills!H3&gt;0,Skills!I3/Skills!H3,1)+IF(Skills!H3&gt;0,MIN(Skills!I3,MAX(0,MAX(0,Inputs!$B$44-B2518)-((R2476-1)*IF(Inputs!$B$39="pvp",15,MAX(0.1,Skills!D3-IF(Skills!E3=TRUE,Inputs!$B$32,0))))))/Skills!H3,1)))/Inputs!$B$44),G2476*Q2476))*IF(Inputs!$B$39="pvp",1,(1+(Inputs!$B$21+Skills!Q3+B2514+(IF(ArtifactsInput!$M$33,CHOOSE(ArtifactsInput!$N$33+1,30,36,42,48,54,60),0))+(IF(AND(ArtifactsInput!$M$35,Inputs!$B$4&lt;&gt;"Chapter Hunt"),CHOOSE(ArtifactsInput!$N$35+1,15,18,21,24,27,30)*(1-EXP(-(0.2*B2509)*5)),0)+IF(AND(ArtifactsInput!$M$22,Inputs!$B$4&lt;&gt;"Chapter Hunt"),CHOOSE(ArtifactsInput!$N$22+1,10,12,14,16,18,20)*((0*(((0.15*B2509*5))^0/1)+1*(((0.15*B2509*5))^1/1)+2*(((0.15*B2509*5))^2/2)+3*(((0.15*B2509*5))^3/6)+4*(((0.15*B2509*5))^4/24)+5*(((0.15*B2509*5))^5/120))/((((0.15*B2509*5))^0/1)+(((0.15*B2509*5))^1/1)+(((0.15*B2509*5))^2/2)+(((0.15*B2509*5))^3/6)+(((0.15*B2509*5))^4/24)+(((0.15*B2509*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77">
      <c r="A2477">
        <f>Skills!A4</f>
        <v/>
      </c>
      <c r="B2477">
        <f>Skills!B4</f>
        <v/>
      </c>
      <c r="C2477">
        <f>Inputs!$B$3&gt;=40</f>
        <v/>
      </c>
      <c r="D2477">
        <f>IF(Skills!C4=1,60+Inputs!$B$25+Inputs!$B$29,IF(Skills!C4=2,90+Inputs!$B$26+Inputs!$B$29,IF(Skills!C4=3,120+Inputs!$B$27+Inputs!$B$29,MAX(0,(Inputs!$B$3-100)*3)+Inputs!$B$28+Inputs!$B$29)))</f>
        <v/>
      </c>
      <c r="E2477">
        <f>INDEX(FactorTable!$B$2:$Y$301, MATCH(ROUND(MIN(300,MAX(1,D2477)),0), FactorTable!$A$2:$A$301,0), Skills!M4+1)</f>
        <v/>
      </c>
      <c r="F2477">
        <f>IF(Skills!N4=TRUE,(Skills!L4/10)*(E2477/1000),Skills!L4/10)+Skills!O4</f>
        <v/>
      </c>
      <c r="G2477">
        <f>Calc!G4</f>
        <v/>
      </c>
      <c r="H2477">
        <f>Calc!H4</f>
        <v/>
      </c>
      <c r="I2477">
        <f>IF(Skills!AA4&lt;&gt;"",1+(Skills!AA4/10)*(U2476/1000)/100,1)</f>
        <v/>
      </c>
      <c r="J2477">
        <f>((Inputs!$B$6*(1+Inputs!$B$7/100))+(((Inputs!$B$12*(1+Inputs!$B$13/100))-(Inputs!$B$12*(1+Inputs!$B$13/100)))+0.25*(Inputs!$B$14-Inputs!$B$14))*(1+Inputs!$B$7/100))*(F2477/100)</f>
        <v/>
      </c>
      <c r="K2477">
        <f>J2477*(1+((Inputs!$B$12*(1+Inputs!$B$13/100))*0.01+Inputs!$B$14*0.0025)/100)*(1+Inputs!$B$15/100)*(1+Inputs!$B$16/100)*(5000/(6000+Inputs!$B$43*(1-(100*(1-(1-(Inputs!$B$19+0)/100)*(1-CHOOSE(ArtifactsInput!$N$40+1,5,6,7,8,9,10)/100)^(ArtifactsInput!$M$40-ArtifactsInput!$M$40)))/100)))*(1+(Inputs!$B$24+((C2503=TRUE)*(F2503-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2496=TRUE)*(F2496-Calc!F23))+(((IF(AND(ArtifactsInput!$M$42,((Inputs!$B$9+((C2498=TRUE)*(F2498-Calc!F25))+B2513+(ArtifactsInput!$M$24-ArtifactsInput!$M$24)*CHOOSE(ArtifactsInput!$N$24+1,10,12,14,16,18,20)+IF(ArtifactsInput!$M$10,CHOOSE(ArtifactsInput!$N$10+1,15,18,21,24,27,30)*(IF(Inputs!$B$39="pvp",MIN(15,15)/15,IF(AND(Inputs!$B$39&lt;&gt;"pvp",Inputs!$B$44&gt;0),MIN(15,Inputs!$B$44)/(Inputs!$B$44),0))),0)))&gt;=100),MIN(100,((Inputs!$B$9+((C2498=TRUE)*(F2498-Calc!F25))+B2513+(ArtifactsInput!$M$24-ArtifactsInput!$M$24)*CHOOSE(ArtifactsInput!$N$24+1,10,12,14,16,18,20)+IF(ArtifactsInput!$M$10,CHOOSE(ArtifactsInput!$N$10+1,15,18,21,24,27,30)*(IF(Inputs!$B$39="pvp",MIN(15,15)/15,IF(AND(Inputs!$B$39&lt;&gt;"pvp",Inputs!$B$44&gt;0),MIN(15,Inputs!$B$44)/(Inputs!$B$44),0))),0)))-100),0))*CHOOSE(ArtifactsInput!$N$42+1,0.6,0.72,0.84,0.96,1.08,1.2))),Inputs!$B$18+((C2502=TRUE)*(F2502-Calc!F29))+(IF(AND(ArtifactsInput!$M$42,((Inputs!$B$9+((C2498=TRUE)*(F2498-Calc!F25))+B2513+(ArtifactsInput!$M$24-ArtifactsInput!$M$24)*CHOOSE(ArtifactsInput!$N$24+1,10,12,14,16,18,20)+IF(ArtifactsInput!$M$10,CHOOSE(ArtifactsInput!$N$10+1,15,18,21,24,27,30)*(IF(Inputs!$B$39="pvp",MIN(15,15)/15,IF(AND(Inputs!$B$39&lt;&gt;"pvp",Inputs!$B$44&gt;0),MIN(15,Inputs!$B$44)/(Inputs!$B$44),0))),0)))&gt;=100),CHOOSE(ArtifactsInput!$N$42+1,40,48,56,64,72,80),0))))/100)*(((1+(((C2494=TRUE)*F2494*IF(AND(Inputs!$B$39&lt;&gt;"pvp",Inputs!$B$44&gt;0),(((R2494-1)*(Skills!Y21*(1+Inputs!$B$34/100))+MIN((Skills!Y21*(1+Inputs!$B$34/100)),MAX(0,Inputs!$B$44-((R2494-1)*Skills!D21))))/Inputs!$B$44),IF(Inputs!$B$39="pvp",MIN((Skills!Y21*(1+Inputs!$B$34/100)),15)/15,(Skills!Y21*(1+Inputs!$B$34/100))/Skills!D21)))+((C2501=TRUE)*(F2501-Calc!F28))+((C2491=TRUE)*(F2491-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2488=TRUE)*F2488*IF(AND(Inputs!$B$39&lt;&gt;"pvp",Inputs!$B$44&gt;0),(((R2488-1)*(Skills!Y15*(1+Inputs!$B$34/100))+MIN((Skills!Y15*(1+Inputs!$B$34/100)),MAX(0,Inputs!$B$44-((R2488-1)*Skills!D15))))/Inputs!$B$44),IF(Inputs!$B$39="pvp",MIN((Skills!Y15*(1+Inputs!$B$34/100)),15)/15,(Skills!Y15*(1+Inputs!$B$34/100))/Skills!D15)))/100)*(1+((C2479=TRUE)*F2479*B2507)/100))*B2515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2477)</f>
        <v/>
      </c>
      <c r="L2477">
        <f>K2477*(MIN(Inputs!$B$22+((C2497=TRUE)*(F2497-Calc!F24)),(Inputs!$B$23+0+(IF(ArtifactsInput!$M$15,CHOOSE(ArtifactsInput!$N$15+1,25,30,35,40,45,50)/100*(Inputs!$B$11-Inputs!$B$11),0))))/100+(Inputs!$B$23+0+(IF(ArtifactsInput!$M$15,CHOOSE(ArtifactsInput!$N$15+1,25,30,35,40,45,50)/100*(Inputs!$B$11-Inputs!$B$11),0)))/100)/2</f>
        <v/>
      </c>
      <c r="M2477">
        <f>L2477*(1+(Inputs!$B$10+((C2499=TRUE)*(F2499-Calc!F26))+B2516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77">
        <f>L2477*(1-MIN((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2477*(MIN((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77">
        <f>(1-Summary!$B$11)*T2477+Summary!$B$11*V2477</f>
        <v/>
      </c>
      <c r="P2477">
        <f>IF(B2517=0,0,O2477/B2517)</f>
        <v/>
      </c>
      <c r="Q2477">
        <f>IFERROR(1/IF(Inputs!$B$39="pvp",15,MAX(0.1,Skills!D4-IF(Skills!E4=TRUE,Inputs!$B$32,0))),0)</f>
        <v/>
      </c>
      <c r="R2477">
        <f>IF(AND(Inputs!$B$39&lt;&gt;"pvp",Inputs!$B$44&gt;0),IF(MAX(0,Inputs!$B$44-B2518)&lt;=0,0,(INT(MAX(0,Inputs!$B$44-B2518)/IF(Inputs!$B$39="pvp",15,MAX(0.1,Skills!D4-IF(Skills!E4=TRUE,Inputs!$B$32,0))))+1)),0)</f>
        <v/>
      </c>
      <c r="S2477">
        <f>IFERROR(O2477/N2477,0)</f>
        <v/>
      </c>
      <c r="T2477">
        <f>IF(C2477,(H2477*N2477*IF(AND(Inputs!$B$39&lt;&gt;"pvp",Inputs!$B$44&gt;0),((Skills!G4*((R2477-1)*IF(Skills!H4&gt;0,Skills!I4/Skills!H4,1)+IF(Skills!H4&gt;0,MIN(Skills!I4,MAX(0,MAX(0,Inputs!$B$44-B2518)-((R2477-1)*IF(Inputs!$B$39="pvp",15,MAX(0.1,Skills!D4-IF(Skills!E4=TRUE,Inputs!$B$32,0))))))/Skills!H4,1)))/Inputs!$B$44),G2477*Q2477))*IF(Inputs!$B$39="pvp",1,1+(Inputs!$B$20+((C2500=TRUE)*(F2500-Calc!F27))+Skills!P4+B2514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Hunt"),CHOOSE(ArtifactsInput!$N$35+1,15,18,21,24,27,30)*(1-EXP(-(0.2*B2509)*5)),0)+IF(AND(ArtifactsInput!$M$22,Inputs!$B$4&lt;&gt;"Chapter Hunt"),CHOOSE(ArtifactsInput!$N$22+1,10,12,14,16,18,20)*((0*(((0.15*B2509*5))^0/1)+1*(((0.15*B2509*5))^1/1)+2*(((0.15*B2509*5))^2/2)+3*(((0.15*B2509*5))^3/6)+4*(((0.15*B2509*5))^4/24)+5*(((0.15*B2509*5))^5/120))/((((0.15*B2509*5))^0/1)+(((0.15*B2509*5))^1/1)+(((0.15*B2509*5))^2/2)+(((0.15*B2509*5))^3/6)+(((0.15*B2509*5))^4/24)+(((0.15*B2509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2477*(1-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2477*(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2477*(1-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2477*(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77">
        <f>MAX(0,(Inputs!$B$3-100)*3)+Inputs!$B$28+Inputs!$B$29</f>
        <v/>
      </c>
      <c r="V2477">
        <f>IF(C2477,(H2477*N2477*IF(AND(Inputs!$B$39&lt;&gt;"pvp",Inputs!$B$44&gt;0),((Skills!G4*((R2477-1)*IF(Skills!H4&gt;0,Skills!I4/Skills!H4,1)+IF(Skills!H4&gt;0,MIN(Skills!I4,MAX(0,MAX(0,Inputs!$B$44-B2518)-((R2477-1)*IF(Inputs!$B$39="pvp",15,MAX(0.1,Skills!D4-IF(Skills!E4=TRUE,Inputs!$B$32,0))))))/Skills!H4,1)))/Inputs!$B$44),G2477*Q2477))*IF(Inputs!$B$39="pvp",1,(1+(Inputs!$B$21+Skills!Q4+B2514+(IF(ArtifactsInput!$M$33,CHOOSE(ArtifactsInput!$N$33+1,30,36,42,48,54,60),0))+(IF(AND(ArtifactsInput!$M$35,Inputs!$B$4&lt;&gt;"Chapter Hunt"),CHOOSE(ArtifactsInput!$N$35+1,15,18,21,24,27,30)*(1-EXP(-(0.2*B2509)*5)),0)+IF(AND(ArtifactsInput!$M$22,Inputs!$B$4&lt;&gt;"Chapter Hunt"),CHOOSE(ArtifactsInput!$N$22+1,10,12,14,16,18,20)*((0*(((0.15*B2509*5))^0/1)+1*(((0.15*B2509*5))^1/1)+2*(((0.15*B2509*5))^2/2)+3*(((0.15*B2509*5))^3/6)+4*(((0.15*B2509*5))^4/24)+5*(((0.15*B2509*5))^5/120))/((((0.15*B2509*5))^0/1)+(((0.15*B2509*5))^1/1)+(((0.15*B2509*5))^2/2)+(((0.15*B2509*5))^3/6)+(((0.15*B2509*5))^4/24)+(((0.15*B2509*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78">
      <c r="A2478">
        <f>Skills!A5</f>
        <v/>
      </c>
      <c r="B2478">
        <f>Skills!B5</f>
        <v/>
      </c>
      <c r="C2478">
        <f>Inputs!$B$3&gt;=63</f>
        <v/>
      </c>
      <c r="D2478">
        <f>IF(Skills!C5=1,60+Inputs!$B$25+Inputs!$B$29,IF(Skills!C5=2,90+Inputs!$B$26+Inputs!$B$29,IF(Skills!C5=3,120+Inputs!$B$27+Inputs!$B$29,MAX(0,(Inputs!$B$3-100)*3)+Inputs!$B$28+Inputs!$B$29)))</f>
        <v/>
      </c>
      <c r="E2478">
        <f>INDEX(FactorTable!$B$2:$Y$301, MATCH(ROUND(MIN(300,MAX(1,D2478)),0), FactorTable!$A$2:$A$301,0), Skills!M5+1)</f>
        <v/>
      </c>
      <c r="F2478">
        <f>IF(Skills!N5=TRUE,(Skills!L5/10)*(E2478/1000),Skills!L5/10)+Skills!O5</f>
        <v/>
      </c>
      <c r="G2478">
        <f>Calc!G5</f>
        <v/>
      </c>
      <c r="H2478">
        <f>Calc!H5</f>
        <v/>
      </c>
      <c r="I2478">
        <f>IF(Skills!AA5&lt;&gt;"",1+(Skills!AA5/10)*(U2476/1000)/100,1)</f>
        <v/>
      </c>
      <c r="J2478">
        <f>((Inputs!$B$6*(1+Inputs!$B$7/100))+(((Inputs!$B$12*(1+Inputs!$B$13/100))-(Inputs!$B$12*(1+Inputs!$B$13/100)))+0.25*(Inputs!$B$14-Inputs!$B$14))*(1+Inputs!$B$7/100))*(F2478/100)</f>
        <v/>
      </c>
      <c r="K2478">
        <f>J2478*(1+((Inputs!$B$12*(1+Inputs!$B$13/100))*0.01+Inputs!$B$14*0.0025)/100)*(1+Inputs!$B$15/100)*(1+Inputs!$B$16/100)*(5000/(6000+Inputs!$B$43*(1-(100*(1-(1-(Inputs!$B$19+0)/100)*(1-CHOOSE(ArtifactsInput!$N$40+1,5,6,7,8,9,10)/100)^(ArtifactsInput!$M$40-ArtifactsInput!$M$40)))/100)))*(1+(Inputs!$B$24+((C2503=TRUE)*(F2503-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2496=TRUE)*(F2496-Calc!F23))+(((IF(AND(ArtifactsInput!$M$42,((Inputs!$B$9+((C2498=TRUE)*(F2498-Calc!F25))+B2513+(ArtifactsInput!$M$24-ArtifactsInput!$M$24)*CHOOSE(ArtifactsInput!$N$24+1,10,12,14,16,18,20)+IF(ArtifactsInput!$M$10,CHOOSE(ArtifactsInput!$N$10+1,15,18,21,24,27,30)*(IF(Inputs!$B$39="pvp",MIN(15,15)/15,IF(AND(Inputs!$B$39&lt;&gt;"pvp",Inputs!$B$44&gt;0),MIN(15,Inputs!$B$44)/(Inputs!$B$44),0))),0)))&gt;=100),MIN(100,((Inputs!$B$9+((C2498=TRUE)*(F2498-Calc!F25))+B2513+(ArtifactsInput!$M$24-ArtifactsInput!$M$24)*CHOOSE(ArtifactsInput!$N$24+1,10,12,14,16,18,20)+IF(ArtifactsInput!$M$10,CHOOSE(ArtifactsInput!$N$10+1,15,18,21,24,27,30)*(IF(Inputs!$B$39="pvp",MIN(15,15)/15,IF(AND(Inputs!$B$39&lt;&gt;"pvp",Inputs!$B$44&gt;0),MIN(15,Inputs!$B$44)/(Inputs!$B$44),0))),0)))-100),0))*CHOOSE(ArtifactsInput!$N$42+1,0.6,0.72,0.84,0.96,1.08,1.2))),Inputs!$B$18+((C2502=TRUE)*(F2502-Calc!F29))+(IF(AND(ArtifactsInput!$M$42,((Inputs!$B$9+((C2498=TRUE)*(F2498-Calc!F25))+B2513+(ArtifactsInput!$M$24-ArtifactsInput!$M$24)*CHOOSE(ArtifactsInput!$N$24+1,10,12,14,16,18,20)+IF(ArtifactsInput!$M$10,CHOOSE(ArtifactsInput!$N$10+1,15,18,21,24,27,30)*(IF(Inputs!$B$39="pvp",MIN(15,15)/15,IF(AND(Inputs!$B$39&lt;&gt;"pvp",Inputs!$B$44&gt;0),MIN(15,Inputs!$B$44)/(Inputs!$B$44),0))),0)))&gt;=100),CHOOSE(ArtifactsInput!$N$42+1,40,48,56,64,72,80),0))))/100)*(((1+(((C2494=TRUE)*F2494*IF(AND(Inputs!$B$39&lt;&gt;"pvp",Inputs!$B$44&gt;0),(((R2494-1)*(Skills!Y21*(1+Inputs!$B$34/100))+MIN((Skills!Y21*(1+Inputs!$B$34/100)),MAX(0,Inputs!$B$44-((R2494-1)*Skills!D21))))/Inputs!$B$44),IF(Inputs!$B$39="pvp",MIN((Skills!Y21*(1+Inputs!$B$34/100)),15)/15,(Skills!Y21*(1+Inputs!$B$34/100))/Skills!D21)))+((C2501=TRUE)*(F2501-Calc!F28))+((C2491=TRUE)*(F2491-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2488=TRUE)*F2488*IF(AND(Inputs!$B$39&lt;&gt;"pvp",Inputs!$B$44&gt;0),(((R2488-1)*(Skills!Y15*(1+Inputs!$B$34/100))+MIN((Skills!Y15*(1+Inputs!$B$34/100)),MAX(0,Inputs!$B$44-((R2488-1)*Skills!D15))))/Inputs!$B$44),IF(Inputs!$B$39="pvp",MIN((Skills!Y15*(1+Inputs!$B$34/100)),15)/15,(Skills!Y15*(1+Inputs!$B$34/100))/Skills!D15)))/100)*(1+((C2479=TRUE)*F2479*B2507)/100))*B2515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2478)</f>
        <v/>
      </c>
      <c r="L2478">
        <f>K2478*(MIN(Inputs!$B$22+((C2497=TRUE)*(F2497-Calc!F24)),(Inputs!$B$23+0+(IF(ArtifactsInput!$M$15,CHOOSE(ArtifactsInput!$N$15+1,25,30,35,40,45,50)/100*(Inputs!$B$11-Inputs!$B$11),0))))/100+(Inputs!$B$23+0+(IF(ArtifactsInput!$M$15,CHOOSE(ArtifactsInput!$N$15+1,25,30,35,40,45,50)/100*(Inputs!$B$11-Inputs!$B$11),0)))/100)/2</f>
        <v/>
      </c>
      <c r="M2478">
        <f>L2478*(1+(Inputs!$B$10+((C2499=TRUE)*(F2499-Calc!F26))+B2516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78">
        <f>L2478*(1-MIN((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2478*(MIN((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78">
        <f>(1-Summary!$B$11)*T2478+Summary!$B$11*V2478</f>
        <v/>
      </c>
      <c r="P2478">
        <f>IF(B2517=0,0,O2478/B2517)</f>
        <v/>
      </c>
      <c r="Q2478">
        <f>IFERROR(1/IF(Inputs!$B$39="pvp",15,MAX(0.1,Skills!D5-IF(Skills!E5=TRUE,Inputs!$B$32,0))),0)</f>
        <v/>
      </c>
      <c r="R2478">
        <f>IF(AND(Inputs!$B$39&lt;&gt;"pvp",Inputs!$B$44&gt;0),IF(MAX(0,Inputs!$B$44-B2518)&lt;=0,0,(INT(MAX(0,Inputs!$B$44-B2518)/IF(Inputs!$B$39="pvp",15,MAX(0.1,Skills!D5-IF(Skills!E5=TRUE,Inputs!$B$32,0))))+1)),0)</f>
        <v/>
      </c>
      <c r="S2478">
        <f>IFERROR(O2478/N2478,0)</f>
        <v/>
      </c>
      <c r="T2478">
        <f>IF(C2478,(H2478*N2478*IF(AND(Inputs!$B$39&lt;&gt;"pvp",Inputs!$B$44&gt;0),((Skills!G5*((R2478-1)*IF(Skills!H5&gt;0,Skills!I5/Skills!H5,1)+IF(Skills!H5&gt;0,MIN(Skills!I5,MAX(0,MAX(0,Inputs!$B$44-B2518)-((R2478-1)*IF(Inputs!$B$39="pvp",15,MAX(0.1,Skills!D5-IF(Skills!E5=TRUE,Inputs!$B$32,0))))))/Skills!H5,1)))/Inputs!$B$44),G2478*Q2478))*IF(Inputs!$B$39="pvp",1,1+(Inputs!$B$20+((C2500=TRUE)*(F2500-Calc!F27))+Skills!P5+B2514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Hunt"),CHOOSE(ArtifactsInput!$N$35+1,15,18,21,24,27,30)*(1-EXP(-(0.2*B2509)*5)),0)+IF(AND(ArtifactsInput!$M$22,Inputs!$B$4&lt;&gt;"Chapter Hunt"),CHOOSE(ArtifactsInput!$N$22+1,10,12,14,16,18,20)*((0*(((0.15*B2509*5))^0/1)+1*(((0.15*B2509*5))^1/1)+2*(((0.15*B2509*5))^2/2)+3*(((0.15*B2509*5))^3/6)+4*(((0.15*B2509*5))^4/24)+5*(((0.15*B2509*5))^5/120))/((((0.15*B2509*5))^0/1)+(((0.15*B2509*5))^1/1)+(((0.15*B2509*5))^2/2)+(((0.15*B2509*5))^3/6)+(((0.15*B2509*5))^4/24)+(((0.15*B2509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2478*(1-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2478*(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2478*(1-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2478*(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78">
        <f>INDEX(FactorTable!$B$2:$Y$301, MATCH(ROUND(MIN(300,MAX(1,U2477)),0), FactorTable!$A$2:$A$301,0), 22)</f>
        <v/>
      </c>
      <c r="V2478">
        <f>IF(C2478,(H2478*N2478*IF(AND(Inputs!$B$39&lt;&gt;"pvp",Inputs!$B$44&gt;0),((Skills!G5*((R2478-1)*IF(Skills!H5&gt;0,Skills!I5/Skills!H5,1)+IF(Skills!H5&gt;0,MIN(Skills!I5,MAX(0,MAX(0,Inputs!$B$44-B2518)-((R2478-1)*IF(Inputs!$B$39="pvp",15,MAX(0.1,Skills!D5-IF(Skills!E5=TRUE,Inputs!$B$32,0))))))/Skills!H5,1)))/Inputs!$B$44),G2478*Q2478))*IF(Inputs!$B$39="pvp",1,(1+(Inputs!$B$21+Skills!Q5+B2514+(IF(ArtifactsInput!$M$33,CHOOSE(ArtifactsInput!$N$33+1,30,36,42,48,54,60),0))+(IF(AND(ArtifactsInput!$M$35,Inputs!$B$4&lt;&gt;"Chapter Hunt"),CHOOSE(ArtifactsInput!$N$35+1,15,18,21,24,27,30)*(1-EXP(-(0.2*B2509)*5)),0)+IF(AND(ArtifactsInput!$M$22,Inputs!$B$4&lt;&gt;"Chapter Hunt"),CHOOSE(ArtifactsInput!$N$22+1,10,12,14,16,18,20)*((0*(((0.15*B2509*5))^0/1)+1*(((0.15*B2509*5))^1/1)+2*(((0.15*B2509*5))^2/2)+3*(((0.15*B2509*5))^3/6)+4*(((0.15*B2509*5))^4/24)+5*(((0.15*B2509*5))^5/120))/((((0.15*B2509*5))^0/1)+(((0.15*B2509*5))^1/1)+(((0.15*B2509*5))^2/2)+(((0.15*B2509*5))^3/6)+(((0.15*B2509*5))^4/24)+(((0.15*B2509*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79">
      <c r="A2479">
        <f>Skills!A6</f>
        <v/>
      </c>
      <c r="B2479">
        <f>Skills!B6</f>
        <v/>
      </c>
      <c r="C2479">
        <f>Inputs!$B$3&gt;=66</f>
        <v/>
      </c>
      <c r="D2479">
        <f>IF(Skills!C6=1,60+Inputs!$B$25+Inputs!$B$29,IF(Skills!C6=2,90+Inputs!$B$26+Inputs!$B$29,IF(Skills!C6=3,120+Inputs!$B$27+Inputs!$B$29,MAX(0,(Inputs!$B$3-100)*3)+Inputs!$B$28+Inputs!$B$29)))</f>
        <v/>
      </c>
      <c r="E2479">
        <f>INDEX(FactorTable!$B$2:$Y$301, MATCH(ROUND(MIN(300,MAX(1,D2479)),0), FactorTable!$A$2:$A$301,0), Skills!M6+1)</f>
        <v/>
      </c>
      <c r="F2479">
        <f>IF(Skills!N6=TRUE,(Skills!L6/10)*(E2479/1000),Skills!L6/10)+Skills!O6</f>
        <v/>
      </c>
      <c r="G2479">
        <f>Calc!G6</f>
        <v/>
      </c>
      <c r="H2479">
        <f>Calc!H6</f>
        <v/>
      </c>
      <c r="I2479">
        <f>IF(Skills!AA6&lt;&gt;"",1+(Skills!AA6/10)*(U2476/1000)/100,1)</f>
        <v/>
      </c>
      <c r="J2479" t="inlineStr"/>
      <c r="K2479" t="inlineStr"/>
      <c r="L2479" t="inlineStr"/>
      <c r="M2479" t="inlineStr"/>
      <c r="N2479" t="inlineStr"/>
      <c r="O2479">
        <f>(1-Summary!$B$11)*T2479+Summary!$B$11*V2479</f>
        <v/>
      </c>
      <c r="P2479">
        <f>IF(B2517=0,0,O2479/B2517)</f>
        <v/>
      </c>
      <c r="Q2479" t="n">
        <v>0</v>
      </c>
      <c r="R2479" t="n">
        <v>0</v>
      </c>
      <c r="S2479">
        <f>IFERROR(O2479/N2479,0)</f>
        <v/>
      </c>
      <c r="T2479" t="n">
        <v>0</v>
      </c>
      <c r="U2479">
        <f>290*U2478/1000</f>
        <v/>
      </c>
      <c r="V2479" t="n">
        <v>0</v>
      </c>
    </row>
    <row r="2480">
      <c r="A2480">
        <f>Skills!A7</f>
        <v/>
      </c>
      <c r="B2480">
        <f>Skills!B7</f>
        <v/>
      </c>
      <c r="C2480">
        <f>Inputs!$B$3&gt;=66</f>
        <v/>
      </c>
      <c r="D2480">
        <f>IF(Skills!C7=1,60+Inputs!$B$25+Inputs!$B$29,IF(Skills!C7=2,90+Inputs!$B$26+Inputs!$B$29,IF(Skills!C7=3,120+Inputs!$B$27+Inputs!$B$29,MAX(0,(Inputs!$B$3-100)*3)+Inputs!$B$28+Inputs!$B$29)))</f>
        <v/>
      </c>
      <c r="E2480">
        <f>INDEX(FactorTable!$B$2:$Y$301, MATCH(ROUND(MIN(300,MAX(1,D2480)),0), FactorTable!$A$2:$A$301,0), Skills!M7+1)</f>
        <v/>
      </c>
      <c r="F2480">
        <f>IF(Skills!N7=TRUE,(Skills!L7/10)*(E2480/1000),Skills!L7/10)+Skills!O7</f>
        <v/>
      </c>
      <c r="G2480">
        <f>Calc!G7</f>
        <v/>
      </c>
      <c r="H2480">
        <f>Calc!H7</f>
        <v/>
      </c>
      <c r="I2480">
        <f>IF(Skills!AA7&lt;&gt;"",1+(Skills!AA7/10)*(U2476/1000)/100,1)</f>
        <v/>
      </c>
      <c r="J2480" t="inlineStr"/>
      <c r="K2480" t="inlineStr"/>
      <c r="L2480" t="inlineStr"/>
      <c r="M2480" t="inlineStr"/>
      <c r="N2480" t="inlineStr"/>
      <c r="O2480">
        <f>(1-Summary!$B$11)*T2480+Summary!$B$11*V2480</f>
        <v/>
      </c>
      <c r="P2480">
        <f>IF(B2517=0,0,O2480/B2517)</f>
        <v/>
      </c>
      <c r="Q2480" t="n">
        <v>0</v>
      </c>
      <c r="R2480" t="n">
        <v>0</v>
      </c>
      <c r="S2480">
        <f>IFERROR(O2480/N2480,0)</f>
        <v/>
      </c>
      <c r="T2480" t="n">
        <v>0</v>
      </c>
      <c r="V2480" t="n">
        <v>0</v>
      </c>
    </row>
    <row r="2481">
      <c r="A2481">
        <f>Skills!A8</f>
        <v/>
      </c>
      <c r="B2481">
        <f>Skills!B8</f>
        <v/>
      </c>
      <c r="C2481">
        <f>Inputs!$B$3&gt;=69</f>
        <v/>
      </c>
      <c r="D2481">
        <f>IF(Skills!C8=1,60+Inputs!$B$25+Inputs!$B$29,IF(Skills!C8=2,90+Inputs!$B$26+Inputs!$B$29,IF(Skills!C8=3,120+Inputs!$B$27+Inputs!$B$29,MAX(0,(Inputs!$B$3-100)*3)+Inputs!$B$28+Inputs!$B$29)))</f>
        <v/>
      </c>
      <c r="E2481">
        <f>INDEX(FactorTable!$B$2:$Y$301, MATCH(ROUND(MIN(300,MAX(1,D2481)),0), FactorTable!$A$2:$A$301,0), Skills!M8+1)</f>
        <v/>
      </c>
      <c r="F2481">
        <f>IF(Skills!N8=TRUE,(Skills!L8/10)*(E2481/1000),Skills!L8/10)+Skills!O8</f>
        <v/>
      </c>
      <c r="G2481">
        <f>Calc!G8</f>
        <v/>
      </c>
      <c r="H2481">
        <f>Calc!H8</f>
        <v/>
      </c>
      <c r="I2481">
        <f>IF(Skills!AA8&lt;&gt;"",1+(Skills!AA8/10)*(U2476/1000)/100,1)</f>
        <v/>
      </c>
      <c r="J2481">
        <f>((Inputs!$B$6*(1+Inputs!$B$7/100))+(((Inputs!$B$12*(1+Inputs!$B$13/100))-(Inputs!$B$12*(1+Inputs!$B$13/100)))+0.25*(Inputs!$B$14-Inputs!$B$14))*(1+Inputs!$B$7/100))*(F2481/100)</f>
        <v/>
      </c>
      <c r="K2481">
        <f>J2481*(1+((Inputs!$B$12*(1+Inputs!$B$13/100))*0.01+Inputs!$B$14*0.0025)/100)*(1+Inputs!$B$15/100)*(1+Inputs!$B$16/100)*(5000/(6000+Inputs!$B$43*(1-(100*(1-(1-(Inputs!$B$19+0)/100)*(1-CHOOSE(ArtifactsInput!$N$40+1,5,6,7,8,9,10)/100)^(ArtifactsInput!$M$40-ArtifactsInput!$M$40)))/100)))*(1+(Inputs!$B$24+((C2503=TRUE)*(F2503-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2496=TRUE)*(F2496-Calc!F23))+(((IF(AND(ArtifactsInput!$M$42,((Inputs!$B$9+((C2498=TRUE)*(F2498-Calc!F25))+B2513+(ArtifactsInput!$M$24-ArtifactsInput!$M$24)*CHOOSE(ArtifactsInput!$N$24+1,10,12,14,16,18,20)+IF(ArtifactsInput!$M$10,CHOOSE(ArtifactsInput!$N$10+1,15,18,21,24,27,30)*(IF(Inputs!$B$39="pvp",MIN(15,15)/15,IF(AND(Inputs!$B$39&lt;&gt;"pvp",Inputs!$B$44&gt;0),MIN(15,Inputs!$B$44)/(Inputs!$B$44),0))),0)))&gt;=100),MIN(100,((Inputs!$B$9+((C2498=TRUE)*(F2498-Calc!F25))+B2513+(ArtifactsInput!$M$24-ArtifactsInput!$M$24)*CHOOSE(ArtifactsInput!$N$24+1,10,12,14,16,18,20)+IF(ArtifactsInput!$M$10,CHOOSE(ArtifactsInput!$N$10+1,15,18,21,24,27,30)*(IF(Inputs!$B$39="pvp",MIN(15,15)/15,IF(AND(Inputs!$B$39&lt;&gt;"pvp",Inputs!$B$44&gt;0),MIN(15,Inputs!$B$44)/(Inputs!$B$44),0))),0)))-100),0))*CHOOSE(ArtifactsInput!$N$42+1,0.6,0.72,0.84,0.96,1.08,1.2))),Inputs!$B$18+((C2502=TRUE)*(F2502-Calc!F29))+(IF(AND(ArtifactsInput!$M$42,((Inputs!$B$9+((C2498=TRUE)*(F2498-Calc!F25))+B2513+(ArtifactsInput!$M$24-ArtifactsInput!$M$24)*CHOOSE(ArtifactsInput!$N$24+1,10,12,14,16,18,20)+IF(ArtifactsInput!$M$10,CHOOSE(ArtifactsInput!$N$10+1,15,18,21,24,27,30)*(IF(Inputs!$B$39="pvp",MIN(15,15)/15,IF(AND(Inputs!$B$39&lt;&gt;"pvp",Inputs!$B$44&gt;0),MIN(15,Inputs!$B$44)/(Inputs!$B$44),0))),0)))&gt;=100),CHOOSE(ArtifactsInput!$N$42+1,40,48,56,64,72,80),0))))/100)*(((1+(((C2494=TRUE)*F2494*IF(AND(Inputs!$B$39&lt;&gt;"pvp",Inputs!$B$44&gt;0),(((R2494-1)*(Skills!Y21*(1+Inputs!$B$34/100))+MIN((Skills!Y21*(1+Inputs!$B$34/100)),MAX(0,Inputs!$B$44-((R2494-1)*Skills!D21))))/Inputs!$B$44),IF(Inputs!$B$39="pvp",MIN((Skills!Y21*(1+Inputs!$B$34/100)),15)/15,(Skills!Y21*(1+Inputs!$B$34/100))/Skills!D21)))+((C2501=TRUE)*(F2501-Calc!F28))+((C2491=TRUE)*(F2491-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2488=TRUE)*F2488*IF(AND(Inputs!$B$39&lt;&gt;"pvp",Inputs!$B$44&gt;0),(((R2488-1)*(Skills!Y15*(1+Inputs!$B$34/100))+MIN((Skills!Y15*(1+Inputs!$B$34/100)),MAX(0,Inputs!$B$44-((R2488-1)*Skills!D15))))/Inputs!$B$44),IF(Inputs!$B$39="pvp",MIN((Skills!Y15*(1+Inputs!$B$34/100)),15)/15,(Skills!Y15*(1+Inputs!$B$34/100))/Skills!D15)))/100)*(1+((C2479=TRUE)*F2479*B2507)/100))*B2515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2481)</f>
        <v/>
      </c>
      <c r="L2481">
        <f>K2481*(MIN(Inputs!$B$22+((C2497=TRUE)*(F2497-Calc!F24)),(Inputs!$B$23+0+(IF(ArtifactsInput!$M$15,CHOOSE(ArtifactsInput!$N$15+1,25,30,35,40,45,50)/100*(Inputs!$B$11-Inputs!$B$11),0))))/100+(Inputs!$B$23+0+(IF(ArtifactsInput!$M$15,CHOOSE(ArtifactsInput!$N$15+1,25,30,35,40,45,50)/100*(Inputs!$B$11-Inputs!$B$11),0)))/100)/2</f>
        <v/>
      </c>
      <c r="M2481">
        <f>L2481*(1+(Inputs!$B$10+((C2499=TRUE)*(F2499-Calc!F26))+B2516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81">
        <f>L2481*(1-MIN((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2481*(MIN((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81">
        <f>(1-Summary!$B$11)*T2481+Summary!$B$11*V2481</f>
        <v/>
      </c>
      <c r="P2481">
        <f>IF(B2517=0,0,O2481/B2517)</f>
        <v/>
      </c>
      <c r="Q2481">
        <f>IFERROR(1/IF(Inputs!$B$39="pvp",15,MAX(0.1,Skills!D8-IF(Skills!E8=TRUE,Inputs!$B$32,0))),0)</f>
        <v/>
      </c>
      <c r="R2481">
        <f>IF(AND(Inputs!$B$39&lt;&gt;"pvp",Inputs!$B$44&gt;0),IF(MAX(0,Inputs!$B$44-B2518)&lt;=0,0,(INT(MAX(0,Inputs!$B$44-B2518)/IF(Inputs!$B$39="pvp",15,MAX(0.1,Skills!D8-IF(Skills!E8=TRUE,Inputs!$B$32,0))))+1)),0)</f>
        <v/>
      </c>
      <c r="S2481">
        <f>IFERROR(O2481/N2481,0)</f>
        <v/>
      </c>
      <c r="T2481">
        <f>IF(C2481,(H2481*N2481*IF(AND(Inputs!$B$39&lt;&gt;"pvp",Inputs!$B$44&gt;0),((Skills!G8*((R2481-1)*IF(Skills!H8&gt;0,Skills!I8/Skills!H8,1)+IF(Skills!H8&gt;0,MIN(Skills!I8,MAX(0,MAX(0,Inputs!$B$44-B2518)-((R2481-1)*IF(Inputs!$B$39="pvp",15,MAX(0.1,Skills!D8-IF(Skills!E8=TRUE,Inputs!$B$32,0))))))/Skills!H8,1)))/Inputs!$B$44),G2481*Q2481))*IF(Inputs!$B$39="pvp",1,1+(Inputs!$B$20+((C2500=TRUE)*(F2500-Calc!F27))+Skills!P8+B2514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Hunt"),CHOOSE(ArtifactsInput!$N$35+1,15,18,21,24,27,30)*(1-EXP(-(0.2*B2509)*5)),0)+IF(AND(ArtifactsInput!$M$22,Inputs!$B$4&lt;&gt;"Chapter Hunt"),CHOOSE(ArtifactsInput!$N$22+1,10,12,14,16,18,20)*((0*(((0.15*B2509*5))^0/1)+1*(((0.15*B2509*5))^1/1)+2*(((0.15*B2509*5))^2/2)+3*(((0.15*B2509*5))^3/6)+4*(((0.15*B2509*5))^4/24)+5*(((0.15*B2509*5))^5/120))/((((0.15*B2509*5))^0/1)+(((0.15*B2509*5))^1/1)+(((0.15*B2509*5))^2/2)+(((0.15*B2509*5))^3/6)+(((0.15*B2509*5))^4/24)+(((0.15*B2509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2481*(1-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2481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2481*(1-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2481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81">
        <f>IF(C2481,(H2481*N2481*IF(AND(Inputs!$B$39&lt;&gt;"pvp",Inputs!$B$44&gt;0),((Skills!G8*((R2481-1)*IF(Skills!H8&gt;0,Skills!I8/Skills!H8,1)+IF(Skills!H8&gt;0,MIN(Skills!I8,MAX(0,MAX(0,Inputs!$B$44-B2518)-((R2481-1)*IF(Inputs!$B$39="pvp",15,MAX(0.1,Skills!D8-IF(Skills!E8=TRUE,Inputs!$B$32,0))))))/Skills!H8,1)))/Inputs!$B$44),G2481*Q2481))*IF(Inputs!$B$39="pvp",1,(1+(Inputs!$B$21+Skills!Q8+B2514+(IF(ArtifactsInput!$M$33,CHOOSE(ArtifactsInput!$N$33+1,30,36,42,48,54,60),0))+(IF(AND(ArtifactsInput!$M$35,Inputs!$B$4&lt;&gt;"Chapter Hunt"),CHOOSE(ArtifactsInput!$N$35+1,15,18,21,24,27,30)*(1-EXP(-(0.2*B2509)*5)),0)+IF(AND(ArtifactsInput!$M$22,Inputs!$B$4&lt;&gt;"Chapter Hunt"),CHOOSE(ArtifactsInput!$N$22+1,10,12,14,16,18,20)*((0*(((0.15*B2509*5))^0/1)+1*(((0.15*B2509*5))^1/1)+2*(((0.15*B2509*5))^2/2)+3*(((0.15*B2509*5))^3/6)+4*(((0.15*B2509*5))^4/24)+5*(((0.15*B2509*5))^5/120))/((((0.15*B2509*5))^0/1)+(((0.15*B2509*5))^1/1)+(((0.15*B2509*5))^2/2)+(((0.15*B2509*5))^3/6)+(((0.15*B2509*5))^4/24)+(((0.15*B2509*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82">
      <c r="A2482">
        <f>Skills!A9</f>
        <v/>
      </c>
      <c r="B2482">
        <f>Skills!B9</f>
        <v/>
      </c>
      <c r="C2482">
        <f>Inputs!$B$3&gt;=72</f>
        <v/>
      </c>
      <c r="D2482">
        <f>IF(Skills!C9=1,60+Inputs!$B$25+Inputs!$B$29,IF(Skills!C9=2,90+Inputs!$B$26+Inputs!$B$29,IF(Skills!C9=3,120+Inputs!$B$27+Inputs!$B$29,MAX(0,(Inputs!$B$3-100)*3)+Inputs!$B$28+Inputs!$B$29)))</f>
        <v/>
      </c>
      <c r="E2482">
        <f>INDEX(FactorTable!$B$2:$Y$301, MATCH(ROUND(MIN(300,MAX(1,D2482)),0), FactorTable!$A$2:$A$301,0), Skills!M9+1)</f>
        <v/>
      </c>
      <c r="F2482">
        <f>IF(Skills!N9=TRUE,(Skills!L9/10)*(E2482/1000),Skills!L9/10)+Skills!O9</f>
        <v/>
      </c>
      <c r="G2482">
        <f>Calc!G9</f>
        <v/>
      </c>
      <c r="H2482">
        <f>Calc!H9</f>
        <v/>
      </c>
      <c r="I2482">
        <f>IF(Skills!AA9&lt;&gt;"",1+(Skills!AA9/10)*(U2476/1000)/100,1)</f>
        <v/>
      </c>
      <c r="J2482">
        <f>((Inputs!$B$6*(1+Inputs!$B$7/100))+(((Inputs!$B$12*(1+Inputs!$B$13/100))-(Inputs!$B$12*(1+Inputs!$B$13/100)))+0.25*(Inputs!$B$14-Inputs!$B$14))*(1+Inputs!$B$7/100))*(F2482/100)</f>
        <v/>
      </c>
      <c r="K2482">
        <f>J2482*(1+((Inputs!$B$12*(1+Inputs!$B$13/100))*0.01+Inputs!$B$14*0.0025)/100)*(1+Inputs!$B$15/100)*(1+Inputs!$B$16/100)*(5000/(6000+Inputs!$B$43*(1-(100*(1-(1-(Inputs!$B$19+0)/100)*(1-CHOOSE(ArtifactsInput!$N$40+1,5,6,7,8,9,10)/100)^(ArtifactsInput!$M$40-ArtifactsInput!$M$40)))/100)))*(1+(Inputs!$B$24+((C2503=TRUE)*(F2503-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2496=TRUE)*(F2496-Calc!F23))+(((IF(AND(ArtifactsInput!$M$42,((Inputs!$B$9+((C2498=TRUE)*(F2498-Calc!F25))+B2513+(ArtifactsInput!$M$24-ArtifactsInput!$M$24)*CHOOSE(ArtifactsInput!$N$24+1,10,12,14,16,18,20)+IF(ArtifactsInput!$M$10,CHOOSE(ArtifactsInput!$N$10+1,15,18,21,24,27,30)*(IF(Inputs!$B$39="pvp",MIN(15,15)/15,IF(AND(Inputs!$B$39&lt;&gt;"pvp",Inputs!$B$44&gt;0),MIN(15,Inputs!$B$44)/(Inputs!$B$44),0))),0)))&gt;=100),MIN(100,((Inputs!$B$9+((C2498=TRUE)*(F2498-Calc!F25))+B2513+(ArtifactsInput!$M$24-ArtifactsInput!$M$24)*CHOOSE(ArtifactsInput!$N$24+1,10,12,14,16,18,20)+IF(ArtifactsInput!$M$10,CHOOSE(ArtifactsInput!$N$10+1,15,18,21,24,27,30)*(IF(Inputs!$B$39="pvp",MIN(15,15)/15,IF(AND(Inputs!$B$39&lt;&gt;"pvp",Inputs!$B$44&gt;0),MIN(15,Inputs!$B$44)/(Inputs!$B$44),0))),0)))-100),0))*CHOOSE(ArtifactsInput!$N$42+1,0.6,0.72,0.84,0.96,1.08,1.2))),Inputs!$B$18+((C2502=TRUE)*(F2502-Calc!F29))+(IF(AND(ArtifactsInput!$M$42,((Inputs!$B$9+((C2498=TRUE)*(F2498-Calc!F25))+B2513+(ArtifactsInput!$M$24-ArtifactsInput!$M$24)*CHOOSE(ArtifactsInput!$N$24+1,10,12,14,16,18,20)+IF(ArtifactsInput!$M$10,CHOOSE(ArtifactsInput!$N$10+1,15,18,21,24,27,30)*(IF(Inputs!$B$39="pvp",MIN(15,15)/15,IF(AND(Inputs!$B$39&lt;&gt;"pvp",Inputs!$B$44&gt;0),MIN(15,Inputs!$B$44)/(Inputs!$B$44),0))),0)))&gt;=100),CHOOSE(ArtifactsInput!$N$42+1,40,48,56,64,72,80),0))))/100)*(((1+(((C2494=TRUE)*F2494*IF(AND(Inputs!$B$39&lt;&gt;"pvp",Inputs!$B$44&gt;0),(((R2494-1)*(Skills!Y21*(1+Inputs!$B$34/100))+MIN((Skills!Y21*(1+Inputs!$B$34/100)),MAX(0,Inputs!$B$44-((R2494-1)*Skills!D21))))/Inputs!$B$44),IF(Inputs!$B$39="pvp",MIN((Skills!Y21*(1+Inputs!$B$34/100)),15)/15,(Skills!Y21*(1+Inputs!$B$34/100))/Skills!D21)))+((C2501=TRUE)*(F2501-Calc!F28))+((C2491=TRUE)*(F2491-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2488=TRUE)*F2488*IF(AND(Inputs!$B$39&lt;&gt;"pvp",Inputs!$B$44&gt;0),(((R2488-1)*(Skills!Y15*(1+Inputs!$B$34/100))+MIN((Skills!Y15*(1+Inputs!$B$34/100)),MAX(0,Inputs!$B$44-((R2488-1)*Skills!D15))))/Inputs!$B$44),IF(Inputs!$B$39="pvp",MIN((Skills!Y15*(1+Inputs!$B$34/100)),15)/15,(Skills!Y15*(1+Inputs!$B$34/100))/Skills!D15)))/100)*(1+((C2479=TRUE)*F2479*B2507)/100))*B2515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2482)</f>
        <v/>
      </c>
      <c r="L2482">
        <f>K2482*(MIN(Inputs!$B$22+((C2497=TRUE)*(F2497-Calc!F24)),(Inputs!$B$23+0+(IF(ArtifactsInput!$M$15,CHOOSE(ArtifactsInput!$N$15+1,25,30,35,40,45,50)/100*(Inputs!$B$11-Inputs!$B$11),0))))/100+(Inputs!$B$23+0+(IF(ArtifactsInput!$M$15,CHOOSE(ArtifactsInput!$N$15+1,25,30,35,40,45,50)/100*(Inputs!$B$11-Inputs!$B$11),0)))/100)/2</f>
        <v/>
      </c>
      <c r="M2482">
        <f>L2482*(1+(Inputs!$B$10+((C2499=TRUE)*(F2499-Calc!F26))+B2516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82">
        <f>L2482*(1-MIN((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2482*(MIN((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82">
        <f>(1-Summary!$B$11)*T2482+Summary!$B$11*V2482</f>
        <v/>
      </c>
      <c r="P2482">
        <f>IF(B2517=0,0,O2482/B2517)</f>
        <v/>
      </c>
      <c r="Q2482">
        <f>IFERROR(1/IF(Inputs!$B$39="pvp",15,MAX(0.1,Skills!D9-IF(Skills!E9=TRUE,Inputs!$B$32,0))),0)</f>
        <v/>
      </c>
      <c r="R2482">
        <f>IF(AND(Inputs!$B$39&lt;&gt;"pvp",Inputs!$B$44&gt;0),IF(MAX(0,Inputs!$B$44-B2518)&lt;=0,0,(INT(MAX(0,Inputs!$B$44-B2518)/IF(Inputs!$B$39="pvp",15,MAX(0.1,Skills!D9-IF(Skills!E9=TRUE,Inputs!$B$32,0))))+1)),0)</f>
        <v/>
      </c>
      <c r="S2482">
        <f>IFERROR(O2482/N2482,0)</f>
        <v/>
      </c>
      <c r="T2482">
        <f>IF(C2482,(H2482*N2482*IF(AND(Inputs!$B$39&lt;&gt;"pvp",Inputs!$B$44&gt;0),((Skills!G9*((R2482-1)*IF(Skills!H9&gt;0,Skills!I9/Skills!H9,1)+IF(Skills!H9&gt;0,MIN(Skills!I9,MAX(0,MAX(0,Inputs!$B$44-B2518)-((R2482-1)*IF(Inputs!$B$39="pvp",15,MAX(0.1,Skills!D9-IF(Skills!E9=TRUE,Inputs!$B$32,0))))))/Skills!H9,1)))/Inputs!$B$44),G2482*Q2482))*IF(Inputs!$B$39="pvp",1,1+(Inputs!$B$20+((C2500=TRUE)*(F2500-Calc!F27))+Skills!P9+B2514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Hunt"),CHOOSE(ArtifactsInput!$N$35+1,15,18,21,24,27,30)*(1-EXP(-(0.2*B2509)*5)),0)+IF(AND(ArtifactsInput!$M$22,Inputs!$B$4&lt;&gt;"Chapter Hunt"),CHOOSE(ArtifactsInput!$N$22+1,10,12,14,16,18,20)*((0*(((0.15*B2509*5))^0/1)+1*(((0.15*B2509*5))^1/1)+2*(((0.15*B2509*5))^2/2)+3*(((0.15*B2509*5))^3/6)+4*(((0.15*B2509*5))^4/24)+5*(((0.15*B2509*5))^5/120))/((((0.15*B2509*5))^0/1)+(((0.15*B2509*5))^1/1)+(((0.15*B2509*5))^2/2)+(((0.15*B2509*5))^3/6)+(((0.15*B2509*5))^4/24)+(((0.15*B2509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2482*(1-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2482*(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2482*(1-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2482*(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82">
        <f>IF(C2482,(H2482*N2482*IF(AND(Inputs!$B$39&lt;&gt;"pvp",Inputs!$B$44&gt;0),((Skills!G9*((R2482-1)*IF(Skills!H9&gt;0,Skills!I9/Skills!H9,1)+IF(Skills!H9&gt;0,MIN(Skills!I9,MAX(0,MAX(0,Inputs!$B$44-B2518)-((R2482-1)*IF(Inputs!$B$39="pvp",15,MAX(0.1,Skills!D9-IF(Skills!E9=TRUE,Inputs!$B$32,0))))))/Skills!H9,1)))/Inputs!$B$44),G2482*Q2482))*IF(Inputs!$B$39="pvp",1,(1+(Inputs!$B$21+Skills!Q9+B2514+(IF(ArtifactsInput!$M$33,CHOOSE(ArtifactsInput!$N$33+1,30,36,42,48,54,60),0))+(IF(AND(ArtifactsInput!$M$35,Inputs!$B$4&lt;&gt;"Chapter Hunt"),CHOOSE(ArtifactsInput!$N$35+1,15,18,21,24,27,30)*(1-EXP(-(0.2*B2509)*5)),0)+IF(AND(ArtifactsInput!$M$22,Inputs!$B$4&lt;&gt;"Chapter Hunt"),CHOOSE(ArtifactsInput!$N$22+1,10,12,14,16,18,20)*((0*(((0.15*B2509*5))^0/1)+1*(((0.15*B2509*5))^1/1)+2*(((0.15*B2509*5))^2/2)+3*(((0.15*B2509*5))^3/6)+4*(((0.15*B2509*5))^4/24)+5*(((0.15*B2509*5))^5/120))/((((0.15*B2509*5))^0/1)+(((0.15*B2509*5))^1/1)+(((0.15*B2509*5))^2/2)+(((0.15*B2509*5))^3/6)+(((0.15*B2509*5))^4/24)+(((0.15*B2509*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83">
      <c r="A2483">
        <f>Skills!A10</f>
        <v/>
      </c>
      <c r="B2483">
        <f>Skills!B10</f>
        <v/>
      </c>
      <c r="C2483">
        <f>Inputs!$B$3&gt;=117</f>
        <v/>
      </c>
      <c r="D2483">
        <f>IF(Skills!C10=1,60+Inputs!$B$25+Inputs!$B$29,IF(Skills!C10=2,90+Inputs!$B$26+Inputs!$B$29,IF(Skills!C10=3,120+Inputs!$B$27+Inputs!$B$29,MAX(0,(Inputs!$B$3-100)*3)+Inputs!$B$28+Inputs!$B$29)))</f>
        <v/>
      </c>
      <c r="E2483">
        <f>INDEX(FactorTable!$B$2:$Y$301, MATCH(ROUND(MIN(300,MAX(1,D2483)),0), FactorTable!$A$2:$A$301,0), Skills!M10+1)</f>
        <v/>
      </c>
      <c r="F2483">
        <f>IF(Skills!N10=TRUE,(Skills!L10/10)*(E2483/1000),Skills!L10/10)+Skills!O10</f>
        <v/>
      </c>
      <c r="G2483">
        <f>Calc!G10</f>
        <v/>
      </c>
      <c r="H2483">
        <f>Calc!H10</f>
        <v/>
      </c>
      <c r="I2483">
        <f>IF(Skills!AA10&lt;&gt;"",1+(Skills!AA10/10)*(U2476/1000)/100,1)</f>
        <v/>
      </c>
      <c r="J2483">
        <f>((Inputs!$B$6*(1+Inputs!$B$7/100))+(((Inputs!$B$12*(1+Inputs!$B$13/100))-(Inputs!$B$12*(1+Inputs!$B$13/100)))+0.25*(Inputs!$B$14-Inputs!$B$14))*(1+Inputs!$B$7/100))*(F2483/100)</f>
        <v/>
      </c>
      <c r="K2483">
        <f>J2483*(1+((Inputs!$B$12*(1+Inputs!$B$13/100))*0.01+Inputs!$B$14*0.0025)/100)*(1+Inputs!$B$15/100)*(1+Inputs!$B$16/100)*(5000/(6000+Inputs!$B$43*(1-(100*(1-(1-(Inputs!$B$19+0)/100)*(1-CHOOSE(ArtifactsInput!$N$40+1,5,6,7,8,9,10)/100)^(ArtifactsInput!$M$40-ArtifactsInput!$M$40)))/100)))*(1+(Inputs!$B$24+((C2503=TRUE)*(F2503-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2496=TRUE)*(F2496-Calc!F23))+(((IF(AND(ArtifactsInput!$M$42,((Inputs!$B$9+((C2498=TRUE)*(F2498-Calc!F25))+B2513+(ArtifactsInput!$M$24-ArtifactsInput!$M$24)*CHOOSE(ArtifactsInput!$N$24+1,10,12,14,16,18,20)+IF(ArtifactsInput!$M$10,CHOOSE(ArtifactsInput!$N$10+1,15,18,21,24,27,30)*(IF(Inputs!$B$39="pvp",MIN(15,15)/15,IF(AND(Inputs!$B$39&lt;&gt;"pvp",Inputs!$B$44&gt;0),MIN(15,Inputs!$B$44)/(Inputs!$B$44),0))),0)))&gt;=100),MIN(100,((Inputs!$B$9+((C2498=TRUE)*(F2498-Calc!F25))+B2513+(ArtifactsInput!$M$24-ArtifactsInput!$M$24)*CHOOSE(ArtifactsInput!$N$24+1,10,12,14,16,18,20)+IF(ArtifactsInput!$M$10,CHOOSE(ArtifactsInput!$N$10+1,15,18,21,24,27,30)*(IF(Inputs!$B$39="pvp",MIN(15,15)/15,IF(AND(Inputs!$B$39&lt;&gt;"pvp",Inputs!$B$44&gt;0),MIN(15,Inputs!$B$44)/(Inputs!$B$44),0))),0)))-100),0))*CHOOSE(ArtifactsInput!$N$42+1,0.6,0.72,0.84,0.96,1.08,1.2))),Inputs!$B$18+((C2502=TRUE)*(F2502-Calc!F29))+(IF(AND(ArtifactsInput!$M$42,((Inputs!$B$9+((C2498=TRUE)*(F2498-Calc!F25))+B2513+(ArtifactsInput!$M$24-ArtifactsInput!$M$24)*CHOOSE(ArtifactsInput!$N$24+1,10,12,14,16,18,20)+IF(ArtifactsInput!$M$10,CHOOSE(ArtifactsInput!$N$10+1,15,18,21,24,27,30)*(IF(Inputs!$B$39="pvp",MIN(15,15)/15,IF(AND(Inputs!$B$39&lt;&gt;"pvp",Inputs!$B$44&gt;0),MIN(15,Inputs!$B$44)/(Inputs!$B$44),0))),0)))&gt;=100),CHOOSE(ArtifactsInput!$N$42+1,40,48,56,64,72,80),0))))/100)*(((1+(((C2494=TRUE)*F2494*IF(AND(Inputs!$B$39&lt;&gt;"pvp",Inputs!$B$44&gt;0),(((R2494-1)*(Skills!Y21*(1+Inputs!$B$34/100))+MIN((Skills!Y21*(1+Inputs!$B$34/100)),MAX(0,Inputs!$B$44-((R2494-1)*Skills!D21))))/Inputs!$B$44),IF(Inputs!$B$39="pvp",MIN((Skills!Y21*(1+Inputs!$B$34/100)),15)/15,(Skills!Y21*(1+Inputs!$B$34/100))/Skills!D21)))+((C2501=TRUE)*(F2501-Calc!F28))+((C2491=TRUE)*(F2491-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2488=TRUE)*F2488*IF(AND(Inputs!$B$39&lt;&gt;"pvp",Inputs!$B$44&gt;0),(((R2488-1)*(Skills!Y15*(1+Inputs!$B$34/100))+MIN((Skills!Y15*(1+Inputs!$B$34/100)),MAX(0,Inputs!$B$44-((R2488-1)*Skills!D15))))/Inputs!$B$44),IF(Inputs!$B$39="pvp",MIN((Skills!Y15*(1+Inputs!$B$34/100)),15)/15,(Skills!Y15*(1+Inputs!$B$34/100))/Skills!D15)))/100)*(1+((C2479=TRUE)*F2479*B2507)/100))*B2515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2483)</f>
        <v/>
      </c>
      <c r="L2483">
        <f>K2483*(MIN(Inputs!$B$22+((C2497=TRUE)*(F2497-Calc!F24)),(Inputs!$B$23+0+(IF(ArtifactsInput!$M$15,CHOOSE(ArtifactsInput!$N$15+1,25,30,35,40,45,50)/100*(Inputs!$B$11-Inputs!$B$11),0))))/100+(Inputs!$B$23+0+(IF(ArtifactsInput!$M$15,CHOOSE(ArtifactsInput!$N$15+1,25,30,35,40,45,50)/100*(Inputs!$B$11-Inputs!$B$11),0)))/100)/2</f>
        <v/>
      </c>
      <c r="M2483">
        <f>L2483*(1+(Inputs!$B$10+((C2499=TRUE)*(F2499-Calc!F26))+B2516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83">
        <f>L2483*(1-MIN((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2483*(MIN((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83">
        <f>(1-Summary!$B$11)*T2483+Summary!$B$11*V2483</f>
        <v/>
      </c>
      <c r="P2483">
        <f>IF(B2517=0,0,O2483/B2517)</f>
        <v/>
      </c>
      <c r="Q2483" t="n">
        <v>0</v>
      </c>
      <c r="R2483" t="n">
        <v>0</v>
      </c>
      <c r="S2483" t="n">
        <v>0</v>
      </c>
      <c r="T2483">
        <f>IF(C2483,(0.2*SUMPRODUCT((Skills!Z2:Z31=TRUE)*(C2475:C2504=TRUE)*S2475:S2504)*N2483)*IF(Inputs!$B$39="pvp",1,1+(Inputs!$B$20+((C2500=TRUE)*(F2500-Calc!F27))+Skills!P10+B2514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Hunt"),CHOOSE(ArtifactsInput!$N$35+1,15,18,21,24,27,30)*(1-EXP(-(0.2*B2509)*5)),0)+IF(AND(ArtifactsInput!$M$22,Inputs!$B$4&lt;&gt;"Chapter Hunt"),CHOOSE(ArtifactsInput!$N$22+1,10,12,14,16,18,20)*((0*(((0.15*B2509*5))^0/1)+1*(((0.15*B2509*5))^1/1)+2*(((0.15*B2509*5))^2/2)+3*(((0.15*B2509*5))^3/6)+4*(((0.15*B2509*5))^4/24)+5*(((0.15*B2509*5))^5/120))/((((0.15*B2509*5))^0/1)+(((0.15*B2509*5))^1/1)+(((0.15*B2509*5))^2/2)+(((0.15*B2509*5))^3/6)+(((0.15*B2509*5))^4/24)+(((0.15*B2509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2483*(1-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2483*(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2483*(1-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2483*(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83">
        <f>IF(C2483,(0.2*SUMPRODUCT((Skills!Z2:Z31=TRUE)*(C2475:C2504=TRUE)*S2475:S2504)*N2483)*IF(Inputs!$B$39="pvp",1,(1+(Inputs!$B$21+Skills!Q10+B2514+(IF(ArtifactsInput!$M$33,CHOOSE(ArtifactsInput!$N$33+1,30,36,42,48,54,60),0))+(IF(AND(ArtifactsInput!$M$35,Inputs!$B$4&lt;&gt;"Chapter Hunt"),CHOOSE(ArtifactsInput!$N$35+1,15,18,21,24,27,30)*(1-EXP(-(0.2*B2509)*5)),0)+IF(AND(ArtifactsInput!$M$22,Inputs!$B$4&lt;&gt;"Chapter Hunt"),CHOOSE(ArtifactsInput!$N$22+1,10,12,14,16,18,20)*((0*(((0.15*B2509*5))^0/1)+1*(((0.15*B2509*5))^1/1)+2*(((0.15*B2509*5))^2/2)+3*(((0.15*B2509*5))^3/6)+4*(((0.15*B2509*5))^4/24)+5*(((0.15*B2509*5))^5/120))/((((0.15*B2509*5))^0/1)+(((0.15*B2509*5))^1/1)+(((0.15*B2509*5))^2/2)+(((0.15*B2509*5))^3/6)+(((0.15*B2509*5))^4/24)+(((0.15*B2509*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84">
      <c r="A2484">
        <f>Skills!A11</f>
        <v/>
      </c>
      <c r="B2484">
        <f>Skills!B11</f>
        <v/>
      </c>
      <c r="C2484">
        <f>Inputs!$B$3&gt;=60</f>
        <v/>
      </c>
      <c r="D2484">
        <f>IF(Skills!C11=1,60+Inputs!$B$25+Inputs!$B$29,IF(Skills!C11=2,90+Inputs!$B$26+Inputs!$B$29,IF(Skills!C11=3,120+Inputs!$B$27+Inputs!$B$29,MAX(0,(Inputs!$B$3-100)*3)+Inputs!$B$28+Inputs!$B$29)))</f>
        <v/>
      </c>
      <c r="E2484">
        <f>INDEX(FactorTable!$B$2:$Y$301, MATCH(ROUND(MIN(300,MAX(1,D2484)),0), FactorTable!$A$2:$A$301,0), Skills!M11+1)</f>
        <v/>
      </c>
      <c r="F2484">
        <f>IF(Skills!N11=TRUE,(Skills!L11/10)*(E2484/1000),Skills!L11/10)+Skills!O11</f>
        <v/>
      </c>
      <c r="G2484">
        <f>Calc!G11</f>
        <v/>
      </c>
      <c r="H2484">
        <f>Calc!H11</f>
        <v/>
      </c>
      <c r="I2484">
        <f>IF(Skills!AA11&lt;&gt;"",1+(Skills!AA11/10)*(U2476/1000)/100,1)</f>
        <v/>
      </c>
      <c r="J2484" t="inlineStr"/>
      <c r="K2484" t="inlineStr"/>
      <c r="L2484" t="inlineStr"/>
      <c r="M2484" t="inlineStr"/>
      <c r="N2484" t="inlineStr"/>
      <c r="O2484">
        <f>(1-Summary!$B$11)*T2484+Summary!$B$11*V2484</f>
        <v/>
      </c>
      <c r="P2484">
        <f>IF(B2517=0,0,O2484/B2517)</f>
        <v/>
      </c>
      <c r="Q2484" t="n">
        <v>0</v>
      </c>
      <c r="R2484" t="n">
        <v>0</v>
      </c>
      <c r="S2484">
        <f>IFERROR(O2484/N2484,0)</f>
        <v/>
      </c>
      <c r="T2484" t="n">
        <v>0</v>
      </c>
      <c r="V2484" t="n">
        <v>0</v>
      </c>
    </row>
    <row r="2485">
      <c r="A2485">
        <f>Skills!A12</f>
        <v/>
      </c>
      <c r="B2485">
        <f>Skills!B12</f>
        <v/>
      </c>
      <c r="C2485">
        <f>Inputs!$B$3&gt;=103</f>
        <v/>
      </c>
      <c r="D2485">
        <f>IF(Skills!C12=1,60+Inputs!$B$25+Inputs!$B$29,IF(Skills!C12=2,90+Inputs!$B$26+Inputs!$B$29,IF(Skills!C12=3,120+Inputs!$B$27+Inputs!$B$29,MAX(0,(Inputs!$B$3-100)*3)+Inputs!$B$28+Inputs!$B$29)))</f>
        <v/>
      </c>
      <c r="E2485">
        <f>INDEX(FactorTable!$B$2:$Y$301, MATCH(ROUND(MIN(300,MAX(1,D2485)),0), FactorTable!$A$2:$A$301,0), Skills!M12+1)</f>
        <v/>
      </c>
      <c r="F2485">
        <f>IF(Skills!N12=TRUE,(Skills!L12/10)*(E2485/1000),Skills!L12/10)+Skills!O12</f>
        <v/>
      </c>
      <c r="G2485">
        <f>Calc!G12</f>
        <v/>
      </c>
      <c r="H2485">
        <f>Calc!H12</f>
        <v/>
      </c>
      <c r="I2485">
        <f>IF(Skills!AA12&lt;&gt;"",1+(Skills!AA12/10)*(U2476/1000)/100,1)</f>
        <v/>
      </c>
      <c r="J2485">
        <f>((Inputs!$B$6*(1+Inputs!$B$7/100))+(((Inputs!$B$12*(1+Inputs!$B$13/100))-(Inputs!$B$12*(1+Inputs!$B$13/100)))+0.25*(Inputs!$B$14-Inputs!$B$14))*(1+Inputs!$B$7/100))*(F2485/100)</f>
        <v/>
      </c>
      <c r="K2485">
        <f>J2485*(1+((Inputs!$B$12*(1+Inputs!$B$13/100))*0.01+Inputs!$B$14*0.0025)/100)*(1+Inputs!$B$15/100)*(1+Inputs!$B$16/100)*(5000/(6000+Inputs!$B$43*(1-(100*(1-(1-(Inputs!$B$19+0)/100)*(1-CHOOSE(ArtifactsInput!$N$40+1,5,6,7,8,9,10)/100)^(ArtifactsInput!$M$40-ArtifactsInput!$M$40)))/100)))*(1+(Inputs!$B$24+((C2503=TRUE)*(F2503-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2496=TRUE)*(F2496-Calc!F23))+(((IF(AND(ArtifactsInput!$M$42,((Inputs!$B$9+((C2498=TRUE)*(F2498-Calc!F25))+B2513+(ArtifactsInput!$M$24-ArtifactsInput!$M$24)*CHOOSE(ArtifactsInput!$N$24+1,10,12,14,16,18,20)+IF(ArtifactsInput!$M$10,CHOOSE(ArtifactsInput!$N$10+1,15,18,21,24,27,30)*(IF(Inputs!$B$39="pvp",MIN(15,15)/15,IF(AND(Inputs!$B$39&lt;&gt;"pvp",Inputs!$B$44&gt;0),MIN(15,Inputs!$B$44)/(Inputs!$B$44),0))),0)))&gt;=100),MIN(100,((Inputs!$B$9+((C2498=TRUE)*(F2498-Calc!F25))+B2513+(ArtifactsInput!$M$24-ArtifactsInput!$M$24)*CHOOSE(ArtifactsInput!$N$24+1,10,12,14,16,18,20)+IF(ArtifactsInput!$M$10,CHOOSE(ArtifactsInput!$N$10+1,15,18,21,24,27,30)*(IF(Inputs!$B$39="pvp",MIN(15,15)/15,IF(AND(Inputs!$B$39&lt;&gt;"pvp",Inputs!$B$44&gt;0),MIN(15,Inputs!$B$44)/(Inputs!$B$44),0))),0)))-100),0))*CHOOSE(ArtifactsInput!$N$42+1,0.6,0.72,0.84,0.96,1.08,1.2))),Inputs!$B$18+((C2502=TRUE)*(F2502-Calc!F29))+(IF(AND(ArtifactsInput!$M$42,((Inputs!$B$9+((C2498=TRUE)*(F2498-Calc!F25))+B2513+(ArtifactsInput!$M$24-ArtifactsInput!$M$24)*CHOOSE(ArtifactsInput!$N$24+1,10,12,14,16,18,20)+IF(ArtifactsInput!$M$10,CHOOSE(ArtifactsInput!$N$10+1,15,18,21,24,27,30)*(IF(Inputs!$B$39="pvp",MIN(15,15)/15,IF(AND(Inputs!$B$39&lt;&gt;"pvp",Inputs!$B$44&gt;0),MIN(15,Inputs!$B$44)/(Inputs!$B$44),0))),0)))&gt;=100),CHOOSE(ArtifactsInput!$N$42+1,40,48,56,64,72,80),0))))/100)*(((1+(((C2494=TRUE)*F2494*IF(AND(Inputs!$B$39&lt;&gt;"pvp",Inputs!$B$44&gt;0),(((R2494-1)*(Skills!Y21*(1+Inputs!$B$34/100))+MIN((Skills!Y21*(1+Inputs!$B$34/100)),MAX(0,Inputs!$B$44-((R2494-1)*Skills!D21))))/Inputs!$B$44),IF(Inputs!$B$39="pvp",MIN((Skills!Y21*(1+Inputs!$B$34/100)),15)/15,(Skills!Y21*(1+Inputs!$B$34/100))/Skills!D21)))+((C2501=TRUE)*(F2501-Calc!F28))+((C2491=TRUE)*(F2491-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2488=TRUE)*F2488*IF(AND(Inputs!$B$39&lt;&gt;"pvp",Inputs!$B$44&gt;0),(((R2488-1)*(Skills!Y15*(1+Inputs!$B$34/100))+MIN((Skills!Y15*(1+Inputs!$B$34/100)),MAX(0,Inputs!$B$44-((R2488-1)*Skills!D15))))/Inputs!$B$44),IF(Inputs!$B$39="pvp",MIN((Skills!Y15*(1+Inputs!$B$34/100)),15)/15,(Skills!Y15*(1+Inputs!$B$34/100))/Skills!D15)))/100)*(1+((C2479=TRUE)*F2479*B2507)/100))*B2515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2485)</f>
        <v/>
      </c>
      <c r="L2485">
        <f>K2485*(MIN(Inputs!$B$22+((C2497=TRUE)*(F2497-Calc!F24)),(Inputs!$B$23+0+(IF(ArtifactsInput!$M$15,CHOOSE(ArtifactsInput!$N$15+1,25,30,35,40,45,50)/100*(Inputs!$B$11-Inputs!$B$11),0))))/100+(Inputs!$B$23+0+(IF(ArtifactsInput!$M$15,CHOOSE(ArtifactsInput!$N$15+1,25,30,35,40,45,50)/100*(Inputs!$B$11-Inputs!$B$11),0)))/100)/2</f>
        <v/>
      </c>
      <c r="M2485">
        <f>L2485*(1+(Inputs!$B$10+((C2499=TRUE)*(F2499-Calc!F26))+B2516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85">
        <f>L2485*(1-MIN((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2485*(MIN((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85">
        <f>(1-Summary!$B$11)*T2485+Summary!$B$11*V2485</f>
        <v/>
      </c>
      <c r="P2485">
        <f>IF(B2517=0,0,O2485/B2517)</f>
        <v/>
      </c>
      <c r="Q2485">
        <f>IFERROR(1/IF(Inputs!$B$39="pvp",15,MAX(0.1,Skills!D12-IF(Skills!E12=TRUE,Inputs!$B$32,0))),0)</f>
        <v/>
      </c>
      <c r="R2485">
        <f>IF(AND(Inputs!$B$39&lt;&gt;"pvp",Inputs!$B$44&gt;0),IF(MAX(0,Inputs!$B$44-B2518)&lt;=0,0,(INT(MAX(0,Inputs!$B$44-B2518)/IF(Inputs!$B$39="pvp",15,MAX(0.1,Skills!D12-IF(Skills!E12=TRUE,Inputs!$B$32,0))))+1)),0)</f>
        <v/>
      </c>
      <c r="S2485">
        <f>IFERROR(O2485/N2485,0)</f>
        <v/>
      </c>
      <c r="T2485">
        <f>IF(C2485,(H2485*N2485*IF(AND(Inputs!$B$39&lt;&gt;"pvp",Inputs!$B$44&gt;0),((Skills!G12*((R2485-1)*IF(Skills!H12&gt;0,Skills!I12/Skills!H12,1)+IF(Skills!H12&gt;0,MIN(Skills!I12,MAX(0,MAX(0,Inputs!$B$44-B2518)-((R2485-1)*IF(Inputs!$B$39="pvp",15,MAX(0.1,Skills!D12-IF(Skills!E12=TRUE,Inputs!$B$32,0))))))/Skills!H12,1)))/Inputs!$B$44),G2485*Q2485))*IF(Inputs!$B$39="pvp",1,1+(Inputs!$B$20+((C2500=TRUE)*(F2500-Calc!F27))+Skills!P12+B2514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Hunt"),CHOOSE(ArtifactsInput!$N$35+1,15,18,21,24,27,30)*(1-EXP(-(0.2*B2509)*5)),0)+IF(AND(ArtifactsInput!$M$22,Inputs!$B$4&lt;&gt;"Chapter Hunt"),CHOOSE(ArtifactsInput!$N$22+1,10,12,14,16,18,20)*((0*(((0.15*B2509*5))^0/1)+1*(((0.15*B2509*5))^1/1)+2*(((0.15*B2509*5))^2/2)+3*(((0.15*B2509*5))^3/6)+4*(((0.15*B2509*5))^4/24)+5*(((0.15*B2509*5))^5/120))/((((0.15*B2509*5))^0/1)+(((0.15*B2509*5))^1/1)+(((0.15*B2509*5))^2/2)+(((0.15*B2509*5))^3/6)+(((0.15*B2509*5))^4/24)+(((0.15*B2509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2485*(1-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2485*(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2485*(1-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2485*(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85">
        <f>IF(C2485,(H2485*N2485*IF(AND(Inputs!$B$39&lt;&gt;"pvp",Inputs!$B$44&gt;0),((Skills!G12*((R2485-1)*IF(Skills!H12&gt;0,Skills!I12/Skills!H12,1)+IF(Skills!H12&gt;0,MIN(Skills!I12,MAX(0,MAX(0,Inputs!$B$44-B2518)-((R2485-1)*IF(Inputs!$B$39="pvp",15,MAX(0.1,Skills!D12-IF(Skills!E12=TRUE,Inputs!$B$32,0))))))/Skills!H12,1)))/Inputs!$B$44),G2485*Q2485))*IF(Inputs!$B$39="pvp",1,(1+(Inputs!$B$21+Skills!Q12+B2514+(IF(ArtifactsInput!$M$33,CHOOSE(ArtifactsInput!$N$33+1,30,36,42,48,54,60),0))+(IF(AND(ArtifactsInput!$M$35,Inputs!$B$4&lt;&gt;"Chapter Hunt"),CHOOSE(ArtifactsInput!$N$35+1,15,18,21,24,27,30)*(1-EXP(-(0.2*B2509)*5)),0)+IF(AND(ArtifactsInput!$M$22,Inputs!$B$4&lt;&gt;"Chapter Hunt"),CHOOSE(ArtifactsInput!$N$22+1,10,12,14,16,18,20)*((0*(((0.15*B2509*5))^0/1)+1*(((0.15*B2509*5))^1/1)+2*(((0.15*B2509*5))^2/2)+3*(((0.15*B2509*5))^3/6)+4*(((0.15*B2509*5))^4/24)+5*(((0.15*B2509*5))^5/120))/((((0.15*B2509*5))^0/1)+(((0.15*B2509*5))^1/1)+(((0.15*B2509*5))^2/2)+(((0.15*B2509*5))^3/6)+(((0.15*B2509*5))^4/24)+(((0.15*B2509*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86">
      <c r="A2486">
        <f>Skills!A13</f>
        <v/>
      </c>
      <c r="B2486">
        <f>Skills!B13</f>
        <v/>
      </c>
      <c r="C2486">
        <f>Inputs!$B$3&gt;=105</f>
        <v/>
      </c>
      <c r="D2486">
        <f>IF(Skills!C13=1,60+Inputs!$B$25+Inputs!$B$29,IF(Skills!C13=2,90+Inputs!$B$26+Inputs!$B$29,IF(Skills!C13=3,120+Inputs!$B$27+Inputs!$B$29,MAX(0,(Inputs!$B$3-100)*3)+Inputs!$B$28+Inputs!$B$29)))</f>
        <v/>
      </c>
      <c r="E2486">
        <f>INDEX(FactorTable!$B$2:$Y$301, MATCH(ROUND(MIN(300,MAX(1,D2486)),0), FactorTable!$A$2:$A$301,0), Skills!M13+1)</f>
        <v/>
      </c>
      <c r="F2486">
        <f>IF(Skills!N13=TRUE,(Skills!L13/10)*(E2486/1000),Skills!L13/10)+Skills!O13</f>
        <v/>
      </c>
      <c r="G2486">
        <f>Calc!G13</f>
        <v/>
      </c>
      <c r="H2486">
        <f>Calc!H13</f>
        <v/>
      </c>
      <c r="I2486">
        <f>IF(Skills!AA13&lt;&gt;"",1+(Skills!AA13/10)*(U2476/1000)/100,1)</f>
        <v/>
      </c>
      <c r="J2486">
        <f>((Inputs!$B$6*(1+Inputs!$B$7/100))+(((Inputs!$B$12*(1+Inputs!$B$13/100))-(Inputs!$B$12*(1+Inputs!$B$13/100)))+0.25*(Inputs!$B$14-Inputs!$B$14))*(1+Inputs!$B$7/100))*(F2486/100)</f>
        <v/>
      </c>
      <c r="K2486">
        <f>J2486*(1+((Inputs!$B$12*(1+Inputs!$B$13/100))*0.01+Inputs!$B$14*0.0025)/100)*(1+Inputs!$B$15/100)*(1+Inputs!$B$16/100)*(5000/(6000+Inputs!$B$43*(1-(100*(1-(1-(Inputs!$B$19+0)/100)*(1-CHOOSE(ArtifactsInput!$N$40+1,5,6,7,8,9,10)/100)^(ArtifactsInput!$M$40-ArtifactsInput!$M$40)))/100)))*(1+(Inputs!$B$24+((C2503=TRUE)*(F2503-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2496=TRUE)*(F2496-Calc!F23))+(((IF(AND(ArtifactsInput!$M$42,((Inputs!$B$9+((C2498=TRUE)*(F2498-Calc!F25))+B2513+(ArtifactsInput!$M$24-ArtifactsInput!$M$24)*CHOOSE(ArtifactsInput!$N$24+1,10,12,14,16,18,20)+IF(ArtifactsInput!$M$10,CHOOSE(ArtifactsInput!$N$10+1,15,18,21,24,27,30)*(IF(Inputs!$B$39="pvp",MIN(15,15)/15,IF(AND(Inputs!$B$39&lt;&gt;"pvp",Inputs!$B$44&gt;0),MIN(15,Inputs!$B$44)/(Inputs!$B$44),0))),0)))&gt;=100),MIN(100,((Inputs!$B$9+((C2498=TRUE)*(F2498-Calc!F25))+B2513+(ArtifactsInput!$M$24-ArtifactsInput!$M$24)*CHOOSE(ArtifactsInput!$N$24+1,10,12,14,16,18,20)+IF(ArtifactsInput!$M$10,CHOOSE(ArtifactsInput!$N$10+1,15,18,21,24,27,30)*(IF(Inputs!$B$39="pvp",MIN(15,15)/15,IF(AND(Inputs!$B$39&lt;&gt;"pvp",Inputs!$B$44&gt;0),MIN(15,Inputs!$B$44)/(Inputs!$B$44),0))),0)))-100),0))*CHOOSE(ArtifactsInput!$N$42+1,0.6,0.72,0.84,0.96,1.08,1.2))),Inputs!$B$18+((C2502=TRUE)*(F2502-Calc!F29))+(IF(AND(ArtifactsInput!$M$42,((Inputs!$B$9+((C2498=TRUE)*(F2498-Calc!F25))+B2513+(ArtifactsInput!$M$24-ArtifactsInput!$M$24)*CHOOSE(ArtifactsInput!$N$24+1,10,12,14,16,18,20)+IF(ArtifactsInput!$M$10,CHOOSE(ArtifactsInput!$N$10+1,15,18,21,24,27,30)*(IF(Inputs!$B$39="pvp",MIN(15,15)/15,IF(AND(Inputs!$B$39&lt;&gt;"pvp",Inputs!$B$44&gt;0),MIN(15,Inputs!$B$44)/(Inputs!$B$44),0))),0)))&gt;=100),CHOOSE(ArtifactsInput!$N$42+1,40,48,56,64,72,80),0))))/100)*(((1+(((C2494=TRUE)*F2494*IF(AND(Inputs!$B$39&lt;&gt;"pvp",Inputs!$B$44&gt;0),(((R2494-1)*(Skills!Y21*(1+Inputs!$B$34/100))+MIN((Skills!Y21*(1+Inputs!$B$34/100)),MAX(0,Inputs!$B$44-((R2494-1)*Skills!D21))))/Inputs!$B$44),IF(Inputs!$B$39="pvp",MIN((Skills!Y21*(1+Inputs!$B$34/100)),15)/15,(Skills!Y21*(1+Inputs!$B$34/100))/Skills!D21)))+((C2501=TRUE)*(F2501-Calc!F28))+((C2491=TRUE)*(F2491-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2488=TRUE)*F2488*IF(AND(Inputs!$B$39&lt;&gt;"pvp",Inputs!$B$44&gt;0),(((R2488-1)*(Skills!Y15*(1+Inputs!$B$34/100))+MIN((Skills!Y15*(1+Inputs!$B$34/100)),MAX(0,Inputs!$B$44-((R2488-1)*Skills!D15))))/Inputs!$B$44),IF(Inputs!$B$39="pvp",MIN((Skills!Y15*(1+Inputs!$B$34/100)),15)/15,(Skills!Y15*(1+Inputs!$B$34/100))/Skills!D15)))/100)*(1+((C2479=TRUE)*F2479*B2507)/100))*B2515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2486)</f>
        <v/>
      </c>
      <c r="L2486">
        <f>K2486*(MIN(Inputs!$B$22+((C2497=TRUE)*(F2497-Calc!F24)),(Inputs!$B$23+0+(IF(ArtifactsInput!$M$15,CHOOSE(ArtifactsInput!$N$15+1,25,30,35,40,45,50)/100*(Inputs!$B$11-Inputs!$B$11),0))))/100+(Inputs!$B$23+0+(IF(ArtifactsInput!$M$15,CHOOSE(ArtifactsInput!$N$15+1,25,30,35,40,45,50)/100*(Inputs!$B$11-Inputs!$B$11),0)))/100)/2</f>
        <v/>
      </c>
      <c r="M2486">
        <f>L2486*(1+(Inputs!$B$10+((C2499=TRUE)*(F2499-Calc!F26))+B2516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86">
        <f>L2486*(1-MIN((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2486*(MIN((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86">
        <f>(1-Summary!$B$11)*T2486+Summary!$B$11*V2486</f>
        <v/>
      </c>
      <c r="P2486">
        <f>IF(B2517=0,0,O2486/B2517)</f>
        <v/>
      </c>
      <c r="Q2486">
        <f>IFERROR(1/IF(Inputs!$B$39="pvp",15,MAX(0.1,Skills!D13-IF(Skills!E13=TRUE,Inputs!$B$32,0))),0)</f>
        <v/>
      </c>
      <c r="R2486">
        <f>IF(AND(Inputs!$B$39&lt;&gt;"pvp",Inputs!$B$44&gt;0),IF(MAX(0,Inputs!$B$44-B2518)&lt;=0,0,(INT(MAX(0,Inputs!$B$44-B2518)/IF(Inputs!$B$39="pvp",15,MAX(0.1,Skills!D13-IF(Skills!E13=TRUE,Inputs!$B$32,0))))+1)),0)</f>
        <v/>
      </c>
      <c r="S2486">
        <f>IFERROR(O2486/N2486,0)</f>
        <v/>
      </c>
      <c r="T2486">
        <f>IF(C2486,(H2486*N2486*IF(AND(Inputs!$B$39&lt;&gt;"pvp",Inputs!$B$44&gt;0),((Skills!G13*((R2486-1)*IF(Skills!H13&gt;0,Skills!I13/Skills!H13,1)+IF(Skills!H13&gt;0,MIN(Skills!I13,MAX(0,MAX(0,Inputs!$B$44-B2518)-((R2486-1)*IF(Inputs!$B$39="pvp",15,MAX(0.1,Skills!D13-IF(Skills!E13=TRUE,Inputs!$B$32,0))))))/Skills!H13,1)))/Inputs!$B$44),G2486*Q2486))*IF(Inputs!$B$39="pvp",1,1+(Inputs!$B$20+((C2500=TRUE)*(F2500-Calc!F27))+Skills!P13+B2514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Hunt"),CHOOSE(ArtifactsInput!$N$35+1,15,18,21,24,27,30)*(1-EXP(-(0.2*B2509)*5)),0)+IF(AND(ArtifactsInput!$M$22,Inputs!$B$4&lt;&gt;"Chapter Hunt"),CHOOSE(ArtifactsInput!$N$22+1,10,12,14,16,18,20)*((0*(((0.15*B2509*5))^0/1)+1*(((0.15*B2509*5))^1/1)+2*(((0.15*B2509*5))^2/2)+3*(((0.15*B2509*5))^3/6)+4*(((0.15*B2509*5))^4/24)+5*(((0.15*B2509*5))^5/120))/((((0.15*B2509*5))^0/1)+(((0.15*B2509*5))^1/1)+(((0.15*B2509*5))^2/2)+(((0.15*B2509*5))^3/6)+(((0.15*B2509*5))^4/24)+(((0.15*B2509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2486*(1-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2486*(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2486*(1-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2486*(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86">
        <f>IF(C2486,(H2486*N2486*IF(AND(Inputs!$B$39&lt;&gt;"pvp",Inputs!$B$44&gt;0),((Skills!G13*((R2486-1)*IF(Skills!H13&gt;0,Skills!I13/Skills!H13,1)+IF(Skills!H13&gt;0,MIN(Skills!I13,MAX(0,MAX(0,Inputs!$B$44-B2518)-((R2486-1)*IF(Inputs!$B$39="pvp",15,MAX(0.1,Skills!D13-IF(Skills!E13=TRUE,Inputs!$B$32,0))))))/Skills!H13,1)))/Inputs!$B$44),G2486*Q2486))*IF(Inputs!$B$39="pvp",1,(1+(Inputs!$B$21+Skills!Q13+B2514+(IF(ArtifactsInput!$M$33,CHOOSE(ArtifactsInput!$N$33+1,30,36,42,48,54,60),0))+(IF(AND(ArtifactsInput!$M$35,Inputs!$B$4&lt;&gt;"Chapter Hunt"),CHOOSE(ArtifactsInput!$N$35+1,15,18,21,24,27,30)*(1-EXP(-(0.2*B2509)*5)),0)+IF(AND(ArtifactsInput!$M$22,Inputs!$B$4&lt;&gt;"Chapter Hunt"),CHOOSE(ArtifactsInput!$N$22+1,10,12,14,16,18,20)*((0*(((0.15*B2509*5))^0/1)+1*(((0.15*B2509*5))^1/1)+2*(((0.15*B2509*5))^2/2)+3*(((0.15*B2509*5))^3/6)+4*(((0.15*B2509*5))^4/24)+5*(((0.15*B2509*5))^5/120))/((((0.15*B2509*5))^0/1)+(((0.15*B2509*5))^1/1)+(((0.15*B2509*5))^2/2)+(((0.15*B2509*5))^3/6)+(((0.15*B2509*5))^4/24)+(((0.15*B2509*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87">
      <c r="A2487">
        <f>Skills!A14</f>
        <v/>
      </c>
      <c r="B2487">
        <f>Skills!B14</f>
        <v/>
      </c>
      <c r="C2487">
        <f>Inputs!$B$3&gt;=105</f>
        <v/>
      </c>
      <c r="D2487">
        <f>IF(Skills!C14=1,60+Inputs!$B$25+Inputs!$B$29,IF(Skills!C14=2,90+Inputs!$B$26+Inputs!$B$29,IF(Skills!C14=3,120+Inputs!$B$27+Inputs!$B$29,MAX(0,(Inputs!$B$3-100)*3)+Inputs!$B$28+Inputs!$B$29)))</f>
        <v/>
      </c>
      <c r="E2487">
        <f>INDEX(FactorTable!$B$2:$Y$301, MATCH(ROUND(MIN(300,MAX(1,D2487)),0), FactorTable!$A$2:$A$301,0), Skills!M14+1)</f>
        <v/>
      </c>
      <c r="F2487">
        <f>IF(Skills!N14=TRUE,(Skills!L14/10)*(E2487/1000),Skills!L14/10)+Skills!O14</f>
        <v/>
      </c>
      <c r="G2487">
        <f>Calc!G14</f>
        <v/>
      </c>
      <c r="H2487">
        <f>Calc!H14</f>
        <v/>
      </c>
      <c r="I2487">
        <f>IF(Skills!AA14&lt;&gt;"",1+(Skills!AA14/10)*(U2476/1000)/100,1)</f>
        <v/>
      </c>
      <c r="J2487">
        <f>((Inputs!$B$6*(1+Inputs!$B$7/100))+(((Inputs!$B$12*(1+Inputs!$B$13/100))-(Inputs!$B$12*(1+Inputs!$B$13/100)))+0.25*(Inputs!$B$14-Inputs!$B$14))*(1+Inputs!$B$7/100))*(F2487/100)</f>
        <v/>
      </c>
      <c r="K2487">
        <f>J2487*(1+((Inputs!$B$12*(1+Inputs!$B$13/100))*0.01+Inputs!$B$14*0.0025)/100)*(1+Inputs!$B$15/100)*(1+Inputs!$B$16/100)*(5000/(6000+Inputs!$B$43*(1-(100*(1-(1-(Inputs!$B$19+0)/100)*(1-CHOOSE(ArtifactsInput!$N$40+1,5,6,7,8,9,10)/100)^(ArtifactsInput!$M$40-ArtifactsInput!$M$40)))/100)))*(1+(Inputs!$B$24+((C2503=TRUE)*(F2503-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2496=TRUE)*(F2496-Calc!F23))+(((IF(AND(ArtifactsInput!$M$42,((Inputs!$B$9+((C2498=TRUE)*(F2498-Calc!F25))+B2513+(ArtifactsInput!$M$24-ArtifactsInput!$M$24)*CHOOSE(ArtifactsInput!$N$24+1,10,12,14,16,18,20)+IF(ArtifactsInput!$M$10,CHOOSE(ArtifactsInput!$N$10+1,15,18,21,24,27,30)*(IF(Inputs!$B$39="pvp",MIN(15,15)/15,IF(AND(Inputs!$B$39&lt;&gt;"pvp",Inputs!$B$44&gt;0),MIN(15,Inputs!$B$44)/(Inputs!$B$44),0))),0)))&gt;=100),MIN(100,((Inputs!$B$9+((C2498=TRUE)*(F2498-Calc!F25))+B2513+(ArtifactsInput!$M$24-ArtifactsInput!$M$24)*CHOOSE(ArtifactsInput!$N$24+1,10,12,14,16,18,20)+IF(ArtifactsInput!$M$10,CHOOSE(ArtifactsInput!$N$10+1,15,18,21,24,27,30)*(IF(Inputs!$B$39="pvp",MIN(15,15)/15,IF(AND(Inputs!$B$39&lt;&gt;"pvp",Inputs!$B$44&gt;0),MIN(15,Inputs!$B$44)/(Inputs!$B$44),0))),0)))-100),0))*CHOOSE(ArtifactsInput!$N$42+1,0.6,0.72,0.84,0.96,1.08,1.2))),Inputs!$B$18+((C2502=TRUE)*(F2502-Calc!F29))+(IF(AND(ArtifactsInput!$M$42,((Inputs!$B$9+((C2498=TRUE)*(F2498-Calc!F25))+B2513+(ArtifactsInput!$M$24-ArtifactsInput!$M$24)*CHOOSE(ArtifactsInput!$N$24+1,10,12,14,16,18,20)+IF(ArtifactsInput!$M$10,CHOOSE(ArtifactsInput!$N$10+1,15,18,21,24,27,30)*(IF(Inputs!$B$39="pvp",MIN(15,15)/15,IF(AND(Inputs!$B$39&lt;&gt;"pvp",Inputs!$B$44&gt;0),MIN(15,Inputs!$B$44)/(Inputs!$B$44),0))),0)))&gt;=100),CHOOSE(ArtifactsInput!$N$42+1,40,48,56,64,72,80),0))))/100)*(((1+(((C2494=TRUE)*F2494*IF(AND(Inputs!$B$39&lt;&gt;"pvp",Inputs!$B$44&gt;0),(((R2494-1)*(Skills!Y21*(1+Inputs!$B$34/100))+MIN((Skills!Y21*(1+Inputs!$B$34/100)),MAX(0,Inputs!$B$44-((R2494-1)*Skills!D21))))/Inputs!$B$44),IF(Inputs!$B$39="pvp",MIN((Skills!Y21*(1+Inputs!$B$34/100)),15)/15,(Skills!Y21*(1+Inputs!$B$34/100))/Skills!D21)))+((C2501=TRUE)*(F2501-Calc!F28))+((C2491=TRUE)*(F2491-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2488=TRUE)*F2488*IF(AND(Inputs!$B$39&lt;&gt;"pvp",Inputs!$B$44&gt;0),(((R2488-1)*(Skills!Y15*(1+Inputs!$B$34/100))+MIN((Skills!Y15*(1+Inputs!$B$34/100)),MAX(0,Inputs!$B$44-((R2488-1)*Skills!D15))))/Inputs!$B$44),IF(Inputs!$B$39="pvp",MIN((Skills!Y15*(1+Inputs!$B$34/100)),15)/15,(Skills!Y15*(1+Inputs!$B$34/100))/Skills!D15)))/100)*(1+((C2479=TRUE)*F2479*B2507)/100))*B2515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2487)</f>
        <v/>
      </c>
      <c r="L2487">
        <f>K2487*(MIN(Inputs!$B$22+((C2497=TRUE)*(F2497-Calc!F24)),(Inputs!$B$23+0+(IF(ArtifactsInput!$M$15,CHOOSE(ArtifactsInput!$N$15+1,25,30,35,40,45,50)/100*(Inputs!$B$11-Inputs!$B$11),0))))/100+(Inputs!$B$23+0+(IF(ArtifactsInput!$M$15,CHOOSE(ArtifactsInput!$N$15+1,25,30,35,40,45,50)/100*(Inputs!$B$11-Inputs!$B$11),0)))/100)/2</f>
        <v/>
      </c>
      <c r="M2487">
        <f>L2487*(1+(Inputs!$B$10+((C2499=TRUE)*(F2499-Calc!F26))+B2516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87">
        <f>L2487*(1-MIN((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2487*(MIN((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87">
        <f>(1-Summary!$B$11)*T2487+Summary!$B$11*V2487</f>
        <v/>
      </c>
      <c r="P2487">
        <f>IF(B2517=0,0,O2487/B2517)</f>
        <v/>
      </c>
      <c r="Q2487">
        <f>IFERROR(1/IF(Inputs!$B$39="pvp",15,MAX(0.1,Skills!D14-IF(Skills!E14=TRUE,Inputs!$B$32,0))),0)</f>
        <v/>
      </c>
      <c r="R2487">
        <f>IF(AND(Inputs!$B$39&lt;&gt;"pvp",Inputs!$B$44&gt;0),IF(MAX(0,Inputs!$B$44-B2518)&lt;=0,0,(INT(MAX(0,Inputs!$B$44-B2518)/IF(Inputs!$B$39="pvp",15,MAX(0.1,Skills!D14-IF(Skills!E14=TRUE,Inputs!$B$32,0))))+1)),0)</f>
        <v/>
      </c>
      <c r="S2487">
        <f>IFERROR(O2487/N2487,0)</f>
        <v/>
      </c>
      <c r="T2487">
        <f>IF(C2487,(H2487*N2487*IF(AND(Inputs!$B$39&lt;&gt;"pvp",Inputs!$B$44&gt;0),((Skills!G14*((R2487-1)*IF(Skills!H14&gt;0,Skills!I14/Skills!H14,1)+IF(Skills!H14&gt;0,MIN(Skills!I14,MAX(0,MAX(0,Inputs!$B$44-B2518)-((R2487-1)*IF(Inputs!$B$39="pvp",15,MAX(0.1,Skills!D14-IF(Skills!E14=TRUE,Inputs!$B$32,0))))))/Skills!H14,1)))/Inputs!$B$44),G2487*Q2487))*IF(Inputs!$B$39="pvp",1,1+(Inputs!$B$20+((C2500=TRUE)*(F2500-Calc!F27))+Skills!P14+B2514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Hunt"),CHOOSE(ArtifactsInput!$N$35+1,15,18,21,24,27,30)*(1-EXP(-(0.2*B2509)*5)),0)+IF(AND(ArtifactsInput!$M$22,Inputs!$B$4&lt;&gt;"Chapter Hunt"),CHOOSE(ArtifactsInput!$N$22+1,10,12,14,16,18,20)*((0*(((0.15*B2509*5))^0/1)+1*(((0.15*B2509*5))^1/1)+2*(((0.15*B2509*5))^2/2)+3*(((0.15*B2509*5))^3/6)+4*(((0.15*B2509*5))^4/24)+5*(((0.15*B2509*5))^5/120))/((((0.15*B2509*5))^0/1)+(((0.15*B2509*5))^1/1)+(((0.15*B2509*5))^2/2)+(((0.15*B2509*5))^3/6)+(((0.15*B2509*5))^4/24)+(((0.15*B2509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2487*(1-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2487*(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2487*(1-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2487*(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87">
        <f>IF(C2487,(H2487*N2487*IF(AND(Inputs!$B$39&lt;&gt;"pvp",Inputs!$B$44&gt;0),((Skills!G14*((R2487-1)*IF(Skills!H14&gt;0,Skills!I14/Skills!H14,1)+IF(Skills!H14&gt;0,MIN(Skills!I14,MAX(0,MAX(0,Inputs!$B$44-B2518)-((R2487-1)*IF(Inputs!$B$39="pvp",15,MAX(0.1,Skills!D14-IF(Skills!E14=TRUE,Inputs!$B$32,0))))))/Skills!H14,1)))/Inputs!$B$44),G2487*Q2487))*IF(Inputs!$B$39="pvp",1,(1+(Inputs!$B$21+Skills!Q14+B2514+(IF(ArtifactsInput!$M$33,CHOOSE(ArtifactsInput!$N$33+1,30,36,42,48,54,60),0))+(IF(AND(ArtifactsInput!$M$35,Inputs!$B$4&lt;&gt;"Chapter Hunt"),CHOOSE(ArtifactsInput!$N$35+1,15,18,21,24,27,30)*(1-EXP(-(0.2*B2509)*5)),0)+IF(AND(ArtifactsInput!$M$22,Inputs!$B$4&lt;&gt;"Chapter Hunt"),CHOOSE(ArtifactsInput!$N$22+1,10,12,14,16,18,20)*((0*(((0.15*B2509*5))^0/1)+1*(((0.15*B2509*5))^1/1)+2*(((0.15*B2509*5))^2/2)+3*(((0.15*B2509*5))^3/6)+4*(((0.15*B2509*5))^4/24)+5*(((0.15*B2509*5))^5/120))/((((0.15*B2509*5))^0/1)+(((0.15*B2509*5))^1/1)+(((0.15*B2509*5))^2/2)+(((0.15*B2509*5))^3/6)+(((0.15*B2509*5))^4/24)+(((0.15*B2509*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88">
      <c r="A2488">
        <f>Skills!A15</f>
        <v/>
      </c>
      <c r="B2488">
        <f>Skills!B15</f>
        <v/>
      </c>
      <c r="C2488">
        <f>Inputs!$B$3&gt;=110</f>
        <v/>
      </c>
      <c r="D2488">
        <f>IF(Skills!C15=1,60+Inputs!$B$25+Inputs!$B$29,IF(Skills!C15=2,90+Inputs!$B$26+Inputs!$B$29,IF(Skills!C15=3,120+Inputs!$B$27+Inputs!$B$29,MAX(0,(Inputs!$B$3-100)*3)+Inputs!$B$28+Inputs!$B$29)))</f>
        <v/>
      </c>
      <c r="E2488">
        <f>INDEX(FactorTable!$B$2:$Y$301, MATCH(ROUND(MIN(300,MAX(1,D2488)),0), FactorTable!$A$2:$A$301,0), Skills!M15+1)</f>
        <v/>
      </c>
      <c r="F2488">
        <f>IF(Skills!N15=TRUE,(Skills!L15/10)*(E2488/1000),Skills!L15/10)+Skills!O15</f>
        <v/>
      </c>
      <c r="G2488">
        <f>Calc!G15</f>
        <v/>
      </c>
      <c r="H2488">
        <f>Calc!H15</f>
        <v/>
      </c>
      <c r="I2488">
        <f>IF(Skills!AA15&lt;&gt;"",1+(Skills!AA15/10)*(U2476/1000)/100,1)</f>
        <v/>
      </c>
      <c r="J2488" t="inlineStr"/>
      <c r="K2488" t="inlineStr"/>
      <c r="L2488" t="inlineStr"/>
      <c r="M2488" t="inlineStr"/>
      <c r="N2488" t="inlineStr"/>
      <c r="O2488">
        <f>(1-Summary!$B$11)*T2488+Summary!$B$11*V2488</f>
        <v/>
      </c>
      <c r="P2488">
        <f>IF(B2517=0,0,O2488/B2517)</f>
        <v/>
      </c>
      <c r="Q2488">
        <f>IFERROR(1/IF(Inputs!$B$39="pvp",15,MAX(0.1,Skills!D15-IF(Skills!E15=TRUE,Inputs!$B$32,0))),0)</f>
        <v/>
      </c>
      <c r="R2488">
        <f>IF(AND(Inputs!$B$39&lt;&gt;"pvp",Inputs!$B$44&gt;0),IF(Inputs!$B$44&lt;=0,0,(INT(Inputs!$B$44/IF(Inputs!$B$39="pvp",15,MAX(0.1,Skills!D15-IF(Skills!E15=TRUE,Inputs!$B$32,0))))+1)),0)</f>
        <v/>
      </c>
      <c r="S2488">
        <f>IFERROR(O2488/N2488,0)</f>
        <v/>
      </c>
      <c r="T2488" t="n">
        <v>0</v>
      </c>
      <c r="V2488" t="n">
        <v>0</v>
      </c>
    </row>
    <row r="2489">
      <c r="A2489">
        <f>Skills!A16</f>
        <v/>
      </c>
      <c r="B2489">
        <f>Skills!B16</f>
        <v/>
      </c>
      <c r="C2489">
        <f>Inputs!$B$3&gt;=110</f>
        <v/>
      </c>
      <c r="D2489">
        <f>IF(Skills!C16=1,60+Inputs!$B$25+Inputs!$B$29,IF(Skills!C16=2,90+Inputs!$B$26+Inputs!$B$29,IF(Skills!C16=3,120+Inputs!$B$27+Inputs!$B$29,MAX(0,(Inputs!$B$3-100)*3)+Inputs!$B$28+Inputs!$B$29)))</f>
        <v/>
      </c>
      <c r="E2489">
        <f>INDEX(FactorTable!$B$2:$Y$301, MATCH(ROUND(MIN(300,MAX(1,D2489)),0), FactorTable!$A$2:$A$301,0), Skills!M16+1)</f>
        <v/>
      </c>
      <c r="F2489">
        <f>IF(Skills!N16=TRUE,(Skills!L16/10)*(E2489/1000),Skills!L16/10)+Skills!O16</f>
        <v/>
      </c>
      <c r="G2489">
        <f>Calc!G16</f>
        <v/>
      </c>
      <c r="H2489">
        <f>Calc!H16</f>
        <v/>
      </c>
      <c r="I2489">
        <f>IF(Skills!AA16&lt;&gt;"",1+(Skills!AA16/10)*(U2476/1000)/100,1)</f>
        <v/>
      </c>
      <c r="J2489" t="inlineStr"/>
      <c r="K2489" t="inlineStr"/>
      <c r="L2489" t="inlineStr"/>
      <c r="M2489" t="inlineStr"/>
      <c r="N2489" t="inlineStr"/>
      <c r="O2489">
        <f>(1-Summary!$B$11)*T2489+Summary!$B$11*V2489</f>
        <v/>
      </c>
      <c r="P2489">
        <f>IF(B2517=0,0,O2489/B2517)</f>
        <v/>
      </c>
      <c r="Q2489">
        <f>IFERROR(1/IF(Inputs!$B$39="pvp",15,MAX(0.1,Skills!D16-IF(Skills!E16=TRUE,Inputs!$B$32,0))),0)</f>
        <v/>
      </c>
      <c r="R2489">
        <f>IF(AND(Inputs!$B$39&lt;&gt;"pvp",Inputs!$B$44&gt;0),IF(Inputs!$B$44&lt;=0,0,(INT(Inputs!$B$44/IF(Inputs!$B$39="pvp",15,MAX(0.1,Skills!D16-IF(Skills!E16=TRUE,Inputs!$B$32,0))))+1)),0)</f>
        <v/>
      </c>
      <c r="S2489">
        <f>IFERROR(O2489/N2489,0)</f>
        <v/>
      </c>
      <c r="T2489" t="n">
        <v>0</v>
      </c>
      <c r="V2489" t="n">
        <v>0</v>
      </c>
    </row>
    <row r="2490">
      <c r="A2490">
        <f>Skills!A17</f>
        <v/>
      </c>
      <c r="B2490">
        <f>Skills!B17</f>
        <v/>
      </c>
      <c r="C2490">
        <f>Inputs!$B$3&gt;=115</f>
        <v/>
      </c>
      <c r="D2490">
        <f>IF(Skills!C17=1,60+Inputs!$B$25+Inputs!$B$29,IF(Skills!C17=2,90+Inputs!$B$26+Inputs!$B$29,IF(Skills!C17=3,120+Inputs!$B$27+Inputs!$B$29,MAX(0,(Inputs!$B$3-100)*3)+Inputs!$B$28+Inputs!$B$29)))</f>
        <v/>
      </c>
      <c r="E2490">
        <f>INDEX(FactorTable!$B$2:$Y$301, MATCH(ROUND(MIN(300,MAX(1,D2490)),0), FactorTable!$A$2:$A$301,0), Skills!M17+1)</f>
        <v/>
      </c>
      <c r="F2490">
        <f>IF(Skills!N17=TRUE,(Skills!L17/10)*(E2490/1000),Skills!L17/10)+Skills!O17</f>
        <v/>
      </c>
      <c r="G2490">
        <f>Calc!G17</f>
        <v/>
      </c>
      <c r="H2490">
        <f>Calc!H17</f>
        <v/>
      </c>
      <c r="I2490">
        <f>IF(Skills!AA17&lt;&gt;"",1+(Skills!AA17/10)*(U2476/1000)/100,1)</f>
        <v/>
      </c>
      <c r="J2490">
        <f>((Inputs!$B$6*(1+Inputs!$B$7/100))+(((Inputs!$B$12*(1+Inputs!$B$13/100))-(Inputs!$B$12*(1+Inputs!$B$13/100)))+0.25*(Inputs!$B$14-Inputs!$B$14))*(1+Inputs!$B$7/100))*(F2490/100)</f>
        <v/>
      </c>
      <c r="K2490">
        <f>J2490*(1+((Inputs!$B$12*(1+Inputs!$B$13/100))*0.01+Inputs!$B$14*0.0025)/100)*(1+Inputs!$B$15/100)*(1+Inputs!$B$16/100)*(5000/(6000+Inputs!$B$43*(1-(100*(1-(1-(Inputs!$B$19+0)/100)*(1-CHOOSE(ArtifactsInput!$N$40+1,5,6,7,8,9,10)/100)^(ArtifactsInput!$M$40-ArtifactsInput!$M$40)))/100)))*(1+(Inputs!$B$24+((C2503=TRUE)*(F2503-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2496=TRUE)*(F2496-Calc!F23))+(((IF(AND(ArtifactsInput!$M$42,((Inputs!$B$9+((C2498=TRUE)*(F2498-Calc!F25))+B2513+(ArtifactsInput!$M$24-ArtifactsInput!$M$24)*CHOOSE(ArtifactsInput!$N$24+1,10,12,14,16,18,20)+IF(ArtifactsInput!$M$10,CHOOSE(ArtifactsInput!$N$10+1,15,18,21,24,27,30)*(IF(Inputs!$B$39="pvp",MIN(15,15)/15,IF(AND(Inputs!$B$39&lt;&gt;"pvp",Inputs!$B$44&gt;0),MIN(15,Inputs!$B$44)/(Inputs!$B$44),0))),0)))&gt;=100),MIN(100,((Inputs!$B$9+((C2498=TRUE)*(F2498-Calc!F25))+B2513+(ArtifactsInput!$M$24-ArtifactsInput!$M$24)*CHOOSE(ArtifactsInput!$N$24+1,10,12,14,16,18,20)+IF(ArtifactsInput!$M$10,CHOOSE(ArtifactsInput!$N$10+1,15,18,21,24,27,30)*(IF(Inputs!$B$39="pvp",MIN(15,15)/15,IF(AND(Inputs!$B$39&lt;&gt;"pvp",Inputs!$B$44&gt;0),MIN(15,Inputs!$B$44)/(Inputs!$B$44),0))),0)))-100),0))*CHOOSE(ArtifactsInput!$N$42+1,0.6,0.72,0.84,0.96,1.08,1.2))),Inputs!$B$18+((C2502=TRUE)*(F2502-Calc!F29))+(IF(AND(ArtifactsInput!$M$42,((Inputs!$B$9+((C2498=TRUE)*(F2498-Calc!F25))+B2513+(ArtifactsInput!$M$24-ArtifactsInput!$M$24)*CHOOSE(ArtifactsInput!$N$24+1,10,12,14,16,18,20)+IF(ArtifactsInput!$M$10,CHOOSE(ArtifactsInput!$N$10+1,15,18,21,24,27,30)*(IF(Inputs!$B$39="pvp",MIN(15,15)/15,IF(AND(Inputs!$B$39&lt;&gt;"pvp",Inputs!$B$44&gt;0),MIN(15,Inputs!$B$44)/(Inputs!$B$44),0))),0)))&gt;=100),CHOOSE(ArtifactsInput!$N$42+1,40,48,56,64,72,80),0))))/100)*(((1+(((C2494=TRUE)*F2494*IF(AND(Inputs!$B$39&lt;&gt;"pvp",Inputs!$B$44&gt;0),(((R2494-1)*(Skills!Y21*(1+Inputs!$B$34/100))+MIN((Skills!Y21*(1+Inputs!$B$34/100)),MAX(0,Inputs!$B$44-((R2494-1)*Skills!D21))))/Inputs!$B$44),IF(Inputs!$B$39="pvp",MIN((Skills!Y21*(1+Inputs!$B$34/100)),15)/15,(Skills!Y21*(1+Inputs!$B$34/100))/Skills!D21)))+((C2501=TRUE)*(F2501-Calc!F28))+((C2491=TRUE)*(F2491-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2488=TRUE)*F2488*IF(AND(Inputs!$B$39&lt;&gt;"pvp",Inputs!$B$44&gt;0),(((R2488-1)*(Skills!Y15*(1+Inputs!$B$34/100))+MIN((Skills!Y15*(1+Inputs!$B$34/100)),MAX(0,Inputs!$B$44-((R2488-1)*Skills!D15))))/Inputs!$B$44),IF(Inputs!$B$39="pvp",MIN((Skills!Y15*(1+Inputs!$B$34/100)),15)/15,(Skills!Y15*(1+Inputs!$B$34/100))/Skills!D15)))/100)*(1+((C2479=TRUE)*F2479*B2507)/100))*B2515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2490)</f>
        <v/>
      </c>
      <c r="L2490">
        <f>K2490*(MIN(Inputs!$B$22+((C2497=TRUE)*(F2497-Calc!F24)),(Inputs!$B$23+0+(IF(ArtifactsInput!$M$15,CHOOSE(ArtifactsInput!$N$15+1,25,30,35,40,45,50)/100*(Inputs!$B$11-Inputs!$B$11),0))))/100+(Inputs!$B$23+0+(IF(ArtifactsInput!$M$15,CHOOSE(ArtifactsInput!$N$15+1,25,30,35,40,45,50)/100*(Inputs!$B$11-Inputs!$B$11),0)))/100)/2</f>
        <v/>
      </c>
      <c r="M2490">
        <f>L2490*(1+(Inputs!$B$10+((C2499=TRUE)*(F2499-Calc!F26))+B2516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90">
        <f>L2490*(1-MIN((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2490*(MIN((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90">
        <f>(1-Summary!$B$11)*T2490+Summary!$B$11*V2490</f>
        <v/>
      </c>
      <c r="P2490">
        <f>IF(B2517=0,0,O2490/B2517)</f>
        <v/>
      </c>
      <c r="Q2490" t="n">
        <v>0</v>
      </c>
      <c r="R2490" t="n">
        <v>0</v>
      </c>
      <c r="S2490">
        <f>IFERROR(O2490/N2490,0)</f>
        <v/>
      </c>
      <c r="T2490">
        <f>IF(C2490,(Inputs!$B$38*0.2*N2490)*IF(Inputs!$B$39="pvp",1,1+(Inputs!$B$20+((C2500=TRUE)*(F2500-Calc!F27))+Skills!P17+B2514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Hunt"),CHOOSE(ArtifactsInput!$N$35+1,15,18,21,24,27,30)*(1-EXP(-(0.2*B2509)*5)),0)+IF(AND(ArtifactsInput!$M$22,Inputs!$B$4&lt;&gt;"Chapter Hunt"),CHOOSE(ArtifactsInput!$N$22+1,10,12,14,16,18,20)*((0*(((0.15*B2509*5))^0/1)+1*(((0.15*B2509*5))^1/1)+2*(((0.15*B2509*5))^2/2)+3*(((0.15*B2509*5))^3/6)+4*(((0.15*B2509*5))^4/24)+5*(((0.15*B2509*5))^5/120))/((((0.15*B2509*5))^0/1)+(((0.15*B2509*5))^1/1)+(((0.15*B2509*5))^2/2)+(((0.15*B2509*5))^3/6)+(((0.15*B2509*5))^4/24)+(((0.15*B2509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2490*(1-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2490*(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2490*(1-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2490*(MIN(100,(Inputs!$B$9+((C2498=TRUE)*(F2498-Calc!F25))+B2513+(ArtifactsInput!$M$24-ArtifactsInput!$M$24)*CHOOSE(ArtifactsInput!$N$24+1,10,12,14,16,18,20)+(IF(AND(ArtifactsInput!$M$42,((Inputs!$B$9+((C2498=TRUE)*(F2498-Calc!F25))+B2513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90">
        <f>IF(C2490,(Inputs!$B$38*0.2*N2490)*IF(Inputs!$B$39="pvp",1,(1+(Inputs!$B$21+Skills!Q17+B2514+(IF(ArtifactsInput!$M$33,CHOOSE(ArtifactsInput!$N$33+1,30,36,42,48,54,60),0))+(IF(AND(ArtifactsInput!$M$35,Inputs!$B$4&lt;&gt;"Chapter Hunt"),CHOOSE(ArtifactsInput!$N$35+1,15,18,21,24,27,30)*(1-EXP(-(0.2*B2509)*5)),0)+IF(AND(ArtifactsInput!$M$22,Inputs!$B$4&lt;&gt;"Chapter Hunt"),CHOOSE(ArtifactsInput!$N$22+1,10,12,14,16,18,20)*((0*(((0.15*B2509*5))^0/1)+1*(((0.15*B2509*5))^1/1)+2*(((0.15*B2509*5))^2/2)+3*(((0.15*B2509*5))^3/6)+4*(((0.15*B2509*5))^4/24)+5*(((0.15*B2509*5))^5/120))/((((0.15*B2509*5))^0/1)+(((0.15*B2509*5))^1/1)+(((0.15*B2509*5))^2/2)+(((0.15*B2509*5))^3/6)+(((0.15*B2509*5))^4/24)+(((0.15*B2509*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91">
      <c r="A2491">
        <f>Skills!A18</f>
        <v/>
      </c>
      <c r="B2491">
        <f>Skills!B18</f>
        <v/>
      </c>
      <c r="C2491">
        <f>Inputs!$B$3&gt;=115</f>
        <v/>
      </c>
      <c r="D2491">
        <f>IF(Skills!C18=1,60+Inputs!$B$25+Inputs!$B$29,IF(Skills!C18=2,90+Inputs!$B$26+Inputs!$B$29,IF(Skills!C18=3,120+Inputs!$B$27+Inputs!$B$29,MAX(0,(Inputs!$B$3-100)*3)+Inputs!$B$28+Inputs!$B$29)))</f>
        <v/>
      </c>
      <c r="E2491">
        <f>INDEX(FactorTable!$B$2:$Y$301, MATCH(ROUND(MIN(300,MAX(1,D2491)),0), FactorTable!$A$2:$A$301,0), Skills!M18+1)</f>
        <v/>
      </c>
      <c r="F2491">
        <f>IF(Skills!N18=TRUE,(Skills!L18/10)*(E2491/1000),Skills!L18/10)+Skills!O18</f>
        <v/>
      </c>
      <c r="G2491">
        <f>Calc!G18</f>
        <v/>
      </c>
      <c r="H2491">
        <f>Calc!H18</f>
        <v/>
      </c>
      <c r="I2491">
        <f>IF(Skills!AA18&lt;&gt;"",1+(Skills!AA18/10)*(U2476/1000)/100,1)</f>
        <v/>
      </c>
      <c r="J2491" t="inlineStr"/>
      <c r="K2491" t="inlineStr"/>
      <c r="L2491" t="inlineStr"/>
      <c r="M2491" t="inlineStr"/>
      <c r="N2491" t="inlineStr"/>
      <c r="O2491">
        <f>(1-Summary!$B$11)*T2491+Summary!$B$11*V2491</f>
        <v/>
      </c>
      <c r="P2491">
        <f>IF(B2517=0,0,O2491/B2517)</f>
        <v/>
      </c>
      <c r="Q2491" t="n">
        <v>0</v>
      </c>
      <c r="R2491" t="n">
        <v>0</v>
      </c>
      <c r="S2491">
        <f>IFERROR(O2491/N2491,0)</f>
        <v/>
      </c>
      <c r="T2491" t="n">
        <v>0</v>
      </c>
      <c r="V2491" t="n">
        <v>0</v>
      </c>
    </row>
    <row r="2492">
      <c r="A2492">
        <f>Skills!A19</f>
        <v/>
      </c>
      <c r="B2492">
        <f>Skills!B19</f>
        <v/>
      </c>
      <c r="C2492">
        <f>TRUE</f>
        <v/>
      </c>
      <c r="D2492">
        <f>IF(Skills!C19=1,60+Inputs!$B$25+Inputs!$B$29,IF(Skills!C19=2,90+Inputs!$B$26+Inputs!$B$29,IF(Skills!C19=3,120+Inputs!$B$27+Inputs!$B$29,MAX(0,(Inputs!$B$3-100)*3)+Inputs!$B$28+Inputs!$B$29)))</f>
        <v/>
      </c>
      <c r="E2492">
        <f>INDEX(FactorTable!$B$2:$Y$301, MATCH(ROUND(MIN(300,MAX(1,D2492)),0), FactorTable!$A$2:$A$301,0), Skills!M19+1)</f>
        <v/>
      </c>
      <c r="F2492">
        <f>IF(Skills!N19=TRUE,(Skills!L19/10)*(E2492/1000),Skills!L19/10)+Skills!O19</f>
        <v/>
      </c>
      <c r="G2492">
        <f>Calc!G19</f>
        <v/>
      </c>
      <c r="H2492">
        <f>Calc!H19</f>
        <v/>
      </c>
      <c r="I2492">
        <f>IF(Skills!AA19&lt;&gt;"",1+(Skills!AA19/10)*(U2476/1000)/100,1)</f>
        <v/>
      </c>
      <c r="J2492" t="inlineStr"/>
      <c r="K2492" t="inlineStr"/>
      <c r="L2492" t="inlineStr"/>
      <c r="M2492" t="inlineStr"/>
      <c r="N2492" t="inlineStr"/>
      <c r="O2492">
        <f>(1-Summary!$B$11)*T2492+Summary!$B$11*V2492</f>
        <v/>
      </c>
      <c r="P2492">
        <f>IF(B2517=0,0,O2492/B2517)</f>
        <v/>
      </c>
      <c r="Q2492">
        <f>IFERROR(1/IF(Inputs!$B$39="pvp",15,MAX(0.1,Skills!D19-IF(Skills!E19=TRUE,Inputs!$B$32,0))),0)</f>
        <v/>
      </c>
      <c r="R2492">
        <f>IF(AND(Inputs!$B$39&lt;&gt;"pvp",Inputs!$B$44&gt;0),IF(Inputs!$B$44&lt;=0,0,(INT(Inputs!$B$44/IF(Inputs!$B$39="pvp",15,MAX(0.1,Skills!D19-IF(Skills!E19=TRUE,Inputs!$B$32,0))))+1)),0)</f>
        <v/>
      </c>
      <c r="S2492">
        <f>IFERROR(O2492/N2492,0)</f>
        <v/>
      </c>
      <c r="T2492" t="n">
        <v>0</v>
      </c>
      <c r="V2492" t="n">
        <v>0</v>
      </c>
    </row>
    <row r="2493">
      <c r="A2493">
        <f>Skills!A20</f>
        <v/>
      </c>
      <c r="B2493">
        <f>Skills!B20</f>
        <v/>
      </c>
      <c r="C2493">
        <f>Inputs!$B$3&gt;=15</f>
        <v/>
      </c>
      <c r="D2493">
        <f>IF(Skills!C20=1,60+Inputs!$B$25+Inputs!$B$29,IF(Skills!C20=2,90+Inputs!$B$26+Inputs!$B$29,IF(Skills!C20=3,120+Inputs!$B$27+Inputs!$B$29,MAX(0,(Inputs!$B$3-100)*3)+Inputs!$B$28+Inputs!$B$29)))</f>
        <v/>
      </c>
      <c r="E2493">
        <f>INDEX(FactorTable!$B$2:$Y$301, MATCH(ROUND(MIN(300,MAX(1,D2493)),0), FactorTable!$A$2:$A$301,0), Skills!M20+1)</f>
        <v/>
      </c>
      <c r="F2493">
        <f>IF(Skills!N20=TRUE,(Skills!L20/10)*(E2493/1000),Skills!L20/10)+Skills!O20</f>
        <v/>
      </c>
      <c r="G2493">
        <f>Calc!G20</f>
        <v/>
      </c>
      <c r="H2493">
        <f>Calc!H20</f>
        <v/>
      </c>
      <c r="I2493">
        <f>IF(Skills!AA20&lt;&gt;"",1+(Skills!AA20/10)*(U2476/1000)/100,1)</f>
        <v/>
      </c>
      <c r="J2493" t="inlineStr"/>
      <c r="K2493" t="inlineStr"/>
      <c r="L2493" t="inlineStr"/>
      <c r="M2493" t="inlineStr"/>
      <c r="N2493" t="inlineStr"/>
      <c r="O2493">
        <f>(1-Summary!$B$11)*T2493+Summary!$B$11*V2493</f>
        <v/>
      </c>
      <c r="P2493">
        <f>IF(B2517=0,0,O2493/B2517)</f>
        <v/>
      </c>
      <c r="Q2493">
        <f>IFERROR(1/IF(Inputs!$B$39="pvp",15,MAX(0.1,Skills!D20-IF(Skills!E20=TRUE,Inputs!$B$32,0))),0)</f>
        <v/>
      </c>
      <c r="R2493">
        <f>IF(AND(Inputs!$B$39&lt;&gt;"pvp",Inputs!$B$44&gt;0),IF(Inputs!$B$44&lt;=0,0,(INT(Inputs!$B$44/IF(Inputs!$B$39="pvp",15,MAX(0.1,Skills!D20-IF(Skills!E20=TRUE,Inputs!$B$32,0))))+1)),0)</f>
        <v/>
      </c>
      <c r="S2493">
        <f>IFERROR(O2493/N2493,0)</f>
        <v/>
      </c>
      <c r="T2493" t="n">
        <v>0</v>
      </c>
      <c r="V2493" t="n">
        <v>0</v>
      </c>
    </row>
    <row r="2494">
      <c r="A2494">
        <f>Skills!A21</f>
        <v/>
      </c>
      <c r="B2494">
        <f>Skills!B21</f>
        <v/>
      </c>
      <c r="C2494">
        <f>Inputs!$B$3&gt;=15</f>
        <v/>
      </c>
      <c r="D2494">
        <f>IF(Skills!C21=1,60+Inputs!$B$25+Inputs!$B$29,IF(Skills!C21=2,90+Inputs!$B$26+Inputs!$B$29,IF(Skills!C21=3,120+Inputs!$B$27+Inputs!$B$29,MAX(0,(Inputs!$B$3-100)*3)+Inputs!$B$28+Inputs!$B$29)))</f>
        <v/>
      </c>
      <c r="E2494">
        <f>INDEX(FactorTable!$B$2:$Y$301, MATCH(ROUND(MIN(300,MAX(1,D2494)),0), FactorTable!$A$2:$A$301,0), Skills!M21+1)</f>
        <v/>
      </c>
      <c r="F2494">
        <f>IF(Skills!N21=TRUE,(Skills!L21/10)*(E2494/1000),Skills!L21/10)+Skills!O21</f>
        <v/>
      </c>
      <c r="G2494">
        <f>Calc!G21</f>
        <v/>
      </c>
      <c r="H2494">
        <f>Calc!H21</f>
        <v/>
      </c>
      <c r="I2494">
        <f>IF(Skills!AA21&lt;&gt;"",1+(Skills!AA21/10)*(U2476/1000)/100,1)</f>
        <v/>
      </c>
      <c r="J2494" t="inlineStr"/>
      <c r="K2494" t="inlineStr"/>
      <c r="L2494" t="inlineStr"/>
      <c r="M2494" t="inlineStr"/>
      <c r="N2494" t="inlineStr"/>
      <c r="O2494">
        <f>(1-Summary!$B$11)*T2494+Summary!$B$11*V2494</f>
        <v/>
      </c>
      <c r="P2494">
        <f>IF(B2517=0,0,O2494/B2517)</f>
        <v/>
      </c>
      <c r="Q2494">
        <f>IFERROR(1/IF(Inputs!$B$39="pvp",15,MAX(0.1,Skills!D21-IF(Skills!E21=TRUE,Inputs!$B$32,0))),0)</f>
        <v/>
      </c>
      <c r="R2494">
        <f>IF(AND(Inputs!$B$39&lt;&gt;"pvp",Inputs!$B$44&gt;0),IF(Inputs!$B$44&lt;=0,0,(INT(Inputs!$B$44/IF(Inputs!$B$39="pvp",15,MAX(0.1,Skills!D21-IF(Skills!E21=TRUE,Inputs!$B$32,0))))+1)),0)</f>
        <v/>
      </c>
      <c r="S2494">
        <f>IFERROR(O2494/N2494,0)</f>
        <v/>
      </c>
      <c r="T2494" t="n">
        <v>0</v>
      </c>
      <c r="V2494" t="n">
        <v>0</v>
      </c>
    </row>
    <row r="2495">
      <c r="A2495">
        <f>Skills!A22</f>
        <v/>
      </c>
      <c r="B2495">
        <f>Skills!B22</f>
        <v/>
      </c>
      <c r="C2495">
        <f>Inputs!$B$3&gt;=33</f>
        <v/>
      </c>
      <c r="D2495">
        <f>IF(Skills!C22=1,60+Inputs!$B$25+Inputs!$B$29,IF(Skills!C22=2,90+Inputs!$B$26+Inputs!$B$29,IF(Skills!C22=3,120+Inputs!$B$27+Inputs!$B$29,MAX(0,(Inputs!$B$3-100)*3)+Inputs!$B$28+Inputs!$B$29)))</f>
        <v/>
      </c>
      <c r="E2495">
        <f>INDEX(FactorTable!$B$2:$Y$301, MATCH(ROUND(MIN(300,MAX(1,D2495)),0), FactorTable!$A$2:$A$301,0), Skills!M22+1)</f>
        <v/>
      </c>
      <c r="F2495">
        <f>IF(Skills!N22=TRUE,(Skills!L22/10)*(E2495/1000),Skills!L22/10)+Skills!O22</f>
        <v/>
      </c>
      <c r="G2495">
        <f>Calc!G22</f>
        <v/>
      </c>
      <c r="H2495">
        <f>Calc!H22</f>
        <v/>
      </c>
      <c r="I2495">
        <f>IF(Skills!AA22&lt;&gt;"",1+(Skills!AA22/10)*(U2476/1000)/100,1)</f>
        <v/>
      </c>
      <c r="J2495" t="inlineStr"/>
      <c r="K2495" t="inlineStr"/>
      <c r="L2495" t="inlineStr"/>
      <c r="M2495" t="inlineStr"/>
      <c r="N2495" t="inlineStr"/>
      <c r="O2495">
        <f>(1-Summary!$B$11)*T2495+Summary!$B$11*V2495</f>
        <v/>
      </c>
      <c r="P2495">
        <f>IF(B2517=0,0,O2495/B2517)</f>
        <v/>
      </c>
      <c r="Q2495" t="n">
        <v>0</v>
      </c>
      <c r="R2495" t="n">
        <v>0</v>
      </c>
      <c r="S2495">
        <f>IFERROR(O2495/N2495,0)</f>
        <v/>
      </c>
      <c r="T2495" t="n">
        <v>0</v>
      </c>
      <c r="V2495" t="n">
        <v>0</v>
      </c>
    </row>
    <row r="2496">
      <c r="A2496">
        <f>Skills!A23</f>
        <v/>
      </c>
      <c r="B2496">
        <f>Skills!B23</f>
        <v/>
      </c>
      <c r="C2496">
        <f>Inputs!$B$3&gt;=38</f>
        <v/>
      </c>
      <c r="D2496">
        <f>IF(Skills!C23=1,60+Inputs!$B$25+Inputs!$B$29,IF(Skills!C23=2,90+Inputs!$B$26+Inputs!$B$29,IF(Skills!C23=3,120+Inputs!$B$27+Inputs!$B$29,MAX(0,(Inputs!$B$3-100)*3)+Inputs!$B$28+Inputs!$B$29)))</f>
        <v/>
      </c>
      <c r="E2496">
        <f>INDEX(FactorTable!$B$2:$Y$301, MATCH(ROUND(MIN(300,MAX(1,D2496)),0), FactorTable!$A$2:$A$301,0), Skills!M23+1)</f>
        <v/>
      </c>
      <c r="F2496">
        <f>IF(Skills!N23=TRUE,(Skills!L23/10)*(E2496/1000),Skills!L23/10)+Skills!O23</f>
        <v/>
      </c>
      <c r="G2496">
        <f>Calc!G23</f>
        <v/>
      </c>
      <c r="H2496">
        <f>Calc!H23</f>
        <v/>
      </c>
      <c r="I2496">
        <f>IF(Skills!AA23&lt;&gt;"",1+(Skills!AA23/10)*(U2476/1000)/100,1)</f>
        <v/>
      </c>
      <c r="J2496" t="inlineStr"/>
      <c r="K2496" t="inlineStr"/>
      <c r="L2496" t="inlineStr"/>
      <c r="M2496" t="inlineStr"/>
      <c r="N2496" t="inlineStr"/>
      <c r="O2496">
        <f>(1-Summary!$B$11)*T2496+Summary!$B$11*V2496</f>
        <v/>
      </c>
      <c r="P2496">
        <f>IF(B2517=0,0,O2496/B2517)</f>
        <v/>
      </c>
      <c r="Q2496" t="n">
        <v>0</v>
      </c>
      <c r="R2496" t="n">
        <v>0</v>
      </c>
      <c r="S2496">
        <f>IFERROR(O2496/N2496,0)</f>
        <v/>
      </c>
      <c r="T2496" t="n">
        <v>0</v>
      </c>
      <c r="V2496" t="n">
        <v>0</v>
      </c>
    </row>
    <row r="2497">
      <c r="A2497">
        <f>Skills!A24</f>
        <v/>
      </c>
      <c r="B2497">
        <f>Skills!B24</f>
        <v/>
      </c>
      <c r="C2497">
        <f>Inputs!$B$3&gt;=40</f>
        <v/>
      </c>
      <c r="D2497">
        <f>IF(Skills!C24=1,60+Inputs!$B$25+Inputs!$B$29,IF(Skills!C24=2,90+Inputs!$B$26+Inputs!$B$29,IF(Skills!C24=3,120+Inputs!$B$27+Inputs!$B$29,MAX(0,(Inputs!$B$3-100)*3)+Inputs!$B$28+Inputs!$B$29)))</f>
        <v/>
      </c>
      <c r="E2497">
        <f>INDEX(FactorTable!$B$2:$Y$301, MATCH(ROUND(MIN(300,MAX(1,D2497)),0), FactorTable!$A$2:$A$301,0), Skills!M24+1)</f>
        <v/>
      </c>
      <c r="F2497">
        <f>IF(Skills!N24=TRUE,(Skills!L24/10)*(E2497/1000),Skills!L24/10)+Skills!O24</f>
        <v/>
      </c>
      <c r="G2497">
        <f>Calc!G24</f>
        <v/>
      </c>
      <c r="H2497">
        <f>Calc!H24</f>
        <v/>
      </c>
      <c r="I2497">
        <f>IF(Skills!AA24&lt;&gt;"",1+(Skills!AA24/10)*(U2476/1000)/100,1)</f>
        <v/>
      </c>
      <c r="J2497" t="inlineStr"/>
      <c r="K2497" t="inlineStr"/>
      <c r="L2497" t="inlineStr"/>
      <c r="M2497" t="inlineStr"/>
      <c r="N2497" t="inlineStr"/>
      <c r="O2497">
        <f>(1-Summary!$B$11)*T2497+Summary!$B$11*V2497</f>
        <v/>
      </c>
      <c r="P2497">
        <f>IF(B2517=0,0,O2497/B2517)</f>
        <v/>
      </c>
      <c r="Q2497" t="n">
        <v>0</v>
      </c>
      <c r="R2497" t="n">
        <v>0</v>
      </c>
      <c r="S2497">
        <f>IFERROR(O2497/N2497,0)</f>
        <v/>
      </c>
      <c r="T2497" t="n">
        <v>0</v>
      </c>
      <c r="V2497" t="n">
        <v>0</v>
      </c>
    </row>
    <row r="2498">
      <c r="A2498">
        <f>Skills!A25</f>
        <v/>
      </c>
      <c r="B2498">
        <f>Skills!B25</f>
        <v/>
      </c>
      <c r="C2498">
        <f>Inputs!$B$3&gt;=45</f>
        <v/>
      </c>
      <c r="D2498">
        <f>IF(Skills!C25=1,60+Inputs!$B$25+Inputs!$B$29,IF(Skills!C25=2,90+Inputs!$B$26+Inputs!$B$29,IF(Skills!C25=3,120+Inputs!$B$27+Inputs!$B$29,MAX(0,(Inputs!$B$3-100)*3)+Inputs!$B$28+Inputs!$B$29)))</f>
        <v/>
      </c>
      <c r="E2498">
        <f>INDEX(FactorTable!$B$2:$Y$301, MATCH(ROUND(MIN(300,MAX(1,D2498)),0), FactorTable!$A$2:$A$301,0), Skills!M25+1)</f>
        <v/>
      </c>
      <c r="F2498">
        <f>IF(Skills!N25=TRUE,(Skills!L25/10)*(E2498/1000),Skills!L25/10)+Skills!O25</f>
        <v/>
      </c>
      <c r="G2498">
        <f>Calc!G25</f>
        <v/>
      </c>
      <c r="H2498">
        <f>Calc!H25</f>
        <v/>
      </c>
      <c r="I2498">
        <f>IF(Skills!AA25&lt;&gt;"",1+(Skills!AA25/10)*(U2476/1000)/100,1)</f>
        <v/>
      </c>
      <c r="J2498" t="inlineStr"/>
      <c r="K2498" t="inlineStr"/>
      <c r="L2498" t="inlineStr"/>
      <c r="M2498" t="inlineStr"/>
      <c r="N2498" t="inlineStr"/>
      <c r="O2498">
        <f>(1-Summary!$B$11)*T2498+Summary!$B$11*V2498</f>
        <v/>
      </c>
      <c r="P2498">
        <f>IF(B2517=0,0,O2498/B2517)</f>
        <v/>
      </c>
      <c r="Q2498" t="n">
        <v>0</v>
      </c>
      <c r="R2498" t="n">
        <v>0</v>
      </c>
      <c r="S2498">
        <f>IFERROR(O2498/N2498,0)</f>
        <v/>
      </c>
      <c r="T2498" t="n">
        <v>0</v>
      </c>
      <c r="V2498" t="n">
        <v>0</v>
      </c>
    </row>
    <row r="2499">
      <c r="A2499">
        <f>Skills!A26</f>
        <v/>
      </c>
      <c r="B2499">
        <f>Skills!B26</f>
        <v/>
      </c>
      <c r="C2499">
        <f>Inputs!$B$3&gt;=45</f>
        <v/>
      </c>
      <c r="D2499">
        <f>IF(Skills!C26=1,60+Inputs!$B$25+Inputs!$B$29,IF(Skills!C26=2,90+Inputs!$B$26+Inputs!$B$29,IF(Skills!C26=3,120+Inputs!$B$27+Inputs!$B$29,MAX(0,(Inputs!$B$3-100)*3)+Inputs!$B$28+Inputs!$B$29)))</f>
        <v/>
      </c>
      <c r="E2499">
        <f>INDEX(FactorTable!$B$2:$Y$301, MATCH(ROUND(MIN(300,MAX(1,D2499)),0), FactorTable!$A$2:$A$301,0), Skills!M26+1)</f>
        <v/>
      </c>
      <c r="F2499">
        <f>IF(Skills!N26=TRUE,(Skills!L26/10)*(E2499/1000),Skills!L26/10)+Skills!O26</f>
        <v/>
      </c>
      <c r="G2499">
        <f>Calc!G26</f>
        <v/>
      </c>
      <c r="H2499">
        <f>Calc!H26</f>
        <v/>
      </c>
      <c r="I2499">
        <f>IF(Skills!AA26&lt;&gt;"",1+(Skills!AA26/10)*(U2476/1000)/100,1)</f>
        <v/>
      </c>
      <c r="J2499" t="inlineStr"/>
      <c r="K2499" t="inlineStr"/>
      <c r="L2499" t="inlineStr"/>
      <c r="M2499" t="inlineStr"/>
      <c r="N2499" t="inlineStr"/>
      <c r="O2499">
        <f>(1-Summary!$B$11)*T2499+Summary!$B$11*V2499</f>
        <v/>
      </c>
      <c r="P2499">
        <f>IF(B2517=0,0,O2499/B2517)</f>
        <v/>
      </c>
      <c r="Q2499" t="n">
        <v>0</v>
      </c>
      <c r="R2499" t="n">
        <v>0</v>
      </c>
      <c r="S2499">
        <f>IFERROR(O2499/N2499,0)</f>
        <v/>
      </c>
      <c r="T2499" t="n">
        <v>0</v>
      </c>
      <c r="V2499" t="n">
        <v>0</v>
      </c>
    </row>
    <row r="2500">
      <c r="A2500">
        <f>Skills!A27</f>
        <v/>
      </c>
      <c r="B2500">
        <f>Skills!B27</f>
        <v/>
      </c>
      <c r="C2500">
        <f>Inputs!$B$3&gt;=72</f>
        <v/>
      </c>
      <c r="D2500">
        <f>IF(Skills!C27=1,60+Inputs!$B$25+Inputs!$B$29,IF(Skills!C27=2,90+Inputs!$B$26+Inputs!$B$29,IF(Skills!C27=3,120+Inputs!$B$27+Inputs!$B$29,MAX(0,(Inputs!$B$3-100)*3)+Inputs!$B$28+Inputs!$B$29)))</f>
        <v/>
      </c>
      <c r="E2500">
        <f>INDEX(FactorTable!$B$2:$Y$301, MATCH(ROUND(MIN(300,MAX(1,D2500)),0), FactorTable!$A$2:$A$301,0), Skills!M27+1)</f>
        <v/>
      </c>
      <c r="F2500">
        <f>IF(Skills!N27=TRUE,(Skills!L27/10)*(E2500/1000),Skills!L27/10)+Skills!O27</f>
        <v/>
      </c>
      <c r="G2500">
        <f>Calc!G27</f>
        <v/>
      </c>
      <c r="H2500">
        <f>Calc!H27</f>
        <v/>
      </c>
      <c r="I2500">
        <f>IF(Skills!AA27&lt;&gt;"",1+(Skills!AA27/10)*(U2476/1000)/100,1)</f>
        <v/>
      </c>
      <c r="J2500" t="inlineStr"/>
      <c r="K2500" t="inlineStr"/>
      <c r="L2500" t="inlineStr"/>
      <c r="M2500" t="inlineStr"/>
      <c r="N2500" t="inlineStr"/>
      <c r="O2500">
        <f>(1-Summary!$B$11)*T2500+Summary!$B$11*V2500</f>
        <v/>
      </c>
      <c r="P2500">
        <f>IF(B2517=0,0,O2500/B2517)</f>
        <v/>
      </c>
      <c r="Q2500" t="n">
        <v>0</v>
      </c>
      <c r="R2500" t="n">
        <v>0</v>
      </c>
      <c r="S2500">
        <f>IFERROR(O2500/N2500,0)</f>
        <v/>
      </c>
      <c r="T2500" t="n">
        <v>0</v>
      </c>
      <c r="V2500" t="n">
        <v>0</v>
      </c>
    </row>
    <row r="2501">
      <c r="A2501">
        <f>Skills!A28</f>
        <v/>
      </c>
      <c r="B2501">
        <f>Skills!B28</f>
        <v/>
      </c>
      <c r="C2501">
        <f>Inputs!$B$3&gt;=75</f>
        <v/>
      </c>
      <c r="D2501">
        <f>IF(Skills!C28=1,60+Inputs!$B$25+Inputs!$B$29,IF(Skills!C28=2,90+Inputs!$B$26+Inputs!$B$29,IF(Skills!C28=3,120+Inputs!$B$27+Inputs!$B$29,MAX(0,(Inputs!$B$3-100)*3)+Inputs!$B$28+Inputs!$B$29)))</f>
        <v/>
      </c>
      <c r="E2501">
        <f>INDEX(FactorTable!$B$2:$Y$301, MATCH(ROUND(MIN(300,MAX(1,D2501)),0), FactorTable!$A$2:$A$301,0), Skills!M28+1)</f>
        <v/>
      </c>
      <c r="F2501">
        <f>IF(Skills!N28=TRUE,(Skills!L28/10)*(E2501/1000),Skills!L28/10)+Skills!O28</f>
        <v/>
      </c>
      <c r="G2501">
        <f>Calc!G28</f>
        <v/>
      </c>
      <c r="H2501">
        <f>Calc!H28</f>
        <v/>
      </c>
      <c r="I2501">
        <f>IF(Skills!AA28&lt;&gt;"",1+(Skills!AA28/10)*(U2476/1000)/100,1)</f>
        <v/>
      </c>
      <c r="J2501" t="inlineStr"/>
      <c r="K2501" t="inlineStr"/>
      <c r="L2501" t="inlineStr"/>
      <c r="M2501" t="inlineStr"/>
      <c r="N2501" t="inlineStr"/>
      <c r="O2501">
        <f>(1-Summary!$B$11)*T2501+Summary!$B$11*V2501</f>
        <v/>
      </c>
      <c r="P2501">
        <f>IF(B2517=0,0,O2501/B2517)</f>
        <v/>
      </c>
      <c r="Q2501" t="n">
        <v>0</v>
      </c>
      <c r="R2501" t="n">
        <v>0</v>
      </c>
      <c r="S2501">
        <f>IFERROR(O2501/N2501,0)</f>
        <v/>
      </c>
      <c r="T2501" t="n">
        <v>0</v>
      </c>
      <c r="V2501" t="n">
        <v>0</v>
      </c>
    </row>
    <row r="2502">
      <c r="A2502">
        <f>Skills!A29</f>
        <v/>
      </c>
      <c r="B2502">
        <f>Skills!B29</f>
        <v/>
      </c>
      <c r="C2502">
        <f>Inputs!$B$3&gt;=120</f>
        <v/>
      </c>
      <c r="D2502">
        <f>IF(Skills!C29=1,60+Inputs!$B$25+Inputs!$B$29,IF(Skills!C29=2,90+Inputs!$B$26+Inputs!$B$29,IF(Skills!C29=3,120+Inputs!$B$27+Inputs!$B$29,MAX(0,(Inputs!$B$3-100)*3)+Inputs!$B$28+Inputs!$B$29)))</f>
        <v/>
      </c>
      <c r="E2502">
        <f>INDEX(FactorTable!$B$2:$Y$301, MATCH(ROUND(MIN(300,MAX(1,D2502)),0), FactorTable!$A$2:$A$301,0), Skills!M29+1)</f>
        <v/>
      </c>
      <c r="F2502">
        <f>IF(Skills!N29=TRUE,(Skills!L29/10)*(E2502/1000),Skills!L29/10)+Skills!O29</f>
        <v/>
      </c>
      <c r="G2502">
        <f>Calc!G29</f>
        <v/>
      </c>
      <c r="H2502">
        <f>Calc!H29</f>
        <v/>
      </c>
      <c r="I2502">
        <f>IF(Skills!AA29&lt;&gt;"",1+(Skills!AA29/10)*(U2476/1000)/100,1)</f>
        <v/>
      </c>
      <c r="J2502" t="inlineStr"/>
      <c r="K2502" t="inlineStr"/>
      <c r="L2502" t="inlineStr"/>
      <c r="M2502" t="inlineStr"/>
      <c r="N2502" t="inlineStr"/>
      <c r="O2502">
        <f>(1-Summary!$B$11)*T2502+Summary!$B$11*V2502</f>
        <v/>
      </c>
      <c r="P2502">
        <f>IF(B2517=0,0,O2502/B2517)</f>
        <v/>
      </c>
      <c r="Q2502" t="n">
        <v>0</v>
      </c>
      <c r="R2502" t="n">
        <v>0</v>
      </c>
      <c r="S2502">
        <f>IFERROR(O2502/N2502,0)</f>
        <v/>
      </c>
      <c r="T2502" t="n">
        <v>0</v>
      </c>
      <c r="V2502" t="n">
        <v>0</v>
      </c>
    </row>
    <row r="2503">
      <c r="A2503">
        <f>Skills!A30</f>
        <v/>
      </c>
      <c r="B2503">
        <f>Skills!B30</f>
        <v/>
      </c>
      <c r="C2503">
        <f>Inputs!$B$3&gt;=125</f>
        <v/>
      </c>
      <c r="D2503">
        <f>IF(Skills!C30=1,60+Inputs!$B$25+Inputs!$B$29,IF(Skills!C30=2,90+Inputs!$B$26+Inputs!$B$29,IF(Skills!C30=3,120+Inputs!$B$27+Inputs!$B$29,MAX(0,(Inputs!$B$3-100)*3)+Inputs!$B$28+Inputs!$B$29)))</f>
        <v/>
      </c>
      <c r="E2503">
        <f>INDEX(FactorTable!$B$2:$Y$301, MATCH(ROUND(MIN(300,MAX(1,D2503)),0), FactorTable!$A$2:$A$301,0), Skills!M30+1)</f>
        <v/>
      </c>
      <c r="F2503">
        <f>IF(Skills!N30=TRUE,(Skills!L30/10)*(E2503/1000),Skills!L30/10)+Skills!O30</f>
        <v/>
      </c>
      <c r="G2503">
        <f>Calc!G30</f>
        <v/>
      </c>
      <c r="H2503">
        <f>Calc!H30</f>
        <v/>
      </c>
      <c r="I2503">
        <f>IF(Skills!AA30&lt;&gt;"",1+(Skills!AA30/10)*(U2476/1000)/100,1)</f>
        <v/>
      </c>
      <c r="J2503" t="inlineStr"/>
      <c r="K2503" t="inlineStr"/>
      <c r="L2503" t="inlineStr"/>
      <c r="M2503" t="inlineStr"/>
      <c r="N2503" t="inlineStr"/>
      <c r="O2503">
        <f>(1-Summary!$B$11)*T2503+Summary!$B$11*V2503</f>
        <v/>
      </c>
      <c r="P2503">
        <f>IF(B2517=0,0,O2503/B2517)</f>
        <v/>
      </c>
      <c r="Q2503" t="n">
        <v>0</v>
      </c>
      <c r="R2503" t="n">
        <v>0</v>
      </c>
      <c r="S2503">
        <f>IFERROR(O2503/N2503,0)</f>
        <v/>
      </c>
      <c r="T2503" t="n">
        <v>0</v>
      </c>
      <c r="V2503" t="n">
        <v>0</v>
      </c>
    </row>
    <row r="2504">
      <c r="A2504">
        <f>Skills!A31</f>
        <v/>
      </c>
      <c r="B2504">
        <f>Skills!B31</f>
        <v/>
      </c>
      <c r="C2504">
        <f>Inputs!$B$3&gt;=107</f>
        <v/>
      </c>
      <c r="D2504">
        <f>IF(Skills!C31=1,60+Inputs!$B$25+Inputs!$B$29,IF(Skills!C31=2,90+Inputs!$B$26+Inputs!$B$29,IF(Skills!C31=3,120+Inputs!$B$27+Inputs!$B$29,MAX(0,(Inputs!$B$3-100)*3)+Inputs!$B$28+Inputs!$B$29)))</f>
        <v/>
      </c>
      <c r="E2504">
        <f>INDEX(FactorTable!$B$2:$Y$301, MATCH(ROUND(MIN(300,MAX(1,D2504)),0), FactorTable!$A$2:$A$301,0), Skills!M31+1)</f>
        <v/>
      </c>
      <c r="F2504">
        <f>IF(Skills!N31=TRUE,(Skills!L31/10)*(E2504/1000),Skills!L31/10)+Skills!O31</f>
        <v/>
      </c>
      <c r="G2504">
        <f>Calc!G31</f>
        <v/>
      </c>
      <c r="H2504">
        <f>Calc!H31</f>
        <v/>
      </c>
      <c r="I2504">
        <f>IF(Skills!AA31&lt;&gt;"",1+(Skills!AA31/10)*(U2476/1000)/100,1)</f>
        <v/>
      </c>
      <c r="J2504" t="inlineStr"/>
      <c r="K2504" t="inlineStr"/>
      <c r="L2504" t="inlineStr"/>
      <c r="M2504" t="inlineStr"/>
      <c r="N2504" t="inlineStr"/>
      <c r="O2504">
        <f>(1-Summary!$B$11)*T2504+Summary!$B$11*V2504</f>
        <v/>
      </c>
      <c r="P2504">
        <f>IF(B2517=0,0,O2504/B2517)</f>
        <v/>
      </c>
      <c r="Q2504" t="n">
        <v>0</v>
      </c>
      <c r="R2504" t="n">
        <v>0</v>
      </c>
      <c r="S2504">
        <f>IFERROR(O2504/N2504,0)</f>
        <v/>
      </c>
      <c r="T2504" t="n">
        <v>0</v>
      </c>
      <c r="V2504" t="n">
        <v>0</v>
      </c>
    </row>
    <row r="2506">
      <c r="A2506" t="inlineStr">
        <is>
          <t>Actions Per Second (pre-Adrenalin)</t>
        </is>
      </c>
      <c r="B2506">
        <f>1+MIN(150,150*(1-(1-(Inputs!$B$11+((C2495=TRUE)*(F2495-Calc!F22))+(ArtifactsInput!$M$15-ArtifactsInput!$M$15)*CHOOSE(ArtifactsInput!$N$15+1,8,9.6,11.2,12.8,14.4,16))/150)*(1-((C2492=TRUE)*F2492*IF(AND(Inputs!$B$39&lt;&gt;"pvp",Inputs!$B$44&gt;0),(((R2492-1)*(Skills!Y19*(1+Inputs!$B$34/100))+MIN((Skills!Y19*(1+Inputs!$B$34/100)),MAX(0,Inputs!$B$44-((R2492-1)*Skills!D19))))/Inputs!$B$44),IF(Inputs!$B$39="pvp",MIN((Skills!Y19*(1+Inputs!$B$34/100)),15)/15,(Skills!Y19*(1+Inputs!$B$34/100))/Skills!D19)))/150)))/100</f>
        <v/>
      </c>
    </row>
    <row r="2507">
      <c r="A2507" t="inlineStr">
        <is>
          <t>Alchemic Adrenaline Uptime</t>
        </is>
      </c>
      <c r="B2507">
        <f>(Skills!Y6*(1+Inputs!$B$34/100))/((Skills!Y6*(1+Inputs!$B$34/100))+(5/B2506))</f>
        <v/>
      </c>
    </row>
    <row r="2508">
      <c r="A2508" t="inlineStr">
        <is>
          <t>Attack Speed Buff Bonus %</t>
        </is>
      </c>
      <c r="B2508">
        <f>((C2492=TRUE)*F2492*IF(AND(Inputs!$B$39&lt;&gt;"pvp",Inputs!$B$44&gt;0),(((R2492-1)*(Skills!Y19*(1+Inputs!$B$34/100))+MIN((Skills!Y19*(1+Inputs!$B$34/100)),MAX(0,Inputs!$B$44-((R2492-1)*Skills!D19))))/Inputs!$B$44),IF(Inputs!$B$39="pvp",MIN((Skills!Y19*(1+Inputs!$B$34/100)),15)/15,(Skills!Y19*(1+Inputs!$B$34/100))/Skills!D19)))+((C2480=TRUE)*F2480*B2507)</f>
        <v/>
      </c>
    </row>
    <row r="2509">
      <c r="A2509" t="inlineStr">
        <is>
          <t>Actions Per Second (final)</t>
        </is>
      </c>
      <c r="B2509">
        <f>1+MIN(150,150*(1-(1-(Inputs!$B$11+((C2495=TRUE)*(F2495-Calc!F22))+(ArtifactsInput!$M$15-ArtifactsInput!$M$15)*CHOOSE(ArtifactsInput!$N$15+1,8,9.6,11.2,12.8,14.4,16))/150)*(1-B2508/150)))/100</f>
        <v/>
      </c>
    </row>
    <row r="2510">
      <c r="A2510" t="inlineStr">
        <is>
          <t>Skill + Buff Cast Rate</t>
        </is>
      </c>
      <c r="B2510">
        <f>IF(AND(Inputs!$B$39&lt;&gt;"pvp",Inputs!$B$44&gt;0),SUMPRODUCT((Skills!E2:E31=TRUE)*(C2475:C2504=TRUE)*R2475:R2504*Skills!F2:F31)/Inputs!$B$44,SUMPRODUCT((Skills!E2:E31=TRUE)*(C2475:C2504=TRUE)*Q2475:Q2504*Skills!F2:F31))</f>
        <v/>
      </c>
    </row>
    <row r="2511">
      <c r="A2511" t="inlineStr">
        <is>
          <t>Showdown Casts Per Second</t>
        </is>
      </c>
      <c r="B2511">
        <f>MAX(0,B2509-B2510)</f>
        <v/>
      </c>
    </row>
    <row r="2512">
      <c r="A2512" t="inlineStr">
        <is>
          <t>Average Buff Multiplier</t>
        </is>
      </c>
      <c r="B2512">
        <f>(1+(((C2494=TRUE)*F2494*IF(AND(Inputs!$B$39&lt;&gt;"pvp",Inputs!$B$44&gt;0),(((R2494-1)*(Skills!Y21*(1+Inputs!$B$34/100))+MIN((Skills!Y21*(1+Inputs!$B$34/100)),MAX(0,Inputs!$B$44-((R2494-1)*Skills!D21))))/Inputs!$B$44),IF(Inputs!$B$39="pvp",MIN((Skills!Y21*(1+Inputs!$B$34/100)),15)/15,(Skills!Y21*(1+Inputs!$B$34/100))/Skills!D21)))+((C2501=TRUE)*(F2501-Calc!F28))+((C2491=TRUE)*(F2491-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2488=TRUE)*F2488*IF(AND(Inputs!$B$39&lt;&gt;"pvp",Inputs!$B$44&gt;0),(((R2488-1)*(Skills!Y15*(1+Inputs!$B$34/100))+MIN((Skills!Y15*(1+Inputs!$B$34/100)),MAX(0,Inputs!$B$44-((R2488-1)*Skills!D15))))/Inputs!$B$44),IF(Inputs!$B$39="pvp",MIN((Skills!Y15*(1+Inputs!$B$34/100)),15)/15,(Skills!Y15*(1+Inputs!$B$34/100))/Skills!D15)))/100)*(1+((C2479=TRUE)*F2479*B2507)/100)</f>
        <v/>
      </c>
    </row>
    <row r="2513">
      <c r="A2513" t="inlineStr">
        <is>
          <t>Global Crit Rate Bonus %</t>
        </is>
      </c>
      <c r="B2513">
        <f>IF(Inputs!$B$3&gt;=47,8,0)+((C2493=TRUE)*F2493*IF(AND(Inputs!$B$39&lt;&gt;"pvp",Inputs!$B$44&gt;0),(((R2493-1)*(Skills!Y20*(1+Inputs!$B$34/100))+MIN((Skills!Y20*(1+Inputs!$B$34/100)),MAX(0,Inputs!$B$44-((R2493-1)*Skills!D20))))/Inputs!$B$44),IF(Inputs!$B$39="pvp",MIN((Skills!Y20*(1+Inputs!$B$34/100)),15)/15,(Skills!Y20*(1+Inputs!$B$34/100))/Skills!D20)))</f>
        <v/>
      </c>
    </row>
    <row r="2514">
      <c r="A2514" t="inlineStr">
        <is>
          <t>Global Monster Damage-Taken Bonus %</t>
        </is>
      </c>
      <c r="B2514">
        <f>IF(Inputs!$B$3&gt;=82,15,0)+((C2489=TRUE)*F2489*IF(AND(Inputs!$B$39&lt;&gt;"pvp",Inputs!$B$44&gt;0),(((R2489-1)*(Skills!Y16*(1+Inputs!$B$34/100))+MIN((Skills!Y16*(1+Inputs!$B$34/100)),MAX(0,Inputs!$B$44-((R2489-1)*Skills!D16))))/Inputs!$B$44),IF(Inputs!$B$39="pvp",MIN((Skills!Y16*(1+Inputs!$B$34/100)),15)/15,(Skills!Y16*(1+Inputs!$B$34/100))/Skills!D16)))</f>
        <v/>
      </c>
    </row>
    <row r="2515">
      <c r="A2515" t="inlineStr">
        <is>
          <t>Shadow Partner Average Multiplier</t>
        </is>
      </c>
      <c r="B2515">
        <f>1+((C2484=TRUE)*F2484*I2484*Skills!J11/100)/100</f>
        <v/>
      </c>
    </row>
    <row r="2516">
      <c r="A2516" t="inlineStr">
        <is>
          <t>Global Critical Damage Bonus % (Frailty Curse Mastery Lv.111)</t>
        </is>
      </c>
      <c r="B2516">
        <f>IF(Inputs!$B$3&gt;=111,30,0)*IF(AND(Inputs!$B$39&lt;&gt;"pvp",Inputs!$B$44&gt;0),(((R2489-1)*(Skills!Y16*(1+Inputs!$B$34/100))+MIN((Skills!Y16*(1+Inputs!$B$34/100)),MAX(0,Inputs!$B$44-((R2489-1)*Skills!D16))))/Inputs!$B$44),IF(Inputs!$B$39="pvp",MIN((Skills!Y16*(1+Inputs!$B$34/100)),15)/15,(Skills!Y16*(1+Inputs!$B$34/100))/Skills!D16))</f>
        <v/>
      </c>
    </row>
    <row r="2517">
      <c r="A2517" s="6" t="inlineStr">
        <is>
          <t>TOTAL DPS</t>
        </is>
      </c>
      <c r="B2517" s="6">
        <f>SUM(O2475:O2504)</f>
        <v/>
      </c>
    </row>
    <row r="2518">
      <c r="A2518" t="inlineStr">
        <is>
          <t>Buff-Casting Startup Delay (s, fixed-duration only)</t>
        </is>
      </c>
      <c r="B2518">
        <f>IF(AND(Inputs!$B$39&lt;&gt;"pvp",Inputs!$B$44&gt;0),SUMPRODUCT((Skills!Y2:Y31&gt;0)*(Skills!E2:E31=TRUE)*(C2475:C2504=TRUE))/B2509,0)</f>
        <v/>
      </c>
    </row>
    <row r="2519">
      <c r="A2519" t="inlineStr">
        <is>
          <t>Boss-Only Total DPS (this block's swept value)</t>
        </is>
      </c>
      <c r="B2519">
        <f>SUM(T2475:T2504)</f>
        <v/>
      </c>
    </row>
    <row r="2520">
      <c r="A2520" t="inlineStr">
        <is>
          <t>Normal-Only Total DPS (this block's swept value)</t>
        </is>
      </c>
      <c r="B2520">
        <f>SUM(V2475:V2504)</f>
        <v/>
      </c>
    </row>
    <row r="2522">
      <c r="A2522" s="6" t="inlineStr">
        <is>
          <t>Stat: Ancient Text Piece (Equip)</t>
        </is>
      </c>
    </row>
    <row r="2523">
      <c r="A2523" s="5" t="inlineStr">
        <is>
          <t>Key</t>
        </is>
      </c>
      <c r="B2523" s="5" t="inlineStr">
        <is>
          <t>Name</t>
        </is>
      </c>
      <c r="C2523" s="5" t="inlineStr">
        <is>
          <t>Unlocked</t>
        </is>
      </c>
      <c r="D2523" s="5" t="inlineStr">
        <is>
          <t>InputLevel</t>
        </is>
      </c>
      <c r="E2523" s="5" t="inlineStr">
        <is>
          <t>Factor</t>
        </is>
      </c>
      <c r="F2523" s="5" t="inlineStr">
        <is>
          <t>CoefficientPercent</t>
        </is>
      </c>
      <c r="G2523" s="5" t="inlineStr">
        <is>
          <t>EffectiveHits</t>
        </is>
      </c>
      <c r="H2523" s="5" t="inlineStr">
        <is>
          <t>ProcProbability</t>
        </is>
      </c>
      <c r="I2523" s="5" t="inlineStr">
        <is>
          <t>MapleHeroMultiplier</t>
        </is>
      </c>
      <c r="J2523" s="5" t="inlineStr">
        <is>
          <t>BaseDamage</t>
        </is>
      </c>
      <c r="K2523" s="5" t="inlineStr">
        <is>
          <t>BaseHitDamage</t>
        </is>
      </c>
      <c r="L2523" s="5" t="inlineStr">
        <is>
          <t>NonCritAvg</t>
        </is>
      </c>
      <c r="M2523" s="5" t="inlineStr">
        <is>
          <t>CritAvg</t>
        </is>
      </c>
      <c r="N2523" s="5" t="inlineStr">
        <is>
          <t>ExpectedDamage(perHit)</t>
        </is>
      </c>
      <c r="O2523" s="5" t="inlineStr">
        <is>
          <t>DPS</t>
        </is>
      </c>
      <c r="P2523" s="5" t="inlineStr">
        <is>
          <t>% of Total</t>
        </is>
      </c>
      <c r="Q2523" s="5" t="inlineStr">
        <is>
          <t>InvCooldown</t>
        </is>
      </c>
      <c r="R2523" s="5" t="inlineStr">
        <is>
          <t>CastsInFight</t>
        </is>
      </c>
      <c r="S2523" s="5" t="inlineStr">
        <is>
          <t>HitRate(perSec)</t>
        </is>
      </c>
      <c r="U2523" t="inlineStr">
        <is>
          <t>helpers</t>
        </is>
      </c>
    </row>
    <row r="2524">
      <c r="A2524">
        <f>Skills!A2</f>
        <v/>
      </c>
      <c r="B2524">
        <f>Skills!B2</f>
        <v/>
      </c>
      <c r="C2524">
        <f>Inputs!$B$3&gt;=100</f>
        <v/>
      </c>
      <c r="D2524" t="inlineStr"/>
      <c r="E2524" t="inlineStr"/>
      <c r="F2524">
        <f>U2528+Skills!O2</f>
        <v/>
      </c>
      <c r="G2524">
        <f>Calc!G2</f>
        <v/>
      </c>
      <c r="H2524">
        <f>Calc!H2</f>
        <v/>
      </c>
      <c r="I2524">
        <f>IF(Skills!AA2&lt;&gt;"",1+(Skills!AA2/10)*(U2525/1000)/100,1)</f>
        <v/>
      </c>
      <c r="J2524">
        <f>((Inputs!$B$6*(1+Inputs!$B$7/100))+(((Inputs!$B$12*(1+Inputs!$B$13/100))-(Inputs!$B$12*(1+Inputs!$B$13/100)))+0.25*(Inputs!$B$14-Inputs!$B$14))*(1+Inputs!$B$7/100))*(F2524/100)</f>
        <v/>
      </c>
      <c r="K2524">
        <f>J2524*(1+((Inputs!$B$12*(1+Inputs!$B$13/100))*0.01+Inputs!$B$14*0.0025)/100)*(1+Inputs!$B$15/100)*(1+Inputs!$B$16/100)*(5000/(6000+Inputs!$B$43*(1-(100*(1-(1-(Inputs!$B$19+0)/100)*(1-CHOOSE(ArtifactsInput!$N$40+1,5,6,7,8,9,10)/100)^(ArtifactsInput!$M$40-ArtifactsInput!$M$40)))/100)))*(1+(Inputs!$B$24+((C2552=TRUE)*(F2552-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2545=TRUE)*(F2545-Calc!F23))+(((IF(AND(ArtifactsInput!$M$42,((Inputs!$B$9+((C2547=TRUE)*(F2547-Calc!F25))+B2562+(ArtifactsInput!$M$24-ArtifactsInput!$M$24)*CHOOSE(ArtifactsInput!$N$24+1,10,12,14,16,18,20)+IF(ArtifactsInput!$M$10,CHOOSE(ArtifactsInput!$N$10+1,15,18,21,24,27,30)*(IF(Inputs!$B$39="pvp",MIN(15,15)/15,IF(AND(Inputs!$B$39&lt;&gt;"pvp",Inputs!$B$44&gt;0),MIN(15,Inputs!$B$44)/(Inputs!$B$44),0))),0)))&gt;=100),MIN(100,((Inputs!$B$9+((C2547=TRUE)*(F2547-Calc!F25))+B2562+(ArtifactsInput!$M$24-ArtifactsInput!$M$24)*CHOOSE(ArtifactsInput!$N$24+1,10,12,14,16,18,20)+IF(ArtifactsInput!$M$10,CHOOSE(ArtifactsInput!$N$10+1,15,18,21,24,27,30)*(IF(Inputs!$B$39="pvp",MIN(15,15)/15,IF(AND(Inputs!$B$39&lt;&gt;"pvp",Inputs!$B$44&gt;0),MIN(15,Inputs!$B$44)/(Inputs!$B$44),0))),0)))-100),0))*CHOOSE(ArtifactsInput!$N$42+1,0.6,0.72,0.84,0.96,1.08,1.2))),Inputs!$B$18+((C2551=TRUE)*(F2551-Calc!F29))+(IF(AND(ArtifactsInput!$M$42,((Inputs!$B$9+((C2547=TRUE)*(F2547-Calc!F25))+B2562+(ArtifactsInput!$M$24-ArtifactsInput!$M$24)*CHOOSE(ArtifactsInput!$N$24+1,10,12,14,16,18,20)+IF(ArtifactsInput!$M$10,CHOOSE(ArtifactsInput!$N$10+1,15,18,21,24,27,30)*(IF(Inputs!$B$39="pvp",MIN(15,15)/15,IF(AND(Inputs!$B$39&lt;&gt;"pvp",Inputs!$B$44&gt;0),MIN(15,Inputs!$B$44)/(Inputs!$B$44),0))),0)))&gt;=100),CHOOSE(ArtifactsInput!$N$42+1,40,48,56,64,72,80),0))))/100)*(((1+(((C2543=TRUE)*F2543*IF(AND(Inputs!$B$39&lt;&gt;"pvp",Inputs!$B$44&gt;0),(((R2543-1)*(Skills!Y21*(1+Inputs!$B$34/100))+MIN((Skills!Y21*(1+Inputs!$B$34/100)),MAX(0,Inputs!$B$44-((R2543-1)*Skills!D21))))/Inputs!$B$44),IF(Inputs!$B$39="pvp",MIN((Skills!Y21*(1+Inputs!$B$34/100)),15)/15,(Skills!Y21*(1+Inputs!$B$34/100))/Skills!D21)))+((C2550=TRUE)*(F2550-Calc!F28))+((C2540=TRUE)*(F2540-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2537=TRUE)*F2537*IF(AND(Inputs!$B$39&lt;&gt;"pvp",Inputs!$B$44&gt;0),(((R2537-1)*(Skills!Y15*(1+Inputs!$B$34/100))+MIN((Skills!Y15*(1+Inputs!$B$34/100)),MAX(0,Inputs!$B$44-((R2537-1)*Skills!D15))))/Inputs!$B$44),IF(Inputs!$B$39="pvp",MIN((Skills!Y15*(1+Inputs!$B$34/100)),15)/15,(Skills!Y15*(1+Inputs!$B$34/100))/Skills!D15)))/100)*(1+((C2528=TRUE)*F2528*B2556)/100))*B2564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2524)</f>
        <v/>
      </c>
      <c r="L2524">
        <f>K2524*(MIN(Inputs!$B$22+((C2546=TRUE)*(F2546-Calc!F24)),(Inputs!$B$23+0+(IF(ArtifactsInput!$M$15,CHOOSE(ArtifactsInput!$N$15+1,25,30,35,40,45,50)/100*(Inputs!$B$11-Inputs!$B$11),0))))/100+(Inputs!$B$23+0+(IF(ArtifactsInput!$M$15,CHOOSE(ArtifactsInput!$N$15+1,25,30,35,40,45,50)/100*(Inputs!$B$11-Inputs!$B$11),0)))/100)/2</f>
        <v/>
      </c>
      <c r="M2524">
        <f>L2524*(1+(Inputs!$B$10+((C2548=TRUE)*(F2548-Calc!F26))+B2565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24">
        <f>L2524*(1-MIN((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2524*(MIN((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24">
        <f>(1-Summary!$B$11)*T2524+Summary!$B$11*V2524</f>
        <v/>
      </c>
      <c r="P2524">
        <f>IF(B2566=0,0,O2524/B2566)</f>
        <v/>
      </c>
      <c r="Q2524" t="n">
        <v>0</v>
      </c>
      <c r="R2524" t="n">
        <v>0</v>
      </c>
      <c r="S2524">
        <f>IFERROR(O2524/N2524,0)</f>
        <v/>
      </c>
      <c r="T2524">
        <f>IF(C2524,(Skills!G2*N2524*B2560)*IF(Inputs!$B$39="pvp",1,1+(Inputs!$B$20+((C2549=TRUE)*(F2549-Calc!F27))+Skills!P2+B2563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Hunt"),CHOOSE(ArtifactsInput!$N$35+1,15,18,21,24,27,30)*(1-EXP(-(0.2*B2558)*5)),0)+IF(AND(ArtifactsInput!$M$22,Inputs!$B$4&lt;&gt;"Chapter Hunt"),CHOOSE(ArtifactsInput!$N$22+1,10,12,14,16,18,20)*((0*(((0.15*B2558*5))^0/1)+1*(((0.15*B2558*5))^1/1)+2*(((0.15*B2558*5))^2/2)+3*(((0.15*B2558*5))^3/6)+4*(((0.15*B2558*5))^4/24)+5*(((0.15*B2558*5))^5/120))/((((0.15*B2558*5))^0/1)+(((0.15*B2558*5))^1/1)+(((0.15*B2558*5))^2/2)+(((0.15*B2558*5))^3/6)+(((0.15*B2558*5))^4/24)+(((0.15*B2558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2524*(1-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2524*(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2524*(1-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2524*(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24">
        <f>MAX(0,(Inputs!$B$3-100)*3)+Inputs!$B$28+Inputs!$B$29</f>
        <v/>
      </c>
      <c r="V2524">
        <f>IF(C2524,(Skills!G2*N2524*B2560)*IF(Inputs!$B$39="pvp",1,(1+(Inputs!$B$21+Skills!Q2+B2563+(IF(ArtifactsInput!$M$33,CHOOSE(ArtifactsInput!$N$33+1,30,36,42,48,54,60),0))+(IF(AND(ArtifactsInput!$M$35,Inputs!$B$4&lt;&gt;"Chapter Hunt"),CHOOSE(ArtifactsInput!$N$35+1,15,18,21,24,27,30)*(1-EXP(-(0.2*B2558)*5)),0)+IF(AND(ArtifactsInput!$M$22,Inputs!$B$4&lt;&gt;"Chapter Hunt"),CHOOSE(ArtifactsInput!$N$22+1,10,12,14,16,18,20)*((0*(((0.15*B2558*5))^0/1)+1*(((0.15*B2558*5))^1/1)+2*(((0.15*B2558*5))^2/2)+3*(((0.15*B2558*5))^3/6)+4*(((0.15*B2558*5))^4/24)+5*(((0.15*B2558*5))^5/120))/((((0.15*B2558*5))^0/1)+(((0.15*B2558*5))^1/1)+(((0.15*B2558*5))^2/2)+(((0.15*B2558*5))^3/6)+(((0.15*B2558*5))^4/24)+(((0.15*B2558*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25">
      <c r="A2525">
        <f>Skills!A3</f>
        <v/>
      </c>
      <c r="B2525">
        <f>Skills!B3</f>
        <v/>
      </c>
      <c r="C2525">
        <f>Inputs!$B$3&gt;=35</f>
        <v/>
      </c>
      <c r="D2525">
        <f>IF(Skills!C3=1,60+Inputs!$B$25+Inputs!$B$29,IF(Skills!C3=2,90+Inputs!$B$26+Inputs!$B$29,IF(Skills!C3=3,120+Inputs!$B$27+Inputs!$B$29,MAX(0,(Inputs!$B$3-100)*3)+Inputs!$B$28+Inputs!$B$29)))</f>
        <v/>
      </c>
      <c r="E2525">
        <f>INDEX(FactorTable!$B$2:$Y$301, MATCH(ROUND(MIN(300,MAX(1,D2525)),0), FactorTable!$A$2:$A$301,0), Skills!M3+1)</f>
        <v/>
      </c>
      <c r="F2525">
        <f>IF(Skills!N3=TRUE,(Skills!L3/10)*(E2525/1000),Skills!L3/10)+Skills!O3</f>
        <v/>
      </c>
      <c r="G2525">
        <f>Calc!G3</f>
        <v/>
      </c>
      <c r="H2525">
        <f>Calc!H3</f>
        <v/>
      </c>
      <c r="I2525">
        <f>IF(Skills!AA3&lt;&gt;"",1+(Skills!AA3/10)*(U2525/1000)/100,1)</f>
        <v/>
      </c>
      <c r="J2525">
        <f>((Inputs!$B$6*(1+Inputs!$B$7/100))+(((Inputs!$B$12*(1+Inputs!$B$13/100))-(Inputs!$B$12*(1+Inputs!$B$13/100)))+0.25*(Inputs!$B$14-Inputs!$B$14))*(1+Inputs!$B$7/100))*(F2525/100)</f>
        <v/>
      </c>
      <c r="K2525">
        <f>J2525*(1+((Inputs!$B$12*(1+Inputs!$B$13/100))*0.01+Inputs!$B$14*0.0025)/100)*(1+Inputs!$B$15/100)*(1+Inputs!$B$16/100)*(5000/(6000+Inputs!$B$43*(1-(100*(1-(1-(Inputs!$B$19+0)/100)*(1-CHOOSE(ArtifactsInput!$N$40+1,5,6,7,8,9,10)/100)^(ArtifactsInput!$M$40-ArtifactsInput!$M$40)))/100)))*(1+(Inputs!$B$24+((C2552=TRUE)*(F2552-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2545=TRUE)*(F2545-Calc!F23))+(((IF(AND(ArtifactsInput!$M$42,((Inputs!$B$9+((C2547=TRUE)*(F2547-Calc!F25))+B2562+(ArtifactsInput!$M$24-ArtifactsInput!$M$24)*CHOOSE(ArtifactsInput!$N$24+1,10,12,14,16,18,20)+IF(ArtifactsInput!$M$10,CHOOSE(ArtifactsInput!$N$10+1,15,18,21,24,27,30)*(IF(Inputs!$B$39="pvp",MIN(15,15)/15,IF(AND(Inputs!$B$39&lt;&gt;"pvp",Inputs!$B$44&gt;0),MIN(15,Inputs!$B$44)/(Inputs!$B$44),0))),0)))&gt;=100),MIN(100,((Inputs!$B$9+((C2547=TRUE)*(F2547-Calc!F25))+B2562+(ArtifactsInput!$M$24-ArtifactsInput!$M$24)*CHOOSE(ArtifactsInput!$N$24+1,10,12,14,16,18,20)+IF(ArtifactsInput!$M$10,CHOOSE(ArtifactsInput!$N$10+1,15,18,21,24,27,30)*(IF(Inputs!$B$39="pvp",MIN(15,15)/15,IF(AND(Inputs!$B$39&lt;&gt;"pvp",Inputs!$B$44&gt;0),MIN(15,Inputs!$B$44)/(Inputs!$B$44),0))),0)))-100),0))*CHOOSE(ArtifactsInput!$N$42+1,0.6,0.72,0.84,0.96,1.08,1.2))),Inputs!$B$18+((C2551=TRUE)*(F2551-Calc!F29))+(IF(AND(ArtifactsInput!$M$42,((Inputs!$B$9+((C2547=TRUE)*(F2547-Calc!F25))+B2562+(ArtifactsInput!$M$24-ArtifactsInput!$M$24)*CHOOSE(ArtifactsInput!$N$24+1,10,12,14,16,18,20)+IF(ArtifactsInput!$M$10,CHOOSE(ArtifactsInput!$N$10+1,15,18,21,24,27,30)*(IF(Inputs!$B$39="pvp",MIN(15,15)/15,IF(AND(Inputs!$B$39&lt;&gt;"pvp",Inputs!$B$44&gt;0),MIN(15,Inputs!$B$44)/(Inputs!$B$44),0))),0)))&gt;=100),CHOOSE(ArtifactsInput!$N$42+1,40,48,56,64,72,80),0))))/100)*(((1+(((C2543=TRUE)*F2543*IF(AND(Inputs!$B$39&lt;&gt;"pvp",Inputs!$B$44&gt;0),(((R2543-1)*(Skills!Y21*(1+Inputs!$B$34/100))+MIN((Skills!Y21*(1+Inputs!$B$34/100)),MAX(0,Inputs!$B$44-((R2543-1)*Skills!D21))))/Inputs!$B$44),IF(Inputs!$B$39="pvp",MIN((Skills!Y21*(1+Inputs!$B$34/100)),15)/15,(Skills!Y21*(1+Inputs!$B$34/100))/Skills!D21)))+((C2550=TRUE)*(F2550-Calc!F28))+((C2540=TRUE)*(F2540-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2537=TRUE)*F2537*IF(AND(Inputs!$B$39&lt;&gt;"pvp",Inputs!$B$44&gt;0),(((R2537-1)*(Skills!Y15*(1+Inputs!$B$34/100))+MIN((Skills!Y15*(1+Inputs!$B$34/100)),MAX(0,Inputs!$B$44-((R2537-1)*Skills!D15))))/Inputs!$B$44),IF(Inputs!$B$39="pvp",MIN((Skills!Y15*(1+Inputs!$B$34/100)),15)/15,(Skills!Y15*(1+Inputs!$B$34/100))/Skills!D15)))/100)*(1+((C2528=TRUE)*F2528*B2556)/100))*B2564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2525)</f>
        <v/>
      </c>
      <c r="L2525">
        <f>K2525*(MIN(Inputs!$B$22+((C2546=TRUE)*(F2546-Calc!F24)),(Inputs!$B$23+0+(IF(ArtifactsInput!$M$15,CHOOSE(ArtifactsInput!$N$15+1,25,30,35,40,45,50)/100*(Inputs!$B$11-Inputs!$B$11),0))))/100+(Inputs!$B$23+0+(IF(ArtifactsInput!$M$15,CHOOSE(ArtifactsInput!$N$15+1,25,30,35,40,45,50)/100*(Inputs!$B$11-Inputs!$B$11),0)))/100)/2</f>
        <v/>
      </c>
      <c r="M2525">
        <f>L2525*(1+(Inputs!$B$10+((C2548=TRUE)*(F2548-Calc!F26))+B2565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25">
        <f>L2525*(1-MIN((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2525*(MIN((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25">
        <f>(1-Summary!$B$11)*T2525+Summary!$B$11*V2525</f>
        <v/>
      </c>
      <c r="P2525">
        <f>IF(B2566=0,0,O2525/B2566)</f>
        <v/>
      </c>
      <c r="Q2525">
        <f>IFERROR(1/IF(Inputs!$B$39="pvp",15,MAX(0.1,Skills!D3-IF(Skills!E3=TRUE,Inputs!$B$32,0))),0)</f>
        <v/>
      </c>
      <c r="R2525">
        <f>IF(AND(Inputs!$B$39&lt;&gt;"pvp",Inputs!$B$44&gt;0),IF(MAX(0,Inputs!$B$44-B2567)&lt;=0,0,(INT(MAX(0,Inputs!$B$44-B2567)/IF(Inputs!$B$39="pvp",15,MAX(0.1,Skills!D3-IF(Skills!E3=TRUE,Inputs!$B$32,0))))+1)),0)</f>
        <v/>
      </c>
      <c r="S2525">
        <f>IFERROR(O2525/N2525,0)</f>
        <v/>
      </c>
      <c r="T2525">
        <f>IF(C2525,(H2525*N2525*IF(AND(Inputs!$B$39&lt;&gt;"pvp",Inputs!$B$44&gt;0),((Skills!G3*((R2525-1)*IF(Skills!H3&gt;0,Skills!I3/Skills!H3,1)+IF(Skills!H3&gt;0,MIN(Skills!I3,MAX(0,MAX(0,Inputs!$B$44-B2567)-((R2525-1)*IF(Inputs!$B$39="pvp",15,MAX(0.1,Skills!D3-IF(Skills!E3=TRUE,Inputs!$B$32,0))))))/Skills!H3,1)))/Inputs!$B$44),G2525*Q2525))*IF(Inputs!$B$39="pvp",1,1+(Inputs!$B$20+((C2549=TRUE)*(F2549-Calc!F27))+Skills!P3+B2563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Hunt"),CHOOSE(ArtifactsInput!$N$35+1,15,18,21,24,27,30)*(1-EXP(-(0.2*B2558)*5)),0)+IF(AND(ArtifactsInput!$M$22,Inputs!$B$4&lt;&gt;"Chapter Hunt"),CHOOSE(ArtifactsInput!$N$22+1,10,12,14,16,18,20)*((0*(((0.15*B2558*5))^0/1)+1*(((0.15*B2558*5))^1/1)+2*(((0.15*B2558*5))^2/2)+3*(((0.15*B2558*5))^3/6)+4*(((0.15*B2558*5))^4/24)+5*(((0.15*B2558*5))^5/120))/((((0.15*B2558*5))^0/1)+(((0.15*B2558*5))^1/1)+(((0.15*B2558*5))^2/2)+(((0.15*B2558*5))^3/6)+(((0.15*B2558*5))^4/24)+(((0.15*B2558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2525*(1-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2525*(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2525*(1-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2525*(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25">
        <f>INDEX(FactorTable!$B$2:$Y$301, MATCH(ROUND(MIN(300,MAX(1,U2524)),0), FactorTable!$A$2:$A$301,0), 24)</f>
        <v/>
      </c>
      <c r="V2525">
        <f>IF(C2525,(H2525*N2525*IF(AND(Inputs!$B$39&lt;&gt;"pvp",Inputs!$B$44&gt;0),((Skills!G3*((R2525-1)*IF(Skills!H3&gt;0,Skills!I3/Skills!H3,1)+IF(Skills!H3&gt;0,MIN(Skills!I3,MAX(0,MAX(0,Inputs!$B$44-B2567)-((R2525-1)*IF(Inputs!$B$39="pvp",15,MAX(0.1,Skills!D3-IF(Skills!E3=TRUE,Inputs!$B$32,0))))))/Skills!H3,1)))/Inputs!$B$44),G2525*Q2525))*IF(Inputs!$B$39="pvp",1,(1+(Inputs!$B$21+Skills!Q3+B2563+(IF(ArtifactsInput!$M$33,CHOOSE(ArtifactsInput!$N$33+1,30,36,42,48,54,60),0))+(IF(AND(ArtifactsInput!$M$35,Inputs!$B$4&lt;&gt;"Chapter Hunt"),CHOOSE(ArtifactsInput!$N$35+1,15,18,21,24,27,30)*(1-EXP(-(0.2*B2558)*5)),0)+IF(AND(ArtifactsInput!$M$22,Inputs!$B$4&lt;&gt;"Chapter Hunt"),CHOOSE(ArtifactsInput!$N$22+1,10,12,14,16,18,20)*((0*(((0.15*B2558*5))^0/1)+1*(((0.15*B2558*5))^1/1)+2*(((0.15*B2558*5))^2/2)+3*(((0.15*B2558*5))^3/6)+4*(((0.15*B2558*5))^4/24)+5*(((0.15*B2558*5))^5/120))/((((0.15*B2558*5))^0/1)+(((0.15*B2558*5))^1/1)+(((0.15*B2558*5))^2/2)+(((0.15*B2558*5))^3/6)+(((0.15*B2558*5))^4/24)+(((0.15*B2558*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26">
      <c r="A2526">
        <f>Skills!A4</f>
        <v/>
      </c>
      <c r="B2526">
        <f>Skills!B4</f>
        <v/>
      </c>
      <c r="C2526">
        <f>Inputs!$B$3&gt;=40</f>
        <v/>
      </c>
      <c r="D2526">
        <f>IF(Skills!C4=1,60+Inputs!$B$25+Inputs!$B$29,IF(Skills!C4=2,90+Inputs!$B$26+Inputs!$B$29,IF(Skills!C4=3,120+Inputs!$B$27+Inputs!$B$29,MAX(0,(Inputs!$B$3-100)*3)+Inputs!$B$28+Inputs!$B$29)))</f>
        <v/>
      </c>
      <c r="E2526">
        <f>INDEX(FactorTable!$B$2:$Y$301, MATCH(ROUND(MIN(300,MAX(1,D2526)),0), FactorTable!$A$2:$A$301,0), Skills!M4+1)</f>
        <v/>
      </c>
      <c r="F2526">
        <f>IF(Skills!N4=TRUE,(Skills!L4/10)*(E2526/1000),Skills!L4/10)+Skills!O4</f>
        <v/>
      </c>
      <c r="G2526">
        <f>Calc!G4</f>
        <v/>
      </c>
      <c r="H2526">
        <f>Calc!H4</f>
        <v/>
      </c>
      <c r="I2526">
        <f>IF(Skills!AA4&lt;&gt;"",1+(Skills!AA4/10)*(U2525/1000)/100,1)</f>
        <v/>
      </c>
      <c r="J2526">
        <f>((Inputs!$B$6*(1+Inputs!$B$7/100))+(((Inputs!$B$12*(1+Inputs!$B$13/100))-(Inputs!$B$12*(1+Inputs!$B$13/100)))+0.25*(Inputs!$B$14-Inputs!$B$14))*(1+Inputs!$B$7/100))*(F2526/100)</f>
        <v/>
      </c>
      <c r="K2526">
        <f>J2526*(1+((Inputs!$B$12*(1+Inputs!$B$13/100))*0.01+Inputs!$B$14*0.0025)/100)*(1+Inputs!$B$15/100)*(1+Inputs!$B$16/100)*(5000/(6000+Inputs!$B$43*(1-(100*(1-(1-(Inputs!$B$19+0)/100)*(1-CHOOSE(ArtifactsInput!$N$40+1,5,6,7,8,9,10)/100)^(ArtifactsInput!$M$40-ArtifactsInput!$M$40)))/100)))*(1+(Inputs!$B$24+((C2552=TRUE)*(F2552-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2545=TRUE)*(F2545-Calc!F23))+(((IF(AND(ArtifactsInput!$M$42,((Inputs!$B$9+((C2547=TRUE)*(F2547-Calc!F25))+B2562+(ArtifactsInput!$M$24-ArtifactsInput!$M$24)*CHOOSE(ArtifactsInput!$N$24+1,10,12,14,16,18,20)+IF(ArtifactsInput!$M$10,CHOOSE(ArtifactsInput!$N$10+1,15,18,21,24,27,30)*(IF(Inputs!$B$39="pvp",MIN(15,15)/15,IF(AND(Inputs!$B$39&lt;&gt;"pvp",Inputs!$B$44&gt;0),MIN(15,Inputs!$B$44)/(Inputs!$B$44),0))),0)))&gt;=100),MIN(100,((Inputs!$B$9+((C2547=TRUE)*(F2547-Calc!F25))+B2562+(ArtifactsInput!$M$24-ArtifactsInput!$M$24)*CHOOSE(ArtifactsInput!$N$24+1,10,12,14,16,18,20)+IF(ArtifactsInput!$M$10,CHOOSE(ArtifactsInput!$N$10+1,15,18,21,24,27,30)*(IF(Inputs!$B$39="pvp",MIN(15,15)/15,IF(AND(Inputs!$B$39&lt;&gt;"pvp",Inputs!$B$44&gt;0),MIN(15,Inputs!$B$44)/(Inputs!$B$44),0))),0)))-100),0))*CHOOSE(ArtifactsInput!$N$42+1,0.6,0.72,0.84,0.96,1.08,1.2))),Inputs!$B$18+((C2551=TRUE)*(F2551-Calc!F29))+(IF(AND(ArtifactsInput!$M$42,((Inputs!$B$9+((C2547=TRUE)*(F2547-Calc!F25))+B2562+(ArtifactsInput!$M$24-ArtifactsInput!$M$24)*CHOOSE(ArtifactsInput!$N$24+1,10,12,14,16,18,20)+IF(ArtifactsInput!$M$10,CHOOSE(ArtifactsInput!$N$10+1,15,18,21,24,27,30)*(IF(Inputs!$B$39="pvp",MIN(15,15)/15,IF(AND(Inputs!$B$39&lt;&gt;"pvp",Inputs!$B$44&gt;0),MIN(15,Inputs!$B$44)/(Inputs!$B$44),0))),0)))&gt;=100),CHOOSE(ArtifactsInput!$N$42+1,40,48,56,64,72,80),0))))/100)*(((1+(((C2543=TRUE)*F2543*IF(AND(Inputs!$B$39&lt;&gt;"pvp",Inputs!$B$44&gt;0),(((R2543-1)*(Skills!Y21*(1+Inputs!$B$34/100))+MIN((Skills!Y21*(1+Inputs!$B$34/100)),MAX(0,Inputs!$B$44-((R2543-1)*Skills!D21))))/Inputs!$B$44),IF(Inputs!$B$39="pvp",MIN((Skills!Y21*(1+Inputs!$B$34/100)),15)/15,(Skills!Y21*(1+Inputs!$B$34/100))/Skills!D21)))+((C2550=TRUE)*(F2550-Calc!F28))+((C2540=TRUE)*(F2540-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2537=TRUE)*F2537*IF(AND(Inputs!$B$39&lt;&gt;"pvp",Inputs!$B$44&gt;0),(((R2537-1)*(Skills!Y15*(1+Inputs!$B$34/100))+MIN((Skills!Y15*(1+Inputs!$B$34/100)),MAX(0,Inputs!$B$44-((R2537-1)*Skills!D15))))/Inputs!$B$44),IF(Inputs!$B$39="pvp",MIN((Skills!Y15*(1+Inputs!$B$34/100)),15)/15,(Skills!Y15*(1+Inputs!$B$34/100))/Skills!D15)))/100)*(1+((C2528=TRUE)*F2528*B2556)/100))*B2564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2526)</f>
        <v/>
      </c>
      <c r="L2526">
        <f>K2526*(MIN(Inputs!$B$22+((C2546=TRUE)*(F2546-Calc!F24)),(Inputs!$B$23+0+(IF(ArtifactsInput!$M$15,CHOOSE(ArtifactsInput!$N$15+1,25,30,35,40,45,50)/100*(Inputs!$B$11-Inputs!$B$11),0))))/100+(Inputs!$B$23+0+(IF(ArtifactsInput!$M$15,CHOOSE(ArtifactsInput!$N$15+1,25,30,35,40,45,50)/100*(Inputs!$B$11-Inputs!$B$11),0)))/100)/2</f>
        <v/>
      </c>
      <c r="M2526">
        <f>L2526*(1+(Inputs!$B$10+((C2548=TRUE)*(F2548-Calc!F26))+B2565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26">
        <f>L2526*(1-MIN((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2526*(MIN((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26">
        <f>(1-Summary!$B$11)*T2526+Summary!$B$11*V2526</f>
        <v/>
      </c>
      <c r="P2526">
        <f>IF(B2566=0,0,O2526/B2566)</f>
        <v/>
      </c>
      <c r="Q2526">
        <f>IFERROR(1/IF(Inputs!$B$39="pvp",15,MAX(0.1,Skills!D4-IF(Skills!E4=TRUE,Inputs!$B$32,0))),0)</f>
        <v/>
      </c>
      <c r="R2526">
        <f>IF(AND(Inputs!$B$39&lt;&gt;"pvp",Inputs!$B$44&gt;0),IF(MAX(0,Inputs!$B$44-B2567)&lt;=0,0,(INT(MAX(0,Inputs!$B$44-B2567)/IF(Inputs!$B$39="pvp",15,MAX(0.1,Skills!D4-IF(Skills!E4=TRUE,Inputs!$B$32,0))))+1)),0)</f>
        <v/>
      </c>
      <c r="S2526">
        <f>IFERROR(O2526/N2526,0)</f>
        <v/>
      </c>
      <c r="T2526">
        <f>IF(C2526,(H2526*N2526*IF(AND(Inputs!$B$39&lt;&gt;"pvp",Inputs!$B$44&gt;0),((Skills!G4*((R2526-1)*IF(Skills!H4&gt;0,Skills!I4/Skills!H4,1)+IF(Skills!H4&gt;0,MIN(Skills!I4,MAX(0,MAX(0,Inputs!$B$44-B2567)-((R2526-1)*IF(Inputs!$B$39="pvp",15,MAX(0.1,Skills!D4-IF(Skills!E4=TRUE,Inputs!$B$32,0))))))/Skills!H4,1)))/Inputs!$B$44),G2526*Q2526))*IF(Inputs!$B$39="pvp",1,1+(Inputs!$B$20+((C2549=TRUE)*(F2549-Calc!F27))+Skills!P4+B2563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Hunt"),CHOOSE(ArtifactsInput!$N$35+1,15,18,21,24,27,30)*(1-EXP(-(0.2*B2558)*5)),0)+IF(AND(ArtifactsInput!$M$22,Inputs!$B$4&lt;&gt;"Chapter Hunt"),CHOOSE(ArtifactsInput!$N$22+1,10,12,14,16,18,20)*((0*(((0.15*B2558*5))^0/1)+1*(((0.15*B2558*5))^1/1)+2*(((0.15*B2558*5))^2/2)+3*(((0.15*B2558*5))^3/6)+4*(((0.15*B2558*5))^4/24)+5*(((0.15*B2558*5))^5/120))/((((0.15*B2558*5))^0/1)+(((0.15*B2558*5))^1/1)+(((0.15*B2558*5))^2/2)+(((0.15*B2558*5))^3/6)+(((0.15*B2558*5))^4/24)+(((0.15*B2558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2526*(1-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2526*(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2526*(1-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2526*(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26">
        <f>MAX(0,(Inputs!$B$3-100)*3)+Inputs!$B$28+Inputs!$B$29</f>
        <v/>
      </c>
      <c r="V2526">
        <f>IF(C2526,(H2526*N2526*IF(AND(Inputs!$B$39&lt;&gt;"pvp",Inputs!$B$44&gt;0),((Skills!G4*((R2526-1)*IF(Skills!H4&gt;0,Skills!I4/Skills!H4,1)+IF(Skills!H4&gt;0,MIN(Skills!I4,MAX(0,MAX(0,Inputs!$B$44-B2567)-((R2526-1)*IF(Inputs!$B$39="pvp",15,MAX(0.1,Skills!D4-IF(Skills!E4=TRUE,Inputs!$B$32,0))))))/Skills!H4,1)))/Inputs!$B$44),G2526*Q2526))*IF(Inputs!$B$39="pvp",1,(1+(Inputs!$B$21+Skills!Q4+B2563+(IF(ArtifactsInput!$M$33,CHOOSE(ArtifactsInput!$N$33+1,30,36,42,48,54,60),0))+(IF(AND(ArtifactsInput!$M$35,Inputs!$B$4&lt;&gt;"Chapter Hunt"),CHOOSE(ArtifactsInput!$N$35+1,15,18,21,24,27,30)*(1-EXP(-(0.2*B2558)*5)),0)+IF(AND(ArtifactsInput!$M$22,Inputs!$B$4&lt;&gt;"Chapter Hunt"),CHOOSE(ArtifactsInput!$N$22+1,10,12,14,16,18,20)*((0*(((0.15*B2558*5))^0/1)+1*(((0.15*B2558*5))^1/1)+2*(((0.15*B2558*5))^2/2)+3*(((0.15*B2558*5))^3/6)+4*(((0.15*B2558*5))^4/24)+5*(((0.15*B2558*5))^5/120))/((((0.15*B2558*5))^0/1)+(((0.15*B2558*5))^1/1)+(((0.15*B2558*5))^2/2)+(((0.15*B2558*5))^3/6)+(((0.15*B2558*5))^4/24)+(((0.15*B2558*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27">
      <c r="A2527">
        <f>Skills!A5</f>
        <v/>
      </c>
      <c r="B2527">
        <f>Skills!B5</f>
        <v/>
      </c>
      <c r="C2527">
        <f>Inputs!$B$3&gt;=63</f>
        <v/>
      </c>
      <c r="D2527">
        <f>IF(Skills!C5=1,60+Inputs!$B$25+Inputs!$B$29,IF(Skills!C5=2,90+Inputs!$B$26+Inputs!$B$29,IF(Skills!C5=3,120+Inputs!$B$27+Inputs!$B$29,MAX(0,(Inputs!$B$3-100)*3)+Inputs!$B$28+Inputs!$B$29)))</f>
        <v/>
      </c>
      <c r="E2527">
        <f>INDEX(FactorTable!$B$2:$Y$301, MATCH(ROUND(MIN(300,MAX(1,D2527)),0), FactorTable!$A$2:$A$301,0), Skills!M5+1)</f>
        <v/>
      </c>
      <c r="F2527">
        <f>IF(Skills!N5=TRUE,(Skills!L5/10)*(E2527/1000),Skills!L5/10)+Skills!O5</f>
        <v/>
      </c>
      <c r="G2527">
        <f>Calc!G5</f>
        <v/>
      </c>
      <c r="H2527">
        <f>Calc!H5</f>
        <v/>
      </c>
      <c r="I2527">
        <f>IF(Skills!AA5&lt;&gt;"",1+(Skills!AA5/10)*(U2525/1000)/100,1)</f>
        <v/>
      </c>
      <c r="J2527">
        <f>((Inputs!$B$6*(1+Inputs!$B$7/100))+(((Inputs!$B$12*(1+Inputs!$B$13/100))-(Inputs!$B$12*(1+Inputs!$B$13/100)))+0.25*(Inputs!$B$14-Inputs!$B$14))*(1+Inputs!$B$7/100))*(F2527/100)</f>
        <v/>
      </c>
      <c r="K2527">
        <f>J2527*(1+((Inputs!$B$12*(1+Inputs!$B$13/100))*0.01+Inputs!$B$14*0.0025)/100)*(1+Inputs!$B$15/100)*(1+Inputs!$B$16/100)*(5000/(6000+Inputs!$B$43*(1-(100*(1-(1-(Inputs!$B$19+0)/100)*(1-CHOOSE(ArtifactsInput!$N$40+1,5,6,7,8,9,10)/100)^(ArtifactsInput!$M$40-ArtifactsInput!$M$40)))/100)))*(1+(Inputs!$B$24+((C2552=TRUE)*(F2552-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2545=TRUE)*(F2545-Calc!F23))+(((IF(AND(ArtifactsInput!$M$42,((Inputs!$B$9+((C2547=TRUE)*(F2547-Calc!F25))+B2562+(ArtifactsInput!$M$24-ArtifactsInput!$M$24)*CHOOSE(ArtifactsInput!$N$24+1,10,12,14,16,18,20)+IF(ArtifactsInput!$M$10,CHOOSE(ArtifactsInput!$N$10+1,15,18,21,24,27,30)*(IF(Inputs!$B$39="pvp",MIN(15,15)/15,IF(AND(Inputs!$B$39&lt;&gt;"pvp",Inputs!$B$44&gt;0),MIN(15,Inputs!$B$44)/(Inputs!$B$44),0))),0)))&gt;=100),MIN(100,((Inputs!$B$9+((C2547=TRUE)*(F2547-Calc!F25))+B2562+(ArtifactsInput!$M$24-ArtifactsInput!$M$24)*CHOOSE(ArtifactsInput!$N$24+1,10,12,14,16,18,20)+IF(ArtifactsInput!$M$10,CHOOSE(ArtifactsInput!$N$10+1,15,18,21,24,27,30)*(IF(Inputs!$B$39="pvp",MIN(15,15)/15,IF(AND(Inputs!$B$39&lt;&gt;"pvp",Inputs!$B$44&gt;0),MIN(15,Inputs!$B$44)/(Inputs!$B$44),0))),0)))-100),0))*CHOOSE(ArtifactsInput!$N$42+1,0.6,0.72,0.84,0.96,1.08,1.2))),Inputs!$B$18+((C2551=TRUE)*(F2551-Calc!F29))+(IF(AND(ArtifactsInput!$M$42,((Inputs!$B$9+((C2547=TRUE)*(F2547-Calc!F25))+B2562+(ArtifactsInput!$M$24-ArtifactsInput!$M$24)*CHOOSE(ArtifactsInput!$N$24+1,10,12,14,16,18,20)+IF(ArtifactsInput!$M$10,CHOOSE(ArtifactsInput!$N$10+1,15,18,21,24,27,30)*(IF(Inputs!$B$39="pvp",MIN(15,15)/15,IF(AND(Inputs!$B$39&lt;&gt;"pvp",Inputs!$B$44&gt;0),MIN(15,Inputs!$B$44)/(Inputs!$B$44),0))),0)))&gt;=100),CHOOSE(ArtifactsInput!$N$42+1,40,48,56,64,72,80),0))))/100)*(((1+(((C2543=TRUE)*F2543*IF(AND(Inputs!$B$39&lt;&gt;"pvp",Inputs!$B$44&gt;0),(((R2543-1)*(Skills!Y21*(1+Inputs!$B$34/100))+MIN((Skills!Y21*(1+Inputs!$B$34/100)),MAX(0,Inputs!$B$44-((R2543-1)*Skills!D21))))/Inputs!$B$44),IF(Inputs!$B$39="pvp",MIN((Skills!Y21*(1+Inputs!$B$34/100)),15)/15,(Skills!Y21*(1+Inputs!$B$34/100))/Skills!D21)))+((C2550=TRUE)*(F2550-Calc!F28))+((C2540=TRUE)*(F2540-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2537=TRUE)*F2537*IF(AND(Inputs!$B$39&lt;&gt;"pvp",Inputs!$B$44&gt;0),(((R2537-1)*(Skills!Y15*(1+Inputs!$B$34/100))+MIN((Skills!Y15*(1+Inputs!$B$34/100)),MAX(0,Inputs!$B$44-((R2537-1)*Skills!D15))))/Inputs!$B$44),IF(Inputs!$B$39="pvp",MIN((Skills!Y15*(1+Inputs!$B$34/100)),15)/15,(Skills!Y15*(1+Inputs!$B$34/100))/Skills!D15)))/100)*(1+((C2528=TRUE)*F2528*B2556)/100))*B2564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2527)</f>
        <v/>
      </c>
      <c r="L2527">
        <f>K2527*(MIN(Inputs!$B$22+((C2546=TRUE)*(F2546-Calc!F24)),(Inputs!$B$23+0+(IF(ArtifactsInput!$M$15,CHOOSE(ArtifactsInput!$N$15+1,25,30,35,40,45,50)/100*(Inputs!$B$11-Inputs!$B$11),0))))/100+(Inputs!$B$23+0+(IF(ArtifactsInput!$M$15,CHOOSE(ArtifactsInput!$N$15+1,25,30,35,40,45,50)/100*(Inputs!$B$11-Inputs!$B$11),0)))/100)/2</f>
        <v/>
      </c>
      <c r="M2527">
        <f>L2527*(1+(Inputs!$B$10+((C2548=TRUE)*(F2548-Calc!F26))+B2565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27">
        <f>L2527*(1-MIN((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2527*(MIN((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27">
        <f>(1-Summary!$B$11)*T2527+Summary!$B$11*V2527</f>
        <v/>
      </c>
      <c r="P2527">
        <f>IF(B2566=0,0,O2527/B2566)</f>
        <v/>
      </c>
      <c r="Q2527">
        <f>IFERROR(1/IF(Inputs!$B$39="pvp",15,MAX(0.1,Skills!D5-IF(Skills!E5=TRUE,Inputs!$B$32,0))),0)</f>
        <v/>
      </c>
      <c r="R2527">
        <f>IF(AND(Inputs!$B$39&lt;&gt;"pvp",Inputs!$B$44&gt;0),IF(MAX(0,Inputs!$B$44-B2567)&lt;=0,0,(INT(MAX(0,Inputs!$B$44-B2567)/IF(Inputs!$B$39="pvp",15,MAX(0.1,Skills!D5-IF(Skills!E5=TRUE,Inputs!$B$32,0))))+1)),0)</f>
        <v/>
      </c>
      <c r="S2527">
        <f>IFERROR(O2527/N2527,0)</f>
        <v/>
      </c>
      <c r="T2527">
        <f>IF(C2527,(H2527*N2527*IF(AND(Inputs!$B$39&lt;&gt;"pvp",Inputs!$B$44&gt;0),((Skills!G5*((R2527-1)*IF(Skills!H5&gt;0,Skills!I5/Skills!H5,1)+IF(Skills!H5&gt;0,MIN(Skills!I5,MAX(0,MAX(0,Inputs!$B$44-B2567)-((R2527-1)*IF(Inputs!$B$39="pvp",15,MAX(0.1,Skills!D5-IF(Skills!E5=TRUE,Inputs!$B$32,0))))))/Skills!H5,1)))/Inputs!$B$44),G2527*Q2527))*IF(Inputs!$B$39="pvp",1,1+(Inputs!$B$20+((C2549=TRUE)*(F2549-Calc!F27))+Skills!P5+B2563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Hunt"),CHOOSE(ArtifactsInput!$N$35+1,15,18,21,24,27,30)*(1-EXP(-(0.2*B2558)*5)),0)+IF(AND(ArtifactsInput!$M$22,Inputs!$B$4&lt;&gt;"Chapter Hunt"),CHOOSE(ArtifactsInput!$N$22+1,10,12,14,16,18,20)*((0*(((0.15*B2558*5))^0/1)+1*(((0.15*B2558*5))^1/1)+2*(((0.15*B2558*5))^2/2)+3*(((0.15*B2558*5))^3/6)+4*(((0.15*B2558*5))^4/24)+5*(((0.15*B2558*5))^5/120))/((((0.15*B2558*5))^0/1)+(((0.15*B2558*5))^1/1)+(((0.15*B2558*5))^2/2)+(((0.15*B2558*5))^3/6)+(((0.15*B2558*5))^4/24)+(((0.15*B2558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2527*(1-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2527*(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2527*(1-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2527*(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27">
        <f>INDEX(FactorTable!$B$2:$Y$301, MATCH(ROUND(MIN(300,MAX(1,U2526)),0), FactorTable!$A$2:$A$301,0), 22)</f>
        <v/>
      </c>
      <c r="V2527">
        <f>IF(C2527,(H2527*N2527*IF(AND(Inputs!$B$39&lt;&gt;"pvp",Inputs!$B$44&gt;0),((Skills!G5*((R2527-1)*IF(Skills!H5&gt;0,Skills!I5/Skills!H5,1)+IF(Skills!H5&gt;0,MIN(Skills!I5,MAX(0,MAX(0,Inputs!$B$44-B2567)-((R2527-1)*IF(Inputs!$B$39="pvp",15,MAX(0.1,Skills!D5-IF(Skills!E5=TRUE,Inputs!$B$32,0))))))/Skills!H5,1)))/Inputs!$B$44),G2527*Q2527))*IF(Inputs!$B$39="pvp",1,(1+(Inputs!$B$21+Skills!Q5+B2563+(IF(ArtifactsInput!$M$33,CHOOSE(ArtifactsInput!$N$33+1,30,36,42,48,54,60),0))+(IF(AND(ArtifactsInput!$M$35,Inputs!$B$4&lt;&gt;"Chapter Hunt"),CHOOSE(ArtifactsInput!$N$35+1,15,18,21,24,27,30)*(1-EXP(-(0.2*B2558)*5)),0)+IF(AND(ArtifactsInput!$M$22,Inputs!$B$4&lt;&gt;"Chapter Hunt"),CHOOSE(ArtifactsInput!$N$22+1,10,12,14,16,18,20)*((0*(((0.15*B2558*5))^0/1)+1*(((0.15*B2558*5))^1/1)+2*(((0.15*B2558*5))^2/2)+3*(((0.15*B2558*5))^3/6)+4*(((0.15*B2558*5))^4/24)+5*(((0.15*B2558*5))^5/120))/((((0.15*B2558*5))^0/1)+(((0.15*B2558*5))^1/1)+(((0.15*B2558*5))^2/2)+(((0.15*B2558*5))^3/6)+(((0.15*B2558*5))^4/24)+(((0.15*B2558*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28">
      <c r="A2528">
        <f>Skills!A6</f>
        <v/>
      </c>
      <c r="B2528">
        <f>Skills!B6</f>
        <v/>
      </c>
      <c r="C2528">
        <f>Inputs!$B$3&gt;=66</f>
        <v/>
      </c>
      <c r="D2528">
        <f>IF(Skills!C6=1,60+Inputs!$B$25+Inputs!$B$29,IF(Skills!C6=2,90+Inputs!$B$26+Inputs!$B$29,IF(Skills!C6=3,120+Inputs!$B$27+Inputs!$B$29,MAX(0,(Inputs!$B$3-100)*3)+Inputs!$B$28+Inputs!$B$29)))</f>
        <v/>
      </c>
      <c r="E2528">
        <f>INDEX(FactorTable!$B$2:$Y$301, MATCH(ROUND(MIN(300,MAX(1,D2528)),0), FactorTable!$A$2:$A$301,0), Skills!M6+1)</f>
        <v/>
      </c>
      <c r="F2528">
        <f>IF(Skills!N6=TRUE,(Skills!L6/10)*(E2528/1000),Skills!L6/10)+Skills!O6</f>
        <v/>
      </c>
      <c r="G2528">
        <f>Calc!G6</f>
        <v/>
      </c>
      <c r="H2528">
        <f>Calc!H6</f>
        <v/>
      </c>
      <c r="I2528">
        <f>IF(Skills!AA6&lt;&gt;"",1+(Skills!AA6/10)*(U2525/1000)/100,1)</f>
        <v/>
      </c>
      <c r="J2528" t="inlineStr"/>
      <c r="K2528" t="inlineStr"/>
      <c r="L2528" t="inlineStr"/>
      <c r="M2528" t="inlineStr"/>
      <c r="N2528" t="inlineStr"/>
      <c r="O2528">
        <f>(1-Summary!$B$11)*T2528+Summary!$B$11*V2528</f>
        <v/>
      </c>
      <c r="P2528">
        <f>IF(B2566=0,0,O2528/B2566)</f>
        <v/>
      </c>
      <c r="Q2528" t="n">
        <v>0</v>
      </c>
      <c r="R2528" t="n">
        <v>0</v>
      </c>
      <c r="S2528">
        <f>IFERROR(O2528/N2528,0)</f>
        <v/>
      </c>
      <c r="T2528" t="n">
        <v>0</v>
      </c>
      <c r="U2528">
        <f>290*U2527/1000</f>
        <v/>
      </c>
      <c r="V2528" t="n">
        <v>0</v>
      </c>
    </row>
    <row r="2529">
      <c r="A2529">
        <f>Skills!A7</f>
        <v/>
      </c>
      <c r="B2529">
        <f>Skills!B7</f>
        <v/>
      </c>
      <c r="C2529">
        <f>Inputs!$B$3&gt;=66</f>
        <v/>
      </c>
      <c r="D2529">
        <f>IF(Skills!C7=1,60+Inputs!$B$25+Inputs!$B$29,IF(Skills!C7=2,90+Inputs!$B$26+Inputs!$B$29,IF(Skills!C7=3,120+Inputs!$B$27+Inputs!$B$29,MAX(0,(Inputs!$B$3-100)*3)+Inputs!$B$28+Inputs!$B$29)))</f>
        <v/>
      </c>
      <c r="E2529">
        <f>INDEX(FactorTable!$B$2:$Y$301, MATCH(ROUND(MIN(300,MAX(1,D2529)),0), FactorTable!$A$2:$A$301,0), Skills!M7+1)</f>
        <v/>
      </c>
      <c r="F2529">
        <f>IF(Skills!N7=TRUE,(Skills!L7/10)*(E2529/1000),Skills!L7/10)+Skills!O7</f>
        <v/>
      </c>
      <c r="G2529">
        <f>Calc!G7</f>
        <v/>
      </c>
      <c r="H2529">
        <f>Calc!H7</f>
        <v/>
      </c>
      <c r="I2529">
        <f>IF(Skills!AA7&lt;&gt;"",1+(Skills!AA7/10)*(U2525/1000)/100,1)</f>
        <v/>
      </c>
      <c r="J2529" t="inlineStr"/>
      <c r="K2529" t="inlineStr"/>
      <c r="L2529" t="inlineStr"/>
      <c r="M2529" t="inlineStr"/>
      <c r="N2529" t="inlineStr"/>
      <c r="O2529">
        <f>(1-Summary!$B$11)*T2529+Summary!$B$11*V2529</f>
        <v/>
      </c>
      <c r="P2529">
        <f>IF(B2566=0,0,O2529/B2566)</f>
        <v/>
      </c>
      <c r="Q2529" t="n">
        <v>0</v>
      </c>
      <c r="R2529" t="n">
        <v>0</v>
      </c>
      <c r="S2529">
        <f>IFERROR(O2529/N2529,0)</f>
        <v/>
      </c>
      <c r="T2529" t="n">
        <v>0</v>
      </c>
      <c r="V2529" t="n">
        <v>0</v>
      </c>
    </row>
    <row r="2530">
      <c r="A2530">
        <f>Skills!A8</f>
        <v/>
      </c>
      <c r="B2530">
        <f>Skills!B8</f>
        <v/>
      </c>
      <c r="C2530">
        <f>Inputs!$B$3&gt;=69</f>
        <v/>
      </c>
      <c r="D2530">
        <f>IF(Skills!C8=1,60+Inputs!$B$25+Inputs!$B$29,IF(Skills!C8=2,90+Inputs!$B$26+Inputs!$B$29,IF(Skills!C8=3,120+Inputs!$B$27+Inputs!$B$29,MAX(0,(Inputs!$B$3-100)*3)+Inputs!$B$28+Inputs!$B$29)))</f>
        <v/>
      </c>
      <c r="E2530">
        <f>INDEX(FactorTable!$B$2:$Y$301, MATCH(ROUND(MIN(300,MAX(1,D2530)),0), FactorTable!$A$2:$A$301,0), Skills!M8+1)</f>
        <v/>
      </c>
      <c r="F2530">
        <f>IF(Skills!N8=TRUE,(Skills!L8/10)*(E2530/1000),Skills!L8/10)+Skills!O8</f>
        <v/>
      </c>
      <c r="G2530">
        <f>Calc!G8</f>
        <v/>
      </c>
      <c r="H2530">
        <f>Calc!H8</f>
        <v/>
      </c>
      <c r="I2530">
        <f>IF(Skills!AA8&lt;&gt;"",1+(Skills!AA8/10)*(U2525/1000)/100,1)</f>
        <v/>
      </c>
      <c r="J2530">
        <f>((Inputs!$B$6*(1+Inputs!$B$7/100))+(((Inputs!$B$12*(1+Inputs!$B$13/100))-(Inputs!$B$12*(1+Inputs!$B$13/100)))+0.25*(Inputs!$B$14-Inputs!$B$14))*(1+Inputs!$B$7/100))*(F2530/100)</f>
        <v/>
      </c>
      <c r="K2530">
        <f>J2530*(1+((Inputs!$B$12*(1+Inputs!$B$13/100))*0.01+Inputs!$B$14*0.0025)/100)*(1+Inputs!$B$15/100)*(1+Inputs!$B$16/100)*(5000/(6000+Inputs!$B$43*(1-(100*(1-(1-(Inputs!$B$19+0)/100)*(1-CHOOSE(ArtifactsInput!$N$40+1,5,6,7,8,9,10)/100)^(ArtifactsInput!$M$40-ArtifactsInput!$M$40)))/100)))*(1+(Inputs!$B$24+((C2552=TRUE)*(F2552-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2545=TRUE)*(F2545-Calc!F23))+(((IF(AND(ArtifactsInput!$M$42,((Inputs!$B$9+((C2547=TRUE)*(F2547-Calc!F25))+B2562+(ArtifactsInput!$M$24-ArtifactsInput!$M$24)*CHOOSE(ArtifactsInput!$N$24+1,10,12,14,16,18,20)+IF(ArtifactsInput!$M$10,CHOOSE(ArtifactsInput!$N$10+1,15,18,21,24,27,30)*(IF(Inputs!$B$39="pvp",MIN(15,15)/15,IF(AND(Inputs!$B$39&lt;&gt;"pvp",Inputs!$B$44&gt;0),MIN(15,Inputs!$B$44)/(Inputs!$B$44),0))),0)))&gt;=100),MIN(100,((Inputs!$B$9+((C2547=TRUE)*(F2547-Calc!F25))+B2562+(ArtifactsInput!$M$24-ArtifactsInput!$M$24)*CHOOSE(ArtifactsInput!$N$24+1,10,12,14,16,18,20)+IF(ArtifactsInput!$M$10,CHOOSE(ArtifactsInput!$N$10+1,15,18,21,24,27,30)*(IF(Inputs!$B$39="pvp",MIN(15,15)/15,IF(AND(Inputs!$B$39&lt;&gt;"pvp",Inputs!$B$44&gt;0),MIN(15,Inputs!$B$44)/(Inputs!$B$44),0))),0)))-100),0))*CHOOSE(ArtifactsInput!$N$42+1,0.6,0.72,0.84,0.96,1.08,1.2))),Inputs!$B$18+((C2551=TRUE)*(F2551-Calc!F29))+(IF(AND(ArtifactsInput!$M$42,((Inputs!$B$9+((C2547=TRUE)*(F2547-Calc!F25))+B2562+(ArtifactsInput!$M$24-ArtifactsInput!$M$24)*CHOOSE(ArtifactsInput!$N$24+1,10,12,14,16,18,20)+IF(ArtifactsInput!$M$10,CHOOSE(ArtifactsInput!$N$10+1,15,18,21,24,27,30)*(IF(Inputs!$B$39="pvp",MIN(15,15)/15,IF(AND(Inputs!$B$39&lt;&gt;"pvp",Inputs!$B$44&gt;0),MIN(15,Inputs!$B$44)/(Inputs!$B$44),0))),0)))&gt;=100),CHOOSE(ArtifactsInput!$N$42+1,40,48,56,64,72,80),0))))/100)*(((1+(((C2543=TRUE)*F2543*IF(AND(Inputs!$B$39&lt;&gt;"pvp",Inputs!$B$44&gt;0),(((R2543-1)*(Skills!Y21*(1+Inputs!$B$34/100))+MIN((Skills!Y21*(1+Inputs!$B$34/100)),MAX(0,Inputs!$B$44-((R2543-1)*Skills!D21))))/Inputs!$B$44),IF(Inputs!$B$39="pvp",MIN((Skills!Y21*(1+Inputs!$B$34/100)),15)/15,(Skills!Y21*(1+Inputs!$B$34/100))/Skills!D21)))+((C2550=TRUE)*(F2550-Calc!F28))+((C2540=TRUE)*(F2540-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2537=TRUE)*F2537*IF(AND(Inputs!$B$39&lt;&gt;"pvp",Inputs!$B$44&gt;0),(((R2537-1)*(Skills!Y15*(1+Inputs!$B$34/100))+MIN((Skills!Y15*(1+Inputs!$B$34/100)),MAX(0,Inputs!$B$44-((R2537-1)*Skills!D15))))/Inputs!$B$44),IF(Inputs!$B$39="pvp",MIN((Skills!Y15*(1+Inputs!$B$34/100)),15)/15,(Skills!Y15*(1+Inputs!$B$34/100))/Skills!D15)))/100)*(1+((C2528=TRUE)*F2528*B2556)/100))*B2564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2530)</f>
        <v/>
      </c>
      <c r="L2530">
        <f>K2530*(MIN(Inputs!$B$22+((C2546=TRUE)*(F2546-Calc!F24)),(Inputs!$B$23+0+(IF(ArtifactsInput!$M$15,CHOOSE(ArtifactsInput!$N$15+1,25,30,35,40,45,50)/100*(Inputs!$B$11-Inputs!$B$11),0))))/100+(Inputs!$B$23+0+(IF(ArtifactsInput!$M$15,CHOOSE(ArtifactsInput!$N$15+1,25,30,35,40,45,50)/100*(Inputs!$B$11-Inputs!$B$11),0)))/100)/2</f>
        <v/>
      </c>
      <c r="M2530">
        <f>L2530*(1+(Inputs!$B$10+((C2548=TRUE)*(F2548-Calc!F26))+B2565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30">
        <f>L2530*(1-MIN((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2530*(MIN((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30">
        <f>(1-Summary!$B$11)*T2530+Summary!$B$11*V2530</f>
        <v/>
      </c>
      <c r="P2530">
        <f>IF(B2566=0,0,O2530/B2566)</f>
        <v/>
      </c>
      <c r="Q2530">
        <f>IFERROR(1/IF(Inputs!$B$39="pvp",15,MAX(0.1,Skills!D8-IF(Skills!E8=TRUE,Inputs!$B$32,0))),0)</f>
        <v/>
      </c>
      <c r="R2530">
        <f>IF(AND(Inputs!$B$39&lt;&gt;"pvp",Inputs!$B$44&gt;0),IF(MAX(0,Inputs!$B$44-B2567)&lt;=0,0,(INT(MAX(0,Inputs!$B$44-B2567)/IF(Inputs!$B$39="pvp",15,MAX(0.1,Skills!D8-IF(Skills!E8=TRUE,Inputs!$B$32,0))))+1)),0)</f>
        <v/>
      </c>
      <c r="S2530">
        <f>IFERROR(O2530/N2530,0)</f>
        <v/>
      </c>
      <c r="T2530">
        <f>IF(C2530,(H2530*N2530*IF(AND(Inputs!$B$39&lt;&gt;"pvp",Inputs!$B$44&gt;0),((Skills!G8*((R2530-1)*IF(Skills!H8&gt;0,Skills!I8/Skills!H8,1)+IF(Skills!H8&gt;0,MIN(Skills!I8,MAX(0,MAX(0,Inputs!$B$44-B2567)-((R2530-1)*IF(Inputs!$B$39="pvp",15,MAX(0.1,Skills!D8-IF(Skills!E8=TRUE,Inputs!$B$32,0))))))/Skills!H8,1)))/Inputs!$B$44),G2530*Q2530))*IF(Inputs!$B$39="pvp",1,1+(Inputs!$B$20+((C2549=TRUE)*(F2549-Calc!F27))+Skills!P8+B2563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Hunt"),CHOOSE(ArtifactsInput!$N$35+1,15,18,21,24,27,30)*(1-EXP(-(0.2*B2558)*5)),0)+IF(AND(ArtifactsInput!$M$22,Inputs!$B$4&lt;&gt;"Chapter Hunt"),CHOOSE(ArtifactsInput!$N$22+1,10,12,14,16,18,20)*((0*(((0.15*B2558*5))^0/1)+1*(((0.15*B2558*5))^1/1)+2*(((0.15*B2558*5))^2/2)+3*(((0.15*B2558*5))^3/6)+4*(((0.15*B2558*5))^4/24)+5*(((0.15*B2558*5))^5/120))/((((0.15*B2558*5))^0/1)+(((0.15*B2558*5))^1/1)+(((0.15*B2558*5))^2/2)+(((0.15*B2558*5))^3/6)+(((0.15*B2558*5))^4/24)+(((0.15*B2558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2530*(1-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2530*(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2530*(1-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2530*(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30">
        <f>IF(C2530,(H2530*N2530*IF(AND(Inputs!$B$39&lt;&gt;"pvp",Inputs!$B$44&gt;0),((Skills!G8*((R2530-1)*IF(Skills!H8&gt;0,Skills!I8/Skills!H8,1)+IF(Skills!H8&gt;0,MIN(Skills!I8,MAX(0,MAX(0,Inputs!$B$44-B2567)-((R2530-1)*IF(Inputs!$B$39="pvp",15,MAX(0.1,Skills!D8-IF(Skills!E8=TRUE,Inputs!$B$32,0))))))/Skills!H8,1)))/Inputs!$B$44),G2530*Q2530))*IF(Inputs!$B$39="pvp",1,(1+(Inputs!$B$21+Skills!Q8+B2563+(IF(ArtifactsInput!$M$33,CHOOSE(ArtifactsInput!$N$33+1,30,36,42,48,54,60),0))+(IF(AND(ArtifactsInput!$M$35,Inputs!$B$4&lt;&gt;"Chapter Hunt"),CHOOSE(ArtifactsInput!$N$35+1,15,18,21,24,27,30)*(1-EXP(-(0.2*B2558)*5)),0)+IF(AND(ArtifactsInput!$M$22,Inputs!$B$4&lt;&gt;"Chapter Hunt"),CHOOSE(ArtifactsInput!$N$22+1,10,12,14,16,18,20)*((0*(((0.15*B2558*5))^0/1)+1*(((0.15*B2558*5))^1/1)+2*(((0.15*B2558*5))^2/2)+3*(((0.15*B2558*5))^3/6)+4*(((0.15*B2558*5))^4/24)+5*(((0.15*B2558*5))^5/120))/((((0.15*B2558*5))^0/1)+(((0.15*B2558*5))^1/1)+(((0.15*B2558*5))^2/2)+(((0.15*B2558*5))^3/6)+(((0.15*B2558*5))^4/24)+(((0.15*B2558*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31">
      <c r="A2531">
        <f>Skills!A9</f>
        <v/>
      </c>
      <c r="B2531">
        <f>Skills!B9</f>
        <v/>
      </c>
      <c r="C2531">
        <f>Inputs!$B$3&gt;=72</f>
        <v/>
      </c>
      <c r="D2531">
        <f>IF(Skills!C9=1,60+Inputs!$B$25+Inputs!$B$29,IF(Skills!C9=2,90+Inputs!$B$26+Inputs!$B$29,IF(Skills!C9=3,120+Inputs!$B$27+Inputs!$B$29,MAX(0,(Inputs!$B$3-100)*3)+Inputs!$B$28+Inputs!$B$29)))</f>
        <v/>
      </c>
      <c r="E2531">
        <f>INDEX(FactorTable!$B$2:$Y$301, MATCH(ROUND(MIN(300,MAX(1,D2531)),0), FactorTable!$A$2:$A$301,0), Skills!M9+1)</f>
        <v/>
      </c>
      <c r="F2531">
        <f>IF(Skills!N9=TRUE,(Skills!L9/10)*(E2531/1000),Skills!L9/10)+Skills!O9</f>
        <v/>
      </c>
      <c r="G2531">
        <f>Calc!G9</f>
        <v/>
      </c>
      <c r="H2531">
        <f>Calc!H9</f>
        <v/>
      </c>
      <c r="I2531">
        <f>IF(Skills!AA9&lt;&gt;"",1+(Skills!AA9/10)*(U2525/1000)/100,1)</f>
        <v/>
      </c>
      <c r="J2531">
        <f>((Inputs!$B$6*(1+Inputs!$B$7/100))+(((Inputs!$B$12*(1+Inputs!$B$13/100))-(Inputs!$B$12*(1+Inputs!$B$13/100)))+0.25*(Inputs!$B$14-Inputs!$B$14))*(1+Inputs!$B$7/100))*(F2531/100)</f>
        <v/>
      </c>
      <c r="K2531">
        <f>J2531*(1+((Inputs!$B$12*(1+Inputs!$B$13/100))*0.01+Inputs!$B$14*0.0025)/100)*(1+Inputs!$B$15/100)*(1+Inputs!$B$16/100)*(5000/(6000+Inputs!$B$43*(1-(100*(1-(1-(Inputs!$B$19+0)/100)*(1-CHOOSE(ArtifactsInput!$N$40+1,5,6,7,8,9,10)/100)^(ArtifactsInput!$M$40-ArtifactsInput!$M$40)))/100)))*(1+(Inputs!$B$24+((C2552=TRUE)*(F2552-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2545=TRUE)*(F2545-Calc!F23))+(((IF(AND(ArtifactsInput!$M$42,((Inputs!$B$9+((C2547=TRUE)*(F2547-Calc!F25))+B2562+(ArtifactsInput!$M$24-ArtifactsInput!$M$24)*CHOOSE(ArtifactsInput!$N$24+1,10,12,14,16,18,20)+IF(ArtifactsInput!$M$10,CHOOSE(ArtifactsInput!$N$10+1,15,18,21,24,27,30)*(IF(Inputs!$B$39="pvp",MIN(15,15)/15,IF(AND(Inputs!$B$39&lt;&gt;"pvp",Inputs!$B$44&gt;0),MIN(15,Inputs!$B$44)/(Inputs!$B$44),0))),0)))&gt;=100),MIN(100,((Inputs!$B$9+((C2547=TRUE)*(F2547-Calc!F25))+B2562+(ArtifactsInput!$M$24-ArtifactsInput!$M$24)*CHOOSE(ArtifactsInput!$N$24+1,10,12,14,16,18,20)+IF(ArtifactsInput!$M$10,CHOOSE(ArtifactsInput!$N$10+1,15,18,21,24,27,30)*(IF(Inputs!$B$39="pvp",MIN(15,15)/15,IF(AND(Inputs!$B$39&lt;&gt;"pvp",Inputs!$B$44&gt;0),MIN(15,Inputs!$B$44)/(Inputs!$B$44),0))),0)))-100),0))*CHOOSE(ArtifactsInput!$N$42+1,0.6,0.72,0.84,0.96,1.08,1.2))),Inputs!$B$18+((C2551=TRUE)*(F2551-Calc!F29))+(IF(AND(ArtifactsInput!$M$42,((Inputs!$B$9+((C2547=TRUE)*(F2547-Calc!F25))+B2562+(ArtifactsInput!$M$24-ArtifactsInput!$M$24)*CHOOSE(ArtifactsInput!$N$24+1,10,12,14,16,18,20)+IF(ArtifactsInput!$M$10,CHOOSE(ArtifactsInput!$N$10+1,15,18,21,24,27,30)*(IF(Inputs!$B$39="pvp",MIN(15,15)/15,IF(AND(Inputs!$B$39&lt;&gt;"pvp",Inputs!$B$44&gt;0),MIN(15,Inputs!$B$44)/(Inputs!$B$44),0))),0)))&gt;=100),CHOOSE(ArtifactsInput!$N$42+1,40,48,56,64,72,80),0))))/100)*(((1+(((C2543=TRUE)*F2543*IF(AND(Inputs!$B$39&lt;&gt;"pvp",Inputs!$B$44&gt;0),(((R2543-1)*(Skills!Y21*(1+Inputs!$B$34/100))+MIN((Skills!Y21*(1+Inputs!$B$34/100)),MAX(0,Inputs!$B$44-((R2543-1)*Skills!D21))))/Inputs!$B$44),IF(Inputs!$B$39="pvp",MIN((Skills!Y21*(1+Inputs!$B$34/100)),15)/15,(Skills!Y21*(1+Inputs!$B$34/100))/Skills!D21)))+((C2550=TRUE)*(F2550-Calc!F28))+((C2540=TRUE)*(F2540-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2537=TRUE)*F2537*IF(AND(Inputs!$B$39&lt;&gt;"pvp",Inputs!$B$44&gt;0),(((R2537-1)*(Skills!Y15*(1+Inputs!$B$34/100))+MIN((Skills!Y15*(1+Inputs!$B$34/100)),MAX(0,Inputs!$B$44-((R2537-1)*Skills!D15))))/Inputs!$B$44),IF(Inputs!$B$39="pvp",MIN((Skills!Y15*(1+Inputs!$B$34/100)),15)/15,(Skills!Y15*(1+Inputs!$B$34/100))/Skills!D15)))/100)*(1+((C2528=TRUE)*F2528*B2556)/100))*B2564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2531)</f>
        <v/>
      </c>
      <c r="L2531">
        <f>K2531*(MIN(Inputs!$B$22+((C2546=TRUE)*(F2546-Calc!F24)),(Inputs!$B$23+0+(IF(ArtifactsInput!$M$15,CHOOSE(ArtifactsInput!$N$15+1,25,30,35,40,45,50)/100*(Inputs!$B$11-Inputs!$B$11),0))))/100+(Inputs!$B$23+0+(IF(ArtifactsInput!$M$15,CHOOSE(ArtifactsInput!$N$15+1,25,30,35,40,45,50)/100*(Inputs!$B$11-Inputs!$B$11),0)))/100)/2</f>
        <v/>
      </c>
      <c r="M2531">
        <f>L2531*(1+(Inputs!$B$10+((C2548=TRUE)*(F2548-Calc!F26))+B2565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31">
        <f>L2531*(1-MIN((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2531*(MIN((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31">
        <f>(1-Summary!$B$11)*T2531+Summary!$B$11*V2531</f>
        <v/>
      </c>
      <c r="P2531">
        <f>IF(B2566=0,0,O2531/B2566)</f>
        <v/>
      </c>
      <c r="Q2531">
        <f>IFERROR(1/IF(Inputs!$B$39="pvp",15,MAX(0.1,Skills!D9-IF(Skills!E9=TRUE,Inputs!$B$32,0))),0)</f>
        <v/>
      </c>
      <c r="R2531">
        <f>IF(AND(Inputs!$B$39&lt;&gt;"pvp",Inputs!$B$44&gt;0),IF(MAX(0,Inputs!$B$44-B2567)&lt;=0,0,(INT(MAX(0,Inputs!$B$44-B2567)/IF(Inputs!$B$39="pvp",15,MAX(0.1,Skills!D9-IF(Skills!E9=TRUE,Inputs!$B$32,0))))+1)),0)</f>
        <v/>
      </c>
      <c r="S2531">
        <f>IFERROR(O2531/N2531,0)</f>
        <v/>
      </c>
      <c r="T2531">
        <f>IF(C2531,(H2531*N2531*IF(AND(Inputs!$B$39&lt;&gt;"pvp",Inputs!$B$44&gt;0),((Skills!G9*((R2531-1)*IF(Skills!H9&gt;0,Skills!I9/Skills!H9,1)+IF(Skills!H9&gt;0,MIN(Skills!I9,MAX(0,MAX(0,Inputs!$B$44-B2567)-((R2531-1)*IF(Inputs!$B$39="pvp",15,MAX(0.1,Skills!D9-IF(Skills!E9=TRUE,Inputs!$B$32,0))))))/Skills!H9,1)))/Inputs!$B$44),G2531*Q2531))*IF(Inputs!$B$39="pvp",1,1+(Inputs!$B$20+((C2549=TRUE)*(F2549-Calc!F27))+Skills!P9+B2563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Hunt"),CHOOSE(ArtifactsInput!$N$35+1,15,18,21,24,27,30)*(1-EXP(-(0.2*B2558)*5)),0)+IF(AND(ArtifactsInput!$M$22,Inputs!$B$4&lt;&gt;"Chapter Hunt"),CHOOSE(ArtifactsInput!$N$22+1,10,12,14,16,18,20)*((0*(((0.15*B2558*5))^0/1)+1*(((0.15*B2558*5))^1/1)+2*(((0.15*B2558*5))^2/2)+3*(((0.15*B2558*5))^3/6)+4*(((0.15*B2558*5))^4/24)+5*(((0.15*B2558*5))^5/120))/((((0.15*B2558*5))^0/1)+(((0.15*B2558*5))^1/1)+(((0.15*B2558*5))^2/2)+(((0.15*B2558*5))^3/6)+(((0.15*B2558*5))^4/24)+(((0.15*B2558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2531*(1-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2531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2531*(1-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2531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31">
        <f>IF(C2531,(H2531*N2531*IF(AND(Inputs!$B$39&lt;&gt;"pvp",Inputs!$B$44&gt;0),((Skills!G9*((R2531-1)*IF(Skills!H9&gt;0,Skills!I9/Skills!H9,1)+IF(Skills!H9&gt;0,MIN(Skills!I9,MAX(0,MAX(0,Inputs!$B$44-B2567)-((R2531-1)*IF(Inputs!$B$39="pvp",15,MAX(0.1,Skills!D9-IF(Skills!E9=TRUE,Inputs!$B$32,0))))))/Skills!H9,1)))/Inputs!$B$44),G2531*Q2531))*IF(Inputs!$B$39="pvp",1,(1+(Inputs!$B$21+Skills!Q9+B2563+(IF(ArtifactsInput!$M$33,CHOOSE(ArtifactsInput!$N$33+1,30,36,42,48,54,60),0))+(IF(AND(ArtifactsInput!$M$35,Inputs!$B$4&lt;&gt;"Chapter Hunt"),CHOOSE(ArtifactsInput!$N$35+1,15,18,21,24,27,30)*(1-EXP(-(0.2*B2558)*5)),0)+IF(AND(ArtifactsInput!$M$22,Inputs!$B$4&lt;&gt;"Chapter Hunt"),CHOOSE(ArtifactsInput!$N$22+1,10,12,14,16,18,20)*((0*(((0.15*B2558*5))^0/1)+1*(((0.15*B2558*5))^1/1)+2*(((0.15*B2558*5))^2/2)+3*(((0.15*B2558*5))^3/6)+4*(((0.15*B2558*5))^4/24)+5*(((0.15*B2558*5))^5/120))/((((0.15*B2558*5))^0/1)+(((0.15*B2558*5))^1/1)+(((0.15*B2558*5))^2/2)+(((0.15*B2558*5))^3/6)+(((0.15*B2558*5))^4/24)+(((0.15*B2558*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32">
      <c r="A2532">
        <f>Skills!A10</f>
        <v/>
      </c>
      <c r="B2532">
        <f>Skills!B10</f>
        <v/>
      </c>
      <c r="C2532">
        <f>Inputs!$B$3&gt;=117</f>
        <v/>
      </c>
      <c r="D2532">
        <f>IF(Skills!C10=1,60+Inputs!$B$25+Inputs!$B$29,IF(Skills!C10=2,90+Inputs!$B$26+Inputs!$B$29,IF(Skills!C10=3,120+Inputs!$B$27+Inputs!$B$29,MAX(0,(Inputs!$B$3-100)*3)+Inputs!$B$28+Inputs!$B$29)))</f>
        <v/>
      </c>
      <c r="E2532">
        <f>INDEX(FactorTable!$B$2:$Y$301, MATCH(ROUND(MIN(300,MAX(1,D2532)),0), FactorTable!$A$2:$A$301,0), Skills!M10+1)</f>
        <v/>
      </c>
      <c r="F2532">
        <f>IF(Skills!N10=TRUE,(Skills!L10/10)*(E2532/1000),Skills!L10/10)+Skills!O10</f>
        <v/>
      </c>
      <c r="G2532">
        <f>Calc!G10</f>
        <v/>
      </c>
      <c r="H2532">
        <f>Calc!H10</f>
        <v/>
      </c>
      <c r="I2532">
        <f>IF(Skills!AA10&lt;&gt;"",1+(Skills!AA10/10)*(U2525/1000)/100,1)</f>
        <v/>
      </c>
      <c r="J2532">
        <f>((Inputs!$B$6*(1+Inputs!$B$7/100))+(((Inputs!$B$12*(1+Inputs!$B$13/100))-(Inputs!$B$12*(1+Inputs!$B$13/100)))+0.25*(Inputs!$B$14-Inputs!$B$14))*(1+Inputs!$B$7/100))*(F2532/100)</f>
        <v/>
      </c>
      <c r="K2532">
        <f>J2532*(1+((Inputs!$B$12*(1+Inputs!$B$13/100))*0.01+Inputs!$B$14*0.0025)/100)*(1+Inputs!$B$15/100)*(1+Inputs!$B$16/100)*(5000/(6000+Inputs!$B$43*(1-(100*(1-(1-(Inputs!$B$19+0)/100)*(1-CHOOSE(ArtifactsInput!$N$40+1,5,6,7,8,9,10)/100)^(ArtifactsInput!$M$40-ArtifactsInput!$M$40)))/100)))*(1+(Inputs!$B$24+((C2552=TRUE)*(F2552-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2545=TRUE)*(F2545-Calc!F23))+(((IF(AND(ArtifactsInput!$M$42,((Inputs!$B$9+((C2547=TRUE)*(F2547-Calc!F25))+B2562+(ArtifactsInput!$M$24-ArtifactsInput!$M$24)*CHOOSE(ArtifactsInput!$N$24+1,10,12,14,16,18,20)+IF(ArtifactsInput!$M$10,CHOOSE(ArtifactsInput!$N$10+1,15,18,21,24,27,30)*(IF(Inputs!$B$39="pvp",MIN(15,15)/15,IF(AND(Inputs!$B$39&lt;&gt;"pvp",Inputs!$B$44&gt;0),MIN(15,Inputs!$B$44)/(Inputs!$B$44),0))),0)))&gt;=100),MIN(100,((Inputs!$B$9+((C2547=TRUE)*(F2547-Calc!F25))+B2562+(ArtifactsInput!$M$24-ArtifactsInput!$M$24)*CHOOSE(ArtifactsInput!$N$24+1,10,12,14,16,18,20)+IF(ArtifactsInput!$M$10,CHOOSE(ArtifactsInput!$N$10+1,15,18,21,24,27,30)*(IF(Inputs!$B$39="pvp",MIN(15,15)/15,IF(AND(Inputs!$B$39&lt;&gt;"pvp",Inputs!$B$44&gt;0),MIN(15,Inputs!$B$44)/(Inputs!$B$44),0))),0)))-100),0))*CHOOSE(ArtifactsInput!$N$42+1,0.6,0.72,0.84,0.96,1.08,1.2))),Inputs!$B$18+((C2551=TRUE)*(F2551-Calc!F29))+(IF(AND(ArtifactsInput!$M$42,((Inputs!$B$9+((C2547=TRUE)*(F2547-Calc!F25))+B2562+(ArtifactsInput!$M$24-ArtifactsInput!$M$24)*CHOOSE(ArtifactsInput!$N$24+1,10,12,14,16,18,20)+IF(ArtifactsInput!$M$10,CHOOSE(ArtifactsInput!$N$10+1,15,18,21,24,27,30)*(IF(Inputs!$B$39="pvp",MIN(15,15)/15,IF(AND(Inputs!$B$39&lt;&gt;"pvp",Inputs!$B$44&gt;0),MIN(15,Inputs!$B$44)/(Inputs!$B$44),0))),0)))&gt;=100),CHOOSE(ArtifactsInput!$N$42+1,40,48,56,64,72,80),0))))/100)*(((1+(((C2543=TRUE)*F2543*IF(AND(Inputs!$B$39&lt;&gt;"pvp",Inputs!$B$44&gt;0),(((R2543-1)*(Skills!Y21*(1+Inputs!$B$34/100))+MIN((Skills!Y21*(1+Inputs!$B$34/100)),MAX(0,Inputs!$B$44-((R2543-1)*Skills!D21))))/Inputs!$B$44),IF(Inputs!$B$39="pvp",MIN((Skills!Y21*(1+Inputs!$B$34/100)),15)/15,(Skills!Y21*(1+Inputs!$B$34/100))/Skills!D21)))+((C2550=TRUE)*(F2550-Calc!F28))+((C2540=TRUE)*(F2540-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2537=TRUE)*F2537*IF(AND(Inputs!$B$39&lt;&gt;"pvp",Inputs!$B$44&gt;0),(((R2537-1)*(Skills!Y15*(1+Inputs!$B$34/100))+MIN((Skills!Y15*(1+Inputs!$B$34/100)),MAX(0,Inputs!$B$44-((R2537-1)*Skills!D15))))/Inputs!$B$44),IF(Inputs!$B$39="pvp",MIN((Skills!Y15*(1+Inputs!$B$34/100)),15)/15,(Skills!Y15*(1+Inputs!$B$34/100))/Skills!D15)))/100)*(1+((C2528=TRUE)*F2528*B2556)/100))*B2564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2532)</f>
        <v/>
      </c>
      <c r="L2532">
        <f>K2532*(MIN(Inputs!$B$22+((C2546=TRUE)*(F2546-Calc!F24)),(Inputs!$B$23+0+(IF(ArtifactsInput!$M$15,CHOOSE(ArtifactsInput!$N$15+1,25,30,35,40,45,50)/100*(Inputs!$B$11-Inputs!$B$11),0))))/100+(Inputs!$B$23+0+(IF(ArtifactsInput!$M$15,CHOOSE(ArtifactsInput!$N$15+1,25,30,35,40,45,50)/100*(Inputs!$B$11-Inputs!$B$11),0)))/100)/2</f>
        <v/>
      </c>
      <c r="M2532">
        <f>L2532*(1+(Inputs!$B$10+((C2548=TRUE)*(F2548-Calc!F26))+B2565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32">
        <f>L2532*(1-MIN((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2532*(MIN((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32">
        <f>(1-Summary!$B$11)*T2532+Summary!$B$11*V2532</f>
        <v/>
      </c>
      <c r="P2532">
        <f>IF(B2566=0,0,O2532/B2566)</f>
        <v/>
      </c>
      <c r="Q2532" t="n">
        <v>0</v>
      </c>
      <c r="R2532" t="n">
        <v>0</v>
      </c>
      <c r="S2532" t="n">
        <v>0</v>
      </c>
      <c r="T2532">
        <f>IF(C2532,(0.2*SUMPRODUCT((Skills!Z2:Z31=TRUE)*(C2524:C2553=TRUE)*S2524:S2553)*N2532)*IF(Inputs!$B$39="pvp",1,1+(Inputs!$B$20+((C2549=TRUE)*(F2549-Calc!F27))+Skills!P10+B2563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Hunt"),CHOOSE(ArtifactsInput!$N$35+1,15,18,21,24,27,30)*(1-EXP(-(0.2*B2558)*5)),0)+IF(AND(ArtifactsInput!$M$22,Inputs!$B$4&lt;&gt;"Chapter Hunt"),CHOOSE(ArtifactsInput!$N$22+1,10,12,14,16,18,20)*((0*(((0.15*B2558*5))^0/1)+1*(((0.15*B2558*5))^1/1)+2*(((0.15*B2558*5))^2/2)+3*(((0.15*B2558*5))^3/6)+4*(((0.15*B2558*5))^4/24)+5*(((0.15*B2558*5))^5/120))/((((0.15*B2558*5))^0/1)+(((0.15*B2558*5))^1/1)+(((0.15*B2558*5))^2/2)+(((0.15*B2558*5))^3/6)+(((0.15*B2558*5))^4/24)+(((0.15*B2558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2532*(1-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2532*(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2532*(1-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2532*(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32">
        <f>IF(C2532,(0.2*SUMPRODUCT((Skills!Z2:Z31=TRUE)*(C2524:C2553=TRUE)*S2524:S2553)*N2532)*IF(Inputs!$B$39="pvp",1,(1+(Inputs!$B$21+Skills!Q10+B2563+(IF(ArtifactsInput!$M$33,CHOOSE(ArtifactsInput!$N$33+1,30,36,42,48,54,60),0))+(IF(AND(ArtifactsInput!$M$35,Inputs!$B$4&lt;&gt;"Chapter Hunt"),CHOOSE(ArtifactsInput!$N$35+1,15,18,21,24,27,30)*(1-EXP(-(0.2*B2558)*5)),0)+IF(AND(ArtifactsInput!$M$22,Inputs!$B$4&lt;&gt;"Chapter Hunt"),CHOOSE(ArtifactsInput!$N$22+1,10,12,14,16,18,20)*((0*(((0.15*B2558*5))^0/1)+1*(((0.15*B2558*5))^1/1)+2*(((0.15*B2558*5))^2/2)+3*(((0.15*B2558*5))^3/6)+4*(((0.15*B2558*5))^4/24)+5*(((0.15*B2558*5))^5/120))/((((0.15*B2558*5))^0/1)+(((0.15*B2558*5))^1/1)+(((0.15*B2558*5))^2/2)+(((0.15*B2558*5))^3/6)+(((0.15*B2558*5))^4/24)+(((0.15*B2558*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33">
      <c r="A2533">
        <f>Skills!A11</f>
        <v/>
      </c>
      <c r="B2533">
        <f>Skills!B11</f>
        <v/>
      </c>
      <c r="C2533">
        <f>Inputs!$B$3&gt;=60</f>
        <v/>
      </c>
      <c r="D2533">
        <f>IF(Skills!C11=1,60+Inputs!$B$25+Inputs!$B$29,IF(Skills!C11=2,90+Inputs!$B$26+Inputs!$B$29,IF(Skills!C11=3,120+Inputs!$B$27+Inputs!$B$29,MAX(0,(Inputs!$B$3-100)*3)+Inputs!$B$28+Inputs!$B$29)))</f>
        <v/>
      </c>
      <c r="E2533">
        <f>INDEX(FactorTable!$B$2:$Y$301, MATCH(ROUND(MIN(300,MAX(1,D2533)),0), FactorTable!$A$2:$A$301,0), Skills!M11+1)</f>
        <v/>
      </c>
      <c r="F2533">
        <f>IF(Skills!N11=TRUE,(Skills!L11/10)*(E2533/1000),Skills!L11/10)+Skills!O11</f>
        <v/>
      </c>
      <c r="G2533">
        <f>Calc!G11</f>
        <v/>
      </c>
      <c r="H2533">
        <f>Calc!H11</f>
        <v/>
      </c>
      <c r="I2533">
        <f>IF(Skills!AA11&lt;&gt;"",1+(Skills!AA11/10)*(U2525/1000)/100,1)</f>
        <v/>
      </c>
      <c r="J2533" t="inlineStr"/>
      <c r="K2533" t="inlineStr"/>
      <c r="L2533" t="inlineStr"/>
      <c r="M2533" t="inlineStr"/>
      <c r="N2533" t="inlineStr"/>
      <c r="O2533">
        <f>(1-Summary!$B$11)*T2533+Summary!$B$11*V2533</f>
        <v/>
      </c>
      <c r="P2533">
        <f>IF(B2566=0,0,O2533/B2566)</f>
        <v/>
      </c>
      <c r="Q2533" t="n">
        <v>0</v>
      </c>
      <c r="R2533" t="n">
        <v>0</v>
      </c>
      <c r="S2533">
        <f>IFERROR(O2533/N2533,0)</f>
        <v/>
      </c>
      <c r="T2533" t="n">
        <v>0</v>
      </c>
      <c r="V2533" t="n">
        <v>0</v>
      </c>
    </row>
    <row r="2534">
      <c r="A2534">
        <f>Skills!A12</f>
        <v/>
      </c>
      <c r="B2534">
        <f>Skills!B12</f>
        <v/>
      </c>
      <c r="C2534">
        <f>Inputs!$B$3&gt;=103</f>
        <v/>
      </c>
      <c r="D2534">
        <f>IF(Skills!C12=1,60+Inputs!$B$25+Inputs!$B$29,IF(Skills!C12=2,90+Inputs!$B$26+Inputs!$B$29,IF(Skills!C12=3,120+Inputs!$B$27+Inputs!$B$29,MAX(0,(Inputs!$B$3-100)*3)+Inputs!$B$28+Inputs!$B$29)))</f>
        <v/>
      </c>
      <c r="E2534">
        <f>INDEX(FactorTable!$B$2:$Y$301, MATCH(ROUND(MIN(300,MAX(1,D2534)),0), FactorTable!$A$2:$A$301,0), Skills!M12+1)</f>
        <v/>
      </c>
      <c r="F2534">
        <f>IF(Skills!N12=TRUE,(Skills!L12/10)*(E2534/1000),Skills!L12/10)+Skills!O12</f>
        <v/>
      </c>
      <c r="G2534">
        <f>Calc!G12</f>
        <v/>
      </c>
      <c r="H2534">
        <f>Calc!H12</f>
        <v/>
      </c>
      <c r="I2534">
        <f>IF(Skills!AA12&lt;&gt;"",1+(Skills!AA12/10)*(U2525/1000)/100,1)</f>
        <v/>
      </c>
      <c r="J2534">
        <f>((Inputs!$B$6*(1+Inputs!$B$7/100))+(((Inputs!$B$12*(1+Inputs!$B$13/100))-(Inputs!$B$12*(1+Inputs!$B$13/100)))+0.25*(Inputs!$B$14-Inputs!$B$14))*(1+Inputs!$B$7/100))*(F2534/100)</f>
        <v/>
      </c>
      <c r="K2534">
        <f>J2534*(1+((Inputs!$B$12*(1+Inputs!$B$13/100))*0.01+Inputs!$B$14*0.0025)/100)*(1+Inputs!$B$15/100)*(1+Inputs!$B$16/100)*(5000/(6000+Inputs!$B$43*(1-(100*(1-(1-(Inputs!$B$19+0)/100)*(1-CHOOSE(ArtifactsInput!$N$40+1,5,6,7,8,9,10)/100)^(ArtifactsInput!$M$40-ArtifactsInput!$M$40)))/100)))*(1+(Inputs!$B$24+((C2552=TRUE)*(F2552-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2545=TRUE)*(F2545-Calc!F23))+(((IF(AND(ArtifactsInput!$M$42,((Inputs!$B$9+((C2547=TRUE)*(F2547-Calc!F25))+B2562+(ArtifactsInput!$M$24-ArtifactsInput!$M$24)*CHOOSE(ArtifactsInput!$N$24+1,10,12,14,16,18,20)+IF(ArtifactsInput!$M$10,CHOOSE(ArtifactsInput!$N$10+1,15,18,21,24,27,30)*(IF(Inputs!$B$39="pvp",MIN(15,15)/15,IF(AND(Inputs!$B$39&lt;&gt;"pvp",Inputs!$B$44&gt;0),MIN(15,Inputs!$B$44)/(Inputs!$B$44),0))),0)))&gt;=100),MIN(100,((Inputs!$B$9+((C2547=TRUE)*(F2547-Calc!F25))+B2562+(ArtifactsInput!$M$24-ArtifactsInput!$M$24)*CHOOSE(ArtifactsInput!$N$24+1,10,12,14,16,18,20)+IF(ArtifactsInput!$M$10,CHOOSE(ArtifactsInput!$N$10+1,15,18,21,24,27,30)*(IF(Inputs!$B$39="pvp",MIN(15,15)/15,IF(AND(Inputs!$B$39&lt;&gt;"pvp",Inputs!$B$44&gt;0),MIN(15,Inputs!$B$44)/(Inputs!$B$44),0))),0)))-100),0))*CHOOSE(ArtifactsInput!$N$42+1,0.6,0.72,0.84,0.96,1.08,1.2))),Inputs!$B$18+((C2551=TRUE)*(F2551-Calc!F29))+(IF(AND(ArtifactsInput!$M$42,((Inputs!$B$9+((C2547=TRUE)*(F2547-Calc!F25))+B2562+(ArtifactsInput!$M$24-ArtifactsInput!$M$24)*CHOOSE(ArtifactsInput!$N$24+1,10,12,14,16,18,20)+IF(ArtifactsInput!$M$10,CHOOSE(ArtifactsInput!$N$10+1,15,18,21,24,27,30)*(IF(Inputs!$B$39="pvp",MIN(15,15)/15,IF(AND(Inputs!$B$39&lt;&gt;"pvp",Inputs!$B$44&gt;0),MIN(15,Inputs!$B$44)/(Inputs!$B$44),0))),0)))&gt;=100),CHOOSE(ArtifactsInput!$N$42+1,40,48,56,64,72,80),0))))/100)*(((1+(((C2543=TRUE)*F2543*IF(AND(Inputs!$B$39&lt;&gt;"pvp",Inputs!$B$44&gt;0),(((R2543-1)*(Skills!Y21*(1+Inputs!$B$34/100))+MIN((Skills!Y21*(1+Inputs!$B$34/100)),MAX(0,Inputs!$B$44-((R2543-1)*Skills!D21))))/Inputs!$B$44),IF(Inputs!$B$39="pvp",MIN((Skills!Y21*(1+Inputs!$B$34/100)),15)/15,(Skills!Y21*(1+Inputs!$B$34/100))/Skills!D21)))+((C2550=TRUE)*(F2550-Calc!F28))+((C2540=TRUE)*(F2540-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2537=TRUE)*F2537*IF(AND(Inputs!$B$39&lt;&gt;"pvp",Inputs!$B$44&gt;0),(((R2537-1)*(Skills!Y15*(1+Inputs!$B$34/100))+MIN((Skills!Y15*(1+Inputs!$B$34/100)),MAX(0,Inputs!$B$44-((R2537-1)*Skills!D15))))/Inputs!$B$44),IF(Inputs!$B$39="pvp",MIN((Skills!Y15*(1+Inputs!$B$34/100)),15)/15,(Skills!Y15*(1+Inputs!$B$34/100))/Skills!D15)))/100)*(1+((C2528=TRUE)*F2528*B2556)/100))*B2564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2534)</f>
        <v/>
      </c>
      <c r="L2534">
        <f>K2534*(MIN(Inputs!$B$22+((C2546=TRUE)*(F2546-Calc!F24)),(Inputs!$B$23+0+(IF(ArtifactsInput!$M$15,CHOOSE(ArtifactsInput!$N$15+1,25,30,35,40,45,50)/100*(Inputs!$B$11-Inputs!$B$11),0))))/100+(Inputs!$B$23+0+(IF(ArtifactsInput!$M$15,CHOOSE(ArtifactsInput!$N$15+1,25,30,35,40,45,50)/100*(Inputs!$B$11-Inputs!$B$11),0)))/100)/2</f>
        <v/>
      </c>
      <c r="M2534">
        <f>L2534*(1+(Inputs!$B$10+((C2548=TRUE)*(F2548-Calc!F26))+B2565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34">
        <f>L2534*(1-MIN((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2534*(MIN((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34">
        <f>(1-Summary!$B$11)*T2534+Summary!$B$11*V2534</f>
        <v/>
      </c>
      <c r="P2534">
        <f>IF(B2566=0,0,O2534/B2566)</f>
        <v/>
      </c>
      <c r="Q2534">
        <f>IFERROR(1/IF(Inputs!$B$39="pvp",15,MAX(0.1,Skills!D12-IF(Skills!E12=TRUE,Inputs!$B$32,0))),0)</f>
        <v/>
      </c>
      <c r="R2534">
        <f>IF(AND(Inputs!$B$39&lt;&gt;"pvp",Inputs!$B$44&gt;0),IF(MAX(0,Inputs!$B$44-B2567)&lt;=0,0,(INT(MAX(0,Inputs!$B$44-B2567)/IF(Inputs!$B$39="pvp",15,MAX(0.1,Skills!D12-IF(Skills!E12=TRUE,Inputs!$B$32,0))))+1)),0)</f>
        <v/>
      </c>
      <c r="S2534">
        <f>IFERROR(O2534/N2534,0)</f>
        <v/>
      </c>
      <c r="T2534">
        <f>IF(C2534,(H2534*N2534*IF(AND(Inputs!$B$39&lt;&gt;"pvp",Inputs!$B$44&gt;0),((Skills!G12*((R2534-1)*IF(Skills!H12&gt;0,Skills!I12/Skills!H12,1)+IF(Skills!H12&gt;0,MIN(Skills!I12,MAX(0,MAX(0,Inputs!$B$44-B2567)-((R2534-1)*IF(Inputs!$B$39="pvp",15,MAX(0.1,Skills!D12-IF(Skills!E12=TRUE,Inputs!$B$32,0))))))/Skills!H12,1)))/Inputs!$B$44),G2534*Q2534))*IF(Inputs!$B$39="pvp",1,1+(Inputs!$B$20+((C2549=TRUE)*(F2549-Calc!F27))+Skills!P12+B2563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Hunt"),CHOOSE(ArtifactsInput!$N$35+1,15,18,21,24,27,30)*(1-EXP(-(0.2*B2558)*5)),0)+IF(AND(ArtifactsInput!$M$22,Inputs!$B$4&lt;&gt;"Chapter Hunt"),CHOOSE(ArtifactsInput!$N$22+1,10,12,14,16,18,20)*((0*(((0.15*B2558*5))^0/1)+1*(((0.15*B2558*5))^1/1)+2*(((0.15*B2558*5))^2/2)+3*(((0.15*B2558*5))^3/6)+4*(((0.15*B2558*5))^4/24)+5*(((0.15*B2558*5))^5/120))/((((0.15*B2558*5))^0/1)+(((0.15*B2558*5))^1/1)+(((0.15*B2558*5))^2/2)+(((0.15*B2558*5))^3/6)+(((0.15*B2558*5))^4/24)+(((0.15*B2558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2534*(1-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2534*(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2534*(1-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2534*(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34">
        <f>IF(C2534,(H2534*N2534*IF(AND(Inputs!$B$39&lt;&gt;"pvp",Inputs!$B$44&gt;0),((Skills!G12*((R2534-1)*IF(Skills!H12&gt;0,Skills!I12/Skills!H12,1)+IF(Skills!H12&gt;0,MIN(Skills!I12,MAX(0,MAX(0,Inputs!$B$44-B2567)-((R2534-1)*IF(Inputs!$B$39="pvp",15,MAX(0.1,Skills!D12-IF(Skills!E12=TRUE,Inputs!$B$32,0))))))/Skills!H12,1)))/Inputs!$B$44),G2534*Q2534))*IF(Inputs!$B$39="pvp",1,(1+(Inputs!$B$21+Skills!Q12+B2563+(IF(ArtifactsInput!$M$33,CHOOSE(ArtifactsInput!$N$33+1,30,36,42,48,54,60),0))+(IF(AND(ArtifactsInput!$M$35,Inputs!$B$4&lt;&gt;"Chapter Hunt"),CHOOSE(ArtifactsInput!$N$35+1,15,18,21,24,27,30)*(1-EXP(-(0.2*B2558)*5)),0)+IF(AND(ArtifactsInput!$M$22,Inputs!$B$4&lt;&gt;"Chapter Hunt"),CHOOSE(ArtifactsInput!$N$22+1,10,12,14,16,18,20)*((0*(((0.15*B2558*5))^0/1)+1*(((0.15*B2558*5))^1/1)+2*(((0.15*B2558*5))^2/2)+3*(((0.15*B2558*5))^3/6)+4*(((0.15*B2558*5))^4/24)+5*(((0.15*B2558*5))^5/120))/((((0.15*B2558*5))^0/1)+(((0.15*B2558*5))^1/1)+(((0.15*B2558*5))^2/2)+(((0.15*B2558*5))^3/6)+(((0.15*B2558*5))^4/24)+(((0.15*B2558*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35">
      <c r="A2535">
        <f>Skills!A13</f>
        <v/>
      </c>
      <c r="B2535">
        <f>Skills!B13</f>
        <v/>
      </c>
      <c r="C2535">
        <f>Inputs!$B$3&gt;=105</f>
        <v/>
      </c>
      <c r="D2535">
        <f>IF(Skills!C13=1,60+Inputs!$B$25+Inputs!$B$29,IF(Skills!C13=2,90+Inputs!$B$26+Inputs!$B$29,IF(Skills!C13=3,120+Inputs!$B$27+Inputs!$B$29,MAX(0,(Inputs!$B$3-100)*3)+Inputs!$B$28+Inputs!$B$29)))</f>
        <v/>
      </c>
      <c r="E2535">
        <f>INDEX(FactorTable!$B$2:$Y$301, MATCH(ROUND(MIN(300,MAX(1,D2535)),0), FactorTable!$A$2:$A$301,0), Skills!M13+1)</f>
        <v/>
      </c>
      <c r="F2535">
        <f>IF(Skills!N13=TRUE,(Skills!L13/10)*(E2535/1000),Skills!L13/10)+Skills!O13</f>
        <v/>
      </c>
      <c r="G2535">
        <f>Calc!G13</f>
        <v/>
      </c>
      <c r="H2535">
        <f>Calc!H13</f>
        <v/>
      </c>
      <c r="I2535">
        <f>IF(Skills!AA13&lt;&gt;"",1+(Skills!AA13/10)*(U2525/1000)/100,1)</f>
        <v/>
      </c>
      <c r="J2535">
        <f>((Inputs!$B$6*(1+Inputs!$B$7/100))+(((Inputs!$B$12*(1+Inputs!$B$13/100))-(Inputs!$B$12*(1+Inputs!$B$13/100)))+0.25*(Inputs!$B$14-Inputs!$B$14))*(1+Inputs!$B$7/100))*(F2535/100)</f>
        <v/>
      </c>
      <c r="K2535">
        <f>J2535*(1+((Inputs!$B$12*(1+Inputs!$B$13/100))*0.01+Inputs!$B$14*0.0025)/100)*(1+Inputs!$B$15/100)*(1+Inputs!$B$16/100)*(5000/(6000+Inputs!$B$43*(1-(100*(1-(1-(Inputs!$B$19+0)/100)*(1-CHOOSE(ArtifactsInput!$N$40+1,5,6,7,8,9,10)/100)^(ArtifactsInput!$M$40-ArtifactsInput!$M$40)))/100)))*(1+(Inputs!$B$24+((C2552=TRUE)*(F2552-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2545=TRUE)*(F2545-Calc!F23))+(((IF(AND(ArtifactsInput!$M$42,((Inputs!$B$9+((C2547=TRUE)*(F2547-Calc!F25))+B2562+(ArtifactsInput!$M$24-ArtifactsInput!$M$24)*CHOOSE(ArtifactsInput!$N$24+1,10,12,14,16,18,20)+IF(ArtifactsInput!$M$10,CHOOSE(ArtifactsInput!$N$10+1,15,18,21,24,27,30)*(IF(Inputs!$B$39="pvp",MIN(15,15)/15,IF(AND(Inputs!$B$39&lt;&gt;"pvp",Inputs!$B$44&gt;0),MIN(15,Inputs!$B$44)/(Inputs!$B$44),0))),0)))&gt;=100),MIN(100,((Inputs!$B$9+((C2547=TRUE)*(F2547-Calc!F25))+B2562+(ArtifactsInput!$M$24-ArtifactsInput!$M$24)*CHOOSE(ArtifactsInput!$N$24+1,10,12,14,16,18,20)+IF(ArtifactsInput!$M$10,CHOOSE(ArtifactsInput!$N$10+1,15,18,21,24,27,30)*(IF(Inputs!$B$39="pvp",MIN(15,15)/15,IF(AND(Inputs!$B$39&lt;&gt;"pvp",Inputs!$B$44&gt;0),MIN(15,Inputs!$B$44)/(Inputs!$B$44),0))),0)))-100),0))*CHOOSE(ArtifactsInput!$N$42+1,0.6,0.72,0.84,0.96,1.08,1.2))),Inputs!$B$18+((C2551=TRUE)*(F2551-Calc!F29))+(IF(AND(ArtifactsInput!$M$42,((Inputs!$B$9+((C2547=TRUE)*(F2547-Calc!F25))+B2562+(ArtifactsInput!$M$24-ArtifactsInput!$M$24)*CHOOSE(ArtifactsInput!$N$24+1,10,12,14,16,18,20)+IF(ArtifactsInput!$M$10,CHOOSE(ArtifactsInput!$N$10+1,15,18,21,24,27,30)*(IF(Inputs!$B$39="pvp",MIN(15,15)/15,IF(AND(Inputs!$B$39&lt;&gt;"pvp",Inputs!$B$44&gt;0),MIN(15,Inputs!$B$44)/(Inputs!$B$44),0))),0)))&gt;=100),CHOOSE(ArtifactsInput!$N$42+1,40,48,56,64,72,80),0))))/100)*(((1+(((C2543=TRUE)*F2543*IF(AND(Inputs!$B$39&lt;&gt;"pvp",Inputs!$B$44&gt;0),(((R2543-1)*(Skills!Y21*(1+Inputs!$B$34/100))+MIN((Skills!Y21*(1+Inputs!$B$34/100)),MAX(0,Inputs!$B$44-((R2543-1)*Skills!D21))))/Inputs!$B$44),IF(Inputs!$B$39="pvp",MIN((Skills!Y21*(1+Inputs!$B$34/100)),15)/15,(Skills!Y21*(1+Inputs!$B$34/100))/Skills!D21)))+((C2550=TRUE)*(F2550-Calc!F28))+((C2540=TRUE)*(F2540-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2537=TRUE)*F2537*IF(AND(Inputs!$B$39&lt;&gt;"pvp",Inputs!$B$44&gt;0),(((R2537-1)*(Skills!Y15*(1+Inputs!$B$34/100))+MIN((Skills!Y15*(1+Inputs!$B$34/100)),MAX(0,Inputs!$B$44-((R2537-1)*Skills!D15))))/Inputs!$B$44),IF(Inputs!$B$39="pvp",MIN((Skills!Y15*(1+Inputs!$B$34/100)),15)/15,(Skills!Y15*(1+Inputs!$B$34/100))/Skills!D15)))/100)*(1+((C2528=TRUE)*F2528*B2556)/100))*B2564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2535)</f>
        <v/>
      </c>
      <c r="L2535">
        <f>K2535*(MIN(Inputs!$B$22+((C2546=TRUE)*(F2546-Calc!F24)),(Inputs!$B$23+0+(IF(ArtifactsInput!$M$15,CHOOSE(ArtifactsInput!$N$15+1,25,30,35,40,45,50)/100*(Inputs!$B$11-Inputs!$B$11),0))))/100+(Inputs!$B$23+0+(IF(ArtifactsInput!$M$15,CHOOSE(ArtifactsInput!$N$15+1,25,30,35,40,45,50)/100*(Inputs!$B$11-Inputs!$B$11),0)))/100)/2</f>
        <v/>
      </c>
      <c r="M2535">
        <f>L2535*(1+(Inputs!$B$10+((C2548=TRUE)*(F2548-Calc!F26))+B2565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35">
        <f>L2535*(1-MIN((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2535*(MIN((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35">
        <f>(1-Summary!$B$11)*T2535+Summary!$B$11*V2535</f>
        <v/>
      </c>
      <c r="P2535">
        <f>IF(B2566=0,0,O2535/B2566)</f>
        <v/>
      </c>
      <c r="Q2535">
        <f>IFERROR(1/IF(Inputs!$B$39="pvp",15,MAX(0.1,Skills!D13-IF(Skills!E13=TRUE,Inputs!$B$32,0))),0)</f>
        <v/>
      </c>
      <c r="R2535">
        <f>IF(AND(Inputs!$B$39&lt;&gt;"pvp",Inputs!$B$44&gt;0),IF(MAX(0,Inputs!$B$44-B2567)&lt;=0,0,(INT(MAX(0,Inputs!$B$44-B2567)/IF(Inputs!$B$39="pvp",15,MAX(0.1,Skills!D13-IF(Skills!E13=TRUE,Inputs!$B$32,0))))+1)),0)</f>
        <v/>
      </c>
      <c r="S2535">
        <f>IFERROR(O2535/N2535,0)</f>
        <v/>
      </c>
      <c r="T2535">
        <f>IF(C2535,(H2535*N2535*IF(AND(Inputs!$B$39&lt;&gt;"pvp",Inputs!$B$44&gt;0),((Skills!G13*((R2535-1)*IF(Skills!H13&gt;0,Skills!I13/Skills!H13,1)+IF(Skills!H13&gt;0,MIN(Skills!I13,MAX(0,MAX(0,Inputs!$B$44-B2567)-((R2535-1)*IF(Inputs!$B$39="pvp",15,MAX(0.1,Skills!D13-IF(Skills!E13=TRUE,Inputs!$B$32,0))))))/Skills!H13,1)))/Inputs!$B$44),G2535*Q2535))*IF(Inputs!$B$39="pvp",1,1+(Inputs!$B$20+((C2549=TRUE)*(F2549-Calc!F27))+Skills!P13+B2563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Hunt"),CHOOSE(ArtifactsInput!$N$35+1,15,18,21,24,27,30)*(1-EXP(-(0.2*B2558)*5)),0)+IF(AND(ArtifactsInput!$M$22,Inputs!$B$4&lt;&gt;"Chapter Hunt"),CHOOSE(ArtifactsInput!$N$22+1,10,12,14,16,18,20)*((0*(((0.15*B2558*5))^0/1)+1*(((0.15*B2558*5))^1/1)+2*(((0.15*B2558*5))^2/2)+3*(((0.15*B2558*5))^3/6)+4*(((0.15*B2558*5))^4/24)+5*(((0.15*B2558*5))^5/120))/((((0.15*B2558*5))^0/1)+(((0.15*B2558*5))^1/1)+(((0.15*B2558*5))^2/2)+(((0.15*B2558*5))^3/6)+(((0.15*B2558*5))^4/24)+(((0.15*B2558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2535*(1-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2535*(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2535*(1-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2535*(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35">
        <f>IF(C2535,(H2535*N2535*IF(AND(Inputs!$B$39&lt;&gt;"pvp",Inputs!$B$44&gt;0),((Skills!G13*((R2535-1)*IF(Skills!H13&gt;0,Skills!I13/Skills!H13,1)+IF(Skills!H13&gt;0,MIN(Skills!I13,MAX(0,MAX(0,Inputs!$B$44-B2567)-((R2535-1)*IF(Inputs!$B$39="pvp",15,MAX(0.1,Skills!D13-IF(Skills!E13=TRUE,Inputs!$B$32,0))))))/Skills!H13,1)))/Inputs!$B$44),G2535*Q2535))*IF(Inputs!$B$39="pvp",1,(1+(Inputs!$B$21+Skills!Q13+B2563+(IF(ArtifactsInput!$M$33,CHOOSE(ArtifactsInput!$N$33+1,30,36,42,48,54,60),0))+(IF(AND(ArtifactsInput!$M$35,Inputs!$B$4&lt;&gt;"Chapter Hunt"),CHOOSE(ArtifactsInput!$N$35+1,15,18,21,24,27,30)*(1-EXP(-(0.2*B2558)*5)),0)+IF(AND(ArtifactsInput!$M$22,Inputs!$B$4&lt;&gt;"Chapter Hunt"),CHOOSE(ArtifactsInput!$N$22+1,10,12,14,16,18,20)*((0*(((0.15*B2558*5))^0/1)+1*(((0.15*B2558*5))^1/1)+2*(((0.15*B2558*5))^2/2)+3*(((0.15*B2558*5))^3/6)+4*(((0.15*B2558*5))^4/24)+5*(((0.15*B2558*5))^5/120))/((((0.15*B2558*5))^0/1)+(((0.15*B2558*5))^1/1)+(((0.15*B2558*5))^2/2)+(((0.15*B2558*5))^3/6)+(((0.15*B2558*5))^4/24)+(((0.15*B2558*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36">
      <c r="A2536">
        <f>Skills!A14</f>
        <v/>
      </c>
      <c r="B2536">
        <f>Skills!B14</f>
        <v/>
      </c>
      <c r="C2536">
        <f>Inputs!$B$3&gt;=105</f>
        <v/>
      </c>
      <c r="D2536">
        <f>IF(Skills!C14=1,60+Inputs!$B$25+Inputs!$B$29,IF(Skills!C14=2,90+Inputs!$B$26+Inputs!$B$29,IF(Skills!C14=3,120+Inputs!$B$27+Inputs!$B$29,MAX(0,(Inputs!$B$3-100)*3)+Inputs!$B$28+Inputs!$B$29)))</f>
        <v/>
      </c>
      <c r="E2536">
        <f>INDEX(FactorTable!$B$2:$Y$301, MATCH(ROUND(MIN(300,MAX(1,D2536)),0), FactorTable!$A$2:$A$301,0), Skills!M14+1)</f>
        <v/>
      </c>
      <c r="F2536">
        <f>IF(Skills!N14=TRUE,(Skills!L14/10)*(E2536/1000),Skills!L14/10)+Skills!O14</f>
        <v/>
      </c>
      <c r="G2536">
        <f>Calc!G14</f>
        <v/>
      </c>
      <c r="H2536">
        <f>Calc!H14</f>
        <v/>
      </c>
      <c r="I2536">
        <f>IF(Skills!AA14&lt;&gt;"",1+(Skills!AA14/10)*(U2525/1000)/100,1)</f>
        <v/>
      </c>
      <c r="J2536">
        <f>((Inputs!$B$6*(1+Inputs!$B$7/100))+(((Inputs!$B$12*(1+Inputs!$B$13/100))-(Inputs!$B$12*(1+Inputs!$B$13/100)))+0.25*(Inputs!$B$14-Inputs!$B$14))*(1+Inputs!$B$7/100))*(F2536/100)</f>
        <v/>
      </c>
      <c r="K2536">
        <f>J2536*(1+((Inputs!$B$12*(1+Inputs!$B$13/100))*0.01+Inputs!$B$14*0.0025)/100)*(1+Inputs!$B$15/100)*(1+Inputs!$B$16/100)*(5000/(6000+Inputs!$B$43*(1-(100*(1-(1-(Inputs!$B$19+0)/100)*(1-CHOOSE(ArtifactsInput!$N$40+1,5,6,7,8,9,10)/100)^(ArtifactsInput!$M$40-ArtifactsInput!$M$40)))/100)))*(1+(Inputs!$B$24+((C2552=TRUE)*(F2552-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2545=TRUE)*(F2545-Calc!F23))+(((IF(AND(ArtifactsInput!$M$42,((Inputs!$B$9+((C2547=TRUE)*(F2547-Calc!F25))+B2562+(ArtifactsInput!$M$24-ArtifactsInput!$M$24)*CHOOSE(ArtifactsInput!$N$24+1,10,12,14,16,18,20)+IF(ArtifactsInput!$M$10,CHOOSE(ArtifactsInput!$N$10+1,15,18,21,24,27,30)*(IF(Inputs!$B$39="pvp",MIN(15,15)/15,IF(AND(Inputs!$B$39&lt;&gt;"pvp",Inputs!$B$44&gt;0),MIN(15,Inputs!$B$44)/(Inputs!$B$44),0))),0)))&gt;=100),MIN(100,((Inputs!$B$9+((C2547=TRUE)*(F2547-Calc!F25))+B2562+(ArtifactsInput!$M$24-ArtifactsInput!$M$24)*CHOOSE(ArtifactsInput!$N$24+1,10,12,14,16,18,20)+IF(ArtifactsInput!$M$10,CHOOSE(ArtifactsInput!$N$10+1,15,18,21,24,27,30)*(IF(Inputs!$B$39="pvp",MIN(15,15)/15,IF(AND(Inputs!$B$39&lt;&gt;"pvp",Inputs!$B$44&gt;0),MIN(15,Inputs!$B$44)/(Inputs!$B$44),0))),0)))-100),0))*CHOOSE(ArtifactsInput!$N$42+1,0.6,0.72,0.84,0.96,1.08,1.2))),Inputs!$B$18+((C2551=TRUE)*(F2551-Calc!F29))+(IF(AND(ArtifactsInput!$M$42,((Inputs!$B$9+((C2547=TRUE)*(F2547-Calc!F25))+B2562+(ArtifactsInput!$M$24-ArtifactsInput!$M$24)*CHOOSE(ArtifactsInput!$N$24+1,10,12,14,16,18,20)+IF(ArtifactsInput!$M$10,CHOOSE(ArtifactsInput!$N$10+1,15,18,21,24,27,30)*(IF(Inputs!$B$39="pvp",MIN(15,15)/15,IF(AND(Inputs!$B$39&lt;&gt;"pvp",Inputs!$B$44&gt;0),MIN(15,Inputs!$B$44)/(Inputs!$B$44),0))),0)))&gt;=100),CHOOSE(ArtifactsInput!$N$42+1,40,48,56,64,72,80),0))))/100)*(((1+(((C2543=TRUE)*F2543*IF(AND(Inputs!$B$39&lt;&gt;"pvp",Inputs!$B$44&gt;0),(((R2543-1)*(Skills!Y21*(1+Inputs!$B$34/100))+MIN((Skills!Y21*(1+Inputs!$B$34/100)),MAX(0,Inputs!$B$44-((R2543-1)*Skills!D21))))/Inputs!$B$44),IF(Inputs!$B$39="pvp",MIN((Skills!Y21*(1+Inputs!$B$34/100)),15)/15,(Skills!Y21*(1+Inputs!$B$34/100))/Skills!D21)))+((C2550=TRUE)*(F2550-Calc!F28))+((C2540=TRUE)*(F2540-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2537=TRUE)*F2537*IF(AND(Inputs!$B$39&lt;&gt;"pvp",Inputs!$B$44&gt;0),(((R2537-1)*(Skills!Y15*(1+Inputs!$B$34/100))+MIN((Skills!Y15*(1+Inputs!$B$34/100)),MAX(0,Inputs!$B$44-((R2537-1)*Skills!D15))))/Inputs!$B$44),IF(Inputs!$B$39="pvp",MIN((Skills!Y15*(1+Inputs!$B$34/100)),15)/15,(Skills!Y15*(1+Inputs!$B$34/100))/Skills!D15)))/100)*(1+((C2528=TRUE)*F2528*B2556)/100))*B2564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2536)</f>
        <v/>
      </c>
      <c r="L2536">
        <f>K2536*(MIN(Inputs!$B$22+((C2546=TRUE)*(F2546-Calc!F24)),(Inputs!$B$23+0+(IF(ArtifactsInput!$M$15,CHOOSE(ArtifactsInput!$N$15+1,25,30,35,40,45,50)/100*(Inputs!$B$11-Inputs!$B$11),0))))/100+(Inputs!$B$23+0+(IF(ArtifactsInput!$M$15,CHOOSE(ArtifactsInput!$N$15+1,25,30,35,40,45,50)/100*(Inputs!$B$11-Inputs!$B$11),0)))/100)/2</f>
        <v/>
      </c>
      <c r="M2536">
        <f>L2536*(1+(Inputs!$B$10+((C2548=TRUE)*(F2548-Calc!F26))+B2565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36">
        <f>L2536*(1-MIN((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2536*(MIN((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36">
        <f>(1-Summary!$B$11)*T2536+Summary!$B$11*V2536</f>
        <v/>
      </c>
      <c r="P2536">
        <f>IF(B2566=0,0,O2536/B2566)</f>
        <v/>
      </c>
      <c r="Q2536">
        <f>IFERROR(1/IF(Inputs!$B$39="pvp",15,MAX(0.1,Skills!D14-IF(Skills!E14=TRUE,Inputs!$B$32,0))),0)</f>
        <v/>
      </c>
      <c r="R2536">
        <f>IF(AND(Inputs!$B$39&lt;&gt;"pvp",Inputs!$B$44&gt;0),IF(MAX(0,Inputs!$B$44-B2567)&lt;=0,0,(INT(MAX(0,Inputs!$B$44-B2567)/IF(Inputs!$B$39="pvp",15,MAX(0.1,Skills!D14-IF(Skills!E14=TRUE,Inputs!$B$32,0))))+1)),0)</f>
        <v/>
      </c>
      <c r="S2536">
        <f>IFERROR(O2536/N2536,0)</f>
        <v/>
      </c>
      <c r="T2536">
        <f>IF(C2536,(H2536*N2536*IF(AND(Inputs!$B$39&lt;&gt;"pvp",Inputs!$B$44&gt;0),((Skills!G14*((R2536-1)*IF(Skills!H14&gt;0,Skills!I14/Skills!H14,1)+IF(Skills!H14&gt;0,MIN(Skills!I14,MAX(0,MAX(0,Inputs!$B$44-B2567)-((R2536-1)*IF(Inputs!$B$39="pvp",15,MAX(0.1,Skills!D14-IF(Skills!E14=TRUE,Inputs!$B$32,0))))))/Skills!H14,1)))/Inputs!$B$44),G2536*Q2536))*IF(Inputs!$B$39="pvp",1,1+(Inputs!$B$20+((C2549=TRUE)*(F2549-Calc!F27))+Skills!P14+B2563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Hunt"),CHOOSE(ArtifactsInput!$N$35+1,15,18,21,24,27,30)*(1-EXP(-(0.2*B2558)*5)),0)+IF(AND(ArtifactsInput!$M$22,Inputs!$B$4&lt;&gt;"Chapter Hunt"),CHOOSE(ArtifactsInput!$N$22+1,10,12,14,16,18,20)*((0*(((0.15*B2558*5))^0/1)+1*(((0.15*B2558*5))^1/1)+2*(((0.15*B2558*5))^2/2)+3*(((0.15*B2558*5))^3/6)+4*(((0.15*B2558*5))^4/24)+5*(((0.15*B2558*5))^5/120))/((((0.15*B2558*5))^0/1)+(((0.15*B2558*5))^1/1)+(((0.15*B2558*5))^2/2)+(((0.15*B2558*5))^3/6)+(((0.15*B2558*5))^4/24)+(((0.15*B2558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2536*(1-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2536*(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2536*(1-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2536*(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36">
        <f>IF(C2536,(H2536*N2536*IF(AND(Inputs!$B$39&lt;&gt;"pvp",Inputs!$B$44&gt;0),((Skills!G14*((R2536-1)*IF(Skills!H14&gt;0,Skills!I14/Skills!H14,1)+IF(Skills!H14&gt;0,MIN(Skills!I14,MAX(0,MAX(0,Inputs!$B$44-B2567)-((R2536-1)*IF(Inputs!$B$39="pvp",15,MAX(0.1,Skills!D14-IF(Skills!E14=TRUE,Inputs!$B$32,0))))))/Skills!H14,1)))/Inputs!$B$44),G2536*Q2536))*IF(Inputs!$B$39="pvp",1,(1+(Inputs!$B$21+Skills!Q14+B2563+(IF(ArtifactsInput!$M$33,CHOOSE(ArtifactsInput!$N$33+1,30,36,42,48,54,60),0))+(IF(AND(ArtifactsInput!$M$35,Inputs!$B$4&lt;&gt;"Chapter Hunt"),CHOOSE(ArtifactsInput!$N$35+1,15,18,21,24,27,30)*(1-EXP(-(0.2*B2558)*5)),0)+IF(AND(ArtifactsInput!$M$22,Inputs!$B$4&lt;&gt;"Chapter Hunt"),CHOOSE(ArtifactsInput!$N$22+1,10,12,14,16,18,20)*((0*(((0.15*B2558*5))^0/1)+1*(((0.15*B2558*5))^1/1)+2*(((0.15*B2558*5))^2/2)+3*(((0.15*B2558*5))^3/6)+4*(((0.15*B2558*5))^4/24)+5*(((0.15*B2558*5))^5/120))/((((0.15*B2558*5))^0/1)+(((0.15*B2558*5))^1/1)+(((0.15*B2558*5))^2/2)+(((0.15*B2558*5))^3/6)+(((0.15*B2558*5))^4/24)+(((0.15*B2558*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37">
      <c r="A2537">
        <f>Skills!A15</f>
        <v/>
      </c>
      <c r="B2537">
        <f>Skills!B15</f>
        <v/>
      </c>
      <c r="C2537">
        <f>Inputs!$B$3&gt;=110</f>
        <v/>
      </c>
      <c r="D2537">
        <f>IF(Skills!C15=1,60+Inputs!$B$25+Inputs!$B$29,IF(Skills!C15=2,90+Inputs!$B$26+Inputs!$B$29,IF(Skills!C15=3,120+Inputs!$B$27+Inputs!$B$29,MAX(0,(Inputs!$B$3-100)*3)+Inputs!$B$28+Inputs!$B$29)))</f>
        <v/>
      </c>
      <c r="E2537">
        <f>INDEX(FactorTable!$B$2:$Y$301, MATCH(ROUND(MIN(300,MAX(1,D2537)),0), FactorTable!$A$2:$A$301,0), Skills!M15+1)</f>
        <v/>
      </c>
      <c r="F2537">
        <f>IF(Skills!N15=TRUE,(Skills!L15/10)*(E2537/1000),Skills!L15/10)+Skills!O15</f>
        <v/>
      </c>
      <c r="G2537">
        <f>Calc!G15</f>
        <v/>
      </c>
      <c r="H2537">
        <f>Calc!H15</f>
        <v/>
      </c>
      <c r="I2537">
        <f>IF(Skills!AA15&lt;&gt;"",1+(Skills!AA15/10)*(U2525/1000)/100,1)</f>
        <v/>
      </c>
      <c r="J2537" t="inlineStr"/>
      <c r="K2537" t="inlineStr"/>
      <c r="L2537" t="inlineStr"/>
      <c r="M2537" t="inlineStr"/>
      <c r="N2537" t="inlineStr"/>
      <c r="O2537">
        <f>(1-Summary!$B$11)*T2537+Summary!$B$11*V2537</f>
        <v/>
      </c>
      <c r="P2537">
        <f>IF(B2566=0,0,O2537/B2566)</f>
        <v/>
      </c>
      <c r="Q2537">
        <f>IFERROR(1/IF(Inputs!$B$39="pvp",15,MAX(0.1,Skills!D15-IF(Skills!E15=TRUE,Inputs!$B$32,0))),0)</f>
        <v/>
      </c>
      <c r="R2537">
        <f>IF(AND(Inputs!$B$39&lt;&gt;"pvp",Inputs!$B$44&gt;0),IF(Inputs!$B$44&lt;=0,0,(INT(Inputs!$B$44/IF(Inputs!$B$39="pvp",15,MAX(0.1,Skills!D15-IF(Skills!E15=TRUE,Inputs!$B$32,0))))+1)),0)</f>
        <v/>
      </c>
      <c r="S2537">
        <f>IFERROR(O2537/N2537,0)</f>
        <v/>
      </c>
      <c r="T2537" t="n">
        <v>0</v>
      </c>
      <c r="V2537" t="n">
        <v>0</v>
      </c>
    </row>
    <row r="2538">
      <c r="A2538">
        <f>Skills!A16</f>
        <v/>
      </c>
      <c r="B2538">
        <f>Skills!B16</f>
        <v/>
      </c>
      <c r="C2538">
        <f>Inputs!$B$3&gt;=110</f>
        <v/>
      </c>
      <c r="D2538">
        <f>IF(Skills!C16=1,60+Inputs!$B$25+Inputs!$B$29,IF(Skills!C16=2,90+Inputs!$B$26+Inputs!$B$29,IF(Skills!C16=3,120+Inputs!$B$27+Inputs!$B$29,MAX(0,(Inputs!$B$3-100)*3)+Inputs!$B$28+Inputs!$B$29)))</f>
        <v/>
      </c>
      <c r="E2538">
        <f>INDEX(FactorTable!$B$2:$Y$301, MATCH(ROUND(MIN(300,MAX(1,D2538)),0), FactorTable!$A$2:$A$301,0), Skills!M16+1)</f>
        <v/>
      </c>
      <c r="F2538">
        <f>IF(Skills!N16=TRUE,(Skills!L16/10)*(E2538/1000),Skills!L16/10)+Skills!O16</f>
        <v/>
      </c>
      <c r="G2538">
        <f>Calc!G16</f>
        <v/>
      </c>
      <c r="H2538">
        <f>Calc!H16</f>
        <v/>
      </c>
      <c r="I2538">
        <f>IF(Skills!AA16&lt;&gt;"",1+(Skills!AA16/10)*(U2525/1000)/100,1)</f>
        <v/>
      </c>
      <c r="J2538" t="inlineStr"/>
      <c r="K2538" t="inlineStr"/>
      <c r="L2538" t="inlineStr"/>
      <c r="M2538" t="inlineStr"/>
      <c r="N2538" t="inlineStr"/>
      <c r="O2538">
        <f>(1-Summary!$B$11)*T2538+Summary!$B$11*V2538</f>
        <v/>
      </c>
      <c r="P2538">
        <f>IF(B2566=0,0,O2538/B2566)</f>
        <v/>
      </c>
      <c r="Q2538">
        <f>IFERROR(1/IF(Inputs!$B$39="pvp",15,MAX(0.1,Skills!D16-IF(Skills!E16=TRUE,Inputs!$B$32,0))),0)</f>
        <v/>
      </c>
      <c r="R2538">
        <f>IF(AND(Inputs!$B$39&lt;&gt;"pvp",Inputs!$B$44&gt;0),IF(Inputs!$B$44&lt;=0,0,(INT(Inputs!$B$44/IF(Inputs!$B$39="pvp",15,MAX(0.1,Skills!D16-IF(Skills!E16=TRUE,Inputs!$B$32,0))))+1)),0)</f>
        <v/>
      </c>
      <c r="S2538">
        <f>IFERROR(O2538/N2538,0)</f>
        <v/>
      </c>
      <c r="T2538" t="n">
        <v>0</v>
      </c>
      <c r="V2538" t="n">
        <v>0</v>
      </c>
    </row>
    <row r="2539">
      <c r="A2539">
        <f>Skills!A17</f>
        <v/>
      </c>
      <c r="B2539">
        <f>Skills!B17</f>
        <v/>
      </c>
      <c r="C2539">
        <f>Inputs!$B$3&gt;=115</f>
        <v/>
      </c>
      <c r="D2539">
        <f>IF(Skills!C17=1,60+Inputs!$B$25+Inputs!$B$29,IF(Skills!C17=2,90+Inputs!$B$26+Inputs!$B$29,IF(Skills!C17=3,120+Inputs!$B$27+Inputs!$B$29,MAX(0,(Inputs!$B$3-100)*3)+Inputs!$B$28+Inputs!$B$29)))</f>
        <v/>
      </c>
      <c r="E2539">
        <f>INDEX(FactorTable!$B$2:$Y$301, MATCH(ROUND(MIN(300,MAX(1,D2539)),0), FactorTable!$A$2:$A$301,0), Skills!M17+1)</f>
        <v/>
      </c>
      <c r="F2539">
        <f>IF(Skills!N17=TRUE,(Skills!L17/10)*(E2539/1000),Skills!L17/10)+Skills!O17</f>
        <v/>
      </c>
      <c r="G2539">
        <f>Calc!G17</f>
        <v/>
      </c>
      <c r="H2539">
        <f>Calc!H17</f>
        <v/>
      </c>
      <c r="I2539">
        <f>IF(Skills!AA17&lt;&gt;"",1+(Skills!AA17/10)*(U2525/1000)/100,1)</f>
        <v/>
      </c>
      <c r="J2539">
        <f>((Inputs!$B$6*(1+Inputs!$B$7/100))+(((Inputs!$B$12*(1+Inputs!$B$13/100))-(Inputs!$B$12*(1+Inputs!$B$13/100)))+0.25*(Inputs!$B$14-Inputs!$B$14))*(1+Inputs!$B$7/100))*(F2539/100)</f>
        <v/>
      </c>
      <c r="K2539">
        <f>J2539*(1+((Inputs!$B$12*(1+Inputs!$B$13/100))*0.01+Inputs!$B$14*0.0025)/100)*(1+Inputs!$B$15/100)*(1+Inputs!$B$16/100)*(5000/(6000+Inputs!$B$43*(1-(100*(1-(1-(Inputs!$B$19+0)/100)*(1-CHOOSE(ArtifactsInput!$N$40+1,5,6,7,8,9,10)/100)^(ArtifactsInput!$M$40-ArtifactsInput!$M$40)))/100)))*(1+(Inputs!$B$24+((C2552=TRUE)*(F2552-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2545=TRUE)*(F2545-Calc!F23))+(((IF(AND(ArtifactsInput!$M$42,((Inputs!$B$9+((C2547=TRUE)*(F2547-Calc!F25))+B2562+(ArtifactsInput!$M$24-ArtifactsInput!$M$24)*CHOOSE(ArtifactsInput!$N$24+1,10,12,14,16,18,20)+IF(ArtifactsInput!$M$10,CHOOSE(ArtifactsInput!$N$10+1,15,18,21,24,27,30)*(IF(Inputs!$B$39="pvp",MIN(15,15)/15,IF(AND(Inputs!$B$39&lt;&gt;"pvp",Inputs!$B$44&gt;0),MIN(15,Inputs!$B$44)/(Inputs!$B$44),0))),0)))&gt;=100),MIN(100,((Inputs!$B$9+((C2547=TRUE)*(F2547-Calc!F25))+B2562+(ArtifactsInput!$M$24-ArtifactsInput!$M$24)*CHOOSE(ArtifactsInput!$N$24+1,10,12,14,16,18,20)+IF(ArtifactsInput!$M$10,CHOOSE(ArtifactsInput!$N$10+1,15,18,21,24,27,30)*(IF(Inputs!$B$39="pvp",MIN(15,15)/15,IF(AND(Inputs!$B$39&lt;&gt;"pvp",Inputs!$B$44&gt;0),MIN(15,Inputs!$B$44)/(Inputs!$B$44),0))),0)))-100),0))*CHOOSE(ArtifactsInput!$N$42+1,0.6,0.72,0.84,0.96,1.08,1.2))),Inputs!$B$18+((C2551=TRUE)*(F2551-Calc!F29))+(IF(AND(ArtifactsInput!$M$42,((Inputs!$B$9+((C2547=TRUE)*(F2547-Calc!F25))+B2562+(ArtifactsInput!$M$24-ArtifactsInput!$M$24)*CHOOSE(ArtifactsInput!$N$24+1,10,12,14,16,18,20)+IF(ArtifactsInput!$M$10,CHOOSE(ArtifactsInput!$N$10+1,15,18,21,24,27,30)*(IF(Inputs!$B$39="pvp",MIN(15,15)/15,IF(AND(Inputs!$B$39&lt;&gt;"pvp",Inputs!$B$44&gt;0),MIN(15,Inputs!$B$44)/(Inputs!$B$44),0))),0)))&gt;=100),CHOOSE(ArtifactsInput!$N$42+1,40,48,56,64,72,80),0))))/100)*(((1+(((C2543=TRUE)*F2543*IF(AND(Inputs!$B$39&lt;&gt;"pvp",Inputs!$B$44&gt;0),(((R2543-1)*(Skills!Y21*(1+Inputs!$B$34/100))+MIN((Skills!Y21*(1+Inputs!$B$34/100)),MAX(0,Inputs!$B$44-((R2543-1)*Skills!D21))))/Inputs!$B$44),IF(Inputs!$B$39="pvp",MIN((Skills!Y21*(1+Inputs!$B$34/100)),15)/15,(Skills!Y21*(1+Inputs!$B$34/100))/Skills!D21)))+((C2550=TRUE)*(F2550-Calc!F28))+((C2540=TRUE)*(F2540-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2537=TRUE)*F2537*IF(AND(Inputs!$B$39&lt;&gt;"pvp",Inputs!$B$44&gt;0),(((R2537-1)*(Skills!Y15*(1+Inputs!$B$34/100))+MIN((Skills!Y15*(1+Inputs!$B$34/100)),MAX(0,Inputs!$B$44-((R2537-1)*Skills!D15))))/Inputs!$B$44),IF(Inputs!$B$39="pvp",MIN((Skills!Y15*(1+Inputs!$B$34/100)),15)/15,(Skills!Y15*(1+Inputs!$B$34/100))/Skills!D15)))/100)*(1+((C2528=TRUE)*F2528*B2556)/100))*B2564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2539)</f>
        <v/>
      </c>
      <c r="L2539">
        <f>K2539*(MIN(Inputs!$B$22+((C2546=TRUE)*(F2546-Calc!F24)),(Inputs!$B$23+0+(IF(ArtifactsInput!$M$15,CHOOSE(ArtifactsInput!$N$15+1,25,30,35,40,45,50)/100*(Inputs!$B$11-Inputs!$B$11),0))))/100+(Inputs!$B$23+0+(IF(ArtifactsInput!$M$15,CHOOSE(ArtifactsInput!$N$15+1,25,30,35,40,45,50)/100*(Inputs!$B$11-Inputs!$B$11),0)))/100)/2</f>
        <v/>
      </c>
      <c r="M2539">
        <f>L2539*(1+(Inputs!$B$10+((C2548=TRUE)*(F2548-Calc!F26))+B2565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39">
        <f>L2539*(1-MIN((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2539*(MIN((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39">
        <f>(1-Summary!$B$11)*T2539+Summary!$B$11*V2539</f>
        <v/>
      </c>
      <c r="P2539">
        <f>IF(B2566=0,0,O2539/B2566)</f>
        <v/>
      </c>
      <c r="Q2539" t="n">
        <v>0</v>
      </c>
      <c r="R2539" t="n">
        <v>0</v>
      </c>
      <c r="S2539">
        <f>IFERROR(O2539/N2539,0)</f>
        <v/>
      </c>
      <c r="T2539">
        <f>IF(C2539,(Inputs!$B$38*0.2*N2539)*IF(Inputs!$B$39="pvp",1,1+(Inputs!$B$20+((C2549=TRUE)*(F2549-Calc!F27))+Skills!P17+B2563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Hunt"),CHOOSE(ArtifactsInput!$N$35+1,15,18,21,24,27,30)*(1-EXP(-(0.2*B2558)*5)),0)+IF(AND(ArtifactsInput!$M$22,Inputs!$B$4&lt;&gt;"Chapter Hunt"),CHOOSE(ArtifactsInput!$N$22+1,10,12,14,16,18,20)*((0*(((0.15*B2558*5))^0/1)+1*(((0.15*B2558*5))^1/1)+2*(((0.15*B2558*5))^2/2)+3*(((0.15*B2558*5))^3/6)+4*(((0.15*B2558*5))^4/24)+5*(((0.15*B2558*5))^5/120))/((((0.15*B2558*5))^0/1)+(((0.15*B2558*5))^1/1)+(((0.15*B2558*5))^2/2)+(((0.15*B2558*5))^3/6)+(((0.15*B2558*5))^4/24)+(((0.15*B2558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2539*(1-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2539*(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2539*(1-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2539*(MIN(100,(Inputs!$B$9+((C2547=TRUE)*(F2547-Calc!F25))+B2562+(ArtifactsInput!$M$24-ArtifactsInput!$M$24)*CHOOSE(ArtifactsInput!$N$24+1,10,12,14,16,18,20)+(IF(AND(ArtifactsInput!$M$42,((Inputs!$B$9+((C2547=TRUE)*(F2547-Calc!F25))+B2562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39">
        <f>IF(C2539,(Inputs!$B$38*0.2*N2539)*IF(Inputs!$B$39="pvp",1,(1+(Inputs!$B$21+Skills!Q17+B2563+(IF(ArtifactsInput!$M$33,CHOOSE(ArtifactsInput!$N$33+1,30,36,42,48,54,60),0))+(IF(AND(ArtifactsInput!$M$35,Inputs!$B$4&lt;&gt;"Chapter Hunt"),CHOOSE(ArtifactsInput!$N$35+1,15,18,21,24,27,30)*(1-EXP(-(0.2*B2558)*5)),0)+IF(AND(ArtifactsInput!$M$22,Inputs!$B$4&lt;&gt;"Chapter Hunt"),CHOOSE(ArtifactsInput!$N$22+1,10,12,14,16,18,20)*((0*(((0.15*B2558*5))^0/1)+1*(((0.15*B2558*5))^1/1)+2*(((0.15*B2558*5))^2/2)+3*(((0.15*B2558*5))^3/6)+4*(((0.15*B2558*5))^4/24)+5*(((0.15*B2558*5))^5/120))/((((0.15*B2558*5))^0/1)+(((0.15*B2558*5))^1/1)+(((0.15*B2558*5))^2/2)+(((0.15*B2558*5))^3/6)+(((0.15*B2558*5))^4/24)+(((0.15*B2558*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40">
      <c r="A2540">
        <f>Skills!A18</f>
        <v/>
      </c>
      <c r="B2540">
        <f>Skills!B18</f>
        <v/>
      </c>
      <c r="C2540">
        <f>Inputs!$B$3&gt;=115</f>
        <v/>
      </c>
      <c r="D2540">
        <f>IF(Skills!C18=1,60+Inputs!$B$25+Inputs!$B$29,IF(Skills!C18=2,90+Inputs!$B$26+Inputs!$B$29,IF(Skills!C18=3,120+Inputs!$B$27+Inputs!$B$29,MAX(0,(Inputs!$B$3-100)*3)+Inputs!$B$28+Inputs!$B$29)))</f>
        <v/>
      </c>
      <c r="E2540">
        <f>INDEX(FactorTable!$B$2:$Y$301, MATCH(ROUND(MIN(300,MAX(1,D2540)),0), FactorTable!$A$2:$A$301,0), Skills!M18+1)</f>
        <v/>
      </c>
      <c r="F2540">
        <f>IF(Skills!N18=TRUE,(Skills!L18/10)*(E2540/1000),Skills!L18/10)+Skills!O18</f>
        <v/>
      </c>
      <c r="G2540">
        <f>Calc!G18</f>
        <v/>
      </c>
      <c r="H2540">
        <f>Calc!H18</f>
        <v/>
      </c>
      <c r="I2540">
        <f>IF(Skills!AA18&lt;&gt;"",1+(Skills!AA18/10)*(U2525/1000)/100,1)</f>
        <v/>
      </c>
      <c r="J2540" t="inlineStr"/>
      <c r="K2540" t="inlineStr"/>
      <c r="L2540" t="inlineStr"/>
      <c r="M2540" t="inlineStr"/>
      <c r="N2540" t="inlineStr"/>
      <c r="O2540">
        <f>(1-Summary!$B$11)*T2540+Summary!$B$11*V2540</f>
        <v/>
      </c>
      <c r="P2540">
        <f>IF(B2566=0,0,O2540/B2566)</f>
        <v/>
      </c>
      <c r="Q2540" t="n">
        <v>0</v>
      </c>
      <c r="R2540" t="n">
        <v>0</v>
      </c>
      <c r="S2540">
        <f>IFERROR(O2540/N2540,0)</f>
        <v/>
      </c>
      <c r="T2540" t="n">
        <v>0</v>
      </c>
      <c r="V2540" t="n">
        <v>0</v>
      </c>
    </row>
    <row r="2541">
      <c r="A2541">
        <f>Skills!A19</f>
        <v/>
      </c>
      <c r="B2541">
        <f>Skills!B19</f>
        <v/>
      </c>
      <c r="C2541">
        <f>TRUE</f>
        <v/>
      </c>
      <c r="D2541">
        <f>IF(Skills!C19=1,60+Inputs!$B$25+Inputs!$B$29,IF(Skills!C19=2,90+Inputs!$B$26+Inputs!$B$29,IF(Skills!C19=3,120+Inputs!$B$27+Inputs!$B$29,MAX(0,(Inputs!$B$3-100)*3)+Inputs!$B$28+Inputs!$B$29)))</f>
        <v/>
      </c>
      <c r="E2541">
        <f>INDEX(FactorTable!$B$2:$Y$301, MATCH(ROUND(MIN(300,MAX(1,D2541)),0), FactorTable!$A$2:$A$301,0), Skills!M19+1)</f>
        <v/>
      </c>
      <c r="F2541">
        <f>IF(Skills!N19=TRUE,(Skills!L19/10)*(E2541/1000),Skills!L19/10)+Skills!O19</f>
        <v/>
      </c>
      <c r="G2541">
        <f>Calc!G19</f>
        <v/>
      </c>
      <c r="H2541">
        <f>Calc!H19</f>
        <v/>
      </c>
      <c r="I2541">
        <f>IF(Skills!AA19&lt;&gt;"",1+(Skills!AA19/10)*(U2525/1000)/100,1)</f>
        <v/>
      </c>
      <c r="J2541" t="inlineStr"/>
      <c r="K2541" t="inlineStr"/>
      <c r="L2541" t="inlineStr"/>
      <c r="M2541" t="inlineStr"/>
      <c r="N2541" t="inlineStr"/>
      <c r="O2541">
        <f>(1-Summary!$B$11)*T2541+Summary!$B$11*V2541</f>
        <v/>
      </c>
      <c r="P2541">
        <f>IF(B2566=0,0,O2541/B2566)</f>
        <v/>
      </c>
      <c r="Q2541">
        <f>IFERROR(1/IF(Inputs!$B$39="pvp",15,MAX(0.1,Skills!D19-IF(Skills!E19=TRUE,Inputs!$B$32,0))),0)</f>
        <v/>
      </c>
      <c r="R2541">
        <f>IF(AND(Inputs!$B$39&lt;&gt;"pvp",Inputs!$B$44&gt;0),IF(Inputs!$B$44&lt;=0,0,(INT(Inputs!$B$44/IF(Inputs!$B$39="pvp",15,MAX(0.1,Skills!D19-IF(Skills!E19=TRUE,Inputs!$B$32,0))))+1)),0)</f>
        <v/>
      </c>
      <c r="S2541">
        <f>IFERROR(O2541/N2541,0)</f>
        <v/>
      </c>
      <c r="T2541" t="n">
        <v>0</v>
      </c>
      <c r="V2541" t="n">
        <v>0</v>
      </c>
    </row>
    <row r="2542">
      <c r="A2542">
        <f>Skills!A20</f>
        <v/>
      </c>
      <c r="B2542">
        <f>Skills!B20</f>
        <v/>
      </c>
      <c r="C2542">
        <f>Inputs!$B$3&gt;=15</f>
        <v/>
      </c>
      <c r="D2542">
        <f>IF(Skills!C20=1,60+Inputs!$B$25+Inputs!$B$29,IF(Skills!C20=2,90+Inputs!$B$26+Inputs!$B$29,IF(Skills!C20=3,120+Inputs!$B$27+Inputs!$B$29,MAX(0,(Inputs!$B$3-100)*3)+Inputs!$B$28+Inputs!$B$29)))</f>
        <v/>
      </c>
      <c r="E2542">
        <f>INDEX(FactorTable!$B$2:$Y$301, MATCH(ROUND(MIN(300,MAX(1,D2542)),0), FactorTable!$A$2:$A$301,0), Skills!M20+1)</f>
        <v/>
      </c>
      <c r="F2542">
        <f>IF(Skills!N20=TRUE,(Skills!L20/10)*(E2542/1000),Skills!L20/10)+Skills!O20</f>
        <v/>
      </c>
      <c r="G2542">
        <f>Calc!G20</f>
        <v/>
      </c>
      <c r="H2542">
        <f>Calc!H20</f>
        <v/>
      </c>
      <c r="I2542">
        <f>IF(Skills!AA20&lt;&gt;"",1+(Skills!AA20/10)*(U2525/1000)/100,1)</f>
        <v/>
      </c>
      <c r="J2542" t="inlineStr"/>
      <c r="K2542" t="inlineStr"/>
      <c r="L2542" t="inlineStr"/>
      <c r="M2542" t="inlineStr"/>
      <c r="N2542" t="inlineStr"/>
      <c r="O2542">
        <f>(1-Summary!$B$11)*T2542+Summary!$B$11*V2542</f>
        <v/>
      </c>
      <c r="P2542">
        <f>IF(B2566=0,0,O2542/B2566)</f>
        <v/>
      </c>
      <c r="Q2542">
        <f>IFERROR(1/IF(Inputs!$B$39="pvp",15,MAX(0.1,Skills!D20-IF(Skills!E20=TRUE,Inputs!$B$32,0))),0)</f>
        <v/>
      </c>
      <c r="R2542">
        <f>IF(AND(Inputs!$B$39&lt;&gt;"pvp",Inputs!$B$44&gt;0),IF(Inputs!$B$44&lt;=0,0,(INT(Inputs!$B$44/IF(Inputs!$B$39="pvp",15,MAX(0.1,Skills!D20-IF(Skills!E20=TRUE,Inputs!$B$32,0))))+1)),0)</f>
        <v/>
      </c>
      <c r="S2542">
        <f>IFERROR(O2542/N2542,0)</f>
        <v/>
      </c>
      <c r="T2542" t="n">
        <v>0</v>
      </c>
      <c r="V2542" t="n">
        <v>0</v>
      </c>
    </row>
    <row r="2543">
      <c r="A2543">
        <f>Skills!A21</f>
        <v/>
      </c>
      <c r="B2543">
        <f>Skills!B21</f>
        <v/>
      </c>
      <c r="C2543">
        <f>Inputs!$B$3&gt;=15</f>
        <v/>
      </c>
      <c r="D2543">
        <f>IF(Skills!C21=1,60+Inputs!$B$25+Inputs!$B$29,IF(Skills!C21=2,90+Inputs!$B$26+Inputs!$B$29,IF(Skills!C21=3,120+Inputs!$B$27+Inputs!$B$29,MAX(0,(Inputs!$B$3-100)*3)+Inputs!$B$28+Inputs!$B$29)))</f>
        <v/>
      </c>
      <c r="E2543">
        <f>INDEX(FactorTable!$B$2:$Y$301, MATCH(ROUND(MIN(300,MAX(1,D2543)),0), FactorTable!$A$2:$A$301,0), Skills!M21+1)</f>
        <v/>
      </c>
      <c r="F2543">
        <f>IF(Skills!N21=TRUE,(Skills!L21/10)*(E2543/1000),Skills!L21/10)+Skills!O21</f>
        <v/>
      </c>
      <c r="G2543">
        <f>Calc!G21</f>
        <v/>
      </c>
      <c r="H2543">
        <f>Calc!H21</f>
        <v/>
      </c>
      <c r="I2543">
        <f>IF(Skills!AA21&lt;&gt;"",1+(Skills!AA21/10)*(U2525/1000)/100,1)</f>
        <v/>
      </c>
      <c r="J2543" t="inlineStr"/>
      <c r="K2543" t="inlineStr"/>
      <c r="L2543" t="inlineStr"/>
      <c r="M2543" t="inlineStr"/>
      <c r="N2543" t="inlineStr"/>
      <c r="O2543">
        <f>(1-Summary!$B$11)*T2543+Summary!$B$11*V2543</f>
        <v/>
      </c>
      <c r="P2543">
        <f>IF(B2566=0,0,O2543/B2566)</f>
        <v/>
      </c>
      <c r="Q2543">
        <f>IFERROR(1/IF(Inputs!$B$39="pvp",15,MAX(0.1,Skills!D21-IF(Skills!E21=TRUE,Inputs!$B$32,0))),0)</f>
        <v/>
      </c>
      <c r="R2543">
        <f>IF(AND(Inputs!$B$39&lt;&gt;"pvp",Inputs!$B$44&gt;0),IF(Inputs!$B$44&lt;=0,0,(INT(Inputs!$B$44/IF(Inputs!$B$39="pvp",15,MAX(0.1,Skills!D21-IF(Skills!E21=TRUE,Inputs!$B$32,0))))+1)),0)</f>
        <v/>
      </c>
      <c r="S2543">
        <f>IFERROR(O2543/N2543,0)</f>
        <v/>
      </c>
      <c r="T2543" t="n">
        <v>0</v>
      </c>
      <c r="V2543" t="n">
        <v>0</v>
      </c>
    </row>
    <row r="2544">
      <c r="A2544">
        <f>Skills!A22</f>
        <v/>
      </c>
      <c r="B2544">
        <f>Skills!B22</f>
        <v/>
      </c>
      <c r="C2544">
        <f>Inputs!$B$3&gt;=33</f>
        <v/>
      </c>
      <c r="D2544">
        <f>IF(Skills!C22=1,60+Inputs!$B$25+Inputs!$B$29,IF(Skills!C22=2,90+Inputs!$B$26+Inputs!$B$29,IF(Skills!C22=3,120+Inputs!$B$27+Inputs!$B$29,MAX(0,(Inputs!$B$3-100)*3)+Inputs!$B$28+Inputs!$B$29)))</f>
        <v/>
      </c>
      <c r="E2544">
        <f>INDEX(FactorTable!$B$2:$Y$301, MATCH(ROUND(MIN(300,MAX(1,D2544)),0), FactorTable!$A$2:$A$301,0), Skills!M22+1)</f>
        <v/>
      </c>
      <c r="F2544">
        <f>IF(Skills!N22=TRUE,(Skills!L22/10)*(E2544/1000),Skills!L22/10)+Skills!O22</f>
        <v/>
      </c>
      <c r="G2544">
        <f>Calc!G22</f>
        <v/>
      </c>
      <c r="H2544">
        <f>Calc!H22</f>
        <v/>
      </c>
      <c r="I2544">
        <f>IF(Skills!AA22&lt;&gt;"",1+(Skills!AA22/10)*(U2525/1000)/100,1)</f>
        <v/>
      </c>
      <c r="J2544" t="inlineStr"/>
      <c r="K2544" t="inlineStr"/>
      <c r="L2544" t="inlineStr"/>
      <c r="M2544" t="inlineStr"/>
      <c r="N2544" t="inlineStr"/>
      <c r="O2544">
        <f>(1-Summary!$B$11)*T2544+Summary!$B$11*V2544</f>
        <v/>
      </c>
      <c r="P2544">
        <f>IF(B2566=0,0,O2544/B2566)</f>
        <v/>
      </c>
      <c r="Q2544" t="n">
        <v>0</v>
      </c>
      <c r="R2544" t="n">
        <v>0</v>
      </c>
      <c r="S2544">
        <f>IFERROR(O2544/N2544,0)</f>
        <v/>
      </c>
      <c r="T2544" t="n">
        <v>0</v>
      </c>
      <c r="V2544" t="n">
        <v>0</v>
      </c>
    </row>
    <row r="2545">
      <c r="A2545">
        <f>Skills!A23</f>
        <v/>
      </c>
      <c r="B2545">
        <f>Skills!B23</f>
        <v/>
      </c>
      <c r="C2545">
        <f>Inputs!$B$3&gt;=38</f>
        <v/>
      </c>
      <c r="D2545">
        <f>IF(Skills!C23=1,60+Inputs!$B$25+Inputs!$B$29,IF(Skills!C23=2,90+Inputs!$B$26+Inputs!$B$29,IF(Skills!C23=3,120+Inputs!$B$27+Inputs!$B$29,MAX(0,(Inputs!$B$3-100)*3)+Inputs!$B$28+Inputs!$B$29)))</f>
        <v/>
      </c>
      <c r="E2545">
        <f>INDEX(FactorTable!$B$2:$Y$301, MATCH(ROUND(MIN(300,MAX(1,D2545)),0), FactorTable!$A$2:$A$301,0), Skills!M23+1)</f>
        <v/>
      </c>
      <c r="F2545">
        <f>IF(Skills!N23=TRUE,(Skills!L23/10)*(E2545/1000),Skills!L23/10)+Skills!O23</f>
        <v/>
      </c>
      <c r="G2545">
        <f>Calc!G23</f>
        <v/>
      </c>
      <c r="H2545">
        <f>Calc!H23</f>
        <v/>
      </c>
      <c r="I2545">
        <f>IF(Skills!AA23&lt;&gt;"",1+(Skills!AA23/10)*(U2525/1000)/100,1)</f>
        <v/>
      </c>
      <c r="J2545" t="inlineStr"/>
      <c r="K2545" t="inlineStr"/>
      <c r="L2545" t="inlineStr"/>
      <c r="M2545" t="inlineStr"/>
      <c r="N2545" t="inlineStr"/>
      <c r="O2545">
        <f>(1-Summary!$B$11)*T2545+Summary!$B$11*V2545</f>
        <v/>
      </c>
      <c r="P2545">
        <f>IF(B2566=0,0,O2545/B2566)</f>
        <v/>
      </c>
      <c r="Q2545" t="n">
        <v>0</v>
      </c>
      <c r="R2545" t="n">
        <v>0</v>
      </c>
      <c r="S2545">
        <f>IFERROR(O2545/N2545,0)</f>
        <v/>
      </c>
      <c r="T2545" t="n">
        <v>0</v>
      </c>
      <c r="V2545" t="n">
        <v>0</v>
      </c>
    </row>
    <row r="2546">
      <c r="A2546">
        <f>Skills!A24</f>
        <v/>
      </c>
      <c r="B2546">
        <f>Skills!B24</f>
        <v/>
      </c>
      <c r="C2546">
        <f>Inputs!$B$3&gt;=40</f>
        <v/>
      </c>
      <c r="D2546">
        <f>IF(Skills!C24=1,60+Inputs!$B$25+Inputs!$B$29,IF(Skills!C24=2,90+Inputs!$B$26+Inputs!$B$29,IF(Skills!C24=3,120+Inputs!$B$27+Inputs!$B$29,MAX(0,(Inputs!$B$3-100)*3)+Inputs!$B$28+Inputs!$B$29)))</f>
        <v/>
      </c>
      <c r="E2546">
        <f>INDEX(FactorTable!$B$2:$Y$301, MATCH(ROUND(MIN(300,MAX(1,D2546)),0), FactorTable!$A$2:$A$301,0), Skills!M24+1)</f>
        <v/>
      </c>
      <c r="F2546">
        <f>IF(Skills!N24=TRUE,(Skills!L24/10)*(E2546/1000),Skills!L24/10)+Skills!O24</f>
        <v/>
      </c>
      <c r="G2546">
        <f>Calc!G24</f>
        <v/>
      </c>
      <c r="H2546">
        <f>Calc!H24</f>
        <v/>
      </c>
      <c r="I2546">
        <f>IF(Skills!AA24&lt;&gt;"",1+(Skills!AA24/10)*(U2525/1000)/100,1)</f>
        <v/>
      </c>
      <c r="J2546" t="inlineStr"/>
      <c r="K2546" t="inlineStr"/>
      <c r="L2546" t="inlineStr"/>
      <c r="M2546" t="inlineStr"/>
      <c r="N2546" t="inlineStr"/>
      <c r="O2546">
        <f>(1-Summary!$B$11)*T2546+Summary!$B$11*V2546</f>
        <v/>
      </c>
      <c r="P2546">
        <f>IF(B2566=0,0,O2546/B2566)</f>
        <v/>
      </c>
      <c r="Q2546" t="n">
        <v>0</v>
      </c>
      <c r="R2546" t="n">
        <v>0</v>
      </c>
      <c r="S2546">
        <f>IFERROR(O2546/N2546,0)</f>
        <v/>
      </c>
      <c r="T2546" t="n">
        <v>0</v>
      </c>
      <c r="V2546" t="n">
        <v>0</v>
      </c>
    </row>
    <row r="2547">
      <c r="A2547">
        <f>Skills!A25</f>
        <v/>
      </c>
      <c r="B2547">
        <f>Skills!B25</f>
        <v/>
      </c>
      <c r="C2547">
        <f>Inputs!$B$3&gt;=45</f>
        <v/>
      </c>
      <c r="D2547">
        <f>IF(Skills!C25=1,60+Inputs!$B$25+Inputs!$B$29,IF(Skills!C25=2,90+Inputs!$B$26+Inputs!$B$29,IF(Skills!C25=3,120+Inputs!$B$27+Inputs!$B$29,MAX(0,(Inputs!$B$3-100)*3)+Inputs!$B$28+Inputs!$B$29)))</f>
        <v/>
      </c>
      <c r="E2547">
        <f>INDEX(FactorTable!$B$2:$Y$301, MATCH(ROUND(MIN(300,MAX(1,D2547)),0), FactorTable!$A$2:$A$301,0), Skills!M25+1)</f>
        <v/>
      </c>
      <c r="F2547">
        <f>IF(Skills!N25=TRUE,(Skills!L25/10)*(E2547/1000),Skills!L25/10)+Skills!O25</f>
        <v/>
      </c>
      <c r="G2547">
        <f>Calc!G25</f>
        <v/>
      </c>
      <c r="H2547">
        <f>Calc!H25</f>
        <v/>
      </c>
      <c r="I2547">
        <f>IF(Skills!AA25&lt;&gt;"",1+(Skills!AA25/10)*(U2525/1000)/100,1)</f>
        <v/>
      </c>
      <c r="J2547" t="inlineStr"/>
      <c r="K2547" t="inlineStr"/>
      <c r="L2547" t="inlineStr"/>
      <c r="M2547" t="inlineStr"/>
      <c r="N2547" t="inlineStr"/>
      <c r="O2547">
        <f>(1-Summary!$B$11)*T2547+Summary!$B$11*V2547</f>
        <v/>
      </c>
      <c r="P2547">
        <f>IF(B2566=0,0,O2547/B2566)</f>
        <v/>
      </c>
      <c r="Q2547" t="n">
        <v>0</v>
      </c>
      <c r="R2547" t="n">
        <v>0</v>
      </c>
      <c r="S2547">
        <f>IFERROR(O2547/N2547,0)</f>
        <v/>
      </c>
      <c r="T2547" t="n">
        <v>0</v>
      </c>
      <c r="V2547" t="n">
        <v>0</v>
      </c>
    </row>
    <row r="2548">
      <c r="A2548">
        <f>Skills!A26</f>
        <v/>
      </c>
      <c r="B2548">
        <f>Skills!B26</f>
        <v/>
      </c>
      <c r="C2548">
        <f>Inputs!$B$3&gt;=45</f>
        <v/>
      </c>
      <c r="D2548">
        <f>IF(Skills!C26=1,60+Inputs!$B$25+Inputs!$B$29,IF(Skills!C26=2,90+Inputs!$B$26+Inputs!$B$29,IF(Skills!C26=3,120+Inputs!$B$27+Inputs!$B$29,MAX(0,(Inputs!$B$3-100)*3)+Inputs!$B$28+Inputs!$B$29)))</f>
        <v/>
      </c>
      <c r="E2548">
        <f>INDEX(FactorTable!$B$2:$Y$301, MATCH(ROUND(MIN(300,MAX(1,D2548)),0), FactorTable!$A$2:$A$301,0), Skills!M26+1)</f>
        <v/>
      </c>
      <c r="F2548">
        <f>IF(Skills!N26=TRUE,(Skills!L26/10)*(E2548/1000),Skills!L26/10)+Skills!O26</f>
        <v/>
      </c>
      <c r="G2548">
        <f>Calc!G26</f>
        <v/>
      </c>
      <c r="H2548">
        <f>Calc!H26</f>
        <v/>
      </c>
      <c r="I2548">
        <f>IF(Skills!AA26&lt;&gt;"",1+(Skills!AA26/10)*(U2525/1000)/100,1)</f>
        <v/>
      </c>
      <c r="J2548" t="inlineStr"/>
      <c r="K2548" t="inlineStr"/>
      <c r="L2548" t="inlineStr"/>
      <c r="M2548" t="inlineStr"/>
      <c r="N2548" t="inlineStr"/>
      <c r="O2548">
        <f>(1-Summary!$B$11)*T2548+Summary!$B$11*V2548</f>
        <v/>
      </c>
      <c r="P2548">
        <f>IF(B2566=0,0,O2548/B2566)</f>
        <v/>
      </c>
      <c r="Q2548" t="n">
        <v>0</v>
      </c>
      <c r="R2548" t="n">
        <v>0</v>
      </c>
      <c r="S2548">
        <f>IFERROR(O2548/N2548,0)</f>
        <v/>
      </c>
      <c r="T2548" t="n">
        <v>0</v>
      </c>
      <c r="V2548" t="n">
        <v>0</v>
      </c>
    </row>
    <row r="2549">
      <c r="A2549">
        <f>Skills!A27</f>
        <v/>
      </c>
      <c r="B2549">
        <f>Skills!B27</f>
        <v/>
      </c>
      <c r="C2549">
        <f>Inputs!$B$3&gt;=72</f>
        <v/>
      </c>
      <c r="D2549">
        <f>IF(Skills!C27=1,60+Inputs!$B$25+Inputs!$B$29,IF(Skills!C27=2,90+Inputs!$B$26+Inputs!$B$29,IF(Skills!C27=3,120+Inputs!$B$27+Inputs!$B$29,MAX(0,(Inputs!$B$3-100)*3)+Inputs!$B$28+Inputs!$B$29)))</f>
        <v/>
      </c>
      <c r="E2549">
        <f>INDEX(FactorTable!$B$2:$Y$301, MATCH(ROUND(MIN(300,MAX(1,D2549)),0), FactorTable!$A$2:$A$301,0), Skills!M27+1)</f>
        <v/>
      </c>
      <c r="F2549">
        <f>IF(Skills!N27=TRUE,(Skills!L27/10)*(E2549/1000),Skills!L27/10)+Skills!O27</f>
        <v/>
      </c>
      <c r="G2549">
        <f>Calc!G27</f>
        <v/>
      </c>
      <c r="H2549">
        <f>Calc!H27</f>
        <v/>
      </c>
      <c r="I2549">
        <f>IF(Skills!AA27&lt;&gt;"",1+(Skills!AA27/10)*(U2525/1000)/100,1)</f>
        <v/>
      </c>
      <c r="J2549" t="inlineStr"/>
      <c r="K2549" t="inlineStr"/>
      <c r="L2549" t="inlineStr"/>
      <c r="M2549" t="inlineStr"/>
      <c r="N2549" t="inlineStr"/>
      <c r="O2549">
        <f>(1-Summary!$B$11)*T2549+Summary!$B$11*V2549</f>
        <v/>
      </c>
      <c r="P2549">
        <f>IF(B2566=0,0,O2549/B2566)</f>
        <v/>
      </c>
      <c r="Q2549" t="n">
        <v>0</v>
      </c>
      <c r="R2549" t="n">
        <v>0</v>
      </c>
      <c r="S2549">
        <f>IFERROR(O2549/N2549,0)</f>
        <v/>
      </c>
      <c r="T2549" t="n">
        <v>0</v>
      </c>
      <c r="V2549" t="n">
        <v>0</v>
      </c>
    </row>
    <row r="2550">
      <c r="A2550">
        <f>Skills!A28</f>
        <v/>
      </c>
      <c r="B2550">
        <f>Skills!B28</f>
        <v/>
      </c>
      <c r="C2550">
        <f>Inputs!$B$3&gt;=75</f>
        <v/>
      </c>
      <c r="D2550">
        <f>IF(Skills!C28=1,60+Inputs!$B$25+Inputs!$B$29,IF(Skills!C28=2,90+Inputs!$B$26+Inputs!$B$29,IF(Skills!C28=3,120+Inputs!$B$27+Inputs!$B$29,MAX(0,(Inputs!$B$3-100)*3)+Inputs!$B$28+Inputs!$B$29)))</f>
        <v/>
      </c>
      <c r="E2550">
        <f>INDEX(FactorTable!$B$2:$Y$301, MATCH(ROUND(MIN(300,MAX(1,D2550)),0), FactorTable!$A$2:$A$301,0), Skills!M28+1)</f>
        <v/>
      </c>
      <c r="F2550">
        <f>IF(Skills!N28=TRUE,(Skills!L28/10)*(E2550/1000),Skills!L28/10)+Skills!O28</f>
        <v/>
      </c>
      <c r="G2550">
        <f>Calc!G28</f>
        <v/>
      </c>
      <c r="H2550">
        <f>Calc!H28</f>
        <v/>
      </c>
      <c r="I2550">
        <f>IF(Skills!AA28&lt;&gt;"",1+(Skills!AA28/10)*(U2525/1000)/100,1)</f>
        <v/>
      </c>
      <c r="J2550" t="inlineStr"/>
      <c r="K2550" t="inlineStr"/>
      <c r="L2550" t="inlineStr"/>
      <c r="M2550" t="inlineStr"/>
      <c r="N2550" t="inlineStr"/>
      <c r="O2550">
        <f>(1-Summary!$B$11)*T2550+Summary!$B$11*V2550</f>
        <v/>
      </c>
      <c r="P2550">
        <f>IF(B2566=0,0,O2550/B2566)</f>
        <v/>
      </c>
      <c r="Q2550" t="n">
        <v>0</v>
      </c>
      <c r="R2550" t="n">
        <v>0</v>
      </c>
      <c r="S2550">
        <f>IFERROR(O2550/N2550,0)</f>
        <v/>
      </c>
      <c r="T2550" t="n">
        <v>0</v>
      </c>
      <c r="V2550" t="n">
        <v>0</v>
      </c>
    </row>
    <row r="2551">
      <c r="A2551">
        <f>Skills!A29</f>
        <v/>
      </c>
      <c r="B2551">
        <f>Skills!B29</f>
        <v/>
      </c>
      <c r="C2551">
        <f>Inputs!$B$3&gt;=120</f>
        <v/>
      </c>
      <c r="D2551">
        <f>IF(Skills!C29=1,60+Inputs!$B$25+Inputs!$B$29,IF(Skills!C29=2,90+Inputs!$B$26+Inputs!$B$29,IF(Skills!C29=3,120+Inputs!$B$27+Inputs!$B$29,MAX(0,(Inputs!$B$3-100)*3)+Inputs!$B$28+Inputs!$B$29)))</f>
        <v/>
      </c>
      <c r="E2551">
        <f>INDEX(FactorTable!$B$2:$Y$301, MATCH(ROUND(MIN(300,MAX(1,D2551)),0), FactorTable!$A$2:$A$301,0), Skills!M29+1)</f>
        <v/>
      </c>
      <c r="F2551">
        <f>IF(Skills!N29=TRUE,(Skills!L29/10)*(E2551/1000),Skills!L29/10)+Skills!O29</f>
        <v/>
      </c>
      <c r="G2551">
        <f>Calc!G29</f>
        <v/>
      </c>
      <c r="H2551">
        <f>Calc!H29</f>
        <v/>
      </c>
      <c r="I2551">
        <f>IF(Skills!AA29&lt;&gt;"",1+(Skills!AA29/10)*(U2525/1000)/100,1)</f>
        <v/>
      </c>
      <c r="J2551" t="inlineStr"/>
      <c r="K2551" t="inlineStr"/>
      <c r="L2551" t="inlineStr"/>
      <c r="M2551" t="inlineStr"/>
      <c r="N2551" t="inlineStr"/>
      <c r="O2551">
        <f>(1-Summary!$B$11)*T2551+Summary!$B$11*V2551</f>
        <v/>
      </c>
      <c r="P2551">
        <f>IF(B2566=0,0,O2551/B2566)</f>
        <v/>
      </c>
      <c r="Q2551" t="n">
        <v>0</v>
      </c>
      <c r="R2551" t="n">
        <v>0</v>
      </c>
      <c r="S2551">
        <f>IFERROR(O2551/N2551,0)</f>
        <v/>
      </c>
      <c r="T2551" t="n">
        <v>0</v>
      </c>
      <c r="V2551" t="n">
        <v>0</v>
      </c>
    </row>
    <row r="2552">
      <c r="A2552">
        <f>Skills!A30</f>
        <v/>
      </c>
      <c r="B2552">
        <f>Skills!B30</f>
        <v/>
      </c>
      <c r="C2552">
        <f>Inputs!$B$3&gt;=125</f>
        <v/>
      </c>
      <c r="D2552">
        <f>IF(Skills!C30=1,60+Inputs!$B$25+Inputs!$B$29,IF(Skills!C30=2,90+Inputs!$B$26+Inputs!$B$29,IF(Skills!C30=3,120+Inputs!$B$27+Inputs!$B$29,MAX(0,(Inputs!$B$3-100)*3)+Inputs!$B$28+Inputs!$B$29)))</f>
        <v/>
      </c>
      <c r="E2552">
        <f>INDEX(FactorTable!$B$2:$Y$301, MATCH(ROUND(MIN(300,MAX(1,D2552)),0), FactorTable!$A$2:$A$301,0), Skills!M30+1)</f>
        <v/>
      </c>
      <c r="F2552">
        <f>IF(Skills!N30=TRUE,(Skills!L30/10)*(E2552/1000),Skills!L30/10)+Skills!O30</f>
        <v/>
      </c>
      <c r="G2552">
        <f>Calc!G30</f>
        <v/>
      </c>
      <c r="H2552">
        <f>Calc!H30</f>
        <v/>
      </c>
      <c r="I2552">
        <f>IF(Skills!AA30&lt;&gt;"",1+(Skills!AA30/10)*(U2525/1000)/100,1)</f>
        <v/>
      </c>
      <c r="J2552" t="inlineStr"/>
      <c r="K2552" t="inlineStr"/>
      <c r="L2552" t="inlineStr"/>
      <c r="M2552" t="inlineStr"/>
      <c r="N2552" t="inlineStr"/>
      <c r="O2552">
        <f>(1-Summary!$B$11)*T2552+Summary!$B$11*V2552</f>
        <v/>
      </c>
      <c r="P2552">
        <f>IF(B2566=0,0,O2552/B2566)</f>
        <v/>
      </c>
      <c r="Q2552" t="n">
        <v>0</v>
      </c>
      <c r="R2552" t="n">
        <v>0</v>
      </c>
      <c r="S2552">
        <f>IFERROR(O2552/N2552,0)</f>
        <v/>
      </c>
      <c r="T2552" t="n">
        <v>0</v>
      </c>
      <c r="V2552" t="n">
        <v>0</v>
      </c>
    </row>
    <row r="2553">
      <c r="A2553">
        <f>Skills!A31</f>
        <v/>
      </c>
      <c r="B2553">
        <f>Skills!B31</f>
        <v/>
      </c>
      <c r="C2553">
        <f>Inputs!$B$3&gt;=107</f>
        <v/>
      </c>
      <c r="D2553">
        <f>IF(Skills!C31=1,60+Inputs!$B$25+Inputs!$B$29,IF(Skills!C31=2,90+Inputs!$B$26+Inputs!$B$29,IF(Skills!C31=3,120+Inputs!$B$27+Inputs!$B$29,MAX(0,(Inputs!$B$3-100)*3)+Inputs!$B$28+Inputs!$B$29)))</f>
        <v/>
      </c>
      <c r="E2553">
        <f>INDEX(FactorTable!$B$2:$Y$301, MATCH(ROUND(MIN(300,MAX(1,D2553)),0), FactorTable!$A$2:$A$301,0), Skills!M31+1)</f>
        <v/>
      </c>
      <c r="F2553">
        <f>IF(Skills!N31=TRUE,(Skills!L31/10)*(E2553/1000),Skills!L31/10)+Skills!O31</f>
        <v/>
      </c>
      <c r="G2553">
        <f>Calc!G31</f>
        <v/>
      </c>
      <c r="H2553">
        <f>Calc!H31</f>
        <v/>
      </c>
      <c r="I2553">
        <f>IF(Skills!AA31&lt;&gt;"",1+(Skills!AA31/10)*(U2525/1000)/100,1)</f>
        <v/>
      </c>
      <c r="J2553" t="inlineStr"/>
      <c r="K2553" t="inlineStr"/>
      <c r="L2553" t="inlineStr"/>
      <c r="M2553" t="inlineStr"/>
      <c r="N2553" t="inlineStr"/>
      <c r="O2553">
        <f>(1-Summary!$B$11)*T2553+Summary!$B$11*V2553</f>
        <v/>
      </c>
      <c r="P2553">
        <f>IF(B2566=0,0,O2553/B2566)</f>
        <v/>
      </c>
      <c r="Q2553" t="n">
        <v>0</v>
      </c>
      <c r="R2553" t="n">
        <v>0</v>
      </c>
      <c r="S2553">
        <f>IFERROR(O2553/N2553,0)</f>
        <v/>
      </c>
      <c r="T2553" t="n">
        <v>0</v>
      </c>
      <c r="V2553" t="n">
        <v>0</v>
      </c>
    </row>
    <row r="2555">
      <c r="A2555" t="inlineStr">
        <is>
          <t>Actions Per Second (pre-Adrenalin)</t>
        </is>
      </c>
      <c r="B2555">
        <f>1+MIN(150,150*(1-(1-(Inputs!$B$11+((C2544=TRUE)*(F2544-Calc!F22))+(ArtifactsInput!$M$15-ArtifactsInput!$M$15)*CHOOSE(ArtifactsInput!$N$15+1,8,9.6,11.2,12.8,14.4,16))/150)*(1-((C2541=TRUE)*F2541*IF(AND(Inputs!$B$39&lt;&gt;"pvp",Inputs!$B$44&gt;0),(((R2541-1)*(Skills!Y19*(1+Inputs!$B$34/100))+MIN((Skills!Y19*(1+Inputs!$B$34/100)),MAX(0,Inputs!$B$44-((R2541-1)*Skills!D19))))/Inputs!$B$44),IF(Inputs!$B$39="pvp",MIN((Skills!Y19*(1+Inputs!$B$34/100)),15)/15,(Skills!Y19*(1+Inputs!$B$34/100))/Skills!D19)))/150)))/100</f>
        <v/>
      </c>
    </row>
    <row r="2556">
      <c r="A2556" t="inlineStr">
        <is>
          <t>Alchemic Adrenaline Uptime</t>
        </is>
      </c>
      <c r="B2556">
        <f>(Skills!Y6*(1+Inputs!$B$34/100))/((Skills!Y6*(1+Inputs!$B$34/100))+(5/B2555))</f>
        <v/>
      </c>
    </row>
    <row r="2557">
      <c r="A2557" t="inlineStr">
        <is>
          <t>Attack Speed Buff Bonus %</t>
        </is>
      </c>
      <c r="B2557">
        <f>((C2541=TRUE)*F2541*IF(AND(Inputs!$B$39&lt;&gt;"pvp",Inputs!$B$44&gt;0),(((R2541-1)*(Skills!Y19*(1+Inputs!$B$34/100))+MIN((Skills!Y19*(1+Inputs!$B$34/100)),MAX(0,Inputs!$B$44-((R2541-1)*Skills!D19))))/Inputs!$B$44),IF(Inputs!$B$39="pvp",MIN((Skills!Y19*(1+Inputs!$B$34/100)),15)/15,(Skills!Y19*(1+Inputs!$B$34/100))/Skills!D19)))+((C2529=TRUE)*F2529*B2556)</f>
        <v/>
      </c>
    </row>
    <row r="2558">
      <c r="A2558" t="inlineStr">
        <is>
          <t>Actions Per Second (final)</t>
        </is>
      </c>
      <c r="B2558">
        <f>1+MIN(150,150*(1-(1-(Inputs!$B$11+((C2544=TRUE)*(F2544-Calc!F22))+(ArtifactsInput!$M$15-ArtifactsInput!$M$15)*CHOOSE(ArtifactsInput!$N$15+1,8,9.6,11.2,12.8,14.4,16))/150)*(1-B2557/150)))/100</f>
        <v/>
      </c>
    </row>
    <row r="2559">
      <c r="A2559" t="inlineStr">
        <is>
          <t>Skill + Buff Cast Rate</t>
        </is>
      </c>
      <c r="B2559">
        <f>IF(AND(Inputs!$B$39&lt;&gt;"pvp",Inputs!$B$44&gt;0),SUMPRODUCT((Skills!E2:E31=TRUE)*(C2524:C2553=TRUE)*R2524:R2553*Skills!F2:F31)/Inputs!$B$44,SUMPRODUCT((Skills!E2:E31=TRUE)*(C2524:C2553=TRUE)*Q2524:Q2553*Skills!F2:F31))</f>
        <v/>
      </c>
    </row>
    <row r="2560">
      <c r="A2560" t="inlineStr">
        <is>
          <t>Showdown Casts Per Second</t>
        </is>
      </c>
      <c r="B2560">
        <f>MAX(0,B2558-B2559)</f>
        <v/>
      </c>
    </row>
    <row r="2561">
      <c r="A2561" t="inlineStr">
        <is>
          <t>Average Buff Multiplier</t>
        </is>
      </c>
      <c r="B2561">
        <f>(1+(((C2543=TRUE)*F2543*IF(AND(Inputs!$B$39&lt;&gt;"pvp",Inputs!$B$44&gt;0),(((R2543-1)*(Skills!Y21*(1+Inputs!$B$34/100))+MIN((Skills!Y21*(1+Inputs!$B$34/100)),MAX(0,Inputs!$B$44-((R2543-1)*Skills!D21))))/Inputs!$B$44),IF(Inputs!$B$39="pvp",MIN((Skills!Y21*(1+Inputs!$B$34/100)),15)/15,(Skills!Y21*(1+Inputs!$B$34/100))/Skills!D21)))+((C2550=TRUE)*(F2550-Calc!F28))+((C2540=TRUE)*(F2540-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2537=TRUE)*F2537*IF(AND(Inputs!$B$39&lt;&gt;"pvp",Inputs!$B$44&gt;0),(((R2537-1)*(Skills!Y15*(1+Inputs!$B$34/100))+MIN((Skills!Y15*(1+Inputs!$B$34/100)),MAX(0,Inputs!$B$44-((R2537-1)*Skills!D15))))/Inputs!$B$44),IF(Inputs!$B$39="pvp",MIN((Skills!Y15*(1+Inputs!$B$34/100)),15)/15,(Skills!Y15*(1+Inputs!$B$34/100))/Skills!D15)))/100)*(1+((C2528=TRUE)*F2528*B2556)/100)</f>
        <v/>
      </c>
    </row>
    <row r="2562">
      <c r="A2562" t="inlineStr">
        <is>
          <t>Global Crit Rate Bonus %</t>
        </is>
      </c>
      <c r="B2562">
        <f>IF(Inputs!$B$3&gt;=47,8,0)+((C2542=TRUE)*F2542*IF(AND(Inputs!$B$39&lt;&gt;"pvp",Inputs!$B$44&gt;0),(((R2542-1)*(Skills!Y20*(1+Inputs!$B$34/100))+MIN((Skills!Y20*(1+Inputs!$B$34/100)),MAX(0,Inputs!$B$44-((R2542-1)*Skills!D20))))/Inputs!$B$44),IF(Inputs!$B$39="pvp",MIN((Skills!Y20*(1+Inputs!$B$34/100)),15)/15,(Skills!Y20*(1+Inputs!$B$34/100))/Skills!D20)))</f>
        <v/>
      </c>
    </row>
    <row r="2563">
      <c r="A2563" t="inlineStr">
        <is>
          <t>Global Monster Damage-Taken Bonus %</t>
        </is>
      </c>
      <c r="B2563">
        <f>IF(Inputs!$B$3&gt;=82,15,0)+((C2538=TRUE)*F2538*IF(AND(Inputs!$B$39&lt;&gt;"pvp",Inputs!$B$44&gt;0),(((R2538-1)*(Skills!Y16*(1+Inputs!$B$34/100))+MIN((Skills!Y16*(1+Inputs!$B$34/100)),MAX(0,Inputs!$B$44-((R2538-1)*Skills!D16))))/Inputs!$B$44),IF(Inputs!$B$39="pvp",MIN((Skills!Y16*(1+Inputs!$B$34/100)),15)/15,(Skills!Y16*(1+Inputs!$B$34/100))/Skills!D16)))</f>
        <v/>
      </c>
    </row>
    <row r="2564">
      <c r="A2564" t="inlineStr">
        <is>
          <t>Shadow Partner Average Multiplier</t>
        </is>
      </c>
      <c r="B2564">
        <f>1+((C2533=TRUE)*F2533*I2533*Skills!J11/100)/100</f>
        <v/>
      </c>
    </row>
    <row r="2565">
      <c r="A2565" t="inlineStr">
        <is>
          <t>Global Critical Damage Bonus % (Frailty Curse Mastery Lv.111)</t>
        </is>
      </c>
      <c r="B2565">
        <f>IF(Inputs!$B$3&gt;=111,30,0)*IF(AND(Inputs!$B$39&lt;&gt;"pvp",Inputs!$B$44&gt;0),(((R2538-1)*(Skills!Y16*(1+Inputs!$B$34/100))+MIN((Skills!Y16*(1+Inputs!$B$34/100)),MAX(0,Inputs!$B$44-((R2538-1)*Skills!D16))))/Inputs!$B$44),IF(Inputs!$B$39="pvp",MIN((Skills!Y16*(1+Inputs!$B$34/100)),15)/15,(Skills!Y16*(1+Inputs!$B$34/100))/Skills!D16))</f>
        <v/>
      </c>
    </row>
    <row r="2566">
      <c r="A2566" s="6" t="inlineStr">
        <is>
          <t>TOTAL DPS</t>
        </is>
      </c>
      <c r="B2566" s="6">
        <f>SUM(O2524:O2553)</f>
        <v/>
      </c>
    </row>
    <row r="2567">
      <c r="A2567" t="inlineStr">
        <is>
          <t>Buff-Casting Startup Delay (s, fixed-duration only)</t>
        </is>
      </c>
      <c r="B2567">
        <f>IF(AND(Inputs!$B$39&lt;&gt;"pvp",Inputs!$B$44&gt;0),SUMPRODUCT((Skills!Y2:Y31&gt;0)*(Skills!E2:E31=TRUE)*(C2524:C2553=TRUE))/B2558,0)</f>
        <v/>
      </c>
    </row>
    <row r="2568">
      <c r="A2568" t="inlineStr">
        <is>
          <t>Boss-Only Total DPS (this block's swept value)</t>
        </is>
      </c>
      <c r="B2568">
        <f>SUM(T2524:T2553)</f>
        <v/>
      </c>
    </row>
    <row r="2569">
      <c r="A2569" t="inlineStr">
        <is>
          <t>Normal-Only Total DPS (this block's swept value)</t>
        </is>
      </c>
      <c r="B2569">
        <f>SUM(V2524:V2553)</f>
        <v/>
      </c>
    </row>
    <row r="2571">
      <c r="A2571" s="6" t="inlineStr">
        <is>
          <t>Stat: Icy Soul Rock (Equip)</t>
        </is>
      </c>
    </row>
    <row r="2572">
      <c r="A2572" s="5" t="inlineStr">
        <is>
          <t>Key</t>
        </is>
      </c>
      <c r="B2572" s="5" t="inlineStr">
        <is>
          <t>Name</t>
        </is>
      </c>
      <c r="C2572" s="5" t="inlineStr">
        <is>
          <t>Unlocked</t>
        </is>
      </c>
      <c r="D2572" s="5" t="inlineStr">
        <is>
          <t>InputLevel</t>
        </is>
      </c>
      <c r="E2572" s="5" t="inlineStr">
        <is>
          <t>Factor</t>
        </is>
      </c>
      <c r="F2572" s="5" t="inlineStr">
        <is>
          <t>CoefficientPercent</t>
        </is>
      </c>
      <c r="G2572" s="5" t="inlineStr">
        <is>
          <t>EffectiveHits</t>
        </is>
      </c>
      <c r="H2572" s="5" t="inlineStr">
        <is>
          <t>ProcProbability</t>
        </is>
      </c>
      <c r="I2572" s="5" t="inlineStr">
        <is>
          <t>MapleHeroMultiplier</t>
        </is>
      </c>
      <c r="J2572" s="5" t="inlineStr">
        <is>
          <t>BaseDamage</t>
        </is>
      </c>
      <c r="K2572" s="5" t="inlineStr">
        <is>
          <t>BaseHitDamage</t>
        </is>
      </c>
      <c r="L2572" s="5" t="inlineStr">
        <is>
          <t>NonCritAvg</t>
        </is>
      </c>
      <c r="M2572" s="5" t="inlineStr">
        <is>
          <t>CritAvg</t>
        </is>
      </c>
      <c r="N2572" s="5" t="inlineStr">
        <is>
          <t>ExpectedDamage(perHit)</t>
        </is>
      </c>
      <c r="O2572" s="5" t="inlineStr">
        <is>
          <t>DPS</t>
        </is>
      </c>
      <c r="P2572" s="5" t="inlineStr">
        <is>
          <t>% of Total</t>
        </is>
      </c>
      <c r="Q2572" s="5" t="inlineStr">
        <is>
          <t>InvCooldown</t>
        </is>
      </c>
      <c r="R2572" s="5" t="inlineStr">
        <is>
          <t>CastsInFight</t>
        </is>
      </c>
      <c r="S2572" s="5" t="inlineStr">
        <is>
          <t>HitRate(perSec)</t>
        </is>
      </c>
      <c r="U2572" t="inlineStr">
        <is>
          <t>helpers</t>
        </is>
      </c>
    </row>
    <row r="2573">
      <c r="A2573">
        <f>Skills!A2</f>
        <v/>
      </c>
      <c r="B2573">
        <f>Skills!B2</f>
        <v/>
      </c>
      <c r="C2573">
        <f>Inputs!$B$3&gt;=100</f>
        <v/>
      </c>
      <c r="D2573" t="inlineStr"/>
      <c r="E2573" t="inlineStr"/>
      <c r="F2573">
        <f>U2577+Skills!O2</f>
        <v/>
      </c>
      <c r="G2573">
        <f>Calc!G2</f>
        <v/>
      </c>
      <c r="H2573">
        <f>Calc!H2</f>
        <v/>
      </c>
      <c r="I2573">
        <f>IF(Skills!AA2&lt;&gt;"",1+(Skills!AA2/10)*(U2574/1000)/100,1)</f>
        <v/>
      </c>
      <c r="J2573">
        <f>((Inputs!$B$6*(1+Inputs!$B$7/100))+(((Inputs!$B$12*(1+Inputs!$B$13/100))-(Inputs!$B$12*(1+Inputs!$B$13/100)))+0.25*(Inputs!$B$14-Inputs!$B$14))*(1+Inputs!$B$7/100))*(F2573/100)</f>
        <v/>
      </c>
      <c r="K2573">
        <f>J2573*(1+((Inputs!$B$12*(1+Inputs!$B$13/100))*0.01+Inputs!$B$14*0.0025)/100)*(1+Inputs!$B$15/100)*(1+Inputs!$B$16/100)*(5000/(6000+Inputs!$B$43*(1-(100*(1-(1-(Inputs!$B$19+0)/100)*(1-CHOOSE(ArtifactsInput!$N$40+1,5,6,7,8,9,10)/100)^(ArtifactsInput!$M$40-ArtifactsInput!$M$40)))/100)))*(1+(Inputs!$B$24+((C2601=TRUE)*(F2601-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2594=TRUE)*(F2594-Calc!F23))+(((IF(AND(ArtifactsInput!$M$42,((Inputs!$B$9+((C2596=TRUE)*(F2596-Calc!F25))+B2611+(ArtifactsInput!$M$24-ArtifactsInput!$M$24)*CHOOSE(ArtifactsInput!$N$24+1,10,12,14,16,18,20)+IF(ArtifactsInput!$M$10,CHOOSE(ArtifactsInput!$N$10+1,15,18,21,24,27,30)*(IF(Inputs!$B$39="pvp",MIN(15,15)/15,IF(AND(Inputs!$B$39&lt;&gt;"pvp",Inputs!$B$44&gt;0),MIN(15,Inputs!$B$44)/(Inputs!$B$44),0))),0)))&gt;=100),MIN(100,((Inputs!$B$9+((C2596=TRUE)*(F2596-Calc!F25))+B2611+(ArtifactsInput!$M$24-ArtifactsInput!$M$24)*CHOOSE(ArtifactsInput!$N$24+1,10,12,14,16,18,20)+IF(ArtifactsInput!$M$10,CHOOSE(ArtifactsInput!$N$10+1,15,18,21,24,27,30)*(IF(Inputs!$B$39="pvp",MIN(15,15)/15,IF(AND(Inputs!$B$39&lt;&gt;"pvp",Inputs!$B$44&gt;0),MIN(15,Inputs!$B$44)/(Inputs!$B$44),0))),0)))-100),0))*CHOOSE(ArtifactsInput!$N$42+1,0.6,0.72,0.84,0.96,1.08,1.2))),Inputs!$B$18+((C2600=TRUE)*(F2600-Calc!F29))+(IF(AND(ArtifactsInput!$M$42,((Inputs!$B$9+((C2596=TRUE)*(F2596-Calc!F25))+B2611+(ArtifactsInput!$M$24-ArtifactsInput!$M$24)*CHOOSE(ArtifactsInput!$N$24+1,10,12,14,16,18,20)+IF(ArtifactsInput!$M$10,CHOOSE(ArtifactsInput!$N$10+1,15,18,21,24,27,30)*(IF(Inputs!$B$39="pvp",MIN(15,15)/15,IF(AND(Inputs!$B$39&lt;&gt;"pvp",Inputs!$B$44&gt;0),MIN(15,Inputs!$B$44)/(Inputs!$B$44),0))),0)))&gt;=100),CHOOSE(ArtifactsInput!$N$42+1,40,48,56,64,72,80),0))))/100)*(((1+(((C2592=TRUE)*F2592*IF(AND(Inputs!$B$39&lt;&gt;"pvp",Inputs!$B$44&gt;0),(((R2592-1)*(Skills!Y21*(1+Inputs!$B$34/100))+MIN((Skills!Y21*(1+Inputs!$B$34/100)),MAX(0,Inputs!$B$44-((R2592-1)*Skills!D21))))/Inputs!$B$44),IF(Inputs!$B$39="pvp",MIN((Skills!Y21*(1+Inputs!$B$34/100)),15)/15,(Skills!Y21*(1+Inputs!$B$34/100))/Skills!D21)))+((C2599=TRUE)*(F2599-Calc!F28))+((C2589=TRUE)*(F2589-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2586=TRUE)*F2586*IF(AND(Inputs!$B$39&lt;&gt;"pvp",Inputs!$B$44&gt;0),(((R2586-1)*(Skills!Y15*(1+Inputs!$B$34/100))+MIN((Skills!Y15*(1+Inputs!$B$34/100)),MAX(0,Inputs!$B$44-((R2586-1)*Skills!D15))))/Inputs!$B$44),IF(Inputs!$B$39="pvp",MIN((Skills!Y15*(1+Inputs!$B$34/100)),15)/15,(Skills!Y15*(1+Inputs!$B$34/100))/Skills!D15)))/100)*(1+((C2577=TRUE)*F2577*B2605)/100))*B2613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2573)</f>
        <v/>
      </c>
      <c r="L2573">
        <f>K2573*(MIN(Inputs!$B$22+((C2595=TRUE)*(F2595-Calc!F24)),(Inputs!$B$23+0+(IF(ArtifactsInput!$M$15,CHOOSE(ArtifactsInput!$N$15+1,25,30,35,40,45,50)/100*(Inputs!$B$11-Inputs!$B$11),0))))/100+(Inputs!$B$23+0+(IF(ArtifactsInput!$M$15,CHOOSE(ArtifactsInput!$N$15+1,25,30,35,40,45,50)/100*(Inputs!$B$11-Inputs!$B$11),0)))/100)/2</f>
        <v/>
      </c>
      <c r="M2573">
        <f>L2573*(1+(Inputs!$B$10+((C2597=TRUE)*(F2597-Calc!F26))+B2614+(IF(ArtifactsInput!$M$24,CHOOSE(ArtifactsInput!$N$24+1,30,36,42,48,54,60)/100*(Inputs!$B$9-Inputs!$B$9),0)+IF(ArtifactsInput!$M$10,CHOOSE(ArtifactsInput!$N$10+1,20,24,28,32,36,40)*(IF(Inputs!$B$39="pvp",MIN(15,15)/15,IF(AND(Inputs!$B$39&lt;&gt;"pvp",Inputs!$B$44&gt;0),MIN(15,Inputs!$B$44)/(Inputs!$B$44),0))),0)+IF(IF(ArtifactsInput!$M$31,FALSE,TRUE),1.5*CHOOSE(ArtifactsInput!$N$31+1,20,24,28,32,36,40),0)))/100)</f>
        <v/>
      </c>
      <c r="N2573">
        <f>L2573*(1-MIN((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2573*(MIN((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73">
        <f>(1-Summary!$B$11)*T2573+Summary!$B$11*V2573</f>
        <v/>
      </c>
      <c r="P2573">
        <f>IF(B2615=0,0,O2573/B2615)</f>
        <v/>
      </c>
      <c r="Q2573" t="n">
        <v>0</v>
      </c>
      <c r="R2573" t="n">
        <v>0</v>
      </c>
      <c r="S2573">
        <f>IFERROR(O2573/N2573,0)</f>
        <v/>
      </c>
      <c r="T2573">
        <f>IF(C2573,(Skills!G2*N2573*B2609)*IF(Inputs!$B$39="pvp",1,1+(Inputs!$B$20+((C2598=TRUE)*(F2598-Calc!F27))+Skills!P2+B2612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2573*(1-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2573*(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2573*(1-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2573*(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73">
        <f>MAX(0,(Inputs!$B$3-100)*3)+Inputs!$B$28+Inputs!$B$29</f>
        <v/>
      </c>
      <c r="V2573">
        <f>IF(C2573,(Skills!G2*N2573*B2609)*IF(Inputs!$B$39="pvp",1,(1+(Inputs!$B$21+Skills!Q2+B2612+(IF(ArtifactsInput!$M$33,CHOOSE(ArtifactsInput!$N$33+1,30,36,42,48,54,60),0))+(IF(AND(ArtifactsInput!$M$35,Inputs!$B$4&lt;&gt;"Chapter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74">
      <c r="A2574">
        <f>Skills!A3</f>
        <v/>
      </c>
      <c r="B2574">
        <f>Skills!B3</f>
        <v/>
      </c>
      <c r="C2574">
        <f>Inputs!$B$3&gt;=35</f>
        <v/>
      </c>
      <c r="D2574">
        <f>IF(Skills!C3=1,60+Inputs!$B$25+Inputs!$B$29,IF(Skills!C3=2,90+Inputs!$B$26+Inputs!$B$29,IF(Skills!C3=3,120+Inputs!$B$27+Inputs!$B$29,MAX(0,(Inputs!$B$3-100)*3)+Inputs!$B$28+Inputs!$B$29)))</f>
        <v/>
      </c>
      <c r="E2574">
        <f>INDEX(FactorTable!$B$2:$Y$301, MATCH(ROUND(MIN(300,MAX(1,D2574)),0), FactorTable!$A$2:$A$301,0), Skills!M3+1)</f>
        <v/>
      </c>
      <c r="F2574">
        <f>IF(Skills!N3=TRUE,(Skills!L3/10)*(E2574/1000),Skills!L3/10)+Skills!O3</f>
        <v/>
      </c>
      <c r="G2574">
        <f>Calc!G3</f>
        <v/>
      </c>
      <c r="H2574">
        <f>Calc!H3</f>
        <v/>
      </c>
      <c r="I2574">
        <f>IF(Skills!AA3&lt;&gt;"",1+(Skills!AA3/10)*(U2574/1000)/100,1)</f>
        <v/>
      </c>
      <c r="J2574">
        <f>((Inputs!$B$6*(1+Inputs!$B$7/100))+(((Inputs!$B$12*(1+Inputs!$B$13/100))-(Inputs!$B$12*(1+Inputs!$B$13/100)))+0.25*(Inputs!$B$14-Inputs!$B$14))*(1+Inputs!$B$7/100))*(F2574/100)</f>
        <v/>
      </c>
      <c r="K2574">
        <f>J2574*(1+((Inputs!$B$12*(1+Inputs!$B$13/100))*0.01+Inputs!$B$14*0.0025)/100)*(1+Inputs!$B$15/100)*(1+Inputs!$B$16/100)*(5000/(6000+Inputs!$B$43*(1-(100*(1-(1-(Inputs!$B$19+0)/100)*(1-CHOOSE(ArtifactsInput!$N$40+1,5,6,7,8,9,10)/100)^(ArtifactsInput!$M$40-ArtifactsInput!$M$40)))/100)))*(1+(Inputs!$B$24+((C2601=TRUE)*(F2601-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2594=TRUE)*(F2594-Calc!F23))+(((IF(AND(ArtifactsInput!$M$42,((Inputs!$B$9+((C2596=TRUE)*(F2596-Calc!F25))+B2611+(ArtifactsInput!$M$24-ArtifactsInput!$M$24)*CHOOSE(ArtifactsInput!$N$24+1,10,12,14,16,18,20)+IF(ArtifactsInput!$M$10,CHOOSE(ArtifactsInput!$N$10+1,15,18,21,24,27,30)*(IF(Inputs!$B$39="pvp",MIN(15,15)/15,IF(AND(Inputs!$B$39&lt;&gt;"pvp",Inputs!$B$44&gt;0),MIN(15,Inputs!$B$44)/(Inputs!$B$44),0))),0)))&gt;=100),MIN(100,((Inputs!$B$9+((C2596=TRUE)*(F2596-Calc!F25))+B2611+(ArtifactsInput!$M$24-ArtifactsInput!$M$24)*CHOOSE(ArtifactsInput!$N$24+1,10,12,14,16,18,20)+IF(ArtifactsInput!$M$10,CHOOSE(ArtifactsInput!$N$10+1,15,18,21,24,27,30)*(IF(Inputs!$B$39="pvp",MIN(15,15)/15,IF(AND(Inputs!$B$39&lt;&gt;"pvp",Inputs!$B$44&gt;0),MIN(15,Inputs!$B$44)/(Inputs!$B$44),0))),0)))-100),0))*CHOOSE(ArtifactsInput!$N$42+1,0.6,0.72,0.84,0.96,1.08,1.2))),Inputs!$B$18+((C2600=TRUE)*(F2600-Calc!F29))+(IF(AND(ArtifactsInput!$M$42,((Inputs!$B$9+((C2596=TRUE)*(F2596-Calc!F25))+B2611+(ArtifactsInput!$M$24-ArtifactsInput!$M$24)*CHOOSE(ArtifactsInput!$N$24+1,10,12,14,16,18,20)+IF(ArtifactsInput!$M$10,CHOOSE(ArtifactsInput!$N$10+1,15,18,21,24,27,30)*(IF(Inputs!$B$39="pvp",MIN(15,15)/15,IF(AND(Inputs!$B$39&lt;&gt;"pvp",Inputs!$B$44&gt;0),MIN(15,Inputs!$B$44)/(Inputs!$B$44),0))),0)))&gt;=100),CHOOSE(ArtifactsInput!$N$42+1,40,48,56,64,72,80),0))))/100)*(((1+(((C2592=TRUE)*F2592*IF(AND(Inputs!$B$39&lt;&gt;"pvp",Inputs!$B$44&gt;0),(((R2592-1)*(Skills!Y21*(1+Inputs!$B$34/100))+MIN((Skills!Y21*(1+Inputs!$B$34/100)),MAX(0,Inputs!$B$44-((R2592-1)*Skills!D21))))/Inputs!$B$44),IF(Inputs!$B$39="pvp",MIN((Skills!Y21*(1+Inputs!$B$34/100)),15)/15,(Skills!Y21*(1+Inputs!$B$34/100))/Skills!D21)))+((C2599=TRUE)*(F2599-Calc!F28))+((C2589=TRUE)*(F2589-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2586=TRUE)*F2586*IF(AND(Inputs!$B$39&lt;&gt;"pvp",Inputs!$B$44&gt;0),(((R2586-1)*(Skills!Y15*(1+Inputs!$B$34/100))+MIN((Skills!Y15*(1+Inputs!$B$34/100)),MAX(0,Inputs!$B$44-((R2586-1)*Skills!D15))))/Inputs!$B$44),IF(Inputs!$B$39="pvp",MIN((Skills!Y15*(1+Inputs!$B$34/100)),15)/15,(Skills!Y15*(1+Inputs!$B$34/100))/Skills!D15)))/100)*(1+((C2577=TRUE)*F2577*B2605)/100))*B2613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2574)</f>
        <v/>
      </c>
      <c r="L2574">
        <f>K2574*(MIN(Inputs!$B$22+((C2595=TRUE)*(F2595-Calc!F24)),(Inputs!$B$23+0+(IF(ArtifactsInput!$M$15,CHOOSE(ArtifactsInput!$N$15+1,25,30,35,40,45,50)/100*(Inputs!$B$11-Inputs!$B$11),0))))/100+(Inputs!$B$23+0+(IF(ArtifactsInput!$M$15,CHOOSE(ArtifactsInput!$N$15+1,25,30,35,40,45,50)/100*(Inputs!$B$11-Inputs!$B$11),0)))/100)/2</f>
        <v/>
      </c>
      <c r="M2574">
        <f>L2574*(1+(Inputs!$B$10+((C2597=TRUE)*(F2597-Calc!F26))+B2614+(IF(ArtifactsInput!$M$24,CHOOSE(ArtifactsInput!$N$24+1,30,36,42,48,54,60)/100*(Inputs!$B$9-Inputs!$B$9),0)+IF(ArtifactsInput!$M$10,CHOOSE(ArtifactsInput!$N$10+1,20,24,28,32,36,40)*(IF(Inputs!$B$39="pvp",MIN(15,15)/15,IF(AND(Inputs!$B$39&lt;&gt;"pvp",Inputs!$B$44&gt;0),MIN(15,Inputs!$B$44)/(Inputs!$B$44),0))),0)+IF(IF(ArtifactsInput!$M$31,FALSE,TRUE),1.5*CHOOSE(ArtifactsInput!$N$31+1,20,24,28,32,36,40),0)))/100)</f>
        <v/>
      </c>
      <c r="N2574">
        <f>L2574*(1-MIN((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2574*(MIN((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74">
        <f>(1-Summary!$B$11)*T2574+Summary!$B$11*V2574</f>
        <v/>
      </c>
      <c r="P2574">
        <f>IF(B2615=0,0,O2574/B2615)</f>
        <v/>
      </c>
      <c r="Q2574">
        <f>IFERROR(1/IF(Inputs!$B$39="pvp",15,MAX(0.1,Skills!D3-IF(Skills!E3=TRUE,Inputs!$B$32,0))),0)</f>
        <v/>
      </c>
      <c r="R2574">
        <f>IF(AND(Inputs!$B$39&lt;&gt;"pvp",Inputs!$B$44&gt;0),IF(MAX(0,Inputs!$B$44-B2616)&lt;=0,0,(INT(MAX(0,Inputs!$B$44-B2616)/IF(Inputs!$B$39="pvp",15,MAX(0.1,Skills!D3-IF(Skills!E3=TRUE,Inputs!$B$32,0))))+1)),0)</f>
        <v/>
      </c>
      <c r="S2574">
        <f>IFERROR(O2574/N2574,0)</f>
        <v/>
      </c>
      <c r="T2574">
        <f>IF(C2574,(H2574*N2574*IF(AND(Inputs!$B$39&lt;&gt;"pvp",Inputs!$B$44&gt;0),((Skills!G3*((R2574-1)*IF(Skills!H3&gt;0,Skills!I3/Skills!H3,1)+IF(Skills!H3&gt;0,MIN(Skills!I3,MAX(0,MAX(0,Inputs!$B$44-B2616)-((R2574-1)*IF(Inputs!$B$39="pvp",15,MAX(0.1,Skills!D3-IF(Skills!E3=TRUE,Inputs!$B$32,0))))))/Skills!H3,1)))/Inputs!$B$44),G2574*Q2574))*IF(Inputs!$B$39="pvp",1,1+(Inputs!$B$20+((C2598=TRUE)*(F2598-Calc!F27))+Skills!P3+B2612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2574*(1-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2574*(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2574*(1-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2574*(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74">
        <f>INDEX(FactorTable!$B$2:$Y$301, MATCH(ROUND(MIN(300,MAX(1,U2573)),0), FactorTable!$A$2:$A$301,0), 24)</f>
        <v/>
      </c>
      <c r="V2574">
        <f>IF(C2574,(H2574*N2574*IF(AND(Inputs!$B$39&lt;&gt;"pvp",Inputs!$B$44&gt;0),((Skills!G3*((R2574-1)*IF(Skills!H3&gt;0,Skills!I3/Skills!H3,1)+IF(Skills!H3&gt;0,MIN(Skills!I3,MAX(0,MAX(0,Inputs!$B$44-B2616)-((R2574-1)*IF(Inputs!$B$39="pvp",15,MAX(0.1,Skills!D3-IF(Skills!E3=TRUE,Inputs!$B$32,0))))))/Skills!H3,1)))/Inputs!$B$44),G2574*Q2574))*IF(Inputs!$B$39="pvp",1,(1+(Inputs!$B$21+Skills!Q3+B2612+(IF(ArtifactsInput!$M$33,CHOOSE(ArtifactsInput!$N$33+1,30,36,42,48,54,60)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75">
      <c r="A2575">
        <f>Skills!A4</f>
        <v/>
      </c>
      <c r="B2575">
        <f>Skills!B4</f>
        <v/>
      </c>
      <c r="C2575">
        <f>Inputs!$B$3&gt;=40</f>
        <v/>
      </c>
      <c r="D2575">
        <f>IF(Skills!C4=1,60+Inputs!$B$25+Inputs!$B$29,IF(Skills!C4=2,90+Inputs!$B$26+Inputs!$B$29,IF(Skills!C4=3,120+Inputs!$B$27+Inputs!$B$29,MAX(0,(Inputs!$B$3-100)*3)+Inputs!$B$28+Inputs!$B$29)))</f>
        <v/>
      </c>
      <c r="E2575">
        <f>INDEX(FactorTable!$B$2:$Y$301, MATCH(ROUND(MIN(300,MAX(1,D2575)),0), FactorTable!$A$2:$A$301,0), Skills!M4+1)</f>
        <v/>
      </c>
      <c r="F2575">
        <f>IF(Skills!N4=TRUE,(Skills!L4/10)*(E2575/1000),Skills!L4/10)+Skills!O4</f>
        <v/>
      </c>
      <c r="G2575">
        <f>Calc!G4</f>
        <v/>
      </c>
      <c r="H2575">
        <f>Calc!H4</f>
        <v/>
      </c>
      <c r="I2575">
        <f>IF(Skills!AA4&lt;&gt;"",1+(Skills!AA4/10)*(U2574/1000)/100,1)</f>
        <v/>
      </c>
      <c r="J2575">
        <f>((Inputs!$B$6*(1+Inputs!$B$7/100))+(((Inputs!$B$12*(1+Inputs!$B$13/100))-(Inputs!$B$12*(1+Inputs!$B$13/100)))+0.25*(Inputs!$B$14-Inputs!$B$14))*(1+Inputs!$B$7/100))*(F2575/100)</f>
        <v/>
      </c>
      <c r="K2575">
        <f>J2575*(1+((Inputs!$B$12*(1+Inputs!$B$13/100))*0.01+Inputs!$B$14*0.0025)/100)*(1+Inputs!$B$15/100)*(1+Inputs!$B$16/100)*(5000/(6000+Inputs!$B$43*(1-(100*(1-(1-(Inputs!$B$19+0)/100)*(1-CHOOSE(ArtifactsInput!$N$40+1,5,6,7,8,9,10)/100)^(ArtifactsInput!$M$40-ArtifactsInput!$M$40)))/100)))*(1+(Inputs!$B$24+((C2601=TRUE)*(F2601-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2594=TRUE)*(F2594-Calc!F23))+(((IF(AND(ArtifactsInput!$M$42,((Inputs!$B$9+((C2596=TRUE)*(F2596-Calc!F25))+B2611+(ArtifactsInput!$M$24-ArtifactsInput!$M$24)*CHOOSE(ArtifactsInput!$N$24+1,10,12,14,16,18,20)+IF(ArtifactsInput!$M$10,CHOOSE(ArtifactsInput!$N$10+1,15,18,21,24,27,30)*(IF(Inputs!$B$39="pvp",MIN(15,15)/15,IF(AND(Inputs!$B$39&lt;&gt;"pvp",Inputs!$B$44&gt;0),MIN(15,Inputs!$B$44)/(Inputs!$B$44),0))),0)))&gt;=100),MIN(100,((Inputs!$B$9+((C2596=TRUE)*(F2596-Calc!F25))+B2611+(ArtifactsInput!$M$24-ArtifactsInput!$M$24)*CHOOSE(ArtifactsInput!$N$24+1,10,12,14,16,18,20)+IF(ArtifactsInput!$M$10,CHOOSE(ArtifactsInput!$N$10+1,15,18,21,24,27,30)*(IF(Inputs!$B$39="pvp",MIN(15,15)/15,IF(AND(Inputs!$B$39&lt;&gt;"pvp",Inputs!$B$44&gt;0),MIN(15,Inputs!$B$44)/(Inputs!$B$44),0))),0)))-100),0))*CHOOSE(ArtifactsInput!$N$42+1,0.6,0.72,0.84,0.96,1.08,1.2))),Inputs!$B$18+((C2600=TRUE)*(F2600-Calc!F29))+(IF(AND(ArtifactsInput!$M$42,((Inputs!$B$9+((C2596=TRUE)*(F2596-Calc!F25))+B2611+(ArtifactsInput!$M$24-ArtifactsInput!$M$24)*CHOOSE(ArtifactsInput!$N$24+1,10,12,14,16,18,20)+IF(ArtifactsInput!$M$10,CHOOSE(ArtifactsInput!$N$10+1,15,18,21,24,27,30)*(IF(Inputs!$B$39="pvp",MIN(15,15)/15,IF(AND(Inputs!$B$39&lt;&gt;"pvp",Inputs!$B$44&gt;0),MIN(15,Inputs!$B$44)/(Inputs!$B$44),0))),0)))&gt;=100),CHOOSE(ArtifactsInput!$N$42+1,40,48,56,64,72,80),0))))/100)*(((1+(((C2592=TRUE)*F2592*IF(AND(Inputs!$B$39&lt;&gt;"pvp",Inputs!$B$44&gt;0),(((R2592-1)*(Skills!Y21*(1+Inputs!$B$34/100))+MIN((Skills!Y21*(1+Inputs!$B$34/100)),MAX(0,Inputs!$B$44-((R2592-1)*Skills!D21))))/Inputs!$B$44),IF(Inputs!$B$39="pvp",MIN((Skills!Y21*(1+Inputs!$B$34/100)),15)/15,(Skills!Y21*(1+Inputs!$B$34/100))/Skills!D21)))+((C2599=TRUE)*(F2599-Calc!F28))+((C2589=TRUE)*(F2589-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2586=TRUE)*F2586*IF(AND(Inputs!$B$39&lt;&gt;"pvp",Inputs!$B$44&gt;0),(((R2586-1)*(Skills!Y15*(1+Inputs!$B$34/100))+MIN((Skills!Y15*(1+Inputs!$B$34/100)),MAX(0,Inputs!$B$44-((R2586-1)*Skills!D15))))/Inputs!$B$44),IF(Inputs!$B$39="pvp",MIN((Skills!Y15*(1+Inputs!$B$34/100)),15)/15,(Skills!Y15*(1+Inputs!$B$34/100))/Skills!D15)))/100)*(1+((C2577=TRUE)*F2577*B2605)/100))*B2613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2575)</f>
        <v/>
      </c>
      <c r="L2575">
        <f>K2575*(MIN(Inputs!$B$22+((C2595=TRUE)*(F2595-Calc!F24)),(Inputs!$B$23+0+(IF(ArtifactsInput!$M$15,CHOOSE(ArtifactsInput!$N$15+1,25,30,35,40,45,50)/100*(Inputs!$B$11-Inputs!$B$11),0))))/100+(Inputs!$B$23+0+(IF(ArtifactsInput!$M$15,CHOOSE(ArtifactsInput!$N$15+1,25,30,35,40,45,50)/100*(Inputs!$B$11-Inputs!$B$11),0)))/100)/2</f>
        <v/>
      </c>
      <c r="M2575">
        <f>L2575*(1+(Inputs!$B$10+((C2597=TRUE)*(F2597-Calc!F26))+B2614+(IF(ArtifactsInput!$M$24,CHOOSE(ArtifactsInput!$N$24+1,30,36,42,48,54,60)/100*(Inputs!$B$9-Inputs!$B$9),0)+IF(ArtifactsInput!$M$10,CHOOSE(ArtifactsInput!$N$10+1,20,24,28,32,36,40)*(IF(Inputs!$B$39="pvp",MIN(15,15)/15,IF(AND(Inputs!$B$39&lt;&gt;"pvp",Inputs!$B$44&gt;0),MIN(15,Inputs!$B$44)/(Inputs!$B$44),0))),0)+IF(IF(ArtifactsInput!$M$31,FALSE,TRUE),1.5*CHOOSE(ArtifactsInput!$N$31+1,20,24,28,32,36,40),0)))/100)</f>
        <v/>
      </c>
      <c r="N2575">
        <f>L2575*(1-MIN((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2575*(MIN((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75">
        <f>(1-Summary!$B$11)*T2575+Summary!$B$11*V2575</f>
        <v/>
      </c>
      <c r="P2575">
        <f>IF(B2615=0,0,O2575/B2615)</f>
        <v/>
      </c>
      <c r="Q2575">
        <f>IFERROR(1/IF(Inputs!$B$39="pvp",15,MAX(0.1,Skills!D4-IF(Skills!E4=TRUE,Inputs!$B$32,0))),0)</f>
        <v/>
      </c>
      <c r="R2575">
        <f>IF(AND(Inputs!$B$39&lt;&gt;"pvp",Inputs!$B$44&gt;0),IF(MAX(0,Inputs!$B$44-B2616)&lt;=0,0,(INT(MAX(0,Inputs!$B$44-B2616)/IF(Inputs!$B$39="pvp",15,MAX(0.1,Skills!D4-IF(Skills!E4=TRUE,Inputs!$B$32,0))))+1)),0)</f>
        <v/>
      </c>
      <c r="S2575">
        <f>IFERROR(O2575/N2575,0)</f>
        <v/>
      </c>
      <c r="T2575">
        <f>IF(C2575,(H2575*N2575*IF(AND(Inputs!$B$39&lt;&gt;"pvp",Inputs!$B$44&gt;0),((Skills!G4*((R2575-1)*IF(Skills!H4&gt;0,Skills!I4/Skills!H4,1)+IF(Skills!H4&gt;0,MIN(Skills!I4,MAX(0,MAX(0,Inputs!$B$44-B2616)-((R2575-1)*IF(Inputs!$B$39="pvp",15,MAX(0.1,Skills!D4-IF(Skills!E4=TRUE,Inputs!$B$32,0))))))/Skills!H4,1)))/Inputs!$B$44),G2575*Q2575))*IF(Inputs!$B$39="pvp",1,1+(Inputs!$B$20+((C2598=TRUE)*(F2598-Calc!F27))+Skills!P4+B2612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2575*(1-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2575*(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2575*(1-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2575*(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75">
        <f>MAX(0,(Inputs!$B$3-100)*3)+Inputs!$B$28+Inputs!$B$29</f>
        <v/>
      </c>
      <c r="V2575">
        <f>IF(C2575,(H2575*N2575*IF(AND(Inputs!$B$39&lt;&gt;"pvp",Inputs!$B$44&gt;0),((Skills!G4*((R2575-1)*IF(Skills!H4&gt;0,Skills!I4/Skills!H4,1)+IF(Skills!H4&gt;0,MIN(Skills!I4,MAX(0,MAX(0,Inputs!$B$44-B2616)-((R2575-1)*IF(Inputs!$B$39="pvp",15,MAX(0.1,Skills!D4-IF(Skills!E4=TRUE,Inputs!$B$32,0))))))/Skills!H4,1)))/Inputs!$B$44),G2575*Q2575))*IF(Inputs!$B$39="pvp",1,(1+(Inputs!$B$21+Skills!Q4+B2612+(IF(ArtifactsInput!$M$33,CHOOSE(ArtifactsInput!$N$33+1,30,36,42,48,54,60)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76">
      <c r="A2576">
        <f>Skills!A5</f>
        <v/>
      </c>
      <c r="B2576">
        <f>Skills!B5</f>
        <v/>
      </c>
      <c r="C2576">
        <f>Inputs!$B$3&gt;=63</f>
        <v/>
      </c>
      <c r="D2576">
        <f>IF(Skills!C5=1,60+Inputs!$B$25+Inputs!$B$29,IF(Skills!C5=2,90+Inputs!$B$26+Inputs!$B$29,IF(Skills!C5=3,120+Inputs!$B$27+Inputs!$B$29,MAX(0,(Inputs!$B$3-100)*3)+Inputs!$B$28+Inputs!$B$29)))</f>
        <v/>
      </c>
      <c r="E2576">
        <f>INDEX(FactorTable!$B$2:$Y$301, MATCH(ROUND(MIN(300,MAX(1,D2576)),0), FactorTable!$A$2:$A$301,0), Skills!M5+1)</f>
        <v/>
      </c>
      <c r="F2576">
        <f>IF(Skills!N5=TRUE,(Skills!L5/10)*(E2576/1000),Skills!L5/10)+Skills!O5</f>
        <v/>
      </c>
      <c r="G2576">
        <f>Calc!G5</f>
        <v/>
      </c>
      <c r="H2576">
        <f>Calc!H5</f>
        <v/>
      </c>
      <c r="I2576">
        <f>IF(Skills!AA5&lt;&gt;"",1+(Skills!AA5/10)*(U2574/1000)/100,1)</f>
        <v/>
      </c>
      <c r="J2576">
        <f>((Inputs!$B$6*(1+Inputs!$B$7/100))+(((Inputs!$B$12*(1+Inputs!$B$13/100))-(Inputs!$B$12*(1+Inputs!$B$13/100)))+0.25*(Inputs!$B$14-Inputs!$B$14))*(1+Inputs!$B$7/100))*(F2576/100)</f>
        <v/>
      </c>
      <c r="K2576">
        <f>J2576*(1+((Inputs!$B$12*(1+Inputs!$B$13/100))*0.01+Inputs!$B$14*0.0025)/100)*(1+Inputs!$B$15/100)*(1+Inputs!$B$16/100)*(5000/(6000+Inputs!$B$43*(1-(100*(1-(1-(Inputs!$B$19+0)/100)*(1-CHOOSE(ArtifactsInput!$N$40+1,5,6,7,8,9,10)/100)^(ArtifactsInput!$M$40-ArtifactsInput!$M$40)))/100)))*(1+(Inputs!$B$24+((C2601=TRUE)*(F2601-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2594=TRUE)*(F2594-Calc!F23))+(((IF(AND(ArtifactsInput!$M$42,((Inputs!$B$9+((C2596=TRUE)*(F2596-Calc!F25))+B2611+(ArtifactsInput!$M$24-ArtifactsInput!$M$24)*CHOOSE(ArtifactsInput!$N$24+1,10,12,14,16,18,20)+IF(ArtifactsInput!$M$10,CHOOSE(ArtifactsInput!$N$10+1,15,18,21,24,27,30)*(IF(Inputs!$B$39="pvp",MIN(15,15)/15,IF(AND(Inputs!$B$39&lt;&gt;"pvp",Inputs!$B$44&gt;0),MIN(15,Inputs!$B$44)/(Inputs!$B$44),0))),0)))&gt;=100),MIN(100,((Inputs!$B$9+((C2596=TRUE)*(F2596-Calc!F25))+B2611+(ArtifactsInput!$M$24-ArtifactsInput!$M$24)*CHOOSE(ArtifactsInput!$N$24+1,10,12,14,16,18,20)+IF(ArtifactsInput!$M$10,CHOOSE(ArtifactsInput!$N$10+1,15,18,21,24,27,30)*(IF(Inputs!$B$39="pvp",MIN(15,15)/15,IF(AND(Inputs!$B$39&lt;&gt;"pvp",Inputs!$B$44&gt;0),MIN(15,Inputs!$B$44)/(Inputs!$B$44),0))),0)))-100),0))*CHOOSE(ArtifactsInput!$N$42+1,0.6,0.72,0.84,0.96,1.08,1.2))),Inputs!$B$18+((C2600=TRUE)*(F2600-Calc!F29))+(IF(AND(ArtifactsInput!$M$42,((Inputs!$B$9+((C2596=TRUE)*(F2596-Calc!F25))+B2611+(ArtifactsInput!$M$24-ArtifactsInput!$M$24)*CHOOSE(ArtifactsInput!$N$24+1,10,12,14,16,18,20)+IF(ArtifactsInput!$M$10,CHOOSE(ArtifactsInput!$N$10+1,15,18,21,24,27,30)*(IF(Inputs!$B$39="pvp",MIN(15,15)/15,IF(AND(Inputs!$B$39&lt;&gt;"pvp",Inputs!$B$44&gt;0),MIN(15,Inputs!$B$44)/(Inputs!$B$44),0))),0)))&gt;=100),CHOOSE(ArtifactsInput!$N$42+1,40,48,56,64,72,80),0))))/100)*(((1+(((C2592=TRUE)*F2592*IF(AND(Inputs!$B$39&lt;&gt;"pvp",Inputs!$B$44&gt;0),(((R2592-1)*(Skills!Y21*(1+Inputs!$B$34/100))+MIN((Skills!Y21*(1+Inputs!$B$34/100)),MAX(0,Inputs!$B$44-((R2592-1)*Skills!D21))))/Inputs!$B$44),IF(Inputs!$B$39="pvp",MIN((Skills!Y21*(1+Inputs!$B$34/100)),15)/15,(Skills!Y21*(1+Inputs!$B$34/100))/Skills!D21)))+((C2599=TRUE)*(F2599-Calc!F28))+((C2589=TRUE)*(F2589-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2586=TRUE)*F2586*IF(AND(Inputs!$B$39&lt;&gt;"pvp",Inputs!$B$44&gt;0),(((R2586-1)*(Skills!Y15*(1+Inputs!$B$34/100))+MIN((Skills!Y15*(1+Inputs!$B$34/100)),MAX(0,Inputs!$B$44-((R2586-1)*Skills!D15))))/Inputs!$B$44),IF(Inputs!$B$39="pvp",MIN((Skills!Y15*(1+Inputs!$B$34/100)),15)/15,(Skills!Y15*(1+Inputs!$B$34/100))/Skills!D15)))/100)*(1+((C2577=TRUE)*F2577*B2605)/100))*B2613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2576)</f>
        <v/>
      </c>
      <c r="L2576">
        <f>K2576*(MIN(Inputs!$B$22+((C2595=TRUE)*(F2595-Calc!F24)),(Inputs!$B$23+0+(IF(ArtifactsInput!$M$15,CHOOSE(ArtifactsInput!$N$15+1,25,30,35,40,45,50)/100*(Inputs!$B$11-Inputs!$B$11),0))))/100+(Inputs!$B$23+0+(IF(ArtifactsInput!$M$15,CHOOSE(ArtifactsInput!$N$15+1,25,30,35,40,45,50)/100*(Inputs!$B$11-Inputs!$B$11),0)))/100)/2</f>
        <v/>
      </c>
      <c r="M2576">
        <f>L2576*(1+(Inputs!$B$10+((C2597=TRUE)*(F2597-Calc!F26))+B2614+(IF(ArtifactsInput!$M$24,CHOOSE(ArtifactsInput!$N$24+1,30,36,42,48,54,60)/100*(Inputs!$B$9-Inputs!$B$9),0)+IF(ArtifactsInput!$M$10,CHOOSE(ArtifactsInput!$N$10+1,20,24,28,32,36,40)*(IF(Inputs!$B$39="pvp",MIN(15,15)/15,IF(AND(Inputs!$B$39&lt;&gt;"pvp",Inputs!$B$44&gt;0),MIN(15,Inputs!$B$44)/(Inputs!$B$44),0))),0)+IF(IF(ArtifactsInput!$M$31,FALSE,TRUE),1.5*CHOOSE(ArtifactsInput!$N$31+1,20,24,28,32,36,40),0)))/100)</f>
        <v/>
      </c>
      <c r="N2576">
        <f>L2576*(1-MIN((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2576*(MIN((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76">
        <f>(1-Summary!$B$11)*T2576+Summary!$B$11*V2576</f>
        <v/>
      </c>
      <c r="P2576">
        <f>IF(B2615=0,0,O2576/B2615)</f>
        <v/>
      </c>
      <c r="Q2576">
        <f>IFERROR(1/IF(Inputs!$B$39="pvp",15,MAX(0.1,Skills!D5-IF(Skills!E5=TRUE,Inputs!$B$32,0))),0)</f>
        <v/>
      </c>
      <c r="R2576">
        <f>IF(AND(Inputs!$B$39&lt;&gt;"pvp",Inputs!$B$44&gt;0),IF(MAX(0,Inputs!$B$44-B2616)&lt;=0,0,(INT(MAX(0,Inputs!$B$44-B2616)/IF(Inputs!$B$39="pvp",15,MAX(0.1,Skills!D5-IF(Skills!E5=TRUE,Inputs!$B$32,0))))+1)),0)</f>
        <v/>
      </c>
      <c r="S2576">
        <f>IFERROR(O2576/N2576,0)</f>
        <v/>
      </c>
      <c r="T2576">
        <f>IF(C2576,(H2576*N2576*IF(AND(Inputs!$B$39&lt;&gt;"pvp",Inputs!$B$44&gt;0),((Skills!G5*((R2576-1)*IF(Skills!H5&gt;0,Skills!I5/Skills!H5,1)+IF(Skills!H5&gt;0,MIN(Skills!I5,MAX(0,MAX(0,Inputs!$B$44-B2616)-((R2576-1)*IF(Inputs!$B$39="pvp",15,MAX(0.1,Skills!D5-IF(Skills!E5=TRUE,Inputs!$B$32,0))))))/Skills!H5,1)))/Inputs!$B$44),G2576*Q2576))*IF(Inputs!$B$39="pvp",1,1+(Inputs!$B$20+((C2598=TRUE)*(F2598-Calc!F27))+Skills!P5+B2612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2576*(1-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2576*(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2576*(1-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2576*(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76">
        <f>INDEX(FactorTable!$B$2:$Y$301, MATCH(ROUND(MIN(300,MAX(1,U2575)),0), FactorTable!$A$2:$A$301,0), 22)</f>
        <v/>
      </c>
      <c r="V2576">
        <f>IF(C2576,(H2576*N2576*IF(AND(Inputs!$B$39&lt;&gt;"pvp",Inputs!$B$44&gt;0),((Skills!G5*((R2576-1)*IF(Skills!H5&gt;0,Skills!I5/Skills!H5,1)+IF(Skills!H5&gt;0,MIN(Skills!I5,MAX(0,MAX(0,Inputs!$B$44-B2616)-((R2576-1)*IF(Inputs!$B$39="pvp",15,MAX(0.1,Skills!D5-IF(Skills!E5=TRUE,Inputs!$B$32,0))))))/Skills!H5,1)))/Inputs!$B$44),G2576*Q2576))*IF(Inputs!$B$39="pvp",1,(1+(Inputs!$B$21+Skills!Q5+B2612+(IF(ArtifactsInput!$M$33,CHOOSE(ArtifactsInput!$N$33+1,30,36,42,48,54,60)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77">
      <c r="A2577">
        <f>Skills!A6</f>
        <v/>
      </c>
      <c r="B2577">
        <f>Skills!B6</f>
        <v/>
      </c>
      <c r="C2577">
        <f>Inputs!$B$3&gt;=66</f>
        <v/>
      </c>
      <c r="D2577">
        <f>IF(Skills!C6=1,60+Inputs!$B$25+Inputs!$B$29,IF(Skills!C6=2,90+Inputs!$B$26+Inputs!$B$29,IF(Skills!C6=3,120+Inputs!$B$27+Inputs!$B$29,MAX(0,(Inputs!$B$3-100)*3)+Inputs!$B$28+Inputs!$B$29)))</f>
        <v/>
      </c>
      <c r="E2577">
        <f>INDEX(FactorTable!$B$2:$Y$301, MATCH(ROUND(MIN(300,MAX(1,D2577)),0), FactorTable!$A$2:$A$301,0), Skills!M6+1)</f>
        <v/>
      </c>
      <c r="F2577">
        <f>IF(Skills!N6=TRUE,(Skills!L6/10)*(E2577/1000),Skills!L6/10)+Skills!O6</f>
        <v/>
      </c>
      <c r="G2577">
        <f>Calc!G6</f>
        <v/>
      </c>
      <c r="H2577">
        <f>Calc!H6</f>
        <v/>
      </c>
      <c r="I2577">
        <f>IF(Skills!AA6&lt;&gt;"",1+(Skills!AA6/10)*(U2574/1000)/100,1)</f>
        <v/>
      </c>
      <c r="J2577" t="inlineStr"/>
      <c r="K2577" t="inlineStr"/>
      <c r="L2577" t="inlineStr"/>
      <c r="M2577" t="inlineStr"/>
      <c r="N2577" t="inlineStr"/>
      <c r="O2577">
        <f>(1-Summary!$B$11)*T2577+Summary!$B$11*V2577</f>
        <v/>
      </c>
      <c r="P2577">
        <f>IF(B2615=0,0,O2577/B2615)</f>
        <v/>
      </c>
      <c r="Q2577" t="n">
        <v>0</v>
      </c>
      <c r="R2577" t="n">
        <v>0</v>
      </c>
      <c r="S2577">
        <f>IFERROR(O2577/N2577,0)</f>
        <v/>
      </c>
      <c r="T2577" t="n">
        <v>0</v>
      </c>
      <c r="U2577">
        <f>290*U2576/1000</f>
        <v/>
      </c>
      <c r="V2577" t="n">
        <v>0</v>
      </c>
    </row>
    <row r="2578">
      <c r="A2578">
        <f>Skills!A7</f>
        <v/>
      </c>
      <c r="B2578">
        <f>Skills!B7</f>
        <v/>
      </c>
      <c r="C2578">
        <f>Inputs!$B$3&gt;=66</f>
        <v/>
      </c>
      <c r="D2578">
        <f>IF(Skills!C7=1,60+Inputs!$B$25+Inputs!$B$29,IF(Skills!C7=2,90+Inputs!$B$26+Inputs!$B$29,IF(Skills!C7=3,120+Inputs!$B$27+Inputs!$B$29,MAX(0,(Inputs!$B$3-100)*3)+Inputs!$B$28+Inputs!$B$29)))</f>
        <v/>
      </c>
      <c r="E2578">
        <f>INDEX(FactorTable!$B$2:$Y$301, MATCH(ROUND(MIN(300,MAX(1,D2578)),0), FactorTable!$A$2:$A$301,0), Skills!M7+1)</f>
        <v/>
      </c>
      <c r="F2578">
        <f>IF(Skills!N7=TRUE,(Skills!L7/10)*(E2578/1000),Skills!L7/10)+Skills!O7</f>
        <v/>
      </c>
      <c r="G2578">
        <f>Calc!G7</f>
        <v/>
      </c>
      <c r="H2578">
        <f>Calc!H7</f>
        <v/>
      </c>
      <c r="I2578">
        <f>IF(Skills!AA7&lt;&gt;"",1+(Skills!AA7/10)*(U2574/1000)/100,1)</f>
        <v/>
      </c>
      <c r="J2578" t="inlineStr"/>
      <c r="K2578" t="inlineStr"/>
      <c r="L2578" t="inlineStr"/>
      <c r="M2578" t="inlineStr"/>
      <c r="N2578" t="inlineStr"/>
      <c r="O2578">
        <f>(1-Summary!$B$11)*T2578+Summary!$B$11*V2578</f>
        <v/>
      </c>
      <c r="P2578">
        <f>IF(B2615=0,0,O2578/B2615)</f>
        <v/>
      </c>
      <c r="Q2578" t="n">
        <v>0</v>
      </c>
      <c r="R2578" t="n">
        <v>0</v>
      </c>
      <c r="S2578">
        <f>IFERROR(O2578/N2578,0)</f>
        <v/>
      </c>
      <c r="T2578" t="n">
        <v>0</v>
      </c>
      <c r="V2578" t="n">
        <v>0</v>
      </c>
    </row>
    <row r="2579">
      <c r="A2579">
        <f>Skills!A8</f>
        <v/>
      </c>
      <c r="B2579">
        <f>Skills!B8</f>
        <v/>
      </c>
      <c r="C2579">
        <f>Inputs!$B$3&gt;=69</f>
        <v/>
      </c>
      <c r="D2579">
        <f>IF(Skills!C8=1,60+Inputs!$B$25+Inputs!$B$29,IF(Skills!C8=2,90+Inputs!$B$26+Inputs!$B$29,IF(Skills!C8=3,120+Inputs!$B$27+Inputs!$B$29,MAX(0,(Inputs!$B$3-100)*3)+Inputs!$B$28+Inputs!$B$29)))</f>
        <v/>
      </c>
      <c r="E2579">
        <f>INDEX(FactorTable!$B$2:$Y$301, MATCH(ROUND(MIN(300,MAX(1,D2579)),0), FactorTable!$A$2:$A$301,0), Skills!M8+1)</f>
        <v/>
      </c>
      <c r="F2579">
        <f>IF(Skills!N8=TRUE,(Skills!L8/10)*(E2579/1000),Skills!L8/10)+Skills!O8</f>
        <v/>
      </c>
      <c r="G2579">
        <f>Calc!G8</f>
        <v/>
      </c>
      <c r="H2579">
        <f>Calc!H8</f>
        <v/>
      </c>
      <c r="I2579">
        <f>IF(Skills!AA8&lt;&gt;"",1+(Skills!AA8/10)*(U2574/1000)/100,1)</f>
        <v/>
      </c>
      <c r="J2579">
        <f>((Inputs!$B$6*(1+Inputs!$B$7/100))+(((Inputs!$B$12*(1+Inputs!$B$13/100))-(Inputs!$B$12*(1+Inputs!$B$13/100)))+0.25*(Inputs!$B$14-Inputs!$B$14))*(1+Inputs!$B$7/100))*(F2579/100)</f>
        <v/>
      </c>
      <c r="K2579">
        <f>J2579*(1+((Inputs!$B$12*(1+Inputs!$B$13/100))*0.01+Inputs!$B$14*0.0025)/100)*(1+Inputs!$B$15/100)*(1+Inputs!$B$16/100)*(5000/(6000+Inputs!$B$43*(1-(100*(1-(1-(Inputs!$B$19+0)/100)*(1-CHOOSE(ArtifactsInput!$N$40+1,5,6,7,8,9,10)/100)^(ArtifactsInput!$M$40-ArtifactsInput!$M$40)))/100)))*(1+(Inputs!$B$24+((C2601=TRUE)*(F2601-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2594=TRUE)*(F2594-Calc!F23))+(((IF(AND(ArtifactsInput!$M$42,((Inputs!$B$9+((C2596=TRUE)*(F2596-Calc!F25))+B2611+(ArtifactsInput!$M$24-ArtifactsInput!$M$24)*CHOOSE(ArtifactsInput!$N$24+1,10,12,14,16,18,20)+IF(ArtifactsInput!$M$10,CHOOSE(ArtifactsInput!$N$10+1,15,18,21,24,27,30)*(IF(Inputs!$B$39="pvp",MIN(15,15)/15,IF(AND(Inputs!$B$39&lt;&gt;"pvp",Inputs!$B$44&gt;0),MIN(15,Inputs!$B$44)/(Inputs!$B$44),0))),0)))&gt;=100),MIN(100,((Inputs!$B$9+((C2596=TRUE)*(F2596-Calc!F25))+B2611+(ArtifactsInput!$M$24-ArtifactsInput!$M$24)*CHOOSE(ArtifactsInput!$N$24+1,10,12,14,16,18,20)+IF(ArtifactsInput!$M$10,CHOOSE(ArtifactsInput!$N$10+1,15,18,21,24,27,30)*(IF(Inputs!$B$39="pvp",MIN(15,15)/15,IF(AND(Inputs!$B$39&lt;&gt;"pvp",Inputs!$B$44&gt;0),MIN(15,Inputs!$B$44)/(Inputs!$B$44),0))),0)))-100),0))*CHOOSE(ArtifactsInput!$N$42+1,0.6,0.72,0.84,0.96,1.08,1.2))),Inputs!$B$18+((C2600=TRUE)*(F2600-Calc!F29))+(IF(AND(ArtifactsInput!$M$42,((Inputs!$B$9+((C2596=TRUE)*(F2596-Calc!F25))+B2611+(ArtifactsInput!$M$24-ArtifactsInput!$M$24)*CHOOSE(ArtifactsInput!$N$24+1,10,12,14,16,18,20)+IF(ArtifactsInput!$M$10,CHOOSE(ArtifactsInput!$N$10+1,15,18,21,24,27,30)*(IF(Inputs!$B$39="pvp",MIN(15,15)/15,IF(AND(Inputs!$B$39&lt;&gt;"pvp",Inputs!$B$44&gt;0),MIN(15,Inputs!$B$44)/(Inputs!$B$44),0))),0)))&gt;=100),CHOOSE(ArtifactsInput!$N$42+1,40,48,56,64,72,80),0))))/100)*(((1+(((C2592=TRUE)*F2592*IF(AND(Inputs!$B$39&lt;&gt;"pvp",Inputs!$B$44&gt;0),(((R2592-1)*(Skills!Y21*(1+Inputs!$B$34/100))+MIN((Skills!Y21*(1+Inputs!$B$34/100)),MAX(0,Inputs!$B$44-((R2592-1)*Skills!D21))))/Inputs!$B$44),IF(Inputs!$B$39="pvp",MIN((Skills!Y21*(1+Inputs!$B$34/100)),15)/15,(Skills!Y21*(1+Inputs!$B$34/100))/Skills!D21)))+((C2599=TRUE)*(F2599-Calc!F28))+((C2589=TRUE)*(F2589-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2586=TRUE)*F2586*IF(AND(Inputs!$B$39&lt;&gt;"pvp",Inputs!$B$44&gt;0),(((R2586-1)*(Skills!Y15*(1+Inputs!$B$34/100))+MIN((Skills!Y15*(1+Inputs!$B$34/100)),MAX(0,Inputs!$B$44-((R2586-1)*Skills!D15))))/Inputs!$B$44),IF(Inputs!$B$39="pvp",MIN((Skills!Y15*(1+Inputs!$B$34/100)),15)/15,(Skills!Y15*(1+Inputs!$B$34/100))/Skills!D15)))/100)*(1+((C2577=TRUE)*F2577*B2605)/100))*B2613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2579)</f>
        <v/>
      </c>
      <c r="L2579">
        <f>K2579*(MIN(Inputs!$B$22+((C2595=TRUE)*(F2595-Calc!F24)),(Inputs!$B$23+0+(IF(ArtifactsInput!$M$15,CHOOSE(ArtifactsInput!$N$15+1,25,30,35,40,45,50)/100*(Inputs!$B$11-Inputs!$B$11),0))))/100+(Inputs!$B$23+0+(IF(ArtifactsInput!$M$15,CHOOSE(ArtifactsInput!$N$15+1,25,30,35,40,45,50)/100*(Inputs!$B$11-Inputs!$B$11),0)))/100)/2</f>
        <v/>
      </c>
      <c r="M2579">
        <f>L2579*(1+(Inputs!$B$10+((C2597=TRUE)*(F2597-Calc!F26))+B2614+(IF(ArtifactsInput!$M$24,CHOOSE(ArtifactsInput!$N$24+1,30,36,42,48,54,60)/100*(Inputs!$B$9-Inputs!$B$9),0)+IF(ArtifactsInput!$M$10,CHOOSE(ArtifactsInput!$N$10+1,20,24,28,32,36,40)*(IF(Inputs!$B$39="pvp",MIN(15,15)/15,IF(AND(Inputs!$B$39&lt;&gt;"pvp",Inputs!$B$44&gt;0),MIN(15,Inputs!$B$44)/(Inputs!$B$44),0))),0)+IF(IF(ArtifactsInput!$M$31,FALSE,TRUE),1.5*CHOOSE(ArtifactsInput!$N$31+1,20,24,28,32,36,40),0)))/100)</f>
        <v/>
      </c>
      <c r="N2579">
        <f>L2579*(1-MIN((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2579*(MIN((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79">
        <f>(1-Summary!$B$11)*T2579+Summary!$B$11*V2579</f>
        <v/>
      </c>
      <c r="P2579">
        <f>IF(B2615=0,0,O2579/B2615)</f>
        <v/>
      </c>
      <c r="Q2579">
        <f>IFERROR(1/IF(Inputs!$B$39="pvp",15,MAX(0.1,Skills!D8-IF(Skills!E8=TRUE,Inputs!$B$32,0))),0)</f>
        <v/>
      </c>
      <c r="R2579">
        <f>IF(AND(Inputs!$B$39&lt;&gt;"pvp",Inputs!$B$44&gt;0),IF(MAX(0,Inputs!$B$44-B2616)&lt;=0,0,(INT(MAX(0,Inputs!$B$44-B2616)/IF(Inputs!$B$39="pvp",15,MAX(0.1,Skills!D8-IF(Skills!E8=TRUE,Inputs!$B$32,0))))+1)),0)</f>
        <v/>
      </c>
      <c r="S2579">
        <f>IFERROR(O2579/N2579,0)</f>
        <v/>
      </c>
      <c r="T2579">
        <f>IF(C2579,(H2579*N2579*IF(AND(Inputs!$B$39&lt;&gt;"pvp",Inputs!$B$44&gt;0),((Skills!G8*((R2579-1)*IF(Skills!H8&gt;0,Skills!I8/Skills!H8,1)+IF(Skills!H8&gt;0,MIN(Skills!I8,MAX(0,MAX(0,Inputs!$B$44-B2616)-((R2579-1)*IF(Inputs!$B$39="pvp",15,MAX(0.1,Skills!D8-IF(Skills!E8=TRUE,Inputs!$B$32,0))))))/Skills!H8,1)))/Inputs!$B$44),G2579*Q2579))*IF(Inputs!$B$39="pvp",1,1+(Inputs!$B$20+((C2598=TRUE)*(F2598-Calc!F27))+Skills!P8+B2612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2579*(1-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2579*(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2579*(1-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2579*(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79">
        <f>IF(C2579,(H2579*N2579*IF(AND(Inputs!$B$39&lt;&gt;"pvp",Inputs!$B$44&gt;0),((Skills!G8*((R2579-1)*IF(Skills!H8&gt;0,Skills!I8/Skills!H8,1)+IF(Skills!H8&gt;0,MIN(Skills!I8,MAX(0,MAX(0,Inputs!$B$44-B2616)-((R2579-1)*IF(Inputs!$B$39="pvp",15,MAX(0.1,Skills!D8-IF(Skills!E8=TRUE,Inputs!$B$32,0))))))/Skills!H8,1)))/Inputs!$B$44),G2579*Q2579))*IF(Inputs!$B$39="pvp",1,(1+(Inputs!$B$21+Skills!Q8+B2612+(IF(ArtifactsInput!$M$33,CHOOSE(ArtifactsInput!$N$33+1,30,36,42,48,54,60)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80">
      <c r="A2580">
        <f>Skills!A9</f>
        <v/>
      </c>
      <c r="B2580">
        <f>Skills!B9</f>
        <v/>
      </c>
      <c r="C2580">
        <f>Inputs!$B$3&gt;=72</f>
        <v/>
      </c>
      <c r="D2580">
        <f>IF(Skills!C9=1,60+Inputs!$B$25+Inputs!$B$29,IF(Skills!C9=2,90+Inputs!$B$26+Inputs!$B$29,IF(Skills!C9=3,120+Inputs!$B$27+Inputs!$B$29,MAX(0,(Inputs!$B$3-100)*3)+Inputs!$B$28+Inputs!$B$29)))</f>
        <v/>
      </c>
      <c r="E2580">
        <f>INDEX(FactorTable!$B$2:$Y$301, MATCH(ROUND(MIN(300,MAX(1,D2580)),0), FactorTable!$A$2:$A$301,0), Skills!M9+1)</f>
        <v/>
      </c>
      <c r="F2580">
        <f>IF(Skills!N9=TRUE,(Skills!L9/10)*(E2580/1000),Skills!L9/10)+Skills!O9</f>
        <v/>
      </c>
      <c r="G2580">
        <f>Calc!G9</f>
        <v/>
      </c>
      <c r="H2580">
        <f>Calc!H9</f>
        <v/>
      </c>
      <c r="I2580">
        <f>IF(Skills!AA9&lt;&gt;"",1+(Skills!AA9/10)*(U2574/1000)/100,1)</f>
        <v/>
      </c>
      <c r="J2580">
        <f>((Inputs!$B$6*(1+Inputs!$B$7/100))+(((Inputs!$B$12*(1+Inputs!$B$13/100))-(Inputs!$B$12*(1+Inputs!$B$13/100)))+0.25*(Inputs!$B$14-Inputs!$B$14))*(1+Inputs!$B$7/100))*(F2580/100)</f>
        <v/>
      </c>
      <c r="K2580">
        <f>J2580*(1+((Inputs!$B$12*(1+Inputs!$B$13/100))*0.01+Inputs!$B$14*0.0025)/100)*(1+Inputs!$B$15/100)*(1+Inputs!$B$16/100)*(5000/(6000+Inputs!$B$43*(1-(100*(1-(1-(Inputs!$B$19+0)/100)*(1-CHOOSE(ArtifactsInput!$N$40+1,5,6,7,8,9,10)/100)^(ArtifactsInput!$M$40-ArtifactsInput!$M$40)))/100)))*(1+(Inputs!$B$24+((C2601=TRUE)*(F2601-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2594=TRUE)*(F2594-Calc!F23))+(((IF(AND(ArtifactsInput!$M$42,((Inputs!$B$9+((C2596=TRUE)*(F2596-Calc!F25))+B2611+(ArtifactsInput!$M$24-ArtifactsInput!$M$24)*CHOOSE(ArtifactsInput!$N$24+1,10,12,14,16,18,20)+IF(ArtifactsInput!$M$10,CHOOSE(ArtifactsInput!$N$10+1,15,18,21,24,27,30)*(IF(Inputs!$B$39="pvp",MIN(15,15)/15,IF(AND(Inputs!$B$39&lt;&gt;"pvp",Inputs!$B$44&gt;0),MIN(15,Inputs!$B$44)/(Inputs!$B$44),0))),0)))&gt;=100),MIN(100,((Inputs!$B$9+((C2596=TRUE)*(F2596-Calc!F25))+B2611+(ArtifactsInput!$M$24-ArtifactsInput!$M$24)*CHOOSE(ArtifactsInput!$N$24+1,10,12,14,16,18,20)+IF(ArtifactsInput!$M$10,CHOOSE(ArtifactsInput!$N$10+1,15,18,21,24,27,30)*(IF(Inputs!$B$39="pvp",MIN(15,15)/15,IF(AND(Inputs!$B$39&lt;&gt;"pvp",Inputs!$B$44&gt;0),MIN(15,Inputs!$B$44)/(Inputs!$B$44),0))),0)))-100),0))*CHOOSE(ArtifactsInput!$N$42+1,0.6,0.72,0.84,0.96,1.08,1.2))),Inputs!$B$18+((C2600=TRUE)*(F2600-Calc!F29))+(IF(AND(ArtifactsInput!$M$42,((Inputs!$B$9+((C2596=TRUE)*(F2596-Calc!F25))+B2611+(ArtifactsInput!$M$24-ArtifactsInput!$M$24)*CHOOSE(ArtifactsInput!$N$24+1,10,12,14,16,18,20)+IF(ArtifactsInput!$M$10,CHOOSE(ArtifactsInput!$N$10+1,15,18,21,24,27,30)*(IF(Inputs!$B$39="pvp",MIN(15,15)/15,IF(AND(Inputs!$B$39&lt;&gt;"pvp",Inputs!$B$44&gt;0),MIN(15,Inputs!$B$44)/(Inputs!$B$44),0))),0)))&gt;=100),CHOOSE(ArtifactsInput!$N$42+1,40,48,56,64,72,80),0))))/100)*(((1+(((C2592=TRUE)*F2592*IF(AND(Inputs!$B$39&lt;&gt;"pvp",Inputs!$B$44&gt;0),(((R2592-1)*(Skills!Y21*(1+Inputs!$B$34/100))+MIN((Skills!Y21*(1+Inputs!$B$34/100)),MAX(0,Inputs!$B$44-((R2592-1)*Skills!D21))))/Inputs!$B$44),IF(Inputs!$B$39="pvp",MIN((Skills!Y21*(1+Inputs!$B$34/100)),15)/15,(Skills!Y21*(1+Inputs!$B$34/100))/Skills!D21)))+((C2599=TRUE)*(F2599-Calc!F28))+((C2589=TRUE)*(F2589-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2586=TRUE)*F2586*IF(AND(Inputs!$B$39&lt;&gt;"pvp",Inputs!$B$44&gt;0),(((R2586-1)*(Skills!Y15*(1+Inputs!$B$34/100))+MIN((Skills!Y15*(1+Inputs!$B$34/100)),MAX(0,Inputs!$B$44-((R2586-1)*Skills!D15))))/Inputs!$B$44),IF(Inputs!$B$39="pvp",MIN((Skills!Y15*(1+Inputs!$B$34/100)),15)/15,(Skills!Y15*(1+Inputs!$B$34/100))/Skills!D15)))/100)*(1+((C2577=TRUE)*F2577*B2605)/100))*B2613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2580)</f>
        <v/>
      </c>
      <c r="L2580">
        <f>K2580*(MIN(Inputs!$B$22+((C2595=TRUE)*(F2595-Calc!F24)),(Inputs!$B$23+0+(IF(ArtifactsInput!$M$15,CHOOSE(ArtifactsInput!$N$15+1,25,30,35,40,45,50)/100*(Inputs!$B$11-Inputs!$B$11),0))))/100+(Inputs!$B$23+0+(IF(ArtifactsInput!$M$15,CHOOSE(ArtifactsInput!$N$15+1,25,30,35,40,45,50)/100*(Inputs!$B$11-Inputs!$B$11),0)))/100)/2</f>
        <v/>
      </c>
      <c r="M2580">
        <f>L2580*(1+(Inputs!$B$10+((C2597=TRUE)*(F2597-Calc!F26))+B2614+(IF(ArtifactsInput!$M$24,CHOOSE(ArtifactsInput!$N$24+1,30,36,42,48,54,60)/100*(Inputs!$B$9-Inputs!$B$9),0)+IF(ArtifactsInput!$M$10,CHOOSE(ArtifactsInput!$N$10+1,20,24,28,32,36,40)*(IF(Inputs!$B$39="pvp",MIN(15,15)/15,IF(AND(Inputs!$B$39&lt;&gt;"pvp",Inputs!$B$44&gt;0),MIN(15,Inputs!$B$44)/(Inputs!$B$44),0))),0)+IF(IF(ArtifactsInput!$M$31,FALSE,TRUE),1.5*CHOOSE(ArtifactsInput!$N$31+1,20,24,28,32,36,40),0)))/100)</f>
        <v/>
      </c>
      <c r="N2580">
        <f>L2580*(1-MIN((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2580*(MIN((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80">
        <f>(1-Summary!$B$11)*T2580+Summary!$B$11*V2580</f>
        <v/>
      </c>
      <c r="P2580">
        <f>IF(B2615=0,0,O2580/B2615)</f>
        <v/>
      </c>
      <c r="Q2580">
        <f>IFERROR(1/IF(Inputs!$B$39="pvp",15,MAX(0.1,Skills!D9-IF(Skills!E9=TRUE,Inputs!$B$32,0))),0)</f>
        <v/>
      </c>
      <c r="R2580">
        <f>IF(AND(Inputs!$B$39&lt;&gt;"pvp",Inputs!$B$44&gt;0),IF(MAX(0,Inputs!$B$44-B2616)&lt;=0,0,(INT(MAX(0,Inputs!$B$44-B2616)/IF(Inputs!$B$39="pvp",15,MAX(0.1,Skills!D9-IF(Skills!E9=TRUE,Inputs!$B$32,0))))+1)),0)</f>
        <v/>
      </c>
      <c r="S2580">
        <f>IFERROR(O2580/N2580,0)</f>
        <v/>
      </c>
      <c r="T2580">
        <f>IF(C2580,(H2580*N2580*IF(AND(Inputs!$B$39&lt;&gt;"pvp",Inputs!$B$44&gt;0),((Skills!G9*((R2580-1)*IF(Skills!H9&gt;0,Skills!I9/Skills!H9,1)+IF(Skills!H9&gt;0,MIN(Skills!I9,MAX(0,MAX(0,Inputs!$B$44-B2616)-((R2580-1)*IF(Inputs!$B$39="pvp",15,MAX(0.1,Skills!D9-IF(Skills!E9=TRUE,Inputs!$B$32,0))))))/Skills!H9,1)))/Inputs!$B$44),G2580*Q2580))*IF(Inputs!$B$39="pvp",1,1+(Inputs!$B$20+((C2598=TRUE)*(F2598-Calc!F27))+Skills!P9+B2612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2580*(1-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2580*(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2580*(1-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2580*(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80">
        <f>IF(C2580,(H2580*N2580*IF(AND(Inputs!$B$39&lt;&gt;"pvp",Inputs!$B$44&gt;0),((Skills!G9*((R2580-1)*IF(Skills!H9&gt;0,Skills!I9/Skills!H9,1)+IF(Skills!H9&gt;0,MIN(Skills!I9,MAX(0,MAX(0,Inputs!$B$44-B2616)-((R2580-1)*IF(Inputs!$B$39="pvp",15,MAX(0.1,Skills!D9-IF(Skills!E9=TRUE,Inputs!$B$32,0))))))/Skills!H9,1)))/Inputs!$B$44),G2580*Q2580))*IF(Inputs!$B$39="pvp",1,(1+(Inputs!$B$21+Skills!Q9+B2612+(IF(ArtifactsInput!$M$33,CHOOSE(ArtifactsInput!$N$33+1,30,36,42,48,54,60)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81">
      <c r="A2581">
        <f>Skills!A10</f>
        <v/>
      </c>
      <c r="B2581">
        <f>Skills!B10</f>
        <v/>
      </c>
      <c r="C2581">
        <f>Inputs!$B$3&gt;=117</f>
        <v/>
      </c>
      <c r="D2581">
        <f>IF(Skills!C10=1,60+Inputs!$B$25+Inputs!$B$29,IF(Skills!C10=2,90+Inputs!$B$26+Inputs!$B$29,IF(Skills!C10=3,120+Inputs!$B$27+Inputs!$B$29,MAX(0,(Inputs!$B$3-100)*3)+Inputs!$B$28+Inputs!$B$29)))</f>
        <v/>
      </c>
      <c r="E2581">
        <f>INDEX(FactorTable!$B$2:$Y$301, MATCH(ROUND(MIN(300,MAX(1,D2581)),0), FactorTable!$A$2:$A$301,0), Skills!M10+1)</f>
        <v/>
      </c>
      <c r="F2581">
        <f>IF(Skills!N10=TRUE,(Skills!L10/10)*(E2581/1000),Skills!L10/10)+Skills!O10</f>
        <v/>
      </c>
      <c r="G2581">
        <f>Calc!G10</f>
        <v/>
      </c>
      <c r="H2581">
        <f>Calc!H10</f>
        <v/>
      </c>
      <c r="I2581">
        <f>IF(Skills!AA10&lt;&gt;"",1+(Skills!AA10/10)*(U2574/1000)/100,1)</f>
        <v/>
      </c>
      <c r="J2581">
        <f>((Inputs!$B$6*(1+Inputs!$B$7/100))+(((Inputs!$B$12*(1+Inputs!$B$13/100))-(Inputs!$B$12*(1+Inputs!$B$13/100)))+0.25*(Inputs!$B$14-Inputs!$B$14))*(1+Inputs!$B$7/100))*(F2581/100)</f>
        <v/>
      </c>
      <c r="K2581">
        <f>J2581*(1+((Inputs!$B$12*(1+Inputs!$B$13/100))*0.01+Inputs!$B$14*0.0025)/100)*(1+Inputs!$B$15/100)*(1+Inputs!$B$16/100)*(5000/(6000+Inputs!$B$43*(1-(100*(1-(1-(Inputs!$B$19+0)/100)*(1-CHOOSE(ArtifactsInput!$N$40+1,5,6,7,8,9,10)/100)^(ArtifactsInput!$M$40-ArtifactsInput!$M$40)))/100)))*(1+(Inputs!$B$24+((C2601=TRUE)*(F2601-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2594=TRUE)*(F2594-Calc!F23))+(((IF(AND(ArtifactsInput!$M$42,((Inputs!$B$9+((C2596=TRUE)*(F2596-Calc!F25))+B2611+(ArtifactsInput!$M$24-ArtifactsInput!$M$24)*CHOOSE(ArtifactsInput!$N$24+1,10,12,14,16,18,20)+IF(ArtifactsInput!$M$10,CHOOSE(ArtifactsInput!$N$10+1,15,18,21,24,27,30)*(IF(Inputs!$B$39="pvp",MIN(15,15)/15,IF(AND(Inputs!$B$39&lt;&gt;"pvp",Inputs!$B$44&gt;0),MIN(15,Inputs!$B$44)/(Inputs!$B$44),0))),0)))&gt;=100),MIN(100,((Inputs!$B$9+((C2596=TRUE)*(F2596-Calc!F25))+B2611+(ArtifactsInput!$M$24-ArtifactsInput!$M$24)*CHOOSE(ArtifactsInput!$N$24+1,10,12,14,16,18,20)+IF(ArtifactsInput!$M$10,CHOOSE(ArtifactsInput!$N$10+1,15,18,21,24,27,30)*(IF(Inputs!$B$39="pvp",MIN(15,15)/15,IF(AND(Inputs!$B$39&lt;&gt;"pvp",Inputs!$B$44&gt;0),MIN(15,Inputs!$B$44)/(Inputs!$B$44),0))),0)))-100),0))*CHOOSE(ArtifactsInput!$N$42+1,0.6,0.72,0.84,0.96,1.08,1.2))),Inputs!$B$18+((C2600=TRUE)*(F2600-Calc!F29))+(IF(AND(ArtifactsInput!$M$42,((Inputs!$B$9+((C2596=TRUE)*(F2596-Calc!F25))+B2611+(ArtifactsInput!$M$24-ArtifactsInput!$M$24)*CHOOSE(ArtifactsInput!$N$24+1,10,12,14,16,18,20)+IF(ArtifactsInput!$M$10,CHOOSE(ArtifactsInput!$N$10+1,15,18,21,24,27,30)*(IF(Inputs!$B$39="pvp",MIN(15,15)/15,IF(AND(Inputs!$B$39&lt;&gt;"pvp",Inputs!$B$44&gt;0),MIN(15,Inputs!$B$44)/(Inputs!$B$44),0))),0)))&gt;=100),CHOOSE(ArtifactsInput!$N$42+1,40,48,56,64,72,80),0))))/100)*(((1+(((C2592=TRUE)*F2592*IF(AND(Inputs!$B$39&lt;&gt;"pvp",Inputs!$B$44&gt;0),(((R2592-1)*(Skills!Y21*(1+Inputs!$B$34/100))+MIN((Skills!Y21*(1+Inputs!$B$34/100)),MAX(0,Inputs!$B$44-((R2592-1)*Skills!D21))))/Inputs!$B$44),IF(Inputs!$B$39="pvp",MIN((Skills!Y21*(1+Inputs!$B$34/100)),15)/15,(Skills!Y21*(1+Inputs!$B$34/100))/Skills!D21)))+((C2599=TRUE)*(F2599-Calc!F28))+((C2589=TRUE)*(F2589-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2586=TRUE)*F2586*IF(AND(Inputs!$B$39&lt;&gt;"pvp",Inputs!$B$44&gt;0),(((R2586-1)*(Skills!Y15*(1+Inputs!$B$34/100))+MIN((Skills!Y15*(1+Inputs!$B$34/100)),MAX(0,Inputs!$B$44-((R2586-1)*Skills!D15))))/Inputs!$B$44),IF(Inputs!$B$39="pvp",MIN((Skills!Y15*(1+Inputs!$B$34/100)),15)/15,(Skills!Y15*(1+Inputs!$B$34/100))/Skills!D15)))/100)*(1+((C2577=TRUE)*F2577*B2605)/100))*B2613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2581)</f>
        <v/>
      </c>
      <c r="L2581">
        <f>K2581*(MIN(Inputs!$B$22+((C2595=TRUE)*(F2595-Calc!F24)),(Inputs!$B$23+0+(IF(ArtifactsInput!$M$15,CHOOSE(ArtifactsInput!$N$15+1,25,30,35,40,45,50)/100*(Inputs!$B$11-Inputs!$B$11),0))))/100+(Inputs!$B$23+0+(IF(ArtifactsInput!$M$15,CHOOSE(ArtifactsInput!$N$15+1,25,30,35,40,45,50)/100*(Inputs!$B$11-Inputs!$B$11),0)))/100)/2</f>
        <v/>
      </c>
      <c r="M2581">
        <f>L2581*(1+(Inputs!$B$10+((C2597=TRUE)*(F2597-Calc!F26))+B2614+(IF(ArtifactsInput!$M$24,CHOOSE(ArtifactsInput!$N$24+1,30,36,42,48,54,60)/100*(Inputs!$B$9-Inputs!$B$9),0)+IF(ArtifactsInput!$M$10,CHOOSE(ArtifactsInput!$N$10+1,20,24,28,32,36,40)*(IF(Inputs!$B$39="pvp",MIN(15,15)/15,IF(AND(Inputs!$B$39&lt;&gt;"pvp",Inputs!$B$44&gt;0),MIN(15,Inputs!$B$44)/(Inputs!$B$44),0))),0)+IF(IF(ArtifactsInput!$M$31,FALSE,TRUE),1.5*CHOOSE(ArtifactsInput!$N$31+1,20,24,28,32,36,40),0)))/100)</f>
        <v/>
      </c>
      <c r="N2581">
        <f>L2581*(1-MIN((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2581*(MIN((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81">
        <f>(1-Summary!$B$11)*T2581+Summary!$B$11*V2581</f>
        <v/>
      </c>
      <c r="P2581">
        <f>IF(B2615=0,0,O2581/B2615)</f>
        <v/>
      </c>
      <c r="Q2581" t="n">
        <v>0</v>
      </c>
      <c r="R2581" t="n">
        <v>0</v>
      </c>
      <c r="S2581" t="n">
        <v>0</v>
      </c>
      <c r="T2581">
        <f>IF(C2581,(0.2*SUMPRODUCT((Skills!Z2:Z31=TRUE)*(C2573:C2602=TRUE)*S2573:S2602)*N2581)*IF(Inputs!$B$39="pvp",1,1+(Inputs!$B$20+((C2598=TRUE)*(F2598-Calc!F27))+Skills!P10+B2612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2581*(1-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2581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2581*(1-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2581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81">
        <f>IF(C2581,(0.2*SUMPRODUCT((Skills!Z2:Z31=TRUE)*(C2573:C2602=TRUE)*S2573:S2602)*N2581)*IF(Inputs!$B$39="pvp",1,(1+(Inputs!$B$21+Skills!Q10+B2612+(IF(ArtifactsInput!$M$33,CHOOSE(ArtifactsInput!$N$33+1,30,36,42,48,54,60),0))+(IF(AND(ArtifactsInput!$M$35,Inputs!$B$4&lt;&gt;"Chapter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82">
      <c r="A2582">
        <f>Skills!A11</f>
        <v/>
      </c>
      <c r="B2582">
        <f>Skills!B11</f>
        <v/>
      </c>
      <c r="C2582">
        <f>Inputs!$B$3&gt;=60</f>
        <v/>
      </c>
      <c r="D2582">
        <f>IF(Skills!C11=1,60+Inputs!$B$25+Inputs!$B$29,IF(Skills!C11=2,90+Inputs!$B$26+Inputs!$B$29,IF(Skills!C11=3,120+Inputs!$B$27+Inputs!$B$29,MAX(0,(Inputs!$B$3-100)*3)+Inputs!$B$28+Inputs!$B$29)))</f>
        <v/>
      </c>
      <c r="E2582">
        <f>INDEX(FactorTable!$B$2:$Y$301, MATCH(ROUND(MIN(300,MAX(1,D2582)),0), FactorTable!$A$2:$A$301,0), Skills!M11+1)</f>
        <v/>
      </c>
      <c r="F2582">
        <f>IF(Skills!N11=TRUE,(Skills!L11/10)*(E2582/1000),Skills!L11/10)+Skills!O11</f>
        <v/>
      </c>
      <c r="G2582">
        <f>Calc!G11</f>
        <v/>
      </c>
      <c r="H2582">
        <f>Calc!H11</f>
        <v/>
      </c>
      <c r="I2582">
        <f>IF(Skills!AA11&lt;&gt;"",1+(Skills!AA11/10)*(U2574/1000)/100,1)</f>
        <v/>
      </c>
      <c r="J2582" t="inlineStr"/>
      <c r="K2582" t="inlineStr"/>
      <c r="L2582" t="inlineStr"/>
      <c r="M2582" t="inlineStr"/>
      <c r="N2582" t="inlineStr"/>
      <c r="O2582">
        <f>(1-Summary!$B$11)*T2582+Summary!$B$11*V2582</f>
        <v/>
      </c>
      <c r="P2582">
        <f>IF(B2615=0,0,O2582/B2615)</f>
        <v/>
      </c>
      <c r="Q2582" t="n">
        <v>0</v>
      </c>
      <c r="R2582" t="n">
        <v>0</v>
      </c>
      <c r="S2582">
        <f>IFERROR(O2582/N2582,0)</f>
        <v/>
      </c>
      <c r="T2582" t="n">
        <v>0</v>
      </c>
      <c r="V2582" t="n">
        <v>0</v>
      </c>
    </row>
    <row r="2583">
      <c r="A2583">
        <f>Skills!A12</f>
        <v/>
      </c>
      <c r="B2583">
        <f>Skills!B12</f>
        <v/>
      </c>
      <c r="C2583">
        <f>Inputs!$B$3&gt;=103</f>
        <v/>
      </c>
      <c r="D2583">
        <f>IF(Skills!C12=1,60+Inputs!$B$25+Inputs!$B$29,IF(Skills!C12=2,90+Inputs!$B$26+Inputs!$B$29,IF(Skills!C12=3,120+Inputs!$B$27+Inputs!$B$29,MAX(0,(Inputs!$B$3-100)*3)+Inputs!$B$28+Inputs!$B$29)))</f>
        <v/>
      </c>
      <c r="E2583">
        <f>INDEX(FactorTable!$B$2:$Y$301, MATCH(ROUND(MIN(300,MAX(1,D2583)),0), FactorTable!$A$2:$A$301,0), Skills!M12+1)</f>
        <v/>
      </c>
      <c r="F2583">
        <f>IF(Skills!N12=TRUE,(Skills!L12/10)*(E2583/1000),Skills!L12/10)+Skills!O12</f>
        <v/>
      </c>
      <c r="G2583">
        <f>Calc!G12</f>
        <v/>
      </c>
      <c r="H2583">
        <f>Calc!H12</f>
        <v/>
      </c>
      <c r="I2583">
        <f>IF(Skills!AA12&lt;&gt;"",1+(Skills!AA12/10)*(U2574/1000)/100,1)</f>
        <v/>
      </c>
      <c r="J2583">
        <f>((Inputs!$B$6*(1+Inputs!$B$7/100))+(((Inputs!$B$12*(1+Inputs!$B$13/100))-(Inputs!$B$12*(1+Inputs!$B$13/100)))+0.25*(Inputs!$B$14-Inputs!$B$14))*(1+Inputs!$B$7/100))*(F2583/100)</f>
        <v/>
      </c>
      <c r="K2583">
        <f>J2583*(1+((Inputs!$B$12*(1+Inputs!$B$13/100))*0.01+Inputs!$B$14*0.0025)/100)*(1+Inputs!$B$15/100)*(1+Inputs!$B$16/100)*(5000/(6000+Inputs!$B$43*(1-(100*(1-(1-(Inputs!$B$19+0)/100)*(1-CHOOSE(ArtifactsInput!$N$40+1,5,6,7,8,9,10)/100)^(ArtifactsInput!$M$40-ArtifactsInput!$M$40)))/100)))*(1+(Inputs!$B$24+((C2601=TRUE)*(F2601-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2594=TRUE)*(F2594-Calc!F23))+(((IF(AND(ArtifactsInput!$M$42,((Inputs!$B$9+((C2596=TRUE)*(F2596-Calc!F25))+B2611+(ArtifactsInput!$M$24-ArtifactsInput!$M$24)*CHOOSE(ArtifactsInput!$N$24+1,10,12,14,16,18,20)+IF(ArtifactsInput!$M$10,CHOOSE(ArtifactsInput!$N$10+1,15,18,21,24,27,30)*(IF(Inputs!$B$39="pvp",MIN(15,15)/15,IF(AND(Inputs!$B$39&lt;&gt;"pvp",Inputs!$B$44&gt;0),MIN(15,Inputs!$B$44)/(Inputs!$B$44),0))),0)))&gt;=100),MIN(100,((Inputs!$B$9+((C2596=TRUE)*(F2596-Calc!F25))+B2611+(ArtifactsInput!$M$24-ArtifactsInput!$M$24)*CHOOSE(ArtifactsInput!$N$24+1,10,12,14,16,18,20)+IF(ArtifactsInput!$M$10,CHOOSE(ArtifactsInput!$N$10+1,15,18,21,24,27,30)*(IF(Inputs!$B$39="pvp",MIN(15,15)/15,IF(AND(Inputs!$B$39&lt;&gt;"pvp",Inputs!$B$44&gt;0),MIN(15,Inputs!$B$44)/(Inputs!$B$44),0))),0)))-100),0))*CHOOSE(ArtifactsInput!$N$42+1,0.6,0.72,0.84,0.96,1.08,1.2))),Inputs!$B$18+((C2600=TRUE)*(F2600-Calc!F29))+(IF(AND(ArtifactsInput!$M$42,((Inputs!$B$9+((C2596=TRUE)*(F2596-Calc!F25))+B2611+(ArtifactsInput!$M$24-ArtifactsInput!$M$24)*CHOOSE(ArtifactsInput!$N$24+1,10,12,14,16,18,20)+IF(ArtifactsInput!$M$10,CHOOSE(ArtifactsInput!$N$10+1,15,18,21,24,27,30)*(IF(Inputs!$B$39="pvp",MIN(15,15)/15,IF(AND(Inputs!$B$39&lt;&gt;"pvp",Inputs!$B$44&gt;0),MIN(15,Inputs!$B$44)/(Inputs!$B$44),0))),0)))&gt;=100),CHOOSE(ArtifactsInput!$N$42+1,40,48,56,64,72,80),0))))/100)*(((1+(((C2592=TRUE)*F2592*IF(AND(Inputs!$B$39&lt;&gt;"pvp",Inputs!$B$44&gt;0),(((R2592-1)*(Skills!Y21*(1+Inputs!$B$34/100))+MIN((Skills!Y21*(1+Inputs!$B$34/100)),MAX(0,Inputs!$B$44-((R2592-1)*Skills!D21))))/Inputs!$B$44),IF(Inputs!$B$39="pvp",MIN((Skills!Y21*(1+Inputs!$B$34/100)),15)/15,(Skills!Y21*(1+Inputs!$B$34/100))/Skills!D21)))+((C2599=TRUE)*(F2599-Calc!F28))+((C2589=TRUE)*(F2589-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2586=TRUE)*F2586*IF(AND(Inputs!$B$39&lt;&gt;"pvp",Inputs!$B$44&gt;0),(((R2586-1)*(Skills!Y15*(1+Inputs!$B$34/100))+MIN((Skills!Y15*(1+Inputs!$B$34/100)),MAX(0,Inputs!$B$44-((R2586-1)*Skills!D15))))/Inputs!$B$44),IF(Inputs!$B$39="pvp",MIN((Skills!Y15*(1+Inputs!$B$34/100)),15)/15,(Skills!Y15*(1+Inputs!$B$34/100))/Skills!D15)))/100)*(1+((C2577=TRUE)*F2577*B2605)/100))*B2613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2583)</f>
        <v/>
      </c>
      <c r="L2583">
        <f>K2583*(MIN(Inputs!$B$22+((C2595=TRUE)*(F2595-Calc!F24)),(Inputs!$B$23+0+(IF(ArtifactsInput!$M$15,CHOOSE(ArtifactsInput!$N$15+1,25,30,35,40,45,50)/100*(Inputs!$B$11-Inputs!$B$11),0))))/100+(Inputs!$B$23+0+(IF(ArtifactsInput!$M$15,CHOOSE(ArtifactsInput!$N$15+1,25,30,35,40,45,50)/100*(Inputs!$B$11-Inputs!$B$11),0)))/100)/2</f>
        <v/>
      </c>
      <c r="M2583">
        <f>L2583*(1+(Inputs!$B$10+((C2597=TRUE)*(F2597-Calc!F26))+B2614+(IF(ArtifactsInput!$M$24,CHOOSE(ArtifactsInput!$N$24+1,30,36,42,48,54,60)/100*(Inputs!$B$9-Inputs!$B$9),0)+IF(ArtifactsInput!$M$10,CHOOSE(ArtifactsInput!$N$10+1,20,24,28,32,36,40)*(IF(Inputs!$B$39="pvp",MIN(15,15)/15,IF(AND(Inputs!$B$39&lt;&gt;"pvp",Inputs!$B$44&gt;0),MIN(15,Inputs!$B$44)/(Inputs!$B$44),0))),0)+IF(IF(ArtifactsInput!$M$31,FALSE,TRUE),1.5*CHOOSE(ArtifactsInput!$N$31+1,20,24,28,32,36,40),0)))/100)</f>
        <v/>
      </c>
      <c r="N2583">
        <f>L2583*(1-MIN((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2583*(MIN((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83">
        <f>(1-Summary!$B$11)*T2583+Summary!$B$11*V2583</f>
        <v/>
      </c>
      <c r="P2583">
        <f>IF(B2615=0,0,O2583/B2615)</f>
        <v/>
      </c>
      <c r="Q2583">
        <f>IFERROR(1/IF(Inputs!$B$39="pvp",15,MAX(0.1,Skills!D12-IF(Skills!E12=TRUE,Inputs!$B$32,0))),0)</f>
        <v/>
      </c>
      <c r="R2583">
        <f>IF(AND(Inputs!$B$39&lt;&gt;"pvp",Inputs!$B$44&gt;0),IF(MAX(0,Inputs!$B$44-B2616)&lt;=0,0,(INT(MAX(0,Inputs!$B$44-B2616)/IF(Inputs!$B$39="pvp",15,MAX(0.1,Skills!D12-IF(Skills!E12=TRUE,Inputs!$B$32,0))))+1)),0)</f>
        <v/>
      </c>
      <c r="S2583">
        <f>IFERROR(O2583/N2583,0)</f>
        <v/>
      </c>
      <c r="T2583">
        <f>IF(C2583,(H2583*N2583*IF(AND(Inputs!$B$39&lt;&gt;"pvp",Inputs!$B$44&gt;0),((Skills!G12*((R2583-1)*IF(Skills!H12&gt;0,Skills!I12/Skills!H12,1)+IF(Skills!H12&gt;0,MIN(Skills!I12,MAX(0,MAX(0,Inputs!$B$44-B2616)-((R2583-1)*IF(Inputs!$B$39="pvp",15,MAX(0.1,Skills!D12-IF(Skills!E12=TRUE,Inputs!$B$32,0))))))/Skills!H12,1)))/Inputs!$B$44),G2583*Q2583))*IF(Inputs!$B$39="pvp",1,1+(Inputs!$B$20+((C2598=TRUE)*(F2598-Calc!F27))+Skills!P12+B2612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2583*(1-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2583*(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2583*(1-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2583*(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83">
        <f>IF(C2583,(H2583*N2583*IF(AND(Inputs!$B$39&lt;&gt;"pvp",Inputs!$B$44&gt;0),((Skills!G12*((R2583-1)*IF(Skills!H12&gt;0,Skills!I12/Skills!H12,1)+IF(Skills!H12&gt;0,MIN(Skills!I12,MAX(0,MAX(0,Inputs!$B$44-B2616)-((R2583-1)*IF(Inputs!$B$39="pvp",15,MAX(0.1,Skills!D12-IF(Skills!E12=TRUE,Inputs!$B$32,0))))))/Skills!H12,1)))/Inputs!$B$44),G2583*Q2583))*IF(Inputs!$B$39="pvp",1,(1+(Inputs!$B$21+Skills!Q12+B2612+(IF(ArtifactsInput!$M$33,CHOOSE(ArtifactsInput!$N$33+1,30,36,42,48,54,60)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84">
      <c r="A2584">
        <f>Skills!A13</f>
        <v/>
      </c>
      <c r="B2584">
        <f>Skills!B13</f>
        <v/>
      </c>
      <c r="C2584">
        <f>Inputs!$B$3&gt;=105</f>
        <v/>
      </c>
      <c r="D2584">
        <f>IF(Skills!C13=1,60+Inputs!$B$25+Inputs!$B$29,IF(Skills!C13=2,90+Inputs!$B$26+Inputs!$B$29,IF(Skills!C13=3,120+Inputs!$B$27+Inputs!$B$29,MAX(0,(Inputs!$B$3-100)*3)+Inputs!$B$28+Inputs!$B$29)))</f>
        <v/>
      </c>
      <c r="E2584">
        <f>INDEX(FactorTable!$B$2:$Y$301, MATCH(ROUND(MIN(300,MAX(1,D2584)),0), FactorTable!$A$2:$A$301,0), Skills!M13+1)</f>
        <v/>
      </c>
      <c r="F2584">
        <f>IF(Skills!N13=TRUE,(Skills!L13/10)*(E2584/1000),Skills!L13/10)+Skills!O13</f>
        <v/>
      </c>
      <c r="G2584">
        <f>Calc!G13</f>
        <v/>
      </c>
      <c r="H2584">
        <f>Calc!H13</f>
        <v/>
      </c>
      <c r="I2584">
        <f>IF(Skills!AA13&lt;&gt;"",1+(Skills!AA13/10)*(U2574/1000)/100,1)</f>
        <v/>
      </c>
      <c r="J2584">
        <f>((Inputs!$B$6*(1+Inputs!$B$7/100))+(((Inputs!$B$12*(1+Inputs!$B$13/100))-(Inputs!$B$12*(1+Inputs!$B$13/100)))+0.25*(Inputs!$B$14-Inputs!$B$14))*(1+Inputs!$B$7/100))*(F2584/100)</f>
        <v/>
      </c>
      <c r="K2584">
        <f>J2584*(1+((Inputs!$B$12*(1+Inputs!$B$13/100))*0.01+Inputs!$B$14*0.0025)/100)*(1+Inputs!$B$15/100)*(1+Inputs!$B$16/100)*(5000/(6000+Inputs!$B$43*(1-(100*(1-(1-(Inputs!$B$19+0)/100)*(1-CHOOSE(ArtifactsInput!$N$40+1,5,6,7,8,9,10)/100)^(ArtifactsInput!$M$40-ArtifactsInput!$M$40)))/100)))*(1+(Inputs!$B$24+((C2601=TRUE)*(F2601-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2594=TRUE)*(F2594-Calc!F23))+(((IF(AND(ArtifactsInput!$M$42,((Inputs!$B$9+((C2596=TRUE)*(F2596-Calc!F25))+B2611+(ArtifactsInput!$M$24-ArtifactsInput!$M$24)*CHOOSE(ArtifactsInput!$N$24+1,10,12,14,16,18,20)+IF(ArtifactsInput!$M$10,CHOOSE(ArtifactsInput!$N$10+1,15,18,21,24,27,30)*(IF(Inputs!$B$39="pvp",MIN(15,15)/15,IF(AND(Inputs!$B$39&lt;&gt;"pvp",Inputs!$B$44&gt;0),MIN(15,Inputs!$B$44)/(Inputs!$B$44),0))),0)))&gt;=100),MIN(100,((Inputs!$B$9+((C2596=TRUE)*(F2596-Calc!F25))+B2611+(ArtifactsInput!$M$24-ArtifactsInput!$M$24)*CHOOSE(ArtifactsInput!$N$24+1,10,12,14,16,18,20)+IF(ArtifactsInput!$M$10,CHOOSE(ArtifactsInput!$N$10+1,15,18,21,24,27,30)*(IF(Inputs!$B$39="pvp",MIN(15,15)/15,IF(AND(Inputs!$B$39&lt;&gt;"pvp",Inputs!$B$44&gt;0),MIN(15,Inputs!$B$44)/(Inputs!$B$44),0))),0)))-100),0))*CHOOSE(ArtifactsInput!$N$42+1,0.6,0.72,0.84,0.96,1.08,1.2))),Inputs!$B$18+((C2600=TRUE)*(F2600-Calc!F29))+(IF(AND(ArtifactsInput!$M$42,((Inputs!$B$9+((C2596=TRUE)*(F2596-Calc!F25))+B2611+(ArtifactsInput!$M$24-ArtifactsInput!$M$24)*CHOOSE(ArtifactsInput!$N$24+1,10,12,14,16,18,20)+IF(ArtifactsInput!$M$10,CHOOSE(ArtifactsInput!$N$10+1,15,18,21,24,27,30)*(IF(Inputs!$B$39="pvp",MIN(15,15)/15,IF(AND(Inputs!$B$39&lt;&gt;"pvp",Inputs!$B$44&gt;0),MIN(15,Inputs!$B$44)/(Inputs!$B$44),0))),0)))&gt;=100),CHOOSE(ArtifactsInput!$N$42+1,40,48,56,64,72,80),0))))/100)*(((1+(((C2592=TRUE)*F2592*IF(AND(Inputs!$B$39&lt;&gt;"pvp",Inputs!$B$44&gt;0),(((R2592-1)*(Skills!Y21*(1+Inputs!$B$34/100))+MIN((Skills!Y21*(1+Inputs!$B$34/100)),MAX(0,Inputs!$B$44-((R2592-1)*Skills!D21))))/Inputs!$B$44),IF(Inputs!$B$39="pvp",MIN((Skills!Y21*(1+Inputs!$B$34/100)),15)/15,(Skills!Y21*(1+Inputs!$B$34/100))/Skills!D21)))+((C2599=TRUE)*(F2599-Calc!F28))+((C2589=TRUE)*(F2589-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2586=TRUE)*F2586*IF(AND(Inputs!$B$39&lt;&gt;"pvp",Inputs!$B$44&gt;0),(((R2586-1)*(Skills!Y15*(1+Inputs!$B$34/100))+MIN((Skills!Y15*(1+Inputs!$B$34/100)),MAX(0,Inputs!$B$44-((R2586-1)*Skills!D15))))/Inputs!$B$44),IF(Inputs!$B$39="pvp",MIN((Skills!Y15*(1+Inputs!$B$34/100)),15)/15,(Skills!Y15*(1+Inputs!$B$34/100))/Skills!D15)))/100)*(1+((C2577=TRUE)*F2577*B2605)/100))*B2613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2584)</f>
        <v/>
      </c>
      <c r="L2584">
        <f>K2584*(MIN(Inputs!$B$22+((C2595=TRUE)*(F2595-Calc!F24)),(Inputs!$B$23+0+(IF(ArtifactsInput!$M$15,CHOOSE(ArtifactsInput!$N$15+1,25,30,35,40,45,50)/100*(Inputs!$B$11-Inputs!$B$11),0))))/100+(Inputs!$B$23+0+(IF(ArtifactsInput!$M$15,CHOOSE(ArtifactsInput!$N$15+1,25,30,35,40,45,50)/100*(Inputs!$B$11-Inputs!$B$11),0)))/100)/2</f>
        <v/>
      </c>
      <c r="M2584">
        <f>L2584*(1+(Inputs!$B$10+((C2597=TRUE)*(F2597-Calc!F26))+B2614+(IF(ArtifactsInput!$M$24,CHOOSE(ArtifactsInput!$N$24+1,30,36,42,48,54,60)/100*(Inputs!$B$9-Inputs!$B$9),0)+IF(ArtifactsInput!$M$10,CHOOSE(ArtifactsInput!$N$10+1,20,24,28,32,36,40)*(IF(Inputs!$B$39="pvp",MIN(15,15)/15,IF(AND(Inputs!$B$39&lt;&gt;"pvp",Inputs!$B$44&gt;0),MIN(15,Inputs!$B$44)/(Inputs!$B$44),0))),0)+IF(IF(ArtifactsInput!$M$31,FALSE,TRUE),1.5*CHOOSE(ArtifactsInput!$N$31+1,20,24,28,32,36,40),0)))/100)</f>
        <v/>
      </c>
      <c r="N2584">
        <f>L2584*(1-MIN((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2584*(MIN((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84">
        <f>(1-Summary!$B$11)*T2584+Summary!$B$11*V2584</f>
        <v/>
      </c>
      <c r="P2584">
        <f>IF(B2615=0,0,O2584/B2615)</f>
        <v/>
      </c>
      <c r="Q2584">
        <f>IFERROR(1/IF(Inputs!$B$39="pvp",15,MAX(0.1,Skills!D13-IF(Skills!E13=TRUE,Inputs!$B$32,0))),0)</f>
        <v/>
      </c>
      <c r="R2584">
        <f>IF(AND(Inputs!$B$39&lt;&gt;"pvp",Inputs!$B$44&gt;0),IF(MAX(0,Inputs!$B$44-B2616)&lt;=0,0,(INT(MAX(0,Inputs!$B$44-B2616)/IF(Inputs!$B$39="pvp",15,MAX(0.1,Skills!D13-IF(Skills!E13=TRUE,Inputs!$B$32,0))))+1)),0)</f>
        <v/>
      </c>
      <c r="S2584">
        <f>IFERROR(O2584/N2584,0)</f>
        <v/>
      </c>
      <c r="T2584">
        <f>IF(C2584,(H2584*N2584*IF(AND(Inputs!$B$39&lt;&gt;"pvp",Inputs!$B$44&gt;0),((Skills!G13*((R2584-1)*IF(Skills!H13&gt;0,Skills!I13/Skills!H13,1)+IF(Skills!H13&gt;0,MIN(Skills!I13,MAX(0,MAX(0,Inputs!$B$44-B2616)-((R2584-1)*IF(Inputs!$B$39="pvp",15,MAX(0.1,Skills!D13-IF(Skills!E13=TRUE,Inputs!$B$32,0))))))/Skills!H13,1)))/Inputs!$B$44),G2584*Q2584))*IF(Inputs!$B$39="pvp",1,1+(Inputs!$B$20+((C2598=TRUE)*(F2598-Calc!F27))+Skills!P13+B2612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2584*(1-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2584*(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2584*(1-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2584*(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84">
        <f>IF(C2584,(H2584*N2584*IF(AND(Inputs!$B$39&lt;&gt;"pvp",Inputs!$B$44&gt;0),((Skills!G13*((R2584-1)*IF(Skills!H13&gt;0,Skills!I13/Skills!H13,1)+IF(Skills!H13&gt;0,MIN(Skills!I13,MAX(0,MAX(0,Inputs!$B$44-B2616)-((R2584-1)*IF(Inputs!$B$39="pvp",15,MAX(0.1,Skills!D13-IF(Skills!E13=TRUE,Inputs!$B$32,0))))))/Skills!H13,1)))/Inputs!$B$44),G2584*Q2584))*IF(Inputs!$B$39="pvp",1,(1+(Inputs!$B$21+Skills!Q13+B2612+(IF(ArtifactsInput!$M$33,CHOOSE(ArtifactsInput!$N$33+1,30,36,42,48,54,60)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85">
      <c r="A2585">
        <f>Skills!A14</f>
        <v/>
      </c>
      <c r="B2585">
        <f>Skills!B14</f>
        <v/>
      </c>
      <c r="C2585">
        <f>Inputs!$B$3&gt;=105</f>
        <v/>
      </c>
      <c r="D2585">
        <f>IF(Skills!C14=1,60+Inputs!$B$25+Inputs!$B$29,IF(Skills!C14=2,90+Inputs!$B$26+Inputs!$B$29,IF(Skills!C14=3,120+Inputs!$B$27+Inputs!$B$29,MAX(0,(Inputs!$B$3-100)*3)+Inputs!$B$28+Inputs!$B$29)))</f>
        <v/>
      </c>
      <c r="E2585">
        <f>INDEX(FactorTable!$B$2:$Y$301, MATCH(ROUND(MIN(300,MAX(1,D2585)),0), FactorTable!$A$2:$A$301,0), Skills!M14+1)</f>
        <v/>
      </c>
      <c r="F2585">
        <f>IF(Skills!N14=TRUE,(Skills!L14/10)*(E2585/1000),Skills!L14/10)+Skills!O14</f>
        <v/>
      </c>
      <c r="G2585">
        <f>Calc!G14</f>
        <v/>
      </c>
      <c r="H2585">
        <f>Calc!H14</f>
        <v/>
      </c>
      <c r="I2585">
        <f>IF(Skills!AA14&lt;&gt;"",1+(Skills!AA14/10)*(U2574/1000)/100,1)</f>
        <v/>
      </c>
      <c r="J2585">
        <f>((Inputs!$B$6*(1+Inputs!$B$7/100))+(((Inputs!$B$12*(1+Inputs!$B$13/100))-(Inputs!$B$12*(1+Inputs!$B$13/100)))+0.25*(Inputs!$B$14-Inputs!$B$14))*(1+Inputs!$B$7/100))*(F2585/100)</f>
        <v/>
      </c>
      <c r="K2585">
        <f>J2585*(1+((Inputs!$B$12*(1+Inputs!$B$13/100))*0.01+Inputs!$B$14*0.0025)/100)*(1+Inputs!$B$15/100)*(1+Inputs!$B$16/100)*(5000/(6000+Inputs!$B$43*(1-(100*(1-(1-(Inputs!$B$19+0)/100)*(1-CHOOSE(ArtifactsInput!$N$40+1,5,6,7,8,9,10)/100)^(ArtifactsInput!$M$40-ArtifactsInput!$M$40)))/100)))*(1+(Inputs!$B$24+((C2601=TRUE)*(F2601-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2594=TRUE)*(F2594-Calc!F23))+(((IF(AND(ArtifactsInput!$M$42,((Inputs!$B$9+((C2596=TRUE)*(F2596-Calc!F25))+B2611+(ArtifactsInput!$M$24-ArtifactsInput!$M$24)*CHOOSE(ArtifactsInput!$N$24+1,10,12,14,16,18,20)+IF(ArtifactsInput!$M$10,CHOOSE(ArtifactsInput!$N$10+1,15,18,21,24,27,30)*(IF(Inputs!$B$39="pvp",MIN(15,15)/15,IF(AND(Inputs!$B$39&lt;&gt;"pvp",Inputs!$B$44&gt;0),MIN(15,Inputs!$B$44)/(Inputs!$B$44),0))),0)))&gt;=100),MIN(100,((Inputs!$B$9+((C2596=TRUE)*(F2596-Calc!F25))+B2611+(ArtifactsInput!$M$24-ArtifactsInput!$M$24)*CHOOSE(ArtifactsInput!$N$24+1,10,12,14,16,18,20)+IF(ArtifactsInput!$M$10,CHOOSE(ArtifactsInput!$N$10+1,15,18,21,24,27,30)*(IF(Inputs!$B$39="pvp",MIN(15,15)/15,IF(AND(Inputs!$B$39&lt;&gt;"pvp",Inputs!$B$44&gt;0),MIN(15,Inputs!$B$44)/(Inputs!$B$44),0))),0)))-100),0))*CHOOSE(ArtifactsInput!$N$42+1,0.6,0.72,0.84,0.96,1.08,1.2))),Inputs!$B$18+((C2600=TRUE)*(F2600-Calc!F29))+(IF(AND(ArtifactsInput!$M$42,((Inputs!$B$9+((C2596=TRUE)*(F2596-Calc!F25))+B2611+(ArtifactsInput!$M$24-ArtifactsInput!$M$24)*CHOOSE(ArtifactsInput!$N$24+1,10,12,14,16,18,20)+IF(ArtifactsInput!$M$10,CHOOSE(ArtifactsInput!$N$10+1,15,18,21,24,27,30)*(IF(Inputs!$B$39="pvp",MIN(15,15)/15,IF(AND(Inputs!$B$39&lt;&gt;"pvp",Inputs!$B$44&gt;0),MIN(15,Inputs!$B$44)/(Inputs!$B$44),0))),0)))&gt;=100),CHOOSE(ArtifactsInput!$N$42+1,40,48,56,64,72,80),0))))/100)*(((1+(((C2592=TRUE)*F2592*IF(AND(Inputs!$B$39&lt;&gt;"pvp",Inputs!$B$44&gt;0),(((R2592-1)*(Skills!Y21*(1+Inputs!$B$34/100))+MIN((Skills!Y21*(1+Inputs!$B$34/100)),MAX(0,Inputs!$B$44-((R2592-1)*Skills!D21))))/Inputs!$B$44),IF(Inputs!$B$39="pvp",MIN((Skills!Y21*(1+Inputs!$B$34/100)),15)/15,(Skills!Y21*(1+Inputs!$B$34/100))/Skills!D21)))+((C2599=TRUE)*(F2599-Calc!F28))+((C2589=TRUE)*(F2589-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2586=TRUE)*F2586*IF(AND(Inputs!$B$39&lt;&gt;"pvp",Inputs!$B$44&gt;0),(((R2586-1)*(Skills!Y15*(1+Inputs!$B$34/100))+MIN((Skills!Y15*(1+Inputs!$B$34/100)),MAX(0,Inputs!$B$44-((R2586-1)*Skills!D15))))/Inputs!$B$44),IF(Inputs!$B$39="pvp",MIN((Skills!Y15*(1+Inputs!$B$34/100)),15)/15,(Skills!Y15*(1+Inputs!$B$34/100))/Skills!D15)))/100)*(1+((C2577=TRUE)*F2577*B2605)/100))*B2613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2585)</f>
        <v/>
      </c>
      <c r="L2585">
        <f>K2585*(MIN(Inputs!$B$22+((C2595=TRUE)*(F2595-Calc!F24)),(Inputs!$B$23+0+(IF(ArtifactsInput!$M$15,CHOOSE(ArtifactsInput!$N$15+1,25,30,35,40,45,50)/100*(Inputs!$B$11-Inputs!$B$11),0))))/100+(Inputs!$B$23+0+(IF(ArtifactsInput!$M$15,CHOOSE(ArtifactsInput!$N$15+1,25,30,35,40,45,50)/100*(Inputs!$B$11-Inputs!$B$11),0)))/100)/2</f>
        <v/>
      </c>
      <c r="M2585">
        <f>L2585*(1+(Inputs!$B$10+((C2597=TRUE)*(F2597-Calc!F26))+B2614+(IF(ArtifactsInput!$M$24,CHOOSE(ArtifactsInput!$N$24+1,30,36,42,48,54,60)/100*(Inputs!$B$9-Inputs!$B$9),0)+IF(ArtifactsInput!$M$10,CHOOSE(ArtifactsInput!$N$10+1,20,24,28,32,36,40)*(IF(Inputs!$B$39="pvp",MIN(15,15)/15,IF(AND(Inputs!$B$39&lt;&gt;"pvp",Inputs!$B$44&gt;0),MIN(15,Inputs!$B$44)/(Inputs!$B$44),0))),0)+IF(IF(ArtifactsInput!$M$31,FALSE,TRUE),1.5*CHOOSE(ArtifactsInput!$N$31+1,20,24,28,32,36,40),0)))/100)</f>
        <v/>
      </c>
      <c r="N2585">
        <f>L2585*(1-MIN((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2585*(MIN((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85">
        <f>(1-Summary!$B$11)*T2585+Summary!$B$11*V2585</f>
        <v/>
      </c>
      <c r="P2585">
        <f>IF(B2615=0,0,O2585/B2615)</f>
        <v/>
      </c>
      <c r="Q2585">
        <f>IFERROR(1/IF(Inputs!$B$39="pvp",15,MAX(0.1,Skills!D14-IF(Skills!E14=TRUE,Inputs!$B$32,0))),0)</f>
        <v/>
      </c>
      <c r="R2585">
        <f>IF(AND(Inputs!$B$39&lt;&gt;"pvp",Inputs!$B$44&gt;0),IF(MAX(0,Inputs!$B$44-B2616)&lt;=0,0,(INT(MAX(0,Inputs!$B$44-B2616)/IF(Inputs!$B$39="pvp",15,MAX(0.1,Skills!D14-IF(Skills!E14=TRUE,Inputs!$B$32,0))))+1)),0)</f>
        <v/>
      </c>
      <c r="S2585">
        <f>IFERROR(O2585/N2585,0)</f>
        <v/>
      </c>
      <c r="T2585">
        <f>IF(C2585,(H2585*N2585*IF(AND(Inputs!$B$39&lt;&gt;"pvp",Inputs!$B$44&gt;0),((Skills!G14*((R2585-1)*IF(Skills!H14&gt;0,Skills!I14/Skills!H14,1)+IF(Skills!H14&gt;0,MIN(Skills!I14,MAX(0,MAX(0,Inputs!$B$44-B2616)-((R2585-1)*IF(Inputs!$B$39="pvp",15,MAX(0.1,Skills!D14-IF(Skills!E14=TRUE,Inputs!$B$32,0))))))/Skills!H14,1)))/Inputs!$B$44),G2585*Q2585))*IF(Inputs!$B$39="pvp",1,1+(Inputs!$B$20+((C2598=TRUE)*(F2598-Calc!F27))+Skills!P14+B2612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2585*(1-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2585*(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2585*(1-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2585*(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85">
        <f>IF(C2585,(H2585*N2585*IF(AND(Inputs!$B$39&lt;&gt;"pvp",Inputs!$B$44&gt;0),((Skills!G14*((R2585-1)*IF(Skills!H14&gt;0,Skills!I14/Skills!H14,1)+IF(Skills!H14&gt;0,MIN(Skills!I14,MAX(0,MAX(0,Inputs!$B$44-B2616)-((R2585-1)*IF(Inputs!$B$39="pvp",15,MAX(0.1,Skills!D14-IF(Skills!E14=TRUE,Inputs!$B$32,0))))))/Skills!H14,1)))/Inputs!$B$44),G2585*Q2585))*IF(Inputs!$B$39="pvp",1,(1+(Inputs!$B$21+Skills!Q14+B2612+(IF(ArtifactsInput!$M$33,CHOOSE(ArtifactsInput!$N$33+1,30,36,42,48,54,60)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86">
      <c r="A2586">
        <f>Skills!A15</f>
        <v/>
      </c>
      <c r="B2586">
        <f>Skills!B15</f>
        <v/>
      </c>
      <c r="C2586">
        <f>Inputs!$B$3&gt;=110</f>
        <v/>
      </c>
      <c r="D2586">
        <f>IF(Skills!C15=1,60+Inputs!$B$25+Inputs!$B$29,IF(Skills!C15=2,90+Inputs!$B$26+Inputs!$B$29,IF(Skills!C15=3,120+Inputs!$B$27+Inputs!$B$29,MAX(0,(Inputs!$B$3-100)*3)+Inputs!$B$28+Inputs!$B$29)))</f>
        <v/>
      </c>
      <c r="E2586">
        <f>INDEX(FactorTable!$B$2:$Y$301, MATCH(ROUND(MIN(300,MAX(1,D2586)),0), FactorTable!$A$2:$A$301,0), Skills!M15+1)</f>
        <v/>
      </c>
      <c r="F2586">
        <f>IF(Skills!N15=TRUE,(Skills!L15/10)*(E2586/1000),Skills!L15/10)+Skills!O15</f>
        <v/>
      </c>
      <c r="G2586">
        <f>Calc!G15</f>
        <v/>
      </c>
      <c r="H2586">
        <f>Calc!H15</f>
        <v/>
      </c>
      <c r="I2586">
        <f>IF(Skills!AA15&lt;&gt;"",1+(Skills!AA15/10)*(U2574/1000)/100,1)</f>
        <v/>
      </c>
      <c r="J2586" t="inlineStr"/>
      <c r="K2586" t="inlineStr"/>
      <c r="L2586" t="inlineStr"/>
      <c r="M2586" t="inlineStr"/>
      <c r="N2586" t="inlineStr"/>
      <c r="O2586">
        <f>(1-Summary!$B$11)*T2586+Summary!$B$11*V2586</f>
        <v/>
      </c>
      <c r="P2586">
        <f>IF(B2615=0,0,O2586/B2615)</f>
        <v/>
      </c>
      <c r="Q2586">
        <f>IFERROR(1/IF(Inputs!$B$39="pvp",15,MAX(0.1,Skills!D15-IF(Skills!E15=TRUE,Inputs!$B$32,0))),0)</f>
        <v/>
      </c>
      <c r="R2586">
        <f>IF(AND(Inputs!$B$39&lt;&gt;"pvp",Inputs!$B$44&gt;0),IF(Inputs!$B$44&lt;=0,0,(INT(Inputs!$B$44/IF(Inputs!$B$39="pvp",15,MAX(0.1,Skills!D15-IF(Skills!E15=TRUE,Inputs!$B$32,0))))+1)),0)</f>
        <v/>
      </c>
      <c r="S2586">
        <f>IFERROR(O2586/N2586,0)</f>
        <v/>
      </c>
      <c r="T2586" t="n">
        <v>0</v>
      </c>
      <c r="V2586" t="n">
        <v>0</v>
      </c>
    </row>
    <row r="2587">
      <c r="A2587">
        <f>Skills!A16</f>
        <v/>
      </c>
      <c r="B2587">
        <f>Skills!B16</f>
        <v/>
      </c>
      <c r="C2587">
        <f>Inputs!$B$3&gt;=110</f>
        <v/>
      </c>
      <c r="D2587">
        <f>IF(Skills!C16=1,60+Inputs!$B$25+Inputs!$B$29,IF(Skills!C16=2,90+Inputs!$B$26+Inputs!$B$29,IF(Skills!C16=3,120+Inputs!$B$27+Inputs!$B$29,MAX(0,(Inputs!$B$3-100)*3)+Inputs!$B$28+Inputs!$B$29)))</f>
        <v/>
      </c>
      <c r="E2587">
        <f>INDEX(FactorTable!$B$2:$Y$301, MATCH(ROUND(MIN(300,MAX(1,D2587)),0), FactorTable!$A$2:$A$301,0), Skills!M16+1)</f>
        <v/>
      </c>
      <c r="F2587">
        <f>IF(Skills!N16=TRUE,(Skills!L16/10)*(E2587/1000),Skills!L16/10)+Skills!O16</f>
        <v/>
      </c>
      <c r="G2587">
        <f>Calc!G16</f>
        <v/>
      </c>
      <c r="H2587">
        <f>Calc!H16</f>
        <v/>
      </c>
      <c r="I2587">
        <f>IF(Skills!AA16&lt;&gt;"",1+(Skills!AA16/10)*(U2574/1000)/100,1)</f>
        <v/>
      </c>
      <c r="J2587" t="inlineStr"/>
      <c r="K2587" t="inlineStr"/>
      <c r="L2587" t="inlineStr"/>
      <c r="M2587" t="inlineStr"/>
      <c r="N2587" t="inlineStr"/>
      <c r="O2587">
        <f>(1-Summary!$B$11)*T2587+Summary!$B$11*V2587</f>
        <v/>
      </c>
      <c r="P2587">
        <f>IF(B2615=0,0,O2587/B2615)</f>
        <v/>
      </c>
      <c r="Q2587">
        <f>IFERROR(1/IF(Inputs!$B$39="pvp",15,MAX(0.1,Skills!D16-IF(Skills!E16=TRUE,Inputs!$B$32,0))),0)</f>
        <v/>
      </c>
      <c r="R2587">
        <f>IF(AND(Inputs!$B$39&lt;&gt;"pvp",Inputs!$B$44&gt;0),IF(Inputs!$B$44&lt;=0,0,(INT(Inputs!$B$44/IF(Inputs!$B$39="pvp",15,MAX(0.1,Skills!D16-IF(Skills!E16=TRUE,Inputs!$B$32,0))))+1)),0)</f>
        <v/>
      </c>
      <c r="S2587">
        <f>IFERROR(O2587/N2587,0)</f>
        <v/>
      </c>
      <c r="T2587" t="n">
        <v>0</v>
      </c>
      <c r="V2587" t="n">
        <v>0</v>
      </c>
    </row>
    <row r="2588">
      <c r="A2588">
        <f>Skills!A17</f>
        <v/>
      </c>
      <c r="B2588">
        <f>Skills!B17</f>
        <v/>
      </c>
      <c r="C2588">
        <f>Inputs!$B$3&gt;=115</f>
        <v/>
      </c>
      <c r="D2588">
        <f>IF(Skills!C17=1,60+Inputs!$B$25+Inputs!$B$29,IF(Skills!C17=2,90+Inputs!$B$26+Inputs!$B$29,IF(Skills!C17=3,120+Inputs!$B$27+Inputs!$B$29,MAX(0,(Inputs!$B$3-100)*3)+Inputs!$B$28+Inputs!$B$29)))</f>
        <v/>
      </c>
      <c r="E2588">
        <f>INDEX(FactorTable!$B$2:$Y$301, MATCH(ROUND(MIN(300,MAX(1,D2588)),0), FactorTable!$A$2:$A$301,0), Skills!M17+1)</f>
        <v/>
      </c>
      <c r="F2588">
        <f>IF(Skills!N17=TRUE,(Skills!L17/10)*(E2588/1000),Skills!L17/10)+Skills!O17</f>
        <v/>
      </c>
      <c r="G2588">
        <f>Calc!G17</f>
        <v/>
      </c>
      <c r="H2588">
        <f>Calc!H17</f>
        <v/>
      </c>
      <c r="I2588">
        <f>IF(Skills!AA17&lt;&gt;"",1+(Skills!AA17/10)*(U2574/1000)/100,1)</f>
        <v/>
      </c>
      <c r="J2588">
        <f>((Inputs!$B$6*(1+Inputs!$B$7/100))+(((Inputs!$B$12*(1+Inputs!$B$13/100))-(Inputs!$B$12*(1+Inputs!$B$13/100)))+0.25*(Inputs!$B$14-Inputs!$B$14))*(1+Inputs!$B$7/100))*(F2588/100)</f>
        <v/>
      </c>
      <c r="K2588">
        <f>J2588*(1+((Inputs!$B$12*(1+Inputs!$B$13/100))*0.01+Inputs!$B$14*0.0025)/100)*(1+Inputs!$B$15/100)*(1+Inputs!$B$16/100)*(5000/(6000+Inputs!$B$43*(1-(100*(1-(1-(Inputs!$B$19+0)/100)*(1-CHOOSE(ArtifactsInput!$N$40+1,5,6,7,8,9,10)/100)^(ArtifactsInput!$M$40-ArtifactsInput!$M$40)))/100)))*(1+(Inputs!$B$24+((C2601=TRUE)*(F2601-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2594=TRUE)*(F2594-Calc!F23))+(((IF(AND(ArtifactsInput!$M$42,((Inputs!$B$9+((C2596=TRUE)*(F2596-Calc!F25))+B2611+(ArtifactsInput!$M$24-ArtifactsInput!$M$24)*CHOOSE(ArtifactsInput!$N$24+1,10,12,14,16,18,20)+IF(ArtifactsInput!$M$10,CHOOSE(ArtifactsInput!$N$10+1,15,18,21,24,27,30)*(IF(Inputs!$B$39="pvp",MIN(15,15)/15,IF(AND(Inputs!$B$39&lt;&gt;"pvp",Inputs!$B$44&gt;0),MIN(15,Inputs!$B$44)/(Inputs!$B$44),0))),0)))&gt;=100),MIN(100,((Inputs!$B$9+((C2596=TRUE)*(F2596-Calc!F25))+B2611+(ArtifactsInput!$M$24-ArtifactsInput!$M$24)*CHOOSE(ArtifactsInput!$N$24+1,10,12,14,16,18,20)+IF(ArtifactsInput!$M$10,CHOOSE(ArtifactsInput!$N$10+1,15,18,21,24,27,30)*(IF(Inputs!$B$39="pvp",MIN(15,15)/15,IF(AND(Inputs!$B$39&lt;&gt;"pvp",Inputs!$B$44&gt;0),MIN(15,Inputs!$B$44)/(Inputs!$B$44),0))),0)))-100),0))*CHOOSE(ArtifactsInput!$N$42+1,0.6,0.72,0.84,0.96,1.08,1.2))),Inputs!$B$18+((C2600=TRUE)*(F2600-Calc!F29))+(IF(AND(ArtifactsInput!$M$42,((Inputs!$B$9+((C2596=TRUE)*(F2596-Calc!F25))+B2611+(ArtifactsInput!$M$24-ArtifactsInput!$M$24)*CHOOSE(ArtifactsInput!$N$24+1,10,12,14,16,18,20)+IF(ArtifactsInput!$M$10,CHOOSE(ArtifactsInput!$N$10+1,15,18,21,24,27,30)*(IF(Inputs!$B$39="pvp",MIN(15,15)/15,IF(AND(Inputs!$B$39&lt;&gt;"pvp",Inputs!$B$44&gt;0),MIN(15,Inputs!$B$44)/(Inputs!$B$44),0))),0)))&gt;=100),CHOOSE(ArtifactsInput!$N$42+1,40,48,56,64,72,80),0))))/100)*(((1+(((C2592=TRUE)*F2592*IF(AND(Inputs!$B$39&lt;&gt;"pvp",Inputs!$B$44&gt;0),(((R2592-1)*(Skills!Y21*(1+Inputs!$B$34/100))+MIN((Skills!Y21*(1+Inputs!$B$34/100)),MAX(0,Inputs!$B$44-((R2592-1)*Skills!D21))))/Inputs!$B$44),IF(Inputs!$B$39="pvp",MIN((Skills!Y21*(1+Inputs!$B$34/100)),15)/15,(Skills!Y21*(1+Inputs!$B$34/100))/Skills!D21)))+((C2599=TRUE)*(F2599-Calc!F28))+((C2589=TRUE)*(F2589-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2586=TRUE)*F2586*IF(AND(Inputs!$B$39&lt;&gt;"pvp",Inputs!$B$44&gt;0),(((R2586-1)*(Skills!Y15*(1+Inputs!$B$34/100))+MIN((Skills!Y15*(1+Inputs!$B$34/100)),MAX(0,Inputs!$B$44-((R2586-1)*Skills!D15))))/Inputs!$B$44),IF(Inputs!$B$39="pvp",MIN((Skills!Y15*(1+Inputs!$B$34/100)),15)/15,(Skills!Y15*(1+Inputs!$B$34/100))/Skills!D15)))/100)*(1+((C2577=TRUE)*F2577*B2605)/100))*B2613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2588)</f>
        <v/>
      </c>
      <c r="L2588">
        <f>K2588*(MIN(Inputs!$B$22+((C2595=TRUE)*(F2595-Calc!F24)),(Inputs!$B$23+0+(IF(ArtifactsInput!$M$15,CHOOSE(ArtifactsInput!$N$15+1,25,30,35,40,45,50)/100*(Inputs!$B$11-Inputs!$B$11),0))))/100+(Inputs!$B$23+0+(IF(ArtifactsInput!$M$15,CHOOSE(ArtifactsInput!$N$15+1,25,30,35,40,45,50)/100*(Inputs!$B$11-Inputs!$B$11),0)))/100)/2</f>
        <v/>
      </c>
      <c r="M2588">
        <f>L2588*(1+(Inputs!$B$10+((C2597=TRUE)*(F2597-Calc!F26))+B2614+(IF(ArtifactsInput!$M$24,CHOOSE(ArtifactsInput!$N$24+1,30,36,42,48,54,60)/100*(Inputs!$B$9-Inputs!$B$9),0)+IF(ArtifactsInput!$M$10,CHOOSE(ArtifactsInput!$N$10+1,20,24,28,32,36,40)*(IF(Inputs!$B$39="pvp",MIN(15,15)/15,IF(AND(Inputs!$B$39&lt;&gt;"pvp",Inputs!$B$44&gt;0),MIN(15,Inputs!$B$44)/(Inputs!$B$44),0))),0)+IF(IF(ArtifactsInput!$M$31,FALSE,TRUE),1.5*CHOOSE(ArtifactsInput!$N$31+1,20,24,28,32,36,40),0)))/100)</f>
        <v/>
      </c>
      <c r="N2588">
        <f>L2588*(1-MIN((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2588*(MIN((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88">
        <f>(1-Summary!$B$11)*T2588+Summary!$B$11*V2588</f>
        <v/>
      </c>
      <c r="P2588">
        <f>IF(B2615=0,0,O2588/B2615)</f>
        <v/>
      </c>
      <c r="Q2588" t="n">
        <v>0</v>
      </c>
      <c r="R2588" t="n">
        <v>0</v>
      </c>
      <c r="S2588">
        <f>IFERROR(O2588/N2588,0)</f>
        <v/>
      </c>
      <c r="T2588">
        <f>IF(C2588,(Inputs!$B$38*0.2*N2588)*IF(Inputs!$B$39="pvp",1,1+(Inputs!$B$20+((C2598=TRUE)*(F2598-Calc!F27))+Skills!P17+B2612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2588*(1-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2588*(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2588*(1-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2588*(MIN(100,(Inputs!$B$9+((C2596=TRUE)*(F2596-Calc!F25))+B2611+(ArtifactsInput!$M$24-ArtifactsInput!$M$24)*CHOOSE(ArtifactsInput!$N$24+1,10,12,14,16,18,20)+(IF(AND(ArtifactsInput!$M$42,((Inputs!$B$9+((C2596=TRUE)*(F2596-Calc!F25))+B2611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88">
        <f>IF(C2588,(Inputs!$B$38*0.2*N2588)*IF(Inputs!$B$39="pvp",1,(1+(Inputs!$B$21+Skills!Q17+B2612+(IF(ArtifactsInput!$M$33,CHOOSE(ArtifactsInput!$N$33+1,30,36,42,48,54,60),0))+(IF(AND(ArtifactsInput!$M$35,Inputs!$B$4&lt;&gt;"Chapter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89">
      <c r="A2589">
        <f>Skills!A18</f>
        <v/>
      </c>
      <c r="B2589">
        <f>Skills!B18</f>
        <v/>
      </c>
      <c r="C2589">
        <f>Inputs!$B$3&gt;=115</f>
        <v/>
      </c>
      <c r="D2589">
        <f>IF(Skills!C18=1,60+Inputs!$B$25+Inputs!$B$29,IF(Skills!C18=2,90+Inputs!$B$26+Inputs!$B$29,IF(Skills!C18=3,120+Inputs!$B$27+Inputs!$B$29,MAX(0,(Inputs!$B$3-100)*3)+Inputs!$B$28+Inputs!$B$29)))</f>
        <v/>
      </c>
      <c r="E2589">
        <f>INDEX(FactorTable!$B$2:$Y$301, MATCH(ROUND(MIN(300,MAX(1,D2589)),0), FactorTable!$A$2:$A$301,0), Skills!M18+1)</f>
        <v/>
      </c>
      <c r="F2589">
        <f>IF(Skills!N18=TRUE,(Skills!L18/10)*(E2589/1000),Skills!L18/10)+Skills!O18</f>
        <v/>
      </c>
      <c r="G2589">
        <f>Calc!G18</f>
        <v/>
      </c>
      <c r="H2589">
        <f>Calc!H18</f>
        <v/>
      </c>
      <c r="I2589">
        <f>IF(Skills!AA18&lt;&gt;"",1+(Skills!AA18/10)*(U2574/1000)/100,1)</f>
        <v/>
      </c>
      <c r="J2589" t="inlineStr"/>
      <c r="K2589" t="inlineStr"/>
      <c r="L2589" t="inlineStr"/>
      <c r="M2589" t="inlineStr"/>
      <c r="N2589" t="inlineStr"/>
      <c r="O2589">
        <f>(1-Summary!$B$11)*T2589+Summary!$B$11*V2589</f>
        <v/>
      </c>
      <c r="P2589">
        <f>IF(B2615=0,0,O2589/B2615)</f>
        <v/>
      </c>
      <c r="Q2589" t="n">
        <v>0</v>
      </c>
      <c r="R2589" t="n">
        <v>0</v>
      </c>
      <c r="S2589">
        <f>IFERROR(O2589/N2589,0)</f>
        <v/>
      </c>
      <c r="T2589" t="n">
        <v>0</v>
      </c>
      <c r="V2589" t="n">
        <v>0</v>
      </c>
    </row>
    <row r="2590">
      <c r="A2590">
        <f>Skills!A19</f>
        <v/>
      </c>
      <c r="B2590">
        <f>Skills!B19</f>
        <v/>
      </c>
      <c r="C2590">
        <f>TRUE</f>
        <v/>
      </c>
      <c r="D2590">
        <f>IF(Skills!C19=1,60+Inputs!$B$25+Inputs!$B$29,IF(Skills!C19=2,90+Inputs!$B$26+Inputs!$B$29,IF(Skills!C19=3,120+Inputs!$B$27+Inputs!$B$29,MAX(0,(Inputs!$B$3-100)*3)+Inputs!$B$28+Inputs!$B$29)))</f>
        <v/>
      </c>
      <c r="E2590">
        <f>INDEX(FactorTable!$B$2:$Y$301, MATCH(ROUND(MIN(300,MAX(1,D2590)),0), FactorTable!$A$2:$A$301,0), Skills!M19+1)</f>
        <v/>
      </c>
      <c r="F2590">
        <f>IF(Skills!N19=TRUE,(Skills!L19/10)*(E2590/1000),Skills!L19/10)+Skills!O19</f>
        <v/>
      </c>
      <c r="G2590">
        <f>Calc!G19</f>
        <v/>
      </c>
      <c r="H2590">
        <f>Calc!H19</f>
        <v/>
      </c>
      <c r="I2590">
        <f>IF(Skills!AA19&lt;&gt;"",1+(Skills!AA19/10)*(U2574/1000)/100,1)</f>
        <v/>
      </c>
      <c r="J2590" t="inlineStr"/>
      <c r="K2590" t="inlineStr"/>
      <c r="L2590" t="inlineStr"/>
      <c r="M2590" t="inlineStr"/>
      <c r="N2590" t="inlineStr"/>
      <c r="O2590">
        <f>(1-Summary!$B$11)*T2590+Summary!$B$11*V2590</f>
        <v/>
      </c>
      <c r="P2590">
        <f>IF(B2615=0,0,O2590/B2615)</f>
        <v/>
      </c>
      <c r="Q2590">
        <f>IFERROR(1/IF(Inputs!$B$39="pvp",15,MAX(0.1,Skills!D19-IF(Skills!E19=TRUE,Inputs!$B$32,0))),0)</f>
        <v/>
      </c>
      <c r="R2590">
        <f>IF(AND(Inputs!$B$39&lt;&gt;"pvp",Inputs!$B$44&gt;0),IF(Inputs!$B$44&lt;=0,0,(INT(Inputs!$B$44/IF(Inputs!$B$39="pvp",15,MAX(0.1,Skills!D19-IF(Skills!E19=TRUE,Inputs!$B$32,0))))+1)),0)</f>
        <v/>
      </c>
      <c r="S2590">
        <f>IFERROR(O2590/N2590,0)</f>
        <v/>
      </c>
      <c r="T2590" t="n">
        <v>0</v>
      </c>
      <c r="V2590" t="n">
        <v>0</v>
      </c>
    </row>
    <row r="2591">
      <c r="A2591">
        <f>Skills!A20</f>
        <v/>
      </c>
      <c r="B2591">
        <f>Skills!B20</f>
        <v/>
      </c>
      <c r="C2591">
        <f>Inputs!$B$3&gt;=15</f>
        <v/>
      </c>
      <c r="D2591">
        <f>IF(Skills!C20=1,60+Inputs!$B$25+Inputs!$B$29,IF(Skills!C20=2,90+Inputs!$B$26+Inputs!$B$29,IF(Skills!C20=3,120+Inputs!$B$27+Inputs!$B$29,MAX(0,(Inputs!$B$3-100)*3)+Inputs!$B$28+Inputs!$B$29)))</f>
        <v/>
      </c>
      <c r="E2591">
        <f>INDEX(FactorTable!$B$2:$Y$301, MATCH(ROUND(MIN(300,MAX(1,D2591)),0), FactorTable!$A$2:$A$301,0), Skills!M20+1)</f>
        <v/>
      </c>
      <c r="F2591">
        <f>IF(Skills!N20=TRUE,(Skills!L20/10)*(E2591/1000),Skills!L20/10)+Skills!O20</f>
        <v/>
      </c>
      <c r="G2591">
        <f>Calc!G20</f>
        <v/>
      </c>
      <c r="H2591">
        <f>Calc!H20</f>
        <v/>
      </c>
      <c r="I2591">
        <f>IF(Skills!AA20&lt;&gt;"",1+(Skills!AA20/10)*(U2574/1000)/100,1)</f>
        <v/>
      </c>
      <c r="J2591" t="inlineStr"/>
      <c r="K2591" t="inlineStr"/>
      <c r="L2591" t="inlineStr"/>
      <c r="M2591" t="inlineStr"/>
      <c r="N2591" t="inlineStr"/>
      <c r="O2591">
        <f>(1-Summary!$B$11)*T2591+Summary!$B$11*V2591</f>
        <v/>
      </c>
      <c r="P2591">
        <f>IF(B2615=0,0,O2591/B2615)</f>
        <v/>
      </c>
      <c r="Q2591">
        <f>IFERROR(1/IF(Inputs!$B$39="pvp",15,MAX(0.1,Skills!D20-IF(Skills!E20=TRUE,Inputs!$B$32,0))),0)</f>
        <v/>
      </c>
      <c r="R2591">
        <f>IF(AND(Inputs!$B$39&lt;&gt;"pvp",Inputs!$B$44&gt;0),IF(Inputs!$B$44&lt;=0,0,(INT(Inputs!$B$44/IF(Inputs!$B$39="pvp",15,MAX(0.1,Skills!D20-IF(Skills!E20=TRUE,Inputs!$B$32,0))))+1)),0)</f>
        <v/>
      </c>
      <c r="S2591">
        <f>IFERROR(O2591/N2591,0)</f>
        <v/>
      </c>
      <c r="T2591" t="n">
        <v>0</v>
      </c>
      <c r="V2591" t="n">
        <v>0</v>
      </c>
    </row>
    <row r="2592">
      <c r="A2592">
        <f>Skills!A21</f>
        <v/>
      </c>
      <c r="B2592">
        <f>Skills!B21</f>
        <v/>
      </c>
      <c r="C2592">
        <f>Inputs!$B$3&gt;=15</f>
        <v/>
      </c>
      <c r="D2592">
        <f>IF(Skills!C21=1,60+Inputs!$B$25+Inputs!$B$29,IF(Skills!C21=2,90+Inputs!$B$26+Inputs!$B$29,IF(Skills!C21=3,120+Inputs!$B$27+Inputs!$B$29,MAX(0,(Inputs!$B$3-100)*3)+Inputs!$B$28+Inputs!$B$29)))</f>
        <v/>
      </c>
      <c r="E2592">
        <f>INDEX(FactorTable!$B$2:$Y$301, MATCH(ROUND(MIN(300,MAX(1,D2592)),0), FactorTable!$A$2:$A$301,0), Skills!M21+1)</f>
        <v/>
      </c>
      <c r="F2592">
        <f>IF(Skills!N21=TRUE,(Skills!L21/10)*(E2592/1000),Skills!L21/10)+Skills!O21</f>
        <v/>
      </c>
      <c r="G2592">
        <f>Calc!G21</f>
        <v/>
      </c>
      <c r="H2592">
        <f>Calc!H21</f>
        <v/>
      </c>
      <c r="I2592">
        <f>IF(Skills!AA21&lt;&gt;"",1+(Skills!AA21/10)*(U2574/1000)/100,1)</f>
        <v/>
      </c>
      <c r="J2592" t="inlineStr"/>
      <c r="K2592" t="inlineStr"/>
      <c r="L2592" t="inlineStr"/>
      <c r="M2592" t="inlineStr"/>
      <c r="N2592" t="inlineStr"/>
      <c r="O2592">
        <f>(1-Summary!$B$11)*T2592+Summary!$B$11*V2592</f>
        <v/>
      </c>
      <c r="P2592">
        <f>IF(B2615=0,0,O2592/B2615)</f>
        <v/>
      </c>
      <c r="Q2592">
        <f>IFERROR(1/IF(Inputs!$B$39="pvp",15,MAX(0.1,Skills!D21-IF(Skills!E21=TRUE,Inputs!$B$32,0))),0)</f>
        <v/>
      </c>
      <c r="R2592">
        <f>IF(AND(Inputs!$B$39&lt;&gt;"pvp",Inputs!$B$44&gt;0),IF(Inputs!$B$44&lt;=0,0,(INT(Inputs!$B$44/IF(Inputs!$B$39="pvp",15,MAX(0.1,Skills!D21-IF(Skills!E21=TRUE,Inputs!$B$32,0))))+1)),0)</f>
        <v/>
      </c>
      <c r="S2592">
        <f>IFERROR(O2592/N2592,0)</f>
        <v/>
      </c>
      <c r="T2592" t="n">
        <v>0</v>
      </c>
      <c r="V2592" t="n">
        <v>0</v>
      </c>
    </row>
    <row r="2593">
      <c r="A2593">
        <f>Skills!A22</f>
        <v/>
      </c>
      <c r="B2593">
        <f>Skills!B22</f>
        <v/>
      </c>
      <c r="C2593">
        <f>Inputs!$B$3&gt;=33</f>
        <v/>
      </c>
      <c r="D2593">
        <f>IF(Skills!C22=1,60+Inputs!$B$25+Inputs!$B$29,IF(Skills!C22=2,90+Inputs!$B$26+Inputs!$B$29,IF(Skills!C22=3,120+Inputs!$B$27+Inputs!$B$29,MAX(0,(Inputs!$B$3-100)*3)+Inputs!$B$28+Inputs!$B$29)))</f>
        <v/>
      </c>
      <c r="E2593">
        <f>INDEX(FactorTable!$B$2:$Y$301, MATCH(ROUND(MIN(300,MAX(1,D2593)),0), FactorTable!$A$2:$A$301,0), Skills!M22+1)</f>
        <v/>
      </c>
      <c r="F2593">
        <f>IF(Skills!N22=TRUE,(Skills!L22/10)*(E2593/1000),Skills!L22/10)+Skills!O22</f>
        <v/>
      </c>
      <c r="G2593">
        <f>Calc!G22</f>
        <v/>
      </c>
      <c r="H2593">
        <f>Calc!H22</f>
        <v/>
      </c>
      <c r="I2593">
        <f>IF(Skills!AA22&lt;&gt;"",1+(Skills!AA22/10)*(U2574/1000)/100,1)</f>
        <v/>
      </c>
      <c r="J2593" t="inlineStr"/>
      <c r="K2593" t="inlineStr"/>
      <c r="L2593" t="inlineStr"/>
      <c r="M2593" t="inlineStr"/>
      <c r="N2593" t="inlineStr"/>
      <c r="O2593">
        <f>(1-Summary!$B$11)*T2593+Summary!$B$11*V2593</f>
        <v/>
      </c>
      <c r="P2593">
        <f>IF(B2615=0,0,O2593/B2615)</f>
        <v/>
      </c>
      <c r="Q2593" t="n">
        <v>0</v>
      </c>
      <c r="R2593" t="n">
        <v>0</v>
      </c>
      <c r="S2593">
        <f>IFERROR(O2593/N2593,0)</f>
        <v/>
      </c>
      <c r="T2593" t="n">
        <v>0</v>
      </c>
      <c r="V2593" t="n">
        <v>0</v>
      </c>
    </row>
    <row r="2594">
      <c r="A2594">
        <f>Skills!A23</f>
        <v/>
      </c>
      <c r="B2594">
        <f>Skills!B23</f>
        <v/>
      </c>
      <c r="C2594">
        <f>Inputs!$B$3&gt;=38</f>
        <v/>
      </c>
      <c r="D2594">
        <f>IF(Skills!C23=1,60+Inputs!$B$25+Inputs!$B$29,IF(Skills!C23=2,90+Inputs!$B$26+Inputs!$B$29,IF(Skills!C23=3,120+Inputs!$B$27+Inputs!$B$29,MAX(0,(Inputs!$B$3-100)*3)+Inputs!$B$28+Inputs!$B$29)))</f>
        <v/>
      </c>
      <c r="E2594">
        <f>INDEX(FactorTable!$B$2:$Y$301, MATCH(ROUND(MIN(300,MAX(1,D2594)),0), FactorTable!$A$2:$A$301,0), Skills!M23+1)</f>
        <v/>
      </c>
      <c r="F2594">
        <f>IF(Skills!N23=TRUE,(Skills!L23/10)*(E2594/1000),Skills!L23/10)+Skills!O23</f>
        <v/>
      </c>
      <c r="G2594">
        <f>Calc!G23</f>
        <v/>
      </c>
      <c r="H2594">
        <f>Calc!H23</f>
        <v/>
      </c>
      <c r="I2594">
        <f>IF(Skills!AA23&lt;&gt;"",1+(Skills!AA23/10)*(U2574/1000)/100,1)</f>
        <v/>
      </c>
      <c r="J2594" t="inlineStr"/>
      <c r="K2594" t="inlineStr"/>
      <c r="L2594" t="inlineStr"/>
      <c r="M2594" t="inlineStr"/>
      <c r="N2594" t="inlineStr"/>
      <c r="O2594">
        <f>(1-Summary!$B$11)*T2594+Summary!$B$11*V2594</f>
        <v/>
      </c>
      <c r="P2594">
        <f>IF(B2615=0,0,O2594/B2615)</f>
        <v/>
      </c>
      <c r="Q2594" t="n">
        <v>0</v>
      </c>
      <c r="R2594" t="n">
        <v>0</v>
      </c>
      <c r="S2594">
        <f>IFERROR(O2594/N2594,0)</f>
        <v/>
      </c>
      <c r="T2594" t="n">
        <v>0</v>
      </c>
      <c r="V2594" t="n">
        <v>0</v>
      </c>
    </row>
    <row r="2595">
      <c r="A2595">
        <f>Skills!A24</f>
        <v/>
      </c>
      <c r="B2595">
        <f>Skills!B24</f>
        <v/>
      </c>
      <c r="C2595">
        <f>Inputs!$B$3&gt;=40</f>
        <v/>
      </c>
      <c r="D2595">
        <f>IF(Skills!C24=1,60+Inputs!$B$25+Inputs!$B$29,IF(Skills!C24=2,90+Inputs!$B$26+Inputs!$B$29,IF(Skills!C24=3,120+Inputs!$B$27+Inputs!$B$29,MAX(0,(Inputs!$B$3-100)*3)+Inputs!$B$28+Inputs!$B$29)))</f>
        <v/>
      </c>
      <c r="E2595">
        <f>INDEX(FactorTable!$B$2:$Y$301, MATCH(ROUND(MIN(300,MAX(1,D2595)),0), FactorTable!$A$2:$A$301,0), Skills!M24+1)</f>
        <v/>
      </c>
      <c r="F2595">
        <f>IF(Skills!N24=TRUE,(Skills!L24/10)*(E2595/1000),Skills!L24/10)+Skills!O24</f>
        <v/>
      </c>
      <c r="G2595">
        <f>Calc!G24</f>
        <v/>
      </c>
      <c r="H2595">
        <f>Calc!H24</f>
        <v/>
      </c>
      <c r="I2595">
        <f>IF(Skills!AA24&lt;&gt;"",1+(Skills!AA24/10)*(U2574/1000)/100,1)</f>
        <v/>
      </c>
      <c r="J2595" t="inlineStr"/>
      <c r="K2595" t="inlineStr"/>
      <c r="L2595" t="inlineStr"/>
      <c r="M2595" t="inlineStr"/>
      <c r="N2595" t="inlineStr"/>
      <c r="O2595">
        <f>(1-Summary!$B$11)*T2595+Summary!$B$11*V2595</f>
        <v/>
      </c>
      <c r="P2595">
        <f>IF(B2615=0,0,O2595/B2615)</f>
        <v/>
      </c>
      <c r="Q2595" t="n">
        <v>0</v>
      </c>
      <c r="R2595" t="n">
        <v>0</v>
      </c>
      <c r="S2595">
        <f>IFERROR(O2595/N2595,0)</f>
        <v/>
      </c>
      <c r="T2595" t="n">
        <v>0</v>
      </c>
      <c r="V2595" t="n">
        <v>0</v>
      </c>
    </row>
    <row r="2596">
      <c r="A2596">
        <f>Skills!A25</f>
        <v/>
      </c>
      <c r="B2596">
        <f>Skills!B25</f>
        <v/>
      </c>
      <c r="C2596">
        <f>Inputs!$B$3&gt;=45</f>
        <v/>
      </c>
      <c r="D2596">
        <f>IF(Skills!C25=1,60+Inputs!$B$25+Inputs!$B$29,IF(Skills!C25=2,90+Inputs!$B$26+Inputs!$B$29,IF(Skills!C25=3,120+Inputs!$B$27+Inputs!$B$29,MAX(0,(Inputs!$B$3-100)*3)+Inputs!$B$28+Inputs!$B$29)))</f>
        <v/>
      </c>
      <c r="E2596">
        <f>INDEX(FactorTable!$B$2:$Y$301, MATCH(ROUND(MIN(300,MAX(1,D2596)),0), FactorTable!$A$2:$A$301,0), Skills!M25+1)</f>
        <v/>
      </c>
      <c r="F2596">
        <f>IF(Skills!N25=TRUE,(Skills!L25/10)*(E2596/1000),Skills!L25/10)+Skills!O25</f>
        <v/>
      </c>
      <c r="G2596">
        <f>Calc!G25</f>
        <v/>
      </c>
      <c r="H2596">
        <f>Calc!H25</f>
        <v/>
      </c>
      <c r="I2596">
        <f>IF(Skills!AA25&lt;&gt;"",1+(Skills!AA25/10)*(U2574/1000)/100,1)</f>
        <v/>
      </c>
      <c r="J2596" t="inlineStr"/>
      <c r="K2596" t="inlineStr"/>
      <c r="L2596" t="inlineStr"/>
      <c r="M2596" t="inlineStr"/>
      <c r="N2596" t="inlineStr"/>
      <c r="O2596">
        <f>(1-Summary!$B$11)*T2596+Summary!$B$11*V2596</f>
        <v/>
      </c>
      <c r="P2596">
        <f>IF(B2615=0,0,O2596/B2615)</f>
        <v/>
      </c>
      <c r="Q2596" t="n">
        <v>0</v>
      </c>
      <c r="R2596" t="n">
        <v>0</v>
      </c>
      <c r="S2596">
        <f>IFERROR(O2596/N2596,0)</f>
        <v/>
      </c>
      <c r="T2596" t="n">
        <v>0</v>
      </c>
      <c r="V2596" t="n">
        <v>0</v>
      </c>
    </row>
    <row r="2597">
      <c r="A2597">
        <f>Skills!A26</f>
        <v/>
      </c>
      <c r="B2597">
        <f>Skills!B26</f>
        <v/>
      </c>
      <c r="C2597">
        <f>Inputs!$B$3&gt;=45</f>
        <v/>
      </c>
      <c r="D2597">
        <f>IF(Skills!C26=1,60+Inputs!$B$25+Inputs!$B$29,IF(Skills!C26=2,90+Inputs!$B$26+Inputs!$B$29,IF(Skills!C26=3,120+Inputs!$B$27+Inputs!$B$29,MAX(0,(Inputs!$B$3-100)*3)+Inputs!$B$28+Inputs!$B$29)))</f>
        <v/>
      </c>
      <c r="E2597">
        <f>INDEX(FactorTable!$B$2:$Y$301, MATCH(ROUND(MIN(300,MAX(1,D2597)),0), FactorTable!$A$2:$A$301,0), Skills!M26+1)</f>
        <v/>
      </c>
      <c r="F2597">
        <f>IF(Skills!N26=TRUE,(Skills!L26/10)*(E2597/1000),Skills!L26/10)+Skills!O26</f>
        <v/>
      </c>
      <c r="G2597">
        <f>Calc!G26</f>
        <v/>
      </c>
      <c r="H2597">
        <f>Calc!H26</f>
        <v/>
      </c>
      <c r="I2597">
        <f>IF(Skills!AA26&lt;&gt;"",1+(Skills!AA26/10)*(U2574/1000)/100,1)</f>
        <v/>
      </c>
      <c r="J2597" t="inlineStr"/>
      <c r="K2597" t="inlineStr"/>
      <c r="L2597" t="inlineStr"/>
      <c r="M2597" t="inlineStr"/>
      <c r="N2597" t="inlineStr"/>
      <c r="O2597">
        <f>(1-Summary!$B$11)*T2597+Summary!$B$11*V2597</f>
        <v/>
      </c>
      <c r="P2597">
        <f>IF(B2615=0,0,O2597/B2615)</f>
        <v/>
      </c>
      <c r="Q2597" t="n">
        <v>0</v>
      </c>
      <c r="R2597" t="n">
        <v>0</v>
      </c>
      <c r="S2597">
        <f>IFERROR(O2597/N2597,0)</f>
        <v/>
      </c>
      <c r="T2597" t="n">
        <v>0</v>
      </c>
      <c r="V2597" t="n">
        <v>0</v>
      </c>
    </row>
    <row r="2598">
      <c r="A2598">
        <f>Skills!A27</f>
        <v/>
      </c>
      <c r="B2598">
        <f>Skills!B27</f>
        <v/>
      </c>
      <c r="C2598">
        <f>Inputs!$B$3&gt;=72</f>
        <v/>
      </c>
      <c r="D2598">
        <f>IF(Skills!C27=1,60+Inputs!$B$25+Inputs!$B$29,IF(Skills!C27=2,90+Inputs!$B$26+Inputs!$B$29,IF(Skills!C27=3,120+Inputs!$B$27+Inputs!$B$29,MAX(0,(Inputs!$B$3-100)*3)+Inputs!$B$28+Inputs!$B$29)))</f>
        <v/>
      </c>
      <c r="E2598">
        <f>INDEX(FactorTable!$B$2:$Y$301, MATCH(ROUND(MIN(300,MAX(1,D2598)),0), FactorTable!$A$2:$A$301,0), Skills!M27+1)</f>
        <v/>
      </c>
      <c r="F2598">
        <f>IF(Skills!N27=TRUE,(Skills!L27/10)*(E2598/1000),Skills!L27/10)+Skills!O27</f>
        <v/>
      </c>
      <c r="G2598">
        <f>Calc!G27</f>
        <v/>
      </c>
      <c r="H2598">
        <f>Calc!H27</f>
        <v/>
      </c>
      <c r="I2598">
        <f>IF(Skills!AA27&lt;&gt;"",1+(Skills!AA27/10)*(U2574/1000)/100,1)</f>
        <v/>
      </c>
      <c r="J2598" t="inlineStr"/>
      <c r="K2598" t="inlineStr"/>
      <c r="L2598" t="inlineStr"/>
      <c r="M2598" t="inlineStr"/>
      <c r="N2598" t="inlineStr"/>
      <c r="O2598">
        <f>(1-Summary!$B$11)*T2598+Summary!$B$11*V2598</f>
        <v/>
      </c>
      <c r="P2598">
        <f>IF(B2615=0,0,O2598/B2615)</f>
        <v/>
      </c>
      <c r="Q2598" t="n">
        <v>0</v>
      </c>
      <c r="R2598" t="n">
        <v>0</v>
      </c>
      <c r="S2598">
        <f>IFERROR(O2598/N2598,0)</f>
        <v/>
      </c>
      <c r="T2598" t="n">
        <v>0</v>
      </c>
      <c r="V2598" t="n">
        <v>0</v>
      </c>
    </row>
    <row r="2599">
      <c r="A2599">
        <f>Skills!A28</f>
        <v/>
      </c>
      <c r="B2599">
        <f>Skills!B28</f>
        <v/>
      </c>
      <c r="C2599">
        <f>Inputs!$B$3&gt;=75</f>
        <v/>
      </c>
      <c r="D2599">
        <f>IF(Skills!C28=1,60+Inputs!$B$25+Inputs!$B$29,IF(Skills!C28=2,90+Inputs!$B$26+Inputs!$B$29,IF(Skills!C28=3,120+Inputs!$B$27+Inputs!$B$29,MAX(0,(Inputs!$B$3-100)*3)+Inputs!$B$28+Inputs!$B$29)))</f>
        <v/>
      </c>
      <c r="E2599">
        <f>INDEX(FactorTable!$B$2:$Y$301, MATCH(ROUND(MIN(300,MAX(1,D2599)),0), FactorTable!$A$2:$A$301,0), Skills!M28+1)</f>
        <v/>
      </c>
      <c r="F2599">
        <f>IF(Skills!N28=TRUE,(Skills!L28/10)*(E2599/1000),Skills!L28/10)+Skills!O28</f>
        <v/>
      </c>
      <c r="G2599">
        <f>Calc!G28</f>
        <v/>
      </c>
      <c r="H2599">
        <f>Calc!H28</f>
        <v/>
      </c>
      <c r="I2599">
        <f>IF(Skills!AA28&lt;&gt;"",1+(Skills!AA28/10)*(U2574/1000)/100,1)</f>
        <v/>
      </c>
      <c r="J2599" t="inlineStr"/>
      <c r="K2599" t="inlineStr"/>
      <c r="L2599" t="inlineStr"/>
      <c r="M2599" t="inlineStr"/>
      <c r="N2599" t="inlineStr"/>
      <c r="O2599">
        <f>(1-Summary!$B$11)*T2599+Summary!$B$11*V2599</f>
        <v/>
      </c>
      <c r="P2599">
        <f>IF(B2615=0,0,O2599/B2615)</f>
        <v/>
      </c>
      <c r="Q2599" t="n">
        <v>0</v>
      </c>
      <c r="R2599" t="n">
        <v>0</v>
      </c>
      <c r="S2599">
        <f>IFERROR(O2599/N2599,0)</f>
        <v/>
      </c>
      <c r="T2599" t="n">
        <v>0</v>
      </c>
      <c r="V2599" t="n">
        <v>0</v>
      </c>
    </row>
    <row r="2600">
      <c r="A2600">
        <f>Skills!A29</f>
        <v/>
      </c>
      <c r="B2600">
        <f>Skills!B29</f>
        <v/>
      </c>
      <c r="C2600">
        <f>Inputs!$B$3&gt;=120</f>
        <v/>
      </c>
      <c r="D2600">
        <f>IF(Skills!C29=1,60+Inputs!$B$25+Inputs!$B$29,IF(Skills!C29=2,90+Inputs!$B$26+Inputs!$B$29,IF(Skills!C29=3,120+Inputs!$B$27+Inputs!$B$29,MAX(0,(Inputs!$B$3-100)*3)+Inputs!$B$28+Inputs!$B$29)))</f>
        <v/>
      </c>
      <c r="E2600">
        <f>INDEX(FactorTable!$B$2:$Y$301, MATCH(ROUND(MIN(300,MAX(1,D2600)),0), FactorTable!$A$2:$A$301,0), Skills!M29+1)</f>
        <v/>
      </c>
      <c r="F2600">
        <f>IF(Skills!N29=TRUE,(Skills!L29/10)*(E2600/1000),Skills!L29/10)+Skills!O29</f>
        <v/>
      </c>
      <c r="G2600">
        <f>Calc!G29</f>
        <v/>
      </c>
      <c r="H2600">
        <f>Calc!H29</f>
        <v/>
      </c>
      <c r="I2600">
        <f>IF(Skills!AA29&lt;&gt;"",1+(Skills!AA29/10)*(U2574/1000)/100,1)</f>
        <v/>
      </c>
      <c r="J2600" t="inlineStr"/>
      <c r="K2600" t="inlineStr"/>
      <c r="L2600" t="inlineStr"/>
      <c r="M2600" t="inlineStr"/>
      <c r="N2600" t="inlineStr"/>
      <c r="O2600">
        <f>(1-Summary!$B$11)*T2600+Summary!$B$11*V2600</f>
        <v/>
      </c>
      <c r="P2600">
        <f>IF(B2615=0,0,O2600/B2615)</f>
        <v/>
      </c>
      <c r="Q2600" t="n">
        <v>0</v>
      </c>
      <c r="R2600" t="n">
        <v>0</v>
      </c>
      <c r="S2600">
        <f>IFERROR(O2600/N2600,0)</f>
        <v/>
      </c>
      <c r="T2600" t="n">
        <v>0</v>
      </c>
      <c r="V2600" t="n">
        <v>0</v>
      </c>
    </row>
    <row r="2601">
      <c r="A2601">
        <f>Skills!A30</f>
        <v/>
      </c>
      <c r="B2601">
        <f>Skills!B30</f>
        <v/>
      </c>
      <c r="C2601">
        <f>Inputs!$B$3&gt;=125</f>
        <v/>
      </c>
      <c r="D2601">
        <f>IF(Skills!C30=1,60+Inputs!$B$25+Inputs!$B$29,IF(Skills!C30=2,90+Inputs!$B$26+Inputs!$B$29,IF(Skills!C30=3,120+Inputs!$B$27+Inputs!$B$29,MAX(0,(Inputs!$B$3-100)*3)+Inputs!$B$28+Inputs!$B$29)))</f>
        <v/>
      </c>
      <c r="E2601">
        <f>INDEX(FactorTable!$B$2:$Y$301, MATCH(ROUND(MIN(300,MAX(1,D2601)),0), FactorTable!$A$2:$A$301,0), Skills!M30+1)</f>
        <v/>
      </c>
      <c r="F2601">
        <f>IF(Skills!N30=TRUE,(Skills!L30/10)*(E2601/1000),Skills!L30/10)+Skills!O30</f>
        <v/>
      </c>
      <c r="G2601">
        <f>Calc!G30</f>
        <v/>
      </c>
      <c r="H2601">
        <f>Calc!H30</f>
        <v/>
      </c>
      <c r="I2601">
        <f>IF(Skills!AA30&lt;&gt;"",1+(Skills!AA30/10)*(U2574/1000)/100,1)</f>
        <v/>
      </c>
      <c r="J2601" t="inlineStr"/>
      <c r="K2601" t="inlineStr"/>
      <c r="L2601" t="inlineStr"/>
      <c r="M2601" t="inlineStr"/>
      <c r="N2601" t="inlineStr"/>
      <c r="O2601">
        <f>(1-Summary!$B$11)*T2601+Summary!$B$11*V2601</f>
        <v/>
      </c>
      <c r="P2601">
        <f>IF(B2615=0,0,O2601/B2615)</f>
        <v/>
      </c>
      <c r="Q2601" t="n">
        <v>0</v>
      </c>
      <c r="R2601" t="n">
        <v>0</v>
      </c>
      <c r="S2601">
        <f>IFERROR(O2601/N2601,0)</f>
        <v/>
      </c>
      <c r="T2601" t="n">
        <v>0</v>
      </c>
      <c r="V2601" t="n">
        <v>0</v>
      </c>
    </row>
    <row r="2602">
      <c r="A2602">
        <f>Skills!A31</f>
        <v/>
      </c>
      <c r="B2602">
        <f>Skills!B31</f>
        <v/>
      </c>
      <c r="C2602">
        <f>Inputs!$B$3&gt;=107</f>
        <v/>
      </c>
      <c r="D2602">
        <f>IF(Skills!C31=1,60+Inputs!$B$25+Inputs!$B$29,IF(Skills!C31=2,90+Inputs!$B$26+Inputs!$B$29,IF(Skills!C31=3,120+Inputs!$B$27+Inputs!$B$29,MAX(0,(Inputs!$B$3-100)*3)+Inputs!$B$28+Inputs!$B$29)))</f>
        <v/>
      </c>
      <c r="E2602">
        <f>INDEX(FactorTable!$B$2:$Y$301, MATCH(ROUND(MIN(300,MAX(1,D2602)),0), FactorTable!$A$2:$A$301,0), Skills!M31+1)</f>
        <v/>
      </c>
      <c r="F2602">
        <f>IF(Skills!N31=TRUE,(Skills!L31/10)*(E2602/1000),Skills!L31/10)+Skills!O31</f>
        <v/>
      </c>
      <c r="G2602">
        <f>Calc!G31</f>
        <v/>
      </c>
      <c r="H2602">
        <f>Calc!H31</f>
        <v/>
      </c>
      <c r="I2602">
        <f>IF(Skills!AA31&lt;&gt;"",1+(Skills!AA31/10)*(U2574/1000)/100,1)</f>
        <v/>
      </c>
      <c r="J2602" t="inlineStr"/>
      <c r="K2602" t="inlineStr"/>
      <c r="L2602" t="inlineStr"/>
      <c r="M2602" t="inlineStr"/>
      <c r="N2602" t="inlineStr"/>
      <c r="O2602">
        <f>(1-Summary!$B$11)*T2602+Summary!$B$11*V2602</f>
        <v/>
      </c>
      <c r="P2602">
        <f>IF(B2615=0,0,O2602/B2615)</f>
        <v/>
      </c>
      <c r="Q2602" t="n">
        <v>0</v>
      </c>
      <c r="R2602" t="n">
        <v>0</v>
      </c>
      <c r="S2602">
        <f>IFERROR(O2602/N2602,0)</f>
        <v/>
      </c>
      <c r="T2602" t="n">
        <v>0</v>
      </c>
      <c r="V2602" t="n">
        <v>0</v>
      </c>
    </row>
    <row r="2604">
      <c r="A2604" t="inlineStr">
        <is>
          <t>Actions Per Second (pre-Adrenalin)</t>
        </is>
      </c>
      <c r="B2604">
        <f>1+MIN(150,150*(1-(1-(Inputs!$B$11+((C2593=TRUE)*(F2593-Calc!F22))+(ArtifactsInput!$M$15-ArtifactsInput!$M$15)*CHOOSE(ArtifactsInput!$N$15+1,8,9.6,11.2,12.8,14.4,16))/150)*(1-((C2590=TRUE)*F2590*IF(AND(Inputs!$B$39&lt;&gt;"pvp",Inputs!$B$44&gt;0),(((R2590-1)*(Skills!Y19*(1+Inputs!$B$34/100))+MIN((Skills!Y19*(1+Inputs!$B$34/100)),MAX(0,Inputs!$B$44-((R2590-1)*Skills!D19))))/Inputs!$B$44),IF(Inputs!$B$39="pvp",MIN((Skills!Y19*(1+Inputs!$B$34/100)),15)/15,(Skills!Y19*(1+Inputs!$B$34/100))/Skills!D19)))/150)))/100</f>
        <v/>
      </c>
    </row>
    <row r="2605">
      <c r="A2605" t="inlineStr">
        <is>
          <t>Alchemic Adrenaline Uptime</t>
        </is>
      </c>
      <c r="B2605">
        <f>(Skills!Y6*(1+Inputs!$B$34/100))/((Skills!Y6*(1+Inputs!$B$34/100))+(5/B2604))</f>
        <v/>
      </c>
    </row>
    <row r="2606">
      <c r="A2606" t="inlineStr">
        <is>
          <t>Attack Speed Buff Bonus %</t>
        </is>
      </c>
      <c r="B2606">
        <f>((C2590=TRUE)*F2590*IF(AND(Inputs!$B$39&lt;&gt;"pvp",Inputs!$B$44&gt;0),(((R2590-1)*(Skills!Y19*(1+Inputs!$B$34/100))+MIN((Skills!Y19*(1+Inputs!$B$34/100)),MAX(0,Inputs!$B$44-((R2590-1)*Skills!D19))))/Inputs!$B$44),IF(Inputs!$B$39="pvp",MIN((Skills!Y19*(1+Inputs!$B$34/100)),15)/15,(Skills!Y19*(1+Inputs!$B$34/100))/Skills!D19)))+((C2578=TRUE)*F2578*B2605)</f>
        <v/>
      </c>
    </row>
    <row r="2607">
      <c r="A2607" t="inlineStr">
        <is>
          <t>Actions Per Second (final)</t>
        </is>
      </c>
      <c r="B2607">
        <f>1+MIN(150,150*(1-(1-(Inputs!$B$11+((C2593=TRUE)*(F2593-Calc!F22))+(ArtifactsInput!$M$15-ArtifactsInput!$M$15)*CHOOSE(ArtifactsInput!$N$15+1,8,9.6,11.2,12.8,14.4,16))/150)*(1-B2606/150)))/100</f>
        <v/>
      </c>
    </row>
    <row r="2608">
      <c r="A2608" t="inlineStr">
        <is>
          <t>Skill + Buff Cast Rate</t>
        </is>
      </c>
      <c r="B2608">
        <f>IF(AND(Inputs!$B$39&lt;&gt;"pvp",Inputs!$B$44&gt;0),SUMPRODUCT((Skills!E2:E31=TRUE)*(C2573:C2602=TRUE)*R2573:R2602*Skills!F2:F31)/Inputs!$B$44,SUMPRODUCT((Skills!E2:E31=TRUE)*(C2573:C2602=TRUE)*Q2573:Q2602*Skills!F2:F31))</f>
        <v/>
      </c>
    </row>
    <row r="2609">
      <c r="A2609" t="inlineStr">
        <is>
          <t>Showdown Casts Per Second</t>
        </is>
      </c>
      <c r="B2609">
        <f>MAX(0,B2607-B2608)</f>
        <v/>
      </c>
    </row>
    <row r="2610">
      <c r="A2610" t="inlineStr">
        <is>
          <t>Average Buff Multiplier</t>
        </is>
      </c>
      <c r="B2610">
        <f>(1+(((C2592=TRUE)*F2592*IF(AND(Inputs!$B$39&lt;&gt;"pvp",Inputs!$B$44&gt;0),(((R2592-1)*(Skills!Y21*(1+Inputs!$B$34/100))+MIN((Skills!Y21*(1+Inputs!$B$34/100)),MAX(0,Inputs!$B$44-((R2592-1)*Skills!D21))))/Inputs!$B$44),IF(Inputs!$B$39="pvp",MIN((Skills!Y21*(1+Inputs!$B$34/100)),15)/15,(Skills!Y21*(1+Inputs!$B$34/100))/Skills!D21)))+((C2599=TRUE)*(F2599-Calc!F28))+((C2589=TRUE)*(F2589-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2586=TRUE)*F2586*IF(AND(Inputs!$B$39&lt;&gt;"pvp",Inputs!$B$44&gt;0),(((R2586-1)*(Skills!Y15*(1+Inputs!$B$34/100))+MIN((Skills!Y15*(1+Inputs!$B$34/100)),MAX(0,Inputs!$B$44-((R2586-1)*Skills!D15))))/Inputs!$B$44),IF(Inputs!$B$39="pvp",MIN((Skills!Y15*(1+Inputs!$B$34/100)),15)/15,(Skills!Y15*(1+Inputs!$B$34/100))/Skills!D15)))/100)*(1+((C2577=TRUE)*F2577*B2605)/100)</f>
        <v/>
      </c>
    </row>
    <row r="2611">
      <c r="A2611" t="inlineStr">
        <is>
          <t>Global Crit Rate Bonus %</t>
        </is>
      </c>
      <c r="B2611">
        <f>IF(Inputs!$B$3&gt;=47,8,0)+((C2591=TRUE)*F2591*IF(AND(Inputs!$B$39&lt;&gt;"pvp",Inputs!$B$44&gt;0),(((R2591-1)*(Skills!Y20*(1+Inputs!$B$34/100))+MIN((Skills!Y20*(1+Inputs!$B$34/100)),MAX(0,Inputs!$B$44-((R2591-1)*Skills!D20))))/Inputs!$B$44),IF(Inputs!$B$39="pvp",MIN((Skills!Y20*(1+Inputs!$B$34/100)),15)/15,(Skills!Y20*(1+Inputs!$B$34/100))/Skills!D20)))</f>
        <v/>
      </c>
    </row>
    <row r="2612">
      <c r="A2612" t="inlineStr">
        <is>
          <t>Global Monster Damage-Taken Bonus %</t>
        </is>
      </c>
      <c r="B2612">
        <f>IF(Inputs!$B$3&gt;=82,15,0)+((C2587=TRUE)*F2587*IF(AND(Inputs!$B$39&lt;&gt;"pvp",Inputs!$B$44&gt;0),(((R2587-1)*(Skills!Y16*(1+Inputs!$B$34/100))+MIN((Skills!Y16*(1+Inputs!$B$34/100)),MAX(0,Inputs!$B$44-((R2587-1)*Skills!D16))))/Inputs!$B$44),IF(Inputs!$B$39="pvp",MIN((Skills!Y16*(1+Inputs!$B$34/100)),15)/15,(Skills!Y16*(1+Inputs!$B$34/100))/Skills!D16)))</f>
        <v/>
      </c>
    </row>
    <row r="2613">
      <c r="A2613" t="inlineStr">
        <is>
          <t>Shadow Partner Average Multiplier</t>
        </is>
      </c>
      <c r="B2613">
        <f>1+((C2582=TRUE)*F2582*I2582*Skills!J11/100)/100</f>
        <v/>
      </c>
    </row>
    <row r="2614">
      <c r="A2614" t="inlineStr">
        <is>
          <t>Global Critical Damage Bonus % (Frailty Curse Mastery Lv.111)</t>
        </is>
      </c>
      <c r="B2614">
        <f>IF(Inputs!$B$3&gt;=111,30,0)*IF(AND(Inputs!$B$39&lt;&gt;"pvp",Inputs!$B$44&gt;0),(((R2587-1)*(Skills!Y16*(1+Inputs!$B$34/100))+MIN((Skills!Y16*(1+Inputs!$B$34/100)),MAX(0,Inputs!$B$44-((R2587-1)*Skills!D16))))/Inputs!$B$44),IF(Inputs!$B$39="pvp",MIN((Skills!Y16*(1+Inputs!$B$34/100)),15)/15,(Skills!Y16*(1+Inputs!$B$34/100))/Skills!D16))</f>
        <v/>
      </c>
    </row>
    <row r="2615">
      <c r="A2615" s="6" t="inlineStr">
        <is>
          <t>TOTAL DPS</t>
        </is>
      </c>
      <c r="B2615" s="6">
        <f>SUM(O2573:O2602)</f>
        <v/>
      </c>
    </row>
    <row r="2616">
      <c r="A2616" t="inlineStr">
        <is>
          <t>Buff-Casting Startup Delay (s, fixed-duration only)</t>
        </is>
      </c>
      <c r="B2616">
        <f>IF(AND(Inputs!$B$39&lt;&gt;"pvp",Inputs!$B$44&gt;0),SUMPRODUCT((Skills!Y2:Y31&gt;0)*(Skills!E2:E31=TRUE)*(C2573:C2602=TRUE))/B2607,0)</f>
        <v/>
      </c>
    </row>
    <row r="2617">
      <c r="A2617" t="inlineStr">
        <is>
          <t>Boss-Only Total DPS (this block's swept value)</t>
        </is>
      </c>
      <c r="B2617">
        <f>SUM(T2573:T2602)</f>
        <v/>
      </c>
    </row>
    <row r="2618">
      <c r="A2618" t="inlineStr">
        <is>
          <t>Normal-Only Total DPS (this block's swept value)</t>
        </is>
      </c>
      <c r="B2618">
        <f>SUM(V2573:V2602)</f>
        <v/>
      </c>
    </row>
    <row r="2620">
      <c r="A2620" s="6" t="inlineStr">
        <is>
          <t>Stat: Flaming Lava (Equip)</t>
        </is>
      </c>
    </row>
    <row r="2621">
      <c r="A2621" s="5" t="inlineStr">
        <is>
          <t>Key</t>
        </is>
      </c>
      <c r="B2621" s="5" t="inlineStr">
        <is>
          <t>Name</t>
        </is>
      </c>
      <c r="C2621" s="5" t="inlineStr">
        <is>
          <t>Unlocked</t>
        </is>
      </c>
      <c r="D2621" s="5" t="inlineStr">
        <is>
          <t>InputLevel</t>
        </is>
      </c>
      <c r="E2621" s="5" t="inlineStr">
        <is>
          <t>Factor</t>
        </is>
      </c>
      <c r="F2621" s="5" t="inlineStr">
        <is>
          <t>CoefficientPercent</t>
        </is>
      </c>
      <c r="G2621" s="5" t="inlineStr">
        <is>
          <t>EffectiveHits</t>
        </is>
      </c>
      <c r="H2621" s="5" t="inlineStr">
        <is>
          <t>ProcProbability</t>
        </is>
      </c>
      <c r="I2621" s="5" t="inlineStr">
        <is>
          <t>MapleHeroMultiplier</t>
        </is>
      </c>
      <c r="J2621" s="5" t="inlineStr">
        <is>
          <t>BaseDamage</t>
        </is>
      </c>
      <c r="K2621" s="5" t="inlineStr">
        <is>
          <t>BaseHitDamage</t>
        </is>
      </c>
      <c r="L2621" s="5" t="inlineStr">
        <is>
          <t>NonCritAvg</t>
        </is>
      </c>
      <c r="M2621" s="5" t="inlineStr">
        <is>
          <t>CritAvg</t>
        </is>
      </c>
      <c r="N2621" s="5" t="inlineStr">
        <is>
          <t>ExpectedDamage(perHit)</t>
        </is>
      </c>
      <c r="O2621" s="5" t="inlineStr">
        <is>
          <t>DPS</t>
        </is>
      </c>
      <c r="P2621" s="5" t="inlineStr">
        <is>
          <t>% of Total</t>
        </is>
      </c>
      <c r="Q2621" s="5" t="inlineStr">
        <is>
          <t>InvCooldown</t>
        </is>
      </c>
      <c r="R2621" s="5" t="inlineStr">
        <is>
          <t>CastsInFight</t>
        </is>
      </c>
      <c r="S2621" s="5" t="inlineStr">
        <is>
          <t>HitRate(perSec)</t>
        </is>
      </c>
      <c r="U2621" t="inlineStr">
        <is>
          <t>helpers</t>
        </is>
      </c>
    </row>
    <row r="2622">
      <c r="A2622">
        <f>Skills!A2</f>
        <v/>
      </c>
      <c r="B2622">
        <f>Skills!B2</f>
        <v/>
      </c>
      <c r="C2622">
        <f>Inputs!$B$3&gt;=100</f>
        <v/>
      </c>
      <c r="D2622" t="inlineStr"/>
      <c r="E2622" t="inlineStr"/>
      <c r="F2622">
        <f>U2626+Skills!O2</f>
        <v/>
      </c>
      <c r="G2622">
        <f>Calc!G2</f>
        <v/>
      </c>
      <c r="H2622">
        <f>Calc!H2</f>
        <v/>
      </c>
      <c r="I2622">
        <f>IF(Skills!AA2&lt;&gt;"",1+(Skills!AA2/10)*(U2623/1000)/100,1)</f>
        <v/>
      </c>
      <c r="J2622">
        <f>((Inputs!$B$6*(1+Inputs!$B$7/100))+(((Inputs!$B$12*(1+Inputs!$B$13/100))-(Inputs!$B$12*(1+Inputs!$B$13/100)))+0.25*(Inputs!$B$14-Inputs!$B$14))*(1+Inputs!$B$7/100))*(F2622/100)</f>
        <v/>
      </c>
      <c r="K2622">
        <f>J2622*(1+((Inputs!$B$12*(1+Inputs!$B$13/100))*0.01+Inputs!$B$14*0.0025)/100)*(1+Inputs!$B$15/100)*(1+Inputs!$B$16/100)*(5000/(6000+Inputs!$B$43*(1-(100*(1-(1-(Inputs!$B$19+0)/100)*(1-CHOOSE(ArtifactsInput!$N$40+1,5,6,7,8,9,10)/100)^(ArtifactsInput!$M$40-ArtifactsInput!$M$40)))/100)))*(1+(Inputs!$B$24+((C2650=TRUE)*(F2650-Calc!F30)))/100)*(1+Skills!R2/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2643=TRUE)*(F2643-Calc!F23))+(((IF(AND(ArtifactsInput!$M$42,((Inputs!$B$9+((C2645=TRUE)*(F2645-Calc!F25))+B2660+(ArtifactsInput!$M$24-ArtifactsInput!$M$24)*CHOOSE(ArtifactsInput!$N$24+1,10,12,14,16,18,20)+IF(ArtifactsInput!$M$10,CHOOSE(ArtifactsInput!$N$10+1,15,18,21,24,27,30)*(IF(Inputs!$B$39="pvp",MIN(15,15)/15,IF(AND(Inputs!$B$39&lt;&gt;"pvp",Inputs!$B$44&gt;0),MIN(15,Inputs!$B$44)/(Inputs!$B$44),0))),0)))&gt;=100),MIN(100,((Inputs!$B$9+((C2645=TRUE)*(F2645-Calc!F25))+B2660+(ArtifactsInput!$M$24-ArtifactsInput!$M$24)*CHOOSE(ArtifactsInput!$N$24+1,10,12,14,16,18,20)+IF(ArtifactsInput!$M$10,CHOOSE(ArtifactsInput!$N$10+1,15,18,21,24,27,30)*(IF(Inputs!$B$39="pvp",MIN(15,15)/15,IF(AND(Inputs!$B$39&lt;&gt;"pvp",Inputs!$B$44&gt;0),MIN(15,Inputs!$B$44)/(Inputs!$B$44),0))),0)))-100),0))*CHOOSE(ArtifactsInput!$N$42+1,0.6,0.72,0.84,0.96,1.08,1.2))),Inputs!$B$18+((C2649=TRUE)*(F2649-Calc!F29))+(IF(AND(ArtifactsInput!$M$42,((Inputs!$B$9+((C2645=TRUE)*(F2645-Calc!F25))+B2660+(ArtifactsInput!$M$24-ArtifactsInput!$M$24)*CHOOSE(ArtifactsInput!$N$24+1,10,12,14,16,18,20)+IF(ArtifactsInput!$M$10,CHOOSE(ArtifactsInput!$N$10+1,15,18,21,24,27,30)*(IF(Inputs!$B$39="pvp",MIN(15,15)/15,IF(AND(Inputs!$B$39&lt;&gt;"pvp",Inputs!$B$44&gt;0),MIN(15,Inputs!$B$44)/(Inputs!$B$44),0))),0)))&gt;=100),CHOOSE(ArtifactsInput!$N$42+1,40,48,56,64,72,80),0))))/100)*(((1+(((C2641=TRUE)*F2641*IF(AND(Inputs!$B$39&lt;&gt;"pvp",Inputs!$B$44&gt;0),(((R2641-1)*(Skills!Y21*(1+Inputs!$B$34/100))+MIN((Skills!Y21*(1+Inputs!$B$34/100)),MAX(0,Inputs!$B$44-((R2641-1)*Skills!D21))))/Inputs!$B$44),IF(Inputs!$B$39="pvp",MIN((Skills!Y21*(1+Inputs!$B$34/100)),15)/15,(Skills!Y21*(1+Inputs!$B$34/100))/Skills!D21)))+((C2648=TRUE)*(F2648-Calc!F28))+((C2638=TRUE)*(F2638-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2635=TRUE)*F2635*IF(AND(Inputs!$B$39&lt;&gt;"pvp",Inputs!$B$44&gt;0),(((R2635-1)*(Skills!Y15*(1+Inputs!$B$34/100))+MIN((Skills!Y15*(1+Inputs!$B$34/100)),MAX(0,Inputs!$B$44-((R2635-1)*Skills!D15))))/Inputs!$B$44),IF(Inputs!$B$39="pvp",MIN((Skills!Y15*(1+Inputs!$B$34/100)),15)/15,(Skills!Y15*(1+Inputs!$B$34/100))/Skills!D15)))/100)*(1+((C2626=TRUE)*F2626*B2654)/100))*B2662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2622)</f>
        <v/>
      </c>
      <c r="L2622">
        <f>K2622*(MIN(Inputs!$B$22+((C2644=TRUE)*(F2644-Calc!F24)),(Inputs!$B$23+0+(IF(ArtifactsInput!$M$15,CHOOSE(ArtifactsInput!$N$15+1,25,30,35,40,45,50)/100*(Inputs!$B$11-Inputs!$B$11),0))))/100+(Inputs!$B$23+0+(IF(ArtifactsInput!$M$15,CHOOSE(ArtifactsInput!$N$15+1,25,30,35,40,45,50)/100*(Inputs!$B$11-Inputs!$B$11),0)))/100)/2</f>
        <v/>
      </c>
      <c r="M2622">
        <f>L2622*(1+(Inputs!$B$10+((C2646=TRUE)*(F2646-Calc!F26))+B2663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22">
        <f>L2622*(1-MIN((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2622*(MIN((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22">
        <f>(1-Summary!$B$11)*T2622+Summary!$B$11*V2622</f>
        <v/>
      </c>
      <c r="P2622">
        <f>IF(B2664=0,0,O2622/B2664)</f>
        <v/>
      </c>
      <c r="Q2622" t="n">
        <v>0</v>
      </c>
      <c r="R2622" t="n">
        <v>0</v>
      </c>
      <c r="S2622">
        <f>IFERROR(O2622/N2622,0)</f>
        <v/>
      </c>
      <c r="T2622">
        <f>IF(C2622,(Skills!G2*N2622*B2658)*IF(Inputs!$B$39="pvp",1,1+(Inputs!$B$20+((C2647=TRUE)*(F2647-Calc!F27))+Skills!P2+B2661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2622*(1-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2622*(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2622*(1-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2622*(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22">
        <f>MAX(0,(Inputs!$B$3-100)*3)+Inputs!$B$28+Inputs!$B$29</f>
        <v/>
      </c>
      <c r="V2622">
        <f>IF(C2622,(Skills!G2*N2622*B2658)*IF(Inputs!$B$39="pvp",1,(1+(Inputs!$B$21+Skills!Q2+B2661+(IF(ArtifactsInput!$M$33,CHOOSE(ArtifactsInput!$N$33+1,30,36,42,48,54,60),0))+(IF(AND(ArtifactsInput!$M$35,Inputs!$B$4&lt;&gt;"Chapter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23">
      <c r="A2623">
        <f>Skills!A3</f>
        <v/>
      </c>
      <c r="B2623">
        <f>Skills!B3</f>
        <v/>
      </c>
      <c r="C2623">
        <f>Inputs!$B$3&gt;=35</f>
        <v/>
      </c>
      <c r="D2623">
        <f>IF(Skills!C3=1,60+Inputs!$B$25+Inputs!$B$29,IF(Skills!C3=2,90+Inputs!$B$26+Inputs!$B$29,IF(Skills!C3=3,120+Inputs!$B$27+Inputs!$B$29,MAX(0,(Inputs!$B$3-100)*3)+Inputs!$B$28+Inputs!$B$29)))</f>
        <v/>
      </c>
      <c r="E2623">
        <f>INDEX(FactorTable!$B$2:$Y$301, MATCH(ROUND(MIN(300,MAX(1,D2623)),0), FactorTable!$A$2:$A$301,0), Skills!M3+1)</f>
        <v/>
      </c>
      <c r="F2623">
        <f>IF(Skills!N3=TRUE,(Skills!L3/10)*(E2623/1000),Skills!L3/10)+Skills!O3</f>
        <v/>
      </c>
      <c r="G2623">
        <f>Calc!G3</f>
        <v/>
      </c>
      <c r="H2623">
        <f>Calc!H3</f>
        <v/>
      </c>
      <c r="I2623">
        <f>IF(Skills!AA3&lt;&gt;"",1+(Skills!AA3/10)*(U2623/1000)/100,1)</f>
        <v/>
      </c>
      <c r="J2623">
        <f>((Inputs!$B$6*(1+Inputs!$B$7/100))+(((Inputs!$B$12*(1+Inputs!$B$13/100))-(Inputs!$B$12*(1+Inputs!$B$13/100)))+0.25*(Inputs!$B$14-Inputs!$B$14))*(1+Inputs!$B$7/100))*(F2623/100)</f>
        <v/>
      </c>
      <c r="K2623">
        <f>J2623*(1+((Inputs!$B$12*(1+Inputs!$B$13/100))*0.01+Inputs!$B$14*0.0025)/100)*(1+Inputs!$B$15/100)*(1+Inputs!$B$16/100)*(5000/(6000+Inputs!$B$43*(1-(100*(1-(1-(Inputs!$B$19+0)/100)*(1-CHOOSE(ArtifactsInput!$N$40+1,5,6,7,8,9,10)/100)^(ArtifactsInput!$M$40-ArtifactsInput!$M$40)))/100)))*(1+(Inputs!$B$24+((C2650=TRUE)*(F2650-Calc!F30)))/100)*(1+Skills!R3/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2643=TRUE)*(F2643-Calc!F23))+(((IF(AND(ArtifactsInput!$M$42,((Inputs!$B$9+((C2645=TRUE)*(F2645-Calc!F25))+B2660+(ArtifactsInput!$M$24-ArtifactsInput!$M$24)*CHOOSE(ArtifactsInput!$N$24+1,10,12,14,16,18,20)+IF(ArtifactsInput!$M$10,CHOOSE(ArtifactsInput!$N$10+1,15,18,21,24,27,30)*(IF(Inputs!$B$39="pvp",MIN(15,15)/15,IF(AND(Inputs!$B$39&lt;&gt;"pvp",Inputs!$B$44&gt;0),MIN(15,Inputs!$B$44)/(Inputs!$B$44),0))),0)))&gt;=100),MIN(100,((Inputs!$B$9+((C2645=TRUE)*(F2645-Calc!F25))+B2660+(ArtifactsInput!$M$24-ArtifactsInput!$M$24)*CHOOSE(ArtifactsInput!$N$24+1,10,12,14,16,18,20)+IF(ArtifactsInput!$M$10,CHOOSE(ArtifactsInput!$N$10+1,15,18,21,24,27,30)*(IF(Inputs!$B$39="pvp",MIN(15,15)/15,IF(AND(Inputs!$B$39&lt;&gt;"pvp",Inputs!$B$44&gt;0),MIN(15,Inputs!$B$44)/(Inputs!$B$44),0))),0)))-100),0))*CHOOSE(ArtifactsInput!$N$42+1,0.6,0.72,0.84,0.96,1.08,1.2))),Inputs!$B$18+((C2649=TRUE)*(F2649-Calc!F29))+(IF(AND(ArtifactsInput!$M$42,((Inputs!$B$9+((C2645=TRUE)*(F2645-Calc!F25))+B2660+(ArtifactsInput!$M$24-ArtifactsInput!$M$24)*CHOOSE(ArtifactsInput!$N$24+1,10,12,14,16,18,20)+IF(ArtifactsInput!$M$10,CHOOSE(ArtifactsInput!$N$10+1,15,18,21,24,27,30)*(IF(Inputs!$B$39="pvp",MIN(15,15)/15,IF(AND(Inputs!$B$39&lt;&gt;"pvp",Inputs!$B$44&gt;0),MIN(15,Inputs!$B$44)/(Inputs!$B$44),0))),0)))&gt;=100),CHOOSE(ArtifactsInput!$N$42+1,40,48,56,64,72,80),0))))/100)*(((1+(((C2641=TRUE)*F2641*IF(AND(Inputs!$B$39&lt;&gt;"pvp",Inputs!$B$44&gt;0),(((R2641-1)*(Skills!Y21*(1+Inputs!$B$34/100))+MIN((Skills!Y21*(1+Inputs!$B$34/100)),MAX(0,Inputs!$B$44-((R2641-1)*Skills!D21))))/Inputs!$B$44),IF(Inputs!$B$39="pvp",MIN((Skills!Y21*(1+Inputs!$B$34/100)),15)/15,(Skills!Y21*(1+Inputs!$B$34/100))/Skills!D21)))+((C2648=TRUE)*(F2648-Calc!F28))+((C2638=TRUE)*(F2638-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2635=TRUE)*F2635*IF(AND(Inputs!$B$39&lt;&gt;"pvp",Inputs!$B$44&gt;0),(((R2635-1)*(Skills!Y15*(1+Inputs!$B$34/100))+MIN((Skills!Y15*(1+Inputs!$B$34/100)),MAX(0,Inputs!$B$44-((R2635-1)*Skills!D15))))/Inputs!$B$44),IF(Inputs!$B$39="pvp",MIN((Skills!Y15*(1+Inputs!$B$34/100)),15)/15,(Skills!Y15*(1+Inputs!$B$34/100))/Skills!D15)))/100)*(1+((C2626=TRUE)*F2626*B2654)/100))*B2662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2623)</f>
        <v/>
      </c>
      <c r="L2623">
        <f>K2623*(MIN(Inputs!$B$22+((C2644=TRUE)*(F2644-Calc!F24)),(Inputs!$B$23+0+(IF(ArtifactsInput!$M$15,CHOOSE(ArtifactsInput!$N$15+1,25,30,35,40,45,50)/100*(Inputs!$B$11-Inputs!$B$11),0))))/100+(Inputs!$B$23+0+(IF(ArtifactsInput!$M$15,CHOOSE(ArtifactsInput!$N$15+1,25,30,35,40,45,50)/100*(Inputs!$B$11-Inputs!$B$11),0)))/100)/2</f>
        <v/>
      </c>
      <c r="M2623">
        <f>L2623*(1+(Inputs!$B$10+((C2646=TRUE)*(F2646-Calc!F26))+B2663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23">
        <f>L2623*(1-MIN((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2623*(MIN((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23">
        <f>(1-Summary!$B$11)*T2623+Summary!$B$11*V2623</f>
        <v/>
      </c>
      <c r="P2623">
        <f>IF(B2664=0,0,O2623/B2664)</f>
        <v/>
      </c>
      <c r="Q2623">
        <f>IFERROR(1/IF(Inputs!$B$39="pvp",15,MAX(0.1,Skills!D3-IF(Skills!E3=TRUE,Inputs!$B$32,0))),0)</f>
        <v/>
      </c>
      <c r="R2623">
        <f>IF(AND(Inputs!$B$39&lt;&gt;"pvp",Inputs!$B$44&gt;0),IF(MAX(0,Inputs!$B$44-B2665)&lt;=0,0,(INT(MAX(0,Inputs!$B$44-B2665)/IF(Inputs!$B$39="pvp",15,MAX(0.1,Skills!D3-IF(Skills!E3=TRUE,Inputs!$B$32,0))))+1)),0)</f>
        <v/>
      </c>
      <c r="S2623">
        <f>IFERROR(O2623/N2623,0)</f>
        <v/>
      </c>
      <c r="T2623">
        <f>IF(C2623,(H2623*N2623*IF(AND(Inputs!$B$39&lt;&gt;"pvp",Inputs!$B$44&gt;0),((Skills!G3*((R2623-1)*IF(Skills!H3&gt;0,Skills!I3/Skills!H3,1)+IF(Skills!H3&gt;0,MIN(Skills!I3,MAX(0,MAX(0,Inputs!$B$44-B2665)-((R2623-1)*IF(Inputs!$B$39="pvp",15,MAX(0.1,Skills!D3-IF(Skills!E3=TRUE,Inputs!$B$32,0))))))/Skills!H3,1)))/Inputs!$B$44),G2623*Q2623))*IF(Inputs!$B$39="pvp",1,1+(Inputs!$B$20+((C2647=TRUE)*(F2647-Calc!F27))+Skills!P3+B2661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2623*(1-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2623*(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2623*(1-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2623*(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23">
        <f>INDEX(FactorTable!$B$2:$Y$301, MATCH(ROUND(MIN(300,MAX(1,U2622)),0), FactorTable!$A$2:$A$301,0), 24)</f>
        <v/>
      </c>
      <c r="V2623">
        <f>IF(C2623,(H2623*N2623*IF(AND(Inputs!$B$39&lt;&gt;"pvp",Inputs!$B$44&gt;0),((Skills!G3*((R2623-1)*IF(Skills!H3&gt;0,Skills!I3/Skills!H3,1)+IF(Skills!H3&gt;0,MIN(Skills!I3,MAX(0,MAX(0,Inputs!$B$44-B2665)-((R2623-1)*IF(Inputs!$B$39="pvp",15,MAX(0.1,Skills!D3-IF(Skills!E3=TRUE,Inputs!$B$32,0))))))/Skills!H3,1)))/Inputs!$B$44),G2623*Q2623))*IF(Inputs!$B$39="pvp",1,(1+(Inputs!$B$21+Skills!Q3+B2661+(IF(ArtifactsInput!$M$33,CHOOSE(ArtifactsInput!$N$33+1,30,36,42,48,54,60),0))+(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24">
      <c r="A2624">
        <f>Skills!A4</f>
        <v/>
      </c>
      <c r="B2624">
        <f>Skills!B4</f>
        <v/>
      </c>
      <c r="C2624">
        <f>Inputs!$B$3&gt;=40</f>
        <v/>
      </c>
      <c r="D2624">
        <f>IF(Skills!C4=1,60+Inputs!$B$25+Inputs!$B$29,IF(Skills!C4=2,90+Inputs!$B$26+Inputs!$B$29,IF(Skills!C4=3,120+Inputs!$B$27+Inputs!$B$29,MAX(0,(Inputs!$B$3-100)*3)+Inputs!$B$28+Inputs!$B$29)))</f>
        <v/>
      </c>
      <c r="E2624">
        <f>INDEX(FactorTable!$B$2:$Y$301, MATCH(ROUND(MIN(300,MAX(1,D2624)),0), FactorTable!$A$2:$A$301,0), Skills!M4+1)</f>
        <v/>
      </c>
      <c r="F2624">
        <f>IF(Skills!N4=TRUE,(Skills!L4/10)*(E2624/1000),Skills!L4/10)+Skills!O4</f>
        <v/>
      </c>
      <c r="G2624">
        <f>Calc!G4</f>
        <v/>
      </c>
      <c r="H2624">
        <f>Calc!H4</f>
        <v/>
      </c>
      <c r="I2624">
        <f>IF(Skills!AA4&lt;&gt;"",1+(Skills!AA4/10)*(U2623/1000)/100,1)</f>
        <v/>
      </c>
      <c r="J2624">
        <f>((Inputs!$B$6*(1+Inputs!$B$7/100))+(((Inputs!$B$12*(1+Inputs!$B$13/100))-(Inputs!$B$12*(1+Inputs!$B$13/100)))+0.25*(Inputs!$B$14-Inputs!$B$14))*(1+Inputs!$B$7/100))*(F2624/100)</f>
        <v/>
      </c>
      <c r="K2624">
        <f>J2624*(1+((Inputs!$B$12*(1+Inputs!$B$13/100))*0.01+Inputs!$B$14*0.0025)/100)*(1+Inputs!$B$15/100)*(1+Inputs!$B$16/100)*(5000/(6000+Inputs!$B$43*(1-(100*(1-(1-(Inputs!$B$19+0)/100)*(1-CHOOSE(ArtifactsInput!$N$40+1,5,6,7,8,9,10)/100)^(ArtifactsInput!$M$40-ArtifactsInput!$M$40)))/100)))*(1+(Inputs!$B$24+((C2650=TRUE)*(F2650-Calc!F30)))/100)*(1+Skills!R4/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2643=TRUE)*(F2643-Calc!F23))+(((IF(AND(ArtifactsInput!$M$42,((Inputs!$B$9+((C2645=TRUE)*(F2645-Calc!F25))+B2660+(ArtifactsInput!$M$24-ArtifactsInput!$M$24)*CHOOSE(ArtifactsInput!$N$24+1,10,12,14,16,18,20)+IF(ArtifactsInput!$M$10,CHOOSE(ArtifactsInput!$N$10+1,15,18,21,24,27,30)*(IF(Inputs!$B$39="pvp",MIN(15,15)/15,IF(AND(Inputs!$B$39&lt;&gt;"pvp",Inputs!$B$44&gt;0),MIN(15,Inputs!$B$44)/(Inputs!$B$44),0))),0)))&gt;=100),MIN(100,((Inputs!$B$9+((C2645=TRUE)*(F2645-Calc!F25))+B2660+(ArtifactsInput!$M$24-ArtifactsInput!$M$24)*CHOOSE(ArtifactsInput!$N$24+1,10,12,14,16,18,20)+IF(ArtifactsInput!$M$10,CHOOSE(ArtifactsInput!$N$10+1,15,18,21,24,27,30)*(IF(Inputs!$B$39="pvp",MIN(15,15)/15,IF(AND(Inputs!$B$39&lt;&gt;"pvp",Inputs!$B$44&gt;0),MIN(15,Inputs!$B$44)/(Inputs!$B$44),0))),0)))-100),0))*CHOOSE(ArtifactsInput!$N$42+1,0.6,0.72,0.84,0.96,1.08,1.2))),Inputs!$B$18+((C2649=TRUE)*(F2649-Calc!F29))+(IF(AND(ArtifactsInput!$M$42,((Inputs!$B$9+((C2645=TRUE)*(F2645-Calc!F25))+B2660+(ArtifactsInput!$M$24-ArtifactsInput!$M$24)*CHOOSE(ArtifactsInput!$N$24+1,10,12,14,16,18,20)+IF(ArtifactsInput!$M$10,CHOOSE(ArtifactsInput!$N$10+1,15,18,21,24,27,30)*(IF(Inputs!$B$39="pvp",MIN(15,15)/15,IF(AND(Inputs!$B$39&lt;&gt;"pvp",Inputs!$B$44&gt;0),MIN(15,Inputs!$B$44)/(Inputs!$B$44),0))),0)))&gt;=100),CHOOSE(ArtifactsInput!$N$42+1,40,48,56,64,72,80),0))))/100)*(((1+(((C2641=TRUE)*F2641*IF(AND(Inputs!$B$39&lt;&gt;"pvp",Inputs!$B$44&gt;0),(((R2641-1)*(Skills!Y21*(1+Inputs!$B$34/100))+MIN((Skills!Y21*(1+Inputs!$B$34/100)),MAX(0,Inputs!$B$44-((R2641-1)*Skills!D21))))/Inputs!$B$44),IF(Inputs!$B$39="pvp",MIN((Skills!Y21*(1+Inputs!$B$34/100)),15)/15,(Skills!Y21*(1+Inputs!$B$34/100))/Skills!D21)))+((C2648=TRUE)*(F2648-Calc!F28))+((C2638=TRUE)*(F2638-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2635=TRUE)*F2635*IF(AND(Inputs!$B$39&lt;&gt;"pvp",Inputs!$B$44&gt;0),(((R2635-1)*(Skills!Y15*(1+Inputs!$B$34/100))+MIN((Skills!Y15*(1+Inputs!$B$34/100)),MAX(0,Inputs!$B$44-((R2635-1)*Skills!D15))))/Inputs!$B$44),IF(Inputs!$B$39="pvp",MIN((Skills!Y15*(1+Inputs!$B$34/100)),15)/15,(Skills!Y15*(1+Inputs!$B$34/100))/Skills!D15)))/100)*(1+((C2626=TRUE)*F2626*B2654)/100))*B2662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2624)</f>
        <v/>
      </c>
      <c r="L2624">
        <f>K2624*(MIN(Inputs!$B$22+((C2644=TRUE)*(F2644-Calc!F24)),(Inputs!$B$23+0+(IF(ArtifactsInput!$M$15,CHOOSE(ArtifactsInput!$N$15+1,25,30,35,40,45,50)/100*(Inputs!$B$11-Inputs!$B$11),0))))/100+(Inputs!$B$23+0+(IF(ArtifactsInput!$M$15,CHOOSE(ArtifactsInput!$N$15+1,25,30,35,40,45,50)/100*(Inputs!$B$11-Inputs!$B$11),0)))/100)/2</f>
        <v/>
      </c>
      <c r="M2624">
        <f>L2624*(1+(Inputs!$B$10+((C2646=TRUE)*(F2646-Calc!F26))+B2663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24">
        <f>L2624*(1-MIN((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2624*(MIN((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24">
        <f>(1-Summary!$B$11)*T2624+Summary!$B$11*V2624</f>
        <v/>
      </c>
      <c r="P2624">
        <f>IF(B2664=0,0,O2624/B2664)</f>
        <v/>
      </c>
      <c r="Q2624">
        <f>IFERROR(1/IF(Inputs!$B$39="pvp",15,MAX(0.1,Skills!D4-IF(Skills!E4=TRUE,Inputs!$B$32,0))),0)</f>
        <v/>
      </c>
      <c r="R2624">
        <f>IF(AND(Inputs!$B$39&lt;&gt;"pvp",Inputs!$B$44&gt;0),IF(MAX(0,Inputs!$B$44-B2665)&lt;=0,0,(INT(MAX(0,Inputs!$B$44-B2665)/IF(Inputs!$B$39="pvp",15,MAX(0.1,Skills!D4-IF(Skills!E4=TRUE,Inputs!$B$32,0))))+1)),0)</f>
        <v/>
      </c>
      <c r="S2624">
        <f>IFERROR(O2624/N2624,0)</f>
        <v/>
      </c>
      <c r="T2624">
        <f>IF(C2624,(H2624*N2624*IF(AND(Inputs!$B$39&lt;&gt;"pvp",Inputs!$B$44&gt;0),((Skills!G4*((R2624-1)*IF(Skills!H4&gt;0,Skills!I4/Skills!H4,1)+IF(Skills!H4&gt;0,MIN(Skills!I4,MAX(0,MAX(0,Inputs!$B$44-B2665)-((R2624-1)*IF(Inputs!$B$39="pvp",15,MAX(0.1,Skills!D4-IF(Skills!E4=TRUE,Inputs!$B$32,0))))))/Skills!H4,1)))/Inputs!$B$44),G2624*Q2624))*IF(Inputs!$B$39="pvp",1,1+(Inputs!$B$20+((C2647=TRUE)*(F2647-Calc!F27))+Skills!P4+B2661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2624*(1-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2624*(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2624*(1-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2624*(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24">
        <f>MAX(0,(Inputs!$B$3-100)*3)+Inputs!$B$28+Inputs!$B$29</f>
        <v/>
      </c>
      <c r="V2624">
        <f>IF(C2624,(H2624*N2624*IF(AND(Inputs!$B$39&lt;&gt;"pvp",Inputs!$B$44&gt;0),((Skills!G4*((R2624-1)*IF(Skills!H4&gt;0,Skills!I4/Skills!H4,1)+IF(Skills!H4&gt;0,MIN(Skills!I4,MAX(0,MAX(0,Inputs!$B$44-B2665)-((R2624-1)*IF(Inputs!$B$39="pvp",15,MAX(0.1,Skills!D4-IF(Skills!E4=TRUE,Inputs!$B$32,0))))))/Skills!H4,1)))/Inputs!$B$44),G2624*Q2624))*IF(Inputs!$B$39="pvp",1,(1+(Inputs!$B$21+Skills!Q4+B2661+(IF(ArtifactsInput!$M$33,CHOOSE(ArtifactsInput!$N$33+1,30,36,42,48,54,60),0))+(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25">
      <c r="A2625">
        <f>Skills!A5</f>
        <v/>
      </c>
      <c r="B2625">
        <f>Skills!B5</f>
        <v/>
      </c>
      <c r="C2625">
        <f>Inputs!$B$3&gt;=63</f>
        <v/>
      </c>
      <c r="D2625">
        <f>IF(Skills!C5=1,60+Inputs!$B$25+Inputs!$B$29,IF(Skills!C5=2,90+Inputs!$B$26+Inputs!$B$29,IF(Skills!C5=3,120+Inputs!$B$27+Inputs!$B$29,MAX(0,(Inputs!$B$3-100)*3)+Inputs!$B$28+Inputs!$B$29)))</f>
        <v/>
      </c>
      <c r="E2625">
        <f>INDEX(FactorTable!$B$2:$Y$301, MATCH(ROUND(MIN(300,MAX(1,D2625)),0), FactorTable!$A$2:$A$301,0), Skills!M5+1)</f>
        <v/>
      </c>
      <c r="F2625">
        <f>IF(Skills!N5=TRUE,(Skills!L5/10)*(E2625/1000),Skills!L5/10)+Skills!O5</f>
        <v/>
      </c>
      <c r="G2625">
        <f>Calc!G5</f>
        <v/>
      </c>
      <c r="H2625">
        <f>Calc!H5</f>
        <v/>
      </c>
      <c r="I2625">
        <f>IF(Skills!AA5&lt;&gt;"",1+(Skills!AA5/10)*(U2623/1000)/100,1)</f>
        <v/>
      </c>
      <c r="J2625">
        <f>((Inputs!$B$6*(1+Inputs!$B$7/100))+(((Inputs!$B$12*(1+Inputs!$B$13/100))-(Inputs!$B$12*(1+Inputs!$B$13/100)))+0.25*(Inputs!$B$14-Inputs!$B$14))*(1+Inputs!$B$7/100))*(F2625/100)</f>
        <v/>
      </c>
      <c r="K2625">
        <f>J2625*(1+((Inputs!$B$12*(1+Inputs!$B$13/100))*0.01+Inputs!$B$14*0.0025)/100)*(1+Inputs!$B$15/100)*(1+Inputs!$B$16/100)*(5000/(6000+Inputs!$B$43*(1-(100*(1-(1-(Inputs!$B$19+0)/100)*(1-CHOOSE(ArtifactsInput!$N$40+1,5,6,7,8,9,10)/100)^(ArtifactsInput!$M$40-ArtifactsInput!$M$40)))/100)))*(1+(Inputs!$B$24+((C2650=TRUE)*(F2650-Calc!F30)))/100)*(1+Skills!R5/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2643=TRUE)*(F2643-Calc!F23))+(((IF(AND(ArtifactsInput!$M$42,((Inputs!$B$9+((C2645=TRUE)*(F2645-Calc!F25))+B2660+(ArtifactsInput!$M$24-ArtifactsInput!$M$24)*CHOOSE(ArtifactsInput!$N$24+1,10,12,14,16,18,20)+IF(ArtifactsInput!$M$10,CHOOSE(ArtifactsInput!$N$10+1,15,18,21,24,27,30)*(IF(Inputs!$B$39="pvp",MIN(15,15)/15,IF(AND(Inputs!$B$39&lt;&gt;"pvp",Inputs!$B$44&gt;0),MIN(15,Inputs!$B$44)/(Inputs!$B$44),0))),0)))&gt;=100),MIN(100,((Inputs!$B$9+((C2645=TRUE)*(F2645-Calc!F25))+B2660+(ArtifactsInput!$M$24-ArtifactsInput!$M$24)*CHOOSE(ArtifactsInput!$N$24+1,10,12,14,16,18,20)+IF(ArtifactsInput!$M$10,CHOOSE(ArtifactsInput!$N$10+1,15,18,21,24,27,30)*(IF(Inputs!$B$39="pvp",MIN(15,15)/15,IF(AND(Inputs!$B$39&lt;&gt;"pvp",Inputs!$B$44&gt;0),MIN(15,Inputs!$B$44)/(Inputs!$B$44),0))),0)))-100),0))*CHOOSE(ArtifactsInput!$N$42+1,0.6,0.72,0.84,0.96,1.08,1.2))),Inputs!$B$18+((C2649=TRUE)*(F2649-Calc!F29))+(IF(AND(ArtifactsInput!$M$42,((Inputs!$B$9+((C2645=TRUE)*(F2645-Calc!F25))+B2660+(ArtifactsInput!$M$24-ArtifactsInput!$M$24)*CHOOSE(ArtifactsInput!$N$24+1,10,12,14,16,18,20)+IF(ArtifactsInput!$M$10,CHOOSE(ArtifactsInput!$N$10+1,15,18,21,24,27,30)*(IF(Inputs!$B$39="pvp",MIN(15,15)/15,IF(AND(Inputs!$B$39&lt;&gt;"pvp",Inputs!$B$44&gt;0),MIN(15,Inputs!$B$44)/(Inputs!$B$44),0))),0)))&gt;=100),CHOOSE(ArtifactsInput!$N$42+1,40,48,56,64,72,80),0))))/100)*(((1+(((C2641=TRUE)*F2641*IF(AND(Inputs!$B$39&lt;&gt;"pvp",Inputs!$B$44&gt;0),(((R2641-1)*(Skills!Y21*(1+Inputs!$B$34/100))+MIN((Skills!Y21*(1+Inputs!$B$34/100)),MAX(0,Inputs!$B$44-((R2641-1)*Skills!D21))))/Inputs!$B$44),IF(Inputs!$B$39="pvp",MIN((Skills!Y21*(1+Inputs!$B$34/100)),15)/15,(Skills!Y21*(1+Inputs!$B$34/100))/Skills!D21)))+((C2648=TRUE)*(F2648-Calc!F28))+((C2638=TRUE)*(F2638-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2635=TRUE)*F2635*IF(AND(Inputs!$B$39&lt;&gt;"pvp",Inputs!$B$44&gt;0),(((R2635-1)*(Skills!Y15*(1+Inputs!$B$34/100))+MIN((Skills!Y15*(1+Inputs!$B$34/100)),MAX(0,Inputs!$B$44-((R2635-1)*Skills!D15))))/Inputs!$B$44),IF(Inputs!$B$39="pvp",MIN((Skills!Y15*(1+Inputs!$B$34/100)),15)/15,(Skills!Y15*(1+Inputs!$B$34/100))/Skills!D15)))/100)*(1+((C2626=TRUE)*F2626*B2654)/100))*B2662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2625)</f>
        <v/>
      </c>
      <c r="L2625">
        <f>K2625*(MIN(Inputs!$B$22+((C2644=TRUE)*(F2644-Calc!F24)),(Inputs!$B$23+0+(IF(ArtifactsInput!$M$15,CHOOSE(ArtifactsInput!$N$15+1,25,30,35,40,45,50)/100*(Inputs!$B$11-Inputs!$B$11),0))))/100+(Inputs!$B$23+0+(IF(ArtifactsInput!$M$15,CHOOSE(ArtifactsInput!$N$15+1,25,30,35,40,45,50)/100*(Inputs!$B$11-Inputs!$B$11),0)))/100)/2</f>
        <v/>
      </c>
      <c r="M2625">
        <f>L2625*(1+(Inputs!$B$10+((C2646=TRUE)*(F2646-Calc!F26))+B2663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25">
        <f>L2625*(1-MIN((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2625*(MIN((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25">
        <f>(1-Summary!$B$11)*T2625+Summary!$B$11*V2625</f>
        <v/>
      </c>
      <c r="P2625">
        <f>IF(B2664=0,0,O2625/B2664)</f>
        <v/>
      </c>
      <c r="Q2625">
        <f>IFERROR(1/IF(Inputs!$B$39="pvp",15,MAX(0.1,Skills!D5-IF(Skills!E5=TRUE,Inputs!$B$32,0))),0)</f>
        <v/>
      </c>
      <c r="R2625">
        <f>IF(AND(Inputs!$B$39&lt;&gt;"pvp",Inputs!$B$44&gt;0),IF(MAX(0,Inputs!$B$44-B2665)&lt;=0,0,(INT(MAX(0,Inputs!$B$44-B2665)/IF(Inputs!$B$39="pvp",15,MAX(0.1,Skills!D5-IF(Skills!E5=TRUE,Inputs!$B$32,0))))+1)),0)</f>
        <v/>
      </c>
      <c r="S2625">
        <f>IFERROR(O2625/N2625,0)</f>
        <v/>
      </c>
      <c r="T2625">
        <f>IF(C2625,(H2625*N2625*IF(AND(Inputs!$B$39&lt;&gt;"pvp",Inputs!$B$44&gt;0),((Skills!G5*((R2625-1)*IF(Skills!H5&gt;0,Skills!I5/Skills!H5,1)+IF(Skills!H5&gt;0,MIN(Skills!I5,MAX(0,MAX(0,Inputs!$B$44-B2665)-((R2625-1)*IF(Inputs!$B$39="pvp",15,MAX(0.1,Skills!D5-IF(Skills!E5=TRUE,Inputs!$B$32,0))))))/Skills!H5,1)))/Inputs!$B$44),G2625*Q2625))*IF(Inputs!$B$39="pvp",1,1+(Inputs!$B$20+((C2647=TRUE)*(F2647-Calc!F27))+Skills!P5+B2661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2625*(1-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2625*(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2625*(1-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2625*(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25">
        <f>INDEX(FactorTable!$B$2:$Y$301, MATCH(ROUND(MIN(300,MAX(1,U2624)),0), FactorTable!$A$2:$A$301,0), 22)</f>
        <v/>
      </c>
      <c r="V2625">
        <f>IF(C2625,(H2625*N2625*IF(AND(Inputs!$B$39&lt;&gt;"pvp",Inputs!$B$44&gt;0),((Skills!G5*((R2625-1)*IF(Skills!H5&gt;0,Skills!I5/Skills!H5,1)+IF(Skills!H5&gt;0,MIN(Skills!I5,MAX(0,MAX(0,Inputs!$B$44-B2665)-((R2625-1)*IF(Inputs!$B$39="pvp",15,MAX(0.1,Skills!D5-IF(Skills!E5=TRUE,Inputs!$B$32,0))))))/Skills!H5,1)))/Inputs!$B$44),G2625*Q2625))*IF(Inputs!$B$39="pvp",1,(1+(Inputs!$B$21+Skills!Q5+B2661+(IF(ArtifactsInput!$M$33,CHOOSE(ArtifactsInput!$N$33+1,30,36,42,48,54,60),0))+(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26">
      <c r="A2626">
        <f>Skills!A6</f>
        <v/>
      </c>
      <c r="B2626">
        <f>Skills!B6</f>
        <v/>
      </c>
      <c r="C2626">
        <f>Inputs!$B$3&gt;=66</f>
        <v/>
      </c>
      <c r="D2626">
        <f>IF(Skills!C6=1,60+Inputs!$B$25+Inputs!$B$29,IF(Skills!C6=2,90+Inputs!$B$26+Inputs!$B$29,IF(Skills!C6=3,120+Inputs!$B$27+Inputs!$B$29,MAX(0,(Inputs!$B$3-100)*3)+Inputs!$B$28+Inputs!$B$29)))</f>
        <v/>
      </c>
      <c r="E2626">
        <f>INDEX(FactorTable!$B$2:$Y$301, MATCH(ROUND(MIN(300,MAX(1,D2626)),0), FactorTable!$A$2:$A$301,0), Skills!M6+1)</f>
        <v/>
      </c>
      <c r="F2626">
        <f>IF(Skills!N6=TRUE,(Skills!L6/10)*(E2626/1000),Skills!L6/10)+Skills!O6</f>
        <v/>
      </c>
      <c r="G2626">
        <f>Calc!G6</f>
        <v/>
      </c>
      <c r="H2626">
        <f>Calc!H6</f>
        <v/>
      </c>
      <c r="I2626">
        <f>IF(Skills!AA6&lt;&gt;"",1+(Skills!AA6/10)*(U2623/1000)/100,1)</f>
        <v/>
      </c>
      <c r="J2626" t="inlineStr"/>
      <c r="K2626" t="inlineStr"/>
      <c r="L2626" t="inlineStr"/>
      <c r="M2626" t="inlineStr"/>
      <c r="N2626" t="inlineStr"/>
      <c r="O2626">
        <f>(1-Summary!$B$11)*T2626+Summary!$B$11*V2626</f>
        <v/>
      </c>
      <c r="P2626">
        <f>IF(B2664=0,0,O2626/B2664)</f>
        <v/>
      </c>
      <c r="Q2626" t="n">
        <v>0</v>
      </c>
      <c r="R2626" t="n">
        <v>0</v>
      </c>
      <c r="S2626">
        <f>IFERROR(O2626/N2626,0)</f>
        <v/>
      </c>
      <c r="T2626" t="n">
        <v>0</v>
      </c>
      <c r="U2626">
        <f>290*U2625/1000</f>
        <v/>
      </c>
      <c r="V2626" t="n">
        <v>0</v>
      </c>
    </row>
    <row r="2627">
      <c r="A2627">
        <f>Skills!A7</f>
        <v/>
      </c>
      <c r="B2627">
        <f>Skills!B7</f>
        <v/>
      </c>
      <c r="C2627">
        <f>Inputs!$B$3&gt;=66</f>
        <v/>
      </c>
      <c r="D2627">
        <f>IF(Skills!C7=1,60+Inputs!$B$25+Inputs!$B$29,IF(Skills!C7=2,90+Inputs!$B$26+Inputs!$B$29,IF(Skills!C7=3,120+Inputs!$B$27+Inputs!$B$29,MAX(0,(Inputs!$B$3-100)*3)+Inputs!$B$28+Inputs!$B$29)))</f>
        <v/>
      </c>
      <c r="E2627">
        <f>INDEX(FactorTable!$B$2:$Y$301, MATCH(ROUND(MIN(300,MAX(1,D2627)),0), FactorTable!$A$2:$A$301,0), Skills!M7+1)</f>
        <v/>
      </c>
      <c r="F2627">
        <f>IF(Skills!N7=TRUE,(Skills!L7/10)*(E2627/1000),Skills!L7/10)+Skills!O7</f>
        <v/>
      </c>
      <c r="G2627">
        <f>Calc!G7</f>
        <v/>
      </c>
      <c r="H2627">
        <f>Calc!H7</f>
        <v/>
      </c>
      <c r="I2627">
        <f>IF(Skills!AA7&lt;&gt;"",1+(Skills!AA7/10)*(U2623/1000)/100,1)</f>
        <v/>
      </c>
      <c r="J2627" t="inlineStr"/>
      <c r="K2627" t="inlineStr"/>
      <c r="L2627" t="inlineStr"/>
      <c r="M2627" t="inlineStr"/>
      <c r="N2627" t="inlineStr"/>
      <c r="O2627">
        <f>(1-Summary!$B$11)*T2627+Summary!$B$11*V2627</f>
        <v/>
      </c>
      <c r="P2627">
        <f>IF(B2664=0,0,O2627/B2664)</f>
        <v/>
      </c>
      <c r="Q2627" t="n">
        <v>0</v>
      </c>
      <c r="R2627" t="n">
        <v>0</v>
      </c>
      <c r="S2627">
        <f>IFERROR(O2627/N2627,0)</f>
        <v/>
      </c>
      <c r="T2627" t="n">
        <v>0</v>
      </c>
      <c r="V2627" t="n">
        <v>0</v>
      </c>
    </row>
    <row r="2628">
      <c r="A2628">
        <f>Skills!A8</f>
        <v/>
      </c>
      <c r="B2628">
        <f>Skills!B8</f>
        <v/>
      </c>
      <c r="C2628">
        <f>Inputs!$B$3&gt;=69</f>
        <v/>
      </c>
      <c r="D2628">
        <f>IF(Skills!C8=1,60+Inputs!$B$25+Inputs!$B$29,IF(Skills!C8=2,90+Inputs!$B$26+Inputs!$B$29,IF(Skills!C8=3,120+Inputs!$B$27+Inputs!$B$29,MAX(0,(Inputs!$B$3-100)*3)+Inputs!$B$28+Inputs!$B$29)))</f>
        <v/>
      </c>
      <c r="E2628">
        <f>INDEX(FactorTable!$B$2:$Y$301, MATCH(ROUND(MIN(300,MAX(1,D2628)),0), FactorTable!$A$2:$A$301,0), Skills!M8+1)</f>
        <v/>
      </c>
      <c r="F2628">
        <f>IF(Skills!N8=TRUE,(Skills!L8/10)*(E2628/1000),Skills!L8/10)+Skills!O8</f>
        <v/>
      </c>
      <c r="G2628">
        <f>Calc!G8</f>
        <v/>
      </c>
      <c r="H2628">
        <f>Calc!H8</f>
        <v/>
      </c>
      <c r="I2628">
        <f>IF(Skills!AA8&lt;&gt;"",1+(Skills!AA8/10)*(U2623/1000)/100,1)</f>
        <v/>
      </c>
      <c r="J2628">
        <f>((Inputs!$B$6*(1+Inputs!$B$7/100))+(((Inputs!$B$12*(1+Inputs!$B$13/100))-(Inputs!$B$12*(1+Inputs!$B$13/100)))+0.25*(Inputs!$B$14-Inputs!$B$14))*(1+Inputs!$B$7/100))*(F2628/100)</f>
        <v/>
      </c>
      <c r="K2628">
        <f>J2628*(1+((Inputs!$B$12*(1+Inputs!$B$13/100))*0.01+Inputs!$B$14*0.0025)/100)*(1+Inputs!$B$15/100)*(1+Inputs!$B$16/100)*(5000/(6000+Inputs!$B$43*(1-(100*(1-(1-(Inputs!$B$19+0)/100)*(1-CHOOSE(ArtifactsInput!$N$40+1,5,6,7,8,9,10)/100)^(ArtifactsInput!$M$40-ArtifactsInput!$M$40)))/100)))*(1+(Inputs!$B$24+((C2650=TRUE)*(F2650-Calc!F30)))/100)*(1+Skills!R8/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2643=TRUE)*(F2643-Calc!F23))+(((IF(AND(ArtifactsInput!$M$42,((Inputs!$B$9+((C2645=TRUE)*(F2645-Calc!F25))+B2660+(ArtifactsInput!$M$24-ArtifactsInput!$M$24)*CHOOSE(ArtifactsInput!$N$24+1,10,12,14,16,18,20)+IF(ArtifactsInput!$M$10,CHOOSE(ArtifactsInput!$N$10+1,15,18,21,24,27,30)*(IF(Inputs!$B$39="pvp",MIN(15,15)/15,IF(AND(Inputs!$B$39&lt;&gt;"pvp",Inputs!$B$44&gt;0),MIN(15,Inputs!$B$44)/(Inputs!$B$44),0))),0)))&gt;=100),MIN(100,((Inputs!$B$9+((C2645=TRUE)*(F2645-Calc!F25))+B2660+(ArtifactsInput!$M$24-ArtifactsInput!$M$24)*CHOOSE(ArtifactsInput!$N$24+1,10,12,14,16,18,20)+IF(ArtifactsInput!$M$10,CHOOSE(ArtifactsInput!$N$10+1,15,18,21,24,27,30)*(IF(Inputs!$B$39="pvp",MIN(15,15)/15,IF(AND(Inputs!$B$39&lt;&gt;"pvp",Inputs!$B$44&gt;0),MIN(15,Inputs!$B$44)/(Inputs!$B$44),0))),0)))-100),0))*CHOOSE(ArtifactsInput!$N$42+1,0.6,0.72,0.84,0.96,1.08,1.2))),Inputs!$B$18+((C2649=TRUE)*(F2649-Calc!F29))+(IF(AND(ArtifactsInput!$M$42,((Inputs!$B$9+((C2645=TRUE)*(F2645-Calc!F25))+B2660+(ArtifactsInput!$M$24-ArtifactsInput!$M$24)*CHOOSE(ArtifactsInput!$N$24+1,10,12,14,16,18,20)+IF(ArtifactsInput!$M$10,CHOOSE(ArtifactsInput!$N$10+1,15,18,21,24,27,30)*(IF(Inputs!$B$39="pvp",MIN(15,15)/15,IF(AND(Inputs!$B$39&lt;&gt;"pvp",Inputs!$B$44&gt;0),MIN(15,Inputs!$B$44)/(Inputs!$B$44),0))),0)))&gt;=100),CHOOSE(ArtifactsInput!$N$42+1,40,48,56,64,72,80),0))))/100)*(((1+(((C2641=TRUE)*F2641*IF(AND(Inputs!$B$39&lt;&gt;"pvp",Inputs!$B$44&gt;0),(((R2641-1)*(Skills!Y21*(1+Inputs!$B$34/100))+MIN((Skills!Y21*(1+Inputs!$B$34/100)),MAX(0,Inputs!$B$44-((R2641-1)*Skills!D21))))/Inputs!$B$44),IF(Inputs!$B$39="pvp",MIN((Skills!Y21*(1+Inputs!$B$34/100)),15)/15,(Skills!Y21*(1+Inputs!$B$34/100))/Skills!D21)))+((C2648=TRUE)*(F2648-Calc!F28))+((C2638=TRUE)*(F2638-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2635=TRUE)*F2635*IF(AND(Inputs!$B$39&lt;&gt;"pvp",Inputs!$B$44&gt;0),(((R2635-1)*(Skills!Y15*(1+Inputs!$B$34/100))+MIN((Skills!Y15*(1+Inputs!$B$34/100)),MAX(0,Inputs!$B$44-((R2635-1)*Skills!D15))))/Inputs!$B$44),IF(Inputs!$B$39="pvp",MIN((Skills!Y15*(1+Inputs!$B$34/100)),15)/15,(Skills!Y15*(1+Inputs!$B$34/100))/Skills!D15)))/100)*(1+((C2626=TRUE)*F2626*B2654)/100))*B2662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2628)</f>
        <v/>
      </c>
      <c r="L2628">
        <f>K2628*(MIN(Inputs!$B$22+((C2644=TRUE)*(F2644-Calc!F24)),(Inputs!$B$23+0+(IF(ArtifactsInput!$M$15,CHOOSE(ArtifactsInput!$N$15+1,25,30,35,40,45,50)/100*(Inputs!$B$11-Inputs!$B$11),0))))/100+(Inputs!$B$23+0+(IF(ArtifactsInput!$M$15,CHOOSE(ArtifactsInput!$N$15+1,25,30,35,40,45,50)/100*(Inputs!$B$11-Inputs!$B$11),0)))/100)/2</f>
        <v/>
      </c>
      <c r="M2628">
        <f>L2628*(1+(Inputs!$B$10+((C2646=TRUE)*(F2646-Calc!F26))+B2663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28">
        <f>L2628*(1-MIN((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2628*(MIN((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28">
        <f>(1-Summary!$B$11)*T2628+Summary!$B$11*V2628</f>
        <v/>
      </c>
      <c r="P2628">
        <f>IF(B2664=0,0,O2628/B2664)</f>
        <v/>
      </c>
      <c r="Q2628">
        <f>IFERROR(1/IF(Inputs!$B$39="pvp",15,MAX(0.1,Skills!D8-IF(Skills!E8=TRUE,Inputs!$B$32,0))),0)</f>
        <v/>
      </c>
      <c r="R2628">
        <f>IF(AND(Inputs!$B$39&lt;&gt;"pvp",Inputs!$B$44&gt;0),IF(MAX(0,Inputs!$B$44-B2665)&lt;=0,0,(INT(MAX(0,Inputs!$B$44-B2665)/IF(Inputs!$B$39="pvp",15,MAX(0.1,Skills!D8-IF(Skills!E8=TRUE,Inputs!$B$32,0))))+1)),0)</f>
        <v/>
      </c>
      <c r="S2628">
        <f>IFERROR(O2628/N2628,0)</f>
        <v/>
      </c>
      <c r="T2628">
        <f>IF(C2628,(H2628*N2628*IF(AND(Inputs!$B$39&lt;&gt;"pvp",Inputs!$B$44&gt;0),((Skills!G8*((R2628-1)*IF(Skills!H8&gt;0,Skills!I8/Skills!H8,1)+IF(Skills!H8&gt;0,MIN(Skills!I8,MAX(0,MAX(0,Inputs!$B$44-B2665)-((R2628-1)*IF(Inputs!$B$39="pvp",15,MAX(0.1,Skills!D8-IF(Skills!E8=TRUE,Inputs!$B$32,0))))))/Skills!H8,1)))/Inputs!$B$44),G2628*Q2628))*IF(Inputs!$B$39="pvp",1,1+(Inputs!$B$20+((C2647=TRUE)*(F2647-Calc!F27))+Skills!P8+B2661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2628*(1-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2628*(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2628*(1-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2628*(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28">
        <f>IF(C2628,(H2628*N2628*IF(AND(Inputs!$B$39&lt;&gt;"pvp",Inputs!$B$44&gt;0),((Skills!G8*((R2628-1)*IF(Skills!H8&gt;0,Skills!I8/Skills!H8,1)+IF(Skills!H8&gt;0,MIN(Skills!I8,MAX(0,MAX(0,Inputs!$B$44-B2665)-((R2628-1)*IF(Inputs!$B$39="pvp",15,MAX(0.1,Skills!D8-IF(Skills!E8=TRUE,Inputs!$B$32,0))))))/Skills!H8,1)))/Inputs!$B$44),G2628*Q2628))*IF(Inputs!$B$39="pvp",1,(1+(Inputs!$B$21+Skills!Q8+B2661+(IF(ArtifactsInput!$M$33,CHOOSE(ArtifactsInput!$N$33+1,30,36,42,48,54,60),0))+(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29">
      <c r="A2629">
        <f>Skills!A9</f>
        <v/>
      </c>
      <c r="B2629">
        <f>Skills!B9</f>
        <v/>
      </c>
      <c r="C2629">
        <f>Inputs!$B$3&gt;=72</f>
        <v/>
      </c>
      <c r="D2629">
        <f>IF(Skills!C9=1,60+Inputs!$B$25+Inputs!$B$29,IF(Skills!C9=2,90+Inputs!$B$26+Inputs!$B$29,IF(Skills!C9=3,120+Inputs!$B$27+Inputs!$B$29,MAX(0,(Inputs!$B$3-100)*3)+Inputs!$B$28+Inputs!$B$29)))</f>
        <v/>
      </c>
      <c r="E2629">
        <f>INDEX(FactorTable!$B$2:$Y$301, MATCH(ROUND(MIN(300,MAX(1,D2629)),0), FactorTable!$A$2:$A$301,0), Skills!M9+1)</f>
        <v/>
      </c>
      <c r="F2629">
        <f>IF(Skills!N9=TRUE,(Skills!L9/10)*(E2629/1000),Skills!L9/10)+Skills!O9</f>
        <v/>
      </c>
      <c r="G2629">
        <f>Calc!G9</f>
        <v/>
      </c>
      <c r="H2629">
        <f>Calc!H9</f>
        <v/>
      </c>
      <c r="I2629">
        <f>IF(Skills!AA9&lt;&gt;"",1+(Skills!AA9/10)*(U2623/1000)/100,1)</f>
        <v/>
      </c>
      <c r="J2629">
        <f>((Inputs!$B$6*(1+Inputs!$B$7/100))+(((Inputs!$B$12*(1+Inputs!$B$13/100))-(Inputs!$B$12*(1+Inputs!$B$13/100)))+0.25*(Inputs!$B$14-Inputs!$B$14))*(1+Inputs!$B$7/100))*(F2629/100)</f>
        <v/>
      </c>
      <c r="K2629">
        <f>J2629*(1+((Inputs!$B$12*(1+Inputs!$B$13/100))*0.01+Inputs!$B$14*0.0025)/100)*(1+Inputs!$B$15/100)*(1+Inputs!$B$16/100)*(5000/(6000+Inputs!$B$43*(1-(100*(1-(1-(Inputs!$B$19+0)/100)*(1-CHOOSE(ArtifactsInput!$N$40+1,5,6,7,8,9,10)/100)^(ArtifactsInput!$M$40-ArtifactsInput!$M$40)))/100)))*(1+(Inputs!$B$24+((C2650=TRUE)*(F2650-Calc!F30)))/100)*(1+Skills!R9/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2643=TRUE)*(F2643-Calc!F23))+(((IF(AND(ArtifactsInput!$M$42,((Inputs!$B$9+((C2645=TRUE)*(F2645-Calc!F25))+B2660+(ArtifactsInput!$M$24-ArtifactsInput!$M$24)*CHOOSE(ArtifactsInput!$N$24+1,10,12,14,16,18,20)+IF(ArtifactsInput!$M$10,CHOOSE(ArtifactsInput!$N$10+1,15,18,21,24,27,30)*(IF(Inputs!$B$39="pvp",MIN(15,15)/15,IF(AND(Inputs!$B$39&lt;&gt;"pvp",Inputs!$B$44&gt;0),MIN(15,Inputs!$B$44)/(Inputs!$B$44),0))),0)))&gt;=100),MIN(100,((Inputs!$B$9+((C2645=TRUE)*(F2645-Calc!F25))+B2660+(ArtifactsInput!$M$24-ArtifactsInput!$M$24)*CHOOSE(ArtifactsInput!$N$24+1,10,12,14,16,18,20)+IF(ArtifactsInput!$M$10,CHOOSE(ArtifactsInput!$N$10+1,15,18,21,24,27,30)*(IF(Inputs!$B$39="pvp",MIN(15,15)/15,IF(AND(Inputs!$B$39&lt;&gt;"pvp",Inputs!$B$44&gt;0),MIN(15,Inputs!$B$44)/(Inputs!$B$44),0))),0)))-100),0))*CHOOSE(ArtifactsInput!$N$42+1,0.6,0.72,0.84,0.96,1.08,1.2))),Inputs!$B$18+((C2649=TRUE)*(F2649-Calc!F29))+(IF(AND(ArtifactsInput!$M$42,((Inputs!$B$9+((C2645=TRUE)*(F2645-Calc!F25))+B2660+(ArtifactsInput!$M$24-ArtifactsInput!$M$24)*CHOOSE(ArtifactsInput!$N$24+1,10,12,14,16,18,20)+IF(ArtifactsInput!$M$10,CHOOSE(ArtifactsInput!$N$10+1,15,18,21,24,27,30)*(IF(Inputs!$B$39="pvp",MIN(15,15)/15,IF(AND(Inputs!$B$39&lt;&gt;"pvp",Inputs!$B$44&gt;0),MIN(15,Inputs!$B$44)/(Inputs!$B$44),0))),0)))&gt;=100),CHOOSE(ArtifactsInput!$N$42+1,40,48,56,64,72,80),0))))/100)*(((1+(((C2641=TRUE)*F2641*IF(AND(Inputs!$B$39&lt;&gt;"pvp",Inputs!$B$44&gt;0),(((R2641-1)*(Skills!Y21*(1+Inputs!$B$34/100))+MIN((Skills!Y21*(1+Inputs!$B$34/100)),MAX(0,Inputs!$B$44-((R2641-1)*Skills!D21))))/Inputs!$B$44),IF(Inputs!$B$39="pvp",MIN((Skills!Y21*(1+Inputs!$B$34/100)),15)/15,(Skills!Y21*(1+Inputs!$B$34/100))/Skills!D21)))+((C2648=TRUE)*(F2648-Calc!F28))+((C2638=TRUE)*(F2638-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2635=TRUE)*F2635*IF(AND(Inputs!$B$39&lt;&gt;"pvp",Inputs!$B$44&gt;0),(((R2635-1)*(Skills!Y15*(1+Inputs!$B$34/100))+MIN((Skills!Y15*(1+Inputs!$B$34/100)),MAX(0,Inputs!$B$44-((R2635-1)*Skills!D15))))/Inputs!$B$44),IF(Inputs!$B$39="pvp",MIN((Skills!Y15*(1+Inputs!$B$34/100)),15)/15,(Skills!Y15*(1+Inputs!$B$34/100))/Skills!D15)))/100)*(1+((C2626=TRUE)*F2626*B2654)/100))*B2662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2629)</f>
        <v/>
      </c>
      <c r="L2629">
        <f>K2629*(MIN(Inputs!$B$22+((C2644=TRUE)*(F2644-Calc!F24)),(Inputs!$B$23+0+(IF(ArtifactsInput!$M$15,CHOOSE(ArtifactsInput!$N$15+1,25,30,35,40,45,50)/100*(Inputs!$B$11-Inputs!$B$11),0))))/100+(Inputs!$B$23+0+(IF(ArtifactsInput!$M$15,CHOOSE(ArtifactsInput!$N$15+1,25,30,35,40,45,50)/100*(Inputs!$B$11-Inputs!$B$11),0)))/100)/2</f>
        <v/>
      </c>
      <c r="M2629">
        <f>L2629*(1+(Inputs!$B$10+((C2646=TRUE)*(F2646-Calc!F26))+B2663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29">
        <f>L2629*(1-MIN((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2629*(MIN((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29">
        <f>(1-Summary!$B$11)*T2629+Summary!$B$11*V2629</f>
        <v/>
      </c>
      <c r="P2629">
        <f>IF(B2664=0,0,O2629/B2664)</f>
        <v/>
      </c>
      <c r="Q2629">
        <f>IFERROR(1/IF(Inputs!$B$39="pvp",15,MAX(0.1,Skills!D9-IF(Skills!E9=TRUE,Inputs!$B$32,0))),0)</f>
        <v/>
      </c>
      <c r="R2629">
        <f>IF(AND(Inputs!$B$39&lt;&gt;"pvp",Inputs!$B$44&gt;0),IF(MAX(0,Inputs!$B$44-B2665)&lt;=0,0,(INT(MAX(0,Inputs!$B$44-B2665)/IF(Inputs!$B$39="pvp",15,MAX(0.1,Skills!D9-IF(Skills!E9=TRUE,Inputs!$B$32,0))))+1)),0)</f>
        <v/>
      </c>
      <c r="S2629">
        <f>IFERROR(O2629/N2629,0)</f>
        <v/>
      </c>
      <c r="T2629">
        <f>IF(C2629,(H2629*N2629*IF(AND(Inputs!$B$39&lt;&gt;"pvp",Inputs!$B$44&gt;0),((Skills!G9*((R2629-1)*IF(Skills!H9&gt;0,Skills!I9/Skills!H9,1)+IF(Skills!H9&gt;0,MIN(Skills!I9,MAX(0,MAX(0,Inputs!$B$44-B2665)-((R2629-1)*IF(Inputs!$B$39="pvp",15,MAX(0.1,Skills!D9-IF(Skills!E9=TRUE,Inputs!$B$32,0))))))/Skills!H9,1)))/Inputs!$B$44),G2629*Q2629))*IF(Inputs!$B$39="pvp",1,1+(Inputs!$B$20+((C2647=TRUE)*(F2647-Calc!F27))+Skills!P9+B2661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2629*(1-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2629*(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2629*(1-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2629*(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29">
        <f>IF(C2629,(H2629*N2629*IF(AND(Inputs!$B$39&lt;&gt;"pvp",Inputs!$B$44&gt;0),((Skills!G9*((R2629-1)*IF(Skills!H9&gt;0,Skills!I9/Skills!H9,1)+IF(Skills!H9&gt;0,MIN(Skills!I9,MAX(0,MAX(0,Inputs!$B$44-B2665)-((R2629-1)*IF(Inputs!$B$39="pvp",15,MAX(0.1,Skills!D9-IF(Skills!E9=TRUE,Inputs!$B$32,0))))))/Skills!H9,1)))/Inputs!$B$44),G2629*Q2629))*IF(Inputs!$B$39="pvp",1,(1+(Inputs!$B$21+Skills!Q9+B2661+(IF(ArtifactsInput!$M$33,CHOOSE(ArtifactsInput!$N$33+1,30,36,42,48,54,60),0))+(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30">
      <c r="A2630">
        <f>Skills!A10</f>
        <v/>
      </c>
      <c r="B2630">
        <f>Skills!B10</f>
        <v/>
      </c>
      <c r="C2630">
        <f>Inputs!$B$3&gt;=117</f>
        <v/>
      </c>
      <c r="D2630">
        <f>IF(Skills!C10=1,60+Inputs!$B$25+Inputs!$B$29,IF(Skills!C10=2,90+Inputs!$B$26+Inputs!$B$29,IF(Skills!C10=3,120+Inputs!$B$27+Inputs!$B$29,MAX(0,(Inputs!$B$3-100)*3)+Inputs!$B$28+Inputs!$B$29)))</f>
        <v/>
      </c>
      <c r="E2630">
        <f>INDEX(FactorTable!$B$2:$Y$301, MATCH(ROUND(MIN(300,MAX(1,D2630)),0), FactorTable!$A$2:$A$301,0), Skills!M10+1)</f>
        <v/>
      </c>
      <c r="F2630">
        <f>IF(Skills!N10=TRUE,(Skills!L10/10)*(E2630/1000),Skills!L10/10)+Skills!O10</f>
        <v/>
      </c>
      <c r="G2630">
        <f>Calc!G10</f>
        <v/>
      </c>
      <c r="H2630">
        <f>Calc!H10</f>
        <v/>
      </c>
      <c r="I2630">
        <f>IF(Skills!AA10&lt;&gt;"",1+(Skills!AA10/10)*(U2623/1000)/100,1)</f>
        <v/>
      </c>
      <c r="J2630">
        <f>((Inputs!$B$6*(1+Inputs!$B$7/100))+(((Inputs!$B$12*(1+Inputs!$B$13/100))-(Inputs!$B$12*(1+Inputs!$B$13/100)))+0.25*(Inputs!$B$14-Inputs!$B$14))*(1+Inputs!$B$7/100))*(F2630/100)</f>
        <v/>
      </c>
      <c r="K2630">
        <f>J2630*(1+((Inputs!$B$12*(1+Inputs!$B$13/100))*0.01+Inputs!$B$14*0.0025)/100)*(1+Inputs!$B$15/100)*(1+Inputs!$B$16/100)*(5000/(6000+Inputs!$B$43*(1-(100*(1-(1-(Inputs!$B$19+0)/100)*(1-CHOOSE(ArtifactsInput!$N$40+1,5,6,7,8,9,10)/100)^(ArtifactsInput!$M$40-ArtifactsInput!$M$40)))/100)))*(1+(Inputs!$B$24+((C2650=TRUE)*(F2650-Calc!F30)))/100)*(1+Skills!R10/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2643=TRUE)*(F2643-Calc!F23))+(((IF(AND(ArtifactsInput!$M$42,((Inputs!$B$9+((C2645=TRUE)*(F2645-Calc!F25))+B2660+(ArtifactsInput!$M$24-ArtifactsInput!$M$24)*CHOOSE(ArtifactsInput!$N$24+1,10,12,14,16,18,20)+IF(ArtifactsInput!$M$10,CHOOSE(ArtifactsInput!$N$10+1,15,18,21,24,27,30)*(IF(Inputs!$B$39="pvp",MIN(15,15)/15,IF(AND(Inputs!$B$39&lt;&gt;"pvp",Inputs!$B$44&gt;0),MIN(15,Inputs!$B$44)/(Inputs!$B$44),0))),0)))&gt;=100),MIN(100,((Inputs!$B$9+((C2645=TRUE)*(F2645-Calc!F25))+B2660+(ArtifactsInput!$M$24-ArtifactsInput!$M$24)*CHOOSE(ArtifactsInput!$N$24+1,10,12,14,16,18,20)+IF(ArtifactsInput!$M$10,CHOOSE(ArtifactsInput!$N$10+1,15,18,21,24,27,30)*(IF(Inputs!$B$39="pvp",MIN(15,15)/15,IF(AND(Inputs!$B$39&lt;&gt;"pvp",Inputs!$B$44&gt;0),MIN(15,Inputs!$B$44)/(Inputs!$B$44),0))),0)))-100),0))*CHOOSE(ArtifactsInput!$N$42+1,0.6,0.72,0.84,0.96,1.08,1.2))),Inputs!$B$18+((C2649=TRUE)*(F2649-Calc!F29))+(IF(AND(ArtifactsInput!$M$42,((Inputs!$B$9+((C2645=TRUE)*(F2645-Calc!F25))+B2660+(ArtifactsInput!$M$24-ArtifactsInput!$M$24)*CHOOSE(ArtifactsInput!$N$24+1,10,12,14,16,18,20)+IF(ArtifactsInput!$M$10,CHOOSE(ArtifactsInput!$N$10+1,15,18,21,24,27,30)*(IF(Inputs!$B$39="pvp",MIN(15,15)/15,IF(AND(Inputs!$B$39&lt;&gt;"pvp",Inputs!$B$44&gt;0),MIN(15,Inputs!$B$44)/(Inputs!$B$44),0))),0)))&gt;=100),CHOOSE(ArtifactsInput!$N$42+1,40,48,56,64,72,80),0))))/100)*(((1+(((C2641=TRUE)*F2641*IF(AND(Inputs!$B$39&lt;&gt;"pvp",Inputs!$B$44&gt;0),(((R2641-1)*(Skills!Y21*(1+Inputs!$B$34/100))+MIN((Skills!Y21*(1+Inputs!$B$34/100)),MAX(0,Inputs!$B$44-((R2641-1)*Skills!D21))))/Inputs!$B$44),IF(Inputs!$B$39="pvp",MIN((Skills!Y21*(1+Inputs!$B$34/100)),15)/15,(Skills!Y21*(1+Inputs!$B$34/100))/Skills!D21)))+((C2648=TRUE)*(F2648-Calc!F28))+((C2638=TRUE)*(F2638-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2635=TRUE)*F2635*IF(AND(Inputs!$B$39&lt;&gt;"pvp",Inputs!$B$44&gt;0),(((R2635-1)*(Skills!Y15*(1+Inputs!$B$34/100))+MIN((Skills!Y15*(1+Inputs!$B$34/100)),MAX(0,Inputs!$B$44-((R2635-1)*Skills!D15))))/Inputs!$B$44),IF(Inputs!$B$39="pvp",MIN((Skills!Y15*(1+Inputs!$B$34/100)),15)/15,(Skills!Y15*(1+Inputs!$B$34/100))/Skills!D15)))/100)*(1+((C2626=TRUE)*F2626*B2654)/100))*B2662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2630)</f>
        <v/>
      </c>
      <c r="L2630">
        <f>K2630*(MIN(Inputs!$B$22+((C2644=TRUE)*(F2644-Calc!F24)),(Inputs!$B$23+0+(IF(ArtifactsInput!$M$15,CHOOSE(ArtifactsInput!$N$15+1,25,30,35,40,45,50)/100*(Inputs!$B$11-Inputs!$B$11),0))))/100+(Inputs!$B$23+0+(IF(ArtifactsInput!$M$15,CHOOSE(ArtifactsInput!$N$15+1,25,30,35,40,45,50)/100*(Inputs!$B$11-Inputs!$B$11),0)))/100)/2</f>
        <v/>
      </c>
      <c r="M2630">
        <f>L2630*(1+(Inputs!$B$10+((C2646=TRUE)*(F2646-Calc!F26))+B2663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30">
        <f>L2630*(1-MIN((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2630*(MIN((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30">
        <f>(1-Summary!$B$11)*T2630+Summary!$B$11*V2630</f>
        <v/>
      </c>
      <c r="P2630">
        <f>IF(B2664=0,0,O2630/B2664)</f>
        <v/>
      </c>
      <c r="Q2630" t="n">
        <v>0</v>
      </c>
      <c r="R2630" t="n">
        <v>0</v>
      </c>
      <c r="S2630" t="n">
        <v>0</v>
      </c>
      <c r="T2630">
        <f>IF(C2630,(0.2*SUMPRODUCT((Skills!Z2:Z31=TRUE)*(C2622:C2651=TRUE)*S2622:S2651)*N2630)*IF(Inputs!$B$39="pvp",1,1+(Inputs!$B$20+((C2647=TRUE)*(F2647-Calc!F27))+Skills!P10+B2661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2630*(1-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2630*(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2630*(1-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2630*(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30">
        <f>IF(C2630,(0.2*SUMPRODUCT((Skills!Z2:Z31=TRUE)*(C2622:C2651=TRUE)*S2622:S2651)*N2630)*IF(Inputs!$B$39="pvp",1,(1+(Inputs!$B$21+Skills!Q10+B2661+(IF(ArtifactsInput!$M$33,CHOOSE(ArtifactsInput!$N$33+1,30,36,42,48,54,60),0))+(IF(AND(ArtifactsInput!$M$35,Inputs!$B$4&lt;&gt;"Chapter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31">
      <c r="A2631">
        <f>Skills!A11</f>
        <v/>
      </c>
      <c r="B2631">
        <f>Skills!B11</f>
        <v/>
      </c>
      <c r="C2631">
        <f>Inputs!$B$3&gt;=60</f>
        <v/>
      </c>
      <c r="D2631">
        <f>IF(Skills!C11=1,60+Inputs!$B$25+Inputs!$B$29,IF(Skills!C11=2,90+Inputs!$B$26+Inputs!$B$29,IF(Skills!C11=3,120+Inputs!$B$27+Inputs!$B$29,MAX(0,(Inputs!$B$3-100)*3)+Inputs!$B$28+Inputs!$B$29)))</f>
        <v/>
      </c>
      <c r="E2631">
        <f>INDEX(FactorTable!$B$2:$Y$301, MATCH(ROUND(MIN(300,MAX(1,D2631)),0), FactorTable!$A$2:$A$301,0), Skills!M11+1)</f>
        <v/>
      </c>
      <c r="F2631">
        <f>IF(Skills!N11=TRUE,(Skills!L11/10)*(E2631/1000),Skills!L11/10)+Skills!O11</f>
        <v/>
      </c>
      <c r="G2631">
        <f>Calc!G11</f>
        <v/>
      </c>
      <c r="H2631">
        <f>Calc!H11</f>
        <v/>
      </c>
      <c r="I2631">
        <f>IF(Skills!AA11&lt;&gt;"",1+(Skills!AA11/10)*(U2623/1000)/100,1)</f>
        <v/>
      </c>
      <c r="J2631" t="inlineStr"/>
      <c r="K2631" t="inlineStr"/>
      <c r="L2631" t="inlineStr"/>
      <c r="M2631" t="inlineStr"/>
      <c r="N2631" t="inlineStr"/>
      <c r="O2631">
        <f>(1-Summary!$B$11)*T2631+Summary!$B$11*V2631</f>
        <v/>
      </c>
      <c r="P2631">
        <f>IF(B2664=0,0,O2631/B2664)</f>
        <v/>
      </c>
      <c r="Q2631" t="n">
        <v>0</v>
      </c>
      <c r="R2631" t="n">
        <v>0</v>
      </c>
      <c r="S2631">
        <f>IFERROR(O2631/N2631,0)</f>
        <v/>
      </c>
      <c r="T2631" t="n">
        <v>0</v>
      </c>
      <c r="V2631" t="n">
        <v>0</v>
      </c>
    </row>
    <row r="2632">
      <c r="A2632">
        <f>Skills!A12</f>
        <v/>
      </c>
      <c r="B2632">
        <f>Skills!B12</f>
        <v/>
      </c>
      <c r="C2632">
        <f>Inputs!$B$3&gt;=103</f>
        <v/>
      </c>
      <c r="D2632">
        <f>IF(Skills!C12=1,60+Inputs!$B$25+Inputs!$B$29,IF(Skills!C12=2,90+Inputs!$B$26+Inputs!$B$29,IF(Skills!C12=3,120+Inputs!$B$27+Inputs!$B$29,MAX(0,(Inputs!$B$3-100)*3)+Inputs!$B$28+Inputs!$B$29)))</f>
        <v/>
      </c>
      <c r="E2632">
        <f>INDEX(FactorTable!$B$2:$Y$301, MATCH(ROUND(MIN(300,MAX(1,D2632)),0), FactorTable!$A$2:$A$301,0), Skills!M12+1)</f>
        <v/>
      </c>
      <c r="F2632">
        <f>IF(Skills!N12=TRUE,(Skills!L12/10)*(E2632/1000),Skills!L12/10)+Skills!O12</f>
        <v/>
      </c>
      <c r="G2632">
        <f>Calc!G12</f>
        <v/>
      </c>
      <c r="H2632">
        <f>Calc!H12</f>
        <v/>
      </c>
      <c r="I2632">
        <f>IF(Skills!AA12&lt;&gt;"",1+(Skills!AA12/10)*(U2623/1000)/100,1)</f>
        <v/>
      </c>
      <c r="J2632">
        <f>((Inputs!$B$6*(1+Inputs!$B$7/100))+(((Inputs!$B$12*(1+Inputs!$B$13/100))-(Inputs!$B$12*(1+Inputs!$B$13/100)))+0.25*(Inputs!$B$14-Inputs!$B$14))*(1+Inputs!$B$7/100))*(F2632/100)</f>
        <v/>
      </c>
      <c r="K2632">
        <f>J2632*(1+((Inputs!$B$12*(1+Inputs!$B$13/100))*0.01+Inputs!$B$14*0.0025)/100)*(1+Inputs!$B$15/100)*(1+Inputs!$B$16/100)*(5000/(6000+Inputs!$B$43*(1-(100*(1-(1-(Inputs!$B$19+0)/100)*(1-CHOOSE(ArtifactsInput!$N$40+1,5,6,7,8,9,10)/100)^(ArtifactsInput!$M$40-ArtifactsInput!$M$40)))/100)))*(1+(Inputs!$B$24+((C2650=TRUE)*(F2650-Calc!F30)))/100)*(1+Skills!R12/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2643=TRUE)*(F2643-Calc!F23))+(((IF(AND(ArtifactsInput!$M$42,((Inputs!$B$9+((C2645=TRUE)*(F2645-Calc!F25))+B2660+(ArtifactsInput!$M$24-ArtifactsInput!$M$24)*CHOOSE(ArtifactsInput!$N$24+1,10,12,14,16,18,20)+IF(ArtifactsInput!$M$10,CHOOSE(ArtifactsInput!$N$10+1,15,18,21,24,27,30)*(IF(Inputs!$B$39="pvp",MIN(15,15)/15,IF(AND(Inputs!$B$39&lt;&gt;"pvp",Inputs!$B$44&gt;0),MIN(15,Inputs!$B$44)/(Inputs!$B$44),0))),0)))&gt;=100),MIN(100,((Inputs!$B$9+((C2645=TRUE)*(F2645-Calc!F25))+B2660+(ArtifactsInput!$M$24-ArtifactsInput!$M$24)*CHOOSE(ArtifactsInput!$N$24+1,10,12,14,16,18,20)+IF(ArtifactsInput!$M$10,CHOOSE(ArtifactsInput!$N$10+1,15,18,21,24,27,30)*(IF(Inputs!$B$39="pvp",MIN(15,15)/15,IF(AND(Inputs!$B$39&lt;&gt;"pvp",Inputs!$B$44&gt;0),MIN(15,Inputs!$B$44)/(Inputs!$B$44),0))),0)))-100),0))*CHOOSE(ArtifactsInput!$N$42+1,0.6,0.72,0.84,0.96,1.08,1.2))),Inputs!$B$18+((C2649=TRUE)*(F2649-Calc!F29))+(IF(AND(ArtifactsInput!$M$42,((Inputs!$B$9+((C2645=TRUE)*(F2645-Calc!F25))+B2660+(ArtifactsInput!$M$24-ArtifactsInput!$M$24)*CHOOSE(ArtifactsInput!$N$24+1,10,12,14,16,18,20)+IF(ArtifactsInput!$M$10,CHOOSE(ArtifactsInput!$N$10+1,15,18,21,24,27,30)*(IF(Inputs!$B$39="pvp",MIN(15,15)/15,IF(AND(Inputs!$B$39&lt;&gt;"pvp",Inputs!$B$44&gt;0),MIN(15,Inputs!$B$44)/(Inputs!$B$44),0))),0)))&gt;=100),CHOOSE(ArtifactsInput!$N$42+1,40,48,56,64,72,80),0))))/100)*(((1+(((C2641=TRUE)*F2641*IF(AND(Inputs!$B$39&lt;&gt;"pvp",Inputs!$B$44&gt;0),(((R2641-1)*(Skills!Y21*(1+Inputs!$B$34/100))+MIN((Skills!Y21*(1+Inputs!$B$34/100)),MAX(0,Inputs!$B$44-((R2641-1)*Skills!D21))))/Inputs!$B$44),IF(Inputs!$B$39="pvp",MIN((Skills!Y21*(1+Inputs!$B$34/100)),15)/15,(Skills!Y21*(1+Inputs!$B$34/100))/Skills!D21)))+((C2648=TRUE)*(F2648-Calc!F28))+((C2638=TRUE)*(F2638-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2635=TRUE)*F2635*IF(AND(Inputs!$B$39&lt;&gt;"pvp",Inputs!$B$44&gt;0),(((R2635-1)*(Skills!Y15*(1+Inputs!$B$34/100))+MIN((Skills!Y15*(1+Inputs!$B$34/100)),MAX(0,Inputs!$B$44-((R2635-1)*Skills!D15))))/Inputs!$B$44),IF(Inputs!$B$39="pvp",MIN((Skills!Y15*(1+Inputs!$B$34/100)),15)/15,(Skills!Y15*(1+Inputs!$B$34/100))/Skills!D15)))/100)*(1+((C2626=TRUE)*F2626*B2654)/100))*B2662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2632)</f>
        <v/>
      </c>
      <c r="L2632">
        <f>K2632*(MIN(Inputs!$B$22+((C2644=TRUE)*(F2644-Calc!F24)),(Inputs!$B$23+0+(IF(ArtifactsInput!$M$15,CHOOSE(ArtifactsInput!$N$15+1,25,30,35,40,45,50)/100*(Inputs!$B$11-Inputs!$B$11),0))))/100+(Inputs!$B$23+0+(IF(ArtifactsInput!$M$15,CHOOSE(ArtifactsInput!$N$15+1,25,30,35,40,45,50)/100*(Inputs!$B$11-Inputs!$B$11),0)))/100)/2</f>
        <v/>
      </c>
      <c r="M2632">
        <f>L2632*(1+(Inputs!$B$10+((C2646=TRUE)*(F2646-Calc!F26))+B2663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32">
        <f>L2632*(1-MIN((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2632*(MIN((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32">
        <f>(1-Summary!$B$11)*T2632+Summary!$B$11*V2632</f>
        <v/>
      </c>
      <c r="P2632">
        <f>IF(B2664=0,0,O2632/B2664)</f>
        <v/>
      </c>
      <c r="Q2632">
        <f>IFERROR(1/IF(Inputs!$B$39="pvp",15,MAX(0.1,Skills!D12-IF(Skills!E12=TRUE,Inputs!$B$32,0))),0)</f>
        <v/>
      </c>
      <c r="R2632">
        <f>IF(AND(Inputs!$B$39&lt;&gt;"pvp",Inputs!$B$44&gt;0),IF(MAX(0,Inputs!$B$44-B2665)&lt;=0,0,(INT(MAX(0,Inputs!$B$44-B2665)/IF(Inputs!$B$39="pvp",15,MAX(0.1,Skills!D12-IF(Skills!E12=TRUE,Inputs!$B$32,0))))+1)),0)</f>
        <v/>
      </c>
      <c r="S2632">
        <f>IFERROR(O2632/N2632,0)</f>
        <v/>
      </c>
      <c r="T2632">
        <f>IF(C2632,(H2632*N2632*IF(AND(Inputs!$B$39&lt;&gt;"pvp",Inputs!$B$44&gt;0),((Skills!G12*((R2632-1)*IF(Skills!H12&gt;0,Skills!I12/Skills!H12,1)+IF(Skills!H12&gt;0,MIN(Skills!I12,MAX(0,MAX(0,Inputs!$B$44-B2665)-((R2632-1)*IF(Inputs!$B$39="pvp",15,MAX(0.1,Skills!D12-IF(Skills!E12=TRUE,Inputs!$B$32,0))))))/Skills!H12,1)))/Inputs!$B$44),G2632*Q2632))*IF(Inputs!$B$39="pvp",1,1+(Inputs!$B$20+((C2647=TRUE)*(F2647-Calc!F27))+Skills!P12+B2661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2632*(1-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2632*(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2632*(1-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2632*(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32">
        <f>IF(C2632,(H2632*N2632*IF(AND(Inputs!$B$39&lt;&gt;"pvp",Inputs!$B$44&gt;0),((Skills!G12*((R2632-1)*IF(Skills!H12&gt;0,Skills!I12/Skills!H12,1)+IF(Skills!H12&gt;0,MIN(Skills!I12,MAX(0,MAX(0,Inputs!$B$44-B2665)-((R2632-1)*IF(Inputs!$B$39="pvp",15,MAX(0.1,Skills!D12-IF(Skills!E12=TRUE,Inputs!$B$32,0))))))/Skills!H12,1)))/Inputs!$B$44),G2632*Q2632))*IF(Inputs!$B$39="pvp",1,(1+(Inputs!$B$21+Skills!Q12+B2661+(IF(ArtifactsInput!$M$33,CHOOSE(ArtifactsInput!$N$33+1,30,36,42,48,54,60),0))+(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33">
      <c r="A2633">
        <f>Skills!A13</f>
        <v/>
      </c>
      <c r="B2633">
        <f>Skills!B13</f>
        <v/>
      </c>
      <c r="C2633">
        <f>Inputs!$B$3&gt;=105</f>
        <v/>
      </c>
      <c r="D2633">
        <f>IF(Skills!C13=1,60+Inputs!$B$25+Inputs!$B$29,IF(Skills!C13=2,90+Inputs!$B$26+Inputs!$B$29,IF(Skills!C13=3,120+Inputs!$B$27+Inputs!$B$29,MAX(0,(Inputs!$B$3-100)*3)+Inputs!$B$28+Inputs!$B$29)))</f>
        <v/>
      </c>
      <c r="E2633">
        <f>INDEX(FactorTable!$B$2:$Y$301, MATCH(ROUND(MIN(300,MAX(1,D2633)),0), FactorTable!$A$2:$A$301,0), Skills!M13+1)</f>
        <v/>
      </c>
      <c r="F2633">
        <f>IF(Skills!N13=TRUE,(Skills!L13/10)*(E2633/1000),Skills!L13/10)+Skills!O13</f>
        <v/>
      </c>
      <c r="G2633">
        <f>Calc!G13</f>
        <v/>
      </c>
      <c r="H2633">
        <f>Calc!H13</f>
        <v/>
      </c>
      <c r="I2633">
        <f>IF(Skills!AA13&lt;&gt;"",1+(Skills!AA13/10)*(U2623/1000)/100,1)</f>
        <v/>
      </c>
      <c r="J2633">
        <f>((Inputs!$B$6*(1+Inputs!$B$7/100))+(((Inputs!$B$12*(1+Inputs!$B$13/100))-(Inputs!$B$12*(1+Inputs!$B$13/100)))+0.25*(Inputs!$B$14-Inputs!$B$14))*(1+Inputs!$B$7/100))*(F2633/100)</f>
        <v/>
      </c>
      <c r="K2633">
        <f>J2633*(1+((Inputs!$B$12*(1+Inputs!$B$13/100))*0.01+Inputs!$B$14*0.0025)/100)*(1+Inputs!$B$15/100)*(1+Inputs!$B$16/100)*(5000/(6000+Inputs!$B$43*(1-(100*(1-(1-(Inputs!$B$19+0)/100)*(1-CHOOSE(ArtifactsInput!$N$40+1,5,6,7,8,9,10)/100)^(ArtifactsInput!$M$40-ArtifactsInput!$M$40)))/100)))*(1+(Inputs!$B$24+((C2650=TRUE)*(F2650-Calc!F30)))/100)*(1+Skills!R13/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2643=TRUE)*(F2643-Calc!F23))+(((IF(AND(ArtifactsInput!$M$42,((Inputs!$B$9+((C2645=TRUE)*(F2645-Calc!F25))+B2660+(ArtifactsInput!$M$24-ArtifactsInput!$M$24)*CHOOSE(ArtifactsInput!$N$24+1,10,12,14,16,18,20)+IF(ArtifactsInput!$M$10,CHOOSE(ArtifactsInput!$N$10+1,15,18,21,24,27,30)*(IF(Inputs!$B$39="pvp",MIN(15,15)/15,IF(AND(Inputs!$B$39&lt;&gt;"pvp",Inputs!$B$44&gt;0),MIN(15,Inputs!$B$44)/(Inputs!$B$44),0))),0)))&gt;=100),MIN(100,((Inputs!$B$9+((C2645=TRUE)*(F2645-Calc!F25))+B2660+(ArtifactsInput!$M$24-ArtifactsInput!$M$24)*CHOOSE(ArtifactsInput!$N$24+1,10,12,14,16,18,20)+IF(ArtifactsInput!$M$10,CHOOSE(ArtifactsInput!$N$10+1,15,18,21,24,27,30)*(IF(Inputs!$B$39="pvp",MIN(15,15)/15,IF(AND(Inputs!$B$39&lt;&gt;"pvp",Inputs!$B$44&gt;0),MIN(15,Inputs!$B$44)/(Inputs!$B$44),0))),0)))-100),0))*CHOOSE(ArtifactsInput!$N$42+1,0.6,0.72,0.84,0.96,1.08,1.2))),Inputs!$B$18+((C2649=TRUE)*(F2649-Calc!F29))+(IF(AND(ArtifactsInput!$M$42,((Inputs!$B$9+((C2645=TRUE)*(F2645-Calc!F25))+B2660+(ArtifactsInput!$M$24-ArtifactsInput!$M$24)*CHOOSE(ArtifactsInput!$N$24+1,10,12,14,16,18,20)+IF(ArtifactsInput!$M$10,CHOOSE(ArtifactsInput!$N$10+1,15,18,21,24,27,30)*(IF(Inputs!$B$39="pvp",MIN(15,15)/15,IF(AND(Inputs!$B$39&lt;&gt;"pvp",Inputs!$B$44&gt;0),MIN(15,Inputs!$B$44)/(Inputs!$B$44),0))),0)))&gt;=100),CHOOSE(ArtifactsInput!$N$42+1,40,48,56,64,72,80),0))))/100)*(((1+(((C2641=TRUE)*F2641*IF(AND(Inputs!$B$39&lt;&gt;"pvp",Inputs!$B$44&gt;0),(((R2641-1)*(Skills!Y21*(1+Inputs!$B$34/100))+MIN((Skills!Y21*(1+Inputs!$B$34/100)),MAX(0,Inputs!$B$44-((R2641-1)*Skills!D21))))/Inputs!$B$44),IF(Inputs!$B$39="pvp",MIN((Skills!Y21*(1+Inputs!$B$34/100)),15)/15,(Skills!Y21*(1+Inputs!$B$34/100))/Skills!D21)))+((C2648=TRUE)*(F2648-Calc!F28))+((C2638=TRUE)*(F2638-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2635=TRUE)*F2635*IF(AND(Inputs!$B$39&lt;&gt;"pvp",Inputs!$B$44&gt;0),(((R2635-1)*(Skills!Y15*(1+Inputs!$B$34/100))+MIN((Skills!Y15*(1+Inputs!$B$34/100)),MAX(0,Inputs!$B$44-((R2635-1)*Skills!D15))))/Inputs!$B$44),IF(Inputs!$B$39="pvp",MIN((Skills!Y15*(1+Inputs!$B$34/100)),15)/15,(Skills!Y15*(1+Inputs!$B$34/100))/Skills!D15)))/100)*(1+((C2626=TRUE)*F2626*B2654)/100))*B2662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2633)</f>
        <v/>
      </c>
      <c r="L2633">
        <f>K2633*(MIN(Inputs!$B$22+((C2644=TRUE)*(F2644-Calc!F24)),(Inputs!$B$23+0+(IF(ArtifactsInput!$M$15,CHOOSE(ArtifactsInput!$N$15+1,25,30,35,40,45,50)/100*(Inputs!$B$11-Inputs!$B$11),0))))/100+(Inputs!$B$23+0+(IF(ArtifactsInput!$M$15,CHOOSE(ArtifactsInput!$N$15+1,25,30,35,40,45,50)/100*(Inputs!$B$11-Inputs!$B$11),0)))/100)/2</f>
        <v/>
      </c>
      <c r="M2633">
        <f>L2633*(1+(Inputs!$B$10+((C2646=TRUE)*(F2646-Calc!F26))+B2663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33">
        <f>L2633*(1-MIN((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2633*(MIN((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33">
        <f>(1-Summary!$B$11)*T2633+Summary!$B$11*V2633</f>
        <v/>
      </c>
      <c r="P2633">
        <f>IF(B2664=0,0,O2633/B2664)</f>
        <v/>
      </c>
      <c r="Q2633">
        <f>IFERROR(1/IF(Inputs!$B$39="pvp",15,MAX(0.1,Skills!D13-IF(Skills!E13=TRUE,Inputs!$B$32,0))),0)</f>
        <v/>
      </c>
      <c r="R2633">
        <f>IF(AND(Inputs!$B$39&lt;&gt;"pvp",Inputs!$B$44&gt;0),IF(MAX(0,Inputs!$B$44-B2665)&lt;=0,0,(INT(MAX(0,Inputs!$B$44-B2665)/IF(Inputs!$B$39="pvp",15,MAX(0.1,Skills!D13-IF(Skills!E13=TRUE,Inputs!$B$32,0))))+1)),0)</f>
        <v/>
      </c>
      <c r="S2633">
        <f>IFERROR(O2633/N2633,0)</f>
        <v/>
      </c>
      <c r="T2633">
        <f>IF(C2633,(H2633*N2633*IF(AND(Inputs!$B$39&lt;&gt;"pvp",Inputs!$B$44&gt;0),((Skills!G13*((R2633-1)*IF(Skills!H13&gt;0,Skills!I13/Skills!H13,1)+IF(Skills!H13&gt;0,MIN(Skills!I13,MAX(0,MAX(0,Inputs!$B$44-B2665)-((R2633-1)*IF(Inputs!$B$39="pvp",15,MAX(0.1,Skills!D13-IF(Skills!E13=TRUE,Inputs!$B$32,0))))))/Skills!H13,1)))/Inputs!$B$44),G2633*Q2633))*IF(Inputs!$B$39="pvp",1,1+(Inputs!$B$20+((C2647=TRUE)*(F2647-Calc!F27))+Skills!P13+B2661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2633*(1-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2633*(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2633*(1-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2633*(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33">
        <f>IF(C2633,(H2633*N2633*IF(AND(Inputs!$B$39&lt;&gt;"pvp",Inputs!$B$44&gt;0),((Skills!G13*((R2633-1)*IF(Skills!H13&gt;0,Skills!I13/Skills!H13,1)+IF(Skills!H13&gt;0,MIN(Skills!I13,MAX(0,MAX(0,Inputs!$B$44-B2665)-((R2633-1)*IF(Inputs!$B$39="pvp",15,MAX(0.1,Skills!D13-IF(Skills!E13=TRUE,Inputs!$B$32,0))))))/Skills!H13,1)))/Inputs!$B$44),G2633*Q2633))*IF(Inputs!$B$39="pvp",1,(1+(Inputs!$B$21+Skills!Q13+B2661+(IF(ArtifactsInput!$M$33,CHOOSE(ArtifactsInput!$N$33+1,30,36,42,48,54,60),0))+(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34">
      <c r="A2634">
        <f>Skills!A14</f>
        <v/>
      </c>
      <c r="B2634">
        <f>Skills!B14</f>
        <v/>
      </c>
      <c r="C2634">
        <f>Inputs!$B$3&gt;=105</f>
        <v/>
      </c>
      <c r="D2634">
        <f>IF(Skills!C14=1,60+Inputs!$B$25+Inputs!$B$29,IF(Skills!C14=2,90+Inputs!$B$26+Inputs!$B$29,IF(Skills!C14=3,120+Inputs!$B$27+Inputs!$B$29,MAX(0,(Inputs!$B$3-100)*3)+Inputs!$B$28+Inputs!$B$29)))</f>
        <v/>
      </c>
      <c r="E2634">
        <f>INDEX(FactorTable!$B$2:$Y$301, MATCH(ROUND(MIN(300,MAX(1,D2634)),0), FactorTable!$A$2:$A$301,0), Skills!M14+1)</f>
        <v/>
      </c>
      <c r="F2634">
        <f>IF(Skills!N14=TRUE,(Skills!L14/10)*(E2634/1000),Skills!L14/10)+Skills!O14</f>
        <v/>
      </c>
      <c r="G2634">
        <f>Calc!G14</f>
        <v/>
      </c>
      <c r="H2634">
        <f>Calc!H14</f>
        <v/>
      </c>
      <c r="I2634">
        <f>IF(Skills!AA14&lt;&gt;"",1+(Skills!AA14/10)*(U2623/1000)/100,1)</f>
        <v/>
      </c>
      <c r="J2634">
        <f>((Inputs!$B$6*(1+Inputs!$B$7/100))+(((Inputs!$B$12*(1+Inputs!$B$13/100))-(Inputs!$B$12*(1+Inputs!$B$13/100)))+0.25*(Inputs!$B$14-Inputs!$B$14))*(1+Inputs!$B$7/100))*(F2634/100)</f>
        <v/>
      </c>
      <c r="K2634">
        <f>J2634*(1+((Inputs!$B$12*(1+Inputs!$B$13/100))*0.01+Inputs!$B$14*0.0025)/100)*(1+Inputs!$B$15/100)*(1+Inputs!$B$16/100)*(5000/(6000+Inputs!$B$43*(1-(100*(1-(1-(Inputs!$B$19+0)/100)*(1-CHOOSE(ArtifactsInput!$N$40+1,5,6,7,8,9,10)/100)^(ArtifactsInput!$M$40-ArtifactsInput!$M$40)))/100)))*(1+(Inputs!$B$24+((C2650=TRUE)*(F2650-Calc!F30)))/100)*(1+Skills!R14/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2643=TRUE)*(F2643-Calc!F23))+(((IF(AND(ArtifactsInput!$M$42,((Inputs!$B$9+((C2645=TRUE)*(F2645-Calc!F25))+B2660+(ArtifactsInput!$M$24-ArtifactsInput!$M$24)*CHOOSE(ArtifactsInput!$N$24+1,10,12,14,16,18,20)+IF(ArtifactsInput!$M$10,CHOOSE(ArtifactsInput!$N$10+1,15,18,21,24,27,30)*(IF(Inputs!$B$39="pvp",MIN(15,15)/15,IF(AND(Inputs!$B$39&lt;&gt;"pvp",Inputs!$B$44&gt;0),MIN(15,Inputs!$B$44)/(Inputs!$B$44),0))),0)))&gt;=100),MIN(100,((Inputs!$B$9+((C2645=TRUE)*(F2645-Calc!F25))+B2660+(ArtifactsInput!$M$24-ArtifactsInput!$M$24)*CHOOSE(ArtifactsInput!$N$24+1,10,12,14,16,18,20)+IF(ArtifactsInput!$M$10,CHOOSE(ArtifactsInput!$N$10+1,15,18,21,24,27,30)*(IF(Inputs!$B$39="pvp",MIN(15,15)/15,IF(AND(Inputs!$B$39&lt;&gt;"pvp",Inputs!$B$44&gt;0),MIN(15,Inputs!$B$44)/(Inputs!$B$44),0))),0)))-100),0))*CHOOSE(ArtifactsInput!$N$42+1,0.6,0.72,0.84,0.96,1.08,1.2))),Inputs!$B$18+((C2649=TRUE)*(F2649-Calc!F29))+(IF(AND(ArtifactsInput!$M$42,((Inputs!$B$9+((C2645=TRUE)*(F2645-Calc!F25))+B2660+(ArtifactsInput!$M$24-ArtifactsInput!$M$24)*CHOOSE(ArtifactsInput!$N$24+1,10,12,14,16,18,20)+IF(ArtifactsInput!$M$10,CHOOSE(ArtifactsInput!$N$10+1,15,18,21,24,27,30)*(IF(Inputs!$B$39="pvp",MIN(15,15)/15,IF(AND(Inputs!$B$39&lt;&gt;"pvp",Inputs!$B$44&gt;0),MIN(15,Inputs!$B$44)/(Inputs!$B$44),0))),0)))&gt;=100),CHOOSE(ArtifactsInput!$N$42+1,40,48,56,64,72,80),0))))/100)*(((1+(((C2641=TRUE)*F2641*IF(AND(Inputs!$B$39&lt;&gt;"pvp",Inputs!$B$44&gt;0),(((R2641-1)*(Skills!Y21*(1+Inputs!$B$34/100))+MIN((Skills!Y21*(1+Inputs!$B$34/100)),MAX(0,Inputs!$B$44-((R2641-1)*Skills!D21))))/Inputs!$B$44),IF(Inputs!$B$39="pvp",MIN((Skills!Y21*(1+Inputs!$B$34/100)),15)/15,(Skills!Y21*(1+Inputs!$B$34/100))/Skills!D21)))+((C2648=TRUE)*(F2648-Calc!F28))+((C2638=TRUE)*(F2638-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2635=TRUE)*F2635*IF(AND(Inputs!$B$39&lt;&gt;"pvp",Inputs!$B$44&gt;0),(((R2635-1)*(Skills!Y15*(1+Inputs!$B$34/100))+MIN((Skills!Y15*(1+Inputs!$B$34/100)),MAX(0,Inputs!$B$44-((R2635-1)*Skills!D15))))/Inputs!$B$44),IF(Inputs!$B$39="pvp",MIN((Skills!Y15*(1+Inputs!$B$34/100)),15)/15,(Skills!Y15*(1+Inputs!$B$34/100))/Skills!D15)))/100)*(1+((C2626=TRUE)*F2626*B2654)/100))*B2662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2634)</f>
        <v/>
      </c>
      <c r="L2634">
        <f>K2634*(MIN(Inputs!$B$22+((C2644=TRUE)*(F2644-Calc!F24)),(Inputs!$B$23+0+(IF(ArtifactsInput!$M$15,CHOOSE(ArtifactsInput!$N$15+1,25,30,35,40,45,50)/100*(Inputs!$B$11-Inputs!$B$11),0))))/100+(Inputs!$B$23+0+(IF(ArtifactsInput!$M$15,CHOOSE(ArtifactsInput!$N$15+1,25,30,35,40,45,50)/100*(Inputs!$B$11-Inputs!$B$11),0)))/100)/2</f>
        <v/>
      </c>
      <c r="M2634">
        <f>L2634*(1+(Inputs!$B$10+((C2646=TRUE)*(F2646-Calc!F26))+B2663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34">
        <f>L2634*(1-MIN((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2634*(MIN((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34">
        <f>(1-Summary!$B$11)*T2634+Summary!$B$11*V2634</f>
        <v/>
      </c>
      <c r="P2634">
        <f>IF(B2664=0,0,O2634/B2664)</f>
        <v/>
      </c>
      <c r="Q2634">
        <f>IFERROR(1/IF(Inputs!$B$39="pvp",15,MAX(0.1,Skills!D14-IF(Skills!E14=TRUE,Inputs!$B$32,0))),0)</f>
        <v/>
      </c>
      <c r="R2634">
        <f>IF(AND(Inputs!$B$39&lt;&gt;"pvp",Inputs!$B$44&gt;0),IF(MAX(0,Inputs!$B$44-B2665)&lt;=0,0,(INT(MAX(0,Inputs!$B$44-B2665)/IF(Inputs!$B$39="pvp",15,MAX(0.1,Skills!D14-IF(Skills!E14=TRUE,Inputs!$B$32,0))))+1)),0)</f>
        <v/>
      </c>
      <c r="S2634">
        <f>IFERROR(O2634/N2634,0)</f>
        <v/>
      </c>
      <c r="T2634">
        <f>IF(C2634,(H2634*N2634*IF(AND(Inputs!$B$39&lt;&gt;"pvp",Inputs!$B$44&gt;0),((Skills!G14*((R2634-1)*IF(Skills!H14&gt;0,Skills!I14/Skills!H14,1)+IF(Skills!H14&gt;0,MIN(Skills!I14,MAX(0,MAX(0,Inputs!$B$44-B2665)-((R2634-1)*IF(Inputs!$B$39="pvp",15,MAX(0.1,Skills!D14-IF(Skills!E14=TRUE,Inputs!$B$32,0))))))/Skills!H14,1)))/Inputs!$B$44),G2634*Q2634))*IF(Inputs!$B$39="pvp",1,1+(Inputs!$B$20+((C2647=TRUE)*(F2647-Calc!F27))+Skills!P14+B2661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2634*(1-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2634*(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2634*(1-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2634*(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34">
        <f>IF(C2634,(H2634*N2634*IF(AND(Inputs!$B$39&lt;&gt;"pvp",Inputs!$B$44&gt;0),((Skills!G14*((R2634-1)*IF(Skills!H14&gt;0,Skills!I14/Skills!H14,1)+IF(Skills!H14&gt;0,MIN(Skills!I14,MAX(0,MAX(0,Inputs!$B$44-B2665)-((R2634-1)*IF(Inputs!$B$39="pvp",15,MAX(0.1,Skills!D14-IF(Skills!E14=TRUE,Inputs!$B$32,0))))))/Skills!H14,1)))/Inputs!$B$44),G2634*Q2634))*IF(Inputs!$B$39="pvp",1,(1+(Inputs!$B$21+Skills!Q14+B2661+(IF(ArtifactsInput!$M$33,CHOOSE(ArtifactsInput!$N$33+1,30,36,42,48,54,60),0))+(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35">
      <c r="A2635">
        <f>Skills!A15</f>
        <v/>
      </c>
      <c r="B2635">
        <f>Skills!B15</f>
        <v/>
      </c>
      <c r="C2635">
        <f>Inputs!$B$3&gt;=110</f>
        <v/>
      </c>
      <c r="D2635">
        <f>IF(Skills!C15=1,60+Inputs!$B$25+Inputs!$B$29,IF(Skills!C15=2,90+Inputs!$B$26+Inputs!$B$29,IF(Skills!C15=3,120+Inputs!$B$27+Inputs!$B$29,MAX(0,(Inputs!$B$3-100)*3)+Inputs!$B$28+Inputs!$B$29)))</f>
        <v/>
      </c>
      <c r="E2635">
        <f>INDEX(FactorTable!$B$2:$Y$301, MATCH(ROUND(MIN(300,MAX(1,D2635)),0), FactorTable!$A$2:$A$301,0), Skills!M15+1)</f>
        <v/>
      </c>
      <c r="F2635">
        <f>IF(Skills!N15=TRUE,(Skills!L15/10)*(E2635/1000),Skills!L15/10)+Skills!O15</f>
        <v/>
      </c>
      <c r="G2635">
        <f>Calc!G15</f>
        <v/>
      </c>
      <c r="H2635">
        <f>Calc!H15</f>
        <v/>
      </c>
      <c r="I2635">
        <f>IF(Skills!AA15&lt;&gt;"",1+(Skills!AA15/10)*(U2623/1000)/100,1)</f>
        <v/>
      </c>
      <c r="J2635" t="inlineStr"/>
      <c r="K2635" t="inlineStr"/>
      <c r="L2635" t="inlineStr"/>
      <c r="M2635" t="inlineStr"/>
      <c r="N2635" t="inlineStr"/>
      <c r="O2635">
        <f>(1-Summary!$B$11)*T2635+Summary!$B$11*V2635</f>
        <v/>
      </c>
      <c r="P2635">
        <f>IF(B2664=0,0,O2635/B2664)</f>
        <v/>
      </c>
      <c r="Q2635">
        <f>IFERROR(1/IF(Inputs!$B$39="pvp",15,MAX(0.1,Skills!D15-IF(Skills!E15=TRUE,Inputs!$B$32,0))),0)</f>
        <v/>
      </c>
      <c r="R2635">
        <f>IF(AND(Inputs!$B$39&lt;&gt;"pvp",Inputs!$B$44&gt;0),IF(Inputs!$B$44&lt;=0,0,(INT(Inputs!$B$44/IF(Inputs!$B$39="pvp",15,MAX(0.1,Skills!D15-IF(Skills!E15=TRUE,Inputs!$B$32,0))))+1)),0)</f>
        <v/>
      </c>
      <c r="S2635">
        <f>IFERROR(O2635/N2635,0)</f>
        <v/>
      </c>
      <c r="T2635" t="n">
        <v>0</v>
      </c>
      <c r="V2635" t="n">
        <v>0</v>
      </c>
    </row>
    <row r="2636">
      <c r="A2636">
        <f>Skills!A16</f>
        <v/>
      </c>
      <c r="B2636">
        <f>Skills!B16</f>
        <v/>
      </c>
      <c r="C2636">
        <f>Inputs!$B$3&gt;=110</f>
        <v/>
      </c>
      <c r="D2636">
        <f>IF(Skills!C16=1,60+Inputs!$B$25+Inputs!$B$29,IF(Skills!C16=2,90+Inputs!$B$26+Inputs!$B$29,IF(Skills!C16=3,120+Inputs!$B$27+Inputs!$B$29,MAX(0,(Inputs!$B$3-100)*3)+Inputs!$B$28+Inputs!$B$29)))</f>
        <v/>
      </c>
      <c r="E2636">
        <f>INDEX(FactorTable!$B$2:$Y$301, MATCH(ROUND(MIN(300,MAX(1,D2636)),0), FactorTable!$A$2:$A$301,0), Skills!M16+1)</f>
        <v/>
      </c>
      <c r="F2636">
        <f>IF(Skills!N16=TRUE,(Skills!L16/10)*(E2636/1000),Skills!L16/10)+Skills!O16</f>
        <v/>
      </c>
      <c r="G2636">
        <f>Calc!G16</f>
        <v/>
      </c>
      <c r="H2636">
        <f>Calc!H16</f>
        <v/>
      </c>
      <c r="I2636">
        <f>IF(Skills!AA16&lt;&gt;"",1+(Skills!AA16/10)*(U2623/1000)/100,1)</f>
        <v/>
      </c>
      <c r="J2636" t="inlineStr"/>
      <c r="K2636" t="inlineStr"/>
      <c r="L2636" t="inlineStr"/>
      <c r="M2636" t="inlineStr"/>
      <c r="N2636" t="inlineStr"/>
      <c r="O2636">
        <f>(1-Summary!$B$11)*T2636+Summary!$B$11*V2636</f>
        <v/>
      </c>
      <c r="P2636">
        <f>IF(B2664=0,0,O2636/B2664)</f>
        <v/>
      </c>
      <c r="Q2636">
        <f>IFERROR(1/IF(Inputs!$B$39="pvp",15,MAX(0.1,Skills!D16-IF(Skills!E16=TRUE,Inputs!$B$32,0))),0)</f>
        <v/>
      </c>
      <c r="R2636">
        <f>IF(AND(Inputs!$B$39&lt;&gt;"pvp",Inputs!$B$44&gt;0),IF(Inputs!$B$44&lt;=0,0,(INT(Inputs!$B$44/IF(Inputs!$B$39="pvp",15,MAX(0.1,Skills!D16-IF(Skills!E16=TRUE,Inputs!$B$32,0))))+1)),0)</f>
        <v/>
      </c>
      <c r="S2636">
        <f>IFERROR(O2636/N2636,0)</f>
        <v/>
      </c>
      <c r="T2636" t="n">
        <v>0</v>
      </c>
      <c r="V2636" t="n">
        <v>0</v>
      </c>
    </row>
    <row r="2637">
      <c r="A2637">
        <f>Skills!A17</f>
        <v/>
      </c>
      <c r="B2637">
        <f>Skills!B17</f>
        <v/>
      </c>
      <c r="C2637">
        <f>Inputs!$B$3&gt;=115</f>
        <v/>
      </c>
      <c r="D2637">
        <f>IF(Skills!C17=1,60+Inputs!$B$25+Inputs!$B$29,IF(Skills!C17=2,90+Inputs!$B$26+Inputs!$B$29,IF(Skills!C17=3,120+Inputs!$B$27+Inputs!$B$29,MAX(0,(Inputs!$B$3-100)*3)+Inputs!$B$28+Inputs!$B$29)))</f>
        <v/>
      </c>
      <c r="E2637">
        <f>INDEX(FactorTable!$B$2:$Y$301, MATCH(ROUND(MIN(300,MAX(1,D2637)),0), FactorTable!$A$2:$A$301,0), Skills!M17+1)</f>
        <v/>
      </c>
      <c r="F2637">
        <f>IF(Skills!N17=TRUE,(Skills!L17/10)*(E2637/1000),Skills!L17/10)+Skills!O17</f>
        <v/>
      </c>
      <c r="G2637">
        <f>Calc!G17</f>
        <v/>
      </c>
      <c r="H2637">
        <f>Calc!H17</f>
        <v/>
      </c>
      <c r="I2637">
        <f>IF(Skills!AA17&lt;&gt;"",1+(Skills!AA17/10)*(U2623/1000)/100,1)</f>
        <v/>
      </c>
      <c r="J2637">
        <f>((Inputs!$B$6*(1+Inputs!$B$7/100))+(((Inputs!$B$12*(1+Inputs!$B$13/100))-(Inputs!$B$12*(1+Inputs!$B$13/100)))+0.25*(Inputs!$B$14-Inputs!$B$14))*(1+Inputs!$B$7/100))*(F2637/100)</f>
        <v/>
      </c>
      <c r="K2637">
        <f>J2637*(1+((Inputs!$B$12*(1+Inputs!$B$13/100))*0.01+Inputs!$B$14*0.0025)/100)*(1+Inputs!$B$15/100)*(1+Inputs!$B$16/100)*(5000/(6000+Inputs!$B$43*(1-(100*(1-(1-(Inputs!$B$19+0)/100)*(1-CHOOSE(ArtifactsInput!$N$40+1,5,6,7,8,9,10)/100)^(ArtifactsInput!$M$40-ArtifactsInput!$M$40)))/100)))*(1+(Inputs!$B$24+((C2650=TRUE)*(F2650-Calc!F30)))/100)*(1+Skills!R17/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2643=TRUE)*(F2643-Calc!F23))+(((IF(AND(ArtifactsInput!$M$42,((Inputs!$B$9+((C2645=TRUE)*(F2645-Calc!F25))+B2660+(ArtifactsInput!$M$24-ArtifactsInput!$M$24)*CHOOSE(ArtifactsInput!$N$24+1,10,12,14,16,18,20)+IF(ArtifactsInput!$M$10,CHOOSE(ArtifactsInput!$N$10+1,15,18,21,24,27,30)*(IF(Inputs!$B$39="pvp",MIN(15,15)/15,IF(AND(Inputs!$B$39&lt;&gt;"pvp",Inputs!$B$44&gt;0),MIN(15,Inputs!$B$44)/(Inputs!$B$44),0))),0)))&gt;=100),MIN(100,((Inputs!$B$9+((C2645=TRUE)*(F2645-Calc!F25))+B2660+(ArtifactsInput!$M$24-ArtifactsInput!$M$24)*CHOOSE(ArtifactsInput!$N$24+1,10,12,14,16,18,20)+IF(ArtifactsInput!$M$10,CHOOSE(ArtifactsInput!$N$10+1,15,18,21,24,27,30)*(IF(Inputs!$B$39="pvp",MIN(15,15)/15,IF(AND(Inputs!$B$39&lt;&gt;"pvp",Inputs!$B$44&gt;0),MIN(15,Inputs!$B$44)/(Inputs!$B$44),0))),0)))-100),0))*CHOOSE(ArtifactsInput!$N$42+1,0.6,0.72,0.84,0.96,1.08,1.2))),Inputs!$B$18+((C2649=TRUE)*(F2649-Calc!F29))+(IF(AND(ArtifactsInput!$M$42,((Inputs!$B$9+((C2645=TRUE)*(F2645-Calc!F25))+B2660+(ArtifactsInput!$M$24-ArtifactsInput!$M$24)*CHOOSE(ArtifactsInput!$N$24+1,10,12,14,16,18,20)+IF(ArtifactsInput!$M$10,CHOOSE(ArtifactsInput!$N$10+1,15,18,21,24,27,30)*(IF(Inputs!$B$39="pvp",MIN(15,15)/15,IF(AND(Inputs!$B$39&lt;&gt;"pvp",Inputs!$B$44&gt;0),MIN(15,Inputs!$B$44)/(Inputs!$B$44),0))),0)))&gt;=100),CHOOSE(ArtifactsInput!$N$42+1,40,48,56,64,72,80),0))))/100)*(((1+(((C2641=TRUE)*F2641*IF(AND(Inputs!$B$39&lt;&gt;"pvp",Inputs!$B$44&gt;0),(((R2641-1)*(Skills!Y21*(1+Inputs!$B$34/100))+MIN((Skills!Y21*(1+Inputs!$B$34/100)),MAX(0,Inputs!$B$44-((R2641-1)*Skills!D21))))/Inputs!$B$44),IF(Inputs!$B$39="pvp",MIN((Skills!Y21*(1+Inputs!$B$34/100)),15)/15,(Skills!Y21*(1+Inputs!$B$34/100))/Skills!D21)))+((C2648=TRUE)*(F2648-Calc!F28))+((C2638=TRUE)*(F2638-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2635=TRUE)*F2635*IF(AND(Inputs!$B$39&lt;&gt;"pvp",Inputs!$B$44&gt;0),(((R2635-1)*(Skills!Y15*(1+Inputs!$B$34/100))+MIN((Skills!Y15*(1+Inputs!$B$34/100)),MAX(0,Inputs!$B$44-((R2635-1)*Skills!D15))))/Inputs!$B$44),IF(Inputs!$B$39="pvp",MIN((Skills!Y15*(1+Inputs!$B$34/100)),15)/15,(Skills!Y15*(1+Inputs!$B$34/100))/Skills!D15)))/100)*(1+((C2626=TRUE)*F2626*B2654)/100))*B2662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2637)</f>
        <v/>
      </c>
      <c r="L2637">
        <f>K2637*(MIN(Inputs!$B$22+((C2644=TRUE)*(F2644-Calc!F24)),(Inputs!$B$23+0+(IF(ArtifactsInput!$M$15,CHOOSE(ArtifactsInput!$N$15+1,25,30,35,40,45,50)/100*(Inputs!$B$11-Inputs!$B$11),0))))/100+(Inputs!$B$23+0+(IF(ArtifactsInput!$M$15,CHOOSE(ArtifactsInput!$N$15+1,25,30,35,40,45,50)/100*(Inputs!$B$11-Inputs!$B$11),0)))/100)/2</f>
        <v/>
      </c>
      <c r="M2637">
        <f>L2637*(1+(Inputs!$B$10+((C2646=TRUE)*(F2646-Calc!F26))+B2663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37">
        <f>L2637*(1-MIN((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2637*(MIN((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37">
        <f>(1-Summary!$B$11)*T2637+Summary!$B$11*V2637</f>
        <v/>
      </c>
      <c r="P2637">
        <f>IF(B2664=0,0,O2637/B2664)</f>
        <v/>
      </c>
      <c r="Q2637" t="n">
        <v>0</v>
      </c>
      <c r="R2637" t="n">
        <v>0</v>
      </c>
      <c r="S2637">
        <f>IFERROR(O2637/N2637,0)</f>
        <v/>
      </c>
      <c r="T2637">
        <f>IF(C2637,(Inputs!$B$38*0.2*N2637)*IF(Inputs!$B$39="pvp",1,1+(Inputs!$B$20+((C2647=TRUE)*(F2647-Calc!F27))+Skills!P17+B2661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2637*(1-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2637*(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2637*(1-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2637*(MIN(100,(Inputs!$B$9+((C2645=TRUE)*(F2645-Calc!F25))+B2660+(ArtifactsInput!$M$24-ArtifactsInput!$M$24)*CHOOSE(ArtifactsInput!$N$24+1,10,12,14,16,18,20)+(IF(AND(ArtifactsInput!$M$42,((Inputs!$B$9+((C2645=TRUE)*(F2645-Calc!F25))+B2660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37">
        <f>IF(C2637,(Inputs!$B$38*0.2*N2637)*IF(Inputs!$B$39="pvp",1,(1+(Inputs!$B$21+Skills!Q17+B2661+(IF(ArtifactsInput!$M$33,CHOOSE(ArtifactsInput!$N$33+1,30,36,42,48,54,60),0))+(IF(AND(ArtifactsInput!$M$35,Inputs!$B$4&lt;&gt;"Chapter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38">
      <c r="A2638">
        <f>Skills!A18</f>
        <v/>
      </c>
      <c r="B2638">
        <f>Skills!B18</f>
        <v/>
      </c>
      <c r="C2638">
        <f>Inputs!$B$3&gt;=115</f>
        <v/>
      </c>
      <c r="D2638">
        <f>IF(Skills!C18=1,60+Inputs!$B$25+Inputs!$B$29,IF(Skills!C18=2,90+Inputs!$B$26+Inputs!$B$29,IF(Skills!C18=3,120+Inputs!$B$27+Inputs!$B$29,MAX(0,(Inputs!$B$3-100)*3)+Inputs!$B$28+Inputs!$B$29)))</f>
        <v/>
      </c>
      <c r="E2638">
        <f>INDEX(FactorTable!$B$2:$Y$301, MATCH(ROUND(MIN(300,MAX(1,D2638)),0), FactorTable!$A$2:$A$301,0), Skills!M18+1)</f>
        <v/>
      </c>
      <c r="F2638">
        <f>IF(Skills!N18=TRUE,(Skills!L18/10)*(E2638/1000),Skills!L18/10)+Skills!O18</f>
        <v/>
      </c>
      <c r="G2638">
        <f>Calc!G18</f>
        <v/>
      </c>
      <c r="H2638">
        <f>Calc!H18</f>
        <v/>
      </c>
      <c r="I2638">
        <f>IF(Skills!AA18&lt;&gt;"",1+(Skills!AA18/10)*(U2623/1000)/100,1)</f>
        <v/>
      </c>
      <c r="J2638" t="inlineStr"/>
      <c r="K2638" t="inlineStr"/>
      <c r="L2638" t="inlineStr"/>
      <c r="M2638" t="inlineStr"/>
      <c r="N2638" t="inlineStr"/>
      <c r="O2638">
        <f>(1-Summary!$B$11)*T2638+Summary!$B$11*V2638</f>
        <v/>
      </c>
      <c r="P2638">
        <f>IF(B2664=0,0,O2638/B2664)</f>
        <v/>
      </c>
      <c r="Q2638" t="n">
        <v>0</v>
      </c>
      <c r="R2638" t="n">
        <v>0</v>
      </c>
      <c r="S2638">
        <f>IFERROR(O2638/N2638,0)</f>
        <v/>
      </c>
      <c r="T2638" t="n">
        <v>0</v>
      </c>
      <c r="V2638" t="n">
        <v>0</v>
      </c>
    </row>
    <row r="2639">
      <c r="A2639">
        <f>Skills!A19</f>
        <v/>
      </c>
      <c r="B2639">
        <f>Skills!B19</f>
        <v/>
      </c>
      <c r="C2639">
        <f>TRUE</f>
        <v/>
      </c>
      <c r="D2639">
        <f>IF(Skills!C19=1,60+Inputs!$B$25+Inputs!$B$29,IF(Skills!C19=2,90+Inputs!$B$26+Inputs!$B$29,IF(Skills!C19=3,120+Inputs!$B$27+Inputs!$B$29,MAX(0,(Inputs!$B$3-100)*3)+Inputs!$B$28+Inputs!$B$29)))</f>
        <v/>
      </c>
      <c r="E2639">
        <f>INDEX(FactorTable!$B$2:$Y$301, MATCH(ROUND(MIN(300,MAX(1,D2639)),0), FactorTable!$A$2:$A$301,0), Skills!M19+1)</f>
        <v/>
      </c>
      <c r="F2639">
        <f>IF(Skills!N19=TRUE,(Skills!L19/10)*(E2639/1000),Skills!L19/10)+Skills!O19</f>
        <v/>
      </c>
      <c r="G2639">
        <f>Calc!G19</f>
        <v/>
      </c>
      <c r="H2639">
        <f>Calc!H19</f>
        <v/>
      </c>
      <c r="I2639">
        <f>IF(Skills!AA19&lt;&gt;"",1+(Skills!AA19/10)*(U2623/1000)/100,1)</f>
        <v/>
      </c>
      <c r="J2639" t="inlineStr"/>
      <c r="K2639" t="inlineStr"/>
      <c r="L2639" t="inlineStr"/>
      <c r="M2639" t="inlineStr"/>
      <c r="N2639" t="inlineStr"/>
      <c r="O2639">
        <f>(1-Summary!$B$11)*T2639+Summary!$B$11*V2639</f>
        <v/>
      </c>
      <c r="P2639">
        <f>IF(B2664=0,0,O2639/B2664)</f>
        <v/>
      </c>
      <c r="Q2639">
        <f>IFERROR(1/IF(Inputs!$B$39="pvp",15,MAX(0.1,Skills!D19-IF(Skills!E19=TRUE,Inputs!$B$32,0))),0)</f>
        <v/>
      </c>
      <c r="R2639">
        <f>IF(AND(Inputs!$B$39&lt;&gt;"pvp",Inputs!$B$44&gt;0),IF(Inputs!$B$44&lt;=0,0,(INT(Inputs!$B$44/IF(Inputs!$B$39="pvp",15,MAX(0.1,Skills!D19-IF(Skills!E19=TRUE,Inputs!$B$32,0))))+1)),0)</f>
        <v/>
      </c>
      <c r="S2639">
        <f>IFERROR(O2639/N2639,0)</f>
        <v/>
      </c>
      <c r="T2639" t="n">
        <v>0</v>
      </c>
      <c r="V2639" t="n">
        <v>0</v>
      </c>
    </row>
    <row r="2640">
      <c r="A2640">
        <f>Skills!A20</f>
        <v/>
      </c>
      <c r="B2640">
        <f>Skills!B20</f>
        <v/>
      </c>
      <c r="C2640">
        <f>Inputs!$B$3&gt;=15</f>
        <v/>
      </c>
      <c r="D2640">
        <f>IF(Skills!C20=1,60+Inputs!$B$25+Inputs!$B$29,IF(Skills!C20=2,90+Inputs!$B$26+Inputs!$B$29,IF(Skills!C20=3,120+Inputs!$B$27+Inputs!$B$29,MAX(0,(Inputs!$B$3-100)*3)+Inputs!$B$28+Inputs!$B$29)))</f>
        <v/>
      </c>
      <c r="E2640">
        <f>INDEX(FactorTable!$B$2:$Y$301, MATCH(ROUND(MIN(300,MAX(1,D2640)),0), FactorTable!$A$2:$A$301,0), Skills!M20+1)</f>
        <v/>
      </c>
      <c r="F2640">
        <f>IF(Skills!N20=TRUE,(Skills!L20/10)*(E2640/1000),Skills!L20/10)+Skills!O20</f>
        <v/>
      </c>
      <c r="G2640">
        <f>Calc!G20</f>
        <v/>
      </c>
      <c r="H2640">
        <f>Calc!H20</f>
        <v/>
      </c>
      <c r="I2640">
        <f>IF(Skills!AA20&lt;&gt;"",1+(Skills!AA20/10)*(U2623/1000)/100,1)</f>
        <v/>
      </c>
      <c r="J2640" t="inlineStr"/>
      <c r="K2640" t="inlineStr"/>
      <c r="L2640" t="inlineStr"/>
      <c r="M2640" t="inlineStr"/>
      <c r="N2640" t="inlineStr"/>
      <c r="O2640">
        <f>(1-Summary!$B$11)*T2640+Summary!$B$11*V2640</f>
        <v/>
      </c>
      <c r="P2640">
        <f>IF(B2664=0,0,O2640/B2664)</f>
        <v/>
      </c>
      <c r="Q2640">
        <f>IFERROR(1/IF(Inputs!$B$39="pvp",15,MAX(0.1,Skills!D20-IF(Skills!E20=TRUE,Inputs!$B$32,0))),0)</f>
        <v/>
      </c>
      <c r="R2640">
        <f>IF(AND(Inputs!$B$39&lt;&gt;"pvp",Inputs!$B$44&gt;0),IF(Inputs!$B$44&lt;=0,0,(INT(Inputs!$B$44/IF(Inputs!$B$39="pvp",15,MAX(0.1,Skills!D20-IF(Skills!E20=TRUE,Inputs!$B$32,0))))+1)),0)</f>
        <v/>
      </c>
      <c r="S2640">
        <f>IFERROR(O2640/N2640,0)</f>
        <v/>
      </c>
      <c r="T2640" t="n">
        <v>0</v>
      </c>
      <c r="V2640" t="n">
        <v>0</v>
      </c>
    </row>
    <row r="2641">
      <c r="A2641">
        <f>Skills!A21</f>
        <v/>
      </c>
      <c r="B2641">
        <f>Skills!B21</f>
        <v/>
      </c>
      <c r="C2641">
        <f>Inputs!$B$3&gt;=15</f>
        <v/>
      </c>
      <c r="D2641">
        <f>IF(Skills!C21=1,60+Inputs!$B$25+Inputs!$B$29,IF(Skills!C21=2,90+Inputs!$B$26+Inputs!$B$29,IF(Skills!C21=3,120+Inputs!$B$27+Inputs!$B$29,MAX(0,(Inputs!$B$3-100)*3)+Inputs!$B$28+Inputs!$B$29)))</f>
        <v/>
      </c>
      <c r="E2641">
        <f>INDEX(FactorTable!$B$2:$Y$301, MATCH(ROUND(MIN(300,MAX(1,D2641)),0), FactorTable!$A$2:$A$301,0), Skills!M21+1)</f>
        <v/>
      </c>
      <c r="F2641">
        <f>IF(Skills!N21=TRUE,(Skills!L21/10)*(E2641/1000),Skills!L21/10)+Skills!O21</f>
        <v/>
      </c>
      <c r="G2641">
        <f>Calc!G21</f>
        <v/>
      </c>
      <c r="H2641">
        <f>Calc!H21</f>
        <v/>
      </c>
      <c r="I2641">
        <f>IF(Skills!AA21&lt;&gt;"",1+(Skills!AA21/10)*(U2623/1000)/100,1)</f>
        <v/>
      </c>
      <c r="J2641" t="inlineStr"/>
      <c r="K2641" t="inlineStr"/>
      <c r="L2641" t="inlineStr"/>
      <c r="M2641" t="inlineStr"/>
      <c r="N2641" t="inlineStr"/>
      <c r="O2641">
        <f>(1-Summary!$B$11)*T2641+Summary!$B$11*V2641</f>
        <v/>
      </c>
      <c r="P2641">
        <f>IF(B2664=0,0,O2641/B2664)</f>
        <v/>
      </c>
      <c r="Q2641">
        <f>IFERROR(1/IF(Inputs!$B$39="pvp",15,MAX(0.1,Skills!D21-IF(Skills!E21=TRUE,Inputs!$B$32,0))),0)</f>
        <v/>
      </c>
      <c r="R2641">
        <f>IF(AND(Inputs!$B$39&lt;&gt;"pvp",Inputs!$B$44&gt;0),IF(Inputs!$B$44&lt;=0,0,(INT(Inputs!$B$44/IF(Inputs!$B$39="pvp",15,MAX(0.1,Skills!D21-IF(Skills!E21=TRUE,Inputs!$B$32,0))))+1)),0)</f>
        <v/>
      </c>
      <c r="S2641">
        <f>IFERROR(O2641/N2641,0)</f>
        <v/>
      </c>
      <c r="T2641" t="n">
        <v>0</v>
      </c>
      <c r="V2641" t="n">
        <v>0</v>
      </c>
    </row>
    <row r="2642">
      <c r="A2642">
        <f>Skills!A22</f>
        <v/>
      </c>
      <c r="B2642">
        <f>Skills!B22</f>
        <v/>
      </c>
      <c r="C2642">
        <f>Inputs!$B$3&gt;=33</f>
        <v/>
      </c>
      <c r="D2642">
        <f>IF(Skills!C22=1,60+Inputs!$B$25+Inputs!$B$29,IF(Skills!C22=2,90+Inputs!$B$26+Inputs!$B$29,IF(Skills!C22=3,120+Inputs!$B$27+Inputs!$B$29,MAX(0,(Inputs!$B$3-100)*3)+Inputs!$B$28+Inputs!$B$29)))</f>
        <v/>
      </c>
      <c r="E2642">
        <f>INDEX(FactorTable!$B$2:$Y$301, MATCH(ROUND(MIN(300,MAX(1,D2642)),0), FactorTable!$A$2:$A$301,0), Skills!M22+1)</f>
        <v/>
      </c>
      <c r="F2642">
        <f>IF(Skills!N22=TRUE,(Skills!L22/10)*(E2642/1000),Skills!L22/10)+Skills!O22</f>
        <v/>
      </c>
      <c r="G2642">
        <f>Calc!G22</f>
        <v/>
      </c>
      <c r="H2642">
        <f>Calc!H22</f>
        <v/>
      </c>
      <c r="I2642">
        <f>IF(Skills!AA22&lt;&gt;"",1+(Skills!AA22/10)*(U2623/1000)/100,1)</f>
        <v/>
      </c>
      <c r="J2642" t="inlineStr"/>
      <c r="K2642" t="inlineStr"/>
      <c r="L2642" t="inlineStr"/>
      <c r="M2642" t="inlineStr"/>
      <c r="N2642" t="inlineStr"/>
      <c r="O2642">
        <f>(1-Summary!$B$11)*T2642+Summary!$B$11*V2642</f>
        <v/>
      </c>
      <c r="P2642">
        <f>IF(B2664=0,0,O2642/B2664)</f>
        <v/>
      </c>
      <c r="Q2642" t="n">
        <v>0</v>
      </c>
      <c r="R2642" t="n">
        <v>0</v>
      </c>
      <c r="S2642">
        <f>IFERROR(O2642/N2642,0)</f>
        <v/>
      </c>
      <c r="T2642" t="n">
        <v>0</v>
      </c>
      <c r="V2642" t="n">
        <v>0</v>
      </c>
    </row>
    <row r="2643">
      <c r="A2643">
        <f>Skills!A23</f>
        <v/>
      </c>
      <c r="B2643">
        <f>Skills!B23</f>
        <v/>
      </c>
      <c r="C2643">
        <f>Inputs!$B$3&gt;=38</f>
        <v/>
      </c>
      <c r="D2643">
        <f>IF(Skills!C23=1,60+Inputs!$B$25+Inputs!$B$29,IF(Skills!C23=2,90+Inputs!$B$26+Inputs!$B$29,IF(Skills!C23=3,120+Inputs!$B$27+Inputs!$B$29,MAX(0,(Inputs!$B$3-100)*3)+Inputs!$B$28+Inputs!$B$29)))</f>
        <v/>
      </c>
      <c r="E2643">
        <f>INDEX(FactorTable!$B$2:$Y$301, MATCH(ROUND(MIN(300,MAX(1,D2643)),0), FactorTable!$A$2:$A$301,0), Skills!M23+1)</f>
        <v/>
      </c>
      <c r="F2643">
        <f>IF(Skills!N23=TRUE,(Skills!L23/10)*(E2643/1000),Skills!L23/10)+Skills!O23</f>
        <v/>
      </c>
      <c r="G2643">
        <f>Calc!G23</f>
        <v/>
      </c>
      <c r="H2643">
        <f>Calc!H23</f>
        <v/>
      </c>
      <c r="I2643">
        <f>IF(Skills!AA23&lt;&gt;"",1+(Skills!AA23/10)*(U2623/1000)/100,1)</f>
        <v/>
      </c>
      <c r="J2643" t="inlineStr"/>
      <c r="K2643" t="inlineStr"/>
      <c r="L2643" t="inlineStr"/>
      <c r="M2643" t="inlineStr"/>
      <c r="N2643" t="inlineStr"/>
      <c r="O2643">
        <f>(1-Summary!$B$11)*T2643+Summary!$B$11*V2643</f>
        <v/>
      </c>
      <c r="P2643">
        <f>IF(B2664=0,0,O2643/B2664)</f>
        <v/>
      </c>
      <c r="Q2643" t="n">
        <v>0</v>
      </c>
      <c r="R2643" t="n">
        <v>0</v>
      </c>
      <c r="S2643">
        <f>IFERROR(O2643/N2643,0)</f>
        <v/>
      </c>
      <c r="T2643" t="n">
        <v>0</v>
      </c>
      <c r="V2643" t="n">
        <v>0</v>
      </c>
    </row>
    <row r="2644">
      <c r="A2644">
        <f>Skills!A24</f>
        <v/>
      </c>
      <c r="B2644">
        <f>Skills!B24</f>
        <v/>
      </c>
      <c r="C2644">
        <f>Inputs!$B$3&gt;=40</f>
        <v/>
      </c>
      <c r="D2644">
        <f>IF(Skills!C24=1,60+Inputs!$B$25+Inputs!$B$29,IF(Skills!C24=2,90+Inputs!$B$26+Inputs!$B$29,IF(Skills!C24=3,120+Inputs!$B$27+Inputs!$B$29,MAX(0,(Inputs!$B$3-100)*3)+Inputs!$B$28+Inputs!$B$29)))</f>
        <v/>
      </c>
      <c r="E2644">
        <f>INDEX(FactorTable!$B$2:$Y$301, MATCH(ROUND(MIN(300,MAX(1,D2644)),0), FactorTable!$A$2:$A$301,0), Skills!M24+1)</f>
        <v/>
      </c>
      <c r="F2644">
        <f>IF(Skills!N24=TRUE,(Skills!L24/10)*(E2644/1000),Skills!L24/10)+Skills!O24</f>
        <v/>
      </c>
      <c r="G2644">
        <f>Calc!G24</f>
        <v/>
      </c>
      <c r="H2644">
        <f>Calc!H24</f>
        <v/>
      </c>
      <c r="I2644">
        <f>IF(Skills!AA24&lt;&gt;"",1+(Skills!AA24/10)*(U2623/1000)/100,1)</f>
        <v/>
      </c>
      <c r="J2644" t="inlineStr"/>
      <c r="K2644" t="inlineStr"/>
      <c r="L2644" t="inlineStr"/>
      <c r="M2644" t="inlineStr"/>
      <c r="N2644" t="inlineStr"/>
      <c r="O2644">
        <f>(1-Summary!$B$11)*T2644+Summary!$B$11*V2644</f>
        <v/>
      </c>
      <c r="P2644">
        <f>IF(B2664=0,0,O2644/B2664)</f>
        <v/>
      </c>
      <c r="Q2644" t="n">
        <v>0</v>
      </c>
      <c r="R2644" t="n">
        <v>0</v>
      </c>
      <c r="S2644">
        <f>IFERROR(O2644/N2644,0)</f>
        <v/>
      </c>
      <c r="T2644" t="n">
        <v>0</v>
      </c>
      <c r="V2644" t="n">
        <v>0</v>
      </c>
    </row>
    <row r="2645">
      <c r="A2645">
        <f>Skills!A25</f>
        <v/>
      </c>
      <c r="B2645">
        <f>Skills!B25</f>
        <v/>
      </c>
      <c r="C2645">
        <f>Inputs!$B$3&gt;=45</f>
        <v/>
      </c>
      <c r="D2645">
        <f>IF(Skills!C25=1,60+Inputs!$B$25+Inputs!$B$29,IF(Skills!C25=2,90+Inputs!$B$26+Inputs!$B$29,IF(Skills!C25=3,120+Inputs!$B$27+Inputs!$B$29,MAX(0,(Inputs!$B$3-100)*3)+Inputs!$B$28+Inputs!$B$29)))</f>
        <v/>
      </c>
      <c r="E2645">
        <f>INDEX(FactorTable!$B$2:$Y$301, MATCH(ROUND(MIN(300,MAX(1,D2645)),0), FactorTable!$A$2:$A$301,0), Skills!M25+1)</f>
        <v/>
      </c>
      <c r="F2645">
        <f>IF(Skills!N25=TRUE,(Skills!L25/10)*(E2645/1000),Skills!L25/10)+Skills!O25</f>
        <v/>
      </c>
      <c r="G2645">
        <f>Calc!G25</f>
        <v/>
      </c>
      <c r="H2645">
        <f>Calc!H25</f>
        <v/>
      </c>
      <c r="I2645">
        <f>IF(Skills!AA25&lt;&gt;"",1+(Skills!AA25/10)*(U2623/1000)/100,1)</f>
        <v/>
      </c>
      <c r="J2645" t="inlineStr"/>
      <c r="K2645" t="inlineStr"/>
      <c r="L2645" t="inlineStr"/>
      <c r="M2645" t="inlineStr"/>
      <c r="N2645" t="inlineStr"/>
      <c r="O2645">
        <f>(1-Summary!$B$11)*T2645+Summary!$B$11*V2645</f>
        <v/>
      </c>
      <c r="P2645">
        <f>IF(B2664=0,0,O2645/B2664)</f>
        <v/>
      </c>
      <c r="Q2645" t="n">
        <v>0</v>
      </c>
      <c r="R2645" t="n">
        <v>0</v>
      </c>
      <c r="S2645">
        <f>IFERROR(O2645/N2645,0)</f>
        <v/>
      </c>
      <c r="T2645" t="n">
        <v>0</v>
      </c>
      <c r="V2645" t="n">
        <v>0</v>
      </c>
    </row>
    <row r="2646">
      <c r="A2646">
        <f>Skills!A26</f>
        <v/>
      </c>
      <c r="B2646">
        <f>Skills!B26</f>
        <v/>
      </c>
      <c r="C2646">
        <f>Inputs!$B$3&gt;=45</f>
        <v/>
      </c>
      <c r="D2646">
        <f>IF(Skills!C26=1,60+Inputs!$B$25+Inputs!$B$29,IF(Skills!C26=2,90+Inputs!$B$26+Inputs!$B$29,IF(Skills!C26=3,120+Inputs!$B$27+Inputs!$B$29,MAX(0,(Inputs!$B$3-100)*3)+Inputs!$B$28+Inputs!$B$29)))</f>
        <v/>
      </c>
      <c r="E2646">
        <f>INDEX(FactorTable!$B$2:$Y$301, MATCH(ROUND(MIN(300,MAX(1,D2646)),0), FactorTable!$A$2:$A$301,0), Skills!M26+1)</f>
        <v/>
      </c>
      <c r="F2646">
        <f>IF(Skills!N26=TRUE,(Skills!L26/10)*(E2646/1000),Skills!L26/10)+Skills!O26</f>
        <v/>
      </c>
      <c r="G2646">
        <f>Calc!G26</f>
        <v/>
      </c>
      <c r="H2646">
        <f>Calc!H26</f>
        <v/>
      </c>
      <c r="I2646">
        <f>IF(Skills!AA26&lt;&gt;"",1+(Skills!AA26/10)*(U2623/1000)/100,1)</f>
        <v/>
      </c>
      <c r="J2646" t="inlineStr"/>
      <c r="K2646" t="inlineStr"/>
      <c r="L2646" t="inlineStr"/>
      <c r="M2646" t="inlineStr"/>
      <c r="N2646" t="inlineStr"/>
      <c r="O2646">
        <f>(1-Summary!$B$11)*T2646+Summary!$B$11*V2646</f>
        <v/>
      </c>
      <c r="P2646">
        <f>IF(B2664=0,0,O2646/B2664)</f>
        <v/>
      </c>
      <c r="Q2646" t="n">
        <v>0</v>
      </c>
      <c r="R2646" t="n">
        <v>0</v>
      </c>
      <c r="S2646">
        <f>IFERROR(O2646/N2646,0)</f>
        <v/>
      </c>
      <c r="T2646" t="n">
        <v>0</v>
      </c>
      <c r="V2646" t="n">
        <v>0</v>
      </c>
    </row>
    <row r="2647">
      <c r="A2647">
        <f>Skills!A27</f>
        <v/>
      </c>
      <c r="B2647">
        <f>Skills!B27</f>
        <v/>
      </c>
      <c r="C2647">
        <f>Inputs!$B$3&gt;=72</f>
        <v/>
      </c>
      <c r="D2647">
        <f>IF(Skills!C27=1,60+Inputs!$B$25+Inputs!$B$29,IF(Skills!C27=2,90+Inputs!$B$26+Inputs!$B$29,IF(Skills!C27=3,120+Inputs!$B$27+Inputs!$B$29,MAX(0,(Inputs!$B$3-100)*3)+Inputs!$B$28+Inputs!$B$29)))</f>
        <v/>
      </c>
      <c r="E2647">
        <f>INDEX(FactorTable!$B$2:$Y$301, MATCH(ROUND(MIN(300,MAX(1,D2647)),0), FactorTable!$A$2:$A$301,0), Skills!M27+1)</f>
        <v/>
      </c>
      <c r="F2647">
        <f>IF(Skills!N27=TRUE,(Skills!L27/10)*(E2647/1000),Skills!L27/10)+Skills!O27</f>
        <v/>
      </c>
      <c r="G2647">
        <f>Calc!G27</f>
        <v/>
      </c>
      <c r="H2647">
        <f>Calc!H27</f>
        <v/>
      </c>
      <c r="I2647">
        <f>IF(Skills!AA27&lt;&gt;"",1+(Skills!AA27/10)*(U2623/1000)/100,1)</f>
        <v/>
      </c>
      <c r="J2647" t="inlineStr"/>
      <c r="K2647" t="inlineStr"/>
      <c r="L2647" t="inlineStr"/>
      <c r="M2647" t="inlineStr"/>
      <c r="N2647" t="inlineStr"/>
      <c r="O2647">
        <f>(1-Summary!$B$11)*T2647+Summary!$B$11*V2647</f>
        <v/>
      </c>
      <c r="P2647">
        <f>IF(B2664=0,0,O2647/B2664)</f>
        <v/>
      </c>
      <c r="Q2647" t="n">
        <v>0</v>
      </c>
      <c r="R2647" t="n">
        <v>0</v>
      </c>
      <c r="S2647">
        <f>IFERROR(O2647/N2647,0)</f>
        <v/>
      </c>
      <c r="T2647" t="n">
        <v>0</v>
      </c>
      <c r="V2647" t="n">
        <v>0</v>
      </c>
    </row>
    <row r="2648">
      <c r="A2648">
        <f>Skills!A28</f>
        <v/>
      </c>
      <c r="B2648">
        <f>Skills!B28</f>
        <v/>
      </c>
      <c r="C2648">
        <f>Inputs!$B$3&gt;=75</f>
        <v/>
      </c>
      <c r="D2648">
        <f>IF(Skills!C28=1,60+Inputs!$B$25+Inputs!$B$29,IF(Skills!C28=2,90+Inputs!$B$26+Inputs!$B$29,IF(Skills!C28=3,120+Inputs!$B$27+Inputs!$B$29,MAX(0,(Inputs!$B$3-100)*3)+Inputs!$B$28+Inputs!$B$29)))</f>
        <v/>
      </c>
      <c r="E2648">
        <f>INDEX(FactorTable!$B$2:$Y$301, MATCH(ROUND(MIN(300,MAX(1,D2648)),0), FactorTable!$A$2:$A$301,0), Skills!M28+1)</f>
        <v/>
      </c>
      <c r="F2648">
        <f>IF(Skills!N28=TRUE,(Skills!L28/10)*(E2648/1000),Skills!L28/10)+Skills!O28</f>
        <v/>
      </c>
      <c r="G2648">
        <f>Calc!G28</f>
        <v/>
      </c>
      <c r="H2648">
        <f>Calc!H28</f>
        <v/>
      </c>
      <c r="I2648">
        <f>IF(Skills!AA28&lt;&gt;"",1+(Skills!AA28/10)*(U2623/1000)/100,1)</f>
        <v/>
      </c>
      <c r="J2648" t="inlineStr"/>
      <c r="K2648" t="inlineStr"/>
      <c r="L2648" t="inlineStr"/>
      <c r="M2648" t="inlineStr"/>
      <c r="N2648" t="inlineStr"/>
      <c r="O2648">
        <f>(1-Summary!$B$11)*T2648+Summary!$B$11*V2648</f>
        <v/>
      </c>
      <c r="P2648">
        <f>IF(B2664=0,0,O2648/B2664)</f>
        <v/>
      </c>
      <c r="Q2648" t="n">
        <v>0</v>
      </c>
      <c r="R2648" t="n">
        <v>0</v>
      </c>
      <c r="S2648">
        <f>IFERROR(O2648/N2648,0)</f>
        <v/>
      </c>
      <c r="T2648" t="n">
        <v>0</v>
      </c>
      <c r="V2648" t="n">
        <v>0</v>
      </c>
    </row>
    <row r="2649">
      <c r="A2649">
        <f>Skills!A29</f>
        <v/>
      </c>
      <c r="B2649">
        <f>Skills!B29</f>
        <v/>
      </c>
      <c r="C2649">
        <f>Inputs!$B$3&gt;=120</f>
        <v/>
      </c>
      <c r="D2649">
        <f>IF(Skills!C29=1,60+Inputs!$B$25+Inputs!$B$29,IF(Skills!C29=2,90+Inputs!$B$26+Inputs!$B$29,IF(Skills!C29=3,120+Inputs!$B$27+Inputs!$B$29,MAX(0,(Inputs!$B$3-100)*3)+Inputs!$B$28+Inputs!$B$29)))</f>
        <v/>
      </c>
      <c r="E2649">
        <f>INDEX(FactorTable!$B$2:$Y$301, MATCH(ROUND(MIN(300,MAX(1,D2649)),0), FactorTable!$A$2:$A$301,0), Skills!M29+1)</f>
        <v/>
      </c>
      <c r="F2649">
        <f>IF(Skills!N29=TRUE,(Skills!L29/10)*(E2649/1000),Skills!L29/10)+Skills!O29</f>
        <v/>
      </c>
      <c r="G2649">
        <f>Calc!G29</f>
        <v/>
      </c>
      <c r="H2649">
        <f>Calc!H29</f>
        <v/>
      </c>
      <c r="I2649">
        <f>IF(Skills!AA29&lt;&gt;"",1+(Skills!AA29/10)*(U2623/1000)/100,1)</f>
        <v/>
      </c>
      <c r="J2649" t="inlineStr"/>
      <c r="K2649" t="inlineStr"/>
      <c r="L2649" t="inlineStr"/>
      <c r="M2649" t="inlineStr"/>
      <c r="N2649" t="inlineStr"/>
      <c r="O2649">
        <f>(1-Summary!$B$11)*T2649+Summary!$B$11*V2649</f>
        <v/>
      </c>
      <c r="P2649">
        <f>IF(B2664=0,0,O2649/B2664)</f>
        <v/>
      </c>
      <c r="Q2649" t="n">
        <v>0</v>
      </c>
      <c r="R2649" t="n">
        <v>0</v>
      </c>
      <c r="S2649">
        <f>IFERROR(O2649/N2649,0)</f>
        <v/>
      </c>
      <c r="T2649" t="n">
        <v>0</v>
      </c>
      <c r="V2649" t="n">
        <v>0</v>
      </c>
    </row>
    <row r="2650">
      <c r="A2650">
        <f>Skills!A30</f>
        <v/>
      </c>
      <c r="B2650">
        <f>Skills!B30</f>
        <v/>
      </c>
      <c r="C2650">
        <f>Inputs!$B$3&gt;=125</f>
        <v/>
      </c>
      <c r="D2650">
        <f>IF(Skills!C30=1,60+Inputs!$B$25+Inputs!$B$29,IF(Skills!C30=2,90+Inputs!$B$26+Inputs!$B$29,IF(Skills!C30=3,120+Inputs!$B$27+Inputs!$B$29,MAX(0,(Inputs!$B$3-100)*3)+Inputs!$B$28+Inputs!$B$29)))</f>
        <v/>
      </c>
      <c r="E2650">
        <f>INDEX(FactorTable!$B$2:$Y$301, MATCH(ROUND(MIN(300,MAX(1,D2650)),0), FactorTable!$A$2:$A$301,0), Skills!M30+1)</f>
        <v/>
      </c>
      <c r="F2650">
        <f>IF(Skills!N30=TRUE,(Skills!L30/10)*(E2650/1000),Skills!L30/10)+Skills!O30</f>
        <v/>
      </c>
      <c r="G2650">
        <f>Calc!G30</f>
        <v/>
      </c>
      <c r="H2650">
        <f>Calc!H30</f>
        <v/>
      </c>
      <c r="I2650">
        <f>IF(Skills!AA30&lt;&gt;"",1+(Skills!AA30/10)*(U2623/1000)/100,1)</f>
        <v/>
      </c>
      <c r="J2650" t="inlineStr"/>
      <c r="K2650" t="inlineStr"/>
      <c r="L2650" t="inlineStr"/>
      <c r="M2650" t="inlineStr"/>
      <c r="N2650" t="inlineStr"/>
      <c r="O2650">
        <f>(1-Summary!$B$11)*T2650+Summary!$B$11*V2650</f>
        <v/>
      </c>
      <c r="P2650">
        <f>IF(B2664=0,0,O2650/B2664)</f>
        <v/>
      </c>
      <c r="Q2650" t="n">
        <v>0</v>
      </c>
      <c r="R2650" t="n">
        <v>0</v>
      </c>
      <c r="S2650">
        <f>IFERROR(O2650/N2650,0)</f>
        <v/>
      </c>
      <c r="T2650" t="n">
        <v>0</v>
      </c>
      <c r="V2650" t="n">
        <v>0</v>
      </c>
    </row>
    <row r="2651">
      <c r="A2651">
        <f>Skills!A31</f>
        <v/>
      </c>
      <c r="B2651">
        <f>Skills!B31</f>
        <v/>
      </c>
      <c r="C2651">
        <f>Inputs!$B$3&gt;=107</f>
        <v/>
      </c>
      <c r="D2651">
        <f>IF(Skills!C31=1,60+Inputs!$B$25+Inputs!$B$29,IF(Skills!C31=2,90+Inputs!$B$26+Inputs!$B$29,IF(Skills!C31=3,120+Inputs!$B$27+Inputs!$B$29,MAX(0,(Inputs!$B$3-100)*3)+Inputs!$B$28+Inputs!$B$29)))</f>
        <v/>
      </c>
      <c r="E2651">
        <f>INDEX(FactorTable!$B$2:$Y$301, MATCH(ROUND(MIN(300,MAX(1,D2651)),0), FactorTable!$A$2:$A$301,0), Skills!M31+1)</f>
        <v/>
      </c>
      <c r="F2651">
        <f>IF(Skills!N31=TRUE,(Skills!L31/10)*(E2651/1000),Skills!L31/10)+Skills!O31</f>
        <v/>
      </c>
      <c r="G2651">
        <f>Calc!G31</f>
        <v/>
      </c>
      <c r="H2651">
        <f>Calc!H31</f>
        <v/>
      </c>
      <c r="I2651">
        <f>IF(Skills!AA31&lt;&gt;"",1+(Skills!AA31/10)*(U2623/1000)/100,1)</f>
        <v/>
      </c>
      <c r="J2651" t="inlineStr"/>
      <c r="K2651" t="inlineStr"/>
      <c r="L2651" t="inlineStr"/>
      <c r="M2651" t="inlineStr"/>
      <c r="N2651" t="inlineStr"/>
      <c r="O2651">
        <f>(1-Summary!$B$11)*T2651+Summary!$B$11*V2651</f>
        <v/>
      </c>
      <c r="P2651">
        <f>IF(B2664=0,0,O2651/B2664)</f>
        <v/>
      </c>
      <c r="Q2651" t="n">
        <v>0</v>
      </c>
      <c r="R2651" t="n">
        <v>0</v>
      </c>
      <c r="S2651">
        <f>IFERROR(O2651/N2651,0)</f>
        <v/>
      </c>
      <c r="T2651" t="n">
        <v>0</v>
      </c>
      <c r="V2651" t="n">
        <v>0</v>
      </c>
    </row>
    <row r="2653">
      <c r="A2653" t="inlineStr">
        <is>
          <t>Actions Per Second (pre-Adrenalin)</t>
        </is>
      </c>
      <c r="B2653">
        <f>1+MIN(150,150*(1-(1-(Inputs!$B$11+((C2642=TRUE)*(F2642-Calc!F22))+(ArtifactsInput!$M$15-ArtifactsInput!$M$15)*CHOOSE(ArtifactsInput!$N$15+1,8,9.6,11.2,12.8,14.4,16))/150)*(1-((C2639=TRUE)*F2639*IF(AND(Inputs!$B$39&lt;&gt;"pvp",Inputs!$B$44&gt;0),(((R2639-1)*(Skills!Y19*(1+Inputs!$B$34/100))+MIN((Skills!Y19*(1+Inputs!$B$34/100)),MAX(0,Inputs!$B$44-((R2639-1)*Skills!D19))))/Inputs!$B$44),IF(Inputs!$B$39="pvp",MIN((Skills!Y19*(1+Inputs!$B$34/100)),15)/15,(Skills!Y19*(1+Inputs!$B$34/100))/Skills!D19)))/150)))/100</f>
        <v/>
      </c>
    </row>
    <row r="2654">
      <c r="A2654" t="inlineStr">
        <is>
          <t>Alchemic Adrenaline Uptime</t>
        </is>
      </c>
      <c r="B2654">
        <f>(Skills!Y6*(1+Inputs!$B$34/100))/((Skills!Y6*(1+Inputs!$B$34/100))+(5/B2653))</f>
        <v/>
      </c>
    </row>
    <row r="2655">
      <c r="A2655" t="inlineStr">
        <is>
          <t>Attack Speed Buff Bonus %</t>
        </is>
      </c>
      <c r="B2655">
        <f>((C2639=TRUE)*F2639*IF(AND(Inputs!$B$39&lt;&gt;"pvp",Inputs!$B$44&gt;0),(((R2639-1)*(Skills!Y19*(1+Inputs!$B$34/100))+MIN((Skills!Y19*(1+Inputs!$B$34/100)),MAX(0,Inputs!$B$44-((R2639-1)*Skills!D19))))/Inputs!$B$44),IF(Inputs!$B$39="pvp",MIN((Skills!Y19*(1+Inputs!$B$34/100)),15)/15,(Skills!Y19*(1+Inputs!$B$34/100))/Skills!D19)))+((C2627=TRUE)*F2627*B2654)</f>
        <v/>
      </c>
    </row>
    <row r="2656">
      <c r="A2656" t="inlineStr">
        <is>
          <t>Actions Per Second (final)</t>
        </is>
      </c>
      <c r="B2656">
        <f>1+MIN(150,150*(1-(1-(Inputs!$B$11+((C2642=TRUE)*(F2642-Calc!F22))+(ArtifactsInput!$M$15-ArtifactsInput!$M$15)*CHOOSE(ArtifactsInput!$N$15+1,8,9.6,11.2,12.8,14.4,16))/150)*(1-B2655/150)))/100</f>
        <v/>
      </c>
    </row>
    <row r="2657">
      <c r="A2657" t="inlineStr">
        <is>
          <t>Skill + Buff Cast Rate</t>
        </is>
      </c>
      <c r="B2657">
        <f>IF(AND(Inputs!$B$39&lt;&gt;"pvp",Inputs!$B$44&gt;0),SUMPRODUCT((Skills!E2:E31=TRUE)*(C2622:C2651=TRUE)*R2622:R2651*Skills!F2:F31)/Inputs!$B$44,SUMPRODUCT((Skills!E2:E31=TRUE)*(C2622:C2651=TRUE)*Q2622:Q2651*Skills!F2:F31))</f>
        <v/>
      </c>
    </row>
    <row r="2658">
      <c r="A2658" t="inlineStr">
        <is>
          <t>Showdown Casts Per Second</t>
        </is>
      </c>
      <c r="B2658">
        <f>MAX(0,B2656-B2657)</f>
        <v/>
      </c>
    </row>
    <row r="2659">
      <c r="A2659" t="inlineStr">
        <is>
          <t>Average Buff Multiplier</t>
        </is>
      </c>
      <c r="B2659">
        <f>(1+(((C2641=TRUE)*F2641*IF(AND(Inputs!$B$39&lt;&gt;"pvp",Inputs!$B$44&gt;0),(((R2641-1)*(Skills!Y21*(1+Inputs!$B$34/100))+MIN((Skills!Y21*(1+Inputs!$B$34/100)),MAX(0,Inputs!$B$44-((R2641-1)*Skills!D21))))/Inputs!$B$44),IF(Inputs!$B$39="pvp",MIN((Skills!Y21*(1+Inputs!$B$34/100)),15)/15,(Skills!Y21*(1+Inputs!$B$34/100))/Skills!D21)))+((C2648=TRUE)*(F2648-Calc!F28))+((C2638=TRUE)*(F2638-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2635=TRUE)*F2635*IF(AND(Inputs!$B$39&lt;&gt;"pvp",Inputs!$B$44&gt;0),(((R2635-1)*(Skills!Y15*(1+Inputs!$B$34/100))+MIN((Skills!Y15*(1+Inputs!$B$34/100)),MAX(0,Inputs!$B$44-((R2635-1)*Skills!D15))))/Inputs!$B$44),IF(Inputs!$B$39="pvp",MIN((Skills!Y15*(1+Inputs!$B$34/100)),15)/15,(Skills!Y15*(1+Inputs!$B$34/100))/Skills!D15)))/100)*(1+((C2626=TRUE)*F2626*B2654)/100)</f>
        <v/>
      </c>
    </row>
    <row r="2660">
      <c r="A2660" t="inlineStr">
        <is>
          <t>Global Crit Rate Bonus %</t>
        </is>
      </c>
      <c r="B2660">
        <f>IF(Inputs!$B$3&gt;=47,8,0)+((C2640=TRUE)*F2640*IF(AND(Inputs!$B$39&lt;&gt;"pvp",Inputs!$B$44&gt;0),(((R2640-1)*(Skills!Y20*(1+Inputs!$B$34/100))+MIN((Skills!Y20*(1+Inputs!$B$34/100)),MAX(0,Inputs!$B$44-((R2640-1)*Skills!D20))))/Inputs!$B$44),IF(Inputs!$B$39="pvp",MIN((Skills!Y20*(1+Inputs!$B$34/100)),15)/15,(Skills!Y20*(1+Inputs!$B$34/100))/Skills!D20)))</f>
        <v/>
      </c>
    </row>
    <row r="2661">
      <c r="A2661" t="inlineStr">
        <is>
          <t>Global Monster Damage-Taken Bonus %</t>
        </is>
      </c>
      <c r="B2661">
        <f>IF(Inputs!$B$3&gt;=82,15,0)+((C2636=TRUE)*F2636*IF(AND(Inputs!$B$39&lt;&gt;"pvp",Inputs!$B$44&gt;0),(((R2636-1)*(Skills!Y16*(1+Inputs!$B$34/100))+MIN((Skills!Y16*(1+Inputs!$B$34/100)),MAX(0,Inputs!$B$44-((R2636-1)*Skills!D16))))/Inputs!$B$44),IF(Inputs!$B$39="pvp",MIN((Skills!Y16*(1+Inputs!$B$34/100)),15)/15,(Skills!Y16*(1+Inputs!$B$34/100))/Skills!D16)))</f>
        <v/>
      </c>
    </row>
    <row r="2662">
      <c r="A2662" t="inlineStr">
        <is>
          <t>Shadow Partner Average Multiplier</t>
        </is>
      </c>
      <c r="B2662">
        <f>1+((C2631=TRUE)*F2631*I2631*Skills!J11/100)/100</f>
        <v/>
      </c>
    </row>
    <row r="2663">
      <c r="A2663" t="inlineStr">
        <is>
          <t>Global Critical Damage Bonus % (Frailty Curse Mastery Lv.111)</t>
        </is>
      </c>
      <c r="B2663">
        <f>IF(Inputs!$B$3&gt;=111,30,0)*IF(AND(Inputs!$B$39&lt;&gt;"pvp",Inputs!$B$44&gt;0),(((R2636-1)*(Skills!Y16*(1+Inputs!$B$34/100))+MIN((Skills!Y16*(1+Inputs!$B$34/100)),MAX(0,Inputs!$B$44-((R2636-1)*Skills!D16))))/Inputs!$B$44),IF(Inputs!$B$39="pvp",MIN((Skills!Y16*(1+Inputs!$B$34/100)),15)/15,(Skills!Y16*(1+Inputs!$B$34/100))/Skills!D16))</f>
        <v/>
      </c>
    </row>
    <row r="2664">
      <c r="A2664" s="6" t="inlineStr">
        <is>
          <t>TOTAL DPS</t>
        </is>
      </c>
      <c r="B2664" s="6">
        <f>SUM(O2622:O2651)</f>
        <v/>
      </c>
    </row>
    <row r="2665">
      <c r="A2665" t="inlineStr">
        <is>
          <t>Buff-Casting Startup Delay (s, fixed-duration only)</t>
        </is>
      </c>
      <c r="B2665">
        <f>IF(AND(Inputs!$B$39&lt;&gt;"pvp",Inputs!$B$44&gt;0),SUMPRODUCT((Skills!Y2:Y31&gt;0)*(Skills!E2:E31=TRUE)*(C2622:C2651=TRUE))/B2656,0)</f>
        <v/>
      </c>
    </row>
    <row r="2666">
      <c r="A2666" t="inlineStr">
        <is>
          <t>Boss-Only Total DPS (this block's swept value)</t>
        </is>
      </c>
      <c r="B2666">
        <f>SUM(T2622:T2651)</f>
        <v/>
      </c>
    </row>
    <row r="2667">
      <c r="A2667" t="inlineStr">
        <is>
          <t>Normal-Only Total DPS (this block's swept value)</t>
        </is>
      </c>
      <c r="B2667">
        <f>SUM(V2622:V2651)</f>
        <v/>
      </c>
    </row>
    <row r="2669">
      <c r="A2669" s="6" t="inlineStr">
        <is>
          <t>Stat: Sayram's Necklace (Equip)</t>
        </is>
      </c>
    </row>
    <row r="2670">
      <c r="A2670" s="5" t="inlineStr">
        <is>
          <t>Key</t>
        </is>
      </c>
      <c r="B2670" s="5" t="inlineStr">
        <is>
          <t>Name</t>
        </is>
      </c>
      <c r="C2670" s="5" t="inlineStr">
        <is>
          <t>Unlocked</t>
        </is>
      </c>
      <c r="D2670" s="5" t="inlineStr">
        <is>
          <t>InputLevel</t>
        </is>
      </c>
      <c r="E2670" s="5" t="inlineStr">
        <is>
          <t>Factor</t>
        </is>
      </c>
      <c r="F2670" s="5" t="inlineStr">
        <is>
          <t>CoefficientPercent</t>
        </is>
      </c>
      <c r="G2670" s="5" t="inlineStr">
        <is>
          <t>EffectiveHits</t>
        </is>
      </c>
      <c r="H2670" s="5" t="inlineStr">
        <is>
          <t>ProcProbability</t>
        </is>
      </c>
      <c r="I2670" s="5" t="inlineStr">
        <is>
          <t>MapleHeroMultiplier</t>
        </is>
      </c>
      <c r="J2670" s="5" t="inlineStr">
        <is>
          <t>BaseDamage</t>
        </is>
      </c>
      <c r="K2670" s="5" t="inlineStr">
        <is>
          <t>BaseHitDamage</t>
        </is>
      </c>
      <c r="L2670" s="5" t="inlineStr">
        <is>
          <t>NonCritAvg</t>
        </is>
      </c>
      <c r="M2670" s="5" t="inlineStr">
        <is>
          <t>CritAvg</t>
        </is>
      </c>
      <c r="N2670" s="5" t="inlineStr">
        <is>
          <t>ExpectedDamage(perHit)</t>
        </is>
      </c>
      <c r="O2670" s="5" t="inlineStr">
        <is>
          <t>DPS</t>
        </is>
      </c>
      <c r="P2670" s="5" t="inlineStr">
        <is>
          <t>% of Total</t>
        </is>
      </c>
      <c r="Q2670" s="5" t="inlineStr">
        <is>
          <t>InvCooldown</t>
        </is>
      </c>
      <c r="R2670" s="5" t="inlineStr">
        <is>
          <t>CastsInFight</t>
        </is>
      </c>
      <c r="S2670" s="5" t="inlineStr">
        <is>
          <t>HitRate(perSec)</t>
        </is>
      </c>
      <c r="U2670" t="inlineStr">
        <is>
          <t>helpers</t>
        </is>
      </c>
    </row>
    <row r="2671">
      <c r="A2671">
        <f>Skills!A2</f>
        <v/>
      </c>
      <c r="B2671">
        <f>Skills!B2</f>
        <v/>
      </c>
      <c r="C2671">
        <f>Inputs!$B$3&gt;=100</f>
        <v/>
      </c>
      <c r="D2671" t="inlineStr"/>
      <c r="E2671" t="inlineStr"/>
      <c r="F2671">
        <f>U2675+Skills!O2</f>
        <v/>
      </c>
      <c r="G2671">
        <f>Calc!G2</f>
        <v/>
      </c>
      <c r="H2671">
        <f>Calc!H2</f>
        <v/>
      </c>
      <c r="I2671">
        <f>IF(Skills!AA2&lt;&gt;"",1+(Skills!AA2/10)*(U2672/1000)/100,1)</f>
        <v/>
      </c>
      <c r="J2671">
        <f>((Inputs!$B$6*(1+Inputs!$B$7/100))+(((Inputs!$B$12*(1+Inputs!$B$13/100))-(Inputs!$B$12*(1+Inputs!$B$13/100)))+0.25*(Inputs!$B$14-Inputs!$B$14))*(1+Inputs!$B$7/100))*(F2671/100)</f>
        <v/>
      </c>
      <c r="K2671">
        <f>J2671*(1+((Inputs!$B$12*(1+Inputs!$B$13/100))*0.01+Inputs!$B$14*0.0025)/100)*(1+Inputs!$B$15/100)*(1+Inputs!$B$16/100)*(5000/(6000+Inputs!$B$43*(1-(100*(1-(1-(Inputs!$B$19+0)/100)*(1-CHOOSE(ArtifactsInput!$N$40+1,5,6,7,8,9,10)/100)^(ArtifactsInput!$M$40-ArtifactsInput!$M$40)))/100)))*(1+(Inputs!$B$24+((C2699=TRUE)*(F2699-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2692=TRUE)*(F2692-Calc!F23))+(((IF(AND(ArtifactsInput!$M$42,((Inputs!$B$9+((C2694=TRUE)*(F2694-Calc!F25))+B2709+(ArtifactsInput!$M$24-ArtifactsInput!$M$24)*CHOOSE(ArtifactsInput!$N$24+1,10,12,14,16,18,20)+IF(ArtifactsInput!$M$10,CHOOSE(ArtifactsInput!$N$10+1,15,18,21,24,27,30)*(IF(Inputs!$B$39="pvp",MIN(15,15)/15,IF(AND(Inputs!$B$39&lt;&gt;"pvp",Inputs!$B$44&gt;0),MIN(15,Inputs!$B$44)/(Inputs!$B$44),0))),0)))&gt;=100),MIN(100,((Inputs!$B$9+((C2694=TRUE)*(F2694-Calc!F25))+B2709+(ArtifactsInput!$M$24-ArtifactsInput!$M$24)*CHOOSE(ArtifactsInput!$N$24+1,10,12,14,16,18,20)+IF(ArtifactsInput!$M$10,CHOOSE(ArtifactsInput!$N$10+1,15,18,21,24,27,30)*(IF(Inputs!$B$39="pvp",MIN(15,15)/15,IF(AND(Inputs!$B$39&lt;&gt;"pvp",Inputs!$B$44&gt;0),MIN(15,Inputs!$B$44)/(Inputs!$B$44),0))),0)))-100),0))*CHOOSE(ArtifactsInput!$N$42+1,0.6,0.72,0.84,0.96,1.08,1.2))),Inputs!$B$18+((C2698=TRUE)*(F2698-Calc!F29))+(IF(AND(ArtifactsInput!$M$42,((Inputs!$B$9+((C2694=TRUE)*(F2694-Calc!F25))+B2709+(ArtifactsInput!$M$24-ArtifactsInput!$M$24)*CHOOSE(ArtifactsInput!$N$24+1,10,12,14,16,18,20)+IF(ArtifactsInput!$M$10,CHOOSE(ArtifactsInput!$N$10+1,15,18,21,24,27,30)*(IF(Inputs!$B$39="pvp",MIN(15,15)/15,IF(AND(Inputs!$B$39&lt;&gt;"pvp",Inputs!$B$44&gt;0),MIN(15,Inputs!$B$44)/(Inputs!$B$44),0))),0)))&gt;=100),CHOOSE(ArtifactsInput!$N$42+1,40,48,56,64,72,80),0))))/100)*(((1+(((C2690=TRUE)*F2690*IF(AND(Inputs!$B$39&lt;&gt;"pvp",Inputs!$B$44&gt;0),(((R2690-1)*(Skills!Y21*(1+Inputs!$B$34/100))+MIN((Skills!Y21*(1+Inputs!$B$34/100)),MAX(0,Inputs!$B$44-((R2690-1)*Skills!D21))))/Inputs!$B$44),IF(Inputs!$B$39="pvp",MIN((Skills!Y21*(1+Inputs!$B$34/100)),15)/15,(Skills!Y21*(1+Inputs!$B$34/100))/Skills!D21)))+((C2697=TRUE)*(F2697-Calc!F28))+((C2687=TRUE)*(F2687-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2684=TRUE)*F2684*IF(AND(Inputs!$B$39&lt;&gt;"pvp",Inputs!$B$44&gt;0),(((R2684-1)*(Skills!Y15*(1+Inputs!$B$34/100))+MIN((Skills!Y15*(1+Inputs!$B$34/100)),MAX(0,Inputs!$B$44-((R2684-1)*Skills!D15))))/Inputs!$B$44),IF(Inputs!$B$39="pvp",MIN((Skills!Y15*(1+Inputs!$B$34/100)),15)/15,(Skills!Y15*(1+Inputs!$B$34/100))/Skills!D15)))/100)*(1+((C2675=TRUE)*F2675*B2703)/100))*B2711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2671)</f>
        <v/>
      </c>
      <c r="L2671">
        <f>K2671*(MIN(Inputs!$B$22+((C2693=TRUE)*(F2693-Calc!F24)),(Inputs!$B$23+0+(IF(ArtifactsInput!$M$15,CHOOSE(ArtifactsInput!$N$15+1,25,30,35,40,45,50)/100*(Inputs!$B$11-Inputs!$B$11),0))))/100+(Inputs!$B$23+0+(IF(ArtifactsInput!$M$15,CHOOSE(ArtifactsInput!$N$15+1,25,30,35,40,45,50)/100*(Inputs!$B$11-Inputs!$B$11),0)))/100)/2</f>
        <v/>
      </c>
      <c r="M2671">
        <f>L2671*(1+(Inputs!$B$10+((C2695=TRUE)*(F2695-Calc!F26))+B2712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71">
        <f>L2671*(1-MIN((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2671*(MIN((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71">
        <f>(1-Summary!$B$11)*T2671+Summary!$B$11*V2671</f>
        <v/>
      </c>
      <c r="P2671">
        <f>IF(B2713=0,0,O2671/B2713)</f>
        <v/>
      </c>
      <c r="Q2671" t="n">
        <v>0</v>
      </c>
      <c r="R2671" t="n">
        <v>0</v>
      </c>
      <c r="S2671">
        <f>IFERROR(O2671/N2671,0)</f>
        <v/>
      </c>
      <c r="T2671">
        <f>IF(C2671,(Skills!G2*N2671*B2707)*IF(Inputs!$B$39="pvp",1,1+(Inputs!$B$20+((C2696=TRUE)*(F2696-Calc!F27))+Skills!P2+B2710+(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Hunt"),CHOOSE(ArtifactsInput!$N$35+1,15,18,21,24,27,30)*(1-EXP(-(0.2*B2705)*5)),0)+IF(AND(ArtifactsInput!$M$22,Inputs!$B$4&lt;&gt;"Chapter Hunt"),CHOOSE(ArtifactsInput!$N$22+1,10,12,14,16,18,20)*((0*(((0.15*B2705*5))^0/1)+1*(((0.15*B2705*5))^1/1)+2*(((0.15*B2705*5))^2/2)+3*(((0.15*B2705*5))^3/6)+4*(((0.15*B2705*5))^4/24)+5*(((0.15*B2705*5))^5/120))/((((0.15*B2705*5))^0/1)+(((0.15*B2705*5))^1/1)+(((0.15*B2705*5))^2/2)+(((0.15*B2705*5))^3/6)+(((0.15*B2705*5))^4/24)+(((0.15*B2705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2671*(1-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2671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2671*(1-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2671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71">
        <f>MAX(0,(Inputs!$B$3-100)*3)+Inputs!$B$28+Inputs!$B$29</f>
        <v/>
      </c>
      <c r="V2671">
        <f>IF(C2671,(Skills!G2*N2671*B2707)*IF(Inputs!$B$39="pvp",1,(1+(Inputs!$B$21+Skills!Q2+B2710+(IF(IF(ArtifactsInput!$M$33,FALSE,TRUE),CHOOSE(ArtifactsInput!$N$33+1,30,36,42,48,54,60),0))+(IF(AND(ArtifactsInput!$M$35,Inputs!$B$4&lt;&gt;"Chapter Hunt"),CHOOSE(ArtifactsInput!$N$35+1,15,18,21,24,27,30)*(1-EXP(-(0.2*B2705)*5)),0)+IF(AND(ArtifactsInput!$M$22,Inputs!$B$4&lt;&gt;"Chapter Hunt"),CHOOSE(ArtifactsInput!$N$22+1,10,12,14,16,18,20)*((0*(((0.15*B2705*5))^0/1)+1*(((0.15*B2705*5))^1/1)+2*(((0.15*B2705*5))^2/2)+3*(((0.15*B2705*5))^3/6)+4*(((0.15*B2705*5))^4/24)+5*(((0.15*B2705*5))^5/120))/((((0.15*B2705*5))^0/1)+(((0.15*B2705*5))^1/1)+(((0.15*B2705*5))^2/2)+(((0.15*B2705*5))^3/6)+(((0.15*B2705*5))^4/24)+(((0.15*B2705*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72">
      <c r="A2672">
        <f>Skills!A3</f>
        <v/>
      </c>
      <c r="B2672">
        <f>Skills!B3</f>
        <v/>
      </c>
      <c r="C2672">
        <f>Inputs!$B$3&gt;=35</f>
        <v/>
      </c>
      <c r="D2672">
        <f>IF(Skills!C3=1,60+Inputs!$B$25+Inputs!$B$29,IF(Skills!C3=2,90+Inputs!$B$26+Inputs!$B$29,IF(Skills!C3=3,120+Inputs!$B$27+Inputs!$B$29,MAX(0,(Inputs!$B$3-100)*3)+Inputs!$B$28+Inputs!$B$29)))</f>
        <v/>
      </c>
      <c r="E2672">
        <f>INDEX(FactorTable!$B$2:$Y$301, MATCH(ROUND(MIN(300,MAX(1,D2672)),0), FactorTable!$A$2:$A$301,0), Skills!M3+1)</f>
        <v/>
      </c>
      <c r="F2672">
        <f>IF(Skills!N3=TRUE,(Skills!L3/10)*(E2672/1000),Skills!L3/10)+Skills!O3</f>
        <v/>
      </c>
      <c r="G2672">
        <f>Calc!G3</f>
        <v/>
      </c>
      <c r="H2672">
        <f>Calc!H3</f>
        <v/>
      </c>
      <c r="I2672">
        <f>IF(Skills!AA3&lt;&gt;"",1+(Skills!AA3/10)*(U2672/1000)/100,1)</f>
        <v/>
      </c>
      <c r="J2672">
        <f>((Inputs!$B$6*(1+Inputs!$B$7/100))+(((Inputs!$B$12*(1+Inputs!$B$13/100))-(Inputs!$B$12*(1+Inputs!$B$13/100)))+0.25*(Inputs!$B$14-Inputs!$B$14))*(1+Inputs!$B$7/100))*(F2672/100)</f>
        <v/>
      </c>
      <c r="K2672">
        <f>J2672*(1+((Inputs!$B$12*(1+Inputs!$B$13/100))*0.01+Inputs!$B$14*0.0025)/100)*(1+Inputs!$B$15/100)*(1+Inputs!$B$16/100)*(5000/(6000+Inputs!$B$43*(1-(100*(1-(1-(Inputs!$B$19+0)/100)*(1-CHOOSE(ArtifactsInput!$N$40+1,5,6,7,8,9,10)/100)^(ArtifactsInput!$M$40-ArtifactsInput!$M$40)))/100)))*(1+(Inputs!$B$24+((C2699=TRUE)*(F2699-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2692=TRUE)*(F2692-Calc!F23))+(((IF(AND(ArtifactsInput!$M$42,((Inputs!$B$9+((C2694=TRUE)*(F2694-Calc!F25))+B2709+(ArtifactsInput!$M$24-ArtifactsInput!$M$24)*CHOOSE(ArtifactsInput!$N$24+1,10,12,14,16,18,20)+IF(ArtifactsInput!$M$10,CHOOSE(ArtifactsInput!$N$10+1,15,18,21,24,27,30)*(IF(Inputs!$B$39="pvp",MIN(15,15)/15,IF(AND(Inputs!$B$39&lt;&gt;"pvp",Inputs!$B$44&gt;0),MIN(15,Inputs!$B$44)/(Inputs!$B$44),0))),0)))&gt;=100),MIN(100,((Inputs!$B$9+((C2694=TRUE)*(F2694-Calc!F25))+B2709+(ArtifactsInput!$M$24-ArtifactsInput!$M$24)*CHOOSE(ArtifactsInput!$N$24+1,10,12,14,16,18,20)+IF(ArtifactsInput!$M$10,CHOOSE(ArtifactsInput!$N$10+1,15,18,21,24,27,30)*(IF(Inputs!$B$39="pvp",MIN(15,15)/15,IF(AND(Inputs!$B$39&lt;&gt;"pvp",Inputs!$B$44&gt;0),MIN(15,Inputs!$B$44)/(Inputs!$B$44),0))),0)))-100),0))*CHOOSE(ArtifactsInput!$N$42+1,0.6,0.72,0.84,0.96,1.08,1.2))),Inputs!$B$18+((C2698=TRUE)*(F2698-Calc!F29))+(IF(AND(ArtifactsInput!$M$42,((Inputs!$B$9+((C2694=TRUE)*(F2694-Calc!F25))+B2709+(ArtifactsInput!$M$24-ArtifactsInput!$M$24)*CHOOSE(ArtifactsInput!$N$24+1,10,12,14,16,18,20)+IF(ArtifactsInput!$M$10,CHOOSE(ArtifactsInput!$N$10+1,15,18,21,24,27,30)*(IF(Inputs!$B$39="pvp",MIN(15,15)/15,IF(AND(Inputs!$B$39&lt;&gt;"pvp",Inputs!$B$44&gt;0),MIN(15,Inputs!$B$44)/(Inputs!$B$44),0))),0)))&gt;=100),CHOOSE(ArtifactsInput!$N$42+1,40,48,56,64,72,80),0))))/100)*(((1+(((C2690=TRUE)*F2690*IF(AND(Inputs!$B$39&lt;&gt;"pvp",Inputs!$B$44&gt;0),(((R2690-1)*(Skills!Y21*(1+Inputs!$B$34/100))+MIN((Skills!Y21*(1+Inputs!$B$34/100)),MAX(0,Inputs!$B$44-((R2690-1)*Skills!D21))))/Inputs!$B$44),IF(Inputs!$B$39="pvp",MIN((Skills!Y21*(1+Inputs!$B$34/100)),15)/15,(Skills!Y21*(1+Inputs!$B$34/100))/Skills!D21)))+((C2697=TRUE)*(F2697-Calc!F28))+((C2687=TRUE)*(F2687-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2684=TRUE)*F2684*IF(AND(Inputs!$B$39&lt;&gt;"pvp",Inputs!$B$44&gt;0),(((R2684-1)*(Skills!Y15*(1+Inputs!$B$34/100))+MIN((Skills!Y15*(1+Inputs!$B$34/100)),MAX(0,Inputs!$B$44-((R2684-1)*Skills!D15))))/Inputs!$B$44),IF(Inputs!$B$39="pvp",MIN((Skills!Y15*(1+Inputs!$B$34/100)),15)/15,(Skills!Y15*(1+Inputs!$B$34/100))/Skills!D15)))/100)*(1+((C2675=TRUE)*F2675*B2703)/100))*B2711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2672)</f>
        <v/>
      </c>
      <c r="L2672">
        <f>K2672*(MIN(Inputs!$B$22+((C2693=TRUE)*(F2693-Calc!F24)),(Inputs!$B$23+0+(IF(ArtifactsInput!$M$15,CHOOSE(ArtifactsInput!$N$15+1,25,30,35,40,45,50)/100*(Inputs!$B$11-Inputs!$B$11),0))))/100+(Inputs!$B$23+0+(IF(ArtifactsInput!$M$15,CHOOSE(ArtifactsInput!$N$15+1,25,30,35,40,45,50)/100*(Inputs!$B$11-Inputs!$B$11),0)))/100)/2</f>
        <v/>
      </c>
      <c r="M2672">
        <f>L2672*(1+(Inputs!$B$10+((C2695=TRUE)*(F2695-Calc!F26))+B2712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72">
        <f>L2672*(1-MIN((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2672*(MIN((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72">
        <f>(1-Summary!$B$11)*T2672+Summary!$B$11*V2672</f>
        <v/>
      </c>
      <c r="P2672">
        <f>IF(B2713=0,0,O2672/B2713)</f>
        <v/>
      </c>
      <c r="Q2672">
        <f>IFERROR(1/IF(Inputs!$B$39="pvp",15,MAX(0.1,Skills!D3-IF(Skills!E3=TRUE,Inputs!$B$32,0))),0)</f>
        <v/>
      </c>
      <c r="R2672">
        <f>IF(AND(Inputs!$B$39&lt;&gt;"pvp",Inputs!$B$44&gt;0),IF(MAX(0,Inputs!$B$44-B2714)&lt;=0,0,(INT(MAX(0,Inputs!$B$44-B2714)/IF(Inputs!$B$39="pvp",15,MAX(0.1,Skills!D3-IF(Skills!E3=TRUE,Inputs!$B$32,0))))+1)),0)</f>
        <v/>
      </c>
      <c r="S2672">
        <f>IFERROR(O2672/N2672,0)</f>
        <v/>
      </c>
      <c r="T2672">
        <f>IF(C2672,(H2672*N2672*IF(AND(Inputs!$B$39&lt;&gt;"pvp",Inputs!$B$44&gt;0),((Skills!G3*((R2672-1)*IF(Skills!H3&gt;0,Skills!I3/Skills!H3,1)+IF(Skills!H3&gt;0,MIN(Skills!I3,MAX(0,MAX(0,Inputs!$B$44-B2714)-((R2672-1)*IF(Inputs!$B$39="pvp",15,MAX(0.1,Skills!D3-IF(Skills!E3=TRUE,Inputs!$B$32,0))))))/Skills!H3,1)))/Inputs!$B$44),G2672*Q2672))*IF(Inputs!$B$39="pvp",1,1+(Inputs!$B$20+((C2696=TRUE)*(F2696-Calc!F27))+Skills!P3+B2710+(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Hunt"),CHOOSE(ArtifactsInput!$N$35+1,15,18,21,24,27,30)*(1-EXP(-(0.2*B2705)*5)),0)+IF(AND(ArtifactsInput!$M$22,Inputs!$B$4&lt;&gt;"Chapter Hunt"),CHOOSE(ArtifactsInput!$N$22+1,10,12,14,16,18,20)*((0*(((0.15*B2705*5))^0/1)+1*(((0.15*B2705*5))^1/1)+2*(((0.15*B2705*5))^2/2)+3*(((0.15*B2705*5))^3/6)+4*(((0.15*B2705*5))^4/24)+5*(((0.15*B2705*5))^5/120))/((((0.15*B2705*5))^0/1)+(((0.15*B2705*5))^1/1)+(((0.15*B2705*5))^2/2)+(((0.15*B2705*5))^3/6)+(((0.15*B2705*5))^4/24)+(((0.15*B2705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2672*(1-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2672*(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2672*(1-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2672*(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72">
        <f>INDEX(FactorTable!$B$2:$Y$301, MATCH(ROUND(MIN(300,MAX(1,U2671)),0), FactorTable!$A$2:$A$301,0), 24)</f>
        <v/>
      </c>
      <c r="V2672">
        <f>IF(C2672,(H2672*N2672*IF(AND(Inputs!$B$39&lt;&gt;"pvp",Inputs!$B$44&gt;0),((Skills!G3*((R2672-1)*IF(Skills!H3&gt;0,Skills!I3/Skills!H3,1)+IF(Skills!H3&gt;0,MIN(Skills!I3,MAX(0,MAX(0,Inputs!$B$44-B2714)-((R2672-1)*IF(Inputs!$B$39="pvp",15,MAX(0.1,Skills!D3-IF(Skills!E3=TRUE,Inputs!$B$32,0))))))/Skills!H3,1)))/Inputs!$B$44),G2672*Q2672))*IF(Inputs!$B$39="pvp",1,(1+(Inputs!$B$21+Skills!Q3+B2710+(IF(IF(ArtifactsInput!$M$33,FALSE,TRUE),CHOOSE(ArtifactsInput!$N$33+1,30,36,42,48,54,60),0))+(IF(AND(ArtifactsInput!$M$35,Inputs!$B$4&lt;&gt;"Chapter Hunt"),CHOOSE(ArtifactsInput!$N$35+1,15,18,21,24,27,30)*(1-EXP(-(0.2*B2705)*5)),0)+IF(AND(ArtifactsInput!$M$22,Inputs!$B$4&lt;&gt;"Chapter Hunt"),CHOOSE(ArtifactsInput!$N$22+1,10,12,14,16,18,20)*((0*(((0.15*B2705*5))^0/1)+1*(((0.15*B2705*5))^1/1)+2*(((0.15*B2705*5))^2/2)+3*(((0.15*B2705*5))^3/6)+4*(((0.15*B2705*5))^4/24)+5*(((0.15*B2705*5))^5/120))/((((0.15*B2705*5))^0/1)+(((0.15*B2705*5))^1/1)+(((0.15*B2705*5))^2/2)+(((0.15*B2705*5))^3/6)+(((0.15*B2705*5))^4/24)+(((0.15*B2705*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73">
      <c r="A2673">
        <f>Skills!A4</f>
        <v/>
      </c>
      <c r="B2673">
        <f>Skills!B4</f>
        <v/>
      </c>
      <c r="C2673">
        <f>Inputs!$B$3&gt;=40</f>
        <v/>
      </c>
      <c r="D2673">
        <f>IF(Skills!C4=1,60+Inputs!$B$25+Inputs!$B$29,IF(Skills!C4=2,90+Inputs!$B$26+Inputs!$B$29,IF(Skills!C4=3,120+Inputs!$B$27+Inputs!$B$29,MAX(0,(Inputs!$B$3-100)*3)+Inputs!$B$28+Inputs!$B$29)))</f>
        <v/>
      </c>
      <c r="E2673">
        <f>INDEX(FactorTable!$B$2:$Y$301, MATCH(ROUND(MIN(300,MAX(1,D2673)),0), FactorTable!$A$2:$A$301,0), Skills!M4+1)</f>
        <v/>
      </c>
      <c r="F2673">
        <f>IF(Skills!N4=TRUE,(Skills!L4/10)*(E2673/1000),Skills!L4/10)+Skills!O4</f>
        <v/>
      </c>
      <c r="G2673">
        <f>Calc!G4</f>
        <v/>
      </c>
      <c r="H2673">
        <f>Calc!H4</f>
        <v/>
      </c>
      <c r="I2673">
        <f>IF(Skills!AA4&lt;&gt;"",1+(Skills!AA4/10)*(U2672/1000)/100,1)</f>
        <v/>
      </c>
      <c r="J2673">
        <f>((Inputs!$B$6*(1+Inputs!$B$7/100))+(((Inputs!$B$12*(1+Inputs!$B$13/100))-(Inputs!$B$12*(1+Inputs!$B$13/100)))+0.25*(Inputs!$B$14-Inputs!$B$14))*(1+Inputs!$B$7/100))*(F2673/100)</f>
        <v/>
      </c>
      <c r="K2673">
        <f>J2673*(1+((Inputs!$B$12*(1+Inputs!$B$13/100))*0.01+Inputs!$B$14*0.0025)/100)*(1+Inputs!$B$15/100)*(1+Inputs!$B$16/100)*(5000/(6000+Inputs!$B$43*(1-(100*(1-(1-(Inputs!$B$19+0)/100)*(1-CHOOSE(ArtifactsInput!$N$40+1,5,6,7,8,9,10)/100)^(ArtifactsInput!$M$40-ArtifactsInput!$M$40)))/100)))*(1+(Inputs!$B$24+((C2699=TRUE)*(F2699-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2692=TRUE)*(F2692-Calc!F23))+(((IF(AND(ArtifactsInput!$M$42,((Inputs!$B$9+((C2694=TRUE)*(F2694-Calc!F25))+B2709+(ArtifactsInput!$M$24-ArtifactsInput!$M$24)*CHOOSE(ArtifactsInput!$N$24+1,10,12,14,16,18,20)+IF(ArtifactsInput!$M$10,CHOOSE(ArtifactsInput!$N$10+1,15,18,21,24,27,30)*(IF(Inputs!$B$39="pvp",MIN(15,15)/15,IF(AND(Inputs!$B$39&lt;&gt;"pvp",Inputs!$B$44&gt;0),MIN(15,Inputs!$B$44)/(Inputs!$B$44),0))),0)))&gt;=100),MIN(100,((Inputs!$B$9+((C2694=TRUE)*(F2694-Calc!F25))+B2709+(ArtifactsInput!$M$24-ArtifactsInput!$M$24)*CHOOSE(ArtifactsInput!$N$24+1,10,12,14,16,18,20)+IF(ArtifactsInput!$M$10,CHOOSE(ArtifactsInput!$N$10+1,15,18,21,24,27,30)*(IF(Inputs!$B$39="pvp",MIN(15,15)/15,IF(AND(Inputs!$B$39&lt;&gt;"pvp",Inputs!$B$44&gt;0),MIN(15,Inputs!$B$44)/(Inputs!$B$44),0))),0)))-100),0))*CHOOSE(ArtifactsInput!$N$42+1,0.6,0.72,0.84,0.96,1.08,1.2))),Inputs!$B$18+((C2698=TRUE)*(F2698-Calc!F29))+(IF(AND(ArtifactsInput!$M$42,((Inputs!$B$9+((C2694=TRUE)*(F2694-Calc!F25))+B2709+(ArtifactsInput!$M$24-ArtifactsInput!$M$24)*CHOOSE(ArtifactsInput!$N$24+1,10,12,14,16,18,20)+IF(ArtifactsInput!$M$10,CHOOSE(ArtifactsInput!$N$10+1,15,18,21,24,27,30)*(IF(Inputs!$B$39="pvp",MIN(15,15)/15,IF(AND(Inputs!$B$39&lt;&gt;"pvp",Inputs!$B$44&gt;0),MIN(15,Inputs!$B$44)/(Inputs!$B$44),0))),0)))&gt;=100),CHOOSE(ArtifactsInput!$N$42+1,40,48,56,64,72,80),0))))/100)*(((1+(((C2690=TRUE)*F2690*IF(AND(Inputs!$B$39&lt;&gt;"pvp",Inputs!$B$44&gt;0),(((R2690-1)*(Skills!Y21*(1+Inputs!$B$34/100))+MIN((Skills!Y21*(1+Inputs!$B$34/100)),MAX(0,Inputs!$B$44-((R2690-1)*Skills!D21))))/Inputs!$B$44),IF(Inputs!$B$39="pvp",MIN((Skills!Y21*(1+Inputs!$B$34/100)),15)/15,(Skills!Y21*(1+Inputs!$B$34/100))/Skills!D21)))+((C2697=TRUE)*(F2697-Calc!F28))+((C2687=TRUE)*(F2687-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2684=TRUE)*F2684*IF(AND(Inputs!$B$39&lt;&gt;"pvp",Inputs!$B$44&gt;0),(((R2684-1)*(Skills!Y15*(1+Inputs!$B$34/100))+MIN((Skills!Y15*(1+Inputs!$B$34/100)),MAX(0,Inputs!$B$44-((R2684-1)*Skills!D15))))/Inputs!$B$44),IF(Inputs!$B$39="pvp",MIN((Skills!Y15*(1+Inputs!$B$34/100)),15)/15,(Skills!Y15*(1+Inputs!$B$34/100))/Skills!D15)))/100)*(1+((C2675=TRUE)*F2675*B2703)/100))*B2711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2673)</f>
        <v/>
      </c>
      <c r="L2673">
        <f>K2673*(MIN(Inputs!$B$22+((C2693=TRUE)*(F2693-Calc!F24)),(Inputs!$B$23+0+(IF(ArtifactsInput!$M$15,CHOOSE(ArtifactsInput!$N$15+1,25,30,35,40,45,50)/100*(Inputs!$B$11-Inputs!$B$11),0))))/100+(Inputs!$B$23+0+(IF(ArtifactsInput!$M$15,CHOOSE(ArtifactsInput!$N$15+1,25,30,35,40,45,50)/100*(Inputs!$B$11-Inputs!$B$11),0)))/100)/2</f>
        <v/>
      </c>
      <c r="M2673">
        <f>L2673*(1+(Inputs!$B$10+((C2695=TRUE)*(F2695-Calc!F26))+B2712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73">
        <f>L2673*(1-MIN((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2673*(MIN((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73">
        <f>(1-Summary!$B$11)*T2673+Summary!$B$11*V2673</f>
        <v/>
      </c>
      <c r="P2673">
        <f>IF(B2713=0,0,O2673/B2713)</f>
        <v/>
      </c>
      <c r="Q2673">
        <f>IFERROR(1/IF(Inputs!$B$39="pvp",15,MAX(0.1,Skills!D4-IF(Skills!E4=TRUE,Inputs!$B$32,0))),0)</f>
        <v/>
      </c>
      <c r="R2673">
        <f>IF(AND(Inputs!$B$39&lt;&gt;"pvp",Inputs!$B$44&gt;0),IF(MAX(0,Inputs!$B$44-B2714)&lt;=0,0,(INT(MAX(0,Inputs!$B$44-B2714)/IF(Inputs!$B$39="pvp",15,MAX(0.1,Skills!D4-IF(Skills!E4=TRUE,Inputs!$B$32,0))))+1)),0)</f>
        <v/>
      </c>
      <c r="S2673">
        <f>IFERROR(O2673/N2673,0)</f>
        <v/>
      </c>
      <c r="T2673">
        <f>IF(C2673,(H2673*N2673*IF(AND(Inputs!$B$39&lt;&gt;"pvp",Inputs!$B$44&gt;0),((Skills!G4*((R2673-1)*IF(Skills!H4&gt;0,Skills!I4/Skills!H4,1)+IF(Skills!H4&gt;0,MIN(Skills!I4,MAX(0,MAX(0,Inputs!$B$44-B2714)-((R2673-1)*IF(Inputs!$B$39="pvp",15,MAX(0.1,Skills!D4-IF(Skills!E4=TRUE,Inputs!$B$32,0))))))/Skills!H4,1)))/Inputs!$B$44),G2673*Q2673))*IF(Inputs!$B$39="pvp",1,1+(Inputs!$B$20+((C2696=TRUE)*(F2696-Calc!F27))+Skills!P4+B2710+(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Hunt"),CHOOSE(ArtifactsInput!$N$35+1,15,18,21,24,27,30)*(1-EXP(-(0.2*B2705)*5)),0)+IF(AND(ArtifactsInput!$M$22,Inputs!$B$4&lt;&gt;"Chapter Hunt"),CHOOSE(ArtifactsInput!$N$22+1,10,12,14,16,18,20)*((0*(((0.15*B2705*5))^0/1)+1*(((0.15*B2705*5))^1/1)+2*(((0.15*B2705*5))^2/2)+3*(((0.15*B2705*5))^3/6)+4*(((0.15*B2705*5))^4/24)+5*(((0.15*B2705*5))^5/120))/((((0.15*B2705*5))^0/1)+(((0.15*B2705*5))^1/1)+(((0.15*B2705*5))^2/2)+(((0.15*B2705*5))^3/6)+(((0.15*B2705*5))^4/24)+(((0.15*B2705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2673*(1-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2673*(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2673*(1-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2673*(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73">
        <f>MAX(0,(Inputs!$B$3-100)*3)+Inputs!$B$28+Inputs!$B$29</f>
        <v/>
      </c>
      <c r="V2673">
        <f>IF(C2673,(H2673*N2673*IF(AND(Inputs!$B$39&lt;&gt;"pvp",Inputs!$B$44&gt;0),((Skills!G4*((R2673-1)*IF(Skills!H4&gt;0,Skills!I4/Skills!H4,1)+IF(Skills!H4&gt;0,MIN(Skills!I4,MAX(0,MAX(0,Inputs!$B$44-B2714)-((R2673-1)*IF(Inputs!$B$39="pvp",15,MAX(0.1,Skills!D4-IF(Skills!E4=TRUE,Inputs!$B$32,0))))))/Skills!H4,1)))/Inputs!$B$44),G2673*Q2673))*IF(Inputs!$B$39="pvp",1,(1+(Inputs!$B$21+Skills!Q4+B2710+(IF(IF(ArtifactsInput!$M$33,FALSE,TRUE),CHOOSE(ArtifactsInput!$N$33+1,30,36,42,48,54,60),0))+(IF(AND(ArtifactsInput!$M$35,Inputs!$B$4&lt;&gt;"Chapter Hunt"),CHOOSE(ArtifactsInput!$N$35+1,15,18,21,24,27,30)*(1-EXP(-(0.2*B2705)*5)),0)+IF(AND(ArtifactsInput!$M$22,Inputs!$B$4&lt;&gt;"Chapter Hunt"),CHOOSE(ArtifactsInput!$N$22+1,10,12,14,16,18,20)*((0*(((0.15*B2705*5))^0/1)+1*(((0.15*B2705*5))^1/1)+2*(((0.15*B2705*5))^2/2)+3*(((0.15*B2705*5))^3/6)+4*(((0.15*B2705*5))^4/24)+5*(((0.15*B2705*5))^5/120))/((((0.15*B2705*5))^0/1)+(((0.15*B2705*5))^1/1)+(((0.15*B2705*5))^2/2)+(((0.15*B2705*5))^3/6)+(((0.15*B2705*5))^4/24)+(((0.15*B2705*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74">
      <c r="A2674">
        <f>Skills!A5</f>
        <v/>
      </c>
      <c r="B2674">
        <f>Skills!B5</f>
        <v/>
      </c>
      <c r="C2674">
        <f>Inputs!$B$3&gt;=63</f>
        <v/>
      </c>
      <c r="D2674">
        <f>IF(Skills!C5=1,60+Inputs!$B$25+Inputs!$B$29,IF(Skills!C5=2,90+Inputs!$B$26+Inputs!$B$29,IF(Skills!C5=3,120+Inputs!$B$27+Inputs!$B$29,MAX(0,(Inputs!$B$3-100)*3)+Inputs!$B$28+Inputs!$B$29)))</f>
        <v/>
      </c>
      <c r="E2674">
        <f>INDEX(FactorTable!$B$2:$Y$301, MATCH(ROUND(MIN(300,MAX(1,D2674)),0), FactorTable!$A$2:$A$301,0), Skills!M5+1)</f>
        <v/>
      </c>
      <c r="F2674">
        <f>IF(Skills!N5=TRUE,(Skills!L5/10)*(E2674/1000),Skills!L5/10)+Skills!O5</f>
        <v/>
      </c>
      <c r="G2674">
        <f>Calc!G5</f>
        <v/>
      </c>
      <c r="H2674">
        <f>Calc!H5</f>
        <v/>
      </c>
      <c r="I2674">
        <f>IF(Skills!AA5&lt;&gt;"",1+(Skills!AA5/10)*(U2672/1000)/100,1)</f>
        <v/>
      </c>
      <c r="J2674">
        <f>((Inputs!$B$6*(1+Inputs!$B$7/100))+(((Inputs!$B$12*(1+Inputs!$B$13/100))-(Inputs!$B$12*(1+Inputs!$B$13/100)))+0.25*(Inputs!$B$14-Inputs!$B$14))*(1+Inputs!$B$7/100))*(F2674/100)</f>
        <v/>
      </c>
      <c r="K2674">
        <f>J2674*(1+((Inputs!$B$12*(1+Inputs!$B$13/100))*0.01+Inputs!$B$14*0.0025)/100)*(1+Inputs!$B$15/100)*(1+Inputs!$B$16/100)*(5000/(6000+Inputs!$B$43*(1-(100*(1-(1-(Inputs!$B$19+0)/100)*(1-CHOOSE(ArtifactsInput!$N$40+1,5,6,7,8,9,10)/100)^(ArtifactsInput!$M$40-ArtifactsInput!$M$40)))/100)))*(1+(Inputs!$B$24+((C2699=TRUE)*(F2699-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2692=TRUE)*(F2692-Calc!F23))+(((IF(AND(ArtifactsInput!$M$42,((Inputs!$B$9+((C2694=TRUE)*(F2694-Calc!F25))+B2709+(ArtifactsInput!$M$24-ArtifactsInput!$M$24)*CHOOSE(ArtifactsInput!$N$24+1,10,12,14,16,18,20)+IF(ArtifactsInput!$M$10,CHOOSE(ArtifactsInput!$N$10+1,15,18,21,24,27,30)*(IF(Inputs!$B$39="pvp",MIN(15,15)/15,IF(AND(Inputs!$B$39&lt;&gt;"pvp",Inputs!$B$44&gt;0),MIN(15,Inputs!$B$44)/(Inputs!$B$44),0))),0)))&gt;=100),MIN(100,((Inputs!$B$9+((C2694=TRUE)*(F2694-Calc!F25))+B2709+(ArtifactsInput!$M$24-ArtifactsInput!$M$24)*CHOOSE(ArtifactsInput!$N$24+1,10,12,14,16,18,20)+IF(ArtifactsInput!$M$10,CHOOSE(ArtifactsInput!$N$10+1,15,18,21,24,27,30)*(IF(Inputs!$B$39="pvp",MIN(15,15)/15,IF(AND(Inputs!$B$39&lt;&gt;"pvp",Inputs!$B$44&gt;0),MIN(15,Inputs!$B$44)/(Inputs!$B$44),0))),0)))-100),0))*CHOOSE(ArtifactsInput!$N$42+1,0.6,0.72,0.84,0.96,1.08,1.2))),Inputs!$B$18+((C2698=TRUE)*(F2698-Calc!F29))+(IF(AND(ArtifactsInput!$M$42,((Inputs!$B$9+((C2694=TRUE)*(F2694-Calc!F25))+B2709+(ArtifactsInput!$M$24-ArtifactsInput!$M$24)*CHOOSE(ArtifactsInput!$N$24+1,10,12,14,16,18,20)+IF(ArtifactsInput!$M$10,CHOOSE(ArtifactsInput!$N$10+1,15,18,21,24,27,30)*(IF(Inputs!$B$39="pvp",MIN(15,15)/15,IF(AND(Inputs!$B$39&lt;&gt;"pvp",Inputs!$B$44&gt;0),MIN(15,Inputs!$B$44)/(Inputs!$B$44),0))),0)))&gt;=100),CHOOSE(ArtifactsInput!$N$42+1,40,48,56,64,72,80),0))))/100)*(((1+(((C2690=TRUE)*F2690*IF(AND(Inputs!$B$39&lt;&gt;"pvp",Inputs!$B$44&gt;0),(((R2690-1)*(Skills!Y21*(1+Inputs!$B$34/100))+MIN((Skills!Y21*(1+Inputs!$B$34/100)),MAX(0,Inputs!$B$44-((R2690-1)*Skills!D21))))/Inputs!$B$44),IF(Inputs!$B$39="pvp",MIN((Skills!Y21*(1+Inputs!$B$34/100)),15)/15,(Skills!Y21*(1+Inputs!$B$34/100))/Skills!D21)))+((C2697=TRUE)*(F2697-Calc!F28))+((C2687=TRUE)*(F2687-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2684=TRUE)*F2684*IF(AND(Inputs!$B$39&lt;&gt;"pvp",Inputs!$B$44&gt;0),(((R2684-1)*(Skills!Y15*(1+Inputs!$B$34/100))+MIN((Skills!Y15*(1+Inputs!$B$34/100)),MAX(0,Inputs!$B$44-((R2684-1)*Skills!D15))))/Inputs!$B$44),IF(Inputs!$B$39="pvp",MIN((Skills!Y15*(1+Inputs!$B$34/100)),15)/15,(Skills!Y15*(1+Inputs!$B$34/100))/Skills!D15)))/100)*(1+((C2675=TRUE)*F2675*B2703)/100))*B2711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2674)</f>
        <v/>
      </c>
      <c r="L2674">
        <f>K2674*(MIN(Inputs!$B$22+((C2693=TRUE)*(F2693-Calc!F24)),(Inputs!$B$23+0+(IF(ArtifactsInput!$M$15,CHOOSE(ArtifactsInput!$N$15+1,25,30,35,40,45,50)/100*(Inputs!$B$11-Inputs!$B$11),0))))/100+(Inputs!$B$23+0+(IF(ArtifactsInput!$M$15,CHOOSE(ArtifactsInput!$N$15+1,25,30,35,40,45,50)/100*(Inputs!$B$11-Inputs!$B$11),0)))/100)/2</f>
        <v/>
      </c>
      <c r="M2674">
        <f>L2674*(1+(Inputs!$B$10+((C2695=TRUE)*(F2695-Calc!F26))+B2712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74">
        <f>L2674*(1-MIN((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2674*(MIN((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74">
        <f>(1-Summary!$B$11)*T2674+Summary!$B$11*V2674</f>
        <v/>
      </c>
      <c r="P2674">
        <f>IF(B2713=0,0,O2674/B2713)</f>
        <v/>
      </c>
      <c r="Q2674">
        <f>IFERROR(1/IF(Inputs!$B$39="pvp",15,MAX(0.1,Skills!D5-IF(Skills!E5=TRUE,Inputs!$B$32,0))),0)</f>
        <v/>
      </c>
      <c r="R2674">
        <f>IF(AND(Inputs!$B$39&lt;&gt;"pvp",Inputs!$B$44&gt;0),IF(MAX(0,Inputs!$B$44-B2714)&lt;=0,0,(INT(MAX(0,Inputs!$B$44-B2714)/IF(Inputs!$B$39="pvp",15,MAX(0.1,Skills!D5-IF(Skills!E5=TRUE,Inputs!$B$32,0))))+1)),0)</f>
        <v/>
      </c>
      <c r="S2674">
        <f>IFERROR(O2674/N2674,0)</f>
        <v/>
      </c>
      <c r="T2674">
        <f>IF(C2674,(H2674*N2674*IF(AND(Inputs!$B$39&lt;&gt;"pvp",Inputs!$B$44&gt;0),((Skills!G5*((R2674-1)*IF(Skills!H5&gt;0,Skills!I5/Skills!H5,1)+IF(Skills!H5&gt;0,MIN(Skills!I5,MAX(0,MAX(0,Inputs!$B$44-B2714)-((R2674-1)*IF(Inputs!$B$39="pvp",15,MAX(0.1,Skills!D5-IF(Skills!E5=TRUE,Inputs!$B$32,0))))))/Skills!H5,1)))/Inputs!$B$44),G2674*Q2674))*IF(Inputs!$B$39="pvp",1,1+(Inputs!$B$20+((C2696=TRUE)*(F2696-Calc!F27))+Skills!P5+B2710+(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Hunt"),CHOOSE(ArtifactsInput!$N$35+1,15,18,21,24,27,30)*(1-EXP(-(0.2*B2705)*5)),0)+IF(AND(ArtifactsInput!$M$22,Inputs!$B$4&lt;&gt;"Chapter Hunt"),CHOOSE(ArtifactsInput!$N$22+1,10,12,14,16,18,20)*((0*(((0.15*B2705*5))^0/1)+1*(((0.15*B2705*5))^1/1)+2*(((0.15*B2705*5))^2/2)+3*(((0.15*B2705*5))^3/6)+4*(((0.15*B2705*5))^4/24)+5*(((0.15*B2705*5))^5/120))/((((0.15*B2705*5))^0/1)+(((0.15*B2705*5))^1/1)+(((0.15*B2705*5))^2/2)+(((0.15*B2705*5))^3/6)+(((0.15*B2705*5))^4/24)+(((0.15*B2705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2674*(1-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2674*(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2674*(1-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2674*(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74">
        <f>INDEX(FactorTable!$B$2:$Y$301, MATCH(ROUND(MIN(300,MAX(1,U2673)),0), FactorTable!$A$2:$A$301,0), 22)</f>
        <v/>
      </c>
      <c r="V2674">
        <f>IF(C2674,(H2674*N2674*IF(AND(Inputs!$B$39&lt;&gt;"pvp",Inputs!$B$44&gt;0),((Skills!G5*((R2674-1)*IF(Skills!H5&gt;0,Skills!I5/Skills!H5,1)+IF(Skills!H5&gt;0,MIN(Skills!I5,MAX(0,MAX(0,Inputs!$B$44-B2714)-((R2674-1)*IF(Inputs!$B$39="pvp",15,MAX(0.1,Skills!D5-IF(Skills!E5=TRUE,Inputs!$B$32,0))))))/Skills!H5,1)))/Inputs!$B$44),G2674*Q2674))*IF(Inputs!$B$39="pvp",1,(1+(Inputs!$B$21+Skills!Q5+B2710+(IF(IF(ArtifactsInput!$M$33,FALSE,TRUE),CHOOSE(ArtifactsInput!$N$33+1,30,36,42,48,54,60),0))+(IF(AND(ArtifactsInput!$M$35,Inputs!$B$4&lt;&gt;"Chapter Hunt"),CHOOSE(ArtifactsInput!$N$35+1,15,18,21,24,27,30)*(1-EXP(-(0.2*B2705)*5)),0)+IF(AND(ArtifactsInput!$M$22,Inputs!$B$4&lt;&gt;"Chapter Hunt"),CHOOSE(ArtifactsInput!$N$22+1,10,12,14,16,18,20)*((0*(((0.15*B2705*5))^0/1)+1*(((0.15*B2705*5))^1/1)+2*(((0.15*B2705*5))^2/2)+3*(((0.15*B2705*5))^3/6)+4*(((0.15*B2705*5))^4/24)+5*(((0.15*B2705*5))^5/120))/((((0.15*B2705*5))^0/1)+(((0.15*B2705*5))^1/1)+(((0.15*B2705*5))^2/2)+(((0.15*B2705*5))^3/6)+(((0.15*B2705*5))^4/24)+(((0.15*B2705*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75">
      <c r="A2675">
        <f>Skills!A6</f>
        <v/>
      </c>
      <c r="B2675">
        <f>Skills!B6</f>
        <v/>
      </c>
      <c r="C2675">
        <f>Inputs!$B$3&gt;=66</f>
        <v/>
      </c>
      <c r="D2675">
        <f>IF(Skills!C6=1,60+Inputs!$B$25+Inputs!$B$29,IF(Skills!C6=2,90+Inputs!$B$26+Inputs!$B$29,IF(Skills!C6=3,120+Inputs!$B$27+Inputs!$B$29,MAX(0,(Inputs!$B$3-100)*3)+Inputs!$B$28+Inputs!$B$29)))</f>
        <v/>
      </c>
      <c r="E2675">
        <f>INDEX(FactorTable!$B$2:$Y$301, MATCH(ROUND(MIN(300,MAX(1,D2675)),0), FactorTable!$A$2:$A$301,0), Skills!M6+1)</f>
        <v/>
      </c>
      <c r="F2675">
        <f>IF(Skills!N6=TRUE,(Skills!L6/10)*(E2675/1000),Skills!L6/10)+Skills!O6</f>
        <v/>
      </c>
      <c r="G2675">
        <f>Calc!G6</f>
        <v/>
      </c>
      <c r="H2675">
        <f>Calc!H6</f>
        <v/>
      </c>
      <c r="I2675">
        <f>IF(Skills!AA6&lt;&gt;"",1+(Skills!AA6/10)*(U2672/1000)/100,1)</f>
        <v/>
      </c>
      <c r="J2675" t="inlineStr"/>
      <c r="K2675" t="inlineStr"/>
      <c r="L2675" t="inlineStr"/>
      <c r="M2675" t="inlineStr"/>
      <c r="N2675" t="inlineStr"/>
      <c r="O2675">
        <f>(1-Summary!$B$11)*T2675+Summary!$B$11*V2675</f>
        <v/>
      </c>
      <c r="P2675">
        <f>IF(B2713=0,0,O2675/B2713)</f>
        <v/>
      </c>
      <c r="Q2675" t="n">
        <v>0</v>
      </c>
      <c r="R2675" t="n">
        <v>0</v>
      </c>
      <c r="S2675">
        <f>IFERROR(O2675/N2675,0)</f>
        <v/>
      </c>
      <c r="T2675" t="n">
        <v>0</v>
      </c>
      <c r="U2675">
        <f>290*U2674/1000</f>
        <v/>
      </c>
      <c r="V2675" t="n">
        <v>0</v>
      </c>
    </row>
    <row r="2676">
      <c r="A2676">
        <f>Skills!A7</f>
        <v/>
      </c>
      <c r="B2676">
        <f>Skills!B7</f>
        <v/>
      </c>
      <c r="C2676">
        <f>Inputs!$B$3&gt;=66</f>
        <v/>
      </c>
      <c r="D2676">
        <f>IF(Skills!C7=1,60+Inputs!$B$25+Inputs!$B$29,IF(Skills!C7=2,90+Inputs!$B$26+Inputs!$B$29,IF(Skills!C7=3,120+Inputs!$B$27+Inputs!$B$29,MAX(0,(Inputs!$B$3-100)*3)+Inputs!$B$28+Inputs!$B$29)))</f>
        <v/>
      </c>
      <c r="E2676">
        <f>INDEX(FactorTable!$B$2:$Y$301, MATCH(ROUND(MIN(300,MAX(1,D2676)),0), FactorTable!$A$2:$A$301,0), Skills!M7+1)</f>
        <v/>
      </c>
      <c r="F2676">
        <f>IF(Skills!N7=TRUE,(Skills!L7/10)*(E2676/1000),Skills!L7/10)+Skills!O7</f>
        <v/>
      </c>
      <c r="G2676">
        <f>Calc!G7</f>
        <v/>
      </c>
      <c r="H2676">
        <f>Calc!H7</f>
        <v/>
      </c>
      <c r="I2676">
        <f>IF(Skills!AA7&lt;&gt;"",1+(Skills!AA7/10)*(U2672/1000)/100,1)</f>
        <v/>
      </c>
      <c r="J2676" t="inlineStr"/>
      <c r="K2676" t="inlineStr"/>
      <c r="L2676" t="inlineStr"/>
      <c r="M2676" t="inlineStr"/>
      <c r="N2676" t="inlineStr"/>
      <c r="O2676">
        <f>(1-Summary!$B$11)*T2676+Summary!$B$11*V2676</f>
        <v/>
      </c>
      <c r="P2676">
        <f>IF(B2713=0,0,O2676/B2713)</f>
        <v/>
      </c>
      <c r="Q2676" t="n">
        <v>0</v>
      </c>
      <c r="R2676" t="n">
        <v>0</v>
      </c>
      <c r="S2676">
        <f>IFERROR(O2676/N2676,0)</f>
        <v/>
      </c>
      <c r="T2676" t="n">
        <v>0</v>
      </c>
      <c r="V2676" t="n">
        <v>0</v>
      </c>
    </row>
    <row r="2677">
      <c r="A2677">
        <f>Skills!A8</f>
        <v/>
      </c>
      <c r="B2677">
        <f>Skills!B8</f>
        <v/>
      </c>
      <c r="C2677">
        <f>Inputs!$B$3&gt;=69</f>
        <v/>
      </c>
      <c r="D2677">
        <f>IF(Skills!C8=1,60+Inputs!$B$25+Inputs!$B$29,IF(Skills!C8=2,90+Inputs!$B$26+Inputs!$B$29,IF(Skills!C8=3,120+Inputs!$B$27+Inputs!$B$29,MAX(0,(Inputs!$B$3-100)*3)+Inputs!$B$28+Inputs!$B$29)))</f>
        <v/>
      </c>
      <c r="E2677">
        <f>INDEX(FactorTable!$B$2:$Y$301, MATCH(ROUND(MIN(300,MAX(1,D2677)),0), FactorTable!$A$2:$A$301,0), Skills!M8+1)</f>
        <v/>
      </c>
      <c r="F2677">
        <f>IF(Skills!N8=TRUE,(Skills!L8/10)*(E2677/1000),Skills!L8/10)+Skills!O8</f>
        <v/>
      </c>
      <c r="G2677">
        <f>Calc!G8</f>
        <v/>
      </c>
      <c r="H2677">
        <f>Calc!H8</f>
        <v/>
      </c>
      <c r="I2677">
        <f>IF(Skills!AA8&lt;&gt;"",1+(Skills!AA8/10)*(U2672/1000)/100,1)</f>
        <v/>
      </c>
      <c r="J2677">
        <f>((Inputs!$B$6*(1+Inputs!$B$7/100))+(((Inputs!$B$12*(1+Inputs!$B$13/100))-(Inputs!$B$12*(1+Inputs!$B$13/100)))+0.25*(Inputs!$B$14-Inputs!$B$14))*(1+Inputs!$B$7/100))*(F2677/100)</f>
        <v/>
      </c>
      <c r="K2677">
        <f>J2677*(1+((Inputs!$B$12*(1+Inputs!$B$13/100))*0.01+Inputs!$B$14*0.0025)/100)*(1+Inputs!$B$15/100)*(1+Inputs!$B$16/100)*(5000/(6000+Inputs!$B$43*(1-(100*(1-(1-(Inputs!$B$19+0)/100)*(1-CHOOSE(ArtifactsInput!$N$40+1,5,6,7,8,9,10)/100)^(ArtifactsInput!$M$40-ArtifactsInput!$M$40)))/100)))*(1+(Inputs!$B$24+((C2699=TRUE)*(F2699-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2692=TRUE)*(F2692-Calc!F23))+(((IF(AND(ArtifactsInput!$M$42,((Inputs!$B$9+((C2694=TRUE)*(F2694-Calc!F25))+B2709+(ArtifactsInput!$M$24-ArtifactsInput!$M$24)*CHOOSE(ArtifactsInput!$N$24+1,10,12,14,16,18,20)+IF(ArtifactsInput!$M$10,CHOOSE(ArtifactsInput!$N$10+1,15,18,21,24,27,30)*(IF(Inputs!$B$39="pvp",MIN(15,15)/15,IF(AND(Inputs!$B$39&lt;&gt;"pvp",Inputs!$B$44&gt;0),MIN(15,Inputs!$B$44)/(Inputs!$B$44),0))),0)))&gt;=100),MIN(100,((Inputs!$B$9+((C2694=TRUE)*(F2694-Calc!F25))+B2709+(ArtifactsInput!$M$24-ArtifactsInput!$M$24)*CHOOSE(ArtifactsInput!$N$24+1,10,12,14,16,18,20)+IF(ArtifactsInput!$M$10,CHOOSE(ArtifactsInput!$N$10+1,15,18,21,24,27,30)*(IF(Inputs!$B$39="pvp",MIN(15,15)/15,IF(AND(Inputs!$B$39&lt;&gt;"pvp",Inputs!$B$44&gt;0),MIN(15,Inputs!$B$44)/(Inputs!$B$44),0))),0)))-100),0))*CHOOSE(ArtifactsInput!$N$42+1,0.6,0.72,0.84,0.96,1.08,1.2))),Inputs!$B$18+((C2698=TRUE)*(F2698-Calc!F29))+(IF(AND(ArtifactsInput!$M$42,((Inputs!$B$9+((C2694=TRUE)*(F2694-Calc!F25))+B2709+(ArtifactsInput!$M$24-ArtifactsInput!$M$24)*CHOOSE(ArtifactsInput!$N$24+1,10,12,14,16,18,20)+IF(ArtifactsInput!$M$10,CHOOSE(ArtifactsInput!$N$10+1,15,18,21,24,27,30)*(IF(Inputs!$B$39="pvp",MIN(15,15)/15,IF(AND(Inputs!$B$39&lt;&gt;"pvp",Inputs!$B$44&gt;0),MIN(15,Inputs!$B$44)/(Inputs!$B$44),0))),0)))&gt;=100),CHOOSE(ArtifactsInput!$N$42+1,40,48,56,64,72,80),0))))/100)*(((1+(((C2690=TRUE)*F2690*IF(AND(Inputs!$B$39&lt;&gt;"pvp",Inputs!$B$44&gt;0),(((R2690-1)*(Skills!Y21*(1+Inputs!$B$34/100))+MIN((Skills!Y21*(1+Inputs!$B$34/100)),MAX(0,Inputs!$B$44-((R2690-1)*Skills!D21))))/Inputs!$B$44),IF(Inputs!$B$39="pvp",MIN((Skills!Y21*(1+Inputs!$B$34/100)),15)/15,(Skills!Y21*(1+Inputs!$B$34/100))/Skills!D21)))+((C2697=TRUE)*(F2697-Calc!F28))+((C2687=TRUE)*(F2687-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2684=TRUE)*F2684*IF(AND(Inputs!$B$39&lt;&gt;"pvp",Inputs!$B$44&gt;0),(((R2684-1)*(Skills!Y15*(1+Inputs!$B$34/100))+MIN((Skills!Y15*(1+Inputs!$B$34/100)),MAX(0,Inputs!$B$44-((R2684-1)*Skills!D15))))/Inputs!$B$44),IF(Inputs!$B$39="pvp",MIN((Skills!Y15*(1+Inputs!$B$34/100)),15)/15,(Skills!Y15*(1+Inputs!$B$34/100))/Skills!D15)))/100)*(1+((C2675=TRUE)*F2675*B2703)/100))*B2711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2677)</f>
        <v/>
      </c>
      <c r="L2677">
        <f>K2677*(MIN(Inputs!$B$22+((C2693=TRUE)*(F2693-Calc!F24)),(Inputs!$B$23+0+(IF(ArtifactsInput!$M$15,CHOOSE(ArtifactsInput!$N$15+1,25,30,35,40,45,50)/100*(Inputs!$B$11-Inputs!$B$11),0))))/100+(Inputs!$B$23+0+(IF(ArtifactsInput!$M$15,CHOOSE(ArtifactsInput!$N$15+1,25,30,35,40,45,50)/100*(Inputs!$B$11-Inputs!$B$11),0)))/100)/2</f>
        <v/>
      </c>
      <c r="M2677">
        <f>L2677*(1+(Inputs!$B$10+((C2695=TRUE)*(F2695-Calc!F26))+B2712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77">
        <f>L2677*(1-MIN((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2677*(MIN((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77">
        <f>(1-Summary!$B$11)*T2677+Summary!$B$11*V2677</f>
        <v/>
      </c>
      <c r="P2677">
        <f>IF(B2713=0,0,O2677/B2713)</f>
        <v/>
      </c>
      <c r="Q2677">
        <f>IFERROR(1/IF(Inputs!$B$39="pvp",15,MAX(0.1,Skills!D8-IF(Skills!E8=TRUE,Inputs!$B$32,0))),0)</f>
        <v/>
      </c>
      <c r="R2677">
        <f>IF(AND(Inputs!$B$39&lt;&gt;"pvp",Inputs!$B$44&gt;0),IF(MAX(0,Inputs!$B$44-B2714)&lt;=0,0,(INT(MAX(0,Inputs!$B$44-B2714)/IF(Inputs!$B$39="pvp",15,MAX(0.1,Skills!D8-IF(Skills!E8=TRUE,Inputs!$B$32,0))))+1)),0)</f>
        <v/>
      </c>
      <c r="S2677">
        <f>IFERROR(O2677/N2677,0)</f>
        <v/>
      </c>
      <c r="T2677">
        <f>IF(C2677,(H2677*N2677*IF(AND(Inputs!$B$39&lt;&gt;"pvp",Inputs!$B$44&gt;0),((Skills!G8*((R2677-1)*IF(Skills!H8&gt;0,Skills!I8/Skills!H8,1)+IF(Skills!H8&gt;0,MIN(Skills!I8,MAX(0,MAX(0,Inputs!$B$44-B2714)-((R2677-1)*IF(Inputs!$B$39="pvp",15,MAX(0.1,Skills!D8-IF(Skills!E8=TRUE,Inputs!$B$32,0))))))/Skills!H8,1)))/Inputs!$B$44),G2677*Q2677))*IF(Inputs!$B$39="pvp",1,1+(Inputs!$B$20+((C2696=TRUE)*(F2696-Calc!F27))+Skills!P8+B2710+(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Hunt"),CHOOSE(ArtifactsInput!$N$35+1,15,18,21,24,27,30)*(1-EXP(-(0.2*B2705)*5)),0)+IF(AND(ArtifactsInput!$M$22,Inputs!$B$4&lt;&gt;"Chapter Hunt"),CHOOSE(ArtifactsInput!$N$22+1,10,12,14,16,18,20)*((0*(((0.15*B2705*5))^0/1)+1*(((0.15*B2705*5))^1/1)+2*(((0.15*B2705*5))^2/2)+3*(((0.15*B2705*5))^3/6)+4*(((0.15*B2705*5))^4/24)+5*(((0.15*B2705*5))^5/120))/((((0.15*B2705*5))^0/1)+(((0.15*B2705*5))^1/1)+(((0.15*B2705*5))^2/2)+(((0.15*B2705*5))^3/6)+(((0.15*B2705*5))^4/24)+(((0.15*B2705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2677*(1-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2677*(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2677*(1-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2677*(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77">
        <f>IF(C2677,(H2677*N2677*IF(AND(Inputs!$B$39&lt;&gt;"pvp",Inputs!$B$44&gt;0),((Skills!G8*((R2677-1)*IF(Skills!H8&gt;0,Skills!I8/Skills!H8,1)+IF(Skills!H8&gt;0,MIN(Skills!I8,MAX(0,MAX(0,Inputs!$B$44-B2714)-((R2677-1)*IF(Inputs!$B$39="pvp",15,MAX(0.1,Skills!D8-IF(Skills!E8=TRUE,Inputs!$B$32,0))))))/Skills!H8,1)))/Inputs!$B$44),G2677*Q2677))*IF(Inputs!$B$39="pvp",1,(1+(Inputs!$B$21+Skills!Q8+B2710+(IF(IF(ArtifactsInput!$M$33,FALSE,TRUE),CHOOSE(ArtifactsInput!$N$33+1,30,36,42,48,54,60),0))+(IF(AND(ArtifactsInput!$M$35,Inputs!$B$4&lt;&gt;"Chapter Hunt"),CHOOSE(ArtifactsInput!$N$35+1,15,18,21,24,27,30)*(1-EXP(-(0.2*B2705)*5)),0)+IF(AND(ArtifactsInput!$M$22,Inputs!$B$4&lt;&gt;"Chapter Hunt"),CHOOSE(ArtifactsInput!$N$22+1,10,12,14,16,18,20)*((0*(((0.15*B2705*5))^0/1)+1*(((0.15*B2705*5))^1/1)+2*(((0.15*B2705*5))^2/2)+3*(((0.15*B2705*5))^3/6)+4*(((0.15*B2705*5))^4/24)+5*(((0.15*B2705*5))^5/120))/((((0.15*B2705*5))^0/1)+(((0.15*B2705*5))^1/1)+(((0.15*B2705*5))^2/2)+(((0.15*B2705*5))^3/6)+(((0.15*B2705*5))^4/24)+(((0.15*B2705*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78">
      <c r="A2678">
        <f>Skills!A9</f>
        <v/>
      </c>
      <c r="B2678">
        <f>Skills!B9</f>
        <v/>
      </c>
      <c r="C2678">
        <f>Inputs!$B$3&gt;=72</f>
        <v/>
      </c>
      <c r="D2678">
        <f>IF(Skills!C9=1,60+Inputs!$B$25+Inputs!$B$29,IF(Skills!C9=2,90+Inputs!$B$26+Inputs!$B$29,IF(Skills!C9=3,120+Inputs!$B$27+Inputs!$B$29,MAX(0,(Inputs!$B$3-100)*3)+Inputs!$B$28+Inputs!$B$29)))</f>
        <v/>
      </c>
      <c r="E2678">
        <f>INDEX(FactorTable!$B$2:$Y$301, MATCH(ROUND(MIN(300,MAX(1,D2678)),0), FactorTable!$A$2:$A$301,0), Skills!M9+1)</f>
        <v/>
      </c>
      <c r="F2678">
        <f>IF(Skills!N9=TRUE,(Skills!L9/10)*(E2678/1000),Skills!L9/10)+Skills!O9</f>
        <v/>
      </c>
      <c r="G2678">
        <f>Calc!G9</f>
        <v/>
      </c>
      <c r="H2678">
        <f>Calc!H9</f>
        <v/>
      </c>
      <c r="I2678">
        <f>IF(Skills!AA9&lt;&gt;"",1+(Skills!AA9/10)*(U2672/1000)/100,1)</f>
        <v/>
      </c>
      <c r="J2678">
        <f>((Inputs!$B$6*(1+Inputs!$B$7/100))+(((Inputs!$B$12*(1+Inputs!$B$13/100))-(Inputs!$B$12*(1+Inputs!$B$13/100)))+0.25*(Inputs!$B$14-Inputs!$B$14))*(1+Inputs!$B$7/100))*(F2678/100)</f>
        <v/>
      </c>
      <c r="K2678">
        <f>J2678*(1+((Inputs!$B$12*(1+Inputs!$B$13/100))*0.01+Inputs!$B$14*0.0025)/100)*(1+Inputs!$B$15/100)*(1+Inputs!$B$16/100)*(5000/(6000+Inputs!$B$43*(1-(100*(1-(1-(Inputs!$B$19+0)/100)*(1-CHOOSE(ArtifactsInput!$N$40+1,5,6,7,8,9,10)/100)^(ArtifactsInput!$M$40-ArtifactsInput!$M$40)))/100)))*(1+(Inputs!$B$24+((C2699=TRUE)*(F2699-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2692=TRUE)*(F2692-Calc!F23))+(((IF(AND(ArtifactsInput!$M$42,((Inputs!$B$9+((C2694=TRUE)*(F2694-Calc!F25))+B2709+(ArtifactsInput!$M$24-ArtifactsInput!$M$24)*CHOOSE(ArtifactsInput!$N$24+1,10,12,14,16,18,20)+IF(ArtifactsInput!$M$10,CHOOSE(ArtifactsInput!$N$10+1,15,18,21,24,27,30)*(IF(Inputs!$B$39="pvp",MIN(15,15)/15,IF(AND(Inputs!$B$39&lt;&gt;"pvp",Inputs!$B$44&gt;0),MIN(15,Inputs!$B$44)/(Inputs!$B$44),0))),0)))&gt;=100),MIN(100,((Inputs!$B$9+((C2694=TRUE)*(F2694-Calc!F25))+B2709+(ArtifactsInput!$M$24-ArtifactsInput!$M$24)*CHOOSE(ArtifactsInput!$N$24+1,10,12,14,16,18,20)+IF(ArtifactsInput!$M$10,CHOOSE(ArtifactsInput!$N$10+1,15,18,21,24,27,30)*(IF(Inputs!$B$39="pvp",MIN(15,15)/15,IF(AND(Inputs!$B$39&lt;&gt;"pvp",Inputs!$B$44&gt;0),MIN(15,Inputs!$B$44)/(Inputs!$B$44),0))),0)))-100),0))*CHOOSE(ArtifactsInput!$N$42+1,0.6,0.72,0.84,0.96,1.08,1.2))),Inputs!$B$18+((C2698=TRUE)*(F2698-Calc!F29))+(IF(AND(ArtifactsInput!$M$42,((Inputs!$B$9+((C2694=TRUE)*(F2694-Calc!F25))+B2709+(ArtifactsInput!$M$24-ArtifactsInput!$M$24)*CHOOSE(ArtifactsInput!$N$24+1,10,12,14,16,18,20)+IF(ArtifactsInput!$M$10,CHOOSE(ArtifactsInput!$N$10+1,15,18,21,24,27,30)*(IF(Inputs!$B$39="pvp",MIN(15,15)/15,IF(AND(Inputs!$B$39&lt;&gt;"pvp",Inputs!$B$44&gt;0),MIN(15,Inputs!$B$44)/(Inputs!$B$44),0))),0)))&gt;=100),CHOOSE(ArtifactsInput!$N$42+1,40,48,56,64,72,80),0))))/100)*(((1+(((C2690=TRUE)*F2690*IF(AND(Inputs!$B$39&lt;&gt;"pvp",Inputs!$B$44&gt;0),(((R2690-1)*(Skills!Y21*(1+Inputs!$B$34/100))+MIN((Skills!Y21*(1+Inputs!$B$34/100)),MAX(0,Inputs!$B$44-((R2690-1)*Skills!D21))))/Inputs!$B$44),IF(Inputs!$B$39="pvp",MIN((Skills!Y21*(1+Inputs!$B$34/100)),15)/15,(Skills!Y21*(1+Inputs!$B$34/100))/Skills!D21)))+((C2697=TRUE)*(F2697-Calc!F28))+((C2687=TRUE)*(F2687-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2684=TRUE)*F2684*IF(AND(Inputs!$B$39&lt;&gt;"pvp",Inputs!$B$44&gt;0),(((R2684-1)*(Skills!Y15*(1+Inputs!$B$34/100))+MIN((Skills!Y15*(1+Inputs!$B$34/100)),MAX(0,Inputs!$B$44-((R2684-1)*Skills!D15))))/Inputs!$B$44),IF(Inputs!$B$39="pvp",MIN((Skills!Y15*(1+Inputs!$B$34/100)),15)/15,(Skills!Y15*(1+Inputs!$B$34/100))/Skills!D15)))/100)*(1+((C2675=TRUE)*F2675*B2703)/100))*B2711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2678)</f>
        <v/>
      </c>
      <c r="L2678">
        <f>K2678*(MIN(Inputs!$B$22+((C2693=TRUE)*(F2693-Calc!F24)),(Inputs!$B$23+0+(IF(ArtifactsInput!$M$15,CHOOSE(ArtifactsInput!$N$15+1,25,30,35,40,45,50)/100*(Inputs!$B$11-Inputs!$B$11),0))))/100+(Inputs!$B$23+0+(IF(ArtifactsInput!$M$15,CHOOSE(ArtifactsInput!$N$15+1,25,30,35,40,45,50)/100*(Inputs!$B$11-Inputs!$B$11),0)))/100)/2</f>
        <v/>
      </c>
      <c r="M2678">
        <f>L2678*(1+(Inputs!$B$10+((C2695=TRUE)*(F2695-Calc!F26))+B2712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78">
        <f>L2678*(1-MIN((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2678*(MIN((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78">
        <f>(1-Summary!$B$11)*T2678+Summary!$B$11*V2678</f>
        <v/>
      </c>
      <c r="P2678">
        <f>IF(B2713=0,0,O2678/B2713)</f>
        <v/>
      </c>
      <c r="Q2678">
        <f>IFERROR(1/IF(Inputs!$B$39="pvp",15,MAX(0.1,Skills!D9-IF(Skills!E9=TRUE,Inputs!$B$32,0))),0)</f>
        <v/>
      </c>
      <c r="R2678">
        <f>IF(AND(Inputs!$B$39&lt;&gt;"pvp",Inputs!$B$44&gt;0),IF(MAX(0,Inputs!$B$44-B2714)&lt;=0,0,(INT(MAX(0,Inputs!$B$44-B2714)/IF(Inputs!$B$39="pvp",15,MAX(0.1,Skills!D9-IF(Skills!E9=TRUE,Inputs!$B$32,0))))+1)),0)</f>
        <v/>
      </c>
      <c r="S2678">
        <f>IFERROR(O2678/N2678,0)</f>
        <v/>
      </c>
      <c r="T2678">
        <f>IF(C2678,(H2678*N2678*IF(AND(Inputs!$B$39&lt;&gt;"pvp",Inputs!$B$44&gt;0),((Skills!G9*((R2678-1)*IF(Skills!H9&gt;0,Skills!I9/Skills!H9,1)+IF(Skills!H9&gt;0,MIN(Skills!I9,MAX(0,MAX(0,Inputs!$B$44-B2714)-((R2678-1)*IF(Inputs!$B$39="pvp",15,MAX(0.1,Skills!D9-IF(Skills!E9=TRUE,Inputs!$B$32,0))))))/Skills!H9,1)))/Inputs!$B$44),G2678*Q2678))*IF(Inputs!$B$39="pvp",1,1+(Inputs!$B$20+((C2696=TRUE)*(F2696-Calc!F27))+Skills!P9+B2710+(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Hunt"),CHOOSE(ArtifactsInput!$N$35+1,15,18,21,24,27,30)*(1-EXP(-(0.2*B2705)*5)),0)+IF(AND(ArtifactsInput!$M$22,Inputs!$B$4&lt;&gt;"Chapter Hunt"),CHOOSE(ArtifactsInput!$N$22+1,10,12,14,16,18,20)*((0*(((0.15*B2705*5))^0/1)+1*(((0.15*B2705*5))^1/1)+2*(((0.15*B2705*5))^2/2)+3*(((0.15*B2705*5))^3/6)+4*(((0.15*B2705*5))^4/24)+5*(((0.15*B2705*5))^5/120))/((((0.15*B2705*5))^0/1)+(((0.15*B2705*5))^1/1)+(((0.15*B2705*5))^2/2)+(((0.15*B2705*5))^3/6)+(((0.15*B2705*5))^4/24)+(((0.15*B2705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2678*(1-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2678*(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2678*(1-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2678*(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78">
        <f>IF(C2678,(H2678*N2678*IF(AND(Inputs!$B$39&lt;&gt;"pvp",Inputs!$B$44&gt;0),((Skills!G9*((R2678-1)*IF(Skills!H9&gt;0,Skills!I9/Skills!H9,1)+IF(Skills!H9&gt;0,MIN(Skills!I9,MAX(0,MAX(0,Inputs!$B$44-B2714)-((R2678-1)*IF(Inputs!$B$39="pvp",15,MAX(0.1,Skills!D9-IF(Skills!E9=TRUE,Inputs!$B$32,0))))))/Skills!H9,1)))/Inputs!$B$44),G2678*Q2678))*IF(Inputs!$B$39="pvp",1,(1+(Inputs!$B$21+Skills!Q9+B2710+(IF(IF(ArtifactsInput!$M$33,FALSE,TRUE),CHOOSE(ArtifactsInput!$N$33+1,30,36,42,48,54,60),0))+(IF(AND(ArtifactsInput!$M$35,Inputs!$B$4&lt;&gt;"Chapter Hunt"),CHOOSE(ArtifactsInput!$N$35+1,15,18,21,24,27,30)*(1-EXP(-(0.2*B2705)*5)),0)+IF(AND(ArtifactsInput!$M$22,Inputs!$B$4&lt;&gt;"Chapter Hunt"),CHOOSE(ArtifactsInput!$N$22+1,10,12,14,16,18,20)*((0*(((0.15*B2705*5))^0/1)+1*(((0.15*B2705*5))^1/1)+2*(((0.15*B2705*5))^2/2)+3*(((0.15*B2705*5))^3/6)+4*(((0.15*B2705*5))^4/24)+5*(((0.15*B2705*5))^5/120))/((((0.15*B2705*5))^0/1)+(((0.15*B2705*5))^1/1)+(((0.15*B2705*5))^2/2)+(((0.15*B2705*5))^3/6)+(((0.15*B2705*5))^4/24)+(((0.15*B2705*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79">
      <c r="A2679">
        <f>Skills!A10</f>
        <v/>
      </c>
      <c r="B2679">
        <f>Skills!B10</f>
        <v/>
      </c>
      <c r="C2679">
        <f>Inputs!$B$3&gt;=117</f>
        <v/>
      </c>
      <c r="D2679">
        <f>IF(Skills!C10=1,60+Inputs!$B$25+Inputs!$B$29,IF(Skills!C10=2,90+Inputs!$B$26+Inputs!$B$29,IF(Skills!C10=3,120+Inputs!$B$27+Inputs!$B$29,MAX(0,(Inputs!$B$3-100)*3)+Inputs!$B$28+Inputs!$B$29)))</f>
        <v/>
      </c>
      <c r="E2679">
        <f>INDEX(FactorTable!$B$2:$Y$301, MATCH(ROUND(MIN(300,MAX(1,D2679)),0), FactorTable!$A$2:$A$301,0), Skills!M10+1)</f>
        <v/>
      </c>
      <c r="F2679">
        <f>IF(Skills!N10=TRUE,(Skills!L10/10)*(E2679/1000),Skills!L10/10)+Skills!O10</f>
        <v/>
      </c>
      <c r="G2679">
        <f>Calc!G10</f>
        <v/>
      </c>
      <c r="H2679">
        <f>Calc!H10</f>
        <v/>
      </c>
      <c r="I2679">
        <f>IF(Skills!AA10&lt;&gt;"",1+(Skills!AA10/10)*(U2672/1000)/100,1)</f>
        <v/>
      </c>
      <c r="J2679">
        <f>((Inputs!$B$6*(1+Inputs!$B$7/100))+(((Inputs!$B$12*(1+Inputs!$B$13/100))-(Inputs!$B$12*(1+Inputs!$B$13/100)))+0.25*(Inputs!$B$14-Inputs!$B$14))*(1+Inputs!$B$7/100))*(F2679/100)</f>
        <v/>
      </c>
      <c r="K2679">
        <f>J2679*(1+((Inputs!$B$12*(1+Inputs!$B$13/100))*0.01+Inputs!$B$14*0.0025)/100)*(1+Inputs!$B$15/100)*(1+Inputs!$B$16/100)*(5000/(6000+Inputs!$B$43*(1-(100*(1-(1-(Inputs!$B$19+0)/100)*(1-CHOOSE(ArtifactsInput!$N$40+1,5,6,7,8,9,10)/100)^(ArtifactsInput!$M$40-ArtifactsInput!$M$40)))/100)))*(1+(Inputs!$B$24+((C2699=TRUE)*(F2699-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2692=TRUE)*(F2692-Calc!F23))+(((IF(AND(ArtifactsInput!$M$42,((Inputs!$B$9+((C2694=TRUE)*(F2694-Calc!F25))+B2709+(ArtifactsInput!$M$24-ArtifactsInput!$M$24)*CHOOSE(ArtifactsInput!$N$24+1,10,12,14,16,18,20)+IF(ArtifactsInput!$M$10,CHOOSE(ArtifactsInput!$N$10+1,15,18,21,24,27,30)*(IF(Inputs!$B$39="pvp",MIN(15,15)/15,IF(AND(Inputs!$B$39&lt;&gt;"pvp",Inputs!$B$44&gt;0),MIN(15,Inputs!$B$44)/(Inputs!$B$44),0))),0)))&gt;=100),MIN(100,((Inputs!$B$9+((C2694=TRUE)*(F2694-Calc!F25))+B2709+(ArtifactsInput!$M$24-ArtifactsInput!$M$24)*CHOOSE(ArtifactsInput!$N$24+1,10,12,14,16,18,20)+IF(ArtifactsInput!$M$10,CHOOSE(ArtifactsInput!$N$10+1,15,18,21,24,27,30)*(IF(Inputs!$B$39="pvp",MIN(15,15)/15,IF(AND(Inputs!$B$39&lt;&gt;"pvp",Inputs!$B$44&gt;0),MIN(15,Inputs!$B$44)/(Inputs!$B$44),0))),0)))-100),0))*CHOOSE(ArtifactsInput!$N$42+1,0.6,0.72,0.84,0.96,1.08,1.2))),Inputs!$B$18+((C2698=TRUE)*(F2698-Calc!F29))+(IF(AND(ArtifactsInput!$M$42,((Inputs!$B$9+((C2694=TRUE)*(F2694-Calc!F25))+B2709+(ArtifactsInput!$M$24-ArtifactsInput!$M$24)*CHOOSE(ArtifactsInput!$N$24+1,10,12,14,16,18,20)+IF(ArtifactsInput!$M$10,CHOOSE(ArtifactsInput!$N$10+1,15,18,21,24,27,30)*(IF(Inputs!$B$39="pvp",MIN(15,15)/15,IF(AND(Inputs!$B$39&lt;&gt;"pvp",Inputs!$B$44&gt;0),MIN(15,Inputs!$B$44)/(Inputs!$B$44),0))),0)))&gt;=100),CHOOSE(ArtifactsInput!$N$42+1,40,48,56,64,72,80),0))))/100)*(((1+(((C2690=TRUE)*F2690*IF(AND(Inputs!$B$39&lt;&gt;"pvp",Inputs!$B$44&gt;0),(((R2690-1)*(Skills!Y21*(1+Inputs!$B$34/100))+MIN((Skills!Y21*(1+Inputs!$B$34/100)),MAX(0,Inputs!$B$44-((R2690-1)*Skills!D21))))/Inputs!$B$44),IF(Inputs!$B$39="pvp",MIN((Skills!Y21*(1+Inputs!$B$34/100)),15)/15,(Skills!Y21*(1+Inputs!$B$34/100))/Skills!D21)))+((C2697=TRUE)*(F2697-Calc!F28))+((C2687=TRUE)*(F2687-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2684=TRUE)*F2684*IF(AND(Inputs!$B$39&lt;&gt;"pvp",Inputs!$B$44&gt;0),(((R2684-1)*(Skills!Y15*(1+Inputs!$B$34/100))+MIN((Skills!Y15*(1+Inputs!$B$34/100)),MAX(0,Inputs!$B$44-((R2684-1)*Skills!D15))))/Inputs!$B$44),IF(Inputs!$B$39="pvp",MIN((Skills!Y15*(1+Inputs!$B$34/100)),15)/15,(Skills!Y15*(1+Inputs!$B$34/100))/Skills!D15)))/100)*(1+((C2675=TRUE)*F2675*B2703)/100))*B2711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2679)</f>
        <v/>
      </c>
      <c r="L2679">
        <f>K2679*(MIN(Inputs!$B$22+((C2693=TRUE)*(F2693-Calc!F24)),(Inputs!$B$23+0+(IF(ArtifactsInput!$M$15,CHOOSE(ArtifactsInput!$N$15+1,25,30,35,40,45,50)/100*(Inputs!$B$11-Inputs!$B$11),0))))/100+(Inputs!$B$23+0+(IF(ArtifactsInput!$M$15,CHOOSE(ArtifactsInput!$N$15+1,25,30,35,40,45,50)/100*(Inputs!$B$11-Inputs!$B$11),0)))/100)/2</f>
        <v/>
      </c>
      <c r="M2679">
        <f>L2679*(1+(Inputs!$B$10+((C2695=TRUE)*(F2695-Calc!F26))+B2712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79">
        <f>L2679*(1-MIN((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2679*(MIN((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79">
        <f>(1-Summary!$B$11)*T2679+Summary!$B$11*V2679</f>
        <v/>
      </c>
      <c r="P2679">
        <f>IF(B2713=0,0,O2679/B2713)</f>
        <v/>
      </c>
      <c r="Q2679" t="n">
        <v>0</v>
      </c>
      <c r="R2679" t="n">
        <v>0</v>
      </c>
      <c r="S2679" t="n">
        <v>0</v>
      </c>
      <c r="T2679">
        <f>IF(C2679,(0.2*SUMPRODUCT((Skills!Z2:Z31=TRUE)*(C2671:C2700=TRUE)*S2671:S2700)*N2679)*IF(Inputs!$B$39="pvp",1,1+(Inputs!$B$20+((C2696=TRUE)*(F2696-Calc!F27))+Skills!P10+B2710+(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Hunt"),CHOOSE(ArtifactsInput!$N$35+1,15,18,21,24,27,30)*(1-EXP(-(0.2*B2705)*5)),0)+IF(AND(ArtifactsInput!$M$22,Inputs!$B$4&lt;&gt;"Chapter Hunt"),CHOOSE(ArtifactsInput!$N$22+1,10,12,14,16,18,20)*((0*(((0.15*B2705*5))^0/1)+1*(((0.15*B2705*5))^1/1)+2*(((0.15*B2705*5))^2/2)+3*(((0.15*B2705*5))^3/6)+4*(((0.15*B2705*5))^4/24)+5*(((0.15*B2705*5))^5/120))/((((0.15*B2705*5))^0/1)+(((0.15*B2705*5))^1/1)+(((0.15*B2705*5))^2/2)+(((0.15*B2705*5))^3/6)+(((0.15*B2705*5))^4/24)+(((0.15*B2705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2679*(1-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2679*(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2679*(1-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2679*(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79">
        <f>IF(C2679,(0.2*SUMPRODUCT((Skills!Z2:Z31=TRUE)*(C2671:C2700=TRUE)*S2671:S2700)*N2679)*IF(Inputs!$B$39="pvp",1,(1+(Inputs!$B$21+Skills!Q10+B2710+(IF(IF(ArtifactsInput!$M$33,FALSE,TRUE),CHOOSE(ArtifactsInput!$N$33+1,30,36,42,48,54,60),0))+(IF(AND(ArtifactsInput!$M$35,Inputs!$B$4&lt;&gt;"Chapter Hunt"),CHOOSE(ArtifactsInput!$N$35+1,15,18,21,24,27,30)*(1-EXP(-(0.2*B2705)*5)),0)+IF(AND(ArtifactsInput!$M$22,Inputs!$B$4&lt;&gt;"Chapter Hunt"),CHOOSE(ArtifactsInput!$N$22+1,10,12,14,16,18,20)*((0*(((0.15*B2705*5))^0/1)+1*(((0.15*B2705*5))^1/1)+2*(((0.15*B2705*5))^2/2)+3*(((0.15*B2705*5))^3/6)+4*(((0.15*B2705*5))^4/24)+5*(((0.15*B2705*5))^5/120))/((((0.15*B2705*5))^0/1)+(((0.15*B2705*5))^1/1)+(((0.15*B2705*5))^2/2)+(((0.15*B2705*5))^3/6)+(((0.15*B2705*5))^4/24)+(((0.15*B2705*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80">
      <c r="A2680">
        <f>Skills!A11</f>
        <v/>
      </c>
      <c r="B2680">
        <f>Skills!B11</f>
        <v/>
      </c>
      <c r="C2680">
        <f>Inputs!$B$3&gt;=60</f>
        <v/>
      </c>
      <c r="D2680">
        <f>IF(Skills!C11=1,60+Inputs!$B$25+Inputs!$B$29,IF(Skills!C11=2,90+Inputs!$B$26+Inputs!$B$29,IF(Skills!C11=3,120+Inputs!$B$27+Inputs!$B$29,MAX(0,(Inputs!$B$3-100)*3)+Inputs!$B$28+Inputs!$B$29)))</f>
        <v/>
      </c>
      <c r="E2680">
        <f>INDEX(FactorTable!$B$2:$Y$301, MATCH(ROUND(MIN(300,MAX(1,D2680)),0), FactorTable!$A$2:$A$301,0), Skills!M11+1)</f>
        <v/>
      </c>
      <c r="F2680">
        <f>IF(Skills!N11=TRUE,(Skills!L11/10)*(E2680/1000),Skills!L11/10)+Skills!O11</f>
        <v/>
      </c>
      <c r="G2680">
        <f>Calc!G11</f>
        <v/>
      </c>
      <c r="H2680">
        <f>Calc!H11</f>
        <v/>
      </c>
      <c r="I2680">
        <f>IF(Skills!AA11&lt;&gt;"",1+(Skills!AA11/10)*(U2672/1000)/100,1)</f>
        <v/>
      </c>
      <c r="J2680" t="inlineStr"/>
      <c r="K2680" t="inlineStr"/>
      <c r="L2680" t="inlineStr"/>
      <c r="M2680" t="inlineStr"/>
      <c r="N2680" t="inlineStr"/>
      <c r="O2680">
        <f>(1-Summary!$B$11)*T2680+Summary!$B$11*V2680</f>
        <v/>
      </c>
      <c r="P2680">
        <f>IF(B2713=0,0,O2680/B2713)</f>
        <v/>
      </c>
      <c r="Q2680" t="n">
        <v>0</v>
      </c>
      <c r="R2680" t="n">
        <v>0</v>
      </c>
      <c r="S2680">
        <f>IFERROR(O2680/N2680,0)</f>
        <v/>
      </c>
      <c r="T2680" t="n">
        <v>0</v>
      </c>
      <c r="V2680" t="n">
        <v>0</v>
      </c>
    </row>
    <row r="2681">
      <c r="A2681">
        <f>Skills!A12</f>
        <v/>
      </c>
      <c r="B2681">
        <f>Skills!B12</f>
        <v/>
      </c>
      <c r="C2681">
        <f>Inputs!$B$3&gt;=103</f>
        <v/>
      </c>
      <c r="D2681">
        <f>IF(Skills!C12=1,60+Inputs!$B$25+Inputs!$B$29,IF(Skills!C12=2,90+Inputs!$B$26+Inputs!$B$29,IF(Skills!C12=3,120+Inputs!$B$27+Inputs!$B$29,MAX(0,(Inputs!$B$3-100)*3)+Inputs!$B$28+Inputs!$B$29)))</f>
        <v/>
      </c>
      <c r="E2681">
        <f>INDEX(FactorTable!$B$2:$Y$301, MATCH(ROUND(MIN(300,MAX(1,D2681)),0), FactorTable!$A$2:$A$301,0), Skills!M12+1)</f>
        <v/>
      </c>
      <c r="F2681">
        <f>IF(Skills!N12=TRUE,(Skills!L12/10)*(E2681/1000),Skills!L12/10)+Skills!O12</f>
        <v/>
      </c>
      <c r="G2681">
        <f>Calc!G12</f>
        <v/>
      </c>
      <c r="H2681">
        <f>Calc!H12</f>
        <v/>
      </c>
      <c r="I2681">
        <f>IF(Skills!AA12&lt;&gt;"",1+(Skills!AA12/10)*(U2672/1000)/100,1)</f>
        <v/>
      </c>
      <c r="J2681">
        <f>((Inputs!$B$6*(1+Inputs!$B$7/100))+(((Inputs!$B$12*(1+Inputs!$B$13/100))-(Inputs!$B$12*(1+Inputs!$B$13/100)))+0.25*(Inputs!$B$14-Inputs!$B$14))*(1+Inputs!$B$7/100))*(F2681/100)</f>
        <v/>
      </c>
      <c r="K2681">
        <f>J2681*(1+((Inputs!$B$12*(1+Inputs!$B$13/100))*0.01+Inputs!$B$14*0.0025)/100)*(1+Inputs!$B$15/100)*(1+Inputs!$B$16/100)*(5000/(6000+Inputs!$B$43*(1-(100*(1-(1-(Inputs!$B$19+0)/100)*(1-CHOOSE(ArtifactsInput!$N$40+1,5,6,7,8,9,10)/100)^(ArtifactsInput!$M$40-ArtifactsInput!$M$40)))/100)))*(1+(Inputs!$B$24+((C2699=TRUE)*(F2699-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2692=TRUE)*(F2692-Calc!F23))+(((IF(AND(ArtifactsInput!$M$42,((Inputs!$B$9+((C2694=TRUE)*(F2694-Calc!F25))+B2709+(ArtifactsInput!$M$24-ArtifactsInput!$M$24)*CHOOSE(ArtifactsInput!$N$24+1,10,12,14,16,18,20)+IF(ArtifactsInput!$M$10,CHOOSE(ArtifactsInput!$N$10+1,15,18,21,24,27,30)*(IF(Inputs!$B$39="pvp",MIN(15,15)/15,IF(AND(Inputs!$B$39&lt;&gt;"pvp",Inputs!$B$44&gt;0),MIN(15,Inputs!$B$44)/(Inputs!$B$44),0))),0)))&gt;=100),MIN(100,((Inputs!$B$9+((C2694=TRUE)*(F2694-Calc!F25))+B2709+(ArtifactsInput!$M$24-ArtifactsInput!$M$24)*CHOOSE(ArtifactsInput!$N$24+1,10,12,14,16,18,20)+IF(ArtifactsInput!$M$10,CHOOSE(ArtifactsInput!$N$10+1,15,18,21,24,27,30)*(IF(Inputs!$B$39="pvp",MIN(15,15)/15,IF(AND(Inputs!$B$39&lt;&gt;"pvp",Inputs!$B$44&gt;0),MIN(15,Inputs!$B$44)/(Inputs!$B$44),0))),0)))-100),0))*CHOOSE(ArtifactsInput!$N$42+1,0.6,0.72,0.84,0.96,1.08,1.2))),Inputs!$B$18+((C2698=TRUE)*(F2698-Calc!F29))+(IF(AND(ArtifactsInput!$M$42,((Inputs!$B$9+((C2694=TRUE)*(F2694-Calc!F25))+B2709+(ArtifactsInput!$M$24-ArtifactsInput!$M$24)*CHOOSE(ArtifactsInput!$N$24+1,10,12,14,16,18,20)+IF(ArtifactsInput!$M$10,CHOOSE(ArtifactsInput!$N$10+1,15,18,21,24,27,30)*(IF(Inputs!$B$39="pvp",MIN(15,15)/15,IF(AND(Inputs!$B$39&lt;&gt;"pvp",Inputs!$B$44&gt;0),MIN(15,Inputs!$B$44)/(Inputs!$B$44),0))),0)))&gt;=100),CHOOSE(ArtifactsInput!$N$42+1,40,48,56,64,72,80),0))))/100)*(((1+(((C2690=TRUE)*F2690*IF(AND(Inputs!$B$39&lt;&gt;"pvp",Inputs!$B$44&gt;0),(((R2690-1)*(Skills!Y21*(1+Inputs!$B$34/100))+MIN((Skills!Y21*(1+Inputs!$B$34/100)),MAX(0,Inputs!$B$44-((R2690-1)*Skills!D21))))/Inputs!$B$44),IF(Inputs!$B$39="pvp",MIN((Skills!Y21*(1+Inputs!$B$34/100)),15)/15,(Skills!Y21*(1+Inputs!$B$34/100))/Skills!D21)))+((C2697=TRUE)*(F2697-Calc!F28))+((C2687=TRUE)*(F2687-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2684=TRUE)*F2684*IF(AND(Inputs!$B$39&lt;&gt;"pvp",Inputs!$B$44&gt;0),(((R2684-1)*(Skills!Y15*(1+Inputs!$B$34/100))+MIN((Skills!Y15*(1+Inputs!$B$34/100)),MAX(0,Inputs!$B$44-((R2684-1)*Skills!D15))))/Inputs!$B$44),IF(Inputs!$B$39="pvp",MIN((Skills!Y15*(1+Inputs!$B$34/100)),15)/15,(Skills!Y15*(1+Inputs!$B$34/100))/Skills!D15)))/100)*(1+((C2675=TRUE)*F2675*B2703)/100))*B2711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2681)</f>
        <v/>
      </c>
      <c r="L2681">
        <f>K2681*(MIN(Inputs!$B$22+((C2693=TRUE)*(F2693-Calc!F24)),(Inputs!$B$23+0+(IF(ArtifactsInput!$M$15,CHOOSE(ArtifactsInput!$N$15+1,25,30,35,40,45,50)/100*(Inputs!$B$11-Inputs!$B$11),0))))/100+(Inputs!$B$23+0+(IF(ArtifactsInput!$M$15,CHOOSE(ArtifactsInput!$N$15+1,25,30,35,40,45,50)/100*(Inputs!$B$11-Inputs!$B$11),0)))/100)/2</f>
        <v/>
      </c>
      <c r="M2681">
        <f>L2681*(1+(Inputs!$B$10+((C2695=TRUE)*(F2695-Calc!F26))+B2712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81">
        <f>L2681*(1-MIN((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2681*(MIN((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81">
        <f>(1-Summary!$B$11)*T2681+Summary!$B$11*V2681</f>
        <v/>
      </c>
      <c r="P2681">
        <f>IF(B2713=0,0,O2681/B2713)</f>
        <v/>
      </c>
      <c r="Q2681">
        <f>IFERROR(1/IF(Inputs!$B$39="pvp",15,MAX(0.1,Skills!D12-IF(Skills!E12=TRUE,Inputs!$B$32,0))),0)</f>
        <v/>
      </c>
      <c r="R2681">
        <f>IF(AND(Inputs!$B$39&lt;&gt;"pvp",Inputs!$B$44&gt;0),IF(MAX(0,Inputs!$B$44-B2714)&lt;=0,0,(INT(MAX(0,Inputs!$B$44-B2714)/IF(Inputs!$B$39="pvp",15,MAX(0.1,Skills!D12-IF(Skills!E12=TRUE,Inputs!$B$32,0))))+1)),0)</f>
        <v/>
      </c>
      <c r="S2681">
        <f>IFERROR(O2681/N2681,0)</f>
        <v/>
      </c>
      <c r="T2681">
        <f>IF(C2681,(H2681*N2681*IF(AND(Inputs!$B$39&lt;&gt;"pvp",Inputs!$B$44&gt;0),((Skills!G12*((R2681-1)*IF(Skills!H12&gt;0,Skills!I12/Skills!H12,1)+IF(Skills!H12&gt;0,MIN(Skills!I12,MAX(0,MAX(0,Inputs!$B$44-B2714)-((R2681-1)*IF(Inputs!$B$39="pvp",15,MAX(0.1,Skills!D12-IF(Skills!E12=TRUE,Inputs!$B$32,0))))))/Skills!H12,1)))/Inputs!$B$44),G2681*Q2681))*IF(Inputs!$B$39="pvp",1,1+(Inputs!$B$20+((C2696=TRUE)*(F2696-Calc!F27))+Skills!P12+B2710+(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Hunt"),CHOOSE(ArtifactsInput!$N$35+1,15,18,21,24,27,30)*(1-EXP(-(0.2*B2705)*5)),0)+IF(AND(ArtifactsInput!$M$22,Inputs!$B$4&lt;&gt;"Chapter Hunt"),CHOOSE(ArtifactsInput!$N$22+1,10,12,14,16,18,20)*((0*(((0.15*B2705*5))^0/1)+1*(((0.15*B2705*5))^1/1)+2*(((0.15*B2705*5))^2/2)+3*(((0.15*B2705*5))^3/6)+4*(((0.15*B2705*5))^4/24)+5*(((0.15*B2705*5))^5/120))/((((0.15*B2705*5))^0/1)+(((0.15*B2705*5))^1/1)+(((0.15*B2705*5))^2/2)+(((0.15*B2705*5))^3/6)+(((0.15*B2705*5))^4/24)+(((0.15*B2705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2681*(1-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2681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2681*(1-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2681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81">
        <f>IF(C2681,(H2681*N2681*IF(AND(Inputs!$B$39&lt;&gt;"pvp",Inputs!$B$44&gt;0),((Skills!G12*((R2681-1)*IF(Skills!H12&gt;0,Skills!I12/Skills!H12,1)+IF(Skills!H12&gt;0,MIN(Skills!I12,MAX(0,MAX(0,Inputs!$B$44-B2714)-((R2681-1)*IF(Inputs!$B$39="pvp",15,MAX(0.1,Skills!D12-IF(Skills!E12=TRUE,Inputs!$B$32,0))))))/Skills!H12,1)))/Inputs!$B$44),G2681*Q2681))*IF(Inputs!$B$39="pvp",1,(1+(Inputs!$B$21+Skills!Q12+B2710+(IF(IF(ArtifactsInput!$M$33,FALSE,TRUE),CHOOSE(ArtifactsInput!$N$33+1,30,36,42,48,54,60),0))+(IF(AND(ArtifactsInput!$M$35,Inputs!$B$4&lt;&gt;"Chapter Hunt"),CHOOSE(ArtifactsInput!$N$35+1,15,18,21,24,27,30)*(1-EXP(-(0.2*B2705)*5)),0)+IF(AND(ArtifactsInput!$M$22,Inputs!$B$4&lt;&gt;"Chapter Hunt"),CHOOSE(ArtifactsInput!$N$22+1,10,12,14,16,18,20)*((0*(((0.15*B2705*5))^0/1)+1*(((0.15*B2705*5))^1/1)+2*(((0.15*B2705*5))^2/2)+3*(((0.15*B2705*5))^3/6)+4*(((0.15*B2705*5))^4/24)+5*(((0.15*B2705*5))^5/120))/((((0.15*B2705*5))^0/1)+(((0.15*B2705*5))^1/1)+(((0.15*B2705*5))^2/2)+(((0.15*B2705*5))^3/6)+(((0.15*B2705*5))^4/24)+(((0.15*B2705*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82">
      <c r="A2682">
        <f>Skills!A13</f>
        <v/>
      </c>
      <c r="B2682">
        <f>Skills!B13</f>
        <v/>
      </c>
      <c r="C2682">
        <f>Inputs!$B$3&gt;=105</f>
        <v/>
      </c>
      <c r="D2682">
        <f>IF(Skills!C13=1,60+Inputs!$B$25+Inputs!$B$29,IF(Skills!C13=2,90+Inputs!$B$26+Inputs!$B$29,IF(Skills!C13=3,120+Inputs!$B$27+Inputs!$B$29,MAX(0,(Inputs!$B$3-100)*3)+Inputs!$B$28+Inputs!$B$29)))</f>
        <v/>
      </c>
      <c r="E2682">
        <f>INDEX(FactorTable!$B$2:$Y$301, MATCH(ROUND(MIN(300,MAX(1,D2682)),0), FactorTable!$A$2:$A$301,0), Skills!M13+1)</f>
        <v/>
      </c>
      <c r="F2682">
        <f>IF(Skills!N13=TRUE,(Skills!L13/10)*(E2682/1000),Skills!L13/10)+Skills!O13</f>
        <v/>
      </c>
      <c r="G2682">
        <f>Calc!G13</f>
        <v/>
      </c>
      <c r="H2682">
        <f>Calc!H13</f>
        <v/>
      </c>
      <c r="I2682">
        <f>IF(Skills!AA13&lt;&gt;"",1+(Skills!AA13/10)*(U2672/1000)/100,1)</f>
        <v/>
      </c>
      <c r="J2682">
        <f>((Inputs!$B$6*(1+Inputs!$B$7/100))+(((Inputs!$B$12*(1+Inputs!$B$13/100))-(Inputs!$B$12*(1+Inputs!$B$13/100)))+0.25*(Inputs!$B$14-Inputs!$B$14))*(1+Inputs!$B$7/100))*(F2682/100)</f>
        <v/>
      </c>
      <c r="K2682">
        <f>J2682*(1+((Inputs!$B$12*(1+Inputs!$B$13/100))*0.01+Inputs!$B$14*0.0025)/100)*(1+Inputs!$B$15/100)*(1+Inputs!$B$16/100)*(5000/(6000+Inputs!$B$43*(1-(100*(1-(1-(Inputs!$B$19+0)/100)*(1-CHOOSE(ArtifactsInput!$N$40+1,5,6,7,8,9,10)/100)^(ArtifactsInput!$M$40-ArtifactsInput!$M$40)))/100)))*(1+(Inputs!$B$24+((C2699=TRUE)*(F2699-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2692=TRUE)*(F2692-Calc!F23))+(((IF(AND(ArtifactsInput!$M$42,((Inputs!$B$9+((C2694=TRUE)*(F2694-Calc!F25))+B2709+(ArtifactsInput!$M$24-ArtifactsInput!$M$24)*CHOOSE(ArtifactsInput!$N$24+1,10,12,14,16,18,20)+IF(ArtifactsInput!$M$10,CHOOSE(ArtifactsInput!$N$10+1,15,18,21,24,27,30)*(IF(Inputs!$B$39="pvp",MIN(15,15)/15,IF(AND(Inputs!$B$39&lt;&gt;"pvp",Inputs!$B$44&gt;0),MIN(15,Inputs!$B$44)/(Inputs!$B$44),0))),0)))&gt;=100),MIN(100,((Inputs!$B$9+((C2694=TRUE)*(F2694-Calc!F25))+B2709+(ArtifactsInput!$M$24-ArtifactsInput!$M$24)*CHOOSE(ArtifactsInput!$N$24+1,10,12,14,16,18,20)+IF(ArtifactsInput!$M$10,CHOOSE(ArtifactsInput!$N$10+1,15,18,21,24,27,30)*(IF(Inputs!$B$39="pvp",MIN(15,15)/15,IF(AND(Inputs!$B$39&lt;&gt;"pvp",Inputs!$B$44&gt;0),MIN(15,Inputs!$B$44)/(Inputs!$B$44),0))),0)))-100),0))*CHOOSE(ArtifactsInput!$N$42+1,0.6,0.72,0.84,0.96,1.08,1.2))),Inputs!$B$18+((C2698=TRUE)*(F2698-Calc!F29))+(IF(AND(ArtifactsInput!$M$42,((Inputs!$B$9+((C2694=TRUE)*(F2694-Calc!F25))+B2709+(ArtifactsInput!$M$24-ArtifactsInput!$M$24)*CHOOSE(ArtifactsInput!$N$24+1,10,12,14,16,18,20)+IF(ArtifactsInput!$M$10,CHOOSE(ArtifactsInput!$N$10+1,15,18,21,24,27,30)*(IF(Inputs!$B$39="pvp",MIN(15,15)/15,IF(AND(Inputs!$B$39&lt;&gt;"pvp",Inputs!$B$44&gt;0),MIN(15,Inputs!$B$44)/(Inputs!$B$44),0))),0)))&gt;=100),CHOOSE(ArtifactsInput!$N$42+1,40,48,56,64,72,80),0))))/100)*(((1+(((C2690=TRUE)*F2690*IF(AND(Inputs!$B$39&lt;&gt;"pvp",Inputs!$B$44&gt;0),(((R2690-1)*(Skills!Y21*(1+Inputs!$B$34/100))+MIN((Skills!Y21*(1+Inputs!$B$34/100)),MAX(0,Inputs!$B$44-((R2690-1)*Skills!D21))))/Inputs!$B$44),IF(Inputs!$B$39="pvp",MIN((Skills!Y21*(1+Inputs!$B$34/100)),15)/15,(Skills!Y21*(1+Inputs!$B$34/100))/Skills!D21)))+((C2697=TRUE)*(F2697-Calc!F28))+((C2687=TRUE)*(F2687-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2684=TRUE)*F2684*IF(AND(Inputs!$B$39&lt;&gt;"pvp",Inputs!$B$44&gt;0),(((R2684-1)*(Skills!Y15*(1+Inputs!$B$34/100))+MIN((Skills!Y15*(1+Inputs!$B$34/100)),MAX(0,Inputs!$B$44-((R2684-1)*Skills!D15))))/Inputs!$B$44),IF(Inputs!$B$39="pvp",MIN((Skills!Y15*(1+Inputs!$B$34/100)),15)/15,(Skills!Y15*(1+Inputs!$B$34/100))/Skills!D15)))/100)*(1+((C2675=TRUE)*F2675*B2703)/100))*B2711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2682)</f>
        <v/>
      </c>
      <c r="L2682">
        <f>K2682*(MIN(Inputs!$B$22+((C2693=TRUE)*(F2693-Calc!F24)),(Inputs!$B$23+0+(IF(ArtifactsInput!$M$15,CHOOSE(ArtifactsInput!$N$15+1,25,30,35,40,45,50)/100*(Inputs!$B$11-Inputs!$B$11),0))))/100+(Inputs!$B$23+0+(IF(ArtifactsInput!$M$15,CHOOSE(ArtifactsInput!$N$15+1,25,30,35,40,45,50)/100*(Inputs!$B$11-Inputs!$B$11),0)))/100)/2</f>
        <v/>
      </c>
      <c r="M2682">
        <f>L2682*(1+(Inputs!$B$10+((C2695=TRUE)*(F2695-Calc!F26))+B2712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82">
        <f>L2682*(1-MIN((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2682*(MIN((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82">
        <f>(1-Summary!$B$11)*T2682+Summary!$B$11*V2682</f>
        <v/>
      </c>
      <c r="P2682">
        <f>IF(B2713=0,0,O2682/B2713)</f>
        <v/>
      </c>
      <c r="Q2682">
        <f>IFERROR(1/IF(Inputs!$B$39="pvp",15,MAX(0.1,Skills!D13-IF(Skills!E13=TRUE,Inputs!$B$32,0))),0)</f>
        <v/>
      </c>
      <c r="R2682">
        <f>IF(AND(Inputs!$B$39&lt;&gt;"pvp",Inputs!$B$44&gt;0),IF(MAX(0,Inputs!$B$44-B2714)&lt;=0,0,(INT(MAX(0,Inputs!$B$44-B2714)/IF(Inputs!$B$39="pvp",15,MAX(0.1,Skills!D13-IF(Skills!E13=TRUE,Inputs!$B$32,0))))+1)),0)</f>
        <v/>
      </c>
      <c r="S2682">
        <f>IFERROR(O2682/N2682,0)</f>
        <v/>
      </c>
      <c r="T2682">
        <f>IF(C2682,(H2682*N2682*IF(AND(Inputs!$B$39&lt;&gt;"pvp",Inputs!$B$44&gt;0),((Skills!G13*((R2682-1)*IF(Skills!H13&gt;0,Skills!I13/Skills!H13,1)+IF(Skills!H13&gt;0,MIN(Skills!I13,MAX(0,MAX(0,Inputs!$B$44-B2714)-((R2682-1)*IF(Inputs!$B$39="pvp",15,MAX(0.1,Skills!D13-IF(Skills!E13=TRUE,Inputs!$B$32,0))))))/Skills!H13,1)))/Inputs!$B$44),G2682*Q2682))*IF(Inputs!$B$39="pvp",1,1+(Inputs!$B$20+((C2696=TRUE)*(F2696-Calc!F27))+Skills!P13+B2710+(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Hunt"),CHOOSE(ArtifactsInput!$N$35+1,15,18,21,24,27,30)*(1-EXP(-(0.2*B2705)*5)),0)+IF(AND(ArtifactsInput!$M$22,Inputs!$B$4&lt;&gt;"Chapter Hunt"),CHOOSE(ArtifactsInput!$N$22+1,10,12,14,16,18,20)*((0*(((0.15*B2705*5))^0/1)+1*(((0.15*B2705*5))^1/1)+2*(((0.15*B2705*5))^2/2)+3*(((0.15*B2705*5))^3/6)+4*(((0.15*B2705*5))^4/24)+5*(((0.15*B2705*5))^5/120))/((((0.15*B2705*5))^0/1)+(((0.15*B2705*5))^1/1)+(((0.15*B2705*5))^2/2)+(((0.15*B2705*5))^3/6)+(((0.15*B2705*5))^4/24)+(((0.15*B2705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2682*(1-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2682*(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2682*(1-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2682*(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82">
        <f>IF(C2682,(H2682*N2682*IF(AND(Inputs!$B$39&lt;&gt;"pvp",Inputs!$B$44&gt;0),((Skills!G13*((R2682-1)*IF(Skills!H13&gt;0,Skills!I13/Skills!H13,1)+IF(Skills!H13&gt;0,MIN(Skills!I13,MAX(0,MAX(0,Inputs!$B$44-B2714)-((R2682-1)*IF(Inputs!$B$39="pvp",15,MAX(0.1,Skills!D13-IF(Skills!E13=TRUE,Inputs!$B$32,0))))))/Skills!H13,1)))/Inputs!$B$44),G2682*Q2682))*IF(Inputs!$B$39="pvp",1,(1+(Inputs!$B$21+Skills!Q13+B2710+(IF(IF(ArtifactsInput!$M$33,FALSE,TRUE),CHOOSE(ArtifactsInput!$N$33+1,30,36,42,48,54,60),0))+(IF(AND(ArtifactsInput!$M$35,Inputs!$B$4&lt;&gt;"Chapter Hunt"),CHOOSE(ArtifactsInput!$N$35+1,15,18,21,24,27,30)*(1-EXP(-(0.2*B2705)*5)),0)+IF(AND(ArtifactsInput!$M$22,Inputs!$B$4&lt;&gt;"Chapter Hunt"),CHOOSE(ArtifactsInput!$N$22+1,10,12,14,16,18,20)*((0*(((0.15*B2705*5))^0/1)+1*(((0.15*B2705*5))^1/1)+2*(((0.15*B2705*5))^2/2)+3*(((0.15*B2705*5))^3/6)+4*(((0.15*B2705*5))^4/24)+5*(((0.15*B2705*5))^5/120))/((((0.15*B2705*5))^0/1)+(((0.15*B2705*5))^1/1)+(((0.15*B2705*5))^2/2)+(((0.15*B2705*5))^3/6)+(((0.15*B2705*5))^4/24)+(((0.15*B2705*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83">
      <c r="A2683">
        <f>Skills!A14</f>
        <v/>
      </c>
      <c r="B2683">
        <f>Skills!B14</f>
        <v/>
      </c>
      <c r="C2683">
        <f>Inputs!$B$3&gt;=105</f>
        <v/>
      </c>
      <c r="D2683">
        <f>IF(Skills!C14=1,60+Inputs!$B$25+Inputs!$B$29,IF(Skills!C14=2,90+Inputs!$B$26+Inputs!$B$29,IF(Skills!C14=3,120+Inputs!$B$27+Inputs!$B$29,MAX(0,(Inputs!$B$3-100)*3)+Inputs!$B$28+Inputs!$B$29)))</f>
        <v/>
      </c>
      <c r="E2683">
        <f>INDEX(FactorTable!$B$2:$Y$301, MATCH(ROUND(MIN(300,MAX(1,D2683)),0), FactorTable!$A$2:$A$301,0), Skills!M14+1)</f>
        <v/>
      </c>
      <c r="F2683">
        <f>IF(Skills!N14=TRUE,(Skills!L14/10)*(E2683/1000),Skills!L14/10)+Skills!O14</f>
        <v/>
      </c>
      <c r="G2683">
        <f>Calc!G14</f>
        <v/>
      </c>
      <c r="H2683">
        <f>Calc!H14</f>
        <v/>
      </c>
      <c r="I2683">
        <f>IF(Skills!AA14&lt;&gt;"",1+(Skills!AA14/10)*(U2672/1000)/100,1)</f>
        <v/>
      </c>
      <c r="J2683">
        <f>((Inputs!$B$6*(1+Inputs!$B$7/100))+(((Inputs!$B$12*(1+Inputs!$B$13/100))-(Inputs!$B$12*(1+Inputs!$B$13/100)))+0.25*(Inputs!$B$14-Inputs!$B$14))*(1+Inputs!$B$7/100))*(F2683/100)</f>
        <v/>
      </c>
      <c r="K2683">
        <f>J2683*(1+((Inputs!$B$12*(1+Inputs!$B$13/100))*0.01+Inputs!$B$14*0.0025)/100)*(1+Inputs!$B$15/100)*(1+Inputs!$B$16/100)*(5000/(6000+Inputs!$B$43*(1-(100*(1-(1-(Inputs!$B$19+0)/100)*(1-CHOOSE(ArtifactsInput!$N$40+1,5,6,7,8,9,10)/100)^(ArtifactsInput!$M$40-ArtifactsInput!$M$40)))/100)))*(1+(Inputs!$B$24+((C2699=TRUE)*(F2699-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2692=TRUE)*(F2692-Calc!F23))+(((IF(AND(ArtifactsInput!$M$42,((Inputs!$B$9+((C2694=TRUE)*(F2694-Calc!F25))+B2709+(ArtifactsInput!$M$24-ArtifactsInput!$M$24)*CHOOSE(ArtifactsInput!$N$24+1,10,12,14,16,18,20)+IF(ArtifactsInput!$M$10,CHOOSE(ArtifactsInput!$N$10+1,15,18,21,24,27,30)*(IF(Inputs!$B$39="pvp",MIN(15,15)/15,IF(AND(Inputs!$B$39&lt;&gt;"pvp",Inputs!$B$44&gt;0),MIN(15,Inputs!$B$44)/(Inputs!$B$44),0))),0)))&gt;=100),MIN(100,((Inputs!$B$9+((C2694=TRUE)*(F2694-Calc!F25))+B2709+(ArtifactsInput!$M$24-ArtifactsInput!$M$24)*CHOOSE(ArtifactsInput!$N$24+1,10,12,14,16,18,20)+IF(ArtifactsInput!$M$10,CHOOSE(ArtifactsInput!$N$10+1,15,18,21,24,27,30)*(IF(Inputs!$B$39="pvp",MIN(15,15)/15,IF(AND(Inputs!$B$39&lt;&gt;"pvp",Inputs!$B$44&gt;0),MIN(15,Inputs!$B$44)/(Inputs!$B$44),0))),0)))-100),0))*CHOOSE(ArtifactsInput!$N$42+1,0.6,0.72,0.84,0.96,1.08,1.2))),Inputs!$B$18+((C2698=TRUE)*(F2698-Calc!F29))+(IF(AND(ArtifactsInput!$M$42,((Inputs!$B$9+((C2694=TRUE)*(F2694-Calc!F25))+B2709+(ArtifactsInput!$M$24-ArtifactsInput!$M$24)*CHOOSE(ArtifactsInput!$N$24+1,10,12,14,16,18,20)+IF(ArtifactsInput!$M$10,CHOOSE(ArtifactsInput!$N$10+1,15,18,21,24,27,30)*(IF(Inputs!$B$39="pvp",MIN(15,15)/15,IF(AND(Inputs!$B$39&lt;&gt;"pvp",Inputs!$B$44&gt;0),MIN(15,Inputs!$B$44)/(Inputs!$B$44),0))),0)))&gt;=100),CHOOSE(ArtifactsInput!$N$42+1,40,48,56,64,72,80),0))))/100)*(((1+(((C2690=TRUE)*F2690*IF(AND(Inputs!$B$39&lt;&gt;"pvp",Inputs!$B$44&gt;0),(((R2690-1)*(Skills!Y21*(1+Inputs!$B$34/100))+MIN((Skills!Y21*(1+Inputs!$B$34/100)),MAX(0,Inputs!$B$44-((R2690-1)*Skills!D21))))/Inputs!$B$44),IF(Inputs!$B$39="pvp",MIN((Skills!Y21*(1+Inputs!$B$34/100)),15)/15,(Skills!Y21*(1+Inputs!$B$34/100))/Skills!D21)))+((C2697=TRUE)*(F2697-Calc!F28))+((C2687=TRUE)*(F2687-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2684=TRUE)*F2684*IF(AND(Inputs!$B$39&lt;&gt;"pvp",Inputs!$B$44&gt;0),(((R2684-1)*(Skills!Y15*(1+Inputs!$B$34/100))+MIN((Skills!Y15*(1+Inputs!$B$34/100)),MAX(0,Inputs!$B$44-((R2684-1)*Skills!D15))))/Inputs!$B$44),IF(Inputs!$B$39="pvp",MIN((Skills!Y15*(1+Inputs!$B$34/100)),15)/15,(Skills!Y15*(1+Inputs!$B$34/100))/Skills!D15)))/100)*(1+((C2675=TRUE)*F2675*B2703)/100))*B2711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2683)</f>
        <v/>
      </c>
      <c r="L2683">
        <f>K2683*(MIN(Inputs!$B$22+((C2693=TRUE)*(F2693-Calc!F24)),(Inputs!$B$23+0+(IF(ArtifactsInput!$M$15,CHOOSE(ArtifactsInput!$N$15+1,25,30,35,40,45,50)/100*(Inputs!$B$11-Inputs!$B$11),0))))/100+(Inputs!$B$23+0+(IF(ArtifactsInput!$M$15,CHOOSE(ArtifactsInput!$N$15+1,25,30,35,40,45,50)/100*(Inputs!$B$11-Inputs!$B$11),0)))/100)/2</f>
        <v/>
      </c>
      <c r="M2683">
        <f>L2683*(1+(Inputs!$B$10+((C2695=TRUE)*(F2695-Calc!F26))+B2712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83">
        <f>L2683*(1-MIN((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2683*(MIN((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83">
        <f>(1-Summary!$B$11)*T2683+Summary!$B$11*V2683</f>
        <v/>
      </c>
      <c r="P2683">
        <f>IF(B2713=0,0,O2683/B2713)</f>
        <v/>
      </c>
      <c r="Q2683">
        <f>IFERROR(1/IF(Inputs!$B$39="pvp",15,MAX(0.1,Skills!D14-IF(Skills!E14=TRUE,Inputs!$B$32,0))),0)</f>
        <v/>
      </c>
      <c r="R2683">
        <f>IF(AND(Inputs!$B$39&lt;&gt;"pvp",Inputs!$B$44&gt;0),IF(MAX(0,Inputs!$B$44-B2714)&lt;=0,0,(INT(MAX(0,Inputs!$B$44-B2714)/IF(Inputs!$B$39="pvp",15,MAX(0.1,Skills!D14-IF(Skills!E14=TRUE,Inputs!$B$32,0))))+1)),0)</f>
        <v/>
      </c>
      <c r="S2683">
        <f>IFERROR(O2683/N2683,0)</f>
        <v/>
      </c>
      <c r="T2683">
        <f>IF(C2683,(H2683*N2683*IF(AND(Inputs!$B$39&lt;&gt;"pvp",Inputs!$B$44&gt;0),((Skills!G14*((R2683-1)*IF(Skills!H14&gt;0,Skills!I14/Skills!H14,1)+IF(Skills!H14&gt;0,MIN(Skills!I14,MAX(0,MAX(0,Inputs!$B$44-B2714)-((R2683-1)*IF(Inputs!$B$39="pvp",15,MAX(0.1,Skills!D14-IF(Skills!E14=TRUE,Inputs!$B$32,0))))))/Skills!H14,1)))/Inputs!$B$44),G2683*Q2683))*IF(Inputs!$B$39="pvp",1,1+(Inputs!$B$20+((C2696=TRUE)*(F2696-Calc!F27))+Skills!P14+B2710+(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Hunt"),CHOOSE(ArtifactsInput!$N$35+1,15,18,21,24,27,30)*(1-EXP(-(0.2*B2705)*5)),0)+IF(AND(ArtifactsInput!$M$22,Inputs!$B$4&lt;&gt;"Chapter Hunt"),CHOOSE(ArtifactsInput!$N$22+1,10,12,14,16,18,20)*((0*(((0.15*B2705*5))^0/1)+1*(((0.15*B2705*5))^1/1)+2*(((0.15*B2705*5))^2/2)+3*(((0.15*B2705*5))^3/6)+4*(((0.15*B2705*5))^4/24)+5*(((0.15*B2705*5))^5/120))/((((0.15*B2705*5))^0/1)+(((0.15*B2705*5))^1/1)+(((0.15*B2705*5))^2/2)+(((0.15*B2705*5))^3/6)+(((0.15*B2705*5))^4/24)+(((0.15*B2705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2683*(1-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2683*(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2683*(1-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2683*(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83">
        <f>IF(C2683,(H2683*N2683*IF(AND(Inputs!$B$39&lt;&gt;"pvp",Inputs!$B$44&gt;0),((Skills!G14*((R2683-1)*IF(Skills!H14&gt;0,Skills!I14/Skills!H14,1)+IF(Skills!H14&gt;0,MIN(Skills!I14,MAX(0,MAX(0,Inputs!$B$44-B2714)-((R2683-1)*IF(Inputs!$B$39="pvp",15,MAX(0.1,Skills!D14-IF(Skills!E14=TRUE,Inputs!$B$32,0))))))/Skills!H14,1)))/Inputs!$B$44),G2683*Q2683))*IF(Inputs!$B$39="pvp",1,(1+(Inputs!$B$21+Skills!Q14+B2710+(IF(IF(ArtifactsInput!$M$33,FALSE,TRUE),CHOOSE(ArtifactsInput!$N$33+1,30,36,42,48,54,60),0))+(IF(AND(ArtifactsInput!$M$35,Inputs!$B$4&lt;&gt;"Chapter Hunt"),CHOOSE(ArtifactsInput!$N$35+1,15,18,21,24,27,30)*(1-EXP(-(0.2*B2705)*5)),0)+IF(AND(ArtifactsInput!$M$22,Inputs!$B$4&lt;&gt;"Chapter Hunt"),CHOOSE(ArtifactsInput!$N$22+1,10,12,14,16,18,20)*((0*(((0.15*B2705*5))^0/1)+1*(((0.15*B2705*5))^1/1)+2*(((0.15*B2705*5))^2/2)+3*(((0.15*B2705*5))^3/6)+4*(((0.15*B2705*5))^4/24)+5*(((0.15*B2705*5))^5/120))/((((0.15*B2705*5))^0/1)+(((0.15*B2705*5))^1/1)+(((0.15*B2705*5))^2/2)+(((0.15*B2705*5))^3/6)+(((0.15*B2705*5))^4/24)+(((0.15*B2705*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84">
      <c r="A2684">
        <f>Skills!A15</f>
        <v/>
      </c>
      <c r="B2684">
        <f>Skills!B15</f>
        <v/>
      </c>
      <c r="C2684">
        <f>Inputs!$B$3&gt;=110</f>
        <v/>
      </c>
      <c r="D2684">
        <f>IF(Skills!C15=1,60+Inputs!$B$25+Inputs!$B$29,IF(Skills!C15=2,90+Inputs!$B$26+Inputs!$B$29,IF(Skills!C15=3,120+Inputs!$B$27+Inputs!$B$29,MAX(0,(Inputs!$B$3-100)*3)+Inputs!$B$28+Inputs!$B$29)))</f>
        <v/>
      </c>
      <c r="E2684">
        <f>INDEX(FactorTable!$B$2:$Y$301, MATCH(ROUND(MIN(300,MAX(1,D2684)),0), FactorTable!$A$2:$A$301,0), Skills!M15+1)</f>
        <v/>
      </c>
      <c r="F2684">
        <f>IF(Skills!N15=TRUE,(Skills!L15/10)*(E2684/1000),Skills!L15/10)+Skills!O15</f>
        <v/>
      </c>
      <c r="G2684">
        <f>Calc!G15</f>
        <v/>
      </c>
      <c r="H2684">
        <f>Calc!H15</f>
        <v/>
      </c>
      <c r="I2684">
        <f>IF(Skills!AA15&lt;&gt;"",1+(Skills!AA15/10)*(U2672/1000)/100,1)</f>
        <v/>
      </c>
      <c r="J2684" t="inlineStr"/>
      <c r="K2684" t="inlineStr"/>
      <c r="L2684" t="inlineStr"/>
      <c r="M2684" t="inlineStr"/>
      <c r="N2684" t="inlineStr"/>
      <c r="O2684">
        <f>(1-Summary!$B$11)*T2684+Summary!$B$11*V2684</f>
        <v/>
      </c>
      <c r="P2684">
        <f>IF(B2713=0,0,O2684/B2713)</f>
        <v/>
      </c>
      <c r="Q2684">
        <f>IFERROR(1/IF(Inputs!$B$39="pvp",15,MAX(0.1,Skills!D15-IF(Skills!E15=TRUE,Inputs!$B$32,0))),0)</f>
        <v/>
      </c>
      <c r="R2684">
        <f>IF(AND(Inputs!$B$39&lt;&gt;"pvp",Inputs!$B$44&gt;0),IF(Inputs!$B$44&lt;=0,0,(INT(Inputs!$B$44/IF(Inputs!$B$39="pvp",15,MAX(0.1,Skills!D15-IF(Skills!E15=TRUE,Inputs!$B$32,0))))+1)),0)</f>
        <v/>
      </c>
      <c r="S2684">
        <f>IFERROR(O2684/N2684,0)</f>
        <v/>
      </c>
      <c r="T2684" t="n">
        <v>0</v>
      </c>
      <c r="V2684" t="n">
        <v>0</v>
      </c>
    </row>
    <row r="2685">
      <c r="A2685">
        <f>Skills!A16</f>
        <v/>
      </c>
      <c r="B2685">
        <f>Skills!B16</f>
        <v/>
      </c>
      <c r="C2685">
        <f>Inputs!$B$3&gt;=110</f>
        <v/>
      </c>
      <c r="D2685">
        <f>IF(Skills!C16=1,60+Inputs!$B$25+Inputs!$B$29,IF(Skills!C16=2,90+Inputs!$B$26+Inputs!$B$29,IF(Skills!C16=3,120+Inputs!$B$27+Inputs!$B$29,MAX(0,(Inputs!$B$3-100)*3)+Inputs!$B$28+Inputs!$B$29)))</f>
        <v/>
      </c>
      <c r="E2685">
        <f>INDEX(FactorTable!$B$2:$Y$301, MATCH(ROUND(MIN(300,MAX(1,D2685)),0), FactorTable!$A$2:$A$301,0), Skills!M16+1)</f>
        <v/>
      </c>
      <c r="F2685">
        <f>IF(Skills!N16=TRUE,(Skills!L16/10)*(E2685/1000),Skills!L16/10)+Skills!O16</f>
        <v/>
      </c>
      <c r="G2685">
        <f>Calc!G16</f>
        <v/>
      </c>
      <c r="H2685">
        <f>Calc!H16</f>
        <v/>
      </c>
      <c r="I2685">
        <f>IF(Skills!AA16&lt;&gt;"",1+(Skills!AA16/10)*(U2672/1000)/100,1)</f>
        <v/>
      </c>
      <c r="J2685" t="inlineStr"/>
      <c r="K2685" t="inlineStr"/>
      <c r="L2685" t="inlineStr"/>
      <c r="M2685" t="inlineStr"/>
      <c r="N2685" t="inlineStr"/>
      <c r="O2685">
        <f>(1-Summary!$B$11)*T2685+Summary!$B$11*V2685</f>
        <v/>
      </c>
      <c r="P2685">
        <f>IF(B2713=0,0,O2685/B2713)</f>
        <v/>
      </c>
      <c r="Q2685">
        <f>IFERROR(1/IF(Inputs!$B$39="pvp",15,MAX(0.1,Skills!D16-IF(Skills!E16=TRUE,Inputs!$B$32,0))),0)</f>
        <v/>
      </c>
      <c r="R2685">
        <f>IF(AND(Inputs!$B$39&lt;&gt;"pvp",Inputs!$B$44&gt;0),IF(Inputs!$B$44&lt;=0,0,(INT(Inputs!$B$44/IF(Inputs!$B$39="pvp",15,MAX(0.1,Skills!D16-IF(Skills!E16=TRUE,Inputs!$B$32,0))))+1)),0)</f>
        <v/>
      </c>
      <c r="S2685">
        <f>IFERROR(O2685/N2685,0)</f>
        <v/>
      </c>
      <c r="T2685" t="n">
        <v>0</v>
      </c>
      <c r="V2685" t="n">
        <v>0</v>
      </c>
    </row>
    <row r="2686">
      <c r="A2686">
        <f>Skills!A17</f>
        <v/>
      </c>
      <c r="B2686">
        <f>Skills!B17</f>
        <v/>
      </c>
      <c r="C2686">
        <f>Inputs!$B$3&gt;=115</f>
        <v/>
      </c>
      <c r="D2686">
        <f>IF(Skills!C17=1,60+Inputs!$B$25+Inputs!$B$29,IF(Skills!C17=2,90+Inputs!$B$26+Inputs!$B$29,IF(Skills!C17=3,120+Inputs!$B$27+Inputs!$B$29,MAX(0,(Inputs!$B$3-100)*3)+Inputs!$B$28+Inputs!$B$29)))</f>
        <v/>
      </c>
      <c r="E2686">
        <f>INDEX(FactorTable!$B$2:$Y$301, MATCH(ROUND(MIN(300,MAX(1,D2686)),0), FactorTable!$A$2:$A$301,0), Skills!M17+1)</f>
        <v/>
      </c>
      <c r="F2686">
        <f>IF(Skills!N17=TRUE,(Skills!L17/10)*(E2686/1000),Skills!L17/10)+Skills!O17</f>
        <v/>
      </c>
      <c r="G2686">
        <f>Calc!G17</f>
        <v/>
      </c>
      <c r="H2686">
        <f>Calc!H17</f>
        <v/>
      </c>
      <c r="I2686">
        <f>IF(Skills!AA17&lt;&gt;"",1+(Skills!AA17/10)*(U2672/1000)/100,1)</f>
        <v/>
      </c>
      <c r="J2686">
        <f>((Inputs!$B$6*(1+Inputs!$B$7/100))+(((Inputs!$B$12*(1+Inputs!$B$13/100))-(Inputs!$B$12*(1+Inputs!$B$13/100)))+0.25*(Inputs!$B$14-Inputs!$B$14))*(1+Inputs!$B$7/100))*(F2686/100)</f>
        <v/>
      </c>
      <c r="K2686">
        <f>J2686*(1+((Inputs!$B$12*(1+Inputs!$B$13/100))*0.01+Inputs!$B$14*0.0025)/100)*(1+Inputs!$B$15/100)*(1+Inputs!$B$16/100)*(5000/(6000+Inputs!$B$43*(1-(100*(1-(1-(Inputs!$B$19+0)/100)*(1-CHOOSE(ArtifactsInput!$N$40+1,5,6,7,8,9,10)/100)^(ArtifactsInput!$M$40-ArtifactsInput!$M$40)))/100)))*(1+(Inputs!$B$24+((C2699=TRUE)*(F2699-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2692=TRUE)*(F2692-Calc!F23))+(((IF(AND(ArtifactsInput!$M$42,((Inputs!$B$9+((C2694=TRUE)*(F2694-Calc!F25))+B2709+(ArtifactsInput!$M$24-ArtifactsInput!$M$24)*CHOOSE(ArtifactsInput!$N$24+1,10,12,14,16,18,20)+IF(ArtifactsInput!$M$10,CHOOSE(ArtifactsInput!$N$10+1,15,18,21,24,27,30)*(IF(Inputs!$B$39="pvp",MIN(15,15)/15,IF(AND(Inputs!$B$39&lt;&gt;"pvp",Inputs!$B$44&gt;0),MIN(15,Inputs!$B$44)/(Inputs!$B$44),0))),0)))&gt;=100),MIN(100,((Inputs!$B$9+((C2694=TRUE)*(F2694-Calc!F25))+B2709+(ArtifactsInput!$M$24-ArtifactsInput!$M$24)*CHOOSE(ArtifactsInput!$N$24+1,10,12,14,16,18,20)+IF(ArtifactsInput!$M$10,CHOOSE(ArtifactsInput!$N$10+1,15,18,21,24,27,30)*(IF(Inputs!$B$39="pvp",MIN(15,15)/15,IF(AND(Inputs!$B$39&lt;&gt;"pvp",Inputs!$B$44&gt;0),MIN(15,Inputs!$B$44)/(Inputs!$B$44),0))),0)))-100),0))*CHOOSE(ArtifactsInput!$N$42+1,0.6,0.72,0.84,0.96,1.08,1.2))),Inputs!$B$18+((C2698=TRUE)*(F2698-Calc!F29))+(IF(AND(ArtifactsInput!$M$42,((Inputs!$B$9+((C2694=TRUE)*(F2694-Calc!F25))+B2709+(ArtifactsInput!$M$24-ArtifactsInput!$M$24)*CHOOSE(ArtifactsInput!$N$24+1,10,12,14,16,18,20)+IF(ArtifactsInput!$M$10,CHOOSE(ArtifactsInput!$N$10+1,15,18,21,24,27,30)*(IF(Inputs!$B$39="pvp",MIN(15,15)/15,IF(AND(Inputs!$B$39&lt;&gt;"pvp",Inputs!$B$44&gt;0),MIN(15,Inputs!$B$44)/(Inputs!$B$44),0))),0)))&gt;=100),CHOOSE(ArtifactsInput!$N$42+1,40,48,56,64,72,80),0))))/100)*(((1+(((C2690=TRUE)*F2690*IF(AND(Inputs!$B$39&lt;&gt;"pvp",Inputs!$B$44&gt;0),(((R2690-1)*(Skills!Y21*(1+Inputs!$B$34/100))+MIN((Skills!Y21*(1+Inputs!$B$34/100)),MAX(0,Inputs!$B$44-((R2690-1)*Skills!D21))))/Inputs!$B$44),IF(Inputs!$B$39="pvp",MIN((Skills!Y21*(1+Inputs!$B$34/100)),15)/15,(Skills!Y21*(1+Inputs!$B$34/100))/Skills!D21)))+((C2697=TRUE)*(F2697-Calc!F28))+((C2687=TRUE)*(F2687-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2684=TRUE)*F2684*IF(AND(Inputs!$B$39&lt;&gt;"pvp",Inputs!$B$44&gt;0),(((R2684-1)*(Skills!Y15*(1+Inputs!$B$34/100))+MIN((Skills!Y15*(1+Inputs!$B$34/100)),MAX(0,Inputs!$B$44-((R2684-1)*Skills!D15))))/Inputs!$B$44),IF(Inputs!$B$39="pvp",MIN((Skills!Y15*(1+Inputs!$B$34/100)),15)/15,(Skills!Y15*(1+Inputs!$B$34/100))/Skills!D15)))/100)*(1+((C2675=TRUE)*F2675*B2703)/100))*B2711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2686)</f>
        <v/>
      </c>
      <c r="L2686">
        <f>K2686*(MIN(Inputs!$B$22+((C2693=TRUE)*(F2693-Calc!F24)),(Inputs!$B$23+0+(IF(ArtifactsInput!$M$15,CHOOSE(ArtifactsInput!$N$15+1,25,30,35,40,45,50)/100*(Inputs!$B$11-Inputs!$B$11),0))))/100+(Inputs!$B$23+0+(IF(ArtifactsInput!$M$15,CHOOSE(ArtifactsInput!$N$15+1,25,30,35,40,45,50)/100*(Inputs!$B$11-Inputs!$B$11),0)))/100)/2</f>
        <v/>
      </c>
      <c r="M2686">
        <f>L2686*(1+(Inputs!$B$10+((C2695=TRUE)*(F2695-Calc!F26))+B2712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86">
        <f>L2686*(1-MIN((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2686*(MIN((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86">
        <f>(1-Summary!$B$11)*T2686+Summary!$B$11*V2686</f>
        <v/>
      </c>
      <c r="P2686">
        <f>IF(B2713=0,0,O2686/B2713)</f>
        <v/>
      </c>
      <c r="Q2686" t="n">
        <v>0</v>
      </c>
      <c r="R2686" t="n">
        <v>0</v>
      </c>
      <c r="S2686">
        <f>IFERROR(O2686/N2686,0)</f>
        <v/>
      </c>
      <c r="T2686">
        <f>IF(C2686,(Inputs!$B$38*0.2*N2686)*IF(Inputs!$B$39="pvp",1,1+(Inputs!$B$20+((C2696=TRUE)*(F2696-Calc!F27))+Skills!P17+B2710+(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Hunt"),CHOOSE(ArtifactsInput!$N$35+1,15,18,21,24,27,30)*(1-EXP(-(0.2*B2705)*5)),0)+IF(AND(ArtifactsInput!$M$22,Inputs!$B$4&lt;&gt;"Chapter Hunt"),CHOOSE(ArtifactsInput!$N$22+1,10,12,14,16,18,20)*((0*(((0.15*B2705*5))^0/1)+1*(((0.15*B2705*5))^1/1)+2*(((0.15*B2705*5))^2/2)+3*(((0.15*B2705*5))^3/6)+4*(((0.15*B2705*5))^4/24)+5*(((0.15*B2705*5))^5/120))/((((0.15*B2705*5))^0/1)+(((0.15*B2705*5))^1/1)+(((0.15*B2705*5))^2/2)+(((0.15*B2705*5))^3/6)+(((0.15*B2705*5))^4/24)+(((0.15*B2705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2686*(1-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2686*(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2686*(1-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2686*(MIN(100,(Inputs!$B$9+((C2694=TRUE)*(F2694-Calc!F25))+B2709+(ArtifactsInput!$M$24-ArtifactsInput!$M$24)*CHOOSE(ArtifactsInput!$N$24+1,10,12,14,16,18,20)+(IF(AND(ArtifactsInput!$M$42,((Inputs!$B$9+((C2694=TRUE)*(F2694-Calc!F25))+B2709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86">
        <f>IF(C2686,(Inputs!$B$38*0.2*N2686)*IF(Inputs!$B$39="pvp",1,(1+(Inputs!$B$21+Skills!Q17+B2710+(IF(IF(ArtifactsInput!$M$33,FALSE,TRUE),CHOOSE(ArtifactsInput!$N$33+1,30,36,42,48,54,60),0))+(IF(AND(ArtifactsInput!$M$35,Inputs!$B$4&lt;&gt;"Chapter Hunt"),CHOOSE(ArtifactsInput!$N$35+1,15,18,21,24,27,30)*(1-EXP(-(0.2*B2705)*5)),0)+IF(AND(ArtifactsInput!$M$22,Inputs!$B$4&lt;&gt;"Chapter Hunt"),CHOOSE(ArtifactsInput!$N$22+1,10,12,14,16,18,20)*((0*(((0.15*B2705*5))^0/1)+1*(((0.15*B2705*5))^1/1)+2*(((0.15*B2705*5))^2/2)+3*(((0.15*B2705*5))^3/6)+4*(((0.15*B2705*5))^4/24)+5*(((0.15*B2705*5))^5/120))/((((0.15*B2705*5))^0/1)+(((0.15*B2705*5))^1/1)+(((0.15*B2705*5))^2/2)+(((0.15*B2705*5))^3/6)+(((0.15*B2705*5))^4/24)+(((0.15*B2705*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87">
      <c r="A2687">
        <f>Skills!A18</f>
        <v/>
      </c>
      <c r="B2687">
        <f>Skills!B18</f>
        <v/>
      </c>
      <c r="C2687">
        <f>Inputs!$B$3&gt;=115</f>
        <v/>
      </c>
      <c r="D2687">
        <f>IF(Skills!C18=1,60+Inputs!$B$25+Inputs!$B$29,IF(Skills!C18=2,90+Inputs!$B$26+Inputs!$B$29,IF(Skills!C18=3,120+Inputs!$B$27+Inputs!$B$29,MAX(0,(Inputs!$B$3-100)*3)+Inputs!$B$28+Inputs!$B$29)))</f>
        <v/>
      </c>
      <c r="E2687">
        <f>INDEX(FactorTable!$B$2:$Y$301, MATCH(ROUND(MIN(300,MAX(1,D2687)),0), FactorTable!$A$2:$A$301,0), Skills!M18+1)</f>
        <v/>
      </c>
      <c r="F2687">
        <f>IF(Skills!N18=TRUE,(Skills!L18/10)*(E2687/1000),Skills!L18/10)+Skills!O18</f>
        <v/>
      </c>
      <c r="G2687">
        <f>Calc!G18</f>
        <v/>
      </c>
      <c r="H2687">
        <f>Calc!H18</f>
        <v/>
      </c>
      <c r="I2687">
        <f>IF(Skills!AA18&lt;&gt;"",1+(Skills!AA18/10)*(U2672/1000)/100,1)</f>
        <v/>
      </c>
      <c r="J2687" t="inlineStr"/>
      <c r="K2687" t="inlineStr"/>
      <c r="L2687" t="inlineStr"/>
      <c r="M2687" t="inlineStr"/>
      <c r="N2687" t="inlineStr"/>
      <c r="O2687">
        <f>(1-Summary!$B$11)*T2687+Summary!$B$11*V2687</f>
        <v/>
      </c>
      <c r="P2687">
        <f>IF(B2713=0,0,O2687/B2713)</f>
        <v/>
      </c>
      <c r="Q2687" t="n">
        <v>0</v>
      </c>
      <c r="R2687" t="n">
        <v>0</v>
      </c>
      <c r="S2687">
        <f>IFERROR(O2687/N2687,0)</f>
        <v/>
      </c>
      <c r="T2687" t="n">
        <v>0</v>
      </c>
      <c r="V2687" t="n">
        <v>0</v>
      </c>
    </row>
    <row r="2688">
      <c r="A2688">
        <f>Skills!A19</f>
        <v/>
      </c>
      <c r="B2688">
        <f>Skills!B19</f>
        <v/>
      </c>
      <c r="C2688">
        <f>TRUE</f>
        <v/>
      </c>
      <c r="D2688">
        <f>IF(Skills!C19=1,60+Inputs!$B$25+Inputs!$B$29,IF(Skills!C19=2,90+Inputs!$B$26+Inputs!$B$29,IF(Skills!C19=3,120+Inputs!$B$27+Inputs!$B$29,MAX(0,(Inputs!$B$3-100)*3)+Inputs!$B$28+Inputs!$B$29)))</f>
        <v/>
      </c>
      <c r="E2688">
        <f>INDEX(FactorTable!$B$2:$Y$301, MATCH(ROUND(MIN(300,MAX(1,D2688)),0), FactorTable!$A$2:$A$301,0), Skills!M19+1)</f>
        <v/>
      </c>
      <c r="F2688">
        <f>IF(Skills!N19=TRUE,(Skills!L19/10)*(E2688/1000),Skills!L19/10)+Skills!O19</f>
        <v/>
      </c>
      <c r="G2688">
        <f>Calc!G19</f>
        <v/>
      </c>
      <c r="H2688">
        <f>Calc!H19</f>
        <v/>
      </c>
      <c r="I2688">
        <f>IF(Skills!AA19&lt;&gt;"",1+(Skills!AA19/10)*(U2672/1000)/100,1)</f>
        <v/>
      </c>
      <c r="J2688" t="inlineStr"/>
      <c r="K2688" t="inlineStr"/>
      <c r="L2688" t="inlineStr"/>
      <c r="M2688" t="inlineStr"/>
      <c r="N2688" t="inlineStr"/>
      <c r="O2688">
        <f>(1-Summary!$B$11)*T2688+Summary!$B$11*V2688</f>
        <v/>
      </c>
      <c r="P2688">
        <f>IF(B2713=0,0,O2688/B2713)</f>
        <v/>
      </c>
      <c r="Q2688">
        <f>IFERROR(1/IF(Inputs!$B$39="pvp",15,MAX(0.1,Skills!D19-IF(Skills!E19=TRUE,Inputs!$B$32,0))),0)</f>
        <v/>
      </c>
      <c r="R2688">
        <f>IF(AND(Inputs!$B$39&lt;&gt;"pvp",Inputs!$B$44&gt;0),IF(Inputs!$B$44&lt;=0,0,(INT(Inputs!$B$44/IF(Inputs!$B$39="pvp",15,MAX(0.1,Skills!D19-IF(Skills!E19=TRUE,Inputs!$B$32,0))))+1)),0)</f>
        <v/>
      </c>
      <c r="S2688">
        <f>IFERROR(O2688/N2688,0)</f>
        <v/>
      </c>
      <c r="T2688" t="n">
        <v>0</v>
      </c>
      <c r="V2688" t="n">
        <v>0</v>
      </c>
    </row>
    <row r="2689">
      <c r="A2689">
        <f>Skills!A20</f>
        <v/>
      </c>
      <c r="B2689">
        <f>Skills!B20</f>
        <v/>
      </c>
      <c r="C2689">
        <f>Inputs!$B$3&gt;=15</f>
        <v/>
      </c>
      <c r="D2689">
        <f>IF(Skills!C20=1,60+Inputs!$B$25+Inputs!$B$29,IF(Skills!C20=2,90+Inputs!$B$26+Inputs!$B$29,IF(Skills!C20=3,120+Inputs!$B$27+Inputs!$B$29,MAX(0,(Inputs!$B$3-100)*3)+Inputs!$B$28+Inputs!$B$29)))</f>
        <v/>
      </c>
      <c r="E2689">
        <f>INDEX(FactorTable!$B$2:$Y$301, MATCH(ROUND(MIN(300,MAX(1,D2689)),0), FactorTable!$A$2:$A$301,0), Skills!M20+1)</f>
        <v/>
      </c>
      <c r="F2689">
        <f>IF(Skills!N20=TRUE,(Skills!L20/10)*(E2689/1000),Skills!L20/10)+Skills!O20</f>
        <v/>
      </c>
      <c r="G2689">
        <f>Calc!G20</f>
        <v/>
      </c>
      <c r="H2689">
        <f>Calc!H20</f>
        <v/>
      </c>
      <c r="I2689">
        <f>IF(Skills!AA20&lt;&gt;"",1+(Skills!AA20/10)*(U2672/1000)/100,1)</f>
        <v/>
      </c>
      <c r="J2689" t="inlineStr"/>
      <c r="K2689" t="inlineStr"/>
      <c r="L2689" t="inlineStr"/>
      <c r="M2689" t="inlineStr"/>
      <c r="N2689" t="inlineStr"/>
      <c r="O2689">
        <f>(1-Summary!$B$11)*T2689+Summary!$B$11*V2689</f>
        <v/>
      </c>
      <c r="P2689">
        <f>IF(B2713=0,0,O2689/B2713)</f>
        <v/>
      </c>
      <c r="Q2689">
        <f>IFERROR(1/IF(Inputs!$B$39="pvp",15,MAX(0.1,Skills!D20-IF(Skills!E20=TRUE,Inputs!$B$32,0))),0)</f>
        <v/>
      </c>
      <c r="R2689">
        <f>IF(AND(Inputs!$B$39&lt;&gt;"pvp",Inputs!$B$44&gt;0),IF(Inputs!$B$44&lt;=0,0,(INT(Inputs!$B$44/IF(Inputs!$B$39="pvp",15,MAX(0.1,Skills!D20-IF(Skills!E20=TRUE,Inputs!$B$32,0))))+1)),0)</f>
        <v/>
      </c>
      <c r="S2689">
        <f>IFERROR(O2689/N2689,0)</f>
        <v/>
      </c>
      <c r="T2689" t="n">
        <v>0</v>
      </c>
      <c r="V2689" t="n">
        <v>0</v>
      </c>
    </row>
    <row r="2690">
      <c r="A2690">
        <f>Skills!A21</f>
        <v/>
      </c>
      <c r="B2690">
        <f>Skills!B21</f>
        <v/>
      </c>
      <c r="C2690">
        <f>Inputs!$B$3&gt;=15</f>
        <v/>
      </c>
      <c r="D2690">
        <f>IF(Skills!C21=1,60+Inputs!$B$25+Inputs!$B$29,IF(Skills!C21=2,90+Inputs!$B$26+Inputs!$B$29,IF(Skills!C21=3,120+Inputs!$B$27+Inputs!$B$29,MAX(0,(Inputs!$B$3-100)*3)+Inputs!$B$28+Inputs!$B$29)))</f>
        <v/>
      </c>
      <c r="E2690">
        <f>INDEX(FactorTable!$B$2:$Y$301, MATCH(ROUND(MIN(300,MAX(1,D2690)),0), FactorTable!$A$2:$A$301,0), Skills!M21+1)</f>
        <v/>
      </c>
      <c r="F2690">
        <f>IF(Skills!N21=TRUE,(Skills!L21/10)*(E2690/1000),Skills!L21/10)+Skills!O21</f>
        <v/>
      </c>
      <c r="G2690">
        <f>Calc!G21</f>
        <v/>
      </c>
      <c r="H2690">
        <f>Calc!H21</f>
        <v/>
      </c>
      <c r="I2690">
        <f>IF(Skills!AA21&lt;&gt;"",1+(Skills!AA21/10)*(U2672/1000)/100,1)</f>
        <v/>
      </c>
      <c r="J2690" t="inlineStr"/>
      <c r="K2690" t="inlineStr"/>
      <c r="L2690" t="inlineStr"/>
      <c r="M2690" t="inlineStr"/>
      <c r="N2690" t="inlineStr"/>
      <c r="O2690">
        <f>(1-Summary!$B$11)*T2690+Summary!$B$11*V2690</f>
        <v/>
      </c>
      <c r="P2690">
        <f>IF(B2713=0,0,O2690/B2713)</f>
        <v/>
      </c>
      <c r="Q2690">
        <f>IFERROR(1/IF(Inputs!$B$39="pvp",15,MAX(0.1,Skills!D21-IF(Skills!E21=TRUE,Inputs!$B$32,0))),0)</f>
        <v/>
      </c>
      <c r="R2690">
        <f>IF(AND(Inputs!$B$39&lt;&gt;"pvp",Inputs!$B$44&gt;0),IF(Inputs!$B$44&lt;=0,0,(INT(Inputs!$B$44/IF(Inputs!$B$39="pvp",15,MAX(0.1,Skills!D21-IF(Skills!E21=TRUE,Inputs!$B$32,0))))+1)),0)</f>
        <v/>
      </c>
      <c r="S2690">
        <f>IFERROR(O2690/N2690,0)</f>
        <v/>
      </c>
      <c r="T2690" t="n">
        <v>0</v>
      </c>
      <c r="V2690" t="n">
        <v>0</v>
      </c>
    </row>
    <row r="2691">
      <c r="A2691">
        <f>Skills!A22</f>
        <v/>
      </c>
      <c r="B2691">
        <f>Skills!B22</f>
        <v/>
      </c>
      <c r="C2691">
        <f>Inputs!$B$3&gt;=33</f>
        <v/>
      </c>
      <c r="D2691">
        <f>IF(Skills!C22=1,60+Inputs!$B$25+Inputs!$B$29,IF(Skills!C22=2,90+Inputs!$B$26+Inputs!$B$29,IF(Skills!C22=3,120+Inputs!$B$27+Inputs!$B$29,MAX(0,(Inputs!$B$3-100)*3)+Inputs!$B$28+Inputs!$B$29)))</f>
        <v/>
      </c>
      <c r="E2691">
        <f>INDEX(FactorTable!$B$2:$Y$301, MATCH(ROUND(MIN(300,MAX(1,D2691)),0), FactorTable!$A$2:$A$301,0), Skills!M22+1)</f>
        <v/>
      </c>
      <c r="F2691">
        <f>IF(Skills!N22=TRUE,(Skills!L22/10)*(E2691/1000),Skills!L22/10)+Skills!O22</f>
        <v/>
      </c>
      <c r="G2691">
        <f>Calc!G22</f>
        <v/>
      </c>
      <c r="H2691">
        <f>Calc!H22</f>
        <v/>
      </c>
      <c r="I2691">
        <f>IF(Skills!AA22&lt;&gt;"",1+(Skills!AA22/10)*(U2672/1000)/100,1)</f>
        <v/>
      </c>
      <c r="J2691" t="inlineStr"/>
      <c r="K2691" t="inlineStr"/>
      <c r="L2691" t="inlineStr"/>
      <c r="M2691" t="inlineStr"/>
      <c r="N2691" t="inlineStr"/>
      <c r="O2691">
        <f>(1-Summary!$B$11)*T2691+Summary!$B$11*V2691</f>
        <v/>
      </c>
      <c r="P2691">
        <f>IF(B2713=0,0,O2691/B2713)</f>
        <v/>
      </c>
      <c r="Q2691" t="n">
        <v>0</v>
      </c>
      <c r="R2691" t="n">
        <v>0</v>
      </c>
      <c r="S2691">
        <f>IFERROR(O2691/N2691,0)</f>
        <v/>
      </c>
      <c r="T2691" t="n">
        <v>0</v>
      </c>
      <c r="V2691" t="n">
        <v>0</v>
      </c>
    </row>
    <row r="2692">
      <c r="A2692">
        <f>Skills!A23</f>
        <v/>
      </c>
      <c r="B2692">
        <f>Skills!B23</f>
        <v/>
      </c>
      <c r="C2692">
        <f>Inputs!$B$3&gt;=38</f>
        <v/>
      </c>
      <c r="D2692">
        <f>IF(Skills!C23=1,60+Inputs!$B$25+Inputs!$B$29,IF(Skills!C23=2,90+Inputs!$B$26+Inputs!$B$29,IF(Skills!C23=3,120+Inputs!$B$27+Inputs!$B$29,MAX(0,(Inputs!$B$3-100)*3)+Inputs!$B$28+Inputs!$B$29)))</f>
        <v/>
      </c>
      <c r="E2692">
        <f>INDEX(FactorTable!$B$2:$Y$301, MATCH(ROUND(MIN(300,MAX(1,D2692)),0), FactorTable!$A$2:$A$301,0), Skills!M23+1)</f>
        <v/>
      </c>
      <c r="F2692">
        <f>IF(Skills!N23=TRUE,(Skills!L23/10)*(E2692/1000),Skills!L23/10)+Skills!O23</f>
        <v/>
      </c>
      <c r="G2692">
        <f>Calc!G23</f>
        <v/>
      </c>
      <c r="H2692">
        <f>Calc!H23</f>
        <v/>
      </c>
      <c r="I2692">
        <f>IF(Skills!AA23&lt;&gt;"",1+(Skills!AA23/10)*(U2672/1000)/100,1)</f>
        <v/>
      </c>
      <c r="J2692" t="inlineStr"/>
      <c r="K2692" t="inlineStr"/>
      <c r="L2692" t="inlineStr"/>
      <c r="M2692" t="inlineStr"/>
      <c r="N2692" t="inlineStr"/>
      <c r="O2692">
        <f>(1-Summary!$B$11)*T2692+Summary!$B$11*V2692</f>
        <v/>
      </c>
      <c r="P2692">
        <f>IF(B2713=0,0,O2692/B2713)</f>
        <v/>
      </c>
      <c r="Q2692" t="n">
        <v>0</v>
      </c>
      <c r="R2692" t="n">
        <v>0</v>
      </c>
      <c r="S2692">
        <f>IFERROR(O2692/N2692,0)</f>
        <v/>
      </c>
      <c r="T2692" t="n">
        <v>0</v>
      </c>
      <c r="V2692" t="n">
        <v>0</v>
      </c>
    </row>
    <row r="2693">
      <c r="A2693">
        <f>Skills!A24</f>
        <v/>
      </c>
      <c r="B2693">
        <f>Skills!B24</f>
        <v/>
      </c>
      <c r="C2693">
        <f>Inputs!$B$3&gt;=40</f>
        <v/>
      </c>
      <c r="D2693">
        <f>IF(Skills!C24=1,60+Inputs!$B$25+Inputs!$B$29,IF(Skills!C24=2,90+Inputs!$B$26+Inputs!$B$29,IF(Skills!C24=3,120+Inputs!$B$27+Inputs!$B$29,MAX(0,(Inputs!$B$3-100)*3)+Inputs!$B$28+Inputs!$B$29)))</f>
        <v/>
      </c>
      <c r="E2693">
        <f>INDEX(FactorTable!$B$2:$Y$301, MATCH(ROUND(MIN(300,MAX(1,D2693)),0), FactorTable!$A$2:$A$301,0), Skills!M24+1)</f>
        <v/>
      </c>
      <c r="F2693">
        <f>IF(Skills!N24=TRUE,(Skills!L24/10)*(E2693/1000),Skills!L24/10)+Skills!O24</f>
        <v/>
      </c>
      <c r="G2693">
        <f>Calc!G24</f>
        <v/>
      </c>
      <c r="H2693">
        <f>Calc!H24</f>
        <v/>
      </c>
      <c r="I2693">
        <f>IF(Skills!AA24&lt;&gt;"",1+(Skills!AA24/10)*(U2672/1000)/100,1)</f>
        <v/>
      </c>
      <c r="J2693" t="inlineStr"/>
      <c r="K2693" t="inlineStr"/>
      <c r="L2693" t="inlineStr"/>
      <c r="M2693" t="inlineStr"/>
      <c r="N2693" t="inlineStr"/>
      <c r="O2693">
        <f>(1-Summary!$B$11)*T2693+Summary!$B$11*V2693</f>
        <v/>
      </c>
      <c r="P2693">
        <f>IF(B2713=0,0,O2693/B2713)</f>
        <v/>
      </c>
      <c r="Q2693" t="n">
        <v>0</v>
      </c>
      <c r="R2693" t="n">
        <v>0</v>
      </c>
      <c r="S2693">
        <f>IFERROR(O2693/N2693,0)</f>
        <v/>
      </c>
      <c r="T2693" t="n">
        <v>0</v>
      </c>
      <c r="V2693" t="n">
        <v>0</v>
      </c>
    </row>
    <row r="2694">
      <c r="A2694">
        <f>Skills!A25</f>
        <v/>
      </c>
      <c r="B2694">
        <f>Skills!B25</f>
        <v/>
      </c>
      <c r="C2694">
        <f>Inputs!$B$3&gt;=45</f>
        <v/>
      </c>
      <c r="D2694">
        <f>IF(Skills!C25=1,60+Inputs!$B$25+Inputs!$B$29,IF(Skills!C25=2,90+Inputs!$B$26+Inputs!$B$29,IF(Skills!C25=3,120+Inputs!$B$27+Inputs!$B$29,MAX(0,(Inputs!$B$3-100)*3)+Inputs!$B$28+Inputs!$B$29)))</f>
        <v/>
      </c>
      <c r="E2694">
        <f>INDEX(FactorTable!$B$2:$Y$301, MATCH(ROUND(MIN(300,MAX(1,D2694)),0), FactorTable!$A$2:$A$301,0), Skills!M25+1)</f>
        <v/>
      </c>
      <c r="F2694">
        <f>IF(Skills!N25=TRUE,(Skills!L25/10)*(E2694/1000),Skills!L25/10)+Skills!O25</f>
        <v/>
      </c>
      <c r="G2694">
        <f>Calc!G25</f>
        <v/>
      </c>
      <c r="H2694">
        <f>Calc!H25</f>
        <v/>
      </c>
      <c r="I2694">
        <f>IF(Skills!AA25&lt;&gt;"",1+(Skills!AA25/10)*(U2672/1000)/100,1)</f>
        <v/>
      </c>
      <c r="J2694" t="inlineStr"/>
      <c r="K2694" t="inlineStr"/>
      <c r="L2694" t="inlineStr"/>
      <c r="M2694" t="inlineStr"/>
      <c r="N2694" t="inlineStr"/>
      <c r="O2694">
        <f>(1-Summary!$B$11)*T2694+Summary!$B$11*V2694</f>
        <v/>
      </c>
      <c r="P2694">
        <f>IF(B2713=0,0,O2694/B2713)</f>
        <v/>
      </c>
      <c r="Q2694" t="n">
        <v>0</v>
      </c>
      <c r="R2694" t="n">
        <v>0</v>
      </c>
      <c r="S2694">
        <f>IFERROR(O2694/N2694,0)</f>
        <v/>
      </c>
      <c r="T2694" t="n">
        <v>0</v>
      </c>
      <c r="V2694" t="n">
        <v>0</v>
      </c>
    </row>
    <row r="2695">
      <c r="A2695">
        <f>Skills!A26</f>
        <v/>
      </c>
      <c r="B2695">
        <f>Skills!B26</f>
        <v/>
      </c>
      <c r="C2695">
        <f>Inputs!$B$3&gt;=45</f>
        <v/>
      </c>
      <c r="D2695">
        <f>IF(Skills!C26=1,60+Inputs!$B$25+Inputs!$B$29,IF(Skills!C26=2,90+Inputs!$B$26+Inputs!$B$29,IF(Skills!C26=3,120+Inputs!$B$27+Inputs!$B$29,MAX(0,(Inputs!$B$3-100)*3)+Inputs!$B$28+Inputs!$B$29)))</f>
        <v/>
      </c>
      <c r="E2695">
        <f>INDEX(FactorTable!$B$2:$Y$301, MATCH(ROUND(MIN(300,MAX(1,D2695)),0), FactorTable!$A$2:$A$301,0), Skills!M26+1)</f>
        <v/>
      </c>
      <c r="F2695">
        <f>IF(Skills!N26=TRUE,(Skills!L26/10)*(E2695/1000),Skills!L26/10)+Skills!O26</f>
        <v/>
      </c>
      <c r="G2695">
        <f>Calc!G26</f>
        <v/>
      </c>
      <c r="H2695">
        <f>Calc!H26</f>
        <v/>
      </c>
      <c r="I2695">
        <f>IF(Skills!AA26&lt;&gt;"",1+(Skills!AA26/10)*(U2672/1000)/100,1)</f>
        <v/>
      </c>
      <c r="J2695" t="inlineStr"/>
      <c r="K2695" t="inlineStr"/>
      <c r="L2695" t="inlineStr"/>
      <c r="M2695" t="inlineStr"/>
      <c r="N2695" t="inlineStr"/>
      <c r="O2695">
        <f>(1-Summary!$B$11)*T2695+Summary!$B$11*V2695</f>
        <v/>
      </c>
      <c r="P2695">
        <f>IF(B2713=0,0,O2695/B2713)</f>
        <v/>
      </c>
      <c r="Q2695" t="n">
        <v>0</v>
      </c>
      <c r="R2695" t="n">
        <v>0</v>
      </c>
      <c r="S2695">
        <f>IFERROR(O2695/N2695,0)</f>
        <v/>
      </c>
      <c r="T2695" t="n">
        <v>0</v>
      </c>
      <c r="V2695" t="n">
        <v>0</v>
      </c>
    </row>
    <row r="2696">
      <c r="A2696">
        <f>Skills!A27</f>
        <v/>
      </c>
      <c r="B2696">
        <f>Skills!B27</f>
        <v/>
      </c>
      <c r="C2696">
        <f>Inputs!$B$3&gt;=72</f>
        <v/>
      </c>
      <c r="D2696">
        <f>IF(Skills!C27=1,60+Inputs!$B$25+Inputs!$B$29,IF(Skills!C27=2,90+Inputs!$B$26+Inputs!$B$29,IF(Skills!C27=3,120+Inputs!$B$27+Inputs!$B$29,MAX(0,(Inputs!$B$3-100)*3)+Inputs!$B$28+Inputs!$B$29)))</f>
        <v/>
      </c>
      <c r="E2696">
        <f>INDEX(FactorTable!$B$2:$Y$301, MATCH(ROUND(MIN(300,MAX(1,D2696)),0), FactorTable!$A$2:$A$301,0), Skills!M27+1)</f>
        <v/>
      </c>
      <c r="F2696">
        <f>IF(Skills!N27=TRUE,(Skills!L27/10)*(E2696/1000),Skills!L27/10)+Skills!O27</f>
        <v/>
      </c>
      <c r="G2696">
        <f>Calc!G27</f>
        <v/>
      </c>
      <c r="H2696">
        <f>Calc!H27</f>
        <v/>
      </c>
      <c r="I2696">
        <f>IF(Skills!AA27&lt;&gt;"",1+(Skills!AA27/10)*(U2672/1000)/100,1)</f>
        <v/>
      </c>
      <c r="J2696" t="inlineStr"/>
      <c r="K2696" t="inlineStr"/>
      <c r="L2696" t="inlineStr"/>
      <c r="M2696" t="inlineStr"/>
      <c r="N2696" t="inlineStr"/>
      <c r="O2696">
        <f>(1-Summary!$B$11)*T2696+Summary!$B$11*V2696</f>
        <v/>
      </c>
      <c r="P2696">
        <f>IF(B2713=0,0,O2696/B2713)</f>
        <v/>
      </c>
      <c r="Q2696" t="n">
        <v>0</v>
      </c>
      <c r="R2696" t="n">
        <v>0</v>
      </c>
      <c r="S2696">
        <f>IFERROR(O2696/N2696,0)</f>
        <v/>
      </c>
      <c r="T2696" t="n">
        <v>0</v>
      </c>
      <c r="V2696" t="n">
        <v>0</v>
      </c>
    </row>
    <row r="2697">
      <c r="A2697">
        <f>Skills!A28</f>
        <v/>
      </c>
      <c r="B2697">
        <f>Skills!B28</f>
        <v/>
      </c>
      <c r="C2697">
        <f>Inputs!$B$3&gt;=75</f>
        <v/>
      </c>
      <c r="D2697">
        <f>IF(Skills!C28=1,60+Inputs!$B$25+Inputs!$B$29,IF(Skills!C28=2,90+Inputs!$B$26+Inputs!$B$29,IF(Skills!C28=3,120+Inputs!$B$27+Inputs!$B$29,MAX(0,(Inputs!$B$3-100)*3)+Inputs!$B$28+Inputs!$B$29)))</f>
        <v/>
      </c>
      <c r="E2697">
        <f>INDEX(FactorTable!$B$2:$Y$301, MATCH(ROUND(MIN(300,MAX(1,D2697)),0), FactorTable!$A$2:$A$301,0), Skills!M28+1)</f>
        <v/>
      </c>
      <c r="F2697">
        <f>IF(Skills!N28=TRUE,(Skills!L28/10)*(E2697/1000),Skills!L28/10)+Skills!O28</f>
        <v/>
      </c>
      <c r="G2697">
        <f>Calc!G28</f>
        <v/>
      </c>
      <c r="H2697">
        <f>Calc!H28</f>
        <v/>
      </c>
      <c r="I2697">
        <f>IF(Skills!AA28&lt;&gt;"",1+(Skills!AA28/10)*(U2672/1000)/100,1)</f>
        <v/>
      </c>
      <c r="J2697" t="inlineStr"/>
      <c r="K2697" t="inlineStr"/>
      <c r="L2697" t="inlineStr"/>
      <c r="M2697" t="inlineStr"/>
      <c r="N2697" t="inlineStr"/>
      <c r="O2697">
        <f>(1-Summary!$B$11)*T2697+Summary!$B$11*V2697</f>
        <v/>
      </c>
      <c r="P2697">
        <f>IF(B2713=0,0,O2697/B2713)</f>
        <v/>
      </c>
      <c r="Q2697" t="n">
        <v>0</v>
      </c>
      <c r="R2697" t="n">
        <v>0</v>
      </c>
      <c r="S2697">
        <f>IFERROR(O2697/N2697,0)</f>
        <v/>
      </c>
      <c r="T2697" t="n">
        <v>0</v>
      </c>
      <c r="V2697" t="n">
        <v>0</v>
      </c>
    </row>
    <row r="2698">
      <c r="A2698">
        <f>Skills!A29</f>
        <v/>
      </c>
      <c r="B2698">
        <f>Skills!B29</f>
        <v/>
      </c>
      <c r="C2698">
        <f>Inputs!$B$3&gt;=120</f>
        <v/>
      </c>
      <c r="D2698">
        <f>IF(Skills!C29=1,60+Inputs!$B$25+Inputs!$B$29,IF(Skills!C29=2,90+Inputs!$B$26+Inputs!$B$29,IF(Skills!C29=3,120+Inputs!$B$27+Inputs!$B$29,MAX(0,(Inputs!$B$3-100)*3)+Inputs!$B$28+Inputs!$B$29)))</f>
        <v/>
      </c>
      <c r="E2698">
        <f>INDEX(FactorTable!$B$2:$Y$301, MATCH(ROUND(MIN(300,MAX(1,D2698)),0), FactorTable!$A$2:$A$301,0), Skills!M29+1)</f>
        <v/>
      </c>
      <c r="F2698">
        <f>IF(Skills!N29=TRUE,(Skills!L29/10)*(E2698/1000),Skills!L29/10)+Skills!O29</f>
        <v/>
      </c>
      <c r="G2698">
        <f>Calc!G29</f>
        <v/>
      </c>
      <c r="H2698">
        <f>Calc!H29</f>
        <v/>
      </c>
      <c r="I2698">
        <f>IF(Skills!AA29&lt;&gt;"",1+(Skills!AA29/10)*(U2672/1000)/100,1)</f>
        <v/>
      </c>
      <c r="J2698" t="inlineStr"/>
      <c r="K2698" t="inlineStr"/>
      <c r="L2698" t="inlineStr"/>
      <c r="M2698" t="inlineStr"/>
      <c r="N2698" t="inlineStr"/>
      <c r="O2698">
        <f>(1-Summary!$B$11)*T2698+Summary!$B$11*V2698</f>
        <v/>
      </c>
      <c r="P2698">
        <f>IF(B2713=0,0,O2698/B2713)</f>
        <v/>
      </c>
      <c r="Q2698" t="n">
        <v>0</v>
      </c>
      <c r="R2698" t="n">
        <v>0</v>
      </c>
      <c r="S2698">
        <f>IFERROR(O2698/N2698,0)</f>
        <v/>
      </c>
      <c r="T2698" t="n">
        <v>0</v>
      </c>
      <c r="V2698" t="n">
        <v>0</v>
      </c>
    </row>
    <row r="2699">
      <c r="A2699">
        <f>Skills!A30</f>
        <v/>
      </c>
      <c r="B2699">
        <f>Skills!B30</f>
        <v/>
      </c>
      <c r="C2699">
        <f>Inputs!$B$3&gt;=125</f>
        <v/>
      </c>
      <c r="D2699">
        <f>IF(Skills!C30=1,60+Inputs!$B$25+Inputs!$B$29,IF(Skills!C30=2,90+Inputs!$B$26+Inputs!$B$29,IF(Skills!C30=3,120+Inputs!$B$27+Inputs!$B$29,MAX(0,(Inputs!$B$3-100)*3)+Inputs!$B$28+Inputs!$B$29)))</f>
        <v/>
      </c>
      <c r="E2699">
        <f>INDEX(FactorTable!$B$2:$Y$301, MATCH(ROUND(MIN(300,MAX(1,D2699)),0), FactorTable!$A$2:$A$301,0), Skills!M30+1)</f>
        <v/>
      </c>
      <c r="F2699">
        <f>IF(Skills!N30=TRUE,(Skills!L30/10)*(E2699/1000),Skills!L30/10)+Skills!O30</f>
        <v/>
      </c>
      <c r="G2699">
        <f>Calc!G30</f>
        <v/>
      </c>
      <c r="H2699">
        <f>Calc!H30</f>
        <v/>
      </c>
      <c r="I2699">
        <f>IF(Skills!AA30&lt;&gt;"",1+(Skills!AA30/10)*(U2672/1000)/100,1)</f>
        <v/>
      </c>
      <c r="J2699" t="inlineStr"/>
      <c r="K2699" t="inlineStr"/>
      <c r="L2699" t="inlineStr"/>
      <c r="M2699" t="inlineStr"/>
      <c r="N2699" t="inlineStr"/>
      <c r="O2699">
        <f>(1-Summary!$B$11)*T2699+Summary!$B$11*V2699</f>
        <v/>
      </c>
      <c r="P2699">
        <f>IF(B2713=0,0,O2699/B2713)</f>
        <v/>
      </c>
      <c r="Q2699" t="n">
        <v>0</v>
      </c>
      <c r="R2699" t="n">
        <v>0</v>
      </c>
      <c r="S2699">
        <f>IFERROR(O2699/N2699,0)</f>
        <v/>
      </c>
      <c r="T2699" t="n">
        <v>0</v>
      </c>
      <c r="V2699" t="n">
        <v>0</v>
      </c>
    </row>
    <row r="2700">
      <c r="A2700">
        <f>Skills!A31</f>
        <v/>
      </c>
      <c r="B2700">
        <f>Skills!B31</f>
        <v/>
      </c>
      <c r="C2700">
        <f>Inputs!$B$3&gt;=107</f>
        <v/>
      </c>
      <c r="D2700">
        <f>IF(Skills!C31=1,60+Inputs!$B$25+Inputs!$B$29,IF(Skills!C31=2,90+Inputs!$B$26+Inputs!$B$29,IF(Skills!C31=3,120+Inputs!$B$27+Inputs!$B$29,MAX(0,(Inputs!$B$3-100)*3)+Inputs!$B$28+Inputs!$B$29)))</f>
        <v/>
      </c>
      <c r="E2700">
        <f>INDEX(FactorTable!$B$2:$Y$301, MATCH(ROUND(MIN(300,MAX(1,D2700)),0), FactorTable!$A$2:$A$301,0), Skills!M31+1)</f>
        <v/>
      </c>
      <c r="F2700">
        <f>IF(Skills!N31=TRUE,(Skills!L31/10)*(E2700/1000),Skills!L31/10)+Skills!O31</f>
        <v/>
      </c>
      <c r="G2700">
        <f>Calc!G31</f>
        <v/>
      </c>
      <c r="H2700">
        <f>Calc!H31</f>
        <v/>
      </c>
      <c r="I2700">
        <f>IF(Skills!AA31&lt;&gt;"",1+(Skills!AA31/10)*(U2672/1000)/100,1)</f>
        <v/>
      </c>
      <c r="J2700" t="inlineStr"/>
      <c r="K2700" t="inlineStr"/>
      <c r="L2700" t="inlineStr"/>
      <c r="M2700" t="inlineStr"/>
      <c r="N2700" t="inlineStr"/>
      <c r="O2700">
        <f>(1-Summary!$B$11)*T2700+Summary!$B$11*V2700</f>
        <v/>
      </c>
      <c r="P2700">
        <f>IF(B2713=0,0,O2700/B2713)</f>
        <v/>
      </c>
      <c r="Q2700" t="n">
        <v>0</v>
      </c>
      <c r="R2700" t="n">
        <v>0</v>
      </c>
      <c r="S2700">
        <f>IFERROR(O2700/N2700,0)</f>
        <v/>
      </c>
      <c r="T2700" t="n">
        <v>0</v>
      </c>
      <c r="V2700" t="n">
        <v>0</v>
      </c>
    </row>
    <row r="2702">
      <c r="A2702" t="inlineStr">
        <is>
          <t>Actions Per Second (pre-Adrenalin)</t>
        </is>
      </c>
      <c r="B2702">
        <f>1+MIN(150,150*(1-(1-(Inputs!$B$11+((C2691=TRUE)*(F2691-Calc!F22))+(ArtifactsInput!$M$15-ArtifactsInput!$M$15)*CHOOSE(ArtifactsInput!$N$15+1,8,9.6,11.2,12.8,14.4,16))/150)*(1-((C2688=TRUE)*F2688*IF(AND(Inputs!$B$39&lt;&gt;"pvp",Inputs!$B$44&gt;0),(((R2688-1)*(Skills!Y19*(1+Inputs!$B$34/100))+MIN((Skills!Y19*(1+Inputs!$B$34/100)),MAX(0,Inputs!$B$44-((R2688-1)*Skills!D19))))/Inputs!$B$44),IF(Inputs!$B$39="pvp",MIN((Skills!Y19*(1+Inputs!$B$34/100)),15)/15,(Skills!Y19*(1+Inputs!$B$34/100))/Skills!D19)))/150)))/100</f>
        <v/>
      </c>
    </row>
    <row r="2703">
      <c r="A2703" t="inlineStr">
        <is>
          <t>Alchemic Adrenaline Uptime</t>
        </is>
      </c>
      <c r="B2703">
        <f>(Skills!Y6*(1+Inputs!$B$34/100))/((Skills!Y6*(1+Inputs!$B$34/100))+(5/B2702))</f>
        <v/>
      </c>
    </row>
    <row r="2704">
      <c r="A2704" t="inlineStr">
        <is>
          <t>Attack Speed Buff Bonus %</t>
        </is>
      </c>
      <c r="B2704">
        <f>((C2688=TRUE)*F2688*IF(AND(Inputs!$B$39&lt;&gt;"pvp",Inputs!$B$44&gt;0),(((R2688-1)*(Skills!Y19*(1+Inputs!$B$34/100))+MIN((Skills!Y19*(1+Inputs!$B$34/100)),MAX(0,Inputs!$B$44-((R2688-1)*Skills!D19))))/Inputs!$B$44),IF(Inputs!$B$39="pvp",MIN((Skills!Y19*(1+Inputs!$B$34/100)),15)/15,(Skills!Y19*(1+Inputs!$B$34/100))/Skills!D19)))+((C2676=TRUE)*F2676*B2703)</f>
        <v/>
      </c>
    </row>
    <row r="2705">
      <c r="A2705" t="inlineStr">
        <is>
          <t>Actions Per Second (final)</t>
        </is>
      </c>
      <c r="B2705">
        <f>1+MIN(150,150*(1-(1-(Inputs!$B$11+((C2691=TRUE)*(F2691-Calc!F22))+(ArtifactsInput!$M$15-ArtifactsInput!$M$15)*CHOOSE(ArtifactsInput!$N$15+1,8,9.6,11.2,12.8,14.4,16))/150)*(1-B2704/150)))/100</f>
        <v/>
      </c>
    </row>
    <row r="2706">
      <c r="A2706" t="inlineStr">
        <is>
          <t>Skill + Buff Cast Rate</t>
        </is>
      </c>
      <c r="B2706">
        <f>IF(AND(Inputs!$B$39&lt;&gt;"pvp",Inputs!$B$44&gt;0),SUMPRODUCT((Skills!E2:E31=TRUE)*(C2671:C2700=TRUE)*R2671:R2700*Skills!F2:F31)/Inputs!$B$44,SUMPRODUCT((Skills!E2:E31=TRUE)*(C2671:C2700=TRUE)*Q2671:Q2700*Skills!F2:F31))</f>
        <v/>
      </c>
    </row>
    <row r="2707">
      <c r="A2707" t="inlineStr">
        <is>
          <t>Showdown Casts Per Second</t>
        </is>
      </c>
      <c r="B2707">
        <f>MAX(0,B2705-B2706)</f>
        <v/>
      </c>
    </row>
    <row r="2708">
      <c r="A2708" t="inlineStr">
        <is>
          <t>Average Buff Multiplier</t>
        </is>
      </c>
      <c r="B2708">
        <f>(1+(((C2690=TRUE)*F2690*IF(AND(Inputs!$B$39&lt;&gt;"pvp",Inputs!$B$44&gt;0),(((R2690-1)*(Skills!Y21*(1+Inputs!$B$34/100))+MIN((Skills!Y21*(1+Inputs!$B$34/100)),MAX(0,Inputs!$B$44-((R2690-1)*Skills!D21))))/Inputs!$B$44),IF(Inputs!$B$39="pvp",MIN((Skills!Y21*(1+Inputs!$B$34/100)),15)/15,(Skills!Y21*(1+Inputs!$B$34/100))/Skills!D21)))+((C2697=TRUE)*(F2697-Calc!F28))+((C2687=TRUE)*(F2687-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2684=TRUE)*F2684*IF(AND(Inputs!$B$39&lt;&gt;"pvp",Inputs!$B$44&gt;0),(((R2684-1)*(Skills!Y15*(1+Inputs!$B$34/100))+MIN((Skills!Y15*(1+Inputs!$B$34/100)),MAX(0,Inputs!$B$44-((R2684-1)*Skills!D15))))/Inputs!$B$44),IF(Inputs!$B$39="pvp",MIN((Skills!Y15*(1+Inputs!$B$34/100)),15)/15,(Skills!Y15*(1+Inputs!$B$34/100))/Skills!D15)))/100)*(1+((C2675=TRUE)*F2675*B2703)/100)</f>
        <v/>
      </c>
    </row>
    <row r="2709">
      <c r="A2709" t="inlineStr">
        <is>
          <t>Global Crit Rate Bonus %</t>
        </is>
      </c>
      <c r="B2709">
        <f>IF(Inputs!$B$3&gt;=47,8,0)+((C2689=TRUE)*F2689*IF(AND(Inputs!$B$39&lt;&gt;"pvp",Inputs!$B$44&gt;0),(((R2689-1)*(Skills!Y20*(1+Inputs!$B$34/100))+MIN((Skills!Y20*(1+Inputs!$B$34/100)),MAX(0,Inputs!$B$44-((R2689-1)*Skills!D20))))/Inputs!$B$44),IF(Inputs!$B$39="pvp",MIN((Skills!Y20*(1+Inputs!$B$34/100)),15)/15,(Skills!Y20*(1+Inputs!$B$34/100))/Skills!D20)))</f>
        <v/>
      </c>
    </row>
    <row r="2710">
      <c r="A2710" t="inlineStr">
        <is>
          <t>Global Monster Damage-Taken Bonus %</t>
        </is>
      </c>
      <c r="B2710">
        <f>IF(Inputs!$B$3&gt;=82,15,0)+((C2685=TRUE)*F2685*IF(AND(Inputs!$B$39&lt;&gt;"pvp",Inputs!$B$44&gt;0),(((R2685-1)*(Skills!Y16*(1+Inputs!$B$34/100))+MIN((Skills!Y16*(1+Inputs!$B$34/100)),MAX(0,Inputs!$B$44-((R2685-1)*Skills!D16))))/Inputs!$B$44),IF(Inputs!$B$39="pvp",MIN((Skills!Y16*(1+Inputs!$B$34/100)),15)/15,(Skills!Y16*(1+Inputs!$B$34/100))/Skills!D16)))</f>
        <v/>
      </c>
    </row>
    <row r="2711">
      <c r="A2711" t="inlineStr">
        <is>
          <t>Shadow Partner Average Multiplier</t>
        </is>
      </c>
      <c r="B2711">
        <f>1+((C2680=TRUE)*F2680*I2680*Skills!J11/100)/100</f>
        <v/>
      </c>
    </row>
    <row r="2712">
      <c r="A2712" t="inlineStr">
        <is>
          <t>Global Critical Damage Bonus % (Frailty Curse Mastery Lv.111)</t>
        </is>
      </c>
      <c r="B2712">
        <f>IF(Inputs!$B$3&gt;=111,30,0)*IF(AND(Inputs!$B$39&lt;&gt;"pvp",Inputs!$B$44&gt;0),(((R2685-1)*(Skills!Y16*(1+Inputs!$B$34/100))+MIN((Skills!Y16*(1+Inputs!$B$34/100)),MAX(0,Inputs!$B$44-((R2685-1)*Skills!D16))))/Inputs!$B$44),IF(Inputs!$B$39="pvp",MIN((Skills!Y16*(1+Inputs!$B$34/100)),15)/15,(Skills!Y16*(1+Inputs!$B$34/100))/Skills!D16))</f>
        <v/>
      </c>
    </row>
    <row r="2713">
      <c r="A2713" s="6" t="inlineStr">
        <is>
          <t>TOTAL DPS</t>
        </is>
      </c>
      <c r="B2713" s="6">
        <f>SUM(O2671:O2700)</f>
        <v/>
      </c>
    </row>
    <row r="2714">
      <c r="A2714" t="inlineStr">
        <is>
          <t>Buff-Casting Startup Delay (s, fixed-duration only)</t>
        </is>
      </c>
      <c r="B2714">
        <f>IF(AND(Inputs!$B$39&lt;&gt;"pvp",Inputs!$B$44&gt;0),SUMPRODUCT((Skills!Y2:Y31&gt;0)*(Skills!E2:E31=TRUE)*(C2671:C2700=TRUE))/B2705,0)</f>
        <v/>
      </c>
    </row>
    <row r="2715">
      <c r="A2715" t="inlineStr">
        <is>
          <t>Boss-Only Total DPS (this block's swept value)</t>
        </is>
      </c>
      <c r="B2715">
        <f>SUM(T2671:T2700)</f>
        <v/>
      </c>
    </row>
    <row r="2716">
      <c r="A2716" t="inlineStr">
        <is>
          <t>Normal-Only Total DPS (this block's swept value)</t>
        </is>
      </c>
      <c r="B2716">
        <f>SUM(V2671:V2700)</f>
        <v/>
      </c>
    </row>
    <row r="2718">
      <c r="A2718" s="6" t="inlineStr">
        <is>
          <t>Stat: Bottle of Emotion (Equip)</t>
        </is>
      </c>
    </row>
    <row r="2719">
      <c r="A2719" s="5" t="inlineStr">
        <is>
          <t>Key</t>
        </is>
      </c>
      <c r="B2719" s="5" t="inlineStr">
        <is>
          <t>Name</t>
        </is>
      </c>
      <c r="C2719" s="5" t="inlineStr">
        <is>
          <t>Unlocked</t>
        </is>
      </c>
      <c r="D2719" s="5" t="inlineStr">
        <is>
          <t>InputLevel</t>
        </is>
      </c>
      <c r="E2719" s="5" t="inlineStr">
        <is>
          <t>Factor</t>
        </is>
      </c>
      <c r="F2719" s="5" t="inlineStr">
        <is>
          <t>CoefficientPercent</t>
        </is>
      </c>
      <c r="G2719" s="5" t="inlineStr">
        <is>
          <t>EffectiveHits</t>
        </is>
      </c>
      <c r="H2719" s="5" t="inlineStr">
        <is>
          <t>ProcProbability</t>
        </is>
      </c>
      <c r="I2719" s="5" t="inlineStr">
        <is>
          <t>MapleHeroMultiplier</t>
        </is>
      </c>
      <c r="J2719" s="5" t="inlineStr">
        <is>
          <t>BaseDamage</t>
        </is>
      </c>
      <c r="K2719" s="5" t="inlineStr">
        <is>
          <t>BaseHitDamage</t>
        </is>
      </c>
      <c r="L2719" s="5" t="inlineStr">
        <is>
          <t>NonCritAvg</t>
        </is>
      </c>
      <c r="M2719" s="5" t="inlineStr">
        <is>
          <t>CritAvg</t>
        </is>
      </c>
      <c r="N2719" s="5" t="inlineStr">
        <is>
          <t>ExpectedDamage(perHit)</t>
        </is>
      </c>
      <c r="O2719" s="5" t="inlineStr">
        <is>
          <t>DPS</t>
        </is>
      </c>
      <c r="P2719" s="5" t="inlineStr">
        <is>
          <t>% of Total</t>
        </is>
      </c>
      <c r="Q2719" s="5" t="inlineStr">
        <is>
          <t>InvCooldown</t>
        </is>
      </c>
      <c r="R2719" s="5" t="inlineStr">
        <is>
          <t>CastsInFight</t>
        </is>
      </c>
      <c r="S2719" s="5" t="inlineStr">
        <is>
          <t>HitRate(perSec)</t>
        </is>
      </c>
      <c r="U2719" t="inlineStr">
        <is>
          <t>helpers</t>
        </is>
      </c>
    </row>
    <row r="2720">
      <c r="A2720">
        <f>Skills!A2</f>
        <v/>
      </c>
      <c r="B2720">
        <f>Skills!B2</f>
        <v/>
      </c>
      <c r="C2720">
        <f>Inputs!$B$3&gt;=100</f>
        <v/>
      </c>
      <c r="D2720" t="inlineStr"/>
      <c r="E2720" t="inlineStr"/>
      <c r="F2720">
        <f>U2724+Skills!O2</f>
        <v/>
      </c>
      <c r="G2720">
        <f>Calc!G2</f>
        <v/>
      </c>
      <c r="H2720">
        <f>Calc!H2</f>
        <v/>
      </c>
      <c r="I2720">
        <f>IF(Skills!AA2&lt;&gt;"",1+(Skills!AA2/10)*(U2721/1000)/100,1)</f>
        <v/>
      </c>
      <c r="J2720">
        <f>((Inputs!$B$6*(1+Inputs!$B$7/100))+(((Inputs!$B$12*(1+Inputs!$B$13/100))-(Inputs!$B$12*(1+Inputs!$B$13/100)))+0.25*(Inputs!$B$14-Inputs!$B$14))*(1+Inputs!$B$7/100))*(F2720/100)</f>
        <v/>
      </c>
      <c r="K2720">
        <f>J2720*(1+((Inputs!$B$12*(1+Inputs!$B$13/100))*0.01+Inputs!$B$14*0.0025)/100)*(1+Inputs!$B$15/100)*(1+Inputs!$B$16/100)*(5000/(6000+Inputs!$B$43*(1-(100*(1-(1-(Inputs!$B$19+0)/100)*(1-CHOOSE(ArtifactsInput!$N$40+1,5,6,7,8,9,10)/100)^(ArtifactsInput!$M$40-ArtifactsInput!$M$40)))/100)))*(1+(Inputs!$B$24+((C2748=TRUE)*(F2748-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2="SHOWDOWN",Inputs!$B$17+((C2741=TRUE)*(F2741-Calc!F23))+(((IF(AND(ArtifactsInput!$M$42,((Inputs!$B$9+((C2743=TRUE)*(F2743-Calc!F25))+B2758+(ArtifactsInput!$M$24-ArtifactsInput!$M$24)*CHOOSE(ArtifactsInput!$N$24+1,10,12,14,16,18,20)+IF(ArtifactsInput!$M$10,CHOOSE(ArtifactsInput!$N$10+1,15,18,21,24,27,30)*(IF(Inputs!$B$39="pvp",MIN(15,15)/15,IF(AND(Inputs!$B$39&lt;&gt;"pvp",Inputs!$B$44&gt;0),MIN(15,Inputs!$B$44)/(Inputs!$B$44),0))),0)))&gt;=100),MIN(100,((Inputs!$B$9+((C2743=TRUE)*(F2743-Calc!F25))+B2758+(ArtifactsInput!$M$24-ArtifactsInput!$M$24)*CHOOSE(ArtifactsInput!$N$24+1,10,12,14,16,18,20)+IF(ArtifactsInput!$M$10,CHOOSE(ArtifactsInput!$N$10+1,15,18,21,24,27,30)*(IF(Inputs!$B$39="pvp",MIN(15,15)/15,IF(AND(Inputs!$B$39&lt;&gt;"pvp",Inputs!$B$44&gt;0),MIN(15,Inputs!$B$44)/(Inputs!$B$44),0))),0)))-100),0))*CHOOSE(ArtifactsInput!$N$42+1,0.6,0.72,0.84,0.96,1.08,1.2))),Inputs!$B$18+((C2747=TRUE)*(F2747-Calc!F29))+(IF(AND(ArtifactsInput!$M$42,((Inputs!$B$9+((C2743=TRUE)*(F2743-Calc!F25))+B2758+(ArtifactsInput!$M$24-ArtifactsInput!$M$24)*CHOOSE(ArtifactsInput!$N$24+1,10,12,14,16,18,20)+IF(ArtifactsInput!$M$10,CHOOSE(ArtifactsInput!$N$10+1,15,18,21,24,27,30)*(IF(Inputs!$B$39="pvp",MIN(15,15)/15,IF(AND(Inputs!$B$39&lt;&gt;"pvp",Inputs!$B$44&gt;0),MIN(15,Inputs!$B$44)/(Inputs!$B$44),0))),0)))&gt;=100),CHOOSE(ArtifactsInput!$N$42+1,40,48,56,64,72,80),0))))/100)*(((1+(((C2739=TRUE)*F2739*IF(AND(Inputs!$B$39&lt;&gt;"pvp",Inputs!$B$44&gt;0),(((R2739-1)*(Skills!Y21*(1+Inputs!$B$34/100))+MIN((Skills!Y21*(1+Inputs!$B$34/100)),MAX(0,Inputs!$B$44-((R2739-1)*Skills!D21))))/Inputs!$B$44),IF(Inputs!$B$39="pvp",MIN((Skills!Y21*(1+Inputs!$B$34/100)),15)/15,(Skills!Y21*(1+Inputs!$B$34/100))/Skills!D21)))+((C2746=TRUE)*(F2746-Calc!F28))+((C2736=TRUE)*(F2736-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Skills!Y15*(1+Inputs!$B$34/100))+MIN((Skills!Y15*(1+Inputs!$B$34/100)),MAX(0,Inputs!$B$44-((R2733-1)*Skills!D15))))/Inputs!$B$44),IF(Inputs!$B$39="pvp",MIN((Skills!Y15*(1+Inputs!$B$34/100)),15)/15,(Skills!Y15*(1+Inputs!$B$34/100))/Skills!D15)))/100)*(1+((C2724=TRUE)*F2724*B2752)/100))*B2760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2720)</f>
        <v/>
      </c>
      <c r="L2720">
        <f>K2720*(MIN(Inputs!$B$22+((C2742=TRUE)*(F2742-Calc!F24)),(Inputs!$B$23+0+(IF(ArtifactsInput!$M$15,CHOOSE(ArtifactsInput!$N$15+1,25,30,35,40,45,50)/100*(Inputs!$B$11-Inputs!$B$11),0))))/100+(Inputs!$B$23+0+(IF(ArtifactsInput!$M$15,CHOOSE(ArtifactsInput!$N$15+1,25,30,35,40,45,50)/100*(Inputs!$B$11-Inputs!$B$11),0)))/100)/2</f>
        <v/>
      </c>
      <c r="M2720">
        <f>L2720*(1+(Inputs!$B$10+((C2744=TRUE)*(F2744-Calc!F26))+B2761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20">
        <f>L2720*(1-MIN((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2720*(MIN((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20">
        <f>(1-Summary!$B$11)*T2720+Summary!$B$11*V2720</f>
        <v/>
      </c>
      <c r="P2720">
        <f>IF(B2762=0,0,O2720/B2762)</f>
        <v/>
      </c>
      <c r="Q2720" t="n">
        <v>0</v>
      </c>
      <c r="R2720" t="n">
        <v>0</v>
      </c>
      <c r="S2720">
        <f>IFERROR(O2720/N2720,0)</f>
        <v/>
      </c>
      <c r="T2720">
        <f>IF(C2720,(Skills!G2*N2720*B2756)*IF(Inputs!$B$39="pvp",1,1+(Inputs!$B$20+((C2745=TRUE)*(F2745-Calc!F27))+Skills!P2+B2759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2720*(1-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2720*(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2720*(1-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2720*(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20">
        <f>MAX(0,(Inputs!$B$3-100)*3)+Inputs!$B$28+Inputs!$B$29</f>
        <v/>
      </c>
      <c r="V2720">
        <f>IF(C2720,(Skills!G2*N2720*B2756)*IF(Inputs!$B$39="pvp",1,(1+(Inputs!$B$21+Skills!Q2+B2759+(IF(ArtifactsInput!$M$33,CHOOSE(ArtifactsInput!$N$33+1,30,36,42,48,54,60),0))+(IF(AND(ArtifactsInput!$M$35,Inputs!$B$4&lt;&gt;"Chapter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21">
      <c r="A2721">
        <f>Skills!A3</f>
        <v/>
      </c>
      <c r="B2721">
        <f>Skills!B3</f>
        <v/>
      </c>
      <c r="C2721">
        <f>Inputs!$B$3&gt;=35</f>
        <v/>
      </c>
      <c r="D2721">
        <f>IF(Skills!C3=1,60+Inputs!$B$25+Inputs!$B$29,IF(Skills!C3=2,90+Inputs!$B$26+Inputs!$B$29,IF(Skills!C3=3,120+Inputs!$B$27+Inputs!$B$29,MAX(0,(Inputs!$B$3-100)*3)+Inputs!$B$28+Inputs!$B$29)))</f>
        <v/>
      </c>
      <c r="E2721">
        <f>INDEX(FactorTable!$B$2:$Y$301, MATCH(ROUND(MIN(300,MAX(1,D2721)),0), FactorTable!$A$2:$A$301,0), Skills!M3+1)</f>
        <v/>
      </c>
      <c r="F2721">
        <f>IF(Skills!N3=TRUE,(Skills!L3/10)*(E2721/1000),Skills!L3/10)+Skills!O3</f>
        <v/>
      </c>
      <c r="G2721">
        <f>Calc!G3</f>
        <v/>
      </c>
      <c r="H2721">
        <f>Calc!H3</f>
        <v/>
      </c>
      <c r="I2721">
        <f>IF(Skills!AA3&lt;&gt;"",1+(Skills!AA3/10)*(U2721/1000)/100,1)</f>
        <v/>
      </c>
      <c r="J2721">
        <f>((Inputs!$B$6*(1+Inputs!$B$7/100))+(((Inputs!$B$12*(1+Inputs!$B$13/100))-(Inputs!$B$12*(1+Inputs!$B$13/100)))+0.25*(Inputs!$B$14-Inputs!$B$14))*(1+Inputs!$B$7/100))*(F2721/100)</f>
        <v/>
      </c>
      <c r="K2721">
        <f>J2721*(1+((Inputs!$B$12*(1+Inputs!$B$13/100))*0.01+Inputs!$B$14*0.0025)/100)*(1+Inputs!$B$15/100)*(1+Inputs!$B$16/100)*(5000/(6000+Inputs!$B$43*(1-(100*(1-(1-(Inputs!$B$19+0)/100)*(1-CHOOSE(ArtifactsInput!$N$40+1,5,6,7,8,9,10)/100)^(ArtifactsInput!$M$40-ArtifactsInput!$M$40)))/100)))*(1+(Inputs!$B$24+((C2748=TRUE)*(F2748-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3="SHOWDOWN",Inputs!$B$17+((C2741=TRUE)*(F2741-Calc!F23))+(((IF(AND(ArtifactsInput!$M$42,((Inputs!$B$9+((C2743=TRUE)*(F2743-Calc!F25))+B2758+(ArtifactsInput!$M$24-ArtifactsInput!$M$24)*CHOOSE(ArtifactsInput!$N$24+1,10,12,14,16,18,20)+IF(ArtifactsInput!$M$10,CHOOSE(ArtifactsInput!$N$10+1,15,18,21,24,27,30)*(IF(Inputs!$B$39="pvp",MIN(15,15)/15,IF(AND(Inputs!$B$39&lt;&gt;"pvp",Inputs!$B$44&gt;0),MIN(15,Inputs!$B$44)/(Inputs!$B$44),0))),0)))&gt;=100),MIN(100,((Inputs!$B$9+((C2743=TRUE)*(F2743-Calc!F25))+B2758+(ArtifactsInput!$M$24-ArtifactsInput!$M$24)*CHOOSE(ArtifactsInput!$N$24+1,10,12,14,16,18,20)+IF(ArtifactsInput!$M$10,CHOOSE(ArtifactsInput!$N$10+1,15,18,21,24,27,30)*(IF(Inputs!$B$39="pvp",MIN(15,15)/15,IF(AND(Inputs!$B$39&lt;&gt;"pvp",Inputs!$B$44&gt;0),MIN(15,Inputs!$B$44)/(Inputs!$B$44),0))),0)))-100),0))*CHOOSE(ArtifactsInput!$N$42+1,0.6,0.72,0.84,0.96,1.08,1.2))),Inputs!$B$18+((C2747=TRUE)*(F2747-Calc!F29))+(IF(AND(ArtifactsInput!$M$42,((Inputs!$B$9+((C2743=TRUE)*(F2743-Calc!F25))+B2758+(ArtifactsInput!$M$24-ArtifactsInput!$M$24)*CHOOSE(ArtifactsInput!$N$24+1,10,12,14,16,18,20)+IF(ArtifactsInput!$M$10,CHOOSE(ArtifactsInput!$N$10+1,15,18,21,24,27,30)*(IF(Inputs!$B$39="pvp",MIN(15,15)/15,IF(AND(Inputs!$B$39&lt;&gt;"pvp",Inputs!$B$44&gt;0),MIN(15,Inputs!$B$44)/(Inputs!$B$44),0))),0)))&gt;=100),CHOOSE(ArtifactsInput!$N$42+1,40,48,56,64,72,80),0))))/100)*(((1+(((C2739=TRUE)*F2739*IF(AND(Inputs!$B$39&lt;&gt;"pvp",Inputs!$B$44&gt;0),(((R2739-1)*(Skills!Y21*(1+Inputs!$B$34/100))+MIN((Skills!Y21*(1+Inputs!$B$34/100)),MAX(0,Inputs!$B$44-((R2739-1)*Skills!D21))))/Inputs!$B$44),IF(Inputs!$B$39="pvp",MIN((Skills!Y21*(1+Inputs!$B$34/100)),15)/15,(Skills!Y21*(1+Inputs!$B$34/100))/Skills!D21)))+((C2746=TRUE)*(F2746-Calc!F28))+((C2736=TRUE)*(F2736-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Skills!Y15*(1+Inputs!$B$34/100))+MIN((Skills!Y15*(1+Inputs!$B$34/100)),MAX(0,Inputs!$B$44-((R2733-1)*Skills!D15))))/Inputs!$B$44),IF(Inputs!$B$39="pvp",MIN((Skills!Y15*(1+Inputs!$B$34/100)),15)/15,(Skills!Y15*(1+Inputs!$B$34/100))/Skills!D15)))/100)*(1+((C2724=TRUE)*F2724*B2752)/100))*B2760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2721)</f>
        <v/>
      </c>
      <c r="L2721">
        <f>K2721*(MIN(Inputs!$B$22+((C2742=TRUE)*(F2742-Calc!F24)),(Inputs!$B$23+0+(IF(ArtifactsInput!$M$15,CHOOSE(ArtifactsInput!$N$15+1,25,30,35,40,45,50)/100*(Inputs!$B$11-Inputs!$B$11),0))))/100+(Inputs!$B$23+0+(IF(ArtifactsInput!$M$15,CHOOSE(ArtifactsInput!$N$15+1,25,30,35,40,45,50)/100*(Inputs!$B$11-Inputs!$B$11),0)))/100)/2</f>
        <v/>
      </c>
      <c r="M2721">
        <f>L2721*(1+(Inputs!$B$10+((C2744=TRUE)*(F2744-Calc!F26))+B2761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21">
        <f>L2721*(1-MIN((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2721*(MIN((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21">
        <f>(1-Summary!$B$11)*T2721+Summary!$B$11*V2721</f>
        <v/>
      </c>
      <c r="P2721">
        <f>IF(B2762=0,0,O2721/B2762)</f>
        <v/>
      </c>
      <c r="Q2721">
        <f>IFERROR(1/IF(Inputs!$B$39="pvp",15,MAX(0.1,Skills!D3-IF(Skills!E3=TRUE,Inputs!$B$32,0))),0)</f>
        <v/>
      </c>
      <c r="R2721">
        <f>IF(AND(Inputs!$B$39&lt;&gt;"pvp",Inputs!$B$44&gt;0),IF(MAX(0,Inputs!$B$44-B2763)&lt;=0,0,(INT(MAX(0,Inputs!$B$44-B2763)/IF(Inputs!$B$39="pvp",15,MAX(0.1,Skills!D3-IF(Skills!E3=TRUE,Inputs!$B$32,0))))+1)),0)</f>
        <v/>
      </c>
      <c r="S2721">
        <f>IFERROR(O2721/N2721,0)</f>
        <v/>
      </c>
      <c r="T2721">
        <f>IF(C2721,(H2721*N2721*IF(AND(Inputs!$B$39&lt;&gt;"pvp",Inputs!$B$44&gt;0),((Skills!G3*((R2721-1)*IF(Skills!H3&gt;0,Skills!I3/Skills!H3,1)+IF(Skills!H3&gt;0,MIN(Skills!I3,MAX(0,MAX(0,Inputs!$B$44-B2763)-((R2721-1)*IF(Inputs!$B$39="pvp",15,MAX(0.1,Skills!D3-IF(Skills!E3=TRUE,Inputs!$B$32,0))))))/Skills!H3,1)))/Inputs!$B$44),G2721*Q2721))*IF(Inputs!$B$39="pvp",1,1+(Inputs!$B$20+((C2745=TRUE)*(F2745-Calc!F27))+Skills!P3+B2759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2721*(1-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2721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2721*(1-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2721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21">
        <f>INDEX(FactorTable!$B$2:$Y$301, MATCH(ROUND(MIN(300,MAX(1,U2720)),0), FactorTable!$A$2:$A$301,0), 24)</f>
        <v/>
      </c>
      <c r="V2721">
        <f>IF(C2721,(H2721*N2721*IF(AND(Inputs!$B$39&lt;&gt;"pvp",Inputs!$B$44&gt;0),((Skills!G3*((R2721-1)*IF(Skills!H3&gt;0,Skills!I3/Skills!H3,1)+IF(Skills!H3&gt;0,MIN(Skills!I3,MAX(0,MAX(0,Inputs!$B$44-B2763)-((R2721-1)*IF(Inputs!$B$39="pvp",15,MAX(0.1,Skills!D3-IF(Skills!E3=TRUE,Inputs!$B$32,0))))))/Skills!H3,1)))/Inputs!$B$44),G2721*Q2721))*IF(Inputs!$B$39="pvp",1,(1+(Inputs!$B$21+Skills!Q3+B2759+(IF(ArtifactsInput!$M$33,CHOOSE(ArtifactsInput!$N$33+1,30,36,42,48,54,60)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22">
      <c r="A2722">
        <f>Skills!A4</f>
        <v/>
      </c>
      <c r="B2722">
        <f>Skills!B4</f>
        <v/>
      </c>
      <c r="C2722">
        <f>Inputs!$B$3&gt;=40</f>
        <v/>
      </c>
      <c r="D2722">
        <f>IF(Skills!C4=1,60+Inputs!$B$25+Inputs!$B$29,IF(Skills!C4=2,90+Inputs!$B$26+Inputs!$B$29,IF(Skills!C4=3,120+Inputs!$B$27+Inputs!$B$29,MAX(0,(Inputs!$B$3-100)*3)+Inputs!$B$28+Inputs!$B$29)))</f>
        <v/>
      </c>
      <c r="E2722">
        <f>INDEX(FactorTable!$B$2:$Y$301, MATCH(ROUND(MIN(300,MAX(1,D2722)),0), FactorTable!$A$2:$A$301,0), Skills!M4+1)</f>
        <v/>
      </c>
      <c r="F2722">
        <f>IF(Skills!N4=TRUE,(Skills!L4/10)*(E2722/1000),Skills!L4/10)+Skills!O4</f>
        <v/>
      </c>
      <c r="G2722">
        <f>Calc!G4</f>
        <v/>
      </c>
      <c r="H2722">
        <f>Calc!H4</f>
        <v/>
      </c>
      <c r="I2722">
        <f>IF(Skills!AA4&lt;&gt;"",1+(Skills!AA4/10)*(U2721/1000)/100,1)</f>
        <v/>
      </c>
      <c r="J2722">
        <f>((Inputs!$B$6*(1+Inputs!$B$7/100))+(((Inputs!$B$12*(1+Inputs!$B$13/100))-(Inputs!$B$12*(1+Inputs!$B$13/100)))+0.25*(Inputs!$B$14-Inputs!$B$14))*(1+Inputs!$B$7/100))*(F2722/100)</f>
        <v/>
      </c>
      <c r="K2722">
        <f>J2722*(1+((Inputs!$B$12*(1+Inputs!$B$13/100))*0.01+Inputs!$B$14*0.0025)/100)*(1+Inputs!$B$15/100)*(1+Inputs!$B$16/100)*(5000/(6000+Inputs!$B$43*(1-(100*(1-(1-(Inputs!$B$19+0)/100)*(1-CHOOSE(ArtifactsInput!$N$40+1,5,6,7,8,9,10)/100)^(ArtifactsInput!$M$40-ArtifactsInput!$M$40)))/100)))*(1+(Inputs!$B$24+((C2748=TRUE)*(F2748-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4="SHOWDOWN",Inputs!$B$17+((C2741=TRUE)*(F2741-Calc!F23))+(((IF(AND(ArtifactsInput!$M$42,((Inputs!$B$9+((C2743=TRUE)*(F2743-Calc!F25))+B2758+(ArtifactsInput!$M$24-ArtifactsInput!$M$24)*CHOOSE(ArtifactsInput!$N$24+1,10,12,14,16,18,20)+IF(ArtifactsInput!$M$10,CHOOSE(ArtifactsInput!$N$10+1,15,18,21,24,27,30)*(IF(Inputs!$B$39="pvp",MIN(15,15)/15,IF(AND(Inputs!$B$39&lt;&gt;"pvp",Inputs!$B$44&gt;0),MIN(15,Inputs!$B$44)/(Inputs!$B$44),0))),0)))&gt;=100),MIN(100,((Inputs!$B$9+((C2743=TRUE)*(F2743-Calc!F25))+B2758+(ArtifactsInput!$M$24-ArtifactsInput!$M$24)*CHOOSE(ArtifactsInput!$N$24+1,10,12,14,16,18,20)+IF(ArtifactsInput!$M$10,CHOOSE(ArtifactsInput!$N$10+1,15,18,21,24,27,30)*(IF(Inputs!$B$39="pvp",MIN(15,15)/15,IF(AND(Inputs!$B$39&lt;&gt;"pvp",Inputs!$B$44&gt;0),MIN(15,Inputs!$B$44)/(Inputs!$B$44),0))),0)))-100),0))*CHOOSE(ArtifactsInput!$N$42+1,0.6,0.72,0.84,0.96,1.08,1.2))),Inputs!$B$18+((C2747=TRUE)*(F2747-Calc!F29))+(IF(AND(ArtifactsInput!$M$42,((Inputs!$B$9+((C2743=TRUE)*(F2743-Calc!F25))+B2758+(ArtifactsInput!$M$24-ArtifactsInput!$M$24)*CHOOSE(ArtifactsInput!$N$24+1,10,12,14,16,18,20)+IF(ArtifactsInput!$M$10,CHOOSE(ArtifactsInput!$N$10+1,15,18,21,24,27,30)*(IF(Inputs!$B$39="pvp",MIN(15,15)/15,IF(AND(Inputs!$B$39&lt;&gt;"pvp",Inputs!$B$44&gt;0),MIN(15,Inputs!$B$44)/(Inputs!$B$44),0))),0)))&gt;=100),CHOOSE(ArtifactsInput!$N$42+1,40,48,56,64,72,80),0))))/100)*(((1+(((C2739=TRUE)*F2739*IF(AND(Inputs!$B$39&lt;&gt;"pvp",Inputs!$B$44&gt;0),(((R2739-1)*(Skills!Y21*(1+Inputs!$B$34/100))+MIN((Skills!Y21*(1+Inputs!$B$34/100)),MAX(0,Inputs!$B$44-((R2739-1)*Skills!D21))))/Inputs!$B$44),IF(Inputs!$B$39="pvp",MIN((Skills!Y21*(1+Inputs!$B$34/100)),15)/15,(Skills!Y21*(1+Inputs!$B$34/100))/Skills!D21)))+((C2746=TRUE)*(F2746-Calc!F28))+((C2736=TRUE)*(F2736-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Skills!Y15*(1+Inputs!$B$34/100))+MIN((Skills!Y15*(1+Inputs!$B$34/100)),MAX(0,Inputs!$B$44-((R2733-1)*Skills!D15))))/Inputs!$B$44),IF(Inputs!$B$39="pvp",MIN((Skills!Y15*(1+Inputs!$B$34/100)),15)/15,(Skills!Y15*(1+Inputs!$B$34/100))/Skills!D15)))/100)*(1+((C2724=TRUE)*F2724*B2752)/100))*B2760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2722)</f>
        <v/>
      </c>
      <c r="L2722">
        <f>K2722*(MIN(Inputs!$B$22+((C2742=TRUE)*(F2742-Calc!F24)),(Inputs!$B$23+0+(IF(ArtifactsInput!$M$15,CHOOSE(ArtifactsInput!$N$15+1,25,30,35,40,45,50)/100*(Inputs!$B$11-Inputs!$B$11),0))))/100+(Inputs!$B$23+0+(IF(ArtifactsInput!$M$15,CHOOSE(ArtifactsInput!$N$15+1,25,30,35,40,45,50)/100*(Inputs!$B$11-Inputs!$B$11),0)))/100)/2</f>
        <v/>
      </c>
      <c r="M2722">
        <f>L2722*(1+(Inputs!$B$10+((C2744=TRUE)*(F2744-Calc!F26))+B2761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22">
        <f>L2722*(1-MIN((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2722*(MIN((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22">
        <f>(1-Summary!$B$11)*T2722+Summary!$B$11*V2722</f>
        <v/>
      </c>
      <c r="P2722">
        <f>IF(B2762=0,0,O2722/B2762)</f>
        <v/>
      </c>
      <c r="Q2722">
        <f>IFERROR(1/IF(Inputs!$B$39="pvp",15,MAX(0.1,Skills!D4-IF(Skills!E4=TRUE,Inputs!$B$32,0))),0)</f>
        <v/>
      </c>
      <c r="R2722">
        <f>IF(AND(Inputs!$B$39&lt;&gt;"pvp",Inputs!$B$44&gt;0),IF(MAX(0,Inputs!$B$44-B2763)&lt;=0,0,(INT(MAX(0,Inputs!$B$44-B2763)/IF(Inputs!$B$39="pvp",15,MAX(0.1,Skills!D4-IF(Skills!E4=TRUE,Inputs!$B$32,0))))+1)),0)</f>
        <v/>
      </c>
      <c r="S2722">
        <f>IFERROR(O2722/N2722,0)</f>
        <v/>
      </c>
      <c r="T2722">
        <f>IF(C2722,(H2722*N2722*IF(AND(Inputs!$B$39&lt;&gt;"pvp",Inputs!$B$44&gt;0),((Skills!G4*((R2722-1)*IF(Skills!H4&gt;0,Skills!I4/Skills!H4,1)+IF(Skills!H4&gt;0,MIN(Skills!I4,MAX(0,MAX(0,Inputs!$B$44-B2763)-((R2722-1)*IF(Inputs!$B$39="pvp",15,MAX(0.1,Skills!D4-IF(Skills!E4=TRUE,Inputs!$B$32,0))))))/Skills!H4,1)))/Inputs!$B$44),G2722*Q2722))*IF(Inputs!$B$39="pvp",1,1+(Inputs!$B$20+((C2745=TRUE)*(F2745-Calc!F27))+Skills!P4+B2759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2722*(1-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2722*(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2722*(1-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2722*(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22">
        <f>MAX(0,(Inputs!$B$3-100)*3)+Inputs!$B$28+Inputs!$B$29</f>
        <v/>
      </c>
      <c r="V2722">
        <f>IF(C2722,(H2722*N2722*IF(AND(Inputs!$B$39&lt;&gt;"pvp",Inputs!$B$44&gt;0),((Skills!G4*((R2722-1)*IF(Skills!H4&gt;0,Skills!I4/Skills!H4,1)+IF(Skills!H4&gt;0,MIN(Skills!I4,MAX(0,MAX(0,Inputs!$B$44-B2763)-((R2722-1)*IF(Inputs!$B$39="pvp",15,MAX(0.1,Skills!D4-IF(Skills!E4=TRUE,Inputs!$B$32,0))))))/Skills!H4,1)))/Inputs!$B$44),G2722*Q2722))*IF(Inputs!$B$39="pvp",1,(1+(Inputs!$B$21+Skills!Q4+B2759+(IF(ArtifactsInput!$M$33,CHOOSE(ArtifactsInput!$N$33+1,30,36,42,48,54,60)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23">
      <c r="A2723">
        <f>Skills!A5</f>
        <v/>
      </c>
      <c r="B2723">
        <f>Skills!B5</f>
        <v/>
      </c>
      <c r="C2723">
        <f>Inputs!$B$3&gt;=63</f>
        <v/>
      </c>
      <c r="D2723">
        <f>IF(Skills!C5=1,60+Inputs!$B$25+Inputs!$B$29,IF(Skills!C5=2,90+Inputs!$B$26+Inputs!$B$29,IF(Skills!C5=3,120+Inputs!$B$27+Inputs!$B$29,MAX(0,(Inputs!$B$3-100)*3)+Inputs!$B$28+Inputs!$B$29)))</f>
        <v/>
      </c>
      <c r="E2723">
        <f>INDEX(FactorTable!$B$2:$Y$301, MATCH(ROUND(MIN(300,MAX(1,D2723)),0), FactorTable!$A$2:$A$301,0), Skills!M5+1)</f>
        <v/>
      </c>
      <c r="F2723">
        <f>IF(Skills!N5=TRUE,(Skills!L5/10)*(E2723/1000),Skills!L5/10)+Skills!O5</f>
        <v/>
      </c>
      <c r="G2723">
        <f>Calc!G5</f>
        <v/>
      </c>
      <c r="H2723">
        <f>Calc!H5</f>
        <v/>
      </c>
      <c r="I2723">
        <f>IF(Skills!AA5&lt;&gt;"",1+(Skills!AA5/10)*(U2721/1000)/100,1)</f>
        <v/>
      </c>
      <c r="J2723">
        <f>((Inputs!$B$6*(1+Inputs!$B$7/100))+(((Inputs!$B$12*(1+Inputs!$B$13/100))-(Inputs!$B$12*(1+Inputs!$B$13/100)))+0.25*(Inputs!$B$14-Inputs!$B$14))*(1+Inputs!$B$7/100))*(F2723/100)</f>
        <v/>
      </c>
      <c r="K2723">
        <f>J2723*(1+((Inputs!$B$12*(1+Inputs!$B$13/100))*0.01+Inputs!$B$14*0.0025)/100)*(1+Inputs!$B$15/100)*(1+Inputs!$B$16/100)*(5000/(6000+Inputs!$B$43*(1-(100*(1-(1-(Inputs!$B$19+0)/100)*(1-CHOOSE(ArtifactsInput!$N$40+1,5,6,7,8,9,10)/100)^(ArtifactsInput!$M$40-ArtifactsInput!$M$40)))/100)))*(1+(Inputs!$B$24+((C2748=TRUE)*(F2748-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5="SHOWDOWN",Inputs!$B$17+((C2741=TRUE)*(F2741-Calc!F23))+(((IF(AND(ArtifactsInput!$M$42,((Inputs!$B$9+((C2743=TRUE)*(F2743-Calc!F25))+B2758+(ArtifactsInput!$M$24-ArtifactsInput!$M$24)*CHOOSE(ArtifactsInput!$N$24+1,10,12,14,16,18,20)+IF(ArtifactsInput!$M$10,CHOOSE(ArtifactsInput!$N$10+1,15,18,21,24,27,30)*(IF(Inputs!$B$39="pvp",MIN(15,15)/15,IF(AND(Inputs!$B$39&lt;&gt;"pvp",Inputs!$B$44&gt;0),MIN(15,Inputs!$B$44)/(Inputs!$B$44),0))),0)))&gt;=100),MIN(100,((Inputs!$B$9+((C2743=TRUE)*(F2743-Calc!F25))+B2758+(ArtifactsInput!$M$24-ArtifactsInput!$M$24)*CHOOSE(ArtifactsInput!$N$24+1,10,12,14,16,18,20)+IF(ArtifactsInput!$M$10,CHOOSE(ArtifactsInput!$N$10+1,15,18,21,24,27,30)*(IF(Inputs!$B$39="pvp",MIN(15,15)/15,IF(AND(Inputs!$B$39&lt;&gt;"pvp",Inputs!$B$44&gt;0),MIN(15,Inputs!$B$44)/(Inputs!$B$44),0))),0)))-100),0))*CHOOSE(ArtifactsInput!$N$42+1,0.6,0.72,0.84,0.96,1.08,1.2))),Inputs!$B$18+((C2747=TRUE)*(F2747-Calc!F29))+(IF(AND(ArtifactsInput!$M$42,((Inputs!$B$9+((C2743=TRUE)*(F2743-Calc!F25))+B2758+(ArtifactsInput!$M$24-ArtifactsInput!$M$24)*CHOOSE(ArtifactsInput!$N$24+1,10,12,14,16,18,20)+IF(ArtifactsInput!$M$10,CHOOSE(ArtifactsInput!$N$10+1,15,18,21,24,27,30)*(IF(Inputs!$B$39="pvp",MIN(15,15)/15,IF(AND(Inputs!$B$39&lt;&gt;"pvp",Inputs!$B$44&gt;0),MIN(15,Inputs!$B$44)/(Inputs!$B$44),0))),0)))&gt;=100),CHOOSE(ArtifactsInput!$N$42+1,40,48,56,64,72,80),0))))/100)*(((1+(((C2739=TRUE)*F2739*IF(AND(Inputs!$B$39&lt;&gt;"pvp",Inputs!$B$44&gt;0),(((R2739-1)*(Skills!Y21*(1+Inputs!$B$34/100))+MIN((Skills!Y21*(1+Inputs!$B$34/100)),MAX(0,Inputs!$B$44-((R2739-1)*Skills!D21))))/Inputs!$B$44),IF(Inputs!$B$39="pvp",MIN((Skills!Y21*(1+Inputs!$B$34/100)),15)/15,(Skills!Y21*(1+Inputs!$B$34/100))/Skills!D21)))+((C2746=TRUE)*(F2746-Calc!F28))+((C2736=TRUE)*(F2736-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Skills!Y15*(1+Inputs!$B$34/100))+MIN((Skills!Y15*(1+Inputs!$B$34/100)),MAX(0,Inputs!$B$44-((R2733-1)*Skills!D15))))/Inputs!$B$44),IF(Inputs!$B$39="pvp",MIN((Skills!Y15*(1+Inputs!$B$34/100)),15)/15,(Skills!Y15*(1+Inputs!$B$34/100))/Skills!D15)))/100)*(1+((C2724=TRUE)*F2724*B2752)/100))*B2760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2723)</f>
        <v/>
      </c>
      <c r="L2723">
        <f>K2723*(MIN(Inputs!$B$22+((C2742=TRUE)*(F2742-Calc!F24)),(Inputs!$B$23+0+(IF(ArtifactsInput!$M$15,CHOOSE(ArtifactsInput!$N$15+1,25,30,35,40,45,50)/100*(Inputs!$B$11-Inputs!$B$11),0))))/100+(Inputs!$B$23+0+(IF(ArtifactsInput!$M$15,CHOOSE(ArtifactsInput!$N$15+1,25,30,35,40,45,50)/100*(Inputs!$B$11-Inputs!$B$11),0)))/100)/2</f>
        <v/>
      </c>
      <c r="M2723">
        <f>L2723*(1+(Inputs!$B$10+((C2744=TRUE)*(F2744-Calc!F26))+B2761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23">
        <f>L2723*(1-MIN((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2723*(MIN((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23">
        <f>(1-Summary!$B$11)*T2723+Summary!$B$11*V2723</f>
        <v/>
      </c>
      <c r="P2723">
        <f>IF(B2762=0,0,O2723/B2762)</f>
        <v/>
      </c>
      <c r="Q2723">
        <f>IFERROR(1/IF(Inputs!$B$39="pvp",15,MAX(0.1,Skills!D5-IF(Skills!E5=TRUE,Inputs!$B$32,0))),0)</f>
        <v/>
      </c>
      <c r="R2723">
        <f>IF(AND(Inputs!$B$39&lt;&gt;"pvp",Inputs!$B$44&gt;0),IF(MAX(0,Inputs!$B$44-B2763)&lt;=0,0,(INT(MAX(0,Inputs!$B$44-B2763)/IF(Inputs!$B$39="pvp",15,MAX(0.1,Skills!D5-IF(Skills!E5=TRUE,Inputs!$B$32,0))))+1)),0)</f>
        <v/>
      </c>
      <c r="S2723">
        <f>IFERROR(O2723/N2723,0)</f>
        <v/>
      </c>
      <c r="T2723">
        <f>IF(C2723,(H2723*N2723*IF(AND(Inputs!$B$39&lt;&gt;"pvp",Inputs!$B$44&gt;0),((Skills!G5*((R2723-1)*IF(Skills!H5&gt;0,Skills!I5/Skills!H5,1)+IF(Skills!H5&gt;0,MIN(Skills!I5,MAX(0,MAX(0,Inputs!$B$44-B2763)-((R2723-1)*IF(Inputs!$B$39="pvp",15,MAX(0.1,Skills!D5-IF(Skills!E5=TRUE,Inputs!$B$32,0))))))/Skills!H5,1)))/Inputs!$B$44),G2723*Q2723))*IF(Inputs!$B$39="pvp",1,1+(Inputs!$B$20+((C2745=TRUE)*(F2745-Calc!F27))+Skills!P5+B2759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2723*(1-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2723*(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2723*(1-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2723*(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23">
        <f>INDEX(FactorTable!$B$2:$Y$301, MATCH(ROUND(MIN(300,MAX(1,U2722)),0), FactorTable!$A$2:$A$301,0), 22)</f>
        <v/>
      </c>
      <c r="V2723">
        <f>IF(C2723,(H2723*N2723*IF(AND(Inputs!$B$39&lt;&gt;"pvp",Inputs!$B$44&gt;0),((Skills!G5*((R2723-1)*IF(Skills!H5&gt;0,Skills!I5/Skills!H5,1)+IF(Skills!H5&gt;0,MIN(Skills!I5,MAX(0,MAX(0,Inputs!$B$44-B2763)-((R2723-1)*IF(Inputs!$B$39="pvp",15,MAX(0.1,Skills!D5-IF(Skills!E5=TRUE,Inputs!$B$32,0))))))/Skills!H5,1)))/Inputs!$B$44),G2723*Q2723))*IF(Inputs!$B$39="pvp",1,(1+(Inputs!$B$21+Skills!Q5+B2759+(IF(ArtifactsInput!$M$33,CHOOSE(ArtifactsInput!$N$33+1,30,36,42,48,54,60)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24">
      <c r="A2724">
        <f>Skills!A6</f>
        <v/>
      </c>
      <c r="B2724">
        <f>Skills!B6</f>
        <v/>
      </c>
      <c r="C2724">
        <f>Inputs!$B$3&gt;=66</f>
        <v/>
      </c>
      <c r="D2724">
        <f>IF(Skills!C6=1,60+Inputs!$B$25+Inputs!$B$29,IF(Skills!C6=2,90+Inputs!$B$26+Inputs!$B$29,IF(Skills!C6=3,120+Inputs!$B$27+Inputs!$B$29,MAX(0,(Inputs!$B$3-100)*3)+Inputs!$B$28+Inputs!$B$29)))</f>
        <v/>
      </c>
      <c r="E2724">
        <f>INDEX(FactorTable!$B$2:$Y$301, MATCH(ROUND(MIN(300,MAX(1,D2724)),0), FactorTable!$A$2:$A$301,0), Skills!M6+1)</f>
        <v/>
      </c>
      <c r="F2724">
        <f>IF(Skills!N6=TRUE,(Skills!L6/10)*(E2724/1000),Skills!L6/10)+Skills!O6</f>
        <v/>
      </c>
      <c r="G2724">
        <f>Calc!G6</f>
        <v/>
      </c>
      <c r="H2724">
        <f>Calc!H6</f>
        <v/>
      </c>
      <c r="I2724">
        <f>IF(Skills!AA6&lt;&gt;"",1+(Skills!AA6/10)*(U2721/1000)/100,1)</f>
        <v/>
      </c>
      <c r="J2724" t="inlineStr"/>
      <c r="K2724" t="inlineStr"/>
      <c r="L2724" t="inlineStr"/>
      <c r="M2724" t="inlineStr"/>
      <c r="N2724" t="inlineStr"/>
      <c r="O2724">
        <f>(1-Summary!$B$11)*T2724+Summary!$B$11*V2724</f>
        <v/>
      </c>
      <c r="P2724">
        <f>IF(B2762=0,0,O2724/B2762)</f>
        <v/>
      </c>
      <c r="Q2724" t="n">
        <v>0</v>
      </c>
      <c r="R2724" t="n">
        <v>0</v>
      </c>
      <c r="S2724">
        <f>IFERROR(O2724/N2724,0)</f>
        <v/>
      </c>
      <c r="T2724" t="n">
        <v>0</v>
      </c>
      <c r="U2724">
        <f>290*U2723/1000</f>
        <v/>
      </c>
      <c r="V2724" t="n">
        <v>0</v>
      </c>
    </row>
    <row r="2725">
      <c r="A2725">
        <f>Skills!A7</f>
        <v/>
      </c>
      <c r="B2725">
        <f>Skills!B7</f>
        <v/>
      </c>
      <c r="C2725">
        <f>Inputs!$B$3&gt;=66</f>
        <v/>
      </c>
      <c r="D2725">
        <f>IF(Skills!C7=1,60+Inputs!$B$25+Inputs!$B$29,IF(Skills!C7=2,90+Inputs!$B$26+Inputs!$B$29,IF(Skills!C7=3,120+Inputs!$B$27+Inputs!$B$29,MAX(0,(Inputs!$B$3-100)*3)+Inputs!$B$28+Inputs!$B$29)))</f>
        <v/>
      </c>
      <c r="E2725">
        <f>INDEX(FactorTable!$B$2:$Y$301, MATCH(ROUND(MIN(300,MAX(1,D2725)),0), FactorTable!$A$2:$A$301,0), Skills!M7+1)</f>
        <v/>
      </c>
      <c r="F2725">
        <f>IF(Skills!N7=TRUE,(Skills!L7/10)*(E2725/1000),Skills!L7/10)+Skills!O7</f>
        <v/>
      </c>
      <c r="G2725">
        <f>Calc!G7</f>
        <v/>
      </c>
      <c r="H2725">
        <f>Calc!H7</f>
        <v/>
      </c>
      <c r="I2725">
        <f>IF(Skills!AA7&lt;&gt;"",1+(Skills!AA7/10)*(U2721/1000)/100,1)</f>
        <v/>
      </c>
      <c r="J2725" t="inlineStr"/>
      <c r="K2725" t="inlineStr"/>
      <c r="L2725" t="inlineStr"/>
      <c r="M2725" t="inlineStr"/>
      <c r="N2725" t="inlineStr"/>
      <c r="O2725">
        <f>(1-Summary!$B$11)*T2725+Summary!$B$11*V2725</f>
        <v/>
      </c>
      <c r="P2725">
        <f>IF(B2762=0,0,O2725/B2762)</f>
        <v/>
      </c>
      <c r="Q2725" t="n">
        <v>0</v>
      </c>
      <c r="R2725" t="n">
        <v>0</v>
      </c>
      <c r="S2725">
        <f>IFERROR(O2725/N2725,0)</f>
        <v/>
      </c>
      <c r="T2725" t="n">
        <v>0</v>
      </c>
      <c r="V2725" t="n">
        <v>0</v>
      </c>
    </row>
    <row r="2726">
      <c r="A2726">
        <f>Skills!A8</f>
        <v/>
      </c>
      <c r="B2726">
        <f>Skills!B8</f>
        <v/>
      </c>
      <c r="C2726">
        <f>Inputs!$B$3&gt;=69</f>
        <v/>
      </c>
      <c r="D2726">
        <f>IF(Skills!C8=1,60+Inputs!$B$25+Inputs!$B$29,IF(Skills!C8=2,90+Inputs!$B$26+Inputs!$B$29,IF(Skills!C8=3,120+Inputs!$B$27+Inputs!$B$29,MAX(0,(Inputs!$B$3-100)*3)+Inputs!$B$28+Inputs!$B$29)))</f>
        <v/>
      </c>
      <c r="E2726">
        <f>INDEX(FactorTable!$B$2:$Y$301, MATCH(ROUND(MIN(300,MAX(1,D2726)),0), FactorTable!$A$2:$A$301,0), Skills!M8+1)</f>
        <v/>
      </c>
      <c r="F2726">
        <f>IF(Skills!N8=TRUE,(Skills!L8/10)*(E2726/1000),Skills!L8/10)+Skills!O8</f>
        <v/>
      </c>
      <c r="G2726">
        <f>Calc!G8</f>
        <v/>
      </c>
      <c r="H2726">
        <f>Calc!H8</f>
        <v/>
      </c>
      <c r="I2726">
        <f>IF(Skills!AA8&lt;&gt;"",1+(Skills!AA8/10)*(U2721/1000)/100,1)</f>
        <v/>
      </c>
      <c r="J2726">
        <f>((Inputs!$B$6*(1+Inputs!$B$7/100))+(((Inputs!$B$12*(1+Inputs!$B$13/100))-(Inputs!$B$12*(1+Inputs!$B$13/100)))+0.25*(Inputs!$B$14-Inputs!$B$14))*(1+Inputs!$B$7/100))*(F2726/100)</f>
        <v/>
      </c>
      <c r="K2726">
        <f>J2726*(1+((Inputs!$B$12*(1+Inputs!$B$13/100))*0.01+Inputs!$B$14*0.0025)/100)*(1+Inputs!$B$15/100)*(1+Inputs!$B$16/100)*(5000/(6000+Inputs!$B$43*(1-(100*(1-(1-(Inputs!$B$19+0)/100)*(1-CHOOSE(ArtifactsInput!$N$40+1,5,6,7,8,9,10)/100)^(ArtifactsInput!$M$40-ArtifactsInput!$M$40)))/100)))*(1+(Inputs!$B$24+((C2748=TRUE)*(F2748-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8="SHOWDOWN",Inputs!$B$17+((C2741=TRUE)*(F2741-Calc!F23))+(((IF(AND(ArtifactsInput!$M$42,((Inputs!$B$9+((C2743=TRUE)*(F2743-Calc!F25))+B2758+(ArtifactsInput!$M$24-ArtifactsInput!$M$24)*CHOOSE(ArtifactsInput!$N$24+1,10,12,14,16,18,20)+IF(ArtifactsInput!$M$10,CHOOSE(ArtifactsInput!$N$10+1,15,18,21,24,27,30)*(IF(Inputs!$B$39="pvp",MIN(15,15)/15,IF(AND(Inputs!$B$39&lt;&gt;"pvp",Inputs!$B$44&gt;0),MIN(15,Inputs!$B$44)/(Inputs!$B$44),0))),0)))&gt;=100),MIN(100,((Inputs!$B$9+((C2743=TRUE)*(F2743-Calc!F25))+B2758+(ArtifactsInput!$M$24-ArtifactsInput!$M$24)*CHOOSE(ArtifactsInput!$N$24+1,10,12,14,16,18,20)+IF(ArtifactsInput!$M$10,CHOOSE(ArtifactsInput!$N$10+1,15,18,21,24,27,30)*(IF(Inputs!$B$39="pvp",MIN(15,15)/15,IF(AND(Inputs!$B$39&lt;&gt;"pvp",Inputs!$B$44&gt;0),MIN(15,Inputs!$B$44)/(Inputs!$B$44),0))),0)))-100),0))*CHOOSE(ArtifactsInput!$N$42+1,0.6,0.72,0.84,0.96,1.08,1.2))),Inputs!$B$18+((C2747=TRUE)*(F2747-Calc!F29))+(IF(AND(ArtifactsInput!$M$42,((Inputs!$B$9+((C2743=TRUE)*(F2743-Calc!F25))+B2758+(ArtifactsInput!$M$24-ArtifactsInput!$M$24)*CHOOSE(ArtifactsInput!$N$24+1,10,12,14,16,18,20)+IF(ArtifactsInput!$M$10,CHOOSE(ArtifactsInput!$N$10+1,15,18,21,24,27,30)*(IF(Inputs!$B$39="pvp",MIN(15,15)/15,IF(AND(Inputs!$B$39&lt;&gt;"pvp",Inputs!$B$44&gt;0),MIN(15,Inputs!$B$44)/(Inputs!$B$44),0))),0)))&gt;=100),CHOOSE(ArtifactsInput!$N$42+1,40,48,56,64,72,80),0))))/100)*(((1+(((C2739=TRUE)*F2739*IF(AND(Inputs!$B$39&lt;&gt;"pvp",Inputs!$B$44&gt;0),(((R2739-1)*(Skills!Y21*(1+Inputs!$B$34/100))+MIN((Skills!Y21*(1+Inputs!$B$34/100)),MAX(0,Inputs!$B$44-((R2739-1)*Skills!D21))))/Inputs!$B$44),IF(Inputs!$B$39="pvp",MIN((Skills!Y21*(1+Inputs!$B$34/100)),15)/15,(Skills!Y21*(1+Inputs!$B$34/100))/Skills!D21)))+((C2746=TRUE)*(F2746-Calc!F28))+((C2736=TRUE)*(F2736-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Skills!Y15*(1+Inputs!$B$34/100))+MIN((Skills!Y15*(1+Inputs!$B$34/100)),MAX(0,Inputs!$B$44-((R2733-1)*Skills!D15))))/Inputs!$B$44),IF(Inputs!$B$39="pvp",MIN((Skills!Y15*(1+Inputs!$B$34/100)),15)/15,(Skills!Y15*(1+Inputs!$B$34/100))/Skills!D15)))/100)*(1+((C2724=TRUE)*F2724*B2752)/100))*B2760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2726)</f>
        <v/>
      </c>
      <c r="L2726">
        <f>K2726*(MIN(Inputs!$B$22+((C2742=TRUE)*(F2742-Calc!F24)),(Inputs!$B$23+0+(IF(ArtifactsInput!$M$15,CHOOSE(ArtifactsInput!$N$15+1,25,30,35,40,45,50)/100*(Inputs!$B$11-Inputs!$B$11),0))))/100+(Inputs!$B$23+0+(IF(ArtifactsInput!$M$15,CHOOSE(ArtifactsInput!$N$15+1,25,30,35,40,45,50)/100*(Inputs!$B$11-Inputs!$B$11),0)))/100)/2</f>
        <v/>
      </c>
      <c r="M2726">
        <f>L2726*(1+(Inputs!$B$10+((C2744=TRUE)*(F2744-Calc!F26))+B2761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26">
        <f>L2726*(1-MIN((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2726*(MIN((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26">
        <f>(1-Summary!$B$11)*T2726+Summary!$B$11*V2726</f>
        <v/>
      </c>
      <c r="P2726">
        <f>IF(B2762=0,0,O2726/B2762)</f>
        <v/>
      </c>
      <c r="Q2726">
        <f>IFERROR(1/IF(Inputs!$B$39="pvp",15,MAX(0.1,Skills!D8-IF(Skills!E8=TRUE,Inputs!$B$32,0))),0)</f>
        <v/>
      </c>
      <c r="R2726">
        <f>IF(AND(Inputs!$B$39&lt;&gt;"pvp",Inputs!$B$44&gt;0),IF(MAX(0,Inputs!$B$44-B2763)&lt;=0,0,(INT(MAX(0,Inputs!$B$44-B2763)/IF(Inputs!$B$39="pvp",15,MAX(0.1,Skills!D8-IF(Skills!E8=TRUE,Inputs!$B$32,0))))+1)),0)</f>
        <v/>
      </c>
      <c r="S2726">
        <f>IFERROR(O2726/N2726,0)</f>
        <v/>
      </c>
      <c r="T2726">
        <f>IF(C2726,(H2726*N2726*IF(AND(Inputs!$B$39&lt;&gt;"pvp",Inputs!$B$44&gt;0),((Skills!G8*((R2726-1)*IF(Skills!H8&gt;0,Skills!I8/Skills!H8,1)+IF(Skills!H8&gt;0,MIN(Skills!I8,MAX(0,MAX(0,Inputs!$B$44-B2763)-((R2726-1)*IF(Inputs!$B$39="pvp",15,MAX(0.1,Skills!D8-IF(Skills!E8=TRUE,Inputs!$B$32,0))))))/Skills!H8,1)))/Inputs!$B$44),G2726*Q2726))*IF(Inputs!$B$39="pvp",1,1+(Inputs!$B$20+((C2745=TRUE)*(F2745-Calc!F27))+Skills!P8+B2759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2726*(1-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2726*(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2726*(1-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2726*(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26">
        <f>IF(C2726,(H2726*N2726*IF(AND(Inputs!$B$39&lt;&gt;"pvp",Inputs!$B$44&gt;0),((Skills!G8*((R2726-1)*IF(Skills!H8&gt;0,Skills!I8/Skills!H8,1)+IF(Skills!H8&gt;0,MIN(Skills!I8,MAX(0,MAX(0,Inputs!$B$44-B2763)-((R2726-1)*IF(Inputs!$B$39="pvp",15,MAX(0.1,Skills!D8-IF(Skills!E8=TRUE,Inputs!$B$32,0))))))/Skills!H8,1)))/Inputs!$B$44),G2726*Q2726))*IF(Inputs!$B$39="pvp",1,(1+(Inputs!$B$21+Skills!Q8+B2759+(IF(ArtifactsInput!$M$33,CHOOSE(ArtifactsInput!$N$33+1,30,36,42,48,54,60)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27">
      <c r="A2727">
        <f>Skills!A9</f>
        <v/>
      </c>
      <c r="B2727">
        <f>Skills!B9</f>
        <v/>
      </c>
      <c r="C2727">
        <f>Inputs!$B$3&gt;=72</f>
        <v/>
      </c>
      <c r="D2727">
        <f>IF(Skills!C9=1,60+Inputs!$B$25+Inputs!$B$29,IF(Skills!C9=2,90+Inputs!$B$26+Inputs!$B$29,IF(Skills!C9=3,120+Inputs!$B$27+Inputs!$B$29,MAX(0,(Inputs!$B$3-100)*3)+Inputs!$B$28+Inputs!$B$29)))</f>
        <v/>
      </c>
      <c r="E2727">
        <f>INDEX(FactorTable!$B$2:$Y$301, MATCH(ROUND(MIN(300,MAX(1,D2727)),0), FactorTable!$A$2:$A$301,0), Skills!M9+1)</f>
        <v/>
      </c>
      <c r="F2727">
        <f>IF(Skills!N9=TRUE,(Skills!L9/10)*(E2727/1000),Skills!L9/10)+Skills!O9</f>
        <v/>
      </c>
      <c r="G2727">
        <f>Calc!G9</f>
        <v/>
      </c>
      <c r="H2727">
        <f>Calc!H9</f>
        <v/>
      </c>
      <c r="I2727">
        <f>IF(Skills!AA9&lt;&gt;"",1+(Skills!AA9/10)*(U2721/1000)/100,1)</f>
        <v/>
      </c>
      <c r="J2727">
        <f>((Inputs!$B$6*(1+Inputs!$B$7/100))+(((Inputs!$B$12*(1+Inputs!$B$13/100))-(Inputs!$B$12*(1+Inputs!$B$13/100)))+0.25*(Inputs!$B$14-Inputs!$B$14))*(1+Inputs!$B$7/100))*(F2727/100)</f>
        <v/>
      </c>
      <c r="K2727">
        <f>J2727*(1+((Inputs!$B$12*(1+Inputs!$B$13/100))*0.01+Inputs!$B$14*0.0025)/100)*(1+Inputs!$B$15/100)*(1+Inputs!$B$16/100)*(5000/(6000+Inputs!$B$43*(1-(100*(1-(1-(Inputs!$B$19+0)/100)*(1-CHOOSE(ArtifactsInput!$N$40+1,5,6,7,8,9,10)/100)^(ArtifactsInput!$M$40-ArtifactsInput!$M$40)))/100)))*(1+(Inputs!$B$24+((C2748=TRUE)*(F2748-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9="SHOWDOWN",Inputs!$B$17+((C2741=TRUE)*(F2741-Calc!F23))+(((IF(AND(ArtifactsInput!$M$42,((Inputs!$B$9+((C2743=TRUE)*(F2743-Calc!F25))+B2758+(ArtifactsInput!$M$24-ArtifactsInput!$M$24)*CHOOSE(ArtifactsInput!$N$24+1,10,12,14,16,18,20)+IF(ArtifactsInput!$M$10,CHOOSE(ArtifactsInput!$N$10+1,15,18,21,24,27,30)*(IF(Inputs!$B$39="pvp",MIN(15,15)/15,IF(AND(Inputs!$B$39&lt;&gt;"pvp",Inputs!$B$44&gt;0),MIN(15,Inputs!$B$44)/(Inputs!$B$44),0))),0)))&gt;=100),MIN(100,((Inputs!$B$9+((C2743=TRUE)*(F2743-Calc!F25))+B2758+(ArtifactsInput!$M$24-ArtifactsInput!$M$24)*CHOOSE(ArtifactsInput!$N$24+1,10,12,14,16,18,20)+IF(ArtifactsInput!$M$10,CHOOSE(ArtifactsInput!$N$10+1,15,18,21,24,27,30)*(IF(Inputs!$B$39="pvp",MIN(15,15)/15,IF(AND(Inputs!$B$39&lt;&gt;"pvp",Inputs!$B$44&gt;0),MIN(15,Inputs!$B$44)/(Inputs!$B$44),0))),0)))-100),0))*CHOOSE(ArtifactsInput!$N$42+1,0.6,0.72,0.84,0.96,1.08,1.2))),Inputs!$B$18+((C2747=TRUE)*(F2747-Calc!F29))+(IF(AND(ArtifactsInput!$M$42,((Inputs!$B$9+((C2743=TRUE)*(F2743-Calc!F25))+B2758+(ArtifactsInput!$M$24-ArtifactsInput!$M$24)*CHOOSE(ArtifactsInput!$N$24+1,10,12,14,16,18,20)+IF(ArtifactsInput!$M$10,CHOOSE(ArtifactsInput!$N$10+1,15,18,21,24,27,30)*(IF(Inputs!$B$39="pvp",MIN(15,15)/15,IF(AND(Inputs!$B$39&lt;&gt;"pvp",Inputs!$B$44&gt;0),MIN(15,Inputs!$B$44)/(Inputs!$B$44),0))),0)))&gt;=100),CHOOSE(ArtifactsInput!$N$42+1,40,48,56,64,72,80),0))))/100)*(((1+(((C2739=TRUE)*F2739*IF(AND(Inputs!$B$39&lt;&gt;"pvp",Inputs!$B$44&gt;0),(((R2739-1)*(Skills!Y21*(1+Inputs!$B$34/100))+MIN((Skills!Y21*(1+Inputs!$B$34/100)),MAX(0,Inputs!$B$44-((R2739-1)*Skills!D21))))/Inputs!$B$44),IF(Inputs!$B$39="pvp",MIN((Skills!Y21*(1+Inputs!$B$34/100)),15)/15,(Skills!Y21*(1+Inputs!$B$34/100))/Skills!D21)))+((C2746=TRUE)*(F2746-Calc!F28))+((C2736=TRUE)*(F2736-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Skills!Y15*(1+Inputs!$B$34/100))+MIN((Skills!Y15*(1+Inputs!$B$34/100)),MAX(0,Inputs!$B$44-((R2733-1)*Skills!D15))))/Inputs!$B$44),IF(Inputs!$B$39="pvp",MIN((Skills!Y15*(1+Inputs!$B$34/100)),15)/15,(Skills!Y15*(1+Inputs!$B$34/100))/Skills!D15)))/100)*(1+((C2724=TRUE)*F2724*B2752)/100))*B2760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2727)</f>
        <v/>
      </c>
      <c r="L2727">
        <f>K2727*(MIN(Inputs!$B$22+((C2742=TRUE)*(F2742-Calc!F24)),(Inputs!$B$23+0+(IF(ArtifactsInput!$M$15,CHOOSE(ArtifactsInput!$N$15+1,25,30,35,40,45,50)/100*(Inputs!$B$11-Inputs!$B$11),0))))/100+(Inputs!$B$23+0+(IF(ArtifactsInput!$M$15,CHOOSE(ArtifactsInput!$N$15+1,25,30,35,40,45,50)/100*(Inputs!$B$11-Inputs!$B$11),0)))/100)/2</f>
        <v/>
      </c>
      <c r="M2727">
        <f>L2727*(1+(Inputs!$B$10+((C2744=TRUE)*(F2744-Calc!F26))+B2761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27">
        <f>L2727*(1-MIN((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2727*(MIN((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27">
        <f>(1-Summary!$B$11)*T2727+Summary!$B$11*V2727</f>
        <v/>
      </c>
      <c r="P2727">
        <f>IF(B2762=0,0,O2727/B2762)</f>
        <v/>
      </c>
      <c r="Q2727">
        <f>IFERROR(1/IF(Inputs!$B$39="pvp",15,MAX(0.1,Skills!D9-IF(Skills!E9=TRUE,Inputs!$B$32,0))),0)</f>
        <v/>
      </c>
      <c r="R2727">
        <f>IF(AND(Inputs!$B$39&lt;&gt;"pvp",Inputs!$B$44&gt;0),IF(MAX(0,Inputs!$B$44-B2763)&lt;=0,0,(INT(MAX(0,Inputs!$B$44-B2763)/IF(Inputs!$B$39="pvp",15,MAX(0.1,Skills!D9-IF(Skills!E9=TRUE,Inputs!$B$32,0))))+1)),0)</f>
        <v/>
      </c>
      <c r="S2727">
        <f>IFERROR(O2727/N2727,0)</f>
        <v/>
      </c>
      <c r="T2727">
        <f>IF(C2727,(H2727*N2727*IF(AND(Inputs!$B$39&lt;&gt;"pvp",Inputs!$B$44&gt;0),((Skills!G9*((R2727-1)*IF(Skills!H9&gt;0,Skills!I9/Skills!H9,1)+IF(Skills!H9&gt;0,MIN(Skills!I9,MAX(0,MAX(0,Inputs!$B$44-B2763)-((R2727-1)*IF(Inputs!$B$39="pvp",15,MAX(0.1,Skills!D9-IF(Skills!E9=TRUE,Inputs!$B$32,0))))))/Skills!H9,1)))/Inputs!$B$44),G2727*Q2727))*IF(Inputs!$B$39="pvp",1,1+(Inputs!$B$20+((C2745=TRUE)*(F2745-Calc!F27))+Skills!P9+B2759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2727*(1-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2727*(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2727*(1-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2727*(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27">
        <f>IF(C2727,(H2727*N2727*IF(AND(Inputs!$B$39&lt;&gt;"pvp",Inputs!$B$44&gt;0),((Skills!G9*((R2727-1)*IF(Skills!H9&gt;0,Skills!I9/Skills!H9,1)+IF(Skills!H9&gt;0,MIN(Skills!I9,MAX(0,MAX(0,Inputs!$B$44-B2763)-((R2727-1)*IF(Inputs!$B$39="pvp",15,MAX(0.1,Skills!D9-IF(Skills!E9=TRUE,Inputs!$B$32,0))))))/Skills!H9,1)))/Inputs!$B$44),G2727*Q2727))*IF(Inputs!$B$39="pvp",1,(1+(Inputs!$B$21+Skills!Q9+B2759+(IF(ArtifactsInput!$M$33,CHOOSE(ArtifactsInput!$N$33+1,30,36,42,48,54,60)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28">
      <c r="A2728">
        <f>Skills!A10</f>
        <v/>
      </c>
      <c r="B2728">
        <f>Skills!B10</f>
        <v/>
      </c>
      <c r="C2728">
        <f>Inputs!$B$3&gt;=117</f>
        <v/>
      </c>
      <c r="D2728">
        <f>IF(Skills!C10=1,60+Inputs!$B$25+Inputs!$B$29,IF(Skills!C10=2,90+Inputs!$B$26+Inputs!$B$29,IF(Skills!C10=3,120+Inputs!$B$27+Inputs!$B$29,MAX(0,(Inputs!$B$3-100)*3)+Inputs!$B$28+Inputs!$B$29)))</f>
        <v/>
      </c>
      <c r="E2728">
        <f>INDEX(FactorTable!$B$2:$Y$301, MATCH(ROUND(MIN(300,MAX(1,D2728)),0), FactorTable!$A$2:$A$301,0), Skills!M10+1)</f>
        <v/>
      </c>
      <c r="F2728">
        <f>IF(Skills!N10=TRUE,(Skills!L10/10)*(E2728/1000),Skills!L10/10)+Skills!O10</f>
        <v/>
      </c>
      <c r="G2728">
        <f>Calc!G10</f>
        <v/>
      </c>
      <c r="H2728">
        <f>Calc!H10</f>
        <v/>
      </c>
      <c r="I2728">
        <f>IF(Skills!AA10&lt;&gt;"",1+(Skills!AA10/10)*(U2721/1000)/100,1)</f>
        <v/>
      </c>
      <c r="J2728">
        <f>((Inputs!$B$6*(1+Inputs!$B$7/100))+(((Inputs!$B$12*(1+Inputs!$B$13/100))-(Inputs!$B$12*(1+Inputs!$B$13/100)))+0.25*(Inputs!$B$14-Inputs!$B$14))*(1+Inputs!$B$7/100))*(F2728/100)</f>
        <v/>
      </c>
      <c r="K2728">
        <f>J2728*(1+((Inputs!$B$12*(1+Inputs!$B$13/100))*0.01+Inputs!$B$14*0.0025)/100)*(1+Inputs!$B$15/100)*(1+Inputs!$B$16/100)*(5000/(6000+Inputs!$B$43*(1-(100*(1-(1-(Inputs!$B$19+0)/100)*(1-CHOOSE(ArtifactsInput!$N$40+1,5,6,7,8,9,10)/100)^(ArtifactsInput!$M$40-ArtifactsInput!$M$40)))/100)))*(1+(Inputs!$B$24+((C2748=TRUE)*(F2748-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10="SHOWDOWN",Inputs!$B$17+((C2741=TRUE)*(F2741-Calc!F23))+(((IF(AND(ArtifactsInput!$M$42,((Inputs!$B$9+((C2743=TRUE)*(F2743-Calc!F25))+B2758+(ArtifactsInput!$M$24-ArtifactsInput!$M$24)*CHOOSE(ArtifactsInput!$N$24+1,10,12,14,16,18,20)+IF(ArtifactsInput!$M$10,CHOOSE(ArtifactsInput!$N$10+1,15,18,21,24,27,30)*(IF(Inputs!$B$39="pvp",MIN(15,15)/15,IF(AND(Inputs!$B$39&lt;&gt;"pvp",Inputs!$B$44&gt;0),MIN(15,Inputs!$B$44)/(Inputs!$B$44),0))),0)))&gt;=100),MIN(100,((Inputs!$B$9+((C2743=TRUE)*(F2743-Calc!F25))+B2758+(ArtifactsInput!$M$24-ArtifactsInput!$M$24)*CHOOSE(ArtifactsInput!$N$24+1,10,12,14,16,18,20)+IF(ArtifactsInput!$M$10,CHOOSE(ArtifactsInput!$N$10+1,15,18,21,24,27,30)*(IF(Inputs!$B$39="pvp",MIN(15,15)/15,IF(AND(Inputs!$B$39&lt;&gt;"pvp",Inputs!$B$44&gt;0),MIN(15,Inputs!$B$44)/(Inputs!$B$44),0))),0)))-100),0))*CHOOSE(ArtifactsInput!$N$42+1,0.6,0.72,0.84,0.96,1.08,1.2))),Inputs!$B$18+((C2747=TRUE)*(F2747-Calc!F29))+(IF(AND(ArtifactsInput!$M$42,((Inputs!$B$9+((C2743=TRUE)*(F2743-Calc!F25))+B2758+(ArtifactsInput!$M$24-ArtifactsInput!$M$24)*CHOOSE(ArtifactsInput!$N$24+1,10,12,14,16,18,20)+IF(ArtifactsInput!$M$10,CHOOSE(ArtifactsInput!$N$10+1,15,18,21,24,27,30)*(IF(Inputs!$B$39="pvp",MIN(15,15)/15,IF(AND(Inputs!$B$39&lt;&gt;"pvp",Inputs!$B$44&gt;0),MIN(15,Inputs!$B$44)/(Inputs!$B$44),0))),0)))&gt;=100),CHOOSE(ArtifactsInput!$N$42+1,40,48,56,64,72,80),0))))/100)*(((1+(((C2739=TRUE)*F2739*IF(AND(Inputs!$B$39&lt;&gt;"pvp",Inputs!$B$44&gt;0),(((R2739-1)*(Skills!Y21*(1+Inputs!$B$34/100))+MIN((Skills!Y21*(1+Inputs!$B$34/100)),MAX(0,Inputs!$B$44-((R2739-1)*Skills!D21))))/Inputs!$B$44),IF(Inputs!$B$39="pvp",MIN((Skills!Y21*(1+Inputs!$B$34/100)),15)/15,(Skills!Y21*(1+Inputs!$B$34/100))/Skills!D21)))+((C2746=TRUE)*(F2746-Calc!F28))+((C2736=TRUE)*(F2736-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Skills!Y15*(1+Inputs!$B$34/100))+MIN((Skills!Y15*(1+Inputs!$B$34/100)),MAX(0,Inputs!$B$44-((R2733-1)*Skills!D15))))/Inputs!$B$44),IF(Inputs!$B$39="pvp",MIN((Skills!Y15*(1+Inputs!$B$34/100)),15)/15,(Skills!Y15*(1+Inputs!$B$34/100))/Skills!D15)))/100)*(1+((C2724=TRUE)*F2724*B2752)/100))*B2760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2728)</f>
        <v/>
      </c>
      <c r="L2728">
        <f>K2728*(MIN(Inputs!$B$22+((C2742=TRUE)*(F2742-Calc!F24)),(Inputs!$B$23+0+(IF(ArtifactsInput!$M$15,CHOOSE(ArtifactsInput!$N$15+1,25,30,35,40,45,50)/100*(Inputs!$B$11-Inputs!$B$11),0))))/100+(Inputs!$B$23+0+(IF(ArtifactsInput!$M$15,CHOOSE(ArtifactsInput!$N$15+1,25,30,35,40,45,50)/100*(Inputs!$B$11-Inputs!$B$11),0)))/100)/2</f>
        <v/>
      </c>
      <c r="M2728">
        <f>L2728*(1+(Inputs!$B$10+((C2744=TRUE)*(F2744-Calc!F26))+B2761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28">
        <f>L2728*(1-MIN((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2728*(MIN((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28">
        <f>(1-Summary!$B$11)*T2728+Summary!$B$11*V2728</f>
        <v/>
      </c>
      <c r="P2728">
        <f>IF(B2762=0,0,O2728/B2762)</f>
        <v/>
      </c>
      <c r="Q2728" t="n">
        <v>0</v>
      </c>
      <c r="R2728" t="n">
        <v>0</v>
      </c>
      <c r="S2728" t="n">
        <v>0</v>
      </c>
      <c r="T2728">
        <f>IF(C2728,(0.2*SUMPRODUCT((Skills!Z2:Z31=TRUE)*(C2720:C2749=TRUE)*S2720:S2749)*N2728)*IF(Inputs!$B$39="pvp",1,1+(Inputs!$B$20+((C2745=TRUE)*(F2745-Calc!F27))+Skills!P10+B2759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2728*(1-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2728*(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2728*(1-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2728*(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28">
        <f>IF(C2728,(0.2*SUMPRODUCT((Skills!Z2:Z31=TRUE)*(C2720:C2749=TRUE)*S2720:S2749)*N2728)*IF(Inputs!$B$39="pvp",1,(1+(Inputs!$B$21+Skills!Q10+B2759+(IF(ArtifactsInput!$M$33,CHOOSE(ArtifactsInput!$N$33+1,30,36,42,48,54,60),0))+(IF(AND(ArtifactsInput!$M$35,Inputs!$B$4&lt;&gt;"Chapter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29">
      <c r="A2729">
        <f>Skills!A11</f>
        <v/>
      </c>
      <c r="B2729">
        <f>Skills!B11</f>
        <v/>
      </c>
      <c r="C2729">
        <f>Inputs!$B$3&gt;=60</f>
        <v/>
      </c>
      <c r="D2729">
        <f>IF(Skills!C11=1,60+Inputs!$B$25+Inputs!$B$29,IF(Skills!C11=2,90+Inputs!$B$26+Inputs!$B$29,IF(Skills!C11=3,120+Inputs!$B$27+Inputs!$B$29,MAX(0,(Inputs!$B$3-100)*3)+Inputs!$B$28+Inputs!$B$29)))</f>
        <v/>
      </c>
      <c r="E2729">
        <f>INDEX(FactorTable!$B$2:$Y$301, MATCH(ROUND(MIN(300,MAX(1,D2729)),0), FactorTable!$A$2:$A$301,0), Skills!M11+1)</f>
        <v/>
      </c>
      <c r="F2729">
        <f>IF(Skills!N11=TRUE,(Skills!L11/10)*(E2729/1000),Skills!L11/10)+Skills!O11</f>
        <v/>
      </c>
      <c r="G2729">
        <f>Calc!G11</f>
        <v/>
      </c>
      <c r="H2729">
        <f>Calc!H11</f>
        <v/>
      </c>
      <c r="I2729">
        <f>IF(Skills!AA11&lt;&gt;"",1+(Skills!AA11/10)*(U2721/1000)/100,1)</f>
        <v/>
      </c>
      <c r="J2729" t="inlineStr"/>
      <c r="K2729" t="inlineStr"/>
      <c r="L2729" t="inlineStr"/>
      <c r="M2729" t="inlineStr"/>
      <c r="N2729" t="inlineStr"/>
      <c r="O2729">
        <f>(1-Summary!$B$11)*T2729+Summary!$B$11*V2729</f>
        <v/>
      </c>
      <c r="P2729">
        <f>IF(B2762=0,0,O2729/B2762)</f>
        <v/>
      </c>
      <c r="Q2729" t="n">
        <v>0</v>
      </c>
      <c r="R2729" t="n">
        <v>0</v>
      </c>
      <c r="S2729">
        <f>IFERROR(O2729/N2729,0)</f>
        <v/>
      </c>
      <c r="T2729" t="n">
        <v>0</v>
      </c>
      <c r="V2729" t="n">
        <v>0</v>
      </c>
    </row>
    <row r="2730">
      <c r="A2730">
        <f>Skills!A12</f>
        <v/>
      </c>
      <c r="B2730">
        <f>Skills!B12</f>
        <v/>
      </c>
      <c r="C2730">
        <f>Inputs!$B$3&gt;=103</f>
        <v/>
      </c>
      <c r="D2730">
        <f>IF(Skills!C12=1,60+Inputs!$B$25+Inputs!$B$29,IF(Skills!C12=2,90+Inputs!$B$26+Inputs!$B$29,IF(Skills!C12=3,120+Inputs!$B$27+Inputs!$B$29,MAX(0,(Inputs!$B$3-100)*3)+Inputs!$B$28+Inputs!$B$29)))</f>
        <v/>
      </c>
      <c r="E2730">
        <f>INDEX(FactorTable!$B$2:$Y$301, MATCH(ROUND(MIN(300,MAX(1,D2730)),0), FactorTable!$A$2:$A$301,0), Skills!M12+1)</f>
        <v/>
      </c>
      <c r="F2730">
        <f>IF(Skills!N12=TRUE,(Skills!L12/10)*(E2730/1000),Skills!L12/10)+Skills!O12</f>
        <v/>
      </c>
      <c r="G2730">
        <f>Calc!G12</f>
        <v/>
      </c>
      <c r="H2730">
        <f>Calc!H12</f>
        <v/>
      </c>
      <c r="I2730">
        <f>IF(Skills!AA12&lt;&gt;"",1+(Skills!AA12/10)*(U2721/1000)/100,1)</f>
        <v/>
      </c>
      <c r="J2730">
        <f>((Inputs!$B$6*(1+Inputs!$B$7/100))+(((Inputs!$B$12*(1+Inputs!$B$13/100))-(Inputs!$B$12*(1+Inputs!$B$13/100)))+0.25*(Inputs!$B$14-Inputs!$B$14))*(1+Inputs!$B$7/100))*(F2730/100)</f>
        <v/>
      </c>
      <c r="K2730">
        <f>J2730*(1+((Inputs!$B$12*(1+Inputs!$B$13/100))*0.01+Inputs!$B$14*0.0025)/100)*(1+Inputs!$B$15/100)*(1+Inputs!$B$16/100)*(5000/(6000+Inputs!$B$43*(1-(100*(1-(1-(Inputs!$B$19+0)/100)*(1-CHOOSE(ArtifactsInput!$N$40+1,5,6,7,8,9,10)/100)^(ArtifactsInput!$M$40-ArtifactsInput!$M$40)))/100)))*(1+(Inputs!$B$24+((C2748=TRUE)*(F2748-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12="SHOWDOWN",Inputs!$B$17+((C2741=TRUE)*(F2741-Calc!F23))+(((IF(AND(ArtifactsInput!$M$42,((Inputs!$B$9+((C2743=TRUE)*(F2743-Calc!F25))+B2758+(ArtifactsInput!$M$24-ArtifactsInput!$M$24)*CHOOSE(ArtifactsInput!$N$24+1,10,12,14,16,18,20)+IF(ArtifactsInput!$M$10,CHOOSE(ArtifactsInput!$N$10+1,15,18,21,24,27,30)*(IF(Inputs!$B$39="pvp",MIN(15,15)/15,IF(AND(Inputs!$B$39&lt;&gt;"pvp",Inputs!$B$44&gt;0),MIN(15,Inputs!$B$44)/(Inputs!$B$44),0))),0)))&gt;=100),MIN(100,((Inputs!$B$9+((C2743=TRUE)*(F2743-Calc!F25))+B2758+(ArtifactsInput!$M$24-ArtifactsInput!$M$24)*CHOOSE(ArtifactsInput!$N$24+1,10,12,14,16,18,20)+IF(ArtifactsInput!$M$10,CHOOSE(ArtifactsInput!$N$10+1,15,18,21,24,27,30)*(IF(Inputs!$B$39="pvp",MIN(15,15)/15,IF(AND(Inputs!$B$39&lt;&gt;"pvp",Inputs!$B$44&gt;0),MIN(15,Inputs!$B$44)/(Inputs!$B$44),0))),0)))-100),0))*CHOOSE(ArtifactsInput!$N$42+1,0.6,0.72,0.84,0.96,1.08,1.2))),Inputs!$B$18+((C2747=TRUE)*(F2747-Calc!F29))+(IF(AND(ArtifactsInput!$M$42,((Inputs!$B$9+((C2743=TRUE)*(F2743-Calc!F25))+B2758+(ArtifactsInput!$M$24-ArtifactsInput!$M$24)*CHOOSE(ArtifactsInput!$N$24+1,10,12,14,16,18,20)+IF(ArtifactsInput!$M$10,CHOOSE(ArtifactsInput!$N$10+1,15,18,21,24,27,30)*(IF(Inputs!$B$39="pvp",MIN(15,15)/15,IF(AND(Inputs!$B$39&lt;&gt;"pvp",Inputs!$B$44&gt;0),MIN(15,Inputs!$B$44)/(Inputs!$B$44),0))),0)))&gt;=100),CHOOSE(ArtifactsInput!$N$42+1,40,48,56,64,72,80),0))))/100)*(((1+(((C2739=TRUE)*F2739*IF(AND(Inputs!$B$39&lt;&gt;"pvp",Inputs!$B$44&gt;0),(((R2739-1)*(Skills!Y21*(1+Inputs!$B$34/100))+MIN((Skills!Y21*(1+Inputs!$B$34/100)),MAX(0,Inputs!$B$44-((R2739-1)*Skills!D21))))/Inputs!$B$44),IF(Inputs!$B$39="pvp",MIN((Skills!Y21*(1+Inputs!$B$34/100)),15)/15,(Skills!Y21*(1+Inputs!$B$34/100))/Skills!D21)))+((C2746=TRUE)*(F2746-Calc!F28))+((C2736=TRUE)*(F2736-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Skills!Y15*(1+Inputs!$B$34/100))+MIN((Skills!Y15*(1+Inputs!$B$34/100)),MAX(0,Inputs!$B$44-((R2733-1)*Skills!D15))))/Inputs!$B$44),IF(Inputs!$B$39="pvp",MIN((Skills!Y15*(1+Inputs!$B$34/100)),15)/15,(Skills!Y15*(1+Inputs!$B$34/100))/Skills!D15)))/100)*(1+((C2724=TRUE)*F2724*B2752)/100))*B2760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2730)</f>
        <v/>
      </c>
      <c r="L2730">
        <f>K2730*(MIN(Inputs!$B$22+((C2742=TRUE)*(F2742-Calc!F24)),(Inputs!$B$23+0+(IF(ArtifactsInput!$M$15,CHOOSE(ArtifactsInput!$N$15+1,25,30,35,40,45,50)/100*(Inputs!$B$11-Inputs!$B$11),0))))/100+(Inputs!$B$23+0+(IF(ArtifactsInput!$M$15,CHOOSE(ArtifactsInput!$N$15+1,25,30,35,40,45,50)/100*(Inputs!$B$11-Inputs!$B$11),0)))/100)/2</f>
        <v/>
      </c>
      <c r="M2730">
        <f>L2730*(1+(Inputs!$B$10+((C2744=TRUE)*(F2744-Calc!F26))+B2761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30">
        <f>L2730*(1-MIN((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2730*(MIN((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30">
        <f>(1-Summary!$B$11)*T2730+Summary!$B$11*V2730</f>
        <v/>
      </c>
      <c r="P2730">
        <f>IF(B2762=0,0,O2730/B2762)</f>
        <v/>
      </c>
      <c r="Q2730">
        <f>IFERROR(1/IF(Inputs!$B$39="pvp",15,MAX(0.1,Skills!D12-IF(Skills!E12=TRUE,Inputs!$B$32,0))),0)</f>
        <v/>
      </c>
      <c r="R2730">
        <f>IF(AND(Inputs!$B$39&lt;&gt;"pvp",Inputs!$B$44&gt;0),IF(MAX(0,Inputs!$B$44-B2763)&lt;=0,0,(INT(MAX(0,Inputs!$B$44-B2763)/IF(Inputs!$B$39="pvp",15,MAX(0.1,Skills!D12-IF(Skills!E12=TRUE,Inputs!$B$32,0))))+1)),0)</f>
        <v/>
      </c>
      <c r="S2730">
        <f>IFERROR(O2730/N2730,0)</f>
        <v/>
      </c>
      <c r="T2730">
        <f>IF(C2730,(H2730*N2730*IF(AND(Inputs!$B$39&lt;&gt;"pvp",Inputs!$B$44&gt;0),((Skills!G12*((R2730-1)*IF(Skills!H12&gt;0,Skills!I12/Skills!H12,1)+IF(Skills!H12&gt;0,MIN(Skills!I12,MAX(0,MAX(0,Inputs!$B$44-B2763)-((R2730-1)*IF(Inputs!$B$39="pvp",15,MAX(0.1,Skills!D12-IF(Skills!E12=TRUE,Inputs!$B$32,0))))))/Skills!H12,1)))/Inputs!$B$44),G2730*Q2730))*IF(Inputs!$B$39="pvp",1,1+(Inputs!$B$20+((C2745=TRUE)*(F2745-Calc!F27))+Skills!P12+B2759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2730*(1-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2730*(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2730*(1-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2730*(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30">
        <f>IF(C2730,(H2730*N2730*IF(AND(Inputs!$B$39&lt;&gt;"pvp",Inputs!$B$44&gt;0),((Skills!G12*((R2730-1)*IF(Skills!H12&gt;0,Skills!I12/Skills!H12,1)+IF(Skills!H12&gt;0,MIN(Skills!I12,MAX(0,MAX(0,Inputs!$B$44-B2763)-((R2730-1)*IF(Inputs!$B$39="pvp",15,MAX(0.1,Skills!D12-IF(Skills!E12=TRUE,Inputs!$B$32,0))))))/Skills!H12,1)))/Inputs!$B$44),G2730*Q2730))*IF(Inputs!$B$39="pvp",1,(1+(Inputs!$B$21+Skills!Q12+B2759+(IF(ArtifactsInput!$M$33,CHOOSE(ArtifactsInput!$N$33+1,30,36,42,48,54,60)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31">
      <c r="A2731">
        <f>Skills!A13</f>
        <v/>
      </c>
      <c r="B2731">
        <f>Skills!B13</f>
        <v/>
      </c>
      <c r="C2731">
        <f>Inputs!$B$3&gt;=105</f>
        <v/>
      </c>
      <c r="D2731">
        <f>IF(Skills!C13=1,60+Inputs!$B$25+Inputs!$B$29,IF(Skills!C13=2,90+Inputs!$B$26+Inputs!$B$29,IF(Skills!C13=3,120+Inputs!$B$27+Inputs!$B$29,MAX(0,(Inputs!$B$3-100)*3)+Inputs!$B$28+Inputs!$B$29)))</f>
        <v/>
      </c>
      <c r="E2731">
        <f>INDEX(FactorTable!$B$2:$Y$301, MATCH(ROUND(MIN(300,MAX(1,D2731)),0), FactorTable!$A$2:$A$301,0), Skills!M13+1)</f>
        <v/>
      </c>
      <c r="F2731">
        <f>IF(Skills!N13=TRUE,(Skills!L13/10)*(E2731/1000),Skills!L13/10)+Skills!O13</f>
        <v/>
      </c>
      <c r="G2731">
        <f>Calc!G13</f>
        <v/>
      </c>
      <c r="H2731">
        <f>Calc!H13</f>
        <v/>
      </c>
      <c r="I2731">
        <f>IF(Skills!AA13&lt;&gt;"",1+(Skills!AA13/10)*(U2721/1000)/100,1)</f>
        <v/>
      </c>
      <c r="J2731">
        <f>((Inputs!$B$6*(1+Inputs!$B$7/100))+(((Inputs!$B$12*(1+Inputs!$B$13/100))-(Inputs!$B$12*(1+Inputs!$B$13/100)))+0.25*(Inputs!$B$14-Inputs!$B$14))*(1+Inputs!$B$7/100))*(F2731/100)</f>
        <v/>
      </c>
      <c r="K2731">
        <f>J2731*(1+((Inputs!$B$12*(1+Inputs!$B$13/100))*0.01+Inputs!$B$14*0.0025)/100)*(1+Inputs!$B$15/100)*(1+Inputs!$B$16/100)*(5000/(6000+Inputs!$B$43*(1-(100*(1-(1-(Inputs!$B$19+0)/100)*(1-CHOOSE(ArtifactsInput!$N$40+1,5,6,7,8,9,10)/100)^(ArtifactsInput!$M$40-ArtifactsInput!$M$40)))/100)))*(1+(Inputs!$B$24+((C2748=TRUE)*(F2748-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13="SHOWDOWN",Inputs!$B$17+((C2741=TRUE)*(F2741-Calc!F23))+(((IF(AND(ArtifactsInput!$M$42,((Inputs!$B$9+((C2743=TRUE)*(F2743-Calc!F25))+B2758+(ArtifactsInput!$M$24-ArtifactsInput!$M$24)*CHOOSE(ArtifactsInput!$N$24+1,10,12,14,16,18,20)+IF(ArtifactsInput!$M$10,CHOOSE(ArtifactsInput!$N$10+1,15,18,21,24,27,30)*(IF(Inputs!$B$39="pvp",MIN(15,15)/15,IF(AND(Inputs!$B$39&lt;&gt;"pvp",Inputs!$B$44&gt;0),MIN(15,Inputs!$B$44)/(Inputs!$B$44),0))),0)))&gt;=100),MIN(100,((Inputs!$B$9+((C2743=TRUE)*(F2743-Calc!F25))+B2758+(ArtifactsInput!$M$24-ArtifactsInput!$M$24)*CHOOSE(ArtifactsInput!$N$24+1,10,12,14,16,18,20)+IF(ArtifactsInput!$M$10,CHOOSE(ArtifactsInput!$N$10+1,15,18,21,24,27,30)*(IF(Inputs!$B$39="pvp",MIN(15,15)/15,IF(AND(Inputs!$B$39&lt;&gt;"pvp",Inputs!$B$44&gt;0),MIN(15,Inputs!$B$44)/(Inputs!$B$44),0))),0)))-100),0))*CHOOSE(ArtifactsInput!$N$42+1,0.6,0.72,0.84,0.96,1.08,1.2))),Inputs!$B$18+((C2747=TRUE)*(F2747-Calc!F29))+(IF(AND(ArtifactsInput!$M$42,((Inputs!$B$9+((C2743=TRUE)*(F2743-Calc!F25))+B2758+(ArtifactsInput!$M$24-ArtifactsInput!$M$24)*CHOOSE(ArtifactsInput!$N$24+1,10,12,14,16,18,20)+IF(ArtifactsInput!$M$10,CHOOSE(ArtifactsInput!$N$10+1,15,18,21,24,27,30)*(IF(Inputs!$B$39="pvp",MIN(15,15)/15,IF(AND(Inputs!$B$39&lt;&gt;"pvp",Inputs!$B$44&gt;0),MIN(15,Inputs!$B$44)/(Inputs!$B$44),0))),0)))&gt;=100),CHOOSE(ArtifactsInput!$N$42+1,40,48,56,64,72,80),0))))/100)*(((1+(((C2739=TRUE)*F2739*IF(AND(Inputs!$B$39&lt;&gt;"pvp",Inputs!$B$44&gt;0),(((R2739-1)*(Skills!Y21*(1+Inputs!$B$34/100))+MIN((Skills!Y21*(1+Inputs!$B$34/100)),MAX(0,Inputs!$B$44-((R2739-1)*Skills!D21))))/Inputs!$B$44),IF(Inputs!$B$39="pvp",MIN((Skills!Y21*(1+Inputs!$B$34/100)),15)/15,(Skills!Y21*(1+Inputs!$B$34/100))/Skills!D21)))+((C2746=TRUE)*(F2746-Calc!F28))+((C2736=TRUE)*(F2736-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Skills!Y15*(1+Inputs!$B$34/100))+MIN((Skills!Y15*(1+Inputs!$B$34/100)),MAX(0,Inputs!$B$44-((R2733-1)*Skills!D15))))/Inputs!$B$44),IF(Inputs!$B$39="pvp",MIN((Skills!Y15*(1+Inputs!$B$34/100)),15)/15,(Skills!Y15*(1+Inputs!$B$34/100))/Skills!D15)))/100)*(1+((C2724=TRUE)*F2724*B2752)/100))*B2760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2731)</f>
        <v/>
      </c>
      <c r="L2731">
        <f>K2731*(MIN(Inputs!$B$22+((C2742=TRUE)*(F2742-Calc!F24)),(Inputs!$B$23+0+(IF(ArtifactsInput!$M$15,CHOOSE(ArtifactsInput!$N$15+1,25,30,35,40,45,50)/100*(Inputs!$B$11-Inputs!$B$11),0))))/100+(Inputs!$B$23+0+(IF(ArtifactsInput!$M$15,CHOOSE(ArtifactsInput!$N$15+1,25,30,35,40,45,50)/100*(Inputs!$B$11-Inputs!$B$11),0)))/100)/2</f>
        <v/>
      </c>
      <c r="M2731">
        <f>L2731*(1+(Inputs!$B$10+((C2744=TRUE)*(F2744-Calc!F26))+B2761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31">
        <f>L2731*(1-MIN((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2731*(MIN((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31">
        <f>(1-Summary!$B$11)*T2731+Summary!$B$11*V2731</f>
        <v/>
      </c>
      <c r="P2731">
        <f>IF(B2762=0,0,O2731/B2762)</f>
        <v/>
      </c>
      <c r="Q2731">
        <f>IFERROR(1/IF(Inputs!$B$39="pvp",15,MAX(0.1,Skills!D13-IF(Skills!E13=TRUE,Inputs!$B$32,0))),0)</f>
        <v/>
      </c>
      <c r="R2731">
        <f>IF(AND(Inputs!$B$39&lt;&gt;"pvp",Inputs!$B$44&gt;0),IF(MAX(0,Inputs!$B$44-B2763)&lt;=0,0,(INT(MAX(0,Inputs!$B$44-B2763)/IF(Inputs!$B$39="pvp",15,MAX(0.1,Skills!D13-IF(Skills!E13=TRUE,Inputs!$B$32,0))))+1)),0)</f>
        <v/>
      </c>
      <c r="S2731">
        <f>IFERROR(O2731/N2731,0)</f>
        <v/>
      </c>
      <c r="T2731">
        <f>IF(C2731,(H2731*N2731*IF(AND(Inputs!$B$39&lt;&gt;"pvp",Inputs!$B$44&gt;0),((Skills!G13*((R2731-1)*IF(Skills!H13&gt;0,Skills!I13/Skills!H13,1)+IF(Skills!H13&gt;0,MIN(Skills!I13,MAX(0,MAX(0,Inputs!$B$44-B2763)-((R2731-1)*IF(Inputs!$B$39="pvp",15,MAX(0.1,Skills!D13-IF(Skills!E13=TRUE,Inputs!$B$32,0))))))/Skills!H13,1)))/Inputs!$B$44),G2731*Q2731))*IF(Inputs!$B$39="pvp",1,1+(Inputs!$B$20+((C2745=TRUE)*(F2745-Calc!F27))+Skills!P13+B2759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2731*(1-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2731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2731*(1-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2731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31">
        <f>IF(C2731,(H2731*N2731*IF(AND(Inputs!$B$39&lt;&gt;"pvp",Inputs!$B$44&gt;0),((Skills!G13*((R2731-1)*IF(Skills!H13&gt;0,Skills!I13/Skills!H13,1)+IF(Skills!H13&gt;0,MIN(Skills!I13,MAX(0,MAX(0,Inputs!$B$44-B2763)-((R2731-1)*IF(Inputs!$B$39="pvp",15,MAX(0.1,Skills!D13-IF(Skills!E13=TRUE,Inputs!$B$32,0))))))/Skills!H13,1)))/Inputs!$B$44),G2731*Q2731))*IF(Inputs!$B$39="pvp",1,(1+(Inputs!$B$21+Skills!Q13+B2759+(IF(ArtifactsInput!$M$33,CHOOSE(ArtifactsInput!$N$33+1,30,36,42,48,54,60)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32">
      <c r="A2732">
        <f>Skills!A14</f>
        <v/>
      </c>
      <c r="B2732">
        <f>Skills!B14</f>
        <v/>
      </c>
      <c r="C2732">
        <f>Inputs!$B$3&gt;=105</f>
        <v/>
      </c>
      <c r="D2732">
        <f>IF(Skills!C14=1,60+Inputs!$B$25+Inputs!$B$29,IF(Skills!C14=2,90+Inputs!$B$26+Inputs!$B$29,IF(Skills!C14=3,120+Inputs!$B$27+Inputs!$B$29,MAX(0,(Inputs!$B$3-100)*3)+Inputs!$B$28+Inputs!$B$29)))</f>
        <v/>
      </c>
      <c r="E2732">
        <f>INDEX(FactorTable!$B$2:$Y$301, MATCH(ROUND(MIN(300,MAX(1,D2732)),0), FactorTable!$A$2:$A$301,0), Skills!M14+1)</f>
        <v/>
      </c>
      <c r="F2732">
        <f>IF(Skills!N14=TRUE,(Skills!L14/10)*(E2732/1000),Skills!L14/10)+Skills!O14</f>
        <v/>
      </c>
      <c r="G2732">
        <f>Calc!G14</f>
        <v/>
      </c>
      <c r="H2732">
        <f>Calc!H14</f>
        <v/>
      </c>
      <c r="I2732">
        <f>IF(Skills!AA14&lt;&gt;"",1+(Skills!AA14/10)*(U2721/1000)/100,1)</f>
        <v/>
      </c>
      <c r="J2732">
        <f>((Inputs!$B$6*(1+Inputs!$B$7/100))+(((Inputs!$B$12*(1+Inputs!$B$13/100))-(Inputs!$B$12*(1+Inputs!$B$13/100)))+0.25*(Inputs!$B$14-Inputs!$B$14))*(1+Inputs!$B$7/100))*(F2732/100)</f>
        <v/>
      </c>
      <c r="K2732">
        <f>J2732*(1+((Inputs!$B$12*(1+Inputs!$B$13/100))*0.01+Inputs!$B$14*0.0025)/100)*(1+Inputs!$B$15/100)*(1+Inputs!$B$16/100)*(5000/(6000+Inputs!$B$43*(1-(100*(1-(1-(Inputs!$B$19+0)/100)*(1-CHOOSE(ArtifactsInput!$N$40+1,5,6,7,8,9,10)/100)^(ArtifactsInput!$M$40-ArtifactsInput!$M$40)))/100)))*(1+(Inputs!$B$24+((C2748=TRUE)*(F2748-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14="SHOWDOWN",Inputs!$B$17+((C2741=TRUE)*(F2741-Calc!F23))+(((IF(AND(ArtifactsInput!$M$42,((Inputs!$B$9+((C2743=TRUE)*(F2743-Calc!F25))+B2758+(ArtifactsInput!$M$24-ArtifactsInput!$M$24)*CHOOSE(ArtifactsInput!$N$24+1,10,12,14,16,18,20)+IF(ArtifactsInput!$M$10,CHOOSE(ArtifactsInput!$N$10+1,15,18,21,24,27,30)*(IF(Inputs!$B$39="pvp",MIN(15,15)/15,IF(AND(Inputs!$B$39&lt;&gt;"pvp",Inputs!$B$44&gt;0),MIN(15,Inputs!$B$44)/(Inputs!$B$44),0))),0)))&gt;=100),MIN(100,((Inputs!$B$9+((C2743=TRUE)*(F2743-Calc!F25))+B2758+(ArtifactsInput!$M$24-ArtifactsInput!$M$24)*CHOOSE(ArtifactsInput!$N$24+1,10,12,14,16,18,20)+IF(ArtifactsInput!$M$10,CHOOSE(ArtifactsInput!$N$10+1,15,18,21,24,27,30)*(IF(Inputs!$B$39="pvp",MIN(15,15)/15,IF(AND(Inputs!$B$39&lt;&gt;"pvp",Inputs!$B$44&gt;0),MIN(15,Inputs!$B$44)/(Inputs!$B$44),0))),0)))-100),0))*CHOOSE(ArtifactsInput!$N$42+1,0.6,0.72,0.84,0.96,1.08,1.2))),Inputs!$B$18+((C2747=TRUE)*(F2747-Calc!F29))+(IF(AND(ArtifactsInput!$M$42,((Inputs!$B$9+((C2743=TRUE)*(F2743-Calc!F25))+B2758+(ArtifactsInput!$M$24-ArtifactsInput!$M$24)*CHOOSE(ArtifactsInput!$N$24+1,10,12,14,16,18,20)+IF(ArtifactsInput!$M$10,CHOOSE(ArtifactsInput!$N$10+1,15,18,21,24,27,30)*(IF(Inputs!$B$39="pvp",MIN(15,15)/15,IF(AND(Inputs!$B$39&lt;&gt;"pvp",Inputs!$B$44&gt;0),MIN(15,Inputs!$B$44)/(Inputs!$B$44),0))),0)))&gt;=100),CHOOSE(ArtifactsInput!$N$42+1,40,48,56,64,72,80),0))))/100)*(((1+(((C2739=TRUE)*F2739*IF(AND(Inputs!$B$39&lt;&gt;"pvp",Inputs!$B$44&gt;0),(((R2739-1)*(Skills!Y21*(1+Inputs!$B$34/100))+MIN((Skills!Y21*(1+Inputs!$B$34/100)),MAX(0,Inputs!$B$44-((R2739-1)*Skills!D21))))/Inputs!$B$44),IF(Inputs!$B$39="pvp",MIN((Skills!Y21*(1+Inputs!$B$34/100)),15)/15,(Skills!Y21*(1+Inputs!$B$34/100))/Skills!D21)))+((C2746=TRUE)*(F2746-Calc!F28))+((C2736=TRUE)*(F2736-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Skills!Y15*(1+Inputs!$B$34/100))+MIN((Skills!Y15*(1+Inputs!$B$34/100)),MAX(0,Inputs!$B$44-((R2733-1)*Skills!D15))))/Inputs!$B$44),IF(Inputs!$B$39="pvp",MIN((Skills!Y15*(1+Inputs!$B$34/100)),15)/15,(Skills!Y15*(1+Inputs!$B$34/100))/Skills!D15)))/100)*(1+((C2724=TRUE)*F2724*B2752)/100))*B2760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2732)</f>
        <v/>
      </c>
      <c r="L2732">
        <f>K2732*(MIN(Inputs!$B$22+((C2742=TRUE)*(F2742-Calc!F24)),(Inputs!$B$23+0+(IF(ArtifactsInput!$M$15,CHOOSE(ArtifactsInput!$N$15+1,25,30,35,40,45,50)/100*(Inputs!$B$11-Inputs!$B$11),0))))/100+(Inputs!$B$23+0+(IF(ArtifactsInput!$M$15,CHOOSE(ArtifactsInput!$N$15+1,25,30,35,40,45,50)/100*(Inputs!$B$11-Inputs!$B$11),0)))/100)/2</f>
        <v/>
      </c>
      <c r="M2732">
        <f>L2732*(1+(Inputs!$B$10+((C2744=TRUE)*(F2744-Calc!F26))+B2761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32">
        <f>L2732*(1-MIN((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2732*(MIN((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32">
        <f>(1-Summary!$B$11)*T2732+Summary!$B$11*V2732</f>
        <v/>
      </c>
      <c r="P2732">
        <f>IF(B2762=0,0,O2732/B2762)</f>
        <v/>
      </c>
      <c r="Q2732">
        <f>IFERROR(1/IF(Inputs!$B$39="pvp",15,MAX(0.1,Skills!D14-IF(Skills!E14=TRUE,Inputs!$B$32,0))),0)</f>
        <v/>
      </c>
      <c r="R2732">
        <f>IF(AND(Inputs!$B$39&lt;&gt;"pvp",Inputs!$B$44&gt;0),IF(MAX(0,Inputs!$B$44-B2763)&lt;=0,0,(INT(MAX(0,Inputs!$B$44-B2763)/IF(Inputs!$B$39="pvp",15,MAX(0.1,Skills!D14-IF(Skills!E14=TRUE,Inputs!$B$32,0))))+1)),0)</f>
        <v/>
      </c>
      <c r="S2732">
        <f>IFERROR(O2732/N2732,0)</f>
        <v/>
      </c>
      <c r="T2732">
        <f>IF(C2732,(H2732*N2732*IF(AND(Inputs!$B$39&lt;&gt;"pvp",Inputs!$B$44&gt;0),((Skills!G14*((R2732-1)*IF(Skills!H14&gt;0,Skills!I14/Skills!H14,1)+IF(Skills!H14&gt;0,MIN(Skills!I14,MAX(0,MAX(0,Inputs!$B$44-B2763)-((R2732-1)*IF(Inputs!$B$39="pvp",15,MAX(0.1,Skills!D14-IF(Skills!E14=TRUE,Inputs!$B$32,0))))))/Skills!H14,1)))/Inputs!$B$44),G2732*Q2732))*IF(Inputs!$B$39="pvp",1,1+(Inputs!$B$20+((C2745=TRUE)*(F2745-Calc!F27))+Skills!P14+B2759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2732*(1-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2732*(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2732*(1-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2732*(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32">
        <f>IF(C2732,(H2732*N2732*IF(AND(Inputs!$B$39&lt;&gt;"pvp",Inputs!$B$44&gt;0),((Skills!G14*((R2732-1)*IF(Skills!H14&gt;0,Skills!I14/Skills!H14,1)+IF(Skills!H14&gt;0,MIN(Skills!I14,MAX(0,MAX(0,Inputs!$B$44-B2763)-((R2732-1)*IF(Inputs!$B$39="pvp",15,MAX(0.1,Skills!D14-IF(Skills!E14=TRUE,Inputs!$B$32,0))))))/Skills!H14,1)))/Inputs!$B$44),G2732*Q2732))*IF(Inputs!$B$39="pvp",1,(1+(Inputs!$B$21+Skills!Q14+B2759+(IF(ArtifactsInput!$M$33,CHOOSE(ArtifactsInput!$N$33+1,30,36,42,48,54,60)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33">
      <c r="A2733">
        <f>Skills!A15</f>
        <v/>
      </c>
      <c r="B2733">
        <f>Skills!B15</f>
        <v/>
      </c>
      <c r="C2733">
        <f>Inputs!$B$3&gt;=110</f>
        <v/>
      </c>
      <c r="D2733">
        <f>IF(Skills!C15=1,60+Inputs!$B$25+Inputs!$B$29,IF(Skills!C15=2,90+Inputs!$B$26+Inputs!$B$29,IF(Skills!C15=3,120+Inputs!$B$27+Inputs!$B$29,MAX(0,(Inputs!$B$3-100)*3)+Inputs!$B$28+Inputs!$B$29)))</f>
        <v/>
      </c>
      <c r="E2733">
        <f>INDEX(FactorTable!$B$2:$Y$301, MATCH(ROUND(MIN(300,MAX(1,D2733)),0), FactorTable!$A$2:$A$301,0), Skills!M15+1)</f>
        <v/>
      </c>
      <c r="F2733">
        <f>IF(Skills!N15=TRUE,(Skills!L15/10)*(E2733/1000),Skills!L15/10)+Skills!O15</f>
        <v/>
      </c>
      <c r="G2733">
        <f>Calc!G15</f>
        <v/>
      </c>
      <c r="H2733">
        <f>Calc!H15</f>
        <v/>
      </c>
      <c r="I2733">
        <f>IF(Skills!AA15&lt;&gt;"",1+(Skills!AA15/10)*(U2721/1000)/100,1)</f>
        <v/>
      </c>
      <c r="J2733" t="inlineStr"/>
      <c r="K2733" t="inlineStr"/>
      <c r="L2733" t="inlineStr"/>
      <c r="M2733" t="inlineStr"/>
      <c r="N2733" t="inlineStr"/>
      <c r="O2733">
        <f>(1-Summary!$B$11)*T2733+Summary!$B$11*V2733</f>
        <v/>
      </c>
      <c r="P2733">
        <f>IF(B2762=0,0,O2733/B2762)</f>
        <v/>
      </c>
      <c r="Q2733">
        <f>IFERROR(1/IF(Inputs!$B$39="pvp",15,MAX(0.1,Skills!D15-IF(Skills!E15=TRUE,Inputs!$B$32,0))),0)</f>
        <v/>
      </c>
      <c r="R2733">
        <f>IF(AND(Inputs!$B$39&lt;&gt;"pvp",Inputs!$B$44&gt;0),IF(Inputs!$B$44&lt;=0,0,(INT(Inputs!$B$44/IF(Inputs!$B$39="pvp",15,MAX(0.1,Skills!D15-IF(Skills!E15=TRUE,Inputs!$B$32,0))))+1)),0)</f>
        <v/>
      </c>
      <c r="S2733">
        <f>IFERROR(O2733/N2733,0)</f>
        <v/>
      </c>
      <c r="T2733" t="n">
        <v>0</v>
      </c>
      <c r="V2733" t="n">
        <v>0</v>
      </c>
    </row>
    <row r="2734">
      <c r="A2734">
        <f>Skills!A16</f>
        <v/>
      </c>
      <c r="B2734">
        <f>Skills!B16</f>
        <v/>
      </c>
      <c r="C2734">
        <f>Inputs!$B$3&gt;=110</f>
        <v/>
      </c>
      <c r="D2734">
        <f>IF(Skills!C16=1,60+Inputs!$B$25+Inputs!$B$29,IF(Skills!C16=2,90+Inputs!$B$26+Inputs!$B$29,IF(Skills!C16=3,120+Inputs!$B$27+Inputs!$B$29,MAX(0,(Inputs!$B$3-100)*3)+Inputs!$B$28+Inputs!$B$29)))</f>
        <v/>
      </c>
      <c r="E2734">
        <f>INDEX(FactorTable!$B$2:$Y$301, MATCH(ROUND(MIN(300,MAX(1,D2734)),0), FactorTable!$A$2:$A$301,0), Skills!M16+1)</f>
        <v/>
      </c>
      <c r="F2734">
        <f>IF(Skills!N16=TRUE,(Skills!L16/10)*(E2734/1000),Skills!L16/10)+Skills!O16</f>
        <v/>
      </c>
      <c r="G2734">
        <f>Calc!G16</f>
        <v/>
      </c>
      <c r="H2734">
        <f>Calc!H16</f>
        <v/>
      </c>
      <c r="I2734">
        <f>IF(Skills!AA16&lt;&gt;"",1+(Skills!AA16/10)*(U2721/1000)/100,1)</f>
        <v/>
      </c>
      <c r="J2734" t="inlineStr"/>
      <c r="K2734" t="inlineStr"/>
      <c r="L2734" t="inlineStr"/>
      <c r="M2734" t="inlineStr"/>
      <c r="N2734" t="inlineStr"/>
      <c r="O2734">
        <f>(1-Summary!$B$11)*T2734+Summary!$B$11*V2734</f>
        <v/>
      </c>
      <c r="P2734">
        <f>IF(B2762=0,0,O2734/B2762)</f>
        <v/>
      </c>
      <c r="Q2734">
        <f>IFERROR(1/IF(Inputs!$B$39="pvp",15,MAX(0.1,Skills!D16-IF(Skills!E16=TRUE,Inputs!$B$32,0))),0)</f>
        <v/>
      </c>
      <c r="R2734">
        <f>IF(AND(Inputs!$B$39&lt;&gt;"pvp",Inputs!$B$44&gt;0),IF(Inputs!$B$44&lt;=0,0,(INT(Inputs!$B$44/IF(Inputs!$B$39="pvp",15,MAX(0.1,Skills!D16-IF(Skills!E16=TRUE,Inputs!$B$32,0))))+1)),0)</f>
        <v/>
      </c>
      <c r="S2734">
        <f>IFERROR(O2734/N2734,0)</f>
        <v/>
      </c>
      <c r="T2734" t="n">
        <v>0</v>
      </c>
      <c r="V2734" t="n">
        <v>0</v>
      </c>
    </row>
    <row r="2735">
      <c r="A2735">
        <f>Skills!A17</f>
        <v/>
      </c>
      <c r="B2735">
        <f>Skills!B17</f>
        <v/>
      </c>
      <c r="C2735">
        <f>Inputs!$B$3&gt;=115</f>
        <v/>
      </c>
      <c r="D2735">
        <f>IF(Skills!C17=1,60+Inputs!$B$25+Inputs!$B$29,IF(Skills!C17=2,90+Inputs!$B$26+Inputs!$B$29,IF(Skills!C17=3,120+Inputs!$B$27+Inputs!$B$29,MAX(0,(Inputs!$B$3-100)*3)+Inputs!$B$28+Inputs!$B$29)))</f>
        <v/>
      </c>
      <c r="E2735">
        <f>INDEX(FactorTable!$B$2:$Y$301, MATCH(ROUND(MIN(300,MAX(1,D2735)),0), FactorTable!$A$2:$A$301,0), Skills!M17+1)</f>
        <v/>
      </c>
      <c r="F2735">
        <f>IF(Skills!N17=TRUE,(Skills!L17/10)*(E2735/1000),Skills!L17/10)+Skills!O17</f>
        <v/>
      </c>
      <c r="G2735">
        <f>Calc!G17</f>
        <v/>
      </c>
      <c r="H2735">
        <f>Calc!H17</f>
        <v/>
      </c>
      <c r="I2735">
        <f>IF(Skills!AA17&lt;&gt;"",1+(Skills!AA17/10)*(U2721/1000)/100,1)</f>
        <v/>
      </c>
      <c r="J2735">
        <f>((Inputs!$B$6*(1+Inputs!$B$7/100))+(((Inputs!$B$12*(1+Inputs!$B$13/100))-(Inputs!$B$12*(1+Inputs!$B$13/100)))+0.25*(Inputs!$B$14-Inputs!$B$14))*(1+Inputs!$B$7/100))*(F2735/100)</f>
        <v/>
      </c>
      <c r="K2735">
        <f>J2735*(1+((Inputs!$B$12*(1+Inputs!$B$13/100))*0.01+Inputs!$B$14*0.0025)/100)*(1+Inputs!$B$15/100)*(1+Inputs!$B$16/100)*(5000/(6000+Inputs!$B$43*(1-(100*(1-(1-(Inputs!$B$19+0)/100)*(1-CHOOSE(ArtifactsInput!$N$40+1,5,6,7,8,9,10)/100)^(ArtifactsInput!$M$40-ArtifactsInput!$M$40)))/100)))*(1+(Inputs!$B$24+((C2748=TRUE)*(F2748-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17="SHOWDOWN",Inputs!$B$17+((C2741=TRUE)*(F2741-Calc!F23))+(((IF(AND(ArtifactsInput!$M$42,((Inputs!$B$9+((C2743=TRUE)*(F2743-Calc!F25))+B2758+(ArtifactsInput!$M$24-ArtifactsInput!$M$24)*CHOOSE(ArtifactsInput!$N$24+1,10,12,14,16,18,20)+IF(ArtifactsInput!$M$10,CHOOSE(ArtifactsInput!$N$10+1,15,18,21,24,27,30)*(IF(Inputs!$B$39="pvp",MIN(15,15)/15,IF(AND(Inputs!$B$39&lt;&gt;"pvp",Inputs!$B$44&gt;0),MIN(15,Inputs!$B$44)/(Inputs!$B$44),0))),0)))&gt;=100),MIN(100,((Inputs!$B$9+((C2743=TRUE)*(F2743-Calc!F25))+B2758+(ArtifactsInput!$M$24-ArtifactsInput!$M$24)*CHOOSE(ArtifactsInput!$N$24+1,10,12,14,16,18,20)+IF(ArtifactsInput!$M$10,CHOOSE(ArtifactsInput!$N$10+1,15,18,21,24,27,30)*(IF(Inputs!$B$39="pvp",MIN(15,15)/15,IF(AND(Inputs!$B$39&lt;&gt;"pvp",Inputs!$B$44&gt;0),MIN(15,Inputs!$B$44)/(Inputs!$B$44),0))),0)))-100),0))*CHOOSE(ArtifactsInput!$N$42+1,0.6,0.72,0.84,0.96,1.08,1.2))),Inputs!$B$18+((C2747=TRUE)*(F2747-Calc!F29))+(IF(AND(ArtifactsInput!$M$42,((Inputs!$B$9+((C2743=TRUE)*(F2743-Calc!F25))+B2758+(ArtifactsInput!$M$24-ArtifactsInput!$M$24)*CHOOSE(ArtifactsInput!$N$24+1,10,12,14,16,18,20)+IF(ArtifactsInput!$M$10,CHOOSE(ArtifactsInput!$N$10+1,15,18,21,24,27,30)*(IF(Inputs!$B$39="pvp",MIN(15,15)/15,IF(AND(Inputs!$B$39&lt;&gt;"pvp",Inputs!$B$44&gt;0),MIN(15,Inputs!$B$44)/(Inputs!$B$44),0))),0)))&gt;=100),CHOOSE(ArtifactsInput!$N$42+1,40,48,56,64,72,80),0))))/100)*(((1+(((C2739=TRUE)*F2739*IF(AND(Inputs!$B$39&lt;&gt;"pvp",Inputs!$B$44&gt;0),(((R2739-1)*(Skills!Y21*(1+Inputs!$B$34/100))+MIN((Skills!Y21*(1+Inputs!$B$34/100)),MAX(0,Inputs!$B$44-((R2739-1)*Skills!D21))))/Inputs!$B$44),IF(Inputs!$B$39="pvp",MIN((Skills!Y21*(1+Inputs!$B$34/100)),15)/15,(Skills!Y21*(1+Inputs!$B$34/100))/Skills!D21)))+((C2746=TRUE)*(F2746-Calc!F28))+((C2736=TRUE)*(F2736-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Skills!Y15*(1+Inputs!$B$34/100))+MIN((Skills!Y15*(1+Inputs!$B$34/100)),MAX(0,Inputs!$B$44-((R2733-1)*Skills!D15))))/Inputs!$B$44),IF(Inputs!$B$39="pvp",MIN((Skills!Y15*(1+Inputs!$B$34/100)),15)/15,(Skills!Y15*(1+Inputs!$B$34/100))/Skills!D15)))/100)*(1+((C2724=TRUE)*F2724*B2752)/100))*B2760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2735)</f>
        <v/>
      </c>
      <c r="L2735">
        <f>K2735*(MIN(Inputs!$B$22+((C2742=TRUE)*(F2742-Calc!F24)),(Inputs!$B$23+0+(IF(ArtifactsInput!$M$15,CHOOSE(ArtifactsInput!$N$15+1,25,30,35,40,45,50)/100*(Inputs!$B$11-Inputs!$B$11),0))))/100+(Inputs!$B$23+0+(IF(ArtifactsInput!$M$15,CHOOSE(ArtifactsInput!$N$15+1,25,30,35,40,45,50)/100*(Inputs!$B$11-Inputs!$B$11),0)))/100)/2</f>
        <v/>
      </c>
      <c r="M2735">
        <f>L2735*(1+(Inputs!$B$10+((C2744=TRUE)*(F2744-Calc!F26))+B2761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35">
        <f>L2735*(1-MIN((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2735*(MIN((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35">
        <f>(1-Summary!$B$11)*T2735+Summary!$B$11*V2735</f>
        <v/>
      </c>
      <c r="P2735">
        <f>IF(B2762=0,0,O2735/B2762)</f>
        <v/>
      </c>
      <c r="Q2735" t="n">
        <v>0</v>
      </c>
      <c r="R2735" t="n">
        <v>0</v>
      </c>
      <c r="S2735">
        <f>IFERROR(O2735/N2735,0)</f>
        <v/>
      </c>
      <c r="T2735">
        <f>IF(C2735,(Inputs!$B$38*0.2*N2735)*IF(Inputs!$B$39="pvp",1,1+(Inputs!$B$20+((C2745=TRUE)*(F2745-Calc!F27))+Skills!P17+B2759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2735*(1-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2735*(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2735*(1-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2735*(MIN(100,(Inputs!$B$9+((C2743=TRUE)*(F2743-Calc!F25))+B2758+(ArtifactsInput!$M$24-ArtifactsInput!$M$24)*CHOOSE(ArtifactsInput!$N$24+1,10,12,14,16,18,20)+(IF(AND(ArtifactsInput!$M$42,((Inputs!$B$9+((C2743=TRUE)*(F2743-Calc!F25))+B2758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35">
        <f>IF(C2735,(Inputs!$B$38*0.2*N2735)*IF(Inputs!$B$39="pvp",1,(1+(Inputs!$B$21+Skills!Q17+B2759+(IF(ArtifactsInput!$M$33,CHOOSE(ArtifactsInput!$N$33+1,30,36,42,48,54,60),0))+(IF(AND(ArtifactsInput!$M$35,Inputs!$B$4&lt;&gt;"Chapter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36">
      <c r="A2736">
        <f>Skills!A18</f>
        <v/>
      </c>
      <c r="B2736">
        <f>Skills!B18</f>
        <v/>
      </c>
      <c r="C2736">
        <f>Inputs!$B$3&gt;=115</f>
        <v/>
      </c>
      <c r="D2736">
        <f>IF(Skills!C18=1,60+Inputs!$B$25+Inputs!$B$29,IF(Skills!C18=2,90+Inputs!$B$26+Inputs!$B$29,IF(Skills!C18=3,120+Inputs!$B$27+Inputs!$B$29,MAX(0,(Inputs!$B$3-100)*3)+Inputs!$B$28+Inputs!$B$29)))</f>
        <v/>
      </c>
      <c r="E2736">
        <f>INDEX(FactorTable!$B$2:$Y$301, MATCH(ROUND(MIN(300,MAX(1,D2736)),0), FactorTable!$A$2:$A$301,0), Skills!M18+1)</f>
        <v/>
      </c>
      <c r="F2736">
        <f>IF(Skills!N18=TRUE,(Skills!L18/10)*(E2736/1000),Skills!L18/10)+Skills!O18</f>
        <v/>
      </c>
      <c r="G2736">
        <f>Calc!G18</f>
        <v/>
      </c>
      <c r="H2736">
        <f>Calc!H18</f>
        <v/>
      </c>
      <c r="I2736">
        <f>IF(Skills!AA18&lt;&gt;"",1+(Skills!AA18/10)*(U2721/1000)/100,1)</f>
        <v/>
      </c>
      <c r="J2736" t="inlineStr"/>
      <c r="K2736" t="inlineStr"/>
      <c r="L2736" t="inlineStr"/>
      <c r="M2736" t="inlineStr"/>
      <c r="N2736" t="inlineStr"/>
      <c r="O2736">
        <f>(1-Summary!$B$11)*T2736+Summary!$B$11*V2736</f>
        <v/>
      </c>
      <c r="P2736">
        <f>IF(B2762=0,0,O2736/B2762)</f>
        <v/>
      </c>
      <c r="Q2736" t="n">
        <v>0</v>
      </c>
      <c r="R2736" t="n">
        <v>0</v>
      </c>
      <c r="S2736">
        <f>IFERROR(O2736/N2736,0)</f>
        <v/>
      </c>
      <c r="T2736" t="n">
        <v>0</v>
      </c>
      <c r="V2736" t="n">
        <v>0</v>
      </c>
    </row>
    <row r="2737">
      <c r="A2737">
        <f>Skills!A19</f>
        <v/>
      </c>
      <c r="B2737">
        <f>Skills!B19</f>
        <v/>
      </c>
      <c r="C2737">
        <f>TRUE</f>
        <v/>
      </c>
      <c r="D2737">
        <f>IF(Skills!C19=1,60+Inputs!$B$25+Inputs!$B$29,IF(Skills!C19=2,90+Inputs!$B$26+Inputs!$B$29,IF(Skills!C19=3,120+Inputs!$B$27+Inputs!$B$29,MAX(0,(Inputs!$B$3-100)*3)+Inputs!$B$28+Inputs!$B$29)))</f>
        <v/>
      </c>
      <c r="E2737">
        <f>INDEX(FactorTable!$B$2:$Y$301, MATCH(ROUND(MIN(300,MAX(1,D2737)),0), FactorTable!$A$2:$A$301,0), Skills!M19+1)</f>
        <v/>
      </c>
      <c r="F2737">
        <f>IF(Skills!N19=TRUE,(Skills!L19/10)*(E2737/1000),Skills!L19/10)+Skills!O19</f>
        <v/>
      </c>
      <c r="G2737">
        <f>Calc!G19</f>
        <v/>
      </c>
      <c r="H2737">
        <f>Calc!H19</f>
        <v/>
      </c>
      <c r="I2737">
        <f>IF(Skills!AA19&lt;&gt;"",1+(Skills!AA19/10)*(U2721/1000)/100,1)</f>
        <v/>
      </c>
      <c r="J2737" t="inlineStr"/>
      <c r="K2737" t="inlineStr"/>
      <c r="L2737" t="inlineStr"/>
      <c r="M2737" t="inlineStr"/>
      <c r="N2737" t="inlineStr"/>
      <c r="O2737">
        <f>(1-Summary!$B$11)*T2737+Summary!$B$11*V2737</f>
        <v/>
      </c>
      <c r="P2737">
        <f>IF(B2762=0,0,O2737/B2762)</f>
        <v/>
      </c>
      <c r="Q2737">
        <f>IFERROR(1/IF(Inputs!$B$39="pvp",15,MAX(0.1,Skills!D19-IF(Skills!E19=TRUE,Inputs!$B$32,0))),0)</f>
        <v/>
      </c>
      <c r="R2737">
        <f>IF(AND(Inputs!$B$39&lt;&gt;"pvp",Inputs!$B$44&gt;0),IF(Inputs!$B$44&lt;=0,0,(INT(Inputs!$B$44/IF(Inputs!$B$39="pvp",15,MAX(0.1,Skills!D19-IF(Skills!E19=TRUE,Inputs!$B$32,0))))+1)),0)</f>
        <v/>
      </c>
      <c r="S2737">
        <f>IFERROR(O2737/N2737,0)</f>
        <v/>
      </c>
      <c r="T2737" t="n">
        <v>0</v>
      </c>
      <c r="V2737" t="n">
        <v>0</v>
      </c>
    </row>
    <row r="2738">
      <c r="A2738">
        <f>Skills!A20</f>
        <v/>
      </c>
      <c r="B2738">
        <f>Skills!B20</f>
        <v/>
      </c>
      <c r="C2738">
        <f>Inputs!$B$3&gt;=15</f>
        <v/>
      </c>
      <c r="D2738">
        <f>IF(Skills!C20=1,60+Inputs!$B$25+Inputs!$B$29,IF(Skills!C20=2,90+Inputs!$B$26+Inputs!$B$29,IF(Skills!C20=3,120+Inputs!$B$27+Inputs!$B$29,MAX(0,(Inputs!$B$3-100)*3)+Inputs!$B$28+Inputs!$B$29)))</f>
        <v/>
      </c>
      <c r="E2738">
        <f>INDEX(FactorTable!$B$2:$Y$301, MATCH(ROUND(MIN(300,MAX(1,D2738)),0), FactorTable!$A$2:$A$301,0), Skills!M20+1)</f>
        <v/>
      </c>
      <c r="F2738">
        <f>IF(Skills!N20=TRUE,(Skills!L20/10)*(E2738/1000),Skills!L20/10)+Skills!O20</f>
        <v/>
      </c>
      <c r="G2738">
        <f>Calc!G20</f>
        <v/>
      </c>
      <c r="H2738">
        <f>Calc!H20</f>
        <v/>
      </c>
      <c r="I2738">
        <f>IF(Skills!AA20&lt;&gt;"",1+(Skills!AA20/10)*(U2721/1000)/100,1)</f>
        <v/>
      </c>
      <c r="J2738" t="inlineStr"/>
      <c r="K2738" t="inlineStr"/>
      <c r="L2738" t="inlineStr"/>
      <c r="M2738" t="inlineStr"/>
      <c r="N2738" t="inlineStr"/>
      <c r="O2738">
        <f>(1-Summary!$B$11)*T2738+Summary!$B$11*V2738</f>
        <v/>
      </c>
      <c r="P2738">
        <f>IF(B2762=0,0,O2738/B2762)</f>
        <v/>
      </c>
      <c r="Q2738">
        <f>IFERROR(1/IF(Inputs!$B$39="pvp",15,MAX(0.1,Skills!D20-IF(Skills!E20=TRUE,Inputs!$B$32,0))),0)</f>
        <v/>
      </c>
      <c r="R2738">
        <f>IF(AND(Inputs!$B$39&lt;&gt;"pvp",Inputs!$B$44&gt;0),IF(Inputs!$B$44&lt;=0,0,(INT(Inputs!$B$44/IF(Inputs!$B$39="pvp",15,MAX(0.1,Skills!D20-IF(Skills!E20=TRUE,Inputs!$B$32,0))))+1)),0)</f>
        <v/>
      </c>
      <c r="S2738">
        <f>IFERROR(O2738/N2738,0)</f>
        <v/>
      </c>
      <c r="T2738" t="n">
        <v>0</v>
      </c>
      <c r="V2738" t="n">
        <v>0</v>
      </c>
    </row>
    <row r="2739">
      <c r="A2739">
        <f>Skills!A21</f>
        <v/>
      </c>
      <c r="B2739">
        <f>Skills!B21</f>
        <v/>
      </c>
      <c r="C2739">
        <f>Inputs!$B$3&gt;=15</f>
        <v/>
      </c>
      <c r="D2739">
        <f>IF(Skills!C21=1,60+Inputs!$B$25+Inputs!$B$29,IF(Skills!C21=2,90+Inputs!$B$26+Inputs!$B$29,IF(Skills!C21=3,120+Inputs!$B$27+Inputs!$B$29,MAX(0,(Inputs!$B$3-100)*3)+Inputs!$B$28+Inputs!$B$29)))</f>
        <v/>
      </c>
      <c r="E2739">
        <f>INDEX(FactorTable!$B$2:$Y$301, MATCH(ROUND(MIN(300,MAX(1,D2739)),0), FactorTable!$A$2:$A$301,0), Skills!M21+1)</f>
        <v/>
      </c>
      <c r="F2739">
        <f>IF(Skills!N21=TRUE,(Skills!L21/10)*(E2739/1000),Skills!L21/10)+Skills!O21</f>
        <v/>
      </c>
      <c r="G2739">
        <f>Calc!G21</f>
        <v/>
      </c>
      <c r="H2739">
        <f>Calc!H21</f>
        <v/>
      </c>
      <c r="I2739">
        <f>IF(Skills!AA21&lt;&gt;"",1+(Skills!AA21/10)*(U2721/1000)/100,1)</f>
        <v/>
      </c>
      <c r="J2739" t="inlineStr"/>
      <c r="K2739" t="inlineStr"/>
      <c r="L2739" t="inlineStr"/>
      <c r="M2739" t="inlineStr"/>
      <c r="N2739" t="inlineStr"/>
      <c r="O2739">
        <f>(1-Summary!$B$11)*T2739+Summary!$B$11*V2739</f>
        <v/>
      </c>
      <c r="P2739">
        <f>IF(B2762=0,0,O2739/B2762)</f>
        <v/>
      </c>
      <c r="Q2739">
        <f>IFERROR(1/IF(Inputs!$B$39="pvp",15,MAX(0.1,Skills!D21-IF(Skills!E21=TRUE,Inputs!$B$32,0))),0)</f>
        <v/>
      </c>
      <c r="R2739">
        <f>IF(AND(Inputs!$B$39&lt;&gt;"pvp",Inputs!$B$44&gt;0),IF(Inputs!$B$44&lt;=0,0,(INT(Inputs!$B$44/IF(Inputs!$B$39="pvp",15,MAX(0.1,Skills!D21-IF(Skills!E21=TRUE,Inputs!$B$32,0))))+1)),0)</f>
        <v/>
      </c>
      <c r="S2739">
        <f>IFERROR(O2739/N2739,0)</f>
        <v/>
      </c>
      <c r="T2739" t="n">
        <v>0</v>
      </c>
      <c r="V2739" t="n">
        <v>0</v>
      </c>
    </row>
    <row r="2740">
      <c r="A2740">
        <f>Skills!A22</f>
        <v/>
      </c>
      <c r="B2740">
        <f>Skills!B22</f>
        <v/>
      </c>
      <c r="C2740">
        <f>Inputs!$B$3&gt;=33</f>
        <v/>
      </c>
      <c r="D2740">
        <f>IF(Skills!C22=1,60+Inputs!$B$25+Inputs!$B$29,IF(Skills!C22=2,90+Inputs!$B$26+Inputs!$B$29,IF(Skills!C22=3,120+Inputs!$B$27+Inputs!$B$29,MAX(0,(Inputs!$B$3-100)*3)+Inputs!$B$28+Inputs!$B$29)))</f>
        <v/>
      </c>
      <c r="E2740">
        <f>INDEX(FactorTable!$B$2:$Y$301, MATCH(ROUND(MIN(300,MAX(1,D2740)),0), FactorTable!$A$2:$A$301,0), Skills!M22+1)</f>
        <v/>
      </c>
      <c r="F2740">
        <f>IF(Skills!N22=TRUE,(Skills!L22/10)*(E2740/1000),Skills!L22/10)+Skills!O22</f>
        <v/>
      </c>
      <c r="G2740">
        <f>Calc!G22</f>
        <v/>
      </c>
      <c r="H2740">
        <f>Calc!H22</f>
        <v/>
      </c>
      <c r="I2740">
        <f>IF(Skills!AA22&lt;&gt;"",1+(Skills!AA22/10)*(U2721/1000)/100,1)</f>
        <v/>
      </c>
      <c r="J2740" t="inlineStr"/>
      <c r="K2740" t="inlineStr"/>
      <c r="L2740" t="inlineStr"/>
      <c r="M2740" t="inlineStr"/>
      <c r="N2740" t="inlineStr"/>
      <c r="O2740">
        <f>(1-Summary!$B$11)*T2740+Summary!$B$11*V2740</f>
        <v/>
      </c>
      <c r="P2740">
        <f>IF(B2762=0,0,O2740/B2762)</f>
        <v/>
      </c>
      <c r="Q2740" t="n">
        <v>0</v>
      </c>
      <c r="R2740" t="n">
        <v>0</v>
      </c>
      <c r="S2740">
        <f>IFERROR(O2740/N2740,0)</f>
        <v/>
      </c>
      <c r="T2740" t="n">
        <v>0</v>
      </c>
      <c r="V2740" t="n">
        <v>0</v>
      </c>
    </row>
    <row r="2741">
      <c r="A2741">
        <f>Skills!A23</f>
        <v/>
      </c>
      <c r="B2741">
        <f>Skills!B23</f>
        <v/>
      </c>
      <c r="C2741">
        <f>Inputs!$B$3&gt;=38</f>
        <v/>
      </c>
      <c r="D2741">
        <f>IF(Skills!C23=1,60+Inputs!$B$25+Inputs!$B$29,IF(Skills!C23=2,90+Inputs!$B$26+Inputs!$B$29,IF(Skills!C23=3,120+Inputs!$B$27+Inputs!$B$29,MAX(0,(Inputs!$B$3-100)*3)+Inputs!$B$28+Inputs!$B$29)))</f>
        <v/>
      </c>
      <c r="E2741">
        <f>INDEX(FactorTable!$B$2:$Y$301, MATCH(ROUND(MIN(300,MAX(1,D2741)),0), FactorTable!$A$2:$A$301,0), Skills!M23+1)</f>
        <v/>
      </c>
      <c r="F2741">
        <f>IF(Skills!N23=TRUE,(Skills!L23/10)*(E2741/1000),Skills!L23/10)+Skills!O23</f>
        <v/>
      </c>
      <c r="G2741">
        <f>Calc!G23</f>
        <v/>
      </c>
      <c r="H2741">
        <f>Calc!H23</f>
        <v/>
      </c>
      <c r="I2741">
        <f>IF(Skills!AA23&lt;&gt;"",1+(Skills!AA23/10)*(U2721/1000)/100,1)</f>
        <v/>
      </c>
      <c r="J2741" t="inlineStr"/>
      <c r="K2741" t="inlineStr"/>
      <c r="L2741" t="inlineStr"/>
      <c r="M2741" t="inlineStr"/>
      <c r="N2741" t="inlineStr"/>
      <c r="O2741">
        <f>(1-Summary!$B$11)*T2741+Summary!$B$11*V2741</f>
        <v/>
      </c>
      <c r="P2741">
        <f>IF(B2762=0,0,O2741/B2762)</f>
        <v/>
      </c>
      <c r="Q2741" t="n">
        <v>0</v>
      </c>
      <c r="R2741" t="n">
        <v>0</v>
      </c>
      <c r="S2741">
        <f>IFERROR(O2741/N2741,0)</f>
        <v/>
      </c>
      <c r="T2741" t="n">
        <v>0</v>
      </c>
      <c r="V2741" t="n">
        <v>0</v>
      </c>
    </row>
    <row r="2742">
      <c r="A2742">
        <f>Skills!A24</f>
        <v/>
      </c>
      <c r="B2742">
        <f>Skills!B24</f>
        <v/>
      </c>
      <c r="C2742">
        <f>Inputs!$B$3&gt;=40</f>
        <v/>
      </c>
      <c r="D2742">
        <f>IF(Skills!C24=1,60+Inputs!$B$25+Inputs!$B$29,IF(Skills!C24=2,90+Inputs!$B$26+Inputs!$B$29,IF(Skills!C24=3,120+Inputs!$B$27+Inputs!$B$29,MAX(0,(Inputs!$B$3-100)*3)+Inputs!$B$28+Inputs!$B$29)))</f>
        <v/>
      </c>
      <c r="E2742">
        <f>INDEX(FactorTable!$B$2:$Y$301, MATCH(ROUND(MIN(300,MAX(1,D2742)),0), FactorTable!$A$2:$A$301,0), Skills!M24+1)</f>
        <v/>
      </c>
      <c r="F2742">
        <f>IF(Skills!N24=TRUE,(Skills!L24/10)*(E2742/1000),Skills!L24/10)+Skills!O24</f>
        <v/>
      </c>
      <c r="G2742">
        <f>Calc!G24</f>
        <v/>
      </c>
      <c r="H2742">
        <f>Calc!H24</f>
        <v/>
      </c>
      <c r="I2742">
        <f>IF(Skills!AA24&lt;&gt;"",1+(Skills!AA24/10)*(U2721/1000)/100,1)</f>
        <v/>
      </c>
      <c r="J2742" t="inlineStr"/>
      <c r="K2742" t="inlineStr"/>
      <c r="L2742" t="inlineStr"/>
      <c r="M2742" t="inlineStr"/>
      <c r="N2742" t="inlineStr"/>
      <c r="O2742">
        <f>(1-Summary!$B$11)*T2742+Summary!$B$11*V2742</f>
        <v/>
      </c>
      <c r="P2742">
        <f>IF(B2762=0,0,O2742/B2762)</f>
        <v/>
      </c>
      <c r="Q2742" t="n">
        <v>0</v>
      </c>
      <c r="R2742" t="n">
        <v>0</v>
      </c>
      <c r="S2742">
        <f>IFERROR(O2742/N2742,0)</f>
        <v/>
      </c>
      <c r="T2742" t="n">
        <v>0</v>
      </c>
      <c r="V2742" t="n">
        <v>0</v>
      </c>
    </row>
    <row r="2743">
      <c r="A2743">
        <f>Skills!A25</f>
        <v/>
      </c>
      <c r="B2743">
        <f>Skills!B25</f>
        <v/>
      </c>
      <c r="C2743">
        <f>Inputs!$B$3&gt;=45</f>
        <v/>
      </c>
      <c r="D2743">
        <f>IF(Skills!C25=1,60+Inputs!$B$25+Inputs!$B$29,IF(Skills!C25=2,90+Inputs!$B$26+Inputs!$B$29,IF(Skills!C25=3,120+Inputs!$B$27+Inputs!$B$29,MAX(0,(Inputs!$B$3-100)*3)+Inputs!$B$28+Inputs!$B$29)))</f>
        <v/>
      </c>
      <c r="E2743">
        <f>INDEX(FactorTable!$B$2:$Y$301, MATCH(ROUND(MIN(300,MAX(1,D2743)),0), FactorTable!$A$2:$A$301,0), Skills!M25+1)</f>
        <v/>
      </c>
      <c r="F2743">
        <f>IF(Skills!N25=TRUE,(Skills!L25/10)*(E2743/1000),Skills!L25/10)+Skills!O25</f>
        <v/>
      </c>
      <c r="G2743">
        <f>Calc!G25</f>
        <v/>
      </c>
      <c r="H2743">
        <f>Calc!H25</f>
        <v/>
      </c>
      <c r="I2743">
        <f>IF(Skills!AA25&lt;&gt;"",1+(Skills!AA25/10)*(U2721/1000)/100,1)</f>
        <v/>
      </c>
      <c r="J2743" t="inlineStr"/>
      <c r="K2743" t="inlineStr"/>
      <c r="L2743" t="inlineStr"/>
      <c r="M2743" t="inlineStr"/>
      <c r="N2743" t="inlineStr"/>
      <c r="O2743">
        <f>(1-Summary!$B$11)*T2743+Summary!$B$11*V2743</f>
        <v/>
      </c>
      <c r="P2743">
        <f>IF(B2762=0,0,O2743/B2762)</f>
        <v/>
      </c>
      <c r="Q2743" t="n">
        <v>0</v>
      </c>
      <c r="R2743" t="n">
        <v>0</v>
      </c>
      <c r="S2743">
        <f>IFERROR(O2743/N2743,0)</f>
        <v/>
      </c>
      <c r="T2743" t="n">
        <v>0</v>
      </c>
      <c r="V2743" t="n">
        <v>0</v>
      </c>
    </row>
    <row r="2744">
      <c r="A2744">
        <f>Skills!A26</f>
        <v/>
      </c>
      <c r="B2744">
        <f>Skills!B26</f>
        <v/>
      </c>
      <c r="C2744">
        <f>Inputs!$B$3&gt;=45</f>
        <v/>
      </c>
      <c r="D2744">
        <f>IF(Skills!C26=1,60+Inputs!$B$25+Inputs!$B$29,IF(Skills!C26=2,90+Inputs!$B$26+Inputs!$B$29,IF(Skills!C26=3,120+Inputs!$B$27+Inputs!$B$29,MAX(0,(Inputs!$B$3-100)*3)+Inputs!$B$28+Inputs!$B$29)))</f>
        <v/>
      </c>
      <c r="E2744">
        <f>INDEX(FactorTable!$B$2:$Y$301, MATCH(ROUND(MIN(300,MAX(1,D2744)),0), FactorTable!$A$2:$A$301,0), Skills!M26+1)</f>
        <v/>
      </c>
      <c r="F2744">
        <f>IF(Skills!N26=TRUE,(Skills!L26/10)*(E2744/1000),Skills!L26/10)+Skills!O26</f>
        <v/>
      </c>
      <c r="G2744">
        <f>Calc!G26</f>
        <v/>
      </c>
      <c r="H2744">
        <f>Calc!H26</f>
        <v/>
      </c>
      <c r="I2744">
        <f>IF(Skills!AA26&lt;&gt;"",1+(Skills!AA26/10)*(U2721/1000)/100,1)</f>
        <v/>
      </c>
      <c r="J2744" t="inlineStr"/>
      <c r="K2744" t="inlineStr"/>
      <c r="L2744" t="inlineStr"/>
      <c r="M2744" t="inlineStr"/>
      <c r="N2744" t="inlineStr"/>
      <c r="O2744">
        <f>(1-Summary!$B$11)*T2744+Summary!$B$11*V2744</f>
        <v/>
      </c>
      <c r="P2744">
        <f>IF(B2762=0,0,O2744/B2762)</f>
        <v/>
      </c>
      <c r="Q2744" t="n">
        <v>0</v>
      </c>
      <c r="R2744" t="n">
        <v>0</v>
      </c>
      <c r="S2744">
        <f>IFERROR(O2744/N2744,0)</f>
        <v/>
      </c>
      <c r="T2744" t="n">
        <v>0</v>
      </c>
      <c r="V2744" t="n">
        <v>0</v>
      </c>
    </row>
    <row r="2745">
      <c r="A2745">
        <f>Skills!A27</f>
        <v/>
      </c>
      <c r="B2745">
        <f>Skills!B27</f>
        <v/>
      </c>
      <c r="C2745">
        <f>Inputs!$B$3&gt;=72</f>
        <v/>
      </c>
      <c r="D2745">
        <f>IF(Skills!C27=1,60+Inputs!$B$25+Inputs!$B$29,IF(Skills!C27=2,90+Inputs!$B$26+Inputs!$B$29,IF(Skills!C27=3,120+Inputs!$B$27+Inputs!$B$29,MAX(0,(Inputs!$B$3-100)*3)+Inputs!$B$28+Inputs!$B$29)))</f>
        <v/>
      </c>
      <c r="E2745">
        <f>INDEX(FactorTable!$B$2:$Y$301, MATCH(ROUND(MIN(300,MAX(1,D2745)),0), FactorTable!$A$2:$A$301,0), Skills!M27+1)</f>
        <v/>
      </c>
      <c r="F2745">
        <f>IF(Skills!N27=TRUE,(Skills!L27/10)*(E2745/1000),Skills!L27/10)+Skills!O27</f>
        <v/>
      </c>
      <c r="G2745">
        <f>Calc!G27</f>
        <v/>
      </c>
      <c r="H2745">
        <f>Calc!H27</f>
        <v/>
      </c>
      <c r="I2745">
        <f>IF(Skills!AA27&lt;&gt;"",1+(Skills!AA27/10)*(U2721/1000)/100,1)</f>
        <v/>
      </c>
      <c r="J2745" t="inlineStr"/>
      <c r="K2745" t="inlineStr"/>
      <c r="L2745" t="inlineStr"/>
      <c r="M2745" t="inlineStr"/>
      <c r="N2745" t="inlineStr"/>
      <c r="O2745">
        <f>(1-Summary!$B$11)*T2745+Summary!$B$11*V2745</f>
        <v/>
      </c>
      <c r="P2745">
        <f>IF(B2762=0,0,O2745/B2762)</f>
        <v/>
      </c>
      <c r="Q2745" t="n">
        <v>0</v>
      </c>
      <c r="R2745" t="n">
        <v>0</v>
      </c>
      <c r="S2745">
        <f>IFERROR(O2745/N2745,0)</f>
        <v/>
      </c>
      <c r="T2745" t="n">
        <v>0</v>
      </c>
      <c r="V2745" t="n">
        <v>0</v>
      </c>
    </row>
    <row r="2746">
      <c r="A2746">
        <f>Skills!A28</f>
        <v/>
      </c>
      <c r="B2746">
        <f>Skills!B28</f>
        <v/>
      </c>
      <c r="C2746">
        <f>Inputs!$B$3&gt;=75</f>
        <v/>
      </c>
      <c r="D2746">
        <f>IF(Skills!C28=1,60+Inputs!$B$25+Inputs!$B$29,IF(Skills!C28=2,90+Inputs!$B$26+Inputs!$B$29,IF(Skills!C28=3,120+Inputs!$B$27+Inputs!$B$29,MAX(0,(Inputs!$B$3-100)*3)+Inputs!$B$28+Inputs!$B$29)))</f>
        <v/>
      </c>
      <c r="E2746">
        <f>INDEX(FactorTable!$B$2:$Y$301, MATCH(ROUND(MIN(300,MAX(1,D2746)),0), FactorTable!$A$2:$A$301,0), Skills!M28+1)</f>
        <v/>
      </c>
      <c r="F2746">
        <f>IF(Skills!N28=TRUE,(Skills!L28/10)*(E2746/1000),Skills!L28/10)+Skills!O28</f>
        <v/>
      </c>
      <c r="G2746">
        <f>Calc!G28</f>
        <v/>
      </c>
      <c r="H2746">
        <f>Calc!H28</f>
        <v/>
      </c>
      <c r="I2746">
        <f>IF(Skills!AA28&lt;&gt;"",1+(Skills!AA28/10)*(U2721/1000)/100,1)</f>
        <v/>
      </c>
      <c r="J2746" t="inlineStr"/>
      <c r="K2746" t="inlineStr"/>
      <c r="L2746" t="inlineStr"/>
      <c r="M2746" t="inlineStr"/>
      <c r="N2746" t="inlineStr"/>
      <c r="O2746">
        <f>(1-Summary!$B$11)*T2746+Summary!$B$11*V2746</f>
        <v/>
      </c>
      <c r="P2746">
        <f>IF(B2762=0,0,O2746/B2762)</f>
        <v/>
      </c>
      <c r="Q2746" t="n">
        <v>0</v>
      </c>
      <c r="R2746" t="n">
        <v>0</v>
      </c>
      <c r="S2746">
        <f>IFERROR(O2746/N2746,0)</f>
        <v/>
      </c>
      <c r="T2746" t="n">
        <v>0</v>
      </c>
      <c r="V2746" t="n">
        <v>0</v>
      </c>
    </row>
    <row r="2747">
      <c r="A2747">
        <f>Skills!A29</f>
        <v/>
      </c>
      <c r="B2747">
        <f>Skills!B29</f>
        <v/>
      </c>
      <c r="C2747">
        <f>Inputs!$B$3&gt;=120</f>
        <v/>
      </c>
      <c r="D2747">
        <f>IF(Skills!C29=1,60+Inputs!$B$25+Inputs!$B$29,IF(Skills!C29=2,90+Inputs!$B$26+Inputs!$B$29,IF(Skills!C29=3,120+Inputs!$B$27+Inputs!$B$29,MAX(0,(Inputs!$B$3-100)*3)+Inputs!$B$28+Inputs!$B$29)))</f>
        <v/>
      </c>
      <c r="E2747">
        <f>INDEX(FactorTable!$B$2:$Y$301, MATCH(ROUND(MIN(300,MAX(1,D2747)),0), FactorTable!$A$2:$A$301,0), Skills!M29+1)</f>
        <v/>
      </c>
      <c r="F2747">
        <f>IF(Skills!N29=TRUE,(Skills!L29/10)*(E2747/1000),Skills!L29/10)+Skills!O29</f>
        <v/>
      </c>
      <c r="G2747">
        <f>Calc!G29</f>
        <v/>
      </c>
      <c r="H2747">
        <f>Calc!H29</f>
        <v/>
      </c>
      <c r="I2747">
        <f>IF(Skills!AA29&lt;&gt;"",1+(Skills!AA29/10)*(U2721/1000)/100,1)</f>
        <v/>
      </c>
      <c r="J2747" t="inlineStr"/>
      <c r="K2747" t="inlineStr"/>
      <c r="L2747" t="inlineStr"/>
      <c r="M2747" t="inlineStr"/>
      <c r="N2747" t="inlineStr"/>
      <c r="O2747">
        <f>(1-Summary!$B$11)*T2747+Summary!$B$11*V2747</f>
        <v/>
      </c>
      <c r="P2747">
        <f>IF(B2762=0,0,O2747/B2762)</f>
        <v/>
      </c>
      <c r="Q2747" t="n">
        <v>0</v>
      </c>
      <c r="R2747" t="n">
        <v>0</v>
      </c>
      <c r="S2747">
        <f>IFERROR(O2747/N2747,0)</f>
        <v/>
      </c>
      <c r="T2747" t="n">
        <v>0</v>
      </c>
      <c r="V2747" t="n">
        <v>0</v>
      </c>
    </row>
    <row r="2748">
      <c r="A2748">
        <f>Skills!A30</f>
        <v/>
      </c>
      <c r="B2748">
        <f>Skills!B30</f>
        <v/>
      </c>
      <c r="C2748">
        <f>Inputs!$B$3&gt;=125</f>
        <v/>
      </c>
      <c r="D2748">
        <f>IF(Skills!C30=1,60+Inputs!$B$25+Inputs!$B$29,IF(Skills!C30=2,90+Inputs!$B$26+Inputs!$B$29,IF(Skills!C30=3,120+Inputs!$B$27+Inputs!$B$29,MAX(0,(Inputs!$B$3-100)*3)+Inputs!$B$28+Inputs!$B$29)))</f>
        <v/>
      </c>
      <c r="E2748">
        <f>INDEX(FactorTable!$B$2:$Y$301, MATCH(ROUND(MIN(300,MAX(1,D2748)),0), FactorTable!$A$2:$A$301,0), Skills!M30+1)</f>
        <v/>
      </c>
      <c r="F2748">
        <f>IF(Skills!N30=TRUE,(Skills!L30/10)*(E2748/1000),Skills!L30/10)+Skills!O30</f>
        <v/>
      </c>
      <c r="G2748">
        <f>Calc!G30</f>
        <v/>
      </c>
      <c r="H2748">
        <f>Calc!H30</f>
        <v/>
      </c>
      <c r="I2748">
        <f>IF(Skills!AA30&lt;&gt;"",1+(Skills!AA30/10)*(U2721/1000)/100,1)</f>
        <v/>
      </c>
      <c r="J2748" t="inlineStr"/>
      <c r="K2748" t="inlineStr"/>
      <c r="L2748" t="inlineStr"/>
      <c r="M2748" t="inlineStr"/>
      <c r="N2748" t="inlineStr"/>
      <c r="O2748">
        <f>(1-Summary!$B$11)*T2748+Summary!$B$11*V2748</f>
        <v/>
      </c>
      <c r="P2748">
        <f>IF(B2762=0,0,O2748/B2762)</f>
        <v/>
      </c>
      <c r="Q2748" t="n">
        <v>0</v>
      </c>
      <c r="R2748" t="n">
        <v>0</v>
      </c>
      <c r="S2748">
        <f>IFERROR(O2748/N2748,0)</f>
        <v/>
      </c>
      <c r="T2748" t="n">
        <v>0</v>
      </c>
      <c r="V2748" t="n">
        <v>0</v>
      </c>
    </row>
    <row r="2749">
      <c r="A2749">
        <f>Skills!A31</f>
        <v/>
      </c>
      <c r="B2749">
        <f>Skills!B31</f>
        <v/>
      </c>
      <c r="C2749">
        <f>Inputs!$B$3&gt;=107</f>
        <v/>
      </c>
      <c r="D2749">
        <f>IF(Skills!C31=1,60+Inputs!$B$25+Inputs!$B$29,IF(Skills!C31=2,90+Inputs!$B$26+Inputs!$B$29,IF(Skills!C31=3,120+Inputs!$B$27+Inputs!$B$29,MAX(0,(Inputs!$B$3-100)*3)+Inputs!$B$28+Inputs!$B$29)))</f>
        <v/>
      </c>
      <c r="E2749">
        <f>INDEX(FactorTable!$B$2:$Y$301, MATCH(ROUND(MIN(300,MAX(1,D2749)),0), FactorTable!$A$2:$A$301,0), Skills!M31+1)</f>
        <v/>
      </c>
      <c r="F2749">
        <f>IF(Skills!N31=TRUE,(Skills!L31/10)*(E2749/1000),Skills!L31/10)+Skills!O31</f>
        <v/>
      </c>
      <c r="G2749">
        <f>Calc!G31</f>
        <v/>
      </c>
      <c r="H2749">
        <f>Calc!H31</f>
        <v/>
      </c>
      <c r="I2749">
        <f>IF(Skills!AA31&lt;&gt;"",1+(Skills!AA31/10)*(U2721/1000)/100,1)</f>
        <v/>
      </c>
      <c r="J2749" t="inlineStr"/>
      <c r="K2749" t="inlineStr"/>
      <c r="L2749" t="inlineStr"/>
      <c r="M2749" t="inlineStr"/>
      <c r="N2749" t="inlineStr"/>
      <c r="O2749">
        <f>(1-Summary!$B$11)*T2749+Summary!$B$11*V2749</f>
        <v/>
      </c>
      <c r="P2749">
        <f>IF(B2762=0,0,O2749/B2762)</f>
        <v/>
      </c>
      <c r="Q2749" t="n">
        <v>0</v>
      </c>
      <c r="R2749" t="n">
        <v>0</v>
      </c>
      <c r="S2749">
        <f>IFERROR(O2749/N2749,0)</f>
        <v/>
      </c>
      <c r="T2749" t="n">
        <v>0</v>
      </c>
      <c r="V2749" t="n">
        <v>0</v>
      </c>
    </row>
    <row r="2751">
      <c r="A2751" t="inlineStr">
        <is>
          <t>Actions Per Second (pre-Adrenalin)</t>
        </is>
      </c>
      <c r="B2751">
        <f>1+MIN(150,150*(1-(1-(Inputs!$B$11+((C2740=TRUE)*(F2740-Calc!F22))+(ArtifactsInput!$M$15-ArtifactsInput!$M$15)*CHOOSE(ArtifactsInput!$N$15+1,8,9.6,11.2,12.8,14.4,16))/150)*(1-((C2737=TRUE)*F2737*IF(AND(Inputs!$B$39&lt;&gt;"pvp",Inputs!$B$44&gt;0),(((R2737-1)*(Skills!Y19*(1+Inputs!$B$34/100))+MIN((Skills!Y19*(1+Inputs!$B$34/100)),MAX(0,Inputs!$B$44-((R2737-1)*Skills!D19))))/Inputs!$B$44),IF(Inputs!$B$39="pvp",MIN((Skills!Y19*(1+Inputs!$B$34/100)),15)/15,(Skills!Y19*(1+Inputs!$B$34/100))/Skills!D19)))/150)))/100</f>
        <v/>
      </c>
    </row>
    <row r="2752">
      <c r="A2752" t="inlineStr">
        <is>
          <t>Alchemic Adrenaline Uptime</t>
        </is>
      </c>
      <c r="B2752">
        <f>(Skills!Y6*(1+Inputs!$B$34/100))/((Skills!Y6*(1+Inputs!$B$34/100))+(5/B2751))</f>
        <v/>
      </c>
    </row>
    <row r="2753">
      <c r="A2753" t="inlineStr">
        <is>
          <t>Attack Speed Buff Bonus %</t>
        </is>
      </c>
      <c r="B2753">
        <f>((C2737=TRUE)*F2737*IF(AND(Inputs!$B$39&lt;&gt;"pvp",Inputs!$B$44&gt;0),(((R2737-1)*(Skills!Y19*(1+Inputs!$B$34/100))+MIN((Skills!Y19*(1+Inputs!$B$34/100)),MAX(0,Inputs!$B$44-((R2737-1)*Skills!D19))))/Inputs!$B$44),IF(Inputs!$B$39="pvp",MIN((Skills!Y19*(1+Inputs!$B$34/100)),15)/15,(Skills!Y19*(1+Inputs!$B$34/100))/Skills!D19)))+((C2725=TRUE)*F2725*B2752)</f>
        <v/>
      </c>
    </row>
    <row r="2754">
      <c r="A2754" t="inlineStr">
        <is>
          <t>Actions Per Second (final)</t>
        </is>
      </c>
      <c r="B2754">
        <f>1+MIN(150,150*(1-(1-(Inputs!$B$11+((C2740=TRUE)*(F2740-Calc!F22))+(ArtifactsInput!$M$15-ArtifactsInput!$M$15)*CHOOSE(ArtifactsInput!$N$15+1,8,9.6,11.2,12.8,14.4,16))/150)*(1-B2753/150)))/100</f>
        <v/>
      </c>
    </row>
    <row r="2755">
      <c r="A2755" t="inlineStr">
        <is>
          <t>Skill + Buff Cast Rate</t>
        </is>
      </c>
      <c r="B2755">
        <f>IF(AND(Inputs!$B$39&lt;&gt;"pvp",Inputs!$B$44&gt;0),SUMPRODUCT((Skills!E2:E31=TRUE)*(C2720:C2749=TRUE)*R2720:R2749*Skills!F2:F31)/Inputs!$B$44,SUMPRODUCT((Skills!E2:E31=TRUE)*(C2720:C2749=TRUE)*Q2720:Q2749*Skills!F2:F31))</f>
        <v/>
      </c>
    </row>
    <row r="2756">
      <c r="A2756" t="inlineStr">
        <is>
          <t>Showdown Casts Per Second</t>
        </is>
      </c>
      <c r="B2756">
        <f>MAX(0,B2754-B2755)</f>
        <v/>
      </c>
    </row>
    <row r="2757">
      <c r="A2757" t="inlineStr">
        <is>
          <t>Average Buff Multiplier</t>
        </is>
      </c>
      <c r="B2757">
        <f>(1+(((C2739=TRUE)*F2739*IF(AND(Inputs!$B$39&lt;&gt;"pvp",Inputs!$B$44&gt;0),(((R2739-1)*(Skills!Y21*(1+Inputs!$B$34/100))+MIN((Skills!Y21*(1+Inputs!$B$34/100)),MAX(0,Inputs!$B$44-((R2739-1)*Skills!D21))))/Inputs!$B$44),IF(Inputs!$B$39="pvp",MIN((Skills!Y21*(1+Inputs!$B$34/100)),15)/15,(Skills!Y21*(1+Inputs!$B$34/100))/Skills!D21)))+((C2746=TRUE)*(F2746-Calc!F28))+((C2736=TRUE)*(F2736-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Skills!Y15*(1+Inputs!$B$34/100))+MIN((Skills!Y15*(1+Inputs!$B$34/100)),MAX(0,Inputs!$B$44-((R2733-1)*Skills!D15))))/Inputs!$B$44),IF(Inputs!$B$39="pvp",MIN((Skills!Y15*(1+Inputs!$B$34/100)),15)/15,(Skills!Y15*(1+Inputs!$B$34/100))/Skills!D15)))/100)*(1+((C2724=TRUE)*F2724*B2752)/100)</f>
        <v/>
      </c>
    </row>
    <row r="2758">
      <c r="A2758" t="inlineStr">
        <is>
          <t>Global Crit Rate Bonus %</t>
        </is>
      </c>
      <c r="B2758">
        <f>IF(Inputs!$B$3&gt;=47,8,0)+((C2738=TRUE)*F2738*IF(AND(Inputs!$B$39&lt;&gt;"pvp",Inputs!$B$44&gt;0),(((R2738-1)*(Skills!Y20*(1+Inputs!$B$34/100))+MIN((Skills!Y20*(1+Inputs!$B$34/100)),MAX(0,Inputs!$B$44-((R2738-1)*Skills!D20))))/Inputs!$B$44),IF(Inputs!$B$39="pvp",MIN((Skills!Y20*(1+Inputs!$B$34/100)),15)/15,(Skills!Y20*(1+Inputs!$B$34/100))/Skills!D20)))</f>
        <v/>
      </c>
    </row>
    <row r="2759">
      <c r="A2759" t="inlineStr">
        <is>
          <t>Global Monster Damage-Taken Bonus %</t>
        </is>
      </c>
      <c r="B2759">
        <f>IF(Inputs!$B$3&gt;=82,15,0)+((C2734=TRUE)*F2734*IF(AND(Inputs!$B$39&lt;&gt;"pvp",Inputs!$B$44&gt;0),(((R2734-1)*(Skills!Y16*(1+Inputs!$B$34/100))+MIN((Skills!Y16*(1+Inputs!$B$34/100)),MAX(0,Inputs!$B$44-((R2734-1)*Skills!D16))))/Inputs!$B$44),IF(Inputs!$B$39="pvp",MIN((Skills!Y16*(1+Inputs!$B$34/100)),15)/15,(Skills!Y16*(1+Inputs!$B$34/100))/Skills!D16)))</f>
        <v/>
      </c>
    </row>
    <row r="2760">
      <c r="A2760" t="inlineStr">
        <is>
          <t>Shadow Partner Average Multiplier</t>
        </is>
      </c>
      <c r="B2760">
        <f>1+((C2729=TRUE)*F2729*I2729*Skills!J11/100)/100</f>
        <v/>
      </c>
    </row>
    <row r="2761">
      <c r="A2761" t="inlineStr">
        <is>
          <t>Global Critical Damage Bonus % (Frailty Curse Mastery Lv.111)</t>
        </is>
      </c>
      <c r="B2761">
        <f>IF(Inputs!$B$3&gt;=111,30,0)*IF(AND(Inputs!$B$39&lt;&gt;"pvp",Inputs!$B$44&gt;0),(((R2734-1)*(Skills!Y16*(1+Inputs!$B$34/100))+MIN((Skills!Y16*(1+Inputs!$B$34/100)),MAX(0,Inputs!$B$44-((R2734-1)*Skills!D16))))/Inputs!$B$44),IF(Inputs!$B$39="pvp",MIN((Skills!Y16*(1+Inputs!$B$34/100)),15)/15,(Skills!Y16*(1+Inputs!$B$34/100))/Skills!D16))</f>
        <v/>
      </c>
    </row>
    <row r="2762">
      <c r="A2762" s="6" t="inlineStr">
        <is>
          <t>TOTAL DPS</t>
        </is>
      </c>
      <c r="B2762" s="6">
        <f>SUM(O2720:O2749)</f>
        <v/>
      </c>
    </row>
    <row r="2763">
      <c r="A2763" t="inlineStr">
        <is>
          <t>Buff-Casting Startup Delay (s, fixed-duration only)</t>
        </is>
      </c>
      <c r="B2763">
        <f>IF(AND(Inputs!$B$39&lt;&gt;"pvp",Inputs!$B$44&gt;0),SUMPRODUCT((Skills!Y2:Y31&gt;0)*(Skills!E2:E31=TRUE)*(C2720:C2749=TRUE))/B2754,0)</f>
        <v/>
      </c>
    </row>
    <row r="2764">
      <c r="A2764" t="inlineStr">
        <is>
          <t>Boss-Only Total DPS (this block's swept value)</t>
        </is>
      </c>
      <c r="B2764">
        <f>SUM(T2720:T2749)</f>
        <v/>
      </c>
    </row>
    <row r="2765">
      <c r="A2765" t="inlineStr">
        <is>
          <t>Normal-Only Total DPS (this block's swept value)</t>
        </is>
      </c>
      <c r="B2765">
        <f>SUM(V2720:V2749)</f>
        <v/>
      </c>
    </row>
    <row r="2767">
      <c r="A2767" s="6" t="inlineStr">
        <is>
          <t>Stat: Peach Tree Herb Pouch (Equip)</t>
        </is>
      </c>
    </row>
    <row r="2768">
      <c r="A2768" s="5" t="inlineStr">
        <is>
          <t>Key</t>
        </is>
      </c>
      <c r="B2768" s="5" t="inlineStr">
        <is>
          <t>Name</t>
        </is>
      </c>
      <c r="C2768" s="5" t="inlineStr">
        <is>
          <t>Unlocked</t>
        </is>
      </c>
      <c r="D2768" s="5" t="inlineStr">
        <is>
          <t>InputLevel</t>
        </is>
      </c>
      <c r="E2768" s="5" t="inlineStr">
        <is>
          <t>Factor</t>
        </is>
      </c>
      <c r="F2768" s="5" t="inlineStr">
        <is>
          <t>CoefficientPercent</t>
        </is>
      </c>
      <c r="G2768" s="5" t="inlineStr">
        <is>
          <t>EffectiveHits</t>
        </is>
      </c>
      <c r="H2768" s="5" t="inlineStr">
        <is>
          <t>ProcProbability</t>
        </is>
      </c>
      <c r="I2768" s="5" t="inlineStr">
        <is>
          <t>MapleHeroMultiplier</t>
        </is>
      </c>
      <c r="J2768" s="5" t="inlineStr">
        <is>
          <t>BaseDamage</t>
        </is>
      </c>
      <c r="K2768" s="5" t="inlineStr">
        <is>
          <t>BaseHitDamage</t>
        </is>
      </c>
      <c r="L2768" s="5" t="inlineStr">
        <is>
          <t>NonCritAvg</t>
        </is>
      </c>
      <c r="M2768" s="5" t="inlineStr">
        <is>
          <t>CritAvg</t>
        </is>
      </c>
      <c r="N2768" s="5" t="inlineStr">
        <is>
          <t>ExpectedDamage(perHit)</t>
        </is>
      </c>
      <c r="O2768" s="5" t="inlineStr">
        <is>
          <t>DPS</t>
        </is>
      </c>
      <c r="P2768" s="5" t="inlineStr">
        <is>
          <t>% of Total</t>
        </is>
      </c>
      <c r="Q2768" s="5" t="inlineStr">
        <is>
          <t>InvCooldown</t>
        </is>
      </c>
      <c r="R2768" s="5" t="inlineStr">
        <is>
          <t>CastsInFight</t>
        </is>
      </c>
      <c r="S2768" s="5" t="inlineStr">
        <is>
          <t>HitRate(perSec)</t>
        </is>
      </c>
      <c r="U2768" t="inlineStr">
        <is>
          <t>helpers</t>
        </is>
      </c>
    </row>
    <row r="2769">
      <c r="A2769">
        <f>Skills!A2</f>
        <v/>
      </c>
      <c r="B2769">
        <f>Skills!B2</f>
        <v/>
      </c>
      <c r="C2769">
        <f>Inputs!$B$3&gt;=100</f>
        <v/>
      </c>
      <c r="D2769" t="inlineStr"/>
      <c r="E2769" t="inlineStr"/>
      <c r="F2769">
        <f>U2773+Skills!O2</f>
        <v/>
      </c>
      <c r="G2769">
        <f>Calc!G2</f>
        <v/>
      </c>
      <c r="H2769">
        <f>Calc!H2</f>
        <v/>
      </c>
      <c r="I2769">
        <f>IF(Skills!AA2&lt;&gt;"",1+(Skills!AA2/10)*(U2770/1000)/100,1)</f>
        <v/>
      </c>
      <c r="J2769">
        <f>((Inputs!$B$6*(1+Inputs!$B$7/100))+(((Inputs!$B$12*(1+Inputs!$B$13/100))-(Inputs!$B$12*(1+Inputs!$B$13/100)))+0.25*(Inputs!$B$14-Inputs!$B$14))*(1+Inputs!$B$7/100))*(F2769/100)</f>
        <v/>
      </c>
      <c r="K2769">
        <f>J2769*(1+((Inputs!$B$12*(1+Inputs!$B$13/100))*0.01+Inputs!$B$14*0.0025)/100)*(1+Inputs!$B$15/100)*(1+Inputs!$B$16/100)*(5000/(6000+Inputs!$B$43*(1-(100*(1-(1-(Inputs!$B$19+0)/100)*(1-CHOOSE(ArtifactsInput!$N$40+1,5,6,7,8,9,10)/100)^(ArtifactsInput!$M$40-ArtifactsInput!$M$40)))/100)))*(1+(Inputs!$B$24+((C2797=TRUE)*(F2797-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2790=TRUE)*(F2790-Calc!F23))+(((IF(AND(ArtifactsInput!$M$42,((Inputs!$B$9+((C2792=TRUE)*(F2792-Calc!F25))+B2807+(ArtifactsInput!$M$24-ArtifactsInput!$M$24)*CHOOSE(ArtifactsInput!$N$24+1,10,12,14,16,18,20)+IF(ArtifactsInput!$M$10,CHOOSE(ArtifactsInput!$N$10+1,15,18,21,24,27,30)*(IF(Inputs!$B$39="pvp",MIN(15,15)/15,IF(AND(Inputs!$B$39&lt;&gt;"pvp",Inputs!$B$44&gt;0),MIN(15,Inputs!$B$44)/(Inputs!$B$44),0))),0)))&gt;=100),MIN(100,((Inputs!$B$9+((C2792=TRUE)*(F2792-Calc!F25))+B2807+(ArtifactsInput!$M$24-ArtifactsInput!$M$24)*CHOOSE(ArtifactsInput!$N$24+1,10,12,14,16,18,20)+IF(ArtifactsInput!$M$10,CHOOSE(ArtifactsInput!$N$10+1,15,18,21,24,27,30)*(IF(Inputs!$B$39="pvp",MIN(15,15)/15,IF(AND(Inputs!$B$39&lt;&gt;"pvp",Inputs!$B$44&gt;0),MIN(15,Inputs!$B$44)/(Inputs!$B$44),0))),0)))-100),0))*CHOOSE(ArtifactsInput!$N$42+1,0.6,0.72,0.84,0.96,1.08,1.2))),Inputs!$B$18+((C2796=TRUE)*(F2796-Calc!F29))+(IF(AND(ArtifactsInput!$M$42,((Inputs!$B$9+((C2792=TRUE)*(F2792-Calc!F25))+B2807+(ArtifactsInput!$M$24-ArtifactsInput!$M$24)*CHOOSE(ArtifactsInput!$N$24+1,10,12,14,16,18,20)+IF(ArtifactsInput!$M$10,CHOOSE(ArtifactsInput!$N$10+1,15,18,21,24,27,30)*(IF(Inputs!$B$39="pvp",MIN(15,15)/15,IF(AND(Inputs!$B$39&lt;&gt;"pvp",Inputs!$B$44&gt;0),MIN(15,Inputs!$B$44)/(Inputs!$B$44),0))),0)))&gt;=100),CHOOSE(ArtifactsInput!$N$42+1,40,48,56,64,72,80),0))))/100)*(((1+(((C2788=TRUE)*F2788*IF(AND(Inputs!$B$39&lt;&gt;"pvp",Inputs!$B$44&gt;0),(((R2788-1)*(Skills!Y21*(1+Inputs!$B$34/100))+MIN((Skills!Y21*(1+Inputs!$B$34/100)),MAX(0,Inputs!$B$44-((R2788-1)*Skills!D21))))/Inputs!$B$44),IF(Inputs!$B$39="pvp",MIN((Skills!Y21*(1+Inputs!$B$34/100)),15)/15,(Skills!Y21*(1+Inputs!$B$34/100))/Skills!D21)))+((C2795=TRUE)*(F2795-Calc!F28))+((C2785=TRUE)*(F2785-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2782=TRUE)*F2782*IF(AND(Inputs!$B$39&lt;&gt;"pvp",Inputs!$B$44&gt;0),(((R2782-1)*(Skills!Y15*(1+Inputs!$B$34/100))+MIN((Skills!Y15*(1+Inputs!$B$34/100)),MAX(0,Inputs!$B$44-((R2782-1)*Skills!D15))))/Inputs!$B$44),IF(Inputs!$B$39="pvp",MIN((Skills!Y15*(1+Inputs!$B$34/100)),15)/15,(Skills!Y15*(1+Inputs!$B$34/100))/Skills!D15)))/100)*(1+((C2773=TRUE)*F2773*B2801)/100))*B2809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2769)</f>
        <v/>
      </c>
      <c r="L2769">
        <f>K2769*(MIN(Inputs!$B$22+((C2791=TRUE)*(F2791-Calc!F24)),(Inputs!$B$23+0+(IF(ArtifactsInput!$M$15,CHOOSE(ArtifactsInput!$N$15+1,25,30,35,40,45,50)/100*(Inputs!$B$11-Inputs!$B$11),0))))/100+(Inputs!$B$23+0+(IF(ArtifactsInput!$M$15,CHOOSE(ArtifactsInput!$N$15+1,25,30,35,40,45,50)/100*(Inputs!$B$11-Inputs!$B$11),0)))/100)/2</f>
        <v/>
      </c>
      <c r="M2769">
        <f>L2769*(1+(Inputs!$B$10+((C2793=TRUE)*(F2793-Calc!F26))+B2810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69">
        <f>L2769*(1-MIN((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2769*(MIN((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69">
        <f>(1-Summary!$B$11)*T2769+Summary!$B$11*V2769</f>
        <v/>
      </c>
      <c r="P2769">
        <f>IF(B2811=0,0,O2769/B2811)</f>
        <v/>
      </c>
      <c r="Q2769" t="n">
        <v>0</v>
      </c>
      <c r="R2769" t="n">
        <v>0</v>
      </c>
      <c r="S2769">
        <f>IFERROR(O2769/N2769,0)</f>
        <v/>
      </c>
      <c r="T2769">
        <f>IF(C2769,(Skills!G2*N2769*B2805)*IF(Inputs!$B$39="pvp",1,1+(Inputs!$B$20+((C2794=TRUE)*(F2794-Calc!F27))+Skills!P2+B2808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Hunt"),CHOOSE(ArtifactsInput!$N$35+1,15,18,21,24,27,30)*(1-EXP(-(0.2*B2803)*5)),0)+IF(AND(ArtifactsInput!$M$22,Inputs!$B$4&lt;&gt;"Chapter Hunt"),CHOOSE(ArtifactsInput!$N$22+1,10,12,14,16,18,20)*((0*(((0.15*B2803*5))^0/1)+1*(((0.15*B2803*5))^1/1)+2*(((0.15*B2803*5))^2/2)+3*(((0.15*B2803*5))^3/6)+4*(((0.15*B2803*5))^4/24)+5*(((0.15*B2803*5))^5/120))/((((0.15*B2803*5))^0/1)+(((0.15*B2803*5))^1/1)+(((0.15*B2803*5))^2/2)+(((0.15*B2803*5))^3/6)+(((0.15*B2803*5))^4/24)+(((0.15*B2803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2769*(1-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2769*(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2769*(1-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2769*(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69">
        <f>MAX(0,(Inputs!$B$3-100)*3)+Inputs!$B$28+Inputs!$B$29</f>
        <v/>
      </c>
      <c r="V2769">
        <f>IF(C2769,(Skills!G2*N2769*B2805)*IF(Inputs!$B$39="pvp",1,(1+(Inputs!$B$21+Skills!Q2+B2808+(IF(ArtifactsInput!$M$33,CHOOSE(ArtifactsInput!$N$33+1,30,36,42,48,54,60),0))+(IF(AND(IF(ArtifactsInput!$M$35,FALSE,TRUE),Inputs!$B$4&lt;&gt;"Chapter Hunt"),CHOOSE(ArtifactsInput!$N$35+1,15,18,21,24,27,30)*(1-EXP(-(0.2*B2803)*5)),0)+IF(AND(ArtifactsInput!$M$22,Inputs!$B$4&lt;&gt;"Chapter Hunt"),CHOOSE(ArtifactsInput!$N$22+1,10,12,14,16,18,20)*((0*(((0.15*B2803*5))^0/1)+1*(((0.15*B2803*5))^1/1)+2*(((0.15*B2803*5))^2/2)+3*(((0.15*B2803*5))^3/6)+4*(((0.15*B2803*5))^4/24)+5*(((0.15*B2803*5))^5/120))/((((0.15*B2803*5))^0/1)+(((0.15*B2803*5))^1/1)+(((0.15*B2803*5))^2/2)+(((0.15*B2803*5))^3/6)+(((0.15*B2803*5))^4/24)+(((0.15*B2803*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70">
      <c r="A2770">
        <f>Skills!A3</f>
        <v/>
      </c>
      <c r="B2770">
        <f>Skills!B3</f>
        <v/>
      </c>
      <c r="C2770">
        <f>Inputs!$B$3&gt;=35</f>
        <v/>
      </c>
      <c r="D2770">
        <f>IF(Skills!C3=1,60+Inputs!$B$25+Inputs!$B$29,IF(Skills!C3=2,90+Inputs!$B$26+Inputs!$B$29,IF(Skills!C3=3,120+Inputs!$B$27+Inputs!$B$29,MAX(0,(Inputs!$B$3-100)*3)+Inputs!$B$28+Inputs!$B$29)))</f>
        <v/>
      </c>
      <c r="E2770">
        <f>INDEX(FactorTable!$B$2:$Y$301, MATCH(ROUND(MIN(300,MAX(1,D2770)),0), FactorTable!$A$2:$A$301,0), Skills!M3+1)</f>
        <v/>
      </c>
      <c r="F2770">
        <f>IF(Skills!N3=TRUE,(Skills!L3/10)*(E2770/1000),Skills!L3/10)+Skills!O3</f>
        <v/>
      </c>
      <c r="G2770">
        <f>Calc!G3</f>
        <v/>
      </c>
      <c r="H2770">
        <f>Calc!H3</f>
        <v/>
      </c>
      <c r="I2770">
        <f>IF(Skills!AA3&lt;&gt;"",1+(Skills!AA3/10)*(U2770/1000)/100,1)</f>
        <v/>
      </c>
      <c r="J2770">
        <f>((Inputs!$B$6*(1+Inputs!$B$7/100))+(((Inputs!$B$12*(1+Inputs!$B$13/100))-(Inputs!$B$12*(1+Inputs!$B$13/100)))+0.25*(Inputs!$B$14-Inputs!$B$14))*(1+Inputs!$B$7/100))*(F2770/100)</f>
        <v/>
      </c>
      <c r="K2770">
        <f>J2770*(1+((Inputs!$B$12*(1+Inputs!$B$13/100))*0.01+Inputs!$B$14*0.0025)/100)*(1+Inputs!$B$15/100)*(1+Inputs!$B$16/100)*(5000/(6000+Inputs!$B$43*(1-(100*(1-(1-(Inputs!$B$19+0)/100)*(1-CHOOSE(ArtifactsInput!$N$40+1,5,6,7,8,9,10)/100)^(ArtifactsInput!$M$40-ArtifactsInput!$M$40)))/100)))*(1+(Inputs!$B$24+((C2797=TRUE)*(F2797-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2790=TRUE)*(F2790-Calc!F23))+(((IF(AND(ArtifactsInput!$M$42,((Inputs!$B$9+((C2792=TRUE)*(F2792-Calc!F25))+B2807+(ArtifactsInput!$M$24-ArtifactsInput!$M$24)*CHOOSE(ArtifactsInput!$N$24+1,10,12,14,16,18,20)+IF(ArtifactsInput!$M$10,CHOOSE(ArtifactsInput!$N$10+1,15,18,21,24,27,30)*(IF(Inputs!$B$39="pvp",MIN(15,15)/15,IF(AND(Inputs!$B$39&lt;&gt;"pvp",Inputs!$B$44&gt;0),MIN(15,Inputs!$B$44)/(Inputs!$B$44),0))),0)))&gt;=100),MIN(100,((Inputs!$B$9+((C2792=TRUE)*(F2792-Calc!F25))+B2807+(ArtifactsInput!$M$24-ArtifactsInput!$M$24)*CHOOSE(ArtifactsInput!$N$24+1,10,12,14,16,18,20)+IF(ArtifactsInput!$M$10,CHOOSE(ArtifactsInput!$N$10+1,15,18,21,24,27,30)*(IF(Inputs!$B$39="pvp",MIN(15,15)/15,IF(AND(Inputs!$B$39&lt;&gt;"pvp",Inputs!$B$44&gt;0),MIN(15,Inputs!$B$44)/(Inputs!$B$44),0))),0)))-100),0))*CHOOSE(ArtifactsInput!$N$42+1,0.6,0.72,0.84,0.96,1.08,1.2))),Inputs!$B$18+((C2796=TRUE)*(F2796-Calc!F29))+(IF(AND(ArtifactsInput!$M$42,((Inputs!$B$9+((C2792=TRUE)*(F2792-Calc!F25))+B2807+(ArtifactsInput!$M$24-ArtifactsInput!$M$24)*CHOOSE(ArtifactsInput!$N$24+1,10,12,14,16,18,20)+IF(ArtifactsInput!$M$10,CHOOSE(ArtifactsInput!$N$10+1,15,18,21,24,27,30)*(IF(Inputs!$B$39="pvp",MIN(15,15)/15,IF(AND(Inputs!$B$39&lt;&gt;"pvp",Inputs!$B$44&gt;0),MIN(15,Inputs!$B$44)/(Inputs!$B$44),0))),0)))&gt;=100),CHOOSE(ArtifactsInput!$N$42+1,40,48,56,64,72,80),0))))/100)*(((1+(((C2788=TRUE)*F2788*IF(AND(Inputs!$B$39&lt;&gt;"pvp",Inputs!$B$44&gt;0),(((R2788-1)*(Skills!Y21*(1+Inputs!$B$34/100))+MIN((Skills!Y21*(1+Inputs!$B$34/100)),MAX(0,Inputs!$B$44-((R2788-1)*Skills!D21))))/Inputs!$B$44),IF(Inputs!$B$39="pvp",MIN((Skills!Y21*(1+Inputs!$B$34/100)),15)/15,(Skills!Y21*(1+Inputs!$B$34/100))/Skills!D21)))+((C2795=TRUE)*(F2795-Calc!F28))+((C2785=TRUE)*(F2785-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2782=TRUE)*F2782*IF(AND(Inputs!$B$39&lt;&gt;"pvp",Inputs!$B$44&gt;0),(((R2782-1)*(Skills!Y15*(1+Inputs!$B$34/100))+MIN((Skills!Y15*(1+Inputs!$B$34/100)),MAX(0,Inputs!$B$44-((R2782-1)*Skills!D15))))/Inputs!$B$44),IF(Inputs!$B$39="pvp",MIN((Skills!Y15*(1+Inputs!$B$34/100)),15)/15,(Skills!Y15*(1+Inputs!$B$34/100))/Skills!D15)))/100)*(1+((C2773=TRUE)*F2773*B2801)/100))*B2809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2770)</f>
        <v/>
      </c>
      <c r="L2770">
        <f>K2770*(MIN(Inputs!$B$22+((C2791=TRUE)*(F2791-Calc!F24)),(Inputs!$B$23+0+(IF(ArtifactsInput!$M$15,CHOOSE(ArtifactsInput!$N$15+1,25,30,35,40,45,50)/100*(Inputs!$B$11-Inputs!$B$11),0))))/100+(Inputs!$B$23+0+(IF(ArtifactsInput!$M$15,CHOOSE(ArtifactsInput!$N$15+1,25,30,35,40,45,50)/100*(Inputs!$B$11-Inputs!$B$11),0)))/100)/2</f>
        <v/>
      </c>
      <c r="M2770">
        <f>L2770*(1+(Inputs!$B$10+((C2793=TRUE)*(F2793-Calc!F26))+B2810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70">
        <f>L2770*(1-MIN((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2770*(MIN((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70">
        <f>(1-Summary!$B$11)*T2770+Summary!$B$11*V2770</f>
        <v/>
      </c>
      <c r="P2770">
        <f>IF(B2811=0,0,O2770/B2811)</f>
        <v/>
      </c>
      <c r="Q2770">
        <f>IFERROR(1/IF(Inputs!$B$39="pvp",15,MAX(0.1,Skills!D3-IF(Skills!E3=TRUE,Inputs!$B$32,0))),0)</f>
        <v/>
      </c>
      <c r="R2770">
        <f>IF(AND(Inputs!$B$39&lt;&gt;"pvp",Inputs!$B$44&gt;0),IF(MAX(0,Inputs!$B$44-B2812)&lt;=0,0,(INT(MAX(0,Inputs!$B$44-B2812)/IF(Inputs!$B$39="pvp",15,MAX(0.1,Skills!D3-IF(Skills!E3=TRUE,Inputs!$B$32,0))))+1)),0)</f>
        <v/>
      </c>
      <c r="S2770">
        <f>IFERROR(O2770/N2770,0)</f>
        <v/>
      </c>
      <c r="T2770">
        <f>IF(C2770,(H2770*N2770*IF(AND(Inputs!$B$39&lt;&gt;"pvp",Inputs!$B$44&gt;0),((Skills!G3*((R2770-1)*IF(Skills!H3&gt;0,Skills!I3/Skills!H3,1)+IF(Skills!H3&gt;0,MIN(Skills!I3,MAX(0,MAX(0,Inputs!$B$44-B2812)-((R2770-1)*IF(Inputs!$B$39="pvp",15,MAX(0.1,Skills!D3-IF(Skills!E3=TRUE,Inputs!$B$32,0))))))/Skills!H3,1)))/Inputs!$B$44),G2770*Q2770))*IF(Inputs!$B$39="pvp",1,1+(Inputs!$B$20+((C2794=TRUE)*(F2794-Calc!F27))+Skills!P3+B2808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Hunt"),CHOOSE(ArtifactsInput!$N$35+1,15,18,21,24,27,30)*(1-EXP(-(0.2*B2803)*5)),0)+IF(AND(ArtifactsInput!$M$22,Inputs!$B$4&lt;&gt;"Chapter Hunt"),CHOOSE(ArtifactsInput!$N$22+1,10,12,14,16,18,20)*((0*(((0.15*B2803*5))^0/1)+1*(((0.15*B2803*5))^1/1)+2*(((0.15*B2803*5))^2/2)+3*(((0.15*B2803*5))^3/6)+4*(((0.15*B2803*5))^4/24)+5*(((0.15*B2803*5))^5/120))/((((0.15*B2803*5))^0/1)+(((0.15*B2803*5))^1/1)+(((0.15*B2803*5))^2/2)+(((0.15*B2803*5))^3/6)+(((0.15*B2803*5))^4/24)+(((0.15*B2803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2770*(1-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2770*(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2770*(1-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2770*(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70">
        <f>INDEX(FactorTable!$B$2:$Y$301, MATCH(ROUND(MIN(300,MAX(1,U2769)),0), FactorTable!$A$2:$A$301,0), 24)</f>
        <v/>
      </c>
      <c r="V2770">
        <f>IF(C2770,(H2770*N2770*IF(AND(Inputs!$B$39&lt;&gt;"pvp",Inputs!$B$44&gt;0),((Skills!G3*((R2770-1)*IF(Skills!H3&gt;0,Skills!I3/Skills!H3,1)+IF(Skills!H3&gt;0,MIN(Skills!I3,MAX(0,MAX(0,Inputs!$B$44-B2812)-((R2770-1)*IF(Inputs!$B$39="pvp",15,MAX(0.1,Skills!D3-IF(Skills!E3=TRUE,Inputs!$B$32,0))))))/Skills!H3,1)))/Inputs!$B$44),G2770*Q2770))*IF(Inputs!$B$39="pvp",1,(1+(Inputs!$B$21+Skills!Q3+B2808+(IF(ArtifactsInput!$M$33,CHOOSE(ArtifactsInput!$N$33+1,30,36,42,48,54,60),0))+(IF(AND(IF(ArtifactsInput!$M$35,FALSE,TRUE),Inputs!$B$4&lt;&gt;"Chapter Hunt"),CHOOSE(ArtifactsInput!$N$35+1,15,18,21,24,27,30)*(1-EXP(-(0.2*B2803)*5)),0)+IF(AND(ArtifactsInput!$M$22,Inputs!$B$4&lt;&gt;"Chapter Hunt"),CHOOSE(ArtifactsInput!$N$22+1,10,12,14,16,18,20)*((0*(((0.15*B2803*5))^0/1)+1*(((0.15*B2803*5))^1/1)+2*(((0.15*B2803*5))^2/2)+3*(((0.15*B2803*5))^3/6)+4*(((0.15*B2803*5))^4/24)+5*(((0.15*B2803*5))^5/120))/((((0.15*B2803*5))^0/1)+(((0.15*B2803*5))^1/1)+(((0.15*B2803*5))^2/2)+(((0.15*B2803*5))^3/6)+(((0.15*B2803*5))^4/24)+(((0.15*B2803*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71">
      <c r="A2771">
        <f>Skills!A4</f>
        <v/>
      </c>
      <c r="B2771">
        <f>Skills!B4</f>
        <v/>
      </c>
      <c r="C2771">
        <f>Inputs!$B$3&gt;=40</f>
        <v/>
      </c>
      <c r="D2771">
        <f>IF(Skills!C4=1,60+Inputs!$B$25+Inputs!$B$29,IF(Skills!C4=2,90+Inputs!$B$26+Inputs!$B$29,IF(Skills!C4=3,120+Inputs!$B$27+Inputs!$B$29,MAX(0,(Inputs!$B$3-100)*3)+Inputs!$B$28+Inputs!$B$29)))</f>
        <v/>
      </c>
      <c r="E2771">
        <f>INDEX(FactorTable!$B$2:$Y$301, MATCH(ROUND(MIN(300,MAX(1,D2771)),0), FactorTable!$A$2:$A$301,0), Skills!M4+1)</f>
        <v/>
      </c>
      <c r="F2771">
        <f>IF(Skills!N4=TRUE,(Skills!L4/10)*(E2771/1000),Skills!L4/10)+Skills!O4</f>
        <v/>
      </c>
      <c r="G2771">
        <f>Calc!G4</f>
        <v/>
      </c>
      <c r="H2771">
        <f>Calc!H4</f>
        <v/>
      </c>
      <c r="I2771">
        <f>IF(Skills!AA4&lt;&gt;"",1+(Skills!AA4/10)*(U2770/1000)/100,1)</f>
        <v/>
      </c>
      <c r="J2771">
        <f>((Inputs!$B$6*(1+Inputs!$B$7/100))+(((Inputs!$B$12*(1+Inputs!$B$13/100))-(Inputs!$B$12*(1+Inputs!$B$13/100)))+0.25*(Inputs!$B$14-Inputs!$B$14))*(1+Inputs!$B$7/100))*(F2771/100)</f>
        <v/>
      </c>
      <c r="K2771">
        <f>J2771*(1+((Inputs!$B$12*(1+Inputs!$B$13/100))*0.01+Inputs!$B$14*0.0025)/100)*(1+Inputs!$B$15/100)*(1+Inputs!$B$16/100)*(5000/(6000+Inputs!$B$43*(1-(100*(1-(1-(Inputs!$B$19+0)/100)*(1-CHOOSE(ArtifactsInput!$N$40+1,5,6,7,8,9,10)/100)^(ArtifactsInput!$M$40-ArtifactsInput!$M$40)))/100)))*(1+(Inputs!$B$24+((C2797=TRUE)*(F2797-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2790=TRUE)*(F2790-Calc!F23))+(((IF(AND(ArtifactsInput!$M$42,((Inputs!$B$9+((C2792=TRUE)*(F2792-Calc!F25))+B2807+(ArtifactsInput!$M$24-ArtifactsInput!$M$24)*CHOOSE(ArtifactsInput!$N$24+1,10,12,14,16,18,20)+IF(ArtifactsInput!$M$10,CHOOSE(ArtifactsInput!$N$10+1,15,18,21,24,27,30)*(IF(Inputs!$B$39="pvp",MIN(15,15)/15,IF(AND(Inputs!$B$39&lt;&gt;"pvp",Inputs!$B$44&gt;0),MIN(15,Inputs!$B$44)/(Inputs!$B$44),0))),0)))&gt;=100),MIN(100,((Inputs!$B$9+((C2792=TRUE)*(F2792-Calc!F25))+B2807+(ArtifactsInput!$M$24-ArtifactsInput!$M$24)*CHOOSE(ArtifactsInput!$N$24+1,10,12,14,16,18,20)+IF(ArtifactsInput!$M$10,CHOOSE(ArtifactsInput!$N$10+1,15,18,21,24,27,30)*(IF(Inputs!$B$39="pvp",MIN(15,15)/15,IF(AND(Inputs!$B$39&lt;&gt;"pvp",Inputs!$B$44&gt;0),MIN(15,Inputs!$B$44)/(Inputs!$B$44),0))),0)))-100),0))*CHOOSE(ArtifactsInput!$N$42+1,0.6,0.72,0.84,0.96,1.08,1.2))),Inputs!$B$18+((C2796=TRUE)*(F2796-Calc!F29))+(IF(AND(ArtifactsInput!$M$42,((Inputs!$B$9+((C2792=TRUE)*(F2792-Calc!F25))+B2807+(ArtifactsInput!$M$24-ArtifactsInput!$M$24)*CHOOSE(ArtifactsInput!$N$24+1,10,12,14,16,18,20)+IF(ArtifactsInput!$M$10,CHOOSE(ArtifactsInput!$N$10+1,15,18,21,24,27,30)*(IF(Inputs!$B$39="pvp",MIN(15,15)/15,IF(AND(Inputs!$B$39&lt;&gt;"pvp",Inputs!$B$44&gt;0),MIN(15,Inputs!$B$44)/(Inputs!$B$44),0))),0)))&gt;=100),CHOOSE(ArtifactsInput!$N$42+1,40,48,56,64,72,80),0))))/100)*(((1+(((C2788=TRUE)*F2788*IF(AND(Inputs!$B$39&lt;&gt;"pvp",Inputs!$B$44&gt;0),(((R2788-1)*(Skills!Y21*(1+Inputs!$B$34/100))+MIN((Skills!Y21*(1+Inputs!$B$34/100)),MAX(0,Inputs!$B$44-((R2788-1)*Skills!D21))))/Inputs!$B$44),IF(Inputs!$B$39="pvp",MIN((Skills!Y21*(1+Inputs!$B$34/100)),15)/15,(Skills!Y21*(1+Inputs!$B$34/100))/Skills!D21)))+((C2795=TRUE)*(F2795-Calc!F28))+((C2785=TRUE)*(F2785-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2782=TRUE)*F2782*IF(AND(Inputs!$B$39&lt;&gt;"pvp",Inputs!$B$44&gt;0),(((R2782-1)*(Skills!Y15*(1+Inputs!$B$34/100))+MIN((Skills!Y15*(1+Inputs!$B$34/100)),MAX(0,Inputs!$B$44-((R2782-1)*Skills!D15))))/Inputs!$B$44),IF(Inputs!$B$39="pvp",MIN((Skills!Y15*(1+Inputs!$B$34/100)),15)/15,(Skills!Y15*(1+Inputs!$B$34/100))/Skills!D15)))/100)*(1+((C2773=TRUE)*F2773*B2801)/100))*B2809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2771)</f>
        <v/>
      </c>
      <c r="L2771">
        <f>K2771*(MIN(Inputs!$B$22+((C2791=TRUE)*(F2791-Calc!F24)),(Inputs!$B$23+0+(IF(ArtifactsInput!$M$15,CHOOSE(ArtifactsInput!$N$15+1,25,30,35,40,45,50)/100*(Inputs!$B$11-Inputs!$B$11),0))))/100+(Inputs!$B$23+0+(IF(ArtifactsInput!$M$15,CHOOSE(ArtifactsInput!$N$15+1,25,30,35,40,45,50)/100*(Inputs!$B$11-Inputs!$B$11),0)))/100)/2</f>
        <v/>
      </c>
      <c r="M2771">
        <f>L2771*(1+(Inputs!$B$10+((C2793=TRUE)*(F2793-Calc!F26))+B2810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71">
        <f>L2771*(1-MIN((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2771*(MIN((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71">
        <f>(1-Summary!$B$11)*T2771+Summary!$B$11*V2771</f>
        <v/>
      </c>
      <c r="P2771">
        <f>IF(B2811=0,0,O2771/B2811)</f>
        <v/>
      </c>
      <c r="Q2771">
        <f>IFERROR(1/IF(Inputs!$B$39="pvp",15,MAX(0.1,Skills!D4-IF(Skills!E4=TRUE,Inputs!$B$32,0))),0)</f>
        <v/>
      </c>
      <c r="R2771">
        <f>IF(AND(Inputs!$B$39&lt;&gt;"pvp",Inputs!$B$44&gt;0),IF(MAX(0,Inputs!$B$44-B2812)&lt;=0,0,(INT(MAX(0,Inputs!$B$44-B2812)/IF(Inputs!$B$39="pvp",15,MAX(0.1,Skills!D4-IF(Skills!E4=TRUE,Inputs!$B$32,0))))+1)),0)</f>
        <v/>
      </c>
      <c r="S2771">
        <f>IFERROR(O2771/N2771,0)</f>
        <v/>
      </c>
      <c r="T2771">
        <f>IF(C2771,(H2771*N2771*IF(AND(Inputs!$B$39&lt;&gt;"pvp",Inputs!$B$44&gt;0),((Skills!G4*((R2771-1)*IF(Skills!H4&gt;0,Skills!I4/Skills!H4,1)+IF(Skills!H4&gt;0,MIN(Skills!I4,MAX(0,MAX(0,Inputs!$B$44-B2812)-((R2771-1)*IF(Inputs!$B$39="pvp",15,MAX(0.1,Skills!D4-IF(Skills!E4=TRUE,Inputs!$B$32,0))))))/Skills!H4,1)))/Inputs!$B$44),G2771*Q2771))*IF(Inputs!$B$39="pvp",1,1+(Inputs!$B$20+((C2794=TRUE)*(F2794-Calc!F27))+Skills!P4+B2808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Hunt"),CHOOSE(ArtifactsInput!$N$35+1,15,18,21,24,27,30)*(1-EXP(-(0.2*B2803)*5)),0)+IF(AND(ArtifactsInput!$M$22,Inputs!$B$4&lt;&gt;"Chapter Hunt"),CHOOSE(ArtifactsInput!$N$22+1,10,12,14,16,18,20)*((0*(((0.15*B2803*5))^0/1)+1*(((0.15*B2803*5))^1/1)+2*(((0.15*B2803*5))^2/2)+3*(((0.15*B2803*5))^3/6)+4*(((0.15*B2803*5))^4/24)+5*(((0.15*B2803*5))^5/120))/((((0.15*B2803*5))^0/1)+(((0.15*B2803*5))^1/1)+(((0.15*B2803*5))^2/2)+(((0.15*B2803*5))^3/6)+(((0.15*B2803*5))^4/24)+(((0.15*B2803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2771*(1-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2771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2771*(1-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2771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71">
        <f>MAX(0,(Inputs!$B$3-100)*3)+Inputs!$B$28+Inputs!$B$29</f>
        <v/>
      </c>
      <c r="V2771">
        <f>IF(C2771,(H2771*N2771*IF(AND(Inputs!$B$39&lt;&gt;"pvp",Inputs!$B$44&gt;0),((Skills!G4*((R2771-1)*IF(Skills!H4&gt;0,Skills!I4/Skills!H4,1)+IF(Skills!H4&gt;0,MIN(Skills!I4,MAX(0,MAX(0,Inputs!$B$44-B2812)-((R2771-1)*IF(Inputs!$B$39="pvp",15,MAX(0.1,Skills!D4-IF(Skills!E4=TRUE,Inputs!$B$32,0))))))/Skills!H4,1)))/Inputs!$B$44),G2771*Q2771))*IF(Inputs!$B$39="pvp",1,(1+(Inputs!$B$21+Skills!Q4+B2808+(IF(ArtifactsInput!$M$33,CHOOSE(ArtifactsInput!$N$33+1,30,36,42,48,54,60),0))+(IF(AND(IF(ArtifactsInput!$M$35,FALSE,TRUE),Inputs!$B$4&lt;&gt;"Chapter Hunt"),CHOOSE(ArtifactsInput!$N$35+1,15,18,21,24,27,30)*(1-EXP(-(0.2*B2803)*5)),0)+IF(AND(ArtifactsInput!$M$22,Inputs!$B$4&lt;&gt;"Chapter Hunt"),CHOOSE(ArtifactsInput!$N$22+1,10,12,14,16,18,20)*((0*(((0.15*B2803*5))^0/1)+1*(((0.15*B2803*5))^1/1)+2*(((0.15*B2803*5))^2/2)+3*(((0.15*B2803*5))^3/6)+4*(((0.15*B2803*5))^4/24)+5*(((0.15*B2803*5))^5/120))/((((0.15*B2803*5))^0/1)+(((0.15*B2803*5))^1/1)+(((0.15*B2803*5))^2/2)+(((0.15*B2803*5))^3/6)+(((0.15*B2803*5))^4/24)+(((0.15*B2803*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72">
      <c r="A2772">
        <f>Skills!A5</f>
        <v/>
      </c>
      <c r="B2772">
        <f>Skills!B5</f>
        <v/>
      </c>
      <c r="C2772">
        <f>Inputs!$B$3&gt;=63</f>
        <v/>
      </c>
      <c r="D2772">
        <f>IF(Skills!C5=1,60+Inputs!$B$25+Inputs!$B$29,IF(Skills!C5=2,90+Inputs!$B$26+Inputs!$B$29,IF(Skills!C5=3,120+Inputs!$B$27+Inputs!$B$29,MAX(0,(Inputs!$B$3-100)*3)+Inputs!$B$28+Inputs!$B$29)))</f>
        <v/>
      </c>
      <c r="E2772">
        <f>INDEX(FactorTable!$B$2:$Y$301, MATCH(ROUND(MIN(300,MAX(1,D2772)),0), FactorTable!$A$2:$A$301,0), Skills!M5+1)</f>
        <v/>
      </c>
      <c r="F2772">
        <f>IF(Skills!N5=TRUE,(Skills!L5/10)*(E2772/1000),Skills!L5/10)+Skills!O5</f>
        <v/>
      </c>
      <c r="G2772">
        <f>Calc!G5</f>
        <v/>
      </c>
      <c r="H2772">
        <f>Calc!H5</f>
        <v/>
      </c>
      <c r="I2772">
        <f>IF(Skills!AA5&lt;&gt;"",1+(Skills!AA5/10)*(U2770/1000)/100,1)</f>
        <v/>
      </c>
      <c r="J2772">
        <f>((Inputs!$B$6*(1+Inputs!$B$7/100))+(((Inputs!$B$12*(1+Inputs!$B$13/100))-(Inputs!$B$12*(1+Inputs!$B$13/100)))+0.25*(Inputs!$B$14-Inputs!$B$14))*(1+Inputs!$B$7/100))*(F2772/100)</f>
        <v/>
      </c>
      <c r="K2772">
        <f>J2772*(1+((Inputs!$B$12*(1+Inputs!$B$13/100))*0.01+Inputs!$B$14*0.0025)/100)*(1+Inputs!$B$15/100)*(1+Inputs!$B$16/100)*(5000/(6000+Inputs!$B$43*(1-(100*(1-(1-(Inputs!$B$19+0)/100)*(1-CHOOSE(ArtifactsInput!$N$40+1,5,6,7,8,9,10)/100)^(ArtifactsInput!$M$40-ArtifactsInput!$M$40)))/100)))*(1+(Inputs!$B$24+((C2797=TRUE)*(F2797-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2790=TRUE)*(F2790-Calc!F23))+(((IF(AND(ArtifactsInput!$M$42,((Inputs!$B$9+((C2792=TRUE)*(F2792-Calc!F25))+B2807+(ArtifactsInput!$M$24-ArtifactsInput!$M$24)*CHOOSE(ArtifactsInput!$N$24+1,10,12,14,16,18,20)+IF(ArtifactsInput!$M$10,CHOOSE(ArtifactsInput!$N$10+1,15,18,21,24,27,30)*(IF(Inputs!$B$39="pvp",MIN(15,15)/15,IF(AND(Inputs!$B$39&lt;&gt;"pvp",Inputs!$B$44&gt;0),MIN(15,Inputs!$B$44)/(Inputs!$B$44),0))),0)))&gt;=100),MIN(100,((Inputs!$B$9+((C2792=TRUE)*(F2792-Calc!F25))+B2807+(ArtifactsInput!$M$24-ArtifactsInput!$M$24)*CHOOSE(ArtifactsInput!$N$24+1,10,12,14,16,18,20)+IF(ArtifactsInput!$M$10,CHOOSE(ArtifactsInput!$N$10+1,15,18,21,24,27,30)*(IF(Inputs!$B$39="pvp",MIN(15,15)/15,IF(AND(Inputs!$B$39&lt;&gt;"pvp",Inputs!$B$44&gt;0),MIN(15,Inputs!$B$44)/(Inputs!$B$44),0))),0)))-100),0))*CHOOSE(ArtifactsInput!$N$42+1,0.6,0.72,0.84,0.96,1.08,1.2))),Inputs!$B$18+((C2796=TRUE)*(F2796-Calc!F29))+(IF(AND(ArtifactsInput!$M$42,((Inputs!$B$9+((C2792=TRUE)*(F2792-Calc!F25))+B2807+(ArtifactsInput!$M$24-ArtifactsInput!$M$24)*CHOOSE(ArtifactsInput!$N$24+1,10,12,14,16,18,20)+IF(ArtifactsInput!$M$10,CHOOSE(ArtifactsInput!$N$10+1,15,18,21,24,27,30)*(IF(Inputs!$B$39="pvp",MIN(15,15)/15,IF(AND(Inputs!$B$39&lt;&gt;"pvp",Inputs!$B$44&gt;0),MIN(15,Inputs!$B$44)/(Inputs!$B$44),0))),0)))&gt;=100),CHOOSE(ArtifactsInput!$N$42+1,40,48,56,64,72,80),0))))/100)*(((1+(((C2788=TRUE)*F2788*IF(AND(Inputs!$B$39&lt;&gt;"pvp",Inputs!$B$44&gt;0),(((R2788-1)*(Skills!Y21*(1+Inputs!$B$34/100))+MIN((Skills!Y21*(1+Inputs!$B$34/100)),MAX(0,Inputs!$B$44-((R2788-1)*Skills!D21))))/Inputs!$B$44),IF(Inputs!$B$39="pvp",MIN((Skills!Y21*(1+Inputs!$B$34/100)),15)/15,(Skills!Y21*(1+Inputs!$B$34/100))/Skills!D21)))+((C2795=TRUE)*(F2795-Calc!F28))+((C2785=TRUE)*(F2785-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2782=TRUE)*F2782*IF(AND(Inputs!$B$39&lt;&gt;"pvp",Inputs!$B$44&gt;0),(((R2782-1)*(Skills!Y15*(1+Inputs!$B$34/100))+MIN((Skills!Y15*(1+Inputs!$B$34/100)),MAX(0,Inputs!$B$44-((R2782-1)*Skills!D15))))/Inputs!$B$44),IF(Inputs!$B$39="pvp",MIN((Skills!Y15*(1+Inputs!$B$34/100)),15)/15,(Skills!Y15*(1+Inputs!$B$34/100))/Skills!D15)))/100)*(1+((C2773=TRUE)*F2773*B2801)/100))*B2809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2772)</f>
        <v/>
      </c>
      <c r="L2772">
        <f>K2772*(MIN(Inputs!$B$22+((C2791=TRUE)*(F2791-Calc!F24)),(Inputs!$B$23+0+(IF(ArtifactsInput!$M$15,CHOOSE(ArtifactsInput!$N$15+1,25,30,35,40,45,50)/100*(Inputs!$B$11-Inputs!$B$11),0))))/100+(Inputs!$B$23+0+(IF(ArtifactsInput!$M$15,CHOOSE(ArtifactsInput!$N$15+1,25,30,35,40,45,50)/100*(Inputs!$B$11-Inputs!$B$11),0)))/100)/2</f>
        <v/>
      </c>
      <c r="M2772">
        <f>L2772*(1+(Inputs!$B$10+((C2793=TRUE)*(F2793-Calc!F26))+B2810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72">
        <f>L2772*(1-MIN((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2772*(MIN((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72">
        <f>(1-Summary!$B$11)*T2772+Summary!$B$11*V2772</f>
        <v/>
      </c>
      <c r="P2772">
        <f>IF(B2811=0,0,O2772/B2811)</f>
        <v/>
      </c>
      <c r="Q2772">
        <f>IFERROR(1/IF(Inputs!$B$39="pvp",15,MAX(0.1,Skills!D5-IF(Skills!E5=TRUE,Inputs!$B$32,0))),0)</f>
        <v/>
      </c>
      <c r="R2772">
        <f>IF(AND(Inputs!$B$39&lt;&gt;"pvp",Inputs!$B$44&gt;0),IF(MAX(0,Inputs!$B$44-B2812)&lt;=0,0,(INT(MAX(0,Inputs!$B$44-B2812)/IF(Inputs!$B$39="pvp",15,MAX(0.1,Skills!D5-IF(Skills!E5=TRUE,Inputs!$B$32,0))))+1)),0)</f>
        <v/>
      </c>
      <c r="S2772">
        <f>IFERROR(O2772/N2772,0)</f>
        <v/>
      </c>
      <c r="T2772">
        <f>IF(C2772,(H2772*N2772*IF(AND(Inputs!$B$39&lt;&gt;"pvp",Inputs!$B$44&gt;0),((Skills!G5*((R2772-1)*IF(Skills!H5&gt;0,Skills!I5/Skills!H5,1)+IF(Skills!H5&gt;0,MIN(Skills!I5,MAX(0,MAX(0,Inputs!$B$44-B2812)-((R2772-1)*IF(Inputs!$B$39="pvp",15,MAX(0.1,Skills!D5-IF(Skills!E5=TRUE,Inputs!$B$32,0))))))/Skills!H5,1)))/Inputs!$B$44),G2772*Q2772))*IF(Inputs!$B$39="pvp",1,1+(Inputs!$B$20+((C2794=TRUE)*(F2794-Calc!F27))+Skills!P5+B2808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Hunt"),CHOOSE(ArtifactsInput!$N$35+1,15,18,21,24,27,30)*(1-EXP(-(0.2*B2803)*5)),0)+IF(AND(ArtifactsInput!$M$22,Inputs!$B$4&lt;&gt;"Chapter Hunt"),CHOOSE(ArtifactsInput!$N$22+1,10,12,14,16,18,20)*((0*(((0.15*B2803*5))^0/1)+1*(((0.15*B2803*5))^1/1)+2*(((0.15*B2803*5))^2/2)+3*(((0.15*B2803*5))^3/6)+4*(((0.15*B2803*5))^4/24)+5*(((0.15*B2803*5))^5/120))/((((0.15*B2803*5))^0/1)+(((0.15*B2803*5))^1/1)+(((0.15*B2803*5))^2/2)+(((0.15*B2803*5))^3/6)+(((0.15*B2803*5))^4/24)+(((0.15*B2803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2772*(1-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2772*(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2772*(1-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2772*(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72">
        <f>INDEX(FactorTable!$B$2:$Y$301, MATCH(ROUND(MIN(300,MAX(1,U2771)),0), FactorTable!$A$2:$A$301,0), 22)</f>
        <v/>
      </c>
      <c r="V2772">
        <f>IF(C2772,(H2772*N2772*IF(AND(Inputs!$B$39&lt;&gt;"pvp",Inputs!$B$44&gt;0),((Skills!G5*((R2772-1)*IF(Skills!H5&gt;0,Skills!I5/Skills!H5,1)+IF(Skills!H5&gt;0,MIN(Skills!I5,MAX(0,MAX(0,Inputs!$B$44-B2812)-((R2772-1)*IF(Inputs!$B$39="pvp",15,MAX(0.1,Skills!D5-IF(Skills!E5=TRUE,Inputs!$B$32,0))))))/Skills!H5,1)))/Inputs!$B$44),G2772*Q2772))*IF(Inputs!$B$39="pvp",1,(1+(Inputs!$B$21+Skills!Q5+B2808+(IF(ArtifactsInput!$M$33,CHOOSE(ArtifactsInput!$N$33+1,30,36,42,48,54,60),0))+(IF(AND(IF(ArtifactsInput!$M$35,FALSE,TRUE),Inputs!$B$4&lt;&gt;"Chapter Hunt"),CHOOSE(ArtifactsInput!$N$35+1,15,18,21,24,27,30)*(1-EXP(-(0.2*B2803)*5)),0)+IF(AND(ArtifactsInput!$M$22,Inputs!$B$4&lt;&gt;"Chapter Hunt"),CHOOSE(ArtifactsInput!$N$22+1,10,12,14,16,18,20)*((0*(((0.15*B2803*5))^0/1)+1*(((0.15*B2803*5))^1/1)+2*(((0.15*B2803*5))^2/2)+3*(((0.15*B2803*5))^3/6)+4*(((0.15*B2803*5))^4/24)+5*(((0.15*B2803*5))^5/120))/((((0.15*B2803*5))^0/1)+(((0.15*B2803*5))^1/1)+(((0.15*B2803*5))^2/2)+(((0.15*B2803*5))^3/6)+(((0.15*B2803*5))^4/24)+(((0.15*B2803*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73">
      <c r="A2773">
        <f>Skills!A6</f>
        <v/>
      </c>
      <c r="B2773">
        <f>Skills!B6</f>
        <v/>
      </c>
      <c r="C2773">
        <f>Inputs!$B$3&gt;=66</f>
        <v/>
      </c>
      <c r="D2773">
        <f>IF(Skills!C6=1,60+Inputs!$B$25+Inputs!$B$29,IF(Skills!C6=2,90+Inputs!$B$26+Inputs!$B$29,IF(Skills!C6=3,120+Inputs!$B$27+Inputs!$B$29,MAX(0,(Inputs!$B$3-100)*3)+Inputs!$B$28+Inputs!$B$29)))</f>
        <v/>
      </c>
      <c r="E2773">
        <f>INDEX(FactorTable!$B$2:$Y$301, MATCH(ROUND(MIN(300,MAX(1,D2773)),0), FactorTable!$A$2:$A$301,0), Skills!M6+1)</f>
        <v/>
      </c>
      <c r="F2773">
        <f>IF(Skills!N6=TRUE,(Skills!L6/10)*(E2773/1000),Skills!L6/10)+Skills!O6</f>
        <v/>
      </c>
      <c r="G2773">
        <f>Calc!G6</f>
        <v/>
      </c>
      <c r="H2773">
        <f>Calc!H6</f>
        <v/>
      </c>
      <c r="I2773">
        <f>IF(Skills!AA6&lt;&gt;"",1+(Skills!AA6/10)*(U2770/1000)/100,1)</f>
        <v/>
      </c>
      <c r="J2773" t="inlineStr"/>
      <c r="K2773" t="inlineStr"/>
      <c r="L2773" t="inlineStr"/>
      <c r="M2773" t="inlineStr"/>
      <c r="N2773" t="inlineStr"/>
      <c r="O2773">
        <f>(1-Summary!$B$11)*T2773+Summary!$B$11*V2773</f>
        <v/>
      </c>
      <c r="P2773">
        <f>IF(B2811=0,0,O2773/B2811)</f>
        <v/>
      </c>
      <c r="Q2773" t="n">
        <v>0</v>
      </c>
      <c r="R2773" t="n">
        <v>0</v>
      </c>
      <c r="S2773">
        <f>IFERROR(O2773/N2773,0)</f>
        <v/>
      </c>
      <c r="T2773" t="n">
        <v>0</v>
      </c>
      <c r="U2773">
        <f>290*U2772/1000</f>
        <v/>
      </c>
      <c r="V2773" t="n">
        <v>0</v>
      </c>
    </row>
    <row r="2774">
      <c r="A2774">
        <f>Skills!A7</f>
        <v/>
      </c>
      <c r="B2774">
        <f>Skills!B7</f>
        <v/>
      </c>
      <c r="C2774">
        <f>Inputs!$B$3&gt;=66</f>
        <v/>
      </c>
      <c r="D2774">
        <f>IF(Skills!C7=1,60+Inputs!$B$25+Inputs!$B$29,IF(Skills!C7=2,90+Inputs!$B$26+Inputs!$B$29,IF(Skills!C7=3,120+Inputs!$B$27+Inputs!$B$29,MAX(0,(Inputs!$B$3-100)*3)+Inputs!$B$28+Inputs!$B$29)))</f>
        <v/>
      </c>
      <c r="E2774">
        <f>INDEX(FactorTable!$B$2:$Y$301, MATCH(ROUND(MIN(300,MAX(1,D2774)),0), FactorTable!$A$2:$A$301,0), Skills!M7+1)</f>
        <v/>
      </c>
      <c r="F2774">
        <f>IF(Skills!N7=TRUE,(Skills!L7/10)*(E2774/1000),Skills!L7/10)+Skills!O7</f>
        <v/>
      </c>
      <c r="G2774">
        <f>Calc!G7</f>
        <v/>
      </c>
      <c r="H2774">
        <f>Calc!H7</f>
        <v/>
      </c>
      <c r="I2774">
        <f>IF(Skills!AA7&lt;&gt;"",1+(Skills!AA7/10)*(U2770/1000)/100,1)</f>
        <v/>
      </c>
      <c r="J2774" t="inlineStr"/>
      <c r="K2774" t="inlineStr"/>
      <c r="L2774" t="inlineStr"/>
      <c r="M2774" t="inlineStr"/>
      <c r="N2774" t="inlineStr"/>
      <c r="O2774">
        <f>(1-Summary!$B$11)*T2774+Summary!$B$11*V2774</f>
        <v/>
      </c>
      <c r="P2774">
        <f>IF(B2811=0,0,O2774/B2811)</f>
        <v/>
      </c>
      <c r="Q2774" t="n">
        <v>0</v>
      </c>
      <c r="R2774" t="n">
        <v>0</v>
      </c>
      <c r="S2774">
        <f>IFERROR(O2774/N2774,0)</f>
        <v/>
      </c>
      <c r="T2774" t="n">
        <v>0</v>
      </c>
      <c r="V2774" t="n">
        <v>0</v>
      </c>
    </row>
    <row r="2775">
      <c r="A2775">
        <f>Skills!A8</f>
        <v/>
      </c>
      <c r="B2775">
        <f>Skills!B8</f>
        <v/>
      </c>
      <c r="C2775">
        <f>Inputs!$B$3&gt;=69</f>
        <v/>
      </c>
      <c r="D2775">
        <f>IF(Skills!C8=1,60+Inputs!$B$25+Inputs!$B$29,IF(Skills!C8=2,90+Inputs!$B$26+Inputs!$B$29,IF(Skills!C8=3,120+Inputs!$B$27+Inputs!$B$29,MAX(0,(Inputs!$B$3-100)*3)+Inputs!$B$28+Inputs!$B$29)))</f>
        <v/>
      </c>
      <c r="E2775">
        <f>INDEX(FactorTable!$B$2:$Y$301, MATCH(ROUND(MIN(300,MAX(1,D2775)),0), FactorTable!$A$2:$A$301,0), Skills!M8+1)</f>
        <v/>
      </c>
      <c r="F2775">
        <f>IF(Skills!N8=TRUE,(Skills!L8/10)*(E2775/1000),Skills!L8/10)+Skills!O8</f>
        <v/>
      </c>
      <c r="G2775">
        <f>Calc!G8</f>
        <v/>
      </c>
      <c r="H2775">
        <f>Calc!H8</f>
        <v/>
      </c>
      <c r="I2775">
        <f>IF(Skills!AA8&lt;&gt;"",1+(Skills!AA8/10)*(U2770/1000)/100,1)</f>
        <v/>
      </c>
      <c r="J2775">
        <f>((Inputs!$B$6*(1+Inputs!$B$7/100))+(((Inputs!$B$12*(1+Inputs!$B$13/100))-(Inputs!$B$12*(1+Inputs!$B$13/100)))+0.25*(Inputs!$B$14-Inputs!$B$14))*(1+Inputs!$B$7/100))*(F2775/100)</f>
        <v/>
      </c>
      <c r="K2775">
        <f>J2775*(1+((Inputs!$B$12*(1+Inputs!$B$13/100))*0.01+Inputs!$B$14*0.0025)/100)*(1+Inputs!$B$15/100)*(1+Inputs!$B$16/100)*(5000/(6000+Inputs!$B$43*(1-(100*(1-(1-(Inputs!$B$19+0)/100)*(1-CHOOSE(ArtifactsInput!$N$40+1,5,6,7,8,9,10)/100)^(ArtifactsInput!$M$40-ArtifactsInput!$M$40)))/100)))*(1+(Inputs!$B$24+((C2797=TRUE)*(F2797-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2790=TRUE)*(F2790-Calc!F23))+(((IF(AND(ArtifactsInput!$M$42,((Inputs!$B$9+((C2792=TRUE)*(F2792-Calc!F25))+B2807+(ArtifactsInput!$M$24-ArtifactsInput!$M$24)*CHOOSE(ArtifactsInput!$N$24+1,10,12,14,16,18,20)+IF(ArtifactsInput!$M$10,CHOOSE(ArtifactsInput!$N$10+1,15,18,21,24,27,30)*(IF(Inputs!$B$39="pvp",MIN(15,15)/15,IF(AND(Inputs!$B$39&lt;&gt;"pvp",Inputs!$B$44&gt;0),MIN(15,Inputs!$B$44)/(Inputs!$B$44),0))),0)))&gt;=100),MIN(100,((Inputs!$B$9+((C2792=TRUE)*(F2792-Calc!F25))+B2807+(ArtifactsInput!$M$24-ArtifactsInput!$M$24)*CHOOSE(ArtifactsInput!$N$24+1,10,12,14,16,18,20)+IF(ArtifactsInput!$M$10,CHOOSE(ArtifactsInput!$N$10+1,15,18,21,24,27,30)*(IF(Inputs!$B$39="pvp",MIN(15,15)/15,IF(AND(Inputs!$B$39&lt;&gt;"pvp",Inputs!$B$44&gt;0),MIN(15,Inputs!$B$44)/(Inputs!$B$44),0))),0)))-100),0))*CHOOSE(ArtifactsInput!$N$42+1,0.6,0.72,0.84,0.96,1.08,1.2))),Inputs!$B$18+((C2796=TRUE)*(F2796-Calc!F29))+(IF(AND(ArtifactsInput!$M$42,((Inputs!$B$9+((C2792=TRUE)*(F2792-Calc!F25))+B2807+(ArtifactsInput!$M$24-ArtifactsInput!$M$24)*CHOOSE(ArtifactsInput!$N$24+1,10,12,14,16,18,20)+IF(ArtifactsInput!$M$10,CHOOSE(ArtifactsInput!$N$10+1,15,18,21,24,27,30)*(IF(Inputs!$B$39="pvp",MIN(15,15)/15,IF(AND(Inputs!$B$39&lt;&gt;"pvp",Inputs!$B$44&gt;0),MIN(15,Inputs!$B$44)/(Inputs!$B$44),0))),0)))&gt;=100),CHOOSE(ArtifactsInput!$N$42+1,40,48,56,64,72,80),0))))/100)*(((1+(((C2788=TRUE)*F2788*IF(AND(Inputs!$B$39&lt;&gt;"pvp",Inputs!$B$44&gt;0),(((R2788-1)*(Skills!Y21*(1+Inputs!$B$34/100))+MIN((Skills!Y21*(1+Inputs!$B$34/100)),MAX(0,Inputs!$B$44-((R2788-1)*Skills!D21))))/Inputs!$B$44),IF(Inputs!$B$39="pvp",MIN((Skills!Y21*(1+Inputs!$B$34/100)),15)/15,(Skills!Y21*(1+Inputs!$B$34/100))/Skills!D21)))+((C2795=TRUE)*(F2795-Calc!F28))+((C2785=TRUE)*(F2785-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2782=TRUE)*F2782*IF(AND(Inputs!$B$39&lt;&gt;"pvp",Inputs!$B$44&gt;0),(((R2782-1)*(Skills!Y15*(1+Inputs!$B$34/100))+MIN((Skills!Y15*(1+Inputs!$B$34/100)),MAX(0,Inputs!$B$44-((R2782-1)*Skills!D15))))/Inputs!$B$44),IF(Inputs!$B$39="pvp",MIN((Skills!Y15*(1+Inputs!$B$34/100)),15)/15,(Skills!Y15*(1+Inputs!$B$34/100))/Skills!D15)))/100)*(1+((C2773=TRUE)*F2773*B2801)/100))*B2809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2775)</f>
        <v/>
      </c>
      <c r="L2775">
        <f>K2775*(MIN(Inputs!$B$22+((C2791=TRUE)*(F2791-Calc!F24)),(Inputs!$B$23+0+(IF(ArtifactsInput!$M$15,CHOOSE(ArtifactsInput!$N$15+1,25,30,35,40,45,50)/100*(Inputs!$B$11-Inputs!$B$11),0))))/100+(Inputs!$B$23+0+(IF(ArtifactsInput!$M$15,CHOOSE(ArtifactsInput!$N$15+1,25,30,35,40,45,50)/100*(Inputs!$B$11-Inputs!$B$11),0)))/100)/2</f>
        <v/>
      </c>
      <c r="M2775">
        <f>L2775*(1+(Inputs!$B$10+((C2793=TRUE)*(F2793-Calc!F26))+B2810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75">
        <f>L2775*(1-MIN((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2775*(MIN((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75">
        <f>(1-Summary!$B$11)*T2775+Summary!$B$11*V2775</f>
        <v/>
      </c>
      <c r="P2775">
        <f>IF(B2811=0,0,O2775/B2811)</f>
        <v/>
      </c>
      <c r="Q2775">
        <f>IFERROR(1/IF(Inputs!$B$39="pvp",15,MAX(0.1,Skills!D8-IF(Skills!E8=TRUE,Inputs!$B$32,0))),0)</f>
        <v/>
      </c>
      <c r="R2775">
        <f>IF(AND(Inputs!$B$39&lt;&gt;"pvp",Inputs!$B$44&gt;0),IF(MAX(0,Inputs!$B$44-B2812)&lt;=0,0,(INT(MAX(0,Inputs!$B$44-B2812)/IF(Inputs!$B$39="pvp",15,MAX(0.1,Skills!D8-IF(Skills!E8=TRUE,Inputs!$B$32,0))))+1)),0)</f>
        <v/>
      </c>
      <c r="S2775">
        <f>IFERROR(O2775/N2775,0)</f>
        <v/>
      </c>
      <c r="T2775">
        <f>IF(C2775,(H2775*N2775*IF(AND(Inputs!$B$39&lt;&gt;"pvp",Inputs!$B$44&gt;0),((Skills!G8*((R2775-1)*IF(Skills!H8&gt;0,Skills!I8/Skills!H8,1)+IF(Skills!H8&gt;0,MIN(Skills!I8,MAX(0,MAX(0,Inputs!$B$44-B2812)-((R2775-1)*IF(Inputs!$B$39="pvp",15,MAX(0.1,Skills!D8-IF(Skills!E8=TRUE,Inputs!$B$32,0))))))/Skills!H8,1)))/Inputs!$B$44),G2775*Q2775))*IF(Inputs!$B$39="pvp",1,1+(Inputs!$B$20+((C2794=TRUE)*(F2794-Calc!F27))+Skills!P8+B2808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Hunt"),CHOOSE(ArtifactsInput!$N$35+1,15,18,21,24,27,30)*(1-EXP(-(0.2*B2803)*5)),0)+IF(AND(ArtifactsInput!$M$22,Inputs!$B$4&lt;&gt;"Chapter Hunt"),CHOOSE(ArtifactsInput!$N$22+1,10,12,14,16,18,20)*((0*(((0.15*B2803*5))^0/1)+1*(((0.15*B2803*5))^1/1)+2*(((0.15*B2803*5))^2/2)+3*(((0.15*B2803*5))^3/6)+4*(((0.15*B2803*5))^4/24)+5*(((0.15*B2803*5))^5/120))/((((0.15*B2803*5))^0/1)+(((0.15*B2803*5))^1/1)+(((0.15*B2803*5))^2/2)+(((0.15*B2803*5))^3/6)+(((0.15*B2803*5))^4/24)+(((0.15*B2803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2775*(1-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2775*(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2775*(1-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2775*(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75">
        <f>IF(C2775,(H2775*N2775*IF(AND(Inputs!$B$39&lt;&gt;"pvp",Inputs!$B$44&gt;0),((Skills!G8*((R2775-1)*IF(Skills!H8&gt;0,Skills!I8/Skills!H8,1)+IF(Skills!H8&gt;0,MIN(Skills!I8,MAX(0,MAX(0,Inputs!$B$44-B2812)-((R2775-1)*IF(Inputs!$B$39="pvp",15,MAX(0.1,Skills!D8-IF(Skills!E8=TRUE,Inputs!$B$32,0))))))/Skills!H8,1)))/Inputs!$B$44),G2775*Q2775))*IF(Inputs!$B$39="pvp",1,(1+(Inputs!$B$21+Skills!Q8+B2808+(IF(ArtifactsInput!$M$33,CHOOSE(ArtifactsInput!$N$33+1,30,36,42,48,54,60),0))+(IF(AND(IF(ArtifactsInput!$M$35,FALSE,TRUE),Inputs!$B$4&lt;&gt;"Chapter Hunt"),CHOOSE(ArtifactsInput!$N$35+1,15,18,21,24,27,30)*(1-EXP(-(0.2*B2803)*5)),0)+IF(AND(ArtifactsInput!$M$22,Inputs!$B$4&lt;&gt;"Chapter Hunt"),CHOOSE(ArtifactsInput!$N$22+1,10,12,14,16,18,20)*((0*(((0.15*B2803*5))^0/1)+1*(((0.15*B2803*5))^1/1)+2*(((0.15*B2803*5))^2/2)+3*(((0.15*B2803*5))^3/6)+4*(((0.15*B2803*5))^4/24)+5*(((0.15*B2803*5))^5/120))/((((0.15*B2803*5))^0/1)+(((0.15*B2803*5))^1/1)+(((0.15*B2803*5))^2/2)+(((0.15*B2803*5))^3/6)+(((0.15*B2803*5))^4/24)+(((0.15*B2803*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76">
      <c r="A2776">
        <f>Skills!A9</f>
        <v/>
      </c>
      <c r="B2776">
        <f>Skills!B9</f>
        <v/>
      </c>
      <c r="C2776">
        <f>Inputs!$B$3&gt;=72</f>
        <v/>
      </c>
      <c r="D2776">
        <f>IF(Skills!C9=1,60+Inputs!$B$25+Inputs!$B$29,IF(Skills!C9=2,90+Inputs!$B$26+Inputs!$B$29,IF(Skills!C9=3,120+Inputs!$B$27+Inputs!$B$29,MAX(0,(Inputs!$B$3-100)*3)+Inputs!$B$28+Inputs!$B$29)))</f>
        <v/>
      </c>
      <c r="E2776">
        <f>INDEX(FactorTable!$B$2:$Y$301, MATCH(ROUND(MIN(300,MAX(1,D2776)),0), FactorTable!$A$2:$A$301,0), Skills!M9+1)</f>
        <v/>
      </c>
      <c r="F2776">
        <f>IF(Skills!N9=TRUE,(Skills!L9/10)*(E2776/1000),Skills!L9/10)+Skills!O9</f>
        <v/>
      </c>
      <c r="G2776">
        <f>Calc!G9</f>
        <v/>
      </c>
      <c r="H2776">
        <f>Calc!H9</f>
        <v/>
      </c>
      <c r="I2776">
        <f>IF(Skills!AA9&lt;&gt;"",1+(Skills!AA9/10)*(U2770/1000)/100,1)</f>
        <v/>
      </c>
      <c r="J2776">
        <f>((Inputs!$B$6*(1+Inputs!$B$7/100))+(((Inputs!$B$12*(1+Inputs!$B$13/100))-(Inputs!$B$12*(1+Inputs!$B$13/100)))+0.25*(Inputs!$B$14-Inputs!$B$14))*(1+Inputs!$B$7/100))*(F2776/100)</f>
        <v/>
      </c>
      <c r="K2776">
        <f>J2776*(1+((Inputs!$B$12*(1+Inputs!$B$13/100))*0.01+Inputs!$B$14*0.0025)/100)*(1+Inputs!$B$15/100)*(1+Inputs!$B$16/100)*(5000/(6000+Inputs!$B$43*(1-(100*(1-(1-(Inputs!$B$19+0)/100)*(1-CHOOSE(ArtifactsInput!$N$40+1,5,6,7,8,9,10)/100)^(ArtifactsInput!$M$40-ArtifactsInput!$M$40)))/100)))*(1+(Inputs!$B$24+((C2797=TRUE)*(F2797-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2790=TRUE)*(F2790-Calc!F23))+(((IF(AND(ArtifactsInput!$M$42,((Inputs!$B$9+((C2792=TRUE)*(F2792-Calc!F25))+B2807+(ArtifactsInput!$M$24-ArtifactsInput!$M$24)*CHOOSE(ArtifactsInput!$N$24+1,10,12,14,16,18,20)+IF(ArtifactsInput!$M$10,CHOOSE(ArtifactsInput!$N$10+1,15,18,21,24,27,30)*(IF(Inputs!$B$39="pvp",MIN(15,15)/15,IF(AND(Inputs!$B$39&lt;&gt;"pvp",Inputs!$B$44&gt;0),MIN(15,Inputs!$B$44)/(Inputs!$B$44),0))),0)))&gt;=100),MIN(100,((Inputs!$B$9+((C2792=TRUE)*(F2792-Calc!F25))+B2807+(ArtifactsInput!$M$24-ArtifactsInput!$M$24)*CHOOSE(ArtifactsInput!$N$24+1,10,12,14,16,18,20)+IF(ArtifactsInput!$M$10,CHOOSE(ArtifactsInput!$N$10+1,15,18,21,24,27,30)*(IF(Inputs!$B$39="pvp",MIN(15,15)/15,IF(AND(Inputs!$B$39&lt;&gt;"pvp",Inputs!$B$44&gt;0),MIN(15,Inputs!$B$44)/(Inputs!$B$44),0))),0)))-100),0))*CHOOSE(ArtifactsInput!$N$42+1,0.6,0.72,0.84,0.96,1.08,1.2))),Inputs!$B$18+((C2796=TRUE)*(F2796-Calc!F29))+(IF(AND(ArtifactsInput!$M$42,((Inputs!$B$9+((C2792=TRUE)*(F2792-Calc!F25))+B2807+(ArtifactsInput!$M$24-ArtifactsInput!$M$24)*CHOOSE(ArtifactsInput!$N$24+1,10,12,14,16,18,20)+IF(ArtifactsInput!$M$10,CHOOSE(ArtifactsInput!$N$10+1,15,18,21,24,27,30)*(IF(Inputs!$B$39="pvp",MIN(15,15)/15,IF(AND(Inputs!$B$39&lt;&gt;"pvp",Inputs!$B$44&gt;0),MIN(15,Inputs!$B$44)/(Inputs!$B$44),0))),0)))&gt;=100),CHOOSE(ArtifactsInput!$N$42+1,40,48,56,64,72,80),0))))/100)*(((1+(((C2788=TRUE)*F2788*IF(AND(Inputs!$B$39&lt;&gt;"pvp",Inputs!$B$44&gt;0),(((R2788-1)*(Skills!Y21*(1+Inputs!$B$34/100))+MIN((Skills!Y21*(1+Inputs!$B$34/100)),MAX(0,Inputs!$B$44-((R2788-1)*Skills!D21))))/Inputs!$B$44),IF(Inputs!$B$39="pvp",MIN((Skills!Y21*(1+Inputs!$B$34/100)),15)/15,(Skills!Y21*(1+Inputs!$B$34/100))/Skills!D21)))+((C2795=TRUE)*(F2795-Calc!F28))+((C2785=TRUE)*(F2785-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2782=TRUE)*F2782*IF(AND(Inputs!$B$39&lt;&gt;"pvp",Inputs!$B$44&gt;0),(((R2782-1)*(Skills!Y15*(1+Inputs!$B$34/100))+MIN((Skills!Y15*(1+Inputs!$B$34/100)),MAX(0,Inputs!$B$44-((R2782-1)*Skills!D15))))/Inputs!$B$44),IF(Inputs!$B$39="pvp",MIN((Skills!Y15*(1+Inputs!$B$34/100)),15)/15,(Skills!Y15*(1+Inputs!$B$34/100))/Skills!D15)))/100)*(1+((C2773=TRUE)*F2773*B2801)/100))*B2809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2776)</f>
        <v/>
      </c>
      <c r="L2776">
        <f>K2776*(MIN(Inputs!$B$22+((C2791=TRUE)*(F2791-Calc!F24)),(Inputs!$B$23+0+(IF(ArtifactsInput!$M$15,CHOOSE(ArtifactsInput!$N$15+1,25,30,35,40,45,50)/100*(Inputs!$B$11-Inputs!$B$11),0))))/100+(Inputs!$B$23+0+(IF(ArtifactsInput!$M$15,CHOOSE(ArtifactsInput!$N$15+1,25,30,35,40,45,50)/100*(Inputs!$B$11-Inputs!$B$11),0)))/100)/2</f>
        <v/>
      </c>
      <c r="M2776">
        <f>L2776*(1+(Inputs!$B$10+((C2793=TRUE)*(F2793-Calc!F26))+B2810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76">
        <f>L2776*(1-MIN((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2776*(MIN((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76">
        <f>(1-Summary!$B$11)*T2776+Summary!$B$11*V2776</f>
        <v/>
      </c>
      <c r="P2776">
        <f>IF(B2811=0,0,O2776/B2811)</f>
        <v/>
      </c>
      <c r="Q2776">
        <f>IFERROR(1/IF(Inputs!$B$39="pvp",15,MAX(0.1,Skills!D9-IF(Skills!E9=TRUE,Inputs!$B$32,0))),0)</f>
        <v/>
      </c>
      <c r="R2776">
        <f>IF(AND(Inputs!$B$39&lt;&gt;"pvp",Inputs!$B$44&gt;0),IF(MAX(0,Inputs!$B$44-B2812)&lt;=0,0,(INT(MAX(0,Inputs!$B$44-B2812)/IF(Inputs!$B$39="pvp",15,MAX(0.1,Skills!D9-IF(Skills!E9=TRUE,Inputs!$B$32,0))))+1)),0)</f>
        <v/>
      </c>
      <c r="S2776">
        <f>IFERROR(O2776/N2776,0)</f>
        <v/>
      </c>
      <c r="T2776">
        <f>IF(C2776,(H2776*N2776*IF(AND(Inputs!$B$39&lt;&gt;"pvp",Inputs!$B$44&gt;0),((Skills!G9*((R2776-1)*IF(Skills!H9&gt;0,Skills!I9/Skills!H9,1)+IF(Skills!H9&gt;0,MIN(Skills!I9,MAX(0,MAX(0,Inputs!$B$44-B2812)-((R2776-1)*IF(Inputs!$B$39="pvp",15,MAX(0.1,Skills!D9-IF(Skills!E9=TRUE,Inputs!$B$32,0))))))/Skills!H9,1)))/Inputs!$B$44),G2776*Q2776))*IF(Inputs!$B$39="pvp",1,1+(Inputs!$B$20+((C2794=TRUE)*(F2794-Calc!F27))+Skills!P9+B2808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Hunt"),CHOOSE(ArtifactsInput!$N$35+1,15,18,21,24,27,30)*(1-EXP(-(0.2*B2803)*5)),0)+IF(AND(ArtifactsInput!$M$22,Inputs!$B$4&lt;&gt;"Chapter Hunt"),CHOOSE(ArtifactsInput!$N$22+1,10,12,14,16,18,20)*((0*(((0.15*B2803*5))^0/1)+1*(((0.15*B2803*5))^1/1)+2*(((0.15*B2803*5))^2/2)+3*(((0.15*B2803*5))^3/6)+4*(((0.15*B2803*5))^4/24)+5*(((0.15*B2803*5))^5/120))/((((0.15*B2803*5))^0/1)+(((0.15*B2803*5))^1/1)+(((0.15*B2803*5))^2/2)+(((0.15*B2803*5))^3/6)+(((0.15*B2803*5))^4/24)+(((0.15*B2803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2776*(1-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2776*(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2776*(1-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2776*(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76">
        <f>IF(C2776,(H2776*N2776*IF(AND(Inputs!$B$39&lt;&gt;"pvp",Inputs!$B$44&gt;0),((Skills!G9*((R2776-1)*IF(Skills!H9&gt;0,Skills!I9/Skills!H9,1)+IF(Skills!H9&gt;0,MIN(Skills!I9,MAX(0,MAX(0,Inputs!$B$44-B2812)-((R2776-1)*IF(Inputs!$B$39="pvp",15,MAX(0.1,Skills!D9-IF(Skills!E9=TRUE,Inputs!$B$32,0))))))/Skills!H9,1)))/Inputs!$B$44),G2776*Q2776))*IF(Inputs!$B$39="pvp",1,(1+(Inputs!$B$21+Skills!Q9+B2808+(IF(ArtifactsInput!$M$33,CHOOSE(ArtifactsInput!$N$33+1,30,36,42,48,54,60),0))+(IF(AND(IF(ArtifactsInput!$M$35,FALSE,TRUE),Inputs!$B$4&lt;&gt;"Chapter Hunt"),CHOOSE(ArtifactsInput!$N$35+1,15,18,21,24,27,30)*(1-EXP(-(0.2*B2803)*5)),0)+IF(AND(ArtifactsInput!$M$22,Inputs!$B$4&lt;&gt;"Chapter Hunt"),CHOOSE(ArtifactsInput!$N$22+1,10,12,14,16,18,20)*((0*(((0.15*B2803*5))^0/1)+1*(((0.15*B2803*5))^1/1)+2*(((0.15*B2803*5))^2/2)+3*(((0.15*B2803*5))^3/6)+4*(((0.15*B2803*5))^4/24)+5*(((0.15*B2803*5))^5/120))/((((0.15*B2803*5))^0/1)+(((0.15*B2803*5))^1/1)+(((0.15*B2803*5))^2/2)+(((0.15*B2803*5))^3/6)+(((0.15*B2803*5))^4/24)+(((0.15*B2803*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77">
      <c r="A2777">
        <f>Skills!A10</f>
        <v/>
      </c>
      <c r="B2777">
        <f>Skills!B10</f>
        <v/>
      </c>
      <c r="C2777">
        <f>Inputs!$B$3&gt;=117</f>
        <v/>
      </c>
      <c r="D2777">
        <f>IF(Skills!C10=1,60+Inputs!$B$25+Inputs!$B$29,IF(Skills!C10=2,90+Inputs!$B$26+Inputs!$B$29,IF(Skills!C10=3,120+Inputs!$B$27+Inputs!$B$29,MAX(0,(Inputs!$B$3-100)*3)+Inputs!$B$28+Inputs!$B$29)))</f>
        <v/>
      </c>
      <c r="E2777">
        <f>INDEX(FactorTable!$B$2:$Y$301, MATCH(ROUND(MIN(300,MAX(1,D2777)),0), FactorTable!$A$2:$A$301,0), Skills!M10+1)</f>
        <v/>
      </c>
      <c r="F2777">
        <f>IF(Skills!N10=TRUE,(Skills!L10/10)*(E2777/1000),Skills!L10/10)+Skills!O10</f>
        <v/>
      </c>
      <c r="G2777">
        <f>Calc!G10</f>
        <v/>
      </c>
      <c r="H2777">
        <f>Calc!H10</f>
        <v/>
      </c>
      <c r="I2777">
        <f>IF(Skills!AA10&lt;&gt;"",1+(Skills!AA10/10)*(U2770/1000)/100,1)</f>
        <v/>
      </c>
      <c r="J2777">
        <f>((Inputs!$B$6*(1+Inputs!$B$7/100))+(((Inputs!$B$12*(1+Inputs!$B$13/100))-(Inputs!$B$12*(1+Inputs!$B$13/100)))+0.25*(Inputs!$B$14-Inputs!$B$14))*(1+Inputs!$B$7/100))*(F2777/100)</f>
        <v/>
      </c>
      <c r="K2777">
        <f>J2777*(1+((Inputs!$B$12*(1+Inputs!$B$13/100))*0.01+Inputs!$B$14*0.0025)/100)*(1+Inputs!$B$15/100)*(1+Inputs!$B$16/100)*(5000/(6000+Inputs!$B$43*(1-(100*(1-(1-(Inputs!$B$19+0)/100)*(1-CHOOSE(ArtifactsInput!$N$40+1,5,6,7,8,9,10)/100)^(ArtifactsInput!$M$40-ArtifactsInput!$M$40)))/100)))*(1+(Inputs!$B$24+((C2797=TRUE)*(F2797-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2790=TRUE)*(F2790-Calc!F23))+(((IF(AND(ArtifactsInput!$M$42,((Inputs!$B$9+((C2792=TRUE)*(F2792-Calc!F25))+B2807+(ArtifactsInput!$M$24-ArtifactsInput!$M$24)*CHOOSE(ArtifactsInput!$N$24+1,10,12,14,16,18,20)+IF(ArtifactsInput!$M$10,CHOOSE(ArtifactsInput!$N$10+1,15,18,21,24,27,30)*(IF(Inputs!$B$39="pvp",MIN(15,15)/15,IF(AND(Inputs!$B$39&lt;&gt;"pvp",Inputs!$B$44&gt;0),MIN(15,Inputs!$B$44)/(Inputs!$B$44),0))),0)))&gt;=100),MIN(100,((Inputs!$B$9+((C2792=TRUE)*(F2792-Calc!F25))+B2807+(ArtifactsInput!$M$24-ArtifactsInput!$M$24)*CHOOSE(ArtifactsInput!$N$24+1,10,12,14,16,18,20)+IF(ArtifactsInput!$M$10,CHOOSE(ArtifactsInput!$N$10+1,15,18,21,24,27,30)*(IF(Inputs!$B$39="pvp",MIN(15,15)/15,IF(AND(Inputs!$B$39&lt;&gt;"pvp",Inputs!$B$44&gt;0),MIN(15,Inputs!$B$44)/(Inputs!$B$44),0))),0)))-100),0))*CHOOSE(ArtifactsInput!$N$42+1,0.6,0.72,0.84,0.96,1.08,1.2))),Inputs!$B$18+((C2796=TRUE)*(F2796-Calc!F29))+(IF(AND(ArtifactsInput!$M$42,((Inputs!$B$9+((C2792=TRUE)*(F2792-Calc!F25))+B2807+(ArtifactsInput!$M$24-ArtifactsInput!$M$24)*CHOOSE(ArtifactsInput!$N$24+1,10,12,14,16,18,20)+IF(ArtifactsInput!$M$10,CHOOSE(ArtifactsInput!$N$10+1,15,18,21,24,27,30)*(IF(Inputs!$B$39="pvp",MIN(15,15)/15,IF(AND(Inputs!$B$39&lt;&gt;"pvp",Inputs!$B$44&gt;0),MIN(15,Inputs!$B$44)/(Inputs!$B$44),0))),0)))&gt;=100),CHOOSE(ArtifactsInput!$N$42+1,40,48,56,64,72,80),0))))/100)*(((1+(((C2788=TRUE)*F2788*IF(AND(Inputs!$B$39&lt;&gt;"pvp",Inputs!$B$44&gt;0),(((R2788-1)*(Skills!Y21*(1+Inputs!$B$34/100))+MIN((Skills!Y21*(1+Inputs!$B$34/100)),MAX(0,Inputs!$B$44-((R2788-1)*Skills!D21))))/Inputs!$B$44),IF(Inputs!$B$39="pvp",MIN((Skills!Y21*(1+Inputs!$B$34/100)),15)/15,(Skills!Y21*(1+Inputs!$B$34/100))/Skills!D21)))+((C2795=TRUE)*(F2795-Calc!F28))+((C2785=TRUE)*(F2785-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2782=TRUE)*F2782*IF(AND(Inputs!$B$39&lt;&gt;"pvp",Inputs!$B$44&gt;0),(((R2782-1)*(Skills!Y15*(1+Inputs!$B$34/100))+MIN((Skills!Y15*(1+Inputs!$B$34/100)),MAX(0,Inputs!$B$44-((R2782-1)*Skills!D15))))/Inputs!$B$44),IF(Inputs!$B$39="pvp",MIN((Skills!Y15*(1+Inputs!$B$34/100)),15)/15,(Skills!Y15*(1+Inputs!$B$34/100))/Skills!D15)))/100)*(1+((C2773=TRUE)*F2773*B2801)/100))*B2809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2777)</f>
        <v/>
      </c>
      <c r="L2777">
        <f>K2777*(MIN(Inputs!$B$22+((C2791=TRUE)*(F2791-Calc!F24)),(Inputs!$B$23+0+(IF(ArtifactsInput!$M$15,CHOOSE(ArtifactsInput!$N$15+1,25,30,35,40,45,50)/100*(Inputs!$B$11-Inputs!$B$11),0))))/100+(Inputs!$B$23+0+(IF(ArtifactsInput!$M$15,CHOOSE(ArtifactsInput!$N$15+1,25,30,35,40,45,50)/100*(Inputs!$B$11-Inputs!$B$11),0)))/100)/2</f>
        <v/>
      </c>
      <c r="M2777">
        <f>L2777*(1+(Inputs!$B$10+((C2793=TRUE)*(F2793-Calc!F26))+B2810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77">
        <f>L2777*(1-MIN((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2777*(MIN((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77">
        <f>(1-Summary!$B$11)*T2777+Summary!$B$11*V2777</f>
        <v/>
      </c>
      <c r="P2777">
        <f>IF(B2811=0,0,O2777/B2811)</f>
        <v/>
      </c>
      <c r="Q2777" t="n">
        <v>0</v>
      </c>
      <c r="R2777" t="n">
        <v>0</v>
      </c>
      <c r="S2777" t="n">
        <v>0</v>
      </c>
      <c r="T2777">
        <f>IF(C2777,(0.2*SUMPRODUCT((Skills!Z2:Z31=TRUE)*(C2769:C2798=TRUE)*S2769:S2798)*N2777)*IF(Inputs!$B$39="pvp",1,1+(Inputs!$B$20+((C2794=TRUE)*(F2794-Calc!F27))+Skills!P10+B2808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Hunt"),CHOOSE(ArtifactsInput!$N$35+1,15,18,21,24,27,30)*(1-EXP(-(0.2*B2803)*5)),0)+IF(AND(ArtifactsInput!$M$22,Inputs!$B$4&lt;&gt;"Chapter Hunt"),CHOOSE(ArtifactsInput!$N$22+1,10,12,14,16,18,20)*((0*(((0.15*B2803*5))^0/1)+1*(((0.15*B2803*5))^1/1)+2*(((0.15*B2803*5))^2/2)+3*(((0.15*B2803*5))^3/6)+4*(((0.15*B2803*5))^4/24)+5*(((0.15*B2803*5))^5/120))/((((0.15*B2803*5))^0/1)+(((0.15*B2803*5))^1/1)+(((0.15*B2803*5))^2/2)+(((0.15*B2803*5))^3/6)+(((0.15*B2803*5))^4/24)+(((0.15*B2803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2777*(1-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2777*(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2777*(1-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2777*(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77">
        <f>IF(C2777,(0.2*SUMPRODUCT((Skills!Z2:Z31=TRUE)*(C2769:C2798=TRUE)*S2769:S2798)*N2777)*IF(Inputs!$B$39="pvp",1,(1+(Inputs!$B$21+Skills!Q10+B2808+(IF(ArtifactsInput!$M$33,CHOOSE(ArtifactsInput!$N$33+1,30,36,42,48,54,60),0))+(IF(AND(IF(ArtifactsInput!$M$35,FALSE,TRUE),Inputs!$B$4&lt;&gt;"Chapter Hunt"),CHOOSE(ArtifactsInput!$N$35+1,15,18,21,24,27,30)*(1-EXP(-(0.2*B2803)*5)),0)+IF(AND(ArtifactsInput!$M$22,Inputs!$B$4&lt;&gt;"Chapter Hunt"),CHOOSE(ArtifactsInput!$N$22+1,10,12,14,16,18,20)*((0*(((0.15*B2803*5))^0/1)+1*(((0.15*B2803*5))^1/1)+2*(((0.15*B2803*5))^2/2)+3*(((0.15*B2803*5))^3/6)+4*(((0.15*B2803*5))^4/24)+5*(((0.15*B2803*5))^5/120))/((((0.15*B2803*5))^0/1)+(((0.15*B2803*5))^1/1)+(((0.15*B2803*5))^2/2)+(((0.15*B2803*5))^3/6)+(((0.15*B2803*5))^4/24)+(((0.15*B2803*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78">
      <c r="A2778">
        <f>Skills!A11</f>
        <v/>
      </c>
      <c r="B2778">
        <f>Skills!B11</f>
        <v/>
      </c>
      <c r="C2778">
        <f>Inputs!$B$3&gt;=60</f>
        <v/>
      </c>
      <c r="D2778">
        <f>IF(Skills!C11=1,60+Inputs!$B$25+Inputs!$B$29,IF(Skills!C11=2,90+Inputs!$B$26+Inputs!$B$29,IF(Skills!C11=3,120+Inputs!$B$27+Inputs!$B$29,MAX(0,(Inputs!$B$3-100)*3)+Inputs!$B$28+Inputs!$B$29)))</f>
        <v/>
      </c>
      <c r="E2778">
        <f>INDEX(FactorTable!$B$2:$Y$301, MATCH(ROUND(MIN(300,MAX(1,D2778)),0), FactorTable!$A$2:$A$301,0), Skills!M11+1)</f>
        <v/>
      </c>
      <c r="F2778">
        <f>IF(Skills!N11=TRUE,(Skills!L11/10)*(E2778/1000),Skills!L11/10)+Skills!O11</f>
        <v/>
      </c>
      <c r="G2778">
        <f>Calc!G11</f>
        <v/>
      </c>
      <c r="H2778">
        <f>Calc!H11</f>
        <v/>
      </c>
      <c r="I2778">
        <f>IF(Skills!AA11&lt;&gt;"",1+(Skills!AA11/10)*(U2770/1000)/100,1)</f>
        <v/>
      </c>
      <c r="J2778" t="inlineStr"/>
      <c r="K2778" t="inlineStr"/>
      <c r="L2778" t="inlineStr"/>
      <c r="M2778" t="inlineStr"/>
      <c r="N2778" t="inlineStr"/>
      <c r="O2778">
        <f>(1-Summary!$B$11)*T2778+Summary!$B$11*V2778</f>
        <v/>
      </c>
      <c r="P2778">
        <f>IF(B2811=0,0,O2778/B2811)</f>
        <v/>
      </c>
      <c r="Q2778" t="n">
        <v>0</v>
      </c>
      <c r="R2778" t="n">
        <v>0</v>
      </c>
      <c r="S2778">
        <f>IFERROR(O2778/N2778,0)</f>
        <v/>
      </c>
      <c r="T2778" t="n">
        <v>0</v>
      </c>
      <c r="V2778" t="n">
        <v>0</v>
      </c>
    </row>
    <row r="2779">
      <c r="A2779">
        <f>Skills!A12</f>
        <v/>
      </c>
      <c r="B2779">
        <f>Skills!B12</f>
        <v/>
      </c>
      <c r="C2779">
        <f>Inputs!$B$3&gt;=103</f>
        <v/>
      </c>
      <c r="D2779">
        <f>IF(Skills!C12=1,60+Inputs!$B$25+Inputs!$B$29,IF(Skills!C12=2,90+Inputs!$B$26+Inputs!$B$29,IF(Skills!C12=3,120+Inputs!$B$27+Inputs!$B$29,MAX(0,(Inputs!$B$3-100)*3)+Inputs!$B$28+Inputs!$B$29)))</f>
        <v/>
      </c>
      <c r="E2779">
        <f>INDEX(FactorTable!$B$2:$Y$301, MATCH(ROUND(MIN(300,MAX(1,D2779)),0), FactorTable!$A$2:$A$301,0), Skills!M12+1)</f>
        <v/>
      </c>
      <c r="F2779">
        <f>IF(Skills!N12=TRUE,(Skills!L12/10)*(E2779/1000),Skills!L12/10)+Skills!O12</f>
        <v/>
      </c>
      <c r="G2779">
        <f>Calc!G12</f>
        <v/>
      </c>
      <c r="H2779">
        <f>Calc!H12</f>
        <v/>
      </c>
      <c r="I2779">
        <f>IF(Skills!AA12&lt;&gt;"",1+(Skills!AA12/10)*(U2770/1000)/100,1)</f>
        <v/>
      </c>
      <c r="J2779">
        <f>((Inputs!$B$6*(1+Inputs!$B$7/100))+(((Inputs!$B$12*(1+Inputs!$B$13/100))-(Inputs!$B$12*(1+Inputs!$B$13/100)))+0.25*(Inputs!$B$14-Inputs!$B$14))*(1+Inputs!$B$7/100))*(F2779/100)</f>
        <v/>
      </c>
      <c r="K2779">
        <f>J2779*(1+((Inputs!$B$12*(1+Inputs!$B$13/100))*0.01+Inputs!$B$14*0.0025)/100)*(1+Inputs!$B$15/100)*(1+Inputs!$B$16/100)*(5000/(6000+Inputs!$B$43*(1-(100*(1-(1-(Inputs!$B$19+0)/100)*(1-CHOOSE(ArtifactsInput!$N$40+1,5,6,7,8,9,10)/100)^(ArtifactsInput!$M$40-ArtifactsInput!$M$40)))/100)))*(1+(Inputs!$B$24+((C2797=TRUE)*(F2797-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2790=TRUE)*(F2790-Calc!F23))+(((IF(AND(ArtifactsInput!$M$42,((Inputs!$B$9+((C2792=TRUE)*(F2792-Calc!F25))+B2807+(ArtifactsInput!$M$24-ArtifactsInput!$M$24)*CHOOSE(ArtifactsInput!$N$24+1,10,12,14,16,18,20)+IF(ArtifactsInput!$M$10,CHOOSE(ArtifactsInput!$N$10+1,15,18,21,24,27,30)*(IF(Inputs!$B$39="pvp",MIN(15,15)/15,IF(AND(Inputs!$B$39&lt;&gt;"pvp",Inputs!$B$44&gt;0),MIN(15,Inputs!$B$44)/(Inputs!$B$44),0))),0)))&gt;=100),MIN(100,((Inputs!$B$9+((C2792=TRUE)*(F2792-Calc!F25))+B2807+(ArtifactsInput!$M$24-ArtifactsInput!$M$24)*CHOOSE(ArtifactsInput!$N$24+1,10,12,14,16,18,20)+IF(ArtifactsInput!$M$10,CHOOSE(ArtifactsInput!$N$10+1,15,18,21,24,27,30)*(IF(Inputs!$B$39="pvp",MIN(15,15)/15,IF(AND(Inputs!$B$39&lt;&gt;"pvp",Inputs!$B$44&gt;0),MIN(15,Inputs!$B$44)/(Inputs!$B$44),0))),0)))-100),0))*CHOOSE(ArtifactsInput!$N$42+1,0.6,0.72,0.84,0.96,1.08,1.2))),Inputs!$B$18+((C2796=TRUE)*(F2796-Calc!F29))+(IF(AND(ArtifactsInput!$M$42,((Inputs!$B$9+((C2792=TRUE)*(F2792-Calc!F25))+B2807+(ArtifactsInput!$M$24-ArtifactsInput!$M$24)*CHOOSE(ArtifactsInput!$N$24+1,10,12,14,16,18,20)+IF(ArtifactsInput!$M$10,CHOOSE(ArtifactsInput!$N$10+1,15,18,21,24,27,30)*(IF(Inputs!$B$39="pvp",MIN(15,15)/15,IF(AND(Inputs!$B$39&lt;&gt;"pvp",Inputs!$B$44&gt;0),MIN(15,Inputs!$B$44)/(Inputs!$B$44),0))),0)))&gt;=100),CHOOSE(ArtifactsInput!$N$42+1,40,48,56,64,72,80),0))))/100)*(((1+(((C2788=TRUE)*F2788*IF(AND(Inputs!$B$39&lt;&gt;"pvp",Inputs!$B$44&gt;0),(((R2788-1)*(Skills!Y21*(1+Inputs!$B$34/100))+MIN((Skills!Y21*(1+Inputs!$B$34/100)),MAX(0,Inputs!$B$44-((R2788-1)*Skills!D21))))/Inputs!$B$44),IF(Inputs!$B$39="pvp",MIN((Skills!Y21*(1+Inputs!$B$34/100)),15)/15,(Skills!Y21*(1+Inputs!$B$34/100))/Skills!D21)))+((C2795=TRUE)*(F2795-Calc!F28))+((C2785=TRUE)*(F2785-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2782=TRUE)*F2782*IF(AND(Inputs!$B$39&lt;&gt;"pvp",Inputs!$B$44&gt;0),(((R2782-1)*(Skills!Y15*(1+Inputs!$B$34/100))+MIN((Skills!Y15*(1+Inputs!$B$34/100)),MAX(0,Inputs!$B$44-((R2782-1)*Skills!D15))))/Inputs!$B$44),IF(Inputs!$B$39="pvp",MIN((Skills!Y15*(1+Inputs!$B$34/100)),15)/15,(Skills!Y15*(1+Inputs!$B$34/100))/Skills!D15)))/100)*(1+((C2773=TRUE)*F2773*B2801)/100))*B2809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2779)</f>
        <v/>
      </c>
      <c r="L2779">
        <f>K2779*(MIN(Inputs!$B$22+((C2791=TRUE)*(F2791-Calc!F24)),(Inputs!$B$23+0+(IF(ArtifactsInput!$M$15,CHOOSE(ArtifactsInput!$N$15+1,25,30,35,40,45,50)/100*(Inputs!$B$11-Inputs!$B$11),0))))/100+(Inputs!$B$23+0+(IF(ArtifactsInput!$M$15,CHOOSE(ArtifactsInput!$N$15+1,25,30,35,40,45,50)/100*(Inputs!$B$11-Inputs!$B$11),0)))/100)/2</f>
        <v/>
      </c>
      <c r="M2779">
        <f>L2779*(1+(Inputs!$B$10+((C2793=TRUE)*(F2793-Calc!F26))+B2810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79">
        <f>L2779*(1-MIN((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2779*(MIN((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79">
        <f>(1-Summary!$B$11)*T2779+Summary!$B$11*V2779</f>
        <v/>
      </c>
      <c r="P2779">
        <f>IF(B2811=0,0,O2779/B2811)</f>
        <v/>
      </c>
      <c r="Q2779">
        <f>IFERROR(1/IF(Inputs!$B$39="pvp",15,MAX(0.1,Skills!D12-IF(Skills!E12=TRUE,Inputs!$B$32,0))),0)</f>
        <v/>
      </c>
      <c r="R2779">
        <f>IF(AND(Inputs!$B$39&lt;&gt;"pvp",Inputs!$B$44&gt;0),IF(MAX(0,Inputs!$B$44-B2812)&lt;=0,0,(INT(MAX(0,Inputs!$B$44-B2812)/IF(Inputs!$B$39="pvp",15,MAX(0.1,Skills!D12-IF(Skills!E12=TRUE,Inputs!$B$32,0))))+1)),0)</f>
        <v/>
      </c>
      <c r="S2779">
        <f>IFERROR(O2779/N2779,0)</f>
        <v/>
      </c>
      <c r="T2779">
        <f>IF(C2779,(H2779*N2779*IF(AND(Inputs!$B$39&lt;&gt;"pvp",Inputs!$B$44&gt;0),((Skills!G12*((R2779-1)*IF(Skills!H12&gt;0,Skills!I12/Skills!H12,1)+IF(Skills!H12&gt;0,MIN(Skills!I12,MAX(0,MAX(0,Inputs!$B$44-B2812)-((R2779-1)*IF(Inputs!$B$39="pvp",15,MAX(0.1,Skills!D12-IF(Skills!E12=TRUE,Inputs!$B$32,0))))))/Skills!H12,1)))/Inputs!$B$44),G2779*Q2779))*IF(Inputs!$B$39="pvp",1,1+(Inputs!$B$20+((C2794=TRUE)*(F2794-Calc!F27))+Skills!P12+B2808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Hunt"),CHOOSE(ArtifactsInput!$N$35+1,15,18,21,24,27,30)*(1-EXP(-(0.2*B2803)*5)),0)+IF(AND(ArtifactsInput!$M$22,Inputs!$B$4&lt;&gt;"Chapter Hunt"),CHOOSE(ArtifactsInput!$N$22+1,10,12,14,16,18,20)*((0*(((0.15*B2803*5))^0/1)+1*(((0.15*B2803*5))^1/1)+2*(((0.15*B2803*5))^2/2)+3*(((0.15*B2803*5))^3/6)+4*(((0.15*B2803*5))^4/24)+5*(((0.15*B2803*5))^5/120))/((((0.15*B2803*5))^0/1)+(((0.15*B2803*5))^1/1)+(((0.15*B2803*5))^2/2)+(((0.15*B2803*5))^3/6)+(((0.15*B2803*5))^4/24)+(((0.15*B2803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2779*(1-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2779*(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2779*(1-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2779*(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79">
        <f>IF(C2779,(H2779*N2779*IF(AND(Inputs!$B$39&lt;&gt;"pvp",Inputs!$B$44&gt;0),((Skills!G12*((R2779-1)*IF(Skills!H12&gt;0,Skills!I12/Skills!H12,1)+IF(Skills!H12&gt;0,MIN(Skills!I12,MAX(0,MAX(0,Inputs!$B$44-B2812)-((R2779-1)*IF(Inputs!$B$39="pvp",15,MAX(0.1,Skills!D12-IF(Skills!E12=TRUE,Inputs!$B$32,0))))))/Skills!H12,1)))/Inputs!$B$44),G2779*Q2779))*IF(Inputs!$B$39="pvp",1,(1+(Inputs!$B$21+Skills!Q12+B2808+(IF(ArtifactsInput!$M$33,CHOOSE(ArtifactsInput!$N$33+1,30,36,42,48,54,60),0))+(IF(AND(IF(ArtifactsInput!$M$35,FALSE,TRUE),Inputs!$B$4&lt;&gt;"Chapter Hunt"),CHOOSE(ArtifactsInput!$N$35+1,15,18,21,24,27,30)*(1-EXP(-(0.2*B2803)*5)),0)+IF(AND(ArtifactsInput!$M$22,Inputs!$B$4&lt;&gt;"Chapter Hunt"),CHOOSE(ArtifactsInput!$N$22+1,10,12,14,16,18,20)*((0*(((0.15*B2803*5))^0/1)+1*(((0.15*B2803*5))^1/1)+2*(((0.15*B2803*5))^2/2)+3*(((0.15*B2803*5))^3/6)+4*(((0.15*B2803*5))^4/24)+5*(((0.15*B2803*5))^5/120))/((((0.15*B2803*5))^0/1)+(((0.15*B2803*5))^1/1)+(((0.15*B2803*5))^2/2)+(((0.15*B2803*5))^3/6)+(((0.15*B2803*5))^4/24)+(((0.15*B2803*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80">
      <c r="A2780">
        <f>Skills!A13</f>
        <v/>
      </c>
      <c r="B2780">
        <f>Skills!B13</f>
        <v/>
      </c>
      <c r="C2780">
        <f>Inputs!$B$3&gt;=105</f>
        <v/>
      </c>
      <c r="D2780">
        <f>IF(Skills!C13=1,60+Inputs!$B$25+Inputs!$B$29,IF(Skills!C13=2,90+Inputs!$B$26+Inputs!$B$29,IF(Skills!C13=3,120+Inputs!$B$27+Inputs!$B$29,MAX(0,(Inputs!$B$3-100)*3)+Inputs!$B$28+Inputs!$B$29)))</f>
        <v/>
      </c>
      <c r="E2780">
        <f>INDEX(FactorTable!$B$2:$Y$301, MATCH(ROUND(MIN(300,MAX(1,D2780)),0), FactorTable!$A$2:$A$301,0), Skills!M13+1)</f>
        <v/>
      </c>
      <c r="F2780">
        <f>IF(Skills!N13=TRUE,(Skills!L13/10)*(E2780/1000),Skills!L13/10)+Skills!O13</f>
        <v/>
      </c>
      <c r="G2780">
        <f>Calc!G13</f>
        <v/>
      </c>
      <c r="H2780">
        <f>Calc!H13</f>
        <v/>
      </c>
      <c r="I2780">
        <f>IF(Skills!AA13&lt;&gt;"",1+(Skills!AA13/10)*(U2770/1000)/100,1)</f>
        <v/>
      </c>
      <c r="J2780">
        <f>((Inputs!$B$6*(1+Inputs!$B$7/100))+(((Inputs!$B$12*(1+Inputs!$B$13/100))-(Inputs!$B$12*(1+Inputs!$B$13/100)))+0.25*(Inputs!$B$14-Inputs!$B$14))*(1+Inputs!$B$7/100))*(F2780/100)</f>
        <v/>
      </c>
      <c r="K2780">
        <f>J2780*(1+((Inputs!$B$12*(1+Inputs!$B$13/100))*0.01+Inputs!$B$14*0.0025)/100)*(1+Inputs!$B$15/100)*(1+Inputs!$B$16/100)*(5000/(6000+Inputs!$B$43*(1-(100*(1-(1-(Inputs!$B$19+0)/100)*(1-CHOOSE(ArtifactsInput!$N$40+1,5,6,7,8,9,10)/100)^(ArtifactsInput!$M$40-ArtifactsInput!$M$40)))/100)))*(1+(Inputs!$B$24+((C2797=TRUE)*(F2797-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2790=TRUE)*(F2790-Calc!F23))+(((IF(AND(ArtifactsInput!$M$42,((Inputs!$B$9+((C2792=TRUE)*(F2792-Calc!F25))+B2807+(ArtifactsInput!$M$24-ArtifactsInput!$M$24)*CHOOSE(ArtifactsInput!$N$24+1,10,12,14,16,18,20)+IF(ArtifactsInput!$M$10,CHOOSE(ArtifactsInput!$N$10+1,15,18,21,24,27,30)*(IF(Inputs!$B$39="pvp",MIN(15,15)/15,IF(AND(Inputs!$B$39&lt;&gt;"pvp",Inputs!$B$44&gt;0),MIN(15,Inputs!$B$44)/(Inputs!$B$44),0))),0)))&gt;=100),MIN(100,((Inputs!$B$9+((C2792=TRUE)*(F2792-Calc!F25))+B2807+(ArtifactsInput!$M$24-ArtifactsInput!$M$24)*CHOOSE(ArtifactsInput!$N$24+1,10,12,14,16,18,20)+IF(ArtifactsInput!$M$10,CHOOSE(ArtifactsInput!$N$10+1,15,18,21,24,27,30)*(IF(Inputs!$B$39="pvp",MIN(15,15)/15,IF(AND(Inputs!$B$39&lt;&gt;"pvp",Inputs!$B$44&gt;0),MIN(15,Inputs!$B$44)/(Inputs!$B$44),0))),0)))-100),0))*CHOOSE(ArtifactsInput!$N$42+1,0.6,0.72,0.84,0.96,1.08,1.2))),Inputs!$B$18+((C2796=TRUE)*(F2796-Calc!F29))+(IF(AND(ArtifactsInput!$M$42,((Inputs!$B$9+((C2792=TRUE)*(F2792-Calc!F25))+B2807+(ArtifactsInput!$M$24-ArtifactsInput!$M$24)*CHOOSE(ArtifactsInput!$N$24+1,10,12,14,16,18,20)+IF(ArtifactsInput!$M$10,CHOOSE(ArtifactsInput!$N$10+1,15,18,21,24,27,30)*(IF(Inputs!$B$39="pvp",MIN(15,15)/15,IF(AND(Inputs!$B$39&lt;&gt;"pvp",Inputs!$B$44&gt;0),MIN(15,Inputs!$B$44)/(Inputs!$B$44),0))),0)))&gt;=100),CHOOSE(ArtifactsInput!$N$42+1,40,48,56,64,72,80),0))))/100)*(((1+(((C2788=TRUE)*F2788*IF(AND(Inputs!$B$39&lt;&gt;"pvp",Inputs!$B$44&gt;0),(((R2788-1)*(Skills!Y21*(1+Inputs!$B$34/100))+MIN((Skills!Y21*(1+Inputs!$B$34/100)),MAX(0,Inputs!$B$44-((R2788-1)*Skills!D21))))/Inputs!$B$44),IF(Inputs!$B$39="pvp",MIN((Skills!Y21*(1+Inputs!$B$34/100)),15)/15,(Skills!Y21*(1+Inputs!$B$34/100))/Skills!D21)))+((C2795=TRUE)*(F2795-Calc!F28))+((C2785=TRUE)*(F2785-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2782=TRUE)*F2782*IF(AND(Inputs!$B$39&lt;&gt;"pvp",Inputs!$B$44&gt;0),(((R2782-1)*(Skills!Y15*(1+Inputs!$B$34/100))+MIN((Skills!Y15*(1+Inputs!$B$34/100)),MAX(0,Inputs!$B$44-((R2782-1)*Skills!D15))))/Inputs!$B$44),IF(Inputs!$B$39="pvp",MIN((Skills!Y15*(1+Inputs!$B$34/100)),15)/15,(Skills!Y15*(1+Inputs!$B$34/100))/Skills!D15)))/100)*(1+((C2773=TRUE)*F2773*B2801)/100))*B2809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2780)</f>
        <v/>
      </c>
      <c r="L2780">
        <f>K2780*(MIN(Inputs!$B$22+((C2791=TRUE)*(F2791-Calc!F24)),(Inputs!$B$23+0+(IF(ArtifactsInput!$M$15,CHOOSE(ArtifactsInput!$N$15+1,25,30,35,40,45,50)/100*(Inputs!$B$11-Inputs!$B$11),0))))/100+(Inputs!$B$23+0+(IF(ArtifactsInput!$M$15,CHOOSE(ArtifactsInput!$N$15+1,25,30,35,40,45,50)/100*(Inputs!$B$11-Inputs!$B$11),0)))/100)/2</f>
        <v/>
      </c>
      <c r="M2780">
        <f>L2780*(1+(Inputs!$B$10+((C2793=TRUE)*(F2793-Calc!F26))+B2810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80">
        <f>L2780*(1-MIN((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2780*(MIN((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80">
        <f>(1-Summary!$B$11)*T2780+Summary!$B$11*V2780</f>
        <v/>
      </c>
      <c r="P2780">
        <f>IF(B2811=0,0,O2780/B2811)</f>
        <v/>
      </c>
      <c r="Q2780">
        <f>IFERROR(1/IF(Inputs!$B$39="pvp",15,MAX(0.1,Skills!D13-IF(Skills!E13=TRUE,Inputs!$B$32,0))),0)</f>
        <v/>
      </c>
      <c r="R2780">
        <f>IF(AND(Inputs!$B$39&lt;&gt;"pvp",Inputs!$B$44&gt;0),IF(MAX(0,Inputs!$B$44-B2812)&lt;=0,0,(INT(MAX(0,Inputs!$B$44-B2812)/IF(Inputs!$B$39="pvp",15,MAX(0.1,Skills!D13-IF(Skills!E13=TRUE,Inputs!$B$32,0))))+1)),0)</f>
        <v/>
      </c>
      <c r="S2780">
        <f>IFERROR(O2780/N2780,0)</f>
        <v/>
      </c>
      <c r="T2780">
        <f>IF(C2780,(H2780*N2780*IF(AND(Inputs!$B$39&lt;&gt;"pvp",Inputs!$B$44&gt;0),((Skills!G13*((R2780-1)*IF(Skills!H13&gt;0,Skills!I13/Skills!H13,1)+IF(Skills!H13&gt;0,MIN(Skills!I13,MAX(0,MAX(0,Inputs!$B$44-B2812)-((R2780-1)*IF(Inputs!$B$39="pvp",15,MAX(0.1,Skills!D13-IF(Skills!E13=TRUE,Inputs!$B$32,0))))))/Skills!H13,1)))/Inputs!$B$44),G2780*Q2780))*IF(Inputs!$B$39="pvp",1,1+(Inputs!$B$20+((C2794=TRUE)*(F2794-Calc!F27))+Skills!P13+B2808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Hunt"),CHOOSE(ArtifactsInput!$N$35+1,15,18,21,24,27,30)*(1-EXP(-(0.2*B2803)*5)),0)+IF(AND(ArtifactsInput!$M$22,Inputs!$B$4&lt;&gt;"Chapter Hunt"),CHOOSE(ArtifactsInput!$N$22+1,10,12,14,16,18,20)*((0*(((0.15*B2803*5))^0/1)+1*(((0.15*B2803*5))^1/1)+2*(((0.15*B2803*5))^2/2)+3*(((0.15*B2803*5))^3/6)+4*(((0.15*B2803*5))^4/24)+5*(((0.15*B2803*5))^5/120))/((((0.15*B2803*5))^0/1)+(((0.15*B2803*5))^1/1)+(((0.15*B2803*5))^2/2)+(((0.15*B2803*5))^3/6)+(((0.15*B2803*5))^4/24)+(((0.15*B2803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2780*(1-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2780*(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2780*(1-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2780*(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80">
        <f>IF(C2780,(H2780*N2780*IF(AND(Inputs!$B$39&lt;&gt;"pvp",Inputs!$B$44&gt;0),((Skills!G13*((R2780-1)*IF(Skills!H13&gt;0,Skills!I13/Skills!H13,1)+IF(Skills!H13&gt;0,MIN(Skills!I13,MAX(0,MAX(0,Inputs!$B$44-B2812)-((R2780-1)*IF(Inputs!$B$39="pvp",15,MAX(0.1,Skills!D13-IF(Skills!E13=TRUE,Inputs!$B$32,0))))))/Skills!H13,1)))/Inputs!$B$44),G2780*Q2780))*IF(Inputs!$B$39="pvp",1,(1+(Inputs!$B$21+Skills!Q13+B2808+(IF(ArtifactsInput!$M$33,CHOOSE(ArtifactsInput!$N$33+1,30,36,42,48,54,60),0))+(IF(AND(IF(ArtifactsInput!$M$35,FALSE,TRUE),Inputs!$B$4&lt;&gt;"Chapter Hunt"),CHOOSE(ArtifactsInput!$N$35+1,15,18,21,24,27,30)*(1-EXP(-(0.2*B2803)*5)),0)+IF(AND(ArtifactsInput!$M$22,Inputs!$B$4&lt;&gt;"Chapter Hunt"),CHOOSE(ArtifactsInput!$N$22+1,10,12,14,16,18,20)*((0*(((0.15*B2803*5))^0/1)+1*(((0.15*B2803*5))^1/1)+2*(((0.15*B2803*5))^2/2)+3*(((0.15*B2803*5))^3/6)+4*(((0.15*B2803*5))^4/24)+5*(((0.15*B2803*5))^5/120))/((((0.15*B2803*5))^0/1)+(((0.15*B2803*5))^1/1)+(((0.15*B2803*5))^2/2)+(((0.15*B2803*5))^3/6)+(((0.15*B2803*5))^4/24)+(((0.15*B2803*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81">
      <c r="A2781">
        <f>Skills!A14</f>
        <v/>
      </c>
      <c r="B2781">
        <f>Skills!B14</f>
        <v/>
      </c>
      <c r="C2781">
        <f>Inputs!$B$3&gt;=105</f>
        <v/>
      </c>
      <c r="D2781">
        <f>IF(Skills!C14=1,60+Inputs!$B$25+Inputs!$B$29,IF(Skills!C14=2,90+Inputs!$B$26+Inputs!$B$29,IF(Skills!C14=3,120+Inputs!$B$27+Inputs!$B$29,MAX(0,(Inputs!$B$3-100)*3)+Inputs!$B$28+Inputs!$B$29)))</f>
        <v/>
      </c>
      <c r="E2781">
        <f>INDEX(FactorTable!$B$2:$Y$301, MATCH(ROUND(MIN(300,MAX(1,D2781)),0), FactorTable!$A$2:$A$301,0), Skills!M14+1)</f>
        <v/>
      </c>
      <c r="F2781">
        <f>IF(Skills!N14=TRUE,(Skills!L14/10)*(E2781/1000),Skills!L14/10)+Skills!O14</f>
        <v/>
      </c>
      <c r="G2781">
        <f>Calc!G14</f>
        <v/>
      </c>
      <c r="H2781">
        <f>Calc!H14</f>
        <v/>
      </c>
      <c r="I2781">
        <f>IF(Skills!AA14&lt;&gt;"",1+(Skills!AA14/10)*(U2770/1000)/100,1)</f>
        <v/>
      </c>
      <c r="J2781">
        <f>((Inputs!$B$6*(1+Inputs!$B$7/100))+(((Inputs!$B$12*(1+Inputs!$B$13/100))-(Inputs!$B$12*(1+Inputs!$B$13/100)))+0.25*(Inputs!$B$14-Inputs!$B$14))*(1+Inputs!$B$7/100))*(F2781/100)</f>
        <v/>
      </c>
      <c r="K2781">
        <f>J2781*(1+((Inputs!$B$12*(1+Inputs!$B$13/100))*0.01+Inputs!$B$14*0.0025)/100)*(1+Inputs!$B$15/100)*(1+Inputs!$B$16/100)*(5000/(6000+Inputs!$B$43*(1-(100*(1-(1-(Inputs!$B$19+0)/100)*(1-CHOOSE(ArtifactsInput!$N$40+1,5,6,7,8,9,10)/100)^(ArtifactsInput!$M$40-ArtifactsInput!$M$40)))/100)))*(1+(Inputs!$B$24+((C2797=TRUE)*(F2797-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2790=TRUE)*(F2790-Calc!F23))+(((IF(AND(ArtifactsInput!$M$42,((Inputs!$B$9+((C2792=TRUE)*(F2792-Calc!F25))+B2807+(ArtifactsInput!$M$24-ArtifactsInput!$M$24)*CHOOSE(ArtifactsInput!$N$24+1,10,12,14,16,18,20)+IF(ArtifactsInput!$M$10,CHOOSE(ArtifactsInput!$N$10+1,15,18,21,24,27,30)*(IF(Inputs!$B$39="pvp",MIN(15,15)/15,IF(AND(Inputs!$B$39&lt;&gt;"pvp",Inputs!$B$44&gt;0),MIN(15,Inputs!$B$44)/(Inputs!$B$44),0))),0)))&gt;=100),MIN(100,((Inputs!$B$9+((C2792=TRUE)*(F2792-Calc!F25))+B2807+(ArtifactsInput!$M$24-ArtifactsInput!$M$24)*CHOOSE(ArtifactsInput!$N$24+1,10,12,14,16,18,20)+IF(ArtifactsInput!$M$10,CHOOSE(ArtifactsInput!$N$10+1,15,18,21,24,27,30)*(IF(Inputs!$B$39="pvp",MIN(15,15)/15,IF(AND(Inputs!$B$39&lt;&gt;"pvp",Inputs!$B$44&gt;0),MIN(15,Inputs!$B$44)/(Inputs!$B$44),0))),0)))-100),0))*CHOOSE(ArtifactsInput!$N$42+1,0.6,0.72,0.84,0.96,1.08,1.2))),Inputs!$B$18+((C2796=TRUE)*(F2796-Calc!F29))+(IF(AND(ArtifactsInput!$M$42,((Inputs!$B$9+((C2792=TRUE)*(F2792-Calc!F25))+B2807+(ArtifactsInput!$M$24-ArtifactsInput!$M$24)*CHOOSE(ArtifactsInput!$N$24+1,10,12,14,16,18,20)+IF(ArtifactsInput!$M$10,CHOOSE(ArtifactsInput!$N$10+1,15,18,21,24,27,30)*(IF(Inputs!$B$39="pvp",MIN(15,15)/15,IF(AND(Inputs!$B$39&lt;&gt;"pvp",Inputs!$B$44&gt;0),MIN(15,Inputs!$B$44)/(Inputs!$B$44),0))),0)))&gt;=100),CHOOSE(ArtifactsInput!$N$42+1,40,48,56,64,72,80),0))))/100)*(((1+(((C2788=TRUE)*F2788*IF(AND(Inputs!$B$39&lt;&gt;"pvp",Inputs!$B$44&gt;0),(((R2788-1)*(Skills!Y21*(1+Inputs!$B$34/100))+MIN((Skills!Y21*(1+Inputs!$B$34/100)),MAX(0,Inputs!$B$44-((R2788-1)*Skills!D21))))/Inputs!$B$44),IF(Inputs!$B$39="pvp",MIN((Skills!Y21*(1+Inputs!$B$34/100)),15)/15,(Skills!Y21*(1+Inputs!$B$34/100))/Skills!D21)))+((C2795=TRUE)*(F2795-Calc!F28))+((C2785=TRUE)*(F2785-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2782=TRUE)*F2782*IF(AND(Inputs!$B$39&lt;&gt;"pvp",Inputs!$B$44&gt;0),(((R2782-1)*(Skills!Y15*(1+Inputs!$B$34/100))+MIN((Skills!Y15*(1+Inputs!$B$34/100)),MAX(0,Inputs!$B$44-((R2782-1)*Skills!D15))))/Inputs!$B$44),IF(Inputs!$B$39="pvp",MIN((Skills!Y15*(1+Inputs!$B$34/100)),15)/15,(Skills!Y15*(1+Inputs!$B$34/100))/Skills!D15)))/100)*(1+((C2773=TRUE)*F2773*B2801)/100))*B2809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2781)</f>
        <v/>
      </c>
      <c r="L2781">
        <f>K2781*(MIN(Inputs!$B$22+((C2791=TRUE)*(F2791-Calc!F24)),(Inputs!$B$23+0+(IF(ArtifactsInput!$M$15,CHOOSE(ArtifactsInput!$N$15+1,25,30,35,40,45,50)/100*(Inputs!$B$11-Inputs!$B$11),0))))/100+(Inputs!$B$23+0+(IF(ArtifactsInput!$M$15,CHOOSE(ArtifactsInput!$N$15+1,25,30,35,40,45,50)/100*(Inputs!$B$11-Inputs!$B$11),0)))/100)/2</f>
        <v/>
      </c>
      <c r="M2781">
        <f>L2781*(1+(Inputs!$B$10+((C2793=TRUE)*(F2793-Calc!F26))+B2810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81">
        <f>L2781*(1-MIN((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2781*(MIN((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81">
        <f>(1-Summary!$B$11)*T2781+Summary!$B$11*V2781</f>
        <v/>
      </c>
      <c r="P2781">
        <f>IF(B2811=0,0,O2781/B2811)</f>
        <v/>
      </c>
      <c r="Q2781">
        <f>IFERROR(1/IF(Inputs!$B$39="pvp",15,MAX(0.1,Skills!D14-IF(Skills!E14=TRUE,Inputs!$B$32,0))),0)</f>
        <v/>
      </c>
      <c r="R2781">
        <f>IF(AND(Inputs!$B$39&lt;&gt;"pvp",Inputs!$B$44&gt;0),IF(MAX(0,Inputs!$B$44-B2812)&lt;=0,0,(INT(MAX(0,Inputs!$B$44-B2812)/IF(Inputs!$B$39="pvp",15,MAX(0.1,Skills!D14-IF(Skills!E14=TRUE,Inputs!$B$32,0))))+1)),0)</f>
        <v/>
      </c>
      <c r="S2781">
        <f>IFERROR(O2781/N2781,0)</f>
        <v/>
      </c>
      <c r="T2781">
        <f>IF(C2781,(H2781*N2781*IF(AND(Inputs!$B$39&lt;&gt;"pvp",Inputs!$B$44&gt;0),((Skills!G14*((R2781-1)*IF(Skills!H14&gt;0,Skills!I14/Skills!H14,1)+IF(Skills!H14&gt;0,MIN(Skills!I14,MAX(0,MAX(0,Inputs!$B$44-B2812)-((R2781-1)*IF(Inputs!$B$39="pvp",15,MAX(0.1,Skills!D14-IF(Skills!E14=TRUE,Inputs!$B$32,0))))))/Skills!H14,1)))/Inputs!$B$44),G2781*Q2781))*IF(Inputs!$B$39="pvp",1,1+(Inputs!$B$20+((C2794=TRUE)*(F2794-Calc!F27))+Skills!P14+B2808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Hunt"),CHOOSE(ArtifactsInput!$N$35+1,15,18,21,24,27,30)*(1-EXP(-(0.2*B2803)*5)),0)+IF(AND(ArtifactsInput!$M$22,Inputs!$B$4&lt;&gt;"Chapter Hunt"),CHOOSE(ArtifactsInput!$N$22+1,10,12,14,16,18,20)*((0*(((0.15*B2803*5))^0/1)+1*(((0.15*B2803*5))^1/1)+2*(((0.15*B2803*5))^2/2)+3*(((0.15*B2803*5))^3/6)+4*(((0.15*B2803*5))^4/24)+5*(((0.15*B2803*5))^5/120))/((((0.15*B2803*5))^0/1)+(((0.15*B2803*5))^1/1)+(((0.15*B2803*5))^2/2)+(((0.15*B2803*5))^3/6)+(((0.15*B2803*5))^4/24)+(((0.15*B2803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2781*(1-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2781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2781*(1-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2781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81">
        <f>IF(C2781,(H2781*N2781*IF(AND(Inputs!$B$39&lt;&gt;"pvp",Inputs!$B$44&gt;0),((Skills!G14*((R2781-1)*IF(Skills!H14&gt;0,Skills!I14/Skills!H14,1)+IF(Skills!H14&gt;0,MIN(Skills!I14,MAX(0,MAX(0,Inputs!$B$44-B2812)-((R2781-1)*IF(Inputs!$B$39="pvp",15,MAX(0.1,Skills!D14-IF(Skills!E14=TRUE,Inputs!$B$32,0))))))/Skills!H14,1)))/Inputs!$B$44),G2781*Q2781))*IF(Inputs!$B$39="pvp",1,(1+(Inputs!$B$21+Skills!Q14+B2808+(IF(ArtifactsInput!$M$33,CHOOSE(ArtifactsInput!$N$33+1,30,36,42,48,54,60),0))+(IF(AND(IF(ArtifactsInput!$M$35,FALSE,TRUE),Inputs!$B$4&lt;&gt;"Chapter Hunt"),CHOOSE(ArtifactsInput!$N$35+1,15,18,21,24,27,30)*(1-EXP(-(0.2*B2803)*5)),0)+IF(AND(ArtifactsInput!$M$22,Inputs!$B$4&lt;&gt;"Chapter Hunt"),CHOOSE(ArtifactsInput!$N$22+1,10,12,14,16,18,20)*((0*(((0.15*B2803*5))^0/1)+1*(((0.15*B2803*5))^1/1)+2*(((0.15*B2803*5))^2/2)+3*(((0.15*B2803*5))^3/6)+4*(((0.15*B2803*5))^4/24)+5*(((0.15*B2803*5))^5/120))/((((0.15*B2803*5))^0/1)+(((0.15*B2803*5))^1/1)+(((0.15*B2803*5))^2/2)+(((0.15*B2803*5))^3/6)+(((0.15*B2803*5))^4/24)+(((0.15*B2803*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82">
      <c r="A2782">
        <f>Skills!A15</f>
        <v/>
      </c>
      <c r="B2782">
        <f>Skills!B15</f>
        <v/>
      </c>
      <c r="C2782">
        <f>Inputs!$B$3&gt;=110</f>
        <v/>
      </c>
      <c r="D2782">
        <f>IF(Skills!C15=1,60+Inputs!$B$25+Inputs!$B$29,IF(Skills!C15=2,90+Inputs!$B$26+Inputs!$B$29,IF(Skills!C15=3,120+Inputs!$B$27+Inputs!$B$29,MAX(0,(Inputs!$B$3-100)*3)+Inputs!$B$28+Inputs!$B$29)))</f>
        <v/>
      </c>
      <c r="E2782">
        <f>INDEX(FactorTable!$B$2:$Y$301, MATCH(ROUND(MIN(300,MAX(1,D2782)),0), FactorTable!$A$2:$A$301,0), Skills!M15+1)</f>
        <v/>
      </c>
      <c r="F2782">
        <f>IF(Skills!N15=TRUE,(Skills!L15/10)*(E2782/1000),Skills!L15/10)+Skills!O15</f>
        <v/>
      </c>
      <c r="G2782">
        <f>Calc!G15</f>
        <v/>
      </c>
      <c r="H2782">
        <f>Calc!H15</f>
        <v/>
      </c>
      <c r="I2782">
        <f>IF(Skills!AA15&lt;&gt;"",1+(Skills!AA15/10)*(U2770/1000)/100,1)</f>
        <v/>
      </c>
      <c r="J2782" t="inlineStr"/>
      <c r="K2782" t="inlineStr"/>
      <c r="L2782" t="inlineStr"/>
      <c r="M2782" t="inlineStr"/>
      <c r="N2782" t="inlineStr"/>
      <c r="O2782">
        <f>(1-Summary!$B$11)*T2782+Summary!$B$11*V2782</f>
        <v/>
      </c>
      <c r="P2782">
        <f>IF(B2811=0,0,O2782/B2811)</f>
        <v/>
      </c>
      <c r="Q2782">
        <f>IFERROR(1/IF(Inputs!$B$39="pvp",15,MAX(0.1,Skills!D15-IF(Skills!E15=TRUE,Inputs!$B$32,0))),0)</f>
        <v/>
      </c>
      <c r="R2782">
        <f>IF(AND(Inputs!$B$39&lt;&gt;"pvp",Inputs!$B$44&gt;0),IF(Inputs!$B$44&lt;=0,0,(INT(Inputs!$B$44/IF(Inputs!$B$39="pvp",15,MAX(0.1,Skills!D15-IF(Skills!E15=TRUE,Inputs!$B$32,0))))+1)),0)</f>
        <v/>
      </c>
      <c r="S2782">
        <f>IFERROR(O2782/N2782,0)</f>
        <v/>
      </c>
      <c r="T2782" t="n">
        <v>0</v>
      </c>
      <c r="V2782" t="n">
        <v>0</v>
      </c>
    </row>
    <row r="2783">
      <c r="A2783">
        <f>Skills!A16</f>
        <v/>
      </c>
      <c r="B2783">
        <f>Skills!B16</f>
        <v/>
      </c>
      <c r="C2783">
        <f>Inputs!$B$3&gt;=110</f>
        <v/>
      </c>
      <c r="D2783">
        <f>IF(Skills!C16=1,60+Inputs!$B$25+Inputs!$B$29,IF(Skills!C16=2,90+Inputs!$B$26+Inputs!$B$29,IF(Skills!C16=3,120+Inputs!$B$27+Inputs!$B$29,MAX(0,(Inputs!$B$3-100)*3)+Inputs!$B$28+Inputs!$B$29)))</f>
        <v/>
      </c>
      <c r="E2783">
        <f>INDEX(FactorTable!$B$2:$Y$301, MATCH(ROUND(MIN(300,MAX(1,D2783)),0), FactorTable!$A$2:$A$301,0), Skills!M16+1)</f>
        <v/>
      </c>
      <c r="F2783">
        <f>IF(Skills!N16=TRUE,(Skills!L16/10)*(E2783/1000),Skills!L16/10)+Skills!O16</f>
        <v/>
      </c>
      <c r="G2783">
        <f>Calc!G16</f>
        <v/>
      </c>
      <c r="H2783">
        <f>Calc!H16</f>
        <v/>
      </c>
      <c r="I2783">
        <f>IF(Skills!AA16&lt;&gt;"",1+(Skills!AA16/10)*(U2770/1000)/100,1)</f>
        <v/>
      </c>
      <c r="J2783" t="inlineStr"/>
      <c r="K2783" t="inlineStr"/>
      <c r="L2783" t="inlineStr"/>
      <c r="M2783" t="inlineStr"/>
      <c r="N2783" t="inlineStr"/>
      <c r="O2783">
        <f>(1-Summary!$B$11)*T2783+Summary!$B$11*V2783</f>
        <v/>
      </c>
      <c r="P2783">
        <f>IF(B2811=0,0,O2783/B2811)</f>
        <v/>
      </c>
      <c r="Q2783">
        <f>IFERROR(1/IF(Inputs!$B$39="pvp",15,MAX(0.1,Skills!D16-IF(Skills!E16=TRUE,Inputs!$B$32,0))),0)</f>
        <v/>
      </c>
      <c r="R2783">
        <f>IF(AND(Inputs!$B$39&lt;&gt;"pvp",Inputs!$B$44&gt;0),IF(Inputs!$B$44&lt;=0,0,(INT(Inputs!$B$44/IF(Inputs!$B$39="pvp",15,MAX(0.1,Skills!D16-IF(Skills!E16=TRUE,Inputs!$B$32,0))))+1)),0)</f>
        <v/>
      </c>
      <c r="S2783">
        <f>IFERROR(O2783/N2783,0)</f>
        <v/>
      </c>
      <c r="T2783" t="n">
        <v>0</v>
      </c>
      <c r="V2783" t="n">
        <v>0</v>
      </c>
    </row>
    <row r="2784">
      <c r="A2784">
        <f>Skills!A17</f>
        <v/>
      </c>
      <c r="B2784">
        <f>Skills!B17</f>
        <v/>
      </c>
      <c r="C2784">
        <f>Inputs!$B$3&gt;=115</f>
        <v/>
      </c>
      <c r="D2784">
        <f>IF(Skills!C17=1,60+Inputs!$B$25+Inputs!$B$29,IF(Skills!C17=2,90+Inputs!$B$26+Inputs!$B$29,IF(Skills!C17=3,120+Inputs!$B$27+Inputs!$B$29,MAX(0,(Inputs!$B$3-100)*3)+Inputs!$B$28+Inputs!$B$29)))</f>
        <v/>
      </c>
      <c r="E2784">
        <f>INDEX(FactorTable!$B$2:$Y$301, MATCH(ROUND(MIN(300,MAX(1,D2784)),0), FactorTable!$A$2:$A$301,0), Skills!M17+1)</f>
        <v/>
      </c>
      <c r="F2784">
        <f>IF(Skills!N17=TRUE,(Skills!L17/10)*(E2784/1000),Skills!L17/10)+Skills!O17</f>
        <v/>
      </c>
      <c r="G2784">
        <f>Calc!G17</f>
        <v/>
      </c>
      <c r="H2784">
        <f>Calc!H17</f>
        <v/>
      </c>
      <c r="I2784">
        <f>IF(Skills!AA17&lt;&gt;"",1+(Skills!AA17/10)*(U2770/1000)/100,1)</f>
        <v/>
      </c>
      <c r="J2784">
        <f>((Inputs!$B$6*(1+Inputs!$B$7/100))+(((Inputs!$B$12*(1+Inputs!$B$13/100))-(Inputs!$B$12*(1+Inputs!$B$13/100)))+0.25*(Inputs!$B$14-Inputs!$B$14))*(1+Inputs!$B$7/100))*(F2784/100)</f>
        <v/>
      </c>
      <c r="K2784">
        <f>J2784*(1+((Inputs!$B$12*(1+Inputs!$B$13/100))*0.01+Inputs!$B$14*0.0025)/100)*(1+Inputs!$B$15/100)*(1+Inputs!$B$16/100)*(5000/(6000+Inputs!$B$43*(1-(100*(1-(1-(Inputs!$B$19+0)/100)*(1-CHOOSE(ArtifactsInput!$N$40+1,5,6,7,8,9,10)/100)^(ArtifactsInput!$M$40-ArtifactsInput!$M$40)))/100)))*(1+(Inputs!$B$24+((C2797=TRUE)*(F2797-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2790=TRUE)*(F2790-Calc!F23))+(((IF(AND(ArtifactsInput!$M$42,((Inputs!$B$9+((C2792=TRUE)*(F2792-Calc!F25))+B2807+(ArtifactsInput!$M$24-ArtifactsInput!$M$24)*CHOOSE(ArtifactsInput!$N$24+1,10,12,14,16,18,20)+IF(ArtifactsInput!$M$10,CHOOSE(ArtifactsInput!$N$10+1,15,18,21,24,27,30)*(IF(Inputs!$B$39="pvp",MIN(15,15)/15,IF(AND(Inputs!$B$39&lt;&gt;"pvp",Inputs!$B$44&gt;0),MIN(15,Inputs!$B$44)/(Inputs!$B$44),0))),0)))&gt;=100),MIN(100,((Inputs!$B$9+((C2792=TRUE)*(F2792-Calc!F25))+B2807+(ArtifactsInput!$M$24-ArtifactsInput!$M$24)*CHOOSE(ArtifactsInput!$N$24+1,10,12,14,16,18,20)+IF(ArtifactsInput!$M$10,CHOOSE(ArtifactsInput!$N$10+1,15,18,21,24,27,30)*(IF(Inputs!$B$39="pvp",MIN(15,15)/15,IF(AND(Inputs!$B$39&lt;&gt;"pvp",Inputs!$B$44&gt;0),MIN(15,Inputs!$B$44)/(Inputs!$B$44),0))),0)))-100),0))*CHOOSE(ArtifactsInput!$N$42+1,0.6,0.72,0.84,0.96,1.08,1.2))),Inputs!$B$18+((C2796=TRUE)*(F2796-Calc!F29))+(IF(AND(ArtifactsInput!$M$42,((Inputs!$B$9+((C2792=TRUE)*(F2792-Calc!F25))+B2807+(ArtifactsInput!$M$24-ArtifactsInput!$M$24)*CHOOSE(ArtifactsInput!$N$24+1,10,12,14,16,18,20)+IF(ArtifactsInput!$M$10,CHOOSE(ArtifactsInput!$N$10+1,15,18,21,24,27,30)*(IF(Inputs!$B$39="pvp",MIN(15,15)/15,IF(AND(Inputs!$B$39&lt;&gt;"pvp",Inputs!$B$44&gt;0),MIN(15,Inputs!$B$44)/(Inputs!$B$44),0))),0)))&gt;=100),CHOOSE(ArtifactsInput!$N$42+1,40,48,56,64,72,80),0))))/100)*(((1+(((C2788=TRUE)*F2788*IF(AND(Inputs!$B$39&lt;&gt;"pvp",Inputs!$B$44&gt;0),(((R2788-1)*(Skills!Y21*(1+Inputs!$B$34/100))+MIN((Skills!Y21*(1+Inputs!$B$34/100)),MAX(0,Inputs!$B$44-((R2788-1)*Skills!D21))))/Inputs!$B$44),IF(Inputs!$B$39="pvp",MIN((Skills!Y21*(1+Inputs!$B$34/100)),15)/15,(Skills!Y21*(1+Inputs!$B$34/100))/Skills!D21)))+((C2795=TRUE)*(F2795-Calc!F28))+((C2785=TRUE)*(F2785-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2782=TRUE)*F2782*IF(AND(Inputs!$B$39&lt;&gt;"pvp",Inputs!$B$44&gt;0),(((R2782-1)*(Skills!Y15*(1+Inputs!$B$34/100))+MIN((Skills!Y15*(1+Inputs!$B$34/100)),MAX(0,Inputs!$B$44-((R2782-1)*Skills!D15))))/Inputs!$B$44),IF(Inputs!$B$39="pvp",MIN((Skills!Y15*(1+Inputs!$B$34/100)),15)/15,(Skills!Y15*(1+Inputs!$B$34/100))/Skills!D15)))/100)*(1+((C2773=TRUE)*F2773*B2801)/100))*B2809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2784)</f>
        <v/>
      </c>
      <c r="L2784">
        <f>K2784*(MIN(Inputs!$B$22+((C2791=TRUE)*(F2791-Calc!F24)),(Inputs!$B$23+0+(IF(ArtifactsInput!$M$15,CHOOSE(ArtifactsInput!$N$15+1,25,30,35,40,45,50)/100*(Inputs!$B$11-Inputs!$B$11),0))))/100+(Inputs!$B$23+0+(IF(ArtifactsInput!$M$15,CHOOSE(ArtifactsInput!$N$15+1,25,30,35,40,45,50)/100*(Inputs!$B$11-Inputs!$B$11),0)))/100)/2</f>
        <v/>
      </c>
      <c r="M2784">
        <f>L2784*(1+(Inputs!$B$10+((C2793=TRUE)*(F2793-Calc!F26))+B2810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84">
        <f>L2784*(1-MIN((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2784*(MIN((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84">
        <f>(1-Summary!$B$11)*T2784+Summary!$B$11*V2784</f>
        <v/>
      </c>
      <c r="P2784">
        <f>IF(B2811=0,0,O2784/B2811)</f>
        <v/>
      </c>
      <c r="Q2784" t="n">
        <v>0</v>
      </c>
      <c r="R2784" t="n">
        <v>0</v>
      </c>
      <c r="S2784">
        <f>IFERROR(O2784/N2784,0)</f>
        <v/>
      </c>
      <c r="T2784">
        <f>IF(C2784,(Inputs!$B$38*0.2*N2784)*IF(Inputs!$B$39="pvp",1,1+(Inputs!$B$20+((C2794=TRUE)*(F2794-Calc!F27))+Skills!P17+B2808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Hunt"),CHOOSE(ArtifactsInput!$N$35+1,15,18,21,24,27,30)*(1-EXP(-(0.2*B2803)*5)),0)+IF(AND(ArtifactsInput!$M$22,Inputs!$B$4&lt;&gt;"Chapter Hunt"),CHOOSE(ArtifactsInput!$N$22+1,10,12,14,16,18,20)*((0*(((0.15*B2803*5))^0/1)+1*(((0.15*B2803*5))^1/1)+2*(((0.15*B2803*5))^2/2)+3*(((0.15*B2803*5))^3/6)+4*(((0.15*B2803*5))^4/24)+5*(((0.15*B2803*5))^5/120))/((((0.15*B2803*5))^0/1)+(((0.15*B2803*5))^1/1)+(((0.15*B2803*5))^2/2)+(((0.15*B2803*5))^3/6)+(((0.15*B2803*5))^4/24)+(((0.15*B2803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2784*(1-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2784*(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2784*(1-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2784*(MIN(100,(Inputs!$B$9+((C2792=TRUE)*(F2792-Calc!F25))+B2807+(ArtifactsInput!$M$24-ArtifactsInput!$M$24)*CHOOSE(ArtifactsInput!$N$24+1,10,12,14,16,18,20)+(IF(AND(ArtifactsInput!$M$42,((Inputs!$B$9+((C2792=TRUE)*(F2792-Calc!F25))+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84">
        <f>IF(C2784,(Inputs!$B$38*0.2*N2784)*IF(Inputs!$B$39="pvp",1,(1+(Inputs!$B$21+Skills!Q17+B2808+(IF(ArtifactsInput!$M$33,CHOOSE(ArtifactsInput!$N$33+1,30,36,42,48,54,60),0))+(IF(AND(IF(ArtifactsInput!$M$35,FALSE,TRUE),Inputs!$B$4&lt;&gt;"Chapter Hunt"),CHOOSE(ArtifactsInput!$N$35+1,15,18,21,24,27,30)*(1-EXP(-(0.2*B2803)*5)),0)+IF(AND(ArtifactsInput!$M$22,Inputs!$B$4&lt;&gt;"Chapter Hunt"),CHOOSE(ArtifactsInput!$N$22+1,10,12,14,16,18,20)*((0*(((0.15*B2803*5))^0/1)+1*(((0.15*B2803*5))^1/1)+2*(((0.15*B2803*5))^2/2)+3*(((0.15*B2803*5))^3/6)+4*(((0.15*B2803*5))^4/24)+5*(((0.15*B2803*5))^5/120))/((((0.15*B2803*5))^0/1)+(((0.15*B2803*5))^1/1)+(((0.15*B2803*5))^2/2)+(((0.15*B2803*5))^3/6)+(((0.15*B2803*5))^4/24)+(((0.15*B2803*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85">
      <c r="A2785">
        <f>Skills!A18</f>
        <v/>
      </c>
      <c r="B2785">
        <f>Skills!B18</f>
        <v/>
      </c>
      <c r="C2785">
        <f>Inputs!$B$3&gt;=115</f>
        <v/>
      </c>
      <c r="D2785">
        <f>IF(Skills!C18=1,60+Inputs!$B$25+Inputs!$B$29,IF(Skills!C18=2,90+Inputs!$B$26+Inputs!$B$29,IF(Skills!C18=3,120+Inputs!$B$27+Inputs!$B$29,MAX(0,(Inputs!$B$3-100)*3)+Inputs!$B$28+Inputs!$B$29)))</f>
        <v/>
      </c>
      <c r="E2785">
        <f>INDEX(FactorTable!$B$2:$Y$301, MATCH(ROUND(MIN(300,MAX(1,D2785)),0), FactorTable!$A$2:$A$301,0), Skills!M18+1)</f>
        <v/>
      </c>
      <c r="F2785">
        <f>IF(Skills!N18=TRUE,(Skills!L18/10)*(E2785/1000),Skills!L18/10)+Skills!O18</f>
        <v/>
      </c>
      <c r="G2785">
        <f>Calc!G18</f>
        <v/>
      </c>
      <c r="H2785">
        <f>Calc!H18</f>
        <v/>
      </c>
      <c r="I2785">
        <f>IF(Skills!AA18&lt;&gt;"",1+(Skills!AA18/10)*(U2770/1000)/100,1)</f>
        <v/>
      </c>
      <c r="J2785" t="inlineStr"/>
      <c r="K2785" t="inlineStr"/>
      <c r="L2785" t="inlineStr"/>
      <c r="M2785" t="inlineStr"/>
      <c r="N2785" t="inlineStr"/>
      <c r="O2785">
        <f>(1-Summary!$B$11)*T2785+Summary!$B$11*V2785</f>
        <v/>
      </c>
      <c r="P2785">
        <f>IF(B2811=0,0,O2785/B2811)</f>
        <v/>
      </c>
      <c r="Q2785" t="n">
        <v>0</v>
      </c>
      <c r="R2785" t="n">
        <v>0</v>
      </c>
      <c r="S2785">
        <f>IFERROR(O2785/N2785,0)</f>
        <v/>
      </c>
      <c r="T2785" t="n">
        <v>0</v>
      </c>
      <c r="V2785" t="n">
        <v>0</v>
      </c>
    </row>
    <row r="2786">
      <c r="A2786">
        <f>Skills!A19</f>
        <v/>
      </c>
      <c r="B2786">
        <f>Skills!B19</f>
        <v/>
      </c>
      <c r="C2786">
        <f>TRUE</f>
        <v/>
      </c>
      <c r="D2786">
        <f>IF(Skills!C19=1,60+Inputs!$B$25+Inputs!$B$29,IF(Skills!C19=2,90+Inputs!$B$26+Inputs!$B$29,IF(Skills!C19=3,120+Inputs!$B$27+Inputs!$B$29,MAX(0,(Inputs!$B$3-100)*3)+Inputs!$B$28+Inputs!$B$29)))</f>
        <v/>
      </c>
      <c r="E2786">
        <f>INDEX(FactorTable!$B$2:$Y$301, MATCH(ROUND(MIN(300,MAX(1,D2786)),0), FactorTable!$A$2:$A$301,0), Skills!M19+1)</f>
        <v/>
      </c>
      <c r="F2786">
        <f>IF(Skills!N19=TRUE,(Skills!L19/10)*(E2786/1000),Skills!L19/10)+Skills!O19</f>
        <v/>
      </c>
      <c r="G2786">
        <f>Calc!G19</f>
        <v/>
      </c>
      <c r="H2786">
        <f>Calc!H19</f>
        <v/>
      </c>
      <c r="I2786">
        <f>IF(Skills!AA19&lt;&gt;"",1+(Skills!AA19/10)*(U2770/1000)/100,1)</f>
        <v/>
      </c>
      <c r="J2786" t="inlineStr"/>
      <c r="K2786" t="inlineStr"/>
      <c r="L2786" t="inlineStr"/>
      <c r="M2786" t="inlineStr"/>
      <c r="N2786" t="inlineStr"/>
      <c r="O2786">
        <f>(1-Summary!$B$11)*T2786+Summary!$B$11*V2786</f>
        <v/>
      </c>
      <c r="P2786">
        <f>IF(B2811=0,0,O2786/B2811)</f>
        <v/>
      </c>
      <c r="Q2786">
        <f>IFERROR(1/IF(Inputs!$B$39="pvp",15,MAX(0.1,Skills!D19-IF(Skills!E19=TRUE,Inputs!$B$32,0))),0)</f>
        <v/>
      </c>
      <c r="R2786">
        <f>IF(AND(Inputs!$B$39&lt;&gt;"pvp",Inputs!$B$44&gt;0),IF(Inputs!$B$44&lt;=0,0,(INT(Inputs!$B$44/IF(Inputs!$B$39="pvp",15,MAX(0.1,Skills!D19-IF(Skills!E19=TRUE,Inputs!$B$32,0))))+1)),0)</f>
        <v/>
      </c>
      <c r="S2786">
        <f>IFERROR(O2786/N2786,0)</f>
        <v/>
      </c>
      <c r="T2786" t="n">
        <v>0</v>
      </c>
      <c r="V2786" t="n">
        <v>0</v>
      </c>
    </row>
    <row r="2787">
      <c r="A2787">
        <f>Skills!A20</f>
        <v/>
      </c>
      <c r="B2787">
        <f>Skills!B20</f>
        <v/>
      </c>
      <c r="C2787">
        <f>Inputs!$B$3&gt;=15</f>
        <v/>
      </c>
      <c r="D2787">
        <f>IF(Skills!C20=1,60+Inputs!$B$25+Inputs!$B$29,IF(Skills!C20=2,90+Inputs!$B$26+Inputs!$B$29,IF(Skills!C20=3,120+Inputs!$B$27+Inputs!$B$29,MAX(0,(Inputs!$B$3-100)*3)+Inputs!$B$28+Inputs!$B$29)))</f>
        <v/>
      </c>
      <c r="E2787">
        <f>INDEX(FactorTable!$B$2:$Y$301, MATCH(ROUND(MIN(300,MAX(1,D2787)),0), FactorTable!$A$2:$A$301,0), Skills!M20+1)</f>
        <v/>
      </c>
      <c r="F2787">
        <f>IF(Skills!N20=TRUE,(Skills!L20/10)*(E2787/1000),Skills!L20/10)+Skills!O20</f>
        <v/>
      </c>
      <c r="G2787">
        <f>Calc!G20</f>
        <v/>
      </c>
      <c r="H2787">
        <f>Calc!H20</f>
        <v/>
      </c>
      <c r="I2787">
        <f>IF(Skills!AA20&lt;&gt;"",1+(Skills!AA20/10)*(U2770/1000)/100,1)</f>
        <v/>
      </c>
      <c r="J2787" t="inlineStr"/>
      <c r="K2787" t="inlineStr"/>
      <c r="L2787" t="inlineStr"/>
      <c r="M2787" t="inlineStr"/>
      <c r="N2787" t="inlineStr"/>
      <c r="O2787">
        <f>(1-Summary!$B$11)*T2787+Summary!$B$11*V2787</f>
        <v/>
      </c>
      <c r="P2787">
        <f>IF(B2811=0,0,O2787/B2811)</f>
        <v/>
      </c>
      <c r="Q2787">
        <f>IFERROR(1/IF(Inputs!$B$39="pvp",15,MAX(0.1,Skills!D20-IF(Skills!E20=TRUE,Inputs!$B$32,0))),0)</f>
        <v/>
      </c>
      <c r="R2787">
        <f>IF(AND(Inputs!$B$39&lt;&gt;"pvp",Inputs!$B$44&gt;0),IF(Inputs!$B$44&lt;=0,0,(INT(Inputs!$B$44/IF(Inputs!$B$39="pvp",15,MAX(0.1,Skills!D20-IF(Skills!E20=TRUE,Inputs!$B$32,0))))+1)),0)</f>
        <v/>
      </c>
      <c r="S2787">
        <f>IFERROR(O2787/N2787,0)</f>
        <v/>
      </c>
      <c r="T2787" t="n">
        <v>0</v>
      </c>
      <c r="V2787" t="n">
        <v>0</v>
      </c>
    </row>
    <row r="2788">
      <c r="A2788">
        <f>Skills!A21</f>
        <v/>
      </c>
      <c r="B2788">
        <f>Skills!B21</f>
        <v/>
      </c>
      <c r="C2788">
        <f>Inputs!$B$3&gt;=15</f>
        <v/>
      </c>
      <c r="D2788">
        <f>IF(Skills!C21=1,60+Inputs!$B$25+Inputs!$B$29,IF(Skills!C21=2,90+Inputs!$B$26+Inputs!$B$29,IF(Skills!C21=3,120+Inputs!$B$27+Inputs!$B$29,MAX(0,(Inputs!$B$3-100)*3)+Inputs!$B$28+Inputs!$B$29)))</f>
        <v/>
      </c>
      <c r="E2788">
        <f>INDEX(FactorTable!$B$2:$Y$301, MATCH(ROUND(MIN(300,MAX(1,D2788)),0), FactorTable!$A$2:$A$301,0), Skills!M21+1)</f>
        <v/>
      </c>
      <c r="F2788">
        <f>IF(Skills!N21=TRUE,(Skills!L21/10)*(E2788/1000),Skills!L21/10)+Skills!O21</f>
        <v/>
      </c>
      <c r="G2788">
        <f>Calc!G21</f>
        <v/>
      </c>
      <c r="H2788">
        <f>Calc!H21</f>
        <v/>
      </c>
      <c r="I2788">
        <f>IF(Skills!AA21&lt;&gt;"",1+(Skills!AA21/10)*(U2770/1000)/100,1)</f>
        <v/>
      </c>
      <c r="J2788" t="inlineStr"/>
      <c r="K2788" t="inlineStr"/>
      <c r="L2788" t="inlineStr"/>
      <c r="M2788" t="inlineStr"/>
      <c r="N2788" t="inlineStr"/>
      <c r="O2788">
        <f>(1-Summary!$B$11)*T2788+Summary!$B$11*V2788</f>
        <v/>
      </c>
      <c r="P2788">
        <f>IF(B2811=0,0,O2788/B2811)</f>
        <v/>
      </c>
      <c r="Q2788">
        <f>IFERROR(1/IF(Inputs!$B$39="pvp",15,MAX(0.1,Skills!D21-IF(Skills!E21=TRUE,Inputs!$B$32,0))),0)</f>
        <v/>
      </c>
      <c r="R2788">
        <f>IF(AND(Inputs!$B$39&lt;&gt;"pvp",Inputs!$B$44&gt;0),IF(Inputs!$B$44&lt;=0,0,(INT(Inputs!$B$44/IF(Inputs!$B$39="pvp",15,MAX(0.1,Skills!D21-IF(Skills!E21=TRUE,Inputs!$B$32,0))))+1)),0)</f>
        <v/>
      </c>
      <c r="S2788">
        <f>IFERROR(O2788/N2788,0)</f>
        <v/>
      </c>
      <c r="T2788" t="n">
        <v>0</v>
      </c>
      <c r="V2788" t="n">
        <v>0</v>
      </c>
    </row>
    <row r="2789">
      <c r="A2789">
        <f>Skills!A22</f>
        <v/>
      </c>
      <c r="B2789">
        <f>Skills!B22</f>
        <v/>
      </c>
      <c r="C2789">
        <f>Inputs!$B$3&gt;=33</f>
        <v/>
      </c>
      <c r="D2789">
        <f>IF(Skills!C22=1,60+Inputs!$B$25+Inputs!$B$29,IF(Skills!C22=2,90+Inputs!$B$26+Inputs!$B$29,IF(Skills!C22=3,120+Inputs!$B$27+Inputs!$B$29,MAX(0,(Inputs!$B$3-100)*3)+Inputs!$B$28+Inputs!$B$29)))</f>
        <v/>
      </c>
      <c r="E2789">
        <f>INDEX(FactorTable!$B$2:$Y$301, MATCH(ROUND(MIN(300,MAX(1,D2789)),0), FactorTable!$A$2:$A$301,0), Skills!M22+1)</f>
        <v/>
      </c>
      <c r="F2789">
        <f>IF(Skills!N22=TRUE,(Skills!L22/10)*(E2789/1000),Skills!L22/10)+Skills!O22</f>
        <v/>
      </c>
      <c r="G2789">
        <f>Calc!G22</f>
        <v/>
      </c>
      <c r="H2789">
        <f>Calc!H22</f>
        <v/>
      </c>
      <c r="I2789">
        <f>IF(Skills!AA22&lt;&gt;"",1+(Skills!AA22/10)*(U2770/1000)/100,1)</f>
        <v/>
      </c>
      <c r="J2789" t="inlineStr"/>
      <c r="K2789" t="inlineStr"/>
      <c r="L2789" t="inlineStr"/>
      <c r="M2789" t="inlineStr"/>
      <c r="N2789" t="inlineStr"/>
      <c r="O2789">
        <f>(1-Summary!$B$11)*T2789+Summary!$B$11*V2789</f>
        <v/>
      </c>
      <c r="P2789">
        <f>IF(B2811=0,0,O2789/B2811)</f>
        <v/>
      </c>
      <c r="Q2789" t="n">
        <v>0</v>
      </c>
      <c r="R2789" t="n">
        <v>0</v>
      </c>
      <c r="S2789">
        <f>IFERROR(O2789/N2789,0)</f>
        <v/>
      </c>
      <c r="T2789" t="n">
        <v>0</v>
      </c>
      <c r="V2789" t="n">
        <v>0</v>
      </c>
    </row>
    <row r="2790">
      <c r="A2790">
        <f>Skills!A23</f>
        <v/>
      </c>
      <c r="B2790">
        <f>Skills!B23</f>
        <v/>
      </c>
      <c r="C2790">
        <f>Inputs!$B$3&gt;=38</f>
        <v/>
      </c>
      <c r="D2790">
        <f>IF(Skills!C23=1,60+Inputs!$B$25+Inputs!$B$29,IF(Skills!C23=2,90+Inputs!$B$26+Inputs!$B$29,IF(Skills!C23=3,120+Inputs!$B$27+Inputs!$B$29,MAX(0,(Inputs!$B$3-100)*3)+Inputs!$B$28+Inputs!$B$29)))</f>
        <v/>
      </c>
      <c r="E2790">
        <f>INDEX(FactorTable!$B$2:$Y$301, MATCH(ROUND(MIN(300,MAX(1,D2790)),0), FactorTable!$A$2:$A$301,0), Skills!M23+1)</f>
        <v/>
      </c>
      <c r="F2790">
        <f>IF(Skills!N23=TRUE,(Skills!L23/10)*(E2790/1000),Skills!L23/10)+Skills!O23</f>
        <v/>
      </c>
      <c r="G2790">
        <f>Calc!G23</f>
        <v/>
      </c>
      <c r="H2790">
        <f>Calc!H23</f>
        <v/>
      </c>
      <c r="I2790">
        <f>IF(Skills!AA23&lt;&gt;"",1+(Skills!AA23/10)*(U2770/1000)/100,1)</f>
        <v/>
      </c>
      <c r="J2790" t="inlineStr"/>
      <c r="K2790" t="inlineStr"/>
      <c r="L2790" t="inlineStr"/>
      <c r="M2790" t="inlineStr"/>
      <c r="N2790" t="inlineStr"/>
      <c r="O2790">
        <f>(1-Summary!$B$11)*T2790+Summary!$B$11*V2790</f>
        <v/>
      </c>
      <c r="P2790">
        <f>IF(B2811=0,0,O2790/B2811)</f>
        <v/>
      </c>
      <c r="Q2790" t="n">
        <v>0</v>
      </c>
      <c r="R2790" t="n">
        <v>0</v>
      </c>
      <c r="S2790">
        <f>IFERROR(O2790/N2790,0)</f>
        <v/>
      </c>
      <c r="T2790" t="n">
        <v>0</v>
      </c>
      <c r="V2790" t="n">
        <v>0</v>
      </c>
    </row>
    <row r="2791">
      <c r="A2791">
        <f>Skills!A24</f>
        <v/>
      </c>
      <c r="B2791">
        <f>Skills!B24</f>
        <v/>
      </c>
      <c r="C2791">
        <f>Inputs!$B$3&gt;=40</f>
        <v/>
      </c>
      <c r="D2791">
        <f>IF(Skills!C24=1,60+Inputs!$B$25+Inputs!$B$29,IF(Skills!C24=2,90+Inputs!$B$26+Inputs!$B$29,IF(Skills!C24=3,120+Inputs!$B$27+Inputs!$B$29,MAX(0,(Inputs!$B$3-100)*3)+Inputs!$B$28+Inputs!$B$29)))</f>
        <v/>
      </c>
      <c r="E2791">
        <f>INDEX(FactorTable!$B$2:$Y$301, MATCH(ROUND(MIN(300,MAX(1,D2791)),0), FactorTable!$A$2:$A$301,0), Skills!M24+1)</f>
        <v/>
      </c>
      <c r="F2791">
        <f>IF(Skills!N24=TRUE,(Skills!L24/10)*(E2791/1000),Skills!L24/10)+Skills!O24</f>
        <v/>
      </c>
      <c r="G2791">
        <f>Calc!G24</f>
        <v/>
      </c>
      <c r="H2791">
        <f>Calc!H24</f>
        <v/>
      </c>
      <c r="I2791">
        <f>IF(Skills!AA24&lt;&gt;"",1+(Skills!AA24/10)*(U2770/1000)/100,1)</f>
        <v/>
      </c>
      <c r="J2791" t="inlineStr"/>
      <c r="K2791" t="inlineStr"/>
      <c r="L2791" t="inlineStr"/>
      <c r="M2791" t="inlineStr"/>
      <c r="N2791" t="inlineStr"/>
      <c r="O2791">
        <f>(1-Summary!$B$11)*T2791+Summary!$B$11*V2791</f>
        <v/>
      </c>
      <c r="P2791">
        <f>IF(B2811=0,0,O2791/B2811)</f>
        <v/>
      </c>
      <c r="Q2791" t="n">
        <v>0</v>
      </c>
      <c r="R2791" t="n">
        <v>0</v>
      </c>
      <c r="S2791">
        <f>IFERROR(O2791/N2791,0)</f>
        <v/>
      </c>
      <c r="T2791" t="n">
        <v>0</v>
      </c>
      <c r="V2791" t="n">
        <v>0</v>
      </c>
    </row>
    <row r="2792">
      <c r="A2792">
        <f>Skills!A25</f>
        <v/>
      </c>
      <c r="B2792">
        <f>Skills!B25</f>
        <v/>
      </c>
      <c r="C2792">
        <f>Inputs!$B$3&gt;=45</f>
        <v/>
      </c>
      <c r="D2792">
        <f>IF(Skills!C25=1,60+Inputs!$B$25+Inputs!$B$29,IF(Skills!C25=2,90+Inputs!$B$26+Inputs!$B$29,IF(Skills!C25=3,120+Inputs!$B$27+Inputs!$B$29,MAX(0,(Inputs!$B$3-100)*3)+Inputs!$B$28+Inputs!$B$29)))</f>
        <v/>
      </c>
      <c r="E2792">
        <f>INDEX(FactorTable!$B$2:$Y$301, MATCH(ROUND(MIN(300,MAX(1,D2792)),0), FactorTable!$A$2:$A$301,0), Skills!M25+1)</f>
        <v/>
      </c>
      <c r="F2792">
        <f>IF(Skills!N25=TRUE,(Skills!L25/10)*(E2792/1000),Skills!L25/10)+Skills!O25</f>
        <v/>
      </c>
      <c r="G2792">
        <f>Calc!G25</f>
        <v/>
      </c>
      <c r="H2792">
        <f>Calc!H25</f>
        <v/>
      </c>
      <c r="I2792">
        <f>IF(Skills!AA25&lt;&gt;"",1+(Skills!AA25/10)*(U2770/1000)/100,1)</f>
        <v/>
      </c>
      <c r="J2792" t="inlineStr"/>
      <c r="K2792" t="inlineStr"/>
      <c r="L2792" t="inlineStr"/>
      <c r="M2792" t="inlineStr"/>
      <c r="N2792" t="inlineStr"/>
      <c r="O2792">
        <f>(1-Summary!$B$11)*T2792+Summary!$B$11*V2792</f>
        <v/>
      </c>
      <c r="P2792">
        <f>IF(B2811=0,0,O2792/B2811)</f>
        <v/>
      </c>
      <c r="Q2792" t="n">
        <v>0</v>
      </c>
      <c r="R2792" t="n">
        <v>0</v>
      </c>
      <c r="S2792">
        <f>IFERROR(O2792/N2792,0)</f>
        <v/>
      </c>
      <c r="T2792" t="n">
        <v>0</v>
      </c>
      <c r="V2792" t="n">
        <v>0</v>
      </c>
    </row>
    <row r="2793">
      <c r="A2793">
        <f>Skills!A26</f>
        <v/>
      </c>
      <c r="B2793">
        <f>Skills!B26</f>
        <v/>
      </c>
      <c r="C2793">
        <f>Inputs!$B$3&gt;=45</f>
        <v/>
      </c>
      <c r="D2793">
        <f>IF(Skills!C26=1,60+Inputs!$B$25+Inputs!$B$29,IF(Skills!C26=2,90+Inputs!$B$26+Inputs!$B$29,IF(Skills!C26=3,120+Inputs!$B$27+Inputs!$B$29,MAX(0,(Inputs!$B$3-100)*3)+Inputs!$B$28+Inputs!$B$29)))</f>
        <v/>
      </c>
      <c r="E2793">
        <f>INDEX(FactorTable!$B$2:$Y$301, MATCH(ROUND(MIN(300,MAX(1,D2793)),0), FactorTable!$A$2:$A$301,0), Skills!M26+1)</f>
        <v/>
      </c>
      <c r="F2793">
        <f>IF(Skills!N26=TRUE,(Skills!L26/10)*(E2793/1000),Skills!L26/10)+Skills!O26</f>
        <v/>
      </c>
      <c r="G2793">
        <f>Calc!G26</f>
        <v/>
      </c>
      <c r="H2793">
        <f>Calc!H26</f>
        <v/>
      </c>
      <c r="I2793">
        <f>IF(Skills!AA26&lt;&gt;"",1+(Skills!AA26/10)*(U2770/1000)/100,1)</f>
        <v/>
      </c>
      <c r="J2793" t="inlineStr"/>
      <c r="K2793" t="inlineStr"/>
      <c r="L2793" t="inlineStr"/>
      <c r="M2793" t="inlineStr"/>
      <c r="N2793" t="inlineStr"/>
      <c r="O2793">
        <f>(1-Summary!$B$11)*T2793+Summary!$B$11*V2793</f>
        <v/>
      </c>
      <c r="P2793">
        <f>IF(B2811=0,0,O2793/B2811)</f>
        <v/>
      </c>
      <c r="Q2793" t="n">
        <v>0</v>
      </c>
      <c r="R2793" t="n">
        <v>0</v>
      </c>
      <c r="S2793">
        <f>IFERROR(O2793/N2793,0)</f>
        <v/>
      </c>
      <c r="T2793" t="n">
        <v>0</v>
      </c>
      <c r="V2793" t="n">
        <v>0</v>
      </c>
    </row>
    <row r="2794">
      <c r="A2794">
        <f>Skills!A27</f>
        <v/>
      </c>
      <c r="B2794">
        <f>Skills!B27</f>
        <v/>
      </c>
      <c r="C2794">
        <f>Inputs!$B$3&gt;=72</f>
        <v/>
      </c>
      <c r="D2794">
        <f>IF(Skills!C27=1,60+Inputs!$B$25+Inputs!$B$29,IF(Skills!C27=2,90+Inputs!$B$26+Inputs!$B$29,IF(Skills!C27=3,120+Inputs!$B$27+Inputs!$B$29,MAX(0,(Inputs!$B$3-100)*3)+Inputs!$B$28+Inputs!$B$29)))</f>
        <v/>
      </c>
      <c r="E2794">
        <f>INDEX(FactorTable!$B$2:$Y$301, MATCH(ROUND(MIN(300,MAX(1,D2794)),0), FactorTable!$A$2:$A$301,0), Skills!M27+1)</f>
        <v/>
      </c>
      <c r="F2794">
        <f>IF(Skills!N27=TRUE,(Skills!L27/10)*(E2794/1000),Skills!L27/10)+Skills!O27</f>
        <v/>
      </c>
      <c r="G2794">
        <f>Calc!G27</f>
        <v/>
      </c>
      <c r="H2794">
        <f>Calc!H27</f>
        <v/>
      </c>
      <c r="I2794">
        <f>IF(Skills!AA27&lt;&gt;"",1+(Skills!AA27/10)*(U2770/1000)/100,1)</f>
        <v/>
      </c>
      <c r="J2794" t="inlineStr"/>
      <c r="K2794" t="inlineStr"/>
      <c r="L2794" t="inlineStr"/>
      <c r="M2794" t="inlineStr"/>
      <c r="N2794" t="inlineStr"/>
      <c r="O2794">
        <f>(1-Summary!$B$11)*T2794+Summary!$B$11*V2794</f>
        <v/>
      </c>
      <c r="P2794">
        <f>IF(B2811=0,0,O2794/B2811)</f>
        <v/>
      </c>
      <c r="Q2794" t="n">
        <v>0</v>
      </c>
      <c r="R2794" t="n">
        <v>0</v>
      </c>
      <c r="S2794">
        <f>IFERROR(O2794/N2794,0)</f>
        <v/>
      </c>
      <c r="T2794" t="n">
        <v>0</v>
      </c>
      <c r="V2794" t="n">
        <v>0</v>
      </c>
    </row>
    <row r="2795">
      <c r="A2795">
        <f>Skills!A28</f>
        <v/>
      </c>
      <c r="B2795">
        <f>Skills!B28</f>
        <v/>
      </c>
      <c r="C2795">
        <f>Inputs!$B$3&gt;=75</f>
        <v/>
      </c>
      <c r="D2795">
        <f>IF(Skills!C28=1,60+Inputs!$B$25+Inputs!$B$29,IF(Skills!C28=2,90+Inputs!$B$26+Inputs!$B$29,IF(Skills!C28=3,120+Inputs!$B$27+Inputs!$B$29,MAX(0,(Inputs!$B$3-100)*3)+Inputs!$B$28+Inputs!$B$29)))</f>
        <v/>
      </c>
      <c r="E2795">
        <f>INDEX(FactorTable!$B$2:$Y$301, MATCH(ROUND(MIN(300,MAX(1,D2795)),0), FactorTable!$A$2:$A$301,0), Skills!M28+1)</f>
        <v/>
      </c>
      <c r="F2795">
        <f>IF(Skills!N28=TRUE,(Skills!L28/10)*(E2795/1000),Skills!L28/10)+Skills!O28</f>
        <v/>
      </c>
      <c r="G2795">
        <f>Calc!G28</f>
        <v/>
      </c>
      <c r="H2795">
        <f>Calc!H28</f>
        <v/>
      </c>
      <c r="I2795">
        <f>IF(Skills!AA28&lt;&gt;"",1+(Skills!AA28/10)*(U2770/1000)/100,1)</f>
        <v/>
      </c>
      <c r="J2795" t="inlineStr"/>
      <c r="K2795" t="inlineStr"/>
      <c r="L2795" t="inlineStr"/>
      <c r="M2795" t="inlineStr"/>
      <c r="N2795" t="inlineStr"/>
      <c r="O2795">
        <f>(1-Summary!$B$11)*T2795+Summary!$B$11*V2795</f>
        <v/>
      </c>
      <c r="P2795">
        <f>IF(B2811=0,0,O2795/B2811)</f>
        <v/>
      </c>
      <c r="Q2795" t="n">
        <v>0</v>
      </c>
      <c r="R2795" t="n">
        <v>0</v>
      </c>
      <c r="S2795">
        <f>IFERROR(O2795/N2795,0)</f>
        <v/>
      </c>
      <c r="T2795" t="n">
        <v>0</v>
      </c>
      <c r="V2795" t="n">
        <v>0</v>
      </c>
    </row>
    <row r="2796">
      <c r="A2796">
        <f>Skills!A29</f>
        <v/>
      </c>
      <c r="B2796">
        <f>Skills!B29</f>
        <v/>
      </c>
      <c r="C2796">
        <f>Inputs!$B$3&gt;=120</f>
        <v/>
      </c>
      <c r="D2796">
        <f>IF(Skills!C29=1,60+Inputs!$B$25+Inputs!$B$29,IF(Skills!C29=2,90+Inputs!$B$26+Inputs!$B$29,IF(Skills!C29=3,120+Inputs!$B$27+Inputs!$B$29,MAX(0,(Inputs!$B$3-100)*3)+Inputs!$B$28+Inputs!$B$29)))</f>
        <v/>
      </c>
      <c r="E2796">
        <f>INDEX(FactorTable!$B$2:$Y$301, MATCH(ROUND(MIN(300,MAX(1,D2796)),0), FactorTable!$A$2:$A$301,0), Skills!M29+1)</f>
        <v/>
      </c>
      <c r="F2796">
        <f>IF(Skills!N29=TRUE,(Skills!L29/10)*(E2796/1000),Skills!L29/10)+Skills!O29</f>
        <v/>
      </c>
      <c r="G2796">
        <f>Calc!G29</f>
        <v/>
      </c>
      <c r="H2796">
        <f>Calc!H29</f>
        <v/>
      </c>
      <c r="I2796">
        <f>IF(Skills!AA29&lt;&gt;"",1+(Skills!AA29/10)*(U2770/1000)/100,1)</f>
        <v/>
      </c>
      <c r="J2796" t="inlineStr"/>
      <c r="K2796" t="inlineStr"/>
      <c r="L2796" t="inlineStr"/>
      <c r="M2796" t="inlineStr"/>
      <c r="N2796" t="inlineStr"/>
      <c r="O2796">
        <f>(1-Summary!$B$11)*T2796+Summary!$B$11*V2796</f>
        <v/>
      </c>
      <c r="P2796">
        <f>IF(B2811=0,0,O2796/B2811)</f>
        <v/>
      </c>
      <c r="Q2796" t="n">
        <v>0</v>
      </c>
      <c r="R2796" t="n">
        <v>0</v>
      </c>
      <c r="S2796">
        <f>IFERROR(O2796/N2796,0)</f>
        <v/>
      </c>
      <c r="T2796" t="n">
        <v>0</v>
      </c>
      <c r="V2796" t="n">
        <v>0</v>
      </c>
    </row>
    <row r="2797">
      <c r="A2797">
        <f>Skills!A30</f>
        <v/>
      </c>
      <c r="B2797">
        <f>Skills!B30</f>
        <v/>
      </c>
      <c r="C2797">
        <f>Inputs!$B$3&gt;=125</f>
        <v/>
      </c>
      <c r="D2797">
        <f>IF(Skills!C30=1,60+Inputs!$B$25+Inputs!$B$29,IF(Skills!C30=2,90+Inputs!$B$26+Inputs!$B$29,IF(Skills!C30=3,120+Inputs!$B$27+Inputs!$B$29,MAX(0,(Inputs!$B$3-100)*3)+Inputs!$B$28+Inputs!$B$29)))</f>
        <v/>
      </c>
      <c r="E2797">
        <f>INDEX(FactorTable!$B$2:$Y$301, MATCH(ROUND(MIN(300,MAX(1,D2797)),0), FactorTable!$A$2:$A$301,0), Skills!M30+1)</f>
        <v/>
      </c>
      <c r="F2797">
        <f>IF(Skills!N30=TRUE,(Skills!L30/10)*(E2797/1000),Skills!L30/10)+Skills!O30</f>
        <v/>
      </c>
      <c r="G2797">
        <f>Calc!G30</f>
        <v/>
      </c>
      <c r="H2797">
        <f>Calc!H30</f>
        <v/>
      </c>
      <c r="I2797">
        <f>IF(Skills!AA30&lt;&gt;"",1+(Skills!AA30/10)*(U2770/1000)/100,1)</f>
        <v/>
      </c>
      <c r="J2797" t="inlineStr"/>
      <c r="K2797" t="inlineStr"/>
      <c r="L2797" t="inlineStr"/>
      <c r="M2797" t="inlineStr"/>
      <c r="N2797" t="inlineStr"/>
      <c r="O2797">
        <f>(1-Summary!$B$11)*T2797+Summary!$B$11*V2797</f>
        <v/>
      </c>
      <c r="P2797">
        <f>IF(B2811=0,0,O2797/B2811)</f>
        <v/>
      </c>
      <c r="Q2797" t="n">
        <v>0</v>
      </c>
      <c r="R2797" t="n">
        <v>0</v>
      </c>
      <c r="S2797">
        <f>IFERROR(O2797/N2797,0)</f>
        <v/>
      </c>
      <c r="T2797" t="n">
        <v>0</v>
      </c>
      <c r="V2797" t="n">
        <v>0</v>
      </c>
    </row>
    <row r="2798">
      <c r="A2798">
        <f>Skills!A31</f>
        <v/>
      </c>
      <c r="B2798">
        <f>Skills!B31</f>
        <v/>
      </c>
      <c r="C2798">
        <f>Inputs!$B$3&gt;=107</f>
        <v/>
      </c>
      <c r="D2798">
        <f>IF(Skills!C31=1,60+Inputs!$B$25+Inputs!$B$29,IF(Skills!C31=2,90+Inputs!$B$26+Inputs!$B$29,IF(Skills!C31=3,120+Inputs!$B$27+Inputs!$B$29,MAX(0,(Inputs!$B$3-100)*3)+Inputs!$B$28+Inputs!$B$29)))</f>
        <v/>
      </c>
      <c r="E2798">
        <f>INDEX(FactorTable!$B$2:$Y$301, MATCH(ROUND(MIN(300,MAX(1,D2798)),0), FactorTable!$A$2:$A$301,0), Skills!M31+1)</f>
        <v/>
      </c>
      <c r="F2798">
        <f>IF(Skills!N31=TRUE,(Skills!L31/10)*(E2798/1000),Skills!L31/10)+Skills!O31</f>
        <v/>
      </c>
      <c r="G2798">
        <f>Calc!G31</f>
        <v/>
      </c>
      <c r="H2798">
        <f>Calc!H31</f>
        <v/>
      </c>
      <c r="I2798">
        <f>IF(Skills!AA31&lt;&gt;"",1+(Skills!AA31/10)*(U2770/1000)/100,1)</f>
        <v/>
      </c>
      <c r="J2798" t="inlineStr"/>
      <c r="K2798" t="inlineStr"/>
      <c r="L2798" t="inlineStr"/>
      <c r="M2798" t="inlineStr"/>
      <c r="N2798" t="inlineStr"/>
      <c r="O2798">
        <f>(1-Summary!$B$11)*T2798+Summary!$B$11*V2798</f>
        <v/>
      </c>
      <c r="P2798">
        <f>IF(B2811=0,0,O2798/B2811)</f>
        <v/>
      </c>
      <c r="Q2798" t="n">
        <v>0</v>
      </c>
      <c r="R2798" t="n">
        <v>0</v>
      </c>
      <c r="S2798">
        <f>IFERROR(O2798/N2798,0)</f>
        <v/>
      </c>
      <c r="T2798" t="n">
        <v>0</v>
      </c>
      <c r="V2798" t="n">
        <v>0</v>
      </c>
    </row>
    <row r="2800">
      <c r="A2800" t="inlineStr">
        <is>
          <t>Actions Per Second (pre-Adrenalin)</t>
        </is>
      </c>
      <c r="B2800">
        <f>1+MIN(150,150*(1-(1-(Inputs!$B$11+((C2789=TRUE)*(F2789-Calc!F22))+(ArtifactsInput!$M$15-ArtifactsInput!$M$15)*CHOOSE(ArtifactsInput!$N$15+1,8,9.6,11.2,12.8,14.4,16))/150)*(1-((C2786=TRUE)*F2786*IF(AND(Inputs!$B$39&lt;&gt;"pvp",Inputs!$B$44&gt;0),(((R2786-1)*(Skills!Y19*(1+Inputs!$B$34/100))+MIN((Skills!Y19*(1+Inputs!$B$34/100)),MAX(0,Inputs!$B$44-((R2786-1)*Skills!D19))))/Inputs!$B$44),IF(Inputs!$B$39="pvp",MIN((Skills!Y19*(1+Inputs!$B$34/100)),15)/15,(Skills!Y19*(1+Inputs!$B$34/100))/Skills!D19)))/150)))/100</f>
        <v/>
      </c>
    </row>
    <row r="2801">
      <c r="A2801" t="inlineStr">
        <is>
          <t>Alchemic Adrenaline Uptime</t>
        </is>
      </c>
      <c r="B2801">
        <f>(Skills!Y6*(1+Inputs!$B$34/100))/((Skills!Y6*(1+Inputs!$B$34/100))+(5/B2800))</f>
        <v/>
      </c>
    </row>
    <row r="2802">
      <c r="A2802" t="inlineStr">
        <is>
          <t>Attack Speed Buff Bonus %</t>
        </is>
      </c>
      <c r="B2802">
        <f>((C2786=TRUE)*F2786*IF(AND(Inputs!$B$39&lt;&gt;"pvp",Inputs!$B$44&gt;0),(((R2786-1)*(Skills!Y19*(1+Inputs!$B$34/100))+MIN((Skills!Y19*(1+Inputs!$B$34/100)),MAX(0,Inputs!$B$44-((R2786-1)*Skills!D19))))/Inputs!$B$44),IF(Inputs!$B$39="pvp",MIN((Skills!Y19*(1+Inputs!$B$34/100)),15)/15,(Skills!Y19*(1+Inputs!$B$34/100))/Skills!D19)))+((C2774=TRUE)*F2774*B2801)</f>
        <v/>
      </c>
    </row>
    <row r="2803">
      <c r="A2803" t="inlineStr">
        <is>
          <t>Actions Per Second (final)</t>
        </is>
      </c>
      <c r="B2803">
        <f>1+MIN(150,150*(1-(1-(Inputs!$B$11+((C2789=TRUE)*(F2789-Calc!F22))+(ArtifactsInput!$M$15-ArtifactsInput!$M$15)*CHOOSE(ArtifactsInput!$N$15+1,8,9.6,11.2,12.8,14.4,16))/150)*(1-B2802/150)))/100</f>
        <v/>
      </c>
    </row>
    <row r="2804">
      <c r="A2804" t="inlineStr">
        <is>
          <t>Skill + Buff Cast Rate</t>
        </is>
      </c>
      <c r="B2804">
        <f>IF(AND(Inputs!$B$39&lt;&gt;"pvp",Inputs!$B$44&gt;0),SUMPRODUCT((Skills!E2:E31=TRUE)*(C2769:C2798=TRUE)*R2769:R2798*Skills!F2:F31)/Inputs!$B$44,SUMPRODUCT((Skills!E2:E31=TRUE)*(C2769:C2798=TRUE)*Q2769:Q2798*Skills!F2:F31))</f>
        <v/>
      </c>
    </row>
    <row r="2805">
      <c r="A2805" t="inlineStr">
        <is>
          <t>Showdown Casts Per Second</t>
        </is>
      </c>
      <c r="B2805">
        <f>MAX(0,B2803-B2804)</f>
        <v/>
      </c>
    </row>
    <row r="2806">
      <c r="A2806" t="inlineStr">
        <is>
          <t>Average Buff Multiplier</t>
        </is>
      </c>
      <c r="B2806">
        <f>(1+(((C2788=TRUE)*F2788*IF(AND(Inputs!$B$39&lt;&gt;"pvp",Inputs!$B$44&gt;0),(((R2788-1)*(Skills!Y21*(1+Inputs!$B$34/100))+MIN((Skills!Y21*(1+Inputs!$B$34/100)),MAX(0,Inputs!$B$44-((R2788-1)*Skills!D21))))/Inputs!$B$44),IF(Inputs!$B$39="pvp",MIN((Skills!Y21*(1+Inputs!$B$34/100)),15)/15,(Skills!Y21*(1+Inputs!$B$34/100))/Skills!D21)))+((C2795=TRUE)*(F2795-Calc!F28))+((C2785=TRUE)*(F2785-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2782=TRUE)*F2782*IF(AND(Inputs!$B$39&lt;&gt;"pvp",Inputs!$B$44&gt;0),(((R2782-1)*(Skills!Y15*(1+Inputs!$B$34/100))+MIN((Skills!Y15*(1+Inputs!$B$34/100)),MAX(0,Inputs!$B$44-((R2782-1)*Skills!D15))))/Inputs!$B$44),IF(Inputs!$B$39="pvp",MIN((Skills!Y15*(1+Inputs!$B$34/100)),15)/15,(Skills!Y15*(1+Inputs!$B$34/100))/Skills!D15)))/100)*(1+((C2773=TRUE)*F2773*B2801)/100)</f>
        <v/>
      </c>
    </row>
    <row r="2807">
      <c r="A2807" t="inlineStr">
        <is>
          <t>Global Crit Rate Bonus %</t>
        </is>
      </c>
      <c r="B2807">
        <f>IF(Inputs!$B$3&gt;=47,8,0)+((C2787=TRUE)*F2787*IF(AND(Inputs!$B$39&lt;&gt;"pvp",Inputs!$B$44&gt;0),(((R2787-1)*(Skills!Y20*(1+Inputs!$B$34/100))+MIN((Skills!Y20*(1+Inputs!$B$34/100)),MAX(0,Inputs!$B$44-((R2787-1)*Skills!D20))))/Inputs!$B$44),IF(Inputs!$B$39="pvp",MIN((Skills!Y20*(1+Inputs!$B$34/100)),15)/15,(Skills!Y20*(1+Inputs!$B$34/100))/Skills!D20)))</f>
        <v/>
      </c>
    </row>
    <row r="2808">
      <c r="A2808" t="inlineStr">
        <is>
          <t>Global Monster Damage-Taken Bonus %</t>
        </is>
      </c>
      <c r="B2808">
        <f>IF(Inputs!$B$3&gt;=82,15,0)+((C2783=TRUE)*F2783*IF(AND(Inputs!$B$39&lt;&gt;"pvp",Inputs!$B$44&gt;0),(((R2783-1)*(Skills!Y16*(1+Inputs!$B$34/100))+MIN((Skills!Y16*(1+Inputs!$B$34/100)),MAX(0,Inputs!$B$44-((R2783-1)*Skills!D16))))/Inputs!$B$44),IF(Inputs!$B$39="pvp",MIN((Skills!Y16*(1+Inputs!$B$34/100)),15)/15,(Skills!Y16*(1+Inputs!$B$34/100))/Skills!D16)))</f>
        <v/>
      </c>
    </row>
    <row r="2809">
      <c r="A2809" t="inlineStr">
        <is>
          <t>Shadow Partner Average Multiplier</t>
        </is>
      </c>
      <c r="B2809">
        <f>1+((C2778=TRUE)*F2778*I2778*Skills!J11/100)/100</f>
        <v/>
      </c>
    </row>
    <row r="2810">
      <c r="A2810" t="inlineStr">
        <is>
          <t>Global Critical Damage Bonus % (Frailty Curse Mastery Lv.111)</t>
        </is>
      </c>
      <c r="B2810">
        <f>IF(Inputs!$B$3&gt;=111,30,0)*IF(AND(Inputs!$B$39&lt;&gt;"pvp",Inputs!$B$44&gt;0),(((R2783-1)*(Skills!Y16*(1+Inputs!$B$34/100))+MIN((Skills!Y16*(1+Inputs!$B$34/100)),MAX(0,Inputs!$B$44-((R2783-1)*Skills!D16))))/Inputs!$B$44),IF(Inputs!$B$39="pvp",MIN((Skills!Y16*(1+Inputs!$B$34/100)),15)/15,(Skills!Y16*(1+Inputs!$B$34/100))/Skills!D16))</f>
        <v/>
      </c>
    </row>
    <row r="2811">
      <c r="A2811" s="6" t="inlineStr">
        <is>
          <t>TOTAL DPS</t>
        </is>
      </c>
      <c r="B2811" s="6">
        <f>SUM(O2769:O2798)</f>
        <v/>
      </c>
    </row>
    <row r="2812">
      <c r="A2812" t="inlineStr">
        <is>
          <t>Buff-Casting Startup Delay (s, fixed-duration only)</t>
        </is>
      </c>
      <c r="B2812">
        <f>IF(AND(Inputs!$B$39&lt;&gt;"pvp",Inputs!$B$44&gt;0),SUMPRODUCT((Skills!Y2:Y31&gt;0)*(Skills!E2:E31=TRUE)*(C2769:C2798=TRUE))/B2803,0)</f>
        <v/>
      </c>
    </row>
    <row r="2813">
      <c r="A2813" t="inlineStr">
        <is>
          <t>Boss-Only Total DPS (this block's swept value)</t>
        </is>
      </c>
      <c r="B2813">
        <f>SUM(T2769:T2798)</f>
        <v/>
      </c>
    </row>
    <row r="2814">
      <c r="A2814" t="inlineStr">
        <is>
          <t>Normal-Only Total DPS (this block's swept value)</t>
        </is>
      </c>
      <c r="B2814">
        <f>SUM(V2769:V2798)</f>
        <v/>
      </c>
    </row>
    <row r="2816">
      <c r="A2816" s="6" t="inlineStr">
        <is>
          <t>Stat: Candle (Equip)</t>
        </is>
      </c>
    </row>
    <row r="2817">
      <c r="A2817" s="5" t="inlineStr">
        <is>
          <t>Key</t>
        </is>
      </c>
      <c r="B2817" s="5" t="inlineStr">
        <is>
          <t>Name</t>
        </is>
      </c>
      <c r="C2817" s="5" t="inlineStr">
        <is>
          <t>Unlocked</t>
        </is>
      </c>
      <c r="D2817" s="5" t="inlineStr">
        <is>
          <t>InputLevel</t>
        </is>
      </c>
      <c r="E2817" s="5" t="inlineStr">
        <is>
          <t>Factor</t>
        </is>
      </c>
      <c r="F2817" s="5" t="inlineStr">
        <is>
          <t>CoefficientPercent</t>
        </is>
      </c>
      <c r="G2817" s="5" t="inlineStr">
        <is>
          <t>EffectiveHits</t>
        </is>
      </c>
      <c r="H2817" s="5" t="inlineStr">
        <is>
          <t>ProcProbability</t>
        </is>
      </c>
      <c r="I2817" s="5" t="inlineStr">
        <is>
          <t>MapleHeroMultiplier</t>
        </is>
      </c>
      <c r="J2817" s="5" t="inlineStr">
        <is>
          <t>BaseDamage</t>
        </is>
      </c>
      <c r="K2817" s="5" t="inlineStr">
        <is>
          <t>BaseHitDamage</t>
        </is>
      </c>
      <c r="L2817" s="5" t="inlineStr">
        <is>
          <t>NonCritAvg</t>
        </is>
      </c>
      <c r="M2817" s="5" t="inlineStr">
        <is>
          <t>CritAvg</t>
        </is>
      </c>
      <c r="N2817" s="5" t="inlineStr">
        <is>
          <t>ExpectedDamage(perHit)</t>
        </is>
      </c>
      <c r="O2817" s="5" t="inlineStr">
        <is>
          <t>DPS</t>
        </is>
      </c>
      <c r="P2817" s="5" t="inlineStr">
        <is>
          <t>% of Total</t>
        </is>
      </c>
      <c r="Q2817" s="5" t="inlineStr">
        <is>
          <t>InvCooldown</t>
        </is>
      </c>
      <c r="R2817" s="5" t="inlineStr">
        <is>
          <t>CastsInFight</t>
        </is>
      </c>
      <c r="S2817" s="5" t="inlineStr">
        <is>
          <t>HitRate(perSec)</t>
        </is>
      </c>
      <c r="U2817" t="inlineStr">
        <is>
          <t>helpers</t>
        </is>
      </c>
    </row>
    <row r="2818">
      <c r="A2818">
        <f>Skills!A2</f>
        <v/>
      </c>
      <c r="B2818">
        <f>Skills!B2</f>
        <v/>
      </c>
      <c r="C2818">
        <f>Inputs!$B$3&gt;=100</f>
        <v/>
      </c>
      <c r="D2818" t="inlineStr"/>
      <c r="E2818" t="inlineStr"/>
      <c r="F2818">
        <f>U2822+Skills!O2</f>
        <v/>
      </c>
      <c r="G2818">
        <f>Calc!G2</f>
        <v/>
      </c>
      <c r="H2818">
        <f>Calc!H2</f>
        <v/>
      </c>
      <c r="I2818">
        <f>IF(Skills!AA2&lt;&gt;"",1+(Skills!AA2/10)*(U2819/1000)/100,1)</f>
        <v/>
      </c>
      <c r="J2818">
        <f>((Inputs!$B$6*(1+Inputs!$B$7/100))+(((Inputs!$B$12*(1+Inputs!$B$13/100))-(Inputs!$B$12*(1+Inputs!$B$13/100)))+0.25*(Inputs!$B$14-Inputs!$B$14))*(1+Inputs!$B$7/100))*(F2818/100)</f>
        <v/>
      </c>
      <c r="K2818">
        <f>J2818*(1+((Inputs!$B$12*(1+Inputs!$B$13/100))*0.01+Inputs!$B$14*0.0025)/100)*(1+Inputs!$B$15/100)*(1+Inputs!$B$16/100)*(5000/(6000+Inputs!$B$43*(1-(100*(1-(1-(Inputs!$B$19+0)/100)*(1-CHOOSE(ArtifactsInput!$N$40+1,5,6,7,8,9,10)/100)^(ArtifactsInput!$M$40-ArtifactsInput!$M$40)))/100)))*(1+(Inputs!$B$24+((C2846=TRUE)*(F2846-Calc!F30)))/100)*(1+Skills!R2/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2839=TRUE)*(F2839-Calc!F23))+(((IF(AND(ArtifactsInput!$M$42,((Inputs!$B$9+((C2841=TRUE)*(F2841-Calc!F25))+B2856+(ArtifactsInput!$M$24-ArtifactsInput!$M$24)*CHOOSE(ArtifactsInput!$N$24+1,10,12,14,16,18,20)+IF(ArtifactsInput!$M$10,CHOOSE(ArtifactsInput!$N$10+1,15,18,21,24,27,30)*(IF(Inputs!$B$39="pvp",MIN(15,15)/15,IF(AND(Inputs!$B$39&lt;&gt;"pvp",Inputs!$B$44&gt;0),MIN(15,Inputs!$B$44)/(Inputs!$B$44),0))),0)))&gt;=100),MIN(100,((Inputs!$B$9+((C2841=TRUE)*(F2841-Calc!F25))+B2856+(ArtifactsInput!$M$24-ArtifactsInput!$M$24)*CHOOSE(ArtifactsInput!$N$24+1,10,12,14,16,18,20)+IF(ArtifactsInput!$M$10,CHOOSE(ArtifactsInput!$N$10+1,15,18,21,24,27,30)*(IF(Inputs!$B$39="pvp",MIN(15,15)/15,IF(AND(Inputs!$B$39&lt;&gt;"pvp",Inputs!$B$44&gt;0),MIN(15,Inputs!$B$44)/(Inputs!$B$44),0))),0)))-100),0))*CHOOSE(ArtifactsInput!$N$42+1,0.6,0.72,0.84,0.96,1.08,1.2))),Inputs!$B$18+((C2845=TRUE)*(F2845-Calc!F29))+(IF(AND(ArtifactsInput!$M$42,((Inputs!$B$9+((C2841=TRUE)*(F2841-Calc!F25))+B2856+(ArtifactsInput!$M$24-ArtifactsInput!$M$24)*CHOOSE(ArtifactsInput!$N$24+1,10,12,14,16,18,20)+IF(ArtifactsInput!$M$10,CHOOSE(ArtifactsInput!$N$10+1,15,18,21,24,27,30)*(IF(Inputs!$B$39="pvp",MIN(15,15)/15,IF(AND(Inputs!$B$39&lt;&gt;"pvp",Inputs!$B$44&gt;0),MIN(15,Inputs!$B$44)/(Inputs!$B$44),0))),0)))&gt;=100),CHOOSE(ArtifactsInput!$N$42+1,40,48,56,64,72,80),0))))/100)*(((1+(((C2837=TRUE)*F2837*IF(AND(Inputs!$B$39&lt;&gt;"pvp",Inputs!$B$44&gt;0),(((R2837-1)*(Skills!Y21*(1+Inputs!$B$34/100))+MIN((Skills!Y21*(1+Inputs!$B$34/100)),MAX(0,Inputs!$B$44-((R2837-1)*Skills!D21))))/Inputs!$B$44),IF(Inputs!$B$39="pvp",MIN((Skills!Y21*(1+Inputs!$B$34/100)),15)/15,(Skills!Y21*(1+Inputs!$B$34/100))/Skills!D21)))+((C2844=TRUE)*(F2844-Calc!F28))+((C2834=TRUE)*(F2834-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2831=TRUE)*F2831*IF(AND(Inputs!$B$39&lt;&gt;"pvp",Inputs!$B$44&gt;0),(((R2831-1)*(Skills!Y15*(1+Inputs!$B$34/100))+MIN((Skills!Y15*(1+Inputs!$B$34/100)),MAX(0,Inputs!$B$44-((R2831-1)*Skills!D15))))/Inputs!$B$44),IF(Inputs!$B$39="pvp",MIN((Skills!Y15*(1+Inputs!$B$34/100)),15)/15,(Skills!Y15*(1+Inputs!$B$34/100))/Skills!D15)))/100)*(1+((C2822=TRUE)*F2822*B2850)/100))*B2858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2818)</f>
        <v/>
      </c>
      <c r="L2818">
        <f>K2818*(MIN(Inputs!$B$22+((C2840=TRUE)*(F2840-Calc!F24)),(Inputs!$B$23+0+(IF(ArtifactsInput!$M$15,CHOOSE(ArtifactsInput!$N$15+1,25,30,35,40,45,50)/100*(Inputs!$B$11-Inputs!$B$11),0))))/100+(Inputs!$B$23+0+(IF(ArtifactsInput!$M$15,CHOOSE(ArtifactsInput!$N$15+1,25,30,35,40,45,50)/100*(Inputs!$B$11-Inputs!$B$11),0)))/100)/2</f>
        <v/>
      </c>
      <c r="M2818">
        <f>L2818*(1+(Inputs!$B$10+((C2842=TRUE)*(F2842-Calc!F26))+B2859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18">
        <f>L2818*(1-MIN((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2818*(MIN((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18">
        <f>(1-Summary!$B$11)*T2818+Summary!$B$11*V2818</f>
        <v/>
      </c>
      <c r="P2818">
        <f>IF(B2860=0,0,O2818/B2860)</f>
        <v/>
      </c>
      <c r="Q2818" t="n">
        <v>0</v>
      </c>
      <c r="R2818" t="n">
        <v>0</v>
      </c>
      <c r="S2818">
        <f>IFERROR(O2818/N2818,0)</f>
        <v/>
      </c>
      <c r="T2818">
        <f>IF(C2818,(Skills!G2*N2818*B2854)*IF(Inputs!$B$39="pvp",1,1+(Inputs!$B$20+((C2843=TRUE)*(F2843-Calc!F27))+Skills!P2+B2857+(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Hunt"),CHOOSE(ArtifactsInput!$N$35+1,15,18,21,24,27,30)*(1-EXP(-(0.2*B2852)*5)),0)+IF(AND(ArtifactsInput!$M$22,Inputs!$B$4&lt;&gt;"Chapter Hunt"),CHOOSE(ArtifactsInput!$N$22+1,10,12,14,16,18,20)*((0*(((0.15*B2852*5))^0/1)+1*(((0.15*B2852*5))^1/1)+2*(((0.15*B2852*5))^2/2)+3*(((0.15*B2852*5))^3/6)+4*(((0.15*B2852*5))^4/24)+5*(((0.15*B2852*5))^5/120))/((((0.15*B2852*5))^0/1)+(((0.15*B2852*5))^1/1)+(((0.15*B2852*5))^2/2)+(((0.15*B2852*5))^3/6)+(((0.15*B2852*5))^4/24)+(((0.15*B2852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2818*(1-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2818*(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2818*(1-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2818*(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18">
        <f>MAX(0,(Inputs!$B$3-100)*3)+Inputs!$B$28+Inputs!$B$29</f>
        <v/>
      </c>
      <c r="V2818">
        <f>IF(C2818,(Skills!G2*N2818*B2854)*IF(Inputs!$B$39="pvp",1,(1+(Inputs!$B$21+Skills!Q2+B2857+(IF(ArtifactsInput!$M$33,CHOOSE(ArtifactsInput!$N$33+1,30,36,42,48,54,60),0))+(IF(AND(ArtifactsInput!$M$35,Inputs!$B$4&lt;&gt;"Chapter Hunt"),CHOOSE(ArtifactsInput!$N$35+1,15,18,21,24,27,30)*(1-EXP(-(0.2*B2852)*5)),0)+IF(AND(ArtifactsInput!$M$22,Inputs!$B$4&lt;&gt;"Chapter Hunt"),CHOOSE(ArtifactsInput!$N$22+1,10,12,14,16,18,20)*((0*(((0.15*B2852*5))^0/1)+1*(((0.15*B2852*5))^1/1)+2*(((0.15*B2852*5))^2/2)+3*(((0.15*B2852*5))^3/6)+4*(((0.15*B2852*5))^4/24)+5*(((0.15*B2852*5))^5/120))/((((0.15*B2852*5))^0/1)+(((0.15*B2852*5))^1/1)+(((0.15*B2852*5))^2/2)+(((0.15*B2852*5))^3/6)+(((0.15*B2852*5))^4/24)+(((0.15*B2852*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19">
      <c r="A2819">
        <f>Skills!A3</f>
        <v/>
      </c>
      <c r="B2819">
        <f>Skills!B3</f>
        <v/>
      </c>
      <c r="C2819">
        <f>Inputs!$B$3&gt;=35</f>
        <v/>
      </c>
      <c r="D2819">
        <f>IF(Skills!C3=1,60+Inputs!$B$25+Inputs!$B$29,IF(Skills!C3=2,90+Inputs!$B$26+Inputs!$B$29,IF(Skills!C3=3,120+Inputs!$B$27+Inputs!$B$29,MAX(0,(Inputs!$B$3-100)*3)+Inputs!$B$28+Inputs!$B$29)))</f>
        <v/>
      </c>
      <c r="E2819">
        <f>INDEX(FactorTable!$B$2:$Y$301, MATCH(ROUND(MIN(300,MAX(1,D2819)),0), FactorTable!$A$2:$A$301,0), Skills!M3+1)</f>
        <v/>
      </c>
      <c r="F2819">
        <f>IF(Skills!N3=TRUE,(Skills!L3/10)*(E2819/1000),Skills!L3/10)+Skills!O3</f>
        <v/>
      </c>
      <c r="G2819">
        <f>Calc!G3</f>
        <v/>
      </c>
      <c r="H2819">
        <f>Calc!H3</f>
        <v/>
      </c>
      <c r="I2819">
        <f>IF(Skills!AA3&lt;&gt;"",1+(Skills!AA3/10)*(U2819/1000)/100,1)</f>
        <v/>
      </c>
      <c r="J2819">
        <f>((Inputs!$B$6*(1+Inputs!$B$7/100))+(((Inputs!$B$12*(1+Inputs!$B$13/100))-(Inputs!$B$12*(1+Inputs!$B$13/100)))+0.25*(Inputs!$B$14-Inputs!$B$14))*(1+Inputs!$B$7/100))*(F2819/100)</f>
        <v/>
      </c>
      <c r="K2819">
        <f>J2819*(1+((Inputs!$B$12*(1+Inputs!$B$13/100))*0.01+Inputs!$B$14*0.0025)/100)*(1+Inputs!$B$15/100)*(1+Inputs!$B$16/100)*(5000/(6000+Inputs!$B$43*(1-(100*(1-(1-(Inputs!$B$19+0)/100)*(1-CHOOSE(ArtifactsInput!$N$40+1,5,6,7,8,9,10)/100)^(ArtifactsInput!$M$40-ArtifactsInput!$M$40)))/100)))*(1+(Inputs!$B$24+((C2846=TRUE)*(F2846-Calc!F30)))/100)*(1+Skills!R3/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2839=TRUE)*(F2839-Calc!F23))+(((IF(AND(ArtifactsInput!$M$42,((Inputs!$B$9+((C2841=TRUE)*(F2841-Calc!F25))+B2856+(ArtifactsInput!$M$24-ArtifactsInput!$M$24)*CHOOSE(ArtifactsInput!$N$24+1,10,12,14,16,18,20)+IF(ArtifactsInput!$M$10,CHOOSE(ArtifactsInput!$N$10+1,15,18,21,24,27,30)*(IF(Inputs!$B$39="pvp",MIN(15,15)/15,IF(AND(Inputs!$B$39&lt;&gt;"pvp",Inputs!$B$44&gt;0),MIN(15,Inputs!$B$44)/(Inputs!$B$44),0))),0)))&gt;=100),MIN(100,((Inputs!$B$9+((C2841=TRUE)*(F2841-Calc!F25))+B2856+(ArtifactsInput!$M$24-ArtifactsInput!$M$24)*CHOOSE(ArtifactsInput!$N$24+1,10,12,14,16,18,20)+IF(ArtifactsInput!$M$10,CHOOSE(ArtifactsInput!$N$10+1,15,18,21,24,27,30)*(IF(Inputs!$B$39="pvp",MIN(15,15)/15,IF(AND(Inputs!$B$39&lt;&gt;"pvp",Inputs!$B$44&gt;0),MIN(15,Inputs!$B$44)/(Inputs!$B$44),0))),0)))-100),0))*CHOOSE(ArtifactsInput!$N$42+1,0.6,0.72,0.84,0.96,1.08,1.2))),Inputs!$B$18+((C2845=TRUE)*(F2845-Calc!F29))+(IF(AND(ArtifactsInput!$M$42,((Inputs!$B$9+((C2841=TRUE)*(F2841-Calc!F25))+B2856+(ArtifactsInput!$M$24-ArtifactsInput!$M$24)*CHOOSE(ArtifactsInput!$N$24+1,10,12,14,16,18,20)+IF(ArtifactsInput!$M$10,CHOOSE(ArtifactsInput!$N$10+1,15,18,21,24,27,30)*(IF(Inputs!$B$39="pvp",MIN(15,15)/15,IF(AND(Inputs!$B$39&lt;&gt;"pvp",Inputs!$B$44&gt;0),MIN(15,Inputs!$B$44)/(Inputs!$B$44),0))),0)))&gt;=100),CHOOSE(ArtifactsInput!$N$42+1,40,48,56,64,72,80),0))))/100)*(((1+(((C2837=TRUE)*F2837*IF(AND(Inputs!$B$39&lt;&gt;"pvp",Inputs!$B$44&gt;0),(((R2837-1)*(Skills!Y21*(1+Inputs!$B$34/100))+MIN((Skills!Y21*(1+Inputs!$B$34/100)),MAX(0,Inputs!$B$44-((R2837-1)*Skills!D21))))/Inputs!$B$44),IF(Inputs!$B$39="pvp",MIN((Skills!Y21*(1+Inputs!$B$34/100)),15)/15,(Skills!Y21*(1+Inputs!$B$34/100))/Skills!D21)))+((C2844=TRUE)*(F2844-Calc!F28))+((C2834=TRUE)*(F2834-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2831=TRUE)*F2831*IF(AND(Inputs!$B$39&lt;&gt;"pvp",Inputs!$B$44&gt;0),(((R2831-1)*(Skills!Y15*(1+Inputs!$B$34/100))+MIN((Skills!Y15*(1+Inputs!$B$34/100)),MAX(0,Inputs!$B$44-((R2831-1)*Skills!D15))))/Inputs!$B$44),IF(Inputs!$B$39="pvp",MIN((Skills!Y15*(1+Inputs!$B$34/100)),15)/15,(Skills!Y15*(1+Inputs!$B$34/100))/Skills!D15)))/100)*(1+((C2822=TRUE)*F2822*B2850)/100))*B2858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2819)</f>
        <v/>
      </c>
      <c r="L2819">
        <f>K2819*(MIN(Inputs!$B$22+((C2840=TRUE)*(F2840-Calc!F24)),(Inputs!$B$23+0+(IF(ArtifactsInput!$M$15,CHOOSE(ArtifactsInput!$N$15+1,25,30,35,40,45,50)/100*(Inputs!$B$11-Inputs!$B$11),0))))/100+(Inputs!$B$23+0+(IF(ArtifactsInput!$M$15,CHOOSE(ArtifactsInput!$N$15+1,25,30,35,40,45,50)/100*(Inputs!$B$11-Inputs!$B$11),0)))/100)/2</f>
        <v/>
      </c>
      <c r="M2819">
        <f>L2819*(1+(Inputs!$B$10+((C2842=TRUE)*(F2842-Calc!F26))+B2859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19">
        <f>L2819*(1-MIN((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2819*(MIN((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19">
        <f>(1-Summary!$B$11)*T2819+Summary!$B$11*V2819</f>
        <v/>
      </c>
      <c r="P2819">
        <f>IF(B2860=0,0,O2819/B2860)</f>
        <v/>
      </c>
      <c r="Q2819">
        <f>IFERROR(1/IF(Inputs!$B$39="pvp",15,MAX(0.1,Skills!D3-IF(Skills!E3=TRUE,Inputs!$B$32,0))),0)</f>
        <v/>
      </c>
      <c r="R2819">
        <f>IF(AND(Inputs!$B$39&lt;&gt;"pvp",Inputs!$B$44&gt;0),IF(MAX(0,Inputs!$B$44-B2861)&lt;=0,0,(INT(MAX(0,Inputs!$B$44-B2861)/IF(Inputs!$B$39="pvp",15,MAX(0.1,Skills!D3-IF(Skills!E3=TRUE,Inputs!$B$32,0))))+1)),0)</f>
        <v/>
      </c>
      <c r="S2819">
        <f>IFERROR(O2819/N2819,0)</f>
        <v/>
      </c>
      <c r="T2819">
        <f>IF(C2819,(H2819*N2819*IF(AND(Inputs!$B$39&lt;&gt;"pvp",Inputs!$B$44&gt;0),((Skills!G3*((R2819-1)*IF(Skills!H3&gt;0,Skills!I3/Skills!H3,1)+IF(Skills!H3&gt;0,MIN(Skills!I3,MAX(0,MAX(0,Inputs!$B$44-B2861)-((R2819-1)*IF(Inputs!$B$39="pvp",15,MAX(0.1,Skills!D3-IF(Skills!E3=TRUE,Inputs!$B$32,0))))))/Skills!H3,1)))/Inputs!$B$44),G2819*Q2819))*IF(Inputs!$B$39="pvp",1,1+(Inputs!$B$20+((C2843=TRUE)*(F2843-Calc!F27))+Skills!P3+B2857+(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Hunt"),CHOOSE(ArtifactsInput!$N$35+1,15,18,21,24,27,30)*(1-EXP(-(0.2*B2852)*5)),0)+IF(AND(ArtifactsInput!$M$22,Inputs!$B$4&lt;&gt;"Chapter Hunt"),CHOOSE(ArtifactsInput!$N$22+1,10,12,14,16,18,20)*((0*(((0.15*B2852*5))^0/1)+1*(((0.15*B2852*5))^1/1)+2*(((0.15*B2852*5))^2/2)+3*(((0.15*B2852*5))^3/6)+4*(((0.15*B2852*5))^4/24)+5*(((0.15*B2852*5))^5/120))/((((0.15*B2852*5))^0/1)+(((0.15*B2852*5))^1/1)+(((0.15*B2852*5))^2/2)+(((0.15*B2852*5))^3/6)+(((0.15*B2852*5))^4/24)+(((0.15*B2852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2819*(1-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2819*(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2819*(1-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2819*(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19">
        <f>INDEX(FactorTable!$B$2:$Y$301, MATCH(ROUND(MIN(300,MAX(1,U2818)),0), FactorTable!$A$2:$A$301,0), 24)</f>
        <v/>
      </c>
      <c r="V2819">
        <f>IF(C2819,(H2819*N2819*IF(AND(Inputs!$B$39&lt;&gt;"pvp",Inputs!$B$44&gt;0),((Skills!G3*((R2819-1)*IF(Skills!H3&gt;0,Skills!I3/Skills!H3,1)+IF(Skills!H3&gt;0,MIN(Skills!I3,MAX(0,MAX(0,Inputs!$B$44-B2861)-((R2819-1)*IF(Inputs!$B$39="pvp",15,MAX(0.1,Skills!D3-IF(Skills!E3=TRUE,Inputs!$B$32,0))))))/Skills!H3,1)))/Inputs!$B$44),G2819*Q2819))*IF(Inputs!$B$39="pvp",1,(1+(Inputs!$B$21+Skills!Q3+B2857+(IF(ArtifactsInput!$M$33,CHOOSE(ArtifactsInput!$N$33+1,30,36,42,48,54,60),0))+(IF(AND(ArtifactsInput!$M$35,Inputs!$B$4&lt;&gt;"Chapter Hunt"),CHOOSE(ArtifactsInput!$N$35+1,15,18,21,24,27,30)*(1-EXP(-(0.2*B2852)*5)),0)+IF(AND(ArtifactsInput!$M$22,Inputs!$B$4&lt;&gt;"Chapter Hunt"),CHOOSE(ArtifactsInput!$N$22+1,10,12,14,16,18,20)*((0*(((0.15*B2852*5))^0/1)+1*(((0.15*B2852*5))^1/1)+2*(((0.15*B2852*5))^2/2)+3*(((0.15*B2852*5))^3/6)+4*(((0.15*B2852*5))^4/24)+5*(((0.15*B2852*5))^5/120))/((((0.15*B2852*5))^0/1)+(((0.15*B2852*5))^1/1)+(((0.15*B2852*5))^2/2)+(((0.15*B2852*5))^3/6)+(((0.15*B2852*5))^4/24)+(((0.15*B2852*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20">
      <c r="A2820">
        <f>Skills!A4</f>
        <v/>
      </c>
      <c r="B2820">
        <f>Skills!B4</f>
        <v/>
      </c>
      <c r="C2820">
        <f>Inputs!$B$3&gt;=40</f>
        <v/>
      </c>
      <c r="D2820">
        <f>IF(Skills!C4=1,60+Inputs!$B$25+Inputs!$B$29,IF(Skills!C4=2,90+Inputs!$B$26+Inputs!$B$29,IF(Skills!C4=3,120+Inputs!$B$27+Inputs!$B$29,MAX(0,(Inputs!$B$3-100)*3)+Inputs!$B$28+Inputs!$B$29)))</f>
        <v/>
      </c>
      <c r="E2820">
        <f>INDEX(FactorTable!$B$2:$Y$301, MATCH(ROUND(MIN(300,MAX(1,D2820)),0), FactorTable!$A$2:$A$301,0), Skills!M4+1)</f>
        <v/>
      </c>
      <c r="F2820">
        <f>IF(Skills!N4=TRUE,(Skills!L4/10)*(E2820/1000),Skills!L4/10)+Skills!O4</f>
        <v/>
      </c>
      <c r="G2820">
        <f>Calc!G4</f>
        <v/>
      </c>
      <c r="H2820">
        <f>Calc!H4</f>
        <v/>
      </c>
      <c r="I2820">
        <f>IF(Skills!AA4&lt;&gt;"",1+(Skills!AA4/10)*(U2819/1000)/100,1)</f>
        <v/>
      </c>
      <c r="J2820">
        <f>((Inputs!$B$6*(1+Inputs!$B$7/100))+(((Inputs!$B$12*(1+Inputs!$B$13/100))-(Inputs!$B$12*(1+Inputs!$B$13/100)))+0.25*(Inputs!$B$14-Inputs!$B$14))*(1+Inputs!$B$7/100))*(F2820/100)</f>
        <v/>
      </c>
      <c r="K2820">
        <f>J2820*(1+((Inputs!$B$12*(1+Inputs!$B$13/100))*0.01+Inputs!$B$14*0.0025)/100)*(1+Inputs!$B$15/100)*(1+Inputs!$B$16/100)*(5000/(6000+Inputs!$B$43*(1-(100*(1-(1-(Inputs!$B$19+0)/100)*(1-CHOOSE(ArtifactsInput!$N$40+1,5,6,7,8,9,10)/100)^(ArtifactsInput!$M$40-ArtifactsInput!$M$40)))/100)))*(1+(Inputs!$B$24+((C2846=TRUE)*(F2846-Calc!F30)))/100)*(1+Skills!R4/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2839=TRUE)*(F2839-Calc!F23))+(((IF(AND(ArtifactsInput!$M$42,((Inputs!$B$9+((C2841=TRUE)*(F2841-Calc!F25))+B2856+(ArtifactsInput!$M$24-ArtifactsInput!$M$24)*CHOOSE(ArtifactsInput!$N$24+1,10,12,14,16,18,20)+IF(ArtifactsInput!$M$10,CHOOSE(ArtifactsInput!$N$10+1,15,18,21,24,27,30)*(IF(Inputs!$B$39="pvp",MIN(15,15)/15,IF(AND(Inputs!$B$39&lt;&gt;"pvp",Inputs!$B$44&gt;0),MIN(15,Inputs!$B$44)/(Inputs!$B$44),0))),0)))&gt;=100),MIN(100,((Inputs!$B$9+((C2841=TRUE)*(F2841-Calc!F25))+B2856+(ArtifactsInput!$M$24-ArtifactsInput!$M$24)*CHOOSE(ArtifactsInput!$N$24+1,10,12,14,16,18,20)+IF(ArtifactsInput!$M$10,CHOOSE(ArtifactsInput!$N$10+1,15,18,21,24,27,30)*(IF(Inputs!$B$39="pvp",MIN(15,15)/15,IF(AND(Inputs!$B$39&lt;&gt;"pvp",Inputs!$B$44&gt;0),MIN(15,Inputs!$B$44)/(Inputs!$B$44),0))),0)))-100),0))*CHOOSE(ArtifactsInput!$N$42+1,0.6,0.72,0.84,0.96,1.08,1.2))),Inputs!$B$18+((C2845=TRUE)*(F2845-Calc!F29))+(IF(AND(ArtifactsInput!$M$42,((Inputs!$B$9+((C2841=TRUE)*(F2841-Calc!F25))+B2856+(ArtifactsInput!$M$24-ArtifactsInput!$M$24)*CHOOSE(ArtifactsInput!$N$24+1,10,12,14,16,18,20)+IF(ArtifactsInput!$M$10,CHOOSE(ArtifactsInput!$N$10+1,15,18,21,24,27,30)*(IF(Inputs!$B$39="pvp",MIN(15,15)/15,IF(AND(Inputs!$B$39&lt;&gt;"pvp",Inputs!$B$44&gt;0),MIN(15,Inputs!$B$44)/(Inputs!$B$44),0))),0)))&gt;=100),CHOOSE(ArtifactsInput!$N$42+1,40,48,56,64,72,80),0))))/100)*(((1+(((C2837=TRUE)*F2837*IF(AND(Inputs!$B$39&lt;&gt;"pvp",Inputs!$B$44&gt;0),(((R2837-1)*(Skills!Y21*(1+Inputs!$B$34/100))+MIN((Skills!Y21*(1+Inputs!$B$34/100)),MAX(0,Inputs!$B$44-((R2837-1)*Skills!D21))))/Inputs!$B$44),IF(Inputs!$B$39="pvp",MIN((Skills!Y21*(1+Inputs!$B$34/100)),15)/15,(Skills!Y21*(1+Inputs!$B$34/100))/Skills!D21)))+((C2844=TRUE)*(F2844-Calc!F28))+((C2834=TRUE)*(F2834-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2831=TRUE)*F2831*IF(AND(Inputs!$B$39&lt;&gt;"pvp",Inputs!$B$44&gt;0),(((R2831-1)*(Skills!Y15*(1+Inputs!$B$34/100))+MIN((Skills!Y15*(1+Inputs!$B$34/100)),MAX(0,Inputs!$B$44-((R2831-1)*Skills!D15))))/Inputs!$B$44),IF(Inputs!$B$39="pvp",MIN((Skills!Y15*(1+Inputs!$B$34/100)),15)/15,(Skills!Y15*(1+Inputs!$B$34/100))/Skills!D15)))/100)*(1+((C2822=TRUE)*F2822*B2850)/100))*B2858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2820)</f>
        <v/>
      </c>
      <c r="L2820">
        <f>K2820*(MIN(Inputs!$B$22+((C2840=TRUE)*(F2840-Calc!F24)),(Inputs!$B$23+0+(IF(ArtifactsInput!$M$15,CHOOSE(ArtifactsInput!$N$15+1,25,30,35,40,45,50)/100*(Inputs!$B$11-Inputs!$B$11),0))))/100+(Inputs!$B$23+0+(IF(ArtifactsInput!$M$15,CHOOSE(ArtifactsInput!$N$15+1,25,30,35,40,45,50)/100*(Inputs!$B$11-Inputs!$B$11),0)))/100)/2</f>
        <v/>
      </c>
      <c r="M2820">
        <f>L2820*(1+(Inputs!$B$10+((C2842=TRUE)*(F2842-Calc!F26))+B2859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20">
        <f>L2820*(1-MIN((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2820*(MIN((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20">
        <f>(1-Summary!$B$11)*T2820+Summary!$B$11*V2820</f>
        <v/>
      </c>
      <c r="P2820">
        <f>IF(B2860=0,0,O2820/B2860)</f>
        <v/>
      </c>
      <c r="Q2820">
        <f>IFERROR(1/IF(Inputs!$B$39="pvp",15,MAX(0.1,Skills!D4-IF(Skills!E4=TRUE,Inputs!$B$32,0))),0)</f>
        <v/>
      </c>
      <c r="R2820">
        <f>IF(AND(Inputs!$B$39&lt;&gt;"pvp",Inputs!$B$44&gt;0),IF(MAX(0,Inputs!$B$44-B2861)&lt;=0,0,(INT(MAX(0,Inputs!$B$44-B2861)/IF(Inputs!$B$39="pvp",15,MAX(0.1,Skills!D4-IF(Skills!E4=TRUE,Inputs!$B$32,0))))+1)),0)</f>
        <v/>
      </c>
      <c r="S2820">
        <f>IFERROR(O2820/N2820,0)</f>
        <v/>
      </c>
      <c r="T2820">
        <f>IF(C2820,(H2820*N2820*IF(AND(Inputs!$B$39&lt;&gt;"pvp",Inputs!$B$44&gt;0),((Skills!G4*((R2820-1)*IF(Skills!H4&gt;0,Skills!I4/Skills!H4,1)+IF(Skills!H4&gt;0,MIN(Skills!I4,MAX(0,MAX(0,Inputs!$B$44-B2861)-((R2820-1)*IF(Inputs!$B$39="pvp",15,MAX(0.1,Skills!D4-IF(Skills!E4=TRUE,Inputs!$B$32,0))))))/Skills!H4,1)))/Inputs!$B$44),G2820*Q2820))*IF(Inputs!$B$39="pvp",1,1+(Inputs!$B$20+((C2843=TRUE)*(F2843-Calc!F27))+Skills!P4+B2857+(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Hunt"),CHOOSE(ArtifactsInput!$N$35+1,15,18,21,24,27,30)*(1-EXP(-(0.2*B2852)*5)),0)+IF(AND(ArtifactsInput!$M$22,Inputs!$B$4&lt;&gt;"Chapter Hunt"),CHOOSE(ArtifactsInput!$N$22+1,10,12,14,16,18,20)*((0*(((0.15*B2852*5))^0/1)+1*(((0.15*B2852*5))^1/1)+2*(((0.15*B2852*5))^2/2)+3*(((0.15*B2852*5))^3/6)+4*(((0.15*B2852*5))^4/24)+5*(((0.15*B2852*5))^5/120))/((((0.15*B2852*5))^0/1)+(((0.15*B2852*5))^1/1)+(((0.15*B2852*5))^2/2)+(((0.15*B2852*5))^3/6)+(((0.15*B2852*5))^4/24)+(((0.15*B2852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2820*(1-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2820*(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2820*(1-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2820*(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20">
        <f>MAX(0,(Inputs!$B$3-100)*3)+Inputs!$B$28+Inputs!$B$29</f>
        <v/>
      </c>
      <c r="V2820">
        <f>IF(C2820,(H2820*N2820*IF(AND(Inputs!$B$39&lt;&gt;"pvp",Inputs!$B$44&gt;0),((Skills!G4*((R2820-1)*IF(Skills!H4&gt;0,Skills!I4/Skills!H4,1)+IF(Skills!H4&gt;0,MIN(Skills!I4,MAX(0,MAX(0,Inputs!$B$44-B2861)-((R2820-1)*IF(Inputs!$B$39="pvp",15,MAX(0.1,Skills!D4-IF(Skills!E4=TRUE,Inputs!$B$32,0))))))/Skills!H4,1)))/Inputs!$B$44),G2820*Q2820))*IF(Inputs!$B$39="pvp",1,(1+(Inputs!$B$21+Skills!Q4+B2857+(IF(ArtifactsInput!$M$33,CHOOSE(ArtifactsInput!$N$33+1,30,36,42,48,54,60),0))+(IF(AND(ArtifactsInput!$M$35,Inputs!$B$4&lt;&gt;"Chapter Hunt"),CHOOSE(ArtifactsInput!$N$35+1,15,18,21,24,27,30)*(1-EXP(-(0.2*B2852)*5)),0)+IF(AND(ArtifactsInput!$M$22,Inputs!$B$4&lt;&gt;"Chapter Hunt"),CHOOSE(ArtifactsInput!$N$22+1,10,12,14,16,18,20)*((0*(((0.15*B2852*5))^0/1)+1*(((0.15*B2852*5))^1/1)+2*(((0.15*B2852*5))^2/2)+3*(((0.15*B2852*5))^3/6)+4*(((0.15*B2852*5))^4/24)+5*(((0.15*B2852*5))^5/120))/((((0.15*B2852*5))^0/1)+(((0.15*B2852*5))^1/1)+(((0.15*B2852*5))^2/2)+(((0.15*B2852*5))^3/6)+(((0.15*B2852*5))^4/24)+(((0.15*B2852*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21">
      <c r="A2821">
        <f>Skills!A5</f>
        <v/>
      </c>
      <c r="B2821">
        <f>Skills!B5</f>
        <v/>
      </c>
      <c r="C2821">
        <f>Inputs!$B$3&gt;=63</f>
        <v/>
      </c>
      <c r="D2821">
        <f>IF(Skills!C5=1,60+Inputs!$B$25+Inputs!$B$29,IF(Skills!C5=2,90+Inputs!$B$26+Inputs!$B$29,IF(Skills!C5=3,120+Inputs!$B$27+Inputs!$B$29,MAX(0,(Inputs!$B$3-100)*3)+Inputs!$B$28+Inputs!$B$29)))</f>
        <v/>
      </c>
      <c r="E2821">
        <f>INDEX(FactorTable!$B$2:$Y$301, MATCH(ROUND(MIN(300,MAX(1,D2821)),0), FactorTable!$A$2:$A$301,0), Skills!M5+1)</f>
        <v/>
      </c>
      <c r="F2821">
        <f>IF(Skills!N5=TRUE,(Skills!L5/10)*(E2821/1000),Skills!L5/10)+Skills!O5</f>
        <v/>
      </c>
      <c r="G2821">
        <f>Calc!G5</f>
        <v/>
      </c>
      <c r="H2821">
        <f>Calc!H5</f>
        <v/>
      </c>
      <c r="I2821">
        <f>IF(Skills!AA5&lt;&gt;"",1+(Skills!AA5/10)*(U2819/1000)/100,1)</f>
        <v/>
      </c>
      <c r="J2821">
        <f>((Inputs!$B$6*(1+Inputs!$B$7/100))+(((Inputs!$B$12*(1+Inputs!$B$13/100))-(Inputs!$B$12*(1+Inputs!$B$13/100)))+0.25*(Inputs!$B$14-Inputs!$B$14))*(1+Inputs!$B$7/100))*(F2821/100)</f>
        <v/>
      </c>
      <c r="K2821">
        <f>J2821*(1+((Inputs!$B$12*(1+Inputs!$B$13/100))*0.01+Inputs!$B$14*0.0025)/100)*(1+Inputs!$B$15/100)*(1+Inputs!$B$16/100)*(5000/(6000+Inputs!$B$43*(1-(100*(1-(1-(Inputs!$B$19+0)/100)*(1-CHOOSE(ArtifactsInput!$N$40+1,5,6,7,8,9,10)/100)^(ArtifactsInput!$M$40-ArtifactsInput!$M$40)))/100)))*(1+(Inputs!$B$24+((C2846=TRUE)*(F2846-Calc!F30)))/100)*(1+Skills!R5/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2839=TRUE)*(F2839-Calc!F23))+(((IF(AND(ArtifactsInput!$M$42,((Inputs!$B$9+((C2841=TRUE)*(F2841-Calc!F25))+B2856+(ArtifactsInput!$M$24-ArtifactsInput!$M$24)*CHOOSE(ArtifactsInput!$N$24+1,10,12,14,16,18,20)+IF(ArtifactsInput!$M$10,CHOOSE(ArtifactsInput!$N$10+1,15,18,21,24,27,30)*(IF(Inputs!$B$39="pvp",MIN(15,15)/15,IF(AND(Inputs!$B$39&lt;&gt;"pvp",Inputs!$B$44&gt;0),MIN(15,Inputs!$B$44)/(Inputs!$B$44),0))),0)))&gt;=100),MIN(100,((Inputs!$B$9+((C2841=TRUE)*(F2841-Calc!F25))+B2856+(ArtifactsInput!$M$24-ArtifactsInput!$M$24)*CHOOSE(ArtifactsInput!$N$24+1,10,12,14,16,18,20)+IF(ArtifactsInput!$M$10,CHOOSE(ArtifactsInput!$N$10+1,15,18,21,24,27,30)*(IF(Inputs!$B$39="pvp",MIN(15,15)/15,IF(AND(Inputs!$B$39&lt;&gt;"pvp",Inputs!$B$44&gt;0),MIN(15,Inputs!$B$44)/(Inputs!$B$44),0))),0)))-100),0))*CHOOSE(ArtifactsInput!$N$42+1,0.6,0.72,0.84,0.96,1.08,1.2))),Inputs!$B$18+((C2845=TRUE)*(F2845-Calc!F29))+(IF(AND(ArtifactsInput!$M$42,((Inputs!$B$9+((C2841=TRUE)*(F2841-Calc!F25))+B2856+(ArtifactsInput!$M$24-ArtifactsInput!$M$24)*CHOOSE(ArtifactsInput!$N$24+1,10,12,14,16,18,20)+IF(ArtifactsInput!$M$10,CHOOSE(ArtifactsInput!$N$10+1,15,18,21,24,27,30)*(IF(Inputs!$B$39="pvp",MIN(15,15)/15,IF(AND(Inputs!$B$39&lt;&gt;"pvp",Inputs!$B$44&gt;0),MIN(15,Inputs!$B$44)/(Inputs!$B$44),0))),0)))&gt;=100),CHOOSE(ArtifactsInput!$N$42+1,40,48,56,64,72,80),0))))/100)*(((1+(((C2837=TRUE)*F2837*IF(AND(Inputs!$B$39&lt;&gt;"pvp",Inputs!$B$44&gt;0),(((R2837-1)*(Skills!Y21*(1+Inputs!$B$34/100))+MIN((Skills!Y21*(1+Inputs!$B$34/100)),MAX(0,Inputs!$B$44-((R2837-1)*Skills!D21))))/Inputs!$B$44),IF(Inputs!$B$39="pvp",MIN((Skills!Y21*(1+Inputs!$B$34/100)),15)/15,(Skills!Y21*(1+Inputs!$B$34/100))/Skills!D21)))+((C2844=TRUE)*(F2844-Calc!F28))+((C2834=TRUE)*(F2834-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2831=TRUE)*F2831*IF(AND(Inputs!$B$39&lt;&gt;"pvp",Inputs!$B$44&gt;0),(((R2831-1)*(Skills!Y15*(1+Inputs!$B$34/100))+MIN((Skills!Y15*(1+Inputs!$B$34/100)),MAX(0,Inputs!$B$44-((R2831-1)*Skills!D15))))/Inputs!$B$44),IF(Inputs!$B$39="pvp",MIN((Skills!Y15*(1+Inputs!$B$34/100)),15)/15,(Skills!Y15*(1+Inputs!$B$34/100))/Skills!D15)))/100)*(1+((C2822=TRUE)*F2822*B2850)/100))*B2858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2821)</f>
        <v/>
      </c>
      <c r="L2821">
        <f>K2821*(MIN(Inputs!$B$22+((C2840=TRUE)*(F2840-Calc!F24)),(Inputs!$B$23+0+(IF(ArtifactsInput!$M$15,CHOOSE(ArtifactsInput!$N$15+1,25,30,35,40,45,50)/100*(Inputs!$B$11-Inputs!$B$11),0))))/100+(Inputs!$B$23+0+(IF(ArtifactsInput!$M$15,CHOOSE(ArtifactsInput!$N$15+1,25,30,35,40,45,50)/100*(Inputs!$B$11-Inputs!$B$11),0)))/100)/2</f>
        <v/>
      </c>
      <c r="M2821">
        <f>L2821*(1+(Inputs!$B$10+((C2842=TRUE)*(F2842-Calc!F26))+B2859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21">
        <f>L2821*(1-MIN((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2821*(MIN((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21">
        <f>(1-Summary!$B$11)*T2821+Summary!$B$11*V2821</f>
        <v/>
      </c>
      <c r="P2821">
        <f>IF(B2860=0,0,O2821/B2860)</f>
        <v/>
      </c>
      <c r="Q2821">
        <f>IFERROR(1/IF(Inputs!$B$39="pvp",15,MAX(0.1,Skills!D5-IF(Skills!E5=TRUE,Inputs!$B$32,0))),0)</f>
        <v/>
      </c>
      <c r="R2821">
        <f>IF(AND(Inputs!$B$39&lt;&gt;"pvp",Inputs!$B$44&gt;0),IF(MAX(0,Inputs!$B$44-B2861)&lt;=0,0,(INT(MAX(0,Inputs!$B$44-B2861)/IF(Inputs!$B$39="pvp",15,MAX(0.1,Skills!D5-IF(Skills!E5=TRUE,Inputs!$B$32,0))))+1)),0)</f>
        <v/>
      </c>
      <c r="S2821">
        <f>IFERROR(O2821/N2821,0)</f>
        <v/>
      </c>
      <c r="T2821">
        <f>IF(C2821,(H2821*N2821*IF(AND(Inputs!$B$39&lt;&gt;"pvp",Inputs!$B$44&gt;0),((Skills!G5*((R2821-1)*IF(Skills!H5&gt;0,Skills!I5/Skills!H5,1)+IF(Skills!H5&gt;0,MIN(Skills!I5,MAX(0,MAX(0,Inputs!$B$44-B2861)-((R2821-1)*IF(Inputs!$B$39="pvp",15,MAX(0.1,Skills!D5-IF(Skills!E5=TRUE,Inputs!$B$32,0))))))/Skills!H5,1)))/Inputs!$B$44),G2821*Q2821))*IF(Inputs!$B$39="pvp",1,1+(Inputs!$B$20+((C2843=TRUE)*(F2843-Calc!F27))+Skills!P5+B2857+(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Hunt"),CHOOSE(ArtifactsInput!$N$35+1,15,18,21,24,27,30)*(1-EXP(-(0.2*B2852)*5)),0)+IF(AND(ArtifactsInput!$M$22,Inputs!$B$4&lt;&gt;"Chapter Hunt"),CHOOSE(ArtifactsInput!$N$22+1,10,12,14,16,18,20)*((0*(((0.15*B2852*5))^0/1)+1*(((0.15*B2852*5))^1/1)+2*(((0.15*B2852*5))^2/2)+3*(((0.15*B2852*5))^3/6)+4*(((0.15*B2852*5))^4/24)+5*(((0.15*B2852*5))^5/120))/((((0.15*B2852*5))^0/1)+(((0.15*B2852*5))^1/1)+(((0.15*B2852*5))^2/2)+(((0.15*B2852*5))^3/6)+(((0.15*B2852*5))^4/24)+(((0.15*B2852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2821*(1-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2821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2821*(1-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2821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21">
        <f>INDEX(FactorTable!$B$2:$Y$301, MATCH(ROUND(MIN(300,MAX(1,U2820)),0), FactorTable!$A$2:$A$301,0), 22)</f>
        <v/>
      </c>
      <c r="V2821">
        <f>IF(C2821,(H2821*N2821*IF(AND(Inputs!$B$39&lt;&gt;"pvp",Inputs!$B$44&gt;0),((Skills!G5*((R2821-1)*IF(Skills!H5&gt;0,Skills!I5/Skills!H5,1)+IF(Skills!H5&gt;0,MIN(Skills!I5,MAX(0,MAX(0,Inputs!$B$44-B2861)-((R2821-1)*IF(Inputs!$B$39="pvp",15,MAX(0.1,Skills!D5-IF(Skills!E5=TRUE,Inputs!$B$32,0))))))/Skills!H5,1)))/Inputs!$B$44),G2821*Q2821))*IF(Inputs!$B$39="pvp",1,(1+(Inputs!$B$21+Skills!Q5+B2857+(IF(ArtifactsInput!$M$33,CHOOSE(ArtifactsInput!$N$33+1,30,36,42,48,54,60),0))+(IF(AND(ArtifactsInput!$M$35,Inputs!$B$4&lt;&gt;"Chapter Hunt"),CHOOSE(ArtifactsInput!$N$35+1,15,18,21,24,27,30)*(1-EXP(-(0.2*B2852)*5)),0)+IF(AND(ArtifactsInput!$M$22,Inputs!$B$4&lt;&gt;"Chapter Hunt"),CHOOSE(ArtifactsInput!$N$22+1,10,12,14,16,18,20)*((0*(((0.15*B2852*5))^0/1)+1*(((0.15*B2852*5))^1/1)+2*(((0.15*B2852*5))^2/2)+3*(((0.15*B2852*5))^3/6)+4*(((0.15*B2852*5))^4/24)+5*(((0.15*B2852*5))^5/120))/((((0.15*B2852*5))^0/1)+(((0.15*B2852*5))^1/1)+(((0.15*B2852*5))^2/2)+(((0.15*B2852*5))^3/6)+(((0.15*B2852*5))^4/24)+(((0.15*B2852*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22">
      <c r="A2822">
        <f>Skills!A6</f>
        <v/>
      </c>
      <c r="B2822">
        <f>Skills!B6</f>
        <v/>
      </c>
      <c r="C2822">
        <f>Inputs!$B$3&gt;=66</f>
        <v/>
      </c>
      <c r="D2822">
        <f>IF(Skills!C6=1,60+Inputs!$B$25+Inputs!$B$29,IF(Skills!C6=2,90+Inputs!$B$26+Inputs!$B$29,IF(Skills!C6=3,120+Inputs!$B$27+Inputs!$B$29,MAX(0,(Inputs!$B$3-100)*3)+Inputs!$B$28+Inputs!$B$29)))</f>
        <v/>
      </c>
      <c r="E2822">
        <f>INDEX(FactorTable!$B$2:$Y$301, MATCH(ROUND(MIN(300,MAX(1,D2822)),0), FactorTable!$A$2:$A$301,0), Skills!M6+1)</f>
        <v/>
      </c>
      <c r="F2822">
        <f>IF(Skills!N6=TRUE,(Skills!L6/10)*(E2822/1000),Skills!L6/10)+Skills!O6</f>
        <v/>
      </c>
      <c r="G2822">
        <f>Calc!G6</f>
        <v/>
      </c>
      <c r="H2822">
        <f>Calc!H6</f>
        <v/>
      </c>
      <c r="I2822">
        <f>IF(Skills!AA6&lt;&gt;"",1+(Skills!AA6/10)*(U2819/1000)/100,1)</f>
        <v/>
      </c>
      <c r="J2822" t="inlineStr"/>
      <c r="K2822" t="inlineStr"/>
      <c r="L2822" t="inlineStr"/>
      <c r="M2822" t="inlineStr"/>
      <c r="N2822" t="inlineStr"/>
      <c r="O2822">
        <f>(1-Summary!$B$11)*T2822+Summary!$B$11*V2822</f>
        <v/>
      </c>
      <c r="P2822">
        <f>IF(B2860=0,0,O2822/B2860)</f>
        <v/>
      </c>
      <c r="Q2822" t="n">
        <v>0</v>
      </c>
      <c r="R2822" t="n">
        <v>0</v>
      </c>
      <c r="S2822">
        <f>IFERROR(O2822/N2822,0)</f>
        <v/>
      </c>
      <c r="T2822" t="n">
        <v>0</v>
      </c>
      <c r="U2822">
        <f>290*U2821/1000</f>
        <v/>
      </c>
      <c r="V2822" t="n">
        <v>0</v>
      </c>
    </row>
    <row r="2823">
      <c r="A2823">
        <f>Skills!A7</f>
        <v/>
      </c>
      <c r="B2823">
        <f>Skills!B7</f>
        <v/>
      </c>
      <c r="C2823">
        <f>Inputs!$B$3&gt;=66</f>
        <v/>
      </c>
      <c r="D2823">
        <f>IF(Skills!C7=1,60+Inputs!$B$25+Inputs!$B$29,IF(Skills!C7=2,90+Inputs!$B$26+Inputs!$B$29,IF(Skills!C7=3,120+Inputs!$B$27+Inputs!$B$29,MAX(0,(Inputs!$B$3-100)*3)+Inputs!$B$28+Inputs!$B$29)))</f>
        <v/>
      </c>
      <c r="E2823">
        <f>INDEX(FactorTable!$B$2:$Y$301, MATCH(ROUND(MIN(300,MAX(1,D2823)),0), FactorTable!$A$2:$A$301,0), Skills!M7+1)</f>
        <v/>
      </c>
      <c r="F2823">
        <f>IF(Skills!N7=TRUE,(Skills!L7/10)*(E2823/1000),Skills!L7/10)+Skills!O7</f>
        <v/>
      </c>
      <c r="G2823">
        <f>Calc!G7</f>
        <v/>
      </c>
      <c r="H2823">
        <f>Calc!H7</f>
        <v/>
      </c>
      <c r="I2823">
        <f>IF(Skills!AA7&lt;&gt;"",1+(Skills!AA7/10)*(U2819/1000)/100,1)</f>
        <v/>
      </c>
      <c r="J2823" t="inlineStr"/>
      <c r="K2823" t="inlineStr"/>
      <c r="L2823" t="inlineStr"/>
      <c r="M2823" t="inlineStr"/>
      <c r="N2823" t="inlineStr"/>
      <c r="O2823">
        <f>(1-Summary!$B$11)*T2823+Summary!$B$11*V2823</f>
        <v/>
      </c>
      <c r="P2823">
        <f>IF(B2860=0,0,O2823/B2860)</f>
        <v/>
      </c>
      <c r="Q2823" t="n">
        <v>0</v>
      </c>
      <c r="R2823" t="n">
        <v>0</v>
      </c>
      <c r="S2823">
        <f>IFERROR(O2823/N2823,0)</f>
        <v/>
      </c>
      <c r="T2823" t="n">
        <v>0</v>
      </c>
      <c r="V2823" t="n">
        <v>0</v>
      </c>
    </row>
    <row r="2824">
      <c r="A2824">
        <f>Skills!A8</f>
        <v/>
      </c>
      <c r="B2824">
        <f>Skills!B8</f>
        <v/>
      </c>
      <c r="C2824">
        <f>Inputs!$B$3&gt;=69</f>
        <v/>
      </c>
      <c r="D2824">
        <f>IF(Skills!C8=1,60+Inputs!$B$25+Inputs!$B$29,IF(Skills!C8=2,90+Inputs!$B$26+Inputs!$B$29,IF(Skills!C8=3,120+Inputs!$B$27+Inputs!$B$29,MAX(0,(Inputs!$B$3-100)*3)+Inputs!$B$28+Inputs!$B$29)))</f>
        <v/>
      </c>
      <c r="E2824">
        <f>INDEX(FactorTable!$B$2:$Y$301, MATCH(ROUND(MIN(300,MAX(1,D2824)),0), FactorTable!$A$2:$A$301,0), Skills!M8+1)</f>
        <v/>
      </c>
      <c r="F2824">
        <f>IF(Skills!N8=TRUE,(Skills!L8/10)*(E2824/1000),Skills!L8/10)+Skills!O8</f>
        <v/>
      </c>
      <c r="G2824">
        <f>Calc!G8</f>
        <v/>
      </c>
      <c r="H2824">
        <f>Calc!H8</f>
        <v/>
      </c>
      <c r="I2824">
        <f>IF(Skills!AA8&lt;&gt;"",1+(Skills!AA8/10)*(U2819/1000)/100,1)</f>
        <v/>
      </c>
      <c r="J2824">
        <f>((Inputs!$B$6*(1+Inputs!$B$7/100))+(((Inputs!$B$12*(1+Inputs!$B$13/100))-(Inputs!$B$12*(1+Inputs!$B$13/100)))+0.25*(Inputs!$B$14-Inputs!$B$14))*(1+Inputs!$B$7/100))*(F2824/100)</f>
        <v/>
      </c>
      <c r="K2824">
        <f>J2824*(1+((Inputs!$B$12*(1+Inputs!$B$13/100))*0.01+Inputs!$B$14*0.0025)/100)*(1+Inputs!$B$15/100)*(1+Inputs!$B$16/100)*(5000/(6000+Inputs!$B$43*(1-(100*(1-(1-(Inputs!$B$19+0)/100)*(1-CHOOSE(ArtifactsInput!$N$40+1,5,6,7,8,9,10)/100)^(ArtifactsInput!$M$40-ArtifactsInput!$M$40)))/100)))*(1+(Inputs!$B$24+((C2846=TRUE)*(F2846-Calc!F30)))/100)*(1+Skills!R8/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2839=TRUE)*(F2839-Calc!F23))+(((IF(AND(ArtifactsInput!$M$42,((Inputs!$B$9+((C2841=TRUE)*(F2841-Calc!F25))+B2856+(ArtifactsInput!$M$24-ArtifactsInput!$M$24)*CHOOSE(ArtifactsInput!$N$24+1,10,12,14,16,18,20)+IF(ArtifactsInput!$M$10,CHOOSE(ArtifactsInput!$N$10+1,15,18,21,24,27,30)*(IF(Inputs!$B$39="pvp",MIN(15,15)/15,IF(AND(Inputs!$B$39&lt;&gt;"pvp",Inputs!$B$44&gt;0),MIN(15,Inputs!$B$44)/(Inputs!$B$44),0))),0)))&gt;=100),MIN(100,((Inputs!$B$9+((C2841=TRUE)*(F2841-Calc!F25))+B2856+(ArtifactsInput!$M$24-ArtifactsInput!$M$24)*CHOOSE(ArtifactsInput!$N$24+1,10,12,14,16,18,20)+IF(ArtifactsInput!$M$10,CHOOSE(ArtifactsInput!$N$10+1,15,18,21,24,27,30)*(IF(Inputs!$B$39="pvp",MIN(15,15)/15,IF(AND(Inputs!$B$39&lt;&gt;"pvp",Inputs!$B$44&gt;0),MIN(15,Inputs!$B$44)/(Inputs!$B$44),0))),0)))-100),0))*CHOOSE(ArtifactsInput!$N$42+1,0.6,0.72,0.84,0.96,1.08,1.2))),Inputs!$B$18+((C2845=TRUE)*(F2845-Calc!F29))+(IF(AND(ArtifactsInput!$M$42,((Inputs!$B$9+((C2841=TRUE)*(F2841-Calc!F25))+B2856+(ArtifactsInput!$M$24-ArtifactsInput!$M$24)*CHOOSE(ArtifactsInput!$N$24+1,10,12,14,16,18,20)+IF(ArtifactsInput!$M$10,CHOOSE(ArtifactsInput!$N$10+1,15,18,21,24,27,30)*(IF(Inputs!$B$39="pvp",MIN(15,15)/15,IF(AND(Inputs!$B$39&lt;&gt;"pvp",Inputs!$B$44&gt;0),MIN(15,Inputs!$B$44)/(Inputs!$B$44),0))),0)))&gt;=100),CHOOSE(ArtifactsInput!$N$42+1,40,48,56,64,72,80),0))))/100)*(((1+(((C2837=TRUE)*F2837*IF(AND(Inputs!$B$39&lt;&gt;"pvp",Inputs!$B$44&gt;0),(((R2837-1)*(Skills!Y21*(1+Inputs!$B$34/100))+MIN((Skills!Y21*(1+Inputs!$B$34/100)),MAX(0,Inputs!$B$44-((R2837-1)*Skills!D21))))/Inputs!$B$44),IF(Inputs!$B$39="pvp",MIN((Skills!Y21*(1+Inputs!$B$34/100)),15)/15,(Skills!Y21*(1+Inputs!$B$34/100))/Skills!D21)))+((C2844=TRUE)*(F2844-Calc!F28))+((C2834=TRUE)*(F2834-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2831=TRUE)*F2831*IF(AND(Inputs!$B$39&lt;&gt;"pvp",Inputs!$B$44&gt;0),(((R2831-1)*(Skills!Y15*(1+Inputs!$B$34/100))+MIN((Skills!Y15*(1+Inputs!$B$34/100)),MAX(0,Inputs!$B$44-((R2831-1)*Skills!D15))))/Inputs!$B$44),IF(Inputs!$B$39="pvp",MIN((Skills!Y15*(1+Inputs!$B$34/100)),15)/15,(Skills!Y15*(1+Inputs!$B$34/100))/Skills!D15)))/100)*(1+((C2822=TRUE)*F2822*B2850)/100))*B2858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2824)</f>
        <v/>
      </c>
      <c r="L2824">
        <f>K2824*(MIN(Inputs!$B$22+((C2840=TRUE)*(F2840-Calc!F24)),(Inputs!$B$23+0+(IF(ArtifactsInput!$M$15,CHOOSE(ArtifactsInput!$N$15+1,25,30,35,40,45,50)/100*(Inputs!$B$11-Inputs!$B$11),0))))/100+(Inputs!$B$23+0+(IF(ArtifactsInput!$M$15,CHOOSE(ArtifactsInput!$N$15+1,25,30,35,40,45,50)/100*(Inputs!$B$11-Inputs!$B$11),0)))/100)/2</f>
        <v/>
      </c>
      <c r="M2824">
        <f>L2824*(1+(Inputs!$B$10+((C2842=TRUE)*(F2842-Calc!F26))+B2859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24">
        <f>L2824*(1-MIN((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2824*(MIN((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24">
        <f>(1-Summary!$B$11)*T2824+Summary!$B$11*V2824</f>
        <v/>
      </c>
      <c r="P2824">
        <f>IF(B2860=0,0,O2824/B2860)</f>
        <v/>
      </c>
      <c r="Q2824">
        <f>IFERROR(1/IF(Inputs!$B$39="pvp",15,MAX(0.1,Skills!D8-IF(Skills!E8=TRUE,Inputs!$B$32,0))),0)</f>
        <v/>
      </c>
      <c r="R2824">
        <f>IF(AND(Inputs!$B$39&lt;&gt;"pvp",Inputs!$B$44&gt;0),IF(MAX(0,Inputs!$B$44-B2861)&lt;=0,0,(INT(MAX(0,Inputs!$B$44-B2861)/IF(Inputs!$B$39="pvp",15,MAX(0.1,Skills!D8-IF(Skills!E8=TRUE,Inputs!$B$32,0))))+1)),0)</f>
        <v/>
      </c>
      <c r="S2824">
        <f>IFERROR(O2824/N2824,0)</f>
        <v/>
      </c>
      <c r="T2824">
        <f>IF(C2824,(H2824*N2824*IF(AND(Inputs!$B$39&lt;&gt;"pvp",Inputs!$B$44&gt;0),((Skills!G8*((R2824-1)*IF(Skills!H8&gt;0,Skills!I8/Skills!H8,1)+IF(Skills!H8&gt;0,MIN(Skills!I8,MAX(0,MAX(0,Inputs!$B$44-B2861)-((R2824-1)*IF(Inputs!$B$39="pvp",15,MAX(0.1,Skills!D8-IF(Skills!E8=TRUE,Inputs!$B$32,0))))))/Skills!H8,1)))/Inputs!$B$44),G2824*Q2824))*IF(Inputs!$B$39="pvp",1,1+(Inputs!$B$20+((C2843=TRUE)*(F2843-Calc!F27))+Skills!P8+B2857+(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Hunt"),CHOOSE(ArtifactsInput!$N$35+1,15,18,21,24,27,30)*(1-EXP(-(0.2*B2852)*5)),0)+IF(AND(ArtifactsInput!$M$22,Inputs!$B$4&lt;&gt;"Chapter Hunt"),CHOOSE(ArtifactsInput!$N$22+1,10,12,14,16,18,20)*((0*(((0.15*B2852*5))^0/1)+1*(((0.15*B2852*5))^1/1)+2*(((0.15*B2852*5))^2/2)+3*(((0.15*B2852*5))^3/6)+4*(((0.15*B2852*5))^4/24)+5*(((0.15*B2852*5))^5/120))/((((0.15*B2852*5))^0/1)+(((0.15*B2852*5))^1/1)+(((0.15*B2852*5))^2/2)+(((0.15*B2852*5))^3/6)+(((0.15*B2852*5))^4/24)+(((0.15*B2852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2824*(1-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2824*(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2824*(1-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2824*(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24">
        <f>IF(C2824,(H2824*N2824*IF(AND(Inputs!$B$39&lt;&gt;"pvp",Inputs!$B$44&gt;0),((Skills!G8*((R2824-1)*IF(Skills!H8&gt;0,Skills!I8/Skills!H8,1)+IF(Skills!H8&gt;0,MIN(Skills!I8,MAX(0,MAX(0,Inputs!$B$44-B2861)-((R2824-1)*IF(Inputs!$B$39="pvp",15,MAX(0.1,Skills!D8-IF(Skills!E8=TRUE,Inputs!$B$32,0))))))/Skills!H8,1)))/Inputs!$B$44),G2824*Q2824))*IF(Inputs!$B$39="pvp",1,(1+(Inputs!$B$21+Skills!Q8+B2857+(IF(ArtifactsInput!$M$33,CHOOSE(ArtifactsInput!$N$33+1,30,36,42,48,54,60),0))+(IF(AND(ArtifactsInput!$M$35,Inputs!$B$4&lt;&gt;"Chapter Hunt"),CHOOSE(ArtifactsInput!$N$35+1,15,18,21,24,27,30)*(1-EXP(-(0.2*B2852)*5)),0)+IF(AND(ArtifactsInput!$M$22,Inputs!$B$4&lt;&gt;"Chapter Hunt"),CHOOSE(ArtifactsInput!$N$22+1,10,12,14,16,18,20)*((0*(((0.15*B2852*5))^0/1)+1*(((0.15*B2852*5))^1/1)+2*(((0.15*B2852*5))^2/2)+3*(((0.15*B2852*5))^3/6)+4*(((0.15*B2852*5))^4/24)+5*(((0.15*B2852*5))^5/120))/((((0.15*B2852*5))^0/1)+(((0.15*B2852*5))^1/1)+(((0.15*B2852*5))^2/2)+(((0.15*B2852*5))^3/6)+(((0.15*B2852*5))^4/24)+(((0.15*B2852*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25">
      <c r="A2825">
        <f>Skills!A9</f>
        <v/>
      </c>
      <c r="B2825">
        <f>Skills!B9</f>
        <v/>
      </c>
      <c r="C2825">
        <f>Inputs!$B$3&gt;=72</f>
        <v/>
      </c>
      <c r="D2825">
        <f>IF(Skills!C9=1,60+Inputs!$B$25+Inputs!$B$29,IF(Skills!C9=2,90+Inputs!$B$26+Inputs!$B$29,IF(Skills!C9=3,120+Inputs!$B$27+Inputs!$B$29,MAX(0,(Inputs!$B$3-100)*3)+Inputs!$B$28+Inputs!$B$29)))</f>
        <v/>
      </c>
      <c r="E2825">
        <f>INDEX(FactorTable!$B$2:$Y$301, MATCH(ROUND(MIN(300,MAX(1,D2825)),0), FactorTable!$A$2:$A$301,0), Skills!M9+1)</f>
        <v/>
      </c>
      <c r="F2825">
        <f>IF(Skills!N9=TRUE,(Skills!L9/10)*(E2825/1000),Skills!L9/10)+Skills!O9</f>
        <v/>
      </c>
      <c r="G2825">
        <f>Calc!G9</f>
        <v/>
      </c>
      <c r="H2825">
        <f>Calc!H9</f>
        <v/>
      </c>
      <c r="I2825">
        <f>IF(Skills!AA9&lt;&gt;"",1+(Skills!AA9/10)*(U2819/1000)/100,1)</f>
        <v/>
      </c>
      <c r="J2825">
        <f>((Inputs!$B$6*(1+Inputs!$B$7/100))+(((Inputs!$B$12*(1+Inputs!$B$13/100))-(Inputs!$B$12*(1+Inputs!$B$13/100)))+0.25*(Inputs!$B$14-Inputs!$B$14))*(1+Inputs!$B$7/100))*(F2825/100)</f>
        <v/>
      </c>
      <c r="K2825">
        <f>J2825*(1+((Inputs!$B$12*(1+Inputs!$B$13/100))*0.01+Inputs!$B$14*0.0025)/100)*(1+Inputs!$B$15/100)*(1+Inputs!$B$16/100)*(5000/(6000+Inputs!$B$43*(1-(100*(1-(1-(Inputs!$B$19+0)/100)*(1-CHOOSE(ArtifactsInput!$N$40+1,5,6,7,8,9,10)/100)^(ArtifactsInput!$M$40-ArtifactsInput!$M$40)))/100)))*(1+(Inputs!$B$24+((C2846=TRUE)*(F2846-Calc!F30)))/100)*(1+Skills!R9/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2839=TRUE)*(F2839-Calc!F23))+(((IF(AND(ArtifactsInput!$M$42,((Inputs!$B$9+((C2841=TRUE)*(F2841-Calc!F25))+B2856+(ArtifactsInput!$M$24-ArtifactsInput!$M$24)*CHOOSE(ArtifactsInput!$N$24+1,10,12,14,16,18,20)+IF(ArtifactsInput!$M$10,CHOOSE(ArtifactsInput!$N$10+1,15,18,21,24,27,30)*(IF(Inputs!$B$39="pvp",MIN(15,15)/15,IF(AND(Inputs!$B$39&lt;&gt;"pvp",Inputs!$B$44&gt;0),MIN(15,Inputs!$B$44)/(Inputs!$B$44),0))),0)))&gt;=100),MIN(100,((Inputs!$B$9+((C2841=TRUE)*(F2841-Calc!F25))+B2856+(ArtifactsInput!$M$24-ArtifactsInput!$M$24)*CHOOSE(ArtifactsInput!$N$24+1,10,12,14,16,18,20)+IF(ArtifactsInput!$M$10,CHOOSE(ArtifactsInput!$N$10+1,15,18,21,24,27,30)*(IF(Inputs!$B$39="pvp",MIN(15,15)/15,IF(AND(Inputs!$B$39&lt;&gt;"pvp",Inputs!$B$44&gt;0),MIN(15,Inputs!$B$44)/(Inputs!$B$44),0))),0)))-100),0))*CHOOSE(ArtifactsInput!$N$42+1,0.6,0.72,0.84,0.96,1.08,1.2))),Inputs!$B$18+((C2845=TRUE)*(F2845-Calc!F29))+(IF(AND(ArtifactsInput!$M$42,((Inputs!$B$9+((C2841=TRUE)*(F2841-Calc!F25))+B2856+(ArtifactsInput!$M$24-ArtifactsInput!$M$24)*CHOOSE(ArtifactsInput!$N$24+1,10,12,14,16,18,20)+IF(ArtifactsInput!$M$10,CHOOSE(ArtifactsInput!$N$10+1,15,18,21,24,27,30)*(IF(Inputs!$B$39="pvp",MIN(15,15)/15,IF(AND(Inputs!$B$39&lt;&gt;"pvp",Inputs!$B$44&gt;0),MIN(15,Inputs!$B$44)/(Inputs!$B$44),0))),0)))&gt;=100),CHOOSE(ArtifactsInput!$N$42+1,40,48,56,64,72,80),0))))/100)*(((1+(((C2837=TRUE)*F2837*IF(AND(Inputs!$B$39&lt;&gt;"pvp",Inputs!$B$44&gt;0),(((R2837-1)*(Skills!Y21*(1+Inputs!$B$34/100))+MIN((Skills!Y21*(1+Inputs!$B$34/100)),MAX(0,Inputs!$B$44-((R2837-1)*Skills!D21))))/Inputs!$B$44),IF(Inputs!$B$39="pvp",MIN((Skills!Y21*(1+Inputs!$B$34/100)),15)/15,(Skills!Y21*(1+Inputs!$B$34/100))/Skills!D21)))+((C2844=TRUE)*(F2844-Calc!F28))+((C2834=TRUE)*(F2834-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2831=TRUE)*F2831*IF(AND(Inputs!$B$39&lt;&gt;"pvp",Inputs!$B$44&gt;0),(((R2831-1)*(Skills!Y15*(1+Inputs!$B$34/100))+MIN((Skills!Y15*(1+Inputs!$B$34/100)),MAX(0,Inputs!$B$44-((R2831-1)*Skills!D15))))/Inputs!$B$44),IF(Inputs!$B$39="pvp",MIN((Skills!Y15*(1+Inputs!$B$34/100)),15)/15,(Skills!Y15*(1+Inputs!$B$34/100))/Skills!D15)))/100)*(1+((C2822=TRUE)*F2822*B2850)/100))*B2858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2825)</f>
        <v/>
      </c>
      <c r="L2825">
        <f>K2825*(MIN(Inputs!$B$22+((C2840=TRUE)*(F2840-Calc!F24)),(Inputs!$B$23+0+(IF(ArtifactsInput!$M$15,CHOOSE(ArtifactsInput!$N$15+1,25,30,35,40,45,50)/100*(Inputs!$B$11-Inputs!$B$11),0))))/100+(Inputs!$B$23+0+(IF(ArtifactsInput!$M$15,CHOOSE(ArtifactsInput!$N$15+1,25,30,35,40,45,50)/100*(Inputs!$B$11-Inputs!$B$11),0)))/100)/2</f>
        <v/>
      </c>
      <c r="M2825">
        <f>L2825*(1+(Inputs!$B$10+((C2842=TRUE)*(F2842-Calc!F26))+B2859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25">
        <f>L2825*(1-MIN((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2825*(MIN((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25">
        <f>(1-Summary!$B$11)*T2825+Summary!$B$11*V2825</f>
        <v/>
      </c>
      <c r="P2825">
        <f>IF(B2860=0,0,O2825/B2860)</f>
        <v/>
      </c>
      <c r="Q2825">
        <f>IFERROR(1/IF(Inputs!$B$39="pvp",15,MAX(0.1,Skills!D9-IF(Skills!E9=TRUE,Inputs!$B$32,0))),0)</f>
        <v/>
      </c>
      <c r="R2825">
        <f>IF(AND(Inputs!$B$39&lt;&gt;"pvp",Inputs!$B$44&gt;0),IF(MAX(0,Inputs!$B$44-B2861)&lt;=0,0,(INT(MAX(0,Inputs!$B$44-B2861)/IF(Inputs!$B$39="pvp",15,MAX(0.1,Skills!D9-IF(Skills!E9=TRUE,Inputs!$B$32,0))))+1)),0)</f>
        <v/>
      </c>
      <c r="S2825">
        <f>IFERROR(O2825/N2825,0)</f>
        <v/>
      </c>
      <c r="T2825">
        <f>IF(C2825,(H2825*N2825*IF(AND(Inputs!$B$39&lt;&gt;"pvp",Inputs!$B$44&gt;0),((Skills!G9*((R2825-1)*IF(Skills!H9&gt;0,Skills!I9/Skills!H9,1)+IF(Skills!H9&gt;0,MIN(Skills!I9,MAX(0,MAX(0,Inputs!$B$44-B2861)-((R2825-1)*IF(Inputs!$B$39="pvp",15,MAX(0.1,Skills!D9-IF(Skills!E9=TRUE,Inputs!$B$32,0))))))/Skills!H9,1)))/Inputs!$B$44),G2825*Q2825))*IF(Inputs!$B$39="pvp",1,1+(Inputs!$B$20+((C2843=TRUE)*(F2843-Calc!F27))+Skills!P9+B2857+(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Hunt"),CHOOSE(ArtifactsInput!$N$35+1,15,18,21,24,27,30)*(1-EXP(-(0.2*B2852)*5)),0)+IF(AND(ArtifactsInput!$M$22,Inputs!$B$4&lt;&gt;"Chapter Hunt"),CHOOSE(ArtifactsInput!$N$22+1,10,12,14,16,18,20)*((0*(((0.15*B2852*5))^0/1)+1*(((0.15*B2852*5))^1/1)+2*(((0.15*B2852*5))^2/2)+3*(((0.15*B2852*5))^3/6)+4*(((0.15*B2852*5))^4/24)+5*(((0.15*B2852*5))^5/120))/((((0.15*B2852*5))^0/1)+(((0.15*B2852*5))^1/1)+(((0.15*B2852*5))^2/2)+(((0.15*B2852*5))^3/6)+(((0.15*B2852*5))^4/24)+(((0.15*B2852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2825*(1-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2825*(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2825*(1-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2825*(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25">
        <f>IF(C2825,(H2825*N2825*IF(AND(Inputs!$B$39&lt;&gt;"pvp",Inputs!$B$44&gt;0),((Skills!G9*((R2825-1)*IF(Skills!H9&gt;0,Skills!I9/Skills!H9,1)+IF(Skills!H9&gt;0,MIN(Skills!I9,MAX(0,MAX(0,Inputs!$B$44-B2861)-((R2825-1)*IF(Inputs!$B$39="pvp",15,MAX(0.1,Skills!D9-IF(Skills!E9=TRUE,Inputs!$B$32,0))))))/Skills!H9,1)))/Inputs!$B$44),G2825*Q2825))*IF(Inputs!$B$39="pvp",1,(1+(Inputs!$B$21+Skills!Q9+B2857+(IF(ArtifactsInput!$M$33,CHOOSE(ArtifactsInput!$N$33+1,30,36,42,48,54,60),0))+(IF(AND(ArtifactsInput!$M$35,Inputs!$B$4&lt;&gt;"Chapter Hunt"),CHOOSE(ArtifactsInput!$N$35+1,15,18,21,24,27,30)*(1-EXP(-(0.2*B2852)*5)),0)+IF(AND(ArtifactsInput!$M$22,Inputs!$B$4&lt;&gt;"Chapter Hunt"),CHOOSE(ArtifactsInput!$N$22+1,10,12,14,16,18,20)*((0*(((0.15*B2852*5))^0/1)+1*(((0.15*B2852*5))^1/1)+2*(((0.15*B2852*5))^2/2)+3*(((0.15*B2852*5))^3/6)+4*(((0.15*B2852*5))^4/24)+5*(((0.15*B2852*5))^5/120))/((((0.15*B2852*5))^0/1)+(((0.15*B2852*5))^1/1)+(((0.15*B2852*5))^2/2)+(((0.15*B2852*5))^3/6)+(((0.15*B2852*5))^4/24)+(((0.15*B2852*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26">
      <c r="A2826">
        <f>Skills!A10</f>
        <v/>
      </c>
      <c r="B2826">
        <f>Skills!B10</f>
        <v/>
      </c>
      <c r="C2826">
        <f>Inputs!$B$3&gt;=117</f>
        <v/>
      </c>
      <c r="D2826">
        <f>IF(Skills!C10=1,60+Inputs!$B$25+Inputs!$B$29,IF(Skills!C10=2,90+Inputs!$B$26+Inputs!$B$29,IF(Skills!C10=3,120+Inputs!$B$27+Inputs!$B$29,MAX(0,(Inputs!$B$3-100)*3)+Inputs!$B$28+Inputs!$B$29)))</f>
        <v/>
      </c>
      <c r="E2826">
        <f>INDEX(FactorTable!$B$2:$Y$301, MATCH(ROUND(MIN(300,MAX(1,D2826)),0), FactorTable!$A$2:$A$301,0), Skills!M10+1)</f>
        <v/>
      </c>
      <c r="F2826">
        <f>IF(Skills!N10=TRUE,(Skills!L10/10)*(E2826/1000),Skills!L10/10)+Skills!O10</f>
        <v/>
      </c>
      <c r="G2826">
        <f>Calc!G10</f>
        <v/>
      </c>
      <c r="H2826">
        <f>Calc!H10</f>
        <v/>
      </c>
      <c r="I2826">
        <f>IF(Skills!AA10&lt;&gt;"",1+(Skills!AA10/10)*(U2819/1000)/100,1)</f>
        <v/>
      </c>
      <c r="J2826">
        <f>((Inputs!$B$6*(1+Inputs!$B$7/100))+(((Inputs!$B$12*(1+Inputs!$B$13/100))-(Inputs!$B$12*(1+Inputs!$B$13/100)))+0.25*(Inputs!$B$14-Inputs!$B$14))*(1+Inputs!$B$7/100))*(F2826/100)</f>
        <v/>
      </c>
      <c r="K2826">
        <f>J2826*(1+((Inputs!$B$12*(1+Inputs!$B$13/100))*0.01+Inputs!$B$14*0.0025)/100)*(1+Inputs!$B$15/100)*(1+Inputs!$B$16/100)*(5000/(6000+Inputs!$B$43*(1-(100*(1-(1-(Inputs!$B$19+0)/100)*(1-CHOOSE(ArtifactsInput!$N$40+1,5,6,7,8,9,10)/100)^(ArtifactsInput!$M$40-ArtifactsInput!$M$40)))/100)))*(1+(Inputs!$B$24+((C2846=TRUE)*(F2846-Calc!F30)))/100)*(1+Skills!R10/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2839=TRUE)*(F2839-Calc!F23))+(((IF(AND(ArtifactsInput!$M$42,((Inputs!$B$9+((C2841=TRUE)*(F2841-Calc!F25))+B2856+(ArtifactsInput!$M$24-ArtifactsInput!$M$24)*CHOOSE(ArtifactsInput!$N$24+1,10,12,14,16,18,20)+IF(ArtifactsInput!$M$10,CHOOSE(ArtifactsInput!$N$10+1,15,18,21,24,27,30)*(IF(Inputs!$B$39="pvp",MIN(15,15)/15,IF(AND(Inputs!$B$39&lt;&gt;"pvp",Inputs!$B$44&gt;0),MIN(15,Inputs!$B$44)/(Inputs!$B$44),0))),0)))&gt;=100),MIN(100,((Inputs!$B$9+((C2841=TRUE)*(F2841-Calc!F25))+B2856+(ArtifactsInput!$M$24-ArtifactsInput!$M$24)*CHOOSE(ArtifactsInput!$N$24+1,10,12,14,16,18,20)+IF(ArtifactsInput!$M$10,CHOOSE(ArtifactsInput!$N$10+1,15,18,21,24,27,30)*(IF(Inputs!$B$39="pvp",MIN(15,15)/15,IF(AND(Inputs!$B$39&lt;&gt;"pvp",Inputs!$B$44&gt;0),MIN(15,Inputs!$B$44)/(Inputs!$B$44),0))),0)))-100),0))*CHOOSE(ArtifactsInput!$N$42+1,0.6,0.72,0.84,0.96,1.08,1.2))),Inputs!$B$18+((C2845=TRUE)*(F2845-Calc!F29))+(IF(AND(ArtifactsInput!$M$42,((Inputs!$B$9+((C2841=TRUE)*(F2841-Calc!F25))+B2856+(ArtifactsInput!$M$24-ArtifactsInput!$M$24)*CHOOSE(ArtifactsInput!$N$24+1,10,12,14,16,18,20)+IF(ArtifactsInput!$M$10,CHOOSE(ArtifactsInput!$N$10+1,15,18,21,24,27,30)*(IF(Inputs!$B$39="pvp",MIN(15,15)/15,IF(AND(Inputs!$B$39&lt;&gt;"pvp",Inputs!$B$44&gt;0),MIN(15,Inputs!$B$44)/(Inputs!$B$44),0))),0)))&gt;=100),CHOOSE(ArtifactsInput!$N$42+1,40,48,56,64,72,80),0))))/100)*(((1+(((C2837=TRUE)*F2837*IF(AND(Inputs!$B$39&lt;&gt;"pvp",Inputs!$B$44&gt;0),(((R2837-1)*(Skills!Y21*(1+Inputs!$B$34/100))+MIN((Skills!Y21*(1+Inputs!$B$34/100)),MAX(0,Inputs!$B$44-((R2837-1)*Skills!D21))))/Inputs!$B$44),IF(Inputs!$B$39="pvp",MIN((Skills!Y21*(1+Inputs!$B$34/100)),15)/15,(Skills!Y21*(1+Inputs!$B$34/100))/Skills!D21)))+((C2844=TRUE)*(F2844-Calc!F28))+((C2834=TRUE)*(F2834-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2831=TRUE)*F2831*IF(AND(Inputs!$B$39&lt;&gt;"pvp",Inputs!$B$44&gt;0),(((R2831-1)*(Skills!Y15*(1+Inputs!$B$34/100))+MIN((Skills!Y15*(1+Inputs!$B$34/100)),MAX(0,Inputs!$B$44-((R2831-1)*Skills!D15))))/Inputs!$B$44),IF(Inputs!$B$39="pvp",MIN((Skills!Y15*(1+Inputs!$B$34/100)),15)/15,(Skills!Y15*(1+Inputs!$B$34/100))/Skills!D15)))/100)*(1+((C2822=TRUE)*F2822*B2850)/100))*B2858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2826)</f>
        <v/>
      </c>
      <c r="L2826">
        <f>K2826*(MIN(Inputs!$B$22+((C2840=TRUE)*(F2840-Calc!F24)),(Inputs!$B$23+0+(IF(ArtifactsInput!$M$15,CHOOSE(ArtifactsInput!$N$15+1,25,30,35,40,45,50)/100*(Inputs!$B$11-Inputs!$B$11),0))))/100+(Inputs!$B$23+0+(IF(ArtifactsInput!$M$15,CHOOSE(ArtifactsInput!$N$15+1,25,30,35,40,45,50)/100*(Inputs!$B$11-Inputs!$B$11),0)))/100)/2</f>
        <v/>
      </c>
      <c r="M2826">
        <f>L2826*(1+(Inputs!$B$10+((C2842=TRUE)*(F2842-Calc!F26))+B2859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26">
        <f>L2826*(1-MIN((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2826*(MIN((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26">
        <f>(1-Summary!$B$11)*T2826+Summary!$B$11*V2826</f>
        <v/>
      </c>
      <c r="P2826">
        <f>IF(B2860=0,0,O2826/B2860)</f>
        <v/>
      </c>
      <c r="Q2826" t="n">
        <v>0</v>
      </c>
      <c r="R2826" t="n">
        <v>0</v>
      </c>
      <c r="S2826" t="n">
        <v>0</v>
      </c>
      <c r="T2826">
        <f>IF(C2826,(0.2*SUMPRODUCT((Skills!Z2:Z31=TRUE)*(C2818:C2847=TRUE)*S2818:S2847)*N2826)*IF(Inputs!$B$39="pvp",1,1+(Inputs!$B$20+((C2843=TRUE)*(F2843-Calc!F27))+Skills!P10+B2857+(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Hunt"),CHOOSE(ArtifactsInput!$N$35+1,15,18,21,24,27,30)*(1-EXP(-(0.2*B2852)*5)),0)+IF(AND(ArtifactsInput!$M$22,Inputs!$B$4&lt;&gt;"Chapter Hunt"),CHOOSE(ArtifactsInput!$N$22+1,10,12,14,16,18,20)*((0*(((0.15*B2852*5))^0/1)+1*(((0.15*B2852*5))^1/1)+2*(((0.15*B2852*5))^2/2)+3*(((0.15*B2852*5))^3/6)+4*(((0.15*B2852*5))^4/24)+5*(((0.15*B2852*5))^5/120))/((((0.15*B2852*5))^0/1)+(((0.15*B2852*5))^1/1)+(((0.15*B2852*5))^2/2)+(((0.15*B2852*5))^3/6)+(((0.15*B2852*5))^4/24)+(((0.15*B2852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2826*(1-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2826*(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2826*(1-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2826*(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26">
        <f>IF(C2826,(0.2*SUMPRODUCT((Skills!Z2:Z31=TRUE)*(C2818:C2847=TRUE)*S2818:S2847)*N2826)*IF(Inputs!$B$39="pvp",1,(1+(Inputs!$B$21+Skills!Q10+B2857+(IF(ArtifactsInput!$M$33,CHOOSE(ArtifactsInput!$N$33+1,30,36,42,48,54,60),0))+(IF(AND(ArtifactsInput!$M$35,Inputs!$B$4&lt;&gt;"Chapter Hunt"),CHOOSE(ArtifactsInput!$N$35+1,15,18,21,24,27,30)*(1-EXP(-(0.2*B2852)*5)),0)+IF(AND(ArtifactsInput!$M$22,Inputs!$B$4&lt;&gt;"Chapter Hunt"),CHOOSE(ArtifactsInput!$N$22+1,10,12,14,16,18,20)*((0*(((0.15*B2852*5))^0/1)+1*(((0.15*B2852*5))^1/1)+2*(((0.15*B2852*5))^2/2)+3*(((0.15*B2852*5))^3/6)+4*(((0.15*B2852*5))^4/24)+5*(((0.15*B2852*5))^5/120))/((((0.15*B2852*5))^0/1)+(((0.15*B2852*5))^1/1)+(((0.15*B2852*5))^2/2)+(((0.15*B2852*5))^3/6)+(((0.15*B2852*5))^4/24)+(((0.15*B2852*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27">
      <c r="A2827">
        <f>Skills!A11</f>
        <v/>
      </c>
      <c r="B2827">
        <f>Skills!B11</f>
        <v/>
      </c>
      <c r="C2827">
        <f>Inputs!$B$3&gt;=60</f>
        <v/>
      </c>
      <c r="D2827">
        <f>IF(Skills!C11=1,60+Inputs!$B$25+Inputs!$B$29,IF(Skills!C11=2,90+Inputs!$B$26+Inputs!$B$29,IF(Skills!C11=3,120+Inputs!$B$27+Inputs!$B$29,MAX(0,(Inputs!$B$3-100)*3)+Inputs!$B$28+Inputs!$B$29)))</f>
        <v/>
      </c>
      <c r="E2827">
        <f>INDEX(FactorTable!$B$2:$Y$301, MATCH(ROUND(MIN(300,MAX(1,D2827)),0), FactorTable!$A$2:$A$301,0), Skills!M11+1)</f>
        <v/>
      </c>
      <c r="F2827">
        <f>IF(Skills!N11=TRUE,(Skills!L11/10)*(E2827/1000),Skills!L11/10)+Skills!O11</f>
        <v/>
      </c>
      <c r="G2827">
        <f>Calc!G11</f>
        <v/>
      </c>
      <c r="H2827">
        <f>Calc!H11</f>
        <v/>
      </c>
      <c r="I2827">
        <f>IF(Skills!AA11&lt;&gt;"",1+(Skills!AA11/10)*(U2819/1000)/100,1)</f>
        <v/>
      </c>
      <c r="J2827" t="inlineStr"/>
      <c r="K2827" t="inlineStr"/>
      <c r="L2827" t="inlineStr"/>
      <c r="M2827" t="inlineStr"/>
      <c r="N2827" t="inlineStr"/>
      <c r="O2827">
        <f>(1-Summary!$B$11)*T2827+Summary!$B$11*V2827</f>
        <v/>
      </c>
      <c r="P2827">
        <f>IF(B2860=0,0,O2827/B2860)</f>
        <v/>
      </c>
      <c r="Q2827" t="n">
        <v>0</v>
      </c>
      <c r="R2827" t="n">
        <v>0</v>
      </c>
      <c r="S2827">
        <f>IFERROR(O2827/N2827,0)</f>
        <v/>
      </c>
      <c r="T2827" t="n">
        <v>0</v>
      </c>
      <c r="V2827" t="n">
        <v>0</v>
      </c>
    </row>
    <row r="2828">
      <c r="A2828">
        <f>Skills!A12</f>
        <v/>
      </c>
      <c r="B2828">
        <f>Skills!B12</f>
        <v/>
      </c>
      <c r="C2828">
        <f>Inputs!$B$3&gt;=103</f>
        <v/>
      </c>
      <c r="D2828">
        <f>IF(Skills!C12=1,60+Inputs!$B$25+Inputs!$B$29,IF(Skills!C12=2,90+Inputs!$B$26+Inputs!$B$29,IF(Skills!C12=3,120+Inputs!$B$27+Inputs!$B$29,MAX(0,(Inputs!$B$3-100)*3)+Inputs!$B$28+Inputs!$B$29)))</f>
        <v/>
      </c>
      <c r="E2828">
        <f>INDEX(FactorTable!$B$2:$Y$301, MATCH(ROUND(MIN(300,MAX(1,D2828)),0), FactorTable!$A$2:$A$301,0), Skills!M12+1)</f>
        <v/>
      </c>
      <c r="F2828">
        <f>IF(Skills!N12=TRUE,(Skills!L12/10)*(E2828/1000),Skills!L12/10)+Skills!O12</f>
        <v/>
      </c>
      <c r="G2828">
        <f>Calc!G12</f>
        <v/>
      </c>
      <c r="H2828">
        <f>Calc!H12</f>
        <v/>
      </c>
      <c r="I2828">
        <f>IF(Skills!AA12&lt;&gt;"",1+(Skills!AA12/10)*(U2819/1000)/100,1)</f>
        <v/>
      </c>
      <c r="J2828">
        <f>((Inputs!$B$6*(1+Inputs!$B$7/100))+(((Inputs!$B$12*(1+Inputs!$B$13/100))-(Inputs!$B$12*(1+Inputs!$B$13/100)))+0.25*(Inputs!$B$14-Inputs!$B$14))*(1+Inputs!$B$7/100))*(F2828/100)</f>
        <v/>
      </c>
      <c r="K2828">
        <f>J2828*(1+((Inputs!$B$12*(1+Inputs!$B$13/100))*0.01+Inputs!$B$14*0.0025)/100)*(1+Inputs!$B$15/100)*(1+Inputs!$B$16/100)*(5000/(6000+Inputs!$B$43*(1-(100*(1-(1-(Inputs!$B$19+0)/100)*(1-CHOOSE(ArtifactsInput!$N$40+1,5,6,7,8,9,10)/100)^(ArtifactsInput!$M$40-ArtifactsInput!$M$40)))/100)))*(1+(Inputs!$B$24+((C2846=TRUE)*(F2846-Calc!F30)))/100)*(1+Skills!R12/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2839=TRUE)*(F2839-Calc!F23))+(((IF(AND(ArtifactsInput!$M$42,((Inputs!$B$9+((C2841=TRUE)*(F2841-Calc!F25))+B2856+(ArtifactsInput!$M$24-ArtifactsInput!$M$24)*CHOOSE(ArtifactsInput!$N$24+1,10,12,14,16,18,20)+IF(ArtifactsInput!$M$10,CHOOSE(ArtifactsInput!$N$10+1,15,18,21,24,27,30)*(IF(Inputs!$B$39="pvp",MIN(15,15)/15,IF(AND(Inputs!$B$39&lt;&gt;"pvp",Inputs!$B$44&gt;0),MIN(15,Inputs!$B$44)/(Inputs!$B$44),0))),0)))&gt;=100),MIN(100,((Inputs!$B$9+((C2841=TRUE)*(F2841-Calc!F25))+B2856+(ArtifactsInput!$M$24-ArtifactsInput!$M$24)*CHOOSE(ArtifactsInput!$N$24+1,10,12,14,16,18,20)+IF(ArtifactsInput!$M$10,CHOOSE(ArtifactsInput!$N$10+1,15,18,21,24,27,30)*(IF(Inputs!$B$39="pvp",MIN(15,15)/15,IF(AND(Inputs!$B$39&lt;&gt;"pvp",Inputs!$B$44&gt;0),MIN(15,Inputs!$B$44)/(Inputs!$B$44),0))),0)))-100),0))*CHOOSE(ArtifactsInput!$N$42+1,0.6,0.72,0.84,0.96,1.08,1.2))),Inputs!$B$18+((C2845=TRUE)*(F2845-Calc!F29))+(IF(AND(ArtifactsInput!$M$42,((Inputs!$B$9+((C2841=TRUE)*(F2841-Calc!F25))+B2856+(ArtifactsInput!$M$24-ArtifactsInput!$M$24)*CHOOSE(ArtifactsInput!$N$24+1,10,12,14,16,18,20)+IF(ArtifactsInput!$M$10,CHOOSE(ArtifactsInput!$N$10+1,15,18,21,24,27,30)*(IF(Inputs!$B$39="pvp",MIN(15,15)/15,IF(AND(Inputs!$B$39&lt;&gt;"pvp",Inputs!$B$44&gt;0),MIN(15,Inputs!$B$44)/(Inputs!$B$44),0))),0)))&gt;=100),CHOOSE(ArtifactsInput!$N$42+1,40,48,56,64,72,80),0))))/100)*(((1+(((C2837=TRUE)*F2837*IF(AND(Inputs!$B$39&lt;&gt;"pvp",Inputs!$B$44&gt;0),(((R2837-1)*(Skills!Y21*(1+Inputs!$B$34/100))+MIN((Skills!Y21*(1+Inputs!$B$34/100)),MAX(0,Inputs!$B$44-((R2837-1)*Skills!D21))))/Inputs!$B$44),IF(Inputs!$B$39="pvp",MIN((Skills!Y21*(1+Inputs!$B$34/100)),15)/15,(Skills!Y21*(1+Inputs!$B$34/100))/Skills!D21)))+((C2844=TRUE)*(F2844-Calc!F28))+((C2834=TRUE)*(F2834-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2831=TRUE)*F2831*IF(AND(Inputs!$B$39&lt;&gt;"pvp",Inputs!$B$44&gt;0),(((R2831-1)*(Skills!Y15*(1+Inputs!$B$34/100))+MIN((Skills!Y15*(1+Inputs!$B$34/100)),MAX(0,Inputs!$B$44-((R2831-1)*Skills!D15))))/Inputs!$B$44),IF(Inputs!$B$39="pvp",MIN((Skills!Y15*(1+Inputs!$B$34/100)),15)/15,(Skills!Y15*(1+Inputs!$B$34/100))/Skills!D15)))/100)*(1+((C2822=TRUE)*F2822*B2850)/100))*B2858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2828)</f>
        <v/>
      </c>
      <c r="L2828">
        <f>K2828*(MIN(Inputs!$B$22+((C2840=TRUE)*(F2840-Calc!F24)),(Inputs!$B$23+0+(IF(ArtifactsInput!$M$15,CHOOSE(ArtifactsInput!$N$15+1,25,30,35,40,45,50)/100*(Inputs!$B$11-Inputs!$B$11),0))))/100+(Inputs!$B$23+0+(IF(ArtifactsInput!$M$15,CHOOSE(ArtifactsInput!$N$15+1,25,30,35,40,45,50)/100*(Inputs!$B$11-Inputs!$B$11),0)))/100)/2</f>
        <v/>
      </c>
      <c r="M2828">
        <f>L2828*(1+(Inputs!$B$10+((C2842=TRUE)*(F2842-Calc!F26))+B2859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28">
        <f>L2828*(1-MIN((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2828*(MIN((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28">
        <f>(1-Summary!$B$11)*T2828+Summary!$B$11*V2828</f>
        <v/>
      </c>
      <c r="P2828">
        <f>IF(B2860=0,0,O2828/B2860)</f>
        <v/>
      </c>
      <c r="Q2828">
        <f>IFERROR(1/IF(Inputs!$B$39="pvp",15,MAX(0.1,Skills!D12-IF(Skills!E12=TRUE,Inputs!$B$32,0))),0)</f>
        <v/>
      </c>
      <c r="R2828">
        <f>IF(AND(Inputs!$B$39&lt;&gt;"pvp",Inputs!$B$44&gt;0),IF(MAX(0,Inputs!$B$44-B2861)&lt;=0,0,(INT(MAX(0,Inputs!$B$44-B2861)/IF(Inputs!$B$39="pvp",15,MAX(0.1,Skills!D12-IF(Skills!E12=TRUE,Inputs!$B$32,0))))+1)),0)</f>
        <v/>
      </c>
      <c r="S2828">
        <f>IFERROR(O2828/N2828,0)</f>
        <v/>
      </c>
      <c r="T2828">
        <f>IF(C2828,(H2828*N2828*IF(AND(Inputs!$B$39&lt;&gt;"pvp",Inputs!$B$44&gt;0),((Skills!G12*((R2828-1)*IF(Skills!H12&gt;0,Skills!I12/Skills!H12,1)+IF(Skills!H12&gt;0,MIN(Skills!I12,MAX(0,MAX(0,Inputs!$B$44-B2861)-((R2828-1)*IF(Inputs!$B$39="pvp",15,MAX(0.1,Skills!D12-IF(Skills!E12=TRUE,Inputs!$B$32,0))))))/Skills!H12,1)))/Inputs!$B$44),G2828*Q2828))*IF(Inputs!$B$39="pvp",1,1+(Inputs!$B$20+((C2843=TRUE)*(F2843-Calc!F27))+Skills!P12+B2857+(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Hunt"),CHOOSE(ArtifactsInput!$N$35+1,15,18,21,24,27,30)*(1-EXP(-(0.2*B2852)*5)),0)+IF(AND(ArtifactsInput!$M$22,Inputs!$B$4&lt;&gt;"Chapter Hunt"),CHOOSE(ArtifactsInput!$N$22+1,10,12,14,16,18,20)*((0*(((0.15*B2852*5))^0/1)+1*(((0.15*B2852*5))^1/1)+2*(((0.15*B2852*5))^2/2)+3*(((0.15*B2852*5))^3/6)+4*(((0.15*B2852*5))^4/24)+5*(((0.15*B2852*5))^5/120))/((((0.15*B2852*5))^0/1)+(((0.15*B2852*5))^1/1)+(((0.15*B2852*5))^2/2)+(((0.15*B2852*5))^3/6)+(((0.15*B2852*5))^4/24)+(((0.15*B2852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2828*(1-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2828*(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2828*(1-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2828*(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28">
        <f>IF(C2828,(H2828*N2828*IF(AND(Inputs!$B$39&lt;&gt;"pvp",Inputs!$B$44&gt;0),((Skills!G12*((R2828-1)*IF(Skills!H12&gt;0,Skills!I12/Skills!H12,1)+IF(Skills!H12&gt;0,MIN(Skills!I12,MAX(0,MAX(0,Inputs!$B$44-B2861)-((R2828-1)*IF(Inputs!$B$39="pvp",15,MAX(0.1,Skills!D12-IF(Skills!E12=TRUE,Inputs!$B$32,0))))))/Skills!H12,1)))/Inputs!$B$44),G2828*Q2828))*IF(Inputs!$B$39="pvp",1,(1+(Inputs!$B$21+Skills!Q12+B2857+(IF(ArtifactsInput!$M$33,CHOOSE(ArtifactsInput!$N$33+1,30,36,42,48,54,60),0))+(IF(AND(ArtifactsInput!$M$35,Inputs!$B$4&lt;&gt;"Chapter Hunt"),CHOOSE(ArtifactsInput!$N$35+1,15,18,21,24,27,30)*(1-EXP(-(0.2*B2852)*5)),0)+IF(AND(ArtifactsInput!$M$22,Inputs!$B$4&lt;&gt;"Chapter Hunt"),CHOOSE(ArtifactsInput!$N$22+1,10,12,14,16,18,20)*((0*(((0.15*B2852*5))^0/1)+1*(((0.15*B2852*5))^1/1)+2*(((0.15*B2852*5))^2/2)+3*(((0.15*B2852*5))^3/6)+4*(((0.15*B2852*5))^4/24)+5*(((0.15*B2852*5))^5/120))/((((0.15*B2852*5))^0/1)+(((0.15*B2852*5))^1/1)+(((0.15*B2852*5))^2/2)+(((0.15*B2852*5))^3/6)+(((0.15*B2852*5))^4/24)+(((0.15*B2852*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29">
      <c r="A2829">
        <f>Skills!A13</f>
        <v/>
      </c>
      <c r="B2829">
        <f>Skills!B13</f>
        <v/>
      </c>
      <c r="C2829">
        <f>Inputs!$B$3&gt;=105</f>
        <v/>
      </c>
      <c r="D2829">
        <f>IF(Skills!C13=1,60+Inputs!$B$25+Inputs!$B$29,IF(Skills!C13=2,90+Inputs!$B$26+Inputs!$B$29,IF(Skills!C13=3,120+Inputs!$B$27+Inputs!$B$29,MAX(0,(Inputs!$B$3-100)*3)+Inputs!$B$28+Inputs!$B$29)))</f>
        <v/>
      </c>
      <c r="E2829">
        <f>INDEX(FactorTable!$B$2:$Y$301, MATCH(ROUND(MIN(300,MAX(1,D2829)),0), FactorTable!$A$2:$A$301,0), Skills!M13+1)</f>
        <v/>
      </c>
      <c r="F2829">
        <f>IF(Skills!N13=TRUE,(Skills!L13/10)*(E2829/1000),Skills!L13/10)+Skills!O13</f>
        <v/>
      </c>
      <c r="G2829">
        <f>Calc!G13</f>
        <v/>
      </c>
      <c r="H2829">
        <f>Calc!H13</f>
        <v/>
      </c>
      <c r="I2829">
        <f>IF(Skills!AA13&lt;&gt;"",1+(Skills!AA13/10)*(U2819/1000)/100,1)</f>
        <v/>
      </c>
      <c r="J2829">
        <f>((Inputs!$B$6*(1+Inputs!$B$7/100))+(((Inputs!$B$12*(1+Inputs!$B$13/100))-(Inputs!$B$12*(1+Inputs!$B$13/100)))+0.25*(Inputs!$B$14-Inputs!$B$14))*(1+Inputs!$B$7/100))*(F2829/100)</f>
        <v/>
      </c>
      <c r="K2829">
        <f>J2829*(1+((Inputs!$B$12*(1+Inputs!$B$13/100))*0.01+Inputs!$B$14*0.0025)/100)*(1+Inputs!$B$15/100)*(1+Inputs!$B$16/100)*(5000/(6000+Inputs!$B$43*(1-(100*(1-(1-(Inputs!$B$19+0)/100)*(1-CHOOSE(ArtifactsInput!$N$40+1,5,6,7,8,9,10)/100)^(ArtifactsInput!$M$40-ArtifactsInput!$M$40)))/100)))*(1+(Inputs!$B$24+((C2846=TRUE)*(F2846-Calc!F30)))/100)*(1+Skills!R13/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2839=TRUE)*(F2839-Calc!F23))+(((IF(AND(ArtifactsInput!$M$42,((Inputs!$B$9+((C2841=TRUE)*(F2841-Calc!F25))+B2856+(ArtifactsInput!$M$24-ArtifactsInput!$M$24)*CHOOSE(ArtifactsInput!$N$24+1,10,12,14,16,18,20)+IF(ArtifactsInput!$M$10,CHOOSE(ArtifactsInput!$N$10+1,15,18,21,24,27,30)*(IF(Inputs!$B$39="pvp",MIN(15,15)/15,IF(AND(Inputs!$B$39&lt;&gt;"pvp",Inputs!$B$44&gt;0),MIN(15,Inputs!$B$44)/(Inputs!$B$44),0))),0)))&gt;=100),MIN(100,((Inputs!$B$9+((C2841=TRUE)*(F2841-Calc!F25))+B2856+(ArtifactsInput!$M$24-ArtifactsInput!$M$24)*CHOOSE(ArtifactsInput!$N$24+1,10,12,14,16,18,20)+IF(ArtifactsInput!$M$10,CHOOSE(ArtifactsInput!$N$10+1,15,18,21,24,27,30)*(IF(Inputs!$B$39="pvp",MIN(15,15)/15,IF(AND(Inputs!$B$39&lt;&gt;"pvp",Inputs!$B$44&gt;0),MIN(15,Inputs!$B$44)/(Inputs!$B$44),0))),0)))-100),0))*CHOOSE(ArtifactsInput!$N$42+1,0.6,0.72,0.84,0.96,1.08,1.2))),Inputs!$B$18+((C2845=TRUE)*(F2845-Calc!F29))+(IF(AND(ArtifactsInput!$M$42,((Inputs!$B$9+((C2841=TRUE)*(F2841-Calc!F25))+B2856+(ArtifactsInput!$M$24-ArtifactsInput!$M$24)*CHOOSE(ArtifactsInput!$N$24+1,10,12,14,16,18,20)+IF(ArtifactsInput!$M$10,CHOOSE(ArtifactsInput!$N$10+1,15,18,21,24,27,30)*(IF(Inputs!$B$39="pvp",MIN(15,15)/15,IF(AND(Inputs!$B$39&lt;&gt;"pvp",Inputs!$B$44&gt;0),MIN(15,Inputs!$B$44)/(Inputs!$B$44),0))),0)))&gt;=100),CHOOSE(ArtifactsInput!$N$42+1,40,48,56,64,72,80),0))))/100)*(((1+(((C2837=TRUE)*F2837*IF(AND(Inputs!$B$39&lt;&gt;"pvp",Inputs!$B$44&gt;0),(((R2837-1)*(Skills!Y21*(1+Inputs!$B$34/100))+MIN((Skills!Y21*(1+Inputs!$B$34/100)),MAX(0,Inputs!$B$44-((R2837-1)*Skills!D21))))/Inputs!$B$44),IF(Inputs!$B$39="pvp",MIN((Skills!Y21*(1+Inputs!$B$34/100)),15)/15,(Skills!Y21*(1+Inputs!$B$34/100))/Skills!D21)))+((C2844=TRUE)*(F2844-Calc!F28))+((C2834=TRUE)*(F2834-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2831=TRUE)*F2831*IF(AND(Inputs!$B$39&lt;&gt;"pvp",Inputs!$B$44&gt;0),(((R2831-1)*(Skills!Y15*(1+Inputs!$B$34/100))+MIN((Skills!Y15*(1+Inputs!$B$34/100)),MAX(0,Inputs!$B$44-((R2831-1)*Skills!D15))))/Inputs!$B$44),IF(Inputs!$B$39="pvp",MIN((Skills!Y15*(1+Inputs!$B$34/100)),15)/15,(Skills!Y15*(1+Inputs!$B$34/100))/Skills!D15)))/100)*(1+((C2822=TRUE)*F2822*B2850)/100))*B2858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2829)</f>
        <v/>
      </c>
      <c r="L2829">
        <f>K2829*(MIN(Inputs!$B$22+((C2840=TRUE)*(F2840-Calc!F24)),(Inputs!$B$23+0+(IF(ArtifactsInput!$M$15,CHOOSE(ArtifactsInput!$N$15+1,25,30,35,40,45,50)/100*(Inputs!$B$11-Inputs!$B$11),0))))/100+(Inputs!$B$23+0+(IF(ArtifactsInput!$M$15,CHOOSE(ArtifactsInput!$N$15+1,25,30,35,40,45,50)/100*(Inputs!$B$11-Inputs!$B$11),0)))/100)/2</f>
        <v/>
      </c>
      <c r="M2829">
        <f>L2829*(1+(Inputs!$B$10+((C2842=TRUE)*(F2842-Calc!F26))+B2859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29">
        <f>L2829*(1-MIN((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2829*(MIN((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29">
        <f>(1-Summary!$B$11)*T2829+Summary!$B$11*V2829</f>
        <v/>
      </c>
      <c r="P2829">
        <f>IF(B2860=0,0,O2829/B2860)</f>
        <v/>
      </c>
      <c r="Q2829">
        <f>IFERROR(1/IF(Inputs!$B$39="pvp",15,MAX(0.1,Skills!D13-IF(Skills!E13=TRUE,Inputs!$B$32,0))),0)</f>
        <v/>
      </c>
      <c r="R2829">
        <f>IF(AND(Inputs!$B$39&lt;&gt;"pvp",Inputs!$B$44&gt;0),IF(MAX(0,Inputs!$B$44-B2861)&lt;=0,0,(INT(MAX(0,Inputs!$B$44-B2861)/IF(Inputs!$B$39="pvp",15,MAX(0.1,Skills!D13-IF(Skills!E13=TRUE,Inputs!$B$32,0))))+1)),0)</f>
        <v/>
      </c>
      <c r="S2829">
        <f>IFERROR(O2829/N2829,0)</f>
        <v/>
      </c>
      <c r="T2829">
        <f>IF(C2829,(H2829*N2829*IF(AND(Inputs!$B$39&lt;&gt;"pvp",Inputs!$B$44&gt;0),((Skills!G13*((R2829-1)*IF(Skills!H13&gt;0,Skills!I13/Skills!H13,1)+IF(Skills!H13&gt;0,MIN(Skills!I13,MAX(0,MAX(0,Inputs!$B$44-B2861)-((R2829-1)*IF(Inputs!$B$39="pvp",15,MAX(0.1,Skills!D13-IF(Skills!E13=TRUE,Inputs!$B$32,0))))))/Skills!H13,1)))/Inputs!$B$44),G2829*Q2829))*IF(Inputs!$B$39="pvp",1,1+(Inputs!$B$20+((C2843=TRUE)*(F2843-Calc!F27))+Skills!P13+B2857+(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Hunt"),CHOOSE(ArtifactsInput!$N$35+1,15,18,21,24,27,30)*(1-EXP(-(0.2*B2852)*5)),0)+IF(AND(ArtifactsInput!$M$22,Inputs!$B$4&lt;&gt;"Chapter Hunt"),CHOOSE(ArtifactsInput!$N$22+1,10,12,14,16,18,20)*((0*(((0.15*B2852*5))^0/1)+1*(((0.15*B2852*5))^1/1)+2*(((0.15*B2852*5))^2/2)+3*(((0.15*B2852*5))^3/6)+4*(((0.15*B2852*5))^4/24)+5*(((0.15*B2852*5))^5/120))/((((0.15*B2852*5))^0/1)+(((0.15*B2852*5))^1/1)+(((0.15*B2852*5))^2/2)+(((0.15*B2852*5))^3/6)+(((0.15*B2852*5))^4/24)+(((0.15*B2852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2829*(1-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2829*(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2829*(1-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2829*(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29">
        <f>IF(C2829,(H2829*N2829*IF(AND(Inputs!$B$39&lt;&gt;"pvp",Inputs!$B$44&gt;0),((Skills!G13*((R2829-1)*IF(Skills!H13&gt;0,Skills!I13/Skills!H13,1)+IF(Skills!H13&gt;0,MIN(Skills!I13,MAX(0,MAX(0,Inputs!$B$44-B2861)-((R2829-1)*IF(Inputs!$B$39="pvp",15,MAX(0.1,Skills!D13-IF(Skills!E13=TRUE,Inputs!$B$32,0))))))/Skills!H13,1)))/Inputs!$B$44),G2829*Q2829))*IF(Inputs!$B$39="pvp",1,(1+(Inputs!$B$21+Skills!Q13+B2857+(IF(ArtifactsInput!$M$33,CHOOSE(ArtifactsInput!$N$33+1,30,36,42,48,54,60),0))+(IF(AND(ArtifactsInput!$M$35,Inputs!$B$4&lt;&gt;"Chapter Hunt"),CHOOSE(ArtifactsInput!$N$35+1,15,18,21,24,27,30)*(1-EXP(-(0.2*B2852)*5)),0)+IF(AND(ArtifactsInput!$M$22,Inputs!$B$4&lt;&gt;"Chapter Hunt"),CHOOSE(ArtifactsInput!$N$22+1,10,12,14,16,18,20)*((0*(((0.15*B2852*5))^0/1)+1*(((0.15*B2852*5))^1/1)+2*(((0.15*B2852*5))^2/2)+3*(((0.15*B2852*5))^3/6)+4*(((0.15*B2852*5))^4/24)+5*(((0.15*B2852*5))^5/120))/((((0.15*B2852*5))^0/1)+(((0.15*B2852*5))^1/1)+(((0.15*B2852*5))^2/2)+(((0.15*B2852*5))^3/6)+(((0.15*B2852*5))^4/24)+(((0.15*B2852*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30">
      <c r="A2830">
        <f>Skills!A14</f>
        <v/>
      </c>
      <c r="B2830">
        <f>Skills!B14</f>
        <v/>
      </c>
      <c r="C2830">
        <f>Inputs!$B$3&gt;=105</f>
        <v/>
      </c>
      <c r="D2830">
        <f>IF(Skills!C14=1,60+Inputs!$B$25+Inputs!$B$29,IF(Skills!C14=2,90+Inputs!$B$26+Inputs!$B$29,IF(Skills!C14=3,120+Inputs!$B$27+Inputs!$B$29,MAX(0,(Inputs!$B$3-100)*3)+Inputs!$B$28+Inputs!$B$29)))</f>
        <v/>
      </c>
      <c r="E2830">
        <f>INDEX(FactorTable!$B$2:$Y$301, MATCH(ROUND(MIN(300,MAX(1,D2830)),0), FactorTable!$A$2:$A$301,0), Skills!M14+1)</f>
        <v/>
      </c>
      <c r="F2830">
        <f>IF(Skills!N14=TRUE,(Skills!L14/10)*(E2830/1000),Skills!L14/10)+Skills!O14</f>
        <v/>
      </c>
      <c r="G2830">
        <f>Calc!G14</f>
        <v/>
      </c>
      <c r="H2830">
        <f>Calc!H14</f>
        <v/>
      </c>
      <c r="I2830">
        <f>IF(Skills!AA14&lt;&gt;"",1+(Skills!AA14/10)*(U2819/1000)/100,1)</f>
        <v/>
      </c>
      <c r="J2830">
        <f>((Inputs!$B$6*(1+Inputs!$B$7/100))+(((Inputs!$B$12*(1+Inputs!$B$13/100))-(Inputs!$B$12*(1+Inputs!$B$13/100)))+0.25*(Inputs!$B$14-Inputs!$B$14))*(1+Inputs!$B$7/100))*(F2830/100)</f>
        <v/>
      </c>
      <c r="K2830">
        <f>J2830*(1+((Inputs!$B$12*(1+Inputs!$B$13/100))*0.01+Inputs!$B$14*0.0025)/100)*(1+Inputs!$B$15/100)*(1+Inputs!$B$16/100)*(5000/(6000+Inputs!$B$43*(1-(100*(1-(1-(Inputs!$B$19+0)/100)*(1-CHOOSE(ArtifactsInput!$N$40+1,5,6,7,8,9,10)/100)^(ArtifactsInput!$M$40-ArtifactsInput!$M$40)))/100)))*(1+(Inputs!$B$24+((C2846=TRUE)*(F2846-Calc!F30)))/100)*(1+Skills!R14/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2839=TRUE)*(F2839-Calc!F23))+(((IF(AND(ArtifactsInput!$M$42,((Inputs!$B$9+((C2841=TRUE)*(F2841-Calc!F25))+B2856+(ArtifactsInput!$M$24-ArtifactsInput!$M$24)*CHOOSE(ArtifactsInput!$N$24+1,10,12,14,16,18,20)+IF(ArtifactsInput!$M$10,CHOOSE(ArtifactsInput!$N$10+1,15,18,21,24,27,30)*(IF(Inputs!$B$39="pvp",MIN(15,15)/15,IF(AND(Inputs!$B$39&lt;&gt;"pvp",Inputs!$B$44&gt;0),MIN(15,Inputs!$B$44)/(Inputs!$B$44),0))),0)))&gt;=100),MIN(100,((Inputs!$B$9+((C2841=TRUE)*(F2841-Calc!F25))+B2856+(ArtifactsInput!$M$24-ArtifactsInput!$M$24)*CHOOSE(ArtifactsInput!$N$24+1,10,12,14,16,18,20)+IF(ArtifactsInput!$M$10,CHOOSE(ArtifactsInput!$N$10+1,15,18,21,24,27,30)*(IF(Inputs!$B$39="pvp",MIN(15,15)/15,IF(AND(Inputs!$B$39&lt;&gt;"pvp",Inputs!$B$44&gt;0),MIN(15,Inputs!$B$44)/(Inputs!$B$44),0))),0)))-100),0))*CHOOSE(ArtifactsInput!$N$42+1,0.6,0.72,0.84,0.96,1.08,1.2))),Inputs!$B$18+((C2845=TRUE)*(F2845-Calc!F29))+(IF(AND(ArtifactsInput!$M$42,((Inputs!$B$9+((C2841=TRUE)*(F2841-Calc!F25))+B2856+(ArtifactsInput!$M$24-ArtifactsInput!$M$24)*CHOOSE(ArtifactsInput!$N$24+1,10,12,14,16,18,20)+IF(ArtifactsInput!$M$10,CHOOSE(ArtifactsInput!$N$10+1,15,18,21,24,27,30)*(IF(Inputs!$B$39="pvp",MIN(15,15)/15,IF(AND(Inputs!$B$39&lt;&gt;"pvp",Inputs!$B$44&gt;0),MIN(15,Inputs!$B$44)/(Inputs!$B$44),0))),0)))&gt;=100),CHOOSE(ArtifactsInput!$N$42+1,40,48,56,64,72,80),0))))/100)*(((1+(((C2837=TRUE)*F2837*IF(AND(Inputs!$B$39&lt;&gt;"pvp",Inputs!$B$44&gt;0),(((R2837-1)*(Skills!Y21*(1+Inputs!$B$34/100))+MIN((Skills!Y21*(1+Inputs!$B$34/100)),MAX(0,Inputs!$B$44-((R2837-1)*Skills!D21))))/Inputs!$B$44),IF(Inputs!$B$39="pvp",MIN((Skills!Y21*(1+Inputs!$B$34/100)),15)/15,(Skills!Y21*(1+Inputs!$B$34/100))/Skills!D21)))+((C2844=TRUE)*(F2844-Calc!F28))+((C2834=TRUE)*(F2834-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2831=TRUE)*F2831*IF(AND(Inputs!$B$39&lt;&gt;"pvp",Inputs!$B$44&gt;0),(((R2831-1)*(Skills!Y15*(1+Inputs!$B$34/100))+MIN((Skills!Y15*(1+Inputs!$B$34/100)),MAX(0,Inputs!$B$44-((R2831-1)*Skills!D15))))/Inputs!$B$44),IF(Inputs!$B$39="pvp",MIN((Skills!Y15*(1+Inputs!$B$34/100)),15)/15,(Skills!Y15*(1+Inputs!$B$34/100))/Skills!D15)))/100)*(1+((C2822=TRUE)*F2822*B2850)/100))*B2858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2830)</f>
        <v/>
      </c>
      <c r="L2830">
        <f>K2830*(MIN(Inputs!$B$22+((C2840=TRUE)*(F2840-Calc!F24)),(Inputs!$B$23+0+(IF(ArtifactsInput!$M$15,CHOOSE(ArtifactsInput!$N$15+1,25,30,35,40,45,50)/100*(Inputs!$B$11-Inputs!$B$11),0))))/100+(Inputs!$B$23+0+(IF(ArtifactsInput!$M$15,CHOOSE(ArtifactsInput!$N$15+1,25,30,35,40,45,50)/100*(Inputs!$B$11-Inputs!$B$11),0)))/100)/2</f>
        <v/>
      </c>
      <c r="M2830">
        <f>L2830*(1+(Inputs!$B$10+((C2842=TRUE)*(F2842-Calc!F26))+B2859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30">
        <f>L2830*(1-MIN((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2830*(MIN((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30">
        <f>(1-Summary!$B$11)*T2830+Summary!$B$11*V2830</f>
        <v/>
      </c>
      <c r="P2830">
        <f>IF(B2860=0,0,O2830/B2860)</f>
        <v/>
      </c>
      <c r="Q2830">
        <f>IFERROR(1/IF(Inputs!$B$39="pvp",15,MAX(0.1,Skills!D14-IF(Skills!E14=TRUE,Inputs!$B$32,0))),0)</f>
        <v/>
      </c>
      <c r="R2830">
        <f>IF(AND(Inputs!$B$39&lt;&gt;"pvp",Inputs!$B$44&gt;0),IF(MAX(0,Inputs!$B$44-B2861)&lt;=0,0,(INT(MAX(0,Inputs!$B$44-B2861)/IF(Inputs!$B$39="pvp",15,MAX(0.1,Skills!D14-IF(Skills!E14=TRUE,Inputs!$B$32,0))))+1)),0)</f>
        <v/>
      </c>
      <c r="S2830">
        <f>IFERROR(O2830/N2830,0)</f>
        <v/>
      </c>
      <c r="T2830">
        <f>IF(C2830,(H2830*N2830*IF(AND(Inputs!$B$39&lt;&gt;"pvp",Inputs!$B$44&gt;0),((Skills!G14*((R2830-1)*IF(Skills!H14&gt;0,Skills!I14/Skills!H14,1)+IF(Skills!H14&gt;0,MIN(Skills!I14,MAX(0,MAX(0,Inputs!$B$44-B2861)-((R2830-1)*IF(Inputs!$B$39="pvp",15,MAX(0.1,Skills!D14-IF(Skills!E14=TRUE,Inputs!$B$32,0))))))/Skills!H14,1)))/Inputs!$B$44),G2830*Q2830))*IF(Inputs!$B$39="pvp",1,1+(Inputs!$B$20+((C2843=TRUE)*(F2843-Calc!F27))+Skills!P14+B2857+(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Hunt"),CHOOSE(ArtifactsInput!$N$35+1,15,18,21,24,27,30)*(1-EXP(-(0.2*B2852)*5)),0)+IF(AND(ArtifactsInput!$M$22,Inputs!$B$4&lt;&gt;"Chapter Hunt"),CHOOSE(ArtifactsInput!$N$22+1,10,12,14,16,18,20)*((0*(((0.15*B2852*5))^0/1)+1*(((0.15*B2852*5))^1/1)+2*(((0.15*B2852*5))^2/2)+3*(((0.15*B2852*5))^3/6)+4*(((0.15*B2852*5))^4/24)+5*(((0.15*B2852*5))^5/120))/((((0.15*B2852*5))^0/1)+(((0.15*B2852*5))^1/1)+(((0.15*B2852*5))^2/2)+(((0.15*B2852*5))^3/6)+(((0.15*B2852*5))^4/24)+(((0.15*B2852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2830*(1-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2830*(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2830*(1-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2830*(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30">
        <f>IF(C2830,(H2830*N2830*IF(AND(Inputs!$B$39&lt;&gt;"pvp",Inputs!$B$44&gt;0),((Skills!G14*((R2830-1)*IF(Skills!H14&gt;0,Skills!I14/Skills!H14,1)+IF(Skills!H14&gt;0,MIN(Skills!I14,MAX(0,MAX(0,Inputs!$B$44-B2861)-((R2830-1)*IF(Inputs!$B$39="pvp",15,MAX(0.1,Skills!D14-IF(Skills!E14=TRUE,Inputs!$B$32,0))))))/Skills!H14,1)))/Inputs!$B$44),G2830*Q2830))*IF(Inputs!$B$39="pvp",1,(1+(Inputs!$B$21+Skills!Q14+B2857+(IF(ArtifactsInput!$M$33,CHOOSE(ArtifactsInput!$N$33+1,30,36,42,48,54,60),0))+(IF(AND(ArtifactsInput!$M$35,Inputs!$B$4&lt;&gt;"Chapter Hunt"),CHOOSE(ArtifactsInput!$N$35+1,15,18,21,24,27,30)*(1-EXP(-(0.2*B2852)*5)),0)+IF(AND(ArtifactsInput!$M$22,Inputs!$B$4&lt;&gt;"Chapter Hunt"),CHOOSE(ArtifactsInput!$N$22+1,10,12,14,16,18,20)*((0*(((0.15*B2852*5))^0/1)+1*(((0.15*B2852*5))^1/1)+2*(((0.15*B2852*5))^2/2)+3*(((0.15*B2852*5))^3/6)+4*(((0.15*B2852*5))^4/24)+5*(((0.15*B2852*5))^5/120))/((((0.15*B2852*5))^0/1)+(((0.15*B2852*5))^1/1)+(((0.15*B2852*5))^2/2)+(((0.15*B2852*5))^3/6)+(((0.15*B2852*5))^4/24)+(((0.15*B2852*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31">
      <c r="A2831">
        <f>Skills!A15</f>
        <v/>
      </c>
      <c r="B2831">
        <f>Skills!B15</f>
        <v/>
      </c>
      <c r="C2831">
        <f>Inputs!$B$3&gt;=110</f>
        <v/>
      </c>
      <c r="D2831">
        <f>IF(Skills!C15=1,60+Inputs!$B$25+Inputs!$B$29,IF(Skills!C15=2,90+Inputs!$B$26+Inputs!$B$29,IF(Skills!C15=3,120+Inputs!$B$27+Inputs!$B$29,MAX(0,(Inputs!$B$3-100)*3)+Inputs!$B$28+Inputs!$B$29)))</f>
        <v/>
      </c>
      <c r="E2831">
        <f>INDEX(FactorTable!$B$2:$Y$301, MATCH(ROUND(MIN(300,MAX(1,D2831)),0), FactorTable!$A$2:$A$301,0), Skills!M15+1)</f>
        <v/>
      </c>
      <c r="F2831">
        <f>IF(Skills!N15=TRUE,(Skills!L15/10)*(E2831/1000),Skills!L15/10)+Skills!O15</f>
        <v/>
      </c>
      <c r="G2831">
        <f>Calc!G15</f>
        <v/>
      </c>
      <c r="H2831">
        <f>Calc!H15</f>
        <v/>
      </c>
      <c r="I2831">
        <f>IF(Skills!AA15&lt;&gt;"",1+(Skills!AA15/10)*(U2819/1000)/100,1)</f>
        <v/>
      </c>
      <c r="J2831" t="inlineStr"/>
      <c r="K2831" t="inlineStr"/>
      <c r="L2831" t="inlineStr"/>
      <c r="M2831" t="inlineStr"/>
      <c r="N2831" t="inlineStr"/>
      <c r="O2831">
        <f>(1-Summary!$B$11)*T2831+Summary!$B$11*V2831</f>
        <v/>
      </c>
      <c r="P2831">
        <f>IF(B2860=0,0,O2831/B2860)</f>
        <v/>
      </c>
      <c r="Q2831">
        <f>IFERROR(1/IF(Inputs!$B$39="pvp",15,MAX(0.1,Skills!D15-IF(Skills!E15=TRUE,Inputs!$B$32,0))),0)</f>
        <v/>
      </c>
      <c r="R2831">
        <f>IF(AND(Inputs!$B$39&lt;&gt;"pvp",Inputs!$B$44&gt;0),IF(Inputs!$B$44&lt;=0,0,(INT(Inputs!$B$44/IF(Inputs!$B$39="pvp",15,MAX(0.1,Skills!D15-IF(Skills!E15=TRUE,Inputs!$B$32,0))))+1)),0)</f>
        <v/>
      </c>
      <c r="S2831">
        <f>IFERROR(O2831/N2831,0)</f>
        <v/>
      </c>
      <c r="T2831" t="n">
        <v>0</v>
      </c>
      <c r="V2831" t="n">
        <v>0</v>
      </c>
    </row>
    <row r="2832">
      <c r="A2832">
        <f>Skills!A16</f>
        <v/>
      </c>
      <c r="B2832">
        <f>Skills!B16</f>
        <v/>
      </c>
      <c r="C2832">
        <f>Inputs!$B$3&gt;=110</f>
        <v/>
      </c>
      <c r="D2832">
        <f>IF(Skills!C16=1,60+Inputs!$B$25+Inputs!$B$29,IF(Skills!C16=2,90+Inputs!$B$26+Inputs!$B$29,IF(Skills!C16=3,120+Inputs!$B$27+Inputs!$B$29,MAX(0,(Inputs!$B$3-100)*3)+Inputs!$B$28+Inputs!$B$29)))</f>
        <v/>
      </c>
      <c r="E2832">
        <f>INDEX(FactorTable!$B$2:$Y$301, MATCH(ROUND(MIN(300,MAX(1,D2832)),0), FactorTable!$A$2:$A$301,0), Skills!M16+1)</f>
        <v/>
      </c>
      <c r="F2832">
        <f>IF(Skills!N16=TRUE,(Skills!L16/10)*(E2832/1000),Skills!L16/10)+Skills!O16</f>
        <v/>
      </c>
      <c r="G2832">
        <f>Calc!G16</f>
        <v/>
      </c>
      <c r="H2832">
        <f>Calc!H16</f>
        <v/>
      </c>
      <c r="I2832">
        <f>IF(Skills!AA16&lt;&gt;"",1+(Skills!AA16/10)*(U2819/1000)/100,1)</f>
        <v/>
      </c>
      <c r="J2832" t="inlineStr"/>
      <c r="K2832" t="inlineStr"/>
      <c r="L2832" t="inlineStr"/>
      <c r="M2832" t="inlineStr"/>
      <c r="N2832" t="inlineStr"/>
      <c r="O2832">
        <f>(1-Summary!$B$11)*T2832+Summary!$B$11*V2832</f>
        <v/>
      </c>
      <c r="P2832">
        <f>IF(B2860=0,0,O2832/B2860)</f>
        <v/>
      </c>
      <c r="Q2832">
        <f>IFERROR(1/IF(Inputs!$B$39="pvp",15,MAX(0.1,Skills!D16-IF(Skills!E16=TRUE,Inputs!$B$32,0))),0)</f>
        <v/>
      </c>
      <c r="R2832">
        <f>IF(AND(Inputs!$B$39&lt;&gt;"pvp",Inputs!$B$44&gt;0),IF(Inputs!$B$44&lt;=0,0,(INT(Inputs!$B$44/IF(Inputs!$B$39="pvp",15,MAX(0.1,Skills!D16-IF(Skills!E16=TRUE,Inputs!$B$32,0))))+1)),0)</f>
        <v/>
      </c>
      <c r="S2832">
        <f>IFERROR(O2832/N2832,0)</f>
        <v/>
      </c>
      <c r="T2832" t="n">
        <v>0</v>
      </c>
      <c r="V2832" t="n">
        <v>0</v>
      </c>
    </row>
    <row r="2833">
      <c r="A2833">
        <f>Skills!A17</f>
        <v/>
      </c>
      <c r="B2833">
        <f>Skills!B17</f>
        <v/>
      </c>
      <c r="C2833">
        <f>Inputs!$B$3&gt;=115</f>
        <v/>
      </c>
      <c r="D2833">
        <f>IF(Skills!C17=1,60+Inputs!$B$25+Inputs!$B$29,IF(Skills!C17=2,90+Inputs!$B$26+Inputs!$B$29,IF(Skills!C17=3,120+Inputs!$B$27+Inputs!$B$29,MAX(0,(Inputs!$B$3-100)*3)+Inputs!$B$28+Inputs!$B$29)))</f>
        <v/>
      </c>
      <c r="E2833">
        <f>INDEX(FactorTable!$B$2:$Y$301, MATCH(ROUND(MIN(300,MAX(1,D2833)),0), FactorTable!$A$2:$A$301,0), Skills!M17+1)</f>
        <v/>
      </c>
      <c r="F2833">
        <f>IF(Skills!N17=TRUE,(Skills!L17/10)*(E2833/1000),Skills!L17/10)+Skills!O17</f>
        <v/>
      </c>
      <c r="G2833">
        <f>Calc!G17</f>
        <v/>
      </c>
      <c r="H2833">
        <f>Calc!H17</f>
        <v/>
      </c>
      <c r="I2833">
        <f>IF(Skills!AA17&lt;&gt;"",1+(Skills!AA17/10)*(U2819/1000)/100,1)</f>
        <v/>
      </c>
      <c r="J2833">
        <f>((Inputs!$B$6*(1+Inputs!$B$7/100))+(((Inputs!$B$12*(1+Inputs!$B$13/100))-(Inputs!$B$12*(1+Inputs!$B$13/100)))+0.25*(Inputs!$B$14-Inputs!$B$14))*(1+Inputs!$B$7/100))*(F2833/100)</f>
        <v/>
      </c>
      <c r="K2833">
        <f>J2833*(1+((Inputs!$B$12*(1+Inputs!$B$13/100))*0.01+Inputs!$B$14*0.0025)/100)*(1+Inputs!$B$15/100)*(1+Inputs!$B$16/100)*(5000/(6000+Inputs!$B$43*(1-(100*(1-(1-(Inputs!$B$19+0)/100)*(1-CHOOSE(ArtifactsInput!$N$40+1,5,6,7,8,9,10)/100)^(ArtifactsInput!$M$40-ArtifactsInput!$M$40)))/100)))*(1+(Inputs!$B$24+((C2846=TRUE)*(F2846-Calc!F30)))/100)*(1+Skills!R17/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2839=TRUE)*(F2839-Calc!F23))+(((IF(AND(ArtifactsInput!$M$42,((Inputs!$B$9+((C2841=TRUE)*(F2841-Calc!F25))+B2856+(ArtifactsInput!$M$24-ArtifactsInput!$M$24)*CHOOSE(ArtifactsInput!$N$24+1,10,12,14,16,18,20)+IF(ArtifactsInput!$M$10,CHOOSE(ArtifactsInput!$N$10+1,15,18,21,24,27,30)*(IF(Inputs!$B$39="pvp",MIN(15,15)/15,IF(AND(Inputs!$B$39&lt;&gt;"pvp",Inputs!$B$44&gt;0),MIN(15,Inputs!$B$44)/(Inputs!$B$44),0))),0)))&gt;=100),MIN(100,((Inputs!$B$9+((C2841=TRUE)*(F2841-Calc!F25))+B2856+(ArtifactsInput!$M$24-ArtifactsInput!$M$24)*CHOOSE(ArtifactsInput!$N$24+1,10,12,14,16,18,20)+IF(ArtifactsInput!$M$10,CHOOSE(ArtifactsInput!$N$10+1,15,18,21,24,27,30)*(IF(Inputs!$B$39="pvp",MIN(15,15)/15,IF(AND(Inputs!$B$39&lt;&gt;"pvp",Inputs!$B$44&gt;0),MIN(15,Inputs!$B$44)/(Inputs!$B$44),0))),0)))-100),0))*CHOOSE(ArtifactsInput!$N$42+1,0.6,0.72,0.84,0.96,1.08,1.2))),Inputs!$B$18+((C2845=TRUE)*(F2845-Calc!F29))+(IF(AND(ArtifactsInput!$M$42,((Inputs!$B$9+((C2841=TRUE)*(F2841-Calc!F25))+B2856+(ArtifactsInput!$M$24-ArtifactsInput!$M$24)*CHOOSE(ArtifactsInput!$N$24+1,10,12,14,16,18,20)+IF(ArtifactsInput!$M$10,CHOOSE(ArtifactsInput!$N$10+1,15,18,21,24,27,30)*(IF(Inputs!$B$39="pvp",MIN(15,15)/15,IF(AND(Inputs!$B$39&lt;&gt;"pvp",Inputs!$B$44&gt;0),MIN(15,Inputs!$B$44)/(Inputs!$B$44),0))),0)))&gt;=100),CHOOSE(ArtifactsInput!$N$42+1,40,48,56,64,72,80),0))))/100)*(((1+(((C2837=TRUE)*F2837*IF(AND(Inputs!$B$39&lt;&gt;"pvp",Inputs!$B$44&gt;0),(((R2837-1)*(Skills!Y21*(1+Inputs!$B$34/100))+MIN((Skills!Y21*(1+Inputs!$B$34/100)),MAX(0,Inputs!$B$44-((R2837-1)*Skills!D21))))/Inputs!$B$44),IF(Inputs!$B$39="pvp",MIN((Skills!Y21*(1+Inputs!$B$34/100)),15)/15,(Skills!Y21*(1+Inputs!$B$34/100))/Skills!D21)))+((C2844=TRUE)*(F2844-Calc!F28))+((C2834=TRUE)*(F2834-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2831=TRUE)*F2831*IF(AND(Inputs!$B$39&lt;&gt;"pvp",Inputs!$B$44&gt;0),(((R2831-1)*(Skills!Y15*(1+Inputs!$B$34/100))+MIN((Skills!Y15*(1+Inputs!$B$34/100)),MAX(0,Inputs!$B$44-((R2831-1)*Skills!D15))))/Inputs!$B$44),IF(Inputs!$B$39="pvp",MIN((Skills!Y15*(1+Inputs!$B$34/100)),15)/15,(Skills!Y15*(1+Inputs!$B$34/100))/Skills!D15)))/100)*(1+((C2822=TRUE)*F2822*B2850)/100))*B2858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2833)</f>
        <v/>
      </c>
      <c r="L2833">
        <f>K2833*(MIN(Inputs!$B$22+((C2840=TRUE)*(F2840-Calc!F24)),(Inputs!$B$23+0+(IF(ArtifactsInput!$M$15,CHOOSE(ArtifactsInput!$N$15+1,25,30,35,40,45,50)/100*(Inputs!$B$11-Inputs!$B$11),0))))/100+(Inputs!$B$23+0+(IF(ArtifactsInput!$M$15,CHOOSE(ArtifactsInput!$N$15+1,25,30,35,40,45,50)/100*(Inputs!$B$11-Inputs!$B$11),0)))/100)/2</f>
        <v/>
      </c>
      <c r="M2833">
        <f>L2833*(1+(Inputs!$B$10+((C2842=TRUE)*(F2842-Calc!F26))+B2859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33">
        <f>L2833*(1-MIN((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2833*(MIN((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33">
        <f>(1-Summary!$B$11)*T2833+Summary!$B$11*V2833</f>
        <v/>
      </c>
      <c r="P2833">
        <f>IF(B2860=0,0,O2833/B2860)</f>
        <v/>
      </c>
      <c r="Q2833" t="n">
        <v>0</v>
      </c>
      <c r="R2833" t="n">
        <v>0</v>
      </c>
      <c r="S2833">
        <f>IFERROR(O2833/N2833,0)</f>
        <v/>
      </c>
      <c r="T2833">
        <f>IF(C2833,(Inputs!$B$38*0.2*N2833)*IF(Inputs!$B$39="pvp",1,1+(Inputs!$B$20+((C2843=TRUE)*(F2843-Calc!F27))+Skills!P17+B2857+(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Hunt"),CHOOSE(ArtifactsInput!$N$35+1,15,18,21,24,27,30)*(1-EXP(-(0.2*B2852)*5)),0)+IF(AND(ArtifactsInput!$M$22,Inputs!$B$4&lt;&gt;"Chapter Hunt"),CHOOSE(ArtifactsInput!$N$22+1,10,12,14,16,18,20)*((0*(((0.15*B2852*5))^0/1)+1*(((0.15*B2852*5))^1/1)+2*(((0.15*B2852*5))^2/2)+3*(((0.15*B2852*5))^3/6)+4*(((0.15*B2852*5))^4/24)+5*(((0.15*B2852*5))^5/120))/((((0.15*B2852*5))^0/1)+(((0.15*B2852*5))^1/1)+(((0.15*B2852*5))^2/2)+(((0.15*B2852*5))^3/6)+(((0.15*B2852*5))^4/24)+(((0.15*B2852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2833*(1-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2833*(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2833*(1-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2833*(MIN(100,(Inputs!$B$9+((C2841=TRUE)*(F2841-Calc!F25))+B2856+(ArtifactsInput!$M$24-ArtifactsInput!$M$24)*CHOOSE(ArtifactsInput!$N$24+1,10,12,14,16,18,20)+(IF(AND(ArtifactsInput!$M$42,((Inputs!$B$9+((C2841=TRUE)*(F2841-Calc!F25))+B2856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33">
        <f>IF(C2833,(Inputs!$B$38*0.2*N2833)*IF(Inputs!$B$39="pvp",1,(1+(Inputs!$B$21+Skills!Q17+B2857+(IF(ArtifactsInput!$M$33,CHOOSE(ArtifactsInput!$N$33+1,30,36,42,48,54,60),0))+(IF(AND(ArtifactsInput!$M$35,Inputs!$B$4&lt;&gt;"Chapter Hunt"),CHOOSE(ArtifactsInput!$N$35+1,15,18,21,24,27,30)*(1-EXP(-(0.2*B2852)*5)),0)+IF(AND(ArtifactsInput!$M$22,Inputs!$B$4&lt;&gt;"Chapter Hunt"),CHOOSE(ArtifactsInput!$N$22+1,10,12,14,16,18,20)*((0*(((0.15*B2852*5))^0/1)+1*(((0.15*B2852*5))^1/1)+2*(((0.15*B2852*5))^2/2)+3*(((0.15*B2852*5))^3/6)+4*(((0.15*B2852*5))^4/24)+5*(((0.15*B2852*5))^5/120))/((((0.15*B2852*5))^0/1)+(((0.15*B2852*5))^1/1)+(((0.15*B2852*5))^2/2)+(((0.15*B2852*5))^3/6)+(((0.15*B2852*5))^4/24)+(((0.15*B2852*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34">
      <c r="A2834">
        <f>Skills!A18</f>
        <v/>
      </c>
      <c r="B2834">
        <f>Skills!B18</f>
        <v/>
      </c>
      <c r="C2834">
        <f>Inputs!$B$3&gt;=115</f>
        <v/>
      </c>
      <c r="D2834">
        <f>IF(Skills!C18=1,60+Inputs!$B$25+Inputs!$B$29,IF(Skills!C18=2,90+Inputs!$B$26+Inputs!$B$29,IF(Skills!C18=3,120+Inputs!$B$27+Inputs!$B$29,MAX(0,(Inputs!$B$3-100)*3)+Inputs!$B$28+Inputs!$B$29)))</f>
        <v/>
      </c>
      <c r="E2834">
        <f>INDEX(FactorTable!$B$2:$Y$301, MATCH(ROUND(MIN(300,MAX(1,D2834)),0), FactorTable!$A$2:$A$301,0), Skills!M18+1)</f>
        <v/>
      </c>
      <c r="F2834">
        <f>IF(Skills!N18=TRUE,(Skills!L18/10)*(E2834/1000),Skills!L18/10)+Skills!O18</f>
        <v/>
      </c>
      <c r="G2834">
        <f>Calc!G18</f>
        <v/>
      </c>
      <c r="H2834">
        <f>Calc!H18</f>
        <v/>
      </c>
      <c r="I2834">
        <f>IF(Skills!AA18&lt;&gt;"",1+(Skills!AA18/10)*(U2819/1000)/100,1)</f>
        <v/>
      </c>
      <c r="J2834" t="inlineStr"/>
      <c r="K2834" t="inlineStr"/>
      <c r="L2834" t="inlineStr"/>
      <c r="M2834" t="inlineStr"/>
      <c r="N2834" t="inlineStr"/>
      <c r="O2834">
        <f>(1-Summary!$B$11)*T2834+Summary!$B$11*V2834</f>
        <v/>
      </c>
      <c r="P2834">
        <f>IF(B2860=0,0,O2834/B2860)</f>
        <v/>
      </c>
      <c r="Q2834" t="n">
        <v>0</v>
      </c>
      <c r="R2834" t="n">
        <v>0</v>
      </c>
      <c r="S2834">
        <f>IFERROR(O2834/N2834,0)</f>
        <v/>
      </c>
      <c r="T2834" t="n">
        <v>0</v>
      </c>
      <c r="V2834" t="n">
        <v>0</v>
      </c>
    </row>
    <row r="2835">
      <c r="A2835">
        <f>Skills!A19</f>
        <v/>
      </c>
      <c r="B2835">
        <f>Skills!B19</f>
        <v/>
      </c>
      <c r="C2835">
        <f>TRUE</f>
        <v/>
      </c>
      <c r="D2835">
        <f>IF(Skills!C19=1,60+Inputs!$B$25+Inputs!$B$29,IF(Skills!C19=2,90+Inputs!$B$26+Inputs!$B$29,IF(Skills!C19=3,120+Inputs!$B$27+Inputs!$B$29,MAX(0,(Inputs!$B$3-100)*3)+Inputs!$B$28+Inputs!$B$29)))</f>
        <v/>
      </c>
      <c r="E2835">
        <f>INDEX(FactorTable!$B$2:$Y$301, MATCH(ROUND(MIN(300,MAX(1,D2835)),0), FactorTable!$A$2:$A$301,0), Skills!M19+1)</f>
        <v/>
      </c>
      <c r="F2835">
        <f>IF(Skills!N19=TRUE,(Skills!L19/10)*(E2835/1000),Skills!L19/10)+Skills!O19</f>
        <v/>
      </c>
      <c r="G2835">
        <f>Calc!G19</f>
        <v/>
      </c>
      <c r="H2835">
        <f>Calc!H19</f>
        <v/>
      </c>
      <c r="I2835">
        <f>IF(Skills!AA19&lt;&gt;"",1+(Skills!AA19/10)*(U2819/1000)/100,1)</f>
        <v/>
      </c>
      <c r="J2835" t="inlineStr"/>
      <c r="K2835" t="inlineStr"/>
      <c r="L2835" t="inlineStr"/>
      <c r="M2835" t="inlineStr"/>
      <c r="N2835" t="inlineStr"/>
      <c r="O2835">
        <f>(1-Summary!$B$11)*T2835+Summary!$B$11*V2835</f>
        <v/>
      </c>
      <c r="P2835">
        <f>IF(B2860=0,0,O2835/B2860)</f>
        <v/>
      </c>
      <c r="Q2835">
        <f>IFERROR(1/IF(Inputs!$B$39="pvp",15,MAX(0.1,Skills!D19-IF(Skills!E19=TRUE,Inputs!$B$32,0))),0)</f>
        <v/>
      </c>
      <c r="R2835">
        <f>IF(AND(Inputs!$B$39&lt;&gt;"pvp",Inputs!$B$44&gt;0),IF(Inputs!$B$44&lt;=0,0,(INT(Inputs!$B$44/IF(Inputs!$B$39="pvp",15,MAX(0.1,Skills!D19-IF(Skills!E19=TRUE,Inputs!$B$32,0))))+1)),0)</f>
        <v/>
      </c>
      <c r="S2835">
        <f>IFERROR(O2835/N2835,0)</f>
        <v/>
      </c>
      <c r="T2835" t="n">
        <v>0</v>
      </c>
      <c r="V2835" t="n">
        <v>0</v>
      </c>
    </row>
    <row r="2836">
      <c r="A2836">
        <f>Skills!A20</f>
        <v/>
      </c>
      <c r="B2836">
        <f>Skills!B20</f>
        <v/>
      </c>
      <c r="C2836">
        <f>Inputs!$B$3&gt;=15</f>
        <v/>
      </c>
      <c r="D2836">
        <f>IF(Skills!C20=1,60+Inputs!$B$25+Inputs!$B$29,IF(Skills!C20=2,90+Inputs!$B$26+Inputs!$B$29,IF(Skills!C20=3,120+Inputs!$B$27+Inputs!$B$29,MAX(0,(Inputs!$B$3-100)*3)+Inputs!$B$28+Inputs!$B$29)))</f>
        <v/>
      </c>
      <c r="E2836">
        <f>INDEX(FactorTable!$B$2:$Y$301, MATCH(ROUND(MIN(300,MAX(1,D2836)),0), FactorTable!$A$2:$A$301,0), Skills!M20+1)</f>
        <v/>
      </c>
      <c r="F2836">
        <f>IF(Skills!N20=TRUE,(Skills!L20/10)*(E2836/1000),Skills!L20/10)+Skills!O20</f>
        <v/>
      </c>
      <c r="G2836">
        <f>Calc!G20</f>
        <v/>
      </c>
      <c r="H2836">
        <f>Calc!H20</f>
        <v/>
      </c>
      <c r="I2836">
        <f>IF(Skills!AA20&lt;&gt;"",1+(Skills!AA20/10)*(U2819/1000)/100,1)</f>
        <v/>
      </c>
      <c r="J2836" t="inlineStr"/>
      <c r="K2836" t="inlineStr"/>
      <c r="L2836" t="inlineStr"/>
      <c r="M2836" t="inlineStr"/>
      <c r="N2836" t="inlineStr"/>
      <c r="O2836">
        <f>(1-Summary!$B$11)*T2836+Summary!$B$11*V2836</f>
        <v/>
      </c>
      <c r="P2836">
        <f>IF(B2860=0,0,O2836/B2860)</f>
        <v/>
      </c>
      <c r="Q2836">
        <f>IFERROR(1/IF(Inputs!$B$39="pvp",15,MAX(0.1,Skills!D20-IF(Skills!E20=TRUE,Inputs!$B$32,0))),0)</f>
        <v/>
      </c>
      <c r="R2836">
        <f>IF(AND(Inputs!$B$39&lt;&gt;"pvp",Inputs!$B$44&gt;0),IF(Inputs!$B$44&lt;=0,0,(INT(Inputs!$B$44/IF(Inputs!$B$39="pvp",15,MAX(0.1,Skills!D20-IF(Skills!E20=TRUE,Inputs!$B$32,0))))+1)),0)</f>
        <v/>
      </c>
      <c r="S2836">
        <f>IFERROR(O2836/N2836,0)</f>
        <v/>
      </c>
      <c r="T2836" t="n">
        <v>0</v>
      </c>
      <c r="V2836" t="n">
        <v>0</v>
      </c>
    </row>
    <row r="2837">
      <c r="A2837">
        <f>Skills!A21</f>
        <v/>
      </c>
      <c r="B2837">
        <f>Skills!B21</f>
        <v/>
      </c>
      <c r="C2837">
        <f>Inputs!$B$3&gt;=15</f>
        <v/>
      </c>
      <c r="D2837">
        <f>IF(Skills!C21=1,60+Inputs!$B$25+Inputs!$B$29,IF(Skills!C21=2,90+Inputs!$B$26+Inputs!$B$29,IF(Skills!C21=3,120+Inputs!$B$27+Inputs!$B$29,MAX(0,(Inputs!$B$3-100)*3)+Inputs!$B$28+Inputs!$B$29)))</f>
        <v/>
      </c>
      <c r="E2837">
        <f>INDEX(FactorTable!$B$2:$Y$301, MATCH(ROUND(MIN(300,MAX(1,D2837)),0), FactorTable!$A$2:$A$301,0), Skills!M21+1)</f>
        <v/>
      </c>
      <c r="F2837">
        <f>IF(Skills!N21=TRUE,(Skills!L21/10)*(E2837/1000),Skills!L21/10)+Skills!O21</f>
        <v/>
      </c>
      <c r="G2837">
        <f>Calc!G21</f>
        <v/>
      </c>
      <c r="H2837">
        <f>Calc!H21</f>
        <v/>
      </c>
      <c r="I2837">
        <f>IF(Skills!AA21&lt;&gt;"",1+(Skills!AA21/10)*(U2819/1000)/100,1)</f>
        <v/>
      </c>
      <c r="J2837" t="inlineStr"/>
      <c r="K2837" t="inlineStr"/>
      <c r="L2837" t="inlineStr"/>
      <c r="M2837" t="inlineStr"/>
      <c r="N2837" t="inlineStr"/>
      <c r="O2837">
        <f>(1-Summary!$B$11)*T2837+Summary!$B$11*V2837</f>
        <v/>
      </c>
      <c r="P2837">
        <f>IF(B2860=0,0,O2837/B2860)</f>
        <v/>
      </c>
      <c r="Q2837">
        <f>IFERROR(1/IF(Inputs!$B$39="pvp",15,MAX(0.1,Skills!D21-IF(Skills!E21=TRUE,Inputs!$B$32,0))),0)</f>
        <v/>
      </c>
      <c r="R2837">
        <f>IF(AND(Inputs!$B$39&lt;&gt;"pvp",Inputs!$B$44&gt;0),IF(Inputs!$B$44&lt;=0,0,(INT(Inputs!$B$44/IF(Inputs!$B$39="pvp",15,MAX(0.1,Skills!D21-IF(Skills!E21=TRUE,Inputs!$B$32,0))))+1)),0)</f>
        <v/>
      </c>
      <c r="S2837">
        <f>IFERROR(O2837/N2837,0)</f>
        <v/>
      </c>
      <c r="T2837" t="n">
        <v>0</v>
      </c>
      <c r="V2837" t="n">
        <v>0</v>
      </c>
    </row>
    <row r="2838">
      <c r="A2838">
        <f>Skills!A22</f>
        <v/>
      </c>
      <c r="B2838">
        <f>Skills!B22</f>
        <v/>
      </c>
      <c r="C2838">
        <f>Inputs!$B$3&gt;=33</f>
        <v/>
      </c>
      <c r="D2838">
        <f>IF(Skills!C22=1,60+Inputs!$B$25+Inputs!$B$29,IF(Skills!C22=2,90+Inputs!$B$26+Inputs!$B$29,IF(Skills!C22=3,120+Inputs!$B$27+Inputs!$B$29,MAX(0,(Inputs!$B$3-100)*3)+Inputs!$B$28+Inputs!$B$29)))</f>
        <v/>
      </c>
      <c r="E2838">
        <f>INDEX(FactorTable!$B$2:$Y$301, MATCH(ROUND(MIN(300,MAX(1,D2838)),0), FactorTable!$A$2:$A$301,0), Skills!M22+1)</f>
        <v/>
      </c>
      <c r="F2838">
        <f>IF(Skills!N22=TRUE,(Skills!L22/10)*(E2838/1000),Skills!L22/10)+Skills!O22</f>
        <v/>
      </c>
      <c r="G2838">
        <f>Calc!G22</f>
        <v/>
      </c>
      <c r="H2838">
        <f>Calc!H22</f>
        <v/>
      </c>
      <c r="I2838">
        <f>IF(Skills!AA22&lt;&gt;"",1+(Skills!AA22/10)*(U2819/1000)/100,1)</f>
        <v/>
      </c>
      <c r="J2838" t="inlineStr"/>
      <c r="K2838" t="inlineStr"/>
      <c r="L2838" t="inlineStr"/>
      <c r="M2838" t="inlineStr"/>
      <c r="N2838" t="inlineStr"/>
      <c r="O2838">
        <f>(1-Summary!$B$11)*T2838+Summary!$B$11*V2838</f>
        <v/>
      </c>
      <c r="P2838">
        <f>IF(B2860=0,0,O2838/B2860)</f>
        <v/>
      </c>
      <c r="Q2838" t="n">
        <v>0</v>
      </c>
      <c r="R2838" t="n">
        <v>0</v>
      </c>
      <c r="S2838">
        <f>IFERROR(O2838/N2838,0)</f>
        <v/>
      </c>
      <c r="T2838" t="n">
        <v>0</v>
      </c>
      <c r="V2838" t="n">
        <v>0</v>
      </c>
    </row>
    <row r="2839">
      <c r="A2839">
        <f>Skills!A23</f>
        <v/>
      </c>
      <c r="B2839">
        <f>Skills!B23</f>
        <v/>
      </c>
      <c r="C2839">
        <f>Inputs!$B$3&gt;=38</f>
        <v/>
      </c>
      <c r="D2839">
        <f>IF(Skills!C23=1,60+Inputs!$B$25+Inputs!$B$29,IF(Skills!C23=2,90+Inputs!$B$26+Inputs!$B$29,IF(Skills!C23=3,120+Inputs!$B$27+Inputs!$B$29,MAX(0,(Inputs!$B$3-100)*3)+Inputs!$B$28+Inputs!$B$29)))</f>
        <v/>
      </c>
      <c r="E2839">
        <f>INDEX(FactorTable!$B$2:$Y$301, MATCH(ROUND(MIN(300,MAX(1,D2839)),0), FactorTable!$A$2:$A$301,0), Skills!M23+1)</f>
        <v/>
      </c>
      <c r="F2839">
        <f>IF(Skills!N23=TRUE,(Skills!L23/10)*(E2839/1000),Skills!L23/10)+Skills!O23</f>
        <v/>
      </c>
      <c r="G2839">
        <f>Calc!G23</f>
        <v/>
      </c>
      <c r="H2839">
        <f>Calc!H23</f>
        <v/>
      </c>
      <c r="I2839">
        <f>IF(Skills!AA23&lt;&gt;"",1+(Skills!AA23/10)*(U2819/1000)/100,1)</f>
        <v/>
      </c>
      <c r="J2839" t="inlineStr"/>
      <c r="K2839" t="inlineStr"/>
      <c r="L2839" t="inlineStr"/>
      <c r="M2839" t="inlineStr"/>
      <c r="N2839" t="inlineStr"/>
      <c r="O2839">
        <f>(1-Summary!$B$11)*T2839+Summary!$B$11*V2839</f>
        <v/>
      </c>
      <c r="P2839">
        <f>IF(B2860=0,0,O2839/B2860)</f>
        <v/>
      </c>
      <c r="Q2839" t="n">
        <v>0</v>
      </c>
      <c r="R2839" t="n">
        <v>0</v>
      </c>
      <c r="S2839">
        <f>IFERROR(O2839/N2839,0)</f>
        <v/>
      </c>
      <c r="T2839" t="n">
        <v>0</v>
      </c>
      <c r="V2839" t="n">
        <v>0</v>
      </c>
    </row>
    <row r="2840">
      <c r="A2840">
        <f>Skills!A24</f>
        <v/>
      </c>
      <c r="B2840">
        <f>Skills!B24</f>
        <v/>
      </c>
      <c r="C2840">
        <f>Inputs!$B$3&gt;=40</f>
        <v/>
      </c>
      <c r="D2840">
        <f>IF(Skills!C24=1,60+Inputs!$B$25+Inputs!$B$29,IF(Skills!C24=2,90+Inputs!$B$26+Inputs!$B$29,IF(Skills!C24=3,120+Inputs!$B$27+Inputs!$B$29,MAX(0,(Inputs!$B$3-100)*3)+Inputs!$B$28+Inputs!$B$29)))</f>
        <v/>
      </c>
      <c r="E2840">
        <f>INDEX(FactorTable!$B$2:$Y$301, MATCH(ROUND(MIN(300,MAX(1,D2840)),0), FactorTable!$A$2:$A$301,0), Skills!M24+1)</f>
        <v/>
      </c>
      <c r="F2840">
        <f>IF(Skills!N24=TRUE,(Skills!L24/10)*(E2840/1000),Skills!L24/10)+Skills!O24</f>
        <v/>
      </c>
      <c r="G2840">
        <f>Calc!G24</f>
        <v/>
      </c>
      <c r="H2840">
        <f>Calc!H24</f>
        <v/>
      </c>
      <c r="I2840">
        <f>IF(Skills!AA24&lt;&gt;"",1+(Skills!AA24/10)*(U2819/1000)/100,1)</f>
        <v/>
      </c>
      <c r="J2840" t="inlineStr"/>
      <c r="K2840" t="inlineStr"/>
      <c r="L2840" t="inlineStr"/>
      <c r="M2840" t="inlineStr"/>
      <c r="N2840" t="inlineStr"/>
      <c r="O2840">
        <f>(1-Summary!$B$11)*T2840+Summary!$B$11*V2840</f>
        <v/>
      </c>
      <c r="P2840">
        <f>IF(B2860=0,0,O2840/B2860)</f>
        <v/>
      </c>
      <c r="Q2840" t="n">
        <v>0</v>
      </c>
      <c r="R2840" t="n">
        <v>0</v>
      </c>
      <c r="S2840">
        <f>IFERROR(O2840/N2840,0)</f>
        <v/>
      </c>
      <c r="T2840" t="n">
        <v>0</v>
      </c>
      <c r="V2840" t="n">
        <v>0</v>
      </c>
    </row>
    <row r="2841">
      <c r="A2841">
        <f>Skills!A25</f>
        <v/>
      </c>
      <c r="B2841">
        <f>Skills!B25</f>
        <v/>
      </c>
      <c r="C2841">
        <f>Inputs!$B$3&gt;=45</f>
        <v/>
      </c>
      <c r="D2841">
        <f>IF(Skills!C25=1,60+Inputs!$B$25+Inputs!$B$29,IF(Skills!C25=2,90+Inputs!$B$26+Inputs!$B$29,IF(Skills!C25=3,120+Inputs!$B$27+Inputs!$B$29,MAX(0,(Inputs!$B$3-100)*3)+Inputs!$B$28+Inputs!$B$29)))</f>
        <v/>
      </c>
      <c r="E2841">
        <f>INDEX(FactorTable!$B$2:$Y$301, MATCH(ROUND(MIN(300,MAX(1,D2841)),0), FactorTable!$A$2:$A$301,0), Skills!M25+1)</f>
        <v/>
      </c>
      <c r="F2841">
        <f>IF(Skills!N25=TRUE,(Skills!L25/10)*(E2841/1000),Skills!L25/10)+Skills!O25</f>
        <v/>
      </c>
      <c r="G2841">
        <f>Calc!G25</f>
        <v/>
      </c>
      <c r="H2841">
        <f>Calc!H25</f>
        <v/>
      </c>
      <c r="I2841">
        <f>IF(Skills!AA25&lt;&gt;"",1+(Skills!AA25/10)*(U2819/1000)/100,1)</f>
        <v/>
      </c>
      <c r="J2841" t="inlineStr"/>
      <c r="K2841" t="inlineStr"/>
      <c r="L2841" t="inlineStr"/>
      <c r="M2841" t="inlineStr"/>
      <c r="N2841" t="inlineStr"/>
      <c r="O2841">
        <f>(1-Summary!$B$11)*T2841+Summary!$B$11*V2841</f>
        <v/>
      </c>
      <c r="P2841">
        <f>IF(B2860=0,0,O2841/B2860)</f>
        <v/>
      </c>
      <c r="Q2841" t="n">
        <v>0</v>
      </c>
      <c r="R2841" t="n">
        <v>0</v>
      </c>
      <c r="S2841">
        <f>IFERROR(O2841/N2841,0)</f>
        <v/>
      </c>
      <c r="T2841" t="n">
        <v>0</v>
      </c>
      <c r="V2841" t="n">
        <v>0</v>
      </c>
    </row>
    <row r="2842">
      <c r="A2842">
        <f>Skills!A26</f>
        <v/>
      </c>
      <c r="B2842">
        <f>Skills!B26</f>
        <v/>
      </c>
      <c r="C2842">
        <f>Inputs!$B$3&gt;=45</f>
        <v/>
      </c>
      <c r="D2842">
        <f>IF(Skills!C26=1,60+Inputs!$B$25+Inputs!$B$29,IF(Skills!C26=2,90+Inputs!$B$26+Inputs!$B$29,IF(Skills!C26=3,120+Inputs!$B$27+Inputs!$B$29,MAX(0,(Inputs!$B$3-100)*3)+Inputs!$B$28+Inputs!$B$29)))</f>
        <v/>
      </c>
      <c r="E2842">
        <f>INDEX(FactorTable!$B$2:$Y$301, MATCH(ROUND(MIN(300,MAX(1,D2842)),0), FactorTable!$A$2:$A$301,0), Skills!M26+1)</f>
        <v/>
      </c>
      <c r="F2842">
        <f>IF(Skills!N26=TRUE,(Skills!L26/10)*(E2842/1000),Skills!L26/10)+Skills!O26</f>
        <v/>
      </c>
      <c r="G2842">
        <f>Calc!G26</f>
        <v/>
      </c>
      <c r="H2842">
        <f>Calc!H26</f>
        <v/>
      </c>
      <c r="I2842">
        <f>IF(Skills!AA26&lt;&gt;"",1+(Skills!AA26/10)*(U2819/1000)/100,1)</f>
        <v/>
      </c>
      <c r="J2842" t="inlineStr"/>
      <c r="K2842" t="inlineStr"/>
      <c r="L2842" t="inlineStr"/>
      <c r="M2842" t="inlineStr"/>
      <c r="N2842" t="inlineStr"/>
      <c r="O2842">
        <f>(1-Summary!$B$11)*T2842+Summary!$B$11*V2842</f>
        <v/>
      </c>
      <c r="P2842">
        <f>IF(B2860=0,0,O2842/B2860)</f>
        <v/>
      </c>
      <c r="Q2842" t="n">
        <v>0</v>
      </c>
      <c r="R2842" t="n">
        <v>0</v>
      </c>
      <c r="S2842">
        <f>IFERROR(O2842/N2842,0)</f>
        <v/>
      </c>
      <c r="T2842" t="n">
        <v>0</v>
      </c>
      <c r="V2842" t="n">
        <v>0</v>
      </c>
    </row>
    <row r="2843">
      <c r="A2843">
        <f>Skills!A27</f>
        <v/>
      </c>
      <c r="B2843">
        <f>Skills!B27</f>
        <v/>
      </c>
      <c r="C2843">
        <f>Inputs!$B$3&gt;=72</f>
        <v/>
      </c>
      <c r="D2843">
        <f>IF(Skills!C27=1,60+Inputs!$B$25+Inputs!$B$29,IF(Skills!C27=2,90+Inputs!$B$26+Inputs!$B$29,IF(Skills!C27=3,120+Inputs!$B$27+Inputs!$B$29,MAX(0,(Inputs!$B$3-100)*3)+Inputs!$B$28+Inputs!$B$29)))</f>
        <v/>
      </c>
      <c r="E2843">
        <f>INDEX(FactorTable!$B$2:$Y$301, MATCH(ROUND(MIN(300,MAX(1,D2843)),0), FactorTable!$A$2:$A$301,0), Skills!M27+1)</f>
        <v/>
      </c>
      <c r="F2843">
        <f>IF(Skills!N27=TRUE,(Skills!L27/10)*(E2843/1000),Skills!L27/10)+Skills!O27</f>
        <v/>
      </c>
      <c r="G2843">
        <f>Calc!G27</f>
        <v/>
      </c>
      <c r="H2843">
        <f>Calc!H27</f>
        <v/>
      </c>
      <c r="I2843">
        <f>IF(Skills!AA27&lt;&gt;"",1+(Skills!AA27/10)*(U2819/1000)/100,1)</f>
        <v/>
      </c>
      <c r="J2843" t="inlineStr"/>
      <c r="K2843" t="inlineStr"/>
      <c r="L2843" t="inlineStr"/>
      <c r="M2843" t="inlineStr"/>
      <c r="N2843" t="inlineStr"/>
      <c r="O2843">
        <f>(1-Summary!$B$11)*T2843+Summary!$B$11*V2843</f>
        <v/>
      </c>
      <c r="P2843">
        <f>IF(B2860=0,0,O2843/B2860)</f>
        <v/>
      </c>
      <c r="Q2843" t="n">
        <v>0</v>
      </c>
      <c r="R2843" t="n">
        <v>0</v>
      </c>
      <c r="S2843">
        <f>IFERROR(O2843/N2843,0)</f>
        <v/>
      </c>
      <c r="T2843" t="n">
        <v>0</v>
      </c>
      <c r="V2843" t="n">
        <v>0</v>
      </c>
    </row>
    <row r="2844">
      <c r="A2844">
        <f>Skills!A28</f>
        <v/>
      </c>
      <c r="B2844">
        <f>Skills!B28</f>
        <v/>
      </c>
      <c r="C2844">
        <f>Inputs!$B$3&gt;=75</f>
        <v/>
      </c>
      <c r="D2844">
        <f>IF(Skills!C28=1,60+Inputs!$B$25+Inputs!$B$29,IF(Skills!C28=2,90+Inputs!$B$26+Inputs!$B$29,IF(Skills!C28=3,120+Inputs!$B$27+Inputs!$B$29,MAX(0,(Inputs!$B$3-100)*3)+Inputs!$B$28+Inputs!$B$29)))</f>
        <v/>
      </c>
      <c r="E2844">
        <f>INDEX(FactorTable!$B$2:$Y$301, MATCH(ROUND(MIN(300,MAX(1,D2844)),0), FactorTable!$A$2:$A$301,0), Skills!M28+1)</f>
        <v/>
      </c>
      <c r="F2844">
        <f>IF(Skills!N28=TRUE,(Skills!L28/10)*(E2844/1000),Skills!L28/10)+Skills!O28</f>
        <v/>
      </c>
      <c r="G2844">
        <f>Calc!G28</f>
        <v/>
      </c>
      <c r="H2844">
        <f>Calc!H28</f>
        <v/>
      </c>
      <c r="I2844">
        <f>IF(Skills!AA28&lt;&gt;"",1+(Skills!AA28/10)*(U2819/1000)/100,1)</f>
        <v/>
      </c>
      <c r="J2844" t="inlineStr"/>
      <c r="K2844" t="inlineStr"/>
      <c r="L2844" t="inlineStr"/>
      <c r="M2844" t="inlineStr"/>
      <c r="N2844" t="inlineStr"/>
      <c r="O2844">
        <f>(1-Summary!$B$11)*T2844+Summary!$B$11*V2844</f>
        <v/>
      </c>
      <c r="P2844">
        <f>IF(B2860=0,0,O2844/B2860)</f>
        <v/>
      </c>
      <c r="Q2844" t="n">
        <v>0</v>
      </c>
      <c r="R2844" t="n">
        <v>0</v>
      </c>
      <c r="S2844">
        <f>IFERROR(O2844/N2844,0)</f>
        <v/>
      </c>
      <c r="T2844" t="n">
        <v>0</v>
      </c>
      <c r="V2844" t="n">
        <v>0</v>
      </c>
    </row>
    <row r="2845">
      <c r="A2845">
        <f>Skills!A29</f>
        <v/>
      </c>
      <c r="B2845">
        <f>Skills!B29</f>
        <v/>
      </c>
      <c r="C2845">
        <f>Inputs!$B$3&gt;=120</f>
        <v/>
      </c>
      <c r="D2845">
        <f>IF(Skills!C29=1,60+Inputs!$B$25+Inputs!$B$29,IF(Skills!C29=2,90+Inputs!$B$26+Inputs!$B$29,IF(Skills!C29=3,120+Inputs!$B$27+Inputs!$B$29,MAX(0,(Inputs!$B$3-100)*3)+Inputs!$B$28+Inputs!$B$29)))</f>
        <v/>
      </c>
      <c r="E2845">
        <f>INDEX(FactorTable!$B$2:$Y$301, MATCH(ROUND(MIN(300,MAX(1,D2845)),0), FactorTable!$A$2:$A$301,0), Skills!M29+1)</f>
        <v/>
      </c>
      <c r="F2845">
        <f>IF(Skills!N29=TRUE,(Skills!L29/10)*(E2845/1000),Skills!L29/10)+Skills!O29</f>
        <v/>
      </c>
      <c r="G2845">
        <f>Calc!G29</f>
        <v/>
      </c>
      <c r="H2845">
        <f>Calc!H29</f>
        <v/>
      </c>
      <c r="I2845">
        <f>IF(Skills!AA29&lt;&gt;"",1+(Skills!AA29/10)*(U2819/1000)/100,1)</f>
        <v/>
      </c>
      <c r="J2845" t="inlineStr"/>
      <c r="K2845" t="inlineStr"/>
      <c r="L2845" t="inlineStr"/>
      <c r="M2845" t="inlineStr"/>
      <c r="N2845" t="inlineStr"/>
      <c r="O2845">
        <f>(1-Summary!$B$11)*T2845+Summary!$B$11*V2845</f>
        <v/>
      </c>
      <c r="P2845">
        <f>IF(B2860=0,0,O2845/B2860)</f>
        <v/>
      </c>
      <c r="Q2845" t="n">
        <v>0</v>
      </c>
      <c r="R2845" t="n">
        <v>0</v>
      </c>
      <c r="S2845">
        <f>IFERROR(O2845/N2845,0)</f>
        <v/>
      </c>
      <c r="T2845" t="n">
        <v>0</v>
      </c>
      <c r="V2845" t="n">
        <v>0</v>
      </c>
    </row>
    <row r="2846">
      <c r="A2846">
        <f>Skills!A30</f>
        <v/>
      </c>
      <c r="B2846">
        <f>Skills!B30</f>
        <v/>
      </c>
      <c r="C2846">
        <f>Inputs!$B$3&gt;=125</f>
        <v/>
      </c>
      <c r="D2846">
        <f>IF(Skills!C30=1,60+Inputs!$B$25+Inputs!$B$29,IF(Skills!C30=2,90+Inputs!$B$26+Inputs!$B$29,IF(Skills!C30=3,120+Inputs!$B$27+Inputs!$B$29,MAX(0,(Inputs!$B$3-100)*3)+Inputs!$B$28+Inputs!$B$29)))</f>
        <v/>
      </c>
      <c r="E2846">
        <f>INDEX(FactorTable!$B$2:$Y$301, MATCH(ROUND(MIN(300,MAX(1,D2846)),0), FactorTable!$A$2:$A$301,0), Skills!M30+1)</f>
        <v/>
      </c>
      <c r="F2846">
        <f>IF(Skills!N30=TRUE,(Skills!L30/10)*(E2846/1000),Skills!L30/10)+Skills!O30</f>
        <v/>
      </c>
      <c r="G2846">
        <f>Calc!G30</f>
        <v/>
      </c>
      <c r="H2846">
        <f>Calc!H30</f>
        <v/>
      </c>
      <c r="I2846">
        <f>IF(Skills!AA30&lt;&gt;"",1+(Skills!AA30/10)*(U2819/1000)/100,1)</f>
        <v/>
      </c>
      <c r="J2846" t="inlineStr"/>
      <c r="K2846" t="inlineStr"/>
      <c r="L2846" t="inlineStr"/>
      <c r="M2846" t="inlineStr"/>
      <c r="N2846" t="inlineStr"/>
      <c r="O2846">
        <f>(1-Summary!$B$11)*T2846+Summary!$B$11*V2846</f>
        <v/>
      </c>
      <c r="P2846">
        <f>IF(B2860=0,0,O2846/B2860)</f>
        <v/>
      </c>
      <c r="Q2846" t="n">
        <v>0</v>
      </c>
      <c r="R2846" t="n">
        <v>0</v>
      </c>
      <c r="S2846">
        <f>IFERROR(O2846/N2846,0)</f>
        <v/>
      </c>
      <c r="T2846" t="n">
        <v>0</v>
      </c>
      <c r="V2846" t="n">
        <v>0</v>
      </c>
    </row>
    <row r="2847">
      <c r="A2847">
        <f>Skills!A31</f>
        <v/>
      </c>
      <c r="B2847">
        <f>Skills!B31</f>
        <v/>
      </c>
      <c r="C2847">
        <f>Inputs!$B$3&gt;=107</f>
        <v/>
      </c>
      <c r="D2847">
        <f>IF(Skills!C31=1,60+Inputs!$B$25+Inputs!$B$29,IF(Skills!C31=2,90+Inputs!$B$26+Inputs!$B$29,IF(Skills!C31=3,120+Inputs!$B$27+Inputs!$B$29,MAX(0,(Inputs!$B$3-100)*3)+Inputs!$B$28+Inputs!$B$29)))</f>
        <v/>
      </c>
      <c r="E2847">
        <f>INDEX(FactorTable!$B$2:$Y$301, MATCH(ROUND(MIN(300,MAX(1,D2847)),0), FactorTable!$A$2:$A$301,0), Skills!M31+1)</f>
        <v/>
      </c>
      <c r="F2847">
        <f>IF(Skills!N31=TRUE,(Skills!L31/10)*(E2847/1000),Skills!L31/10)+Skills!O31</f>
        <v/>
      </c>
      <c r="G2847">
        <f>Calc!G31</f>
        <v/>
      </c>
      <c r="H2847">
        <f>Calc!H31</f>
        <v/>
      </c>
      <c r="I2847">
        <f>IF(Skills!AA31&lt;&gt;"",1+(Skills!AA31/10)*(U2819/1000)/100,1)</f>
        <v/>
      </c>
      <c r="J2847" t="inlineStr"/>
      <c r="K2847" t="inlineStr"/>
      <c r="L2847" t="inlineStr"/>
      <c r="M2847" t="inlineStr"/>
      <c r="N2847" t="inlineStr"/>
      <c r="O2847">
        <f>(1-Summary!$B$11)*T2847+Summary!$B$11*V2847</f>
        <v/>
      </c>
      <c r="P2847">
        <f>IF(B2860=0,0,O2847/B2860)</f>
        <v/>
      </c>
      <c r="Q2847" t="n">
        <v>0</v>
      </c>
      <c r="R2847" t="n">
        <v>0</v>
      </c>
      <c r="S2847">
        <f>IFERROR(O2847/N2847,0)</f>
        <v/>
      </c>
      <c r="T2847" t="n">
        <v>0</v>
      </c>
      <c r="V2847" t="n">
        <v>0</v>
      </c>
    </row>
    <row r="2849">
      <c r="A2849" t="inlineStr">
        <is>
          <t>Actions Per Second (pre-Adrenalin)</t>
        </is>
      </c>
      <c r="B2849">
        <f>1+MIN(150,150*(1-(1-(Inputs!$B$11+((C2838=TRUE)*(F2838-Calc!F22))+(ArtifactsInput!$M$15-ArtifactsInput!$M$15)*CHOOSE(ArtifactsInput!$N$15+1,8,9.6,11.2,12.8,14.4,16))/150)*(1-((C2835=TRUE)*F2835*IF(AND(Inputs!$B$39&lt;&gt;"pvp",Inputs!$B$44&gt;0),(((R2835-1)*(Skills!Y19*(1+Inputs!$B$34/100))+MIN((Skills!Y19*(1+Inputs!$B$34/100)),MAX(0,Inputs!$B$44-((R2835-1)*Skills!D19))))/Inputs!$B$44),IF(Inputs!$B$39="pvp",MIN((Skills!Y19*(1+Inputs!$B$34/100)),15)/15,(Skills!Y19*(1+Inputs!$B$34/100))/Skills!D19)))/150)))/100</f>
        <v/>
      </c>
    </row>
    <row r="2850">
      <c r="A2850" t="inlineStr">
        <is>
          <t>Alchemic Adrenaline Uptime</t>
        </is>
      </c>
      <c r="B2850">
        <f>(Skills!Y6*(1+Inputs!$B$34/100))/((Skills!Y6*(1+Inputs!$B$34/100))+(5/B2849))</f>
        <v/>
      </c>
    </row>
    <row r="2851">
      <c r="A2851" t="inlineStr">
        <is>
          <t>Attack Speed Buff Bonus %</t>
        </is>
      </c>
      <c r="B2851">
        <f>((C2835=TRUE)*F2835*IF(AND(Inputs!$B$39&lt;&gt;"pvp",Inputs!$B$44&gt;0),(((R2835-1)*(Skills!Y19*(1+Inputs!$B$34/100))+MIN((Skills!Y19*(1+Inputs!$B$34/100)),MAX(0,Inputs!$B$44-((R2835-1)*Skills!D19))))/Inputs!$B$44),IF(Inputs!$B$39="pvp",MIN((Skills!Y19*(1+Inputs!$B$34/100)),15)/15,(Skills!Y19*(1+Inputs!$B$34/100))/Skills!D19)))+((C2823=TRUE)*F2823*B2850)</f>
        <v/>
      </c>
    </row>
    <row r="2852">
      <c r="A2852" t="inlineStr">
        <is>
          <t>Actions Per Second (final)</t>
        </is>
      </c>
      <c r="B2852">
        <f>1+MIN(150,150*(1-(1-(Inputs!$B$11+((C2838=TRUE)*(F2838-Calc!F22))+(ArtifactsInput!$M$15-ArtifactsInput!$M$15)*CHOOSE(ArtifactsInput!$N$15+1,8,9.6,11.2,12.8,14.4,16))/150)*(1-B2851/150)))/100</f>
        <v/>
      </c>
    </row>
    <row r="2853">
      <c r="A2853" t="inlineStr">
        <is>
          <t>Skill + Buff Cast Rate</t>
        </is>
      </c>
      <c r="B2853">
        <f>IF(AND(Inputs!$B$39&lt;&gt;"pvp",Inputs!$B$44&gt;0),SUMPRODUCT((Skills!E2:E31=TRUE)*(C2818:C2847=TRUE)*R2818:R2847*Skills!F2:F31)/Inputs!$B$44,SUMPRODUCT((Skills!E2:E31=TRUE)*(C2818:C2847=TRUE)*Q2818:Q2847*Skills!F2:F31))</f>
        <v/>
      </c>
    </row>
    <row r="2854">
      <c r="A2854" t="inlineStr">
        <is>
          <t>Showdown Casts Per Second</t>
        </is>
      </c>
      <c r="B2854">
        <f>MAX(0,B2852-B2853)</f>
        <v/>
      </c>
    </row>
    <row r="2855">
      <c r="A2855" t="inlineStr">
        <is>
          <t>Average Buff Multiplier</t>
        </is>
      </c>
      <c r="B2855">
        <f>(1+(((C2837=TRUE)*F2837*IF(AND(Inputs!$B$39&lt;&gt;"pvp",Inputs!$B$44&gt;0),(((R2837-1)*(Skills!Y21*(1+Inputs!$B$34/100))+MIN((Skills!Y21*(1+Inputs!$B$34/100)),MAX(0,Inputs!$B$44-((R2837-1)*Skills!D21))))/Inputs!$B$44),IF(Inputs!$B$39="pvp",MIN((Skills!Y21*(1+Inputs!$B$34/100)),15)/15,(Skills!Y21*(1+Inputs!$B$34/100))/Skills!D21)))+((C2844=TRUE)*(F2844-Calc!F28))+((C2834=TRUE)*(F2834-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2831=TRUE)*F2831*IF(AND(Inputs!$B$39&lt;&gt;"pvp",Inputs!$B$44&gt;0),(((R2831-1)*(Skills!Y15*(1+Inputs!$B$34/100))+MIN((Skills!Y15*(1+Inputs!$B$34/100)),MAX(0,Inputs!$B$44-((R2831-1)*Skills!D15))))/Inputs!$B$44),IF(Inputs!$B$39="pvp",MIN((Skills!Y15*(1+Inputs!$B$34/100)),15)/15,(Skills!Y15*(1+Inputs!$B$34/100))/Skills!D15)))/100)*(1+((C2822=TRUE)*F2822*B2850)/100)</f>
        <v/>
      </c>
    </row>
    <row r="2856">
      <c r="A2856" t="inlineStr">
        <is>
          <t>Global Crit Rate Bonus %</t>
        </is>
      </c>
      <c r="B2856">
        <f>IF(Inputs!$B$3&gt;=47,8,0)+((C2836=TRUE)*F2836*IF(AND(Inputs!$B$39&lt;&gt;"pvp",Inputs!$B$44&gt;0),(((R2836-1)*(Skills!Y20*(1+Inputs!$B$34/100))+MIN((Skills!Y20*(1+Inputs!$B$34/100)),MAX(0,Inputs!$B$44-((R2836-1)*Skills!D20))))/Inputs!$B$44),IF(Inputs!$B$39="pvp",MIN((Skills!Y20*(1+Inputs!$B$34/100)),15)/15,(Skills!Y20*(1+Inputs!$B$34/100))/Skills!D20)))</f>
        <v/>
      </c>
    </row>
    <row r="2857">
      <c r="A2857" t="inlineStr">
        <is>
          <t>Global Monster Damage-Taken Bonus %</t>
        </is>
      </c>
      <c r="B2857">
        <f>IF(Inputs!$B$3&gt;=82,15,0)+((C2832=TRUE)*F2832*IF(AND(Inputs!$B$39&lt;&gt;"pvp",Inputs!$B$44&gt;0),(((R2832-1)*(Skills!Y16*(1+Inputs!$B$34/100))+MIN((Skills!Y16*(1+Inputs!$B$34/100)),MAX(0,Inputs!$B$44-((R2832-1)*Skills!D16))))/Inputs!$B$44),IF(Inputs!$B$39="pvp",MIN((Skills!Y16*(1+Inputs!$B$34/100)),15)/15,(Skills!Y16*(1+Inputs!$B$34/100))/Skills!D16)))</f>
        <v/>
      </c>
    </row>
    <row r="2858">
      <c r="A2858" t="inlineStr">
        <is>
          <t>Shadow Partner Average Multiplier</t>
        </is>
      </c>
      <c r="B2858">
        <f>1+((C2827=TRUE)*F2827*I2827*Skills!J11/100)/100</f>
        <v/>
      </c>
    </row>
    <row r="2859">
      <c r="A2859" t="inlineStr">
        <is>
          <t>Global Critical Damage Bonus % (Frailty Curse Mastery Lv.111)</t>
        </is>
      </c>
      <c r="B2859">
        <f>IF(Inputs!$B$3&gt;=111,30,0)*IF(AND(Inputs!$B$39&lt;&gt;"pvp",Inputs!$B$44&gt;0),(((R2832-1)*(Skills!Y16*(1+Inputs!$B$34/100))+MIN((Skills!Y16*(1+Inputs!$B$34/100)),MAX(0,Inputs!$B$44-((R2832-1)*Skills!D16))))/Inputs!$B$44),IF(Inputs!$B$39="pvp",MIN((Skills!Y16*(1+Inputs!$B$34/100)),15)/15,(Skills!Y16*(1+Inputs!$B$34/100))/Skills!D16))</f>
        <v/>
      </c>
    </row>
    <row r="2860">
      <c r="A2860" s="6" t="inlineStr">
        <is>
          <t>TOTAL DPS</t>
        </is>
      </c>
      <c r="B2860" s="6">
        <f>SUM(O2818:O2847)</f>
        <v/>
      </c>
    </row>
    <row r="2861">
      <c r="A2861" t="inlineStr">
        <is>
          <t>Buff-Casting Startup Delay (s, fixed-duration only)</t>
        </is>
      </c>
      <c r="B2861">
        <f>IF(AND(Inputs!$B$39&lt;&gt;"pvp",Inputs!$B$44&gt;0),SUMPRODUCT((Skills!Y2:Y31&gt;0)*(Skills!E2:E31=TRUE)*(C2818:C2847=TRUE))/B2852,0)</f>
        <v/>
      </c>
    </row>
    <row r="2862">
      <c r="A2862" t="inlineStr">
        <is>
          <t>Boss-Only Total DPS (this block's swept value)</t>
        </is>
      </c>
      <c r="B2862">
        <f>SUM(T2818:T2847)</f>
        <v/>
      </c>
    </row>
    <row r="2863">
      <c r="A2863" t="inlineStr">
        <is>
          <t>Normal-Only Total DPS (this block's swept value)</t>
        </is>
      </c>
      <c r="B2863">
        <f>SUM(V2818:V2847)</f>
        <v/>
      </c>
    </row>
    <row r="2865">
      <c r="A2865" s="6" t="inlineStr">
        <is>
          <t>Stat: Alliance Badge (Equip)</t>
        </is>
      </c>
    </row>
    <row r="2866">
      <c r="A2866" s="5" t="inlineStr">
        <is>
          <t>Key</t>
        </is>
      </c>
      <c r="B2866" s="5" t="inlineStr">
        <is>
          <t>Name</t>
        </is>
      </c>
      <c r="C2866" s="5" t="inlineStr">
        <is>
          <t>Unlocked</t>
        </is>
      </c>
      <c r="D2866" s="5" t="inlineStr">
        <is>
          <t>InputLevel</t>
        </is>
      </c>
      <c r="E2866" s="5" t="inlineStr">
        <is>
          <t>Factor</t>
        </is>
      </c>
      <c r="F2866" s="5" t="inlineStr">
        <is>
          <t>CoefficientPercent</t>
        </is>
      </c>
      <c r="G2866" s="5" t="inlineStr">
        <is>
          <t>EffectiveHits</t>
        </is>
      </c>
      <c r="H2866" s="5" t="inlineStr">
        <is>
          <t>ProcProbability</t>
        </is>
      </c>
      <c r="I2866" s="5" t="inlineStr">
        <is>
          <t>MapleHeroMultiplier</t>
        </is>
      </c>
      <c r="J2866" s="5" t="inlineStr">
        <is>
          <t>BaseDamage</t>
        </is>
      </c>
      <c r="K2866" s="5" t="inlineStr">
        <is>
          <t>BaseHitDamage</t>
        </is>
      </c>
      <c r="L2866" s="5" t="inlineStr">
        <is>
          <t>NonCritAvg</t>
        </is>
      </c>
      <c r="M2866" s="5" t="inlineStr">
        <is>
          <t>CritAvg</t>
        </is>
      </c>
      <c r="N2866" s="5" t="inlineStr">
        <is>
          <t>ExpectedDamage(perHit)</t>
        </is>
      </c>
      <c r="O2866" s="5" t="inlineStr">
        <is>
          <t>DPS</t>
        </is>
      </c>
      <c r="P2866" s="5" t="inlineStr">
        <is>
          <t>% of Total</t>
        </is>
      </c>
      <c r="Q2866" s="5" t="inlineStr">
        <is>
          <t>InvCooldown</t>
        </is>
      </c>
      <c r="R2866" s="5" t="inlineStr">
        <is>
          <t>CastsInFight</t>
        </is>
      </c>
      <c r="S2866" s="5" t="inlineStr">
        <is>
          <t>HitRate(perSec)</t>
        </is>
      </c>
      <c r="U2866" t="inlineStr">
        <is>
          <t>helpers</t>
        </is>
      </c>
    </row>
    <row r="2867">
      <c r="A2867">
        <f>Skills!A2</f>
        <v/>
      </c>
      <c r="B2867">
        <f>Skills!B2</f>
        <v/>
      </c>
      <c r="C2867">
        <f>Inputs!$B$3&gt;=100</f>
        <v/>
      </c>
      <c r="D2867" t="inlineStr"/>
      <c r="E2867" t="inlineStr"/>
      <c r="F2867">
        <f>U2871+Skills!O2</f>
        <v/>
      </c>
      <c r="G2867">
        <f>Calc!G2</f>
        <v/>
      </c>
      <c r="H2867">
        <f>Calc!H2</f>
        <v/>
      </c>
      <c r="I2867">
        <f>IF(Skills!AA2&lt;&gt;"",1+(Skills!AA2/10)*(U2868/1000)/100,1)</f>
        <v/>
      </c>
      <c r="J2867">
        <f>((Inputs!$B$6*(1+Inputs!$B$7/100))+(((Inputs!$B$12*(1+Inputs!$B$13/100))-(Inputs!$B$12*(1+Inputs!$B$13/100)))+0.25*(Inputs!$B$14-Inputs!$B$14))*(1+Inputs!$B$7/100))*(F2867/100)</f>
        <v/>
      </c>
      <c r="K2867">
        <f>J2867*(1+((Inputs!$B$12*(1+Inputs!$B$13/100))*0.01+Inputs!$B$14*0.0025)/100)*(1+Inputs!$B$15/100)*(1+Inputs!$B$16/100)*(5000/(6000+Inputs!$B$43*(1-(100*(1-(1-(Inputs!$B$19+0)/100)*(1-CHOOSE(ArtifactsInput!$N$40+1,5,6,7,8,9,10)/100)^(ArtifactsInput!$M$40-ArtifactsInput!$M$40)))/100)))*(1+(Inputs!$B$24+((C2895=TRUE)*(F2895-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2888=TRUE)*(F2888-Calc!F23))+(((IF(AND(ArtifactsInput!$M$42,((Inputs!$B$9+((C2890=TRUE)*(F2890-Calc!F25))+B2905+(ArtifactsInput!$M$24-ArtifactsInput!$M$24)*CHOOSE(ArtifactsInput!$N$24+1,10,12,14,16,18,20)+IF(ArtifactsInput!$M$10,CHOOSE(ArtifactsInput!$N$10+1,15,18,21,24,27,30)*(IF(Inputs!$B$39="pvp",MIN(15,15)/15,IF(AND(Inputs!$B$39&lt;&gt;"pvp",Inputs!$B$44&gt;0),MIN(15,Inputs!$B$44)/(Inputs!$B$44),0))),0)))&gt;=100),MIN(100,((Inputs!$B$9+((C2890=TRUE)*(F2890-Calc!F25))+B2905+(ArtifactsInput!$M$24-ArtifactsInput!$M$24)*CHOOSE(ArtifactsInput!$N$24+1,10,12,14,16,18,20)+IF(ArtifactsInput!$M$10,CHOOSE(ArtifactsInput!$N$10+1,15,18,21,24,27,30)*(IF(Inputs!$B$39="pvp",MIN(15,15)/15,IF(AND(Inputs!$B$39&lt;&gt;"pvp",Inputs!$B$44&gt;0),MIN(15,Inputs!$B$44)/(Inputs!$B$44),0))),0)))-100),0))*CHOOSE(ArtifactsInput!$N$42+1,0.6,0.72,0.84,0.96,1.08,1.2))),Inputs!$B$18+((C2894=TRUE)*(F2894-Calc!F29))+(IF(AND(ArtifactsInput!$M$42,((Inputs!$B$9+((C2890=TRUE)*(F2890-Calc!F25))+B2905+(ArtifactsInput!$M$24-ArtifactsInput!$M$24)*CHOOSE(ArtifactsInput!$N$24+1,10,12,14,16,18,20)+IF(ArtifactsInput!$M$10,CHOOSE(ArtifactsInput!$N$10+1,15,18,21,24,27,30)*(IF(Inputs!$B$39="pvp",MIN(15,15)/15,IF(AND(Inputs!$B$39&lt;&gt;"pvp",Inputs!$B$44&gt;0),MIN(15,Inputs!$B$44)/(Inputs!$B$44),0))),0)))&gt;=100),CHOOSE(ArtifactsInput!$N$42+1,40,48,56,64,72,80),0))))/100)*(((1+(((C2886=TRUE)*F2886*IF(AND(Inputs!$B$39&lt;&gt;"pvp",Inputs!$B$44&gt;0),(((R2886-1)*(Skills!Y21*(1+Inputs!$B$34/100))+MIN((Skills!Y21*(1+Inputs!$B$34/100)),MAX(0,Inputs!$B$44-((R2886-1)*Skills!D21))))/Inputs!$B$44),IF(Inputs!$B$39="pvp",MIN((Skills!Y21*(1+Inputs!$B$34/100)),15)/15,(Skills!Y21*(1+Inputs!$B$34/100))/Skills!D21)))+((C2893=TRUE)*(F2893-Calc!F28))+((C2883=TRUE)*(F2883-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2880=TRUE)*F2880*IF(AND(Inputs!$B$39&lt;&gt;"pvp",Inputs!$B$44&gt;0),(((R2880-1)*(Skills!Y15*(1+Inputs!$B$34/100))+MIN((Skills!Y15*(1+Inputs!$B$34/100)),MAX(0,Inputs!$B$44-((R2880-1)*Skills!D15))))/Inputs!$B$44),IF(Inputs!$B$39="pvp",MIN((Skills!Y15*(1+Inputs!$B$34/100)),15)/15,(Skills!Y15*(1+Inputs!$B$34/100))/Skills!D15)))/100)*(1+((C2871=TRUE)*F2871*B2899)/100))*B2907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2867)</f>
        <v/>
      </c>
      <c r="L2867">
        <f>K2867*(MIN(Inputs!$B$22+((C2889=TRUE)*(F2889-Calc!F24)),(Inputs!$B$23+0+(IF(ArtifactsInput!$M$15,CHOOSE(ArtifactsInput!$N$15+1,25,30,35,40,45,50)/100*(Inputs!$B$11-Inputs!$B$11),0))))/100+(Inputs!$B$23+0+(IF(ArtifactsInput!$M$15,CHOOSE(ArtifactsInput!$N$15+1,25,30,35,40,45,50)/100*(Inputs!$B$11-Inputs!$B$11),0)))/100)/2</f>
        <v/>
      </c>
      <c r="M2867">
        <f>L2867*(1+(Inputs!$B$10+((C2891=TRUE)*(F2891-Calc!F26))+B2908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67">
        <f>L2867*(1-MIN((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2867*(MIN((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67">
        <f>(1-Summary!$B$11)*T2867+Summary!$B$11*V2867</f>
        <v/>
      </c>
      <c r="P2867">
        <f>IF(B2909=0,0,O2867/B2909)</f>
        <v/>
      </c>
      <c r="Q2867" t="n">
        <v>0</v>
      </c>
      <c r="R2867" t="n">
        <v>0</v>
      </c>
      <c r="S2867">
        <f>IFERROR(O2867/N2867,0)</f>
        <v/>
      </c>
      <c r="T2867">
        <f>IF(C2867,(Skills!G2*N2867*B2903)*IF(Inputs!$B$39="pvp",1,1+(Inputs!$B$20+((C2892=TRUE)*(F2892-Calc!F27))+Skills!P2+B2906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Hunt"),CHOOSE(ArtifactsInput!$N$35+1,15,18,21,24,27,30)*(1-EXP(-(0.2*B2901)*5)),0)+IF(AND(ArtifactsInput!$M$22,Inputs!$B$4&lt;&gt;"Chapter Hunt"),CHOOSE(ArtifactsInput!$N$22+1,10,12,14,16,18,20)*((0*(((0.15*B2901*5))^0/1)+1*(((0.15*B2901*5))^1/1)+2*(((0.15*B2901*5))^2/2)+3*(((0.15*B2901*5))^3/6)+4*(((0.15*B2901*5))^4/24)+5*(((0.15*B2901*5))^5/120))/((((0.15*B2901*5))^0/1)+(((0.15*B2901*5))^1/1)+(((0.15*B2901*5))^2/2)+(((0.15*B2901*5))^3/6)+(((0.15*B2901*5))^4/24)+(((0.15*B2901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2867*(1-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2867*(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2867*(1-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2867*(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67">
        <f>MAX(0,(Inputs!$B$3-100)*3)+Inputs!$B$28+Inputs!$B$29</f>
        <v/>
      </c>
      <c r="V2867">
        <f>IF(C2867,(Skills!G2*N2867*B2903)*IF(Inputs!$B$39="pvp",1,(1+(Inputs!$B$21+Skills!Q2+B2906+(IF(ArtifactsInput!$M$33,CHOOSE(ArtifactsInput!$N$33+1,30,36,42,48,54,60),0))+(IF(AND(ArtifactsInput!$M$35,Inputs!$B$4&lt;&gt;"Chapter Hunt"),CHOOSE(ArtifactsInput!$N$35+1,15,18,21,24,27,30)*(1-EXP(-(0.2*B2901)*5)),0)+IF(AND(ArtifactsInput!$M$22,Inputs!$B$4&lt;&gt;"Chapter Hunt"),CHOOSE(ArtifactsInput!$N$22+1,10,12,14,16,18,20)*((0*(((0.15*B2901*5))^0/1)+1*(((0.15*B2901*5))^1/1)+2*(((0.15*B2901*5))^2/2)+3*(((0.15*B2901*5))^3/6)+4*(((0.15*B2901*5))^4/24)+5*(((0.15*B2901*5))^5/120))/((((0.15*B2901*5))^0/1)+(((0.15*B2901*5))^1/1)+(((0.15*B2901*5))^2/2)+(((0.15*B2901*5))^3/6)+(((0.15*B2901*5))^4/24)+(((0.15*B2901*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68">
      <c r="A2868">
        <f>Skills!A3</f>
        <v/>
      </c>
      <c r="B2868">
        <f>Skills!B3</f>
        <v/>
      </c>
      <c r="C2868">
        <f>Inputs!$B$3&gt;=35</f>
        <v/>
      </c>
      <c r="D2868">
        <f>IF(Skills!C3=1,60+Inputs!$B$25+Inputs!$B$29,IF(Skills!C3=2,90+Inputs!$B$26+Inputs!$B$29,IF(Skills!C3=3,120+Inputs!$B$27+Inputs!$B$29,MAX(0,(Inputs!$B$3-100)*3)+Inputs!$B$28+Inputs!$B$29)))</f>
        <v/>
      </c>
      <c r="E2868">
        <f>INDEX(FactorTable!$B$2:$Y$301, MATCH(ROUND(MIN(300,MAX(1,D2868)),0), FactorTable!$A$2:$A$301,0), Skills!M3+1)</f>
        <v/>
      </c>
      <c r="F2868">
        <f>IF(Skills!N3=TRUE,(Skills!L3/10)*(E2868/1000),Skills!L3/10)+Skills!O3</f>
        <v/>
      </c>
      <c r="G2868">
        <f>Calc!G3</f>
        <v/>
      </c>
      <c r="H2868">
        <f>Calc!H3</f>
        <v/>
      </c>
      <c r="I2868">
        <f>IF(Skills!AA3&lt;&gt;"",1+(Skills!AA3/10)*(U2868/1000)/100,1)</f>
        <v/>
      </c>
      <c r="J2868">
        <f>((Inputs!$B$6*(1+Inputs!$B$7/100))+(((Inputs!$B$12*(1+Inputs!$B$13/100))-(Inputs!$B$12*(1+Inputs!$B$13/100)))+0.25*(Inputs!$B$14-Inputs!$B$14))*(1+Inputs!$B$7/100))*(F2868/100)</f>
        <v/>
      </c>
      <c r="K2868">
        <f>J2868*(1+((Inputs!$B$12*(1+Inputs!$B$13/100))*0.01+Inputs!$B$14*0.0025)/100)*(1+Inputs!$B$15/100)*(1+Inputs!$B$16/100)*(5000/(6000+Inputs!$B$43*(1-(100*(1-(1-(Inputs!$B$19+0)/100)*(1-CHOOSE(ArtifactsInput!$N$40+1,5,6,7,8,9,10)/100)^(ArtifactsInput!$M$40-ArtifactsInput!$M$40)))/100)))*(1+(Inputs!$B$24+((C2895=TRUE)*(F2895-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2888=TRUE)*(F2888-Calc!F23))+(((IF(AND(ArtifactsInput!$M$42,((Inputs!$B$9+((C2890=TRUE)*(F2890-Calc!F25))+B2905+(ArtifactsInput!$M$24-ArtifactsInput!$M$24)*CHOOSE(ArtifactsInput!$N$24+1,10,12,14,16,18,20)+IF(ArtifactsInput!$M$10,CHOOSE(ArtifactsInput!$N$10+1,15,18,21,24,27,30)*(IF(Inputs!$B$39="pvp",MIN(15,15)/15,IF(AND(Inputs!$B$39&lt;&gt;"pvp",Inputs!$B$44&gt;0),MIN(15,Inputs!$B$44)/(Inputs!$B$44),0))),0)))&gt;=100),MIN(100,((Inputs!$B$9+((C2890=TRUE)*(F2890-Calc!F25))+B2905+(ArtifactsInput!$M$24-ArtifactsInput!$M$24)*CHOOSE(ArtifactsInput!$N$24+1,10,12,14,16,18,20)+IF(ArtifactsInput!$M$10,CHOOSE(ArtifactsInput!$N$10+1,15,18,21,24,27,30)*(IF(Inputs!$B$39="pvp",MIN(15,15)/15,IF(AND(Inputs!$B$39&lt;&gt;"pvp",Inputs!$B$44&gt;0),MIN(15,Inputs!$B$44)/(Inputs!$B$44),0))),0)))-100),0))*CHOOSE(ArtifactsInput!$N$42+1,0.6,0.72,0.84,0.96,1.08,1.2))),Inputs!$B$18+((C2894=TRUE)*(F2894-Calc!F29))+(IF(AND(ArtifactsInput!$M$42,((Inputs!$B$9+((C2890=TRUE)*(F2890-Calc!F25))+B2905+(ArtifactsInput!$M$24-ArtifactsInput!$M$24)*CHOOSE(ArtifactsInput!$N$24+1,10,12,14,16,18,20)+IF(ArtifactsInput!$M$10,CHOOSE(ArtifactsInput!$N$10+1,15,18,21,24,27,30)*(IF(Inputs!$B$39="pvp",MIN(15,15)/15,IF(AND(Inputs!$B$39&lt;&gt;"pvp",Inputs!$B$44&gt;0),MIN(15,Inputs!$B$44)/(Inputs!$B$44),0))),0)))&gt;=100),CHOOSE(ArtifactsInput!$N$42+1,40,48,56,64,72,80),0))))/100)*(((1+(((C2886=TRUE)*F2886*IF(AND(Inputs!$B$39&lt;&gt;"pvp",Inputs!$B$44&gt;0),(((R2886-1)*(Skills!Y21*(1+Inputs!$B$34/100))+MIN((Skills!Y21*(1+Inputs!$B$34/100)),MAX(0,Inputs!$B$44-((R2886-1)*Skills!D21))))/Inputs!$B$44),IF(Inputs!$B$39="pvp",MIN((Skills!Y21*(1+Inputs!$B$34/100)),15)/15,(Skills!Y21*(1+Inputs!$B$34/100))/Skills!D21)))+((C2893=TRUE)*(F2893-Calc!F28))+((C2883=TRUE)*(F2883-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2880=TRUE)*F2880*IF(AND(Inputs!$B$39&lt;&gt;"pvp",Inputs!$B$44&gt;0),(((R2880-1)*(Skills!Y15*(1+Inputs!$B$34/100))+MIN((Skills!Y15*(1+Inputs!$B$34/100)),MAX(0,Inputs!$B$44-((R2880-1)*Skills!D15))))/Inputs!$B$44),IF(Inputs!$B$39="pvp",MIN((Skills!Y15*(1+Inputs!$B$34/100)),15)/15,(Skills!Y15*(1+Inputs!$B$34/100))/Skills!D15)))/100)*(1+((C2871=TRUE)*F2871*B2899)/100))*B2907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2868)</f>
        <v/>
      </c>
      <c r="L2868">
        <f>K2868*(MIN(Inputs!$B$22+((C2889=TRUE)*(F2889-Calc!F24)),(Inputs!$B$23+0+(IF(ArtifactsInput!$M$15,CHOOSE(ArtifactsInput!$N$15+1,25,30,35,40,45,50)/100*(Inputs!$B$11-Inputs!$B$11),0))))/100+(Inputs!$B$23+0+(IF(ArtifactsInput!$M$15,CHOOSE(ArtifactsInput!$N$15+1,25,30,35,40,45,50)/100*(Inputs!$B$11-Inputs!$B$11),0)))/100)/2</f>
        <v/>
      </c>
      <c r="M2868">
        <f>L2868*(1+(Inputs!$B$10+((C2891=TRUE)*(F2891-Calc!F26))+B2908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68">
        <f>L2868*(1-MIN((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2868*(MIN((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68">
        <f>(1-Summary!$B$11)*T2868+Summary!$B$11*V2868</f>
        <v/>
      </c>
      <c r="P2868">
        <f>IF(B2909=0,0,O2868/B2909)</f>
        <v/>
      </c>
      <c r="Q2868">
        <f>IFERROR(1/IF(Inputs!$B$39="pvp",15,MAX(0.1,Skills!D3-IF(Skills!E3=TRUE,Inputs!$B$32,0))),0)</f>
        <v/>
      </c>
      <c r="R2868">
        <f>IF(AND(Inputs!$B$39&lt;&gt;"pvp",Inputs!$B$44&gt;0),IF(MAX(0,Inputs!$B$44-B2910)&lt;=0,0,(INT(MAX(0,Inputs!$B$44-B2910)/IF(Inputs!$B$39="pvp",15,MAX(0.1,Skills!D3-IF(Skills!E3=TRUE,Inputs!$B$32,0))))+1)),0)</f>
        <v/>
      </c>
      <c r="S2868">
        <f>IFERROR(O2868/N2868,0)</f>
        <v/>
      </c>
      <c r="T2868">
        <f>IF(C2868,(H2868*N2868*IF(AND(Inputs!$B$39&lt;&gt;"pvp",Inputs!$B$44&gt;0),((Skills!G3*((R2868-1)*IF(Skills!H3&gt;0,Skills!I3/Skills!H3,1)+IF(Skills!H3&gt;0,MIN(Skills!I3,MAX(0,MAX(0,Inputs!$B$44-B2910)-((R2868-1)*IF(Inputs!$B$39="pvp",15,MAX(0.1,Skills!D3-IF(Skills!E3=TRUE,Inputs!$B$32,0))))))/Skills!H3,1)))/Inputs!$B$44),G2868*Q2868))*IF(Inputs!$B$39="pvp",1,1+(Inputs!$B$20+((C2892=TRUE)*(F2892-Calc!F27))+Skills!P3+B2906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Hunt"),CHOOSE(ArtifactsInput!$N$35+1,15,18,21,24,27,30)*(1-EXP(-(0.2*B2901)*5)),0)+IF(AND(ArtifactsInput!$M$22,Inputs!$B$4&lt;&gt;"Chapter Hunt"),CHOOSE(ArtifactsInput!$N$22+1,10,12,14,16,18,20)*((0*(((0.15*B2901*5))^0/1)+1*(((0.15*B2901*5))^1/1)+2*(((0.15*B2901*5))^2/2)+3*(((0.15*B2901*5))^3/6)+4*(((0.15*B2901*5))^4/24)+5*(((0.15*B2901*5))^5/120))/((((0.15*B2901*5))^0/1)+(((0.15*B2901*5))^1/1)+(((0.15*B2901*5))^2/2)+(((0.15*B2901*5))^3/6)+(((0.15*B2901*5))^4/24)+(((0.15*B2901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2868*(1-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2868*(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2868*(1-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2868*(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68">
        <f>INDEX(FactorTable!$B$2:$Y$301, MATCH(ROUND(MIN(300,MAX(1,U2867)),0), FactorTable!$A$2:$A$301,0), 24)</f>
        <v/>
      </c>
      <c r="V2868">
        <f>IF(C2868,(H2868*N2868*IF(AND(Inputs!$B$39&lt;&gt;"pvp",Inputs!$B$44&gt;0),((Skills!G3*((R2868-1)*IF(Skills!H3&gt;0,Skills!I3/Skills!H3,1)+IF(Skills!H3&gt;0,MIN(Skills!I3,MAX(0,MAX(0,Inputs!$B$44-B2910)-((R2868-1)*IF(Inputs!$B$39="pvp",15,MAX(0.1,Skills!D3-IF(Skills!E3=TRUE,Inputs!$B$32,0))))))/Skills!H3,1)))/Inputs!$B$44),G2868*Q2868))*IF(Inputs!$B$39="pvp",1,(1+(Inputs!$B$21+Skills!Q3+B2906+(IF(ArtifactsInput!$M$33,CHOOSE(ArtifactsInput!$N$33+1,30,36,42,48,54,60),0))+(IF(AND(ArtifactsInput!$M$35,Inputs!$B$4&lt;&gt;"Chapter Hunt"),CHOOSE(ArtifactsInput!$N$35+1,15,18,21,24,27,30)*(1-EXP(-(0.2*B2901)*5)),0)+IF(AND(ArtifactsInput!$M$22,Inputs!$B$4&lt;&gt;"Chapter Hunt"),CHOOSE(ArtifactsInput!$N$22+1,10,12,14,16,18,20)*((0*(((0.15*B2901*5))^0/1)+1*(((0.15*B2901*5))^1/1)+2*(((0.15*B2901*5))^2/2)+3*(((0.15*B2901*5))^3/6)+4*(((0.15*B2901*5))^4/24)+5*(((0.15*B2901*5))^5/120))/((((0.15*B2901*5))^0/1)+(((0.15*B2901*5))^1/1)+(((0.15*B2901*5))^2/2)+(((0.15*B2901*5))^3/6)+(((0.15*B2901*5))^4/24)+(((0.15*B2901*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69">
      <c r="A2869">
        <f>Skills!A4</f>
        <v/>
      </c>
      <c r="B2869">
        <f>Skills!B4</f>
        <v/>
      </c>
      <c r="C2869">
        <f>Inputs!$B$3&gt;=40</f>
        <v/>
      </c>
      <c r="D2869">
        <f>IF(Skills!C4=1,60+Inputs!$B$25+Inputs!$B$29,IF(Skills!C4=2,90+Inputs!$B$26+Inputs!$B$29,IF(Skills!C4=3,120+Inputs!$B$27+Inputs!$B$29,MAX(0,(Inputs!$B$3-100)*3)+Inputs!$B$28+Inputs!$B$29)))</f>
        <v/>
      </c>
      <c r="E2869">
        <f>INDEX(FactorTable!$B$2:$Y$301, MATCH(ROUND(MIN(300,MAX(1,D2869)),0), FactorTable!$A$2:$A$301,0), Skills!M4+1)</f>
        <v/>
      </c>
      <c r="F2869">
        <f>IF(Skills!N4=TRUE,(Skills!L4/10)*(E2869/1000),Skills!L4/10)+Skills!O4</f>
        <v/>
      </c>
      <c r="G2869">
        <f>Calc!G4</f>
        <v/>
      </c>
      <c r="H2869">
        <f>Calc!H4</f>
        <v/>
      </c>
      <c r="I2869">
        <f>IF(Skills!AA4&lt;&gt;"",1+(Skills!AA4/10)*(U2868/1000)/100,1)</f>
        <v/>
      </c>
      <c r="J2869">
        <f>((Inputs!$B$6*(1+Inputs!$B$7/100))+(((Inputs!$B$12*(1+Inputs!$B$13/100))-(Inputs!$B$12*(1+Inputs!$B$13/100)))+0.25*(Inputs!$B$14-Inputs!$B$14))*(1+Inputs!$B$7/100))*(F2869/100)</f>
        <v/>
      </c>
      <c r="K2869">
        <f>J2869*(1+((Inputs!$B$12*(1+Inputs!$B$13/100))*0.01+Inputs!$B$14*0.0025)/100)*(1+Inputs!$B$15/100)*(1+Inputs!$B$16/100)*(5000/(6000+Inputs!$B$43*(1-(100*(1-(1-(Inputs!$B$19+0)/100)*(1-CHOOSE(ArtifactsInput!$N$40+1,5,6,7,8,9,10)/100)^(ArtifactsInput!$M$40-ArtifactsInput!$M$40)))/100)))*(1+(Inputs!$B$24+((C2895=TRUE)*(F2895-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2888=TRUE)*(F2888-Calc!F23))+(((IF(AND(ArtifactsInput!$M$42,((Inputs!$B$9+((C2890=TRUE)*(F2890-Calc!F25))+B2905+(ArtifactsInput!$M$24-ArtifactsInput!$M$24)*CHOOSE(ArtifactsInput!$N$24+1,10,12,14,16,18,20)+IF(ArtifactsInput!$M$10,CHOOSE(ArtifactsInput!$N$10+1,15,18,21,24,27,30)*(IF(Inputs!$B$39="pvp",MIN(15,15)/15,IF(AND(Inputs!$B$39&lt;&gt;"pvp",Inputs!$B$44&gt;0),MIN(15,Inputs!$B$44)/(Inputs!$B$44),0))),0)))&gt;=100),MIN(100,((Inputs!$B$9+((C2890=TRUE)*(F2890-Calc!F25))+B2905+(ArtifactsInput!$M$24-ArtifactsInput!$M$24)*CHOOSE(ArtifactsInput!$N$24+1,10,12,14,16,18,20)+IF(ArtifactsInput!$M$10,CHOOSE(ArtifactsInput!$N$10+1,15,18,21,24,27,30)*(IF(Inputs!$B$39="pvp",MIN(15,15)/15,IF(AND(Inputs!$B$39&lt;&gt;"pvp",Inputs!$B$44&gt;0),MIN(15,Inputs!$B$44)/(Inputs!$B$44),0))),0)))-100),0))*CHOOSE(ArtifactsInput!$N$42+1,0.6,0.72,0.84,0.96,1.08,1.2))),Inputs!$B$18+((C2894=TRUE)*(F2894-Calc!F29))+(IF(AND(ArtifactsInput!$M$42,((Inputs!$B$9+((C2890=TRUE)*(F2890-Calc!F25))+B2905+(ArtifactsInput!$M$24-ArtifactsInput!$M$24)*CHOOSE(ArtifactsInput!$N$24+1,10,12,14,16,18,20)+IF(ArtifactsInput!$M$10,CHOOSE(ArtifactsInput!$N$10+1,15,18,21,24,27,30)*(IF(Inputs!$B$39="pvp",MIN(15,15)/15,IF(AND(Inputs!$B$39&lt;&gt;"pvp",Inputs!$B$44&gt;0),MIN(15,Inputs!$B$44)/(Inputs!$B$44),0))),0)))&gt;=100),CHOOSE(ArtifactsInput!$N$42+1,40,48,56,64,72,80),0))))/100)*(((1+(((C2886=TRUE)*F2886*IF(AND(Inputs!$B$39&lt;&gt;"pvp",Inputs!$B$44&gt;0),(((R2886-1)*(Skills!Y21*(1+Inputs!$B$34/100))+MIN((Skills!Y21*(1+Inputs!$B$34/100)),MAX(0,Inputs!$B$44-((R2886-1)*Skills!D21))))/Inputs!$B$44),IF(Inputs!$B$39="pvp",MIN((Skills!Y21*(1+Inputs!$B$34/100)),15)/15,(Skills!Y21*(1+Inputs!$B$34/100))/Skills!D21)))+((C2893=TRUE)*(F2893-Calc!F28))+((C2883=TRUE)*(F2883-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2880=TRUE)*F2880*IF(AND(Inputs!$B$39&lt;&gt;"pvp",Inputs!$B$44&gt;0),(((R2880-1)*(Skills!Y15*(1+Inputs!$B$34/100))+MIN((Skills!Y15*(1+Inputs!$B$34/100)),MAX(0,Inputs!$B$44-((R2880-1)*Skills!D15))))/Inputs!$B$44),IF(Inputs!$B$39="pvp",MIN((Skills!Y15*(1+Inputs!$B$34/100)),15)/15,(Skills!Y15*(1+Inputs!$B$34/100))/Skills!D15)))/100)*(1+((C2871=TRUE)*F2871*B2899)/100))*B2907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2869)</f>
        <v/>
      </c>
      <c r="L2869">
        <f>K2869*(MIN(Inputs!$B$22+((C2889=TRUE)*(F2889-Calc!F24)),(Inputs!$B$23+0+(IF(ArtifactsInput!$M$15,CHOOSE(ArtifactsInput!$N$15+1,25,30,35,40,45,50)/100*(Inputs!$B$11-Inputs!$B$11),0))))/100+(Inputs!$B$23+0+(IF(ArtifactsInput!$M$15,CHOOSE(ArtifactsInput!$N$15+1,25,30,35,40,45,50)/100*(Inputs!$B$11-Inputs!$B$11),0)))/100)/2</f>
        <v/>
      </c>
      <c r="M2869">
        <f>L2869*(1+(Inputs!$B$10+((C2891=TRUE)*(F2891-Calc!F26))+B2908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69">
        <f>L2869*(1-MIN((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2869*(MIN((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69">
        <f>(1-Summary!$B$11)*T2869+Summary!$B$11*V2869</f>
        <v/>
      </c>
      <c r="P2869">
        <f>IF(B2909=0,0,O2869/B2909)</f>
        <v/>
      </c>
      <c r="Q2869">
        <f>IFERROR(1/IF(Inputs!$B$39="pvp",15,MAX(0.1,Skills!D4-IF(Skills!E4=TRUE,Inputs!$B$32,0))),0)</f>
        <v/>
      </c>
      <c r="R2869">
        <f>IF(AND(Inputs!$B$39&lt;&gt;"pvp",Inputs!$B$44&gt;0),IF(MAX(0,Inputs!$B$44-B2910)&lt;=0,0,(INT(MAX(0,Inputs!$B$44-B2910)/IF(Inputs!$B$39="pvp",15,MAX(0.1,Skills!D4-IF(Skills!E4=TRUE,Inputs!$B$32,0))))+1)),0)</f>
        <v/>
      </c>
      <c r="S2869">
        <f>IFERROR(O2869/N2869,0)</f>
        <v/>
      </c>
      <c r="T2869">
        <f>IF(C2869,(H2869*N2869*IF(AND(Inputs!$B$39&lt;&gt;"pvp",Inputs!$B$44&gt;0),((Skills!G4*((R2869-1)*IF(Skills!H4&gt;0,Skills!I4/Skills!H4,1)+IF(Skills!H4&gt;0,MIN(Skills!I4,MAX(0,MAX(0,Inputs!$B$44-B2910)-((R2869-1)*IF(Inputs!$B$39="pvp",15,MAX(0.1,Skills!D4-IF(Skills!E4=TRUE,Inputs!$B$32,0))))))/Skills!H4,1)))/Inputs!$B$44),G2869*Q2869))*IF(Inputs!$B$39="pvp",1,1+(Inputs!$B$20+((C2892=TRUE)*(F2892-Calc!F27))+Skills!P4+B2906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Hunt"),CHOOSE(ArtifactsInput!$N$35+1,15,18,21,24,27,30)*(1-EXP(-(0.2*B2901)*5)),0)+IF(AND(ArtifactsInput!$M$22,Inputs!$B$4&lt;&gt;"Chapter Hunt"),CHOOSE(ArtifactsInput!$N$22+1,10,12,14,16,18,20)*((0*(((0.15*B2901*5))^0/1)+1*(((0.15*B2901*5))^1/1)+2*(((0.15*B2901*5))^2/2)+3*(((0.15*B2901*5))^3/6)+4*(((0.15*B2901*5))^4/24)+5*(((0.15*B2901*5))^5/120))/((((0.15*B2901*5))^0/1)+(((0.15*B2901*5))^1/1)+(((0.15*B2901*5))^2/2)+(((0.15*B2901*5))^3/6)+(((0.15*B2901*5))^4/24)+(((0.15*B2901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2869*(1-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2869*(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2869*(1-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2869*(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69">
        <f>MAX(0,(Inputs!$B$3-100)*3)+Inputs!$B$28+Inputs!$B$29</f>
        <v/>
      </c>
      <c r="V2869">
        <f>IF(C2869,(H2869*N2869*IF(AND(Inputs!$B$39&lt;&gt;"pvp",Inputs!$B$44&gt;0),((Skills!G4*((R2869-1)*IF(Skills!H4&gt;0,Skills!I4/Skills!H4,1)+IF(Skills!H4&gt;0,MIN(Skills!I4,MAX(0,MAX(0,Inputs!$B$44-B2910)-((R2869-1)*IF(Inputs!$B$39="pvp",15,MAX(0.1,Skills!D4-IF(Skills!E4=TRUE,Inputs!$B$32,0))))))/Skills!H4,1)))/Inputs!$B$44),G2869*Q2869))*IF(Inputs!$B$39="pvp",1,(1+(Inputs!$B$21+Skills!Q4+B2906+(IF(ArtifactsInput!$M$33,CHOOSE(ArtifactsInput!$N$33+1,30,36,42,48,54,60),0))+(IF(AND(ArtifactsInput!$M$35,Inputs!$B$4&lt;&gt;"Chapter Hunt"),CHOOSE(ArtifactsInput!$N$35+1,15,18,21,24,27,30)*(1-EXP(-(0.2*B2901)*5)),0)+IF(AND(ArtifactsInput!$M$22,Inputs!$B$4&lt;&gt;"Chapter Hunt"),CHOOSE(ArtifactsInput!$N$22+1,10,12,14,16,18,20)*((0*(((0.15*B2901*5))^0/1)+1*(((0.15*B2901*5))^1/1)+2*(((0.15*B2901*5))^2/2)+3*(((0.15*B2901*5))^3/6)+4*(((0.15*B2901*5))^4/24)+5*(((0.15*B2901*5))^5/120))/((((0.15*B2901*5))^0/1)+(((0.15*B2901*5))^1/1)+(((0.15*B2901*5))^2/2)+(((0.15*B2901*5))^3/6)+(((0.15*B2901*5))^4/24)+(((0.15*B2901*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70">
      <c r="A2870">
        <f>Skills!A5</f>
        <v/>
      </c>
      <c r="B2870">
        <f>Skills!B5</f>
        <v/>
      </c>
      <c r="C2870">
        <f>Inputs!$B$3&gt;=63</f>
        <v/>
      </c>
      <c r="D2870">
        <f>IF(Skills!C5=1,60+Inputs!$B$25+Inputs!$B$29,IF(Skills!C5=2,90+Inputs!$B$26+Inputs!$B$29,IF(Skills!C5=3,120+Inputs!$B$27+Inputs!$B$29,MAX(0,(Inputs!$B$3-100)*3)+Inputs!$B$28+Inputs!$B$29)))</f>
        <v/>
      </c>
      <c r="E2870">
        <f>INDEX(FactorTable!$B$2:$Y$301, MATCH(ROUND(MIN(300,MAX(1,D2870)),0), FactorTable!$A$2:$A$301,0), Skills!M5+1)</f>
        <v/>
      </c>
      <c r="F2870">
        <f>IF(Skills!N5=TRUE,(Skills!L5/10)*(E2870/1000),Skills!L5/10)+Skills!O5</f>
        <v/>
      </c>
      <c r="G2870">
        <f>Calc!G5</f>
        <v/>
      </c>
      <c r="H2870">
        <f>Calc!H5</f>
        <v/>
      </c>
      <c r="I2870">
        <f>IF(Skills!AA5&lt;&gt;"",1+(Skills!AA5/10)*(U2868/1000)/100,1)</f>
        <v/>
      </c>
      <c r="J2870">
        <f>((Inputs!$B$6*(1+Inputs!$B$7/100))+(((Inputs!$B$12*(1+Inputs!$B$13/100))-(Inputs!$B$12*(1+Inputs!$B$13/100)))+0.25*(Inputs!$B$14-Inputs!$B$14))*(1+Inputs!$B$7/100))*(F2870/100)</f>
        <v/>
      </c>
      <c r="K2870">
        <f>J2870*(1+((Inputs!$B$12*(1+Inputs!$B$13/100))*0.01+Inputs!$B$14*0.0025)/100)*(1+Inputs!$B$15/100)*(1+Inputs!$B$16/100)*(5000/(6000+Inputs!$B$43*(1-(100*(1-(1-(Inputs!$B$19+0)/100)*(1-CHOOSE(ArtifactsInput!$N$40+1,5,6,7,8,9,10)/100)^(ArtifactsInput!$M$40-ArtifactsInput!$M$40)))/100)))*(1+(Inputs!$B$24+((C2895=TRUE)*(F2895-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2888=TRUE)*(F2888-Calc!F23))+(((IF(AND(ArtifactsInput!$M$42,((Inputs!$B$9+((C2890=TRUE)*(F2890-Calc!F25))+B2905+(ArtifactsInput!$M$24-ArtifactsInput!$M$24)*CHOOSE(ArtifactsInput!$N$24+1,10,12,14,16,18,20)+IF(ArtifactsInput!$M$10,CHOOSE(ArtifactsInput!$N$10+1,15,18,21,24,27,30)*(IF(Inputs!$B$39="pvp",MIN(15,15)/15,IF(AND(Inputs!$B$39&lt;&gt;"pvp",Inputs!$B$44&gt;0),MIN(15,Inputs!$B$44)/(Inputs!$B$44),0))),0)))&gt;=100),MIN(100,((Inputs!$B$9+((C2890=TRUE)*(F2890-Calc!F25))+B2905+(ArtifactsInput!$M$24-ArtifactsInput!$M$24)*CHOOSE(ArtifactsInput!$N$24+1,10,12,14,16,18,20)+IF(ArtifactsInput!$M$10,CHOOSE(ArtifactsInput!$N$10+1,15,18,21,24,27,30)*(IF(Inputs!$B$39="pvp",MIN(15,15)/15,IF(AND(Inputs!$B$39&lt;&gt;"pvp",Inputs!$B$44&gt;0),MIN(15,Inputs!$B$44)/(Inputs!$B$44),0))),0)))-100),0))*CHOOSE(ArtifactsInput!$N$42+1,0.6,0.72,0.84,0.96,1.08,1.2))),Inputs!$B$18+((C2894=TRUE)*(F2894-Calc!F29))+(IF(AND(ArtifactsInput!$M$42,((Inputs!$B$9+((C2890=TRUE)*(F2890-Calc!F25))+B2905+(ArtifactsInput!$M$24-ArtifactsInput!$M$24)*CHOOSE(ArtifactsInput!$N$24+1,10,12,14,16,18,20)+IF(ArtifactsInput!$M$10,CHOOSE(ArtifactsInput!$N$10+1,15,18,21,24,27,30)*(IF(Inputs!$B$39="pvp",MIN(15,15)/15,IF(AND(Inputs!$B$39&lt;&gt;"pvp",Inputs!$B$44&gt;0),MIN(15,Inputs!$B$44)/(Inputs!$B$44),0))),0)))&gt;=100),CHOOSE(ArtifactsInput!$N$42+1,40,48,56,64,72,80),0))))/100)*(((1+(((C2886=TRUE)*F2886*IF(AND(Inputs!$B$39&lt;&gt;"pvp",Inputs!$B$44&gt;0),(((R2886-1)*(Skills!Y21*(1+Inputs!$B$34/100))+MIN((Skills!Y21*(1+Inputs!$B$34/100)),MAX(0,Inputs!$B$44-((R2886-1)*Skills!D21))))/Inputs!$B$44),IF(Inputs!$B$39="pvp",MIN((Skills!Y21*(1+Inputs!$B$34/100)),15)/15,(Skills!Y21*(1+Inputs!$B$34/100))/Skills!D21)))+((C2893=TRUE)*(F2893-Calc!F28))+((C2883=TRUE)*(F2883-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2880=TRUE)*F2880*IF(AND(Inputs!$B$39&lt;&gt;"pvp",Inputs!$B$44&gt;0),(((R2880-1)*(Skills!Y15*(1+Inputs!$B$34/100))+MIN((Skills!Y15*(1+Inputs!$B$34/100)),MAX(0,Inputs!$B$44-((R2880-1)*Skills!D15))))/Inputs!$B$44),IF(Inputs!$B$39="pvp",MIN((Skills!Y15*(1+Inputs!$B$34/100)),15)/15,(Skills!Y15*(1+Inputs!$B$34/100))/Skills!D15)))/100)*(1+((C2871=TRUE)*F2871*B2899)/100))*B2907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2870)</f>
        <v/>
      </c>
      <c r="L2870">
        <f>K2870*(MIN(Inputs!$B$22+((C2889=TRUE)*(F2889-Calc!F24)),(Inputs!$B$23+0+(IF(ArtifactsInput!$M$15,CHOOSE(ArtifactsInput!$N$15+1,25,30,35,40,45,50)/100*(Inputs!$B$11-Inputs!$B$11),0))))/100+(Inputs!$B$23+0+(IF(ArtifactsInput!$M$15,CHOOSE(ArtifactsInput!$N$15+1,25,30,35,40,45,50)/100*(Inputs!$B$11-Inputs!$B$11),0)))/100)/2</f>
        <v/>
      </c>
      <c r="M2870">
        <f>L2870*(1+(Inputs!$B$10+((C2891=TRUE)*(F2891-Calc!F26))+B2908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70">
        <f>L2870*(1-MIN((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2870*(MIN((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70">
        <f>(1-Summary!$B$11)*T2870+Summary!$B$11*V2870</f>
        <v/>
      </c>
      <c r="P2870">
        <f>IF(B2909=0,0,O2870/B2909)</f>
        <v/>
      </c>
      <c r="Q2870">
        <f>IFERROR(1/IF(Inputs!$B$39="pvp",15,MAX(0.1,Skills!D5-IF(Skills!E5=TRUE,Inputs!$B$32,0))),0)</f>
        <v/>
      </c>
      <c r="R2870">
        <f>IF(AND(Inputs!$B$39&lt;&gt;"pvp",Inputs!$B$44&gt;0),IF(MAX(0,Inputs!$B$44-B2910)&lt;=0,0,(INT(MAX(0,Inputs!$B$44-B2910)/IF(Inputs!$B$39="pvp",15,MAX(0.1,Skills!D5-IF(Skills!E5=TRUE,Inputs!$B$32,0))))+1)),0)</f>
        <v/>
      </c>
      <c r="S2870">
        <f>IFERROR(O2870/N2870,0)</f>
        <v/>
      </c>
      <c r="T2870">
        <f>IF(C2870,(H2870*N2870*IF(AND(Inputs!$B$39&lt;&gt;"pvp",Inputs!$B$44&gt;0),((Skills!G5*((R2870-1)*IF(Skills!H5&gt;0,Skills!I5/Skills!H5,1)+IF(Skills!H5&gt;0,MIN(Skills!I5,MAX(0,MAX(0,Inputs!$B$44-B2910)-((R2870-1)*IF(Inputs!$B$39="pvp",15,MAX(0.1,Skills!D5-IF(Skills!E5=TRUE,Inputs!$B$32,0))))))/Skills!H5,1)))/Inputs!$B$44),G2870*Q2870))*IF(Inputs!$B$39="pvp",1,1+(Inputs!$B$20+((C2892=TRUE)*(F2892-Calc!F27))+Skills!P5+B2906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Hunt"),CHOOSE(ArtifactsInput!$N$35+1,15,18,21,24,27,30)*(1-EXP(-(0.2*B2901)*5)),0)+IF(AND(ArtifactsInput!$M$22,Inputs!$B$4&lt;&gt;"Chapter Hunt"),CHOOSE(ArtifactsInput!$N$22+1,10,12,14,16,18,20)*((0*(((0.15*B2901*5))^0/1)+1*(((0.15*B2901*5))^1/1)+2*(((0.15*B2901*5))^2/2)+3*(((0.15*B2901*5))^3/6)+4*(((0.15*B2901*5))^4/24)+5*(((0.15*B2901*5))^5/120))/((((0.15*B2901*5))^0/1)+(((0.15*B2901*5))^1/1)+(((0.15*B2901*5))^2/2)+(((0.15*B2901*5))^3/6)+(((0.15*B2901*5))^4/24)+(((0.15*B2901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2870*(1-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2870*(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2870*(1-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2870*(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70">
        <f>INDEX(FactorTable!$B$2:$Y$301, MATCH(ROUND(MIN(300,MAX(1,U2869)),0), FactorTable!$A$2:$A$301,0), 22)</f>
        <v/>
      </c>
      <c r="V2870">
        <f>IF(C2870,(H2870*N2870*IF(AND(Inputs!$B$39&lt;&gt;"pvp",Inputs!$B$44&gt;0),((Skills!G5*((R2870-1)*IF(Skills!H5&gt;0,Skills!I5/Skills!H5,1)+IF(Skills!H5&gt;0,MIN(Skills!I5,MAX(0,MAX(0,Inputs!$B$44-B2910)-((R2870-1)*IF(Inputs!$B$39="pvp",15,MAX(0.1,Skills!D5-IF(Skills!E5=TRUE,Inputs!$B$32,0))))))/Skills!H5,1)))/Inputs!$B$44),G2870*Q2870))*IF(Inputs!$B$39="pvp",1,(1+(Inputs!$B$21+Skills!Q5+B2906+(IF(ArtifactsInput!$M$33,CHOOSE(ArtifactsInput!$N$33+1,30,36,42,48,54,60),0))+(IF(AND(ArtifactsInput!$M$35,Inputs!$B$4&lt;&gt;"Chapter Hunt"),CHOOSE(ArtifactsInput!$N$35+1,15,18,21,24,27,30)*(1-EXP(-(0.2*B2901)*5)),0)+IF(AND(ArtifactsInput!$M$22,Inputs!$B$4&lt;&gt;"Chapter Hunt"),CHOOSE(ArtifactsInput!$N$22+1,10,12,14,16,18,20)*((0*(((0.15*B2901*5))^0/1)+1*(((0.15*B2901*5))^1/1)+2*(((0.15*B2901*5))^2/2)+3*(((0.15*B2901*5))^3/6)+4*(((0.15*B2901*5))^4/24)+5*(((0.15*B2901*5))^5/120))/((((0.15*B2901*5))^0/1)+(((0.15*B2901*5))^1/1)+(((0.15*B2901*5))^2/2)+(((0.15*B2901*5))^3/6)+(((0.15*B2901*5))^4/24)+(((0.15*B2901*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71">
      <c r="A2871">
        <f>Skills!A6</f>
        <v/>
      </c>
      <c r="B2871">
        <f>Skills!B6</f>
        <v/>
      </c>
      <c r="C2871">
        <f>Inputs!$B$3&gt;=66</f>
        <v/>
      </c>
      <c r="D2871">
        <f>IF(Skills!C6=1,60+Inputs!$B$25+Inputs!$B$29,IF(Skills!C6=2,90+Inputs!$B$26+Inputs!$B$29,IF(Skills!C6=3,120+Inputs!$B$27+Inputs!$B$29,MAX(0,(Inputs!$B$3-100)*3)+Inputs!$B$28+Inputs!$B$29)))</f>
        <v/>
      </c>
      <c r="E2871">
        <f>INDEX(FactorTable!$B$2:$Y$301, MATCH(ROUND(MIN(300,MAX(1,D2871)),0), FactorTable!$A$2:$A$301,0), Skills!M6+1)</f>
        <v/>
      </c>
      <c r="F2871">
        <f>IF(Skills!N6=TRUE,(Skills!L6/10)*(E2871/1000),Skills!L6/10)+Skills!O6</f>
        <v/>
      </c>
      <c r="G2871">
        <f>Calc!G6</f>
        <v/>
      </c>
      <c r="H2871">
        <f>Calc!H6</f>
        <v/>
      </c>
      <c r="I2871">
        <f>IF(Skills!AA6&lt;&gt;"",1+(Skills!AA6/10)*(U2868/1000)/100,1)</f>
        <v/>
      </c>
      <c r="J2871" t="inlineStr"/>
      <c r="K2871" t="inlineStr"/>
      <c r="L2871" t="inlineStr"/>
      <c r="M2871" t="inlineStr"/>
      <c r="N2871" t="inlineStr"/>
      <c r="O2871">
        <f>(1-Summary!$B$11)*T2871+Summary!$B$11*V2871</f>
        <v/>
      </c>
      <c r="P2871">
        <f>IF(B2909=0,0,O2871/B2909)</f>
        <v/>
      </c>
      <c r="Q2871" t="n">
        <v>0</v>
      </c>
      <c r="R2871" t="n">
        <v>0</v>
      </c>
      <c r="S2871">
        <f>IFERROR(O2871/N2871,0)</f>
        <v/>
      </c>
      <c r="T2871" t="n">
        <v>0</v>
      </c>
      <c r="U2871">
        <f>290*U2870/1000</f>
        <v/>
      </c>
      <c r="V2871" t="n">
        <v>0</v>
      </c>
    </row>
    <row r="2872">
      <c r="A2872">
        <f>Skills!A7</f>
        <v/>
      </c>
      <c r="B2872">
        <f>Skills!B7</f>
        <v/>
      </c>
      <c r="C2872">
        <f>Inputs!$B$3&gt;=66</f>
        <v/>
      </c>
      <c r="D2872">
        <f>IF(Skills!C7=1,60+Inputs!$B$25+Inputs!$B$29,IF(Skills!C7=2,90+Inputs!$B$26+Inputs!$B$29,IF(Skills!C7=3,120+Inputs!$B$27+Inputs!$B$29,MAX(0,(Inputs!$B$3-100)*3)+Inputs!$B$28+Inputs!$B$29)))</f>
        <v/>
      </c>
      <c r="E2872">
        <f>INDEX(FactorTable!$B$2:$Y$301, MATCH(ROUND(MIN(300,MAX(1,D2872)),0), FactorTable!$A$2:$A$301,0), Skills!M7+1)</f>
        <v/>
      </c>
      <c r="F2872">
        <f>IF(Skills!N7=TRUE,(Skills!L7/10)*(E2872/1000),Skills!L7/10)+Skills!O7</f>
        <v/>
      </c>
      <c r="G2872">
        <f>Calc!G7</f>
        <v/>
      </c>
      <c r="H2872">
        <f>Calc!H7</f>
        <v/>
      </c>
      <c r="I2872">
        <f>IF(Skills!AA7&lt;&gt;"",1+(Skills!AA7/10)*(U2868/1000)/100,1)</f>
        <v/>
      </c>
      <c r="J2872" t="inlineStr"/>
      <c r="K2872" t="inlineStr"/>
      <c r="L2872" t="inlineStr"/>
      <c r="M2872" t="inlineStr"/>
      <c r="N2872" t="inlineStr"/>
      <c r="O2872">
        <f>(1-Summary!$B$11)*T2872+Summary!$B$11*V2872</f>
        <v/>
      </c>
      <c r="P2872">
        <f>IF(B2909=0,0,O2872/B2909)</f>
        <v/>
      </c>
      <c r="Q2872" t="n">
        <v>0</v>
      </c>
      <c r="R2872" t="n">
        <v>0</v>
      </c>
      <c r="S2872">
        <f>IFERROR(O2872/N2872,0)</f>
        <v/>
      </c>
      <c r="T2872" t="n">
        <v>0</v>
      </c>
      <c r="V2872" t="n">
        <v>0</v>
      </c>
    </row>
    <row r="2873">
      <c r="A2873">
        <f>Skills!A8</f>
        <v/>
      </c>
      <c r="B2873">
        <f>Skills!B8</f>
        <v/>
      </c>
      <c r="C2873">
        <f>Inputs!$B$3&gt;=69</f>
        <v/>
      </c>
      <c r="D2873">
        <f>IF(Skills!C8=1,60+Inputs!$B$25+Inputs!$B$29,IF(Skills!C8=2,90+Inputs!$B$26+Inputs!$B$29,IF(Skills!C8=3,120+Inputs!$B$27+Inputs!$B$29,MAX(0,(Inputs!$B$3-100)*3)+Inputs!$B$28+Inputs!$B$29)))</f>
        <v/>
      </c>
      <c r="E2873">
        <f>INDEX(FactorTable!$B$2:$Y$301, MATCH(ROUND(MIN(300,MAX(1,D2873)),0), FactorTable!$A$2:$A$301,0), Skills!M8+1)</f>
        <v/>
      </c>
      <c r="F2873">
        <f>IF(Skills!N8=TRUE,(Skills!L8/10)*(E2873/1000),Skills!L8/10)+Skills!O8</f>
        <v/>
      </c>
      <c r="G2873">
        <f>Calc!G8</f>
        <v/>
      </c>
      <c r="H2873">
        <f>Calc!H8</f>
        <v/>
      </c>
      <c r="I2873">
        <f>IF(Skills!AA8&lt;&gt;"",1+(Skills!AA8/10)*(U2868/1000)/100,1)</f>
        <v/>
      </c>
      <c r="J2873">
        <f>((Inputs!$B$6*(1+Inputs!$B$7/100))+(((Inputs!$B$12*(1+Inputs!$B$13/100))-(Inputs!$B$12*(1+Inputs!$B$13/100)))+0.25*(Inputs!$B$14-Inputs!$B$14))*(1+Inputs!$B$7/100))*(F2873/100)</f>
        <v/>
      </c>
      <c r="K2873">
        <f>J2873*(1+((Inputs!$B$12*(1+Inputs!$B$13/100))*0.01+Inputs!$B$14*0.0025)/100)*(1+Inputs!$B$15/100)*(1+Inputs!$B$16/100)*(5000/(6000+Inputs!$B$43*(1-(100*(1-(1-(Inputs!$B$19+0)/100)*(1-CHOOSE(ArtifactsInput!$N$40+1,5,6,7,8,9,10)/100)^(ArtifactsInput!$M$40-ArtifactsInput!$M$40)))/100)))*(1+(Inputs!$B$24+((C2895=TRUE)*(F2895-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2888=TRUE)*(F2888-Calc!F23))+(((IF(AND(ArtifactsInput!$M$42,((Inputs!$B$9+((C2890=TRUE)*(F2890-Calc!F25))+B2905+(ArtifactsInput!$M$24-ArtifactsInput!$M$24)*CHOOSE(ArtifactsInput!$N$24+1,10,12,14,16,18,20)+IF(ArtifactsInput!$M$10,CHOOSE(ArtifactsInput!$N$10+1,15,18,21,24,27,30)*(IF(Inputs!$B$39="pvp",MIN(15,15)/15,IF(AND(Inputs!$B$39&lt;&gt;"pvp",Inputs!$B$44&gt;0),MIN(15,Inputs!$B$44)/(Inputs!$B$44),0))),0)))&gt;=100),MIN(100,((Inputs!$B$9+((C2890=TRUE)*(F2890-Calc!F25))+B2905+(ArtifactsInput!$M$24-ArtifactsInput!$M$24)*CHOOSE(ArtifactsInput!$N$24+1,10,12,14,16,18,20)+IF(ArtifactsInput!$M$10,CHOOSE(ArtifactsInput!$N$10+1,15,18,21,24,27,30)*(IF(Inputs!$B$39="pvp",MIN(15,15)/15,IF(AND(Inputs!$B$39&lt;&gt;"pvp",Inputs!$B$44&gt;0),MIN(15,Inputs!$B$44)/(Inputs!$B$44),0))),0)))-100),0))*CHOOSE(ArtifactsInput!$N$42+1,0.6,0.72,0.84,0.96,1.08,1.2))),Inputs!$B$18+((C2894=TRUE)*(F2894-Calc!F29))+(IF(AND(ArtifactsInput!$M$42,((Inputs!$B$9+((C2890=TRUE)*(F2890-Calc!F25))+B2905+(ArtifactsInput!$M$24-ArtifactsInput!$M$24)*CHOOSE(ArtifactsInput!$N$24+1,10,12,14,16,18,20)+IF(ArtifactsInput!$M$10,CHOOSE(ArtifactsInput!$N$10+1,15,18,21,24,27,30)*(IF(Inputs!$B$39="pvp",MIN(15,15)/15,IF(AND(Inputs!$B$39&lt;&gt;"pvp",Inputs!$B$44&gt;0),MIN(15,Inputs!$B$44)/(Inputs!$B$44),0))),0)))&gt;=100),CHOOSE(ArtifactsInput!$N$42+1,40,48,56,64,72,80),0))))/100)*(((1+(((C2886=TRUE)*F2886*IF(AND(Inputs!$B$39&lt;&gt;"pvp",Inputs!$B$44&gt;0),(((R2886-1)*(Skills!Y21*(1+Inputs!$B$34/100))+MIN((Skills!Y21*(1+Inputs!$B$34/100)),MAX(0,Inputs!$B$44-((R2886-1)*Skills!D21))))/Inputs!$B$44),IF(Inputs!$B$39="pvp",MIN((Skills!Y21*(1+Inputs!$B$34/100)),15)/15,(Skills!Y21*(1+Inputs!$B$34/100))/Skills!D21)))+((C2893=TRUE)*(F2893-Calc!F28))+((C2883=TRUE)*(F2883-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2880=TRUE)*F2880*IF(AND(Inputs!$B$39&lt;&gt;"pvp",Inputs!$B$44&gt;0),(((R2880-1)*(Skills!Y15*(1+Inputs!$B$34/100))+MIN((Skills!Y15*(1+Inputs!$B$34/100)),MAX(0,Inputs!$B$44-((R2880-1)*Skills!D15))))/Inputs!$B$44),IF(Inputs!$B$39="pvp",MIN((Skills!Y15*(1+Inputs!$B$34/100)),15)/15,(Skills!Y15*(1+Inputs!$B$34/100))/Skills!D15)))/100)*(1+((C2871=TRUE)*F2871*B2899)/100))*B2907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2873)</f>
        <v/>
      </c>
      <c r="L2873">
        <f>K2873*(MIN(Inputs!$B$22+((C2889=TRUE)*(F2889-Calc!F24)),(Inputs!$B$23+0+(IF(ArtifactsInput!$M$15,CHOOSE(ArtifactsInput!$N$15+1,25,30,35,40,45,50)/100*(Inputs!$B$11-Inputs!$B$11),0))))/100+(Inputs!$B$23+0+(IF(ArtifactsInput!$M$15,CHOOSE(ArtifactsInput!$N$15+1,25,30,35,40,45,50)/100*(Inputs!$B$11-Inputs!$B$11),0)))/100)/2</f>
        <v/>
      </c>
      <c r="M2873">
        <f>L2873*(1+(Inputs!$B$10+((C2891=TRUE)*(F2891-Calc!F26))+B2908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73">
        <f>L2873*(1-MIN((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2873*(MIN((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73">
        <f>(1-Summary!$B$11)*T2873+Summary!$B$11*V2873</f>
        <v/>
      </c>
      <c r="P2873">
        <f>IF(B2909=0,0,O2873/B2909)</f>
        <v/>
      </c>
      <c r="Q2873">
        <f>IFERROR(1/IF(Inputs!$B$39="pvp",15,MAX(0.1,Skills!D8-IF(Skills!E8=TRUE,Inputs!$B$32,0))),0)</f>
        <v/>
      </c>
      <c r="R2873">
        <f>IF(AND(Inputs!$B$39&lt;&gt;"pvp",Inputs!$B$44&gt;0),IF(MAX(0,Inputs!$B$44-B2910)&lt;=0,0,(INT(MAX(0,Inputs!$B$44-B2910)/IF(Inputs!$B$39="pvp",15,MAX(0.1,Skills!D8-IF(Skills!E8=TRUE,Inputs!$B$32,0))))+1)),0)</f>
        <v/>
      </c>
      <c r="S2873">
        <f>IFERROR(O2873/N2873,0)</f>
        <v/>
      </c>
      <c r="T2873">
        <f>IF(C2873,(H2873*N2873*IF(AND(Inputs!$B$39&lt;&gt;"pvp",Inputs!$B$44&gt;0),((Skills!G8*((R2873-1)*IF(Skills!H8&gt;0,Skills!I8/Skills!H8,1)+IF(Skills!H8&gt;0,MIN(Skills!I8,MAX(0,MAX(0,Inputs!$B$44-B2910)-((R2873-1)*IF(Inputs!$B$39="pvp",15,MAX(0.1,Skills!D8-IF(Skills!E8=TRUE,Inputs!$B$32,0))))))/Skills!H8,1)))/Inputs!$B$44),G2873*Q2873))*IF(Inputs!$B$39="pvp",1,1+(Inputs!$B$20+((C2892=TRUE)*(F2892-Calc!F27))+Skills!P8+B2906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Hunt"),CHOOSE(ArtifactsInput!$N$35+1,15,18,21,24,27,30)*(1-EXP(-(0.2*B2901)*5)),0)+IF(AND(ArtifactsInput!$M$22,Inputs!$B$4&lt;&gt;"Chapter Hunt"),CHOOSE(ArtifactsInput!$N$22+1,10,12,14,16,18,20)*((0*(((0.15*B2901*5))^0/1)+1*(((0.15*B2901*5))^1/1)+2*(((0.15*B2901*5))^2/2)+3*(((0.15*B2901*5))^3/6)+4*(((0.15*B2901*5))^4/24)+5*(((0.15*B2901*5))^5/120))/((((0.15*B2901*5))^0/1)+(((0.15*B2901*5))^1/1)+(((0.15*B2901*5))^2/2)+(((0.15*B2901*5))^3/6)+(((0.15*B2901*5))^4/24)+(((0.15*B2901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2873*(1-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2873*(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2873*(1-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2873*(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73">
        <f>IF(C2873,(H2873*N2873*IF(AND(Inputs!$B$39&lt;&gt;"pvp",Inputs!$B$44&gt;0),((Skills!G8*((R2873-1)*IF(Skills!H8&gt;0,Skills!I8/Skills!H8,1)+IF(Skills!H8&gt;0,MIN(Skills!I8,MAX(0,MAX(0,Inputs!$B$44-B2910)-((R2873-1)*IF(Inputs!$B$39="pvp",15,MAX(0.1,Skills!D8-IF(Skills!E8=TRUE,Inputs!$B$32,0))))))/Skills!H8,1)))/Inputs!$B$44),G2873*Q2873))*IF(Inputs!$B$39="pvp",1,(1+(Inputs!$B$21+Skills!Q8+B2906+(IF(ArtifactsInput!$M$33,CHOOSE(ArtifactsInput!$N$33+1,30,36,42,48,54,60),0))+(IF(AND(ArtifactsInput!$M$35,Inputs!$B$4&lt;&gt;"Chapter Hunt"),CHOOSE(ArtifactsInput!$N$35+1,15,18,21,24,27,30)*(1-EXP(-(0.2*B2901)*5)),0)+IF(AND(ArtifactsInput!$M$22,Inputs!$B$4&lt;&gt;"Chapter Hunt"),CHOOSE(ArtifactsInput!$N$22+1,10,12,14,16,18,20)*((0*(((0.15*B2901*5))^0/1)+1*(((0.15*B2901*5))^1/1)+2*(((0.15*B2901*5))^2/2)+3*(((0.15*B2901*5))^3/6)+4*(((0.15*B2901*5))^4/24)+5*(((0.15*B2901*5))^5/120))/((((0.15*B2901*5))^0/1)+(((0.15*B2901*5))^1/1)+(((0.15*B2901*5))^2/2)+(((0.15*B2901*5))^3/6)+(((0.15*B2901*5))^4/24)+(((0.15*B2901*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74">
      <c r="A2874">
        <f>Skills!A9</f>
        <v/>
      </c>
      <c r="B2874">
        <f>Skills!B9</f>
        <v/>
      </c>
      <c r="C2874">
        <f>Inputs!$B$3&gt;=72</f>
        <v/>
      </c>
      <c r="D2874">
        <f>IF(Skills!C9=1,60+Inputs!$B$25+Inputs!$B$29,IF(Skills!C9=2,90+Inputs!$B$26+Inputs!$B$29,IF(Skills!C9=3,120+Inputs!$B$27+Inputs!$B$29,MAX(0,(Inputs!$B$3-100)*3)+Inputs!$B$28+Inputs!$B$29)))</f>
        <v/>
      </c>
      <c r="E2874">
        <f>INDEX(FactorTable!$B$2:$Y$301, MATCH(ROUND(MIN(300,MAX(1,D2874)),0), FactorTable!$A$2:$A$301,0), Skills!M9+1)</f>
        <v/>
      </c>
      <c r="F2874">
        <f>IF(Skills!N9=TRUE,(Skills!L9/10)*(E2874/1000),Skills!L9/10)+Skills!O9</f>
        <v/>
      </c>
      <c r="G2874">
        <f>Calc!G9</f>
        <v/>
      </c>
      <c r="H2874">
        <f>Calc!H9</f>
        <v/>
      </c>
      <c r="I2874">
        <f>IF(Skills!AA9&lt;&gt;"",1+(Skills!AA9/10)*(U2868/1000)/100,1)</f>
        <v/>
      </c>
      <c r="J2874">
        <f>((Inputs!$B$6*(1+Inputs!$B$7/100))+(((Inputs!$B$12*(1+Inputs!$B$13/100))-(Inputs!$B$12*(1+Inputs!$B$13/100)))+0.25*(Inputs!$B$14-Inputs!$B$14))*(1+Inputs!$B$7/100))*(F2874/100)</f>
        <v/>
      </c>
      <c r="K2874">
        <f>J2874*(1+((Inputs!$B$12*(1+Inputs!$B$13/100))*0.01+Inputs!$B$14*0.0025)/100)*(1+Inputs!$B$15/100)*(1+Inputs!$B$16/100)*(5000/(6000+Inputs!$B$43*(1-(100*(1-(1-(Inputs!$B$19+0)/100)*(1-CHOOSE(ArtifactsInput!$N$40+1,5,6,7,8,9,10)/100)^(ArtifactsInput!$M$40-ArtifactsInput!$M$40)))/100)))*(1+(Inputs!$B$24+((C2895=TRUE)*(F2895-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2888=TRUE)*(F2888-Calc!F23))+(((IF(AND(ArtifactsInput!$M$42,((Inputs!$B$9+((C2890=TRUE)*(F2890-Calc!F25))+B2905+(ArtifactsInput!$M$24-ArtifactsInput!$M$24)*CHOOSE(ArtifactsInput!$N$24+1,10,12,14,16,18,20)+IF(ArtifactsInput!$M$10,CHOOSE(ArtifactsInput!$N$10+1,15,18,21,24,27,30)*(IF(Inputs!$B$39="pvp",MIN(15,15)/15,IF(AND(Inputs!$B$39&lt;&gt;"pvp",Inputs!$B$44&gt;0),MIN(15,Inputs!$B$44)/(Inputs!$B$44),0))),0)))&gt;=100),MIN(100,((Inputs!$B$9+((C2890=TRUE)*(F2890-Calc!F25))+B2905+(ArtifactsInput!$M$24-ArtifactsInput!$M$24)*CHOOSE(ArtifactsInput!$N$24+1,10,12,14,16,18,20)+IF(ArtifactsInput!$M$10,CHOOSE(ArtifactsInput!$N$10+1,15,18,21,24,27,30)*(IF(Inputs!$B$39="pvp",MIN(15,15)/15,IF(AND(Inputs!$B$39&lt;&gt;"pvp",Inputs!$B$44&gt;0),MIN(15,Inputs!$B$44)/(Inputs!$B$44),0))),0)))-100),0))*CHOOSE(ArtifactsInput!$N$42+1,0.6,0.72,0.84,0.96,1.08,1.2))),Inputs!$B$18+((C2894=TRUE)*(F2894-Calc!F29))+(IF(AND(ArtifactsInput!$M$42,((Inputs!$B$9+((C2890=TRUE)*(F2890-Calc!F25))+B2905+(ArtifactsInput!$M$24-ArtifactsInput!$M$24)*CHOOSE(ArtifactsInput!$N$24+1,10,12,14,16,18,20)+IF(ArtifactsInput!$M$10,CHOOSE(ArtifactsInput!$N$10+1,15,18,21,24,27,30)*(IF(Inputs!$B$39="pvp",MIN(15,15)/15,IF(AND(Inputs!$B$39&lt;&gt;"pvp",Inputs!$B$44&gt;0),MIN(15,Inputs!$B$44)/(Inputs!$B$44),0))),0)))&gt;=100),CHOOSE(ArtifactsInput!$N$42+1,40,48,56,64,72,80),0))))/100)*(((1+(((C2886=TRUE)*F2886*IF(AND(Inputs!$B$39&lt;&gt;"pvp",Inputs!$B$44&gt;0),(((R2886-1)*(Skills!Y21*(1+Inputs!$B$34/100))+MIN((Skills!Y21*(1+Inputs!$B$34/100)),MAX(0,Inputs!$B$44-((R2886-1)*Skills!D21))))/Inputs!$B$44),IF(Inputs!$B$39="pvp",MIN((Skills!Y21*(1+Inputs!$B$34/100)),15)/15,(Skills!Y21*(1+Inputs!$B$34/100))/Skills!D21)))+((C2893=TRUE)*(F2893-Calc!F28))+((C2883=TRUE)*(F2883-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2880=TRUE)*F2880*IF(AND(Inputs!$B$39&lt;&gt;"pvp",Inputs!$B$44&gt;0),(((R2880-1)*(Skills!Y15*(1+Inputs!$B$34/100))+MIN((Skills!Y15*(1+Inputs!$B$34/100)),MAX(0,Inputs!$B$44-((R2880-1)*Skills!D15))))/Inputs!$B$44),IF(Inputs!$B$39="pvp",MIN((Skills!Y15*(1+Inputs!$B$34/100)),15)/15,(Skills!Y15*(1+Inputs!$B$34/100))/Skills!D15)))/100)*(1+((C2871=TRUE)*F2871*B2899)/100))*B2907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2874)</f>
        <v/>
      </c>
      <c r="L2874">
        <f>K2874*(MIN(Inputs!$B$22+((C2889=TRUE)*(F2889-Calc!F24)),(Inputs!$B$23+0+(IF(ArtifactsInput!$M$15,CHOOSE(ArtifactsInput!$N$15+1,25,30,35,40,45,50)/100*(Inputs!$B$11-Inputs!$B$11),0))))/100+(Inputs!$B$23+0+(IF(ArtifactsInput!$M$15,CHOOSE(ArtifactsInput!$N$15+1,25,30,35,40,45,50)/100*(Inputs!$B$11-Inputs!$B$11),0)))/100)/2</f>
        <v/>
      </c>
      <c r="M2874">
        <f>L2874*(1+(Inputs!$B$10+((C2891=TRUE)*(F2891-Calc!F26))+B2908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74">
        <f>L2874*(1-MIN((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2874*(MIN((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74">
        <f>(1-Summary!$B$11)*T2874+Summary!$B$11*V2874</f>
        <v/>
      </c>
      <c r="P2874">
        <f>IF(B2909=0,0,O2874/B2909)</f>
        <v/>
      </c>
      <c r="Q2874">
        <f>IFERROR(1/IF(Inputs!$B$39="pvp",15,MAX(0.1,Skills!D9-IF(Skills!E9=TRUE,Inputs!$B$32,0))),0)</f>
        <v/>
      </c>
      <c r="R2874">
        <f>IF(AND(Inputs!$B$39&lt;&gt;"pvp",Inputs!$B$44&gt;0),IF(MAX(0,Inputs!$B$44-B2910)&lt;=0,0,(INT(MAX(0,Inputs!$B$44-B2910)/IF(Inputs!$B$39="pvp",15,MAX(0.1,Skills!D9-IF(Skills!E9=TRUE,Inputs!$B$32,0))))+1)),0)</f>
        <v/>
      </c>
      <c r="S2874">
        <f>IFERROR(O2874/N2874,0)</f>
        <v/>
      </c>
      <c r="T2874">
        <f>IF(C2874,(H2874*N2874*IF(AND(Inputs!$B$39&lt;&gt;"pvp",Inputs!$B$44&gt;0),((Skills!G9*((R2874-1)*IF(Skills!H9&gt;0,Skills!I9/Skills!H9,1)+IF(Skills!H9&gt;0,MIN(Skills!I9,MAX(0,MAX(0,Inputs!$B$44-B2910)-((R2874-1)*IF(Inputs!$B$39="pvp",15,MAX(0.1,Skills!D9-IF(Skills!E9=TRUE,Inputs!$B$32,0))))))/Skills!H9,1)))/Inputs!$B$44),G2874*Q2874))*IF(Inputs!$B$39="pvp",1,1+(Inputs!$B$20+((C2892=TRUE)*(F2892-Calc!F27))+Skills!P9+B2906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Hunt"),CHOOSE(ArtifactsInput!$N$35+1,15,18,21,24,27,30)*(1-EXP(-(0.2*B2901)*5)),0)+IF(AND(ArtifactsInput!$M$22,Inputs!$B$4&lt;&gt;"Chapter Hunt"),CHOOSE(ArtifactsInput!$N$22+1,10,12,14,16,18,20)*((0*(((0.15*B2901*5))^0/1)+1*(((0.15*B2901*5))^1/1)+2*(((0.15*B2901*5))^2/2)+3*(((0.15*B2901*5))^3/6)+4*(((0.15*B2901*5))^4/24)+5*(((0.15*B2901*5))^5/120))/((((0.15*B2901*5))^0/1)+(((0.15*B2901*5))^1/1)+(((0.15*B2901*5))^2/2)+(((0.15*B2901*5))^3/6)+(((0.15*B2901*5))^4/24)+(((0.15*B2901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2874*(1-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2874*(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2874*(1-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2874*(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74">
        <f>IF(C2874,(H2874*N2874*IF(AND(Inputs!$B$39&lt;&gt;"pvp",Inputs!$B$44&gt;0),((Skills!G9*((R2874-1)*IF(Skills!H9&gt;0,Skills!I9/Skills!H9,1)+IF(Skills!H9&gt;0,MIN(Skills!I9,MAX(0,MAX(0,Inputs!$B$44-B2910)-((R2874-1)*IF(Inputs!$B$39="pvp",15,MAX(0.1,Skills!D9-IF(Skills!E9=TRUE,Inputs!$B$32,0))))))/Skills!H9,1)))/Inputs!$B$44),G2874*Q2874))*IF(Inputs!$B$39="pvp",1,(1+(Inputs!$B$21+Skills!Q9+B2906+(IF(ArtifactsInput!$M$33,CHOOSE(ArtifactsInput!$N$33+1,30,36,42,48,54,60),0))+(IF(AND(ArtifactsInput!$M$35,Inputs!$B$4&lt;&gt;"Chapter Hunt"),CHOOSE(ArtifactsInput!$N$35+1,15,18,21,24,27,30)*(1-EXP(-(0.2*B2901)*5)),0)+IF(AND(ArtifactsInput!$M$22,Inputs!$B$4&lt;&gt;"Chapter Hunt"),CHOOSE(ArtifactsInput!$N$22+1,10,12,14,16,18,20)*((0*(((0.15*B2901*5))^0/1)+1*(((0.15*B2901*5))^1/1)+2*(((0.15*B2901*5))^2/2)+3*(((0.15*B2901*5))^3/6)+4*(((0.15*B2901*5))^4/24)+5*(((0.15*B2901*5))^5/120))/((((0.15*B2901*5))^0/1)+(((0.15*B2901*5))^1/1)+(((0.15*B2901*5))^2/2)+(((0.15*B2901*5))^3/6)+(((0.15*B2901*5))^4/24)+(((0.15*B2901*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75">
      <c r="A2875">
        <f>Skills!A10</f>
        <v/>
      </c>
      <c r="B2875">
        <f>Skills!B10</f>
        <v/>
      </c>
      <c r="C2875">
        <f>Inputs!$B$3&gt;=117</f>
        <v/>
      </c>
      <c r="D2875">
        <f>IF(Skills!C10=1,60+Inputs!$B$25+Inputs!$B$29,IF(Skills!C10=2,90+Inputs!$B$26+Inputs!$B$29,IF(Skills!C10=3,120+Inputs!$B$27+Inputs!$B$29,MAX(0,(Inputs!$B$3-100)*3)+Inputs!$B$28+Inputs!$B$29)))</f>
        <v/>
      </c>
      <c r="E2875">
        <f>INDEX(FactorTable!$B$2:$Y$301, MATCH(ROUND(MIN(300,MAX(1,D2875)),0), FactorTable!$A$2:$A$301,0), Skills!M10+1)</f>
        <v/>
      </c>
      <c r="F2875">
        <f>IF(Skills!N10=TRUE,(Skills!L10/10)*(E2875/1000),Skills!L10/10)+Skills!O10</f>
        <v/>
      </c>
      <c r="G2875">
        <f>Calc!G10</f>
        <v/>
      </c>
      <c r="H2875">
        <f>Calc!H10</f>
        <v/>
      </c>
      <c r="I2875">
        <f>IF(Skills!AA10&lt;&gt;"",1+(Skills!AA10/10)*(U2868/1000)/100,1)</f>
        <v/>
      </c>
      <c r="J2875">
        <f>((Inputs!$B$6*(1+Inputs!$B$7/100))+(((Inputs!$B$12*(1+Inputs!$B$13/100))-(Inputs!$B$12*(1+Inputs!$B$13/100)))+0.25*(Inputs!$B$14-Inputs!$B$14))*(1+Inputs!$B$7/100))*(F2875/100)</f>
        <v/>
      </c>
      <c r="K2875">
        <f>J2875*(1+((Inputs!$B$12*(1+Inputs!$B$13/100))*0.01+Inputs!$B$14*0.0025)/100)*(1+Inputs!$B$15/100)*(1+Inputs!$B$16/100)*(5000/(6000+Inputs!$B$43*(1-(100*(1-(1-(Inputs!$B$19+0)/100)*(1-CHOOSE(ArtifactsInput!$N$40+1,5,6,7,8,9,10)/100)^(ArtifactsInput!$M$40-ArtifactsInput!$M$40)))/100)))*(1+(Inputs!$B$24+((C2895=TRUE)*(F2895-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2888=TRUE)*(F2888-Calc!F23))+(((IF(AND(ArtifactsInput!$M$42,((Inputs!$B$9+((C2890=TRUE)*(F2890-Calc!F25))+B2905+(ArtifactsInput!$M$24-ArtifactsInput!$M$24)*CHOOSE(ArtifactsInput!$N$24+1,10,12,14,16,18,20)+IF(ArtifactsInput!$M$10,CHOOSE(ArtifactsInput!$N$10+1,15,18,21,24,27,30)*(IF(Inputs!$B$39="pvp",MIN(15,15)/15,IF(AND(Inputs!$B$39&lt;&gt;"pvp",Inputs!$B$44&gt;0),MIN(15,Inputs!$B$44)/(Inputs!$B$44),0))),0)))&gt;=100),MIN(100,((Inputs!$B$9+((C2890=TRUE)*(F2890-Calc!F25))+B2905+(ArtifactsInput!$M$24-ArtifactsInput!$M$24)*CHOOSE(ArtifactsInput!$N$24+1,10,12,14,16,18,20)+IF(ArtifactsInput!$M$10,CHOOSE(ArtifactsInput!$N$10+1,15,18,21,24,27,30)*(IF(Inputs!$B$39="pvp",MIN(15,15)/15,IF(AND(Inputs!$B$39&lt;&gt;"pvp",Inputs!$B$44&gt;0),MIN(15,Inputs!$B$44)/(Inputs!$B$44),0))),0)))-100),0))*CHOOSE(ArtifactsInput!$N$42+1,0.6,0.72,0.84,0.96,1.08,1.2))),Inputs!$B$18+((C2894=TRUE)*(F2894-Calc!F29))+(IF(AND(ArtifactsInput!$M$42,((Inputs!$B$9+((C2890=TRUE)*(F2890-Calc!F25))+B2905+(ArtifactsInput!$M$24-ArtifactsInput!$M$24)*CHOOSE(ArtifactsInput!$N$24+1,10,12,14,16,18,20)+IF(ArtifactsInput!$M$10,CHOOSE(ArtifactsInput!$N$10+1,15,18,21,24,27,30)*(IF(Inputs!$B$39="pvp",MIN(15,15)/15,IF(AND(Inputs!$B$39&lt;&gt;"pvp",Inputs!$B$44&gt;0),MIN(15,Inputs!$B$44)/(Inputs!$B$44),0))),0)))&gt;=100),CHOOSE(ArtifactsInput!$N$42+1,40,48,56,64,72,80),0))))/100)*(((1+(((C2886=TRUE)*F2886*IF(AND(Inputs!$B$39&lt;&gt;"pvp",Inputs!$B$44&gt;0),(((R2886-1)*(Skills!Y21*(1+Inputs!$B$34/100))+MIN((Skills!Y21*(1+Inputs!$B$34/100)),MAX(0,Inputs!$B$44-((R2886-1)*Skills!D21))))/Inputs!$B$44),IF(Inputs!$B$39="pvp",MIN((Skills!Y21*(1+Inputs!$B$34/100)),15)/15,(Skills!Y21*(1+Inputs!$B$34/100))/Skills!D21)))+((C2893=TRUE)*(F2893-Calc!F28))+((C2883=TRUE)*(F2883-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2880=TRUE)*F2880*IF(AND(Inputs!$B$39&lt;&gt;"pvp",Inputs!$B$44&gt;0),(((R2880-1)*(Skills!Y15*(1+Inputs!$B$34/100))+MIN((Skills!Y15*(1+Inputs!$B$34/100)),MAX(0,Inputs!$B$44-((R2880-1)*Skills!D15))))/Inputs!$B$44),IF(Inputs!$B$39="pvp",MIN((Skills!Y15*(1+Inputs!$B$34/100)),15)/15,(Skills!Y15*(1+Inputs!$B$34/100))/Skills!D15)))/100)*(1+((C2871=TRUE)*F2871*B2899)/100))*B2907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2875)</f>
        <v/>
      </c>
      <c r="L2875">
        <f>K2875*(MIN(Inputs!$B$22+((C2889=TRUE)*(F2889-Calc!F24)),(Inputs!$B$23+0+(IF(ArtifactsInput!$M$15,CHOOSE(ArtifactsInput!$N$15+1,25,30,35,40,45,50)/100*(Inputs!$B$11-Inputs!$B$11),0))))/100+(Inputs!$B$23+0+(IF(ArtifactsInput!$M$15,CHOOSE(ArtifactsInput!$N$15+1,25,30,35,40,45,50)/100*(Inputs!$B$11-Inputs!$B$11),0)))/100)/2</f>
        <v/>
      </c>
      <c r="M2875">
        <f>L2875*(1+(Inputs!$B$10+((C2891=TRUE)*(F2891-Calc!F26))+B2908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75">
        <f>L2875*(1-MIN((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2875*(MIN((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75">
        <f>(1-Summary!$B$11)*T2875+Summary!$B$11*V2875</f>
        <v/>
      </c>
      <c r="P2875">
        <f>IF(B2909=0,0,O2875/B2909)</f>
        <v/>
      </c>
      <c r="Q2875" t="n">
        <v>0</v>
      </c>
      <c r="R2875" t="n">
        <v>0</v>
      </c>
      <c r="S2875" t="n">
        <v>0</v>
      </c>
      <c r="T2875">
        <f>IF(C2875,(0.2*SUMPRODUCT((Skills!Z2:Z31=TRUE)*(C2867:C2896=TRUE)*S2867:S2896)*N2875)*IF(Inputs!$B$39="pvp",1,1+(Inputs!$B$20+((C2892=TRUE)*(F2892-Calc!F27))+Skills!P10+B2906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Hunt"),CHOOSE(ArtifactsInput!$N$35+1,15,18,21,24,27,30)*(1-EXP(-(0.2*B2901)*5)),0)+IF(AND(ArtifactsInput!$M$22,Inputs!$B$4&lt;&gt;"Chapter Hunt"),CHOOSE(ArtifactsInput!$N$22+1,10,12,14,16,18,20)*((0*(((0.15*B2901*5))^0/1)+1*(((0.15*B2901*5))^1/1)+2*(((0.15*B2901*5))^2/2)+3*(((0.15*B2901*5))^3/6)+4*(((0.15*B2901*5))^4/24)+5*(((0.15*B2901*5))^5/120))/((((0.15*B2901*5))^0/1)+(((0.15*B2901*5))^1/1)+(((0.15*B2901*5))^2/2)+(((0.15*B2901*5))^3/6)+(((0.15*B2901*5))^4/24)+(((0.15*B2901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2875*(1-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2875*(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2875*(1-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2875*(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75">
        <f>IF(C2875,(0.2*SUMPRODUCT((Skills!Z2:Z31=TRUE)*(C2867:C2896=TRUE)*S2867:S2896)*N2875)*IF(Inputs!$B$39="pvp",1,(1+(Inputs!$B$21+Skills!Q10+B2906+(IF(ArtifactsInput!$M$33,CHOOSE(ArtifactsInput!$N$33+1,30,36,42,48,54,60),0))+(IF(AND(ArtifactsInput!$M$35,Inputs!$B$4&lt;&gt;"Chapter Hunt"),CHOOSE(ArtifactsInput!$N$35+1,15,18,21,24,27,30)*(1-EXP(-(0.2*B2901)*5)),0)+IF(AND(ArtifactsInput!$M$22,Inputs!$B$4&lt;&gt;"Chapter Hunt"),CHOOSE(ArtifactsInput!$N$22+1,10,12,14,16,18,20)*((0*(((0.15*B2901*5))^0/1)+1*(((0.15*B2901*5))^1/1)+2*(((0.15*B2901*5))^2/2)+3*(((0.15*B2901*5))^3/6)+4*(((0.15*B2901*5))^4/24)+5*(((0.15*B2901*5))^5/120))/((((0.15*B2901*5))^0/1)+(((0.15*B2901*5))^1/1)+(((0.15*B2901*5))^2/2)+(((0.15*B2901*5))^3/6)+(((0.15*B2901*5))^4/24)+(((0.15*B2901*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76">
      <c r="A2876">
        <f>Skills!A11</f>
        <v/>
      </c>
      <c r="B2876">
        <f>Skills!B11</f>
        <v/>
      </c>
      <c r="C2876">
        <f>Inputs!$B$3&gt;=60</f>
        <v/>
      </c>
      <c r="D2876">
        <f>IF(Skills!C11=1,60+Inputs!$B$25+Inputs!$B$29,IF(Skills!C11=2,90+Inputs!$B$26+Inputs!$B$29,IF(Skills!C11=3,120+Inputs!$B$27+Inputs!$B$29,MAX(0,(Inputs!$B$3-100)*3)+Inputs!$B$28+Inputs!$B$29)))</f>
        <v/>
      </c>
      <c r="E2876">
        <f>INDEX(FactorTable!$B$2:$Y$301, MATCH(ROUND(MIN(300,MAX(1,D2876)),0), FactorTable!$A$2:$A$301,0), Skills!M11+1)</f>
        <v/>
      </c>
      <c r="F2876">
        <f>IF(Skills!N11=TRUE,(Skills!L11/10)*(E2876/1000),Skills!L11/10)+Skills!O11</f>
        <v/>
      </c>
      <c r="G2876">
        <f>Calc!G11</f>
        <v/>
      </c>
      <c r="H2876">
        <f>Calc!H11</f>
        <v/>
      </c>
      <c r="I2876">
        <f>IF(Skills!AA11&lt;&gt;"",1+(Skills!AA11/10)*(U2868/1000)/100,1)</f>
        <v/>
      </c>
      <c r="J2876" t="inlineStr"/>
      <c r="K2876" t="inlineStr"/>
      <c r="L2876" t="inlineStr"/>
      <c r="M2876" t="inlineStr"/>
      <c r="N2876" t="inlineStr"/>
      <c r="O2876">
        <f>(1-Summary!$B$11)*T2876+Summary!$B$11*V2876</f>
        <v/>
      </c>
      <c r="P2876">
        <f>IF(B2909=0,0,O2876/B2909)</f>
        <v/>
      </c>
      <c r="Q2876" t="n">
        <v>0</v>
      </c>
      <c r="R2876" t="n">
        <v>0</v>
      </c>
      <c r="S2876">
        <f>IFERROR(O2876/N2876,0)</f>
        <v/>
      </c>
      <c r="T2876" t="n">
        <v>0</v>
      </c>
      <c r="V2876" t="n">
        <v>0</v>
      </c>
    </row>
    <row r="2877">
      <c r="A2877">
        <f>Skills!A12</f>
        <v/>
      </c>
      <c r="B2877">
        <f>Skills!B12</f>
        <v/>
      </c>
      <c r="C2877">
        <f>Inputs!$B$3&gt;=103</f>
        <v/>
      </c>
      <c r="D2877">
        <f>IF(Skills!C12=1,60+Inputs!$B$25+Inputs!$B$29,IF(Skills!C12=2,90+Inputs!$B$26+Inputs!$B$29,IF(Skills!C12=3,120+Inputs!$B$27+Inputs!$B$29,MAX(0,(Inputs!$B$3-100)*3)+Inputs!$B$28+Inputs!$B$29)))</f>
        <v/>
      </c>
      <c r="E2877">
        <f>INDEX(FactorTable!$B$2:$Y$301, MATCH(ROUND(MIN(300,MAX(1,D2877)),0), FactorTable!$A$2:$A$301,0), Skills!M12+1)</f>
        <v/>
      </c>
      <c r="F2877">
        <f>IF(Skills!N12=TRUE,(Skills!L12/10)*(E2877/1000),Skills!L12/10)+Skills!O12</f>
        <v/>
      </c>
      <c r="G2877">
        <f>Calc!G12</f>
        <v/>
      </c>
      <c r="H2877">
        <f>Calc!H12</f>
        <v/>
      </c>
      <c r="I2877">
        <f>IF(Skills!AA12&lt;&gt;"",1+(Skills!AA12/10)*(U2868/1000)/100,1)</f>
        <v/>
      </c>
      <c r="J2877">
        <f>((Inputs!$B$6*(1+Inputs!$B$7/100))+(((Inputs!$B$12*(1+Inputs!$B$13/100))-(Inputs!$B$12*(1+Inputs!$B$13/100)))+0.25*(Inputs!$B$14-Inputs!$B$14))*(1+Inputs!$B$7/100))*(F2877/100)</f>
        <v/>
      </c>
      <c r="K2877">
        <f>J2877*(1+((Inputs!$B$12*(1+Inputs!$B$13/100))*0.01+Inputs!$B$14*0.0025)/100)*(1+Inputs!$B$15/100)*(1+Inputs!$B$16/100)*(5000/(6000+Inputs!$B$43*(1-(100*(1-(1-(Inputs!$B$19+0)/100)*(1-CHOOSE(ArtifactsInput!$N$40+1,5,6,7,8,9,10)/100)^(ArtifactsInput!$M$40-ArtifactsInput!$M$40)))/100)))*(1+(Inputs!$B$24+((C2895=TRUE)*(F2895-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2888=TRUE)*(F2888-Calc!F23))+(((IF(AND(ArtifactsInput!$M$42,((Inputs!$B$9+((C2890=TRUE)*(F2890-Calc!F25))+B2905+(ArtifactsInput!$M$24-ArtifactsInput!$M$24)*CHOOSE(ArtifactsInput!$N$24+1,10,12,14,16,18,20)+IF(ArtifactsInput!$M$10,CHOOSE(ArtifactsInput!$N$10+1,15,18,21,24,27,30)*(IF(Inputs!$B$39="pvp",MIN(15,15)/15,IF(AND(Inputs!$B$39&lt;&gt;"pvp",Inputs!$B$44&gt;0),MIN(15,Inputs!$B$44)/(Inputs!$B$44),0))),0)))&gt;=100),MIN(100,((Inputs!$B$9+((C2890=TRUE)*(F2890-Calc!F25))+B2905+(ArtifactsInput!$M$24-ArtifactsInput!$M$24)*CHOOSE(ArtifactsInput!$N$24+1,10,12,14,16,18,20)+IF(ArtifactsInput!$M$10,CHOOSE(ArtifactsInput!$N$10+1,15,18,21,24,27,30)*(IF(Inputs!$B$39="pvp",MIN(15,15)/15,IF(AND(Inputs!$B$39&lt;&gt;"pvp",Inputs!$B$44&gt;0),MIN(15,Inputs!$B$44)/(Inputs!$B$44),0))),0)))-100),0))*CHOOSE(ArtifactsInput!$N$42+1,0.6,0.72,0.84,0.96,1.08,1.2))),Inputs!$B$18+((C2894=TRUE)*(F2894-Calc!F29))+(IF(AND(ArtifactsInput!$M$42,((Inputs!$B$9+((C2890=TRUE)*(F2890-Calc!F25))+B2905+(ArtifactsInput!$M$24-ArtifactsInput!$M$24)*CHOOSE(ArtifactsInput!$N$24+1,10,12,14,16,18,20)+IF(ArtifactsInput!$M$10,CHOOSE(ArtifactsInput!$N$10+1,15,18,21,24,27,30)*(IF(Inputs!$B$39="pvp",MIN(15,15)/15,IF(AND(Inputs!$B$39&lt;&gt;"pvp",Inputs!$B$44&gt;0),MIN(15,Inputs!$B$44)/(Inputs!$B$44),0))),0)))&gt;=100),CHOOSE(ArtifactsInput!$N$42+1,40,48,56,64,72,80),0))))/100)*(((1+(((C2886=TRUE)*F2886*IF(AND(Inputs!$B$39&lt;&gt;"pvp",Inputs!$B$44&gt;0),(((R2886-1)*(Skills!Y21*(1+Inputs!$B$34/100))+MIN((Skills!Y21*(1+Inputs!$B$34/100)),MAX(0,Inputs!$B$44-((R2886-1)*Skills!D21))))/Inputs!$B$44),IF(Inputs!$B$39="pvp",MIN((Skills!Y21*(1+Inputs!$B$34/100)),15)/15,(Skills!Y21*(1+Inputs!$B$34/100))/Skills!D21)))+((C2893=TRUE)*(F2893-Calc!F28))+((C2883=TRUE)*(F2883-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2880=TRUE)*F2880*IF(AND(Inputs!$B$39&lt;&gt;"pvp",Inputs!$B$44&gt;0),(((R2880-1)*(Skills!Y15*(1+Inputs!$B$34/100))+MIN((Skills!Y15*(1+Inputs!$B$34/100)),MAX(0,Inputs!$B$44-((R2880-1)*Skills!D15))))/Inputs!$B$44),IF(Inputs!$B$39="pvp",MIN((Skills!Y15*(1+Inputs!$B$34/100)),15)/15,(Skills!Y15*(1+Inputs!$B$34/100))/Skills!D15)))/100)*(1+((C2871=TRUE)*F2871*B2899)/100))*B2907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2877)</f>
        <v/>
      </c>
      <c r="L2877">
        <f>K2877*(MIN(Inputs!$B$22+((C2889=TRUE)*(F2889-Calc!F24)),(Inputs!$B$23+0+(IF(ArtifactsInput!$M$15,CHOOSE(ArtifactsInput!$N$15+1,25,30,35,40,45,50)/100*(Inputs!$B$11-Inputs!$B$11),0))))/100+(Inputs!$B$23+0+(IF(ArtifactsInput!$M$15,CHOOSE(ArtifactsInput!$N$15+1,25,30,35,40,45,50)/100*(Inputs!$B$11-Inputs!$B$11),0)))/100)/2</f>
        <v/>
      </c>
      <c r="M2877">
        <f>L2877*(1+(Inputs!$B$10+((C2891=TRUE)*(F2891-Calc!F26))+B2908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77">
        <f>L2877*(1-MIN((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2877*(MIN((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77">
        <f>(1-Summary!$B$11)*T2877+Summary!$B$11*V2877</f>
        <v/>
      </c>
      <c r="P2877">
        <f>IF(B2909=0,0,O2877/B2909)</f>
        <v/>
      </c>
      <c r="Q2877">
        <f>IFERROR(1/IF(Inputs!$B$39="pvp",15,MAX(0.1,Skills!D12-IF(Skills!E12=TRUE,Inputs!$B$32,0))),0)</f>
        <v/>
      </c>
      <c r="R2877">
        <f>IF(AND(Inputs!$B$39&lt;&gt;"pvp",Inputs!$B$44&gt;0),IF(MAX(0,Inputs!$B$44-B2910)&lt;=0,0,(INT(MAX(0,Inputs!$B$44-B2910)/IF(Inputs!$B$39="pvp",15,MAX(0.1,Skills!D12-IF(Skills!E12=TRUE,Inputs!$B$32,0))))+1)),0)</f>
        <v/>
      </c>
      <c r="S2877">
        <f>IFERROR(O2877/N2877,0)</f>
        <v/>
      </c>
      <c r="T2877">
        <f>IF(C2877,(H2877*N2877*IF(AND(Inputs!$B$39&lt;&gt;"pvp",Inputs!$B$44&gt;0),((Skills!G12*((R2877-1)*IF(Skills!H12&gt;0,Skills!I12/Skills!H12,1)+IF(Skills!H12&gt;0,MIN(Skills!I12,MAX(0,MAX(0,Inputs!$B$44-B2910)-((R2877-1)*IF(Inputs!$B$39="pvp",15,MAX(0.1,Skills!D12-IF(Skills!E12=TRUE,Inputs!$B$32,0))))))/Skills!H12,1)))/Inputs!$B$44),G2877*Q2877))*IF(Inputs!$B$39="pvp",1,1+(Inputs!$B$20+((C2892=TRUE)*(F2892-Calc!F27))+Skills!P12+B2906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Hunt"),CHOOSE(ArtifactsInput!$N$35+1,15,18,21,24,27,30)*(1-EXP(-(0.2*B2901)*5)),0)+IF(AND(ArtifactsInput!$M$22,Inputs!$B$4&lt;&gt;"Chapter Hunt"),CHOOSE(ArtifactsInput!$N$22+1,10,12,14,16,18,20)*((0*(((0.15*B2901*5))^0/1)+1*(((0.15*B2901*5))^1/1)+2*(((0.15*B2901*5))^2/2)+3*(((0.15*B2901*5))^3/6)+4*(((0.15*B2901*5))^4/24)+5*(((0.15*B2901*5))^5/120))/((((0.15*B2901*5))^0/1)+(((0.15*B2901*5))^1/1)+(((0.15*B2901*5))^2/2)+(((0.15*B2901*5))^3/6)+(((0.15*B2901*5))^4/24)+(((0.15*B2901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2877*(1-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2877*(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2877*(1-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2877*(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77">
        <f>IF(C2877,(H2877*N2877*IF(AND(Inputs!$B$39&lt;&gt;"pvp",Inputs!$B$44&gt;0),((Skills!G12*((R2877-1)*IF(Skills!H12&gt;0,Skills!I12/Skills!H12,1)+IF(Skills!H12&gt;0,MIN(Skills!I12,MAX(0,MAX(0,Inputs!$B$44-B2910)-((R2877-1)*IF(Inputs!$B$39="pvp",15,MAX(0.1,Skills!D12-IF(Skills!E12=TRUE,Inputs!$B$32,0))))))/Skills!H12,1)))/Inputs!$B$44),G2877*Q2877))*IF(Inputs!$B$39="pvp",1,(1+(Inputs!$B$21+Skills!Q12+B2906+(IF(ArtifactsInput!$M$33,CHOOSE(ArtifactsInput!$N$33+1,30,36,42,48,54,60),0))+(IF(AND(ArtifactsInput!$M$35,Inputs!$B$4&lt;&gt;"Chapter Hunt"),CHOOSE(ArtifactsInput!$N$35+1,15,18,21,24,27,30)*(1-EXP(-(0.2*B2901)*5)),0)+IF(AND(ArtifactsInput!$M$22,Inputs!$B$4&lt;&gt;"Chapter Hunt"),CHOOSE(ArtifactsInput!$N$22+1,10,12,14,16,18,20)*((0*(((0.15*B2901*5))^0/1)+1*(((0.15*B2901*5))^1/1)+2*(((0.15*B2901*5))^2/2)+3*(((0.15*B2901*5))^3/6)+4*(((0.15*B2901*5))^4/24)+5*(((0.15*B2901*5))^5/120))/((((0.15*B2901*5))^0/1)+(((0.15*B2901*5))^1/1)+(((0.15*B2901*5))^2/2)+(((0.15*B2901*5))^3/6)+(((0.15*B2901*5))^4/24)+(((0.15*B2901*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78">
      <c r="A2878">
        <f>Skills!A13</f>
        <v/>
      </c>
      <c r="B2878">
        <f>Skills!B13</f>
        <v/>
      </c>
      <c r="C2878">
        <f>Inputs!$B$3&gt;=105</f>
        <v/>
      </c>
      <c r="D2878">
        <f>IF(Skills!C13=1,60+Inputs!$B$25+Inputs!$B$29,IF(Skills!C13=2,90+Inputs!$B$26+Inputs!$B$29,IF(Skills!C13=3,120+Inputs!$B$27+Inputs!$B$29,MAX(0,(Inputs!$B$3-100)*3)+Inputs!$B$28+Inputs!$B$29)))</f>
        <v/>
      </c>
      <c r="E2878">
        <f>INDEX(FactorTable!$B$2:$Y$301, MATCH(ROUND(MIN(300,MAX(1,D2878)),0), FactorTable!$A$2:$A$301,0), Skills!M13+1)</f>
        <v/>
      </c>
      <c r="F2878">
        <f>IF(Skills!N13=TRUE,(Skills!L13/10)*(E2878/1000),Skills!L13/10)+Skills!O13</f>
        <v/>
      </c>
      <c r="G2878">
        <f>Calc!G13</f>
        <v/>
      </c>
      <c r="H2878">
        <f>Calc!H13</f>
        <v/>
      </c>
      <c r="I2878">
        <f>IF(Skills!AA13&lt;&gt;"",1+(Skills!AA13/10)*(U2868/1000)/100,1)</f>
        <v/>
      </c>
      <c r="J2878">
        <f>((Inputs!$B$6*(1+Inputs!$B$7/100))+(((Inputs!$B$12*(1+Inputs!$B$13/100))-(Inputs!$B$12*(1+Inputs!$B$13/100)))+0.25*(Inputs!$B$14-Inputs!$B$14))*(1+Inputs!$B$7/100))*(F2878/100)</f>
        <v/>
      </c>
      <c r="K2878">
        <f>J2878*(1+((Inputs!$B$12*(1+Inputs!$B$13/100))*0.01+Inputs!$B$14*0.0025)/100)*(1+Inputs!$B$15/100)*(1+Inputs!$B$16/100)*(5000/(6000+Inputs!$B$43*(1-(100*(1-(1-(Inputs!$B$19+0)/100)*(1-CHOOSE(ArtifactsInput!$N$40+1,5,6,7,8,9,10)/100)^(ArtifactsInput!$M$40-ArtifactsInput!$M$40)))/100)))*(1+(Inputs!$B$24+((C2895=TRUE)*(F2895-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2888=TRUE)*(F2888-Calc!F23))+(((IF(AND(ArtifactsInput!$M$42,((Inputs!$B$9+((C2890=TRUE)*(F2890-Calc!F25))+B2905+(ArtifactsInput!$M$24-ArtifactsInput!$M$24)*CHOOSE(ArtifactsInput!$N$24+1,10,12,14,16,18,20)+IF(ArtifactsInput!$M$10,CHOOSE(ArtifactsInput!$N$10+1,15,18,21,24,27,30)*(IF(Inputs!$B$39="pvp",MIN(15,15)/15,IF(AND(Inputs!$B$39&lt;&gt;"pvp",Inputs!$B$44&gt;0),MIN(15,Inputs!$B$44)/(Inputs!$B$44),0))),0)))&gt;=100),MIN(100,((Inputs!$B$9+((C2890=TRUE)*(F2890-Calc!F25))+B2905+(ArtifactsInput!$M$24-ArtifactsInput!$M$24)*CHOOSE(ArtifactsInput!$N$24+1,10,12,14,16,18,20)+IF(ArtifactsInput!$M$10,CHOOSE(ArtifactsInput!$N$10+1,15,18,21,24,27,30)*(IF(Inputs!$B$39="pvp",MIN(15,15)/15,IF(AND(Inputs!$B$39&lt;&gt;"pvp",Inputs!$B$44&gt;0),MIN(15,Inputs!$B$44)/(Inputs!$B$44),0))),0)))-100),0))*CHOOSE(ArtifactsInput!$N$42+1,0.6,0.72,0.84,0.96,1.08,1.2))),Inputs!$B$18+((C2894=TRUE)*(F2894-Calc!F29))+(IF(AND(ArtifactsInput!$M$42,((Inputs!$B$9+((C2890=TRUE)*(F2890-Calc!F25))+B2905+(ArtifactsInput!$M$24-ArtifactsInput!$M$24)*CHOOSE(ArtifactsInput!$N$24+1,10,12,14,16,18,20)+IF(ArtifactsInput!$M$10,CHOOSE(ArtifactsInput!$N$10+1,15,18,21,24,27,30)*(IF(Inputs!$B$39="pvp",MIN(15,15)/15,IF(AND(Inputs!$B$39&lt;&gt;"pvp",Inputs!$B$44&gt;0),MIN(15,Inputs!$B$44)/(Inputs!$B$44),0))),0)))&gt;=100),CHOOSE(ArtifactsInput!$N$42+1,40,48,56,64,72,80),0))))/100)*(((1+(((C2886=TRUE)*F2886*IF(AND(Inputs!$B$39&lt;&gt;"pvp",Inputs!$B$44&gt;0),(((R2886-1)*(Skills!Y21*(1+Inputs!$B$34/100))+MIN((Skills!Y21*(1+Inputs!$B$34/100)),MAX(0,Inputs!$B$44-((R2886-1)*Skills!D21))))/Inputs!$B$44),IF(Inputs!$B$39="pvp",MIN((Skills!Y21*(1+Inputs!$B$34/100)),15)/15,(Skills!Y21*(1+Inputs!$B$34/100))/Skills!D21)))+((C2893=TRUE)*(F2893-Calc!F28))+((C2883=TRUE)*(F2883-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2880=TRUE)*F2880*IF(AND(Inputs!$B$39&lt;&gt;"pvp",Inputs!$B$44&gt;0),(((R2880-1)*(Skills!Y15*(1+Inputs!$B$34/100))+MIN((Skills!Y15*(1+Inputs!$B$34/100)),MAX(0,Inputs!$B$44-((R2880-1)*Skills!D15))))/Inputs!$B$44),IF(Inputs!$B$39="pvp",MIN((Skills!Y15*(1+Inputs!$B$34/100)),15)/15,(Skills!Y15*(1+Inputs!$B$34/100))/Skills!D15)))/100)*(1+((C2871=TRUE)*F2871*B2899)/100))*B2907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2878)</f>
        <v/>
      </c>
      <c r="L2878">
        <f>K2878*(MIN(Inputs!$B$22+((C2889=TRUE)*(F2889-Calc!F24)),(Inputs!$B$23+0+(IF(ArtifactsInput!$M$15,CHOOSE(ArtifactsInput!$N$15+1,25,30,35,40,45,50)/100*(Inputs!$B$11-Inputs!$B$11),0))))/100+(Inputs!$B$23+0+(IF(ArtifactsInput!$M$15,CHOOSE(ArtifactsInput!$N$15+1,25,30,35,40,45,50)/100*(Inputs!$B$11-Inputs!$B$11),0)))/100)/2</f>
        <v/>
      </c>
      <c r="M2878">
        <f>L2878*(1+(Inputs!$B$10+((C2891=TRUE)*(F2891-Calc!F26))+B2908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78">
        <f>L2878*(1-MIN((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2878*(MIN((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78">
        <f>(1-Summary!$B$11)*T2878+Summary!$B$11*V2878</f>
        <v/>
      </c>
      <c r="P2878">
        <f>IF(B2909=0,0,O2878/B2909)</f>
        <v/>
      </c>
      <c r="Q2878">
        <f>IFERROR(1/IF(Inputs!$B$39="pvp",15,MAX(0.1,Skills!D13-IF(Skills!E13=TRUE,Inputs!$B$32,0))),0)</f>
        <v/>
      </c>
      <c r="R2878">
        <f>IF(AND(Inputs!$B$39&lt;&gt;"pvp",Inputs!$B$44&gt;0),IF(MAX(0,Inputs!$B$44-B2910)&lt;=0,0,(INT(MAX(0,Inputs!$B$44-B2910)/IF(Inputs!$B$39="pvp",15,MAX(0.1,Skills!D13-IF(Skills!E13=TRUE,Inputs!$B$32,0))))+1)),0)</f>
        <v/>
      </c>
      <c r="S2878">
        <f>IFERROR(O2878/N2878,0)</f>
        <v/>
      </c>
      <c r="T2878">
        <f>IF(C2878,(H2878*N2878*IF(AND(Inputs!$B$39&lt;&gt;"pvp",Inputs!$B$44&gt;0),((Skills!G13*((R2878-1)*IF(Skills!H13&gt;0,Skills!I13/Skills!H13,1)+IF(Skills!H13&gt;0,MIN(Skills!I13,MAX(0,MAX(0,Inputs!$B$44-B2910)-((R2878-1)*IF(Inputs!$B$39="pvp",15,MAX(0.1,Skills!D13-IF(Skills!E13=TRUE,Inputs!$B$32,0))))))/Skills!H13,1)))/Inputs!$B$44),G2878*Q2878))*IF(Inputs!$B$39="pvp",1,1+(Inputs!$B$20+((C2892=TRUE)*(F2892-Calc!F27))+Skills!P13+B2906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Hunt"),CHOOSE(ArtifactsInput!$N$35+1,15,18,21,24,27,30)*(1-EXP(-(0.2*B2901)*5)),0)+IF(AND(ArtifactsInput!$M$22,Inputs!$B$4&lt;&gt;"Chapter Hunt"),CHOOSE(ArtifactsInput!$N$22+1,10,12,14,16,18,20)*((0*(((0.15*B2901*5))^0/1)+1*(((0.15*B2901*5))^1/1)+2*(((0.15*B2901*5))^2/2)+3*(((0.15*B2901*5))^3/6)+4*(((0.15*B2901*5))^4/24)+5*(((0.15*B2901*5))^5/120))/((((0.15*B2901*5))^0/1)+(((0.15*B2901*5))^1/1)+(((0.15*B2901*5))^2/2)+(((0.15*B2901*5))^3/6)+(((0.15*B2901*5))^4/24)+(((0.15*B2901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2878*(1-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2878*(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2878*(1-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2878*(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78">
        <f>IF(C2878,(H2878*N2878*IF(AND(Inputs!$B$39&lt;&gt;"pvp",Inputs!$B$44&gt;0),((Skills!G13*((R2878-1)*IF(Skills!H13&gt;0,Skills!I13/Skills!H13,1)+IF(Skills!H13&gt;0,MIN(Skills!I13,MAX(0,MAX(0,Inputs!$B$44-B2910)-((R2878-1)*IF(Inputs!$B$39="pvp",15,MAX(0.1,Skills!D13-IF(Skills!E13=TRUE,Inputs!$B$32,0))))))/Skills!H13,1)))/Inputs!$B$44),G2878*Q2878))*IF(Inputs!$B$39="pvp",1,(1+(Inputs!$B$21+Skills!Q13+B2906+(IF(ArtifactsInput!$M$33,CHOOSE(ArtifactsInput!$N$33+1,30,36,42,48,54,60),0))+(IF(AND(ArtifactsInput!$M$35,Inputs!$B$4&lt;&gt;"Chapter Hunt"),CHOOSE(ArtifactsInput!$N$35+1,15,18,21,24,27,30)*(1-EXP(-(0.2*B2901)*5)),0)+IF(AND(ArtifactsInput!$M$22,Inputs!$B$4&lt;&gt;"Chapter Hunt"),CHOOSE(ArtifactsInput!$N$22+1,10,12,14,16,18,20)*((0*(((0.15*B2901*5))^0/1)+1*(((0.15*B2901*5))^1/1)+2*(((0.15*B2901*5))^2/2)+3*(((0.15*B2901*5))^3/6)+4*(((0.15*B2901*5))^4/24)+5*(((0.15*B2901*5))^5/120))/((((0.15*B2901*5))^0/1)+(((0.15*B2901*5))^1/1)+(((0.15*B2901*5))^2/2)+(((0.15*B2901*5))^3/6)+(((0.15*B2901*5))^4/24)+(((0.15*B2901*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79">
      <c r="A2879">
        <f>Skills!A14</f>
        <v/>
      </c>
      <c r="B2879">
        <f>Skills!B14</f>
        <v/>
      </c>
      <c r="C2879">
        <f>Inputs!$B$3&gt;=105</f>
        <v/>
      </c>
      <c r="D2879">
        <f>IF(Skills!C14=1,60+Inputs!$B$25+Inputs!$B$29,IF(Skills!C14=2,90+Inputs!$B$26+Inputs!$B$29,IF(Skills!C14=3,120+Inputs!$B$27+Inputs!$B$29,MAX(0,(Inputs!$B$3-100)*3)+Inputs!$B$28+Inputs!$B$29)))</f>
        <v/>
      </c>
      <c r="E2879">
        <f>INDEX(FactorTable!$B$2:$Y$301, MATCH(ROUND(MIN(300,MAX(1,D2879)),0), FactorTable!$A$2:$A$301,0), Skills!M14+1)</f>
        <v/>
      </c>
      <c r="F2879">
        <f>IF(Skills!N14=TRUE,(Skills!L14/10)*(E2879/1000),Skills!L14/10)+Skills!O14</f>
        <v/>
      </c>
      <c r="G2879">
        <f>Calc!G14</f>
        <v/>
      </c>
      <c r="H2879">
        <f>Calc!H14</f>
        <v/>
      </c>
      <c r="I2879">
        <f>IF(Skills!AA14&lt;&gt;"",1+(Skills!AA14/10)*(U2868/1000)/100,1)</f>
        <v/>
      </c>
      <c r="J2879">
        <f>((Inputs!$B$6*(1+Inputs!$B$7/100))+(((Inputs!$B$12*(1+Inputs!$B$13/100))-(Inputs!$B$12*(1+Inputs!$B$13/100)))+0.25*(Inputs!$B$14-Inputs!$B$14))*(1+Inputs!$B$7/100))*(F2879/100)</f>
        <v/>
      </c>
      <c r="K2879">
        <f>J2879*(1+((Inputs!$B$12*(1+Inputs!$B$13/100))*0.01+Inputs!$B$14*0.0025)/100)*(1+Inputs!$B$15/100)*(1+Inputs!$B$16/100)*(5000/(6000+Inputs!$B$43*(1-(100*(1-(1-(Inputs!$B$19+0)/100)*(1-CHOOSE(ArtifactsInput!$N$40+1,5,6,7,8,9,10)/100)^(ArtifactsInput!$M$40-ArtifactsInput!$M$40)))/100)))*(1+(Inputs!$B$24+((C2895=TRUE)*(F2895-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2888=TRUE)*(F2888-Calc!F23))+(((IF(AND(ArtifactsInput!$M$42,((Inputs!$B$9+((C2890=TRUE)*(F2890-Calc!F25))+B2905+(ArtifactsInput!$M$24-ArtifactsInput!$M$24)*CHOOSE(ArtifactsInput!$N$24+1,10,12,14,16,18,20)+IF(ArtifactsInput!$M$10,CHOOSE(ArtifactsInput!$N$10+1,15,18,21,24,27,30)*(IF(Inputs!$B$39="pvp",MIN(15,15)/15,IF(AND(Inputs!$B$39&lt;&gt;"pvp",Inputs!$B$44&gt;0),MIN(15,Inputs!$B$44)/(Inputs!$B$44),0))),0)))&gt;=100),MIN(100,((Inputs!$B$9+((C2890=TRUE)*(F2890-Calc!F25))+B2905+(ArtifactsInput!$M$24-ArtifactsInput!$M$24)*CHOOSE(ArtifactsInput!$N$24+1,10,12,14,16,18,20)+IF(ArtifactsInput!$M$10,CHOOSE(ArtifactsInput!$N$10+1,15,18,21,24,27,30)*(IF(Inputs!$B$39="pvp",MIN(15,15)/15,IF(AND(Inputs!$B$39&lt;&gt;"pvp",Inputs!$B$44&gt;0),MIN(15,Inputs!$B$44)/(Inputs!$B$44),0))),0)))-100),0))*CHOOSE(ArtifactsInput!$N$42+1,0.6,0.72,0.84,0.96,1.08,1.2))),Inputs!$B$18+((C2894=TRUE)*(F2894-Calc!F29))+(IF(AND(ArtifactsInput!$M$42,((Inputs!$B$9+((C2890=TRUE)*(F2890-Calc!F25))+B2905+(ArtifactsInput!$M$24-ArtifactsInput!$M$24)*CHOOSE(ArtifactsInput!$N$24+1,10,12,14,16,18,20)+IF(ArtifactsInput!$M$10,CHOOSE(ArtifactsInput!$N$10+1,15,18,21,24,27,30)*(IF(Inputs!$B$39="pvp",MIN(15,15)/15,IF(AND(Inputs!$B$39&lt;&gt;"pvp",Inputs!$B$44&gt;0),MIN(15,Inputs!$B$44)/(Inputs!$B$44),0))),0)))&gt;=100),CHOOSE(ArtifactsInput!$N$42+1,40,48,56,64,72,80),0))))/100)*(((1+(((C2886=TRUE)*F2886*IF(AND(Inputs!$B$39&lt;&gt;"pvp",Inputs!$B$44&gt;0),(((R2886-1)*(Skills!Y21*(1+Inputs!$B$34/100))+MIN((Skills!Y21*(1+Inputs!$B$34/100)),MAX(0,Inputs!$B$44-((R2886-1)*Skills!D21))))/Inputs!$B$44),IF(Inputs!$B$39="pvp",MIN((Skills!Y21*(1+Inputs!$B$34/100)),15)/15,(Skills!Y21*(1+Inputs!$B$34/100))/Skills!D21)))+((C2893=TRUE)*(F2893-Calc!F28))+((C2883=TRUE)*(F2883-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2880=TRUE)*F2880*IF(AND(Inputs!$B$39&lt;&gt;"pvp",Inputs!$B$44&gt;0),(((R2880-1)*(Skills!Y15*(1+Inputs!$B$34/100))+MIN((Skills!Y15*(1+Inputs!$B$34/100)),MAX(0,Inputs!$B$44-((R2880-1)*Skills!D15))))/Inputs!$B$44),IF(Inputs!$B$39="pvp",MIN((Skills!Y15*(1+Inputs!$B$34/100)),15)/15,(Skills!Y15*(1+Inputs!$B$34/100))/Skills!D15)))/100)*(1+((C2871=TRUE)*F2871*B2899)/100))*B2907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2879)</f>
        <v/>
      </c>
      <c r="L2879">
        <f>K2879*(MIN(Inputs!$B$22+((C2889=TRUE)*(F2889-Calc!F24)),(Inputs!$B$23+0+(IF(ArtifactsInput!$M$15,CHOOSE(ArtifactsInput!$N$15+1,25,30,35,40,45,50)/100*(Inputs!$B$11-Inputs!$B$11),0))))/100+(Inputs!$B$23+0+(IF(ArtifactsInput!$M$15,CHOOSE(ArtifactsInput!$N$15+1,25,30,35,40,45,50)/100*(Inputs!$B$11-Inputs!$B$11),0)))/100)/2</f>
        <v/>
      </c>
      <c r="M2879">
        <f>L2879*(1+(Inputs!$B$10+((C2891=TRUE)*(F2891-Calc!F26))+B2908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79">
        <f>L2879*(1-MIN((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2879*(MIN((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79">
        <f>(1-Summary!$B$11)*T2879+Summary!$B$11*V2879</f>
        <v/>
      </c>
      <c r="P2879">
        <f>IF(B2909=0,0,O2879/B2909)</f>
        <v/>
      </c>
      <c r="Q2879">
        <f>IFERROR(1/IF(Inputs!$B$39="pvp",15,MAX(0.1,Skills!D14-IF(Skills!E14=TRUE,Inputs!$B$32,0))),0)</f>
        <v/>
      </c>
      <c r="R2879">
        <f>IF(AND(Inputs!$B$39&lt;&gt;"pvp",Inputs!$B$44&gt;0),IF(MAX(0,Inputs!$B$44-B2910)&lt;=0,0,(INT(MAX(0,Inputs!$B$44-B2910)/IF(Inputs!$B$39="pvp",15,MAX(0.1,Skills!D14-IF(Skills!E14=TRUE,Inputs!$B$32,0))))+1)),0)</f>
        <v/>
      </c>
      <c r="S2879">
        <f>IFERROR(O2879/N2879,0)</f>
        <v/>
      </c>
      <c r="T2879">
        <f>IF(C2879,(H2879*N2879*IF(AND(Inputs!$B$39&lt;&gt;"pvp",Inputs!$B$44&gt;0),((Skills!G14*((R2879-1)*IF(Skills!H14&gt;0,Skills!I14/Skills!H14,1)+IF(Skills!H14&gt;0,MIN(Skills!I14,MAX(0,MAX(0,Inputs!$B$44-B2910)-((R2879-1)*IF(Inputs!$B$39="pvp",15,MAX(0.1,Skills!D14-IF(Skills!E14=TRUE,Inputs!$B$32,0))))))/Skills!H14,1)))/Inputs!$B$44),G2879*Q2879))*IF(Inputs!$B$39="pvp",1,1+(Inputs!$B$20+((C2892=TRUE)*(F2892-Calc!F27))+Skills!P14+B2906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Hunt"),CHOOSE(ArtifactsInput!$N$35+1,15,18,21,24,27,30)*(1-EXP(-(0.2*B2901)*5)),0)+IF(AND(ArtifactsInput!$M$22,Inputs!$B$4&lt;&gt;"Chapter Hunt"),CHOOSE(ArtifactsInput!$N$22+1,10,12,14,16,18,20)*((0*(((0.15*B2901*5))^0/1)+1*(((0.15*B2901*5))^1/1)+2*(((0.15*B2901*5))^2/2)+3*(((0.15*B2901*5))^3/6)+4*(((0.15*B2901*5))^4/24)+5*(((0.15*B2901*5))^5/120))/((((0.15*B2901*5))^0/1)+(((0.15*B2901*5))^1/1)+(((0.15*B2901*5))^2/2)+(((0.15*B2901*5))^3/6)+(((0.15*B2901*5))^4/24)+(((0.15*B2901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2879*(1-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2879*(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2879*(1-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2879*(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79">
        <f>IF(C2879,(H2879*N2879*IF(AND(Inputs!$B$39&lt;&gt;"pvp",Inputs!$B$44&gt;0),((Skills!G14*((R2879-1)*IF(Skills!H14&gt;0,Skills!I14/Skills!H14,1)+IF(Skills!H14&gt;0,MIN(Skills!I14,MAX(0,MAX(0,Inputs!$B$44-B2910)-((R2879-1)*IF(Inputs!$B$39="pvp",15,MAX(0.1,Skills!D14-IF(Skills!E14=TRUE,Inputs!$B$32,0))))))/Skills!H14,1)))/Inputs!$B$44),G2879*Q2879))*IF(Inputs!$B$39="pvp",1,(1+(Inputs!$B$21+Skills!Q14+B2906+(IF(ArtifactsInput!$M$33,CHOOSE(ArtifactsInput!$N$33+1,30,36,42,48,54,60),0))+(IF(AND(ArtifactsInput!$M$35,Inputs!$B$4&lt;&gt;"Chapter Hunt"),CHOOSE(ArtifactsInput!$N$35+1,15,18,21,24,27,30)*(1-EXP(-(0.2*B2901)*5)),0)+IF(AND(ArtifactsInput!$M$22,Inputs!$B$4&lt;&gt;"Chapter Hunt"),CHOOSE(ArtifactsInput!$N$22+1,10,12,14,16,18,20)*((0*(((0.15*B2901*5))^0/1)+1*(((0.15*B2901*5))^1/1)+2*(((0.15*B2901*5))^2/2)+3*(((0.15*B2901*5))^3/6)+4*(((0.15*B2901*5))^4/24)+5*(((0.15*B2901*5))^5/120))/((((0.15*B2901*5))^0/1)+(((0.15*B2901*5))^1/1)+(((0.15*B2901*5))^2/2)+(((0.15*B2901*5))^3/6)+(((0.15*B2901*5))^4/24)+(((0.15*B2901*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80">
      <c r="A2880">
        <f>Skills!A15</f>
        <v/>
      </c>
      <c r="B2880">
        <f>Skills!B15</f>
        <v/>
      </c>
      <c r="C2880">
        <f>Inputs!$B$3&gt;=110</f>
        <v/>
      </c>
      <c r="D2880">
        <f>IF(Skills!C15=1,60+Inputs!$B$25+Inputs!$B$29,IF(Skills!C15=2,90+Inputs!$B$26+Inputs!$B$29,IF(Skills!C15=3,120+Inputs!$B$27+Inputs!$B$29,MAX(0,(Inputs!$B$3-100)*3)+Inputs!$B$28+Inputs!$B$29)))</f>
        <v/>
      </c>
      <c r="E2880">
        <f>INDEX(FactorTable!$B$2:$Y$301, MATCH(ROUND(MIN(300,MAX(1,D2880)),0), FactorTable!$A$2:$A$301,0), Skills!M15+1)</f>
        <v/>
      </c>
      <c r="F2880">
        <f>IF(Skills!N15=TRUE,(Skills!L15/10)*(E2880/1000),Skills!L15/10)+Skills!O15</f>
        <v/>
      </c>
      <c r="G2880">
        <f>Calc!G15</f>
        <v/>
      </c>
      <c r="H2880">
        <f>Calc!H15</f>
        <v/>
      </c>
      <c r="I2880">
        <f>IF(Skills!AA15&lt;&gt;"",1+(Skills!AA15/10)*(U2868/1000)/100,1)</f>
        <v/>
      </c>
      <c r="J2880" t="inlineStr"/>
      <c r="K2880" t="inlineStr"/>
      <c r="L2880" t="inlineStr"/>
      <c r="M2880" t="inlineStr"/>
      <c r="N2880" t="inlineStr"/>
      <c r="O2880">
        <f>(1-Summary!$B$11)*T2880+Summary!$B$11*V2880</f>
        <v/>
      </c>
      <c r="P2880">
        <f>IF(B2909=0,0,O2880/B2909)</f>
        <v/>
      </c>
      <c r="Q2880">
        <f>IFERROR(1/IF(Inputs!$B$39="pvp",15,MAX(0.1,Skills!D15-IF(Skills!E15=TRUE,Inputs!$B$32,0))),0)</f>
        <v/>
      </c>
      <c r="R2880">
        <f>IF(AND(Inputs!$B$39&lt;&gt;"pvp",Inputs!$B$44&gt;0),IF(Inputs!$B$44&lt;=0,0,(INT(Inputs!$B$44/IF(Inputs!$B$39="pvp",15,MAX(0.1,Skills!D15-IF(Skills!E15=TRUE,Inputs!$B$32,0))))+1)),0)</f>
        <v/>
      </c>
      <c r="S2880">
        <f>IFERROR(O2880/N2880,0)</f>
        <v/>
      </c>
      <c r="T2880" t="n">
        <v>0</v>
      </c>
      <c r="V2880" t="n">
        <v>0</v>
      </c>
    </row>
    <row r="2881">
      <c r="A2881">
        <f>Skills!A16</f>
        <v/>
      </c>
      <c r="B2881">
        <f>Skills!B16</f>
        <v/>
      </c>
      <c r="C2881">
        <f>Inputs!$B$3&gt;=110</f>
        <v/>
      </c>
      <c r="D2881">
        <f>IF(Skills!C16=1,60+Inputs!$B$25+Inputs!$B$29,IF(Skills!C16=2,90+Inputs!$B$26+Inputs!$B$29,IF(Skills!C16=3,120+Inputs!$B$27+Inputs!$B$29,MAX(0,(Inputs!$B$3-100)*3)+Inputs!$B$28+Inputs!$B$29)))</f>
        <v/>
      </c>
      <c r="E2881">
        <f>INDEX(FactorTable!$B$2:$Y$301, MATCH(ROUND(MIN(300,MAX(1,D2881)),0), FactorTable!$A$2:$A$301,0), Skills!M16+1)</f>
        <v/>
      </c>
      <c r="F2881">
        <f>IF(Skills!N16=TRUE,(Skills!L16/10)*(E2881/1000),Skills!L16/10)+Skills!O16</f>
        <v/>
      </c>
      <c r="G2881">
        <f>Calc!G16</f>
        <v/>
      </c>
      <c r="H2881">
        <f>Calc!H16</f>
        <v/>
      </c>
      <c r="I2881">
        <f>IF(Skills!AA16&lt;&gt;"",1+(Skills!AA16/10)*(U2868/1000)/100,1)</f>
        <v/>
      </c>
      <c r="J2881" t="inlineStr"/>
      <c r="K2881" t="inlineStr"/>
      <c r="L2881" t="inlineStr"/>
      <c r="M2881" t="inlineStr"/>
      <c r="N2881" t="inlineStr"/>
      <c r="O2881">
        <f>(1-Summary!$B$11)*T2881+Summary!$B$11*V2881</f>
        <v/>
      </c>
      <c r="P2881">
        <f>IF(B2909=0,0,O2881/B2909)</f>
        <v/>
      </c>
      <c r="Q2881">
        <f>IFERROR(1/IF(Inputs!$B$39="pvp",15,MAX(0.1,Skills!D16-IF(Skills!E16=TRUE,Inputs!$B$32,0))),0)</f>
        <v/>
      </c>
      <c r="R2881">
        <f>IF(AND(Inputs!$B$39&lt;&gt;"pvp",Inputs!$B$44&gt;0),IF(Inputs!$B$44&lt;=0,0,(INT(Inputs!$B$44/IF(Inputs!$B$39="pvp",15,MAX(0.1,Skills!D16-IF(Skills!E16=TRUE,Inputs!$B$32,0))))+1)),0)</f>
        <v/>
      </c>
      <c r="S2881">
        <f>IFERROR(O2881/N2881,0)</f>
        <v/>
      </c>
      <c r="T2881" t="n">
        <v>0</v>
      </c>
      <c r="V2881" t="n">
        <v>0</v>
      </c>
    </row>
    <row r="2882">
      <c r="A2882">
        <f>Skills!A17</f>
        <v/>
      </c>
      <c r="B2882">
        <f>Skills!B17</f>
        <v/>
      </c>
      <c r="C2882">
        <f>Inputs!$B$3&gt;=115</f>
        <v/>
      </c>
      <c r="D2882">
        <f>IF(Skills!C17=1,60+Inputs!$B$25+Inputs!$B$29,IF(Skills!C17=2,90+Inputs!$B$26+Inputs!$B$29,IF(Skills!C17=3,120+Inputs!$B$27+Inputs!$B$29,MAX(0,(Inputs!$B$3-100)*3)+Inputs!$B$28+Inputs!$B$29)))</f>
        <v/>
      </c>
      <c r="E2882">
        <f>INDEX(FactorTable!$B$2:$Y$301, MATCH(ROUND(MIN(300,MAX(1,D2882)),0), FactorTable!$A$2:$A$301,0), Skills!M17+1)</f>
        <v/>
      </c>
      <c r="F2882">
        <f>IF(Skills!N17=TRUE,(Skills!L17/10)*(E2882/1000),Skills!L17/10)+Skills!O17</f>
        <v/>
      </c>
      <c r="G2882">
        <f>Calc!G17</f>
        <v/>
      </c>
      <c r="H2882">
        <f>Calc!H17</f>
        <v/>
      </c>
      <c r="I2882">
        <f>IF(Skills!AA17&lt;&gt;"",1+(Skills!AA17/10)*(U2868/1000)/100,1)</f>
        <v/>
      </c>
      <c r="J2882">
        <f>((Inputs!$B$6*(1+Inputs!$B$7/100))+(((Inputs!$B$12*(1+Inputs!$B$13/100))-(Inputs!$B$12*(1+Inputs!$B$13/100)))+0.25*(Inputs!$B$14-Inputs!$B$14))*(1+Inputs!$B$7/100))*(F2882/100)</f>
        <v/>
      </c>
      <c r="K2882">
        <f>J2882*(1+((Inputs!$B$12*(1+Inputs!$B$13/100))*0.01+Inputs!$B$14*0.0025)/100)*(1+Inputs!$B$15/100)*(1+Inputs!$B$16/100)*(5000/(6000+Inputs!$B$43*(1-(100*(1-(1-(Inputs!$B$19+0)/100)*(1-CHOOSE(ArtifactsInput!$N$40+1,5,6,7,8,9,10)/100)^(ArtifactsInput!$M$40-ArtifactsInput!$M$40)))/100)))*(1+(Inputs!$B$24+((C2895=TRUE)*(F2895-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2888=TRUE)*(F2888-Calc!F23))+(((IF(AND(ArtifactsInput!$M$42,((Inputs!$B$9+((C2890=TRUE)*(F2890-Calc!F25))+B2905+(ArtifactsInput!$M$24-ArtifactsInput!$M$24)*CHOOSE(ArtifactsInput!$N$24+1,10,12,14,16,18,20)+IF(ArtifactsInput!$M$10,CHOOSE(ArtifactsInput!$N$10+1,15,18,21,24,27,30)*(IF(Inputs!$B$39="pvp",MIN(15,15)/15,IF(AND(Inputs!$B$39&lt;&gt;"pvp",Inputs!$B$44&gt;0),MIN(15,Inputs!$B$44)/(Inputs!$B$44),0))),0)))&gt;=100),MIN(100,((Inputs!$B$9+((C2890=TRUE)*(F2890-Calc!F25))+B2905+(ArtifactsInput!$M$24-ArtifactsInput!$M$24)*CHOOSE(ArtifactsInput!$N$24+1,10,12,14,16,18,20)+IF(ArtifactsInput!$M$10,CHOOSE(ArtifactsInput!$N$10+1,15,18,21,24,27,30)*(IF(Inputs!$B$39="pvp",MIN(15,15)/15,IF(AND(Inputs!$B$39&lt;&gt;"pvp",Inputs!$B$44&gt;0),MIN(15,Inputs!$B$44)/(Inputs!$B$44),0))),0)))-100),0))*CHOOSE(ArtifactsInput!$N$42+1,0.6,0.72,0.84,0.96,1.08,1.2))),Inputs!$B$18+((C2894=TRUE)*(F2894-Calc!F29))+(IF(AND(ArtifactsInput!$M$42,((Inputs!$B$9+((C2890=TRUE)*(F2890-Calc!F25))+B2905+(ArtifactsInput!$M$24-ArtifactsInput!$M$24)*CHOOSE(ArtifactsInput!$N$24+1,10,12,14,16,18,20)+IF(ArtifactsInput!$M$10,CHOOSE(ArtifactsInput!$N$10+1,15,18,21,24,27,30)*(IF(Inputs!$B$39="pvp",MIN(15,15)/15,IF(AND(Inputs!$B$39&lt;&gt;"pvp",Inputs!$B$44&gt;0),MIN(15,Inputs!$B$44)/(Inputs!$B$44),0))),0)))&gt;=100),CHOOSE(ArtifactsInput!$N$42+1,40,48,56,64,72,80),0))))/100)*(((1+(((C2886=TRUE)*F2886*IF(AND(Inputs!$B$39&lt;&gt;"pvp",Inputs!$B$44&gt;0),(((R2886-1)*(Skills!Y21*(1+Inputs!$B$34/100))+MIN((Skills!Y21*(1+Inputs!$B$34/100)),MAX(0,Inputs!$B$44-((R2886-1)*Skills!D21))))/Inputs!$B$44),IF(Inputs!$B$39="pvp",MIN((Skills!Y21*(1+Inputs!$B$34/100)),15)/15,(Skills!Y21*(1+Inputs!$B$34/100))/Skills!D21)))+((C2893=TRUE)*(F2893-Calc!F28))+((C2883=TRUE)*(F2883-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2880=TRUE)*F2880*IF(AND(Inputs!$B$39&lt;&gt;"pvp",Inputs!$B$44&gt;0),(((R2880-1)*(Skills!Y15*(1+Inputs!$B$34/100))+MIN((Skills!Y15*(1+Inputs!$B$34/100)),MAX(0,Inputs!$B$44-((R2880-1)*Skills!D15))))/Inputs!$B$44),IF(Inputs!$B$39="pvp",MIN((Skills!Y15*(1+Inputs!$B$34/100)),15)/15,(Skills!Y15*(1+Inputs!$B$34/100))/Skills!D15)))/100)*(1+((C2871=TRUE)*F2871*B2899)/100))*B2907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2882)</f>
        <v/>
      </c>
      <c r="L2882">
        <f>K2882*(MIN(Inputs!$B$22+((C2889=TRUE)*(F2889-Calc!F24)),(Inputs!$B$23+0+(IF(ArtifactsInput!$M$15,CHOOSE(ArtifactsInput!$N$15+1,25,30,35,40,45,50)/100*(Inputs!$B$11-Inputs!$B$11),0))))/100+(Inputs!$B$23+0+(IF(ArtifactsInput!$M$15,CHOOSE(ArtifactsInput!$N$15+1,25,30,35,40,45,50)/100*(Inputs!$B$11-Inputs!$B$11),0)))/100)/2</f>
        <v/>
      </c>
      <c r="M2882">
        <f>L2882*(1+(Inputs!$B$10+((C2891=TRUE)*(F2891-Calc!F26))+B2908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82">
        <f>L2882*(1-MIN((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2882*(MIN((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82">
        <f>(1-Summary!$B$11)*T2882+Summary!$B$11*V2882</f>
        <v/>
      </c>
      <c r="P2882">
        <f>IF(B2909=0,0,O2882/B2909)</f>
        <v/>
      </c>
      <c r="Q2882" t="n">
        <v>0</v>
      </c>
      <c r="R2882" t="n">
        <v>0</v>
      </c>
      <c r="S2882">
        <f>IFERROR(O2882/N2882,0)</f>
        <v/>
      </c>
      <c r="T2882">
        <f>IF(C2882,(Inputs!$B$38*0.2*N2882)*IF(Inputs!$B$39="pvp",1,1+(Inputs!$B$20+((C2892=TRUE)*(F2892-Calc!F27))+Skills!P17+B2906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Hunt"),CHOOSE(ArtifactsInput!$N$35+1,15,18,21,24,27,30)*(1-EXP(-(0.2*B2901)*5)),0)+IF(AND(ArtifactsInput!$M$22,Inputs!$B$4&lt;&gt;"Chapter Hunt"),CHOOSE(ArtifactsInput!$N$22+1,10,12,14,16,18,20)*((0*(((0.15*B2901*5))^0/1)+1*(((0.15*B2901*5))^1/1)+2*(((0.15*B2901*5))^2/2)+3*(((0.15*B2901*5))^3/6)+4*(((0.15*B2901*5))^4/24)+5*(((0.15*B2901*5))^5/120))/((((0.15*B2901*5))^0/1)+(((0.15*B2901*5))^1/1)+(((0.15*B2901*5))^2/2)+(((0.15*B2901*5))^3/6)+(((0.15*B2901*5))^4/24)+(((0.15*B2901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2882*(1-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2882*(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2882*(1-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2882*(MIN(100,(Inputs!$B$9+((C2890=TRUE)*(F2890-Calc!F25))+B2905+(ArtifactsInput!$M$24-ArtifactsInput!$M$24)*CHOOSE(ArtifactsInput!$N$24+1,10,12,14,16,18,20)+(IF(AND(ArtifactsInput!$M$42,((Inputs!$B$9+((C2890=TRUE)*(F2890-Calc!F25))+B2905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82">
        <f>IF(C2882,(Inputs!$B$38*0.2*N2882)*IF(Inputs!$B$39="pvp",1,(1+(Inputs!$B$21+Skills!Q17+B2906+(IF(ArtifactsInput!$M$33,CHOOSE(ArtifactsInput!$N$33+1,30,36,42,48,54,60),0))+(IF(AND(ArtifactsInput!$M$35,Inputs!$B$4&lt;&gt;"Chapter Hunt"),CHOOSE(ArtifactsInput!$N$35+1,15,18,21,24,27,30)*(1-EXP(-(0.2*B2901)*5)),0)+IF(AND(ArtifactsInput!$M$22,Inputs!$B$4&lt;&gt;"Chapter Hunt"),CHOOSE(ArtifactsInput!$N$22+1,10,12,14,16,18,20)*((0*(((0.15*B2901*5))^0/1)+1*(((0.15*B2901*5))^1/1)+2*(((0.15*B2901*5))^2/2)+3*(((0.15*B2901*5))^3/6)+4*(((0.15*B2901*5))^4/24)+5*(((0.15*B2901*5))^5/120))/((((0.15*B2901*5))^0/1)+(((0.15*B2901*5))^1/1)+(((0.15*B2901*5))^2/2)+(((0.15*B2901*5))^3/6)+(((0.15*B2901*5))^4/24)+(((0.15*B2901*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83">
      <c r="A2883">
        <f>Skills!A18</f>
        <v/>
      </c>
      <c r="B2883">
        <f>Skills!B18</f>
        <v/>
      </c>
      <c r="C2883">
        <f>Inputs!$B$3&gt;=115</f>
        <v/>
      </c>
      <c r="D2883">
        <f>IF(Skills!C18=1,60+Inputs!$B$25+Inputs!$B$29,IF(Skills!C18=2,90+Inputs!$B$26+Inputs!$B$29,IF(Skills!C18=3,120+Inputs!$B$27+Inputs!$B$29,MAX(0,(Inputs!$B$3-100)*3)+Inputs!$B$28+Inputs!$B$29)))</f>
        <v/>
      </c>
      <c r="E2883">
        <f>INDEX(FactorTable!$B$2:$Y$301, MATCH(ROUND(MIN(300,MAX(1,D2883)),0), FactorTable!$A$2:$A$301,0), Skills!M18+1)</f>
        <v/>
      </c>
      <c r="F2883">
        <f>IF(Skills!N18=TRUE,(Skills!L18/10)*(E2883/1000),Skills!L18/10)+Skills!O18</f>
        <v/>
      </c>
      <c r="G2883">
        <f>Calc!G18</f>
        <v/>
      </c>
      <c r="H2883">
        <f>Calc!H18</f>
        <v/>
      </c>
      <c r="I2883">
        <f>IF(Skills!AA18&lt;&gt;"",1+(Skills!AA18/10)*(U2868/1000)/100,1)</f>
        <v/>
      </c>
      <c r="J2883" t="inlineStr"/>
      <c r="K2883" t="inlineStr"/>
      <c r="L2883" t="inlineStr"/>
      <c r="M2883" t="inlineStr"/>
      <c r="N2883" t="inlineStr"/>
      <c r="O2883">
        <f>(1-Summary!$B$11)*T2883+Summary!$B$11*V2883</f>
        <v/>
      </c>
      <c r="P2883">
        <f>IF(B2909=0,0,O2883/B2909)</f>
        <v/>
      </c>
      <c r="Q2883" t="n">
        <v>0</v>
      </c>
      <c r="R2883" t="n">
        <v>0</v>
      </c>
      <c r="S2883">
        <f>IFERROR(O2883/N2883,0)</f>
        <v/>
      </c>
      <c r="T2883" t="n">
        <v>0</v>
      </c>
      <c r="V2883" t="n">
        <v>0</v>
      </c>
    </row>
    <row r="2884">
      <c r="A2884">
        <f>Skills!A19</f>
        <v/>
      </c>
      <c r="B2884">
        <f>Skills!B19</f>
        <v/>
      </c>
      <c r="C2884">
        <f>TRUE</f>
        <v/>
      </c>
      <c r="D2884">
        <f>IF(Skills!C19=1,60+Inputs!$B$25+Inputs!$B$29,IF(Skills!C19=2,90+Inputs!$B$26+Inputs!$B$29,IF(Skills!C19=3,120+Inputs!$B$27+Inputs!$B$29,MAX(0,(Inputs!$B$3-100)*3)+Inputs!$B$28+Inputs!$B$29)))</f>
        <v/>
      </c>
      <c r="E2884">
        <f>INDEX(FactorTable!$B$2:$Y$301, MATCH(ROUND(MIN(300,MAX(1,D2884)),0), FactorTable!$A$2:$A$301,0), Skills!M19+1)</f>
        <v/>
      </c>
      <c r="F2884">
        <f>IF(Skills!N19=TRUE,(Skills!L19/10)*(E2884/1000),Skills!L19/10)+Skills!O19</f>
        <v/>
      </c>
      <c r="G2884">
        <f>Calc!G19</f>
        <v/>
      </c>
      <c r="H2884">
        <f>Calc!H19</f>
        <v/>
      </c>
      <c r="I2884">
        <f>IF(Skills!AA19&lt;&gt;"",1+(Skills!AA19/10)*(U2868/1000)/100,1)</f>
        <v/>
      </c>
      <c r="J2884" t="inlineStr"/>
      <c r="K2884" t="inlineStr"/>
      <c r="L2884" t="inlineStr"/>
      <c r="M2884" t="inlineStr"/>
      <c r="N2884" t="inlineStr"/>
      <c r="O2884">
        <f>(1-Summary!$B$11)*T2884+Summary!$B$11*V2884</f>
        <v/>
      </c>
      <c r="P2884">
        <f>IF(B2909=0,0,O2884/B2909)</f>
        <v/>
      </c>
      <c r="Q2884">
        <f>IFERROR(1/IF(Inputs!$B$39="pvp",15,MAX(0.1,Skills!D19-IF(Skills!E19=TRUE,Inputs!$B$32,0))),0)</f>
        <v/>
      </c>
      <c r="R2884">
        <f>IF(AND(Inputs!$B$39&lt;&gt;"pvp",Inputs!$B$44&gt;0),IF(Inputs!$B$44&lt;=0,0,(INT(Inputs!$B$44/IF(Inputs!$B$39="pvp",15,MAX(0.1,Skills!D19-IF(Skills!E19=TRUE,Inputs!$B$32,0))))+1)),0)</f>
        <v/>
      </c>
      <c r="S2884">
        <f>IFERROR(O2884/N2884,0)</f>
        <v/>
      </c>
      <c r="T2884" t="n">
        <v>0</v>
      </c>
      <c r="V2884" t="n">
        <v>0</v>
      </c>
    </row>
    <row r="2885">
      <c r="A2885">
        <f>Skills!A20</f>
        <v/>
      </c>
      <c r="B2885">
        <f>Skills!B20</f>
        <v/>
      </c>
      <c r="C2885">
        <f>Inputs!$B$3&gt;=15</f>
        <v/>
      </c>
      <c r="D2885">
        <f>IF(Skills!C20=1,60+Inputs!$B$25+Inputs!$B$29,IF(Skills!C20=2,90+Inputs!$B$26+Inputs!$B$29,IF(Skills!C20=3,120+Inputs!$B$27+Inputs!$B$29,MAX(0,(Inputs!$B$3-100)*3)+Inputs!$B$28+Inputs!$B$29)))</f>
        <v/>
      </c>
      <c r="E2885">
        <f>INDEX(FactorTable!$B$2:$Y$301, MATCH(ROUND(MIN(300,MAX(1,D2885)),0), FactorTable!$A$2:$A$301,0), Skills!M20+1)</f>
        <v/>
      </c>
      <c r="F2885">
        <f>IF(Skills!N20=TRUE,(Skills!L20/10)*(E2885/1000),Skills!L20/10)+Skills!O20</f>
        <v/>
      </c>
      <c r="G2885">
        <f>Calc!G20</f>
        <v/>
      </c>
      <c r="H2885">
        <f>Calc!H20</f>
        <v/>
      </c>
      <c r="I2885">
        <f>IF(Skills!AA20&lt;&gt;"",1+(Skills!AA20/10)*(U2868/1000)/100,1)</f>
        <v/>
      </c>
      <c r="J2885" t="inlineStr"/>
      <c r="K2885" t="inlineStr"/>
      <c r="L2885" t="inlineStr"/>
      <c r="M2885" t="inlineStr"/>
      <c r="N2885" t="inlineStr"/>
      <c r="O2885">
        <f>(1-Summary!$B$11)*T2885+Summary!$B$11*V2885</f>
        <v/>
      </c>
      <c r="P2885">
        <f>IF(B2909=0,0,O2885/B2909)</f>
        <v/>
      </c>
      <c r="Q2885">
        <f>IFERROR(1/IF(Inputs!$B$39="pvp",15,MAX(0.1,Skills!D20-IF(Skills!E20=TRUE,Inputs!$B$32,0))),0)</f>
        <v/>
      </c>
      <c r="R2885">
        <f>IF(AND(Inputs!$B$39&lt;&gt;"pvp",Inputs!$B$44&gt;0),IF(Inputs!$B$44&lt;=0,0,(INT(Inputs!$B$44/IF(Inputs!$B$39="pvp",15,MAX(0.1,Skills!D20-IF(Skills!E20=TRUE,Inputs!$B$32,0))))+1)),0)</f>
        <v/>
      </c>
      <c r="S2885">
        <f>IFERROR(O2885/N2885,0)</f>
        <v/>
      </c>
      <c r="T2885" t="n">
        <v>0</v>
      </c>
      <c r="V2885" t="n">
        <v>0</v>
      </c>
    </row>
    <row r="2886">
      <c r="A2886">
        <f>Skills!A21</f>
        <v/>
      </c>
      <c r="B2886">
        <f>Skills!B21</f>
        <v/>
      </c>
      <c r="C2886">
        <f>Inputs!$B$3&gt;=15</f>
        <v/>
      </c>
      <c r="D2886">
        <f>IF(Skills!C21=1,60+Inputs!$B$25+Inputs!$B$29,IF(Skills!C21=2,90+Inputs!$B$26+Inputs!$B$29,IF(Skills!C21=3,120+Inputs!$B$27+Inputs!$B$29,MAX(0,(Inputs!$B$3-100)*3)+Inputs!$B$28+Inputs!$B$29)))</f>
        <v/>
      </c>
      <c r="E2886">
        <f>INDEX(FactorTable!$B$2:$Y$301, MATCH(ROUND(MIN(300,MAX(1,D2886)),0), FactorTable!$A$2:$A$301,0), Skills!M21+1)</f>
        <v/>
      </c>
      <c r="F2886">
        <f>IF(Skills!N21=TRUE,(Skills!L21/10)*(E2886/1000),Skills!L21/10)+Skills!O21</f>
        <v/>
      </c>
      <c r="G2886">
        <f>Calc!G21</f>
        <v/>
      </c>
      <c r="H2886">
        <f>Calc!H21</f>
        <v/>
      </c>
      <c r="I2886">
        <f>IF(Skills!AA21&lt;&gt;"",1+(Skills!AA21/10)*(U2868/1000)/100,1)</f>
        <v/>
      </c>
      <c r="J2886" t="inlineStr"/>
      <c r="K2886" t="inlineStr"/>
      <c r="L2886" t="inlineStr"/>
      <c r="M2886" t="inlineStr"/>
      <c r="N2886" t="inlineStr"/>
      <c r="O2886">
        <f>(1-Summary!$B$11)*T2886+Summary!$B$11*V2886</f>
        <v/>
      </c>
      <c r="P2886">
        <f>IF(B2909=0,0,O2886/B2909)</f>
        <v/>
      </c>
      <c r="Q2886">
        <f>IFERROR(1/IF(Inputs!$B$39="pvp",15,MAX(0.1,Skills!D21-IF(Skills!E21=TRUE,Inputs!$B$32,0))),0)</f>
        <v/>
      </c>
      <c r="R2886">
        <f>IF(AND(Inputs!$B$39&lt;&gt;"pvp",Inputs!$B$44&gt;0),IF(Inputs!$B$44&lt;=0,0,(INT(Inputs!$B$44/IF(Inputs!$B$39="pvp",15,MAX(0.1,Skills!D21-IF(Skills!E21=TRUE,Inputs!$B$32,0))))+1)),0)</f>
        <v/>
      </c>
      <c r="S2886">
        <f>IFERROR(O2886/N2886,0)</f>
        <v/>
      </c>
      <c r="T2886" t="n">
        <v>0</v>
      </c>
      <c r="V2886" t="n">
        <v>0</v>
      </c>
    </row>
    <row r="2887">
      <c r="A2887">
        <f>Skills!A22</f>
        <v/>
      </c>
      <c r="B2887">
        <f>Skills!B22</f>
        <v/>
      </c>
      <c r="C2887">
        <f>Inputs!$B$3&gt;=33</f>
        <v/>
      </c>
      <c r="D2887">
        <f>IF(Skills!C22=1,60+Inputs!$B$25+Inputs!$B$29,IF(Skills!C22=2,90+Inputs!$B$26+Inputs!$B$29,IF(Skills!C22=3,120+Inputs!$B$27+Inputs!$B$29,MAX(0,(Inputs!$B$3-100)*3)+Inputs!$B$28+Inputs!$B$29)))</f>
        <v/>
      </c>
      <c r="E2887">
        <f>INDEX(FactorTable!$B$2:$Y$301, MATCH(ROUND(MIN(300,MAX(1,D2887)),0), FactorTable!$A$2:$A$301,0), Skills!M22+1)</f>
        <v/>
      </c>
      <c r="F2887">
        <f>IF(Skills!N22=TRUE,(Skills!L22/10)*(E2887/1000),Skills!L22/10)+Skills!O22</f>
        <v/>
      </c>
      <c r="G2887">
        <f>Calc!G22</f>
        <v/>
      </c>
      <c r="H2887">
        <f>Calc!H22</f>
        <v/>
      </c>
      <c r="I2887">
        <f>IF(Skills!AA22&lt;&gt;"",1+(Skills!AA22/10)*(U2868/1000)/100,1)</f>
        <v/>
      </c>
      <c r="J2887" t="inlineStr"/>
      <c r="K2887" t="inlineStr"/>
      <c r="L2887" t="inlineStr"/>
      <c r="M2887" t="inlineStr"/>
      <c r="N2887" t="inlineStr"/>
      <c r="O2887">
        <f>(1-Summary!$B$11)*T2887+Summary!$B$11*V2887</f>
        <v/>
      </c>
      <c r="P2887">
        <f>IF(B2909=0,0,O2887/B2909)</f>
        <v/>
      </c>
      <c r="Q2887" t="n">
        <v>0</v>
      </c>
      <c r="R2887" t="n">
        <v>0</v>
      </c>
      <c r="S2887">
        <f>IFERROR(O2887/N2887,0)</f>
        <v/>
      </c>
      <c r="T2887" t="n">
        <v>0</v>
      </c>
      <c r="V2887" t="n">
        <v>0</v>
      </c>
    </row>
    <row r="2888">
      <c r="A2888">
        <f>Skills!A23</f>
        <v/>
      </c>
      <c r="B2888">
        <f>Skills!B23</f>
        <v/>
      </c>
      <c r="C2888">
        <f>Inputs!$B$3&gt;=38</f>
        <v/>
      </c>
      <c r="D2888">
        <f>IF(Skills!C23=1,60+Inputs!$B$25+Inputs!$B$29,IF(Skills!C23=2,90+Inputs!$B$26+Inputs!$B$29,IF(Skills!C23=3,120+Inputs!$B$27+Inputs!$B$29,MAX(0,(Inputs!$B$3-100)*3)+Inputs!$B$28+Inputs!$B$29)))</f>
        <v/>
      </c>
      <c r="E2888">
        <f>INDEX(FactorTable!$B$2:$Y$301, MATCH(ROUND(MIN(300,MAX(1,D2888)),0), FactorTable!$A$2:$A$301,0), Skills!M23+1)</f>
        <v/>
      </c>
      <c r="F2888">
        <f>IF(Skills!N23=TRUE,(Skills!L23/10)*(E2888/1000),Skills!L23/10)+Skills!O23</f>
        <v/>
      </c>
      <c r="G2888">
        <f>Calc!G23</f>
        <v/>
      </c>
      <c r="H2888">
        <f>Calc!H23</f>
        <v/>
      </c>
      <c r="I2888">
        <f>IF(Skills!AA23&lt;&gt;"",1+(Skills!AA23/10)*(U2868/1000)/100,1)</f>
        <v/>
      </c>
      <c r="J2888" t="inlineStr"/>
      <c r="K2888" t="inlineStr"/>
      <c r="L2888" t="inlineStr"/>
      <c r="M2888" t="inlineStr"/>
      <c r="N2888" t="inlineStr"/>
      <c r="O2888">
        <f>(1-Summary!$B$11)*T2888+Summary!$B$11*V2888</f>
        <v/>
      </c>
      <c r="P2888">
        <f>IF(B2909=0,0,O2888/B2909)</f>
        <v/>
      </c>
      <c r="Q2888" t="n">
        <v>0</v>
      </c>
      <c r="R2888" t="n">
        <v>0</v>
      </c>
      <c r="S2888">
        <f>IFERROR(O2888/N2888,0)</f>
        <v/>
      </c>
      <c r="T2888" t="n">
        <v>0</v>
      </c>
      <c r="V2888" t="n">
        <v>0</v>
      </c>
    </row>
    <row r="2889">
      <c r="A2889">
        <f>Skills!A24</f>
        <v/>
      </c>
      <c r="B2889">
        <f>Skills!B24</f>
        <v/>
      </c>
      <c r="C2889">
        <f>Inputs!$B$3&gt;=40</f>
        <v/>
      </c>
      <c r="D2889">
        <f>IF(Skills!C24=1,60+Inputs!$B$25+Inputs!$B$29,IF(Skills!C24=2,90+Inputs!$B$26+Inputs!$B$29,IF(Skills!C24=3,120+Inputs!$B$27+Inputs!$B$29,MAX(0,(Inputs!$B$3-100)*3)+Inputs!$B$28+Inputs!$B$29)))</f>
        <v/>
      </c>
      <c r="E2889">
        <f>INDEX(FactorTable!$B$2:$Y$301, MATCH(ROUND(MIN(300,MAX(1,D2889)),0), FactorTable!$A$2:$A$301,0), Skills!M24+1)</f>
        <v/>
      </c>
      <c r="F2889">
        <f>IF(Skills!N24=TRUE,(Skills!L24/10)*(E2889/1000),Skills!L24/10)+Skills!O24</f>
        <v/>
      </c>
      <c r="G2889">
        <f>Calc!G24</f>
        <v/>
      </c>
      <c r="H2889">
        <f>Calc!H24</f>
        <v/>
      </c>
      <c r="I2889">
        <f>IF(Skills!AA24&lt;&gt;"",1+(Skills!AA24/10)*(U2868/1000)/100,1)</f>
        <v/>
      </c>
      <c r="J2889" t="inlineStr"/>
      <c r="K2889" t="inlineStr"/>
      <c r="L2889" t="inlineStr"/>
      <c r="M2889" t="inlineStr"/>
      <c r="N2889" t="inlineStr"/>
      <c r="O2889">
        <f>(1-Summary!$B$11)*T2889+Summary!$B$11*V2889</f>
        <v/>
      </c>
      <c r="P2889">
        <f>IF(B2909=0,0,O2889/B2909)</f>
        <v/>
      </c>
      <c r="Q2889" t="n">
        <v>0</v>
      </c>
      <c r="R2889" t="n">
        <v>0</v>
      </c>
      <c r="S2889">
        <f>IFERROR(O2889/N2889,0)</f>
        <v/>
      </c>
      <c r="T2889" t="n">
        <v>0</v>
      </c>
      <c r="V2889" t="n">
        <v>0</v>
      </c>
    </row>
    <row r="2890">
      <c r="A2890">
        <f>Skills!A25</f>
        <v/>
      </c>
      <c r="B2890">
        <f>Skills!B25</f>
        <v/>
      </c>
      <c r="C2890">
        <f>Inputs!$B$3&gt;=45</f>
        <v/>
      </c>
      <c r="D2890">
        <f>IF(Skills!C25=1,60+Inputs!$B$25+Inputs!$B$29,IF(Skills!C25=2,90+Inputs!$B$26+Inputs!$B$29,IF(Skills!C25=3,120+Inputs!$B$27+Inputs!$B$29,MAX(0,(Inputs!$B$3-100)*3)+Inputs!$B$28+Inputs!$B$29)))</f>
        <v/>
      </c>
      <c r="E2890">
        <f>INDEX(FactorTable!$B$2:$Y$301, MATCH(ROUND(MIN(300,MAX(1,D2890)),0), FactorTable!$A$2:$A$301,0), Skills!M25+1)</f>
        <v/>
      </c>
      <c r="F2890">
        <f>IF(Skills!N25=TRUE,(Skills!L25/10)*(E2890/1000),Skills!L25/10)+Skills!O25</f>
        <v/>
      </c>
      <c r="G2890">
        <f>Calc!G25</f>
        <v/>
      </c>
      <c r="H2890">
        <f>Calc!H25</f>
        <v/>
      </c>
      <c r="I2890">
        <f>IF(Skills!AA25&lt;&gt;"",1+(Skills!AA25/10)*(U2868/1000)/100,1)</f>
        <v/>
      </c>
      <c r="J2890" t="inlineStr"/>
      <c r="K2890" t="inlineStr"/>
      <c r="L2890" t="inlineStr"/>
      <c r="M2890" t="inlineStr"/>
      <c r="N2890" t="inlineStr"/>
      <c r="O2890">
        <f>(1-Summary!$B$11)*T2890+Summary!$B$11*V2890</f>
        <v/>
      </c>
      <c r="P2890">
        <f>IF(B2909=0,0,O2890/B2909)</f>
        <v/>
      </c>
      <c r="Q2890" t="n">
        <v>0</v>
      </c>
      <c r="R2890" t="n">
        <v>0</v>
      </c>
      <c r="S2890">
        <f>IFERROR(O2890/N2890,0)</f>
        <v/>
      </c>
      <c r="T2890" t="n">
        <v>0</v>
      </c>
      <c r="V2890" t="n">
        <v>0</v>
      </c>
    </row>
    <row r="2891">
      <c r="A2891">
        <f>Skills!A26</f>
        <v/>
      </c>
      <c r="B2891">
        <f>Skills!B26</f>
        <v/>
      </c>
      <c r="C2891">
        <f>Inputs!$B$3&gt;=45</f>
        <v/>
      </c>
      <c r="D2891">
        <f>IF(Skills!C26=1,60+Inputs!$B$25+Inputs!$B$29,IF(Skills!C26=2,90+Inputs!$B$26+Inputs!$B$29,IF(Skills!C26=3,120+Inputs!$B$27+Inputs!$B$29,MAX(0,(Inputs!$B$3-100)*3)+Inputs!$B$28+Inputs!$B$29)))</f>
        <v/>
      </c>
      <c r="E2891">
        <f>INDEX(FactorTable!$B$2:$Y$301, MATCH(ROUND(MIN(300,MAX(1,D2891)),0), FactorTable!$A$2:$A$301,0), Skills!M26+1)</f>
        <v/>
      </c>
      <c r="F2891">
        <f>IF(Skills!N26=TRUE,(Skills!L26/10)*(E2891/1000),Skills!L26/10)+Skills!O26</f>
        <v/>
      </c>
      <c r="G2891">
        <f>Calc!G26</f>
        <v/>
      </c>
      <c r="H2891">
        <f>Calc!H26</f>
        <v/>
      </c>
      <c r="I2891">
        <f>IF(Skills!AA26&lt;&gt;"",1+(Skills!AA26/10)*(U2868/1000)/100,1)</f>
        <v/>
      </c>
      <c r="J2891" t="inlineStr"/>
      <c r="K2891" t="inlineStr"/>
      <c r="L2891" t="inlineStr"/>
      <c r="M2891" t="inlineStr"/>
      <c r="N2891" t="inlineStr"/>
      <c r="O2891">
        <f>(1-Summary!$B$11)*T2891+Summary!$B$11*V2891</f>
        <v/>
      </c>
      <c r="P2891">
        <f>IF(B2909=0,0,O2891/B2909)</f>
        <v/>
      </c>
      <c r="Q2891" t="n">
        <v>0</v>
      </c>
      <c r="R2891" t="n">
        <v>0</v>
      </c>
      <c r="S2891">
        <f>IFERROR(O2891/N2891,0)</f>
        <v/>
      </c>
      <c r="T2891" t="n">
        <v>0</v>
      </c>
      <c r="V2891" t="n">
        <v>0</v>
      </c>
    </row>
    <row r="2892">
      <c r="A2892">
        <f>Skills!A27</f>
        <v/>
      </c>
      <c r="B2892">
        <f>Skills!B27</f>
        <v/>
      </c>
      <c r="C2892">
        <f>Inputs!$B$3&gt;=72</f>
        <v/>
      </c>
      <c r="D2892">
        <f>IF(Skills!C27=1,60+Inputs!$B$25+Inputs!$B$29,IF(Skills!C27=2,90+Inputs!$B$26+Inputs!$B$29,IF(Skills!C27=3,120+Inputs!$B$27+Inputs!$B$29,MAX(0,(Inputs!$B$3-100)*3)+Inputs!$B$28+Inputs!$B$29)))</f>
        <v/>
      </c>
      <c r="E2892">
        <f>INDEX(FactorTable!$B$2:$Y$301, MATCH(ROUND(MIN(300,MAX(1,D2892)),0), FactorTable!$A$2:$A$301,0), Skills!M27+1)</f>
        <v/>
      </c>
      <c r="F2892">
        <f>IF(Skills!N27=TRUE,(Skills!L27/10)*(E2892/1000),Skills!L27/10)+Skills!O27</f>
        <v/>
      </c>
      <c r="G2892">
        <f>Calc!G27</f>
        <v/>
      </c>
      <c r="H2892">
        <f>Calc!H27</f>
        <v/>
      </c>
      <c r="I2892">
        <f>IF(Skills!AA27&lt;&gt;"",1+(Skills!AA27/10)*(U2868/1000)/100,1)</f>
        <v/>
      </c>
      <c r="J2892" t="inlineStr"/>
      <c r="K2892" t="inlineStr"/>
      <c r="L2892" t="inlineStr"/>
      <c r="M2892" t="inlineStr"/>
      <c r="N2892" t="inlineStr"/>
      <c r="O2892">
        <f>(1-Summary!$B$11)*T2892+Summary!$B$11*V2892</f>
        <v/>
      </c>
      <c r="P2892">
        <f>IF(B2909=0,0,O2892/B2909)</f>
        <v/>
      </c>
      <c r="Q2892" t="n">
        <v>0</v>
      </c>
      <c r="R2892" t="n">
        <v>0</v>
      </c>
      <c r="S2892">
        <f>IFERROR(O2892/N2892,0)</f>
        <v/>
      </c>
      <c r="T2892" t="n">
        <v>0</v>
      </c>
      <c r="V2892" t="n">
        <v>0</v>
      </c>
    </row>
    <row r="2893">
      <c r="A2893">
        <f>Skills!A28</f>
        <v/>
      </c>
      <c r="B2893">
        <f>Skills!B28</f>
        <v/>
      </c>
      <c r="C2893">
        <f>Inputs!$B$3&gt;=75</f>
        <v/>
      </c>
      <c r="D2893">
        <f>IF(Skills!C28=1,60+Inputs!$B$25+Inputs!$B$29,IF(Skills!C28=2,90+Inputs!$B$26+Inputs!$B$29,IF(Skills!C28=3,120+Inputs!$B$27+Inputs!$B$29,MAX(0,(Inputs!$B$3-100)*3)+Inputs!$B$28+Inputs!$B$29)))</f>
        <v/>
      </c>
      <c r="E2893">
        <f>INDEX(FactorTable!$B$2:$Y$301, MATCH(ROUND(MIN(300,MAX(1,D2893)),0), FactorTable!$A$2:$A$301,0), Skills!M28+1)</f>
        <v/>
      </c>
      <c r="F2893">
        <f>IF(Skills!N28=TRUE,(Skills!L28/10)*(E2893/1000),Skills!L28/10)+Skills!O28</f>
        <v/>
      </c>
      <c r="G2893">
        <f>Calc!G28</f>
        <v/>
      </c>
      <c r="H2893">
        <f>Calc!H28</f>
        <v/>
      </c>
      <c r="I2893">
        <f>IF(Skills!AA28&lt;&gt;"",1+(Skills!AA28/10)*(U2868/1000)/100,1)</f>
        <v/>
      </c>
      <c r="J2893" t="inlineStr"/>
      <c r="K2893" t="inlineStr"/>
      <c r="L2893" t="inlineStr"/>
      <c r="M2893" t="inlineStr"/>
      <c r="N2893" t="inlineStr"/>
      <c r="O2893">
        <f>(1-Summary!$B$11)*T2893+Summary!$B$11*V2893</f>
        <v/>
      </c>
      <c r="P2893">
        <f>IF(B2909=0,0,O2893/B2909)</f>
        <v/>
      </c>
      <c r="Q2893" t="n">
        <v>0</v>
      </c>
      <c r="R2893" t="n">
        <v>0</v>
      </c>
      <c r="S2893">
        <f>IFERROR(O2893/N2893,0)</f>
        <v/>
      </c>
      <c r="T2893" t="n">
        <v>0</v>
      </c>
      <c r="V2893" t="n">
        <v>0</v>
      </c>
    </row>
    <row r="2894">
      <c r="A2894">
        <f>Skills!A29</f>
        <v/>
      </c>
      <c r="B2894">
        <f>Skills!B29</f>
        <v/>
      </c>
      <c r="C2894">
        <f>Inputs!$B$3&gt;=120</f>
        <v/>
      </c>
      <c r="D2894">
        <f>IF(Skills!C29=1,60+Inputs!$B$25+Inputs!$B$29,IF(Skills!C29=2,90+Inputs!$B$26+Inputs!$B$29,IF(Skills!C29=3,120+Inputs!$B$27+Inputs!$B$29,MAX(0,(Inputs!$B$3-100)*3)+Inputs!$B$28+Inputs!$B$29)))</f>
        <v/>
      </c>
      <c r="E2894">
        <f>INDEX(FactorTable!$B$2:$Y$301, MATCH(ROUND(MIN(300,MAX(1,D2894)),0), FactorTable!$A$2:$A$301,0), Skills!M29+1)</f>
        <v/>
      </c>
      <c r="F2894">
        <f>IF(Skills!N29=TRUE,(Skills!L29/10)*(E2894/1000),Skills!L29/10)+Skills!O29</f>
        <v/>
      </c>
      <c r="G2894">
        <f>Calc!G29</f>
        <v/>
      </c>
      <c r="H2894">
        <f>Calc!H29</f>
        <v/>
      </c>
      <c r="I2894">
        <f>IF(Skills!AA29&lt;&gt;"",1+(Skills!AA29/10)*(U2868/1000)/100,1)</f>
        <v/>
      </c>
      <c r="J2894" t="inlineStr"/>
      <c r="K2894" t="inlineStr"/>
      <c r="L2894" t="inlineStr"/>
      <c r="M2894" t="inlineStr"/>
      <c r="N2894" t="inlineStr"/>
      <c r="O2894">
        <f>(1-Summary!$B$11)*T2894+Summary!$B$11*V2894</f>
        <v/>
      </c>
      <c r="P2894">
        <f>IF(B2909=0,0,O2894/B2909)</f>
        <v/>
      </c>
      <c r="Q2894" t="n">
        <v>0</v>
      </c>
      <c r="R2894" t="n">
        <v>0</v>
      </c>
      <c r="S2894">
        <f>IFERROR(O2894/N2894,0)</f>
        <v/>
      </c>
      <c r="T2894" t="n">
        <v>0</v>
      </c>
      <c r="V2894" t="n">
        <v>0</v>
      </c>
    </row>
    <row r="2895">
      <c r="A2895">
        <f>Skills!A30</f>
        <v/>
      </c>
      <c r="B2895">
        <f>Skills!B30</f>
        <v/>
      </c>
      <c r="C2895">
        <f>Inputs!$B$3&gt;=125</f>
        <v/>
      </c>
      <c r="D2895">
        <f>IF(Skills!C30=1,60+Inputs!$B$25+Inputs!$B$29,IF(Skills!C30=2,90+Inputs!$B$26+Inputs!$B$29,IF(Skills!C30=3,120+Inputs!$B$27+Inputs!$B$29,MAX(0,(Inputs!$B$3-100)*3)+Inputs!$B$28+Inputs!$B$29)))</f>
        <v/>
      </c>
      <c r="E2895">
        <f>INDEX(FactorTable!$B$2:$Y$301, MATCH(ROUND(MIN(300,MAX(1,D2895)),0), FactorTable!$A$2:$A$301,0), Skills!M30+1)</f>
        <v/>
      </c>
      <c r="F2895">
        <f>IF(Skills!N30=TRUE,(Skills!L30/10)*(E2895/1000),Skills!L30/10)+Skills!O30</f>
        <v/>
      </c>
      <c r="G2895">
        <f>Calc!G30</f>
        <v/>
      </c>
      <c r="H2895">
        <f>Calc!H30</f>
        <v/>
      </c>
      <c r="I2895">
        <f>IF(Skills!AA30&lt;&gt;"",1+(Skills!AA30/10)*(U2868/1000)/100,1)</f>
        <v/>
      </c>
      <c r="J2895" t="inlineStr"/>
      <c r="K2895" t="inlineStr"/>
      <c r="L2895" t="inlineStr"/>
      <c r="M2895" t="inlineStr"/>
      <c r="N2895" t="inlineStr"/>
      <c r="O2895">
        <f>(1-Summary!$B$11)*T2895+Summary!$B$11*V2895</f>
        <v/>
      </c>
      <c r="P2895">
        <f>IF(B2909=0,0,O2895/B2909)</f>
        <v/>
      </c>
      <c r="Q2895" t="n">
        <v>0</v>
      </c>
      <c r="R2895" t="n">
        <v>0</v>
      </c>
      <c r="S2895">
        <f>IFERROR(O2895/N2895,0)</f>
        <v/>
      </c>
      <c r="T2895" t="n">
        <v>0</v>
      </c>
      <c r="V2895" t="n">
        <v>0</v>
      </c>
    </row>
    <row r="2896">
      <c r="A2896">
        <f>Skills!A31</f>
        <v/>
      </c>
      <c r="B2896">
        <f>Skills!B31</f>
        <v/>
      </c>
      <c r="C2896">
        <f>Inputs!$B$3&gt;=107</f>
        <v/>
      </c>
      <c r="D2896">
        <f>IF(Skills!C31=1,60+Inputs!$B$25+Inputs!$B$29,IF(Skills!C31=2,90+Inputs!$B$26+Inputs!$B$29,IF(Skills!C31=3,120+Inputs!$B$27+Inputs!$B$29,MAX(0,(Inputs!$B$3-100)*3)+Inputs!$B$28+Inputs!$B$29)))</f>
        <v/>
      </c>
      <c r="E2896">
        <f>INDEX(FactorTable!$B$2:$Y$301, MATCH(ROUND(MIN(300,MAX(1,D2896)),0), FactorTable!$A$2:$A$301,0), Skills!M31+1)</f>
        <v/>
      </c>
      <c r="F2896">
        <f>IF(Skills!N31=TRUE,(Skills!L31/10)*(E2896/1000),Skills!L31/10)+Skills!O31</f>
        <v/>
      </c>
      <c r="G2896">
        <f>Calc!G31</f>
        <v/>
      </c>
      <c r="H2896">
        <f>Calc!H31</f>
        <v/>
      </c>
      <c r="I2896">
        <f>IF(Skills!AA31&lt;&gt;"",1+(Skills!AA31/10)*(U2868/1000)/100,1)</f>
        <v/>
      </c>
      <c r="J2896" t="inlineStr"/>
      <c r="K2896" t="inlineStr"/>
      <c r="L2896" t="inlineStr"/>
      <c r="M2896" t="inlineStr"/>
      <c r="N2896" t="inlineStr"/>
      <c r="O2896">
        <f>(1-Summary!$B$11)*T2896+Summary!$B$11*V2896</f>
        <v/>
      </c>
      <c r="P2896">
        <f>IF(B2909=0,0,O2896/B2909)</f>
        <v/>
      </c>
      <c r="Q2896" t="n">
        <v>0</v>
      </c>
      <c r="R2896" t="n">
        <v>0</v>
      </c>
      <c r="S2896">
        <f>IFERROR(O2896/N2896,0)</f>
        <v/>
      </c>
      <c r="T2896" t="n">
        <v>0</v>
      </c>
      <c r="V2896" t="n">
        <v>0</v>
      </c>
    </row>
    <row r="2898">
      <c r="A2898" t="inlineStr">
        <is>
          <t>Actions Per Second (pre-Adrenalin)</t>
        </is>
      </c>
      <c r="B2898">
        <f>1+MIN(150,150*(1-(1-(Inputs!$B$11+((C2887=TRUE)*(F2887-Calc!F22))+(ArtifactsInput!$M$15-ArtifactsInput!$M$15)*CHOOSE(ArtifactsInput!$N$15+1,8,9.6,11.2,12.8,14.4,16))/150)*(1-((C2884=TRUE)*F2884*IF(AND(Inputs!$B$39&lt;&gt;"pvp",Inputs!$B$44&gt;0),(((R2884-1)*(Skills!Y19*(1+Inputs!$B$34/100))+MIN((Skills!Y19*(1+Inputs!$B$34/100)),MAX(0,Inputs!$B$44-((R2884-1)*Skills!D19))))/Inputs!$B$44),IF(Inputs!$B$39="pvp",MIN((Skills!Y19*(1+Inputs!$B$34/100)),15)/15,(Skills!Y19*(1+Inputs!$B$34/100))/Skills!D19)))/150)))/100</f>
        <v/>
      </c>
    </row>
    <row r="2899">
      <c r="A2899" t="inlineStr">
        <is>
          <t>Alchemic Adrenaline Uptime</t>
        </is>
      </c>
      <c r="B2899">
        <f>(Skills!Y6*(1+Inputs!$B$34/100))/((Skills!Y6*(1+Inputs!$B$34/100))+(5/B2898))</f>
        <v/>
      </c>
    </row>
    <row r="2900">
      <c r="A2900" t="inlineStr">
        <is>
          <t>Attack Speed Buff Bonus %</t>
        </is>
      </c>
      <c r="B2900">
        <f>((C2884=TRUE)*F2884*IF(AND(Inputs!$B$39&lt;&gt;"pvp",Inputs!$B$44&gt;0),(((R2884-1)*(Skills!Y19*(1+Inputs!$B$34/100))+MIN((Skills!Y19*(1+Inputs!$B$34/100)),MAX(0,Inputs!$B$44-((R2884-1)*Skills!D19))))/Inputs!$B$44),IF(Inputs!$B$39="pvp",MIN((Skills!Y19*(1+Inputs!$B$34/100)),15)/15,(Skills!Y19*(1+Inputs!$B$34/100))/Skills!D19)))+((C2872=TRUE)*F2872*B2899)</f>
        <v/>
      </c>
    </row>
    <row r="2901">
      <c r="A2901" t="inlineStr">
        <is>
          <t>Actions Per Second (final)</t>
        </is>
      </c>
      <c r="B2901">
        <f>1+MIN(150,150*(1-(1-(Inputs!$B$11+((C2887=TRUE)*(F2887-Calc!F22))+(ArtifactsInput!$M$15-ArtifactsInput!$M$15)*CHOOSE(ArtifactsInput!$N$15+1,8,9.6,11.2,12.8,14.4,16))/150)*(1-B2900/150)))/100</f>
        <v/>
      </c>
    </row>
    <row r="2902">
      <c r="A2902" t="inlineStr">
        <is>
          <t>Skill + Buff Cast Rate</t>
        </is>
      </c>
      <c r="B2902">
        <f>IF(AND(Inputs!$B$39&lt;&gt;"pvp",Inputs!$B$44&gt;0),SUMPRODUCT((Skills!E2:E31=TRUE)*(C2867:C2896=TRUE)*R2867:R2896*Skills!F2:F31)/Inputs!$B$44,SUMPRODUCT((Skills!E2:E31=TRUE)*(C2867:C2896=TRUE)*Q2867:Q2896*Skills!F2:F31))</f>
        <v/>
      </c>
    </row>
    <row r="2903">
      <c r="A2903" t="inlineStr">
        <is>
          <t>Showdown Casts Per Second</t>
        </is>
      </c>
      <c r="B2903">
        <f>MAX(0,B2901-B2902)</f>
        <v/>
      </c>
    </row>
    <row r="2904">
      <c r="A2904" t="inlineStr">
        <is>
          <t>Average Buff Multiplier</t>
        </is>
      </c>
      <c r="B2904">
        <f>(1+(((C2886=TRUE)*F2886*IF(AND(Inputs!$B$39&lt;&gt;"pvp",Inputs!$B$44&gt;0),(((R2886-1)*(Skills!Y21*(1+Inputs!$B$34/100))+MIN((Skills!Y21*(1+Inputs!$B$34/100)),MAX(0,Inputs!$B$44-((R2886-1)*Skills!D21))))/Inputs!$B$44),IF(Inputs!$B$39="pvp",MIN((Skills!Y21*(1+Inputs!$B$34/100)),15)/15,(Skills!Y21*(1+Inputs!$B$34/100))/Skills!D21)))+((C2893=TRUE)*(F2893-Calc!F28))+((C2883=TRUE)*(F2883-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2880=TRUE)*F2880*IF(AND(Inputs!$B$39&lt;&gt;"pvp",Inputs!$B$44&gt;0),(((R2880-1)*(Skills!Y15*(1+Inputs!$B$34/100))+MIN((Skills!Y15*(1+Inputs!$B$34/100)),MAX(0,Inputs!$B$44-((R2880-1)*Skills!D15))))/Inputs!$B$44),IF(Inputs!$B$39="pvp",MIN((Skills!Y15*(1+Inputs!$B$34/100)),15)/15,(Skills!Y15*(1+Inputs!$B$34/100))/Skills!D15)))/100)*(1+((C2871=TRUE)*F2871*B2899)/100)</f>
        <v/>
      </c>
    </row>
    <row r="2905">
      <c r="A2905" t="inlineStr">
        <is>
          <t>Global Crit Rate Bonus %</t>
        </is>
      </c>
      <c r="B2905">
        <f>IF(Inputs!$B$3&gt;=47,8,0)+((C2885=TRUE)*F2885*IF(AND(Inputs!$B$39&lt;&gt;"pvp",Inputs!$B$44&gt;0),(((R2885-1)*(Skills!Y20*(1+Inputs!$B$34/100))+MIN((Skills!Y20*(1+Inputs!$B$34/100)),MAX(0,Inputs!$B$44-((R2885-1)*Skills!D20))))/Inputs!$B$44),IF(Inputs!$B$39="pvp",MIN((Skills!Y20*(1+Inputs!$B$34/100)),15)/15,(Skills!Y20*(1+Inputs!$B$34/100))/Skills!D20)))</f>
        <v/>
      </c>
    </row>
    <row r="2906">
      <c r="A2906" t="inlineStr">
        <is>
          <t>Global Monster Damage-Taken Bonus %</t>
        </is>
      </c>
      <c r="B2906">
        <f>IF(Inputs!$B$3&gt;=82,15,0)+((C2881=TRUE)*F2881*IF(AND(Inputs!$B$39&lt;&gt;"pvp",Inputs!$B$44&gt;0),(((R2881-1)*(Skills!Y16*(1+Inputs!$B$34/100))+MIN((Skills!Y16*(1+Inputs!$B$34/100)),MAX(0,Inputs!$B$44-((R2881-1)*Skills!D16))))/Inputs!$B$44),IF(Inputs!$B$39="pvp",MIN((Skills!Y16*(1+Inputs!$B$34/100)),15)/15,(Skills!Y16*(1+Inputs!$B$34/100))/Skills!D16)))</f>
        <v/>
      </c>
    </row>
    <row r="2907">
      <c r="A2907" t="inlineStr">
        <is>
          <t>Shadow Partner Average Multiplier</t>
        </is>
      </c>
      <c r="B2907">
        <f>1+((C2876=TRUE)*F2876*I2876*Skills!J11/100)/100</f>
        <v/>
      </c>
    </row>
    <row r="2908">
      <c r="A2908" t="inlineStr">
        <is>
          <t>Global Critical Damage Bonus % (Frailty Curse Mastery Lv.111)</t>
        </is>
      </c>
      <c r="B2908">
        <f>IF(Inputs!$B$3&gt;=111,30,0)*IF(AND(Inputs!$B$39&lt;&gt;"pvp",Inputs!$B$44&gt;0),(((R2881-1)*(Skills!Y16*(1+Inputs!$B$34/100))+MIN((Skills!Y16*(1+Inputs!$B$34/100)),MAX(0,Inputs!$B$44-((R2881-1)*Skills!D16))))/Inputs!$B$44),IF(Inputs!$B$39="pvp",MIN((Skills!Y16*(1+Inputs!$B$34/100)),15)/15,(Skills!Y16*(1+Inputs!$B$34/100))/Skills!D16))</f>
        <v/>
      </c>
    </row>
    <row r="2909">
      <c r="A2909" s="6" t="inlineStr">
        <is>
          <t>TOTAL DPS</t>
        </is>
      </c>
      <c r="B2909" s="6">
        <f>SUM(O2867:O2896)</f>
        <v/>
      </c>
    </row>
    <row r="2910">
      <c r="A2910" t="inlineStr">
        <is>
          <t>Buff-Casting Startup Delay (s, fixed-duration only)</t>
        </is>
      </c>
      <c r="B2910">
        <f>IF(AND(Inputs!$B$39&lt;&gt;"pvp",Inputs!$B$44&gt;0),SUMPRODUCT((Skills!Y2:Y31&gt;0)*(Skills!E2:E31=TRUE)*(C2867:C2896=TRUE))/B2901,0)</f>
        <v/>
      </c>
    </row>
    <row r="2911">
      <c r="A2911" t="inlineStr">
        <is>
          <t>Boss-Only Total DPS (this block's swept value)</t>
        </is>
      </c>
      <c r="B2911">
        <f>SUM(T2867:T2896)</f>
        <v/>
      </c>
    </row>
    <row r="2912">
      <c r="A2912" t="inlineStr">
        <is>
          <t>Normal-Only Total DPS (this block's swept value)</t>
        </is>
      </c>
      <c r="B2912">
        <f>SUM(V2867:V2896)</f>
        <v/>
      </c>
    </row>
    <row r="2914">
      <c r="A2914" s="6" t="inlineStr">
        <is>
          <t>Stat: Horn Flute (Equip)</t>
        </is>
      </c>
    </row>
    <row r="2915">
      <c r="A2915" s="5" t="inlineStr">
        <is>
          <t>Key</t>
        </is>
      </c>
      <c r="B2915" s="5" t="inlineStr">
        <is>
          <t>Name</t>
        </is>
      </c>
      <c r="C2915" s="5" t="inlineStr">
        <is>
          <t>Unlocked</t>
        </is>
      </c>
      <c r="D2915" s="5" t="inlineStr">
        <is>
          <t>InputLevel</t>
        </is>
      </c>
      <c r="E2915" s="5" t="inlineStr">
        <is>
          <t>Factor</t>
        </is>
      </c>
      <c r="F2915" s="5" t="inlineStr">
        <is>
          <t>CoefficientPercent</t>
        </is>
      </c>
      <c r="G2915" s="5" t="inlineStr">
        <is>
          <t>EffectiveHits</t>
        </is>
      </c>
      <c r="H2915" s="5" t="inlineStr">
        <is>
          <t>ProcProbability</t>
        </is>
      </c>
      <c r="I2915" s="5" t="inlineStr">
        <is>
          <t>MapleHeroMultiplier</t>
        </is>
      </c>
      <c r="J2915" s="5" t="inlineStr">
        <is>
          <t>BaseDamage</t>
        </is>
      </c>
      <c r="K2915" s="5" t="inlineStr">
        <is>
          <t>BaseHitDamage</t>
        </is>
      </c>
      <c r="L2915" s="5" t="inlineStr">
        <is>
          <t>NonCritAvg</t>
        </is>
      </c>
      <c r="M2915" s="5" t="inlineStr">
        <is>
          <t>CritAvg</t>
        </is>
      </c>
      <c r="N2915" s="5" t="inlineStr">
        <is>
          <t>ExpectedDamage(perHit)</t>
        </is>
      </c>
      <c r="O2915" s="5" t="inlineStr">
        <is>
          <t>DPS</t>
        </is>
      </c>
      <c r="P2915" s="5" t="inlineStr">
        <is>
          <t>% of Total</t>
        </is>
      </c>
      <c r="Q2915" s="5" t="inlineStr">
        <is>
          <t>InvCooldown</t>
        </is>
      </c>
      <c r="R2915" s="5" t="inlineStr">
        <is>
          <t>CastsInFight</t>
        </is>
      </c>
      <c r="S2915" s="5" t="inlineStr">
        <is>
          <t>HitRate(perSec)</t>
        </is>
      </c>
      <c r="U2915" t="inlineStr">
        <is>
          <t>helpers</t>
        </is>
      </c>
    </row>
    <row r="2916">
      <c r="A2916">
        <f>Skills!A2</f>
        <v/>
      </c>
      <c r="B2916">
        <f>Skills!B2</f>
        <v/>
      </c>
      <c r="C2916">
        <f>Inputs!$B$3&gt;=100</f>
        <v/>
      </c>
      <c r="D2916" t="inlineStr"/>
      <c r="E2916" t="inlineStr"/>
      <c r="F2916">
        <f>U2920+Skills!O2</f>
        <v/>
      </c>
      <c r="G2916">
        <f>Calc!G2</f>
        <v/>
      </c>
      <c r="H2916">
        <f>Calc!H2</f>
        <v/>
      </c>
      <c r="I2916">
        <f>IF(Skills!AA2&lt;&gt;"",1+(Skills!AA2/10)*(U2917/1000)/100,1)</f>
        <v/>
      </c>
      <c r="J2916">
        <f>((Inputs!$B$6*(1+Inputs!$B$7/100))+(((Inputs!$B$12*(1+Inputs!$B$13/100))-(Inputs!$B$12*(1+Inputs!$B$13/100)))+0.25*(Inputs!$B$14-Inputs!$B$14))*(1+Inputs!$B$7/100))*(F2916/100)</f>
        <v/>
      </c>
      <c r="K2916">
        <f>J2916*(1+((Inputs!$B$12*(1+Inputs!$B$13/100))*0.01+Inputs!$B$14*0.0025)/100)*(1+Inputs!$B$15/100)*(1+Inputs!$B$16/100)*(5000/(6000+Inputs!$B$43*(1-(100*(1-(1-(Inputs!$B$19+0)/100)*(1-CHOOSE(ArtifactsInput!$N$40+1,5,6,7,8,9,10)/100)^(ArtifactsInput!$M$40-ArtifactsInput!$M$40)))/100)))*(1+(Inputs!$B$24+((C2944=TRUE)*(F2944-Calc!F30)))/100)*(1+Skills!R2/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2937=TRUE)*(F2937-Calc!F23))+(((IF(AND(ArtifactsInput!$M$42,((Inputs!$B$9+((C2939=TRUE)*(F2939-Calc!F25))+B2954+(ArtifactsInput!$M$24-ArtifactsInput!$M$24)*CHOOSE(ArtifactsInput!$N$24+1,10,12,14,16,18,20)+IF(ArtifactsInput!$M$10,CHOOSE(ArtifactsInput!$N$10+1,15,18,21,24,27,30)*(IF(Inputs!$B$39="pvp",MIN(15,15)/15,IF(AND(Inputs!$B$39&lt;&gt;"pvp",Inputs!$B$44&gt;0),MIN(15,Inputs!$B$44)/(Inputs!$B$44),0))),0)))&gt;=100),MIN(100,((Inputs!$B$9+((C2939=TRUE)*(F2939-Calc!F25))+B2954+(ArtifactsInput!$M$24-ArtifactsInput!$M$24)*CHOOSE(ArtifactsInput!$N$24+1,10,12,14,16,18,20)+IF(ArtifactsInput!$M$10,CHOOSE(ArtifactsInput!$N$10+1,15,18,21,24,27,30)*(IF(Inputs!$B$39="pvp",MIN(15,15)/15,IF(AND(Inputs!$B$39&lt;&gt;"pvp",Inputs!$B$44&gt;0),MIN(15,Inputs!$B$44)/(Inputs!$B$44),0))),0)))-100),0))*CHOOSE(ArtifactsInput!$N$42+1,0.6,0.72,0.84,0.96,1.08,1.2))),Inputs!$B$18+((C2943=TRUE)*(F2943-Calc!F29))+(IF(AND(ArtifactsInput!$M$42,((Inputs!$B$9+((C2939=TRUE)*(F2939-Calc!F25))+B2954+(ArtifactsInput!$M$24-ArtifactsInput!$M$24)*CHOOSE(ArtifactsInput!$N$24+1,10,12,14,16,18,20)+IF(ArtifactsInput!$M$10,CHOOSE(ArtifactsInput!$N$10+1,15,18,21,24,27,30)*(IF(Inputs!$B$39="pvp",MIN(15,15)/15,IF(AND(Inputs!$B$39&lt;&gt;"pvp",Inputs!$B$44&gt;0),MIN(15,Inputs!$B$44)/(Inputs!$B$44),0))),0)))&gt;=100),CHOOSE(ArtifactsInput!$N$42+1,40,48,56,64,72,80),0))))/100)*(((1+(((C2935=TRUE)*F2935*IF(AND(Inputs!$B$39&lt;&gt;"pvp",Inputs!$B$44&gt;0),(((R2935-1)*(Skills!Y21*(1+Inputs!$B$34/100))+MIN((Skills!Y21*(1+Inputs!$B$34/100)),MAX(0,Inputs!$B$44-((R2935-1)*Skills!D21))))/Inputs!$B$44),IF(Inputs!$B$39="pvp",MIN((Skills!Y21*(1+Inputs!$B$34/100)),15)/15,(Skills!Y21*(1+Inputs!$B$34/100))/Skills!D21)))+((C2942=TRUE)*(F2942-Calc!F28))+((C2932=TRUE)*(F2932-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2929=TRUE)*F2929*IF(AND(Inputs!$B$39&lt;&gt;"pvp",Inputs!$B$44&gt;0),(((R2929-1)*(Skills!Y15*(1+Inputs!$B$34/100))+MIN((Skills!Y15*(1+Inputs!$B$34/100)),MAX(0,Inputs!$B$44-((R2929-1)*Skills!D15))))/Inputs!$B$44),IF(Inputs!$B$39="pvp",MIN((Skills!Y15*(1+Inputs!$B$34/100)),15)/15,(Skills!Y15*(1+Inputs!$B$34/100))/Skills!D15)))/100)*(1+((C2920=TRUE)*F2920*B2948)/100))*B2956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2916)</f>
        <v/>
      </c>
      <c r="L2916">
        <f>K2916*(MIN(Inputs!$B$22+((C2938=TRUE)*(F2938-Calc!F24)),(Inputs!$B$23+0+(IF(ArtifactsInput!$M$15,CHOOSE(ArtifactsInput!$N$15+1,25,30,35,40,45,50)/100*(Inputs!$B$11-Inputs!$B$11),0))))/100+(Inputs!$B$23+0+(IF(ArtifactsInput!$M$15,CHOOSE(ArtifactsInput!$N$15+1,25,30,35,40,45,50)/100*(Inputs!$B$11-Inputs!$B$11),0)))/100)/2</f>
        <v/>
      </c>
      <c r="M2916">
        <f>L2916*(1+(Inputs!$B$10+((C2940=TRUE)*(F2940-Calc!F26))+B2957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16">
        <f>L2916*(1-MIN((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2916*(MIN((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16">
        <f>(1-Summary!$B$11)*T2916+Summary!$B$11*V2916</f>
        <v/>
      </c>
      <c r="P2916">
        <f>IF(B2958=0,0,O2916/B2958)</f>
        <v/>
      </c>
      <c r="Q2916" t="n">
        <v>0</v>
      </c>
      <c r="R2916" t="n">
        <v>0</v>
      </c>
      <c r="S2916">
        <f>IFERROR(O2916/N2916,0)</f>
        <v/>
      </c>
      <c r="T2916">
        <f>IF(C2916,(Skills!G2*N2916*B2952)*IF(Inputs!$B$39="pvp",1,1+(Inputs!$B$20+((C2941=TRUE)*(F2941-Calc!F27))+Skills!P2+B2955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Hunt"),CHOOSE(ArtifactsInput!$N$35+1,15,18,21,24,27,30)*(1-EXP(-(0.2*B2950)*5)),0)+IF(AND(ArtifactsInput!$M$22,Inputs!$B$4&lt;&gt;"Chapter Hunt"),CHOOSE(ArtifactsInput!$N$22+1,10,12,14,16,18,20)*((0*(((0.15*B2950*5))^0/1)+1*(((0.15*B2950*5))^1/1)+2*(((0.15*B2950*5))^2/2)+3*(((0.15*B2950*5))^3/6)+4*(((0.15*B2950*5))^4/24)+5*(((0.15*B2950*5))^5/120))/((((0.15*B2950*5))^0/1)+(((0.15*B2950*5))^1/1)+(((0.15*B2950*5))^2/2)+(((0.15*B2950*5))^3/6)+(((0.15*B2950*5))^4/24)+(((0.15*B2950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2916*(1-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2916*(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2916*(1-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2916*(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16">
        <f>MAX(0,(Inputs!$B$3-100)*3)+Inputs!$B$28+Inputs!$B$29</f>
        <v/>
      </c>
      <c r="V2916">
        <f>IF(C2916,(Skills!G2*N2916*B2952)*IF(Inputs!$B$39="pvp",1,(1+(Inputs!$B$21+Skills!Q2+B2955+(IF(ArtifactsInput!$M$33,CHOOSE(ArtifactsInput!$N$33+1,30,36,42,48,54,60),0))+(IF(AND(ArtifactsInput!$M$35,Inputs!$B$4&lt;&gt;"Chapter Hunt"),CHOOSE(ArtifactsInput!$N$35+1,15,18,21,24,27,30)*(1-EXP(-(0.2*B2950)*5)),0)+IF(AND(ArtifactsInput!$M$22,Inputs!$B$4&lt;&gt;"Chapter Hunt"),CHOOSE(ArtifactsInput!$N$22+1,10,12,14,16,18,20)*((0*(((0.15*B2950*5))^0/1)+1*(((0.15*B2950*5))^1/1)+2*(((0.15*B2950*5))^2/2)+3*(((0.15*B2950*5))^3/6)+4*(((0.15*B2950*5))^4/24)+5*(((0.15*B2950*5))^5/120))/((((0.15*B2950*5))^0/1)+(((0.15*B2950*5))^1/1)+(((0.15*B2950*5))^2/2)+(((0.15*B2950*5))^3/6)+(((0.15*B2950*5))^4/24)+(((0.15*B2950*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17">
      <c r="A2917">
        <f>Skills!A3</f>
        <v/>
      </c>
      <c r="B2917">
        <f>Skills!B3</f>
        <v/>
      </c>
      <c r="C2917">
        <f>Inputs!$B$3&gt;=35</f>
        <v/>
      </c>
      <c r="D2917">
        <f>IF(Skills!C3=1,60+Inputs!$B$25+Inputs!$B$29,IF(Skills!C3=2,90+Inputs!$B$26+Inputs!$B$29,IF(Skills!C3=3,120+Inputs!$B$27+Inputs!$B$29,MAX(0,(Inputs!$B$3-100)*3)+Inputs!$B$28+Inputs!$B$29)))</f>
        <v/>
      </c>
      <c r="E2917">
        <f>INDEX(FactorTable!$B$2:$Y$301, MATCH(ROUND(MIN(300,MAX(1,D2917)),0), FactorTable!$A$2:$A$301,0), Skills!M3+1)</f>
        <v/>
      </c>
      <c r="F2917">
        <f>IF(Skills!N3=TRUE,(Skills!L3/10)*(E2917/1000),Skills!L3/10)+Skills!O3</f>
        <v/>
      </c>
      <c r="G2917">
        <f>Calc!G3</f>
        <v/>
      </c>
      <c r="H2917">
        <f>Calc!H3</f>
        <v/>
      </c>
      <c r="I2917">
        <f>IF(Skills!AA3&lt;&gt;"",1+(Skills!AA3/10)*(U2917/1000)/100,1)</f>
        <v/>
      </c>
      <c r="J2917">
        <f>((Inputs!$B$6*(1+Inputs!$B$7/100))+(((Inputs!$B$12*(1+Inputs!$B$13/100))-(Inputs!$B$12*(1+Inputs!$B$13/100)))+0.25*(Inputs!$B$14-Inputs!$B$14))*(1+Inputs!$B$7/100))*(F2917/100)</f>
        <v/>
      </c>
      <c r="K2917">
        <f>J2917*(1+((Inputs!$B$12*(1+Inputs!$B$13/100))*0.01+Inputs!$B$14*0.0025)/100)*(1+Inputs!$B$15/100)*(1+Inputs!$B$16/100)*(5000/(6000+Inputs!$B$43*(1-(100*(1-(1-(Inputs!$B$19+0)/100)*(1-CHOOSE(ArtifactsInput!$N$40+1,5,6,7,8,9,10)/100)^(ArtifactsInput!$M$40-ArtifactsInput!$M$40)))/100)))*(1+(Inputs!$B$24+((C2944=TRUE)*(F2944-Calc!F30)))/100)*(1+Skills!R3/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2937=TRUE)*(F2937-Calc!F23))+(((IF(AND(ArtifactsInput!$M$42,((Inputs!$B$9+((C2939=TRUE)*(F2939-Calc!F25))+B2954+(ArtifactsInput!$M$24-ArtifactsInput!$M$24)*CHOOSE(ArtifactsInput!$N$24+1,10,12,14,16,18,20)+IF(ArtifactsInput!$M$10,CHOOSE(ArtifactsInput!$N$10+1,15,18,21,24,27,30)*(IF(Inputs!$B$39="pvp",MIN(15,15)/15,IF(AND(Inputs!$B$39&lt;&gt;"pvp",Inputs!$B$44&gt;0),MIN(15,Inputs!$B$44)/(Inputs!$B$44),0))),0)))&gt;=100),MIN(100,((Inputs!$B$9+((C2939=TRUE)*(F2939-Calc!F25))+B2954+(ArtifactsInput!$M$24-ArtifactsInput!$M$24)*CHOOSE(ArtifactsInput!$N$24+1,10,12,14,16,18,20)+IF(ArtifactsInput!$M$10,CHOOSE(ArtifactsInput!$N$10+1,15,18,21,24,27,30)*(IF(Inputs!$B$39="pvp",MIN(15,15)/15,IF(AND(Inputs!$B$39&lt;&gt;"pvp",Inputs!$B$44&gt;0),MIN(15,Inputs!$B$44)/(Inputs!$B$44),0))),0)))-100),0))*CHOOSE(ArtifactsInput!$N$42+1,0.6,0.72,0.84,0.96,1.08,1.2))),Inputs!$B$18+((C2943=TRUE)*(F2943-Calc!F29))+(IF(AND(ArtifactsInput!$M$42,((Inputs!$B$9+((C2939=TRUE)*(F2939-Calc!F25))+B2954+(ArtifactsInput!$M$24-ArtifactsInput!$M$24)*CHOOSE(ArtifactsInput!$N$24+1,10,12,14,16,18,20)+IF(ArtifactsInput!$M$10,CHOOSE(ArtifactsInput!$N$10+1,15,18,21,24,27,30)*(IF(Inputs!$B$39="pvp",MIN(15,15)/15,IF(AND(Inputs!$B$39&lt;&gt;"pvp",Inputs!$B$44&gt;0),MIN(15,Inputs!$B$44)/(Inputs!$B$44),0))),0)))&gt;=100),CHOOSE(ArtifactsInput!$N$42+1,40,48,56,64,72,80),0))))/100)*(((1+(((C2935=TRUE)*F2935*IF(AND(Inputs!$B$39&lt;&gt;"pvp",Inputs!$B$44&gt;0),(((R2935-1)*(Skills!Y21*(1+Inputs!$B$34/100))+MIN((Skills!Y21*(1+Inputs!$B$34/100)),MAX(0,Inputs!$B$44-((R2935-1)*Skills!D21))))/Inputs!$B$44),IF(Inputs!$B$39="pvp",MIN((Skills!Y21*(1+Inputs!$B$34/100)),15)/15,(Skills!Y21*(1+Inputs!$B$34/100))/Skills!D21)))+((C2942=TRUE)*(F2942-Calc!F28))+((C2932=TRUE)*(F2932-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2929=TRUE)*F2929*IF(AND(Inputs!$B$39&lt;&gt;"pvp",Inputs!$B$44&gt;0),(((R2929-1)*(Skills!Y15*(1+Inputs!$B$34/100))+MIN((Skills!Y15*(1+Inputs!$B$34/100)),MAX(0,Inputs!$B$44-((R2929-1)*Skills!D15))))/Inputs!$B$44),IF(Inputs!$B$39="pvp",MIN((Skills!Y15*(1+Inputs!$B$34/100)),15)/15,(Skills!Y15*(1+Inputs!$B$34/100))/Skills!D15)))/100)*(1+((C2920=TRUE)*F2920*B2948)/100))*B2956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2917)</f>
        <v/>
      </c>
      <c r="L2917">
        <f>K2917*(MIN(Inputs!$B$22+((C2938=TRUE)*(F2938-Calc!F24)),(Inputs!$B$23+0+(IF(ArtifactsInput!$M$15,CHOOSE(ArtifactsInput!$N$15+1,25,30,35,40,45,50)/100*(Inputs!$B$11-Inputs!$B$11),0))))/100+(Inputs!$B$23+0+(IF(ArtifactsInput!$M$15,CHOOSE(ArtifactsInput!$N$15+1,25,30,35,40,45,50)/100*(Inputs!$B$11-Inputs!$B$11),0)))/100)/2</f>
        <v/>
      </c>
      <c r="M2917">
        <f>L2917*(1+(Inputs!$B$10+((C2940=TRUE)*(F2940-Calc!F26))+B2957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17">
        <f>L2917*(1-MIN((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2917*(MIN((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17">
        <f>(1-Summary!$B$11)*T2917+Summary!$B$11*V2917</f>
        <v/>
      </c>
      <c r="P2917">
        <f>IF(B2958=0,0,O2917/B2958)</f>
        <v/>
      </c>
      <c r="Q2917">
        <f>IFERROR(1/IF(Inputs!$B$39="pvp",15,MAX(0.1,Skills!D3-IF(Skills!E3=TRUE,Inputs!$B$32,0))),0)</f>
        <v/>
      </c>
      <c r="R2917">
        <f>IF(AND(Inputs!$B$39&lt;&gt;"pvp",Inputs!$B$44&gt;0),IF(MAX(0,Inputs!$B$44-B2959)&lt;=0,0,(INT(MAX(0,Inputs!$B$44-B2959)/IF(Inputs!$B$39="pvp",15,MAX(0.1,Skills!D3-IF(Skills!E3=TRUE,Inputs!$B$32,0))))+1)),0)</f>
        <v/>
      </c>
      <c r="S2917">
        <f>IFERROR(O2917/N2917,0)</f>
        <v/>
      </c>
      <c r="T2917">
        <f>IF(C2917,(H2917*N2917*IF(AND(Inputs!$B$39&lt;&gt;"pvp",Inputs!$B$44&gt;0),((Skills!G3*((R2917-1)*IF(Skills!H3&gt;0,Skills!I3/Skills!H3,1)+IF(Skills!H3&gt;0,MIN(Skills!I3,MAX(0,MAX(0,Inputs!$B$44-B2959)-((R2917-1)*IF(Inputs!$B$39="pvp",15,MAX(0.1,Skills!D3-IF(Skills!E3=TRUE,Inputs!$B$32,0))))))/Skills!H3,1)))/Inputs!$B$44),G2917*Q2917))*IF(Inputs!$B$39="pvp",1,1+(Inputs!$B$20+((C2941=TRUE)*(F2941-Calc!F27))+Skills!P3+B2955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Hunt"),CHOOSE(ArtifactsInput!$N$35+1,15,18,21,24,27,30)*(1-EXP(-(0.2*B2950)*5)),0)+IF(AND(ArtifactsInput!$M$22,Inputs!$B$4&lt;&gt;"Chapter Hunt"),CHOOSE(ArtifactsInput!$N$22+1,10,12,14,16,18,20)*((0*(((0.15*B2950*5))^0/1)+1*(((0.15*B2950*5))^1/1)+2*(((0.15*B2950*5))^2/2)+3*(((0.15*B2950*5))^3/6)+4*(((0.15*B2950*5))^4/24)+5*(((0.15*B2950*5))^5/120))/((((0.15*B2950*5))^0/1)+(((0.15*B2950*5))^1/1)+(((0.15*B2950*5))^2/2)+(((0.15*B2950*5))^3/6)+(((0.15*B2950*5))^4/24)+(((0.15*B2950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2917*(1-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2917*(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2917*(1-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2917*(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17">
        <f>INDEX(FactorTable!$B$2:$Y$301, MATCH(ROUND(MIN(300,MAX(1,U2916)),0), FactorTable!$A$2:$A$301,0), 24)</f>
        <v/>
      </c>
      <c r="V2917">
        <f>IF(C2917,(H2917*N2917*IF(AND(Inputs!$B$39&lt;&gt;"pvp",Inputs!$B$44&gt;0),((Skills!G3*((R2917-1)*IF(Skills!H3&gt;0,Skills!I3/Skills!H3,1)+IF(Skills!H3&gt;0,MIN(Skills!I3,MAX(0,MAX(0,Inputs!$B$44-B2959)-((R2917-1)*IF(Inputs!$B$39="pvp",15,MAX(0.1,Skills!D3-IF(Skills!E3=TRUE,Inputs!$B$32,0))))))/Skills!H3,1)))/Inputs!$B$44),G2917*Q2917))*IF(Inputs!$B$39="pvp",1,(1+(Inputs!$B$21+Skills!Q3+B2955+(IF(ArtifactsInput!$M$33,CHOOSE(ArtifactsInput!$N$33+1,30,36,42,48,54,60),0))+(IF(AND(ArtifactsInput!$M$35,Inputs!$B$4&lt;&gt;"Chapter Hunt"),CHOOSE(ArtifactsInput!$N$35+1,15,18,21,24,27,30)*(1-EXP(-(0.2*B2950)*5)),0)+IF(AND(ArtifactsInput!$M$22,Inputs!$B$4&lt;&gt;"Chapter Hunt"),CHOOSE(ArtifactsInput!$N$22+1,10,12,14,16,18,20)*((0*(((0.15*B2950*5))^0/1)+1*(((0.15*B2950*5))^1/1)+2*(((0.15*B2950*5))^2/2)+3*(((0.15*B2950*5))^3/6)+4*(((0.15*B2950*5))^4/24)+5*(((0.15*B2950*5))^5/120))/((((0.15*B2950*5))^0/1)+(((0.15*B2950*5))^1/1)+(((0.15*B2950*5))^2/2)+(((0.15*B2950*5))^3/6)+(((0.15*B2950*5))^4/24)+(((0.15*B2950*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18">
      <c r="A2918">
        <f>Skills!A4</f>
        <v/>
      </c>
      <c r="B2918">
        <f>Skills!B4</f>
        <v/>
      </c>
      <c r="C2918">
        <f>Inputs!$B$3&gt;=40</f>
        <v/>
      </c>
      <c r="D2918">
        <f>IF(Skills!C4=1,60+Inputs!$B$25+Inputs!$B$29,IF(Skills!C4=2,90+Inputs!$B$26+Inputs!$B$29,IF(Skills!C4=3,120+Inputs!$B$27+Inputs!$B$29,MAX(0,(Inputs!$B$3-100)*3)+Inputs!$B$28+Inputs!$B$29)))</f>
        <v/>
      </c>
      <c r="E2918">
        <f>INDEX(FactorTable!$B$2:$Y$301, MATCH(ROUND(MIN(300,MAX(1,D2918)),0), FactorTable!$A$2:$A$301,0), Skills!M4+1)</f>
        <v/>
      </c>
      <c r="F2918">
        <f>IF(Skills!N4=TRUE,(Skills!L4/10)*(E2918/1000),Skills!L4/10)+Skills!O4</f>
        <v/>
      </c>
      <c r="G2918">
        <f>Calc!G4</f>
        <v/>
      </c>
      <c r="H2918">
        <f>Calc!H4</f>
        <v/>
      </c>
      <c r="I2918">
        <f>IF(Skills!AA4&lt;&gt;"",1+(Skills!AA4/10)*(U2917/1000)/100,1)</f>
        <v/>
      </c>
      <c r="J2918">
        <f>((Inputs!$B$6*(1+Inputs!$B$7/100))+(((Inputs!$B$12*(1+Inputs!$B$13/100))-(Inputs!$B$12*(1+Inputs!$B$13/100)))+0.25*(Inputs!$B$14-Inputs!$B$14))*(1+Inputs!$B$7/100))*(F2918/100)</f>
        <v/>
      </c>
      <c r="K2918">
        <f>J2918*(1+((Inputs!$B$12*(1+Inputs!$B$13/100))*0.01+Inputs!$B$14*0.0025)/100)*(1+Inputs!$B$15/100)*(1+Inputs!$B$16/100)*(5000/(6000+Inputs!$B$43*(1-(100*(1-(1-(Inputs!$B$19+0)/100)*(1-CHOOSE(ArtifactsInput!$N$40+1,5,6,7,8,9,10)/100)^(ArtifactsInput!$M$40-ArtifactsInput!$M$40)))/100)))*(1+(Inputs!$B$24+((C2944=TRUE)*(F2944-Calc!F30)))/100)*(1+Skills!R4/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2937=TRUE)*(F2937-Calc!F23))+(((IF(AND(ArtifactsInput!$M$42,((Inputs!$B$9+((C2939=TRUE)*(F2939-Calc!F25))+B2954+(ArtifactsInput!$M$24-ArtifactsInput!$M$24)*CHOOSE(ArtifactsInput!$N$24+1,10,12,14,16,18,20)+IF(ArtifactsInput!$M$10,CHOOSE(ArtifactsInput!$N$10+1,15,18,21,24,27,30)*(IF(Inputs!$B$39="pvp",MIN(15,15)/15,IF(AND(Inputs!$B$39&lt;&gt;"pvp",Inputs!$B$44&gt;0),MIN(15,Inputs!$B$44)/(Inputs!$B$44),0))),0)))&gt;=100),MIN(100,((Inputs!$B$9+((C2939=TRUE)*(F2939-Calc!F25))+B2954+(ArtifactsInput!$M$24-ArtifactsInput!$M$24)*CHOOSE(ArtifactsInput!$N$24+1,10,12,14,16,18,20)+IF(ArtifactsInput!$M$10,CHOOSE(ArtifactsInput!$N$10+1,15,18,21,24,27,30)*(IF(Inputs!$B$39="pvp",MIN(15,15)/15,IF(AND(Inputs!$B$39&lt;&gt;"pvp",Inputs!$B$44&gt;0),MIN(15,Inputs!$B$44)/(Inputs!$B$44),0))),0)))-100),0))*CHOOSE(ArtifactsInput!$N$42+1,0.6,0.72,0.84,0.96,1.08,1.2))),Inputs!$B$18+((C2943=TRUE)*(F2943-Calc!F29))+(IF(AND(ArtifactsInput!$M$42,((Inputs!$B$9+((C2939=TRUE)*(F2939-Calc!F25))+B2954+(ArtifactsInput!$M$24-ArtifactsInput!$M$24)*CHOOSE(ArtifactsInput!$N$24+1,10,12,14,16,18,20)+IF(ArtifactsInput!$M$10,CHOOSE(ArtifactsInput!$N$10+1,15,18,21,24,27,30)*(IF(Inputs!$B$39="pvp",MIN(15,15)/15,IF(AND(Inputs!$B$39&lt;&gt;"pvp",Inputs!$B$44&gt;0),MIN(15,Inputs!$B$44)/(Inputs!$B$44),0))),0)))&gt;=100),CHOOSE(ArtifactsInput!$N$42+1,40,48,56,64,72,80),0))))/100)*(((1+(((C2935=TRUE)*F2935*IF(AND(Inputs!$B$39&lt;&gt;"pvp",Inputs!$B$44&gt;0),(((R2935-1)*(Skills!Y21*(1+Inputs!$B$34/100))+MIN((Skills!Y21*(1+Inputs!$B$34/100)),MAX(0,Inputs!$B$44-((R2935-1)*Skills!D21))))/Inputs!$B$44),IF(Inputs!$B$39="pvp",MIN((Skills!Y21*(1+Inputs!$B$34/100)),15)/15,(Skills!Y21*(1+Inputs!$B$34/100))/Skills!D21)))+((C2942=TRUE)*(F2942-Calc!F28))+((C2932=TRUE)*(F2932-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2929=TRUE)*F2929*IF(AND(Inputs!$B$39&lt;&gt;"pvp",Inputs!$B$44&gt;0),(((R2929-1)*(Skills!Y15*(1+Inputs!$B$34/100))+MIN((Skills!Y15*(1+Inputs!$B$34/100)),MAX(0,Inputs!$B$44-((R2929-1)*Skills!D15))))/Inputs!$B$44),IF(Inputs!$B$39="pvp",MIN((Skills!Y15*(1+Inputs!$B$34/100)),15)/15,(Skills!Y15*(1+Inputs!$B$34/100))/Skills!D15)))/100)*(1+((C2920=TRUE)*F2920*B2948)/100))*B2956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2918)</f>
        <v/>
      </c>
      <c r="L2918">
        <f>K2918*(MIN(Inputs!$B$22+((C2938=TRUE)*(F2938-Calc!F24)),(Inputs!$B$23+0+(IF(ArtifactsInput!$M$15,CHOOSE(ArtifactsInput!$N$15+1,25,30,35,40,45,50)/100*(Inputs!$B$11-Inputs!$B$11),0))))/100+(Inputs!$B$23+0+(IF(ArtifactsInput!$M$15,CHOOSE(ArtifactsInput!$N$15+1,25,30,35,40,45,50)/100*(Inputs!$B$11-Inputs!$B$11),0)))/100)/2</f>
        <v/>
      </c>
      <c r="M2918">
        <f>L2918*(1+(Inputs!$B$10+((C2940=TRUE)*(F2940-Calc!F26))+B2957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18">
        <f>L2918*(1-MIN((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2918*(MIN((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18">
        <f>(1-Summary!$B$11)*T2918+Summary!$B$11*V2918</f>
        <v/>
      </c>
      <c r="P2918">
        <f>IF(B2958=0,0,O2918/B2958)</f>
        <v/>
      </c>
      <c r="Q2918">
        <f>IFERROR(1/IF(Inputs!$B$39="pvp",15,MAX(0.1,Skills!D4-IF(Skills!E4=TRUE,Inputs!$B$32,0))),0)</f>
        <v/>
      </c>
      <c r="R2918">
        <f>IF(AND(Inputs!$B$39&lt;&gt;"pvp",Inputs!$B$44&gt;0),IF(MAX(0,Inputs!$B$44-B2959)&lt;=0,0,(INT(MAX(0,Inputs!$B$44-B2959)/IF(Inputs!$B$39="pvp",15,MAX(0.1,Skills!D4-IF(Skills!E4=TRUE,Inputs!$B$32,0))))+1)),0)</f>
        <v/>
      </c>
      <c r="S2918">
        <f>IFERROR(O2918/N2918,0)</f>
        <v/>
      </c>
      <c r="T2918">
        <f>IF(C2918,(H2918*N2918*IF(AND(Inputs!$B$39&lt;&gt;"pvp",Inputs!$B$44&gt;0),((Skills!G4*((R2918-1)*IF(Skills!H4&gt;0,Skills!I4/Skills!H4,1)+IF(Skills!H4&gt;0,MIN(Skills!I4,MAX(0,MAX(0,Inputs!$B$44-B2959)-((R2918-1)*IF(Inputs!$B$39="pvp",15,MAX(0.1,Skills!D4-IF(Skills!E4=TRUE,Inputs!$B$32,0))))))/Skills!H4,1)))/Inputs!$B$44),G2918*Q2918))*IF(Inputs!$B$39="pvp",1,1+(Inputs!$B$20+((C2941=TRUE)*(F2941-Calc!F27))+Skills!P4+B2955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Hunt"),CHOOSE(ArtifactsInput!$N$35+1,15,18,21,24,27,30)*(1-EXP(-(0.2*B2950)*5)),0)+IF(AND(ArtifactsInput!$M$22,Inputs!$B$4&lt;&gt;"Chapter Hunt"),CHOOSE(ArtifactsInput!$N$22+1,10,12,14,16,18,20)*((0*(((0.15*B2950*5))^0/1)+1*(((0.15*B2950*5))^1/1)+2*(((0.15*B2950*5))^2/2)+3*(((0.15*B2950*5))^3/6)+4*(((0.15*B2950*5))^4/24)+5*(((0.15*B2950*5))^5/120))/((((0.15*B2950*5))^0/1)+(((0.15*B2950*5))^1/1)+(((0.15*B2950*5))^2/2)+(((0.15*B2950*5))^3/6)+(((0.15*B2950*5))^4/24)+(((0.15*B2950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2918*(1-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2918*(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2918*(1-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2918*(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18">
        <f>MAX(0,(Inputs!$B$3-100)*3)+Inputs!$B$28+Inputs!$B$29</f>
        <v/>
      </c>
      <c r="V2918">
        <f>IF(C2918,(H2918*N2918*IF(AND(Inputs!$B$39&lt;&gt;"pvp",Inputs!$B$44&gt;0),((Skills!G4*((R2918-1)*IF(Skills!H4&gt;0,Skills!I4/Skills!H4,1)+IF(Skills!H4&gt;0,MIN(Skills!I4,MAX(0,MAX(0,Inputs!$B$44-B2959)-((R2918-1)*IF(Inputs!$B$39="pvp",15,MAX(0.1,Skills!D4-IF(Skills!E4=TRUE,Inputs!$B$32,0))))))/Skills!H4,1)))/Inputs!$B$44),G2918*Q2918))*IF(Inputs!$B$39="pvp",1,(1+(Inputs!$B$21+Skills!Q4+B2955+(IF(ArtifactsInput!$M$33,CHOOSE(ArtifactsInput!$N$33+1,30,36,42,48,54,60),0))+(IF(AND(ArtifactsInput!$M$35,Inputs!$B$4&lt;&gt;"Chapter Hunt"),CHOOSE(ArtifactsInput!$N$35+1,15,18,21,24,27,30)*(1-EXP(-(0.2*B2950)*5)),0)+IF(AND(ArtifactsInput!$M$22,Inputs!$B$4&lt;&gt;"Chapter Hunt"),CHOOSE(ArtifactsInput!$N$22+1,10,12,14,16,18,20)*((0*(((0.15*B2950*5))^0/1)+1*(((0.15*B2950*5))^1/1)+2*(((0.15*B2950*5))^2/2)+3*(((0.15*B2950*5))^3/6)+4*(((0.15*B2950*5))^4/24)+5*(((0.15*B2950*5))^5/120))/((((0.15*B2950*5))^0/1)+(((0.15*B2950*5))^1/1)+(((0.15*B2950*5))^2/2)+(((0.15*B2950*5))^3/6)+(((0.15*B2950*5))^4/24)+(((0.15*B2950*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19">
      <c r="A2919">
        <f>Skills!A5</f>
        <v/>
      </c>
      <c r="B2919">
        <f>Skills!B5</f>
        <v/>
      </c>
      <c r="C2919">
        <f>Inputs!$B$3&gt;=63</f>
        <v/>
      </c>
      <c r="D2919">
        <f>IF(Skills!C5=1,60+Inputs!$B$25+Inputs!$B$29,IF(Skills!C5=2,90+Inputs!$B$26+Inputs!$B$29,IF(Skills!C5=3,120+Inputs!$B$27+Inputs!$B$29,MAX(0,(Inputs!$B$3-100)*3)+Inputs!$B$28+Inputs!$B$29)))</f>
        <v/>
      </c>
      <c r="E2919">
        <f>INDEX(FactorTable!$B$2:$Y$301, MATCH(ROUND(MIN(300,MAX(1,D2919)),0), FactorTable!$A$2:$A$301,0), Skills!M5+1)</f>
        <v/>
      </c>
      <c r="F2919">
        <f>IF(Skills!N5=TRUE,(Skills!L5/10)*(E2919/1000),Skills!L5/10)+Skills!O5</f>
        <v/>
      </c>
      <c r="G2919">
        <f>Calc!G5</f>
        <v/>
      </c>
      <c r="H2919">
        <f>Calc!H5</f>
        <v/>
      </c>
      <c r="I2919">
        <f>IF(Skills!AA5&lt;&gt;"",1+(Skills!AA5/10)*(U2917/1000)/100,1)</f>
        <v/>
      </c>
      <c r="J2919">
        <f>((Inputs!$B$6*(1+Inputs!$B$7/100))+(((Inputs!$B$12*(1+Inputs!$B$13/100))-(Inputs!$B$12*(1+Inputs!$B$13/100)))+0.25*(Inputs!$B$14-Inputs!$B$14))*(1+Inputs!$B$7/100))*(F2919/100)</f>
        <v/>
      </c>
      <c r="K2919">
        <f>J2919*(1+((Inputs!$B$12*(1+Inputs!$B$13/100))*0.01+Inputs!$B$14*0.0025)/100)*(1+Inputs!$B$15/100)*(1+Inputs!$B$16/100)*(5000/(6000+Inputs!$B$43*(1-(100*(1-(1-(Inputs!$B$19+0)/100)*(1-CHOOSE(ArtifactsInput!$N$40+1,5,6,7,8,9,10)/100)^(ArtifactsInput!$M$40-ArtifactsInput!$M$40)))/100)))*(1+(Inputs!$B$24+((C2944=TRUE)*(F2944-Calc!F30)))/100)*(1+Skills!R5/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2937=TRUE)*(F2937-Calc!F23))+(((IF(AND(ArtifactsInput!$M$42,((Inputs!$B$9+((C2939=TRUE)*(F2939-Calc!F25))+B2954+(ArtifactsInput!$M$24-ArtifactsInput!$M$24)*CHOOSE(ArtifactsInput!$N$24+1,10,12,14,16,18,20)+IF(ArtifactsInput!$M$10,CHOOSE(ArtifactsInput!$N$10+1,15,18,21,24,27,30)*(IF(Inputs!$B$39="pvp",MIN(15,15)/15,IF(AND(Inputs!$B$39&lt;&gt;"pvp",Inputs!$B$44&gt;0),MIN(15,Inputs!$B$44)/(Inputs!$B$44),0))),0)))&gt;=100),MIN(100,((Inputs!$B$9+((C2939=TRUE)*(F2939-Calc!F25))+B2954+(ArtifactsInput!$M$24-ArtifactsInput!$M$24)*CHOOSE(ArtifactsInput!$N$24+1,10,12,14,16,18,20)+IF(ArtifactsInput!$M$10,CHOOSE(ArtifactsInput!$N$10+1,15,18,21,24,27,30)*(IF(Inputs!$B$39="pvp",MIN(15,15)/15,IF(AND(Inputs!$B$39&lt;&gt;"pvp",Inputs!$B$44&gt;0),MIN(15,Inputs!$B$44)/(Inputs!$B$44),0))),0)))-100),0))*CHOOSE(ArtifactsInput!$N$42+1,0.6,0.72,0.84,0.96,1.08,1.2))),Inputs!$B$18+((C2943=TRUE)*(F2943-Calc!F29))+(IF(AND(ArtifactsInput!$M$42,((Inputs!$B$9+((C2939=TRUE)*(F2939-Calc!F25))+B2954+(ArtifactsInput!$M$24-ArtifactsInput!$M$24)*CHOOSE(ArtifactsInput!$N$24+1,10,12,14,16,18,20)+IF(ArtifactsInput!$M$10,CHOOSE(ArtifactsInput!$N$10+1,15,18,21,24,27,30)*(IF(Inputs!$B$39="pvp",MIN(15,15)/15,IF(AND(Inputs!$B$39&lt;&gt;"pvp",Inputs!$B$44&gt;0),MIN(15,Inputs!$B$44)/(Inputs!$B$44),0))),0)))&gt;=100),CHOOSE(ArtifactsInput!$N$42+1,40,48,56,64,72,80),0))))/100)*(((1+(((C2935=TRUE)*F2935*IF(AND(Inputs!$B$39&lt;&gt;"pvp",Inputs!$B$44&gt;0),(((R2935-1)*(Skills!Y21*(1+Inputs!$B$34/100))+MIN((Skills!Y21*(1+Inputs!$B$34/100)),MAX(0,Inputs!$B$44-((R2935-1)*Skills!D21))))/Inputs!$B$44),IF(Inputs!$B$39="pvp",MIN((Skills!Y21*(1+Inputs!$B$34/100)),15)/15,(Skills!Y21*(1+Inputs!$B$34/100))/Skills!D21)))+((C2942=TRUE)*(F2942-Calc!F28))+((C2932=TRUE)*(F2932-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2929=TRUE)*F2929*IF(AND(Inputs!$B$39&lt;&gt;"pvp",Inputs!$B$44&gt;0),(((R2929-1)*(Skills!Y15*(1+Inputs!$B$34/100))+MIN((Skills!Y15*(1+Inputs!$B$34/100)),MAX(0,Inputs!$B$44-((R2929-1)*Skills!D15))))/Inputs!$B$44),IF(Inputs!$B$39="pvp",MIN((Skills!Y15*(1+Inputs!$B$34/100)),15)/15,(Skills!Y15*(1+Inputs!$B$34/100))/Skills!D15)))/100)*(1+((C2920=TRUE)*F2920*B2948)/100))*B2956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2919)</f>
        <v/>
      </c>
      <c r="L2919">
        <f>K2919*(MIN(Inputs!$B$22+((C2938=TRUE)*(F2938-Calc!F24)),(Inputs!$B$23+0+(IF(ArtifactsInput!$M$15,CHOOSE(ArtifactsInput!$N$15+1,25,30,35,40,45,50)/100*(Inputs!$B$11-Inputs!$B$11),0))))/100+(Inputs!$B$23+0+(IF(ArtifactsInput!$M$15,CHOOSE(ArtifactsInput!$N$15+1,25,30,35,40,45,50)/100*(Inputs!$B$11-Inputs!$B$11),0)))/100)/2</f>
        <v/>
      </c>
      <c r="M2919">
        <f>L2919*(1+(Inputs!$B$10+((C2940=TRUE)*(F2940-Calc!F26))+B2957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19">
        <f>L2919*(1-MIN((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2919*(MIN((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19">
        <f>(1-Summary!$B$11)*T2919+Summary!$B$11*V2919</f>
        <v/>
      </c>
      <c r="P2919">
        <f>IF(B2958=0,0,O2919/B2958)</f>
        <v/>
      </c>
      <c r="Q2919">
        <f>IFERROR(1/IF(Inputs!$B$39="pvp",15,MAX(0.1,Skills!D5-IF(Skills!E5=TRUE,Inputs!$B$32,0))),0)</f>
        <v/>
      </c>
      <c r="R2919">
        <f>IF(AND(Inputs!$B$39&lt;&gt;"pvp",Inputs!$B$44&gt;0),IF(MAX(0,Inputs!$B$44-B2959)&lt;=0,0,(INT(MAX(0,Inputs!$B$44-B2959)/IF(Inputs!$B$39="pvp",15,MAX(0.1,Skills!D5-IF(Skills!E5=TRUE,Inputs!$B$32,0))))+1)),0)</f>
        <v/>
      </c>
      <c r="S2919">
        <f>IFERROR(O2919/N2919,0)</f>
        <v/>
      </c>
      <c r="T2919">
        <f>IF(C2919,(H2919*N2919*IF(AND(Inputs!$B$39&lt;&gt;"pvp",Inputs!$B$44&gt;0),((Skills!G5*((R2919-1)*IF(Skills!H5&gt;0,Skills!I5/Skills!H5,1)+IF(Skills!H5&gt;0,MIN(Skills!I5,MAX(0,MAX(0,Inputs!$B$44-B2959)-((R2919-1)*IF(Inputs!$B$39="pvp",15,MAX(0.1,Skills!D5-IF(Skills!E5=TRUE,Inputs!$B$32,0))))))/Skills!H5,1)))/Inputs!$B$44),G2919*Q2919))*IF(Inputs!$B$39="pvp",1,1+(Inputs!$B$20+((C2941=TRUE)*(F2941-Calc!F27))+Skills!P5+B2955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Hunt"),CHOOSE(ArtifactsInput!$N$35+1,15,18,21,24,27,30)*(1-EXP(-(0.2*B2950)*5)),0)+IF(AND(ArtifactsInput!$M$22,Inputs!$B$4&lt;&gt;"Chapter Hunt"),CHOOSE(ArtifactsInput!$N$22+1,10,12,14,16,18,20)*((0*(((0.15*B2950*5))^0/1)+1*(((0.15*B2950*5))^1/1)+2*(((0.15*B2950*5))^2/2)+3*(((0.15*B2950*5))^3/6)+4*(((0.15*B2950*5))^4/24)+5*(((0.15*B2950*5))^5/120))/((((0.15*B2950*5))^0/1)+(((0.15*B2950*5))^1/1)+(((0.15*B2950*5))^2/2)+(((0.15*B2950*5))^3/6)+(((0.15*B2950*5))^4/24)+(((0.15*B2950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2919*(1-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2919*(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2919*(1-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2919*(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19">
        <f>INDEX(FactorTable!$B$2:$Y$301, MATCH(ROUND(MIN(300,MAX(1,U2918)),0), FactorTable!$A$2:$A$301,0), 22)</f>
        <v/>
      </c>
      <c r="V2919">
        <f>IF(C2919,(H2919*N2919*IF(AND(Inputs!$B$39&lt;&gt;"pvp",Inputs!$B$44&gt;0),((Skills!G5*((R2919-1)*IF(Skills!H5&gt;0,Skills!I5/Skills!H5,1)+IF(Skills!H5&gt;0,MIN(Skills!I5,MAX(0,MAX(0,Inputs!$B$44-B2959)-((R2919-1)*IF(Inputs!$B$39="pvp",15,MAX(0.1,Skills!D5-IF(Skills!E5=TRUE,Inputs!$B$32,0))))))/Skills!H5,1)))/Inputs!$B$44),G2919*Q2919))*IF(Inputs!$B$39="pvp",1,(1+(Inputs!$B$21+Skills!Q5+B2955+(IF(ArtifactsInput!$M$33,CHOOSE(ArtifactsInput!$N$33+1,30,36,42,48,54,60),0))+(IF(AND(ArtifactsInput!$M$35,Inputs!$B$4&lt;&gt;"Chapter Hunt"),CHOOSE(ArtifactsInput!$N$35+1,15,18,21,24,27,30)*(1-EXP(-(0.2*B2950)*5)),0)+IF(AND(ArtifactsInput!$M$22,Inputs!$B$4&lt;&gt;"Chapter Hunt"),CHOOSE(ArtifactsInput!$N$22+1,10,12,14,16,18,20)*((0*(((0.15*B2950*5))^0/1)+1*(((0.15*B2950*5))^1/1)+2*(((0.15*B2950*5))^2/2)+3*(((0.15*B2950*5))^3/6)+4*(((0.15*B2950*5))^4/24)+5*(((0.15*B2950*5))^5/120))/((((0.15*B2950*5))^0/1)+(((0.15*B2950*5))^1/1)+(((0.15*B2950*5))^2/2)+(((0.15*B2950*5))^3/6)+(((0.15*B2950*5))^4/24)+(((0.15*B2950*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20">
      <c r="A2920">
        <f>Skills!A6</f>
        <v/>
      </c>
      <c r="B2920">
        <f>Skills!B6</f>
        <v/>
      </c>
      <c r="C2920">
        <f>Inputs!$B$3&gt;=66</f>
        <v/>
      </c>
      <c r="D2920">
        <f>IF(Skills!C6=1,60+Inputs!$B$25+Inputs!$B$29,IF(Skills!C6=2,90+Inputs!$B$26+Inputs!$B$29,IF(Skills!C6=3,120+Inputs!$B$27+Inputs!$B$29,MAX(0,(Inputs!$B$3-100)*3)+Inputs!$B$28+Inputs!$B$29)))</f>
        <v/>
      </c>
      <c r="E2920">
        <f>INDEX(FactorTable!$B$2:$Y$301, MATCH(ROUND(MIN(300,MAX(1,D2920)),0), FactorTable!$A$2:$A$301,0), Skills!M6+1)</f>
        <v/>
      </c>
      <c r="F2920">
        <f>IF(Skills!N6=TRUE,(Skills!L6/10)*(E2920/1000),Skills!L6/10)+Skills!O6</f>
        <v/>
      </c>
      <c r="G2920">
        <f>Calc!G6</f>
        <v/>
      </c>
      <c r="H2920">
        <f>Calc!H6</f>
        <v/>
      </c>
      <c r="I2920">
        <f>IF(Skills!AA6&lt;&gt;"",1+(Skills!AA6/10)*(U2917/1000)/100,1)</f>
        <v/>
      </c>
      <c r="J2920" t="inlineStr"/>
      <c r="K2920" t="inlineStr"/>
      <c r="L2920" t="inlineStr"/>
      <c r="M2920" t="inlineStr"/>
      <c r="N2920" t="inlineStr"/>
      <c r="O2920">
        <f>(1-Summary!$B$11)*T2920+Summary!$B$11*V2920</f>
        <v/>
      </c>
      <c r="P2920">
        <f>IF(B2958=0,0,O2920/B2958)</f>
        <v/>
      </c>
      <c r="Q2920" t="n">
        <v>0</v>
      </c>
      <c r="R2920" t="n">
        <v>0</v>
      </c>
      <c r="S2920">
        <f>IFERROR(O2920/N2920,0)</f>
        <v/>
      </c>
      <c r="T2920" t="n">
        <v>0</v>
      </c>
      <c r="U2920">
        <f>290*U2919/1000</f>
        <v/>
      </c>
      <c r="V2920" t="n">
        <v>0</v>
      </c>
    </row>
    <row r="2921">
      <c r="A2921">
        <f>Skills!A7</f>
        <v/>
      </c>
      <c r="B2921">
        <f>Skills!B7</f>
        <v/>
      </c>
      <c r="C2921">
        <f>Inputs!$B$3&gt;=66</f>
        <v/>
      </c>
      <c r="D2921">
        <f>IF(Skills!C7=1,60+Inputs!$B$25+Inputs!$B$29,IF(Skills!C7=2,90+Inputs!$B$26+Inputs!$B$29,IF(Skills!C7=3,120+Inputs!$B$27+Inputs!$B$29,MAX(0,(Inputs!$B$3-100)*3)+Inputs!$B$28+Inputs!$B$29)))</f>
        <v/>
      </c>
      <c r="E2921">
        <f>INDEX(FactorTable!$B$2:$Y$301, MATCH(ROUND(MIN(300,MAX(1,D2921)),0), FactorTable!$A$2:$A$301,0), Skills!M7+1)</f>
        <v/>
      </c>
      <c r="F2921">
        <f>IF(Skills!N7=TRUE,(Skills!L7/10)*(E2921/1000),Skills!L7/10)+Skills!O7</f>
        <v/>
      </c>
      <c r="G2921">
        <f>Calc!G7</f>
        <v/>
      </c>
      <c r="H2921">
        <f>Calc!H7</f>
        <v/>
      </c>
      <c r="I2921">
        <f>IF(Skills!AA7&lt;&gt;"",1+(Skills!AA7/10)*(U2917/1000)/100,1)</f>
        <v/>
      </c>
      <c r="J2921" t="inlineStr"/>
      <c r="K2921" t="inlineStr"/>
      <c r="L2921" t="inlineStr"/>
      <c r="M2921" t="inlineStr"/>
      <c r="N2921" t="inlineStr"/>
      <c r="O2921">
        <f>(1-Summary!$B$11)*T2921+Summary!$B$11*V2921</f>
        <v/>
      </c>
      <c r="P2921">
        <f>IF(B2958=0,0,O2921/B2958)</f>
        <v/>
      </c>
      <c r="Q2921" t="n">
        <v>0</v>
      </c>
      <c r="R2921" t="n">
        <v>0</v>
      </c>
      <c r="S2921">
        <f>IFERROR(O2921/N2921,0)</f>
        <v/>
      </c>
      <c r="T2921" t="n">
        <v>0</v>
      </c>
      <c r="V2921" t="n">
        <v>0</v>
      </c>
    </row>
    <row r="2922">
      <c r="A2922">
        <f>Skills!A8</f>
        <v/>
      </c>
      <c r="B2922">
        <f>Skills!B8</f>
        <v/>
      </c>
      <c r="C2922">
        <f>Inputs!$B$3&gt;=69</f>
        <v/>
      </c>
      <c r="D2922">
        <f>IF(Skills!C8=1,60+Inputs!$B$25+Inputs!$B$29,IF(Skills!C8=2,90+Inputs!$B$26+Inputs!$B$29,IF(Skills!C8=3,120+Inputs!$B$27+Inputs!$B$29,MAX(0,(Inputs!$B$3-100)*3)+Inputs!$B$28+Inputs!$B$29)))</f>
        <v/>
      </c>
      <c r="E2922">
        <f>INDEX(FactorTable!$B$2:$Y$301, MATCH(ROUND(MIN(300,MAX(1,D2922)),0), FactorTable!$A$2:$A$301,0), Skills!M8+1)</f>
        <v/>
      </c>
      <c r="F2922">
        <f>IF(Skills!N8=TRUE,(Skills!L8/10)*(E2922/1000),Skills!L8/10)+Skills!O8</f>
        <v/>
      </c>
      <c r="G2922">
        <f>Calc!G8</f>
        <v/>
      </c>
      <c r="H2922">
        <f>Calc!H8</f>
        <v/>
      </c>
      <c r="I2922">
        <f>IF(Skills!AA8&lt;&gt;"",1+(Skills!AA8/10)*(U2917/1000)/100,1)</f>
        <v/>
      </c>
      <c r="J2922">
        <f>((Inputs!$B$6*(1+Inputs!$B$7/100))+(((Inputs!$B$12*(1+Inputs!$B$13/100))-(Inputs!$B$12*(1+Inputs!$B$13/100)))+0.25*(Inputs!$B$14-Inputs!$B$14))*(1+Inputs!$B$7/100))*(F2922/100)</f>
        <v/>
      </c>
      <c r="K2922">
        <f>J2922*(1+((Inputs!$B$12*(1+Inputs!$B$13/100))*0.01+Inputs!$B$14*0.0025)/100)*(1+Inputs!$B$15/100)*(1+Inputs!$B$16/100)*(5000/(6000+Inputs!$B$43*(1-(100*(1-(1-(Inputs!$B$19+0)/100)*(1-CHOOSE(ArtifactsInput!$N$40+1,5,6,7,8,9,10)/100)^(ArtifactsInput!$M$40-ArtifactsInput!$M$40)))/100)))*(1+(Inputs!$B$24+((C2944=TRUE)*(F2944-Calc!F30)))/100)*(1+Skills!R8/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2937=TRUE)*(F2937-Calc!F23))+(((IF(AND(ArtifactsInput!$M$42,((Inputs!$B$9+((C2939=TRUE)*(F2939-Calc!F25))+B2954+(ArtifactsInput!$M$24-ArtifactsInput!$M$24)*CHOOSE(ArtifactsInput!$N$24+1,10,12,14,16,18,20)+IF(ArtifactsInput!$M$10,CHOOSE(ArtifactsInput!$N$10+1,15,18,21,24,27,30)*(IF(Inputs!$B$39="pvp",MIN(15,15)/15,IF(AND(Inputs!$B$39&lt;&gt;"pvp",Inputs!$B$44&gt;0),MIN(15,Inputs!$B$44)/(Inputs!$B$44),0))),0)))&gt;=100),MIN(100,((Inputs!$B$9+((C2939=TRUE)*(F2939-Calc!F25))+B2954+(ArtifactsInput!$M$24-ArtifactsInput!$M$24)*CHOOSE(ArtifactsInput!$N$24+1,10,12,14,16,18,20)+IF(ArtifactsInput!$M$10,CHOOSE(ArtifactsInput!$N$10+1,15,18,21,24,27,30)*(IF(Inputs!$B$39="pvp",MIN(15,15)/15,IF(AND(Inputs!$B$39&lt;&gt;"pvp",Inputs!$B$44&gt;0),MIN(15,Inputs!$B$44)/(Inputs!$B$44),0))),0)))-100),0))*CHOOSE(ArtifactsInput!$N$42+1,0.6,0.72,0.84,0.96,1.08,1.2))),Inputs!$B$18+((C2943=TRUE)*(F2943-Calc!F29))+(IF(AND(ArtifactsInput!$M$42,((Inputs!$B$9+((C2939=TRUE)*(F2939-Calc!F25))+B2954+(ArtifactsInput!$M$24-ArtifactsInput!$M$24)*CHOOSE(ArtifactsInput!$N$24+1,10,12,14,16,18,20)+IF(ArtifactsInput!$M$10,CHOOSE(ArtifactsInput!$N$10+1,15,18,21,24,27,30)*(IF(Inputs!$B$39="pvp",MIN(15,15)/15,IF(AND(Inputs!$B$39&lt;&gt;"pvp",Inputs!$B$44&gt;0),MIN(15,Inputs!$B$44)/(Inputs!$B$44),0))),0)))&gt;=100),CHOOSE(ArtifactsInput!$N$42+1,40,48,56,64,72,80),0))))/100)*(((1+(((C2935=TRUE)*F2935*IF(AND(Inputs!$B$39&lt;&gt;"pvp",Inputs!$B$44&gt;0),(((R2935-1)*(Skills!Y21*(1+Inputs!$B$34/100))+MIN((Skills!Y21*(1+Inputs!$B$34/100)),MAX(0,Inputs!$B$44-((R2935-1)*Skills!D21))))/Inputs!$B$44),IF(Inputs!$B$39="pvp",MIN((Skills!Y21*(1+Inputs!$B$34/100)),15)/15,(Skills!Y21*(1+Inputs!$B$34/100))/Skills!D21)))+((C2942=TRUE)*(F2942-Calc!F28))+((C2932=TRUE)*(F2932-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2929=TRUE)*F2929*IF(AND(Inputs!$B$39&lt;&gt;"pvp",Inputs!$B$44&gt;0),(((R2929-1)*(Skills!Y15*(1+Inputs!$B$34/100))+MIN((Skills!Y15*(1+Inputs!$B$34/100)),MAX(0,Inputs!$B$44-((R2929-1)*Skills!D15))))/Inputs!$B$44),IF(Inputs!$B$39="pvp",MIN((Skills!Y15*(1+Inputs!$B$34/100)),15)/15,(Skills!Y15*(1+Inputs!$B$34/100))/Skills!D15)))/100)*(1+((C2920=TRUE)*F2920*B2948)/100))*B2956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2922)</f>
        <v/>
      </c>
      <c r="L2922">
        <f>K2922*(MIN(Inputs!$B$22+((C2938=TRUE)*(F2938-Calc!F24)),(Inputs!$B$23+0+(IF(ArtifactsInput!$M$15,CHOOSE(ArtifactsInput!$N$15+1,25,30,35,40,45,50)/100*(Inputs!$B$11-Inputs!$B$11),0))))/100+(Inputs!$B$23+0+(IF(ArtifactsInput!$M$15,CHOOSE(ArtifactsInput!$N$15+1,25,30,35,40,45,50)/100*(Inputs!$B$11-Inputs!$B$11),0)))/100)/2</f>
        <v/>
      </c>
      <c r="M2922">
        <f>L2922*(1+(Inputs!$B$10+((C2940=TRUE)*(F2940-Calc!F26))+B2957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22">
        <f>L2922*(1-MIN((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2922*(MIN((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22">
        <f>(1-Summary!$B$11)*T2922+Summary!$B$11*V2922</f>
        <v/>
      </c>
      <c r="P2922">
        <f>IF(B2958=0,0,O2922/B2958)</f>
        <v/>
      </c>
      <c r="Q2922">
        <f>IFERROR(1/IF(Inputs!$B$39="pvp",15,MAX(0.1,Skills!D8-IF(Skills!E8=TRUE,Inputs!$B$32,0))),0)</f>
        <v/>
      </c>
      <c r="R2922">
        <f>IF(AND(Inputs!$B$39&lt;&gt;"pvp",Inputs!$B$44&gt;0),IF(MAX(0,Inputs!$B$44-B2959)&lt;=0,0,(INT(MAX(0,Inputs!$B$44-B2959)/IF(Inputs!$B$39="pvp",15,MAX(0.1,Skills!D8-IF(Skills!E8=TRUE,Inputs!$B$32,0))))+1)),0)</f>
        <v/>
      </c>
      <c r="S2922">
        <f>IFERROR(O2922/N2922,0)</f>
        <v/>
      </c>
      <c r="T2922">
        <f>IF(C2922,(H2922*N2922*IF(AND(Inputs!$B$39&lt;&gt;"pvp",Inputs!$B$44&gt;0),((Skills!G8*((R2922-1)*IF(Skills!H8&gt;0,Skills!I8/Skills!H8,1)+IF(Skills!H8&gt;0,MIN(Skills!I8,MAX(0,MAX(0,Inputs!$B$44-B2959)-((R2922-1)*IF(Inputs!$B$39="pvp",15,MAX(0.1,Skills!D8-IF(Skills!E8=TRUE,Inputs!$B$32,0))))))/Skills!H8,1)))/Inputs!$B$44),G2922*Q2922))*IF(Inputs!$B$39="pvp",1,1+(Inputs!$B$20+((C2941=TRUE)*(F2941-Calc!F27))+Skills!P8+B2955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Hunt"),CHOOSE(ArtifactsInput!$N$35+1,15,18,21,24,27,30)*(1-EXP(-(0.2*B2950)*5)),0)+IF(AND(ArtifactsInput!$M$22,Inputs!$B$4&lt;&gt;"Chapter Hunt"),CHOOSE(ArtifactsInput!$N$22+1,10,12,14,16,18,20)*((0*(((0.15*B2950*5))^0/1)+1*(((0.15*B2950*5))^1/1)+2*(((0.15*B2950*5))^2/2)+3*(((0.15*B2950*5))^3/6)+4*(((0.15*B2950*5))^4/24)+5*(((0.15*B2950*5))^5/120))/((((0.15*B2950*5))^0/1)+(((0.15*B2950*5))^1/1)+(((0.15*B2950*5))^2/2)+(((0.15*B2950*5))^3/6)+(((0.15*B2950*5))^4/24)+(((0.15*B2950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2922*(1-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2922*(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2922*(1-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2922*(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22">
        <f>IF(C2922,(H2922*N2922*IF(AND(Inputs!$B$39&lt;&gt;"pvp",Inputs!$B$44&gt;0),((Skills!G8*((R2922-1)*IF(Skills!H8&gt;0,Skills!I8/Skills!H8,1)+IF(Skills!H8&gt;0,MIN(Skills!I8,MAX(0,MAX(0,Inputs!$B$44-B2959)-((R2922-1)*IF(Inputs!$B$39="pvp",15,MAX(0.1,Skills!D8-IF(Skills!E8=TRUE,Inputs!$B$32,0))))))/Skills!H8,1)))/Inputs!$B$44),G2922*Q2922))*IF(Inputs!$B$39="pvp",1,(1+(Inputs!$B$21+Skills!Q8+B2955+(IF(ArtifactsInput!$M$33,CHOOSE(ArtifactsInput!$N$33+1,30,36,42,48,54,60),0))+(IF(AND(ArtifactsInput!$M$35,Inputs!$B$4&lt;&gt;"Chapter Hunt"),CHOOSE(ArtifactsInput!$N$35+1,15,18,21,24,27,30)*(1-EXP(-(0.2*B2950)*5)),0)+IF(AND(ArtifactsInput!$M$22,Inputs!$B$4&lt;&gt;"Chapter Hunt"),CHOOSE(ArtifactsInput!$N$22+1,10,12,14,16,18,20)*((0*(((0.15*B2950*5))^0/1)+1*(((0.15*B2950*5))^1/1)+2*(((0.15*B2950*5))^2/2)+3*(((0.15*B2950*5))^3/6)+4*(((0.15*B2950*5))^4/24)+5*(((0.15*B2950*5))^5/120))/((((0.15*B2950*5))^0/1)+(((0.15*B2950*5))^1/1)+(((0.15*B2950*5))^2/2)+(((0.15*B2950*5))^3/6)+(((0.15*B2950*5))^4/24)+(((0.15*B2950*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23">
      <c r="A2923">
        <f>Skills!A9</f>
        <v/>
      </c>
      <c r="B2923">
        <f>Skills!B9</f>
        <v/>
      </c>
      <c r="C2923">
        <f>Inputs!$B$3&gt;=72</f>
        <v/>
      </c>
      <c r="D2923">
        <f>IF(Skills!C9=1,60+Inputs!$B$25+Inputs!$B$29,IF(Skills!C9=2,90+Inputs!$B$26+Inputs!$B$29,IF(Skills!C9=3,120+Inputs!$B$27+Inputs!$B$29,MAX(0,(Inputs!$B$3-100)*3)+Inputs!$B$28+Inputs!$B$29)))</f>
        <v/>
      </c>
      <c r="E2923">
        <f>INDEX(FactorTable!$B$2:$Y$301, MATCH(ROUND(MIN(300,MAX(1,D2923)),0), FactorTable!$A$2:$A$301,0), Skills!M9+1)</f>
        <v/>
      </c>
      <c r="F2923">
        <f>IF(Skills!N9=TRUE,(Skills!L9/10)*(E2923/1000),Skills!L9/10)+Skills!O9</f>
        <v/>
      </c>
      <c r="G2923">
        <f>Calc!G9</f>
        <v/>
      </c>
      <c r="H2923">
        <f>Calc!H9</f>
        <v/>
      </c>
      <c r="I2923">
        <f>IF(Skills!AA9&lt;&gt;"",1+(Skills!AA9/10)*(U2917/1000)/100,1)</f>
        <v/>
      </c>
      <c r="J2923">
        <f>((Inputs!$B$6*(1+Inputs!$B$7/100))+(((Inputs!$B$12*(1+Inputs!$B$13/100))-(Inputs!$B$12*(1+Inputs!$B$13/100)))+0.25*(Inputs!$B$14-Inputs!$B$14))*(1+Inputs!$B$7/100))*(F2923/100)</f>
        <v/>
      </c>
      <c r="K2923">
        <f>J2923*(1+((Inputs!$B$12*(1+Inputs!$B$13/100))*0.01+Inputs!$B$14*0.0025)/100)*(1+Inputs!$B$15/100)*(1+Inputs!$B$16/100)*(5000/(6000+Inputs!$B$43*(1-(100*(1-(1-(Inputs!$B$19+0)/100)*(1-CHOOSE(ArtifactsInput!$N$40+1,5,6,7,8,9,10)/100)^(ArtifactsInput!$M$40-ArtifactsInput!$M$40)))/100)))*(1+(Inputs!$B$24+((C2944=TRUE)*(F2944-Calc!F30)))/100)*(1+Skills!R9/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2937=TRUE)*(F2937-Calc!F23))+(((IF(AND(ArtifactsInput!$M$42,((Inputs!$B$9+((C2939=TRUE)*(F2939-Calc!F25))+B2954+(ArtifactsInput!$M$24-ArtifactsInput!$M$24)*CHOOSE(ArtifactsInput!$N$24+1,10,12,14,16,18,20)+IF(ArtifactsInput!$M$10,CHOOSE(ArtifactsInput!$N$10+1,15,18,21,24,27,30)*(IF(Inputs!$B$39="pvp",MIN(15,15)/15,IF(AND(Inputs!$B$39&lt;&gt;"pvp",Inputs!$B$44&gt;0),MIN(15,Inputs!$B$44)/(Inputs!$B$44),0))),0)))&gt;=100),MIN(100,((Inputs!$B$9+((C2939=TRUE)*(F2939-Calc!F25))+B2954+(ArtifactsInput!$M$24-ArtifactsInput!$M$24)*CHOOSE(ArtifactsInput!$N$24+1,10,12,14,16,18,20)+IF(ArtifactsInput!$M$10,CHOOSE(ArtifactsInput!$N$10+1,15,18,21,24,27,30)*(IF(Inputs!$B$39="pvp",MIN(15,15)/15,IF(AND(Inputs!$B$39&lt;&gt;"pvp",Inputs!$B$44&gt;0),MIN(15,Inputs!$B$44)/(Inputs!$B$44),0))),0)))-100),0))*CHOOSE(ArtifactsInput!$N$42+1,0.6,0.72,0.84,0.96,1.08,1.2))),Inputs!$B$18+((C2943=TRUE)*(F2943-Calc!F29))+(IF(AND(ArtifactsInput!$M$42,((Inputs!$B$9+((C2939=TRUE)*(F2939-Calc!F25))+B2954+(ArtifactsInput!$M$24-ArtifactsInput!$M$24)*CHOOSE(ArtifactsInput!$N$24+1,10,12,14,16,18,20)+IF(ArtifactsInput!$M$10,CHOOSE(ArtifactsInput!$N$10+1,15,18,21,24,27,30)*(IF(Inputs!$B$39="pvp",MIN(15,15)/15,IF(AND(Inputs!$B$39&lt;&gt;"pvp",Inputs!$B$44&gt;0),MIN(15,Inputs!$B$44)/(Inputs!$B$44),0))),0)))&gt;=100),CHOOSE(ArtifactsInput!$N$42+1,40,48,56,64,72,80),0))))/100)*(((1+(((C2935=TRUE)*F2935*IF(AND(Inputs!$B$39&lt;&gt;"pvp",Inputs!$B$44&gt;0),(((R2935-1)*(Skills!Y21*(1+Inputs!$B$34/100))+MIN((Skills!Y21*(1+Inputs!$B$34/100)),MAX(0,Inputs!$B$44-((R2935-1)*Skills!D21))))/Inputs!$B$44),IF(Inputs!$B$39="pvp",MIN((Skills!Y21*(1+Inputs!$B$34/100)),15)/15,(Skills!Y21*(1+Inputs!$B$34/100))/Skills!D21)))+((C2942=TRUE)*(F2942-Calc!F28))+((C2932=TRUE)*(F2932-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2929=TRUE)*F2929*IF(AND(Inputs!$B$39&lt;&gt;"pvp",Inputs!$B$44&gt;0),(((R2929-1)*(Skills!Y15*(1+Inputs!$B$34/100))+MIN((Skills!Y15*(1+Inputs!$B$34/100)),MAX(0,Inputs!$B$44-((R2929-1)*Skills!D15))))/Inputs!$B$44),IF(Inputs!$B$39="pvp",MIN((Skills!Y15*(1+Inputs!$B$34/100)),15)/15,(Skills!Y15*(1+Inputs!$B$34/100))/Skills!D15)))/100)*(1+((C2920=TRUE)*F2920*B2948)/100))*B2956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2923)</f>
        <v/>
      </c>
      <c r="L2923">
        <f>K2923*(MIN(Inputs!$B$22+((C2938=TRUE)*(F2938-Calc!F24)),(Inputs!$B$23+0+(IF(ArtifactsInput!$M$15,CHOOSE(ArtifactsInput!$N$15+1,25,30,35,40,45,50)/100*(Inputs!$B$11-Inputs!$B$11),0))))/100+(Inputs!$B$23+0+(IF(ArtifactsInput!$M$15,CHOOSE(ArtifactsInput!$N$15+1,25,30,35,40,45,50)/100*(Inputs!$B$11-Inputs!$B$11),0)))/100)/2</f>
        <v/>
      </c>
      <c r="M2923">
        <f>L2923*(1+(Inputs!$B$10+((C2940=TRUE)*(F2940-Calc!F26))+B2957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23">
        <f>L2923*(1-MIN((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2923*(MIN((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23">
        <f>(1-Summary!$B$11)*T2923+Summary!$B$11*V2923</f>
        <v/>
      </c>
      <c r="P2923">
        <f>IF(B2958=0,0,O2923/B2958)</f>
        <v/>
      </c>
      <c r="Q2923">
        <f>IFERROR(1/IF(Inputs!$B$39="pvp",15,MAX(0.1,Skills!D9-IF(Skills!E9=TRUE,Inputs!$B$32,0))),0)</f>
        <v/>
      </c>
      <c r="R2923">
        <f>IF(AND(Inputs!$B$39&lt;&gt;"pvp",Inputs!$B$44&gt;0),IF(MAX(0,Inputs!$B$44-B2959)&lt;=0,0,(INT(MAX(0,Inputs!$B$44-B2959)/IF(Inputs!$B$39="pvp",15,MAX(0.1,Skills!D9-IF(Skills!E9=TRUE,Inputs!$B$32,0))))+1)),0)</f>
        <v/>
      </c>
      <c r="S2923">
        <f>IFERROR(O2923/N2923,0)</f>
        <v/>
      </c>
      <c r="T2923">
        <f>IF(C2923,(H2923*N2923*IF(AND(Inputs!$B$39&lt;&gt;"pvp",Inputs!$B$44&gt;0),((Skills!G9*((R2923-1)*IF(Skills!H9&gt;0,Skills!I9/Skills!H9,1)+IF(Skills!H9&gt;0,MIN(Skills!I9,MAX(0,MAX(0,Inputs!$B$44-B2959)-((R2923-1)*IF(Inputs!$B$39="pvp",15,MAX(0.1,Skills!D9-IF(Skills!E9=TRUE,Inputs!$B$32,0))))))/Skills!H9,1)))/Inputs!$B$44),G2923*Q2923))*IF(Inputs!$B$39="pvp",1,1+(Inputs!$B$20+((C2941=TRUE)*(F2941-Calc!F27))+Skills!P9+B2955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Hunt"),CHOOSE(ArtifactsInput!$N$35+1,15,18,21,24,27,30)*(1-EXP(-(0.2*B2950)*5)),0)+IF(AND(ArtifactsInput!$M$22,Inputs!$B$4&lt;&gt;"Chapter Hunt"),CHOOSE(ArtifactsInput!$N$22+1,10,12,14,16,18,20)*((0*(((0.15*B2950*5))^0/1)+1*(((0.15*B2950*5))^1/1)+2*(((0.15*B2950*5))^2/2)+3*(((0.15*B2950*5))^3/6)+4*(((0.15*B2950*5))^4/24)+5*(((0.15*B2950*5))^5/120))/((((0.15*B2950*5))^0/1)+(((0.15*B2950*5))^1/1)+(((0.15*B2950*5))^2/2)+(((0.15*B2950*5))^3/6)+(((0.15*B2950*5))^4/24)+(((0.15*B2950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2923*(1-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2923*(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2923*(1-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2923*(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23">
        <f>IF(C2923,(H2923*N2923*IF(AND(Inputs!$B$39&lt;&gt;"pvp",Inputs!$B$44&gt;0),((Skills!G9*((R2923-1)*IF(Skills!H9&gt;0,Skills!I9/Skills!H9,1)+IF(Skills!H9&gt;0,MIN(Skills!I9,MAX(0,MAX(0,Inputs!$B$44-B2959)-((R2923-1)*IF(Inputs!$B$39="pvp",15,MAX(0.1,Skills!D9-IF(Skills!E9=TRUE,Inputs!$B$32,0))))))/Skills!H9,1)))/Inputs!$B$44),G2923*Q2923))*IF(Inputs!$B$39="pvp",1,(1+(Inputs!$B$21+Skills!Q9+B2955+(IF(ArtifactsInput!$M$33,CHOOSE(ArtifactsInput!$N$33+1,30,36,42,48,54,60),0))+(IF(AND(ArtifactsInput!$M$35,Inputs!$B$4&lt;&gt;"Chapter Hunt"),CHOOSE(ArtifactsInput!$N$35+1,15,18,21,24,27,30)*(1-EXP(-(0.2*B2950)*5)),0)+IF(AND(ArtifactsInput!$M$22,Inputs!$B$4&lt;&gt;"Chapter Hunt"),CHOOSE(ArtifactsInput!$N$22+1,10,12,14,16,18,20)*((0*(((0.15*B2950*5))^0/1)+1*(((0.15*B2950*5))^1/1)+2*(((0.15*B2950*5))^2/2)+3*(((0.15*B2950*5))^3/6)+4*(((0.15*B2950*5))^4/24)+5*(((0.15*B2950*5))^5/120))/((((0.15*B2950*5))^0/1)+(((0.15*B2950*5))^1/1)+(((0.15*B2950*5))^2/2)+(((0.15*B2950*5))^3/6)+(((0.15*B2950*5))^4/24)+(((0.15*B2950*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24">
      <c r="A2924">
        <f>Skills!A10</f>
        <v/>
      </c>
      <c r="B2924">
        <f>Skills!B10</f>
        <v/>
      </c>
      <c r="C2924">
        <f>Inputs!$B$3&gt;=117</f>
        <v/>
      </c>
      <c r="D2924">
        <f>IF(Skills!C10=1,60+Inputs!$B$25+Inputs!$B$29,IF(Skills!C10=2,90+Inputs!$B$26+Inputs!$B$29,IF(Skills!C10=3,120+Inputs!$B$27+Inputs!$B$29,MAX(0,(Inputs!$B$3-100)*3)+Inputs!$B$28+Inputs!$B$29)))</f>
        <v/>
      </c>
      <c r="E2924">
        <f>INDEX(FactorTable!$B$2:$Y$301, MATCH(ROUND(MIN(300,MAX(1,D2924)),0), FactorTable!$A$2:$A$301,0), Skills!M10+1)</f>
        <v/>
      </c>
      <c r="F2924">
        <f>IF(Skills!N10=TRUE,(Skills!L10/10)*(E2924/1000),Skills!L10/10)+Skills!O10</f>
        <v/>
      </c>
      <c r="G2924">
        <f>Calc!G10</f>
        <v/>
      </c>
      <c r="H2924">
        <f>Calc!H10</f>
        <v/>
      </c>
      <c r="I2924">
        <f>IF(Skills!AA10&lt;&gt;"",1+(Skills!AA10/10)*(U2917/1000)/100,1)</f>
        <v/>
      </c>
      <c r="J2924">
        <f>((Inputs!$B$6*(1+Inputs!$B$7/100))+(((Inputs!$B$12*(1+Inputs!$B$13/100))-(Inputs!$B$12*(1+Inputs!$B$13/100)))+0.25*(Inputs!$B$14-Inputs!$B$14))*(1+Inputs!$B$7/100))*(F2924/100)</f>
        <v/>
      </c>
      <c r="K2924">
        <f>J2924*(1+((Inputs!$B$12*(1+Inputs!$B$13/100))*0.01+Inputs!$B$14*0.0025)/100)*(1+Inputs!$B$15/100)*(1+Inputs!$B$16/100)*(5000/(6000+Inputs!$B$43*(1-(100*(1-(1-(Inputs!$B$19+0)/100)*(1-CHOOSE(ArtifactsInput!$N$40+1,5,6,7,8,9,10)/100)^(ArtifactsInput!$M$40-ArtifactsInput!$M$40)))/100)))*(1+(Inputs!$B$24+((C2944=TRUE)*(F2944-Calc!F30)))/100)*(1+Skills!R10/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2937=TRUE)*(F2937-Calc!F23))+(((IF(AND(ArtifactsInput!$M$42,((Inputs!$B$9+((C2939=TRUE)*(F2939-Calc!F25))+B2954+(ArtifactsInput!$M$24-ArtifactsInput!$M$24)*CHOOSE(ArtifactsInput!$N$24+1,10,12,14,16,18,20)+IF(ArtifactsInput!$M$10,CHOOSE(ArtifactsInput!$N$10+1,15,18,21,24,27,30)*(IF(Inputs!$B$39="pvp",MIN(15,15)/15,IF(AND(Inputs!$B$39&lt;&gt;"pvp",Inputs!$B$44&gt;0),MIN(15,Inputs!$B$44)/(Inputs!$B$44),0))),0)))&gt;=100),MIN(100,((Inputs!$B$9+((C2939=TRUE)*(F2939-Calc!F25))+B2954+(ArtifactsInput!$M$24-ArtifactsInput!$M$24)*CHOOSE(ArtifactsInput!$N$24+1,10,12,14,16,18,20)+IF(ArtifactsInput!$M$10,CHOOSE(ArtifactsInput!$N$10+1,15,18,21,24,27,30)*(IF(Inputs!$B$39="pvp",MIN(15,15)/15,IF(AND(Inputs!$B$39&lt;&gt;"pvp",Inputs!$B$44&gt;0),MIN(15,Inputs!$B$44)/(Inputs!$B$44),0))),0)))-100),0))*CHOOSE(ArtifactsInput!$N$42+1,0.6,0.72,0.84,0.96,1.08,1.2))),Inputs!$B$18+((C2943=TRUE)*(F2943-Calc!F29))+(IF(AND(ArtifactsInput!$M$42,((Inputs!$B$9+((C2939=TRUE)*(F2939-Calc!F25))+B2954+(ArtifactsInput!$M$24-ArtifactsInput!$M$24)*CHOOSE(ArtifactsInput!$N$24+1,10,12,14,16,18,20)+IF(ArtifactsInput!$M$10,CHOOSE(ArtifactsInput!$N$10+1,15,18,21,24,27,30)*(IF(Inputs!$B$39="pvp",MIN(15,15)/15,IF(AND(Inputs!$B$39&lt;&gt;"pvp",Inputs!$B$44&gt;0),MIN(15,Inputs!$B$44)/(Inputs!$B$44),0))),0)))&gt;=100),CHOOSE(ArtifactsInput!$N$42+1,40,48,56,64,72,80),0))))/100)*(((1+(((C2935=TRUE)*F2935*IF(AND(Inputs!$B$39&lt;&gt;"pvp",Inputs!$B$44&gt;0),(((R2935-1)*(Skills!Y21*(1+Inputs!$B$34/100))+MIN((Skills!Y21*(1+Inputs!$B$34/100)),MAX(0,Inputs!$B$44-((R2935-1)*Skills!D21))))/Inputs!$B$44),IF(Inputs!$B$39="pvp",MIN((Skills!Y21*(1+Inputs!$B$34/100)),15)/15,(Skills!Y21*(1+Inputs!$B$34/100))/Skills!D21)))+((C2942=TRUE)*(F2942-Calc!F28))+((C2932=TRUE)*(F2932-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2929=TRUE)*F2929*IF(AND(Inputs!$B$39&lt;&gt;"pvp",Inputs!$B$44&gt;0),(((R2929-1)*(Skills!Y15*(1+Inputs!$B$34/100))+MIN((Skills!Y15*(1+Inputs!$B$34/100)),MAX(0,Inputs!$B$44-((R2929-1)*Skills!D15))))/Inputs!$B$44),IF(Inputs!$B$39="pvp",MIN((Skills!Y15*(1+Inputs!$B$34/100)),15)/15,(Skills!Y15*(1+Inputs!$B$34/100))/Skills!D15)))/100)*(1+((C2920=TRUE)*F2920*B2948)/100))*B2956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2924)</f>
        <v/>
      </c>
      <c r="L2924">
        <f>K2924*(MIN(Inputs!$B$22+((C2938=TRUE)*(F2938-Calc!F24)),(Inputs!$B$23+0+(IF(ArtifactsInput!$M$15,CHOOSE(ArtifactsInput!$N$15+1,25,30,35,40,45,50)/100*(Inputs!$B$11-Inputs!$B$11),0))))/100+(Inputs!$B$23+0+(IF(ArtifactsInput!$M$15,CHOOSE(ArtifactsInput!$N$15+1,25,30,35,40,45,50)/100*(Inputs!$B$11-Inputs!$B$11),0)))/100)/2</f>
        <v/>
      </c>
      <c r="M2924">
        <f>L2924*(1+(Inputs!$B$10+((C2940=TRUE)*(F2940-Calc!F26))+B2957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24">
        <f>L2924*(1-MIN((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2924*(MIN((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24">
        <f>(1-Summary!$B$11)*T2924+Summary!$B$11*V2924</f>
        <v/>
      </c>
      <c r="P2924">
        <f>IF(B2958=0,0,O2924/B2958)</f>
        <v/>
      </c>
      <c r="Q2924" t="n">
        <v>0</v>
      </c>
      <c r="R2924" t="n">
        <v>0</v>
      </c>
      <c r="S2924" t="n">
        <v>0</v>
      </c>
      <c r="T2924">
        <f>IF(C2924,(0.2*SUMPRODUCT((Skills!Z2:Z31=TRUE)*(C2916:C2945=TRUE)*S2916:S2945)*N2924)*IF(Inputs!$B$39="pvp",1,1+(Inputs!$B$20+((C2941=TRUE)*(F2941-Calc!F27))+Skills!P10+B2955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Hunt"),CHOOSE(ArtifactsInput!$N$35+1,15,18,21,24,27,30)*(1-EXP(-(0.2*B2950)*5)),0)+IF(AND(ArtifactsInput!$M$22,Inputs!$B$4&lt;&gt;"Chapter Hunt"),CHOOSE(ArtifactsInput!$N$22+1,10,12,14,16,18,20)*((0*(((0.15*B2950*5))^0/1)+1*(((0.15*B2950*5))^1/1)+2*(((0.15*B2950*5))^2/2)+3*(((0.15*B2950*5))^3/6)+4*(((0.15*B2950*5))^4/24)+5*(((0.15*B2950*5))^5/120))/((((0.15*B2950*5))^0/1)+(((0.15*B2950*5))^1/1)+(((0.15*B2950*5))^2/2)+(((0.15*B2950*5))^3/6)+(((0.15*B2950*5))^4/24)+(((0.15*B2950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2924*(1-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2924*(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2924*(1-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2924*(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24">
        <f>IF(C2924,(0.2*SUMPRODUCT((Skills!Z2:Z31=TRUE)*(C2916:C2945=TRUE)*S2916:S2945)*N2924)*IF(Inputs!$B$39="pvp",1,(1+(Inputs!$B$21+Skills!Q10+B2955+(IF(ArtifactsInput!$M$33,CHOOSE(ArtifactsInput!$N$33+1,30,36,42,48,54,60),0))+(IF(AND(ArtifactsInput!$M$35,Inputs!$B$4&lt;&gt;"Chapter Hunt"),CHOOSE(ArtifactsInput!$N$35+1,15,18,21,24,27,30)*(1-EXP(-(0.2*B2950)*5)),0)+IF(AND(ArtifactsInput!$M$22,Inputs!$B$4&lt;&gt;"Chapter Hunt"),CHOOSE(ArtifactsInput!$N$22+1,10,12,14,16,18,20)*((0*(((0.15*B2950*5))^0/1)+1*(((0.15*B2950*5))^1/1)+2*(((0.15*B2950*5))^2/2)+3*(((0.15*B2950*5))^3/6)+4*(((0.15*B2950*5))^4/24)+5*(((0.15*B2950*5))^5/120))/((((0.15*B2950*5))^0/1)+(((0.15*B2950*5))^1/1)+(((0.15*B2950*5))^2/2)+(((0.15*B2950*5))^3/6)+(((0.15*B2950*5))^4/24)+(((0.15*B2950*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25">
      <c r="A2925">
        <f>Skills!A11</f>
        <v/>
      </c>
      <c r="B2925">
        <f>Skills!B11</f>
        <v/>
      </c>
      <c r="C2925">
        <f>Inputs!$B$3&gt;=60</f>
        <v/>
      </c>
      <c r="D2925">
        <f>IF(Skills!C11=1,60+Inputs!$B$25+Inputs!$B$29,IF(Skills!C11=2,90+Inputs!$B$26+Inputs!$B$29,IF(Skills!C11=3,120+Inputs!$B$27+Inputs!$B$29,MAX(0,(Inputs!$B$3-100)*3)+Inputs!$B$28+Inputs!$B$29)))</f>
        <v/>
      </c>
      <c r="E2925">
        <f>INDEX(FactorTable!$B$2:$Y$301, MATCH(ROUND(MIN(300,MAX(1,D2925)),0), FactorTable!$A$2:$A$301,0), Skills!M11+1)</f>
        <v/>
      </c>
      <c r="F2925">
        <f>IF(Skills!N11=TRUE,(Skills!L11/10)*(E2925/1000),Skills!L11/10)+Skills!O11</f>
        <v/>
      </c>
      <c r="G2925">
        <f>Calc!G11</f>
        <v/>
      </c>
      <c r="H2925">
        <f>Calc!H11</f>
        <v/>
      </c>
      <c r="I2925">
        <f>IF(Skills!AA11&lt;&gt;"",1+(Skills!AA11/10)*(U2917/1000)/100,1)</f>
        <v/>
      </c>
      <c r="J2925" t="inlineStr"/>
      <c r="K2925" t="inlineStr"/>
      <c r="L2925" t="inlineStr"/>
      <c r="M2925" t="inlineStr"/>
      <c r="N2925" t="inlineStr"/>
      <c r="O2925">
        <f>(1-Summary!$B$11)*T2925+Summary!$B$11*V2925</f>
        <v/>
      </c>
      <c r="P2925">
        <f>IF(B2958=0,0,O2925/B2958)</f>
        <v/>
      </c>
      <c r="Q2925" t="n">
        <v>0</v>
      </c>
      <c r="R2925" t="n">
        <v>0</v>
      </c>
      <c r="S2925">
        <f>IFERROR(O2925/N2925,0)</f>
        <v/>
      </c>
      <c r="T2925" t="n">
        <v>0</v>
      </c>
      <c r="V2925" t="n">
        <v>0</v>
      </c>
    </row>
    <row r="2926">
      <c r="A2926">
        <f>Skills!A12</f>
        <v/>
      </c>
      <c r="B2926">
        <f>Skills!B12</f>
        <v/>
      </c>
      <c r="C2926">
        <f>Inputs!$B$3&gt;=103</f>
        <v/>
      </c>
      <c r="D2926">
        <f>IF(Skills!C12=1,60+Inputs!$B$25+Inputs!$B$29,IF(Skills!C12=2,90+Inputs!$B$26+Inputs!$B$29,IF(Skills!C12=3,120+Inputs!$B$27+Inputs!$B$29,MAX(0,(Inputs!$B$3-100)*3)+Inputs!$B$28+Inputs!$B$29)))</f>
        <v/>
      </c>
      <c r="E2926">
        <f>INDEX(FactorTable!$B$2:$Y$301, MATCH(ROUND(MIN(300,MAX(1,D2926)),0), FactorTable!$A$2:$A$301,0), Skills!M12+1)</f>
        <v/>
      </c>
      <c r="F2926">
        <f>IF(Skills!N12=TRUE,(Skills!L12/10)*(E2926/1000),Skills!L12/10)+Skills!O12</f>
        <v/>
      </c>
      <c r="G2926">
        <f>Calc!G12</f>
        <v/>
      </c>
      <c r="H2926">
        <f>Calc!H12</f>
        <v/>
      </c>
      <c r="I2926">
        <f>IF(Skills!AA12&lt;&gt;"",1+(Skills!AA12/10)*(U2917/1000)/100,1)</f>
        <v/>
      </c>
      <c r="J2926">
        <f>((Inputs!$B$6*(1+Inputs!$B$7/100))+(((Inputs!$B$12*(1+Inputs!$B$13/100))-(Inputs!$B$12*(1+Inputs!$B$13/100)))+0.25*(Inputs!$B$14-Inputs!$B$14))*(1+Inputs!$B$7/100))*(F2926/100)</f>
        <v/>
      </c>
      <c r="K2926">
        <f>J2926*(1+((Inputs!$B$12*(1+Inputs!$B$13/100))*0.01+Inputs!$B$14*0.0025)/100)*(1+Inputs!$B$15/100)*(1+Inputs!$B$16/100)*(5000/(6000+Inputs!$B$43*(1-(100*(1-(1-(Inputs!$B$19+0)/100)*(1-CHOOSE(ArtifactsInput!$N$40+1,5,6,7,8,9,10)/100)^(ArtifactsInput!$M$40-ArtifactsInput!$M$40)))/100)))*(1+(Inputs!$B$24+((C2944=TRUE)*(F2944-Calc!F30)))/100)*(1+Skills!R12/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2937=TRUE)*(F2937-Calc!F23))+(((IF(AND(ArtifactsInput!$M$42,((Inputs!$B$9+((C2939=TRUE)*(F2939-Calc!F25))+B2954+(ArtifactsInput!$M$24-ArtifactsInput!$M$24)*CHOOSE(ArtifactsInput!$N$24+1,10,12,14,16,18,20)+IF(ArtifactsInput!$M$10,CHOOSE(ArtifactsInput!$N$10+1,15,18,21,24,27,30)*(IF(Inputs!$B$39="pvp",MIN(15,15)/15,IF(AND(Inputs!$B$39&lt;&gt;"pvp",Inputs!$B$44&gt;0),MIN(15,Inputs!$B$44)/(Inputs!$B$44),0))),0)))&gt;=100),MIN(100,((Inputs!$B$9+((C2939=TRUE)*(F2939-Calc!F25))+B2954+(ArtifactsInput!$M$24-ArtifactsInput!$M$24)*CHOOSE(ArtifactsInput!$N$24+1,10,12,14,16,18,20)+IF(ArtifactsInput!$M$10,CHOOSE(ArtifactsInput!$N$10+1,15,18,21,24,27,30)*(IF(Inputs!$B$39="pvp",MIN(15,15)/15,IF(AND(Inputs!$B$39&lt;&gt;"pvp",Inputs!$B$44&gt;0),MIN(15,Inputs!$B$44)/(Inputs!$B$44),0))),0)))-100),0))*CHOOSE(ArtifactsInput!$N$42+1,0.6,0.72,0.84,0.96,1.08,1.2))),Inputs!$B$18+((C2943=TRUE)*(F2943-Calc!F29))+(IF(AND(ArtifactsInput!$M$42,((Inputs!$B$9+((C2939=TRUE)*(F2939-Calc!F25))+B2954+(ArtifactsInput!$M$24-ArtifactsInput!$M$24)*CHOOSE(ArtifactsInput!$N$24+1,10,12,14,16,18,20)+IF(ArtifactsInput!$M$10,CHOOSE(ArtifactsInput!$N$10+1,15,18,21,24,27,30)*(IF(Inputs!$B$39="pvp",MIN(15,15)/15,IF(AND(Inputs!$B$39&lt;&gt;"pvp",Inputs!$B$44&gt;0),MIN(15,Inputs!$B$44)/(Inputs!$B$44),0))),0)))&gt;=100),CHOOSE(ArtifactsInput!$N$42+1,40,48,56,64,72,80),0))))/100)*(((1+(((C2935=TRUE)*F2935*IF(AND(Inputs!$B$39&lt;&gt;"pvp",Inputs!$B$44&gt;0),(((R2935-1)*(Skills!Y21*(1+Inputs!$B$34/100))+MIN((Skills!Y21*(1+Inputs!$B$34/100)),MAX(0,Inputs!$B$44-((R2935-1)*Skills!D21))))/Inputs!$B$44),IF(Inputs!$B$39="pvp",MIN((Skills!Y21*(1+Inputs!$B$34/100)),15)/15,(Skills!Y21*(1+Inputs!$B$34/100))/Skills!D21)))+((C2942=TRUE)*(F2942-Calc!F28))+((C2932=TRUE)*(F2932-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2929=TRUE)*F2929*IF(AND(Inputs!$B$39&lt;&gt;"pvp",Inputs!$B$44&gt;0),(((R2929-1)*(Skills!Y15*(1+Inputs!$B$34/100))+MIN((Skills!Y15*(1+Inputs!$B$34/100)),MAX(0,Inputs!$B$44-((R2929-1)*Skills!D15))))/Inputs!$B$44),IF(Inputs!$B$39="pvp",MIN((Skills!Y15*(1+Inputs!$B$34/100)),15)/15,(Skills!Y15*(1+Inputs!$B$34/100))/Skills!D15)))/100)*(1+((C2920=TRUE)*F2920*B2948)/100))*B2956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2926)</f>
        <v/>
      </c>
      <c r="L2926">
        <f>K2926*(MIN(Inputs!$B$22+((C2938=TRUE)*(F2938-Calc!F24)),(Inputs!$B$23+0+(IF(ArtifactsInput!$M$15,CHOOSE(ArtifactsInput!$N$15+1,25,30,35,40,45,50)/100*(Inputs!$B$11-Inputs!$B$11),0))))/100+(Inputs!$B$23+0+(IF(ArtifactsInput!$M$15,CHOOSE(ArtifactsInput!$N$15+1,25,30,35,40,45,50)/100*(Inputs!$B$11-Inputs!$B$11),0)))/100)/2</f>
        <v/>
      </c>
      <c r="M2926">
        <f>L2926*(1+(Inputs!$B$10+((C2940=TRUE)*(F2940-Calc!F26))+B2957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26">
        <f>L2926*(1-MIN((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2926*(MIN((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26">
        <f>(1-Summary!$B$11)*T2926+Summary!$B$11*V2926</f>
        <v/>
      </c>
      <c r="P2926">
        <f>IF(B2958=0,0,O2926/B2958)</f>
        <v/>
      </c>
      <c r="Q2926">
        <f>IFERROR(1/IF(Inputs!$B$39="pvp",15,MAX(0.1,Skills!D12-IF(Skills!E12=TRUE,Inputs!$B$32,0))),0)</f>
        <v/>
      </c>
      <c r="R2926">
        <f>IF(AND(Inputs!$B$39&lt;&gt;"pvp",Inputs!$B$44&gt;0),IF(MAX(0,Inputs!$B$44-B2959)&lt;=0,0,(INT(MAX(0,Inputs!$B$44-B2959)/IF(Inputs!$B$39="pvp",15,MAX(0.1,Skills!D12-IF(Skills!E12=TRUE,Inputs!$B$32,0))))+1)),0)</f>
        <v/>
      </c>
      <c r="S2926">
        <f>IFERROR(O2926/N2926,0)</f>
        <v/>
      </c>
      <c r="T2926">
        <f>IF(C2926,(H2926*N2926*IF(AND(Inputs!$B$39&lt;&gt;"pvp",Inputs!$B$44&gt;0),((Skills!G12*((R2926-1)*IF(Skills!H12&gt;0,Skills!I12/Skills!H12,1)+IF(Skills!H12&gt;0,MIN(Skills!I12,MAX(0,MAX(0,Inputs!$B$44-B2959)-((R2926-1)*IF(Inputs!$B$39="pvp",15,MAX(0.1,Skills!D12-IF(Skills!E12=TRUE,Inputs!$B$32,0))))))/Skills!H12,1)))/Inputs!$B$44),G2926*Q2926))*IF(Inputs!$B$39="pvp",1,1+(Inputs!$B$20+((C2941=TRUE)*(F2941-Calc!F27))+Skills!P12+B2955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Hunt"),CHOOSE(ArtifactsInput!$N$35+1,15,18,21,24,27,30)*(1-EXP(-(0.2*B2950)*5)),0)+IF(AND(ArtifactsInput!$M$22,Inputs!$B$4&lt;&gt;"Chapter Hunt"),CHOOSE(ArtifactsInput!$N$22+1,10,12,14,16,18,20)*((0*(((0.15*B2950*5))^0/1)+1*(((0.15*B2950*5))^1/1)+2*(((0.15*B2950*5))^2/2)+3*(((0.15*B2950*5))^3/6)+4*(((0.15*B2950*5))^4/24)+5*(((0.15*B2950*5))^5/120))/((((0.15*B2950*5))^0/1)+(((0.15*B2950*5))^1/1)+(((0.15*B2950*5))^2/2)+(((0.15*B2950*5))^3/6)+(((0.15*B2950*5))^4/24)+(((0.15*B2950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2926*(1-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2926*(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2926*(1-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2926*(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26">
        <f>IF(C2926,(H2926*N2926*IF(AND(Inputs!$B$39&lt;&gt;"pvp",Inputs!$B$44&gt;0),((Skills!G12*((R2926-1)*IF(Skills!H12&gt;0,Skills!I12/Skills!H12,1)+IF(Skills!H12&gt;0,MIN(Skills!I12,MAX(0,MAX(0,Inputs!$B$44-B2959)-((R2926-1)*IF(Inputs!$B$39="pvp",15,MAX(0.1,Skills!D12-IF(Skills!E12=TRUE,Inputs!$B$32,0))))))/Skills!H12,1)))/Inputs!$B$44),G2926*Q2926))*IF(Inputs!$B$39="pvp",1,(1+(Inputs!$B$21+Skills!Q12+B2955+(IF(ArtifactsInput!$M$33,CHOOSE(ArtifactsInput!$N$33+1,30,36,42,48,54,60),0))+(IF(AND(ArtifactsInput!$M$35,Inputs!$B$4&lt;&gt;"Chapter Hunt"),CHOOSE(ArtifactsInput!$N$35+1,15,18,21,24,27,30)*(1-EXP(-(0.2*B2950)*5)),0)+IF(AND(ArtifactsInput!$M$22,Inputs!$B$4&lt;&gt;"Chapter Hunt"),CHOOSE(ArtifactsInput!$N$22+1,10,12,14,16,18,20)*((0*(((0.15*B2950*5))^0/1)+1*(((0.15*B2950*5))^1/1)+2*(((0.15*B2950*5))^2/2)+3*(((0.15*B2950*5))^3/6)+4*(((0.15*B2950*5))^4/24)+5*(((0.15*B2950*5))^5/120))/((((0.15*B2950*5))^0/1)+(((0.15*B2950*5))^1/1)+(((0.15*B2950*5))^2/2)+(((0.15*B2950*5))^3/6)+(((0.15*B2950*5))^4/24)+(((0.15*B2950*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27">
      <c r="A2927">
        <f>Skills!A13</f>
        <v/>
      </c>
      <c r="B2927">
        <f>Skills!B13</f>
        <v/>
      </c>
      <c r="C2927">
        <f>Inputs!$B$3&gt;=105</f>
        <v/>
      </c>
      <c r="D2927">
        <f>IF(Skills!C13=1,60+Inputs!$B$25+Inputs!$B$29,IF(Skills!C13=2,90+Inputs!$B$26+Inputs!$B$29,IF(Skills!C13=3,120+Inputs!$B$27+Inputs!$B$29,MAX(0,(Inputs!$B$3-100)*3)+Inputs!$B$28+Inputs!$B$29)))</f>
        <v/>
      </c>
      <c r="E2927">
        <f>INDEX(FactorTable!$B$2:$Y$301, MATCH(ROUND(MIN(300,MAX(1,D2927)),0), FactorTable!$A$2:$A$301,0), Skills!M13+1)</f>
        <v/>
      </c>
      <c r="F2927">
        <f>IF(Skills!N13=TRUE,(Skills!L13/10)*(E2927/1000),Skills!L13/10)+Skills!O13</f>
        <v/>
      </c>
      <c r="G2927">
        <f>Calc!G13</f>
        <v/>
      </c>
      <c r="H2927">
        <f>Calc!H13</f>
        <v/>
      </c>
      <c r="I2927">
        <f>IF(Skills!AA13&lt;&gt;"",1+(Skills!AA13/10)*(U2917/1000)/100,1)</f>
        <v/>
      </c>
      <c r="J2927">
        <f>((Inputs!$B$6*(1+Inputs!$B$7/100))+(((Inputs!$B$12*(1+Inputs!$B$13/100))-(Inputs!$B$12*(1+Inputs!$B$13/100)))+0.25*(Inputs!$B$14-Inputs!$B$14))*(1+Inputs!$B$7/100))*(F2927/100)</f>
        <v/>
      </c>
      <c r="K2927">
        <f>J2927*(1+((Inputs!$B$12*(1+Inputs!$B$13/100))*0.01+Inputs!$B$14*0.0025)/100)*(1+Inputs!$B$15/100)*(1+Inputs!$B$16/100)*(5000/(6000+Inputs!$B$43*(1-(100*(1-(1-(Inputs!$B$19+0)/100)*(1-CHOOSE(ArtifactsInput!$N$40+1,5,6,7,8,9,10)/100)^(ArtifactsInput!$M$40-ArtifactsInput!$M$40)))/100)))*(1+(Inputs!$B$24+((C2944=TRUE)*(F2944-Calc!F30)))/100)*(1+Skills!R13/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2937=TRUE)*(F2937-Calc!F23))+(((IF(AND(ArtifactsInput!$M$42,((Inputs!$B$9+((C2939=TRUE)*(F2939-Calc!F25))+B2954+(ArtifactsInput!$M$24-ArtifactsInput!$M$24)*CHOOSE(ArtifactsInput!$N$24+1,10,12,14,16,18,20)+IF(ArtifactsInput!$M$10,CHOOSE(ArtifactsInput!$N$10+1,15,18,21,24,27,30)*(IF(Inputs!$B$39="pvp",MIN(15,15)/15,IF(AND(Inputs!$B$39&lt;&gt;"pvp",Inputs!$B$44&gt;0),MIN(15,Inputs!$B$44)/(Inputs!$B$44),0))),0)))&gt;=100),MIN(100,((Inputs!$B$9+((C2939=TRUE)*(F2939-Calc!F25))+B2954+(ArtifactsInput!$M$24-ArtifactsInput!$M$24)*CHOOSE(ArtifactsInput!$N$24+1,10,12,14,16,18,20)+IF(ArtifactsInput!$M$10,CHOOSE(ArtifactsInput!$N$10+1,15,18,21,24,27,30)*(IF(Inputs!$B$39="pvp",MIN(15,15)/15,IF(AND(Inputs!$B$39&lt;&gt;"pvp",Inputs!$B$44&gt;0),MIN(15,Inputs!$B$44)/(Inputs!$B$44),0))),0)))-100),0))*CHOOSE(ArtifactsInput!$N$42+1,0.6,0.72,0.84,0.96,1.08,1.2))),Inputs!$B$18+((C2943=TRUE)*(F2943-Calc!F29))+(IF(AND(ArtifactsInput!$M$42,((Inputs!$B$9+((C2939=TRUE)*(F2939-Calc!F25))+B2954+(ArtifactsInput!$M$24-ArtifactsInput!$M$24)*CHOOSE(ArtifactsInput!$N$24+1,10,12,14,16,18,20)+IF(ArtifactsInput!$M$10,CHOOSE(ArtifactsInput!$N$10+1,15,18,21,24,27,30)*(IF(Inputs!$B$39="pvp",MIN(15,15)/15,IF(AND(Inputs!$B$39&lt;&gt;"pvp",Inputs!$B$44&gt;0),MIN(15,Inputs!$B$44)/(Inputs!$B$44),0))),0)))&gt;=100),CHOOSE(ArtifactsInput!$N$42+1,40,48,56,64,72,80),0))))/100)*(((1+(((C2935=TRUE)*F2935*IF(AND(Inputs!$B$39&lt;&gt;"pvp",Inputs!$B$44&gt;0),(((R2935-1)*(Skills!Y21*(1+Inputs!$B$34/100))+MIN((Skills!Y21*(1+Inputs!$B$34/100)),MAX(0,Inputs!$B$44-((R2935-1)*Skills!D21))))/Inputs!$B$44),IF(Inputs!$B$39="pvp",MIN((Skills!Y21*(1+Inputs!$B$34/100)),15)/15,(Skills!Y21*(1+Inputs!$B$34/100))/Skills!D21)))+((C2942=TRUE)*(F2942-Calc!F28))+((C2932=TRUE)*(F2932-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2929=TRUE)*F2929*IF(AND(Inputs!$B$39&lt;&gt;"pvp",Inputs!$B$44&gt;0),(((R2929-1)*(Skills!Y15*(1+Inputs!$B$34/100))+MIN((Skills!Y15*(1+Inputs!$B$34/100)),MAX(0,Inputs!$B$44-((R2929-1)*Skills!D15))))/Inputs!$B$44),IF(Inputs!$B$39="pvp",MIN((Skills!Y15*(1+Inputs!$B$34/100)),15)/15,(Skills!Y15*(1+Inputs!$B$34/100))/Skills!D15)))/100)*(1+((C2920=TRUE)*F2920*B2948)/100))*B2956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2927)</f>
        <v/>
      </c>
      <c r="L2927">
        <f>K2927*(MIN(Inputs!$B$22+((C2938=TRUE)*(F2938-Calc!F24)),(Inputs!$B$23+0+(IF(ArtifactsInput!$M$15,CHOOSE(ArtifactsInput!$N$15+1,25,30,35,40,45,50)/100*(Inputs!$B$11-Inputs!$B$11),0))))/100+(Inputs!$B$23+0+(IF(ArtifactsInput!$M$15,CHOOSE(ArtifactsInput!$N$15+1,25,30,35,40,45,50)/100*(Inputs!$B$11-Inputs!$B$11),0)))/100)/2</f>
        <v/>
      </c>
      <c r="M2927">
        <f>L2927*(1+(Inputs!$B$10+((C2940=TRUE)*(F2940-Calc!F26))+B2957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27">
        <f>L2927*(1-MIN((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2927*(MIN((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27">
        <f>(1-Summary!$B$11)*T2927+Summary!$B$11*V2927</f>
        <v/>
      </c>
      <c r="P2927">
        <f>IF(B2958=0,0,O2927/B2958)</f>
        <v/>
      </c>
      <c r="Q2927">
        <f>IFERROR(1/IF(Inputs!$B$39="pvp",15,MAX(0.1,Skills!D13-IF(Skills!E13=TRUE,Inputs!$B$32,0))),0)</f>
        <v/>
      </c>
      <c r="R2927">
        <f>IF(AND(Inputs!$B$39&lt;&gt;"pvp",Inputs!$B$44&gt;0),IF(MAX(0,Inputs!$B$44-B2959)&lt;=0,0,(INT(MAX(0,Inputs!$B$44-B2959)/IF(Inputs!$B$39="pvp",15,MAX(0.1,Skills!D13-IF(Skills!E13=TRUE,Inputs!$B$32,0))))+1)),0)</f>
        <v/>
      </c>
      <c r="S2927">
        <f>IFERROR(O2927/N2927,0)</f>
        <v/>
      </c>
      <c r="T2927">
        <f>IF(C2927,(H2927*N2927*IF(AND(Inputs!$B$39&lt;&gt;"pvp",Inputs!$B$44&gt;0),((Skills!G13*((R2927-1)*IF(Skills!H13&gt;0,Skills!I13/Skills!H13,1)+IF(Skills!H13&gt;0,MIN(Skills!I13,MAX(0,MAX(0,Inputs!$B$44-B2959)-((R2927-1)*IF(Inputs!$B$39="pvp",15,MAX(0.1,Skills!D13-IF(Skills!E13=TRUE,Inputs!$B$32,0))))))/Skills!H13,1)))/Inputs!$B$44),G2927*Q2927))*IF(Inputs!$B$39="pvp",1,1+(Inputs!$B$20+((C2941=TRUE)*(F2941-Calc!F27))+Skills!P13+B2955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Hunt"),CHOOSE(ArtifactsInput!$N$35+1,15,18,21,24,27,30)*(1-EXP(-(0.2*B2950)*5)),0)+IF(AND(ArtifactsInput!$M$22,Inputs!$B$4&lt;&gt;"Chapter Hunt"),CHOOSE(ArtifactsInput!$N$22+1,10,12,14,16,18,20)*((0*(((0.15*B2950*5))^0/1)+1*(((0.15*B2950*5))^1/1)+2*(((0.15*B2950*5))^2/2)+3*(((0.15*B2950*5))^3/6)+4*(((0.15*B2950*5))^4/24)+5*(((0.15*B2950*5))^5/120))/((((0.15*B2950*5))^0/1)+(((0.15*B2950*5))^1/1)+(((0.15*B2950*5))^2/2)+(((0.15*B2950*5))^3/6)+(((0.15*B2950*5))^4/24)+(((0.15*B2950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2927*(1-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2927*(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2927*(1-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2927*(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27">
        <f>IF(C2927,(H2927*N2927*IF(AND(Inputs!$B$39&lt;&gt;"pvp",Inputs!$B$44&gt;0),((Skills!G13*((R2927-1)*IF(Skills!H13&gt;0,Skills!I13/Skills!H13,1)+IF(Skills!H13&gt;0,MIN(Skills!I13,MAX(0,MAX(0,Inputs!$B$44-B2959)-((R2927-1)*IF(Inputs!$B$39="pvp",15,MAX(0.1,Skills!D13-IF(Skills!E13=TRUE,Inputs!$B$32,0))))))/Skills!H13,1)))/Inputs!$B$44),G2927*Q2927))*IF(Inputs!$B$39="pvp",1,(1+(Inputs!$B$21+Skills!Q13+B2955+(IF(ArtifactsInput!$M$33,CHOOSE(ArtifactsInput!$N$33+1,30,36,42,48,54,60),0))+(IF(AND(ArtifactsInput!$M$35,Inputs!$B$4&lt;&gt;"Chapter Hunt"),CHOOSE(ArtifactsInput!$N$35+1,15,18,21,24,27,30)*(1-EXP(-(0.2*B2950)*5)),0)+IF(AND(ArtifactsInput!$M$22,Inputs!$B$4&lt;&gt;"Chapter Hunt"),CHOOSE(ArtifactsInput!$N$22+1,10,12,14,16,18,20)*((0*(((0.15*B2950*5))^0/1)+1*(((0.15*B2950*5))^1/1)+2*(((0.15*B2950*5))^2/2)+3*(((0.15*B2950*5))^3/6)+4*(((0.15*B2950*5))^4/24)+5*(((0.15*B2950*5))^5/120))/((((0.15*B2950*5))^0/1)+(((0.15*B2950*5))^1/1)+(((0.15*B2950*5))^2/2)+(((0.15*B2950*5))^3/6)+(((0.15*B2950*5))^4/24)+(((0.15*B2950*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28">
      <c r="A2928">
        <f>Skills!A14</f>
        <v/>
      </c>
      <c r="B2928">
        <f>Skills!B14</f>
        <v/>
      </c>
      <c r="C2928">
        <f>Inputs!$B$3&gt;=105</f>
        <v/>
      </c>
      <c r="D2928">
        <f>IF(Skills!C14=1,60+Inputs!$B$25+Inputs!$B$29,IF(Skills!C14=2,90+Inputs!$B$26+Inputs!$B$29,IF(Skills!C14=3,120+Inputs!$B$27+Inputs!$B$29,MAX(0,(Inputs!$B$3-100)*3)+Inputs!$B$28+Inputs!$B$29)))</f>
        <v/>
      </c>
      <c r="E2928">
        <f>INDEX(FactorTable!$B$2:$Y$301, MATCH(ROUND(MIN(300,MAX(1,D2928)),0), FactorTable!$A$2:$A$301,0), Skills!M14+1)</f>
        <v/>
      </c>
      <c r="F2928">
        <f>IF(Skills!N14=TRUE,(Skills!L14/10)*(E2928/1000),Skills!L14/10)+Skills!O14</f>
        <v/>
      </c>
      <c r="G2928">
        <f>Calc!G14</f>
        <v/>
      </c>
      <c r="H2928">
        <f>Calc!H14</f>
        <v/>
      </c>
      <c r="I2928">
        <f>IF(Skills!AA14&lt;&gt;"",1+(Skills!AA14/10)*(U2917/1000)/100,1)</f>
        <v/>
      </c>
      <c r="J2928">
        <f>((Inputs!$B$6*(1+Inputs!$B$7/100))+(((Inputs!$B$12*(1+Inputs!$B$13/100))-(Inputs!$B$12*(1+Inputs!$B$13/100)))+0.25*(Inputs!$B$14-Inputs!$B$14))*(1+Inputs!$B$7/100))*(F2928/100)</f>
        <v/>
      </c>
      <c r="K2928">
        <f>J2928*(1+((Inputs!$B$12*(1+Inputs!$B$13/100))*0.01+Inputs!$B$14*0.0025)/100)*(1+Inputs!$B$15/100)*(1+Inputs!$B$16/100)*(5000/(6000+Inputs!$B$43*(1-(100*(1-(1-(Inputs!$B$19+0)/100)*(1-CHOOSE(ArtifactsInput!$N$40+1,5,6,7,8,9,10)/100)^(ArtifactsInput!$M$40-ArtifactsInput!$M$40)))/100)))*(1+(Inputs!$B$24+((C2944=TRUE)*(F2944-Calc!F30)))/100)*(1+Skills!R14/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2937=TRUE)*(F2937-Calc!F23))+(((IF(AND(ArtifactsInput!$M$42,((Inputs!$B$9+((C2939=TRUE)*(F2939-Calc!F25))+B2954+(ArtifactsInput!$M$24-ArtifactsInput!$M$24)*CHOOSE(ArtifactsInput!$N$24+1,10,12,14,16,18,20)+IF(ArtifactsInput!$M$10,CHOOSE(ArtifactsInput!$N$10+1,15,18,21,24,27,30)*(IF(Inputs!$B$39="pvp",MIN(15,15)/15,IF(AND(Inputs!$B$39&lt;&gt;"pvp",Inputs!$B$44&gt;0),MIN(15,Inputs!$B$44)/(Inputs!$B$44),0))),0)))&gt;=100),MIN(100,((Inputs!$B$9+((C2939=TRUE)*(F2939-Calc!F25))+B2954+(ArtifactsInput!$M$24-ArtifactsInput!$M$24)*CHOOSE(ArtifactsInput!$N$24+1,10,12,14,16,18,20)+IF(ArtifactsInput!$M$10,CHOOSE(ArtifactsInput!$N$10+1,15,18,21,24,27,30)*(IF(Inputs!$B$39="pvp",MIN(15,15)/15,IF(AND(Inputs!$B$39&lt;&gt;"pvp",Inputs!$B$44&gt;0),MIN(15,Inputs!$B$44)/(Inputs!$B$44),0))),0)))-100),0))*CHOOSE(ArtifactsInput!$N$42+1,0.6,0.72,0.84,0.96,1.08,1.2))),Inputs!$B$18+((C2943=TRUE)*(F2943-Calc!F29))+(IF(AND(ArtifactsInput!$M$42,((Inputs!$B$9+((C2939=TRUE)*(F2939-Calc!F25))+B2954+(ArtifactsInput!$M$24-ArtifactsInput!$M$24)*CHOOSE(ArtifactsInput!$N$24+1,10,12,14,16,18,20)+IF(ArtifactsInput!$M$10,CHOOSE(ArtifactsInput!$N$10+1,15,18,21,24,27,30)*(IF(Inputs!$B$39="pvp",MIN(15,15)/15,IF(AND(Inputs!$B$39&lt;&gt;"pvp",Inputs!$B$44&gt;0),MIN(15,Inputs!$B$44)/(Inputs!$B$44),0))),0)))&gt;=100),CHOOSE(ArtifactsInput!$N$42+1,40,48,56,64,72,80),0))))/100)*(((1+(((C2935=TRUE)*F2935*IF(AND(Inputs!$B$39&lt;&gt;"pvp",Inputs!$B$44&gt;0),(((R2935-1)*(Skills!Y21*(1+Inputs!$B$34/100))+MIN((Skills!Y21*(1+Inputs!$B$34/100)),MAX(0,Inputs!$B$44-((R2935-1)*Skills!D21))))/Inputs!$B$44),IF(Inputs!$B$39="pvp",MIN((Skills!Y21*(1+Inputs!$B$34/100)),15)/15,(Skills!Y21*(1+Inputs!$B$34/100))/Skills!D21)))+((C2942=TRUE)*(F2942-Calc!F28))+((C2932=TRUE)*(F2932-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2929=TRUE)*F2929*IF(AND(Inputs!$B$39&lt;&gt;"pvp",Inputs!$B$44&gt;0),(((R2929-1)*(Skills!Y15*(1+Inputs!$B$34/100))+MIN((Skills!Y15*(1+Inputs!$B$34/100)),MAX(0,Inputs!$B$44-((R2929-1)*Skills!D15))))/Inputs!$B$44),IF(Inputs!$B$39="pvp",MIN((Skills!Y15*(1+Inputs!$B$34/100)),15)/15,(Skills!Y15*(1+Inputs!$B$34/100))/Skills!D15)))/100)*(1+((C2920=TRUE)*F2920*B2948)/100))*B2956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2928)</f>
        <v/>
      </c>
      <c r="L2928">
        <f>K2928*(MIN(Inputs!$B$22+((C2938=TRUE)*(F2938-Calc!F24)),(Inputs!$B$23+0+(IF(ArtifactsInput!$M$15,CHOOSE(ArtifactsInput!$N$15+1,25,30,35,40,45,50)/100*(Inputs!$B$11-Inputs!$B$11),0))))/100+(Inputs!$B$23+0+(IF(ArtifactsInput!$M$15,CHOOSE(ArtifactsInput!$N$15+1,25,30,35,40,45,50)/100*(Inputs!$B$11-Inputs!$B$11),0)))/100)/2</f>
        <v/>
      </c>
      <c r="M2928">
        <f>L2928*(1+(Inputs!$B$10+((C2940=TRUE)*(F2940-Calc!F26))+B2957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28">
        <f>L2928*(1-MIN((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2928*(MIN((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28">
        <f>(1-Summary!$B$11)*T2928+Summary!$B$11*V2928</f>
        <v/>
      </c>
      <c r="P2928">
        <f>IF(B2958=0,0,O2928/B2958)</f>
        <v/>
      </c>
      <c r="Q2928">
        <f>IFERROR(1/IF(Inputs!$B$39="pvp",15,MAX(0.1,Skills!D14-IF(Skills!E14=TRUE,Inputs!$B$32,0))),0)</f>
        <v/>
      </c>
      <c r="R2928">
        <f>IF(AND(Inputs!$B$39&lt;&gt;"pvp",Inputs!$B$44&gt;0),IF(MAX(0,Inputs!$B$44-B2959)&lt;=0,0,(INT(MAX(0,Inputs!$B$44-B2959)/IF(Inputs!$B$39="pvp",15,MAX(0.1,Skills!D14-IF(Skills!E14=TRUE,Inputs!$B$32,0))))+1)),0)</f>
        <v/>
      </c>
      <c r="S2928">
        <f>IFERROR(O2928/N2928,0)</f>
        <v/>
      </c>
      <c r="T2928">
        <f>IF(C2928,(H2928*N2928*IF(AND(Inputs!$B$39&lt;&gt;"pvp",Inputs!$B$44&gt;0),((Skills!G14*((R2928-1)*IF(Skills!H14&gt;0,Skills!I14/Skills!H14,1)+IF(Skills!H14&gt;0,MIN(Skills!I14,MAX(0,MAX(0,Inputs!$B$44-B2959)-((R2928-1)*IF(Inputs!$B$39="pvp",15,MAX(0.1,Skills!D14-IF(Skills!E14=TRUE,Inputs!$B$32,0))))))/Skills!H14,1)))/Inputs!$B$44),G2928*Q2928))*IF(Inputs!$B$39="pvp",1,1+(Inputs!$B$20+((C2941=TRUE)*(F2941-Calc!F27))+Skills!P14+B2955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Hunt"),CHOOSE(ArtifactsInput!$N$35+1,15,18,21,24,27,30)*(1-EXP(-(0.2*B2950)*5)),0)+IF(AND(ArtifactsInput!$M$22,Inputs!$B$4&lt;&gt;"Chapter Hunt"),CHOOSE(ArtifactsInput!$N$22+1,10,12,14,16,18,20)*((0*(((0.15*B2950*5))^0/1)+1*(((0.15*B2950*5))^1/1)+2*(((0.15*B2950*5))^2/2)+3*(((0.15*B2950*5))^3/6)+4*(((0.15*B2950*5))^4/24)+5*(((0.15*B2950*5))^5/120))/((((0.15*B2950*5))^0/1)+(((0.15*B2950*5))^1/1)+(((0.15*B2950*5))^2/2)+(((0.15*B2950*5))^3/6)+(((0.15*B2950*5))^4/24)+(((0.15*B2950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2928*(1-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2928*(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2928*(1-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2928*(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28">
        <f>IF(C2928,(H2928*N2928*IF(AND(Inputs!$B$39&lt;&gt;"pvp",Inputs!$B$44&gt;0),((Skills!G14*((R2928-1)*IF(Skills!H14&gt;0,Skills!I14/Skills!H14,1)+IF(Skills!H14&gt;0,MIN(Skills!I14,MAX(0,MAX(0,Inputs!$B$44-B2959)-((R2928-1)*IF(Inputs!$B$39="pvp",15,MAX(0.1,Skills!D14-IF(Skills!E14=TRUE,Inputs!$B$32,0))))))/Skills!H14,1)))/Inputs!$B$44),G2928*Q2928))*IF(Inputs!$B$39="pvp",1,(1+(Inputs!$B$21+Skills!Q14+B2955+(IF(ArtifactsInput!$M$33,CHOOSE(ArtifactsInput!$N$33+1,30,36,42,48,54,60),0))+(IF(AND(ArtifactsInput!$M$35,Inputs!$B$4&lt;&gt;"Chapter Hunt"),CHOOSE(ArtifactsInput!$N$35+1,15,18,21,24,27,30)*(1-EXP(-(0.2*B2950)*5)),0)+IF(AND(ArtifactsInput!$M$22,Inputs!$B$4&lt;&gt;"Chapter Hunt"),CHOOSE(ArtifactsInput!$N$22+1,10,12,14,16,18,20)*((0*(((0.15*B2950*5))^0/1)+1*(((0.15*B2950*5))^1/1)+2*(((0.15*B2950*5))^2/2)+3*(((0.15*B2950*5))^3/6)+4*(((0.15*B2950*5))^4/24)+5*(((0.15*B2950*5))^5/120))/((((0.15*B2950*5))^0/1)+(((0.15*B2950*5))^1/1)+(((0.15*B2950*5))^2/2)+(((0.15*B2950*5))^3/6)+(((0.15*B2950*5))^4/24)+(((0.15*B2950*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29">
      <c r="A2929">
        <f>Skills!A15</f>
        <v/>
      </c>
      <c r="B2929">
        <f>Skills!B15</f>
        <v/>
      </c>
      <c r="C2929">
        <f>Inputs!$B$3&gt;=110</f>
        <v/>
      </c>
      <c r="D2929">
        <f>IF(Skills!C15=1,60+Inputs!$B$25+Inputs!$B$29,IF(Skills!C15=2,90+Inputs!$B$26+Inputs!$B$29,IF(Skills!C15=3,120+Inputs!$B$27+Inputs!$B$29,MAX(0,(Inputs!$B$3-100)*3)+Inputs!$B$28+Inputs!$B$29)))</f>
        <v/>
      </c>
      <c r="E2929">
        <f>INDEX(FactorTable!$B$2:$Y$301, MATCH(ROUND(MIN(300,MAX(1,D2929)),0), FactorTable!$A$2:$A$301,0), Skills!M15+1)</f>
        <v/>
      </c>
      <c r="F2929">
        <f>IF(Skills!N15=TRUE,(Skills!L15/10)*(E2929/1000),Skills!L15/10)+Skills!O15</f>
        <v/>
      </c>
      <c r="G2929">
        <f>Calc!G15</f>
        <v/>
      </c>
      <c r="H2929">
        <f>Calc!H15</f>
        <v/>
      </c>
      <c r="I2929">
        <f>IF(Skills!AA15&lt;&gt;"",1+(Skills!AA15/10)*(U2917/1000)/100,1)</f>
        <v/>
      </c>
      <c r="J2929" t="inlineStr"/>
      <c r="K2929" t="inlineStr"/>
      <c r="L2929" t="inlineStr"/>
      <c r="M2929" t="inlineStr"/>
      <c r="N2929" t="inlineStr"/>
      <c r="O2929">
        <f>(1-Summary!$B$11)*T2929+Summary!$B$11*V2929</f>
        <v/>
      </c>
      <c r="P2929">
        <f>IF(B2958=0,0,O2929/B2958)</f>
        <v/>
      </c>
      <c r="Q2929">
        <f>IFERROR(1/IF(Inputs!$B$39="pvp",15,MAX(0.1,Skills!D15-IF(Skills!E15=TRUE,Inputs!$B$32,0))),0)</f>
        <v/>
      </c>
      <c r="R2929">
        <f>IF(AND(Inputs!$B$39&lt;&gt;"pvp",Inputs!$B$44&gt;0),IF(Inputs!$B$44&lt;=0,0,(INT(Inputs!$B$44/IF(Inputs!$B$39="pvp",15,MAX(0.1,Skills!D15-IF(Skills!E15=TRUE,Inputs!$B$32,0))))+1)),0)</f>
        <v/>
      </c>
      <c r="S2929">
        <f>IFERROR(O2929/N2929,0)</f>
        <v/>
      </c>
      <c r="T2929" t="n">
        <v>0</v>
      </c>
      <c r="V2929" t="n">
        <v>0</v>
      </c>
    </row>
    <row r="2930">
      <c r="A2930">
        <f>Skills!A16</f>
        <v/>
      </c>
      <c r="B2930">
        <f>Skills!B16</f>
        <v/>
      </c>
      <c r="C2930">
        <f>Inputs!$B$3&gt;=110</f>
        <v/>
      </c>
      <c r="D2930">
        <f>IF(Skills!C16=1,60+Inputs!$B$25+Inputs!$B$29,IF(Skills!C16=2,90+Inputs!$B$26+Inputs!$B$29,IF(Skills!C16=3,120+Inputs!$B$27+Inputs!$B$29,MAX(0,(Inputs!$B$3-100)*3)+Inputs!$B$28+Inputs!$B$29)))</f>
        <v/>
      </c>
      <c r="E2930">
        <f>INDEX(FactorTable!$B$2:$Y$301, MATCH(ROUND(MIN(300,MAX(1,D2930)),0), FactorTable!$A$2:$A$301,0), Skills!M16+1)</f>
        <v/>
      </c>
      <c r="F2930">
        <f>IF(Skills!N16=TRUE,(Skills!L16/10)*(E2930/1000),Skills!L16/10)+Skills!O16</f>
        <v/>
      </c>
      <c r="G2930">
        <f>Calc!G16</f>
        <v/>
      </c>
      <c r="H2930">
        <f>Calc!H16</f>
        <v/>
      </c>
      <c r="I2930">
        <f>IF(Skills!AA16&lt;&gt;"",1+(Skills!AA16/10)*(U2917/1000)/100,1)</f>
        <v/>
      </c>
      <c r="J2930" t="inlineStr"/>
      <c r="K2930" t="inlineStr"/>
      <c r="L2930" t="inlineStr"/>
      <c r="M2930" t="inlineStr"/>
      <c r="N2930" t="inlineStr"/>
      <c r="O2930">
        <f>(1-Summary!$B$11)*T2930+Summary!$B$11*V2930</f>
        <v/>
      </c>
      <c r="P2930">
        <f>IF(B2958=0,0,O2930/B2958)</f>
        <v/>
      </c>
      <c r="Q2930">
        <f>IFERROR(1/IF(Inputs!$B$39="pvp",15,MAX(0.1,Skills!D16-IF(Skills!E16=TRUE,Inputs!$B$32,0))),0)</f>
        <v/>
      </c>
      <c r="R2930">
        <f>IF(AND(Inputs!$B$39&lt;&gt;"pvp",Inputs!$B$44&gt;0),IF(Inputs!$B$44&lt;=0,0,(INT(Inputs!$B$44/IF(Inputs!$B$39="pvp",15,MAX(0.1,Skills!D16-IF(Skills!E16=TRUE,Inputs!$B$32,0))))+1)),0)</f>
        <v/>
      </c>
      <c r="S2930">
        <f>IFERROR(O2930/N2930,0)</f>
        <v/>
      </c>
      <c r="T2930" t="n">
        <v>0</v>
      </c>
      <c r="V2930" t="n">
        <v>0</v>
      </c>
    </row>
    <row r="2931">
      <c r="A2931">
        <f>Skills!A17</f>
        <v/>
      </c>
      <c r="B2931">
        <f>Skills!B17</f>
        <v/>
      </c>
      <c r="C2931">
        <f>Inputs!$B$3&gt;=115</f>
        <v/>
      </c>
      <c r="D2931">
        <f>IF(Skills!C17=1,60+Inputs!$B$25+Inputs!$B$29,IF(Skills!C17=2,90+Inputs!$B$26+Inputs!$B$29,IF(Skills!C17=3,120+Inputs!$B$27+Inputs!$B$29,MAX(0,(Inputs!$B$3-100)*3)+Inputs!$B$28+Inputs!$B$29)))</f>
        <v/>
      </c>
      <c r="E2931">
        <f>INDEX(FactorTable!$B$2:$Y$301, MATCH(ROUND(MIN(300,MAX(1,D2931)),0), FactorTable!$A$2:$A$301,0), Skills!M17+1)</f>
        <v/>
      </c>
      <c r="F2931">
        <f>IF(Skills!N17=TRUE,(Skills!L17/10)*(E2931/1000),Skills!L17/10)+Skills!O17</f>
        <v/>
      </c>
      <c r="G2931">
        <f>Calc!G17</f>
        <v/>
      </c>
      <c r="H2931">
        <f>Calc!H17</f>
        <v/>
      </c>
      <c r="I2931">
        <f>IF(Skills!AA17&lt;&gt;"",1+(Skills!AA17/10)*(U2917/1000)/100,1)</f>
        <v/>
      </c>
      <c r="J2931">
        <f>((Inputs!$B$6*(1+Inputs!$B$7/100))+(((Inputs!$B$12*(1+Inputs!$B$13/100))-(Inputs!$B$12*(1+Inputs!$B$13/100)))+0.25*(Inputs!$B$14-Inputs!$B$14))*(1+Inputs!$B$7/100))*(F2931/100)</f>
        <v/>
      </c>
      <c r="K2931">
        <f>J2931*(1+((Inputs!$B$12*(1+Inputs!$B$13/100))*0.01+Inputs!$B$14*0.0025)/100)*(1+Inputs!$B$15/100)*(1+Inputs!$B$16/100)*(5000/(6000+Inputs!$B$43*(1-(100*(1-(1-(Inputs!$B$19+0)/100)*(1-CHOOSE(ArtifactsInput!$N$40+1,5,6,7,8,9,10)/100)^(ArtifactsInput!$M$40-ArtifactsInput!$M$40)))/100)))*(1+(Inputs!$B$24+((C2944=TRUE)*(F2944-Calc!F30)))/100)*(1+Skills!R17/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2937=TRUE)*(F2937-Calc!F23))+(((IF(AND(ArtifactsInput!$M$42,((Inputs!$B$9+((C2939=TRUE)*(F2939-Calc!F25))+B2954+(ArtifactsInput!$M$24-ArtifactsInput!$M$24)*CHOOSE(ArtifactsInput!$N$24+1,10,12,14,16,18,20)+IF(ArtifactsInput!$M$10,CHOOSE(ArtifactsInput!$N$10+1,15,18,21,24,27,30)*(IF(Inputs!$B$39="pvp",MIN(15,15)/15,IF(AND(Inputs!$B$39&lt;&gt;"pvp",Inputs!$B$44&gt;0),MIN(15,Inputs!$B$44)/(Inputs!$B$44),0))),0)))&gt;=100),MIN(100,((Inputs!$B$9+((C2939=TRUE)*(F2939-Calc!F25))+B2954+(ArtifactsInput!$M$24-ArtifactsInput!$M$24)*CHOOSE(ArtifactsInput!$N$24+1,10,12,14,16,18,20)+IF(ArtifactsInput!$M$10,CHOOSE(ArtifactsInput!$N$10+1,15,18,21,24,27,30)*(IF(Inputs!$B$39="pvp",MIN(15,15)/15,IF(AND(Inputs!$B$39&lt;&gt;"pvp",Inputs!$B$44&gt;0),MIN(15,Inputs!$B$44)/(Inputs!$B$44),0))),0)))-100),0))*CHOOSE(ArtifactsInput!$N$42+1,0.6,0.72,0.84,0.96,1.08,1.2))),Inputs!$B$18+((C2943=TRUE)*(F2943-Calc!F29))+(IF(AND(ArtifactsInput!$M$42,((Inputs!$B$9+((C2939=TRUE)*(F2939-Calc!F25))+B2954+(ArtifactsInput!$M$24-ArtifactsInput!$M$24)*CHOOSE(ArtifactsInput!$N$24+1,10,12,14,16,18,20)+IF(ArtifactsInput!$M$10,CHOOSE(ArtifactsInput!$N$10+1,15,18,21,24,27,30)*(IF(Inputs!$B$39="pvp",MIN(15,15)/15,IF(AND(Inputs!$B$39&lt;&gt;"pvp",Inputs!$B$44&gt;0),MIN(15,Inputs!$B$44)/(Inputs!$B$44),0))),0)))&gt;=100),CHOOSE(ArtifactsInput!$N$42+1,40,48,56,64,72,80),0))))/100)*(((1+(((C2935=TRUE)*F2935*IF(AND(Inputs!$B$39&lt;&gt;"pvp",Inputs!$B$44&gt;0),(((R2935-1)*(Skills!Y21*(1+Inputs!$B$34/100))+MIN((Skills!Y21*(1+Inputs!$B$34/100)),MAX(0,Inputs!$B$44-((R2935-1)*Skills!D21))))/Inputs!$B$44),IF(Inputs!$B$39="pvp",MIN((Skills!Y21*(1+Inputs!$B$34/100)),15)/15,(Skills!Y21*(1+Inputs!$B$34/100))/Skills!D21)))+((C2942=TRUE)*(F2942-Calc!F28))+((C2932=TRUE)*(F2932-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2929=TRUE)*F2929*IF(AND(Inputs!$B$39&lt;&gt;"pvp",Inputs!$B$44&gt;0),(((R2929-1)*(Skills!Y15*(1+Inputs!$B$34/100))+MIN((Skills!Y15*(1+Inputs!$B$34/100)),MAX(0,Inputs!$B$44-((R2929-1)*Skills!D15))))/Inputs!$B$44),IF(Inputs!$B$39="pvp",MIN((Skills!Y15*(1+Inputs!$B$34/100)),15)/15,(Skills!Y15*(1+Inputs!$B$34/100))/Skills!D15)))/100)*(1+((C2920=TRUE)*F2920*B2948)/100))*B2956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2931)</f>
        <v/>
      </c>
      <c r="L2931">
        <f>K2931*(MIN(Inputs!$B$22+((C2938=TRUE)*(F2938-Calc!F24)),(Inputs!$B$23+0+(IF(ArtifactsInput!$M$15,CHOOSE(ArtifactsInput!$N$15+1,25,30,35,40,45,50)/100*(Inputs!$B$11-Inputs!$B$11),0))))/100+(Inputs!$B$23+0+(IF(ArtifactsInput!$M$15,CHOOSE(ArtifactsInput!$N$15+1,25,30,35,40,45,50)/100*(Inputs!$B$11-Inputs!$B$11),0)))/100)/2</f>
        <v/>
      </c>
      <c r="M2931">
        <f>L2931*(1+(Inputs!$B$10+((C2940=TRUE)*(F2940-Calc!F26))+B2957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31">
        <f>L2931*(1-MIN((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2931*(MIN((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31">
        <f>(1-Summary!$B$11)*T2931+Summary!$B$11*V2931</f>
        <v/>
      </c>
      <c r="P2931">
        <f>IF(B2958=0,0,O2931/B2958)</f>
        <v/>
      </c>
      <c r="Q2931" t="n">
        <v>0</v>
      </c>
      <c r="R2931" t="n">
        <v>0</v>
      </c>
      <c r="S2931">
        <f>IFERROR(O2931/N2931,0)</f>
        <v/>
      </c>
      <c r="T2931">
        <f>IF(C2931,(Inputs!$B$38*0.2*N2931)*IF(Inputs!$B$39="pvp",1,1+(Inputs!$B$20+((C2941=TRUE)*(F2941-Calc!F27))+Skills!P17+B2955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Hunt"),CHOOSE(ArtifactsInput!$N$35+1,15,18,21,24,27,30)*(1-EXP(-(0.2*B2950)*5)),0)+IF(AND(ArtifactsInput!$M$22,Inputs!$B$4&lt;&gt;"Chapter Hunt"),CHOOSE(ArtifactsInput!$N$22+1,10,12,14,16,18,20)*((0*(((0.15*B2950*5))^0/1)+1*(((0.15*B2950*5))^1/1)+2*(((0.15*B2950*5))^2/2)+3*(((0.15*B2950*5))^3/6)+4*(((0.15*B2950*5))^4/24)+5*(((0.15*B2950*5))^5/120))/((((0.15*B2950*5))^0/1)+(((0.15*B2950*5))^1/1)+(((0.15*B2950*5))^2/2)+(((0.15*B2950*5))^3/6)+(((0.15*B2950*5))^4/24)+(((0.15*B2950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2931*(1-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2931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2931*(1-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2931*(MIN(100,(Inputs!$B$9+((C2939=TRUE)*(F2939-Calc!F25))+B2954+(ArtifactsInput!$M$24-ArtifactsInput!$M$24)*CHOOSE(ArtifactsInput!$N$24+1,10,12,14,16,18,20)+(IF(AND(ArtifactsInput!$M$42,((Inputs!$B$9+((C2939=TRUE)*(F2939-Calc!F25))+B2954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31">
        <f>IF(C2931,(Inputs!$B$38*0.2*N2931)*IF(Inputs!$B$39="pvp",1,(1+(Inputs!$B$21+Skills!Q17+B2955+(IF(ArtifactsInput!$M$33,CHOOSE(ArtifactsInput!$N$33+1,30,36,42,48,54,60),0))+(IF(AND(ArtifactsInput!$M$35,Inputs!$B$4&lt;&gt;"Chapter Hunt"),CHOOSE(ArtifactsInput!$N$35+1,15,18,21,24,27,30)*(1-EXP(-(0.2*B2950)*5)),0)+IF(AND(ArtifactsInput!$M$22,Inputs!$B$4&lt;&gt;"Chapter Hunt"),CHOOSE(ArtifactsInput!$N$22+1,10,12,14,16,18,20)*((0*(((0.15*B2950*5))^0/1)+1*(((0.15*B2950*5))^1/1)+2*(((0.15*B2950*5))^2/2)+3*(((0.15*B2950*5))^3/6)+4*(((0.15*B2950*5))^4/24)+5*(((0.15*B2950*5))^5/120))/((((0.15*B2950*5))^0/1)+(((0.15*B2950*5))^1/1)+(((0.15*B2950*5))^2/2)+(((0.15*B2950*5))^3/6)+(((0.15*B2950*5))^4/24)+(((0.15*B2950*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32">
      <c r="A2932">
        <f>Skills!A18</f>
        <v/>
      </c>
      <c r="B2932">
        <f>Skills!B18</f>
        <v/>
      </c>
      <c r="C2932">
        <f>Inputs!$B$3&gt;=115</f>
        <v/>
      </c>
      <c r="D2932">
        <f>IF(Skills!C18=1,60+Inputs!$B$25+Inputs!$B$29,IF(Skills!C18=2,90+Inputs!$B$26+Inputs!$B$29,IF(Skills!C18=3,120+Inputs!$B$27+Inputs!$B$29,MAX(0,(Inputs!$B$3-100)*3)+Inputs!$B$28+Inputs!$B$29)))</f>
        <v/>
      </c>
      <c r="E2932">
        <f>INDEX(FactorTable!$B$2:$Y$301, MATCH(ROUND(MIN(300,MAX(1,D2932)),0), FactorTable!$A$2:$A$301,0), Skills!M18+1)</f>
        <v/>
      </c>
      <c r="F2932">
        <f>IF(Skills!N18=TRUE,(Skills!L18/10)*(E2932/1000),Skills!L18/10)+Skills!O18</f>
        <v/>
      </c>
      <c r="G2932">
        <f>Calc!G18</f>
        <v/>
      </c>
      <c r="H2932">
        <f>Calc!H18</f>
        <v/>
      </c>
      <c r="I2932">
        <f>IF(Skills!AA18&lt;&gt;"",1+(Skills!AA18/10)*(U2917/1000)/100,1)</f>
        <v/>
      </c>
      <c r="J2932" t="inlineStr"/>
      <c r="K2932" t="inlineStr"/>
      <c r="L2932" t="inlineStr"/>
      <c r="M2932" t="inlineStr"/>
      <c r="N2932" t="inlineStr"/>
      <c r="O2932">
        <f>(1-Summary!$B$11)*T2932+Summary!$B$11*V2932</f>
        <v/>
      </c>
      <c r="P2932">
        <f>IF(B2958=0,0,O2932/B2958)</f>
        <v/>
      </c>
      <c r="Q2932" t="n">
        <v>0</v>
      </c>
      <c r="R2932" t="n">
        <v>0</v>
      </c>
      <c r="S2932">
        <f>IFERROR(O2932/N2932,0)</f>
        <v/>
      </c>
      <c r="T2932" t="n">
        <v>0</v>
      </c>
      <c r="V2932" t="n">
        <v>0</v>
      </c>
    </row>
    <row r="2933">
      <c r="A2933">
        <f>Skills!A19</f>
        <v/>
      </c>
      <c r="B2933">
        <f>Skills!B19</f>
        <v/>
      </c>
      <c r="C2933">
        <f>TRUE</f>
        <v/>
      </c>
      <c r="D2933">
        <f>IF(Skills!C19=1,60+Inputs!$B$25+Inputs!$B$29,IF(Skills!C19=2,90+Inputs!$B$26+Inputs!$B$29,IF(Skills!C19=3,120+Inputs!$B$27+Inputs!$B$29,MAX(0,(Inputs!$B$3-100)*3)+Inputs!$B$28+Inputs!$B$29)))</f>
        <v/>
      </c>
      <c r="E2933">
        <f>INDEX(FactorTable!$B$2:$Y$301, MATCH(ROUND(MIN(300,MAX(1,D2933)),0), FactorTable!$A$2:$A$301,0), Skills!M19+1)</f>
        <v/>
      </c>
      <c r="F2933">
        <f>IF(Skills!N19=TRUE,(Skills!L19/10)*(E2933/1000),Skills!L19/10)+Skills!O19</f>
        <v/>
      </c>
      <c r="G2933">
        <f>Calc!G19</f>
        <v/>
      </c>
      <c r="H2933">
        <f>Calc!H19</f>
        <v/>
      </c>
      <c r="I2933">
        <f>IF(Skills!AA19&lt;&gt;"",1+(Skills!AA19/10)*(U2917/1000)/100,1)</f>
        <v/>
      </c>
      <c r="J2933" t="inlineStr"/>
      <c r="K2933" t="inlineStr"/>
      <c r="L2933" t="inlineStr"/>
      <c r="M2933" t="inlineStr"/>
      <c r="N2933" t="inlineStr"/>
      <c r="O2933">
        <f>(1-Summary!$B$11)*T2933+Summary!$B$11*V2933</f>
        <v/>
      </c>
      <c r="P2933">
        <f>IF(B2958=0,0,O2933/B2958)</f>
        <v/>
      </c>
      <c r="Q2933">
        <f>IFERROR(1/IF(Inputs!$B$39="pvp",15,MAX(0.1,Skills!D19-IF(Skills!E19=TRUE,Inputs!$B$32,0))),0)</f>
        <v/>
      </c>
      <c r="R2933">
        <f>IF(AND(Inputs!$B$39&lt;&gt;"pvp",Inputs!$B$44&gt;0),IF(Inputs!$B$44&lt;=0,0,(INT(Inputs!$B$44/IF(Inputs!$B$39="pvp",15,MAX(0.1,Skills!D19-IF(Skills!E19=TRUE,Inputs!$B$32,0))))+1)),0)</f>
        <v/>
      </c>
      <c r="S2933">
        <f>IFERROR(O2933/N2933,0)</f>
        <v/>
      </c>
      <c r="T2933" t="n">
        <v>0</v>
      </c>
      <c r="V2933" t="n">
        <v>0</v>
      </c>
    </row>
    <row r="2934">
      <c r="A2934">
        <f>Skills!A20</f>
        <v/>
      </c>
      <c r="B2934">
        <f>Skills!B20</f>
        <v/>
      </c>
      <c r="C2934">
        <f>Inputs!$B$3&gt;=15</f>
        <v/>
      </c>
      <c r="D2934">
        <f>IF(Skills!C20=1,60+Inputs!$B$25+Inputs!$B$29,IF(Skills!C20=2,90+Inputs!$B$26+Inputs!$B$29,IF(Skills!C20=3,120+Inputs!$B$27+Inputs!$B$29,MAX(0,(Inputs!$B$3-100)*3)+Inputs!$B$28+Inputs!$B$29)))</f>
        <v/>
      </c>
      <c r="E2934">
        <f>INDEX(FactorTable!$B$2:$Y$301, MATCH(ROUND(MIN(300,MAX(1,D2934)),0), FactorTable!$A$2:$A$301,0), Skills!M20+1)</f>
        <v/>
      </c>
      <c r="F2934">
        <f>IF(Skills!N20=TRUE,(Skills!L20/10)*(E2934/1000),Skills!L20/10)+Skills!O20</f>
        <v/>
      </c>
      <c r="G2934">
        <f>Calc!G20</f>
        <v/>
      </c>
      <c r="H2934">
        <f>Calc!H20</f>
        <v/>
      </c>
      <c r="I2934">
        <f>IF(Skills!AA20&lt;&gt;"",1+(Skills!AA20/10)*(U2917/1000)/100,1)</f>
        <v/>
      </c>
      <c r="J2934" t="inlineStr"/>
      <c r="K2934" t="inlineStr"/>
      <c r="L2934" t="inlineStr"/>
      <c r="M2934" t="inlineStr"/>
      <c r="N2934" t="inlineStr"/>
      <c r="O2934">
        <f>(1-Summary!$B$11)*T2934+Summary!$B$11*V2934</f>
        <v/>
      </c>
      <c r="P2934">
        <f>IF(B2958=0,0,O2934/B2958)</f>
        <v/>
      </c>
      <c r="Q2934">
        <f>IFERROR(1/IF(Inputs!$B$39="pvp",15,MAX(0.1,Skills!D20-IF(Skills!E20=TRUE,Inputs!$B$32,0))),0)</f>
        <v/>
      </c>
      <c r="R2934">
        <f>IF(AND(Inputs!$B$39&lt;&gt;"pvp",Inputs!$B$44&gt;0),IF(Inputs!$B$44&lt;=0,0,(INT(Inputs!$B$44/IF(Inputs!$B$39="pvp",15,MAX(0.1,Skills!D20-IF(Skills!E20=TRUE,Inputs!$B$32,0))))+1)),0)</f>
        <v/>
      </c>
      <c r="S2934">
        <f>IFERROR(O2934/N2934,0)</f>
        <v/>
      </c>
      <c r="T2934" t="n">
        <v>0</v>
      </c>
      <c r="V2934" t="n">
        <v>0</v>
      </c>
    </row>
    <row r="2935">
      <c r="A2935">
        <f>Skills!A21</f>
        <v/>
      </c>
      <c r="B2935">
        <f>Skills!B21</f>
        <v/>
      </c>
      <c r="C2935">
        <f>Inputs!$B$3&gt;=15</f>
        <v/>
      </c>
      <c r="D2935">
        <f>IF(Skills!C21=1,60+Inputs!$B$25+Inputs!$B$29,IF(Skills!C21=2,90+Inputs!$B$26+Inputs!$B$29,IF(Skills!C21=3,120+Inputs!$B$27+Inputs!$B$29,MAX(0,(Inputs!$B$3-100)*3)+Inputs!$B$28+Inputs!$B$29)))</f>
        <v/>
      </c>
      <c r="E2935">
        <f>INDEX(FactorTable!$B$2:$Y$301, MATCH(ROUND(MIN(300,MAX(1,D2935)),0), FactorTable!$A$2:$A$301,0), Skills!M21+1)</f>
        <v/>
      </c>
      <c r="F2935">
        <f>IF(Skills!N21=TRUE,(Skills!L21/10)*(E2935/1000),Skills!L21/10)+Skills!O21</f>
        <v/>
      </c>
      <c r="G2935">
        <f>Calc!G21</f>
        <v/>
      </c>
      <c r="H2935">
        <f>Calc!H21</f>
        <v/>
      </c>
      <c r="I2935">
        <f>IF(Skills!AA21&lt;&gt;"",1+(Skills!AA21/10)*(U2917/1000)/100,1)</f>
        <v/>
      </c>
      <c r="J2935" t="inlineStr"/>
      <c r="K2935" t="inlineStr"/>
      <c r="L2935" t="inlineStr"/>
      <c r="M2935" t="inlineStr"/>
      <c r="N2935" t="inlineStr"/>
      <c r="O2935">
        <f>(1-Summary!$B$11)*T2935+Summary!$B$11*V2935</f>
        <v/>
      </c>
      <c r="P2935">
        <f>IF(B2958=0,0,O2935/B2958)</f>
        <v/>
      </c>
      <c r="Q2935">
        <f>IFERROR(1/IF(Inputs!$B$39="pvp",15,MAX(0.1,Skills!D21-IF(Skills!E21=TRUE,Inputs!$B$32,0))),0)</f>
        <v/>
      </c>
      <c r="R2935">
        <f>IF(AND(Inputs!$B$39&lt;&gt;"pvp",Inputs!$B$44&gt;0),IF(Inputs!$B$44&lt;=0,0,(INT(Inputs!$B$44/IF(Inputs!$B$39="pvp",15,MAX(0.1,Skills!D21-IF(Skills!E21=TRUE,Inputs!$B$32,0))))+1)),0)</f>
        <v/>
      </c>
      <c r="S2935">
        <f>IFERROR(O2935/N2935,0)</f>
        <v/>
      </c>
      <c r="T2935" t="n">
        <v>0</v>
      </c>
      <c r="V2935" t="n">
        <v>0</v>
      </c>
    </row>
    <row r="2936">
      <c r="A2936">
        <f>Skills!A22</f>
        <v/>
      </c>
      <c r="B2936">
        <f>Skills!B22</f>
        <v/>
      </c>
      <c r="C2936">
        <f>Inputs!$B$3&gt;=33</f>
        <v/>
      </c>
      <c r="D2936">
        <f>IF(Skills!C22=1,60+Inputs!$B$25+Inputs!$B$29,IF(Skills!C22=2,90+Inputs!$B$26+Inputs!$B$29,IF(Skills!C22=3,120+Inputs!$B$27+Inputs!$B$29,MAX(0,(Inputs!$B$3-100)*3)+Inputs!$B$28+Inputs!$B$29)))</f>
        <v/>
      </c>
      <c r="E2936">
        <f>INDEX(FactorTable!$B$2:$Y$301, MATCH(ROUND(MIN(300,MAX(1,D2936)),0), FactorTable!$A$2:$A$301,0), Skills!M22+1)</f>
        <v/>
      </c>
      <c r="F2936">
        <f>IF(Skills!N22=TRUE,(Skills!L22/10)*(E2936/1000),Skills!L22/10)+Skills!O22</f>
        <v/>
      </c>
      <c r="G2936">
        <f>Calc!G22</f>
        <v/>
      </c>
      <c r="H2936">
        <f>Calc!H22</f>
        <v/>
      </c>
      <c r="I2936">
        <f>IF(Skills!AA22&lt;&gt;"",1+(Skills!AA22/10)*(U2917/1000)/100,1)</f>
        <v/>
      </c>
      <c r="J2936" t="inlineStr"/>
      <c r="K2936" t="inlineStr"/>
      <c r="L2936" t="inlineStr"/>
      <c r="M2936" t="inlineStr"/>
      <c r="N2936" t="inlineStr"/>
      <c r="O2936">
        <f>(1-Summary!$B$11)*T2936+Summary!$B$11*V2936</f>
        <v/>
      </c>
      <c r="P2936">
        <f>IF(B2958=0,0,O2936/B2958)</f>
        <v/>
      </c>
      <c r="Q2936" t="n">
        <v>0</v>
      </c>
      <c r="R2936" t="n">
        <v>0</v>
      </c>
      <c r="S2936">
        <f>IFERROR(O2936/N2936,0)</f>
        <v/>
      </c>
      <c r="T2936" t="n">
        <v>0</v>
      </c>
      <c r="V2936" t="n">
        <v>0</v>
      </c>
    </row>
    <row r="2937">
      <c r="A2937">
        <f>Skills!A23</f>
        <v/>
      </c>
      <c r="B2937">
        <f>Skills!B23</f>
        <v/>
      </c>
      <c r="C2937">
        <f>Inputs!$B$3&gt;=38</f>
        <v/>
      </c>
      <c r="D2937">
        <f>IF(Skills!C23=1,60+Inputs!$B$25+Inputs!$B$29,IF(Skills!C23=2,90+Inputs!$B$26+Inputs!$B$29,IF(Skills!C23=3,120+Inputs!$B$27+Inputs!$B$29,MAX(0,(Inputs!$B$3-100)*3)+Inputs!$B$28+Inputs!$B$29)))</f>
        <v/>
      </c>
      <c r="E2937">
        <f>INDEX(FactorTable!$B$2:$Y$301, MATCH(ROUND(MIN(300,MAX(1,D2937)),0), FactorTable!$A$2:$A$301,0), Skills!M23+1)</f>
        <v/>
      </c>
      <c r="F2937">
        <f>IF(Skills!N23=TRUE,(Skills!L23/10)*(E2937/1000),Skills!L23/10)+Skills!O23</f>
        <v/>
      </c>
      <c r="G2937">
        <f>Calc!G23</f>
        <v/>
      </c>
      <c r="H2937">
        <f>Calc!H23</f>
        <v/>
      </c>
      <c r="I2937">
        <f>IF(Skills!AA23&lt;&gt;"",1+(Skills!AA23/10)*(U2917/1000)/100,1)</f>
        <v/>
      </c>
      <c r="J2937" t="inlineStr"/>
      <c r="K2937" t="inlineStr"/>
      <c r="L2937" t="inlineStr"/>
      <c r="M2937" t="inlineStr"/>
      <c r="N2937" t="inlineStr"/>
      <c r="O2937">
        <f>(1-Summary!$B$11)*T2937+Summary!$B$11*V2937</f>
        <v/>
      </c>
      <c r="P2937">
        <f>IF(B2958=0,0,O2937/B2958)</f>
        <v/>
      </c>
      <c r="Q2937" t="n">
        <v>0</v>
      </c>
      <c r="R2937" t="n">
        <v>0</v>
      </c>
      <c r="S2937">
        <f>IFERROR(O2937/N2937,0)</f>
        <v/>
      </c>
      <c r="T2937" t="n">
        <v>0</v>
      </c>
      <c r="V2937" t="n">
        <v>0</v>
      </c>
    </row>
    <row r="2938">
      <c r="A2938">
        <f>Skills!A24</f>
        <v/>
      </c>
      <c r="B2938">
        <f>Skills!B24</f>
        <v/>
      </c>
      <c r="C2938">
        <f>Inputs!$B$3&gt;=40</f>
        <v/>
      </c>
      <c r="D2938">
        <f>IF(Skills!C24=1,60+Inputs!$B$25+Inputs!$B$29,IF(Skills!C24=2,90+Inputs!$B$26+Inputs!$B$29,IF(Skills!C24=3,120+Inputs!$B$27+Inputs!$B$29,MAX(0,(Inputs!$B$3-100)*3)+Inputs!$B$28+Inputs!$B$29)))</f>
        <v/>
      </c>
      <c r="E2938">
        <f>INDEX(FactorTable!$B$2:$Y$301, MATCH(ROUND(MIN(300,MAX(1,D2938)),0), FactorTable!$A$2:$A$301,0), Skills!M24+1)</f>
        <v/>
      </c>
      <c r="F2938">
        <f>IF(Skills!N24=TRUE,(Skills!L24/10)*(E2938/1000),Skills!L24/10)+Skills!O24</f>
        <v/>
      </c>
      <c r="G2938">
        <f>Calc!G24</f>
        <v/>
      </c>
      <c r="H2938">
        <f>Calc!H24</f>
        <v/>
      </c>
      <c r="I2938">
        <f>IF(Skills!AA24&lt;&gt;"",1+(Skills!AA24/10)*(U2917/1000)/100,1)</f>
        <v/>
      </c>
      <c r="J2938" t="inlineStr"/>
      <c r="K2938" t="inlineStr"/>
      <c r="L2938" t="inlineStr"/>
      <c r="M2938" t="inlineStr"/>
      <c r="N2938" t="inlineStr"/>
      <c r="O2938">
        <f>(1-Summary!$B$11)*T2938+Summary!$B$11*V2938</f>
        <v/>
      </c>
      <c r="P2938">
        <f>IF(B2958=0,0,O2938/B2958)</f>
        <v/>
      </c>
      <c r="Q2938" t="n">
        <v>0</v>
      </c>
      <c r="R2938" t="n">
        <v>0</v>
      </c>
      <c r="S2938">
        <f>IFERROR(O2938/N2938,0)</f>
        <v/>
      </c>
      <c r="T2938" t="n">
        <v>0</v>
      </c>
      <c r="V2938" t="n">
        <v>0</v>
      </c>
    </row>
    <row r="2939">
      <c r="A2939">
        <f>Skills!A25</f>
        <v/>
      </c>
      <c r="B2939">
        <f>Skills!B25</f>
        <v/>
      </c>
      <c r="C2939">
        <f>Inputs!$B$3&gt;=45</f>
        <v/>
      </c>
      <c r="D2939">
        <f>IF(Skills!C25=1,60+Inputs!$B$25+Inputs!$B$29,IF(Skills!C25=2,90+Inputs!$B$26+Inputs!$B$29,IF(Skills!C25=3,120+Inputs!$B$27+Inputs!$B$29,MAX(0,(Inputs!$B$3-100)*3)+Inputs!$B$28+Inputs!$B$29)))</f>
        <v/>
      </c>
      <c r="E2939">
        <f>INDEX(FactorTable!$B$2:$Y$301, MATCH(ROUND(MIN(300,MAX(1,D2939)),0), FactorTable!$A$2:$A$301,0), Skills!M25+1)</f>
        <v/>
      </c>
      <c r="F2939">
        <f>IF(Skills!N25=TRUE,(Skills!L25/10)*(E2939/1000),Skills!L25/10)+Skills!O25</f>
        <v/>
      </c>
      <c r="G2939">
        <f>Calc!G25</f>
        <v/>
      </c>
      <c r="H2939">
        <f>Calc!H25</f>
        <v/>
      </c>
      <c r="I2939">
        <f>IF(Skills!AA25&lt;&gt;"",1+(Skills!AA25/10)*(U2917/1000)/100,1)</f>
        <v/>
      </c>
      <c r="J2939" t="inlineStr"/>
      <c r="K2939" t="inlineStr"/>
      <c r="L2939" t="inlineStr"/>
      <c r="M2939" t="inlineStr"/>
      <c r="N2939" t="inlineStr"/>
      <c r="O2939">
        <f>(1-Summary!$B$11)*T2939+Summary!$B$11*V2939</f>
        <v/>
      </c>
      <c r="P2939">
        <f>IF(B2958=0,0,O2939/B2958)</f>
        <v/>
      </c>
      <c r="Q2939" t="n">
        <v>0</v>
      </c>
      <c r="R2939" t="n">
        <v>0</v>
      </c>
      <c r="S2939">
        <f>IFERROR(O2939/N2939,0)</f>
        <v/>
      </c>
      <c r="T2939" t="n">
        <v>0</v>
      </c>
      <c r="V2939" t="n">
        <v>0</v>
      </c>
    </row>
    <row r="2940">
      <c r="A2940">
        <f>Skills!A26</f>
        <v/>
      </c>
      <c r="B2940">
        <f>Skills!B26</f>
        <v/>
      </c>
      <c r="C2940">
        <f>Inputs!$B$3&gt;=45</f>
        <v/>
      </c>
      <c r="D2940">
        <f>IF(Skills!C26=1,60+Inputs!$B$25+Inputs!$B$29,IF(Skills!C26=2,90+Inputs!$B$26+Inputs!$B$29,IF(Skills!C26=3,120+Inputs!$B$27+Inputs!$B$29,MAX(0,(Inputs!$B$3-100)*3)+Inputs!$B$28+Inputs!$B$29)))</f>
        <v/>
      </c>
      <c r="E2940">
        <f>INDEX(FactorTable!$B$2:$Y$301, MATCH(ROUND(MIN(300,MAX(1,D2940)),0), FactorTable!$A$2:$A$301,0), Skills!M26+1)</f>
        <v/>
      </c>
      <c r="F2940">
        <f>IF(Skills!N26=TRUE,(Skills!L26/10)*(E2940/1000),Skills!L26/10)+Skills!O26</f>
        <v/>
      </c>
      <c r="G2940">
        <f>Calc!G26</f>
        <v/>
      </c>
      <c r="H2940">
        <f>Calc!H26</f>
        <v/>
      </c>
      <c r="I2940">
        <f>IF(Skills!AA26&lt;&gt;"",1+(Skills!AA26/10)*(U2917/1000)/100,1)</f>
        <v/>
      </c>
      <c r="J2940" t="inlineStr"/>
      <c r="K2940" t="inlineStr"/>
      <c r="L2940" t="inlineStr"/>
      <c r="M2940" t="inlineStr"/>
      <c r="N2940" t="inlineStr"/>
      <c r="O2940">
        <f>(1-Summary!$B$11)*T2940+Summary!$B$11*V2940</f>
        <v/>
      </c>
      <c r="P2940">
        <f>IF(B2958=0,0,O2940/B2958)</f>
        <v/>
      </c>
      <c r="Q2940" t="n">
        <v>0</v>
      </c>
      <c r="R2940" t="n">
        <v>0</v>
      </c>
      <c r="S2940">
        <f>IFERROR(O2940/N2940,0)</f>
        <v/>
      </c>
      <c r="T2940" t="n">
        <v>0</v>
      </c>
      <c r="V2940" t="n">
        <v>0</v>
      </c>
    </row>
    <row r="2941">
      <c r="A2941">
        <f>Skills!A27</f>
        <v/>
      </c>
      <c r="B2941">
        <f>Skills!B27</f>
        <v/>
      </c>
      <c r="C2941">
        <f>Inputs!$B$3&gt;=72</f>
        <v/>
      </c>
      <c r="D2941">
        <f>IF(Skills!C27=1,60+Inputs!$B$25+Inputs!$B$29,IF(Skills!C27=2,90+Inputs!$B$26+Inputs!$B$29,IF(Skills!C27=3,120+Inputs!$B$27+Inputs!$B$29,MAX(0,(Inputs!$B$3-100)*3)+Inputs!$B$28+Inputs!$B$29)))</f>
        <v/>
      </c>
      <c r="E2941">
        <f>INDEX(FactorTable!$B$2:$Y$301, MATCH(ROUND(MIN(300,MAX(1,D2941)),0), FactorTable!$A$2:$A$301,0), Skills!M27+1)</f>
        <v/>
      </c>
      <c r="F2941">
        <f>IF(Skills!N27=TRUE,(Skills!L27/10)*(E2941/1000),Skills!L27/10)+Skills!O27</f>
        <v/>
      </c>
      <c r="G2941">
        <f>Calc!G27</f>
        <v/>
      </c>
      <c r="H2941">
        <f>Calc!H27</f>
        <v/>
      </c>
      <c r="I2941">
        <f>IF(Skills!AA27&lt;&gt;"",1+(Skills!AA27/10)*(U2917/1000)/100,1)</f>
        <v/>
      </c>
      <c r="J2941" t="inlineStr"/>
      <c r="K2941" t="inlineStr"/>
      <c r="L2941" t="inlineStr"/>
      <c r="M2941" t="inlineStr"/>
      <c r="N2941" t="inlineStr"/>
      <c r="O2941">
        <f>(1-Summary!$B$11)*T2941+Summary!$B$11*V2941</f>
        <v/>
      </c>
      <c r="P2941">
        <f>IF(B2958=0,0,O2941/B2958)</f>
        <v/>
      </c>
      <c r="Q2941" t="n">
        <v>0</v>
      </c>
      <c r="R2941" t="n">
        <v>0</v>
      </c>
      <c r="S2941">
        <f>IFERROR(O2941/N2941,0)</f>
        <v/>
      </c>
      <c r="T2941" t="n">
        <v>0</v>
      </c>
      <c r="V2941" t="n">
        <v>0</v>
      </c>
    </row>
    <row r="2942">
      <c r="A2942">
        <f>Skills!A28</f>
        <v/>
      </c>
      <c r="B2942">
        <f>Skills!B28</f>
        <v/>
      </c>
      <c r="C2942">
        <f>Inputs!$B$3&gt;=75</f>
        <v/>
      </c>
      <c r="D2942">
        <f>IF(Skills!C28=1,60+Inputs!$B$25+Inputs!$B$29,IF(Skills!C28=2,90+Inputs!$B$26+Inputs!$B$29,IF(Skills!C28=3,120+Inputs!$B$27+Inputs!$B$29,MAX(0,(Inputs!$B$3-100)*3)+Inputs!$B$28+Inputs!$B$29)))</f>
        <v/>
      </c>
      <c r="E2942">
        <f>INDEX(FactorTable!$B$2:$Y$301, MATCH(ROUND(MIN(300,MAX(1,D2942)),0), FactorTable!$A$2:$A$301,0), Skills!M28+1)</f>
        <v/>
      </c>
      <c r="F2942">
        <f>IF(Skills!N28=TRUE,(Skills!L28/10)*(E2942/1000),Skills!L28/10)+Skills!O28</f>
        <v/>
      </c>
      <c r="G2942">
        <f>Calc!G28</f>
        <v/>
      </c>
      <c r="H2942">
        <f>Calc!H28</f>
        <v/>
      </c>
      <c r="I2942">
        <f>IF(Skills!AA28&lt;&gt;"",1+(Skills!AA28/10)*(U2917/1000)/100,1)</f>
        <v/>
      </c>
      <c r="J2942" t="inlineStr"/>
      <c r="K2942" t="inlineStr"/>
      <c r="L2942" t="inlineStr"/>
      <c r="M2942" t="inlineStr"/>
      <c r="N2942" t="inlineStr"/>
      <c r="O2942">
        <f>(1-Summary!$B$11)*T2942+Summary!$B$11*V2942</f>
        <v/>
      </c>
      <c r="P2942">
        <f>IF(B2958=0,0,O2942/B2958)</f>
        <v/>
      </c>
      <c r="Q2942" t="n">
        <v>0</v>
      </c>
      <c r="R2942" t="n">
        <v>0</v>
      </c>
      <c r="S2942">
        <f>IFERROR(O2942/N2942,0)</f>
        <v/>
      </c>
      <c r="T2942" t="n">
        <v>0</v>
      </c>
      <c r="V2942" t="n">
        <v>0</v>
      </c>
    </row>
    <row r="2943">
      <c r="A2943">
        <f>Skills!A29</f>
        <v/>
      </c>
      <c r="B2943">
        <f>Skills!B29</f>
        <v/>
      </c>
      <c r="C2943">
        <f>Inputs!$B$3&gt;=120</f>
        <v/>
      </c>
      <c r="D2943">
        <f>IF(Skills!C29=1,60+Inputs!$B$25+Inputs!$B$29,IF(Skills!C29=2,90+Inputs!$B$26+Inputs!$B$29,IF(Skills!C29=3,120+Inputs!$B$27+Inputs!$B$29,MAX(0,(Inputs!$B$3-100)*3)+Inputs!$B$28+Inputs!$B$29)))</f>
        <v/>
      </c>
      <c r="E2943">
        <f>INDEX(FactorTable!$B$2:$Y$301, MATCH(ROUND(MIN(300,MAX(1,D2943)),0), FactorTable!$A$2:$A$301,0), Skills!M29+1)</f>
        <v/>
      </c>
      <c r="F2943">
        <f>IF(Skills!N29=TRUE,(Skills!L29/10)*(E2943/1000),Skills!L29/10)+Skills!O29</f>
        <v/>
      </c>
      <c r="G2943">
        <f>Calc!G29</f>
        <v/>
      </c>
      <c r="H2943">
        <f>Calc!H29</f>
        <v/>
      </c>
      <c r="I2943">
        <f>IF(Skills!AA29&lt;&gt;"",1+(Skills!AA29/10)*(U2917/1000)/100,1)</f>
        <v/>
      </c>
      <c r="J2943" t="inlineStr"/>
      <c r="K2943" t="inlineStr"/>
      <c r="L2943" t="inlineStr"/>
      <c r="M2943" t="inlineStr"/>
      <c r="N2943" t="inlineStr"/>
      <c r="O2943">
        <f>(1-Summary!$B$11)*T2943+Summary!$B$11*V2943</f>
        <v/>
      </c>
      <c r="P2943">
        <f>IF(B2958=0,0,O2943/B2958)</f>
        <v/>
      </c>
      <c r="Q2943" t="n">
        <v>0</v>
      </c>
      <c r="R2943" t="n">
        <v>0</v>
      </c>
      <c r="S2943">
        <f>IFERROR(O2943/N2943,0)</f>
        <v/>
      </c>
      <c r="T2943" t="n">
        <v>0</v>
      </c>
      <c r="V2943" t="n">
        <v>0</v>
      </c>
    </row>
    <row r="2944">
      <c r="A2944">
        <f>Skills!A30</f>
        <v/>
      </c>
      <c r="B2944">
        <f>Skills!B30</f>
        <v/>
      </c>
      <c r="C2944">
        <f>Inputs!$B$3&gt;=125</f>
        <v/>
      </c>
      <c r="D2944">
        <f>IF(Skills!C30=1,60+Inputs!$B$25+Inputs!$B$29,IF(Skills!C30=2,90+Inputs!$B$26+Inputs!$B$29,IF(Skills!C30=3,120+Inputs!$B$27+Inputs!$B$29,MAX(0,(Inputs!$B$3-100)*3)+Inputs!$B$28+Inputs!$B$29)))</f>
        <v/>
      </c>
      <c r="E2944">
        <f>INDEX(FactorTable!$B$2:$Y$301, MATCH(ROUND(MIN(300,MAX(1,D2944)),0), FactorTable!$A$2:$A$301,0), Skills!M30+1)</f>
        <v/>
      </c>
      <c r="F2944">
        <f>IF(Skills!N30=TRUE,(Skills!L30/10)*(E2944/1000),Skills!L30/10)+Skills!O30</f>
        <v/>
      </c>
      <c r="G2944">
        <f>Calc!G30</f>
        <v/>
      </c>
      <c r="H2944">
        <f>Calc!H30</f>
        <v/>
      </c>
      <c r="I2944">
        <f>IF(Skills!AA30&lt;&gt;"",1+(Skills!AA30/10)*(U2917/1000)/100,1)</f>
        <v/>
      </c>
      <c r="J2944" t="inlineStr"/>
      <c r="K2944" t="inlineStr"/>
      <c r="L2944" t="inlineStr"/>
      <c r="M2944" t="inlineStr"/>
      <c r="N2944" t="inlineStr"/>
      <c r="O2944">
        <f>(1-Summary!$B$11)*T2944+Summary!$B$11*V2944</f>
        <v/>
      </c>
      <c r="P2944">
        <f>IF(B2958=0,0,O2944/B2958)</f>
        <v/>
      </c>
      <c r="Q2944" t="n">
        <v>0</v>
      </c>
      <c r="R2944" t="n">
        <v>0</v>
      </c>
      <c r="S2944">
        <f>IFERROR(O2944/N2944,0)</f>
        <v/>
      </c>
      <c r="T2944" t="n">
        <v>0</v>
      </c>
      <c r="V2944" t="n">
        <v>0</v>
      </c>
    </row>
    <row r="2945">
      <c r="A2945">
        <f>Skills!A31</f>
        <v/>
      </c>
      <c r="B2945">
        <f>Skills!B31</f>
        <v/>
      </c>
      <c r="C2945">
        <f>Inputs!$B$3&gt;=107</f>
        <v/>
      </c>
      <c r="D2945">
        <f>IF(Skills!C31=1,60+Inputs!$B$25+Inputs!$B$29,IF(Skills!C31=2,90+Inputs!$B$26+Inputs!$B$29,IF(Skills!C31=3,120+Inputs!$B$27+Inputs!$B$29,MAX(0,(Inputs!$B$3-100)*3)+Inputs!$B$28+Inputs!$B$29)))</f>
        <v/>
      </c>
      <c r="E2945">
        <f>INDEX(FactorTable!$B$2:$Y$301, MATCH(ROUND(MIN(300,MAX(1,D2945)),0), FactorTable!$A$2:$A$301,0), Skills!M31+1)</f>
        <v/>
      </c>
      <c r="F2945">
        <f>IF(Skills!N31=TRUE,(Skills!L31/10)*(E2945/1000),Skills!L31/10)+Skills!O31</f>
        <v/>
      </c>
      <c r="G2945">
        <f>Calc!G31</f>
        <v/>
      </c>
      <c r="H2945">
        <f>Calc!H31</f>
        <v/>
      </c>
      <c r="I2945">
        <f>IF(Skills!AA31&lt;&gt;"",1+(Skills!AA31/10)*(U2917/1000)/100,1)</f>
        <v/>
      </c>
      <c r="J2945" t="inlineStr"/>
      <c r="K2945" t="inlineStr"/>
      <c r="L2945" t="inlineStr"/>
      <c r="M2945" t="inlineStr"/>
      <c r="N2945" t="inlineStr"/>
      <c r="O2945">
        <f>(1-Summary!$B$11)*T2945+Summary!$B$11*V2945</f>
        <v/>
      </c>
      <c r="P2945">
        <f>IF(B2958=0,0,O2945/B2958)</f>
        <v/>
      </c>
      <c r="Q2945" t="n">
        <v>0</v>
      </c>
      <c r="R2945" t="n">
        <v>0</v>
      </c>
      <c r="S2945">
        <f>IFERROR(O2945/N2945,0)</f>
        <v/>
      </c>
      <c r="T2945" t="n">
        <v>0</v>
      </c>
      <c r="V2945" t="n">
        <v>0</v>
      </c>
    </row>
    <row r="2947">
      <c r="A2947" t="inlineStr">
        <is>
          <t>Actions Per Second (pre-Adrenalin)</t>
        </is>
      </c>
      <c r="B2947">
        <f>1+MIN(150,150*(1-(1-(Inputs!$B$11+((C2936=TRUE)*(F2936-Calc!F22))+(ArtifactsInput!$M$15-ArtifactsInput!$M$15)*CHOOSE(ArtifactsInput!$N$15+1,8,9.6,11.2,12.8,14.4,16))/150)*(1-((C2933=TRUE)*F2933*IF(AND(Inputs!$B$39&lt;&gt;"pvp",Inputs!$B$44&gt;0),(((R2933-1)*(Skills!Y19*(1+Inputs!$B$34/100))+MIN((Skills!Y19*(1+Inputs!$B$34/100)),MAX(0,Inputs!$B$44-((R2933-1)*Skills!D19))))/Inputs!$B$44),IF(Inputs!$B$39="pvp",MIN((Skills!Y19*(1+Inputs!$B$34/100)),15)/15,(Skills!Y19*(1+Inputs!$B$34/100))/Skills!D19)))/150)))/100</f>
        <v/>
      </c>
    </row>
    <row r="2948">
      <c r="A2948" t="inlineStr">
        <is>
          <t>Alchemic Adrenaline Uptime</t>
        </is>
      </c>
      <c r="B2948">
        <f>(Skills!Y6*(1+Inputs!$B$34/100))/((Skills!Y6*(1+Inputs!$B$34/100))+(5/B2947))</f>
        <v/>
      </c>
    </row>
    <row r="2949">
      <c r="A2949" t="inlineStr">
        <is>
          <t>Attack Speed Buff Bonus %</t>
        </is>
      </c>
      <c r="B2949">
        <f>((C2933=TRUE)*F2933*IF(AND(Inputs!$B$39&lt;&gt;"pvp",Inputs!$B$44&gt;0),(((R2933-1)*(Skills!Y19*(1+Inputs!$B$34/100))+MIN((Skills!Y19*(1+Inputs!$B$34/100)),MAX(0,Inputs!$B$44-((R2933-1)*Skills!D19))))/Inputs!$B$44),IF(Inputs!$B$39="pvp",MIN((Skills!Y19*(1+Inputs!$B$34/100)),15)/15,(Skills!Y19*(1+Inputs!$B$34/100))/Skills!D19)))+((C2921=TRUE)*F2921*B2948)</f>
        <v/>
      </c>
    </row>
    <row r="2950">
      <c r="A2950" t="inlineStr">
        <is>
          <t>Actions Per Second (final)</t>
        </is>
      </c>
      <c r="B2950">
        <f>1+MIN(150,150*(1-(1-(Inputs!$B$11+((C2936=TRUE)*(F2936-Calc!F22))+(ArtifactsInput!$M$15-ArtifactsInput!$M$15)*CHOOSE(ArtifactsInput!$N$15+1,8,9.6,11.2,12.8,14.4,16))/150)*(1-B2949/150)))/100</f>
        <v/>
      </c>
    </row>
    <row r="2951">
      <c r="A2951" t="inlineStr">
        <is>
          <t>Skill + Buff Cast Rate</t>
        </is>
      </c>
      <c r="B2951">
        <f>IF(AND(Inputs!$B$39&lt;&gt;"pvp",Inputs!$B$44&gt;0),SUMPRODUCT((Skills!E2:E31=TRUE)*(C2916:C2945=TRUE)*R2916:R2945*Skills!F2:F31)/Inputs!$B$44,SUMPRODUCT((Skills!E2:E31=TRUE)*(C2916:C2945=TRUE)*Q2916:Q2945*Skills!F2:F31))</f>
        <v/>
      </c>
    </row>
    <row r="2952">
      <c r="A2952" t="inlineStr">
        <is>
          <t>Showdown Casts Per Second</t>
        </is>
      </c>
      <c r="B2952">
        <f>MAX(0,B2950-B2951)</f>
        <v/>
      </c>
    </row>
    <row r="2953">
      <c r="A2953" t="inlineStr">
        <is>
          <t>Average Buff Multiplier</t>
        </is>
      </c>
      <c r="B2953">
        <f>(1+(((C2935=TRUE)*F2935*IF(AND(Inputs!$B$39&lt;&gt;"pvp",Inputs!$B$44&gt;0),(((R2935-1)*(Skills!Y21*(1+Inputs!$B$34/100))+MIN((Skills!Y21*(1+Inputs!$B$34/100)),MAX(0,Inputs!$B$44-((R2935-1)*Skills!D21))))/Inputs!$B$44),IF(Inputs!$B$39="pvp",MIN((Skills!Y21*(1+Inputs!$B$34/100)),15)/15,(Skills!Y21*(1+Inputs!$B$34/100))/Skills!D21)))+((C2942=TRUE)*(F2942-Calc!F28))+((C2932=TRUE)*(F2932-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2929=TRUE)*F2929*IF(AND(Inputs!$B$39&lt;&gt;"pvp",Inputs!$B$44&gt;0),(((R2929-1)*(Skills!Y15*(1+Inputs!$B$34/100))+MIN((Skills!Y15*(1+Inputs!$B$34/100)),MAX(0,Inputs!$B$44-((R2929-1)*Skills!D15))))/Inputs!$B$44),IF(Inputs!$B$39="pvp",MIN((Skills!Y15*(1+Inputs!$B$34/100)),15)/15,(Skills!Y15*(1+Inputs!$B$34/100))/Skills!D15)))/100)*(1+((C2920=TRUE)*F2920*B2948)/100)</f>
        <v/>
      </c>
    </row>
    <row r="2954">
      <c r="A2954" t="inlineStr">
        <is>
          <t>Global Crit Rate Bonus %</t>
        </is>
      </c>
      <c r="B2954">
        <f>IF(Inputs!$B$3&gt;=47,8,0)+((C2934=TRUE)*F2934*IF(AND(Inputs!$B$39&lt;&gt;"pvp",Inputs!$B$44&gt;0),(((R2934-1)*(Skills!Y20*(1+Inputs!$B$34/100))+MIN((Skills!Y20*(1+Inputs!$B$34/100)),MAX(0,Inputs!$B$44-((R2934-1)*Skills!D20))))/Inputs!$B$44),IF(Inputs!$B$39="pvp",MIN((Skills!Y20*(1+Inputs!$B$34/100)),15)/15,(Skills!Y20*(1+Inputs!$B$34/100))/Skills!D20)))</f>
        <v/>
      </c>
    </row>
    <row r="2955">
      <c r="A2955" t="inlineStr">
        <is>
          <t>Global Monster Damage-Taken Bonus %</t>
        </is>
      </c>
      <c r="B2955">
        <f>IF(Inputs!$B$3&gt;=82,15,0)+((C2930=TRUE)*F2930*IF(AND(Inputs!$B$39&lt;&gt;"pvp",Inputs!$B$44&gt;0),(((R2930-1)*(Skills!Y16*(1+Inputs!$B$34/100))+MIN((Skills!Y16*(1+Inputs!$B$34/100)),MAX(0,Inputs!$B$44-((R2930-1)*Skills!D16))))/Inputs!$B$44),IF(Inputs!$B$39="pvp",MIN((Skills!Y16*(1+Inputs!$B$34/100)),15)/15,(Skills!Y16*(1+Inputs!$B$34/100))/Skills!D16)))</f>
        <v/>
      </c>
    </row>
    <row r="2956">
      <c r="A2956" t="inlineStr">
        <is>
          <t>Shadow Partner Average Multiplier</t>
        </is>
      </c>
      <c r="B2956">
        <f>1+((C2925=TRUE)*F2925*I2925*Skills!J11/100)/100</f>
        <v/>
      </c>
    </row>
    <row r="2957">
      <c r="A2957" t="inlineStr">
        <is>
          <t>Global Critical Damage Bonus % (Frailty Curse Mastery Lv.111)</t>
        </is>
      </c>
      <c r="B2957">
        <f>IF(Inputs!$B$3&gt;=111,30,0)*IF(AND(Inputs!$B$39&lt;&gt;"pvp",Inputs!$B$44&gt;0),(((R2930-1)*(Skills!Y16*(1+Inputs!$B$34/100))+MIN((Skills!Y16*(1+Inputs!$B$34/100)),MAX(0,Inputs!$B$44-((R2930-1)*Skills!D16))))/Inputs!$B$44),IF(Inputs!$B$39="pvp",MIN((Skills!Y16*(1+Inputs!$B$34/100)),15)/15,(Skills!Y16*(1+Inputs!$B$34/100))/Skills!D16))</f>
        <v/>
      </c>
    </row>
    <row r="2958">
      <c r="A2958" s="6" t="inlineStr">
        <is>
          <t>TOTAL DPS</t>
        </is>
      </c>
      <c r="B2958" s="6">
        <f>SUM(O2916:O2945)</f>
        <v/>
      </c>
    </row>
    <row r="2959">
      <c r="A2959" t="inlineStr">
        <is>
          <t>Buff-Casting Startup Delay (s, fixed-duration only)</t>
        </is>
      </c>
      <c r="B2959">
        <f>IF(AND(Inputs!$B$39&lt;&gt;"pvp",Inputs!$B$44&gt;0),SUMPRODUCT((Skills!Y2:Y31&gt;0)*(Skills!E2:E31=TRUE)*(C2916:C2945=TRUE))/B2950,0)</f>
        <v/>
      </c>
    </row>
    <row r="2960">
      <c r="A2960" t="inlineStr">
        <is>
          <t>Boss-Only Total DPS (this block's swept value)</t>
        </is>
      </c>
      <c r="B2960">
        <f>SUM(T2916:T2945)</f>
        <v/>
      </c>
    </row>
    <row r="2961">
      <c r="A2961" t="inlineStr">
        <is>
          <t>Normal-Only Total DPS (this block's swept value)</t>
        </is>
      </c>
      <c r="B2961">
        <f>SUM(V2916:V2945)</f>
        <v/>
      </c>
    </row>
    <row r="2963">
      <c r="A2963" s="6" t="inlineStr">
        <is>
          <t>Stat: Cursed Doll (Equip)</t>
        </is>
      </c>
    </row>
    <row r="2964">
      <c r="A2964" s="5" t="inlineStr">
        <is>
          <t>Key</t>
        </is>
      </c>
      <c r="B2964" s="5" t="inlineStr">
        <is>
          <t>Name</t>
        </is>
      </c>
      <c r="C2964" s="5" t="inlineStr">
        <is>
          <t>Unlocked</t>
        </is>
      </c>
      <c r="D2964" s="5" t="inlineStr">
        <is>
          <t>InputLevel</t>
        </is>
      </c>
      <c r="E2964" s="5" t="inlineStr">
        <is>
          <t>Factor</t>
        </is>
      </c>
      <c r="F2964" s="5" t="inlineStr">
        <is>
          <t>CoefficientPercent</t>
        </is>
      </c>
      <c r="G2964" s="5" t="inlineStr">
        <is>
          <t>EffectiveHits</t>
        </is>
      </c>
      <c r="H2964" s="5" t="inlineStr">
        <is>
          <t>ProcProbability</t>
        </is>
      </c>
      <c r="I2964" s="5" t="inlineStr">
        <is>
          <t>MapleHeroMultiplier</t>
        </is>
      </c>
      <c r="J2964" s="5" t="inlineStr">
        <is>
          <t>BaseDamage</t>
        </is>
      </c>
      <c r="K2964" s="5" t="inlineStr">
        <is>
          <t>BaseHitDamage</t>
        </is>
      </c>
      <c r="L2964" s="5" t="inlineStr">
        <is>
          <t>NonCritAvg</t>
        </is>
      </c>
      <c r="M2964" s="5" t="inlineStr">
        <is>
          <t>CritAvg</t>
        </is>
      </c>
      <c r="N2964" s="5" t="inlineStr">
        <is>
          <t>ExpectedDamage(perHit)</t>
        </is>
      </c>
      <c r="O2964" s="5" t="inlineStr">
        <is>
          <t>DPS</t>
        </is>
      </c>
      <c r="P2964" s="5" t="inlineStr">
        <is>
          <t>% of Total</t>
        </is>
      </c>
      <c r="Q2964" s="5" t="inlineStr">
        <is>
          <t>InvCooldown</t>
        </is>
      </c>
      <c r="R2964" s="5" t="inlineStr">
        <is>
          <t>CastsInFight</t>
        </is>
      </c>
      <c r="S2964" s="5" t="inlineStr">
        <is>
          <t>HitRate(perSec)</t>
        </is>
      </c>
      <c r="U2964" t="inlineStr">
        <is>
          <t>helpers</t>
        </is>
      </c>
    </row>
    <row r="2965">
      <c r="A2965">
        <f>Skills!A2</f>
        <v/>
      </c>
      <c r="B2965">
        <f>Skills!B2</f>
        <v/>
      </c>
      <c r="C2965">
        <f>Inputs!$B$3&gt;=100</f>
        <v/>
      </c>
      <c r="D2965" t="inlineStr"/>
      <c r="E2965" t="inlineStr"/>
      <c r="F2965">
        <f>U2969+Skills!O2</f>
        <v/>
      </c>
      <c r="G2965">
        <f>Calc!G2</f>
        <v/>
      </c>
      <c r="H2965">
        <f>Calc!H2</f>
        <v/>
      </c>
      <c r="I2965">
        <f>IF(Skills!AA2&lt;&gt;"",1+(Skills!AA2/10)*(U2966/1000)/100,1)</f>
        <v/>
      </c>
      <c r="J2965">
        <f>((Inputs!$B$6*(1+Inputs!$B$7/100))+(((Inputs!$B$12*(1+Inputs!$B$13/100))-(Inputs!$B$12*(1+Inputs!$B$13/100)))+0.25*(Inputs!$B$14-Inputs!$B$14))*(1+Inputs!$B$7/100))*(F2965/100)</f>
        <v/>
      </c>
      <c r="K2965">
        <f>J2965*(1+((Inputs!$B$12*(1+Inputs!$B$13/100))*0.01+Inputs!$B$14*0.0025)/100)*(1+Inputs!$B$15/100)*(1+Inputs!$B$16/100)*(5000/(6000+Inputs!$B$43*(1-(100*(1-(1-(Inputs!$B$19+0)/100)*(1-CHOOSE(ArtifactsInput!$N$40+1,5,6,7,8,9,10)/100)^(ArtifactsInput!$M$40-ArtifactsInput!$M$40)))/100)))*(1+(Inputs!$B$24+((C2993=TRUE)*(F2993-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2986=TRUE)*(F2986-Calc!F23))+(((IF(AND(ArtifactsInput!$M$42,((Inputs!$B$9+((C2988=TRUE)*(F2988-Calc!F25))+B3003+(ArtifactsInput!$M$24-ArtifactsInput!$M$24)*CHOOSE(ArtifactsInput!$N$24+1,10,12,14,16,18,20)+IF(ArtifactsInput!$M$10,CHOOSE(ArtifactsInput!$N$10+1,15,18,21,24,27,30)*(IF(Inputs!$B$39="pvp",MIN(15,15)/15,IF(AND(Inputs!$B$39&lt;&gt;"pvp",Inputs!$B$44&gt;0),MIN(15,Inputs!$B$44)/(Inputs!$B$44),0))),0)))&gt;=100),MIN(100,((Inputs!$B$9+((C2988=TRUE)*(F2988-Calc!F25))+B3003+(ArtifactsInput!$M$24-ArtifactsInput!$M$24)*CHOOSE(ArtifactsInput!$N$24+1,10,12,14,16,18,20)+IF(ArtifactsInput!$M$10,CHOOSE(ArtifactsInput!$N$10+1,15,18,21,24,27,30)*(IF(Inputs!$B$39="pvp",MIN(15,15)/15,IF(AND(Inputs!$B$39&lt;&gt;"pvp",Inputs!$B$44&gt;0),MIN(15,Inputs!$B$44)/(Inputs!$B$44),0))),0)))-100),0))*CHOOSE(ArtifactsInput!$N$42+1,0.6,0.72,0.84,0.96,1.08,1.2))),Inputs!$B$18+((C2992=TRUE)*(F2992-Calc!F29))+(IF(AND(ArtifactsInput!$M$42,((Inputs!$B$9+((C2988=TRUE)*(F2988-Calc!F25))+B3003+(ArtifactsInput!$M$24-ArtifactsInput!$M$24)*CHOOSE(ArtifactsInput!$N$24+1,10,12,14,16,18,20)+IF(ArtifactsInput!$M$10,CHOOSE(ArtifactsInput!$N$10+1,15,18,21,24,27,30)*(IF(Inputs!$B$39="pvp",MIN(15,15)/15,IF(AND(Inputs!$B$39&lt;&gt;"pvp",Inputs!$B$44&gt;0),MIN(15,Inputs!$B$44)/(Inputs!$B$44),0))),0)))&gt;=100),CHOOSE(ArtifactsInput!$N$42+1,40,48,56,64,72,80),0))))/100)*(((1+(((C2984=TRUE)*F2984*IF(AND(Inputs!$B$39&lt;&gt;"pvp",Inputs!$B$44&gt;0),(((R2984-1)*(Skills!Y21*(1+Inputs!$B$34/100))+MIN((Skills!Y21*(1+Inputs!$B$34/100)),MAX(0,Inputs!$B$44-((R2984-1)*Skills!D21))))/Inputs!$B$44),IF(Inputs!$B$39="pvp",MIN((Skills!Y21*(1+Inputs!$B$34/100)),15)/15,(Skills!Y21*(1+Inputs!$B$34/100))/Skills!D21)))+((C2991=TRUE)*(F2991-Calc!F28))+((C2981=TRUE)*(F2981-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2978=TRUE)*F2978*IF(AND(Inputs!$B$39&lt;&gt;"pvp",Inputs!$B$44&gt;0),(((R2978-1)*(Skills!Y15*(1+Inputs!$B$34/100))+MIN((Skills!Y15*(1+Inputs!$B$34/100)),MAX(0,Inputs!$B$44-((R2978-1)*Skills!D15))))/Inputs!$B$44),IF(Inputs!$B$39="pvp",MIN((Skills!Y15*(1+Inputs!$B$34/100)),15)/15,(Skills!Y15*(1+Inputs!$B$34/100))/Skills!D15)))/100)*(1+((C2969=TRUE)*F2969*B2997)/100))*B3005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2965)</f>
        <v/>
      </c>
      <c r="L2965">
        <f>K2965*(MIN(Inputs!$B$22+((C2987=TRUE)*(F2987-Calc!F24)),(Inputs!$B$23+0+(IF(ArtifactsInput!$M$15,CHOOSE(ArtifactsInput!$N$15+1,25,30,35,40,45,50)/100*(Inputs!$B$11-Inputs!$B$11),0))))/100+(Inputs!$B$23+0+(IF(ArtifactsInput!$M$15,CHOOSE(ArtifactsInput!$N$15+1,25,30,35,40,45,50)/100*(Inputs!$B$11-Inputs!$B$11),0)))/100)/2</f>
        <v/>
      </c>
      <c r="M2965">
        <f>L2965*(1+(Inputs!$B$10+((C2989=TRUE)*(F2989-Calc!F26))+B3006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65">
        <f>L2965*(1-MIN((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2965*(MIN((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65">
        <f>(1-Summary!$B$11)*T2965+Summary!$B$11*V2965</f>
        <v/>
      </c>
      <c r="P2965">
        <f>IF(B3007=0,0,O2965/B3007)</f>
        <v/>
      </c>
      <c r="Q2965" t="n">
        <v>0</v>
      </c>
      <c r="R2965" t="n">
        <v>0</v>
      </c>
      <c r="S2965">
        <f>IFERROR(O2965/N2965,0)</f>
        <v/>
      </c>
      <c r="T2965">
        <f>IF(C2965,(Skills!G2*N2965*B3001)*IF(Inputs!$B$39="pvp",1,1+(Inputs!$B$20+((C2990=TRUE)*(F2990-Calc!F27))+Skills!P2+B3004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2965*(1-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2965*(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2965*(1-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2965*(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65">
        <f>MAX(0,(Inputs!$B$3-100)*3)+Inputs!$B$28+Inputs!$B$29</f>
        <v/>
      </c>
      <c r="V2965">
        <f>IF(C2965,(Skills!G2*N2965*B3001)*IF(Inputs!$B$39="pvp",1,(1+(Inputs!$B$21+Skills!Q2+B3004+(IF(ArtifactsInput!$M$33,CHOOSE(ArtifactsInput!$N$33+1,30,36,42,48,54,60),0))+(IF(AND(ArtifactsInput!$M$35,Inputs!$B$4&lt;&gt;"Chapter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66">
      <c r="A2966">
        <f>Skills!A3</f>
        <v/>
      </c>
      <c r="B2966">
        <f>Skills!B3</f>
        <v/>
      </c>
      <c r="C2966">
        <f>Inputs!$B$3&gt;=35</f>
        <v/>
      </c>
      <c r="D2966">
        <f>IF(Skills!C3=1,60+Inputs!$B$25+Inputs!$B$29,IF(Skills!C3=2,90+Inputs!$B$26+Inputs!$B$29,IF(Skills!C3=3,120+Inputs!$B$27+Inputs!$B$29,MAX(0,(Inputs!$B$3-100)*3)+Inputs!$B$28+Inputs!$B$29)))</f>
        <v/>
      </c>
      <c r="E2966">
        <f>INDEX(FactorTable!$B$2:$Y$301, MATCH(ROUND(MIN(300,MAX(1,D2966)),0), FactorTable!$A$2:$A$301,0), Skills!M3+1)</f>
        <v/>
      </c>
      <c r="F2966">
        <f>IF(Skills!N3=TRUE,(Skills!L3/10)*(E2966/1000),Skills!L3/10)+Skills!O3</f>
        <v/>
      </c>
      <c r="G2966">
        <f>Calc!G3</f>
        <v/>
      </c>
      <c r="H2966">
        <f>Calc!H3</f>
        <v/>
      </c>
      <c r="I2966">
        <f>IF(Skills!AA3&lt;&gt;"",1+(Skills!AA3/10)*(U2966/1000)/100,1)</f>
        <v/>
      </c>
      <c r="J2966">
        <f>((Inputs!$B$6*(1+Inputs!$B$7/100))+(((Inputs!$B$12*(1+Inputs!$B$13/100))-(Inputs!$B$12*(1+Inputs!$B$13/100)))+0.25*(Inputs!$B$14-Inputs!$B$14))*(1+Inputs!$B$7/100))*(F2966/100)</f>
        <v/>
      </c>
      <c r="K2966">
        <f>J2966*(1+((Inputs!$B$12*(1+Inputs!$B$13/100))*0.01+Inputs!$B$14*0.0025)/100)*(1+Inputs!$B$15/100)*(1+Inputs!$B$16/100)*(5000/(6000+Inputs!$B$43*(1-(100*(1-(1-(Inputs!$B$19+0)/100)*(1-CHOOSE(ArtifactsInput!$N$40+1,5,6,7,8,9,10)/100)^(ArtifactsInput!$M$40-ArtifactsInput!$M$40)))/100)))*(1+(Inputs!$B$24+((C2993=TRUE)*(F2993-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2986=TRUE)*(F2986-Calc!F23))+(((IF(AND(ArtifactsInput!$M$42,((Inputs!$B$9+((C2988=TRUE)*(F2988-Calc!F25))+B3003+(ArtifactsInput!$M$24-ArtifactsInput!$M$24)*CHOOSE(ArtifactsInput!$N$24+1,10,12,14,16,18,20)+IF(ArtifactsInput!$M$10,CHOOSE(ArtifactsInput!$N$10+1,15,18,21,24,27,30)*(IF(Inputs!$B$39="pvp",MIN(15,15)/15,IF(AND(Inputs!$B$39&lt;&gt;"pvp",Inputs!$B$44&gt;0),MIN(15,Inputs!$B$44)/(Inputs!$B$44),0))),0)))&gt;=100),MIN(100,((Inputs!$B$9+((C2988=TRUE)*(F2988-Calc!F25))+B3003+(ArtifactsInput!$M$24-ArtifactsInput!$M$24)*CHOOSE(ArtifactsInput!$N$24+1,10,12,14,16,18,20)+IF(ArtifactsInput!$M$10,CHOOSE(ArtifactsInput!$N$10+1,15,18,21,24,27,30)*(IF(Inputs!$B$39="pvp",MIN(15,15)/15,IF(AND(Inputs!$B$39&lt;&gt;"pvp",Inputs!$B$44&gt;0),MIN(15,Inputs!$B$44)/(Inputs!$B$44),0))),0)))-100),0))*CHOOSE(ArtifactsInput!$N$42+1,0.6,0.72,0.84,0.96,1.08,1.2))),Inputs!$B$18+((C2992=TRUE)*(F2992-Calc!F29))+(IF(AND(ArtifactsInput!$M$42,((Inputs!$B$9+((C2988=TRUE)*(F2988-Calc!F25))+B3003+(ArtifactsInput!$M$24-ArtifactsInput!$M$24)*CHOOSE(ArtifactsInput!$N$24+1,10,12,14,16,18,20)+IF(ArtifactsInput!$M$10,CHOOSE(ArtifactsInput!$N$10+1,15,18,21,24,27,30)*(IF(Inputs!$B$39="pvp",MIN(15,15)/15,IF(AND(Inputs!$B$39&lt;&gt;"pvp",Inputs!$B$44&gt;0),MIN(15,Inputs!$B$44)/(Inputs!$B$44),0))),0)))&gt;=100),CHOOSE(ArtifactsInput!$N$42+1,40,48,56,64,72,80),0))))/100)*(((1+(((C2984=TRUE)*F2984*IF(AND(Inputs!$B$39&lt;&gt;"pvp",Inputs!$B$44&gt;0),(((R2984-1)*(Skills!Y21*(1+Inputs!$B$34/100))+MIN((Skills!Y21*(1+Inputs!$B$34/100)),MAX(0,Inputs!$B$44-((R2984-1)*Skills!D21))))/Inputs!$B$44),IF(Inputs!$B$39="pvp",MIN((Skills!Y21*(1+Inputs!$B$34/100)),15)/15,(Skills!Y21*(1+Inputs!$B$34/100))/Skills!D21)))+((C2991=TRUE)*(F2991-Calc!F28))+((C2981=TRUE)*(F2981-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2978=TRUE)*F2978*IF(AND(Inputs!$B$39&lt;&gt;"pvp",Inputs!$B$44&gt;0),(((R2978-1)*(Skills!Y15*(1+Inputs!$B$34/100))+MIN((Skills!Y15*(1+Inputs!$B$34/100)),MAX(0,Inputs!$B$44-((R2978-1)*Skills!D15))))/Inputs!$B$44),IF(Inputs!$B$39="pvp",MIN((Skills!Y15*(1+Inputs!$B$34/100)),15)/15,(Skills!Y15*(1+Inputs!$B$34/100))/Skills!D15)))/100)*(1+((C2969=TRUE)*F2969*B2997)/100))*B3005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2966)</f>
        <v/>
      </c>
      <c r="L2966">
        <f>K2966*(MIN(Inputs!$B$22+((C2987=TRUE)*(F2987-Calc!F24)),(Inputs!$B$23+0+(IF(ArtifactsInput!$M$15,CHOOSE(ArtifactsInput!$N$15+1,25,30,35,40,45,50)/100*(Inputs!$B$11-Inputs!$B$11),0))))/100+(Inputs!$B$23+0+(IF(ArtifactsInput!$M$15,CHOOSE(ArtifactsInput!$N$15+1,25,30,35,40,45,50)/100*(Inputs!$B$11-Inputs!$B$11),0)))/100)/2</f>
        <v/>
      </c>
      <c r="M2966">
        <f>L2966*(1+(Inputs!$B$10+((C2989=TRUE)*(F2989-Calc!F26))+B3006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66">
        <f>L2966*(1-MIN((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2966*(MIN((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66">
        <f>(1-Summary!$B$11)*T2966+Summary!$B$11*V2966</f>
        <v/>
      </c>
      <c r="P2966">
        <f>IF(B3007=0,0,O2966/B3007)</f>
        <v/>
      </c>
      <c r="Q2966">
        <f>IFERROR(1/IF(Inputs!$B$39="pvp",15,MAX(0.1,Skills!D3-IF(Skills!E3=TRUE,Inputs!$B$32,0))),0)</f>
        <v/>
      </c>
      <c r="R2966">
        <f>IF(AND(Inputs!$B$39&lt;&gt;"pvp",Inputs!$B$44&gt;0),IF(MAX(0,Inputs!$B$44-B3008)&lt;=0,0,(INT(MAX(0,Inputs!$B$44-B3008)/IF(Inputs!$B$39="pvp",15,MAX(0.1,Skills!D3-IF(Skills!E3=TRUE,Inputs!$B$32,0))))+1)),0)</f>
        <v/>
      </c>
      <c r="S2966">
        <f>IFERROR(O2966/N2966,0)</f>
        <v/>
      </c>
      <c r="T2966">
        <f>IF(C2966,(H2966*N2966*IF(AND(Inputs!$B$39&lt;&gt;"pvp",Inputs!$B$44&gt;0),((Skills!G3*((R2966-1)*IF(Skills!H3&gt;0,Skills!I3/Skills!H3,1)+IF(Skills!H3&gt;0,MIN(Skills!I3,MAX(0,MAX(0,Inputs!$B$44-B3008)-((R2966-1)*IF(Inputs!$B$39="pvp",15,MAX(0.1,Skills!D3-IF(Skills!E3=TRUE,Inputs!$B$32,0))))))/Skills!H3,1)))/Inputs!$B$44),G2966*Q2966))*IF(Inputs!$B$39="pvp",1,1+(Inputs!$B$20+((C2990=TRUE)*(F2990-Calc!F27))+Skills!P3+B3004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2966*(1-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2966*(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2966*(1-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2966*(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66">
        <f>INDEX(FactorTable!$B$2:$Y$301, MATCH(ROUND(MIN(300,MAX(1,U2965)),0), FactorTable!$A$2:$A$301,0), 24)</f>
        <v/>
      </c>
      <c r="V2966">
        <f>IF(C2966,(H2966*N2966*IF(AND(Inputs!$B$39&lt;&gt;"pvp",Inputs!$B$44&gt;0),((Skills!G3*((R2966-1)*IF(Skills!H3&gt;0,Skills!I3/Skills!H3,1)+IF(Skills!H3&gt;0,MIN(Skills!I3,MAX(0,MAX(0,Inputs!$B$44-B3008)-((R2966-1)*IF(Inputs!$B$39="pvp",15,MAX(0.1,Skills!D3-IF(Skills!E3=TRUE,Inputs!$B$32,0))))))/Skills!H3,1)))/Inputs!$B$44),G2966*Q2966))*IF(Inputs!$B$39="pvp",1,(1+(Inputs!$B$21+Skills!Q3+B3004+(IF(ArtifactsInput!$M$33,CHOOSE(ArtifactsInput!$N$33+1,30,36,42,48,54,60)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67">
      <c r="A2967">
        <f>Skills!A4</f>
        <v/>
      </c>
      <c r="B2967">
        <f>Skills!B4</f>
        <v/>
      </c>
      <c r="C2967">
        <f>Inputs!$B$3&gt;=40</f>
        <v/>
      </c>
      <c r="D2967">
        <f>IF(Skills!C4=1,60+Inputs!$B$25+Inputs!$B$29,IF(Skills!C4=2,90+Inputs!$B$26+Inputs!$B$29,IF(Skills!C4=3,120+Inputs!$B$27+Inputs!$B$29,MAX(0,(Inputs!$B$3-100)*3)+Inputs!$B$28+Inputs!$B$29)))</f>
        <v/>
      </c>
      <c r="E2967">
        <f>INDEX(FactorTable!$B$2:$Y$301, MATCH(ROUND(MIN(300,MAX(1,D2967)),0), FactorTable!$A$2:$A$301,0), Skills!M4+1)</f>
        <v/>
      </c>
      <c r="F2967">
        <f>IF(Skills!N4=TRUE,(Skills!L4/10)*(E2967/1000),Skills!L4/10)+Skills!O4</f>
        <v/>
      </c>
      <c r="G2967">
        <f>Calc!G4</f>
        <v/>
      </c>
      <c r="H2967">
        <f>Calc!H4</f>
        <v/>
      </c>
      <c r="I2967">
        <f>IF(Skills!AA4&lt;&gt;"",1+(Skills!AA4/10)*(U2966/1000)/100,1)</f>
        <v/>
      </c>
      <c r="J2967">
        <f>((Inputs!$B$6*(1+Inputs!$B$7/100))+(((Inputs!$B$12*(1+Inputs!$B$13/100))-(Inputs!$B$12*(1+Inputs!$B$13/100)))+0.25*(Inputs!$B$14-Inputs!$B$14))*(1+Inputs!$B$7/100))*(F2967/100)</f>
        <v/>
      </c>
      <c r="K2967">
        <f>J2967*(1+((Inputs!$B$12*(1+Inputs!$B$13/100))*0.01+Inputs!$B$14*0.0025)/100)*(1+Inputs!$B$15/100)*(1+Inputs!$B$16/100)*(5000/(6000+Inputs!$B$43*(1-(100*(1-(1-(Inputs!$B$19+0)/100)*(1-CHOOSE(ArtifactsInput!$N$40+1,5,6,7,8,9,10)/100)^(ArtifactsInput!$M$40-ArtifactsInput!$M$40)))/100)))*(1+(Inputs!$B$24+((C2993=TRUE)*(F2993-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2986=TRUE)*(F2986-Calc!F23))+(((IF(AND(ArtifactsInput!$M$42,((Inputs!$B$9+((C2988=TRUE)*(F2988-Calc!F25))+B3003+(ArtifactsInput!$M$24-ArtifactsInput!$M$24)*CHOOSE(ArtifactsInput!$N$24+1,10,12,14,16,18,20)+IF(ArtifactsInput!$M$10,CHOOSE(ArtifactsInput!$N$10+1,15,18,21,24,27,30)*(IF(Inputs!$B$39="pvp",MIN(15,15)/15,IF(AND(Inputs!$B$39&lt;&gt;"pvp",Inputs!$B$44&gt;0),MIN(15,Inputs!$B$44)/(Inputs!$B$44),0))),0)))&gt;=100),MIN(100,((Inputs!$B$9+((C2988=TRUE)*(F2988-Calc!F25))+B3003+(ArtifactsInput!$M$24-ArtifactsInput!$M$24)*CHOOSE(ArtifactsInput!$N$24+1,10,12,14,16,18,20)+IF(ArtifactsInput!$M$10,CHOOSE(ArtifactsInput!$N$10+1,15,18,21,24,27,30)*(IF(Inputs!$B$39="pvp",MIN(15,15)/15,IF(AND(Inputs!$B$39&lt;&gt;"pvp",Inputs!$B$44&gt;0),MIN(15,Inputs!$B$44)/(Inputs!$B$44),0))),0)))-100),0))*CHOOSE(ArtifactsInput!$N$42+1,0.6,0.72,0.84,0.96,1.08,1.2))),Inputs!$B$18+((C2992=TRUE)*(F2992-Calc!F29))+(IF(AND(ArtifactsInput!$M$42,((Inputs!$B$9+((C2988=TRUE)*(F2988-Calc!F25))+B3003+(ArtifactsInput!$M$24-ArtifactsInput!$M$24)*CHOOSE(ArtifactsInput!$N$24+1,10,12,14,16,18,20)+IF(ArtifactsInput!$M$10,CHOOSE(ArtifactsInput!$N$10+1,15,18,21,24,27,30)*(IF(Inputs!$B$39="pvp",MIN(15,15)/15,IF(AND(Inputs!$B$39&lt;&gt;"pvp",Inputs!$B$44&gt;0),MIN(15,Inputs!$B$44)/(Inputs!$B$44),0))),0)))&gt;=100),CHOOSE(ArtifactsInput!$N$42+1,40,48,56,64,72,80),0))))/100)*(((1+(((C2984=TRUE)*F2984*IF(AND(Inputs!$B$39&lt;&gt;"pvp",Inputs!$B$44&gt;0),(((R2984-1)*(Skills!Y21*(1+Inputs!$B$34/100))+MIN((Skills!Y21*(1+Inputs!$B$34/100)),MAX(0,Inputs!$B$44-((R2984-1)*Skills!D21))))/Inputs!$B$44),IF(Inputs!$B$39="pvp",MIN((Skills!Y21*(1+Inputs!$B$34/100)),15)/15,(Skills!Y21*(1+Inputs!$B$34/100))/Skills!D21)))+((C2991=TRUE)*(F2991-Calc!F28))+((C2981=TRUE)*(F2981-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2978=TRUE)*F2978*IF(AND(Inputs!$B$39&lt;&gt;"pvp",Inputs!$B$44&gt;0),(((R2978-1)*(Skills!Y15*(1+Inputs!$B$34/100))+MIN((Skills!Y15*(1+Inputs!$B$34/100)),MAX(0,Inputs!$B$44-((R2978-1)*Skills!D15))))/Inputs!$B$44),IF(Inputs!$B$39="pvp",MIN((Skills!Y15*(1+Inputs!$B$34/100)),15)/15,(Skills!Y15*(1+Inputs!$B$34/100))/Skills!D15)))/100)*(1+((C2969=TRUE)*F2969*B2997)/100))*B3005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2967)</f>
        <v/>
      </c>
      <c r="L2967">
        <f>K2967*(MIN(Inputs!$B$22+((C2987=TRUE)*(F2987-Calc!F24)),(Inputs!$B$23+0+(IF(ArtifactsInput!$M$15,CHOOSE(ArtifactsInput!$N$15+1,25,30,35,40,45,50)/100*(Inputs!$B$11-Inputs!$B$11),0))))/100+(Inputs!$B$23+0+(IF(ArtifactsInput!$M$15,CHOOSE(ArtifactsInput!$N$15+1,25,30,35,40,45,50)/100*(Inputs!$B$11-Inputs!$B$11),0)))/100)/2</f>
        <v/>
      </c>
      <c r="M2967">
        <f>L2967*(1+(Inputs!$B$10+((C2989=TRUE)*(F2989-Calc!F26))+B3006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67">
        <f>L2967*(1-MIN((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2967*(MIN((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67">
        <f>(1-Summary!$B$11)*T2967+Summary!$B$11*V2967</f>
        <v/>
      </c>
      <c r="P2967">
        <f>IF(B3007=0,0,O2967/B3007)</f>
        <v/>
      </c>
      <c r="Q2967">
        <f>IFERROR(1/IF(Inputs!$B$39="pvp",15,MAX(0.1,Skills!D4-IF(Skills!E4=TRUE,Inputs!$B$32,0))),0)</f>
        <v/>
      </c>
      <c r="R2967">
        <f>IF(AND(Inputs!$B$39&lt;&gt;"pvp",Inputs!$B$44&gt;0),IF(MAX(0,Inputs!$B$44-B3008)&lt;=0,0,(INT(MAX(0,Inputs!$B$44-B3008)/IF(Inputs!$B$39="pvp",15,MAX(0.1,Skills!D4-IF(Skills!E4=TRUE,Inputs!$B$32,0))))+1)),0)</f>
        <v/>
      </c>
      <c r="S2967">
        <f>IFERROR(O2967/N2967,0)</f>
        <v/>
      </c>
      <c r="T2967">
        <f>IF(C2967,(H2967*N2967*IF(AND(Inputs!$B$39&lt;&gt;"pvp",Inputs!$B$44&gt;0),((Skills!G4*((R2967-1)*IF(Skills!H4&gt;0,Skills!I4/Skills!H4,1)+IF(Skills!H4&gt;0,MIN(Skills!I4,MAX(0,MAX(0,Inputs!$B$44-B3008)-((R2967-1)*IF(Inputs!$B$39="pvp",15,MAX(0.1,Skills!D4-IF(Skills!E4=TRUE,Inputs!$B$32,0))))))/Skills!H4,1)))/Inputs!$B$44),G2967*Q2967))*IF(Inputs!$B$39="pvp",1,1+(Inputs!$B$20+((C2990=TRUE)*(F2990-Calc!F27))+Skills!P4+B3004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2967*(1-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2967*(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2967*(1-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2967*(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67">
        <f>MAX(0,(Inputs!$B$3-100)*3)+Inputs!$B$28+Inputs!$B$29</f>
        <v/>
      </c>
      <c r="V2967">
        <f>IF(C2967,(H2967*N2967*IF(AND(Inputs!$B$39&lt;&gt;"pvp",Inputs!$B$44&gt;0),((Skills!G4*((R2967-1)*IF(Skills!H4&gt;0,Skills!I4/Skills!H4,1)+IF(Skills!H4&gt;0,MIN(Skills!I4,MAX(0,MAX(0,Inputs!$B$44-B3008)-((R2967-1)*IF(Inputs!$B$39="pvp",15,MAX(0.1,Skills!D4-IF(Skills!E4=TRUE,Inputs!$B$32,0))))))/Skills!H4,1)))/Inputs!$B$44),G2967*Q2967))*IF(Inputs!$B$39="pvp",1,(1+(Inputs!$B$21+Skills!Q4+B3004+(IF(ArtifactsInput!$M$33,CHOOSE(ArtifactsInput!$N$33+1,30,36,42,48,54,60)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68">
      <c r="A2968">
        <f>Skills!A5</f>
        <v/>
      </c>
      <c r="B2968">
        <f>Skills!B5</f>
        <v/>
      </c>
      <c r="C2968">
        <f>Inputs!$B$3&gt;=63</f>
        <v/>
      </c>
      <c r="D2968">
        <f>IF(Skills!C5=1,60+Inputs!$B$25+Inputs!$B$29,IF(Skills!C5=2,90+Inputs!$B$26+Inputs!$B$29,IF(Skills!C5=3,120+Inputs!$B$27+Inputs!$B$29,MAX(0,(Inputs!$B$3-100)*3)+Inputs!$B$28+Inputs!$B$29)))</f>
        <v/>
      </c>
      <c r="E2968">
        <f>INDEX(FactorTable!$B$2:$Y$301, MATCH(ROUND(MIN(300,MAX(1,D2968)),0), FactorTable!$A$2:$A$301,0), Skills!M5+1)</f>
        <v/>
      </c>
      <c r="F2968">
        <f>IF(Skills!N5=TRUE,(Skills!L5/10)*(E2968/1000),Skills!L5/10)+Skills!O5</f>
        <v/>
      </c>
      <c r="G2968">
        <f>Calc!G5</f>
        <v/>
      </c>
      <c r="H2968">
        <f>Calc!H5</f>
        <v/>
      </c>
      <c r="I2968">
        <f>IF(Skills!AA5&lt;&gt;"",1+(Skills!AA5/10)*(U2966/1000)/100,1)</f>
        <v/>
      </c>
      <c r="J2968">
        <f>((Inputs!$B$6*(1+Inputs!$B$7/100))+(((Inputs!$B$12*(1+Inputs!$B$13/100))-(Inputs!$B$12*(1+Inputs!$B$13/100)))+0.25*(Inputs!$B$14-Inputs!$B$14))*(1+Inputs!$B$7/100))*(F2968/100)</f>
        <v/>
      </c>
      <c r="K2968">
        <f>J2968*(1+((Inputs!$B$12*(1+Inputs!$B$13/100))*0.01+Inputs!$B$14*0.0025)/100)*(1+Inputs!$B$15/100)*(1+Inputs!$B$16/100)*(5000/(6000+Inputs!$B$43*(1-(100*(1-(1-(Inputs!$B$19+0)/100)*(1-CHOOSE(ArtifactsInput!$N$40+1,5,6,7,8,9,10)/100)^(ArtifactsInput!$M$40-ArtifactsInput!$M$40)))/100)))*(1+(Inputs!$B$24+((C2993=TRUE)*(F2993-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2986=TRUE)*(F2986-Calc!F23))+(((IF(AND(ArtifactsInput!$M$42,((Inputs!$B$9+((C2988=TRUE)*(F2988-Calc!F25))+B3003+(ArtifactsInput!$M$24-ArtifactsInput!$M$24)*CHOOSE(ArtifactsInput!$N$24+1,10,12,14,16,18,20)+IF(ArtifactsInput!$M$10,CHOOSE(ArtifactsInput!$N$10+1,15,18,21,24,27,30)*(IF(Inputs!$B$39="pvp",MIN(15,15)/15,IF(AND(Inputs!$B$39&lt;&gt;"pvp",Inputs!$B$44&gt;0),MIN(15,Inputs!$B$44)/(Inputs!$B$44),0))),0)))&gt;=100),MIN(100,((Inputs!$B$9+((C2988=TRUE)*(F2988-Calc!F25))+B3003+(ArtifactsInput!$M$24-ArtifactsInput!$M$24)*CHOOSE(ArtifactsInput!$N$24+1,10,12,14,16,18,20)+IF(ArtifactsInput!$M$10,CHOOSE(ArtifactsInput!$N$10+1,15,18,21,24,27,30)*(IF(Inputs!$B$39="pvp",MIN(15,15)/15,IF(AND(Inputs!$B$39&lt;&gt;"pvp",Inputs!$B$44&gt;0),MIN(15,Inputs!$B$44)/(Inputs!$B$44),0))),0)))-100),0))*CHOOSE(ArtifactsInput!$N$42+1,0.6,0.72,0.84,0.96,1.08,1.2))),Inputs!$B$18+((C2992=TRUE)*(F2992-Calc!F29))+(IF(AND(ArtifactsInput!$M$42,((Inputs!$B$9+((C2988=TRUE)*(F2988-Calc!F25))+B3003+(ArtifactsInput!$M$24-ArtifactsInput!$M$24)*CHOOSE(ArtifactsInput!$N$24+1,10,12,14,16,18,20)+IF(ArtifactsInput!$M$10,CHOOSE(ArtifactsInput!$N$10+1,15,18,21,24,27,30)*(IF(Inputs!$B$39="pvp",MIN(15,15)/15,IF(AND(Inputs!$B$39&lt;&gt;"pvp",Inputs!$B$44&gt;0),MIN(15,Inputs!$B$44)/(Inputs!$B$44),0))),0)))&gt;=100),CHOOSE(ArtifactsInput!$N$42+1,40,48,56,64,72,80),0))))/100)*(((1+(((C2984=TRUE)*F2984*IF(AND(Inputs!$B$39&lt;&gt;"pvp",Inputs!$B$44&gt;0),(((R2984-1)*(Skills!Y21*(1+Inputs!$B$34/100))+MIN((Skills!Y21*(1+Inputs!$B$34/100)),MAX(0,Inputs!$B$44-((R2984-1)*Skills!D21))))/Inputs!$B$44),IF(Inputs!$B$39="pvp",MIN((Skills!Y21*(1+Inputs!$B$34/100)),15)/15,(Skills!Y21*(1+Inputs!$B$34/100))/Skills!D21)))+((C2991=TRUE)*(F2991-Calc!F28))+((C2981=TRUE)*(F2981-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2978=TRUE)*F2978*IF(AND(Inputs!$B$39&lt;&gt;"pvp",Inputs!$B$44&gt;0),(((R2978-1)*(Skills!Y15*(1+Inputs!$B$34/100))+MIN((Skills!Y15*(1+Inputs!$B$34/100)),MAX(0,Inputs!$B$44-((R2978-1)*Skills!D15))))/Inputs!$B$44),IF(Inputs!$B$39="pvp",MIN((Skills!Y15*(1+Inputs!$B$34/100)),15)/15,(Skills!Y15*(1+Inputs!$B$34/100))/Skills!D15)))/100)*(1+((C2969=TRUE)*F2969*B2997)/100))*B3005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2968)</f>
        <v/>
      </c>
      <c r="L2968">
        <f>K2968*(MIN(Inputs!$B$22+((C2987=TRUE)*(F2987-Calc!F24)),(Inputs!$B$23+0+(IF(ArtifactsInput!$M$15,CHOOSE(ArtifactsInput!$N$15+1,25,30,35,40,45,50)/100*(Inputs!$B$11-Inputs!$B$11),0))))/100+(Inputs!$B$23+0+(IF(ArtifactsInput!$M$15,CHOOSE(ArtifactsInput!$N$15+1,25,30,35,40,45,50)/100*(Inputs!$B$11-Inputs!$B$11),0)))/100)/2</f>
        <v/>
      </c>
      <c r="M2968">
        <f>L2968*(1+(Inputs!$B$10+((C2989=TRUE)*(F2989-Calc!F26))+B3006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68">
        <f>L2968*(1-MIN((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2968*(MIN((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68">
        <f>(1-Summary!$B$11)*T2968+Summary!$B$11*V2968</f>
        <v/>
      </c>
      <c r="P2968">
        <f>IF(B3007=0,0,O2968/B3007)</f>
        <v/>
      </c>
      <c r="Q2968">
        <f>IFERROR(1/IF(Inputs!$B$39="pvp",15,MAX(0.1,Skills!D5-IF(Skills!E5=TRUE,Inputs!$B$32,0))),0)</f>
        <v/>
      </c>
      <c r="R2968">
        <f>IF(AND(Inputs!$B$39&lt;&gt;"pvp",Inputs!$B$44&gt;0),IF(MAX(0,Inputs!$B$44-B3008)&lt;=0,0,(INT(MAX(0,Inputs!$B$44-B3008)/IF(Inputs!$B$39="pvp",15,MAX(0.1,Skills!D5-IF(Skills!E5=TRUE,Inputs!$B$32,0))))+1)),0)</f>
        <v/>
      </c>
      <c r="S2968">
        <f>IFERROR(O2968/N2968,0)</f>
        <v/>
      </c>
      <c r="T2968">
        <f>IF(C2968,(H2968*N2968*IF(AND(Inputs!$B$39&lt;&gt;"pvp",Inputs!$B$44&gt;0),((Skills!G5*((R2968-1)*IF(Skills!H5&gt;0,Skills!I5/Skills!H5,1)+IF(Skills!H5&gt;0,MIN(Skills!I5,MAX(0,MAX(0,Inputs!$B$44-B3008)-((R2968-1)*IF(Inputs!$B$39="pvp",15,MAX(0.1,Skills!D5-IF(Skills!E5=TRUE,Inputs!$B$32,0))))))/Skills!H5,1)))/Inputs!$B$44),G2968*Q2968))*IF(Inputs!$B$39="pvp",1,1+(Inputs!$B$20+((C2990=TRUE)*(F2990-Calc!F27))+Skills!P5+B3004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2968*(1-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2968*(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2968*(1-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2968*(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68">
        <f>INDEX(FactorTable!$B$2:$Y$301, MATCH(ROUND(MIN(300,MAX(1,U2967)),0), FactorTable!$A$2:$A$301,0), 22)</f>
        <v/>
      </c>
      <c r="V2968">
        <f>IF(C2968,(H2968*N2968*IF(AND(Inputs!$B$39&lt;&gt;"pvp",Inputs!$B$44&gt;0),((Skills!G5*((R2968-1)*IF(Skills!H5&gt;0,Skills!I5/Skills!H5,1)+IF(Skills!H5&gt;0,MIN(Skills!I5,MAX(0,MAX(0,Inputs!$B$44-B3008)-((R2968-1)*IF(Inputs!$B$39="pvp",15,MAX(0.1,Skills!D5-IF(Skills!E5=TRUE,Inputs!$B$32,0))))))/Skills!H5,1)))/Inputs!$B$44),G2968*Q2968))*IF(Inputs!$B$39="pvp",1,(1+(Inputs!$B$21+Skills!Q5+B3004+(IF(ArtifactsInput!$M$33,CHOOSE(ArtifactsInput!$N$33+1,30,36,42,48,54,60)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69">
      <c r="A2969">
        <f>Skills!A6</f>
        <v/>
      </c>
      <c r="B2969">
        <f>Skills!B6</f>
        <v/>
      </c>
      <c r="C2969">
        <f>Inputs!$B$3&gt;=66</f>
        <v/>
      </c>
      <c r="D2969">
        <f>IF(Skills!C6=1,60+Inputs!$B$25+Inputs!$B$29,IF(Skills!C6=2,90+Inputs!$B$26+Inputs!$B$29,IF(Skills!C6=3,120+Inputs!$B$27+Inputs!$B$29,MAX(0,(Inputs!$B$3-100)*3)+Inputs!$B$28+Inputs!$B$29)))</f>
        <v/>
      </c>
      <c r="E2969">
        <f>INDEX(FactorTable!$B$2:$Y$301, MATCH(ROUND(MIN(300,MAX(1,D2969)),0), FactorTable!$A$2:$A$301,0), Skills!M6+1)</f>
        <v/>
      </c>
      <c r="F2969">
        <f>IF(Skills!N6=TRUE,(Skills!L6/10)*(E2969/1000),Skills!L6/10)+Skills!O6</f>
        <v/>
      </c>
      <c r="G2969">
        <f>Calc!G6</f>
        <v/>
      </c>
      <c r="H2969">
        <f>Calc!H6</f>
        <v/>
      </c>
      <c r="I2969">
        <f>IF(Skills!AA6&lt;&gt;"",1+(Skills!AA6/10)*(U2966/1000)/100,1)</f>
        <v/>
      </c>
      <c r="J2969" t="inlineStr"/>
      <c r="K2969" t="inlineStr"/>
      <c r="L2969" t="inlineStr"/>
      <c r="M2969" t="inlineStr"/>
      <c r="N2969" t="inlineStr"/>
      <c r="O2969">
        <f>(1-Summary!$B$11)*T2969+Summary!$B$11*V2969</f>
        <v/>
      </c>
      <c r="P2969">
        <f>IF(B3007=0,0,O2969/B3007)</f>
        <v/>
      </c>
      <c r="Q2969" t="n">
        <v>0</v>
      </c>
      <c r="R2969" t="n">
        <v>0</v>
      </c>
      <c r="S2969">
        <f>IFERROR(O2969/N2969,0)</f>
        <v/>
      </c>
      <c r="T2969" t="n">
        <v>0</v>
      </c>
      <c r="U2969">
        <f>290*U2968/1000</f>
        <v/>
      </c>
      <c r="V2969" t="n">
        <v>0</v>
      </c>
    </row>
    <row r="2970">
      <c r="A2970">
        <f>Skills!A7</f>
        <v/>
      </c>
      <c r="B2970">
        <f>Skills!B7</f>
        <v/>
      </c>
      <c r="C2970">
        <f>Inputs!$B$3&gt;=66</f>
        <v/>
      </c>
      <c r="D2970">
        <f>IF(Skills!C7=1,60+Inputs!$B$25+Inputs!$B$29,IF(Skills!C7=2,90+Inputs!$B$26+Inputs!$B$29,IF(Skills!C7=3,120+Inputs!$B$27+Inputs!$B$29,MAX(0,(Inputs!$B$3-100)*3)+Inputs!$B$28+Inputs!$B$29)))</f>
        <v/>
      </c>
      <c r="E2970">
        <f>INDEX(FactorTable!$B$2:$Y$301, MATCH(ROUND(MIN(300,MAX(1,D2970)),0), FactorTable!$A$2:$A$301,0), Skills!M7+1)</f>
        <v/>
      </c>
      <c r="F2970">
        <f>IF(Skills!N7=TRUE,(Skills!L7/10)*(E2970/1000),Skills!L7/10)+Skills!O7</f>
        <v/>
      </c>
      <c r="G2970">
        <f>Calc!G7</f>
        <v/>
      </c>
      <c r="H2970">
        <f>Calc!H7</f>
        <v/>
      </c>
      <c r="I2970">
        <f>IF(Skills!AA7&lt;&gt;"",1+(Skills!AA7/10)*(U2966/1000)/100,1)</f>
        <v/>
      </c>
      <c r="J2970" t="inlineStr"/>
      <c r="K2970" t="inlineStr"/>
      <c r="L2970" t="inlineStr"/>
      <c r="M2970" t="inlineStr"/>
      <c r="N2970" t="inlineStr"/>
      <c r="O2970">
        <f>(1-Summary!$B$11)*T2970+Summary!$B$11*V2970</f>
        <v/>
      </c>
      <c r="P2970">
        <f>IF(B3007=0,0,O2970/B3007)</f>
        <v/>
      </c>
      <c r="Q2970" t="n">
        <v>0</v>
      </c>
      <c r="R2970" t="n">
        <v>0</v>
      </c>
      <c r="S2970">
        <f>IFERROR(O2970/N2970,0)</f>
        <v/>
      </c>
      <c r="T2970" t="n">
        <v>0</v>
      </c>
      <c r="V2970" t="n">
        <v>0</v>
      </c>
    </row>
    <row r="2971">
      <c r="A2971">
        <f>Skills!A8</f>
        <v/>
      </c>
      <c r="B2971">
        <f>Skills!B8</f>
        <v/>
      </c>
      <c r="C2971">
        <f>Inputs!$B$3&gt;=69</f>
        <v/>
      </c>
      <c r="D2971">
        <f>IF(Skills!C8=1,60+Inputs!$B$25+Inputs!$B$29,IF(Skills!C8=2,90+Inputs!$B$26+Inputs!$B$29,IF(Skills!C8=3,120+Inputs!$B$27+Inputs!$B$29,MAX(0,(Inputs!$B$3-100)*3)+Inputs!$B$28+Inputs!$B$29)))</f>
        <v/>
      </c>
      <c r="E2971">
        <f>INDEX(FactorTable!$B$2:$Y$301, MATCH(ROUND(MIN(300,MAX(1,D2971)),0), FactorTable!$A$2:$A$301,0), Skills!M8+1)</f>
        <v/>
      </c>
      <c r="F2971">
        <f>IF(Skills!N8=TRUE,(Skills!L8/10)*(E2971/1000),Skills!L8/10)+Skills!O8</f>
        <v/>
      </c>
      <c r="G2971">
        <f>Calc!G8</f>
        <v/>
      </c>
      <c r="H2971">
        <f>Calc!H8</f>
        <v/>
      </c>
      <c r="I2971">
        <f>IF(Skills!AA8&lt;&gt;"",1+(Skills!AA8/10)*(U2966/1000)/100,1)</f>
        <v/>
      </c>
      <c r="J2971">
        <f>((Inputs!$B$6*(1+Inputs!$B$7/100))+(((Inputs!$B$12*(1+Inputs!$B$13/100))-(Inputs!$B$12*(1+Inputs!$B$13/100)))+0.25*(Inputs!$B$14-Inputs!$B$14))*(1+Inputs!$B$7/100))*(F2971/100)</f>
        <v/>
      </c>
      <c r="K2971">
        <f>J2971*(1+((Inputs!$B$12*(1+Inputs!$B$13/100))*0.01+Inputs!$B$14*0.0025)/100)*(1+Inputs!$B$15/100)*(1+Inputs!$B$16/100)*(5000/(6000+Inputs!$B$43*(1-(100*(1-(1-(Inputs!$B$19+0)/100)*(1-CHOOSE(ArtifactsInput!$N$40+1,5,6,7,8,9,10)/100)^(ArtifactsInput!$M$40-ArtifactsInput!$M$40)))/100)))*(1+(Inputs!$B$24+((C2993=TRUE)*(F2993-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2986=TRUE)*(F2986-Calc!F23))+(((IF(AND(ArtifactsInput!$M$42,((Inputs!$B$9+((C2988=TRUE)*(F2988-Calc!F25))+B3003+(ArtifactsInput!$M$24-ArtifactsInput!$M$24)*CHOOSE(ArtifactsInput!$N$24+1,10,12,14,16,18,20)+IF(ArtifactsInput!$M$10,CHOOSE(ArtifactsInput!$N$10+1,15,18,21,24,27,30)*(IF(Inputs!$B$39="pvp",MIN(15,15)/15,IF(AND(Inputs!$B$39&lt;&gt;"pvp",Inputs!$B$44&gt;0),MIN(15,Inputs!$B$44)/(Inputs!$B$44),0))),0)))&gt;=100),MIN(100,((Inputs!$B$9+((C2988=TRUE)*(F2988-Calc!F25))+B3003+(ArtifactsInput!$M$24-ArtifactsInput!$M$24)*CHOOSE(ArtifactsInput!$N$24+1,10,12,14,16,18,20)+IF(ArtifactsInput!$M$10,CHOOSE(ArtifactsInput!$N$10+1,15,18,21,24,27,30)*(IF(Inputs!$B$39="pvp",MIN(15,15)/15,IF(AND(Inputs!$B$39&lt;&gt;"pvp",Inputs!$B$44&gt;0),MIN(15,Inputs!$B$44)/(Inputs!$B$44),0))),0)))-100),0))*CHOOSE(ArtifactsInput!$N$42+1,0.6,0.72,0.84,0.96,1.08,1.2))),Inputs!$B$18+((C2992=TRUE)*(F2992-Calc!F29))+(IF(AND(ArtifactsInput!$M$42,((Inputs!$B$9+((C2988=TRUE)*(F2988-Calc!F25))+B3003+(ArtifactsInput!$M$24-ArtifactsInput!$M$24)*CHOOSE(ArtifactsInput!$N$24+1,10,12,14,16,18,20)+IF(ArtifactsInput!$M$10,CHOOSE(ArtifactsInput!$N$10+1,15,18,21,24,27,30)*(IF(Inputs!$B$39="pvp",MIN(15,15)/15,IF(AND(Inputs!$B$39&lt;&gt;"pvp",Inputs!$B$44&gt;0),MIN(15,Inputs!$B$44)/(Inputs!$B$44),0))),0)))&gt;=100),CHOOSE(ArtifactsInput!$N$42+1,40,48,56,64,72,80),0))))/100)*(((1+(((C2984=TRUE)*F2984*IF(AND(Inputs!$B$39&lt;&gt;"pvp",Inputs!$B$44&gt;0),(((R2984-1)*(Skills!Y21*(1+Inputs!$B$34/100))+MIN((Skills!Y21*(1+Inputs!$B$34/100)),MAX(0,Inputs!$B$44-((R2984-1)*Skills!D21))))/Inputs!$B$44),IF(Inputs!$B$39="pvp",MIN((Skills!Y21*(1+Inputs!$B$34/100)),15)/15,(Skills!Y21*(1+Inputs!$B$34/100))/Skills!D21)))+((C2991=TRUE)*(F2991-Calc!F28))+((C2981=TRUE)*(F2981-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2978=TRUE)*F2978*IF(AND(Inputs!$B$39&lt;&gt;"pvp",Inputs!$B$44&gt;0),(((R2978-1)*(Skills!Y15*(1+Inputs!$B$34/100))+MIN((Skills!Y15*(1+Inputs!$B$34/100)),MAX(0,Inputs!$B$44-((R2978-1)*Skills!D15))))/Inputs!$B$44),IF(Inputs!$B$39="pvp",MIN((Skills!Y15*(1+Inputs!$B$34/100)),15)/15,(Skills!Y15*(1+Inputs!$B$34/100))/Skills!D15)))/100)*(1+((C2969=TRUE)*F2969*B2997)/100))*B3005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2971)</f>
        <v/>
      </c>
      <c r="L2971">
        <f>K2971*(MIN(Inputs!$B$22+((C2987=TRUE)*(F2987-Calc!F24)),(Inputs!$B$23+0+(IF(ArtifactsInput!$M$15,CHOOSE(ArtifactsInput!$N$15+1,25,30,35,40,45,50)/100*(Inputs!$B$11-Inputs!$B$11),0))))/100+(Inputs!$B$23+0+(IF(ArtifactsInput!$M$15,CHOOSE(ArtifactsInput!$N$15+1,25,30,35,40,45,50)/100*(Inputs!$B$11-Inputs!$B$11),0)))/100)/2</f>
        <v/>
      </c>
      <c r="M2971">
        <f>L2971*(1+(Inputs!$B$10+((C2989=TRUE)*(F2989-Calc!F26))+B3006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71">
        <f>L2971*(1-MIN((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2971*(MIN((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71">
        <f>(1-Summary!$B$11)*T2971+Summary!$B$11*V2971</f>
        <v/>
      </c>
      <c r="P2971">
        <f>IF(B3007=0,0,O2971/B3007)</f>
        <v/>
      </c>
      <c r="Q2971">
        <f>IFERROR(1/IF(Inputs!$B$39="pvp",15,MAX(0.1,Skills!D8-IF(Skills!E8=TRUE,Inputs!$B$32,0))),0)</f>
        <v/>
      </c>
      <c r="R2971">
        <f>IF(AND(Inputs!$B$39&lt;&gt;"pvp",Inputs!$B$44&gt;0),IF(MAX(0,Inputs!$B$44-B3008)&lt;=0,0,(INT(MAX(0,Inputs!$B$44-B3008)/IF(Inputs!$B$39="pvp",15,MAX(0.1,Skills!D8-IF(Skills!E8=TRUE,Inputs!$B$32,0))))+1)),0)</f>
        <v/>
      </c>
      <c r="S2971">
        <f>IFERROR(O2971/N2971,0)</f>
        <v/>
      </c>
      <c r="T2971">
        <f>IF(C2971,(H2971*N2971*IF(AND(Inputs!$B$39&lt;&gt;"pvp",Inputs!$B$44&gt;0),((Skills!G8*((R2971-1)*IF(Skills!H8&gt;0,Skills!I8/Skills!H8,1)+IF(Skills!H8&gt;0,MIN(Skills!I8,MAX(0,MAX(0,Inputs!$B$44-B3008)-((R2971-1)*IF(Inputs!$B$39="pvp",15,MAX(0.1,Skills!D8-IF(Skills!E8=TRUE,Inputs!$B$32,0))))))/Skills!H8,1)))/Inputs!$B$44),G2971*Q2971))*IF(Inputs!$B$39="pvp",1,1+(Inputs!$B$20+((C2990=TRUE)*(F2990-Calc!F27))+Skills!P8+B3004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2971*(1-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2971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2971*(1-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2971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71">
        <f>IF(C2971,(H2971*N2971*IF(AND(Inputs!$B$39&lt;&gt;"pvp",Inputs!$B$44&gt;0),((Skills!G8*((R2971-1)*IF(Skills!H8&gt;0,Skills!I8/Skills!H8,1)+IF(Skills!H8&gt;0,MIN(Skills!I8,MAX(0,MAX(0,Inputs!$B$44-B3008)-((R2971-1)*IF(Inputs!$B$39="pvp",15,MAX(0.1,Skills!D8-IF(Skills!E8=TRUE,Inputs!$B$32,0))))))/Skills!H8,1)))/Inputs!$B$44),G2971*Q2971))*IF(Inputs!$B$39="pvp",1,(1+(Inputs!$B$21+Skills!Q8+B3004+(IF(ArtifactsInput!$M$33,CHOOSE(ArtifactsInput!$N$33+1,30,36,42,48,54,60)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72">
      <c r="A2972">
        <f>Skills!A9</f>
        <v/>
      </c>
      <c r="B2972">
        <f>Skills!B9</f>
        <v/>
      </c>
      <c r="C2972">
        <f>Inputs!$B$3&gt;=72</f>
        <v/>
      </c>
      <c r="D2972">
        <f>IF(Skills!C9=1,60+Inputs!$B$25+Inputs!$B$29,IF(Skills!C9=2,90+Inputs!$B$26+Inputs!$B$29,IF(Skills!C9=3,120+Inputs!$B$27+Inputs!$B$29,MAX(0,(Inputs!$B$3-100)*3)+Inputs!$B$28+Inputs!$B$29)))</f>
        <v/>
      </c>
      <c r="E2972">
        <f>INDEX(FactorTable!$B$2:$Y$301, MATCH(ROUND(MIN(300,MAX(1,D2972)),0), FactorTable!$A$2:$A$301,0), Skills!M9+1)</f>
        <v/>
      </c>
      <c r="F2972">
        <f>IF(Skills!N9=TRUE,(Skills!L9/10)*(E2972/1000),Skills!L9/10)+Skills!O9</f>
        <v/>
      </c>
      <c r="G2972">
        <f>Calc!G9</f>
        <v/>
      </c>
      <c r="H2972">
        <f>Calc!H9</f>
        <v/>
      </c>
      <c r="I2972">
        <f>IF(Skills!AA9&lt;&gt;"",1+(Skills!AA9/10)*(U2966/1000)/100,1)</f>
        <v/>
      </c>
      <c r="J2972">
        <f>((Inputs!$B$6*(1+Inputs!$B$7/100))+(((Inputs!$B$12*(1+Inputs!$B$13/100))-(Inputs!$B$12*(1+Inputs!$B$13/100)))+0.25*(Inputs!$B$14-Inputs!$B$14))*(1+Inputs!$B$7/100))*(F2972/100)</f>
        <v/>
      </c>
      <c r="K2972">
        <f>J2972*(1+((Inputs!$B$12*(1+Inputs!$B$13/100))*0.01+Inputs!$B$14*0.0025)/100)*(1+Inputs!$B$15/100)*(1+Inputs!$B$16/100)*(5000/(6000+Inputs!$B$43*(1-(100*(1-(1-(Inputs!$B$19+0)/100)*(1-CHOOSE(ArtifactsInput!$N$40+1,5,6,7,8,9,10)/100)^(ArtifactsInput!$M$40-ArtifactsInput!$M$40)))/100)))*(1+(Inputs!$B$24+((C2993=TRUE)*(F2993-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2986=TRUE)*(F2986-Calc!F23))+(((IF(AND(ArtifactsInput!$M$42,((Inputs!$B$9+((C2988=TRUE)*(F2988-Calc!F25))+B3003+(ArtifactsInput!$M$24-ArtifactsInput!$M$24)*CHOOSE(ArtifactsInput!$N$24+1,10,12,14,16,18,20)+IF(ArtifactsInput!$M$10,CHOOSE(ArtifactsInput!$N$10+1,15,18,21,24,27,30)*(IF(Inputs!$B$39="pvp",MIN(15,15)/15,IF(AND(Inputs!$B$39&lt;&gt;"pvp",Inputs!$B$44&gt;0),MIN(15,Inputs!$B$44)/(Inputs!$B$44),0))),0)))&gt;=100),MIN(100,((Inputs!$B$9+((C2988=TRUE)*(F2988-Calc!F25))+B3003+(ArtifactsInput!$M$24-ArtifactsInput!$M$24)*CHOOSE(ArtifactsInput!$N$24+1,10,12,14,16,18,20)+IF(ArtifactsInput!$M$10,CHOOSE(ArtifactsInput!$N$10+1,15,18,21,24,27,30)*(IF(Inputs!$B$39="pvp",MIN(15,15)/15,IF(AND(Inputs!$B$39&lt;&gt;"pvp",Inputs!$B$44&gt;0),MIN(15,Inputs!$B$44)/(Inputs!$B$44),0))),0)))-100),0))*CHOOSE(ArtifactsInput!$N$42+1,0.6,0.72,0.84,0.96,1.08,1.2))),Inputs!$B$18+((C2992=TRUE)*(F2992-Calc!F29))+(IF(AND(ArtifactsInput!$M$42,((Inputs!$B$9+((C2988=TRUE)*(F2988-Calc!F25))+B3003+(ArtifactsInput!$M$24-ArtifactsInput!$M$24)*CHOOSE(ArtifactsInput!$N$24+1,10,12,14,16,18,20)+IF(ArtifactsInput!$M$10,CHOOSE(ArtifactsInput!$N$10+1,15,18,21,24,27,30)*(IF(Inputs!$B$39="pvp",MIN(15,15)/15,IF(AND(Inputs!$B$39&lt;&gt;"pvp",Inputs!$B$44&gt;0),MIN(15,Inputs!$B$44)/(Inputs!$B$44),0))),0)))&gt;=100),CHOOSE(ArtifactsInput!$N$42+1,40,48,56,64,72,80),0))))/100)*(((1+(((C2984=TRUE)*F2984*IF(AND(Inputs!$B$39&lt;&gt;"pvp",Inputs!$B$44&gt;0),(((R2984-1)*(Skills!Y21*(1+Inputs!$B$34/100))+MIN((Skills!Y21*(1+Inputs!$B$34/100)),MAX(0,Inputs!$B$44-((R2984-1)*Skills!D21))))/Inputs!$B$44),IF(Inputs!$B$39="pvp",MIN((Skills!Y21*(1+Inputs!$B$34/100)),15)/15,(Skills!Y21*(1+Inputs!$B$34/100))/Skills!D21)))+((C2991=TRUE)*(F2991-Calc!F28))+((C2981=TRUE)*(F2981-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2978=TRUE)*F2978*IF(AND(Inputs!$B$39&lt;&gt;"pvp",Inputs!$B$44&gt;0),(((R2978-1)*(Skills!Y15*(1+Inputs!$B$34/100))+MIN((Skills!Y15*(1+Inputs!$B$34/100)),MAX(0,Inputs!$B$44-((R2978-1)*Skills!D15))))/Inputs!$B$44),IF(Inputs!$B$39="pvp",MIN((Skills!Y15*(1+Inputs!$B$34/100)),15)/15,(Skills!Y15*(1+Inputs!$B$34/100))/Skills!D15)))/100)*(1+((C2969=TRUE)*F2969*B2997)/100))*B3005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2972)</f>
        <v/>
      </c>
      <c r="L2972">
        <f>K2972*(MIN(Inputs!$B$22+((C2987=TRUE)*(F2987-Calc!F24)),(Inputs!$B$23+0+(IF(ArtifactsInput!$M$15,CHOOSE(ArtifactsInput!$N$15+1,25,30,35,40,45,50)/100*(Inputs!$B$11-Inputs!$B$11),0))))/100+(Inputs!$B$23+0+(IF(ArtifactsInput!$M$15,CHOOSE(ArtifactsInput!$N$15+1,25,30,35,40,45,50)/100*(Inputs!$B$11-Inputs!$B$11),0)))/100)/2</f>
        <v/>
      </c>
      <c r="M2972">
        <f>L2972*(1+(Inputs!$B$10+((C2989=TRUE)*(F2989-Calc!F26))+B3006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72">
        <f>L2972*(1-MIN((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2972*(MIN((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72">
        <f>(1-Summary!$B$11)*T2972+Summary!$B$11*V2972</f>
        <v/>
      </c>
      <c r="P2972">
        <f>IF(B3007=0,0,O2972/B3007)</f>
        <v/>
      </c>
      <c r="Q2972">
        <f>IFERROR(1/IF(Inputs!$B$39="pvp",15,MAX(0.1,Skills!D9-IF(Skills!E9=TRUE,Inputs!$B$32,0))),0)</f>
        <v/>
      </c>
      <c r="R2972">
        <f>IF(AND(Inputs!$B$39&lt;&gt;"pvp",Inputs!$B$44&gt;0),IF(MAX(0,Inputs!$B$44-B3008)&lt;=0,0,(INT(MAX(0,Inputs!$B$44-B3008)/IF(Inputs!$B$39="pvp",15,MAX(0.1,Skills!D9-IF(Skills!E9=TRUE,Inputs!$B$32,0))))+1)),0)</f>
        <v/>
      </c>
      <c r="S2972">
        <f>IFERROR(O2972/N2972,0)</f>
        <v/>
      </c>
      <c r="T2972">
        <f>IF(C2972,(H2972*N2972*IF(AND(Inputs!$B$39&lt;&gt;"pvp",Inputs!$B$44&gt;0),((Skills!G9*((R2972-1)*IF(Skills!H9&gt;0,Skills!I9/Skills!H9,1)+IF(Skills!H9&gt;0,MIN(Skills!I9,MAX(0,MAX(0,Inputs!$B$44-B3008)-((R2972-1)*IF(Inputs!$B$39="pvp",15,MAX(0.1,Skills!D9-IF(Skills!E9=TRUE,Inputs!$B$32,0))))))/Skills!H9,1)))/Inputs!$B$44),G2972*Q2972))*IF(Inputs!$B$39="pvp",1,1+(Inputs!$B$20+((C2990=TRUE)*(F2990-Calc!F27))+Skills!P9+B3004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2972*(1-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2972*(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2972*(1-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2972*(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72">
        <f>IF(C2972,(H2972*N2972*IF(AND(Inputs!$B$39&lt;&gt;"pvp",Inputs!$B$44&gt;0),((Skills!G9*((R2972-1)*IF(Skills!H9&gt;0,Skills!I9/Skills!H9,1)+IF(Skills!H9&gt;0,MIN(Skills!I9,MAX(0,MAX(0,Inputs!$B$44-B3008)-((R2972-1)*IF(Inputs!$B$39="pvp",15,MAX(0.1,Skills!D9-IF(Skills!E9=TRUE,Inputs!$B$32,0))))))/Skills!H9,1)))/Inputs!$B$44),G2972*Q2972))*IF(Inputs!$B$39="pvp",1,(1+(Inputs!$B$21+Skills!Q9+B3004+(IF(ArtifactsInput!$M$33,CHOOSE(ArtifactsInput!$N$33+1,30,36,42,48,54,60)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73">
      <c r="A2973">
        <f>Skills!A10</f>
        <v/>
      </c>
      <c r="B2973">
        <f>Skills!B10</f>
        <v/>
      </c>
      <c r="C2973">
        <f>Inputs!$B$3&gt;=117</f>
        <v/>
      </c>
      <c r="D2973">
        <f>IF(Skills!C10=1,60+Inputs!$B$25+Inputs!$B$29,IF(Skills!C10=2,90+Inputs!$B$26+Inputs!$B$29,IF(Skills!C10=3,120+Inputs!$B$27+Inputs!$B$29,MAX(0,(Inputs!$B$3-100)*3)+Inputs!$B$28+Inputs!$B$29)))</f>
        <v/>
      </c>
      <c r="E2973">
        <f>INDEX(FactorTable!$B$2:$Y$301, MATCH(ROUND(MIN(300,MAX(1,D2973)),0), FactorTable!$A$2:$A$301,0), Skills!M10+1)</f>
        <v/>
      </c>
      <c r="F2973">
        <f>IF(Skills!N10=TRUE,(Skills!L10/10)*(E2973/1000),Skills!L10/10)+Skills!O10</f>
        <v/>
      </c>
      <c r="G2973">
        <f>Calc!G10</f>
        <v/>
      </c>
      <c r="H2973">
        <f>Calc!H10</f>
        <v/>
      </c>
      <c r="I2973">
        <f>IF(Skills!AA10&lt;&gt;"",1+(Skills!AA10/10)*(U2966/1000)/100,1)</f>
        <v/>
      </c>
      <c r="J2973">
        <f>((Inputs!$B$6*(1+Inputs!$B$7/100))+(((Inputs!$B$12*(1+Inputs!$B$13/100))-(Inputs!$B$12*(1+Inputs!$B$13/100)))+0.25*(Inputs!$B$14-Inputs!$B$14))*(1+Inputs!$B$7/100))*(F2973/100)</f>
        <v/>
      </c>
      <c r="K2973">
        <f>J2973*(1+((Inputs!$B$12*(1+Inputs!$B$13/100))*0.01+Inputs!$B$14*0.0025)/100)*(1+Inputs!$B$15/100)*(1+Inputs!$B$16/100)*(5000/(6000+Inputs!$B$43*(1-(100*(1-(1-(Inputs!$B$19+0)/100)*(1-CHOOSE(ArtifactsInput!$N$40+1,5,6,7,8,9,10)/100)^(ArtifactsInput!$M$40-ArtifactsInput!$M$40)))/100)))*(1+(Inputs!$B$24+((C2993=TRUE)*(F2993-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2986=TRUE)*(F2986-Calc!F23))+(((IF(AND(ArtifactsInput!$M$42,((Inputs!$B$9+((C2988=TRUE)*(F2988-Calc!F25))+B3003+(ArtifactsInput!$M$24-ArtifactsInput!$M$24)*CHOOSE(ArtifactsInput!$N$24+1,10,12,14,16,18,20)+IF(ArtifactsInput!$M$10,CHOOSE(ArtifactsInput!$N$10+1,15,18,21,24,27,30)*(IF(Inputs!$B$39="pvp",MIN(15,15)/15,IF(AND(Inputs!$B$39&lt;&gt;"pvp",Inputs!$B$44&gt;0),MIN(15,Inputs!$B$44)/(Inputs!$B$44),0))),0)))&gt;=100),MIN(100,((Inputs!$B$9+((C2988=TRUE)*(F2988-Calc!F25))+B3003+(ArtifactsInput!$M$24-ArtifactsInput!$M$24)*CHOOSE(ArtifactsInput!$N$24+1,10,12,14,16,18,20)+IF(ArtifactsInput!$M$10,CHOOSE(ArtifactsInput!$N$10+1,15,18,21,24,27,30)*(IF(Inputs!$B$39="pvp",MIN(15,15)/15,IF(AND(Inputs!$B$39&lt;&gt;"pvp",Inputs!$B$44&gt;0),MIN(15,Inputs!$B$44)/(Inputs!$B$44),0))),0)))-100),0))*CHOOSE(ArtifactsInput!$N$42+1,0.6,0.72,0.84,0.96,1.08,1.2))),Inputs!$B$18+((C2992=TRUE)*(F2992-Calc!F29))+(IF(AND(ArtifactsInput!$M$42,((Inputs!$B$9+((C2988=TRUE)*(F2988-Calc!F25))+B3003+(ArtifactsInput!$M$24-ArtifactsInput!$M$24)*CHOOSE(ArtifactsInput!$N$24+1,10,12,14,16,18,20)+IF(ArtifactsInput!$M$10,CHOOSE(ArtifactsInput!$N$10+1,15,18,21,24,27,30)*(IF(Inputs!$B$39="pvp",MIN(15,15)/15,IF(AND(Inputs!$B$39&lt;&gt;"pvp",Inputs!$B$44&gt;0),MIN(15,Inputs!$B$44)/(Inputs!$B$44),0))),0)))&gt;=100),CHOOSE(ArtifactsInput!$N$42+1,40,48,56,64,72,80),0))))/100)*(((1+(((C2984=TRUE)*F2984*IF(AND(Inputs!$B$39&lt;&gt;"pvp",Inputs!$B$44&gt;0),(((R2984-1)*(Skills!Y21*(1+Inputs!$B$34/100))+MIN((Skills!Y21*(1+Inputs!$B$34/100)),MAX(0,Inputs!$B$44-((R2984-1)*Skills!D21))))/Inputs!$B$44),IF(Inputs!$B$39="pvp",MIN((Skills!Y21*(1+Inputs!$B$34/100)),15)/15,(Skills!Y21*(1+Inputs!$B$34/100))/Skills!D21)))+((C2991=TRUE)*(F2991-Calc!F28))+((C2981=TRUE)*(F2981-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2978=TRUE)*F2978*IF(AND(Inputs!$B$39&lt;&gt;"pvp",Inputs!$B$44&gt;0),(((R2978-1)*(Skills!Y15*(1+Inputs!$B$34/100))+MIN((Skills!Y15*(1+Inputs!$B$34/100)),MAX(0,Inputs!$B$44-((R2978-1)*Skills!D15))))/Inputs!$B$44),IF(Inputs!$B$39="pvp",MIN((Skills!Y15*(1+Inputs!$B$34/100)),15)/15,(Skills!Y15*(1+Inputs!$B$34/100))/Skills!D15)))/100)*(1+((C2969=TRUE)*F2969*B2997)/100))*B3005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2973)</f>
        <v/>
      </c>
      <c r="L2973">
        <f>K2973*(MIN(Inputs!$B$22+((C2987=TRUE)*(F2987-Calc!F24)),(Inputs!$B$23+0+(IF(ArtifactsInput!$M$15,CHOOSE(ArtifactsInput!$N$15+1,25,30,35,40,45,50)/100*(Inputs!$B$11-Inputs!$B$11),0))))/100+(Inputs!$B$23+0+(IF(ArtifactsInput!$M$15,CHOOSE(ArtifactsInput!$N$15+1,25,30,35,40,45,50)/100*(Inputs!$B$11-Inputs!$B$11),0)))/100)/2</f>
        <v/>
      </c>
      <c r="M2973">
        <f>L2973*(1+(Inputs!$B$10+((C2989=TRUE)*(F2989-Calc!F26))+B3006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73">
        <f>L2973*(1-MIN((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2973*(MIN((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73">
        <f>(1-Summary!$B$11)*T2973+Summary!$B$11*V2973</f>
        <v/>
      </c>
      <c r="P2973">
        <f>IF(B3007=0,0,O2973/B3007)</f>
        <v/>
      </c>
      <c r="Q2973" t="n">
        <v>0</v>
      </c>
      <c r="R2973" t="n">
        <v>0</v>
      </c>
      <c r="S2973" t="n">
        <v>0</v>
      </c>
      <c r="T2973">
        <f>IF(C2973,(0.2*SUMPRODUCT((Skills!Z2:Z31=TRUE)*(C2965:C2994=TRUE)*S2965:S2994)*N2973)*IF(Inputs!$B$39="pvp",1,1+(Inputs!$B$20+((C2990=TRUE)*(F2990-Calc!F27))+Skills!P10+B3004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2973*(1-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2973*(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2973*(1-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2973*(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73">
        <f>IF(C2973,(0.2*SUMPRODUCT((Skills!Z2:Z31=TRUE)*(C2965:C2994=TRUE)*S2965:S2994)*N2973)*IF(Inputs!$B$39="pvp",1,(1+(Inputs!$B$21+Skills!Q10+B3004+(IF(ArtifactsInput!$M$33,CHOOSE(ArtifactsInput!$N$33+1,30,36,42,48,54,60),0))+(IF(AND(ArtifactsInput!$M$35,Inputs!$B$4&lt;&gt;"Chapter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74">
      <c r="A2974">
        <f>Skills!A11</f>
        <v/>
      </c>
      <c r="B2974">
        <f>Skills!B11</f>
        <v/>
      </c>
      <c r="C2974">
        <f>Inputs!$B$3&gt;=60</f>
        <v/>
      </c>
      <c r="D2974">
        <f>IF(Skills!C11=1,60+Inputs!$B$25+Inputs!$B$29,IF(Skills!C11=2,90+Inputs!$B$26+Inputs!$B$29,IF(Skills!C11=3,120+Inputs!$B$27+Inputs!$B$29,MAX(0,(Inputs!$B$3-100)*3)+Inputs!$B$28+Inputs!$B$29)))</f>
        <v/>
      </c>
      <c r="E2974">
        <f>INDEX(FactorTable!$B$2:$Y$301, MATCH(ROUND(MIN(300,MAX(1,D2974)),0), FactorTable!$A$2:$A$301,0), Skills!M11+1)</f>
        <v/>
      </c>
      <c r="F2974">
        <f>IF(Skills!N11=TRUE,(Skills!L11/10)*(E2974/1000),Skills!L11/10)+Skills!O11</f>
        <v/>
      </c>
      <c r="G2974">
        <f>Calc!G11</f>
        <v/>
      </c>
      <c r="H2974">
        <f>Calc!H11</f>
        <v/>
      </c>
      <c r="I2974">
        <f>IF(Skills!AA11&lt;&gt;"",1+(Skills!AA11/10)*(U2966/1000)/100,1)</f>
        <v/>
      </c>
      <c r="J2974" t="inlineStr"/>
      <c r="K2974" t="inlineStr"/>
      <c r="L2974" t="inlineStr"/>
      <c r="M2974" t="inlineStr"/>
      <c r="N2974" t="inlineStr"/>
      <c r="O2974">
        <f>(1-Summary!$B$11)*T2974+Summary!$B$11*V2974</f>
        <v/>
      </c>
      <c r="P2974">
        <f>IF(B3007=0,0,O2974/B3007)</f>
        <v/>
      </c>
      <c r="Q2974" t="n">
        <v>0</v>
      </c>
      <c r="R2974" t="n">
        <v>0</v>
      </c>
      <c r="S2974">
        <f>IFERROR(O2974/N2974,0)</f>
        <v/>
      </c>
      <c r="T2974" t="n">
        <v>0</v>
      </c>
      <c r="V2974" t="n">
        <v>0</v>
      </c>
    </row>
    <row r="2975">
      <c r="A2975">
        <f>Skills!A12</f>
        <v/>
      </c>
      <c r="B2975">
        <f>Skills!B12</f>
        <v/>
      </c>
      <c r="C2975">
        <f>Inputs!$B$3&gt;=103</f>
        <v/>
      </c>
      <c r="D2975">
        <f>IF(Skills!C12=1,60+Inputs!$B$25+Inputs!$B$29,IF(Skills!C12=2,90+Inputs!$B$26+Inputs!$B$29,IF(Skills!C12=3,120+Inputs!$B$27+Inputs!$B$29,MAX(0,(Inputs!$B$3-100)*3)+Inputs!$B$28+Inputs!$B$29)))</f>
        <v/>
      </c>
      <c r="E2975">
        <f>INDEX(FactorTable!$B$2:$Y$301, MATCH(ROUND(MIN(300,MAX(1,D2975)),0), FactorTable!$A$2:$A$301,0), Skills!M12+1)</f>
        <v/>
      </c>
      <c r="F2975">
        <f>IF(Skills!N12=TRUE,(Skills!L12/10)*(E2975/1000),Skills!L12/10)+Skills!O12</f>
        <v/>
      </c>
      <c r="G2975">
        <f>Calc!G12</f>
        <v/>
      </c>
      <c r="H2975">
        <f>Calc!H12</f>
        <v/>
      </c>
      <c r="I2975">
        <f>IF(Skills!AA12&lt;&gt;"",1+(Skills!AA12/10)*(U2966/1000)/100,1)</f>
        <v/>
      </c>
      <c r="J2975">
        <f>((Inputs!$B$6*(1+Inputs!$B$7/100))+(((Inputs!$B$12*(1+Inputs!$B$13/100))-(Inputs!$B$12*(1+Inputs!$B$13/100)))+0.25*(Inputs!$B$14-Inputs!$B$14))*(1+Inputs!$B$7/100))*(F2975/100)</f>
        <v/>
      </c>
      <c r="K2975">
        <f>J2975*(1+((Inputs!$B$12*(1+Inputs!$B$13/100))*0.01+Inputs!$B$14*0.0025)/100)*(1+Inputs!$B$15/100)*(1+Inputs!$B$16/100)*(5000/(6000+Inputs!$B$43*(1-(100*(1-(1-(Inputs!$B$19+0)/100)*(1-CHOOSE(ArtifactsInput!$N$40+1,5,6,7,8,9,10)/100)^(ArtifactsInput!$M$40-ArtifactsInput!$M$40)))/100)))*(1+(Inputs!$B$24+((C2993=TRUE)*(F2993-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2986=TRUE)*(F2986-Calc!F23))+(((IF(AND(ArtifactsInput!$M$42,((Inputs!$B$9+((C2988=TRUE)*(F2988-Calc!F25))+B3003+(ArtifactsInput!$M$24-ArtifactsInput!$M$24)*CHOOSE(ArtifactsInput!$N$24+1,10,12,14,16,18,20)+IF(ArtifactsInput!$M$10,CHOOSE(ArtifactsInput!$N$10+1,15,18,21,24,27,30)*(IF(Inputs!$B$39="pvp",MIN(15,15)/15,IF(AND(Inputs!$B$39&lt;&gt;"pvp",Inputs!$B$44&gt;0),MIN(15,Inputs!$B$44)/(Inputs!$B$44),0))),0)))&gt;=100),MIN(100,((Inputs!$B$9+((C2988=TRUE)*(F2988-Calc!F25))+B3003+(ArtifactsInput!$M$24-ArtifactsInput!$M$24)*CHOOSE(ArtifactsInput!$N$24+1,10,12,14,16,18,20)+IF(ArtifactsInput!$M$10,CHOOSE(ArtifactsInput!$N$10+1,15,18,21,24,27,30)*(IF(Inputs!$B$39="pvp",MIN(15,15)/15,IF(AND(Inputs!$B$39&lt;&gt;"pvp",Inputs!$B$44&gt;0),MIN(15,Inputs!$B$44)/(Inputs!$B$44),0))),0)))-100),0))*CHOOSE(ArtifactsInput!$N$42+1,0.6,0.72,0.84,0.96,1.08,1.2))),Inputs!$B$18+((C2992=TRUE)*(F2992-Calc!F29))+(IF(AND(ArtifactsInput!$M$42,((Inputs!$B$9+((C2988=TRUE)*(F2988-Calc!F25))+B3003+(ArtifactsInput!$M$24-ArtifactsInput!$M$24)*CHOOSE(ArtifactsInput!$N$24+1,10,12,14,16,18,20)+IF(ArtifactsInput!$M$10,CHOOSE(ArtifactsInput!$N$10+1,15,18,21,24,27,30)*(IF(Inputs!$B$39="pvp",MIN(15,15)/15,IF(AND(Inputs!$B$39&lt;&gt;"pvp",Inputs!$B$44&gt;0),MIN(15,Inputs!$B$44)/(Inputs!$B$44),0))),0)))&gt;=100),CHOOSE(ArtifactsInput!$N$42+1,40,48,56,64,72,80),0))))/100)*(((1+(((C2984=TRUE)*F2984*IF(AND(Inputs!$B$39&lt;&gt;"pvp",Inputs!$B$44&gt;0),(((R2984-1)*(Skills!Y21*(1+Inputs!$B$34/100))+MIN((Skills!Y21*(1+Inputs!$B$34/100)),MAX(0,Inputs!$B$44-((R2984-1)*Skills!D21))))/Inputs!$B$44),IF(Inputs!$B$39="pvp",MIN((Skills!Y21*(1+Inputs!$B$34/100)),15)/15,(Skills!Y21*(1+Inputs!$B$34/100))/Skills!D21)))+((C2991=TRUE)*(F2991-Calc!F28))+((C2981=TRUE)*(F2981-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2978=TRUE)*F2978*IF(AND(Inputs!$B$39&lt;&gt;"pvp",Inputs!$B$44&gt;0),(((R2978-1)*(Skills!Y15*(1+Inputs!$B$34/100))+MIN((Skills!Y15*(1+Inputs!$B$34/100)),MAX(0,Inputs!$B$44-((R2978-1)*Skills!D15))))/Inputs!$B$44),IF(Inputs!$B$39="pvp",MIN((Skills!Y15*(1+Inputs!$B$34/100)),15)/15,(Skills!Y15*(1+Inputs!$B$34/100))/Skills!D15)))/100)*(1+((C2969=TRUE)*F2969*B2997)/100))*B3005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2975)</f>
        <v/>
      </c>
      <c r="L2975">
        <f>K2975*(MIN(Inputs!$B$22+((C2987=TRUE)*(F2987-Calc!F24)),(Inputs!$B$23+0+(IF(ArtifactsInput!$M$15,CHOOSE(ArtifactsInput!$N$15+1,25,30,35,40,45,50)/100*(Inputs!$B$11-Inputs!$B$11),0))))/100+(Inputs!$B$23+0+(IF(ArtifactsInput!$M$15,CHOOSE(ArtifactsInput!$N$15+1,25,30,35,40,45,50)/100*(Inputs!$B$11-Inputs!$B$11),0)))/100)/2</f>
        <v/>
      </c>
      <c r="M2975">
        <f>L2975*(1+(Inputs!$B$10+((C2989=TRUE)*(F2989-Calc!F26))+B3006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75">
        <f>L2975*(1-MIN((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2975*(MIN((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75">
        <f>(1-Summary!$B$11)*T2975+Summary!$B$11*V2975</f>
        <v/>
      </c>
      <c r="P2975">
        <f>IF(B3007=0,0,O2975/B3007)</f>
        <v/>
      </c>
      <c r="Q2975">
        <f>IFERROR(1/IF(Inputs!$B$39="pvp",15,MAX(0.1,Skills!D12-IF(Skills!E12=TRUE,Inputs!$B$32,0))),0)</f>
        <v/>
      </c>
      <c r="R2975">
        <f>IF(AND(Inputs!$B$39&lt;&gt;"pvp",Inputs!$B$44&gt;0),IF(MAX(0,Inputs!$B$44-B3008)&lt;=0,0,(INT(MAX(0,Inputs!$B$44-B3008)/IF(Inputs!$B$39="pvp",15,MAX(0.1,Skills!D12-IF(Skills!E12=TRUE,Inputs!$B$32,0))))+1)),0)</f>
        <v/>
      </c>
      <c r="S2975">
        <f>IFERROR(O2975/N2975,0)</f>
        <v/>
      </c>
      <c r="T2975">
        <f>IF(C2975,(H2975*N2975*IF(AND(Inputs!$B$39&lt;&gt;"pvp",Inputs!$B$44&gt;0),((Skills!G12*((R2975-1)*IF(Skills!H12&gt;0,Skills!I12/Skills!H12,1)+IF(Skills!H12&gt;0,MIN(Skills!I12,MAX(0,MAX(0,Inputs!$B$44-B3008)-((R2975-1)*IF(Inputs!$B$39="pvp",15,MAX(0.1,Skills!D12-IF(Skills!E12=TRUE,Inputs!$B$32,0))))))/Skills!H12,1)))/Inputs!$B$44),G2975*Q2975))*IF(Inputs!$B$39="pvp",1,1+(Inputs!$B$20+((C2990=TRUE)*(F2990-Calc!F27))+Skills!P12+B3004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2975*(1-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2975*(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2975*(1-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2975*(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75">
        <f>IF(C2975,(H2975*N2975*IF(AND(Inputs!$B$39&lt;&gt;"pvp",Inputs!$B$44&gt;0),((Skills!G12*((R2975-1)*IF(Skills!H12&gt;0,Skills!I12/Skills!H12,1)+IF(Skills!H12&gt;0,MIN(Skills!I12,MAX(0,MAX(0,Inputs!$B$44-B3008)-((R2975-1)*IF(Inputs!$B$39="pvp",15,MAX(0.1,Skills!D12-IF(Skills!E12=TRUE,Inputs!$B$32,0))))))/Skills!H12,1)))/Inputs!$B$44),G2975*Q2975))*IF(Inputs!$B$39="pvp",1,(1+(Inputs!$B$21+Skills!Q12+B3004+(IF(ArtifactsInput!$M$33,CHOOSE(ArtifactsInput!$N$33+1,30,36,42,48,54,60)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76">
      <c r="A2976">
        <f>Skills!A13</f>
        <v/>
      </c>
      <c r="B2976">
        <f>Skills!B13</f>
        <v/>
      </c>
      <c r="C2976">
        <f>Inputs!$B$3&gt;=105</f>
        <v/>
      </c>
      <c r="D2976">
        <f>IF(Skills!C13=1,60+Inputs!$B$25+Inputs!$B$29,IF(Skills!C13=2,90+Inputs!$B$26+Inputs!$B$29,IF(Skills!C13=3,120+Inputs!$B$27+Inputs!$B$29,MAX(0,(Inputs!$B$3-100)*3)+Inputs!$B$28+Inputs!$B$29)))</f>
        <v/>
      </c>
      <c r="E2976">
        <f>INDEX(FactorTable!$B$2:$Y$301, MATCH(ROUND(MIN(300,MAX(1,D2976)),0), FactorTable!$A$2:$A$301,0), Skills!M13+1)</f>
        <v/>
      </c>
      <c r="F2976">
        <f>IF(Skills!N13=TRUE,(Skills!L13/10)*(E2976/1000),Skills!L13/10)+Skills!O13</f>
        <v/>
      </c>
      <c r="G2976">
        <f>Calc!G13</f>
        <v/>
      </c>
      <c r="H2976">
        <f>Calc!H13</f>
        <v/>
      </c>
      <c r="I2976">
        <f>IF(Skills!AA13&lt;&gt;"",1+(Skills!AA13/10)*(U2966/1000)/100,1)</f>
        <v/>
      </c>
      <c r="J2976">
        <f>((Inputs!$B$6*(1+Inputs!$B$7/100))+(((Inputs!$B$12*(1+Inputs!$B$13/100))-(Inputs!$B$12*(1+Inputs!$B$13/100)))+0.25*(Inputs!$B$14-Inputs!$B$14))*(1+Inputs!$B$7/100))*(F2976/100)</f>
        <v/>
      </c>
      <c r="K2976">
        <f>J2976*(1+((Inputs!$B$12*(1+Inputs!$B$13/100))*0.01+Inputs!$B$14*0.0025)/100)*(1+Inputs!$B$15/100)*(1+Inputs!$B$16/100)*(5000/(6000+Inputs!$B$43*(1-(100*(1-(1-(Inputs!$B$19+0)/100)*(1-CHOOSE(ArtifactsInput!$N$40+1,5,6,7,8,9,10)/100)^(ArtifactsInput!$M$40-ArtifactsInput!$M$40)))/100)))*(1+(Inputs!$B$24+((C2993=TRUE)*(F2993-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2986=TRUE)*(F2986-Calc!F23))+(((IF(AND(ArtifactsInput!$M$42,((Inputs!$B$9+((C2988=TRUE)*(F2988-Calc!F25))+B3003+(ArtifactsInput!$M$24-ArtifactsInput!$M$24)*CHOOSE(ArtifactsInput!$N$24+1,10,12,14,16,18,20)+IF(ArtifactsInput!$M$10,CHOOSE(ArtifactsInput!$N$10+1,15,18,21,24,27,30)*(IF(Inputs!$B$39="pvp",MIN(15,15)/15,IF(AND(Inputs!$B$39&lt;&gt;"pvp",Inputs!$B$44&gt;0),MIN(15,Inputs!$B$44)/(Inputs!$B$44),0))),0)))&gt;=100),MIN(100,((Inputs!$B$9+((C2988=TRUE)*(F2988-Calc!F25))+B3003+(ArtifactsInput!$M$24-ArtifactsInput!$M$24)*CHOOSE(ArtifactsInput!$N$24+1,10,12,14,16,18,20)+IF(ArtifactsInput!$M$10,CHOOSE(ArtifactsInput!$N$10+1,15,18,21,24,27,30)*(IF(Inputs!$B$39="pvp",MIN(15,15)/15,IF(AND(Inputs!$B$39&lt;&gt;"pvp",Inputs!$B$44&gt;0),MIN(15,Inputs!$B$44)/(Inputs!$B$44),0))),0)))-100),0))*CHOOSE(ArtifactsInput!$N$42+1,0.6,0.72,0.84,0.96,1.08,1.2))),Inputs!$B$18+((C2992=TRUE)*(F2992-Calc!F29))+(IF(AND(ArtifactsInput!$M$42,((Inputs!$B$9+((C2988=TRUE)*(F2988-Calc!F25))+B3003+(ArtifactsInput!$M$24-ArtifactsInput!$M$24)*CHOOSE(ArtifactsInput!$N$24+1,10,12,14,16,18,20)+IF(ArtifactsInput!$M$10,CHOOSE(ArtifactsInput!$N$10+1,15,18,21,24,27,30)*(IF(Inputs!$B$39="pvp",MIN(15,15)/15,IF(AND(Inputs!$B$39&lt;&gt;"pvp",Inputs!$B$44&gt;0),MIN(15,Inputs!$B$44)/(Inputs!$B$44),0))),0)))&gt;=100),CHOOSE(ArtifactsInput!$N$42+1,40,48,56,64,72,80),0))))/100)*(((1+(((C2984=TRUE)*F2984*IF(AND(Inputs!$B$39&lt;&gt;"pvp",Inputs!$B$44&gt;0),(((R2984-1)*(Skills!Y21*(1+Inputs!$B$34/100))+MIN((Skills!Y21*(1+Inputs!$B$34/100)),MAX(0,Inputs!$B$44-((R2984-1)*Skills!D21))))/Inputs!$B$44),IF(Inputs!$B$39="pvp",MIN((Skills!Y21*(1+Inputs!$B$34/100)),15)/15,(Skills!Y21*(1+Inputs!$B$34/100))/Skills!D21)))+((C2991=TRUE)*(F2991-Calc!F28))+((C2981=TRUE)*(F2981-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2978=TRUE)*F2978*IF(AND(Inputs!$B$39&lt;&gt;"pvp",Inputs!$B$44&gt;0),(((R2978-1)*(Skills!Y15*(1+Inputs!$B$34/100))+MIN((Skills!Y15*(1+Inputs!$B$34/100)),MAX(0,Inputs!$B$44-((R2978-1)*Skills!D15))))/Inputs!$B$44),IF(Inputs!$B$39="pvp",MIN((Skills!Y15*(1+Inputs!$B$34/100)),15)/15,(Skills!Y15*(1+Inputs!$B$34/100))/Skills!D15)))/100)*(1+((C2969=TRUE)*F2969*B2997)/100))*B3005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2976)</f>
        <v/>
      </c>
      <c r="L2976">
        <f>K2976*(MIN(Inputs!$B$22+((C2987=TRUE)*(F2987-Calc!F24)),(Inputs!$B$23+0+(IF(ArtifactsInput!$M$15,CHOOSE(ArtifactsInput!$N$15+1,25,30,35,40,45,50)/100*(Inputs!$B$11-Inputs!$B$11),0))))/100+(Inputs!$B$23+0+(IF(ArtifactsInput!$M$15,CHOOSE(ArtifactsInput!$N$15+1,25,30,35,40,45,50)/100*(Inputs!$B$11-Inputs!$B$11),0)))/100)/2</f>
        <v/>
      </c>
      <c r="M2976">
        <f>L2976*(1+(Inputs!$B$10+((C2989=TRUE)*(F2989-Calc!F26))+B3006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76">
        <f>L2976*(1-MIN((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2976*(MIN((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76">
        <f>(1-Summary!$B$11)*T2976+Summary!$B$11*V2976</f>
        <v/>
      </c>
      <c r="P2976">
        <f>IF(B3007=0,0,O2976/B3007)</f>
        <v/>
      </c>
      <c r="Q2976">
        <f>IFERROR(1/IF(Inputs!$B$39="pvp",15,MAX(0.1,Skills!D13-IF(Skills!E13=TRUE,Inputs!$B$32,0))),0)</f>
        <v/>
      </c>
      <c r="R2976">
        <f>IF(AND(Inputs!$B$39&lt;&gt;"pvp",Inputs!$B$44&gt;0),IF(MAX(0,Inputs!$B$44-B3008)&lt;=0,0,(INT(MAX(0,Inputs!$B$44-B3008)/IF(Inputs!$B$39="pvp",15,MAX(0.1,Skills!D13-IF(Skills!E13=TRUE,Inputs!$B$32,0))))+1)),0)</f>
        <v/>
      </c>
      <c r="S2976">
        <f>IFERROR(O2976/N2976,0)</f>
        <v/>
      </c>
      <c r="T2976">
        <f>IF(C2976,(H2976*N2976*IF(AND(Inputs!$B$39&lt;&gt;"pvp",Inputs!$B$44&gt;0),((Skills!G13*((R2976-1)*IF(Skills!H13&gt;0,Skills!I13/Skills!H13,1)+IF(Skills!H13&gt;0,MIN(Skills!I13,MAX(0,MAX(0,Inputs!$B$44-B3008)-((R2976-1)*IF(Inputs!$B$39="pvp",15,MAX(0.1,Skills!D13-IF(Skills!E13=TRUE,Inputs!$B$32,0))))))/Skills!H13,1)))/Inputs!$B$44),G2976*Q2976))*IF(Inputs!$B$39="pvp",1,1+(Inputs!$B$20+((C2990=TRUE)*(F2990-Calc!F27))+Skills!P13+B3004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2976*(1-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2976*(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2976*(1-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2976*(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76">
        <f>IF(C2976,(H2976*N2976*IF(AND(Inputs!$B$39&lt;&gt;"pvp",Inputs!$B$44&gt;0),((Skills!G13*((R2976-1)*IF(Skills!H13&gt;0,Skills!I13/Skills!H13,1)+IF(Skills!H13&gt;0,MIN(Skills!I13,MAX(0,MAX(0,Inputs!$B$44-B3008)-((R2976-1)*IF(Inputs!$B$39="pvp",15,MAX(0.1,Skills!D13-IF(Skills!E13=TRUE,Inputs!$B$32,0))))))/Skills!H13,1)))/Inputs!$B$44),G2976*Q2976))*IF(Inputs!$B$39="pvp",1,(1+(Inputs!$B$21+Skills!Q13+B3004+(IF(ArtifactsInput!$M$33,CHOOSE(ArtifactsInput!$N$33+1,30,36,42,48,54,60)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77">
      <c r="A2977">
        <f>Skills!A14</f>
        <v/>
      </c>
      <c r="B2977">
        <f>Skills!B14</f>
        <v/>
      </c>
      <c r="C2977">
        <f>Inputs!$B$3&gt;=105</f>
        <v/>
      </c>
      <c r="D2977">
        <f>IF(Skills!C14=1,60+Inputs!$B$25+Inputs!$B$29,IF(Skills!C14=2,90+Inputs!$B$26+Inputs!$B$29,IF(Skills!C14=3,120+Inputs!$B$27+Inputs!$B$29,MAX(0,(Inputs!$B$3-100)*3)+Inputs!$B$28+Inputs!$B$29)))</f>
        <v/>
      </c>
      <c r="E2977">
        <f>INDEX(FactorTable!$B$2:$Y$301, MATCH(ROUND(MIN(300,MAX(1,D2977)),0), FactorTable!$A$2:$A$301,0), Skills!M14+1)</f>
        <v/>
      </c>
      <c r="F2977">
        <f>IF(Skills!N14=TRUE,(Skills!L14/10)*(E2977/1000),Skills!L14/10)+Skills!O14</f>
        <v/>
      </c>
      <c r="G2977">
        <f>Calc!G14</f>
        <v/>
      </c>
      <c r="H2977">
        <f>Calc!H14</f>
        <v/>
      </c>
      <c r="I2977">
        <f>IF(Skills!AA14&lt;&gt;"",1+(Skills!AA14/10)*(U2966/1000)/100,1)</f>
        <v/>
      </c>
      <c r="J2977">
        <f>((Inputs!$B$6*(1+Inputs!$B$7/100))+(((Inputs!$B$12*(1+Inputs!$B$13/100))-(Inputs!$B$12*(1+Inputs!$B$13/100)))+0.25*(Inputs!$B$14-Inputs!$B$14))*(1+Inputs!$B$7/100))*(F2977/100)</f>
        <v/>
      </c>
      <c r="K2977">
        <f>J2977*(1+((Inputs!$B$12*(1+Inputs!$B$13/100))*0.01+Inputs!$B$14*0.0025)/100)*(1+Inputs!$B$15/100)*(1+Inputs!$B$16/100)*(5000/(6000+Inputs!$B$43*(1-(100*(1-(1-(Inputs!$B$19+0)/100)*(1-CHOOSE(ArtifactsInput!$N$40+1,5,6,7,8,9,10)/100)^(ArtifactsInput!$M$40-ArtifactsInput!$M$40)))/100)))*(1+(Inputs!$B$24+((C2993=TRUE)*(F2993-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2986=TRUE)*(F2986-Calc!F23))+(((IF(AND(ArtifactsInput!$M$42,((Inputs!$B$9+((C2988=TRUE)*(F2988-Calc!F25))+B3003+(ArtifactsInput!$M$24-ArtifactsInput!$M$24)*CHOOSE(ArtifactsInput!$N$24+1,10,12,14,16,18,20)+IF(ArtifactsInput!$M$10,CHOOSE(ArtifactsInput!$N$10+1,15,18,21,24,27,30)*(IF(Inputs!$B$39="pvp",MIN(15,15)/15,IF(AND(Inputs!$B$39&lt;&gt;"pvp",Inputs!$B$44&gt;0),MIN(15,Inputs!$B$44)/(Inputs!$B$44),0))),0)))&gt;=100),MIN(100,((Inputs!$B$9+((C2988=TRUE)*(F2988-Calc!F25))+B3003+(ArtifactsInput!$M$24-ArtifactsInput!$M$24)*CHOOSE(ArtifactsInput!$N$24+1,10,12,14,16,18,20)+IF(ArtifactsInput!$M$10,CHOOSE(ArtifactsInput!$N$10+1,15,18,21,24,27,30)*(IF(Inputs!$B$39="pvp",MIN(15,15)/15,IF(AND(Inputs!$B$39&lt;&gt;"pvp",Inputs!$B$44&gt;0),MIN(15,Inputs!$B$44)/(Inputs!$B$44),0))),0)))-100),0))*CHOOSE(ArtifactsInput!$N$42+1,0.6,0.72,0.84,0.96,1.08,1.2))),Inputs!$B$18+((C2992=TRUE)*(F2992-Calc!F29))+(IF(AND(ArtifactsInput!$M$42,((Inputs!$B$9+((C2988=TRUE)*(F2988-Calc!F25))+B3003+(ArtifactsInput!$M$24-ArtifactsInput!$M$24)*CHOOSE(ArtifactsInput!$N$24+1,10,12,14,16,18,20)+IF(ArtifactsInput!$M$10,CHOOSE(ArtifactsInput!$N$10+1,15,18,21,24,27,30)*(IF(Inputs!$B$39="pvp",MIN(15,15)/15,IF(AND(Inputs!$B$39&lt;&gt;"pvp",Inputs!$B$44&gt;0),MIN(15,Inputs!$B$44)/(Inputs!$B$44),0))),0)))&gt;=100),CHOOSE(ArtifactsInput!$N$42+1,40,48,56,64,72,80),0))))/100)*(((1+(((C2984=TRUE)*F2984*IF(AND(Inputs!$B$39&lt;&gt;"pvp",Inputs!$B$44&gt;0),(((R2984-1)*(Skills!Y21*(1+Inputs!$B$34/100))+MIN((Skills!Y21*(1+Inputs!$B$34/100)),MAX(0,Inputs!$B$44-((R2984-1)*Skills!D21))))/Inputs!$B$44),IF(Inputs!$B$39="pvp",MIN((Skills!Y21*(1+Inputs!$B$34/100)),15)/15,(Skills!Y21*(1+Inputs!$B$34/100))/Skills!D21)))+((C2991=TRUE)*(F2991-Calc!F28))+((C2981=TRUE)*(F2981-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2978=TRUE)*F2978*IF(AND(Inputs!$B$39&lt;&gt;"pvp",Inputs!$B$44&gt;0),(((R2978-1)*(Skills!Y15*(1+Inputs!$B$34/100))+MIN((Skills!Y15*(1+Inputs!$B$34/100)),MAX(0,Inputs!$B$44-((R2978-1)*Skills!D15))))/Inputs!$B$44),IF(Inputs!$B$39="pvp",MIN((Skills!Y15*(1+Inputs!$B$34/100)),15)/15,(Skills!Y15*(1+Inputs!$B$34/100))/Skills!D15)))/100)*(1+((C2969=TRUE)*F2969*B2997)/100))*B3005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2977)</f>
        <v/>
      </c>
      <c r="L2977">
        <f>K2977*(MIN(Inputs!$B$22+((C2987=TRUE)*(F2987-Calc!F24)),(Inputs!$B$23+0+(IF(ArtifactsInput!$M$15,CHOOSE(ArtifactsInput!$N$15+1,25,30,35,40,45,50)/100*(Inputs!$B$11-Inputs!$B$11),0))))/100+(Inputs!$B$23+0+(IF(ArtifactsInput!$M$15,CHOOSE(ArtifactsInput!$N$15+1,25,30,35,40,45,50)/100*(Inputs!$B$11-Inputs!$B$11),0)))/100)/2</f>
        <v/>
      </c>
      <c r="M2977">
        <f>L2977*(1+(Inputs!$B$10+((C2989=TRUE)*(F2989-Calc!F26))+B3006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77">
        <f>L2977*(1-MIN((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2977*(MIN((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77">
        <f>(1-Summary!$B$11)*T2977+Summary!$B$11*V2977</f>
        <v/>
      </c>
      <c r="P2977">
        <f>IF(B3007=0,0,O2977/B3007)</f>
        <v/>
      </c>
      <c r="Q2977">
        <f>IFERROR(1/IF(Inputs!$B$39="pvp",15,MAX(0.1,Skills!D14-IF(Skills!E14=TRUE,Inputs!$B$32,0))),0)</f>
        <v/>
      </c>
      <c r="R2977">
        <f>IF(AND(Inputs!$B$39&lt;&gt;"pvp",Inputs!$B$44&gt;0),IF(MAX(0,Inputs!$B$44-B3008)&lt;=0,0,(INT(MAX(0,Inputs!$B$44-B3008)/IF(Inputs!$B$39="pvp",15,MAX(0.1,Skills!D14-IF(Skills!E14=TRUE,Inputs!$B$32,0))))+1)),0)</f>
        <v/>
      </c>
      <c r="S2977">
        <f>IFERROR(O2977/N2977,0)</f>
        <v/>
      </c>
      <c r="T2977">
        <f>IF(C2977,(H2977*N2977*IF(AND(Inputs!$B$39&lt;&gt;"pvp",Inputs!$B$44&gt;0),((Skills!G14*((R2977-1)*IF(Skills!H14&gt;0,Skills!I14/Skills!H14,1)+IF(Skills!H14&gt;0,MIN(Skills!I14,MAX(0,MAX(0,Inputs!$B$44-B3008)-((R2977-1)*IF(Inputs!$B$39="pvp",15,MAX(0.1,Skills!D14-IF(Skills!E14=TRUE,Inputs!$B$32,0))))))/Skills!H14,1)))/Inputs!$B$44),G2977*Q2977))*IF(Inputs!$B$39="pvp",1,1+(Inputs!$B$20+((C2990=TRUE)*(F2990-Calc!F27))+Skills!P14+B3004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2977*(1-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2977*(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2977*(1-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2977*(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77">
        <f>IF(C2977,(H2977*N2977*IF(AND(Inputs!$B$39&lt;&gt;"pvp",Inputs!$B$44&gt;0),((Skills!G14*((R2977-1)*IF(Skills!H14&gt;0,Skills!I14/Skills!H14,1)+IF(Skills!H14&gt;0,MIN(Skills!I14,MAX(0,MAX(0,Inputs!$B$44-B3008)-((R2977-1)*IF(Inputs!$B$39="pvp",15,MAX(0.1,Skills!D14-IF(Skills!E14=TRUE,Inputs!$B$32,0))))))/Skills!H14,1)))/Inputs!$B$44),G2977*Q2977))*IF(Inputs!$B$39="pvp",1,(1+(Inputs!$B$21+Skills!Q14+B3004+(IF(ArtifactsInput!$M$33,CHOOSE(ArtifactsInput!$N$33+1,30,36,42,48,54,60)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78">
      <c r="A2978">
        <f>Skills!A15</f>
        <v/>
      </c>
      <c r="B2978">
        <f>Skills!B15</f>
        <v/>
      </c>
      <c r="C2978">
        <f>Inputs!$B$3&gt;=110</f>
        <v/>
      </c>
      <c r="D2978">
        <f>IF(Skills!C15=1,60+Inputs!$B$25+Inputs!$B$29,IF(Skills!C15=2,90+Inputs!$B$26+Inputs!$B$29,IF(Skills!C15=3,120+Inputs!$B$27+Inputs!$B$29,MAX(0,(Inputs!$B$3-100)*3)+Inputs!$B$28+Inputs!$B$29)))</f>
        <v/>
      </c>
      <c r="E2978">
        <f>INDEX(FactorTable!$B$2:$Y$301, MATCH(ROUND(MIN(300,MAX(1,D2978)),0), FactorTable!$A$2:$A$301,0), Skills!M15+1)</f>
        <v/>
      </c>
      <c r="F2978">
        <f>IF(Skills!N15=TRUE,(Skills!L15/10)*(E2978/1000),Skills!L15/10)+Skills!O15</f>
        <v/>
      </c>
      <c r="G2978">
        <f>Calc!G15</f>
        <v/>
      </c>
      <c r="H2978">
        <f>Calc!H15</f>
        <v/>
      </c>
      <c r="I2978">
        <f>IF(Skills!AA15&lt;&gt;"",1+(Skills!AA15/10)*(U2966/1000)/100,1)</f>
        <v/>
      </c>
      <c r="J2978" t="inlineStr"/>
      <c r="K2978" t="inlineStr"/>
      <c r="L2978" t="inlineStr"/>
      <c r="M2978" t="inlineStr"/>
      <c r="N2978" t="inlineStr"/>
      <c r="O2978">
        <f>(1-Summary!$B$11)*T2978+Summary!$B$11*V2978</f>
        <v/>
      </c>
      <c r="P2978">
        <f>IF(B3007=0,0,O2978/B3007)</f>
        <v/>
      </c>
      <c r="Q2978">
        <f>IFERROR(1/IF(Inputs!$B$39="pvp",15,MAX(0.1,Skills!D15-IF(Skills!E15=TRUE,Inputs!$B$32,0))),0)</f>
        <v/>
      </c>
      <c r="R2978">
        <f>IF(AND(Inputs!$B$39&lt;&gt;"pvp",Inputs!$B$44&gt;0),IF(Inputs!$B$44&lt;=0,0,(INT(Inputs!$B$44/IF(Inputs!$B$39="pvp",15,MAX(0.1,Skills!D15-IF(Skills!E15=TRUE,Inputs!$B$32,0))))+1)),0)</f>
        <v/>
      </c>
      <c r="S2978">
        <f>IFERROR(O2978/N2978,0)</f>
        <v/>
      </c>
      <c r="T2978" t="n">
        <v>0</v>
      </c>
      <c r="V2978" t="n">
        <v>0</v>
      </c>
    </row>
    <row r="2979">
      <c r="A2979">
        <f>Skills!A16</f>
        <v/>
      </c>
      <c r="B2979">
        <f>Skills!B16</f>
        <v/>
      </c>
      <c r="C2979">
        <f>Inputs!$B$3&gt;=110</f>
        <v/>
      </c>
      <c r="D2979">
        <f>IF(Skills!C16=1,60+Inputs!$B$25+Inputs!$B$29,IF(Skills!C16=2,90+Inputs!$B$26+Inputs!$B$29,IF(Skills!C16=3,120+Inputs!$B$27+Inputs!$B$29,MAX(0,(Inputs!$B$3-100)*3)+Inputs!$B$28+Inputs!$B$29)))</f>
        <v/>
      </c>
      <c r="E2979">
        <f>INDEX(FactorTable!$B$2:$Y$301, MATCH(ROUND(MIN(300,MAX(1,D2979)),0), FactorTable!$A$2:$A$301,0), Skills!M16+1)</f>
        <v/>
      </c>
      <c r="F2979">
        <f>IF(Skills!N16=TRUE,(Skills!L16/10)*(E2979/1000),Skills!L16/10)+Skills!O16</f>
        <v/>
      </c>
      <c r="G2979">
        <f>Calc!G16</f>
        <v/>
      </c>
      <c r="H2979">
        <f>Calc!H16</f>
        <v/>
      </c>
      <c r="I2979">
        <f>IF(Skills!AA16&lt;&gt;"",1+(Skills!AA16/10)*(U2966/1000)/100,1)</f>
        <v/>
      </c>
      <c r="J2979" t="inlineStr"/>
      <c r="K2979" t="inlineStr"/>
      <c r="L2979" t="inlineStr"/>
      <c r="M2979" t="inlineStr"/>
      <c r="N2979" t="inlineStr"/>
      <c r="O2979">
        <f>(1-Summary!$B$11)*T2979+Summary!$B$11*V2979</f>
        <v/>
      </c>
      <c r="P2979">
        <f>IF(B3007=0,0,O2979/B3007)</f>
        <v/>
      </c>
      <c r="Q2979">
        <f>IFERROR(1/IF(Inputs!$B$39="pvp",15,MAX(0.1,Skills!D16-IF(Skills!E16=TRUE,Inputs!$B$32,0))),0)</f>
        <v/>
      </c>
      <c r="R2979">
        <f>IF(AND(Inputs!$B$39&lt;&gt;"pvp",Inputs!$B$44&gt;0),IF(Inputs!$B$44&lt;=0,0,(INT(Inputs!$B$44/IF(Inputs!$B$39="pvp",15,MAX(0.1,Skills!D16-IF(Skills!E16=TRUE,Inputs!$B$32,0))))+1)),0)</f>
        <v/>
      </c>
      <c r="S2979">
        <f>IFERROR(O2979/N2979,0)</f>
        <v/>
      </c>
      <c r="T2979" t="n">
        <v>0</v>
      </c>
      <c r="V2979" t="n">
        <v>0</v>
      </c>
    </row>
    <row r="2980">
      <c r="A2980">
        <f>Skills!A17</f>
        <v/>
      </c>
      <c r="B2980">
        <f>Skills!B17</f>
        <v/>
      </c>
      <c r="C2980">
        <f>Inputs!$B$3&gt;=115</f>
        <v/>
      </c>
      <c r="D2980">
        <f>IF(Skills!C17=1,60+Inputs!$B$25+Inputs!$B$29,IF(Skills!C17=2,90+Inputs!$B$26+Inputs!$B$29,IF(Skills!C17=3,120+Inputs!$B$27+Inputs!$B$29,MAX(0,(Inputs!$B$3-100)*3)+Inputs!$B$28+Inputs!$B$29)))</f>
        <v/>
      </c>
      <c r="E2980">
        <f>INDEX(FactorTable!$B$2:$Y$301, MATCH(ROUND(MIN(300,MAX(1,D2980)),0), FactorTable!$A$2:$A$301,0), Skills!M17+1)</f>
        <v/>
      </c>
      <c r="F2980">
        <f>IF(Skills!N17=TRUE,(Skills!L17/10)*(E2980/1000),Skills!L17/10)+Skills!O17</f>
        <v/>
      </c>
      <c r="G2980">
        <f>Calc!G17</f>
        <v/>
      </c>
      <c r="H2980">
        <f>Calc!H17</f>
        <v/>
      </c>
      <c r="I2980">
        <f>IF(Skills!AA17&lt;&gt;"",1+(Skills!AA17/10)*(U2966/1000)/100,1)</f>
        <v/>
      </c>
      <c r="J2980">
        <f>((Inputs!$B$6*(1+Inputs!$B$7/100))+(((Inputs!$B$12*(1+Inputs!$B$13/100))-(Inputs!$B$12*(1+Inputs!$B$13/100)))+0.25*(Inputs!$B$14-Inputs!$B$14))*(1+Inputs!$B$7/100))*(F2980/100)</f>
        <v/>
      </c>
      <c r="K2980">
        <f>J2980*(1+((Inputs!$B$12*(1+Inputs!$B$13/100))*0.01+Inputs!$B$14*0.0025)/100)*(1+Inputs!$B$15/100)*(1+Inputs!$B$16/100)*(5000/(6000+Inputs!$B$43*(1-(100*(1-(1-(Inputs!$B$19+0)/100)*(1-CHOOSE(ArtifactsInput!$N$40+1,5,6,7,8,9,10)/100)^(ArtifactsInput!$M$40-ArtifactsInput!$M$40)))/100)))*(1+(Inputs!$B$24+((C2993=TRUE)*(F2993-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2986=TRUE)*(F2986-Calc!F23))+(((IF(AND(ArtifactsInput!$M$42,((Inputs!$B$9+((C2988=TRUE)*(F2988-Calc!F25))+B3003+(ArtifactsInput!$M$24-ArtifactsInput!$M$24)*CHOOSE(ArtifactsInput!$N$24+1,10,12,14,16,18,20)+IF(ArtifactsInput!$M$10,CHOOSE(ArtifactsInput!$N$10+1,15,18,21,24,27,30)*(IF(Inputs!$B$39="pvp",MIN(15,15)/15,IF(AND(Inputs!$B$39&lt;&gt;"pvp",Inputs!$B$44&gt;0),MIN(15,Inputs!$B$44)/(Inputs!$B$44),0))),0)))&gt;=100),MIN(100,((Inputs!$B$9+((C2988=TRUE)*(F2988-Calc!F25))+B3003+(ArtifactsInput!$M$24-ArtifactsInput!$M$24)*CHOOSE(ArtifactsInput!$N$24+1,10,12,14,16,18,20)+IF(ArtifactsInput!$M$10,CHOOSE(ArtifactsInput!$N$10+1,15,18,21,24,27,30)*(IF(Inputs!$B$39="pvp",MIN(15,15)/15,IF(AND(Inputs!$B$39&lt;&gt;"pvp",Inputs!$B$44&gt;0),MIN(15,Inputs!$B$44)/(Inputs!$B$44),0))),0)))-100),0))*CHOOSE(ArtifactsInput!$N$42+1,0.6,0.72,0.84,0.96,1.08,1.2))),Inputs!$B$18+((C2992=TRUE)*(F2992-Calc!F29))+(IF(AND(ArtifactsInput!$M$42,((Inputs!$B$9+((C2988=TRUE)*(F2988-Calc!F25))+B3003+(ArtifactsInput!$M$24-ArtifactsInput!$M$24)*CHOOSE(ArtifactsInput!$N$24+1,10,12,14,16,18,20)+IF(ArtifactsInput!$M$10,CHOOSE(ArtifactsInput!$N$10+1,15,18,21,24,27,30)*(IF(Inputs!$B$39="pvp",MIN(15,15)/15,IF(AND(Inputs!$B$39&lt;&gt;"pvp",Inputs!$B$44&gt;0),MIN(15,Inputs!$B$44)/(Inputs!$B$44),0))),0)))&gt;=100),CHOOSE(ArtifactsInput!$N$42+1,40,48,56,64,72,80),0))))/100)*(((1+(((C2984=TRUE)*F2984*IF(AND(Inputs!$B$39&lt;&gt;"pvp",Inputs!$B$44&gt;0),(((R2984-1)*(Skills!Y21*(1+Inputs!$B$34/100))+MIN((Skills!Y21*(1+Inputs!$B$34/100)),MAX(0,Inputs!$B$44-((R2984-1)*Skills!D21))))/Inputs!$B$44),IF(Inputs!$B$39="pvp",MIN((Skills!Y21*(1+Inputs!$B$34/100)),15)/15,(Skills!Y21*(1+Inputs!$B$34/100))/Skills!D21)))+((C2991=TRUE)*(F2991-Calc!F28))+((C2981=TRUE)*(F2981-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2978=TRUE)*F2978*IF(AND(Inputs!$B$39&lt;&gt;"pvp",Inputs!$B$44&gt;0),(((R2978-1)*(Skills!Y15*(1+Inputs!$B$34/100))+MIN((Skills!Y15*(1+Inputs!$B$34/100)),MAX(0,Inputs!$B$44-((R2978-1)*Skills!D15))))/Inputs!$B$44),IF(Inputs!$B$39="pvp",MIN((Skills!Y15*(1+Inputs!$B$34/100)),15)/15,(Skills!Y15*(1+Inputs!$B$34/100))/Skills!D15)))/100)*(1+((C2969=TRUE)*F2969*B2997)/100))*B3005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2980)</f>
        <v/>
      </c>
      <c r="L2980">
        <f>K2980*(MIN(Inputs!$B$22+((C2987=TRUE)*(F2987-Calc!F24)),(Inputs!$B$23+0+(IF(ArtifactsInput!$M$15,CHOOSE(ArtifactsInput!$N$15+1,25,30,35,40,45,50)/100*(Inputs!$B$11-Inputs!$B$11),0))))/100+(Inputs!$B$23+0+(IF(ArtifactsInput!$M$15,CHOOSE(ArtifactsInput!$N$15+1,25,30,35,40,45,50)/100*(Inputs!$B$11-Inputs!$B$11),0)))/100)/2</f>
        <v/>
      </c>
      <c r="M2980">
        <f>L2980*(1+(Inputs!$B$10+((C2989=TRUE)*(F2989-Calc!F26))+B3006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80">
        <f>L2980*(1-MIN((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2980*(MIN((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80">
        <f>(1-Summary!$B$11)*T2980+Summary!$B$11*V2980</f>
        <v/>
      </c>
      <c r="P2980">
        <f>IF(B3007=0,0,O2980/B3007)</f>
        <v/>
      </c>
      <c r="Q2980" t="n">
        <v>0</v>
      </c>
      <c r="R2980" t="n">
        <v>0</v>
      </c>
      <c r="S2980">
        <f>IFERROR(O2980/N2980,0)</f>
        <v/>
      </c>
      <c r="T2980">
        <f>IF(C2980,(Inputs!$B$38*0.2*N2980)*IF(Inputs!$B$39="pvp",1,1+(Inputs!$B$20+((C2990=TRUE)*(F2990-Calc!F27))+Skills!P17+B3004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2980*(1-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2980*(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2980*(1-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2980*(MIN(100,(Inputs!$B$9+((C2988=TRUE)*(F2988-Calc!F25))+B3003+(ArtifactsInput!$M$24-ArtifactsInput!$M$24)*CHOOSE(ArtifactsInput!$N$24+1,10,12,14,16,18,20)+(IF(AND(ArtifactsInput!$M$42,((Inputs!$B$9+((C2988=TRUE)*(F2988-Calc!F25))+B3003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80">
        <f>IF(C2980,(Inputs!$B$38*0.2*N2980)*IF(Inputs!$B$39="pvp",1,(1+(Inputs!$B$21+Skills!Q17+B3004+(IF(ArtifactsInput!$M$33,CHOOSE(ArtifactsInput!$N$33+1,30,36,42,48,54,60),0))+(IF(AND(ArtifactsInput!$M$35,Inputs!$B$4&lt;&gt;"Chapter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81">
      <c r="A2981">
        <f>Skills!A18</f>
        <v/>
      </c>
      <c r="B2981">
        <f>Skills!B18</f>
        <v/>
      </c>
      <c r="C2981">
        <f>Inputs!$B$3&gt;=115</f>
        <v/>
      </c>
      <c r="D2981">
        <f>IF(Skills!C18=1,60+Inputs!$B$25+Inputs!$B$29,IF(Skills!C18=2,90+Inputs!$B$26+Inputs!$B$29,IF(Skills!C18=3,120+Inputs!$B$27+Inputs!$B$29,MAX(0,(Inputs!$B$3-100)*3)+Inputs!$B$28+Inputs!$B$29)))</f>
        <v/>
      </c>
      <c r="E2981">
        <f>INDEX(FactorTable!$B$2:$Y$301, MATCH(ROUND(MIN(300,MAX(1,D2981)),0), FactorTable!$A$2:$A$301,0), Skills!M18+1)</f>
        <v/>
      </c>
      <c r="F2981">
        <f>IF(Skills!N18=TRUE,(Skills!L18/10)*(E2981/1000),Skills!L18/10)+Skills!O18</f>
        <v/>
      </c>
      <c r="G2981">
        <f>Calc!G18</f>
        <v/>
      </c>
      <c r="H2981">
        <f>Calc!H18</f>
        <v/>
      </c>
      <c r="I2981">
        <f>IF(Skills!AA18&lt;&gt;"",1+(Skills!AA18/10)*(U2966/1000)/100,1)</f>
        <v/>
      </c>
      <c r="J2981" t="inlineStr"/>
      <c r="K2981" t="inlineStr"/>
      <c r="L2981" t="inlineStr"/>
      <c r="M2981" t="inlineStr"/>
      <c r="N2981" t="inlineStr"/>
      <c r="O2981">
        <f>(1-Summary!$B$11)*T2981+Summary!$B$11*V2981</f>
        <v/>
      </c>
      <c r="P2981">
        <f>IF(B3007=0,0,O2981/B3007)</f>
        <v/>
      </c>
      <c r="Q2981" t="n">
        <v>0</v>
      </c>
      <c r="R2981" t="n">
        <v>0</v>
      </c>
      <c r="S2981">
        <f>IFERROR(O2981/N2981,0)</f>
        <v/>
      </c>
      <c r="T2981" t="n">
        <v>0</v>
      </c>
      <c r="V2981" t="n">
        <v>0</v>
      </c>
    </row>
    <row r="2982">
      <c r="A2982">
        <f>Skills!A19</f>
        <v/>
      </c>
      <c r="B2982">
        <f>Skills!B19</f>
        <v/>
      </c>
      <c r="C2982">
        <f>TRUE</f>
        <v/>
      </c>
      <c r="D2982">
        <f>IF(Skills!C19=1,60+Inputs!$B$25+Inputs!$B$29,IF(Skills!C19=2,90+Inputs!$B$26+Inputs!$B$29,IF(Skills!C19=3,120+Inputs!$B$27+Inputs!$B$29,MAX(0,(Inputs!$B$3-100)*3)+Inputs!$B$28+Inputs!$B$29)))</f>
        <v/>
      </c>
      <c r="E2982">
        <f>INDEX(FactorTable!$B$2:$Y$301, MATCH(ROUND(MIN(300,MAX(1,D2982)),0), FactorTable!$A$2:$A$301,0), Skills!M19+1)</f>
        <v/>
      </c>
      <c r="F2982">
        <f>IF(Skills!N19=TRUE,(Skills!L19/10)*(E2982/1000),Skills!L19/10)+Skills!O19</f>
        <v/>
      </c>
      <c r="G2982">
        <f>Calc!G19</f>
        <v/>
      </c>
      <c r="H2982">
        <f>Calc!H19</f>
        <v/>
      </c>
      <c r="I2982">
        <f>IF(Skills!AA19&lt;&gt;"",1+(Skills!AA19/10)*(U2966/1000)/100,1)</f>
        <v/>
      </c>
      <c r="J2982" t="inlineStr"/>
      <c r="K2982" t="inlineStr"/>
      <c r="L2982" t="inlineStr"/>
      <c r="M2982" t="inlineStr"/>
      <c r="N2982" t="inlineStr"/>
      <c r="O2982">
        <f>(1-Summary!$B$11)*T2982+Summary!$B$11*V2982</f>
        <v/>
      </c>
      <c r="P2982">
        <f>IF(B3007=0,0,O2982/B3007)</f>
        <v/>
      </c>
      <c r="Q2982">
        <f>IFERROR(1/IF(Inputs!$B$39="pvp",15,MAX(0.1,Skills!D19-IF(Skills!E19=TRUE,Inputs!$B$32,0))),0)</f>
        <v/>
      </c>
      <c r="R2982">
        <f>IF(AND(Inputs!$B$39&lt;&gt;"pvp",Inputs!$B$44&gt;0),IF(Inputs!$B$44&lt;=0,0,(INT(Inputs!$B$44/IF(Inputs!$B$39="pvp",15,MAX(0.1,Skills!D19-IF(Skills!E19=TRUE,Inputs!$B$32,0))))+1)),0)</f>
        <v/>
      </c>
      <c r="S2982">
        <f>IFERROR(O2982/N2982,0)</f>
        <v/>
      </c>
      <c r="T2982" t="n">
        <v>0</v>
      </c>
      <c r="V2982" t="n">
        <v>0</v>
      </c>
    </row>
    <row r="2983">
      <c r="A2983">
        <f>Skills!A20</f>
        <v/>
      </c>
      <c r="B2983">
        <f>Skills!B20</f>
        <v/>
      </c>
      <c r="C2983">
        <f>Inputs!$B$3&gt;=15</f>
        <v/>
      </c>
      <c r="D2983">
        <f>IF(Skills!C20=1,60+Inputs!$B$25+Inputs!$B$29,IF(Skills!C20=2,90+Inputs!$B$26+Inputs!$B$29,IF(Skills!C20=3,120+Inputs!$B$27+Inputs!$B$29,MAX(0,(Inputs!$B$3-100)*3)+Inputs!$B$28+Inputs!$B$29)))</f>
        <v/>
      </c>
      <c r="E2983">
        <f>INDEX(FactorTable!$B$2:$Y$301, MATCH(ROUND(MIN(300,MAX(1,D2983)),0), FactorTable!$A$2:$A$301,0), Skills!M20+1)</f>
        <v/>
      </c>
      <c r="F2983">
        <f>IF(Skills!N20=TRUE,(Skills!L20/10)*(E2983/1000),Skills!L20/10)+Skills!O20</f>
        <v/>
      </c>
      <c r="G2983">
        <f>Calc!G20</f>
        <v/>
      </c>
      <c r="H2983">
        <f>Calc!H20</f>
        <v/>
      </c>
      <c r="I2983">
        <f>IF(Skills!AA20&lt;&gt;"",1+(Skills!AA20/10)*(U2966/1000)/100,1)</f>
        <v/>
      </c>
      <c r="J2983" t="inlineStr"/>
      <c r="K2983" t="inlineStr"/>
      <c r="L2983" t="inlineStr"/>
      <c r="M2983" t="inlineStr"/>
      <c r="N2983" t="inlineStr"/>
      <c r="O2983">
        <f>(1-Summary!$B$11)*T2983+Summary!$B$11*V2983</f>
        <v/>
      </c>
      <c r="P2983">
        <f>IF(B3007=0,0,O2983/B3007)</f>
        <v/>
      </c>
      <c r="Q2983">
        <f>IFERROR(1/IF(Inputs!$B$39="pvp",15,MAX(0.1,Skills!D20-IF(Skills!E20=TRUE,Inputs!$B$32,0))),0)</f>
        <v/>
      </c>
      <c r="R2983">
        <f>IF(AND(Inputs!$B$39&lt;&gt;"pvp",Inputs!$B$44&gt;0),IF(Inputs!$B$44&lt;=0,0,(INT(Inputs!$B$44/IF(Inputs!$B$39="pvp",15,MAX(0.1,Skills!D20-IF(Skills!E20=TRUE,Inputs!$B$32,0))))+1)),0)</f>
        <v/>
      </c>
      <c r="S2983">
        <f>IFERROR(O2983/N2983,0)</f>
        <v/>
      </c>
      <c r="T2983" t="n">
        <v>0</v>
      </c>
      <c r="V2983" t="n">
        <v>0</v>
      </c>
    </row>
    <row r="2984">
      <c r="A2984">
        <f>Skills!A21</f>
        <v/>
      </c>
      <c r="B2984">
        <f>Skills!B21</f>
        <v/>
      </c>
      <c r="C2984">
        <f>Inputs!$B$3&gt;=15</f>
        <v/>
      </c>
      <c r="D2984">
        <f>IF(Skills!C21=1,60+Inputs!$B$25+Inputs!$B$29,IF(Skills!C21=2,90+Inputs!$B$26+Inputs!$B$29,IF(Skills!C21=3,120+Inputs!$B$27+Inputs!$B$29,MAX(0,(Inputs!$B$3-100)*3)+Inputs!$B$28+Inputs!$B$29)))</f>
        <v/>
      </c>
      <c r="E2984">
        <f>INDEX(FactorTable!$B$2:$Y$301, MATCH(ROUND(MIN(300,MAX(1,D2984)),0), FactorTable!$A$2:$A$301,0), Skills!M21+1)</f>
        <v/>
      </c>
      <c r="F2984">
        <f>IF(Skills!N21=TRUE,(Skills!L21/10)*(E2984/1000),Skills!L21/10)+Skills!O21</f>
        <v/>
      </c>
      <c r="G2984">
        <f>Calc!G21</f>
        <v/>
      </c>
      <c r="H2984">
        <f>Calc!H21</f>
        <v/>
      </c>
      <c r="I2984">
        <f>IF(Skills!AA21&lt;&gt;"",1+(Skills!AA21/10)*(U2966/1000)/100,1)</f>
        <v/>
      </c>
      <c r="J2984" t="inlineStr"/>
      <c r="K2984" t="inlineStr"/>
      <c r="L2984" t="inlineStr"/>
      <c r="M2984" t="inlineStr"/>
      <c r="N2984" t="inlineStr"/>
      <c r="O2984">
        <f>(1-Summary!$B$11)*T2984+Summary!$B$11*V2984</f>
        <v/>
      </c>
      <c r="P2984">
        <f>IF(B3007=0,0,O2984/B3007)</f>
        <v/>
      </c>
      <c r="Q2984">
        <f>IFERROR(1/IF(Inputs!$B$39="pvp",15,MAX(0.1,Skills!D21-IF(Skills!E21=TRUE,Inputs!$B$32,0))),0)</f>
        <v/>
      </c>
      <c r="R2984">
        <f>IF(AND(Inputs!$B$39&lt;&gt;"pvp",Inputs!$B$44&gt;0),IF(Inputs!$B$44&lt;=0,0,(INT(Inputs!$B$44/IF(Inputs!$B$39="pvp",15,MAX(0.1,Skills!D21-IF(Skills!E21=TRUE,Inputs!$B$32,0))))+1)),0)</f>
        <v/>
      </c>
      <c r="S2984">
        <f>IFERROR(O2984/N2984,0)</f>
        <v/>
      </c>
      <c r="T2984" t="n">
        <v>0</v>
      </c>
      <c r="V2984" t="n">
        <v>0</v>
      </c>
    </row>
    <row r="2985">
      <c r="A2985">
        <f>Skills!A22</f>
        <v/>
      </c>
      <c r="B2985">
        <f>Skills!B22</f>
        <v/>
      </c>
      <c r="C2985">
        <f>Inputs!$B$3&gt;=33</f>
        <v/>
      </c>
      <c r="D2985">
        <f>IF(Skills!C22=1,60+Inputs!$B$25+Inputs!$B$29,IF(Skills!C22=2,90+Inputs!$B$26+Inputs!$B$29,IF(Skills!C22=3,120+Inputs!$B$27+Inputs!$B$29,MAX(0,(Inputs!$B$3-100)*3)+Inputs!$B$28+Inputs!$B$29)))</f>
        <v/>
      </c>
      <c r="E2985">
        <f>INDEX(FactorTable!$B$2:$Y$301, MATCH(ROUND(MIN(300,MAX(1,D2985)),0), FactorTable!$A$2:$A$301,0), Skills!M22+1)</f>
        <v/>
      </c>
      <c r="F2985">
        <f>IF(Skills!N22=TRUE,(Skills!L22/10)*(E2985/1000),Skills!L22/10)+Skills!O22</f>
        <v/>
      </c>
      <c r="G2985">
        <f>Calc!G22</f>
        <v/>
      </c>
      <c r="H2985">
        <f>Calc!H22</f>
        <v/>
      </c>
      <c r="I2985">
        <f>IF(Skills!AA22&lt;&gt;"",1+(Skills!AA22/10)*(U2966/1000)/100,1)</f>
        <v/>
      </c>
      <c r="J2985" t="inlineStr"/>
      <c r="K2985" t="inlineStr"/>
      <c r="L2985" t="inlineStr"/>
      <c r="M2985" t="inlineStr"/>
      <c r="N2985" t="inlineStr"/>
      <c r="O2985">
        <f>(1-Summary!$B$11)*T2985+Summary!$B$11*V2985</f>
        <v/>
      </c>
      <c r="P2985">
        <f>IF(B3007=0,0,O2985/B3007)</f>
        <v/>
      </c>
      <c r="Q2985" t="n">
        <v>0</v>
      </c>
      <c r="R2985" t="n">
        <v>0</v>
      </c>
      <c r="S2985">
        <f>IFERROR(O2985/N2985,0)</f>
        <v/>
      </c>
      <c r="T2985" t="n">
        <v>0</v>
      </c>
      <c r="V2985" t="n">
        <v>0</v>
      </c>
    </row>
    <row r="2986">
      <c r="A2986">
        <f>Skills!A23</f>
        <v/>
      </c>
      <c r="B2986">
        <f>Skills!B23</f>
        <v/>
      </c>
      <c r="C2986">
        <f>Inputs!$B$3&gt;=38</f>
        <v/>
      </c>
      <c r="D2986">
        <f>IF(Skills!C23=1,60+Inputs!$B$25+Inputs!$B$29,IF(Skills!C23=2,90+Inputs!$B$26+Inputs!$B$29,IF(Skills!C23=3,120+Inputs!$B$27+Inputs!$B$29,MAX(0,(Inputs!$B$3-100)*3)+Inputs!$B$28+Inputs!$B$29)))</f>
        <v/>
      </c>
      <c r="E2986">
        <f>INDEX(FactorTable!$B$2:$Y$301, MATCH(ROUND(MIN(300,MAX(1,D2986)),0), FactorTable!$A$2:$A$301,0), Skills!M23+1)</f>
        <v/>
      </c>
      <c r="F2986">
        <f>IF(Skills!N23=TRUE,(Skills!L23/10)*(E2986/1000),Skills!L23/10)+Skills!O23</f>
        <v/>
      </c>
      <c r="G2986">
        <f>Calc!G23</f>
        <v/>
      </c>
      <c r="H2986">
        <f>Calc!H23</f>
        <v/>
      </c>
      <c r="I2986">
        <f>IF(Skills!AA23&lt;&gt;"",1+(Skills!AA23/10)*(U2966/1000)/100,1)</f>
        <v/>
      </c>
      <c r="J2986" t="inlineStr"/>
      <c r="K2986" t="inlineStr"/>
      <c r="L2986" t="inlineStr"/>
      <c r="M2986" t="inlineStr"/>
      <c r="N2986" t="inlineStr"/>
      <c r="O2986">
        <f>(1-Summary!$B$11)*T2986+Summary!$B$11*V2986</f>
        <v/>
      </c>
      <c r="P2986">
        <f>IF(B3007=0,0,O2986/B3007)</f>
        <v/>
      </c>
      <c r="Q2986" t="n">
        <v>0</v>
      </c>
      <c r="R2986" t="n">
        <v>0</v>
      </c>
      <c r="S2986">
        <f>IFERROR(O2986/N2986,0)</f>
        <v/>
      </c>
      <c r="T2986" t="n">
        <v>0</v>
      </c>
      <c r="V2986" t="n">
        <v>0</v>
      </c>
    </row>
    <row r="2987">
      <c r="A2987">
        <f>Skills!A24</f>
        <v/>
      </c>
      <c r="B2987">
        <f>Skills!B24</f>
        <v/>
      </c>
      <c r="C2987">
        <f>Inputs!$B$3&gt;=40</f>
        <v/>
      </c>
      <c r="D2987">
        <f>IF(Skills!C24=1,60+Inputs!$B$25+Inputs!$B$29,IF(Skills!C24=2,90+Inputs!$B$26+Inputs!$B$29,IF(Skills!C24=3,120+Inputs!$B$27+Inputs!$B$29,MAX(0,(Inputs!$B$3-100)*3)+Inputs!$B$28+Inputs!$B$29)))</f>
        <v/>
      </c>
      <c r="E2987">
        <f>INDEX(FactorTable!$B$2:$Y$301, MATCH(ROUND(MIN(300,MAX(1,D2987)),0), FactorTable!$A$2:$A$301,0), Skills!M24+1)</f>
        <v/>
      </c>
      <c r="F2987">
        <f>IF(Skills!N24=TRUE,(Skills!L24/10)*(E2987/1000),Skills!L24/10)+Skills!O24</f>
        <v/>
      </c>
      <c r="G2987">
        <f>Calc!G24</f>
        <v/>
      </c>
      <c r="H2987">
        <f>Calc!H24</f>
        <v/>
      </c>
      <c r="I2987">
        <f>IF(Skills!AA24&lt;&gt;"",1+(Skills!AA24/10)*(U2966/1000)/100,1)</f>
        <v/>
      </c>
      <c r="J2987" t="inlineStr"/>
      <c r="K2987" t="inlineStr"/>
      <c r="L2987" t="inlineStr"/>
      <c r="M2987" t="inlineStr"/>
      <c r="N2987" t="inlineStr"/>
      <c r="O2987">
        <f>(1-Summary!$B$11)*T2987+Summary!$B$11*V2987</f>
        <v/>
      </c>
      <c r="P2987">
        <f>IF(B3007=0,0,O2987/B3007)</f>
        <v/>
      </c>
      <c r="Q2987" t="n">
        <v>0</v>
      </c>
      <c r="R2987" t="n">
        <v>0</v>
      </c>
      <c r="S2987">
        <f>IFERROR(O2987/N2987,0)</f>
        <v/>
      </c>
      <c r="T2987" t="n">
        <v>0</v>
      </c>
      <c r="V2987" t="n">
        <v>0</v>
      </c>
    </row>
    <row r="2988">
      <c r="A2988">
        <f>Skills!A25</f>
        <v/>
      </c>
      <c r="B2988">
        <f>Skills!B25</f>
        <v/>
      </c>
      <c r="C2988">
        <f>Inputs!$B$3&gt;=45</f>
        <v/>
      </c>
      <c r="D2988">
        <f>IF(Skills!C25=1,60+Inputs!$B$25+Inputs!$B$29,IF(Skills!C25=2,90+Inputs!$B$26+Inputs!$B$29,IF(Skills!C25=3,120+Inputs!$B$27+Inputs!$B$29,MAX(0,(Inputs!$B$3-100)*3)+Inputs!$B$28+Inputs!$B$29)))</f>
        <v/>
      </c>
      <c r="E2988">
        <f>INDEX(FactorTable!$B$2:$Y$301, MATCH(ROUND(MIN(300,MAX(1,D2988)),0), FactorTable!$A$2:$A$301,0), Skills!M25+1)</f>
        <v/>
      </c>
      <c r="F2988">
        <f>IF(Skills!N25=TRUE,(Skills!L25/10)*(E2988/1000),Skills!L25/10)+Skills!O25</f>
        <v/>
      </c>
      <c r="G2988">
        <f>Calc!G25</f>
        <v/>
      </c>
      <c r="H2988">
        <f>Calc!H25</f>
        <v/>
      </c>
      <c r="I2988">
        <f>IF(Skills!AA25&lt;&gt;"",1+(Skills!AA25/10)*(U2966/1000)/100,1)</f>
        <v/>
      </c>
      <c r="J2988" t="inlineStr"/>
      <c r="K2988" t="inlineStr"/>
      <c r="L2988" t="inlineStr"/>
      <c r="M2988" t="inlineStr"/>
      <c r="N2988" t="inlineStr"/>
      <c r="O2988">
        <f>(1-Summary!$B$11)*T2988+Summary!$B$11*V2988</f>
        <v/>
      </c>
      <c r="P2988">
        <f>IF(B3007=0,0,O2988/B3007)</f>
        <v/>
      </c>
      <c r="Q2988" t="n">
        <v>0</v>
      </c>
      <c r="R2988" t="n">
        <v>0</v>
      </c>
      <c r="S2988">
        <f>IFERROR(O2988/N2988,0)</f>
        <v/>
      </c>
      <c r="T2988" t="n">
        <v>0</v>
      </c>
      <c r="V2988" t="n">
        <v>0</v>
      </c>
    </row>
    <row r="2989">
      <c r="A2989">
        <f>Skills!A26</f>
        <v/>
      </c>
      <c r="B2989">
        <f>Skills!B26</f>
        <v/>
      </c>
      <c r="C2989">
        <f>Inputs!$B$3&gt;=45</f>
        <v/>
      </c>
      <c r="D2989">
        <f>IF(Skills!C26=1,60+Inputs!$B$25+Inputs!$B$29,IF(Skills!C26=2,90+Inputs!$B$26+Inputs!$B$29,IF(Skills!C26=3,120+Inputs!$B$27+Inputs!$B$29,MAX(0,(Inputs!$B$3-100)*3)+Inputs!$B$28+Inputs!$B$29)))</f>
        <v/>
      </c>
      <c r="E2989">
        <f>INDEX(FactorTable!$B$2:$Y$301, MATCH(ROUND(MIN(300,MAX(1,D2989)),0), FactorTable!$A$2:$A$301,0), Skills!M26+1)</f>
        <v/>
      </c>
      <c r="F2989">
        <f>IF(Skills!N26=TRUE,(Skills!L26/10)*(E2989/1000),Skills!L26/10)+Skills!O26</f>
        <v/>
      </c>
      <c r="G2989">
        <f>Calc!G26</f>
        <v/>
      </c>
      <c r="H2989">
        <f>Calc!H26</f>
        <v/>
      </c>
      <c r="I2989">
        <f>IF(Skills!AA26&lt;&gt;"",1+(Skills!AA26/10)*(U2966/1000)/100,1)</f>
        <v/>
      </c>
      <c r="J2989" t="inlineStr"/>
      <c r="K2989" t="inlineStr"/>
      <c r="L2989" t="inlineStr"/>
      <c r="M2989" t="inlineStr"/>
      <c r="N2989" t="inlineStr"/>
      <c r="O2989">
        <f>(1-Summary!$B$11)*T2989+Summary!$B$11*V2989</f>
        <v/>
      </c>
      <c r="P2989">
        <f>IF(B3007=0,0,O2989/B3007)</f>
        <v/>
      </c>
      <c r="Q2989" t="n">
        <v>0</v>
      </c>
      <c r="R2989" t="n">
        <v>0</v>
      </c>
      <c r="S2989">
        <f>IFERROR(O2989/N2989,0)</f>
        <v/>
      </c>
      <c r="T2989" t="n">
        <v>0</v>
      </c>
      <c r="V2989" t="n">
        <v>0</v>
      </c>
    </row>
    <row r="2990">
      <c r="A2990">
        <f>Skills!A27</f>
        <v/>
      </c>
      <c r="B2990">
        <f>Skills!B27</f>
        <v/>
      </c>
      <c r="C2990">
        <f>Inputs!$B$3&gt;=72</f>
        <v/>
      </c>
      <c r="D2990">
        <f>IF(Skills!C27=1,60+Inputs!$B$25+Inputs!$B$29,IF(Skills!C27=2,90+Inputs!$B$26+Inputs!$B$29,IF(Skills!C27=3,120+Inputs!$B$27+Inputs!$B$29,MAX(0,(Inputs!$B$3-100)*3)+Inputs!$B$28+Inputs!$B$29)))</f>
        <v/>
      </c>
      <c r="E2990">
        <f>INDEX(FactorTable!$B$2:$Y$301, MATCH(ROUND(MIN(300,MAX(1,D2990)),0), FactorTable!$A$2:$A$301,0), Skills!M27+1)</f>
        <v/>
      </c>
      <c r="F2990">
        <f>IF(Skills!N27=TRUE,(Skills!L27/10)*(E2990/1000),Skills!L27/10)+Skills!O27</f>
        <v/>
      </c>
      <c r="G2990">
        <f>Calc!G27</f>
        <v/>
      </c>
      <c r="H2990">
        <f>Calc!H27</f>
        <v/>
      </c>
      <c r="I2990">
        <f>IF(Skills!AA27&lt;&gt;"",1+(Skills!AA27/10)*(U2966/1000)/100,1)</f>
        <v/>
      </c>
      <c r="J2990" t="inlineStr"/>
      <c r="K2990" t="inlineStr"/>
      <c r="L2990" t="inlineStr"/>
      <c r="M2990" t="inlineStr"/>
      <c r="N2990" t="inlineStr"/>
      <c r="O2990">
        <f>(1-Summary!$B$11)*T2990+Summary!$B$11*V2990</f>
        <v/>
      </c>
      <c r="P2990">
        <f>IF(B3007=0,0,O2990/B3007)</f>
        <v/>
      </c>
      <c r="Q2990" t="n">
        <v>0</v>
      </c>
      <c r="R2990" t="n">
        <v>0</v>
      </c>
      <c r="S2990">
        <f>IFERROR(O2990/N2990,0)</f>
        <v/>
      </c>
      <c r="T2990" t="n">
        <v>0</v>
      </c>
      <c r="V2990" t="n">
        <v>0</v>
      </c>
    </row>
    <row r="2991">
      <c r="A2991">
        <f>Skills!A28</f>
        <v/>
      </c>
      <c r="B2991">
        <f>Skills!B28</f>
        <v/>
      </c>
      <c r="C2991">
        <f>Inputs!$B$3&gt;=75</f>
        <v/>
      </c>
      <c r="D2991">
        <f>IF(Skills!C28=1,60+Inputs!$B$25+Inputs!$B$29,IF(Skills!C28=2,90+Inputs!$B$26+Inputs!$B$29,IF(Skills!C28=3,120+Inputs!$B$27+Inputs!$B$29,MAX(0,(Inputs!$B$3-100)*3)+Inputs!$B$28+Inputs!$B$29)))</f>
        <v/>
      </c>
      <c r="E2991">
        <f>INDEX(FactorTable!$B$2:$Y$301, MATCH(ROUND(MIN(300,MAX(1,D2991)),0), FactorTable!$A$2:$A$301,0), Skills!M28+1)</f>
        <v/>
      </c>
      <c r="F2991">
        <f>IF(Skills!N28=TRUE,(Skills!L28/10)*(E2991/1000),Skills!L28/10)+Skills!O28</f>
        <v/>
      </c>
      <c r="G2991">
        <f>Calc!G28</f>
        <v/>
      </c>
      <c r="H2991">
        <f>Calc!H28</f>
        <v/>
      </c>
      <c r="I2991">
        <f>IF(Skills!AA28&lt;&gt;"",1+(Skills!AA28/10)*(U2966/1000)/100,1)</f>
        <v/>
      </c>
      <c r="J2991" t="inlineStr"/>
      <c r="K2991" t="inlineStr"/>
      <c r="L2991" t="inlineStr"/>
      <c r="M2991" t="inlineStr"/>
      <c r="N2991" t="inlineStr"/>
      <c r="O2991">
        <f>(1-Summary!$B$11)*T2991+Summary!$B$11*V2991</f>
        <v/>
      </c>
      <c r="P2991">
        <f>IF(B3007=0,0,O2991/B3007)</f>
        <v/>
      </c>
      <c r="Q2991" t="n">
        <v>0</v>
      </c>
      <c r="R2991" t="n">
        <v>0</v>
      </c>
      <c r="S2991">
        <f>IFERROR(O2991/N2991,0)</f>
        <v/>
      </c>
      <c r="T2991" t="n">
        <v>0</v>
      </c>
      <c r="V2991" t="n">
        <v>0</v>
      </c>
    </row>
    <row r="2992">
      <c r="A2992">
        <f>Skills!A29</f>
        <v/>
      </c>
      <c r="B2992">
        <f>Skills!B29</f>
        <v/>
      </c>
      <c r="C2992">
        <f>Inputs!$B$3&gt;=120</f>
        <v/>
      </c>
      <c r="D2992">
        <f>IF(Skills!C29=1,60+Inputs!$B$25+Inputs!$B$29,IF(Skills!C29=2,90+Inputs!$B$26+Inputs!$B$29,IF(Skills!C29=3,120+Inputs!$B$27+Inputs!$B$29,MAX(0,(Inputs!$B$3-100)*3)+Inputs!$B$28+Inputs!$B$29)))</f>
        <v/>
      </c>
      <c r="E2992">
        <f>INDEX(FactorTable!$B$2:$Y$301, MATCH(ROUND(MIN(300,MAX(1,D2992)),0), FactorTable!$A$2:$A$301,0), Skills!M29+1)</f>
        <v/>
      </c>
      <c r="F2992">
        <f>IF(Skills!N29=TRUE,(Skills!L29/10)*(E2992/1000),Skills!L29/10)+Skills!O29</f>
        <v/>
      </c>
      <c r="G2992">
        <f>Calc!G29</f>
        <v/>
      </c>
      <c r="H2992">
        <f>Calc!H29</f>
        <v/>
      </c>
      <c r="I2992">
        <f>IF(Skills!AA29&lt;&gt;"",1+(Skills!AA29/10)*(U2966/1000)/100,1)</f>
        <v/>
      </c>
      <c r="J2992" t="inlineStr"/>
      <c r="K2992" t="inlineStr"/>
      <c r="L2992" t="inlineStr"/>
      <c r="M2992" t="inlineStr"/>
      <c r="N2992" t="inlineStr"/>
      <c r="O2992">
        <f>(1-Summary!$B$11)*T2992+Summary!$B$11*V2992</f>
        <v/>
      </c>
      <c r="P2992">
        <f>IF(B3007=0,0,O2992/B3007)</f>
        <v/>
      </c>
      <c r="Q2992" t="n">
        <v>0</v>
      </c>
      <c r="R2992" t="n">
        <v>0</v>
      </c>
      <c r="S2992">
        <f>IFERROR(O2992/N2992,0)</f>
        <v/>
      </c>
      <c r="T2992" t="n">
        <v>0</v>
      </c>
      <c r="V2992" t="n">
        <v>0</v>
      </c>
    </row>
    <row r="2993">
      <c r="A2993">
        <f>Skills!A30</f>
        <v/>
      </c>
      <c r="B2993">
        <f>Skills!B30</f>
        <v/>
      </c>
      <c r="C2993">
        <f>Inputs!$B$3&gt;=125</f>
        <v/>
      </c>
      <c r="D2993">
        <f>IF(Skills!C30=1,60+Inputs!$B$25+Inputs!$B$29,IF(Skills!C30=2,90+Inputs!$B$26+Inputs!$B$29,IF(Skills!C30=3,120+Inputs!$B$27+Inputs!$B$29,MAX(0,(Inputs!$B$3-100)*3)+Inputs!$B$28+Inputs!$B$29)))</f>
        <v/>
      </c>
      <c r="E2993">
        <f>INDEX(FactorTable!$B$2:$Y$301, MATCH(ROUND(MIN(300,MAX(1,D2993)),0), FactorTable!$A$2:$A$301,0), Skills!M30+1)</f>
        <v/>
      </c>
      <c r="F2993">
        <f>IF(Skills!N30=TRUE,(Skills!L30/10)*(E2993/1000),Skills!L30/10)+Skills!O30</f>
        <v/>
      </c>
      <c r="G2993">
        <f>Calc!G30</f>
        <v/>
      </c>
      <c r="H2993">
        <f>Calc!H30</f>
        <v/>
      </c>
      <c r="I2993">
        <f>IF(Skills!AA30&lt;&gt;"",1+(Skills!AA30/10)*(U2966/1000)/100,1)</f>
        <v/>
      </c>
      <c r="J2993" t="inlineStr"/>
      <c r="K2993" t="inlineStr"/>
      <c r="L2993" t="inlineStr"/>
      <c r="M2993" t="inlineStr"/>
      <c r="N2993" t="inlineStr"/>
      <c r="O2993">
        <f>(1-Summary!$B$11)*T2993+Summary!$B$11*V2993</f>
        <v/>
      </c>
      <c r="P2993">
        <f>IF(B3007=0,0,O2993/B3007)</f>
        <v/>
      </c>
      <c r="Q2993" t="n">
        <v>0</v>
      </c>
      <c r="R2993" t="n">
        <v>0</v>
      </c>
      <c r="S2993">
        <f>IFERROR(O2993/N2993,0)</f>
        <v/>
      </c>
      <c r="T2993" t="n">
        <v>0</v>
      </c>
      <c r="V2993" t="n">
        <v>0</v>
      </c>
    </row>
    <row r="2994">
      <c r="A2994">
        <f>Skills!A31</f>
        <v/>
      </c>
      <c r="B2994">
        <f>Skills!B31</f>
        <v/>
      </c>
      <c r="C2994">
        <f>Inputs!$B$3&gt;=107</f>
        <v/>
      </c>
      <c r="D2994">
        <f>IF(Skills!C31=1,60+Inputs!$B$25+Inputs!$B$29,IF(Skills!C31=2,90+Inputs!$B$26+Inputs!$B$29,IF(Skills!C31=3,120+Inputs!$B$27+Inputs!$B$29,MAX(0,(Inputs!$B$3-100)*3)+Inputs!$B$28+Inputs!$B$29)))</f>
        <v/>
      </c>
      <c r="E2994">
        <f>INDEX(FactorTable!$B$2:$Y$301, MATCH(ROUND(MIN(300,MAX(1,D2994)),0), FactorTable!$A$2:$A$301,0), Skills!M31+1)</f>
        <v/>
      </c>
      <c r="F2994">
        <f>IF(Skills!N31=TRUE,(Skills!L31/10)*(E2994/1000),Skills!L31/10)+Skills!O31</f>
        <v/>
      </c>
      <c r="G2994">
        <f>Calc!G31</f>
        <v/>
      </c>
      <c r="H2994">
        <f>Calc!H31</f>
        <v/>
      </c>
      <c r="I2994">
        <f>IF(Skills!AA31&lt;&gt;"",1+(Skills!AA31/10)*(U2966/1000)/100,1)</f>
        <v/>
      </c>
      <c r="J2994" t="inlineStr"/>
      <c r="K2994" t="inlineStr"/>
      <c r="L2994" t="inlineStr"/>
      <c r="M2994" t="inlineStr"/>
      <c r="N2994" t="inlineStr"/>
      <c r="O2994">
        <f>(1-Summary!$B$11)*T2994+Summary!$B$11*V2994</f>
        <v/>
      </c>
      <c r="P2994">
        <f>IF(B3007=0,0,O2994/B3007)</f>
        <v/>
      </c>
      <c r="Q2994" t="n">
        <v>0</v>
      </c>
      <c r="R2994" t="n">
        <v>0</v>
      </c>
      <c r="S2994">
        <f>IFERROR(O2994/N2994,0)</f>
        <v/>
      </c>
      <c r="T2994" t="n">
        <v>0</v>
      </c>
      <c r="V2994" t="n">
        <v>0</v>
      </c>
    </row>
    <row r="2996">
      <c r="A2996" t="inlineStr">
        <is>
          <t>Actions Per Second (pre-Adrenalin)</t>
        </is>
      </c>
      <c r="B2996">
        <f>1+MIN(150,150*(1-(1-(Inputs!$B$11+((C2985=TRUE)*(F2985-Calc!F22))+(ArtifactsInput!$M$15-ArtifactsInput!$M$15)*CHOOSE(ArtifactsInput!$N$15+1,8,9.6,11.2,12.8,14.4,16))/150)*(1-((C2982=TRUE)*F2982*IF(AND(Inputs!$B$39&lt;&gt;"pvp",Inputs!$B$44&gt;0),(((R2982-1)*(Skills!Y19*(1+Inputs!$B$34/100))+MIN((Skills!Y19*(1+Inputs!$B$34/100)),MAX(0,Inputs!$B$44-((R2982-1)*Skills!D19))))/Inputs!$B$44),IF(Inputs!$B$39="pvp",MIN((Skills!Y19*(1+Inputs!$B$34/100)),15)/15,(Skills!Y19*(1+Inputs!$B$34/100))/Skills!D19)))/150)))/100</f>
        <v/>
      </c>
    </row>
    <row r="2997">
      <c r="A2997" t="inlineStr">
        <is>
          <t>Alchemic Adrenaline Uptime</t>
        </is>
      </c>
      <c r="B2997">
        <f>(Skills!Y6*(1+Inputs!$B$34/100))/((Skills!Y6*(1+Inputs!$B$34/100))+(5/B2996))</f>
        <v/>
      </c>
    </row>
    <row r="2998">
      <c r="A2998" t="inlineStr">
        <is>
          <t>Attack Speed Buff Bonus %</t>
        </is>
      </c>
      <c r="B2998">
        <f>((C2982=TRUE)*F2982*IF(AND(Inputs!$B$39&lt;&gt;"pvp",Inputs!$B$44&gt;0),(((R2982-1)*(Skills!Y19*(1+Inputs!$B$34/100))+MIN((Skills!Y19*(1+Inputs!$B$34/100)),MAX(0,Inputs!$B$44-((R2982-1)*Skills!D19))))/Inputs!$B$44),IF(Inputs!$B$39="pvp",MIN((Skills!Y19*(1+Inputs!$B$34/100)),15)/15,(Skills!Y19*(1+Inputs!$B$34/100))/Skills!D19)))+((C2970=TRUE)*F2970*B2997)</f>
        <v/>
      </c>
    </row>
    <row r="2999">
      <c r="A2999" t="inlineStr">
        <is>
          <t>Actions Per Second (final)</t>
        </is>
      </c>
      <c r="B2999">
        <f>1+MIN(150,150*(1-(1-(Inputs!$B$11+((C2985=TRUE)*(F2985-Calc!F22))+(ArtifactsInput!$M$15-ArtifactsInput!$M$15)*CHOOSE(ArtifactsInput!$N$15+1,8,9.6,11.2,12.8,14.4,16))/150)*(1-B2998/150)))/100</f>
        <v/>
      </c>
    </row>
    <row r="3000">
      <c r="A3000" t="inlineStr">
        <is>
          <t>Skill + Buff Cast Rate</t>
        </is>
      </c>
      <c r="B3000">
        <f>IF(AND(Inputs!$B$39&lt;&gt;"pvp",Inputs!$B$44&gt;0),SUMPRODUCT((Skills!E2:E31=TRUE)*(C2965:C2994=TRUE)*R2965:R2994*Skills!F2:F31)/Inputs!$B$44,SUMPRODUCT((Skills!E2:E31=TRUE)*(C2965:C2994=TRUE)*Q2965:Q2994*Skills!F2:F31))</f>
        <v/>
      </c>
    </row>
    <row r="3001">
      <c r="A3001" t="inlineStr">
        <is>
          <t>Showdown Casts Per Second</t>
        </is>
      </c>
      <c r="B3001">
        <f>MAX(0,B2999-B3000)</f>
        <v/>
      </c>
    </row>
    <row r="3002">
      <c r="A3002" t="inlineStr">
        <is>
          <t>Average Buff Multiplier</t>
        </is>
      </c>
      <c r="B3002">
        <f>(1+(((C2984=TRUE)*F2984*IF(AND(Inputs!$B$39&lt;&gt;"pvp",Inputs!$B$44&gt;0),(((R2984-1)*(Skills!Y21*(1+Inputs!$B$34/100))+MIN((Skills!Y21*(1+Inputs!$B$34/100)),MAX(0,Inputs!$B$44-((R2984-1)*Skills!D21))))/Inputs!$B$44),IF(Inputs!$B$39="pvp",MIN((Skills!Y21*(1+Inputs!$B$34/100)),15)/15,(Skills!Y21*(1+Inputs!$B$34/100))/Skills!D21)))+((C2991=TRUE)*(F2991-Calc!F28))+((C2981=TRUE)*(F2981-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2978=TRUE)*F2978*IF(AND(Inputs!$B$39&lt;&gt;"pvp",Inputs!$B$44&gt;0),(((R2978-1)*(Skills!Y15*(1+Inputs!$B$34/100))+MIN((Skills!Y15*(1+Inputs!$B$34/100)),MAX(0,Inputs!$B$44-((R2978-1)*Skills!D15))))/Inputs!$B$44),IF(Inputs!$B$39="pvp",MIN((Skills!Y15*(1+Inputs!$B$34/100)),15)/15,(Skills!Y15*(1+Inputs!$B$34/100))/Skills!D15)))/100)*(1+((C2969=TRUE)*F2969*B2997)/100)</f>
        <v/>
      </c>
    </row>
    <row r="3003">
      <c r="A3003" t="inlineStr">
        <is>
          <t>Global Crit Rate Bonus %</t>
        </is>
      </c>
      <c r="B3003">
        <f>IF(Inputs!$B$3&gt;=47,8,0)+((C2983=TRUE)*F2983*IF(AND(Inputs!$B$39&lt;&gt;"pvp",Inputs!$B$44&gt;0),(((R2983-1)*(Skills!Y20*(1+Inputs!$B$34/100))+MIN((Skills!Y20*(1+Inputs!$B$34/100)),MAX(0,Inputs!$B$44-((R2983-1)*Skills!D20))))/Inputs!$B$44),IF(Inputs!$B$39="pvp",MIN((Skills!Y20*(1+Inputs!$B$34/100)),15)/15,(Skills!Y20*(1+Inputs!$B$34/100))/Skills!D20)))</f>
        <v/>
      </c>
    </row>
    <row r="3004">
      <c r="A3004" t="inlineStr">
        <is>
          <t>Global Monster Damage-Taken Bonus %</t>
        </is>
      </c>
      <c r="B3004">
        <f>IF(Inputs!$B$3&gt;=82,15,0)+((C2979=TRUE)*F2979*IF(AND(Inputs!$B$39&lt;&gt;"pvp",Inputs!$B$44&gt;0),(((R2979-1)*(Skills!Y16*(1+Inputs!$B$34/100))+MIN((Skills!Y16*(1+Inputs!$B$34/100)),MAX(0,Inputs!$B$44-((R2979-1)*Skills!D16))))/Inputs!$B$44),IF(Inputs!$B$39="pvp",MIN((Skills!Y16*(1+Inputs!$B$34/100)),15)/15,(Skills!Y16*(1+Inputs!$B$34/100))/Skills!D16)))</f>
        <v/>
      </c>
    </row>
    <row r="3005">
      <c r="A3005" t="inlineStr">
        <is>
          <t>Shadow Partner Average Multiplier</t>
        </is>
      </c>
      <c r="B3005">
        <f>1+((C2974=TRUE)*F2974*I2974*Skills!J11/100)/100</f>
        <v/>
      </c>
    </row>
    <row r="3006">
      <c r="A3006" t="inlineStr">
        <is>
          <t>Global Critical Damage Bonus % (Frailty Curse Mastery Lv.111)</t>
        </is>
      </c>
      <c r="B3006">
        <f>IF(Inputs!$B$3&gt;=111,30,0)*IF(AND(Inputs!$B$39&lt;&gt;"pvp",Inputs!$B$44&gt;0),(((R2979-1)*(Skills!Y16*(1+Inputs!$B$34/100))+MIN((Skills!Y16*(1+Inputs!$B$34/100)),MAX(0,Inputs!$B$44-((R2979-1)*Skills!D16))))/Inputs!$B$44),IF(Inputs!$B$39="pvp",MIN((Skills!Y16*(1+Inputs!$B$34/100)),15)/15,(Skills!Y16*(1+Inputs!$B$34/100))/Skills!D16))</f>
        <v/>
      </c>
    </row>
    <row r="3007">
      <c r="A3007" s="6" t="inlineStr">
        <is>
          <t>TOTAL DPS</t>
        </is>
      </c>
      <c r="B3007" s="6">
        <f>SUM(O2965:O2994)</f>
        <v/>
      </c>
    </row>
    <row r="3008">
      <c r="A3008" t="inlineStr">
        <is>
          <t>Buff-Casting Startup Delay (s, fixed-duration only)</t>
        </is>
      </c>
      <c r="B3008">
        <f>IF(AND(Inputs!$B$39&lt;&gt;"pvp",Inputs!$B$44&gt;0),SUMPRODUCT((Skills!Y2:Y31&gt;0)*(Skills!E2:E31=TRUE)*(C2965:C2994=TRUE))/B2999,0)</f>
        <v/>
      </c>
    </row>
    <row r="3009">
      <c r="A3009" t="inlineStr">
        <is>
          <t>Boss-Only Total DPS (this block's swept value)</t>
        </is>
      </c>
      <c r="B3009">
        <f>SUM(T2965:T2994)</f>
        <v/>
      </c>
    </row>
    <row r="3010">
      <c r="A3010" t="inlineStr">
        <is>
          <t>Normal-Only Total DPS (this block's swept value)</t>
        </is>
      </c>
      <c r="B3010">
        <f>SUM(V2965:V2994)</f>
        <v/>
      </c>
    </row>
    <row r="3012">
      <c r="A3012" s="6" t="inlineStr">
        <is>
          <t>Stat: Reindeer's Spear (Equip)</t>
        </is>
      </c>
    </row>
    <row r="3013">
      <c r="A3013" s="5" t="inlineStr">
        <is>
          <t>Key</t>
        </is>
      </c>
      <c r="B3013" s="5" t="inlineStr">
        <is>
          <t>Name</t>
        </is>
      </c>
      <c r="C3013" s="5" t="inlineStr">
        <is>
          <t>Unlocked</t>
        </is>
      </c>
      <c r="D3013" s="5" t="inlineStr">
        <is>
          <t>InputLevel</t>
        </is>
      </c>
      <c r="E3013" s="5" t="inlineStr">
        <is>
          <t>Factor</t>
        </is>
      </c>
      <c r="F3013" s="5" t="inlineStr">
        <is>
          <t>CoefficientPercent</t>
        </is>
      </c>
      <c r="G3013" s="5" t="inlineStr">
        <is>
          <t>EffectiveHits</t>
        </is>
      </c>
      <c r="H3013" s="5" t="inlineStr">
        <is>
          <t>ProcProbability</t>
        </is>
      </c>
      <c r="I3013" s="5" t="inlineStr">
        <is>
          <t>MapleHeroMultiplier</t>
        </is>
      </c>
      <c r="J3013" s="5" t="inlineStr">
        <is>
          <t>BaseDamage</t>
        </is>
      </c>
      <c r="K3013" s="5" t="inlineStr">
        <is>
          <t>BaseHitDamage</t>
        </is>
      </c>
      <c r="L3013" s="5" t="inlineStr">
        <is>
          <t>NonCritAvg</t>
        </is>
      </c>
      <c r="M3013" s="5" t="inlineStr">
        <is>
          <t>CritAvg</t>
        </is>
      </c>
      <c r="N3013" s="5" t="inlineStr">
        <is>
          <t>ExpectedDamage(perHit)</t>
        </is>
      </c>
      <c r="O3013" s="5" t="inlineStr">
        <is>
          <t>DPS</t>
        </is>
      </c>
      <c r="P3013" s="5" t="inlineStr">
        <is>
          <t>% of Total</t>
        </is>
      </c>
      <c r="Q3013" s="5" t="inlineStr">
        <is>
          <t>InvCooldown</t>
        </is>
      </c>
      <c r="R3013" s="5" t="inlineStr">
        <is>
          <t>CastsInFight</t>
        </is>
      </c>
      <c r="S3013" s="5" t="inlineStr">
        <is>
          <t>HitRate(perSec)</t>
        </is>
      </c>
      <c r="U3013" t="inlineStr">
        <is>
          <t>helpers</t>
        </is>
      </c>
    </row>
    <row r="3014">
      <c r="A3014">
        <f>Skills!A2</f>
        <v/>
      </c>
      <c r="B3014">
        <f>Skills!B2</f>
        <v/>
      </c>
      <c r="C3014">
        <f>Inputs!$B$3&gt;=100</f>
        <v/>
      </c>
      <c r="D3014" t="inlineStr"/>
      <c r="E3014" t="inlineStr"/>
      <c r="F3014">
        <f>U3018+Skills!O2</f>
        <v/>
      </c>
      <c r="G3014">
        <f>Calc!G2</f>
        <v/>
      </c>
      <c r="H3014">
        <f>Calc!H2</f>
        <v/>
      </c>
      <c r="I3014">
        <f>IF(Skills!AA2&lt;&gt;"",1+(Skills!AA2/10)*(U3015/1000)/100,1)</f>
        <v/>
      </c>
      <c r="J3014">
        <f>((Inputs!$B$6*(1+Inputs!$B$7/100))+(((Inputs!$B$12*(1+Inputs!$B$13/100))-(Inputs!$B$12*(1+Inputs!$B$13/100)))+0.25*(Inputs!$B$14-Inputs!$B$14))*(1+Inputs!$B$7/100))*(F3014/100)</f>
        <v/>
      </c>
      <c r="K3014">
        <f>J3014*(1+((Inputs!$B$12*(1+Inputs!$B$13/100))*0.01+Inputs!$B$14*0.0025)/100)*(1+Inputs!$B$15/100)*(1+Inputs!$B$16/100)*(5000/(6000+Inputs!$B$43*(1-(100*(1-(1-(Inputs!$B$19+0)/100)*(1-CHOOSE(ArtifactsInput!$N$40+1,5,6,7,8,9,10)/100)^(IF(ArtifactsInput!$M$40,FALSE,TRUE)-ArtifactsInput!$M$40)))/100)))*(1+(Inputs!$B$24+((C3042=TRUE)*(F3042-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3035=TRUE)*(F3035-Calc!F23))+(((IF(AND(ArtifactsInput!$M$42,((Inputs!$B$9+((C3037=TRUE)*(F3037-Calc!F25))+B3052+(ArtifactsInput!$M$24-ArtifactsInput!$M$24)*CHOOSE(ArtifactsInput!$N$24+1,10,12,14,16,18,20)+IF(ArtifactsInput!$M$10,CHOOSE(ArtifactsInput!$N$10+1,15,18,21,24,27,30)*(IF(Inputs!$B$39="pvp",MIN(15,15)/15,IF(AND(Inputs!$B$39&lt;&gt;"pvp",Inputs!$B$44&gt;0),MIN(15,Inputs!$B$44)/(Inputs!$B$44),0))),0)))&gt;=100),MIN(100,((Inputs!$B$9+((C3037=TRUE)*(F3037-Calc!F25))+B3052+(ArtifactsInput!$M$24-ArtifactsInput!$M$24)*CHOOSE(ArtifactsInput!$N$24+1,10,12,14,16,18,20)+IF(ArtifactsInput!$M$10,CHOOSE(ArtifactsInput!$N$10+1,15,18,21,24,27,30)*(IF(Inputs!$B$39="pvp",MIN(15,15)/15,IF(AND(Inputs!$B$39&lt;&gt;"pvp",Inputs!$B$44&gt;0),MIN(15,Inputs!$B$44)/(Inputs!$B$44),0))),0)))-100),0))*CHOOSE(ArtifactsInput!$N$42+1,0.6,0.72,0.84,0.96,1.08,1.2))),Inputs!$B$18+((C3041=TRUE)*(F3041-Calc!F29))+(IF(AND(ArtifactsInput!$M$42,((Inputs!$B$9+((C3037=TRUE)*(F3037-Calc!F25))+B3052+(ArtifactsInput!$M$24-ArtifactsInput!$M$24)*CHOOSE(ArtifactsInput!$N$24+1,10,12,14,16,18,20)+IF(ArtifactsInput!$M$10,CHOOSE(ArtifactsInput!$N$10+1,15,18,21,24,27,30)*(IF(Inputs!$B$39="pvp",MIN(15,15)/15,IF(AND(Inputs!$B$39&lt;&gt;"pvp",Inputs!$B$44&gt;0),MIN(15,Inputs!$B$44)/(Inputs!$B$44),0))),0)))&gt;=100),CHOOSE(ArtifactsInput!$N$42+1,40,48,56,64,72,80),0))))/100)*(((1+(((C3033=TRUE)*F3033*IF(AND(Inputs!$B$39&lt;&gt;"pvp",Inputs!$B$44&gt;0),(((R3033-1)*(Skills!Y21*(1+Inputs!$B$34/100))+MIN((Skills!Y21*(1+Inputs!$B$34/100)),MAX(0,Inputs!$B$44-((R3033-1)*Skills!D21))))/Inputs!$B$44),IF(Inputs!$B$39="pvp",MIN((Skills!Y21*(1+Inputs!$B$34/100)),15)/15,(Skills!Y21*(1+Inputs!$B$34/100))/Skills!D21)))+((C3040=TRUE)*(F3040-Calc!F28))+((C3030=TRUE)*(F3030-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3027=TRUE)*F3027*IF(AND(Inputs!$B$39&lt;&gt;"pvp",Inputs!$B$44&gt;0),(((R3027-1)*(Skills!Y15*(1+Inputs!$B$34/100))+MIN((Skills!Y15*(1+Inputs!$B$34/100)),MAX(0,Inputs!$B$44-((R3027-1)*Skills!D15))))/Inputs!$B$44),IF(Inputs!$B$39="pvp",MIN((Skills!Y15*(1+Inputs!$B$34/100)),15)/15,(Skills!Y15*(1+Inputs!$B$34/100))/Skills!D15)))/100)*(1+((C3018=TRUE)*F3018*B3046)/100))*B3054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3014)</f>
        <v/>
      </c>
      <c r="L3014">
        <f>K3014*(MIN(Inputs!$B$22+((C3036=TRUE)*(F3036-Calc!F24)),(Inputs!$B$23+0+(IF(ArtifactsInput!$M$15,CHOOSE(ArtifactsInput!$N$15+1,25,30,35,40,45,50)/100*(Inputs!$B$11-Inputs!$B$11),0))))/100+(Inputs!$B$23+0+(IF(ArtifactsInput!$M$15,CHOOSE(ArtifactsInput!$N$15+1,25,30,35,40,45,50)/100*(Inputs!$B$11-Inputs!$B$11),0)))/100)/2</f>
        <v/>
      </c>
      <c r="M3014">
        <f>L3014*(1+(Inputs!$B$10+((C3038=TRUE)*(F3038-Calc!F26))+B3055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14">
        <f>L3014*(1-MIN((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3014*(MIN((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14">
        <f>(1-Summary!$B$11)*T3014+Summary!$B$11*V3014</f>
        <v/>
      </c>
      <c r="P3014">
        <f>IF(B3056=0,0,O3014/B3056)</f>
        <v/>
      </c>
      <c r="Q3014" t="n">
        <v>0</v>
      </c>
      <c r="R3014" t="n">
        <v>0</v>
      </c>
      <c r="S3014">
        <f>IFERROR(O3014/N3014,0)</f>
        <v/>
      </c>
      <c r="T3014">
        <f>IF(C3014,(Skills!G2*N3014*B3050)*IF(Inputs!$B$39="pvp",1,1+(Inputs!$B$20+((C3039=TRUE)*(F3039-Calc!F27))+Skills!P2+B3053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Hunt"),CHOOSE(ArtifactsInput!$N$35+1,15,18,21,24,27,30)*(1-EXP(-(0.2*B3048)*5)),0)+IF(AND(ArtifactsInput!$M$22,Inputs!$B$4&lt;&gt;"Chapter Hunt"),CHOOSE(ArtifactsInput!$N$22+1,10,12,14,16,18,20)*((0*(((0.15*B3048*5))^0/1)+1*(((0.15*B3048*5))^1/1)+2*(((0.15*B3048*5))^2/2)+3*(((0.15*B3048*5))^3/6)+4*(((0.15*B3048*5))^4/24)+5*(((0.15*B3048*5))^5/120))/((((0.15*B3048*5))^0/1)+(((0.15*B3048*5))^1/1)+(((0.15*B3048*5))^2/2)+(((0.15*B3048*5))^3/6)+(((0.15*B3048*5))^4/24)+(((0.15*B3048*5))^5/120))),0)))/100)*((((5000/(6000+Inputs!$B$43*(1-(100*(1-(1-(100*(1-(1-(Inputs!$B$19+0)/100)*(1-CHOOSE(ArtifactsInput!$N$40+1,5,6,7,8,9,10)/100)^(IF(ArtifactsInput!$M$40,FALSE,TRUE)-ArtifactsInput!$M$40)))/100)*(1-IF(IF(ArtifactsInput!$M$40,FALSE,TRUE),CHOOSE(ArtifactsInput!$N$40+1,5,6,7,8,9,10),0)/100)^IF(Inputs!$B$39="pvp",1,2)))/100)))/(5000/(6000+Inputs!$B$43*(1-(100*(1-(1-(Inputs!$B$19+0)/100)*(1-CHOOSE(ArtifactsInput!$N$40+1,5,6,7,8,9,10)/100)^(IF(ArtifactsInput!$M$40,FALSE,TRUE)-ArtifactsInput!$M$40)))/100))))*((L3014*(1-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3014*(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3014*(1-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3014*(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14">
        <f>MAX(0,(Inputs!$B$3-100)*3)+Inputs!$B$28+Inputs!$B$29</f>
        <v/>
      </c>
      <c r="V3014">
        <f>IF(C3014,(Skills!G2*N3014*B3050)*IF(Inputs!$B$39="pvp",1,(1+(Inputs!$B$21+Skills!Q2+B3053+(IF(ArtifactsInput!$M$33,CHOOSE(ArtifactsInput!$N$33+1,30,36,42,48,54,60),0))+(IF(AND(ArtifactsInput!$M$35,Inputs!$B$4&lt;&gt;"Chapter Hunt"),CHOOSE(ArtifactsInput!$N$35+1,15,18,21,24,27,30)*(1-EXP(-(0.2*B3048)*5)),0)+IF(AND(ArtifactsInput!$M$22,Inputs!$B$4&lt;&gt;"Chapter Hunt"),CHOOSE(ArtifactsInput!$N$22+1,10,12,14,16,18,20)*((0*(((0.15*B3048*5))^0/1)+1*(((0.15*B3048*5))^1/1)+2*(((0.15*B3048*5))^2/2)+3*(((0.15*B3048*5))^3/6)+4*(((0.15*B3048*5))^4/24)+5*(((0.15*B3048*5))^5/120))/((((0.15*B3048*5))^0/1)+(((0.15*B3048*5))^1/1)+(((0.15*B3048*5))^2/2)+(((0.15*B3048*5))^3/6)+(((0.15*B3048*5))^4/24)+(((0.15*B3048*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15">
      <c r="A3015">
        <f>Skills!A3</f>
        <v/>
      </c>
      <c r="B3015">
        <f>Skills!B3</f>
        <v/>
      </c>
      <c r="C3015">
        <f>Inputs!$B$3&gt;=35</f>
        <v/>
      </c>
      <c r="D3015">
        <f>IF(Skills!C3=1,60+Inputs!$B$25+Inputs!$B$29,IF(Skills!C3=2,90+Inputs!$B$26+Inputs!$B$29,IF(Skills!C3=3,120+Inputs!$B$27+Inputs!$B$29,MAX(0,(Inputs!$B$3-100)*3)+Inputs!$B$28+Inputs!$B$29)))</f>
        <v/>
      </c>
      <c r="E3015">
        <f>INDEX(FactorTable!$B$2:$Y$301, MATCH(ROUND(MIN(300,MAX(1,D3015)),0), FactorTable!$A$2:$A$301,0), Skills!M3+1)</f>
        <v/>
      </c>
      <c r="F3015">
        <f>IF(Skills!N3=TRUE,(Skills!L3/10)*(E3015/1000),Skills!L3/10)+Skills!O3</f>
        <v/>
      </c>
      <c r="G3015">
        <f>Calc!G3</f>
        <v/>
      </c>
      <c r="H3015">
        <f>Calc!H3</f>
        <v/>
      </c>
      <c r="I3015">
        <f>IF(Skills!AA3&lt;&gt;"",1+(Skills!AA3/10)*(U3015/1000)/100,1)</f>
        <v/>
      </c>
      <c r="J3015">
        <f>((Inputs!$B$6*(1+Inputs!$B$7/100))+(((Inputs!$B$12*(1+Inputs!$B$13/100))-(Inputs!$B$12*(1+Inputs!$B$13/100)))+0.25*(Inputs!$B$14-Inputs!$B$14))*(1+Inputs!$B$7/100))*(F3015/100)</f>
        <v/>
      </c>
      <c r="K3015">
        <f>J3015*(1+((Inputs!$B$12*(1+Inputs!$B$13/100))*0.01+Inputs!$B$14*0.0025)/100)*(1+Inputs!$B$15/100)*(1+Inputs!$B$16/100)*(5000/(6000+Inputs!$B$43*(1-(100*(1-(1-(Inputs!$B$19+0)/100)*(1-CHOOSE(ArtifactsInput!$N$40+1,5,6,7,8,9,10)/100)^(IF(ArtifactsInput!$M$40,FALSE,TRUE)-ArtifactsInput!$M$40)))/100)))*(1+(Inputs!$B$24+((C3042=TRUE)*(F3042-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3035=TRUE)*(F3035-Calc!F23))+(((IF(AND(ArtifactsInput!$M$42,((Inputs!$B$9+((C3037=TRUE)*(F3037-Calc!F25))+B3052+(ArtifactsInput!$M$24-ArtifactsInput!$M$24)*CHOOSE(ArtifactsInput!$N$24+1,10,12,14,16,18,20)+IF(ArtifactsInput!$M$10,CHOOSE(ArtifactsInput!$N$10+1,15,18,21,24,27,30)*(IF(Inputs!$B$39="pvp",MIN(15,15)/15,IF(AND(Inputs!$B$39&lt;&gt;"pvp",Inputs!$B$44&gt;0),MIN(15,Inputs!$B$44)/(Inputs!$B$44),0))),0)))&gt;=100),MIN(100,((Inputs!$B$9+((C3037=TRUE)*(F3037-Calc!F25))+B3052+(ArtifactsInput!$M$24-ArtifactsInput!$M$24)*CHOOSE(ArtifactsInput!$N$24+1,10,12,14,16,18,20)+IF(ArtifactsInput!$M$10,CHOOSE(ArtifactsInput!$N$10+1,15,18,21,24,27,30)*(IF(Inputs!$B$39="pvp",MIN(15,15)/15,IF(AND(Inputs!$B$39&lt;&gt;"pvp",Inputs!$B$44&gt;0),MIN(15,Inputs!$B$44)/(Inputs!$B$44),0))),0)))-100),0))*CHOOSE(ArtifactsInput!$N$42+1,0.6,0.72,0.84,0.96,1.08,1.2))),Inputs!$B$18+((C3041=TRUE)*(F3041-Calc!F29))+(IF(AND(ArtifactsInput!$M$42,((Inputs!$B$9+((C3037=TRUE)*(F3037-Calc!F25))+B3052+(ArtifactsInput!$M$24-ArtifactsInput!$M$24)*CHOOSE(ArtifactsInput!$N$24+1,10,12,14,16,18,20)+IF(ArtifactsInput!$M$10,CHOOSE(ArtifactsInput!$N$10+1,15,18,21,24,27,30)*(IF(Inputs!$B$39="pvp",MIN(15,15)/15,IF(AND(Inputs!$B$39&lt;&gt;"pvp",Inputs!$B$44&gt;0),MIN(15,Inputs!$B$44)/(Inputs!$B$44),0))),0)))&gt;=100),CHOOSE(ArtifactsInput!$N$42+1,40,48,56,64,72,80),0))))/100)*(((1+(((C3033=TRUE)*F3033*IF(AND(Inputs!$B$39&lt;&gt;"pvp",Inputs!$B$44&gt;0),(((R3033-1)*(Skills!Y21*(1+Inputs!$B$34/100))+MIN((Skills!Y21*(1+Inputs!$B$34/100)),MAX(0,Inputs!$B$44-((R3033-1)*Skills!D21))))/Inputs!$B$44),IF(Inputs!$B$39="pvp",MIN((Skills!Y21*(1+Inputs!$B$34/100)),15)/15,(Skills!Y21*(1+Inputs!$B$34/100))/Skills!D21)))+((C3040=TRUE)*(F3040-Calc!F28))+((C3030=TRUE)*(F3030-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3027=TRUE)*F3027*IF(AND(Inputs!$B$39&lt;&gt;"pvp",Inputs!$B$44&gt;0),(((R3027-1)*(Skills!Y15*(1+Inputs!$B$34/100))+MIN((Skills!Y15*(1+Inputs!$B$34/100)),MAX(0,Inputs!$B$44-((R3027-1)*Skills!D15))))/Inputs!$B$44),IF(Inputs!$B$39="pvp",MIN((Skills!Y15*(1+Inputs!$B$34/100)),15)/15,(Skills!Y15*(1+Inputs!$B$34/100))/Skills!D15)))/100)*(1+((C3018=TRUE)*F3018*B3046)/100))*B3054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3015)</f>
        <v/>
      </c>
      <c r="L3015">
        <f>K3015*(MIN(Inputs!$B$22+((C3036=TRUE)*(F3036-Calc!F24)),(Inputs!$B$23+0+(IF(ArtifactsInput!$M$15,CHOOSE(ArtifactsInput!$N$15+1,25,30,35,40,45,50)/100*(Inputs!$B$11-Inputs!$B$11),0))))/100+(Inputs!$B$23+0+(IF(ArtifactsInput!$M$15,CHOOSE(ArtifactsInput!$N$15+1,25,30,35,40,45,50)/100*(Inputs!$B$11-Inputs!$B$11),0)))/100)/2</f>
        <v/>
      </c>
      <c r="M3015">
        <f>L3015*(1+(Inputs!$B$10+((C3038=TRUE)*(F3038-Calc!F26))+B3055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15">
        <f>L3015*(1-MIN((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3015*(MIN((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15">
        <f>(1-Summary!$B$11)*T3015+Summary!$B$11*V3015</f>
        <v/>
      </c>
      <c r="P3015">
        <f>IF(B3056=0,0,O3015/B3056)</f>
        <v/>
      </c>
      <c r="Q3015">
        <f>IFERROR(1/IF(Inputs!$B$39="pvp",15,MAX(0.1,Skills!D3-IF(Skills!E3=TRUE,Inputs!$B$32,0))),0)</f>
        <v/>
      </c>
      <c r="R3015">
        <f>IF(AND(Inputs!$B$39&lt;&gt;"pvp",Inputs!$B$44&gt;0),IF(MAX(0,Inputs!$B$44-B3057)&lt;=0,0,(INT(MAX(0,Inputs!$B$44-B3057)/IF(Inputs!$B$39="pvp",15,MAX(0.1,Skills!D3-IF(Skills!E3=TRUE,Inputs!$B$32,0))))+1)),0)</f>
        <v/>
      </c>
      <c r="S3015">
        <f>IFERROR(O3015/N3015,0)</f>
        <v/>
      </c>
      <c r="T3015">
        <f>IF(C3015,(H3015*N3015*IF(AND(Inputs!$B$39&lt;&gt;"pvp",Inputs!$B$44&gt;0),((Skills!G3*((R3015-1)*IF(Skills!H3&gt;0,Skills!I3/Skills!H3,1)+IF(Skills!H3&gt;0,MIN(Skills!I3,MAX(0,MAX(0,Inputs!$B$44-B3057)-((R3015-1)*IF(Inputs!$B$39="pvp",15,MAX(0.1,Skills!D3-IF(Skills!E3=TRUE,Inputs!$B$32,0))))))/Skills!H3,1)))/Inputs!$B$44),G3015*Q3015))*IF(Inputs!$B$39="pvp",1,1+(Inputs!$B$20+((C3039=TRUE)*(F3039-Calc!F27))+Skills!P3+B3053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Hunt"),CHOOSE(ArtifactsInput!$N$35+1,15,18,21,24,27,30)*(1-EXP(-(0.2*B3048)*5)),0)+IF(AND(ArtifactsInput!$M$22,Inputs!$B$4&lt;&gt;"Chapter Hunt"),CHOOSE(ArtifactsInput!$N$22+1,10,12,14,16,18,20)*((0*(((0.15*B3048*5))^0/1)+1*(((0.15*B3048*5))^1/1)+2*(((0.15*B3048*5))^2/2)+3*(((0.15*B3048*5))^3/6)+4*(((0.15*B3048*5))^4/24)+5*(((0.15*B3048*5))^5/120))/((((0.15*B3048*5))^0/1)+(((0.15*B3048*5))^1/1)+(((0.15*B3048*5))^2/2)+(((0.15*B3048*5))^3/6)+(((0.15*B3048*5))^4/24)+(((0.15*B3048*5))^5/120))),0)))/100)*((((5000/(6000+Inputs!$B$43*(1-(100*(1-(1-(100*(1-(1-(Inputs!$B$19+0)/100)*(1-CHOOSE(ArtifactsInput!$N$40+1,5,6,7,8,9,10)/100)^(IF(ArtifactsInput!$M$40,FALSE,TRUE)-ArtifactsInput!$M$40)))/100)*(1-IF(IF(ArtifactsInput!$M$40,FALSE,TRUE),CHOOSE(ArtifactsInput!$N$40+1,5,6,7,8,9,10),0)/100)^IF(Inputs!$B$39="pvp",1,2)))/100)))/(5000/(6000+Inputs!$B$43*(1-(100*(1-(1-(Inputs!$B$19+0)/100)*(1-CHOOSE(ArtifactsInput!$N$40+1,5,6,7,8,9,10)/100)^(IF(ArtifactsInput!$M$40,FALSE,TRUE)-ArtifactsInput!$M$40)))/100))))*((L3015*(1-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3015*(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3015*(1-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3015*(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15">
        <f>INDEX(FactorTable!$B$2:$Y$301, MATCH(ROUND(MIN(300,MAX(1,U3014)),0), FactorTable!$A$2:$A$301,0), 24)</f>
        <v/>
      </c>
      <c r="V3015">
        <f>IF(C3015,(H3015*N3015*IF(AND(Inputs!$B$39&lt;&gt;"pvp",Inputs!$B$44&gt;0),((Skills!G3*((R3015-1)*IF(Skills!H3&gt;0,Skills!I3/Skills!H3,1)+IF(Skills!H3&gt;0,MIN(Skills!I3,MAX(0,MAX(0,Inputs!$B$44-B3057)-((R3015-1)*IF(Inputs!$B$39="pvp",15,MAX(0.1,Skills!D3-IF(Skills!E3=TRUE,Inputs!$B$32,0))))))/Skills!H3,1)))/Inputs!$B$44),G3015*Q3015))*IF(Inputs!$B$39="pvp",1,(1+(Inputs!$B$21+Skills!Q3+B3053+(IF(ArtifactsInput!$M$33,CHOOSE(ArtifactsInput!$N$33+1,30,36,42,48,54,60),0))+(IF(AND(ArtifactsInput!$M$35,Inputs!$B$4&lt;&gt;"Chapter Hunt"),CHOOSE(ArtifactsInput!$N$35+1,15,18,21,24,27,30)*(1-EXP(-(0.2*B3048)*5)),0)+IF(AND(ArtifactsInput!$M$22,Inputs!$B$4&lt;&gt;"Chapter Hunt"),CHOOSE(ArtifactsInput!$N$22+1,10,12,14,16,18,20)*((0*(((0.15*B3048*5))^0/1)+1*(((0.15*B3048*5))^1/1)+2*(((0.15*B3048*5))^2/2)+3*(((0.15*B3048*5))^3/6)+4*(((0.15*B3048*5))^4/24)+5*(((0.15*B3048*5))^5/120))/((((0.15*B3048*5))^0/1)+(((0.15*B3048*5))^1/1)+(((0.15*B3048*5))^2/2)+(((0.15*B3048*5))^3/6)+(((0.15*B3048*5))^4/24)+(((0.15*B3048*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16">
      <c r="A3016">
        <f>Skills!A4</f>
        <v/>
      </c>
      <c r="B3016">
        <f>Skills!B4</f>
        <v/>
      </c>
      <c r="C3016">
        <f>Inputs!$B$3&gt;=40</f>
        <v/>
      </c>
      <c r="D3016">
        <f>IF(Skills!C4=1,60+Inputs!$B$25+Inputs!$B$29,IF(Skills!C4=2,90+Inputs!$B$26+Inputs!$B$29,IF(Skills!C4=3,120+Inputs!$B$27+Inputs!$B$29,MAX(0,(Inputs!$B$3-100)*3)+Inputs!$B$28+Inputs!$B$29)))</f>
        <v/>
      </c>
      <c r="E3016">
        <f>INDEX(FactorTable!$B$2:$Y$301, MATCH(ROUND(MIN(300,MAX(1,D3016)),0), FactorTable!$A$2:$A$301,0), Skills!M4+1)</f>
        <v/>
      </c>
      <c r="F3016">
        <f>IF(Skills!N4=TRUE,(Skills!L4/10)*(E3016/1000),Skills!L4/10)+Skills!O4</f>
        <v/>
      </c>
      <c r="G3016">
        <f>Calc!G4</f>
        <v/>
      </c>
      <c r="H3016">
        <f>Calc!H4</f>
        <v/>
      </c>
      <c r="I3016">
        <f>IF(Skills!AA4&lt;&gt;"",1+(Skills!AA4/10)*(U3015/1000)/100,1)</f>
        <v/>
      </c>
      <c r="J3016">
        <f>((Inputs!$B$6*(1+Inputs!$B$7/100))+(((Inputs!$B$12*(1+Inputs!$B$13/100))-(Inputs!$B$12*(1+Inputs!$B$13/100)))+0.25*(Inputs!$B$14-Inputs!$B$14))*(1+Inputs!$B$7/100))*(F3016/100)</f>
        <v/>
      </c>
      <c r="K3016">
        <f>J3016*(1+((Inputs!$B$12*(1+Inputs!$B$13/100))*0.01+Inputs!$B$14*0.0025)/100)*(1+Inputs!$B$15/100)*(1+Inputs!$B$16/100)*(5000/(6000+Inputs!$B$43*(1-(100*(1-(1-(Inputs!$B$19+0)/100)*(1-CHOOSE(ArtifactsInput!$N$40+1,5,6,7,8,9,10)/100)^(IF(ArtifactsInput!$M$40,FALSE,TRUE)-ArtifactsInput!$M$40)))/100)))*(1+(Inputs!$B$24+((C3042=TRUE)*(F3042-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3035=TRUE)*(F3035-Calc!F23))+(((IF(AND(ArtifactsInput!$M$42,((Inputs!$B$9+((C3037=TRUE)*(F3037-Calc!F25))+B3052+(ArtifactsInput!$M$24-ArtifactsInput!$M$24)*CHOOSE(ArtifactsInput!$N$24+1,10,12,14,16,18,20)+IF(ArtifactsInput!$M$10,CHOOSE(ArtifactsInput!$N$10+1,15,18,21,24,27,30)*(IF(Inputs!$B$39="pvp",MIN(15,15)/15,IF(AND(Inputs!$B$39&lt;&gt;"pvp",Inputs!$B$44&gt;0),MIN(15,Inputs!$B$44)/(Inputs!$B$44),0))),0)))&gt;=100),MIN(100,((Inputs!$B$9+((C3037=TRUE)*(F3037-Calc!F25))+B3052+(ArtifactsInput!$M$24-ArtifactsInput!$M$24)*CHOOSE(ArtifactsInput!$N$24+1,10,12,14,16,18,20)+IF(ArtifactsInput!$M$10,CHOOSE(ArtifactsInput!$N$10+1,15,18,21,24,27,30)*(IF(Inputs!$B$39="pvp",MIN(15,15)/15,IF(AND(Inputs!$B$39&lt;&gt;"pvp",Inputs!$B$44&gt;0),MIN(15,Inputs!$B$44)/(Inputs!$B$44),0))),0)))-100),0))*CHOOSE(ArtifactsInput!$N$42+1,0.6,0.72,0.84,0.96,1.08,1.2))),Inputs!$B$18+((C3041=TRUE)*(F3041-Calc!F29))+(IF(AND(ArtifactsInput!$M$42,((Inputs!$B$9+((C3037=TRUE)*(F3037-Calc!F25))+B3052+(ArtifactsInput!$M$24-ArtifactsInput!$M$24)*CHOOSE(ArtifactsInput!$N$24+1,10,12,14,16,18,20)+IF(ArtifactsInput!$M$10,CHOOSE(ArtifactsInput!$N$10+1,15,18,21,24,27,30)*(IF(Inputs!$B$39="pvp",MIN(15,15)/15,IF(AND(Inputs!$B$39&lt;&gt;"pvp",Inputs!$B$44&gt;0),MIN(15,Inputs!$B$44)/(Inputs!$B$44),0))),0)))&gt;=100),CHOOSE(ArtifactsInput!$N$42+1,40,48,56,64,72,80),0))))/100)*(((1+(((C3033=TRUE)*F3033*IF(AND(Inputs!$B$39&lt;&gt;"pvp",Inputs!$B$44&gt;0),(((R3033-1)*(Skills!Y21*(1+Inputs!$B$34/100))+MIN((Skills!Y21*(1+Inputs!$B$34/100)),MAX(0,Inputs!$B$44-((R3033-1)*Skills!D21))))/Inputs!$B$44),IF(Inputs!$B$39="pvp",MIN((Skills!Y21*(1+Inputs!$B$34/100)),15)/15,(Skills!Y21*(1+Inputs!$B$34/100))/Skills!D21)))+((C3040=TRUE)*(F3040-Calc!F28))+((C3030=TRUE)*(F3030-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3027=TRUE)*F3027*IF(AND(Inputs!$B$39&lt;&gt;"pvp",Inputs!$B$44&gt;0),(((R3027-1)*(Skills!Y15*(1+Inputs!$B$34/100))+MIN((Skills!Y15*(1+Inputs!$B$34/100)),MAX(0,Inputs!$B$44-((R3027-1)*Skills!D15))))/Inputs!$B$44),IF(Inputs!$B$39="pvp",MIN((Skills!Y15*(1+Inputs!$B$34/100)),15)/15,(Skills!Y15*(1+Inputs!$B$34/100))/Skills!D15)))/100)*(1+((C3018=TRUE)*F3018*B3046)/100))*B3054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3016)</f>
        <v/>
      </c>
      <c r="L3016">
        <f>K3016*(MIN(Inputs!$B$22+((C3036=TRUE)*(F3036-Calc!F24)),(Inputs!$B$23+0+(IF(ArtifactsInput!$M$15,CHOOSE(ArtifactsInput!$N$15+1,25,30,35,40,45,50)/100*(Inputs!$B$11-Inputs!$B$11),0))))/100+(Inputs!$B$23+0+(IF(ArtifactsInput!$M$15,CHOOSE(ArtifactsInput!$N$15+1,25,30,35,40,45,50)/100*(Inputs!$B$11-Inputs!$B$11),0)))/100)/2</f>
        <v/>
      </c>
      <c r="M3016">
        <f>L3016*(1+(Inputs!$B$10+((C3038=TRUE)*(F3038-Calc!F26))+B3055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16">
        <f>L3016*(1-MIN((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3016*(MIN((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16">
        <f>(1-Summary!$B$11)*T3016+Summary!$B$11*V3016</f>
        <v/>
      </c>
      <c r="P3016">
        <f>IF(B3056=0,0,O3016/B3056)</f>
        <v/>
      </c>
      <c r="Q3016">
        <f>IFERROR(1/IF(Inputs!$B$39="pvp",15,MAX(0.1,Skills!D4-IF(Skills!E4=TRUE,Inputs!$B$32,0))),0)</f>
        <v/>
      </c>
      <c r="R3016">
        <f>IF(AND(Inputs!$B$39&lt;&gt;"pvp",Inputs!$B$44&gt;0),IF(MAX(0,Inputs!$B$44-B3057)&lt;=0,0,(INT(MAX(0,Inputs!$B$44-B3057)/IF(Inputs!$B$39="pvp",15,MAX(0.1,Skills!D4-IF(Skills!E4=TRUE,Inputs!$B$32,0))))+1)),0)</f>
        <v/>
      </c>
      <c r="S3016">
        <f>IFERROR(O3016/N3016,0)</f>
        <v/>
      </c>
      <c r="T3016">
        <f>IF(C3016,(H3016*N3016*IF(AND(Inputs!$B$39&lt;&gt;"pvp",Inputs!$B$44&gt;0),((Skills!G4*((R3016-1)*IF(Skills!H4&gt;0,Skills!I4/Skills!H4,1)+IF(Skills!H4&gt;0,MIN(Skills!I4,MAX(0,MAX(0,Inputs!$B$44-B3057)-((R3016-1)*IF(Inputs!$B$39="pvp",15,MAX(0.1,Skills!D4-IF(Skills!E4=TRUE,Inputs!$B$32,0))))))/Skills!H4,1)))/Inputs!$B$44),G3016*Q3016))*IF(Inputs!$B$39="pvp",1,1+(Inputs!$B$20+((C3039=TRUE)*(F3039-Calc!F27))+Skills!P4+B3053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Hunt"),CHOOSE(ArtifactsInput!$N$35+1,15,18,21,24,27,30)*(1-EXP(-(0.2*B3048)*5)),0)+IF(AND(ArtifactsInput!$M$22,Inputs!$B$4&lt;&gt;"Chapter Hunt"),CHOOSE(ArtifactsInput!$N$22+1,10,12,14,16,18,20)*((0*(((0.15*B3048*5))^0/1)+1*(((0.15*B3048*5))^1/1)+2*(((0.15*B3048*5))^2/2)+3*(((0.15*B3048*5))^3/6)+4*(((0.15*B3048*5))^4/24)+5*(((0.15*B3048*5))^5/120))/((((0.15*B3048*5))^0/1)+(((0.15*B3048*5))^1/1)+(((0.15*B3048*5))^2/2)+(((0.15*B3048*5))^3/6)+(((0.15*B3048*5))^4/24)+(((0.15*B3048*5))^5/120))),0)))/100)*((((5000/(6000+Inputs!$B$43*(1-(100*(1-(1-(100*(1-(1-(Inputs!$B$19+0)/100)*(1-CHOOSE(ArtifactsInput!$N$40+1,5,6,7,8,9,10)/100)^(IF(ArtifactsInput!$M$40,FALSE,TRUE)-ArtifactsInput!$M$40)))/100)*(1-IF(IF(ArtifactsInput!$M$40,FALSE,TRUE),CHOOSE(ArtifactsInput!$N$40+1,5,6,7,8,9,10),0)/100)^IF(Inputs!$B$39="pvp",1,2)))/100)))/(5000/(6000+Inputs!$B$43*(1-(100*(1-(1-(Inputs!$B$19+0)/100)*(1-CHOOSE(ArtifactsInput!$N$40+1,5,6,7,8,9,10)/100)^(IF(ArtifactsInput!$M$40,FALSE,TRUE)-ArtifactsInput!$M$40)))/100))))*((L3016*(1-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3016*(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3016*(1-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3016*(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16">
        <f>MAX(0,(Inputs!$B$3-100)*3)+Inputs!$B$28+Inputs!$B$29</f>
        <v/>
      </c>
      <c r="V3016">
        <f>IF(C3016,(H3016*N3016*IF(AND(Inputs!$B$39&lt;&gt;"pvp",Inputs!$B$44&gt;0),((Skills!G4*((R3016-1)*IF(Skills!H4&gt;0,Skills!I4/Skills!H4,1)+IF(Skills!H4&gt;0,MIN(Skills!I4,MAX(0,MAX(0,Inputs!$B$44-B3057)-((R3016-1)*IF(Inputs!$B$39="pvp",15,MAX(0.1,Skills!D4-IF(Skills!E4=TRUE,Inputs!$B$32,0))))))/Skills!H4,1)))/Inputs!$B$44),G3016*Q3016))*IF(Inputs!$B$39="pvp",1,(1+(Inputs!$B$21+Skills!Q4+B3053+(IF(ArtifactsInput!$M$33,CHOOSE(ArtifactsInput!$N$33+1,30,36,42,48,54,60),0))+(IF(AND(ArtifactsInput!$M$35,Inputs!$B$4&lt;&gt;"Chapter Hunt"),CHOOSE(ArtifactsInput!$N$35+1,15,18,21,24,27,30)*(1-EXP(-(0.2*B3048)*5)),0)+IF(AND(ArtifactsInput!$M$22,Inputs!$B$4&lt;&gt;"Chapter Hunt"),CHOOSE(ArtifactsInput!$N$22+1,10,12,14,16,18,20)*((0*(((0.15*B3048*5))^0/1)+1*(((0.15*B3048*5))^1/1)+2*(((0.15*B3048*5))^2/2)+3*(((0.15*B3048*5))^3/6)+4*(((0.15*B3048*5))^4/24)+5*(((0.15*B3048*5))^5/120))/((((0.15*B3048*5))^0/1)+(((0.15*B3048*5))^1/1)+(((0.15*B3048*5))^2/2)+(((0.15*B3048*5))^3/6)+(((0.15*B3048*5))^4/24)+(((0.15*B3048*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17">
      <c r="A3017">
        <f>Skills!A5</f>
        <v/>
      </c>
      <c r="B3017">
        <f>Skills!B5</f>
        <v/>
      </c>
      <c r="C3017">
        <f>Inputs!$B$3&gt;=63</f>
        <v/>
      </c>
      <c r="D3017">
        <f>IF(Skills!C5=1,60+Inputs!$B$25+Inputs!$B$29,IF(Skills!C5=2,90+Inputs!$B$26+Inputs!$B$29,IF(Skills!C5=3,120+Inputs!$B$27+Inputs!$B$29,MAX(0,(Inputs!$B$3-100)*3)+Inputs!$B$28+Inputs!$B$29)))</f>
        <v/>
      </c>
      <c r="E3017">
        <f>INDEX(FactorTable!$B$2:$Y$301, MATCH(ROUND(MIN(300,MAX(1,D3017)),0), FactorTable!$A$2:$A$301,0), Skills!M5+1)</f>
        <v/>
      </c>
      <c r="F3017">
        <f>IF(Skills!N5=TRUE,(Skills!L5/10)*(E3017/1000),Skills!L5/10)+Skills!O5</f>
        <v/>
      </c>
      <c r="G3017">
        <f>Calc!G5</f>
        <v/>
      </c>
      <c r="H3017">
        <f>Calc!H5</f>
        <v/>
      </c>
      <c r="I3017">
        <f>IF(Skills!AA5&lt;&gt;"",1+(Skills!AA5/10)*(U3015/1000)/100,1)</f>
        <v/>
      </c>
      <c r="J3017">
        <f>((Inputs!$B$6*(1+Inputs!$B$7/100))+(((Inputs!$B$12*(1+Inputs!$B$13/100))-(Inputs!$B$12*(1+Inputs!$B$13/100)))+0.25*(Inputs!$B$14-Inputs!$B$14))*(1+Inputs!$B$7/100))*(F3017/100)</f>
        <v/>
      </c>
      <c r="K3017">
        <f>J3017*(1+((Inputs!$B$12*(1+Inputs!$B$13/100))*0.01+Inputs!$B$14*0.0025)/100)*(1+Inputs!$B$15/100)*(1+Inputs!$B$16/100)*(5000/(6000+Inputs!$B$43*(1-(100*(1-(1-(Inputs!$B$19+0)/100)*(1-CHOOSE(ArtifactsInput!$N$40+1,5,6,7,8,9,10)/100)^(IF(ArtifactsInput!$M$40,FALSE,TRUE)-ArtifactsInput!$M$40)))/100)))*(1+(Inputs!$B$24+((C3042=TRUE)*(F3042-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3035=TRUE)*(F3035-Calc!F23))+(((IF(AND(ArtifactsInput!$M$42,((Inputs!$B$9+((C3037=TRUE)*(F3037-Calc!F25))+B3052+(ArtifactsInput!$M$24-ArtifactsInput!$M$24)*CHOOSE(ArtifactsInput!$N$24+1,10,12,14,16,18,20)+IF(ArtifactsInput!$M$10,CHOOSE(ArtifactsInput!$N$10+1,15,18,21,24,27,30)*(IF(Inputs!$B$39="pvp",MIN(15,15)/15,IF(AND(Inputs!$B$39&lt;&gt;"pvp",Inputs!$B$44&gt;0),MIN(15,Inputs!$B$44)/(Inputs!$B$44),0))),0)))&gt;=100),MIN(100,((Inputs!$B$9+((C3037=TRUE)*(F3037-Calc!F25))+B3052+(ArtifactsInput!$M$24-ArtifactsInput!$M$24)*CHOOSE(ArtifactsInput!$N$24+1,10,12,14,16,18,20)+IF(ArtifactsInput!$M$10,CHOOSE(ArtifactsInput!$N$10+1,15,18,21,24,27,30)*(IF(Inputs!$B$39="pvp",MIN(15,15)/15,IF(AND(Inputs!$B$39&lt;&gt;"pvp",Inputs!$B$44&gt;0),MIN(15,Inputs!$B$44)/(Inputs!$B$44),0))),0)))-100),0))*CHOOSE(ArtifactsInput!$N$42+1,0.6,0.72,0.84,0.96,1.08,1.2))),Inputs!$B$18+((C3041=TRUE)*(F3041-Calc!F29))+(IF(AND(ArtifactsInput!$M$42,((Inputs!$B$9+((C3037=TRUE)*(F3037-Calc!F25))+B3052+(ArtifactsInput!$M$24-ArtifactsInput!$M$24)*CHOOSE(ArtifactsInput!$N$24+1,10,12,14,16,18,20)+IF(ArtifactsInput!$M$10,CHOOSE(ArtifactsInput!$N$10+1,15,18,21,24,27,30)*(IF(Inputs!$B$39="pvp",MIN(15,15)/15,IF(AND(Inputs!$B$39&lt;&gt;"pvp",Inputs!$B$44&gt;0),MIN(15,Inputs!$B$44)/(Inputs!$B$44),0))),0)))&gt;=100),CHOOSE(ArtifactsInput!$N$42+1,40,48,56,64,72,80),0))))/100)*(((1+(((C3033=TRUE)*F3033*IF(AND(Inputs!$B$39&lt;&gt;"pvp",Inputs!$B$44&gt;0),(((R3033-1)*(Skills!Y21*(1+Inputs!$B$34/100))+MIN((Skills!Y21*(1+Inputs!$B$34/100)),MAX(0,Inputs!$B$44-((R3033-1)*Skills!D21))))/Inputs!$B$44),IF(Inputs!$B$39="pvp",MIN((Skills!Y21*(1+Inputs!$B$34/100)),15)/15,(Skills!Y21*(1+Inputs!$B$34/100))/Skills!D21)))+((C3040=TRUE)*(F3040-Calc!F28))+((C3030=TRUE)*(F3030-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3027=TRUE)*F3027*IF(AND(Inputs!$B$39&lt;&gt;"pvp",Inputs!$B$44&gt;0),(((R3027-1)*(Skills!Y15*(1+Inputs!$B$34/100))+MIN((Skills!Y15*(1+Inputs!$B$34/100)),MAX(0,Inputs!$B$44-((R3027-1)*Skills!D15))))/Inputs!$B$44),IF(Inputs!$B$39="pvp",MIN((Skills!Y15*(1+Inputs!$B$34/100)),15)/15,(Skills!Y15*(1+Inputs!$B$34/100))/Skills!D15)))/100)*(1+((C3018=TRUE)*F3018*B3046)/100))*B3054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3017)</f>
        <v/>
      </c>
      <c r="L3017">
        <f>K3017*(MIN(Inputs!$B$22+((C3036=TRUE)*(F3036-Calc!F24)),(Inputs!$B$23+0+(IF(ArtifactsInput!$M$15,CHOOSE(ArtifactsInput!$N$15+1,25,30,35,40,45,50)/100*(Inputs!$B$11-Inputs!$B$11),0))))/100+(Inputs!$B$23+0+(IF(ArtifactsInput!$M$15,CHOOSE(ArtifactsInput!$N$15+1,25,30,35,40,45,50)/100*(Inputs!$B$11-Inputs!$B$11),0)))/100)/2</f>
        <v/>
      </c>
      <c r="M3017">
        <f>L3017*(1+(Inputs!$B$10+((C3038=TRUE)*(F3038-Calc!F26))+B3055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17">
        <f>L3017*(1-MIN((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3017*(MIN((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17">
        <f>(1-Summary!$B$11)*T3017+Summary!$B$11*V3017</f>
        <v/>
      </c>
      <c r="P3017">
        <f>IF(B3056=0,0,O3017/B3056)</f>
        <v/>
      </c>
      <c r="Q3017">
        <f>IFERROR(1/IF(Inputs!$B$39="pvp",15,MAX(0.1,Skills!D5-IF(Skills!E5=TRUE,Inputs!$B$32,0))),0)</f>
        <v/>
      </c>
      <c r="R3017">
        <f>IF(AND(Inputs!$B$39&lt;&gt;"pvp",Inputs!$B$44&gt;0),IF(MAX(0,Inputs!$B$44-B3057)&lt;=0,0,(INT(MAX(0,Inputs!$B$44-B3057)/IF(Inputs!$B$39="pvp",15,MAX(0.1,Skills!D5-IF(Skills!E5=TRUE,Inputs!$B$32,0))))+1)),0)</f>
        <v/>
      </c>
      <c r="S3017">
        <f>IFERROR(O3017/N3017,0)</f>
        <v/>
      </c>
      <c r="T3017">
        <f>IF(C3017,(H3017*N3017*IF(AND(Inputs!$B$39&lt;&gt;"pvp",Inputs!$B$44&gt;0),((Skills!G5*((R3017-1)*IF(Skills!H5&gt;0,Skills!I5/Skills!H5,1)+IF(Skills!H5&gt;0,MIN(Skills!I5,MAX(0,MAX(0,Inputs!$B$44-B3057)-((R3017-1)*IF(Inputs!$B$39="pvp",15,MAX(0.1,Skills!D5-IF(Skills!E5=TRUE,Inputs!$B$32,0))))))/Skills!H5,1)))/Inputs!$B$44),G3017*Q3017))*IF(Inputs!$B$39="pvp",1,1+(Inputs!$B$20+((C3039=TRUE)*(F3039-Calc!F27))+Skills!P5+B3053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Hunt"),CHOOSE(ArtifactsInput!$N$35+1,15,18,21,24,27,30)*(1-EXP(-(0.2*B3048)*5)),0)+IF(AND(ArtifactsInput!$M$22,Inputs!$B$4&lt;&gt;"Chapter Hunt"),CHOOSE(ArtifactsInput!$N$22+1,10,12,14,16,18,20)*((0*(((0.15*B3048*5))^0/1)+1*(((0.15*B3048*5))^1/1)+2*(((0.15*B3048*5))^2/2)+3*(((0.15*B3048*5))^3/6)+4*(((0.15*B3048*5))^4/24)+5*(((0.15*B3048*5))^5/120))/((((0.15*B3048*5))^0/1)+(((0.15*B3048*5))^1/1)+(((0.15*B3048*5))^2/2)+(((0.15*B3048*5))^3/6)+(((0.15*B3048*5))^4/24)+(((0.15*B3048*5))^5/120))),0)))/100)*((((5000/(6000+Inputs!$B$43*(1-(100*(1-(1-(100*(1-(1-(Inputs!$B$19+0)/100)*(1-CHOOSE(ArtifactsInput!$N$40+1,5,6,7,8,9,10)/100)^(IF(ArtifactsInput!$M$40,FALSE,TRUE)-ArtifactsInput!$M$40)))/100)*(1-IF(IF(ArtifactsInput!$M$40,FALSE,TRUE),CHOOSE(ArtifactsInput!$N$40+1,5,6,7,8,9,10),0)/100)^IF(Inputs!$B$39="pvp",1,2)))/100)))/(5000/(6000+Inputs!$B$43*(1-(100*(1-(1-(Inputs!$B$19+0)/100)*(1-CHOOSE(ArtifactsInput!$N$40+1,5,6,7,8,9,10)/100)^(IF(ArtifactsInput!$M$40,FALSE,TRUE)-ArtifactsInput!$M$40)))/100))))*((L3017*(1-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3017*(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3017*(1-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3017*(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17">
        <f>INDEX(FactorTable!$B$2:$Y$301, MATCH(ROUND(MIN(300,MAX(1,U3016)),0), FactorTable!$A$2:$A$301,0), 22)</f>
        <v/>
      </c>
      <c r="V3017">
        <f>IF(C3017,(H3017*N3017*IF(AND(Inputs!$B$39&lt;&gt;"pvp",Inputs!$B$44&gt;0),((Skills!G5*((R3017-1)*IF(Skills!H5&gt;0,Skills!I5/Skills!H5,1)+IF(Skills!H5&gt;0,MIN(Skills!I5,MAX(0,MAX(0,Inputs!$B$44-B3057)-((R3017-1)*IF(Inputs!$B$39="pvp",15,MAX(0.1,Skills!D5-IF(Skills!E5=TRUE,Inputs!$B$32,0))))))/Skills!H5,1)))/Inputs!$B$44),G3017*Q3017))*IF(Inputs!$B$39="pvp",1,(1+(Inputs!$B$21+Skills!Q5+B3053+(IF(ArtifactsInput!$M$33,CHOOSE(ArtifactsInput!$N$33+1,30,36,42,48,54,60),0))+(IF(AND(ArtifactsInput!$M$35,Inputs!$B$4&lt;&gt;"Chapter Hunt"),CHOOSE(ArtifactsInput!$N$35+1,15,18,21,24,27,30)*(1-EXP(-(0.2*B3048)*5)),0)+IF(AND(ArtifactsInput!$M$22,Inputs!$B$4&lt;&gt;"Chapter Hunt"),CHOOSE(ArtifactsInput!$N$22+1,10,12,14,16,18,20)*((0*(((0.15*B3048*5))^0/1)+1*(((0.15*B3048*5))^1/1)+2*(((0.15*B3048*5))^2/2)+3*(((0.15*B3048*5))^3/6)+4*(((0.15*B3048*5))^4/24)+5*(((0.15*B3048*5))^5/120))/((((0.15*B3048*5))^0/1)+(((0.15*B3048*5))^1/1)+(((0.15*B3048*5))^2/2)+(((0.15*B3048*5))^3/6)+(((0.15*B3048*5))^4/24)+(((0.15*B3048*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18">
      <c r="A3018">
        <f>Skills!A6</f>
        <v/>
      </c>
      <c r="B3018">
        <f>Skills!B6</f>
        <v/>
      </c>
      <c r="C3018">
        <f>Inputs!$B$3&gt;=66</f>
        <v/>
      </c>
      <c r="D3018">
        <f>IF(Skills!C6=1,60+Inputs!$B$25+Inputs!$B$29,IF(Skills!C6=2,90+Inputs!$B$26+Inputs!$B$29,IF(Skills!C6=3,120+Inputs!$B$27+Inputs!$B$29,MAX(0,(Inputs!$B$3-100)*3)+Inputs!$B$28+Inputs!$B$29)))</f>
        <v/>
      </c>
      <c r="E3018">
        <f>INDEX(FactorTable!$B$2:$Y$301, MATCH(ROUND(MIN(300,MAX(1,D3018)),0), FactorTable!$A$2:$A$301,0), Skills!M6+1)</f>
        <v/>
      </c>
      <c r="F3018">
        <f>IF(Skills!N6=TRUE,(Skills!L6/10)*(E3018/1000),Skills!L6/10)+Skills!O6</f>
        <v/>
      </c>
      <c r="G3018">
        <f>Calc!G6</f>
        <v/>
      </c>
      <c r="H3018">
        <f>Calc!H6</f>
        <v/>
      </c>
      <c r="I3018">
        <f>IF(Skills!AA6&lt;&gt;"",1+(Skills!AA6/10)*(U3015/1000)/100,1)</f>
        <v/>
      </c>
      <c r="J3018" t="inlineStr"/>
      <c r="K3018" t="inlineStr"/>
      <c r="L3018" t="inlineStr"/>
      <c r="M3018" t="inlineStr"/>
      <c r="N3018" t="inlineStr"/>
      <c r="O3018">
        <f>(1-Summary!$B$11)*T3018+Summary!$B$11*V3018</f>
        <v/>
      </c>
      <c r="P3018">
        <f>IF(B3056=0,0,O3018/B3056)</f>
        <v/>
      </c>
      <c r="Q3018" t="n">
        <v>0</v>
      </c>
      <c r="R3018" t="n">
        <v>0</v>
      </c>
      <c r="S3018">
        <f>IFERROR(O3018/N3018,0)</f>
        <v/>
      </c>
      <c r="T3018" t="n">
        <v>0</v>
      </c>
      <c r="U3018">
        <f>290*U3017/1000</f>
        <v/>
      </c>
      <c r="V3018" t="n">
        <v>0</v>
      </c>
    </row>
    <row r="3019">
      <c r="A3019">
        <f>Skills!A7</f>
        <v/>
      </c>
      <c r="B3019">
        <f>Skills!B7</f>
        <v/>
      </c>
      <c r="C3019">
        <f>Inputs!$B$3&gt;=66</f>
        <v/>
      </c>
      <c r="D3019">
        <f>IF(Skills!C7=1,60+Inputs!$B$25+Inputs!$B$29,IF(Skills!C7=2,90+Inputs!$B$26+Inputs!$B$29,IF(Skills!C7=3,120+Inputs!$B$27+Inputs!$B$29,MAX(0,(Inputs!$B$3-100)*3)+Inputs!$B$28+Inputs!$B$29)))</f>
        <v/>
      </c>
      <c r="E3019">
        <f>INDEX(FactorTable!$B$2:$Y$301, MATCH(ROUND(MIN(300,MAX(1,D3019)),0), FactorTable!$A$2:$A$301,0), Skills!M7+1)</f>
        <v/>
      </c>
      <c r="F3019">
        <f>IF(Skills!N7=TRUE,(Skills!L7/10)*(E3019/1000),Skills!L7/10)+Skills!O7</f>
        <v/>
      </c>
      <c r="G3019">
        <f>Calc!G7</f>
        <v/>
      </c>
      <c r="H3019">
        <f>Calc!H7</f>
        <v/>
      </c>
      <c r="I3019">
        <f>IF(Skills!AA7&lt;&gt;"",1+(Skills!AA7/10)*(U3015/1000)/100,1)</f>
        <v/>
      </c>
      <c r="J3019" t="inlineStr"/>
      <c r="K3019" t="inlineStr"/>
      <c r="L3019" t="inlineStr"/>
      <c r="M3019" t="inlineStr"/>
      <c r="N3019" t="inlineStr"/>
      <c r="O3019">
        <f>(1-Summary!$B$11)*T3019+Summary!$B$11*V3019</f>
        <v/>
      </c>
      <c r="P3019">
        <f>IF(B3056=0,0,O3019/B3056)</f>
        <v/>
      </c>
      <c r="Q3019" t="n">
        <v>0</v>
      </c>
      <c r="R3019" t="n">
        <v>0</v>
      </c>
      <c r="S3019">
        <f>IFERROR(O3019/N3019,0)</f>
        <v/>
      </c>
      <c r="T3019" t="n">
        <v>0</v>
      </c>
      <c r="V3019" t="n">
        <v>0</v>
      </c>
    </row>
    <row r="3020">
      <c r="A3020">
        <f>Skills!A8</f>
        <v/>
      </c>
      <c r="B3020">
        <f>Skills!B8</f>
        <v/>
      </c>
      <c r="C3020">
        <f>Inputs!$B$3&gt;=69</f>
        <v/>
      </c>
      <c r="D3020">
        <f>IF(Skills!C8=1,60+Inputs!$B$25+Inputs!$B$29,IF(Skills!C8=2,90+Inputs!$B$26+Inputs!$B$29,IF(Skills!C8=3,120+Inputs!$B$27+Inputs!$B$29,MAX(0,(Inputs!$B$3-100)*3)+Inputs!$B$28+Inputs!$B$29)))</f>
        <v/>
      </c>
      <c r="E3020">
        <f>INDEX(FactorTable!$B$2:$Y$301, MATCH(ROUND(MIN(300,MAX(1,D3020)),0), FactorTable!$A$2:$A$301,0), Skills!M8+1)</f>
        <v/>
      </c>
      <c r="F3020">
        <f>IF(Skills!N8=TRUE,(Skills!L8/10)*(E3020/1000),Skills!L8/10)+Skills!O8</f>
        <v/>
      </c>
      <c r="G3020">
        <f>Calc!G8</f>
        <v/>
      </c>
      <c r="H3020">
        <f>Calc!H8</f>
        <v/>
      </c>
      <c r="I3020">
        <f>IF(Skills!AA8&lt;&gt;"",1+(Skills!AA8/10)*(U3015/1000)/100,1)</f>
        <v/>
      </c>
      <c r="J3020">
        <f>((Inputs!$B$6*(1+Inputs!$B$7/100))+(((Inputs!$B$12*(1+Inputs!$B$13/100))-(Inputs!$B$12*(1+Inputs!$B$13/100)))+0.25*(Inputs!$B$14-Inputs!$B$14))*(1+Inputs!$B$7/100))*(F3020/100)</f>
        <v/>
      </c>
      <c r="K3020">
        <f>J3020*(1+((Inputs!$B$12*(1+Inputs!$B$13/100))*0.01+Inputs!$B$14*0.0025)/100)*(1+Inputs!$B$15/100)*(1+Inputs!$B$16/100)*(5000/(6000+Inputs!$B$43*(1-(100*(1-(1-(Inputs!$B$19+0)/100)*(1-CHOOSE(ArtifactsInput!$N$40+1,5,6,7,8,9,10)/100)^(IF(ArtifactsInput!$M$40,FALSE,TRUE)-ArtifactsInput!$M$40)))/100)))*(1+(Inputs!$B$24+((C3042=TRUE)*(F3042-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3035=TRUE)*(F3035-Calc!F23))+(((IF(AND(ArtifactsInput!$M$42,((Inputs!$B$9+((C3037=TRUE)*(F3037-Calc!F25))+B3052+(ArtifactsInput!$M$24-ArtifactsInput!$M$24)*CHOOSE(ArtifactsInput!$N$24+1,10,12,14,16,18,20)+IF(ArtifactsInput!$M$10,CHOOSE(ArtifactsInput!$N$10+1,15,18,21,24,27,30)*(IF(Inputs!$B$39="pvp",MIN(15,15)/15,IF(AND(Inputs!$B$39&lt;&gt;"pvp",Inputs!$B$44&gt;0),MIN(15,Inputs!$B$44)/(Inputs!$B$44),0))),0)))&gt;=100),MIN(100,((Inputs!$B$9+((C3037=TRUE)*(F3037-Calc!F25))+B3052+(ArtifactsInput!$M$24-ArtifactsInput!$M$24)*CHOOSE(ArtifactsInput!$N$24+1,10,12,14,16,18,20)+IF(ArtifactsInput!$M$10,CHOOSE(ArtifactsInput!$N$10+1,15,18,21,24,27,30)*(IF(Inputs!$B$39="pvp",MIN(15,15)/15,IF(AND(Inputs!$B$39&lt;&gt;"pvp",Inputs!$B$44&gt;0),MIN(15,Inputs!$B$44)/(Inputs!$B$44),0))),0)))-100),0))*CHOOSE(ArtifactsInput!$N$42+1,0.6,0.72,0.84,0.96,1.08,1.2))),Inputs!$B$18+((C3041=TRUE)*(F3041-Calc!F29))+(IF(AND(ArtifactsInput!$M$42,((Inputs!$B$9+((C3037=TRUE)*(F3037-Calc!F25))+B3052+(ArtifactsInput!$M$24-ArtifactsInput!$M$24)*CHOOSE(ArtifactsInput!$N$24+1,10,12,14,16,18,20)+IF(ArtifactsInput!$M$10,CHOOSE(ArtifactsInput!$N$10+1,15,18,21,24,27,30)*(IF(Inputs!$B$39="pvp",MIN(15,15)/15,IF(AND(Inputs!$B$39&lt;&gt;"pvp",Inputs!$B$44&gt;0),MIN(15,Inputs!$B$44)/(Inputs!$B$44),0))),0)))&gt;=100),CHOOSE(ArtifactsInput!$N$42+1,40,48,56,64,72,80),0))))/100)*(((1+(((C3033=TRUE)*F3033*IF(AND(Inputs!$B$39&lt;&gt;"pvp",Inputs!$B$44&gt;0),(((R3033-1)*(Skills!Y21*(1+Inputs!$B$34/100))+MIN((Skills!Y21*(1+Inputs!$B$34/100)),MAX(0,Inputs!$B$44-((R3033-1)*Skills!D21))))/Inputs!$B$44),IF(Inputs!$B$39="pvp",MIN((Skills!Y21*(1+Inputs!$B$34/100)),15)/15,(Skills!Y21*(1+Inputs!$B$34/100))/Skills!D21)))+((C3040=TRUE)*(F3040-Calc!F28))+((C3030=TRUE)*(F3030-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3027=TRUE)*F3027*IF(AND(Inputs!$B$39&lt;&gt;"pvp",Inputs!$B$44&gt;0),(((R3027-1)*(Skills!Y15*(1+Inputs!$B$34/100))+MIN((Skills!Y15*(1+Inputs!$B$34/100)),MAX(0,Inputs!$B$44-((R3027-1)*Skills!D15))))/Inputs!$B$44),IF(Inputs!$B$39="pvp",MIN((Skills!Y15*(1+Inputs!$B$34/100)),15)/15,(Skills!Y15*(1+Inputs!$B$34/100))/Skills!D15)))/100)*(1+((C3018=TRUE)*F3018*B3046)/100))*B3054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3020)</f>
        <v/>
      </c>
      <c r="L3020">
        <f>K3020*(MIN(Inputs!$B$22+((C3036=TRUE)*(F3036-Calc!F24)),(Inputs!$B$23+0+(IF(ArtifactsInput!$M$15,CHOOSE(ArtifactsInput!$N$15+1,25,30,35,40,45,50)/100*(Inputs!$B$11-Inputs!$B$11),0))))/100+(Inputs!$B$23+0+(IF(ArtifactsInput!$M$15,CHOOSE(ArtifactsInput!$N$15+1,25,30,35,40,45,50)/100*(Inputs!$B$11-Inputs!$B$11),0)))/100)/2</f>
        <v/>
      </c>
      <c r="M3020">
        <f>L3020*(1+(Inputs!$B$10+((C3038=TRUE)*(F3038-Calc!F26))+B3055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20">
        <f>L3020*(1-MIN((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3020*(MIN((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20">
        <f>(1-Summary!$B$11)*T3020+Summary!$B$11*V3020</f>
        <v/>
      </c>
      <c r="P3020">
        <f>IF(B3056=0,0,O3020/B3056)</f>
        <v/>
      </c>
      <c r="Q3020">
        <f>IFERROR(1/IF(Inputs!$B$39="pvp",15,MAX(0.1,Skills!D8-IF(Skills!E8=TRUE,Inputs!$B$32,0))),0)</f>
        <v/>
      </c>
      <c r="R3020">
        <f>IF(AND(Inputs!$B$39&lt;&gt;"pvp",Inputs!$B$44&gt;0),IF(MAX(0,Inputs!$B$44-B3057)&lt;=0,0,(INT(MAX(0,Inputs!$B$44-B3057)/IF(Inputs!$B$39="pvp",15,MAX(0.1,Skills!D8-IF(Skills!E8=TRUE,Inputs!$B$32,0))))+1)),0)</f>
        <v/>
      </c>
      <c r="S3020">
        <f>IFERROR(O3020/N3020,0)</f>
        <v/>
      </c>
      <c r="T3020">
        <f>IF(C3020,(H3020*N3020*IF(AND(Inputs!$B$39&lt;&gt;"pvp",Inputs!$B$44&gt;0),((Skills!G8*((R3020-1)*IF(Skills!H8&gt;0,Skills!I8/Skills!H8,1)+IF(Skills!H8&gt;0,MIN(Skills!I8,MAX(0,MAX(0,Inputs!$B$44-B3057)-((R3020-1)*IF(Inputs!$B$39="pvp",15,MAX(0.1,Skills!D8-IF(Skills!E8=TRUE,Inputs!$B$32,0))))))/Skills!H8,1)))/Inputs!$B$44),G3020*Q3020))*IF(Inputs!$B$39="pvp",1,1+(Inputs!$B$20+((C3039=TRUE)*(F3039-Calc!F27))+Skills!P8+B3053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Hunt"),CHOOSE(ArtifactsInput!$N$35+1,15,18,21,24,27,30)*(1-EXP(-(0.2*B3048)*5)),0)+IF(AND(ArtifactsInput!$M$22,Inputs!$B$4&lt;&gt;"Chapter Hunt"),CHOOSE(ArtifactsInput!$N$22+1,10,12,14,16,18,20)*((0*(((0.15*B3048*5))^0/1)+1*(((0.15*B3048*5))^1/1)+2*(((0.15*B3048*5))^2/2)+3*(((0.15*B3048*5))^3/6)+4*(((0.15*B3048*5))^4/24)+5*(((0.15*B3048*5))^5/120))/((((0.15*B3048*5))^0/1)+(((0.15*B3048*5))^1/1)+(((0.15*B3048*5))^2/2)+(((0.15*B3048*5))^3/6)+(((0.15*B3048*5))^4/24)+(((0.15*B3048*5))^5/120))),0)))/100)*((((5000/(6000+Inputs!$B$43*(1-(100*(1-(1-(100*(1-(1-(Inputs!$B$19+0)/100)*(1-CHOOSE(ArtifactsInput!$N$40+1,5,6,7,8,9,10)/100)^(IF(ArtifactsInput!$M$40,FALSE,TRUE)-ArtifactsInput!$M$40)))/100)*(1-IF(IF(ArtifactsInput!$M$40,FALSE,TRUE),CHOOSE(ArtifactsInput!$N$40+1,5,6,7,8,9,10),0)/100)^IF(Inputs!$B$39="pvp",1,2)))/100)))/(5000/(6000+Inputs!$B$43*(1-(100*(1-(1-(Inputs!$B$19+0)/100)*(1-CHOOSE(ArtifactsInput!$N$40+1,5,6,7,8,9,10)/100)^(IF(ArtifactsInput!$M$40,FALSE,TRUE)-ArtifactsInput!$M$40)))/100))))*((L3020*(1-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3020*(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3020*(1-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3020*(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20">
        <f>IF(C3020,(H3020*N3020*IF(AND(Inputs!$B$39&lt;&gt;"pvp",Inputs!$B$44&gt;0),((Skills!G8*((R3020-1)*IF(Skills!H8&gt;0,Skills!I8/Skills!H8,1)+IF(Skills!H8&gt;0,MIN(Skills!I8,MAX(0,MAX(0,Inputs!$B$44-B3057)-((R3020-1)*IF(Inputs!$B$39="pvp",15,MAX(0.1,Skills!D8-IF(Skills!E8=TRUE,Inputs!$B$32,0))))))/Skills!H8,1)))/Inputs!$B$44),G3020*Q3020))*IF(Inputs!$B$39="pvp",1,(1+(Inputs!$B$21+Skills!Q8+B3053+(IF(ArtifactsInput!$M$33,CHOOSE(ArtifactsInput!$N$33+1,30,36,42,48,54,60),0))+(IF(AND(ArtifactsInput!$M$35,Inputs!$B$4&lt;&gt;"Chapter Hunt"),CHOOSE(ArtifactsInput!$N$35+1,15,18,21,24,27,30)*(1-EXP(-(0.2*B3048)*5)),0)+IF(AND(ArtifactsInput!$M$22,Inputs!$B$4&lt;&gt;"Chapter Hunt"),CHOOSE(ArtifactsInput!$N$22+1,10,12,14,16,18,20)*((0*(((0.15*B3048*5))^0/1)+1*(((0.15*B3048*5))^1/1)+2*(((0.15*B3048*5))^2/2)+3*(((0.15*B3048*5))^3/6)+4*(((0.15*B3048*5))^4/24)+5*(((0.15*B3048*5))^5/120))/((((0.15*B3048*5))^0/1)+(((0.15*B3048*5))^1/1)+(((0.15*B3048*5))^2/2)+(((0.15*B3048*5))^3/6)+(((0.15*B3048*5))^4/24)+(((0.15*B3048*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21">
      <c r="A3021">
        <f>Skills!A9</f>
        <v/>
      </c>
      <c r="B3021">
        <f>Skills!B9</f>
        <v/>
      </c>
      <c r="C3021">
        <f>Inputs!$B$3&gt;=72</f>
        <v/>
      </c>
      <c r="D3021">
        <f>IF(Skills!C9=1,60+Inputs!$B$25+Inputs!$B$29,IF(Skills!C9=2,90+Inputs!$B$26+Inputs!$B$29,IF(Skills!C9=3,120+Inputs!$B$27+Inputs!$B$29,MAX(0,(Inputs!$B$3-100)*3)+Inputs!$B$28+Inputs!$B$29)))</f>
        <v/>
      </c>
      <c r="E3021">
        <f>INDEX(FactorTable!$B$2:$Y$301, MATCH(ROUND(MIN(300,MAX(1,D3021)),0), FactorTable!$A$2:$A$301,0), Skills!M9+1)</f>
        <v/>
      </c>
      <c r="F3021">
        <f>IF(Skills!N9=TRUE,(Skills!L9/10)*(E3021/1000),Skills!L9/10)+Skills!O9</f>
        <v/>
      </c>
      <c r="G3021">
        <f>Calc!G9</f>
        <v/>
      </c>
      <c r="H3021">
        <f>Calc!H9</f>
        <v/>
      </c>
      <c r="I3021">
        <f>IF(Skills!AA9&lt;&gt;"",1+(Skills!AA9/10)*(U3015/1000)/100,1)</f>
        <v/>
      </c>
      <c r="J3021">
        <f>((Inputs!$B$6*(1+Inputs!$B$7/100))+(((Inputs!$B$12*(1+Inputs!$B$13/100))-(Inputs!$B$12*(1+Inputs!$B$13/100)))+0.25*(Inputs!$B$14-Inputs!$B$14))*(1+Inputs!$B$7/100))*(F3021/100)</f>
        <v/>
      </c>
      <c r="K3021">
        <f>J3021*(1+((Inputs!$B$12*(1+Inputs!$B$13/100))*0.01+Inputs!$B$14*0.0025)/100)*(1+Inputs!$B$15/100)*(1+Inputs!$B$16/100)*(5000/(6000+Inputs!$B$43*(1-(100*(1-(1-(Inputs!$B$19+0)/100)*(1-CHOOSE(ArtifactsInput!$N$40+1,5,6,7,8,9,10)/100)^(IF(ArtifactsInput!$M$40,FALSE,TRUE)-ArtifactsInput!$M$40)))/100)))*(1+(Inputs!$B$24+((C3042=TRUE)*(F3042-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3035=TRUE)*(F3035-Calc!F23))+(((IF(AND(ArtifactsInput!$M$42,((Inputs!$B$9+((C3037=TRUE)*(F3037-Calc!F25))+B3052+(ArtifactsInput!$M$24-ArtifactsInput!$M$24)*CHOOSE(ArtifactsInput!$N$24+1,10,12,14,16,18,20)+IF(ArtifactsInput!$M$10,CHOOSE(ArtifactsInput!$N$10+1,15,18,21,24,27,30)*(IF(Inputs!$B$39="pvp",MIN(15,15)/15,IF(AND(Inputs!$B$39&lt;&gt;"pvp",Inputs!$B$44&gt;0),MIN(15,Inputs!$B$44)/(Inputs!$B$44),0))),0)))&gt;=100),MIN(100,((Inputs!$B$9+((C3037=TRUE)*(F3037-Calc!F25))+B3052+(ArtifactsInput!$M$24-ArtifactsInput!$M$24)*CHOOSE(ArtifactsInput!$N$24+1,10,12,14,16,18,20)+IF(ArtifactsInput!$M$10,CHOOSE(ArtifactsInput!$N$10+1,15,18,21,24,27,30)*(IF(Inputs!$B$39="pvp",MIN(15,15)/15,IF(AND(Inputs!$B$39&lt;&gt;"pvp",Inputs!$B$44&gt;0),MIN(15,Inputs!$B$44)/(Inputs!$B$44),0))),0)))-100),0))*CHOOSE(ArtifactsInput!$N$42+1,0.6,0.72,0.84,0.96,1.08,1.2))),Inputs!$B$18+((C3041=TRUE)*(F3041-Calc!F29))+(IF(AND(ArtifactsInput!$M$42,((Inputs!$B$9+((C3037=TRUE)*(F3037-Calc!F25))+B3052+(ArtifactsInput!$M$24-ArtifactsInput!$M$24)*CHOOSE(ArtifactsInput!$N$24+1,10,12,14,16,18,20)+IF(ArtifactsInput!$M$10,CHOOSE(ArtifactsInput!$N$10+1,15,18,21,24,27,30)*(IF(Inputs!$B$39="pvp",MIN(15,15)/15,IF(AND(Inputs!$B$39&lt;&gt;"pvp",Inputs!$B$44&gt;0),MIN(15,Inputs!$B$44)/(Inputs!$B$44),0))),0)))&gt;=100),CHOOSE(ArtifactsInput!$N$42+1,40,48,56,64,72,80),0))))/100)*(((1+(((C3033=TRUE)*F3033*IF(AND(Inputs!$B$39&lt;&gt;"pvp",Inputs!$B$44&gt;0),(((R3033-1)*(Skills!Y21*(1+Inputs!$B$34/100))+MIN((Skills!Y21*(1+Inputs!$B$34/100)),MAX(0,Inputs!$B$44-((R3033-1)*Skills!D21))))/Inputs!$B$44),IF(Inputs!$B$39="pvp",MIN((Skills!Y21*(1+Inputs!$B$34/100)),15)/15,(Skills!Y21*(1+Inputs!$B$34/100))/Skills!D21)))+((C3040=TRUE)*(F3040-Calc!F28))+((C3030=TRUE)*(F3030-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3027=TRUE)*F3027*IF(AND(Inputs!$B$39&lt;&gt;"pvp",Inputs!$B$44&gt;0),(((R3027-1)*(Skills!Y15*(1+Inputs!$B$34/100))+MIN((Skills!Y15*(1+Inputs!$B$34/100)),MAX(0,Inputs!$B$44-((R3027-1)*Skills!D15))))/Inputs!$B$44),IF(Inputs!$B$39="pvp",MIN((Skills!Y15*(1+Inputs!$B$34/100)),15)/15,(Skills!Y15*(1+Inputs!$B$34/100))/Skills!D15)))/100)*(1+((C3018=TRUE)*F3018*B3046)/100))*B3054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3021)</f>
        <v/>
      </c>
      <c r="L3021">
        <f>K3021*(MIN(Inputs!$B$22+((C3036=TRUE)*(F3036-Calc!F24)),(Inputs!$B$23+0+(IF(ArtifactsInput!$M$15,CHOOSE(ArtifactsInput!$N$15+1,25,30,35,40,45,50)/100*(Inputs!$B$11-Inputs!$B$11),0))))/100+(Inputs!$B$23+0+(IF(ArtifactsInput!$M$15,CHOOSE(ArtifactsInput!$N$15+1,25,30,35,40,45,50)/100*(Inputs!$B$11-Inputs!$B$11),0)))/100)/2</f>
        <v/>
      </c>
      <c r="M3021">
        <f>L3021*(1+(Inputs!$B$10+((C3038=TRUE)*(F3038-Calc!F26))+B3055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21">
        <f>L3021*(1-MIN((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3021*(MIN((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21">
        <f>(1-Summary!$B$11)*T3021+Summary!$B$11*V3021</f>
        <v/>
      </c>
      <c r="P3021">
        <f>IF(B3056=0,0,O3021/B3056)</f>
        <v/>
      </c>
      <c r="Q3021">
        <f>IFERROR(1/IF(Inputs!$B$39="pvp",15,MAX(0.1,Skills!D9-IF(Skills!E9=TRUE,Inputs!$B$32,0))),0)</f>
        <v/>
      </c>
      <c r="R3021">
        <f>IF(AND(Inputs!$B$39&lt;&gt;"pvp",Inputs!$B$44&gt;0),IF(MAX(0,Inputs!$B$44-B3057)&lt;=0,0,(INT(MAX(0,Inputs!$B$44-B3057)/IF(Inputs!$B$39="pvp",15,MAX(0.1,Skills!D9-IF(Skills!E9=TRUE,Inputs!$B$32,0))))+1)),0)</f>
        <v/>
      </c>
      <c r="S3021">
        <f>IFERROR(O3021/N3021,0)</f>
        <v/>
      </c>
      <c r="T3021">
        <f>IF(C3021,(H3021*N3021*IF(AND(Inputs!$B$39&lt;&gt;"pvp",Inputs!$B$44&gt;0),((Skills!G9*((R3021-1)*IF(Skills!H9&gt;0,Skills!I9/Skills!H9,1)+IF(Skills!H9&gt;0,MIN(Skills!I9,MAX(0,MAX(0,Inputs!$B$44-B3057)-((R3021-1)*IF(Inputs!$B$39="pvp",15,MAX(0.1,Skills!D9-IF(Skills!E9=TRUE,Inputs!$B$32,0))))))/Skills!H9,1)))/Inputs!$B$44),G3021*Q3021))*IF(Inputs!$B$39="pvp",1,1+(Inputs!$B$20+((C3039=TRUE)*(F3039-Calc!F27))+Skills!P9+B3053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Hunt"),CHOOSE(ArtifactsInput!$N$35+1,15,18,21,24,27,30)*(1-EXP(-(0.2*B3048)*5)),0)+IF(AND(ArtifactsInput!$M$22,Inputs!$B$4&lt;&gt;"Chapter Hunt"),CHOOSE(ArtifactsInput!$N$22+1,10,12,14,16,18,20)*((0*(((0.15*B3048*5))^0/1)+1*(((0.15*B3048*5))^1/1)+2*(((0.15*B3048*5))^2/2)+3*(((0.15*B3048*5))^3/6)+4*(((0.15*B3048*5))^4/24)+5*(((0.15*B3048*5))^5/120))/((((0.15*B3048*5))^0/1)+(((0.15*B3048*5))^1/1)+(((0.15*B3048*5))^2/2)+(((0.15*B3048*5))^3/6)+(((0.15*B3048*5))^4/24)+(((0.15*B3048*5))^5/120))),0)))/100)*((((5000/(6000+Inputs!$B$43*(1-(100*(1-(1-(100*(1-(1-(Inputs!$B$19+0)/100)*(1-CHOOSE(ArtifactsInput!$N$40+1,5,6,7,8,9,10)/100)^(IF(ArtifactsInput!$M$40,FALSE,TRUE)-ArtifactsInput!$M$40)))/100)*(1-IF(IF(ArtifactsInput!$M$40,FALSE,TRUE),CHOOSE(ArtifactsInput!$N$40+1,5,6,7,8,9,10),0)/100)^IF(Inputs!$B$39="pvp",1,2)))/100)))/(5000/(6000+Inputs!$B$43*(1-(100*(1-(1-(Inputs!$B$19+0)/100)*(1-CHOOSE(ArtifactsInput!$N$40+1,5,6,7,8,9,10)/100)^(IF(ArtifactsInput!$M$40,FALSE,TRUE)-ArtifactsInput!$M$40)))/100))))*((L3021*(1-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3021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3021*(1-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3021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21">
        <f>IF(C3021,(H3021*N3021*IF(AND(Inputs!$B$39&lt;&gt;"pvp",Inputs!$B$44&gt;0),((Skills!G9*((R3021-1)*IF(Skills!H9&gt;0,Skills!I9/Skills!H9,1)+IF(Skills!H9&gt;0,MIN(Skills!I9,MAX(0,MAX(0,Inputs!$B$44-B3057)-((R3021-1)*IF(Inputs!$B$39="pvp",15,MAX(0.1,Skills!D9-IF(Skills!E9=TRUE,Inputs!$B$32,0))))))/Skills!H9,1)))/Inputs!$B$44),G3021*Q3021))*IF(Inputs!$B$39="pvp",1,(1+(Inputs!$B$21+Skills!Q9+B3053+(IF(ArtifactsInput!$M$33,CHOOSE(ArtifactsInput!$N$33+1,30,36,42,48,54,60),0))+(IF(AND(ArtifactsInput!$M$35,Inputs!$B$4&lt;&gt;"Chapter Hunt"),CHOOSE(ArtifactsInput!$N$35+1,15,18,21,24,27,30)*(1-EXP(-(0.2*B3048)*5)),0)+IF(AND(ArtifactsInput!$M$22,Inputs!$B$4&lt;&gt;"Chapter Hunt"),CHOOSE(ArtifactsInput!$N$22+1,10,12,14,16,18,20)*((0*(((0.15*B3048*5))^0/1)+1*(((0.15*B3048*5))^1/1)+2*(((0.15*B3048*5))^2/2)+3*(((0.15*B3048*5))^3/6)+4*(((0.15*B3048*5))^4/24)+5*(((0.15*B3048*5))^5/120))/((((0.15*B3048*5))^0/1)+(((0.15*B3048*5))^1/1)+(((0.15*B3048*5))^2/2)+(((0.15*B3048*5))^3/6)+(((0.15*B3048*5))^4/24)+(((0.15*B3048*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22">
      <c r="A3022">
        <f>Skills!A10</f>
        <v/>
      </c>
      <c r="B3022">
        <f>Skills!B10</f>
        <v/>
      </c>
      <c r="C3022">
        <f>Inputs!$B$3&gt;=117</f>
        <v/>
      </c>
      <c r="D3022">
        <f>IF(Skills!C10=1,60+Inputs!$B$25+Inputs!$B$29,IF(Skills!C10=2,90+Inputs!$B$26+Inputs!$B$29,IF(Skills!C10=3,120+Inputs!$B$27+Inputs!$B$29,MAX(0,(Inputs!$B$3-100)*3)+Inputs!$B$28+Inputs!$B$29)))</f>
        <v/>
      </c>
      <c r="E3022">
        <f>INDEX(FactorTable!$B$2:$Y$301, MATCH(ROUND(MIN(300,MAX(1,D3022)),0), FactorTable!$A$2:$A$301,0), Skills!M10+1)</f>
        <v/>
      </c>
      <c r="F3022">
        <f>IF(Skills!N10=TRUE,(Skills!L10/10)*(E3022/1000),Skills!L10/10)+Skills!O10</f>
        <v/>
      </c>
      <c r="G3022">
        <f>Calc!G10</f>
        <v/>
      </c>
      <c r="H3022">
        <f>Calc!H10</f>
        <v/>
      </c>
      <c r="I3022">
        <f>IF(Skills!AA10&lt;&gt;"",1+(Skills!AA10/10)*(U3015/1000)/100,1)</f>
        <v/>
      </c>
      <c r="J3022">
        <f>((Inputs!$B$6*(1+Inputs!$B$7/100))+(((Inputs!$B$12*(1+Inputs!$B$13/100))-(Inputs!$B$12*(1+Inputs!$B$13/100)))+0.25*(Inputs!$B$14-Inputs!$B$14))*(1+Inputs!$B$7/100))*(F3022/100)</f>
        <v/>
      </c>
      <c r="K3022">
        <f>J3022*(1+((Inputs!$B$12*(1+Inputs!$B$13/100))*0.01+Inputs!$B$14*0.0025)/100)*(1+Inputs!$B$15/100)*(1+Inputs!$B$16/100)*(5000/(6000+Inputs!$B$43*(1-(100*(1-(1-(Inputs!$B$19+0)/100)*(1-CHOOSE(ArtifactsInput!$N$40+1,5,6,7,8,9,10)/100)^(IF(ArtifactsInput!$M$40,FALSE,TRUE)-ArtifactsInput!$M$40)))/100)))*(1+(Inputs!$B$24+((C3042=TRUE)*(F3042-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3035=TRUE)*(F3035-Calc!F23))+(((IF(AND(ArtifactsInput!$M$42,((Inputs!$B$9+((C3037=TRUE)*(F3037-Calc!F25))+B3052+(ArtifactsInput!$M$24-ArtifactsInput!$M$24)*CHOOSE(ArtifactsInput!$N$24+1,10,12,14,16,18,20)+IF(ArtifactsInput!$M$10,CHOOSE(ArtifactsInput!$N$10+1,15,18,21,24,27,30)*(IF(Inputs!$B$39="pvp",MIN(15,15)/15,IF(AND(Inputs!$B$39&lt;&gt;"pvp",Inputs!$B$44&gt;0),MIN(15,Inputs!$B$44)/(Inputs!$B$44),0))),0)))&gt;=100),MIN(100,((Inputs!$B$9+((C3037=TRUE)*(F3037-Calc!F25))+B3052+(ArtifactsInput!$M$24-ArtifactsInput!$M$24)*CHOOSE(ArtifactsInput!$N$24+1,10,12,14,16,18,20)+IF(ArtifactsInput!$M$10,CHOOSE(ArtifactsInput!$N$10+1,15,18,21,24,27,30)*(IF(Inputs!$B$39="pvp",MIN(15,15)/15,IF(AND(Inputs!$B$39&lt;&gt;"pvp",Inputs!$B$44&gt;0),MIN(15,Inputs!$B$44)/(Inputs!$B$44),0))),0)))-100),0))*CHOOSE(ArtifactsInput!$N$42+1,0.6,0.72,0.84,0.96,1.08,1.2))),Inputs!$B$18+((C3041=TRUE)*(F3041-Calc!F29))+(IF(AND(ArtifactsInput!$M$42,((Inputs!$B$9+((C3037=TRUE)*(F3037-Calc!F25))+B3052+(ArtifactsInput!$M$24-ArtifactsInput!$M$24)*CHOOSE(ArtifactsInput!$N$24+1,10,12,14,16,18,20)+IF(ArtifactsInput!$M$10,CHOOSE(ArtifactsInput!$N$10+1,15,18,21,24,27,30)*(IF(Inputs!$B$39="pvp",MIN(15,15)/15,IF(AND(Inputs!$B$39&lt;&gt;"pvp",Inputs!$B$44&gt;0),MIN(15,Inputs!$B$44)/(Inputs!$B$44),0))),0)))&gt;=100),CHOOSE(ArtifactsInput!$N$42+1,40,48,56,64,72,80),0))))/100)*(((1+(((C3033=TRUE)*F3033*IF(AND(Inputs!$B$39&lt;&gt;"pvp",Inputs!$B$44&gt;0),(((R3033-1)*(Skills!Y21*(1+Inputs!$B$34/100))+MIN((Skills!Y21*(1+Inputs!$B$34/100)),MAX(0,Inputs!$B$44-((R3033-1)*Skills!D21))))/Inputs!$B$44),IF(Inputs!$B$39="pvp",MIN((Skills!Y21*(1+Inputs!$B$34/100)),15)/15,(Skills!Y21*(1+Inputs!$B$34/100))/Skills!D21)))+((C3040=TRUE)*(F3040-Calc!F28))+((C3030=TRUE)*(F3030-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3027=TRUE)*F3027*IF(AND(Inputs!$B$39&lt;&gt;"pvp",Inputs!$B$44&gt;0),(((R3027-1)*(Skills!Y15*(1+Inputs!$B$34/100))+MIN((Skills!Y15*(1+Inputs!$B$34/100)),MAX(0,Inputs!$B$44-((R3027-1)*Skills!D15))))/Inputs!$B$44),IF(Inputs!$B$39="pvp",MIN((Skills!Y15*(1+Inputs!$B$34/100)),15)/15,(Skills!Y15*(1+Inputs!$B$34/100))/Skills!D15)))/100)*(1+((C3018=TRUE)*F3018*B3046)/100))*B3054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3022)</f>
        <v/>
      </c>
      <c r="L3022">
        <f>K3022*(MIN(Inputs!$B$22+((C3036=TRUE)*(F3036-Calc!F24)),(Inputs!$B$23+0+(IF(ArtifactsInput!$M$15,CHOOSE(ArtifactsInput!$N$15+1,25,30,35,40,45,50)/100*(Inputs!$B$11-Inputs!$B$11),0))))/100+(Inputs!$B$23+0+(IF(ArtifactsInput!$M$15,CHOOSE(ArtifactsInput!$N$15+1,25,30,35,40,45,50)/100*(Inputs!$B$11-Inputs!$B$11),0)))/100)/2</f>
        <v/>
      </c>
      <c r="M3022">
        <f>L3022*(1+(Inputs!$B$10+((C3038=TRUE)*(F3038-Calc!F26))+B3055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22">
        <f>L3022*(1-MIN((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3022*(MIN((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22">
        <f>(1-Summary!$B$11)*T3022+Summary!$B$11*V3022</f>
        <v/>
      </c>
      <c r="P3022">
        <f>IF(B3056=0,0,O3022/B3056)</f>
        <v/>
      </c>
      <c r="Q3022" t="n">
        <v>0</v>
      </c>
      <c r="R3022" t="n">
        <v>0</v>
      </c>
      <c r="S3022" t="n">
        <v>0</v>
      </c>
      <c r="T3022">
        <f>IF(C3022,(0.2*SUMPRODUCT((Skills!Z2:Z31=TRUE)*(C3014:C3043=TRUE)*S3014:S3043)*N3022)*IF(Inputs!$B$39="pvp",1,1+(Inputs!$B$20+((C3039=TRUE)*(F3039-Calc!F27))+Skills!P10+B3053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Hunt"),CHOOSE(ArtifactsInput!$N$35+1,15,18,21,24,27,30)*(1-EXP(-(0.2*B3048)*5)),0)+IF(AND(ArtifactsInput!$M$22,Inputs!$B$4&lt;&gt;"Chapter Hunt"),CHOOSE(ArtifactsInput!$N$22+1,10,12,14,16,18,20)*((0*(((0.15*B3048*5))^0/1)+1*(((0.15*B3048*5))^1/1)+2*(((0.15*B3048*5))^2/2)+3*(((0.15*B3048*5))^3/6)+4*(((0.15*B3048*5))^4/24)+5*(((0.15*B3048*5))^5/120))/((((0.15*B3048*5))^0/1)+(((0.15*B3048*5))^1/1)+(((0.15*B3048*5))^2/2)+(((0.15*B3048*5))^3/6)+(((0.15*B3048*5))^4/24)+(((0.15*B3048*5))^5/120))),0)))/100)*((((5000/(6000+Inputs!$B$43*(1-(100*(1-(1-(100*(1-(1-(Inputs!$B$19+0)/100)*(1-CHOOSE(ArtifactsInput!$N$40+1,5,6,7,8,9,10)/100)^(IF(ArtifactsInput!$M$40,FALSE,TRUE)-ArtifactsInput!$M$40)))/100)*(1-IF(IF(ArtifactsInput!$M$40,FALSE,TRUE),CHOOSE(ArtifactsInput!$N$40+1,5,6,7,8,9,10),0)/100)^IF(Inputs!$B$39="pvp",1,2)))/100)))/(5000/(6000+Inputs!$B$43*(1-(100*(1-(1-(Inputs!$B$19+0)/100)*(1-CHOOSE(ArtifactsInput!$N$40+1,5,6,7,8,9,10)/100)^(IF(ArtifactsInput!$M$40,FALSE,TRUE)-ArtifactsInput!$M$40)))/100))))*((L3022*(1-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3022*(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3022*(1-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3022*(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22">
        <f>IF(C3022,(0.2*SUMPRODUCT((Skills!Z2:Z31=TRUE)*(C3014:C3043=TRUE)*S3014:S3043)*N3022)*IF(Inputs!$B$39="pvp",1,(1+(Inputs!$B$21+Skills!Q10+B3053+(IF(ArtifactsInput!$M$33,CHOOSE(ArtifactsInput!$N$33+1,30,36,42,48,54,60),0))+(IF(AND(ArtifactsInput!$M$35,Inputs!$B$4&lt;&gt;"Chapter Hunt"),CHOOSE(ArtifactsInput!$N$35+1,15,18,21,24,27,30)*(1-EXP(-(0.2*B3048)*5)),0)+IF(AND(ArtifactsInput!$M$22,Inputs!$B$4&lt;&gt;"Chapter Hunt"),CHOOSE(ArtifactsInput!$N$22+1,10,12,14,16,18,20)*((0*(((0.15*B3048*5))^0/1)+1*(((0.15*B3048*5))^1/1)+2*(((0.15*B3048*5))^2/2)+3*(((0.15*B3048*5))^3/6)+4*(((0.15*B3048*5))^4/24)+5*(((0.15*B3048*5))^5/120))/((((0.15*B3048*5))^0/1)+(((0.15*B3048*5))^1/1)+(((0.15*B3048*5))^2/2)+(((0.15*B3048*5))^3/6)+(((0.15*B3048*5))^4/24)+(((0.15*B3048*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23">
      <c r="A3023">
        <f>Skills!A11</f>
        <v/>
      </c>
      <c r="B3023">
        <f>Skills!B11</f>
        <v/>
      </c>
      <c r="C3023">
        <f>Inputs!$B$3&gt;=60</f>
        <v/>
      </c>
      <c r="D3023">
        <f>IF(Skills!C11=1,60+Inputs!$B$25+Inputs!$B$29,IF(Skills!C11=2,90+Inputs!$B$26+Inputs!$B$29,IF(Skills!C11=3,120+Inputs!$B$27+Inputs!$B$29,MAX(0,(Inputs!$B$3-100)*3)+Inputs!$B$28+Inputs!$B$29)))</f>
        <v/>
      </c>
      <c r="E3023">
        <f>INDEX(FactorTable!$B$2:$Y$301, MATCH(ROUND(MIN(300,MAX(1,D3023)),0), FactorTable!$A$2:$A$301,0), Skills!M11+1)</f>
        <v/>
      </c>
      <c r="F3023">
        <f>IF(Skills!N11=TRUE,(Skills!L11/10)*(E3023/1000),Skills!L11/10)+Skills!O11</f>
        <v/>
      </c>
      <c r="G3023">
        <f>Calc!G11</f>
        <v/>
      </c>
      <c r="H3023">
        <f>Calc!H11</f>
        <v/>
      </c>
      <c r="I3023">
        <f>IF(Skills!AA11&lt;&gt;"",1+(Skills!AA11/10)*(U3015/1000)/100,1)</f>
        <v/>
      </c>
      <c r="J3023" t="inlineStr"/>
      <c r="K3023" t="inlineStr"/>
      <c r="L3023" t="inlineStr"/>
      <c r="M3023" t="inlineStr"/>
      <c r="N3023" t="inlineStr"/>
      <c r="O3023">
        <f>(1-Summary!$B$11)*T3023+Summary!$B$11*V3023</f>
        <v/>
      </c>
      <c r="P3023">
        <f>IF(B3056=0,0,O3023/B3056)</f>
        <v/>
      </c>
      <c r="Q3023" t="n">
        <v>0</v>
      </c>
      <c r="R3023" t="n">
        <v>0</v>
      </c>
      <c r="S3023">
        <f>IFERROR(O3023/N3023,0)</f>
        <v/>
      </c>
      <c r="T3023" t="n">
        <v>0</v>
      </c>
      <c r="V3023" t="n">
        <v>0</v>
      </c>
    </row>
    <row r="3024">
      <c r="A3024">
        <f>Skills!A12</f>
        <v/>
      </c>
      <c r="B3024">
        <f>Skills!B12</f>
        <v/>
      </c>
      <c r="C3024">
        <f>Inputs!$B$3&gt;=103</f>
        <v/>
      </c>
      <c r="D3024">
        <f>IF(Skills!C12=1,60+Inputs!$B$25+Inputs!$B$29,IF(Skills!C12=2,90+Inputs!$B$26+Inputs!$B$29,IF(Skills!C12=3,120+Inputs!$B$27+Inputs!$B$29,MAX(0,(Inputs!$B$3-100)*3)+Inputs!$B$28+Inputs!$B$29)))</f>
        <v/>
      </c>
      <c r="E3024">
        <f>INDEX(FactorTable!$B$2:$Y$301, MATCH(ROUND(MIN(300,MAX(1,D3024)),0), FactorTable!$A$2:$A$301,0), Skills!M12+1)</f>
        <v/>
      </c>
      <c r="F3024">
        <f>IF(Skills!N12=TRUE,(Skills!L12/10)*(E3024/1000),Skills!L12/10)+Skills!O12</f>
        <v/>
      </c>
      <c r="G3024">
        <f>Calc!G12</f>
        <v/>
      </c>
      <c r="H3024">
        <f>Calc!H12</f>
        <v/>
      </c>
      <c r="I3024">
        <f>IF(Skills!AA12&lt;&gt;"",1+(Skills!AA12/10)*(U3015/1000)/100,1)</f>
        <v/>
      </c>
      <c r="J3024">
        <f>((Inputs!$B$6*(1+Inputs!$B$7/100))+(((Inputs!$B$12*(1+Inputs!$B$13/100))-(Inputs!$B$12*(1+Inputs!$B$13/100)))+0.25*(Inputs!$B$14-Inputs!$B$14))*(1+Inputs!$B$7/100))*(F3024/100)</f>
        <v/>
      </c>
      <c r="K3024">
        <f>J3024*(1+((Inputs!$B$12*(1+Inputs!$B$13/100))*0.01+Inputs!$B$14*0.0025)/100)*(1+Inputs!$B$15/100)*(1+Inputs!$B$16/100)*(5000/(6000+Inputs!$B$43*(1-(100*(1-(1-(Inputs!$B$19+0)/100)*(1-CHOOSE(ArtifactsInput!$N$40+1,5,6,7,8,9,10)/100)^(IF(ArtifactsInput!$M$40,FALSE,TRUE)-ArtifactsInput!$M$40)))/100)))*(1+(Inputs!$B$24+((C3042=TRUE)*(F3042-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3035=TRUE)*(F3035-Calc!F23))+(((IF(AND(ArtifactsInput!$M$42,((Inputs!$B$9+((C3037=TRUE)*(F3037-Calc!F25))+B3052+(ArtifactsInput!$M$24-ArtifactsInput!$M$24)*CHOOSE(ArtifactsInput!$N$24+1,10,12,14,16,18,20)+IF(ArtifactsInput!$M$10,CHOOSE(ArtifactsInput!$N$10+1,15,18,21,24,27,30)*(IF(Inputs!$B$39="pvp",MIN(15,15)/15,IF(AND(Inputs!$B$39&lt;&gt;"pvp",Inputs!$B$44&gt;0),MIN(15,Inputs!$B$44)/(Inputs!$B$44),0))),0)))&gt;=100),MIN(100,((Inputs!$B$9+((C3037=TRUE)*(F3037-Calc!F25))+B3052+(ArtifactsInput!$M$24-ArtifactsInput!$M$24)*CHOOSE(ArtifactsInput!$N$24+1,10,12,14,16,18,20)+IF(ArtifactsInput!$M$10,CHOOSE(ArtifactsInput!$N$10+1,15,18,21,24,27,30)*(IF(Inputs!$B$39="pvp",MIN(15,15)/15,IF(AND(Inputs!$B$39&lt;&gt;"pvp",Inputs!$B$44&gt;0),MIN(15,Inputs!$B$44)/(Inputs!$B$44),0))),0)))-100),0))*CHOOSE(ArtifactsInput!$N$42+1,0.6,0.72,0.84,0.96,1.08,1.2))),Inputs!$B$18+((C3041=TRUE)*(F3041-Calc!F29))+(IF(AND(ArtifactsInput!$M$42,((Inputs!$B$9+((C3037=TRUE)*(F3037-Calc!F25))+B3052+(ArtifactsInput!$M$24-ArtifactsInput!$M$24)*CHOOSE(ArtifactsInput!$N$24+1,10,12,14,16,18,20)+IF(ArtifactsInput!$M$10,CHOOSE(ArtifactsInput!$N$10+1,15,18,21,24,27,30)*(IF(Inputs!$B$39="pvp",MIN(15,15)/15,IF(AND(Inputs!$B$39&lt;&gt;"pvp",Inputs!$B$44&gt;0),MIN(15,Inputs!$B$44)/(Inputs!$B$44),0))),0)))&gt;=100),CHOOSE(ArtifactsInput!$N$42+1,40,48,56,64,72,80),0))))/100)*(((1+(((C3033=TRUE)*F3033*IF(AND(Inputs!$B$39&lt;&gt;"pvp",Inputs!$B$44&gt;0),(((R3033-1)*(Skills!Y21*(1+Inputs!$B$34/100))+MIN((Skills!Y21*(1+Inputs!$B$34/100)),MAX(0,Inputs!$B$44-((R3033-1)*Skills!D21))))/Inputs!$B$44),IF(Inputs!$B$39="pvp",MIN((Skills!Y21*(1+Inputs!$B$34/100)),15)/15,(Skills!Y21*(1+Inputs!$B$34/100))/Skills!D21)))+((C3040=TRUE)*(F3040-Calc!F28))+((C3030=TRUE)*(F3030-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3027=TRUE)*F3027*IF(AND(Inputs!$B$39&lt;&gt;"pvp",Inputs!$B$44&gt;0),(((R3027-1)*(Skills!Y15*(1+Inputs!$B$34/100))+MIN((Skills!Y15*(1+Inputs!$B$34/100)),MAX(0,Inputs!$B$44-((R3027-1)*Skills!D15))))/Inputs!$B$44),IF(Inputs!$B$39="pvp",MIN((Skills!Y15*(1+Inputs!$B$34/100)),15)/15,(Skills!Y15*(1+Inputs!$B$34/100))/Skills!D15)))/100)*(1+((C3018=TRUE)*F3018*B3046)/100))*B3054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3024)</f>
        <v/>
      </c>
      <c r="L3024">
        <f>K3024*(MIN(Inputs!$B$22+((C3036=TRUE)*(F3036-Calc!F24)),(Inputs!$B$23+0+(IF(ArtifactsInput!$M$15,CHOOSE(ArtifactsInput!$N$15+1,25,30,35,40,45,50)/100*(Inputs!$B$11-Inputs!$B$11),0))))/100+(Inputs!$B$23+0+(IF(ArtifactsInput!$M$15,CHOOSE(ArtifactsInput!$N$15+1,25,30,35,40,45,50)/100*(Inputs!$B$11-Inputs!$B$11),0)))/100)/2</f>
        <v/>
      </c>
      <c r="M3024">
        <f>L3024*(1+(Inputs!$B$10+((C3038=TRUE)*(F3038-Calc!F26))+B3055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24">
        <f>L3024*(1-MIN((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3024*(MIN((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24">
        <f>(1-Summary!$B$11)*T3024+Summary!$B$11*V3024</f>
        <v/>
      </c>
      <c r="P3024">
        <f>IF(B3056=0,0,O3024/B3056)</f>
        <v/>
      </c>
      <c r="Q3024">
        <f>IFERROR(1/IF(Inputs!$B$39="pvp",15,MAX(0.1,Skills!D12-IF(Skills!E12=TRUE,Inputs!$B$32,0))),0)</f>
        <v/>
      </c>
      <c r="R3024">
        <f>IF(AND(Inputs!$B$39&lt;&gt;"pvp",Inputs!$B$44&gt;0),IF(MAX(0,Inputs!$B$44-B3057)&lt;=0,0,(INT(MAX(0,Inputs!$B$44-B3057)/IF(Inputs!$B$39="pvp",15,MAX(0.1,Skills!D12-IF(Skills!E12=TRUE,Inputs!$B$32,0))))+1)),0)</f>
        <v/>
      </c>
      <c r="S3024">
        <f>IFERROR(O3024/N3024,0)</f>
        <v/>
      </c>
      <c r="T3024">
        <f>IF(C3024,(H3024*N3024*IF(AND(Inputs!$B$39&lt;&gt;"pvp",Inputs!$B$44&gt;0),((Skills!G12*((R3024-1)*IF(Skills!H12&gt;0,Skills!I12/Skills!H12,1)+IF(Skills!H12&gt;0,MIN(Skills!I12,MAX(0,MAX(0,Inputs!$B$44-B3057)-((R3024-1)*IF(Inputs!$B$39="pvp",15,MAX(0.1,Skills!D12-IF(Skills!E12=TRUE,Inputs!$B$32,0))))))/Skills!H12,1)))/Inputs!$B$44),G3024*Q3024))*IF(Inputs!$B$39="pvp",1,1+(Inputs!$B$20+((C3039=TRUE)*(F3039-Calc!F27))+Skills!P12+B3053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Hunt"),CHOOSE(ArtifactsInput!$N$35+1,15,18,21,24,27,30)*(1-EXP(-(0.2*B3048)*5)),0)+IF(AND(ArtifactsInput!$M$22,Inputs!$B$4&lt;&gt;"Chapter Hunt"),CHOOSE(ArtifactsInput!$N$22+1,10,12,14,16,18,20)*((0*(((0.15*B3048*5))^0/1)+1*(((0.15*B3048*5))^1/1)+2*(((0.15*B3048*5))^2/2)+3*(((0.15*B3048*5))^3/6)+4*(((0.15*B3048*5))^4/24)+5*(((0.15*B3048*5))^5/120))/((((0.15*B3048*5))^0/1)+(((0.15*B3048*5))^1/1)+(((0.15*B3048*5))^2/2)+(((0.15*B3048*5))^3/6)+(((0.15*B3048*5))^4/24)+(((0.15*B3048*5))^5/120))),0)))/100)*((((5000/(6000+Inputs!$B$43*(1-(100*(1-(1-(100*(1-(1-(Inputs!$B$19+0)/100)*(1-CHOOSE(ArtifactsInput!$N$40+1,5,6,7,8,9,10)/100)^(IF(ArtifactsInput!$M$40,FALSE,TRUE)-ArtifactsInput!$M$40)))/100)*(1-IF(IF(ArtifactsInput!$M$40,FALSE,TRUE),CHOOSE(ArtifactsInput!$N$40+1,5,6,7,8,9,10),0)/100)^IF(Inputs!$B$39="pvp",1,2)))/100)))/(5000/(6000+Inputs!$B$43*(1-(100*(1-(1-(Inputs!$B$19+0)/100)*(1-CHOOSE(ArtifactsInput!$N$40+1,5,6,7,8,9,10)/100)^(IF(ArtifactsInput!$M$40,FALSE,TRUE)-ArtifactsInput!$M$40)))/100))))*((L3024*(1-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3024*(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3024*(1-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3024*(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24">
        <f>IF(C3024,(H3024*N3024*IF(AND(Inputs!$B$39&lt;&gt;"pvp",Inputs!$B$44&gt;0),((Skills!G12*((R3024-1)*IF(Skills!H12&gt;0,Skills!I12/Skills!H12,1)+IF(Skills!H12&gt;0,MIN(Skills!I12,MAX(0,MAX(0,Inputs!$B$44-B3057)-((R3024-1)*IF(Inputs!$B$39="pvp",15,MAX(0.1,Skills!D12-IF(Skills!E12=TRUE,Inputs!$B$32,0))))))/Skills!H12,1)))/Inputs!$B$44),G3024*Q3024))*IF(Inputs!$B$39="pvp",1,(1+(Inputs!$B$21+Skills!Q12+B3053+(IF(ArtifactsInput!$M$33,CHOOSE(ArtifactsInput!$N$33+1,30,36,42,48,54,60),0))+(IF(AND(ArtifactsInput!$M$35,Inputs!$B$4&lt;&gt;"Chapter Hunt"),CHOOSE(ArtifactsInput!$N$35+1,15,18,21,24,27,30)*(1-EXP(-(0.2*B3048)*5)),0)+IF(AND(ArtifactsInput!$M$22,Inputs!$B$4&lt;&gt;"Chapter Hunt"),CHOOSE(ArtifactsInput!$N$22+1,10,12,14,16,18,20)*((0*(((0.15*B3048*5))^0/1)+1*(((0.15*B3048*5))^1/1)+2*(((0.15*B3048*5))^2/2)+3*(((0.15*B3048*5))^3/6)+4*(((0.15*B3048*5))^4/24)+5*(((0.15*B3048*5))^5/120))/((((0.15*B3048*5))^0/1)+(((0.15*B3048*5))^1/1)+(((0.15*B3048*5))^2/2)+(((0.15*B3048*5))^3/6)+(((0.15*B3048*5))^4/24)+(((0.15*B3048*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25">
      <c r="A3025">
        <f>Skills!A13</f>
        <v/>
      </c>
      <c r="B3025">
        <f>Skills!B13</f>
        <v/>
      </c>
      <c r="C3025">
        <f>Inputs!$B$3&gt;=105</f>
        <v/>
      </c>
      <c r="D3025">
        <f>IF(Skills!C13=1,60+Inputs!$B$25+Inputs!$B$29,IF(Skills!C13=2,90+Inputs!$B$26+Inputs!$B$29,IF(Skills!C13=3,120+Inputs!$B$27+Inputs!$B$29,MAX(0,(Inputs!$B$3-100)*3)+Inputs!$B$28+Inputs!$B$29)))</f>
        <v/>
      </c>
      <c r="E3025">
        <f>INDEX(FactorTable!$B$2:$Y$301, MATCH(ROUND(MIN(300,MAX(1,D3025)),0), FactorTable!$A$2:$A$301,0), Skills!M13+1)</f>
        <v/>
      </c>
      <c r="F3025">
        <f>IF(Skills!N13=TRUE,(Skills!L13/10)*(E3025/1000),Skills!L13/10)+Skills!O13</f>
        <v/>
      </c>
      <c r="G3025">
        <f>Calc!G13</f>
        <v/>
      </c>
      <c r="H3025">
        <f>Calc!H13</f>
        <v/>
      </c>
      <c r="I3025">
        <f>IF(Skills!AA13&lt;&gt;"",1+(Skills!AA13/10)*(U3015/1000)/100,1)</f>
        <v/>
      </c>
      <c r="J3025">
        <f>((Inputs!$B$6*(1+Inputs!$B$7/100))+(((Inputs!$B$12*(1+Inputs!$B$13/100))-(Inputs!$B$12*(1+Inputs!$B$13/100)))+0.25*(Inputs!$B$14-Inputs!$B$14))*(1+Inputs!$B$7/100))*(F3025/100)</f>
        <v/>
      </c>
      <c r="K3025">
        <f>J3025*(1+((Inputs!$B$12*(1+Inputs!$B$13/100))*0.01+Inputs!$B$14*0.0025)/100)*(1+Inputs!$B$15/100)*(1+Inputs!$B$16/100)*(5000/(6000+Inputs!$B$43*(1-(100*(1-(1-(Inputs!$B$19+0)/100)*(1-CHOOSE(ArtifactsInput!$N$40+1,5,6,7,8,9,10)/100)^(IF(ArtifactsInput!$M$40,FALSE,TRUE)-ArtifactsInput!$M$40)))/100)))*(1+(Inputs!$B$24+((C3042=TRUE)*(F3042-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3035=TRUE)*(F3035-Calc!F23))+(((IF(AND(ArtifactsInput!$M$42,((Inputs!$B$9+((C3037=TRUE)*(F3037-Calc!F25))+B3052+(ArtifactsInput!$M$24-ArtifactsInput!$M$24)*CHOOSE(ArtifactsInput!$N$24+1,10,12,14,16,18,20)+IF(ArtifactsInput!$M$10,CHOOSE(ArtifactsInput!$N$10+1,15,18,21,24,27,30)*(IF(Inputs!$B$39="pvp",MIN(15,15)/15,IF(AND(Inputs!$B$39&lt;&gt;"pvp",Inputs!$B$44&gt;0),MIN(15,Inputs!$B$44)/(Inputs!$B$44),0))),0)))&gt;=100),MIN(100,((Inputs!$B$9+((C3037=TRUE)*(F3037-Calc!F25))+B3052+(ArtifactsInput!$M$24-ArtifactsInput!$M$24)*CHOOSE(ArtifactsInput!$N$24+1,10,12,14,16,18,20)+IF(ArtifactsInput!$M$10,CHOOSE(ArtifactsInput!$N$10+1,15,18,21,24,27,30)*(IF(Inputs!$B$39="pvp",MIN(15,15)/15,IF(AND(Inputs!$B$39&lt;&gt;"pvp",Inputs!$B$44&gt;0),MIN(15,Inputs!$B$44)/(Inputs!$B$44),0))),0)))-100),0))*CHOOSE(ArtifactsInput!$N$42+1,0.6,0.72,0.84,0.96,1.08,1.2))),Inputs!$B$18+((C3041=TRUE)*(F3041-Calc!F29))+(IF(AND(ArtifactsInput!$M$42,((Inputs!$B$9+((C3037=TRUE)*(F3037-Calc!F25))+B3052+(ArtifactsInput!$M$24-ArtifactsInput!$M$24)*CHOOSE(ArtifactsInput!$N$24+1,10,12,14,16,18,20)+IF(ArtifactsInput!$M$10,CHOOSE(ArtifactsInput!$N$10+1,15,18,21,24,27,30)*(IF(Inputs!$B$39="pvp",MIN(15,15)/15,IF(AND(Inputs!$B$39&lt;&gt;"pvp",Inputs!$B$44&gt;0),MIN(15,Inputs!$B$44)/(Inputs!$B$44),0))),0)))&gt;=100),CHOOSE(ArtifactsInput!$N$42+1,40,48,56,64,72,80),0))))/100)*(((1+(((C3033=TRUE)*F3033*IF(AND(Inputs!$B$39&lt;&gt;"pvp",Inputs!$B$44&gt;0),(((R3033-1)*(Skills!Y21*(1+Inputs!$B$34/100))+MIN((Skills!Y21*(1+Inputs!$B$34/100)),MAX(0,Inputs!$B$44-((R3033-1)*Skills!D21))))/Inputs!$B$44),IF(Inputs!$B$39="pvp",MIN((Skills!Y21*(1+Inputs!$B$34/100)),15)/15,(Skills!Y21*(1+Inputs!$B$34/100))/Skills!D21)))+((C3040=TRUE)*(F3040-Calc!F28))+((C3030=TRUE)*(F3030-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3027=TRUE)*F3027*IF(AND(Inputs!$B$39&lt;&gt;"pvp",Inputs!$B$44&gt;0),(((R3027-1)*(Skills!Y15*(1+Inputs!$B$34/100))+MIN((Skills!Y15*(1+Inputs!$B$34/100)),MAX(0,Inputs!$B$44-((R3027-1)*Skills!D15))))/Inputs!$B$44),IF(Inputs!$B$39="pvp",MIN((Skills!Y15*(1+Inputs!$B$34/100)),15)/15,(Skills!Y15*(1+Inputs!$B$34/100))/Skills!D15)))/100)*(1+((C3018=TRUE)*F3018*B3046)/100))*B3054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3025)</f>
        <v/>
      </c>
      <c r="L3025">
        <f>K3025*(MIN(Inputs!$B$22+((C3036=TRUE)*(F3036-Calc!F24)),(Inputs!$B$23+0+(IF(ArtifactsInput!$M$15,CHOOSE(ArtifactsInput!$N$15+1,25,30,35,40,45,50)/100*(Inputs!$B$11-Inputs!$B$11),0))))/100+(Inputs!$B$23+0+(IF(ArtifactsInput!$M$15,CHOOSE(ArtifactsInput!$N$15+1,25,30,35,40,45,50)/100*(Inputs!$B$11-Inputs!$B$11),0)))/100)/2</f>
        <v/>
      </c>
      <c r="M3025">
        <f>L3025*(1+(Inputs!$B$10+((C3038=TRUE)*(F3038-Calc!F26))+B3055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25">
        <f>L3025*(1-MIN((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3025*(MIN((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25">
        <f>(1-Summary!$B$11)*T3025+Summary!$B$11*V3025</f>
        <v/>
      </c>
      <c r="P3025">
        <f>IF(B3056=0,0,O3025/B3056)</f>
        <v/>
      </c>
      <c r="Q3025">
        <f>IFERROR(1/IF(Inputs!$B$39="pvp",15,MAX(0.1,Skills!D13-IF(Skills!E13=TRUE,Inputs!$B$32,0))),0)</f>
        <v/>
      </c>
      <c r="R3025">
        <f>IF(AND(Inputs!$B$39&lt;&gt;"pvp",Inputs!$B$44&gt;0),IF(MAX(0,Inputs!$B$44-B3057)&lt;=0,0,(INT(MAX(0,Inputs!$B$44-B3057)/IF(Inputs!$B$39="pvp",15,MAX(0.1,Skills!D13-IF(Skills!E13=TRUE,Inputs!$B$32,0))))+1)),0)</f>
        <v/>
      </c>
      <c r="S3025">
        <f>IFERROR(O3025/N3025,0)</f>
        <v/>
      </c>
      <c r="T3025">
        <f>IF(C3025,(H3025*N3025*IF(AND(Inputs!$B$39&lt;&gt;"pvp",Inputs!$B$44&gt;0),((Skills!G13*((R3025-1)*IF(Skills!H13&gt;0,Skills!I13/Skills!H13,1)+IF(Skills!H13&gt;0,MIN(Skills!I13,MAX(0,MAX(0,Inputs!$B$44-B3057)-((R3025-1)*IF(Inputs!$B$39="pvp",15,MAX(0.1,Skills!D13-IF(Skills!E13=TRUE,Inputs!$B$32,0))))))/Skills!H13,1)))/Inputs!$B$44),G3025*Q3025))*IF(Inputs!$B$39="pvp",1,1+(Inputs!$B$20+((C3039=TRUE)*(F3039-Calc!F27))+Skills!P13+B3053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Hunt"),CHOOSE(ArtifactsInput!$N$35+1,15,18,21,24,27,30)*(1-EXP(-(0.2*B3048)*5)),0)+IF(AND(ArtifactsInput!$M$22,Inputs!$B$4&lt;&gt;"Chapter Hunt"),CHOOSE(ArtifactsInput!$N$22+1,10,12,14,16,18,20)*((0*(((0.15*B3048*5))^0/1)+1*(((0.15*B3048*5))^1/1)+2*(((0.15*B3048*5))^2/2)+3*(((0.15*B3048*5))^3/6)+4*(((0.15*B3048*5))^4/24)+5*(((0.15*B3048*5))^5/120))/((((0.15*B3048*5))^0/1)+(((0.15*B3048*5))^1/1)+(((0.15*B3048*5))^2/2)+(((0.15*B3048*5))^3/6)+(((0.15*B3048*5))^4/24)+(((0.15*B3048*5))^5/120))),0)))/100)*((((5000/(6000+Inputs!$B$43*(1-(100*(1-(1-(100*(1-(1-(Inputs!$B$19+0)/100)*(1-CHOOSE(ArtifactsInput!$N$40+1,5,6,7,8,9,10)/100)^(IF(ArtifactsInput!$M$40,FALSE,TRUE)-ArtifactsInput!$M$40)))/100)*(1-IF(IF(ArtifactsInput!$M$40,FALSE,TRUE),CHOOSE(ArtifactsInput!$N$40+1,5,6,7,8,9,10),0)/100)^IF(Inputs!$B$39="pvp",1,2)))/100)))/(5000/(6000+Inputs!$B$43*(1-(100*(1-(1-(Inputs!$B$19+0)/100)*(1-CHOOSE(ArtifactsInput!$N$40+1,5,6,7,8,9,10)/100)^(IF(ArtifactsInput!$M$40,FALSE,TRUE)-ArtifactsInput!$M$40)))/100))))*((L3025*(1-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3025*(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3025*(1-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3025*(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25">
        <f>IF(C3025,(H3025*N3025*IF(AND(Inputs!$B$39&lt;&gt;"pvp",Inputs!$B$44&gt;0),((Skills!G13*((R3025-1)*IF(Skills!H13&gt;0,Skills!I13/Skills!H13,1)+IF(Skills!H13&gt;0,MIN(Skills!I13,MAX(0,MAX(0,Inputs!$B$44-B3057)-((R3025-1)*IF(Inputs!$B$39="pvp",15,MAX(0.1,Skills!D13-IF(Skills!E13=TRUE,Inputs!$B$32,0))))))/Skills!H13,1)))/Inputs!$B$44),G3025*Q3025))*IF(Inputs!$B$39="pvp",1,(1+(Inputs!$B$21+Skills!Q13+B3053+(IF(ArtifactsInput!$M$33,CHOOSE(ArtifactsInput!$N$33+1,30,36,42,48,54,60),0))+(IF(AND(ArtifactsInput!$M$35,Inputs!$B$4&lt;&gt;"Chapter Hunt"),CHOOSE(ArtifactsInput!$N$35+1,15,18,21,24,27,30)*(1-EXP(-(0.2*B3048)*5)),0)+IF(AND(ArtifactsInput!$M$22,Inputs!$B$4&lt;&gt;"Chapter Hunt"),CHOOSE(ArtifactsInput!$N$22+1,10,12,14,16,18,20)*((0*(((0.15*B3048*5))^0/1)+1*(((0.15*B3048*5))^1/1)+2*(((0.15*B3048*5))^2/2)+3*(((0.15*B3048*5))^3/6)+4*(((0.15*B3048*5))^4/24)+5*(((0.15*B3048*5))^5/120))/((((0.15*B3048*5))^0/1)+(((0.15*B3048*5))^1/1)+(((0.15*B3048*5))^2/2)+(((0.15*B3048*5))^3/6)+(((0.15*B3048*5))^4/24)+(((0.15*B3048*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26">
      <c r="A3026">
        <f>Skills!A14</f>
        <v/>
      </c>
      <c r="B3026">
        <f>Skills!B14</f>
        <v/>
      </c>
      <c r="C3026">
        <f>Inputs!$B$3&gt;=105</f>
        <v/>
      </c>
      <c r="D3026">
        <f>IF(Skills!C14=1,60+Inputs!$B$25+Inputs!$B$29,IF(Skills!C14=2,90+Inputs!$B$26+Inputs!$B$29,IF(Skills!C14=3,120+Inputs!$B$27+Inputs!$B$29,MAX(0,(Inputs!$B$3-100)*3)+Inputs!$B$28+Inputs!$B$29)))</f>
        <v/>
      </c>
      <c r="E3026">
        <f>INDEX(FactorTable!$B$2:$Y$301, MATCH(ROUND(MIN(300,MAX(1,D3026)),0), FactorTable!$A$2:$A$301,0), Skills!M14+1)</f>
        <v/>
      </c>
      <c r="F3026">
        <f>IF(Skills!N14=TRUE,(Skills!L14/10)*(E3026/1000),Skills!L14/10)+Skills!O14</f>
        <v/>
      </c>
      <c r="G3026">
        <f>Calc!G14</f>
        <v/>
      </c>
      <c r="H3026">
        <f>Calc!H14</f>
        <v/>
      </c>
      <c r="I3026">
        <f>IF(Skills!AA14&lt;&gt;"",1+(Skills!AA14/10)*(U3015/1000)/100,1)</f>
        <v/>
      </c>
      <c r="J3026">
        <f>((Inputs!$B$6*(1+Inputs!$B$7/100))+(((Inputs!$B$12*(1+Inputs!$B$13/100))-(Inputs!$B$12*(1+Inputs!$B$13/100)))+0.25*(Inputs!$B$14-Inputs!$B$14))*(1+Inputs!$B$7/100))*(F3026/100)</f>
        <v/>
      </c>
      <c r="K3026">
        <f>J3026*(1+((Inputs!$B$12*(1+Inputs!$B$13/100))*0.01+Inputs!$B$14*0.0025)/100)*(1+Inputs!$B$15/100)*(1+Inputs!$B$16/100)*(5000/(6000+Inputs!$B$43*(1-(100*(1-(1-(Inputs!$B$19+0)/100)*(1-CHOOSE(ArtifactsInput!$N$40+1,5,6,7,8,9,10)/100)^(IF(ArtifactsInput!$M$40,FALSE,TRUE)-ArtifactsInput!$M$40)))/100)))*(1+(Inputs!$B$24+((C3042=TRUE)*(F3042-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3035=TRUE)*(F3035-Calc!F23))+(((IF(AND(ArtifactsInput!$M$42,((Inputs!$B$9+((C3037=TRUE)*(F3037-Calc!F25))+B3052+(ArtifactsInput!$M$24-ArtifactsInput!$M$24)*CHOOSE(ArtifactsInput!$N$24+1,10,12,14,16,18,20)+IF(ArtifactsInput!$M$10,CHOOSE(ArtifactsInput!$N$10+1,15,18,21,24,27,30)*(IF(Inputs!$B$39="pvp",MIN(15,15)/15,IF(AND(Inputs!$B$39&lt;&gt;"pvp",Inputs!$B$44&gt;0),MIN(15,Inputs!$B$44)/(Inputs!$B$44),0))),0)))&gt;=100),MIN(100,((Inputs!$B$9+((C3037=TRUE)*(F3037-Calc!F25))+B3052+(ArtifactsInput!$M$24-ArtifactsInput!$M$24)*CHOOSE(ArtifactsInput!$N$24+1,10,12,14,16,18,20)+IF(ArtifactsInput!$M$10,CHOOSE(ArtifactsInput!$N$10+1,15,18,21,24,27,30)*(IF(Inputs!$B$39="pvp",MIN(15,15)/15,IF(AND(Inputs!$B$39&lt;&gt;"pvp",Inputs!$B$44&gt;0),MIN(15,Inputs!$B$44)/(Inputs!$B$44),0))),0)))-100),0))*CHOOSE(ArtifactsInput!$N$42+1,0.6,0.72,0.84,0.96,1.08,1.2))),Inputs!$B$18+((C3041=TRUE)*(F3041-Calc!F29))+(IF(AND(ArtifactsInput!$M$42,((Inputs!$B$9+((C3037=TRUE)*(F3037-Calc!F25))+B3052+(ArtifactsInput!$M$24-ArtifactsInput!$M$24)*CHOOSE(ArtifactsInput!$N$24+1,10,12,14,16,18,20)+IF(ArtifactsInput!$M$10,CHOOSE(ArtifactsInput!$N$10+1,15,18,21,24,27,30)*(IF(Inputs!$B$39="pvp",MIN(15,15)/15,IF(AND(Inputs!$B$39&lt;&gt;"pvp",Inputs!$B$44&gt;0),MIN(15,Inputs!$B$44)/(Inputs!$B$44),0))),0)))&gt;=100),CHOOSE(ArtifactsInput!$N$42+1,40,48,56,64,72,80),0))))/100)*(((1+(((C3033=TRUE)*F3033*IF(AND(Inputs!$B$39&lt;&gt;"pvp",Inputs!$B$44&gt;0),(((R3033-1)*(Skills!Y21*(1+Inputs!$B$34/100))+MIN((Skills!Y21*(1+Inputs!$B$34/100)),MAX(0,Inputs!$B$44-((R3033-1)*Skills!D21))))/Inputs!$B$44),IF(Inputs!$B$39="pvp",MIN((Skills!Y21*(1+Inputs!$B$34/100)),15)/15,(Skills!Y21*(1+Inputs!$B$34/100))/Skills!D21)))+((C3040=TRUE)*(F3040-Calc!F28))+((C3030=TRUE)*(F3030-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3027=TRUE)*F3027*IF(AND(Inputs!$B$39&lt;&gt;"pvp",Inputs!$B$44&gt;0),(((R3027-1)*(Skills!Y15*(1+Inputs!$B$34/100))+MIN((Skills!Y15*(1+Inputs!$B$34/100)),MAX(0,Inputs!$B$44-((R3027-1)*Skills!D15))))/Inputs!$B$44),IF(Inputs!$B$39="pvp",MIN((Skills!Y15*(1+Inputs!$B$34/100)),15)/15,(Skills!Y15*(1+Inputs!$B$34/100))/Skills!D15)))/100)*(1+((C3018=TRUE)*F3018*B3046)/100))*B3054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3026)</f>
        <v/>
      </c>
      <c r="L3026">
        <f>K3026*(MIN(Inputs!$B$22+((C3036=TRUE)*(F3036-Calc!F24)),(Inputs!$B$23+0+(IF(ArtifactsInput!$M$15,CHOOSE(ArtifactsInput!$N$15+1,25,30,35,40,45,50)/100*(Inputs!$B$11-Inputs!$B$11),0))))/100+(Inputs!$B$23+0+(IF(ArtifactsInput!$M$15,CHOOSE(ArtifactsInput!$N$15+1,25,30,35,40,45,50)/100*(Inputs!$B$11-Inputs!$B$11),0)))/100)/2</f>
        <v/>
      </c>
      <c r="M3026">
        <f>L3026*(1+(Inputs!$B$10+((C3038=TRUE)*(F3038-Calc!F26))+B3055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26">
        <f>L3026*(1-MIN((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3026*(MIN((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26">
        <f>(1-Summary!$B$11)*T3026+Summary!$B$11*V3026</f>
        <v/>
      </c>
      <c r="P3026">
        <f>IF(B3056=0,0,O3026/B3056)</f>
        <v/>
      </c>
      <c r="Q3026">
        <f>IFERROR(1/IF(Inputs!$B$39="pvp",15,MAX(0.1,Skills!D14-IF(Skills!E14=TRUE,Inputs!$B$32,0))),0)</f>
        <v/>
      </c>
      <c r="R3026">
        <f>IF(AND(Inputs!$B$39&lt;&gt;"pvp",Inputs!$B$44&gt;0),IF(MAX(0,Inputs!$B$44-B3057)&lt;=0,0,(INT(MAX(0,Inputs!$B$44-B3057)/IF(Inputs!$B$39="pvp",15,MAX(0.1,Skills!D14-IF(Skills!E14=TRUE,Inputs!$B$32,0))))+1)),0)</f>
        <v/>
      </c>
      <c r="S3026">
        <f>IFERROR(O3026/N3026,0)</f>
        <v/>
      </c>
      <c r="T3026">
        <f>IF(C3026,(H3026*N3026*IF(AND(Inputs!$B$39&lt;&gt;"pvp",Inputs!$B$44&gt;0),((Skills!G14*((R3026-1)*IF(Skills!H14&gt;0,Skills!I14/Skills!H14,1)+IF(Skills!H14&gt;0,MIN(Skills!I14,MAX(0,MAX(0,Inputs!$B$44-B3057)-((R3026-1)*IF(Inputs!$B$39="pvp",15,MAX(0.1,Skills!D14-IF(Skills!E14=TRUE,Inputs!$B$32,0))))))/Skills!H14,1)))/Inputs!$B$44),G3026*Q3026))*IF(Inputs!$B$39="pvp",1,1+(Inputs!$B$20+((C3039=TRUE)*(F3039-Calc!F27))+Skills!P14+B3053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Hunt"),CHOOSE(ArtifactsInput!$N$35+1,15,18,21,24,27,30)*(1-EXP(-(0.2*B3048)*5)),0)+IF(AND(ArtifactsInput!$M$22,Inputs!$B$4&lt;&gt;"Chapter Hunt"),CHOOSE(ArtifactsInput!$N$22+1,10,12,14,16,18,20)*((0*(((0.15*B3048*5))^0/1)+1*(((0.15*B3048*5))^1/1)+2*(((0.15*B3048*5))^2/2)+3*(((0.15*B3048*5))^3/6)+4*(((0.15*B3048*5))^4/24)+5*(((0.15*B3048*5))^5/120))/((((0.15*B3048*5))^0/1)+(((0.15*B3048*5))^1/1)+(((0.15*B3048*5))^2/2)+(((0.15*B3048*5))^3/6)+(((0.15*B3048*5))^4/24)+(((0.15*B3048*5))^5/120))),0)))/100)*((((5000/(6000+Inputs!$B$43*(1-(100*(1-(1-(100*(1-(1-(Inputs!$B$19+0)/100)*(1-CHOOSE(ArtifactsInput!$N$40+1,5,6,7,8,9,10)/100)^(IF(ArtifactsInput!$M$40,FALSE,TRUE)-ArtifactsInput!$M$40)))/100)*(1-IF(IF(ArtifactsInput!$M$40,FALSE,TRUE),CHOOSE(ArtifactsInput!$N$40+1,5,6,7,8,9,10),0)/100)^IF(Inputs!$B$39="pvp",1,2)))/100)))/(5000/(6000+Inputs!$B$43*(1-(100*(1-(1-(Inputs!$B$19+0)/100)*(1-CHOOSE(ArtifactsInput!$N$40+1,5,6,7,8,9,10)/100)^(IF(ArtifactsInput!$M$40,FALSE,TRUE)-ArtifactsInput!$M$40)))/100))))*((L3026*(1-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3026*(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3026*(1-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3026*(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26">
        <f>IF(C3026,(H3026*N3026*IF(AND(Inputs!$B$39&lt;&gt;"pvp",Inputs!$B$44&gt;0),((Skills!G14*((R3026-1)*IF(Skills!H14&gt;0,Skills!I14/Skills!H14,1)+IF(Skills!H14&gt;0,MIN(Skills!I14,MAX(0,MAX(0,Inputs!$B$44-B3057)-((R3026-1)*IF(Inputs!$B$39="pvp",15,MAX(0.1,Skills!D14-IF(Skills!E14=TRUE,Inputs!$B$32,0))))))/Skills!H14,1)))/Inputs!$B$44),G3026*Q3026))*IF(Inputs!$B$39="pvp",1,(1+(Inputs!$B$21+Skills!Q14+B3053+(IF(ArtifactsInput!$M$33,CHOOSE(ArtifactsInput!$N$33+1,30,36,42,48,54,60),0))+(IF(AND(ArtifactsInput!$M$35,Inputs!$B$4&lt;&gt;"Chapter Hunt"),CHOOSE(ArtifactsInput!$N$35+1,15,18,21,24,27,30)*(1-EXP(-(0.2*B3048)*5)),0)+IF(AND(ArtifactsInput!$M$22,Inputs!$B$4&lt;&gt;"Chapter Hunt"),CHOOSE(ArtifactsInput!$N$22+1,10,12,14,16,18,20)*((0*(((0.15*B3048*5))^0/1)+1*(((0.15*B3048*5))^1/1)+2*(((0.15*B3048*5))^2/2)+3*(((0.15*B3048*5))^3/6)+4*(((0.15*B3048*5))^4/24)+5*(((0.15*B3048*5))^5/120))/((((0.15*B3048*5))^0/1)+(((0.15*B3048*5))^1/1)+(((0.15*B3048*5))^2/2)+(((0.15*B3048*5))^3/6)+(((0.15*B3048*5))^4/24)+(((0.15*B3048*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27">
      <c r="A3027">
        <f>Skills!A15</f>
        <v/>
      </c>
      <c r="B3027">
        <f>Skills!B15</f>
        <v/>
      </c>
      <c r="C3027">
        <f>Inputs!$B$3&gt;=110</f>
        <v/>
      </c>
      <c r="D3027">
        <f>IF(Skills!C15=1,60+Inputs!$B$25+Inputs!$B$29,IF(Skills!C15=2,90+Inputs!$B$26+Inputs!$B$29,IF(Skills!C15=3,120+Inputs!$B$27+Inputs!$B$29,MAX(0,(Inputs!$B$3-100)*3)+Inputs!$B$28+Inputs!$B$29)))</f>
        <v/>
      </c>
      <c r="E3027">
        <f>INDEX(FactorTable!$B$2:$Y$301, MATCH(ROUND(MIN(300,MAX(1,D3027)),0), FactorTable!$A$2:$A$301,0), Skills!M15+1)</f>
        <v/>
      </c>
      <c r="F3027">
        <f>IF(Skills!N15=TRUE,(Skills!L15/10)*(E3027/1000),Skills!L15/10)+Skills!O15</f>
        <v/>
      </c>
      <c r="G3027">
        <f>Calc!G15</f>
        <v/>
      </c>
      <c r="H3027">
        <f>Calc!H15</f>
        <v/>
      </c>
      <c r="I3027">
        <f>IF(Skills!AA15&lt;&gt;"",1+(Skills!AA15/10)*(U3015/1000)/100,1)</f>
        <v/>
      </c>
      <c r="J3027" t="inlineStr"/>
      <c r="K3027" t="inlineStr"/>
      <c r="L3027" t="inlineStr"/>
      <c r="M3027" t="inlineStr"/>
      <c r="N3027" t="inlineStr"/>
      <c r="O3027">
        <f>(1-Summary!$B$11)*T3027+Summary!$B$11*V3027</f>
        <v/>
      </c>
      <c r="P3027">
        <f>IF(B3056=0,0,O3027/B3056)</f>
        <v/>
      </c>
      <c r="Q3027">
        <f>IFERROR(1/IF(Inputs!$B$39="pvp",15,MAX(0.1,Skills!D15-IF(Skills!E15=TRUE,Inputs!$B$32,0))),0)</f>
        <v/>
      </c>
      <c r="R3027">
        <f>IF(AND(Inputs!$B$39&lt;&gt;"pvp",Inputs!$B$44&gt;0),IF(Inputs!$B$44&lt;=0,0,(INT(Inputs!$B$44/IF(Inputs!$B$39="pvp",15,MAX(0.1,Skills!D15-IF(Skills!E15=TRUE,Inputs!$B$32,0))))+1)),0)</f>
        <v/>
      </c>
      <c r="S3027">
        <f>IFERROR(O3027/N3027,0)</f>
        <v/>
      </c>
      <c r="T3027" t="n">
        <v>0</v>
      </c>
      <c r="V3027" t="n">
        <v>0</v>
      </c>
    </row>
    <row r="3028">
      <c r="A3028">
        <f>Skills!A16</f>
        <v/>
      </c>
      <c r="B3028">
        <f>Skills!B16</f>
        <v/>
      </c>
      <c r="C3028">
        <f>Inputs!$B$3&gt;=110</f>
        <v/>
      </c>
      <c r="D3028">
        <f>IF(Skills!C16=1,60+Inputs!$B$25+Inputs!$B$29,IF(Skills!C16=2,90+Inputs!$B$26+Inputs!$B$29,IF(Skills!C16=3,120+Inputs!$B$27+Inputs!$B$29,MAX(0,(Inputs!$B$3-100)*3)+Inputs!$B$28+Inputs!$B$29)))</f>
        <v/>
      </c>
      <c r="E3028">
        <f>INDEX(FactorTable!$B$2:$Y$301, MATCH(ROUND(MIN(300,MAX(1,D3028)),0), FactorTable!$A$2:$A$301,0), Skills!M16+1)</f>
        <v/>
      </c>
      <c r="F3028">
        <f>IF(Skills!N16=TRUE,(Skills!L16/10)*(E3028/1000),Skills!L16/10)+Skills!O16</f>
        <v/>
      </c>
      <c r="G3028">
        <f>Calc!G16</f>
        <v/>
      </c>
      <c r="H3028">
        <f>Calc!H16</f>
        <v/>
      </c>
      <c r="I3028">
        <f>IF(Skills!AA16&lt;&gt;"",1+(Skills!AA16/10)*(U3015/1000)/100,1)</f>
        <v/>
      </c>
      <c r="J3028" t="inlineStr"/>
      <c r="K3028" t="inlineStr"/>
      <c r="L3028" t="inlineStr"/>
      <c r="M3028" t="inlineStr"/>
      <c r="N3028" t="inlineStr"/>
      <c r="O3028">
        <f>(1-Summary!$B$11)*T3028+Summary!$B$11*V3028</f>
        <v/>
      </c>
      <c r="P3028">
        <f>IF(B3056=0,0,O3028/B3056)</f>
        <v/>
      </c>
      <c r="Q3028">
        <f>IFERROR(1/IF(Inputs!$B$39="pvp",15,MAX(0.1,Skills!D16-IF(Skills!E16=TRUE,Inputs!$B$32,0))),0)</f>
        <v/>
      </c>
      <c r="R3028">
        <f>IF(AND(Inputs!$B$39&lt;&gt;"pvp",Inputs!$B$44&gt;0),IF(Inputs!$B$44&lt;=0,0,(INT(Inputs!$B$44/IF(Inputs!$B$39="pvp",15,MAX(0.1,Skills!D16-IF(Skills!E16=TRUE,Inputs!$B$32,0))))+1)),0)</f>
        <v/>
      </c>
      <c r="S3028">
        <f>IFERROR(O3028/N3028,0)</f>
        <v/>
      </c>
      <c r="T3028" t="n">
        <v>0</v>
      </c>
      <c r="V3028" t="n">
        <v>0</v>
      </c>
    </row>
    <row r="3029">
      <c r="A3029">
        <f>Skills!A17</f>
        <v/>
      </c>
      <c r="B3029">
        <f>Skills!B17</f>
        <v/>
      </c>
      <c r="C3029">
        <f>Inputs!$B$3&gt;=115</f>
        <v/>
      </c>
      <c r="D3029">
        <f>IF(Skills!C17=1,60+Inputs!$B$25+Inputs!$B$29,IF(Skills!C17=2,90+Inputs!$B$26+Inputs!$B$29,IF(Skills!C17=3,120+Inputs!$B$27+Inputs!$B$29,MAX(0,(Inputs!$B$3-100)*3)+Inputs!$B$28+Inputs!$B$29)))</f>
        <v/>
      </c>
      <c r="E3029">
        <f>INDEX(FactorTable!$B$2:$Y$301, MATCH(ROUND(MIN(300,MAX(1,D3029)),0), FactorTable!$A$2:$A$301,0), Skills!M17+1)</f>
        <v/>
      </c>
      <c r="F3029">
        <f>IF(Skills!N17=TRUE,(Skills!L17/10)*(E3029/1000),Skills!L17/10)+Skills!O17</f>
        <v/>
      </c>
      <c r="G3029">
        <f>Calc!G17</f>
        <v/>
      </c>
      <c r="H3029">
        <f>Calc!H17</f>
        <v/>
      </c>
      <c r="I3029">
        <f>IF(Skills!AA17&lt;&gt;"",1+(Skills!AA17/10)*(U3015/1000)/100,1)</f>
        <v/>
      </c>
      <c r="J3029">
        <f>((Inputs!$B$6*(1+Inputs!$B$7/100))+(((Inputs!$B$12*(1+Inputs!$B$13/100))-(Inputs!$B$12*(1+Inputs!$B$13/100)))+0.25*(Inputs!$B$14-Inputs!$B$14))*(1+Inputs!$B$7/100))*(F3029/100)</f>
        <v/>
      </c>
      <c r="K3029">
        <f>J3029*(1+((Inputs!$B$12*(1+Inputs!$B$13/100))*0.01+Inputs!$B$14*0.0025)/100)*(1+Inputs!$B$15/100)*(1+Inputs!$B$16/100)*(5000/(6000+Inputs!$B$43*(1-(100*(1-(1-(Inputs!$B$19+0)/100)*(1-CHOOSE(ArtifactsInput!$N$40+1,5,6,7,8,9,10)/100)^(IF(ArtifactsInput!$M$40,FALSE,TRUE)-ArtifactsInput!$M$40)))/100)))*(1+(Inputs!$B$24+((C3042=TRUE)*(F3042-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3035=TRUE)*(F3035-Calc!F23))+(((IF(AND(ArtifactsInput!$M$42,((Inputs!$B$9+((C3037=TRUE)*(F3037-Calc!F25))+B3052+(ArtifactsInput!$M$24-ArtifactsInput!$M$24)*CHOOSE(ArtifactsInput!$N$24+1,10,12,14,16,18,20)+IF(ArtifactsInput!$M$10,CHOOSE(ArtifactsInput!$N$10+1,15,18,21,24,27,30)*(IF(Inputs!$B$39="pvp",MIN(15,15)/15,IF(AND(Inputs!$B$39&lt;&gt;"pvp",Inputs!$B$44&gt;0),MIN(15,Inputs!$B$44)/(Inputs!$B$44),0))),0)))&gt;=100),MIN(100,((Inputs!$B$9+((C3037=TRUE)*(F3037-Calc!F25))+B3052+(ArtifactsInput!$M$24-ArtifactsInput!$M$24)*CHOOSE(ArtifactsInput!$N$24+1,10,12,14,16,18,20)+IF(ArtifactsInput!$M$10,CHOOSE(ArtifactsInput!$N$10+1,15,18,21,24,27,30)*(IF(Inputs!$B$39="pvp",MIN(15,15)/15,IF(AND(Inputs!$B$39&lt;&gt;"pvp",Inputs!$B$44&gt;0),MIN(15,Inputs!$B$44)/(Inputs!$B$44),0))),0)))-100),0))*CHOOSE(ArtifactsInput!$N$42+1,0.6,0.72,0.84,0.96,1.08,1.2))),Inputs!$B$18+((C3041=TRUE)*(F3041-Calc!F29))+(IF(AND(ArtifactsInput!$M$42,((Inputs!$B$9+((C3037=TRUE)*(F3037-Calc!F25))+B3052+(ArtifactsInput!$M$24-ArtifactsInput!$M$24)*CHOOSE(ArtifactsInput!$N$24+1,10,12,14,16,18,20)+IF(ArtifactsInput!$M$10,CHOOSE(ArtifactsInput!$N$10+1,15,18,21,24,27,30)*(IF(Inputs!$B$39="pvp",MIN(15,15)/15,IF(AND(Inputs!$B$39&lt;&gt;"pvp",Inputs!$B$44&gt;0),MIN(15,Inputs!$B$44)/(Inputs!$B$44),0))),0)))&gt;=100),CHOOSE(ArtifactsInput!$N$42+1,40,48,56,64,72,80),0))))/100)*(((1+(((C3033=TRUE)*F3033*IF(AND(Inputs!$B$39&lt;&gt;"pvp",Inputs!$B$44&gt;0),(((R3033-1)*(Skills!Y21*(1+Inputs!$B$34/100))+MIN((Skills!Y21*(1+Inputs!$B$34/100)),MAX(0,Inputs!$B$44-((R3033-1)*Skills!D21))))/Inputs!$B$44),IF(Inputs!$B$39="pvp",MIN((Skills!Y21*(1+Inputs!$B$34/100)),15)/15,(Skills!Y21*(1+Inputs!$B$34/100))/Skills!D21)))+((C3040=TRUE)*(F3040-Calc!F28))+((C3030=TRUE)*(F3030-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3027=TRUE)*F3027*IF(AND(Inputs!$B$39&lt;&gt;"pvp",Inputs!$B$44&gt;0),(((R3027-1)*(Skills!Y15*(1+Inputs!$B$34/100))+MIN((Skills!Y15*(1+Inputs!$B$34/100)),MAX(0,Inputs!$B$44-((R3027-1)*Skills!D15))))/Inputs!$B$44),IF(Inputs!$B$39="pvp",MIN((Skills!Y15*(1+Inputs!$B$34/100)),15)/15,(Skills!Y15*(1+Inputs!$B$34/100))/Skills!D15)))/100)*(1+((C3018=TRUE)*F3018*B3046)/100))*B3054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3029)</f>
        <v/>
      </c>
      <c r="L3029">
        <f>K3029*(MIN(Inputs!$B$22+((C3036=TRUE)*(F3036-Calc!F24)),(Inputs!$B$23+0+(IF(ArtifactsInput!$M$15,CHOOSE(ArtifactsInput!$N$15+1,25,30,35,40,45,50)/100*(Inputs!$B$11-Inputs!$B$11),0))))/100+(Inputs!$B$23+0+(IF(ArtifactsInput!$M$15,CHOOSE(ArtifactsInput!$N$15+1,25,30,35,40,45,50)/100*(Inputs!$B$11-Inputs!$B$11),0)))/100)/2</f>
        <v/>
      </c>
      <c r="M3029">
        <f>L3029*(1+(Inputs!$B$10+((C3038=TRUE)*(F3038-Calc!F26))+B3055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29">
        <f>L3029*(1-MIN((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3029*(MIN((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29">
        <f>(1-Summary!$B$11)*T3029+Summary!$B$11*V3029</f>
        <v/>
      </c>
      <c r="P3029">
        <f>IF(B3056=0,0,O3029/B3056)</f>
        <v/>
      </c>
      <c r="Q3029" t="n">
        <v>0</v>
      </c>
      <c r="R3029" t="n">
        <v>0</v>
      </c>
      <c r="S3029">
        <f>IFERROR(O3029/N3029,0)</f>
        <v/>
      </c>
      <c r="T3029">
        <f>IF(C3029,(Inputs!$B$38*0.2*N3029)*IF(Inputs!$B$39="pvp",1,1+(Inputs!$B$20+((C3039=TRUE)*(F3039-Calc!F27))+Skills!P17+B3053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Hunt"),CHOOSE(ArtifactsInput!$N$35+1,15,18,21,24,27,30)*(1-EXP(-(0.2*B3048)*5)),0)+IF(AND(ArtifactsInput!$M$22,Inputs!$B$4&lt;&gt;"Chapter Hunt"),CHOOSE(ArtifactsInput!$N$22+1,10,12,14,16,18,20)*((0*(((0.15*B3048*5))^0/1)+1*(((0.15*B3048*5))^1/1)+2*(((0.15*B3048*5))^2/2)+3*(((0.15*B3048*5))^3/6)+4*(((0.15*B3048*5))^4/24)+5*(((0.15*B3048*5))^5/120))/((((0.15*B3048*5))^0/1)+(((0.15*B3048*5))^1/1)+(((0.15*B3048*5))^2/2)+(((0.15*B3048*5))^3/6)+(((0.15*B3048*5))^4/24)+(((0.15*B3048*5))^5/120))),0)))/100)*((((5000/(6000+Inputs!$B$43*(1-(100*(1-(1-(100*(1-(1-(Inputs!$B$19+0)/100)*(1-CHOOSE(ArtifactsInput!$N$40+1,5,6,7,8,9,10)/100)^(IF(ArtifactsInput!$M$40,FALSE,TRUE)-ArtifactsInput!$M$40)))/100)*(1-IF(IF(ArtifactsInput!$M$40,FALSE,TRUE),CHOOSE(ArtifactsInput!$N$40+1,5,6,7,8,9,10),0)/100)^IF(Inputs!$B$39="pvp",1,2)))/100)))/(5000/(6000+Inputs!$B$43*(1-(100*(1-(1-(Inputs!$B$19+0)/100)*(1-CHOOSE(ArtifactsInput!$N$40+1,5,6,7,8,9,10)/100)^(IF(ArtifactsInput!$M$40,FALSE,TRUE)-ArtifactsInput!$M$40)))/100))))*((L3029*(1-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3029*(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3029*(1-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3029*(MIN(100,(Inputs!$B$9+((C3037=TRUE)*(F3037-Calc!F25))+B3052+(ArtifactsInput!$M$24-ArtifactsInput!$M$24)*CHOOSE(ArtifactsInput!$N$24+1,10,12,14,16,18,20)+(IF(AND(ArtifactsInput!$M$42,((Inputs!$B$9+((C3037=TRUE)*(F3037-Calc!F25))+B3052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29">
        <f>IF(C3029,(Inputs!$B$38*0.2*N3029)*IF(Inputs!$B$39="pvp",1,(1+(Inputs!$B$21+Skills!Q17+B3053+(IF(ArtifactsInput!$M$33,CHOOSE(ArtifactsInput!$N$33+1,30,36,42,48,54,60),0))+(IF(AND(ArtifactsInput!$M$35,Inputs!$B$4&lt;&gt;"Chapter Hunt"),CHOOSE(ArtifactsInput!$N$35+1,15,18,21,24,27,30)*(1-EXP(-(0.2*B3048)*5)),0)+IF(AND(ArtifactsInput!$M$22,Inputs!$B$4&lt;&gt;"Chapter Hunt"),CHOOSE(ArtifactsInput!$N$22+1,10,12,14,16,18,20)*((0*(((0.15*B3048*5))^0/1)+1*(((0.15*B3048*5))^1/1)+2*(((0.15*B3048*5))^2/2)+3*(((0.15*B3048*5))^3/6)+4*(((0.15*B3048*5))^4/24)+5*(((0.15*B3048*5))^5/120))/((((0.15*B3048*5))^0/1)+(((0.15*B3048*5))^1/1)+(((0.15*B3048*5))^2/2)+(((0.15*B3048*5))^3/6)+(((0.15*B3048*5))^4/24)+(((0.15*B3048*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30">
      <c r="A3030">
        <f>Skills!A18</f>
        <v/>
      </c>
      <c r="B3030">
        <f>Skills!B18</f>
        <v/>
      </c>
      <c r="C3030">
        <f>Inputs!$B$3&gt;=115</f>
        <v/>
      </c>
      <c r="D3030">
        <f>IF(Skills!C18=1,60+Inputs!$B$25+Inputs!$B$29,IF(Skills!C18=2,90+Inputs!$B$26+Inputs!$B$29,IF(Skills!C18=3,120+Inputs!$B$27+Inputs!$B$29,MAX(0,(Inputs!$B$3-100)*3)+Inputs!$B$28+Inputs!$B$29)))</f>
        <v/>
      </c>
      <c r="E3030">
        <f>INDEX(FactorTable!$B$2:$Y$301, MATCH(ROUND(MIN(300,MAX(1,D3030)),0), FactorTable!$A$2:$A$301,0), Skills!M18+1)</f>
        <v/>
      </c>
      <c r="F3030">
        <f>IF(Skills!N18=TRUE,(Skills!L18/10)*(E3030/1000),Skills!L18/10)+Skills!O18</f>
        <v/>
      </c>
      <c r="G3030">
        <f>Calc!G18</f>
        <v/>
      </c>
      <c r="H3030">
        <f>Calc!H18</f>
        <v/>
      </c>
      <c r="I3030">
        <f>IF(Skills!AA18&lt;&gt;"",1+(Skills!AA18/10)*(U3015/1000)/100,1)</f>
        <v/>
      </c>
      <c r="J3030" t="inlineStr"/>
      <c r="K3030" t="inlineStr"/>
      <c r="L3030" t="inlineStr"/>
      <c r="M3030" t="inlineStr"/>
      <c r="N3030" t="inlineStr"/>
      <c r="O3030">
        <f>(1-Summary!$B$11)*T3030+Summary!$B$11*V3030</f>
        <v/>
      </c>
      <c r="P3030">
        <f>IF(B3056=0,0,O3030/B3056)</f>
        <v/>
      </c>
      <c r="Q3030" t="n">
        <v>0</v>
      </c>
      <c r="R3030" t="n">
        <v>0</v>
      </c>
      <c r="S3030">
        <f>IFERROR(O3030/N3030,0)</f>
        <v/>
      </c>
      <c r="T3030" t="n">
        <v>0</v>
      </c>
      <c r="V3030" t="n">
        <v>0</v>
      </c>
    </row>
    <row r="3031">
      <c r="A3031">
        <f>Skills!A19</f>
        <v/>
      </c>
      <c r="B3031">
        <f>Skills!B19</f>
        <v/>
      </c>
      <c r="C3031">
        <f>TRUE</f>
        <v/>
      </c>
      <c r="D3031">
        <f>IF(Skills!C19=1,60+Inputs!$B$25+Inputs!$B$29,IF(Skills!C19=2,90+Inputs!$B$26+Inputs!$B$29,IF(Skills!C19=3,120+Inputs!$B$27+Inputs!$B$29,MAX(0,(Inputs!$B$3-100)*3)+Inputs!$B$28+Inputs!$B$29)))</f>
        <v/>
      </c>
      <c r="E3031">
        <f>INDEX(FactorTable!$B$2:$Y$301, MATCH(ROUND(MIN(300,MAX(1,D3031)),0), FactorTable!$A$2:$A$301,0), Skills!M19+1)</f>
        <v/>
      </c>
      <c r="F3031">
        <f>IF(Skills!N19=TRUE,(Skills!L19/10)*(E3031/1000),Skills!L19/10)+Skills!O19</f>
        <v/>
      </c>
      <c r="G3031">
        <f>Calc!G19</f>
        <v/>
      </c>
      <c r="H3031">
        <f>Calc!H19</f>
        <v/>
      </c>
      <c r="I3031">
        <f>IF(Skills!AA19&lt;&gt;"",1+(Skills!AA19/10)*(U3015/1000)/100,1)</f>
        <v/>
      </c>
      <c r="J3031" t="inlineStr"/>
      <c r="K3031" t="inlineStr"/>
      <c r="L3031" t="inlineStr"/>
      <c r="M3031" t="inlineStr"/>
      <c r="N3031" t="inlineStr"/>
      <c r="O3031">
        <f>(1-Summary!$B$11)*T3031+Summary!$B$11*V3031</f>
        <v/>
      </c>
      <c r="P3031">
        <f>IF(B3056=0,0,O3031/B3056)</f>
        <v/>
      </c>
      <c r="Q3031">
        <f>IFERROR(1/IF(Inputs!$B$39="pvp",15,MAX(0.1,Skills!D19-IF(Skills!E19=TRUE,Inputs!$B$32,0))),0)</f>
        <v/>
      </c>
      <c r="R3031">
        <f>IF(AND(Inputs!$B$39&lt;&gt;"pvp",Inputs!$B$44&gt;0),IF(Inputs!$B$44&lt;=0,0,(INT(Inputs!$B$44/IF(Inputs!$B$39="pvp",15,MAX(0.1,Skills!D19-IF(Skills!E19=TRUE,Inputs!$B$32,0))))+1)),0)</f>
        <v/>
      </c>
      <c r="S3031">
        <f>IFERROR(O3031/N3031,0)</f>
        <v/>
      </c>
      <c r="T3031" t="n">
        <v>0</v>
      </c>
      <c r="V3031" t="n">
        <v>0</v>
      </c>
    </row>
    <row r="3032">
      <c r="A3032">
        <f>Skills!A20</f>
        <v/>
      </c>
      <c r="B3032">
        <f>Skills!B20</f>
        <v/>
      </c>
      <c r="C3032">
        <f>Inputs!$B$3&gt;=15</f>
        <v/>
      </c>
      <c r="D3032">
        <f>IF(Skills!C20=1,60+Inputs!$B$25+Inputs!$B$29,IF(Skills!C20=2,90+Inputs!$B$26+Inputs!$B$29,IF(Skills!C20=3,120+Inputs!$B$27+Inputs!$B$29,MAX(0,(Inputs!$B$3-100)*3)+Inputs!$B$28+Inputs!$B$29)))</f>
        <v/>
      </c>
      <c r="E3032">
        <f>INDEX(FactorTable!$B$2:$Y$301, MATCH(ROUND(MIN(300,MAX(1,D3032)),0), FactorTable!$A$2:$A$301,0), Skills!M20+1)</f>
        <v/>
      </c>
      <c r="F3032">
        <f>IF(Skills!N20=TRUE,(Skills!L20/10)*(E3032/1000),Skills!L20/10)+Skills!O20</f>
        <v/>
      </c>
      <c r="G3032">
        <f>Calc!G20</f>
        <v/>
      </c>
      <c r="H3032">
        <f>Calc!H20</f>
        <v/>
      </c>
      <c r="I3032">
        <f>IF(Skills!AA20&lt;&gt;"",1+(Skills!AA20/10)*(U3015/1000)/100,1)</f>
        <v/>
      </c>
      <c r="J3032" t="inlineStr"/>
      <c r="K3032" t="inlineStr"/>
      <c r="L3032" t="inlineStr"/>
      <c r="M3032" t="inlineStr"/>
      <c r="N3032" t="inlineStr"/>
      <c r="O3032">
        <f>(1-Summary!$B$11)*T3032+Summary!$B$11*V3032</f>
        <v/>
      </c>
      <c r="P3032">
        <f>IF(B3056=0,0,O3032/B3056)</f>
        <v/>
      </c>
      <c r="Q3032">
        <f>IFERROR(1/IF(Inputs!$B$39="pvp",15,MAX(0.1,Skills!D20-IF(Skills!E20=TRUE,Inputs!$B$32,0))),0)</f>
        <v/>
      </c>
      <c r="R3032">
        <f>IF(AND(Inputs!$B$39&lt;&gt;"pvp",Inputs!$B$44&gt;0),IF(Inputs!$B$44&lt;=0,0,(INT(Inputs!$B$44/IF(Inputs!$B$39="pvp",15,MAX(0.1,Skills!D20-IF(Skills!E20=TRUE,Inputs!$B$32,0))))+1)),0)</f>
        <v/>
      </c>
      <c r="S3032">
        <f>IFERROR(O3032/N3032,0)</f>
        <v/>
      </c>
      <c r="T3032" t="n">
        <v>0</v>
      </c>
      <c r="V3032" t="n">
        <v>0</v>
      </c>
    </row>
    <row r="3033">
      <c r="A3033">
        <f>Skills!A21</f>
        <v/>
      </c>
      <c r="B3033">
        <f>Skills!B21</f>
        <v/>
      </c>
      <c r="C3033">
        <f>Inputs!$B$3&gt;=15</f>
        <v/>
      </c>
      <c r="D3033">
        <f>IF(Skills!C21=1,60+Inputs!$B$25+Inputs!$B$29,IF(Skills!C21=2,90+Inputs!$B$26+Inputs!$B$29,IF(Skills!C21=3,120+Inputs!$B$27+Inputs!$B$29,MAX(0,(Inputs!$B$3-100)*3)+Inputs!$B$28+Inputs!$B$29)))</f>
        <v/>
      </c>
      <c r="E3033">
        <f>INDEX(FactorTable!$B$2:$Y$301, MATCH(ROUND(MIN(300,MAX(1,D3033)),0), FactorTable!$A$2:$A$301,0), Skills!M21+1)</f>
        <v/>
      </c>
      <c r="F3033">
        <f>IF(Skills!N21=TRUE,(Skills!L21/10)*(E3033/1000),Skills!L21/10)+Skills!O21</f>
        <v/>
      </c>
      <c r="G3033">
        <f>Calc!G21</f>
        <v/>
      </c>
      <c r="H3033">
        <f>Calc!H21</f>
        <v/>
      </c>
      <c r="I3033">
        <f>IF(Skills!AA21&lt;&gt;"",1+(Skills!AA21/10)*(U3015/1000)/100,1)</f>
        <v/>
      </c>
      <c r="J3033" t="inlineStr"/>
      <c r="K3033" t="inlineStr"/>
      <c r="L3033" t="inlineStr"/>
      <c r="M3033" t="inlineStr"/>
      <c r="N3033" t="inlineStr"/>
      <c r="O3033">
        <f>(1-Summary!$B$11)*T3033+Summary!$B$11*V3033</f>
        <v/>
      </c>
      <c r="P3033">
        <f>IF(B3056=0,0,O3033/B3056)</f>
        <v/>
      </c>
      <c r="Q3033">
        <f>IFERROR(1/IF(Inputs!$B$39="pvp",15,MAX(0.1,Skills!D21-IF(Skills!E21=TRUE,Inputs!$B$32,0))),0)</f>
        <v/>
      </c>
      <c r="R3033">
        <f>IF(AND(Inputs!$B$39&lt;&gt;"pvp",Inputs!$B$44&gt;0),IF(Inputs!$B$44&lt;=0,0,(INT(Inputs!$B$44/IF(Inputs!$B$39="pvp",15,MAX(0.1,Skills!D21-IF(Skills!E21=TRUE,Inputs!$B$32,0))))+1)),0)</f>
        <v/>
      </c>
      <c r="S3033">
        <f>IFERROR(O3033/N3033,0)</f>
        <v/>
      </c>
      <c r="T3033" t="n">
        <v>0</v>
      </c>
      <c r="V3033" t="n">
        <v>0</v>
      </c>
    </row>
    <row r="3034">
      <c r="A3034">
        <f>Skills!A22</f>
        <v/>
      </c>
      <c r="B3034">
        <f>Skills!B22</f>
        <v/>
      </c>
      <c r="C3034">
        <f>Inputs!$B$3&gt;=33</f>
        <v/>
      </c>
      <c r="D3034">
        <f>IF(Skills!C22=1,60+Inputs!$B$25+Inputs!$B$29,IF(Skills!C22=2,90+Inputs!$B$26+Inputs!$B$29,IF(Skills!C22=3,120+Inputs!$B$27+Inputs!$B$29,MAX(0,(Inputs!$B$3-100)*3)+Inputs!$B$28+Inputs!$B$29)))</f>
        <v/>
      </c>
      <c r="E3034">
        <f>INDEX(FactorTable!$B$2:$Y$301, MATCH(ROUND(MIN(300,MAX(1,D3034)),0), FactorTable!$A$2:$A$301,0), Skills!M22+1)</f>
        <v/>
      </c>
      <c r="F3034">
        <f>IF(Skills!N22=TRUE,(Skills!L22/10)*(E3034/1000),Skills!L22/10)+Skills!O22</f>
        <v/>
      </c>
      <c r="G3034">
        <f>Calc!G22</f>
        <v/>
      </c>
      <c r="H3034">
        <f>Calc!H22</f>
        <v/>
      </c>
      <c r="I3034">
        <f>IF(Skills!AA22&lt;&gt;"",1+(Skills!AA22/10)*(U3015/1000)/100,1)</f>
        <v/>
      </c>
      <c r="J3034" t="inlineStr"/>
      <c r="K3034" t="inlineStr"/>
      <c r="L3034" t="inlineStr"/>
      <c r="M3034" t="inlineStr"/>
      <c r="N3034" t="inlineStr"/>
      <c r="O3034">
        <f>(1-Summary!$B$11)*T3034+Summary!$B$11*V3034</f>
        <v/>
      </c>
      <c r="P3034">
        <f>IF(B3056=0,0,O3034/B3056)</f>
        <v/>
      </c>
      <c r="Q3034" t="n">
        <v>0</v>
      </c>
      <c r="R3034" t="n">
        <v>0</v>
      </c>
      <c r="S3034">
        <f>IFERROR(O3034/N3034,0)</f>
        <v/>
      </c>
      <c r="T3034" t="n">
        <v>0</v>
      </c>
      <c r="V3034" t="n">
        <v>0</v>
      </c>
    </row>
    <row r="3035">
      <c r="A3035">
        <f>Skills!A23</f>
        <v/>
      </c>
      <c r="B3035">
        <f>Skills!B23</f>
        <v/>
      </c>
      <c r="C3035">
        <f>Inputs!$B$3&gt;=38</f>
        <v/>
      </c>
      <c r="D3035">
        <f>IF(Skills!C23=1,60+Inputs!$B$25+Inputs!$B$29,IF(Skills!C23=2,90+Inputs!$B$26+Inputs!$B$29,IF(Skills!C23=3,120+Inputs!$B$27+Inputs!$B$29,MAX(0,(Inputs!$B$3-100)*3)+Inputs!$B$28+Inputs!$B$29)))</f>
        <v/>
      </c>
      <c r="E3035">
        <f>INDEX(FactorTable!$B$2:$Y$301, MATCH(ROUND(MIN(300,MAX(1,D3035)),0), FactorTable!$A$2:$A$301,0), Skills!M23+1)</f>
        <v/>
      </c>
      <c r="F3035">
        <f>IF(Skills!N23=TRUE,(Skills!L23/10)*(E3035/1000),Skills!L23/10)+Skills!O23</f>
        <v/>
      </c>
      <c r="G3035">
        <f>Calc!G23</f>
        <v/>
      </c>
      <c r="H3035">
        <f>Calc!H23</f>
        <v/>
      </c>
      <c r="I3035">
        <f>IF(Skills!AA23&lt;&gt;"",1+(Skills!AA23/10)*(U3015/1000)/100,1)</f>
        <v/>
      </c>
      <c r="J3035" t="inlineStr"/>
      <c r="K3035" t="inlineStr"/>
      <c r="L3035" t="inlineStr"/>
      <c r="M3035" t="inlineStr"/>
      <c r="N3035" t="inlineStr"/>
      <c r="O3035">
        <f>(1-Summary!$B$11)*T3035+Summary!$B$11*V3035</f>
        <v/>
      </c>
      <c r="P3035">
        <f>IF(B3056=0,0,O3035/B3056)</f>
        <v/>
      </c>
      <c r="Q3035" t="n">
        <v>0</v>
      </c>
      <c r="R3035" t="n">
        <v>0</v>
      </c>
      <c r="S3035">
        <f>IFERROR(O3035/N3035,0)</f>
        <v/>
      </c>
      <c r="T3035" t="n">
        <v>0</v>
      </c>
      <c r="V3035" t="n">
        <v>0</v>
      </c>
    </row>
    <row r="3036">
      <c r="A3036">
        <f>Skills!A24</f>
        <v/>
      </c>
      <c r="B3036">
        <f>Skills!B24</f>
        <v/>
      </c>
      <c r="C3036">
        <f>Inputs!$B$3&gt;=40</f>
        <v/>
      </c>
      <c r="D3036">
        <f>IF(Skills!C24=1,60+Inputs!$B$25+Inputs!$B$29,IF(Skills!C24=2,90+Inputs!$B$26+Inputs!$B$29,IF(Skills!C24=3,120+Inputs!$B$27+Inputs!$B$29,MAX(0,(Inputs!$B$3-100)*3)+Inputs!$B$28+Inputs!$B$29)))</f>
        <v/>
      </c>
      <c r="E3036">
        <f>INDEX(FactorTable!$B$2:$Y$301, MATCH(ROUND(MIN(300,MAX(1,D3036)),0), FactorTable!$A$2:$A$301,0), Skills!M24+1)</f>
        <v/>
      </c>
      <c r="F3036">
        <f>IF(Skills!N24=TRUE,(Skills!L24/10)*(E3036/1000),Skills!L24/10)+Skills!O24</f>
        <v/>
      </c>
      <c r="G3036">
        <f>Calc!G24</f>
        <v/>
      </c>
      <c r="H3036">
        <f>Calc!H24</f>
        <v/>
      </c>
      <c r="I3036">
        <f>IF(Skills!AA24&lt;&gt;"",1+(Skills!AA24/10)*(U3015/1000)/100,1)</f>
        <v/>
      </c>
      <c r="J3036" t="inlineStr"/>
      <c r="K3036" t="inlineStr"/>
      <c r="L3036" t="inlineStr"/>
      <c r="M3036" t="inlineStr"/>
      <c r="N3036" t="inlineStr"/>
      <c r="O3036">
        <f>(1-Summary!$B$11)*T3036+Summary!$B$11*V3036</f>
        <v/>
      </c>
      <c r="P3036">
        <f>IF(B3056=0,0,O3036/B3056)</f>
        <v/>
      </c>
      <c r="Q3036" t="n">
        <v>0</v>
      </c>
      <c r="R3036" t="n">
        <v>0</v>
      </c>
      <c r="S3036">
        <f>IFERROR(O3036/N3036,0)</f>
        <v/>
      </c>
      <c r="T3036" t="n">
        <v>0</v>
      </c>
      <c r="V3036" t="n">
        <v>0</v>
      </c>
    </row>
    <row r="3037">
      <c r="A3037">
        <f>Skills!A25</f>
        <v/>
      </c>
      <c r="B3037">
        <f>Skills!B25</f>
        <v/>
      </c>
      <c r="C3037">
        <f>Inputs!$B$3&gt;=45</f>
        <v/>
      </c>
      <c r="D3037">
        <f>IF(Skills!C25=1,60+Inputs!$B$25+Inputs!$B$29,IF(Skills!C25=2,90+Inputs!$B$26+Inputs!$B$29,IF(Skills!C25=3,120+Inputs!$B$27+Inputs!$B$29,MAX(0,(Inputs!$B$3-100)*3)+Inputs!$B$28+Inputs!$B$29)))</f>
        <v/>
      </c>
      <c r="E3037">
        <f>INDEX(FactorTable!$B$2:$Y$301, MATCH(ROUND(MIN(300,MAX(1,D3037)),0), FactorTable!$A$2:$A$301,0), Skills!M25+1)</f>
        <v/>
      </c>
      <c r="F3037">
        <f>IF(Skills!N25=TRUE,(Skills!L25/10)*(E3037/1000),Skills!L25/10)+Skills!O25</f>
        <v/>
      </c>
      <c r="G3037">
        <f>Calc!G25</f>
        <v/>
      </c>
      <c r="H3037">
        <f>Calc!H25</f>
        <v/>
      </c>
      <c r="I3037">
        <f>IF(Skills!AA25&lt;&gt;"",1+(Skills!AA25/10)*(U3015/1000)/100,1)</f>
        <v/>
      </c>
      <c r="J3037" t="inlineStr"/>
      <c r="K3037" t="inlineStr"/>
      <c r="L3037" t="inlineStr"/>
      <c r="M3037" t="inlineStr"/>
      <c r="N3037" t="inlineStr"/>
      <c r="O3037">
        <f>(1-Summary!$B$11)*T3037+Summary!$B$11*V3037</f>
        <v/>
      </c>
      <c r="P3037">
        <f>IF(B3056=0,0,O3037/B3056)</f>
        <v/>
      </c>
      <c r="Q3037" t="n">
        <v>0</v>
      </c>
      <c r="R3037" t="n">
        <v>0</v>
      </c>
      <c r="S3037">
        <f>IFERROR(O3037/N3037,0)</f>
        <v/>
      </c>
      <c r="T3037" t="n">
        <v>0</v>
      </c>
      <c r="V3037" t="n">
        <v>0</v>
      </c>
    </row>
    <row r="3038">
      <c r="A3038">
        <f>Skills!A26</f>
        <v/>
      </c>
      <c r="B3038">
        <f>Skills!B26</f>
        <v/>
      </c>
      <c r="C3038">
        <f>Inputs!$B$3&gt;=45</f>
        <v/>
      </c>
      <c r="D3038">
        <f>IF(Skills!C26=1,60+Inputs!$B$25+Inputs!$B$29,IF(Skills!C26=2,90+Inputs!$B$26+Inputs!$B$29,IF(Skills!C26=3,120+Inputs!$B$27+Inputs!$B$29,MAX(0,(Inputs!$B$3-100)*3)+Inputs!$B$28+Inputs!$B$29)))</f>
        <v/>
      </c>
      <c r="E3038">
        <f>INDEX(FactorTable!$B$2:$Y$301, MATCH(ROUND(MIN(300,MAX(1,D3038)),0), FactorTable!$A$2:$A$301,0), Skills!M26+1)</f>
        <v/>
      </c>
      <c r="F3038">
        <f>IF(Skills!N26=TRUE,(Skills!L26/10)*(E3038/1000),Skills!L26/10)+Skills!O26</f>
        <v/>
      </c>
      <c r="G3038">
        <f>Calc!G26</f>
        <v/>
      </c>
      <c r="H3038">
        <f>Calc!H26</f>
        <v/>
      </c>
      <c r="I3038">
        <f>IF(Skills!AA26&lt;&gt;"",1+(Skills!AA26/10)*(U3015/1000)/100,1)</f>
        <v/>
      </c>
      <c r="J3038" t="inlineStr"/>
      <c r="K3038" t="inlineStr"/>
      <c r="L3038" t="inlineStr"/>
      <c r="M3038" t="inlineStr"/>
      <c r="N3038" t="inlineStr"/>
      <c r="O3038">
        <f>(1-Summary!$B$11)*T3038+Summary!$B$11*V3038</f>
        <v/>
      </c>
      <c r="P3038">
        <f>IF(B3056=0,0,O3038/B3056)</f>
        <v/>
      </c>
      <c r="Q3038" t="n">
        <v>0</v>
      </c>
      <c r="R3038" t="n">
        <v>0</v>
      </c>
      <c r="S3038">
        <f>IFERROR(O3038/N3038,0)</f>
        <v/>
      </c>
      <c r="T3038" t="n">
        <v>0</v>
      </c>
      <c r="V3038" t="n">
        <v>0</v>
      </c>
    </row>
    <row r="3039">
      <c r="A3039">
        <f>Skills!A27</f>
        <v/>
      </c>
      <c r="B3039">
        <f>Skills!B27</f>
        <v/>
      </c>
      <c r="C3039">
        <f>Inputs!$B$3&gt;=72</f>
        <v/>
      </c>
      <c r="D3039">
        <f>IF(Skills!C27=1,60+Inputs!$B$25+Inputs!$B$29,IF(Skills!C27=2,90+Inputs!$B$26+Inputs!$B$29,IF(Skills!C27=3,120+Inputs!$B$27+Inputs!$B$29,MAX(0,(Inputs!$B$3-100)*3)+Inputs!$B$28+Inputs!$B$29)))</f>
        <v/>
      </c>
      <c r="E3039">
        <f>INDEX(FactorTable!$B$2:$Y$301, MATCH(ROUND(MIN(300,MAX(1,D3039)),0), FactorTable!$A$2:$A$301,0), Skills!M27+1)</f>
        <v/>
      </c>
      <c r="F3039">
        <f>IF(Skills!N27=TRUE,(Skills!L27/10)*(E3039/1000),Skills!L27/10)+Skills!O27</f>
        <v/>
      </c>
      <c r="G3039">
        <f>Calc!G27</f>
        <v/>
      </c>
      <c r="H3039">
        <f>Calc!H27</f>
        <v/>
      </c>
      <c r="I3039">
        <f>IF(Skills!AA27&lt;&gt;"",1+(Skills!AA27/10)*(U3015/1000)/100,1)</f>
        <v/>
      </c>
      <c r="J3039" t="inlineStr"/>
      <c r="K3039" t="inlineStr"/>
      <c r="L3039" t="inlineStr"/>
      <c r="M3039" t="inlineStr"/>
      <c r="N3039" t="inlineStr"/>
      <c r="O3039">
        <f>(1-Summary!$B$11)*T3039+Summary!$B$11*V3039</f>
        <v/>
      </c>
      <c r="P3039">
        <f>IF(B3056=0,0,O3039/B3056)</f>
        <v/>
      </c>
      <c r="Q3039" t="n">
        <v>0</v>
      </c>
      <c r="R3039" t="n">
        <v>0</v>
      </c>
      <c r="S3039">
        <f>IFERROR(O3039/N3039,0)</f>
        <v/>
      </c>
      <c r="T3039" t="n">
        <v>0</v>
      </c>
      <c r="V3039" t="n">
        <v>0</v>
      </c>
    </row>
    <row r="3040">
      <c r="A3040">
        <f>Skills!A28</f>
        <v/>
      </c>
      <c r="B3040">
        <f>Skills!B28</f>
        <v/>
      </c>
      <c r="C3040">
        <f>Inputs!$B$3&gt;=75</f>
        <v/>
      </c>
      <c r="D3040">
        <f>IF(Skills!C28=1,60+Inputs!$B$25+Inputs!$B$29,IF(Skills!C28=2,90+Inputs!$B$26+Inputs!$B$29,IF(Skills!C28=3,120+Inputs!$B$27+Inputs!$B$29,MAX(0,(Inputs!$B$3-100)*3)+Inputs!$B$28+Inputs!$B$29)))</f>
        <v/>
      </c>
      <c r="E3040">
        <f>INDEX(FactorTable!$B$2:$Y$301, MATCH(ROUND(MIN(300,MAX(1,D3040)),0), FactorTable!$A$2:$A$301,0), Skills!M28+1)</f>
        <v/>
      </c>
      <c r="F3040">
        <f>IF(Skills!N28=TRUE,(Skills!L28/10)*(E3040/1000),Skills!L28/10)+Skills!O28</f>
        <v/>
      </c>
      <c r="G3040">
        <f>Calc!G28</f>
        <v/>
      </c>
      <c r="H3040">
        <f>Calc!H28</f>
        <v/>
      </c>
      <c r="I3040">
        <f>IF(Skills!AA28&lt;&gt;"",1+(Skills!AA28/10)*(U3015/1000)/100,1)</f>
        <v/>
      </c>
      <c r="J3040" t="inlineStr"/>
      <c r="K3040" t="inlineStr"/>
      <c r="L3040" t="inlineStr"/>
      <c r="M3040" t="inlineStr"/>
      <c r="N3040" t="inlineStr"/>
      <c r="O3040">
        <f>(1-Summary!$B$11)*T3040+Summary!$B$11*V3040</f>
        <v/>
      </c>
      <c r="P3040">
        <f>IF(B3056=0,0,O3040/B3056)</f>
        <v/>
      </c>
      <c r="Q3040" t="n">
        <v>0</v>
      </c>
      <c r="R3040" t="n">
        <v>0</v>
      </c>
      <c r="S3040">
        <f>IFERROR(O3040/N3040,0)</f>
        <v/>
      </c>
      <c r="T3040" t="n">
        <v>0</v>
      </c>
      <c r="V3040" t="n">
        <v>0</v>
      </c>
    </row>
    <row r="3041">
      <c r="A3041">
        <f>Skills!A29</f>
        <v/>
      </c>
      <c r="B3041">
        <f>Skills!B29</f>
        <v/>
      </c>
      <c r="C3041">
        <f>Inputs!$B$3&gt;=120</f>
        <v/>
      </c>
      <c r="D3041">
        <f>IF(Skills!C29=1,60+Inputs!$B$25+Inputs!$B$29,IF(Skills!C29=2,90+Inputs!$B$26+Inputs!$B$29,IF(Skills!C29=3,120+Inputs!$B$27+Inputs!$B$29,MAX(0,(Inputs!$B$3-100)*3)+Inputs!$B$28+Inputs!$B$29)))</f>
        <v/>
      </c>
      <c r="E3041">
        <f>INDEX(FactorTable!$B$2:$Y$301, MATCH(ROUND(MIN(300,MAX(1,D3041)),0), FactorTable!$A$2:$A$301,0), Skills!M29+1)</f>
        <v/>
      </c>
      <c r="F3041">
        <f>IF(Skills!N29=TRUE,(Skills!L29/10)*(E3041/1000),Skills!L29/10)+Skills!O29</f>
        <v/>
      </c>
      <c r="G3041">
        <f>Calc!G29</f>
        <v/>
      </c>
      <c r="H3041">
        <f>Calc!H29</f>
        <v/>
      </c>
      <c r="I3041">
        <f>IF(Skills!AA29&lt;&gt;"",1+(Skills!AA29/10)*(U3015/1000)/100,1)</f>
        <v/>
      </c>
      <c r="J3041" t="inlineStr"/>
      <c r="K3041" t="inlineStr"/>
      <c r="L3041" t="inlineStr"/>
      <c r="M3041" t="inlineStr"/>
      <c r="N3041" t="inlineStr"/>
      <c r="O3041">
        <f>(1-Summary!$B$11)*T3041+Summary!$B$11*V3041</f>
        <v/>
      </c>
      <c r="P3041">
        <f>IF(B3056=0,0,O3041/B3056)</f>
        <v/>
      </c>
      <c r="Q3041" t="n">
        <v>0</v>
      </c>
      <c r="R3041" t="n">
        <v>0</v>
      </c>
      <c r="S3041">
        <f>IFERROR(O3041/N3041,0)</f>
        <v/>
      </c>
      <c r="T3041" t="n">
        <v>0</v>
      </c>
      <c r="V3041" t="n">
        <v>0</v>
      </c>
    </row>
    <row r="3042">
      <c r="A3042">
        <f>Skills!A30</f>
        <v/>
      </c>
      <c r="B3042">
        <f>Skills!B30</f>
        <v/>
      </c>
      <c r="C3042">
        <f>Inputs!$B$3&gt;=125</f>
        <v/>
      </c>
      <c r="D3042">
        <f>IF(Skills!C30=1,60+Inputs!$B$25+Inputs!$B$29,IF(Skills!C30=2,90+Inputs!$B$26+Inputs!$B$29,IF(Skills!C30=3,120+Inputs!$B$27+Inputs!$B$29,MAX(0,(Inputs!$B$3-100)*3)+Inputs!$B$28+Inputs!$B$29)))</f>
        <v/>
      </c>
      <c r="E3042">
        <f>INDEX(FactorTable!$B$2:$Y$301, MATCH(ROUND(MIN(300,MAX(1,D3042)),0), FactorTable!$A$2:$A$301,0), Skills!M30+1)</f>
        <v/>
      </c>
      <c r="F3042">
        <f>IF(Skills!N30=TRUE,(Skills!L30/10)*(E3042/1000),Skills!L30/10)+Skills!O30</f>
        <v/>
      </c>
      <c r="G3042">
        <f>Calc!G30</f>
        <v/>
      </c>
      <c r="H3042">
        <f>Calc!H30</f>
        <v/>
      </c>
      <c r="I3042">
        <f>IF(Skills!AA30&lt;&gt;"",1+(Skills!AA30/10)*(U3015/1000)/100,1)</f>
        <v/>
      </c>
      <c r="J3042" t="inlineStr"/>
      <c r="K3042" t="inlineStr"/>
      <c r="L3042" t="inlineStr"/>
      <c r="M3042" t="inlineStr"/>
      <c r="N3042" t="inlineStr"/>
      <c r="O3042">
        <f>(1-Summary!$B$11)*T3042+Summary!$B$11*V3042</f>
        <v/>
      </c>
      <c r="P3042">
        <f>IF(B3056=0,0,O3042/B3056)</f>
        <v/>
      </c>
      <c r="Q3042" t="n">
        <v>0</v>
      </c>
      <c r="R3042" t="n">
        <v>0</v>
      </c>
      <c r="S3042">
        <f>IFERROR(O3042/N3042,0)</f>
        <v/>
      </c>
      <c r="T3042" t="n">
        <v>0</v>
      </c>
      <c r="V3042" t="n">
        <v>0</v>
      </c>
    </row>
    <row r="3043">
      <c r="A3043">
        <f>Skills!A31</f>
        <v/>
      </c>
      <c r="B3043">
        <f>Skills!B31</f>
        <v/>
      </c>
      <c r="C3043">
        <f>Inputs!$B$3&gt;=107</f>
        <v/>
      </c>
      <c r="D3043">
        <f>IF(Skills!C31=1,60+Inputs!$B$25+Inputs!$B$29,IF(Skills!C31=2,90+Inputs!$B$26+Inputs!$B$29,IF(Skills!C31=3,120+Inputs!$B$27+Inputs!$B$29,MAX(0,(Inputs!$B$3-100)*3)+Inputs!$B$28+Inputs!$B$29)))</f>
        <v/>
      </c>
      <c r="E3043">
        <f>INDEX(FactorTable!$B$2:$Y$301, MATCH(ROUND(MIN(300,MAX(1,D3043)),0), FactorTable!$A$2:$A$301,0), Skills!M31+1)</f>
        <v/>
      </c>
      <c r="F3043">
        <f>IF(Skills!N31=TRUE,(Skills!L31/10)*(E3043/1000),Skills!L31/10)+Skills!O31</f>
        <v/>
      </c>
      <c r="G3043">
        <f>Calc!G31</f>
        <v/>
      </c>
      <c r="H3043">
        <f>Calc!H31</f>
        <v/>
      </c>
      <c r="I3043">
        <f>IF(Skills!AA31&lt;&gt;"",1+(Skills!AA31/10)*(U3015/1000)/100,1)</f>
        <v/>
      </c>
      <c r="J3043" t="inlineStr"/>
      <c r="K3043" t="inlineStr"/>
      <c r="L3043" t="inlineStr"/>
      <c r="M3043" t="inlineStr"/>
      <c r="N3043" t="inlineStr"/>
      <c r="O3043">
        <f>(1-Summary!$B$11)*T3043+Summary!$B$11*V3043</f>
        <v/>
      </c>
      <c r="P3043">
        <f>IF(B3056=0,0,O3043/B3056)</f>
        <v/>
      </c>
      <c r="Q3043" t="n">
        <v>0</v>
      </c>
      <c r="R3043" t="n">
        <v>0</v>
      </c>
      <c r="S3043">
        <f>IFERROR(O3043/N3043,0)</f>
        <v/>
      </c>
      <c r="T3043" t="n">
        <v>0</v>
      </c>
      <c r="V3043" t="n">
        <v>0</v>
      </c>
    </row>
    <row r="3045">
      <c r="A3045" t="inlineStr">
        <is>
          <t>Actions Per Second (pre-Adrenalin)</t>
        </is>
      </c>
      <c r="B3045">
        <f>1+MIN(150,150*(1-(1-(Inputs!$B$11+((C3034=TRUE)*(F3034-Calc!F22))+(ArtifactsInput!$M$15-ArtifactsInput!$M$15)*CHOOSE(ArtifactsInput!$N$15+1,8,9.6,11.2,12.8,14.4,16))/150)*(1-((C3031=TRUE)*F3031*IF(AND(Inputs!$B$39&lt;&gt;"pvp",Inputs!$B$44&gt;0),(((R3031-1)*(Skills!Y19*(1+Inputs!$B$34/100))+MIN((Skills!Y19*(1+Inputs!$B$34/100)),MAX(0,Inputs!$B$44-((R3031-1)*Skills!D19))))/Inputs!$B$44),IF(Inputs!$B$39="pvp",MIN((Skills!Y19*(1+Inputs!$B$34/100)),15)/15,(Skills!Y19*(1+Inputs!$B$34/100))/Skills!D19)))/150)))/100</f>
        <v/>
      </c>
    </row>
    <row r="3046">
      <c r="A3046" t="inlineStr">
        <is>
          <t>Alchemic Adrenaline Uptime</t>
        </is>
      </c>
      <c r="B3046">
        <f>(Skills!Y6*(1+Inputs!$B$34/100))/((Skills!Y6*(1+Inputs!$B$34/100))+(5/B3045))</f>
        <v/>
      </c>
    </row>
    <row r="3047">
      <c r="A3047" t="inlineStr">
        <is>
          <t>Attack Speed Buff Bonus %</t>
        </is>
      </c>
      <c r="B3047">
        <f>((C3031=TRUE)*F3031*IF(AND(Inputs!$B$39&lt;&gt;"pvp",Inputs!$B$44&gt;0),(((R3031-1)*(Skills!Y19*(1+Inputs!$B$34/100))+MIN((Skills!Y19*(1+Inputs!$B$34/100)),MAX(0,Inputs!$B$44-((R3031-1)*Skills!D19))))/Inputs!$B$44),IF(Inputs!$B$39="pvp",MIN((Skills!Y19*(1+Inputs!$B$34/100)),15)/15,(Skills!Y19*(1+Inputs!$B$34/100))/Skills!D19)))+((C3019=TRUE)*F3019*B3046)</f>
        <v/>
      </c>
    </row>
    <row r="3048">
      <c r="A3048" t="inlineStr">
        <is>
          <t>Actions Per Second (final)</t>
        </is>
      </c>
      <c r="B3048">
        <f>1+MIN(150,150*(1-(1-(Inputs!$B$11+((C3034=TRUE)*(F3034-Calc!F22))+(ArtifactsInput!$M$15-ArtifactsInput!$M$15)*CHOOSE(ArtifactsInput!$N$15+1,8,9.6,11.2,12.8,14.4,16))/150)*(1-B3047/150)))/100</f>
        <v/>
      </c>
    </row>
    <row r="3049">
      <c r="A3049" t="inlineStr">
        <is>
          <t>Skill + Buff Cast Rate</t>
        </is>
      </c>
      <c r="B3049">
        <f>IF(AND(Inputs!$B$39&lt;&gt;"pvp",Inputs!$B$44&gt;0),SUMPRODUCT((Skills!E2:E31=TRUE)*(C3014:C3043=TRUE)*R3014:R3043*Skills!F2:F31)/Inputs!$B$44,SUMPRODUCT((Skills!E2:E31=TRUE)*(C3014:C3043=TRUE)*Q3014:Q3043*Skills!F2:F31))</f>
        <v/>
      </c>
    </row>
    <row r="3050">
      <c r="A3050" t="inlineStr">
        <is>
          <t>Showdown Casts Per Second</t>
        </is>
      </c>
      <c r="B3050">
        <f>MAX(0,B3048-B3049)</f>
        <v/>
      </c>
    </row>
    <row r="3051">
      <c r="A3051" t="inlineStr">
        <is>
          <t>Average Buff Multiplier</t>
        </is>
      </c>
      <c r="B3051">
        <f>(1+(((C3033=TRUE)*F3033*IF(AND(Inputs!$B$39&lt;&gt;"pvp",Inputs!$B$44&gt;0),(((R3033-1)*(Skills!Y21*(1+Inputs!$B$34/100))+MIN((Skills!Y21*(1+Inputs!$B$34/100)),MAX(0,Inputs!$B$44-((R3033-1)*Skills!D21))))/Inputs!$B$44),IF(Inputs!$B$39="pvp",MIN((Skills!Y21*(1+Inputs!$B$34/100)),15)/15,(Skills!Y21*(1+Inputs!$B$34/100))/Skills!D21)))+((C3040=TRUE)*(F3040-Calc!F28))+((C3030=TRUE)*(F3030-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3027=TRUE)*F3027*IF(AND(Inputs!$B$39&lt;&gt;"pvp",Inputs!$B$44&gt;0),(((R3027-1)*(Skills!Y15*(1+Inputs!$B$34/100))+MIN((Skills!Y15*(1+Inputs!$B$34/100)),MAX(0,Inputs!$B$44-((R3027-1)*Skills!D15))))/Inputs!$B$44),IF(Inputs!$B$39="pvp",MIN((Skills!Y15*(1+Inputs!$B$34/100)),15)/15,(Skills!Y15*(1+Inputs!$B$34/100))/Skills!D15)))/100)*(1+((C3018=TRUE)*F3018*B3046)/100)</f>
        <v/>
      </c>
    </row>
    <row r="3052">
      <c r="A3052" t="inlineStr">
        <is>
          <t>Global Crit Rate Bonus %</t>
        </is>
      </c>
      <c r="B3052">
        <f>IF(Inputs!$B$3&gt;=47,8,0)+((C3032=TRUE)*F3032*IF(AND(Inputs!$B$39&lt;&gt;"pvp",Inputs!$B$44&gt;0),(((R3032-1)*(Skills!Y20*(1+Inputs!$B$34/100))+MIN((Skills!Y20*(1+Inputs!$B$34/100)),MAX(0,Inputs!$B$44-((R3032-1)*Skills!D20))))/Inputs!$B$44),IF(Inputs!$B$39="pvp",MIN((Skills!Y20*(1+Inputs!$B$34/100)),15)/15,(Skills!Y20*(1+Inputs!$B$34/100))/Skills!D20)))</f>
        <v/>
      </c>
    </row>
    <row r="3053">
      <c r="A3053" t="inlineStr">
        <is>
          <t>Global Monster Damage-Taken Bonus %</t>
        </is>
      </c>
      <c r="B3053">
        <f>IF(Inputs!$B$3&gt;=82,15,0)+((C3028=TRUE)*F3028*IF(AND(Inputs!$B$39&lt;&gt;"pvp",Inputs!$B$44&gt;0),(((R3028-1)*(Skills!Y16*(1+Inputs!$B$34/100))+MIN((Skills!Y16*(1+Inputs!$B$34/100)),MAX(0,Inputs!$B$44-((R3028-1)*Skills!D16))))/Inputs!$B$44),IF(Inputs!$B$39="pvp",MIN((Skills!Y16*(1+Inputs!$B$34/100)),15)/15,(Skills!Y16*(1+Inputs!$B$34/100))/Skills!D16)))</f>
        <v/>
      </c>
    </row>
    <row r="3054">
      <c r="A3054" t="inlineStr">
        <is>
          <t>Shadow Partner Average Multiplier</t>
        </is>
      </c>
      <c r="B3054">
        <f>1+((C3023=TRUE)*F3023*I3023*Skills!J11/100)/100</f>
        <v/>
      </c>
    </row>
    <row r="3055">
      <c r="A3055" t="inlineStr">
        <is>
          <t>Global Critical Damage Bonus % (Frailty Curse Mastery Lv.111)</t>
        </is>
      </c>
      <c r="B3055">
        <f>IF(Inputs!$B$3&gt;=111,30,0)*IF(AND(Inputs!$B$39&lt;&gt;"pvp",Inputs!$B$44&gt;0),(((R3028-1)*(Skills!Y16*(1+Inputs!$B$34/100))+MIN((Skills!Y16*(1+Inputs!$B$34/100)),MAX(0,Inputs!$B$44-((R3028-1)*Skills!D16))))/Inputs!$B$44),IF(Inputs!$B$39="pvp",MIN((Skills!Y16*(1+Inputs!$B$34/100)),15)/15,(Skills!Y16*(1+Inputs!$B$34/100))/Skills!D16))</f>
        <v/>
      </c>
    </row>
    <row r="3056">
      <c r="A3056" s="6" t="inlineStr">
        <is>
          <t>TOTAL DPS</t>
        </is>
      </c>
      <c r="B3056" s="6">
        <f>SUM(O3014:O3043)</f>
        <v/>
      </c>
    </row>
    <row r="3057">
      <c r="A3057" t="inlineStr">
        <is>
          <t>Buff-Casting Startup Delay (s, fixed-duration only)</t>
        </is>
      </c>
      <c r="B3057">
        <f>IF(AND(Inputs!$B$39&lt;&gt;"pvp",Inputs!$B$44&gt;0),SUMPRODUCT((Skills!Y2:Y31&gt;0)*(Skills!E2:E31=TRUE)*(C3014:C3043=TRUE))/B3048,0)</f>
        <v/>
      </c>
    </row>
    <row r="3058">
      <c r="A3058" t="inlineStr">
        <is>
          <t>Boss-Only Total DPS (this block's swept value)</t>
        </is>
      </c>
      <c r="B3058">
        <f>SUM(T3014:T3043)</f>
        <v/>
      </c>
    </row>
    <row r="3059">
      <c r="A3059" t="inlineStr">
        <is>
          <t>Normal-Only Total DPS (this block's swept value)</t>
        </is>
      </c>
      <c r="B3059">
        <f>SUM(V3014:V3043)</f>
        <v/>
      </c>
    </row>
    <row r="3061">
      <c r="A3061" s="6" t="inlineStr">
        <is>
          <t>Stat: Secret Map (Equip)</t>
        </is>
      </c>
    </row>
    <row r="3062">
      <c r="A3062" s="5" t="inlineStr">
        <is>
          <t>Key</t>
        </is>
      </c>
      <c r="B3062" s="5" t="inlineStr">
        <is>
          <t>Name</t>
        </is>
      </c>
      <c r="C3062" s="5" t="inlineStr">
        <is>
          <t>Unlocked</t>
        </is>
      </c>
      <c r="D3062" s="5" t="inlineStr">
        <is>
          <t>InputLevel</t>
        </is>
      </c>
      <c r="E3062" s="5" t="inlineStr">
        <is>
          <t>Factor</t>
        </is>
      </c>
      <c r="F3062" s="5" t="inlineStr">
        <is>
          <t>CoefficientPercent</t>
        </is>
      </c>
      <c r="G3062" s="5" t="inlineStr">
        <is>
          <t>EffectiveHits</t>
        </is>
      </c>
      <c r="H3062" s="5" t="inlineStr">
        <is>
          <t>ProcProbability</t>
        </is>
      </c>
      <c r="I3062" s="5" t="inlineStr">
        <is>
          <t>MapleHeroMultiplier</t>
        </is>
      </c>
      <c r="J3062" s="5" t="inlineStr">
        <is>
          <t>BaseDamage</t>
        </is>
      </c>
      <c r="K3062" s="5" t="inlineStr">
        <is>
          <t>BaseHitDamage</t>
        </is>
      </c>
      <c r="L3062" s="5" t="inlineStr">
        <is>
          <t>NonCritAvg</t>
        </is>
      </c>
      <c r="M3062" s="5" t="inlineStr">
        <is>
          <t>CritAvg</t>
        </is>
      </c>
      <c r="N3062" s="5" t="inlineStr">
        <is>
          <t>ExpectedDamage(perHit)</t>
        </is>
      </c>
      <c r="O3062" s="5" t="inlineStr">
        <is>
          <t>DPS</t>
        </is>
      </c>
      <c r="P3062" s="5" t="inlineStr">
        <is>
          <t>% of Total</t>
        </is>
      </c>
      <c r="Q3062" s="5" t="inlineStr">
        <is>
          <t>InvCooldown</t>
        </is>
      </c>
      <c r="R3062" s="5" t="inlineStr">
        <is>
          <t>CastsInFight</t>
        </is>
      </c>
      <c r="S3062" s="5" t="inlineStr">
        <is>
          <t>HitRate(perSec)</t>
        </is>
      </c>
      <c r="U3062" t="inlineStr">
        <is>
          <t>helpers</t>
        </is>
      </c>
    </row>
    <row r="3063">
      <c r="A3063">
        <f>Skills!A2</f>
        <v/>
      </c>
      <c r="B3063">
        <f>Skills!B2</f>
        <v/>
      </c>
      <c r="C3063">
        <f>Inputs!$B$3&gt;=100</f>
        <v/>
      </c>
      <c r="D3063" t="inlineStr"/>
      <c r="E3063" t="inlineStr"/>
      <c r="F3063">
        <f>U3067+Skills!O2</f>
        <v/>
      </c>
      <c r="G3063">
        <f>Calc!G2</f>
        <v/>
      </c>
      <c r="H3063">
        <f>Calc!H2</f>
        <v/>
      </c>
      <c r="I3063">
        <f>IF(Skills!AA2&lt;&gt;"",1+(Skills!AA2/10)*(U3064/1000)/100,1)</f>
        <v/>
      </c>
      <c r="J3063">
        <f>((Inputs!$B$6*(1+Inputs!$B$7/100))+(((Inputs!$B$12*(1+Inputs!$B$13/100))-(Inputs!$B$12*(1+Inputs!$B$13/100)))+0.25*(Inputs!$B$14-Inputs!$B$14))*(1+Inputs!$B$7/100))*(F3063/100)</f>
        <v/>
      </c>
      <c r="K3063">
        <f>J3063*(1+((Inputs!$B$12*(1+Inputs!$B$13/100))*0.01+Inputs!$B$14*0.0025)/100)*(1+Inputs!$B$15/100)*(1+Inputs!$B$16/100)*(5000/(6000+Inputs!$B$43*(1-(100*(1-(1-(Inputs!$B$19+0)/100)*(1-CHOOSE(ArtifactsInput!$N$40+1,5,6,7,8,9,10)/100)^(ArtifactsInput!$M$40-ArtifactsInput!$M$40)))/100)))*(1+(Inputs!$B$24+((C3091=TRUE)*(F3091-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3084=TRUE)*(F3084-Calc!F23))+(((IF(AND(ArtifactsInput!$M$42,((Inputs!$B$9+((C3086=TRUE)*(F3086-Calc!F25))+B3101+(ArtifactsInput!$M$24-ArtifactsInput!$M$24)*CHOOSE(ArtifactsInput!$N$24+1,10,12,14,16,18,20)+IF(ArtifactsInput!$M$10,CHOOSE(ArtifactsInput!$N$10+1,15,18,21,24,27,30)*(IF(Inputs!$B$39="pvp",MIN(15,15)/15,IF(AND(Inputs!$B$39&lt;&gt;"pvp",Inputs!$B$44&gt;0),MIN(15,Inputs!$B$44)/(Inputs!$B$44),0))),0)))&gt;=100),MIN(100,((Inputs!$B$9+((C3086=TRUE)*(F3086-Calc!F25))+B3101+(ArtifactsInput!$M$24-ArtifactsInput!$M$24)*CHOOSE(ArtifactsInput!$N$24+1,10,12,14,16,18,20)+IF(ArtifactsInput!$M$10,CHOOSE(ArtifactsInput!$N$10+1,15,18,21,24,27,30)*(IF(Inputs!$B$39="pvp",MIN(15,15)/15,IF(AND(Inputs!$B$39&lt;&gt;"pvp",Inputs!$B$44&gt;0),MIN(15,Inputs!$B$44)/(Inputs!$B$44),0))),0)))-100),0))*CHOOSE(ArtifactsInput!$N$42+1,0.6,0.72,0.84,0.96,1.08,1.2))),Inputs!$B$18+((C3090=TRUE)*(F3090-Calc!F29))+(IF(AND(ArtifactsInput!$M$42,((Inputs!$B$9+((C3086=TRUE)*(F3086-Calc!F25))+B3101+(ArtifactsInput!$M$24-ArtifactsInput!$M$24)*CHOOSE(ArtifactsInput!$N$24+1,10,12,14,16,18,20)+IF(ArtifactsInput!$M$10,CHOOSE(ArtifactsInput!$N$10+1,15,18,21,24,27,30)*(IF(Inputs!$B$39="pvp",MIN(15,15)/15,IF(AND(Inputs!$B$39&lt;&gt;"pvp",Inputs!$B$44&gt;0),MIN(15,Inputs!$B$44)/(Inputs!$B$44),0))),0)))&gt;=100),CHOOSE(ArtifactsInput!$N$42+1,40,48,56,64,72,80),0))))/100)*(((1+(((C3082=TRUE)*F3082*IF(AND(Inputs!$B$39&lt;&gt;"pvp",Inputs!$B$44&gt;0),(((R3082-1)*(Skills!Y21*(1+Inputs!$B$34/100))+MIN((Skills!Y21*(1+Inputs!$B$34/100)),MAX(0,Inputs!$B$44-((R3082-1)*Skills!D21))))/Inputs!$B$44),IF(Inputs!$B$39="pvp",MIN((Skills!Y21*(1+Inputs!$B$34/100)),15)/15,(Skills!Y21*(1+Inputs!$B$34/100))/Skills!D21)))+((C3089=TRUE)*(F3089-Calc!F28))+((C3079=TRUE)*(F3079-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3076=TRUE)*F3076*IF(AND(Inputs!$B$39&lt;&gt;"pvp",Inputs!$B$44&gt;0),(((R3076-1)*(Skills!Y15*(1+Inputs!$B$34/100))+MIN((Skills!Y15*(1+Inputs!$B$34/100)),MAX(0,Inputs!$B$44-((R3076-1)*Skills!D15))))/Inputs!$B$44),IF(Inputs!$B$39="pvp",MIN((Skills!Y15*(1+Inputs!$B$34/100)),15)/15,(Skills!Y15*(1+Inputs!$B$34/100))/Skills!D15)))/100)*(1+((C3067=TRUE)*F3067*B3095)/100))*B3103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3063)</f>
        <v/>
      </c>
      <c r="L3063">
        <f>K3063*(MIN(Inputs!$B$22+((C3085=TRUE)*(F3085-Calc!F24)),(Inputs!$B$23+0+(IF(ArtifactsInput!$M$15,CHOOSE(ArtifactsInput!$N$15+1,25,30,35,40,45,50)/100*(Inputs!$B$11-Inputs!$B$11),0))))/100+(Inputs!$B$23+0+(IF(ArtifactsInput!$M$15,CHOOSE(ArtifactsInput!$N$15+1,25,30,35,40,45,50)/100*(Inputs!$B$11-Inputs!$B$11),0)))/100)/2</f>
        <v/>
      </c>
      <c r="M3063">
        <f>L3063*(1+(Inputs!$B$10+((C3087=TRUE)*(F3087-Calc!F26))+B3104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63">
        <f>L3063*(1-MIN((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3063*(MIN((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63">
        <f>(1-Summary!$B$11)*T3063+Summary!$B$11*V3063</f>
        <v/>
      </c>
      <c r="P3063">
        <f>IF(B3105=0,0,O3063/B3105)</f>
        <v/>
      </c>
      <c r="Q3063" t="n">
        <v>0</v>
      </c>
      <c r="R3063" t="n">
        <v>0</v>
      </c>
      <c r="S3063">
        <f>IFERROR(O3063/N3063,0)</f>
        <v/>
      </c>
      <c r="T3063">
        <f>IF(C3063,(Skills!G2*N3063*B3099)*IF(Inputs!$B$39="pvp",1,1+(Inputs!$B$20+((C3088=TRUE)*(F3088-Calc!F27))+Skills!P2+B3102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Hunt"),CHOOSE(ArtifactsInput!$N$35+1,15,18,21,24,27,30)*(1-EXP(-(0.2*B3097)*5)),0)+IF(AND(ArtifactsInput!$M$22,Inputs!$B$4&lt;&gt;"Chapter Hunt"),CHOOSE(ArtifactsInput!$N$22+1,10,12,14,16,18,20)*((0*(((0.15*B3097*5))^0/1)+1*(((0.15*B3097*5))^1/1)+2*(((0.15*B3097*5))^2/2)+3*(((0.15*B3097*5))^3/6)+4*(((0.15*B3097*5))^4/24)+5*(((0.15*B3097*5))^5/120))/((((0.15*B3097*5))^0/1)+(((0.15*B3097*5))^1/1)+(((0.15*B3097*5))^2/2)+(((0.15*B3097*5))^3/6)+(((0.15*B3097*5))^4/24)+(((0.15*B3097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3063*(1-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3063*(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3063*(1-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3063*(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63">
        <f>MAX(0,(Inputs!$B$3-100)*3)+Inputs!$B$28+Inputs!$B$29</f>
        <v/>
      </c>
      <c r="V3063">
        <f>IF(C3063,(Skills!G2*N3063*B3099)*IF(Inputs!$B$39="pvp",1,(1+(Inputs!$B$21+Skills!Q2+B3102+(IF(ArtifactsInput!$M$33,CHOOSE(ArtifactsInput!$N$33+1,30,36,42,48,54,60),0))+(IF(AND(ArtifactsInput!$M$35,Inputs!$B$4&lt;&gt;"Chapter Hunt"),CHOOSE(ArtifactsInput!$N$35+1,15,18,21,24,27,30)*(1-EXP(-(0.2*B3097)*5)),0)+IF(AND(ArtifactsInput!$M$22,Inputs!$B$4&lt;&gt;"Chapter Hunt"),CHOOSE(ArtifactsInput!$N$22+1,10,12,14,16,18,20)*((0*(((0.15*B3097*5))^0/1)+1*(((0.15*B3097*5))^1/1)+2*(((0.15*B3097*5))^2/2)+3*(((0.15*B3097*5))^3/6)+4*(((0.15*B3097*5))^4/24)+5*(((0.15*B3097*5))^5/120))/((((0.15*B3097*5))^0/1)+(((0.15*B3097*5))^1/1)+(((0.15*B3097*5))^2/2)+(((0.15*B3097*5))^3/6)+(((0.15*B3097*5))^4/24)+(((0.15*B3097*5))^5/120))),0)))/100)*(MIN((6+Inputs!$B$33),Inputs!$B$37)))*((1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64">
      <c r="A3064">
        <f>Skills!A3</f>
        <v/>
      </c>
      <c r="B3064">
        <f>Skills!B3</f>
        <v/>
      </c>
      <c r="C3064">
        <f>Inputs!$B$3&gt;=35</f>
        <v/>
      </c>
      <c r="D3064">
        <f>IF(Skills!C3=1,60+Inputs!$B$25+Inputs!$B$29,IF(Skills!C3=2,90+Inputs!$B$26+Inputs!$B$29,IF(Skills!C3=3,120+Inputs!$B$27+Inputs!$B$29,MAX(0,(Inputs!$B$3-100)*3)+Inputs!$B$28+Inputs!$B$29)))</f>
        <v/>
      </c>
      <c r="E3064">
        <f>INDEX(FactorTable!$B$2:$Y$301, MATCH(ROUND(MIN(300,MAX(1,D3064)),0), FactorTable!$A$2:$A$301,0), Skills!M3+1)</f>
        <v/>
      </c>
      <c r="F3064">
        <f>IF(Skills!N3=TRUE,(Skills!L3/10)*(E3064/1000),Skills!L3/10)+Skills!O3</f>
        <v/>
      </c>
      <c r="G3064">
        <f>Calc!G3</f>
        <v/>
      </c>
      <c r="H3064">
        <f>Calc!H3</f>
        <v/>
      </c>
      <c r="I3064">
        <f>IF(Skills!AA3&lt;&gt;"",1+(Skills!AA3/10)*(U3064/1000)/100,1)</f>
        <v/>
      </c>
      <c r="J3064">
        <f>((Inputs!$B$6*(1+Inputs!$B$7/100))+(((Inputs!$B$12*(1+Inputs!$B$13/100))-(Inputs!$B$12*(1+Inputs!$B$13/100)))+0.25*(Inputs!$B$14-Inputs!$B$14))*(1+Inputs!$B$7/100))*(F3064/100)</f>
        <v/>
      </c>
      <c r="K3064">
        <f>J3064*(1+((Inputs!$B$12*(1+Inputs!$B$13/100))*0.01+Inputs!$B$14*0.0025)/100)*(1+Inputs!$B$15/100)*(1+Inputs!$B$16/100)*(5000/(6000+Inputs!$B$43*(1-(100*(1-(1-(Inputs!$B$19+0)/100)*(1-CHOOSE(ArtifactsInput!$N$40+1,5,6,7,8,9,10)/100)^(ArtifactsInput!$M$40-ArtifactsInput!$M$40)))/100)))*(1+(Inputs!$B$24+((C3091=TRUE)*(F3091-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3084=TRUE)*(F3084-Calc!F23))+(((IF(AND(ArtifactsInput!$M$42,((Inputs!$B$9+((C3086=TRUE)*(F3086-Calc!F25))+B3101+(ArtifactsInput!$M$24-ArtifactsInput!$M$24)*CHOOSE(ArtifactsInput!$N$24+1,10,12,14,16,18,20)+IF(ArtifactsInput!$M$10,CHOOSE(ArtifactsInput!$N$10+1,15,18,21,24,27,30)*(IF(Inputs!$B$39="pvp",MIN(15,15)/15,IF(AND(Inputs!$B$39&lt;&gt;"pvp",Inputs!$B$44&gt;0),MIN(15,Inputs!$B$44)/(Inputs!$B$44),0))),0)))&gt;=100),MIN(100,((Inputs!$B$9+((C3086=TRUE)*(F3086-Calc!F25))+B3101+(ArtifactsInput!$M$24-ArtifactsInput!$M$24)*CHOOSE(ArtifactsInput!$N$24+1,10,12,14,16,18,20)+IF(ArtifactsInput!$M$10,CHOOSE(ArtifactsInput!$N$10+1,15,18,21,24,27,30)*(IF(Inputs!$B$39="pvp",MIN(15,15)/15,IF(AND(Inputs!$B$39&lt;&gt;"pvp",Inputs!$B$44&gt;0),MIN(15,Inputs!$B$44)/(Inputs!$B$44),0))),0)))-100),0))*CHOOSE(ArtifactsInput!$N$42+1,0.6,0.72,0.84,0.96,1.08,1.2))),Inputs!$B$18+((C3090=TRUE)*(F3090-Calc!F29))+(IF(AND(ArtifactsInput!$M$42,((Inputs!$B$9+((C3086=TRUE)*(F3086-Calc!F25))+B3101+(ArtifactsInput!$M$24-ArtifactsInput!$M$24)*CHOOSE(ArtifactsInput!$N$24+1,10,12,14,16,18,20)+IF(ArtifactsInput!$M$10,CHOOSE(ArtifactsInput!$N$10+1,15,18,21,24,27,30)*(IF(Inputs!$B$39="pvp",MIN(15,15)/15,IF(AND(Inputs!$B$39&lt;&gt;"pvp",Inputs!$B$44&gt;0),MIN(15,Inputs!$B$44)/(Inputs!$B$44),0))),0)))&gt;=100),CHOOSE(ArtifactsInput!$N$42+1,40,48,56,64,72,80),0))))/100)*(((1+(((C3082=TRUE)*F3082*IF(AND(Inputs!$B$39&lt;&gt;"pvp",Inputs!$B$44&gt;0),(((R3082-1)*(Skills!Y21*(1+Inputs!$B$34/100))+MIN((Skills!Y21*(1+Inputs!$B$34/100)),MAX(0,Inputs!$B$44-((R3082-1)*Skills!D21))))/Inputs!$B$44),IF(Inputs!$B$39="pvp",MIN((Skills!Y21*(1+Inputs!$B$34/100)),15)/15,(Skills!Y21*(1+Inputs!$B$34/100))/Skills!D21)))+((C3089=TRUE)*(F3089-Calc!F28))+((C3079=TRUE)*(F3079-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3076=TRUE)*F3076*IF(AND(Inputs!$B$39&lt;&gt;"pvp",Inputs!$B$44&gt;0),(((R3076-1)*(Skills!Y15*(1+Inputs!$B$34/100))+MIN((Skills!Y15*(1+Inputs!$B$34/100)),MAX(0,Inputs!$B$44-((R3076-1)*Skills!D15))))/Inputs!$B$44),IF(Inputs!$B$39="pvp",MIN((Skills!Y15*(1+Inputs!$B$34/100)),15)/15,(Skills!Y15*(1+Inputs!$B$34/100))/Skills!D15)))/100)*(1+((C3067=TRUE)*F3067*B3095)/100))*B3103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3064)</f>
        <v/>
      </c>
      <c r="L3064">
        <f>K3064*(MIN(Inputs!$B$22+((C3085=TRUE)*(F3085-Calc!F24)),(Inputs!$B$23+0+(IF(ArtifactsInput!$M$15,CHOOSE(ArtifactsInput!$N$15+1,25,30,35,40,45,50)/100*(Inputs!$B$11-Inputs!$B$11),0))))/100+(Inputs!$B$23+0+(IF(ArtifactsInput!$M$15,CHOOSE(ArtifactsInput!$N$15+1,25,30,35,40,45,50)/100*(Inputs!$B$11-Inputs!$B$11),0)))/100)/2</f>
        <v/>
      </c>
      <c r="M3064">
        <f>L3064*(1+(Inputs!$B$10+((C3087=TRUE)*(F3087-Calc!F26))+B3104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64">
        <f>L3064*(1-MIN((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3064*(MIN((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64">
        <f>(1-Summary!$B$11)*T3064+Summary!$B$11*V3064</f>
        <v/>
      </c>
      <c r="P3064">
        <f>IF(B3105=0,0,O3064/B3105)</f>
        <v/>
      </c>
      <c r="Q3064">
        <f>IFERROR(1/IF(Inputs!$B$39="pvp",15,MAX(0.1,Skills!D3-IF(Skills!E3=TRUE,Inputs!$B$32,0))),0)</f>
        <v/>
      </c>
      <c r="R3064">
        <f>IF(AND(Inputs!$B$39&lt;&gt;"pvp",Inputs!$B$44&gt;0),IF(MAX(0,Inputs!$B$44-B3106)&lt;=0,0,(INT(MAX(0,Inputs!$B$44-B3106)/IF(Inputs!$B$39="pvp",15,MAX(0.1,Skills!D3-IF(Skills!E3=TRUE,Inputs!$B$32,0))))+1)),0)</f>
        <v/>
      </c>
      <c r="S3064">
        <f>IFERROR(O3064/N3064,0)</f>
        <v/>
      </c>
      <c r="T3064">
        <f>IF(C3064,(H3064*N3064*IF(AND(Inputs!$B$39&lt;&gt;"pvp",Inputs!$B$44&gt;0),((Skills!G3*((R3064-1)*IF(Skills!H3&gt;0,Skills!I3/Skills!H3,1)+IF(Skills!H3&gt;0,MIN(Skills!I3,MAX(0,MAX(0,Inputs!$B$44-B3106)-((R3064-1)*IF(Inputs!$B$39="pvp",15,MAX(0.1,Skills!D3-IF(Skills!E3=TRUE,Inputs!$B$32,0))))))/Skills!H3,1)))/Inputs!$B$44),G3064*Q3064))*IF(Inputs!$B$39="pvp",1,1+(Inputs!$B$20+((C3088=TRUE)*(F3088-Calc!F27))+Skills!P3+B3102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Hunt"),CHOOSE(ArtifactsInput!$N$35+1,15,18,21,24,27,30)*(1-EXP(-(0.2*B3097)*5)),0)+IF(AND(ArtifactsInput!$M$22,Inputs!$B$4&lt;&gt;"Chapter Hunt"),CHOOSE(ArtifactsInput!$N$22+1,10,12,14,16,18,20)*((0*(((0.15*B3097*5))^0/1)+1*(((0.15*B3097*5))^1/1)+2*(((0.15*B3097*5))^2/2)+3*(((0.15*B3097*5))^3/6)+4*(((0.15*B3097*5))^4/24)+5*(((0.15*B3097*5))^5/120))/((((0.15*B3097*5))^0/1)+(((0.15*B3097*5))^1/1)+(((0.15*B3097*5))^2/2)+(((0.15*B3097*5))^3/6)+(((0.15*B3097*5))^4/24)+(((0.15*B3097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3064*(1-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3064*(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3064*(1-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3064*(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64">
        <f>INDEX(FactorTable!$B$2:$Y$301, MATCH(ROUND(MIN(300,MAX(1,U3063)),0), FactorTable!$A$2:$A$301,0), 24)</f>
        <v/>
      </c>
      <c r="V3064">
        <f>IF(C3064,(H3064*N3064*IF(AND(Inputs!$B$39&lt;&gt;"pvp",Inputs!$B$44&gt;0),((Skills!G3*((R3064-1)*IF(Skills!H3&gt;0,Skills!I3/Skills!H3,1)+IF(Skills!H3&gt;0,MIN(Skills!I3,MAX(0,MAX(0,Inputs!$B$44-B3106)-((R3064-1)*IF(Inputs!$B$39="pvp",15,MAX(0.1,Skills!D3-IF(Skills!E3=TRUE,Inputs!$B$32,0))))))/Skills!H3,1)))/Inputs!$B$44),G3064*Q3064))*IF(Inputs!$B$39="pvp",1,(1+(Inputs!$B$21+Skills!Q3+B3102+(IF(ArtifactsInput!$M$33,CHOOSE(ArtifactsInput!$N$33+1,30,36,42,48,54,60),0))+(IF(AND(ArtifactsInput!$M$35,Inputs!$B$4&lt;&gt;"Chapter Hunt"),CHOOSE(ArtifactsInput!$N$35+1,15,18,21,24,27,30)*(1-EXP(-(0.2*B3097)*5)),0)+IF(AND(ArtifactsInput!$M$22,Inputs!$B$4&lt;&gt;"Chapter Hunt"),CHOOSE(ArtifactsInput!$N$22+1,10,12,14,16,18,20)*((0*(((0.15*B3097*5))^0/1)+1*(((0.15*B3097*5))^1/1)+2*(((0.15*B3097*5))^2/2)+3*(((0.15*B3097*5))^3/6)+4*(((0.15*B3097*5))^4/24)+5*(((0.15*B3097*5))^5/120))/((((0.15*B3097*5))^0/1)+(((0.15*B3097*5))^1/1)+(((0.15*B3097*5))^2/2)+(((0.15*B3097*5))^3/6)+(((0.15*B3097*5))^4/24)+(((0.15*B3097*5))^5/120))),0)))/100)*(MIN(Skills!W3,Inputs!$B$37)))*((1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65">
      <c r="A3065">
        <f>Skills!A4</f>
        <v/>
      </c>
      <c r="B3065">
        <f>Skills!B4</f>
        <v/>
      </c>
      <c r="C3065">
        <f>Inputs!$B$3&gt;=40</f>
        <v/>
      </c>
      <c r="D3065">
        <f>IF(Skills!C4=1,60+Inputs!$B$25+Inputs!$B$29,IF(Skills!C4=2,90+Inputs!$B$26+Inputs!$B$29,IF(Skills!C4=3,120+Inputs!$B$27+Inputs!$B$29,MAX(0,(Inputs!$B$3-100)*3)+Inputs!$B$28+Inputs!$B$29)))</f>
        <v/>
      </c>
      <c r="E3065">
        <f>INDEX(FactorTable!$B$2:$Y$301, MATCH(ROUND(MIN(300,MAX(1,D3065)),0), FactorTable!$A$2:$A$301,0), Skills!M4+1)</f>
        <v/>
      </c>
      <c r="F3065">
        <f>IF(Skills!N4=TRUE,(Skills!L4/10)*(E3065/1000),Skills!L4/10)+Skills!O4</f>
        <v/>
      </c>
      <c r="G3065">
        <f>Calc!G4</f>
        <v/>
      </c>
      <c r="H3065">
        <f>Calc!H4</f>
        <v/>
      </c>
      <c r="I3065">
        <f>IF(Skills!AA4&lt;&gt;"",1+(Skills!AA4/10)*(U3064/1000)/100,1)</f>
        <v/>
      </c>
      <c r="J3065">
        <f>((Inputs!$B$6*(1+Inputs!$B$7/100))+(((Inputs!$B$12*(1+Inputs!$B$13/100))-(Inputs!$B$12*(1+Inputs!$B$13/100)))+0.25*(Inputs!$B$14-Inputs!$B$14))*(1+Inputs!$B$7/100))*(F3065/100)</f>
        <v/>
      </c>
      <c r="K3065">
        <f>J3065*(1+((Inputs!$B$12*(1+Inputs!$B$13/100))*0.01+Inputs!$B$14*0.0025)/100)*(1+Inputs!$B$15/100)*(1+Inputs!$B$16/100)*(5000/(6000+Inputs!$B$43*(1-(100*(1-(1-(Inputs!$B$19+0)/100)*(1-CHOOSE(ArtifactsInput!$N$40+1,5,6,7,8,9,10)/100)^(ArtifactsInput!$M$40-ArtifactsInput!$M$40)))/100)))*(1+(Inputs!$B$24+((C3091=TRUE)*(F3091-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3084=TRUE)*(F3084-Calc!F23))+(((IF(AND(ArtifactsInput!$M$42,((Inputs!$B$9+((C3086=TRUE)*(F3086-Calc!F25))+B3101+(ArtifactsInput!$M$24-ArtifactsInput!$M$24)*CHOOSE(ArtifactsInput!$N$24+1,10,12,14,16,18,20)+IF(ArtifactsInput!$M$10,CHOOSE(ArtifactsInput!$N$10+1,15,18,21,24,27,30)*(IF(Inputs!$B$39="pvp",MIN(15,15)/15,IF(AND(Inputs!$B$39&lt;&gt;"pvp",Inputs!$B$44&gt;0),MIN(15,Inputs!$B$44)/(Inputs!$B$44),0))),0)))&gt;=100),MIN(100,((Inputs!$B$9+((C3086=TRUE)*(F3086-Calc!F25))+B3101+(ArtifactsInput!$M$24-ArtifactsInput!$M$24)*CHOOSE(ArtifactsInput!$N$24+1,10,12,14,16,18,20)+IF(ArtifactsInput!$M$10,CHOOSE(ArtifactsInput!$N$10+1,15,18,21,24,27,30)*(IF(Inputs!$B$39="pvp",MIN(15,15)/15,IF(AND(Inputs!$B$39&lt;&gt;"pvp",Inputs!$B$44&gt;0),MIN(15,Inputs!$B$44)/(Inputs!$B$44),0))),0)))-100),0))*CHOOSE(ArtifactsInput!$N$42+1,0.6,0.72,0.84,0.96,1.08,1.2))),Inputs!$B$18+((C3090=TRUE)*(F3090-Calc!F29))+(IF(AND(ArtifactsInput!$M$42,((Inputs!$B$9+((C3086=TRUE)*(F3086-Calc!F25))+B3101+(ArtifactsInput!$M$24-ArtifactsInput!$M$24)*CHOOSE(ArtifactsInput!$N$24+1,10,12,14,16,18,20)+IF(ArtifactsInput!$M$10,CHOOSE(ArtifactsInput!$N$10+1,15,18,21,24,27,30)*(IF(Inputs!$B$39="pvp",MIN(15,15)/15,IF(AND(Inputs!$B$39&lt;&gt;"pvp",Inputs!$B$44&gt;0),MIN(15,Inputs!$B$44)/(Inputs!$B$44),0))),0)))&gt;=100),CHOOSE(ArtifactsInput!$N$42+1,40,48,56,64,72,80),0))))/100)*(((1+(((C3082=TRUE)*F3082*IF(AND(Inputs!$B$39&lt;&gt;"pvp",Inputs!$B$44&gt;0),(((R3082-1)*(Skills!Y21*(1+Inputs!$B$34/100))+MIN((Skills!Y21*(1+Inputs!$B$34/100)),MAX(0,Inputs!$B$44-((R3082-1)*Skills!D21))))/Inputs!$B$44),IF(Inputs!$B$39="pvp",MIN((Skills!Y21*(1+Inputs!$B$34/100)),15)/15,(Skills!Y21*(1+Inputs!$B$34/100))/Skills!D21)))+((C3089=TRUE)*(F3089-Calc!F28))+((C3079=TRUE)*(F3079-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3076=TRUE)*F3076*IF(AND(Inputs!$B$39&lt;&gt;"pvp",Inputs!$B$44&gt;0),(((R3076-1)*(Skills!Y15*(1+Inputs!$B$34/100))+MIN((Skills!Y15*(1+Inputs!$B$34/100)),MAX(0,Inputs!$B$44-((R3076-1)*Skills!D15))))/Inputs!$B$44),IF(Inputs!$B$39="pvp",MIN((Skills!Y15*(1+Inputs!$B$34/100)),15)/15,(Skills!Y15*(1+Inputs!$B$34/100))/Skills!D15)))/100)*(1+((C3067=TRUE)*F3067*B3095)/100))*B3103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3065)</f>
        <v/>
      </c>
      <c r="L3065">
        <f>K3065*(MIN(Inputs!$B$22+((C3085=TRUE)*(F3085-Calc!F24)),(Inputs!$B$23+0+(IF(ArtifactsInput!$M$15,CHOOSE(ArtifactsInput!$N$15+1,25,30,35,40,45,50)/100*(Inputs!$B$11-Inputs!$B$11),0))))/100+(Inputs!$B$23+0+(IF(ArtifactsInput!$M$15,CHOOSE(ArtifactsInput!$N$15+1,25,30,35,40,45,50)/100*(Inputs!$B$11-Inputs!$B$11),0)))/100)/2</f>
        <v/>
      </c>
      <c r="M3065">
        <f>L3065*(1+(Inputs!$B$10+((C3087=TRUE)*(F3087-Calc!F26))+B3104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65">
        <f>L3065*(1-MIN((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3065*(MIN((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65">
        <f>(1-Summary!$B$11)*T3065+Summary!$B$11*V3065</f>
        <v/>
      </c>
      <c r="P3065">
        <f>IF(B3105=0,0,O3065/B3105)</f>
        <v/>
      </c>
      <c r="Q3065">
        <f>IFERROR(1/IF(Inputs!$B$39="pvp",15,MAX(0.1,Skills!D4-IF(Skills!E4=TRUE,Inputs!$B$32,0))),0)</f>
        <v/>
      </c>
      <c r="R3065">
        <f>IF(AND(Inputs!$B$39&lt;&gt;"pvp",Inputs!$B$44&gt;0),IF(MAX(0,Inputs!$B$44-B3106)&lt;=0,0,(INT(MAX(0,Inputs!$B$44-B3106)/IF(Inputs!$B$39="pvp",15,MAX(0.1,Skills!D4-IF(Skills!E4=TRUE,Inputs!$B$32,0))))+1)),0)</f>
        <v/>
      </c>
      <c r="S3065">
        <f>IFERROR(O3065/N3065,0)</f>
        <v/>
      </c>
      <c r="T3065">
        <f>IF(C3065,(H3065*N3065*IF(AND(Inputs!$B$39&lt;&gt;"pvp",Inputs!$B$44&gt;0),((Skills!G4*((R3065-1)*IF(Skills!H4&gt;0,Skills!I4/Skills!H4,1)+IF(Skills!H4&gt;0,MIN(Skills!I4,MAX(0,MAX(0,Inputs!$B$44-B3106)-((R3065-1)*IF(Inputs!$B$39="pvp",15,MAX(0.1,Skills!D4-IF(Skills!E4=TRUE,Inputs!$B$32,0))))))/Skills!H4,1)))/Inputs!$B$44),G3065*Q3065))*IF(Inputs!$B$39="pvp",1,1+(Inputs!$B$20+((C3088=TRUE)*(F3088-Calc!F27))+Skills!P4+B3102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Hunt"),CHOOSE(ArtifactsInput!$N$35+1,15,18,21,24,27,30)*(1-EXP(-(0.2*B3097)*5)),0)+IF(AND(ArtifactsInput!$M$22,Inputs!$B$4&lt;&gt;"Chapter Hunt"),CHOOSE(ArtifactsInput!$N$22+1,10,12,14,16,18,20)*((0*(((0.15*B3097*5))^0/1)+1*(((0.15*B3097*5))^1/1)+2*(((0.15*B3097*5))^2/2)+3*(((0.15*B3097*5))^3/6)+4*(((0.15*B3097*5))^4/24)+5*(((0.15*B3097*5))^5/120))/((((0.15*B3097*5))^0/1)+(((0.15*B3097*5))^1/1)+(((0.15*B3097*5))^2/2)+(((0.15*B3097*5))^3/6)+(((0.15*B3097*5))^4/24)+(((0.15*B3097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3065*(1-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3065*(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3065*(1-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3065*(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65">
        <f>MAX(0,(Inputs!$B$3-100)*3)+Inputs!$B$28+Inputs!$B$29</f>
        <v/>
      </c>
      <c r="V3065">
        <f>IF(C3065,(H3065*N3065*IF(AND(Inputs!$B$39&lt;&gt;"pvp",Inputs!$B$44&gt;0),((Skills!G4*((R3065-1)*IF(Skills!H4&gt;0,Skills!I4/Skills!H4,1)+IF(Skills!H4&gt;0,MIN(Skills!I4,MAX(0,MAX(0,Inputs!$B$44-B3106)-((R3065-1)*IF(Inputs!$B$39="pvp",15,MAX(0.1,Skills!D4-IF(Skills!E4=TRUE,Inputs!$B$32,0))))))/Skills!H4,1)))/Inputs!$B$44),G3065*Q3065))*IF(Inputs!$B$39="pvp",1,(1+(Inputs!$B$21+Skills!Q4+B3102+(IF(ArtifactsInput!$M$33,CHOOSE(ArtifactsInput!$N$33+1,30,36,42,48,54,60),0))+(IF(AND(ArtifactsInput!$M$35,Inputs!$B$4&lt;&gt;"Chapter Hunt"),CHOOSE(ArtifactsInput!$N$35+1,15,18,21,24,27,30)*(1-EXP(-(0.2*B3097)*5)),0)+IF(AND(ArtifactsInput!$M$22,Inputs!$B$4&lt;&gt;"Chapter Hunt"),CHOOSE(ArtifactsInput!$N$22+1,10,12,14,16,18,20)*((0*(((0.15*B3097*5))^0/1)+1*(((0.15*B3097*5))^1/1)+2*(((0.15*B3097*5))^2/2)+3*(((0.15*B3097*5))^3/6)+4*(((0.15*B3097*5))^4/24)+5*(((0.15*B3097*5))^5/120))/((((0.15*B3097*5))^0/1)+(((0.15*B3097*5))^1/1)+(((0.15*B3097*5))^2/2)+(((0.15*B3097*5))^3/6)+(((0.15*B3097*5))^4/24)+(((0.15*B3097*5))^5/120))),0)))/100)*(MIN(Skills!W4,Inputs!$B$37)))*((1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66">
      <c r="A3066">
        <f>Skills!A5</f>
        <v/>
      </c>
      <c r="B3066">
        <f>Skills!B5</f>
        <v/>
      </c>
      <c r="C3066">
        <f>Inputs!$B$3&gt;=63</f>
        <v/>
      </c>
      <c r="D3066">
        <f>IF(Skills!C5=1,60+Inputs!$B$25+Inputs!$B$29,IF(Skills!C5=2,90+Inputs!$B$26+Inputs!$B$29,IF(Skills!C5=3,120+Inputs!$B$27+Inputs!$B$29,MAX(0,(Inputs!$B$3-100)*3)+Inputs!$B$28+Inputs!$B$29)))</f>
        <v/>
      </c>
      <c r="E3066">
        <f>INDEX(FactorTable!$B$2:$Y$301, MATCH(ROUND(MIN(300,MAX(1,D3066)),0), FactorTable!$A$2:$A$301,0), Skills!M5+1)</f>
        <v/>
      </c>
      <c r="F3066">
        <f>IF(Skills!N5=TRUE,(Skills!L5/10)*(E3066/1000),Skills!L5/10)+Skills!O5</f>
        <v/>
      </c>
      <c r="G3066">
        <f>Calc!G5</f>
        <v/>
      </c>
      <c r="H3066">
        <f>Calc!H5</f>
        <v/>
      </c>
      <c r="I3066">
        <f>IF(Skills!AA5&lt;&gt;"",1+(Skills!AA5/10)*(U3064/1000)/100,1)</f>
        <v/>
      </c>
      <c r="J3066">
        <f>((Inputs!$B$6*(1+Inputs!$B$7/100))+(((Inputs!$B$12*(1+Inputs!$B$13/100))-(Inputs!$B$12*(1+Inputs!$B$13/100)))+0.25*(Inputs!$B$14-Inputs!$B$14))*(1+Inputs!$B$7/100))*(F3066/100)</f>
        <v/>
      </c>
      <c r="K3066">
        <f>J3066*(1+((Inputs!$B$12*(1+Inputs!$B$13/100))*0.01+Inputs!$B$14*0.0025)/100)*(1+Inputs!$B$15/100)*(1+Inputs!$B$16/100)*(5000/(6000+Inputs!$B$43*(1-(100*(1-(1-(Inputs!$B$19+0)/100)*(1-CHOOSE(ArtifactsInput!$N$40+1,5,6,7,8,9,10)/100)^(ArtifactsInput!$M$40-ArtifactsInput!$M$40)))/100)))*(1+(Inputs!$B$24+((C3091=TRUE)*(F3091-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3084=TRUE)*(F3084-Calc!F23))+(((IF(AND(ArtifactsInput!$M$42,((Inputs!$B$9+((C3086=TRUE)*(F3086-Calc!F25))+B3101+(ArtifactsInput!$M$24-ArtifactsInput!$M$24)*CHOOSE(ArtifactsInput!$N$24+1,10,12,14,16,18,20)+IF(ArtifactsInput!$M$10,CHOOSE(ArtifactsInput!$N$10+1,15,18,21,24,27,30)*(IF(Inputs!$B$39="pvp",MIN(15,15)/15,IF(AND(Inputs!$B$39&lt;&gt;"pvp",Inputs!$B$44&gt;0),MIN(15,Inputs!$B$44)/(Inputs!$B$44),0))),0)))&gt;=100),MIN(100,((Inputs!$B$9+((C3086=TRUE)*(F3086-Calc!F25))+B3101+(ArtifactsInput!$M$24-ArtifactsInput!$M$24)*CHOOSE(ArtifactsInput!$N$24+1,10,12,14,16,18,20)+IF(ArtifactsInput!$M$10,CHOOSE(ArtifactsInput!$N$10+1,15,18,21,24,27,30)*(IF(Inputs!$B$39="pvp",MIN(15,15)/15,IF(AND(Inputs!$B$39&lt;&gt;"pvp",Inputs!$B$44&gt;0),MIN(15,Inputs!$B$44)/(Inputs!$B$44),0))),0)))-100),0))*CHOOSE(ArtifactsInput!$N$42+1,0.6,0.72,0.84,0.96,1.08,1.2))),Inputs!$B$18+((C3090=TRUE)*(F3090-Calc!F29))+(IF(AND(ArtifactsInput!$M$42,((Inputs!$B$9+((C3086=TRUE)*(F3086-Calc!F25))+B3101+(ArtifactsInput!$M$24-ArtifactsInput!$M$24)*CHOOSE(ArtifactsInput!$N$24+1,10,12,14,16,18,20)+IF(ArtifactsInput!$M$10,CHOOSE(ArtifactsInput!$N$10+1,15,18,21,24,27,30)*(IF(Inputs!$B$39="pvp",MIN(15,15)/15,IF(AND(Inputs!$B$39&lt;&gt;"pvp",Inputs!$B$44&gt;0),MIN(15,Inputs!$B$44)/(Inputs!$B$44),0))),0)))&gt;=100),CHOOSE(ArtifactsInput!$N$42+1,40,48,56,64,72,80),0))))/100)*(((1+(((C3082=TRUE)*F3082*IF(AND(Inputs!$B$39&lt;&gt;"pvp",Inputs!$B$44&gt;0),(((R3082-1)*(Skills!Y21*(1+Inputs!$B$34/100))+MIN((Skills!Y21*(1+Inputs!$B$34/100)),MAX(0,Inputs!$B$44-((R3082-1)*Skills!D21))))/Inputs!$B$44),IF(Inputs!$B$39="pvp",MIN((Skills!Y21*(1+Inputs!$B$34/100)),15)/15,(Skills!Y21*(1+Inputs!$B$34/100))/Skills!D21)))+((C3089=TRUE)*(F3089-Calc!F28))+((C3079=TRUE)*(F3079-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3076=TRUE)*F3076*IF(AND(Inputs!$B$39&lt;&gt;"pvp",Inputs!$B$44&gt;0),(((R3076-1)*(Skills!Y15*(1+Inputs!$B$34/100))+MIN((Skills!Y15*(1+Inputs!$B$34/100)),MAX(0,Inputs!$B$44-((R3076-1)*Skills!D15))))/Inputs!$B$44),IF(Inputs!$B$39="pvp",MIN((Skills!Y15*(1+Inputs!$B$34/100)),15)/15,(Skills!Y15*(1+Inputs!$B$34/100))/Skills!D15)))/100)*(1+((C3067=TRUE)*F3067*B3095)/100))*B3103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3066)</f>
        <v/>
      </c>
      <c r="L3066">
        <f>K3066*(MIN(Inputs!$B$22+((C3085=TRUE)*(F3085-Calc!F24)),(Inputs!$B$23+0+(IF(ArtifactsInput!$M$15,CHOOSE(ArtifactsInput!$N$15+1,25,30,35,40,45,50)/100*(Inputs!$B$11-Inputs!$B$11),0))))/100+(Inputs!$B$23+0+(IF(ArtifactsInput!$M$15,CHOOSE(ArtifactsInput!$N$15+1,25,30,35,40,45,50)/100*(Inputs!$B$11-Inputs!$B$11),0)))/100)/2</f>
        <v/>
      </c>
      <c r="M3066">
        <f>L3066*(1+(Inputs!$B$10+((C3087=TRUE)*(F3087-Calc!F26))+B3104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66">
        <f>L3066*(1-MIN((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3066*(MIN((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66">
        <f>(1-Summary!$B$11)*T3066+Summary!$B$11*V3066</f>
        <v/>
      </c>
      <c r="P3066">
        <f>IF(B3105=0,0,O3066/B3105)</f>
        <v/>
      </c>
      <c r="Q3066">
        <f>IFERROR(1/IF(Inputs!$B$39="pvp",15,MAX(0.1,Skills!D5-IF(Skills!E5=TRUE,Inputs!$B$32,0))),0)</f>
        <v/>
      </c>
      <c r="R3066">
        <f>IF(AND(Inputs!$B$39&lt;&gt;"pvp",Inputs!$B$44&gt;0),IF(MAX(0,Inputs!$B$44-B3106)&lt;=0,0,(INT(MAX(0,Inputs!$B$44-B3106)/IF(Inputs!$B$39="pvp",15,MAX(0.1,Skills!D5-IF(Skills!E5=TRUE,Inputs!$B$32,0))))+1)),0)</f>
        <v/>
      </c>
      <c r="S3066">
        <f>IFERROR(O3066/N3066,0)</f>
        <v/>
      </c>
      <c r="T3066">
        <f>IF(C3066,(H3066*N3066*IF(AND(Inputs!$B$39&lt;&gt;"pvp",Inputs!$B$44&gt;0),((Skills!G5*((R3066-1)*IF(Skills!H5&gt;0,Skills!I5/Skills!H5,1)+IF(Skills!H5&gt;0,MIN(Skills!I5,MAX(0,MAX(0,Inputs!$B$44-B3106)-((R3066-1)*IF(Inputs!$B$39="pvp",15,MAX(0.1,Skills!D5-IF(Skills!E5=TRUE,Inputs!$B$32,0))))))/Skills!H5,1)))/Inputs!$B$44),G3066*Q3066))*IF(Inputs!$B$39="pvp",1,1+(Inputs!$B$20+((C3088=TRUE)*(F3088-Calc!F27))+Skills!P5+B3102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Hunt"),CHOOSE(ArtifactsInput!$N$35+1,15,18,21,24,27,30)*(1-EXP(-(0.2*B3097)*5)),0)+IF(AND(ArtifactsInput!$M$22,Inputs!$B$4&lt;&gt;"Chapter Hunt"),CHOOSE(ArtifactsInput!$N$22+1,10,12,14,16,18,20)*((0*(((0.15*B3097*5))^0/1)+1*(((0.15*B3097*5))^1/1)+2*(((0.15*B3097*5))^2/2)+3*(((0.15*B3097*5))^3/6)+4*(((0.15*B3097*5))^4/24)+5*(((0.15*B3097*5))^5/120))/((((0.15*B3097*5))^0/1)+(((0.15*B3097*5))^1/1)+(((0.15*B3097*5))^2/2)+(((0.15*B3097*5))^3/6)+(((0.15*B3097*5))^4/24)+(((0.15*B3097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3066*(1-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3066*(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3066*(1-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3066*(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66">
        <f>INDEX(FactorTable!$B$2:$Y$301, MATCH(ROUND(MIN(300,MAX(1,U3065)),0), FactorTable!$A$2:$A$301,0), 22)</f>
        <v/>
      </c>
      <c r="V3066">
        <f>IF(C3066,(H3066*N3066*IF(AND(Inputs!$B$39&lt;&gt;"pvp",Inputs!$B$44&gt;0),((Skills!G5*((R3066-1)*IF(Skills!H5&gt;0,Skills!I5/Skills!H5,1)+IF(Skills!H5&gt;0,MIN(Skills!I5,MAX(0,MAX(0,Inputs!$B$44-B3106)-((R3066-1)*IF(Inputs!$B$39="pvp",15,MAX(0.1,Skills!D5-IF(Skills!E5=TRUE,Inputs!$B$32,0))))))/Skills!H5,1)))/Inputs!$B$44),G3066*Q3066))*IF(Inputs!$B$39="pvp",1,(1+(Inputs!$B$21+Skills!Q5+B3102+(IF(ArtifactsInput!$M$33,CHOOSE(ArtifactsInput!$N$33+1,30,36,42,48,54,60),0))+(IF(AND(ArtifactsInput!$M$35,Inputs!$B$4&lt;&gt;"Chapter Hunt"),CHOOSE(ArtifactsInput!$N$35+1,15,18,21,24,27,30)*(1-EXP(-(0.2*B3097)*5)),0)+IF(AND(ArtifactsInput!$M$22,Inputs!$B$4&lt;&gt;"Chapter Hunt"),CHOOSE(ArtifactsInput!$N$22+1,10,12,14,16,18,20)*((0*(((0.15*B3097*5))^0/1)+1*(((0.15*B3097*5))^1/1)+2*(((0.15*B3097*5))^2/2)+3*(((0.15*B3097*5))^3/6)+4*(((0.15*B3097*5))^4/24)+5*(((0.15*B3097*5))^5/120))/((((0.15*B3097*5))^0/1)+(((0.15*B3097*5))^1/1)+(((0.15*B3097*5))^2/2)+(((0.15*B3097*5))^3/6)+(((0.15*B3097*5))^4/24)+(((0.15*B3097*5))^5/120))),0)))/100)*(MIN(Skills!W5,Inputs!$B$37)))*((1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67">
      <c r="A3067">
        <f>Skills!A6</f>
        <v/>
      </c>
      <c r="B3067">
        <f>Skills!B6</f>
        <v/>
      </c>
      <c r="C3067">
        <f>Inputs!$B$3&gt;=66</f>
        <v/>
      </c>
      <c r="D3067">
        <f>IF(Skills!C6=1,60+Inputs!$B$25+Inputs!$B$29,IF(Skills!C6=2,90+Inputs!$B$26+Inputs!$B$29,IF(Skills!C6=3,120+Inputs!$B$27+Inputs!$B$29,MAX(0,(Inputs!$B$3-100)*3)+Inputs!$B$28+Inputs!$B$29)))</f>
        <v/>
      </c>
      <c r="E3067">
        <f>INDEX(FactorTable!$B$2:$Y$301, MATCH(ROUND(MIN(300,MAX(1,D3067)),0), FactorTable!$A$2:$A$301,0), Skills!M6+1)</f>
        <v/>
      </c>
      <c r="F3067">
        <f>IF(Skills!N6=TRUE,(Skills!L6/10)*(E3067/1000),Skills!L6/10)+Skills!O6</f>
        <v/>
      </c>
      <c r="G3067">
        <f>Calc!G6</f>
        <v/>
      </c>
      <c r="H3067">
        <f>Calc!H6</f>
        <v/>
      </c>
      <c r="I3067">
        <f>IF(Skills!AA6&lt;&gt;"",1+(Skills!AA6/10)*(U3064/1000)/100,1)</f>
        <v/>
      </c>
      <c r="J3067" t="inlineStr"/>
      <c r="K3067" t="inlineStr"/>
      <c r="L3067" t="inlineStr"/>
      <c r="M3067" t="inlineStr"/>
      <c r="N3067" t="inlineStr"/>
      <c r="O3067">
        <f>(1-Summary!$B$11)*T3067+Summary!$B$11*V3067</f>
        <v/>
      </c>
      <c r="P3067">
        <f>IF(B3105=0,0,O3067/B3105)</f>
        <v/>
      </c>
      <c r="Q3067" t="n">
        <v>0</v>
      </c>
      <c r="R3067" t="n">
        <v>0</v>
      </c>
      <c r="S3067">
        <f>IFERROR(O3067/N3067,0)</f>
        <v/>
      </c>
      <c r="T3067" t="n">
        <v>0</v>
      </c>
      <c r="U3067">
        <f>290*U3066/1000</f>
        <v/>
      </c>
      <c r="V3067" t="n">
        <v>0</v>
      </c>
    </row>
    <row r="3068">
      <c r="A3068">
        <f>Skills!A7</f>
        <v/>
      </c>
      <c r="B3068">
        <f>Skills!B7</f>
        <v/>
      </c>
      <c r="C3068">
        <f>Inputs!$B$3&gt;=66</f>
        <v/>
      </c>
      <c r="D3068">
        <f>IF(Skills!C7=1,60+Inputs!$B$25+Inputs!$B$29,IF(Skills!C7=2,90+Inputs!$B$26+Inputs!$B$29,IF(Skills!C7=3,120+Inputs!$B$27+Inputs!$B$29,MAX(0,(Inputs!$B$3-100)*3)+Inputs!$B$28+Inputs!$B$29)))</f>
        <v/>
      </c>
      <c r="E3068">
        <f>INDEX(FactorTable!$B$2:$Y$301, MATCH(ROUND(MIN(300,MAX(1,D3068)),0), FactorTable!$A$2:$A$301,0), Skills!M7+1)</f>
        <v/>
      </c>
      <c r="F3068">
        <f>IF(Skills!N7=TRUE,(Skills!L7/10)*(E3068/1000),Skills!L7/10)+Skills!O7</f>
        <v/>
      </c>
      <c r="G3068">
        <f>Calc!G7</f>
        <v/>
      </c>
      <c r="H3068">
        <f>Calc!H7</f>
        <v/>
      </c>
      <c r="I3068">
        <f>IF(Skills!AA7&lt;&gt;"",1+(Skills!AA7/10)*(U3064/1000)/100,1)</f>
        <v/>
      </c>
      <c r="J3068" t="inlineStr"/>
      <c r="K3068" t="inlineStr"/>
      <c r="L3068" t="inlineStr"/>
      <c r="M3068" t="inlineStr"/>
      <c r="N3068" t="inlineStr"/>
      <c r="O3068">
        <f>(1-Summary!$B$11)*T3068+Summary!$B$11*V3068</f>
        <v/>
      </c>
      <c r="P3068">
        <f>IF(B3105=0,0,O3068/B3105)</f>
        <v/>
      </c>
      <c r="Q3068" t="n">
        <v>0</v>
      </c>
      <c r="R3068" t="n">
        <v>0</v>
      </c>
      <c r="S3068">
        <f>IFERROR(O3068/N3068,0)</f>
        <v/>
      </c>
      <c r="T3068" t="n">
        <v>0</v>
      </c>
      <c r="V3068" t="n">
        <v>0</v>
      </c>
    </row>
    <row r="3069">
      <c r="A3069">
        <f>Skills!A8</f>
        <v/>
      </c>
      <c r="B3069">
        <f>Skills!B8</f>
        <v/>
      </c>
      <c r="C3069">
        <f>Inputs!$B$3&gt;=69</f>
        <v/>
      </c>
      <c r="D3069">
        <f>IF(Skills!C8=1,60+Inputs!$B$25+Inputs!$B$29,IF(Skills!C8=2,90+Inputs!$B$26+Inputs!$B$29,IF(Skills!C8=3,120+Inputs!$B$27+Inputs!$B$29,MAX(0,(Inputs!$B$3-100)*3)+Inputs!$B$28+Inputs!$B$29)))</f>
        <v/>
      </c>
      <c r="E3069">
        <f>INDEX(FactorTable!$B$2:$Y$301, MATCH(ROUND(MIN(300,MAX(1,D3069)),0), FactorTable!$A$2:$A$301,0), Skills!M8+1)</f>
        <v/>
      </c>
      <c r="F3069">
        <f>IF(Skills!N8=TRUE,(Skills!L8/10)*(E3069/1000),Skills!L8/10)+Skills!O8</f>
        <v/>
      </c>
      <c r="G3069">
        <f>Calc!G8</f>
        <v/>
      </c>
      <c r="H3069">
        <f>Calc!H8</f>
        <v/>
      </c>
      <c r="I3069">
        <f>IF(Skills!AA8&lt;&gt;"",1+(Skills!AA8/10)*(U3064/1000)/100,1)</f>
        <v/>
      </c>
      <c r="J3069">
        <f>((Inputs!$B$6*(1+Inputs!$B$7/100))+(((Inputs!$B$12*(1+Inputs!$B$13/100))-(Inputs!$B$12*(1+Inputs!$B$13/100)))+0.25*(Inputs!$B$14-Inputs!$B$14))*(1+Inputs!$B$7/100))*(F3069/100)</f>
        <v/>
      </c>
      <c r="K3069">
        <f>J3069*(1+((Inputs!$B$12*(1+Inputs!$B$13/100))*0.01+Inputs!$B$14*0.0025)/100)*(1+Inputs!$B$15/100)*(1+Inputs!$B$16/100)*(5000/(6000+Inputs!$B$43*(1-(100*(1-(1-(Inputs!$B$19+0)/100)*(1-CHOOSE(ArtifactsInput!$N$40+1,5,6,7,8,9,10)/100)^(ArtifactsInput!$M$40-ArtifactsInput!$M$40)))/100)))*(1+(Inputs!$B$24+((C3091=TRUE)*(F3091-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3084=TRUE)*(F3084-Calc!F23))+(((IF(AND(ArtifactsInput!$M$42,((Inputs!$B$9+((C3086=TRUE)*(F3086-Calc!F25))+B3101+(ArtifactsInput!$M$24-ArtifactsInput!$M$24)*CHOOSE(ArtifactsInput!$N$24+1,10,12,14,16,18,20)+IF(ArtifactsInput!$M$10,CHOOSE(ArtifactsInput!$N$10+1,15,18,21,24,27,30)*(IF(Inputs!$B$39="pvp",MIN(15,15)/15,IF(AND(Inputs!$B$39&lt;&gt;"pvp",Inputs!$B$44&gt;0),MIN(15,Inputs!$B$44)/(Inputs!$B$44),0))),0)))&gt;=100),MIN(100,((Inputs!$B$9+((C3086=TRUE)*(F3086-Calc!F25))+B3101+(ArtifactsInput!$M$24-ArtifactsInput!$M$24)*CHOOSE(ArtifactsInput!$N$24+1,10,12,14,16,18,20)+IF(ArtifactsInput!$M$10,CHOOSE(ArtifactsInput!$N$10+1,15,18,21,24,27,30)*(IF(Inputs!$B$39="pvp",MIN(15,15)/15,IF(AND(Inputs!$B$39&lt;&gt;"pvp",Inputs!$B$44&gt;0),MIN(15,Inputs!$B$44)/(Inputs!$B$44),0))),0)))-100),0))*CHOOSE(ArtifactsInput!$N$42+1,0.6,0.72,0.84,0.96,1.08,1.2))),Inputs!$B$18+((C3090=TRUE)*(F3090-Calc!F29))+(IF(AND(ArtifactsInput!$M$42,((Inputs!$B$9+((C3086=TRUE)*(F3086-Calc!F25))+B3101+(ArtifactsInput!$M$24-ArtifactsInput!$M$24)*CHOOSE(ArtifactsInput!$N$24+1,10,12,14,16,18,20)+IF(ArtifactsInput!$M$10,CHOOSE(ArtifactsInput!$N$10+1,15,18,21,24,27,30)*(IF(Inputs!$B$39="pvp",MIN(15,15)/15,IF(AND(Inputs!$B$39&lt;&gt;"pvp",Inputs!$B$44&gt;0),MIN(15,Inputs!$B$44)/(Inputs!$B$44),0))),0)))&gt;=100),CHOOSE(ArtifactsInput!$N$42+1,40,48,56,64,72,80),0))))/100)*(((1+(((C3082=TRUE)*F3082*IF(AND(Inputs!$B$39&lt;&gt;"pvp",Inputs!$B$44&gt;0),(((R3082-1)*(Skills!Y21*(1+Inputs!$B$34/100))+MIN((Skills!Y21*(1+Inputs!$B$34/100)),MAX(0,Inputs!$B$44-((R3082-1)*Skills!D21))))/Inputs!$B$44),IF(Inputs!$B$39="pvp",MIN((Skills!Y21*(1+Inputs!$B$34/100)),15)/15,(Skills!Y21*(1+Inputs!$B$34/100))/Skills!D21)))+((C3089=TRUE)*(F3089-Calc!F28))+((C3079=TRUE)*(F3079-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3076=TRUE)*F3076*IF(AND(Inputs!$B$39&lt;&gt;"pvp",Inputs!$B$44&gt;0),(((R3076-1)*(Skills!Y15*(1+Inputs!$B$34/100))+MIN((Skills!Y15*(1+Inputs!$B$34/100)),MAX(0,Inputs!$B$44-((R3076-1)*Skills!D15))))/Inputs!$B$44),IF(Inputs!$B$39="pvp",MIN((Skills!Y15*(1+Inputs!$B$34/100)),15)/15,(Skills!Y15*(1+Inputs!$B$34/100))/Skills!D15)))/100)*(1+((C3067=TRUE)*F3067*B3095)/100))*B3103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3069)</f>
        <v/>
      </c>
      <c r="L3069">
        <f>K3069*(MIN(Inputs!$B$22+((C3085=TRUE)*(F3085-Calc!F24)),(Inputs!$B$23+0+(IF(ArtifactsInput!$M$15,CHOOSE(ArtifactsInput!$N$15+1,25,30,35,40,45,50)/100*(Inputs!$B$11-Inputs!$B$11),0))))/100+(Inputs!$B$23+0+(IF(ArtifactsInput!$M$15,CHOOSE(ArtifactsInput!$N$15+1,25,30,35,40,45,50)/100*(Inputs!$B$11-Inputs!$B$11),0)))/100)/2</f>
        <v/>
      </c>
      <c r="M3069">
        <f>L3069*(1+(Inputs!$B$10+((C3087=TRUE)*(F3087-Calc!F26))+B3104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69">
        <f>L3069*(1-MIN((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3069*(MIN((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69">
        <f>(1-Summary!$B$11)*T3069+Summary!$B$11*V3069</f>
        <v/>
      </c>
      <c r="P3069">
        <f>IF(B3105=0,0,O3069/B3105)</f>
        <v/>
      </c>
      <c r="Q3069">
        <f>IFERROR(1/IF(Inputs!$B$39="pvp",15,MAX(0.1,Skills!D8-IF(Skills!E8=TRUE,Inputs!$B$32,0))),0)</f>
        <v/>
      </c>
      <c r="R3069">
        <f>IF(AND(Inputs!$B$39&lt;&gt;"pvp",Inputs!$B$44&gt;0),IF(MAX(0,Inputs!$B$44-B3106)&lt;=0,0,(INT(MAX(0,Inputs!$B$44-B3106)/IF(Inputs!$B$39="pvp",15,MAX(0.1,Skills!D8-IF(Skills!E8=TRUE,Inputs!$B$32,0))))+1)),0)</f>
        <v/>
      </c>
      <c r="S3069">
        <f>IFERROR(O3069/N3069,0)</f>
        <v/>
      </c>
      <c r="T3069">
        <f>IF(C3069,(H3069*N3069*IF(AND(Inputs!$B$39&lt;&gt;"pvp",Inputs!$B$44&gt;0),((Skills!G8*((R3069-1)*IF(Skills!H8&gt;0,Skills!I8/Skills!H8,1)+IF(Skills!H8&gt;0,MIN(Skills!I8,MAX(0,MAX(0,Inputs!$B$44-B3106)-((R3069-1)*IF(Inputs!$B$39="pvp",15,MAX(0.1,Skills!D8-IF(Skills!E8=TRUE,Inputs!$B$32,0))))))/Skills!H8,1)))/Inputs!$B$44),G3069*Q3069))*IF(Inputs!$B$39="pvp",1,1+(Inputs!$B$20+((C3088=TRUE)*(F3088-Calc!F27))+Skills!P8+B3102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Hunt"),CHOOSE(ArtifactsInput!$N$35+1,15,18,21,24,27,30)*(1-EXP(-(0.2*B3097)*5)),0)+IF(AND(ArtifactsInput!$M$22,Inputs!$B$4&lt;&gt;"Chapter Hunt"),CHOOSE(ArtifactsInput!$N$22+1,10,12,14,16,18,20)*((0*(((0.15*B3097*5))^0/1)+1*(((0.15*B3097*5))^1/1)+2*(((0.15*B3097*5))^2/2)+3*(((0.15*B3097*5))^3/6)+4*(((0.15*B3097*5))^4/24)+5*(((0.15*B3097*5))^5/120))/((((0.15*B3097*5))^0/1)+(((0.15*B3097*5))^1/1)+(((0.15*B3097*5))^2/2)+(((0.15*B3097*5))^3/6)+(((0.15*B3097*5))^4/24)+(((0.15*B3097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3069*(1-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3069*(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3069*(1-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3069*(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69">
        <f>IF(C3069,(H3069*N3069*IF(AND(Inputs!$B$39&lt;&gt;"pvp",Inputs!$B$44&gt;0),((Skills!G8*((R3069-1)*IF(Skills!H8&gt;0,Skills!I8/Skills!H8,1)+IF(Skills!H8&gt;0,MIN(Skills!I8,MAX(0,MAX(0,Inputs!$B$44-B3106)-((R3069-1)*IF(Inputs!$B$39="pvp",15,MAX(0.1,Skills!D8-IF(Skills!E8=TRUE,Inputs!$B$32,0))))))/Skills!H8,1)))/Inputs!$B$44),G3069*Q3069))*IF(Inputs!$B$39="pvp",1,(1+(Inputs!$B$21+Skills!Q8+B3102+(IF(ArtifactsInput!$M$33,CHOOSE(ArtifactsInput!$N$33+1,30,36,42,48,54,60),0))+(IF(AND(ArtifactsInput!$M$35,Inputs!$B$4&lt;&gt;"Chapter Hunt"),CHOOSE(ArtifactsInput!$N$35+1,15,18,21,24,27,30)*(1-EXP(-(0.2*B3097)*5)),0)+IF(AND(ArtifactsInput!$M$22,Inputs!$B$4&lt;&gt;"Chapter Hunt"),CHOOSE(ArtifactsInput!$N$22+1,10,12,14,16,18,20)*((0*(((0.15*B3097*5))^0/1)+1*(((0.15*B3097*5))^1/1)+2*(((0.15*B3097*5))^2/2)+3*(((0.15*B3097*5))^3/6)+4*(((0.15*B3097*5))^4/24)+5*(((0.15*B3097*5))^5/120))/((((0.15*B3097*5))^0/1)+(((0.15*B3097*5))^1/1)+(((0.15*B3097*5))^2/2)+(((0.15*B3097*5))^3/6)+(((0.15*B3097*5))^4/24)+(((0.15*B3097*5))^5/120))),0)))/100)*(MIN(Skills!W8,Inputs!$B$37)))*((1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70">
      <c r="A3070">
        <f>Skills!A9</f>
        <v/>
      </c>
      <c r="B3070">
        <f>Skills!B9</f>
        <v/>
      </c>
      <c r="C3070">
        <f>Inputs!$B$3&gt;=72</f>
        <v/>
      </c>
      <c r="D3070">
        <f>IF(Skills!C9=1,60+Inputs!$B$25+Inputs!$B$29,IF(Skills!C9=2,90+Inputs!$B$26+Inputs!$B$29,IF(Skills!C9=3,120+Inputs!$B$27+Inputs!$B$29,MAX(0,(Inputs!$B$3-100)*3)+Inputs!$B$28+Inputs!$B$29)))</f>
        <v/>
      </c>
      <c r="E3070">
        <f>INDEX(FactorTable!$B$2:$Y$301, MATCH(ROUND(MIN(300,MAX(1,D3070)),0), FactorTable!$A$2:$A$301,0), Skills!M9+1)</f>
        <v/>
      </c>
      <c r="F3070">
        <f>IF(Skills!N9=TRUE,(Skills!L9/10)*(E3070/1000),Skills!L9/10)+Skills!O9</f>
        <v/>
      </c>
      <c r="G3070">
        <f>Calc!G9</f>
        <v/>
      </c>
      <c r="H3070">
        <f>Calc!H9</f>
        <v/>
      </c>
      <c r="I3070">
        <f>IF(Skills!AA9&lt;&gt;"",1+(Skills!AA9/10)*(U3064/1000)/100,1)</f>
        <v/>
      </c>
      <c r="J3070">
        <f>((Inputs!$B$6*(1+Inputs!$B$7/100))+(((Inputs!$B$12*(1+Inputs!$B$13/100))-(Inputs!$B$12*(1+Inputs!$B$13/100)))+0.25*(Inputs!$B$14-Inputs!$B$14))*(1+Inputs!$B$7/100))*(F3070/100)</f>
        <v/>
      </c>
      <c r="K3070">
        <f>J3070*(1+((Inputs!$B$12*(1+Inputs!$B$13/100))*0.01+Inputs!$B$14*0.0025)/100)*(1+Inputs!$B$15/100)*(1+Inputs!$B$16/100)*(5000/(6000+Inputs!$B$43*(1-(100*(1-(1-(Inputs!$B$19+0)/100)*(1-CHOOSE(ArtifactsInput!$N$40+1,5,6,7,8,9,10)/100)^(ArtifactsInput!$M$40-ArtifactsInput!$M$40)))/100)))*(1+(Inputs!$B$24+((C3091=TRUE)*(F3091-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3084=TRUE)*(F3084-Calc!F23))+(((IF(AND(ArtifactsInput!$M$42,((Inputs!$B$9+((C3086=TRUE)*(F3086-Calc!F25))+B3101+(ArtifactsInput!$M$24-ArtifactsInput!$M$24)*CHOOSE(ArtifactsInput!$N$24+1,10,12,14,16,18,20)+IF(ArtifactsInput!$M$10,CHOOSE(ArtifactsInput!$N$10+1,15,18,21,24,27,30)*(IF(Inputs!$B$39="pvp",MIN(15,15)/15,IF(AND(Inputs!$B$39&lt;&gt;"pvp",Inputs!$B$44&gt;0),MIN(15,Inputs!$B$44)/(Inputs!$B$44),0))),0)))&gt;=100),MIN(100,((Inputs!$B$9+((C3086=TRUE)*(F3086-Calc!F25))+B3101+(ArtifactsInput!$M$24-ArtifactsInput!$M$24)*CHOOSE(ArtifactsInput!$N$24+1,10,12,14,16,18,20)+IF(ArtifactsInput!$M$10,CHOOSE(ArtifactsInput!$N$10+1,15,18,21,24,27,30)*(IF(Inputs!$B$39="pvp",MIN(15,15)/15,IF(AND(Inputs!$B$39&lt;&gt;"pvp",Inputs!$B$44&gt;0),MIN(15,Inputs!$B$44)/(Inputs!$B$44),0))),0)))-100),0))*CHOOSE(ArtifactsInput!$N$42+1,0.6,0.72,0.84,0.96,1.08,1.2))),Inputs!$B$18+((C3090=TRUE)*(F3090-Calc!F29))+(IF(AND(ArtifactsInput!$M$42,((Inputs!$B$9+((C3086=TRUE)*(F3086-Calc!F25))+B3101+(ArtifactsInput!$M$24-ArtifactsInput!$M$24)*CHOOSE(ArtifactsInput!$N$24+1,10,12,14,16,18,20)+IF(ArtifactsInput!$M$10,CHOOSE(ArtifactsInput!$N$10+1,15,18,21,24,27,30)*(IF(Inputs!$B$39="pvp",MIN(15,15)/15,IF(AND(Inputs!$B$39&lt;&gt;"pvp",Inputs!$B$44&gt;0),MIN(15,Inputs!$B$44)/(Inputs!$B$44),0))),0)))&gt;=100),CHOOSE(ArtifactsInput!$N$42+1,40,48,56,64,72,80),0))))/100)*(((1+(((C3082=TRUE)*F3082*IF(AND(Inputs!$B$39&lt;&gt;"pvp",Inputs!$B$44&gt;0),(((R3082-1)*(Skills!Y21*(1+Inputs!$B$34/100))+MIN((Skills!Y21*(1+Inputs!$B$34/100)),MAX(0,Inputs!$B$44-((R3082-1)*Skills!D21))))/Inputs!$B$44),IF(Inputs!$B$39="pvp",MIN((Skills!Y21*(1+Inputs!$B$34/100)),15)/15,(Skills!Y21*(1+Inputs!$B$34/100))/Skills!D21)))+((C3089=TRUE)*(F3089-Calc!F28))+((C3079=TRUE)*(F3079-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3076=TRUE)*F3076*IF(AND(Inputs!$B$39&lt;&gt;"pvp",Inputs!$B$44&gt;0),(((R3076-1)*(Skills!Y15*(1+Inputs!$B$34/100))+MIN((Skills!Y15*(1+Inputs!$B$34/100)),MAX(0,Inputs!$B$44-((R3076-1)*Skills!D15))))/Inputs!$B$44),IF(Inputs!$B$39="pvp",MIN((Skills!Y15*(1+Inputs!$B$34/100)),15)/15,(Skills!Y15*(1+Inputs!$B$34/100))/Skills!D15)))/100)*(1+((C3067=TRUE)*F3067*B3095)/100))*B3103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3070)</f>
        <v/>
      </c>
      <c r="L3070">
        <f>K3070*(MIN(Inputs!$B$22+((C3085=TRUE)*(F3085-Calc!F24)),(Inputs!$B$23+0+(IF(ArtifactsInput!$M$15,CHOOSE(ArtifactsInput!$N$15+1,25,30,35,40,45,50)/100*(Inputs!$B$11-Inputs!$B$11),0))))/100+(Inputs!$B$23+0+(IF(ArtifactsInput!$M$15,CHOOSE(ArtifactsInput!$N$15+1,25,30,35,40,45,50)/100*(Inputs!$B$11-Inputs!$B$11),0)))/100)/2</f>
        <v/>
      </c>
      <c r="M3070">
        <f>L3070*(1+(Inputs!$B$10+((C3087=TRUE)*(F3087-Calc!F26))+B3104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70">
        <f>L3070*(1-MIN((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3070*(MIN((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70">
        <f>(1-Summary!$B$11)*T3070+Summary!$B$11*V3070</f>
        <v/>
      </c>
      <c r="P3070">
        <f>IF(B3105=0,0,O3070/B3105)</f>
        <v/>
      </c>
      <c r="Q3070">
        <f>IFERROR(1/IF(Inputs!$B$39="pvp",15,MAX(0.1,Skills!D9-IF(Skills!E9=TRUE,Inputs!$B$32,0))),0)</f>
        <v/>
      </c>
      <c r="R3070">
        <f>IF(AND(Inputs!$B$39&lt;&gt;"pvp",Inputs!$B$44&gt;0),IF(MAX(0,Inputs!$B$44-B3106)&lt;=0,0,(INT(MAX(0,Inputs!$B$44-B3106)/IF(Inputs!$B$39="pvp",15,MAX(0.1,Skills!D9-IF(Skills!E9=TRUE,Inputs!$B$32,0))))+1)),0)</f>
        <v/>
      </c>
      <c r="S3070">
        <f>IFERROR(O3070/N3070,0)</f>
        <v/>
      </c>
      <c r="T3070">
        <f>IF(C3070,(H3070*N3070*IF(AND(Inputs!$B$39&lt;&gt;"pvp",Inputs!$B$44&gt;0),((Skills!G9*((R3070-1)*IF(Skills!H9&gt;0,Skills!I9/Skills!H9,1)+IF(Skills!H9&gt;0,MIN(Skills!I9,MAX(0,MAX(0,Inputs!$B$44-B3106)-((R3070-1)*IF(Inputs!$B$39="pvp",15,MAX(0.1,Skills!D9-IF(Skills!E9=TRUE,Inputs!$B$32,0))))))/Skills!H9,1)))/Inputs!$B$44),G3070*Q3070))*IF(Inputs!$B$39="pvp",1,1+(Inputs!$B$20+((C3088=TRUE)*(F3088-Calc!F27))+Skills!P9+B3102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Hunt"),CHOOSE(ArtifactsInput!$N$35+1,15,18,21,24,27,30)*(1-EXP(-(0.2*B3097)*5)),0)+IF(AND(ArtifactsInput!$M$22,Inputs!$B$4&lt;&gt;"Chapter Hunt"),CHOOSE(ArtifactsInput!$N$22+1,10,12,14,16,18,20)*((0*(((0.15*B3097*5))^0/1)+1*(((0.15*B3097*5))^1/1)+2*(((0.15*B3097*5))^2/2)+3*(((0.15*B3097*5))^3/6)+4*(((0.15*B3097*5))^4/24)+5*(((0.15*B3097*5))^5/120))/((((0.15*B3097*5))^0/1)+(((0.15*B3097*5))^1/1)+(((0.15*B3097*5))^2/2)+(((0.15*B3097*5))^3/6)+(((0.15*B3097*5))^4/24)+(((0.15*B3097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3070*(1-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3070*(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3070*(1-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3070*(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70">
        <f>IF(C3070,(H3070*N3070*IF(AND(Inputs!$B$39&lt;&gt;"pvp",Inputs!$B$44&gt;0),((Skills!G9*((R3070-1)*IF(Skills!H9&gt;0,Skills!I9/Skills!H9,1)+IF(Skills!H9&gt;0,MIN(Skills!I9,MAX(0,MAX(0,Inputs!$B$44-B3106)-((R3070-1)*IF(Inputs!$B$39="pvp",15,MAX(0.1,Skills!D9-IF(Skills!E9=TRUE,Inputs!$B$32,0))))))/Skills!H9,1)))/Inputs!$B$44),G3070*Q3070))*IF(Inputs!$B$39="pvp",1,(1+(Inputs!$B$21+Skills!Q9+B3102+(IF(ArtifactsInput!$M$33,CHOOSE(ArtifactsInput!$N$33+1,30,36,42,48,54,60),0))+(IF(AND(ArtifactsInput!$M$35,Inputs!$B$4&lt;&gt;"Chapter Hunt"),CHOOSE(ArtifactsInput!$N$35+1,15,18,21,24,27,30)*(1-EXP(-(0.2*B3097)*5)),0)+IF(AND(ArtifactsInput!$M$22,Inputs!$B$4&lt;&gt;"Chapter Hunt"),CHOOSE(ArtifactsInput!$N$22+1,10,12,14,16,18,20)*((0*(((0.15*B3097*5))^0/1)+1*(((0.15*B3097*5))^1/1)+2*(((0.15*B3097*5))^2/2)+3*(((0.15*B3097*5))^3/6)+4*(((0.15*B3097*5))^4/24)+5*(((0.15*B3097*5))^5/120))/((((0.15*B3097*5))^0/1)+(((0.15*B3097*5))^1/1)+(((0.15*B3097*5))^2/2)+(((0.15*B3097*5))^3/6)+(((0.15*B3097*5))^4/24)+(((0.15*B3097*5))^5/120))),0)))/100)*(MIN(Skills!W9,Inputs!$B$37)))*((1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71">
      <c r="A3071">
        <f>Skills!A10</f>
        <v/>
      </c>
      <c r="B3071">
        <f>Skills!B10</f>
        <v/>
      </c>
      <c r="C3071">
        <f>Inputs!$B$3&gt;=117</f>
        <v/>
      </c>
      <c r="D3071">
        <f>IF(Skills!C10=1,60+Inputs!$B$25+Inputs!$B$29,IF(Skills!C10=2,90+Inputs!$B$26+Inputs!$B$29,IF(Skills!C10=3,120+Inputs!$B$27+Inputs!$B$29,MAX(0,(Inputs!$B$3-100)*3)+Inputs!$B$28+Inputs!$B$29)))</f>
        <v/>
      </c>
      <c r="E3071">
        <f>INDEX(FactorTable!$B$2:$Y$301, MATCH(ROUND(MIN(300,MAX(1,D3071)),0), FactorTable!$A$2:$A$301,0), Skills!M10+1)</f>
        <v/>
      </c>
      <c r="F3071">
        <f>IF(Skills!N10=TRUE,(Skills!L10/10)*(E3071/1000),Skills!L10/10)+Skills!O10</f>
        <v/>
      </c>
      <c r="G3071">
        <f>Calc!G10</f>
        <v/>
      </c>
      <c r="H3071">
        <f>Calc!H10</f>
        <v/>
      </c>
      <c r="I3071">
        <f>IF(Skills!AA10&lt;&gt;"",1+(Skills!AA10/10)*(U3064/1000)/100,1)</f>
        <v/>
      </c>
      <c r="J3071">
        <f>((Inputs!$B$6*(1+Inputs!$B$7/100))+(((Inputs!$B$12*(1+Inputs!$B$13/100))-(Inputs!$B$12*(1+Inputs!$B$13/100)))+0.25*(Inputs!$B$14-Inputs!$B$14))*(1+Inputs!$B$7/100))*(F3071/100)</f>
        <v/>
      </c>
      <c r="K3071">
        <f>J3071*(1+((Inputs!$B$12*(1+Inputs!$B$13/100))*0.01+Inputs!$B$14*0.0025)/100)*(1+Inputs!$B$15/100)*(1+Inputs!$B$16/100)*(5000/(6000+Inputs!$B$43*(1-(100*(1-(1-(Inputs!$B$19+0)/100)*(1-CHOOSE(ArtifactsInput!$N$40+1,5,6,7,8,9,10)/100)^(ArtifactsInput!$M$40-ArtifactsInput!$M$40)))/100)))*(1+(Inputs!$B$24+((C3091=TRUE)*(F3091-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3084=TRUE)*(F3084-Calc!F23))+(((IF(AND(ArtifactsInput!$M$42,((Inputs!$B$9+((C3086=TRUE)*(F3086-Calc!F25))+B3101+(ArtifactsInput!$M$24-ArtifactsInput!$M$24)*CHOOSE(ArtifactsInput!$N$24+1,10,12,14,16,18,20)+IF(ArtifactsInput!$M$10,CHOOSE(ArtifactsInput!$N$10+1,15,18,21,24,27,30)*(IF(Inputs!$B$39="pvp",MIN(15,15)/15,IF(AND(Inputs!$B$39&lt;&gt;"pvp",Inputs!$B$44&gt;0),MIN(15,Inputs!$B$44)/(Inputs!$B$44),0))),0)))&gt;=100),MIN(100,((Inputs!$B$9+((C3086=TRUE)*(F3086-Calc!F25))+B3101+(ArtifactsInput!$M$24-ArtifactsInput!$M$24)*CHOOSE(ArtifactsInput!$N$24+1,10,12,14,16,18,20)+IF(ArtifactsInput!$M$10,CHOOSE(ArtifactsInput!$N$10+1,15,18,21,24,27,30)*(IF(Inputs!$B$39="pvp",MIN(15,15)/15,IF(AND(Inputs!$B$39&lt;&gt;"pvp",Inputs!$B$44&gt;0),MIN(15,Inputs!$B$44)/(Inputs!$B$44),0))),0)))-100),0))*CHOOSE(ArtifactsInput!$N$42+1,0.6,0.72,0.84,0.96,1.08,1.2))),Inputs!$B$18+((C3090=TRUE)*(F3090-Calc!F29))+(IF(AND(ArtifactsInput!$M$42,((Inputs!$B$9+((C3086=TRUE)*(F3086-Calc!F25))+B3101+(ArtifactsInput!$M$24-ArtifactsInput!$M$24)*CHOOSE(ArtifactsInput!$N$24+1,10,12,14,16,18,20)+IF(ArtifactsInput!$M$10,CHOOSE(ArtifactsInput!$N$10+1,15,18,21,24,27,30)*(IF(Inputs!$B$39="pvp",MIN(15,15)/15,IF(AND(Inputs!$B$39&lt;&gt;"pvp",Inputs!$B$44&gt;0),MIN(15,Inputs!$B$44)/(Inputs!$B$44),0))),0)))&gt;=100),CHOOSE(ArtifactsInput!$N$42+1,40,48,56,64,72,80),0))))/100)*(((1+(((C3082=TRUE)*F3082*IF(AND(Inputs!$B$39&lt;&gt;"pvp",Inputs!$B$44&gt;0),(((R3082-1)*(Skills!Y21*(1+Inputs!$B$34/100))+MIN((Skills!Y21*(1+Inputs!$B$34/100)),MAX(0,Inputs!$B$44-((R3082-1)*Skills!D21))))/Inputs!$B$44),IF(Inputs!$B$39="pvp",MIN((Skills!Y21*(1+Inputs!$B$34/100)),15)/15,(Skills!Y21*(1+Inputs!$B$34/100))/Skills!D21)))+((C3089=TRUE)*(F3089-Calc!F28))+((C3079=TRUE)*(F3079-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3076=TRUE)*F3076*IF(AND(Inputs!$B$39&lt;&gt;"pvp",Inputs!$B$44&gt;0),(((R3076-1)*(Skills!Y15*(1+Inputs!$B$34/100))+MIN((Skills!Y15*(1+Inputs!$B$34/100)),MAX(0,Inputs!$B$44-((R3076-1)*Skills!D15))))/Inputs!$B$44),IF(Inputs!$B$39="pvp",MIN((Skills!Y15*(1+Inputs!$B$34/100)),15)/15,(Skills!Y15*(1+Inputs!$B$34/100))/Skills!D15)))/100)*(1+((C3067=TRUE)*F3067*B3095)/100))*B3103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3071)</f>
        <v/>
      </c>
      <c r="L3071">
        <f>K3071*(MIN(Inputs!$B$22+((C3085=TRUE)*(F3085-Calc!F24)),(Inputs!$B$23+0+(IF(ArtifactsInput!$M$15,CHOOSE(ArtifactsInput!$N$15+1,25,30,35,40,45,50)/100*(Inputs!$B$11-Inputs!$B$11),0))))/100+(Inputs!$B$23+0+(IF(ArtifactsInput!$M$15,CHOOSE(ArtifactsInput!$N$15+1,25,30,35,40,45,50)/100*(Inputs!$B$11-Inputs!$B$11),0)))/100)/2</f>
        <v/>
      </c>
      <c r="M3071">
        <f>L3071*(1+(Inputs!$B$10+((C3087=TRUE)*(F3087-Calc!F26))+B3104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71">
        <f>L3071*(1-MIN((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3071*(MIN((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71">
        <f>(1-Summary!$B$11)*T3071+Summary!$B$11*V3071</f>
        <v/>
      </c>
      <c r="P3071">
        <f>IF(B3105=0,0,O3071/B3105)</f>
        <v/>
      </c>
      <c r="Q3071" t="n">
        <v>0</v>
      </c>
      <c r="R3071" t="n">
        <v>0</v>
      </c>
      <c r="S3071" t="n">
        <v>0</v>
      </c>
      <c r="T3071">
        <f>IF(C3071,(0.2*SUMPRODUCT((Skills!Z2:Z31=TRUE)*(C3063:C3092=TRUE)*S3063:S3092)*N3071)*IF(Inputs!$B$39="pvp",1,1+(Inputs!$B$20+((C3088=TRUE)*(F3088-Calc!F27))+Skills!P10+B3102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Hunt"),CHOOSE(ArtifactsInput!$N$35+1,15,18,21,24,27,30)*(1-EXP(-(0.2*B3097)*5)),0)+IF(AND(ArtifactsInput!$M$22,Inputs!$B$4&lt;&gt;"Chapter Hunt"),CHOOSE(ArtifactsInput!$N$22+1,10,12,14,16,18,20)*((0*(((0.15*B3097*5))^0/1)+1*(((0.15*B3097*5))^1/1)+2*(((0.15*B3097*5))^2/2)+3*(((0.15*B3097*5))^3/6)+4*(((0.15*B3097*5))^4/24)+5*(((0.15*B3097*5))^5/120))/((((0.15*B3097*5))^0/1)+(((0.15*B3097*5))^1/1)+(((0.15*B3097*5))^2/2)+(((0.15*B3097*5))^3/6)+(((0.15*B3097*5))^4/24)+(((0.15*B3097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3071*(1-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3071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3071*(1-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3071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71">
        <f>IF(C3071,(0.2*SUMPRODUCT((Skills!Z2:Z31=TRUE)*(C3063:C3092=TRUE)*S3063:S3092)*N3071)*IF(Inputs!$B$39="pvp",1,(1+(Inputs!$B$21+Skills!Q10+B3102+(IF(ArtifactsInput!$M$33,CHOOSE(ArtifactsInput!$N$33+1,30,36,42,48,54,60),0))+(IF(AND(ArtifactsInput!$M$35,Inputs!$B$4&lt;&gt;"Chapter Hunt"),CHOOSE(ArtifactsInput!$N$35+1,15,18,21,24,27,30)*(1-EXP(-(0.2*B3097)*5)),0)+IF(AND(ArtifactsInput!$M$22,Inputs!$B$4&lt;&gt;"Chapter Hunt"),CHOOSE(ArtifactsInput!$N$22+1,10,12,14,16,18,20)*((0*(((0.15*B3097*5))^0/1)+1*(((0.15*B3097*5))^1/1)+2*(((0.15*B3097*5))^2/2)+3*(((0.15*B3097*5))^3/6)+4*(((0.15*B3097*5))^4/24)+5*(((0.15*B3097*5))^5/120))/((((0.15*B3097*5))^0/1)+(((0.15*B3097*5))^1/1)+(((0.15*B3097*5))^2/2)+(((0.15*B3097*5))^3/6)+(((0.15*B3097*5))^4/24)+(((0.15*B3097*5))^5/120))),0)))/100)*(MIN(Skills!W10,Inputs!$B$37)))*((1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72">
      <c r="A3072">
        <f>Skills!A11</f>
        <v/>
      </c>
      <c r="B3072">
        <f>Skills!B11</f>
        <v/>
      </c>
      <c r="C3072">
        <f>Inputs!$B$3&gt;=60</f>
        <v/>
      </c>
      <c r="D3072">
        <f>IF(Skills!C11=1,60+Inputs!$B$25+Inputs!$B$29,IF(Skills!C11=2,90+Inputs!$B$26+Inputs!$B$29,IF(Skills!C11=3,120+Inputs!$B$27+Inputs!$B$29,MAX(0,(Inputs!$B$3-100)*3)+Inputs!$B$28+Inputs!$B$29)))</f>
        <v/>
      </c>
      <c r="E3072">
        <f>INDEX(FactorTable!$B$2:$Y$301, MATCH(ROUND(MIN(300,MAX(1,D3072)),0), FactorTable!$A$2:$A$301,0), Skills!M11+1)</f>
        <v/>
      </c>
      <c r="F3072">
        <f>IF(Skills!N11=TRUE,(Skills!L11/10)*(E3072/1000),Skills!L11/10)+Skills!O11</f>
        <v/>
      </c>
      <c r="G3072">
        <f>Calc!G11</f>
        <v/>
      </c>
      <c r="H3072">
        <f>Calc!H11</f>
        <v/>
      </c>
      <c r="I3072">
        <f>IF(Skills!AA11&lt;&gt;"",1+(Skills!AA11/10)*(U3064/1000)/100,1)</f>
        <v/>
      </c>
      <c r="J3072" t="inlineStr"/>
      <c r="K3072" t="inlineStr"/>
      <c r="L3072" t="inlineStr"/>
      <c r="M3072" t="inlineStr"/>
      <c r="N3072" t="inlineStr"/>
      <c r="O3072">
        <f>(1-Summary!$B$11)*T3072+Summary!$B$11*V3072</f>
        <v/>
      </c>
      <c r="P3072">
        <f>IF(B3105=0,0,O3072/B3105)</f>
        <v/>
      </c>
      <c r="Q3072" t="n">
        <v>0</v>
      </c>
      <c r="R3072" t="n">
        <v>0</v>
      </c>
      <c r="S3072">
        <f>IFERROR(O3072/N3072,0)</f>
        <v/>
      </c>
      <c r="T3072" t="n">
        <v>0</v>
      </c>
      <c r="V3072" t="n">
        <v>0</v>
      </c>
    </row>
    <row r="3073">
      <c r="A3073">
        <f>Skills!A12</f>
        <v/>
      </c>
      <c r="B3073">
        <f>Skills!B12</f>
        <v/>
      </c>
      <c r="C3073">
        <f>Inputs!$B$3&gt;=103</f>
        <v/>
      </c>
      <c r="D3073">
        <f>IF(Skills!C12=1,60+Inputs!$B$25+Inputs!$B$29,IF(Skills!C12=2,90+Inputs!$B$26+Inputs!$B$29,IF(Skills!C12=3,120+Inputs!$B$27+Inputs!$B$29,MAX(0,(Inputs!$B$3-100)*3)+Inputs!$B$28+Inputs!$B$29)))</f>
        <v/>
      </c>
      <c r="E3073">
        <f>INDEX(FactorTable!$B$2:$Y$301, MATCH(ROUND(MIN(300,MAX(1,D3073)),0), FactorTable!$A$2:$A$301,0), Skills!M12+1)</f>
        <v/>
      </c>
      <c r="F3073">
        <f>IF(Skills!N12=TRUE,(Skills!L12/10)*(E3073/1000),Skills!L12/10)+Skills!O12</f>
        <v/>
      </c>
      <c r="G3073">
        <f>Calc!G12</f>
        <v/>
      </c>
      <c r="H3073">
        <f>Calc!H12</f>
        <v/>
      </c>
      <c r="I3073">
        <f>IF(Skills!AA12&lt;&gt;"",1+(Skills!AA12/10)*(U3064/1000)/100,1)</f>
        <v/>
      </c>
      <c r="J3073">
        <f>((Inputs!$B$6*(1+Inputs!$B$7/100))+(((Inputs!$B$12*(1+Inputs!$B$13/100))-(Inputs!$B$12*(1+Inputs!$B$13/100)))+0.25*(Inputs!$B$14-Inputs!$B$14))*(1+Inputs!$B$7/100))*(F3073/100)</f>
        <v/>
      </c>
      <c r="K3073">
        <f>J3073*(1+((Inputs!$B$12*(1+Inputs!$B$13/100))*0.01+Inputs!$B$14*0.0025)/100)*(1+Inputs!$B$15/100)*(1+Inputs!$B$16/100)*(5000/(6000+Inputs!$B$43*(1-(100*(1-(1-(Inputs!$B$19+0)/100)*(1-CHOOSE(ArtifactsInput!$N$40+1,5,6,7,8,9,10)/100)^(ArtifactsInput!$M$40-ArtifactsInput!$M$40)))/100)))*(1+(Inputs!$B$24+((C3091=TRUE)*(F3091-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3084=TRUE)*(F3084-Calc!F23))+(((IF(AND(ArtifactsInput!$M$42,((Inputs!$B$9+((C3086=TRUE)*(F3086-Calc!F25))+B3101+(ArtifactsInput!$M$24-ArtifactsInput!$M$24)*CHOOSE(ArtifactsInput!$N$24+1,10,12,14,16,18,20)+IF(ArtifactsInput!$M$10,CHOOSE(ArtifactsInput!$N$10+1,15,18,21,24,27,30)*(IF(Inputs!$B$39="pvp",MIN(15,15)/15,IF(AND(Inputs!$B$39&lt;&gt;"pvp",Inputs!$B$44&gt;0),MIN(15,Inputs!$B$44)/(Inputs!$B$44),0))),0)))&gt;=100),MIN(100,((Inputs!$B$9+((C3086=TRUE)*(F3086-Calc!F25))+B3101+(ArtifactsInput!$M$24-ArtifactsInput!$M$24)*CHOOSE(ArtifactsInput!$N$24+1,10,12,14,16,18,20)+IF(ArtifactsInput!$M$10,CHOOSE(ArtifactsInput!$N$10+1,15,18,21,24,27,30)*(IF(Inputs!$B$39="pvp",MIN(15,15)/15,IF(AND(Inputs!$B$39&lt;&gt;"pvp",Inputs!$B$44&gt;0),MIN(15,Inputs!$B$44)/(Inputs!$B$44),0))),0)))-100),0))*CHOOSE(ArtifactsInput!$N$42+1,0.6,0.72,0.84,0.96,1.08,1.2))),Inputs!$B$18+((C3090=TRUE)*(F3090-Calc!F29))+(IF(AND(ArtifactsInput!$M$42,((Inputs!$B$9+((C3086=TRUE)*(F3086-Calc!F25))+B3101+(ArtifactsInput!$M$24-ArtifactsInput!$M$24)*CHOOSE(ArtifactsInput!$N$24+1,10,12,14,16,18,20)+IF(ArtifactsInput!$M$10,CHOOSE(ArtifactsInput!$N$10+1,15,18,21,24,27,30)*(IF(Inputs!$B$39="pvp",MIN(15,15)/15,IF(AND(Inputs!$B$39&lt;&gt;"pvp",Inputs!$B$44&gt;0),MIN(15,Inputs!$B$44)/(Inputs!$B$44),0))),0)))&gt;=100),CHOOSE(ArtifactsInput!$N$42+1,40,48,56,64,72,80),0))))/100)*(((1+(((C3082=TRUE)*F3082*IF(AND(Inputs!$B$39&lt;&gt;"pvp",Inputs!$B$44&gt;0),(((R3082-1)*(Skills!Y21*(1+Inputs!$B$34/100))+MIN((Skills!Y21*(1+Inputs!$B$34/100)),MAX(0,Inputs!$B$44-((R3082-1)*Skills!D21))))/Inputs!$B$44),IF(Inputs!$B$39="pvp",MIN((Skills!Y21*(1+Inputs!$B$34/100)),15)/15,(Skills!Y21*(1+Inputs!$B$34/100))/Skills!D21)))+((C3089=TRUE)*(F3089-Calc!F28))+((C3079=TRUE)*(F3079-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3076=TRUE)*F3076*IF(AND(Inputs!$B$39&lt;&gt;"pvp",Inputs!$B$44&gt;0),(((R3076-1)*(Skills!Y15*(1+Inputs!$B$34/100))+MIN((Skills!Y15*(1+Inputs!$B$34/100)),MAX(0,Inputs!$B$44-((R3076-1)*Skills!D15))))/Inputs!$B$44),IF(Inputs!$B$39="pvp",MIN((Skills!Y15*(1+Inputs!$B$34/100)),15)/15,(Skills!Y15*(1+Inputs!$B$34/100))/Skills!D15)))/100)*(1+((C3067=TRUE)*F3067*B3095)/100))*B3103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3073)</f>
        <v/>
      </c>
      <c r="L3073">
        <f>K3073*(MIN(Inputs!$B$22+((C3085=TRUE)*(F3085-Calc!F24)),(Inputs!$B$23+0+(IF(ArtifactsInput!$M$15,CHOOSE(ArtifactsInput!$N$15+1,25,30,35,40,45,50)/100*(Inputs!$B$11-Inputs!$B$11),0))))/100+(Inputs!$B$23+0+(IF(ArtifactsInput!$M$15,CHOOSE(ArtifactsInput!$N$15+1,25,30,35,40,45,50)/100*(Inputs!$B$11-Inputs!$B$11),0)))/100)/2</f>
        <v/>
      </c>
      <c r="M3073">
        <f>L3073*(1+(Inputs!$B$10+((C3087=TRUE)*(F3087-Calc!F26))+B3104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73">
        <f>L3073*(1-MIN((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3073*(MIN((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73">
        <f>(1-Summary!$B$11)*T3073+Summary!$B$11*V3073</f>
        <v/>
      </c>
      <c r="P3073">
        <f>IF(B3105=0,0,O3073/B3105)</f>
        <v/>
      </c>
      <c r="Q3073">
        <f>IFERROR(1/IF(Inputs!$B$39="pvp",15,MAX(0.1,Skills!D12-IF(Skills!E12=TRUE,Inputs!$B$32,0))),0)</f>
        <v/>
      </c>
      <c r="R3073">
        <f>IF(AND(Inputs!$B$39&lt;&gt;"pvp",Inputs!$B$44&gt;0),IF(MAX(0,Inputs!$B$44-B3106)&lt;=0,0,(INT(MAX(0,Inputs!$B$44-B3106)/IF(Inputs!$B$39="pvp",15,MAX(0.1,Skills!D12-IF(Skills!E12=TRUE,Inputs!$B$32,0))))+1)),0)</f>
        <v/>
      </c>
      <c r="S3073">
        <f>IFERROR(O3073/N3073,0)</f>
        <v/>
      </c>
      <c r="T3073">
        <f>IF(C3073,(H3073*N3073*IF(AND(Inputs!$B$39&lt;&gt;"pvp",Inputs!$B$44&gt;0),((Skills!G12*((R3073-1)*IF(Skills!H12&gt;0,Skills!I12/Skills!H12,1)+IF(Skills!H12&gt;0,MIN(Skills!I12,MAX(0,MAX(0,Inputs!$B$44-B3106)-((R3073-1)*IF(Inputs!$B$39="pvp",15,MAX(0.1,Skills!D12-IF(Skills!E12=TRUE,Inputs!$B$32,0))))))/Skills!H12,1)))/Inputs!$B$44),G3073*Q3073))*IF(Inputs!$B$39="pvp",1,1+(Inputs!$B$20+((C3088=TRUE)*(F3088-Calc!F27))+Skills!P12+B3102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Hunt"),CHOOSE(ArtifactsInput!$N$35+1,15,18,21,24,27,30)*(1-EXP(-(0.2*B3097)*5)),0)+IF(AND(ArtifactsInput!$M$22,Inputs!$B$4&lt;&gt;"Chapter Hunt"),CHOOSE(ArtifactsInput!$N$22+1,10,12,14,16,18,20)*((0*(((0.15*B3097*5))^0/1)+1*(((0.15*B3097*5))^1/1)+2*(((0.15*B3097*5))^2/2)+3*(((0.15*B3097*5))^3/6)+4*(((0.15*B3097*5))^4/24)+5*(((0.15*B3097*5))^5/120))/((((0.15*B3097*5))^0/1)+(((0.15*B3097*5))^1/1)+(((0.15*B3097*5))^2/2)+(((0.15*B3097*5))^3/6)+(((0.15*B3097*5))^4/24)+(((0.15*B3097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3073*(1-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3073*(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3073*(1-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3073*(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73">
        <f>IF(C3073,(H3073*N3073*IF(AND(Inputs!$B$39&lt;&gt;"pvp",Inputs!$B$44&gt;0),((Skills!G12*((R3073-1)*IF(Skills!H12&gt;0,Skills!I12/Skills!H12,1)+IF(Skills!H12&gt;0,MIN(Skills!I12,MAX(0,MAX(0,Inputs!$B$44-B3106)-((R3073-1)*IF(Inputs!$B$39="pvp",15,MAX(0.1,Skills!D12-IF(Skills!E12=TRUE,Inputs!$B$32,0))))))/Skills!H12,1)))/Inputs!$B$44),G3073*Q3073))*IF(Inputs!$B$39="pvp",1,(1+(Inputs!$B$21+Skills!Q12+B3102+(IF(ArtifactsInput!$M$33,CHOOSE(ArtifactsInput!$N$33+1,30,36,42,48,54,60),0))+(IF(AND(ArtifactsInput!$M$35,Inputs!$B$4&lt;&gt;"Chapter Hunt"),CHOOSE(ArtifactsInput!$N$35+1,15,18,21,24,27,30)*(1-EXP(-(0.2*B3097)*5)),0)+IF(AND(ArtifactsInput!$M$22,Inputs!$B$4&lt;&gt;"Chapter Hunt"),CHOOSE(ArtifactsInput!$N$22+1,10,12,14,16,18,20)*((0*(((0.15*B3097*5))^0/1)+1*(((0.15*B3097*5))^1/1)+2*(((0.15*B3097*5))^2/2)+3*(((0.15*B3097*5))^3/6)+4*(((0.15*B3097*5))^4/24)+5*(((0.15*B3097*5))^5/120))/((((0.15*B3097*5))^0/1)+(((0.15*B3097*5))^1/1)+(((0.15*B3097*5))^2/2)+(((0.15*B3097*5))^3/6)+(((0.15*B3097*5))^4/24)+(((0.15*B3097*5))^5/120))),0)))/100)*(MIN(Skills!W12,Inputs!$B$37)))*((1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74">
      <c r="A3074">
        <f>Skills!A13</f>
        <v/>
      </c>
      <c r="B3074">
        <f>Skills!B13</f>
        <v/>
      </c>
      <c r="C3074">
        <f>Inputs!$B$3&gt;=105</f>
        <v/>
      </c>
      <c r="D3074">
        <f>IF(Skills!C13=1,60+Inputs!$B$25+Inputs!$B$29,IF(Skills!C13=2,90+Inputs!$B$26+Inputs!$B$29,IF(Skills!C13=3,120+Inputs!$B$27+Inputs!$B$29,MAX(0,(Inputs!$B$3-100)*3)+Inputs!$B$28+Inputs!$B$29)))</f>
        <v/>
      </c>
      <c r="E3074">
        <f>INDEX(FactorTable!$B$2:$Y$301, MATCH(ROUND(MIN(300,MAX(1,D3074)),0), FactorTable!$A$2:$A$301,0), Skills!M13+1)</f>
        <v/>
      </c>
      <c r="F3074">
        <f>IF(Skills!N13=TRUE,(Skills!L13/10)*(E3074/1000),Skills!L13/10)+Skills!O13</f>
        <v/>
      </c>
      <c r="G3074">
        <f>Calc!G13</f>
        <v/>
      </c>
      <c r="H3074">
        <f>Calc!H13</f>
        <v/>
      </c>
      <c r="I3074">
        <f>IF(Skills!AA13&lt;&gt;"",1+(Skills!AA13/10)*(U3064/1000)/100,1)</f>
        <v/>
      </c>
      <c r="J3074">
        <f>((Inputs!$B$6*(1+Inputs!$B$7/100))+(((Inputs!$B$12*(1+Inputs!$B$13/100))-(Inputs!$B$12*(1+Inputs!$B$13/100)))+0.25*(Inputs!$B$14-Inputs!$B$14))*(1+Inputs!$B$7/100))*(F3074/100)</f>
        <v/>
      </c>
      <c r="K3074">
        <f>J3074*(1+((Inputs!$B$12*(1+Inputs!$B$13/100))*0.01+Inputs!$B$14*0.0025)/100)*(1+Inputs!$B$15/100)*(1+Inputs!$B$16/100)*(5000/(6000+Inputs!$B$43*(1-(100*(1-(1-(Inputs!$B$19+0)/100)*(1-CHOOSE(ArtifactsInput!$N$40+1,5,6,7,8,9,10)/100)^(ArtifactsInput!$M$40-ArtifactsInput!$M$40)))/100)))*(1+(Inputs!$B$24+((C3091=TRUE)*(F3091-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3084=TRUE)*(F3084-Calc!F23))+(((IF(AND(ArtifactsInput!$M$42,((Inputs!$B$9+((C3086=TRUE)*(F3086-Calc!F25))+B3101+(ArtifactsInput!$M$24-ArtifactsInput!$M$24)*CHOOSE(ArtifactsInput!$N$24+1,10,12,14,16,18,20)+IF(ArtifactsInput!$M$10,CHOOSE(ArtifactsInput!$N$10+1,15,18,21,24,27,30)*(IF(Inputs!$B$39="pvp",MIN(15,15)/15,IF(AND(Inputs!$B$39&lt;&gt;"pvp",Inputs!$B$44&gt;0),MIN(15,Inputs!$B$44)/(Inputs!$B$44),0))),0)))&gt;=100),MIN(100,((Inputs!$B$9+((C3086=TRUE)*(F3086-Calc!F25))+B3101+(ArtifactsInput!$M$24-ArtifactsInput!$M$24)*CHOOSE(ArtifactsInput!$N$24+1,10,12,14,16,18,20)+IF(ArtifactsInput!$M$10,CHOOSE(ArtifactsInput!$N$10+1,15,18,21,24,27,30)*(IF(Inputs!$B$39="pvp",MIN(15,15)/15,IF(AND(Inputs!$B$39&lt;&gt;"pvp",Inputs!$B$44&gt;0),MIN(15,Inputs!$B$44)/(Inputs!$B$44),0))),0)))-100),0))*CHOOSE(ArtifactsInput!$N$42+1,0.6,0.72,0.84,0.96,1.08,1.2))),Inputs!$B$18+((C3090=TRUE)*(F3090-Calc!F29))+(IF(AND(ArtifactsInput!$M$42,((Inputs!$B$9+((C3086=TRUE)*(F3086-Calc!F25))+B3101+(ArtifactsInput!$M$24-ArtifactsInput!$M$24)*CHOOSE(ArtifactsInput!$N$24+1,10,12,14,16,18,20)+IF(ArtifactsInput!$M$10,CHOOSE(ArtifactsInput!$N$10+1,15,18,21,24,27,30)*(IF(Inputs!$B$39="pvp",MIN(15,15)/15,IF(AND(Inputs!$B$39&lt;&gt;"pvp",Inputs!$B$44&gt;0),MIN(15,Inputs!$B$44)/(Inputs!$B$44),0))),0)))&gt;=100),CHOOSE(ArtifactsInput!$N$42+1,40,48,56,64,72,80),0))))/100)*(((1+(((C3082=TRUE)*F3082*IF(AND(Inputs!$B$39&lt;&gt;"pvp",Inputs!$B$44&gt;0),(((R3082-1)*(Skills!Y21*(1+Inputs!$B$34/100))+MIN((Skills!Y21*(1+Inputs!$B$34/100)),MAX(0,Inputs!$B$44-((R3082-1)*Skills!D21))))/Inputs!$B$44),IF(Inputs!$B$39="pvp",MIN((Skills!Y21*(1+Inputs!$B$34/100)),15)/15,(Skills!Y21*(1+Inputs!$B$34/100))/Skills!D21)))+((C3089=TRUE)*(F3089-Calc!F28))+((C3079=TRUE)*(F3079-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3076=TRUE)*F3076*IF(AND(Inputs!$B$39&lt;&gt;"pvp",Inputs!$B$44&gt;0),(((R3076-1)*(Skills!Y15*(1+Inputs!$B$34/100))+MIN((Skills!Y15*(1+Inputs!$B$34/100)),MAX(0,Inputs!$B$44-((R3076-1)*Skills!D15))))/Inputs!$B$44),IF(Inputs!$B$39="pvp",MIN((Skills!Y15*(1+Inputs!$B$34/100)),15)/15,(Skills!Y15*(1+Inputs!$B$34/100))/Skills!D15)))/100)*(1+((C3067=TRUE)*F3067*B3095)/100))*B3103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3074)</f>
        <v/>
      </c>
      <c r="L3074">
        <f>K3074*(MIN(Inputs!$B$22+((C3085=TRUE)*(F3085-Calc!F24)),(Inputs!$B$23+0+(IF(ArtifactsInput!$M$15,CHOOSE(ArtifactsInput!$N$15+1,25,30,35,40,45,50)/100*(Inputs!$B$11-Inputs!$B$11),0))))/100+(Inputs!$B$23+0+(IF(ArtifactsInput!$M$15,CHOOSE(ArtifactsInput!$N$15+1,25,30,35,40,45,50)/100*(Inputs!$B$11-Inputs!$B$11),0)))/100)/2</f>
        <v/>
      </c>
      <c r="M3074">
        <f>L3074*(1+(Inputs!$B$10+((C3087=TRUE)*(F3087-Calc!F26))+B3104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74">
        <f>L3074*(1-MIN((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3074*(MIN((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74">
        <f>(1-Summary!$B$11)*T3074+Summary!$B$11*V3074</f>
        <v/>
      </c>
      <c r="P3074">
        <f>IF(B3105=0,0,O3074/B3105)</f>
        <v/>
      </c>
      <c r="Q3074">
        <f>IFERROR(1/IF(Inputs!$B$39="pvp",15,MAX(0.1,Skills!D13-IF(Skills!E13=TRUE,Inputs!$B$32,0))),0)</f>
        <v/>
      </c>
      <c r="R3074">
        <f>IF(AND(Inputs!$B$39&lt;&gt;"pvp",Inputs!$B$44&gt;0),IF(MAX(0,Inputs!$B$44-B3106)&lt;=0,0,(INT(MAX(0,Inputs!$B$44-B3106)/IF(Inputs!$B$39="pvp",15,MAX(0.1,Skills!D13-IF(Skills!E13=TRUE,Inputs!$B$32,0))))+1)),0)</f>
        <v/>
      </c>
      <c r="S3074">
        <f>IFERROR(O3074/N3074,0)</f>
        <v/>
      </c>
      <c r="T3074">
        <f>IF(C3074,(H3074*N3074*IF(AND(Inputs!$B$39&lt;&gt;"pvp",Inputs!$B$44&gt;0),((Skills!G13*((R3074-1)*IF(Skills!H13&gt;0,Skills!I13/Skills!H13,1)+IF(Skills!H13&gt;0,MIN(Skills!I13,MAX(0,MAX(0,Inputs!$B$44-B3106)-((R3074-1)*IF(Inputs!$B$39="pvp",15,MAX(0.1,Skills!D13-IF(Skills!E13=TRUE,Inputs!$B$32,0))))))/Skills!H13,1)))/Inputs!$B$44),G3074*Q3074))*IF(Inputs!$B$39="pvp",1,1+(Inputs!$B$20+((C3088=TRUE)*(F3088-Calc!F27))+Skills!P13+B3102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Hunt"),CHOOSE(ArtifactsInput!$N$35+1,15,18,21,24,27,30)*(1-EXP(-(0.2*B3097)*5)),0)+IF(AND(ArtifactsInput!$M$22,Inputs!$B$4&lt;&gt;"Chapter Hunt"),CHOOSE(ArtifactsInput!$N$22+1,10,12,14,16,18,20)*((0*(((0.15*B3097*5))^0/1)+1*(((0.15*B3097*5))^1/1)+2*(((0.15*B3097*5))^2/2)+3*(((0.15*B3097*5))^3/6)+4*(((0.15*B3097*5))^4/24)+5*(((0.15*B3097*5))^5/120))/((((0.15*B3097*5))^0/1)+(((0.15*B3097*5))^1/1)+(((0.15*B3097*5))^2/2)+(((0.15*B3097*5))^3/6)+(((0.15*B3097*5))^4/24)+(((0.15*B3097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3074*(1-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3074*(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3074*(1-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3074*(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74">
        <f>IF(C3074,(H3074*N3074*IF(AND(Inputs!$B$39&lt;&gt;"pvp",Inputs!$B$44&gt;0),((Skills!G13*((R3074-1)*IF(Skills!H13&gt;0,Skills!I13/Skills!H13,1)+IF(Skills!H13&gt;0,MIN(Skills!I13,MAX(0,MAX(0,Inputs!$B$44-B3106)-((R3074-1)*IF(Inputs!$B$39="pvp",15,MAX(0.1,Skills!D13-IF(Skills!E13=TRUE,Inputs!$B$32,0))))))/Skills!H13,1)))/Inputs!$B$44),G3074*Q3074))*IF(Inputs!$B$39="pvp",1,(1+(Inputs!$B$21+Skills!Q13+B3102+(IF(ArtifactsInput!$M$33,CHOOSE(ArtifactsInput!$N$33+1,30,36,42,48,54,60),0))+(IF(AND(ArtifactsInput!$M$35,Inputs!$B$4&lt;&gt;"Chapter Hunt"),CHOOSE(ArtifactsInput!$N$35+1,15,18,21,24,27,30)*(1-EXP(-(0.2*B3097)*5)),0)+IF(AND(ArtifactsInput!$M$22,Inputs!$B$4&lt;&gt;"Chapter Hunt"),CHOOSE(ArtifactsInput!$N$22+1,10,12,14,16,18,20)*((0*(((0.15*B3097*5))^0/1)+1*(((0.15*B3097*5))^1/1)+2*(((0.15*B3097*5))^2/2)+3*(((0.15*B3097*5))^3/6)+4*(((0.15*B3097*5))^4/24)+5*(((0.15*B3097*5))^5/120))/((((0.15*B3097*5))^0/1)+(((0.15*B3097*5))^1/1)+(((0.15*B3097*5))^2/2)+(((0.15*B3097*5))^3/6)+(((0.15*B3097*5))^4/24)+(((0.15*B3097*5))^5/120))),0)))/100)*(MIN(Skills!W13,Inputs!$B$37)))*((1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75">
      <c r="A3075">
        <f>Skills!A14</f>
        <v/>
      </c>
      <c r="B3075">
        <f>Skills!B14</f>
        <v/>
      </c>
      <c r="C3075">
        <f>Inputs!$B$3&gt;=105</f>
        <v/>
      </c>
      <c r="D3075">
        <f>IF(Skills!C14=1,60+Inputs!$B$25+Inputs!$B$29,IF(Skills!C14=2,90+Inputs!$B$26+Inputs!$B$29,IF(Skills!C14=3,120+Inputs!$B$27+Inputs!$B$29,MAX(0,(Inputs!$B$3-100)*3)+Inputs!$B$28+Inputs!$B$29)))</f>
        <v/>
      </c>
      <c r="E3075">
        <f>INDEX(FactorTable!$B$2:$Y$301, MATCH(ROUND(MIN(300,MAX(1,D3075)),0), FactorTable!$A$2:$A$301,0), Skills!M14+1)</f>
        <v/>
      </c>
      <c r="F3075">
        <f>IF(Skills!N14=TRUE,(Skills!L14/10)*(E3075/1000),Skills!L14/10)+Skills!O14</f>
        <v/>
      </c>
      <c r="G3075">
        <f>Calc!G14</f>
        <v/>
      </c>
      <c r="H3075">
        <f>Calc!H14</f>
        <v/>
      </c>
      <c r="I3075">
        <f>IF(Skills!AA14&lt;&gt;"",1+(Skills!AA14/10)*(U3064/1000)/100,1)</f>
        <v/>
      </c>
      <c r="J3075">
        <f>((Inputs!$B$6*(1+Inputs!$B$7/100))+(((Inputs!$B$12*(1+Inputs!$B$13/100))-(Inputs!$B$12*(1+Inputs!$B$13/100)))+0.25*(Inputs!$B$14-Inputs!$B$14))*(1+Inputs!$B$7/100))*(F3075/100)</f>
        <v/>
      </c>
      <c r="K3075">
        <f>J3075*(1+((Inputs!$B$12*(1+Inputs!$B$13/100))*0.01+Inputs!$B$14*0.0025)/100)*(1+Inputs!$B$15/100)*(1+Inputs!$B$16/100)*(5000/(6000+Inputs!$B$43*(1-(100*(1-(1-(Inputs!$B$19+0)/100)*(1-CHOOSE(ArtifactsInput!$N$40+1,5,6,7,8,9,10)/100)^(ArtifactsInput!$M$40-ArtifactsInput!$M$40)))/100)))*(1+(Inputs!$B$24+((C3091=TRUE)*(F3091-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3084=TRUE)*(F3084-Calc!F23))+(((IF(AND(ArtifactsInput!$M$42,((Inputs!$B$9+((C3086=TRUE)*(F3086-Calc!F25))+B3101+(ArtifactsInput!$M$24-ArtifactsInput!$M$24)*CHOOSE(ArtifactsInput!$N$24+1,10,12,14,16,18,20)+IF(ArtifactsInput!$M$10,CHOOSE(ArtifactsInput!$N$10+1,15,18,21,24,27,30)*(IF(Inputs!$B$39="pvp",MIN(15,15)/15,IF(AND(Inputs!$B$39&lt;&gt;"pvp",Inputs!$B$44&gt;0),MIN(15,Inputs!$B$44)/(Inputs!$B$44),0))),0)))&gt;=100),MIN(100,((Inputs!$B$9+((C3086=TRUE)*(F3086-Calc!F25))+B3101+(ArtifactsInput!$M$24-ArtifactsInput!$M$24)*CHOOSE(ArtifactsInput!$N$24+1,10,12,14,16,18,20)+IF(ArtifactsInput!$M$10,CHOOSE(ArtifactsInput!$N$10+1,15,18,21,24,27,30)*(IF(Inputs!$B$39="pvp",MIN(15,15)/15,IF(AND(Inputs!$B$39&lt;&gt;"pvp",Inputs!$B$44&gt;0),MIN(15,Inputs!$B$44)/(Inputs!$B$44),0))),0)))-100),0))*CHOOSE(ArtifactsInput!$N$42+1,0.6,0.72,0.84,0.96,1.08,1.2))),Inputs!$B$18+((C3090=TRUE)*(F3090-Calc!F29))+(IF(AND(ArtifactsInput!$M$42,((Inputs!$B$9+((C3086=TRUE)*(F3086-Calc!F25))+B3101+(ArtifactsInput!$M$24-ArtifactsInput!$M$24)*CHOOSE(ArtifactsInput!$N$24+1,10,12,14,16,18,20)+IF(ArtifactsInput!$M$10,CHOOSE(ArtifactsInput!$N$10+1,15,18,21,24,27,30)*(IF(Inputs!$B$39="pvp",MIN(15,15)/15,IF(AND(Inputs!$B$39&lt;&gt;"pvp",Inputs!$B$44&gt;0),MIN(15,Inputs!$B$44)/(Inputs!$B$44),0))),0)))&gt;=100),CHOOSE(ArtifactsInput!$N$42+1,40,48,56,64,72,80),0))))/100)*(((1+(((C3082=TRUE)*F3082*IF(AND(Inputs!$B$39&lt;&gt;"pvp",Inputs!$B$44&gt;0),(((R3082-1)*(Skills!Y21*(1+Inputs!$B$34/100))+MIN((Skills!Y21*(1+Inputs!$B$34/100)),MAX(0,Inputs!$B$44-((R3082-1)*Skills!D21))))/Inputs!$B$44),IF(Inputs!$B$39="pvp",MIN((Skills!Y21*(1+Inputs!$B$34/100)),15)/15,(Skills!Y21*(1+Inputs!$B$34/100))/Skills!D21)))+((C3089=TRUE)*(F3089-Calc!F28))+((C3079=TRUE)*(F3079-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3076=TRUE)*F3076*IF(AND(Inputs!$B$39&lt;&gt;"pvp",Inputs!$B$44&gt;0),(((R3076-1)*(Skills!Y15*(1+Inputs!$B$34/100))+MIN((Skills!Y15*(1+Inputs!$B$34/100)),MAX(0,Inputs!$B$44-((R3076-1)*Skills!D15))))/Inputs!$B$44),IF(Inputs!$B$39="pvp",MIN((Skills!Y15*(1+Inputs!$B$34/100)),15)/15,(Skills!Y15*(1+Inputs!$B$34/100))/Skills!D15)))/100)*(1+((C3067=TRUE)*F3067*B3095)/100))*B3103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3075)</f>
        <v/>
      </c>
      <c r="L3075">
        <f>K3075*(MIN(Inputs!$B$22+((C3085=TRUE)*(F3085-Calc!F24)),(Inputs!$B$23+0+(IF(ArtifactsInput!$M$15,CHOOSE(ArtifactsInput!$N$15+1,25,30,35,40,45,50)/100*(Inputs!$B$11-Inputs!$B$11),0))))/100+(Inputs!$B$23+0+(IF(ArtifactsInput!$M$15,CHOOSE(ArtifactsInput!$N$15+1,25,30,35,40,45,50)/100*(Inputs!$B$11-Inputs!$B$11),0)))/100)/2</f>
        <v/>
      </c>
      <c r="M3075">
        <f>L3075*(1+(Inputs!$B$10+((C3087=TRUE)*(F3087-Calc!F26))+B3104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75">
        <f>L3075*(1-MIN((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3075*(MIN((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75">
        <f>(1-Summary!$B$11)*T3075+Summary!$B$11*V3075</f>
        <v/>
      </c>
      <c r="P3075">
        <f>IF(B3105=0,0,O3075/B3105)</f>
        <v/>
      </c>
      <c r="Q3075">
        <f>IFERROR(1/IF(Inputs!$B$39="pvp",15,MAX(0.1,Skills!D14-IF(Skills!E14=TRUE,Inputs!$B$32,0))),0)</f>
        <v/>
      </c>
      <c r="R3075">
        <f>IF(AND(Inputs!$B$39&lt;&gt;"pvp",Inputs!$B$44&gt;0),IF(MAX(0,Inputs!$B$44-B3106)&lt;=0,0,(INT(MAX(0,Inputs!$B$44-B3106)/IF(Inputs!$B$39="pvp",15,MAX(0.1,Skills!D14-IF(Skills!E14=TRUE,Inputs!$B$32,0))))+1)),0)</f>
        <v/>
      </c>
      <c r="S3075">
        <f>IFERROR(O3075/N3075,0)</f>
        <v/>
      </c>
      <c r="T3075">
        <f>IF(C3075,(H3075*N3075*IF(AND(Inputs!$B$39&lt;&gt;"pvp",Inputs!$B$44&gt;0),((Skills!G14*((R3075-1)*IF(Skills!H14&gt;0,Skills!I14/Skills!H14,1)+IF(Skills!H14&gt;0,MIN(Skills!I14,MAX(0,MAX(0,Inputs!$B$44-B3106)-((R3075-1)*IF(Inputs!$B$39="pvp",15,MAX(0.1,Skills!D14-IF(Skills!E14=TRUE,Inputs!$B$32,0))))))/Skills!H14,1)))/Inputs!$B$44),G3075*Q3075))*IF(Inputs!$B$39="pvp",1,1+(Inputs!$B$20+((C3088=TRUE)*(F3088-Calc!F27))+Skills!P14+B3102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Hunt"),CHOOSE(ArtifactsInput!$N$35+1,15,18,21,24,27,30)*(1-EXP(-(0.2*B3097)*5)),0)+IF(AND(ArtifactsInput!$M$22,Inputs!$B$4&lt;&gt;"Chapter Hunt"),CHOOSE(ArtifactsInput!$N$22+1,10,12,14,16,18,20)*((0*(((0.15*B3097*5))^0/1)+1*(((0.15*B3097*5))^1/1)+2*(((0.15*B3097*5))^2/2)+3*(((0.15*B3097*5))^3/6)+4*(((0.15*B3097*5))^4/24)+5*(((0.15*B3097*5))^5/120))/((((0.15*B3097*5))^0/1)+(((0.15*B3097*5))^1/1)+(((0.15*B3097*5))^2/2)+(((0.15*B3097*5))^3/6)+(((0.15*B3097*5))^4/24)+(((0.15*B3097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3075*(1-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3075*(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3075*(1-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3075*(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75">
        <f>IF(C3075,(H3075*N3075*IF(AND(Inputs!$B$39&lt;&gt;"pvp",Inputs!$B$44&gt;0),((Skills!G14*((R3075-1)*IF(Skills!H14&gt;0,Skills!I14/Skills!H14,1)+IF(Skills!H14&gt;0,MIN(Skills!I14,MAX(0,MAX(0,Inputs!$B$44-B3106)-((R3075-1)*IF(Inputs!$B$39="pvp",15,MAX(0.1,Skills!D14-IF(Skills!E14=TRUE,Inputs!$B$32,0))))))/Skills!H14,1)))/Inputs!$B$44),G3075*Q3075))*IF(Inputs!$B$39="pvp",1,(1+(Inputs!$B$21+Skills!Q14+B3102+(IF(ArtifactsInput!$M$33,CHOOSE(ArtifactsInput!$N$33+1,30,36,42,48,54,60),0))+(IF(AND(ArtifactsInput!$M$35,Inputs!$B$4&lt;&gt;"Chapter Hunt"),CHOOSE(ArtifactsInput!$N$35+1,15,18,21,24,27,30)*(1-EXP(-(0.2*B3097)*5)),0)+IF(AND(ArtifactsInput!$M$22,Inputs!$B$4&lt;&gt;"Chapter Hunt"),CHOOSE(ArtifactsInput!$N$22+1,10,12,14,16,18,20)*((0*(((0.15*B3097*5))^0/1)+1*(((0.15*B3097*5))^1/1)+2*(((0.15*B3097*5))^2/2)+3*(((0.15*B3097*5))^3/6)+4*(((0.15*B3097*5))^4/24)+5*(((0.15*B3097*5))^5/120))/((((0.15*B3097*5))^0/1)+(((0.15*B3097*5))^1/1)+(((0.15*B3097*5))^2/2)+(((0.15*B3097*5))^3/6)+(((0.15*B3097*5))^4/24)+(((0.15*B3097*5))^5/120))),0)))/100)*(MIN(Skills!W14,Inputs!$B$37)))*((1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76">
      <c r="A3076">
        <f>Skills!A15</f>
        <v/>
      </c>
      <c r="B3076">
        <f>Skills!B15</f>
        <v/>
      </c>
      <c r="C3076">
        <f>Inputs!$B$3&gt;=110</f>
        <v/>
      </c>
      <c r="D3076">
        <f>IF(Skills!C15=1,60+Inputs!$B$25+Inputs!$B$29,IF(Skills!C15=2,90+Inputs!$B$26+Inputs!$B$29,IF(Skills!C15=3,120+Inputs!$B$27+Inputs!$B$29,MAX(0,(Inputs!$B$3-100)*3)+Inputs!$B$28+Inputs!$B$29)))</f>
        <v/>
      </c>
      <c r="E3076">
        <f>INDEX(FactorTable!$B$2:$Y$301, MATCH(ROUND(MIN(300,MAX(1,D3076)),0), FactorTable!$A$2:$A$301,0), Skills!M15+1)</f>
        <v/>
      </c>
      <c r="F3076">
        <f>IF(Skills!N15=TRUE,(Skills!L15/10)*(E3076/1000),Skills!L15/10)+Skills!O15</f>
        <v/>
      </c>
      <c r="G3076">
        <f>Calc!G15</f>
        <v/>
      </c>
      <c r="H3076">
        <f>Calc!H15</f>
        <v/>
      </c>
      <c r="I3076">
        <f>IF(Skills!AA15&lt;&gt;"",1+(Skills!AA15/10)*(U3064/1000)/100,1)</f>
        <v/>
      </c>
      <c r="J3076" t="inlineStr"/>
      <c r="K3076" t="inlineStr"/>
      <c r="L3076" t="inlineStr"/>
      <c r="M3076" t="inlineStr"/>
      <c r="N3076" t="inlineStr"/>
      <c r="O3076">
        <f>(1-Summary!$B$11)*T3076+Summary!$B$11*V3076</f>
        <v/>
      </c>
      <c r="P3076">
        <f>IF(B3105=0,0,O3076/B3105)</f>
        <v/>
      </c>
      <c r="Q3076">
        <f>IFERROR(1/IF(Inputs!$B$39="pvp",15,MAX(0.1,Skills!D15-IF(Skills!E15=TRUE,Inputs!$B$32,0))),0)</f>
        <v/>
      </c>
      <c r="R3076">
        <f>IF(AND(Inputs!$B$39&lt;&gt;"pvp",Inputs!$B$44&gt;0),IF(Inputs!$B$44&lt;=0,0,(INT(Inputs!$B$44/IF(Inputs!$B$39="pvp",15,MAX(0.1,Skills!D15-IF(Skills!E15=TRUE,Inputs!$B$32,0))))+1)),0)</f>
        <v/>
      </c>
      <c r="S3076">
        <f>IFERROR(O3076/N3076,0)</f>
        <v/>
      </c>
      <c r="T3076" t="n">
        <v>0</v>
      </c>
      <c r="V3076" t="n">
        <v>0</v>
      </c>
    </row>
    <row r="3077">
      <c r="A3077">
        <f>Skills!A16</f>
        <v/>
      </c>
      <c r="B3077">
        <f>Skills!B16</f>
        <v/>
      </c>
      <c r="C3077">
        <f>Inputs!$B$3&gt;=110</f>
        <v/>
      </c>
      <c r="D3077">
        <f>IF(Skills!C16=1,60+Inputs!$B$25+Inputs!$B$29,IF(Skills!C16=2,90+Inputs!$B$26+Inputs!$B$29,IF(Skills!C16=3,120+Inputs!$B$27+Inputs!$B$29,MAX(0,(Inputs!$B$3-100)*3)+Inputs!$B$28+Inputs!$B$29)))</f>
        <v/>
      </c>
      <c r="E3077">
        <f>INDEX(FactorTable!$B$2:$Y$301, MATCH(ROUND(MIN(300,MAX(1,D3077)),0), FactorTable!$A$2:$A$301,0), Skills!M16+1)</f>
        <v/>
      </c>
      <c r="F3077">
        <f>IF(Skills!N16=TRUE,(Skills!L16/10)*(E3077/1000),Skills!L16/10)+Skills!O16</f>
        <v/>
      </c>
      <c r="G3077">
        <f>Calc!G16</f>
        <v/>
      </c>
      <c r="H3077">
        <f>Calc!H16</f>
        <v/>
      </c>
      <c r="I3077">
        <f>IF(Skills!AA16&lt;&gt;"",1+(Skills!AA16/10)*(U3064/1000)/100,1)</f>
        <v/>
      </c>
      <c r="J3077" t="inlineStr"/>
      <c r="K3077" t="inlineStr"/>
      <c r="L3077" t="inlineStr"/>
      <c r="M3077" t="inlineStr"/>
      <c r="N3077" t="inlineStr"/>
      <c r="O3077">
        <f>(1-Summary!$B$11)*T3077+Summary!$B$11*V3077</f>
        <v/>
      </c>
      <c r="P3077">
        <f>IF(B3105=0,0,O3077/B3105)</f>
        <v/>
      </c>
      <c r="Q3077">
        <f>IFERROR(1/IF(Inputs!$B$39="pvp",15,MAX(0.1,Skills!D16-IF(Skills!E16=TRUE,Inputs!$B$32,0))),0)</f>
        <v/>
      </c>
      <c r="R3077">
        <f>IF(AND(Inputs!$B$39&lt;&gt;"pvp",Inputs!$B$44&gt;0),IF(Inputs!$B$44&lt;=0,0,(INT(Inputs!$B$44/IF(Inputs!$B$39="pvp",15,MAX(0.1,Skills!D16-IF(Skills!E16=TRUE,Inputs!$B$32,0))))+1)),0)</f>
        <v/>
      </c>
      <c r="S3077">
        <f>IFERROR(O3077/N3077,0)</f>
        <v/>
      </c>
      <c r="T3077" t="n">
        <v>0</v>
      </c>
      <c r="V3077" t="n">
        <v>0</v>
      </c>
    </row>
    <row r="3078">
      <c r="A3078">
        <f>Skills!A17</f>
        <v/>
      </c>
      <c r="B3078">
        <f>Skills!B17</f>
        <v/>
      </c>
      <c r="C3078">
        <f>Inputs!$B$3&gt;=115</f>
        <v/>
      </c>
      <c r="D3078">
        <f>IF(Skills!C17=1,60+Inputs!$B$25+Inputs!$B$29,IF(Skills!C17=2,90+Inputs!$B$26+Inputs!$B$29,IF(Skills!C17=3,120+Inputs!$B$27+Inputs!$B$29,MAX(0,(Inputs!$B$3-100)*3)+Inputs!$B$28+Inputs!$B$29)))</f>
        <v/>
      </c>
      <c r="E3078">
        <f>INDEX(FactorTable!$B$2:$Y$301, MATCH(ROUND(MIN(300,MAX(1,D3078)),0), FactorTable!$A$2:$A$301,0), Skills!M17+1)</f>
        <v/>
      </c>
      <c r="F3078">
        <f>IF(Skills!N17=TRUE,(Skills!L17/10)*(E3078/1000),Skills!L17/10)+Skills!O17</f>
        <v/>
      </c>
      <c r="G3078">
        <f>Calc!G17</f>
        <v/>
      </c>
      <c r="H3078">
        <f>Calc!H17</f>
        <v/>
      </c>
      <c r="I3078">
        <f>IF(Skills!AA17&lt;&gt;"",1+(Skills!AA17/10)*(U3064/1000)/100,1)</f>
        <v/>
      </c>
      <c r="J3078">
        <f>((Inputs!$B$6*(1+Inputs!$B$7/100))+(((Inputs!$B$12*(1+Inputs!$B$13/100))-(Inputs!$B$12*(1+Inputs!$B$13/100)))+0.25*(Inputs!$B$14-Inputs!$B$14))*(1+Inputs!$B$7/100))*(F3078/100)</f>
        <v/>
      </c>
      <c r="K3078">
        <f>J3078*(1+((Inputs!$B$12*(1+Inputs!$B$13/100))*0.01+Inputs!$B$14*0.0025)/100)*(1+Inputs!$B$15/100)*(1+Inputs!$B$16/100)*(5000/(6000+Inputs!$B$43*(1-(100*(1-(1-(Inputs!$B$19+0)/100)*(1-CHOOSE(ArtifactsInput!$N$40+1,5,6,7,8,9,10)/100)^(ArtifactsInput!$M$40-ArtifactsInput!$M$40)))/100)))*(1+(Inputs!$B$24+((C3091=TRUE)*(F3091-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3084=TRUE)*(F3084-Calc!F23))+(((IF(AND(ArtifactsInput!$M$42,((Inputs!$B$9+((C3086=TRUE)*(F3086-Calc!F25))+B3101+(ArtifactsInput!$M$24-ArtifactsInput!$M$24)*CHOOSE(ArtifactsInput!$N$24+1,10,12,14,16,18,20)+IF(ArtifactsInput!$M$10,CHOOSE(ArtifactsInput!$N$10+1,15,18,21,24,27,30)*(IF(Inputs!$B$39="pvp",MIN(15,15)/15,IF(AND(Inputs!$B$39&lt;&gt;"pvp",Inputs!$B$44&gt;0),MIN(15,Inputs!$B$44)/(Inputs!$B$44),0))),0)))&gt;=100),MIN(100,((Inputs!$B$9+((C3086=TRUE)*(F3086-Calc!F25))+B3101+(ArtifactsInput!$M$24-ArtifactsInput!$M$24)*CHOOSE(ArtifactsInput!$N$24+1,10,12,14,16,18,20)+IF(ArtifactsInput!$M$10,CHOOSE(ArtifactsInput!$N$10+1,15,18,21,24,27,30)*(IF(Inputs!$B$39="pvp",MIN(15,15)/15,IF(AND(Inputs!$B$39&lt;&gt;"pvp",Inputs!$B$44&gt;0),MIN(15,Inputs!$B$44)/(Inputs!$B$44),0))),0)))-100),0))*CHOOSE(ArtifactsInput!$N$42+1,0.6,0.72,0.84,0.96,1.08,1.2))),Inputs!$B$18+((C3090=TRUE)*(F3090-Calc!F29))+(IF(AND(ArtifactsInput!$M$42,((Inputs!$B$9+((C3086=TRUE)*(F3086-Calc!F25))+B3101+(ArtifactsInput!$M$24-ArtifactsInput!$M$24)*CHOOSE(ArtifactsInput!$N$24+1,10,12,14,16,18,20)+IF(ArtifactsInput!$M$10,CHOOSE(ArtifactsInput!$N$10+1,15,18,21,24,27,30)*(IF(Inputs!$B$39="pvp",MIN(15,15)/15,IF(AND(Inputs!$B$39&lt;&gt;"pvp",Inputs!$B$44&gt;0),MIN(15,Inputs!$B$44)/(Inputs!$B$44),0))),0)))&gt;=100),CHOOSE(ArtifactsInput!$N$42+1,40,48,56,64,72,80),0))))/100)*(((1+(((C3082=TRUE)*F3082*IF(AND(Inputs!$B$39&lt;&gt;"pvp",Inputs!$B$44&gt;0),(((R3082-1)*(Skills!Y21*(1+Inputs!$B$34/100))+MIN((Skills!Y21*(1+Inputs!$B$34/100)),MAX(0,Inputs!$B$44-((R3082-1)*Skills!D21))))/Inputs!$B$44),IF(Inputs!$B$39="pvp",MIN((Skills!Y21*(1+Inputs!$B$34/100)),15)/15,(Skills!Y21*(1+Inputs!$B$34/100))/Skills!D21)))+((C3089=TRUE)*(F3089-Calc!F28))+((C3079=TRUE)*(F3079-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3076=TRUE)*F3076*IF(AND(Inputs!$B$39&lt;&gt;"pvp",Inputs!$B$44&gt;0),(((R3076-1)*(Skills!Y15*(1+Inputs!$B$34/100))+MIN((Skills!Y15*(1+Inputs!$B$34/100)),MAX(0,Inputs!$B$44-((R3076-1)*Skills!D15))))/Inputs!$B$44),IF(Inputs!$B$39="pvp",MIN((Skills!Y15*(1+Inputs!$B$34/100)),15)/15,(Skills!Y15*(1+Inputs!$B$34/100))/Skills!D15)))/100)*(1+((C3067=TRUE)*F3067*B3095)/100))*B3103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3078)</f>
        <v/>
      </c>
      <c r="L3078">
        <f>K3078*(MIN(Inputs!$B$22+((C3085=TRUE)*(F3085-Calc!F24)),(Inputs!$B$23+0+(IF(ArtifactsInput!$M$15,CHOOSE(ArtifactsInput!$N$15+1,25,30,35,40,45,50)/100*(Inputs!$B$11-Inputs!$B$11),0))))/100+(Inputs!$B$23+0+(IF(ArtifactsInput!$M$15,CHOOSE(ArtifactsInput!$N$15+1,25,30,35,40,45,50)/100*(Inputs!$B$11-Inputs!$B$11),0)))/100)/2</f>
        <v/>
      </c>
      <c r="M3078">
        <f>L3078*(1+(Inputs!$B$10+((C3087=TRUE)*(F3087-Calc!F26))+B3104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78">
        <f>L3078*(1-MIN((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3078*(MIN((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78">
        <f>(1-Summary!$B$11)*T3078+Summary!$B$11*V3078</f>
        <v/>
      </c>
      <c r="P3078">
        <f>IF(B3105=0,0,O3078/B3105)</f>
        <v/>
      </c>
      <c r="Q3078" t="n">
        <v>0</v>
      </c>
      <c r="R3078" t="n">
        <v>0</v>
      </c>
      <c r="S3078">
        <f>IFERROR(O3078/N3078,0)</f>
        <v/>
      </c>
      <c r="T3078">
        <f>IF(C3078,(Inputs!$B$38*0.2*N3078)*IF(Inputs!$B$39="pvp",1,1+(Inputs!$B$20+((C3088=TRUE)*(F3088-Calc!F27))+Skills!P17+B3102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Hunt"),CHOOSE(ArtifactsInput!$N$35+1,15,18,21,24,27,30)*(1-EXP(-(0.2*B3097)*5)),0)+IF(AND(ArtifactsInput!$M$22,Inputs!$B$4&lt;&gt;"Chapter Hunt"),CHOOSE(ArtifactsInput!$N$22+1,10,12,14,16,18,20)*((0*(((0.15*B3097*5))^0/1)+1*(((0.15*B3097*5))^1/1)+2*(((0.15*B3097*5))^2/2)+3*(((0.15*B3097*5))^3/6)+4*(((0.15*B3097*5))^4/24)+5*(((0.15*B3097*5))^5/120))/((((0.15*B3097*5))^0/1)+(((0.15*B3097*5))^1/1)+(((0.15*B3097*5))^2/2)+(((0.15*B3097*5))^3/6)+(((0.15*B3097*5))^4/24)+(((0.15*B3097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3078*(1-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3078*(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3078*(1-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3078*(MIN(100,(Inputs!$B$9+((C3086=TRUE)*(F3086-Calc!F25))+B3101+(ArtifactsInput!$M$24-ArtifactsInput!$M$24)*CHOOSE(ArtifactsInput!$N$24+1,10,12,14,16,18,20)+(IF(AND(ArtifactsInput!$M$42,((Inputs!$B$9+((C3086=TRUE)*(F3086-Calc!F25))+B3101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78">
        <f>IF(C3078,(Inputs!$B$38*0.2*N3078)*IF(Inputs!$B$39="pvp",1,(1+(Inputs!$B$21+Skills!Q17+B3102+(IF(ArtifactsInput!$M$33,CHOOSE(ArtifactsInput!$N$33+1,30,36,42,48,54,60),0))+(IF(AND(ArtifactsInput!$M$35,Inputs!$B$4&lt;&gt;"Chapter Hunt"),CHOOSE(ArtifactsInput!$N$35+1,15,18,21,24,27,30)*(1-EXP(-(0.2*B3097)*5)),0)+IF(AND(ArtifactsInput!$M$22,Inputs!$B$4&lt;&gt;"Chapter Hunt"),CHOOSE(ArtifactsInput!$N$22+1,10,12,14,16,18,20)*((0*(((0.15*B3097*5))^0/1)+1*(((0.15*B3097*5))^1/1)+2*(((0.15*B3097*5))^2/2)+3*(((0.15*B3097*5))^3/6)+4*(((0.15*B3097*5))^4/24)+5*(((0.15*B3097*5))^5/120))/((((0.15*B3097*5))^0/1)+(((0.15*B3097*5))^1/1)+(((0.15*B3097*5))^2/2)+(((0.15*B3097*5))^3/6)+(((0.15*B3097*5))^4/24)+(((0.15*B3097*5))^5/120))),0)))/100)*(MIN(Skills!W17,Inputs!$B$37)))*((1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79">
      <c r="A3079">
        <f>Skills!A18</f>
        <v/>
      </c>
      <c r="B3079">
        <f>Skills!B18</f>
        <v/>
      </c>
      <c r="C3079">
        <f>Inputs!$B$3&gt;=115</f>
        <v/>
      </c>
      <c r="D3079">
        <f>IF(Skills!C18=1,60+Inputs!$B$25+Inputs!$B$29,IF(Skills!C18=2,90+Inputs!$B$26+Inputs!$B$29,IF(Skills!C18=3,120+Inputs!$B$27+Inputs!$B$29,MAX(0,(Inputs!$B$3-100)*3)+Inputs!$B$28+Inputs!$B$29)))</f>
        <v/>
      </c>
      <c r="E3079">
        <f>INDEX(FactorTable!$B$2:$Y$301, MATCH(ROUND(MIN(300,MAX(1,D3079)),0), FactorTable!$A$2:$A$301,0), Skills!M18+1)</f>
        <v/>
      </c>
      <c r="F3079">
        <f>IF(Skills!N18=TRUE,(Skills!L18/10)*(E3079/1000),Skills!L18/10)+Skills!O18</f>
        <v/>
      </c>
      <c r="G3079">
        <f>Calc!G18</f>
        <v/>
      </c>
      <c r="H3079">
        <f>Calc!H18</f>
        <v/>
      </c>
      <c r="I3079">
        <f>IF(Skills!AA18&lt;&gt;"",1+(Skills!AA18/10)*(U3064/1000)/100,1)</f>
        <v/>
      </c>
      <c r="J3079" t="inlineStr"/>
      <c r="K3079" t="inlineStr"/>
      <c r="L3079" t="inlineStr"/>
      <c r="M3079" t="inlineStr"/>
      <c r="N3079" t="inlineStr"/>
      <c r="O3079">
        <f>(1-Summary!$B$11)*T3079+Summary!$B$11*V3079</f>
        <v/>
      </c>
      <c r="P3079">
        <f>IF(B3105=0,0,O3079/B3105)</f>
        <v/>
      </c>
      <c r="Q3079" t="n">
        <v>0</v>
      </c>
      <c r="R3079" t="n">
        <v>0</v>
      </c>
      <c r="S3079">
        <f>IFERROR(O3079/N3079,0)</f>
        <v/>
      </c>
      <c r="T3079" t="n">
        <v>0</v>
      </c>
      <c r="V3079" t="n">
        <v>0</v>
      </c>
    </row>
    <row r="3080">
      <c r="A3080">
        <f>Skills!A19</f>
        <v/>
      </c>
      <c r="B3080">
        <f>Skills!B19</f>
        <v/>
      </c>
      <c r="C3080">
        <f>TRUE</f>
        <v/>
      </c>
      <c r="D3080">
        <f>IF(Skills!C19=1,60+Inputs!$B$25+Inputs!$B$29,IF(Skills!C19=2,90+Inputs!$B$26+Inputs!$B$29,IF(Skills!C19=3,120+Inputs!$B$27+Inputs!$B$29,MAX(0,(Inputs!$B$3-100)*3)+Inputs!$B$28+Inputs!$B$29)))</f>
        <v/>
      </c>
      <c r="E3080">
        <f>INDEX(FactorTable!$B$2:$Y$301, MATCH(ROUND(MIN(300,MAX(1,D3080)),0), FactorTable!$A$2:$A$301,0), Skills!M19+1)</f>
        <v/>
      </c>
      <c r="F3080">
        <f>IF(Skills!N19=TRUE,(Skills!L19/10)*(E3080/1000),Skills!L19/10)+Skills!O19</f>
        <v/>
      </c>
      <c r="G3080">
        <f>Calc!G19</f>
        <v/>
      </c>
      <c r="H3080">
        <f>Calc!H19</f>
        <v/>
      </c>
      <c r="I3080">
        <f>IF(Skills!AA19&lt;&gt;"",1+(Skills!AA19/10)*(U3064/1000)/100,1)</f>
        <v/>
      </c>
      <c r="J3080" t="inlineStr"/>
      <c r="K3080" t="inlineStr"/>
      <c r="L3080" t="inlineStr"/>
      <c r="M3080" t="inlineStr"/>
      <c r="N3080" t="inlineStr"/>
      <c r="O3080">
        <f>(1-Summary!$B$11)*T3080+Summary!$B$11*V3080</f>
        <v/>
      </c>
      <c r="P3080">
        <f>IF(B3105=0,0,O3080/B3105)</f>
        <v/>
      </c>
      <c r="Q3080">
        <f>IFERROR(1/IF(Inputs!$B$39="pvp",15,MAX(0.1,Skills!D19-IF(Skills!E19=TRUE,Inputs!$B$32,0))),0)</f>
        <v/>
      </c>
      <c r="R3080">
        <f>IF(AND(Inputs!$B$39&lt;&gt;"pvp",Inputs!$B$44&gt;0),IF(Inputs!$B$44&lt;=0,0,(INT(Inputs!$B$44/IF(Inputs!$B$39="pvp",15,MAX(0.1,Skills!D19-IF(Skills!E19=TRUE,Inputs!$B$32,0))))+1)),0)</f>
        <v/>
      </c>
      <c r="S3080">
        <f>IFERROR(O3080/N3080,0)</f>
        <v/>
      </c>
      <c r="T3080" t="n">
        <v>0</v>
      </c>
      <c r="V3080" t="n">
        <v>0</v>
      </c>
    </row>
    <row r="3081">
      <c r="A3081">
        <f>Skills!A20</f>
        <v/>
      </c>
      <c r="B3081">
        <f>Skills!B20</f>
        <v/>
      </c>
      <c r="C3081">
        <f>Inputs!$B$3&gt;=15</f>
        <v/>
      </c>
      <c r="D3081">
        <f>IF(Skills!C20=1,60+Inputs!$B$25+Inputs!$B$29,IF(Skills!C20=2,90+Inputs!$B$26+Inputs!$B$29,IF(Skills!C20=3,120+Inputs!$B$27+Inputs!$B$29,MAX(0,(Inputs!$B$3-100)*3)+Inputs!$B$28+Inputs!$B$29)))</f>
        <v/>
      </c>
      <c r="E3081">
        <f>INDEX(FactorTable!$B$2:$Y$301, MATCH(ROUND(MIN(300,MAX(1,D3081)),0), FactorTable!$A$2:$A$301,0), Skills!M20+1)</f>
        <v/>
      </c>
      <c r="F3081">
        <f>IF(Skills!N20=TRUE,(Skills!L20/10)*(E3081/1000),Skills!L20/10)+Skills!O20</f>
        <v/>
      </c>
      <c r="G3081">
        <f>Calc!G20</f>
        <v/>
      </c>
      <c r="H3081">
        <f>Calc!H20</f>
        <v/>
      </c>
      <c r="I3081">
        <f>IF(Skills!AA20&lt;&gt;"",1+(Skills!AA20/10)*(U3064/1000)/100,1)</f>
        <v/>
      </c>
      <c r="J3081" t="inlineStr"/>
      <c r="K3081" t="inlineStr"/>
      <c r="L3081" t="inlineStr"/>
      <c r="M3081" t="inlineStr"/>
      <c r="N3081" t="inlineStr"/>
      <c r="O3081">
        <f>(1-Summary!$B$11)*T3081+Summary!$B$11*V3081</f>
        <v/>
      </c>
      <c r="P3081">
        <f>IF(B3105=0,0,O3081/B3105)</f>
        <v/>
      </c>
      <c r="Q3081">
        <f>IFERROR(1/IF(Inputs!$B$39="pvp",15,MAX(0.1,Skills!D20-IF(Skills!E20=TRUE,Inputs!$B$32,0))),0)</f>
        <v/>
      </c>
      <c r="R3081">
        <f>IF(AND(Inputs!$B$39&lt;&gt;"pvp",Inputs!$B$44&gt;0),IF(Inputs!$B$44&lt;=0,0,(INT(Inputs!$B$44/IF(Inputs!$B$39="pvp",15,MAX(0.1,Skills!D20-IF(Skills!E20=TRUE,Inputs!$B$32,0))))+1)),0)</f>
        <v/>
      </c>
      <c r="S3081">
        <f>IFERROR(O3081/N3081,0)</f>
        <v/>
      </c>
      <c r="T3081" t="n">
        <v>0</v>
      </c>
      <c r="V3081" t="n">
        <v>0</v>
      </c>
    </row>
    <row r="3082">
      <c r="A3082">
        <f>Skills!A21</f>
        <v/>
      </c>
      <c r="B3082">
        <f>Skills!B21</f>
        <v/>
      </c>
      <c r="C3082">
        <f>Inputs!$B$3&gt;=15</f>
        <v/>
      </c>
      <c r="D3082">
        <f>IF(Skills!C21=1,60+Inputs!$B$25+Inputs!$B$29,IF(Skills!C21=2,90+Inputs!$B$26+Inputs!$B$29,IF(Skills!C21=3,120+Inputs!$B$27+Inputs!$B$29,MAX(0,(Inputs!$B$3-100)*3)+Inputs!$B$28+Inputs!$B$29)))</f>
        <v/>
      </c>
      <c r="E3082">
        <f>INDEX(FactorTable!$B$2:$Y$301, MATCH(ROUND(MIN(300,MAX(1,D3082)),0), FactorTable!$A$2:$A$301,0), Skills!M21+1)</f>
        <v/>
      </c>
      <c r="F3082">
        <f>IF(Skills!N21=TRUE,(Skills!L21/10)*(E3082/1000),Skills!L21/10)+Skills!O21</f>
        <v/>
      </c>
      <c r="G3082">
        <f>Calc!G21</f>
        <v/>
      </c>
      <c r="H3082">
        <f>Calc!H21</f>
        <v/>
      </c>
      <c r="I3082">
        <f>IF(Skills!AA21&lt;&gt;"",1+(Skills!AA21/10)*(U3064/1000)/100,1)</f>
        <v/>
      </c>
      <c r="J3082" t="inlineStr"/>
      <c r="K3082" t="inlineStr"/>
      <c r="L3082" t="inlineStr"/>
      <c r="M3082" t="inlineStr"/>
      <c r="N3082" t="inlineStr"/>
      <c r="O3082">
        <f>(1-Summary!$B$11)*T3082+Summary!$B$11*V3082</f>
        <v/>
      </c>
      <c r="P3082">
        <f>IF(B3105=0,0,O3082/B3105)</f>
        <v/>
      </c>
      <c r="Q3082">
        <f>IFERROR(1/IF(Inputs!$B$39="pvp",15,MAX(0.1,Skills!D21-IF(Skills!E21=TRUE,Inputs!$B$32,0))),0)</f>
        <v/>
      </c>
      <c r="R3082">
        <f>IF(AND(Inputs!$B$39&lt;&gt;"pvp",Inputs!$B$44&gt;0),IF(Inputs!$B$44&lt;=0,0,(INT(Inputs!$B$44/IF(Inputs!$B$39="pvp",15,MAX(0.1,Skills!D21-IF(Skills!E21=TRUE,Inputs!$B$32,0))))+1)),0)</f>
        <v/>
      </c>
      <c r="S3082">
        <f>IFERROR(O3082/N3082,0)</f>
        <v/>
      </c>
      <c r="T3082" t="n">
        <v>0</v>
      </c>
      <c r="V3082" t="n">
        <v>0</v>
      </c>
    </row>
    <row r="3083">
      <c r="A3083">
        <f>Skills!A22</f>
        <v/>
      </c>
      <c r="B3083">
        <f>Skills!B22</f>
        <v/>
      </c>
      <c r="C3083">
        <f>Inputs!$B$3&gt;=33</f>
        <v/>
      </c>
      <c r="D3083">
        <f>IF(Skills!C22=1,60+Inputs!$B$25+Inputs!$B$29,IF(Skills!C22=2,90+Inputs!$B$26+Inputs!$B$29,IF(Skills!C22=3,120+Inputs!$B$27+Inputs!$B$29,MAX(0,(Inputs!$B$3-100)*3)+Inputs!$B$28+Inputs!$B$29)))</f>
        <v/>
      </c>
      <c r="E3083">
        <f>INDEX(FactorTable!$B$2:$Y$301, MATCH(ROUND(MIN(300,MAX(1,D3083)),0), FactorTable!$A$2:$A$301,0), Skills!M22+1)</f>
        <v/>
      </c>
      <c r="F3083">
        <f>IF(Skills!N22=TRUE,(Skills!L22/10)*(E3083/1000),Skills!L22/10)+Skills!O22</f>
        <v/>
      </c>
      <c r="G3083">
        <f>Calc!G22</f>
        <v/>
      </c>
      <c r="H3083">
        <f>Calc!H22</f>
        <v/>
      </c>
      <c r="I3083">
        <f>IF(Skills!AA22&lt;&gt;"",1+(Skills!AA22/10)*(U3064/1000)/100,1)</f>
        <v/>
      </c>
      <c r="J3083" t="inlineStr"/>
      <c r="K3083" t="inlineStr"/>
      <c r="L3083" t="inlineStr"/>
      <c r="M3083" t="inlineStr"/>
      <c r="N3083" t="inlineStr"/>
      <c r="O3083">
        <f>(1-Summary!$B$11)*T3083+Summary!$B$11*V3083</f>
        <v/>
      </c>
      <c r="P3083">
        <f>IF(B3105=0,0,O3083/B3105)</f>
        <v/>
      </c>
      <c r="Q3083" t="n">
        <v>0</v>
      </c>
      <c r="R3083" t="n">
        <v>0</v>
      </c>
      <c r="S3083">
        <f>IFERROR(O3083/N3083,0)</f>
        <v/>
      </c>
      <c r="T3083" t="n">
        <v>0</v>
      </c>
      <c r="V3083" t="n">
        <v>0</v>
      </c>
    </row>
    <row r="3084">
      <c r="A3084">
        <f>Skills!A23</f>
        <v/>
      </c>
      <c r="B3084">
        <f>Skills!B23</f>
        <v/>
      </c>
      <c r="C3084">
        <f>Inputs!$B$3&gt;=38</f>
        <v/>
      </c>
      <c r="D3084">
        <f>IF(Skills!C23=1,60+Inputs!$B$25+Inputs!$B$29,IF(Skills!C23=2,90+Inputs!$B$26+Inputs!$B$29,IF(Skills!C23=3,120+Inputs!$B$27+Inputs!$B$29,MAX(0,(Inputs!$B$3-100)*3)+Inputs!$B$28+Inputs!$B$29)))</f>
        <v/>
      </c>
      <c r="E3084">
        <f>INDEX(FactorTable!$B$2:$Y$301, MATCH(ROUND(MIN(300,MAX(1,D3084)),0), FactorTable!$A$2:$A$301,0), Skills!M23+1)</f>
        <v/>
      </c>
      <c r="F3084">
        <f>IF(Skills!N23=TRUE,(Skills!L23/10)*(E3084/1000),Skills!L23/10)+Skills!O23</f>
        <v/>
      </c>
      <c r="G3084">
        <f>Calc!G23</f>
        <v/>
      </c>
      <c r="H3084">
        <f>Calc!H23</f>
        <v/>
      </c>
      <c r="I3084">
        <f>IF(Skills!AA23&lt;&gt;"",1+(Skills!AA23/10)*(U3064/1000)/100,1)</f>
        <v/>
      </c>
      <c r="J3084" t="inlineStr"/>
      <c r="K3084" t="inlineStr"/>
      <c r="L3084" t="inlineStr"/>
      <c r="M3084" t="inlineStr"/>
      <c r="N3084" t="inlineStr"/>
      <c r="O3084">
        <f>(1-Summary!$B$11)*T3084+Summary!$B$11*V3084</f>
        <v/>
      </c>
      <c r="P3084">
        <f>IF(B3105=0,0,O3084/B3105)</f>
        <v/>
      </c>
      <c r="Q3084" t="n">
        <v>0</v>
      </c>
      <c r="R3084" t="n">
        <v>0</v>
      </c>
      <c r="S3084">
        <f>IFERROR(O3084/N3084,0)</f>
        <v/>
      </c>
      <c r="T3084" t="n">
        <v>0</v>
      </c>
      <c r="V3084" t="n">
        <v>0</v>
      </c>
    </row>
    <row r="3085">
      <c r="A3085">
        <f>Skills!A24</f>
        <v/>
      </c>
      <c r="B3085">
        <f>Skills!B24</f>
        <v/>
      </c>
      <c r="C3085">
        <f>Inputs!$B$3&gt;=40</f>
        <v/>
      </c>
      <c r="D3085">
        <f>IF(Skills!C24=1,60+Inputs!$B$25+Inputs!$B$29,IF(Skills!C24=2,90+Inputs!$B$26+Inputs!$B$29,IF(Skills!C24=3,120+Inputs!$B$27+Inputs!$B$29,MAX(0,(Inputs!$B$3-100)*3)+Inputs!$B$28+Inputs!$B$29)))</f>
        <v/>
      </c>
      <c r="E3085">
        <f>INDEX(FactorTable!$B$2:$Y$301, MATCH(ROUND(MIN(300,MAX(1,D3085)),0), FactorTable!$A$2:$A$301,0), Skills!M24+1)</f>
        <v/>
      </c>
      <c r="F3085">
        <f>IF(Skills!N24=TRUE,(Skills!L24/10)*(E3085/1000),Skills!L24/10)+Skills!O24</f>
        <v/>
      </c>
      <c r="G3085">
        <f>Calc!G24</f>
        <v/>
      </c>
      <c r="H3085">
        <f>Calc!H24</f>
        <v/>
      </c>
      <c r="I3085">
        <f>IF(Skills!AA24&lt;&gt;"",1+(Skills!AA24/10)*(U3064/1000)/100,1)</f>
        <v/>
      </c>
      <c r="J3085" t="inlineStr"/>
      <c r="K3085" t="inlineStr"/>
      <c r="L3085" t="inlineStr"/>
      <c r="M3085" t="inlineStr"/>
      <c r="N3085" t="inlineStr"/>
      <c r="O3085">
        <f>(1-Summary!$B$11)*T3085+Summary!$B$11*V3085</f>
        <v/>
      </c>
      <c r="P3085">
        <f>IF(B3105=0,0,O3085/B3105)</f>
        <v/>
      </c>
      <c r="Q3085" t="n">
        <v>0</v>
      </c>
      <c r="R3085" t="n">
        <v>0</v>
      </c>
      <c r="S3085">
        <f>IFERROR(O3085/N3085,0)</f>
        <v/>
      </c>
      <c r="T3085" t="n">
        <v>0</v>
      </c>
      <c r="V3085" t="n">
        <v>0</v>
      </c>
    </row>
    <row r="3086">
      <c r="A3086">
        <f>Skills!A25</f>
        <v/>
      </c>
      <c r="B3086">
        <f>Skills!B25</f>
        <v/>
      </c>
      <c r="C3086">
        <f>Inputs!$B$3&gt;=45</f>
        <v/>
      </c>
      <c r="D3086">
        <f>IF(Skills!C25=1,60+Inputs!$B$25+Inputs!$B$29,IF(Skills!C25=2,90+Inputs!$B$26+Inputs!$B$29,IF(Skills!C25=3,120+Inputs!$B$27+Inputs!$B$29,MAX(0,(Inputs!$B$3-100)*3)+Inputs!$B$28+Inputs!$B$29)))</f>
        <v/>
      </c>
      <c r="E3086">
        <f>INDEX(FactorTable!$B$2:$Y$301, MATCH(ROUND(MIN(300,MAX(1,D3086)),0), FactorTable!$A$2:$A$301,0), Skills!M25+1)</f>
        <v/>
      </c>
      <c r="F3086">
        <f>IF(Skills!N25=TRUE,(Skills!L25/10)*(E3086/1000),Skills!L25/10)+Skills!O25</f>
        <v/>
      </c>
      <c r="G3086">
        <f>Calc!G25</f>
        <v/>
      </c>
      <c r="H3086">
        <f>Calc!H25</f>
        <v/>
      </c>
      <c r="I3086">
        <f>IF(Skills!AA25&lt;&gt;"",1+(Skills!AA25/10)*(U3064/1000)/100,1)</f>
        <v/>
      </c>
      <c r="J3086" t="inlineStr"/>
      <c r="K3086" t="inlineStr"/>
      <c r="L3086" t="inlineStr"/>
      <c r="M3086" t="inlineStr"/>
      <c r="N3086" t="inlineStr"/>
      <c r="O3086">
        <f>(1-Summary!$B$11)*T3086+Summary!$B$11*V3086</f>
        <v/>
      </c>
      <c r="P3086">
        <f>IF(B3105=0,0,O3086/B3105)</f>
        <v/>
      </c>
      <c r="Q3086" t="n">
        <v>0</v>
      </c>
      <c r="R3086" t="n">
        <v>0</v>
      </c>
      <c r="S3086">
        <f>IFERROR(O3086/N3086,0)</f>
        <v/>
      </c>
      <c r="T3086" t="n">
        <v>0</v>
      </c>
      <c r="V3086" t="n">
        <v>0</v>
      </c>
    </row>
    <row r="3087">
      <c r="A3087">
        <f>Skills!A26</f>
        <v/>
      </c>
      <c r="B3087">
        <f>Skills!B26</f>
        <v/>
      </c>
      <c r="C3087">
        <f>Inputs!$B$3&gt;=45</f>
        <v/>
      </c>
      <c r="D3087">
        <f>IF(Skills!C26=1,60+Inputs!$B$25+Inputs!$B$29,IF(Skills!C26=2,90+Inputs!$B$26+Inputs!$B$29,IF(Skills!C26=3,120+Inputs!$B$27+Inputs!$B$29,MAX(0,(Inputs!$B$3-100)*3)+Inputs!$B$28+Inputs!$B$29)))</f>
        <v/>
      </c>
      <c r="E3087">
        <f>INDEX(FactorTable!$B$2:$Y$301, MATCH(ROUND(MIN(300,MAX(1,D3087)),0), FactorTable!$A$2:$A$301,0), Skills!M26+1)</f>
        <v/>
      </c>
      <c r="F3087">
        <f>IF(Skills!N26=TRUE,(Skills!L26/10)*(E3087/1000),Skills!L26/10)+Skills!O26</f>
        <v/>
      </c>
      <c r="G3087">
        <f>Calc!G26</f>
        <v/>
      </c>
      <c r="H3087">
        <f>Calc!H26</f>
        <v/>
      </c>
      <c r="I3087">
        <f>IF(Skills!AA26&lt;&gt;"",1+(Skills!AA26/10)*(U3064/1000)/100,1)</f>
        <v/>
      </c>
      <c r="J3087" t="inlineStr"/>
      <c r="K3087" t="inlineStr"/>
      <c r="L3087" t="inlineStr"/>
      <c r="M3087" t="inlineStr"/>
      <c r="N3087" t="inlineStr"/>
      <c r="O3087">
        <f>(1-Summary!$B$11)*T3087+Summary!$B$11*V3087</f>
        <v/>
      </c>
      <c r="P3087">
        <f>IF(B3105=0,0,O3087/B3105)</f>
        <v/>
      </c>
      <c r="Q3087" t="n">
        <v>0</v>
      </c>
      <c r="R3087" t="n">
        <v>0</v>
      </c>
      <c r="S3087">
        <f>IFERROR(O3087/N3087,0)</f>
        <v/>
      </c>
      <c r="T3087" t="n">
        <v>0</v>
      </c>
      <c r="V3087" t="n">
        <v>0</v>
      </c>
    </row>
    <row r="3088">
      <c r="A3088">
        <f>Skills!A27</f>
        <v/>
      </c>
      <c r="B3088">
        <f>Skills!B27</f>
        <v/>
      </c>
      <c r="C3088">
        <f>Inputs!$B$3&gt;=72</f>
        <v/>
      </c>
      <c r="D3088">
        <f>IF(Skills!C27=1,60+Inputs!$B$25+Inputs!$B$29,IF(Skills!C27=2,90+Inputs!$B$26+Inputs!$B$29,IF(Skills!C27=3,120+Inputs!$B$27+Inputs!$B$29,MAX(0,(Inputs!$B$3-100)*3)+Inputs!$B$28+Inputs!$B$29)))</f>
        <v/>
      </c>
      <c r="E3088">
        <f>INDEX(FactorTable!$B$2:$Y$301, MATCH(ROUND(MIN(300,MAX(1,D3088)),0), FactorTable!$A$2:$A$301,0), Skills!M27+1)</f>
        <v/>
      </c>
      <c r="F3088">
        <f>IF(Skills!N27=TRUE,(Skills!L27/10)*(E3088/1000),Skills!L27/10)+Skills!O27</f>
        <v/>
      </c>
      <c r="G3088">
        <f>Calc!G27</f>
        <v/>
      </c>
      <c r="H3088">
        <f>Calc!H27</f>
        <v/>
      </c>
      <c r="I3088">
        <f>IF(Skills!AA27&lt;&gt;"",1+(Skills!AA27/10)*(U3064/1000)/100,1)</f>
        <v/>
      </c>
      <c r="J3088" t="inlineStr"/>
      <c r="K3088" t="inlineStr"/>
      <c r="L3088" t="inlineStr"/>
      <c r="M3088" t="inlineStr"/>
      <c r="N3088" t="inlineStr"/>
      <c r="O3088">
        <f>(1-Summary!$B$11)*T3088+Summary!$B$11*V3088</f>
        <v/>
      </c>
      <c r="P3088">
        <f>IF(B3105=0,0,O3088/B3105)</f>
        <v/>
      </c>
      <c r="Q3088" t="n">
        <v>0</v>
      </c>
      <c r="R3088" t="n">
        <v>0</v>
      </c>
      <c r="S3088">
        <f>IFERROR(O3088/N3088,0)</f>
        <v/>
      </c>
      <c r="T3088" t="n">
        <v>0</v>
      </c>
      <c r="V3088" t="n">
        <v>0</v>
      </c>
    </row>
    <row r="3089">
      <c r="A3089">
        <f>Skills!A28</f>
        <v/>
      </c>
      <c r="B3089">
        <f>Skills!B28</f>
        <v/>
      </c>
      <c r="C3089">
        <f>Inputs!$B$3&gt;=75</f>
        <v/>
      </c>
      <c r="D3089">
        <f>IF(Skills!C28=1,60+Inputs!$B$25+Inputs!$B$29,IF(Skills!C28=2,90+Inputs!$B$26+Inputs!$B$29,IF(Skills!C28=3,120+Inputs!$B$27+Inputs!$B$29,MAX(0,(Inputs!$B$3-100)*3)+Inputs!$B$28+Inputs!$B$29)))</f>
        <v/>
      </c>
      <c r="E3089">
        <f>INDEX(FactorTable!$B$2:$Y$301, MATCH(ROUND(MIN(300,MAX(1,D3089)),0), FactorTable!$A$2:$A$301,0), Skills!M28+1)</f>
        <v/>
      </c>
      <c r="F3089">
        <f>IF(Skills!N28=TRUE,(Skills!L28/10)*(E3089/1000),Skills!L28/10)+Skills!O28</f>
        <v/>
      </c>
      <c r="G3089">
        <f>Calc!G28</f>
        <v/>
      </c>
      <c r="H3089">
        <f>Calc!H28</f>
        <v/>
      </c>
      <c r="I3089">
        <f>IF(Skills!AA28&lt;&gt;"",1+(Skills!AA28/10)*(U3064/1000)/100,1)</f>
        <v/>
      </c>
      <c r="J3089" t="inlineStr"/>
      <c r="K3089" t="inlineStr"/>
      <c r="L3089" t="inlineStr"/>
      <c r="M3089" t="inlineStr"/>
      <c r="N3089" t="inlineStr"/>
      <c r="O3089">
        <f>(1-Summary!$B$11)*T3089+Summary!$B$11*V3089</f>
        <v/>
      </c>
      <c r="P3089">
        <f>IF(B3105=0,0,O3089/B3105)</f>
        <v/>
      </c>
      <c r="Q3089" t="n">
        <v>0</v>
      </c>
      <c r="R3089" t="n">
        <v>0</v>
      </c>
      <c r="S3089">
        <f>IFERROR(O3089/N3089,0)</f>
        <v/>
      </c>
      <c r="T3089" t="n">
        <v>0</v>
      </c>
      <c r="V3089" t="n">
        <v>0</v>
      </c>
    </row>
    <row r="3090">
      <c r="A3090">
        <f>Skills!A29</f>
        <v/>
      </c>
      <c r="B3090">
        <f>Skills!B29</f>
        <v/>
      </c>
      <c r="C3090">
        <f>Inputs!$B$3&gt;=120</f>
        <v/>
      </c>
      <c r="D3090">
        <f>IF(Skills!C29=1,60+Inputs!$B$25+Inputs!$B$29,IF(Skills!C29=2,90+Inputs!$B$26+Inputs!$B$29,IF(Skills!C29=3,120+Inputs!$B$27+Inputs!$B$29,MAX(0,(Inputs!$B$3-100)*3)+Inputs!$B$28+Inputs!$B$29)))</f>
        <v/>
      </c>
      <c r="E3090">
        <f>INDEX(FactorTable!$B$2:$Y$301, MATCH(ROUND(MIN(300,MAX(1,D3090)),0), FactorTable!$A$2:$A$301,0), Skills!M29+1)</f>
        <v/>
      </c>
      <c r="F3090">
        <f>IF(Skills!N29=TRUE,(Skills!L29/10)*(E3090/1000),Skills!L29/10)+Skills!O29</f>
        <v/>
      </c>
      <c r="G3090">
        <f>Calc!G29</f>
        <v/>
      </c>
      <c r="H3090">
        <f>Calc!H29</f>
        <v/>
      </c>
      <c r="I3090">
        <f>IF(Skills!AA29&lt;&gt;"",1+(Skills!AA29/10)*(U3064/1000)/100,1)</f>
        <v/>
      </c>
      <c r="J3090" t="inlineStr"/>
      <c r="K3090" t="inlineStr"/>
      <c r="L3090" t="inlineStr"/>
      <c r="M3090" t="inlineStr"/>
      <c r="N3090" t="inlineStr"/>
      <c r="O3090">
        <f>(1-Summary!$B$11)*T3090+Summary!$B$11*V3090</f>
        <v/>
      </c>
      <c r="P3090">
        <f>IF(B3105=0,0,O3090/B3105)</f>
        <v/>
      </c>
      <c r="Q3090" t="n">
        <v>0</v>
      </c>
      <c r="R3090" t="n">
        <v>0</v>
      </c>
      <c r="S3090">
        <f>IFERROR(O3090/N3090,0)</f>
        <v/>
      </c>
      <c r="T3090" t="n">
        <v>0</v>
      </c>
      <c r="V3090" t="n">
        <v>0</v>
      </c>
    </row>
    <row r="3091">
      <c r="A3091">
        <f>Skills!A30</f>
        <v/>
      </c>
      <c r="B3091">
        <f>Skills!B30</f>
        <v/>
      </c>
      <c r="C3091">
        <f>Inputs!$B$3&gt;=125</f>
        <v/>
      </c>
      <c r="D3091">
        <f>IF(Skills!C30=1,60+Inputs!$B$25+Inputs!$B$29,IF(Skills!C30=2,90+Inputs!$B$26+Inputs!$B$29,IF(Skills!C30=3,120+Inputs!$B$27+Inputs!$B$29,MAX(0,(Inputs!$B$3-100)*3)+Inputs!$B$28+Inputs!$B$29)))</f>
        <v/>
      </c>
      <c r="E3091">
        <f>INDEX(FactorTable!$B$2:$Y$301, MATCH(ROUND(MIN(300,MAX(1,D3091)),0), FactorTable!$A$2:$A$301,0), Skills!M30+1)</f>
        <v/>
      </c>
      <c r="F3091">
        <f>IF(Skills!N30=TRUE,(Skills!L30/10)*(E3091/1000),Skills!L30/10)+Skills!O30</f>
        <v/>
      </c>
      <c r="G3091">
        <f>Calc!G30</f>
        <v/>
      </c>
      <c r="H3091">
        <f>Calc!H30</f>
        <v/>
      </c>
      <c r="I3091">
        <f>IF(Skills!AA30&lt;&gt;"",1+(Skills!AA30/10)*(U3064/1000)/100,1)</f>
        <v/>
      </c>
      <c r="J3091" t="inlineStr"/>
      <c r="K3091" t="inlineStr"/>
      <c r="L3091" t="inlineStr"/>
      <c r="M3091" t="inlineStr"/>
      <c r="N3091" t="inlineStr"/>
      <c r="O3091">
        <f>(1-Summary!$B$11)*T3091+Summary!$B$11*V3091</f>
        <v/>
      </c>
      <c r="P3091">
        <f>IF(B3105=0,0,O3091/B3105)</f>
        <v/>
      </c>
      <c r="Q3091" t="n">
        <v>0</v>
      </c>
      <c r="R3091" t="n">
        <v>0</v>
      </c>
      <c r="S3091">
        <f>IFERROR(O3091/N3091,0)</f>
        <v/>
      </c>
      <c r="T3091" t="n">
        <v>0</v>
      </c>
      <c r="V3091" t="n">
        <v>0</v>
      </c>
    </row>
    <row r="3092">
      <c r="A3092">
        <f>Skills!A31</f>
        <v/>
      </c>
      <c r="B3092">
        <f>Skills!B31</f>
        <v/>
      </c>
      <c r="C3092">
        <f>Inputs!$B$3&gt;=107</f>
        <v/>
      </c>
      <c r="D3092">
        <f>IF(Skills!C31=1,60+Inputs!$B$25+Inputs!$B$29,IF(Skills!C31=2,90+Inputs!$B$26+Inputs!$B$29,IF(Skills!C31=3,120+Inputs!$B$27+Inputs!$B$29,MAX(0,(Inputs!$B$3-100)*3)+Inputs!$B$28+Inputs!$B$29)))</f>
        <v/>
      </c>
      <c r="E3092">
        <f>INDEX(FactorTable!$B$2:$Y$301, MATCH(ROUND(MIN(300,MAX(1,D3092)),0), FactorTable!$A$2:$A$301,0), Skills!M31+1)</f>
        <v/>
      </c>
      <c r="F3092">
        <f>IF(Skills!N31=TRUE,(Skills!L31/10)*(E3092/1000),Skills!L31/10)+Skills!O31</f>
        <v/>
      </c>
      <c r="G3092">
        <f>Calc!G31</f>
        <v/>
      </c>
      <c r="H3092">
        <f>Calc!H31</f>
        <v/>
      </c>
      <c r="I3092">
        <f>IF(Skills!AA31&lt;&gt;"",1+(Skills!AA31/10)*(U3064/1000)/100,1)</f>
        <v/>
      </c>
      <c r="J3092" t="inlineStr"/>
      <c r="K3092" t="inlineStr"/>
      <c r="L3092" t="inlineStr"/>
      <c r="M3092" t="inlineStr"/>
      <c r="N3092" t="inlineStr"/>
      <c r="O3092">
        <f>(1-Summary!$B$11)*T3092+Summary!$B$11*V3092</f>
        <v/>
      </c>
      <c r="P3092">
        <f>IF(B3105=0,0,O3092/B3105)</f>
        <v/>
      </c>
      <c r="Q3092" t="n">
        <v>0</v>
      </c>
      <c r="R3092" t="n">
        <v>0</v>
      </c>
      <c r="S3092">
        <f>IFERROR(O3092/N3092,0)</f>
        <v/>
      </c>
      <c r="T3092" t="n">
        <v>0</v>
      </c>
      <c r="V3092" t="n">
        <v>0</v>
      </c>
    </row>
    <row r="3094">
      <c r="A3094" t="inlineStr">
        <is>
          <t>Actions Per Second (pre-Adrenalin)</t>
        </is>
      </c>
      <c r="B3094">
        <f>1+MIN(150,150*(1-(1-(Inputs!$B$11+((C3083=TRUE)*(F3083-Calc!F22))+(ArtifactsInput!$M$15-ArtifactsInput!$M$15)*CHOOSE(ArtifactsInput!$N$15+1,8,9.6,11.2,12.8,14.4,16))/150)*(1-((C3080=TRUE)*F3080*IF(AND(Inputs!$B$39&lt;&gt;"pvp",Inputs!$B$44&gt;0),(((R3080-1)*(Skills!Y19*(1+Inputs!$B$34/100))+MIN((Skills!Y19*(1+Inputs!$B$34/100)),MAX(0,Inputs!$B$44-((R3080-1)*Skills!D19))))/Inputs!$B$44),IF(Inputs!$B$39="pvp",MIN((Skills!Y19*(1+Inputs!$B$34/100)),15)/15,(Skills!Y19*(1+Inputs!$B$34/100))/Skills!D19)))/150)))/100</f>
        <v/>
      </c>
    </row>
    <row r="3095">
      <c r="A3095" t="inlineStr">
        <is>
          <t>Alchemic Adrenaline Uptime</t>
        </is>
      </c>
      <c r="B3095">
        <f>(Skills!Y6*(1+Inputs!$B$34/100))/((Skills!Y6*(1+Inputs!$B$34/100))+(5/B3094))</f>
        <v/>
      </c>
    </row>
    <row r="3096">
      <c r="A3096" t="inlineStr">
        <is>
          <t>Attack Speed Buff Bonus %</t>
        </is>
      </c>
      <c r="B3096">
        <f>((C3080=TRUE)*F3080*IF(AND(Inputs!$B$39&lt;&gt;"pvp",Inputs!$B$44&gt;0),(((R3080-1)*(Skills!Y19*(1+Inputs!$B$34/100))+MIN((Skills!Y19*(1+Inputs!$B$34/100)),MAX(0,Inputs!$B$44-((R3080-1)*Skills!D19))))/Inputs!$B$44),IF(Inputs!$B$39="pvp",MIN((Skills!Y19*(1+Inputs!$B$34/100)),15)/15,(Skills!Y19*(1+Inputs!$B$34/100))/Skills!D19)))+((C3068=TRUE)*F3068*B3095)</f>
        <v/>
      </c>
    </row>
    <row r="3097">
      <c r="A3097" t="inlineStr">
        <is>
          <t>Actions Per Second (final)</t>
        </is>
      </c>
      <c r="B3097">
        <f>1+MIN(150,150*(1-(1-(Inputs!$B$11+((C3083=TRUE)*(F3083-Calc!F22))+(ArtifactsInput!$M$15-ArtifactsInput!$M$15)*CHOOSE(ArtifactsInput!$N$15+1,8,9.6,11.2,12.8,14.4,16))/150)*(1-B3096/150)))/100</f>
        <v/>
      </c>
    </row>
    <row r="3098">
      <c r="A3098" t="inlineStr">
        <is>
          <t>Skill + Buff Cast Rate</t>
        </is>
      </c>
      <c r="B3098">
        <f>IF(AND(Inputs!$B$39&lt;&gt;"pvp",Inputs!$B$44&gt;0),SUMPRODUCT((Skills!E2:E31=TRUE)*(C3063:C3092=TRUE)*R3063:R3092*Skills!F2:F31)/Inputs!$B$44,SUMPRODUCT((Skills!E2:E31=TRUE)*(C3063:C3092=TRUE)*Q3063:Q3092*Skills!F2:F31))</f>
        <v/>
      </c>
    </row>
    <row r="3099">
      <c r="A3099" t="inlineStr">
        <is>
          <t>Showdown Casts Per Second</t>
        </is>
      </c>
      <c r="B3099">
        <f>MAX(0,B3097-B3098)</f>
        <v/>
      </c>
    </row>
    <row r="3100">
      <c r="A3100" t="inlineStr">
        <is>
          <t>Average Buff Multiplier</t>
        </is>
      </c>
      <c r="B3100">
        <f>(1+(((C3082=TRUE)*F3082*IF(AND(Inputs!$B$39&lt;&gt;"pvp",Inputs!$B$44&gt;0),(((R3082-1)*(Skills!Y21*(1+Inputs!$B$34/100))+MIN((Skills!Y21*(1+Inputs!$B$34/100)),MAX(0,Inputs!$B$44-((R3082-1)*Skills!D21))))/Inputs!$B$44),IF(Inputs!$B$39="pvp",MIN((Skills!Y21*(1+Inputs!$B$34/100)),15)/15,(Skills!Y21*(1+Inputs!$B$34/100))/Skills!D21)))+((C3089=TRUE)*(F3089-Calc!F28))+((C3079=TRUE)*(F3079-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3076=TRUE)*F3076*IF(AND(Inputs!$B$39&lt;&gt;"pvp",Inputs!$B$44&gt;0),(((R3076-1)*(Skills!Y15*(1+Inputs!$B$34/100))+MIN((Skills!Y15*(1+Inputs!$B$34/100)),MAX(0,Inputs!$B$44-((R3076-1)*Skills!D15))))/Inputs!$B$44),IF(Inputs!$B$39="pvp",MIN((Skills!Y15*(1+Inputs!$B$34/100)),15)/15,(Skills!Y15*(1+Inputs!$B$34/100))/Skills!D15)))/100)*(1+((C3067=TRUE)*F3067*B3095)/100)</f>
        <v/>
      </c>
    </row>
    <row r="3101">
      <c r="A3101" t="inlineStr">
        <is>
          <t>Global Crit Rate Bonus %</t>
        </is>
      </c>
      <c r="B3101">
        <f>IF(Inputs!$B$3&gt;=47,8,0)+((C3081=TRUE)*F3081*IF(AND(Inputs!$B$39&lt;&gt;"pvp",Inputs!$B$44&gt;0),(((R3081-1)*(Skills!Y20*(1+Inputs!$B$34/100))+MIN((Skills!Y20*(1+Inputs!$B$34/100)),MAX(0,Inputs!$B$44-((R3081-1)*Skills!D20))))/Inputs!$B$44),IF(Inputs!$B$39="pvp",MIN((Skills!Y20*(1+Inputs!$B$34/100)),15)/15,(Skills!Y20*(1+Inputs!$B$34/100))/Skills!D20)))</f>
        <v/>
      </c>
    </row>
    <row r="3102">
      <c r="A3102" t="inlineStr">
        <is>
          <t>Global Monster Damage-Taken Bonus %</t>
        </is>
      </c>
      <c r="B3102">
        <f>IF(Inputs!$B$3&gt;=82,15,0)+((C3077=TRUE)*F3077*IF(AND(Inputs!$B$39&lt;&gt;"pvp",Inputs!$B$44&gt;0),(((R3077-1)*(Skills!Y16*(1+Inputs!$B$34/100))+MIN((Skills!Y16*(1+Inputs!$B$34/100)),MAX(0,Inputs!$B$44-((R3077-1)*Skills!D16))))/Inputs!$B$44),IF(Inputs!$B$39="pvp",MIN((Skills!Y16*(1+Inputs!$B$34/100)),15)/15,(Skills!Y16*(1+Inputs!$B$34/100))/Skills!D16)))</f>
        <v/>
      </c>
    </row>
    <row r="3103">
      <c r="A3103" t="inlineStr">
        <is>
          <t>Shadow Partner Average Multiplier</t>
        </is>
      </c>
      <c r="B3103">
        <f>1+((C3072=TRUE)*F3072*I3072*Skills!J11/100)/100</f>
        <v/>
      </c>
    </row>
    <row r="3104">
      <c r="A3104" t="inlineStr">
        <is>
          <t>Global Critical Damage Bonus % (Frailty Curse Mastery Lv.111)</t>
        </is>
      </c>
      <c r="B3104">
        <f>IF(Inputs!$B$3&gt;=111,30,0)*IF(AND(Inputs!$B$39&lt;&gt;"pvp",Inputs!$B$44&gt;0),(((R3077-1)*(Skills!Y16*(1+Inputs!$B$34/100))+MIN((Skills!Y16*(1+Inputs!$B$34/100)),MAX(0,Inputs!$B$44-((R3077-1)*Skills!D16))))/Inputs!$B$44),IF(Inputs!$B$39="pvp",MIN((Skills!Y16*(1+Inputs!$B$34/100)),15)/15,(Skills!Y16*(1+Inputs!$B$34/100))/Skills!D16))</f>
        <v/>
      </c>
    </row>
    <row r="3105">
      <c r="A3105" s="6" t="inlineStr">
        <is>
          <t>TOTAL DPS</t>
        </is>
      </c>
      <c r="B3105" s="6">
        <f>SUM(O3063:O3092)</f>
        <v/>
      </c>
    </row>
    <row r="3106">
      <c r="A3106" t="inlineStr">
        <is>
          <t>Buff-Casting Startup Delay (s, fixed-duration only)</t>
        </is>
      </c>
      <c r="B3106">
        <f>IF(AND(Inputs!$B$39&lt;&gt;"pvp",Inputs!$B$44&gt;0),SUMPRODUCT((Skills!Y2:Y31&gt;0)*(Skills!E2:E31=TRUE)*(C3063:C3092=TRUE))/B3097,0)</f>
        <v/>
      </c>
    </row>
    <row r="3107">
      <c r="A3107" t="inlineStr">
        <is>
          <t>Boss-Only Total DPS (this block's swept value)</t>
        </is>
      </c>
      <c r="B3107">
        <f>SUM(T3063:T3092)</f>
        <v/>
      </c>
    </row>
    <row r="3108">
      <c r="A3108" t="inlineStr">
        <is>
          <t>Normal-Only Total DPS (this block's swept value)</t>
        </is>
      </c>
      <c r="B3108">
        <f>SUM(V3063:V3092)</f>
        <v/>
      </c>
    </row>
    <row r="3110">
      <c r="A3110" s="6" t="inlineStr">
        <is>
          <t>Stat: Ring of Cycles (Equip)</t>
        </is>
      </c>
    </row>
    <row r="3111">
      <c r="A3111" s="5" t="inlineStr">
        <is>
          <t>Key</t>
        </is>
      </c>
      <c r="B3111" s="5" t="inlineStr">
        <is>
          <t>Name</t>
        </is>
      </c>
      <c r="C3111" s="5" t="inlineStr">
        <is>
          <t>Unlocked</t>
        </is>
      </c>
      <c r="D3111" s="5" t="inlineStr">
        <is>
          <t>InputLevel</t>
        </is>
      </c>
      <c r="E3111" s="5" t="inlineStr">
        <is>
          <t>Factor</t>
        </is>
      </c>
      <c r="F3111" s="5" t="inlineStr">
        <is>
          <t>CoefficientPercent</t>
        </is>
      </c>
      <c r="G3111" s="5" t="inlineStr">
        <is>
          <t>EffectiveHits</t>
        </is>
      </c>
      <c r="H3111" s="5" t="inlineStr">
        <is>
          <t>ProcProbability</t>
        </is>
      </c>
      <c r="I3111" s="5" t="inlineStr">
        <is>
          <t>MapleHeroMultiplier</t>
        </is>
      </c>
      <c r="J3111" s="5" t="inlineStr">
        <is>
          <t>BaseDamage</t>
        </is>
      </c>
      <c r="K3111" s="5" t="inlineStr">
        <is>
          <t>BaseHitDamage</t>
        </is>
      </c>
      <c r="L3111" s="5" t="inlineStr">
        <is>
          <t>NonCritAvg</t>
        </is>
      </c>
      <c r="M3111" s="5" t="inlineStr">
        <is>
          <t>CritAvg</t>
        </is>
      </c>
      <c r="N3111" s="5" t="inlineStr">
        <is>
          <t>ExpectedDamage(perHit)</t>
        </is>
      </c>
      <c r="O3111" s="5" t="inlineStr">
        <is>
          <t>DPS</t>
        </is>
      </c>
      <c r="P3111" s="5" t="inlineStr">
        <is>
          <t>% of Total</t>
        </is>
      </c>
      <c r="Q3111" s="5" t="inlineStr">
        <is>
          <t>InvCooldown</t>
        </is>
      </c>
      <c r="R3111" s="5" t="inlineStr">
        <is>
          <t>CastsInFight</t>
        </is>
      </c>
      <c r="S3111" s="5" t="inlineStr">
        <is>
          <t>HitRate(perSec)</t>
        </is>
      </c>
      <c r="U3111" t="inlineStr">
        <is>
          <t>helpers</t>
        </is>
      </c>
    </row>
    <row r="3112">
      <c r="A3112">
        <f>Skills!A2</f>
        <v/>
      </c>
      <c r="B3112">
        <f>Skills!B2</f>
        <v/>
      </c>
      <c r="C3112">
        <f>Inputs!$B$3&gt;=100</f>
        <v/>
      </c>
      <c r="D3112" t="inlineStr"/>
      <c r="E3112" t="inlineStr"/>
      <c r="F3112">
        <f>U3116+Skills!O2</f>
        <v/>
      </c>
      <c r="G3112">
        <f>Calc!G2</f>
        <v/>
      </c>
      <c r="H3112">
        <f>Calc!H2</f>
        <v/>
      </c>
      <c r="I3112">
        <f>IF(Skills!AA2&lt;&gt;"",1+(Skills!AA2/10)*(U3113/1000)/100,1)</f>
        <v/>
      </c>
      <c r="J3112">
        <f>((Inputs!$B$6*(1+Inputs!$B$7/100))+(((Inputs!$B$12*(1+Inputs!$B$13/100))-(Inputs!$B$12*(1+Inputs!$B$13/100)))+0.25*(Inputs!$B$14-Inputs!$B$14))*(1+Inputs!$B$7/100))*(F3112/100)</f>
        <v/>
      </c>
      <c r="K3112">
        <f>J3112*(1+((Inputs!$B$12*(1+Inputs!$B$13/100))*0.01+Inputs!$B$14*0.0025)/100)*(1+Inputs!$B$15/100)*(1+Inputs!$B$16/100)*(5000/(6000+Inputs!$B$43*(1-(100*(1-(1-(Inputs!$B$19+0)/100)*(1-CHOOSE(ArtifactsInput!$N$40+1,5,6,7,8,9,10)/100)^(ArtifactsInput!$M$40-ArtifactsInput!$M$40)))/100)))*(1+(Inputs!$B$24+((C3140=TRUE)*(F3140-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3133=TRUE)*(F3133-Calc!F23))+(((IF(AND(IF(ArtifactsInput!$M$42,FALSE,TRUE),((Inputs!$B$9+((C3135=TRUE)*(F3135-Calc!F25))+B3150+(ArtifactsInput!$M$24-ArtifactsInput!$M$24)*CHOOSE(ArtifactsInput!$N$24+1,10,12,14,16,18,20)+IF(ArtifactsInput!$M$10,CHOOSE(ArtifactsInput!$N$10+1,15,18,21,24,27,30)*(IF(Inputs!$B$39="pvp",MIN(15,15)/15,IF(AND(Inputs!$B$39&lt;&gt;"pvp",Inputs!$B$44&gt;0),MIN(15,Inputs!$B$44)/(Inputs!$B$44),0))),0)))&gt;=100),MIN(100,((Inputs!$B$9+((C3135=TRUE)*(F3135-Calc!F25))+B3150+(ArtifactsInput!$M$24-ArtifactsInput!$M$24)*CHOOSE(ArtifactsInput!$N$24+1,10,12,14,16,18,20)+IF(ArtifactsInput!$M$10,CHOOSE(ArtifactsInput!$N$10+1,15,18,21,24,27,30)*(IF(Inputs!$B$39="pvp",MIN(15,15)/15,IF(AND(Inputs!$B$39&lt;&gt;"pvp",Inputs!$B$44&gt;0),MIN(15,Inputs!$B$44)/(Inputs!$B$44),0))),0)))-100),0))*CHOOSE(ArtifactsInput!$N$42+1,0.6,0.72,0.84,0.96,1.08,1.2))),Inputs!$B$18+((C3139=TRUE)*(F3139-Calc!F29))+(IF(AND(IF(ArtifactsInput!$M$42,FALSE,TRUE),((Inputs!$B$9+((C3135=TRUE)*(F3135-Calc!F25))+B3150+(ArtifactsInput!$M$24-ArtifactsInput!$M$24)*CHOOSE(ArtifactsInput!$N$24+1,10,12,14,16,18,20)+IF(ArtifactsInput!$M$10,CHOOSE(ArtifactsInput!$N$10+1,15,18,21,24,27,30)*(IF(Inputs!$B$39="pvp",MIN(15,15)/15,IF(AND(Inputs!$B$39&lt;&gt;"pvp",Inputs!$B$44&gt;0),MIN(15,Inputs!$B$44)/(Inputs!$B$44),0))),0)))&gt;=100),CHOOSE(ArtifactsInput!$N$42+1,40,48,56,64,72,80),0))))/100)*(((1+(((C3131=TRUE)*F3131*IF(AND(Inputs!$B$39&lt;&gt;"pvp",Inputs!$B$44&gt;0),(((R3131-1)*(Skills!Y21*(1+Inputs!$B$34/100))+MIN((Skills!Y21*(1+Inputs!$B$34/100)),MAX(0,Inputs!$B$44-((R3131-1)*Skills!D21))))/Inputs!$B$44),IF(Inputs!$B$39="pvp",MIN((Skills!Y21*(1+Inputs!$B$34/100)),15)/15,(Skills!Y21*(1+Inputs!$B$34/100))/Skills!D21)))+((C3138=TRUE)*(F3138-Calc!F28))+((C3128=TRUE)*(F3128-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3125=TRUE)*F3125*IF(AND(Inputs!$B$39&lt;&gt;"pvp",Inputs!$B$44&gt;0),(((R3125-1)*(Skills!Y15*(1+Inputs!$B$34/100))+MIN((Skills!Y15*(1+Inputs!$B$34/100)),MAX(0,Inputs!$B$44-((R3125-1)*Skills!D15))))/Inputs!$B$44),IF(Inputs!$B$39="pvp",MIN((Skills!Y15*(1+Inputs!$B$34/100)),15)/15,(Skills!Y15*(1+Inputs!$B$34/100))/Skills!D15)))/100)*(1+((C3116=TRUE)*F3116*B3144)/100))*B3152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3112)</f>
        <v/>
      </c>
      <c r="L3112">
        <f>K3112*(MIN(Inputs!$B$22+((C3134=TRUE)*(F3134-Calc!F24)),(Inputs!$B$23+0+(IF(ArtifactsInput!$M$15,CHOOSE(ArtifactsInput!$N$15+1,25,30,35,40,45,50)/100*(Inputs!$B$11-Inputs!$B$11),0))))/100+(Inputs!$B$23+0+(IF(ArtifactsInput!$M$15,CHOOSE(ArtifactsInput!$N$15+1,25,30,35,40,45,50)/100*(Inputs!$B$11-Inputs!$B$11),0)))/100)/2</f>
        <v/>
      </c>
      <c r="M3112">
        <f>L3112*(1+(Inputs!$B$10+((C3136=TRUE)*(F3136-Calc!F26))+B3153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12">
        <f>L3112*(1-MIN((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3112*(MIN((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12">
        <f>(1-Summary!$B$11)*T3112+Summary!$B$11*V3112</f>
        <v/>
      </c>
      <c r="P3112">
        <f>IF(B3154=0,0,O3112/B3154)</f>
        <v/>
      </c>
      <c r="Q3112" t="n">
        <v>0</v>
      </c>
      <c r="R3112" t="n">
        <v>0</v>
      </c>
      <c r="S3112">
        <f>IFERROR(O3112/N3112,0)</f>
        <v/>
      </c>
      <c r="T3112">
        <f>IF(C3112,(Skills!G2*N3112*B3148)*IF(Inputs!$B$39="pvp",1,1+(Inputs!$B$20+((C3137=TRUE)*(F3137-Calc!F27))+Skills!P2+B3151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Hunt"),CHOOSE(ArtifactsInput!$N$35+1,15,18,21,24,27,30)*(1-EXP(-(0.2*B3146)*5)),0)+IF(AND(ArtifactsInput!$M$22,Inputs!$B$4&lt;&gt;"Chapter Hunt"),CHOOSE(ArtifactsInput!$N$22+1,10,12,14,16,18,20)*((0*(((0.15*B3146*5))^0/1)+1*(((0.15*B3146*5))^1/1)+2*(((0.15*B3146*5))^2/2)+3*(((0.15*B3146*5))^3/6)+4*(((0.15*B3146*5))^4/24)+5*(((0.15*B3146*5))^5/120))/((((0.15*B3146*5))^0/1)+(((0.15*B3146*5))^1/1)+(((0.15*B3146*5))^2/2)+(((0.15*B3146*5))^3/6)+(((0.15*B3146*5))^4/24)+(((0.15*B3146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3112*(1-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3112*(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3112*(1-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3112*(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12">
        <f>MAX(0,(Inputs!$B$3-100)*3)+Inputs!$B$28+Inputs!$B$29</f>
        <v/>
      </c>
      <c r="V3112">
        <f>IF(C3112,(Skills!G2*N3112*B3148)*IF(Inputs!$B$39="pvp",1,(1+(Inputs!$B$21+Skills!Q2+B3151+(IF(ArtifactsInput!$M$33,CHOOSE(ArtifactsInput!$N$33+1,30,36,42,48,54,60),0))+(IF(AND(ArtifactsInput!$M$35,Inputs!$B$4&lt;&gt;"Chapter Hunt"),CHOOSE(ArtifactsInput!$N$35+1,15,18,21,24,27,30)*(1-EXP(-(0.2*B3146)*5)),0)+IF(AND(ArtifactsInput!$M$22,Inputs!$B$4&lt;&gt;"Chapter Hunt"),CHOOSE(ArtifactsInput!$N$22+1,10,12,14,16,18,20)*((0*(((0.15*B3146*5))^0/1)+1*(((0.15*B3146*5))^1/1)+2*(((0.15*B3146*5))^2/2)+3*(((0.15*B3146*5))^3/6)+4*(((0.15*B3146*5))^4/24)+5*(((0.15*B3146*5))^5/120))/((((0.15*B3146*5))^0/1)+(((0.15*B3146*5))^1/1)+(((0.15*B3146*5))^2/2)+(((0.15*B3146*5))^3/6)+(((0.15*B3146*5))^4/24)+(((0.15*B3146*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13">
      <c r="A3113">
        <f>Skills!A3</f>
        <v/>
      </c>
      <c r="B3113">
        <f>Skills!B3</f>
        <v/>
      </c>
      <c r="C3113">
        <f>Inputs!$B$3&gt;=35</f>
        <v/>
      </c>
      <c r="D3113">
        <f>IF(Skills!C3=1,60+Inputs!$B$25+Inputs!$B$29,IF(Skills!C3=2,90+Inputs!$B$26+Inputs!$B$29,IF(Skills!C3=3,120+Inputs!$B$27+Inputs!$B$29,MAX(0,(Inputs!$B$3-100)*3)+Inputs!$B$28+Inputs!$B$29)))</f>
        <v/>
      </c>
      <c r="E3113">
        <f>INDEX(FactorTable!$B$2:$Y$301, MATCH(ROUND(MIN(300,MAX(1,D3113)),0), FactorTable!$A$2:$A$301,0), Skills!M3+1)</f>
        <v/>
      </c>
      <c r="F3113">
        <f>IF(Skills!N3=TRUE,(Skills!L3/10)*(E3113/1000),Skills!L3/10)+Skills!O3</f>
        <v/>
      </c>
      <c r="G3113">
        <f>Calc!G3</f>
        <v/>
      </c>
      <c r="H3113">
        <f>Calc!H3</f>
        <v/>
      </c>
      <c r="I3113">
        <f>IF(Skills!AA3&lt;&gt;"",1+(Skills!AA3/10)*(U3113/1000)/100,1)</f>
        <v/>
      </c>
      <c r="J3113">
        <f>((Inputs!$B$6*(1+Inputs!$B$7/100))+(((Inputs!$B$12*(1+Inputs!$B$13/100))-(Inputs!$B$12*(1+Inputs!$B$13/100)))+0.25*(Inputs!$B$14-Inputs!$B$14))*(1+Inputs!$B$7/100))*(F3113/100)</f>
        <v/>
      </c>
      <c r="K3113">
        <f>J3113*(1+((Inputs!$B$12*(1+Inputs!$B$13/100))*0.01+Inputs!$B$14*0.0025)/100)*(1+Inputs!$B$15/100)*(1+Inputs!$B$16/100)*(5000/(6000+Inputs!$B$43*(1-(100*(1-(1-(Inputs!$B$19+0)/100)*(1-CHOOSE(ArtifactsInput!$N$40+1,5,6,7,8,9,10)/100)^(ArtifactsInput!$M$40-ArtifactsInput!$M$40)))/100)))*(1+(Inputs!$B$24+((C3140=TRUE)*(F3140-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3133=TRUE)*(F3133-Calc!F23))+(((IF(AND(IF(ArtifactsInput!$M$42,FALSE,TRUE),((Inputs!$B$9+((C3135=TRUE)*(F3135-Calc!F25))+B3150+(ArtifactsInput!$M$24-ArtifactsInput!$M$24)*CHOOSE(ArtifactsInput!$N$24+1,10,12,14,16,18,20)+IF(ArtifactsInput!$M$10,CHOOSE(ArtifactsInput!$N$10+1,15,18,21,24,27,30)*(IF(Inputs!$B$39="pvp",MIN(15,15)/15,IF(AND(Inputs!$B$39&lt;&gt;"pvp",Inputs!$B$44&gt;0),MIN(15,Inputs!$B$44)/(Inputs!$B$44),0))),0)))&gt;=100),MIN(100,((Inputs!$B$9+((C3135=TRUE)*(F3135-Calc!F25))+B3150+(ArtifactsInput!$M$24-ArtifactsInput!$M$24)*CHOOSE(ArtifactsInput!$N$24+1,10,12,14,16,18,20)+IF(ArtifactsInput!$M$10,CHOOSE(ArtifactsInput!$N$10+1,15,18,21,24,27,30)*(IF(Inputs!$B$39="pvp",MIN(15,15)/15,IF(AND(Inputs!$B$39&lt;&gt;"pvp",Inputs!$B$44&gt;0),MIN(15,Inputs!$B$44)/(Inputs!$B$44),0))),0)))-100),0))*CHOOSE(ArtifactsInput!$N$42+1,0.6,0.72,0.84,0.96,1.08,1.2))),Inputs!$B$18+((C3139=TRUE)*(F3139-Calc!F29))+(IF(AND(IF(ArtifactsInput!$M$42,FALSE,TRUE),((Inputs!$B$9+((C3135=TRUE)*(F3135-Calc!F25))+B3150+(ArtifactsInput!$M$24-ArtifactsInput!$M$24)*CHOOSE(ArtifactsInput!$N$24+1,10,12,14,16,18,20)+IF(ArtifactsInput!$M$10,CHOOSE(ArtifactsInput!$N$10+1,15,18,21,24,27,30)*(IF(Inputs!$B$39="pvp",MIN(15,15)/15,IF(AND(Inputs!$B$39&lt;&gt;"pvp",Inputs!$B$44&gt;0),MIN(15,Inputs!$B$44)/(Inputs!$B$44),0))),0)))&gt;=100),CHOOSE(ArtifactsInput!$N$42+1,40,48,56,64,72,80),0))))/100)*(((1+(((C3131=TRUE)*F3131*IF(AND(Inputs!$B$39&lt;&gt;"pvp",Inputs!$B$44&gt;0),(((R3131-1)*(Skills!Y21*(1+Inputs!$B$34/100))+MIN((Skills!Y21*(1+Inputs!$B$34/100)),MAX(0,Inputs!$B$44-((R3131-1)*Skills!D21))))/Inputs!$B$44),IF(Inputs!$B$39="pvp",MIN((Skills!Y21*(1+Inputs!$B$34/100)),15)/15,(Skills!Y21*(1+Inputs!$B$34/100))/Skills!D21)))+((C3138=TRUE)*(F3138-Calc!F28))+((C3128=TRUE)*(F3128-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3125=TRUE)*F3125*IF(AND(Inputs!$B$39&lt;&gt;"pvp",Inputs!$B$44&gt;0),(((R3125-1)*(Skills!Y15*(1+Inputs!$B$34/100))+MIN((Skills!Y15*(1+Inputs!$B$34/100)),MAX(0,Inputs!$B$44-((R3125-1)*Skills!D15))))/Inputs!$B$44),IF(Inputs!$B$39="pvp",MIN((Skills!Y15*(1+Inputs!$B$34/100)),15)/15,(Skills!Y15*(1+Inputs!$B$34/100))/Skills!D15)))/100)*(1+((C3116=TRUE)*F3116*B3144)/100))*B3152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3113)</f>
        <v/>
      </c>
      <c r="L3113">
        <f>K3113*(MIN(Inputs!$B$22+((C3134=TRUE)*(F3134-Calc!F24)),(Inputs!$B$23+0+(IF(ArtifactsInput!$M$15,CHOOSE(ArtifactsInput!$N$15+1,25,30,35,40,45,50)/100*(Inputs!$B$11-Inputs!$B$11),0))))/100+(Inputs!$B$23+0+(IF(ArtifactsInput!$M$15,CHOOSE(ArtifactsInput!$N$15+1,25,30,35,40,45,50)/100*(Inputs!$B$11-Inputs!$B$11),0)))/100)/2</f>
        <v/>
      </c>
      <c r="M3113">
        <f>L3113*(1+(Inputs!$B$10+((C3136=TRUE)*(F3136-Calc!F26))+B3153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13">
        <f>L3113*(1-MIN((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3113*(MIN((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13">
        <f>(1-Summary!$B$11)*T3113+Summary!$B$11*V3113</f>
        <v/>
      </c>
      <c r="P3113">
        <f>IF(B3154=0,0,O3113/B3154)</f>
        <v/>
      </c>
      <c r="Q3113">
        <f>IFERROR(1/IF(Inputs!$B$39="pvp",15,MAX(0.1,Skills!D3-IF(Skills!E3=TRUE,Inputs!$B$32,0))),0)</f>
        <v/>
      </c>
      <c r="R3113">
        <f>IF(AND(Inputs!$B$39&lt;&gt;"pvp",Inputs!$B$44&gt;0),IF(MAX(0,Inputs!$B$44-B3155)&lt;=0,0,(INT(MAX(0,Inputs!$B$44-B3155)/IF(Inputs!$B$39="pvp",15,MAX(0.1,Skills!D3-IF(Skills!E3=TRUE,Inputs!$B$32,0))))+1)),0)</f>
        <v/>
      </c>
      <c r="S3113">
        <f>IFERROR(O3113/N3113,0)</f>
        <v/>
      </c>
      <c r="T3113">
        <f>IF(C3113,(H3113*N3113*IF(AND(Inputs!$B$39&lt;&gt;"pvp",Inputs!$B$44&gt;0),((Skills!G3*((R3113-1)*IF(Skills!H3&gt;0,Skills!I3/Skills!H3,1)+IF(Skills!H3&gt;0,MIN(Skills!I3,MAX(0,MAX(0,Inputs!$B$44-B3155)-((R3113-1)*IF(Inputs!$B$39="pvp",15,MAX(0.1,Skills!D3-IF(Skills!E3=TRUE,Inputs!$B$32,0))))))/Skills!H3,1)))/Inputs!$B$44),G3113*Q3113))*IF(Inputs!$B$39="pvp",1,1+(Inputs!$B$20+((C3137=TRUE)*(F3137-Calc!F27))+Skills!P3+B3151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Hunt"),CHOOSE(ArtifactsInput!$N$35+1,15,18,21,24,27,30)*(1-EXP(-(0.2*B3146)*5)),0)+IF(AND(ArtifactsInput!$M$22,Inputs!$B$4&lt;&gt;"Chapter Hunt"),CHOOSE(ArtifactsInput!$N$22+1,10,12,14,16,18,20)*((0*(((0.15*B3146*5))^0/1)+1*(((0.15*B3146*5))^1/1)+2*(((0.15*B3146*5))^2/2)+3*(((0.15*B3146*5))^3/6)+4*(((0.15*B3146*5))^4/24)+5*(((0.15*B3146*5))^5/120))/((((0.15*B3146*5))^0/1)+(((0.15*B3146*5))^1/1)+(((0.15*B3146*5))^2/2)+(((0.15*B3146*5))^3/6)+(((0.15*B3146*5))^4/24)+(((0.15*B3146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3113*(1-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3113*(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3113*(1-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3113*(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13">
        <f>INDEX(FactorTable!$B$2:$Y$301, MATCH(ROUND(MIN(300,MAX(1,U3112)),0), FactorTable!$A$2:$A$301,0), 24)</f>
        <v/>
      </c>
      <c r="V3113">
        <f>IF(C3113,(H3113*N3113*IF(AND(Inputs!$B$39&lt;&gt;"pvp",Inputs!$B$44&gt;0),((Skills!G3*((R3113-1)*IF(Skills!H3&gt;0,Skills!I3/Skills!H3,1)+IF(Skills!H3&gt;0,MIN(Skills!I3,MAX(0,MAX(0,Inputs!$B$44-B3155)-((R3113-1)*IF(Inputs!$B$39="pvp",15,MAX(0.1,Skills!D3-IF(Skills!E3=TRUE,Inputs!$B$32,0))))))/Skills!H3,1)))/Inputs!$B$44),G3113*Q3113))*IF(Inputs!$B$39="pvp",1,(1+(Inputs!$B$21+Skills!Q3+B3151+(IF(ArtifactsInput!$M$33,CHOOSE(ArtifactsInput!$N$33+1,30,36,42,48,54,60),0))+(IF(AND(ArtifactsInput!$M$35,Inputs!$B$4&lt;&gt;"Chapter Hunt"),CHOOSE(ArtifactsInput!$N$35+1,15,18,21,24,27,30)*(1-EXP(-(0.2*B3146)*5)),0)+IF(AND(ArtifactsInput!$M$22,Inputs!$B$4&lt;&gt;"Chapter Hunt"),CHOOSE(ArtifactsInput!$N$22+1,10,12,14,16,18,20)*((0*(((0.15*B3146*5))^0/1)+1*(((0.15*B3146*5))^1/1)+2*(((0.15*B3146*5))^2/2)+3*(((0.15*B3146*5))^3/6)+4*(((0.15*B3146*5))^4/24)+5*(((0.15*B3146*5))^5/120))/((((0.15*B3146*5))^0/1)+(((0.15*B3146*5))^1/1)+(((0.15*B3146*5))^2/2)+(((0.15*B3146*5))^3/6)+(((0.15*B3146*5))^4/24)+(((0.15*B3146*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14">
      <c r="A3114">
        <f>Skills!A4</f>
        <v/>
      </c>
      <c r="B3114">
        <f>Skills!B4</f>
        <v/>
      </c>
      <c r="C3114">
        <f>Inputs!$B$3&gt;=40</f>
        <v/>
      </c>
      <c r="D3114">
        <f>IF(Skills!C4=1,60+Inputs!$B$25+Inputs!$B$29,IF(Skills!C4=2,90+Inputs!$B$26+Inputs!$B$29,IF(Skills!C4=3,120+Inputs!$B$27+Inputs!$B$29,MAX(0,(Inputs!$B$3-100)*3)+Inputs!$B$28+Inputs!$B$29)))</f>
        <v/>
      </c>
      <c r="E3114">
        <f>INDEX(FactorTable!$B$2:$Y$301, MATCH(ROUND(MIN(300,MAX(1,D3114)),0), FactorTable!$A$2:$A$301,0), Skills!M4+1)</f>
        <v/>
      </c>
      <c r="F3114">
        <f>IF(Skills!N4=TRUE,(Skills!L4/10)*(E3114/1000),Skills!L4/10)+Skills!O4</f>
        <v/>
      </c>
      <c r="G3114">
        <f>Calc!G4</f>
        <v/>
      </c>
      <c r="H3114">
        <f>Calc!H4</f>
        <v/>
      </c>
      <c r="I3114">
        <f>IF(Skills!AA4&lt;&gt;"",1+(Skills!AA4/10)*(U3113/1000)/100,1)</f>
        <v/>
      </c>
      <c r="J3114">
        <f>((Inputs!$B$6*(1+Inputs!$B$7/100))+(((Inputs!$B$12*(1+Inputs!$B$13/100))-(Inputs!$B$12*(1+Inputs!$B$13/100)))+0.25*(Inputs!$B$14-Inputs!$B$14))*(1+Inputs!$B$7/100))*(F3114/100)</f>
        <v/>
      </c>
      <c r="K3114">
        <f>J3114*(1+((Inputs!$B$12*(1+Inputs!$B$13/100))*0.01+Inputs!$B$14*0.0025)/100)*(1+Inputs!$B$15/100)*(1+Inputs!$B$16/100)*(5000/(6000+Inputs!$B$43*(1-(100*(1-(1-(Inputs!$B$19+0)/100)*(1-CHOOSE(ArtifactsInput!$N$40+1,5,6,7,8,9,10)/100)^(ArtifactsInput!$M$40-ArtifactsInput!$M$40)))/100)))*(1+(Inputs!$B$24+((C3140=TRUE)*(F3140-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3133=TRUE)*(F3133-Calc!F23))+(((IF(AND(IF(ArtifactsInput!$M$42,FALSE,TRUE),((Inputs!$B$9+((C3135=TRUE)*(F3135-Calc!F25))+B3150+(ArtifactsInput!$M$24-ArtifactsInput!$M$24)*CHOOSE(ArtifactsInput!$N$24+1,10,12,14,16,18,20)+IF(ArtifactsInput!$M$10,CHOOSE(ArtifactsInput!$N$10+1,15,18,21,24,27,30)*(IF(Inputs!$B$39="pvp",MIN(15,15)/15,IF(AND(Inputs!$B$39&lt;&gt;"pvp",Inputs!$B$44&gt;0),MIN(15,Inputs!$B$44)/(Inputs!$B$44),0))),0)))&gt;=100),MIN(100,((Inputs!$B$9+((C3135=TRUE)*(F3135-Calc!F25))+B3150+(ArtifactsInput!$M$24-ArtifactsInput!$M$24)*CHOOSE(ArtifactsInput!$N$24+1,10,12,14,16,18,20)+IF(ArtifactsInput!$M$10,CHOOSE(ArtifactsInput!$N$10+1,15,18,21,24,27,30)*(IF(Inputs!$B$39="pvp",MIN(15,15)/15,IF(AND(Inputs!$B$39&lt;&gt;"pvp",Inputs!$B$44&gt;0),MIN(15,Inputs!$B$44)/(Inputs!$B$44),0))),0)))-100),0))*CHOOSE(ArtifactsInput!$N$42+1,0.6,0.72,0.84,0.96,1.08,1.2))),Inputs!$B$18+((C3139=TRUE)*(F3139-Calc!F29))+(IF(AND(IF(ArtifactsInput!$M$42,FALSE,TRUE),((Inputs!$B$9+((C3135=TRUE)*(F3135-Calc!F25))+B3150+(ArtifactsInput!$M$24-ArtifactsInput!$M$24)*CHOOSE(ArtifactsInput!$N$24+1,10,12,14,16,18,20)+IF(ArtifactsInput!$M$10,CHOOSE(ArtifactsInput!$N$10+1,15,18,21,24,27,30)*(IF(Inputs!$B$39="pvp",MIN(15,15)/15,IF(AND(Inputs!$B$39&lt;&gt;"pvp",Inputs!$B$44&gt;0),MIN(15,Inputs!$B$44)/(Inputs!$B$44),0))),0)))&gt;=100),CHOOSE(ArtifactsInput!$N$42+1,40,48,56,64,72,80),0))))/100)*(((1+(((C3131=TRUE)*F3131*IF(AND(Inputs!$B$39&lt;&gt;"pvp",Inputs!$B$44&gt;0),(((R3131-1)*(Skills!Y21*(1+Inputs!$B$34/100))+MIN((Skills!Y21*(1+Inputs!$B$34/100)),MAX(0,Inputs!$B$44-((R3131-1)*Skills!D21))))/Inputs!$B$44),IF(Inputs!$B$39="pvp",MIN((Skills!Y21*(1+Inputs!$B$34/100)),15)/15,(Skills!Y21*(1+Inputs!$B$34/100))/Skills!D21)))+((C3138=TRUE)*(F3138-Calc!F28))+((C3128=TRUE)*(F3128-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3125=TRUE)*F3125*IF(AND(Inputs!$B$39&lt;&gt;"pvp",Inputs!$B$44&gt;0),(((R3125-1)*(Skills!Y15*(1+Inputs!$B$34/100))+MIN((Skills!Y15*(1+Inputs!$B$34/100)),MAX(0,Inputs!$B$44-((R3125-1)*Skills!D15))))/Inputs!$B$44),IF(Inputs!$B$39="pvp",MIN((Skills!Y15*(1+Inputs!$B$34/100)),15)/15,(Skills!Y15*(1+Inputs!$B$34/100))/Skills!D15)))/100)*(1+((C3116=TRUE)*F3116*B3144)/100))*B3152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3114)</f>
        <v/>
      </c>
      <c r="L3114">
        <f>K3114*(MIN(Inputs!$B$22+((C3134=TRUE)*(F3134-Calc!F24)),(Inputs!$B$23+0+(IF(ArtifactsInput!$M$15,CHOOSE(ArtifactsInput!$N$15+1,25,30,35,40,45,50)/100*(Inputs!$B$11-Inputs!$B$11),0))))/100+(Inputs!$B$23+0+(IF(ArtifactsInput!$M$15,CHOOSE(ArtifactsInput!$N$15+1,25,30,35,40,45,50)/100*(Inputs!$B$11-Inputs!$B$11),0)))/100)/2</f>
        <v/>
      </c>
      <c r="M3114">
        <f>L3114*(1+(Inputs!$B$10+((C3136=TRUE)*(F3136-Calc!F26))+B3153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14">
        <f>L3114*(1-MIN((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3114*(MIN((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14">
        <f>(1-Summary!$B$11)*T3114+Summary!$B$11*V3114</f>
        <v/>
      </c>
      <c r="P3114">
        <f>IF(B3154=0,0,O3114/B3154)</f>
        <v/>
      </c>
      <c r="Q3114">
        <f>IFERROR(1/IF(Inputs!$B$39="pvp",15,MAX(0.1,Skills!D4-IF(Skills!E4=TRUE,Inputs!$B$32,0))),0)</f>
        <v/>
      </c>
      <c r="R3114">
        <f>IF(AND(Inputs!$B$39&lt;&gt;"pvp",Inputs!$B$44&gt;0),IF(MAX(0,Inputs!$B$44-B3155)&lt;=0,0,(INT(MAX(0,Inputs!$B$44-B3155)/IF(Inputs!$B$39="pvp",15,MAX(0.1,Skills!D4-IF(Skills!E4=TRUE,Inputs!$B$32,0))))+1)),0)</f>
        <v/>
      </c>
      <c r="S3114">
        <f>IFERROR(O3114/N3114,0)</f>
        <v/>
      </c>
      <c r="T3114">
        <f>IF(C3114,(H3114*N3114*IF(AND(Inputs!$B$39&lt;&gt;"pvp",Inputs!$B$44&gt;0),((Skills!G4*((R3114-1)*IF(Skills!H4&gt;0,Skills!I4/Skills!H4,1)+IF(Skills!H4&gt;0,MIN(Skills!I4,MAX(0,MAX(0,Inputs!$B$44-B3155)-((R3114-1)*IF(Inputs!$B$39="pvp",15,MAX(0.1,Skills!D4-IF(Skills!E4=TRUE,Inputs!$B$32,0))))))/Skills!H4,1)))/Inputs!$B$44),G3114*Q3114))*IF(Inputs!$B$39="pvp",1,1+(Inputs!$B$20+((C3137=TRUE)*(F3137-Calc!F27))+Skills!P4+B3151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Hunt"),CHOOSE(ArtifactsInput!$N$35+1,15,18,21,24,27,30)*(1-EXP(-(0.2*B3146)*5)),0)+IF(AND(ArtifactsInput!$M$22,Inputs!$B$4&lt;&gt;"Chapter Hunt"),CHOOSE(ArtifactsInput!$N$22+1,10,12,14,16,18,20)*((0*(((0.15*B3146*5))^0/1)+1*(((0.15*B3146*5))^1/1)+2*(((0.15*B3146*5))^2/2)+3*(((0.15*B3146*5))^3/6)+4*(((0.15*B3146*5))^4/24)+5*(((0.15*B3146*5))^5/120))/((((0.15*B3146*5))^0/1)+(((0.15*B3146*5))^1/1)+(((0.15*B3146*5))^2/2)+(((0.15*B3146*5))^3/6)+(((0.15*B3146*5))^4/24)+(((0.15*B3146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3114*(1-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3114*(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3114*(1-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3114*(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14">
        <f>MAX(0,(Inputs!$B$3-100)*3)+Inputs!$B$28+Inputs!$B$29</f>
        <v/>
      </c>
      <c r="V3114">
        <f>IF(C3114,(H3114*N3114*IF(AND(Inputs!$B$39&lt;&gt;"pvp",Inputs!$B$44&gt;0),((Skills!G4*((R3114-1)*IF(Skills!H4&gt;0,Skills!I4/Skills!H4,1)+IF(Skills!H4&gt;0,MIN(Skills!I4,MAX(0,MAX(0,Inputs!$B$44-B3155)-((R3114-1)*IF(Inputs!$B$39="pvp",15,MAX(0.1,Skills!D4-IF(Skills!E4=TRUE,Inputs!$B$32,0))))))/Skills!H4,1)))/Inputs!$B$44),G3114*Q3114))*IF(Inputs!$B$39="pvp",1,(1+(Inputs!$B$21+Skills!Q4+B3151+(IF(ArtifactsInput!$M$33,CHOOSE(ArtifactsInput!$N$33+1,30,36,42,48,54,60),0))+(IF(AND(ArtifactsInput!$M$35,Inputs!$B$4&lt;&gt;"Chapter Hunt"),CHOOSE(ArtifactsInput!$N$35+1,15,18,21,24,27,30)*(1-EXP(-(0.2*B3146)*5)),0)+IF(AND(ArtifactsInput!$M$22,Inputs!$B$4&lt;&gt;"Chapter Hunt"),CHOOSE(ArtifactsInput!$N$22+1,10,12,14,16,18,20)*((0*(((0.15*B3146*5))^0/1)+1*(((0.15*B3146*5))^1/1)+2*(((0.15*B3146*5))^2/2)+3*(((0.15*B3146*5))^3/6)+4*(((0.15*B3146*5))^4/24)+5*(((0.15*B3146*5))^5/120))/((((0.15*B3146*5))^0/1)+(((0.15*B3146*5))^1/1)+(((0.15*B3146*5))^2/2)+(((0.15*B3146*5))^3/6)+(((0.15*B3146*5))^4/24)+(((0.15*B3146*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15">
      <c r="A3115">
        <f>Skills!A5</f>
        <v/>
      </c>
      <c r="B3115">
        <f>Skills!B5</f>
        <v/>
      </c>
      <c r="C3115">
        <f>Inputs!$B$3&gt;=63</f>
        <v/>
      </c>
      <c r="D3115">
        <f>IF(Skills!C5=1,60+Inputs!$B$25+Inputs!$B$29,IF(Skills!C5=2,90+Inputs!$B$26+Inputs!$B$29,IF(Skills!C5=3,120+Inputs!$B$27+Inputs!$B$29,MAX(0,(Inputs!$B$3-100)*3)+Inputs!$B$28+Inputs!$B$29)))</f>
        <v/>
      </c>
      <c r="E3115">
        <f>INDEX(FactorTable!$B$2:$Y$301, MATCH(ROUND(MIN(300,MAX(1,D3115)),0), FactorTable!$A$2:$A$301,0), Skills!M5+1)</f>
        <v/>
      </c>
      <c r="F3115">
        <f>IF(Skills!N5=TRUE,(Skills!L5/10)*(E3115/1000),Skills!L5/10)+Skills!O5</f>
        <v/>
      </c>
      <c r="G3115">
        <f>Calc!G5</f>
        <v/>
      </c>
      <c r="H3115">
        <f>Calc!H5</f>
        <v/>
      </c>
      <c r="I3115">
        <f>IF(Skills!AA5&lt;&gt;"",1+(Skills!AA5/10)*(U3113/1000)/100,1)</f>
        <v/>
      </c>
      <c r="J3115">
        <f>((Inputs!$B$6*(1+Inputs!$B$7/100))+(((Inputs!$B$12*(1+Inputs!$B$13/100))-(Inputs!$B$12*(1+Inputs!$B$13/100)))+0.25*(Inputs!$B$14-Inputs!$B$14))*(1+Inputs!$B$7/100))*(F3115/100)</f>
        <v/>
      </c>
      <c r="K3115">
        <f>J3115*(1+((Inputs!$B$12*(1+Inputs!$B$13/100))*0.01+Inputs!$B$14*0.0025)/100)*(1+Inputs!$B$15/100)*(1+Inputs!$B$16/100)*(5000/(6000+Inputs!$B$43*(1-(100*(1-(1-(Inputs!$B$19+0)/100)*(1-CHOOSE(ArtifactsInput!$N$40+1,5,6,7,8,9,10)/100)^(ArtifactsInput!$M$40-ArtifactsInput!$M$40)))/100)))*(1+(Inputs!$B$24+((C3140=TRUE)*(F3140-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3133=TRUE)*(F3133-Calc!F23))+(((IF(AND(IF(ArtifactsInput!$M$42,FALSE,TRUE),((Inputs!$B$9+((C3135=TRUE)*(F3135-Calc!F25))+B3150+(ArtifactsInput!$M$24-ArtifactsInput!$M$24)*CHOOSE(ArtifactsInput!$N$24+1,10,12,14,16,18,20)+IF(ArtifactsInput!$M$10,CHOOSE(ArtifactsInput!$N$10+1,15,18,21,24,27,30)*(IF(Inputs!$B$39="pvp",MIN(15,15)/15,IF(AND(Inputs!$B$39&lt;&gt;"pvp",Inputs!$B$44&gt;0),MIN(15,Inputs!$B$44)/(Inputs!$B$44),0))),0)))&gt;=100),MIN(100,((Inputs!$B$9+((C3135=TRUE)*(F3135-Calc!F25))+B3150+(ArtifactsInput!$M$24-ArtifactsInput!$M$24)*CHOOSE(ArtifactsInput!$N$24+1,10,12,14,16,18,20)+IF(ArtifactsInput!$M$10,CHOOSE(ArtifactsInput!$N$10+1,15,18,21,24,27,30)*(IF(Inputs!$B$39="pvp",MIN(15,15)/15,IF(AND(Inputs!$B$39&lt;&gt;"pvp",Inputs!$B$44&gt;0),MIN(15,Inputs!$B$44)/(Inputs!$B$44),0))),0)))-100),0))*CHOOSE(ArtifactsInput!$N$42+1,0.6,0.72,0.84,0.96,1.08,1.2))),Inputs!$B$18+((C3139=TRUE)*(F3139-Calc!F29))+(IF(AND(IF(ArtifactsInput!$M$42,FALSE,TRUE),((Inputs!$B$9+((C3135=TRUE)*(F3135-Calc!F25))+B3150+(ArtifactsInput!$M$24-ArtifactsInput!$M$24)*CHOOSE(ArtifactsInput!$N$24+1,10,12,14,16,18,20)+IF(ArtifactsInput!$M$10,CHOOSE(ArtifactsInput!$N$10+1,15,18,21,24,27,30)*(IF(Inputs!$B$39="pvp",MIN(15,15)/15,IF(AND(Inputs!$B$39&lt;&gt;"pvp",Inputs!$B$44&gt;0),MIN(15,Inputs!$B$44)/(Inputs!$B$44),0))),0)))&gt;=100),CHOOSE(ArtifactsInput!$N$42+1,40,48,56,64,72,80),0))))/100)*(((1+(((C3131=TRUE)*F3131*IF(AND(Inputs!$B$39&lt;&gt;"pvp",Inputs!$B$44&gt;0),(((R3131-1)*(Skills!Y21*(1+Inputs!$B$34/100))+MIN((Skills!Y21*(1+Inputs!$B$34/100)),MAX(0,Inputs!$B$44-((R3131-1)*Skills!D21))))/Inputs!$B$44),IF(Inputs!$B$39="pvp",MIN((Skills!Y21*(1+Inputs!$B$34/100)),15)/15,(Skills!Y21*(1+Inputs!$B$34/100))/Skills!D21)))+((C3138=TRUE)*(F3138-Calc!F28))+((C3128=TRUE)*(F3128-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3125=TRUE)*F3125*IF(AND(Inputs!$B$39&lt;&gt;"pvp",Inputs!$B$44&gt;0),(((R3125-1)*(Skills!Y15*(1+Inputs!$B$34/100))+MIN((Skills!Y15*(1+Inputs!$B$34/100)),MAX(0,Inputs!$B$44-((R3125-1)*Skills!D15))))/Inputs!$B$44),IF(Inputs!$B$39="pvp",MIN((Skills!Y15*(1+Inputs!$B$34/100)),15)/15,(Skills!Y15*(1+Inputs!$B$34/100))/Skills!D15)))/100)*(1+((C3116=TRUE)*F3116*B3144)/100))*B3152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3115)</f>
        <v/>
      </c>
      <c r="L3115">
        <f>K3115*(MIN(Inputs!$B$22+((C3134=TRUE)*(F3134-Calc!F24)),(Inputs!$B$23+0+(IF(ArtifactsInput!$M$15,CHOOSE(ArtifactsInput!$N$15+1,25,30,35,40,45,50)/100*(Inputs!$B$11-Inputs!$B$11),0))))/100+(Inputs!$B$23+0+(IF(ArtifactsInput!$M$15,CHOOSE(ArtifactsInput!$N$15+1,25,30,35,40,45,50)/100*(Inputs!$B$11-Inputs!$B$11),0)))/100)/2</f>
        <v/>
      </c>
      <c r="M3115">
        <f>L3115*(1+(Inputs!$B$10+((C3136=TRUE)*(F3136-Calc!F26))+B3153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15">
        <f>L3115*(1-MIN((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3115*(MIN((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15">
        <f>(1-Summary!$B$11)*T3115+Summary!$B$11*V3115</f>
        <v/>
      </c>
      <c r="P3115">
        <f>IF(B3154=0,0,O3115/B3154)</f>
        <v/>
      </c>
      <c r="Q3115">
        <f>IFERROR(1/IF(Inputs!$B$39="pvp",15,MAX(0.1,Skills!D5-IF(Skills!E5=TRUE,Inputs!$B$32,0))),0)</f>
        <v/>
      </c>
      <c r="R3115">
        <f>IF(AND(Inputs!$B$39&lt;&gt;"pvp",Inputs!$B$44&gt;0),IF(MAX(0,Inputs!$B$44-B3155)&lt;=0,0,(INT(MAX(0,Inputs!$B$44-B3155)/IF(Inputs!$B$39="pvp",15,MAX(0.1,Skills!D5-IF(Skills!E5=TRUE,Inputs!$B$32,0))))+1)),0)</f>
        <v/>
      </c>
      <c r="S3115">
        <f>IFERROR(O3115/N3115,0)</f>
        <v/>
      </c>
      <c r="T3115">
        <f>IF(C3115,(H3115*N3115*IF(AND(Inputs!$B$39&lt;&gt;"pvp",Inputs!$B$44&gt;0),((Skills!G5*((R3115-1)*IF(Skills!H5&gt;0,Skills!I5/Skills!H5,1)+IF(Skills!H5&gt;0,MIN(Skills!I5,MAX(0,MAX(0,Inputs!$B$44-B3155)-((R3115-1)*IF(Inputs!$B$39="pvp",15,MAX(0.1,Skills!D5-IF(Skills!E5=TRUE,Inputs!$B$32,0))))))/Skills!H5,1)))/Inputs!$B$44),G3115*Q3115))*IF(Inputs!$B$39="pvp",1,1+(Inputs!$B$20+((C3137=TRUE)*(F3137-Calc!F27))+Skills!P5+B3151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Hunt"),CHOOSE(ArtifactsInput!$N$35+1,15,18,21,24,27,30)*(1-EXP(-(0.2*B3146)*5)),0)+IF(AND(ArtifactsInput!$M$22,Inputs!$B$4&lt;&gt;"Chapter Hunt"),CHOOSE(ArtifactsInput!$N$22+1,10,12,14,16,18,20)*((0*(((0.15*B3146*5))^0/1)+1*(((0.15*B3146*5))^1/1)+2*(((0.15*B3146*5))^2/2)+3*(((0.15*B3146*5))^3/6)+4*(((0.15*B3146*5))^4/24)+5*(((0.15*B3146*5))^5/120))/((((0.15*B3146*5))^0/1)+(((0.15*B3146*5))^1/1)+(((0.15*B3146*5))^2/2)+(((0.15*B3146*5))^3/6)+(((0.15*B3146*5))^4/24)+(((0.15*B3146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3115*(1-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3115*(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3115*(1-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3115*(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15">
        <f>INDEX(FactorTable!$B$2:$Y$301, MATCH(ROUND(MIN(300,MAX(1,U3114)),0), FactorTable!$A$2:$A$301,0), 22)</f>
        <v/>
      </c>
      <c r="V3115">
        <f>IF(C3115,(H3115*N3115*IF(AND(Inputs!$B$39&lt;&gt;"pvp",Inputs!$B$44&gt;0),((Skills!G5*((R3115-1)*IF(Skills!H5&gt;0,Skills!I5/Skills!H5,1)+IF(Skills!H5&gt;0,MIN(Skills!I5,MAX(0,MAX(0,Inputs!$B$44-B3155)-((R3115-1)*IF(Inputs!$B$39="pvp",15,MAX(0.1,Skills!D5-IF(Skills!E5=TRUE,Inputs!$B$32,0))))))/Skills!H5,1)))/Inputs!$B$44),G3115*Q3115))*IF(Inputs!$B$39="pvp",1,(1+(Inputs!$B$21+Skills!Q5+B3151+(IF(ArtifactsInput!$M$33,CHOOSE(ArtifactsInput!$N$33+1,30,36,42,48,54,60),0))+(IF(AND(ArtifactsInput!$M$35,Inputs!$B$4&lt;&gt;"Chapter Hunt"),CHOOSE(ArtifactsInput!$N$35+1,15,18,21,24,27,30)*(1-EXP(-(0.2*B3146)*5)),0)+IF(AND(ArtifactsInput!$M$22,Inputs!$B$4&lt;&gt;"Chapter Hunt"),CHOOSE(ArtifactsInput!$N$22+1,10,12,14,16,18,20)*((0*(((0.15*B3146*5))^0/1)+1*(((0.15*B3146*5))^1/1)+2*(((0.15*B3146*5))^2/2)+3*(((0.15*B3146*5))^3/6)+4*(((0.15*B3146*5))^4/24)+5*(((0.15*B3146*5))^5/120))/((((0.15*B3146*5))^0/1)+(((0.15*B3146*5))^1/1)+(((0.15*B3146*5))^2/2)+(((0.15*B3146*5))^3/6)+(((0.15*B3146*5))^4/24)+(((0.15*B3146*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16">
      <c r="A3116">
        <f>Skills!A6</f>
        <v/>
      </c>
      <c r="B3116">
        <f>Skills!B6</f>
        <v/>
      </c>
      <c r="C3116">
        <f>Inputs!$B$3&gt;=66</f>
        <v/>
      </c>
      <c r="D3116">
        <f>IF(Skills!C6=1,60+Inputs!$B$25+Inputs!$B$29,IF(Skills!C6=2,90+Inputs!$B$26+Inputs!$B$29,IF(Skills!C6=3,120+Inputs!$B$27+Inputs!$B$29,MAX(0,(Inputs!$B$3-100)*3)+Inputs!$B$28+Inputs!$B$29)))</f>
        <v/>
      </c>
      <c r="E3116">
        <f>INDEX(FactorTable!$B$2:$Y$301, MATCH(ROUND(MIN(300,MAX(1,D3116)),0), FactorTable!$A$2:$A$301,0), Skills!M6+1)</f>
        <v/>
      </c>
      <c r="F3116">
        <f>IF(Skills!N6=TRUE,(Skills!L6/10)*(E3116/1000),Skills!L6/10)+Skills!O6</f>
        <v/>
      </c>
      <c r="G3116">
        <f>Calc!G6</f>
        <v/>
      </c>
      <c r="H3116">
        <f>Calc!H6</f>
        <v/>
      </c>
      <c r="I3116">
        <f>IF(Skills!AA6&lt;&gt;"",1+(Skills!AA6/10)*(U3113/1000)/100,1)</f>
        <v/>
      </c>
      <c r="J3116" t="inlineStr"/>
      <c r="K3116" t="inlineStr"/>
      <c r="L3116" t="inlineStr"/>
      <c r="M3116" t="inlineStr"/>
      <c r="N3116" t="inlineStr"/>
      <c r="O3116">
        <f>(1-Summary!$B$11)*T3116+Summary!$B$11*V3116</f>
        <v/>
      </c>
      <c r="P3116">
        <f>IF(B3154=0,0,O3116/B3154)</f>
        <v/>
      </c>
      <c r="Q3116" t="n">
        <v>0</v>
      </c>
      <c r="R3116" t="n">
        <v>0</v>
      </c>
      <c r="S3116">
        <f>IFERROR(O3116/N3116,0)</f>
        <v/>
      </c>
      <c r="T3116" t="n">
        <v>0</v>
      </c>
      <c r="U3116">
        <f>290*U3115/1000</f>
        <v/>
      </c>
      <c r="V3116" t="n">
        <v>0</v>
      </c>
    </row>
    <row r="3117">
      <c r="A3117">
        <f>Skills!A7</f>
        <v/>
      </c>
      <c r="B3117">
        <f>Skills!B7</f>
        <v/>
      </c>
      <c r="C3117">
        <f>Inputs!$B$3&gt;=66</f>
        <v/>
      </c>
      <c r="D3117">
        <f>IF(Skills!C7=1,60+Inputs!$B$25+Inputs!$B$29,IF(Skills!C7=2,90+Inputs!$B$26+Inputs!$B$29,IF(Skills!C7=3,120+Inputs!$B$27+Inputs!$B$29,MAX(0,(Inputs!$B$3-100)*3)+Inputs!$B$28+Inputs!$B$29)))</f>
        <v/>
      </c>
      <c r="E3117">
        <f>INDEX(FactorTable!$B$2:$Y$301, MATCH(ROUND(MIN(300,MAX(1,D3117)),0), FactorTable!$A$2:$A$301,0), Skills!M7+1)</f>
        <v/>
      </c>
      <c r="F3117">
        <f>IF(Skills!N7=TRUE,(Skills!L7/10)*(E3117/1000),Skills!L7/10)+Skills!O7</f>
        <v/>
      </c>
      <c r="G3117">
        <f>Calc!G7</f>
        <v/>
      </c>
      <c r="H3117">
        <f>Calc!H7</f>
        <v/>
      </c>
      <c r="I3117">
        <f>IF(Skills!AA7&lt;&gt;"",1+(Skills!AA7/10)*(U3113/1000)/100,1)</f>
        <v/>
      </c>
      <c r="J3117" t="inlineStr"/>
      <c r="K3117" t="inlineStr"/>
      <c r="L3117" t="inlineStr"/>
      <c r="M3117" t="inlineStr"/>
      <c r="N3117" t="inlineStr"/>
      <c r="O3117">
        <f>(1-Summary!$B$11)*T3117+Summary!$B$11*V3117</f>
        <v/>
      </c>
      <c r="P3117">
        <f>IF(B3154=0,0,O3117/B3154)</f>
        <v/>
      </c>
      <c r="Q3117" t="n">
        <v>0</v>
      </c>
      <c r="R3117" t="n">
        <v>0</v>
      </c>
      <c r="S3117">
        <f>IFERROR(O3117/N3117,0)</f>
        <v/>
      </c>
      <c r="T3117" t="n">
        <v>0</v>
      </c>
      <c r="V3117" t="n">
        <v>0</v>
      </c>
    </row>
    <row r="3118">
      <c r="A3118">
        <f>Skills!A8</f>
        <v/>
      </c>
      <c r="B3118">
        <f>Skills!B8</f>
        <v/>
      </c>
      <c r="C3118">
        <f>Inputs!$B$3&gt;=69</f>
        <v/>
      </c>
      <c r="D3118">
        <f>IF(Skills!C8=1,60+Inputs!$B$25+Inputs!$B$29,IF(Skills!C8=2,90+Inputs!$B$26+Inputs!$B$29,IF(Skills!C8=3,120+Inputs!$B$27+Inputs!$B$29,MAX(0,(Inputs!$B$3-100)*3)+Inputs!$B$28+Inputs!$B$29)))</f>
        <v/>
      </c>
      <c r="E3118">
        <f>INDEX(FactorTable!$B$2:$Y$301, MATCH(ROUND(MIN(300,MAX(1,D3118)),0), FactorTable!$A$2:$A$301,0), Skills!M8+1)</f>
        <v/>
      </c>
      <c r="F3118">
        <f>IF(Skills!N8=TRUE,(Skills!L8/10)*(E3118/1000),Skills!L8/10)+Skills!O8</f>
        <v/>
      </c>
      <c r="G3118">
        <f>Calc!G8</f>
        <v/>
      </c>
      <c r="H3118">
        <f>Calc!H8</f>
        <v/>
      </c>
      <c r="I3118">
        <f>IF(Skills!AA8&lt;&gt;"",1+(Skills!AA8/10)*(U3113/1000)/100,1)</f>
        <v/>
      </c>
      <c r="J3118">
        <f>((Inputs!$B$6*(1+Inputs!$B$7/100))+(((Inputs!$B$12*(1+Inputs!$B$13/100))-(Inputs!$B$12*(1+Inputs!$B$13/100)))+0.25*(Inputs!$B$14-Inputs!$B$14))*(1+Inputs!$B$7/100))*(F3118/100)</f>
        <v/>
      </c>
      <c r="K3118">
        <f>J3118*(1+((Inputs!$B$12*(1+Inputs!$B$13/100))*0.01+Inputs!$B$14*0.0025)/100)*(1+Inputs!$B$15/100)*(1+Inputs!$B$16/100)*(5000/(6000+Inputs!$B$43*(1-(100*(1-(1-(Inputs!$B$19+0)/100)*(1-CHOOSE(ArtifactsInput!$N$40+1,5,6,7,8,9,10)/100)^(ArtifactsInput!$M$40-ArtifactsInput!$M$40)))/100)))*(1+(Inputs!$B$24+((C3140=TRUE)*(F3140-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3133=TRUE)*(F3133-Calc!F23))+(((IF(AND(IF(ArtifactsInput!$M$42,FALSE,TRUE),((Inputs!$B$9+((C3135=TRUE)*(F3135-Calc!F25))+B3150+(ArtifactsInput!$M$24-ArtifactsInput!$M$24)*CHOOSE(ArtifactsInput!$N$24+1,10,12,14,16,18,20)+IF(ArtifactsInput!$M$10,CHOOSE(ArtifactsInput!$N$10+1,15,18,21,24,27,30)*(IF(Inputs!$B$39="pvp",MIN(15,15)/15,IF(AND(Inputs!$B$39&lt;&gt;"pvp",Inputs!$B$44&gt;0),MIN(15,Inputs!$B$44)/(Inputs!$B$44),0))),0)))&gt;=100),MIN(100,((Inputs!$B$9+((C3135=TRUE)*(F3135-Calc!F25))+B3150+(ArtifactsInput!$M$24-ArtifactsInput!$M$24)*CHOOSE(ArtifactsInput!$N$24+1,10,12,14,16,18,20)+IF(ArtifactsInput!$M$10,CHOOSE(ArtifactsInput!$N$10+1,15,18,21,24,27,30)*(IF(Inputs!$B$39="pvp",MIN(15,15)/15,IF(AND(Inputs!$B$39&lt;&gt;"pvp",Inputs!$B$44&gt;0),MIN(15,Inputs!$B$44)/(Inputs!$B$44),0))),0)))-100),0))*CHOOSE(ArtifactsInput!$N$42+1,0.6,0.72,0.84,0.96,1.08,1.2))),Inputs!$B$18+((C3139=TRUE)*(F3139-Calc!F29))+(IF(AND(IF(ArtifactsInput!$M$42,FALSE,TRUE),((Inputs!$B$9+((C3135=TRUE)*(F3135-Calc!F25))+B3150+(ArtifactsInput!$M$24-ArtifactsInput!$M$24)*CHOOSE(ArtifactsInput!$N$24+1,10,12,14,16,18,20)+IF(ArtifactsInput!$M$10,CHOOSE(ArtifactsInput!$N$10+1,15,18,21,24,27,30)*(IF(Inputs!$B$39="pvp",MIN(15,15)/15,IF(AND(Inputs!$B$39&lt;&gt;"pvp",Inputs!$B$44&gt;0),MIN(15,Inputs!$B$44)/(Inputs!$B$44),0))),0)))&gt;=100),CHOOSE(ArtifactsInput!$N$42+1,40,48,56,64,72,80),0))))/100)*(((1+(((C3131=TRUE)*F3131*IF(AND(Inputs!$B$39&lt;&gt;"pvp",Inputs!$B$44&gt;0),(((R3131-1)*(Skills!Y21*(1+Inputs!$B$34/100))+MIN((Skills!Y21*(1+Inputs!$B$34/100)),MAX(0,Inputs!$B$44-((R3131-1)*Skills!D21))))/Inputs!$B$44),IF(Inputs!$B$39="pvp",MIN((Skills!Y21*(1+Inputs!$B$34/100)),15)/15,(Skills!Y21*(1+Inputs!$B$34/100))/Skills!D21)))+((C3138=TRUE)*(F3138-Calc!F28))+((C3128=TRUE)*(F3128-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3125=TRUE)*F3125*IF(AND(Inputs!$B$39&lt;&gt;"pvp",Inputs!$B$44&gt;0),(((R3125-1)*(Skills!Y15*(1+Inputs!$B$34/100))+MIN((Skills!Y15*(1+Inputs!$B$34/100)),MAX(0,Inputs!$B$44-((R3125-1)*Skills!D15))))/Inputs!$B$44),IF(Inputs!$B$39="pvp",MIN((Skills!Y15*(1+Inputs!$B$34/100)),15)/15,(Skills!Y15*(1+Inputs!$B$34/100))/Skills!D15)))/100)*(1+((C3116=TRUE)*F3116*B3144)/100))*B3152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3118)</f>
        <v/>
      </c>
      <c r="L3118">
        <f>K3118*(MIN(Inputs!$B$22+((C3134=TRUE)*(F3134-Calc!F24)),(Inputs!$B$23+0+(IF(ArtifactsInput!$M$15,CHOOSE(ArtifactsInput!$N$15+1,25,30,35,40,45,50)/100*(Inputs!$B$11-Inputs!$B$11),0))))/100+(Inputs!$B$23+0+(IF(ArtifactsInput!$M$15,CHOOSE(ArtifactsInput!$N$15+1,25,30,35,40,45,50)/100*(Inputs!$B$11-Inputs!$B$11),0)))/100)/2</f>
        <v/>
      </c>
      <c r="M3118">
        <f>L3118*(1+(Inputs!$B$10+((C3136=TRUE)*(F3136-Calc!F26))+B3153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18">
        <f>L3118*(1-MIN((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3118*(MIN((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18">
        <f>(1-Summary!$B$11)*T3118+Summary!$B$11*V3118</f>
        <v/>
      </c>
      <c r="P3118">
        <f>IF(B3154=0,0,O3118/B3154)</f>
        <v/>
      </c>
      <c r="Q3118">
        <f>IFERROR(1/IF(Inputs!$B$39="pvp",15,MAX(0.1,Skills!D8-IF(Skills!E8=TRUE,Inputs!$B$32,0))),0)</f>
        <v/>
      </c>
      <c r="R3118">
        <f>IF(AND(Inputs!$B$39&lt;&gt;"pvp",Inputs!$B$44&gt;0),IF(MAX(0,Inputs!$B$44-B3155)&lt;=0,0,(INT(MAX(0,Inputs!$B$44-B3155)/IF(Inputs!$B$39="pvp",15,MAX(0.1,Skills!D8-IF(Skills!E8=TRUE,Inputs!$B$32,0))))+1)),0)</f>
        <v/>
      </c>
      <c r="S3118">
        <f>IFERROR(O3118/N3118,0)</f>
        <v/>
      </c>
      <c r="T3118">
        <f>IF(C3118,(H3118*N3118*IF(AND(Inputs!$B$39&lt;&gt;"pvp",Inputs!$B$44&gt;0),((Skills!G8*((R3118-1)*IF(Skills!H8&gt;0,Skills!I8/Skills!H8,1)+IF(Skills!H8&gt;0,MIN(Skills!I8,MAX(0,MAX(0,Inputs!$B$44-B3155)-((R3118-1)*IF(Inputs!$B$39="pvp",15,MAX(0.1,Skills!D8-IF(Skills!E8=TRUE,Inputs!$B$32,0))))))/Skills!H8,1)))/Inputs!$B$44),G3118*Q3118))*IF(Inputs!$B$39="pvp",1,1+(Inputs!$B$20+((C3137=TRUE)*(F3137-Calc!F27))+Skills!P8+B3151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Hunt"),CHOOSE(ArtifactsInput!$N$35+1,15,18,21,24,27,30)*(1-EXP(-(0.2*B3146)*5)),0)+IF(AND(ArtifactsInput!$M$22,Inputs!$B$4&lt;&gt;"Chapter Hunt"),CHOOSE(ArtifactsInput!$N$22+1,10,12,14,16,18,20)*((0*(((0.15*B3146*5))^0/1)+1*(((0.15*B3146*5))^1/1)+2*(((0.15*B3146*5))^2/2)+3*(((0.15*B3146*5))^3/6)+4*(((0.15*B3146*5))^4/24)+5*(((0.15*B3146*5))^5/120))/((((0.15*B3146*5))^0/1)+(((0.15*B3146*5))^1/1)+(((0.15*B3146*5))^2/2)+(((0.15*B3146*5))^3/6)+(((0.15*B3146*5))^4/24)+(((0.15*B3146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3118*(1-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3118*(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3118*(1-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3118*(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18">
        <f>IF(C3118,(H3118*N3118*IF(AND(Inputs!$B$39&lt;&gt;"pvp",Inputs!$B$44&gt;0),((Skills!G8*((R3118-1)*IF(Skills!H8&gt;0,Skills!I8/Skills!H8,1)+IF(Skills!H8&gt;0,MIN(Skills!I8,MAX(0,MAX(0,Inputs!$B$44-B3155)-((R3118-1)*IF(Inputs!$B$39="pvp",15,MAX(0.1,Skills!D8-IF(Skills!E8=TRUE,Inputs!$B$32,0))))))/Skills!H8,1)))/Inputs!$B$44),G3118*Q3118))*IF(Inputs!$B$39="pvp",1,(1+(Inputs!$B$21+Skills!Q8+B3151+(IF(ArtifactsInput!$M$33,CHOOSE(ArtifactsInput!$N$33+1,30,36,42,48,54,60),0))+(IF(AND(ArtifactsInput!$M$35,Inputs!$B$4&lt;&gt;"Chapter Hunt"),CHOOSE(ArtifactsInput!$N$35+1,15,18,21,24,27,30)*(1-EXP(-(0.2*B3146)*5)),0)+IF(AND(ArtifactsInput!$M$22,Inputs!$B$4&lt;&gt;"Chapter Hunt"),CHOOSE(ArtifactsInput!$N$22+1,10,12,14,16,18,20)*((0*(((0.15*B3146*5))^0/1)+1*(((0.15*B3146*5))^1/1)+2*(((0.15*B3146*5))^2/2)+3*(((0.15*B3146*5))^3/6)+4*(((0.15*B3146*5))^4/24)+5*(((0.15*B3146*5))^5/120))/((((0.15*B3146*5))^0/1)+(((0.15*B3146*5))^1/1)+(((0.15*B3146*5))^2/2)+(((0.15*B3146*5))^3/6)+(((0.15*B3146*5))^4/24)+(((0.15*B3146*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19">
      <c r="A3119">
        <f>Skills!A9</f>
        <v/>
      </c>
      <c r="B3119">
        <f>Skills!B9</f>
        <v/>
      </c>
      <c r="C3119">
        <f>Inputs!$B$3&gt;=72</f>
        <v/>
      </c>
      <c r="D3119">
        <f>IF(Skills!C9=1,60+Inputs!$B$25+Inputs!$B$29,IF(Skills!C9=2,90+Inputs!$B$26+Inputs!$B$29,IF(Skills!C9=3,120+Inputs!$B$27+Inputs!$B$29,MAX(0,(Inputs!$B$3-100)*3)+Inputs!$B$28+Inputs!$B$29)))</f>
        <v/>
      </c>
      <c r="E3119">
        <f>INDEX(FactorTable!$B$2:$Y$301, MATCH(ROUND(MIN(300,MAX(1,D3119)),0), FactorTable!$A$2:$A$301,0), Skills!M9+1)</f>
        <v/>
      </c>
      <c r="F3119">
        <f>IF(Skills!N9=TRUE,(Skills!L9/10)*(E3119/1000),Skills!L9/10)+Skills!O9</f>
        <v/>
      </c>
      <c r="G3119">
        <f>Calc!G9</f>
        <v/>
      </c>
      <c r="H3119">
        <f>Calc!H9</f>
        <v/>
      </c>
      <c r="I3119">
        <f>IF(Skills!AA9&lt;&gt;"",1+(Skills!AA9/10)*(U3113/1000)/100,1)</f>
        <v/>
      </c>
      <c r="J3119">
        <f>((Inputs!$B$6*(1+Inputs!$B$7/100))+(((Inputs!$B$12*(1+Inputs!$B$13/100))-(Inputs!$B$12*(1+Inputs!$B$13/100)))+0.25*(Inputs!$B$14-Inputs!$B$14))*(1+Inputs!$B$7/100))*(F3119/100)</f>
        <v/>
      </c>
      <c r="K3119">
        <f>J3119*(1+((Inputs!$B$12*(1+Inputs!$B$13/100))*0.01+Inputs!$B$14*0.0025)/100)*(1+Inputs!$B$15/100)*(1+Inputs!$B$16/100)*(5000/(6000+Inputs!$B$43*(1-(100*(1-(1-(Inputs!$B$19+0)/100)*(1-CHOOSE(ArtifactsInput!$N$40+1,5,6,7,8,9,10)/100)^(ArtifactsInput!$M$40-ArtifactsInput!$M$40)))/100)))*(1+(Inputs!$B$24+((C3140=TRUE)*(F3140-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3133=TRUE)*(F3133-Calc!F23))+(((IF(AND(IF(ArtifactsInput!$M$42,FALSE,TRUE),((Inputs!$B$9+((C3135=TRUE)*(F3135-Calc!F25))+B3150+(ArtifactsInput!$M$24-ArtifactsInput!$M$24)*CHOOSE(ArtifactsInput!$N$24+1,10,12,14,16,18,20)+IF(ArtifactsInput!$M$10,CHOOSE(ArtifactsInput!$N$10+1,15,18,21,24,27,30)*(IF(Inputs!$B$39="pvp",MIN(15,15)/15,IF(AND(Inputs!$B$39&lt;&gt;"pvp",Inputs!$B$44&gt;0),MIN(15,Inputs!$B$44)/(Inputs!$B$44),0))),0)))&gt;=100),MIN(100,((Inputs!$B$9+((C3135=TRUE)*(F3135-Calc!F25))+B3150+(ArtifactsInput!$M$24-ArtifactsInput!$M$24)*CHOOSE(ArtifactsInput!$N$24+1,10,12,14,16,18,20)+IF(ArtifactsInput!$M$10,CHOOSE(ArtifactsInput!$N$10+1,15,18,21,24,27,30)*(IF(Inputs!$B$39="pvp",MIN(15,15)/15,IF(AND(Inputs!$B$39&lt;&gt;"pvp",Inputs!$B$44&gt;0),MIN(15,Inputs!$B$44)/(Inputs!$B$44),0))),0)))-100),0))*CHOOSE(ArtifactsInput!$N$42+1,0.6,0.72,0.84,0.96,1.08,1.2))),Inputs!$B$18+((C3139=TRUE)*(F3139-Calc!F29))+(IF(AND(IF(ArtifactsInput!$M$42,FALSE,TRUE),((Inputs!$B$9+((C3135=TRUE)*(F3135-Calc!F25))+B3150+(ArtifactsInput!$M$24-ArtifactsInput!$M$24)*CHOOSE(ArtifactsInput!$N$24+1,10,12,14,16,18,20)+IF(ArtifactsInput!$M$10,CHOOSE(ArtifactsInput!$N$10+1,15,18,21,24,27,30)*(IF(Inputs!$B$39="pvp",MIN(15,15)/15,IF(AND(Inputs!$B$39&lt;&gt;"pvp",Inputs!$B$44&gt;0),MIN(15,Inputs!$B$44)/(Inputs!$B$44),0))),0)))&gt;=100),CHOOSE(ArtifactsInput!$N$42+1,40,48,56,64,72,80),0))))/100)*(((1+(((C3131=TRUE)*F3131*IF(AND(Inputs!$B$39&lt;&gt;"pvp",Inputs!$B$44&gt;0),(((R3131-1)*(Skills!Y21*(1+Inputs!$B$34/100))+MIN((Skills!Y21*(1+Inputs!$B$34/100)),MAX(0,Inputs!$B$44-((R3131-1)*Skills!D21))))/Inputs!$B$44),IF(Inputs!$B$39="pvp",MIN((Skills!Y21*(1+Inputs!$B$34/100)),15)/15,(Skills!Y21*(1+Inputs!$B$34/100))/Skills!D21)))+((C3138=TRUE)*(F3138-Calc!F28))+((C3128=TRUE)*(F3128-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3125=TRUE)*F3125*IF(AND(Inputs!$B$39&lt;&gt;"pvp",Inputs!$B$44&gt;0),(((R3125-1)*(Skills!Y15*(1+Inputs!$B$34/100))+MIN((Skills!Y15*(1+Inputs!$B$34/100)),MAX(0,Inputs!$B$44-((R3125-1)*Skills!D15))))/Inputs!$B$44),IF(Inputs!$B$39="pvp",MIN((Skills!Y15*(1+Inputs!$B$34/100)),15)/15,(Skills!Y15*(1+Inputs!$B$34/100))/Skills!D15)))/100)*(1+((C3116=TRUE)*F3116*B3144)/100))*B3152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3119)</f>
        <v/>
      </c>
      <c r="L3119">
        <f>K3119*(MIN(Inputs!$B$22+((C3134=TRUE)*(F3134-Calc!F24)),(Inputs!$B$23+0+(IF(ArtifactsInput!$M$15,CHOOSE(ArtifactsInput!$N$15+1,25,30,35,40,45,50)/100*(Inputs!$B$11-Inputs!$B$11),0))))/100+(Inputs!$B$23+0+(IF(ArtifactsInput!$M$15,CHOOSE(ArtifactsInput!$N$15+1,25,30,35,40,45,50)/100*(Inputs!$B$11-Inputs!$B$11),0)))/100)/2</f>
        <v/>
      </c>
      <c r="M3119">
        <f>L3119*(1+(Inputs!$B$10+((C3136=TRUE)*(F3136-Calc!F26))+B3153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19">
        <f>L3119*(1-MIN((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3119*(MIN((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19">
        <f>(1-Summary!$B$11)*T3119+Summary!$B$11*V3119</f>
        <v/>
      </c>
      <c r="P3119">
        <f>IF(B3154=0,0,O3119/B3154)</f>
        <v/>
      </c>
      <c r="Q3119">
        <f>IFERROR(1/IF(Inputs!$B$39="pvp",15,MAX(0.1,Skills!D9-IF(Skills!E9=TRUE,Inputs!$B$32,0))),0)</f>
        <v/>
      </c>
      <c r="R3119">
        <f>IF(AND(Inputs!$B$39&lt;&gt;"pvp",Inputs!$B$44&gt;0),IF(MAX(0,Inputs!$B$44-B3155)&lt;=0,0,(INT(MAX(0,Inputs!$B$44-B3155)/IF(Inputs!$B$39="pvp",15,MAX(0.1,Skills!D9-IF(Skills!E9=TRUE,Inputs!$B$32,0))))+1)),0)</f>
        <v/>
      </c>
      <c r="S3119">
        <f>IFERROR(O3119/N3119,0)</f>
        <v/>
      </c>
      <c r="T3119">
        <f>IF(C3119,(H3119*N3119*IF(AND(Inputs!$B$39&lt;&gt;"pvp",Inputs!$B$44&gt;0),((Skills!G9*((R3119-1)*IF(Skills!H9&gt;0,Skills!I9/Skills!H9,1)+IF(Skills!H9&gt;0,MIN(Skills!I9,MAX(0,MAX(0,Inputs!$B$44-B3155)-((R3119-1)*IF(Inputs!$B$39="pvp",15,MAX(0.1,Skills!D9-IF(Skills!E9=TRUE,Inputs!$B$32,0))))))/Skills!H9,1)))/Inputs!$B$44),G3119*Q3119))*IF(Inputs!$B$39="pvp",1,1+(Inputs!$B$20+((C3137=TRUE)*(F3137-Calc!F27))+Skills!P9+B3151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Hunt"),CHOOSE(ArtifactsInput!$N$35+1,15,18,21,24,27,30)*(1-EXP(-(0.2*B3146)*5)),0)+IF(AND(ArtifactsInput!$M$22,Inputs!$B$4&lt;&gt;"Chapter Hunt"),CHOOSE(ArtifactsInput!$N$22+1,10,12,14,16,18,20)*((0*(((0.15*B3146*5))^0/1)+1*(((0.15*B3146*5))^1/1)+2*(((0.15*B3146*5))^2/2)+3*(((0.15*B3146*5))^3/6)+4*(((0.15*B3146*5))^4/24)+5*(((0.15*B3146*5))^5/120))/((((0.15*B3146*5))^0/1)+(((0.15*B3146*5))^1/1)+(((0.15*B3146*5))^2/2)+(((0.15*B3146*5))^3/6)+(((0.15*B3146*5))^4/24)+(((0.15*B3146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3119*(1-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3119*(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3119*(1-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3119*(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19">
        <f>IF(C3119,(H3119*N3119*IF(AND(Inputs!$B$39&lt;&gt;"pvp",Inputs!$B$44&gt;0),((Skills!G9*((R3119-1)*IF(Skills!H9&gt;0,Skills!I9/Skills!H9,1)+IF(Skills!H9&gt;0,MIN(Skills!I9,MAX(0,MAX(0,Inputs!$B$44-B3155)-((R3119-1)*IF(Inputs!$B$39="pvp",15,MAX(0.1,Skills!D9-IF(Skills!E9=TRUE,Inputs!$B$32,0))))))/Skills!H9,1)))/Inputs!$B$44),G3119*Q3119))*IF(Inputs!$B$39="pvp",1,(1+(Inputs!$B$21+Skills!Q9+B3151+(IF(ArtifactsInput!$M$33,CHOOSE(ArtifactsInput!$N$33+1,30,36,42,48,54,60),0))+(IF(AND(ArtifactsInput!$M$35,Inputs!$B$4&lt;&gt;"Chapter Hunt"),CHOOSE(ArtifactsInput!$N$35+1,15,18,21,24,27,30)*(1-EXP(-(0.2*B3146)*5)),0)+IF(AND(ArtifactsInput!$M$22,Inputs!$B$4&lt;&gt;"Chapter Hunt"),CHOOSE(ArtifactsInput!$N$22+1,10,12,14,16,18,20)*((0*(((0.15*B3146*5))^0/1)+1*(((0.15*B3146*5))^1/1)+2*(((0.15*B3146*5))^2/2)+3*(((0.15*B3146*5))^3/6)+4*(((0.15*B3146*5))^4/24)+5*(((0.15*B3146*5))^5/120))/((((0.15*B3146*5))^0/1)+(((0.15*B3146*5))^1/1)+(((0.15*B3146*5))^2/2)+(((0.15*B3146*5))^3/6)+(((0.15*B3146*5))^4/24)+(((0.15*B3146*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20">
      <c r="A3120">
        <f>Skills!A10</f>
        <v/>
      </c>
      <c r="B3120">
        <f>Skills!B10</f>
        <v/>
      </c>
      <c r="C3120">
        <f>Inputs!$B$3&gt;=117</f>
        <v/>
      </c>
      <c r="D3120">
        <f>IF(Skills!C10=1,60+Inputs!$B$25+Inputs!$B$29,IF(Skills!C10=2,90+Inputs!$B$26+Inputs!$B$29,IF(Skills!C10=3,120+Inputs!$B$27+Inputs!$B$29,MAX(0,(Inputs!$B$3-100)*3)+Inputs!$B$28+Inputs!$B$29)))</f>
        <v/>
      </c>
      <c r="E3120">
        <f>INDEX(FactorTable!$B$2:$Y$301, MATCH(ROUND(MIN(300,MAX(1,D3120)),0), FactorTable!$A$2:$A$301,0), Skills!M10+1)</f>
        <v/>
      </c>
      <c r="F3120">
        <f>IF(Skills!N10=TRUE,(Skills!L10/10)*(E3120/1000),Skills!L10/10)+Skills!O10</f>
        <v/>
      </c>
      <c r="G3120">
        <f>Calc!G10</f>
        <v/>
      </c>
      <c r="H3120">
        <f>Calc!H10</f>
        <v/>
      </c>
      <c r="I3120">
        <f>IF(Skills!AA10&lt;&gt;"",1+(Skills!AA10/10)*(U3113/1000)/100,1)</f>
        <v/>
      </c>
      <c r="J3120">
        <f>((Inputs!$B$6*(1+Inputs!$B$7/100))+(((Inputs!$B$12*(1+Inputs!$B$13/100))-(Inputs!$B$12*(1+Inputs!$B$13/100)))+0.25*(Inputs!$B$14-Inputs!$B$14))*(1+Inputs!$B$7/100))*(F3120/100)</f>
        <v/>
      </c>
      <c r="K3120">
        <f>J3120*(1+((Inputs!$B$12*(1+Inputs!$B$13/100))*0.01+Inputs!$B$14*0.0025)/100)*(1+Inputs!$B$15/100)*(1+Inputs!$B$16/100)*(5000/(6000+Inputs!$B$43*(1-(100*(1-(1-(Inputs!$B$19+0)/100)*(1-CHOOSE(ArtifactsInput!$N$40+1,5,6,7,8,9,10)/100)^(ArtifactsInput!$M$40-ArtifactsInput!$M$40)))/100)))*(1+(Inputs!$B$24+((C3140=TRUE)*(F3140-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3133=TRUE)*(F3133-Calc!F23))+(((IF(AND(IF(ArtifactsInput!$M$42,FALSE,TRUE),((Inputs!$B$9+((C3135=TRUE)*(F3135-Calc!F25))+B3150+(ArtifactsInput!$M$24-ArtifactsInput!$M$24)*CHOOSE(ArtifactsInput!$N$24+1,10,12,14,16,18,20)+IF(ArtifactsInput!$M$10,CHOOSE(ArtifactsInput!$N$10+1,15,18,21,24,27,30)*(IF(Inputs!$B$39="pvp",MIN(15,15)/15,IF(AND(Inputs!$B$39&lt;&gt;"pvp",Inputs!$B$44&gt;0),MIN(15,Inputs!$B$44)/(Inputs!$B$44),0))),0)))&gt;=100),MIN(100,((Inputs!$B$9+((C3135=TRUE)*(F3135-Calc!F25))+B3150+(ArtifactsInput!$M$24-ArtifactsInput!$M$24)*CHOOSE(ArtifactsInput!$N$24+1,10,12,14,16,18,20)+IF(ArtifactsInput!$M$10,CHOOSE(ArtifactsInput!$N$10+1,15,18,21,24,27,30)*(IF(Inputs!$B$39="pvp",MIN(15,15)/15,IF(AND(Inputs!$B$39&lt;&gt;"pvp",Inputs!$B$44&gt;0),MIN(15,Inputs!$B$44)/(Inputs!$B$44),0))),0)))-100),0))*CHOOSE(ArtifactsInput!$N$42+1,0.6,0.72,0.84,0.96,1.08,1.2))),Inputs!$B$18+((C3139=TRUE)*(F3139-Calc!F29))+(IF(AND(IF(ArtifactsInput!$M$42,FALSE,TRUE),((Inputs!$B$9+((C3135=TRUE)*(F3135-Calc!F25))+B3150+(ArtifactsInput!$M$24-ArtifactsInput!$M$24)*CHOOSE(ArtifactsInput!$N$24+1,10,12,14,16,18,20)+IF(ArtifactsInput!$M$10,CHOOSE(ArtifactsInput!$N$10+1,15,18,21,24,27,30)*(IF(Inputs!$B$39="pvp",MIN(15,15)/15,IF(AND(Inputs!$B$39&lt;&gt;"pvp",Inputs!$B$44&gt;0),MIN(15,Inputs!$B$44)/(Inputs!$B$44),0))),0)))&gt;=100),CHOOSE(ArtifactsInput!$N$42+1,40,48,56,64,72,80),0))))/100)*(((1+(((C3131=TRUE)*F3131*IF(AND(Inputs!$B$39&lt;&gt;"pvp",Inputs!$B$44&gt;0),(((R3131-1)*(Skills!Y21*(1+Inputs!$B$34/100))+MIN((Skills!Y21*(1+Inputs!$B$34/100)),MAX(0,Inputs!$B$44-((R3131-1)*Skills!D21))))/Inputs!$B$44),IF(Inputs!$B$39="pvp",MIN((Skills!Y21*(1+Inputs!$B$34/100)),15)/15,(Skills!Y21*(1+Inputs!$B$34/100))/Skills!D21)))+((C3138=TRUE)*(F3138-Calc!F28))+((C3128=TRUE)*(F3128-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3125=TRUE)*F3125*IF(AND(Inputs!$B$39&lt;&gt;"pvp",Inputs!$B$44&gt;0),(((R3125-1)*(Skills!Y15*(1+Inputs!$B$34/100))+MIN((Skills!Y15*(1+Inputs!$B$34/100)),MAX(0,Inputs!$B$44-((R3125-1)*Skills!D15))))/Inputs!$B$44),IF(Inputs!$B$39="pvp",MIN((Skills!Y15*(1+Inputs!$B$34/100)),15)/15,(Skills!Y15*(1+Inputs!$B$34/100))/Skills!D15)))/100)*(1+((C3116=TRUE)*F3116*B3144)/100))*B3152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3120)</f>
        <v/>
      </c>
      <c r="L3120">
        <f>K3120*(MIN(Inputs!$B$22+((C3134=TRUE)*(F3134-Calc!F24)),(Inputs!$B$23+0+(IF(ArtifactsInput!$M$15,CHOOSE(ArtifactsInput!$N$15+1,25,30,35,40,45,50)/100*(Inputs!$B$11-Inputs!$B$11),0))))/100+(Inputs!$B$23+0+(IF(ArtifactsInput!$M$15,CHOOSE(ArtifactsInput!$N$15+1,25,30,35,40,45,50)/100*(Inputs!$B$11-Inputs!$B$11),0)))/100)/2</f>
        <v/>
      </c>
      <c r="M3120">
        <f>L3120*(1+(Inputs!$B$10+((C3136=TRUE)*(F3136-Calc!F26))+B3153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20">
        <f>L3120*(1-MIN((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3120*(MIN((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20">
        <f>(1-Summary!$B$11)*T3120+Summary!$B$11*V3120</f>
        <v/>
      </c>
      <c r="P3120">
        <f>IF(B3154=0,0,O3120/B3154)</f>
        <v/>
      </c>
      <c r="Q3120" t="n">
        <v>0</v>
      </c>
      <c r="R3120" t="n">
        <v>0</v>
      </c>
      <c r="S3120" t="n">
        <v>0</v>
      </c>
      <c r="T3120">
        <f>IF(C3120,(0.2*SUMPRODUCT((Skills!Z2:Z31=TRUE)*(C3112:C3141=TRUE)*S3112:S3141)*N3120)*IF(Inputs!$B$39="pvp",1,1+(Inputs!$B$20+((C3137=TRUE)*(F3137-Calc!F27))+Skills!P10+B3151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Hunt"),CHOOSE(ArtifactsInput!$N$35+1,15,18,21,24,27,30)*(1-EXP(-(0.2*B3146)*5)),0)+IF(AND(ArtifactsInput!$M$22,Inputs!$B$4&lt;&gt;"Chapter Hunt"),CHOOSE(ArtifactsInput!$N$22+1,10,12,14,16,18,20)*((0*(((0.15*B3146*5))^0/1)+1*(((0.15*B3146*5))^1/1)+2*(((0.15*B3146*5))^2/2)+3*(((0.15*B3146*5))^3/6)+4*(((0.15*B3146*5))^4/24)+5*(((0.15*B3146*5))^5/120))/((((0.15*B3146*5))^0/1)+(((0.15*B3146*5))^1/1)+(((0.15*B3146*5))^2/2)+(((0.15*B3146*5))^3/6)+(((0.15*B3146*5))^4/24)+(((0.15*B3146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3120*(1-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3120*(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3120*(1-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3120*(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20">
        <f>IF(C3120,(0.2*SUMPRODUCT((Skills!Z2:Z31=TRUE)*(C3112:C3141=TRUE)*S3112:S3141)*N3120)*IF(Inputs!$B$39="pvp",1,(1+(Inputs!$B$21+Skills!Q10+B3151+(IF(ArtifactsInput!$M$33,CHOOSE(ArtifactsInput!$N$33+1,30,36,42,48,54,60),0))+(IF(AND(ArtifactsInput!$M$35,Inputs!$B$4&lt;&gt;"Chapter Hunt"),CHOOSE(ArtifactsInput!$N$35+1,15,18,21,24,27,30)*(1-EXP(-(0.2*B3146)*5)),0)+IF(AND(ArtifactsInput!$M$22,Inputs!$B$4&lt;&gt;"Chapter Hunt"),CHOOSE(ArtifactsInput!$N$22+1,10,12,14,16,18,20)*((0*(((0.15*B3146*5))^0/1)+1*(((0.15*B3146*5))^1/1)+2*(((0.15*B3146*5))^2/2)+3*(((0.15*B3146*5))^3/6)+4*(((0.15*B3146*5))^4/24)+5*(((0.15*B3146*5))^5/120))/((((0.15*B3146*5))^0/1)+(((0.15*B3146*5))^1/1)+(((0.15*B3146*5))^2/2)+(((0.15*B3146*5))^3/6)+(((0.15*B3146*5))^4/24)+(((0.15*B3146*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21">
      <c r="A3121">
        <f>Skills!A11</f>
        <v/>
      </c>
      <c r="B3121">
        <f>Skills!B11</f>
        <v/>
      </c>
      <c r="C3121">
        <f>Inputs!$B$3&gt;=60</f>
        <v/>
      </c>
      <c r="D3121">
        <f>IF(Skills!C11=1,60+Inputs!$B$25+Inputs!$B$29,IF(Skills!C11=2,90+Inputs!$B$26+Inputs!$B$29,IF(Skills!C11=3,120+Inputs!$B$27+Inputs!$B$29,MAX(0,(Inputs!$B$3-100)*3)+Inputs!$B$28+Inputs!$B$29)))</f>
        <v/>
      </c>
      <c r="E3121">
        <f>INDEX(FactorTable!$B$2:$Y$301, MATCH(ROUND(MIN(300,MAX(1,D3121)),0), FactorTable!$A$2:$A$301,0), Skills!M11+1)</f>
        <v/>
      </c>
      <c r="F3121">
        <f>IF(Skills!N11=TRUE,(Skills!L11/10)*(E3121/1000),Skills!L11/10)+Skills!O11</f>
        <v/>
      </c>
      <c r="G3121">
        <f>Calc!G11</f>
        <v/>
      </c>
      <c r="H3121">
        <f>Calc!H11</f>
        <v/>
      </c>
      <c r="I3121">
        <f>IF(Skills!AA11&lt;&gt;"",1+(Skills!AA11/10)*(U3113/1000)/100,1)</f>
        <v/>
      </c>
      <c r="J3121" t="inlineStr"/>
      <c r="K3121" t="inlineStr"/>
      <c r="L3121" t="inlineStr"/>
      <c r="M3121" t="inlineStr"/>
      <c r="N3121" t="inlineStr"/>
      <c r="O3121">
        <f>(1-Summary!$B$11)*T3121+Summary!$B$11*V3121</f>
        <v/>
      </c>
      <c r="P3121">
        <f>IF(B3154=0,0,O3121/B3154)</f>
        <v/>
      </c>
      <c r="Q3121" t="n">
        <v>0</v>
      </c>
      <c r="R3121" t="n">
        <v>0</v>
      </c>
      <c r="S3121">
        <f>IFERROR(O3121/N3121,0)</f>
        <v/>
      </c>
      <c r="T3121" t="n">
        <v>0</v>
      </c>
      <c r="V3121" t="n">
        <v>0</v>
      </c>
    </row>
    <row r="3122">
      <c r="A3122">
        <f>Skills!A12</f>
        <v/>
      </c>
      <c r="B3122">
        <f>Skills!B12</f>
        <v/>
      </c>
      <c r="C3122">
        <f>Inputs!$B$3&gt;=103</f>
        <v/>
      </c>
      <c r="D3122">
        <f>IF(Skills!C12=1,60+Inputs!$B$25+Inputs!$B$29,IF(Skills!C12=2,90+Inputs!$B$26+Inputs!$B$29,IF(Skills!C12=3,120+Inputs!$B$27+Inputs!$B$29,MAX(0,(Inputs!$B$3-100)*3)+Inputs!$B$28+Inputs!$B$29)))</f>
        <v/>
      </c>
      <c r="E3122">
        <f>INDEX(FactorTable!$B$2:$Y$301, MATCH(ROUND(MIN(300,MAX(1,D3122)),0), FactorTable!$A$2:$A$301,0), Skills!M12+1)</f>
        <v/>
      </c>
      <c r="F3122">
        <f>IF(Skills!N12=TRUE,(Skills!L12/10)*(E3122/1000),Skills!L12/10)+Skills!O12</f>
        <v/>
      </c>
      <c r="G3122">
        <f>Calc!G12</f>
        <v/>
      </c>
      <c r="H3122">
        <f>Calc!H12</f>
        <v/>
      </c>
      <c r="I3122">
        <f>IF(Skills!AA12&lt;&gt;"",1+(Skills!AA12/10)*(U3113/1000)/100,1)</f>
        <v/>
      </c>
      <c r="J3122">
        <f>((Inputs!$B$6*(1+Inputs!$B$7/100))+(((Inputs!$B$12*(1+Inputs!$B$13/100))-(Inputs!$B$12*(1+Inputs!$B$13/100)))+0.25*(Inputs!$B$14-Inputs!$B$14))*(1+Inputs!$B$7/100))*(F3122/100)</f>
        <v/>
      </c>
      <c r="K3122">
        <f>J3122*(1+((Inputs!$B$12*(1+Inputs!$B$13/100))*0.01+Inputs!$B$14*0.0025)/100)*(1+Inputs!$B$15/100)*(1+Inputs!$B$16/100)*(5000/(6000+Inputs!$B$43*(1-(100*(1-(1-(Inputs!$B$19+0)/100)*(1-CHOOSE(ArtifactsInput!$N$40+1,5,6,7,8,9,10)/100)^(ArtifactsInput!$M$40-ArtifactsInput!$M$40)))/100)))*(1+(Inputs!$B$24+((C3140=TRUE)*(F3140-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3133=TRUE)*(F3133-Calc!F23))+(((IF(AND(IF(ArtifactsInput!$M$42,FALSE,TRUE),((Inputs!$B$9+((C3135=TRUE)*(F3135-Calc!F25))+B3150+(ArtifactsInput!$M$24-ArtifactsInput!$M$24)*CHOOSE(ArtifactsInput!$N$24+1,10,12,14,16,18,20)+IF(ArtifactsInput!$M$10,CHOOSE(ArtifactsInput!$N$10+1,15,18,21,24,27,30)*(IF(Inputs!$B$39="pvp",MIN(15,15)/15,IF(AND(Inputs!$B$39&lt;&gt;"pvp",Inputs!$B$44&gt;0),MIN(15,Inputs!$B$44)/(Inputs!$B$44),0))),0)))&gt;=100),MIN(100,((Inputs!$B$9+((C3135=TRUE)*(F3135-Calc!F25))+B3150+(ArtifactsInput!$M$24-ArtifactsInput!$M$24)*CHOOSE(ArtifactsInput!$N$24+1,10,12,14,16,18,20)+IF(ArtifactsInput!$M$10,CHOOSE(ArtifactsInput!$N$10+1,15,18,21,24,27,30)*(IF(Inputs!$B$39="pvp",MIN(15,15)/15,IF(AND(Inputs!$B$39&lt;&gt;"pvp",Inputs!$B$44&gt;0),MIN(15,Inputs!$B$44)/(Inputs!$B$44),0))),0)))-100),0))*CHOOSE(ArtifactsInput!$N$42+1,0.6,0.72,0.84,0.96,1.08,1.2))),Inputs!$B$18+((C3139=TRUE)*(F3139-Calc!F29))+(IF(AND(IF(ArtifactsInput!$M$42,FALSE,TRUE),((Inputs!$B$9+((C3135=TRUE)*(F3135-Calc!F25))+B3150+(ArtifactsInput!$M$24-ArtifactsInput!$M$24)*CHOOSE(ArtifactsInput!$N$24+1,10,12,14,16,18,20)+IF(ArtifactsInput!$M$10,CHOOSE(ArtifactsInput!$N$10+1,15,18,21,24,27,30)*(IF(Inputs!$B$39="pvp",MIN(15,15)/15,IF(AND(Inputs!$B$39&lt;&gt;"pvp",Inputs!$B$44&gt;0),MIN(15,Inputs!$B$44)/(Inputs!$B$44),0))),0)))&gt;=100),CHOOSE(ArtifactsInput!$N$42+1,40,48,56,64,72,80),0))))/100)*(((1+(((C3131=TRUE)*F3131*IF(AND(Inputs!$B$39&lt;&gt;"pvp",Inputs!$B$44&gt;0),(((R3131-1)*(Skills!Y21*(1+Inputs!$B$34/100))+MIN((Skills!Y21*(1+Inputs!$B$34/100)),MAX(0,Inputs!$B$44-((R3131-1)*Skills!D21))))/Inputs!$B$44),IF(Inputs!$B$39="pvp",MIN((Skills!Y21*(1+Inputs!$B$34/100)),15)/15,(Skills!Y21*(1+Inputs!$B$34/100))/Skills!D21)))+((C3138=TRUE)*(F3138-Calc!F28))+((C3128=TRUE)*(F3128-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3125=TRUE)*F3125*IF(AND(Inputs!$B$39&lt;&gt;"pvp",Inputs!$B$44&gt;0),(((R3125-1)*(Skills!Y15*(1+Inputs!$B$34/100))+MIN((Skills!Y15*(1+Inputs!$B$34/100)),MAX(0,Inputs!$B$44-((R3125-1)*Skills!D15))))/Inputs!$B$44),IF(Inputs!$B$39="pvp",MIN((Skills!Y15*(1+Inputs!$B$34/100)),15)/15,(Skills!Y15*(1+Inputs!$B$34/100))/Skills!D15)))/100)*(1+((C3116=TRUE)*F3116*B3144)/100))*B3152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3122)</f>
        <v/>
      </c>
      <c r="L3122">
        <f>K3122*(MIN(Inputs!$B$22+((C3134=TRUE)*(F3134-Calc!F24)),(Inputs!$B$23+0+(IF(ArtifactsInput!$M$15,CHOOSE(ArtifactsInput!$N$15+1,25,30,35,40,45,50)/100*(Inputs!$B$11-Inputs!$B$11),0))))/100+(Inputs!$B$23+0+(IF(ArtifactsInput!$M$15,CHOOSE(ArtifactsInput!$N$15+1,25,30,35,40,45,50)/100*(Inputs!$B$11-Inputs!$B$11),0)))/100)/2</f>
        <v/>
      </c>
      <c r="M3122">
        <f>L3122*(1+(Inputs!$B$10+((C3136=TRUE)*(F3136-Calc!F26))+B3153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22">
        <f>L3122*(1-MIN((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3122*(MIN((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22">
        <f>(1-Summary!$B$11)*T3122+Summary!$B$11*V3122</f>
        <v/>
      </c>
      <c r="P3122">
        <f>IF(B3154=0,0,O3122/B3154)</f>
        <v/>
      </c>
      <c r="Q3122">
        <f>IFERROR(1/IF(Inputs!$B$39="pvp",15,MAX(0.1,Skills!D12-IF(Skills!E12=TRUE,Inputs!$B$32,0))),0)</f>
        <v/>
      </c>
      <c r="R3122">
        <f>IF(AND(Inputs!$B$39&lt;&gt;"pvp",Inputs!$B$44&gt;0),IF(MAX(0,Inputs!$B$44-B3155)&lt;=0,0,(INT(MAX(0,Inputs!$B$44-B3155)/IF(Inputs!$B$39="pvp",15,MAX(0.1,Skills!D12-IF(Skills!E12=TRUE,Inputs!$B$32,0))))+1)),0)</f>
        <v/>
      </c>
      <c r="S3122">
        <f>IFERROR(O3122/N3122,0)</f>
        <v/>
      </c>
      <c r="T3122">
        <f>IF(C3122,(H3122*N3122*IF(AND(Inputs!$B$39&lt;&gt;"pvp",Inputs!$B$44&gt;0),((Skills!G12*((R3122-1)*IF(Skills!H12&gt;0,Skills!I12/Skills!H12,1)+IF(Skills!H12&gt;0,MIN(Skills!I12,MAX(0,MAX(0,Inputs!$B$44-B3155)-((R3122-1)*IF(Inputs!$B$39="pvp",15,MAX(0.1,Skills!D12-IF(Skills!E12=TRUE,Inputs!$B$32,0))))))/Skills!H12,1)))/Inputs!$B$44),G3122*Q3122))*IF(Inputs!$B$39="pvp",1,1+(Inputs!$B$20+((C3137=TRUE)*(F3137-Calc!F27))+Skills!P12+B3151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Hunt"),CHOOSE(ArtifactsInput!$N$35+1,15,18,21,24,27,30)*(1-EXP(-(0.2*B3146)*5)),0)+IF(AND(ArtifactsInput!$M$22,Inputs!$B$4&lt;&gt;"Chapter Hunt"),CHOOSE(ArtifactsInput!$N$22+1,10,12,14,16,18,20)*((0*(((0.15*B3146*5))^0/1)+1*(((0.15*B3146*5))^1/1)+2*(((0.15*B3146*5))^2/2)+3*(((0.15*B3146*5))^3/6)+4*(((0.15*B3146*5))^4/24)+5*(((0.15*B3146*5))^5/120))/((((0.15*B3146*5))^0/1)+(((0.15*B3146*5))^1/1)+(((0.15*B3146*5))^2/2)+(((0.15*B3146*5))^3/6)+(((0.15*B3146*5))^4/24)+(((0.15*B3146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3122*(1-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3122*(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3122*(1-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3122*(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22">
        <f>IF(C3122,(H3122*N3122*IF(AND(Inputs!$B$39&lt;&gt;"pvp",Inputs!$B$44&gt;0),((Skills!G12*((R3122-1)*IF(Skills!H12&gt;0,Skills!I12/Skills!H12,1)+IF(Skills!H12&gt;0,MIN(Skills!I12,MAX(0,MAX(0,Inputs!$B$44-B3155)-((R3122-1)*IF(Inputs!$B$39="pvp",15,MAX(0.1,Skills!D12-IF(Skills!E12=TRUE,Inputs!$B$32,0))))))/Skills!H12,1)))/Inputs!$B$44),G3122*Q3122))*IF(Inputs!$B$39="pvp",1,(1+(Inputs!$B$21+Skills!Q12+B3151+(IF(ArtifactsInput!$M$33,CHOOSE(ArtifactsInput!$N$33+1,30,36,42,48,54,60),0))+(IF(AND(ArtifactsInput!$M$35,Inputs!$B$4&lt;&gt;"Chapter Hunt"),CHOOSE(ArtifactsInput!$N$35+1,15,18,21,24,27,30)*(1-EXP(-(0.2*B3146)*5)),0)+IF(AND(ArtifactsInput!$M$22,Inputs!$B$4&lt;&gt;"Chapter Hunt"),CHOOSE(ArtifactsInput!$N$22+1,10,12,14,16,18,20)*((0*(((0.15*B3146*5))^0/1)+1*(((0.15*B3146*5))^1/1)+2*(((0.15*B3146*5))^2/2)+3*(((0.15*B3146*5))^3/6)+4*(((0.15*B3146*5))^4/24)+5*(((0.15*B3146*5))^5/120))/((((0.15*B3146*5))^0/1)+(((0.15*B3146*5))^1/1)+(((0.15*B3146*5))^2/2)+(((0.15*B3146*5))^3/6)+(((0.15*B3146*5))^4/24)+(((0.15*B3146*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23">
      <c r="A3123">
        <f>Skills!A13</f>
        <v/>
      </c>
      <c r="B3123">
        <f>Skills!B13</f>
        <v/>
      </c>
      <c r="C3123">
        <f>Inputs!$B$3&gt;=105</f>
        <v/>
      </c>
      <c r="D3123">
        <f>IF(Skills!C13=1,60+Inputs!$B$25+Inputs!$B$29,IF(Skills!C13=2,90+Inputs!$B$26+Inputs!$B$29,IF(Skills!C13=3,120+Inputs!$B$27+Inputs!$B$29,MAX(0,(Inputs!$B$3-100)*3)+Inputs!$B$28+Inputs!$B$29)))</f>
        <v/>
      </c>
      <c r="E3123">
        <f>INDEX(FactorTable!$B$2:$Y$301, MATCH(ROUND(MIN(300,MAX(1,D3123)),0), FactorTable!$A$2:$A$301,0), Skills!M13+1)</f>
        <v/>
      </c>
      <c r="F3123">
        <f>IF(Skills!N13=TRUE,(Skills!L13/10)*(E3123/1000),Skills!L13/10)+Skills!O13</f>
        <v/>
      </c>
      <c r="G3123">
        <f>Calc!G13</f>
        <v/>
      </c>
      <c r="H3123">
        <f>Calc!H13</f>
        <v/>
      </c>
      <c r="I3123">
        <f>IF(Skills!AA13&lt;&gt;"",1+(Skills!AA13/10)*(U3113/1000)/100,1)</f>
        <v/>
      </c>
      <c r="J3123">
        <f>((Inputs!$B$6*(1+Inputs!$B$7/100))+(((Inputs!$B$12*(1+Inputs!$B$13/100))-(Inputs!$B$12*(1+Inputs!$B$13/100)))+0.25*(Inputs!$B$14-Inputs!$B$14))*(1+Inputs!$B$7/100))*(F3123/100)</f>
        <v/>
      </c>
      <c r="K3123">
        <f>J3123*(1+((Inputs!$B$12*(1+Inputs!$B$13/100))*0.01+Inputs!$B$14*0.0025)/100)*(1+Inputs!$B$15/100)*(1+Inputs!$B$16/100)*(5000/(6000+Inputs!$B$43*(1-(100*(1-(1-(Inputs!$B$19+0)/100)*(1-CHOOSE(ArtifactsInput!$N$40+1,5,6,7,8,9,10)/100)^(ArtifactsInput!$M$40-ArtifactsInput!$M$40)))/100)))*(1+(Inputs!$B$24+((C3140=TRUE)*(F3140-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3133=TRUE)*(F3133-Calc!F23))+(((IF(AND(IF(ArtifactsInput!$M$42,FALSE,TRUE),((Inputs!$B$9+((C3135=TRUE)*(F3135-Calc!F25))+B3150+(ArtifactsInput!$M$24-ArtifactsInput!$M$24)*CHOOSE(ArtifactsInput!$N$24+1,10,12,14,16,18,20)+IF(ArtifactsInput!$M$10,CHOOSE(ArtifactsInput!$N$10+1,15,18,21,24,27,30)*(IF(Inputs!$B$39="pvp",MIN(15,15)/15,IF(AND(Inputs!$B$39&lt;&gt;"pvp",Inputs!$B$44&gt;0),MIN(15,Inputs!$B$44)/(Inputs!$B$44),0))),0)))&gt;=100),MIN(100,((Inputs!$B$9+((C3135=TRUE)*(F3135-Calc!F25))+B3150+(ArtifactsInput!$M$24-ArtifactsInput!$M$24)*CHOOSE(ArtifactsInput!$N$24+1,10,12,14,16,18,20)+IF(ArtifactsInput!$M$10,CHOOSE(ArtifactsInput!$N$10+1,15,18,21,24,27,30)*(IF(Inputs!$B$39="pvp",MIN(15,15)/15,IF(AND(Inputs!$B$39&lt;&gt;"pvp",Inputs!$B$44&gt;0),MIN(15,Inputs!$B$44)/(Inputs!$B$44),0))),0)))-100),0))*CHOOSE(ArtifactsInput!$N$42+1,0.6,0.72,0.84,0.96,1.08,1.2))),Inputs!$B$18+((C3139=TRUE)*(F3139-Calc!F29))+(IF(AND(IF(ArtifactsInput!$M$42,FALSE,TRUE),((Inputs!$B$9+((C3135=TRUE)*(F3135-Calc!F25))+B3150+(ArtifactsInput!$M$24-ArtifactsInput!$M$24)*CHOOSE(ArtifactsInput!$N$24+1,10,12,14,16,18,20)+IF(ArtifactsInput!$M$10,CHOOSE(ArtifactsInput!$N$10+1,15,18,21,24,27,30)*(IF(Inputs!$B$39="pvp",MIN(15,15)/15,IF(AND(Inputs!$B$39&lt;&gt;"pvp",Inputs!$B$44&gt;0),MIN(15,Inputs!$B$44)/(Inputs!$B$44),0))),0)))&gt;=100),CHOOSE(ArtifactsInput!$N$42+1,40,48,56,64,72,80),0))))/100)*(((1+(((C3131=TRUE)*F3131*IF(AND(Inputs!$B$39&lt;&gt;"pvp",Inputs!$B$44&gt;0),(((R3131-1)*(Skills!Y21*(1+Inputs!$B$34/100))+MIN((Skills!Y21*(1+Inputs!$B$34/100)),MAX(0,Inputs!$B$44-((R3131-1)*Skills!D21))))/Inputs!$B$44),IF(Inputs!$B$39="pvp",MIN((Skills!Y21*(1+Inputs!$B$34/100)),15)/15,(Skills!Y21*(1+Inputs!$B$34/100))/Skills!D21)))+((C3138=TRUE)*(F3138-Calc!F28))+((C3128=TRUE)*(F3128-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3125=TRUE)*F3125*IF(AND(Inputs!$B$39&lt;&gt;"pvp",Inputs!$B$44&gt;0),(((R3125-1)*(Skills!Y15*(1+Inputs!$B$34/100))+MIN((Skills!Y15*(1+Inputs!$B$34/100)),MAX(0,Inputs!$B$44-((R3125-1)*Skills!D15))))/Inputs!$B$44),IF(Inputs!$B$39="pvp",MIN((Skills!Y15*(1+Inputs!$B$34/100)),15)/15,(Skills!Y15*(1+Inputs!$B$34/100))/Skills!D15)))/100)*(1+((C3116=TRUE)*F3116*B3144)/100))*B3152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3123)</f>
        <v/>
      </c>
      <c r="L3123">
        <f>K3123*(MIN(Inputs!$B$22+((C3134=TRUE)*(F3134-Calc!F24)),(Inputs!$B$23+0+(IF(ArtifactsInput!$M$15,CHOOSE(ArtifactsInput!$N$15+1,25,30,35,40,45,50)/100*(Inputs!$B$11-Inputs!$B$11),0))))/100+(Inputs!$B$23+0+(IF(ArtifactsInput!$M$15,CHOOSE(ArtifactsInput!$N$15+1,25,30,35,40,45,50)/100*(Inputs!$B$11-Inputs!$B$11),0)))/100)/2</f>
        <v/>
      </c>
      <c r="M3123">
        <f>L3123*(1+(Inputs!$B$10+((C3136=TRUE)*(F3136-Calc!F26))+B3153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23">
        <f>L3123*(1-MIN((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3123*(MIN((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23">
        <f>(1-Summary!$B$11)*T3123+Summary!$B$11*V3123</f>
        <v/>
      </c>
      <c r="P3123">
        <f>IF(B3154=0,0,O3123/B3154)</f>
        <v/>
      </c>
      <c r="Q3123">
        <f>IFERROR(1/IF(Inputs!$B$39="pvp",15,MAX(0.1,Skills!D13-IF(Skills!E13=TRUE,Inputs!$B$32,0))),0)</f>
        <v/>
      </c>
      <c r="R3123">
        <f>IF(AND(Inputs!$B$39&lt;&gt;"pvp",Inputs!$B$44&gt;0),IF(MAX(0,Inputs!$B$44-B3155)&lt;=0,0,(INT(MAX(0,Inputs!$B$44-B3155)/IF(Inputs!$B$39="pvp",15,MAX(0.1,Skills!D13-IF(Skills!E13=TRUE,Inputs!$B$32,0))))+1)),0)</f>
        <v/>
      </c>
      <c r="S3123">
        <f>IFERROR(O3123/N3123,0)</f>
        <v/>
      </c>
      <c r="T3123">
        <f>IF(C3123,(H3123*N3123*IF(AND(Inputs!$B$39&lt;&gt;"pvp",Inputs!$B$44&gt;0),((Skills!G13*((R3123-1)*IF(Skills!H13&gt;0,Skills!I13/Skills!H13,1)+IF(Skills!H13&gt;0,MIN(Skills!I13,MAX(0,MAX(0,Inputs!$B$44-B3155)-((R3123-1)*IF(Inputs!$B$39="pvp",15,MAX(0.1,Skills!D13-IF(Skills!E13=TRUE,Inputs!$B$32,0))))))/Skills!H13,1)))/Inputs!$B$44),G3123*Q3123))*IF(Inputs!$B$39="pvp",1,1+(Inputs!$B$20+((C3137=TRUE)*(F3137-Calc!F27))+Skills!P13+B3151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Hunt"),CHOOSE(ArtifactsInput!$N$35+1,15,18,21,24,27,30)*(1-EXP(-(0.2*B3146)*5)),0)+IF(AND(ArtifactsInput!$M$22,Inputs!$B$4&lt;&gt;"Chapter Hunt"),CHOOSE(ArtifactsInput!$N$22+1,10,12,14,16,18,20)*((0*(((0.15*B3146*5))^0/1)+1*(((0.15*B3146*5))^1/1)+2*(((0.15*B3146*5))^2/2)+3*(((0.15*B3146*5))^3/6)+4*(((0.15*B3146*5))^4/24)+5*(((0.15*B3146*5))^5/120))/((((0.15*B3146*5))^0/1)+(((0.15*B3146*5))^1/1)+(((0.15*B3146*5))^2/2)+(((0.15*B3146*5))^3/6)+(((0.15*B3146*5))^4/24)+(((0.15*B3146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3123*(1-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3123*(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3123*(1-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3123*(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23">
        <f>IF(C3123,(H3123*N3123*IF(AND(Inputs!$B$39&lt;&gt;"pvp",Inputs!$B$44&gt;0),((Skills!G13*((R3123-1)*IF(Skills!H13&gt;0,Skills!I13/Skills!H13,1)+IF(Skills!H13&gt;0,MIN(Skills!I13,MAX(0,MAX(0,Inputs!$B$44-B3155)-((R3123-1)*IF(Inputs!$B$39="pvp",15,MAX(0.1,Skills!D13-IF(Skills!E13=TRUE,Inputs!$B$32,0))))))/Skills!H13,1)))/Inputs!$B$44),G3123*Q3123))*IF(Inputs!$B$39="pvp",1,(1+(Inputs!$B$21+Skills!Q13+B3151+(IF(ArtifactsInput!$M$33,CHOOSE(ArtifactsInput!$N$33+1,30,36,42,48,54,60),0))+(IF(AND(ArtifactsInput!$M$35,Inputs!$B$4&lt;&gt;"Chapter Hunt"),CHOOSE(ArtifactsInput!$N$35+1,15,18,21,24,27,30)*(1-EXP(-(0.2*B3146)*5)),0)+IF(AND(ArtifactsInput!$M$22,Inputs!$B$4&lt;&gt;"Chapter Hunt"),CHOOSE(ArtifactsInput!$N$22+1,10,12,14,16,18,20)*((0*(((0.15*B3146*5))^0/1)+1*(((0.15*B3146*5))^1/1)+2*(((0.15*B3146*5))^2/2)+3*(((0.15*B3146*5))^3/6)+4*(((0.15*B3146*5))^4/24)+5*(((0.15*B3146*5))^5/120))/((((0.15*B3146*5))^0/1)+(((0.15*B3146*5))^1/1)+(((0.15*B3146*5))^2/2)+(((0.15*B3146*5))^3/6)+(((0.15*B3146*5))^4/24)+(((0.15*B3146*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24">
      <c r="A3124">
        <f>Skills!A14</f>
        <v/>
      </c>
      <c r="B3124">
        <f>Skills!B14</f>
        <v/>
      </c>
      <c r="C3124">
        <f>Inputs!$B$3&gt;=105</f>
        <v/>
      </c>
      <c r="D3124">
        <f>IF(Skills!C14=1,60+Inputs!$B$25+Inputs!$B$29,IF(Skills!C14=2,90+Inputs!$B$26+Inputs!$B$29,IF(Skills!C14=3,120+Inputs!$B$27+Inputs!$B$29,MAX(0,(Inputs!$B$3-100)*3)+Inputs!$B$28+Inputs!$B$29)))</f>
        <v/>
      </c>
      <c r="E3124">
        <f>INDEX(FactorTable!$B$2:$Y$301, MATCH(ROUND(MIN(300,MAX(1,D3124)),0), FactorTable!$A$2:$A$301,0), Skills!M14+1)</f>
        <v/>
      </c>
      <c r="F3124">
        <f>IF(Skills!N14=TRUE,(Skills!L14/10)*(E3124/1000),Skills!L14/10)+Skills!O14</f>
        <v/>
      </c>
      <c r="G3124">
        <f>Calc!G14</f>
        <v/>
      </c>
      <c r="H3124">
        <f>Calc!H14</f>
        <v/>
      </c>
      <c r="I3124">
        <f>IF(Skills!AA14&lt;&gt;"",1+(Skills!AA14/10)*(U3113/1000)/100,1)</f>
        <v/>
      </c>
      <c r="J3124">
        <f>((Inputs!$B$6*(1+Inputs!$B$7/100))+(((Inputs!$B$12*(1+Inputs!$B$13/100))-(Inputs!$B$12*(1+Inputs!$B$13/100)))+0.25*(Inputs!$B$14-Inputs!$B$14))*(1+Inputs!$B$7/100))*(F3124/100)</f>
        <v/>
      </c>
      <c r="K3124">
        <f>J3124*(1+((Inputs!$B$12*(1+Inputs!$B$13/100))*0.01+Inputs!$B$14*0.0025)/100)*(1+Inputs!$B$15/100)*(1+Inputs!$B$16/100)*(5000/(6000+Inputs!$B$43*(1-(100*(1-(1-(Inputs!$B$19+0)/100)*(1-CHOOSE(ArtifactsInput!$N$40+1,5,6,7,8,9,10)/100)^(ArtifactsInput!$M$40-ArtifactsInput!$M$40)))/100)))*(1+(Inputs!$B$24+((C3140=TRUE)*(F3140-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3133=TRUE)*(F3133-Calc!F23))+(((IF(AND(IF(ArtifactsInput!$M$42,FALSE,TRUE),((Inputs!$B$9+((C3135=TRUE)*(F3135-Calc!F25))+B3150+(ArtifactsInput!$M$24-ArtifactsInput!$M$24)*CHOOSE(ArtifactsInput!$N$24+1,10,12,14,16,18,20)+IF(ArtifactsInput!$M$10,CHOOSE(ArtifactsInput!$N$10+1,15,18,21,24,27,30)*(IF(Inputs!$B$39="pvp",MIN(15,15)/15,IF(AND(Inputs!$B$39&lt;&gt;"pvp",Inputs!$B$44&gt;0),MIN(15,Inputs!$B$44)/(Inputs!$B$44),0))),0)))&gt;=100),MIN(100,((Inputs!$B$9+((C3135=TRUE)*(F3135-Calc!F25))+B3150+(ArtifactsInput!$M$24-ArtifactsInput!$M$24)*CHOOSE(ArtifactsInput!$N$24+1,10,12,14,16,18,20)+IF(ArtifactsInput!$M$10,CHOOSE(ArtifactsInput!$N$10+1,15,18,21,24,27,30)*(IF(Inputs!$B$39="pvp",MIN(15,15)/15,IF(AND(Inputs!$B$39&lt;&gt;"pvp",Inputs!$B$44&gt;0),MIN(15,Inputs!$B$44)/(Inputs!$B$44),0))),0)))-100),0))*CHOOSE(ArtifactsInput!$N$42+1,0.6,0.72,0.84,0.96,1.08,1.2))),Inputs!$B$18+((C3139=TRUE)*(F3139-Calc!F29))+(IF(AND(IF(ArtifactsInput!$M$42,FALSE,TRUE),((Inputs!$B$9+((C3135=TRUE)*(F3135-Calc!F25))+B3150+(ArtifactsInput!$M$24-ArtifactsInput!$M$24)*CHOOSE(ArtifactsInput!$N$24+1,10,12,14,16,18,20)+IF(ArtifactsInput!$M$10,CHOOSE(ArtifactsInput!$N$10+1,15,18,21,24,27,30)*(IF(Inputs!$B$39="pvp",MIN(15,15)/15,IF(AND(Inputs!$B$39&lt;&gt;"pvp",Inputs!$B$44&gt;0),MIN(15,Inputs!$B$44)/(Inputs!$B$44),0))),0)))&gt;=100),CHOOSE(ArtifactsInput!$N$42+1,40,48,56,64,72,80),0))))/100)*(((1+(((C3131=TRUE)*F3131*IF(AND(Inputs!$B$39&lt;&gt;"pvp",Inputs!$B$44&gt;0),(((R3131-1)*(Skills!Y21*(1+Inputs!$B$34/100))+MIN((Skills!Y21*(1+Inputs!$B$34/100)),MAX(0,Inputs!$B$44-((R3131-1)*Skills!D21))))/Inputs!$B$44),IF(Inputs!$B$39="pvp",MIN((Skills!Y21*(1+Inputs!$B$34/100)),15)/15,(Skills!Y21*(1+Inputs!$B$34/100))/Skills!D21)))+((C3138=TRUE)*(F3138-Calc!F28))+((C3128=TRUE)*(F3128-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3125=TRUE)*F3125*IF(AND(Inputs!$B$39&lt;&gt;"pvp",Inputs!$B$44&gt;0),(((R3125-1)*(Skills!Y15*(1+Inputs!$B$34/100))+MIN((Skills!Y15*(1+Inputs!$B$34/100)),MAX(0,Inputs!$B$44-((R3125-1)*Skills!D15))))/Inputs!$B$44),IF(Inputs!$B$39="pvp",MIN((Skills!Y15*(1+Inputs!$B$34/100)),15)/15,(Skills!Y15*(1+Inputs!$B$34/100))/Skills!D15)))/100)*(1+((C3116=TRUE)*F3116*B3144)/100))*B3152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3124)</f>
        <v/>
      </c>
      <c r="L3124">
        <f>K3124*(MIN(Inputs!$B$22+((C3134=TRUE)*(F3134-Calc!F24)),(Inputs!$B$23+0+(IF(ArtifactsInput!$M$15,CHOOSE(ArtifactsInput!$N$15+1,25,30,35,40,45,50)/100*(Inputs!$B$11-Inputs!$B$11),0))))/100+(Inputs!$B$23+0+(IF(ArtifactsInput!$M$15,CHOOSE(ArtifactsInput!$N$15+1,25,30,35,40,45,50)/100*(Inputs!$B$11-Inputs!$B$11),0)))/100)/2</f>
        <v/>
      </c>
      <c r="M3124">
        <f>L3124*(1+(Inputs!$B$10+((C3136=TRUE)*(F3136-Calc!F26))+B3153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24">
        <f>L3124*(1-MIN((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3124*(MIN((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24">
        <f>(1-Summary!$B$11)*T3124+Summary!$B$11*V3124</f>
        <v/>
      </c>
      <c r="P3124">
        <f>IF(B3154=0,0,O3124/B3154)</f>
        <v/>
      </c>
      <c r="Q3124">
        <f>IFERROR(1/IF(Inputs!$B$39="pvp",15,MAX(0.1,Skills!D14-IF(Skills!E14=TRUE,Inputs!$B$32,0))),0)</f>
        <v/>
      </c>
      <c r="R3124">
        <f>IF(AND(Inputs!$B$39&lt;&gt;"pvp",Inputs!$B$44&gt;0),IF(MAX(0,Inputs!$B$44-B3155)&lt;=0,0,(INT(MAX(0,Inputs!$B$44-B3155)/IF(Inputs!$B$39="pvp",15,MAX(0.1,Skills!D14-IF(Skills!E14=TRUE,Inputs!$B$32,0))))+1)),0)</f>
        <v/>
      </c>
      <c r="S3124">
        <f>IFERROR(O3124/N3124,0)</f>
        <v/>
      </c>
      <c r="T3124">
        <f>IF(C3124,(H3124*N3124*IF(AND(Inputs!$B$39&lt;&gt;"pvp",Inputs!$B$44&gt;0),((Skills!G14*((R3124-1)*IF(Skills!H14&gt;0,Skills!I14/Skills!H14,1)+IF(Skills!H14&gt;0,MIN(Skills!I14,MAX(0,MAX(0,Inputs!$B$44-B3155)-((R3124-1)*IF(Inputs!$B$39="pvp",15,MAX(0.1,Skills!D14-IF(Skills!E14=TRUE,Inputs!$B$32,0))))))/Skills!H14,1)))/Inputs!$B$44),G3124*Q3124))*IF(Inputs!$B$39="pvp",1,1+(Inputs!$B$20+((C3137=TRUE)*(F3137-Calc!F27))+Skills!P14+B3151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Hunt"),CHOOSE(ArtifactsInput!$N$35+1,15,18,21,24,27,30)*(1-EXP(-(0.2*B3146)*5)),0)+IF(AND(ArtifactsInput!$M$22,Inputs!$B$4&lt;&gt;"Chapter Hunt"),CHOOSE(ArtifactsInput!$N$22+1,10,12,14,16,18,20)*((0*(((0.15*B3146*5))^0/1)+1*(((0.15*B3146*5))^1/1)+2*(((0.15*B3146*5))^2/2)+3*(((0.15*B3146*5))^3/6)+4*(((0.15*B3146*5))^4/24)+5*(((0.15*B3146*5))^5/120))/((((0.15*B3146*5))^0/1)+(((0.15*B3146*5))^1/1)+(((0.15*B3146*5))^2/2)+(((0.15*B3146*5))^3/6)+(((0.15*B3146*5))^4/24)+(((0.15*B3146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3124*(1-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3124*(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3124*(1-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3124*(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24">
        <f>IF(C3124,(H3124*N3124*IF(AND(Inputs!$B$39&lt;&gt;"pvp",Inputs!$B$44&gt;0),((Skills!G14*((R3124-1)*IF(Skills!H14&gt;0,Skills!I14/Skills!H14,1)+IF(Skills!H14&gt;0,MIN(Skills!I14,MAX(0,MAX(0,Inputs!$B$44-B3155)-((R3124-1)*IF(Inputs!$B$39="pvp",15,MAX(0.1,Skills!D14-IF(Skills!E14=TRUE,Inputs!$B$32,0))))))/Skills!H14,1)))/Inputs!$B$44),G3124*Q3124))*IF(Inputs!$B$39="pvp",1,(1+(Inputs!$B$21+Skills!Q14+B3151+(IF(ArtifactsInput!$M$33,CHOOSE(ArtifactsInput!$N$33+1,30,36,42,48,54,60),0))+(IF(AND(ArtifactsInput!$M$35,Inputs!$B$4&lt;&gt;"Chapter Hunt"),CHOOSE(ArtifactsInput!$N$35+1,15,18,21,24,27,30)*(1-EXP(-(0.2*B3146)*5)),0)+IF(AND(ArtifactsInput!$M$22,Inputs!$B$4&lt;&gt;"Chapter Hunt"),CHOOSE(ArtifactsInput!$N$22+1,10,12,14,16,18,20)*((0*(((0.15*B3146*5))^0/1)+1*(((0.15*B3146*5))^1/1)+2*(((0.15*B3146*5))^2/2)+3*(((0.15*B3146*5))^3/6)+4*(((0.15*B3146*5))^4/24)+5*(((0.15*B3146*5))^5/120))/((((0.15*B3146*5))^0/1)+(((0.15*B3146*5))^1/1)+(((0.15*B3146*5))^2/2)+(((0.15*B3146*5))^3/6)+(((0.15*B3146*5))^4/24)+(((0.15*B3146*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25">
      <c r="A3125">
        <f>Skills!A15</f>
        <v/>
      </c>
      <c r="B3125">
        <f>Skills!B15</f>
        <v/>
      </c>
      <c r="C3125">
        <f>Inputs!$B$3&gt;=110</f>
        <v/>
      </c>
      <c r="D3125">
        <f>IF(Skills!C15=1,60+Inputs!$B$25+Inputs!$B$29,IF(Skills!C15=2,90+Inputs!$B$26+Inputs!$B$29,IF(Skills!C15=3,120+Inputs!$B$27+Inputs!$B$29,MAX(0,(Inputs!$B$3-100)*3)+Inputs!$B$28+Inputs!$B$29)))</f>
        <v/>
      </c>
      <c r="E3125">
        <f>INDEX(FactorTable!$B$2:$Y$301, MATCH(ROUND(MIN(300,MAX(1,D3125)),0), FactorTable!$A$2:$A$301,0), Skills!M15+1)</f>
        <v/>
      </c>
      <c r="F3125">
        <f>IF(Skills!N15=TRUE,(Skills!L15/10)*(E3125/1000),Skills!L15/10)+Skills!O15</f>
        <v/>
      </c>
      <c r="G3125">
        <f>Calc!G15</f>
        <v/>
      </c>
      <c r="H3125">
        <f>Calc!H15</f>
        <v/>
      </c>
      <c r="I3125">
        <f>IF(Skills!AA15&lt;&gt;"",1+(Skills!AA15/10)*(U3113/1000)/100,1)</f>
        <v/>
      </c>
      <c r="J3125" t="inlineStr"/>
      <c r="K3125" t="inlineStr"/>
      <c r="L3125" t="inlineStr"/>
      <c r="M3125" t="inlineStr"/>
      <c r="N3125" t="inlineStr"/>
      <c r="O3125">
        <f>(1-Summary!$B$11)*T3125+Summary!$B$11*V3125</f>
        <v/>
      </c>
      <c r="P3125">
        <f>IF(B3154=0,0,O3125/B3154)</f>
        <v/>
      </c>
      <c r="Q3125">
        <f>IFERROR(1/IF(Inputs!$B$39="pvp",15,MAX(0.1,Skills!D15-IF(Skills!E15=TRUE,Inputs!$B$32,0))),0)</f>
        <v/>
      </c>
      <c r="R3125">
        <f>IF(AND(Inputs!$B$39&lt;&gt;"pvp",Inputs!$B$44&gt;0),IF(Inputs!$B$44&lt;=0,0,(INT(Inputs!$B$44/IF(Inputs!$B$39="pvp",15,MAX(0.1,Skills!D15-IF(Skills!E15=TRUE,Inputs!$B$32,0))))+1)),0)</f>
        <v/>
      </c>
      <c r="S3125">
        <f>IFERROR(O3125/N3125,0)</f>
        <v/>
      </c>
      <c r="T3125" t="n">
        <v>0</v>
      </c>
      <c r="V3125" t="n">
        <v>0</v>
      </c>
    </row>
    <row r="3126">
      <c r="A3126">
        <f>Skills!A16</f>
        <v/>
      </c>
      <c r="B3126">
        <f>Skills!B16</f>
        <v/>
      </c>
      <c r="C3126">
        <f>Inputs!$B$3&gt;=110</f>
        <v/>
      </c>
      <c r="D3126">
        <f>IF(Skills!C16=1,60+Inputs!$B$25+Inputs!$B$29,IF(Skills!C16=2,90+Inputs!$B$26+Inputs!$B$29,IF(Skills!C16=3,120+Inputs!$B$27+Inputs!$B$29,MAX(0,(Inputs!$B$3-100)*3)+Inputs!$B$28+Inputs!$B$29)))</f>
        <v/>
      </c>
      <c r="E3126">
        <f>INDEX(FactorTable!$B$2:$Y$301, MATCH(ROUND(MIN(300,MAX(1,D3126)),0), FactorTable!$A$2:$A$301,0), Skills!M16+1)</f>
        <v/>
      </c>
      <c r="F3126">
        <f>IF(Skills!N16=TRUE,(Skills!L16/10)*(E3126/1000),Skills!L16/10)+Skills!O16</f>
        <v/>
      </c>
      <c r="G3126">
        <f>Calc!G16</f>
        <v/>
      </c>
      <c r="H3126">
        <f>Calc!H16</f>
        <v/>
      </c>
      <c r="I3126">
        <f>IF(Skills!AA16&lt;&gt;"",1+(Skills!AA16/10)*(U3113/1000)/100,1)</f>
        <v/>
      </c>
      <c r="J3126" t="inlineStr"/>
      <c r="K3126" t="inlineStr"/>
      <c r="L3126" t="inlineStr"/>
      <c r="M3126" t="inlineStr"/>
      <c r="N3126" t="inlineStr"/>
      <c r="O3126">
        <f>(1-Summary!$B$11)*T3126+Summary!$B$11*V3126</f>
        <v/>
      </c>
      <c r="P3126">
        <f>IF(B3154=0,0,O3126/B3154)</f>
        <v/>
      </c>
      <c r="Q3126">
        <f>IFERROR(1/IF(Inputs!$B$39="pvp",15,MAX(0.1,Skills!D16-IF(Skills!E16=TRUE,Inputs!$B$32,0))),0)</f>
        <v/>
      </c>
      <c r="R3126">
        <f>IF(AND(Inputs!$B$39&lt;&gt;"pvp",Inputs!$B$44&gt;0),IF(Inputs!$B$44&lt;=0,0,(INT(Inputs!$B$44/IF(Inputs!$B$39="pvp",15,MAX(0.1,Skills!D16-IF(Skills!E16=TRUE,Inputs!$B$32,0))))+1)),0)</f>
        <v/>
      </c>
      <c r="S3126">
        <f>IFERROR(O3126/N3126,0)</f>
        <v/>
      </c>
      <c r="T3126" t="n">
        <v>0</v>
      </c>
      <c r="V3126" t="n">
        <v>0</v>
      </c>
    </row>
    <row r="3127">
      <c r="A3127">
        <f>Skills!A17</f>
        <v/>
      </c>
      <c r="B3127">
        <f>Skills!B17</f>
        <v/>
      </c>
      <c r="C3127">
        <f>Inputs!$B$3&gt;=115</f>
        <v/>
      </c>
      <c r="D3127">
        <f>IF(Skills!C17=1,60+Inputs!$B$25+Inputs!$B$29,IF(Skills!C17=2,90+Inputs!$B$26+Inputs!$B$29,IF(Skills!C17=3,120+Inputs!$B$27+Inputs!$B$29,MAX(0,(Inputs!$B$3-100)*3)+Inputs!$B$28+Inputs!$B$29)))</f>
        <v/>
      </c>
      <c r="E3127">
        <f>INDEX(FactorTable!$B$2:$Y$301, MATCH(ROUND(MIN(300,MAX(1,D3127)),0), FactorTable!$A$2:$A$301,0), Skills!M17+1)</f>
        <v/>
      </c>
      <c r="F3127">
        <f>IF(Skills!N17=TRUE,(Skills!L17/10)*(E3127/1000),Skills!L17/10)+Skills!O17</f>
        <v/>
      </c>
      <c r="G3127">
        <f>Calc!G17</f>
        <v/>
      </c>
      <c r="H3127">
        <f>Calc!H17</f>
        <v/>
      </c>
      <c r="I3127">
        <f>IF(Skills!AA17&lt;&gt;"",1+(Skills!AA17/10)*(U3113/1000)/100,1)</f>
        <v/>
      </c>
      <c r="J3127">
        <f>((Inputs!$B$6*(1+Inputs!$B$7/100))+(((Inputs!$B$12*(1+Inputs!$B$13/100))-(Inputs!$B$12*(1+Inputs!$B$13/100)))+0.25*(Inputs!$B$14-Inputs!$B$14))*(1+Inputs!$B$7/100))*(F3127/100)</f>
        <v/>
      </c>
      <c r="K3127">
        <f>J3127*(1+((Inputs!$B$12*(1+Inputs!$B$13/100))*0.01+Inputs!$B$14*0.0025)/100)*(1+Inputs!$B$15/100)*(1+Inputs!$B$16/100)*(5000/(6000+Inputs!$B$43*(1-(100*(1-(1-(Inputs!$B$19+0)/100)*(1-CHOOSE(ArtifactsInput!$N$40+1,5,6,7,8,9,10)/100)^(ArtifactsInput!$M$40-ArtifactsInput!$M$40)))/100)))*(1+(Inputs!$B$24+((C3140=TRUE)*(F3140-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3133=TRUE)*(F3133-Calc!F23))+(((IF(AND(IF(ArtifactsInput!$M$42,FALSE,TRUE),((Inputs!$B$9+((C3135=TRUE)*(F3135-Calc!F25))+B3150+(ArtifactsInput!$M$24-ArtifactsInput!$M$24)*CHOOSE(ArtifactsInput!$N$24+1,10,12,14,16,18,20)+IF(ArtifactsInput!$M$10,CHOOSE(ArtifactsInput!$N$10+1,15,18,21,24,27,30)*(IF(Inputs!$B$39="pvp",MIN(15,15)/15,IF(AND(Inputs!$B$39&lt;&gt;"pvp",Inputs!$B$44&gt;0),MIN(15,Inputs!$B$44)/(Inputs!$B$44),0))),0)))&gt;=100),MIN(100,((Inputs!$B$9+((C3135=TRUE)*(F3135-Calc!F25))+B3150+(ArtifactsInput!$M$24-ArtifactsInput!$M$24)*CHOOSE(ArtifactsInput!$N$24+1,10,12,14,16,18,20)+IF(ArtifactsInput!$M$10,CHOOSE(ArtifactsInput!$N$10+1,15,18,21,24,27,30)*(IF(Inputs!$B$39="pvp",MIN(15,15)/15,IF(AND(Inputs!$B$39&lt;&gt;"pvp",Inputs!$B$44&gt;0),MIN(15,Inputs!$B$44)/(Inputs!$B$44),0))),0)))-100),0))*CHOOSE(ArtifactsInput!$N$42+1,0.6,0.72,0.84,0.96,1.08,1.2))),Inputs!$B$18+((C3139=TRUE)*(F3139-Calc!F29))+(IF(AND(IF(ArtifactsInput!$M$42,FALSE,TRUE),((Inputs!$B$9+((C3135=TRUE)*(F3135-Calc!F25))+B3150+(ArtifactsInput!$M$24-ArtifactsInput!$M$24)*CHOOSE(ArtifactsInput!$N$24+1,10,12,14,16,18,20)+IF(ArtifactsInput!$M$10,CHOOSE(ArtifactsInput!$N$10+1,15,18,21,24,27,30)*(IF(Inputs!$B$39="pvp",MIN(15,15)/15,IF(AND(Inputs!$B$39&lt;&gt;"pvp",Inputs!$B$44&gt;0),MIN(15,Inputs!$B$44)/(Inputs!$B$44),0))),0)))&gt;=100),CHOOSE(ArtifactsInput!$N$42+1,40,48,56,64,72,80),0))))/100)*(((1+(((C3131=TRUE)*F3131*IF(AND(Inputs!$B$39&lt;&gt;"pvp",Inputs!$B$44&gt;0),(((R3131-1)*(Skills!Y21*(1+Inputs!$B$34/100))+MIN((Skills!Y21*(1+Inputs!$B$34/100)),MAX(0,Inputs!$B$44-((R3131-1)*Skills!D21))))/Inputs!$B$44),IF(Inputs!$B$39="pvp",MIN((Skills!Y21*(1+Inputs!$B$34/100)),15)/15,(Skills!Y21*(1+Inputs!$B$34/100))/Skills!D21)))+((C3138=TRUE)*(F3138-Calc!F28))+((C3128=TRUE)*(F3128-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3125=TRUE)*F3125*IF(AND(Inputs!$B$39&lt;&gt;"pvp",Inputs!$B$44&gt;0),(((R3125-1)*(Skills!Y15*(1+Inputs!$B$34/100))+MIN((Skills!Y15*(1+Inputs!$B$34/100)),MAX(0,Inputs!$B$44-((R3125-1)*Skills!D15))))/Inputs!$B$44),IF(Inputs!$B$39="pvp",MIN((Skills!Y15*(1+Inputs!$B$34/100)),15)/15,(Skills!Y15*(1+Inputs!$B$34/100))/Skills!D15)))/100)*(1+((C3116=TRUE)*F3116*B3144)/100))*B3152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3127)</f>
        <v/>
      </c>
      <c r="L3127">
        <f>K3127*(MIN(Inputs!$B$22+((C3134=TRUE)*(F3134-Calc!F24)),(Inputs!$B$23+0+(IF(ArtifactsInput!$M$15,CHOOSE(ArtifactsInput!$N$15+1,25,30,35,40,45,50)/100*(Inputs!$B$11-Inputs!$B$11),0))))/100+(Inputs!$B$23+0+(IF(ArtifactsInput!$M$15,CHOOSE(ArtifactsInput!$N$15+1,25,30,35,40,45,50)/100*(Inputs!$B$11-Inputs!$B$11),0)))/100)/2</f>
        <v/>
      </c>
      <c r="M3127">
        <f>L3127*(1+(Inputs!$B$10+((C3136=TRUE)*(F3136-Calc!F26))+B3153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27">
        <f>L3127*(1-MIN((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3127*(MIN((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27">
        <f>(1-Summary!$B$11)*T3127+Summary!$B$11*V3127</f>
        <v/>
      </c>
      <c r="P3127">
        <f>IF(B3154=0,0,O3127/B3154)</f>
        <v/>
      </c>
      <c r="Q3127" t="n">
        <v>0</v>
      </c>
      <c r="R3127" t="n">
        <v>0</v>
      </c>
      <c r="S3127">
        <f>IFERROR(O3127/N3127,0)</f>
        <v/>
      </c>
      <c r="T3127">
        <f>IF(C3127,(Inputs!$B$38*0.2*N3127)*IF(Inputs!$B$39="pvp",1,1+(Inputs!$B$20+((C3137=TRUE)*(F3137-Calc!F27))+Skills!P17+B3151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Hunt"),CHOOSE(ArtifactsInput!$N$35+1,15,18,21,24,27,30)*(1-EXP(-(0.2*B3146)*5)),0)+IF(AND(ArtifactsInput!$M$22,Inputs!$B$4&lt;&gt;"Chapter Hunt"),CHOOSE(ArtifactsInput!$N$22+1,10,12,14,16,18,20)*((0*(((0.15*B3146*5))^0/1)+1*(((0.15*B3146*5))^1/1)+2*(((0.15*B3146*5))^2/2)+3*(((0.15*B3146*5))^3/6)+4*(((0.15*B3146*5))^4/24)+5*(((0.15*B3146*5))^5/120))/((((0.15*B3146*5))^0/1)+(((0.15*B3146*5))^1/1)+(((0.15*B3146*5))^2/2)+(((0.15*B3146*5))^3/6)+(((0.15*B3146*5))^4/24)+(((0.15*B3146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3127*(1-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3127*(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3127*(1-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3127*(MIN(100,(Inputs!$B$9+((C3135=TRUE)*(F3135-Calc!F25))+B3150+(ArtifactsInput!$M$24-ArtifactsInput!$M$24)*CHOOSE(ArtifactsInput!$N$24+1,10,12,14,16,18,20)+(IF(AND(IF(ArtifactsInput!$M$42,FALSE,TRUE),((Inputs!$B$9+((C3135=TRUE)*(F3135-Calc!F25))+B3150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27">
        <f>IF(C3127,(Inputs!$B$38*0.2*N3127)*IF(Inputs!$B$39="pvp",1,(1+(Inputs!$B$21+Skills!Q17+B3151+(IF(ArtifactsInput!$M$33,CHOOSE(ArtifactsInput!$N$33+1,30,36,42,48,54,60),0))+(IF(AND(ArtifactsInput!$M$35,Inputs!$B$4&lt;&gt;"Chapter Hunt"),CHOOSE(ArtifactsInput!$N$35+1,15,18,21,24,27,30)*(1-EXP(-(0.2*B3146)*5)),0)+IF(AND(ArtifactsInput!$M$22,Inputs!$B$4&lt;&gt;"Chapter Hunt"),CHOOSE(ArtifactsInput!$N$22+1,10,12,14,16,18,20)*((0*(((0.15*B3146*5))^0/1)+1*(((0.15*B3146*5))^1/1)+2*(((0.15*B3146*5))^2/2)+3*(((0.15*B3146*5))^3/6)+4*(((0.15*B3146*5))^4/24)+5*(((0.15*B3146*5))^5/120))/((((0.15*B3146*5))^0/1)+(((0.15*B3146*5))^1/1)+(((0.15*B3146*5))^2/2)+(((0.15*B3146*5))^3/6)+(((0.15*B3146*5))^4/24)+(((0.15*B3146*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28">
      <c r="A3128">
        <f>Skills!A18</f>
        <v/>
      </c>
      <c r="B3128">
        <f>Skills!B18</f>
        <v/>
      </c>
      <c r="C3128">
        <f>Inputs!$B$3&gt;=115</f>
        <v/>
      </c>
      <c r="D3128">
        <f>IF(Skills!C18=1,60+Inputs!$B$25+Inputs!$B$29,IF(Skills!C18=2,90+Inputs!$B$26+Inputs!$B$29,IF(Skills!C18=3,120+Inputs!$B$27+Inputs!$B$29,MAX(0,(Inputs!$B$3-100)*3)+Inputs!$B$28+Inputs!$B$29)))</f>
        <v/>
      </c>
      <c r="E3128">
        <f>INDEX(FactorTable!$B$2:$Y$301, MATCH(ROUND(MIN(300,MAX(1,D3128)),0), FactorTable!$A$2:$A$301,0), Skills!M18+1)</f>
        <v/>
      </c>
      <c r="F3128">
        <f>IF(Skills!N18=TRUE,(Skills!L18/10)*(E3128/1000),Skills!L18/10)+Skills!O18</f>
        <v/>
      </c>
      <c r="G3128">
        <f>Calc!G18</f>
        <v/>
      </c>
      <c r="H3128">
        <f>Calc!H18</f>
        <v/>
      </c>
      <c r="I3128">
        <f>IF(Skills!AA18&lt;&gt;"",1+(Skills!AA18/10)*(U3113/1000)/100,1)</f>
        <v/>
      </c>
      <c r="J3128" t="inlineStr"/>
      <c r="K3128" t="inlineStr"/>
      <c r="L3128" t="inlineStr"/>
      <c r="M3128" t="inlineStr"/>
      <c r="N3128" t="inlineStr"/>
      <c r="O3128">
        <f>(1-Summary!$B$11)*T3128+Summary!$B$11*V3128</f>
        <v/>
      </c>
      <c r="P3128">
        <f>IF(B3154=0,0,O3128/B3154)</f>
        <v/>
      </c>
      <c r="Q3128" t="n">
        <v>0</v>
      </c>
      <c r="R3128" t="n">
        <v>0</v>
      </c>
      <c r="S3128">
        <f>IFERROR(O3128/N3128,0)</f>
        <v/>
      </c>
      <c r="T3128" t="n">
        <v>0</v>
      </c>
      <c r="V3128" t="n">
        <v>0</v>
      </c>
    </row>
    <row r="3129">
      <c r="A3129">
        <f>Skills!A19</f>
        <v/>
      </c>
      <c r="B3129">
        <f>Skills!B19</f>
        <v/>
      </c>
      <c r="C3129">
        <f>TRUE</f>
        <v/>
      </c>
      <c r="D3129">
        <f>IF(Skills!C19=1,60+Inputs!$B$25+Inputs!$B$29,IF(Skills!C19=2,90+Inputs!$B$26+Inputs!$B$29,IF(Skills!C19=3,120+Inputs!$B$27+Inputs!$B$29,MAX(0,(Inputs!$B$3-100)*3)+Inputs!$B$28+Inputs!$B$29)))</f>
        <v/>
      </c>
      <c r="E3129">
        <f>INDEX(FactorTable!$B$2:$Y$301, MATCH(ROUND(MIN(300,MAX(1,D3129)),0), FactorTable!$A$2:$A$301,0), Skills!M19+1)</f>
        <v/>
      </c>
      <c r="F3129">
        <f>IF(Skills!N19=TRUE,(Skills!L19/10)*(E3129/1000),Skills!L19/10)+Skills!O19</f>
        <v/>
      </c>
      <c r="G3129">
        <f>Calc!G19</f>
        <v/>
      </c>
      <c r="H3129">
        <f>Calc!H19</f>
        <v/>
      </c>
      <c r="I3129">
        <f>IF(Skills!AA19&lt;&gt;"",1+(Skills!AA19/10)*(U3113/1000)/100,1)</f>
        <v/>
      </c>
      <c r="J3129" t="inlineStr"/>
      <c r="K3129" t="inlineStr"/>
      <c r="L3129" t="inlineStr"/>
      <c r="M3129" t="inlineStr"/>
      <c r="N3129" t="inlineStr"/>
      <c r="O3129">
        <f>(1-Summary!$B$11)*T3129+Summary!$B$11*V3129</f>
        <v/>
      </c>
      <c r="P3129">
        <f>IF(B3154=0,0,O3129/B3154)</f>
        <v/>
      </c>
      <c r="Q3129">
        <f>IFERROR(1/IF(Inputs!$B$39="pvp",15,MAX(0.1,Skills!D19-IF(Skills!E19=TRUE,Inputs!$B$32,0))),0)</f>
        <v/>
      </c>
      <c r="R3129">
        <f>IF(AND(Inputs!$B$39&lt;&gt;"pvp",Inputs!$B$44&gt;0),IF(Inputs!$B$44&lt;=0,0,(INT(Inputs!$B$44/IF(Inputs!$B$39="pvp",15,MAX(0.1,Skills!D19-IF(Skills!E19=TRUE,Inputs!$B$32,0))))+1)),0)</f>
        <v/>
      </c>
      <c r="S3129">
        <f>IFERROR(O3129/N3129,0)</f>
        <v/>
      </c>
      <c r="T3129" t="n">
        <v>0</v>
      </c>
      <c r="V3129" t="n">
        <v>0</v>
      </c>
    </row>
    <row r="3130">
      <c r="A3130">
        <f>Skills!A20</f>
        <v/>
      </c>
      <c r="B3130">
        <f>Skills!B20</f>
        <v/>
      </c>
      <c r="C3130">
        <f>Inputs!$B$3&gt;=15</f>
        <v/>
      </c>
      <c r="D3130">
        <f>IF(Skills!C20=1,60+Inputs!$B$25+Inputs!$B$29,IF(Skills!C20=2,90+Inputs!$B$26+Inputs!$B$29,IF(Skills!C20=3,120+Inputs!$B$27+Inputs!$B$29,MAX(0,(Inputs!$B$3-100)*3)+Inputs!$B$28+Inputs!$B$29)))</f>
        <v/>
      </c>
      <c r="E3130">
        <f>INDEX(FactorTable!$B$2:$Y$301, MATCH(ROUND(MIN(300,MAX(1,D3130)),0), FactorTable!$A$2:$A$301,0), Skills!M20+1)</f>
        <v/>
      </c>
      <c r="F3130">
        <f>IF(Skills!N20=TRUE,(Skills!L20/10)*(E3130/1000),Skills!L20/10)+Skills!O20</f>
        <v/>
      </c>
      <c r="G3130">
        <f>Calc!G20</f>
        <v/>
      </c>
      <c r="H3130">
        <f>Calc!H20</f>
        <v/>
      </c>
      <c r="I3130">
        <f>IF(Skills!AA20&lt;&gt;"",1+(Skills!AA20/10)*(U3113/1000)/100,1)</f>
        <v/>
      </c>
      <c r="J3130" t="inlineStr"/>
      <c r="K3130" t="inlineStr"/>
      <c r="L3130" t="inlineStr"/>
      <c r="M3130" t="inlineStr"/>
      <c r="N3130" t="inlineStr"/>
      <c r="O3130">
        <f>(1-Summary!$B$11)*T3130+Summary!$B$11*V3130</f>
        <v/>
      </c>
      <c r="P3130">
        <f>IF(B3154=0,0,O3130/B3154)</f>
        <v/>
      </c>
      <c r="Q3130">
        <f>IFERROR(1/IF(Inputs!$B$39="pvp",15,MAX(0.1,Skills!D20-IF(Skills!E20=TRUE,Inputs!$B$32,0))),0)</f>
        <v/>
      </c>
      <c r="R3130">
        <f>IF(AND(Inputs!$B$39&lt;&gt;"pvp",Inputs!$B$44&gt;0),IF(Inputs!$B$44&lt;=0,0,(INT(Inputs!$B$44/IF(Inputs!$B$39="pvp",15,MAX(0.1,Skills!D20-IF(Skills!E20=TRUE,Inputs!$B$32,0))))+1)),0)</f>
        <v/>
      </c>
      <c r="S3130">
        <f>IFERROR(O3130/N3130,0)</f>
        <v/>
      </c>
      <c r="T3130" t="n">
        <v>0</v>
      </c>
      <c r="V3130" t="n">
        <v>0</v>
      </c>
    </row>
    <row r="3131">
      <c r="A3131">
        <f>Skills!A21</f>
        <v/>
      </c>
      <c r="B3131">
        <f>Skills!B21</f>
        <v/>
      </c>
      <c r="C3131">
        <f>Inputs!$B$3&gt;=15</f>
        <v/>
      </c>
      <c r="D3131">
        <f>IF(Skills!C21=1,60+Inputs!$B$25+Inputs!$B$29,IF(Skills!C21=2,90+Inputs!$B$26+Inputs!$B$29,IF(Skills!C21=3,120+Inputs!$B$27+Inputs!$B$29,MAX(0,(Inputs!$B$3-100)*3)+Inputs!$B$28+Inputs!$B$29)))</f>
        <v/>
      </c>
      <c r="E3131">
        <f>INDEX(FactorTable!$B$2:$Y$301, MATCH(ROUND(MIN(300,MAX(1,D3131)),0), FactorTable!$A$2:$A$301,0), Skills!M21+1)</f>
        <v/>
      </c>
      <c r="F3131">
        <f>IF(Skills!N21=TRUE,(Skills!L21/10)*(E3131/1000),Skills!L21/10)+Skills!O21</f>
        <v/>
      </c>
      <c r="G3131">
        <f>Calc!G21</f>
        <v/>
      </c>
      <c r="H3131">
        <f>Calc!H21</f>
        <v/>
      </c>
      <c r="I3131">
        <f>IF(Skills!AA21&lt;&gt;"",1+(Skills!AA21/10)*(U3113/1000)/100,1)</f>
        <v/>
      </c>
      <c r="J3131" t="inlineStr"/>
      <c r="K3131" t="inlineStr"/>
      <c r="L3131" t="inlineStr"/>
      <c r="M3131" t="inlineStr"/>
      <c r="N3131" t="inlineStr"/>
      <c r="O3131">
        <f>(1-Summary!$B$11)*T3131+Summary!$B$11*V3131</f>
        <v/>
      </c>
      <c r="P3131">
        <f>IF(B3154=0,0,O3131/B3154)</f>
        <v/>
      </c>
      <c r="Q3131">
        <f>IFERROR(1/IF(Inputs!$B$39="pvp",15,MAX(0.1,Skills!D21-IF(Skills!E21=TRUE,Inputs!$B$32,0))),0)</f>
        <v/>
      </c>
      <c r="R3131">
        <f>IF(AND(Inputs!$B$39&lt;&gt;"pvp",Inputs!$B$44&gt;0),IF(Inputs!$B$44&lt;=0,0,(INT(Inputs!$B$44/IF(Inputs!$B$39="pvp",15,MAX(0.1,Skills!D21-IF(Skills!E21=TRUE,Inputs!$B$32,0))))+1)),0)</f>
        <v/>
      </c>
      <c r="S3131">
        <f>IFERROR(O3131/N3131,0)</f>
        <v/>
      </c>
      <c r="T3131" t="n">
        <v>0</v>
      </c>
      <c r="V3131" t="n">
        <v>0</v>
      </c>
    </row>
    <row r="3132">
      <c r="A3132">
        <f>Skills!A22</f>
        <v/>
      </c>
      <c r="B3132">
        <f>Skills!B22</f>
        <v/>
      </c>
      <c r="C3132">
        <f>Inputs!$B$3&gt;=33</f>
        <v/>
      </c>
      <c r="D3132">
        <f>IF(Skills!C22=1,60+Inputs!$B$25+Inputs!$B$29,IF(Skills!C22=2,90+Inputs!$B$26+Inputs!$B$29,IF(Skills!C22=3,120+Inputs!$B$27+Inputs!$B$29,MAX(0,(Inputs!$B$3-100)*3)+Inputs!$B$28+Inputs!$B$29)))</f>
        <v/>
      </c>
      <c r="E3132">
        <f>INDEX(FactorTable!$B$2:$Y$301, MATCH(ROUND(MIN(300,MAX(1,D3132)),0), FactorTable!$A$2:$A$301,0), Skills!M22+1)</f>
        <v/>
      </c>
      <c r="F3132">
        <f>IF(Skills!N22=TRUE,(Skills!L22/10)*(E3132/1000),Skills!L22/10)+Skills!O22</f>
        <v/>
      </c>
      <c r="G3132">
        <f>Calc!G22</f>
        <v/>
      </c>
      <c r="H3132">
        <f>Calc!H22</f>
        <v/>
      </c>
      <c r="I3132">
        <f>IF(Skills!AA22&lt;&gt;"",1+(Skills!AA22/10)*(U3113/1000)/100,1)</f>
        <v/>
      </c>
      <c r="J3132" t="inlineStr"/>
      <c r="K3132" t="inlineStr"/>
      <c r="L3132" t="inlineStr"/>
      <c r="M3132" t="inlineStr"/>
      <c r="N3132" t="inlineStr"/>
      <c r="O3132">
        <f>(1-Summary!$B$11)*T3132+Summary!$B$11*V3132</f>
        <v/>
      </c>
      <c r="P3132">
        <f>IF(B3154=0,0,O3132/B3154)</f>
        <v/>
      </c>
      <c r="Q3132" t="n">
        <v>0</v>
      </c>
      <c r="R3132" t="n">
        <v>0</v>
      </c>
      <c r="S3132">
        <f>IFERROR(O3132/N3132,0)</f>
        <v/>
      </c>
      <c r="T3132" t="n">
        <v>0</v>
      </c>
      <c r="V3132" t="n">
        <v>0</v>
      </c>
    </row>
    <row r="3133">
      <c r="A3133">
        <f>Skills!A23</f>
        <v/>
      </c>
      <c r="B3133">
        <f>Skills!B23</f>
        <v/>
      </c>
      <c r="C3133">
        <f>Inputs!$B$3&gt;=38</f>
        <v/>
      </c>
      <c r="D3133">
        <f>IF(Skills!C23=1,60+Inputs!$B$25+Inputs!$B$29,IF(Skills!C23=2,90+Inputs!$B$26+Inputs!$B$29,IF(Skills!C23=3,120+Inputs!$B$27+Inputs!$B$29,MAX(0,(Inputs!$B$3-100)*3)+Inputs!$B$28+Inputs!$B$29)))</f>
        <v/>
      </c>
      <c r="E3133">
        <f>INDEX(FactorTable!$B$2:$Y$301, MATCH(ROUND(MIN(300,MAX(1,D3133)),0), FactorTable!$A$2:$A$301,0), Skills!M23+1)</f>
        <v/>
      </c>
      <c r="F3133">
        <f>IF(Skills!N23=TRUE,(Skills!L23/10)*(E3133/1000),Skills!L23/10)+Skills!O23</f>
        <v/>
      </c>
      <c r="G3133">
        <f>Calc!G23</f>
        <v/>
      </c>
      <c r="H3133">
        <f>Calc!H23</f>
        <v/>
      </c>
      <c r="I3133">
        <f>IF(Skills!AA23&lt;&gt;"",1+(Skills!AA23/10)*(U3113/1000)/100,1)</f>
        <v/>
      </c>
      <c r="J3133" t="inlineStr"/>
      <c r="K3133" t="inlineStr"/>
      <c r="L3133" t="inlineStr"/>
      <c r="M3133" t="inlineStr"/>
      <c r="N3133" t="inlineStr"/>
      <c r="O3133">
        <f>(1-Summary!$B$11)*T3133+Summary!$B$11*V3133</f>
        <v/>
      </c>
      <c r="P3133">
        <f>IF(B3154=0,0,O3133/B3154)</f>
        <v/>
      </c>
      <c r="Q3133" t="n">
        <v>0</v>
      </c>
      <c r="R3133" t="n">
        <v>0</v>
      </c>
      <c r="S3133">
        <f>IFERROR(O3133/N3133,0)</f>
        <v/>
      </c>
      <c r="T3133" t="n">
        <v>0</v>
      </c>
      <c r="V3133" t="n">
        <v>0</v>
      </c>
    </row>
    <row r="3134">
      <c r="A3134">
        <f>Skills!A24</f>
        <v/>
      </c>
      <c r="B3134">
        <f>Skills!B24</f>
        <v/>
      </c>
      <c r="C3134">
        <f>Inputs!$B$3&gt;=40</f>
        <v/>
      </c>
      <c r="D3134">
        <f>IF(Skills!C24=1,60+Inputs!$B$25+Inputs!$B$29,IF(Skills!C24=2,90+Inputs!$B$26+Inputs!$B$29,IF(Skills!C24=3,120+Inputs!$B$27+Inputs!$B$29,MAX(0,(Inputs!$B$3-100)*3)+Inputs!$B$28+Inputs!$B$29)))</f>
        <v/>
      </c>
      <c r="E3134">
        <f>INDEX(FactorTable!$B$2:$Y$301, MATCH(ROUND(MIN(300,MAX(1,D3134)),0), FactorTable!$A$2:$A$301,0), Skills!M24+1)</f>
        <v/>
      </c>
      <c r="F3134">
        <f>IF(Skills!N24=TRUE,(Skills!L24/10)*(E3134/1000),Skills!L24/10)+Skills!O24</f>
        <v/>
      </c>
      <c r="G3134">
        <f>Calc!G24</f>
        <v/>
      </c>
      <c r="H3134">
        <f>Calc!H24</f>
        <v/>
      </c>
      <c r="I3134">
        <f>IF(Skills!AA24&lt;&gt;"",1+(Skills!AA24/10)*(U3113/1000)/100,1)</f>
        <v/>
      </c>
      <c r="J3134" t="inlineStr"/>
      <c r="K3134" t="inlineStr"/>
      <c r="L3134" t="inlineStr"/>
      <c r="M3134" t="inlineStr"/>
      <c r="N3134" t="inlineStr"/>
      <c r="O3134">
        <f>(1-Summary!$B$11)*T3134+Summary!$B$11*V3134</f>
        <v/>
      </c>
      <c r="P3134">
        <f>IF(B3154=0,0,O3134/B3154)</f>
        <v/>
      </c>
      <c r="Q3134" t="n">
        <v>0</v>
      </c>
      <c r="R3134" t="n">
        <v>0</v>
      </c>
      <c r="S3134">
        <f>IFERROR(O3134/N3134,0)</f>
        <v/>
      </c>
      <c r="T3134" t="n">
        <v>0</v>
      </c>
      <c r="V3134" t="n">
        <v>0</v>
      </c>
    </row>
    <row r="3135">
      <c r="A3135">
        <f>Skills!A25</f>
        <v/>
      </c>
      <c r="B3135">
        <f>Skills!B25</f>
        <v/>
      </c>
      <c r="C3135">
        <f>Inputs!$B$3&gt;=45</f>
        <v/>
      </c>
      <c r="D3135">
        <f>IF(Skills!C25=1,60+Inputs!$B$25+Inputs!$B$29,IF(Skills!C25=2,90+Inputs!$B$26+Inputs!$B$29,IF(Skills!C25=3,120+Inputs!$B$27+Inputs!$B$29,MAX(0,(Inputs!$B$3-100)*3)+Inputs!$B$28+Inputs!$B$29)))</f>
        <v/>
      </c>
      <c r="E3135">
        <f>INDEX(FactorTable!$B$2:$Y$301, MATCH(ROUND(MIN(300,MAX(1,D3135)),0), FactorTable!$A$2:$A$301,0), Skills!M25+1)</f>
        <v/>
      </c>
      <c r="F3135">
        <f>IF(Skills!N25=TRUE,(Skills!L25/10)*(E3135/1000),Skills!L25/10)+Skills!O25</f>
        <v/>
      </c>
      <c r="G3135">
        <f>Calc!G25</f>
        <v/>
      </c>
      <c r="H3135">
        <f>Calc!H25</f>
        <v/>
      </c>
      <c r="I3135">
        <f>IF(Skills!AA25&lt;&gt;"",1+(Skills!AA25/10)*(U3113/1000)/100,1)</f>
        <v/>
      </c>
      <c r="J3135" t="inlineStr"/>
      <c r="K3135" t="inlineStr"/>
      <c r="L3135" t="inlineStr"/>
      <c r="M3135" t="inlineStr"/>
      <c r="N3135" t="inlineStr"/>
      <c r="O3135">
        <f>(1-Summary!$B$11)*T3135+Summary!$B$11*V3135</f>
        <v/>
      </c>
      <c r="P3135">
        <f>IF(B3154=0,0,O3135/B3154)</f>
        <v/>
      </c>
      <c r="Q3135" t="n">
        <v>0</v>
      </c>
      <c r="R3135" t="n">
        <v>0</v>
      </c>
      <c r="S3135">
        <f>IFERROR(O3135/N3135,0)</f>
        <v/>
      </c>
      <c r="T3135" t="n">
        <v>0</v>
      </c>
      <c r="V3135" t="n">
        <v>0</v>
      </c>
    </row>
    <row r="3136">
      <c r="A3136">
        <f>Skills!A26</f>
        <v/>
      </c>
      <c r="B3136">
        <f>Skills!B26</f>
        <v/>
      </c>
      <c r="C3136">
        <f>Inputs!$B$3&gt;=45</f>
        <v/>
      </c>
      <c r="D3136">
        <f>IF(Skills!C26=1,60+Inputs!$B$25+Inputs!$B$29,IF(Skills!C26=2,90+Inputs!$B$26+Inputs!$B$29,IF(Skills!C26=3,120+Inputs!$B$27+Inputs!$B$29,MAX(0,(Inputs!$B$3-100)*3)+Inputs!$B$28+Inputs!$B$29)))</f>
        <v/>
      </c>
      <c r="E3136">
        <f>INDEX(FactorTable!$B$2:$Y$301, MATCH(ROUND(MIN(300,MAX(1,D3136)),0), FactorTable!$A$2:$A$301,0), Skills!M26+1)</f>
        <v/>
      </c>
      <c r="F3136">
        <f>IF(Skills!N26=TRUE,(Skills!L26/10)*(E3136/1000),Skills!L26/10)+Skills!O26</f>
        <v/>
      </c>
      <c r="G3136">
        <f>Calc!G26</f>
        <v/>
      </c>
      <c r="H3136">
        <f>Calc!H26</f>
        <v/>
      </c>
      <c r="I3136">
        <f>IF(Skills!AA26&lt;&gt;"",1+(Skills!AA26/10)*(U3113/1000)/100,1)</f>
        <v/>
      </c>
      <c r="J3136" t="inlineStr"/>
      <c r="K3136" t="inlineStr"/>
      <c r="L3136" t="inlineStr"/>
      <c r="M3136" t="inlineStr"/>
      <c r="N3136" t="inlineStr"/>
      <c r="O3136">
        <f>(1-Summary!$B$11)*T3136+Summary!$B$11*V3136</f>
        <v/>
      </c>
      <c r="P3136">
        <f>IF(B3154=0,0,O3136/B3154)</f>
        <v/>
      </c>
      <c r="Q3136" t="n">
        <v>0</v>
      </c>
      <c r="R3136" t="n">
        <v>0</v>
      </c>
      <c r="S3136">
        <f>IFERROR(O3136/N3136,0)</f>
        <v/>
      </c>
      <c r="T3136" t="n">
        <v>0</v>
      </c>
      <c r="V3136" t="n">
        <v>0</v>
      </c>
    </row>
    <row r="3137">
      <c r="A3137">
        <f>Skills!A27</f>
        <v/>
      </c>
      <c r="B3137">
        <f>Skills!B27</f>
        <v/>
      </c>
      <c r="C3137">
        <f>Inputs!$B$3&gt;=72</f>
        <v/>
      </c>
      <c r="D3137">
        <f>IF(Skills!C27=1,60+Inputs!$B$25+Inputs!$B$29,IF(Skills!C27=2,90+Inputs!$B$26+Inputs!$B$29,IF(Skills!C27=3,120+Inputs!$B$27+Inputs!$B$29,MAX(0,(Inputs!$B$3-100)*3)+Inputs!$B$28+Inputs!$B$29)))</f>
        <v/>
      </c>
      <c r="E3137">
        <f>INDEX(FactorTable!$B$2:$Y$301, MATCH(ROUND(MIN(300,MAX(1,D3137)),0), FactorTable!$A$2:$A$301,0), Skills!M27+1)</f>
        <v/>
      </c>
      <c r="F3137">
        <f>IF(Skills!N27=TRUE,(Skills!L27/10)*(E3137/1000),Skills!L27/10)+Skills!O27</f>
        <v/>
      </c>
      <c r="G3137">
        <f>Calc!G27</f>
        <v/>
      </c>
      <c r="H3137">
        <f>Calc!H27</f>
        <v/>
      </c>
      <c r="I3137">
        <f>IF(Skills!AA27&lt;&gt;"",1+(Skills!AA27/10)*(U3113/1000)/100,1)</f>
        <v/>
      </c>
      <c r="J3137" t="inlineStr"/>
      <c r="K3137" t="inlineStr"/>
      <c r="L3137" t="inlineStr"/>
      <c r="M3137" t="inlineStr"/>
      <c r="N3137" t="inlineStr"/>
      <c r="O3137">
        <f>(1-Summary!$B$11)*T3137+Summary!$B$11*V3137</f>
        <v/>
      </c>
      <c r="P3137">
        <f>IF(B3154=0,0,O3137/B3154)</f>
        <v/>
      </c>
      <c r="Q3137" t="n">
        <v>0</v>
      </c>
      <c r="R3137" t="n">
        <v>0</v>
      </c>
      <c r="S3137">
        <f>IFERROR(O3137/N3137,0)</f>
        <v/>
      </c>
      <c r="T3137" t="n">
        <v>0</v>
      </c>
      <c r="V3137" t="n">
        <v>0</v>
      </c>
    </row>
    <row r="3138">
      <c r="A3138">
        <f>Skills!A28</f>
        <v/>
      </c>
      <c r="B3138">
        <f>Skills!B28</f>
        <v/>
      </c>
      <c r="C3138">
        <f>Inputs!$B$3&gt;=75</f>
        <v/>
      </c>
      <c r="D3138">
        <f>IF(Skills!C28=1,60+Inputs!$B$25+Inputs!$B$29,IF(Skills!C28=2,90+Inputs!$B$26+Inputs!$B$29,IF(Skills!C28=3,120+Inputs!$B$27+Inputs!$B$29,MAX(0,(Inputs!$B$3-100)*3)+Inputs!$B$28+Inputs!$B$29)))</f>
        <v/>
      </c>
      <c r="E3138">
        <f>INDEX(FactorTable!$B$2:$Y$301, MATCH(ROUND(MIN(300,MAX(1,D3138)),0), FactorTable!$A$2:$A$301,0), Skills!M28+1)</f>
        <v/>
      </c>
      <c r="F3138">
        <f>IF(Skills!N28=TRUE,(Skills!L28/10)*(E3138/1000),Skills!L28/10)+Skills!O28</f>
        <v/>
      </c>
      <c r="G3138">
        <f>Calc!G28</f>
        <v/>
      </c>
      <c r="H3138">
        <f>Calc!H28</f>
        <v/>
      </c>
      <c r="I3138">
        <f>IF(Skills!AA28&lt;&gt;"",1+(Skills!AA28/10)*(U3113/1000)/100,1)</f>
        <v/>
      </c>
      <c r="J3138" t="inlineStr"/>
      <c r="K3138" t="inlineStr"/>
      <c r="L3138" t="inlineStr"/>
      <c r="M3138" t="inlineStr"/>
      <c r="N3138" t="inlineStr"/>
      <c r="O3138">
        <f>(1-Summary!$B$11)*T3138+Summary!$B$11*V3138</f>
        <v/>
      </c>
      <c r="P3138">
        <f>IF(B3154=0,0,O3138/B3154)</f>
        <v/>
      </c>
      <c r="Q3138" t="n">
        <v>0</v>
      </c>
      <c r="R3138" t="n">
        <v>0</v>
      </c>
      <c r="S3138">
        <f>IFERROR(O3138/N3138,0)</f>
        <v/>
      </c>
      <c r="T3138" t="n">
        <v>0</v>
      </c>
      <c r="V3138" t="n">
        <v>0</v>
      </c>
    </row>
    <row r="3139">
      <c r="A3139">
        <f>Skills!A29</f>
        <v/>
      </c>
      <c r="B3139">
        <f>Skills!B29</f>
        <v/>
      </c>
      <c r="C3139">
        <f>Inputs!$B$3&gt;=120</f>
        <v/>
      </c>
      <c r="D3139">
        <f>IF(Skills!C29=1,60+Inputs!$B$25+Inputs!$B$29,IF(Skills!C29=2,90+Inputs!$B$26+Inputs!$B$29,IF(Skills!C29=3,120+Inputs!$B$27+Inputs!$B$29,MAX(0,(Inputs!$B$3-100)*3)+Inputs!$B$28+Inputs!$B$29)))</f>
        <v/>
      </c>
      <c r="E3139">
        <f>INDEX(FactorTable!$B$2:$Y$301, MATCH(ROUND(MIN(300,MAX(1,D3139)),0), FactorTable!$A$2:$A$301,0), Skills!M29+1)</f>
        <v/>
      </c>
      <c r="F3139">
        <f>IF(Skills!N29=TRUE,(Skills!L29/10)*(E3139/1000),Skills!L29/10)+Skills!O29</f>
        <v/>
      </c>
      <c r="G3139">
        <f>Calc!G29</f>
        <v/>
      </c>
      <c r="H3139">
        <f>Calc!H29</f>
        <v/>
      </c>
      <c r="I3139">
        <f>IF(Skills!AA29&lt;&gt;"",1+(Skills!AA29/10)*(U3113/1000)/100,1)</f>
        <v/>
      </c>
      <c r="J3139" t="inlineStr"/>
      <c r="K3139" t="inlineStr"/>
      <c r="L3139" t="inlineStr"/>
      <c r="M3139" t="inlineStr"/>
      <c r="N3139" t="inlineStr"/>
      <c r="O3139">
        <f>(1-Summary!$B$11)*T3139+Summary!$B$11*V3139</f>
        <v/>
      </c>
      <c r="P3139">
        <f>IF(B3154=0,0,O3139/B3154)</f>
        <v/>
      </c>
      <c r="Q3139" t="n">
        <v>0</v>
      </c>
      <c r="R3139" t="n">
        <v>0</v>
      </c>
      <c r="S3139">
        <f>IFERROR(O3139/N3139,0)</f>
        <v/>
      </c>
      <c r="T3139" t="n">
        <v>0</v>
      </c>
      <c r="V3139" t="n">
        <v>0</v>
      </c>
    </row>
    <row r="3140">
      <c r="A3140">
        <f>Skills!A30</f>
        <v/>
      </c>
      <c r="B3140">
        <f>Skills!B30</f>
        <v/>
      </c>
      <c r="C3140">
        <f>Inputs!$B$3&gt;=125</f>
        <v/>
      </c>
      <c r="D3140">
        <f>IF(Skills!C30=1,60+Inputs!$B$25+Inputs!$B$29,IF(Skills!C30=2,90+Inputs!$B$26+Inputs!$B$29,IF(Skills!C30=3,120+Inputs!$B$27+Inputs!$B$29,MAX(0,(Inputs!$B$3-100)*3)+Inputs!$B$28+Inputs!$B$29)))</f>
        <v/>
      </c>
      <c r="E3140">
        <f>INDEX(FactorTable!$B$2:$Y$301, MATCH(ROUND(MIN(300,MAX(1,D3140)),0), FactorTable!$A$2:$A$301,0), Skills!M30+1)</f>
        <v/>
      </c>
      <c r="F3140">
        <f>IF(Skills!N30=TRUE,(Skills!L30/10)*(E3140/1000),Skills!L30/10)+Skills!O30</f>
        <v/>
      </c>
      <c r="G3140">
        <f>Calc!G30</f>
        <v/>
      </c>
      <c r="H3140">
        <f>Calc!H30</f>
        <v/>
      </c>
      <c r="I3140">
        <f>IF(Skills!AA30&lt;&gt;"",1+(Skills!AA30/10)*(U3113/1000)/100,1)</f>
        <v/>
      </c>
      <c r="J3140" t="inlineStr"/>
      <c r="K3140" t="inlineStr"/>
      <c r="L3140" t="inlineStr"/>
      <c r="M3140" t="inlineStr"/>
      <c r="N3140" t="inlineStr"/>
      <c r="O3140">
        <f>(1-Summary!$B$11)*T3140+Summary!$B$11*V3140</f>
        <v/>
      </c>
      <c r="P3140">
        <f>IF(B3154=0,0,O3140/B3154)</f>
        <v/>
      </c>
      <c r="Q3140" t="n">
        <v>0</v>
      </c>
      <c r="R3140" t="n">
        <v>0</v>
      </c>
      <c r="S3140">
        <f>IFERROR(O3140/N3140,0)</f>
        <v/>
      </c>
      <c r="T3140" t="n">
        <v>0</v>
      </c>
      <c r="V3140" t="n">
        <v>0</v>
      </c>
    </row>
    <row r="3141">
      <c r="A3141">
        <f>Skills!A31</f>
        <v/>
      </c>
      <c r="B3141">
        <f>Skills!B31</f>
        <v/>
      </c>
      <c r="C3141">
        <f>Inputs!$B$3&gt;=107</f>
        <v/>
      </c>
      <c r="D3141">
        <f>IF(Skills!C31=1,60+Inputs!$B$25+Inputs!$B$29,IF(Skills!C31=2,90+Inputs!$B$26+Inputs!$B$29,IF(Skills!C31=3,120+Inputs!$B$27+Inputs!$B$29,MAX(0,(Inputs!$B$3-100)*3)+Inputs!$B$28+Inputs!$B$29)))</f>
        <v/>
      </c>
      <c r="E3141">
        <f>INDEX(FactorTable!$B$2:$Y$301, MATCH(ROUND(MIN(300,MAX(1,D3141)),0), FactorTable!$A$2:$A$301,0), Skills!M31+1)</f>
        <v/>
      </c>
      <c r="F3141">
        <f>IF(Skills!N31=TRUE,(Skills!L31/10)*(E3141/1000),Skills!L31/10)+Skills!O31</f>
        <v/>
      </c>
      <c r="G3141">
        <f>Calc!G31</f>
        <v/>
      </c>
      <c r="H3141">
        <f>Calc!H31</f>
        <v/>
      </c>
      <c r="I3141">
        <f>IF(Skills!AA31&lt;&gt;"",1+(Skills!AA31/10)*(U3113/1000)/100,1)</f>
        <v/>
      </c>
      <c r="J3141" t="inlineStr"/>
      <c r="K3141" t="inlineStr"/>
      <c r="L3141" t="inlineStr"/>
      <c r="M3141" t="inlineStr"/>
      <c r="N3141" t="inlineStr"/>
      <c r="O3141">
        <f>(1-Summary!$B$11)*T3141+Summary!$B$11*V3141</f>
        <v/>
      </c>
      <c r="P3141">
        <f>IF(B3154=0,0,O3141/B3154)</f>
        <v/>
      </c>
      <c r="Q3141" t="n">
        <v>0</v>
      </c>
      <c r="R3141" t="n">
        <v>0</v>
      </c>
      <c r="S3141">
        <f>IFERROR(O3141/N3141,0)</f>
        <v/>
      </c>
      <c r="T3141" t="n">
        <v>0</v>
      </c>
      <c r="V3141" t="n">
        <v>0</v>
      </c>
    </row>
    <row r="3143">
      <c r="A3143" t="inlineStr">
        <is>
          <t>Actions Per Second (pre-Adrenalin)</t>
        </is>
      </c>
      <c r="B3143">
        <f>1+MIN(150,150*(1-(1-(Inputs!$B$11+((C3132=TRUE)*(F3132-Calc!F22))+(ArtifactsInput!$M$15-ArtifactsInput!$M$15)*CHOOSE(ArtifactsInput!$N$15+1,8,9.6,11.2,12.8,14.4,16))/150)*(1-((C3129=TRUE)*F3129*IF(AND(Inputs!$B$39&lt;&gt;"pvp",Inputs!$B$44&gt;0),(((R3129-1)*(Skills!Y19*(1+Inputs!$B$34/100))+MIN((Skills!Y19*(1+Inputs!$B$34/100)),MAX(0,Inputs!$B$44-((R3129-1)*Skills!D19))))/Inputs!$B$44),IF(Inputs!$B$39="pvp",MIN((Skills!Y19*(1+Inputs!$B$34/100)),15)/15,(Skills!Y19*(1+Inputs!$B$34/100))/Skills!D19)))/150)))/100</f>
        <v/>
      </c>
    </row>
    <row r="3144">
      <c r="A3144" t="inlineStr">
        <is>
          <t>Alchemic Adrenaline Uptime</t>
        </is>
      </c>
      <c r="B3144">
        <f>(Skills!Y6*(1+Inputs!$B$34/100))/((Skills!Y6*(1+Inputs!$B$34/100))+(5/B3143))</f>
        <v/>
      </c>
    </row>
    <row r="3145">
      <c r="A3145" t="inlineStr">
        <is>
          <t>Attack Speed Buff Bonus %</t>
        </is>
      </c>
      <c r="B3145">
        <f>((C3129=TRUE)*F3129*IF(AND(Inputs!$B$39&lt;&gt;"pvp",Inputs!$B$44&gt;0),(((R3129-1)*(Skills!Y19*(1+Inputs!$B$34/100))+MIN((Skills!Y19*(1+Inputs!$B$34/100)),MAX(0,Inputs!$B$44-((R3129-1)*Skills!D19))))/Inputs!$B$44),IF(Inputs!$B$39="pvp",MIN((Skills!Y19*(1+Inputs!$B$34/100)),15)/15,(Skills!Y19*(1+Inputs!$B$34/100))/Skills!D19)))+((C3117=TRUE)*F3117*B3144)</f>
        <v/>
      </c>
    </row>
    <row r="3146">
      <c r="A3146" t="inlineStr">
        <is>
          <t>Actions Per Second (final)</t>
        </is>
      </c>
      <c r="B3146">
        <f>1+MIN(150,150*(1-(1-(Inputs!$B$11+((C3132=TRUE)*(F3132-Calc!F22))+(ArtifactsInput!$M$15-ArtifactsInput!$M$15)*CHOOSE(ArtifactsInput!$N$15+1,8,9.6,11.2,12.8,14.4,16))/150)*(1-B3145/150)))/100</f>
        <v/>
      </c>
    </row>
    <row r="3147">
      <c r="A3147" t="inlineStr">
        <is>
          <t>Skill + Buff Cast Rate</t>
        </is>
      </c>
      <c r="B3147">
        <f>IF(AND(Inputs!$B$39&lt;&gt;"pvp",Inputs!$B$44&gt;0),SUMPRODUCT((Skills!E2:E31=TRUE)*(C3112:C3141=TRUE)*R3112:R3141*Skills!F2:F31)/Inputs!$B$44,SUMPRODUCT((Skills!E2:E31=TRUE)*(C3112:C3141=TRUE)*Q3112:Q3141*Skills!F2:F31))</f>
        <v/>
      </c>
    </row>
    <row r="3148">
      <c r="A3148" t="inlineStr">
        <is>
          <t>Showdown Casts Per Second</t>
        </is>
      </c>
      <c r="B3148">
        <f>MAX(0,B3146-B3147)</f>
        <v/>
      </c>
    </row>
    <row r="3149">
      <c r="A3149" t="inlineStr">
        <is>
          <t>Average Buff Multiplier</t>
        </is>
      </c>
      <c r="B3149">
        <f>(1+(((C3131=TRUE)*F3131*IF(AND(Inputs!$B$39&lt;&gt;"pvp",Inputs!$B$44&gt;0),(((R3131-1)*(Skills!Y21*(1+Inputs!$B$34/100))+MIN((Skills!Y21*(1+Inputs!$B$34/100)),MAX(0,Inputs!$B$44-((R3131-1)*Skills!D21))))/Inputs!$B$44),IF(Inputs!$B$39="pvp",MIN((Skills!Y21*(1+Inputs!$B$34/100)),15)/15,(Skills!Y21*(1+Inputs!$B$34/100))/Skills!D21)))+((C3138=TRUE)*(F3138-Calc!F28))+((C3128=TRUE)*(F3128-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3125=TRUE)*F3125*IF(AND(Inputs!$B$39&lt;&gt;"pvp",Inputs!$B$44&gt;0),(((R3125-1)*(Skills!Y15*(1+Inputs!$B$34/100))+MIN((Skills!Y15*(1+Inputs!$B$34/100)),MAX(0,Inputs!$B$44-((R3125-1)*Skills!D15))))/Inputs!$B$44),IF(Inputs!$B$39="pvp",MIN((Skills!Y15*(1+Inputs!$B$34/100)),15)/15,(Skills!Y15*(1+Inputs!$B$34/100))/Skills!D15)))/100)*(1+((C3116=TRUE)*F3116*B3144)/100)</f>
        <v/>
      </c>
    </row>
    <row r="3150">
      <c r="A3150" t="inlineStr">
        <is>
          <t>Global Crit Rate Bonus %</t>
        </is>
      </c>
      <c r="B3150">
        <f>IF(Inputs!$B$3&gt;=47,8,0)+((C3130=TRUE)*F3130*IF(AND(Inputs!$B$39&lt;&gt;"pvp",Inputs!$B$44&gt;0),(((R3130-1)*(Skills!Y20*(1+Inputs!$B$34/100))+MIN((Skills!Y20*(1+Inputs!$B$34/100)),MAX(0,Inputs!$B$44-((R3130-1)*Skills!D20))))/Inputs!$B$44),IF(Inputs!$B$39="pvp",MIN((Skills!Y20*(1+Inputs!$B$34/100)),15)/15,(Skills!Y20*(1+Inputs!$B$34/100))/Skills!D20)))</f>
        <v/>
      </c>
    </row>
    <row r="3151">
      <c r="A3151" t="inlineStr">
        <is>
          <t>Global Monster Damage-Taken Bonus %</t>
        </is>
      </c>
      <c r="B3151">
        <f>IF(Inputs!$B$3&gt;=82,15,0)+((C3126=TRUE)*F3126*IF(AND(Inputs!$B$39&lt;&gt;"pvp",Inputs!$B$44&gt;0),(((R3126-1)*(Skills!Y16*(1+Inputs!$B$34/100))+MIN((Skills!Y16*(1+Inputs!$B$34/100)),MAX(0,Inputs!$B$44-((R3126-1)*Skills!D16))))/Inputs!$B$44),IF(Inputs!$B$39="pvp",MIN((Skills!Y16*(1+Inputs!$B$34/100)),15)/15,(Skills!Y16*(1+Inputs!$B$34/100))/Skills!D16)))</f>
        <v/>
      </c>
    </row>
    <row r="3152">
      <c r="A3152" t="inlineStr">
        <is>
          <t>Shadow Partner Average Multiplier</t>
        </is>
      </c>
      <c r="B3152">
        <f>1+((C3121=TRUE)*F3121*I3121*Skills!J11/100)/100</f>
        <v/>
      </c>
    </row>
    <row r="3153">
      <c r="A3153" t="inlineStr">
        <is>
          <t>Global Critical Damage Bonus % (Frailty Curse Mastery Lv.111)</t>
        </is>
      </c>
      <c r="B3153">
        <f>IF(Inputs!$B$3&gt;=111,30,0)*IF(AND(Inputs!$B$39&lt;&gt;"pvp",Inputs!$B$44&gt;0),(((R3126-1)*(Skills!Y16*(1+Inputs!$B$34/100))+MIN((Skills!Y16*(1+Inputs!$B$34/100)),MAX(0,Inputs!$B$44-((R3126-1)*Skills!D16))))/Inputs!$B$44),IF(Inputs!$B$39="pvp",MIN((Skills!Y16*(1+Inputs!$B$34/100)),15)/15,(Skills!Y16*(1+Inputs!$B$34/100))/Skills!D16))</f>
        <v/>
      </c>
    </row>
    <row r="3154">
      <c r="A3154" s="6" t="inlineStr">
        <is>
          <t>TOTAL DPS</t>
        </is>
      </c>
      <c r="B3154" s="6">
        <f>SUM(O3112:O3141)</f>
        <v/>
      </c>
    </row>
    <row r="3155">
      <c r="A3155" t="inlineStr">
        <is>
          <t>Buff-Casting Startup Delay (s, fixed-duration only)</t>
        </is>
      </c>
      <c r="B3155">
        <f>IF(AND(Inputs!$B$39&lt;&gt;"pvp",Inputs!$B$44&gt;0),SUMPRODUCT((Skills!Y2:Y31&gt;0)*(Skills!E2:E31=TRUE)*(C3112:C3141=TRUE))/B3146,0)</f>
        <v/>
      </c>
    </row>
    <row r="3156">
      <c r="A3156" t="inlineStr">
        <is>
          <t>Boss-Only Total DPS (this block's swept value)</t>
        </is>
      </c>
      <c r="B3156">
        <f>SUM(T3112:T3141)</f>
        <v/>
      </c>
    </row>
    <row r="3157">
      <c r="A3157" t="inlineStr">
        <is>
          <t>Normal-Only Total DPS (this block's swept value)</t>
        </is>
      </c>
      <c r="B3157">
        <f>SUM(V3112:V3141)</f>
        <v/>
      </c>
    </row>
    <row r="3159">
      <c r="A3159" s="9" t="inlineStr">
        <is>
          <t>Cooldown Reduction Milestone Sweep (absolute CDR seconds, fixed-duration content only)</t>
        </is>
      </c>
    </row>
    <row r="3160">
      <c r="A3160" s="5" t="inlineStr">
        <is>
          <t>CDR (s)</t>
        </is>
      </c>
      <c r="B3160" s="5" t="inlineStr">
        <is>
          <t>Total DPS</t>
        </is>
      </c>
      <c r="C3160" s="5" t="inlineStr">
        <is>
          <t>DPS Gain (vs prior step)</t>
        </is>
      </c>
      <c r="D3160" s="5" t="inlineStr">
        <is>
          <t>% Gain (vs current CDR)</t>
        </is>
      </c>
    </row>
    <row r="3161">
      <c r="A3161" t="n">
        <v>0.5</v>
      </c>
      <c r="B3161">
        <f>B3217</f>
        <v/>
      </c>
      <c r="C3161" t="n">
        <v>0</v>
      </c>
      <c r="D3161">
        <f>IF(Summary!$B$3=0,0,(B3161-Summary!$B$3)/Summary!$B$3*100)</f>
        <v/>
      </c>
    </row>
    <row r="3162">
      <c r="A3162" t="n">
        <v>1</v>
      </c>
      <c r="B3162">
        <f>B3266</f>
        <v/>
      </c>
      <c r="C3162">
        <f>B3162-B3161</f>
        <v/>
      </c>
      <c r="D3162">
        <f>IF(Summary!$B$3=0,0,(B3162-Summary!$B$3)/Summary!$B$3*100)</f>
        <v/>
      </c>
    </row>
    <row r="3163">
      <c r="A3163" t="n">
        <v>1.5</v>
      </c>
      <c r="B3163">
        <f>B3315</f>
        <v/>
      </c>
      <c r="C3163">
        <f>B3163-B3162</f>
        <v/>
      </c>
      <c r="D3163">
        <f>IF(Summary!$B$3=0,0,(B3163-Summary!$B$3)/Summary!$B$3*100)</f>
        <v/>
      </c>
    </row>
    <row r="3164">
      <c r="A3164" t="n">
        <v>2</v>
      </c>
      <c r="B3164">
        <f>B3364</f>
        <v/>
      </c>
      <c r="C3164">
        <f>B3164-B3163</f>
        <v/>
      </c>
      <c r="D3164">
        <f>IF(Summary!$B$3=0,0,(B3164-Summary!$B$3)/Summary!$B$3*100)</f>
        <v/>
      </c>
    </row>
    <row r="3165">
      <c r="A3165" t="n">
        <v>2.5</v>
      </c>
      <c r="B3165">
        <f>B3413</f>
        <v/>
      </c>
      <c r="C3165">
        <f>B3165-B3164</f>
        <v/>
      </c>
      <c r="D3165">
        <f>IF(Summary!$B$3=0,0,(B3165-Summary!$B$3)/Summary!$B$3*100)</f>
        <v/>
      </c>
    </row>
    <row r="3166">
      <c r="A3166" t="n">
        <v>3</v>
      </c>
      <c r="B3166">
        <f>B3462</f>
        <v/>
      </c>
      <c r="C3166">
        <f>B3166-B3165</f>
        <v/>
      </c>
      <c r="D3166">
        <f>IF(Summary!$B$3=0,0,(B3166-Summary!$B$3)/Summary!$B$3*100)</f>
        <v/>
      </c>
    </row>
    <row r="3167">
      <c r="A3167" t="n">
        <v>3.5</v>
      </c>
      <c r="B3167">
        <f>B3511</f>
        <v/>
      </c>
      <c r="C3167">
        <f>B3167-B3166</f>
        <v/>
      </c>
      <c r="D3167">
        <f>IF(Summary!$B$3=0,0,(B3167-Summary!$B$3)/Summary!$B$3*100)</f>
        <v/>
      </c>
    </row>
    <row r="3168">
      <c r="A3168" t="n">
        <v>4</v>
      </c>
      <c r="B3168">
        <f>B3560</f>
        <v/>
      </c>
      <c r="C3168">
        <f>B3168-B3167</f>
        <v/>
      </c>
      <c r="D3168">
        <f>IF(Summary!$B$3=0,0,(B3168-Summary!$B$3)/Summary!$B$3*100)</f>
        <v/>
      </c>
    </row>
    <row r="3169">
      <c r="A3169" t="n">
        <v>4.5</v>
      </c>
      <c r="B3169">
        <f>B3609</f>
        <v/>
      </c>
      <c r="C3169">
        <f>B3169-B3168</f>
        <v/>
      </c>
      <c r="D3169">
        <f>IF(Summary!$B$3=0,0,(B3169-Summary!$B$3)/Summary!$B$3*100)</f>
        <v/>
      </c>
    </row>
    <row r="3170">
      <c r="A3170" t="n">
        <v>5</v>
      </c>
      <c r="B3170">
        <f>B3658</f>
        <v/>
      </c>
      <c r="C3170">
        <f>B3170-B3169</f>
        <v/>
      </c>
      <c r="D3170">
        <f>IF(Summary!$B$3=0,0,(B3170-Summary!$B$3)/Summary!$B$3*100)</f>
        <v/>
      </c>
    </row>
    <row r="3173">
      <c r="A3173" s="6" t="inlineStr">
        <is>
          <t>Stat: CDR = 0.5s</t>
        </is>
      </c>
    </row>
    <row r="3174">
      <c r="A3174" s="5" t="inlineStr">
        <is>
          <t>Key</t>
        </is>
      </c>
      <c r="B3174" s="5" t="inlineStr">
        <is>
          <t>Name</t>
        </is>
      </c>
      <c r="C3174" s="5" t="inlineStr">
        <is>
          <t>Unlocked</t>
        </is>
      </c>
      <c r="D3174" s="5" t="inlineStr">
        <is>
          <t>InputLevel</t>
        </is>
      </c>
      <c r="E3174" s="5" t="inlineStr">
        <is>
          <t>Factor</t>
        </is>
      </c>
      <c r="F3174" s="5" t="inlineStr">
        <is>
          <t>CoefficientPercent</t>
        </is>
      </c>
      <c r="G3174" s="5" t="inlineStr">
        <is>
          <t>EffectiveHits</t>
        </is>
      </c>
      <c r="H3174" s="5" t="inlineStr">
        <is>
          <t>ProcProbability</t>
        </is>
      </c>
      <c r="I3174" s="5" t="inlineStr">
        <is>
          <t>MapleHeroMultiplier</t>
        </is>
      </c>
      <c r="J3174" s="5" t="inlineStr">
        <is>
          <t>BaseDamage</t>
        </is>
      </c>
      <c r="K3174" s="5" t="inlineStr">
        <is>
          <t>BaseHitDamage</t>
        </is>
      </c>
      <c r="L3174" s="5" t="inlineStr">
        <is>
          <t>NonCritAvg</t>
        </is>
      </c>
      <c r="M3174" s="5" t="inlineStr">
        <is>
          <t>CritAvg</t>
        </is>
      </c>
      <c r="N3174" s="5" t="inlineStr">
        <is>
          <t>ExpectedDamage(perHit)</t>
        </is>
      </c>
      <c r="O3174" s="5" t="inlineStr">
        <is>
          <t>DPS</t>
        </is>
      </c>
      <c r="P3174" s="5" t="inlineStr">
        <is>
          <t>% of Total</t>
        </is>
      </c>
      <c r="Q3174" s="5" t="inlineStr">
        <is>
          <t>InvCooldown</t>
        </is>
      </c>
      <c r="R3174" s="5" t="inlineStr">
        <is>
          <t>CastsInFight</t>
        </is>
      </c>
      <c r="S3174" s="5" t="inlineStr">
        <is>
          <t>HitRate(perSec)</t>
        </is>
      </c>
      <c r="U3174" t="inlineStr">
        <is>
          <t>helpers</t>
        </is>
      </c>
    </row>
    <row r="3175">
      <c r="A3175">
        <f>Skills!A2</f>
        <v/>
      </c>
      <c r="B3175">
        <f>Skills!B2</f>
        <v/>
      </c>
      <c r="C3175">
        <f>Inputs!$B$3&gt;=100</f>
        <v/>
      </c>
      <c r="D3175" t="inlineStr"/>
      <c r="E3175" t="inlineStr"/>
      <c r="F3175">
        <f>U3179+Skills!O2</f>
        <v/>
      </c>
      <c r="G3175">
        <f>Calc!G2</f>
        <v/>
      </c>
      <c r="H3175">
        <f>Calc!H2</f>
        <v/>
      </c>
      <c r="I3175">
        <f>IF(Skills!AA2&lt;&gt;"",1+(Skills!AA2/10)*(U3176/1000)/100,1)</f>
        <v/>
      </c>
      <c r="J3175">
        <f>((Inputs!$B$6*(1+Inputs!$B$7/100))+(((Inputs!$B$12*(1+Inputs!$B$13/100))-(Inputs!$B$12*(1+Inputs!$B$13/100)))+0.25*(Inputs!$B$14-Inputs!$B$14))*(1+Inputs!$B$7/100))*(F3175/100)</f>
        <v/>
      </c>
      <c r="K3175">
        <f>J3175*(1+((Inputs!$B$12*(1+Inputs!$B$13/100))*0.01+Inputs!$B$14*0.0025)/100)*(1+Inputs!$B$15/100)*(1+Inputs!$B$16/100)*(5000/(6000+Inputs!$B$43*(1-(100*(1-(1-(Inputs!$B$19+0)/100)*(1-CHOOSE(ArtifactsInput!$N$40+1,5,6,7,8,9,10)/100)^(ArtifactsInput!$M$40-ArtifactsInput!$M$40)))/100)))*(1+(Inputs!$B$24+((C3203=TRUE)*(F3203-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3196=TRUE)*(F3196-Calc!F23))+(((IF(AND(ArtifactsInput!$M$42,((Inputs!$B$9+((C3198=TRUE)*(F3198-Calc!F25))+B3213+(ArtifactsInput!$M$24-ArtifactsInput!$M$24)*CHOOSE(ArtifactsInput!$N$24+1,10,12,14,16,18,20)+IF(ArtifactsInput!$M$10,CHOOSE(ArtifactsInput!$N$10+1,15,18,21,24,27,30)*(IF(Inputs!$B$39="pvp",MIN(15,15)/15,IF(AND(Inputs!$B$39&lt;&gt;"pvp",Inputs!$B$44&gt;0),MIN(15,Inputs!$B$44)/(Inputs!$B$44),0))),0)))&gt;=100),MIN(100,((Inputs!$B$9+((C3198=TRUE)*(F3198-Calc!F25))+B3213+(ArtifactsInput!$M$24-ArtifactsInput!$M$24)*CHOOSE(ArtifactsInput!$N$24+1,10,12,14,16,18,20)+IF(ArtifactsInput!$M$10,CHOOSE(ArtifactsInput!$N$10+1,15,18,21,24,27,30)*(IF(Inputs!$B$39="pvp",MIN(15,15)/15,IF(AND(Inputs!$B$39&lt;&gt;"pvp",Inputs!$B$44&gt;0),MIN(15,Inputs!$B$44)/(Inputs!$B$44),0))),0)))-100),0))*CHOOSE(ArtifactsInput!$N$42+1,0.6,0.72,0.84,0.96,1.08,1.2))),Inputs!$B$18+((C3202=TRUE)*(F3202-Calc!F29))+(IF(AND(ArtifactsInput!$M$42,((Inputs!$B$9+((C3198=TRUE)*(F3198-Calc!F25))+B3213+(ArtifactsInput!$M$24-ArtifactsInput!$M$24)*CHOOSE(ArtifactsInput!$N$24+1,10,12,14,16,18,20)+IF(ArtifactsInput!$M$10,CHOOSE(ArtifactsInput!$N$10+1,15,18,21,24,27,30)*(IF(Inputs!$B$39="pvp",MIN(15,15)/15,IF(AND(Inputs!$B$39&lt;&gt;"pvp",Inputs!$B$44&gt;0),MIN(15,Inputs!$B$44)/(Inputs!$B$44),0))),0)))&gt;=100),CHOOSE(ArtifactsInput!$N$42+1,40,48,56,64,72,80),0))))/100)*(((1+(((C3194=TRUE)*F3194*IF(AND(Inputs!$B$39&lt;&gt;"pvp",Inputs!$B$44&gt;0),(((R3194-1)*(Skills!Y21*(1+Inputs!$B$34/100))+MIN((Skills!Y21*(1+Inputs!$B$34/100)),MAX(0,Inputs!$B$44-((R3194-1)*Skills!D21))))/Inputs!$B$44),IF(Inputs!$B$39="pvp",MIN((Skills!Y21*(1+Inputs!$B$34/100)),15)/15,(Skills!Y21*(1+Inputs!$B$34/100))/Skills!D21)))+((C3201=TRUE)*(F3201-Calc!F28))+((C3191=TRUE)*(F3191-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3188=TRUE)*F3188*IF(AND(Inputs!$B$39&lt;&gt;"pvp",Inputs!$B$44&gt;0),(((R3188-1)*(Skills!Y15*(1+Inputs!$B$34/100))+MIN((Skills!Y15*(1+Inputs!$B$34/100)),MAX(0,Inputs!$B$44-((R3188-1)*Skills!D15))))/Inputs!$B$44),IF(Inputs!$B$39="pvp",MIN((Skills!Y15*(1+Inputs!$B$34/100)),15)/15,(Skills!Y15*(1+Inputs!$B$34/100))/Skills!D15)))/100)*(1+((C3179=TRUE)*F3179*B3207)/100))*B3215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3175)</f>
        <v/>
      </c>
      <c r="L3175">
        <f>K3175*(MIN(Inputs!$B$22+((C3197=TRUE)*(F3197-Calc!F24)),(Inputs!$B$23+0+(IF(ArtifactsInput!$M$15,CHOOSE(ArtifactsInput!$N$15+1,25,30,35,40,45,50)/100*(Inputs!$B$11-Inputs!$B$11),0))))/100+(Inputs!$B$23+0+(IF(ArtifactsInput!$M$15,CHOOSE(ArtifactsInput!$N$15+1,25,30,35,40,45,50)/100*(Inputs!$B$11-Inputs!$B$11),0)))/100)/2</f>
        <v/>
      </c>
      <c r="M3175">
        <f>L3175*(1+(Inputs!$B$10+((C3199=TRUE)*(F3199-Calc!F26))+B3216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75">
        <f>L3175*(1-MIN((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3175*(MIN((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75">
        <f>(1-Summary!$B$11)*T3175+Summary!$B$11*V3175</f>
        <v/>
      </c>
      <c r="P3175">
        <f>IF(B3217=0,0,O3175/B3217)</f>
        <v/>
      </c>
      <c r="Q3175" t="n">
        <v>0</v>
      </c>
      <c r="R3175" t="n">
        <v>0</v>
      </c>
      <c r="S3175">
        <f>IFERROR(O3175/N3175,0)</f>
        <v/>
      </c>
      <c r="T3175">
        <f>IF(C3175,(Skills!G2*N3175*B3211)*IF(Inputs!$B$39="pvp",1,1+(Inputs!$B$20+((C3200=TRUE)*(F3200-Calc!F27))+Skills!P2+B3214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Hunt"),CHOOSE(ArtifactsInput!$N$35+1,15,18,21,24,27,30)*(1-EXP(-(0.2*B3209)*5)),0)+IF(AND(ArtifactsInput!$M$22,Inputs!$B$4&lt;&gt;"Chapter Hunt"),CHOOSE(ArtifactsInput!$N$22+1,10,12,14,16,18,20)*((0*(((0.15*B3209*5))^0/1)+1*(((0.15*B3209*5))^1/1)+2*(((0.15*B3209*5))^2/2)+3*(((0.15*B3209*5))^3/6)+4*(((0.15*B3209*5))^4/24)+5*(((0.15*B3209*5))^5/120))/((((0.15*B3209*5))^0/1)+(((0.15*B3209*5))^1/1)+(((0.15*B3209*5))^2/2)+(((0.15*B3209*5))^3/6)+(((0.15*B3209*5))^4/24)+(((0.15*B3209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3175*(1-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3175*(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3175*(1-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3175*(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75">
        <f>MAX(0,(Inputs!$B$3-100)*3)+Inputs!$B$28+Inputs!$B$29</f>
        <v/>
      </c>
      <c r="V3175">
        <f>IF(C3175,(Skills!G2*N3175*B3211)*IF(Inputs!$B$39="pvp",1,(1+(Inputs!$B$21+Skills!Q2+B3214+(IF(ArtifactsInput!$M$33,CHOOSE(ArtifactsInput!$N$33+1,30,36,42,48,54,60),0))+(IF(AND(ArtifactsInput!$M$35,Inputs!$B$4&lt;&gt;"Chapter Hunt"),CHOOSE(ArtifactsInput!$N$35+1,15,18,21,24,27,30)*(1-EXP(-(0.2*B3209)*5)),0)+IF(AND(ArtifactsInput!$M$22,Inputs!$B$4&lt;&gt;"Chapter Hunt"),CHOOSE(ArtifactsInput!$N$22+1,10,12,14,16,18,20)*((0*(((0.15*B3209*5))^0/1)+1*(((0.15*B3209*5))^1/1)+2*(((0.15*B3209*5))^2/2)+3*(((0.15*B3209*5))^3/6)+4*(((0.15*B3209*5))^4/24)+5*(((0.15*B3209*5))^5/120))/((((0.15*B3209*5))^0/1)+(((0.15*B3209*5))^1/1)+(((0.15*B3209*5))^2/2)+(((0.15*B3209*5))^3/6)+(((0.15*B3209*5))^4/24)+(((0.15*B3209*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76">
      <c r="A3176">
        <f>Skills!A3</f>
        <v/>
      </c>
      <c r="B3176">
        <f>Skills!B3</f>
        <v/>
      </c>
      <c r="C3176">
        <f>Inputs!$B$3&gt;=35</f>
        <v/>
      </c>
      <c r="D3176">
        <f>IF(Skills!C3=1,60+Inputs!$B$25+Inputs!$B$29,IF(Skills!C3=2,90+Inputs!$B$26+Inputs!$B$29,IF(Skills!C3=3,120+Inputs!$B$27+Inputs!$B$29,MAX(0,(Inputs!$B$3-100)*3)+Inputs!$B$28+Inputs!$B$29)))</f>
        <v/>
      </c>
      <c r="E3176">
        <f>INDEX(FactorTable!$B$2:$Y$301, MATCH(ROUND(MIN(300,MAX(1,D3176)),0), FactorTable!$A$2:$A$301,0), Skills!M3+1)</f>
        <v/>
      </c>
      <c r="F3176">
        <f>IF(Skills!N3=TRUE,(Skills!L3/10)*(E3176/1000),Skills!L3/10)+Skills!O3</f>
        <v/>
      </c>
      <c r="G3176">
        <f>Calc!G3</f>
        <v/>
      </c>
      <c r="H3176">
        <f>Calc!H3</f>
        <v/>
      </c>
      <c r="I3176">
        <f>IF(Skills!AA3&lt;&gt;"",1+(Skills!AA3/10)*(U3176/1000)/100,1)</f>
        <v/>
      </c>
      <c r="J3176">
        <f>((Inputs!$B$6*(1+Inputs!$B$7/100))+(((Inputs!$B$12*(1+Inputs!$B$13/100))-(Inputs!$B$12*(1+Inputs!$B$13/100)))+0.25*(Inputs!$B$14-Inputs!$B$14))*(1+Inputs!$B$7/100))*(F3176/100)</f>
        <v/>
      </c>
      <c r="K3176">
        <f>J3176*(1+((Inputs!$B$12*(1+Inputs!$B$13/100))*0.01+Inputs!$B$14*0.0025)/100)*(1+Inputs!$B$15/100)*(1+Inputs!$B$16/100)*(5000/(6000+Inputs!$B$43*(1-(100*(1-(1-(Inputs!$B$19+0)/100)*(1-CHOOSE(ArtifactsInput!$N$40+1,5,6,7,8,9,10)/100)^(ArtifactsInput!$M$40-ArtifactsInput!$M$40)))/100)))*(1+(Inputs!$B$24+((C3203=TRUE)*(F3203-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3196=TRUE)*(F3196-Calc!F23))+(((IF(AND(ArtifactsInput!$M$42,((Inputs!$B$9+((C3198=TRUE)*(F3198-Calc!F25))+B3213+(ArtifactsInput!$M$24-ArtifactsInput!$M$24)*CHOOSE(ArtifactsInput!$N$24+1,10,12,14,16,18,20)+IF(ArtifactsInput!$M$10,CHOOSE(ArtifactsInput!$N$10+1,15,18,21,24,27,30)*(IF(Inputs!$B$39="pvp",MIN(15,15)/15,IF(AND(Inputs!$B$39&lt;&gt;"pvp",Inputs!$B$44&gt;0),MIN(15,Inputs!$B$44)/(Inputs!$B$44),0))),0)))&gt;=100),MIN(100,((Inputs!$B$9+((C3198=TRUE)*(F3198-Calc!F25))+B3213+(ArtifactsInput!$M$24-ArtifactsInput!$M$24)*CHOOSE(ArtifactsInput!$N$24+1,10,12,14,16,18,20)+IF(ArtifactsInput!$M$10,CHOOSE(ArtifactsInput!$N$10+1,15,18,21,24,27,30)*(IF(Inputs!$B$39="pvp",MIN(15,15)/15,IF(AND(Inputs!$B$39&lt;&gt;"pvp",Inputs!$B$44&gt;0),MIN(15,Inputs!$B$44)/(Inputs!$B$44),0))),0)))-100),0))*CHOOSE(ArtifactsInput!$N$42+1,0.6,0.72,0.84,0.96,1.08,1.2))),Inputs!$B$18+((C3202=TRUE)*(F3202-Calc!F29))+(IF(AND(ArtifactsInput!$M$42,((Inputs!$B$9+((C3198=TRUE)*(F3198-Calc!F25))+B3213+(ArtifactsInput!$M$24-ArtifactsInput!$M$24)*CHOOSE(ArtifactsInput!$N$24+1,10,12,14,16,18,20)+IF(ArtifactsInput!$M$10,CHOOSE(ArtifactsInput!$N$10+1,15,18,21,24,27,30)*(IF(Inputs!$B$39="pvp",MIN(15,15)/15,IF(AND(Inputs!$B$39&lt;&gt;"pvp",Inputs!$B$44&gt;0),MIN(15,Inputs!$B$44)/(Inputs!$B$44),0))),0)))&gt;=100),CHOOSE(ArtifactsInput!$N$42+1,40,48,56,64,72,80),0))))/100)*(((1+(((C3194=TRUE)*F3194*IF(AND(Inputs!$B$39&lt;&gt;"pvp",Inputs!$B$44&gt;0),(((R3194-1)*(Skills!Y21*(1+Inputs!$B$34/100))+MIN((Skills!Y21*(1+Inputs!$B$34/100)),MAX(0,Inputs!$B$44-((R3194-1)*Skills!D21))))/Inputs!$B$44),IF(Inputs!$B$39="pvp",MIN((Skills!Y21*(1+Inputs!$B$34/100)),15)/15,(Skills!Y21*(1+Inputs!$B$34/100))/Skills!D21)))+((C3201=TRUE)*(F3201-Calc!F28))+((C3191=TRUE)*(F3191-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3188=TRUE)*F3188*IF(AND(Inputs!$B$39&lt;&gt;"pvp",Inputs!$B$44&gt;0),(((R3188-1)*(Skills!Y15*(1+Inputs!$B$34/100))+MIN((Skills!Y15*(1+Inputs!$B$34/100)),MAX(0,Inputs!$B$44-((R3188-1)*Skills!D15))))/Inputs!$B$44),IF(Inputs!$B$39="pvp",MIN((Skills!Y15*(1+Inputs!$B$34/100)),15)/15,(Skills!Y15*(1+Inputs!$B$34/100))/Skills!D15)))/100)*(1+((C3179=TRUE)*F3179*B3207)/100))*B3215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3176)</f>
        <v/>
      </c>
      <c r="L3176">
        <f>K3176*(MIN(Inputs!$B$22+((C3197=TRUE)*(F3197-Calc!F24)),(Inputs!$B$23+0+(IF(ArtifactsInput!$M$15,CHOOSE(ArtifactsInput!$N$15+1,25,30,35,40,45,50)/100*(Inputs!$B$11-Inputs!$B$11),0))))/100+(Inputs!$B$23+0+(IF(ArtifactsInput!$M$15,CHOOSE(ArtifactsInput!$N$15+1,25,30,35,40,45,50)/100*(Inputs!$B$11-Inputs!$B$11),0)))/100)/2</f>
        <v/>
      </c>
      <c r="M3176">
        <f>L3176*(1+(Inputs!$B$10+((C3199=TRUE)*(F3199-Calc!F26))+B3216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76">
        <f>L3176*(1-MIN((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3176*(MIN((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76">
        <f>(1-Summary!$B$11)*T3176+Summary!$B$11*V3176</f>
        <v/>
      </c>
      <c r="P3176">
        <f>IF(B3217=0,0,O3176/B3217)</f>
        <v/>
      </c>
      <c r="Q3176">
        <f>IFERROR(1/IF(Inputs!$B$39="pvp",15,MAX(0.1,Skills!D3-IF(Skills!E3=TRUE,0.5,0))),0)</f>
        <v/>
      </c>
      <c r="R3176">
        <f>IF(AND(Inputs!$B$39&lt;&gt;"pvp",Inputs!$B$44&gt;0),IF(MAX(0,Inputs!$B$44-B3218)&lt;=0,0,(INT(MAX(0,Inputs!$B$44-B3218)/IF(Inputs!$B$39="pvp",15,MAX(0.1,Skills!D3-IF(Skills!E3=TRUE,0.5,0))))+1)),0)</f>
        <v/>
      </c>
      <c r="S3176">
        <f>IFERROR(O3176/N3176,0)</f>
        <v/>
      </c>
      <c r="T3176">
        <f>IF(C3176,(H3176*N3176*IF(AND(Inputs!$B$39&lt;&gt;"pvp",Inputs!$B$44&gt;0),((Skills!G3*((R3176-1)*IF(Skills!H3&gt;0,Skills!I3/Skills!H3,1)+IF(Skills!H3&gt;0,MIN(Skills!I3,MAX(0,MAX(0,Inputs!$B$44-B3218)-((R3176-1)*IF(Inputs!$B$39="pvp",15,MAX(0.1,Skills!D3-IF(Skills!E3=TRUE,0.5,0))))))/Skills!H3,1)))/Inputs!$B$44),G3176*Q3176))*IF(Inputs!$B$39="pvp",1,1+(Inputs!$B$20+((C3200=TRUE)*(F3200-Calc!F27))+Skills!P3+B3214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Hunt"),CHOOSE(ArtifactsInput!$N$35+1,15,18,21,24,27,30)*(1-EXP(-(0.2*B3209)*5)),0)+IF(AND(ArtifactsInput!$M$22,Inputs!$B$4&lt;&gt;"Chapter Hunt"),CHOOSE(ArtifactsInput!$N$22+1,10,12,14,16,18,20)*((0*(((0.15*B3209*5))^0/1)+1*(((0.15*B3209*5))^1/1)+2*(((0.15*B3209*5))^2/2)+3*(((0.15*B3209*5))^3/6)+4*(((0.15*B3209*5))^4/24)+5*(((0.15*B3209*5))^5/120))/((((0.15*B3209*5))^0/1)+(((0.15*B3209*5))^1/1)+(((0.15*B3209*5))^2/2)+(((0.15*B3209*5))^3/6)+(((0.15*B3209*5))^4/24)+(((0.15*B3209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3176*(1-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3176*(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3176*(1-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3176*(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76">
        <f>INDEX(FactorTable!$B$2:$Y$301, MATCH(ROUND(MIN(300,MAX(1,U3175)),0), FactorTable!$A$2:$A$301,0), 24)</f>
        <v/>
      </c>
      <c r="V3176">
        <f>IF(C3176,(H3176*N3176*IF(AND(Inputs!$B$39&lt;&gt;"pvp",Inputs!$B$44&gt;0),((Skills!G3*((R3176-1)*IF(Skills!H3&gt;0,Skills!I3/Skills!H3,1)+IF(Skills!H3&gt;0,MIN(Skills!I3,MAX(0,MAX(0,Inputs!$B$44-B3218)-((R3176-1)*IF(Inputs!$B$39="pvp",15,MAX(0.1,Skills!D3-IF(Skills!E3=TRUE,0.5,0))))))/Skills!H3,1)))/Inputs!$B$44),G3176*Q3176))*IF(Inputs!$B$39="pvp",1,(1+(Inputs!$B$21+Skills!Q3+B3214+(IF(ArtifactsInput!$M$33,CHOOSE(ArtifactsInput!$N$33+1,30,36,42,48,54,60),0))+(IF(AND(ArtifactsInput!$M$35,Inputs!$B$4&lt;&gt;"Chapter Hunt"),CHOOSE(ArtifactsInput!$N$35+1,15,18,21,24,27,30)*(1-EXP(-(0.2*B3209)*5)),0)+IF(AND(ArtifactsInput!$M$22,Inputs!$B$4&lt;&gt;"Chapter Hunt"),CHOOSE(ArtifactsInput!$N$22+1,10,12,14,16,18,20)*((0*(((0.15*B3209*5))^0/1)+1*(((0.15*B3209*5))^1/1)+2*(((0.15*B3209*5))^2/2)+3*(((0.15*B3209*5))^3/6)+4*(((0.15*B3209*5))^4/24)+5*(((0.15*B3209*5))^5/120))/((((0.15*B3209*5))^0/1)+(((0.15*B3209*5))^1/1)+(((0.15*B3209*5))^2/2)+(((0.15*B3209*5))^3/6)+(((0.15*B3209*5))^4/24)+(((0.15*B3209*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77">
      <c r="A3177">
        <f>Skills!A4</f>
        <v/>
      </c>
      <c r="B3177">
        <f>Skills!B4</f>
        <v/>
      </c>
      <c r="C3177">
        <f>Inputs!$B$3&gt;=40</f>
        <v/>
      </c>
      <c r="D3177">
        <f>IF(Skills!C4=1,60+Inputs!$B$25+Inputs!$B$29,IF(Skills!C4=2,90+Inputs!$B$26+Inputs!$B$29,IF(Skills!C4=3,120+Inputs!$B$27+Inputs!$B$29,MAX(0,(Inputs!$B$3-100)*3)+Inputs!$B$28+Inputs!$B$29)))</f>
        <v/>
      </c>
      <c r="E3177">
        <f>INDEX(FactorTable!$B$2:$Y$301, MATCH(ROUND(MIN(300,MAX(1,D3177)),0), FactorTable!$A$2:$A$301,0), Skills!M4+1)</f>
        <v/>
      </c>
      <c r="F3177">
        <f>IF(Skills!N4=TRUE,(Skills!L4/10)*(E3177/1000),Skills!L4/10)+Skills!O4</f>
        <v/>
      </c>
      <c r="G3177">
        <f>Calc!G4</f>
        <v/>
      </c>
      <c r="H3177">
        <f>Calc!H4</f>
        <v/>
      </c>
      <c r="I3177">
        <f>IF(Skills!AA4&lt;&gt;"",1+(Skills!AA4/10)*(U3176/1000)/100,1)</f>
        <v/>
      </c>
      <c r="J3177">
        <f>((Inputs!$B$6*(1+Inputs!$B$7/100))+(((Inputs!$B$12*(1+Inputs!$B$13/100))-(Inputs!$B$12*(1+Inputs!$B$13/100)))+0.25*(Inputs!$B$14-Inputs!$B$14))*(1+Inputs!$B$7/100))*(F3177/100)</f>
        <v/>
      </c>
      <c r="K3177">
        <f>J3177*(1+((Inputs!$B$12*(1+Inputs!$B$13/100))*0.01+Inputs!$B$14*0.0025)/100)*(1+Inputs!$B$15/100)*(1+Inputs!$B$16/100)*(5000/(6000+Inputs!$B$43*(1-(100*(1-(1-(Inputs!$B$19+0)/100)*(1-CHOOSE(ArtifactsInput!$N$40+1,5,6,7,8,9,10)/100)^(ArtifactsInput!$M$40-ArtifactsInput!$M$40)))/100)))*(1+(Inputs!$B$24+((C3203=TRUE)*(F3203-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3196=TRUE)*(F3196-Calc!F23))+(((IF(AND(ArtifactsInput!$M$42,((Inputs!$B$9+((C3198=TRUE)*(F3198-Calc!F25))+B3213+(ArtifactsInput!$M$24-ArtifactsInput!$M$24)*CHOOSE(ArtifactsInput!$N$24+1,10,12,14,16,18,20)+IF(ArtifactsInput!$M$10,CHOOSE(ArtifactsInput!$N$10+1,15,18,21,24,27,30)*(IF(Inputs!$B$39="pvp",MIN(15,15)/15,IF(AND(Inputs!$B$39&lt;&gt;"pvp",Inputs!$B$44&gt;0),MIN(15,Inputs!$B$44)/(Inputs!$B$44),0))),0)))&gt;=100),MIN(100,((Inputs!$B$9+((C3198=TRUE)*(F3198-Calc!F25))+B3213+(ArtifactsInput!$M$24-ArtifactsInput!$M$24)*CHOOSE(ArtifactsInput!$N$24+1,10,12,14,16,18,20)+IF(ArtifactsInput!$M$10,CHOOSE(ArtifactsInput!$N$10+1,15,18,21,24,27,30)*(IF(Inputs!$B$39="pvp",MIN(15,15)/15,IF(AND(Inputs!$B$39&lt;&gt;"pvp",Inputs!$B$44&gt;0),MIN(15,Inputs!$B$44)/(Inputs!$B$44),0))),0)))-100),0))*CHOOSE(ArtifactsInput!$N$42+1,0.6,0.72,0.84,0.96,1.08,1.2))),Inputs!$B$18+((C3202=TRUE)*(F3202-Calc!F29))+(IF(AND(ArtifactsInput!$M$42,((Inputs!$B$9+((C3198=TRUE)*(F3198-Calc!F25))+B3213+(ArtifactsInput!$M$24-ArtifactsInput!$M$24)*CHOOSE(ArtifactsInput!$N$24+1,10,12,14,16,18,20)+IF(ArtifactsInput!$M$10,CHOOSE(ArtifactsInput!$N$10+1,15,18,21,24,27,30)*(IF(Inputs!$B$39="pvp",MIN(15,15)/15,IF(AND(Inputs!$B$39&lt;&gt;"pvp",Inputs!$B$44&gt;0),MIN(15,Inputs!$B$44)/(Inputs!$B$44),0))),0)))&gt;=100),CHOOSE(ArtifactsInput!$N$42+1,40,48,56,64,72,80),0))))/100)*(((1+(((C3194=TRUE)*F3194*IF(AND(Inputs!$B$39&lt;&gt;"pvp",Inputs!$B$44&gt;0),(((R3194-1)*(Skills!Y21*(1+Inputs!$B$34/100))+MIN((Skills!Y21*(1+Inputs!$B$34/100)),MAX(0,Inputs!$B$44-((R3194-1)*Skills!D21))))/Inputs!$B$44),IF(Inputs!$B$39="pvp",MIN((Skills!Y21*(1+Inputs!$B$34/100)),15)/15,(Skills!Y21*(1+Inputs!$B$34/100))/Skills!D21)))+((C3201=TRUE)*(F3201-Calc!F28))+((C3191=TRUE)*(F3191-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3188=TRUE)*F3188*IF(AND(Inputs!$B$39&lt;&gt;"pvp",Inputs!$B$44&gt;0),(((R3188-1)*(Skills!Y15*(1+Inputs!$B$34/100))+MIN((Skills!Y15*(1+Inputs!$B$34/100)),MAX(0,Inputs!$B$44-((R3188-1)*Skills!D15))))/Inputs!$B$44),IF(Inputs!$B$39="pvp",MIN((Skills!Y15*(1+Inputs!$B$34/100)),15)/15,(Skills!Y15*(1+Inputs!$B$34/100))/Skills!D15)))/100)*(1+((C3179=TRUE)*F3179*B3207)/100))*B3215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3177)</f>
        <v/>
      </c>
      <c r="L3177">
        <f>K3177*(MIN(Inputs!$B$22+((C3197=TRUE)*(F3197-Calc!F24)),(Inputs!$B$23+0+(IF(ArtifactsInput!$M$15,CHOOSE(ArtifactsInput!$N$15+1,25,30,35,40,45,50)/100*(Inputs!$B$11-Inputs!$B$11),0))))/100+(Inputs!$B$23+0+(IF(ArtifactsInput!$M$15,CHOOSE(ArtifactsInput!$N$15+1,25,30,35,40,45,50)/100*(Inputs!$B$11-Inputs!$B$11),0)))/100)/2</f>
        <v/>
      </c>
      <c r="M3177">
        <f>L3177*(1+(Inputs!$B$10+((C3199=TRUE)*(F3199-Calc!F26))+B3216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77">
        <f>L3177*(1-MIN((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3177*(MIN((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77">
        <f>(1-Summary!$B$11)*T3177+Summary!$B$11*V3177</f>
        <v/>
      </c>
      <c r="P3177">
        <f>IF(B3217=0,0,O3177/B3217)</f>
        <v/>
      </c>
      <c r="Q3177">
        <f>IFERROR(1/IF(Inputs!$B$39="pvp",15,MAX(0.1,Skills!D4-IF(Skills!E4=TRUE,0.5,0))),0)</f>
        <v/>
      </c>
      <c r="R3177">
        <f>IF(AND(Inputs!$B$39&lt;&gt;"pvp",Inputs!$B$44&gt;0),IF(MAX(0,Inputs!$B$44-B3218)&lt;=0,0,(INT(MAX(0,Inputs!$B$44-B3218)/IF(Inputs!$B$39="pvp",15,MAX(0.1,Skills!D4-IF(Skills!E4=TRUE,0.5,0))))+1)),0)</f>
        <v/>
      </c>
      <c r="S3177">
        <f>IFERROR(O3177/N3177,0)</f>
        <v/>
      </c>
      <c r="T3177">
        <f>IF(C3177,(H3177*N3177*IF(AND(Inputs!$B$39&lt;&gt;"pvp",Inputs!$B$44&gt;0),((Skills!G4*((R3177-1)*IF(Skills!H4&gt;0,Skills!I4/Skills!H4,1)+IF(Skills!H4&gt;0,MIN(Skills!I4,MAX(0,MAX(0,Inputs!$B$44-B3218)-((R3177-1)*IF(Inputs!$B$39="pvp",15,MAX(0.1,Skills!D4-IF(Skills!E4=TRUE,0.5,0))))))/Skills!H4,1)))/Inputs!$B$44),G3177*Q3177))*IF(Inputs!$B$39="pvp",1,1+(Inputs!$B$20+((C3200=TRUE)*(F3200-Calc!F27))+Skills!P4+B3214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Hunt"),CHOOSE(ArtifactsInput!$N$35+1,15,18,21,24,27,30)*(1-EXP(-(0.2*B3209)*5)),0)+IF(AND(ArtifactsInput!$M$22,Inputs!$B$4&lt;&gt;"Chapter Hunt"),CHOOSE(ArtifactsInput!$N$22+1,10,12,14,16,18,20)*((0*(((0.15*B3209*5))^0/1)+1*(((0.15*B3209*5))^1/1)+2*(((0.15*B3209*5))^2/2)+3*(((0.15*B3209*5))^3/6)+4*(((0.15*B3209*5))^4/24)+5*(((0.15*B3209*5))^5/120))/((((0.15*B3209*5))^0/1)+(((0.15*B3209*5))^1/1)+(((0.15*B3209*5))^2/2)+(((0.15*B3209*5))^3/6)+(((0.15*B3209*5))^4/24)+(((0.15*B3209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3177*(1-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3177*(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3177*(1-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3177*(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77">
        <f>MAX(0,(Inputs!$B$3-100)*3)+Inputs!$B$28+Inputs!$B$29</f>
        <v/>
      </c>
      <c r="V3177">
        <f>IF(C3177,(H3177*N3177*IF(AND(Inputs!$B$39&lt;&gt;"pvp",Inputs!$B$44&gt;0),((Skills!G4*((R3177-1)*IF(Skills!H4&gt;0,Skills!I4/Skills!H4,1)+IF(Skills!H4&gt;0,MIN(Skills!I4,MAX(0,MAX(0,Inputs!$B$44-B3218)-((R3177-1)*IF(Inputs!$B$39="pvp",15,MAX(0.1,Skills!D4-IF(Skills!E4=TRUE,0.5,0))))))/Skills!H4,1)))/Inputs!$B$44),G3177*Q3177))*IF(Inputs!$B$39="pvp",1,(1+(Inputs!$B$21+Skills!Q4+B3214+(IF(ArtifactsInput!$M$33,CHOOSE(ArtifactsInput!$N$33+1,30,36,42,48,54,60),0))+(IF(AND(ArtifactsInput!$M$35,Inputs!$B$4&lt;&gt;"Chapter Hunt"),CHOOSE(ArtifactsInput!$N$35+1,15,18,21,24,27,30)*(1-EXP(-(0.2*B3209)*5)),0)+IF(AND(ArtifactsInput!$M$22,Inputs!$B$4&lt;&gt;"Chapter Hunt"),CHOOSE(ArtifactsInput!$N$22+1,10,12,14,16,18,20)*((0*(((0.15*B3209*5))^0/1)+1*(((0.15*B3209*5))^1/1)+2*(((0.15*B3209*5))^2/2)+3*(((0.15*B3209*5))^3/6)+4*(((0.15*B3209*5))^4/24)+5*(((0.15*B3209*5))^5/120))/((((0.15*B3209*5))^0/1)+(((0.15*B3209*5))^1/1)+(((0.15*B3209*5))^2/2)+(((0.15*B3209*5))^3/6)+(((0.15*B3209*5))^4/24)+(((0.15*B3209*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78">
      <c r="A3178">
        <f>Skills!A5</f>
        <v/>
      </c>
      <c r="B3178">
        <f>Skills!B5</f>
        <v/>
      </c>
      <c r="C3178">
        <f>Inputs!$B$3&gt;=63</f>
        <v/>
      </c>
      <c r="D3178">
        <f>IF(Skills!C5=1,60+Inputs!$B$25+Inputs!$B$29,IF(Skills!C5=2,90+Inputs!$B$26+Inputs!$B$29,IF(Skills!C5=3,120+Inputs!$B$27+Inputs!$B$29,MAX(0,(Inputs!$B$3-100)*3)+Inputs!$B$28+Inputs!$B$29)))</f>
        <v/>
      </c>
      <c r="E3178">
        <f>INDEX(FactorTable!$B$2:$Y$301, MATCH(ROUND(MIN(300,MAX(1,D3178)),0), FactorTable!$A$2:$A$301,0), Skills!M5+1)</f>
        <v/>
      </c>
      <c r="F3178">
        <f>IF(Skills!N5=TRUE,(Skills!L5/10)*(E3178/1000),Skills!L5/10)+Skills!O5</f>
        <v/>
      </c>
      <c r="G3178">
        <f>Calc!G5</f>
        <v/>
      </c>
      <c r="H3178">
        <f>Calc!H5</f>
        <v/>
      </c>
      <c r="I3178">
        <f>IF(Skills!AA5&lt;&gt;"",1+(Skills!AA5/10)*(U3176/1000)/100,1)</f>
        <v/>
      </c>
      <c r="J3178">
        <f>((Inputs!$B$6*(1+Inputs!$B$7/100))+(((Inputs!$B$12*(1+Inputs!$B$13/100))-(Inputs!$B$12*(1+Inputs!$B$13/100)))+0.25*(Inputs!$B$14-Inputs!$B$14))*(1+Inputs!$B$7/100))*(F3178/100)</f>
        <v/>
      </c>
      <c r="K3178">
        <f>J3178*(1+((Inputs!$B$12*(1+Inputs!$B$13/100))*0.01+Inputs!$B$14*0.0025)/100)*(1+Inputs!$B$15/100)*(1+Inputs!$B$16/100)*(5000/(6000+Inputs!$B$43*(1-(100*(1-(1-(Inputs!$B$19+0)/100)*(1-CHOOSE(ArtifactsInput!$N$40+1,5,6,7,8,9,10)/100)^(ArtifactsInput!$M$40-ArtifactsInput!$M$40)))/100)))*(1+(Inputs!$B$24+((C3203=TRUE)*(F3203-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3196=TRUE)*(F3196-Calc!F23))+(((IF(AND(ArtifactsInput!$M$42,((Inputs!$B$9+((C3198=TRUE)*(F3198-Calc!F25))+B3213+(ArtifactsInput!$M$24-ArtifactsInput!$M$24)*CHOOSE(ArtifactsInput!$N$24+1,10,12,14,16,18,20)+IF(ArtifactsInput!$M$10,CHOOSE(ArtifactsInput!$N$10+1,15,18,21,24,27,30)*(IF(Inputs!$B$39="pvp",MIN(15,15)/15,IF(AND(Inputs!$B$39&lt;&gt;"pvp",Inputs!$B$44&gt;0),MIN(15,Inputs!$B$44)/(Inputs!$B$44),0))),0)))&gt;=100),MIN(100,((Inputs!$B$9+((C3198=TRUE)*(F3198-Calc!F25))+B3213+(ArtifactsInput!$M$24-ArtifactsInput!$M$24)*CHOOSE(ArtifactsInput!$N$24+1,10,12,14,16,18,20)+IF(ArtifactsInput!$M$10,CHOOSE(ArtifactsInput!$N$10+1,15,18,21,24,27,30)*(IF(Inputs!$B$39="pvp",MIN(15,15)/15,IF(AND(Inputs!$B$39&lt;&gt;"pvp",Inputs!$B$44&gt;0),MIN(15,Inputs!$B$44)/(Inputs!$B$44),0))),0)))-100),0))*CHOOSE(ArtifactsInput!$N$42+1,0.6,0.72,0.84,0.96,1.08,1.2))),Inputs!$B$18+((C3202=TRUE)*(F3202-Calc!F29))+(IF(AND(ArtifactsInput!$M$42,((Inputs!$B$9+((C3198=TRUE)*(F3198-Calc!F25))+B3213+(ArtifactsInput!$M$24-ArtifactsInput!$M$24)*CHOOSE(ArtifactsInput!$N$24+1,10,12,14,16,18,20)+IF(ArtifactsInput!$M$10,CHOOSE(ArtifactsInput!$N$10+1,15,18,21,24,27,30)*(IF(Inputs!$B$39="pvp",MIN(15,15)/15,IF(AND(Inputs!$B$39&lt;&gt;"pvp",Inputs!$B$44&gt;0),MIN(15,Inputs!$B$44)/(Inputs!$B$44),0))),0)))&gt;=100),CHOOSE(ArtifactsInput!$N$42+1,40,48,56,64,72,80),0))))/100)*(((1+(((C3194=TRUE)*F3194*IF(AND(Inputs!$B$39&lt;&gt;"pvp",Inputs!$B$44&gt;0),(((R3194-1)*(Skills!Y21*(1+Inputs!$B$34/100))+MIN((Skills!Y21*(1+Inputs!$B$34/100)),MAX(0,Inputs!$B$44-((R3194-1)*Skills!D21))))/Inputs!$B$44),IF(Inputs!$B$39="pvp",MIN((Skills!Y21*(1+Inputs!$B$34/100)),15)/15,(Skills!Y21*(1+Inputs!$B$34/100))/Skills!D21)))+((C3201=TRUE)*(F3201-Calc!F28))+((C3191=TRUE)*(F3191-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3188=TRUE)*F3188*IF(AND(Inputs!$B$39&lt;&gt;"pvp",Inputs!$B$44&gt;0),(((R3188-1)*(Skills!Y15*(1+Inputs!$B$34/100))+MIN((Skills!Y15*(1+Inputs!$B$34/100)),MAX(0,Inputs!$B$44-((R3188-1)*Skills!D15))))/Inputs!$B$44),IF(Inputs!$B$39="pvp",MIN((Skills!Y15*(1+Inputs!$B$34/100)),15)/15,(Skills!Y15*(1+Inputs!$B$34/100))/Skills!D15)))/100)*(1+((C3179=TRUE)*F3179*B3207)/100))*B3215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3178)</f>
        <v/>
      </c>
      <c r="L3178">
        <f>K3178*(MIN(Inputs!$B$22+((C3197=TRUE)*(F3197-Calc!F24)),(Inputs!$B$23+0+(IF(ArtifactsInput!$M$15,CHOOSE(ArtifactsInput!$N$15+1,25,30,35,40,45,50)/100*(Inputs!$B$11-Inputs!$B$11),0))))/100+(Inputs!$B$23+0+(IF(ArtifactsInput!$M$15,CHOOSE(ArtifactsInput!$N$15+1,25,30,35,40,45,50)/100*(Inputs!$B$11-Inputs!$B$11),0)))/100)/2</f>
        <v/>
      </c>
      <c r="M3178">
        <f>L3178*(1+(Inputs!$B$10+((C3199=TRUE)*(F3199-Calc!F26))+B3216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78">
        <f>L3178*(1-MIN((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3178*(MIN((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78">
        <f>(1-Summary!$B$11)*T3178+Summary!$B$11*V3178</f>
        <v/>
      </c>
      <c r="P3178">
        <f>IF(B3217=0,0,O3178/B3217)</f>
        <v/>
      </c>
      <c r="Q3178">
        <f>IFERROR(1/IF(Inputs!$B$39="pvp",15,MAX(0.1,Skills!D5-IF(Skills!E5=TRUE,0.5,0))),0)</f>
        <v/>
      </c>
      <c r="R3178">
        <f>IF(AND(Inputs!$B$39&lt;&gt;"pvp",Inputs!$B$44&gt;0),IF(MAX(0,Inputs!$B$44-B3218)&lt;=0,0,(INT(MAX(0,Inputs!$B$44-B3218)/IF(Inputs!$B$39="pvp",15,MAX(0.1,Skills!D5-IF(Skills!E5=TRUE,0.5,0))))+1)),0)</f>
        <v/>
      </c>
      <c r="S3178">
        <f>IFERROR(O3178/N3178,0)</f>
        <v/>
      </c>
      <c r="T3178">
        <f>IF(C3178,(H3178*N3178*IF(AND(Inputs!$B$39&lt;&gt;"pvp",Inputs!$B$44&gt;0),((Skills!G5*((R3178-1)*IF(Skills!H5&gt;0,Skills!I5/Skills!H5,1)+IF(Skills!H5&gt;0,MIN(Skills!I5,MAX(0,MAX(0,Inputs!$B$44-B3218)-((R3178-1)*IF(Inputs!$B$39="pvp",15,MAX(0.1,Skills!D5-IF(Skills!E5=TRUE,0.5,0))))))/Skills!H5,1)))/Inputs!$B$44),G3178*Q3178))*IF(Inputs!$B$39="pvp",1,1+(Inputs!$B$20+((C3200=TRUE)*(F3200-Calc!F27))+Skills!P5+B3214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Hunt"),CHOOSE(ArtifactsInput!$N$35+1,15,18,21,24,27,30)*(1-EXP(-(0.2*B3209)*5)),0)+IF(AND(ArtifactsInput!$M$22,Inputs!$B$4&lt;&gt;"Chapter Hunt"),CHOOSE(ArtifactsInput!$N$22+1,10,12,14,16,18,20)*((0*(((0.15*B3209*5))^0/1)+1*(((0.15*B3209*5))^1/1)+2*(((0.15*B3209*5))^2/2)+3*(((0.15*B3209*5))^3/6)+4*(((0.15*B3209*5))^4/24)+5*(((0.15*B3209*5))^5/120))/((((0.15*B3209*5))^0/1)+(((0.15*B3209*5))^1/1)+(((0.15*B3209*5))^2/2)+(((0.15*B3209*5))^3/6)+(((0.15*B3209*5))^4/24)+(((0.15*B3209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3178*(1-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3178*(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3178*(1-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3178*(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78">
        <f>INDEX(FactorTable!$B$2:$Y$301, MATCH(ROUND(MIN(300,MAX(1,U3177)),0), FactorTable!$A$2:$A$301,0), 22)</f>
        <v/>
      </c>
      <c r="V3178">
        <f>IF(C3178,(H3178*N3178*IF(AND(Inputs!$B$39&lt;&gt;"pvp",Inputs!$B$44&gt;0),((Skills!G5*((R3178-1)*IF(Skills!H5&gt;0,Skills!I5/Skills!H5,1)+IF(Skills!H5&gt;0,MIN(Skills!I5,MAX(0,MAX(0,Inputs!$B$44-B3218)-((R3178-1)*IF(Inputs!$B$39="pvp",15,MAX(0.1,Skills!D5-IF(Skills!E5=TRUE,0.5,0))))))/Skills!H5,1)))/Inputs!$B$44),G3178*Q3178))*IF(Inputs!$B$39="pvp",1,(1+(Inputs!$B$21+Skills!Q5+B3214+(IF(ArtifactsInput!$M$33,CHOOSE(ArtifactsInput!$N$33+1,30,36,42,48,54,60),0))+(IF(AND(ArtifactsInput!$M$35,Inputs!$B$4&lt;&gt;"Chapter Hunt"),CHOOSE(ArtifactsInput!$N$35+1,15,18,21,24,27,30)*(1-EXP(-(0.2*B3209)*5)),0)+IF(AND(ArtifactsInput!$M$22,Inputs!$B$4&lt;&gt;"Chapter Hunt"),CHOOSE(ArtifactsInput!$N$22+1,10,12,14,16,18,20)*((0*(((0.15*B3209*5))^0/1)+1*(((0.15*B3209*5))^1/1)+2*(((0.15*B3209*5))^2/2)+3*(((0.15*B3209*5))^3/6)+4*(((0.15*B3209*5))^4/24)+5*(((0.15*B3209*5))^5/120))/((((0.15*B3209*5))^0/1)+(((0.15*B3209*5))^1/1)+(((0.15*B3209*5))^2/2)+(((0.15*B3209*5))^3/6)+(((0.15*B3209*5))^4/24)+(((0.15*B3209*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79">
      <c r="A3179">
        <f>Skills!A6</f>
        <v/>
      </c>
      <c r="B3179">
        <f>Skills!B6</f>
        <v/>
      </c>
      <c r="C3179">
        <f>Inputs!$B$3&gt;=66</f>
        <v/>
      </c>
      <c r="D3179">
        <f>IF(Skills!C6=1,60+Inputs!$B$25+Inputs!$B$29,IF(Skills!C6=2,90+Inputs!$B$26+Inputs!$B$29,IF(Skills!C6=3,120+Inputs!$B$27+Inputs!$B$29,MAX(0,(Inputs!$B$3-100)*3)+Inputs!$B$28+Inputs!$B$29)))</f>
        <v/>
      </c>
      <c r="E3179">
        <f>INDEX(FactorTable!$B$2:$Y$301, MATCH(ROUND(MIN(300,MAX(1,D3179)),0), FactorTable!$A$2:$A$301,0), Skills!M6+1)</f>
        <v/>
      </c>
      <c r="F3179">
        <f>IF(Skills!N6=TRUE,(Skills!L6/10)*(E3179/1000),Skills!L6/10)+Skills!O6</f>
        <v/>
      </c>
      <c r="G3179">
        <f>Calc!G6</f>
        <v/>
      </c>
      <c r="H3179">
        <f>Calc!H6</f>
        <v/>
      </c>
      <c r="I3179">
        <f>IF(Skills!AA6&lt;&gt;"",1+(Skills!AA6/10)*(U3176/1000)/100,1)</f>
        <v/>
      </c>
      <c r="J3179" t="inlineStr"/>
      <c r="K3179" t="inlineStr"/>
      <c r="L3179" t="inlineStr"/>
      <c r="M3179" t="inlineStr"/>
      <c r="N3179" t="inlineStr"/>
      <c r="O3179">
        <f>(1-Summary!$B$11)*T3179+Summary!$B$11*V3179</f>
        <v/>
      </c>
      <c r="P3179">
        <f>IF(B3217=0,0,O3179/B3217)</f>
        <v/>
      </c>
      <c r="Q3179" t="n">
        <v>0</v>
      </c>
      <c r="R3179" t="n">
        <v>0</v>
      </c>
      <c r="S3179">
        <f>IFERROR(O3179/N3179,0)</f>
        <v/>
      </c>
      <c r="T3179" t="n">
        <v>0</v>
      </c>
      <c r="U3179">
        <f>290*U3178/1000</f>
        <v/>
      </c>
      <c r="V3179" t="n">
        <v>0</v>
      </c>
    </row>
    <row r="3180">
      <c r="A3180">
        <f>Skills!A7</f>
        <v/>
      </c>
      <c r="B3180">
        <f>Skills!B7</f>
        <v/>
      </c>
      <c r="C3180">
        <f>Inputs!$B$3&gt;=66</f>
        <v/>
      </c>
      <c r="D3180">
        <f>IF(Skills!C7=1,60+Inputs!$B$25+Inputs!$B$29,IF(Skills!C7=2,90+Inputs!$B$26+Inputs!$B$29,IF(Skills!C7=3,120+Inputs!$B$27+Inputs!$B$29,MAX(0,(Inputs!$B$3-100)*3)+Inputs!$B$28+Inputs!$B$29)))</f>
        <v/>
      </c>
      <c r="E3180">
        <f>INDEX(FactorTable!$B$2:$Y$301, MATCH(ROUND(MIN(300,MAX(1,D3180)),0), FactorTable!$A$2:$A$301,0), Skills!M7+1)</f>
        <v/>
      </c>
      <c r="F3180">
        <f>IF(Skills!N7=TRUE,(Skills!L7/10)*(E3180/1000),Skills!L7/10)+Skills!O7</f>
        <v/>
      </c>
      <c r="G3180">
        <f>Calc!G7</f>
        <v/>
      </c>
      <c r="H3180">
        <f>Calc!H7</f>
        <v/>
      </c>
      <c r="I3180">
        <f>IF(Skills!AA7&lt;&gt;"",1+(Skills!AA7/10)*(U3176/1000)/100,1)</f>
        <v/>
      </c>
      <c r="J3180" t="inlineStr"/>
      <c r="K3180" t="inlineStr"/>
      <c r="L3180" t="inlineStr"/>
      <c r="M3180" t="inlineStr"/>
      <c r="N3180" t="inlineStr"/>
      <c r="O3180">
        <f>(1-Summary!$B$11)*T3180+Summary!$B$11*V3180</f>
        <v/>
      </c>
      <c r="P3180">
        <f>IF(B3217=0,0,O3180/B3217)</f>
        <v/>
      </c>
      <c r="Q3180" t="n">
        <v>0</v>
      </c>
      <c r="R3180" t="n">
        <v>0</v>
      </c>
      <c r="S3180">
        <f>IFERROR(O3180/N3180,0)</f>
        <v/>
      </c>
      <c r="T3180" t="n">
        <v>0</v>
      </c>
      <c r="V3180" t="n">
        <v>0</v>
      </c>
    </row>
    <row r="3181">
      <c r="A3181">
        <f>Skills!A8</f>
        <v/>
      </c>
      <c r="B3181">
        <f>Skills!B8</f>
        <v/>
      </c>
      <c r="C3181">
        <f>Inputs!$B$3&gt;=69</f>
        <v/>
      </c>
      <c r="D3181">
        <f>IF(Skills!C8=1,60+Inputs!$B$25+Inputs!$B$29,IF(Skills!C8=2,90+Inputs!$B$26+Inputs!$B$29,IF(Skills!C8=3,120+Inputs!$B$27+Inputs!$B$29,MAX(0,(Inputs!$B$3-100)*3)+Inputs!$B$28+Inputs!$B$29)))</f>
        <v/>
      </c>
      <c r="E3181">
        <f>INDEX(FactorTable!$B$2:$Y$301, MATCH(ROUND(MIN(300,MAX(1,D3181)),0), FactorTable!$A$2:$A$301,0), Skills!M8+1)</f>
        <v/>
      </c>
      <c r="F3181">
        <f>IF(Skills!N8=TRUE,(Skills!L8/10)*(E3181/1000),Skills!L8/10)+Skills!O8</f>
        <v/>
      </c>
      <c r="G3181">
        <f>Calc!G8</f>
        <v/>
      </c>
      <c r="H3181">
        <f>Calc!H8</f>
        <v/>
      </c>
      <c r="I3181">
        <f>IF(Skills!AA8&lt;&gt;"",1+(Skills!AA8/10)*(U3176/1000)/100,1)</f>
        <v/>
      </c>
      <c r="J3181">
        <f>((Inputs!$B$6*(1+Inputs!$B$7/100))+(((Inputs!$B$12*(1+Inputs!$B$13/100))-(Inputs!$B$12*(1+Inputs!$B$13/100)))+0.25*(Inputs!$B$14-Inputs!$B$14))*(1+Inputs!$B$7/100))*(F3181/100)</f>
        <v/>
      </c>
      <c r="K3181">
        <f>J3181*(1+((Inputs!$B$12*(1+Inputs!$B$13/100))*0.01+Inputs!$B$14*0.0025)/100)*(1+Inputs!$B$15/100)*(1+Inputs!$B$16/100)*(5000/(6000+Inputs!$B$43*(1-(100*(1-(1-(Inputs!$B$19+0)/100)*(1-CHOOSE(ArtifactsInput!$N$40+1,5,6,7,8,9,10)/100)^(ArtifactsInput!$M$40-ArtifactsInput!$M$40)))/100)))*(1+(Inputs!$B$24+((C3203=TRUE)*(F3203-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3196=TRUE)*(F3196-Calc!F23))+(((IF(AND(ArtifactsInput!$M$42,((Inputs!$B$9+((C3198=TRUE)*(F3198-Calc!F25))+B3213+(ArtifactsInput!$M$24-ArtifactsInput!$M$24)*CHOOSE(ArtifactsInput!$N$24+1,10,12,14,16,18,20)+IF(ArtifactsInput!$M$10,CHOOSE(ArtifactsInput!$N$10+1,15,18,21,24,27,30)*(IF(Inputs!$B$39="pvp",MIN(15,15)/15,IF(AND(Inputs!$B$39&lt;&gt;"pvp",Inputs!$B$44&gt;0),MIN(15,Inputs!$B$44)/(Inputs!$B$44),0))),0)))&gt;=100),MIN(100,((Inputs!$B$9+((C3198=TRUE)*(F3198-Calc!F25))+B3213+(ArtifactsInput!$M$24-ArtifactsInput!$M$24)*CHOOSE(ArtifactsInput!$N$24+1,10,12,14,16,18,20)+IF(ArtifactsInput!$M$10,CHOOSE(ArtifactsInput!$N$10+1,15,18,21,24,27,30)*(IF(Inputs!$B$39="pvp",MIN(15,15)/15,IF(AND(Inputs!$B$39&lt;&gt;"pvp",Inputs!$B$44&gt;0),MIN(15,Inputs!$B$44)/(Inputs!$B$44),0))),0)))-100),0))*CHOOSE(ArtifactsInput!$N$42+1,0.6,0.72,0.84,0.96,1.08,1.2))),Inputs!$B$18+((C3202=TRUE)*(F3202-Calc!F29))+(IF(AND(ArtifactsInput!$M$42,((Inputs!$B$9+((C3198=TRUE)*(F3198-Calc!F25))+B3213+(ArtifactsInput!$M$24-ArtifactsInput!$M$24)*CHOOSE(ArtifactsInput!$N$24+1,10,12,14,16,18,20)+IF(ArtifactsInput!$M$10,CHOOSE(ArtifactsInput!$N$10+1,15,18,21,24,27,30)*(IF(Inputs!$B$39="pvp",MIN(15,15)/15,IF(AND(Inputs!$B$39&lt;&gt;"pvp",Inputs!$B$44&gt;0),MIN(15,Inputs!$B$44)/(Inputs!$B$44),0))),0)))&gt;=100),CHOOSE(ArtifactsInput!$N$42+1,40,48,56,64,72,80),0))))/100)*(((1+(((C3194=TRUE)*F3194*IF(AND(Inputs!$B$39&lt;&gt;"pvp",Inputs!$B$44&gt;0),(((R3194-1)*(Skills!Y21*(1+Inputs!$B$34/100))+MIN((Skills!Y21*(1+Inputs!$B$34/100)),MAX(0,Inputs!$B$44-((R3194-1)*Skills!D21))))/Inputs!$B$44),IF(Inputs!$B$39="pvp",MIN((Skills!Y21*(1+Inputs!$B$34/100)),15)/15,(Skills!Y21*(1+Inputs!$B$34/100))/Skills!D21)))+((C3201=TRUE)*(F3201-Calc!F28))+((C3191=TRUE)*(F3191-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3188=TRUE)*F3188*IF(AND(Inputs!$B$39&lt;&gt;"pvp",Inputs!$B$44&gt;0),(((R3188-1)*(Skills!Y15*(1+Inputs!$B$34/100))+MIN((Skills!Y15*(1+Inputs!$B$34/100)),MAX(0,Inputs!$B$44-((R3188-1)*Skills!D15))))/Inputs!$B$44),IF(Inputs!$B$39="pvp",MIN((Skills!Y15*(1+Inputs!$B$34/100)),15)/15,(Skills!Y15*(1+Inputs!$B$34/100))/Skills!D15)))/100)*(1+((C3179=TRUE)*F3179*B3207)/100))*B3215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3181)</f>
        <v/>
      </c>
      <c r="L3181">
        <f>K3181*(MIN(Inputs!$B$22+((C3197=TRUE)*(F3197-Calc!F24)),(Inputs!$B$23+0+(IF(ArtifactsInput!$M$15,CHOOSE(ArtifactsInput!$N$15+1,25,30,35,40,45,50)/100*(Inputs!$B$11-Inputs!$B$11),0))))/100+(Inputs!$B$23+0+(IF(ArtifactsInput!$M$15,CHOOSE(ArtifactsInput!$N$15+1,25,30,35,40,45,50)/100*(Inputs!$B$11-Inputs!$B$11),0)))/100)/2</f>
        <v/>
      </c>
      <c r="M3181">
        <f>L3181*(1+(Inputs!$B$10+((C3199=TRUE)*(F3199-Calc!F26))+B3216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81">
        <f>L3181*(1-MIN((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3181*(MIN((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81">
        <f>(1-Summary!$B$11)*T3181+Summary!$B$11*V3181</f>
        <v/>
      </c>
      <c r="P3181">
        <f>IF(B3217=0,0,O3181/B3217)</f>
        <v/>
      </c>
      <c r="Q3181">
        <f>IFERROR(1/IF(Inputs!$B$39="pvp",15,MAX(0.1,Skills!D8-IF(Skills!E8=TRUE,0.5,0))),0)</f>
        <v/>
      </c>
      <c r="R3181">
        <f>IF(AND(Inputs!$B$39&lt;&gt;"pvp",Inputs!$B$44&gt;0),IF(MAX(0,Inputs!$B$44-B3218)&lt;=0,0,(INT(MAX(0,Inputs!$B$44-B3218)/IF(Inputs!$B$39="pvp",15,MAX(0.1,Skills!D8-IF(Skills!E8=TRUE,0.5,0))))+1)),0)</f>
        <v/>
      </c>
      <c r="S3181">
        <f>IFERROR(O3181/N3181,0)</f>
        <v/>
      </c>
      <c r="T3181">
        <f>IF(C3181,(H3181*N3181*IF(AND(Inputs!$B$39&lt;&gt;"pvp",Inputs!$B$44&gt;0),((Skills!G8*((R3181-1)*IF(Skills!H8&gt;0,Skills!I8/Skills!H8,1)+IF(Skills!H8&gt;0,MIN(Skills!I8,MAX(0,MAX(0,Inputs!$B$44-B3218)-((R3181-1)*IF(Inputs!$B$39="pvp",15,MAX(0.1,Skills!D8-IF(Skills!E8=TRUE,0.5,0))))))/Skills!H8,1)))/Inputs!$B$44),G3181*Q3181))*IF(Inputs!$B$39="pvp",1,1+(Inputs!$B$20+((C3200=TRUE)*(F3200-Calc!F27))+Skills!P8+B3214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Hunt"),CHOOSE(ArtifactsInput!$N$35+1,15,18,21,24,27,30)*(1-EXP(-(0.2*B3209)*5)),0)+IF(AND(ArtifactsInput!$M$22,Inputs!$B$4&lt;&gt;"Chapter Hunt"),CHOOSE(ArtifactsInput!$N$22+1,10,12,14,16,18,20)*((0*(((0.15*B3209*5))^0/1)+1*(((0.15*B3209*5))^1/1)+2*(((0.15*B3209*5))^2/2)+3*(((0.15*B3209*5))^3/6)+4*(((0.15*B3209*5))^4/24)+5*(((0.15*B3209*5))^5/120))/((((0.15*B3209*5))^0/1)+(((0.15*B3209*5))^1/1)+(((0.15*B3209*5))^2/2)+(((0.15*B3209*5))^3/6)+(((0.15*B3209*5))^4/24)+(((0.15*B3209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3181*(1-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3181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3181*(1-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3181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81">
        <f>IF(C3181,(H3181*N3181*IF(AND(Inputs!$B$39&lt;&gt;"pvp",Inputs!$B$44&gt;0),((Skills!G8*((R3181-1)*IF(Skills!H8&gt;0,Skills!I8/Skills!H8,1)+IF(Skills!H8&gt;0,MIN(Skills!I8,MAX(0,MAX(0,Inputs!$B$44-B3218)-((R3181-1)*IF(Inputs!$B$39="pvp",15,MAX(0.1,Skills!D8-IF(Skills!E8=TRUE,0.5,0))))))/Skills!H8,1)))/Inputs!$B$44),G3181*Q3181))*IF(Inputs!$B$39="pvp",1,(1+(Inputs!$B$21+Skills!Q8+B3214+(IF(ArtifactsInput!$M$33,CHOOSE(ArtifactsInput!$N$33+1,30,36,42,48,54,60),0))+(IF(AND(ArtifactsInput!$M$35,Inputs!$B$4&lt;&gt;"Chapter Hunt"),CHOOSE(ArtifactsInput!$N$35+1,15,18,21,24,27,30)*(1-EXP(-(0.2*B3209)*5)),0)+IF(AND(ArtifactsInput!$M$22,Inputs!$B$4&lt;&gt;"Chapter Hunt"),CHOOSE(ArtifactsInput!$N$22+1,10,12,14,16,18,20)*((0*(((0.15*B3209*5))^0/1)+1*(((0.15*B3209*5))^1/1)+2*(((0.15*B3209*5))^2/2)+3*(((0.15*B3209*5))^3/6)+4*(((0.15*B3209*5))^4/24)+5*(((0.15*B3209*5))^5/120))/((((0.15*B3209*5))^0/1)+(((0.15*B3209*5))^1/1)+(((0.15*B3209*5))^2/2)+(((0.15*B3209*5))^3/6)+(((0.15*B3209*5))^4/24)+(((0.15*B3209*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82">
      <c r="A3182">
        <f>Skills!A9</f>
        <v/>
      </c>
      <c r="B3182">
        <f>Skills!B9</f>
        <v/>
      </c>
      <c r="C3182">
        <f>Inputs!$B$3&gt;=72</f>
        <v/>
      </c>
      <c r="D3182">
        <f>IF(Skills!C9=1,60+Inputs!$B$25+Inputs!$B$29,IF(Skills!C9=2,90+Inputs!$B$26+Inputs!$B$29,IF(Skills!C9=3,120+Inputs!$B$27+Inputs!$B$29,MAX(0,(Inputs!$B$3-100)*3)+Inputs!$B$28+Inputs!$B$29)))</f>
        <v/>
      </c>
      <c r="E3182">
        <f>INDEX(FactorTable!$B$2:$Y$301, MATCH(ROUND(MIN(300,MAX(1,D3182)),0), FactorTable!$A$2:$A$301,0), Skills!M9+1)</f>
        <v/>
      </c>
      <c r="F3182">
        <f>IF(Skills!N9=TRUE,(Skills!L9/10)*(E3182/1000),Skills!L9/10)+Skills!O9</f>
        <v/>
      </c>
      <c r="G3182">
        <f>Calc!G9</f>
        <v/>
      </c>
      <c r="H3182">
        <f>Calc!H9</f>
        <v/>
      </c>
      <c r="I3182">
        <f>IF(Skills!AA9&lt;&gt;"",1+(Skills!AA9/10)*(U3176/1000)/100,1)</f>
        <v/>
      </c>
      <c r="J3182">
        <f>((Inputs!$B$6*(1+Inputs!$B$7/100))+(((Inputs!$B$12*(1+Inputs!$B$13/100))-(Inputs!$B$12*(1+Inputs!$B$13/100)))+0.25*(Inputs!$B$14-Inputs!$B$14))*(1+Inputs!$B$7/100))*(F3182/100)</f>
        <v/>
      </c>
      <c r="K3182">
        <f>J3182*(1+((Inputs!$B$12*(1+Inputs!$B$13/100))*0.01+Inputs!$B$14*0.0025)/100)*(1+Inputs!$B$15/100)*(1+Inputs!$B$16/100)*(5000/(6000+Inputs!$B$43*(1-(100*(1-(1-(Inputs!$B$19+0)/100)*(1-CHOOSE(ArtifactsInput!$N$40+1,5,6,7,8,9,10)/100)^(ArtifactsInput!$M$40-ArtifactsInput!$M$40)))/100)))*(1+(Inputs!$B$24+((C3203=TRUE)*(F3203-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3196=TRUE)*(F3196-Calc!F23))+(((IF(AND(ArtifactsInput!$M$42,((Inputs!$B$9+((C3198=TRUE)*(F3198-Calc!F25))+B3213+(ArtifactsInput!$M$24-ArtifactsInput!$M$24)*CHOOSE(ArtifactsInput!$N$24+1,10,12,14,16,18,20)+IF(ArtifactsInput!$M$10,CHOOSE(ArtifactsInput!$N$10+1,15,18,21,24,27,30)*(IF(Inputs!$B$39="pvp",MIN(15,15)/15,IF(AND(Inputs!$B$39&lt;&gt;"pvp",Inputs!$B$44&gt;0),MIN(15,Inputs!$B$44)/(Inputs!$B$44),0))),0)))&gt;=100),MIN(100,((Inputs!$B$9+((C3198=TRUE)*(F3198-Calc!F25))+B3213+(ArtifactsInput!$M$24-ArtifactsInput!$M$24)*CHOOSE(ArtifactsInput!$N$24+1,10,12,14,16,18,20)+IF(ArtifactsInput!$M$10,CHOOSE(ArtifactsInput!$N$10+1,15,18,21,24,27,30)*(IF(Inputs!$B$39="pvp",MIN(15,15)/15,IF(AND(Inputs!$B$39&lt;&gt;"pvp",Inputs!$B$44&gt;0),MIN(15,Inputs!$B$44)/(Inputs!$B$44),0))),0)))-100),0))*CHOOSE(ArtifactsInput!$N$42+1,0.6,0.72,0.84,0.96,1.08,1.2))),Inputs!$B$18+((C3202=TRUE)*(F3202-Calc!F29))+(IF(AND(ArtifactsInput!$M$42,((Inputs!$B$9+((C3198=TRUE)*(F3198-Calc!F25))+B3213+(ArtifactsInput!$M$24-ArtifactsInput!$M$24)*CHOOSE(ArtifactsInput!$N$24+1,10,12,14,16,18,20)+IF(ArtifactsInput!$M$10,CHOOSE(ArtifactsInput!$N$10+1,15,18,21,24,27,30)*(IF(Inputs!$B$39="pvp",MIN(15,15)/15,IF(AND(Inputs!$B$39&lt;&gt;"pvp",Inputs!$B$44&gt;0),MIN(15,Inputs!$B$44)/(Inputs!$B$44),0))),0)))&gt;=100),CHOOSE(ArtifactsInput!$N$42+1,40,48,56,64,72,80),0))))/100)*(((1+(((C3194=TRUE)*F3194*IF(AND(Inputs!$B$39&lt;&gt;"pvp",Inputs!$B$44&gt;0),(((R3194-1)*(Skills!Y21*(1+Inputs!$B$34/100))+MIN((Skills!Y21*(1+Inputs!$B$34/100)),MAX(0,Inputs!$B$44-((R3194-1)*Skills!D21))))/Inputs!$B$44),IF(Inputs!$B$39="pvp",MIN((Skills!Y21*(1+Inputs!$B$34/100)),15)/15,(Skills!Y21*(1+Inputs!$B$34/100))/Skills!D21)))+((C3201=TRUE)*(F3201-Calc!F28))+((C3191=TRUE)*(F3191-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3188=TRUE)*F3188*IF(AND(Inputs!$B$39&lt;&gt;"pvp",Inputs!$B$44&gt;0),(((R3188-1)*(Skills!Y15*(1+Inputs!$B$34/100))+MIN((Skills!Y15*(1+Inputs!$B$34/100)),MAX(0,Inputs!$B$44-((R3188-1)*Skills!D15))))/Inputs!$B$44),IF(Inputs!$B$39="pvp",MIN((Skills!Y15*(1+Inputs!$B$34/100)),15)/15,(Skills!Y15*(1+Inputs!$B$34/100))/Skills!D15)))/100)*(1+((C3179=TRUE)*F3179*B3207)/100))*B3215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3182)</f>
        <v/>
      </c>
      <c r="L3182">
        <f>K3182*(MIN(Inputs!$B$22+((C3197=TRUE)*(F3197-Calc!F24)),(Inputs!$B$23+0+(IF(ArtifactsInput!$M$15,CHOOSE(ArtifactsInput!$N$15+1,25,30,35,40,45,50)/100*(Inputs!$B$11-Inputs!$B$11),0))))/100+(Inputs!$B$23+0+(IF(ArtifactsInput!$M$15,CHOOSE(ArtifactsInput!$N$15+1,25,30,35,40,45,50)/100*(Inputs!$B$11-Inputs!$B$11),0)))/100)/2</f>
        <v/>
      </c>
      <c r="M3182">
        <f>L3182*(1+(Inputs!$B$10+((C3199=TRUE)*(F3199-Calc!F26))+B3216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82">
        <f>L3182*(1-MIN((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3182*(MIN((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82">
        <f>(1-Summary!$B$11)*T3182+Summary!$B$11*V3182</f>
        <v/>
      </c>
      <c r="P3182">
        <f>IF(B3217=0,0,O3182/B3217)</f>
        <v/>
      </c>
      <c r="Q3182">
        <f>IFERROR(1/IF(Inputs!$B$39="pvp",15,MAX(0.1,Skills!D9-IF(Skills!E9=TRUE,0.5,0))),0)</f>
        <v/>
      </c>
      <c r="R3182">
        <f>IF(AND(Inputs!$B$39&lt;&gt;"pvp",Inputs!$B$44&gt;0),IF(MAX(0,Inputs!$B$44-B3218)&lt;=0,0,(INT(MAX(0,Inputs!$B$44-B3218)/IF(Inputs!$B$39="pvp",15,MAX(0.1,Skills!D9-IF(Skills!E9=TRUE,0.5,0))))+1)),0)</f>
        <v/>
      </c>
      <c r="S3182">
        <f>IFERROR(O3182/N3182,0)</f>
        <v/>
      </c>
      <c r="T3182">
        <f>IF(C3182,(H3182*N3182*IF(AND(Inputs!$B$39&lt;&gt;"pvp",Inputs!$B$44&gt;0),((Skills!G9*((R3182-1)*IF(Skills!H9&gt;0,Skills!I9/Skills!H9,1)+IF(Skills!H9&gt;0,MIN(Skills!I9,MAX(0,MAX(0,Inputs!$B$44-B3218)-((R3182-1)*IF(Inputs!$B$39="pvp",15,MAX(0.1,Skills!D9-IF(Skills!E9=TRUE,0.5,0))))))/Skills!H9,1)))/Inputs!$B$44),G3182*Q3182))*IF(Inputs!$B$39="pvp",1,1+(Inputs!$B$20+((C3200=TRUE)*(F3200-Calc!F27))+Skills!P9+B3214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Hunt"),CHOOSE(ArtifactsInput!$N$35+1,15,18,21,24,27,30)*(1-EXP(-(0.2*B3209)*5)),0)+IF(AND(ArtifactsInput!$M$22,Inputs!$B$4&lt;&gt;"Chapter Hunt"),CHOOSE(ArtifactsInput!$N$22+1,10,12,14,16,18,20)*((0*(((0.15*B3209*5))^0/1)+1*(((0.15*B3209*5))^1/1)+2*(((0.15*B3209*5))^2/2)+3*(((0.15*B3209*5))^3/6)+4*(((0.15*B3209*5))^4/24)+5*(((0.15*B3209*5))^5/120))/((((0.15*B3209*5))^0/1)+(((0.15*B3209*5))^1/1)+(((0.15*B3209*5))^2/2)+(((0.15*B3209*5))^3/6)+(((0.15*B3209*5))^4/24)+(((0.15*B3209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3182*(1-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3182*(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3182*(1-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3182*(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82">
        <f>IF(C3182,(H3182*N3182*IF(AND(Inputs!$B$39&lt;&gt;"pvp",Inputs!$B$44&gt;0),((Skills!G9*((R3182-1)*IF(Skills!H9&gt;0,Skills!I9/Skills!H9,1)+IF(Skills!H9&gt;0,MIN(Skills!I9,MAX(0,MAX(0,Inputs!$B$44-B3218)-((R3182-1)*IF(Inputs!$B$39="pvp",15,MAX(0.1,Skills!D9-IF(Skills!E9=TRUE,0.5,0))))))/Skills!H9,1)))/Inputs!$B$44),G3182*Q3182))*IF(Inputs!$B$39="pvp",1,(1+(Inputs!$B$21+Skills!Q9+B3214+(IF(ArtifactsInput!$M$33,CHOOSE(ArtifactsInput!$N$33+1,30,36,42,48,54,60),0))+(IF(AND(ArtifactsInput!$M$35,Inputs!$B$4&lt;&gt;"Chapter Hunt"),CHOOSE(ArtifactsInput!$N$35+1,15,18,21,24,27,30)*(1-EXP(-(0.2*B3209)*5)),0)+IF(AND(ArtifactsInput!$M$22,Inputs!$B$4&lt;&gt;"Chapter Hunt"),CHOOSE(ArtifactsInput!$N$22+1,10,12,14,16,18,20)*((0*(((0.15*B3209*5))^0/1)+1*(((0.15*B3209*5))^1/1)+2*(((0.15*B3209*5))^2/2)+3*(((0.15*B3209*5))^3/6)+4*(((0.15*B3209*5))^4/24)+5*(((0.15*B3209*5))^5/120))/((((0.15*B3209*5))^0/1)+(((0.15*B3209*5))^1/1)+(((0.15*B3209*5))^2/2)+(((0.15*B3209*5))^3/6)+(((0.15*B3209*5))^4/24)+(((0.15*B3209*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83">
      <c r="A3183">
        <f>Skills!A10</f>
        <v/>
      </c>
      <c r="B3183">
        <f>Skills!B10</f>
        <v/>
      </c>
      <c r="C3183">
        <f>Inputs!$B$3&gt;=117</f>
        <v/>
      </c>
      <c r="D3183">
        <f>IF(Skills!C10=1,60+Inputs!$B$25+Inputs!$B$29,IF(Skills!C10=2,90+Inputs!$B$26+Inputs!$B$29,IF(Skills!C10=3,120+Inputs!$B$27+Inputs!$B$29,MAX(0,(Inputs!$B$3-100)*3)+Inputs!$B$28+Inputs!$B$29)))</f>
        <v/>
      </c>
      <c r="E3183">
        <f>INDEX(FactorTable!$B$2:$Y$301, MATCH(ROUND(MIN(300,MAX(1,D3183)),0), FactorTable!$A$2:$A$301,0), Skills!M10+1)</f>
        <v/>
      </c>
      <c r="F3183">
        <f>IF(Skills!N10=TRUE,(Skills!L10/10)*(E3183/1000),Skills!L10/10)+Skills!O10</f>
        <v/>
      </c>
      <c r="G3183">
        <f>Calc!G10</f>
        <v/>
      </c>
      <c r="H3183">
        <f>Calc!H10</f>
        <v/>
      </c>
      <c r="I3183">
        <f>IF(Skills!AA10&lt;&gt;"",1+(Skills!AA10/10)*(U3176/1000)/100,1)</f>
        <v/>
      </c>
      <c r="J3183">
        <f>((Inputs!$B$6*(1+Inputs!$B$7/100))+(((Inputs!$B$12*(1+Inputs!$B$13/100))-(Inputs!$B$12*(1+Inputs!$B$13/100)))+0.25*(Inputs!$B$14-Inputs!$B$14))*(1+Inputs!$B$7/100))*(F3183/100)</f>
        <v/>
      </c>
      <c r="K3183">
        <f>J3183*(1+((Inputs!$B$12*(1+Inputs!$B$13/100))*0.01+Inputs!$B$14*0.0025)/100)*(1+Inputs!$B$15/100)*(1+Inputs!$B$16/100)*(5000/(6000+Inputs!$B$43*(1-(100*(1-(1-(Inputs!$B$19+0)/100)*(1-CHOOSE(ArtifactsInput!$N$40+1,5,6,7,8,9,10)/100)^(ArtifactsInput!$M$40-ArtifactsInput!$M$40)))/100)))*(1+(Inputs!$B$24+((C3203=TRUE)*(F3203-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3196=TRUE)*(F3196-Calc!F23))+(((IF(AND(ArtifactsInput!$M$42,((Inputs!$B$9+((C3198=TRUE)*(F3198-Calc!F25))+B3213+(ArtifactsInput!$M$24-ArtifactsInput!$M$24)*CHOOSE(ArtifactsInput!$N$24+1,10,12,14,16,18,20)+IF(ArtifactsInput!$M$10,CHOOSE(ArtifactsInput!$N$10+1,15,18,21,24,27,30)*(IF(Inputs!$B$39="pvp",MIN(15,15)/15,IF(AND(Inputs!$B$39&lt;&gt;"pvp",Inputs!$B$44&gt;0),MIN(15,Inputs!$B$44)/(Inputs!$B$44),0))),0)))&gt;=100),MIN(100,((Inputs!$B$9+((C3198=TRUE)*(F3198-Calc!F25))+B3213+(ArtifactsInput!$M$24-ArtifactsInput!$M$24)*CHOOSE(ArtifactsInput!$N$24+1,10,12,14,16,18,20)+IF(ArtifactsInput!$M$10,CHOOSE(ArtifactsInput!$N$10+1,15,18,21,24,27,30)*(IF(Inputs!$B$39="pvp",MIN(15,15)/15,IF(AND(Inputs!$B$39&lt;&gt;"pvp",Inputs!$B$44&gt;0),MIN(15,Inputs!$B$44)/(Inputs!$B$44),0))),0)))-100),0))*CHOOSE(ArtifactsInput!$N$42+1,0.6,0.72,0.84,0.96,1.08,1.2))),Inputs!$B$18+((C3202=TRUE)*(F3202-Calc!F29))+(IF(AND(ArtifactsInput!$M$42,((Inputs!$B$9+((C3198=TRUE)*(F3198-Calc!F25))+B3213+(ArtifactsInput!$M$24-ArtifactsInput!$M$24)*CHOOSE(ArtifactsInput!$N$24+1,10,12,14,16,18,20)+IF(ArtifactsInput!$M$10,CHOOSE(ArtifactsInput!$N$10+1,15,18,21,24,27,30)*(IF(Inputs!$B$39="pvp",MIN(15,15)/15,IF(AND(Inputs!$B$39&lt;&gt;"pvp",Inputs!$B$44&gt;0),MIN(15,Inputs!$B$44)/(Inputs!$B$44),0))),0)))&gt;=100),CHOOSE(ArtifactsInput!$N$42+1,40,48,56,64,72,80),0))))/100)*(((1+(((C3194=TRUE)*F3194*IF(AND(Inputs!$B$39&lt;&gt;"pvp",Inputs!$B$44&gt;0),(((R3194-1)*(Skills!Y21*(1+Inputs!$B$34/100))+MIN((Skills!Y21*(1+Inputs!$B$34/100)),MAX(0,Inputs!$B$44-((R3194-1)*Skills!D21))))/Inputs!$B$44),IF(Inputs!$B$39="pvp",MIN((Skills!Y21*(1+Inputs!$B$34/100)),15)/15,(Skills!Y21*(1+Inputs!$B$34/100))/Skills!D21)))+((C3201=TRUE)*(F3201-Calc!F28))+((C3191=TRUE)*(F3191-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3188=TRUE)*F3188*IF(AND(Inputs!$B$39&lt;&gt;"pvp",Inputs!$B$44&gt;0),(((R3188-1)*(Skills!Y15*(1+Inputs!$B$34/100))+MIN((Skills!Y15*(1+Inputs!$B$34/100)),MAX(0,Inputs!$B$44-((R3188-1)*Skills!D15))))/Inputs!$B$44),IF(Inputs!$B$39="pvp",MIN((Skills!Y15*(1+Inputs!$B$34/100)),15)/15,(Skills!Y15*(1+Inputs!$B$34/100))/Skills!D15)))/100)*(1+((C3179=TRUE)*F3179*B3207)/100))*B3215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3183)</f>
        <v/>
      </c>
      <c r="L3183">
        <f>K3183*(MIN(Inputs!$B$22+((C3197=TRUE)*(F3197-Calc!F24)),(Inputs!$B$23+0+(IF(ArtifactsInput!$M$15,CHOOSE(ArtifactsInput!$N$15+1,25,30,35,40,45,50)/100*(Inputs!$B$11-Inputs!$B$11),0))))/100+(Inputs!$B$23+0+(IF(ArtifactsInput!$M$15,CHOOSE(ArtifactsInput!$N$15+1,25,30,35,40,45,50)/100*(Inputs!$B$11-Inputs!$B$11),0)))/100)/2</f>
        <v/>
      </c>
      <c r="M3183">
        <f>L3183*(1+(Inputs!$B$10+((C3199=TRUE)*(F3199-Calc!F26))+B3216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83">
        <f>L3183*(1-MIN((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3183*(MIN((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83">
        <f>(1-Summary!$B$11)*T3183+Summary!$B$11*V3183</f>
        <v/>
      </c>
      <c r="P3183">
        <f>IF(B3217=0,0,O3183/B3217)</f>
        <v/>
      </c>
      <c r="Q3183" t="n">
        <v>0</v>
      </c>
      <c r="R3183" t="n">
        <v>0</v>
      </c>
      <c r="S3183" t="n">
        <v>0</v>
      </c>
      <c r="T3183">
        <f>IF(C3183,(0.2*SUMPRODUCT((Skills!Z2:Z31=TRUE)*(C3175:C3204=TRUE)*S3175:S3204)*N3183)*IF(Inputs!$B$39="pvp",1,1+(Inputs!$B$20+((C3200=TRUE)*(F3200-Calc!F27))+Skills!P10+B3214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Hunt"),CHOOSE(ArtifactsInput!$N$35+1,15,18,21,24,27,30)*(1-EXP(-(0.2*B3209)*5)),0)+IF(AND(ArtifactsInput!$M$22,Inputs!$B$4&lt;&gt;"Chapter Hunt"),CHOOSE(ArtifactsInput!$N$22+1,10,12,14,16,18,20)*((0*(((0.15*B3209*5))^0/1)+1*(((0.15*B3209*5))^1/1)+2*(((0.15*B3209*5))^2/2)+3*(((0.15*B3209*5))^3/6)+4*(((0.15*B3209*5))^4/24)+5*(((0.15*B3209*5))^5/120))/((((0.15*B3209*5))^0/1)+(((0.15*B3209*5))^1/1)+(((0.15*B3209*5))^2/2)+(((0.15*B3209*5))^3/6)+(((0.15*B3209*5))^4/24)+(((0.15*B3209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3183*(1-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3183*(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3183*(1-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3183*(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83">
        <f>IF(C3183,(0.2*SUMPRODUCT((Skills!Z2:Z31=TRUE)*(C3175:C3204=TRUE)*S3175:S3204)*N3183)*IF(Inputs!$B$39="pvp",1,(1+(Inputs!$B$21+Skills!Q10+B3214+(IF(ArtifactsInput!$M$33,CHOOSE(ArtifactsInput!$N$33+1,30,36,42,48,54,60),0))+(IF(AND(ArtifactsInput!$M$35,Inputs!$B$4&lt;&gt;"Chapter Hunt"),CHOOSE(ArtifactsInput!$N$35+1,15,18,21,24,27,30)*(1-EXP(-(0.2*B3209)*5)),0)+IF(AND(ArtifactsInput!$M$22,Inputs!$B$4&lt;&gt;"Chapter Hunt"),CHOOSE(ArtifactsInput!$N$22+1,10,12,14,16,18,20)*((0*(((0.15*B3209*5))^0/1)+1*(((0.15*B3209*5))^1/1)+2*(((0.15*B3209*5))^2/2)+3*(((0.15*B3209*5))^3/6)+4*(((0.15*B3209*5))^4/24)+5*(((0.15*B3209*5))^5/120))/((((0.15*B3209*5))^0/1)+(((0.15*B3209*5))^1/1)+(((0.15*B3209*5))^2/2)+(((0.15*B3209*5))^3/6)+(((0.15*B3209*5))^4/24)+(((0.15*B3209*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84">
      <c r="A3184">
        <f>Skills!A11</f>
        <v/>
      </c>
      <c r="B3184">
        <f>Skills!B11</f>
        <v/>
      </c>
      <c r="C3184">
        <f>Inputs!$B$3&gt;=60</f>
        <v/>
      </c>
      <c r="D3184">
        <f>IF(Skills!C11=1,60+Inputs!$B$25+Inputs!$B$29,IF(Skills!C11=2,90+Inputs!$B$26+Inputs!$B$29,IF(Skills!C11=3,120+Inputs!$B$27+Inputs!$B$29,MAX(0,(Inputs!$B$3-100)*3)+Inputs!$B$28+Inputs!$B$29)))</f>
        <v/>
      </c>
      <c r="E3184">
        <f>INDEX(FactorTable!$B$2:$Y$301, MATCH(ROUND(MIN(300,MAX(1,D3184)),0), FactorTable!$A$2:$A$301,0), Skills!M11+1)</f>
        <v/>
      </c>
      <c r="F3184">
        <f>IF(Skills!N11=TRUE,(Skills!L11/10)*(E3184/1000),Skills!L11/10)+Skills!O11</f>
        <v/>
      </c>
      <c r="G3184">
        <f>Calc!G11</f>
        <v/>
      </c>
      <c r="H3184">
        <f>Calc!H11</f>
        <v/>
      </c>
      <c r="I3184">
        <f>IF(Skills!AA11&lt;&gt;"",1+(Skills!AA11/10)*(U3176/1000)/100,1)</f>
        <v/>
      </c>
      <c r="J3184" t="inlineStr"/>
      <c r="K3184" t="inlineStr"/>
      <c r="L3184" t="inlineStr"/>
      <c r="M3184" t="inlineStr"/>
      <c r="N3184" t="inlineStr"/>
      <c r="O3184">
        <f>(1-Summary!$B$11)*T3184+Summary!$B$11*V3184</f>
        <v/>
      </c>
      <c r="P3184">
        <f>IF(B3217=0,0,O3184/B3217)</f>
        <v/>
      </c>
      <c r="Q3184" t="n">
        <v>0</v>
      </c>
      <c r="R3184" t="n">
        <v>0</v>
      </c>
      <c r="S3184">
        <f>IFERROR(O3184/N3184,0)</f>
        <v/>
      </c>
      <c r="T3184" t="n">
        <v>0</v>
      </c>
      <c r="V3184" t="n">
        <v>0</v>
      </c>
    </row>
    <row r="3185">
      <c r="A3185">
        <f>Skills!A12</f>
        <v/>
      </c>
      <c r="B3185">
        <f>Skills!B12</f>
        <v/>
      </c>
      <c r="C3185">
        <f>Inputs!$B$3&gt;=103</f>
        <v/>
      </c>
      <c r="D3185">
        <f>IF(Skills!C12=1,60+Inputs!$B$25+Inputs!$B$29,IF(Skills!C12=2,90+Inputs!$B$26+Inputs!$B$29,IF(Skills!C12=3,120+Inputs!$B$27+Inputs!$B$29,MAX(0,(Inputs!$B$3-100)*3)+Inputs!$B$28+Inputs!$B$29)))</f>
        <v/>
      </c>
      <c r="E3185">
        <f>INDEX(FactorTable!$B$2:$Y$301, MATCH(ROUND(MIN(300,MAX(1,D3185)),0), FactorTable!$A$2:$A$301,0), Skills!M12+1)</f>
        <v/>
      </c>
      <c r="F3185">
        <f>IF(Skills!N12=TRUE,(Skills!L12/10)*(E3185/1000),Skills!L12/10)+Skills!O12</f>
        <v/>
      </c>
      <c r="G3185">
        <f>Calc!G12</f>
        <v/>
      </c>
      <c r="H3185">
        <f>Calc!H12</f>
        <v/>
      </c>
      <c r="I3185">
        <f>IF(Skills!AA12&lt;&gt;"",1+(Skills!AA12/10)*(U3176/1000)/100,1)</f>
        <v/>
      </c>
      <c r="J3185">
        <f>((Inputs!$B$6*(1+Inputs!$B$7/100))+(((Inputs!$B$12*(1+Inputs!$B$13/100))-(Inputs!$B$12*(1+Inputs!$B$13/100)))+0.25*(Inputs!$B$14-Inputs!$B$14))*(1+Inputs!$B$7/100))*(F3185/100)</f>
        <v/>
      </c>
      <c r="K3185">
        <f>J3185*(1+((Inputs!$B$12*(1+Inputs!$B$13/100))*0.01+Inputs!$B$14*0.0025)/100)*(1+Inputs!$B$15/100)*(1+Inputs!$B$16/100)*(5000/(6000+Inputs!$B$43*(1-(100*(1-(1-(Inputs!$B$19+0)/100)*(1-CHOOSE(ArtifactsInput!$N$40+1,5,6,7,8,9,10)/100)^(ArtifactsInput!$M$40-ArtifactsInput!$M$40)))/100)))*(1+(Inputs!$B$24+((C3203=TRUE)*(F3203-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3196=TRUE)*(F3196-Calc!F23))+(((IF(AND(ArtifactsInput!$M$42,((Inputs!$B$9+((C3198=TRUE)*(F3198-Calc!F25))+B3213+(ArtifactsInput!$M$24-ArtifactsInput!$M$24)*CHOOSE(ArtifactsInput!$N$24+1,10,12,14,16,18,20)+IF(ArtifactsInput!$M$10,CHOOSE(ArtifactsInput!$N$10+1,15,18,21,24,27,30)*(IF(Inputs!$B$39="pvp",MIN(15,15)/15,IF(AND(Inputs!$B$39&lt;&gt;"pvp",Inputs!$B$44&gt;0),MIN(15,Inputs!$B$44)/(Inputs!$B$44),0))),0)))&gt;=100),MIN(100,((Inputs!$B$9+((C3198=TRUE)*(F3198-Calc!F25))+B3213+(ArtifactsInput!$M$24-ArtifactsInput!$M$24)*CHOOSE(ArtifactsInput!$N$24+1,10,12,14,16,18,20)+IF(ArtifactsInput!$M$10,CHOOSE(ArtifactsInput!$N$10+1,15,18,21,24,27,30)*(IF(Inputs!$B$39="pvp",MIN(15,15)/15,IF(AND(Inputs!$B$39&lt;&gt;"pvp",Inputs!$B$44&gt;0),MIN(15,Inputs!$B$44)/(Inputs!$B$44),0))),0)))-100),0))*CHOOSE(ArtifactsInput!$N$42+1,0.6,0.72,0.84,0.96,1.08,1.2))),Inputs!$B$18+((C3202=TRUE)*(F3202-Calc!F29))+(IF(AND(ArtifactsInput!$M$42,((Inputs!$B$9+((C3198=TRUE)*(F3198-Calc!F25))+B3213+(ArtifactsInput!$M$24-ArtifactsInput!$M$24)*CHOOSE(ArtifactsInput!$N$24+1,10,12,14,16,18,20)+IF(ArtifactsInput!$M$10,CHOOSE(ArtifactsInput!$N$10+1,15,18,21,24,27,30)*(IF(Inputs!$B$39="pvp",MIN(15,15)/15,IF(AND(Inputs!$B$39&lt;&gt;"pvp",Inputs!$B$44&gt;0),MIN(15,Inputs!$B$44)/(Inputs!$B$44),0))),0)))&gt;=100),CHOOSE(ArtifactsInput!$N$42+1,40,48,56,64,72,80),0))))/100)*(((1+(((C3194=TRUE)*F3194*IF(AND(Inputs!$B$39&lt;&gt;"pvp",Inputs!$B$44&gt;0),(((R3194-1)*(Skills!Y21*(1+Inputs!$B$34/100))+MIN((Skills!Y21*(1+Inputs!$B$34/100)),MAX(0,Inputs!$B$44-((R3194-1)*Skills!D21))))/Inputs!$B$44),IF(Inputs!$B$39="pvp",MIN((Skills!Y21*(1+Inputs!$B$34/100)),15)/15,(Skills!Y21*(1+Inputs!$B$34/100))/Skills!D21)))+((C3201=TRUE)*(F3201-Calc!F28))+((C3191=TRUE)*(F3191-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3188=TRUE)*F3188*IF(AND(Inputs!$B$39&lt;&gt;"pvp",Inputs!$B$44&gt;0),(((R3188-1)*(Skills!Y15*(1+Inputs!$B$34/100))+MIN((Skills!Y15*(1+Inputs!$B$34/100)),MAX(0,Inputs!$B$44-((R3188-1)*Skills!D15))))/Inputs!$B$44),IF(Inputs!$B$39="pvp",MIN((Skills!Y15*(1+Inputs!$B$34/100)),15)/15,(Skills!Y15*(1+Inputs!$B$34/100))/Skills!D15)))/100)*(1+((C3179=TRUE)*F3179*B3207)/100))*B3215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3185)</f>
        <v/>
      </c>
      <c r="L3185">
        <f>K3185*(MIN(Inputs!$B$22+((C3197=TRUE)*(F3197-Calc!F24)),(Inputs!$B$23+0+(IF(ArtifactsInput!$M$15,CHOOSE(ArtifactsInput!$N$15+1,25,30,35,40,45,50)/100*(Inputs!$B$11-Inputs!$B$11),0))))/100+(Inputs!$B$23+0+(IF(ArtifactsInput!$M$15,CHOOSE(ArtifactsInput!$N$15+1,25,30,35,40,45,50)/100*(Inputs!$B$11-Inputs!$B$11),0)))/100)/2</f>
        <v/>
      </c>
      <c r="M3185">
        <f>L3185*(1+(Inputs!$B$10+((C3199=TRUE)*(F3199-Calc!F26))+B3216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85">
        <f>L3185*(1-MIN((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3185*(MIN((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85">
        <f>(1-Summary!$B$11)*T3185+Summary!$B$11*V3185</f>
        <v/>
      </c>
      <c r="P3185">
        <f>IF(B3217=0,0,O3185/B3217)</f>
        <v/>
      </c>
      <c r="Q3185">
        <f>IFERROR(1/IF(Inputs!$B$39="pvp",15,MAX(0.1,Skills!D12-IF(Skills!E12=TRUE,0.5,0))),0)</f>
        <v/>
      </c>
      <c r="R3185">
        <f>IF(AND(Inputs!$B$39&lt;&gt;"pvp",Inputs!$B$44&gt;0),IF(MAX(0,Inputs!$B$44-B3218)&lt;=0,0,(INT(MAX(0,Inputs!$B$44-B3218)/IF(Inputs!$B$39="pvp",15,MAX(0.1,Skills!D12-IF(Skills!E12=TRUE,0.5,0))))+1)),0)</f>
        <v/>
      </c>
      <c r="S3185">
        <f>IFERROR(O3185/N3185,0)</f>
        <v/>
      </c>
      <c r="T3185">
        <f>IF(C3185,(H3185*N3185*IF(AND(Inputs!$B$39&lt;&gt;"pvp",Inputs!$B$44&gt;0),((Skills!G12*((R3185-1)*IF(Skills!H12&gt;0,Skills!I12/Skills!H12,1)+IF(Skills!H12&gt;0,MIN(Skills!I12,MAX(0,MAX(0,Inputs!$B$44-B3218)-((R3185-1)*IF(Inputs!$B$39="pvp",15,MAX(0.1,Skills!D12-IF(Skills!E12=TRUE,0.5,0))))))/Skills!H12,1)))/Inputs!$B$44),G3185*Q3185))*IF(Inputs!$B$39="pvp",1,1+(Inputs!$B$20+((C3200=TRUE)*(F3200-Calc!F27))+Skills!P12+B3214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Hunt"),CHOOSE(ArtifactsInput!$N$35+1,15,18,21,24,27,30)*(1-EXP(-(0.2*B3209)*5)),0)+IF(AND(ArtifactsInput!$M$22,Inputs!$B$4&lt;&gt;"Chapter Hunt"),CHOOSE(ArtifactsInput!$N$22+1,10,12,14,16,18,20)*((0*(((0.15*B3209*5))^0/1)+1*(((0.15*B3209*5))^1/1)+2*(((0.15*B3209*5))^2/2)+3*(((0.15*B3209*5))^3/6)+4*(((0.15*B3209*5))^4/24)+5*(((0.15*B3209*5))^5/120))/((((0.15*B3209*5))^0/1)+(((0.15*B3209*5))^1/1)+(((0.15*B3209*5))^2/2)+(((0.15*B3209*5))^3/6)+(((0.15*B3209*5))^4/24)+(((0.15*B3209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3185*(1-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3185*(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3185*(1-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3185*(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85">
        <f>IF(C3185,(H3185*N3185*IF(AND(Inputs!$B$39&lt;&gt;"pvp",Inputs!$B$44&gt;0),((Skills!G12*((R3185-1)*IF(Skills!H12&gt;0,Skills!I12/Skills!H12,1)+IF(Skills!H12&gt;0,MIN(Skills!I12,MAX(0,MAX(0,Inputs!$B$44-B3218)-((R3185-1)*IF(Inputs!$B$39="pvp",15,MAX(0.1,Skills!D12-IF(Skills!E12=TRUE,0.5,0))))))/Skills!H12,1)))/Inputs!$B$44),G3185*Q3185))*IF(Inputs!$B$39="pvp",1,(1+(Inputs!$B$21+Skills!Q12+B3214+(IF(ArtifactsInput!$M$33,CHOOSE(ArtifactsInput!$N$33+1,30,36,42,48,54,60),0))+(IF(AND(ArtifactsInput!$M$35,Inputs!$B$4&lt;&gt;"Chapter Hunt"),CHOOSE(ArtifactsInput!$N$35+1,15,18,21,24,27,30)*(1-EXP(-(0.2*B3209)*5)),0)+IF(AND(ArtifactsInput!$M$22,Inputs!$B$4&lt;&gt;"Chapter Hunt"),CHOOSE(ArtifactsInput!$N$22+1,10,12,14,16,18,20)*((0*(((0.15*B3209*5))^0/1)+1*(((0.15*B3209*5))^1/1)+2*(((0.15*B3209*5))^2/2)+3*(((0.15*B3209*5))^3/6)+4*(((0.15*B3209*5))^4/24)+5*(((0.15*B3209*5))^5/120))/((((0.15*B3209*5))^0/1)+(((0.15*B3209*5))^1/1)+(((0.15*B3209*5))^2/2)+(((0.15*B3209*5))^3/6)+(((0.15*B3209*5))^4/24)+(((0.15*B3209*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86">
      <c r="A3186">
        <f>Skills!A13</f>
        <v/>
      </c>
      <c r="B3186">
        <f>Skills!B13</f>
        <v/>
      </c>
      <c r="C3186">
        <f>Inputs!$B$3&gt;=105</f>
        <v/>
      </c>
      <c r="D3186">
        <f>IF(Skills!C13=1,60+Inputs!$B$25+Inputs!$B$29,IF(Skills!C13=2,90+Inputs!$B$26+Inputs!$B$29,IF(Skills!C13=3,120+Inputs!$B$27+Inputs!$B$29,MAX(0,(Inputs!$B$3-100)*3)+Inputs!$B$28+Inputs!$B$29)))</f>
        <v/>
      </c>
      <c r="E3186">
        <f>INDEX(FactorTable!$B$2:$Y$301, MATCH(ROUND(MIN(300,MAX(1,D3186)),0), FactorTable!$A$2:$A$301,0), Skills!M13+1)</f>
        <v/>
      </c>
      <c r="F3186">
        <f>IF(Skills!N13=TRUE,(Skills!L13/10)*(E3186/1000),Skills!L13/10)+Skills!O13</f>
        <v/>
      </c>
      <c r="G3186">
        <f>Calc!G13</f>
        <v/>
      </c>
      <c r="H3186">
        <f>Calc!H13</f>
        <v/>
      </c>
      <c r="I3186">
        <f>IF(Skills!AA13&lt;&gt;"",1+(Skills!AA13/10)*(U3176/1000)/100,1)</f>
        <v/>
      </c>
      <c r="J3186">
        <f>((Inputs!$B$6*(1+Inputs!$B$7/100))+(((Inputs!$B$12*(1+Inputs!$B$13/100))-(Inputs!$B$12*(1+Inputs!$B$13/100)))+0.25*(Inputs!$B$14-Inputs!$B$14))*(1+Inputs!$B$7/100))*(F3186/100)</f>
        <v/>
      </c>
      <c r="K3186">
        <f>J3186*(1+((Inputs!$B$12*(1+Inputs!$B$13/100))*0.01+Inputs!$B$14*0.0025)/100)*(1+Inputs!$B$15/100)*(1+Inputs!$B$16/100)*(5000/(6000+Inputs!$B$43*(1-(100*(1-(1-(Inputs!$B$19+0)/100)*(1-CHOOSE(ArtifactsInput!$N$40+1,5,6,7,8,9,10)/100)^(ArtifactsInput!$M$40-ArtifactsInput!$M$40)))/100)))*(1+(Inputs!$B$24+((C3203=TRUE)*(F3203-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3196=TRUE)*(F3196-Calc!F23))+(((IF(AND(ArtifactsInput!$M$42,((Inputs!$B$9+((C3198=TRUE)*(F3198-Calc!F25))+B3213+(ArtifactsInput!$M$24-ArtifactsInput!$M$24)*CHOOSE(ArtifactsInput!$N$24+1,10,12,14,16,18,20)+IF(ArtifactsInput!$M$10,CHOOSE(ArtifactsInput!$N$10+1,15,18,21,24,27,30)*(IF(Inputs!$B$39="pvp",MIN(15,15)/15,IF(AND(Inputs!$B$39&lt;&gt;"pvp",Inputs!$B$44&gt;0),MIN(15,Inputs!$B$44)/(Inputs!$B$44),0))),0)))&gt;=100),MIN(100,((Inputs!$B$9+((C3198=TRUE)*(F3198-Calc!F25))+B3213+(ArtifactsInput!$M$24-ArtifactsInput!$M$24)*CHOOSE(ArtifactsInput!$N$24+1,10,12,14,16,18,20)+IF(ArtifactsInput!$M$10,CHOOSE(ArtifactsInput!$N$10+1,15,18,21,24,27,30)*(IF(Inputs!$B$39="pvp",MIN(15,15)/15,IF(AND(Inputs!$B$39&lt;&gt;"pvp",Inputs!$B$44&gt;0),MIN(15,Inputs!$B$44)/(Inputs!$B$44),0))),0)))-100),0))*CHOOSE(ArtifactsInput!$N$42+1,0.6,0.72,0.84,0.96,1.08,1.2))),Inputs!$B$18+((C3202=TRUE)*(F3202-Calc!F29))+(IF(AND(ArtifactsInput!$M$42,((Inputs!$B$9+((C3198=TRUE)*(F3198-Calc!F25))+B3213+(ArtifactsInput!$M$24-ArtifactsInput!$M$24)*CHOOSE(ArtifactsInput!$N$24+1,10,12,14,16,18,20)+IF(ArtifactsInput!$M$10,CHOOSE(ArtifactsInput!$N$10+1,15,18,21,24,27,30)*(IF(Inputs!$B$39="pvp",MIN(15,15)/15,IF(AND(Inputs!$B$39&lt;&gt;"pvp",Inputs!$B$44&gt;0),MIN(15,Inputs!$B$44)/(Inputs!$B$44),0))),0)))&gt;=100),CHOOSE(ArtifactsInput!$N$42+1,40,48,56,64,72,80),0))))/100)*(((1+(((C3194=TRUE)*F3194*IF(AND(Inputs!$B$39&lt;&gt;"pvp",Inputs!$B$44&gt;0),(((R3194-1)*(Skills!Y21*(1+Inputs!$B$34/100))+MIN((Skills!Y21*(1+Inputs!$B$34/100)),MAX(0,Inputs!$B$44-((R3194-1)*Skills!D21))))/Inputs!$B$44),IF(Inputs!$B$39="pvp",MIN((Skills!Y21*(1+Inputs!$B$34/100)),15)/15,(Skills!Y21*(1+Inputs!$B$34/100))/Skills!D21)))+((C3201=TRUE)*(F3201-Calc!F28))+((C3191=TRUE)*(F3191-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3188=TRUE)*F3188*IF(AND(Inputs!$B$39&lt;&gt;"pvp",Inputs!$B$44&gt;0),(((R3188-1)*(Skills!Y15*(1+Inputs!$B$34/100))+MIN((Skills!Y15*(1+Inputs!$B$34/100)),MAX(0,Inputs!$B$44-((R3188-1)*Skills!D15))))/Inputs!$B$44),IF(Inputs!$B$39="pvp",MIN((Skills!Y15*(1+Inputs!$B$34/100)),15)/15,(Skills!Y15*(1+Inputs!$B$34/100))/Skills!D15)))/100)*(1+((C3179=TRUE)*F3179*B3207)/100))*B3215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3186)</f>
        <v/>
      </c>
      <c r="L3186">
        <f>K3186*(MIN(Inputs!$B$22+((C3197=TRUE)*(F3197-Calc!F24)),(Inputs!$B$23+0+(IF(ArtifactsInput!$M$15,CHOOSE(ArtifactsInput!$N$15+1,25,30,35,40,45,50)/100*(Inputs!$B$11-Inputs!$B$11),0))))/100+(Inputs!$B$23+0+(IF(ArtifactsInput!$M$15,CHOOSE(ArtifactsInput!$N$15+1,25,30,35,40,45,50)/100*(Inputs!$B$11-Inputs!$B$11),0)))/100)/2</f>
        <v/>
      </c>
      <c r="M3186">
        <f>L3186*(1+(Inputs!$B$10+((C3199=TRUE)*(F3199-Calc!F26))+B3216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86">
        <f>L3186*(1-MIN((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3186*(MIN((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86">
        <f>(1-Summary!$B$11)*T3186+Summary!$B$11*V3186</f>
        <v/>
      </c>
      <c r="P3186">
        <f>IF(B3217=0,0,O3186/B3217)</f>
        <v/>
      </c>
      <c r="Q3186">
        <f>IFERROR(1/IF(Inputs!$B$39="pvp",15,MAX(0.1,Skills!D13-IF(Skills!E13=TRUE,0.5,0))),0)</f>
        <v/>
      </c>
      <c r="R3186">
        <f>IF(AND(Inputs!$B$39&lt;&gt;"pvp",Inputs!$B$44&gt;0),IF(MAX(0,Inputs!$B$44-B3218)&lt;=0,0,(INT(MAX(0,Inputs!$B$44-B3218)/IF(Inputs!$B$39="pvp",15,MAX(0.1,Skills!D13-IF(Skills!E13=TRUE,0.5,0))))+1)),0)</f>
        <v/>
      </c>
      <c r="S3186">
        <f>IFERROR(O3186/N3186,0)</f>
        <v/>
      </c>
      <c r="T3186">
        <f>IF(C3186,(H3186*N3186*IF(AND(Inputs!$B$39&lt;&gt;"pvp",Inputs!$B$44&gt;0),((Skills!G13*((R3186-1)*IF(Skills!H13&gt;0,Skills!I13/Skills!H13,1)+IF(Skills!H13&gt;0,MIN(Skills!I13,MAX(0,MAX(0,Inputs!$B$44-B3218)-((R3186-1)*IF(Inputs!$B$39="pvp",15,MAX(0.1,Skills!D13-IF(Skills!E13=TRUE,0.5,0))))))/Skills!H13,1)))/Inputs!$B$44),G3186*Q3186))*IF(Inputs!$B$39="pvp",1,1+(Inputs!$B$20+((C3200=TRUE)*(F3200-Calc!F27))+Skills!P13+B3214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Hunt"),CHOOSE(ArtifactsInput!$N$35+1,15,18,21,24,27,30)*(1-EXP(-(0.2*B3209)*5)),0)+IF(AND(ArtifactsInput!$M$22,Inputs!$B$4&lt;&gt;"Chapter Hunt"),CHOOSE(ArtifactsInput!$N$22+1,10,12,14,16,18,20)*((0*(((0.15*B3209*5))^0/1)+1*(((0.15*B3209*5))^1/1)+2*(((0.15*B3209*5))^2/2)+3*(((0.15*B3209*5))^3/6)+4*(((0.15*B3209*5))^4/24)+5*(((0.15*B3209*5))^5/120))/((((0.15*B3209*5))^0/1)+(((0.15*B3209*5))^1/1)+(((0.15*B3209*5))^2/2)+(((0.15*B3209*5))^3/6)+(((0.15*B3209*5))^4/24)+(((0.15*B3209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3186*(1-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3186*(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3186*(1-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3186*(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86">
        <f>IF(C3186,(H3186*N3186*IF(AND(Inputs!$B$39&lt;&gt;"pvp",Inputs!$B$44&gt;0),((Skills!G13*((R3186-1)*IF(Skills!H13&gt;0,Skills!I13/Skills!H13,1)+IF(Skills!H13&gt;0,MIN(Skills!I13,MAX(0,MAX(0,Inputs!$B$44-B3218)-((R3186-1)*IF(Inputs!$B$39="pvp",15,MAX(0.1,Skills!D13-IF(Skills!E13=TRUE,0.5,0))))))/Skills!H13,1)))/Inputs!$B$44),G3186*Q3186))*IF(Inputs!$B$39="pvp",1,(1+(Inputs!$B$21+Skills!Q13+B3214+(IF(ArtifactsInput!$M$33,CHOOSE(ArtifactsInput!$N$33+1,30,36,42,48,54,60),0))+(IF(AND(ArtifactsInput!$M$35,Inputs!$B$4&lt;&gt;"Chapter Hunt"),CHOOSE(ArtifactsInput!$N$35+1,15,18,21,24,27,30)*(1-EXP(-(0.2*B3209)*5)),0)+IF(AND(ArtifactsInput!$M$22,Inputs!$B$4&lt;&gt;"Chapter Hunt"),CHOOSE(ArtifactsInput!$N$22+1,10,12,14,16,18,20)*((0*(((0.15*B3209*5))^0/1)+1*(((0.15*B3209*5))^1/1)+2*(((0.15*B3209*5))^2/2)+3*(((0.15*B3209*5))^3/6)+4*(((0.15*B3209*5))^4/24)+5*(((0.15*B3209*5))^5/120))/((((0.15*B3209*5))^0/1)+(((0.15*B3209*5))^1/1)+(((0.15*B3209*5))^2/2)+(((0.15*B3209*5))^3/6)+(((0.15*B3209*5))^4/24)+(((0.15*B3209*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87">
      <c r="A3187">
        <f>Skills!A14</f>
        <v/>
      </c>
      <c r="B3187">
        <f>Skills!B14</f>
        <v/>
      </c>
      <c r="C3187">
        <f>Inputs!$B$3&gt;=105</f>
        <v/>
      </c>
      <c r="D3187">
        <f>IF(Skills!C14=1,60+Inputs!$B$25+Inputs!$B$29,IF(Skills!C14=2,90+Inputs!$B$26+Inputs!$B$29,IF(Skills!C14=3,120+Inputs!$B$27+Inputs!$B$29,MAX(0,(Inputs!$B$3-100)*3)+Inputs!$B$28+Inputs!$B$29)))</f>
        <v/>
      </c>
      <c r="E3187">
        <f>INDEX(FactorTable!$B$2:$Y$301, MATCH(ROUND(MIN(300,MAX(1,D3187)),0), FactorTable!$A$2:$A$301,0), Skills!M14+1)</f>
        <v/>
      </c>
      <c r="F3187">
        <f>IF(Skills!N14=TRUE,(Skills!L14/10)*(E3187/1000),Skills!L14/10)+Skills!O14</f>
        <v/>
      </c>
      <c r="G3187">
        <f>Calc!G14</f>
        <v/>
      </c>
      <c r="H3187">
        <f>Calc!H14</f>
        <v/>
      </c>
      <c r="I3187">
        <f>IF(Skills!AA14&lt;&gt;"",1+(Skills!AA14/10)*(U3176/1000)/100,1)</f>
        <v/>
      </c>
      <c r="J3187">
        <f>((Inputs!$B$6*(1+Inputs!$B$7/100))+(((Inputs!$B$12*(1+Inputs!$B$13/100))-(Inputs!$B$12*(1+Inputs!$B$13/100)))+0.25*(Inputs!$B$14-Inputs!$B$14))*(1+Inputs!$B$7/100))*(F3187/100)</f>
        <v/>
      </c>
      <c r="K3187">
        <f>J3187*(1+((Inputs!$B$12*(1+Inputs!$B$13/100))*0.01+Inputs!$B$14*0.0025)/100)*(1+Inputs!$B$15/100)*(1+Inputs!$B$16/100)*(5000/(6000+Inputs!$B$43*(1-(100*(1-(1-(Inputs!$B$19+0)/100)*(1-CHOOSE(ArtifactsInput!$N$40+1,5,6,7,8,9,10)/100)^(ArtifactsInput!$M$40-ArtifactsInput!$M$40)))/100)))*(1+(Inputs!$B$24+((C3203=TRUE)*(F3203-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3196=TRUE)*(F3196-Calc!F23))+(((IF(AND(ArtifactsInput!$M$42,((Inputs!$B$9+((C3198=TRUE)*(F3198-Calc!F25))+B3213+(ArtifactsInput!$M$24-ArtifactsInput!$M$24)*CHOOSE(ArtifactsInput!$N$24+1,10,12,14,16,18,20)+IF(ArtifactsInput!$M$10,CHOOSE(ArtifactsInput!$N$10+1,15,18,21,24,27,30)*(IF(Inputs!$B$39="pvp",MIN(15,15)/15,IF(AND(Inputs!$B$39&lt;&gt;"pvp",Inputs!$B$44&gt;0),MIN(15,Inputs!$B$44)/(Inputs!$B$44),0))),0)))&gt;=100),MIN(100,((Inputs!$B$9+((C3198=TRUE)*(F3198-Calc!F25))+B3213+(ArtifactsInput!$M$24-ArtifactsInput!$M$24)*CHOOSE(ArtifactsInput!$N$24+1,10,12,14,16,18,20)+IF(ArtifactsInput!$M$10,CHOOSE(ArtifactsInput!$N$10+1,15,18,21,24,27,30)*(IF(Inputs!$B$39="pvp",MIN(15,15)/15,IF(AND(Inputs!$B$39&lt;&gt;"pvp",Inputs!$B$44&gt;0),MIN(15,Inputs!$B$44)/(Inputs!$B$44),0))),0)))-100),0))*CHOOSE(ArtifactsInput!$N$42+1,0.6,0.72,0.84,0.96,1.08,1.2))),Inputs!$B$18+((C3202=TRUE)*(F3202-Calc!F29))+(IF(AND(ArtifactsInput!$M$42,((Inputs!$B$9+((C3198=TRUE)*(F3198-Calc!F25))+B3213+(ArtifactsInput!$M$24-ArtifactsInput!$M$24)*CHOOSE(ArtifactsInput!$N$24+1,10,12,14,16,18,20)+IF(ArtifactsInput!$M$10,CHOOSE(ArtifactsInput!$N$10+1,15,18,21,24,27,30)*(IF(Inputs!$B$39="pvp",MIN(15,15)/15,IF(AND(Inputs!$B$39&lt;&gt;"pvp",Inputs!$B$44&gt;0),MIN(15,Inputs!$B$44)/(Inputs!$B$44),0))),0)))&gt;=100),CHOOSE(ArtifactsInput!$N$42+1,40,48,56,64,72,80),0))))/100)*(((1+(((C3194=TRUE)*F3194*IF(AND(Inputs!$B$39&lt;&gt;"pvp",Inputs!$B$44&gt;0),(((R3194-1)*(Skills!Y21*(1+Inputs!$B$34/100))+MIN((Skills!Y21*(1+Inputs!$B$34/100)),MAX(0,Inputs!$B$44-((R3194-1)*Skills!D21))))/Inputs!$B$44),IF(Inputs!$B$39="pvp",MIN((Skills!Y21*(1+Inputs!$B$34/100)),15)/15,(Skills!Y21*(1+Inputs!$B$34/100))/Skills!D21)))+((C3201=TRUE)*(F3201-Calc!F28))+((C3191=TRUE)*(F3191-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3188=TRUE)*F3188*IF(AND(Inputs!$B$39&lt;&gt;"pvp",Inputs!$B$44&gt;0),(((R3188-1)*(Skills!Y15*(1+Inputs!$B$34/100))+MIN((Skills!Y15*(1+Inputs!$B$34/100)),MAX(0,Inputs!$B$44-((R3188-1)*Skills!D15))))/Inputs!$B$44),IF(Inputs!$B$39="pvp",MIN((Skills!Y15*(1+Inputs!$B$34/100)),15)/15,(Skills!Y15*(1+Inputs!$B$34/100))/Skills!D15)))/100)*(1+((C3179=TRUE)*F3179*B3207)/100))*B3215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3187)</f>
        <v/>
      </c>
      <c r="L3187">
        <f>K3187*(MIN(Inputs!$B$22+((C3197=TRUE)*(F3197-Calc!F24)),(Inputs!$B$23+0+(IF(ArtifactsInput!$M$15,CHOOSE(ArtifactsInput!$N$15+1,25,30,35,40,45,50)/100*(Inputs!$B$11-Inputs!$B$11),0))))/100+(Inputs!$B$23+0+(IF(ArtifactsInput!$M$15,CHOOSE(ArtifactsInput!$N$15+1,25,30,35,40,45,50)/100*(Inputs!$B$11-Inputs!$B$11),0)))/100)/2</f>
        <v/>
      </c>
      <c r="M3187">
        <f>L3187*(1+(Inputs!$B$10+((C3199=TRUE)*(F3199-Calc!F26))+B3216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87">
        <f>L3187*(1-MIN((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3187*(MIN((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87">
        <f>(1-Summary!$B$11)*T3187+Summary!$B$11*V3187</f>
        <v/>
      </c>
      <c r="P3187">
        <f>IF(B3217=0,0,O3187/B3217)</f>
        <v/>
      </c>
      <c r="Q3187">
        <f>IFERROR(1/IF(Inputs!$B$39="pvp",15,MAX(0.1,Skills!D14-IF(Skills!E14=TRUE,0.5,0))),0)</f>
        <v/>
      </c>
      <c r="R3187">
        <f>IF(AND(Inputs!$B$39&lt;&gt;"pvp",Inputs!$B$44&gt;0),IF(MAX(0,Inputs!$B$44-B3218)&lt;=0,0,(INT(MAX(0,Inputs!$B$44-B3218)/IF(Inputs!$B$39="pvp",15,MAX(0.1,Skills!D14-IF(Skills!E14=TRUE,0.5,0))))+1)),0)</f>
        <v/>
      </c>
      <c r="S3187">
        <f>IFERROR(O3187/N3187,0)</f>
        <v/>
      </c>
      <c r="T3187">
        <f>IF(C3187,(H3187*N3187*IF(AND(Inputs!$B$39&lt;&gt;"pvp",Inputs!$B$44&gt;0),((Skills!G14*((R3187-1)*IF(Skills!H14&gt;0,Skills!I14/Skills!H14,1)+IF(Skills!H14&gt;0,MIN(Skills!I14,MAX(0,MAX(0,Inputs!$B$44-B3218)-((R3187-1)*IF(Inputs!$B$39="pvp",15,MAX(0.1,Skills!D14-IF(Skills!E14=TRUE,0.5,0))))))/Skills!H14,1)))/Inputs!$B$44),G3187*Q3187))*IF(Inputs!$B$39="pvp",1,1+(Inputs!$B$20+((C3200=TRUE)*(F3200-Calc!F27))+Skills!P14+B3214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Hunt"),CHOOSE(ArtifactsInput!$N$35+1,15,18,21,24,27,30)*(1-EXP(-(0.2*B3209)*5)),0)+IF(AND(ArtifactsInput!$M$22,Inputs!$B$4&lt;&gt;"Chapter Hunt"),CHOOSE(ArtifactsInput!$N$22+1,10,12,14,16,18,20)*((0*(((0.15*B3209*5))^0/1)+1*(((0.15*B3209*5))^1/1)+2*(((0.15*B3209*5))^2/2)+3*(((0.15*B3209*5))^3/6)+4*(((0.15*B3209*5))^4/24)+5*(((0.15*B3209*5))^5/120))/((((0.15*B3209*5))^0/1)+(((0.15*B3209*5))^1/1)+(((0.15*B3209*5))^2/2)+(((0.15*B3209*5))^3/6)+(((0.15*B3209*5))^4/24)+(((0.15*B3209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3187*(1-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3187*(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3187*(1-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3187*(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87">
        <f>IF(C3187,(H3187*N3187*IF(AND(Inputs!$B$39&lt;&gt;"pvp",Inputs!$B$44&gt;0),((Skills!G14*((R3187-1)*IF(Skills!H14&gt;0,Skills!I14/Skills!H14,1)+IF(Skills!H14&gt;0,MIN(Skills!I14,MAX(0,MAX(0,Inputs!$B$44-B3218)-((R3187-1)*IF(Inputs!$B$39="pvp",15,MAX(0.1,Skills!D14-IF(Skills!E14=TRUE,0.5,0))))))/Skills!H14,1)))/Inputs!$B$44),G3187*Q3187))*IF(Inputs!$B$39="pvp",1,(1+(Inputs!$B$21+Skills!Q14+B3214+(IF(ArtifactsInput!$M$33,CHOOSE(ArtifactsInput!$N$33+1,30,36,42,48,54,60),0))+(IF(AND(ArtifactsInput!$M$35,Inputs!$B$4&lt;&gt;"Chapter Hunt"),CHOOSE(ArtifactsInput!$N$35+1,15,18,21,24,27,30)*(1-EXP(-(0.2*B3209)*5)),0)+IF(AND(ArtifactsInput!$M$22,Inputs!$B$4&lt;&gt;"Chapter Hunt"),CHOOSE(ArtifactsInput!$N$22+1,10,12,14,16,18,20)*((0*(((0.15*B3209*5))^0/1)+1*(((0.15*B3209*5))^1/1)+2*(((0.15*B3209*5))^2/2)+3*(((0.15*B3209*5))^3/6)+4*(((0.15*B3209*5))^4/24)+5*(((0.15*B3209*5))^5/120))/((((0.15*B3209*5))^0/1)+(((0.15*B3209*5))^1/1)+(((0.15*B3209*5))^2/2)+(((0.15*B3209*5))^3/6)+(((0.15*B3209*5))^4/24)+(((0.15*B3209*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88">
      <c r="A3188">
        <f>Skills!A15</f>
        <v/>
      </c>
      <c r="B3188">
        <f>Skills!B15</f>
        <v/>
      </c>
      <c r="C3188">
        <f>Inputs!$B$3&gt;=110</f>
        <v/>
      </c>
      <c r="D3188">
        <f>IF(Skills!C15=1,60+Inputs!$B$25+Inputs!$B$29,IF(Skills!C15=2,90+Inputs!$B$26+Inputs!$B$29,IF(Skills!C15=3,120+Inputs!$B$27+Inputs!$B$29,MAX(0,(Inputs!$B$3-100)*3)+Inputs!$B$28+Inputs!$B$29)))</f>
        <v/>
      </c>
      <c r="E3188">
        <f>INDEX(FactorTable!$B$2:$Y$301, MATCH(ROUND(MIN(300,MAX(1,D3188)),0), FactorTable!$A$2:$A$301,0), Skills!M15+1)</f>
        <v/>
      </c>
      <c r="F3188">
        <f>IF(Skills!N15=TRUE,(Skills!L15/10)*(E3188/1000),Skills!L15/10)+Skills!O15</f>
        <v/>
      </c>
      <c r="G3188">
        <f>Calc!G15</f>
        <v/>
      </c>
      <c r="H3188">
        <f>Calc!H15</f>
        <v/>
      </c>
      <c r="I3188">
        <f>IF(Skills!AA15&lt;&gt;"",1+(Skills!AA15/10)*(U3176/1000)/100,1)</f>
        <v/>
      </c>
      <c r="J3188" t="inlineStr"/>
      <c r="K3188" t="inlineStr"/>
      <c r="L3188" t="inlineStr"/>
      <c r="M3188" t="inlineStr"/>
      <c r="N3188" t="inlineStr"/>
      <c r="O3188">
        <f>(1-Summary!$B$11)*T3188+Summary!$B$11*V3188</f>
        <v/>
      </c>
      <c r="P3188">
        <f>IF(B3217=0,0,O3188/B3217)</f>
        <v/>
      </c>
      <c r="Q3188">
        <f>IFERROR(1/IF(Inputs!$B$39="pvp",15,MAX(0.1,Skills!D15-IF(Skills!E15=TRUE,0.5,0))),0)</f>
        <v/>
      </c>
      <c r="R3188">
        <f>IF(AND(Inputs!$B$39&lt;&gt;"pvp",Inputs!$B$44&gt;0),IF(Inputs!$B$44&lt;=0,0,(INT(Inputs!$B$44/IF(Inputs!$B$39="pvp",15,MAX(0.1,Skills!D15-IF(Skills!E15=TRUE,0.5,0))))+1)),0)</f>
        <v/>
      </c>
      <c r="S3188">
        <f>IFERROR(O3188/N3188,0)</f>
        <v/>
      </c>
      <c r="T3188" t="n">
        <v>0</v>
      </c>
      <c r="V3188" t="n">
        <v>0</v>
      </c>
    </row>
    <row r="3189">
      <c r="A3189">
        <f>Skills!A16</f>
        <v/>
      </c>
      <c r="B3189">
        <f>Skills!B16</f>
        <v/>
      </c>
      <c r="C3189">
        <f>Inputs!$B$3&gt;=110</f>
        <v/>
      </c>
      <c r="D3189">
        <f>IF(Skills!C16=1,60+Inputs!$B$25+Inputs!$B$29,IF(Skills!C16=2,90+Inputs!$B$26+Inputs!$B$29,IF(Skills!C16=3,120+Inputs!$B$27+Inputs!$B$29,MAX(0,(Inputs!$B$3-100)*3)+Inputs!$B$28+Inputs!$B$29)))</f>
        <v/>
      </c>
      <c r="E3189">
        <f>INDEX(FactorTable!$B$2:$Y$301, MATCH(ROUND(MIN(300,MAX(1,D3189)),0), FactorTable!$A$2:$A$301,0), Skills!M16+1)</f>
        <v/>
      </c>
      <c r="F3189">
        <f>IF(Skills!N16=TRUE,(Skills!L16/10)*(E3189/1000),Skills!L16/10)+Skills!O16</f>
        <v/>
      </c>
      <c r="G3189">
        <f>Calc!G16</f>
        <v/>
      </c>
      <c r="H3189">
        <f>Calc!H16</f>
        <v/>
      </c>
      <c r="I3189">
        <f>IF(Skills!AA16&lt;&gt;"",1+(Skills!AA16/10)*(U3176/1000)/100,1)</f>
        <v/>
      </c>
      <c r="J3189" t="inlineStr"/>
      <c r="K3189" t="inlineStr"/>
      <c r="L3189" t="inlineStr"/>
      <c r="M3189" t="inlineStr"/>
      <c r="N3189" t="inlineStr"/>
      <c r="O3189">
        <f>(1-Summary!$B$11)*T3189+Summary!$B$11*V3189</f>
        <v/>
      </c>
      <c r="P3189">
        <f>IF(B3217=0,0,O3189/B3217)</f>
        <v/>
      </c>
      <c r="Q3189">
        <f>IFERROR(1/IF(Inputs!$B$39="pvp",15,MAX(0.1,Skills!D16-IF(Skills!E16=TRUE,0.5,0))),0)</f>
        <v/>
      </c>
      <c r="R3189">
        <f>IF(AND(Inputs!$B$39&lt;&gt;"pvp",Inputs!$B$44&gt;0),IF(Inputs!$B$44&lt;=0,0,(INT(Inputs!$B$44/IF(Inputs!$B$39="pvp",15,MAX(0.1,Skills!D16-IF(Skills!E16=TRUE,0.5,0))))+1)),0)</f>
        <v/>
      </c>
      <c r="S3189">
        <f>IFERROR(O3189/N3189,0)</f>
        <v/>
      </c>
      <c r="T3189" t="n">
        <v>0</v>
      </c>
      <c r="V3189" t="n">
        <v>0</v>
      </c>
    </row>
    <row r="3190">
      <c r="A3190">
        <f>Skills!A17</f>
        <v/>
      </c>
      <c r="B3190">
        <f>Skills!B17</f>
        <v/>
      </c>
      <c r="C3190">
        <f>Inputs!$B$3&gt;=115</f>
        <v/>
      </c>
      <c r="D3190">
        <f>IF(Skills!C17=1,60+Inputs!$B$25+Inputs!$B$29,IF(Skills!C17=2,90+Inputs!$B$26+Inputs!$B$29,IF(Skills!C17=3,120+Inputs!$B$27+Inputs!$B$29,MAX(0,(Inputs!$B$3-100)*3)+Inputs!$B$28+Inputs!$B$29)))</f>
        <v/>
      </c>
      <c r="E3190">
        <f>INDEX(FactorTable!$B$2:$Y$301, MATCH(ROUND(MIN(300,MAX(1,D3190)),0), FactorTable!$A$2:$A$301,0), Skills!M17+1)</f>
        <v/>
      </c>
      <c r="F3190">
        <f>IF(Skills!N17=TRUE,(Skills!L17/10)*(E3190/1000),Skills!L17/10)+Skills!O17</f>
        <v/>
      </c>
      <c r="G3190">
        <f>Calc!G17</f>
        <v/>
      </c>
      <c r="H3190">
        <f>Calc!H17</f>
        <v/>
      </c>
      <c r="I3190">
        <f>IF(Skills!AA17&lt;&gt;"",1+(Skills!AA17/10)*(U3176/1000)/100,1)</f>
        <v/>
      </c>
      <c r="J3190">
        <f>((Inputs!$B$6*(1+Inputs!$B$7/100))+(((Inputs!$B$12*(1+Inputs!$B$13/100))-(Inputs!$B$12*(1+Inputs!$B$13/100)))+0.25*(Inputs!$B$14-Inputs!$B$14))*(1+Inputs!$B$7/100))*(F3190/100)</f>
        <v/>
      </c>
      <c r="K3190">
        <f>J3190*(1+((Inputs!$B$12*(1+Inputs!$B$13/100))*0.01+Inputs!$B$14*0.0025)/100)*(1+Inputs!$B$15/100)*(1+Inputs!$B$16/100)*(5000/(6000+Inputs!$B$43*(1-(100*(1-(1-(Inputs!$B$19+0)/100)*(1-CHOOSE(ArtifactsInput!$N$40+1,5,6,7,8,9,10)/100)^(ArtifactsInput!$M$40-ArtifactsInput!$M$40)))/100)))*(1+(Inputs!$B$24+((C3203=TRUE)*(F3203-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3196=TRUE)*(F3196-Calc!F23))+(((IF(AND(ArtifactsInput!$M$42,((Inputs!$B$9+((C3198=TRUE)*(F3198-Calc!F25))+B3213+(ArtifactsInput!$M$24-ArtifactsInput!$M$24)*CHOOSE(ArtifactsInput!$N$24+1,10,12,14,16,18,20)+IF(ArtifactsInput!$M$10,CHOOSE(ArtifactsInput!$N$10+1,15,18,21,24,27,30)*(IF(Inputs!$B$39="pvp",MIN(15,15)/15,IF(AND(Inputs!$B$39&lt;&gt;"pvp",Inputs!$B$44&gt;0),MIN(15,Inputs!$B$44)/(Inputs!$B$44),0))),0)))&gt;=100),MIN(100,((Inputs!$B$9+((C3198=TRUE)*(F3198-Calc!F25))+B3213+(ArtifactsInput!$M$24-ArtifactsInput!$M$24)*CHOOSE(ArtifactsInput!$N$24+1,10,12,14,16,18,20)+IF(ArtifactsInput!$M$10,CHOOSE(ArtifactsInput!$N$10+1,15,18,21,24,27,30)*(IF(Inputs!$B$39="pvp",MIN(15,15)/15,IF(AND(Inputs!$B$39&lt;&gt;"pvp",Inputs!$B$44&gt;0),MIN(15,Inputs!$B$44)/(Inputs!$B$44),0))),0)))-100),0))*CHOOSE(ArtifactsInput!$N$42+1,0.6,0.72,0.84,0.96,1.08,1.2))),Inputs!$B$18+((C3202=TRUE)*(F3202-Calc!F29))+(IF(AND(ArtifactsInput!$M$42,((Inputs!$B$9+((C3198=TRUE)*(F3198-Calc!F25))+B3213+(ArtifactsInput!$M$24-ArtifactsInput!$M$24)*CHOOSE(ArtifactsInput!$N$24+1,10,12,14,16,18,20)+IF(ArtifactsInput!$M$10,CHOOSE(ArtifactsInput!$N$10+1,15,18,21,24,27,30)*(IF(Inputs!$B$39="pvp",MIN(15,15)/15,IF(AND(Inputs!$B$39&lt;&gt;"pvp",Inputs!$B$44&gt;0),MIN(15,Inputs!$B$44)/(Inputs!$B$44),0))),0)))&gt;=100),CHOOSE(ArtifactsInput!$N$42+1,40,48,56,64,72,80),0))))/100)*(((1+(((C3194=TRUE)*F3194*IF(AND(Inputs!$B$39&lt;&gt;"pvp",Inputs!$B$44&gt;0),(((R3194-1)*(Skills!Y21*(1+Inputs!$B$34/100))+MIN((Skills!Y21*(1+Inputs!$B$34/100)),MAX(0,Inputs!$B$44-((R3194-1)*Skills!D21))))/Inputs!$B$44),IF(Inputs!$B$39="pvp",MIN((Skills!Y21*(1+Inputs!$B$34/100)),15)/15,(Skills!Y21*(1+Inputs!$B$34/100))/Skills!D21)))+((C3201=TRUE)*(F3201-Calc!F28))+((C3191=TRUE)*(F3191-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3188=TRUE)*F3188*IF(AND(Inputs!$B$39&lt;&gt;"pvp",Inputs!$B$44&gt;0),(((R3188-1)*(Skills!Y15*(1+Inputs!$B$34/100))+MIN((Skills!Y15*(1+Inputs!$B$34/100)),MAX(0,Inputs!$B$44-((R3188-1)*Skills!D15))))/Inputs!$B$44),IF(Inputs!$B$39="pvp",MIN((Skills!Y15*(1+Inputs!$B$34/100)),15)/15,(Skills!Y15*(1+Inputs!$B$34/100))/Skills!D15)))/100)*(1+((C3179=TRUE)*F3179*B3207)/100))*B3215*(1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3190)</f>
        <v/>
      </c>
      <c r="L3190">
        <f>K3190*(MIN(Inputs!$B$22+((C3197=TRUE)*(F3197-Calc!F24)),(Inputs!$B$23+0+(IF(ArtifactsInput!$M$15,CHOOSE(ArtifactsInput!$N$15+1,25,30,35,40,45,50)/100*(Inputs!$B$11-Inputs!$B$11),0))))/100+(Inputs!$B$23+0+(IF(ArtifactsInput!$M$15,CHOOSE(ArtifactsInput!$N$15+1,25,30,35,40,45,50)/100*(Inputs!$B$11-Inputs!$B$11),0)))/100)/2</f>
        <v/>
      </c>
      <c r="M3190">
        <f>L3190*(1+(Inputs!$B$10+((C3199=TRUE)*(F3199-Calc!F26))+B3216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90">
        <f>L3190*(1-MIN((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3190*(MIN((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90">
        <f>(1-Summary!$B$11)*T3190+Summary!$B$11*V3190</f>
        <v/>
      </c>
      <c r="P3190">
        <f>IF(B3217=0,0,O3190/B3217)</f>
        <v/>
      </c>
      <c r="Q3190" t="n">
        <v>0</v>
      </c>
      <c r="R3190" t="n">
        <v>0</v>
      </c>
      <c r="S3190">
        <f>IFERROR(O3190/N3190,0)</f>
        <v/>
      </c>
      <c r="T3190">
        <f>IF(C3190,(Inputs!$B$38*0.2*N3190)*IF(Inputs!$B$39="pvp",1,1+(Inputs!$B$20+((C3200=TRUE)*(F3200-Calc!F27))+Skills!P17+B3214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Hunt"),CHOOSE(ArtifactsInput!$N$35+1,15,18,21,24,27,30)*(1-EXP(-(0.2*B3209)*5)),0)+IF(AND(ArtifactsInput!$M$22,Inputs!$B$4&lt;&gt;"Chapter Hunt"),CHOOSE(ArtifactsInput!$N$22+1,10,12,14,16,18,20)*((0*(((0.15*B3209*5))^0/1)+1*(((0.15*B3209*5))^1/1)+2*(((0.15*B3209*5))^2/2)+3*(((0.15*B3209*5))^3/6)+4*(((0.15*B3209*5))^4/24)+5*(((0.15*B3209*5))^5/120))/((((0.15*B3209*5))^0/1)+(((0.15*B3209*5))^1/1)+(((0.15*B3209*5))^2/2)+(((0.15*B3209*5))^3/6)+(((0.15*B3209*5))^4/24)+(((0.15*B3209*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3190*(1-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3190*(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3190*(1-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3190*(MIN(100,(Inputs!$B$9+((C3198=TRUE)*(F3198-Calc!F25))+B3213+(ArtifactsInput!$M$24-ArtifactsInput!$M$24)*CHOOSE(ArtifactsInput!$N$24+1,10,12,14,16,18,20)+(IF(AND(ArtifactsInput!$M$42,((Inputs!$B$9+((C3198=TRUE)*(F3198-Calc!F25))+B3213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90">
        <f>IF(C3190,(Inputs!$B$38*0.2*N3190)*IF(Inputs!$B$39="pvp",1,(1+(Inputs!$B$21+Skills!Q17+B3214+(IF(ArtifactsInput!$M$33,CHOOSE(ArtifactsInput!$N$33+1,30,36,42,48,54,60),0))+(IF(AND(ArtifactsInput!$M$35,Inputs!$B$4&lt;&gt;"Chapter Hunt"),CHOOSE(ArtifactsInput!$N$35+1,15,18,21,24,27,30)*(1-EXP(-(0.2*B3209)*5)),0)+IF(AND(ArtifactsInput!$M$22,Inputs!$B$4&lt;&gt;"Chapter Hunt"),CHOOSE(ArtifactsInput!$N$22+1,10,12,14,16,18,20)*((0*(((0.15*B3209*5))^0/1)+1*(((0.15*B3209*5))^1/1)+2*(((0.15*B3209*5))^2/2)+3*(((0.15*B3209*5))^3/6)+4*(((0.15*B3209*5))^4/24)+5*(((0.15*B3209*5))^5/120))/((((0.15*B3209*5))^0/1)+(((0.15*B3209*5))^1/1)+(((0.15*B3209*5))^2/2)+(((0.15*B3209*5))^3/6)+(((0.15*B3209*5))^4/24)+(((0.15*B3209*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91">
      <c r="A3191">
        <f>Skills!A18</f>
        <v/>
      </c>
      <c r="B3191">
        <f>Skills!B18</f>
        <v/>
      </c>
      <c r="C3191">
        <f>Inputs!$B$3&gt;=115</f>
        <v/>
      </c>
      <c r="D3191">
        <f>IF(Skills!C18=1,60+Inputs!$B$25+Inputs!$B$29,IF(Skills!C18=2,90+Inputs!$B$26+Inputs!$B$29,IF(Skills!C18=3,120+Inputs!$B$27+Inputs!$B$29,MAX(0,(Inputs!$B$3-100)*3)+Inputs!$B$28+Inputs!$B$29)))</f>
        <v/>
      </c>
      <c r="E3191">
        <f>INDEX(FactorTable!$B$2:$Y$301, MATCH(ROUND(MIN(300,MAX(1,D3191)),0), FactorTable!$A$2:$A$301,0), Skills!M18+1)</f>
        <v/>
      </c>
      <c r="F3191">
        <f>IF(Skills!N18=TRUE,(Skills!L18/10)*(E3191/1000),Skills!L18/10)+Skills!O18</f>
        <v/>
      </c>
      <c r="G3191">
        <f>Calc!G18</f>
        <v/>
      </c>
      <c r="H3191">
        <f>Calc!H18</f>
        <v/>
      </c>
      <c r="I3191">
        <f>IF(Skills!AA18&lt;&gt;"",1+(Skills!AA18/10)*(U3176/1000)/100,1)</f>
        <v/>
      </c>
      <c r="J3191" t="inlineStr"/>
      <c r="K3191" t="inlineStr"/>
      <c r="L3191" t="inlineStr"/>
      <c r="M3191" t="inlineStr"/>
      <c r="N3191" t="inlineStr"/>
      <c r="O3191">
        <f>(1-Summary!$B$11)*T3191+Summary!$B$11*V3191</f>
        <v/>
      </c>
      <c r="P3191">
        <f>IF(B3217=0,0,O3191/B3217)</f>
        <v/>
      </c>
      <c r="Q3191" t="n">
        <v>0</v>
      </c>
      <c r="R3191" t="n">
        <v>0</v>
      </c>
      <c r="S3191">
        <f>IFERROR(O3191/N3191,0)</f>
        <v/>
      </c>
      <c r="T3191" t="n">
        <v>0</v>
      </c>
      <c r="V3191" t="n">
        <v>0</v>
      </c>
    </row>
    <row r="3192">
      <c r="A3192">
        <f>Skills!A19</f>
        <v/>
      </c>
      <c r="B3192">
        <f>Skills!B19</f>
        <v/>
      </c>
      <c r="C3192">
        <f>TRUE</f>
        <v/>
      </c>
      <c r="D3192">
        <f>IF(Skills!C19=1,60+Inputs!$B$25+Inputs!$B$29,IF(Skills!C19=2,90+Inputs!$B$26+Inputs!$B$29,IF(Skills!C19=3,120+Inputs!$B$27+Inputs!$B$29,MAX(0,(Inputs!$B$3-100)*3)+Inputs!$B$28+Inputs!$B$29)))</f>
        <v/>
      </c>
      <c r="E3192">
        <f>INDEX(FactorTable!$B$2:$Y$301, MATCH(ROUND(MIN(300,MAX(1,D3192)),0), FactorTable!$A$2:$A$301,0), Skills!M19+1)</f>
        <v/>
      </c>
      <c r="F3192">
        <f>IF(Skills!N19=TRUE,(Skills!L19/10)*(E3192/1000),Skills!L19/10)+Skills!O19</f>
        <v/>
      </c>
      <c r="G3192">
        <f>Calc!G19</f>
        <v/>
      </c>
      <c r="H3192">
        <f>Calc!H19</f>
        <v/>
      </c>
      <c r="I3192">
        <f>IF(Skills!AA19&lt;&gt;"",1+(Skills!AA19/10)*(U3176/1000)/100,1)</f>
        <v/>
      </c>
      <c r="J3192" t="inlineStr"/>
      <c r="K3192" t="inlineStr"/>
      <c r="L3192" t="inlineStr"/>
      <c r="M3192" t="inlineStr"/>
      <c r="N3192" t="inlineStr"/>
      <c r="O3192">
        <f>(1-Summary!$B$11)*T3192+Summary!$B$11*V3192</f>
        <v/>
      </c>
      <c r="P3192">
        <f>IF(B3217=0,0,O3192/B3217)</f>
        <v/>
      </c>
      <c r="Q3192">
        <f>IFERROR(1/IF(Inputs!$B$39="pvp",15,MAX(0.1,Skills!D19-IF(Skills!E19=TRUE,0.5,0))),0)</f>
        <v/>
      </c>
      <c r="R3192">
        <f>IF(AND(Inputs!$B$39&lt;&gt;"pvp",Inputs!$B$44&gt;0),IF(Inputs!$B$44&lt;=0,0,(INT(Inputs!$B$44/IF(Inputs!$B$39="pvp",15,MAX(0.1,Skills!D19-IF(Skills!E19=TRUE,0.5,0))))+1)),0)</f>
        <v/>
      </c>
      <c r="S3192">
        <f>IFERROR(O3192/N3192,0)</f>
        <v/>
      </c>
      <c r="T3192" t="n">
        <v>0</v>
      </c>
      <c r="V3192" t="n">
        <v>0</v>
      </c>
    </row>
    <row r="3193">
      <c r="A3193">
        <f>Skills!A20</f>
        <v/>
      </c>
      <c r="B3193">
        <f>Skills!B20</f>
        <v/>
      </c>
      <c r="C3193">
        <f>Inputs!$B$3&gt;=15</f>
        <v/>
      </c>
      <c r="D3193">
        <f>IF(Skills!C20=1,60+Inputs!$B$25+Inputs!$B$29,IF(Skills!C20=2,90+Inputs!$B$26+Inputs!$B$29,IF(Skills!C20=3,120+Inputs!$B$27+Inputs!$B$29,MAX(0,(Inputs!$B$3-100)*3)+Inputs!$B$28+Inputs!$B$29)))</f>
        <v/>
      </c>
      <c r="E3193">
        <f>INDEX(FactorTable!$B$2:$Y$301, MATCH(ROUND(MIN(300,MAX(1,D3193)),0), FactorTable!$A$2:$A$301,0), Skills!M20+1)</f>
        <v/>
      </c>
      <c r="F3193">
        <f>IF(Skills!N20=TRUE,(Skills!L20/10)*(E3193/1000),Skills!L20/10)+Skills!O20</f>
        <v/>
      </c>
      <c r="G3193">
        <f>Calc!G20</f>
        <v/>
      </c>
      <c r="H3193">
        <f>Calc!H20</f>
        <v/>
      </c>
      <c r="I3193">
        <f>IF(Skills!AA20&lt;&gt;"",1+(Skills!AA20/10)*(U3176/1000)/100,1)</f>
        <v/>
      </c>
      <c r="J3193" t="inlineStr"/>
      <c r="K3193" t="inlineStr"/>
      <c r="L3193" t="inlineStr"/>
      <c r="M3193" t="inlineStr"/>
      <c r="N3193" t="inlineStr"/>
      <c r="O3193">
        <f>(1-Summary!$B$11)*T3193+Summary!$B$11*V3193</f>
        <v/>
      </c>
      <c r="P3193">
        <f>IF(B3217=0,0,O3193/B3217)</f>
        <v/>
      </c>
      <c r="Q3193">
        <f>IFERROR(1/IF(Inputs!$B$39="pvp",15,MAX(0.1,Skills!D20-IF(Skills!E20=TRUE,0.5,0))),0)</f>
        <v/>
      </c>
      <c r="R3193">
        <f>IF(AND(Inputs!$B$39&lt;&gt;"pvp",Inputs!$B$44&gt;0),IF(Inputs!$B$44&lt;=0,0,(INT(Inputs!$B$44/IF(Inputs!$B$39="pvp",15,MAX(0.1,Skills!D20-IF(Skills!E20=TRUE,0.5,0))))+1)),0)</f>
        <v/>
      </c>
      <c r="S3193">
        <f>IFERROR(O3193/N3193,0)</f>
        <v/>
      </c>
      <c r="T3193" t="n">
        <v>0</v>
      </c>
      <c r="V3193" t="n">
        <v>0</v>
      </c>
    </row>
    <row r="3194">
      <c r="A3194">
        <f>Skills!A21</f>
        <v/>
      </c>
      <c r="B3194">
        <f>Skills!B21</f>
        <v/>
      </c>
      <c r="C3194">
        <f>Inputs!$B$3&gt;=15</f>
        <v/>
      </c>
      <c r="D3194">
        <f>IF(Skills!C21=1,60+Inputs!$B$25+Inputs!$B$29,IF(Skills!C21=2,90+Inputs!$B$26+Inputs!$B$29,IF(Skills!C21=3,120+Inputs!$B$27+Inputs!$B$29,MAX(0,(Inputs!$B$3-100)*3)+Inputs!$B$28+Inputs!$B$29)))</f>
        <v/>
      </c>
      <c r="E3194">
        <f>INDEX(FactorTable!$B$2:$Y$301, MATCH(ROUND(MIN(300,MAX(1,D3194)),0), FactorTable!$A$2:$A$301,0), Skills!M21+1)</f>
        <v/>
      </c>
      <c r="F3194">
        <f>IF(Skills!N21=TRUE,(Skills!L21/10)*(E3194/1000),Skills!L21/10)+Skills!O21</f>
        <v/>
      </c>
      <c r="G3194">
        <f>Calc!G21</f>
        <v/>
      </c>
      <c r="H3194">
        <f>Calc!H21</f>
        <v/>
      </c>
      <c r="I3194">
        <f>IF(Skills!AA21&lt;&gt;"",1+(Skills!AA21/10)*(U3176/1000)/100,1)</f>
        <v/>
      </c>
      <c r="J3194" t="inlineStr"/>
      <c r="K3194" t="inlineStr"/>
      <c r="L3194" t="inlineStr"/>
      <c r="M3194" t="inlineStr"/>
      <c r="N3194" t="inlineStr"/>
      <c r="O3194">
        <f>(1-Summary!$B$11)*T3194+Summary!$B$11*V3194</f>
        <v/>
      </c>
      <c r="P3194">
        <f>IF(B3217=0,0,O3194/B3217)</f>
        <v/>
      </c>
      <c r="Q3194">
        <f>IFERROR(1/IF(Inputs!$B$39="pvp",15,MAX(0.1,Skills!D21-IF(Skills!E21=TRUE,0.5,0))),0)</f>
        <v/>
      </c>
      <c r="R3194">
        <f>IF(AND(Inputs!$B$39&lt;&gt;"pvp",Inputs!$B$44&gt;0),IF(Inputs!$B$44&lt;=0,0,(INT(Inputs!$B$44/IF(Inputs!$B$39="pvp",15,MAX(0.1,Skills!D21-IF(Skills!E21=TRUE,0.5,0))))+1)),0)</f>
        <v/>
      </c>
      <c r="S3194">
        <f>IFERROR(O3194/N3194,0)</f>
        <v/>
      </c>
      <c r="T3194" t="n">
        <v>0</v>
      </c>
      <c r="V3194" t="n">
        <v>0</v>
      </c>
    </row>
    <row r="3195">
      <c r="A3195">
        <f>Skills!A22</f>
        <v/>
      </c>
      <c r="B3195">
        <f>Skills!B22</f>
        <v/>
      </c>
      <c r="C3195">
        <f>Inputs!$B$3&gt;=33</f>
        <v/>
      </c>
      <c r="D3195">
        <f>IF(Skills!C22=1,60+Inputs!$B$25+Inputs!$B$29,IF(Skills!C22=2,90+Inputs!$B$26+Inputs!$B$29,IF(Skills!C22=3,120+Inputs!$B$27+Inputs!$B$29,MAX(0,(Inputs!$B$3-100)*3)+Inputs!$B$28+Inputs!$B$29)))</f>
        <v/>
      </c>
      <c r="E3195">
        <f>INDEX(FactorTable!$B$2:$Y$301, MATCH(ROUND(MIN(300,MAX(1,D3195)),0), FactorTable!$A$2:$A$301,0), Skills!M22+1)</f>
        <v/>
      </c>
      <c r="F3195">
        <f>IF(Skills!N22=TRUE,(Skills!L22/10)*(E3195/1000),Skills!L22/10)+Skills!O22</f>
        <v/>
      </c>
      <c r="G3195">
        <f>Calc!G22</f>
        <v/>
      </c>
      <c r="H3195">
        <f>Calc!H22</f>
        <v/>
      </c>
      <c r="I3195">
        <f>IF(Skills!AA22&lt;&gt;"",1+(Skills!AA22/10)*(U3176/1000)/100,1)</f>
        <v/>
      </c>
      <c r="J3195" t="inlineStr"/>
      <c r="K3195" t="inlineStr"/>
      <c r="L3195" t="inlineStr"/>
      <c r="M3195" t="inlineStr"/>
      <c r="N3195" t="inlineStr"/>
      <c r="O3195">
        <f>(1-Summary!$B$11)*T3195+Summary!$B$11*V3195</f>
        <v/>
      </c>
      <c r="P3195">
        <f>IF(B3217=0,0,O3195/B3217)</f>
        <v/>
      </c>
      <c r="Q3195" t="n">
        <v>0</v>
      </c>
      <c r="R3195" t="n">
        <v>0</v>
      </c>
      <c r="S3195">
        <f>IFERROR(O3195/N3195,0)</f>
        <v/>
      </c>
      <c r="T3195" t="n">
        <v>0</v>
      </c>
      <c r="V3195" t="n">
        <v>0</v>
      </c>
    </row>
    <row r="3196">
      <c r="A3196">
        <f>Skills!A23</f>
        <v/>
      </c>
      <c r="B3196">
        <f>Skills!B23</f>
        <v/>
      </c>
      <c r="C3196">
        <f>Inputs!$B$3&gt;=38</f>
        <v/>
      </c>
      <c r="D3196">
        <f>IF(Skills!C23=1,60+Inputs!$B$25+Inputs!$B$29,IF(Skills!C23=2,90+Inputs!$B$26+Inputs!$B$29,IF(Skills!C23=3,120+Inputs!$B$27+Inputs!$B$29,MAX(0,(Inputs!$B$3-100)*3)+Inputs!$B$28+Inputs!$B$29)))</f>
        <v/>
      </c>
      <c r="E3196">
        <f>INDEX(FactorTable!$B$2:$Y$301, MATCH(ROUND(MIN(300,MAX(1,D3196)),0), FactorTable!$A$2:$A$301,0), Skills!M23+1)</f>
        <v/>
      </c>
      <c r="F3196">
        <f>IF(Skills!N23=TRUE,(Skills!L23/10)*(E3196/1000),Skills!L23/10)+Skills!O23</f>
        <v/>
      </c>
      <c r="G3196">
        <f>Calc!G23</f>
        <v/>
      </c>
      <c r="H3196">
        <f>Calc!H23</f>
        <v/>
      </c>
      <c r="I3196">
        <f>IF(Skills!AA23&lt;&gt;"",1+(Skills!AA23/10)*(U3176/1000)/100,1)</f>
        <v/>
      </c>
      <c r="J3196" t="inlineStr"/>
      <c r="K3196" t="inlineStr"/>
      <c r="L3196" t="inlineStr"/>
      <c r="M3196" t="inlineStr"/>
      <c r="N3196" t="inlineStr"/>
      <c r="O3196">
        <f>(1-Summary!$B$11)*T3196+Summary!$B$11*V3196</f>
        <v/>
      </c>
      <c r="P3196">
        <f>IF(B3217=0,0,O3196/B3217)</f>
        <v/>
      </c>
      <c r="Q3196" t="n">
        <v>0</v>
      </c>
      <c r="R3196" t="n">
        <v>0</v>
      </c>
      <c r="S3196">
        <f>IFERROR(O3196/N3196,0)</f>
        <v/>
      </c>
      <c r="T3196" t="n">
        <v>0</v>
      </c>
      <c r="V3196" t="n">
        <v>0</v>
      </c>
    </row>
    <row r="3197">
      <c r="A3197">
        <f>Skills!A24</f>
        <v/>
      </c>
      <c r="B3197">
        <f>Skills!B24</f>
        <v/>
      </c>
      <c r="C3197">
        <f>Inputs!$B$3&gt;=40</f>
        <v/>
      </c>
      <c r="D3197">
        <f>IF(Skills!C24=1,60+Inputs!$B$25+Inputs!$B$29,IF(Skills!C24=2,90+Inputs!$B$26+Inputs!$B$29,IF(Skills!C24=3,120+Inputs!$B$27+Inputs!$B$29,MAX(0,(Inputs!$B$3-100)*3)+Inputs!$B$28+Inputs!$B$29)))</f>
        <v/>
      </c>
      <c r="E3197">
        <f>INDEX(FactorTable!$B$2:$Y$301, MATCH(ROUND(MIN(300,MAX(1,D3197)),0), FactorTable!$A$2:$A$301,0), Skills!M24+1)</f>
        <v/>
      </c>
      <c r="F3197">
        <f>IF(Skills!N24=TRUE,(Skills!L24/10)*(E3197/1000),Skills!L24/10)+Skills!O24</f>
        <v/>
      </c>
      <c r="G3197">
        <f>Calc!G24</f>
        <v/>
      </c>
      <c r="H3197">
        <f>Calc!H24</f>
        <v/>
      </c>
      <c r="I3197">
        <f>IF(Skills!AA24&lt;&gt;"",1+(Skills!AA24/10)*(U3176/1000)/100,1)</f>
        <v/>
      </c>
      <c r="J3197" t="inlineStr"/>
      <c r="K3197" t="inlineStr"/>
      <c r="L3197" t="inlineStr"/>
      <c r="M3197" t="inlineStr"/>
      <c r="N3197" t="inlineStr"/>
      <c r="O3197">
        <f>(1-Summary!$B$11)*T3197+Summary!$B$11*V3197</f>
        <v/>
      </c>
      <c r="P3197">
        <f>IF(B3217=0,0,O3197/B3217)</f>
        <v/>
      </c>
      <c r="Q3197" t="n">
        <v>0</v>
      </c>
      <c r="R3197" t="n">
        <v>0</v>
      </c>
      <c r="S3197">
        <f>IFERROR(O3197/N3197,0)</f>
        <v/>
      </c>
      <c r="T3197" t="n">
        <v>0</v>
      </c>
      <c r="V3197" t="n">
        <v>0</v>
      </c>
    </row>
    <row r="3198">
      <c r="A3198">
        <f>Skills!A25</f>
        <v/>
      </c>
      <c r="B3198">
        <f>Skills!B25</f>
        <v/>
      </c>
      <c r="C3198">
        <f>Inputs!$B$3&gt;=45</f>
        <v/>
      </c>
      <c r="D3198">
        <f>IF(Skills!C25=1,60+Inputs!$B$25+Inputs!$B$29,IF(Skills!C25=2,90+Inputs!$B$26+Inputs!$B$29,IF(Skills!C25=3,120+Inputs!$B$27+Inputs!$B$29,MAX(0,(Inputs!$B$3-100)*3)+Inputs!$B$28+Inputs!$B$29)))</f>
        <v/>
      </c>
      <c r="E3198">
        <f>INDEX(FactorTable!$B$2:$Y$301, MATCH(ROUND(MIN(300,MAX(1,D3198)),0), FactorTable!$A$2:$A$301,0), Skills!M25+1)</f>
        <v/>
      </c>
      <c r="F3198">
        <f>IF(Skills!N25=TRUE,(Skills!L25/10)*(E3198/1000),Skills!L25/10)+Skills!O25</f>
        <v/>
      </c>
      <c r="G3198">
        <f>Calc!G25</f>
        <v/>
      </c>
      <c r="H3198">
        <f>Calc!H25</f>
        <v/>
      </c>
      <c r="I3198">
        <f>IF(Skills!AA25&lt;&gt;"",1+(Skills!AA25/10)*(U3176/1000)/100,1)</f>
        <v/>
      </c>
      <c r="J3198" t="inlineStr"/>
      <c r="K3198" t="inlineStr"/>
      <c r="L3198" t="inlineStr"/>
      <c r="M3198" t="inlineStr"/>
      <c r="N3198" t="inlineStr"/>
      <c r="O3198">
        <f>(1-Summary!$B$11)*T3198+Summary!$B$11*V3198</f>
        <v/>
      </c>
      <c r="P3198">
        <f>IF(B3217=0,0,O3198/B3217)</f>
        <v/>
      </c>
      <c r="Q3198" t="n">
        <v>0</v>
      </c>
      <c r="R3198" t="n">
        <v>0</v>
      </c>
      <c r="S3198">
        <f>IFERROR(O3198/N3198,0)</f>
        <v/>
      </c>
      <c r="T3198" t="n">
        <v>0</v>
      </c>
      <c r="V3198" t="n">
        <v>0</v>
      </c>
    </row>
    <row r="3199">
      <c r="A3199">
        <f>Skills!A26</f>
        <v/>
      </c>
      <c r="B3199">
        <f>Skills!B26</f>
        <v/>
      </c>
      <c r="C3199">
        <f>Inputs!$B$3&gt;=45</f>
        <v/>
      </c>
      <c r="D3199">
        <f>IF(Skills!C26=1,60+Inputs!$B$25+Inputs!$B$29,IF(Skills!C26=2,90+Inputs!$B$26+Inputs!$B$29,IF(Skills!C26=3,120+Inputs!$B$27+Inputs!$B$29,MAX(0,(Inputs!$B$3-100)*3)+Inputs!$B$28+Inputs!$B$29)))</f>
        <v/>
      </c>
      <c r="E3199">
        <f>INDEX(FactorTable!$B$2:$Y$301, MATCH(ROUND(MIN(300,MAX(1,D3199)),0), FactorTable!$A$2:$A$301,0), Skills!M26+1)</f>
        <v/>
      </c>
      <c r="F3199">
        <f>IF(Skills!N26=TRUE,(Skills!L26/10)*(E3199/1000),Skills!L26/10)+Skills!O26</f>
        <v/>
      </c>
      <c r="G3199">
        <f>Calc!G26</f>
        <v/>
      </c>
      <c r="H3199">
        <f>Calc!H26</f>
        <v/>
      </c>
      <c r="I3199">
        <f>IF(Skills!AA26&lt;&gt;"",1+(Skills!AA26/10)*(U3176/1000)/100,1)</f>
        <v/>
      </c>
      <c r="J3199" t="inlineStr"/>
      <c r="K3199" t="inlineStr"/>
      <c r="L3199" t="inlineStr"/>
      <c r="M3199" t="inlineStr"/>
      <c r="N3199" t="inlineStr"/>
      <c r="O3199">
        <f>(1-Summary!$B$11)*T3199+Summary!$B$11*V3199</f>
        <v/>
      </c>
      <c r="P3199">
        <f>IF(B3217=0,0,O3199/B3217)</f>
        <v/>
      </c>
      <c r="Q3199" t="n">
        <v>0</v>
      </c>
      <c r="R3199" t="n">
        <v>0</v>
      </c>
      <c r="S3199">
        <f>IFERROR(O3199/N3199,0)</f>
        <v/>
      </c>
      <c r="T3199" t="n">
        <v>0</v>
      </c>
      <c r="V3199" t="n">
        <v>0</v>
      </c>
    </row>
    <row r="3200">
      <c r="A3200">
        <f>Skills!A27</f>
        <v/>
      </c>
      <c r="B3200">
        <f>Skills!B27</f>
        <v/>
      </c>
      <c r="C3200">
        <f>Inputs!$B$3&gt;=72</f>
        <v/>
      </c>
      <c r="D3200">
        <f>IF(Skills!C27=1,60+Inputs!$B$25+Inputs!$B$29,IF(Skills!C27=2,90+Inputs!$B$26+Inputs!$B$29,IF(Skills!C27=3,120+Inputs!$B$27+Inputs!$B$29,MAX(0,(Inputs!$B$3-100)*3)+Inputs!$B$28+Inputs!$B$29)))</f>
        <v/>
      </c>
      <c r="E3200">
        <f>INDEX(FactorTable!$B$2:$Y$301, MATCH(ROUND(MIN(300,MAX(1,D3200)),0), FactorTable!$A$2:$A$301,0), Skills!M27+1)</f>
        <v/>
      </c>
      <c r="F3200">
        <f>IF(Skills!N27=TRUE,(Skills!L27/10)*(E3200/1000),Skills!L27/10)+Skills!O27</f>
        <v/>
      </c>
      <c r="G3200">
        <f>Calc!G27</f>
        <v/>
      </c>
      <c r="H3200">
        <f>Calc!H27</f>
        <v/>
      </c>
      <c r="I3200">
        <f>IF(Skills!AA27&lt;&gt;"",1+(Skills!AA27/10)*(U3176/1000)/100,1)</f>
        <v/>
      </c>
      <c r="J3200" t="inlineStr"/>
      <c r="K3200" t="inlineStr"/>
      <c r="L3200" t="inlineStr"/>
      <c r="M3200" t="inlineStr"/>
      <c r="N3200" t="inlineStr"/>
      <c r="O3200">
        <f>(1-Summary!$B$11)*T3200+Summary!$B$11*V3200</f>
        <v/>
      </c>
      <c r="P3200">
        <f>IF(B3217=0,0,O3200/B3217)</f>
        <v/>
      </c>
      <c r="Q3200" t="n">
        <v>0</v>
      </c>
      <c r="R3200" t="n">
        <v>0</v>
      </c>
      <c r="S3200">
        <f>IFERROR(O3200/N3200,0)</f>
        <v/>
      </c>
      <c r="T3200" t="n">
        <v>0</v>
      </c>
      <c r="V3200" t="n">
        <v>0</v>
      </c>
    </row>
    <row r="3201">
      <c r="A3201">
        <f>Skills!A28</f>
        <v/>
      </c>
      <c r="B3201">
        <f>Skills!B28</f>
        <v/>
      </c>
      <c r="C3201">
        <f>Inputs!$B$3&gt;=75</f>
        <v/>
      </c>
      <c r="D3201">
        <f>IF(Skills!C28=1,60+Inputs!$B$25+Inputs!$B$29,IF(Skills!C28=2,90+Inputs!$B$26+Inputs!$B$29,IF(Skills!C28=3,120+Inputs!$B$27+Inputs!$B$29,MAX(0,(Inputs!$B$3-100)*3)+Inputs!$B$28+Inputs!$B$29)))</f>
        <v/>
      </c>
      <c r="E3201">
        <f>INDEX(FactorTable!$B$2:$Y$301, MATCH(ROUND(MIN(300,MAX(1,D3201)),0), FactorTable!$A$2:$A$301,0), Skills!M28+1)</f>
        <v/>
      </c>
      <c r="F3201">
        <f>IF(Skills!N28=TRUE,(Skills!L28/10)*(E3201/1000),Skills!L28/10)+Skills!O28</f>
        <v/>
      </c>
      <c r="G3201">
        <f>Calc!G28</f>
        <v/>
      </c>
      <c r="H3201">
        <f>Calc!H28</f>
        <v/>
      </c>
      <c r="I3201">
        <f>IF(Skills!AA28&lt;&gt;"",1+(Skills!AA28/10)*(U3176/1000)/100,1)</f>
        <v/>
      </c>
      <c r="J3201" t="inlineStr"/>
      <c r="K3201" t="inlineStr"/>
      <c r="L3201" t="inlineStr"/>
      <c r="M3201" t="inlineStr"/>
      <c r="N3201" t="inlineStr"/>
      <c r="O3201">
        <f>(1-Summary!$B$11)*T3201+Summary!$B$11*V3201</f>
        <v/>
      </c>
      <c r="P3201">
        <f>IF(B3217=0,0,O3201/B3217)</f>
        <v/>
      </c>
      <c r="Q3201" t="n">
        <v>0</v>
      </c>
      <c r="R3201" t="n">
        <v>0</v>
      </c>
      <c r="S3201">
        <f>IFERROR(O3201/N3201,0)</f>
        <v/>
      </c>
      <c r="T3201" t="n">
        <v>0</v>
      </c>
      <c r="V3201" t="n">
        <v>0</v>
      </c>
    </row>
    <row r="3202">
      <c r="A3202">
        <f>Skills!A29</f>
        <v/>
      </c>
      <c r="B3202">
        <f>Skills!B29</f>
        <v/>
      </c>
      <c r="C3202">
        <f>Inputs!$B$3&gt;=120</f>
        <v/>
      </c>
      <c r="D3202">
        <f>IF(Skills!C29=1,60+Inputs!$B$25+Inputs!$B$29,IF(Skills!C29=2,90+Inputs!$B$26+Inputs!$B$29,IF(Skills!C29=3,120+Inputs!$B$27+Inputs!$B$29,MAX(0,(Inputs!$B$3-100)*3)+Inputs!$B$28+Inputs!$B$29)))</f>
        <v/>
      </c>
      <c r="E3202">
        <f>INDEX(FactorTable!$B$2:$Y$301, MATCH(ROUND(MIN(300,MAX(1,D3202)),0), FactorTable!$A$2:$A$301,0), Skills!M29+1)</f>
        <v/>
      </c>
      <c r="F3202">
        <f>IF(Skills!N29=TRUE,(Skills!L29/10)*(E3202/1000),Skills!L29/10)+Skills!O29</f>
        <v/>
      </c>
      <c r="G3202">
        <f>Calc!G29</f>
        <v/>
      </c>
      <c r="H3202">
        <f>Calc!H29</f>
        <v/>
      </c>
      <c r="I3202">
        <f>IF(Skills!AA29&lt;&gt;"",1+(Skills!AA29/10)*(U3176/1000)/100,1)</f>
        <v/>
      </c>
      <c r="J3202" t="inlineStr"/>
      <c r="K3202" t="inlineStr"/>
      <c r="L3202" t="inlineStr"/>
      <c r="M3202" t="inlineStr"/>
      <c r="N3202" t="inlineStr"/>
      <c r="O3202">
        <f>(1-Summary!$B$11)*T3202+Summary!$B$11*V3202</f>
        <v/>
      </c>
      <c r="P3202">
        <f>IF(B3217=0,0,O3202/B3217)</f>
        <v/>
      </c>
      <c r="Q3202" t="n">
        <v>0</v>
      </c>
      <c r="R3202" t="n">
        <v>0</v>
      </c>
      <c r="S3202">
        <f>IFERROR(O3202/N3202,0)</f>
        <v/>
      </c>
      <c r="T3202" t="n">
        <v>0</v>
      </c>
      <c r="V3202" t="n">
        <v>0</v>
      </c>
    </row>
    <row r="3203">
      <c r="A3203">
        <f>Skills!A30</f>
        <v/>
      </c>
      <c r="B3203">
        <f>Skills!B30</f>
        <v/>
      </c>
      <c r="C3203">
        <f>Inputs!$B$3&gt;=125</f>
        <v/>
      </c>
      <c r="D3203">
        <f>IF(Skills!C30=1,60+Inputs!$B$25+Inputs!$B$29,IF(Skills!C30=2,90+Inputs!$B$26+Inputs!$B$29,IF(Skills!C30=3,120+Inputs!$B$27+Inputs!$B$29,MAX(0,(Inputs!$B$3-100)*3)+Inputs!$B$28+Inputs!$B$29)))</f>
        <v/>
      </c>
      <c r="E3203">
        <f>INDEX(FactorTable!$B$2:$Y$301, MATCH(ROUND(MIN(300,MAX(1,D3203)),0), FactorTable!$A$2:$A$301,0), Skills!M30+1)</f>
        <v/>
      </c>
      <c r="F3203">
        <f>IF(Skills!N30=TRUE,(Skills!L30/10)*(E3203/1000),Skills!L30/10)+Skills!O30</f>
        <v/>
      </c>
      <c r="G3203">
        <f>Calc!G30</f>
        <v/>
      </c>
      <c r="H3203">
        <f>Calc!H30</f>
        <v/>
      </c>
      <c r="I3203">
        <f>IF(Skills!AA30&lt;&gt;"",1+(Skills!AA30/10)*(U3176/1000)/100,1)</f>
        <v/>
      </c>
      <c r="J3203" t="inlineStr"/>
      <c r="K3203" t="inlineStr"/>
      <c r="L3203" t="inlineStr"/>
      <c r="M3203" t="inlineStr"/>
      <c r="N3203" t="inlineStr"/>
      <c r="O3203">
        <f>(1-Summary!$B$11)*T3203+Summary!$B$11*V3203</f>
        <v/>
      </c>
      <c r="P3203">
        <f>IF(B3217=0,0,O3203/B3217)</f>
        <v/>
      </c>
      <c r="Q3203" t="n">
        <v>0</v>
      </c>
      <c r="R3203" t="n">
        <v>0</v>
      </c>
      <c r="S3203">
        <f>IFERROR(O3203/N3203,0)</f>
        <v/>
      </c>
      <c r="T3203" t="n">
        <v>0</v>
      </c>
      <c r="V3203" t="n">
        <v>0</v>
      </c>
    </row>
    <row r="3204">
      <c r="A3204">
        <f>Skills!A31</f>
        <v/>
      </c>
      <c r="B3204">
        <f>Skills!B31</f>
        <v/>
      </c>
      <c r="C3204">
        <f>Inputs!$B$3&gt;=107</f>
        <v/>
      </c>
      <c r="D3204">
        <f>IF(Skills!C31=1,60+Inputs!$B$25+Inputs!$B$29,IF(Skills!C31=2,90+Inputs!$B$26+Inputs!$B$29,IF(Skills!C31=3,120+Inputs!$B$27+Inputs!$B$29,MAX(0,(Inputs!$B$3-100)*3)+Inputs!$B$28+Inputs!$B$29)))</f>
        <v/>
      </c>
      <c r="E3204">
        <f>INDEX(FactorTable!$B$2:$Y$301, MATCH(ROUND(MIN(300,MAX(1,D3204)),0), FactorTable!$A$2:$A$301,0), Skills!M31+1)</f>
        <v/>
      </c>
      <c r="F3204">
        <f>IF(Skills!N31=TRUE,(Skills!L31/10)*(E3204/1000),Skills!L31/10)+Skills!O31</f>
        <v/>
      </c>
      <c r="G3204">
        <f>Calc!G31</f>
        <v/>
      </c>
      <c r="H3204">
        <f>Calc!H31</f>
        <v/>
      </c>
      <c r="I3204">
        <f>IF(Skills!AA31&lt;&gt;"",1+(Skills!AA31/10)*(U3176/1000)/100,1)</f>
        <v/>
      </c>
      <c r="J3204" t="inlineStr"/>
      <c r="K3204" t="inlineStr"/>
      <c r="L3204" t="inlineStr"/>
      <c r="M3204" t="inlineStr"/>
      <c r="N3204" t="inlineStr"/>
      <c r="O3204">
        <f>(1-Summary!$B$11)*T3204+Summary!$B$11*V3204</f>
        <v/>
      </c>
      <c r="P3204">
        <f>IF(B3217=0,0,O3204/B3217)</f>
        <v/>
      </c>
      <c r="Q3204" t="n">
        <v>0</v>
      </c>
      <c r="R3204" t="n">
        <v>0</v>
      </c>
      <c r="S3204">
        <f>IFERROR(O3204/N3204,0)</f>
        <v/>
      </c>
      <c r="T3204" t="n">
        <v>0</v>
      </c>
      <c r="V3204" t="n">
        <v>0</v>
      </c>
    </row>
    <row r="3206">
      <c r="A3206" t="inlineStr">
        <is>
          <t>Actions Per Second (pre-Adrenalin)</t>
        </is>
      </c>
      <c r="B3206">
        <f>1+MIN(150,150*(1-(1-(Inputs!$B$11+((C3195=TRUE)*(F3195-Calc!F22))+(ArtifactsInput!$M$15-ArtifactsInput!$M$15)*CHOOSE(ArtifactsInput!$N$15+1,8,9.6,11.2,12.8,14.4,16))/150)*(1-((C3192=TRUE)*F3192*IF(AND(Inputs!$B$39&lt;&gt;"pvp",Inputs!$B$44&gt;0),(((R3192-1)*(Skills!Y19*(1+Inputs!$B$34/100))+MIN((Skills!Y19*(1+Inputs!$B$34/100)),MAX(0,Inputs!$B$44-((R3192-1)*Skills!D19))))/Inputs!$B$44),IF(Inputs!$B$39="pvp",MIN((Skills!Y19*(1+Inputs!$B$34/100)),15)/15,(Skills!Y19*(1+Inputs!$B$34/100))/Skills!D19)))/150)))/100</f>
        <v/>
      </c>
    </row>
    <row r="3207">
      <c r="A3207" t="inlineStr">
        <is>
          <t>Alchemic Adrenaline Uptime</t>
        </is>
      </c>
      <c r="B3207">
        <f>(Skills!Y6*(1+Inputs!$B$34/100))/((Skills!Y6*(1+Inputs!$B$34/100))+(5/B3206))</f>
        <v/>
      </c>
    </row>
    <row r="3208">
      <c r="A3208" t="inlineStr">
        <is>
          <t>Attack Speed Buff Bonus %</t>
        </is>
      </c>
      <c r="B3208">
        <f>((C3192=TRUE)*F3192*IF(AND(Inputs!$B$39&lt;&gt;"pvp",Inputs!$B$44&gt;0),(((R3192-1)*(Skills!Y19*(1+Inputs!$B$34/100))+MIN((Skills!Y19*(1+Inputs!$B$34/100)),MAX(0,Inputs!$B$44-((R3192-1)*Skills!D19))))/Inputs!$B$44),IF(Inputs!$B$39="pvp",MIN((Skills!Y19*(1+Inputs!$B$34/100)),15)/15,(Skills!Y19*(1+Inputs!$B$34/100))/Skills!D19)))+((C3180=TRUE)*F3180*B3207)</f>
        <v/>
      </c>
    </row>
    <row r="3209">
      <c r="A3209" t="inlineStr">
        <is>
          <t>Actions Per Second (final)</t>
        </is>
      </c>
      <c r="B3209">
        <f>1+MIN(150,150*(1-(1-(Inputs!$B$11+((C3195=TRUE)*(F3195-Calc!F22))+(ArtifactsInput!$M$15-ArtifactsInput!$M$15)*CHOOSE(ArtifactsInput!$N$15+1,8,9.6,11.2,12.8,14.4,16))/150)*(1-B3208/150)))/100</f>
        <v/>
      </c>
    </row>
    <row r="3210">
      <c r="A3210" t="inlineStr">
        <is>
          <t>Skill + Buff Cast Rate</t>
        </is>
      </c>
      <c r="B3210">
        <f>IF(AND(Inputs!$B$39&lt;&gt;"pvp",Inputs!$B$44&gt;0),SUMPRODUCT((Skills!E2:E31=TRUE)*(C3175:C3204=TRUE)*R3175:R3204*Skills!F2:F31)/Inputs!$B$44,SUMPRODUCT((Skills!E2:E31=TRUE)*(C3175:C3204=TRUE)*Q3175:Q3204*Skills!F2:F31))</f>
        <v/>
      </c>
    </row>
    <row r="3211">
      <c r="A3211" t="inlineStr">
        <is>
          <t>Showdown Casts Per Second</t>
        </is>
      </c>
      <c r="B3211">
        <f>MAX(0,B3209-B3210)</f>
        <v/>
      </c>
    </row>
    <row r="3212">
      <c r="A3212" t="inlineStr">
        <is>
          <t>Average Buff Multiplier</t>
        </is>
      </c>
      <c r="B3212">
        <f>(1+(((C3194=TRUE)*F3194*IF(AND(Inputs!$B$39&lt;&gt;"pvp",Inputs!$B$44&gt;0),(((R3194-1)*(Skills!Y21*(1+Inputs!$B$34/100))+MIN((Skills!Y21*(1+Inputs!$B$34/100)),MAX(0,Inputs!$B$44-((R3194-1)*Skills!D21))))/Inputs!$B$44),IF(Inputs!$B$39="pvp",MIN((Skills!Y21*(1+Inputs!$B$34/100)),15)/15,(Skills!Y21*(1+Inputs!$B$34/100))/Skills!D21)))+((C3201=TRUE)*(F3201-Calc!F28))+((C3191=TRUE)*(F3191-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3188=TRUE)*F3188*IF(AND(Inputs!$B$39&lt;&gt;"pvp",Inputs!$B$44&gt;0),(((R3188-1)*(Skills!Y15*(1+Inputs!$B$34/100))+MIN((Skills!Y15*(1+Inputs!$B$34/100)),MAX(0,Inputs!$B$44-((R3188-1)*Skills!D15))))/Inputs!$B$44),IF(Inputs!$B$39="pvp",MIN((Skills!Y15*(1+Inputs!$B$34/100)),15)/15,(Skills!Y15*(1+Inputs!$B$34/100))/Skills!D15)))/100)*(1+((C3179=TRUE)*F3179*B3207)/100)</f>
        <v/>
      </c>
    </row>
    <row r="3213">
      <c r="A3213" t="inlineStr">
        <is>
          <t>Global Crit Rate Bonus %</t>
        </is>
      </c>
      <c r="B3213">
        <f>IF(Inputs!$B$3&gt;=47,8,0)+((C3193=TRUE)*F3193*IF(AND(Inputs!$B$39&lt;&gt;"pvp",Inputs!$B$44&gt;0),(((R3193-1)*(Skills!Y20*(1+Inputs!$B$34/100))+MIN((Skills!Y20*(1+Inputs!$B$34/100)),MAX(0,Inputs!$B$44-((R3193-1)*Skills!D20))))/Inputs!$B$44),IF(Inputs!$B$39="pvp",MIN((Skills!Y20*(1+Inputs!$B$34/100)),15)/15,(Skills!Y20*(1+Inputs!$B$34/100))/Skills!D20)))</f>
        <v/>
      </c>
    </row>
    <row r="3214">
      <c r="A3214" t="inlineStr">
        <is>
          <t>Global Monster Damage-Taken Bonus %</t>
        </is>
      </c>
      <c r="B3214">
        <f>IF(Inputs!$B$3&gt;=82,15,0)+((C3189=TRUE)*F3189*IF(AND(Inputs!$B$39&lt;&gt;"pvp",Inputs!$B$44&gt;0),(((R3189-1)*(Skills!Y16*(1+Inputs!$B$34/100))+MIN((Skills!Y16*(1+Inputs!$B$34/100)),MAX(0,Inputs!$B$44-((R3189-1)*Skills!D16))))/Inputs!$B$44),IF(Inputs!$B$39="pvp",MIN((Skills!Y16*(1+Inputs!$B$34/100)),15)/15,(Skills!Y16*(1+Inputs!$B$34/100))/Skills!D16)))</f>
        <v/>
      </c>
    </row>
    <row r="3215">
      <c r="A3215" t="inlineStr">
        <is>
          <t>Shadow Partner Average Multiplier</t>
        </is>
      </c>
      <c r="B3215">
        <f>1+((C3184=TRUE)*F3184*I3184*Skills!J11/100)/100</f>
        <v/>
      </c>
    </row>
    <row r="3216">
      <c r="A3216" t="inlineStr">
        <is>
          <t>Global Critical Damage Bonus % (Frailty Curse Mastery Lv.111)</t>
        </is>
      </c>
      <c r="B3216">
        <f>IF(Inputs!$B$3&gt;=111,30,0)*IF(AND(Inputs!$B$39&lt;&gt;"pvp",Inputs!$B$44&gt;0),(((R3189-1)*(Skills!Y16*(1+Inputs!$B$34/100))+MIN((Skills!Y16*(1+Inputs!$B$34/100)),MAX(0,Inputs!$B$44-((R3189-1)*Skills!D16))))/Inputs!$B$44),IF(Inputs!$B$39="pvp",MIN((Skills!Y16*(1+Inputs!$B$34/100)),15)/15,(Skills!Y16*(1+Inputs!$B$34/100))/Skills!D16))</f>
        <v/>
      </c>
    </row>
    <row r="3217">
      <c r="A3217" s="6" t="inlineStr">
        <is>
          <t>TOTAL DPS</t>
        </is>
      </c>
      <c r="B3217" s="6">
        <f>SUM(O3175:O3204)</f>
        <v/>
      </c>
    </row>
    <row r="3218">
      <c r="A3218" t="inlineStr">
        <is>
          <t>Buff-Casting Startup Delay (s, fixed-duration only)</t>
        </is>
      </c>
      <c r="B3218">
        <f>IF(AND(Inputs!$B$39&lt;&gt;"pvp",Inputs!$B$44&gt;0),SUMPRODUCT((Skills!Y2:Y31&gt;0)*(Skills!E2:E31=TRUE)*(C3175:C3204=TRUE))/B3209,0)</f>
        <v/>
      </c>
    </row>
    <row r="3219">
      <c r="A3219" t="inlineStr">
        <is>
          <t>Boss-Only Total DPS (this block's swept value)</t>
        </is>
      </c>
      <c r="B3219">
        <f>SUM(T3175:T3204)</f>
        <v/>
      </c>
    </row>
    <row r="3220">
      <c r="A3220" t="inlineStr">
        <is>
          <t>Normal-Only Total DPS (this block's swept value)</t>
        </is>
      </c>
      <c r="B3220">
        <f>SUM(V3175:V3204)</f>
        <v/>
      </c>
    </row>
    <row r="3222">
      <c r="A3222" s="6" t="inlineStr">
        <is>
          <t>Stat: CDR = 1.0s</t>
        </is>
      </c>
    </row>
    <row r="3223">
      <c r="A3223" s="5" t="inlineStr">
        <is>
          <t>Key</t>
        </is>
      </c>
      <c r="B3223" s="5" t="inlineStr">
        <is>
          <t>Name</t>
        </is>
      </c>
      <c r="C3223" s="5" t="inlineStr">
        <is>
          <t>Unlocked</t>
        </is>
      </c>
      <c r="D3223" s="5" t="inlineStr">
        <is>
          <t>InputLevel</t>
        </is>
      </c>
      <c r="E3223" s="5" t="inlineStr">
        <is>
          <t>Factor</t>
        </is>
      </c>
      <c r="F3223" s="5" t="inlineStr">
        <is>
          <t>CoefficientPercent</t>
        </is>
      </c>
      <c r="G3223" s="5" t="inlineStr">
        <is>
          <t>EffectiveHits</t>
        </is>
      </c>
      <c r="H3223" s="5" t="inlineStr">
        <is>
          <t>ProcProbability</t>
        </is>
      </c>
      <c r="I3223" s="5" t="inlineStr">
        <is>
          <t>MapleHeroMultiplier</t>
        </is>
      </c>
      <c r="J3223" s="5" t="inlineStr">
        <is>
          <t>BaseDamage</t>
        </is>
      </c>
      <c r="K3223" s="5" t="inlineStr">
        <is>
          <t>BaseHitDamage</t>
        </is>
      </c>
      <c r="L3223" s="5" t="inlineStr">
        <is>
          <t>NonCritAvg</t>
        </is>
      </c>
      <c r="M3223" s="5" t="inlineStr">
        <is>
          <t>CritAvg</t>
        </is>
      </c>
      <c r="N3223" s="5" t="inlineStr">
        <is>
          <t>ExpectedDamage(perHit)</t>
        </is>
      </c>
      <c r="O3223" s="5" t="inlineStr">
        <is>
          <t>DPS</t>
        </is>
      </c>
      <c r="P3223" s="5" t="inlineStr">
        <is>
          <t>% of Total</t>
        </is>
      </c>
      <c r="Q3223" s="5" t="inlineStr">
        <is>
          <t>InvCooldown</t>
        </is>
      </c>
      <c r="R3223" s="5" t="inlineStr">
        <is>
          <t>CastsInFight</t>
        </is>
      </c>
      <c r="S3223" s="5" t="inlineStr">
        <is>
          <t>HitRate(perSec)</t>
        </is>
      </c>
      <c r="U3223" t="inlineStr">
        <is>
          <t>helpers</t>
        </is>
      </c>
    </row>
    <row r="3224">
      <c r="A3224">
        <f>Skills!A2</f>
        <v/>
      </c>
      <c r="B3224">
        <f>Skills!B2</f>
        <v/>
      </c>
      <c r="C3224">
        <f>Inputs!$B$3&gt;=100</f>
        <v/>
      </c>
      <c r="D3224" t="inlineStr"/>
      <c r="E3224" t="inlineStr"/>
      <c r="F3224">
        <f>U3228+Skills!O2</f>
        <v/>
      </c>
      <c r="G3224">
        <f>Calc!G2</f>
        <v/>
      </c>
      <c r="H3224">
        <f>Calc!H2</f>
        <v/>
      </c>
      <c r="I3224">
        <f>IF(Skills!AA2&lt;&gt;"",1+(Skills!AA2/10)*(U3225/1000)/100,1)</f>
        <v/>
      </c>
      <c r="J3224">
        <f>((Inputs!$B$6*(1+Inputs!$B$7/100))+(((Inputs!$B$12*(1+Inputs!$B$13/100))-(Inputs!$B$12*(1+Inputs!$B$13/100)))+0.25*(Inputs!$B$14-Inputs!$B$14))*(1+Inputs!$B$7/100))*(F3224/100)</f>
        <v/>
      </c>
      <c r="K3224">
        <f>J3224*(1+((Inputs!$B$12*(1+Inputs!$B$13/100))*0.01+Inputs!$B$14*0.0025)/100)*(1+Inputs!$B$15/100)*(1+Inputs!$B$16/100)*(5000/(6000+Inputs!$B$43*(1-(100*(1-(1-(Inputs!$B$19+0)/100)*(1-CHOOSE(ArtifactsInput!$N$40+1,5,6,7,8,9,10)/100)^(ArtifactsInput!$M$40-ArtifactsInput!$M$40)))/100)))*(1+(Inputs!$B$24+((C3252=TRUE)*(F3252-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3245=TRUE)*(F3245-Calc!F23))+(((IF(AND(ArtifactsInput!$M$42,((Inputs!$B$9+((C3247=TRUE)*(F3247-Calc!F25))+B3262+(ArtifactsInput!$M$24-ArtifactsInput!$M$24)*CHOOSE(ArtifactsInput!$N$24+1,10,12,14,16,18,20)+IF(ArtifactsInput!$M$10,CHOOSE(ArtifactsInput!$N$10+1,15,18,21,24,27,30)*(IF(Inputs!$B$39="pvp",MIN(15,15)/15,IF(AND(Inputs!$B$39&lt;&gt;"pvp",Inputs!$B$44&gt;0),MIN(15,Inputs!$B$44)/(Inputs!$B$44),0))),0)))&gt;=100),MIN(100,((Inputs!$B$9+((C3247=TRUE)*(F3247-Calc!F25))+B3262+(ArtifactsInput!$M$24-ArtifactsInput!$M$24)*CHOOSE(ArtifactsInput!$N$24+1,10,12,14,16,18,20)+IF(ArtifactsInput!$M$10,CHOOSE(ArtifactsInput!$N$10+1,15,18,21,24,27,30)*(IF(Inputs!$B$39="pvp",MIN(15,15)/15,IF(AND(Inputs!$B$39&lt;&gt;"pvp",Inputs!$B$44&gt;0),MIN(15,Inputs!$B$44)/(Inputs!$B$44),0))),0)))-100),0))*CHOOSE(ArtifactsInput!$N$42+1,0.6,0.72,0.84,0.96,1.08,1.2))),Inputs!$B$18+((C3251=TRUE)*(F3251-Calc!F29))+(IF(AND(ArtifactsInput!$M$42,((Inputs!$B$9+((C3247=TRUE)*(F3247-Calc!F25))+B3262+(ArtifactsInput!$M$24-ArtifactsInput!$M$24)*CHOOSE(ArtifactsInput!$N$24+1,10,12,14,16,18,20)+IF(ArtifactsInput!$M$10,CHOOSE(ArtifactsInput!$N$10+1,15,18,21,24,27,30)*(IF(Inputs!$B$39="pvp",MIN(15,15)/15,IF(AND(Inputs!$B$39&lt;&gt;"pvp",Inputs!$B$44&gt;0),MIN(15,Inputs!$B$44)/(Inputs!$B$44),0))),0)))&gt;=100),CHOOSE(ArtifactsInput!$N$42+1,40,48,56,64,72,80),0))))/100)*(((1+(((C3243=TRUE)*F3243*IF(AND(Inputs!$B$39&lt;&gt;"pvp",Inputs!$B$44&gt;0),(((R3243-1)*(Skills!Y21*(1+Inputs!$B$34/100))+MIN((Skills!Y21*(1+Inputs!$B$34/100)),MAX(0,Inputs!$B$44-((R3243-1)*Skills!D21))))/Inputs!$B$44),IF(Inputs!$B$39="pvp",MIN((Skills!Y21*(1+Inputs!$B$34/100)),15)/15,(Skills!Y21*(1+Inputs!$B$34/100))/Skills!D21)))+((C3250=TRUE)*(F3250-Calc!F28))+((C3240=TRUE)*(F3240-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3237=TRUE)*F3237*IF(AND(Inputs!$B$39&lt;&gt;"pvp",Inputs!$B$44&gt;0),(((R3237-1)*(Skills!Y15*(1+Inputs!$B$34/100))+MIN((Skills!Y15*(1+Inputs!$B$34/100)),MAX(0,Inputs!$B$44-((R3237-1)*Skills!D15))))/Inputs!$B$44),IF(Inputs!$B$39="pvp",MIN((Skills!Y15*(1+Inputs!$B$34/100)),15)/15,(Skills!Y15*(1+Inputs!$B$34/100))/Skills!D15)))/100)*(1+((C3228=TRUE)*F3228*B3256)/100))*B3264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3224)</f>
        <v/>
      </c>
      <c r="L3224">
        <f>K3224*(MIN(Inputs!$B$22+((C3246=TRUE)*(F3246-Calc!F24)),(Inputs!$B$23+0+(IF(ArtifactsInput!$M$15,CHOOSE(ArtifactsInput!$N$15+1,25,30,35,40,45,50)/100*(Inputs!$B$11-Inputs!$B$11),0))))/100+(Inputs!$B$23+0+(IF(ArtifactsInput!$M$15,CHOOSE(ArtifactsInput!$N$15+1,25,30,35,40,45,50)/100*(Inputs!$B$11-Inputs!$B$11),0)))/100)/2</f>
        <v/>
      </c>
      <c r="M3224">
        <f>L3224*(1+(Inputs!$B$10+((C3248=TRUE)*(F3248-Calc!F26))+B3265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24">
        <f>L3224*(1-MIN((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3224*(MIN((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24">
        <f>(1-Summary!$B$11)*T3224+Summary!$B$11*V3224</f>
        <v/>
      </c>
      <c r="P3224">
        <f>IF(B3266=0,0,O3224/B3266)</f>
        <v/>
      </c>
      <c r="Q3224" t="n">
        <v>0</v>
      </c>
      <c r="R3224" t="n">
        <v>0</v>
      </c>
      <c r="S3224">
        <f>IFERROR(O3224/N3224,0)</f>
        <v/>
      </c>
      <c r="T3224">
        <f>IF(C3224,(Skills!G2*N3224*B3260)*IF(Inputs!$B$39="pvp",1,1+(Inputs!$B$20+((C3249=TRUE)*(F3249-Calc!F27))+Skills!P2+B3263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Hunt"),CHOOSE(ArtifactsInput!$N$35+1,15,18,21,24,27,30)*(1-EXP(-(0.2*B3258)*5)),0)+IF(AND(ArtifactsInput!$M$22,Inputs!$B$4&lt;&gt;"Chapter Hunt"),CHOOSE(ArtifactsInput!$N$22+1,10,12,14,16,18,20)*((0*(((0.15*B3258*5))^0/1)+1*(((0.15*B3258*5))^1/1)+2*(((0.15*B3258*5))^2/2)+3*(((0.15*B3258*5))^3/6)+4*(((0.15*B3258*5))^4/24)+5*(((0.15*B3258*5))^5/120))/((((0.15*B3258*5))^0/1)+(((0.15*B3258*5))^1/1)+(((0.15*B3258*5))^2/2)+(((0.15*B3258*5))^3/6)+(((0.15*B3258*5))^4/24)+(((0.15*B3258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3224*(1-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3224*(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3224*(1-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3224*(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24">
        <f>MAX(0,(Inputs!$B$3-100)*3)+Inputs!$B$28+Inputs!$B$29</f>
        <v/>
      </c>
      <c r="V3224">
        <f>IF(C3224,(Skills!G2*N3224*B3260)*IF(Inputs!$B$39="pvp",1,(1+(Inputs!$B$21+Skills!Q2+B3263+(IF(ArtifactsInput!$M$33,CHOOSE(ArtifactsInput!$N$33+1,30,36,42,48,54,60),0))+(IF(AND(ArtifactsInput!$M$35,Inputs!$B$4&lt;&gt;"Chapter Hunt"),CHOOSE(ArtifactsInput!$N$35+1,15,18,21,24,27,30)*(1-EXP(-(0.2*B3258)*5)),0)+IF(AND(ArtifactsInput!$M$22,Inputs!$B$4&lt;&gt;"Chapter Hunt"),CHOOSE(ArtifactsInput!$N$22+1,10,12,14,16,18,20)*((0*(((0.15*B3258*5))^0/1)+1*(((0.15*B3258*5))^1/1)+2*(((0.15*B3258*5))^2/2)+3*(((0.15*B3258*5))^3/6)+4*(((0.15*B3258*5))^4/24)+5*(((0.15*B3258*5))^5/120))/((((0.15*B3258*5))^0/1)+(((0.15*B3258*5))^1/1)+(((0.15*B3258*5))^2/2)+(((0.15*B3258*5))^3/6)+(((0.15*B3258*5))^4/24)+(((0.15*B3258*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25">
      <c r="A3225">
        <f>Skills!A3</f>
        <v/>
      </c>
      <c r="B3225">
        <f>Skills!B3</f>
        <v/>
      </c>
      <c r="C3225">
        <f>Inputs!$B$3&gt;=35</f>
        <v/>
      </c>
      <c r="D3225">
        <f>IF(Skills!C3=1,60+Inputs!$B$25+Inputs!$B$29,IF(Skills!C3=2,90+Inputs!$B$26+Inputs!$B$29,IF(Skills!C3=3,120+Inputs!$B$27+Inputs!$B$29,MAX(0,(Inputs!$B$3-100)*3)+Inputs!$B$28+Inputs!$B$29)))</f>
        <v/>
      </c>
      <c r="E3225">
        <f>INDEX(FactorTable!$B$2:$Y$301, MATCH(ROUND(MIN(300,MAX(1,D3225)),0), FactorTable!$A$2:$A$301,0), Skills!M3+1)</f>
        <v/>
      </c>
      <c r="F3225">
        <f>IF(Skills!N3=TRUE,(Skills!L3/10)*(E3225/1000),Skills!L3/10)+Skills!O3</f>
        <v/>
      </c>
      <c r="G3225">
        <f>Calc!G3</f>
        <v/>
      </c>
      <c r="H3225">
        <f>Calc!H3</f>
        <v/>
      </c>
      <c r="I3225">
        <f>IF(Skills!AA3&lt;&gt;"",1+(Skills!AA3/10)*(U3225/1000)/100,1)</f>
        <v/>
      </c>
      <c r="J3225">
        <f>((Inputs!$B$6*(1+Inputs!$B$7/100))+(((Inputs!$B$12*(1+Inputs!$B$13/100))-(Inputs!$B$12*(1+Inputs!$B$13/100)))+0.25*(Inputs!$B$14-Inputs!$B$14))*(1+Inputs!$B$7/100))*(F3225/100)</f>
        <v/>
      </c>
      <c r="K3225">
        <f>J3225*(1+((Inputs!$B$12*(1+Inputs!$B$13/100))*0.01+Inputs!$B$14*0.0025)/100)*(1+Inputs!$B$15/100)*(1+Inputs!$B$16/100)*(5000/(6000+Inputs!$B$43*(1-(100*(1-(1-(Inputs!$B$19+0)/100)*(1-CHOOSE(ArtifactsInput!$N$40+1,5,6,7,8,9,10)/100)^(ArtifactsInput!$M$40-ArtifactsInput!$M$40)))/100)))*(1+(Inputs!$B$24+((C3252=TRUE)*(F3252-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3245=TRUE)*(F3245-Calc!F23))+(((IF(AND(ArtifactsInput!$M$42,((Inputs!$B$9+((C3247=TRUE)*(F3247-Calc!F25))+B3262+(ArtifactsInput!$M$24-ArtifactsInput!$M$24)*CHOOSE(ArtifactsInput!$N$24+1,10,12,14,16,18,20)+IF(ArtifactsInput!$M$10,CHOOSE(ArtifactsInput!$N$10+1,15,18,21,24,27,30)*(IF(Inputs!$B$39="pvp",MIN(15,15)/15,IF(AND(Inputs!$B$39&lt;&gt;"pvp",Inputs!$B$44&gt;0),MIN(15,Inputs!$B$44)/(Inputs!$B$44),0))),0)))&gt;=100),MIN(100,((Inputs!$B$9+((C3247=TRUE)*(F3247-Calc!F25))+B3262+(ArtifactsInput!$M$24-ArtifactsInput!$M$24)*CHOOSE(ArtifactsInput!$N$24+1,10,12,14,16,18,20)+IF(ArtifactsInput!$M$10,CHOOSE(ArtifactsInput!$N$10+1,15,18,21,24,27,30)*(IF(Inputs!$B$39="pvp",MIN(15,15)/15,IF(AND(Inputs!$B$39&lt;&gt;"pvp",Inputs!$B$44&gt;0),MIN(15,Inputs!$B$44)/(Inputs!$B$44),0))),0)))-100),0))*CHOOSE(ArtifactsInput!$N$42+1,0.6,0.72,0.84,0.96,1.08,1.2))),Inputs!$B$18+((C3251=TRUE)*(F3251-Calc!F29))+(IF(AND(ArtifactsInput!$M$42,((Inputs!$B$9+((C3247=TRUE)*(F3247-Calc!F25))+B3262+(ArtifactsInput!$M$24-ArtifactsInput!$M$24)*CHOOSE(ArtifactsInput!$N$24+1,10,12,14,16,18,20)+IF(ArtifactsInput!$M$10,CHOOSE(ArtifactsInput!$N$10+1,15,18,21,24,27,30)*(IF(Inputs!$B$39="pvp",MIN(15,15)/15,IF(AND(Inputs!$B$39&lt;&gt;"pvp",Inputs!$B$44&gt;0),MIN(15,Inputs!$B$44)/(Inputs!$B$44),0))),0)))&gt;=100),CHOOSE(ArtifactsInput!$N$42+1,40,48,56,64,72,80),0))))/100)*(((1+(((C3243=TRUE)*F3243*IF(AND(Inputs!$B$39&lt;&gt;"pvp",Inputs!$B$44&gt;0),(((R3243-1)*(Skills!Y21*(1+Inputs!$B$34/100))+MIN((Skills!Y21*(1+Inputs!$B$34/100)),MAX(0,Inputs!$B$44-((R3243-1)*Skills!D21))))/Inputs!$B$44),IF(Inputs!$B$39="pvp",MIN((Skills!Y21*(1+Inputs!$B$34/100)),15)/15,(Skills!Y21*(1+Inputs!$B$34/100))/Skills!D21)))+((C3250=TRUE)*(F3250-Calc!F28))+((C3240=TRUE)*(F3240-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3237=TRUE)*F3237*IF(AND(Inputs!$B$39&lt;&gt;"pvp",Inputs!$B$44&gt;0),(((R3237-1)*(Skills!Y15*(1+Inputs!$B$34/100))+MIN((Skills!Y15*(1+Inputs!$B$34/100)),MAX(0,Inputs!$B$44-((R3237-1)*Skills!D15))))/Inputs!$B$44),IF(Inputs!$B$39="pvp",MIN((Skills!Y15*(1+Inputs!$B$34/100)),15)/15,(Skills!Y15*(1+Inputs!$B$34/100))/Skills!D15)))/100)*(1+((C3228=TRUE)*F3228*B3256)/100))*B3264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3225)</f>
        <v/>
      </c>
      <c r="L3225">
        <f>K3225*(MIN(Inputs!$B$22+((C3246=TRUE)*(F3246-Calc!F24)),(Inputs!$B$23+0+(IF(ArtifactsInput!$M$15,CHOOSE(ArtifactsInput!$N$15+1,25,30,35,40,45,50)/100*(Inputs!$B$11-Inputs!$B$11),0))))/100+(Inputs!$B$23+0+(IF(ArtifactsInput!$M$15,CHOOSE(ArtifactsInput!$N$15+1,25,30,35,40,45,50)/100*(Inputs!$B$11-Inputs!$B$11),0)))/100)/2</f>
        <v/>
      </c>
      <c r="M3225">
        <f>L3225*(1+(Inputs!$B$10+((C3248=TRUE)*(F3248-Calc!F26))+B3265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25">
        <f>L3225*(1-MIN((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3225*(MIN((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25">
        <f>(1-Summary!$B$11)*T3225+Summary!$B$11*V3225</f>
        <v/>
      </c>
      <c r="P3225">
        <f>IF(B3266=0,0,O3225/B3266)</f>
        <v/>
      </c>
      <c r="Q3225">
        <f>IFERROR(1/IF(Inputs!$B$39="pvp",15,MAX(0.1,Skills!D3-IF(Skills!E3=TRUE,1.0,0))),0)</f>
        <v/>
      </c>
      <c r="R3225">
        <f>IF(AND(Inputs!$B$39&lt;&gt;"pvp",Inputs!$B$44&gt;0),IF(MAX(0,Inputs!$B$44-B3267)&lt;=0,0,(INT(MAX(0,Inputs!$B$44-B3267)/IF(Inputs!$B$39="pvp",15,MAX(0.1,Skills!D3-IF(Skills!E3=TRUE,1.0,0))))+1)),0)</f>
        <v/>
      </c>
      <c r="S3225">
        <f>IFERROR(O3225/N3225,0)</f>
        <v/>
      </c>
      <c r="T3225">
        <f>IF(C3225,(H3225*N3225*IF(AND(Inputs!$B$39&lt;&gt;"pvp",Inputs!$B$44&gt;0),((Skills!G3*((R3225-1)*IF(Skills!H3&gt;0,Skills!I3/Skills!H3,1)+IF(Skills!H3&gt;0,MIN(Skills!I3,MAX(0,MAX(0,Inputs!$B$44-B3267)-((R3225-1)*IF(Inputs!$B$39="pvp",15,MAX(0.1,Skills!D3-IF(Skills!E3=TRUE,1.0,0))))))/Skills!H3,1)))/Inputs!$B$44),G3225*Q3225))*IF(Inputs!$B$39="pvp",1,1+(Inputs!$B$20+((C3249=TRUE)*(F3249-Calc!F27))+Skills!P3+B3263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Hunt"),CHOOSE(ArtifactsInput!$N$35+1,15,18,21,24,27,30)*(1-EXP(-(0.2*B3258)*5)),0)+IF(AND(ArtifactsInput!$M$22,Inputs!$B$4&lt;&gt;"Chapter Hunt"),CHOOSE(ArtifactsInput!$N$22+1,10,12,14,16,18,20)*((0*(((0.15*B3258*5))^0/1)+1*(((0.15*B3258*5))^1/1)+2*(((0.15*B3258*5))^2/2)+3*(((0.15*B3258*5))^3/6)+4*(((0.15*B3258*5))^4/24)+5*(((0.15*B3258*5))^5/120))/((((0.15*B3258*5))^0/1)+(((0.15*B3258*5))^1/1)+(((0.15*B3258*5))^2/2)+(((0.15*B3258*5))^3/6)+(((0.15*B3258*5))^4/24)+(((0.15*B3258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3225*(1-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3225*(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3225*(1-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3225*(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25">
        <f>INDEX(FactorTable!$B$2:$Y$301, MATCH(ROUND(MIN(300,MAX(1,U3224)),0), FactorTable!$A$2:$A$301,0), 24)</f>
        <v/>
      </c>
      <c r="V3225">
        <f>IF(C3225,(H3225*N3225*IF(AND(Inputs!$B$39&lt;&gt;"pvp",Inputs!$B$44&gt;0),((Skills!G3*((R3225-1)*IF(Skills!H3&gt;0,Skills!I3/Skills!H3,1)+IF(Skills!H3&gt;0,MIN(Skills!I3,MAX(0,MAX(0,Inputs!$B$44-B3267)-((R3225-1)*IF(Inputs!$B$39="pvp",15,MAX(0.1,Skills!D3-IF(Skills!E3=TRUE,1.0,0))))))/Skills!H3,1)))/Inputs!$B$44),G3225*Q3225))*IF(Inputs!$B$39="pvp",1,(1+(Inputs!$B$21+Skills!Q3+B3263+(IF(ArtifactsInput!$M$33,CHOOSE(ArtifactsInput!$N$33+1,30,36,42,48,54,60),0))+(IF(AND(ArtifactsInput!$M$35,Inputs!$B$4&lt;&gt;"Chapter Hunt"),CHOOSE(ArtifactsInput!$N$35+1,15,18,21,24,27,30)*(1-EXP(-(0.2*B3258)*5)),0)+IF(AND(ArtifactsInput!$M$22,Inputs!$B$4&lt;&gt;"Chapter Hunt"),CHOOSE(ArtifactsInput!$N$22+1,10,12,14,16,18,20)*((0*(((0.15*B3258*5))^0/1)+1*(((0.15*B3258*5))^1/1)+2*(((0.15*B3258*5))^2/2)+3*(((0.15*B3258*5))^3/6)+4*(((0.15*B3258*5))^4/24)+5*(((0.15*B3258*5))^5/120))/((((0.15*B3258*5))^0/1)+(((0.15*B3258*5))^1/1)+(((0.15*B3258*5))^2/2)+(((0.15*B3258*5))^3/6)+(((0.15*B3258*5))^4/24)+(((0.15*B3258*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26">
      <c r="A3226">
        <f>Skills!A4</f>
        <v/>
      </c>
      <c r="B3226">
        <f>Skills!B4</f>
        <v/>
      </c>
      <c r="C3226">
        <f>Inputs!$B$3&gt;=40</f>
        <v/>
      </c>
      <c r="D3226">
        <f>IF(Skills!C4=1,60+Inputs!$B$25+Inputs!$B$29,IF(Skills!C4=2,90+Inputs!$B$26+Inputs!$B$29,IF(Skills!C4=3,120+Inputs!$B$27+Inputs!$B$29,MAX(0,(Inputs!$B$3-100)*3)+Inputs!$B$28+Inputs!$B$29)))</f>
        <v/>
      </c>
      <c r="E3226">
        <f>INDEX(FactorTable!$B$2:$Y$301, MATCH(ROUND(MIN(300,MAX(1,D3226)),0), FactorTable!$A$2:$A$301,0), Skills!M4+1)</f>
        <v/>
      </c>
      <c r="F3226">
        <f>IF(Skills!N4=TRUE,(Skills!L4/10)*(E3226/1000),Skills!L4/10)+Skills!O4</f>
        <v/>
      </c>
      <c r="G3226">
        <f>Calc!G4</f>
        <v/>
      </c>
      <c r="H3226">
        <f>Calc!H4</f>
        <v/>
      </c>
      <c r="I3226">
        <f>IF(Skills!AA4&lt;&gt;"",1+(Skills!AA4/10)*(U3225/1000)/100,1)</f>
        <v/>
      </c>
      <c r="J3226">
        <f>((Inputs!$B$6*(1+Inputs!$B$7/100))+(((Inputs!$B$12*(1+Inputs!$B$13/100))-(Inputs!$B$12*(1+Inputs!$B$13/100)))+0.25*(Inputs!$B$14-Inputs!$B$14))*(1+Inputs!$B$7/100))*(F3226/100)</f>
        <v/>
      </c>
      <c r="K3226">
        <f>J3226*(1+((Inputs!$B$12*(1+Inputs!$B$13/100))*0.01+Inputs!$B$14*0.0025)/100)*(1+Inputs!$B$15/100)*(1+Inputs!$B$16/100)*(5000/(6000+Inputs!$B$43*(1-(100*(1-(1-(Inputs!$B$19+0)/100)*(1-CHOOSE(ArtifactsInput!$N$40+1,5,6,7,8,9,10)/100)^(ArtifactsInput!$M$40-ArtifactsInput!$M$40)))/100)))*(1+(Inputs!$B$24+((C3252=TRUE)*(F3252-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3245=TRUE)*(F3245-Calc!F23))+(((IF(AND(ArtifactsInput!$M$42,((Inputs!$B$9+((C3247=TRUE)*(F3247-Calc!F25))+B3262+(ArtifactsInput!$M$24-ArtifactsInput!$M$24)*CHOOSE(ArtifactsInput!$N$24+1,10,12,14,16,18,20)+IF(ArtifactsInput!$M$10,CHOOSE(ArtifactsInput!$N$10+1,15,18,21,24,27,30)*(IF(Inputs!$B$39="pvp",MIN(15,15)/15,IF(AND(Inputs!$B$39&lt;&gt;"pvp",Inputs!$B$44&gt;0),MIN(15,Inputs!$B$44)/(Inputs!$B$44),0))),0)))&gt;=100),MIN(100,((Inputs!$B$9+((C3247=TRUE)*(F3247-Calc!F25))+B3262+(ArtifactsInput!$M$24-ArtifactsInput!$M$24)*CHOOSE(ArtifactsInput!$N$24+1,10,12,14,16,18,20)+IF(ArtifactsInput!$M$10,CHOOSE(ArtifactsInput!$N$10+1,15,18,21,24,27,30)*(IF(Inputs!$B$39="pvp",MIN(15,15)/15,IF(AND(Inputs!$B$39&lt;&gt;"pvp",Inputs!$B$44&gt;0),MIN(15,Inputs!$B$44)/(Inputs!$B$44),0))),0)))-100),0))*CHOOSE(ArtifactsInput!$N$42+1,0.6,0.72,0.84,0.96,1.08,1.2))),Inputs!$B$18+((C3251=TRUE)*(F3251-Calc!F29))+(IF(AND(ArtifactsInput!$M$42,((Inputs!$B$9+((C3247=TRUE)*(F3247-Calc!F25))+B3262+(ArtifactsInput!$M$24-ArtifactsInput!$M$24)*CHOOSE(ArtifactsInput!$N$24+1,10,12,14,16,18,20)+IF(ArtifactsInput!$M$10,CHOOSE(ArtifactsInput!$N$10+1,15,18,21,24,27,30)*(IF(Inputs!$B$39="pvp",MIN(15,15)/15,IF(AND(Inputs!$B$39&lt;&gt;"pvp",Inputs!$B$44&gt;0),MIN(15,Inputs!$B$44)/(Inputs!$B$44),0))),0)))&gt;=100),CHOOSE(ArtifactsInput!$N$42+1,40,48,56,64,72,80),0))))/100)*(((1+(((C3243=TRUE)*F3243*IF(AND(Inputs!$B$39&lt;&gt;"pvp",Inputs!$B$44&gt;0),(((R3243-1)*(Skills!Y21*(1+Inputs!$B$34/100))+MIN((Skills!Y21*(1+Inputs!$B$34/100)),MAX(0,Inputs!$B$44-((R3243-1)*Skills!D21))))/Inputs!$B$44),IF(Inputs!$B$39="pvp",MIN((Skills!Y21*(1+Inputs!$B$34/100)),15)/15,(Skills!Y21*(1+Inputs!$B$34/100))/Skills!D21)))+((C3250=TRUE)*(F3250-Calc!F28))+((C3240=TRUE)*(F3240-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3237=TRUE)*F3237*IF(AND(Inputs!$B$39&lt;&gt;"pvp",Inputs!$B$44&gt;0),(((R3237-1)*(Skills!Y15*(1+Inputs!$B$34/100))+MIN((Skills!Y15*(1+Inputs!$B$34/100)),MAX(0,Inputs!$B$44-((R3237-1)*Skills!D15))))/Inputs!$B$44),IF(Inputs!$B$39="pvp",MIN((Skills!Y15*(1+Inputs!$B$34/100)),15)/15,(Skills!Y15*(1+Inputs!$B$34/100))/Skills!D15)))/100)*(1+((C3228=TRUE)*F3228*B3256)/100))*B3264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3226)</f>
        <v/>
      </c>
      <c r="L3226">
        <f>K3226*(MIN(Inputs!$B$22+((C3246=TRUE)*(F3246-Calc!F24)),(Inputs!$B$23+0+(IF(ArtifactsInput!$M$15,CHOOSE(ArtifactsInput!$N$15+1,25,30,35,40,45,50)/100*(Inputs!$B$11-Inputs!$B$11),0))))/100+(Inputs!$B$23+0+(IF(ArtifactsInput!$M$15,CHOOSE(ArtifactsInput!$N$15+1,25,30,35,40,45,50)/100*(Inputs!$B$11-Inputs!$B$11),0)))/100)/2</f>
        <v/>
      </c>
      <c r="M3226">
        <f>L3226*(1+(Inputs!$B$10+((C3248=TRUE)*(F3248-Calc!F26))+B3265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26">
        <f>L3226*(1-MIN((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3226*(MIN((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26">
        <f>(1-Summary!$B$11)*T3226+Summary!$B$11*V3226</f>
        <v/>
      </c>
      <c r="P3226">
        <f>IF(B3266=0,0,O3226/B3266)</f>
        <v/>
      </c>
      <c r="Q3226">
        <f>IFERROR(1/IF(Inputs!$B$39="pvp",15,MAX(0.1,Skills!D4-IF(Skills!E4=TRUE,1.0,0))),0)</f>
        <v/>
      </c>
      <c r="R3226">
        <f>IF(AND(Inputs!$B$39&lt;&gt;"pvp",Inputs!$B$44&gt;0),IF(MAX(0,Inputs!$B$44-B3267)&lt;=0,0,(INT(MAX(0,Inputs!$B$44-B3267)/IF(Inputs!$B$39="pvp",15,MAX(0.1,Skills!D4-IF(Skills!E4=TRUE,1.0,0))))+1)),0)</f>
        <v/>
      </c>
      <c r="S3226">
        <f>IFERROR(O3226/N3226,0)</f>
        <v/>
      </c>
      <c r="T3226">
        <f>IF(C3226,(H3226*N3226*IF(AND(Inputs!$B$39&lt;&gt;"pvp",Inputs!$B$44&gt;0),((Skills!G4*((R3226-1)*IF(Skills!H4&gt;0,Skills!I4/Skills!H4,1)+IF(Skills!H4&gt;0,MIN(Skills!I4,MAX(0,MAX(0,Inputs!$B$44-B3267)-((R3226-1)*IF(Inputs!$B$39="pvp",15,MAX(0.1,Skills!D4-IF(Skills!E4=TRUE,1.0,0))))))/Skills!H4,1)))/Inputs!$B$44),G3226*Q3226))*IF(Inputs!$B$39="pvp",1,1+(Inputs!$B$20+((C3249=TRUE)*(F3249-Calc!F27))+Skills!P4+B3263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Hunt"),CHOOSE(ArtifactsInput!$N$35+1,15,18,21,24,27,30)*(1-EXP(-(0.2*B3258)*5)),0)+IF(AND(ArtifactsInput!$M$22,Inputs!$B$4&lt;&gt;"Chapter Hunt"),CHOOSE(ArtifactsInput!$N$22+1,10,12,14,16,18,20)*((0*(((0.15*B3258*5))^0/1)+1*(((0.15*B3258*5))^1/1)+2*(((0.15*B3258*5))^2/2)+3*(((0.15*B3258*5))^3/6)+4*(((0.15*B3258*5))^4/24)+5*(((0.15*B3258*5))^5/120))/((((0.15*B3258*5))^0/1)+(((0.15*B3258*5))^1/1)+(((0.15*B3258*5))^2/2)+(((0.15*B3258*5))^3/6)+(((0.15*B3258*5))^4/24)+(((0.15*B3258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3226*(1-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3226*(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3226*(1-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3226*(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26">
        <f>MAX(0,(Inputs!$B$3-100)*3)+Inputs!$B$28+Inputs!$B$29</f>
        <v/>
      </c>
      <c r="V3226">
        <f>IF(C3226,(H3226*N3226*IF(AND(Inputs!$B$39&lt;&gt;"pvp",Inputs!$B$44&gt;0),((Skills!G4*((R3226-1)*IF(Skills!H4&gt;0,Skills!I4/Skills!H4,1)+IF(Skills!H4&gt;0,MIN(Skills!I4,MAX(0,MAX(0,Inputs!$B$44-B3267)-((R3226-1)*IF(Inputs!$B$39="pvp",15,MAX(0.1,Skills!D4-IF(Skills!E4=TRUE,1.0,0))))))/Skills!H4,1)))/Inputs!$B$44),G3226*Q3226))*IF(Inputs!$B$39="pvp",1,(1+(Inputs!$B$21+Skills!Q4+B3263+(IF(ArtifactsInput!$M$33,CHOOSE(ArtifactsInput!$N$33+1,30,36,42,48,54,60),0))+(IF(AND(ArtifactsInput!$M$35,Inputs!$B$4&lt;&gt;"Chapter Hunt"),CHOOSE(ArtifactsInput!$N$35+1,15,18,21,24,27,30)*(1-EXP(-(0.2*B3258)*5)),0)+IF(AND(ArtifactsInput!$M$22,Inputs!$B$4&lt;&gt;"Chapter Hunt"),CHOOSE(ArtifactsInput!$N$22+1,10,12,14,16,18,20)*((0*(((0.15*B3258*5))^0/1)+1*(((0.15*B3258*5))^1/1)+2*(((0.15*B3258*5))^2/2)+3*(((0.15*B3258*5))^3/6)+4*(((0.15*B3258*5))^4/24)+5*(((0.15*B3258*5))^5/120))/((((0.15*B3258*5))^0/1)+(((0.15*B3258*5))^1/1)+(((0.15*B3258*5))^2/2)+(((0.15*B3258*5))^3/6)+(((0.15*B3258*5))^4/24)+(((0.15*B3258*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27">
      <c r="A3227">
        <f>Skills!A5</f>
        <v/>
      </c>
      <c r="B3227">
        <f>Skills!B5</f>
        <v/>
      </c>
      <c r="C3227">
        <f>Inputs!$B$3&gt;=63</f>
        <v/>
      </c>
      <c r="D3227">
        <f>IF(Skills!C5=1,60+Inputs!$B$25+Inputs!$B$29,IF(Skills!C5=2,90+Inputs!$B$26+Inputs!$B$29,IF(Skills!C5=3,120+Inputs!$B$27+Inputs!$B$29,MAX(0,(Inputs!$B$3-100)*3)+Inputs!$B$28+Inputs!$B$29)))</f>
        <v/>
      </c>
      <c r="E3227">
        <f>INDEX(FactorTable!$B$2:$Y$301, MATCH(ROUND(MIN(300,MAX(1,D3227)),0), FactorTable!$A$2:$A$301,0), Skills!M5+1)</f>
        <v/>
      </c>
      <c r="F3227">
        <f>IF(Skills!N5=TRUE,(Skills!L5/10)*(E3227/1000),Skills!L5/10)+Skills!O5</f>
        <v/>
      </c>
      <c r="G3227">
        <f>Calc!G5</f>
        <v/>
      </c>
      <c r="H3227">
        <f>Calc!H5</f>
        <v/>
      </c>
      <c r="I3227">
        <f>IF(Skills!AA5&lt;&gt;"",1+(Skills!AA5/10)*(U3225/1000)/100,1)</f>
        <v/>
      </c>
      <c r="J3227">
        <f>((Inputs!$B$6*(1+Inputs!$B$7/100))+(((Inputs!$B$12*(1+Inputs!$B$13/100))-(Inputs!$B$12*(1+Inputs!$B$13/100)))+0.25*(Inputs!$B$14-Inputs!$B$14))*(1+Inputs!$B$7/100))*(F3227/100)</f>
        <v/>
      </c>
      <c r="K3227">
        <f>J3227*(1+((Inputs!$B$12*(1+Inputs!$B$13/100))*0.01+Inputs!$B$14*0.0025)/100)*(1+Inputs!$B$15/100)*(1+Inputs!$B$16/100)*(5000/(6000+Inputs!$B$43*(1-(100*(1-(1-(Inputs!$B$19+0)/100)*(1-CHOOSE(ArtifactsInput!$N$40+1,5,6,7,8,9,10)/100)^(ArtifactsInput!$M$40-ArtifactsInput!$M$40)))/100)))*(1+(Inputs!$B$24+((C3252=TRUE)*(F3252-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3245=TRUE)*(F3245-Calc!F23))+(((IF(AND(ArtifactsInput!$M$42,((Inputs!$B$9+((C3247=TRUE)*(F3247-Calc!F25))+B3262+(ArtifactsInput!$M$24-ArtifactsInput!$M$24)*CHOOSE(ArtifactsInput!$N$24+1,10,12,14,16,18,20)+IF(ArtifactsInput!$M$10,CHOOSE(ArtifactsInput!$N$10+1,15,18,21,24,27,30)*(IF(Inputs!$B$39="pvp",MIN(15,15)/15,IF(AND(Inputs!$B$39&lt;&gt;"pvp",Inputs!$B$44&gt;0),MIN(15,Inputs!$B$44)/(Inputs!$B$44),0))),0)))&gt;=100),MIN(100,((Inputs!$B$9+((C3247=TRUE)*(F3247-Calc!F25))+B3262+(ArtifactsInput!$M$24-ArtifactsInput!$M$24)*CHOOSE(ArtifactsInput!$N$24+1,10,12,14,16,18,20)+IF(ArtifactsInput!$M$10,CHOOSE(ArtifactsInput!$N$10+1,15,18,21,24,27,30)*(IF(Inputs!$B$39="pvp",MIN(15,15)/15,IF(AND(Inputs!$B$39&lt;&gt;"pvp",Inputs!$B$44&gt;0),MIN(15,Inputs!$B$44)/(Inputs!$B$44),0))),0)))-100),0))*CHOOSE(ArtifactsInput!$N$42+1,0.6,0.72,0.84,0.96,1.08,1.2))),Inputs!$B$18+((C3251=TRUE)*(F3251-Calc!F29))+(IF(AND(ArtifactsInput!$M$42,((Inputs!$B$9+((C3247=TRUE)*(F3247-Calc!F25))+B3262+(ArtifactsInput!$M$24-ArtifactsInput!$M$24)*CHOOSE(ArtifactsInput!$N$24+1,10,12,14,16,18,20)+IF(ArtifactsInput!$M$10,CHOOSE(ArtifactsInput!$N$10+1,15,18,21,24,27,30)*(IF(Inputs!$B$39="pvp",MIN(15,15)/15,IF(AND(Inputs!$B$39&lt;&gt;"pvp",Inputs!$B$44&gt;0),MIN(15,Inputs!$B$44)/(Inputs!$B$44),0))),0)))&gt;=100),CHOOSE(ArtifactsInput!$N$42+1,40,48,56,64,72,80),0))))/100)*(((1+(((C3243=TRUE)*F3243*IF(AND(Inputs!$B$39&lt;&gt;"pvp",Inputs!$B$44&gt;0),(((R3243-1)*(Skills!Y21*(1+Inputs!$B$34/100))+MIN((Skills!Y21*(1+Inputs!$B$34/100)),MAX(0,Inputs!$B$44-((R3243-1)*Skills!D21))))/Inputs!$B$44),IF(Inputs!$B$39="pvp",MIN((Skills!Y21*(1+Inputs!$B$34/100)),15)/15,(Skills!Y21*(1+Inputs!$B$34/100))/Skills!D21)))+((C3250=TRUE)*(F3250-Calc!F28))+((C3240=TRUE)*(F3240-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3237=TRUE)*F3237*IF(AND(Inputs!$B$39&lt;&gt;"pvp",Inputs!$B$44&gt;0),(((R3237-1)*(Skills!Y15*(1+Inputs!$B$34/100))+MIN((Skills!Y15*(1+Inputs!$B$34/100)),MAX(0,Inputs!$B$44-((R3237-1)*Skills!D15))))/Inputs!$B$44),IF(Inputs!$B$39="pvp",MIN((Skills!Y15*(1+Inputs!$B$34/100)),15)/15,(Skills!Y15*(1+Inputs!$B$34/100))/Skills!D15)))/100)*(1+((C3228=TRUE)*F3228*B3256)/100))*B3264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3227)</f>
        <v/>
      </c>
      <c r="L3227">
        <f>K3227*(MIN(Inputs!$B$22+((C3246=TRUE)*(F3246-Calc!F24)),(Inputs!$B$23+0+(IF(ArtifactsInput!$M$15,CHOOSE(ArtifactsInput!$N$15+1,25,30,35,40,45,50)/100*(Inputs!$B$11-Inputs!$B$11),0))))/100+(Inputs!$B$23+0+(IF(ArtifactsInput!$M$15,CHOOSE(ArtifactsInput!$N$15+1,25,30,35,40,45,50)/100*(Inputs!$B$11-Inputs!$B$11),0)))/100)/2</f>
        <v/>
      </c>
      <c r="M3227">
        <f>L3227*(1+(Inputs!$B$10+((C3248=TRUE)*(F3248-Calc!F26))+B3265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27">
        <f>L3227*(1-MIN((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3227*(MIN((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27">
        <f>(1-Summary!$B$11)*T3227+Summary!$B$11*V3227</f>
        <v/>
      </c>
      <c r="P3227">
        <f>IF(B3266=0,0,O3227/B3266)</f>
        <v/>
      </c>
      <c r="Q3227">
        <f>IFERROR(1/IF(Inputs!$B$39="pvp",15,MAX(0.1,Skills!D5-IF(Skills!E5=TRUE,1.0,0))),0)</f>
        <v/>
      </c>
      <c r="R3227">
        <f>IF(AND(Inputs!$B$39&lt;&gt;"pvp",Inputs!$B$44&gt;0),IF(MAX(0,Inputs!$B$44-B3267)&lt;=0,0,(INT(MAX(0,Inputs!$B$44-B3267)/IF(Inputs!$B$39="pvp",15,MAX(0.1,Skills!D5-IF(Skills!E5=TRUE,1.0,0))))+1)),0)</f>
        <v/>
      </c>
      <c r="S3227">
        <f>IFERROR(O3227/N3227,0)</f>
        <v/>
      </c>
      <c r="T3227">
        <f>IF(C3227,(H3227*N3227*IF(AND(Inputs!$B$39&lt;&gt;"pvp",Inputs!$B$44&gt;0),((Skills!G5*((R3227-1)*IF(Skills!H5&gt;0,Skills!I5/Skills!H5,1)+IF(Skills!H5&gt;0,MIN(Skills!I5,MAX(0,MAX(0,Inputs!$B$44-B3267)-((R3227-1)*IF(Inputs!$B$39="pvp",15,MAX(0.1,Skills!D5-IF(Skills!E5=TRUE,1.0,0))))))/Skills!H5,1)))/Inputs!$B$44),G3227*Q3227))*IF(Inputs!$B$39="pvp",1,1+(Inputs!$B$20+((C3249=TRUE)*(F3249-Calc!F27))+Skills!P5+B3263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Hunt"),CHOOSE(ArtifactsInput!$N$35+1,15,18,21,24,27,30)*(1-EXP(-(0.2*B3258)*5)),0)+IF(AND(ArtifactsInput!$M$22,Inputs!$B$4&lt;&gt;"Chapter Hunt"),CHOOSE(ArtifactsInput!$N$22+1,10,12,14,16,18,20)*((0*(((0.15*B3258*5))^0/1)+1*(((0.15*B3258*5))^1/1)+2*(((0.15*B3258*5))^2/2)+3*(((0.15*B3258*5))^3/6)+4*(((0.15*B3258*5))^4/24)+5*(((0.15*B3258*5))^5/120))/((((0.15*B3258*5))^0/1)+(((0.15*B3258*5))^1/1)+(((0.15*B3258*5))^2/2)+(((0.15*B3258*5))^3/6)+(((0.15*B3258*5))^4/24)+(((0.15*B3258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3227*(1-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3227*(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3227*(1-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3227*(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27">
        <f>INDEX(FactorTable!$B$2:$Y$301, MATCH(ROUND(MIN(300,MAX(1,U3226)),0), FactorTable!$A$2:$A$301,0), 22)</f>
        <v/>
      </c>
      <c r="V3227">
        <f>IF(C3227,(H3227*N3227*IF(AND(Inputs!$B$39&lt;&gt;"pvp",Inputs!$B$44&gt;0),((Skills!G5*((R3227-1)*IF(Skills!H5&gt;0,Skills!I5/Skills!H5,1)+IF(Skills!H5&gt;0,MIN(Skills!I5,MAX(0,MAX(0,Inputs!$B$44-B3267)-((R3227-1)*IF(Inputs!$B$39="pvp",15,MAX(0.1,Skills!D5-IF(Skills!E5=TRUE,1.0,0))))))/Skills!H5,1)))/Inputs!$B$44),G3227*Q3227))*IF(Inputs!$B$39="pvp",1,(1+(Inputs!$B$21+Skills!Q5+B3263+(IF(ArtifactsInput!$M$33,CHOOSE(ArtifactsInput!$N$33+1,30,36,42,48,54,60),0))+(IF(AND(ArtifactsInput!$M$35,Inputs!$B$4&lt;&gt;"Chapter Hunt"),CHOOSE(ArtifactsInput!$N$35+1,15,18,21,24,27,30)*(1-EXP(-(0.2*B3258)*5)),0)+IF(AND(ArtifactsInput!$M$22,Inputs!$B$4&lt;&gt;"Chapter Hunt"),CHOOSE(ArtifactsInput!$N$22+1,10,12,14,16,18,20)*((0*(((0.15*B3258*5))^0/1)+1*(((0.15*B3258*5))^1/1)+2*(((0.15*B3258*5))^2/2)+3*(((0.15*B3258*5))^3/6)+4*(((0.15*B3258*5))^4/24)+5*(((0.15*B3258*5))^5/120))/((((0.15*B3258*5))^0/1)+(((0.15*B3258*5))^1/1)+(((0.15*B3258*5))^2/2)+(((0.15*B3258*5))^3/6)+(((0.15*B3258*5))^4/24)+(((0.15*B3258*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28">
      <c r="A3228">
        <f>Skills!A6</f>
        <v/>
      </c>
      <c r="B3228">
        <f>Skills!B6</f>
        <v/>
      </c>
      <c r="C3228">
        <f>Inputs!$B$3&gt;=66</f>
        <v/>
      </c>
      <c r="D3228">
        <f>IF(Skills!C6=1,60+Inputs!$B$25+Inputs!$B$29,IF(Skills!C6=2,90+Inputs!$B$26+Inputs!$B$29,IF(Skills!C6=3,120+Inputs!$B$27+Inputs!$B$29,MAX(0,(Inputs!$B$3-100)*3)+Inputs!$B$28+Inputs!$B$29)))</f>
        <v/>
      </c>
      <c r="E3228">
        <f>INDEX(FactorTable!$B$2:$Y$301, MATCH(ROUND(MIN(300,MAX(1,D3228)),0), FactorTable!$A$2:$A$301,0), Skills!M6+1)</f>
        <v/>
      </c>
      <c r="F3228">
        <f>IF(Skills!N6=TRUE,(Skills!L6/10)*(E3228/1000),Skills!L6/10)+Skills!O6</f>
        <v/>
      </c>
      <c r="G3228">
        <f>Calc!G6</f>
        <v/>
      </c>
      <c r="H3228">
        <f>Calc!H6</f>
        <v/>
      </c>
      <c r="I3228">
        <f>IF(Skills!AA6&lt;&gt;"",1+(Skills!AA6/10)*(U3225/1000)/100,1)</f>
        <v/>
      </c>
      <c r="J3228" t="inlineStr"/>
      <c r="K3228" t="inlineStr"/>
      <c r="L3228" t="inlineStr"/>
      <c r="M3228" t="inlineStr"/>
      <c r="N3228" t="inlineStr"/>
      <c r="O3228">
        <f>(1-Summary!$B$11)*T3228+Summary!$B$11*V3228</f>
        <v/>
      </c>
      <c r="P3228">
        <f>IF(B3266=0,0,O3228/B3266)</f>
        <v/>
      </c>
      <c r="Q3228" t="n">
        <v>0</v>
      </c>
      <c r="R3228" t="n">
        <v>0</v>
      </c>
      <c r="S3228">
        <f>IFERROR(O3228/N3228,0)</f>
        <v/>
      </c>
      <c r="T3228" t="n">
        <v>0</v>
      </c>
      <c r="U3228">
        <f>290*U3227/1000</f>
        <v/>
      </c>
      <c r="V3228" t="n">
        <v>0</v>
      </c>
    </row>
    <row r="3229">
      <c r="A3229">
        <f>Skills!A7</f>
        <v/>
      </c>
      <c r="B3229">
        <f>Skills!B7</f>
        <v/>
      </c>
      <c r="C3229">
        <f>Inputs!$B$3&gt;=66</f>
        <v/>
      </c>
      <c r="D3229">
        <f>IF(Skills!C7=1,60+Inputs!$B$25+Inputs!$B$29,IF(Skills!C7=2,90+Inputs!$B$26+Inputs!$B$29,IF(Skills!C7=3,120+Inputs!$B$27+Inputs!$B$29,MAX(0,(Inputs!$B$3-100)*3)+Inputs!$B$28+Inputs!$B$29)))</f>
        <v/>
      </c>
      <c r="E3229">
        <f>INDEX(FactorTable!$B$2:$Y$301, MATCH(ROUND(MIN(300,MAX(1,D3229)),0), FactorTable!$A$2:$A$301,0), Skills!M7+1)</f>
        <v/>
      </c>
      <c r="F3229">
        <f>IF(Skills!N7=TRUE,(Skills!L7/10)*(E3229/1000),Skills!L7/10)+Skills!O7</f>
        <v/>
      </c>
      <c r="G3229">
        <f>Calc!G7</f>
        <v/>
      </c>
      <c r="H3229">
        <f>Calc!H7</f>
        <v/>
      </c>
      <c r="I3229">
        <f>IF(Skills!AA7&lt;&gt;"",1+(Skills!AA7/10)*(U3225/1000)/100,1)</f>
        <v/>
      </c>
      <c r="J3229" t="inlineStr"/>
      <c r="K3229" t="inlineStr"/>
      <c r="L3229" t="inlineStr"/>
      <c r="M3229" t="inlineStr"/>
      <c r="N3229" t="inlineStr"/>
      <c r="O3229">
        <f>(1-Summary!$B$11)*T3229+Summary!$B$11*V3229</f>
        <v/>
      </c>
      <c r="P3229">
        <f>IF(B3266=0,0,O3229/B3266)</f>
        <v/>
      </c>
      <c r="Q3229" t="n">
        <v>0</v>
      </c>
      <c r="R3229" t="n">
        <v>0</v>
      </c>
      <c r="S3229">
        <f>IFERROR(O3229/N3229,0)</f>
        <v/>
      </c>
      <c r="T3229" t="n">
        <v>0</v>
      </c>
      <c r="V3229" t="n">
        <v>0</v>
      </c>
    </row>
    <row r="3230">
      <c r="A3230">
        <f>Skills!A8</f>
        <v/>
      </c>
      <c r="B3230">
        <f>Skills!B8</f>
        <v/>
      </c>
      <c r="C3230">
        <f>Inputs!$B$3&gt;=69</f>
        <v/>
      </c>
      <c r="D3230">
        <f>IF(Skills!C8=1,60+Inputs!$B$25+Inputs!$B$29,IF(Skills!C8=2,90+Inputs!$B$26+Inputs!$B$29,IF(Skills!C8=3,120+Inputs!$B$27+Inputs!$B$29,MAX(0,(Inputs!$B$3-100)*3)+Inputs!$B$28+Inputs!$B$29)))</f>
        <v/>
      </c>
      <c r="E3230">
        <f>INDEX(FactorTable!$B$2:$Y$301, MATCH(ROUND(MIN(300,MAX(1,D3230)),0), FactorTable!$A$2:$A$301,0), Skills!M8+1)</f>
        <v/>
      </c>
      <c r="F3230">
        <f>IF(Skills!N8=TRUE,(Skills!L8/10)*(E3230/1000),Skills!L8/10)+Skills!O8</f>
        <v/>
      </c>
      <c r="G3230">
        <f>Calc!G8</f>
        <v/>
      </c>
      <c r="H3230">
        <f>Calc!H8</f>
        <v/>
      </c>
      <c r="I3230">
        <f>IF(Skills!AA8&lt;&gt;"",1+(Skills!AA8/10)*(U3225/1000)/100,1)</f>
        <v/>
      </c>
      <c r="J3230">
        <f>((Inputs!$B$6*(1+Inputs!$B$7/100))+(((Inputs!$B$12*(1+Inputs!$B$13/100))-(Inputs!$B$12*(1+Inputs!$B$13/100)))+0.25*(Inputs!$B$14-Inputs!$B$14))*(1+Inputs!$B$7/100))*(F3230/100)</f>
        <v/>
      </c>
      <c r="K3230">
        <f>J3230*(1+((Inputs!$B$12*(1+Inputs!$B$13/100))*0.01+Inputs!$B$14*0.0025)/100)*(1+Inputs!$B$15/100)*(1+Inputs!$B$16/100)*(5000/(6000+Inputs!$B$43*(1-(100*(1-(1-(Inputs!$B$19+0)/100)*(1-CHOOSE(ArtifactsInput!$N$40+1,5,6,7,8,9,10)/100)^(ArtifactsInput!$M$40-ArtifactsInput!$M$40)))/100)))*(1+(Inputs!$B$24+((C3252=TRUE)*(F3252-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3245=TRUE)*(F3245-Calc!F23))+(((IF(AND(ArtifactsInput!$M$42,((Inputs!$B$9+((C3247=TRUE)*(F3247-Calc!F25))+B3262+(ArtifactsInput!$M$24-ArtifactsInput!$M$24)*CHOOSE(ArtifactsInput!$N$24+1,10,12,14,16,18,20)+IF(ArtifactsInput!$M$10,CHOOSE(ArtifactsInput!$N$10+1,15,18,21,24,27,30)*(IF(Inputs!$B$39="pvp",MIN(15,15)/15,IF(AND(Inputs!$B$39&lt;&gt;"pvp",Inputs!$B$44&gt;0),MIN(15,Inputs!$B$44)/(Inputs!$B$44),0))),0)))&gt;=100),MIN(100,((Inputs!$B$9+((C3247=TRUE)*(F3247-Calc!F25))+B3262+(ArtifactsInput!$M$24-ArtifactsInput!$M$24)*CHOOSE(ArtifactsInput!$N$24+1,10,12,14,16,18,20)+IF(ArtifactsInput!$M$10,CHOOSE(ArtifactsInput!$N$10+1,15,18,21,24,27,30)*(IF(Inputs!$B$39="pvp",MIN(15,15)/15,IF(AND(Inputs!$B$39&lt;&gt;"pvp",Inputs!$B$44&gt;0),MIN(15,Inputs!$B$44)/(Inputs!$B$44),0))),0)))-100),0))*CHOOSE(ArtifactsInput!$N$42+1,0.6,0.72,0.84,0.96,1.08,1.2))),Inputs!$B$18+((C3251=TRUE)*(F3251-Calc!F29))+(IF(AND(ArtifactsInput!$M$42,((Inputs!$B$9+((C3247=TRUE)*(F3247-Calc!F25))+B3262+(ArtifactsInput!$M$24-ArtifactsInput!$M$24)*CHOOSE(ArtifactsInput!$N$24+1,10,12,14,16,18,20)+IF(ArtifactsInput!$M$10,CHOOSE(ArtifactsInput!$N$10+1,15,18,21,24,27,30)*(IF(Inputs!$B$39="pvp",MIN(15,15)/15,IF(AND(Inputs!$B$39&lt;&gt;"pvp",Inputs!$B$44&gt;0),MIN(15,Inputs!$B$44)/(Inputs!$B$44),0))),0)))&gt;=100),CHOOSE(ArtifactsInput!$N$42+1,40,48,56,64,72,80),0))))/100)*(((1+(((C3243=TRUE)*F3243*IF(AND(Inputs!$B$39&lt;&gt;"pvp",Inputs!$B$44&gt;0),(((R3243-1)*(Skills!Y21*(1+Inputs!$B$34/100))+MIN((Skills!Y21*(1+Inputs!$B$34/100)),MAX(0,Inputs!$B$44-((R3243-1)*Skills!D21))))/Inputs!$B$44),IF(Inputs!$B$39="pvp",MIN((Skills!Y21*(1+Inputs!$B$34/100)),15)/15,(Skills!Y21*(1+Inputs!$B$34/100))/Skills!D21)))+((C3250=TRUE)*(F3250-Calc!F28))+((C3240=TRUE)*(F3240-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3237=TRUE)*F3237*IF(AND(Inputs!$B$39&lt;&gt;"pvp",Inputs!$B$44&gt;0),(((R3237-1)*(Skills!Y15*(1+Inputs!$B$34/100))+MIN((Skills!Y15*(1+Inputs!$B$34/100)),MAX(0,Inputs!$B$44-((R3237-1)*Skills!D15))))/Inputs!$B$44),IF(Inputs!$B$39="pvp",MIN((Skills!Y15*(1+Inputs!$B$34/100)),15)/15,(Skills!Y15*(1+Inputs!$B$34/100))/Skills!D15)))/100)*(1+((C3228=TRUE)*F3228*B3256)/100))*B3264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3230)</f>
        <v/>
      </c>
      <c r="L3230">
        <f>K3230*(MIN(Inputs!$B$22+((C3246=TRUE)*(F3246-Calc!F24)),(Inputs!$B$23+0+(IF(ArtifactsInput!$M$15,CHOOSE(ArtifactsInput!$N$15+1,25,30,35,40,45,50)/100*(Inputs!$B$11-Inputs!$B$11),0))))/100+(Inputs!$B$23+0+(IF(ArtifactsInput!$M$15,CHOOSE(ArtifactsInput!$N$15+1,25,30,35,40,45,50)/100*(Inputs!$B$11-Inputs!$B$11),0)))/100)/2</f>
        <v/>
      </c>
      <c r="M3230">
        <f>L3230*(1+(Inputs!$B$10+((C3248=TRUE)*(F3248-Calc!F26))+B3265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30">
        <f>L3230*(1-MIN((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3230*(MIN((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30">
        <f>(1-Summary!$B$11)*T3230+Summary!$B$11*V3230</f>
        <v/>
      </c>
      <c r="P3230">
        <f>IF(B3266=0,0,O3230/B3266)</f>
        <v/>
      </c>
      <c r="Q3230">
        <f>IFERROR(1/IF(Inputs!$B$39="pvp",15,MAX(0.1,Skills!D8-IF(Skills!E8=TRUE,1.0,0))),0)</f>
        <v/>
      </c>
      <c r="R3230">
        <f>IF(AND(Inputs!$B$39&lt;&gt;"pvp",Inputs!$B$44&gt;0),IF(MAX(0,Inputs!$B$44-B3267)&lt;=0,0,(INT(MAX(0,Inputs!$B$44-B3267)/IF(Inputs!$B$39="pvp",15,MAX(0.1,Skills!D8-IF(Skills!E8=TRUE,1.0,0))))+1)),0)</f>
        <v/>
      </c>
      <c r="S3230">
        <f>IFERROR(O3230/N3230,0)</f>
        <v/>
      </c>
      <c r="T3230">
        <f>IF(C3230,(H3230*N3230*IF(AND(Inputs!$B$39&lt;&gt;"pvp",Inputs!$B$44&gt;0),((Skills!G8*((R3230-1)*IF(Skills!H8&gt;0,Skills!I8/Skills!H8,1)+IF(Skills!H8&gt;0,MIN(Skills!I8,MAX(0,MAX(0,Inputs!$B$44-B3267)-((R3230-1)*IF(Inputs!$B$39="pvp",15,MAX(0.1,Skills!D8-IF(Skills!E8=TRUE,1.0,0))))))/Skills!H8,1)))/Inputs!$B$44),G3230*Q3230))*IF(Inputs!$B$39="pvp",1,1+(Inputs!$B$20+((C3249=TRUE)*(F3249-Calc!F27))+Skills!P8+B3263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Hunt"),CHOOSE(ArtifactsInput!$N$35+1,15,18,21,24,27,30)*(1-EXP(-(0.2*B3258)*5)),0)+IF(AND(ArtifactsInput!$M$22,Inputs!$B$4&lt;&gt;"Chapter Hunt"),CHOOSE(ArtifactsInput!$N$22+1,10,12,14,16,18,20)*((0*(((0.15*B3258*5))^0/1)+1*(((0.15*B3258*5))^1/1)+2*(((0.15*B3258*5))^2/2)+3*(((0.15*B3258*5))^3/6)+4*(((0.15*B3258*5))^4/24)+5*(((0.15*B3258*5))^5/120))/((((0.15*B3258*5))^0/1)+(((0.15*B3258*5))^1/1)+(((0.15*B3258*5))^2/2)+(((0.15*B3258*5))^3/6)+(((0.15*B3258*5))^4/24)+(((0.15*B3258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3230*(1-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3230*(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3230*(1-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3230*(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30">
        <f>IF(C3230,(H3230*N3230*IF(AND(Inputs!$B$39&lt;&gt;"pvp",Inputs!$B$44&gt;0),((Skills!G8*((R3230-1)*IF(Skills!H8&gt;0,Skills!I8/Skills!H8,1)+IF(Skills!H8&gt;0,MIN(Skills!I8,MAX(0,MAX(0,Inputs!$B$44-B3267)-((R3230-1)*IF(Inputs!$B$39="pvp",15,MAX(0.1,Skills!D8-IF(Skills!E8=TRUE,1.0,0))))))/Skills!H8,1)))/Inputs!$B$44),G3230*Q3230))*IF(Inputs!$B$39="pvp",1,(1+(Inputs!$B$21+Skills!Q8+B3263+(IF(ArtifactsInput!$M$33,CHOOSE(ArtifactsInput!$N$33+1,30,36,42,48,54,60),0))+(IF(AND(ArtifactsInput!$M$35,Inputs!$B$4&lt;&gt;"Chapter Hunt"),CHOOSE(ArtifactsInput!$N$35+1,15,18,21,24,27,30)*(1-EXP(-(0.2*B3258)*5)),0)+IF(AND(ArtifactsInput!$M$22,Inputs!$B$4&lt;&gt;"Chapter Hunt"),CHOOSE(ArtifactsInput!$N$22+1,10,12,14,16,18,20)*((0*(((0.15*B3258*5))^0/1)+1*(((0.15*B3258*5))^1/1)+2*(((0.15*B3258*5))^2/2)+3*(((0.15*B3258*5))^3/6)+4*(((0.15*B3258*5))^4/24)+5*(((0.15*B3258*5))^5/120))/((((0.15*B3258*5))^0/1)+(((0.15*B3258*5))^1/1)+(((0.15*B3258*5))^2/2)+(((0.15*B3258*5))^3/6)+(((0.15*B3258*5))^4/24)+(((0.15*B3258*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31">
      <c r="A3231">
        <f>Skills!A9</f>
        <v/>
      </c>
      <c r="B3231">
        <f>Skills!B9</f>
        <v/>
      </c>
      <c r="C3231">
        <f>Inputs!$B$3&gt;=72</f>
        <v/>
      </c>
      <c r="D3231">
        <f>IF(Skills!C9=1,60+Inputs!$B$25+Inputs!$B$29,IF(Skills!C9=2,90+Inputs!$B$26+Inputs!$B$29,IF(Skills!C9=3,120+Inputs!$B$27+Inputs!$B$29,MAX(0,(Inputs!$B$3-100)*3)+Inputs!$B$28+Inputs!$B$29)))</f>
        <v/>
      </c>
      <c r="E3231">
        <f>INDEX(FactorTable!$B$2:$Y$301, MATCH(ROUND(MIN(300,MAX(1,D3231)),0), FactorTable!$A$2:$A$301,0), Skills!M9+1)</f>
        <v/>
      </c>
      <c r="F3231">
        <f>IF(Skills!N9=TRUE,(Skills!L9/10)*(E3231/1000),Skills!L9/10)+Skills!O9</f>
        <v/>
      </c>
      <c r="G3231">
        <f>Calc!G9</f>
        <v/>
      </c>
      <c r="H3231">
        <f>Calc!H9</f>
        <v/>
      </c>
      <c r="I3231">
        <f>IF(Skills!AA9&lt;&gt;"",1+(Skills!AA9/10)*(U3225/1000)/100,1)</f>
        <v/>
      </c>
      <c r="J3231">
        <f>((Inputs!$B$6*(1+Inputs!$B$7/100))+(((Inputs!$B$12*(1+Inputs!$B$13/100))-(Inputs!$B$12*(1+Inputs!$B$13/100)))+0.25*(Inputs!$B$14-Inputs!$B$14))*(1+Inputs!$B$7/100))*(F3231/100)</f>
        <v/>
      </c>
      <c r="K3231">
        <f>J3231*(1+((Inputs!$B$12*(1+Inputs!$B$13/100))*0.01+Inputs!$B$14*0.0025)/100)*(1+Inputs!$B$15/100)*(1+Inputs!$B$16/100)*(5000/(6000+Inputs!$B$43*(1-(100*(1-(1-(Inputs!$B$19+0)/100)*(1-CHOOSE(ArtifactsInput!$N$40+1,5,6,7,8,9,10)/100)^(ArtifactsInput!$M$40-ArtifactsInput!$M$40)))/100)))*(1+(Inputs!$B$24+((C3252=TRUE)*(F3252-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3245=TRUE)*(F3245-Calc!F23))+(((IF(AND(ArtifactsInput!$M$42,((Inputs!$B$9+((C3247=TRUE)*(F3247-Calc!F25))+B3262+(ArtifactsInput!$M$24-ArtifactsInput!$M$24)*CHOOSE(ArtifactsInput!$N$24+1,10,12,14,16,18,20)+IF(ArtifactsInput!$M$10,CHOOSE(ArtifactsInput!$N$10+1,15,18,21,24,27,30)*(IF(Inputs!$B$39="pvp",MIN(15,15)/15,IF(AND(Inputs!$B$39&lt;&gt;"pvp",Inputs!$B$44&gt;0),MIN(15,Inputs!$B$44)/(Inputs!$B$44),0))),0)))&gt;=100),MIN(100,((Inputs!$B$9+((C3247=TRUE)*(F3247-Calc!F25))+B3262+(ArtifactsInput!$M$24-ArtifactsInput!$M$24)*CHOOSE(ArtifactsInput!$N$24+1,10,12,14,16,18,20)+IF(ArtifactsInput!$M$10,CHOOSE(ArtifactsInput!$N$10+1,15,18,21,24,27,30)*(IF(Inputs!$B$39="pvp",MIN(15,15)/15,IF(AND(Inputs!$B$39&lt;&gt;"pvp",Inputs!$B$44&gt;0),MIN(15,Inputs!$B$44)/(Inputs!$B$44),0))),0)))-100),0))*CHOOSE(ArtifactsInput!$N$42+1,0.6,0.72,0.84,0.96,1.08,1.2))),Inputs!$B$18+((C3251=TRUE)*(F3251-Calc!F29))+(IF(AND(ArtifactsInput!$M$42,((Inputs!$B$9+((C3247=TRUE)*(F3247-Calc!F25))+B3262+(ArtifactsInput!$M$24-ArtifactsInput!$M$24)*CHOOSE(ArtifactsInput!$N$24+1,10,12,14,16,18,20)+IF(ArtifactsInput!$M$10,CHOOSE(ArtifactsInput!$N$10+1,15,18,21,24,27,30)*(IF(Inputs!$B$39="pvp",MIN(15,15)/15,IF(AND(Inputs!$B$39&lt;&gt;"pvp",Inputs!$B$44&gt;0),MIN(15,Inputs!$B$44)/(Inputs!$B$44),0))),0)))&gt;=100),CHOOSE(ArtifactsInput!$N$42+1,40,48,56,64,72,80),0))))/100)*(((1+(((C3243=TRUE)*F3243*IF(AND(Inputs!$B$39&lt;&gt;"pvp",Inputs!$B$44&gt;0),(((R3243-1)*(Skills!Y21*(1+Inputs!$B$34/100))+MIN((Skills!Y21*(1+Inputs!$B$34/100)),MAX(0,Inputs!$B$44-((R3243-1)*Skills!D21))))/Inputs!$B$44),IF(Inputs!$B$39="pvp",MIN((Skills!Y21*(1+Inputs!$B$34/100)),15)/15,(Skills!Y21*(1+Inputs!$B$34/100))/Skills!D21)))+((C3250=TRUE)*(F3250-Calc!F28))+((C3240=TRUE)*(F3240-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3237=TRUE)*F3237*IF(AND(Inputs!$B$39&lt;&gt;"pvp",Inputs!$B$44&gt;0),(((R3237-1)*(Skills!Y15*(1+Inputs!$B$34/100))+MIN((Skills!Y15*(1+Inputs!$B$34/100)),MAX(0,Inputs!$B$44-((R3237-1)*Skills!D15))))/Inputs!$B$44),IF(Inputs!$B$39="pvp",MIN((Skills!Y15*(1+Inputs!$B$34/100)),15)/15,(Skills!Y15*(1+Inputs!$B$34/100))/Skills!D15)))/100)*(1+((C3228=TRUE)*F3228*B3256)/100))*B3264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3231)</f>
        <v/>
      </c>
      <c r="L3231">
        <f>K3231*(MIN(Inputs!$B$22+((C3246=TRUE)*(F3246-Calc!F24)),(Inputs!$B$23+0+(IF(ArtifactsInput!$M$15,CHOOSE(ArtifactsInput!$N$15+1,25,30,35,40,45,50)/100*(Inputs!$B$11-Inputs!$B$11),0))))/100+(Inputs!$B$23+0+(IF(ArtifactsInput!$M$15,CHOOSE(ArtifactsInput!$N$15+1,25,30,35,40,45,50)/100*(Inputs!$B$11-Inputs!$B$11),0)))/100)/2</f>
        <v/>
      </c>
      <c r="M3231">
        <f>L3231*(1+(Inputs!$B$10+((C3248=TRUE)*(F3248-Calc!F26))+B3265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31">
        <f>L3231*(1-MIN((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3231*(MIN((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31">
        <f>(1-Summary!$B$11)*T3231+Summary!$B$11*V3231</f>
        <v/>
      </c>
      <c r="P3231">
        <f>IF(B3266=0,0,O3231/B3266)</f>
        <v/>
      </c>
      <c r="Q3231">
        <f>IFERROR(1/IF(Inputs!$B$39="pvp",15,MAX(0.1,Skills!D9-IF(Skills!E9=TRUE,1.0,0))),0)</f>
        <v/>
      </c>
      <c r="R3231">
        <f>IF(AND(Inputs!$B$39&lt;&gt;"pvp",Inputs!$B$44&gt;0),IF(MAX(0,Inputs!$B$44-B3267)&lt;=0,0,(INT(MAX(0,Inputs!$B$44-B3267)/IF(Inputs!$B$39="pvp",15,MAX(0.1,Skills!D9-IF(Skills!E9=TRUE,1.0,0))))+1)),0)</f>
        <v/>
      </c>
      <c r="S3231">
        <f>IFERROR(O3231/N3231,0)</f>
        <v/>
      </c>
      <c r="T3231">
        <f>IF(C3231,(H3231*N3231*IF(AND(Inputs!$B$39&lt;&gt;"pvp",Inputs!$B$44&gt;0),((Skills!G9*((R3231-1)*IF(Skills!H9&gt;0,Skills!I9/Skills!H9,1)+IF(Skills!H9&gt;0,MIN(Skills!I9,MAX(0,MAX(0,Inputs!$B$44-B3267)-((R3231-1)*IF(Inputs!$B$39="pvp",15,MAX(0.1,Skills!D9-IF(Skills!E9=TRUE,1.0,0))))))/Skills!H9,1)))/Inputs!$B$44),G3231*Q3231))*IF(Inputs!$B$39="pvp",1,1+(Inputs!$B$20+((C3249=TRUE)*(F3249-Calc!F27))+Skills!P9+B3263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Hunt"),CHOOSE(ArtifactsInput!$N$35+1,15,18,21,24,27,30)*(1-EXP(-(0.2*B3258)*5)),0)+IF(AND(ArtifactsInput!$M$22,Inputs!$B$4&lt;&gt;"Chapter Hunt"),CHOOSE(ArtifactsInput!$N$22+1,10,12,14,16,18,20)*((0*(((0.15*B3258*5))^0/1)+1*(((0.15*B3258*5))^1/1)+2*(((0.15*B3258*5))^2/2)+3*(((0.15*B3258*5))^3/6)+4*(((0.15*B3258*5))^4/24)+5*(((0.15*B3258*5))^5/120))/((((0.15*B3258*5))^0/1)+(((0.15*B3258*5))^1/1)+(((0.15*B3258*5))^2/2)+(((0.15*B3258*5))^3/6)+(((0.15*B3258*5))^4/24)+(((0.15*B3258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3231*(1-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3231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3231*(1-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3231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31">
        <f>IF(C3231,(H3231*N3231*IF(AND(Inputs!$B$39&lt;&gt;"pvp",Inputs!$B$44&gt;0),((Skills!G9*((R3231-1)*IF(Skills!H9&gt;0,Skills!I9/Skills!H9,1)+IF(Skills!H9&gt;0,MIN(Skills!I9,MAX(0,MAX(0,Inputs!$B$44-B3267)-((R3231-1)*IF(Inputs!$B$39="pvp",15,MAX(0.1,Skills!D9-IF(Skills!E9=TRUE,1.0,0))))))/Skills!H9,1)))/Inputs!$B$44),G3231*Q3231))*IF(Inputs!$B$39="pvp",1,(1+(Inputs!$B$21+Skills!Q9+B3263+(IF(ArtifactsInput!$M$33,CHOOSE(ArtifactsInput!$N$33+1,30,36,42,48,54,60),0))+(IF(AND(ArtifactsInput!$M$35,Inputs!$B$4&lt;&gt;"Chapter Hunt"),CHOOSE(ArtifactsInput!$N$35+1,15,18,21,24,27,30)*(1-EXP(-(0.2*B3258)*5)),0)+IF(AND(ArtifactsInput!$M$22,Inputs!$B$4&lt;&gt;"Chapter Hunt"),CHOOSE(ArtifactsInput!$N$22+1,10,12,14,16,18,20)*((0*(((0.15*B3258*5))^0/1)+1*(((0.15*B3258*5))^1/1)+2*(((0.15*B3258*5))^2/2)+3*(((0.15*B3258*5))^3/6)+4*(((0.15*B3258*5))^4/24)+5*(((0.15*B3258*5))^5/120))/((((0.15*B3258*5))^0/1)+(((0.15*B3258*5))^1/1)+(((0.15*B3258*5))^2/2)+(((0.15*B3258*5))^3/6)+(((0.15*B3258*5))^4/24)+(((0.15*B3258*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32">
      <c r="A3232">
        <f>Skills!A10</f>
        <v/>
      </c>
      <c r="B3232">
        <f>Skills!B10</f>
        <v/>
      </c>
      <c r="C3232">
        <f>Inputs!$B$3&gt;=117</f>
        <v/>
      </c>
      <c r="D3232">
        <f>IF(Skills!C10=1,60+Inputs!$B$25+Inputs!$B$29,IF(Skills!C10=2,90+Inputs!$B$26+Inputs!$B$29,IF(Skills!C10=3,120+Inputs!$B$27+Inputs!$B$29,MAX(0,(Inputs!$B$3-100)*3)+Inputs!$B$28+Inputs!$B$29)))</f>
        <v/>
      </c>
      <c r="E3232">
        <f>INDEX(FactorTable!$B$2:$Y$301, MATCH(ROUND(MIN(300,MAX(1,D3232)),0), FactorTable!$A$2:$A$301,0), Skills!M10+1)</f>
        <v/>
      </c>
      <c r="F3232">
        <f>IF(Skills!N10=TRUE,(Skills!L10/10)*(E3232/1000),Skills!L10/10)+Skills!O10</f>
        <v/>
      </c>
      <c r="G3232">
        <f>Calc!G10</f>
        <v/>
      </c>
      <c r="H3232">
        <f>Calc!H10</f>
        <v/>
      </c>
      <c r="I3232">
        <f>IF(Skills!AA10&lt;&gt;"",1+(Skills!AA10/10)*(U3225/1000)/100,1)</f>
        <v/>
      </c>
      <c r="J3232">
        <f>((Inputs!$B$6*(1+Inputs!$B$7/100))+(((Inputs!$B$12*(1+Inputs!$B$13/100))-(Inputs!$B$12*(1+Inputs!$B$13/100)))+0.25*(Inputs!$B$14-Inputs!$B$14))*(1+Inputs!$B$7/100))*(F3232/100)</f>
        <v/>
      </c>
      <c r="K3232">
        <f>J3232*(1+((Inputs!$B$12*(1+Inputs!$B$13/100))*0.01+Inputs!$B$14*0.0025)/100)*(1+Inputs!$B$15/100)*(1+Inputs!$B$16/100)*(5000/(6000+Inputs!$B$43*(1-(100*(1-(1-(Inputs!$B$19+0)/100)*(1-CHOOSE(ArtifactsInput!$N$40+1,5,6,7,8,9,10)/100)^(ArtifactsInput!$M$40-ArtifactsInput!$M$40)))/100)))*(1+(Inputs!$B$24+((C3252=TRUE)*(F3252-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3245=TRUE)*(F3245-Calc!F23))+(((IF(AND(ArtifactsInput!$M$42,((Inputs!$B$9+((C3247=TRUE)*(F3247-Calc!F25))+B3262+(ArtifactsInput!$M$24-ArtifactsInput!$M$24)*CHOOSE(ArtifactsInput!$N$24+1,10,12,14,16,18,20)+IF(ArtifactsInput!$M$10,CHOOSE(ArtifactsInput!$N$10+1,15,18,21,24,27,30)*(IF(Inputs!$B$39="pvp",MIN(15,15)/15,IF(AND(Inputs!$B$39&lt;&gt;"pvp",Inputs!$B$44&gt;0),MIN(15,Inputs!$B$44)/(Inputs!$B$44),0))),0)))&gt;=100),MIN(100,((Inputs!$B$9+((C3247=TRUE)*(F3247-Calc!F25))+B3262+(ArtifactsInput!$M$24-ArtifactsInput!$M$24)*CHOOSE(ArtifactsInput!$N$24+1,10,12,14,16,18,20)+IF(ArtifactsInput!$M$10,CHOOSE(ArtifactsInput!$N$10+1,15,18,21,24,27,30)*(IF(Inputs!$B$39="pvp",MIN(15,15)/15,IF(AND(Inputs!$B$39&lt;&gt;"pvp",Inputs!$B$44&gt;0),MIN(15,Inputs!$B$44)/(Inputs!$B$44),0))),0)))-100),0))*CHOOSE(ArtifactsInput!$N$42+1,0.6,0.72,0.84,0.96,1.08,1.2))),Inputs!$B$18+((C3251=TRUE)*(F3251-Calc!F29))+(IF(AND(ArtifactsInput!$M$42,((Inputs!$B$9+((C3247=TRUE)*(F3247-Calc!F25))+B3262+(ArtifactsInput!$M$24-ArtifactsInput!$M$24)*CHOOSE(ArtifactsInput!$N$24+1,10,12,14,16,18,20)+IF(ArtifactsInput!$M$10,CHOOSE(ArtifactsInput!$N$10+1,15,18,21,24,27,30)*(IF(Inputs!$B$39="pvp",MIN(15,15)/15,IF(AND(Inputs!$B$39&lt;&gt;"pvp",Inputs!$B$44&gt;0),MIN(15,Inputs!$B$44)/(Inputs!$B$44),0))),0)))&gt;=100),CHOOSE(ArtifactsInput!$N$42+1,40,48,56,64,72,80),0))))/100)*(((1+(((C3243=TRUE)*F3243*IF(AND(Inputs!$B$39&lt;&gt;"pvp",Inputs!$B$44&gt;0),(((R3243-1)*(Skills!Y21*(1+Inputs!$B$34/100))+MIN((Skills!Y21*(1+Inputs!$B$34/100)),MAX(0,Inputs!$B$44-((R3243-1)*Skills!D21))))/Inputs!$B$44),IF(Inputs!$B$39="pvp",MIN((Skills!Y21*(1+Inputs!$B$34/100)),15)/15,(Skills!Y21*(1+Inputs!$B$34/100))/Skills!D21)))+((C3250=TRUE)*(F3250-Calc!F28))+((C3240=TRUE)*(F3240-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3237=TRUE)*F3237*IF(AND(Inputs!$B$39&lt;&gt;"pvp",Inputs!$B$44&gt;0),(((R3237-1)*(Skills!Y15*(1+Inputs!$B$34/100))+MIN((Skills!Y15*(1+Inputs!$B$34/100)),MAX(0,Inputs!$B$44-((R3237-1)*Skills!D15))))/Inputs!$B$44),IF(Inputs!$B$39="pvp",MIN((Skills!Y15*(1+Inputs!$B$34/100)),15)/15,(Skills!Y15*(1+Inputs!$B$34/100))/Skills!D15)))/100)*(1+((C3228=TRUE)*F3228*B3256)/100))*B3264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3232)</f>
        <v/>
      </c>
      <c r="L3232">
        <f>K3232*(MIN(Inputs!$B$22+((C3246=TRUE)*(F3246-Calc!F24)),(Inputs!$B$23+0+(IF(ArtifactsInput!$M$15,CHOOSE(ArtifactsInput!$N$15+1,25,30,35,40,45,50)/100*(Inputs!$B$11-Inputs!$B$11),0))))/100+(Inputs!$B$23+0+(IF(ArtifactsInput!$M$15,CHOOSE(ArtifactsInput!$N$15+1,25,30,35,40,45,50)/100*(Inputs!$B$11-Inputs!$B$11),0)))/100)/2</f>
        <v/>
      </c>
      <c r="M3232">
        <f>L3232*(1+(Inputs!$B$10+((C3248=TRUE)*(F3248-Calc!F26))+B3265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32">
        <f>L3232*(1-MIN((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3232*(MIN((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32">
        <f>(1-Summary!$B$11)*T3232+Summary!$B$11*V3232</f>
        <v/>
      </c>
      <c r="P3232">
        <f>IF(B3266=0,0,O3232/B3266)</f>
        <v/>
      </c>
      <c r="Q3232" t="n">
        <v>0</v>
      </c>
      <c r="R3232" t="n">
        <v>0</v>
      </c>
      <c r="S3232" t="n">
        <v>0</v>
      </c>
      <c r="T3232">
        <f>IF(C3232,(0.2*SUMPRODUCT((Skills!Z2:Z31=TRUE)*(C3224:C3253=TRUE)*S3224:S3253)*N3232)*IF(Inputs!$B$39="pvp",1,1+(Inputs!$B$20+((C3249=TRUE)*(F3249-Calc!F27))+Skills!P10+B3263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Hunt"),CHOOSE(ArtifactsInput!$N$35+1,15,18,21,24,27,30)*(1-EXP(-(0.2*B3258)*5)),0)+IF(AND(ArtifactsInput!$M$22,Inputs!$B$4&lt;&gt;"Chapter Hunt"),CHOOSE(ArtifactsInput!$N$22+1,10,12,14,16,18,20)*((0*(((0.15*B3258*5))^0/1)+1*(((0.15*B3258*5))^1/1)+2*(((0.15*B3258*5))^2/2)+3*(((0.15*B3258*5))^3/6)+4*(((0.15*B3258*5))^4/24)+5*(((0.15*B3258*5))^5/120))/((((0.15*B3258*5))^0/1)+(((0.15*B3258*5))^1/1)+(((0.15*B3258*5))^2/2)+(((0.15*B3258*5))^3/6)+(((0.15*B3258*5))^4/24)+(((0.15*B3258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3232*(1-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3232*(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3232*(1-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3232*(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32">
        <f>IF(C3232,(0.2*SUMPRODUCT((Skills!Z2:Z31=TRUE)*(C3224:C3253=TRUE)*S3224:S3253)*N3232)*IF(Inputs!$B$39="pvp",1,(1+(Inputs!$B$21+Skills!Q10+B3263+(IF(ArtifactsInput!$M$33,CHOOSE(ArtifactsInput!$N$33+1,30,36,42,48,54,60),0))+(IF(AND(ArtifactsInput!$M$35,Inputs!$B$4&lt;&gt;"Chapter Hunt"),CHOOSE(ArtifactsInput!$N$35+1,15,18,21,24,27,30)*(1-EXP(-(0.2*B3258)*5)),0)+IF(AND(ArtifactsInput!$M$22,Inputs!$B$4&lt;&gt;"Chapter Hunt"),CHOOSE(ArtifactsInput!$N$22+1,10,12,14,16,18,20)*((0*(((0.15*B3258*5))^0/1)+1*(((0.15*B3258*5))^1/1)+2*(((0.15*B3258*5))^2/2)+3*(((0.15*B3258*5))^3/6)+4*(((0.15*B3258*5))^4/24)+5*(((0.15*B3258*5))^5/120))/((((0.15*B3258*5))^0/1)+(((0.15*B3258*5))^1/1)+(((0.15*B3258*5))^2/2)+(((0.15*B3258*5))^3/6)+(((0.15*B3258*5))^4/24)+(((0.15*B3258*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33">
      <c r="A3233">
        <f>Skills!A11</f>
        <v/>
      </c>
      <c r="B3233">
        <f>Skills!B11</f>
        <v/>
      </c>
      <c r="C3233">
        <f>Inputs!$B$3&gt;=60</f>
        <v/>
      </c>
      <c r="D3233">
        <f>IF(Skills!C11=1,60+Inputs!$B$25+Inputs!$B$29,IF(Skills!C11=2,90+Inputs!$B$26+Inputs!$B$29,IF(Skills!C11=3,120+Inputs!$B$27+Inputs!$B$29,MAX(0,(Inputs!$B$3-100)*3)+Inputs!$B$28+Inputs!$B$29)))</f>
        <v/>
      </c>
      <c r="E3233">
        <f>INDEX(FactorTable!$B$2:$Y$301, MATCH(ROUND(MIN(300,MAX(1,D3233)),0), FactorTable!$A$2:$A$301,0), Skills!M11+1)</f>
        <v/>
      </c>
      <c r="F3233">
        <f>IF(Skills!N11=TRUE,(Skills!L11/10)*(E3233/1000),Skills!L11/10)+Skills!O11</f>
        <v/>
      </c>
      <c r="G3233">
        <f>Calc!G11</f>
        <v/>
      </c>
      <c r="H3233">
        <f>Calc!H11</f>
        <v/>
      </c>
      <c r="I3233">
        <f>IF(Skills!AA11&lt;&gt;"",1+(Skills!AA11/10)*(U3225/1000)/100,1)</f>
        <v/>
      </c>
      <c r="J3233" t="inlineStr"/>
      <c r="K3233" t="inlineStr"/>
      <c r="L3233" t="inlineStr"/>
      <c r="M3233" t="inlineStr"/>
      <c r="N3233" t="inlineStr"/>
      <c r="O3233">
        <f>(1-Summary!$B$11)*T3233+Summary!$B$11*V3233</f>
        <v/>
      </c>
      <c r="P3233">
        <f>IF(B3266=0,0,O3233/B3266)</f>
        <v/>
      </c>
      <c r="Q3233" t="n">
        <v>0</v>
      </c>
      <c r="R3233" t="n">
        <v>0</v>
      </c>
      <c r="S3233">
        <f>IFERROR(O3233/N3233,0)</f>
        <v/>
      </c>
      <c r="T3233" t="n">
        <v>0</v>
      </c>
      <c r="V3233" t="n">
        <v>0</v>
      </c>
    </row>
    <row r="3234">
      <c r="A3234">
        <f>Skills!A12</f>
        <v/>
      </c>
      <c r="B3234">
        <f>Skills!B12</f>
        <v/>
      </c>
      <c r="C3234">
        <f>Inputs!$B$3&gt;=103</f>
        <v/>
      </c>
      <c r="D3234">
        <f>IF(Skills!C12=1,60+Inputs!$B$25+Inputs!$B$29,IF(Skills!C12=2,90+Inputs!$B$26+Inputs!$B$29,IF(Skills!C12=3,120+Inputs!$B$27+Inputs!$B$29,MAX(0,(Inputs!$B$3-100)*3)+Inputs!$B$28+Inputs!$B$29)))</f>
        <v/>
      </c>
      <c r="E3234">
        <f>INDEX(FactorTable!$B$2:$Y$301, MATCH(ROUND(MIN(300,MAX(1,D3234)),0), FactorTable!$A$2:$A$301,0), Skills!M12+1)</f>
        <v/>
      </c>
      <c r="F3234">
        <f>IF(Skills!N12=TRUE,(Skills!L12/10)*(E3234/1000),Skills!L12/10)+Skills!O12</f>
        <v/>
      </c>
      <c r="G3234">
        <f>Calc!G12</f>
        <v/>
      </c>
      <c r="H3234">
        <f>Calc!H12</f>
        <v/>
      </c>
      <c r="I3234">
        <f>IF(Skills!AA12&lt;&gt;"",1+(Skills!AA12/10)*(U3225/1000)/100,1)</f>
        <v/>
      </c>
      <c r="J3234">
        <f>((Inputs!$B$6*(1+Inputs!$B$7/100))+(((Inputs!$B$12*(1+Inputs!$B$13/100))-(Inputs!$B$12*(1+Inputs!$B$13/100)))+0.25*(Inputs!$B$14-Inputs!$B$14))*(1+Inputs!$B$7/100))*(F3234/100)</f>
        <v/>
      </c>
      <c r="K3234">
        <f>J3234*(1+((Inputs!$B$12*(1+Inputs!$B$13/100))*0.01+Inputs!$B$14*0.0025)/100)*(1+Inputs!$B$15/100)*(1+Inputs!$B$16/100)*(5000/(6000+Inputs!$B$43*(1-(100*(1-(1-(Inputs!$B$19+0)/100)*(1-CHOOSE(ArtifactsInput!$N$40+1,5,6,7,8,9,10)/100)^(ArtifactsInput!$M$40-ArtifactsInput!$M$40)))/100)))*(1+(Inputs!$B$24+((C3252=TRUE)*(F3252-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3245=TRUE)*(F3245-Calc!F23))+(((IF(AND(ArtifactsInput!$M$42,((Inputs!$B$9+((C3247=TRUE)*(F3247-Calc!F25))+B3262+(ArtifactsInput!$M$24-ArtifactsInput!$M$24)*CHOOSE(ArtifactsInput!$N$24+1,10,12,14,16,18,20)+IF(ArtifactsInput!$M$10,CHOOSE(ArtifactsInput!$N$10+1,15,18,21,24,27,30)*(IF(Inputs!$B$39="pvp",MIN(15,15)/15,IF(AND(Inputs!$B$39&lt;&gt;"pvp",Inputs!$B$44&gt;0),MIN(15,Inputs!$B$44)/(Inputs!$B$44),0))),0)))&gt;=100),MIN(100,((Inputs!$B$9+((C3247=TRUE)*(F3247-Calc!F25))+B3262+(ArtifactsInput!$M$24-ArtifactsInput!$M$24)*CHOOSE(ArtifactsInput!$N$24+1,10,12,14,16,18,20)+IF(ArtifactsInput!$M$10,CHOOSE(ArtifactsInput!$N$10+1,15,18,21,24,27,30)*(IF(Inputs!$B$39="pvp",MIN(15,15)/15,IF(AND(Inputs!$B$39&lt;&gt;"pvp",Inputs!$B$44&gt;0),MIN(15,Inputs!$B$44)/(Inputs!$B$44),0))),0)))-100),0))*CHOOSE(ArtifactsInput!$N$42+1,0.6,0.72,0.84,0.96,1.08,1.2))),Inputs!$B$18+((C3251=TRUE)*(F3251-Calc!F29))+(IF(AND(ArtifactsInput!$M$42,((Inputs!$B$9+((C3247=TRUE)*(F3247-Calc!F25))+B3262+(ArtifactsInput!$M$24-ArtifactsInput!$M$24)*CHOOSE(ArtifactsInput!$N$24+1,10,12,14,16,18,20)+IF(ArtifactsInput!$M$10,CHOOSE(ArtifactsInput!$N$10+1,15,18,21,24,27,30)*(IF(Inputs!$B$39="pvp",MIN(15,15)/15,IF(AND(Inputs!$B$39&lt;&gt;"pvp",Inputs!$B$44&gt;0),MIN(15,Inputs!$B$44)/(Inputs!$B$44),0))),0)))&gt;=100),CHOOSE(ArtifactsInput!$N$42+1,40,48,56,64,72,80),0))))/100)*(((1+(((C3243=TRUE)*F3243*IF(AND(Inputs!$B$39&lt;&gt;"pvp",Inputs!$B$44&gt;0),(((R3243-1)*(Skills!Y21*(1+Inputs!$B$34/100))+MIN((Skills!Y21*(1+Inputs!$B$34/100)),MAX(0,Inputs!$B$44-((R3243-1)*Skills!D21))))/Inputs!$B$44),IF(Inputs!$B$39="pvp",MIN((Skills!Y21*(1+Inputs!$B$34/100)),15)/15,(Skills!Y21*(1+Inputs!$B$34/100))/Skills!D21)))+((C3250=TRUE)*(F3250-Calc!F28))+((C3240=TRUE)*(F3240-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3237=TRUE)*F3237*IF(AND(Inputs!$B$39&lt;&gt;"pvp",Inputs!$B$44&gt;0),(((R3237-1)*(Skills!Y15*(1+Inputs!$B$34/100))+MIN((Skills!Y15*(1+Inputs!$B$34/100)),MAX(0,Inputs!$B$44-((R3237-1)*Skills!D15))))/Inputs!$B$44),IF(Inputs!$B$39="pvp",MIN((Skills!Y15*(1+Inputs!$B$34/100)),15)/15,(Skills!Y15*(1+Inputs!$B$34/100))/Skills!D15)))/100)*(1+((C3228=TRUE)*F3228*B3256)/100))*B3264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3234)</f>
        <v/>
      </c>
      <c r="L3234">
        <f>K3234*(MIN(Inputs!$B$22+((C3246=TRUE)*(F3246-Calc!F24)),(Inputs!$B$23+0+(IF(ArtifactsInput!$M$15,CHOOSE(ArtifactsInput!$N$15+1,25,30,35,40,45,50)/100*(Inputs!$B$11-Inputs!$B$11),0))))/100+(Inputs!$B$23+0+(IF(ArtifactsInput!$M$15,CHOOSE(ArtifactsInput!$N$15+1,25,30,35,40,45,50)/100*(Inputs!$B$11-Inputs!$B$11),0)))/100)/2</f>
        <v/>
      </c>
      <c r="M3234">
        <f>L3234*(1+(Inputs!$B$10+((C3248=TRUE)*(F3248-Calc!F26))+B3265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34">
        <f>L3234*(1-MIN((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3234*(MIN((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34">
        <f>(1-Summary!$B$11)*T3234+Summary!$B$11*V3234</f>
        <v/>
      </c>
      <c r="P3234">
        <f>IF(B3266=0,0,O3234/B3266)</f>
        <v/>
      </c>
      <c r="Q3234">
        <f>IFERROR(1/IF(Inputs!$B$39="pvp",15,MAX(0.1,Skills!D12-IF(Skills!E12=TRUE,1.0,0))),0)</f>
        <v/>
      </c>
      <c r="R3234">
        <f>IF(AND(Inputs!$B$39&lt;&gt;"pvp",Inputs!$B$44&gt;0),IF(MAX(0,Inputs!$B$44-B3267)&lt;=0,0,(INT(MAX(0,Inputs!$B$44-B3267)/IF(Inputs!$B$39="pvp",15,MAX(0.1,Skills!D12-IF(Skills!E12=TRUE,1.0,0))))+1)),0)</f>
        <v/>
      </c>
      <c r="S3234">
        <f>IFERROR(O3234/N3234,0)</f>
        <v/>
      </c>
      <c r="T3234">
        <f>IF(C3234,(H3234*N3234*IF(AND(Inputs!$B$39&lt;&gt;"pvp",Inputs!$B$44&gt;0),((Skills!G12*((R3234-1)*IF(Skills!H12&gt;0,Skills!I12/Skills!H12,1)+IF(Skills!H12&gt;0,MIN(Skills!I12,MAX(0,MAX(0,Inputs!$B$44-B3267)-((R3234-1)*IF(Inputs!$B$39="pvp",15,MAX(0.1,Skills!D12-IF(Skills!E12=TRUE,1.0,0))))))/Skills!H12,1)))/Inputs!$B$44),G3234*Q3234))*IF(Inputs!$B$39="pvp",1,1+(Inputs!$B$20+((C3249=TRUE)*(F3249-Calc!F27))+Skills!P12+B3263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Hunt"),CHOOSE(ArtifactsInput!$N$35+1,15,18,21,24,27,30)*(1-EXP(-(0.2*B3258)*5)),0)+IF(AND(ArtifactsInput!$M$22,Inputs!$B$4&lt;&gt;"Chapter Hunt"),CHOOSE(ArtifactsInput!$N$22+1,10,12,14,16,18,20)*((0*(((0.15*B3258*5))^0/1)+1*(((0.15*B3258*5))^1/1)+2*(((0.15*B3258*5))^2/2)+3*(((0.15*B3258*5))^3/6)+4*(((0.15*B3258*5))^4/24)+5*(((0.15*B3258*5))^5/120))/((((0.15*B3258*5))^0/1)+(((0.15*B3258*5))^1/1)+(((0.15*B3258*5))^2/2)+(((0.15*B3258*5))^3/6)+(((0.15*B3258*5))^4/24)+(((0.15*B3258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3234*(1-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3234*(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3234*(1-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3234*(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34">
        <f>IF(C3234,(H3234*N3234*IF(AND(Inputs!$B$39&lt;&gt;"pvp",Inputs!$B$44&gt;0),((Skills!G12*((R3234-1)*IF(Skills!H12&gt;0,Skills!I12/Skills!H12,1)+IF(Skills!H12&gt;0,MIN(Skills!I12,MAX(0,MAX(0,Inputs!$B$44-B3267)-((R3234-1)*IF(Inputs!$B$39="pvp",15,MAX(0.1,Skills!D12-IF(Skills!E12=TRUE,1.0,0))))))/Skills!H12,1)))/Inputs!$B$44),G3234*Q3234))*IF(Inputs!$B$39="pvp",1,(1+(Inputs!$B$21+Skills!Q12+B3263+(IF(ArtifactsInput!$M$33,CHOOSE(ArtifactsInput!$N$33+1,30,36,42,48,54,60),0))+(IF(AND(ArtifactsInput!$M$35,Inputs!$B$4&lt;&gt;"Chapter Hunt"),CHOOSE(ArtifactsInput!$N$35+1,15,18,21,24,27,30)*(1-EXP(-(0.2*B3258)*5)),0)+IF(AND(ArtifactsInput!$M$22,Inputs!$B$4&lt;&gt;"Chapter Hunt"),CHOOSE(ArtifactsInput!$N$22+1,10,12,14,16,18,20)*((0*(((0.15*B3258*5))^0/1)+1*(((0.15*B3258*5))^1/1)+2*(((0.15*B3258*5))^2/2)+3*(((0.15*B3258*5))^3/6)+4*(((0.15*B3258*5))^4/24)+5*(((0.15*B3258*5))^5/120))/((((0.15*B3258*5))^0/1)+(((0.15*B3258*5))^1/1)+(((0.15*B3258*5))^2/2)+(((0.15*B3258*5))^3/6)+(((0.15*B3258*5))^4/24)+(((0.15*B3258*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35">
      <c r="A3235">
        <f>Skills!A13</f>
        <v/>
      </c>
      <c r="B3235">
        <f>Skills!B13</f>
        <v/>
      </c>
      <c r="C3235">
        <f>Inputs!$B$3&gt;=105</f>
        <v/>
      </c>
      <c r="D3235">
        <f>IF(Skills!C13=1,60+Inputs!$B$25+Inputs!$B$29,IF(Skills!C13=2,90+Inputs!$B$26+Inputs!$B$29,IF(Skills!C13=3,120+Inputs!$B$27+Inputs!$B$29,MAX(0,(Inputs!$B$3-100)*3)+Inputs!$B$28+Inputs!$B$29)))</f>
        <v/>
      </c>
      <c r="E3235">
        <f>INDEX(FactorTable!$B$2:$Y$301, MATCH(ROUND(MIN(300,MAX(1,D3235)),0), FactorTable!$A$2:$A$301,0), Skills!M13+1)</f>
        <v/>
      </c>
      <c r="F3235">
        <f>IF(Skills!N13=TRUE,(Skills!L13/10)*(E3235/1000),Skills!L13/10)+Skills!O13</f>
        <v/>
      </c>
      <c r="G3235">
        <f>Calc!G13</f>
        <v/>
      </c>
      <c r="H3235">
        <f>Calc!H13</f>
        <v/>
      </c>
      <c r="I3235">
        <f>IF(Skills!AA13&lt;&gt;"",1+(Skills!AA13/10)*(U3225/1000)/100,1)</f>
        <v/>
      </c>
      <c r="J3235">
        <f>((Inputs!$B$6*(1+Inputs!$B$7/100))+(((Inputs!$B$12*(1+Inputs!$B$13/100))-(Inputs!$B$12*(1+Inputs!$B$13/100)))+0.25*(Inputs!$B$14-Inputs!$B$14))*(1+Inputs!$B$7/100))*(F3235/100)</f>
        <v/>
      </c>
      <c r="K3235">
        <f>J3235*(1+((Inputs!$B$12*(1+Inputs!$B$13/100))*0.01+Inputs!$B$14*0.0025)/100)*(1+Inputs!$B$15/100)*(1+Inputs!$B$16/100)*(5000/(6000+Inputs!$B$43*(1-(100*(1-(1-(Inputs!$B$19+0)/100)*(1-CHOOSE(ArtifactsInput!$N$40+1,5,6,7,8,9,10)/100)^(ArtifactsInput!$M$40-ArtifactsInput!$M$40)))/100)))*(1+(Inputs!$B$24+((C3252=TRUE)*(F3252-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3245=TRUE)*(F3245-Calc!F23))+(((IF(AND(ArtifactsInput!$M$42,((Inputs!$B$9+((C3247=TRUE)*(F3247-Calc!F25))+B3262+(ArtifactsInput!$M$24-ArtifactsInput!$M$24)*CHOOSE(ArtifactsInput!$N$24+1,10,12,14,16,18,20)+IF(ArtifactsInput!$M$10,CHOOSE(ArtifactsInput!$N$10+1,15,18,21,24,27,30)*(IF(Inputs!$B$39="pvp",MIN(15,15)/15,IF(AND(Inputs!$B$39&lt;&gt;"pvp",Inputs!$B$44&gt;0),MIN(15,Inputs!$B$44)/(Inputs!$B$44),0))),0)))&gt;=100),MIN(100,((Inputs!$B$9+((C3247=TRUE)*(F3247-Calc!F25))+B3262+(ArtifactsInput!$M$24-ArtifactsInput!$M$24)*CHOOSE(ArtifactsInput!$N$24+1,10,12,14,16,18,20)+IF(ArtifactsInput!$M$10,CHOOSE(ArtifactsInput!$N$10+1,15,18,21,24,27,30)*(IF(Inputs!$B$39="pvp",MIN(15,15)/15,IF(AND(Inputs!$B$39&lt;&gt;"pvp",Inputs!$B$44&gt;0),MIN(15,Inputs!$B$44)/(Inputs!$B$44),0))),0)))-100),0))*CHOOSE(ArtifactsInput!$N$42+1,0.6,0.72,0.84,0.96,1.08,1.2))),Inputs!$B$18+((C3251=TRUE)*(F3251-Calc!F29))+(IF(AND(ArtifactsInput!$M$42,((Inputs!$B$9+((C3247=TRUE)*(F3247-Calc!F25))+B3262+(ArtifactsInput!$M$24-ArtifactsInput!$M$24)*CHOOSE(ArtifactsInput!$N$24+1,10,12,14,16,18,20)+IF(ArtifactsInput!$M$10,CHOOSE(ArtifactsInput!$N$10+1,15,18,21,24,27,30)*(IF(Inputs!$B$39="pvp",MIN(15,15)/15,IF(AND(Inputs!$B$39&lt;&gt;"pvp",Inputs!$B$44&gt;0),MIN(15,Inputs!$B$44)/(Inputs!$B$44),0))),0)))&gt;=100),CHOOSE(ArtifactsInput!$N$42+1,40,48,56,64,72,80),0))))/100)*(((1+(((C3243=TRUE)*F3243*IF(AND(Inputs!$B$39&lt;&gt;"pvp",Inputs!$B$44&gt;0),(((R3243-1)*(Skills!Y21*(1+Inputs!$B$34/100))+MIN((Skills!Y21*(1+Inputs!$B$34/100)),MAX(0,Inputs!$B$44-((R3243-1)*Skills!D21))))/Inputs!$B$44),IF(Inputs!$B$39="pvp",MIN((Skills!Y21*(1+Inputs!$B$34/100)),15)/15,(Skills!Y21*(1+Inputs!$B$34/100))/Skills!D21)))+((C3250=TRUE)*(F3250-Calc!F28))+((C3240=TRUE)*(F3240-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3237=TRUE)*F3237*IF(AND(Inputs!$B$39&lt;&gt;"pvp",Inputs!$B$44&gt;0),(((R3237-1)*(Skills!Y15*(1+Inputs!$B$34/100))+MIN((Skills!Y15*(1+Inputs!$B$34/100)),MAX(0,Inputs!$B$44-((R3237-1)*Skills!D15))))/Inputs!$B$44),IF(Inputs!$B$39="pvp",MIN((Skills!Y15*(1+Inputs!$B$34/100)),15)/15,(Skills!Y15*(1+Inputs!$B$34/100))/Skills!D15)))/100)*(1+((C3228=TRUE)*F3228*B3256)/100))*B3264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3235)</f>
        <v/>
      </c>
      <c r="L3235">
        <f>K3235*(MIN(Inputs!$B$22+((C3246=TRUE)*(F3246-Calc!F24)),(Inputs!$B$23+0+(IF(ArtifactsInput!$M$15,CHOOSE(ArtifactsInput!$N$15+1,25,30,35,40,45,50)/100*(Inputs!$B$11-Inputs!$B$11),0))))/100+(Inputs!$B$23+0+(IF(ArtifactsInput!$M$15,CHOOSE(ArtifactsInput!$N$15+1,25,30,35,40,45,50)/100*(Inputs!$B$11-Inputs!$B$11),0)))/100)/2</f>
        <v/>
      </c>
      <c r="M3235">
        <f>L3235*(1+(Inputs!$B$10+((C3248=TRUE)*(F3248-Calc!F26))+B3265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35">
        <f>L3235*(1-MIN((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3235*(MIN((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35">
        <f>(1-Summary!$B$11)*T3235+Summary!$B$11*V3235</f>
        <v/>
      </c>
      <c r="P3235">
        <f>IF(B3266=0,0,O3235/B3266)</f>
        <v/>
      </c>
      <c r="Q3235">
        <f>IFERROR(1/IF(Inputs!$B$39="pvp",15,MAX(0.1,Skills!D13-IF(Skills!E13=TRUE,1.0,0))),0)</f>
        <v/>
      </c>
      <c r="R3235">
        <f>IF(AND(Inputs!$B$39&lt;&gt;"pvp",Inputs!$B$44&gt;0),IF(MAX(0,Inputs!$B$44-B3267)&lt;=0,0,(INT(MAX(0,Inputs!$B$44-B3267)/IF(Inputs!$B$39="pvp",15,MAX(0.1,Skills!D13-IF(Skills!E13=TRUE,1.0,0))))+1)),0)</f>
        <v/>
      </c>
      <c r="S3235">
        <f>IFERROR(O3235/N3235,0)</f>
        <v/>
      </c>
      <c r="T3235">
        <f>IF(C3235,(H3235*N3235*IF(AND(Inputs!$B$39&lt;&gt;"pvp",Inputs!$B$44&gt;0),((Skills!G13*((R3235-1)*IF(Skills!H13&gt;0,Skills!I13/Skills!H13,1)+IF(Skills!H13&gt;0,MIN(Skills!I13,MAX(0,MAX(0,Inputs!$B$44-B3267)-((R3235-1)*IF(Inputs!$B$39="pvp",15,MAX(0.1,Skills!D13-IF(Skills!E13=TRUE,1.0,0))))))/Skills!H13,1)))/Inputs!$B$44),G3235*Q3235))*IF(Inputs!$B$39="pvp",1,1+(Inputs!$B$20+((C3249=TRUE)*(F3249-Calc!F27))+Skills!P13+B3263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Hunt"),CHOOSE(ArtifactsInput!$N$35+1,15,18,21,24,27,30)*(1-EXP(-(0.2*B3258)*5)),0)+IF(AND(ArtifactsInput!$M$22,Inputs!$B$4&lt;&gt;"Chapter Hunt"),CHOOSE(ArtifactsInput!$N$22+1,10,12,14,16,18,20)*((0*(((0.15*B3258*5))^0/1)+1*(((0.15*B3258*5))^1/1)+2*(((0.15*B3258*5))^2/2)+3*(((0.15*B3258*5))^3/6)+4*(((0.15*B3258*5))^4/24)+5*(((0.15*B3258*5))^5/120))/((((0.15*B3258*5))^0/1)+(((0.15*B3258*5))^1/1)+(((0.15*B3258*5))^2/2)+(((0.15*B3258*5))^3/6)+(((0.15*B3258*5))^4/24)+(((0.15*B3258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3235*(1-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3235*(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3235*(1-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3235*(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35">
        <f>IF(C3235,(H3235*N3235*IF(AND(Inputs!$B$39&lt;&gt;"pvp",Inputs!$B$44&gt;0),((Skills!G13*((R3235-1)*IF(Skills!H13&gt;0,Skills!I13/Skills!H13,1)+IF(Skills!H13&gt;0,MIN(Skills!I13,MAX(0,MAX(0,Inputs!$B$44-B3267)-((R3235-1)*IF(Inputs!$B$39="pvp",15,MAX(0.1,Skills!D13-IF(Skills!E13=TRUE,1.0,0))))))/Skills!H13,1)))/Inputs!$B$44),G3235*Q3235))*IF(Inputs!$B$39="pvp",1,(1+(Inputs!$B$21+Skills!Q13+B3263+(IF(ArtifactsInput!$M$33,CHOOSE(ArtifactsInput!$N$33+1,30,36,42,48,54,60),0))+(IF(AND(ArtifactsInput!$M$35,Inputs!$B$4&lt;&gt;"Chapter Hunt"),CHOOSE(ArtifactsInput!$N$35+1,15,18,21,24,27,30)*(1-EXP(-(0.2*B3258)*5)),0)+IF(AND(ArtifactsInput!$M$22,Inputs!$B$4&lt;&gt;"Chapter Hunt"),CHOOSE(ArtifactsInput!$N$22+1,10,12,14,16,18,20)*((0*(((0.15*B3258*5))^0/1)+1*(((0.15*B3258*5))^1/1)+2*(((0.15*B3258*5))^2/2)+3*(((0.15*B3258*5))^3/6)+4*(((0.15*B3258*5))^4/24)+5*(((0.15*B3258*5))^5/120))/((((0.15*B3258*5))^0/1)+(((0.15*B3258*5))^1/1)+(((0.15*B3258*5))^2/2)+(((0.15*B3258*5))^3/6)+(((0.15*B3258*5))^4/24)+(((0.15*B3258*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36">
      <c r="A3236">
        <f>Skills!A14</f>
        <v/>
      </c>
      <c r="B3236">
        <f>Skills!B14</f>
        <v/>
      </c>
      <c r="C3236">
        <f>Inputs!$B$3&gt;=105</f>
        <v/>
      </c>
      <c r="D3236">
        <f>IF(Skills!C14=1,60+Inputs!$B$25+Inputs!$B$29,IF(Skills!C14=2,90+Inputs!$B$26+Inputs!$B$29,IF(Skills!C14=3,120+Inputs!$B$27+Inputs!$B$29,MAX(0,(Inputs!$B$3-100)*3)+Inputs!$B$28+Inputs!$B$29)))</f>
        <v/>
      </c>
      <c r="E3236">
        <f>INDEX(FactorTable!$B$2:$Y$301, MATCH(ROUND(MIN(300,MAX(1,D3236)),0), FactorTable!$A$2:$A$301,0), Skills!M14+1)</f>
        <v/>
      </c>
      <c r="F3236">
        <f>IF(Skills!N14=TRUE,(Skills!L14/10)*(E3236/1000),Skills!L14/10)+Skills!O14</f>
        <v/>
      </c>
      <c r="G3236">
        <f>Calc!G14</f>
        <v/>
      </c>
      <c r="H3236">
        <f>Calc!H14</f>
        <v/>
      </c>
      <c r="I3236">
        <f>IF(Skills!AA14&lt;&gt;"",1+(Skills!AA14/10)*(U3225/1000)/100,1)</f>
        <v/>
      </c>
      <c r="J3236">
        <f>((Inputs!$B$6*(1+Inputs!$B$7/100))+(((Inputs!$B$12*(1+Inputs!$B$13/100))-(Inputs!$B$12*(1+Inputs!$B$13/100)))+0.25*(Inputs!$B$14-Inputs!$B$14))*(1+Inputs!$B$7/100))*(F3236/100)</f>
        <v/>
      </c>
      <c r="K3236">
        <f>J3236*(1+((Inputs!$B$12*(1+Inputs!$B$13/100))*0.01+Inputs!$B$14*0.0025)/100)*(1+Inputs!$B$15/100)*(1+Inputs!$B$16/100)*(5000/(6000+Inputs!$B$43*(1-(100*(1-(1-(Inputs!$B$19+0)/100)*(1-CHOOSE(ArtifactsInput!$N$40+1,5,6,7,8,9,10)/100)^(ArtifactsInput!$M$40-ArtifactsInput!$M$40)))/100)))*(1+(Inputs!$B$24+((C3252=TRUE)*(F3252-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3245=TRUE)*(F3245-Calc!F23))+(((IF(AND(ArtifactsInput!$M$42,((Inputs!$B$9+((C3247=TRUE)*(F3247-Calc!F25))+B3262+(ArtifactsInput!$M$24-ArtifactsInput!$M$24)*CHOOSE(ArtifactsInput!$N$24+1,10,12,14,16,18,20)+IF(ArtifactsInput!$M$10,CHOOSE(ArtifactsInput!$N$10+1,15,18,21,24,27,30)*(IF(Inputs!$B$39="pvp",MIN(15,15)/15,IF(AND(Inputs!$B$39&lt;&gt;"pvp",Inputs!$B$44&gt;0),MIN(15,Inputs!$B$44)/(Inputs!$B$44),0))),0)))&gt;=100),MIN(100,((Inputs!$B$9+((C3247=TRUE)*(F3247-Calc!F25))+B3262+(ArtifactsInput!$M$24-ArtifactsInput!$M$24)*CHOOSE(ArtifactsInput!$N$24+1,10,12,14,16,18,20)+IF(ArtifactsInput!$M$10,CHOOSE(ArtifactsInput!$N$10+1,15,18,21,24,27,30)*(IF(Inputs!$B$39="pvp",MIN(15,15)/15,IF(AND(Inputs!$B$39&lt;&gt;"pvp",Inputs!$B$44&gt;0),MIN(15,Inputs!$B$44)/(Inputs!$B$44),0))),0)))-100),0))*CHOOSE(ArtifactsInput!$N$42+1,0.6,0.72,0.84,0.96,1.08,1.2))),Inputs!$B$18+((C3251=TRUE)*(F3251-Calc!F29))+(IF(AND(ArtifactsInput!$M$42,((Inputs!$B$9+((C3247=TRUE)*(F3247-Calc!F25))+B3262+(ArtifactsInput!$M$24-ArtifactsInput!$M$24)*CHOOSE(ArtifactsInput!$N$24+1,10,12,14,16,18,20)+IF(ArtifactsInput!$M$10,CHOOSE(ArtifactsInput!$N$10+1,15,18,21,24,27,30)*(IF(Inputs!$B$39="pvp",MIN(15,15)/15,IF(AND(Inputs!$B$39&lt;&gt;"pvp",Inputs!$B$44&gt;0),MIN(15,Inputs!$B$44)/(Inputs!$B$44),0))),0)))&gt;=100),CHOOSE(ArtifactsInput!$N$42+1,40,48,56,64,72,80),0))))/100)*(((1+(((C3243=TRUE)*F3243*IF(AND(Inputs!$B$39&lt;&gt;"pvp",Inputs!$B$44&gt;0),(((R3243-1)*(Skills!Y21*(1+Inputs!$B$34/100))+MIN((Skills!Y21*(1+Inputs!$B$34/100)),MAX(0,Inputs!$B$44-((R3243-1)*Skills!D21))))/Inputs!$B$44),IF(Inputs!$B$39="pvp",MIN((Skills!Y21*(1+Inputs!$B$34/100)),15)/15,(Skills!Y21*(1+Inputs!$B$34/100))/Skills!D21)))+((C3250=TRUE)*(F3250-Calc!F28))+((C3240=TRUE)*(F3240-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3237=TRUE)*F3237*IF(AND(Inputs!$B$39&lt;&gt;"pvp",Inputs!$B$44&gt;0),(((R3237-1)*(Skills!Y15*(1+Inputs!$B$34/100))+MIN((Skills!Y15*(1+Inputs!$B$34/100)),MAX(0,Inputs!$B$44-((R3237-1)*Skills!D15))))/Inputs!$B$44),IF(Inputs!$B$39="pvp",MIN((Skills!Y15*(1+Inputs!$B$34/100)),15)/15,(Skills!Y15*(1+Inputs!$B$34/100))/Skills!D15)))/100)*(1+((C3228=TRUE)*F3228*B3256)/100))*B3264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3236)</f>
        <v/>
      </c>
      <c r="L3236">
        <f>K3236*(MIN(Inputs!$B$22+((C3246=TRUE)*(F3246-Calc!F24)),(Inputs!$B$23+0+(IF(ArtifactsInput!$M$15,CHOOSE(ArtifactsInput!$N$15+1,25,30,35,40,45,50)/100*(Inputs!$B$11-Inputs!$B$11),0))))/100+(Inputs!$B$23+0+(IF(ArtifactsInput!$M$15,CHOOSE(ArtifactsInput!$N$15+1,25,30,35,40,45,50)/100*(Inputs!$B$11-Inputs!$B$11),0)))/100)/2</f>
        <v/>
      </c>
      <c r="M3236">
        <f>L3236*(1+(Inputs!$B$10+((C3248=TRUE)*(F3248-Calc!F26))+B3265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36">
        <f>L3236*(1-MIN((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3236*(MIN((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36">
        <f>(1-Summary!$B$11)*T3236+Summary!$B$11*V3236</f>
        <v/>
      </c>
      <c r="P3236">
        <f>IF(B3266=0,0,O3236/B3266)</f>
        <v/>
      </c>
      <c r="Q3236">
        <f>IFERROR(1/IF(Inputs!$B$39="pvp",15,MAX(0.1,Skills!D14-IF(Skills!E14=TRUE,1.0,0))),0)</f>
        <v/>
      </c>
      <c r="R3236">
        <f>IF(AND(Inputs!$B$39&lt;&gt;"pvp",Inputs!$B$44&gt;0),IF(MAX(0,Inputs!$B$44-B3267)&lt;=0,0,(INT(MAX(0,Inputs!$B$44-B3267)/IF(Inputs!$B$39="pvp",15,MAX(0.1,Skills!D14-IF(Skills!E14=TRUE,1.0,0))))+1)),0)</f>
        <v/>
      </c>
      <c r="S3236">
        <f>IFERROR(O3236/N3236,0)</f>
        <v/>
      </c>
      <c r="T3236">
        <f>IF(C3236,(H3236*N3236*IF(AND(Inputs!$B$39&lt;&gt;"pvp",Inputs!$B$44&gt;0),((Skills!G14*((R3236-1)*IF(Skills!H14&gt;0,Skills!I14/Skills!H14,1)+IF(Skills!H14&gt;0,MIN(Skills!I14,MAX(0,MAX(0,Inputs!$B$44-B3267)-((R3236-1)*IF(Inputs!$B$39="pvp",15,MAX(0.1,Skills!D14-IF(Skills!E14=TRUE,1.0,0))))))/Skills!H14,1)))/Inputs!$B$44),G3236*Q3236))*IF(Inputs!$B$39="pvp",1,1+(Inputs!$B$20+((C3249=TRUE)*(F3249-Calc!F27))+Skills!P14+B3263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Hunt"),CHOOSE(ArtifactsInput!$N$35+1,15,18,21,24,27,30)*(1-EXP(-(0.2*B3258)*5)),0)+IF(AND(ArtifactsInput!$M$22,Inputs!$B$4&lt;&gt;"Chapter Hunt"),CHOOSE(ArtifactsInput!$N$22+1,10,12,14,16,18,20)*((0*(((0.15*B3258*5))^0/1)+1*(((0.15*B3258*5))^1/1)+2*(((0.15*B3258*5))^2/2)+3*(((0.15*B3258*5))^3/6)+4*(((0.15*B3258*5))^4/24)+5*(((0.15*B3258*5))^5/120))/((((0.15*B3258*5))^0/1)+(((0.15*B3258*5))^1/1)+(((0.15*B3258*5))^2/2)+(((0.15*B3258*5))^3/6)+(((0.15*B3258*5))^4/24)+(((0.15*B3258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3236*(1-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3236*(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3236*(1-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3236*(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36">
        <f>IF(C3236,(H3236*N3236*IF(AND(Inputs!$B$39&lt;&gt;"pvp",Inputs!$B$44&gt;0),((Skills!G14*((R3236-1)*IF(Skills!H14&gt;0,Skills!I14/Skills!H14,1)+IF(Skills!H14&gt;0,MIN(Skills!I14,MAX(0,MAX(0,Inputs!$B$44-B3267)-((R3236-1)*IF(Inputs!$B$39="pvp",15,MAX(0.1,Skills!D14-IF(Skills!E14=TRUE,1.0,0))))))/Skills!H14,1)))/Inputs!$B$44),G3236*Q3236))*IF(Inputs!$B$39="pvp",1,(1+(Inputs!$B$21+Skills!Q14+B3263+(IF(ArtifactsInput!$M$33,CHOOSE(ArtifactsInput!$N$33+1,30,36,42,48,54,60),0))+(IF(AND(ArtifactsInput!$M$35,Inputs!$B$4&lt;&gt;"Chapter Hunt"),CHOOSE(ArtifactsInput!$N$35+1,15,18,21,24,27,30)*(1-EXP(-(0.2*B3258)*5)),0)+IF(AND(ArtifactsInput!$M$22,Inputs!$B$4&lt;&gt;"Chapter Hunt"),CHOOSE(ArtifactsInput!$N$22+1,10,12,14,16,18,20)*((0*(((0.15*B3258*5))^0/1)+1*(((0.15*B3258*5))^1/1)+2*(((0.15*B3258*5))^2/2)+3*(((0.15*B3258*5))^3/6)+4*(((0.15*B3258*5))^4/24)+5*(((0.15*B3258*5))^5/120))/((((0.15*B3258*5))^0/1)+(((0.15*B3258*5))^1/1)+(((0.15*B3258*5))^2/2)+(((0.15*B3258*5))^3/6)+(((0.15*B3258*5))^4/24)+(((0.15*B3258*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37">
      <c r="A3237">
        <f>Skills!A15</f>
        <v/>
      </c>
      <c r="B3237">
        <f>Skills!B15</f>
        <v/>
      </c>
      <c r="C3237">
        <f>Inputs!$B$3&gt;=110</f>
        <v/>
      </c>
      <c r="D3237">
        <f>IF(Skills!C15=1,60+Inputs!$B$25+Inputs!$B$29,IF(Skills!C15=2,90+Inputs!$B$26+Inputs!$B$29,IF(Skills!C15=3,120+Inputs!$B$27+Inputs!$B$29,MAX(0,(Inputs!$B$3-100)*3)+Inputs!$B$28+Inputs!$B$29)))</f>
        <v/>
      </c>
      <c r="E3237">
        <f>INDEX(FactorTable!$B$2:$Y$301, MATCH(ROUND(MIN(300,MAX(1,D3237)),0), FactorTable!$A$2:$A$301,0), Skills!M15+1)</f>
        <v/>
      </c>
      <c r="F3237">
        <f>IF(Skills!N15=TRUE,(Skills!L15/10)*(E3237/1000),Skills!L15/10)+Skills!O15</f>
        <v/>
      </c>
      <c r="G3237">
        <f>Calc!G15</f>
        <v/>
      </c>
      <c r="H3237">
        <f>Calc!H15</f>
        <v/>
      </c>
      <c r="I3237">
        <f>IF(Skills!AA15&lt;&gt;"",1+(Skills!AA15/10)*(U3225/1000)/100,1)</f>
        <v/>
      </c>
      <c r="J3237" t="inlineStr"/>
      <c r="K3237" t="inlineStr"/>
      <c r="L3237" t="inlineStr"/>
      <c r="M3237" t="inlineStr"/>
      <c r="N3237" t="inlineStr"/>
      <c r="O3237">
        <f>(1-Summary!$B$11)*T3237+Summary!$B$11*V3237</f>
        <v/>
      </c>
      <c r="P3237">
        <f>IF(B3266=0,0,O3237/B3266)</f>
        <v/>
      </c>
      <c r="Q3237">
        <f>IFERROR(1/IF(Inputs!$B$39="pvp",15,MAX(0.1,Skills!D15-IF(Skills!E15=TRUE,1.0,0))),0)</f>
        <v/>
      </c>
      <c r="R3237">
        <f>IF(AND(Inputs!$B$39&lt;&gt;"pvp",Inputs!$B$44&gt;0),IF(Inputs!$B$44&lt;=0,0,(INT(Inputs!$B$44/IF(Inputs!$B$39="pvp",15,MAX(0.1,Skills!D15-IF(Skills!E15=TRUE,1.0,0))))+1)),0)</f>
        <v/>
      </c>
      <c r="S3237">
        <f>IFERROR(O3237/N3237,0)</f>
        <v/>
      </c>
      <c r="T3237" t="n">
        <v>0</v>
      </c>
      <c r="V3237" t="n">
        <v>0</v>
      </c>
    </row>
    <row r="3238">
      <c r="A3238">
        <f>Skills!A16</f>
        <v/>
      </c>
      <c r="B3238">
        <f>Skills!B16</f>
        <v/>
      </c>
      <c r="C3238">
        <f>Inputs!$B$3&gt;=110</f>
        <v/>
      </c>
      <c r="D3238">
        <f>IF(Skills!C16=1,60+Inputs!$B$25+Inputs!$B$29,IF(Skills!C16=2,90+Inputs!$B$26+Inputs!$B$29,IF(Skills!C16=3,120+Inputs!$B$27+Inputs!$B$29,MAX(0,(Inputs!$B$3-100)*3)+Inputs!$B$28+Inputs!$B$29)))</f>
        <v/>
      </c>
      <c r="E3238">
        <f>INDEX(FactorTable!$B$2:$Y$301, MATCH(ROUND(MIN(300,MAX(1,D3238)),0), FactorTable!$A$2:$A$301,0), Skills!M16+1)</f>
        <v/>
      </c>
      <c r="F3238">
        <f>IF(Skills!N16=TRUE,(Skills!L16/10)*(E3238/1000),Skills!L16/10)+Skills!O16</f>
        <v/>
      </c>
      <c r="G3238">
        <f>Calc!G16</f>
        <v/>
      </c>
      <c r="H3238">
        <f>Calc!H16</f>
        <v/>
      </c>
      <c r="I3238">
        <f>IF(Skills!AA16&lt;&gt;"",1+(Skills!AA16/10)*(U3225/1000)/100,1)</f>
        <v/>
      </c>
      <c r="J3238" t="inlineStr"/>
      <c r="K3238" t="inlineStr"/>
      <c r="L3238" t="inlineStr"/>
      <c r="M3238" t="inlineStr"/>
      <c r="N3238" t="inlineStr"/>
      <c r="O3238">
        <f>(1-Summary!$B$11)*T3238+Summary!$B$11*V3238</f>
        <v/>
      </c>
      <c r="P3238">
        <f>IF(B3266=0,0,O3238/B3266)</f>
        <v/>
      </c>
      <c r="Q3238">
        <f>IFERROR(1/IF(Inputs!$B$39="pvp",15,MAX(0.1,Skills!D16-IF(Skills!E16=TRUE,1.0,0))),0)</f>
        <v/>
      </c>
      <c r="R3238">
        <f>IF(AND(Inputs!$B$39&lt;&gt;"pvp",Inputs!$B$44&gt;0),IF(Inputs!$B$44&lt;=0,0,(INT(Inputs!$B$44/IF(Inputs!$B$39="pvp",15,MAX(0.1,Skills!D16-IF(Skills!E16=TRUE,1.0,0))))+1)),0)</f>
        <v/>
      </c>
      <c r="S3238">
        <f>IFERROR(O3238/N3238,0)</f>
        <v/>
      </c>
      <c r="T3238" t="n">
        <v>0</v>
      </c>
      <c r="V3238" t="n">
        <v>0</v>
      </c>
    </row>
    <row r="3239">
      <c r="A3239">
        <f>Skills!A17</f>
        <v/>
      </c>
      <c r="B3239">
        <f>Skills!B17</f>
        <v/>
      </c>
      <c r="C3239">
        <f>Inputs!$B$3&gt;=115</f>
        <v/>
      </c>
      <c r="D3239">
        <f>IF(Skills!C17=1,60+Inputs!$B$25+Inputs!$B$29,IF(Skills!C17=2,90+Inputs!$B$26+Inputs!$B$29,IF(Skills!C17=3,120+Inputs!$B$27+Inputs!$B$29,MAX(0,(Inputs!$B$3-100)*3)+Inputs!$B$28+Inputs!$B$29)))</f>
        <v/>
      </c>
      <c r="E3239">
        <f>INDEX(FactorTable!$B$2:$Y$301, MATCH(ROUND(MIN(300,MAX(1,D3239)),0), FactorTable!$A$2:$A$301,0), Skills!M17+1)</f>
        <v/>
      </c>
      <c r="F3239">
        <f>IF(Skills!N17=TRUE,(Skills!L17/10)*(E3239/1000),Skills!L17/10)+Skills!O17</f>
        <v/>
      </c>
      <c r="G3239">
        <f>Calc!G17</f>
        <v/>
      </c>
      <c r="H3239">
        <f>Calc!H17</f>
        <v/>
      </c>
      <c r="I3239">
        <f>IF(Skills!AA17&lt;&gt;"",1+(Skills!AA17/10)*(U3225/1000)/100,1)</f>
        <v/>
      </c>
      <c r="J3239">
        <f>((Inputs!$B$6*(1+Inputs!$B$7/100))+(((Inputs!$B$12*(1+Inputs!$B$13/100))-(Inputs!$B$12*(1+Inputs!$B$13/100)))+0.25*(Inputs!$B$14-Inputs!$B$14))*(1+Inputs!$B$7/100))*(F3239/100)</f>
        <v/>
      </c>
      <c r="K3239">
        <f>J3239*(1+((Inputs!$B$12*(1+Inputs!$B$13/100))*0.01+Inputs!$B$14*0.0025)/100)*(1+Inputs!$B$15/100)*(1+Inputs!$B$16/100)*(5000/(6000+Inputs!$B$43*(1-(100*(1-(1-(Inputs!$B$19+0)/100)*(1-CHOOSE(ArtifactsInput!$N$40+1,5,6,7,8,9,10)/100)^(ArtifactsInput!$M$40-ArtifactsInput!$M$40)))/100)))*(1+(Inputs!$B$24+((C3252=TRUE)*(F3252-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3245=TRUE)*(F3245-Calc!F23))+(((IF(AND(ArtifactsInput!$M$42,((Inputs!$B$9+((C3247=TRUE)*(F3247-Calc!F25))+B3262+(ArtifactsInput!$M$24-ArtifactsInput!$M$24)*CHOOSE(ArtifactsInput!$N$24+1,10,12,14,16,18,20)+IF(ArtifactsInput!$M$10,CHOOSE(ArtifactsInput!$N$10+1,15,18,21,24,27,30)*(IF(Inputs!$B$39="pvp",MIN(15,15)/15,IF(AND(Inputs!$B$39&lt;&gt;"pvp",Inputs!$B$44&gt;0),MIN(15,Inputs!$B$44)/(Inputs!$B$44),0))),0)))&gt;=100),MIN(100,((Inputs!$B$9+((C3247=TRUE)*(F3247-Calc!F25))+B3262+(ArtifactsInput!$M$24-ArtifactsInput!$M$24)*CHOOSE(ArtifactsInput!$N$24+1,10,12,14,16,18,20)+IF(ArtifactsInput!$M$10,CHOOSE(ArtifactsInput!$N$10+1,15,18,21,24,27,30)*(IF(Inputs!$B$39="pvp",MIN(15,15)/15,IF(AND(Inputs!$B$39&lt;&gt;"pvp",Inputs!$B$44&gt;0),MIN(15,Inputs!$B$44)/(Inputs!$B$44),0))),0)))-100),0))*CHOOSE(ArtifactsInput!$N$42+1,0.6,0.72,0.84,0.96,1.08,1.2))),Inputs!$B$18+((C3251=TRUE)*(F3251-Calc!F29))+(IF(AND(ArtifactsInput!$M$42,((Inputs!$B$9+((C3247=TRUE)*(F3247-Calc!F25))+B3262+(ArtifactsInput!$M$24-ArtifactsInput!$M$24)*CHOOSE(ArtifactsInput!$N$24+1,10,12,14,16,18,20)+IF(ArtifactsInput!$M$10,CHOOSE(ArtifactsInput!$N$10+1,15,18,21,24,27,30)*(IF(Inputs!$B$39="pvp",MIN(15,15)/15,IF(AND(Inputs!$B$39&lt;&gt;"pvp",Inputs!$B$44&gt;0),MIN(15,Inputs!$B$44)/(Inputs!$B$44),0))),0)))&gt;=100),CHOOSE(ArtifactsInput!$N$42+1,40,48,56,64,72,80),0))))/100)*(((1+(((C3243=TRUE)*F3243*IF(AND(Inputs!$B$39&lt;&gt;"pvp",Inputs!$B$44&gt;0),(((R3243-1)*(Skills!Y21*(1+Inputs!$B$34/100))+MIN((Skills!Y21*(1+Inputs!$B$34/100)),MAX(0,Inputs!$B$44-((R3243-1)*Skills!D21))))/Inputs!$B$44),IF(Inputs!$B$39="pvp",MIN((Skills!Y21*(1+Inputs!$B$34/100)),15)/15,(Skills!Y21*(1+Inputs!$B$34/100))/Skills!D21)))+((C3250=TRUE)*(F3250-Calc!F28))+((C3240=TRUE)*(F3240-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3237=TRUE)*F3237*IF(AND(Inputs!$B$39&lt;&gt;"pvp",Inputs!$B$44&gt;0),(((R3237-1)*(Skills!Y15*(1+Inputs!$B$34/100))+MIN((Skills!Y15*(1+Inputs!$B$34/100)),MAX(0,Inputs!$B$44-((R3237-1)*Skills!D15))))/Inputs!$B$44),IF(Inputs!$B$39="pvp",MIN((Skills!Y15*(1+Inputs!$B$34/100)),15)/15,(Skills!Y15*(1+Inputs!$B$34/100))/Skills!D15)))/100)*(1+((C3228=TRUE)*F3228*B3256)/100))*B3264*(1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3239)</f>
        <v/>
      </c>
      <c r="L3239">
        <f>K3239*(MIN(Inputs!$B$22+((C3246=TRUE)*(F3246-Calc!F24)),(Inputs!$B$23+0+(IF(ArtifactsInput!$M$15,CHOOSE(ArtifactsInput!$N$15+1,25,30,35,40,45,50)/100*(Inputs!$B$11-Inputs!$B$11),0))))/100+(Inputs!$B$23+0+(IF(ArtifactsInput!$M$15,CHOOSE(ArtifactsInput!$N$15+1,25,30,35,40,45,50)/100*(Inputs!$B$11-Inputs!$B$11),0)))/100)/2</f>
        <v/>
      </c>
      <c r="M3239">
        <f>L3239*(1+(Inputs!$B$10+((C3248=TRUE)*(F3248-Calc!F26))+B3265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39">
        <f>L3239*(1-MIN((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3239*(MIN((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39">
        <f>(1-Summary!$B$11)*T3239+Summary!$B$11*V3239</f>
        <v/>
      </c>
      <c r="P3239">
        <f>IF(B3266=0,0,O3239/B3266)</f>
        <v/>
      </c>
      <c r="Q3239" t="n">
        <v>0</v>
      </c>
      <c r="R3239" t="n">
        <v>0</v>
      </c>
      <c r="S3239">
        <f>IFERROR(O3239/N3239,0)</f>
        <v/>
      </c>
      <c r="T3239">
        <f>IF(C3239,(Inputs!$B$38*0.2*N3239)*IF(Inputs!$B$39="pvp",1,1+(Inputs!$B$20+((C3249=TRUE)*(F3249-Calc!F27))+Skills!P17+B3263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Hunt"),CHOOSE(ArtifactsInput!$N$35+1,15,18,21,24,27,30)*(1-EXP(-(0.2*B3258)*5)),0)+IF(AND(ArtifactsInput!$M$22,Inputs!$B$4&lt;&gt;"Chapter Hunt"),CHOOSE(ArtifactsInput!$N$22+1,10,12,14,16,18,20)*((0*(((0.15*B3258*5))^0/1)+1*(((0.15*B3258*5))^1/1)+2*(((0.15*B3258*5))^2/2)+3*(((0.15*B3258*5))^3/6)+4*(((0.15*B3258*5))^4/24)+5*(((0.15*B3258*5))^5/120))/((((0.15*B3258*5))^0/1)+(((0.15*B3258*5))^1/1)+(((0.15*B3258*5))^2/2)+(((0.15*B3258*5))^3/6)+(((0.15*B3258*5))^4/24)+(((0.15*B3258*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3239*(1-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3239*(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3239*(1-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3239*(MIN(100,(Inputs!$B$9+((C3247=TRUE)*(F3247-Calc!F25))+B3262+(ArtifactsInput!$M$24-ArtifactsInput!$M$24)*CHOOSE(ArtifactsInput!$N$24+1,10,12,14,16,18,20)+(IF(AND(ArtifactsInput!$M$42,((Inputs!$B$9+((C3247=TRUE)*(F3247-Calc!F25))+B3262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39">
        <f>IF(C3239,(Inputs!$B$38*0.2*N3239)*IF(Inputs!$B$39="pvp",1,(1+(Inputs!$B$21+Skills!Q17+B3263+(IF(ArtifactsInput!$M$33,CHOOSE(ArtifactsInput!$N$33+1,30,36,42,48,54,60),0))+(IF(AND(ArtifactsInput!$M$35,Inputs!$B$4&lt;&gt;"Chapter Hunt"),CHOOSE(ArtifactsInput!$N$35+1,15,18,21,24,27,30)*(1-EXP(-(0.2*B3258)*5)),0)+IF(AND(ArtifactsInput!$M$22,Inputs!$B$4&lt;&gt;"Chapter Hunt"),CHOOSE(ArtifactsInput!$N$22+1,10,12,14,16,18,20)*((0*(((0.15*B3258*5))^0/1)+1*(((0.15*B3258*5))^1/1)+2*(((0.15*B3258*5))^2/2)+3*(((0.15*B3258*5))^3/6)+4*(((0.15*B3258*5))^4/24)+5*(((0.15*B3258*5))^5/120))/((((0.15*B3258*5))^0/1)+(((0.15*B3258*5))^1/1)+(((0.15*B3258*5))^2/2)+(((0.15*B3258*5))^3/6)+(((0.15*B3258*5))^4/24)+(((0.15*B3258*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40">
      <c r="A3240">
        <f>Skills!A18</f>
        <v/>
      </c>
      <c r="B3240">
        <f>Skills!B18</f>
        <v/>
      </c>
      <c r="C3240">
        <f>Inputs!$B$3&gt;=115</f>
        <v/>
      </c>
      <c r="D3240">
        <f>IF(Skills!C18=1,60+Inputs!$B$25+Inputs!$B$29,IF(Skills!C18=2,90+Inputs!$B$26+Inputs!$B$29,IF(Skills!C18=3,120+Inputs!$B$27+Inputs!$B$29,MAX(0,(Inputs!$B$3-100)*3)+Inputs!$B$28+Inputs!$B$29)))</f>
        <v/>
      </c>
      <c r="E3240">
        <f>INDEX(FactorTable!$B$2:$Y$301, MATCH(ROUND(MIN(300,MAX(1,D3240)),0), FactorTable!$A$2:$A$301,0), Skills!M18+1)</f>
        <v/>
      </c>
      <c r="F3240">
        <f>IF(Skills!N18=TRUE,(Skills!L18/10)*(E3240/1000),Skills!L18/10)+Skills!O18</f>
        <v/>
      </c>
      <c r="G3240">
        <f>Calc!G18</f>
        <v/>
      </c>
      <c r="H3240">
        <f>Calc!H18</f>
        <v/>
      </c>
      <c r="I3240">
        <f>IF(Skills!AA18&lt;&gt;"",1+(Skills!AA18/10)*(U3225/1000)/100,1)</f>
        <v/>
      </c>
      <c r="J3240" t="inlineStr"/>
      <c r="K3240" t="inlineStr"/>
      <c r="L3240" t="inlineStr"/>
      <c r="M3240" t="inlineStr"/>
      <c r="N3240" t="inlineStr"/>
      <c r="O3240">
        <f>(1-Summary!$B$11)*T3240+Summary!$B$11*V3240</f>
        <v/>
      </c>
      <c r="P3240">
        <f>IF(B3266=0,0,O3240/B3266)</f>
        <v/>
      </c>
      <c r="Q3240" t="n">
        <v>0</v>
      </c>
      <c r="R3240" t="n">
        <v>0</v>
      </c>
      <c r="S3240">
        <f>IFERROR(O3240/N3240,0)</f>
        <v/>
      </c>
      <c r="T3240" t="n">
        <v>0</v>
      </c>
      <c r="V3240" t="n">
        <v>0</v>
      </c>
    </row>
    <row r="3241">
      <c r="A3241">
        <f>Skills!A19</f>
        <v/>
      </c>
      <c r="B3241">
        <f>Skills!B19</f>
        <v/>
      </c>
      <c r="C3241">
        <f>TRUE</f>
        <v/>
      </c>
      <c r="D3241">
        <f>IF(Skills!C19=1,60+Inputs!$B$25+Inputs!$B$29,IF(Skills!C19=2,90+Inputs!$B$26+Inputs!$B$29,IF(Skills!C19=3,120+Inputs!$B$27+Inputs!$B$29,MAX(0,(Inputs!$B$3-100)*3)+Inputs!$B$28+Inputs!$B$29)))</f>
        <v/>
      </c>
      <c r="E3241">
        <f>INDEX(FactorTable!$B$2:$Y$301, MATCH(ROUND(MIN(300,MAX(1,D3241)),0), FactorTable!$A$2:$A$301,0), Skills!M19+1)</f>
        <v/>
      </c>
      <c r="F3241">
        <f>IF(Skills!N19=TRUE,(Skills!L19/10)*(E3241/1000),Skills!L19/10)+Skills!O19</f>
        <v/>
      </c>
      <c r="G3241">
        <f>Calc!G19</f>
        <v/>
      </c>
      <c r="H3241">
        <f>Calc!H19</f>
        <v/>
      </c>
      <c r="I3241">
        <f>IF(Skills!AA19&lt;&gt;"",1+(Skills!AA19/10)*(U3225/1000)/100,1)</f>
        <v/>
      </c>
      <c r="J3241" t="inlineStr"/>
      <c r="K3241" t="inlineStr"/>
      <c r="L3241" t="inlineStr"/>
      <c r="M3241" t="inlineStr"/>
      <c r="N3241" t="inlineStr"/>
      <c r="O3241">
        <f>(1-Summary!$B$11)*T3241+Summary!$B$11*V3241</f>
        <v/>
      </c>
      <c r="P3241">
        <f>IF(B3266=0,0,O3241/B3266)</f>
        <v/>
      </c>
      <c r="Q3241">
        <f>IFERROR(1/IF(Inputs!$B$39="pvp",15,MAX(0.1,Skills!D19-IF(Skills!E19=TRUE,1.0,0))),0)</f>
        <v/>
      </c>
      <c r="R3241">
        <f>IF(AND(Inputs!$B$39&lt;&gt;"pvp",Inputs!$B$44&gt;0),IF(Inputs!$B$44&lt;=0,0,(INT(Inputs!$B$44/IF(Inputs!$B$39="pvp",15,MAX(0.1,Skills!D19-IF(Skills!E19=TRUE,1.0,0))))+1)),0)</f>
        <v/>
      </c>
      <c r="S3241">
        <f>IFERROR(O3241/N3241,0)</f>
        <v/>
      </c>
      <c r="T3241" t="n">
        <v>0</v>
      </c>
      <c r="V3241" t="n">
        <v>0</v>
      </c>
    </row>
    <row r="3242">
      <c r="A3242">
        <f>Skills!A20</f>
        <v/>
      </c>
      <c r="B3242">
        <f>Skills!B20</f>
        <v/>
      </c>
      <c r="C3242">
        <f>Inputs!$B$3&gt;=15</f>
        <v/>
      </c>
      <c r="D3242">
        <f>IF(Skills!C20=1,60+Inputs!$B$25+Inputs!$B$29,IF(Skills!C20=2,90+Inputs!$B$26+Inputs!$B$29,IF(Skills!C20=3,120+Inputs!$B$27+Inputs!$B$29,MAX(0,(Inputs!$B$3-100)*3)+Inputs!$B$28+Inputs!$B$29)))</f>
        <v/>
      </c>
      <c r="E3242">
        <f>INDEX(FactorTable!$B$2:$Y$301, MATCH(ROUND(MIN(300,MAX(1,D3242)),0), FactorTable!$A$2:$A$301,0), Skills!M20+1)</f>
        <v/>
      </c>
      <c r="F3242">
        <f>IF(Skills!N20=TRUE,(Skills!L20/10)*(E3242/1000),Skills!L20/10)+Skills!O20</f>
        <v/>
      </c>
      <c r="G3242">
        <f>Calc!G20</f>
        <v/>
      </c>
      <c r="H3242">
        <f>Calc!H20</f>
        <v/>
      </c>
      <c r="I3242">
        <f>IF(Skills!AA20&lt;&gt;"",1+(Skills!AA20/10)*(U3225/1000)/100,1)</f>
        <v/>
      </c>
      <c r="J3242" t="inlineStr"/>
      <c r="K3242" t="inlineStr"/>
      <c r="L3242" t="inlineStr"/>
      <c r="M3242" t="inlineStr"/>
      <c r="N3242" t="inlineStr"/>
      <c r="O3242">
        <f>(1-Summary!$B$11)*T3242+Summary!$B$11*V3242</f>
        <v/>
      </c>
      <c r="P3242">
        <f>IF(B3266=0,0,O3242/B3266)</f>
        <v/>
      </c>
      <c r="Q3242">
        <f>IFERROR(1/IF(Inputs!$B$39="pvp",15,MAX(0.1,Skills!D20-IF(Skills!E20=TRUE,1.0,0))),0)</f>
        <v/>
      </c>
      <c r="R3242">
        <f>IF(AND(Inputs!$B$39&lt;&gt;"pvp",Inputs!$B$44&gt;0),IF(Inputs!$B$44&lt;=0,0,(INT(Inputs!$B$44/IF(Inputs!$B$39="pvp",15,MAX(0.1,Skills!D20-IF(Skills!E20=TRUE,1.0,0))))+1)),0)</f>
        <v/>
      </c>
      <c r="S3242">
        <f>IFERROR(O3242/N3242,0)</f>
        <v/>
      </c>
      <c r="T3242" t="n">
        <v>0</v>
      </c>
      <c r="V3242" t="n">
        <v>0</v>
      </c>
    </row>
    <row r="3243">
      <c r="A3243">
        <f>Skills!A21</f>
        <v/>
      </c>
      <c r="B3243">
        <f>Skills!B21</f>
        <v/>
      </c>
      <c r="C3243">
        <f>Inputs!$B$3&gt;=15</f>
        <v/>
      </c>
      <c r="D3243">
        <f>IF(Skills!C21=1,60+Inputs!$B$25+Inputs!$B$29,IF(Skills!C21=2,90+Inputs!$B$26+Inputs!$B$29,IF(Skills!C21=3,120+Inputs!$B$27+Inputs!$B$29,MAX(0,(Inputs!$B$3-100)*3)+Inputs!$B$28+Inputs!$B$29)))</f>
        <v/>
      </c>
      <c r="E3243">
        <f>INDEX(FactorTable!$B$2:$Y$301, MATCH(ROUND(MIN(300,MAX(1,D3243)),0), FactorTable!$A$2:$A$301,0), Skills!M21+1)</f>
        <v/>
      </c>
      <c r="F3243">
        <f>IF(Skills!N21=TRUE,(Skills!L21/10)*(E3243/1000),Skills!L21/10)+Skills!O21</f>
        <v/>
      </c>
      <c r="G3243">
        <f>Calc!G21</f>
        <v/>
      </c>
      <c r="H3243">
        <f>Calc!H21</f>
        <v/>
      </c>
      <c r="I3243">
        <f>IF(Skills!AA21&lt;&gt;"",1+(Skills!AA21/10)*(U3225/1000)/100,1)</f>
        <v/>
      </c>
      <c r="J3243" t="inlineStr"/>
      <c r="K3243" t="inlineStr"/>
      <c r="L3243" t="inlineStr"/>
      <c r="M3243" t="inlineStr"/>
      <c r="N3243" t="inlineStr"/>
      <c r="O3243">
        <f>(1-Summary!$B$11)*T3243+Summary!$B$11*V3243</f>
        <v/>
      </c>
      <c r="P3243">
        <f>IF(B3266=0,0,O3243/B3266)</f>
        <v/>
      </c>
      <c r="Q3243">
        <f>IFERROR(1/IF(Inputs!$B$39="pvp",15,MAX(0.1,Skills!D21-IF(Skills!E21=TRUE,1.0,0))),0)</f>
        <v/>
      </c>
      <c r="R3243">
        <f>IF(AND(Inputs!$B$39&lt;&gt;"pvp",Inputs!$B$44&gt;0),IF(Inputs!$B$44&lt;=0,0,(INT(Inputs!$B$44/IF(Inputs!$B$39="pvp",15,MAX(0.1,Skills!D21-IF(Skills!E21=TRUE,1.0,0))))+1)),0)</f>
        <v/>
      </c>
      <c r="S3243">
        <f>IFERROR(O3243/N3243,0)</f>
        <v/>
      </c>
      <c r="T3243" t="n">
        <v>0</v>
      </c>
      <c r="V3243" t="n">
        <v>0</v>
      </c>
    </row>
    <row r="3244">
      <c r="A3244">
        <f>Skills!A22</f>
        <v/>
      </c>
      <c r="B3244">
        <f>Skills!B22</f>
        <v/>
      </c>
      <c r="C3244">
        <f>Inputs!$B$3&gt;=33</f>
        <v/>
      </c>
      <c r="D3244">
        <f>IF(Skills!C22=1,60+Inputs!$B$25+Inputs!$B$29,IF(Skills!C22=2,90+Inputs!$B$26+Inputs!$B$29,IF(Skills!C22=3,120+Inputs!$B$27+Inputs!$B$29,MAX(0,(Inputs!$B$3-100)*3)+Inputs!$B$28+Inputs!$B$29)))</f>
        <v/>
      </c>
      <c r="E3244">
        <f>INDEX(FactorTable!$B$2:$Y$301, MATCH(ROUND(MIN(300,MAX(1,D3244)),0), FactorTable!$A$2:$A$301,0), Skills!M22+1)</f>
        <v/>
      </c>
      <c r="F3244">
        <f>IF(Skills!N22=TRUE,(Skills!L22/10)*(E3244/1000),Skills!L22/10)+Skills!O22</f>
        <v/>
      </c>
      <c r="G3244">
        <f>Calc!G22</f>
        <v/>
      </c>
      <c r="H3244">
        <f>Calc!H22</f>
        <v/>
      </c>
      <c r="I3244">
        <f>IF(Skills!AA22&lt;&gt;"",1+(Skills!AA22/10)*(U3225/1000)/100,1)</f>
        <v/>
      </c>
      <c r="J3244" t="inlineStr"/>
      <c r="K3244" t="inlineStr"/>
      <c r="L3244" t="inlineStr"/>
      <c r="M3244" t="inlineStr"/>
      <c r="N3244" t="inlineStr"/>
      <c r="O3244">
        <f>(1-Summary!$B$11)*T3244+Summary!$B$11*V3244</f>
        <v/>
      </c>
      <c r="P3244">
        <f>IF(B3266=0,0,O3244/B3266)</f>
        <v/>
      </c>
      <c r="Q3244" t="n">
        <v>0</v>
      </c>
      <c r="R3244" t="n">
        <v>0</v>
      </c>
      <c r="S3244">
        <f>IFERROR(O3244/N3244,0)</f>
        <v/>
      </c>
      <c r="T3244" t="n">
        <v>0</v>
      </c>
      <c r="V3244" t="n">
        <v>0</v>
      </c>
    </row>
    <row r="3245">
      <c r="A3245">
        <f>Skills!A23</f>
        <v/>
      </c>
      <c r="B3245">
        <f>Skills!B23</f>
        <v/>
      </c>
      <c r="C3245">
        <f>Inputs!$B$3&gt;=38</f>
        <v/>
      </c>
      <c r="D3245">
        <f>IF(Skills!C23=1,60+Inputs!$B$25+Inputs!$B$29,IF(Skills!C23=2,90+Inputs!$B$26+Inputs!$B$29,IF(Skills!C23=3,120+Inputs!$B$27+Inputs!$B$29,MAX(0,(Inputs!$B$3-100)*3)+Inputs!$B$28+Inputs!$B$29)))</f>
        <v/>
      </c>
      <c r="E3245">
        <f>INDEX(FactorTable!$B$2:$Y$301, MATCH(ROUND(MIN(300,MAX(1,D3245)),0), FactorTable!$A$2:$A$301,0), Skills!M23+1)</f>
        <v/>
      </c>
      <c r="F3245">
        <f>IF(Skills!N23=TRUE,(Skills!L23/10)*(E3245/1000),Skills!L23/10)+Skills!O23</f>
        <v/>
      </c>
      <c r="G3245">
        <f>Calc!G23</f>
        <v/>
      </c>
      <c r="H3245">
        <f>Calc!H23</f>
        <v/>
      </c>
      <c r="I3245">
        <f>IF(Skills!AA23&lt;&gt;"",1+(Skills!AA23/10)*(U3225/1000)/100,1)</f>
        <v/>
      </c>
      <c r="J3245" t="inlineStr"/>
      <c r="K3245" t="inlineStr"/>
      <c r="L3245" t="inlineStr"/>
      <c r="M3245" t="inlineStr"/>
      <c r="N3245" t="inlineStr"/>
      <c r="O3245">
        <f>(1-Summary!$B$11)*T3245+Summary!$B$11*V3245</f>
        <v/>
      </c>
      <c r="P3245">
        <f>IF(B3266=0,0,O3245/B3266)</f>
        <v/>
      </c>
      <c r="Q3245" t="n">
        <v>0</v>
      </c>
      <c r="R3245" t="n">
        <v>0</v>
      </c>
      <c r="S3245">
        <f>IFERROR(O3245/N3245,0)</f>
        <v/>
      </c>
      <c r="T3245" t="n">
        <v>0</v>
      </c>
      <c r="V3245" t="n">
        <v>0</v>
      </c>
    </row>
    <row r="3246">
      <c r="A3246">
        <f>Skills!A24</f>
        <v/>
      </c>
      <c r="B3246">
        <f>Skills!B24</f>
        <v/>
      </c>
      <c r="C3246">
        <f>Inputs!$B$3&gt;=40</f>
        <v/>
      </c>
      <c r="D3246">
        <f>IF(Skills!C24=1,60+Inputs!$B$25+Inputs!$B$29,IF(Skills!C24=2,90+Inputs!$B$26+Inputs!$B$29,IF(Skills!C24=3,120+Inputs!$B$27+Inputs!$B$29,MAX(0,(Inputs!$B$3-100)*3)+Inputs!$B$28+Inputs!$B$29)))</f>
        <v/>
      </c>
      <c r="E3246">
        <f>INDEX(FactorTable!$B$2:$Y$301, MATCH(ROUND(MIN(300,MAX(1,D3246)),0), FactorTable!$A$2:$A$301,0), Skills!M24+1)</f>
        <v/>
      </c>
      <c r="F3246">
        <f>IF(Skills!N24=TRUE,(Skills!L24/10)*(E3246/1000),Skills!L24/10)+Skills!O24</f>
        <v/>
      </c>
      <c r="G3246">
        <f>Calc!G24</f>
        <v/>
      </c>
      <c r="H3246">
        <f>Calc!H24</f>
        <v/>
      </c>
      <c r="I3246">
        <f>IF(Skills!AA24&lt;&gt;"",1+(Skills!AA24/10)*(U3225/1000)/100,1)</f>
        <v/>
      </c>
      <c r="J3246" t="inlineStr"/>
      <c r="K3246" t="inlineStr"/>
      <c r="L3246" t="inlineStr"/>
      <c r="M3246" t="inlineStr"/>
      <c r="N3246" t="inlineStr"/>
      <c r="O3246">
        <f>(1-Summary!$B$11)*T3246+Summary!$B$11*V3246</f>
        <v/>
      </c>
      <c r="P3246">
        <f>IF(B3266=0,0,O3246/B3266)</f>
        <v/>
      </c>
      <c r="Q3246" t="n">
        <v>0</v>
      </c>
      <c r="R3246" t="n">
        <v>0</v>
      </c>
      <c r="S3246">
        <f>IFERROR(O3246/N3246,0)</f>
        <v/>
      </c>
      <c r="T3246" t="n">
        <v>0</v>
      </c>
      <c r="V3246" t="n">
        <v>0</v>
      </c>
    </row>
    <row r="3247">
      <c r="A3247">
        <f>Skills!A25</f>
        <v/>
      </c>
      <c r="B3247">
        <f>Skills!B25</f>
        <v/>
      </c>
      <c r="C3247">
        <f>Inputs!$B$3&gt;=45</f>
        <v/>
      </c>
      <c r="D3247">
        <f>IF(Skills!C25=1,60+Inputs!$B$25+Inputs!$B$29,IF(Skills!C25=2,90+Inputs!$B$26+Inputs!$B$29,IF(Skills!C25=3,120+Inputs!$B$27+Inputs!$B$29,MAX(0,(Inputs!$B$3-100)*3)+Inputs!$B$28+Inputs!$B$29)))</f>
        <v/>
      </c>
      <c r="E3247">
        <f>INDEX(FactorTable!$B$2:$Y$301, MATCH(ROUND(MIN(300,MAX(1,D3247)),0), FactorTable!$A$2:$A$301,0), Skills!M25+1)</f>
        <v/>
      </c>
      <c r="F3247">
        <f>IF(Skills!N25=TRUE,(Skills!L25/10)*(E3247/1000),Skills!L25/10)+Skills!O25</f>
        <v/>
      </c>
      <c r="G3247">
        <f>Calc!G25</f>
        <v/>
      </c>
      <c r="H3247">
        <f>Calc!H25</f>
        <v/>
      </c>
      <c r="I3247">
        <f>IF(Skills!AA25&lt;&gt;"",1+(Skills!AA25/10)*(U3225/1000)/100,1)</f>
        <v/>
      </c>
      <c r="J3247" t="inlineStr"/>
      <c r="K3247" t="inlineStr"/>
      <c r="L3247" t="inlineStr"/>
      <c r="M3247" t="inlineStr"/>
      <c r="N3247" t="inlineStr"/>
      <c r="O3247">
        <f>(1-Summary!$B$11)*T3247+Summary!$B$11*V3247</f>
        <v/>
      </c>
      <c r="P3247">
        <f>IF(B3266=0,0,O3247/B3266)</f>
        <v/>
      </c>
      <c r="Q3247" t="n">
        <v>0</v>
      </c>
      <c r="R3247" t="n">
        <v>0</v>
      </c>
      <c r="S3247">
        <f>IFERROR(O3247/N3247,0)</f>
        <v/>
      </c>
      <c r="T3247" t="n">
        <v>0</v>
      </c>
      <c r="V3247" t="n">
        <v>0</v>
      </c>
    </row>
    <row r="3248">
      <c r="A3248">
        <f>Skills!A26</f>
        <v/>
      </c>
      <c r="B3248">
        <f>Skills!B26</f>
        <v/>
      </c>
      <c r="C3248">
        <f>Inputs!$B$3&gt;=45</f>
        <v/>
      </c>
      <c r="D3248">
        <f>IF(Skills!C26=1,60+Inputs!$B$25+Inputs!$B$29,IF(Skills!C26=2,90+Inputs!$B$26+Inputs!$B$29,IF(Skills!C26=3,120+Inputs!$B$27+Inputs!$B$29,MAX(0,(Inputs!$B$3-100)*3)+Inputs!$B$28+Inputs!$B$29)))</f>
        <v/>
      </c>
      <c r="E3248">
        <f>INDEX(FactorTable!$B$2:$Y$301, MATCH(ROUND(MIN(300,MAX(1,D3248)),0), FactorTable!$A$2:$A$301,0), Skills!M26+1)</f>
        <v/>
      </c>
      <c r="F3248">
        <f>IF(Skills!N26=TRUE,(Skills!L26/10)*(E3248/1000),Skills!L26/10)+Skills!O26</f>
        <v/>
      </c>
      <c r="G3248">
        <f>Calc!G26</f>
        <v/>
      </c>
      <c r="H3248">
        <f>Calc!H26</f>
        <v/>
      </c>
      <c r="I3248">
        <f>IF(Skills!AA26&lt;&gt;"",1+(Skills!AA26/10)*(U3225/1000)/100,1)</f>
        <v/>
      </c>
      <c r="J3248" t="inlineStr"/>
      <c r="K3248" t="inlineStr"/>
      <c r="L3248" t="inlineStr"/>
      <c r="M3248" t="inlineStr"/>
      <c r="N3248" t="inlineStr"/>
      <c r="O3248">
        <f>(1-Summary!$B$11)*T3248+Summary!$B$11*V3248</f>
        <v/>
      </c>
      <c r="P3248">
        <f>IF(B3266=0,0,O3248/B3266)</f>
        <v/>
      </c>
      <c r="Q3248" t="n">
        <v>0</v>
      </c>
      <c r="R3248" t="n">
        <v>0</v>
      </c>
      <c r="S3248">
        <f>IFERROR(O3248/N3248,0)</f>
        <v/>
      </c>
      <c r="T3248" t="n">
        <v>0</v>
      </c>
      <c r="V3248" t="n">
        <v>0</v>
      </c>
    </row>
    <row r="3249">
      <c r="A3249">
        <f>Skills!A27</f>
        <v/>
      </c>
      <c r="B3249">
        <f>Skills!B27</f>
        <v/>
      </c>
      <c r="C3249">
        <f>Inputs!$B$3&gt;=72</f>
        <v/>
      </c>
      <c r="D3249">
        <f>IF(Skills!C27=1,60+Inputs!$B$25+Inputs!$B$29,IF(Skills!C27=2,90+Inputs!$B$26+Inputs!$B$29,IF(Skills!C27=3,120+Inputs!$B$27+Inputs!$B$29,MAX(0,(Inputs!$B$3-100)*3)+Inputs!$B$28+Inputs!$B$29)))</f>
        <v/>
      </c>
      <c r="E3249">
        <f>INDEX(FactorTable!$B$2:$Y$301, MATCH(ROUND(MIN(300,MAX(1,D3249)),0), FactorTable!$A$2:$A$301,0), Skills!M27+1)</f>
        <v/>
      </c>
      <c r="F3249">
        <f>IF(Skills!N27=TRUE,(Skills!L27/10)*(E3249/1000),Skills!L27/10)+Skills!O27</f>
        <v/>
      </c>
      <c r="G3249">
        <f>Calc!G27</f>
        <v/>
      </c>
      <c r="H3249">
        <f>Calc!H27</f>
        <v/>
      </c>
      <c r="I3249">
        <f>IF(Skills!AA27&lt;&gt;"",1+(Skills!AA27/10)*(U3225/1000)/100,1)</f>
        <v/>
      </c>
      <c r="J3249" t="inlineStr"/>
      <c r="K3249" t="inlineStr"/>
      <c r="L3249" t="inlineStr"/>
      <c r="M3249" t="inlineStr"/>
      <c r="N3249" t="inlineStr"/>
      <c r="O3249">
        <f>(1-Summary!$B$11)*T3249+Summary!$B$11*V3249</f>
        <v/>
      </c>
      <c r="P3249">
        <f>IF(B3266=0,0,O3249/B3266)</f>
        <v/>
      </c>
      <c r="Q3249" t="n">
        <v>0</v>
      </c>
      <c r="R3249" t="n">
        <v>0</v>
      </c>
      <c r="S3249">
        <f>IFERROR(O3249/N3249,0)</f>
        <v/>
      </c>
      <c r="T3249" t="n">
        <v>0</v>
      </c>
      <c r="V3249" t="n">
        <v>0</v>
      </c>
    </row>
    <row r="3250">
      <c r="A3250">
        <f>Skills!A28</f>
        <v/>
      </c>
      <c r="B3250">
        <f>Skills!B28</f>
        <v/>
      </c>
      <c r="C3250">
        <f>Inputs!$B$3&gt;=75</f>
        <v/>
      </c>
      <c r="D3250">
        <f>IF(Skills!C28=1,60+Inputs!$B$25+Inputs!$B$29,IF(Skills!C28=2,90+Inputs!$B$26+Inputs!$B$29,IF(Skills!C28=3,120+Inputs!$B$27+Inputs!$B$29,MAX(0,(Inputs!$B$3-100)*3)+Inputs!$B$28+Inputs!$B$29)))</f>
        <v/>
      </c>
      <c r="E3250">
        <f>INDEX(FactorTable!$B$2:$Y$301, MATCH(ROUND(MIN(300,MAX(1,D3250)),0), FactorTable!$A$2:$A$301,0), Skills!M28+1)</f>
        <v/>
      </c>
      <c r="F3250">
        <f>IF(Skills!N28=TRUE,(Skills!L28/10)*(E3250/1000),Skills!L28/10)+Skills!O28</f>
        <v/>
      </c>
      <c r="G3250">
        <f>Calc!G28</f>
        <v/>
      </c>
      <c r="H3250">
        <f>Calc!H28</f>
        <v/>
      </c>
      <c r="I3250">
        <f>IF(Skills!AA28&lt;&gt;"",1+(Skills!AA28/10)*(U3225/1000)/100,1)</f>
        <v/>
      </c>
      <c r="J3250" t="inlineStr"/>
      <c r="K3250" t="inlineStr"/>
      <c r="L3250" t="inlineStr"/>
      <c r="M3250" t="inlineStr"/>
      <c r="N3250" t="inlineStr"/>
      <c r="O3250">
        <f>(1-Summary!$B$11)*T3250+Summary!$B$11*V3250</f>
        <v/>
      </c>
      <c r="P3250">
        <f>IF(B3266=0,0,O3250/B3266)</f>
        <v/>
      </c>
      <c r="Q3250" t="n">
        <v>0</v>
      </c>
      <c r="R3250" t="n">
        <v>0</v>
      </c>
      <c r="S3250">
        <f>IFERROR(O3250/N3250,0)</f>
        <v/>
      </c>
      <c r="T3250" t="n">
        <v>0</v>
      </c>
      <c r="V3250" t="n">
        <v>0</v>
      </c>
    </row>
    <row r="3251">
      <c r="A3251">
        <f>Skills!A29</f>
        <v/>
      </c>
      <c r="B3251">
        <f>Skills!B29</f>
        <v/>
      </c>
      <c r="C3251">
        <f>Inputs!$B$3&gt;=120</f>
        <v/>
      </c>
      <c r="D3251">
        <f>IF(Skills!C29=1,60+Inputs!$B$25+Inputs!$B$29,IF(Skills!C29=2,90+Inputs!$B$26+Inputs!$B$29,IF(Skills!C29=3,120+Inputs!$B$27+Inputs!$B$29,MAX(0,(Inputs!$B$3-100)*3)+Inputs!$B$28+Inputs!$B$29)))</f>
        <v/>
      </c>
      <c r="E3251">
        <f>INDEX(FactorTable!$B$2:$Y$301, MATCH(ROUND(MIN(300,MAX(1,D3251)),0), FactorTable!$A$2:$A$301,0), Skills!M29+1)</f>
        <v/>
      </c>
      <c r="F3251">
        <f>IF(Skills!N29=TRUE,(Skills!L29/10)*(E3251/1000),Skills!L29/10)+Skills!O29</f>
        <v/>
      </c>
      <c r="G3251">
        <f>Calc!G29</f>
        <v/>
      </c>
      <c r="H3251">
        <f>Calc!H29</f>
        <v/>
      </c>
      <c r="I3251">
        <f>IF(Skills!AA29&lt;&gt;"",1+(Skills!AA29/10)*(U3225/1000)/100,1)</f>
        <v/>
      </c>
      <c r="J3251" t="inlineStr"/>
      <c r="K3251" t="inlineStr"/>
      <c r="L3251" t="inlineStr"/>
      <c r="M3251" t="inlineStr"/>
      <c r="N3251" t="inlineStr"/>
      <c r="O3251">
        <f>(1-Summary!$B$11)*T3251+Summary!$B$11*V3251</f>
        <v/>
      </c>
      <c r="P3251">
        <f>IF(B3266=0,0,O3251/B3266)</f>
        <v/>
      </c>
      <c r="Q3251" t="n">
        <v>0</v>
      </c>
      <c r="R3251" t="n">
        <v>0</v>
      </c>
      <c r="S3251">
        <f>IFERROR(O3251/N3251,0)</f>
        <v/>
      </c>
      <c r="T3251" t="n">
        <v>0</v>
      </c>
      <c r="V3251" t="n">
        <v>0</v>
      </c>
    </row>
    <row r="3252">
      <c r="A3252">
        <f>Skills!A30</f>
        <v/>
      </c>
      <c r="B3252">
        <f>Skills!B30</f>
        <v/>
      </c>
      <c r="C3252">
        <f>Inputs!$B$3&gt;=125</f>
        <v/>
      </c>
      <c r="D3252">
        <f>IF(Skills!C30=1,60+Inputs!$B$25+Inputs!$B$29,IF(Skills!C30=2,90+Inputs!$B$26+Inputs!$B$29,IF(Skills!C30=3,120+Inputs!$B$27+Inputs!$B$29,MAX(0,(Inputs!$B$3-100)*3)+Inputs!$B$28+Inputs!$B$29)))</f>
        <v/>
      </c>
      <c r="E3252">
        <f>INDEX(FactorTable!$B$2:$Y$301, MATCH(ROUND(MIN(300,MAX(1,D3252)),0), FactorTable!$A$2:$A$301,0), Skills!M30+1)</f>
        <v/>
      </c>
      <c r="F3252">
        <f>IF(Skills!N30=TRUE,(Skills!L30/10)*(E3252/1000),Skills!L30/10)+Skills!O30</f>
        <v/>
      </c>
      <c r="G3252">
        <f>Calc!G30</f>
        <v/>
      </c>
      <c r="H3252">
        <f>Calc!H30</f>
        <v/>
      </c>
      <c r="I3252">
        <f>IF(Skills!AA30&lt;&gt;"",1+(Skills!AA30/10)*(U3225/1000)/100,1)</f>
        <v/>
      </c>
      <c r="J3252" t="inlineStr"/>
      <c r="K3252" t="inlineStr"/>
      <c r="L3252" t="inlineStr"/>
      <c r="M3252" t="inlineStr"/>
      <c r="N3252" t="inlineStr"/>
      <c r="O3252">
        <f>(1-Summary!$B$11)*T3252+Summary!$B$11*V3252</f>
        <v/>
      </c>
      <c r="P3252">
        <f>IF(B3266=0,0,O3252/B3266)</f>
        <v/>
      </c>
      <c r="Q3252" t="n">
        <v>0</v>
      </c>
      <c r="R3252" t="n">
        <v>0</v>
      </c>
      <c r="S3252">
        <f>IFERROR(O3252/N3252,0)</f>
        <v/>
      </c>
      <c r="T3252" t="n">
        <v>0</v>
      </c>
      <c r="V3252" t="n">
        <v>0</v>
      </c>
    </row>
    <row r="3253">
      <c r="A3253">
        <f>Skills!A31</f>
        <v/>
      </c>
      <c r="B3253">
        <f>Skills!B31</f>
        <v/>
      </c>
      <c r="C3253">
        <f>Inputs!$B$3&gt;=107</f>
        <v/>
      </c>
      <c r="D3253">
        <f>IF(Skills!C31=1,60+Inputs!$B$25+Inputs!$B$29,IF(Skills!C31=2,90+Inputs!$B$26+Inputs!$B$29,IF(Skills!C31=3,120+Inputs!$B$27+Inputs!$B$29,MAX(0,(Inputs!$B$3-100)*3)+Inputs!$B$28+Inputs!$B$29)))</f>
        <v/>
      </c>
      <c r="E3253">
        <f>INDEX(FactorTable!$B$2:$Y$301, MATCH(ROUND(MIN(300,MAX(1,D3253)),0), FactorTable!$A$2:$A$301,0), Skills!M31+1)</f>
        <v/>
      </c>
      <c r="F3253">
        <f>IF(Skills!N31=TRUE,(Skills!L31/10)*(E3253/1000),Skills!L31/10)+Skills!O31</f>
        <v/>
      </c>
      <c r="G3253">
        <f>Calc!G31</f>
        <v/>
      </c>
      <c r="H3253">
        <f>Calc!H31</f>
        <v/>
      </c>
      <c r="I3253">
        <f>IF(Skills!AA31&lt;&gt;"",1+(Skills!AA31/10)*(U3225/1000)/100,1)</f>
        <v/>
      </c>
      <c r="J3253" t="inlineStr"/>
      <c r="K3253" t="inlineStr"/>
      <c r="L3253" t="inlineStr"/>
      <c r="M3253" t="inlineStr"/>
      <c r="N3253" t="inlineStr"/>
      <c r="O3253">
        <f>(1-Summary!$B$11)*T3253+Summary!$B$11*V3253</f>
        <v/>
      </c>
      <c r="P3253">
        <f>IF(B3266=0,0,O3253/B3266)</f>
        <v/>
      </c>
      <c r="Q3253" t="n">
        <v>0</v>
      </c>
      <c r="R3253" t="n">
        <v>0</v>
      </c>
      <c r="S3253">
        <f>IFERROR(O3253/N3253,0)</f>
        <v/>
      </c>
      <c r="T3253" t="n">
        <v>0</v>
      </c>
      <c r="V3253" t="n">
        <v>0</v>
      </c>
    </row>
    <row r="3255">
      <c r="A3255" t="inlineStr">
        <is>
          <t>Actions Per Second (pre-Adrenalin)</t>
        </is>
      </c>
      <c r="B3255">
        <f>1+MIN(150,150*(1-(1-(Inputs!$B$11+((C3244=TRUE)*(F3244-Calc!F22))+(ArtifactsInput!$M$15-ArtifactsInput!$M$15)*CHOOSE(ArtifactsInput!$N$15+1,8,9.6,11.2,12.8,14.4,16))/150)*(1-((C3241=TRUE)*F3241*IF(AND(Inputs!$B$39&lt;&gt;"pvp",Inputs!$B$44&gt;0),(((R3241-1)*(Skills!Y19*(1+Inputs!$B$34/100))+MIN((Skills!Y19*(1+Inputs!$B$34/100)),MAX(0,Inputs!$B$44-((R3241-1)*Skills!D19))))/Inputs!$B$44),IF(Inputs!$B$39="pvp",MIN((Skills!Y19*(1+Inputs!$B$34/100)),15)/15,(Skills!Y19*(1+Inputs!$B$34/100))/Skills!D19)))/150)))/100</f>
        <v/>
      </c>
    </row>
    <row r="3256">
      <c r="A3256" t="inlineStr">
        <is>
          <t>Alchemic Adrenaline Uptime</t>
        </is>
      </c>
      <c r="B3256">
        <f>(Skills!Y6*(1+Inputs!$B$34/100))/((Skills!Y6*(1+Inputs!$B$34/100))+(5/B3255))</f>
        <v/>
      </c>
    </row>
    <row r="3257">
      <c r="A3257" t="inlineStr">
        <is>
          <t>Attack Speed Buff Bonus %</t>
        </is>
      </c>
      <c r="B3257">
        <f>((C3241=TRUE)*F3241*IF(AND(Inputs!$B$39&lt;&gt;"pvp",Inputs!$B$44&gt;0),(((R3241-1)*(Skills!Y19*(1+Inputs!$B$34/100))+MIN((Skills!Y19*(1+Inputs!$B$34/100)),MAX(0,Inputs!$B$44-((R3241-1)*Skills!D19))))/Inputs!$B$44),IF(Inputs!$B$39="pvp",MIN((Skills!Y19*(1+Inputs!$B$34/100)),15)/15,(Skills!Y19*(1+Inputs!$B$34/100))/Skills!D19)))+((C3229=TRUE)*F3229*B3256)</f>
        <v/>
      </c>
    </row>
    <row r="3258">
      <c r="A3258" t="inlineStr">
        <is>
          <t>Actions Per Second (final)</t>
        </is>
      </c>
      <c r="B3258">
        <f>1+MIN(150,150*(1-(1-(Inputs!$B$11+((C3244=TRUE)*(F3244-Calc!F22))+(ArtifactsInput!$M$15-ArtifactsInput!$M$15)*CHOOSE(ArtifactsInput!$N$15+1,8,9.6,11.2,12.8,14.4,16))/150)*(1-B3257/150)))/100</f>
        <v/>
      </c>
    </row>
    <row r="3259">
      <c r="A3259" t="inlineStr">
        <is>
          <t>Skill + Buff Cast Rate</t>
        </is>
      </c>
      <c r="B3259">
        <f>IF(AND(Inputs!$B$39&lt;&gt;"pvp",Inputs!$B$44&gt;0),SUMPRODUCT((Skills!E2:E31=TRUE)*(C3224:C3253=TRUE)*R3224:R3253*Skills!F2:F31)/Inputs!$B$44,SUMPRODUCT((Skills!E2:E31=TRUE)*(C3224:C3253=TRUE)*Q3224:Q3253*Skills!F2:F31))</f>
        <v/>
      </c>
    </row>
    <row r="3260">
      <c r="A3260" t="inlineStr">
        <is>
          <t>Showdown Casts Per Second</t>
        </is>
      </c>
      <c r="B3260">
        <f>MAX(0,B3258-B3259)</f>
        <v/>
      </c>
    </row>
    <row r="3261">
      <c r="A3261" t="inlineStr">
        <is>
          <t>Average Buff Multiplier</t>
        </is>
      </c>
      <c r="B3261">
        <f>(1+(((C3243=TRUE)*F3243*IF(AND(Inputs!$B$39&lt;&gt;"pvp",Inputs!$B$44&gt;0),(((R3243-1)*(Skills!Y21*(1+Inputs!$B$34/100))+MIN((Skills!Y21*(1+Inputs!$B$34/100)),MAX(0,Inputs!$B$44-((R3243-1)*Skills!D21))))/Inputs!$B$44),IF(Inputs!$B$39="pvp",MIN((Skills!Y21*(1+Inputs!$B$34/100)),15)/15,(Skills!Y21*(1+Inputs!$B$34/100))/Skills!D21)))+((C3250=TRUE)*(F3250-Calc!F28))+((C3240=TRUE)*(F3240-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3237=TRUE)*F3237*IF(AND(Inputs!$B$39&lt;&gt;"pvp",Inputs!$B$44&gt;0),(((R3237-1)*(Skills!Y15*(1+Inputs!$B$34/100))+MIN((Skills!Y15*(1+Inputs!$B$34/100)),MAX(0,Inputs!$B$44-((R3237-1)*Skills!D15))))/Inputs!$B$44),IF(Inputs!$B$39="pvp",MIN((Skills!Y15*(1+Inputs!$B$34/100)),15)/15,(Skills!Y15*(1+Inputs!$B$34/100))/Skills!D15)))/100)*(1+((C3228=TRUE)*F3228*B3256)/100)</f>
        <v/>
      </c>
    </row>
    <row r="3262">
      <c r="A3262" t="inlineStr">
        <is>
          <t>Global Crit Rate Bonus %</t>
        </is>
      </c>
      <c r="B3262">
        <f>IF(Inputs!$B$3&gt;=47,8,0)+((C3242=TRUE)*F3242*IF(AND(Inputs!$B$39&lt;&gt;"pvp",Inputs!$B$44&gt;0),(((R3242-1)*(Skills!Y20*(1+Inputs!$B$34/100))+MIN((Skills!Y20*(1+Inputs!$B$34/100)),MAX(0,Inputs!$B$44-((R3242-1)*Skills!D20))))/Inputs!$B$44),IF(Inputs!$B$39="pvp",MIN((Skills!Y20*(1+Inputs!$B$34/100)),15)/15,(Skills!Y20*(1+Inputs!$B$34/100))/Skills!D20)))</f>
        <v/>
      </c>
    </row>
    <row r="3263">
      <c r="A3263" t="inlineStr">
        <is>
          <t>Global Monster Damage-Taken Bonus %</t>
        </is>
      </c>
      <c r="B3263">
        <f>IF(Inputs!$B$3&gt;=82,15,0)+((C3238=TRUE)*F3238*IF(AND(Inputs!$B$39&lt;&gt;"pvp",Inputs!$B$44&gt;0),(((R3238-1)*(Skills!Y16*(1+Inputs!$B$34/100))+MIN((Skills!Y16*(1+Inputs!$B$34/100)),MAX(0,Inputs!$B$44-((R3238-1)*Skills!D16))))/Inputs!$B$44),IF(Inputs!$B$39="pvp",MIN((Skills!Y16*(1+Inputs!$B$34/100)),15)/15,(Skills!Y16*(1+Inputs!$B$34/100))/Skills!D16)))</f>
        <v/>
      </c>
    </row>
    <row r="3264">
      <c r="A3264" t="inlineStr">
        <is>
          <t>Shadow Partner Average Multiplier</t>
        </is>
      </c>
      <c r="B3264">
        <f>1+((C3233=TRUE)*F3233*I3233*Skills!J11/100)/100</f>
        <v/>
      </c>
    </row>
    <row r="3265">
      <c r="A3265" t="inlineStr">
        <is>
          <t>Global Critical Damage Bonus % (Frailty Curse Mastery Lv.111)</t>
        </is>
      </c>
      <c r="B3265">
        <f>IF(Inputs!$B$3&gt;=111,30,0)*IF(AND(Inputs!$B$39&lt;&gt;"pvp",Inputs!$B$44&gt;0),(((R3238-1)*(Skills!Y16*(1+Inputs!$B$34/100))+MIN((Skills!Y16*(1+Inputs!$B$34/100)),MAX(0,Inputs!$B$44-((R3238-1)*Skills!D16))))/Inputs!$B$44),IF(Inputs!$B$39="pvp",MIN((Skills!Y16*(1+Inputs!$B$34/100)),15)/15,(Skills!Y16*(1+Inputs!$B$34/100))/Skills!D16))</f>
        <v/>
      </c>
    </row>
    <row r="3266">
      <c r="A3266" s="6" t="inlineStr">
        <is>
          <t>TOTAL DPS</t>
        </is>
      </c>
      <c r="B3266" s="6">
        <f>SUM(O3224:O3253)</f>
        <v/>
      </c>
    </row>
    <row r="3267">
      <c r="A3267" t="inlineStr">
        <is>
          <t>Buff-Casting Startup Delay (s, fixed-duration only)</t>
        </is>
      </c>
      <c r="B3267">
        <f>IF(AND(Inputs!$B$39&lt;&gt;"pvp",Inputs!$B$44&gt;0),SUMPRODUCT((Skills!Y2:Y31&gt;0)*(Skills!E2:E31=TRUE)*(C3224:C3253=TRUE))/B3258,0)</f>
        <v/>
      </c>
    </row>
    <row r="3268">
      <c r="A3268" t="inlineStr">
        <is>
          <t>Boss-Only Total DPS (this block's swept value)</t>
        </is>
      </c>
      <c r="B3268">
        <f>SUM(T3224:T3253)</f>
        <v/>
      </c>
    </row>
    <row r="3269">
      <c r="A3269" t="inlineStr">
        <is>
          <t>Normal-Only Total DPS (this block's swept value)</t>
        </is>
      </c>
      <c r="B3269">
        <f>SUM(V3224:V3253)</f>
        <v/>
      </c>
    </row>
    <row r="3271">
      <c r="A3271" s="6" t="inlineStr">
        <is>
          <t>Stat: CDR = 1.5s</t>
        </is>
      </c>
    </row>
    <row r="3272">
      <c r="A3272" s="5" t="inlineStr">
        <is>
          <t>Key</t>
        </is>
      </c>
      <c r="B3272" s="5" t="inlineStr">
        <is>
          <t>Name</t>
        </is>
      </c>
      <c r="C3272" s="5" t="inlineStr">
        <is>
          <t>Unlocked</t>
        </is>
      </c>
      <c r="D3272" s="5" t="inlineStr">
        <is>
          <t>InputLevel</t>
        </is>
      </c>
      <c r="E3272" s="5" t="inlineStr">
        <is>
          <t>Factor</t>
        </is>
      </c>
      <c r="F3272" s="5" t="inlineStr">
        <is>
          <t>CoefficientPercent</t>
        </is>
      </c>
      <c r="G3272" s="5" t="inlineStr">
        <is>
          <t>EffectiveHits</t>
        </is>
      </c>
      <c r="H3272" s="5" t="inlineStr">
        <is>
          <t>ProcProbability</t>
        </is>
      </c>
      <c r="I3272" s="5" t="inlineStr">
        <is>
          <t>MapleHeroMultiplier</t>
        </is>
      </c>
      <c r="J3272" s="5" t="inlineStr">
        <is>
          <t>BaseDamage</t>
        </is>
      </c>
      <c r="K3272" s="5" t="inlineStr">
        <is>
          <t>BaseHitDamage</t>
        </is>
      </c>
      <c r="L3272" s="5" t="inlineStr">
        <is>
          <t>NonCritAvg</t>
        </is>
      </c>
      <c r="M3272" s="5" t="inlineStr">
        <is>
          <t>CritAvg</t>
        </is>
      </c>
      <c r="N3272" s="5" t="inlineStr">
        <is>
          <t>ExpectedDamage(perHit)</t>
        </is>
      </c>
      <c r="O3272" s="5" t="inlineStr">
        <is>
          <t>DPS</t>
        </is>
      </c>
      <c r="P3272" s="5" t="inlineStr">
        <is>
          <t>% of Total</t>
        </is>
      </c>
      <c r="Q3272" s="5" t="inlineStr">
        <is>
          <t>InvCooldown</t>
        </is>
      </c>
      <c r="R3272" s="5" t="inlineStr">
        <is>
          <t>CastsInFight</t>
        </is>
      </c>
      <c r="S3272" s="5" t="inlineStr">
        <is>
          <t>HitRate(perSec)</t>
        </is>
      </c>
      <c r="U3272" t="inlineStr">
        <is>
          <t>helpers</t>
        </is>
      </c>
    </row>
    <row r="3273">
      <c r="A3273">
        <f>Skills!A2</f>
        <v/>
      </c>
      <c r="B3273">
        <f>Skills!B2</f>
        <v/>
      </c>
      <c r="C3273">
        <f>Inputs!$B$3&gt;=100</f>
        <v/>
      </c>
      <c r="D3273" t="inlineStr"/>
      <c r="E3273" t="inlineStr"/>
      <c r="F3273">
        <f>U3277+Skills!O2</f>
        <v/>
      </c>
      <c r="G3273">
        <f>Calc!G2</f>
        <v/>
      </c>
      <c r="H3273">
        <f>Calc!H2</f>
        <v/>
      </c>
      <c r="I3273">
        <f>IF(Skills!AA2&lt;&gt;"",1+(Skills!AA2/10)*(U3274/1000)/100,1)</f>
        <v/>
      </c>
      <c r="J3273">
        <f>((Inputs!$B$6*(1+Inputs!$B$7/100))+(((Inputs!$B$12*(1+Inputs!$B$13/100))-(Inputs!$B$12*(1+Inputs!$B$13/100)))+0.25*(Inputs!$B$14-Inputs!$B$14))*(1+Inputs!$B$7/100))*(F3273/100)</f>
        <v/>
      </c>
      <c r="K3273">
        <f>J3273*(1+((Inputs!$B$12*(1+Inputs!$B$13/100))*0.01+Inputs!$B$14*0.0025)/100)*(1+Inputs!$B$15/100)*(1+Inputs!$B$16/100)*(5000/(6000+Inputs!$B$43*(1-(100*(1-(1-(Inputs!$B$19+0)/100)*(1-CHOOSE(ArtifactsInput!$N$40+1,5,6,7,8,9,10)/100)^(ArtifactsInput!$M$40-ArtifactsInput!$M$40)))/100)))*(1+(Inputs!$B$24+((C3301=TRUE)*(F3301-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3294=TRUE)*(F3294-Calc!F23))+(((IF(AND(ArtifactsInput!$M$42,((Inputs!$B$9+((C3296=TRUE)*(F3296-Calc!F25))+B3311+(ArtifactsInput!$M$24-ArtifactsInput!$M$24)*CHOOSE(ArtifactsInput!$N$24+1,10,12,14,16,18,20)+IF(ArtifactsInput!$M$10,CHOOSE(ArtifactsInput!$N$10+1,15,18,21,24,27,30)*(IF(Inputs!$B$39="pvp",MIN(15,15)/15,IF(AND(Inputs!$B$39&lt;&gt;"pvp",Inputs!$B$44&gt;0),MIN(15,Inputs!$B$44)/(Inputs!$B$44),0))),0)))&gt;=100),MIN(100,((Inputs!$B$9+((C3296=TRUE)*(F3296-Calc!F25))+B3311+(ArtifactsInput!$M$24-ArtifactsInput!$M$24)*CHOOSE(ArtifactsInput!$N$24+1,10,12,14,16,18,20)+IF(ArtifactsInput!$M$10,CHOOSE(ArtifactsInput!$N$10+1,15,18,21,24,27,30)*(IF(Inputs!$B$39="pvp",MIN(15,15)/15,IF(AND(Inputs!$B$39&lt;&gt;"pvp",Inputs!$B$44&gt;0),MIN(15,Inputs!$B$44)/(Inputs!$B$44),0))),0)))-100),0))*CHOOSE(ArtifactsInput!$N$42+1,0.6,0.72,0.84,0.96,1.08,1.2))),Inputs!$B$18+((C3300=TRUE)*(F3300-Calc!F29))+(IF(AND(ArtifactsInput!$M$42,((Inputs!$B$9+((C3296=TRUE)*(F3296-Calc!F25))+B3311+(ArtifactsInput!$M$24-ArtifactsInput!$M$24)*CHOOSE(ArtifactsInput!$N$24+1,10,12,14,16,18,20)+IF(ArtifactsInput!$M$10,CHOOSE(ArtifactsInput!$N$10+1,15,18,21,24,27,30)*(IF(Inputs!$B$39="pvp",MIN(15,15)/15,IF(AND(Inputs!$B$39&lt;&gt;"pvp",Inputs!$B$44&gt;0),MIN(15,Inputs!$B$44)/(Inputs!$B$44),0))),0)))&gt;=100),CHOOSE(ArtifactsInput!$N$42+1,40,48,56,64,72,80),0))))/100)*(((1+(((C3292=TRUE)*F3292*IF(AND(Inputs!$B$39&lt;&gt;"pvp",Inputs!$B$44&gt;0),(((R3292-1)*(Skills!Y21*(1+Inputs!$B$34/100))+MIN((Skills!Y21*(1+Inputs!$B$34/100)),MAX(0,Inputs!$B$44-((R3292-1)*Skills!D21))))/Inputs!$B$44),IF(Inputs!$B$39="pvp",MIN((Skills!Y21*(1+Inputs!$B$34/100)),15)/15,(Skills!Y21*(1+Inputs!$B$34/100))/Skills!D21)))+((C3299=TRUE)*(F3299-Calc!F28))+((C3289=TRUE)*(F3289-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3286=TRUE)*F3286*IF(AND(Inputs!$B$39&lt;&gt;"pvp",Inputs!$B$44&gt;0),(((R3286-1)*(Skills!Y15*(1+Inputs!$B$34/100))+MIN((Skills!Y15*(1+Inputs!$B$34/100)),MAX(0,Inputs!$B$44-((R3286-1)*Skills!D15))))/Inputs!$B$44),IF(Inputs!$B$39="pvp",MIN((Skills!Y15*(1+Inputs!$B$34/100)),15)/15,(Skills!Y15*(1+Inputs!$B$34/100))/Skills!D15)))/100)*(1+((C3277=TRUE)*F3277*B3305)/100))*B3313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3273)</f>
        <v/>
      </c>
      <c r="L3273">
        <f>K3273*(MIN(Inputs!$B$22+((C3295=TRUE)*(F3295-Calc!F24)),(Inputs!$B$23+0+(IF(ArtifactsInput!$M$15,CHOOSE(ArtifactsInput!$N$15+1,25,30,35,40,45,50)/100*(Inputs!$B$11-Inputs!$B$11),0))))/100+(Inputs!$B$23+0+(IF(ArtifactsInput!$M$15,CHOOSE(ArtifactsInput!$N$15+1,25,30,35,40,45,50)/100*(Inputs!$B$11-Inputs!$B$11),0)))/100)/2</f>
        <v/>
      </c>
      <c r="M3273">
        <f>L3273*(1+(Inputs!$B$10+((C3297=TRUE)*(F3297-Calc!F26))+B3314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73">
        <f>L3273*(1-MIN((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3273*(MIN((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73">
        <f>(1-Summary!$B$11)*T3273+Summary!$B$11*V3273</f>
        <v/>
      </c>
      <c r="P3273">
        <f>IF(B3315=0,0,O3273/B3315)</f>
        <v/>
      </c>
      <c r="Q3273" t="n">
        <v>0</v>
      </c>
      <c r="R3273" t="n">
        <v>0</v>
      </c>
      <c r="S3273">
        <f>IFERROR(O3273/N3273,0)</f>
        <v/>
      </c>
      <c r="T3273">
        <f>IF(C3273,(Skills!G2*N3273*B3309)*IF(Inputs!$B$39="pvp",1,1+(Inputs!$B$20+((C3298=TRUE)*(F3298-Calc!F27))+Skills!P2+B3312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Hunt"),CHOOSE(ArtifactsInput!$N$35+1,15,18,21,24,27,30)*(1-EXP(-(0.2*B3307)*5)),0)+IF(AND(ArtifactsInput!$M$22,Inputs!$B$4&lt;&gt;"Chapter Hunt"),CHOOSE(ArtifactsInput!$N$22+1,10,12,14,16,18,20)*((0*(((0.15*B3307*5))^0/1)+1*(((0.15*B3307*5))^1/1)+2*(((0.15*B3307*5))^2/2)+3*(((0.15*B3307*5))^3/6)+4*(((0.15*B3307*5))^4/24)+5*(((0.15*B3307*5))^5/120))/((((0.15*B3307*5))^0/1)+(((0.15*B3307*5))^1/1)+(((0.15*B3307*5))^2/2)+(((0.15*B3307*5))^3/6)+(((0.15*B3307*5))^4/24)+(((0.15*B3307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3273*(1-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3273*(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3273*(1-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3273*(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73">
        <f>MAX(0,(Inputs!$B$3-100)*3)+Inputs!$B$28+Inputs!$B$29</f>
        <v/>
      </c>
      <c r="V3273">
        <f>IF(C3273,(Skills!G2*N3273*B3309)*IF(Inputs!$B$39="pvp",1,(1+(Inputs!$B$21+Skills!Q2+B3312+(IF(ArtifactsInput!$M$33,CHOOSE(ArtifactsInput!$N$33+1,30,36,42,48,54,60),0))+(IF(AND(ArtifactsInput!$M$35,Inputs!$B$4&lt;&gt;"Chapter Hunt"),CHOOSE(ArtifactsInput!$N$35+1,15,18,21,24,27,30)*(1-EXP(-(0.2*B3307)*5)),0)+IF(AND(ArtifactsInput!$M$22,Inputs!$B$4&lt;&gt;"Chapter Hunt"),CHOOSE(ArtifactsInput!$N$22+1,10,12,14,16,18,20)*((0*(((0.15*B3307*5))^0/1)+1*(((0.15*B3307*5))^1/1)+2*(((0.15*B3307*5))^2/2)+3*(((0.15*B3307*5))^3/6)+4*(((0.15*B3307*5))^4/24)+5*(((0.15*B3307*5))^5/120))/((((0.15*B3307*5))^0/1)+(((0.15*B3307*5))^1/1)+(((0.15*B3307*5))^2/2)+(((0.15*B3307*5))^3/6)+(((0.15*B3307*5))^4/24)+(((0.15*B3307*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74">
      <c r="A3274">
        <f>Skills!A3</f>
        <v/>
      </c>
      <c r="B3274">
        <f>Skills!B3</f>
        <v/>
      </c>
      <c r="C3274">
        <f>Inputs!$B$3&gt;=35</f>
        <v/>
      </c>
      <c r="D3274">
        <f>IF(Skills!C3=1,60+Inputs!$B$25+Inputs!$B$29,IF(Skills!C3=2,90+Inputs!$B$26+Inputs!$B$29,IF(Skills!C3=3,120+Inputs!$B$27+Inputs!$B$29,MAX(0,(Inputs!$B$3-100)*3)+Inputs!$B$28+Inputs!$B$29)))</f>
        <v/>
      </c>
      <c r="E3274">
        <f>INDEX(FactorTable!$B$2:$Y$301, MATCH(ROUND(MIN(300,MAX(1,D3274)),0), FactorTable!$A$2:$A$301,0), Skills!M3+1)</f>
        <v/>
      </c>
      <c r="F3274">
        <f>IF(Skills!N3=TRUE,(Skills!L3/10)*(E3274/1000),Skills!L3/10)+Skills!O3</f>
        <v/>
      </c>
      <c r="G3274">
        <f>Calc!G3</f>
        <v/>
      </c>
      <c r="H3274">
        <f>Calc!H3</f>
        <v/>
      </c>
      <c r="I3274">
        <f>IF(Skills!AA3&lt;&gt;"",1+(Skills!AA3/10)*(U3274/1000)/100,1)</f>
        <v/>
      </c>
      <c r="J3274">
        <f>((Inputs!$B$6*(1+Inputs!$B$7/100))+(((Inputs!$B$12*(1+Inputs!$B$13/100))-(Inputs!$B$12*(1+Inputs!$B$13/100)))+0.25*(Inputs!$B$14-Inputs!$B$14))*(1+Inputs!$B$7/100))*(F3274/100)</f>
        <v/>
      </c>
      <c r="K3274">
        <f>J3274*(1+((Inputs!$B$12*(1+Inputs!$B$13/100))*0.01+Inputs!$B$14*0.0025)/100)*(1+Inputs!$B$15/100)*(1+Inputs!$B$16/100)*(5000/(6000+Inputs!$B$43*(1-(100*(1-(1-(Inputs!$B$19+0)/100)*(1-CHOOSE(ArtifactsInput!$N$40+1,5,6,7,8,9,10)/100)^(ArtifactsInput!$M$40-ArtifactsInput!$M$40)))/100)))*(1+(Inputs!$B$24+((C3301=TRUE)*(F3301-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3294=TRUE)*(F3294-Calc!F23))+(((IF(AND(ArtifactsInput!$M$42,((Inputs!$B$9+((C3296=TRUE)*(F3296-Calc!F25))+B3311+(ArtifactsInput!$M$24-ArtifactsInput!$M$24)*CHOOSE(ArtifactsInput!$N$24+1,10,12,14,16,18,20)+IF(ArtifactsInput!$M$10,CHOOSE(ArtifactsInput!$N$10+1,15,18,21,24,27,30)*(IF(Inputs!$B$39="pvp",MIN(15,15)/15,IF(AND(Inputs!$B$39&lt;&gt;"pvp",Inputs!$B$44&gt;0),MIN(15,Inputs!$B$44)/(Inputs!$B$44),0))),0)))&gt;=100),MIN(100,((Inputs!$B$9+((C3296=TRUE)*(F3296-Calc!F25))+B3311+(ArtifactsInput!$M$24-ArtifactsInput!$M$24)*CHOOSE(ArtifactsInput!$N$24+1,10,12,14,16,18,20)+IF(ArtifactsInput!$M$10,CHOOSE(ArtifactsInput!$N$10+1,15,18,21,24,27,30)*(IF(Inputs!$B$39="pvp",MIN(15,15)/15,IF(AND(Inputs!$B$39&lt;&gt;"pvp",Inputs!$B$44&gt;0),MIN(15,Inputs!$B$44)/(Inputs!$B$44),0))),0)))-100),0))*CHOOSE(ArtifactsInput!$N$42+1,0.6,0.72,0.84,0.96,1.08,1.2))),Inputs!$B$18+((C3300=TRUE)*(F3300-Calc!F29))+(IF(AND(ArtifactsInput!$M$42,((Inputs!$B$9+((C3296=TRUE)*(F3296-Calc!F25))+B3311+(ArtifactsInput!$M$24-ArtifactsInput!$M$24)*CHOOSE(ArtifactsInput!$N$24+1,10,12,14,16,18,20)+IF(ArtifactsInput!$M$10,CHOOSE(ArtifactsInput!$N$10+1,15,18,21,24,27,30)*(IF(Inputs!$B$39="pvp",MIN(15,15)/15,IF(AND(Inputs!$B$39&lt;&gt;"pvp",Inputs!$B$44&gt;0),MIN(15,Inputs!$B$44)/(Inputs!$B$44),0))),0)))&gt;=100),CHOOSE(ArtifactsInput!$N$42+1,40,48,56,64,72,80),0))))/100)*(((1+(((C3292=TRUE)*F3292*IF(AND(Inputs!$B$39&lt;&gt;"pvp",Inputs!$B$44&gt;0),(((R3292-1)*(Skills!Y21*(1+Inputs!$B$34/100))+MIN((Skills!Y21*(1+Inputs!$B$34/100)),MAX(0,Inputs!$B$44-((R3292-1)*Skills!D21))))/Inputs!$B$44),IF(Inputs!$B$39="pvp",MIN((Skills!Y21*(1+Inputs!$B$34/100)),15)/15,(Skills!Y21*(1+Inputs!$B$34/100))/Skills!D21)))+((C3299=TRUE)*(F3299-Calc!F28))+((C3289=TRUE)*(F3289-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3286=TRUE)*F3286*IF(AND(Inputs!$B$39&lt;&gt;"pvp",Inputs!$B$44&gt;0),(((R3286-1)*(Skills!Y15*(1+Inputs!$B$34/100))+MIN((Skills!Y15*(1+Inputs!$B$34/100)),MAX(0,Inputs!$B$44-((R3286-1)*Skills!D15))))/Inputs!$B$44),IF(Inputs!$B$39="pvp",MIN((Skills!Y15*(1+Inputs!$B$34/100)),15)/15,(Skills!Y15*(1+Inputs!$B$34/100))/Skills!D15)))/100)*(1+((C3277=TRUE)*F3277*B3305)/100))*B3313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3274)</f>
        <v/>
      </c>
      <c r="L3274">
        <f>K3274*(MIN(Inputs!$B$22+((C3295=TRUE)*(F3295-Calc!F24)),(Inputs!$B$23+0+(IF(ArtifactsInput!$M$15,CHOOSE(ArtifactsInput!$N$15+1,25,30,35,40,45,50)/100*(Inputs!$B$11-Inputs!$B$11),0))))/100+(Inputs!$B$23+0+(IF(ArtifactsInput!$M$15,CHOOSE(ArtifactsInput!$N$15+1,25,30,35,40,45,50)/100*(Inputs!$B$11-Inputs!$B$11),0)))/100)/2</f>
        <v/>
      </c>
      <c r="M3274">
        <f>L3274*(1+(Inputs!$B$10+((C3297=TRUE)*(F3297-Calc!F26))+B3314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74">
        <f>L3274*(1-MIN((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3274*(MIN((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74">
        <f>(1-Summary!$B$11)*T3274+Summary!$B$11*V3274</f>
        <v/>
      </c>
      <c r="P3274">
        <f>IF(B3315=0,0,O3274/B3315)</f>
        <v/>
      </c>
      <c r="Q3274">
        <f>IFERROR(1/IF(Inputs!$B$39="pvp",15,MAX(0.1,Skills!D3-IF(Skills!E3=TRUE,1.5,0))),0)</f>
        <v/>
      </c>
      <c r="R3274">
        <f>IF(AND(Inputs!$B$39&lt;&gt;"pvp",Inputs!$B$44&gt;0),IF(MAX(0,Inputs!$B$44-B3316)&lt;=0,0,(INT(MAX(0,Inputs!$B$44-B3316)/IF(Inputs!$B$39="pvp",15,MAX(0.1,Skills!D3-IF(Skills!E3=TRUE,1.5,0))))+1)),0)</f>
        <v/>
      </c>
      <c r="S3274">
        <f>IFERROR(O3274/N3274,0)</f>
        <v/>
      </c>
      <c r="T3274">
        <f>IF(C3274,(H3274*N3274*IF(AND(Inputs!$B$39&lt;&gt;"pvp",Inputs!$B$44&gt;0),((Skills!G3*((R3274-1)*IF(Skills!H3&gt;0,Skills!I3/Skills!H3,1)+IF(Skills!H3&gt;0,MIN(Skills!I3,MAX(0,MAX(0,Inputs!$B$44-B3316)-((R3274-1)*IF(Inputs!$B$39="pvp",15,MAX(0.1,Skills!D3-IF(Skills!E3=TRUE,1.5,0))))))/Skills!H3,1)))/Inputs!$B$44),G3274*Q3274))*IF(Inputs!$B$39="pvp",1,1+(Inputs!$B$20+((C3298=TRUE)*(F3298-Calc!F27))+Skills!P3+B3312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Hunt"),CHOOSE(ArtifactsInput!$N$35+1,15,18,21,24,27,30)*(1-EXP(-(0.2*B3307)*5)),0)+IF(AND(ArtifactsInput!$M$22,Inputs!$B$4&lt;&gt;"Chapter Hunt"),CHOOSE(ArtifactsInput!$N$22+1,10,12,14,16,18,20)*((0*(((0.15*B3307*5))^0/1)+1*(((0.15*B3307*5))^1/1)+2*(((0.15*B3307*5))^2/2)+3*(((0.15*B3307*5))^3/6)+4*(((0.15*B3307*5))^4/24)+5*(((0.15*B3307*5))^5/120))/((((0.15*B3307*5))^0/1)+(((0.15*B3307*5))^1/1)+(((0.15*B3307*5))^2/2)+(((0.15*B3307*5))^3/6)+(((0.15*B3307*5))^4/24)+(((0.15*B3307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3274*(1-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3274*(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3274*(1-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3274*(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74">
        <f>INDEX(FactorTable!$B$2:$Y$301, MATCH(ROUND(MIN(300,MAX(1,U3273)),0), FactorTable!$A$2:$A$301,0), 24)</f>
        <v/>
      </c>
      <c r="V3274">
        <f>IF(C3274,(H3274*N3274*IF(AND(Inputs!$B$39&lt;&gt;"pvp",Inputs!$B$44&gt;0),((Skills!G3*((R3274-1)*IF(Skills!H3&gt;0,Skills!I3/Skills!H3,1)+IF(Skills!H3&gt;0,MIN(Skills!I3,MAX(0,MAX(0,Inputs!$B$44-B3316)-((R3274-1)*IF(Inputs!$B$39="pvp",15,MAX(0.1,Skills!D3-IF(Skills!E3=TRUE,1.5,0))))))/Skills!H3,1)))/Inputs!$B$44),G3274*Q3274))*IF(Inputs!$B$39="pvp",1,(1+(Inputs!$B$21+Skills!Q3+B3312+(IF(ArtifactsInput!$M$33,CHOOSE(ArtifactsInput!$N$33+1,30,36,42,48,54,60),0))+(IF(AND(ArtifactsInput!$M$35,Inputs!$B$4&lt;&gt;"Chapter Hunt"),CHOOSE(ArtifactsInput!$N$35+1,15,18,21,24,27,30)*(1-EXP(-(0.2*B3307)*5)),0)+IF(AND(ArtifactsInput!$M$22,Inputs!$B$4&lt;&gt;"Chapter Hunt"),CHOOSE(ArtifactsInput!$N$22+1,10,12,14,16,18,20)*((0*(((0.15*B3307*5))^0/1)+1*(((0.15*B3307*5))^1/1)+2*(((0.15*B3307*5))^2/2)+3*(((0.15*B3307*5))^3/6)+4*(((0.15*B3307*5))^4/24)+5*(((0.15*B3307*5))^5/120))/((((0.15*B3307*5))^0/1)+(((0.15*B3307*5))^1/1)+(((0.15*B3307*5))^2/2)+(((0.15*B3307*5))^3/6)+(((0.15*B3307*5))^4/24)+(((0.15*B3307*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75">
      <c r="A3275">
        <f>Skills!A4</f>
        <v/>
      </c>
      <c r="B3275">
        <f>Skills!B4</f>
        <v/>
      </c>
      <c r="C3275">
        <f>Inputs!$B$3&gt;=40</f>
        <v/>
      </c>
      <c r="D3275">
        <f>IF(Skills!C4=1,60+Inputs!$B$25+Inputs!$B$29,IF(Skills!C4=2,90+Inputs!$B$26+Inputs!$B$29,IF(Skills!C4=3,120+Inputs!$B$27+Inputs!$B$29,MAX(0,(Inputs!$B$3-100)*3)+Inputs!$B$28+Inputs!$B$29)))</f>
        <v/>
      </c>
      <c r="E3275">
        <f>INDEX(FactorTable!$B$2:$Y$301, MATCH(ROUND(MIN(300,MAX(1,D3275)),0), FactorTable!$A$2:$A$301,0), Skills!M4+1)</f>
        <v/>
      </c>
      <c r="F3275">
        <f>IF(Skills!N4=TRUE,(Skills!L4/10)*(E3275/1000),Skills!L4/10)+Skills!O4</f>
        <v/>
      </c>
      <c r="G3275">
        <f>Calc!G4</f>
        <v/>
      </c>
      <c r="H3275">
        <f>Calc!H4</f>
        <v/>
      </c>
      <c r="I3275">
        <f>IF(Skills!AA4&lt;&gt;"",1+(Skills!AA4/10)*(U3274/1000)/100,1)</f>
        <v/>
      </c>
      <c r="J3275">
        <f>((Inputs!$B$6*(1+Inputs!$B$7/100))+(((Inputs!$B$12*(1+Inputs!$B$13/100))-(Inputs!$B$12*(1+Inputs!$B$13/100)))+0.25*(Inputs!$B$14-Inputs!$B$14))*(1+Inputs!$B$7/100))*(F3275/100)</f>
        <v/>
      </c>
      <c r="K3275">
        <f>J3275*(1+((Inputs!$B$12*(1+Inputs!$B$13/100))*0.01+Inputs!$B$14*0.0025)/100)*(1+Inputs!$B$15/100)*(1+Inputs!$B$16/100)*(5000/(6000+Inputs!$B$43*(1-(100*(1-(1-(Inputs!$B$19+0)/100)*(1-CHOOSE(ArtifactsInput!$N$40+1,5,6,7,8,9,10)/100)^(ArtifactsInput!$M$40-ArtifactsInput!$M$40)))/100)))*(1+(Inputs!$B$24+((C3301=TRUE)*(F3301-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3294=TRUE)*(F3294-Calc!F23))+(((IF(AND(ArtifactsInput!$M$42,((Inputs!$B$9+((C3296=TRUE)*(F3296-Calc!F25))+B3311+(ArtifactsInput!$M$24-ArtifactsInput!$M$24)*CHOOSE(ArtifactsInput!$N$24+1,10,12,14,16,18,20)+IF(ArtifactsInput!$M$10,CHOOSE(ArtifactsInput!$N$10+1,15,18,21,24,27,30)*(IF(Inputs!$B$39="pvp",MIN(15,15)/15,IF(AND(Inputs!$B$39&lt;&gt;"pvp",Inputs!$B$44&gt;0),MIN(15,Inputs!$B$44)/(Inputs!$B$44),0))),0)))&gt;=100),MIN(100,((Inputs!$B$9+((C3296=TRUE)*(F3296-Calc!F25))+B3311+(ArtifactsInput!$M$24-ArtifactsInput!$M$24)*CHOOSE(ArtifactsInput!$N$24+1,10,12,14,16,18,20)+IF(ArtifactsInput!$M$10,CHOOSE(ArtifactsInput!$N$10+1,15,18,21,24,27,30)*(IF(Inputs!$B$39="pvp",MIN(15,15)/15,IF(AND(Inputs!$B$39&lt;&gt;"pvp",Inputs!$B$44&gt;0),MIN(15,Inputs!$B$44)/(Inputs!$B$44),0))),0)))-100),0))*CHOOSE(ArtifactsInput!$N$42+1,0.6,0.72,0.84,0.96,1.08,1.2))),Inputs!$B$18+((C3300=TRUE)*(F3300-Calc!F29))+(IF(AND(ArtifactsInput!$M$42,((Inputs!$B$9+((C3296=TRUE)*(F3296-Calc!F25))+B3311+(ArtifactsInput!$M$24-ArtifactsInput!$M$24)*CHOOSE(ArtifactsInput!$N$24+1,10,12,14,16,18,20)+IF(ArtifactsInput!$M$10,CHOOSE(ArtifactsInput!$N$10+1,15,18,21,24,27,30)*(IF(Inputs!$B$39="pvp",MIN(15,15)/15,IF(AND(Inputs!$B$39&lt;&gt;"pvp",Inputs!$B$44&gt;0),MIN(15,Inputs!$B$44)/(Inputs!$B$44),0))),0)))&gt;=100),CHOOSE(ArtifactsInput!$N$42+1,40,48,56,64,72,80),0))))/100)*(((1+(((C3292=TRUE)*F3292*IF(AND(Inputs!$B$39&lt;&gt;"pvp",Inputs!$B$44&gt;0),(((R3292-1)*(Skills!Y21*(1+Inputs!$B$34/100))+MIN((Skills!Y21*(1+Inputs!$B$34/100)),MAX(0,Inputs!$B$44-((R3292-1)*Skills!D21))))/Inputs!$B$44),IF(Inputs!$B$39="pvp",MIN((Skills!Y21*(1+Inputs!$B$34/100)),15)/15,(Skills!Y21*(1+Inputs!$B$34/100))/Skills!D21)))+((C3299=TRUE)*(F3299-Calc!F28))+((C3289=TRUE)*(F3289-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3286=TRUE)*F3286*IF(AND(Inputs!$B$39&lt;&gt;"pvp",Inputs!$B$44&gt;0),(((R3286-1)*(Skills!Y15*(1+Inputs!$B$34/100))+MIN((Skills!Y15*(1+Inputs!$B$34/100)),MAX(0,Inputs!$B$44-((R3286-1)*Skills!D15))))/Inputs!$B$44),IF(Inputs!$B$39="pvp",MIN((Skills!Y15*(1+Inputs!$B$34/100)),15)/15,(Skills!Y15*(1+Inputs!$B$34/100))/Skills!D15)))/100)*(1+((C3277=TRUE)*F3277*B3305)/100))*B3313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3275)</f>
        <v/>
      </c>
      <c r="L3275">
        <f>K3275*(MIN(Inputs!$B$22+((C3295=TRUE)*(F3295-Calc!F24)),(Inputs!$B$23+0+(IF(ArtifactsInput!$M$15,CHOOSE(ArtifactsInput!$N$15+1,25,30,35,40,45,50)/100*(Inputs!$B$11-Inputs!$B$11),0))))/100+(Inputs!$B$23+0+(IF(ArtifactsInput!$M$15,CHOOSE(ArtifactsInput!$N$15+1,25,30,35,40,45,50)/100*(Inputs!$B$11-Inputs!$B$11),0)))/100)/2</f>
        <v/>
      </c>
      <c r="M3275">
        <f>L3275*(1+(Inputs!$B$10+((C3297=TRUE)*(F3297-Calc!F26))+B3314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75">
        <f>L3275*(1-MIN((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3275*(MIN((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75">
        <f>(1-Summary!$B$11)*T3275+Summary!$B$11*V3275</f>
        <v/>
      </c>
      <c r="P3275">
        <f>IF(B3315=0,0,O3275/B3315)</f>
        <v/>
      </c>
      <c r="Q3275">
        <f>IFERROR(1/IF(Inputs!$B$39="pvp",15,MAX(0.1,Skills!D4-IF(Skills!E4=TRUE,1.5,0))),0)</f>
        <v/>
      </c>
      <c r="R3275">
        <f>IF(AND(Inputs!$B$39&lt;&gt;"pvp",Inputs!$B$44&gt;0),IF(MAX(0,Inputs!$B$44-B3316)&lt;=0,0,(INT(MAX(0,Inputs!$B$44-B3316)/IF(Inputs!$B$39="pvp",15,MAX(0.1,Skills!D4-IF(Skills!E4=TRUE,1.5,0))))+1)),0)</f>
        <v/>
      </c>
      <c r="S3275">
        <f>IFERROR(O3275/N3275,0)</f>
        <v/>
      </c>
      <c r="T3275">
        <f>IF(C3275,(H3275*N3275*IF(AND(Inputs!$B$39&lt;&gt;"pvp",Inputs!$B$44&gt;0),((Skills!G4*((R3275-1)*IF(Skills!H4&gt;0,Skills!I4/Skills!H4,1)+IF(Skills!H4&gt;0,MIN(Skills!I4,MAX(0,MAX(0,Inputs!$B$44-B3316)-((R3275-1)*IF(Inputs!$B$39="pvp",15,MAX(0.1,Skills!D4-IF(Skills!E4=TRUE,1.5,0))))))/Skills!H4,1)))/Inputs!$B$44),G3275*Q3275))*IF(Inputs!$B$39="pvp",1,1+(Inputs!$B$20+((C3298=TRUE)*(F3298-Calc!F27))+Skills!P4+B3312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Hunt"),CHOOSE(ArtifactsInput!$N$35+1,15,18,21,24,27,30)*(1-EXP(-(0.2*B3307)*5)),0)+IF(AND(ArtifactsInput!$M$22,Inputs!$B$4&lt;&gt;"Chapter Hunt"),CHOOSE(ArtifactsInput!$N$22+1,10,12,14,16,18,20)*((0*(((0.15*B3307*5))^0/1)+1*(((0.15*B3307*5))^1/1)+2*(((0.15*B3307*5))^2/2)+3*(((0.15*B3307*5))^3/6)+4*(((0.15*B3307*5))^4/24)+5*(((0.15*B3307*5))^5/120))/((((0.15*B3307*5))^0/1)+(((0.15*B3307*5))^1/1)+(((0.15*B3307*5))^2/2)+(((0.15*B3307*5))^3/6)+(((0.15*B3307*5))^4/24)+(((0.15*B3307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3275*(1-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3275*(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3275*(1-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3275*(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75">
        <f>MAX(0,(Inputs!$B$3-100)*3)+Inputs!$B$28+Inputs!$B$29</f>
        <v/>
      </c>
      <c r="V3275">
        <f>IF(C3275,(H3275*N3275*IF(AND(Inputs!$B$39&lt;&gt;"pvp",Inputs!$B$44&gt;0),((Skills!G4*((R3275-1)*IF(Skills!H4&gt;0,Skills!I4/Skills!H4,1)+IF(Skills!H4&gt;0,MIN(Skills!I4,MAX(0,MAX(0,Inputs!$B$44-B3316)-((R3275-1)*IF(Inputs!$B$39="pvp",15,MAX(0.1,Skills!D4-IF(Skills!E4=TRUE,1.5,0))))))/Skills!H4,1)))/Inputs!$B$44),G3275*Q3275))*IF(Inputs!$B$39="pvp",1,(1+(Inputs!$B$21+Skills!Q4+B3312+(IF(ArtifactsInput!$M$33,CHOOSE(ArtifactsInput!$N$33+1,30,36,42,48,54,60),0))+(IF(AND(ArtifactsInput!$M$35,Inputs!$B$4&lt;&gt;"Chapter Hunt"),CHOOSE(ArtifactsInput!$N$35+1,15,18,21,24,27,30)*(1-EXP(-(0.2*B3307)*5)),0)+IF(AND(ArtifactsInput!$M$22,Inputs!$B$4&lt;&gt;"Chapter Hunt"),CHOOSE(ArtifactsInput!$N$22+1,10,12,14,16,18,20)*((0*(((0.15*B3307*5))^0/1)+1*(((0.15*B3307*5))^1/1)+2*(((0.15*B3307*5))^2/2)+3*(((0.15*B3307*5))^3/6)+4*(((0.15*B3307*5))^4/24)+5*(((0.15*B3307*5))^5/120))/((((0.15*B3307*5))^0/1)+(((0.15*B3307*5))^1/1)+(((0.15*B3307*5))^2/2)+(((0.15*B3307*5))^3/6)+(((0.15*B3307*5))^4/24)+(((0.15*B3307*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76">
      <c r="A3276">
        <f>Skills!A5</f>
        <v/>
      </c>
      <c r="B3276">
        <f>Skills!B5</f>
        <v/>
      </c>
      <c r="C3276">
        <f>Inputs!$B$3&gt;=63</f>
        <v/>
      </c>
      <c r="D3276">
        <f>IF(Skills!C5=1,60+Inputs!$B$25+Inputs!$B$29,IF(Skills!C5=2,90+Inputs!$B$26+Inputs!$B$29,IF(Skills!C5=3,120+Inputs!$B$27+Inputs!$B$29,MAX(0,(Inputs!$B$3-100)*3)+Inputs!$B$28+Inputs!$B$29)))</f>
        <v/>
      </c>
      <c r="E3276">
        <f>INDEX(FactorTable!$B$2:$Y$301, MATCH(ROUND(MIN(300,MAX(1,D3276)),0), FactorTable!$A$2:$A$301,0), Skills!M5+1)</f>
        <v/>
      </c>
      <c r="F3276">
        <f>IF(Skills!N5=TRUE,(Skills!L5/10)*(E3276/1000),Skills!L5/10)+Skills!O5</f>
        <v/>
      </c>
      <c r="G3276">
        <f>Calc!G5</f>
        <v/>
      </c>
      <c r="H3276">
        <f>Calc!H5</f>
        <v/>
      </c>
      <c r="I3276">
        <f>IF(Skills!AA5&lt;&gt;"",1+(Skills!AA5/10)*(U3274/1000)/100,1)</f>
        <v/>
      </c>
      <c r="J3276">
        <f>((Inputs!$B$6*(1+Inputs!$B$7/100))+(((Inputs!$B$12*(1+Inputs!$B$13/100))-(Inputs!$B$12*(1+Inputs!$B$13/100)))+0.25*(Inputs!$B$14-Inputs!$B$14))*(1+Inputs!$B$7/100))*(F3276/100)</f>
        <v/>
      </c>
      <c r="K3276">
        <f>J3276*(1+((Inputs!$B$12*(1+Inputs!$B$13/100))*0.01+Inputs!$B$14*0.0025)/100)*(1+Inputs!$B$15/100)*(1+Inputs!$B$16/100)*(5000/(6000+Inputs!$B$43*(1-(100*(1-(1-(Inputs!$B$19+0)/100)*(1-CHOOSE(ArtifactsInput!$N$40+1,5,6,7,8,9,10)/100)^(ArtifactsInput!$M$40-ArtifactsInput!$M$40)))/100)))*(1+(Inputs!$B$24+((C3301=TRUE)*(F3301-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3294=TRUE)*(F3294-Calc!F23))+(((IF(AND(ArtifactsInput!$M$42,((Inputs!$B$9+((C3296=TRUE)*(F3296-Calc!F25))+B3311+(ArtifactsInput!$M$24-ArtifactsInput!$M$24)*CHOOSE(ArtifactsInput!$N$24+1,10,12,14,16,18,20)+IF(ArtifactsInput!$M$10,CHOOSE(ArtifactsInput!$N$10+1,15,18,21,24,27,30)*(IF(Inputs!$B$39="pvp",MIN(15,15)/15,IF(AND(Inputs!$B$39&lt;&gt;"pvp",Inputs!$B$44&gt;0),MIN(15,Inputs!$B$44)/(Inputs!$B$44),0))),0)))&gt;=100),MIN(100,((Inputs!$B$9+((C3296=TRUE)*(F3296-Calc!F25))+B3311+(ArtifactsInput!$M$24-ArtifactsInput!$M$24)*CHOOSE(ArtifactsInput!$N$24+1,10,12,14,16,18,20)+IF(ArtifactsInput!$M$10,CHOOSE(ArtifactsInput!$N$10+1,15,18,21,24,27,30)*(IF(Inputs!$B$39="pvp",MIN(15,15)/15,IF(AND(Inputs!$B$39&lt;&gt;"pvp",Inputs!$B$44&gt;0),MIN(15,Inputs!$B$44)/(Inputs!$B$44),0))),0)))-100),0))*CHOOSE(ArtifactsInput!$N$42+1,0.6,0.72,0.84,0.96,1.08,1.2))),Inputs!$B$18+((C3300=TRUE)*(F3300-Calc!F29))+(IF(AND(ArtifactsInput!$M$42,((Inputs!$B$9+((C3296=TRUE)*(F3296-Calc!F25))+B3311+(ArtifactsInput!$M$24-ArtifactsInput!$M$24)*CHOOSE(ArtifactsInput!$N$24+1,10,12,14,16,18,20)+IF(ArtifactsInput!$M$10,CHOOSE(ArtifactsInput!$N$10+1,15,18,21,24,27,30)*(IF(Inputs!$B$39="pvp",MIN(15,15)/15,IF(AND(Inputs!$B$39&lt;&gt;"pvp",Inputs!$B$44&gt;0),MIN(15,Inputs!$B$44)/(Inputs!$B$44),0))),0)))&gt;=100),CHOOSE(ArtifactsInput!$N$42+1,40,48,56,64,72,80),0))))/100)*(((1+(((C3292=TRUE)*F3292*IF(AND(Inputs!$B$39&lt;&gt;"pvp",Inputs!$B$44&gt;0),(((R3292-1)*(Skills!Y21*(1+Inputs!$B$34/100))+MIN((Skills!Y21*(1+Inputs!$B$34/100)),MAX(0,Inputs!$B$44-((R3292-1)*Skills!D21))))/Inputs!$B$44),IF(Inputs!$B$39="pvp",MIN((Skills!Y21*(1+Inputs!$B$34/100)),15)/15,(Skills!Y21*(1+Inputs!$B$34/100))/Skills!D21)))+((C3299=TRUE)*(F3299-Calc!F28))+((C3289=TRUE)*(F3289-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3286=TRUE)*F3286*IF(AND(Inputs!$B$39&lt;&gt;"pvp",Inputs!$B$44&gt;0),(((R3286-1)*(Skills!Y15*(1+Inputs!$B$34/100))+MIN((Skills!Y15*(1+Inputs!$B$34/100)),MAX(0,Inputs!$B$44-((R3286-1)*Skills!D15))))/Inputs!$B$44),IF(Inputs!$B$39="pvp",MIN((Skills!Y15*(1+Inputs!$B$34/100)),15)/15,(Skills!Y15*(1+Inputs!$B$34/100))/Skills!D15)))/100)*(1+((C3277=TRUE)*F3277*B3305)/100))*B3313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3276)</f>
        <v/>
      </c>
      <c r="L3276">
        <f>K3276*(MIN(Inputs!$B$22+((C3295=TRUE)*(F3295-Calc!F24)),(Inputs!$B$23+0+(IF(ArtifactsInput!$M$15,CHOOSE(ArtifactsInput!$N$15+1,25,30,35,40,45,50)/100*(Inputs!$B$11-Inputs!$B$11),0))))/100+(Inputs!$B$23+0+(IF(ArtifactsInput!$M$15,CHOOSE(ArtifactsInput!$N$15+1,25,30,35,40,45,50)/100*(Inputs!$B$11-Inputs!$B$11),0)))/100)/2</f>
        <v/>
      </c>
      <c r="M3276">
        <f>L3276*(1+(Inputs!$B$10+((C3297=TRUE)*(F3297-Calc!F26))+B3314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76">
        <f>L3276*(1-MIN((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3276*(MIN((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76">
        <f>(1-Summary!$B$11)*T3276+Summary!$B$11*V3276</f>
        <v/>
      </c>
      <c r="P3276">
        <f>IF(B3315=0,0,O3276/B3315)</f>
        <v/>
      </c>
      <c r="Q3276">
        <f>IFERROR(1/IF(Inputs!$B$39="pvp",15,MAX(0.1,Skills!D5-IF(Skills!E5=TRUE,1.5,0))),0)</f>
        <v/>
      </c>
      <c r="R3276">
        <f>IF(AND(Inputs!$B$39&lt;&gt;"pvp",Inputs!$B$44&gt;0),IF(MAX(0,Inputs!$B$44-B3316)&lt;=0,0,(INT(MAX(0,Inputs!$B$44-B3316)/IF(Inputs!$B$39="pvp",15,MAX(0.1,Skills!D5-IF(Skills!E5=TRUE,1.5,0))))+1)),0)</f>
        <v/>
      </c>
      <c r="S3276">
        <f>IFERROR(O3276/N3276,0)</f>
        <v/>
      </c>
      <c r="T3276">
        <f>IF(C3276,(H3276*N3276*IF(AND(Inputs!$B$39&lt;&gt;"pvp",Inputs!$B$44&gt;0),((Skills!G5*((R3276-1)*IF(Skills!H5&gt;0,Skills!I5/Skills!H5,1)+IF(Skills!H5&gt;0,MIN(Skills!I5,MAX(0,MAX(0,Inputs!$B$44-B3316)-((R3276-1)*IF(Inputs!$B$39="pvp",15,MAX(0.1,Skills!D5-IF(Skills!E5=TRUE,1.5,0))))))/Skills!H5,1)))/Inputs!$B$44),G3276*Q3276))*IF(Inputs!$B$39="pvp",1,1+(Inputs!$B$20+((C3298=TRUE)*(F3298-Calc!F27))+Skills!P5+B3312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Hunt"),CHOOSE(ArtifactsInput!$N$35+1,15,18,21,24,27,30)*(1-EXP(-(0.2*B3307)*5)),0)+IF(AND(ArtifactsInput!$M$22,Inputs!$B$4&lt;&gt;"Chapter Hunt"),CHOOSE(ArtifactsInput!$N$22+1,10,12,14,16,18,20)*((0*(((0.15*B3307*5))^0/1)+1*(((0.15*B3307*5))^1/1)+2*(((0.15*B3307*5))^2/2)+3*(((0.15*B3307*5))^3/6)+4*(((0.15*B3307*5))^4/24)+5*(((0.15*B3307*5))^5/120))/((((0.15*B3307*5))^0/1)+(((0.15*B3307*5))^1/1)+(((0.15*B3307*5))^2/2)+(((0.15*B3307*5))^3/6)+(((0.15*B3307*5))^4/24)+(((0.15*B3307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3276*(1-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3276*(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3276*(1-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3276*(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76">
        <f>INDEX(FactorTable!$B$2:$Y$301, MATCH(ROUND(MIN(300,MAX(1,U3275)),0), FactorTable!$A$2:$A$301,0), 22)</f>
        <v/>
      </c>
      <c r="V3276">
        <f>IF(C3276,(H3276*N3276*IF(AND(Inputs!$B$39&lt;&gt;"pvp",Inputs!$B$44&gt;0),((Skills!G5*((R3276-1)*IF(Skills!H5&gt;0,Skills!I5/Skills!H5,1)+IF(Skills!H5&gt;0,MIN(Skills!I5,MAX(0,MAX(0,Inputs!$B$44-B3316)-((R3276-1)*IF(Inputs!$B$39="pvp",15,MAX(0.1,Skills!D5-IF(Skills!E5=TRUE,1.5,0))))))/Skills!H5,1)))/Inputs!$B$44),G3276*Q3276))*IF(Inputs!$B$39="pvp",1,(1+(Inputs!$B$21+Skills!Q5+B3312+(IF(ArtifactsInput!$M$33,CHOOSE(ArtifactsInput!$N$33+1,30,36,42,48,54,60),0))+(IF(AND(ArtifactsInput!$M$35,Inputs!$B$4&lt;&gt;"Chapter Hunt"),CHOOSE(ArtifactsInput!$N$35+1,15,18,21,24,27,30)*(1-EXP(-(0.2*B3307)*5)),0)+IF(AND(ArtifactsInput!$M$22,Inputs!$B$4&lt;&gt;"Chapter Hunt"),CHOOSE(ArtifactsInput!$N$22+1,10,12,14,16,18,20)*((0*(((0.15*B3307*5))^0/1)+1*(((0.15*B3307*5))^1/1)+2*(((0.15*B3307*5))^2/2)+3*(((0.15*B3307*5))^3/6)+4*(((0.15*B3307*5))^4/24)+5*(((0.15*B3307*5))^5/120))/((((0.15*B3307*5))^0/1)+(((0.15*B3307*5))^1/1)+(((0.15*B3307*5))^2/2)+(((0.15*B3307*5))^3/6)+(((0.15*B3307*5))^4/24)+(((0.15*B3307*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77">
      <c r="A3277">
        <f>Skills!A6</f>
        <v/>
      </c>
      <c r="B3277">
        <f>Skills!B6</f>
        <v/>
      </c>
      <c r="C3277">
        <f>Inputs!$B$3&gt;=66</f>
        <v/>
      </c>
      <c r="D3277">
        <f>IF(Skills!C6=1,60+Inputs!$B$25+Inputs!$B$29,IF(Skills!C6=2,90+Inputs!$B$26+Inputs!$B$29,IF(Skills!C6=3,120+Inputs!$B$27+Inputs!$B$29,MAX(0,(Inputs!$B$3-100)*3)+Inputs!$B$28+Inputs!$B$29)))</f>
        <v/>
      </c>
      <c r="E3277">
        <f>INDEX(FactorTable!$B$2:$Y$301, MATCH(ROUND(MIN(300,MAX(1,D3277)),0), FactorTable!$A$2:$A$301,0), Skills!M6+1)</f>
        <v/>
      </c>
      <c r="F3277">
        <f>IF(Skills!N6=TRUE,(Skills!L6/10)*(E3277/1000),Skills!L6/10)+Skills!O6</f>
        <v/>
      </c>
      <c r="G3277">
        <f>Calc!G6</f>
        <v/>
      </c>
      <c r="H3277">
        <f>Calc!H6</f>
        <v/>
      </c>
      <c r="I3277">
        <f>IF(Skills!AA6&lt;&gt;"",1+(Skills!AA6/10)*(U3274/1000)/100,1)</f>
        <v/>
      </c>
      <c r="J3277" t="inlineStr"/>
      <c r="K3277" t="inlineStr"/>
      <c r="L3277" t="inlineStr"/>
      <c r="M3277" t="inlineStr"/>
      <c r="N3277" t="inlineStr"/>
      <c r="O3277">
        <f>(1-Summary!$B$11)*T3277+Summary!$B$11*V3277</f>
        <v/>
      </c>
      <c r="P3277">
        <f>IF(B3315=0,0,O3277/B3315)</f>
        <v/>
      </c>
      <c r="Q3277" t="n">
        <v>0</v>
      </c>
      <c r="R3277" t="n">
        <v>0</v>
      </c>
      <c r="S3277">
        <f>IFERROR(O3277/N3277,0)</f>
        <v/>
      </c>
      <c r="T3277" t="n">
        <v>0</v>
      </c>
      <c r="U3277">
        <f>290*U3276/1000</f>
        <v/>
      </c>
      <c r="V3277" t="n">
        <v>0</v>
      </c>
    </row>
    <row r="3278">
      <c r="A3278">
        <f>Skills!A7</f>
        <v/>
      </c>
      <c r="B3278">
        <f>Skills!B7</f>
        <v/>
      </c>
      <c r="C3278">
        <f>Inputs!$B$3&gt;=66</f>
        <v/>
      </c>
      <c r="D3278">
        <f>IF(Skills!C7=1,60+Inputs!$B$25+Inputs!$B$29,IF(Skills!C7=2,90+Inputs!$B$26+Inputs!$B$29,IF(Skills!C7=3,120+Inputs!$B$27+Inputs!$B$29,MAX(0,(Inputs!$B$3-100)*3)+Inputs!$B$28+Inputs!$B$29)))</f>
        <v/>
      </c>
      <c r="E3278">
        <f>INDEX(FactorTable!$B$2:$Y$301, MATCH(ROUND(MIN(300,MAX(1,D3278)),0), FactorTable!$A$2:$A$301,0), Skills!M7+1)</f>
        <v/>
      </c>
      <c r="F3278">
        <f>IF(Skills!N7=TRUE,(Skills!L7/10)*(E3278/1000),Skills!L7/10)+Skills!O7</f>
        <v/>
      </c>
      <c r="G3278">
        <f>Calc!G7</f>
        <v/>
      </c>
      <c r="H3278">
        <f>Calc!H7</f>
        <v/>
      </c>
      <c r="I3278">
        <f>IF(Skills!AA7&lt;&gt;"",1+(Skills!AA7/10)*(U3274/1000)/100,1)</f>
        <v/>
      </c>
      <c r="J3278" t="inlineStr"/>
      <c r="K3278" t="inlineStr"/>
      <c r="L3278" t="inlineStr"/>
      <c r="M3278" t="inlineStr"/>
      <c r="N3278" t="inlineStr"/>
      <c r="O3278">
        <f>(1-Summary!$B$11)*T3278+Summary!$B$11*V3278</f>
        <v/>
      </c>
      <c r="P3278">
        <f>IF(B3315=0,0,O3278/B3315)</f>
        <v/>
      </c>
      <c r="Q3278" t="n">
        <v>0</v>
      </c>
      <c r="R3278" t="n">
        <v>0</v>
      </c>
      <c r="S3278">
        <f>IFERROR(O3278/N3278,0)</f>
        <v/>
      </c>
      <c r="T3278" t="n">
        <v>0</v>
      </c>
      <c r="V3278" t="n">
        <v>0</v>
      </c>
    </row>
    <row r="3279">
      <c r="A3279">
        <f>Skills!A8</f>
        <v/>
      </c>
      <c r="B3279">
        <f>Skills!B8</f>
        <v/>
      </c>
      <c r="C3279">
        <f>Inputs!$B$3&gt;=69</f>
        <v/>
      </c>
      <c r="D3279">
        <f>IF(Skills!C8=1,60+Inputs!$B$25+Inputs!$B$29,IF(Skills!C8=2,90+Inputs!$B$26+Inputs!$B$29,IF(Skills!C8=3,120+Inputs!$B$27+Inputs!$B$29,MAX(0,(Inputs!$B$3-100)*3)+Inputs!$B$28+Inputs!$B$29)))</f>
        <v/>
      </c>
      <c r="E3279">
        <f>INDEX(FactorTable!$B$2:$Y$301, MATCH(ROUND(MIN(300,MAX(1,D3279)),0), FactorTable!$A$2:$A$301,0), Skills!M8+1)</f>
        <v/>
      </c>
      <c r="F3279">
        <f>IF(Skills!N8=TRUE,(Skills!L8/10)*(E3279/1000),Skills!L8/10)+Skills!O8</f>
        <v/>
      </c>
      <c r="G3279">
        <f>Calc!G8</f>
        <v/>
      </c>
      <c r="H3279">
        <f>Calc!H8</f>
        <v/>
      </c>
      <c r="I3279">
        <f>IF(Skills!AA8&lt;&gt;"",1+(Skills!AA8/10)*(U3274/1000)/100,1)</f>
        <v/>
      </c>
      <c r="J3279">
        <f>((Inputs!$B$6*(1+Inputs!$B$7/100))+(((Inputs!$B$12*(1+Inputs!$B$13/100))-(Inputs!$B$12*(1+Inputs!$B$13/100)))+0.25*(Inputs!$B$14-Inputs!$B$14))*(1+Inputs!$B$7/100))*(F3279/100)</f>
        <v/>
      </c>
      <c r="K3279">
        <f>J3279*(1+((Inputs!$B$12*(1+Inputs!$B$13/100))*0.01+Inputs!$B$14*0.0025)/100)*(1+Inputs!$B$15/100)*(1+Inputs!$B$16/100)*(5000/(6000+Inputs!$B$43*(1-(100*(1-(1-(Inputs!$B$19+0)/100)*(1-CHOOSE(ArtifactsInput!$N$40+1,5,6,7,8,9,10)/100)^(ArtifactsInput!$M$40-ArtifactsInput!$M$40)))/100)))*(1+(Inputs!$B$24+((C3301=TRUE)*(F3301-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3294=TRUE)*(F3294-Calc!F23))+(((IF(AND(ArtifactsInput!$M$42,((Inputs!$B$9+((C3296=TRUE)*(F3296-Calc!F25))+B3311+(ArtifactsInput!$M$24-ArtifactsInput!$M$24)*CHOOSE(ArtifactsInput!$N$24+1,10,12,14,16,18,20)+IF(ArtifactsInput!$M$10,CHOOSE(ArtifactsInput!$N$10+1,15,18,21,24,27,30)*(IF(Inputs!$B$39="pvp",MIN(15,15)/15,IF(AND(Inputs!$B$39&lt;&gt;"pvp",Inputs!$B$44&gt;0),MIN(15,Inputs!$B$44)/(Inputs!$B$44),0))),0)))&gt;=100),MIN(100,((Inputs!$B$9+((C3296=TRUE)*(F3296-Calc!F25))+B3311+(ArtifactsInput!$M$24-ArtifactsInput!$M$24)*CHOOSE(ArtifactsInput!$N$24+1,10,12,14,16,18,20)+IF(ArtifactsInput!$M$10,CHOOSE(ArtifactsInput!$N$10+1,15,18,21,24,27,30)*(IF(Inputs!$B$39="pvp",MIN(15,15)/15,IF(AND(Inputs!$B$39&lt;&gt;"pvp",Inputs!$B$44&gt;0),MIN(15,Inputs!$B$44)/(Inputs!$B$44),0))),0)))-100),0))*CHOOSE(ArtifactsInput!$N$42+1,0.6,0.72,0.84,0.96,1.08,1.2))),Inputs!$B$18+((C3300=TRUE)*(F3300-Calc!F29))+(IF(AND(ArtifactsInput!$M$42,((Inputs!$B$9+((C3296=TRUE)*(F3296-Calc!F25))+B3311+(ArtifactsInput!$M$24-ArtifactsInput!$M$24)*CHOOSE(ArtifactsInput!$N$24+1,10,12,14,16,18,20)+IF(ArtifactsInput!$M$10,CHOOSE(ArtifactsInput!$N$10+1,15,18,21,24,27,30)*(IF(Inputs!$B$39="pvp",MIN(15,15)/15,IF(AND(Inputs!$B$39&lt;&gt;"pvp",Inputs!$B$44&gt;0),MIN(15,Inputs!$B$44)/(Inputs!$B$44),0))),0)))&gt;=100),CHOOSE(ArtifactsInput!$N$42+1,40,48,56,64,72,80),0))))/100)*(((1+(((C3292=TRUE)*F3292*IF(AND(Inputs!$B$39&lt;&gt;"pvp",Inputs!$B$44&gt;0),(((R3292-1)*(Skills!Y21*(1+Inputs!$B$34/100))+MIN((Skills!Y21*(1+Inputs!$B$34/100)),MAX(0,Inputs!$B$44-((R3292-1)*Skills!D21))))/Inputs!$B$44),IF(Inputs!$B$39="pvp",MIN((Skills!Y21*(1+Inputs!$B$34/100)),15)/15,(Skills!Y21*(1+Inputs!$B$34/100))/Skills!D21)))+((C3299=TRUE)*(F3299-Calc!F28))+((C3289=TRUE)*(F3289-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3286=TRUE)*F3286*IF(AND(Inputs!$B$39&lt;&gt;"pvp",Inputs!$B$44&gt;0),(((R3286-1)*(Skills!Y15*(1+Inputs!$B$34/100))+MIN((Skills!Y15*(1+Inputs!$B$34/100)),MAX(0,Inputs!$B$44-((R3286-1)*Skills!D15))))/Inputs!$B$44),IF(Inputs!$B$39="pvp",MIN((Skills!Y15*(1+Inputs!$B$34/100)),15)/15,(Skills!Y15*(1+Inputs!$B$34/100))/Skills!D15)))/100)*(1+((C3277=TRUE)*F3277*B3305)/100))*B3313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3279)</f>
        <v/>
      </c>
      <c r="L3279">
        <f>K3279*(MIN(Inputs!$B$22+((C3295=TRUE)*(F3295-Calc!F24)),(Inputs!$B$23+0+(IF(ArtifactsInput!$M$15,CHOOSE(ArtifactsInput!$N$15+1,25,30,35,40,45,50)/100*(Inputs!$B$11-Inputs!$B$11),0))))/100+(Inputs!$B$23+0+(IF(ArtifactsInput!$M$15,CHOOSE(ArtifactsInput!$N$15+1,25,30,35,40,45,50)/100*(Inputs!$B$11-Inputs!$B$11),0)))/100)/2</f>
        <v/>
      </c>
      <c r="M3279">
        <f>L3279*(1+(Inputs!$B$10+((C3297=TRUE)*(F3297-Calc!F26))+B3314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79">
        <f>L3279*(1-MIN((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3279*(MIN((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79">
        <f>(1-Summary!$B$11)*T3279+Summary!$B$11*V3279</f>
        <v/>
      </c>
      <c r="P3279">
        <f>IF(B3315=0,0,O3279/B3315)</f>
        <v/>
      </c>
      <c r="Q3279">
        <f>IFERROR(1/IF(Inputs!$B$39="pvp",15,MAX(0.1,Skills!D8-IF(Skills!E8=TRUE,1.5,0))),0)</f>
        <v/>
      </c>
      <c r="R3279">
        <f>IF(AND(Inputs!$B$39&lt;&gt;"pvp",Inputs!$B$44&gt;0),IF(MAX(0,Inputs!$B$44-B3316)&lt;=0,0,(INT(MAX(0,Inputs!$B$44-B3316)/IF(Inputs!$B$39="pvp",15,MAX(0.1,Skills!D8-IF(Skills!E8=TRUE,1.5,0))))+1)),0)</f>
        <v/>
      </c>
      <c r="S3279">
        <f>IFERROR(O3279/N3279,0)</f>
        <v/>
      </c>
      <c r="T3279">
        <f>IF(C3279,(H3279*N3279*IF(AND(Inputs!$B$39&lt;&gt;"pvp",Inputs!$B$44&gt;0),((Skills!G8*((R3279-1)*IF(Skills!H8&gt;0,Skills!I8/Skills!H8,1)+IF(Skills!H8&gt;0,MIN(Skills!I8,MAX(0,MAX(0,Inputs!$B$44-B3316)-((R3279-1)*IF(Inputs!$B$39="pvp",15,MAX(0.1,Skills!D8-IF(Skills!E8=TRUE,1.5,0))))))/Skills!H8,1)))/Inputs!$B$44),G3279*Q3279))*IF(Inputs!$B$39="pvp",1,1+(Inputs!$B$20+((C3298=TRUE)*(F3298-Calc!F27))+Skills!P8+B3312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Hunt"),CHOOSE(ArtifactsInput!$N$35+1,15,18,21,24,27,30)*(1-EXP(-(0.2*B3307)*5)),0)+IF(AND(ArtifactsInput!$M$22,Inputs!$B$4&lt;&gt;"Chapter Hunt"),CHOOSE(ArtifactsInput!$N$22+1,10,12,14,16,18,20)*((0*(((0.15*B3307*5))^0/1)+1*(((0.15*B3307*5))^1/1)+2*(((0.15*B3307*5))^2/2)+3*(((0.15*B3307*5))^3/6)+4*(((0.15*B3307*5))^4/24)+5*(((0.15*B3307*5))^5/120))/((((0.15*B3307*5))^0/1)+(((0.15*B3307*5))^1/1)+(((0.15*B3307*5))^2/2)+(((0.15*B3307*5))^3/6)+(((0.15*B3307*5))^4/24)+(((0.15*B3307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3279*(1-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3279*(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3279*(1-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3279*(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79">
        <f>IF(C3279,(H3279*N3279*IF(AND(Inputs!$B$39&lt;&gt;"pvp",Inputs!$B$44&gt;0),((Skills!G8*((R3279-1)*IF(Skills!H8&gt;0,Skills!I8/Skills!H8,1)+IF(Skills!H8&gt;0,MIN(Skills!I8,MAX(0,MAX(0,Inputs!$B$44-B3316)-((R3279-1)*IF(Inputs!$B$39="pvp",15,MAX(0.1,Skills!D8-IF(Skills!E8=TRUE,1.5,0))))))/Skills!H8,1)))/Inputs!$B$44),G3279*Q3279))*IF(Inputs!$B$39="pvp",1,(1+(Inputs!$B$21+Skills!Q8+B3312+(IF(ArtifactsInput!$M$33,CHOOSE(ArtifactsInput!$N$33+1,30,36,42,48,54,60),0))+(IF(AND(ArtifactsInput!$M$35,Inputs!$B$4&lt;&gt;"Chapter Hunt"),CHOOSE(ArtifactsInput!$N$35+1,15,18,21,24,27,30)*(1-EXP(-(0.2*B3307)*5)),0)+IF(AND(ArtifactsInput!$M$22,Inputs!$B$4&lt;&gt;"Chapter Hunt"),CHOOSE(ArtifactsInput!$N$22+1,10,12,14,16,18,20)*((0*(((0.15*B3307*5))^0/1)+1*(((0.15*B3307*5))^1/1)+2*(((0.15*B3307*5))^2/2)+3*(((0.15*B3307*5))^3/6)+4*(((0.15*B3307*5))^4/24)+5*(((0.15*B3307*5))^5/120))/((((0.15*B3307*5))^0/1)+(((0.15*B3307*5))^1/1)+(((0.15*B3307*5))^2/2)+(((0.15*B3307*5))^3/6)+(((0.15*B3307*5))^4/24)+(((0.15*B3307*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80">
      <c r="A3280">
        <f>Skills!A9</f>
        <v/>
      </c>
      <c r="B3280">
        <f>Skills!B9</f>
        <v/>
      </c>
      <c r="C3280">
        <f>Inputs!$B$3&gt;=72</f>
        <v/>
      </c>
      <c r="D3280">
        <f>IF(Skills!C9=1,60+Inputs!$B$25+Inputs!$B$29,IF(Skills!C9=2,90+Inputs!$B$26+Inputs!$B$29,IF(Skills!C9=3,120+Inputs!$B$27+Inputs!$B$29,MAX(0,(Inputs!$B$3-100)*3)+Inputs!$B$28+Inputs!$B$29)))</f>
        <v/>
      </c>
      <c r="E3280">
        <f>INDEX(FactorTable!$B$2:$Y$301, MATCH(ROUND(MIN(300,MAX(1,D3280)),0), FactorTable!$A$2:$A$301,0), Skills!M9+1)</f>
        <v/>
      </c>
      <c r="F3280">
        <f>IF(Skills!N9=TRUE,(Skills!L9/10)*(E3280/1000),Skills!L9/10)+Skills!O9</f>
        <v/>
      </c>
      <c r="G3280">
        <f>Calc!G9</f>
        <v/>
      </c>
      <c r="H3280">
        <f>Calc!H9</f>
        <v/>
      </c>
      <c r="I3280">
        <f>IF(Skills!AA9&lt;&gt;"",1+(Skills!AA9/10)*(U3274/1000)/100,1)</f>
        <v/>
      </c>
      <c r="J3280">
        <f>((Inputs!$B$6*(1+Inputs!$B$7/100))+(((Inputs!$B$12*(1+Inputs!$B$13/100))-(Inputs!$B$12*(1+Inputs!$B$13/100)))+0.25*(Inputs!$B$14-Inputs!$B$14))*(1+Inputs!$B$7/100))*(F3280/100)</f>
        <v/>
      </c>
      <c r="K3280">
        <f>J3280*(1+((Inputs!$B$12*(1+Inputs!$B$13/100))*0.01+Inputs!$B$14*0.0025)/100)*(1+Inputs!$B$15/100)*(1+Inputs!$B$16/100)*(5000/(6000+Inputs!$B$43*(1-(100*(1-(1-(Inputs!$B$19+0)/100)*(1-CHOOSE(ArtifactsInput!$N$40+1,5,6,7,8,9,10)/100)^(ArtifactsInput!$M$40-ArtifactsInput!$M$40)))/100)))*(1+(Inputs!$B$24+((C3301=TRUE)*(F3301-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3294=TRUE)*(F3294-Calc!F23))+(((IF(AND(ArtifactsInput!$M$42,((Inputs!$B$9+((C3296=TRUE)*(F3296-Calc!F25))+B3311+(ArtifactsInput!$M$24-ArtifactsInput!$M$24)*CHOOSE(ArtifactsInput!$N$24+1,10,12,14,16,18,20)+IF(ArtifactsInput!$M$10,CHOOSE(ArtifactsInput!$N$10+1,15,18,21,24,27,30)*(IF(Inputs!$B$39="pvp",MIN(15,15)/15,IF(AND(Inputs!$B$39&lt;&gt;"pvp",Inputs!$B$44&gt;0),MIN(15,Inputs!$B$44)/(Inputs!$B$44),0))),0)))&gt;=100),MIN(100,((Inputs!$B$9+((C3296=TRUE)*(F3296-Calc!F25))+B3311+(ArtifactsInput!$M$24-ArtifactsInput!$M$24)*CHOOSE(ArtifactsInput!$N$24+1,10,12,14,16,18,20)+IF(ArtifactsInput!$M$10,CHOOSE(ArtifactsInput!$N$10+1,15,18,21,24,27,30)*(IF(Inputs!$B$39="pvp",MIN(15,15)/15,IF(AND(Inputs!$B$39&lt;&gt;"pvp",Inputs!$B$44&gt;0),MIN(15,Inputs!$B$44)/(Inputs!$B$44),0))),0)))-100),0))*CHOOSE(ArtifactsInput!$N$42+1,0.6,0.72,0.84,0.96,1.08,1.2))),Inputs!$B$18+((C3300=TRUE)*(F3300-Calc!F29))+(IF(AND(ArtifactsInput!$M$42,((Inputs!$B$9+((C3296=TRUE)*(F3296-Calc!F25))+B3311+(ArtifactsInput!$M$24-ArtifactsInput!$M$24)*CHOOSE(ArtifactsInput!$N$24+1,10,12,14,16,18,20)+IF(ArtifactsInput!$M$10,CHOOSE(ArtifactsInput!$N$10+1,15,18,21,24,27,30)*(IF(Inputs!$B$39="pvp",MIN(15,15)/15,IF(AND(Inputs!$B$39&lt;&gt;"pvp",Inputs!$B$44&gt;0),MIN(15,Inputs!$B$44)/(Inputs!$B$44),0))),0)))&gt;=100),CHOOSE(ArtifactsInput!$N$42+1,40,48,56,64,72,80),0))))/100)*(((1+(((C3292=TRUE)*F3292*IF(AND(Inputs!$B$39&lt;&gt;"pvp",Inputs!$B$44&gt;0),(((R3292-1)*(Skills!Y21*(1+Inputs!$B$34/100))+MIN((Skills!Y21*(1+Inputs!$B$34/100)),MAX(0,Inputs!$B$44-((R3292-1)*Skills!D21))))/Inputs!$B$44),IF(Inputs!$B$39="pvp",MIN((Skills!Y21*(1+Inputs!$B$34/100)),15)/15,(Skills!Y21*(1+Inputs!$B$34/100))/Skills!D21)))+((C3299=TRUE)*(F3299-Calc!F28))+((C3289=TRUE)*(F3289-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3286=TRUE)*F3286*IF(AND(Inputs!$B$39&lt;&gt;"pvp",Inputs!$B$44&gt;0),(((R3286-1)*(Skills!Y15*(1+Inputs!$B$34/100))+MIN((Skills!Y15*(1+Inputs!$B$34/100)),MAX(0,Inputs!$B$44-((R3286-1)*Skills!D15))))/Inputs!$B$44),IF(Inputs!$B$39="pvp",MIN((Skills!Y15*(1+Inputs!$B$34/100)),15)/15,(Skills!Y15*(1+Inputs!$B$34/100))/Skills!D15)))/100)*(1+((C3277=TRUE)*F3277*B3305)/100))*B3313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3280)</f>
        <v/>
      </c>
      <c r="L3280">
        <f>K3280*(MIN(Inputs!$B$22+((C3295=TRUE)*(F3295-Calc!F24)),(Inputs!$B$23+0+(IF(ArtifactsInput!$M$15,CHOOSE(ArtifactsInput!$N$15+1,25,30,35,40,45,50)/100*(Inputs!$B$11-Inputs!$B$11),0))))/100+(Inputs!$B$23+0+(IF(ArtifactsInput!$M$15,CHOOSE(ArtifactsInput!$N$15+1,25,30,35,40,45,50)/100*(Inputs!$B$11-Inputs!$B$11),0)))/100)/2</f>
        <v/>
      </c>
      <c r="M3280">
        <f>L3280*(1+(Inputs!$B$10+((C3297=TRUE)*(F3297-Calc!F26))+B3314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80">
        <f>L3280*(1-MIN((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3280*(MIN((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80">
        <f>(1-Summary!$B$11)*T3280+Summary!$B$11*V3280</f>
        <v/>
      </c>
      <c r="P3280">
        <f>IF(B3315=0,0,O3280/B3315)</f>
        <v/>
      </c>
      <c r="Q3280">
        <f>IFERROR(1/IF(Inputs!$B$39="pvp",15,MAX(0.1,Skills!D9-IF(Skills!E9=TRUE,1.5,0))),0)</f>
        <v/>
      </c>
      <c r="R3280">
        <f>IF(AND(Inputs!$B$39&lt;&gt;"pvp",Inputs!$B$44&gt;0),IF(MAX(0,Inputs!$B$44-B3316)&lt;=0,0,(INT(MAX(0,Inputs!$B$44-B3316)/IF(Inputs!$B$39="pvp",15,MAX(0.1,Skills!D9-IF(Skills!E9=TRUE,1.5,0))))+1)),0)</f>
        <v/>
      </c>
      <c r="S3280">
        <f>IFERROR(O3280/N3280,0)</f>
        <v/>
      </c>
      <c r="T3280">
        <f>IF(C3280,(H3280*N3280*IF(AND(Inputs!$B$39&lt;&gt;"pvp",Inputs!$B$44&gt;0),((Skills!G9*((R3280-1)*IF(Skills!H9&gt;0,Skills!I9/Skills!H9,1)+IF(Skills!H9&gt;0,MIN(Skills!I9,MAX(0,MAX(0,Inputs!$B$44-B3316)-((R3280-1)*IF(Inputs!$B$39="pvp",15,MAX(0.1,Skills!D9-IF(Skills!E9=TRUE,1.5,0))))))/Skills!H9,1)))/Inputs!$B$44),G3280*Q3280))*IF(Inputs!$B$39="pvp",1,1+(Inputs!$B$20+((C3298=TRUE)*(F3298-Calc!F27))+Skills!P9+B3312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Hunt"),CHOOSE(ArtifactsInput!$N$35+1,15,18,21,24,27,30)*(1-EXP(-(0.2*B3307)*5)),0)+IF(AND(ArtifactsInput!$M$22,Inputs!$B$4&lt;&gt;"Chapter Hunt"),CHOOSE(ArtifactsInput!$N$22+1,10,12,14,16,18,20)*((0*(((0.15*B3307*5))^0/1)+1*(((0.15*B3307*5))^1/1)+2*(((0.15*B3307*5))^2/2)+3*(((0.15*B3307*5))^3/6)+4*(((0.15*B3307*5))^4/24)+5*(((0.15*B3307*5))^5/120))/((((0.15*B3307*5))^0/1)+(((0.15*B3307*5))^1/1)+(((0.15*B3307*5))^2/2)+(((0.15*B3307*5))^3/6)+(((0.15*B3307*5))^4/24)+(((0.15*B3307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3280*(1-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3280*(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3280*(1-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3280*(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80">
        <f>IF(C3280,(H3280*N3280*IF(AND(Inputs!$B$39&lt;&gt;"pvp",Inputs!$B$44&gt;0),((Skills!G9*((R3280-1)*IF(Skills!H9&gt;0,Skills!I9/Skills!H9,1)+IF(Skills!H9&gt;0,MIN(Skills!I9,MAX(0,MAX(0,Inputs!$B$44-B3316)-((R3280-1)*IF(Inputs!$B$39="pvp",15,MAX(0.1,Skills!D9-IF(Skills!E9=TRUE,1.5,0))))))/Skills!H9,1)))/Inputs!$B$44),G3280*Q3280))*IF(Inputs!$B$39="pvp",1,(1+(Inputs!$B$21+Skills!Q9+B3312+(IF(ArtifactsInput!$M$33,CHOOSE(ArtifactsInput!$N$33+1,30,36,42,48,54,60),0))+(IF(AND(ArtifactsInput!$M$35,Inputs!$B$4&lt;&gt;"Chapter Hunt"),CHOOSE(ArtifactsInput!$N$35+1,15,18,21,24,27,30)*(1-EXP(-(0.2*B3307)*5)),0)+IF(AND(ArtifactsInput!$M$22,Inputs!$B$4&lt;&gt;"Chapter Hunt"),CHOOSE(ArtifactsInput!$N$22+1,10,12,14,16,18,20)*((0*(((0.15*B3307*5))^0/1)+1*(((0.15*B3307*5))^1/1)+2*(((0.15*B3307*5))^2/2)+3*(((0.15*B3307*5))^3/6)+4*(((0.15*B3307*5))^4/24)+5*(((0.15*B3307*5))^5/120))/((((0.15*B3307*5))^0/1)+(((0.15*B3307*5))^1/1)+(((0.15*B3307*5))^2/2)+(((0.15*B3307*5))^3/6)+(((0.15*B3307*5))^4/24)+(((0.15*B3307*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81">
      <c r="A3281">
        <f>Skills!A10</f>
        <v/>
      </c>
      <c r="B3281">
        <f>Skills!B10</f>
        <v/>
      </c>
      <c r="C3281">
        <f>Inputs!$B$3&gt;=117</f>
        <v/>
      </c>
      <c r="D3281">
        <f>IF(Skills!C10=1,60+Inputs!$B$25+Inputs!$B$29,IF(Skills!C10=2,90+Inputs!$B$26+Inputs!$B$29,IF(Skills!C10=3,120+Inputs!$B$27+Inputs!$B$29,MAX(0,(Inputs!$B$3-100)*3)+Inputs!$B$28+Inputs!$B$29)))</f>
        <v/>
      </c>
      <c r="E3281">
        <f>INDEX(FactorTable!$B$2:$Y$301, MATCH(ROUND(MIN(300,MAX(1,D3281)),0), FactorTable!$A$2:$A$301,0), Skills!M10+1)</f>
        <v/>
      </c>
      <c r="F3281">
        <f>IF(Skills!N10=TRUE,(Skills!L10/10)*(E3281/1000),Skills!L10/10)+Skills!O10</f>
        <v/>
      </c>
      <c r="G3281">
        <f>Calc!G10</f>
        <v/>
      </c>
      <c r="H3281">
        <f>Calc!H10</f>
        <v/>
      </c>
      <c r="I3281">
        <f>IF(Skills!AA10&lt;&gt;"",1+(Skills!AA10/10)*(U3274/1000)/100,1)</f>
        <v/>
      </c>
      <c r="J3281">
        <f>((Inputs!$B$6*(1+Inputs!$B$7/100))+(((Inputs!$B$12*(1+Inputs!$B$13/100))-(Inputs!$B$12*(1+Inputs!$B$13/100)))+0.25*(Inputs!$B$14-Inputs!$B$14))*(1+Inputs!$B$7/100))*(F3281/100)</f>
        <v/>
      </c>
      <c r="K3281">
        <f>J3281*(1+((Inputs!$B$12*(1+Inputs!$B$13/100))*0.01+Inputs!$B$14*0.0025)/100)*(1+Inputs!$B$15/100)*(1+Inputs!$B$16/100)*(5000/(6000+Inputs!$B$43*(1-(100*(1-(1-(Inputs!$B$19+0)/100)*(1-CHOOSE(ArtifactsInput!$N$40+1,5,6,7,8,9,10)/100)^(ArtifactsInput!$M$40-ArtifactsInput!$M$40)))/100)))*(1+(Inputs!$B$24+((C3301=TRUE)*(F3301-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3294=TRUE)*(F3294-Calc!F23))+(((IF(AND(ArtifactsInput!$M$42,((Inputs!$B$9+((C3296=TRUE)*(F3296-Calc!F25))+B3311+(ArtifactsInput!$M$24-ArtifactsInput!$M$24)*CHOOSE(ArtifactsInput!$N$24+1,10,12,14,16,18,20)+IF(ArtifactsInput!$M$10,CHOOSE(ArtifactsInput!$N$10+1,15,18,21,24,27,30)*(IF(Inputs!$B$39="pvp",MIN(15,15)/15,IF(AND(Inputs!$B$39&lt;&gt;"pvp",Inputs!$B$44&gt;0),MIN(15,Inputs!$B$44)/(Inputs!$B$44),0))),0)))&gt;=100),MIN(100,((Inputs!$B$9+((C3296=TRUE)*(F3296-Calc!F25))+B3311+(ArtifactsInput!$M$24-ArtifactsInput!$M$24)*CHOOSE(ArtifactsInput!$N$24+1,10,12,14,16,18,20)+IF(ArtifactsInput!$M$10,CHOOSE(ArtifactsInput!$N$10+1,15,18,21,24,27,30)*(IF(Inputs!$B$39="pvp",MIN(15,15)/15,IF(AND(Inputs!$B$39&lt;&gt;"pvp",Inputs!$B$44&gt;0),MIN(15,Inputs!$B$44)/(Inputs!$B$44),0))),0)))-100),0))*CHOOSE(ArtifactsInput!$N$42+1,0.6,0.72,0.84,0.96,1.08,1.2))),Inputs!$B$18+((C3300=TRUE)*(F3300-Calc!F29))+(IF(AND(ArtifactsInput!$M$42,((Inputs!$B$9+((C3296=TRUE)*(F3296-Calc!F25))+B3311+(ArtifactsInput!$M$24-ArtifactsInput!$M$24)*CHOOSE(ArtifactsInput!$N$24+1,10,12,14,16,18,20)+IF(ArtifactsInput!$M$10,CHOOSE(ArtifactsInput!$N$10+1,15,18,21,24,27,30)*(IF(Inputs!$B$39="pvp",MIN(15,15)/15,IF(AND(Inputs!$B$39&lt;&gt;"pvp",Inputs!$B$44&gt;0),MIN(15,Inputs!$B$44)/(Inputs!$B$44),0))),0)))&gt;=100),CHOOSE(ArtifactsInput!$N$42+1,40,48,56,64,72,80),0))))/100)*(((1+(((C3292=TRUE)*F3292*IF(AND(Inputs!$B$39&lt;&gt;"pvp",Inputs!$B$44&gt;0),(((R3292-1)*(Skills!Y21*(1+Inputs!$B$34/100))+MIN((Skills!Y21*(1+Inputs!$B$34/100)),MAX(0,Inputs!$B$44-((R3292-1)*Skills!D21))))/Inputs!$B$44),IF(Inputs!$B$39="pvp",MIN((Skills!Y21*(1+Inputs!$B$34/100)),15)/15,(Skills!Y21*(1+Inputs!$B$34/100))/Skills!D21)))+((C3299=TRUE)*(F3299-Calc!F28))+((C3289=TRUE)*(F3289-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3286=TRUE)*F3286*IF(AND(Inputs!$B$39&lt;&gt;"pvp",Inputs!$B$44&gt;0),(((R3286-1)*(Skills!Y15*(1+Inputs!$B$34/100))+MIN((Skills!Y15*(1+Inputs!$B$34/100)),MAX(0,Inputs!$B$44-((R3286-1)*Skills!D15))))/Inputs!$B$44),IF(Inputs!$B$39="pvp",MIN((Skills!Y15*(1+Inputs!$B$34/100)),15)/15,(Skills!Y15*(1+Inputs!$B$34/100))/Skills!D15)))/100)*(1+((C3277=TRUE)*F3277*B3305)/100))*B3313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3281)</f>
        <v/>
      </c>
      <c r="L3281">
        <f>K3281*(MIN(Inputs!$B$22+((C3295=TRUE)*(F3295-Calc!F24)),(Inputs!$B$23+0+(IF(ArtifactsInput!$M$15,CHOOSE(ArtifactsInput!$N$15+1,25,30,35,40,45,50)/100*(Inputs!$B$11-Inputs!$B$11),0))))/100+(Inputs!$B$23+0+(IF(ArtifactsInput!$M$15,CHOOSE(ArtifactsInput!$N$15+1,25,30,35,40,45,50)/100*(Inputs!$B$11-Inputs!$B$11),0)))/100)/2</f>
        <v/>
      </c>
      <c r="M3281">
        <f>L3281*(1+(Inputs!$B$10+((C3297=TRUE)*(F3297-Calc!F26))+B3314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81">
        <f>L3281*(1-MIN((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3281*(MIN((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81">
        <f>(1-Summary!$B$11)*T3281+Summary!$B$11*V3281</f>
        <v/>
      </c>
      <c r="P3281">
        <f>IF(B3315=0,0,O3281/B3315)</f>
        <v/>
      </c>
      <c r="Q3281" t="n">
        <v>0</v>
      </c>
      <c r="R3281" t="n">
        <v>0</v>
      </c>
      <c r="S3281" t="n">
        <v>0</v>
      </c>
      <c r="T3281">
        <f>IF(C3281,(0.2*SUMPRODUCT((Skills!Z2:Z31=TRUE)*(C3273:C3302=TRUE)*S3273:S3302)*N3281)*IF(Inputs!$B$39="pvp",1,1+(Inputs!$B$20+((C3298=TRUE)*(F3298-Calc!F27))+Skills!P10+B3312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Hunt"),CHOOSE(ArtifactsInput!$N$35+1,15,18,21,24,27,30)*(1-EXP(-(0.2*B3307)*5)),0)+IF(AND(ArtifactsInput!$M$22,Inputs!$B$4&lt;&gt;"Chapter Hunt"),CHOOSE(ArtifactsInput!$N$22+1,10,12,14,16,18,20)*((0*(((0.15*B3307*5))^0/1)+1*(((0.15*B3307*5))^1/1)+2*(((0.15*B3307*5))^2/2)+3*(((0.15*B3307*5))^3/6)+4*(((0.15*B3307*5))^4/24)+5*(((0.15*B3307*5))^5/120))/((((0.15*B3307*5))^0/1)+(((0.15*B3307*5))^1/1)+(((0.15*B3307*5))^2/2)+(((0.15*B3307*5))^3/6)+(((0.15*B3307*5))^4/24)+(((0.15*B3307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3281*(1-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3281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3281*(1-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3281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81">
        <f>IF(C3281,(0.2*SUMPRODUCT((Skills!Z2:Z31=TRUE)*(C3273:C3302=TRUE)*S3273:S3302)*N3281)*IF(Inputs!$B$39="pvp",1,(1+(Inputs!$B$21+Skills!Q10+B3312+(IF(ArtifactsInput!$M$33,CHOOSE(ArtifactsInput!$N$33+1,30,36,42,48,54,60),0))+(IF(AND(ArtifactsInput!$M$35,Inputs!$B$4&lt;&gt;"Chapter Hunt"),CHOOSE(ArtifactsInput!$N$35+1,15,18,21,24,27,30)*(1-EXP(-(0.2*B3307)*5)),0)+IF(AND(ArtifactsInput!$M$22,Inputs!$B$4&lt;&gt;"Chapter Hunt"),CHOOSE(ArtifactsInput!$N$22+1,10,12,14,16,18,20)*((0*(((0.15*B3307*5))^0/1)+1*(((0.15*B3307*5))^1/1)+2*(((0.15*B3307*5))^2/2)+3*(((0.15*B3307*5))^3/6)+4*(((0.15*B3307*5))^4/24)+5*(((0.15*B3307*5))^5/120))/((((0.15*B3307*5))^0/1)+(((0.15*B3307*5))^1/1)+(((0.15*B3307*5))^2/2)+(((0.15*B3307*5))^3/6)+(((0.15*B3307*5))^4/24)+(((0.15*B3307*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82">
      <c r="A3282">
        <f>Skills!A11</f>
        <v/>
      </c>
      <c r="B3282">
        <f>Skills!B11</f>
        <v/>
      </c>
      <c r="C3282">
        <f>Inputs!$B$3&gt;=60</f>
        <v/>
      </c>
      <c r="D3282">
        <f>IF(Skills!C11=1,60+Inputs!$B$25+Inputs!$B$29,IF(Skills!C11=2,90+Inputs!$B$26+Inputs!$B$29,IF(Skills!C11=3,120+Inputs!$B$27+Inputs!$B$29,MAX(0,(Inputs!$B$3-100)*3)+Inputs!$B$28+Inputs!$B$29)))</f>
        <v/>
      </c>
      <c r="E3282">
        <f>INDEX(FactorTable!$B$2:$Y$301, MATCH(ROUND(MIN(300,MAX(1,D3282)),0), FactorTable!$A$2:$A$301,0), Skills!M11+1)</f>
        <v/>
      </c>
      <c r="F3282">
        <f>IF(Skills!N11=TRUE,(Skills!L11/10)*(E3282/1000),Skills!L11/10)+Skills!O11</f>
        <v/>
      </c>
      <c r="G3282">
        <f>Calc!G11</f>
        <v/>
      </c>
      <c r="H3282">
        <f>Calc!H11</f>
        <v/>
      </c>
      <c r="I3282">
        <f>IF(Skills!AA11&lt;&gt;"",1+(Skills!AA11/10)*(U3274/1000)/100,1)</f>
        <v/>
      </c>
      <c r="J3282" t="inlineStr"/>
      <c r="K3282" t="inlineStr"/>
      <c r="L3282" t="inlineStr"/>
      <c r="M3282" t="inlineStr"/>
      <c r="N3282" t="inlineStr"/>
      <c r="O3282">
        <f>(1-Summary!$B$11)*T3282+Summary!$B$11*V3282</f>
        <v/>
      </c>
      <c r="P3282">
        <f>IF(B3315=0,0,O3282/B3315)</f>
        <v/>
      </c>
      <c r="Q3282" t="n">
        <v>0</v>
      </c>
      <c r="R3282" t="n">
        <v>0</v>
      </c>
      <c r="S3282">
        <f>IFERROR(O3282/N3282,0)</f>
        <v/>
      </c>
      <c r="T3282" t="n">
        <v>0</v>
      </c>
      <c r="V3282" t="n">
        <v>0</v>
      </c>
    </row>
    <row r="3283">
      <c r="A3283">
        <f>Skills!A12</f>
        <v/>
      </c>
      <c r="B3283">
        <f>Skills!B12</f>
        <v/>
      </c>
      <c r="C3283">
        <f>Inputs!$B$3&gt;=103</f>
        <v/>
      </c>
      <c r="D3283">
        <f>IF(Skills!C12=1,60+Inputs!$B$25+Inputs!$B$29,IF(Skills!C12=2,90+Inputs!$B$26+Inputs!$B$29,IF(Skills!C12=3,120+Inputs!$B$27+Inputs!$B$29,MAX(0,(Inputs!$B$3-100)*3)+Inputs!$B$28+Inputs!$B$29)))</f>
        <v/>
      </c>
      <c r="E3283">
        <f>INDEX(FactorTable!$B$2:$Y$301, MATCH(ROUND(MIN(300,MAX(1,D3283)),0), FactorTable!$A$2:$A$301,0), Skills!M12+1)</f>
        <v/>
      </c>
      <c r="F3283">
        <f>IF(Skills!N12=TRUE,(Skills!L12/10)*(E3283/1000),Skills!L12/10)+Skills!O12</f>
        <v/>
      </c>
      <c r="G3283">
        <f>Calc!G12</f>
        <v/>
      </c>
      <c r="H3283">
        <f>Calc!H12</f>
        <v/>
      </c>
      <c r="I3283">
        <f>IF(Skills!AA12&lt;&gt;"",1+(Skills!AA12/10)*(U3274/1000)/100,1)</f>
        <v/>
      </c>
      <c r="J3283">
        <f>((Inputs!$B$6*(1+Inputs!$B$7/100))+(((Inputs!$B$12*(1+Inputs!$B$13/100))-(Inputs!$B$12*(1+Inputs!$B$13/100)))+0.25*(Inputs!$B$14-Inputs!$B$14))*(1+Inputs!$B$7/100))*(F3283/100)</f>
        <v/>
      </c>
      <c r="K3283">
        <f>J3283*(1+((Inputs!$B$12*(1+Inputs!$B$13/100))*0.01+Inputs!$B$14*0.0025)/100)*(1+Inputs!$B$15/100)*(1+Inputs!$B$16/100)*(5000/(6000+Inputs!$B$43*(1-(100*(1-(1-(Inputs!$B$19+0)/100)*(1-CHOOSE(ArtifactsInput!$N$40+1,5,6,7,8,9,10)/100)^(ArtifactsInput!$M$40-ArtifactsInput!$M$40)))/100)))*(1+(Inputs!$B$24+((C3301=TRUE)*(F3301-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3294=TRUE)*(F3294-Calc!F23))+(((IF(AND(ArtifactsInput!$M$42,((Inputs!$B$9+((C3296=TRUE)*(F3296-Calc!F25))+B3311+(ArtifactsInput!$M$24-ArtifactsInput!$M$24)*CHOOSE(ArtifactsInput!$N$24+1,10,12,14,16,18,20)+IF(ArtifactsInput!$M$10,CHOOSE(ArtifactsInput!$N$10+1,15,18,21,24,27,30)*(IF(Inputs!$B$39="pvp",MIN(15,15)/15,IF(AND(Inputs!$B$39&lt;&gt;"pvp",Inputs!$B$44&gt;0),MIN(15,Inputs!$B$44)/(Inputs!$B$44),0))),0)))&gt;=100),MIN(100,((Inputs!$B$9+((C3296=TRUE)*(F3296-Calc!F25))+B3311+(ArtifactsInput!$M$24-ArtifactsInput!$M$24)*CHOOSE(ArtifactsInput!$N$24+1,10,12,14,16,18,20)+IF(ArtifactsInput!$M$10,CHOOSE(ArtifactsInput!$N$10+1,15,18,21,24,27,30)*(IF(Inputs!$B$39="pvp",MIN(15,15)/15,IF(AND(Inputs!$B$39&lt;&gt;"pvp",Inputs!$B$44&gt;0),MIN(15,Inputs!$B$44)/(Inputs!$B$44),0))),0)))-100),0))*CHOOSE(ArtifactsInput!$N$42+1,0.6,0.72,0.84,0.96,1.08,1.2))),Inputs!$B$18+((C3300=TRUE)*(F3300-Calc!F29))+(IF(AND(ArtifactsInput!$M$42,((Inputs!$B$9+((C3296=TRUE)*(F3296-Calc!F25))+B3311+(ArtifactsInput!$M$24-ArtifactsInput!$M$24)*CHOOSE(ArtifactsInput!$N$24+1,10,12,14,16,18,20)+IF(ArtifactsInput!$M$10,CHOOSE(ArtifactsInput!$N$10+1,15,18,21,24,27,30)*(IF(Inputs!$B$39="pvp",MIN(15,15)/15,IF(AND(Inputs!$B$39&lt;&gt;"pvp",Inputs!$B$44&gt;0),MIN(15,Inputs!$B$44)/(Inputs!$B$44),0))),0)))&gt;=100),CHOOSE(ArtifactsInput!$N$42+1,40,48,56,64,72,80),0))))/100)*(((1+(((C3292=TRUE)*F3292*IF(AND(Inputs!$B$39&lt;&gt;"pvp",Inputs!$B$44&gt;0),(((R3292-1)*(Skills!Y21*(1+Inputs!$B$34/100))+MIN((Skills!Y21*(1+Inputs!$B$34/100)),MAX(0,Inputs!$B$44-((R3292-1)*Skills!D21))))/Inputs!$B$44),IF(Inputs!$B$39="pvp",MIN((Skills!Y21*(1+Inputs!$B$34/100)),15)/15,(Skills!Y21*(1+Inputs!$B$34/100))/Skills!D21)))+((C3299=TRUE)*(F3299-Calc!F28))+((C3289=TRUE)*(F3289-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3286=TRUE)*F3286*IF(AND(Inputs!$B$39&lt;&gt;"pvp",Inputs!$B$44&gt;0),(((R3286-1)*(Skills!Y15*(1+Inputs!$B$34/100))+MIN((Skills!Y15*(1+Inputs!$B$34/100)),MAX(0,Inputs!$B$44-((R3286-1)*Skills!D15))))/Inputs!$B$44),IF(Inputs!$B$39="pvp",MIN((Skills!Y15*(1+Inputs!$B$34/100)),15)/15,(Skills!Y15*(1+Inputs!$B$34/100))/Skills!D15)))/100)*(1+((C3277=TRUE)*F3277*B3305)/100))*B3313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3283)</f>
        <v/>
      </c>
      <c r="L3283">
        <f>K3283*(MIN(Inputs!$B$22+((C3295=TRUE)*(F3295-Calc!F24)),(Inputs!$B$23+0+(IF(ArtifactsInput!$M$15,CHOOSE(ArtifactsInput!$N$15+1,25,30,35,40,45,50)/100*(Inputs!$B$11-Inputs!$B$11),0))))/100+(Inputs!$B$23+0+(IF(ArtifactsInput!$M$15,CHOOSE(ArtifactsInput!$N$15+1,25,30,35,40,45,50)/100*(Inputs!$B$11-Inputs!$B$11),0)))/100)/2</f>
        <v/>
      </c>
      <c r="M3283">
        <f>L3283*(1+(Inputs!$B$10+((C3297=TRUE)*(F3297-Calc!F26))+B3314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83">
        <f>L3283*(1-MIN((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3283*(MIN((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83">
        <f>(1-Summary!$B$11)*T3283+Summary!$B$11*V3283</f>
        <v/>
      </c>
      <c r="P3283">
        <f>IF(B3315=0,0,O3283/B3315)</f>
        <v/>
      </c>
      <c r="Q3283">
        <f>IFERROR(1/IF(Inputs!$B$39="pvp",15,MAX(0.1,Skills!D12-IF(Skills!E12=TRUE,1.5,0))),0)</f>
        <v/>
      </c>
      <c r="R3283">
        <f>IF(AND(Inputs!$B$39&lt;&gt;"pvp",Inputs!$B$44&gt;0),IF(MAX(0,Inputs!$B$44-B3316)&lt;=0,0,(INT(MAX(0,Inputs!$B$44-B3316)/IF(Inputs!$B$39="pvp",15,MAX(0.1,Skills!D12-IF(Skills!E12=TRUE,1.5,0))))+1)),0)</f>
        <v/>
      </c>
      <c r="S3283">
        <f>IFERROR(O3283/N3283,0)</f>
        <v/>
      </c>
      <c r="T3283">
        <f>IF(C3283,(H3283*N3283*IF(AND(Inputs!$B$39&lt;&gt;"pvp",Inputs!$B$44&gt;0),((Skills!G12*((R3283-1)*IF(Skills!H12&gt;0,Skills!I12/Skills!H12,1)+IF(Skills!H12&gt;0,MIN(Skills!I12,MAX(0,MAX(0,Inputs!$B$44-B3316)-((R3283-1)*IF(Inputs!$B$39="pvp",15,MAX(0.1,Skills!D12-IF(Skills!E12=TRUE,1.5,0))))))/Skills!H12,1)))/Inputs!$B$44),G3283*Q3283))*IF(Inputs!$B$39="pvp",1,1+(Inputs!$B$20+((C3298=TRUE)*(F3298-Calc!F27))+Skills!P12+B3312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Hunt"),CHOOSE(ArtifactsInput!$N$35+1,15,18,21,24,27,30)*(1-EXP(-(0.2*B3307)*5)),0)+IF(AND(ArtifactsInput!$M$22,Inputs!$B$4&lt;&gt;"Chapter Hunt"),CHOOSE(ArtifactsInput!$N$22+1,10,12,14,16,18,20)*((0*(((0.15*B3307*5))^0/1)+1*(((0.15*B3307*5))^1/1)+2*(((0.15*B3307*5))^2/2)+3*(((0.15*B3307*5))^3/6)+4*(((0.15*B3307*5))^4/24)+5*(((0.15*B3307*5))^5/120))/((((0.15*B3307*5))^0/1)+(((0.15*B3307*5))^1/1)+(((0.15*B3307*5))^2/2)+(((0.15*B3307*5))^3/6)+(((0.15*B3307*5))^4/24)+(((0.15*B3307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3283*(1-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3283*(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3283*(1-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3283*(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83">
        <f>IF(C3283,(H3283*N3283*IF(AND(Inputs!$B$39&lt;&gt;"pvp",Inputs!$B$44&gt;0),((Skills!G12*((R3283-1)*IF(Skills!H12&gt;0,Skills!I12/Skills!H12,1)+IF(Skills!H12&gt;0,MIN(Skills!I12,MAX(0,MAX(0,Inputs!$B$44-B3316)-((R3283-1)*IF(Inputs!$B$39="pvp",15,MAX(0.1,Skills!D12-IF(Skills!E12=TRUE,1.5,0))))))/Skills!H12,1)))/Inputs!$B$44),G3283*Q3283))*IF(Inputs!$B$39="pvp",1,(1+(Inputs!$B$21+Skills!Q12+B3312+(IF(ArtifactsInput!$M$33,CHOOSE(ArtifactsInput!$N$33+1,30,36,42,48,54,60),0))+(IF(AND(ArtifactsInput!$M$35,Inputs!$B$4&lt;&gt;"Chapter Hunt"),CHOOSE(ArtifactsInput!$N$35+1,15,18,21,24,27,30)*(1-EXP(-(0.2*B3307)*5)),0)+IF(AND(ArtifactsInput!$M$22,Inputs!$B$4&lt;&gt;"Chapter Hunt"),CHOOSE(ArtifactsInput!$N$22+1,10,12,14,16,18,20)*((0*(((0.15*B3307*5))^0/1)+1*(((0.15*B3307*5))^1/1)+2*(((0.15*B3307*5))^2/2)+3*(((0.15*B3307*5))^3/6)+4*(((0.15*B3307*5))^4/24)+5*(((0.15*B3307*5))^5/120))/((((0.15*B3307*5))^0/1)+(((0.15*B3307*5))^1/1)+(((0.15*B3307*5))^2/2)+(((0.15*B3307*5))^3/6)+(((0.15*B3307*5))^4/24)+(((0.15*B3307*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84">
      <c r="A3284">
        <f>Skills!A13</f>
        <v/>
      </c>
      <c r="B3284">
        <f>Skills!B13</f>
        <v/>
      </c>
      <c r="C3284">
        <f>Inputs!$B$3&gt;=105</f>
        <v/>
      </c>
      <c r="D3284">
        <f>IF(Skills!C13=1,60+Inputs!$B$25+Inputs!$B$29,IF(Skills!C13=2,90+Inputs!$B$26+Inputs!$B$29,IF(Skills!C13=3,120+Inputs!$B$27+Inputs!$B$29,MAX(0,(Inputs!$B$3-100)*3)+Inputs!$B$28+Inputs!$B$29)))</f>
        <v/>
      </c>
      <c r="E3284">
        <f>INDEX(FactorTable!$B$2:$Y$301, MATCH(ROUND(MIN(300,MAX(1,D3284)),0), FactorTable!$A$2:$A$301,0), Skills!M13+1)</f>
        <v/>
      </c>
      <c r="F3284">
        <f>IF(Skills!N13=TRUE,(Skills!L13/10)*(E3284/1000),Skills!L13/10)+Skills!O13</f>
        <v/>
      </c>
      <c r="G3284">
        <f>Calc!G13</f>
        <v/>
      </c>
      <c r="H3284">
        <f>Calc!H13</f>
        <v/>
      </c>
      <c r="I3284">
        <f>IF(Skills!AA13&lt;&gt;"",1+(Skills!AA13/10)*(U3274/1000)/100,1)</f>
        <v/>
      </c>
      <c r="J3284">
        <f>((Inputs!$B$6*(1+Inputs!$B$7/100))+(((Inputs!$B$12*(1+Inputs!$B$13/100))-(Inputs!$B$12*(1+Inputs!$B$13/100)))+0.25*(Inputs!$B$14-Inputs!$B$14))*(1+Inputs!$B$7/100))*(F3284/100)</f>
        <v/>
      </c>
      <c r="K3284">
        <f>J3284*(1+((Inputs!$B$12*(1+Inputs!$B$13/100))*0.01+Inputs!$B$14*0.0025)/100)*(1+Inputs!$B$15/100)*(1+Inputs!$B$16/100)*(5000/(6000+Inputs!$B$43*(1-(100*(1-(1-(Inputs!$B$19+0)/100)*(1-CHOOSE(ArtifactsInput!$N$40+1,5,6,7,8,9,10)/100)^(ArtifactsInput!$M$40-ArtifactsInput!$M$40)))/100)))*(1+(Inputs!$B$24+((C3301=TRUE)*(F3301-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3294=TRUE)*(F3294-Calc!F23))+(((IF(AND(ArtifactsInput!$M$42,((Inputs!$B$9+((C3296=TRUE)*(F3296-Calc!F25))+B3311+(ArtifactsInput!$M$24-ArtifactsInput!$M$24)*CHOOSE(ArtifactsInput!$N$24+1,10,12,14,16,18,20)+IF(ArtifactsInput!$M$10,CHOOSE(ArtifactsInput!$N$10+1,15,18,21,24,27,30)*(IF(Inputs!$B$39="pvp",MIN(15,15)/15,IF(AND(Inputs!$B$39&lt;&gt;"pvp",Inputs!$B$44&gt;0),MIN(15,Inputs!$B$44)/(Inputs!$B$44),0))),0)))&gt;=100),MIN(100,((Inputs!$B$9+((C3296=TRUE)*(F3296-Calc!F25))+B3311+(ArtifactsInput!$M$24-ArtifactsInput!$M$24)*CHOOSE(ArtifactsInput!$N$24+1,10,12,14,16,18,20)+IF(ArtifactsInput!$M$10,CHOOSE(ArtifactsInput!$N$10+1,15,18,21,24,27,30)*(IF(Inputs!$B$39="pvp",MIN(15,15)/15,IF(AND(Inputs!$B$39&lt;&gt;"pvp",Inputs!$B$44&gt;0),MIN(15,Inputs!$B$44)/(Inputs!$B$44),0))),0)))-100),0))*CHOOSE(ArtifactsInput!$N$42+1,0.6,0.72,0.84,0.96,1.08,1.2))),Inputs!$B$18+((C3300=TRUE)*(F3300-Calc!F29))+(IF(AND(ArtifactsInput!$M$42,((Inputs!$B$9+((C3296=TRUE)*(F3296-Calc!F25))+B3311+(ArtifactsInput!$M$24-ArtifactsInput!$M$24)*CHOOSE(ArtifactsInput!$N$24+1,10,12,14,16,18,20)+IF(ArtifactsInput!$M$10,CHOOSE(ArtifactsInput!$N$10+1,15,18,21,24,27,30)*(IF(Inputs!$B$39="pvp",MIN(15,15)/15,IF(AND(Inputs!$B$39&lt;&gt;"pvp",Inputs!$B$44&gt;0),MIN(15,Inputs!$B$44)/(Inputs!$B$44),0))),0)))&gt;=100),CHOOSE(ArtifactsInput!$N$42+1,40,48,56,64,72,80),0))))/100)*(((1+(((C3292=TRUE)*F3292*IF(AND(Inputs!$B$39&lt;&gt;"pvp",Inputs!$B$44&gt;0),(((R3292-1)*(Skills!Y21*(1+Inputs!$B$34/100))+MIN((Skills!Y21*(1+Inputs!$B$34/100)),MAX(0,Inputs!$B$44-((R3292-1)*Skills!D21))))/Inputs!$B$44),IF(Inputs!$B$39="pvp",MIN((Skills!Y21*(1+Inputs!$B$34/100)),15)/15,(Skills!Y21*(1+Inputs!$B$34/100))/Skills!D21)))+((C3299=TRUE)*(F3299-Calc!F28))+((C3289=TRUE)*(F3289-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3286=TRUE)*F3286*IF(AND(Inputs!$B$39&lt;&gt;"pvp",Inputs!$B$44&gt;0),(((R3286-1)*(Skills!Y15*(1+Inputs!$B$34/100))+MIN((Skills!Y15*(1+Inputs!$B$34/100)),MAX(0,Inputs!$B$44-((R3286-1)*Skills!D15))))/Inputs!$B$44),IF(Inputs!$B$39="pvp",MIN((Skills!Y15*(1+Inputs!$B$34/100)),15)/15,(Skills!Y15*(1+Inputs!$B$34/100))/Skills!D15)))/100)*(1+((C3277=TRUE)*F3277*B3305)/100))*B3313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3284)</f>
        <v/>
      </c>
      <c r="L3284">
        <f>K3284*(MIN(Inputs!$B$22+((C3295=TRUE)*(F3295-Calc!F24)),(Inputs!$B$23+0+(IF(ArtifactsInput!$M$15,CHOOSE(ArtifactsInput!$N$15+1,25,30,35,40,45,50)/100*(Inputs!$B$11-Inputs!$B$11),0))))/100+(Inputs!$B$23+0+(IF(ArtifactsInput!$M$15,CHOOSE(ArtifactsInput!$N$15+1,25,30,35,40,45,50)/100*(Inputs!$B$11-Inputs!$B$11),0)))/100)/2</f>
        <v/>
      </c>
      <c r="M3284">
        <f>L3284*(1+(Inputs!$B$10+((C3297=TRUE)*(F3297-Calc!F26))+B3314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84">
        <f>L3284*(1-MIN((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3284*(MIN((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84">
        <f>(1-Summary!$B$11)*T3284+Summary!$B$11*V3284</f>
        <v/>
      </c>
      <c r="P3284">
        <f>IF(B3315=0,0,O3284/B3315)</f>
        <v/>
      </c>
      <c r="Q3284">
        <f>IFERROR(1/IF(Inputs!$B$39="pvp",15,MAX(0.1,Skills!D13-IF(Skills!E13=TRUE,1.5,0))),0)</f>
        <v/>
      </c>
      <c r="R3284">
        <f>IF(AND(Inputs!$B$39&lt;&gt;"pvp",Inputs!$B$44&gt;0),IF(MAX(0,Inputs!$B$44-B3316)&lt;=0,0,(INT(MAX(0,Inputs!$B$44-B3316)/IF(Inputs!$B$39="pvp",15,MAX(0.1,Skills!D13-IF(Skills!E13=TRUE,1.5,0))))+1)),0)</f>
        <v/>
      </c>
      <c r="S3284">
        <f>IFERROR(O3284/N3284,0)</f>
        <v/>
      </c>
      <c r="T3284">
        <f>IF(C3284,(H3284*N3284*IF(AND(Inputs!$B$39&lt;&gt;"pvp",Inputs!$B$44&gt;0),((Skills!G13*((R3284-1)*IF(Skills!H13&gt;0,Skills!I13/Skills!H13,1)+IF(Skills!H13&gt;0,MIN(Skills!I13,MAX(0,MAX(0,Inputs!$B$44-B3316)-((R3284-1)*IF(Inputs!$B$39="pvp",15,MAX(0.1,Skills!D13-IF(Skills!E13=TRUE,1.5,0))))))/Skills!H13,1)))/Inputs!$B$44),G3284*Q3284))*IF(Inputs!$B$39="pvp",1,1+(Inputs!$B$20+((C3298=TRUE)*(F3298-Calc!F27))+Skills!P13+B3312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Hunt"),CHOOSE(ArtifactsInput!$N$35+1,15,18,21,24,27,30)*(1-EXP(-(0.2*B3307)*5)),0)+IF(AND(ArtifactsInput!$M$22,Inputs!$B$4&lt;&gt;"Chapter Hunt"),CHOOSE(ArtifactsInput!$N$22+1,10,12,14,16,18,20)*((0*(((0.15*B3307*5))^0/1)+1*(((0.15*B3307*5))^1/1)+2*(((0.15*B3307*5))^2/2)+3*(((0.15*B3307*5))^3/6)+4*(((0.15*B3307*5))^4/24)+5*(((0.15*B3307*5))^5/120))/((((0.15*B3307*5))^0/1)+(((0.15*B3307*5))^1/1)+(((0.15*B3307*5))^2/2)+(((0.15*B3307*5))^3/6)+(((0.15*B3307*5))^4/24)+(((0.15*B3307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3284*(1-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3284*(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3284*(1-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3284*(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84">
        <f>IF(C3284,(H3284*N3284*IF(AND(Inputs!$B$39&lt;&gt;"pvp",Inputs!$B$44&gt;0),((Skills!G13*((R3284-1)*IF(Skills!H13&gt;0,Skills!I13/Skills!H13,1)+IF(Skills!H13&gt;0,MIN(Skills!I13,MAX(0,MAX(0,Inputs!$B$44-B3316)-((R3284-1)*IF(Inputs!$B$39="pvp",15,MAX(0.1,Skills!D13-IF(Skills!E13=TRUE,1.5,0))))))/Skills!H13,1)))/Inputs!$B$44),G3284*Q3284))*IF(Inputs!$B$39="pvp",1,(1+(Inputs!$B$21+Skills!Q13+B3312+(IF(ArtifactsInput!$M$33,CHOOSE(ArtifactsInput!$N$33+1,30,36,42,48,54,60),0))+(IF(AND(ArtifactsInput!$M$35,Inputs!$B$4&lt;&gt;"Chapter Hunt"),CHOOSE(ArtifactsInput!$N$35+1,15,18,21,24,27,30)*(1-EXP(-(0.2*B3307)*5)),0)+IF(AND(ArtifactsInput!$M$22,Inputs!$B$4&lt;&gt;"Chapter Hunt"),CHOOSE(ArtifactsInput!$N$22+1,10,12,14,16,18,20)*((0*(((0.15*B3307*5))^0/1)+1*(((0.15*B3307*5))^1/1)+2*(((0.15*B3307*5))^2/2)+3*(((0.15*B3307*5))^3/6)+4*(((0.15*B3307*5))^4/24)+5*(((0.15*B3307*5))^5/120))/((((0.15*B3307*5))^0/1)+(((0.15*B3307*5))^1/1)+(((0.15*B3307*5))^2/2)+(((0.15*B3307*5))^3/6)+(((0.15*B3307*5))^4/24)+(((0.15*B3307*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85">
      <c r="A3285">
        <f>Skills!A14</f>
        <v/>
      </c>
      <c r="B3285">
        <f>Skills!B14</f>
        <v/>
      </c>
      <c r="C3285">
        <f>Inputs!$B$3&gt;=105</f>
        <v/>
      </c>
      <c r="D3285">
        <f>IF(Skills!C14=1,60+Inputs!$B$25+Inputs!$B$29,IF(Skills!C14=2,90+Inputs!$B$26+Inputs!$B$29,IF(Skills!C14=3,120+Inputs!$B$27+Inputs!$B$29,MAX(0,(Inputs!$B$3-100)*3)+Inputs!$B$28+Inputs!$B$29)))</f>
        <v/>
      </c>
      <c r="E3285">
        <f>INDEX(FactorTable!$B$2:$Y$301, MATCH(ROUND(MIN(300,MAX(1,D3285)),0), FactorTable!$A$2:$A$301,0), Skills!M14+1)</f>
        <v/>
      </c>
      <c r="F3285">
        <f>IF(Skills!N14=TRUE,(Skills!L14/10)*(E3285/1000),Skills!L14/10)+Skills!O14</f>
        <v/>
      </c>
      <c r="G3285">
        <f>Calc!G14</f>
        <v/>
      </c>
      <c r="H3285">
        <f>Calc!H14</f>
        <v/>
      </c>
      <c r="I3285">
        <f>IF(Skills!AA14&lt;&gt;"",1+(Skills!AA14/10)*(U3274/1000)/100,1)</f>
        <v/>
      </c>
      <c r="J3285">
        <f>((Inputs!$B$6*(1+Inputs!$B$7/100))+(((Inputs!$B$12*(1+Inputs!$B$13/100))-(Inputs!$B$12*(1+Inputs!$B$13/100)))+0.25*(Inputs!$B$14-Inputs!$B$14))*(1+Inputs!$B$7/100))*(F3285/100)</f>
        <v/>
      </c>
      <c r="K3285">
        <f>J3285*(1+((Inputs!$B$12*(1+Inputs!$B$13/100))*0.01+Inputs!$B$14*0.0025)/100)*(1+Inputs!$B$15/100)*(1+Inputs!$B$16/100)*(5000/(6000+Inputs!$B$43*(1-(100*(1-(1-(Inputs!$B$19+0)/100)*(1-CHOOSE(ArtifactsInput!$N$40+1,5,6,7,8,9,10)/100)^(ArtifactsInput!$M$40-ArtifactsInput!$M$40)))/100)))*(1+(Inputs!$B$24+((C3301=TRUE)*(F3301-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3294=TRUE)*(F3294-Calc!F23))+(((IF(AND(ArtifactsInput!$M$42,((Inputs!$B$9+((C3296=TRUE)*(F3296-Calc!F25))+B3311+(ArtifactsInput!$M$24-ArtifactsInput!$M$24)*CHOOSE(ArtifactsInput!$N$24+1,10,12,14,16,18,20)+IF(ArtifactsInput!$M$10,CHOOSE(ArtifactsInput!$N$10+1,15,18,21,24,27,30)*(IF(Inputs!$B$39="pvp",MIN(15,15)/15,IF(AND(Inputs!$B$39&lt;&gt;"pvp",Inputs!$B$44&gt;0),MIN(15,Inputs!$B$44)/(Inputs!$B$44),0))),0)))&gt;=100),MIN(100,((Inputs!$B$9+((C3296=TRUE)*(F3296-Calc!F25))+B3311+(ArtifactsInput!$M$24-ArtifactsInput!$M$24)*CHOOSE(ArtifactsInput!$N$24+1,10,12,14,16,18,20)+IF(ArtifactsInput!$M$10,CHOOSE(ArtifactsInput!$N$10+1,15,18,21,24,27,30)*(IF(Inputs!$B$39="pvp",MIN(15,15)/15,IF(AND(Inputs!$B$39&lt;&gt;"pvp",Inputs!$B$44&gt;0),MIN(15,Inputs!$B$44)/(Inputs!$B$44),0))),0)))-100),0))*CHOOSE(ArtifactsInput!$N$42+1,0.6,0.72,0.84,0.96,1.08,1.2))),Inputs!$B$18+((C3300=TRUE)*(F3300-Calc!F29))+(IF(AND(ArtifactsInput!$M$42,((Inputs!$B$9+((C3296=TRUE)*(F3296-Calc!F25))+B3311+(ArtifactsInput!$M$24-ArtifactsInput!$M$24)*CHOOSE(ArtifactsInput!$N$24+1,10,12,14,16,18,20)+IF(ArtifactsInput!$M$10,CHOOSE(ArtifactsInput!$N$10+1,15,18,21,24,27,30)*(IF(Inputs!$B$39="pvp",MIN(15,15)/15,IF(AND(Inputs!$B$39&lt;&gt;"pvp",Inputs!$B$44&gt;0),MIN(15,Inputs!$B$44)/(Inputs!$B$44),0))),0)))&gt;=100),CHOOSE(ArtifactsInput!$N$42+1,40,48,56,64,72,80),0))))/100)*(((1+(((C3292=TRUE)*F3292*IF(AND(Inputs!$B$39&lt;&gt;"pvp",Inputs!$B$44&gt;0),(((R3292-1)*(Skills!Y21*(1+Inputs!$B$34/100))+MIN((Skills!Y21*(1+Inputs!$B$34/100)),MAX(0,Inputs!$B$44-((R3292-1)*Skills!D21))))/Inputs!$B$44),IF(Inputs!$B$39="pvp",MIN((Skills!Y21*(1+Inputs!$B$34/100)),15)/15,(Skills!Y21*(1+Inputs!$B$34/100))/Skills!D21)))+((C3299=TRUE)*(F3299-Calc!F28))+((C3289=TRUE)*(F3289-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3286=TRUE)*F3286*IF(AND(Inputs!$B$39&lt;&gt;"pvp",Inputs!$B$44&gt;0),(((R3286-1)*(Skills!Y15*(1+Inputs!$B$34/100))+MIN((Skills!Y15*(1+Inputs!$B$34/100)),MAX(0,Inputs!$B$44-((R3286-1)*Skills!D15))))/Inputs!$B$44),IF(Inputs!$B$39="pvp",MIN((Skills!Y15*(1+Inputs!$B$34/100)),15)/15,(Skills!Y15*(1+Inputs!$B$34/100))/Skills!D15)))/100)*(1+((C3277=TRUE)*F3277*B3305)/100))*B3313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3285)</f>
        <v/>
      </c>
      <c r="L3285">
        <f>K3285*(MIN(Inputs!$B$22+((C3295=TRUE)*(F3295-Calc!F24)),(Inputs!$B$23+0+(IF(ArtifactsInput!$M$15,CHOOSE(ArtifactsInput!$N$15+1,25,30,35,40,45,50)/100*(Inputs!$B$11-Inputs!$B$11),0))))/100+(Inputs!$B$23+0+(IF(ArtifactsInput!$M$15,CHOOSE(ArtifactsInput!$N$15+1,25,30,35,40,45,50)/100*(Inputs!$B$11-Inputs!$B$11),0)))/100)/2</f>
        <v/>
      </c>
      <c r="M3285">
        <f>L3285*(1+(Inputs!$B$10+((C3297=TRUE)*(F3297-Calc!F26))+B3314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85">
        <f>L3285*(1-MIN((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3285*(MIN((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85">
        <f>(1-Summary!$B$11)*T3285+Summary!$B$11*V3285</f>
        <v/>
      </c>
      <c r="P3285">
        <f>IF(B3315=0,0,O3285/B3315)</f>
        <v/>
      </c>
      <c r="Q3285">
        <f>IFERROR(1/IF(Inputs!$B$39="pvp",15,MAX(0.1,Skills!D14-IF(Skills!E14=TRUE,1.5,0))),0)</f>
        <v/>
      </c>
      <c r="R3285">
        <f>IF(AND(Inputs!$B$39&lt;&gt;"pvp",Inputs!$B$44&gt;0),IF(MAX(0,Inputs!$B$44-B3316)&lt;=0,0,(INT(MAX(0,Inputs!$B$44-B3316)/IF(Inputs!$B$39="pvp",15,MAX(0.1,Skills!D14-IF(Skills!E14=TRUE,1.5,0))))+1)),0)</f>
        <v/>
      </c>
      <c r="S3285">
        <f>IFERROR(O3285/N3285,0)</f>
        <v/>
      </c>
      <c r="T3285">
        <f>IF(C3285,(H3285*N3285*IF(AND(Inputs!$B$39&lt;&gt;"pvp",Inputs!$B$44&gt;0),((Skills!G14*((R3285-1)*IF(Skills!H14&gt;0,Skills!I14/Skills!H14,1)+IF(Skills!H14&gt;0,MIN(Skills!I14,MAX(0,MAX(0,Inputs!$B$44-B3316)-((R3285-1)*IF(Inputs!$B$39="pvp",15,MAX(0.1,Skills!D14-IF(Skills!E14=TRUE,1.5,0))))))/Skills!H14,1)))/Inputs!$B$44),G3285*Q3285))*IF(Inputs!$B$39="pvp",1,1+(Inputs!$B$20+((C3298=TRUE)*(F3298-Calc!F27))+Skills!P14+B3312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Hunt"),CHOOSE(ArtifactsInput!$N$35+1,15,18,21,24,27,30)*(1-EXP(-(0.2*B3307)*5)),0)+IF(AND(ArtifactsInput!$M$22,Inputs!$B$4&lt;&gt;"Chapter Hunt"),CHOOSE(ArtifactsInput!$N$22+1,10,12,14,16,18,20)*((0*(((0.15*B3307*5))^0/1)+1*(((0.15*B3307*5))^1/1)+2*(((0.15*B3307*5))^2/2)+3*(((0.15*B3307*5))^3/6)+4*(((0.15*B3307*5))^4/24)+5*(((0.15*B3307*5))^5/120))/((((0.15*B3307*5))^0/1)+(((0.15*B3307*5))^1/1)+(((0.15*B3307*5))^2/2)+(((0.15*B3307*5))^3/6)+(((0.15*B3307*5))^4/24)+(((0.15*B3307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3285*(1-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3285*(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3285*(1-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3285*(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85">
        <f>IF(C3285,(H3285*N3285*IF(AND(Inputs!$B$39&lt;&gt;"pvp",Inputs!$B$44&gt;0),((Skills!G14*((R3285-1)*IF(Skills!H14&gt;0,Skills!I14/Skills!H14,1)+IF(Skills!H14&gt;0,MIN(Skills!I14,MAX(0,MAX(0,Inputs!$B$44-B3316)-((R3285-1)*IF(Inputs!$B$39="pvp",15,MAX(0.1,Skills!D14-IF(Skills!E14=TRUE,1.5,0))))))/Skills!H14,1)))/Inputs!$B$44),G3285*Q3285))*IF(Inputs!$B$39="pvp",1,(1+(Inputs!$B$21+Skills!Q14+B3312+(IF(ArtifactsInput!$M$33,CHOOSE(ArtifactsInput!$N$33+1,30,36,42,48,54,60),0))+(IF(AND(ArtifactsInput!$M$35,Inputs!$B$4&lt;&gt;"Chapter Hunt"),CHOOSE(ArtifactsInput!$N$35+1,15,18,21,24,27,30)*(1-EXP(-(0.2*B3307)*5)),0)+IF(AND(ArtifactsInput!$M$22,Inputs!$B$4&lt;&gt;"Chapter Hunt"),CHOOSE(ArtifactsInput!$N$22+1,10,12,14,16,18,20)*((0*(((0.15*B3307*5))^0/1)+1*(((0.15*B3307*5))^1/1)+2*(((0.15*B3307*5))^2/2)+3*(((0.15*B3307*5))^3/6)+4*(((0.15*B3307*5))^4/24)+5*(((0.15*B3307*5))^5/120))/((((0.15*B3307*5))^0/1)+(((0.15*B3307*5))^1/1)+(((0.15*B3307*5))^2/2)+(((0.15*B3307*5))^3/6)+(((0.15*B3307*5))^4/24)+(((0.15*B3307*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86">
      <c r="A3286">
        <f>Skills!A15</f>
        <v/>
      </c>
      <c r="B3286">
        <f>Skills!B15</f>
        <v/>
      </c>
      <c r="C3286">
        <f>Inputs!$B$3&gt;=110</f>
        <v/>
      </c>
      <c r="D3286">
        <f>IF(Skills!C15=1,60+Inputs!$B$25+Inputs!$B$29,IF(Skills!C15=2,90+Inputs!$B$26+Inputs!$B$29,IF(Skills!C15=3,120+Inputs!$B$27+Inputs!$B$29,MAX(0,(Inputs!$B$3-100)*3)+Inputs!$B$28+Inputs!$B$29)))</f>
        <v/>
      </c>
      <c r="E3286">
        <f>INDEX(FactorTable!$B$2:$Y$301, MATCH(ROUND(MIN(300,MAX(1,D3286)),0), FactorTable!$A$2:$A$301,0), Skills!M15+1)</f>
        <v/>
      </c>
      <c r="F3286">
        <f>IF(Skills!N15=TRUE,(Skills!L15/10)*(E3286/1000),Skills!L15/10)+Skills!O15</f>
        <v/>
      </c>
      <c r="G3286">
        <f>Calc!G15</f>
        <v/>
      </c>
      <c r="H3286">
        <f>Calc!H15</f>
        <v/>
      </c>
      <c r="I3286">
        <f>IF(Skills!AA15&lt;&gt;"",1+(Skills!AA15/10)*(U3274/1000)/100,1)</f>
        <v/>
      </c>
      <c r="J3286" t="inlineStr"/>
      <c r="K3286" t="inlineStr"/>
      <c r="L3286" t="inlineStr"/>
      <c r="M3286" t="inlineStr"/>
      <c r="N3286" t="inlineStr"/>
      <c r="O3286">
        <f>(1-Summary!$B$11)*T3286+Summary!$B$11*V3286</f>
        <v/>
      </c>
      <c r="P3286">
        <f>IF(B3315=0,0,O3286/B3315)</f>
        <v/>
      </c>
      <c r="Q3286">
        <f>IFERROR(1/IF(Inputs!$B$39="pvp",15,MAX(0.1,Skills!D15-IF(Skills!E15=TRUE,1.5,0))),0)</f>
        <v/>
      </c>
      <c r="R3286">
        <f>IF(AND(Inputs!$B$39&lt;&gt;"pvp",Inputs!$B$44&gt;0),IF(Inputs!$B$44&lt;=0,0,(INT(Inputs!$B$44/IF(Inputs!$B$39="pvp",15,MAX(0.1,Skills!D15-IF(Skills!E15=TRUE,1.5,0))))+1)),0)</f>
        <v/>
      </c>
      <c r="S3286">
        <f>IFERROR(O3286/N3286,0)</f>
        <v/>
      </c>
      <c r="T3286" t="n">
        <v>0</v>
      </c>
      <c r="V3286" t="n">
        <v>0</v>
      </c>
    </row>
    <row r="3287">
      <c r="A3287">
        <f>Skills!A16</f>
        <v/>
      </c>
      <c r="B3287">
        <f>Skills!B16</f>
        <v/>
      </c>
      <c r="C3287">
        <f>Inputs!$B$3&gt;=110</f>
        <v/>
      </c>
      <c r="D3287">
        <f>IF(Skills!C16=1,60+Inputs!$B$25+Inputs!$B$29,IF(Skills!C16=2,90+Inputs!$B$26+Inputs!$B$29,IF(Skills!C16=3,120+Inputs!$B$27+Inputs!$B$29,MAX(0,(Inputs!$B$3-100)*3)+Inputs!$B$28+Inputs!$B$29)))</f>
        <v/>
      </c>
      <c r="E3287">
        <f>INDEX(FactorTable!$B$2:$Y$301, MATCH(ROUND(MIN(300,MAX(1,D3287)),0), FactorTable!$A$2:$A$301,0), Skills!M16+1)</f>
        <v/>
      </c>
      <c r="F3287">
        <f>IF(Skills!N16=TRUE,(Skills!L16/10)*(E3287/1000),Skills!L16/10)+Skills!O16</f>
        <v/>
      </c>
      <c r="G3287">
        <f>Calc!G16</f>
        <v/>
      </c>
      <c r="H3287">
        <f>Calc!H16</f>
        <v/>
      </c>
      <c r="I3287">
        <f>IF(Skills!AA16&lt;&gt;"",1+(Skills!AA16/10)*(U3274/1000)/100,1)</f>
        <v/>
      </c>
      <c r="J3287" t="inlineStr"/>
      <c r="K3287" t="inlineStr"/>
      <c r="L3287" t="inlineStr"/>
      <c r="M3287" t="inlineStr"/>
      <c r="N3287" t="inlineStr"/>
      <c r="O3287">
        <f>(1-Summary!$B$11)*T3287+Summary!$B$11*V3287</f>
        <v/>
      </c>
      <c r="P3287">
        <f>IF(B3315=0,0,O3287/B3315)</f>
        <v/>
      </c>
      <c r="Q3287">
        <f>IFERROR(1/IF(Inputs!$B$39="pvp",15,MAX(0.1,Skills!D16-IF(Skills!E16=TRUE,1.5,0))),0)</f>
        <v/>
      </c>
      <c r="R3287">
        <f>IF(AND(Inputs!$B$39&lt;&gt;"pvp",Inputs!$B$44&gt;0),IF(Inputs!$B$44&lt;=0,0,(INT(Inputs!$B$44/IF(Inputs!$B$39="pvp",15,MAX(0.1,Skills!D16-IF(Skills!E16=TRUE,1.5,0))))+1)),0)</f>
        <v/>
      </c>
      <c r="S3287">
        <f>IFERROR(O3287/N3287,0)</f>
        <v/>
      </c>
      <c r="T3287" t="n">
        <v>0</v>
      </c>
      <c r="V3287" t="n">
        <v>0</v>
      </c>
    </row>
    <row r="3288">
      <c r="A3288">
        <f>Skills!A17</f>
        <v/>
      </c>
      <c r="B3288">
        <f>Skills!B17</f>
        <v/>
      </c>
      <c r="C3288">
        <f>Inputs!$B$3&gt;=115</f>
        <v/>
      </c>
      <c r="D3288">
        <f>IF(Skills!C17=1,60+Inputs!$B$25+Inputs!$B$29,IF(Skills!C17=2,90+Inputs!$B$26+Inputs!$B$29,IF(Skills!C17=3,120+Inputs!$B$27+Inputs!$B$29,MAX(0,(Inputs!$B$3-100)*3)+Inputs!$B$28+Inputs!$B$29)))</f>
        <v/>
      </c>
      <c r="E3288">
        <f>INDEX(FactorTable!$B$2:$Y$301, MATCH(ROUND(MIN(300,MAX(1,D3288)),0), FactorTable!$A$2:$A$301,0), Skills!M17+1)</f>
        <v/>
      </c>
      <c r="F3288">
        <f>IF(Skills!N17=TRUE,(Skills!L17/10)*(E3288/1000),Skills!L17/10)+Skills!O17</f>
        <v/>
      </c>
      <c r="G3288">
        <f>Calc!G17</f>
        <v/>
      </c>
      <c r="H3288">
        <f>Calc!H17</f>
        <v/>
      </c>
      <c r="I3288">
        <f>IF(Skills!AA17&lt;&gt;"",1+(Skills!AA17/10)*(U3274/1000)/100,1)</f>
        <v/>
      </c>
      <c r="J3288">
        <f>((Inputs!$B$6*(1+Inputs!$B$7/100))+(((Inputs!$B$12*(1+Inputs!$B$13/100))-(Inputs!$B$12*(1+Inputs!$B$13/100)))+0.25*(Inputs!$B$14-Inputs!$B$14))*(1+Inputs!$B$7/100))*(F3288/100)</f>
        <v/>
      </c>
      <c r="K3288">
        <f>J3288*(1+((Inputs!$B$12*(1+Inputs!$B$13/100))*0.01+Inputs!$B$14*0.0025)/100)*(1+Inputs!$B$15/100)*(1+Inputs!$B$16/100)*(5000/(6000+Inputs!$B$43*(1-(100*(1-(1-(Inputs!$B$19+0)/100)*(1-CHOOSE(ArtifactsInput!$N$40+1,5,6,7,8,9,10)/100)^(ArtifactsInput!$M$40-ArtifactsInput!$M$40)))/100)))*(1+(Inputs!$B$24+((C3301=TRUE)*(F3301-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3294=TRUE)*(F3294-Calc!F23))+(((IF(AND(ArtifactsInput!$M$42,((Inputs!$B$9+((C3296=TRUE)*(F3296-Calc!F25))+B3311+(ArtifactsInput!$M$24-ArtifactsInput!$M$24)*CHOOSE(ArtifactsInput!$N$24+1,10,12,14,16,18,20)+IF(ArtifactsInput!$M$10,CHOOSE(ArtifactsInput!$N$10+1,15,18,21,24,27,30)*(IF(Inputs!$B$39="pvp",MIN(15,15)/15,IF(AND(Inputs!$B$39&lt;&gt;"pvp",Inputs!$B$44&gt;0),MIN(15,Inputs!$B$44)/(Inputs!$B$44),0))),0)))&gt;=100),MIN(100,((Inputs!$B$9+((C3296=TRUE)*(F3296-Calc!F25))+B3311+(ArtifactsInput!$M$24-ArtifactsInput!$M$24)*CHOOSE(ArtifactsInput!$N$24+1,10,12,14,16,18,20)+IF(ArtifactsInput!$M$10,CHOOSE(ArtifactsInput!$N$10+1,15,18,21,24,27,30)*(IF(Inputs!$B$39="pvp",MIN(15,15)/15,IF(AND(Inputs!$B$39&lt;&gt;"pvp",Inputs!$B$44&gt;0),MIN(15,Inputs!$B$44)/(Inputs!$B$44),0))),0)))-100),0))*CHOOSE(ArtifactsInput!$N$42+1,0.6,0.72,0.84,0.96,1.08,1.2))),Inputs!$B$18+((C3300=TRUE)*(F3300-Calc!F29))+(IF(AND(ArtifactsInput!$M$42,((Inputs!$B$9+((C3296=TRUE)*(F3296-Calc!F25))+B3311+(ArtifactsInput!$M$24-ArtifactsInput!$M$24)*CHOOSE(ArtifactsInput!$N$24+1,10,12,14,16,18,20)+IF(ArtifactsInput!$M$10,CHOOSE(ArtifactsInput!$N$10+1,15,18,21,24,27,30)*(IF(Inputs!$B$39="pvp",MIN(15,15)/15,IF(AND(Inputs!$B$39&lt;&gt;"pvp",Inputs!$B$44&gt;0),MIN(15,Inputs!$B$44)/(Inputs!$B$44),0))),0)))&gt;=100),CHOOSE(ArtifactsInput!$N$42+1,40,48,56,64,72,80),0))))/100)*(((1+(((C3292=TRUE)*F3292*IF(AND(Inputs!$B$39&lt;&gt;"pvp",Inputs!$B$44&gt;0),(((R3292-1)*(Skills!Y21*(1+Inputs!$B$34/100))+MIN((Skills!Y21*(1+Inputs!$B$34/100)),MAX(0,Inputs!$B$44-((R3292-1)*Skills!D21))))/Inputs!$B$44),IF(Inputs!$B$39="pvp",MIN((Skills!Y21*(1+Inputs!$B$34/100)),15)/15,(Skills!Y21*(1+Inputs!$B$34/100))/Skills!D21)))+((C3299=TRUE)*(F3299-Calc!F28))+((C3289=TRUE)*(F3289-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3286=TRUE)*F3286*IF(AND(Inputs!$B$39&lt;&gt;"pvp",Inputs!$B$44&gt;0),(((R3286-1)*(Skills!Y15*(1+Inputs!$B$34/100))+MIN((Skills!Y15*(1+Inputs!$B$34/100)),MAX(0,Inputs!$B$44-((R3286-1)*Skills!D15))))/Inputs!$B$44),IF(Inputs!$B$39="pvp",MIN((Skills!Y15*(1+Inputs!$B$34/100)),15)/15,(Skills!Y15*(1+Inputs!$B$34/100))/Skills!D15)))/100)*(1+((C3277=TRUE)*F3277*B3305)/100))*B3313*(1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3288)</f>
        <v/>
      </c>
      <c r="L3288">
        <f>K3288*(MIN(Inputs!$B$22+((C3295=TRUE)*(F3295-Calc!F24)),(Inputs!$B$23+0+(IF(ArtifactsInput!$M$15,CHOOSE(ArtifactsInput!$N$15+1,25,30,35,40,45,50)/100*(Inputs!$B$11-Inputs!$B$11),0))))/100+(Inputs!$B$23+0+(IF(ArtifactsInput!$M$15,CHOOSE(ArtifactsInput!$N$15+1,25,30,35,40,45,50)/100*(Inputs!$B$11-Inputs!$B$11),0)))/100)/2</f>
        <v/>
      </c>
      <c r="M3288">
        <f>L3288*(1+(Inputs!$B$10+((C3297=TRUE)*(F3297-Calc!F26))+B3314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88">
        <f>L3288*(1-MIN((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3288*(MIN((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88">
        <f>(1-Summary!$B$11)*T3288+Summary!$B$11*V3288</f>
        <v/>
      </c>
      <c r="P3288">
        <f>IF(B3315=0,0,O3288/B3315)</f>
        <v/>
      </c>
      <c r="Q3288" t="n">
        <v>0</v>
      </c>
      <c r="R3288" t="n">
        <v>0</v>
      </c>
      <c r="S3288">
        <f>IFERROR(O3288/N3288,0)</f>
        <v/>
      </c>
      <c r="T3288">
        <f>IF(C3288,(Inputs!$B$38*0.2*N3288)*IF(Inputs!$B$39="pvp",1,1+(Inputs!$B$20+((C3298=TRUE)*(F3298-Calc!F27))+Skills!P17+B3312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Hunt"),CHOOSE(ArtifactsInput!$N$35+1,15,18,21,24,27,30)*(1-EXP(-(0.2*B3307)*5)),0)+IF(AND(ArtifactsInput!$M$22,Inputs!$B$4&lt;&gt;"Chapter Hunt"),CHOOSE(ArtifactsInput!$N$22+1,10,12,14,16,18,20)*((0*(((0.15*B3307*5))^0/1)+1*(((0.15*B3307*5))^1/1)+2*(((0.15*B3307*5))^2/2)+3*(((0.15*B3307*5))^3/6)+4*(((0.15*B3307*5))^4/24)+5*(((0.15*B3307*5))^5/120))/((((0.15*B3307*5))^0/1)+(((0.15*B3307*5))^1/1)+(((0.15*B3307*5))^2/2)+(((0.15*B3307*5))^3/6)+(((0.15*B3307*5))^4/24)+(((0.15*B3307*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3288*(1-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3288*(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3288*(1-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3288*(MIN(100,(Inputs!$B$9+((C3296=TRUE)*(F3296-Calc!F25))+B3311+(ArtifactsInput!$M$24-ArtifactsInput!$M$24)*CHOOSE(ArtifactsInput!$N$24+1,10,12,14,16,18,20)+(IF(AND(ArtifactsInput!$M$42,((Inputs!$B$9+((C3296=TRUE)*(F3296-Calc!F25))+B3311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88">
        <f>IF(C3288,(Inputs!$B$38*0.2*N3288)*IF(Inputs!$B$39="pvp",1,(1+(Inputs!$B$21+Skills!Q17+B3312+(IF(ArtifactsInput!$M$33,CHOOSE(ArtifactsInput!$N$33+1,30,36,42,48,54,60),0))+(IF(AND(ArtifactsInput!$M$35,Inputs!$B$4&lt;&gt;"Chapter Hunt"),CHOOSE(ArtifactsInput!$N$35+1,15,18,21,24,27,30)*(1-EXP(-(0.2*B3307)*5)),0)+IF(AND(ArtifactsInput!$M$22,Inputs!$B$4&lt;&gt;"Chapter Hunt"),CHOOSE(ArtifactsInput!$N$22+1,10,12,14,16,18,20)*((0*(((0.15*B3307*5))^0/1)+1*(((0.15*B3307*5))^1/1)+2*(((0.15*B3307*5))^2/2)+3*(((0.15*B3307*5))^3/6)+4*(((0.15*B3307*5))^4/24)+5*(((0.15*B3307*5))^5/120))/((((0.15*B3307*5))^0/1)+(((0.15*B3307*5))^1/1)+(((0.15*B3307*5))^2/2)+(((0.15*B3307*5))^3/6)+(((0.15*B3307*5))^4/24)+(((0.15*B3307*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89">
      <c r="A3289">
        <f>Skills!A18</f>
        <v/>
      </c>
      <c r="B3289">
        <f>Skills!B18</f>
        <v/>
      </c>
      <c r="C3289">
        <f>Inputs!$B$3&gt;=115</f>
        <v/>
      </c>
      <c r="D3289">
        <f>IF(Skills!C18=1,60+Inputs!$B$25+Inputs!$B$29,IF(Skills!C18=2,90+Inputs!$B$26+Inputs!$B$29,IF(Skills!C18=3,120+Inputs!$B$27+Inputs!$B$29,MAX(0,(Inputs!$B$3-100)*3)+Inputs!$B$28+Inputs!$B$29)))</f>
        <v/>
      </c>
      <c r="E3289">
        <f>INDEX(FactorTable!$B$2:$Y$301, MATCH(ROUND(MIN(300,MAX(1,D3289)),0), FactorTable!$A$2:$A$301,0), Skills!M18+1)</f>
        <v/>
      </c>
      <c r="F3289">
        <f>IF(Skills!N18=TRUE,(Skills!L18/10)*(E3289/1000),Skills!L18/10)+Skills!O18</f>
        <v/>
      </c>
      <c r="G3289">
        <f>Calc!G18</f>
        <v/>
      </c>
      <c r="H3289">
        <f>Calc!H18</f>
        <v/>
      </c>
      <c r="I3289">
        <f>IF(Skills!AA18&lt;&gt;"",1+(Skills!AA18/10)*(U3274/1000)/100,1)</f>
        <v/>
      </c>
      <c r="J3289" t="inlineStr"/>
      <c r="K3289" t="inlineStr"/>
      <c r="L3289" t="inlineStr"/>
      <c r="M3289" t="inlineStr"/>
      <c r="N3289" t="inlineStr"/>
      <c r="O3289">
        <f>(1-Summary!$B$11)*T3289+Summary!$B$11*V3289</f>
        <v/>
      </c>
      <c r="P3289">
        <f>IF(B3315=0,0,O3289/B3315)</f>
        <v/>
      </c>
      <c r="Q3289" t="n">
        <v>0</v>
      </c>
      <c r="R3289" t="n">
        <v>0</v>
      </c>
      <c r="S3289">
        <f>IFERROR(O3289/N3289,0)</f>
        <v/>
      </c>
      <c r="T3289" t="n">
        <v>0</v>
      </c>
      <c r="V3289" t="n">
        <v>0</v>
      </c>
    </row>
    <row r="3290">
      <c r="A3290">
        <f>Skills!A19</f>
        <v/>
      </c>
      <c r="B3290">
        <f>Skills!B19</f>
        <v/>
      </c>
      <c r="C3290">
        <f>TRUE</f>
        <v/>
      </c>
      <c r="D3290">
        <f>IF(Skills!C19=1,60+Inputs!$B$25+Inputs!$B$29,IF(Skills!C19=2,90+Inputs!$B$26+Inputs!$B$29,IF(Skills!C19=3,120+Inputs!$B$27+Inputs!$B$29,MAX(0,(Inputs!$B$3-100)*3)+Inputs!$B$28+Inputs!$B$29)))</f>
        <v/>
      </c>
      <c r="E3290">
        <f>INDEX(FactorTable!$B$2:$Y$301, MATCH(ROUND(MIN(300,MAX(1,D3290)),0), FactorTable!$A$2:$A$301,0), Skills!M19+1)</f>
        <v/>
      </c>
      <c r="F3290">
        <f>IF(Skills!N19=TRUE,(Skills!L19/10)*(E3290/1000),Skills!L19/10)+Skills!O19</f>
        <v/>
      </c>
      <c r="G3290">
        <f>Calc!G19</f>
        <v/>
      </c>
      <c r="H3290">
        <f>Calc!H19</f>
        <v/>
      </c>
      <c r="I3290">
        <f>IF(Skills!AA19&lt;&gt;"",1+(Skills!AA19/10)*(U3274/1000)/100,1)</f>
        <v/>
      </c>
      <c r="J3290" t="inlineStr"/>
      <c r="K3290" t="inlineStr"/>
      <c r="L3290" t="inlineStr"/>
      <c r="M3290" t="inlineStr"/>
      <c r="N3290" t="inlineStr"/>
      <c r="O3290">
        <f>(1-Summary!$B$11)*T3290+Summary!$B$11*V3290</f>
        <v/>
      </c>
      <c r="P3290">
        <f>IF(B3315=0,0,O3290/B3315)</f>
        <v/>
      </c>
      <c r="Q3290">
        <f>IFERROR(1/IF(Inputs!$B$39="pvp",15,MAX(0.1,Skills!D19-IF(Skills!E19=TRUE,1.5,0))),0)</f>
        <v/>
      </c>
      <c r="R3290">
        <f>IF(AND(Inputs!$B$39&lt;&gt;"pvp",Inputs!$B$44&gt;0),IF(Inputs!$B$44&lt;=0,0,(INT(Inputs!$B$44/IF(Inputs!$B$39="pvp",15,MAX(0.1,Skills!D19-IF(Skills!E19=TRUE,1.5,0))))+1)),0)</f>
        <v/>
      </c>
      <c r="S3290">
        <f>IFERROR(O3290/N3290,0)</f>
        <v/>
      </c>
      <c r="T3290" t="n">
        <v>0</v>
      </c>
      <c r="V3290" t="n">
        <v>0</v>
      </c>
    </row>
    <row r="3291">
      <c r="A3291">
        <f>Skills!A20</f>
        <v/>
      </c>
      <c r="B3291">
        <f>Skills!B20</f>
        <v/>
      </c>
      <c r="C3291">
        <f>Inputs!$B$3&gt;=15</f>
        <v/>
      </c>
      <c r="D3291">
        <f>IF(Skills!C20=1,60+Inputs!$B$25+Inputs!$B$29,IF(Skills!C20=2,90+Inputs!$B$26+Inputs!$B$29,IF(Skills!C20=3,120+Inputs!$B$27+Inputs!$B$29,MAX(0,(Inputs!$B$3-100)*3)+Inputs!$B$28+Inputs!$B$29)))</f>
        <v/>
      </c>
      <c r="E3291">
        <f>INDEX(FactorTable!$B$2:$Y$301, MATCH(ROUND(MIN(300,MAX(1,D3291)),0), FactorTable!$A$2:$A$301,0), Skills!M20+1)</f>
        <v/>
      </c>
      <c r="F3291">
        <f>IF(Skills!N20=TRUE,(Skills!L20/10)*(E3291/1000),Skills!L20/10)+Skills!O20</f>
        <v/>
      </c>
      <c r="G3291">
        <f>Calc!G20</f>
        <v/>
      </c>
      <c r="H3291">
        <f>Calc!H20</f>
        <v/>
      </c>
      <c r="I3291">
        <f>IF(Skills!AA20&lt;&gt;"",1+(Skills!AA20/10)*(U3274/1000)/100,1)</f>
        <v/>
      </c>
      <c r="J3291" t="inlineStr"/>
      <c r="K3291" t="inlineStr"/>
      <c r="L3291" t="inlineStr"/>
      <c r="M3291" t="inlineStr"/>
      <c r="N3291" t="inlineStr"/>
      <c r="O3291">
        <f>(1-Summary!$B$11)*T3291+Summary!$B$11*V3291</f>
        <v/>
      </c>
      <c r="P3291">
        <f>IF(B3315=0,0,O3291/B3315)</f>
        <v/>
      </c>
      <c r="Q3291">
        <f>IFERROR(1/IF(Inputs!$B$39="pvp",15,MAX(0.1,Skills!D20-IF(Skills!E20=TRUE,1.5,0))),0)</f>
        <v/>
      </c>
      <c r="R3291">
        <f>IF(AND(Inputs!$B$39&lt;&gt;"pvp",Inputs!$B$44&gt;0),IF(Inputs!$B$44&lt;=0,0,(INT(Inputs!$B$44/IF(Inputs!$B$39="pvp",15,MAX(0.1,Skills!D20-IF(Skills!E20=TRUE,1.5,0))))+1)),0)</f>
        <v/>
      </c>
      <c r="S3291">
        <f>IFERROR(O3291/N3291,0)</f>
        <v/>
      </c>
      <c r="T3291" t="n">
        <v>0</v>
      </c>
      <c r="V3291" t="n">
        <v>0</v>
      </c>
    </row>
    <row r="3292">
      <c r="A3292">
        <f>Skills!A21</f>
        <v/>
      </c>
      <c r="B3292">
        <f>Skills!B21</f>
        <v/>
      </c>
      <c r="C3292">
        <f>Inputs!$B$3&gt;=15</f>
        <v/>
      </c>
      <c r="D3292">
        <f>IF(Skills!C21=1,60+Inputs!$B$25+Inputs!$B$29,IF(Skills!C21=2,90+Inputs!$B$26+Inputs!$B$29,IF(Skills!C21=3,120+Inputs!$B$27+Inputs!$B$29,MAX(0,(Inputs!$B$3-100)*3)+Inputs!$B$28+Inputs!$B$29)))</f>
        <v/>
      </c>
      <c r="E3292">
        <f>INDEX(FactorTable!$B$2:$Y$301, MATCH(ROUND(MIN(300,MAX(1,D3292)),0), FactorTable!$A$2:$A$301,0), Skills!M21+1)</f>
        <v/>
      </c>
      <c r="F3292">
        <f>IF(Skills!N21=TRUE,(Skills!L21/10)*(E3292/1000),Skills!L21/10)+Skills!O21</f>
        <v/>
      </c>
      <c r="G3292">
        <f>Calc!G21</f>
        <v/>
      </c>
      <c r="H3292">
        <f>Calc!H21</f>
        <v/>
      </c>
      <c r="I3292">
        <f>IF(Skills!AA21&lt;&gt;"",1+(Skills!AA21/10)*(U3274/1000)/100,1)</f>
        <v/>
      </c>
      <c r="J3292" t="inlineStr"/>
      <c r="K3292" t="inlineStr"/>
      <c r="L3292" t="inlineStr"/>
      <c r="M3292" t="inlineStr"/>
      <c r="N3292" t="inlineStr"/>
      <c r="O3292">
        <f>(1-Summary!$B$11)*T3292+Summary!$B$11*V3292</f>
        <v/>
      </c>
      <c r="P3292">
        <f>IF(B3315=0,0,O3292/B3315)</f>
        <v/>
      </c>
      <c r="Q3292">
        <f>IFERROR(1/IF(Inputs!$B$39="pvp",15,MAX(0.1,Skills!D21-IF(Skills!E21=TRUE,1.5,0))),0)</f>
        <v/>
      </c>
      <c r="R3292">
        <f>IF(AND(Inputs!$B$39&lt;&gt;"pvp",Inputs!$B$44&gt;0),IF(Inputs!$B$44&lt;=0,0,(INT(Inputs!$B$44/IF(Inputs!$B$39="pvp",15,MAX(0.1,Skills!D21-IF(Skills!E21=TRUE,1.5,0))))+1)),0)</f>
        <v/>
      </c>
      <c r="S3292">
        <f>IFERROR(O3292/N3292,0)</f>
        <v/>
      </c>
      <c r="T3292" t="n">
        <v>0</v>
      </c>
      <c r="V3292" t="n">
        <v>0</v>
      </c>
    </row>
    <row r="3293">
      <c r="A3293">
        <f>Skills!A22</f>
        <v/>
      </c>
      <c r="B3293">
        <f>Skills!B22</f>
        <v/>
      </c>
      <c r="C3293">
        <f>Inputs!$B$3&gt;=33</f>
        <v/>
      </c>
      <c r="D3293">
        <f>IF(Skills!C22=1,60+Inputs!$B$25+Inputs!$B$29,IF(Skills!C22=2,90+Inputs!$B$26+Inputs!$B$29,IF(Skills!C22=3,120+Inputs!$B$27+Inputs!$B$29,MAX(0,(Inputs!$B$3-100)*3)+Inputs!$B$28+Inputs!$B$29)))</f>
        <v/>
      </c>
      <c r="E3293">
        <f>INDEX(FactorTable!$B$2:$Y$301, MATCH(ROUND(MIN(300,MAX(1,D3293)),0), FactorTable!$A$2:$A$301,0), Skills!M22+1)</f>
        <v/>
      </c>
      <c r="F3293">
        <f>IF(Skills!N22=TRUE,(Skills!L22/10)*(E3293/1000),Skills!L22/10)+Skills!O22</f>
        <v/>
      </c>
      <c r="G3293">
        <f>Calc!G22</f>
        <v/>
      </c>
      <c r="H3293">
        <f>Calc!H22</f>
        <v/>
      </c>
      <c r="I3293">
        <f>IF(Skills!AA22&lt;&gt;"",1+(Skills!AA22/10)*(U3274/1000)/100,1)</f>
        <v/>
      </c>
      <c r="J3293" t="inlineStr"/>
      <c r="K3293" t="inlineStr"/>
      <c r="L3293" t="inlineStr"/>
      <c r="M3293" t="inlineStr"/>
      <c r="N3293" t="inlineStr"/>
      <c r="O3293">
        <f>(1-Summary!$B$11)*T3293+Summary!$B$11*V3293</f>
        <v/>
      </c>
      <c r="P3293">
        <f>IF(B3315=0,0,O3293/B3315)</f>
        <v/>
      </c>
      <c r="Q3293" t="n">
        <v>0</v>
      </c>
      <c r="R3293" t="n">
        <v>0</v>
      </c>
      <c r="S3293">
        <f>IFERROR(O3293/N3293,0)</f>
        <v/>
      </c>
      <c r="T3293" t="n">
        <v>0</v>
      </c>
      <c r="V3293" t="n">
        <v>0</v>
      </c>
    </row>
    <row r="3294">
      <c r="A3294">
        <f>Skills!A23</f>
        <v/>
      </c>
      <c r="B3294">
        <f>Skills!B23</f>
        <v/>
      </c>
      <c r="C3294">
        <f>Inputs!$B$3&gt;=38</f>
        <v/>
      </c>
      <c r="D3294">
        <f>IF(Skills!C23=1,60+Inputs!$B$25+Inputs!$B$29,IF(Skills!C23=2,90+Inputs!$B$26+Inputs!$B$29,IF(Skills!C23=3,120+Inputs!$B$27+Inputs!$B$29,MAX(0,(Inputs!$B$3-100)*3)+Inputs!$B$28+Inputs!$B$29)))</f>
        <v/>
      </c>
      <c r="E3294">
        <f>INDEX(FactorTable!$B$2:$Y$301, MATCH(ROUND(MIN(300,MAX(1,D3294)),0), FactorTable!$A$2:$A$301,0), Skills!M23+1)</f>
        <v/>
      </c>
      <c r="F3294">
        <f>IF(Skills!N23=TRUE,(Skills!L23/10)*(E3294/1000),Skills!L23/10)+Skills!O23</f>
        <v/>
      </c>
      <c r="G3294">
        <f>Calc!G23</f>
        <v/>
      </c>
      <c r="H3294">
        <f>Calc!H23</f>
        <v/>
      </c>
      <c r="I3294">
        <f>IF(Skills!AA23&lt;&gt;"",1+(Skills!AA23/10)*(U3274/1000)/100,1)</f>
        <v/>
      </c>
      <c r="J3294" t="inlineStr"/>
      <c r="K3294" t="inlineStr"/>
      <c r="L3294" t="inlineStr"/>
      <c r="M3294" t="inlineStr"/>
      <c r="N3294" t="inlineStr"/>
      <c r="O3294">
        <f>(1-Summary!$B$11)*T3294+Summary!$B$11*V3294</f>
        <v/>
      </c>
      <c r="P3294">
        <f>IF(B3315=0,0,O3294/B3315)</f>
        <v/>
      </c>
      <c r="Q3294" t="n">
        <v>0</v>
      </c>
      <c r="R3294" t="n">
        <v>0</v>
      </c>
      <c r="S3294">
        <f>IFERROR(O3294/N3294,0)</f>
        <v/>
      </c>
      <c r="T3294" t="n">
        <v>0</v>
      </c>
      <c r="V3294" t="n">
        <v>0</v>
      </c>
    </row>
    <row r="3295">
      <c r="A3295">
        <f>Skills!A24</f>
        <v/>
      </c>
      <c r="B3295">
        <f>Skills!B24</f>
        <v/>
      </c>
      <c r="C3295">
        <f>Inputs!$B$3&gt;=40</f>
        <v/>
      </c>
      <c r="D3295">
        <f>IF(Skills!C24=1,60+Inputs!$B$25+Inputs!$B$29,IF(Skills!C24=2,90+Inputs!$B$26+Inputs!$B$29,IF(Skills!C24=3,120+Inputs!$B$27+Inputs!$B$29,MAX(0,(Inputs!$B$3-100)*3)+Inputs!$B$28+Inputs!$B$29)))</f>
        <v/>
      </c>
      <c r="E3295">
        <f>INDEX(FactorTable!$B$2:$Y$301, MATCH(ROUND(MIN(300,MAX(1,D3295)),0), FactorTable!$A$2:$A$301,0), Skills!M24+1)</f>
        <v/>
      </c>
      <c r="F3295">
        <f>IF(Skills!N24=TRUE,(Skills!L24/10)*(E3295/1000),Skills!L24/10)+Skills!O24</f>
        <v/>
      </c>
      <c r="G3295">
        <f>Calc!G24</f>
        <v/>
      </c>
      <c r="H3295">
        <f>Calc!H24</f>
        <v/>
      </c>
      <c r="I3295">
        <f>IF(Skills!AA24&lt;&gt;"",1+(Skills!AA24/10)*(U3274/1000)/100,1)</f>
        <v/>
      </c>
      <c r="J3295" t="inlineStr"/>
      <c r="K3295" t="inlineStr"/>
      <c r="L3295" t="inlineStr"/>
      <c r="M3295" t="inlineStr"/>
      <c r="N3295" t="inlineStr"/>
      <c r="O3295">
        <f>(1-Summary!$B$11)*T3295+Summary!$B$11*V3295</f>
        <v/>
      </c>
      <c r="P3295">
        <f>IF(B3315=0,0,O3295/B3315)</f>
        <v/>
      </c>
      <c r="Q3295" t="n">
        <v>0</v>
      </c>
      <c r="R3295" t="n">
        <v>0</v>
      </c>
      <c r="S3295">
        <f>IFERROR(O3295/N3295,0)</f>
        <v/>
      </c>
      <c r="T3295" t="n">
        <v>0</v>
      </c>
      <c r="V3295" t="n">
        <v>0</v>
      </c>
    </row>
    <row r="3296">
      <c r="A3296">
        <f>Skills!A25</f>
        <v/>
      </c>
      <c r="B3296">
        <f>Skills!B25</f>
        <v/>
      </c>
      <c r="C3296">
        <f>Inputs!$B$3&gt;=45</f>
        <v/>
      </c>
      <c r="D3296">
        <f>IF(Skills!C25=1,60+Inputs!$B$25+Inputs!$B$29,IF(Skills!C25=2,90+Inputs!$B$26+Inputs!$B$29,IF(Skills!C25=3,120+Inputs!$B$27+Inputs!$B$29,MAX(0,(Inputs!$B$3-100)*3)+Inputs!$B$28+Inputs!$B$29)))</f>
        <v/>
      </c>
      <c r="E3296">
        <f>INDEX(FactorTable!$B$2:$Y$301, MATCH(ROUND(MIN(300,MAX(1,D3296)),0), FactorTable!$A$2:$A$301,0), Skills!M25+1)</f>
        <v/>
      </c>
      <c r="F3296">
        <f>IF(Skills!N25=TRUE,(Skills!L25/10)*(E3296/1000),Skills!L25/10)+Skills!O25</f>
        <v/>
      </c>
      <c r="G3296">
        <f>Calc!G25</f>
        <v/>
      </c>
      <c r="H3296">
        <f>Calc!H25</f>
        <v/>
      </c>
      <c r="I3296">
        <f>IF(Skills!AA25&lt;&gt;"",1+(Skills!AA25/10)*(U3274/1000)/100,1)</f>
        <v/>
      </c>
      <c r="J3296" t="inlineStr"/>
      <c r="K3296" t="inlineStr"/>
      <c r="L3296" t="inlineStr"/>
      <c r="M3296" t="inlineStr"/>
      <c r="N3296" t="inlineStr"/>
      <c r="O3296">
        <f>(1-Summary!$B$11)*T3296+Summary!$B$11*V3296</f>
        <v/>
      </c>
      <c r="P3296">
        <f>IF(B3315=0,0,O3296/B3315)</f>
        <v/>
      </c>
      <c r="Q3296" t="n">
        <v>0</v>
      </c>
      <c r="R3296" t="n">
        <v>0</v>
      </c>
      <c r="S3296">
        <f>IFERROR(O3296/N3296,0)</f>
        <v/>
      </c>
      <c r="T3296" t="n">
        <v>0</v>
      </c>
      <c r="V3296" t="n">
        <v>0</v>
      </c>
    </row>
    <row r="3297">
      <c r="A3297">
        <f>Skills!A26</f>
        <v/>
      </c>
      <c r="B3297">
        <f>Skills!B26</f>
        <v/>
      </c>
      <c r="C3297">
        <f>Inputs!$B$3&gt;=45</f>
        <v/>
      </c>
      <c r="D3297">
        <f>IF(Skills!C26=1,60+Inputs!$B$25+Inputs!$B$29,IF(Skills!C26=2,90+Inputs!$B$26+Inputs!$B$29,IF(Skills!C26=3,120+Inputs!$B$27+Inputs!$B$29,MAX(0,(Inputs!$B$3-100)*3)+Inputs!$B$28+Inputs!$B$29)))</f>
        <v/>
      </c>
      <c r="E3297">
        <f>INDEX(FactorTable!$B$2:$Y$301, MATCH(ROUND(MIN(300,MAX(1,D3297)),0), FactorTable!$A$2:$A$301,0), Skills!M26+1)</f>
        <v/>
      </c>
      <c r="F3297">
        <f>IF(Skills!N26=TRUE,(Skills!L26/10)*(E3297/1000),Skills!L26/10)+Skills!O26</f>
        <v/>
      </c>
      <c r="G3297">
        <f>Calc!G26</f>
        <v/>
      </c>
      <c r="H3297">
        <f>Calc!H26</f>
        <v/>
      </c>
      <c r="I3297">
        <f>IF(Skills!AA26&lt;&gt;"",1+(Skills!AA26/10)*(U3274/1000)/100,1)</f>
        <v/>
      </c>
      <c r="J3297" t="inlineStr"/>
      <c r="K3297" t="inlineStr"/>
      <c r="L3297" t="inlineStr"/>
      <c r="M3297" t="inlineStr"/>
      <c r="N3297" t="inlineStr"/>
      <c r="O3297">
        <f>(1-Summary!$B$11)*T3297+Summary!$B$11*V3297</f>
        <v/>
      </c>
      <c r="P3297">
        <f>IF(B3315=0,0,O3297/B3315)</f>
        <v/>
      </c>
      <c r="Q3297" t="n">
        <v>0</v>
      </c>
      <c r="R3297" t="n">
        <v>0</v>
      </c>
      <c r="S3297">
        <f>IFERROR(O3297/N3297,0)</f>
        <v/>
      </c>
      <c r="T3297" t="n">
        <v>0</v>
      </c>
      <c r="V3297" t="n">
        <v>0</v>
      </c>
    </row>
    <row r="3298">
      <c r="A3298">
        <f>Skills!A27</f>
        <v/>
      </c>
      <c r="B3298">
        <f>Skills!B27</f>
        <v/>
      </c>
      <c r="C3298">
        <f>Inputs!$B$3&gt;=72</f>
        <v/>
      </c>
      <c r="D3298">
        <f>IF(Skills!C27=1,60+Inputs!$B$25+Inputs!$B$29,IF(Skills!C27=2,90+Inputs!$B$26+Inputs!$B$29,IF(Skills!C27=3,120+Inputs!$B$27+Inputs!$B$29,MAX(0,(Inputs!$B$3-100)*3)+Inputs!$B$28+Inputs!$B$29)))</f>
        <v/>
      </c>
      <c r="E3298">
        <f>INDEX(FactorTable!$B$2:$Y$301, MATCH(ROUND(MIN(300,MAX(1,D3298)),0), FactorTable!$A$2:$A$301,0), Skills!M27+1)</f>
        <v/>
      </c>
      <c r="F3298">
        <f>IF(Skills!N27=TRUE,(Skills!L27/10)*(E3298/1000),Skills!L27/10)+Skills!O27</f>
        <v/>
      </c>
      <c r="G3298">
        <f>Calc!G27</f>
        <v/>
      </c>
      <c r="H3298">
        <f>Calc!H27</f>
        <v/>
      </c>
      <c r="I3298">
        <f>IF(Skills!AA27&lt;&gt;"",1+(Skills!AA27/10)*(U3274/1000)/100,1)</f>
        <v/>
      </c>
      <c r="J3298" t="inlineStr"/>
      <c r="K3298" t="inlineStr"/>
      <c r="L3298" t="inlineStr"/>
      <c r="M3298" t="inlineStr"/>
      <c r="N3298" t="inlineStr"/>
      <c r="O3298">
        <f>(1-Summary!$B$11)*T3298+Summary!$B$11*V3298</f>
        <v/>
      </c>
      <c r="P3298">
        <f>IF(B3315=0,0,O3298/B3315)</f>
        <v/>
      </c>
      <c r="Q3298" t="n">
        <v>0</v>
      </c>
      <c r="R3298" t="n">
        <v>0</v>
      </c>
      <c r="S3298">
        <f>IFERROR(O3298/N3298,0)</f>
        <v/>
      </c>
      <c r="T3298" t="n">
        <v>0</v>
      </c>
      <c r="V3298" t="n">
        <v>0</v>
      </c>
    </row>
    <row r="3299">
      <c r="A3299">
        <f>Skills!A28</f>
        <v/>
      </c>
      <c r="B3299">
        <f>Skills!B28</f>
        <v/>
      </c>
      <c r="C3299">
        <f>Inputs!$B$3&gt;=75</f>
        <v/>
      </c>
      <c r="D3299">
        <f>IF(Skills!C28=1,60+Inputs!$B$25+Inputs!$B$29,IF(Skills!C28=2,90+Inputs!$B$26+Inputs!$B$29,IF(Skills!C28=3,120+Inputs!$B$27+Inputs!$B$29,MAX(0,(Inputs!$B$3-100)*3)+Inputs!$B$28+Inputs!$B$29)))</f>
        <v/>
      </c>
      <c r="E3299">
        <f>INDEX(FactorTable!$B$2:$Y$301, MATCH(ROUND(MIN(300,MAX(1,D3299)),0), FactorTable!$A$2:$A$301,0), Skills!M28+1)</f>
        <v/>
      </c>
      <c r="F3299">
        <f>IF(Skills!N28=TRUE,(Skills!L28/10)*(E3299/1000),Skills!L28/10)+Skills!O28</f>
        <v/>
      </c>
      <c r="G3299">
        <f>Calc!G28</f>
        <v/>
      </c>
      <c r="H3299">
        <f>Calc!H28</f>
        <v/>
      </c>
      <c r="I3299">
        <f>IF(Skills!AA28&lt;&gt;"",1+(Skills!AA28/10)*(U3274/1000)/100,1)</f>
        <v/>
      </c>
      <c r="J3299" t="inlineStr"/>
      <c r="K3299" t="inlineStr"/>
      <c r="L3299" t="inlineStr"/>
      <c r="M3299" t="inlineStr"/>
      <c r="N3299" t="inlineStr"/>
      <c r="O3299">
        <f>(1-Summary!$B$11)*T3299+Summary!$B$11*V3299</f>
        <v/>
      </c>
      <c r="P3299">
        <f>IF(B3315=0,0,O3299/B3315)</f>
        <v/>
      </c>
      <c r="Q3299" t="n">
        <v>0</v>
      </c>
      <c r="R3299" t="n">
        <v>0</v>
      </c>
      <c r="S3299">
        <f>IFERROR(O3299/N3299,0)</f>
        <v/>
      </c>
      <c r="T3299" t="n">
        <v>0</v>
      </c>
      <c r="V3299" t="n">
        <v>0</v>
      </c>
    </row>
    <row r="3300">
      <c r="A3300">
        <f>Skills!A29</f>
        <v/>
      </c>
      <c r="B3300">
        <f>Skills!B29</f>
        <v/>
      </c>
      <c r="C3300">
        <f>Inputs!$B$3&gt;=120</f>
        <v/>
      </c>
      <c r="D3300">
        <f>IF(Skills!C29=1,60+Inputs!$B$25+Inputs!$B$29,IF(Skills!C29=2,90+Inputs!$B$26+Inputs!$B$29,IF(Skills!C29=3,120+Inputs!$B$27+Inputs!$B$29,MAX(0,(Inputs!$B$3-100)*3)+Inputs!$B$28+Inputs!$B$29)))</f>
        <v/>
      </c>
      <c r="E3300">
        <f>INDEX(FactorTable!$B$2:$Y$301, MATCH(ROUND(MIN(300,MAX(1,D3300)),0), FactorTable!$A$2:$A$301,0), Skills!M29+1)</f>
        <v/>
      </c>
      <c r="F3300">
        <f>IF(Skills!N29=TRUE,(Skills!L29/10)*(E3300/1000),Skills!L29/10)+Skills!O29</f>
        <v/>
      </c>
      <c r="G3300">
        <f>Calc!G29</f>
        <v/>
      </c>
      <c r="H3300">
        <f>Calc!H29</f>
        <v/>
      </c>
      <c r="I3300">
        <f>IF(Skills!AA29&lt;&gt;"",1+(Skills!AA29/10)*(U3274/1000)/100,1)</f>
        <v/>
      </c>
      <c r="J3300" t="inlineStr"/>
      <c r="K3300" t="inlineStr"/>
      <c r="L3300" t="inlineStr"/>
      <c r="M3300" t="inlineStr"/>
      <c r="N3300" t="inlineStr"/>
      <c r="O3300">
        <f>(1-Summary!$B$11)*T3300+Summary!$B$11*V3300</f>
        <v/>
      </c>
      <c r="P3300">
        <f>IF(B3315=0,0,O3300/B3315)</f>
        <v/>
      </c>
      <c r="Q3300" t="n">
        <v>0</v>
      </c>
      <c r="R3300" t="n">
        <v>0</v>
      </c>
      <c r="S3300">
        <f>IFERROR(O3300/N3300,0)</f>
        <v/>
      </c>
      <c r="T3300" t="n">
        <v>0</v>
      </c>
      <c r="V3300" t="n">
        <v>0</v>
      </c>
    </row>
    <row r="3301">
      <c r="A3301">
        <f>Skills!A30</f>
        <v/>
      </c>
      <c r="B3301">
        <f>Skills!B30</f>
        <v/>
      </c>
      <c r="C3301">
        <f>Inputs!$B$3&gt;=125</f>
        <v/>
      </c>
      <c r="D3301">
        <f>IF(Skills!C30=1,60+Inputs!$B$25+Inputs!$B$29,IF(Skills!C30=2,90+Inputs!$B$26+Inputs!$B$29,IF(Skills!C30=3,120+Inputs!$B$27+Inputs!$B$29,MAX(0,(Inputs!$B$3-100)*3)+Inputs!$B$28+Inputs!$B$29)))</f>
        <v/>
      </c>
      <c r="E3301">
        <f>INDEX(FactorTable!$B$2:$Y$301, MATCH(ROUND(MIN(300,MAX(1,D3301)),0), FactorTable!$A$2:$A$301,0), Skills!M30+1)</f>
        <v/>
      </c>
      <c r="F3301">
        <f>IF(Skills!N30=TRUE,(Skills!L30/10)*(E3301/1000),Skills!L30/10)+Skills!O30</f>
        <v/>
      </c>
      <c r="G3301">
        <f>Calc!G30</f>
        <v/>
      </c>
      <c r="H3301">
        <f>Calc!H30</f>
        <v/>
      </c>
      <c r="I3301">
        <f>IF(Skills!AA30&lt;&gt;"",1+(Skills!AA30/10)*(U3274/1000)/100,1)</f>
        <v/>
      </c>
      <c r="J3301" t="inlineStr"/>
      <c r="K3301" t="inlineStr"/>
      <c r="L3301" t="inlineStr"/>
      <c r="M3301" t="inlineStr"/>
      <c r="N3301" t="inlineStr"/>
      <c r="O3301">
        <f>(1-Summary!$B$11)*T3301+Summary!$B$11*V3301</f>
        <v/>
      </c>
      <c r="P3301">
        <f>IF(B3315=0,0,O3301/B3315)</f>
        <v/>
      </c>
      <c r="Q3301" t="n">
        <v>0</v>
      </c>
      <c r="R3301" t="n">
        <v>0</v>
      </c>
      <c r="S3301">
        <f>IFERROR(O3301/N3301,0)</f>
        <v/>
      </c>
      <c r="T3301" t="n">
        <v>0</v>
      </c>
      <c r="V3301" t="n">
        <v>0</v>
      </c>
    </row>
    <row r="3302">
      <c r="A3302">
        <f>Skills!A31</f>
        <v/>
      </c>
      <c r="B3302">
        <f>Skills!B31</f>
        <v/>
      </c>
      <c r="C3302">
        <f>Inputs!$B$3&gt;=107</f>
        <v/>
      </c>
      <c r="D3302">
        <f>IF(Skills!C31=1,60+Inputs!$B$25+Inputs!$B$29,IF(Skills!C31=2,90+Inputs!$B$26+Inputs!$B$29,IF(Skills!C31=3,120+Inputs!$B$27+Inputs!$B$29,MAX(0,(Inputs!$B$3-100)*3)+Inputs!$B$28+Inputs!$B$29)))</f>
        <v/>
      </c>
      <c r="E3302">
        <f>INDEX(FactorTable!$B$2:$Y$301, MATCH(ROUND(MIN(300,MAX(1,D3302)),0), FactorTable!$A$2:$A$301,0), Skills!M31+1)</f>
        <v/>
      </c>
      <c r="F3302">
        <f>IF(Skills!N31=TRUE,(Skills!L31/10)*(E3302/1000),Skills!L31/10)+Skills!O31</f>
        <v/>
      </c>
      <c r="G3302">
        <f>Calc!G31</f>
        <v/>
      </c>
      <c r="H3302">
        <f>Calc!H31</f>
        <v/>
      </c>
      <c r="I3302">
        <f>IF(Skills!AA31&lt;&gt;"",1+(Skills!AA31/10)*(U3274/1000)/100,1)</f>
        <v/>
      </c>
      <c r="J3302" t="inlineStr"/>
      <c r="K3302" t="inlineStr"/>
      <c r="L3302" t="inlineStr"/>
      <c r="M3302" t="inlineStr"/>
      <c r="N3302" t="inlineStr"/>
      <c r="O3302">
        <f>(1-Summary!$B$11)*T3302+Summary!$B$11*V3302</f>
        <v/>
      </c>
      <c r="P3302">
        <f>IF(B3315=0,0,O3302/B3315)</f>
        <v/>
      </c>
      <c r="Q3302" t="n">
        <v>0</v>
      </c>
      <c r="R3302" t="n">
        <v>0</v>
      </c>
      <c r="S3302">
        <f>IFERROR(O3302/N3302,0)</f>
        <v/>
      </c>
      <c r="T3302" t="n">
        <v>0</v>
      </c>
      <c r="V3302" t="n">
        <v>0</v>
      </c>
    </row>
    <row r="3304">
      <c r="A3304" t="inlineStr">
        <is>
          <t>Actions Per Second (pre-Adrenalin)</t>
        </is>
      </c>
      <c r="B3304">
        <f>1+MIN(150,150*(1-(1-(Inputs!$B$11+((C3293=TRUE)*(F3293-Calc!F22))+(ArtifactsInput!$M$15-ArtifactsInput!$M$15)*CHOOSE(ArtifactsInput!$N$15+1,8,9.6,11.2,12.8,14.4,16))/150)*(1-((C3290=TRUE)*F3290*IF(AND(Inputs!$B$39&lt;&gt;"pvp",Inputs!$B$44&gt;0),(((R3290-1)*(Skills!Y19*(1+Inputs!$B$34/100))+MIN((Skills!Y19*(1+Inputs!$B$34/100)),MAX(0,Inputs!$B$44-((R3290-1)*Skills!D19))))/Inputs!$B$44),IF(Inputs!$B$39="pvp",MIN((Skills!Y19*(1+Inputs!$B$34/100)),15)/15,(Skills!Y19*(1+Inputs!$B$34/100))/Skills!D19)))/150)))/100</f>
        <v/>
      </c>
    </row>
    <row r="3305">
      <c r="A3305" t="inlineStr">
        <is>
          <t>Alchemic Adrenaline Uptime</t>
        </is>
      </c>
      <c r="B3305">
        <f>(Skills!Y6*(1+Inputs!$B$34/100))/((Skills!Y6*(1+Inputs!$B$34/100))+(5/B3304))</f>
        <v/>
      </c>
    </row>
    <row r="3306">
      <c r="A3306" t="inlineStr">
        <is>
          <t>Attack Speed Buff Bonus %</t>
        </is>
      </c>
      <c r="B3306">
        <f>((C3290=TRUE)*F3290*IF(AND(Inputs!$B$39&lt;&gt;"pvp",Inputs!$B$44&gt;0),(((R3290-1)*(Skills!Y19*(1+Inputs!$B$34/100))+MIN((Skills!Y19*(1+Inputs!$B$34/100)),MAX(0,Inputs!$B$44-((R3290-1)*Skills!D19))))/Inputs!$B$44),IF(Inputs!$B$39="pvp",MIN((Skills!Y19*(1+Inputs!$B$34/100)),15)/15,(Skills!Y19*(1+Inputs!$B$34/100))/Skills!D19)))+((C3278=TRUE)*F3278*B3305)</f>
        <v/>
      </c>
    </row>
    <row r="3307">
      <c r="A3307" t="inlineStr">
        <is>
          <t>Actions Per Second (final)</t>
        </is>
      </c>
      <c r="B3307">
        <f>1+MIN(150,150*(1-(1-(Inputs!$B$11+((C3293=TRUE)*(F3293-Calc!F22))+(ArtifactsInput!$M$15-ArtifactsInput!$M$15)*CHOOSE(ArtifactsInput!$N$15+1,8,9.6,11.2,12.8,14.4,16))/150)*(1-B3306/150)))/100</f>
        <v/>
      </c>
    </row>
    <row r="3308">
      <c r="A3308" t="inlineStr">
        <is>
          <t>Skill + Buff Cast Rate</t>
        </is>
      </c>
      <c r="B3308">
        <f>IF(AND(Inputs!$B$39&lt;&gt;"pvp",Inputs!$B$44&gt;0),SUMPRODUCT((Skills!E2:E31=TRUE)*(C3273:C3302=TRUE)*R3273:R3302*Skills!F2:F31)/Inputs!$B$44,SUMPRODUCT((Skills!E2:E31=TRUE)*(C3273:C3302=TRUE)*Q3273:Q3302*Skills!F2:F31))</f>
        <v/>
      </c>
    </row>
    <row r="3309">
      <c r="A3309" t="inlineStr">
        <is>
          <t>Showdown Casts Per Second</t>
        </is>
      </c>
      <c r="B3309">
        <f>MAX(0,B3307-B3308)</f>
        <v/>
      </c>
    </row>
    <row r="3310">
      <c r="A3310" t="inlineStr">
        <is>
          <t>Average Buff Multiplier</t>
        </is>
      </c>
      <c r="B3310">
        <f>(1+(((C3292=TRUE)*F3292*IF(AND(Inputs!$B$39&lt;&gt;"pvp",Inputs!$B$44&gt;0),(((R3292-1)*(Skills!Y21*(1+Inputs!$B$34/100))+MIN((Skills!Y21*(1+Inputs!$B$34/100)),MAX(0,Inputs!$B$44-((R3292-1)*Skills!D21))))/Inputs!$B$44),IF(Inputs!$B$39="pvp",MIN((Skills!Y21*(1+Inputs!$B$34/100)),15)/15,(Skills!Y21*(1+Inputs!$B$34/100))/Skills!D21)))+((C3299=TRUE)*(F3299-Calc!F28))+((C3289=TRUE)*(F3289-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3286=TRUE)*F3286*IF(AND(Inputs!$B$39&lt;&gt;"pvp",Inputs!$B$44&gt;0),(((R3286-1)*(Skills!Y15*(1+Inputs!$B$34/100))+MIN((Skills!Y15*(1+Inputs!$B$34/100)),MAX(0,Inputs!$B$44-((R3286-1)*Skills!D15))))/Inputs!$B$44),IF(Inputs!$B$39="pvp",MIN((Skills!Y15*(1+Inputs!$B$34/100)),15)/15,(Skills!Y15*(1+Inputs!$B$34/100))/Skills!D15)))/100)*(1+((C3277=TRUE)*F3277*B3305)/100)</f>
        <v/>
      </c>
    </row>
    <row r="3311">
      <c r="A3311" t="inlineStr">
        <is>
          <t>Global Crit Rate Bonus %</t>
        </is>
      </c>
      <c r="B3311">
        <f>IF(Inputs!$B$3&gt;=47,8,0)+((C3291=TRUE)*F3291*IF(AND(Inputs!$B$39&lt;&gt;"pvp",Inputs!$B$44&gt;0),(((R3291-1)*(Skills!Y20*(1+Inputs!$B$34/100))+MIN((Skills!Y20*(1+Inputs!$B$34/100)),MAX(0,Inputs!$B$44-((R3291-1)*Skills!D20))))/Inputs!$B$44),IF(Inputs!$B$39="pvp",MIN((Skills!Y20*(1+Inputs!$B$34/100)),15)/15,(Skills!Y20*(1+Inputs!$B$34/100))/Skills!D20)))</f>
        <v/>
      </c>
    </row>
    <row r="3312">
      <c r="A3312" t="inlineStr">
        <is>
          <t>Global Monster Damage-Taken Bonus %</t>
        </is>
      </c>
      <c r="B3312">
        <f>IF(Inputs!$B$3&gt;=82,15,0)+((C3287=TRUE)*F3287*IF(AND(Inputs!$B$39&lt;&gt;"pvp",Inputs!$B$44&gt;0),(((R3287-1)*(Skills!Y16*(1+Inputs!$B$34/100))+MIN((Skills!Y16*(1+Inputs!$B$34/100)),MAX(0,Inputs!$B$44-((R3287-1)*Skills!D16))))/Inputs!$B$44),IF(Inputs!$B$39="pvp",MIN((Skills!Y16*(1+Inputs!$B$34/100)),15)/15,(Skills!Y16*(1+Inputs!$B$34/100))/Skills!D16)))</f>
        <v/>
      </c>
    </row>
    <row r="3313">
      <c r="A3313" t="inlineStr">
        <is>
          <t>Shadow Partner Average Multiplier</t>
        </is>
      </c>
      <c r="B3313">
        <f>1+((C3282=TRUE)*F3282*I3282*Skills!J11/100)/100</f>
        <v/>
      </c>
    </row>
    <row r="3314">
      <c r="A3314" t="inlineStr">
        <is>
          <t>Global Critical Damage Bonus % (Frailty Curse Mastery Lv.111)</t>
        </is>
      </c>
      <c r="B3314">
        <f>IF(Inputs!$B$3&gt;=111,30,0)*IF(AND(Inputs!$B$39&lt;&gt;"pvp",Inputs!$B$44&gt;0),(((R3287-1)*(Skills!Y16*(1+Inputs!$B$34/100))+MIN((Skills!Y16*(1+Inputs!$B$34/100)),MAX(0,Inputs!$B$44-((R3287-1)*Skills!D16))))/Inputs!$B$44),IF(Inputs!$B$39="pvp",MIN((Skills!Y16*(1+Inputs!$B$34/100)),15)/15,(Skills!Y16*(1+Inputs!$B$34/100))/Skills!D16))</f>
        <v/>
      </c>
    </row>
    <row r="3315">
      <c r="A3315" s="6" t="inlineStr">
        <is>
          <t>TOTAL DPS</t>
        </is>
      </c>
      <c r="B3315" s="6">
        <f>SUM(O3273:O3302)</f>
        <v/>
      </c>
    </row>
    <row r="3316">
      <c r="A3316" t="inlineStr">
        <is>
          <t>Buff-Casting Startup Delay (s, fixed-duration only)</t>
        </is>
      </c>
      <c r="B3316">
        <f>IF(AND(Inputs!$B$39&lt;&gt;"pvp",Inputs!$B$44&gt;0),SUMPRODUCT((Skills!Y2:Y31&gt;0)*(Skills!E2:E31=TRUE)*(C3273:C3302=TRUE))/B3307,0)</f>
        <v/>
      </c>
    </row>
    <row r="3317">
      <c r="A3317" t="inlineStr">
        <is>
          <t>Boss-Only Total DPS (this block's swept value)</t>
        </is>
      </c>
      <c r="B3317">
        <f>SUM(T3273:T3302)</f>
        <v/>
      </c>
    </row>
    <row r="3318">
      <c r="A3318" t="inlineStr">
        <is>
          <t>Normal-Only Total DPS (this block's swept value)</t>
        </is>
      </c>
      <c r="B3318">
        <f>SUM(V3273:V3302)</f>
        <v/>
      </c>
    </row>
    <row r="3320">
      <c r="A3320" s="6" t="inlineStr">
        <is>
          <t>Stat: CDR = 2.0s</t>
        </is>
      </c>
    </row>
    <row r="3321">
      <c r="A3321" s="5" t="inlineStr">
        <is>
          <t>Key</t>
        </is>
      </c>
      <c r="B3321" s="5" t="inlineStr">
        <is>
          <t>Name</t>
        </is>
      </c>
      <c r="C3321" s="5" t="inlineStr">
        <is>
          <t>Unlocked</t>
        </is>
      </c>
      <c r="D3321" s="5" t="inlineStr">
        <is>
          <t>InputLevel</t>
        </is>
      </c>
      <c r="E3321" s="5" t="inlineStr">
        <is>
          <t>Factor</t>
        </is>
      </c>
      <c r="F3321" s="5" t="inlineStr">
        <is>
          <t>CoefficientPercent</t>
        </is>
      </c>
      <c r="G3321" s="5" t="inlineStr">
        <is>
          <t>EffectiveHits</t>
        </is>
      </c>
      <c r="H3321" s="5" t="inlineStr">
        <is>
          <t>ProcProbability</t>
        </is>
      </c>
      <c r="I3321" s="5" t="inlineStr">
        <is>
          <t>MapleHeroMultiplier</t>
        </is>
      </c>
      <c r="J3321" s="5" t="inlineStr">
        <is>
          <t>BaseDamage</t>
        </is>
      </c>
      <c r="K3321" s="5" t="inlineStr">
        <is>
          <t>BaseHitDamage</t>
        </is>
      </c>
      <c r="L3321" s="5" t="inlineStr">
        <is>
          <t>NonCritAvg</t>
        </is>
      </c>
      <c r="M3321" s="5" t="inlineStr">
        <is>
          <t>CritAvg</t>
        </is>
      </c>
      <c r="N3321" s="5" t="inlineStr">
        <is>
          <t>ExpectedDamage(perHit)</t>
        </is>
      </c>
      <c r="O3321" s="5" t="inlineStr">
        <is>
          <t>DPS</t>
        </is>
      </c>
      <c r="P3321" s="5" t="inlineStr">
        <is>
          <t>% of Total</t>
        </is>
      </c>
      <c r="Q3321" s="5" t="inlineStr">
        <is>
          <t>InvCooldown</t>
        </is>
      </c>
      <c r="R3321" s="5" t="inlineStr">
        <is>
          <t>CastsInFight</t>
        </is>
      </c>
      <c r="S3321" s="5" t="inlineStr">
        <is>
          <t>HitRate(perSec)</t>
        </is>
      </c>
      <c r="U3321" t="inlineStr">
        <is>
          <t>helpers</t>
        </is>
      </c>
    </row>
    <row r="3322">
      <c r="A3322">
        <f>Skills!A2</f>
        <v/>
      </c>
      <c r="B3322">
        <f>Skills!B2</f>
        <v/>
      </c>
      <c r="C3322">
        <f>Inputs!$B$3&gt;=100</f>
        <v/>
      </c>
      <c r="D3322" t="inlineStr"/>
      <c r="E3322" t="inlineStr"/>
      <c r="F3322">
        <f>U3326+Skills!O2</f>
        <v/>
      </c>
      <c r="G3322">
        <f>Calc!G2</f>
        <v/>
      </c>
      <c r="H3322">
        <f>Calc!H2</f>
        <v/>
      </c>
      <c r="I3322">
        <f>IF(Skills!AA2&lt;&gt;"",1+(Skills!AA2/10)*(U3323/1000)/100,1)</f>
        <v/>
      </c>
      <c r="J3322">
        <f>((Inputs!$B$6*(1+Inputs!$B$7/100))+(((Inputs!$B$12*(1+Inputs!$B$13/100))-(Inputs!$B$12*(1+Inputs!$B$13/100)))+0.25*(Inputs!$B$14-Inputs!$B$14))*(1+Inputs!$B$7/100))*(F3322/100)</f>
        <v/>
      </c>
      <c r="K3322">
        <f>J3322*(1+((Inputs!$B$12*(1+Inputs!$B$13/100))*0.01+Inputs!$B$14*0.0025)/100)*(1+Inputs!$B$15/100)*(1+Inputs!$B$16/100)*(5000/(6000+Inputs!$B$43*(1-(100*(1-(1-(Inputs!$B$19+0)/100)*(1-CHOOSE(ArtifactsInput!$N$40+1,5,6,7,8,9,10)/100)^(ArtifactsInput!$M$40-ArtifactsInput!$M$40)))/100)))*(1+(Inputs!$B$24+((C3350=TRUE)*(F3350-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3343=TRUE)*(F3343-Calc!F23))+(((IF(AND(ArtifactsInput!$M$42,((Inputs!$B$9+((C3345=TRUE)*(F3345-Calc!F25))+B3360+(ArtifactsInput!$M$24-ArtifactsInput!$M$24)*CHOOSE(ArtifactsInput!$N$24+1,10,12,14,16,18,20)+IF(ArtifactsInput!$M$10,CHOOSE(ArtifactsInput!$N$10+1,15,18,21,24,27,30)*(IF(Inputs!$B$39="pvp",MIN(15,15)/15,IF(AND(Inputs!$B$39&lt;&gt;"pvp",Inputs!$B$44&gt;0),MIN(15,Inputs!$B$44)/(Inputs!$B$44),0))),0)))&gt;=100),MIN(100,((Inputs!$B$9+((C3345=TRUE)*(F3345-Calc!F25))+B3360+(ArtifactsInput!$M$24-ArtifactsInput!$M$24)*CHOOSE(ArtifactsInput!$N$24+1,10,12,14,16,18,20)+IF(ArtifactsInput!$M$10,CHOOSE(ArtifactsInput!$N$10+1,15,18,21,24,27,30)*(IF(Inputs!$B$39="pvp",MIN(15,15)/15,IF(AND(Inputs!$B$39&lt;&gt;"pvp",Inputs!$B$44&gt;0),MIN(15,Inputs!$B$44)/(Inputs!$B$44),0))),0)))-100),0))*CHOOSE(ArtifactsInput!$N$42+1,0.6,0.72,0.84,0.96,1.08,1.2))),Inputs!$B$18+((C3349=TRUE)*(F3349-Calc!F29))+(IF(AND(ArtifactsInput!$M$42,((Inputs!$B$9+((C3345=TRUE)*(F3345-Calc!F25))+B3360+(ArtifactsInput!$M$24-ArtifactsInput!$M$24)*CHOOSE(ArtifactsInput!$N$24+1,10,12,14,16,18,20)+IF(ArtifactsInput!$M$10,CHOOSE(ArtifactsInput!$N$10+1,15,18,21,24,27,30)*(IF(Inputs!$B$39="pvp",MIN(15,15)/15,IF(AND(Inputs!$B$39&lt;&gt;"pvp",Inputs!$B$44&gt;0),MIN(15,Inputs!$B$44)/(Inputs!$B$44),0))),0)))&gt;=100),CHOOSE(ArtifactsInput!$N$42+1,40,48,56,64,72,80),0))))/100)*(((1+(((C3341=TRUE)*F3341*IF(AND(Inputs!$B$39&lt;&gt;"pvp",Inputs!$B$44&gt;0),(((R3341-1)*(Skills!Y21*(1+Inputs!$B$34/100))+MIN((Skills!Y21*(1+Inputs!$B$34/100)),MAX(0,Inputs!$B$44-((R3341-1)*Skills!D21))))/Inputs!$B$44),IF(Inputs!$B$39="pvp",MIN((Skills!Y21*(1+Inputs!$B$34/100)),15)/15,(Skills!Y21*(1+Inputs!$B$34/100))/Skills!D21)))+((C3348=TRUE)*(F3348-Calc!F28))+((C3338=TRUE)*(F3338-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3335=TRUE)*F3335*IF(AND(Inputs!$B$39&lt;&gt;"pvp",Inputs!$B$44&gt;0),(((R3335-1)*(Skills!Y15*(1+Inputs!$B$34/100))+MIN((Skills!Y15*(1+Inputs!$B$34/100)),MAX(0,Inputs!$B$44-((R3335-1)*Skills!D15))))/Inputs!$B$44),IF(Inputs!$B$39="pvp",MIN((Skills!Y15*(1+Inputs!$B$34/100)),15)/15,(Skills!Y15*(1+Inputs!$B$34/100))/Skills!D15)))/100)*(1+((C3326=TRUE)*F3326*B3354)/100))*B3362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3322)</f>
        <v/>
      </c>
      <c r="L3322">
        <f>K3322*(MIN(Inputs!$B$22+((C3344=TRUE)*(F3344-Calc!F24)),(Inputs!$B$23+0+(IF(ArtifactsInput!$M$15,CHOOSE(ArtifactsInput!$N$15+1,25,30,35,40,45,50)/100*(Inputs!$B$11-Inputs!$B$11),0))))/100+(Inputs!$B$23+0+(IF(ArtifactsInput!$M$15,CHOOSE(ArtifactsInput!$N$15+1,25,30,35,40,45,50)/100*(Inputs!$B$11-Inputs!$B$11),0)))/100)/2</f>
        <v/>
      </c>
      <c r="M3322">
        <f>L3322*(1+(Inputs!$B$10+((C3346=TRUE)*(F3346-Calc!F26))+B3363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22">
        <f>L3322*(1-MIN((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3322*(MIN((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22">
        <f>(1-Summary!$B$11)*T3322+Summary!$B$11*V3322</f>
        <v/>
      </c>
      <c r="P3322">
        <f>IF(B3364=0,0,O3322/B3364)</f>
        <v/>
      </c>
      <c r="Q3322" t="n">
        <v>0</v>
      </c>
      <c r="R3322" t="n">
        <v>0</v>
      </c>
      <c r="S3322">
        <f>IFERROR(O3322/N3322,0)</f>
        <v/>
      </c>
      <c r="T3322">
        <f>IF(C3322,(Skills!G2*N3322*B3358)*IF(Inputs!$B$39="pvp",1,1+(Inputs!$B$20+((C3347=TRUE)*(F3347-Calc!F27))+Skills!P2+B3361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Hunt"),CHOOSE(ArtifactsInput!$N$35+1,15,18,21,24,27,30)*(1-EXP(-(0.2*B3356)*5)),0)+IF(AND(ArtifactsInput!$M$22,Inputs!$B$4&lt;&gt;"Chapter Hunt"),CHOOSE(ArtifactsInput!$N$22+1,10,12,14,16,18,20)*((0*(((0.15*B3356*5))^0/1)+1*(((0.15*B3356*5))^1/1)+2*(((0.15*B3356*5))^2/2)+3*(((0.15*B3356*5))^3/6)+4*(((0.15*B3356*5))^4/24)+5*(((0.15*B3356*5))^5/120))/((((0.15*B3356*5))^0/1)+(((0.15*B3356*5))^1/1)+(((0.15*B3356*5))^2/2)+(((0.15*B3356*5))^3/6)+(((0.15*B3356*5))^4/24)+(((0.15*B3356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3322*(1-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3322*(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3322*(1-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3322*(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322">
        <f>MAX(0,(Inputs!$B$3-100)*3)+Inputs!$B$28+Inputs!$B$29</f>
        <v/>
      </c>
      <c r="V3322">
        <f>IF(C3322,(Skills!G2*N3322*B3358)*IF(Inputs!$B$39="pvp",1,(1+(Inputs!$B$21+Skills!Q2+B3361+(IF(ArtifactsInput!$M$33,CHOOSE(ArtifactsInput!$N$33+1,30,36,42,48,54,60),0))+(IF(AND(ArtifactsInput!$M$35,Inputs!$B$4&lt;&gt;"Chapter Hunt"),CHOOSE(ArtifactsInput!$N$35+1,15,18,21,24,27,30)*(1-EXP(-(0.2*B3356)*5)),0)+IF(AND(ArtifactsInput!$M$22,Inputs!$B$4&lt;&gt;"Chapter Hunt"),CHOOSE(ArtifactsInput!$N$22+1,10,12,14,16,18,20)*((0*(((0.15*B3356*5))^0/1)+1*(((0.15*B3356*5))^1/1)+2*(((0.15*B3356*5))^2/2)+3*(((0.15*B3356*5))^3/6)+4*(((0.15*B3356*5))^4/24)+5*(((0.15*B3356*5))^5/120))/((((0.15*B3356*5))^0/1)+(((0.15*B3356*5))^1/1)+(((0.15*B3356*5))^2/2)+(((0.15*B3356*5))^3/6)+(((0.15*B3356*5))^4/24)+(((0.15*B3356*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23">
      <c r="A3323">
        <f>Skills!A3</f>
        <v/>
      </c>
      <c r="B3323">
        <f>Skills!B3</f>
        <v/>
      </c>
      <c r="C3323">
        <f>Inputs!$B$3&gt;=35</f>
        <v/>
      </c>
      <c r="D3323">
        <f>IF(Skills!C3=1,60+Inputs!$B$25+Inputs!$B$29,IF(Skills!C3=2,90+Inputs!$B$26+Inputs!$B$29,IF(Skills!C3=3,120+Inputs!$B$27+Inputs!$B$29,MAX(0,(Inputs!$B$3-100)*3)+Inputs!$B$28+Inputs!$B$29)))</f>
        <v/>
      </c>
      <c r="E3323">
        <f>INDEX(FactorTable!$B$2:$Y$301, MATCH(ROUND(MIN(300,MAX(1,D3323)),0), FactorTable!$A$2:$A$301,0), Skills!M3+1)</f>
        <v/>
      </c>
      <c r="F3323">
        <f>IF(Skills!N3=TRUE,(Skills!L3/10)*(E3323/1000),Skills!L3/10)+Skills!O3</f>
        <v/>
      </c>
      <c r="G3323">
        <f>Calc!G3</f>
        <v/>
      </c>
      <c r="H3323">
        <f>Calc!H3</f>
        <v/>
      </c>
      <c r="I3323">
        <f>IF(Skills!AA3&lt;&gt;"",1+(Skills!AA3/10)*(U3323/1000)/100,1)</f>
        <v/>
      </c>
      <c r="J3323">
        <f>((Inputs!$B$6*(1+Inputs!$B$7/100))+(((Inputs!$B$12*(1+Inputs!$B$13/100))-(Inputs!$B$12*(1+Inputs!$B$13/100)))+0.25*(Inputs!$B$14-Inputs!$B$14))*(1+Inputs!$B$7/100))*(F3323/100)</f>
        <v/>
      </c>
      <c r="K3323">
        <f>J3323*(1+((Inputs!$B$12*(1+Inputs!$B$13/100))*0.01+Inputs!$B$14*0.0025)/100)*(1+Inputs!$B$15/100)*(1+Inputs!$B$16/100)*(5000/(6000+Inputs!$B$43*(1-(100*(1-(1-(Inputs!$B$19+0)/100)*(1-CHOOSE(ArtifactsInput!$N$40+1,5,6,7,8,9,10)/100)^(ArtifactsInput!$M$40-ArtifactsInput!$M$40)))/100)))*(1+(Inputs!$B$24+((C3350=TRUE)*(F3350-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3343=TRUE)*(F3343-Calc!F23))+(((IF(AND(ArtifactsInput!$M$42,((Inputs!$B$9+((C3345=TRUE)*(F3345-Calc!F25))+B3360+(ArtifactsInput!$M$24-ArtifactsInput!$M$24)*CHOOSE(ArtifactsInput!$N$24+1,10,12,14,16,18,20)+IF(ArtifactsInput!$M$10,CHOOSE(ArtifactsInput!$N$10+1,15,18,21,24,27,30)*(IF(Inputs!$B$39="pvp",MIN(15,15)/15,IF(AND(Inputs!$B$39&lt;&gt;"pvp",Inputs!$B$44&gt;0),MIN(15,Inputs!$B$44)/(Inputs!$B$44),0))),0)))&gt;=100),MIN(100,((Inputs!$B$9+((C3345=TRUE)*(F3345-Calc!F25))+B3360+(ArtifactsInput!$M$24-ArtifactsInput!$M$24)*CHOOSE(ArtifactsInput!$N$24+1,10,12,14,16,18,20)+IF(ArtifactsInput!$M$10,CHOOSE(ArtifactsInput!$N$10+1,15,18,21,24,27,30)*(IF(Inputs!$B$39="pvp",MIN(15,15)/15,IF(AND(Inputs!$B$39&lt;&gt;"pvp",Inputs!$B$44&gt;0),MIN(15,Inputs!$B$44)/(Inputs!$B$44),0))),0)))-100),0))*CHOOSE(ArtifactsInput!$N$42+1,0.6,0.72,0.84,0.96,1.08,1.2))),Inputs!$B$18+((C3349=TRUE)*(F3349-Calc!F29))+(IF(AND(ArtifactsInput!$M$42,((Inputs!$B$9+((C3345=TRUE)*(F3345-Calc!F25))+B3360+(ArtifactsInput!$M$24-ArtifactsInput!$M$24)*CHOOSE(ArtifactsInput!$N$24+1,10,12,14,16,18,20)+IF(ArtifactsInput!$M$10,CHOOSE(ArtifactsInput!$N$10+1,15,18,21,24,27,30)*(IF(Inputs!$B$39="pvp",MIN(15,15)/15,IF(AND(Inputs!$B$39&lt;&gt;"pvp",Inputs!$B$44&gt;0),MIN(15,Inputs!$B$44)/(Inputs!$B$44),0))),0)))&gt;=100),CHOOSE(ArtifactsInput!$N$42+1,40,48,56,64,72,80),0))))/100)*(((1+(((C3341=TRUE)*F3341*IF(AND(Inputs!$B$39&lt;&gt;"pvp",Inputs!$B$44&gt;0),(((R3341-1)*(Skills!Y21*(1+Inputs!$B$34/100))+MIN((Skills!Y21*(1+Inputs!$B$34/100)),MAX(0,Inputs!$B$44-((R3341-1)*Skills!D21))))/Inputs!$B$44),IF(Inputs!$B$39="pvp",MIN((Skills!Y21*(1+Inputs!$B$34/100)),15)/15,(Skills!Y21*(1+Inputs!$B$34/100))/Skills!D21)))+((C3348=TRUE)*(F3348-Calc!F28))+((C3338=TRUE)*(F3338-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3335=TRUE)*F3335*IF(AND(Inputs!$B$39&lt;&gt;"pvp",Inputs!$B$44&gt;0),(((R3335-1)*(Skills!Y15*(1+Inputs!$B$34/100))+MIN((Skills!Y15*(1+Inputs!$B$34/100)),MAX(0,Inputs!$B$44-((R3335-1)*Skills!D15))))/Inputs!$B$44),IF(Inputs!$B$39="pvp",MIN((Skills!Y15*(1+Inputs!$B$34/100)),15)/15,(Skills!Y15*(1+Inputs!$B$34/100))/Skills!D15)))/100)*(1+((C3326=TRUE)*F3326*B3354)/100))*B3362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3323)</f>
        <v/>
      </c>
      <c r="L3323">
        <f>K3323*(MIN(Inputs!$B$22+((C3344=TRUE)*(F3344-Calc!F24)),(Inputs!$B$23+0+(IF(ArtifactsInput!$M$15,CHOOSE(ArtifactsInput!$N$15+1,25,30,35,40,45,50)/100*(Inputs!$B$11-Inputs!$B$11),0))))/100+(Inputs!$B$23+0+(IF(ArtifactsInput!$M$15,CHOOSE(ArtifactsInput!$N$15+1,25,30,35,40,45,50)/100*(Inputs!$B$11-Inputs!$B$11),0)))/100)/2</f>
        <v/>
      </c>
      <c r="M3323">
        <f>L3323*(1+(Inputs!$B$10+((C3346=TRUE)*(F3346-Calc!F26))+B3363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23">
        <f>L3323*(1-MIN((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3323*(MIN((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23">
        <f>(1-Summary!$B$11)*T3323+Summary!$B$11*V3323</f>
        <v/>
      </c>
      <c r="P3323">
        <f>IF(B3364=0,0,O3323/B3364)</f>
        <v/>
      </c>
      <c r="Q3323">
        <f>IFERROR(1/IF(Inputs!$B$39="pvp",15,MAX(0.1,Skills!D3-IF(Skills!E3=TRUE,2.0,0))),0)</f>
        <v/>
      </c>
      <c r="R3323">
        <f>IF(AND(Inputs!$B$39&lt;&gt;"pvp",Inputs!$B$44&gt;0),IF(MAX(0,Inputs!$B$44-B3365)&lt;=0,0,(INT(MAX(0,Inputs!$B$44-B3365)/IF(Inputs!$B$39="pvp",15,MAX(0.1,Skills!D3-IF(Skills!E3=TRUE,2.0,0))))+1)),0)</f>
        <v/>
      </c>
      <c r="S3323">
        <f>IFERROR(O3323/N3323,0)</f>
        <v/>
      </c>
      <c r="T3323">
        <f>IF(C3323,(H3323*N3323*IF(AND(Inputs!$B$39&lt;&gt;"pvp",Inputs!$B$44&gt;0),((Skills!G3*((R3323-1)*IF(Skills!H3&gt;0,Skills!I3/Skills!H3,1)+IF(Skills!H3&gt;0,MIN(Skills!I3,MAX(0,MAX(0,Inputs!$B$44-B3365)-((R3323-1)*IF(Inputs!$B$39="pvp",15,MAX(0.1,Skills!D3-IF(Skills!E3=TRUE,2.0,0))))))/Skills!H3,1)))/Inputs!$B$44),G3323*Q3323))*IF(Inputs!$B$39="pvp",1,1+(Inputs!$B$20+((C3347=TRUE)*(F3347-Calc!F27))+Skills!P3+B3361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Hunt"),CHOOSE(ArtifactsInput!$N$35+1,15,18,21,24,27,30)*(1-EXP(-(0.2*B3356)*5)),0)+IF(AND(ArtifactsInput!$M$22,Inputs!$B$4&lt;&gt;"Chapter Hunt"),CHOOSE(ArtifactsInput!$N$22+1,10,12,14,16,18,20)*((0*(((0.15*B3356*5))^0/1)+1*(((0.15*B3356*5))^1/1)+2*(((0.15*B3356*5))^2/2)+3*(((0.15*B3356*5))^3/6)+4*(((0.15*B3356*5))^4/24)+5*(((0.15*B3356*5))^5/120))/((((0.15*B3356*5))^0/1)+(((0.15*B3356*5))^1/1)+(((0.15*B3356*5))^2/2)+(((0.15*B3356*5))^3/6)+(((0.15*B3356*5))^4/24)+(((0.15*B3356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3323*(1-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3323*(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3323*(1-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3323*(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323">
        <f>INDEX(FactorTable!$B$2:$Y$301, MATCH(ROUND(MIN(300,MAX(1,U3322)),0), FactorTable!$A$2:$A$301,0), 24)</f>
        <v/>
      </c>
      <c r="V3323">
        <f>IF(C3323,(H3323*N3323*IF(AND(Inputs!$B$39&lt;&gt;"pvp",Inputs!$B$44&gt;0),((Skills!G3*((R3323-1)*IF(Skills!H3&gt;0,Skills!I3/Skills!H3,1)+IF(Skills!H3&gt;0,MIN(Skills!I3,MAX(0,MAX(0,Inputs!$B$44-B3365)-((R3323-1)*IF(Inputs!$B$39="pvp",15,MAX(0.1,Skills!D3-IF(Skills!E3=TRUE,2.0,0))))))/Skills!H3,1)))/Inputs!$B$44),G3323*Q3323))*IF(Inputs!$B$39="pvp",1,(1+(Inputs!$B$21+Skills!Q3+B3361+(IF(ArtifactsInput!$M$33,CHOOSE(ArtifactsInput!$N$33+1,30,36,42,48,54,60),0))+(IF(AND(ArtifactsInput!$M$35,Inputs!$B$4&lt;&gt;"Chapter Hunt"),CHOOSE(ArtifactsInput!$N$35+1,15,18,21,24,27,30)*(1-EXP(-(0.2*B3356)*5)),0)+IF(AND(ArtifactsInput!$M$22,Inputs!$B$4&lt;&gt;"Chapter Hunt"),CHOOSE(ArtifactsInput!$N$22+1,10,12,14,16,18,20)*((0*(((0.15*B3356*5))^0/1)+1*(((0.15*B3356*5))^1/1)+2*(((0.15*B3356*5))^2/2)+3*(((0.15*B3356*5))^3/6)+4*(((0.15*B3356*5))^4/24)+5*(((0.15*B3356*5))^5/120))/((((0.15*B3356*5))^0/1)+(((0.15*B3356*5))^1/1)+(((0.15*B3356*5))^2/2)+(((0.15*B3356*5))^3/6)+(((0.15*B3356*5))^4/24)+(((0.15*B3356*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24">
      <c r="A3324">
        <f>Skills!A4</f>
        <v/>
      </c>
      <c r="B3324">
        <f>Skills!B4</f>
        <v/>
      </c>
      <c r="C3324">
        <f>Inputs!$B$3&gt;=40</f>
        <v/>
      </c>
      <c r="D3324">
        <f>IF(Skills!C4=1,60+Inputs!$B$25+Inputs!$B$29,IF(Skills!C4=2,90+Inputs!$B$26+Inputs!$B$29,IF(Skills!C4=3,120+Inputs!$B$27+Inputs!$B$29,MAX(0,(Inputs!$B$3-100)*3)+Inputs!$B$28+Inputs!$B$29)))</f>
        <v/>
      </c>
      <c r="E3324">
        <f>INDEX(FactorTable!$B$2:$Y$301, MATCH(ROUND(MIN(300,MAX(1,D3324)),0), FactorTable!$A$2:$A$301,0), Skills!M4+1)</f>
        <v/>
      </c>
      <c r="F3324">
        <f>IF(Skills!N4=TRUE,(Skills!L4/10)*(E3324/1000),Skills!L4/10)+Skills!O4</f>
        <v/>
      </c>
      <c r="G3324">
        <f>Calc!G4</f>
        <v/>
      </c>
      <c r="H3324">
        <f>Calc!H4</f>
        <v/>
      </c>
      <c r="I3324">
        <f>IF(Skills!AA4&lt;&gt;"",1+(Skills!AA4/10)*(U3323/1000)/100,1)</f>
        <v/>
      </c>
      <c r="J3324">
        <f>((Inputs!$B$6*(1+Inputs!$B$7/100))+(((Inputs!$B$12*(1+Inputs!$B$13/100))-(Inputs!$B$12*(1+Inputs!$B$13/100)))+0.25*(Inputs!$B$14-Inputs!$B$14))*(1+Inputs!$B$7/100))*(F3324/100)</f>
        <v/>
      </c>
      <c r="K3324">
        <f>J3324*(1+((Inputs!$B$12*(1+Inputs!$B$13/100))*0.01+Inputs!$B$14*0.0025)/100)*(1+Inputs!$B$15/100)*(1+Inputs!$B$16/100)*(5000/(6000+Inputs!$B$43*(1-(100*(1-(1-(Inputs!$B$19+0)/100)*(1-CHOOSE(ArtifactsInput!$N$40+1,5,6,7,8,9,10)/100)^(ArtifactsInput!$M$40-ArtifactsInput!$M$40)))/100)))*(1+(Inputs!$B$24+((C3350=TRUE)*(F3350-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3343=TRUE)*(F3343-Calc!F23))+(((IF(AND(ArtifactsInput!$M$42,((Inputs!$B$9+((C3345=TRUE)*(F3345-Calc!F25))+B3360+(ArtifactsInput!$M$24-ArtifactsInput!$M$24)*CHOOSE(ArtifactsInput!$N$24+1,10,12,14,16,18,20)+IF(ArtifactsInput!$M$10,CHOOSE(ArtifactsInput!$N$10+1,15,18,21,24,27,30)*(IF(Inputs!$B$39="pvp",MIN(15,15)/15,IF(AND(Inputs!$B$39&lt;&gt;"pvp",Inputs!$B$44&gt;0),MIN(15,Inputs!$B$44)/(Inputs!$B$44),0))),0)))&gt;=100),MIN(100,((Inputs!$B$9+((C3345=TRUE)*(F3345-Calc!F25))+B3360+(ArtifactsInput!$M$24-ArtifactsInput!$M$24)*CHOOSE(ArtifactsInput!$N$24+1,10,12,14,16,18,20)+IF(ArtifactsInput!$M$10,CHOOSE(ArtifactsInput!$N$10+1,15,18,21,24,27,30)*(IF(Inputs!$B$39="pvp",MIN(15,15)/15,IF(AND(Inputs!$B$39&lt;&gt;"pvp",Inputs!$B$44&gt;0),MIN(15,Inputs!$B$44)/(Inputs!$B$44),0))),0)))-100),0))*CHOOSE(ArtifactsInput!$N$42+1,0.6,0.72,0.84,0.96,1.08,1.2))),Inputs!$B$18+((C3349=TRUE)*(F3349-Calc!F29))+(IF(AND(ArtifactsInput!$M$42,((Inputs!$B$9+((C3345=TRUE)*(F3345-Calc!F25))+B3360+(ArtifactsInput!$M$24-ArtifactsInput!$M$24)*CHOOSE(ArtifactsInput!$N$24+1,10,12,14,16,18,20)+IF(ArtifactsInput!$M$10,CHOOSE(ArtifactsInput!$N$10+1,15,18,21,24,27,30)*(IF(Inputs!$B$39="pvp",MIN(15,15)/15,IF(AND(Inputs!$B$39&lt;&gt;"pvp",Inputs!$B$44&gt;0),MIN(15,Inputs!$B$44)/(Inputs!$B$44),0))),0)))&gt;=100),CHOOSE(ArtifactsInput!$N$42+1,40,48,56,64,72,80),0))))/100)*(((1+(((C3341=TRUE)*F3341*IF(AND(Inputs!$B$39&lt;&gt;"pvp",Inputs!$B$44&gt;0),(((R3341-1)*(Skills!Y21*(1+Inputs!$B$34/100))+MIN((Skills!Y21*(1+Inputs!$B$34/100)),MAX(0,Inputs!$B$44-((R3341-1)*Skills!D21))))/Inputs!$B$44),IF(Inputs!$B$39="pvp",MIN((Skills!Y21*(1+Inputs!$B$34/100)),15)/15,(Skills!Y21*(1+Inputs!$B$34/100))/Skills!D21)))+((C3348=TRUE)*(F3348-Calc!F28))+((C3338=TRUE)*(F3338-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3335=TRUE)*F3335*IF(AND(Inputs!$B$39&lt;&gt;"pvp",Inputs!$B$44&gt;0),(((R3335-1)*(Skills!Y15*(1+Inputs!$B$34/100))+MIN((Skills!Y15*(1+Inputs!$B$34/100)),MAX(0,Inputs!$B$44-((R3335-1)*Skills!D15))))/Inputs!$B$44),IF(Inputs!$B$39="pvp",MIN((Skills!Y15*(1+Inputs!$B$34/100)),15)/15,(Skills!Y15*(1+Inputs!$B$34/100))/Skills!D15)))/100)*(1+((C3326=TRUE)*F3326*B3354)/100))*B3362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3324)</f>
        <v/>
      </c>
      <c r="L3324">
        <f>K3324*(MIN(Inputs!$B$22+((C3344=TRUE)*(F3344-Calc!F24)),(Inputs!$B$23+0+(IF(ArtifactsInput!$M$15,CHOOSE(ArtifactsInput!$N$15+1,25,30,35,40,45,50)/100*(Inputs!$B$11-Inputs!$B$11),0))))/100+(Inputs!$B$23+0+(IF(ArtifactsInput!$M$15,CHOOSE(ArtifactsInput!$N$15+1,25,30,35,40,45,50)/100*(Inputs!$B$11-Inputs!$B$11),0)))/100)/2</f>
        <v/>
      </c>
      <c r="M3324">
        <f>L3324*(1+(Inputs!$B$10+((C3346=TRUE)*(F3346-Calc!F26))+B3363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24">
        <f>L3324*(1-MIN((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3324*(MIN((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24">
        <f>(1-Summary!$B$11)*T3324+Summary!$B$11*V3324</f>
        <v/>
      </c>
      <c r="P3324">
        <f>IF(B3364=0,0,O3324/B3364)</f>
        <v/>
      </c>
      <c r="Q3324">
        <f>IFERROR(1/IF(Inputs!$B$39="pvp",15,MAX(0.1,Skills!D4-IF(Skills!E4=TRUE,2.0,0))),0)</f>
        <v/>
      </c>
      <c r="R3324">
        <f>IF(AND(Inputs!$B$39&lt;&gt;"pvp",Inputs!$B$44&gt;0),IF(MAX(0,Inputs!$B$44-B3365)&lt;=0,0,(INT(MAX(0,Inputs!$B$44-B3365)/IF(Inputs!$B$39="pvp",15,MAX(0.1,Skills!D4-IF(Skills!E4=TRUE,2.0,0))))+1)),0)</f>
        <v/>
      </c>
      <c r="S3324">
        <f>IFERROR(O3324/N3324,0)</f>
        <v/>
      </c>
      <c r="T3324">
        <f>IF(C3324,(H3324*N3324*IF(AND(Inputs!$B$39&lt;&gt;"pvp",Inputs!$B$44&gt;0),((Skills!G4*((R3324-1)*IF(Skills!H4&gt;0,Skills!I4/Skills!H4,1)+IF(Skills!H4&gt;0,MIN(Skills!I4,MAX(0,MAX(0,Inputs!$B$44-B3365)-((R3324-1)*IF(Inputs!$B$39="pvp",15,MAX(0.1,Skills!D4-IF(Skills!E4=TRUE,2.0,0))))))/Skills!H4,1)))/Inputs!$B$44),G3324*Q3324))*IF(Inputs!$B$39="pvp",1,1+(Inputs!$B$20+((C3347=TRUE)*(F3347-Calc!F27))+Skills!P4+B3361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Hunt"),CHOOSE(ArtifactsInput!$N$35+1,15,18,21,24,27,30)*(1-EXP(-(0.2*B3356)*5)),0)+IF(AND(ArtifactsInput!$M$22,Inputs!$B$4&lt;&gt;"Chapter Hunt"),CHOOSE(ArtifactsInput!$N$22+1,10,12,14,16,18,20)*((0*(((0.15*B3356*5))^0/1)+1*(((0.15*B3356*5))^1/1)+2*(((0.15*B3356*5))^2/2)+3*(((0.15*B3356*5))^3/6)+4*(((0.15*B3356*5))^4/24)+5*(((0.15*B3356*5))^5/120))/((((0.15*B3356*5))^0/1)+(((0.15*B3356*5))^1/1)+(((0.15*B3356*5))^2/2)+(((0.15*B3356*5))^3/6)+(((0.15*B3356*5))^4/24)+(((0.15*B3356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3324*(1-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3324*(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3324*(1-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3324*(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324">
        <f>MAX(0,(Inputs!$B$3-100)*3)+Inputs!$B$28+Inputs!$B$29</f>
        <v/>
      </c>
      <c r="V3324">
        <f>IF(C3324,(H3324*N3324*IF(AND(Inputs!$B$39&lt;&gt;"pvp",Inputs!$B$44&gt;0),((Skills!G4*((R3324-1)*IF(Skills!H4&gt;0,Skills!I4/Skills!H4,1)+IF(Skills!H4&gt;0,MIN(Skills!I4,MAX(0,MAX(0,Inputs!$B$44-B3365)-((R3324-1)*IF(Inputs!$B$39="pvp",15,MAX(0.1,Skills!D4-IF(Skills!E4=TRUE,2.0,0))))))/Skills!H4,1)))/Inputs!$B$44),G3324*Q3324))*IF(Inputs!$B$39="pvp",1,(1+(Inputs!$B$21+Skills!Q4+B3361+(IF(ArtifactsInput!$M$33,CHOOSE(ArtifactsInput!$N$33+1,30,36,42,48,54,60),0))+(IF(AND(ArtifactsInput!$M$35,Inputs!$B$4&lt;&gt;"Chapter Hunt"),CHOOSE(ArtifactsInput!$N$35+1,15,18,21,24,27,30)*(1-EXP(-(0.2*B3356)*5)),0)+IF(AND(ArtifactsInput!$M$22,Inputs!$B$4&lt;&gt;"Chapter Hunt"),CHOOSE(ArtifactsInput!$N$22+1,10,12,14,16,18,20)*((0*(((0.15*B3356*5))^0/1)+1*(((0.15*B3356*5))^1/1)+2*(((0.15*B3356*5))^2/2)+3*(((0.15*B3356*5))^3/6)+4*(((0.15*B3356*5))^4/24)+5*(((0.15*B3356*5))^5/120))/((((0.15*B3356*5))^0/1)+(((0.15*B3356*5))^1/1)+(((0.15*B3356*5))^2/2)+(((0.15*B3356*5))^3/6)+(((0.15*B3356*5))^4/24)+(((0.15*B3356*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25">
      <c r="A3325">
        <f>Skills!A5</f>
        <v/>
      </c>
      <c r="B3325">
        <f>Skills!B5</f>
        <v/>
      </c>
      <c r="C3325">
        <f>Inputs!$B$3&gt;=63</f>
        <v/>
      </c>
      <c r="D3325">
        <f>IF(Skills!C5=1,60+Inputs!$B$25+Inputs!$B$29,IF(Skills!C5=2,90+Inputs!$B$26+Inputs!$B$29,IF(Skills!C5=3,120+Inputs!$B$27+Inputs!$B$29,MAX(0,(Inputs!$B$3-100)*3)+Inputs!$B$28+Inputs!$B$29)))</f>
        <v/>
      </c>
      <c r="E3325">
        <f>INDEX(FactorTable!$B$2:$Y$301, MATCH(ROUND(MIN(300,MAX(1,D3325)),0), FactorTable!$A$2:$A$301,0), Skills!M5+1)</f>
        <v/>
      </c>
      <c r="F3325">
        <f>IF(Skills!N5=TRUE,(Skills!L5/10)*(E3325/1000),Skills!L5/10)+Skills!O5</f>
        <v/>
      </c>
      <c r="G3325">
        <f>Calc!G5</f>
        <v/>
      </c>
      <c r="H3325">
        <f>Calc!H5</f>
        <v/>
      </c>
      <c r="I3325">
        <f>IF(Skills!AA5&lt;&gt;"",1+(Skills!AA5/10)*(U3323/1000)/100,1)</f>
        <v/>
      </c>
      <c r="J3325">
        <f>((Inputs!$B$6*(1+Inputs!$B$7/100))+(((Inputs!$B$12*(1+Inputs!$B$13/100))-(Inputs!$B$12*(1+Inputs!$B$13/100)))+0.25*(Inputs!$B$14-Inputs!$B$14))*(1+Inputs!$B$7/100))*(F3325/100)</f>
        <v/>
      </c>
      <c r="K3325">
        <f>J3325*(1+((Inputs!$B$12*(1+Inputs!$B$13/100))*0.01+Inputs!$B$14*0.0025)/100)*(1+Inputs!$B$15/100)*(1+Inputs!$B$16/100)*(5000/(6000+Inputs!$B$43*(1-(100*(1-(1-(Inputs!$B$19+0)/100)*(1-CHOOSE(ArtifactsInput!$N$40+1,5,6,7,8,9,10)/100)^(ArtifactsInput!$M$40-ArtifactsInput!$M$40)))/100)))*(1+(Inputs!$B$24+((C3350=TRUE)*(F3350-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3343=TRUE)*(F3343-Calc!F23))+(((IF(AND(ArtifactsInput!$M$42,((Inputs!$B$9+((C3345=TRUE)*(F3345-Calc!F25))+B3360+(ArtifactsInput!$M$24-ArtifactsInput!$M$24)*CHOOSE(ArtifactsInput!$N$24+1,10,12,14,16,18,20)+IF(ArtifactsInput!$M$10,CHOOSE(ArtifactsInput!$N$10+1,15,18,21,24,27,30)*(IF(Inputs!$B$39="pvp",MIN(15,15)/15,IF(AND(Inputs!$B$39&lt;&gt;"pvp",Inputs!$B$44&gt;0),MIN(15,Inputs!$B$44)/(Inputs!$B$44),0))),0)))&gt;=100),MIN(100,((Inputs!$B$9+((C3345=TRUE)*(F3345-Calc!F25))+B3360+(ArtifactsInput!$M$24-ArtifactsInput!$M$24)*CHOOSE(ArtifactsInput!$N$24+1,10,12,14,16,18,20)+IF(ArtifactsInput!$M$10,CHOOSE(ArtifactsInput!$N$10+1,15,18,21,24,27,30)*(IF(Inputs!$B$39="pvp",MIN(15,15)/15,IF(AND(Inputs!$B$39&lt;&gt;"pvp",Inputs!$B$44&gt;0),MIN(15,Inputs!$B$44)/(Inputs!$B$44),0))),0)))-100),0))*CHOOSE(ArtifactsInput!$N$42+1,0.6,0.72,0.84,0.96,1.08,1.2))),Inputs!$B$18+((C3349=TRUE)*(F3349-Calc!F29))+(IF(AND(ArtifactsInput!$M$42,((Inputs!$B$9+((C3345=TRUE)*(F3345-Calc!F25))+B3360+(ArtifactsInput!$M$24-ArtifactsInput!$M$24)*CHOOSE(ArtifactsInput!$N$24+1,10,12,14,16,18,20)+IF(ArtifactsInput!$M$10,CHOOSE(ArtifactsInput!$N$10+1,15,18,21,24,27,30)*(IF(Inputs!$B$39="pvp",MIN(15,15)/15,IF(AND(Inputs!$B$39&lt;&gt;"pvp",Inputs!$B$44&gt;0),MIN(15,Inputs!$B$44)/(Inputs!$B$44),0))),0)))&gt;=100),CHOOSE(ArtifactsInput!$N$42+1,40,48,56,64,72,80),0))))/100)*(((1+(((C3341=TRUE)*F3341*IF(AND(Inputs!$B$39&lt;&gt;"pvp",Inputs!$B$44&gt;0),(((R3341-1)*(Skills!Y21*(1+Inputs!$B$34/100))+MIN((Skills!Y21*(1+Inputs!$B$34/100)),MAX(0,Inputs!$B$44-((R3341-1)*Skills!D21))))/Inputs!$B$44),IF(Inputs!$B$39="pvp",MIN((Skills!Y21*(1+Inputs!$B$34/100)),15)/15,(Skills!Y21*(1+Inputs!$B$34/100))/Skills!D21)))+((C3348=TRUE)*(F3348-Calc!F28))+((C3338=TRUE)*(F3338-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3335=TRUE)*F3335*IF(AND(Inputs!$B$39&lt;&gt;"pvp",Inputs!$B$44&gt;0),(((R3335-1)*(Skills!Y15*(1+Inputs!$B$34/100))+MIN((Skills!Y15*(1+Inputs!$B$34/100)),MAX(0,Inputs!$B$44-((R3335-1)*Skills!D15))))/Inputs!$B$44),IF(Inputs!$B$39="pvp",MIN((Skills!Y15*(1+Inputs!$B$34/100)),15)/15,(Skills!Y15*(1+Inputs!$B$34/100))/Skills!D15)))/100)*(1+((C3326=TRUE)*F3326*B3354)/100))*B3362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3325)</f>
        <v/>
      </c>
      <c r="L3325">
        <f>K3325*(MIN(Inputs!$B$22+((C3344=TRUE)*(F3344-Calc!F24)),(Inputs!$B$23+0+(IF(ArtifactsInput!$M$15,CHOOSE(ArtifactsInput!$N$15+1,25,30,35,40,45,50)/100*(Inputs!$B$11-Inputs!$B$11),0))))/100+(Inputs!$B$23+0+(IF(ArtifactsInput!$M$15,CHOOSE(ArtifactsInput!$N$15+1,25,30,35,40,45,50)/100*(Inputs!$B$11-Inputs!$B$11),0)))/100)/2</f>
        <v/>
      </c>
      <c r="M3325">
        <f>L3325*(1+(Inputs!$B$10+((C3346=TRUE)*(F3346-Calc!F26))+B3363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25">
        <f>L3325*(1-MIN((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3325*(MIN((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25">
        <f>(1-Summary!$B$11)*T3325+Summary!$B$11*V3325</f>
        <v/>
      </c>
      <c r="P3325">
        <f>IF(B3364=0,0,O3325/B3364)</f>
        <v/>
      </c>
      <c r="Q3325">
        <f>IFERROR(1/IF(Inputs!$B$39="pvp",15,MAX(0.1,Skills!D5-IF(Skills!E5=TRUE,2.0,0))),0)</f>
        <v/>
      </c>
      <c r="R3325">
        <f>IF(AND(Inputs!$B$39&lt;&gt;"pvp",Inputs!$B$44&gt;0),IF(MAX(0,Inputs!$B$44-B3365)&lt;=0,0,(INT(MAX(0,Inputs!$B$44-B3365)/IF(Inputs!$B$39="pvp",15,MAX(0.1,Skills!D5-IF(Skills!E5=TRUE,2.0,0))))+1)),0)</f>
        <v/>
      </c>
      <c r="S3325">
        <f>IFERROR(O3325/N3325,0)</f>
        <v/>
      </c>
      <c r="T3325">
        <f>IF(C3325,(H3325*N3325*IF(AND(Inputs!$B$39&lt;&gt;"pvp",Inputs!$B$44&gt;0),((Skills!G5*((R3325-1)*IF(Skills!H5&gt;0,Skills!I5/Skills!H5,1)+IF(Skills!H5&gt;0,MIN(Skills!I5,MAX(0,MAX(0,Inputs!$B$44-B3365)-((R3325-1)*IF(Inputs!$B$39="pvp",15,MAX(0.1,Skills!D5-IF(Skills!E5=TRUE,2.0,0))))))/Skills!H5,1)))/Inputs!$B$44),G3325*Q3325))*IF(Inputs!$B$39="pvp",1,1+(Inputs!$B$20+((C3347=TRUE)*(F3347-Calc!F27))+Skills!P5+B3361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Hunt"),CHOOSE(ArtifactsInput!$N$35+1,15,18,21,24,27,30)*(1-EXP(-(0.2*B3356)*5)),0)+IF(AND(ArtifactsInput!$M$22,Inputs!$B$4&lt;&gt;"Chapter Hunt"),CHOOSE(ArtifactsInput!$N$22+1,10,12,14,16,18,20)*((0*(((0.15*B3356*5))^0/1)+1*(((0.15*B3356*5))^1/1)+2*(((0.15*B3356*5))^2/2)+3*(((0.15*B3356*5))^3/6)+4*(((0.15*B3356*5))^4/24)+5*(((0.15*B3356*5))^5/120))/((((0.15*B3356*5))^0/1)+(((0.15*B3356*5))^1/1)+(((0.15*B3356*5))^2/2)+(((0.15*B3356*5))^3/6)+(((0.15*B3356*5))^4/24)+(((0.15*B3356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3325*(1-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3325*(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3325*(1-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3325*(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325">
        <f>INDEX(FactorTable!$B$2:$Y$301, MATCH(ROUND(MIN(300,MAX(1,U3324)),0), FactorTable!$A$2:$A$301,0), 22)</f>
        <v/>
      </c>
      <c r="V3325">
        <f>IF(C3325,(H3325*N3325*IF(AND(Inputs!$B$39&lt;&gt;"pvp",Inputs!$B$44&gt;0),((Skills!G5*((R3325-1)*IF(Skills!H5&gt;0,Skills!I5/Skills!H5,1)+IF(Skills!H5&gt;0,MIN(Skills!I5,MAX(0,MAX(0,Inputs!$B$44-B3365)-((R3325-1)*IF(Inputs!$B$39="pvp",15,MAX(0.1,Skills!D5-IF(Skills!E5=TRUE,2.0,0))))))/Skills!H5,1)))/Inputs!$B$44),G3325*Q3325))*IF(Inputs!$B$39="pvp",1,(1+(Inputs!$B$21+Skills!Q5+B3361+(IF(ArtifactsInput!$M$33,CHOOSE(ArtifactsInput!$N$33+1,30,36,42,48,54,60),0))+(IF(AND(ArtifactsInput!$M$35,Inputs!$B$4&lt;&gt;"Chapter Hunt"),CHOOSE(ArtifactsInput!$N$35+1,15,18,21,24,27,30)*(1-EXP(-(0.2*B3356)*5)),0)+IF(AND(ArtifactsInput!$M$22,Inputs!$B$4&lt;&gt;"Chapter Hunt"),CHOOSE(ArtifactsInput!$N$22+1,10,12,14,16,18,20)*((0*(((0.15*B3356*5))^0/1)+1*(((0.15*B3356*5))^1/1)+2*(((0.15*B3356*5))^2/2)+3*(((0.15*B3356*5))^3/6)+4*(((0.15*B3356*5))^4/24)+5*(((0.15*B3356*5))^5/120))/((((0.15*B3356*5))^0/1)+(((0.15*B3356*5))^1/1)+(((0.15*B3356*5))^2/2)+(((0.15*B3356*5))^3/6)+(((0.15*B3356*5))^4/24)+(((0.15*B3356*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26">
      <c r="A3326">
        <f>Skills!A6</f>
        <v/>
      </c>
      <c r="B3326">
        <f>Skills!B6</f>
        <v/>
      </c>
      <c r="C3326">
        <f>Inputs!$B$3&gt;=66</f>
        <v/>
      </c>
      <c r="D3326">
        <f>IF(Skills!C6=1,60+Inputs!$B$25+Inputs!$B$29,IF(Skills!C6=2,90+Inputs!$B$26+Inputs!$B$29,IF(Skills!C6=3,120+Inputs!$B$27+Inputs!$B$29,MAX(0,(Inputs!$B$3-100)*3)+Inputs!$B$28+Inputs!$B$29)))</f>
        <v/>
      </c>
      <c r="E3326">
        <f>INDEX(FactorTable!$B$2:$Y$301, MATCH(ROUND(MIN(300,MAX(1,D3326)),0), FactorTable!$A$2:$A$301,0), Skills!M6+1)</f>
        <v/>
      </c>
      <c r="F3326">
        <f>IF(Skills!N6=TRUE,(Skills!L6/10)*(E3326/1000),Skills!L6/10)+Skills!O6</f>
        <v/>
      </c>
      <c r="G3326">
        <f>Calc!G6</f>
        <v/>
      </c>
      <c r="H3326">
        <f>Calc!H6</f>
        <v/>
      </c>
      <c r="I3326">
        <f>IF(Skills!AA6&lt;&gt;"",1+(Skills!AA6/10)*(U3323/1000)/100,1)</f>
        <v/>
      </c>
      <c r="J3326" t="inlineStr"/>
      <c r="K3326" t="inlineStr"/>
      <c r="L3326" t="inlineStr"/>
      <c r="M3326" t="inlineStr"/>
      <c r="N3326" t="inlineStr"/>
      <c r="O3326">
        <f>(1-Summary!$B$11)*T3326+Summary!$B$11*V3326</f>
        <v/>
      </c>
      <c r="P3326">
        <f>IF(B3364=0,0,O3326/B3364)</f>
        <v/>
      </c>
      <c r="Q3326" t="n">
        <v>0</v>
      </c>
      <c r="R3326" t="n">
        <v>0</v>
      </c>
      <c r="S3326">
        <f>IFERROR(O3326/N3326,0)</f>
        <v/>
      </c>
      <c r="T3326" t="n">
        <v>0</v>
      </c>
      <c r="U3326">
        <f>290*U3325/1000</f>
        <v/>
      </c>
      <c r="V3326" t="n">
        <v>0</v>
      </c>
    </row>
    <row r="3327">
      <c r="A3327">
        <f>Skills!A7</f>
        <v/>
      </c>
      <c r="B3327">
        <f>Skills!B7</f>
        <v/>
      </c>
      <c r="C3327">
        <f>Inputs!$B$3&gt;=66</f>
        <v/>
      </c>
      <c r="D3327">
        <f>IF(Skills!C7=1,60+Inputs!$B$25+Inputs!$B$29,IF(Skills!C7=2,90+Inputs!$B$26+Inputs!$B$29,IF(Skills!C7=3,120+Inputs!$B$27+Inputs!$B$29,MAX(0,(Inputs!$B$3-100)*3)+Inputs!$B$28+Inputs!$B$29)))</f>
        <v/>
      </c>
      <c r="E3327">
        <f>INDEX(FactorTable!$B$2:$Y$301, MATCH(ROUND(MIN(300,MAX(1,D3327)),0), FactorTable!$A$2:$A$301,0), Skills!M7+1)</f>
        <v/>
      </c>
      <c r="F3327">
        <f>IF(Skills!N7=TRUE,(Skills!L7/10)*(E3327/1000),Skills!L7/10)+Skills!O7</f>
        <v/>
      </c>
      <c r="G3327">
        <f>Calc!G7</f>
        <v/>
      </c>
      <c r="H3327">
        <f>Calc!H7</f>
        <v/>
      </c>
      <c r="I3327">
        <f>IF(Skills!AA7&lt;&gt;"",1+(Skills!AA7/10)*(U3323/1000)/100,1)</f>
        <v/>
      </c>
      <c r="J3327" t="inlineStr"/>
      <c r="K3327" t="inlineStr"/>
      <c r="L3327" t="inlineStr"/>
      <c r="M3327" t="inlineStr"/>
      <c r="N3327" t="inlineStr"/>
      <c r="O3327">
        <f>(1-Summary!$B$11)*T3327+Summary!$B$11*V3327</f>
        <v/>
      </c>
      <c r="P3327">
        <f>IF(B3364=0,0,O3327/B3364)</f>
        <v/>
      </c>
      <c r="Q3327" t="n">
        <v>0</v>
      </c>
      <c r="R3327" t="n">
        <v>0</v>
      </c>
      <c r="S3327">
        <f>IFERROR(O3327/N3327,0)</f>
        <v/>
      </c>
      <c r="T3327" t="n">
        <v>0</v>
      </c>
      <c r="V3327" t="n">
        <v>0</v>
      </c>
    </row>
    <row r="3328">
      <c r="A3328">
        <f>Skills!A8</f>
        <v/>
      </c>
      <c r="B3328">
        <f>Skills!B8</f>
        <v/>
      </c>
      <c r="C3328">
        <f>Inputs!$B$3&gt;=69</f>
        <v/>
      </c>
      <c r="D3328">
        <f>IF(Skills!C8=1,60+Inputs!$B$25+Inputs!$B$29,IF(Skills!C8=2,90+Inputs!$B$26+Inputs!$B$29,IF(Skills!C8=3,120+Inputs!$B$27+Inputs!$B$29,MAX(0,(Inputs!$B$3-100)*3)+Inputs!$B$28+Inputs!$B$29)))</f>
        <v/>
      </c>
      <c r="E3328">
        <f>INDEX(FactorTable!$B$2:$Y$301, MATCH(ROUND(MIN(300,MAX(1,D3328)),0), FactorTable!$A$2:$A$301,0), Skills!M8+1)</f>
        <v/>
      </c>
      <c r="F3328">
        <f>IF(Skills!N8=TRUE,(Skills!L8/10)*(E3328/1000),Skills!L8/10)+Skills!O8</f>
        <v/>
      </c>
      <c r="G3328">
        <f>Calc!G8</f>
        <v/>
      </c>
      <c r="H3328">
        <f>Calc!H8</f>
        <v/>
      </c>
      <c r="I3328">
        <f>IF(Skills!AA8&lt;&gt;"",1+(Skills!AA8/10)*(U3323/1000)/100,1)</f>
        <v/>
      </c>
      <c r="J3328">
        <f>((Inputs!$B$6*(1+Inputs!$B$7/100))+(((Inputs!$B$12*(1+Inputs!$B$13/100))-(Inputs!$B$12*(1+Inputs!$B$13/100)))+0.25*(Inputs!$B$14-Inputs!$B$14))*(1+Inputs!$B$7/100))*(F3328/100)</f>
        <v/>
      </c>
      <c r="K3328">
        <f>J3328*(1+((Inputs!$B$12*(1+Inputs!$B$13/100))*0.01+Inputs!$B$14*0.0025)/100)*(1+Inputs!$B$15/100)*(1+Inputs!$B$16/100)*(5000/(6000+Inputs!$B$43*(1-(100*(1-(1-(Inputs!$B$19+0)/100)*(1-CHOOSE(ArtifactsInput!$N$40+1,5,6,7,8,9,10)/100)^(ArtifactsInput!$M$40-ArtifactsInput!$M$40)))/100)))*(1+(Inputs!$B$24+((C3350=TRUE)*(F3350-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3343=TRUE)*(F3343-Calc!F23))+(((IF(AND(ArtifactsInput!$M$42,((Inputs!$B$9+((C3345=TRUE)*(F3345-Calc!F25))+B3360+(ArtifactsInput!$M$24-ArtifactsInput!$M$24)*CHOOSE(ArtifactsInput!$N$24+1,10,12,14,16,18,20)+IF(ArtifactsInput!$M$10,CHOOSE(ArtifactsInput!$N$10+1,15,18,21,24,27,30)*(IF(Inputs!$B$39="pvp",MIN(15,15)/15,IF(AND(Inputs!$B$39&lt;&gt;"pvp",Inputs!$B$44&gt;0),MIN(15,Inputs!$B$44)/(Inputs!$B$44),0))),0)))&gt;=100),MIN(100,((Inputs!$B$9+((C3345=TRUE)*(F3345-Calc!F25))+B3360+(ArtifactsInput!$M$24-ArtifactsInput!$M$24)*CHOOSE(ArtifactsInput!$N$24+1,10,12,14,16,18,20)+IF(ArtifactsInput!$M$10,CHOOSE(ArtifactsInput!$N$10+1,15,18,21,24,27,30)*(IF(Inputs!$B$39="pvp",MIN(15,15)/15,IF(AND(Inputs!$B$39&lt;&gt;"pvp",Inputs!$B$44&gt;0),MIN(15,Inputs!$B$44)/(Inputs!$B$44),0))),0)))-100),0))*CHOOSE(ArtifactsInput!$N$42+1,0.6,0.72,0.84,0.96,1.08,1.2))),Inputs!$B$18+((C3349=TRUE)*(F3349-Calc!F29))+(IF(AND(ArtifactsInput!$M$42,((Inputs!$B$9+((C3345=TRUE)*(F3345-Calc!F25))+B3360+(ArtifactsInput!$M$24-ArtifactsInput!$M$24)*CHOOSE(ArtifactsInput!$N$24+1,10,12,14,16,18,20)+IF(ArtifactsInput!$M$10,CHOOSE(ArtifactsInput!$N$10+1,15,18,21,24,27,30)*(IF(Inputs!$B$39="pvp",MIN(15,15)/15,IF(AND(Inputs!$B$39&lt;&gt;"pvp",Inputs!$B$44&gt;0),MIN(15,Inputs!$B$44)/(Inputs!$B$44),0))),0)))&gt;=100),CHOOSE(ArtifactsInput!$N$42+1,40,48,56,64,72,80),0))))/100)*(((1+(((C3341=TRUE)*F3341*IF(AND(Inputs!$B$39&lt;&gt;"pvp",Inputs!$B$44&gt;0),(((R3341-1)*(Skills!Y21*(1+Inputs!$B$34/100))+MIN((Skills!Y21*(1+Inputs!$B$34/100)),MAX(0,Inputs!$B$44-((R3341-1)*Skills!D21))))/Inputs!$B$44),IF(Inputs!$B$39="pvp",MIN((Skills!Y21*(1+Inputs!$B$34/100)),15)/15,(Skills!Y21*(1+Inputs!$B$34/100))/Skills!D21)))+((C3348=TRUE)*(F3348-Calc!F28))+((C3338=TRUE)*(F3338-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3335=TRUE)*F3335*IF(AND(Inputs!$B$39&lt;&gt;"pvp",Inputs!$B$44&gt;0),(((R3335-1)*(Skills!Y15*(1+Inputs!$B$34/100))+MIN((Skills!Y15*(1+Inputs!$B$34/100)),MAX(0,Inputs!$B$44-((R3335-1)*Skills!D15))))/Inputs!$B$44),IF(Inputs!$B$39="pvp",MIN((Skills!Y15*(1+Inputs!$B$34/100)),15)/15,(Skills!Y15*(1+Inputs!$B$34/100))/Skills!D15)))/100)*(1+((C3326=TRUE)*F3326*B3354)/100))*B3362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3328)</f>
        <v/>
      </c>
      <c r="L3328">
        <f>K3328*(MIN(Inputs!$B$22+((C3344=TRUE)*(F3344-Calc!F24)),(Inputs!$B$23+0+(IF(ArtifactsInput!$M$15,CHOOSE(ArtifactsInput!$N$15+1,25,30,35,40,45,50)/100*(Inputs!$B$11-Inputs!$B$11),0))))/100+(Inputs!$B$23+0+(IF(ArtifactsInput!$M$15,CHOOSE(ArtifactsInput!$N$15+1,25,30,35,40,45,50)/100*(Inputs!$B$11-Inputs!$B$11),0)))/100)/2</f>
        <v/>
      </c>
      <c r="M3328">
        <f>L3328*(1+(Inputs!$B$10+((C3346=TRUE)*(F3346-Calc!F26))+B3363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28">
        <f>L3328*(1-MIN((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3328*(MIN((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28">
        <f>(1-Summary!$B$11)*T3328+Summary!$B$11*V3328</f>
        <v/>
      </c>
      <c r="P3328">
        <f>IF(B3364=0,0,O3328/B3364)</f>
        <v/>
      </c>
      <c r="Q3328">
        <f>IFERROR(1/IF(Inputs!$B$39="pvp",15,MAX(0.1,Skills!D8-IF(Skills!E8=TRUE,2.0,0))),0)</f>
        <v/>
      </c>
      <c r="R3328">
        <f>IF(AND(Inputs!$B$39&lt;&gt;"pvp",Inputs!$B$44&gt;0),IF(MAX(0,Inputs!$B$44-B3365)&lt;=0,0,(INT(MAX(0,Inputs!$B$44-B3365)/IF(Inputs!$B$39="pvp",15,MAX(0.1,Skills!D8-IF(Skills!E8=TRUE,2.0,0))))+1)),0)</f>
        <v/>
      </c>
      <c r="S3328">
        <f>IFERROR(O3328/N3328,0)</f>
        <v/>
      </c>
      <c r="T3328">
        <f>IF(C3328,(H3328*N3328*IF(AND(Inputs!$B$39&lt;&gt;"pvp",Inputs!$B$44&gt;0),((Skills!G8*((R3328-1)*IF(Skills!H8&gt;0,Skills!I8/Skills!H8,1)+IF(Skills!H8&gt;0,MIN(Skills!I8,MAX(0,MAX(0,Inputs!$B$44-B3365)-((R3328-1)*IF(Inputs!$B$39="pvp",15,MAX(0.1,Skills!D8-IF(Skills!E8=TRUE,2.0,0))))))/Skills!H8,1)))/Inputs!$B$44),G3328*Q3328))*IF(Inputs!$B$39="pvp",1,1+(Inputs!$B$20+((C3347=TRUE)*(F3347-Calc!F27))+Skills!P8+B3361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Hunt"),CHOOSE(ArtifactsInput!$N$35+1,15,18,21,24,27,30)*(1-EXP(-(0.2*B3356)*5)),0)+IF(AND(ArtifactsInput!$M$22,Inputs!$B$4&lt;&gt;"Chapter Hunt"),CHOOSE(ArtifactsInput!$N$22+1,10,12,14,16,18,20)*((0*(((0.15*B3356*5))^0/1)+1*(((0.15*B3356*5))^1/1)+2*(((0.15*B3356*5))^2/2)+3*(((0.15*B3356*5))^3/6)+4*(((0.15*B3356*5))^4/24)+5*(((0.15*B3356*5))^5/120))/((((0.15*B3356*5))^0/1)+(((0.15*B3356*5))^1/1)+(((0.15*B3356*5))^2/2)+(((0.15*B3356*5))^3/6)+(((0.15*B3356*5))^4/24)+(((0.15*B3356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3328*(1-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3328*(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3328*(1-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3328*(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28">
        <f>IF(C3328,(H3328*N3328*IF(AND(Inputs!$B$39&lt;&gt;"pvp",Inputs!$B$44&gt;0),((Skills!G8*((R3328-1)*IF(Skills!H8&gt;0,Skills!I8/Skills!H8,1)+IF(Skills!H8&gt;0,MIN(Skills!I8,MAX(0,MAX(0,Inputs!$B$44-B3365)-((R3328-1)*IF(Inputs!$B$39="pvp",15,MAX(0.1,Skills!D8-IF(Skills!E8=TRUE,2.0,0))))))/Skills!H8,1)))/Inputs!$B$44),G3328*Q3328))*IF(Inputs!$B$39="pvp",1,(1+(Inputs!$B$21+Skills!Q8+B3361+(IF(ArtifactsInput!$M$33,CHOOSE(ArtifactsInput!$N$33+1,30,36,42,48,54,60),0))+(IF(AND(ArtifactsInput!$M$35,Inputs!$B$4&lt;&gt;"Chapter Hunt"),CHOOSE(ArtifactsInput!$N$35+1,15,18,21,24,27,30)*(1-EXP(-(0.2*B3356)*5)),0)+IF(AND(ArtifactsInput!$M$22,Inputs!$B$4&lt;&gt;"Chapter Hunt"),CHOOSE(ArtifactsInput!$N$22+1,10,12,14,16,18,20)*((0*(((0.15*B3356*5))^0/1)+1*(((0.15*B3356*5))^1/1)+2*(((0.15*B3356*5))^2/2)+3*(((0.15*B3356*5))^3/6)+4*(((0.15*B3356*5))^4/24)+5*(((0.15*B3356*5))^5/120))/((((0.15*B3356*5))^0/1)+(((0.15*B3356*5))^1/1)+(((0.15*B3356*5))^2/2)+(((0.15*B3356*5))^3/6)+(((0.15*B3356*5))^4/24)+(((0.15*B3356*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29">
      <c r="A3329">
        <f>Skills!A9</f>
        <v/>
      </c>
      <c r="B3329">
        <f>Skills!B9</f>
        <v/>
      </c>
      <c r="C3329">
        <f>Inputs!$B$3&gt;=72</f>
        <v/>
      </c>
      <c r="D3329">
        <f>IF(Skills!C9=1,60+Inputs!$B$25+Inputs!$B$29,IF(Skills!C9=2,90+Inputs!$B$26+Inputs!$B$29,IF(Skills!C9=3,120+Inputs!$B$27+Inputs!$B$29,MAX(0,(Inputs!$B$3-100)*3)+Inputs!$B$28+Inputs!$B$29)))</f>
        <v/>
      </c>
      <c r="E3329">
        <f>INDEX(FactorTable!$B$2:$Y$301, MATCH(ROUND(MIN(300,MAX(1,D3329)),0), FactorTable!$A$2:$A$301,0), Skills!M9+1)</f>
        <v/>
      </c>
      <c r="F3329">
        <f>IF(Skills!N9=TRUE,(Skills!L9/10)*(E3329/1000),Skills!L9/10)+Skills!O9</f>
        <v/>
      </c>
      <c r="G3329">
        <f>Calc!G9</f>
        <v/>
      </c>
      <c r="H3329">
        <f>Calc!H9</f>
        <v/>
      </c>
      <c r="I3329">
        <f>IF(Skills!AA9&lt;&gt;"",1+(Skills!AA9/10)*(U3323/1000)/100,1)</f>
        <v/>
      </c>
      <c r="J3329">
        <f>((Inputs!$B$6*(1+Inputs!$B$7/100))+(((Inputs!$B$12*(1+Inputs!$B$13/100))-(Inputs!$B$12*(1+Inputs!$B$13/100)))+0.25*(Inputs!$B$14-Inputs!$B$14))*(1+Inputs!$B$7/100))*(F3329/100)</f>
        <v/>
      </c>
      <c r="K3329">
        <f>J3329*(1+((Inputs!$B$12*(1+Inputs!$B$13/100))*0.01+Inputs!$B$14*0.0025)/100)*(1+Inputs!$B$15/100)*(1+Inputs!$B$16/100)*(5000/(6000+Inputs!$B$43*(1-(100*(1-(1-(Inputs!$B$19+0)/100)*(1-CHOOSE(ArtifactsInput!$N$40+1,5,6,7,8,9,10)/100)^(ArtifactsInput!$M$40-ArtifactsInput!$M$40)))/100)))*(1+(Inputs!$B$24+((C3350=TRUE)*(F3350-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3343=TRUE)*(F3343-Calc!F23))+(((IF(AND(ArtifactsInput!$M$42,((Inputs!$B$9+((C3345=TRUE)*(F3345-Calc!F25))+B3360+(ArtifactsInput!$M$24-ArtifactsInput!$M$24)*CHOOSE(ArtifactsInput!$N$24+1,10,12,14,16,18,20)+IF(ArtifactsInput!$M$10,CHOOSE(ArtifactsInput!$N$10+1,15,18,21,24,27,30)*(IF(Inputs!$B$39="pvp",MIN(15,15)/15,IF(AND(Inputs!$B$39&lt;&gt;"pvp",Inputs!$B$44&gt;0),MIN(15,Inputs!$B$44)/(Inputs!$B$44),0))),0)))&gt;=100),MIN(100,((Inputs!$B$9+((C3345=TRUE)*(F3345-Calc!F25))+B3360+(ArtifactsInput!$M$24-ArtifactsInput!$M$24)*CHOOSE(ArtifactsInput!$N$24+1,10,12,14,16,18,20)+IF(ArtifactsInput!$M$10,CHOOSE(ArtifactsInput!$N$10+1,15,18,21,24,27,30)*(IF(Inputs!$B$39="pvp",MIN(15,15)/15,IF(AND(Inputs!$B$39&lt;&gt;"pvp",Inputs!$B$44&gt;0),MIN(15,Inputs!$B$44)/(Inputs!$B$44),0))),0)))-100),0))*CHOOSE(ArtifactsInput!$N$42+1,0.6,0.72,0.84,0.96,1.08,1.2))),Inputs!$B$18+((C3349=TRUE)*(F3349-Calc!F29))+(IF(AND(ArtifactsInput!$M$42,((Inputs!$B$9+((C3345=TRUE)*(F3345-Calc!F25))+B3360+(ArtifactsInput!$M$24-ArtifactsInput!$M$24)*CHOOSE(ArtifactsInput!$N$24+1,10,12,14,16,18,20)+IF(ArtifactsInput!$M$10,CHOOSE(ArtifactsInput!$N$10+1,15,18,21,24,27,30)*(IF(Inputs!$B$39="pvp",MIN(15,15)/15,IF(AND(Inputs!$B$39&lt;&gt;"pvp",Inputs!$B$44&gt;0),MIN(15,Inputs!$B$44)/(Inputs!$B$44),0))),0)))&gt;=100),CHOOSE(ArtifactsInput!$N$42+1,40,48,56,64,72,80),0))))/100)*(((1+(((C3341=TRUE)*F3341*IF(AND(Inputs!$B$39&lt;&gt;"pvp",Inputs!$B$44&gt;0),(((R3341-1)*(Skills!Y21*(1+Inputs!$B$34/100))+MIN((Skills!Y21*(1+Inputs!$B$34/100)),MAX(0,Inputs!$B$44-((R3341-1)*Skills!D21))))/Inputs!$B$44),IF(Inputs!$B$39="pvp",MIN((Skills!Y21*(1+Inputs!$B$34/100)),15)/15,(Skills!Y21*(1+Inputs!$B$34/100))/Skills!D21)))+((C3348=TRUE)*(F3348-Calc!F28))+((C3338=TRUE)*(F3338-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3335=TRUE)*F3335*IF(AND(Inputs!$B$39&lt;&gt;"pvp",Inputs!$B$44&gt;0),(((R3335-1)*(Skills!Y15*(1+Inputs!$B$34/100))+MIN((Skills!Y15*(1+Inputs!$B$34/100)),MAX(0,Inputs!$B$44-((R3335-1)*Skills!D15))))/Inputs!$B$44),IF(Inputs!$B$39="pvp",MIN((Skills!Y15*(1+Inputs!$B$34/100)),15)/15,(Skills!Y15*(1+Inputs!$B$34/100))/Skills!D15)))/100)*(1+((C3326=TRUE)*F3326*B3354)/100))*B3362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3329)</f>
        <v/>
      </c>
      <c r="L3329">
        <f>K3329*(MIN(Inputs!$B$22+((C3344=TRUE)*(F3344-Calc!F24)),(Inputs!$B$23+0+(IF(ArtifactsInput!$M$15,CHOOSE(ArtifactsInput!$N$15+1,25,30,35,40,45,50)/100*(Inputs!$B$11-Inputs!$B$11),0))))/100+(Inputs!$B$23+0+(IF(ArtifactsInput!$M$15,CHOOSE(ArtifactsInput!$N$15+1,25,30,35,40,45,50)/100*(Inputs!$B$11-Inputs!$B$11),0)))/100)/2</f>
        <v/>
      </c>
      <c r="M3329">
        <f>L3329*(1+(Inputs!$B$10+((C3346=TRUE)*(F3346-Calc!F26))+B3363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29">
        <f>L3329*(1-MIN((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3329*(MIN((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29">
        <f>(1-Summary!$B$11)*T3329+Summary!$B$11*V3329</f>
        <v/>
      </c>
      <c r="P3329">
        <f>IF(B3364=0,0,O3329/B3364)</f>
        <v/>
      </c>
      <c r="Q3329">
        <f>IFERROR(1/IF(Inputs!$B$39="pvp",15,MAX(0.1,Skills!D9-IF(Skills!E9=TRUE,2.0,0))),0)</f>
        <v/>
      </c>
      <c r="R3329">
        <f>IF(AND(Inputs!$B$39&lt;&gt;"pvp",Inputs!$B$44&gt;0),IF(MAX(0,Inputs!$B$44-B3365)&lt;=0,0,(INT(MAX(0,Inputs!$B$44-B3365)/IF(Inputs!$B$39="pvp",15,MAX(0.1,Skills!D9-IF(Skills!E9=TRUE,2.0,0))))+1)),0)</f>
        <v/>
      </c>
      <c r="S3329">
        <f>IFERROR(O3329/N3329,0)</f>
        <v/>
      </c>
      <c r="T3329">
        <f>IF(C3329,(H3329*N3329*IF(AND(Inputs!$B$39&lt;&gt;"pvp",Inputs!$B$44&gt;0),((Skills!G9*((R3329-1)*IF(Skills!H9&gt;0,Skills!I9/Skills!H9,1)+IF(Skills!H9&gt;0,MIN(Skills!I9,MAX(0,MAX(0,Inputs!$B$44-B3365)-((R3329-1)*IF(Inputs!$B$39="pvp",15,MAX(0.1,Skills!D9-IF(Skills!E9=TRUE,2.0,0))))))/Skills!H9,1)))/Inputs!$B$44),G3329*Q3329))*IF(Inputs!$B$39="pvp",1,1+(Inputs!$B$20+((C3347=TRUE)*(F3347-Calc!F27))+Skills!P9+B3361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Hunt"),CHOOSE(ArtifactsInput!$N$35+1,15,18,21,24,27,30)*(1-EXP(-(0.2*B3356)*5)),0)+IF(AND(ArtifactsInput!$M$22,Inputs!$B$4&lt;&gt;"Chapter Hunt"),CHOOSE(ArtifactsInput!$N$22+1,10,12,14,16,18,20)*((0*(((0.15*B3356*5))^0/1)+1*(((0.15*B3356*5))^1/1)+2*(((0.15*B3356*5))^2/2)+3*(((0.15*B3356*5))^3/6)+4*(((0.15*B3356*5))^4/24)+5*(((0.15*B3356*5))^5/120))/((((0.15*B3356*5))^0/1)+(((0.15*B3356*5))^1/1)+(((0.15*B3356*5))^2/2)+(((0.15*B3356*5))^3/6)+(((0.15*B3356*5))^4/24)+(((0.15*B3356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3329*(1-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3329*(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3329*(1-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3329*(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29">
        <f>IF(C3329,(H3329*N3329*IF(AND(Inputs!$B$39&lt;&gt;"pvp",Inputs!$B$44&gt;0),((Skills!G9*((R3329-1)*IF(Skills!H9&gt;0,Skills!I9/Skills!H9,1)+IF(Skills!H9&gt;0,MIN(Skills!I9,MAX(0,MAX(0,Inputs!$B$44-B3365)-((R3329-1)*IF(Inputs!$B$39="pvp",15,MAX(0.1,Skills!D9-IF(Skills!E9=TRUE,2.0,0))))))/Skills!H9,1)))/Inputs!$B$44),G3329*Q3329))*IF(Inputs!$B$39="pvp",1,(1+(Inputs!$B$21+Skills!Q9+B3361+(IF(ArtifactsInput!$M$33,CHOOSE(ArtifactsInput!$N$33+1,30,36,42,48,54,60),0))+(IF(AND(ArtifactsInput!$M$35,Inputs!$B$4&lt;&gt;"Chapter Hunt"),CHOOSE(ArtifactsInput!$N$35+1,15,18,21,24,27,30)*(1-EXP(-(0.2*B3356)*5)),0)+IF(AND(ArtifactsInput!$M$22,Inputs!$B$4&lt;&gt;"Chapter Hunt"),CHOOSE(ArtifactsInput!$N$22+1,10,12,14,16,18,20)*((0*(((0.15*B3356*5))^0/1)+1*(((0.15*B3356*5))^1/1)+2*(((0.15*B3356*5))^2/2)+3*(((0.15*B3356*5))^3/6)+4*(((0.15*B3356*5))^4/24)+5*(((0.15*B3356*5))^5/120))/((((0.15*B3356*5))^0/1)+(((0.15*B3356*5))^1/1)+(((0.15*B3356*5))^2/2)+(((0.15*B3356*5))^3/6)+(((0.15*B3356*5))^4/24)+(((0.15*B3356*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30">
      <c r="A3330">
        <f>Skills!A10</f>
        <v/>
      </c>
      <c r="B3330">
        <f>Skills!B10</f>
        <v/>
      </c>
      <c r="C3330">
        <f>Inputs!$B$3&gt;=117</f>
        <v/>
      </c>
      <c r="D3330">
        <f>IF(Skills!C10=1,60+Inputs!$B$25+Inputs!$B$29,IF(Skills!C10=2,90+Inputs!$B$26+Inputs!$B$29,IF(Skills!C10=3,120+Inputs!$B$27+Inputs!$B$29,MAX(0,(Inputs!$B$3-100)*3)+Inputs!$B$28+Inputs!$B$29)))</f>
        <v/>
      </c>
      <c r="E3330">
        <f>INDEX(FactorTable!$B$2:$Y$301, MATCH(ROUND(MIN(300,MAX(1,D3330)),0), FactorTable!$A$2:$A$301,0), Skills!M10+1)</f>
        <v/>
      </c>
      <c r="F3330">
        <f>IF(Skills!N10=TRUE,(Skills!L10/10)*(E3330/1000),Skills!L10/10)+Skills!O10</f>
        <v/>
      </c>
      <c r="G3330">
        <f>Calc!G10</f>
        <v/>
      </c>
      <c r="H3330">
        <f>Calc!H10</f>
        <v/>
      </c>
      <c r="I3330">
        <f>IF(Skills!AA10&lt;&gt;"",1+(Skills!AA10/10)*(U3323/1000)/100,1)</f>
        <v/>
      </c>
      <c r="J3330">
        <f>((Inputs!$B$6*(1+Inputs!$B$7/100))+(((Inputs!$B$12*(1+Inputs!$B$13/100))-(Inputs!$B$12*(1+Inputs!$B$13/100)))+0.25*(Inputs!$B$14-Inputs!$B$14))*(1+Inputs!$B$7/100))*(F3330/100)</f>
        <v/>
      </c>
      <c r="K3330">
        <f>J3330*(1+((Inputs!$B$12*(1+Inputs!$B$13/100))*0.01+Inputs!$B$14*0.0025)/100)*(1+Inputs!$B$15/100)*(1+Inputs!$B$16/100)*(5000/(6000+Inputs!$B$43*(1-(100*(1-(1-(Inputs!$B$19+0)/100)*(1-CHOOSE(ArtifactsInput!$N$40+1,5,6,7,8,9,10)/100)^(ArtifactsInput!$M$40-ArtifactsInput!$M$40)))/100)))*(1+(Inputs!$B$24+((C3350=TRUE)*(F3350-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3343=TRUE)*(F3343-Calc!F23))+(((IF(AND(ArtifactsInput!$M$42,((Inputs!$B$9+((C3345=TRUE)*(F3345-Calc!F25))+B3360+(ArtifactsInput!$M$24-ArtifactsInput!$M$24)*CHOOSE(ArtifactsInput!$N$24+1,10,12,14,16,18,20)+IF(ArtifactsInput!$M$10,CHOOSE(ArtifactsInput!$N$10+1,15,18,21,24,27,30)*(IF(Inputs!$B$39="pvp",MIN(15,15)/15,IF(AND(Inputs!$B$39&lt;&gt;"pvp",Inputs!$B$44&gt;0),MIN(15,Inputs!$B$44)/(Inputs!$B$44),0))),0)))&gt;=100),MIN(100,((Inputs!$B$9+((C3345=TRUE)*(F3345-Calc!F25))+B3360+(ArtifactsInput!$M$24-ArtifactsInput!$M$24)*CHOOSE(ArtifactsInput!$N$24+1,10,12,14,16,18,20)+IF(ArtifactsInput!$M$10,CHOOSE(ArtifactsInput!$N$10+1,15,18,21,24,27,30)*(IF(Inputs!$B$39="pvp",MIN(15,15)/15,IF(AND(Inputs!$B$39&lt;&gt;"pvp",Inputs!$B$44&gt;0),MIN(15,Inputs!$B$44)/(Inputs!$B$44),0))),0)))-100),0))*CHOOSE(ArtifactsInput!$N$42+1,0.6,0.72,0.84,0.96,1.08,1.2))),Inputs!$B$18+((C3349=TRUE)*(F3349-Calc!F29))+(IF(AND(ArtifactsInput!$M$42,((Inputs!$B$9+((C3345=TRUE)*(F3345-Calc!F25))+B3360+(ArtifactsInput!$M$24-ArtifactsInput!$M$24)*CHOOSE(ArtifactsInput!$N$24+1,10,12,14,16,18,20)+IF(ArtifactsInput!$M$10,CHOOSE(ArtifactsInput!$N$10+1,15,18,21,24,27,30)*(IF(Inputs!$B$39="pvp",MIN(15,15)/15,IF(AND(Inputs!$B$39&lt;&gt;"pvp",Inputs!$B$44&gt;0),MIN(15,Inputs!$B$44)/(Inputs!$B$44),0))),0)))&gt;=100),CHOOSE(ArtifactsInput!$N$42+1,40,48,56,64,72,80),0))))/100)*(((1+(((C3341=TRUE)*F3341*IF(AND(Inputs!$B$39&lt;&gt;"pvp",Inputs!$B$44&gt;0),(((R3341-1)*(Skills!Y21*(1+Inputs!$B$34/100))+MIN((Skills!Y21*(1+Inputs!$B$34/100)),MAX(0,Inputs!$B$44-((R3341-1)*Skills!D21))))/Inputs!$B$44),IF(Inputs!$B$39="pvp",MIN((Skills!Y21*(1+Inputs!$B$34/100)),15)/15,(Skills!Y21*(1+Inputs!$B$34/100))/Skills!D21)))+((C3348=TRUE)*(F3348-Calc!F28))+((C3338=TRUE)*(F3338-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3335=TRUE)*F3335*IF(AND(Inputs!$B$39&lt;&gt;"pvp",Inputs!$B$44&gt;0),(((R3335-1)*(Skills!Y15*(1+Inputs!$B$34/100))+MIN((Skills!Y15*(1+Inputs!$B$34/100)),MAX(0,Inputs!$B$44-((R3335-1)*Skills!D15))))/Inputs!$B$44),IF(Inputs!$B$39="pvp",MIN((Skills!Y15*(1+Inputs!$B$34/100)),15)/15,(Skills!Y15*(1+Inputs!$B$34/100))/Skills!D15)))/100)*(1+((C3326=TRUE)*F3326*B3354)/100))*B3362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3330)</f>
        <v/>
      </c>
      <c r="L3330">
        <f>K3330*(MIN(Inputs!$B$22+((C3344=TRUE)*(F3344-Calc!F24)),(Inputs!$B$23+0+(IF(ArtifactsInput!$M$15,CHOOSE(ArtifactsInput!$N$15+1,25,30,35,40,45,50)/100*(Inputs!$B$11-Inputs!$B$11),0))))/100+(Inputs!$B$23+0+(IF(ArtifactsInput!$M$15,CHOOSE(ArtifactsInput!$N$15+1,25,30,35,40,45,50)/100*(Inputs!$B$11-Inputs!$B$11),0)))/100)/2</f>
        <v/>
      </c>
      <c r="M3330">
        <f>L3330*(1+(Inputs!$B$10+((C3346=TRUE)*(F3346-Calc!F26))+B3363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30">
        <f>L3330*(1-MIN((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3330*(MIN((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30">
        <f>(1-Summary!$B$11)*T3330+Summary!$B$11*V3330</f>
        <v/>
      </c>
      <c r="P3330">
        <f>IF(B3364=0,0,O3330/B3364)</f>
        <v/>
      </c>
      <c r="Q3330" t="n">
        <v>0</v>
      </c>
      <c r="R3330" t="n">
        <v>0</v>
      </c>
      <c r="S3330" t="n">
        <v>0</v>
      </c>
      <c r="T3330">
        <f>IF(C3330,(0.2*SUMPRODUCT((Skills!Z2:Z31=TRUE)*(C3322:C3351=TRUE)*S3322:S3351)*N3330)*IF(Inputs!$B$39="pvp",1,1+(Inputs!$B$20+((C3347=TRUE)*(F3347-Calc!F27))+Skills!P10+B3361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Hunt"),CHOOSE(ArtifactsInput!$N$35+1,15,18,21,24,27,30)*(1-EXP(-(0.2*B3356)*5)),0)+IF(AND(ArtifactsInput!$M$22,Inputs!$B$4&lt;&gt;"Chapter Hunt"),CHOOSE(ArtifactsInput!$N$22+1,10,12,14,16,18,20)*((0*(((0.15*B3356*5))^0/1)+1*(((0.15*B3356*5))^1/1)+2*(((0.15*B3356*5))^2/2)+3*(((0.15*B3356*5))^3/6)+4*(((0.15*B3356*5))^4/24)+5*(((0.15*B3356*5))^5/120))/((((0.15*B3356*5))^0/1)+(((0.15*B3356*5))^1/1)+(((0.15*B3356*5))^2/2)+(((0.15*B3356*5))^3/6)+(((0.15*B3356*5))^4/24)+(((0.15*B3356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3330*(1-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3330*(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3330*(1-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3330*(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30">
        <f>IF(C3330,(0.2*SUMPRODUCT((Skills!Z2:Z31=TRUE)*(C3322:C3351=TRUE)*S3322:S3351)*N3330)*IF(Inputs!$B$39="pvp",1,(1+(Inputs!$B$21+Skills!Q10+B3361+(IF(ArtifactsInput!$M$33,CHOOSE(ArtifactsInput!$N$33+1,30,36,42,48,54,60),0))+(IF(AND(ArtifactsInput!$M$35,Inputs!$B$4&lt;&gt;"Chapter Hunt"),CHOOSE(ArtifactsInput!$N$35+1,15,18,21,24,27,30)*(1-EXP(-(0.2*B3356)*5)),0)+IF(AND(ArtifactsInput!$M$22,Inputs!$B$4&lt;&gt;"Chapter Hunt"),CHOOSE(ArtifactsInput!$N$22+1,10,12,14,16,18,20)*((0*(((0.15*B3356*5))^0/1)+1*(((0.15*B3356*5))^1/1)+2*(((0.15*B3356*5))^2/2)+3*(((0.15*B3356*5))^3/6)+4*(((0.15*B3356*5))^4/24)+5*(((0.15*B3356*5))^5/120))/((((0.15*B3356*5))^0/1)+(((0.15*B3356*5))^1/1)+(((0.15*B3356*5))^2/2)+(((0.15*B3356*5))^3/6)+(((0.15*B3356*5))^4/24)+(((0.15*B3356*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31">
      <c r="A3331">
        <f>Skills!A11</f>
        <v/>
      </c>
      <c r="B3331">
        <f>Skills!B11</f>
        <v/>
      </c>
      <c r="C3331">
        <f>Inputs!$B$3&gt;=60</f>
        <v/>
      </c>
      <c r="D3331">
        <f>IF(Skills!C11=1,60+Inputs!$B$25+Inputs!$B$29,IF(Skills!C11=2,90+Inputs!$B$26+Inputs!$B$29,IF(Skills!C11=3,120+Inputs!$B$27+Inputs!$B$29,MAX(0,(Inputs!$B$3-100)*3)+Inputs!$B$28+Inputs!$B$29)))</f>
        <v/>
      </c>
      <c r="E3331">
        <f>INDEX(FactorTable!$B$2:$Y$301, MATCH(ROUND(MIN(300,MAX(1,D3331)),0), FactorTable!$A$2:$A$301,0), Skills!M11+1)</f>
        <v/>
      </c>
      <c r="F3331">
        <f>IF(Skills!N11=TRUE,(Skills!L11/10)*(E3331/1000),Skills!L11/10)+Skills!O11</f>
        <v/>
      </c>
      <c r="G3331">
        <f>Calc!G11</f>
        <v/>
      </c>
      <c r="H3331">
        <f>Calc!H11</f>
        <v/>
      </c>
      <c r="I3331">
        <f>IF(Skills!AA11&lt;&gt;"",1+(Skills!AA11/10)*(U3323/1000)/100,1)</f>
        <v/>
      </c>
      <c r="J3331" t="inlineStr"/>
      <c r="K3331" t="inlineStr"/>
      <c r="L3331" t="inlineStr"/>
      <c r="M3331" t="inlineStr"/>
      <c r="N3331" t="inlineStr"/>
      <c r="O3331">
        <f>(1-Summary!$B$11)*T3331+Summary!$B$11*V3331</f>
        <v/>
      </c>
      <c r="P3331">
        <f>IF(B3364=0,0,O3331/B3364)</f>
        <v/>
      </c>
      <c r="Q3331" t="n">
        <v>0</v>
      </c>
      <c r="R3331" t="n">
        <v>0</v>
      </c>
      <c r="S3331">
        <f>IFERROR(O3331/N3331,0)</f>
        <v/>
      </c>
      <c r="T3331" t="n">
        <v>0</v>
      </c>
      <c r="V3331" t="n">
        <v>0</v>
      </c>
    </row>
    <row r="3332">
      <c r="A3332">
        <f>Skills!A12</f>
        <v/>
      </c>
      <c r="B3332">
        <f>Skills!B12</f>
        <v/>
      </c>
      <c r="C3332">
        <f>Inputs!$B$3&gt;=103</f>
        <v/>
      </c>
      <c r="D3332">
        <f>IF(Skills!C12=1,60+Inputs!$B$25+Inputs!$B$29,IF(Skills!C12=2,90+Inputs!$B$26+Inputs!$B$29,IF(Skills!C12=3,120+Inputs!$B$27+Inputs!$B$29,MAX(0,(Inputs!$B$3-100)*3)+Inputs!$B$28+Inputs!$B$29)))</f>
        <v/>
      </c>
      <c r="E3332">
        <f>INDEX(FactorTable!$B$2:$Y$301, MATCH(ROUND(MIN(300,MAX(1,D3332)),0), FactorTable!$A$2:$A$301,0), Skills!M12+1)</f>
        <v/>
      </c>
      <c r="F3332">
        <f>IF(Skills!N12=TRUE,(Skills!L12/10)*(E3332/1000),Skills!L12/10)+Skills!O12</f>
        <v/>
      </c>
      <c r="G3332">
        <f>Calc!G12</f>
        <v/>
      </c>
      <c r="H3332">
        <f>Calc!H12</f>
        <v/>
      </c>
      <c r="I3332">
        <f>IF(Skills!AA12&lt;&gt;"",1+(Skills!AA12/10)*(U3323/1000)/100,1)</f>
        <v/>
      </c>
      <c r="J3332">
        <f>((Inputs!$B$6*(1+Inputs!$B$7/100))+(((Inputs!$B$12*(1+Inputs!$B$13/100))-(Inputs!$B$12*(1+Inputs!$B$13/100)))+0.25*(Inputs!$B$14-Inputs!$B$14))*(1+Inputs!$B$7/100))*(F3332/100)</f>
        <v/>
      </c>
      <c r="K3332">
        <f>J3332*(1+((Inputs!$B$12*(1+Inputs!$B$13/100))*0.01+Inputs!$B$14*0.0025)/100)*(1+Inputs!$B$15/100)*(1+Inputs!$B$16/100)*(5000/(6000+Inputs!$B$43*(1-(100*(1-(1-(Inputs!$B$19+0)/100)*(1-CHOOSE(ArtifactsInput!$N$40+1,5,6,7,8,9,10)/100)^(ArtifactsInput!$M$40-ArtifactsInput!$M$40)))/100)))*(1+(Inputs!$B$24+((C3350=TRUE)*(F3350-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3343=TRUE)*(F3343-Calc!F23))+(((IF(AND(ArtifactsInput!$M$42,((Inputs!$B$9+((C3345=TRUE)*(F3345-Calc!F25))+B3360+(ArtifactsInput!$M$24-ArtifactsInput!$M$24)*CHOOSE(ArtifactsInput!$N$24+1,10,12,14,16,18,20)+IF(ArtifactsInput!$M$10,CHOOSE(ArtifactsInput!$N$10+1,15,18,21,24,27,30)*(IF(Inputs!$B$39="pvp",MIN(15,15)/15,IF(AND(Inputs!$B$39&lt;&gt;"pvp",Inputs!$B$44&gt;0),MIN(15,Inputs!$B$44)/(Inputs!$B$44),0))),0)))&gt;=100),MIN(100,((Inputs!$B$9+((C3345=TRUE)*(F3345-Calc!F25))+B3360+(ArtifactsInput!$M$24-ArtifactsInput!$M$24)*CHOOSE(ArtifactsInput!$N$24+1,10,12,14,16,18,20)+IF(ArtifactsInput!$M$10,CHOOSE(ArtifactsInput!$N$10+1,15,18,21,24,27,30)*(IF(Inputs!$B$39="pvp",MIN(15,15)/15,IF(AND(Inputs!$B$39&lt;&gt;"pvp",Inputs!$B$44&gt;0),MIN(15,Inputs!$B$44)/(Inputs!$B$44),0))),0)))-100),0))*CHOOSE(ArtifactsInput!$N$42+1,0.6,0.72,0.84,0.96,1.08,1.2))),Inputs!$B$18+((C3349=TRUE)*(F3349-Calc!F29))+(IF(AND(ArtifactsInput!$M$42,((Inputs!$B$9+((C3345=TRUE)*(F3345-Calc!F25))+B3360+(ArtifactsInput!$M$24-ArtifactsInput!$M$24)*CHOOSE(ArtifactsInput!$N$24+1,10,12,14,16,18,20)+IF(ArtifactsInput!$M$10,CHOOSE(ArtifactsInput!$N$10+1,15,18,21,24,27,30)*(IF(Inputs!$B$39="pvp",MIN(15,15)/15,IF(AND(Inputs!$B$39&lt;&gt;"pvp",Inputs!$B$44&gt;0),MIN(15,Inputs!$B$44)/(Inputs!$B$44),0))),0)))&gt;=100),CHOOSE(ArtifactsInput!$N$42+1,40,48,56,64,72,80),0))))/100)*(((1+(((C3341=TRUE)*F3341*IF(AND(Inputs!$B$39&lt;&gt;"pvp",Inputs!$B$44&gt;0),(((R3341-1)*(Skills!Y21*(1+Inputs!$B$34/100))+MIN((Skills!Y21*(1+Inputs!$B$34/100)),MAX(0,Inputs!$B$44-((R3341-1)*Skills!D21))))/Inputs!$B$44),IF(Inputs!$B$39="pvp",MIN((Skills!Y21*(1+Inputs!$B$34/100)),15)/15,(Skills!Y21*(1+Inputs!$B$34/100))/Skills!D21)))+((C3348=TRUE)*(F3348-Calc!F28))+((C3338=TRUE)*(F3338-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3335=TRUE)*F3335*IF(AND(Inputs!$B$39&lt;&gt;"pvp",Inputs!$B$44&gt;0),(((R3335-1)*(Skills!Y15*(1+Inputs!$B$34/100))+MIN((Skills!Y15*(1+Inputs!$B$34/100)),MAX(0,Inputs!$B$44-((R3335-1)*Skills!D15))))/Inputs!$B$44),IF(Inputs!$B$39="pvp",MIN((Skills!Y15*(1+Inputs!$B$34/100)),15)/15,(Skills!Y15*(1+Inputs!$B$34/100))/Skills!D15)))/100)*(1+((C3326=TRUE)*F3326*B3354)/100))*B3362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3332)</f>
        <v/>
      </c>
      <c r="L3332">
        <f>K3332*(MIN(Inputs!$B$22+((C3344=TRUE)*(F3344-Calc!F24)),(Inputs!$B$23+0+(IF(ArtifactsInput!$M$15,CHOOSE(ArtifactsInput!$N$15+1,25,30,35,40,45,50)/100*(Inputs!$B$11-Inputs!$B$11),0))))/100+(Inputs!$B$23+0+(IF(ArtifactsInput!$M$15,CHOOSE(ArtifactsInput!$N$15+1,25,30,35,40,45,50)/100*(Inputs!$B$11-Inputs!$B$11),0)))/100)/2</f>
        <v/>
      </c>
      <c r="M3332">
        <f>L3332*(1+(Inputs!$B$10+((C3346=TRUE)*(F3346-Calc!F26))+B3363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32">
        <f>L3332*(1-MIN((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3332*(MIN((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32">
        <f>(1-Summary!$B$11)*T3332+Summary!$B$11*V3332</f>
        <v/>
      </c>
      <c r="P3332">
        <f>IF(B3364=0,0,O3332/B3364)</f>
        <v/>
      </c>
      <c r="Q3332">
        <f>IFERROR(1/IF(Inputs!$B$39="pvp",15,MAX(0.1,Skills!D12-IF(Skills!E12=TRUE,2.0,0))),0)</f>
        <v/>
      </c>
      <c r="R3332">
        <f>IF(AND(Inputs!$B$39&lt;&gt;"pvp",Inputs!$B$44&gt;0),IF(MAX(0,Inputs!$B$44-B3365)&lt;=0,0,(INT(MAX(0,Inputs!$B$44-B3365)/IF(Inputs!$B$39="pvp",15,MAX(0.1,Skills!D12-IF(Skills!E12=TRUE,2.0,0))))+1)),0)</f>
        <v/>
      </c>
      <c r="S3332">
        <f>IFERROR(O3332/N3332,0)</f>
        <v/>
      </c>
      <c r="T3332">
        <f>IF(C3332,(H3332*N3332*IF(AND(Inputs!$B$39&lt;&gt;"pvp",Inputs!$B$44&gt;0),((Skills!G12*((R3332-1)*IF(Skills!H12&gt;0,Skills!I12/Skills!H12,1)+IF(Skills!H12&gt;0,MIN(Skills!I12,MAX(0,MAX(0,Inputs!$B$44-B3365)-((R3332-1)*IF(Inputs!$B$39="pvp",15,MAX(0.1,Skills!D12-IF(Skills!E12=TRUE,2.0,0))))))/Skills!H12,1)))/Inputs!$B$44),G3332*Q3332))*IF(Inputs!$B$39="pvp",1,1+(Inputs!$B$20+((C3347=TRUE)*(F3347-Calc!F27))+Skills!P12+B3361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Hunt"),CHOOSE(ArtifactsInput!$N$35+1,15,18,21,24,27,30)*(1-EXP(-(0.2*B3356)*5)),0)+IF(AND(ArtifactsInput!$M$22,Inputs!$B$4&lt;&gt;"Chapter Hunt"),CHOOSE(ArtifactsInput!$N$22+1,10,12,14,16,18,20)*((0*(((0.15*B3356*5))^0/1)+1*(((0.15*B3356*5))^1/1)+2*(((0.15*B3356*5))^2/2)+3*(((0.15*B3356*5))^3/6)+4*(((0.15*B3356*5))^4/24)+5*(((0.15*B3356*5))^5/120))/((((0.15*B3356*5))^0/1)+(((0.15*B3356*5))^1/1)+(((0.15*B3356*5))^2/2)+(((0.15*B3356*5))^3/6)+(((0.15*B3356*5))^4/24)+(((0.15*B3356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3332*(1-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3332*(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3332*(1-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3332*(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32">
        <f>IF(C3332,(H3332*N3332*IF(AND(Inputs!$B$39&lt;&gt;"pvp",Inputs!$B$44&gt;0),((Skills!G12*((R3332-1)*IF(Skills!H12&gt;0,Skills!I12/Skills!H12,1)+IF(Skills!H12&gt;0,MIN(Skills!I12,MAX(0,MAX(0,Inputs!$B$44-B3365)-((R3332-1)*IF(Inputs!$B$39="pvp",15,MAX(0.1,Skills!D12-IF(Skills!E12=TRUE,2.0,0))))))/Skills!H12,1)))/Inputs!$B$44),G3332*Q3332))*IF(Inputs!$B$39="pvp",1,(1+(Inputs!$B$21+Skills!Q12+B3361+(IF(ArtifactsInput!$M$33,CHOOSE(ArtifactsInput!$N$33+1,30,36,42,48,54,60),0))+(IF(AND(ArtifactsInput!$M$35,Inputs!$B$4&lt;&gt;"Chapter Hunt"),CHOOSE(ArtifactsInput!$N$35+1,15,18,21,24,27,30)*(1-EXP(-(0.2*B3356)*5)),0)+IF(AND(ArtifactsInput!$M$22,Inputs!$B$4&lt;&gt;"Chapter Hunt"),CHOOSE(ArtifactsInput!$N$22+1,10,12,14,16,18,20)*((0*(((0.15*B3356*5))^0/1)+1*(((0.15*B3356*5))^1/1)+2*(((0.15*B3356*5))^2/2)+3*(((0.15*B3356*5))^3/6)+4*(((0.15*B3356*5))^4/24)+5*(((0.15*B3356*5))^5/120))/((((0.15*B3356*5))^0/1)+(((0.15*B3356*5))^1/1)+(((0.15*B3356*5))^2/2)+(((0.15*B3356*5))^3/6)+(((0.15*B3356*5))^4/24)+(((0.15*B3356*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33">
      <c r="A3333">
        <f>Skills!A13</f>
        <v/>
      </c>
      <c r="B3333">
        <f>Skills!B13</f>
        <v/>
      </c>
      <c r="C3333">
        <f>Inputs!$B$3&gt;=105</f>
        <v/>
      </c>
      <c r="D3333">
        <f>IF(Skills!C13=1,60+Inputs!$B$25+Inputs!$B$29,IF(Skills!C13=2,90+Inputs!$B$26+Inputs!$B$29,IF(Skills!C13=3,120+Inputs!$B$27+Inputs!$B$29,MAX(0,(Inputs!$B$3-100)*3)+Inputs!$B$28+Inputs!$B$29)))</f>
        <v/>
      </c>
      <c r="E3333">
        <f>INDEX(FactorTable!$B$2:$Y$301, MATCH(ROUND(MIN(300,MAX(1,D3333)),0), FactorTable!$A$2:$A$301,0), Skills!M13+1)</f>
        <v/>
      </c>
      <c r="F3333">
        <f>IF(Skills!N13=TRUE,(Skills!L13/10)*(E3333/1000),Skills!L13/10)+Skills!O13</f>
        <v/>
      </c>
      <c r="G3333">
        <f>Calc!G13</f>
        <v/>
      </c>
      <c r="H3333">
        <f>Calc!H13</f>
        <v/>
      </c>
      <c r="I3333">
        <f>IF(Skills!AA13&lt;&gt;"",1+(Skills!AA13/10)*(U3323/1000)/100,1)</f>
        <v/>
      </c>
      <c r="J3333">
        <f>((Inputs!$B$6*(1+Inputs!$B$7/100))+(((Inputs!$B$12*(1+Inputs!$B$13/100))-(Inputs!$B$12*(1+Inputs!$B$13/100)))+0.25*(Inputs!$B$14-Inputs!$B$14))*(1+Inputs!$B$7/100))*(F3333/100)</f>
        <v/>
      </c>
      <c r="K3333">
        <f>J3333*(1+((Inputs!$B$12*(1+Inputs!$B$13/100))*0.01+Inputs!$B$14*0.0025)/100)*(1+Inputs!$B$15/100)*(1+Inputs!$B$16/100)*(5000/(6000+Inputs!$B$43*(1-(100*(1-(1-(Inputs!$B$19+0)/100)*(1-CHOOSE(ArtifactsInput!$N$40+1,5,6,7,8,9,10)/100)^(ArtifactsInput!$M$40-ArtifactsInput!$M$40)))/100)))*(1+(Inputs!$B$24+((C3350=TRUE)*(F3350-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3343=TRUE)*(F3343-Calc!F23))+(((IF(AND(ArtifactsInput!$M$42,((Inputs!$B$9+((C3345=TRUE)*(F3345-Calc!F25))+B3360+(ArtifactsInput!$M$24-ArtifactsInput!$M$24)*CHOOSE(ArtifactsInput!$N$24+1,10,12,14,16,18,20)+IF(ArtifactsInput!$M$10,CHOOSE(ArtifactsInput!$N$10+1,15,18,21,24,27,30)*(IF(Inputs!$B$39="pvp",MIN(15,15)/15,IF(AND(Inputs!$B$39&lt;&gt;"pvp",Inputs!$B$44&gt;0),MIN(15,Inputs!$B$44)/(Inputs!$B$44),0))),0)))&gt;=100),MIN(100,((Inputs!$B$9+((C3345=TRUE)*(F3345-Calc!F25))+B3360+(ArtifactsInput!$M$24-ArtifactsInput!$M$24)*CHOOSE(ArtifactsInput!$N$24+1,10,12,14,16,18,20)+IF(ArtifactsInput!$M$10,CHOOSE(ArtifactsInput!$N$10+1,15,18,21,24,27,30)*(IF(Inputs!$B$39="pvp",MIN(15,15)/15,IF(AND(Inputs!$B$39&lt;&gt;"pvp",Inputs!$B$44&gt;0),MIN(15,Inputs!$B$44)/(Inputs!$B$44),0))),0)))-100),0))*CHOOSE(ArtifactsInput!$N$42+1,0.6,0.72,0.84,0.96,1.08,1.2))),Inputs!$B$18+((C3349=TRUE)*(F3349-Calc!F29))+(IF(AND(ArtifactsInput!$M$42,((Inputs!$B$9+((C3345=TRUE)*(F3345-Calc!F25))+B3360+(ArtifactsInput!$M$24-ArtifactsInput!$M$24)*CHOOSE(ArtifactsInput!$N$24+1,10,12,14,16,18,20)+IF(ArtifactsInput!$M$10,CHOOSE(ArtifactsInput!$N$10+1,15,18,21,24,27,30)*(IF(Inputs!$B$39="pvp",MIN(15,15)/15,IF(AND(Inputs!$B$39&lt;&gt;"pvp",Inputs!$B$44&gt;0),MIN(15,Inputs!$B$44)/(Inputs!$B$44),0))),0)))&gt;=100),CHOOSE(ArtifactsInput!$N$42+1,40,48,56,64,72,80),0))))/100)*(((1+(((C3341=TRUE)*F3341*IF(AND(Inputs!$B$39&lt;&gt;"pvp",Inputs!$B$44&gt;0),(((R3341-1)*(Skills!Y21*(1+Inputs!$B$34/100))+MIN((Skills!Y21*(1+Inputs!$B$34/100)),MAX(0,Inputs!$B$44-((R3341-1)*Skills!D21))))/Inputs!$B$44),IF(Inputs!$B$39="pvp",MIN((Skills!Y21*(1+Inputs!$B$34/100)),15)/15,(Skills!Y21*(1+Inputs!$B$34/100))/Skills!D21)))+((C3348=TRUE)*(F3348-Calc!F28))+((C3338=TRUE)*(F3338-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3335=TRUE)*F3335*IF(AND(Inputs!$B$39&lt;&gt;"pvp",Inputs!$B$44&gt;0),(((R3335-1)*(Skills!Y15*(1+Inputs!$B$34/100))+MIN((Skills!Y15*(1+Inputs!$B$34/100)),MAX(0,Inputs!$B$44-((R3335-1)*Skills!D15))))/Inputs!$B$44),IF(Inputs!$B$39="pvp",MIN((Skills!Y15*(1+Inputs!$B$34/100)),15)/15,(Skills!Y15*(1+Inputs!$B$34/100))/Skills!D15)))/100)*(1+((C3326=TRUE)*F3326*B3354)/100))*B3362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3333)</f>
        <v/>
      </c>
      <c r="L3333">
        <f>K3333*(MIN(Inputs!$B$22+((C3344=TRUE)*(F3344-Calc!F24)),(Inputs!$B$23+0+(IF(ArtifactsInput!$M$15,CHOOSE(ArtifactsInput!$N$15+1,25,30,35,40,45,50)/100*(Inputs!$B$11-Inputs!$B$11),0))))/100+(Inputs!$B$23+0+(IF(ArtifactsInput!$M$15,CHOOSE(ArtifactsInput!$N$15+1,25,30,35,40,45,50)/100*(Inputs!$B$11-Inputs!$B$11),0)))/100)/2</f>
        <v/>
      </c>
      <c r="M3333">
        <f>L3333*(1+(Inputs!$B$10+((C3346=TRUE)*(F3346-Calc!F26))+B3363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33">
        <f>L3333*(1-MIN((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3333*(MIN((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33">
        <f>(1-Summary!$B$11)*T3333+Summary!$B$11*V3333</f>
        <v/>
      </c>
      <c r="P3333">
        <f>IF(B3364=0,0,O3333/B3364)</f>
        <v/>
      </c>
      <c r="Q3333">
        <f>IFERROR(1/IF(Inputs!$B$39="pvp",15,MAX(0.1,Skills!D13-IF(Skills!E13=TRUE,2.0,0))),0)</f>
        <v/>
      </c>
      <c r="R3333">
        <f>IF(AND(Inputs!$B$39&lt;&gt;"pvp",Inputs!$B$44&gt;0),IF(MAX(0,Inputs!$B$44-B3365)&lt;=0,0,(INT(MAX(0,Inputs!$B$44-B3365)/IF(Inputs!$B$39="pvp",15,MAX(0.1,Skills!D13-IF(Skills!E13=TRUE,2.0,0))))+1)),0)</f>
        <v/>
      </c>
      <c r="S3333">
        <f>IFERROR(O3333/N3333,0)</f>
        <v/>
      </c>
      <c r="T3333">
        <f>IF(C3333,(H3333*N3333*IF(AND(Inputs!$B$39&lt;&gt;"pvp",Inputs!$B$44&gt;0),((Skills!G13*((R3333-1)*IF(Skills!H13&gt;0,Skills!I13/Skills!H13,1)+IF(Skills!H13&gt;0,MIN(Skills!I13,MAX(0,MAX(0,Inputs!$B$44-B3365)-((R3333-1)*IF(Inputs!$B$39="pvp",15,MAX(0.1,Skills!D13-IF(Skills!E13=TRUE,2.0,0))))))/Skills!H13,1)))/Inputs!$B$44),G3333*Q3333))*IF(Inputs!$B$39="pvp",1,1+(Inputs!$B$20+((C3347=TRUE)*(F3347-Calc!F27))+Skills!P13+B3361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Hunt"),CHOOSE(ArtifactsInput!$N$35+1,15,18,21,24,27,30)*(1-EXP(-(0.2*B3356)*5)),0)+IF(AND(ArtifactsInput!$M$22,Inputs!$B$4&lt;&gt;"Chapter Hunt"),CHOOSE(ArtifactsInput!$N$22+1,10,12,14,16,18,20)*((0*(((0.15*B3356*5))^0/1)+1*(((0.15*B3356*5))^1/1)+2*(((0.15*B3356*5))^2/2)+3*(((0.15*B3356*5))^3/6)+4*(((0.15*B3356*5))^4/24)+5*(((0.15*B3356*5))^5/120))/((((0.15*B3356*5))^0/1)+(((0.15*B3356*5))^1/1)+(((0.15*B3356*5))^2/2)+(((0.15*B3356*5))^3/6)+(((0.15*B3356*5))^4/24)+(((0.15*B3356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3333*(1-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3333*(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3333*(1-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3333*(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33">
        <f>IF(C3333,(H3333*N3333*IF(AND(Inputs!$B$39&lt;&gt;"pvp",Inputs!$B$44&gt;0),((Skills!G13*((R3333-1)*IF(Skills!H13&gt;0,Skills!I13/Skills!H13,1)+IF(Skills!H13&gt;0,MIN(Skills!I13,MAX(0,MAX(0,Inputs!$B$44-B3365)-((R3333-1)*IF(Inputs!$B$39="pvp",15,MAX(0.1,Skills!D13-IF(Skills!E13=TRUE,2.0,0))))))/Skills!H13,1)))/Inputs!$B$44),G3333*Q3333))*IF(Inputs!$B$39="pvp",1,(1+(Inputs!$B$21+Skills!Q13+B3361+(IF(ArtifactsInput!$M$33,CHOOSE(ArtifactsInput!$N$33+1,30,36,42,48,54,60),0))+(IF(AND(ArtifactsInput!$M$35,Inputs!$B$4&lt;&gt;"Chapter Hunt"),CHOOSE(ArtifactsInput!$N$35+1,15,18,21,24,27,30)*(1-EXP(-(0.2*B3356)*5)),0)+IF(AND(ArtifactsInput!$M$22,Inputs!$B$4&lt;&gt;"Chapter Hunt"),CHOOSE(ArtifactsInput!$N$22+1,10,12,14,16,18,20)*((0*(((0.15*B3356*5))^0/1)+1*(((0.15*B3356*5))^1/1)+2*(((0.15*B3356*5))^2/2)+3*(((0.15*B3356*5))^3/6)+4*(((0.15*B3356*5))^4/24)+5*(((0.15*B3356*5))^5/120))/((((0.15*B3356*5))^0/1)+(((0.15*B3356*5))^1/1)+(((0.15*B3356*5))^2/2)+(((0.15*B3356*5))^3/6)+(((0.15*B3356*5))^4/24)+(((0.15*B3356*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34">
      <c r="A3334">
        <f>Skills!A14</f>
        <v/>
      </c>
      <c r="B3334">
        <f>Skills!B14</f>
        <v/>
      </c>
      <c r="C3334">
        <f>Inputs!$B$3&gt;=105</f>
        <v/>
      </c>
      <c r="D3334">
        <f>IF(Skills!C14=1,60+Inputs!$B$25+Inputs!$B$29,IF(Skills!C14=2,90+Inputs!$B$26+Inputs!$B$29,IF(Skills!C14=3,120+Inputs!$B$27+Inputs!$B$29,MAX(0,(Inputs!$B$3-100)*3)+Inputs!$B$28+Inputs!$B$29)))</f>
        <v/>
      </c>
      <c r="E3334">
        <f>INDEX(FactorTable!$B$2:$Y$301, MATCH(ROUND(MIN(300,MAX(1,D3334)),0), FactorTable!$A$2:$A$301,0), Skills!M14+1)</f>
        <v/>
      </c>
      <c r="F3334">
        <f>IF(Skills!N14=TRUE,(Skills!L14/10)*(E3334/1000),Skills!L14/10)+Skills!O14</f>
        <v/>
      </c>
      <c r="G3334">
        <f>Calc!G14</f>
        <v/>
      </c>
      <c r="H3334">
        <f>Calc!H14</f>
        <v/>
      </c>
      <c r="I3334">
        <f>IF(Skills!AA14&lt;&gt;"",1+(Skills!AA14/10)*(U3323/1000)/100,1)</f>
        <v/>
      </c>
      <c r="J3334">
        <f>((Inputs!$B$6*(1+Inputs!$B$7/100))+(((Inputs!$B$12*(1+Inputs!$B$13/100))-(Inputs!$B$12*(1+Inputs!$B$13/100)))+0.25*(Inputs!$B$14-Inputs!$B$14))*(1+Inputs!$B$7/100))*(F3334/100)</f>
        <v/>
      </c>
      <c r="K3334">
        <f>J3334*(1+((Inputs!$B$12*(1+Inputs!$B$13/100))*0.01+Inputs!$B$14*0.0025)/100)*(1+Inputs!$B$15/100)*(1+Inputs!$B$16/100)*(5000/(6000+Inputs!$B$43*(1-(100*(1-(1-(Inputs!$B$19+0)/100)*(1-CHOOSE(ArtifactsInput!$N$40+1,5,6,7,8,9,10)/100)^(ArtifactsInput!$M$40-ArtifactsInput!$M$40)))/100)))*(1+(Inputs!$B$24+((C3350=TRUE)*(F3350-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3343=TRUE)*(F3343-Calc!F23))+(((IF(AND(ArtifactsInput!$M$42,((Inputs!$B$9+((C3345=TRUE)*(F3345-Calc!F25))+B3360+(ArtifactsInput!$M$24-ArtifactsInput!$M$24)*CHOOSE(ArtifactsInput!$N$24+1,10,12,14,16,18,20)+IF(ArtifactsInput!$M$10,CHOOSE(ArtifactsInput!$N$10+1,15,18,21,24,27,30)*(IF(Inputs!$B$39="pvp",MIN(15,15)/15,IF(AND(Inputs!$B$39&lt;&gt;"pvp",Inputs!$B$44&gt;0),MIN(15,Inputs!$B$44)/(Inputs!$B$44),0))),0)))&gt;=100),MIN(100,((Inputs!$B$9+((C3345=TRUE)*(F3345-Calc!F25))+B3360+(ArtifactsInput!$M$24-ArtifactsInput!$M$24)*CHOOSE(ArtifactsInput!$N$24+1,10,12,14,16,18,20)+IF(ArtifactsInput!$M$10,CHOOSE(ArtifactsInput!$N$10+1,15,18,21,24,27,30)*(IF(Inputs!$B$39="pvp",MIN(15,15)/15,IF(AND(Inputs!$B$39&lt;&gt;"pvp",Inputs!$B$44&gt;0),MIN(15,Inputs!$B$44)/(Inputs!$B$44),0))),0)))-100),0))*CHOOSE(ArtifactsInput!$N$42+1,0.6,0.72,0.84,0.96,1.08,1.2))),Inputs!$B$18+((C3349=TRUE)*(F3349-Calc!F29))+(IF(AND(ArtifactsInput!$M$42,((Inputs!$B$9+((C3345=TRUE)*(F3345-Calc!F25))+B3360+(ArtifactsInput!$M$24-ArtifactsInput!$M$24)*CHOOSE(ArtifactsInput!$N$24+1,10,12,14,16,18,20)+IF(ArtifactsInput!$M$10,CHOOSE(ArtifactsInput!$N$10+1,15,18,21,24,27,30)*(IF(Inputs!$B$39="pvp",MIN(15,15)/15,IF(AND(Inputs!$B$39&lt;&gt;"pvp",Inputs!$B$44&gt;0),MIN(15,Inputs!$B$44)/(Inputs!$B$44),0))),0)))&gt;=100),CHOOSE(ArtifactsInput!$N$42+1,40,48,56,64,72,80),0))))/100)*(((1+(((C3341=TRUE)*F3341*IF(AND(Inputs!$B$39&lt;&gt;"pvp",Inputs!$B$44&gt;0),(((R3341-1)*(Skills!Y21*(1+Inputs!$B$34/100))+MIN((Skills!Y21*(1+Inputs!$B$34/100)),MAX(0,Inputs!$B$44-((R3341-1)*Skills!D21))))/Inputs!$B$44),IF(Inputs!$B$39="pvp",MIN((Skills!Y21*(1+Inputs!$B$34/100)),15)/15,(Skills!Y21*(1+Inputs!$B$34/100))/Skills!D21)))+((C3348=TRUE)*(F3348-Calc!F28))+((C3338=TRUE)*(F3338-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3335=TRUE)*F3335*IF(AND(Inputs!$B$39&lt;&gt;"pvp",Inputs!$B$44&gt;0),(((R3335-1)*(Skills!Y15*(1+Inputs!$B$34/100))+MIN((Skills!Y15*(1+Inputs!$B$34/100)),MAX(0,Inputs!$B$44-((R3335-1)*Skills!D15))))/Inputs!$B$44),IF(Inputs!$B$39="pvp",MIN((Skills!Y15*(1+Inputs!$B$34/100)),15)/15,(Skills!Y15*(1+Inputs!$B$34/100))/Skills!D15)))/100)*(1+((C3326=TRUE)*F3326*B3354)/100))*B3362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3334)</f>
        <v/>
      </c>
      <c r="L3334">
        <f>K3334*(MIN(Inputs!$B$22+((C3344=TRUE)*(F3344-Calc!F24)),(Inputs!$B$23+0+(IF(ArtifactsInput!$M$15,CHOOSE(ArtifactsInput!$N$15+1,25,30,35,40,45,50)/100*(Inputs!$B$11-Inputs!$B$11),0))))/100+(Inputs!$B$23+0+(IF(ArtifactsInput!$M$15,CHOOSE(ArtifactsInput!$N$15+1,25,30,35,40,45,50)/100*(Inputs!$B$11-Inputs!$B$11),0)))/100)/2</f>
        <v/>
      </c>
      <c r="M3334">
        <f>L3334*(1+(Inputs!$B$10+((C3346=TRUE)*(F3346-Calc!F26))+B3363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34">
        <f>L3334*(1-MIN((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3334*(MIN((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34">
        <f>(1-Summary!$B$11)*T3334+Summary!$B$11*V3334</f>
        <v/>
      </c>
      <c r="P3334">
        <f>IF(B3364=0,0,O3334/B3364)</f>
        <v/>
      </c>
      <c r="Q3334">
        <f>IFERROR(1/IF(Inputs!$B$39="pvp",15,MAX(0.1,Skills!D14-IF(Skills!E14=TRUE,2.0,0))),0)</f>
        <v/>
      </c>
      <c r="R3334">
        <f>IF(AND(Inputs!$B$39&lt;&gt;"pvp",Inputs!$B$44&gt;0),IF(MAX(0,Inputs!$B$44-B3365)&lt;=0,0,(INT(MAX(0,Inputs!$B$44-B3365)/IF(Inputs!$B$39="pvp",15,MAX(0.1,Skills!D14-IF(Skills!E14=TRUE,2.0,0))))+1)),0)</f>
        <v/>
      </c>
      <c r="S3334">
        <f>IFERROR(O3334/N3334,0)</f>
        <v/>
      </c>
      <c r="T3334">
        <f>IF(C3334,(H3334*N3334*IF(AND(Inputs!$B$39&lt;&gt;"pvp",Inputs!$B$44&gt;0),((Skills!G14*((R3334-1)*IF(Skills!H14&gt;0,Skills!I14/Skills!H14,1)+IF(Skills!H14&gt;0,MIN(Skills!I14,MAX(0,MAX(0,Inputs!$B$44-B3365)-((R3334-1)*IF(Inputs!$B$39="pvp",15,MAX(0.1,Skills!D14-IF(Skills!E14=TRUE,2.0,0))))))/Skills!H14,1)))/Inputs!$B$44),G3334*Q3334))*IF(Inputs!$B$39="pvp",1,1+(Inputs!$B$20+((C3347=TRUE)*(F3347-Calc!F27))+Skills!P14+B3361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Hunt"),CHOOSE(ArtifactsInput!$N$35+1,15,18,21,24,27,30)*(1-EXP(-(0.2*B3356)*5)),0)+IF(AND(ArtifactsInput!$M$22,Inputs!$B$4&lt;&gt;"Chapter Hunt"),CHOOSE(ArtifactsInput!$N$22+1,10,12,14,16,18,20)*((0*(((0.15*B3356*5))^0/1)+1*(((0.15*B3356*5))^1/1)+2*(((0.15*B3356*5))^2/2)+3*(((0.15*B3356*5))^3/6)+4*(((0.15*B3356*5))^4/24)+5*(((0.15*B3356*5))^5/120))/((((0.15*B3356*5))^0/1)+(((0.15*B3356*5))^1/1)+(((0.15*B3356*5))^2/2)+(((0.15*B3356*5))^3/6)+(((0.15*B3356*5))^4/24)+(((0.15*B3356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3334*(1-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3334*(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3334*(1-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3334*(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34">
        <f>IF(C3334,(H3334*N3334*IF(AND(Inputs!$B$39&lt;&gt;"pvp",Inputs!$B$44&gt;0),((Skills!G14*((R3334-1)*IF(Skills!H14&gt;0,Skills!I14/Skills!H14,1)+IF(Skills!H14&gt;0,MIN(Skills!I14,MAX(0,MAX(0,Inputs!$B$44-B3365)-((R3334-1)*IF(Inputs!$B$39="pvp",15,MAX(0.1,Skills!D14-IF(Skills!E14=TRUE,2.0,0))))))/Skills!H14,1)))/Inputs!$B$44),G3334*Q3334))*IF(Inputs!$B$39="pvp",1,(1+(Inputs!$B$21+Skills!Q14+B3361+(IF(ArtifactsInput!$M$33,CHOOSE(ArtifactsInput!$N$33+1,30,36,42,48,54,60),0))+(IF(AND(ArtifactsInput!$M$35,Inputs!$B$4&lt;&gt;"Chapter Hunt"),CHOOSE(ArtifactsInput!$N$35+1,15,18,21,24,27,30)*(1-EXP(-(0.2*B3356)*5)),0)+IF(AND(ArtifactsInput!$M$22,Inputs!$B$4&lt;&gt;"Chapter Hunt"),CHOOSE(ArtifactsInput!$N$22+1,10,12,14,16,18,20)*((0*(((0.15*B3356*5))^0/1)+1*(((0.15*B3356*5))^1/1)+2*(((0.15*B3356*5))^2/2)+3*(((0.15*B3356*5))^3/6)+4*(((0.15*B3356*5))^4/24)+5*(((0.15*B3356*5))^5/120))/((((0.15*B3356*5))^0/1)+(((0.15*B3356*5))^1/1)+(((0.15*B3356*5))^2/2)+(((0.15*B3356*5))^3/6)+(((0.15*B3356*5))^4/24)+(((0.15*B3356*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35">
      <c r="A3335">
        <f>Skills!A15</f>
        <v/>
      </c>
      <c r="B3335">
        <f>Skills!B15</f>
        <v/>
      </c>
      <c r="C3335">
        <f>Inputs!$B$3&gt;=110</f>
        <v/>
      </c>
      <c r="D3335">
        <f>IF(Skills!C15=1,60+Inputs!$B$25+Inputs!$B$29,IF(Skills!C15=2,90+Inputs!$B$26+Inputs!$B$29,IF(Skills!C15=3,120+Inputs!$B$27+Inputs!$B$29,MAX(0,(Inputs!$B$3-100)*3)+Inputs!$B$28+Inputs!$B$29)))</f>
        <v/>
      </c>
      <c r="E3335">
        <f>INDEX(FactorTable!$B$2:$Y$301, MATCH(ROUND(MIN(300,MAX(1,D3335)),0), FactorTable!$A$2:$A$301,0), Skills!M15+1)</f>
        <v/>
      </c>
      <c r="F3335">
        <f>IF(Skills!N15=TRUE,(Skills!L15/10)*(E3335/1000),Skills!L15/10)+Skills!O15</f>
        <v/>
      </c>
      <c r="G3335">
        <f>Calc!G15</f>
        <v/>
      </c>
      <c r="H3335">
        <f>Calc!H15</f>
        <v/>
      </c>
      <c r="I3335">
        <f>IF(Skills!AA15&lt;&gt;"",1+(Skills!AA15/10)*(U3323/1000)/100,1)</f>
        <v/>
      </c>
      <c r="J3335" t="inlineStr"/>
      <c r="K3335" t="inlineStr"/>
      <c r="L3335" t="inlineStr"/>
      <c r="M3335" t="inlineStr"/>
      <c r="N3335" t="inlineStr"/>
      <c r="O3335">
        <f>(1-Summary!$B$11)*T3335+Summary!$B$11*V3335</f>
        <v/>
      </c>
      <c r="P3335">
        <f>IF(B3364=0,0,O3335/B3364)</f>
        <v/>
      </c>
      <c r="Q3335">
        <f>IFERROR(1/IF(Inputs!$B$39="pvp",15,MAX(0.1,Skills!D15-IF(Skills!E15=TRUE,2.0,0))),0)</f>
        <v/>
      </c>
      <c r="R3335">
        <f>IF(AND(Inputs!$B$39&lt;&gt;"pvp",Inputs!$B$44&gt;0),IF(Inputs!$B$44&lt;=0,0,(INT(Inputs!$B$44/IF(Inputs!$B$39="pvp",15,MAX(0.1,Skills!D15-IF(Skills!E15=TRUE,2.0,0))))+1)),0)</f>
        <v/>
      </c>
      <c r="S3335">
        <f>IFERROR(O3335/N3335,0)</f>
        <v/>
      </c>
      <c r="T3335" t="n">
        <v>0</v>
      </c>
      <c r="V3335" t="n">
        <v>0</v>
      </c>
    </row>
    <row r="3336">
      <c r="A3336">
        <f>Skills!A16</f>
        <v/>
      </c>
      <c r="B3336">
        <f>Skills!B16</f>
        <v/>
      </c>
      <c r="C3336">
        <f>Inputs!$B$3&gt;=110</f>
        <v/>
      </c>
      <c r="D3336">
        <f>IF(Skills!C16=1,60+Inputs!$B$25+Inputs!$B$29,IF(Skills!C16=2,90+Inputs!$B$26+Inputs!$B$29,IF(Skills!C16=3,120+Inputs!$B$27+Inputs!$B$29,MAX(0,(Inputs!$B$3-100)*3)+Inputs!$B$28+Inputs!$B$29)))</f>
        <v/>
      </c>
      <c r="E3336">
        <f>INDEX(FactorTable!$B$2:$Y$301, MATCH(ROUND(MIN(300,MAX(1,D3336)),0), FactorTable!$A$2:$A$301,0), Skills!M16+1)</f>
        <v/>
      </c>
      <c r="F3336">
        <f>IF(Skills!N16=TRUE,(Skills!L16/10)*(E3336/1000),Skills!L16/10)+Skills!O16</f>
        <v/>
      </c>
      <c r="G3336">
        <f>Calc!G16</f>
        <v/>
      </c>
      <c r="H3336">
        <f>Calc!H16</f>
        <v/>
      </c>
      <c r="I3336">
        <f>IF(Skills!AA16&lt;&gt;"",1+(Skills!AA16/10)*(U3323/1000)/100,1)</f>
        <v/>
      </c>
      <c r="J3336" t="inlineStr"/>
      <c r="K3336" t="inlineStr"/>
      <c r="L3336" t="inlineStr"/>
      <c r="M3336" t="inlineStr"/>
      <c r="N3336" t="inlineStr"/>
      <c r="O3336">
        <f>(1-Summary!$B$11)*T3336+Summary!$B$11*V3336</f>
        <v/>
      </c>
      <c r="P3336">
        <f>IF(B3364=0,0,O3336/B3364)</f>
        <v/>
      </c>
      <c r="Q3336">
        <f>IFERROR(1/IF(Inputs!$B$39="pvp",15,MAX(0.1,Skills!D16-IF(Skills!E16=TRUE,2.0,0))),0)</f>
        <v/>
      </c>
      <c r="R3336">
        <f>IF(AND(Inputs!$B$39&lt;&gt;"pvp",Inputs!$B$44&gt;0),IF(Inputs!$B$44&lt;=0,0,(INT(Inputs!$B$44/IF(Inputs!$B$39="pvp",15,MAX(0.1,Skills!D16-IF(Skills!E16=TRUE,2.0,0))))+1)),0)</f>
        <v/>
      </c>
      <c r="S3336">
        <f>IFERROR(O3336/N3336,0)</f>
        <v/>
      </c>
      <c r="T3336" t="n">
        <v>0</v>
      </c>
      <c r="V3336" t="n">
        <v>0</v>
      </c>
    </row>
    <row r="3337">
      <c r="A3337">
        <f>Skills!A17</f>
        <v/>
      </c>
      <c r="B3337">
        <f>Skills!B17</f>
        <v/>
      </c>
      <c r="C3337">
        <f>Inputs!$B$3&gt;=115</f>
        <v/>
      </c>
      <c r="D3337">
        <f>IF(Skills!C17=1,60+Inputs!$B$25+Inputs!$B$29,IF(Skills!C17=2,90+Inputs!$B$26+Inputs!$B$29,IF(Skills!C17=3,120+Inputs!$B$27+Inputs!$B$29,MAX(0,(Inputs!$B$3-100)*3)+Inputs!$B$28+Inputs!$B$29)))</f>
        <v/>
      </c>
      <c r="E3337">
        <f>INDEX(FactorTable!$B$2:$Y$301, MATCH(ROUND(MIN(300,MAX(1,D3337)),0), FactorTable!$A$2:$A$301,0), Skills!M17+1)</f>
        <v/>
      </c>
      <c r="F3337">
        <f>IF(Skills!N17=TRUE,(Skills!L17/10)*(E3337/1000),Skills!L17/10)+Skills!O17</f>
        <v/>
      </c>
      <c r="G3337">
        <f>Calc!G17</f>
        <v/>
      </c>
      <c r="H3337">
        <f>Calc!H17</f>
        <v/>
      </c>
      <c r="I3337">
        <f>IF(Skills!AA17&lt;&gt;"",1+(Skills!AA17/10)*(U3323/1000)/100,1)</f>
        <v/>
      </c>
      <c r="J3337">
        <f>((Inputs!$B$6*(1+Inputs!$B$7/100))+(((Inputs!$B$12*(1+Inputs!$B$13/100))-(Inputs!$B$12*(1+Inputs!$B$13/100)))+0.25*(Inputs!$B$14-Inputs!$B$14))*(1+Inputs!$B$7/100))*(F3337/100)</f>
        <v/>
      </c>
      <c r="K3337">
        <f>J3337*(1+((Inputs!$B$12*(1+Inputs!$B$13/100))*0.01+Inputs!$B$14*0.0025)/100)*(1+Inputs!$B$15/100)*(1+Inputs!$B$16/100)*(5000/(6000+Inputs!$B$43*(1-(100*(1-(1-(Inputs!$B$19+0)/100)*(1-CHOOSE(ArtifactsInput!$N$40+1,5,6,7,8,9,10)/100)^(ArtifactsInput!$M$40-ArtifactsInput!$M$40)))/100)))*(1+(Inputs!$B$24+((C3350=TRUE)*(F3350-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3343=TRUE)*(F3343-Calc!F23))+(((IF(AND(ArtifactsInput!$M$42,((Inputs!$B$9+((C3345=TRUE)*(F3345-Calc!F25))+B3360+(ArtifactsInput!$M$24-ArtifactsInput!$M$24)*CHOOSE(ArtifactsInput!$N$24+1,10,12,14,16,18,20)+IF(ArtifactsInput!$M$10,CHOOSE(ArtifactsInput!$N$10+1,15,18,21,24,27,30)*(IF(Inputs!$B$39="pvp",MIN(15,15)/15,IF(AND(Inputs!$B$39&lt;&gt;"pvp",Inputs!$B$44&gt;0),MIN(15,Inputs!$B$44)/(Inputs!$B$44),0))),0)))&gt;=100),MIN(100,((Inputs!$B$9+((C3345=TRUE)*(F3345-Calc!F25))+B3360+(ArtifactsInput!$M$24-ArtifactsInput!$M$24)*CHOOSE(ArtifactsInput!$N$24+1,10,12,14,16,18,20)+IF(ArtifactsInput!$M$10,CHOOSE(ArtifactsInput!$N$10+1,15,18,21,24,27,30)*(IF(Inputs!$B$39="pvp",MIN(15,15)/15,IF(AND(Inputs!$B$39&lt;&gt;"pvp",Inputs!$B$44&gt;0),MIN(15,Inputs!$B$44)/(Inputs!$B$44),0))),0)))-100),0))*CHOOSE(ArtifactsInput!$N$42+1,0.6,0.72,0.84,0.96,1.08,1.2))),Inputs!$B$18+((C3349=TRUE)*(F3349-Calc!F29))+(IF(AND(ArtifactsInput!$M$42,((Inputs!$B$9+((C3345=TRUE)*(F3345-Calc!F25))+B3360+(ArtifactsInput!$M$24-ArtifactsInput!$M$24)*CHOOSE(ArtifactsInput!$N$24+1,10,12,14,16,18,20)+IF(ArtifactsInput!$M$10,CHOOSE(ArtifactsInput!$N$10+1,15,18,21,24,27,30)*(IF(Inputs!$B$39="pvp",MIN(15,15)/15,IF(AND(Inputs!$B$39&lt;&gt;"pvp",Inputs!$B$44&gt;0),MIN(15,Inputs!$B$44)/(Inputs!$B$44),0))),0)))&gt;=100),CHOOSE(ArtifactsInput!$N$42+1,40,48,56,64,72,80),0))))/100)*(((1+(((C3341=TRUE)*F3341*IF(AND(Inputs!$B$39&lt;&gt;"pvp",Inputs!$B$44&gt;0),(((R3341-1)*(Skills!Y21*(1+Inputs!$B$34/100))+MIN((Skills!Y21*(1+Inputs!$B$34/100)),MAX(0,Inputs!$B$44-((R3341-1)*Skills!D21))))/Inputs!$B$44),IF(Inputs!$B$39="pvp",MIN((Skills!Y21*(1+Inputs!$B$34/100)),15)/15,(Skills!Y21*(1+Inputs!$B$34/100))/Skills!D21)))+((C3348=TRUE)*(F3348-Calc!F28))+((C3338=TRUE)*(F3338-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3335=TRUE)*F3335*IF(AND(Inputs!$B$39&lt;&gt;"pvp",Inputs!$B$44&gt;0),(((R3335-1)*(Skills!Y15*(1+Inputs!$B$34/100))+MIN((Skills!Y15*(1+Inputs!$B$34/100)),MAX(0,Inputs!$B$44-((R3335-1)*Skills!D15))))/Inputs!$B$44),IF(Inputs!$B$39="pvp",MIN((Skills!Y15*(1+Inputs!$B$34/100)),15)/15,(Skills!Y15*(1+Inputs!$B$34/100))/Skills!D15)))/100)*(1+((C3326=TRUE)*F3326*B3354)/100))*B3362*(1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3337)</f>
        <v/>
      </c>
      <c r="L3337">
        <f>K3337*(MIN(Inputs!$B$22+((C3344=TRUE)*(F3344-Calc!F24)),(Inputs!$B$23+0+(IF(ArtifactsInput!$M$15,CHOOSE(ArtifactsInput!$N$15+1,25,30,35,40,45,50)/100*(Inputs!$B$11-Inputs!$B$11),0))))/100+(Inputs!$B$23+0+(IF(ArtifactsInput!$M$15,CHOOSE(ArtifactsInput!$N$15+1,25,30,35,40,45,50)/100*(Inputs!$B$11-Inputs!$B$11),0)))/100)/2</f>
        <v/>
      </c>
      <c r="M3337">
        <f>L3337*(1+(Inputs!$B$10+((C3346=TRUE)*(F3346-Calc!F26))+B3363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37">
        <f>L3337*(1-MIN((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3337*(MIN((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37">
        <f>(1-Summary!$B$11)*T3337+Summary!$B$11*V3337</f>
        <v/>
      </c>
      <c r="P3337">
        <f>IF(B3364=0,0,O3337/B3364)</f>
        <v/>
      </c>
      <c r="Q3337" t="n">
        <v>0</v>
      </c>
      <c r="R3337" t="n">
        <v>0</v>
      </c>
      <c r="S3337">
        <f>IFERROR(O3337/N3337,0)</f>
        <v/>
      </c>
      <c r="T3337">
        <f>IF(C3337,(Inputs!$B$38*0.2*N3337)*IF(Inputs!$B$39="pvp",1,1+(Inputs!$B$20+((C3347=TRUE)*(F3347-Calc!F27))+Skills!P17+B3361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Hunt"),CHOOSE(ArtifactsInput!$N$35+1,15,18,21,24,27,30)*(1-EXP(-(0.2*B3356)*5)),0)+IF(AND(ArtifactsInput!$M$22,Inputs!$B$4&lt;&gt;"Chapter Hunt"),CHOOSE(ArtifactsInput!$N$22+1,10,12,14,16,18,20)*((0*(((0.15*B3356*5))^0/1)+1*(((0.15*B3356*5))^1/1)+2*(((0.15*B3356*5))^2/2)+3*(((0.15*B3356*5))^3/6)+4*(((0.15*B3356*5))^4/24)+5*(((0.15*B3356*5))^5/120))/((((0.15*B3356*5))^0/1)+(((0.15*B3356*5))^1/1)+(((0.15*B3356*5))^2/2)+(((0.15*B3356*5))^3/6)+(((0.15*B3356*5))^4/24)+(((0.15*B3356*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3337*(1-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3337*(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3337*(1-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3337*(MIN(100,(Inputs!$B$9+((C3345=TRUE)*(F3345-Calc!F25))+B3360+(ArtifactsInput!$M$24-ArtifactsInput!$M$24)*CHOOSE(ArtifactsInput!$N$24+1,10,12,14,16,18,20)+(IF(AND(ArtifactsInput!$M$42,((Inputs!$B$9+((C3345=TRUE)*(F3345-Calc!F25))+B3360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37">
        <f>IF(C3337,(Inputs!$B$38*0.2*N3337)*IF(Inputs!$B$39="pvp",1,(1+(Inputs!$B$21+Skills!Q17+B3361+(IF(ArtifactsInput!$M$33,CHOOSE(ArtifactsInput!$N$33+1,30,36,42,48,54,60),0))+(IF(AND(ArtifactsInput!$M$35,Inputs!$B$4&lt;&gt;"Chapter Hunt"),CHOOSE(ArtifactsInput!$N$35+1,15,18,21,24,27,30)*(1-EXP(-(0.2*B3356)*5)),0)+IF(AND(ArtifactsInput!$M$22,Inputs!$B$4&lt;&gt;"Chapter Hunt"),CHOOSE(ArtifactsInput!$N$22+1,10,12,14,16,18,20)*((0*(((0.15*B3356*5))^0/1)+1*(((0.15*B3356*5))^1/1)+2*(((0.15*B3356*5))^2/2)+3*(((0.15*B3356*5))^3/6)+4*(((0.15*B3356*5))^4/24)+5*(((0.15*B3356*5))^5/120))/((((0.15*B3356*5))^0/1)+(((0.15*B3356*5))^1/1)+(((0.15*B3356*5))^2/2)+(((0.15*B3356*5))^3/6)+(((0.15*B3356*5))^4/24)+(((0.15*B3356*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38">
      <c r="A3338">
        <f>Skills!A18</f>
        <v/>
      </c>
      <c r="B3338">
        <f>Skills!B18</f>
        <v/>
      </c>
      <c r="C3338">
        <f>Inputs!$B$3&gt;=115</f>
        <v/>
      </c>
      <c r="D3338">
        <f>IF(Skills!C18=1,60+Inputs!$B$25+Inputs!$B$29,IF(Skills!C18=2,90+Inputs!$B$26+Inputs!$B$29,IF(Skills!C18=3,120+Inputs!$B$27+Inputs!$B$29,MAX(0,(Inputs!$B$3-100)*3)+Inputs!$B$28+Inputs!$B$29)))</f>
        <v/>
      </c>
      <c r="E3338">
        <f>INDEX(FactorTable!$B$2:$Y$301, MATCH(ROUND(MIN(300,MAX(1,D3338)),0), FactorTable!$A$2:$A$301,0), Skills!M18+1)</f>
        <v/>
      </c>
      <c r="F3338">
        <f>IF(Skills!N18=TRUE,(Skills!L18/10)*(E3338/1000),Skills!L18/10)+Skills!O18</f>
        <v/>
      </c>
      <c r="G3338">
        <f>Calc!G18</f>
        <v/>
      </c>
      <c r="H3338">
        <f>Calc!H18</f>
        <v/>
      </c>
      <c r="I3338">
        <f>IF(Skills!AA18&lt;&gt;"",1+(Skills!AA18/10)*(U3323/1000)/100,1)</f>
        <v/>
      </c>
      <c r="J3338" t="inlineStr"/>
      <c r="K3338" t="inlineStr"/>
      <c r="L3338" t="inlineStr"/>
      <c r="M3338" t="inlineStr"/>
      <c r="N3338" t="inlineStr"/>
      <c r="O3338">
        <f>(1-Summary!$B$11)*T3338+Summary!$B$11*V3338</f>
        <v/>
      </c>
      <c r="P3338">
        <f>IF(B3364=0,0,O3338/B3364)</f>
        <v/>
      </c>
      <c r="Q3338" t="n">
        <v>0</v>
      </c>
      <c r="R3338" t="n">
        <v>0</v>
      </c>
      <c r="S3338">
        <f>IFERROR(O3338/N3338,0)</f>
        <v/>
      </c>
      <c r="T3338" t="n">
        <v>0</v>
      </c>
      <c r="V3338" t="n">
        <v>0</v>
      </c>
    </row>
    <row r="3339">
      <c r="A3339">
        <f>Skills!A19</f>
        <v/>
      </c>
      <c r="B3339">
        <f>Skills!B19</f>
        <v/>
      </c>
      <c r="C3339">
        <f>TRUE</f>
        <v/>
      </c>
      <c r="D3339">
        <f>IF(Skills!C19=1,60+Inputs!$B$25+Inputs!$B$29,IF(Skills!C19=2,90+Inputs!$B$26+Inputs!$B$29,IF(Skills!C19=3,120+Inputs!$B$27+Inputs!$B$29,MAX(0,(Inputs!$B$3-100)*3)+Inputs!$B$28+Inputs!$B$29)))</f>
        <v/>
      </c>
      <c r="E3339">
        <f>INDEX(FactorTable!$B$2:$Y$301, MATCH(ROUND(MIN(300,MAX(1,D3339)),0), FactorTable!$A$2:$A$301,0), Skills!M19+1)</f>
        <v/>
      </c>
      <c r="F3339">
        <f>IF(Skills!N19=TRUE,(Skills!L19/10)*(E3339/1000),Skills!L19/10)+Skills!O19</f>
        <v/>
      </c>
      <c r="G3339">
        <f>Calc!G19</f>
        <v/>
      </c>
      <c r="H3339">
        <f>Calc!H19</f>
        <v/>
      </c>
      <c r="I3339">
        <f>IF(Skills!AA19&lt;&gt;"",1+(Skills!AA19/10)*(U3323/1000)/100,1)</f>
        <v/>
      </c>
      <c r="J3339" t="inlineStr"/>
      <c r="K3339" t="inlineStr"/>
      <c r="L3339" t="inlineStr"/>
      <c r="M3339" t="inlineStr"/>
      <c r="N3339" t="inlineStr"/>
      <c r="O3339">
        <f>(1-Summary!$B$11)*T3339+Summary!$B$11*V3339</f>
        <v/>
      </c>
      <c r="P3339">
        <f>IF(B3364=0,0,O3339/B3364)</f>
        <v/>
      </c>
      <c r="Q3339">
        <f>IFERROR(1/IF(Inputs!$B$39="pvp",15,MAX(0.1,Skills!D19-IF(Skills!E19=TRUE,2.0,0))),0)</f>
        <v/>
      </c>
      <c r="R3339">
        <f>IF(AND(Inputs!$B$39&lt;&gt;"pvp",Inputs!$B$44&gt;0),IF(Inputs!$B$44&lt;=0,0,(INT(Inputs!$B$44/IF(Inputs!$B$39="pvp",15,MAX(0.1,Skills!D19-IF(Skills!E19=TRUE,2.0,0))))+1)),0)</f>
        <v/>
      </c>
      <c r="S3339">
        <f>IFERROR(O3339/N3339,0)</f>
        <v/>
      </c>
      <c r="T3339" t="n">
        <v>0</v>
      </c>
      <c r="V3339" t="n">
        <v>0</v>
      </c>
    </row>
    <row r="3340">
      <c r="A3340">
        <f>Skills!A20</f>
        <v/>
      </c>
      <c r="B3340">
        <f>Skills!B20</f>
        <v/>
      </c>
      <c r="C3340">
        <f>Inputs!$B$3&gt;=15</f>
        <v/>
      </c>
      <c r="D3340">
        <f>IF(Skills!C20=1,60+Inputs!$B$25+Inputs!$B$29,IF(Skills!C20=2,90+Inputs!$B$26+Inputs!$B$29,IF(Skills!C20=3,120+Inputs!$B$27+Inputs!$B$29,MAX(0,(Inputs!$B$3-100)*3)+Inputs!$B$28+Inputs!$B$29)))</f>
        <v/>
      </c>
      <c r="E3340">
        <f>INDEX(FactorTable!$B$2:$Y$301, MATCH(ROUND(MIN(300,MAX(1,D3340)),0), FactorTable!$A$2:$A$301,0), Skills!M20+1)</f>
        <v/>
      </c>
      <c r="F3340">
        <f>IF(Skills!N20=TRUE,(Skills!L20/10)*(E3340/1000),Skills!L20/10)+Skills!O20</f>
        <v/>
      </c>
      <c r="G3340">
        <f>Calc!G20</f>
        <v/>
      </c>
      <c r="H3340">
        <f>Calc!H20</f>
        <v/>
      </c>
      <c r="I3340">
        <f>IF(Skills!AA20&lt;&gt;"",1+(Skills!AA20/10)*(U3323/1000)/100,1)</f>
        <v/>
      </c>
      <c r="J3340" t="inlineStr"/>
      <c r="K3340" t="inlineStr"/>
      <c r="L3340" t="inlineStr"/>
      <c r="M3340" t="inlineStr"/>
      <c r="N3340" t="inlineStr"/>
      <c r="O3340">
        <f>(1-Summary!$B$11)*T3340+Summary!$B$11*V3340</f>
        <v/>
      </c>
      <c r="P3340">
        <f>IF(B3364=0,0,O3340/B3364)</f>
        <v/>
      </c>
      <c r="Q3340">
        <f>IFERROR(1/IF(Inputs!$B$39="pvp",15,MAX(0.1,Skills!D20-IF(Skills!E20=TRUE,2.0,0))),0)</f>
        <v/>
      </c>
      <c r="R3340">
        <f>IF(AND(Inputs!$B$39&lt;&gt;"pvp",Inputs!$B$44&gt;0),IF(Inputs!$B$44&lt;=0,0,(INT(Inputs!$B$44/IF(Inputs!$B$39="pvp",15,MAX(0.1,Skills!D20-IF(Skills!E20=TRUE,2.0,0))))+1)),0)</f>
        <v/>
      </c>
      <c r="S3340">
        <f>IFERROR(O3340/N3340,0)</f>
        <v/>
      </c>
      <c r="T3340" t="n">
        <v>0</v>
      </c>
      <c r="V3340" t="n">
        <v>0</v>
      </c>
    </row>
    <row r="3341">
      <c r="A3341">
        <f>Skills!A21</f>
        <v/>
      </c>
      <c r="B3341">
        <f>Skills!B21</f>
        <v/>
      </c>
      <c r="C3341">
        <f>Inputs!$B$3&gt;=15</f>
        <v/>
      </c>
      <c r="D3341">
        <f>IF(Skills!C21=1,60+Inputs!$B$25+Inputs!$B$29,IF(Skills!C21=2,90+Inputs!$B$26+Inputs!$B$29,IF(Skills!C21=3,120+Inputs!$B$27+Inputs!$B$29,MAX(0,(Inputs!$B$3-100)*3)+Inputs!$B$28+Inputs!$B$29)))</f>
        <v/>
      </c>
      <c r="E3341">
        <f>INDEX(FactorTable!$B$2:$Y$301, MATCH(ROUND(MIN(300,MAX(1,D3341)),0), FactorTable!$A$2:$A$301,0), Skills!M21+1)</f>
        <v/>
      </c>
      <c r="F3341">
        <f>IF(Skills!N21=TRUE,(Skills!L21/10)*(E3341/1000),Skills!L21/10)+Skills!O21</f>
        <v/>
      </c>
      <c r="G3341">
        <f>Calc!G21</f>
        <v/>
      </c>
      <c r="H3341">
        <f>Calc!H21</f>
        <v/>
      </c>
      <c r="I3341">
        <f>IF(Skills!AA21&lt;&gt;"",1+(Skills!AA21/10)*(U3323/1000)/100,1)</f>
        <v/>
      </c>
      <c r="J3341" t="inlineStr"/>
      <c r="K3341" t="inlineStr"/>
      <c r="L3341" t="inlineStr"/>
      <c r="M3341" t="inlineStr"/>
      <c r="N3341" t="inlineStr"/>
      <c r="O3341">
        <f>(1-Summary!$B$11)*T3341+Summary!$B$11*V3341</f>
        <v/>
      </c>
      <c r="P3341">
        <f>IF(B3364=0,0,O3341/B3364)</f>
        <v/>
      </c>
      <c r="Q3341">
        <f>IFERROR(1/IF(Inputs!$B$39="pvp",15,MAX(0.1,Skills!D21-IF(Skills!E21=TRUE,2.0,0))),0)</f>
        <v/>
      </c>
      <c r="R3341">
        <f>IF(AND(Inputs!$B$39&lt;&gt;"pvp",Inputs!$B$44&gt;0),IF(Inputs!$B$44&lt;=0,0,(INT(Inputs!$B$44/IF(Inputs!$B$39="pvp",15,MAX(0.1,Skills!D21-IF(Skills!E21=TRUE,2.0,0))))+1)),0)</f>
        <v/>
      </c>
      <c r="S3341">
        <f>IFERROR(O3341/N3341,0)</f>
        <v/>
      </c>
      <c r="T3341" t="n">
        <v>0</v>
      </c>
      <c r="V3341" t="n">
        <v>0</v>
      </c>
    </row>
    <row r="3342">
      <c r="A3342">
        <f>Skills!A22</f>
        <v/>
      </c>
      <c r="B3342">
        <f>Skills!B22</f>
        <v/>
      </c>
      <c r="C3342">
        <f>Inputs!$B$3&gt;=33</f>
        <v/>
      </c>
      <c r="D3342">
        <f>IF(Skills!C22=1,60+Inputs!$B$25+Inputs!$B$29,IF(Skills!C22=2,90+Inputs!$B$26+Inputs!$B$29,IF(Skills!C22=3,120+Inputs!$B$27+Inputs!$B$29,MAX(0,(Inputs!$B$3-100)*3)+Inputs!$B$28+Inputs!$B$29)))</f>
        <v/>
      </c>
      <c r="E3342">
        <f>INDEX(FactorTable!$B$2:$Y$301, MATCH(ROUND(MIN(300,MAX(1,D3342)),0), FactorTable!$A$2:$A$301,0), Skills!M22+1)</f>
        <v/>
      </c>
      <c r="F3342">
        <f>IF(Skills!N22=TRUE,(Skills!L22/10)*(E3342/1000),Skills!L22/10)+Skills!O22</f>
        <v/>
      </c>
      <c r="G3342">
        <f>Calc!G22</f>
        <v/>
      </c>
      <c r="H3342">
        <f>Calc!H22</f>
        <v/>
      </c>
      <c r="I3342">
        <f>IF(Skills!AA22&lt;&gt;"",1+(Skills!AA22/10)*(U3323/1000)/100,1)</f>
        <v/>
      </c>
      <c r="J3342" t="inlineStr"/>
      <c r="K3342" t="inlineStr"/>
      <c r="L3342" t="inlineStr"/>
      <c r="M3342" t="inlineStr"/>
      <c r="N3342" t="inlineStr"/>
      <c r="O3342">
        <f>(1-Summary!$B$11)*T3342+Summary!$B$11*V3342</f>
        <v/>
      </c>
      <c r="P3342">
        <f>IF(B3364=0,0,O3342/B3364)</f>
        <v/>
      </c>
      <c r="Q3342" t="n">
        <v>0</v>
      </c>
      <c r="R3342" t="n">
        <v>0</v>
      </c>
      <c r="S3342">
        <f>IFERROR(O3342/N3342,0)</f>
        <v/>
      </c>
      <c r="T3342" t="n">
        <v>0</v>
      </c>
      <c r="V3342" t="n">
        <v>0</v>
      </c>
    </row>
    <row r="3343">
      <c r="A3343">
        <f>Skills!A23</f>
        <v/>
      </c>
      <c r="B3343">
        <f>Skills!B23</f>
        <v/>
      </c>
      <c r="C3343">
        <f>Inputs!$B$3&gt;=38</f>
        <v/>
      </c>
      <c r="D3343">
        <f>IF(Skills!C23=1,60+Inputs!$B$25+Inputs!$B$29,IF(Skills!C23=2,90+Inputs!$B$26+Inputs!$B$29,IF(Skills!C23=3,120+Inputs!$B$27+Inputs!$B$29,MAX(0,(Inputs!$B$3-100)*3)+Inputs!$B$28+Inputs!$B$29)))</f>
        <v/>
      </c>
      <c r="E3343">
        <f>INDEX(FactorTable!$B$2:$Y$301, MATCH(ROUND(MIN(300,MAX(1,D3343)),0), FactorTable!$A$2:$A$301,0), Skills!M23+1)</f>
        <v/>
      </c>
      <c r="F3343">
        <f>IF(Skills!N23=TRUE,(Skills!L23/10)*(E3343/1000),Skills!L23/10)+Skills!O23</f>
        <v/>
      </c>
      <c r="G3343">
        <f>Calc!G23</f>
        <v/>
      </c>
      <c r="H3343">
        <f>Calc!H23</f>
        <v/>
      </c>
      <c r="I3343">
        <f>IF(Skills!AA23&lt;&gt;"",1+(Skills!AA23/10)*(U3323/1000)/100,1)</f>
        <v/>
      </c>
      <c r="J3343" t="inlineStr"/>
      <c r="K3343" t="inlineStr"/>
      <c r="L3343" t="inlineStr"/>
      <c r="M3343" t="inlineStr"/>
      <c r="N3343" t="inlineStr"/>
      <c r="O3343">
        <f>(1-Summary!$B$11)*T3343+Summary!$B$11*V3343</f>
        <v/>
      </c>
      <c r="P3343">
        <f>IF(B3364=0,0,O3343/B3364)</f>
        <v/>
      </c>
      <c r="Q3343" t="n">
        <v>0</v>
      </c>
      <c r="R3343" t="n">
        <v>0</v>
      </c>
      <c r="S3343">
        <f>IFERROR(O3343/N3343,0)</f>
        <v/>
      </c>
      <c r="T3343" t="n">
        <v>0</v>
      </c>
      <c r="V3343" t="n">
        <v>0</v>
      </c>
    </row>
    <row r="3344">
      <c r="A3344">
        <f>Skills!A24</f>
        <v/>
      </c>
      <c r="B3344">
        <f>Skills!B24</f>
        <v/>
      </c>
      <c r="C3344">
        <f>Inputs!$B$3&gt;=40</f>
        <v/>
      </c>
      <c r="D3344">
        <f>IF(Skills!C24=1,60+Inputs!$B$25+Inputs!$B$29,IF(Skills!C24=2,90+Inputs!$B$26+Inputs!$B$29,IF(Skills!C24=3,120+Inputs!$B$27+Inputs!$B$29,MAX(0,(Inputs!$B$3-100)*3)+Inputs!$B$28+Inputs!$B$29)))</f>
        <v/>
      </c>
      <c r="E3344">
        <f>INDEX(FactorTable!$B$2:$Y$301, MATCH(ROUND(MIN(300,MAX(1,D3344)),0), FactorTable!$A$2:$A$301,0), Skills!M24+1)</f>
        <v/>
      </c>
      <c r="F3344">
        <f>IF(Skills!N24=TRUE,(Skills!L24/10)*(E3344/1000),Skills!L24/10)+Skills!O24</f>
        <v/>
      </c>
      <c r="G3344">
        <f>Calc!G24</f>
        <v/>
      </c>
      <c r="H3344">
        <f>Calc!H24</f>
        <v/>
      </c>
      <c r="I3344">
        <f>IF(Skills!AA24&lt;&gt;"",1+(Skills!AA24/10)*(U3323/1000)/100,1)</f>
        <v/>
      </c>
      <c r="J3344" t="inlineStr"/>
      <c r="K3344" t="inlineStr"/>
      <c r="L3344" t="inlineStr"/>
      <c r="M3344" t="inlineStr"/>
      <c r="N3344" t="inlineStr"/>
      <c r="O3344">
        <f>(1-Summary!$B$11)*T3344+Summary!$B$11*V3344</f>
        <v/>
      </c>
      <c r="P3344">
        <f>IF(B3364=0,0,O3344/B3364)</f>
        <v/>
      </c>
      <c r="Q3344" t="n">
        <v>0</v>
      </c>
      <c r="R3344" t="n">
        <v>0</v>
      </c>
      <c r="S3344">
        <f>IFERROR(O3344/N3344,0)</f>
        <v/>
      </c>
      <c r="T3344" t="n">
        <v>0</v>
      </c>
      <c r="V3344" t="n">
        <v>0</v>
      </c>
    </row>
    <row r="3345">
      <c r="A3345">
        <f>Skills!A25</f>
        <v/>
      </c>
      <c r="B3345">
        <f>Skills!B25</f>
        <v/>
      </c>
      <c r="C3345">
        <f>Inputs!$B$3&gt;=45</f>
        <v/>
      </c>
      <c r="D3345">
        <f>IF(Skills!C25=1,60+Inputs!$B$25+Inputs!$B$29,IF(Skills!C25=2,90+Inputs!$B$26+Inputs!$B$29,IF(Skills!C25=3,120+Inputs!$B$27+Inputs!$B$29,MAX(0,(Inputs!$B$3-100)*3)+Inputs!$B$28+Inputs!$B$29)))</f>
        <v/>
      </c>
      <c r="E3345">
        <f>INDEX(FactorTable!$B$2:$Y$301, MATCH(ROUND(MIN(300,MAX(1,D3345)),0), FactorTable!$A$2:$A$301,0), Skills!M25+1)</f>
        <v/>
      </c>
      <c r="F3345">
        <f>IF(Skills!N25=TRUE,(Skills!L25/10)*(E3345/1000),Skills!L25/10)+Skills!O25</f>
        <v/>
      </c>
      <c r="G3345">
        <f>Calc!G25</f>
        <v/>
      </c>
      <c r="H3345">
        <f>Calc!H25</f>
        <v/>
      </c>
      <c r="I3345">
        <f>IF(Skills!AA25&lt;&gt;"",1+(Skills!AA25/10)*(U3323/1000)/100,1)</f>
        <v/>
      </c>
      <c r="J3345" t="inlineStr"/>
      <c r="K3345" t="inlineStr"/>
      <c r="L3345" t="inlineStr"/>
      <c r="M3345" t="inlineStr"/>
      <c r="N3345" t="inlineStr"/>
      <c r="O3345">
        <f>(1-Summary!$B$11)*T3345+Summary!$B$11*V3345</f>
        <v/>
      </c>
      <c r="P3345">
        <f>IF(B3364=0,0,O3345/B3364)</f>
        <v/>
      </c>
      <c r="Q3345" t="n">
        <v>0</v>
      </c>
      <c r="R3345" t="n">
        <v>0</v>
      </c>
      <c r="S3345">
        <f>IFERROR(O3345/N3345,0)</f>
        <v/>
      </c>
      <c r="T3345" t="n">
        <v>0</v>
      </c>
      <c r="V3345" t="n">
        <v>0</v>
      </c>
    </row>
    <row r="3346">
      <c r="A3346">
        <f>Skills!A26</f>
        <v/>
      </c>
      <c r="B3346">
        <f>Skills!B26</f>
        <v/>
      </c>
      <c r="C3346">
        <f>Inputs!$B$3&gt;=45</f>
        <v/>
      </c>
      <c r="D3346">
        <f>IF(Skills!C26=1,60+Inputs!$B$25+Inputs!$B$29,IF(Skills!C26=2,90+Inputs!$B$26+Inputs!$B$29,IF(Skills!C26=3,120+Inputs!$B$27+Inputs!$B$29,MAX(0,(Inputs!$B$3-100)*3)+Inputs!$B$28+Inputs!$B$29)))</f>
        <v/>
      </c>
      <c r="E3346">
        <f>INDEX(FactorTable!$B$2:$Y$301, MATCH(ROUND(MIN(300,MAX(1,D3346)),0), FactorTable!$A$2:$A$301,0), Skills!M26+1)</f>
        <v/>
      </c>
      <c r="F3346">
        <f>IF(Skills!N26=TRUE,(Skills!L26/10)*(E3346/1000),Skills!L26/10)+Skills!O26</f>
        <v/>
      </c>
      <c r="G3346">
        <f>Calc!G26</f>
        <v/>
      </c>
      <c r="H3346">
        <f>Calc!H26</f>
        <v/>
      </c>
      <c r="I3346">
        <f>IF(Skills!AA26&lt;&gt;"",1+(Skills!AA26/10)*(U3323/1000)/100,1)</f>
        <v/>
      </c>
      <c r="J3346" t="inlineStr"/>
      <c r="K3346" t="inlineStr"/>
      <c r="L3346" t="inlineStr"/>
      <c r="M3346" t="inlineStr"/>
      <c r="N3346" t="inlineStr"/>
      <c r="O3346">
        <f>(1-Summary!$B$11)*T3346+Summary!$B$11*V3346</f>
        <v/>
      </c>
      <c r="P3346">
        <f>IF(B3364=0,0,O3346/B3364)</f>
        <v/>
      </c>
      <c r="Q3346" t="n">
        <v>0</v>
      </c>
      <c r="R3346" t="n">
        <v>0</v>
      </c>
      <c r="S3346">
        <f>IFERROR(O3346/N3346,0)</f>
        <v/>
      </c>
      <c r="T3346" t="n">
        <v>0</v>
      </c>
      <c r="V3346" t="n">
        <v>0</v>
      </c>
    </row>
    <row r="3347">
      <c r="A3347">
        <f>Skills!A27</f>
        <v/>
      </c>
      <c r="B3347">
        <f>Skills!B27</f>
        <v/>
      </c>
      <c r="C3347">
        <f>Inputs!$B$3&gt;=72</f>
        <v/>
      </c>
      <c r="D3347">
        <f>IF(Skills!C27=1,60+Inputs!$B$25+Inputs!$B$29,IF(Skills!C27=2,90+Inputs!$B$26+Inputs!$B$29,IF(Skills!C27=3,120+Inputs!$B$27+Inputs!$B$29,MAX(0,(Inputs!$B$3-100)*3)+Inputs!$B$28+Inputs!$B$29)))</f>
        <v/>
      </c>
      <c r="E3347">
        <f>INDEX(FactorTable!$B$2:$Y$301, MATCH(ROUND(MIN(300,MAX(1,D3347)),0), FactorTable!$A$2:$A$301,0), Skills!M27+1)</f>
        <v/>
      </c>
      <c r="F3347">
        <f>IF(Skills!N27=TRUE,(Skills!L27/10)*(E3347/1000),Skills!L27/10)+Skills!O27</f>
        <v/>
      </c>
      <c r="G3347">
        <f>Calc!G27</f>
        <v/>
      </c>
      <c r="H3347">
        <f>Calc!H27</f>
        <v/>
      </c>
      <c r="I3347">
        <f>IF(Skills!AA27&lt;&gt;"",1+(Skills!AA27/10)*(U3323/1000)/100,1)</f>
        <v/>
      </c>
      <c r="J3347" t="inlineStr"/>
      <c r="K3347" t="inlineStr"/>
      <c r="L3347" t="inlineStr"/>
      <c r="M3347" t="inlineStr"/>
      <c r="N3347" t="inlineStr"/>
      <c r="O3347">
        <f>(1-Summary!$B$11)*T3347+Summary!$B$11*V3347</f>
        <v/>
      </c>
      <c r="P3347">
        <f>IF(B3364=0,0,O3347/B3364)</f>
        <v/>
      </c>
      <c r="Q3347" t="n">
        <v>0</v>
      </c>
      <c r="R3347" t="n">
        <v>0</v>
      </c>
      <c r="S3347">
        <f>IFERROR(O3347/N3347,0)</f>
        <v/>
      </c>
      <c r="T3347" t="n">
        <v>0</v>
      </c>
      <c r="V3347" t="n">
        <v>0</v>
      </c>
    </row>
    <row r="3348">
      <c r="A3348">
        <f>Skills!A28</f>
        <v/>
      </c>
      <c r="B3348">
        <f>Skills!B28</f>
        <v/>
      </c>
      <c r="C3348">
        <f>Inputs!$B$3&gt;=75</f>
        <v/>
      </c>
      <c r="D3348">
        <f>IF(Skills!C28=1,60+Inputs!$B$25+Inputs!$B$29,IF(Skills!C28=2,90+Inputs!$B$26+Inputs!$B$29,IF(Skills!C28=3,120+Inputs!$B$27+Inputs!$B$29,MAX(0,(Inputs!$B$3-100)*3)+Inputs!$B$28+Inputs!$B$29)))</f>
        <v/>
      </c>
      <c r="E3348">
        <f>INDEX(FactorTable!$B$2:$Y$301, MATCH(ROUND(MIN(300,MAX(1,D3348)),0), FactorTable!$A$2:$A$301,0), Skills!M28+1)</f>
        <v/>
      </c>
      <c r="F3348">
        <f>IF(Skills!N28=TRUE,(Skills!L28/10)*(E3348/1000),Skills!L28/10)+Skills!O28</f>
        <v/>
      </c>
      <c r="G3348">
        <f>Calc!G28</f>
        <v/>
      </c>
      <c r="H3348">
        <f>Calc!H28</f>
        <v/>
      </c>
      <c r="I3348">
        <f>IF(Skills!AA28&lt;&gt;"",1+(Skills!AA28/10)*(U3323/1000)/100,1)</f>
        <v/>
      </c>
      <c r="J3348" t="inlineStr"/>
      <c r="K3348" t="inlineStr"/>
      <c r="L3348" t="inlineStr"/>
      <c r="M3348" t="inlineStr"/>
      <c r="N3348" t="inlineStr"/>
      <c r="O3348">
        <f>(1-Summary!$B$11)*T3348+Summary!$B$11*V3348</f>
        <v/>
      </c>
      <c r="P3348">
        <f>IF(B3364=0,0,O3348/B3364)</f>
        <v/>
      </c>
      <c r="Q3348" t="n">
        <v>0</v>
      </c>
      <c r="R3348" t="n">
        <v>0</v>
      </c>
      <c r="S3348">
        <f>IFERROR(O3348/N3348,0)</f>
        <v/>
      </c>
      <c r="T3348" t="n">
        <v>0</v>
      </c>
      <c r="V3348" t="n">
        <v>0</v>
      </c>
    </row>
    <row r="3349">
      <c r="A3349">
        <f>Skills!A29</f>
        <v/>
      </c>
      <c r="B3349">
        <f>Skills!B29</f>
        <v/>
      </c>
      <c r="C3349">
        <f>Inputs!$B$3&gt;=120</f>
        <v/>
      </c>
      <c r="D3349">
        <f>IF(Skills!C29=1,60+Inputs!$B$25+Inputs!$B$29,IF(Skills!C29=2,90+Inputs!$B$26+Inputs!$B$29,IF(Skills!C29=3,120+Inputs!$B$27+Inputs!$B$29,MAX(0,(Inputs!$B$3-100)*3)+Inputs!$B$28+Inputs!$B$29)))</f>
        <v/>
      </c>
      <c r="E3349">
        <f>INDEX(FactorTable!$B$2:$Y$301, MATCH(ROUND(MIN(300,MAX(1,D3349)),0), FactorTable!$A$2:$A$301,0), Skills!M29+1)</f>
        <v/>
      </c>
      <c r="F3349">
        <f>IF(Skills!N29=TRUE,(Skills!L29/10)*(E3349/1000),Skills!L29/10)+Skills!O29</f>
        <v/>
      </c>
      <c r="G3349">
        <f>Calc!G29</f>
        <v/>
      </c>
      <c r="H3349">
        <f>Calc!H29</f>
        <v/>
      </c>
      <c r="I3349">
        <f>IF(Skills!AA29&lt;&gt;"",1+(Skills!AA29/10)*(U3323/1000)/100,1)</f>
        <v/>
      </c>
      <c r="J3349" t="inlineStr"/>
      <c r="K3349" t="inlineStr"/>
      <c r="L3349" t="inlineStr"/>
      <c r="M3349" t="inlineStr"/>
      <c r="N3349" t="inlineStr"/>
      <c r="O3349">
        <f>(1-Summary!$B$11)*T3349+Summary!$B$11*V3349</f>
        <v/>
      </c>
      <c r="P3349">
        <f>IF(B3364=0,0,O3349/B3364)</f>
        <v/>
      </c>
      <c r="Q3349" t="n">
        <v>0</v>
      </c>
      <c r="R3349" t="n">
        <v>0</v>
      </c>
      <c r="S3349">
        <f>IFERROR(O3349/N3349,0)</f>
        <v/>
      </c>
      <c r="T3349" t="n">
        <v>0</v>
      </c>
      <c r="V3349" t="n">
        <v>0</v>
      </c>
    </row>
    <row r="3350">
      <c r="A3350">
        <f>Skills!A30</f>
        <v/>
      </c>
      <c r="B3350">
        <f>Skills!B30</f>
        <v/>
      </c>
      <c r="C3350">
        <f>Inputs!$B$3&gt;=125</f>
        <v/>
      </c>
      <c r="D3350">
        <f>IF(Skills!C30=1,60+Inputs!$B$25+Inputs!$B$29,IF(Skills!C30=2,90+Inputs!$B$26+Inputs!$B$29,IF(Skills!C30=3,120+Inputs!$B$27+Inputs!$B$29,MAX(0,(Inputs!$B$3-100)*3)+Inputs!$B$28+Inputs!$B$29)))</f>
        <v/>
      </c>
      <c r="E3350">
        <f>INDEX(FactorTable!$B$2:$Y$301, MATCH(ROUND(MIN(300,MAX(1,D3350)),0), FactorTable!$A$2:$A$301,0), Skills!M30+1)</f>
        <v/>
      </c>
      <c r="F3350">
        <f>IF(Skills!N30=TRUE,(Skills!L30/10)*(E3350/1000),Skills!L30/10)+Skills!O30</f>
        <v/>
      </c>
      <c r="G3350">
        <f>Calc!G30</f>
        <v/>
      </c>
      <c r="H3350">
        <f>Calc!H30</f>
        <v/>
      </c>
      <c r="I3350">
        <f>IF(Skills!AA30&lt;&gt;"",1+(Skills!AA30/10)*(U3323/1000)/100,1)</f>
        <v/>
      </c>
      <c r="J3350" t="inlineStr"/>
      <c r="K3350" t="inlineStr"/>
      <c r="L3350" t="inlineStr"/>
      <c r="M3350" t="inlineStr"/>
      <c r="N3350" t="inlineStr"/>
      <c r="O3350">
        <f>(1-Summary!$B$11)*T3350+Summary!$B$11*V3350</f>
        <v/>
      </c>
      <c r="P3350">
        <f>IF(B3364=0,0,O3350/B3364)</f>
        <v/>
      </c>
      <c r="Q3350" t="n">
        <v>0</v>
      </c>
      <c r="R3350" t="n">
        <v>0</v>
      </c>
      <c r="S3350">
        <f>IFERROR(O3350/N3350,0)</f>
        <v/>
      </c>
      <c r="T3350" t="n">
        <v>0</v>
      </c>
      <c r="V3350" t="n">
        <v>0</v>
      </c>
    </row>
    <row r="3351">
      <c r="A3351">
        <f>Skills!A31</f>
        <v/>
      </c>
      <c r="B3351">
        <f>Skills!B31</f>
        <v/>
      </c>
      <c r="C3351">
        <f>Inputs!$B$3&gt;=107</f>
        <v/>
      </c>
      <c r="D3351">
        <f>IF(Skills!C31=1,60+Inputs!$B$25+Inputs!$B$29,IF(Skills!C31=2,90+Inputs!$B$26+Inputs!$B$29,IF(Skills!C31=3,120+Inputs!$B$27+Inputs!$B$29,MAX(0,(Inputs!$B$3-100)*3)+Inputs!$B$28+Inputs!$B$29)))</f>
        <v/>
      </c>
      <c r="E3351">
        <f>INDEX(FactorTable!$B$2:$Y$301, MATCH(ROUND(MIN(300,MAX(1,D3351)),0), FactorTable!$A$2:$A$301,0), Skills!M31+1)</f>
        <v/>
      </c>
      <c r="F3351">
        <f>IF(Skills!N31=TRUE,(Skills!L31/10)*(E3351/1000),Skills!L31/10)+Skills!O31</f>
        <v/>
      </c>
      <c r="G3351">
        <f>Calc!G31</f>
        <v/>
      </c>
      <c r="H3351">
        <f>Calc!H31</f>
        <v/>
      </c>
      <c r="I3351">
        <f>IF(Skills!AA31&lt;&gt;"",1+(Skills!AA31/10)*(U3323/1000)/100,1)</f>
        <v/>
      </c>
      <c r="J3351" t="inlineStr"/>
      <c r="K3351" t="inlineStr"/>
      <c r="L3351" t="inlineStr"/>
      <c r="M3351" t="inlineStr"/>
      <c r="N3351" t="inlineStr"/>
      <c r="O3351">
        <f>(1-Summary!$B$11)*T3351+Summary!$B$11*V3351</f>
        <v/>
      </c>
      <c r="P3351">
        <f>IF(B3364=0,0,O3351/B3364)</f>
        <v/>
      </c>
      <c r="Q3351" t="n">
        <v>0</v>
      </c>
      <c r="R3351" t="n">
        <v>0</v>
      </c>
      <c r="S3351">
        <f>IFERROR(O3351/N3351,0)</f>
        <v/>
      </c>
      <c r="T3351" t="n">
        <v>0</v>
      </c>
      <c r="V3351" t="n">
        <v>0</v>
      </c>
    </row>
    <row r="3353">
      <c r="A3353" t="inlineStr">
        <is>
          <t>Actions Per Second (pre-Adrenalin)</t>
        </is>
      </c>
      <c r="B3353">
        <f>1+MIN(150,150*(1-(1-(Inputs!$B$11+((C3342=TRUE)*(F3342-Calc!F22))+(ArtifactsInput!$M$15-ArtifactsInput!$M$15)*CHOOSE(ArtifactsInput!$N$15+1,8,9.6,11.2,12.8,14.4,16))/150)*(1-((C3339=TRUE)*F3339*IF(AND(Inputs!$B$39&lt;&gt;"pvp",Inputs!$B$44&gt;0),(((R3339-1)*(Skills!Y19*(1+Inputs!$B$34/100))+MIN((Skills!Y19*(1+Inputs!$B$34/100)),MAX(0,Inputs!$B$44-((R3339-1)*Skills!D19))))/Inputs!$B$44),IF(Inputs!$B$39="pvp",MIN((Skills!Y19*(1+Inputs!$B$34/100)),15)/15,(Skills!Y19*(1+Inputs!$B$34/100))/Skills!D19)))/150)))/100</f>
        <v/>
      </c>
    </row>
    <row r="3354">
      <c r="A3354" t="inlineStr">
        <is>
          <t>Alchemic Adrenaline Uptime</t>
        </is>
      </c>
      <c r="B3354">
        <f>(Skills!Y6*(1+Inputs!$B$34/100))/((Skills!Y6*(1+Inputs!$B$34/100))+(5/B3353))</f>
        <v/>
      </c>
    </row>
    <row r="3355">
      <c r="A3355" t="inlineStr">
        <is>
          <t>Attack Speed Buff Bonus %</t>
        </is>
      </c>
      <c r="B3355">
        <f>((C3339=TRUE)*F3339*IF(AND(Inputs!$B$39&lt;&gt;"pvp",Inputs!$B$44&gt;0),(((R3339-1)*(Skills!Y19*(1+Inputs!$B$34/100))+MIN((Skills!Y19*(1+Inputs!$B$34/100)),MAX(0,Inputs!$B$44-((R3339-1)*Skills!D19))))/Inputs!$B$44),IF(Inputs!$B$39="pvp",MIN((Skills!Y19*(1+Inputs!$B$34/100)),15)/15,(Skills!Y19*(1+Inputs!$B$34/100))/Skills!D19)))+((C3327=TRUE)*F3327*B3354)</f>
        <v/>
      </c>
    </row>
    <row r="3356">
      <c r="A3356" t="inlineStr">
        <is>
          <t>Actions Per Second (final)</t>
        </is>
      </c>
      <c r="B3356">
        <f>1+MIN(150,150*(1-(1-(Inputs!$B$11+((C3342=TRUE)*(F3342-Calc!F22))+(ArtifactsInput!$M$15-ArtifactsInput!$M$15)*CHOOSE(ArtifactsInput!$N$15+1,8,9.6,11.2,12.8,14.4,16))/150)*(1-B3355/150)))/100</f>
        <v/>
      </c>
    </row>
    <row r="3357">
      <c r="A3357" t="inlineStr">
        <is>
          <t>Skill + Buff Cast Rate</t>
        </is>
      </c>
      <c r="B3357">
        <f>IF(AND(Inputs!$B$39&lt;&gt;"pvp",Inputs!$B$44&gt;0),SUMPRODUCT((Skills!E2:E31=TRUE)*(C3322:C3351=TRUE)*R3322:R3351*Skills!F2:F31)/Inputs!$B$44,SUMPRODUCT((Skills!E2:E31=TRUE)*(C3322:C3351=TRUE)*Q3322:Q3351*Skills!F2:F31))</f>
        <v/>
      </c>
    </row>
    <row r="3358">
      <c r="A3358" t="inlineStr">
        <is>
          <t>Showdown Casts Per Second</t>
        </is>
      </c>
      <c r="B3358">
        <f>MAX(0,B3356-B3357)</f>
        <v/>
      </c>
    </row>
    <row r="3359">
      <c r="A3359" t="inlineStr">
        <is>
          <t>Average Buff Multiplier</t>
        </is>
      </c>
      <c r="B3359">
        <f>(1+(((C3341=TRUE)*F3341*IF(AND(Inputs!$B$39&lt;&gt;"pvp",Inputs!$B$44&gt;0),(((R3341-1)*(Skills!Y21*(1+Inputs!$B$34/100))+MIN((Skills!Y21*(1+Inputs!$B$34/100)),MAX(0,Inputs!$B$44-((R3341-1)*Skills!D21))))/Inputs!$B$44),IF(Inputs!$B$39="pvp",MIN((Skills!Y21*(1+Inputs!$B$34/100)),15)/15,(Skills!Y21*(1+Inputs!$B$34/100))/Skills!D21)))+((C3348=TRUE)*(F3348-Calc!F28))+((C3338=TRUE)*(F3338-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3335=TRUE)*F3335*IF(AND(Inputs!$B$39&lt;&gt;"pvp",Inputs!$B$44&gt;0),(((R3335-1)*(Skills!Y15*(1+Inputs!$B$34/100))+MIN((Skills!Y15*(1+Inputs!$B$34/100)),MAX(0,Inputs!$B$44-((R3335-1)*Skills!D15))))/Inputs!$B$44),IF(Inputs!$B$39="pvp",MIN((Skills!Y15*(1+Inputs!$B$34/100)),15)/15,(Skills!Y15*(1+Inputs!$B$34/100))/Skills!D15)))/100)*(1+((C3326=TRUE)*F3326*B3354)/100)</f>
        <v/>
      </c>
    </row>
    <row r="3360">
      <c r="A3360" t="inlineStr">
        <is>
          <t>Global Crit Rate Bonus %</t>
        </is>
      </c>
      <c r="B3360">
        <f>IF(Inputs!$B$3&gt;=47,8,0)+((C3340=TRUE)*F3340*IF(AND(Inputs!$B$39&lt;&gt;"pvp",Inputs!$B$44&gt;0),(((R3340-1)*(Skills!Y20*(1+Inputs!$B$34/100))+MIN((Skills!Y20*(1+Inputs!$B$34/100)),MAX(0,Inputs!$B$44-((R3340-1)*Skills!D20))))/Inputs!$B$44),IF(Inputs!$B$39="pvp",MIN((Skills!Y20*(1+Inputs!$B$34/100)),15)/15,(Skills!Y20*(1+Inputs!$B$34/100))/Skills!D20)))</f>
        <v/>
      </c>
    </row>
    <row r="3361">
      <c r="A3361" t="inlineStr">
        <is>
          <t>Global Monster Damage-Taken Bonus %</t>
        </is>
      </c>
      <c r="B3361">
        <f>IF(Inputs!$B$3&gt;=82,15,0)+((C3336=TRUE)*F3336*IF(AND(Inputs!$B$39&lt;&gt;"pvp",Inputs!$B$44&gt;0),(((R3336-1)*(Skills!Y16*(1+Inputs!$B$34/100))+MIN((Skills!Y16*(1+Inputs!$B$34/100)),MAX(0,Inputs!$B$44-((R3336-1)*Skills!D16))))/Inputs!$B$44),IF(Inputs!$B$39="pvp",MIN((Skills!Y16*(1+Inputs!$B$34/100)),15)/15,(Skills!Y16*(1+Inputs!$B$34/100))/Skills!D16)))</f>
        <v/>
      </c>
    </row>
    <row r="3362">
      <c r="A3362" t="inlineStr">
        <is>
          <t>Shadow Partner Average Multiplier</t>
        </is>
      </c>
      <c r="B3362">
        <f>1+((C3331=TRUE)*F3331*I3331*Skills!J11/100)/100</f>
        <v/>
      </c>
    </row>
    <row r="3363">
      <c r="A3363" t="inlineStr">
        <is>
          <t>Global Critical Damage Bonus % (Frailty Curse Mastery Lv.111)</t>
        </is>
      </c>
      <c r="B3363">
        <f>IF(Inputs!$B$3&gt;=111,30,0)*IF(AND(Inputs!$B$39&lt;&gt;"pvp",Inputs!$B$44&gt;0),(((R3336-1)*(Skills!Y16*(1+Inputs!$B$34/100))+MIN((Skills!Y16*(1+Inputs!$B$34/100)),MAX(0,Inputs!$B$44-((R3336-1)*Skills!D16))))/Inputs!$B$44),IF(Inputs!$B$39="pvp",MIN((Skills!Y16*(1+Inputs!$B$34/100)),15)/15,(Skills!Y16*(1+Inputs!$B$34/100))/Skills!D16))</f>
        <v/>
      </c>
    </row>
    <row r="3364">
      <c r="A3364" s="6" t="inlineStr">
        <is>
          <t>TOTAL DPS</t>
        </is>
      </c>
      <c r="B3364" s="6">
        <f>SUM(O3322:O3351)</f>
        <v/>
      </c>
    </row>
    <row r="3365">
      <c r="A3365" t="inlineStr">
        <is>
          <t>Buff-Casting Startup Delay (s, fixed-duration only)</t>
        </is>
      </c>
      <c r="B3365">
        <f>IF(AND(Inputs!$B$39&lt;&gt;"pvp",Inputs!$B$44&gt;0),SUMPRODUCT((Skills!Y2:Y31&gt;0)*(Skills!E2:E31=TRUE)*(C3322:C3351=TRUE))/B3356,0)</f>
        <v/>
      </c>
    </row>
    <row r="3366">
      <c r="A3366" t="inlineStr">
        <is>
          <t>Boss-Only Total DPS (this block's swept value)</t>
        </is>
      </c>
      <c r="B3366">
        <f>SUM(T3322:T3351)</f>
        <v/>
      </c>
    </row>
    <row r="3367">
      <c r="A3367" t="inlineStr">
        <is>
          <t>Normal-Only Total DPS (this block's swept value)</t>
        </is>
      </c>
      <c r="B3367">
        <f>SUM(V3322:V3351)</f>
        <v/>
      </c>
    </row>
    <row r="3369">
      <c r="A3369" s="6" t="inlineStr">
        <is>
          <t>Stat: CDR = 2.5s</t>
        </is>
      </c>
    </row>
    <row r="3370">
      <c r="A3370" s="5" t="inlineStr">
        <is>
          <t>Key</t>
        </is>
      </c>
      <c r="B3370" s="5" t="inlineStr">
        <is>
          <t>Name</t>
        </is>
      </c>
      <c r="C3370" s="5" t="inlineStr">
        <is>
          <t>Unlocked</t>
        </is>
      </c>
      <c r="D3370" s="5" t="inlineStr">
        <is>
          <t>InputLevel</t>
        </is>
      </c>
      <c r="E3370" s="5" t="inlineStr">
        <is>
          <t>Factor</t>
        </is>
      </c>
      <c r="F3370" s="5" t="inlineStr">
        <is>
          <t>CoefficientPercent</t>
        </is>
      </c>
      <c r="G3370" s="5" t="inlineStr">
        <is>
          <t>EffectiveHits</t>
        </is>
      </c>
      <c r="H3370" s="5" t="inlineStr">
        <is>
          <t>ProcProbability</t>
        </is>
      </c>
      <c r="I3370" s="5" t="inlineStr">
        <is>
          <t>MapleHeroMultiplier</t>
        </is>
      </c>
      <c r="J3370" s="5" t="inlineStr">
        <is>
          <t>BaseDamage</t>
        </is>
      </c>
      <c r="K3370" s="5" t="inlineStr">
        <is>
          <t>BaseHitDamage</t>
        </is>
      </c>
      <c r="L3370" s="5" t="inlineStr">
        <is>
          <t>NonCritAvg</t>
        </is>
      </c>
      <c r="M3370" s="5" t="inlineStr">
        <is>
          <t>CritAvg</t>
        </is>
      </c>
      <c r="N3370" s="5" t="inlineStr">
        <is>
          <t>ExpectedDamage(perHit)</t>
        </is>
      </c>
      <c r="O3370" s="5" t="inlineStr">
        <is>
          <t>DPS</t>
        </is>
      </c>
      <c r="P3370" s="5" t="inlineStr">
        <is>
          <t>% of Total</t>
        </is>
      </c>
      <c r="Q3370" s="5" t="inlineStr">
        <is>
          <t>InvCooldown</t>
        </is>
      </c>
      <c r="R3370" s="5" t="inlineStr">
        <is>
          <t>CastsInFight</t>
        </is>
      </c>
      <c r="S3370" s="5" t="inlineStr">
        <is>
          <t>HitRate(perSec)</t>
        </is>
      </c>
      <c r="U3370" t="inlineStr">
        <is>
          <t>helpers</t>
        </is>
      </c>
    </row>
    <row r="3371">
      <c r="A3371">
        <f>Skills!A2</f>
        <v/>
      </c>
      <c r="B3371">
        <f>Skills!B2</f>
        <v/>
      </c>
      <c r="C3371">
        <f>Inputs!$B$3&gt;=100</f>
        <v/>
      </c>
      <c r="D3371" t="inlineStr"/>
      <c r="E3371" t="inlineStr"/>
      <c r="F3371">
        <f>U3375+Skills!O2</f>
        <v/>
      </c>
      <c r="G3371">
        <f>Calc!G2</f>
        <v/>
      </c>
      <c r="H3371">
        <f>Calc!H2</f>
        <v/>
      </c>
      <c r="I3371">
        <f>IF(Skills!AA2&lt;&gt;"",1+(Skills!AA2/10)*(U3372/1000)/100,1)</f>
        <v/>
      </c>
      <c r="J3371">
        <f>((Inputs!$B$6*(1+Inputs!$B$7/100))+(((Inputs!$B$12*(1+Inputs!$B$13/100))-(Inputs!$B$12*(1+Inputs!$B$13/100)))+0.25*(Inputs!$B$14-Inputs!$B$14))*(1+Inputs!$B$7/100))*(F3371/100)</f>
        <v/>
      </c>
      <c r="K3371">
        <f>J3371*(1+((Inputs!$B$12*(1+Inputs!$B$13/100))*0.01+Inputs!$B$14*0.0025)/100)*(1+Inputs!$B$15/100)*(1+Inputs!$B$16/100)*(5000/(6000+Inputs!$B$43*(1-(100*(1-(1-(Inputs!$B$19+0)/100)*(1-CHOOSE(ArtifactsInput!$N$40+1,5,6,7,8,9,10)/100)^(ArtifactsInput!$M$40-ArtifactsInput!$M$40)))/100)))*(1+(Inputs!$B$24+((C3399=TRUE)*(F3399-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3392=TRUE)*(F3392-Calc!F23))+(((IF(AND(ArtifactsInput!$M$42,((Inputs!$B$9+((C3394=TRUE)*(F3394-Calc!F25))+B3409+(ArtifactsInput!$M$24-ArtifactsInput!$M$24)*CHOOSE(ArtifactsInput!$N$24+1,10,12,14,16,18,20)+IF(ArtifactsInput!$M$10,CHOOSE(ArtifactsInput!$N$10+1,15,18,21,24,27,30)*(IF(Inputs!$B$39="pvp",MIN(15,15)/15,IF(AND(Inputs!$B$39&lt;&gt;"pvp",Inputs!$B$44&gt;0),MIN(15,Inputs!$B$44)/(Inputs!$B$44),0))),0)))&gt;=100),MIN(100,((Inputs!$B$9+((C3394=TRUE)*(F3394-Calc!F25))+B3409+(ArtifactsInput!$M$24-ArtifactsInput!$M$24)*CHOOSE(ArtifactsInput!$N$24+1,10,12,14,16,18,20)+IF(ArtifactsInput!$M$10,CHOOSE(ArtifactsInput!$N$10+1,15,18,21,24,27,30)*(IF(Inputs!$B$39="pvp",MIN(15,15)/15,IF(AND(Inputs!$B$39&lt;&gt;"pvp",Inputs!$B$44&gt;0),MIN(15,Inputs!$B$44)/(Inputs!$B$44),0))),0)))-100),0))*CHOOSE(ArtifactsInput!$N$42+1,0.6,0.72,0.84,0.96,1.08,1.2))),Inputs!$B$18+((C3398=TRUE)*(F3398-Calc!F29))+(IF(AND(ArtifactsInput!$M$42,((Inputs!$B$9+((C3394=TRUE)*(F3394-Calc!F25))+B3409+(ArtifactsInput!$M$24-ArtifactsInput!$M$24)*CHOOSE(ArtifactsInput!$N$24+1,10,12,14,16,18,20)+IF(ArtifactsInput!$M$10,CHOOSE(ArtifactsInput!$N$10+1,15,18,21,24,27,30)*(IF(Inputs!$B$39="pvp",MIN(15,15)/15,IF(AND(Inputs!$B$39&lt;&gt;"pvp",Inputs!$B$44&gt;0),MIN(15,Inputs!$B$44)/(Inputs!$B$44),0))),0)))&gt;=100),CHOOSE(ArtifactsInput!$N$42+1,40,48,56,64,72,80),0))))/100)*(((1+(((C3390=TRUE)*F3390*IF(AND(Inputs!$B$39&lt;&gt;"pvp",Inputs!$B$44&gt;0),(((R3390-1)*(Skills!Y21*(1+Inputs!$B$34/100))+MIN((Skills!Y21*(1+Inputs!$B$34/100)),MAX(0,Inputs!$B$44-((R3390-1)*Skills!D21))))/Inputs!$B$44),IF(Inputs!$B$39="pvp",MIN((Skills!Y21*(1+Inputs!$B$34/100)),15)/15,(Skills!Y21*(1+Inputs!$B$34/100))/Skills!D21)))+((C3397=TRUE)*(F3397-Calc!F28))+((C3387=TRUE)*(F3387-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3384=TRUE)*F3384*IF(AND(Inputs!$B$39&lt;&gt;"pvp",Inputs!$B$44&gt;0),(((R3384-1)*(Skills!Y15*(1+Inputs!$B$34/100))+MIN((Skills!Y15*(1+Inputs!$B$34/100)),MAX(0,Inputs!$B$44-((R3384-1)*Skills!D15))))/Inputs!$B$44),IF(Inputs!$B$39="pvp",MIN((Skills!Y15*(1+Inputs!$B$34/100)),15)/15,(Skills!Y15*(1+Inputs!$B$34/100))/Skills!D15)))/100)*(1+((C3375=TRUE)*F3375*B3403)/100))*B3411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3371)</f>
        <v/>
      </c>
      <c r="L3371">
        <f>K3371*(MIN(Inputs!$B$22+((C3393=TRUE)*(F3393-Calc!F24)),(Inputs!$B$23+0+(IF(ArtifactsInput!$M$15,CHOOSE(ArtifactsInput!$N$15+1,25,30,35,40,45,50)/100*(Inputs!$B$11-Inputs!$B$11),0))))/100+(Inputs!$B$23+0+(IF(ArtifactsInput!$M$15,CHOOSE(ArtifactsInput!$N$15+1,25,30,35,40,45,50)/100*(Inputs!$B$11-Inputs!$B$11),0)))/100)/2</f>
        <v/>
      </c>
      <c r="M3371">
        <f>L3371*(1+(Inputs!$B$10+((C3395=TRUE)*(F3395-Calc!F26))+B3412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71">
        <f>L3371*(1-MIN((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3371*(MIN((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71">
        <f>(1-Summary!$B$11)*T3371+Summary!$B$11*V3371</f>
        <v/>
      </c>
      <c r="P3371">
        <f>IF(B3413=0,0,O3371/B3413)</f>
        <v/>
      </c>
      <c r="Q3371" t="n">
        <v>0</v>
      </c>
      <c r="R3371" t="n">
        <v>0</v>
      </c>
      <c r="S3371">
        <f>IFERROR(O3371/N3371,0)</f>
        <v/>
      </c>
      <c r="T3371">
        <f>IF(C3371,(Skills!G2*N3371*B3407)*IF(Inputs!$B$39="pvp",1,1+(Inputs!$B$20+((C3396=TRUE)*(F3396-Calc!F27))+Skills!P2+B3410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Hunt"),CHOOSE(ArtifactsInput!$N$35+1,15,18,21,24,27,30)*(1-EXP(-(0.2*B3405)*5)),0)+IF(AND(ArtifactsInput!$M$22,Inputs!$B$4&lt;&gt;"Chapter Hunt"),CHOOSE(ArtifactsInput!$N$22+1,10,12,14,16,18,20)*((0*(((0.15*B3405*5))^0/1)+1*(((0.15*B3405*5))^1/1)+2*(((0.15*B3405*5))^2/2)+3*(((0.15*B3405*5))^3/6)+4*(((0.15*B3405*5))^4/24)+5*(((0.15*B3405*5))^5/120))/((((0.15*B3405*5))^0/1)+(((0.15*B3405*5))^1/1)+(((0.15*B3405*5))^2/2)+(((0.15*B3405*5))^3/6)+(((0.15*B3405*5))^4/24)+(((0.15*B3405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3371*(1-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3371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3371*(1-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3371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371">
        <f>MAX(0,(Inputs!$B$3-100)*3)+Inputs!$B$28+Inputs!$B$29</f>
        <v/>
      </c>
      <c r="V3371">
        <f>IF(C3371,(Skills!G2*N3371*B3407)*IF(Inputs!$B$39="pvp",1,(1+(Inputs!$B$21+Skills!Q2+B3410+(IF(ArtifactsInput!$M$33,CHOOSE(ArtifactsInput!$N$33+1,30,36,42,48,54,60),0))+(IF(AND(ArtifactsInput!$M$35,Inputs!$B$4&lt;&gt;"Chapter Hunt"),CHOOSE(ArtifactsInput!$N$35+1,15,18,21,24,27,30)*(1-EXP(-(0.2*B3405)*5)),0)+IF(AND(ArtifactsInput!$M$22,Inputs!$B$4&lt;&gt;"Chapter Hunt"),CHOOSE(ArtifactsInput!$N$22+1,10,12,14,16,18,20)*((0*(((0.15*B3405*5))^0/1)+1*(((0.15*B3405*5))^1/1)+2*(((0.15*B3405*5))^2/2)+3*(((0.15*B3405*5))^3/6)+4*(((0.15*B3405*5))^4/24)+5*(((0.15*B3405*5))^5/120))/((((0.15*B3405*5))^0/1)+(((0.15*B3405*5))^1/1)+(((0.15*B3405*5))^2/2)+(((0.15*B3405*5))^3/6)+(((0.15*B3405*5))^4/24)+(((0.15*B3405*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72">
      <c r="A3372">
        <f>Skills!A3</f>
        <v/>
      </c>
      <c r="B3372">
        <f>Skills!B3</f>
        <v/>
      </c>
      <c r="C3372">
        <f>Inputs!$B$3&gt;=35</f>
        <v/>
      </c>
      <c r="D3372">
        <f>IF(Skills!C3=1,60+Inputs!$B$25+Inputs!$B$29,IF(Skills!C3=2,90+Inputs!$B$26+Inputs!$B$29,IF(Skills!C3=3,120+Inputs!$B$27+Inputs!$B$29,MAX(0,(Inputs!$B$3-100)*3)+Inputs!$B$28+Inputs!$B$29)))</f>
        <v/>
      </c>
      <c r="E3372">
        <f>INDEX(FactorTable!$B$2:$Y$301, MATCH(ROUND(MIN(300,MAX(1,D3372)),0), FactorTable!$A$2:$A$301,0), Skills!M3+1)</f>
        <v/>
      </c>
      <c r="F3372">
        <f>IF(Skills!N3=TRUE,(Skills!L3/10)*(E3372/1000),Skills!L3/10)+Skills!O3</f>
        <v/>
      </c>
      <c r="G3372">
        <f>Calc!G3</f>
        <v/>
      </c>
      <c r="H3372">
        <f>Calc!H3</f>
        <v/>
      </c>
      <c r="I3372">
        <f>IF(Skills!AA3&lt;&gt;"",1+(Skills!AA3/10)*(U3372/1000)/100,1)</f>
        <v/>
      </c>
      <c r="J3372">
        <f>((Inputs!$B$6*(1+Inputs!$B$7/100))+(((Inputs!$B$12*(1+Inputs!$B$13/100))-(Inputs!$B$12*(1+Inputs!$B$13/100)))+0.25*(Inputs!$B$14-Inputs!$B$14))*(1+Inputs!$B$7/100))*(F3372/100)</f>
        <v/>
      </c>
      <c r="K3372">
        <f>J3372*(1+((Inputs!$B$12*(1+Inputs!$B$13/100))*0.01+Inputs!$B$14*0.0025)/100)*(1+Inputs!$B$15/100)*(1+Inputs!$B$16/100)*(5000/(6000+Inputs!$B$43*(1-(100*(1-(1-(Inputs!$B$19+0)/100)*(1-CHOOSE(ArtifactsInput!$N$40+1,5,6,7,8,9,10)/100)^(ArtifactsInput!$M$40-ArtifactsInput!$M$40)))/100)))*(1+(Inputs!$B$24+((C3399=TRUE)*(F3399-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3392=TRUE)*(F3392-Calc!F23))+(((IF(AND(ArtifactsInput!$M$42,((Inputs!$B$9+((C3394=TRUE)*(F3394-Calc!F25))+B3409+(ArtifactsInput!$M$24-ArtifactsInput!$M$24)*CHOOSE(ArtifactsInput!$N$24+1,10,12,14,16,18,20)+IF(ArtifactsInput!$M$10,CHOOSE(ArtifactsInput!$N$10+1,15,18,21,24,27,30)*(IF(Inputs!$B$39="pvp",MIN(15,15)/15,IF(AND(Inputs!$B$39&lt;&gt;"pvp",Inputs!$B$44&gt;0),MIN(15,Inputs!$B$44)/(Inputs!$B$44),0))),0)))&gt;=100),MIN(100,((Inputs!$B$9+((C3394=TRUE)*(F3394-Calc!F25))+B3409+(ArtifactsInput!$M$24-ArtifactsInput!$M$24)*CHOOSE(ArtifactsInput!$N$24+1,10,12,14,16,18,20)+IF(ArtifactsInput!$M$10,CHOOSE(ArtifactsInput!$N$10+1,15,18,21,24,27,30)*(IF(Inputs!$B$39="pvp",MIN(15,15)/15,IF(AND(Inputs!$B$39&lt;&gt;"pvp",Inputs!$B$44&gt;0),MIN(15,Inputs!$B$44)/(Inputs!$B$44),0))),0)))-100),0))*CHOOSE(ArtifactsInput!$N$42+1,0.6,0.72,0.84,0.96,1.08,1.2))),Inputs!$B$18+((C3398=TRUE)*(F3398-Calc!F29))+(IF(AND(ArtifactsInput!$M$42,((Inputs!$B$9+((C3394=TRUE)*(F3394-Calc!F25))+B3409+(ArtifactsInput!$M$24-ArtifactsInput!$M$24)*CHOOSE(ArtifactsInput!$N$24+1,10,12,14,16,18,20)+IF(ArtifactsInput!$M$10,CHOOSE(ArtifactsInput!$N$10+1,15,18,21,24,27,30)*(IF(Inputs!$B$39="pvp",MIN(15,15)/15,IF(AND(Inputs!$B$39&lt;&gt;"pvp",Inputs!$B$44&gt;0),MIN(15,Inputs!$B$44)/(Inputs!$B$44),0))),0)))&gt;=100),CHOOSE(ArtifactsInput!$N$42+1,40,48,56,64,72,80),0))))/100)*(((1+(((C3390=TRUE)*F3390*IF(AND(Inputs!$B$39&lt;&gt;"pvp",Inputs!$B$44&gt;0),(((R3390-1)*(Skills!Y21*(1+Inputs!$B$34/100))+MIN((Skills!Y21*(1+Inputs!$B$34/100)),MAX(0,Inputs!$B$44-((R3390-1)*Skills!D21))))/Inputs!$B$44),IF(Inputs!$B$39="pvp",MIN((Skills!Y21*(1+Inputs!$B$34/100)),15)/15,(Skills!Y21*(1+Inputs!$B$34/100))/Skills!D21)))+((C3397=TRUE)*(F3397-Calc!F28))+((C3387=TRUE)*(F3387-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3384=TRUE)*F3384*IF(AND(Inputs!$B$39&lt;&gt;"pvp",Inputs!$B$44&gt;0),(((R3384-1)*(Skills!Y15*(1+Inputs!$B$34/100))+MIN((Skills!Y15*(1+Inputs!$B$34/100)),MAX(0,Inputs!$B$44-((R3384-1)*Skills!D15))))/Inputs!$B$44),IF(Inputs!$B$39="pvp",MIN((Skills!Y15*(1+Inputs!$B$34/100)),15)/15,(Skills!Y15*(1+Inputs!$B$34/100))/Skills!D15)))/100)*(1+((C3375=TRUE)*F3375*B3403)/100))*B3411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3372)</f>
        <v/>
      </c>
      <c r="L3372">
        <f>K3372*(MIN(Inputs!$B$22+((C3393=TRUE)*(F3393-Calc!F24)),(Inputs!$B$23+0+(IF(ArtifactsInput!$M$15,CHOOSE(ArtifactsInput!$N$15+1,25,30,35,40,45,50)/100*(Inputs!$B$11-Inputs!$B$11),0))))/100+(Inputs!$B$23+0+(IF(ArtifactsInput!$M$15,CHOOSE(ArtifactsInput!$N$15+1,25,30,35,40,45,50)/100*(Inputs!$B$11-Inputs!$B$11),0)))/100)/2</f>
        <v/>
      </c>
      <c r="M3372">
        <f>L3372*(1+(Inputs!$B$10+((C3395=TRUE)*(F3395-Calc!F26))+B3412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72">
        <f>L3372*(1-MIN((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3372*(MIN((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72">
        <f>(1-Summary!$B$11)*T3372+Summary!$B$11*V3372</f>
        <v/>
      </c>
      <c r="P3372">
        <f>IF(B3413=0,0,O3372/B3413)</f>
        <v/>
      </c>
      <c r="Q3372">
        <f>IFERROR(1/IF(Inputs!$B$39="pvp",15,MAX(0.1,Skills!D3-IF(Skills!E3=TRUE,2.5,0))),0)</f>
        <v/>
      </c>
      <c r="R3372">
        <f>IF(AND(Inputs!$B$39&lt;&gt;"pvp",Inputs!$B$44&gt;0),IF(MAX(0,Inputs!$B$44-B3414)&lt;=0,0,(INT(MAX(0,Inputs!$B$44-B3414)/IF(Inputs!$B$39="pvp",15,MAX(0.1,Skills!D3-IF(Skills!E3=TRUE,2.5,0))))+1)),0)</f>
        <v/>
      </c>
      <c r="S3372">
        <f>IFERROR(O3372/N3372,0)</f>
        <v/>
      </c>
      <c r="T3372">
        <f>IF(C3372,(H3372*N3372*IF(AND(Inputs!$B$39&lt;&gt;"pvp",Inputs!$B$44&gt;0),((Skills!G3*((R3372-1)*IF(Skills!H3&gt;0,Skills!I3/Skills!H3,1)+IF(Skills!H3&gt;0,MIN(Skills!I3,MAX(0,MAX(0,Inputs!$B$44-B3414)-((R3372-1)*IF(Inputs!$B$39="pvp",15,MAX(0.1,Skills!D3-IF(Skills!E3=TRUE,2.5,0))))))/Skills!H3,1)))/Inputs!$B$44),G3372*Q3372))*IF(Inputs!$B$39="pvp",1,1+(Inputs!$B$20+((C3396=TRUE)*(F3396-Calc!F27))+Skills!P3+B3410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Hunt"),CHOOSE(ArtifactsInput!$N$35+1,15,18,21,24,27,30)*(1-EXP(-(0.2*B3405)*5)),0)+IF(AND(ArtifactsInput!$M$22,Inputs!$B$4&lt;&gt;"Chapter Hunt"),CHOOSE(ArtifactsInput!$N$22+1,10,12,14,16,18,20)*((0*(((0.15*B3405*5))^0/1)+1*(((0.15*B3405*5))^1/1)+2*(((0.15*B3405*5))^2/2)+3*(((0.15*B3405*5))^3/6)+4*(((0.15*B3405*5))^4/24)+5*(((0.15*B3405*5))^5/120))/((((0.15*B3405*5))^0/1)+(((0.15*B3405*5))^1/1)+(((0.15*B3405*5))^2/2)+(((0.15*B3405*5))^3/6)+(((0.15*B3405*5))^4/24)+(((0.15*B3405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3372*(1-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3372*(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3372*(1-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3372*(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372">
        <f>INDEX(FactorTable!$B$2:$Y$301, MATCH(ROUND(MIN(300,MAX(1,U3371)),0), FactorTable!$A$2:$A$301,0), 24)</f>
        <v/>
      </c>
      <c r="V3372">
        <f>IF(C3372,(H3372*N3372*IF(AND(Inputs!$B$39&lt;&gt;"pvp",Inputs!$B$44&gt;0),((Skills!G3*((R3372-1)*IF(Skills!H3&gt;0,Skills!I3/Skills!H3,1)+IF(Skills!H3&gt;0,MIN(Skills!I3,MAX(0,MAX(0,Inputs!$B$44-B3414)-((R3372-1)*IF(Inputs!$B$39="pvp",15,MAX(0.1,Skills!D3-IF(Skills!E3=TRUE,2.5,0))))))/Skills!H3,1)))/Inputs!$B$44),G3372*Q3372))*IF(Inputs!$B$39="pvp",1,(1+(Inputs!$B$21+Skills!Q3+B3410+(IF(ArtifactsInput!$M$33,CHOOSE(ArtifactsInput!$N$33+1,30,36,42,48,54,60),0))+(IF(AND(ArtifactsInput!$M$35,Inputs!$B$4&lt;&gt;"Chapter Hunt"),CHOOSE(ArtifactsInput!$N$35+1,15,18,21,24,27,30)*(1-EXP(-(0.2*B3405)*5)),0)+IF(AND(ArtifactsInput!$M$22,Inputs!$B$4&lt;&gt;"Chapter Hunt"),CHOOSE(ArtifactsInput!$N$22+1,10,12,14,16,18,20)*((0*(((0.15*B3405*5))^0/1)+1*(((0.15*B3405*5))^1/1)+2*(((0.15*B3405*5))^2/2)+3*(((0.15*B3405*5))^3/6)+4*(((0.15*B3405*5))^4/24)+5*(((0.15*B3405*5))^5/120))/((((0.15*B3405*5))^0/1)+(((0.15*B3405*5))^1/1)+(((0.15*B3405*5))^2/2)+(((0.15*B3405*5))^3/6)+(((0.15*B3405*5))^4/24)+(((0.15*B3405*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73">
      <c r="A3373">
        <f>Skills!A4</f>
        <v/>
      </c>
      <c r="B3373">
        <f>Skills!B4</f>
        <v/>
      </c>
      <c r="C3373">
        <f>Inputs!$B$3&gt;=40</f>
        <v/>
      </c>
      <c r="D3373">
        <f>IF(Skills!C4=1,60+Inputs!$B$25+Inputs!$B$29,IF(Skills!C4=2,90+Inputs!$B$26+Inputs!$B$29,IF(Skills!C4=3,120+Inputs!$B$27+Inputs!$B$29,MAX(0,(Inputs!$B$3-100)*3)+Inputs!$B$28+Inputs!$B$29)))</f>
        <v/>
      </c>
      <c r="E3373">
        <f>INDEX(FactorTable!$B$2:$Y$301, MATCH(ROUND(MIN(300,MAX(1,D3373)),0), FactorTable!$A$2:$A$301,0), Skills!M4+1)</f>
        <v/>
      </c>
      <c r="F3373">
        <f>IF(Skills!N4=TRUE,(Skills!L4/10)*(E3373/1000),Skills!L4/10)+Skills!O4</f>
        <v/>
      </c>
      <c r="G3373">
        <f>Calc!G4</f>
        <v/>
      </c>
      <c r="H3373">
        <f>Calc!H4</f>
        <v/>
      </c>
      <c r="I3373">
        <f>IF(Skills!AA4&lt;&gt;"",1+(Skills!AA4/10)*(U3372/1000)/100,1)</f>
        <v/>
      </c>
      <c r="J3373">
        <f>((Inputs!$B$6*(1+Inputs!$B$7/100))+(((Inputs!$B$12*(1+Inputs!$B$13/100))-(Inputs!$B$12*(1+Inputs!$B$13/100)))+0.25*(Inputs!$B$14-Inputs!$B$14))*(1+Inputs!$B$7/100))*(F3373/100)</f>
        <v/>
      </c>
      <c r="K3373">
        <f>J3373*(1+((Inputs!$B$12*(1+Inputs!$B$13/100))*0.01+Inputs!$B$14*0.0025)/100)*(1+Inputs!$B$15/100)*(1+Inputs!$B$16/100)*(5000/(6000+Inputs!$B$43*(1-(100*(1-(1-(Inputs!$B$19+0)/100)*(1-CHOOSE(ArtifactsInput!$N$40+1,5,6,7,8,9,10)/100)^(ArtifactsInput!$M$40-ArtifactsInput!$M$40)))/100)))*(1+(Inputs!$B$24+((C3399=TRUE)*(F3399-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3392=TRUE)*(F3392-Calc!F23))+(((IF(AND(ArtifactsInput!$M$42,((Inputs!$B$9+((C3394=TRUE)*(F3394-Calc!F25))+B3409+(ArtifactsInput!$M$24-ArtifactsInput!$M$24)*CHOOSE(ArtifactsInput!$N$24+1,10,12,14,16,18,20)+IF(ArtifactsInput!$M$10,CHOOSE(ArtifactsInput!$N$10+1,15,18,21,24,27,30)*(IF(Inputs!$B$39="pvp",MIN(15,15)/15,IF(AND(Inputs!$B$39&lt;&gt;"pvp",Inputs!$B$44&gt;0),MIN(15,Inputs!$B$44)/(Inputs!$B$44),0))),0)))&gt;=100),MIN(100,((Inputs!$B$9+((C3394=TRUE)*(F3394-Calc!F25))+B3409+(ArtifactsInput!$M$24-ArtifactsInput!$M$24)*CHOOSE(ArtifactsInput!$N$24+1,10,12,14,16,18,20)+IF(ArtifactsInput!$M$10,CHOOSE(ArtifactsInput!$N$10+1,15,18,21,24,27,30)*(IF(Inputs!$B$39="pvp",MIN(15,15)/15,IF(AND(Inputs!$B$39&lt;&gt;"pvp",Inputs!$B$44&gt;0),MIN(15,Inputs!$B$44)/(Inputs!$B$44),0))),0)))-100),0))*CHOOSE(ArtifactsInput!$N$42+1,0.6,0.72,0.84,0.96,1.08,1.2))),Inputs!$B$18+((C3398=TRUE)*(F3398-Calc!F29))+(IF(AND(ArtifactsInput!$M$42,((Inputs!$B$9+((C3394=TRUE)*(F3394-Calc!F25))+B3409+(ArtifactsInput!$M$24-ArtifactsInput!$M$24)*CHOOSE(ArtifactsInput!$N$24+1,10,12,14,16,18,20)+IF(ArtifactsInput!$M$10,CHOOSE(ArtifactsInput!$N$10+1,15,18,21,24,27,30)*(IF(Inputs!$B$39="pvp",MIN(15,15)/15,IF(AND(Inputs!$B$39&lt;&gt;"pvp",Inputs!$B$44&gt;0),MIN(15,Inputs!$B$44)/(Inputs!$B$44),0))),0)))&gt;=100),CHOOSE(ArtifactsInput!$N$42+1,40,48,56,64,72,80),0))))/100)*(((1+(((C3390=TRUE)*F3390*IF(AND(Inputs!$B$39&lt;&gt;"pvp",Inputs!$B$44&gt;0),(((R3390-1)*(Skills!Y21*(1+Inputs!$B$34/100))+MIN((Skills!Y21*(1+Inputs!$B$34/100)),MAX(0,Inputs!$B$44-((R3390-1)*Skills!D21))))/Inputs!$B$44),IF(Inputs!$B$39="pvp",MIN((Skills!Y21*(1+Inputs!$B$34/100)),15)/15,(Skills!Y21*(1+Inputs!$B$34/100))/Skills!D21)))+((C3397=TRUE)*(F3397-Calc!F28))+((C3387=TRUE)*(F3387-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3384=TRUE)*F3384*IF(AND(Inputs!$B$39&lt;&gt;"pvp",Inputs!$B$44&gt;0),(((R3384-1)*(Skills!Y15*(1+Inputs!$B$34/100))+MIN((Skills!Y15*(1+Inputs!$B$34/100)),MAX(0,Inputs!$B$44-((R3384-1)*Skills!D15))))/Inputs!$B$44),IF(Inputs!$B$39="pvp",MIN((Skills!Y15*(1+Inputs!$B$34/100)),15)/15,(Skills!Y15*(1+Inputs!$B$34/100))/Skills!D15)))/100)*(1+((C3375=TRUE)*F3375*B3403)/100))*B3411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3373)</f>
        <v/>
      </c>
      <c r="L3373">
        <f>K3373*(MIN(Inputs!$B$22+((C3393=TRUE)*(F3393-Calc!F24)),(Inputs!$B$23+0+(IF(ArtifactsInput!$M$15,CHOOSE(ArtifactsInput!$N$15+1,25,30,35,40,45,50)/100*(Inputs!$B$11-Inputs!$B$11),0))))/100+(Inputs!$B$23+0+(IF(ArtifactsInput!$M$15,CHOOSE(ArtifactsInput!$N$15+1,25,30,35,40,45,50)/100*(Inputs!$B$11-Inputs!$B$11),0)))/100)/2</f>
        <v/>
      </c>
      <c r="M3373">
        <f>L3373*(1+(Inputs!$B$10+((C3395=TRUE)*(F3395-Calc!F26))+B3412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73">
        <f>L3373*(1-MIN((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3373*(MIN((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73">
        <f>(1-Summary!$B$11)*T3373+Summary!$B$11*V3373</f>
        <v/>
      </c>
      <c r="P3373">
        <f>IF(B3413=0,0,O3373/B3413)</f>
        <v/>
      </c>
      <c r="Q3373">
        <f>IFERROR(1/IF(Inputs!$B$39="pvp",15,MAX(0.1,Skills!D4-IF(Skills!E4=TRUE,2.5,0))),0)</f>
        <v/>
      </c>
      <c r="R3373">
        <f>IF(AND(Inputs!$B$39&lt;&gt;"pvp",Inputs!$B$44&gt;0),IF(MAX(0,Inputs!$B$44-B3414)&lt;=0,0,(INT(MAX(0,Inputs!$B$44-B3414)/IF(Inputs!$B$39="pvp",15,MAX(0.1,Skills!D4-IF(Skills!E4=TRUE,2.5,0))))+1)),0)</f>
        <v/>
      </c>
      <c r="S3373">
        <f>IFERROR(O3373/N3373,0)</f>
        <v/>
      </c>
      <c r="T3373">
        <f>IF(C3373,(H3373*N3373*IF(AND(Inputs!$B$39&lt;&gt;"pvp",Inputs!$B$44&gt;0),((Skills!G4*((R3373-1)*IF(Skills!H4&gt;0,Skills!I4/Skills!H4,1)+IF(Skills!H4&gt;0,MIN(Skills!I4,MAX(0,MAX(0,Inputs!$B$44-B3414)-((R3373-1)*IF(Inputs!$B$39="pvp",15,MAX(0.1,Skills!D4-IF(Skills!E4=TRUE,2.5,0))))))/Skills!H4,1)))/Inputs!$B$44),G3373*Q3373))*IF(Inputs!$B$39="pvp",1,1+(Inputs!$B$20+((C3396=TRUE)*(F3396-Calc!F27))+Skills!P4+B3410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Hunt"),CHOOSE(ArtifactsInput!$N$35+1,15,18,21,24,27,30)*(1-EXP(-(0.2*B3405)*5)),0)+IF(AND(ArtifactsInput!$M$22,Inputs!$B$4&lt;&gt;"Chapter Hunt"),CHOOSE(ArtifactsInput!$N$22+1,10,12,14,16,18,20)*((0*(((0.15*B3405*5))^0/1)+1*(((0.15*B3405*5))^1/1)+2*(((0.15*B3405*5))^2/2)+3*(((0.15*B3405*5))^3/6)+4*(((0.15*B3405*5))^4/24)+5*(((0.15*B3405*5))^5/120))/((((0.15*B3405*5))^0/1)+(((0.15*B3405*5))^1/1)+(((0.15*B3405*5))^2/2)+(((0.15*B3405*5))^3/6)+(((0.15*B3405*5))^4/24)+(((0.15*B3405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3373*(1-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3373*(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3373*(1-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3373*(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373">
        <f>MAX(0,(Inputs!$B$3-100)*3)+Inputs!$B$28+Inputs!$B$29</f>
        <v/>
      </c>
      <c r="V3373">
        <f>IF(C3373,(H3373*N3373*IF(AND(Inputs!$B$39&lt;&gt;"pvp",Inputs!$B$44&gt;0),((Skills!G4*((R3373-1)*IF(Skills!H4&gt;0,Skills!I4/Skills!H4,1)+IF(Skills!H4&gt;0,MIN(Skills!I4,MAX(0,MAX(0,Inputs!$B$44-B3414)-((R3373-1)*IF(Inputs!$B$39="pvp",15,MAX(0.1,Skills!D4-IF(Skills!E4=TRUE,2.5,0))))))/Skills!H4,1)))/Inputs!$B$44),G3373*Q3373))*IF(Inputs!$B$39="pvp",1,(1+(Inputs!$B$21+Skills!Q4+B3410+(IF(ArtifactsInput!$M$33,CHOOSE(ArtifactsInput!$N$33+1,30,36,42,48,54,60),0))+(IF(AND(ArtifactsInput!$M$35,Inputs!$B$4&lt;&gt;"Chapter Hunt"),CHOOSE(ArtifactsInput!$N$35+1,15,18,21,24,27,30)*(1-EXP(-(0.2*B3405)*5)),0)+IF(AND(ArtifactsInput!$M$22,Inputs!$B$4&lt;&gt;"Chapter Hunt"),CHOOSE(ArtifactsInput!$N$22+1,10,12,14,16,18,20)*((0*(((0.15*B3405*5))^0/1)+1*(((0.15*B3405*5))^1/1)+2*(((0.15*B3405*5))^2/2)+3*(((0.15*B3405*5))^3/6)+4*(((0.15*B3405*5))^4/24)+5*(((0.15*B3405*5))^5/120))/((((0.15*B3405*5))^0/1)+(((0.15*B3405*5))^1/1)+(((0.15*B3405*5))^2/2)+(((0.15*B3405*5))^3/6)+(((0.15*B3405*5))^4/24)+(((0.15*B3405*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74">
      <c r="A3374">
        <f>Skills!A5</f>
        <v/>
      </c>
      <c r="B3374">
        <f>Skills!B5</f>
        <v/>
      </c>
      <c r="C3374">
        <f>Inputs!$B$3&gt;=63</f>
        <v/>
      </c>
      <c r="D3374">
        <f>IF(Skills!C5=1,60+Inputs!$B$25+Inputs!$B$29,IF(Skills!C5=2,90+Inputs!$B$26+Inputs!$B$29,IF(Skills!C5=3,120+Inputs!$B$27+Inputs!$B$29,MAX(0,(Inputs!$B$3-100)*3)+Inputs!$B$28+Inputs!$B$29)))</f>
        <v/>
      </c>
      <c r="E3374">
        <f>INDEX(FactorTable!$B$2:$Y$301, MATCH(ROUND(MIN(300,MAX(1,D3374)),0), FactorTable!$A$2:$A$301,0), Skills!M5+1)</f>
        <v/>
      </c>
      <c r="F3374">
        <f>IF(Skills!N5=TRUE,(Skills!L5/10)*(E3374/1000),Skills!L5/10)+Skills!O5</f>
        <v/>
      </c>
      <c r="G3374">
        <f>Calc!G5</f>
        <v/>
      </c>
      <c r="H3374">
        <f>Calc!H5</f>
        <v/>
      </c>
      <c r="I3374">
        <f>IF(Skills!AA5&lt;&gt;"",1+(Skills!AA5/10)*(U3372/1000)/100,1)</f>
        <v/>
      </c>
      <c r="J3374">
        <f>((Inputs!$B$6*(1+Inputs!$B$7/100))+(((Inputs!$B$12*(1+Inputs!$B$13/100))-(Inputs!$B$12*(1+Inputs!$B$13/100)))+0.25*(Inputs!$B$14-Inputs!$B$14))*(1+Inputs!$B$7/100))*(F3374/100)</f>
        <v/>
      </c>
      <c r="K3374">
        <f>J3374*(1+((Inputs!$B$12*(1+Inputs!$B$13/100))*0.01+Inputs!$B$14*0.0025)/100)*(1+Inputs!$B$15/100)*(1+Inputs!$B$16/100)*(5000/(6000+Inputs!$B$43*(1-(100*(1-(1-(Inputs!$B$19+0)/100)*(1-CHOOSE(ArtifactsInput!$N$40+1,5,6,7,8,9,10)/100)^(ArtifactsInput!$M$40-ArtifactsInput!$M$40)))/100)))*(1+(Inputs!$B$24+((C3399=TRUE)*(F3399-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3392=TRUE)*(F3392-Calc!F23))+(((IF(AND(ArtifactsInput!$M$42,((Inputs!$B$9+((C3394=TRUE)*(F3394-Calc!F25))+B3409+(ArtifactsInput!$M$24-ArtifactsInput!$M$24)*CHOOSE(ArtifactsInput!$N$24+1,10,12,14,16,18,20)+IF(ArtifactsInput!$M$10,CHOOSE(ArtifactsInput!$N$10+1,15,18,21,24,27,30)*(IF(Inputs!$B$39="pvp",MIN(15,15)/15,IF(AND(Inputs!$B$39&lt;&gt;"pvp",Inputs!$B$44&gt;0),MIN(15,Inputs!$B$44)/(Inputs!$B$44),0))),0)))&gt;=100),MIN(100,((Inputs!$B$9+((C3394=TRUE)*(F3394-Calc!F25))+B3409+(ArtifactsInput!$M$24-ArtifactsInput!$M$24)*CHOOSE(ArtifactsInput!$N$24+1,10,12,14,16,18,20)+IF(ArtifactsInput!$M$10,CHOOSE(ArtifactsInput!$N$10+1,15,18,21,24,27,30)*(IF(Inputs!$B$39="pvp",MIN(15,15)/15,IF(AND(Inputs!$B$39&lt;&gt;"pvp",Inputs!$B$44&gt;0),MIN(15,Inputs!$B$44)/(Inputs!$B$44),0))),0)))-100),0))*CHOOSE(ArtifactsInput!$N$42+1,0.6,0.72,0.84,0.96,1.08,1.2))),Inputs!$B$18+((C3398=TRUE)*(F3398-Calc!F29))+(IF(AND(ArtifactsInput!$M$42,((Inputs!$B$9+((C3394=TRUE)*(F3394-Calc!F25))+B3409+(ArtifactsInput!$M$24-ArtifactsInput!$M$24)*CHOOSE(ArtifactsInput!$N$24+1,10,12,14,16,18,20)+IF(ArtifactsInput!$M$10,CHOOSE(ArtifactsInput!$N$10+1,15,18,21,24,27,30)*(IF(Inputs!$B$39="pvp",MIN(15,15)/15,IF(AND(Inputs!$B$39&lt;&gt;"pvp",Inputs!$B$44&gt;0),MIN(15,Inputs!$B$44)/(Inputs!$B$44),0))),0)))&gt;=100),CHOOSE(ArtifactsInput!$N$42+1,40,48,56,64,72,80),0))))/100)*(((1+(((C3390=TRUE)*F3390*IF(AND(Inputs!$B$39&lt;&gt;"pvp",Inputs!$B$44&gt;0),(((R3390-1)*(Skills!Y21*(1+Inputs!$B$34/100))+MIN((Skills!Y21*(1+Inputs!$B$34/100)),MAX(0,Inputs!$B$44-((R3390-1)*Skills!D21))))/Inputs!$B$44),IF(Inputs!$B$39="pvp",MIN((Skills!Y21*(1+Inputs!$B$34/100)),15)/15,(Skills!Y21*(1+Inputs!$B$34/100))/Skills!D21)))+((C3397=TRUE)*(F3397-Calc!F28))+((C3387=TRUE)*(F3387-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3384=TRUE)*F3384*IF(AND(Inputs!$B$39&lt;&gt;"pvp",Inputs!$B$44&gt;0),(((R3384-1)*(Skills!Y15*(1+Inputs!$B$34/100))+MIN((Skills!Y15*(1+Inputs!$B$34/100)),MAX(0,Inputs!$B$44-((R3384-1)*Skills!D15))))/Inputs!$B$44),IF(Inputs!$B$39="pvp",MIN((Skills!Y15*(1+Inputs!$B$34/100)),15)/15,(Skills!Y15*(1+Inputs!$B$34/100))/Skills!D15)))/100)*(1+((C3375=TRUE)*F3375*B3403)/100))*B3411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3374)</f>
        <v/>
      </c>
      <c r="L3374">
        <f>K3374*(MIN(Inputs!$B$22+((C3393=TRUE)*(F3393-Calc!F24)),(Inputs!$B$23+0+(IF(ArtifactsInput!$M$15,CHOOSE(ArtifactsInput!$N$15+1,25,30,35,40,45,50)/100*(Inputs!$B$11-Inputs!$B$11),0))))/100+(Inputs!$B$23+0+(IF(ArtifactsInput!$M$15,CHOOSE(ArtifactsInput!$N$15+1,25,30,35,40,45,50)/100*(Inputs!$B$11-Inputs!$B$11),0)))/100)/2</f>
        <v/>
      </c>
      <c r="M3374">
        <f>L3374*(1+(Inputs!$B$10+((C3395=TRUE)*(F3395-Calc!F26))+B3412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74">
        <f>L3374*(1-MIN((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3374*(MIN((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74">
        <f>(1-Summary!$B$11)*T3374+Summary!$B$11*V3374</f>
        <v/>
      </c>
      <c r="P3374">
        <f>IF(B3413=0,0,O3374/B3413)</f>
        <v/>
      </c>
      <c r="Q3374">
        <f>IFERROR(1/IF(Inputs!$B$39="pvp",15,MAX(0.1,Skills!D5-IF(Skills!E5=TRUE,2.5,0))),0)</f>
        <v/>
      </c>
      <c r="R3374">
        <f>IF(AND(Inputs!$B$39&lt;&gt;"pvp",Inputs!$B$44&gt;0),IF(MAX(0,Inputs!$B$44-B3414)&lt;=0,0,(INT(MAX(0,Inputs!$B$44-B3414)/IF(Inputs!$B$39="pvp",15,MAX(0.1,Skills!D5-IF(Skills!E5=TRUE,2.5,0))))+1)),0)</f>
        <v/>
      </c>
      <c r="S3374">
        <f>IFERROR(O3374/N3374,0)</f>
        <v/>
      </c>
      <c r="T3374">
        <f>IF(C3374,(H3374*N3374*IF(AND(Inputs!$B$39&lt;&gt;"pvp",Inputs!$B$44&gt;0),((Skills!G5*((R3374-1)*IF(Skills!H5&gt;0,Skills!I5/Skills!H5,1)+IF(Skills!H5&gt;0,MIN(Skills!I5,MAX(0,MAX(0,Inputs!$B$44-B3414)-((R3374-1)*IF(Inputs!$B$39="pvp",15,MAX(0.1,Skills!D5-IF(Skills!E5=TRUE,2.5,0))))))/Skills!H5,1)))/Inputs!$B$44),G3374*Q3374))*IF(Inputs!$B$39="pvp",1,1+(Inputs!$B$20+((C3396=TRUE)*(F3396-Calc!F27))+Skills!P5+B3410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Hunt"),CHOOSE(ArtifactsInput!$N$35+1,15,18,21,24,27,30)*(1-EXP(-(0.2*B3405)*5)),0)+IF(AND(ArtifactsInput!$M$22,Inputs!$B$4&lt;&gt;"Chapter Hunt"),CHOOSE(ArtifactsInput!$N$22+1,10,12,14,16,18,20)*((0*(((0.15*B3405*5))^0/1)+1*(((0.15*B3405*5))^1/1)+2*(((0.15*B3405*5))^2/2)+3*(((0.15*B3405*5))^3/6)+4*(((0.15*B3405*5))^4/24)+5*(((0.15*B3405*5))^5/120))/((((0.15*B3405*5))^0/1)+(((0.15*B3405*5))^1/1)+(((0.15*B3405*5))^2/2)+(((0.15*B3405*5))^3/6)+(((0.15*B3405*5))^4/24)+(((0.15*B3405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3374*(1-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3374*(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3374*(1-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3374*(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374">
        <f>INDEX(FactorTable!$B$2:$Y$301, MATCH(ROUND(MIN(300,MAX(1,U3373)),0), FactorTable!$A$2:$A$301,0), 22)</f>
        <v/>
      </c>
      <c r="V3374">
        <f>IF(C3374,(H3374*N3374*IF(AND(Inputs!$B$39&lt;&gt;"pvp",Inputs!$B$44&gt;0),((Skills!G5*((R3374-1)*IF(Skills!H5&gt;0,Skills!I5/Skills!H5,1)+IF(Skills!H5&gt;0,MIN(Skills!I5,MAX(0,MAX(0,Inputs!$B$44-B3414)-((R3374-1)*IF(Inputs!$B$39="pvp",15,MAX(0.1,Skills!D5-IF(Skills!E5=TRUE,2.5,0))))))/Skills!H5,1)))/Inputs!$B$44),G3374*Q3374))*IF(Inputs!$B$39="pvp",1,(1+(Inputs!$B$21+Skills!Q5+B3410+(IF(ArtifactsInput!$M$33,CHOOSE(ArtifactsInput!$N$33+1,30,36,42,48,54,60),0))+(IF(AND(ArtifactsInput!$M$35,Inputs!$B$4&lt;&gt;"Chapter Hunt"),CHOOSE(ArtifactsInput!$N$35+1,15,18,21,24,27,30)*(1-EXP(-(0.2*B3405)*5)),0)+IF(AND(ArtifactsInput!$M$22,Inputs!$B$4&lt;&gt;"Chapter Hunt"),CHOOSE(ArtifactsInput!$N$22+1,10,12,14,16,18,20)*((0*(((0.15*B3405*5))^0/1)+1*(((0.15*B3405*5))^1/1)+2*(((0.15*B3405*5))^2/2)+3*(((0.15*B3405*5))^3/6)+4*(((0.15*B3405*5))^4/24)+5*(((0.15*B3405*5))^5/120))/((((0.15*B3405*5))^0/1)+(((0.15*B3405*5))^1/1)+(((0.15*B3405*5))^2/2)+(((0.15*B3405*5))^3/6)+(((0.15*B3405*5))^4/24)+(((0.15*B3405*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75">
      <c r="A3375">
        <f>Skills!A6</f>
        <v/>
      </c>
      <c r="B3375">
        <f>Skills!B6</f>
        <v/>
      </c>
      <c r="C3375">
        <f>Inputs!$B$3&gt;=66</f>
        <v/>
      </c>
      <c r="D3375">
        <f>IF(Skills!C6=1,60+Inputs!$B$25+Inputs!$B$29,IF(Skills!C6=2,90+Inputs!$B$26+Inputs!$B$29,IF(Skills!C6=3,120+Inputs!$B$27+Inputs!$B$29,MAX(0,(Inputs!$B$3-100)*3)+Inputs!$B$28+Inputs!$B$29)))</f>
        <v/>
      </c>
      <c r="E3375">
        <f>INDEX(FactorTable!$B$2:$Y$301, MATCH(ROUND(MIN(300,MAX(1,D3375)),0), FactorTable!$A$2:$A$301,0), Skills!M6+1)</f>
        <v/>
      </c>
      <c r="F3375">
        <f>IF(Skills!N6=TRUE,(Skills!L6/10)*(E3375/1000),Skills!L6/10)+Skills!O6</f>
        <v/>
      </c>
      <c r="G3375">
        <f>Calc!G6</f>
        <v/>
      </c>
      <c r="H3375">
        <f>Calc!H6</f>
        <v/>
      </c>
      <c r="I3375">
        <f>IF(Skills!AA6&lt;&gt;"",1+(Skills!AA6/10)*(U3372/1000)/100,1)</f>
        <v/>
      </c>
      <c r="J3375" t="inlineStr"/>
      <c r="K3375" t="inlineStr"/>
      <c r="L3375" t="inlineStr"/>
      <c r="M3375" t="inlineStr"/>
      <c r="N3375" t="inlineStr"/>
      <c r="O3375">
        <f>(1-Summary!$B$11)*T3375+Summary!$B$11*V3375</f>
        <v/>
      </c>
      <c r="P3375">
        <f>IF(B3413=0,0,O3375/B3413)</f>
        <v/>
      </c>
      <c r="Q3375" t="n">
        <v>0</v>
      </c>
      <c r="R3375" t="n">
        <v>0</v>
      </c>
      <c r="S3375">
        <f>IFERROR(O3375/N3375,0)</f>
        <v/>
      </c>
      <c r="T3375" t="n">
        <v>0</v>
      </c>
      <c r="U3375">
        <f>290*U3374/1000</f>
        <v/>
      </c>
      <c r="V3375" t="n">
        <v>0</v>
      </c>
    </row>
    <row r="3376">
      <c r="A3376">
        <f>Skills!A7</f>
        <v/>
      </c>
      <c r="B3376">
        <f>Skills!B7</f>
        <v/>
      </c>
      <c r="C3376">
        <f>Inputs!$B$3&gt;=66</f>
        <v/>
      </c>
      <c r="D3376">
        <f>IF(Skills!C7=1,60+Inputs!$B$25+Inputs!$B$29,IF(Skills!C7=2,90+Inputs!$B$26+Inputs!$B$29,IF(Skills!C7=3,120+Inputs!$B$27+Inputs!$B$29,MAX(0,(Inputs!$B$3-100)*3)+Inputs!$B$28+Inputs!$B$29)))</f>
        <v/>
      </c>
      <c r="E3376">
        <f>INDEX(FactorTable!$B$2:$Y$301, MATCH(ROUND(MIN(300,MAX(1,D3376)),0), FactorTable!$A$2:$A$301,0), Skills!M7+1)</f>
        <v/>
      </c>
      <c r="F3376">
        <f>IF(Skills!N7=TRUE,(Skills!L7/10)*(E3376/1000),Skills!L7/10)+Skills!O7</f>
        <v/>
      </c>
      <c r="G3376">
        <f>Calc!G7</f>
        <v/>
      </c>
      <c r="H3376">
        <f>Calc!H7</f>
        <v/>
      </c>
      <c r="I3376">
        <f>IF(Skills!AA7&lt;&gt;"",1+(Skills!AA7/10)*(U3372/1000)/100,1)</f>
        <v/>
      </c>
      <c r="J3376" t="inlineStr"/>
      <c r="K3376" t="inlineStr"/>
      <c r="L3376" t="inlineStr"/>
      <c r="M3376" t="inlineStr"/>
      <c r="N3376" t="inlineStr"/>
      <c r="O3376">
        <f>(1-Summary!$B$11)*T3376+Summary!$B$11*V3376</f>
        <v/>
      </c>
      <c r="P3376">
        <f>IF(B3413=0,0,O3376/B3413)</f>
        <v/>
      </c>
      <c r="Q3376" t="n">
        <v>0</v>
      </c>
      <c r="R3376" t="n">
        <v>0</v>
      </c>
      <c r="S3376">
        <f>IFERROR(O3376/N3376,0)</f>
        <v/>
      </c>
      <c r="T3376" t="n">
        <v>0</v>
      </c>
      <c r="V3376" t="n">
        <v>0</v>
      </c>
    </row>
    <row r="3377">
      <c r="A3377">
        <f>Skills!A8</f>
        <v/>
      </c>
      <c r="B3377">
        <f>Skills!B8</f>
        <v/>
      </c>
      <c r="C3377">
        <f>Inputs!$B$3&gt;=69</f>
        <v/>
      </c>
      <c r="D3377">
        <f>IF(Skills!C8=1,60+Inputs!$B$25+Inputs!$B$29,IF(Skills!C8=2,90+Inputs!$B$26+Inputs!$B$29,IF(Skills!C8=3,120+Inputs!$B$27+Inputs!$B$29,MAX(0,(Inputs!$B$3-100)*3)+Inputs!$B$28+Inputs!$B$29)))</f>
        <v/>
      </c>
      <c r="E3377">
        <f>INDEX(FactorTable!$B$2:$Y$301, MATCH(ROUND(MIN(300,MAX(1,D3377)),0), FactorTable!$A$2:$A$301,0), Skills!M8+1)</f>
        <v/>
      </c>
      <c r="F3377">
        <f>IF(Skills!N8=TRUE,(Skills!L8/10)*(E3377/1000),Skills!L8/10)+Skills!O8</f>
        <v/>
      </c>
      <c r="G3377">
        <f>Calc!G8</f>
        <v/>
      </c>
      <c r="H3377">
        <f>Calc!H8</f>
        <v/>
      </c>
      <c r="I3377">
        <f>IF(Skills!AA8&lt;&gt;"",1+(Skills!AA8/10)*(U3372/1000)/100,1)</f>
        <v/>
      </c>
      <c r="J3377">
        <f>((Inputs!$B$6*(1+Inputs!$B$7/100))+(((Inputs!$B$12*(1+Inputs!$B$13/100))-(Inputs!$B$12*(1+Inputs!$B$13/100)))+0.25*(Inputs!$B$14-Inputs!$B$14))*(1+Inputs!$B$7/100))*(F3377/100)</f>
        <v/>
      </c>
      <c r="K3377">
        <f>J3377*(1+((Inputs!$B$12*(1+Inputs!$B$13/100))*0.01+Inputs!$B$14*0.0025)/100)*(1+Inputs!$B$15/100)*(1+Inputs!$B$16/100)*(5000/(6000+Inputs!$B$43*(1-(100*(1-(1-(Inputs!$B$19+0)/100)*(1-CHOOSE(ArtifactsInput!$N$40+1,5,6,7,8,9,10)/100)^(ArtifactsInput!$M$40-ArtifactsInput!$M$40)))/100)))*(1+(Inputs!$B$24+((C3399=TRUE)*(F3399-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3392=TRUE)*(F3392-Calc!F23))+(((IF(AND(ArtifactsInput!$M$42,((Inputs!$B$9+((C3394=TRUE)*(F3394-Calc!F25))+B3409+(ArtifactsInput!$M$24-ArtifactsInput!$M$24)*CHOOSE(ArtifactsInput!$N$24+1,10,12,14,16,18,20)+IF(ArtifactsInput!$M$10,CHOOSE(ArtifactsInput!$N$10+1,15,18,21,24,27,30)*(IF(Inputs!$B$39="pvp",MIN(15,15)/15,IF(AND(Inputs!$B$39&lt;&gt;"pvp",Inputs!$B$44&gt;0),MIN(15,Inputs!$B$44)/(Inputs!$B$44),0))),0)))&gt;=100),MIN(100,((Inputs!$B$9+((C3394=TRUE)*(F3394-Calc!F25))+B3409+(ArtifactsInput!$M$24-ArtifactsInput!$M$24)*CHOOSE(ArtifactsInput!$N$24+1,10,12,14,16,18,20)+IF(ArtifactsInput!$M$10,CHOOSE(ArtifactsInput!$N$10+1,15,18,21,24,27,30)*(IF(Inputs!$B$39="pvp",MIN(15,15)/15,IF(AND(Inputs!$B$39&lt;&gt;"pvp",Inputs!$B$44&gt;0),MIN(15,Inputs!$B$44)/(Inputs!$B$44),0))),0)))-100),0))*CHOOSE(ArtifactsInput!$N$42+1,0.6,0.72,0.84,0.96,1.08,1.2))),Inputs!$B$18+((C3398=TRUE)*(F3398-Calc!F29))+(IF(AND(ArtifactsInput!$M$42,((Inputs!$B$9+((C3394=TRUE)*(F3394-Calc!F25))+B3409+(ArtifactsInput!$M$24-ArtifactsInput!$M$24)*CHOOSE(ArtifactsInput!$N$24+1,10,12,14,16,18,20)+IF(ArtifactsInput!$M$10,CHOOSE(ArtifactsInput!$N$10+1,15,18,21,24,27,30)*(IF(Inputs!$B$39="pvp",MIN(15,15)/15,IF(AND(Inputs!$B$39&lt;&gt;"pvp",Inputs!$B$44&gt;0),MIN(15,Inputs!$B$44)/(Inputs!$B$44),0))),0)))&gt;=100),CHOOSE(ArtifactsInput!$N$42+1,40,48,56,64,72,80),0))))/100)*(((1+(((C3390=TRUE)*F3390*IF(AND(Inputs!$B$39&lt;&gt;"pvp",Inputs!$B$44&gt;0),(((R3390-1)*(Skills!Y21*(1+Inputs!$B$34/100))+MIN((Skills!Y21*(1+Inputs!$B$34/100)),MAX(0,Inputs!$B$44-((R3390-1)*Skills!D21))))/Inputs!$B$44),IF(Inputs!$B$39="pvp",MIN((Skills!Y21*(1+Inputs!$B$34/100)),15)/15,(Skills!Y21*(1+Inputs!$B$34/100))/Skills!D21)))+((C3397=TRUE)*(F3397-Calc!F28))+((C3387=TRUE)*(F3387-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3384=TRUE)*F3384*IF(AND(Inputs!$B$39&lt;&gt;"pvp",Inputs!$B$44&gt;0),(((R3384-1)*(Skills!Y15*(1+Inputs!$B$34/100))+MIN((Skills!Y15*(1+Inputs!$B$34/100)),MAX(0,Inputs!$B$44-((R3384-1)*Skills!D15))))/Inputs!$B$44),IF(Inputs!$B$39="pvp",MIN((Skills!Y15*(1+Inputs!$B$34/100)),15)/15,(Skills!Y15*(1+Inputs!$B$34/100))/Skills!D15)))/100)*(1+((C3375=TRUE)*F3375*B3403)/100))*B3411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3377)</f>
        <v/>
      </c>
      <c r="L3377">
        <f>K3377*(MIN(Inputs!$B$22+((C3393=TRUE)*(F3393-Calc!F24)),(Inputs!$B$23+0+(IF(ArtifactsInput!$M$15,CHOOSE(ArtifactsInput!$N$15+1,25,30,35,40,45,50)/100*(Inputs!$B$11-Inputs!$B$11),0))))/100+(Inputs!$B$23+0+(IF(ArtifactsInput!$M$15,CHOOSE(ArtifactsInput!$N$15+1,25,30,35,40,45,50)/100*(Inputs!$B$11-Inputs!$B$11),0)))/100)/2</f>
        <v/>
      </c>
      <c r="M3377">
        <f>L3377*(1+(Inputs!$B$10+((C3395=TRUE)*(F3395-Calc!F26))+B3412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77">
        <f>L3377*(1-MIN((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3377*(MIN((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77">
        <f>(1-Summary!$B$11)*T3377+Summary!$B$11*V3377</f>
        <v/>
      </c>
      <c r="P3377">
        <f>IF(B3413=0,0,O3377/B3413)</f>
        <v/>
      </c>
      <c r="Q3377">
        <f>IFERROR(1/IF(Inputs!$B$39="pvp",15,MAX(0.1,Skills!D8-IF(Skills!E8=TRUE,2.5,0))),0)</f>
        <v/>
      </c>
      <c r="R3377">
        <f>IF(AND(Inputs!$B$39&lt;&gt;"pvp",Inputs!$B$44&gt;0),IF(MAX(0,Inputs!$B$44-B3414)&lt;=0,0,(INT(MAX(0,Inputs!$B$44-B3414)/IF(Inputs!$B$39="pvp",15,MAX(0.1,Skills!D8-IF(Skills!E8=TRUE,2.5,0))))+1)),0)</f>
        <v/>
      </c>
      <c r="S3377">
        <f>IFERROR(O3377/N3377,0)</f>
        <v/>
      </c>
      <c r="T3377">
        <f>IF(C3377,(H3377*N3377*IF(AND(Inputs!$B$39&lt;&gt;"pvp",Inputs!$B$44&gt;0),((Skills!G8*((R3377-1)*IF(Skills!H8&gt;0,Skills!I8/Skills!H8,1)+IF(Skills!H8&gt;0,MIN(Skills!I8,MAX(0,MAX(0,Inputs!$B$44-B3414)-((R3377-1)*IF(Inputs!$B$39="pvp",15,MAX(0.1,Skills!D8-IF(Skills!E8=TRUE,2.5,0))))))/Skills!H8,1)))/Inputs!$B$44),G3377*Q3377))*IF(Inputs!$B$39="pvp",1,1+(Inputs!$B$20+((C3396=TRUE)*(F3396-Calc!F27))+Skills!P8+B3410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Hunt"),CHOOSE(ArtifactsInput!$N$35+1,15,18,21,24,27,30)*(1-EXP(-(0.2*B3405)*5)),0)+IF(AND(ArtifactsInput!$M$22,Inputs!$B$4&lt;&gt;"Chapter Hunt"),CHOOSE(ArtifactsInput!$N$22+1,10,12,14,16,18,20)*((0*(((0.15*B3405*5))^0/1)+1*(((0.15*B3405*5))^1/1)+2*(((0.15*B3405*5))^2/2)+3*(((0.15*B3405*5))^3/6)+4*(((0.15*B3405*5))^4/24)+5*(((0.15*B3405*5))^5/120))/((((0.15*B3405*5))^0/1)+(((0.15*B3405*5))^1/1)+(((0.15*B3405*5))^2/2)+(((0.15*B3405*5))^3/6)+(((0.15*B3405*5))^4/24)+(((0.15*B3405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3377*(1-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3377*(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3377*(1-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3377*(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77">
        <f>IF(C3377,(H3377*N3377*IF(AND(Inputs!$B$39&lt;&gt;"pvp",Inputs!$B$44&gt;0),((Skills!G8*((R3377-1)*IF(Skills!H8&gt;0,Skills!I8/Skills!H8,1)+IF(Skills!H8&gt;0,MIN(Skills!I8,MAX(0,MAX(0,Inputs!$B$44-B3414)-((R3377-1)*IF(Inputs!$B$39="pvp",15,MAX(0.1,Skills!D8-IF(Skills!E8=TRUE,2.5,0))))))/Skills!H8,1)))/Inputs!$B$44),G3377*Q3377))*IF(Inputs!$B$39="pvp",1,(1+(Inputs!$B$21+Skills!Q8+B3410+(IF(ArtifactsInput!$M$33,CHOOSE(ArtifactsInput!$N$33+1,30,36,42,48,54,60),0))+(IF(AND(ArtifactsInput!$M$35,Inputs!$B$4&lt;&gt;"Chapter Hunt"),CHOOSE(ArtifactsInput!$N$35+1,15,18,21,24,27,30)*(1-EXP(-(0.2*B3405)*5)),0)+IF(AND(ArtifactsInput!$M$22,Inputs!$B$4&lt;&gt;"Chapter Hunt"),CHOOSE(ArtifactsInput!$N$22+1,10,12,14,16,18,20)*((0*(((0.15*B3405*5))^0/1)+1*(((0.15*B3405*5))^1/1)+2*(((0.15*B3405*5))^2/2)+3*(((0.15*B3405*5))^3/6)+4*(((0.15*B3405*5))^4/24)+5*(((0.15*B3405*5))^5/120))/((((0.15*B3405*5))^0/1)+(((0.15*B3405*5))^1/1)+(((0.15*B3405*5))^2/2)+(((0.15*B3405*5))^3/6)+(((0.15*B3405*5))^4/24)+(((0.15*B3405*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78">
      <c r="A3378">
        <f>Skills!A9</f>
        <v/>
      </c>
      <c r="B3378">
        <f>Skills!B9</f>
        <v/>
      </c>
      <c r="C3378">
        <f>Inputs!$B$3&gt;=72</f>
        <v/>
      </c>
      <c r="D3378">
        <f>IF(Skills!C9=1,60+Inputs!$B$25+Inputs!$B$29,IF(Skills!C9=2,90+Inputs!$B$26+Inputs!$B$29,IF(Skills!C9=3,120+Inputs!$B$27+Inputs!$B$29,MAX(0,(Inputs!$B$3-100)*3)+Inputs!$B$28+Inputs!$B$29)))</f>
        <v/>
      </c>
      <c r="E3378">
        <f>INDEX(FactorTable!$B$2:$Y$301, MATCH(ROUND(MIN(300,MAX(1,D3378)),0), FactorTable!$A$2:$A$301,0), Skills!M9+1)</f>
        <v/>
      </c>
      <c r="F3378">
        <f>IF(Skills!N9=TRUE,(Skills!L9/10)*(E3378/1000),Skills!L9/10)+Skills!O9</f>
        <v/>
      </c>
      <c r="G3378">
        <f>Calc!G9</f>
        <v/>
      </c>
      <c r="H3378">
        <f>Calc!H9</f>
        <v/>
      </c>
      <c r="I3378">
        <f>IF(Skills!AA9&lt;&gt;"",1+(Skills!AA9/10)*(U3372/1000)/100,1)</f>
        <v/>
      </c>
      <c r="J3378">
        <f>((Inputs!$B$6*(1+Inputs!$B$7/100))+(((Inputs!$B$12*(1+Inputs!$B$13/100))-(Inputs!$B$12*(1+Inputs!$B$13/100)))+0.25*(Inputs!$B$14-Inputs!$B$14))*(1+Inputs!$B$7/100))*(F3378/100)</f>
        <v/>
      </c>
      <c r="K3378">
        <f>J3378*(1+((Inputs!$B$12*(1+Inputs!$B$13/100))*0.01+Inputs!$B$14*0.0025)/100)*(1+Inputs!$B$15/100)*(1+Inputs!$B$16/100)*(5000/(6000+Inputs!$B$43*(1-(100*(1-(1-(Inputs!$B$19+0)/100)*(1-CHOOSE(ArtifactsInput!$N$40+1,5,6,7,8,9,10)/100)^(ArtifactsInput!$M$40-ArtifactsInput!$M$40)))/100)))*(1+(Inputs!$B$24+((C3399=TRUE)*(F3399-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3392=TRUE)*(F3392-Calc!F23))+(((IF(AND(ArtifactsInput!$M$42,((Inputs!$B$9+((C3394=TRUE)*(F3394-Calc!F25))+B3409+(ArtifactsInput!$M$24-ArtifactsInput!$M$24)*CHOOSE(ArtifactsInput!$N$24+1,10,12,14,16,18,20)+IF(ArtifactsInput!$M$10,CHOOSE(ArtifactsInput!$N$10+1,15,18,21,24,27,30)*(IF(Inputs!$B$39="pvp",MIN(15,15)/15,IF(AND(Inputs!$B$39&lt;&gt;"pvp",Inputs!$B$44&gt;0),MIN(15,Inputs!$B$44)/(Inputs!$B$44),0))),0)))&gt;=100),MIN(100,((Inputs!$B$9+((C3394=TRUE)*(F3394-Calc!F25))+B3409+(ArtifactsInput!$M$24-ArtifactsInput!$M$24)*CHOOSE(ArtifactsInput!$N$24+1,10,12,14,16,18,20)+IF(ArtifactsInput!$M$10,CHOOSE(ArtifactsInput!$N$10+1,15,18,21,24,27,30)*(IF(Inputs!$B$39="pvp",MIN(15,15)/15,IF(AND(Inputs!$B$39&lt;&gt;"pvp",Inputs!$B$44&gt;0),MIN(15,Inputs!$B$44)/(Inputs!$B$44),0))),0)))-100),0))*CHOOSE(ArtifactsInput!$N$42+1,0.6,0.72,0.84,0.96,1.08,1.2))),Inputs!$B$18+((C3398=TRUE)*(F3398-Calc!F29))+(IF(AND(ArtifactsInput!$M$42,((Inputs!$B$9+((C3394=TRUE)*(F3394-Calc!F25))+B3409+(ArtifactsInput!$M$24-ArtifactsInput!$M$24)*CHOOSE(ArtifactsInput!$N$24+1,10,12,14,16,18,20)+IF(ArtifactsInput!$M$10,CHOOSE(ArtifactsInput!$N$10+1,15,18,21,24,27,30)*(IF(Inputs!$B$39="pvp",MIN(15,15)/15,IF(AND(Inputs!$B$39&lt;&gt;"pvp",Inputs!$B$44&gt;0),MIN(15,Inputs!$B$44)/(Inputs!$B$44),0))),0)))&gt;=100),CHOOSE(ArtifactsInput!$N$42+1,40,48,56,64,72,80),0))))/100)*(((1+(((C3390=TRUE)*F3390*IF(AND(Inputs!$B$39&lt;&gt;"pvp",Inputs!$B$44&gt;0),(((R3390-1)*(Skills!Y21*(1+Inputs!$B$34/100))+MIN((Skills!Y21*(1+Inputs!$B$34/100)),MAX(0,Inputs!$B$44-((R3390-1)*Skills!D21))))/Inputs!$B$44),IF(Inputs!$B$39="pvp",MIN((Skills!Y21*(1+Inputs!$B$34/100)),15)/15,(Skills!Y21*(1+Inputs!$B$34/100))/Skills!D21)))+((C3397=TRUE)*(F3397-Calc!F28))+((C3387=TRUE)*(F3387-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3384=TRUE)*F3384*IF(AND(Inputs!$B$39&lt;&gt;"pvp",Inputs!$B$44&gt;0),(((R3384-1)*(Skills!Y15*(1+Inputs!$B$34/100))+MIN((Skills!Y15*(1+Inputs!$B$34/100)),MAX(0,Inputs!$B$44-((R3384-1)*Skills!D15))))/Inputs!$B$44),IF(Inputs!$B$39="pvp",MIN((Skills!Y15*(1+Inputs!$B$34/100)),15)/15,(Skills!Y15*(1+Inputs!$B$34/100))/Skills!D15)))/100)*(1+((C3375=TRUE)*F3375*B3403)/100))*B3411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3378)</f>
        <v/>
      </c>
      <c r="L3378">
        <f>K3378*(MIN(Inputs!$B$22+((C3393=TRUE)*(F3393-Calc!F24)),(Inputs!$B$23+0+(IF(ArtifactsInput!$M$15,CHOOSE(ArtifactsInput!$N$15+1,25,30,35,40,45,50)/100*(Inputs!$B$11-Inputs!$B$11),0))))/100+(Inputs!$B$23+0+(IF(ArtifactsInput!$M$15,CHOOSE(ArtifactsInput!$N$15+1,25,30,35,40,45,50)/100*(Inputs!$B$11-Inputs!$B$11),0)))/100)/2</f>
        <v/>
      </c>
      <c r="M3378">
        <f>L3378*(1+(Inputs!$B$10+((C3395=TRUE)*(F3395-Calc!F26))+B3412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78">
        <f>L3378*(1-MIN((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3378*(MIN((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78">
        <f>(1-Summary!$B$11)*T3378+Summary!$B$11*V3378</f>
        <v/>
      </c>
      <c r="P3378">
        <f>IF(B3413=0,0,O3378/B3413)</f>
        <v/>
      </c>
      <c r="Q3378">
        <f>IFERROR(1/IF(Inputs!$B$39="pvp",15,MAX(0.1,Skills!D9-IF(Skills!E9=TRUE,2.5,0))),0)</f>
        <v/>
      </c>
      <c r="R3378">
        <f>IF(AND(Inputs!$B$39&lt;&gt;"pvp",Inputs!$B$44&gt;0),IF(MAX(0,Inputs!$B$44-B3414)&lt;=0,0,(INT(MAX(0,Inputs!$B$44-B3414)/IF(Inputs!$B$39="pvp",15,MAX(0.1,Skills!D9-IF(Skills!E9=TRUE,2.5,0))))+1)),0)</f>
        <v/>
      </c>
      <c r="S3378">
        <f>IFERROR(O3378/N3378,0)</f>
        <v/>
      </c>
      <c r="T3378">
        <f>IF(C3378,(H3378*N3378*IF(AND(Inputs!$B$39&lt;&gt;"pvp",Inputs!$B$44&gt;0),((Skills!G9*((R3378-1)*IF(Skills!H9&gt;0,Skills!I9/Skills!H9,1)+IF(Skills!H9&gt;0,MIN(Skills!I9,MAX(0,MAX(0,Inputs!$B$44-B3414)-((R3378-1)*IF(Inputs!$B$39="pvp",15,MAX(0.1,Skills!D9-IF(Skills!E9=TRUE,2.5,0))))))/Skills!H9,1)))/Inputs!$B$44),G3378*Q3378))*IF(Inputs!$B$39="pvp",1,1+(Inputs!$B$20+((C3396=TRUE)*(F3396-Calc!F27))+Skills!P9+B3410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Hunt"),CHOOSE(ArtifactsInput!$N$35+1,15,18,21,24,27,30)*(1-EXP(-(0.2*B3405)*5)),0)+IF(AND(ArtifactsInput!$M$22,Inputs!$B$4&lt;&gt;"Chapter Hunt"),CHOOSE(ArtifactsInput!$N$22+1,10,12,14,16,18,20)*((0*(((0.15*B3405*5))^0/1)+1*(((0.15*B3405*5))^1/1)+2*(((0.15*B3405*5))^2/2)+3*(((0.15*B3405*5))^3/6)+4*(((0.15*B3405*5))^4/24)+5*(((0.15*B3405*5))^5/120))/((((0.15*B3405*5))^0/1)+(((0.15*B3405*5))^1/1)+(((0.15*B3405*5))^2/2)+(((0.15*B3405*5))^3/6)+(((0.15*B3405*5))^4/24)+(((0.15*B3405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3378*(1-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3378*(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3378*(1-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3378*(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78">
        <f>IF(C3378,(H3378*N3378*IF(AND(Inputs!$B$39&lt;&gt;"pvp",Inputs!$B$44&gt;0),((Skills!G9*((R3378-1)*IF(Skills!H9&gt;0,Skills!I9/Skills!H9,1)+IF(Skills!H9&gt;0,MIN(Skills!I9,MAX(0,MAX(0,Inputs!$B$44-B3414)-((R3378-1)*IF(Inputs!$B$39="pvp",15,MAX(0.1,Skills!D9-IF(Skills!E9=TRUE,2.5,0))))))/Skills!H9,1)))/Inputs!$B$44),G3378*Q3378))*IF(Inputs!$B$39="pvp",1,(1+(Inputs!$B$21+Skills!Q9+B3410+(IF(ArtifactsInput!$M$33,CHOOSE(ArtifactsInput!$N$33+1,30,36,42,48,54,60),0))+(IF(AND(ArtifactsInput!$M$35,Inputs!$B$4&lt;&gt;"Chapter Hunt"),CHOOSE(ArtifactsInput!$N$35+1,15,18,21,24,27,30)*(1-EXP(-(0.2*B3405)*5)),0)+IF(AND(ArtifactsInput!$M$22,Inputs!$B$4&lt;&gt;"Chapter Hunt"),CHOOSE(ArtifactsInput!$N$22+1,10,12,14,16,18,20)*((0*(((0.15*B3405*5))^0/1)+1*(((0.15*B3405*5))^1/1)+2*(((0.15*B3405*5))^2/2)+3*(((0.15*B3405*5))^3/6)+4*(((0.15*B3405*5))^4/24)+5*(((0.15*B3405*5))^5/120))/((((0.15*B3405*5))^0/1)+(((0.15*B3405*5))^1/1)+(((0.15*B3405*5))^2/2)+(((0.15*B3405*5))^3/6)+(((0.15*B3405*5))^4/24)+(((0.15*B3405*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79">
      <c r="A3379">
        <f>Skills!A10</f>
        <v/>
      </c>
      <c r="B3379">
        <f>Skills!B10</f>
        <v/>
      </c>
      <c r="C3379">
        <f>Inputs!$B$3&gt;=117</f>
        <v/>
      </c>
      <c r="D3379">
        <f>IF(Skills!C10=1,60+Inputs!$B$25+Inputs!$B$29,IF(Skills!C10=2,90+Inputs!$B$26+Inputs!$B$29,IF(Skills!C10=3,120+Inputs!$B$27+Inputs!$B$29,MAX(0,(Inputs!$B$3-100)*3)+Inputs!$B$28+Inputs!$B$29)))</f>
        <v/>
      </c>
      <c r="E3379">
        <f>INDEX(FactorTable!$B$2:$Y$301, MATCH(ROUND(MIN(300,MAX(1,D3379)),0), FactorTable!$A$2:$A$301,0), Skills!M10+1)</f>
        <v/>
      </c>
      <c r="F3379">
        <f>IF(Skills!N10=TRUE,(Skills!L10/10)*(E3379/1000),Skills!L10/10)+Skills!O10</f>
        <v/>
      </c>
      <c r="G3379">
        <f>Calc!G10</f>
        <v/>
      </c>
      <c r="H3379">
        <f>Calc!H10</f>
        <v/>
      </c>
      <c r="I3379">
        <f>IF(Skills!AA10&lt;&gt;"",1+(Skills!AA10/10)*(U3372/1000)/100,1)</f>
        <v/>
      </c>
      <c r="J3379">
        <f>((Inputs!$B$6*(1+Inputs!$B$7/100))+(((Inputs!$B$12*(1+Inputs!$B$13/100))-(Inputs!$B$12*(1+Inputs!$B$13/100)))+0.25*(Inputs!$B$14-Inputs!$B$14))*(1+Inputs!$B$7/100))*(F3379/100)</f>
        <v/>
      </c>
      <c r="K3379">
        <f>J3379*(1+((Inputs!$B$12*(1+Inputs!$B$13/100))*0.01+Inputs!$B$14*0.0025)/100)*(1+Inputs!$B$15/100)*(1+Inputs!$B$16/100)*(5000/(6000+Inputs!$B$43*(1-(100*(1-(1-(Inputs!$B$19+0)/100)*(1-CHOOSE(ArtifactsInput!$N$40+1,5,6,7,8,9,10)/100)^(ArtifactsInput!$M$40-ArtifactsInput!$M$40)))/100)))*(1+(Inputs!$B$24+((C3399=TRUE)*(F3399-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3392=TRUE)*(F3392-Calc!F23))+(((IF(AND(ArtifactsInput!$M$42,((Inputs!$B$9+((C3394=TRUE)*(F3394-Calc!F25))+B3409+(ArtifactsInput!$M$24-ArtifactsInput!$M$24)*CHOOSE(ArtifactsInput!$N$24+1,10,12,14,16,18,20)+IF(ArtifactsInput!$M$10,CHOOSE(ArtifactsInput!$N$10+1,15,18,21,24,27,30)*(IF(Inputs!$B$39="pvp",MIN(15,15)/15,IF(AND(Inputs!$B$39&lt;&gt;"pvp",Inputs!$B$44&gt;0),MIN(15,Inputs!$B$44)/(Inputs!$B$44),0))),0)))&gt;=100),MIN(100,((Inputs!$B$9+((C3394=TRUE)*(F3394-Calc!F25))+B3409+(ArtifactsInput!$M$24-ArtifactsInput!$M$24)*CHOOSE(ArtifactsInput!$N$24+1,10,12,14,16,18,20)+IF(ArtifactsInput!$M$10,CHOOSE(ArtifactsInput!$N$10+1,15,18,21,24,27,30)*(IF(Inputs!$B$39="pvp",MIN(15,15)/15,IF(AND(Inputs!$B$39&lt;&gt;"pvp",Inputs!$B$44&gt;0),MIN(15,Inputs!$B$44)/(Inputs!$B$44),0))),0)))-100),0))*CHOOSE(ArtifactsInput!$N$42+1,0.6,0.72,0.84,0.96,1.08,1.2))),Inputs!$B$18+((C3398=TRUE)*(F3398-Calc!F29))+(IF(AND(ArtifactsInput!$M$42,((Inputs!$B$9+((C3394=TRUE)*(F3394-Calc!F25))+B3409+(ArtifactsInput!$M$24-ArtifactsInput!$M$24)*CHOOSE(ArtifactsInput!$N$24+1,10,12,14,16,18,20)+IF(ArtifactsInput!$M$10,CHOOSE(ArtifactsInput!$N$10+1,15,18,21,24,27,30)*(IF(Inputs!$B$39="pvp",MIN(15,15)/15,IF(AND(Inputs!$B$39&lt;&gt;"pvp",Inputs!$B$44&gt;0),MIN(15,Inputs!$B$44)/(Inputs!$B$44),0))),0)))&gt;=100),CHOOSE(ArtifactsInput!$N$42+1,40,48,56,64,72,80),0))))/100)*(((1+(((C3390=TRUE)*F3390*IF(AND(Inputs!$B$39&lt;&gt;"pvp",Inputs!$B$44&gt;0),(((R3390-1)*(Skills!Y21*(1+Inputs!$B$34/100))+MIN((Skills!Y21*(1+Inputs!$B$34/100)),MAX(0,Inputs!$B$44-((R3390-1)*Skills!D21))))/Inputs!$B$44),IF(Inputs!$B$39="pvp",MIN((Skills!Y21*(1+Inputs!$B$34/100)),15)/15,(Skills!Y21*(1+Inputs!$B$34/100))/Skills!D21)))+((C3397=TRUE)*(F3397-Calc!F28))+((C3387=TRUE)*(F3387-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3384=TRUE)*F3384*IF(AND(Inputs!$B$39&lt;&gt;"pvp",Inputs!$B$44&gt;0),(((R3384-1)*(Skills!Y15*(1+Inputs!$B$34/100))+MIN((Skills!Y15*(1+Inputs!$B$34/100)),MAX(0,Inputs!$B$44-((R3384-1)*Skills!D15))))/Inputs!$B$44),IF(Inputs!$B$39="pvp",MIN((Skills!Y15*(1+Inputs!$B$34/100)),15)/15,(Skills!Y15*(1+Inputs!$B$34/100))/Skills!D15)))/100)*(1+((C3375=TRUE)*F3375*B3403)/100))*B3411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3379)</f>
        <v/>
      </c>
      <c r="L3379">
        <f>K3379*(MIN(Inputs!$B$22+((C3393=TRUE)*(F3393-Calc!F24)),(Inputs!$B$23+0+(IF(ArtifactsInput!$M$15,CHOOSE(ArtifactsInput!$N$15+1,25,30,35,40,45,50)/100*(Inputs!$B$11-Inputs!$B$11),0))))/100+(Inputs!$B$23+0+(IF(ArtifactsInput!$M$15,CHOOSE(ArtifactsInput!$N$15+1,25,30,35,40,45,50)/100*(Inputs!$B$11-Inputs!$B$11),0)))/100)/2</f>
        <v/>
      </c>
      <c r="M3379">
        <f>L3379*(1+(Inputs!$B$10+((C3395=TRUE)*(F3395-Calc!F26))+B3412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79">
        <f>L3379*(1-MIN((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3379*(MIN((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79">
        <f>(1-Summary!$B$11)*T3379+Summary!$B$11*V3379</f>
        <v/>
      </c>
      <c r="P3379">
        <f>IF(B3413=0,0,O3379/B3413)</f>
        <v/>
      </c>
      <c r="Q3379" t="n">
        <v>0</v>
      </c>
      <c r="R3379" t="n">
        <v>0</v>
      </c>
      <c r="S3379" t="n">
        <v>0</v>
      </c>
      <c r="T3379">
        <f>IF(C3379,(0.2*SUMPRODUCT((Skills!Z2:Z31=TRUE)*(C3371:C3400=TRUE)*S3371:S3400)*N3379)*IF(Inputs!$B$39="pvp",1,1+(Inputs!$B$20+((C3396=TRUE)*(F3396-Calc!F27))+Skills!P10+B3410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Hunt"),CHOOSE(ArtifactsInput!$N$35+1,15,18,21,24,27,30)*(1-EXP(-(0.2*B3405)*5)),0)+IF(AND(ArtifactsInput!$M$22,Inputs!$B$4&lt;&gt;"Chapter Hunt"),CHOOSE(ArtifactsInput!$N$22+1,10,12,14,16,18,20)*((0*(((0.15*B3405*5))^0/1)+1*(((0.15*B3405*5))^1/1)+2*(((0.15*B3405*5))^2/2)+3*(((0.15*B3405*5))^3/6)+4*(((0.15*B3405*5))^4/24)+5*(((0.15*B3405*5))^5/120))/((((0.15*B3405*5))^0/1)+(((0.15*B3405*5))^1/1)+(((0.15*B3405*5))^2/2)+(((0.15*B3405*5))^3/6)+(((0.15*B3405*5))^4/24)+(((0.15*B3405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3379*(1-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3379*(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3379*(1-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3379*(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79">
        <f>IF(C3379,(0.2*SUMPRODUCT((Skills!Z2:Z31=TRUE)*(C3371:C3400=TRUE)*S3371:S3400)*N3379)*IF(Inputs!$B$39="pvp",1,(1+(Inputs!$B$21+Skills!Q10+B3410+(IF(ArtifactsInput!$M$33,CHOOSE(ArtifactsInput!$N$33+1,30,36,42,48,54,60),0))+(IF(AND(ArtifactsInput!$M$35,Inputs!$B$4&lt;&gt;"Chapter Hunt"),CHOOSE(ArtifactsInput!$N$35+1,15,18,21,24,27,30)*(1-EXP(-(0.2*B3405)*5)),0)+IF(AND(ArtifactsInput!$M$22,Inputs!$B$4&lt;&gt;"Chapter Hunt"),CHOOSE(ArtifactsInput!$N$22+1,10,12,14,16,18,20)*((0*(((0.15*B3405*5))^0/1)+1*(((0.15*B3405*5))^1/1)+2*(((0.15*B3405*5))^2/2)+3*(((0.15*B3405*5))^3/6)+4*(((0.15*B3405*5))^4/24)+5*(((0.15*B3405*5))^5/120))/((((0.15*B3405*5))^0/1)+(((0.15*B3405*5))^1/1)+(((0.15*B3405*5))^2/2)+(((0.15*B3405*5))^3/6)+(((0.15*B3405*5))^4/24)+(((0.15*B3405*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80">
      <c r="A3380">
        <f>Skills!A11</f>
        <v/>
      </c>
      <c r="B3380">
        <f>Skills!B11</f>
        <v/>
      </c>
      <c r="C3380">
        <f>Inputs!$B$3&gt;=60</f>
        <v/>
      </c>
      <c r="D3380">
        <f>IF(Skills!C11=1,60+Inputs!$B$25+Inputs!$B$29,IF(Skills!C11=2,90+Inputs!$B$26+Inputs!$B$29,IF(Skills!C11=3,120+Inputs!$B$27+Inputs!$B$29,MAX(0,(Inputs!$B$3-100)*3)+Inputs!$B$28+Inputs!$B$29)))</f>
        <v/>
      </c>
      <c r="E3380">
        <f>INDEX(FactorTable!$B$2:$Y$301, MATCH(ROUND(MIN(300,MAX(1,D3380)),0), FactorTable!$A$2:$A$301,0), Skills!M11+1)</f>
        <v/>
      </c>
      <c r="F3380">
        <f>IF(Skills!N11=TRUE,(Skills!L11/10)*(E3380/1000),Skills!L11/10)+Skills!O11</f>
        <v/>
      </c>
      <c r="G3380">
        <f>Calc!G11</f>
        <v/>
      </c>
      <c r="H3380">
        <f>Calc!H11</f>
        <v/>
      </c>
      <c r="I3380">
        <f>IF(Skills!AA11&lt;&gt;"",1+(Skills!AA11/10)*(U3372/1000)/100,1)</f>
        <v/>
      </c>
      <c r="J3380" t="inlineStr"/>
      <c r="K3380" t="inlineStr"/>
      <c r="L3380" t="inlineStr"/>
      <c r="M3380" t="inlineStr"/>
      <c r="N3380" t="inlineStr"/>
      <c r="O3380">
        <f>(1-Summary!$B$11)*T3380+Summary!$B$11*V3380</f>
        <v/>
      </c>
      <c r="P3380">
        <f>IF(B3413=0,0,O3380/B3413)</f>
        <v/>
      </c>
      <c r="Q3380" t="n">
        <v>0</v>
      </c>
      <c r="R3380" t="n">
        <v>0</v>
      </c>
      <c r="S3380">
        <f>IFERROR(O3380/N3380,0)</f>
        <v/>
      </c>
      <c r="T3380" t="n">
        <v>0</v>
      </c>
      <c r="V3380" t="n">
        <v>0</v>
      </c>
    </row>
    <row r="3381">
      <c r="A3381">
        <f>Skills!A12</f>
        <v/>
      </c>
      <c r="B3381">
        <f>Skills!B12</f>
        <v/>
      </c>
      <c r="C3381">
        <f>Inputs!$B$3&gt;=103</f>
        <v/>
      </c>
      <c r="D3381">
        <f>IF(Skills!C12=1,60+Inputs!$B$25+Inputs!$B$29,IF(Skills!C12=2,90+Inputs!$B$26+Inputs!$B$29,IF(Skills!C12=3,120+Inputs!$B$27+Inputs!$B$29,MAX(0,(Inputs!$B$3-100)*3)+Inputs!$B$28+Inputs!$B$29)))</f>
        <v/>
      </c>
      <c r="E3381">
        <f>INDEX(FactorTable!$B$2:$Y$301, MATCH(ROUND(MIN(300,MAX(1,D3381)),0), FactorTable!$A$2:$A$301,0), Skills!M12+1)</f>
        <v/>
      </c>
      <c r="F3381">
        <f>IF(Skills!N12=TRUE,(Skills!L12/10)*(E3381/1000),Skills!L12/10)+Skills!O12</f>
        <v/>
      </c>
      <c r="G3381">
        <f>Calc!G12</f>
        <v/>
      </c>
      <c r="H3381">
        <f>Calc!H12</f>
        <v/>
      </c>
      <c r="I3381">
        <f>IF(Skills!AA12&lt;&gt;"",1+(Skills!AA12/10)*(U3372/1000)/100,1)</f>
        <v/>
      </c>
      <c r="J3381">
        <f>((Inputs!$B$6*(1+Inputs!$B$7/100))+(((Inputs!$B$12*(1+Inputs!$B$13/100))-(Inputs!$B$12*(1+Inputs!$B$13/100)))+0.25*(Inputs!$B$14-Inputs!$B$14))*(1+Inputs!$B$7/100))*(F3381/100)</f>
        <v/>
      </c>
      <c r="K3381">
        <f>J3381*(1+((Inputs!$B$12*(1+Inputs!$B$13/100))*0.01+Inputs!$B$14*0.0025)/100)*(1+Inputs!$B$15/100)*(1+Inputs!$B$16/100)*(5000/(6000+Inputs!$B$43*(1-(100*(1-(1-(Inputs!$B$19+0)/100)*(1-CHOOSE(ArtifactsInput!$N$40+1,5,6,7,8,9,10)/100)^(ArtifactsInput!$M$40-ArtifactsInput!$M$40)))/100)))*(1+(Inputs!$B$24+((C3399=TRUE)*(F3399-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3392=TRUE)*(F3392-Calc!F23))+(((IF(AND(ArtifactsInput!$M$42,((Inputs!$B$9+((C3394=TRUE)*(F3394-Calc!F25))+B3409+(ArtifactsInput!$M$24-ArtifactsInput!$M$24)*CHOOSE(ArtifactsInput!$N$24+1,10,12,14,16,18,20)+IF(ArtifactsInput!$M$10,CHOOSE(ArtifactsInput!$N$10+1,15,18,21,24,27,30)*(IF(Inputs!$B$39="pvp",MIN(15,15)/15,IF(AND(Inputs!$B$39&lt;&gt;"pvp",Inputs!$B$44&gt;0),MIN(15,Inputs!$B$44)/(Inputs!$B$44),0))),0)))&gt;=100),MIN(100,((Inputs!$B$9+((C3394=TRUE)*(F3394-Calc!F25))+B3409+(ArtifactsInput!$M$24-ArtifactsInput!$M$24)*CHOOSE(ArtifactsInput!$N$24+1,10,12,14,16,18,20)+IF(ArtifactsInput!$M$10,CHOOSE(ArtifactsInput!$N$10+1,15,18,21,24,27,30)*(IF(Inputs!$B$39="pvp",MIN(15,15)/15,IF(AND(Inputs!$B$39&lt;&gt;"pvp",Inputs!$B$44&gt;0),MIN(15,Inputs!$B$44)/(Inputs!$B$44),0))),0)))-100),0))*CHOOSE(ArtifactsInput!$N$42+1,0.6,0.72,0.84,0.96,1.08,1.2))),Inputs!$B$18+((C3398=TRUE)*(F3398-Calc!F29))+(IF(AND(ArtifactsInput!$M$42,((Inputs!$B$9+((C3394=TRUE)*(F3394-Calc!F25))+B3409+(ArtifactsInput!$M$24-ArtifactsInput!$M$24)*CHOOSE(ArtifactsInput!$N$24+1,10,12,14,16,18,20)+IF(ArtifactsInput!$M$10,CHOOSE(ArtifactsInput!$N$10+1,15,18,21,24,27,30)*(IF(Inputs!$B$39="pvp",MIN(15,15)/15,IF(AND(Inputs!$B$39&lt;&gt;"pvp",Inputs!$B$44&gt;0),MIN(15,Inputs!$B$44)/(Inputs!$B$44),0))),0)))&gt;=100),CHOOSE(ArtifactsInput!$N$42+1,40,48,56,64,72,80),0))))/100)*(((1+(((C3390=TRUE)*F3390*IF(AND(Inputs!$B$39&lt;&gt;"pvp",Inputs!$B$44&gt;0),(((R3390-1)*(Skills!Y21*(1+Inputs!$B$34/100))+MIN((Skills!Y21*(1+Inputs!$B$34/100)),MAX(0,Inputs!$B$44-((R3390-1)*Skills!D21))))/Inputs!$B$44),IF(Inputs!$B$39="pvp",MIN((Skills!Y21*(1+Inputs!$B$34/100)),15)/15,(Skills!Y21*(1+Inputs!$B$34/100))/Skills!D21)))+((C3397=TRUE)*(F3397-Calc!F28))+((C3387=TRUE)*(F3387-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3384=TRUE)*F3384*IF(AND(Inputs!$B$39&lt;&gt;"pvp",Inputs!$B$44&gt;0),(((R3384-1)*(Skills!Y15*(1+Inputs!$B$34/100))+MIN((Skills!Y15*(1+Inputs!$B$34/100)),MAX(0,Inputs!$B$44-((R3384-1)*Skills!D15))))/Inputs!$B$44),IF(Inputs!$B$39="pvp",MIN((Skills!Y15*(1+Inputs!$B$34/100)),15)/15,(Skills!Y15*(1+Inputs!$B$34/100))/Skills!D15)))/100)*(1+((C3375=TRUE)*F3375*B3403)/100))*B3411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3381)</f>
        <v/>
      </c>
      <c r="L3381">
        <f>K3381*(MIN(Inputs!$B$22+((C3393=TRUE)*(F3393-Calc!F24)),(Inputs!$B$23+0+(IF(ArtifactsInput!$M$15,CHOOSE(ArtifactsInput!$N$15+1,25,30,35,40,45,50)/100*(Inputs!$B$11-Inputs!$B$11),0))))/100+(Inputs!$B$23+0+(IF(ArtifactsInput!$M$15,CHOOSE(ArtifactsInput!$N$15+1,25,30,35,40,45,50)/100*(Inputs!$B$11-Inputs!$B$11),0)))/100)/2</f>
        <v/>
      </c>
      <c r="M3381">
        <f>L3381*(1+(Inputs!$B$10+((C3395=TRUE)*(F3395-Calc!F26))+B3412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81">
        <f>L3381*(1-MIN((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3381*(MIN((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81">
        <f>(1-Summary!$B$11)*T3381+Summary!$B$11*V3381</f>
        <v/>
      </c>
      <c r="P3381">
        <f>IF(B3413=0,0,O3381/B3413)</f>
        <v/>
      </c>
      <c r="Q3381">
        <f>IFERROR(1/IF(Inputs!$B$39="pvp",15,MAX(0.1,Skills!D12-IF(Skills!E12=TRUE,2.5,0))),0)</f>
        <v/>
      </c>
      <c r="R3381">
        <f>IF(AND(Inputs!$B$39&lt;&gt;"pvp",Inputs!$B$44&gt;0),IF(MAX(0,Inputs!$B$44-B3414)&lt;=0,0,(INT(MAX(0,Inputs!$B$44-B3414)/IF(Inputs!$B$39="pvp",15,MAX(0.1,Skills!D12-IF(Skills!E12=TRUE,2.5,0))))+1)),0)</f>
        <v/>
      </c>
      <c r="S3381">
        <f>IFERROR(O3381/N3381,0)</f>
        <v/>
      </c>
      <c r="T3381">
        <f>IF(C3381,(H3381*N3381*IF(AND(Inputs!$B$39&lt;&gt;"pvp",Inputs!$B$44&gt;0),((Skills!G12*((R3381-1)*IF(Skills!H12&gt;0,Skills!I12/Skills!H12,1)+IF(Skills!H12&gt;0,MIN(Skills!I12,MAX(0,MAX(0,Inputs!$B$44-B3414)-((R3381-1)*IF(Inputs!$B$39="pvp",15,MAX(0.1,Skills!D12-IF(Skills!E12=TRUE,2.5,0))))))/Skills!H12,1)))/Inputs!$B$44),G3381*Q3381))*IF(Inputs!$B$39="pvp",1,1+(Inputs!$B$20+((C3396=TRUE)*(F3396-Calc!F27))+Skills!P12+B3410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Hunt"),CHOOSE(ArtifactsInput!$N$35+1,15,18,21,24,27,30)*(1-EXP(-(0.2*B3405)*5)),0)+IF(AND(ArtifactsInput!$M$22,Inputs!$B$4&lt;&gt;"Chapter Hunt"),CHOOSE(ArtifactsInput!$N$22+1,10,12,14,16,18,20)*((0*(((0.15*B3405*5))^0/1)+1*(((0.15*B3405*5))^1/1)+2*(((0.15*B3405*5))^2/2)+3*(((0.15*B3405*5))^3/6)+4*(((0.15*B3405*5))^4/24)+5*(((0.15*B3405*5))^5/120))/((((0.15*B3405*5))^0/1)+(((0.15*B3405*5))^1/1)+(((0.15*B3405*5))^2/2)+(((0.15*B3405*5))^3/6)+(((0.15*B3405*5))^4/24)+(((0.15*B3405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3381*(1-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3381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3381*(1-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3381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81">
        <f>IF(C3381,(H3381*N3381*IF(AND(Inputs!$B$39&lt;&gt;"pvp",Inputs!$B$44&gt;0),((Skills!G12*((R3381-1)*IF(Skills!H12&gt;0,Skills!I12/Skills!H12,1)+IF(Skills!H12&gt;0,MIN(Skills!I12,MAX(0,MAX(0,Inputs!$B$44-B3414)-((R3381-1)*IF(Inputs!$B$39="pvp",15,MAX(0.1,Skills!D12-IF(Skills!E12=TRUE,2.5,0))))))/Skills!H12,1)))/Inputs!$B$44),G3381*Q3381))*IF(Inputs!$B$39="pvp",1,(1+(Inputs!$B$21+Skills!Q12+B3410+(IF(ArtifactsInput!$M$33,CHOOSE(ArtifactsInput!$N$33+1,30,36,42,48,54,60),0))+(IF(AND(ArtifactsInput!$M$35,Inputs!$B$4&lt;&gt;"Chapter Hunt"),CHOOSE(ArtifactsInput!$N$35+1,15,18,21,24,27,30)*(1-EXP(-(0.2*B3405)*5)),0)+IF(AND(ArtifactsInput!$M$22,Inputs!$B$4&lt;&gt;"Chapter Hunt"),CHOOSE(ArtifactsInput!$N$22+1,10,12,14,16,18,20)*((0*(((0.15*B3405*5))^0/1)+1*(((0.15*B3405*5))^1/1)+2*(((0.15*B3405*5))^2/2)+3*(((0.15*B3405*5))^3/6)+4*(((0.15*B3405*5))^4/24)+5*(((0.15*B3405*5))^5/120))/((((0.15*B3405*5))^0/1)+(((0.15*B3405*5))^1/1)+(((0.15*B3405*5))^2/2)+(((0.15*B3405*5))^3/6)+(((0.15*B3405*5))^4/24)+(((0.15*B3405*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82">
      <c r="A3382">
        <f>Skills!A13</f>
        <v/>
      </c>
      <c r="B3382">
        <f>Skills!B13</f>
        <v/>
      </c>
      <c r="C3382">
        <f>Inputs!$B$3&gt;=105</f>
        <v/>
      </c>
      <c r="D3382">
        <f>IF(Skills!C13=1,60+Inputs!$B$25+Inputs!$B$29,IF(Skills!C13=2,90+Inputs!$B$26+Inputs!$B$29,IF(Skills!C13=3,120+Inputs!$B$27+Inputs!$B$29,MAX(0,(Inputs!$B$3-100)*3)+Inputs!$B$28+Inputs!$B$29)))</f>
        <v/>
      </c>
      <c r="E3382">
        <f>INDEX(FactorTable!$B$2:$Y$301, MATCH(ROUND(MIN(300,MAX(1,D3382)),0), FactorTable!$A$2:$A$301,0), Skills!M13+1)</f>
        <v/>
      </c>
      <c r="F3382">
        <f>IF(Skills!N13=TRUE,(Skills!L13/10)*(E3382/1000),Skills!L13/10)+Skills!O13</f>
        <v/>
      </c>
      <c r="G3382">
        <f>Calc!G13</f>
        <v/>
      </c>
      <c r="H3382">
        <f>Calc!H13</f>
        <v/>
      </c>
      <c r="I3382">
        <f>IF(Skills!AA13&lt;&gt;"",1+(Skills!AA13/10)*(U3372/1000)/100,1)</f>
        <v/>
      </c>
      <c r="J3382">
        <f>((Inputs!$B$6*(1+Inputs!$B$7/100))+(((Inputs!$B$12*(1+Inputs!$B$13/100))-(Inputs!$B$12*(1+Inputs!$B$13/100)))+0.25*(Inputs!$B$14-Inputs!$B$14))*(1+Inputs!$B$7/100))*(F3382/100)</f>
        <v/>
      </c>
      <c r="K3382">
        <f>J3382*(1+((Inputs!$B$12*(1+Inputs!$B$13/100))*0.01+Inputs!$B$14*0.0025)/100)*(1+Inputs!$B$15/100)*(1+Inputs!$B$16/100)*(5000/(6000+Inputs!$B$43*(1-(100*(1-(1-(Inputs!$B$19+0)/100)*(1-CHOOSE(ArtifactsInput!$N$40+1,5,6,7,8,9,10)/100)^(ArtifactsInput!$M$40-ArtifactsInput!$M$40)))/100)))*(1+(Inputs!$B$24+((C3399=TRUE)*(F3399-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3392=TRUE)*(F3392-Calc!F23))+(((IF(AND(ArtifactsInput!$M$42,((Inputs!$B$9+((C3394=TRUE)*(F3394-Calc!F25))+B3409+(ArtifactsInput!$M$24-ArtifactsInput!$M$24)*CHOOSE(ArtifactsInput!$N$24+1,10,12,14,16,18,20)+IF(ArtifactsInput!$M$10,CHOOSE(ArtifactsInput!$N$10+1,15,18,21,24,27,30)*(IF(Inputs!$B$39="pvp",MIN(15,15)/15,IF(AND(Inputs!$B$39&lt;&gt;"pvp",Inputs!$B$44&gt;0),MIN(15,Inputs!$B$44)/(Inputs!$B$44),0))),0)))&gt;=100),MIN(100,((Inputs!$B$9+((C3394=TRUE)*(F3394-Calc!F25))+B3409+(ArtifactsInput!$M$24-ArtifactsInput!$M$24)*CHOOSE(ArtifactsInput!$N$24+1,10,12,14,16,18,20)+IF(ArtifactsInput!$M$10,CHOOSE(ArtifactsInput!$N$10+1,15,18,21,24,27,30)*(IF(Inputs!$B$39="pvp",MIN(15,15)/15,IF(AND(Inputs!$B$39&lt;&gt;"pvp",Inputs!$B$44&gt;0),MIN(15,Inputs!$B$44)/(Inputs!$B$44),0))),0)))-100),0))*CHOOSE(ArtifactsInput!$N$42+1,0.6,0.72,0.84,0.96,1.08,1.2))),Inputs!$B$18+((C3398=TRUE)*(F3398-Calc!F29))+(IF(AND(ArtifactsInput!$M$42,((Inputs!$B$9+((C3394=TRUE)*(F3394-Calc!F25))+B3409+(ArtifactsInput!$M$24-ArtifactsInput!$M$24)*CHOOSE(ArtifactsInput!$N$24+1,10,12,14,16,18,20)+IF(ArtifactsInput!$M$10,CHOOSE(ArtifactsInput!$N$10+1,15,18,21,24,27,30)*(IF(Inputs!$B$39="pvp",MIN(15,15)/15,IF(AND(Inputs!$B$39&lt;&gt;"pvp",Inputs!$B$44&gt;0),MIN(15,Inputs!$B$44)/(Inputs!$B$44),0))),0)))&gt;=100),CHOOSE(ArtifactsInput!$N$42+1,40,48,56,64,72,80),0))))/100)*(((1+(((C3390=TRUE)*F3390*IF(AND(Inputs!$B$39&lt;&gt;"pvp",Inputs!$B$44&gt;0),(((R3390-1)*(Skills!Y21*(1+Inputs!$B$34/100))+MIN((Skills!Y21*(1+Inputs!$B$34/100)),MAX(0,Inputs!$B$44-((R3390-1)*Skills!D21))))/Inputs!$B$44),IF(Inputs!$B$39="pvp",MIN((Skills!Y21*(1+Inputs!$B$34/100)),15)/15,(Skills!Y21*(1+Inputs!$B$34/100))/Skills!D21)))+((C3397=TRUE)*(F3397-Calc!F28))+((C3387=TRUE)*(F3387-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3384=TRUE)*F3384*IF(AND(Inputs!$B$39&lt;&gt;"pvp",Inputs!$B$44&gt;0),(((R3384-1)*(Skills!Y15*(1+Inputs!$B$34/100))+MIN((Skills!Y15*(1+Inputs!$B$34/100)),MAX(0,Inputs!$B$44-((R3384-1)*Skills!D15))))/Inputs!$B$44),IF(Inputs!$B$39="pvp",MIN((Skills!Y15*(1+Inputs!$B$34/100)),15)/15,(Skills!Y15*(1+Inputs!$B$34/100))/Skills!D15)))/100)*(1+((C3375=TRUE)*F3375*B3403)/100))*B3411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3382)</f>
        <v/>
      </c>
      <c r="L3382">
        <f>K3382*(MIN(Inputs!$B$22+((C3393=TRUE)*(F3393-Calc!F24)),(Inputs!$B$23+0+(IF(ArtifactsInput!$M$15,CHOOSE(ArtifactsInput!$N$15+1,25,30,35,40,45,50)/100*(Inputs!$B$11-Inputs!$B$11),0))))/100+(Inputs!$B$23+0+(IF(ArtifactsInput!$M$15,CHOOSE(ArtifactsInput!$N$15+1,25,30,35,40,45,50)/100*(Inputs!$B$11-Inputs!$B$11),0)))/100)/2</f>
        <v/>
      </c>
      <c r="M3382">
        <f>L3382*(1+(Inputs!$B$10+((C3395=TRUE)*(F3395-Calc!F26))+B3412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82">
        <f>L3382*(1-MIN((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3382*(MIN((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82">
        <f>(1-Summary!$B$11)*T3382+Summary!$B$11*V3382</f>
        <v/>
      </c>
      <c r="P3382">
        <f>IF(B3413=0,0,O3382/B3413)</f>
        <v/>
      </c>
      <c r="Q3382">
        <f>IFERROR(1/IF(Inputs!$B$39="pvp",15,MAX(0.1,Skills!D13-IF(Skills!E13=TRUE,2.5,0))),0)</f>
        <v/>
      </c>
      <c r="R3382">
        <f>IF(AND(Inputs!$B$39&lt;&gt;"pvp",Inputs!$B$44&gt;0),IF(MAX(0,Inputs!$B$44-B3414)&lt;=0,0,(INT(MAX(0,Inputs!$B$44-B3414)/IF(Inputs!$B$39="pvp",15,MAX(0.1,Skills!D13-IF(Skills!E13=TRUE,2.5,0))))+1)),0)</f>
        <v/>
      </c>
      <c r="S3382">
        <f>IFERROR(O3382/N3382,0)</f>
        <v/>
      </c>
      <c r="T3382">
        <f>IF(C3382,(H3382*N3382*IF(AND(Inputs!$B$39&lt;&gt;"pvp",Inputs!$B$44&gt;0),((Skills!G13*((R3382-1)*IF(Skills!H13&gt;0,Skills!I13/Skills!H13,1)+IF(Skills!H13&gt;0,MIN(Skills!I13,MAX(0,MAX(0,Inputs!$B$44-B3414)-((R3382-1)*IF(Inputs!$B$39="pvp",15,MAX(0.1,Skills!D13-IF(Skills!E13=TRUE,2.5,0))))))/Skills!H13,1)))/Inputs!$B$44),G3382*Q3382))*IF(Inputs!$B$39="pvp",1,1+(Inputs!$B$20+((C3396=TRUE)*(F3396-Calc!F27))+Skills!P13+B3410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Hunt"),CHOOSE(ArtifactsInput!$N$35+1,15,18,21,24,27,30)*(1-EXP(-(0.2*B3405)*5)),0)+IF(AND(ArtifactsInput!$M$22,Inputs!$B$4&lt;&gt;"Chapter Hunt"),CHOOSE(ArtifactsInput!$N$22+1,10,12,14,16,18,20)*((0*(((0.15*B3405*5))^0/1)+1*(((0.15*B3405*5))^1/1)+2*(((0.15*B3405*5))^2/2)+3*(((0.15*B3405*5))^3/6)+4*(((0.15*B3405*5))^4/24)+5*(((0.15*B3405*5))^5/120))/((((0.15*B3405*5))^0/1)+(((0.15*B3405*5))^1/1)+(((0.15*B3405*5))^2/2)+(((0.15*B3405*5))^3/6)+(((0.15*B3405*5))^4/24)+(((0.15*B3405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3382*(1-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3382*(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3382*(1-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3382*(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82">
        <f>IF(C3382,(H3382*N3382*IF(AND(Inputs!$B$39&lt;&gt;"pvp",Inputs!$B$44&gt;0),((Skills!G13*((R3382-1)*IF(Skills!H13&gt;0,Skills!I13/Skills!H13,1)+IF(Skills!H13&gt;0,MIN(Skills!I13,MAX(0,MAX(0,Inputs!$B$44-B3414)-((R3382-1)*IF(Inputs!$B$39="pvp",15,MAX(0.1,Skills!D13-IF(Skills!E13=TRUE,2.5,0))))))/Skills!H13,1)))/Inputs!$B$44),G3382*Q3382))*IF(Inputs!$B$39="pvp",1,(1+(Inputs!$B$21+Skills!Q13+B3410+(IF(ArtifactsInput!$M$33,CHOOSE(ArtifactsInput!$N$33+1,30,36,42,48,54,60),0))+(IF(AND(ArtifactsInput!$M$35,Inputs!$B$4&lt;&gt;"Chapter Hunt"),CHOOSE(ArtifactsInput!$N$35+1,15,18,21,24,27,30)*(1-EXP(-(0.2*B3405)*5)),0)+IF(AND(ArtifactsInput!$M$22,Inputs!$B$4&lt;&gt;"Chapter Hunt"),CHOOSE(ArtifactsInput!$N$22+1,10,12,14,16,18,20)*((0*(((0.15*B3405*5))^0/1)+1*(((0.15*B3405*5))^1/1)+2*(((0.15*B3405*5))^2/2)+3*(((0.15*B3405*5))^3/6)+4*(((0.15*B3405*5))^4/24)+5*(((0.15*B3405*5))^5/120))/((((0.15*B3405*5))^0/1)+(((0.15*B3405*5))^1/1)+(((0.15*B3405*5))^2/2)+(((0.15*B3405*5))^3/6)+(((0.15*B3405*5))^4/24)+(((0.15*B3405*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83">
      <c r="A3383">
        <f>Skills!A14</f>
        <v/>
      </c>
      <c r="B3383">
        <f>Skills!B14</f>
        <v/>
      </c>
      <c r="C3383">
        <f>Inputs!$B$3&gt;=105</f>
        <v/>
      </c>
      <c r="D3383">
        <f>IF(Skills!C14=1,60+Inputs!$B$25+Inputs!$B$29,IF(Skills!C14=2,90+Inputs!$B$26+Inputs!$B$29,IF(Skills!C14=3,120+Inputs!$B$27+Inputs!$B$29,MAX(0,(Inputs!$B$3-100)*3)+Inputs!$B$28+Inputs!$B$29)))</f>
        <v/>
      </c>
      <c r="E3383">
        <f>INDEX(FactorTable!$B$2:$Y$301, MATCH(ROUND(MIN(300,MAX(1,D3383)),0), FactorTable!$A$2:$A$301,0), Skills!M14+1)</f>
        <v/>
      </c>
      <c r="F3383">
        <f>IF(Skills!N14=TRUE,(Skills!L14/10)*(E3383/1000),Skills!L14/10)+Skills!O14</f>
        <v/>
      </c>
      <c r="G3383">
        <f>Calc!G14</f>
        <v/>
      </c>
      <c r="H3383">
        <f>Calc!H14</f>
        <v/>
      </c>
      <c r="I3383">
        <f>IF(Skills!AA14&lt;&gt;"",1+(Skills!AA14/10)*(U3372/1000)/100,1)</f>
        <v/>
      </c>
      <c r="J3383">
        <f>((Inputs!$B$6*(1+Inputs!$B$7/100))+(((Inputs!$B$12*(1+Inputs!$B$13/100))-(Inputs!$B$12*(1+Inputs!$B$13/100)))+0.25*(Inputs!$B$14-Inputs!$B$14))*(1+Inputs!$B$7/100))*(F3383/100)</f>
        <v/>
      </c>
      <c r="K3383">
        <f>J3383*(1+((Inputs!$B$12*(1+Inputs!$B$13/100))*0.01+Inputs!$B$14*0.0025)/100)*(1+Inputs!$B$15/100)*(1+Inputs!$B$16/100)*(5000/(6000+Inputs!$B$43*(1-(100*(1-(1-(Inputs!$B$19+0)/100)*(1-CHOOSE(ArtifactsInput!$N$40+1,5,6,7,8,9,10)/100)^(ArtifactsInput!$M$40-ArtifactsInput!$M$40)))/100)))*(1+(Inputs!$B$24+((C3399=TRUE)*(F3399-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3392=TRUE)*(F3392-Calc!F23))+(((IF(AND(ArtifactsInput!$M$42,((Inputs!$B$9+((C3394=TRUE)*(F3394-Calc!F25))+B3409+(ArtifactsInput!$M$24-ArtifactsInput!$M$24)*CHOOSE(ArtifactsInput!$N$24+1,10,12,14,16,18,20)+IF(ArtifactsInput!$M$10,CHOOSE(ArtifactsInput!$N$10+1,15,18,21,24,27,30)*(IF(Inputs!$B$39="pvp",MIN(15,15)/15,IF(AND(Inputs!$B$39&lt;&gt;"pvp",Inputs!$B$44&gt;0),MIN(15,Inputs!$B$44)/(Inputs!$B$44),0))),0)))&gt;=100),MIN(100,((Inputs!$B$9+((C3394=TRUE)*(F3394-Calc!F25))+B3409+(ArtifactsInput!$M$24-ArtifactsInput!$M$24)*CHOOSE(ArtifactsInput!$N$24+1,10,12,14,16,18,20)+IF(ArtifactsInput!$M$10,CHOOSE(ArtifactsInput!$N$10+1,15,18,21,24,27,30)*(IF(Inputs!$B$39="pvp",MIN(15,15)/15,IF(AND(Inputs!$B$39&lt;&gt;"pvp",Inputs!$B$44&gt;0),MIN(15,Inputs!$B$44)/(Inputs!$B$44),0))),0)))-100),0))*CHOOSE(ArtifactsInput!$N$42+1,0.6,0.72,0.84,0.96,1.08,1.2))),Inputs!$B$18+((C3398=TRUE)*(F3398-Calc!F29))+(IF(AND(ArtifactsInput!$M$42,((Inputs!$B$9+((C3394=TRUE)*(F3394-Calc!F25))+B3409+(ArtifactsInput!$M$24-ArtifactsInput!$M$24)*CHOOSE(ArtifactsInput!$N$24+1,10,12,14,16,18,20)+IF(ArtifactsInput!$M$10,CHOOSE(ArtifactsInput!$N$10+1,15,18,21,24,27,30)*(IF(Inputs!$B$39="pvp",MIN(15,15)/15,IF(AND(Inputs!$B$39&lt;&gt;"pvp",Inputs!$B$44&gt;0),MIN(15,Inputs!$B$44)/(Inputs!$B$44),0))),0)))&gt;=100),CHOOSE(ArtifactsInput!$N$42+1,40,48,56,64,72,80),0))))/100)*(((1+(((C3390=TRUE)*F3390*IF(AND(Inputs!$B$39&lt;&gt;"pvp",Inputs!$B$44&gt;0),(((R3390-1)*(Skills!Y21*(1+Inputs!$B$34/100))+MIN((Skills!Y21*(1+Inputs!$B$34/100)),MAX(0,Inputs!$B$44-((R3390-1)*Skills!D21))))/Inputs!$B$44),IF(Inputs!$B$39="pvp",MIN((Skills!Y21*(1+Inputs!$B$34/100)),15)/15,(Skills!Y21*(1+Inputs!$B$34/100))/Skills!D21)))+((C3397=TRUE)*(F3397-Calc!F28))+((C3387=TRUE)*(F3387-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3384=TRUE)*F3384*IF(AND(Inputs!$B$39&lt;&gt;"pvp",Inputs!$B$44&gt;0),(((R3384-1)*(Skills!Y15*(1+Inputs!$B$34/100))+MIN((Skills!Y15*(1+Inputs!$B$34/100)),MAX(0,Inputs!$B$44-((R3384-1)*Skills!D15))))/Inputs!$B$44),IF(Inputs!$B$39="pvp",MIN((Skills!Y15*(1+Inputs!$B$34/100)),15)/15,(Skills!Y15*(1+Inputs!$B$34/100))/Skills!D15)))/100)*(1+((C3375=TRUE)*F3375*B3403)/100))*B3411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3383)</f>
        <v/>
      </c>
      <c r="L3383">
        <f>K3383*(MIN(Inputs!$B$22+((C3393=TRUE)*(F3393-Calc!F24)),(Inputs!$B$23+0+(IF(ArtifactsInput!$M$15,CHOOSE(ArtifactsInput!$N$15+1,25,30,35,40,45,50)/100*(Inputs!$B$11-Inputs!$B$11),0))))/100+(Inputs!$B$23+0+(IF(ArtifactsInput!$M$15,CHOOSE(ArtifactsInput!$N$15+1,25,30,35,40,45,50)/100*(Inputs!$B$11-Inputs!$B$11),0)))/100)/2</f>
        <v/>
      </c>
      <c r="M3383">
        <f>L3383*(1+(Inputs!$B$10+((C3395=TRUE)*(F3395-Calc!F26))+B3412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83">
        <f>L3383*(1-MIN((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3383*(MIN((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83">
        <f>(1-Summary!$B$11)*T3383+Summary!$B$11*V3383</f>
        <v/>
      </c>
      <c r="P3383">
        <f>IF(B3413=0,0,O3383/B3413)</f>
        <v/>
      </c>
      <c r="Q3383">
        <f>IFERROR(1/IF(Inputs!$B$39="pvp",15,MAX(0.1,Skills!D14-IF(Skills!E14=TRUE,2.5,0))),0)</f>
        <v/>
      </c>
      <c r="R3383">
        <f>IF(AND(Inputs!$B$39&lt;&gt;"pvp",Inputs!$B$44&gt;0),IF(MAX(0,Inputs!$B$44-B3414)&lt;=0,0,(INT(MAX(0,Inputs!$B$44-B3414)/IF(Inputs!$B$39="pvp",15,MAX(0.1,Skills!D14-IF(Skills!E14=TRUE,2.5,0))))+1)),0)</f>
        <v/>
      </c>
      <c r="S3383">
        <f>IFERROR(O3383/N3383,0)</f>
        <v/>
      </c>
      <c r="T3383">
        <f>IF(C3383,(H3383*N3383*IF(AND(Inputs!$B$39&lt;&gt;"pvp",Inputs!$B$44&gt;0),((Skills!G14*((R3383-1)*IF(Skills!H14&gt;0,Skills!I14/Skills!H14,1)+IF(Skills!H14&gt;0,MIN(Skills!I14,MAX(0,MAX(0,Inputs!$B$44-B3414)-((R3383-1)*IF(Inputs!$B$39="pvp",15,MAX(0.1,Skills!D14-IF(Skills!E14=TRUE,2.5,0))))))/Skills!H14,1)))/Inputs!$B$44),G3383*Q3383))*IF(Inputs!$B$39="pvp",1,1+(Inputs!$B$20+((C3396=TRUE)*(F3396-Calc!F27))+Skills!P14+B3410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Hunt"),CHOOSE(ArtifactsInput!$N$35+1,15,18,21,24,27,30)*(1-EXP(-(0.2*B3405)*5)),0)+IF(AND(ArtifactsInput!$M$22,Inputs!$B$4&lt;&gt;"Chapter Hunt"),CHOOSE(ArtifactsInput!$N$22+1,10,12,14,16,18,20)*((0*(((0.15*B3405*5))^0/1)+1*(((0.15*B3405*5))^1/1)+2*(((0.15*B3405*5))^2/2)+3*(((0.15*B3405*5))^3/6)+4*(((0.15*B3405*5))^4/24)+5*(((0.15*B3405*5))^5/120))/((((0.15*B3405*5))^0/1)+(((0.15*B3405*5))^1/1)+(((0.15*B3405*5))^2/2)+(((0.15*B3405*5))^3/6)+(((0.15*B3405*5))^4/24)+(((0.15*B3405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3383*(1-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3383*(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3383*(1-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3383*(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83">
        <f>IF(C3383,(H3383*N3383*IF(AND(Inputs!$B$39&lt;&gt;"pvp",Inputs!$B$44&gt;0),((Skills!G14*((R3383-1)*IF(Skills!H14&gt;0,Skills!I14/Skills!H14,1)+IF(Skills!H14&gt;0,MIN(Skills!I14,MAX(0,MAX(0,Inputs!$B$44-B3414)-((R3383-1)*IF(Inputs!$B$39="pvp",15,MAX(0.1,Skills!D14-IF(Skills!E14=TRUE,2.5,0))))))/Skills!H14,1)))/Inputs!$B$44),G3383*Q3383))*IF(Inputs!$B$39="pvp",1,(1+(Inputs!$B$21+Skills!Q14+B3410+(IF(ArtifactsInput!$M$33,CHOOSE(ArtifactsInput!$N$33+1,30,36,42,48,54,60),0))+(IF(AND(ArtifactsInput!$M$35,Inputs!$B$4&lt;&gt;"Chapter Hunt"),CHOOSE(ArtifactsInput!$N$35+1,15,18,21,24,27,30)*(1-EXP(-(0.2*B3405)*5)),0)+IF(AND(ArtifactsInput!$M$22,Inputs!$B$4&lt;&gt;"Chapter Hunt"),CHOOSE(ArtifactsInput!$N$22+1,10,12,14,16,18,20)*((0*(((0.15*B3405*5))^0/1)+1*(((0.15*B3405*5))^1/1)+2*(((0.15*B3405*5))^2/2)+3*(((0.15*B3405*5))^3/6)+4*(((0.15*B3405*5))^4/24)+5*(((0.15*B3405*5))^5/120))/((((0.15*B3405*5))^0/1)+(((0.15*B3405*5))^1/1)+(((0.15*B3405*5))^2/2)+(((0.15*B3405*5))^3/6)+(((0.15*B3405*5))^4/24)+(((0.15*B3405*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84">
      <c r="A3384">
        <f>Skills!A15</f>
        <v/>
      </c>
      <c r="B3384">
        <f>Skills!B15</f>
        <v/>
      </c>
      <c r="C3384">
        <f>Inputs!$B$3&gt;=110</f>
        <v/>
      </c>
      <c r="D3384">
        <f>IF(Skills!C15=1,60+Inputs!$B$25+Inputs!$B$29,IF(Skills!C15=2,90+Inputs!$B$26+Inputs!$B$29,IF(Skills!C15=3,120+Inputs!$B$27+Inputs!$B$29,MAX(0,(Inputs!$B$3-100)*3)+Inputs!$B$28+Inputs!$B$29)))</f>
        <v/>
      </c>
      <c r="E3384">
        <f>INDEX(FactorTable!$B$2:$Y$301, MATCH(ROUND(MIN(300,MAX(1,D3384)),0), FactorTable!$A$2:$A$301,0), Skills!M15+1)</f>
        <v/>
      </c>
      <c r="F3384">
        <f>IF(Skills!N15=TRUE,(Skills!L15/10)*(E3384/1000),Skills!L15/10)+Skills!O15</f>
        <v/>
      </c>
      <c r="G3384">
        <f>Calc!G15</f>
        <v/>
      </c>
      <c r="H3384">
        <f>Calc!H15</f>
        <v/>
      </c>
      <c r="I3384">
        <f>IF(Skills!AA15&lt;&gt;"",1+(Skills!AA15/10)*(U3372/1000)/100,1)</f>
        <v/>
      </c>
      <c r="J3384" t="inlineStr"/>
      <c r="K3384" t="inlineStr"/>
      <c r="L3384" t="inlineStr"/>
      <c r="M3384" t="inlineStr"/>
      <c r="N3384" t="inlineStr"/>
      <c r="O3384">
        <f>(1-Summary!$B$11)*T3384+Summary!$B$11*V3384</f>
        <v/>
      </c>
      <c r="P3384">
        <f>IF(B3413=0,0,O3384/B3413)</f>
        <v/>
      </c>
      <c r="Q3384">
        <f>IFERROR(1/IF(Inputs!$B$39="pvp",15,MAX(0.1,Skills!D15-IF(Skills!E15=TRUE,2.5,0))),0)</f>
        <v/>
      </c>
      <c r="R3384">
        <f>IF(AND(Inputs!$B$39&lt;&gt;"pvp",Inputs!$B$44&gt;0),IF(Inputs!$B$44&lt;=0,0,(INT(Inputs!$B$44/IF(Inputs!$B$39="pvp",15,MAX(0.1,Skills!D15-IF(Skills!E15=TRUE,2.5,0))))+1)),0)</f>
        <v/>
      </c>
      <c r="S3384">
        <f>IFERROR(O3384/N3384,0)</f>
        <v/>
      </c>
      <c r="T3384" t="n">
        <v>0</v>
      </c>
      <c r="V3384" t="n">
        <v>0</v>
      </c>
    </row>
    <row r="3385">
      <c r="A3385">
        <f>Skills!A16</f>
        <v/>
      </c>
      <c r="B3385">
        <f>Skills!B16</f>
        <v/>
      </c>
      <c r="C3385">
        <f>Inputs!$B$3&gt;=110</f>
        <v/>
      </c>
      <c r="D3385">
        <f>IF(Skills!C16=1,60+Inputs!$B$25+Inputs!$B$29,IF(Skills!C16=2,90+Inputs!$B$26+Inputs!$B$29,IF(Skills!C16=3,120+Inputs!$B$27+Inputs!$B$29,MAX(0,(Inputs!$B$3-100)*3)+Inputs!$B$28+Inputs!$B$29)))</f>
        <v/>
      </c>
      <c r="E3385">
        <f>INDEX(FactorTable!$B$2:$Y$301, MATCH(ROUND(MIN(300,MAX(1,D3385)),0), FactorTable!$A$2:$A$301,0), Skills!M16+1)</f>
        <v/>
      </c>
      <c r="F3385">
        <f>IF(Skills!N16=TRUE,(Skills!L16/10)*(E3385/1000),Skills!L16/10)+Skills!O16</f>
        <v/>
      </c>
      <c r="G3385">
        <f>Calc!G16</f>
        <v/>
      </c>
      <c r="H3385">
        <f>Calc!H16</f>
        <v/>
      </c>
      <c r="I3385">
        <f>IF(Skills!AA16&lt;&gt;"",1+(Skills!AA16/10)*(U3372/1000)/100,1)</f>
        <v/>
      </c>
      <c r="J3385" t="inlineStr"/>
      <c r="K3385" t="inlineStr"/>
      <c r="L3385" t="inlineStr"/>
      <c r="M3385" t="inlineStr"/>
      <c r="N3385" t="inlineStr"/>
      <c r="O3385">
        <f>(1-Summary!$B$11)*T3385+Summary!$B$11*V3385</f>
        <v/>
      </c>
      <c r="P3385">
        <f>IF(B3413=0,0,O3385/B3413)</f>
        <v/>
      </c>
      <c r="Q3385">
        <f>IFERROR(1/IF(Inputs!$B$39="pvp",15,MAX(0.1,Skills!D16-IF(Skills!E16=TRUE,2.5,0))),0)</f>
        <v/>
      </c>
      <c r="R3385">
        <f>IF(AND(Inputs!$B$39&lt;&gt;"pvp",Inputs!$B$44&gt;0),IF(Inputs!$B$44&lt;=0,0,(INT(Inputs!$B$44/IF(Inputs!$B$39="pvp",15,MAX(0.1,Skills!D16-IF(Skills!E16=TRUE,2.5,0))))+1)),0)</f>
        <v/>
      </c>
      <c r="S3385">
        <f>IFERROR(O3385/N3385,0)</f>
        <v/>
      </c>
      <c r="T3385" t="n">
        <v>0</v>
      </c>
      <c r="V3385" t="n">
        <v>0</v>
      </c>
    </row>
    <row r="3386">
      <c r="A3386">
        <f>Skills!A17</f>
        <v/>
      </c>
      <c r="B3386">
        <f>Skills!B17</f>
        <v/>
      </c>
      <c r="C3386">
        <f>Inputs!$B$3&gt;=115</f>
        <v/>
      </c>
      <c r="D3386">
        <f>IF(Skills!C17=1,60+Inputs!$B$25+Inputs!$B$29,IF(Skills!C17=2,90+Inputs!$B$26+Inputs!$B$29,IF(Skills!C17=3,120+Inputs!$B$27+Inputs!$B$29,MAX(0,(Inputs!$B$3-100)*3)+Inputs!$B$28+Inputs!$B$29)))</f>
        <v/>
      </c>
      <c r="E3386">
        <f>INDEX(FactorTable!$B$2:$Y$301, MATCH(ROUND(MIN(300,MAX(1,D3386)),0), FactorTable!$A$2:$A$301,0), Skills!M17+1)</f>
        <v/>
      </c>
      <c r="F3386">
        <f>IF(Skills!N17=TRUE,(Skills!L17/10)*(E3386/1000),Skills!L17/10)+Skills!O17</f>
        <v/>
      </c>
      <c r="G3386">
        <f>Calc!G17</f>
        <v/>
      </c>
      <c r="H3386">
        <f>Calc!H17</f>
        <v/>
      </c>
      <c r="I3386">
        <f>IF(Skills!AA17&lt;&gt;"",1+(Skills!AA17/10)*(U3372/1000)/100,1)</f>
        <v/>
      </c>
      <c r="J3386">
        <f>((Inputs!$B$6*(1+Inputs!$B$7/100))+(((Inputs!$B$12*(1+Inputs!$B$13/100))-(Inputs!$B$12*(1+Inputs!$B$13/100)))+0.25*(Inputs!$B$14-Inputs!$B$14))*(1+Inputs!$B$7/100))*(F3386/100)</f>
        <v/>
      </c>
      <c r="K3386">
        <f>J3386*(1+((Inputs!$B$12*(1+Inputs!$B$13/100))*0.01+Inputs!$B$14*0.0025)/100)*(1+Inputs!$B$15/100)*(1+Inputs!$B$16/100)*(5000/(6000+Inputs!$B$43*(1-(100*(1-(1-(Inputs!$B$19+0)/100)*(1-CHOOSE(ArtifactsInput!$N$40+1,5,6,7,8,9,10)/100)^(ArtifactsInput!$M$40-ArtifactsInput!$M$40)))/100)))*(1+(Inputs!$B$24+((C3399=TRUE)*(F3399-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3392=TRUE)*(F3392-Calc!F23))+(((IF(AND(ArtifactsInput!$M$42,((Inputs!$B$9+((C3394=TRUE)*(F3394-Calc!F25))+B3409+(ArtifactsInput!$M$24-ArtifactsInput!$M$24)*CHOOSE(ArtifactsInput!$N$24+1,10,12,14,16,18,20)+IF(ArtifactsInput!$M$10,CHOOSE(ArtifactsInput!$N$10+1,15,18,21,24,27,30)*(IF(Inputs!$B$39="pvp",MIN(15,15)/15,IF(AND(Inputs!$B$39&lt;&gt;"pvp",Inputs!$B$44&gt;0),MIN(15,Inputs!$B$44)/(Inputs!$B$44),0))),0)))&gt;=100),MIN(100,((Inputs!$B$9+((C3394=TRUE)*(F3394-Calc!F25))+B3409+(ArtifactsInput!$M$24-ArtifactsInput!$M$24)*CHOOSE(ArtifactsInput!$N$24+1,10,12,14,16,18,20)+IF(ArtifactsInput!$M$10,CHOOSE(ArtifactsInput!$N$10+1,15,18,21,24,27,30)*(IF(Inputs!$B$39="pvp",MIN(15,15)/15,IF(AND(Inputs!$B$39&lt;&gt;"pvp",Inputs!$B$44&gt;0),MIN(15,Inputs!$B$44)/(Inputs!$B$44),0))),0)))-100),0))*CHOOSE(ArtifactsInput!$N$42+1,0.6,0.72,0.84,0.96,1.08,1.2))),Inputs!$B$18+((C3398=TRUE)*(F3398-Calc!F29))+(IF(AND(ArtifactsInput!$M$42,((Inputs!$B$9+((C3394=TRUE)*(F3394-Calc!F25))+B3409+(ArtifactsInput!$M$24-ArtifactsInput!$M$24)*CHOOSE(ArtifactsInput!$N$24+1,10,12,14,16,18,20)+IF(ArtifactsInput!$M$10,CHOOSE(ArtifactsInput!$N$10+1,15,18,21,24,27,30)*(IF(Inputs!$B$39="pvp",MIN(15,15)/15,IF(AND(Inputs!$B$39&lt;&gt;"pvp",Inputs!$B$44&gt;0),MIN(15,Inputs!$B$44)/(Inputs!$B$44),0))),0)))&gt;=100),CHOOSE(ArtifactsInput!$N$42+1,40,48,56,64,72,80),0))))/100)*(((1+(((C3390=TRUE)*F3390*IF(AND(Inputs!$B$39&lt;&gt;"pvp",Inputs!$B$44&gt;0),(((R3390-1)*(Skills!Y21*(1+Inputs!$B$34/100))+MIN((Skills!Y21*(1+Inputs!$B$34/100)),MAX(0,Inputs!$B$44-((R3390-1)*Skills!D21))))/Inputs!$B$44),IF(Inputs!$B$39="pvp",MIN((Skills!Y21*(1+Inputs!$B$34/100)),15)/15,(Skills!Y21*(1+Inputs!$B$34/100))/Skills!D21)))+((C3397=TRUE)*(F3397-Calc!F28))+((C3387=TRUE)*(F3387-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3384=TRUE)*F3384*IF(AND(Inputs!$B$39&lt;&gt;"pvp",Inputs!$B$44&gt;0),(((R3384-1)*(Skills!Y15*(1+Inputs!$B$34/100))+MIN((Skills!Y15*(1+Inputs!$B$34/100)),MAX(0,Inputs!$B$44-((R3384-1)*Skills!D15))))/Inputs!$B$44),IF(Inputs!$B$39="pvp",MIN((Skills!Y15*(1+Inputs!$B$34/100)),15)/15,(Skills!Y15*(1+Inputs!$B$34/100))/Skills!D15)))/100)*(1+((C3375=TRUE)*F3375*B3403)/100))*B3411*(1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3386)</f>
        <v/>
      </c>
      <c r="L3386">
        <f>K3386*(MIN(Inputs!$B$22+((C3393=TRUE)*(F3393-Calc!F24)),(Inputs!$B$23+0+(IF(ArtifactsInput!$M$15,CHOOSE(ArtifactsInput!$N$15+1,25,30,35,40,45,50)/100*(Inputs!$B$11-Inputs!$B$11),0))))/100+(Inputs!$B$23+0+(IF(ArtifactsInput!$M$15,CHOOSE(ArtifactsInput!$N$15+1,25,30,35,40,45,50)/100*(Inputs!$B$11-Inputs!$B$11),0)))/100)/2</f>
        <v/>
      </c>
      <c r="M3386">
        <f>L3386*(1+(Inputs!$B$10+((C3395=TRUE)*(F3395-Calc!F26))+B3412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86">
        <f>L3386*(1-MIN((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3386*(MIN((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86">
        <f>(1-Summary!$B$11)*T3386+Summary!$B$11*V3386</f>
        <v/>
      </c>
      <c r="P3386">
        <f>IF(B3413=0,0,O3386/B3413)</f>
        <v/>
      </c>
      <c r="Q3386" t="n">
        <v>0</v>
      </c>
      <c r="R3386" t="n">
        <v>0</v>
      </c>
      <c r="S3386">
        <f>IFERROR(O3386/N3386,0)</f>
        <v/>
      </c>
      <c r="T3386">
        <f>IF(C3386,(Inputs!$B$38*0.2*N3386)*IF(Inputs!$B$39="pvp",1,1+(Inputs!$B$20+((C3396=TRUE)*(F3396-Calc!F27))+Skills!P17+B3410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Hunt"),CHOOSE(ArtifactsInput!$N$35+1,15,18,21,24,27,30)*(1-EXP(-(0.2*B3405)*5)),0)+IF(AND(ArtifactsInput!$M$22,Inputs!$B$4&lt;&gt;"Chapter Hunt"),CHOOSE(ArtifactsInput!$N$22+1,10,12,14,16,18,20)*((0*(((0.15*B3405*5))^0/1)+1*(((0.15*B3405*5))^1/1)+2*(((0.15*B3405*5))^2/2)+3*(((0.15*B3405*5))^3/6)+4*(((0.15*B3405*5))^4/24)+5*(((0.15*B3405*5))^5/120))/((((0.15*B3405*5))^0/1)+(((0.15*B3405*5))^1/1)+(((0.15*B3405*5))^2/2)+(((0.15*B3405*5))^3/6)+(((0.15*B3405*5))^4/24)+(((0.15*B3405*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3386*(1-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3386*(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3386*(1-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3386*(MIN(100,(Inputs!$B$9+((C3394=TRUE)*(F3394-Calc!F25))+B3409+(ArtifactsInput!$M$24-ArtifactsInput!$M$24)*CHOOSE(ArtifactsInput!$N$24+1,10,12,14,16,18,20)+(IF(AND(ArtifactsInput!$M$42,((Inputs!$B$9+((C3394=TRUE)*(F3394-Calc!F25))+B3409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86">
        <f>IF(C3386,(Inputs!$B$38*0.2*N3386)*IF(Inputs!$B$39="pvp",1,(1+(Inputs!$B$21+Skills!Q17+B3410+(IF(ArtifactsInput!$M$33,CHOOSE(ArtifactsInput!$N$33+1,30,36,42,48,54,60),0))+(IF(AND(ArtifactsInput!$M$35,Inputs!$B$4&lt;&gt;"Chapter Hunt"),CHOOSE(ArtifactsInput!$N$35+1,15,18,21,24,27,30)*(1-EXP(-(0.2*B3405)*5)),0)+IF(AND(ArtifactsInput!$M$22,Inputs!$B$4&lt;&gt;"Chapter Hunt"),CHOOSE(ArtifactsInput!$N$22+1,10,12,14,16,18,20)*((0*(((0.15*B3405*5))^0/1)+1*(((0.15*B3405*5))^1/1)+2*(((0.15*B3405*5))^2/2)+3*(((0.15*B3405*5))^3/6)+4*(((0.15*B3405*5))^4/24)+5*(((0.15*B3405*5))^5/120))/((((0.15*B3405*5))^0/1)+(((0.15*B3405*5))^1/1)+(((0.15*B3405*5))^2/2)+(((0.15*B3405*5))^3/6)+(((0.15*B3405*5))^4/24)+(((0.15*B3405*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87">
      <c r="A3387">
        <f>Skills!A18</f>
        <v/>
      </c>
      <c r="B3387">
        <f>Skills!B18</f>
        <v/>
      </c>
      <c r="C3387">
        <f>Inputs!$B$3&gt;=115</f>
        <v/>
      </c>
      <c r="D3387">
        <f>IF(Skills!C18=1,60+Inputs!$B$25+Inputs!$B$29,IF(Skills!C18=2,90+Inputs!$B$26+Inputs!$B$29,IF(Skills!C18=3,120+Inputs!$B$27+Inputs!$B$29,MAX(0,(Inputs!$B$3-100)*3)+Inputs!$B$28+Inputs!$B$29)))</f>
        <v/>
      </c>
      <c r="E3387">
        <f>INDEX(FactorTable!$B$2:$Y$301, MATCH(ROUND(MIN(300,MAX(1,D3387)),0), FactorTable!$A$2:$A$301,0), Skills!M18+1)</f>
        <v/>
      </c>
      <c r="F3387">
        <f>IF(Skills!N18=TRUE,(Skills!L18/10)*(E3387/1000),Skills!L18/10)+Skills!O18</f>
        <v/>
      </c>
      <c r="G3387">
        <f>Calc!G18</f>
        <v/>
      </c>
      <c r="H3387">
        <f>Calc!H18</f>
        <v/>
      </c>
      <c r="I3387">
        <f>IF(Skills!AA18&lt;&gt;"",1+(Skills!AA18/10)*(U3372/1000)/100,1)</f>
        <v/>
      </c>
      <c r="J3387" t="inlineStr"/>
      <c r="K3387" t="inlineStr"/>
      <c r="L3387" t="inlineStr"/>
      <c r="M3387" t="inlineStr"/>
      <c r="N3387" t="inlineStr"/>
      <c r="O3387">
        <f>(1-Summary!$B$11)*T3387+Summary!$B$11*V3387</f>
        <v/>
      </c>
      <c r="P3387">
        <f>IF(B3413=0,0,O3387/B3413)</f>
        <v/>
      </c>
      <c r="Q3387" t="n">
        <v>0</v>
      </c>
      <c r="R3387" t="n">
        <v>0</v>
      </c>
      <c r="S3387">
        <f>IFERROR(O3387/N3387,0)</f>
        <v/>
      </c>
      <c r="T3387" t="n">
        <v>0</v>
      </c>
      <c r="V3387" t="n">
        <v>0</v>
      </c>
    </row>
    <row r="3388">
      <c r="A3388">
        <f>Skills!A19</f>
        <v/>
      </c>
      <c r="B3388">
        <f>Skills!B19</f>
        <v/>
      </c>
      <c r="C3388">
        <f>TRUE</f>
        <v/>
      </c>
      <c r="D3388">
        <f>IF(Skills!C19=1,60+Inputs!$B$25+Inputs!$B$29,IF(Skills!C19=2,90+Inputs!$B$26+Inputs!$B$29,IF(Skills!C19=3,120+Inputs!$B$27+Inputs!$B$29,MAX(0,(Inputs!$B$3-100)*3)+Inputs!$B$28+Inputs!$B$29)))</f>
        <v/>
      </c>
      <c r="E3388">
        <f>INDEX(FactorTable!$B$2:$Y$301, MATCH(ROUND(MIN(300,MAX(1,D3388)),0), FactorTable!$A$2:$A$301,0), Skills!M19+1)</f>
        <v/>
      </c>
      <c r="F3388">
        <f>IF(Skills!N19=TRUE,(Skills!L19/10)*(E3388/1000),Skills!L19/10)+Skills!O19</f>
        <v/>
      </c>
      <c r="G3388">
        <f>Calc!G19</f>
        <v/>
      </c>
      <c r="H3388">
        <f>Calc!H19</f>
        <v/>
      </c>
      <c r="I3388">
        <f>IF(Skills!AA19&lt;&gt;"",1+(Skills!AA19/10)*(U3372/1000)/100,1)</f>
        <v/>
      </c>
      <c r="J3388" t="inlineStr"/>
      <c r="K3388" t="inlineStr"/>
      <c r="L3388" t="inlineStr"/>
      <c r="M3388" t="inlineStr"/>
      <c r="N3388" t="inlineStr"/>
      <c r="O3388">
        <f>(1-Summary!$B$11)*T3388+Summary!$B$11*V3388</f>
        <v/>
      </c>
      <c r="P3388">
        <f>IF(B3413=0,0,O3388/B3413)</f>
        <v/>
      </c>
      <c r="Q3388">
        <f>IFERROR(1/IF(Inputs!$B$39="pvp",15,MAX(0.1,Skills!D19-IF(Skills!E19=TRUE,2.5,0))),0)</f>
        <v/>
      </c>
      <c r="R3388">
        <f>IF(AND(Inputs!$B$39&lt;&gt;"pvp",Inputs!$B$44&gt;0),IF(Inputs!$B$44&lt;=0,0,(INT(Inputs!$B$44/IF(Inputs!$B$39="pvp",15,MAX(0.1,Skills!D19-IF(Skills!E19=TRUE,2.5,0))))+1)),0)</f>
        <v/>
      </c>
      <c r="S3388">
        <f>IFERROR(O3388/N3388,0)</f>
        <v/>
      </c>
      <c r="T3388" t="n">
        <v>0</v>
      </c>
      <c r="V3388" t="n">
        <v>0</v>
      </c>
    </row>
    <row r="3389">
      <c r="A3389">
        <f>Skills!A20</f>
        <v/>
      </c>
      <c r="B3389">
        <f>Skills!B20</f>
        <v/>
      </c>
      <c r="C3389">
        <f>Inputs!$B$3&gt;=15</f>
        <v/>
      </c>
      <c r="D3389">
        <f>IF(Skills!C20=1,60+Inputs!$B$25+Inputs!$B$29,IF(Skills!C20=2,90+Inputs!$B$26+Inputs!$B$29,IF(Skills!C20=3,120+Inputs!$B$27+Inputs!$B$29,MAX(0,(Inputs!$B$3-100)*3)+Inputs!$B$28+Inputs!$B$29)))</f>
        <v/>
      </c>
      <c r="E3389">
        <f>INDEX(FactorTable!$B$2:$Y$301, MATCH(ROUND(MIN(300,MAX(1,D3389)),0), FactorTable!$A$2:$A$301,0), Skills!M20+1)</f>
        <v/>
      </c>
      <c r="F3389">
        <f>IF(Skills!N20=TRUE,(Skills!L20/10)*(E3389/1000),Skills!L20/10)+Skills!O20</f>
        <v/>
      </c>
      <c r="G3389">
        <f>Calc!G20</f>
        <v/>
      </c>
      <c r="H3389">
        <f>Calc!H20</f>
        <v/>
      </c>
      <c r="I3389">
        <f>IF(Skills!AA20&lt;&gt;"",1+(Skills!AA20/10)*(U3372/1000)/100,1)</f>
        <v/>
      </c>
      <c r="J3389" t="inlineStr"/>
      <c r="K3389" t="inlineStr"/>
      <c r="L3389" t="inlineStr"/>
      <c r="M3389" t="inlineStr"/>
      <c r="N3389" t="inlineStr"/>
      <c r="O3389">
        <f>(1-Summary!$B$11)*T3389+Summary!$B$11*V3389</f>
        <v/>
      </c>
      <c r="P3389">
        <f>IF(B3413=0,0,O3389/B3413)</f>
        <v/>
      </c>
      <c r="Q3389">
        <f>IFERROR(1/IF(Inputs!$B$39="pvp",15,MAX(0.1,Skills!D20-IF(Skills!E20=TRUE,2.5,0))),0)</f>
        <v/>
      </c>
      <c r="R3389">
        <f>IF(AND(Inputs!$B$39&lt;&gt;"pvp",Inputs!$B$44&gt;0),IF(Inputs!$B$44&lt;=0,0,(INT(Inputs!$B$44/IF(Inputs!$B$39="pvp",15,MAX(0.1,Skills!D20-IF(Skills!E20=TRUE,2.5,0))))+1)),0)</f>
        <v/>
      </c>
      <c r="S3389">
        <f>IFERROR(O3389/N3389,0)</f>
        <v/>
      </c>
      <c r="T3389" t="n">
        <v>0</v>
      </c>
      <c r="V3389" t="n">
        <v>0</v>
      </c>
    </row>
    <row r="3390">
      <c r="A3390">
        <f>Skills!A21</f>
        <v/>
      </c>
      <c r="B3390">
        <f>Skills!B21</f>
        <v/>
      </c>
      <c r="C3390">
        <f>Inputs!$B$3&gt;=15</f>
        <v/>
      </c>
      <c r="D3390">
        <f>IF(Skills!C21=1,60+Inputs!$B$25+Inputs!$B$29,IF(Skills!C21=2,90+Inputs!$B$26+Inputs!$B$29,IF(Skills!C21=3,120+Inputs!$B$27+Inputs!$B$29,MAX(0,(Inputs!$B$3-100)*3)+Inputs!$B$28+Inputs!$B$29)))</f>
        <v/>
      </c>
      <c r="E3390">
        <f>INDEX(FactorTable!$B$2:$Y$301, MATCH(ROUND(MIN(300,MAX(1,D3390)),0), FactorTable!$A$2:$A$301,0), Skills!M21+1)</f>
        <v/>
      </c>
      <c r="F3390">
        <f>IF(Skills!N21=TRUE,(Skills!L21/10)*(E3390/1000),Skills!L21/10)+Skills!O21</f>
        <v/>
      </c>
      <c r="G3390">
        <f>Calc!G21</f>
        <v/>
      </c>
      <c r="H3390">
        <f>Calc!H21</f>
        <v/>
      </c>
      <c r="I3390">
        <f>IF(Skills!AA21&lt;&gt;"",1+(Skills!AA21/10)*(U3372/1000)/100,1)</f>
        <v/>
      </c>
      <c r="J3390" t="inlineStr"/>
      <c r="K3390" t="inlineStr"/>
      <c r="L3390" t="inlineStr"/>
      <c r="M3390" t="inlineStr"/>
      <c r="N3390" t="inlineStr"/>
      <c r="O3390">
        <f>(1-Summary!$B$11)*T3390+Summary!$B$11*V3390</f>
        <v/>
      </c>
      <c r="P3390">
        <f>IF(B3413=0,0,O3390/B3413)</f>
        <v/>
      </c>
      <c r="Q3390">
        <f>IFERROR(1/IF(Inputs!$B$39="pvp",15,MAX(0.1,Skills!D21-IF(Skills!E21=TRUE,2.5,0))),0)</f>
        <v/>
      </c>
      <c r="R3390">
        <f>IF(AND(Inputs!$B$39&lt;&gt;"pvp",Inputs!$B$44&gt;0),IF(Inputs!$B$44&lt;=0,0,(INT(Inputs!$B$44/IF(Inputs!$B$39="pvp",15,MAX(0.1,Skills!D21-IF(Skills!E21=TRUE,2.5,0))))+1)),0)</f>
        <v/>
      </c>
      <c r="S3390">
        <f>IFERROR(O3390/N3390,0)</f>
        <v/>
      </c>
      <c r="T3390" t="n">
        <v>0</v>
      </c>
      <c r="V3390" t="n">
        <v>0</v>
      </c>
    </row>
    <row r="3391">
      <c r="A3391">
        <f>Skills!A22</f>
        <v/>
      </c>
      <c r="B3391">
        <f>Skills!B22</f>
        <v/>
      </c>
      <c r="C3391">
        <f>Inputs!$B$3&gt;=33</f>
        <v/>
      </c>
      <c r="D3391">
        <f>IF(Skills!C22=1,60+Inputs!$B$25+Inputs!$B$29,IF(Skills!C22=2,90+Inputs!$B$26+Inputs!$B$29,IF(Skills!C22=3,120+Inputs!$B$27+Inputs!$B$29,MAX(0,(Inputs!$B$3-100)*3)+Inputs!$B$28+Inputs!$B$29)))</f>
        <v/>
      </c>
      <c r="E3391">
        <f>INDEX(FactorTable!$B$2:$Y$301, MATCH(ROUND(MIN(300,MAX(1,D3391)),0), FactorTable!$A$2:$A$301,0), Skills!M22+1)</f>
        <v/>
      </c>
      <c r="F3391">
        <f>IF(Skills!N22=TRUE,(Skills!L22/10)*(E3391/1000),Skills!L22/10)+Skills!O22</f>
        <v/>
      </c>
      <c r="G3391">
        <f>Calc!G22</f>
        <v/>
      </c>
      <c r="H3391">
        <f>Calc!H22</f>
        <v/>
      </c>
      <c r="I3391">
        <f>IF(Skills!AA22&lt;&gt;"",1+(Skills!AA22/10)*(U3372/1000)/100,1)</f>
        <v/>
      </c>
      <c r="J3391" t="inlineStr"/>
      <c r="K3391" t="inlineStr"/>
      <c r="L3391" t="inlineStr"/>
      <c r="M3391" t="inlineStr"/>
      <c r="N3391" t="inlineStr"/>
      <c r="O3391">
        <f>(1-Summary!$B$11)*T3391+Summary!$B$11*V3391</f>
        <v/>
      </c>
      <c r="P3391">
        <f>IF(B3413=0,0,O3391/B3413)</f>
        <v/>
      </c>
      <c r="Q3391" t="n">
        <v>0</v>
      </c>
      <c r="R3391" t="n">
        <v>0</v>
      </c>
      <c r="S3391">
        <f>IFERROR(O3391/N3391,0)</f>
        <v/>
      </c>
      <c r="T3391" t="n">
        <v>0</v>
      </c>
      <c r="V3391" t="n">
        <v>0</v>
      </c>
    </row>
    <row r="3392">
      <c r="A3392">
        <f>Skills!A23</f>
        <v/>
      </c>
      <c r="B3392">
        <f>Skills!B23</f>
        <v/>
      </c>
      <c r="C3392">
        <f>Inputs!$B$3&gt;=38</f>
        <v/>
      </c>
      <c r="D3392">
        <f>IF(Skills!C23=1,60+Inputs!$B$25+Inputs!$B$29,IF(Skills!C23=2,90+Inputs!$B$26+Inputs!$B$29,IF(Skills!C23=3,120+Inputs!$B$27+Inputs!$B$29,MAX(0,(Inputs!$B$3-100)*3)+Inputs!$B$28+Inputs!$B$29)))</f>
        <v/>
      </c>
      <c r="E3392">
        <f>INDEX(FactorTable!$B$2:$Y$301, MATCH(ROUND(MIN(300,MAX(1,D3392)),0), FactorTable!$A$2:$A$301,0), Skills!M23+1)</f>
        <v/>
      </c>
      <c r="F3392">
        <f>IF(Skills!N23=TRUE,(Skills!L23/10)*(E3392/1000),Skills!L23/10)+Skills!O23</f>
        <v/>
      </c>
      <c r="G3392">
        <f>Calc!G23</f>
        <v/>
      </c>
      <c r="H3392">
        <f>Calc!H23</f>
        <v/>
      </c>
      <c r="I3392">
        <f>IF(Skills!AA23&lt;&gt;"",1+(Skills!AA23/10)*(U3372/1000)/100,1)</f>
        <v/>
      </c>
      <c r="J3392" t="inlineStr"/>
      <c r="K3392" t="inlineStr"/>
      <c r="L3392" t="inlineStr"/>
      <c r="M3392" t="inlineStr"/>
      <c r="N3392" t="inlineStr"/>
      <c r="O3392">
        <f>(1-Summary!$B$11)*T3392+Summary!$B$11*V3392</f>
        <v/>
      </c>
      <c r="P3392">
        <f>IF(B3413=0,0,O3392/B3413)</f>
        <v/>
      </c>
      <c r="Q3392" t="n">
        <v>0</v>
      </c>
      <c r="R3392" t="n">
        <v>0</v>
      </c>
      <c r="S3392">
        <f>IFERROR(O3392/N3392,0)</f>
        <v/>
      </c>
      <c r="T3392" t="n">
        <v>0</v>
      </c>
      <c r="V3392" t="n">
        <v>0</v>
      </c>
    </row>
    <row r="3393">
      <c r="A3393">
        <f>Skills!A24</f>
        <v/>
      </c>
      <c r="B3393">
        <f>Skills!B24</f>
        <v/>
      </c>
      <c r="C3393">
        <f>Inputs!$B$3&gt;=40</f>
        <v/>
      </c>
      <c r="D3393">
        <f>IF(Skills!C24=1,60+Inputs!$B$25+Inputs!$B$29,IF(Skills!C24=2,90+Inputs!$B$26+Inputs!$B$29,IF(Skills!C24=3,120+Inputs!$B$27+Inputs!$B$29,MAX(0,(Inputs!$B$3-100)*3)+Inputs!$B$28+Inputs!$B$29)))</f>
        <v/>
      </c>
      <c r="E3393">
        <f>INDEX(FactorTable!$B$2:$Y$301, MATCH(ROUND(MIN(300,MAX(1,D3393)),0), FactorTable!$A$2:$A$301,0), Skills!M24+1)</f>
        <v/>
      </c>
      <c r="F3393">
        <f>IF(Skills!N24=TRUE,(Skills!L24/10)*(E3393/1000),Skills!L24/10)+Skills!O24</f>
        <v/>
      </c>
      <c r="G3393">
        <f>Calc!G24</f>
        <v/>
      </c>
      <c r="H3393">
        <f>Calc!H24</f>
        <v/>
      </c>
      <c r="I3393">
        <f>IF(Skills!AA24&lt;&gt;"",1+(Skills!AA24/10)*(U3372/1000)/100,1)</f>
        <v/>
      </c>
      <c r="J3393" t="inlineStr"/>
      <c r="K3393" t="inlineStr"/>
      <c r="L3393" t="inlineStr"/>
      <c r="M3393" t="inlineStr"/>
      <c r="N3393" t="inlineStr"/>
      <c r="O3393">
        <f>(1-Summary!$B$11)*T3393+Summary!$B$11*V3393</f>
        <v/>
      </c>
      <c r="P3393">
        <f>IF(B3413=0,0,O3393/B3413)</f>
        <v/>
      </c>
      <c r="Q3393" t="n">
        <v>0</v>
      </c>
      <c r="R3393" t="n">
        <v>0</v>
      </c>
      <c r="S3393">
        <f>IFERROR(O3393/N3393,0)</f>
        <v/>
      </c>
      <c r="T3393" t="n">
        <v>0</v>
      </c>
      <c r="V3393" t="n">
        <v>0</v>
      </c>
    </row>
    <row r="3394">
      <c r="A3394">
        <f>Skills!A25</f>
        <v/>
      </c>
      <c r="B3394">
        <f>Skills!B25</f>
        <v/>
      </c>
      <c r="C3394">
        <f>Inputs!$B$3&gt;=45</f>
        <v/>
      </c>
      <c r="D3394">
        <f>IF(Skills!C25=1,60+Inputs!$B$25+Inputs!$B$29,IF(Skills!C25=2,90+Inputs!$B$26+Inputs!$B$29,IF(Skills!C25=3,120+Inputs!$B$27+Inputs!$B$29,MAX(0,(Inputs!$B$3-100)*3)+Inputs!$B$28+Inputs!$B$29)))</f>
        <v/>
      </c>
      <c r="E3394">
        <f>INDEX(FactorTable!$B$2:$Y$301, MATCH(ROUND(MIN(300,MAX(1,D3394)),0), FactorTable!$A$2:$A$301,0), Skills!M25+1)</f>
        <v/>
      </c>
      <c r="F3394">
        <f>IF(Skills!N25=TRUE,(Skills!L25/10)*(E3394/1000),Skills!L25/10)+Skills!O25</f>
        <v/>
      </c>
      <c r="G3394">
        <f>Calc!G25</f>
        <v/>
      </c>
      <c r="H3394">
        <f>Calc!H25</f>
        <v/>
      </c>
      <c r="I3394">
        <f>IF(Skills!AA25&lt;&gt;"",1+(Skills!AA25/10)*(U3372/1000)/100,1)</f>
        <v/>
      </c>
      <c r="J3394" t="inlineStr"/>
      <c r="K3394" t="inlineStr"/>
      <c r="L3394" t="inlineStr"/>
      <c r="M3394" t="inlineStr"/>
      <c r="N3394" t="inlineStr"/>
      <c r="O3394">
        <f>(1-Summary!$B$11)*T3394+Summary!$B$11*V3394</f>
        <v/>
      </c>
      <c r="P3394">
        <f>IF(B3413=0,0,O3394/B3413)</f>
        <v/>
      </c>
      <c r="Q3394" t="n">
        <v>0</v>
      </c>
      <c r="R3394" t="n">
        <v>0</v>
      </c>
      <c r="S3394">
        <f>IFERROR(O3394/N3394,0)</f>
        <v/>
      </c>
      <c r="T3394" t="n">
        <v>0</v>
      </c>
      <c r="V3394" t="n">
        <v>0</v>
      </c>
    </row>
    <row r="3395">
      <c r="A3395">
        <f>Skills!A26</f>
        <v/>
      </c>
      <c r="B3395">
        <f>Skills!B26</f>
        <v/>
      </c>
      <c r="C3395">
        <f>Inputs!$B$3&gt;=45</f>
        <v/>
      </c>
      <c r="D3395">
        <f>IF(Skills!C26=1,60+Inputs!$B$25+Inputs!$B$29,IF(Skills!C26=2,90+Inputs!$B$26+Inputs!$B$29,IF(Skills!C26=3,120+Inputs!$B$27+Inputs!$B$29,MAX(0,(Inputs!$B$3-100)*3)+Inputs!$B$28+Inputs!$B$29)))</f>
        <v/>
      </c>
      <c r="E3395">
        <f>INDEX(FactorTable!$B$2:$Y$301, MATCH(ROUND(MIN(300,MAX(1,D3395)),0), FactorTable!$A$2:$A$301,0), Skills!M26+1)</f>
        <v/>
      </c>
      <c r="F3395">
        <f>IF(Skills!N26=TRUE,(Skills!L26/10)*(E3395/1000),Skills!L26/10)+Skills!O26</f>
        <v/>
      </c>
      <c r="G3395">
        <f>Calc!G26</f>
        <v/>
      </c>
      <c r="H3395">
        <f>Calc!H26</f>
        <v/>
      </c>
      <c r="I3395">
        <f>IF(Skills!AA26&lt;&gt;"",1+(Skills!AA26/10)*(U3372/1000)/100,1)</f>
        <v/>
      </c>
      <c r="J3395" t="inlineStr"/>
      <c r="K3395" t="inlineStr"/>
      <c r="L3395" t="inlineStr"/>
      <c r="M3395" t="inlineStr"/>
      <c r="N3395" t="inlineStr"/>
      <c r="O3395">
        <f>(1-Summary!$B$11)*T3395+Summary!$B$11*V3395</f>
        <v/>
      </c>
      <c r="P3395">
        <f>IF(B3413=0,0,O3395/B3413)</f>
        <v/>
      </c>
      <c r="Q3395" t="n">
        <v>0</v>
      </c>
      <c r="R3395" t="n">
        <v>0</v>
      </c>
      <c r="S3395">
        <f>IFERROR(O3395/N3395,0)</f>
        <v/>
      </c>
      <c r="T3395" t="n">
        <v>0</v>
      </c>
      <c r="V3395" t="n">
        <v>0</v>
      </c>
    </row>
    <row r="3396">
      <c r="A3396">
        <f>Skills!A27</f>
        <v/>
      </c>
      <c r="B3396">
        <f>Skills!B27</f>
        <v/>
      </c>
      <c r="C3396">
        <f>Inputs!$B$3&gt;=72</f>
        <v/>
      </c>
      <c r="D3396">
        <f>IF(Skills!C27=1,60+Inputs!$B$25+Inputs!$B$29,IF(Skills!C27=2,90+Inputs!$B$26+Inputs!$B$29,IF(Skills!C27=3,120+Inputs!$B$27+Inputs!$B$29,MAX(0,(Inputs!$B$3-100)*3)+Inputs!$B$28+Inputs!$B$29)))</f>
        <v/>
      </c>
      <c r="E3396">
        <f>INDEX(FactorTable!$B$2:$Y$301, MATCH(ROUND(MIN(300,MAX(1,D3396)),0), FactorTable!$A$2:$A$301,0), Skills!M27+1)</f>
        <v/>
      </c>
      <c r="F3396">
        <f>IF(Skills!N27=TRUE,(Skills!L27/10)*(E3396/1000),Skills!L27/10)+Skills!O27</f>
        <v/>
      </c>
      <c r="G3396">
        <f>Calc!G27</f>
        <v/>
      </c>
      <c r="H3396">
        <f>Calc!H27</f>
        <v/>
      </c>
      <c r="I3396">
        <f>IF(Skills!AA27&lt;&gt;"",1+(Skills!AA27/10)*(U3372/1000)/100,1)</f>
        <v/>
      </c>
      <c r="J3396" t="inlineStr"/>
      <c r="K3396" t="inlineStr"/>
      <c r="L3396" t="inlineStr"/>
      <c r="M3396" t="inlineStr"/>
      <c r="N3396" t="inlineStr"/>
      <c r="O3396">
        <f>(1-Summary!$B$11)*T3396+Summary!$B$11*V3396</f>
        <v/>
      </c>
      <c r="P3396">
        <f>IF(B3413=0,0,O3396/B3413)</f>
        <v/>
      </c>
      <c r="Q3396" t="n">
        <v>0</v>
      </c>
      <c r="R3396" t="n">
        <v>0</v>
      </c>
      <c r="S3396">
        <f>IFERROR(O3396/N3396,0)</f>
        <v/>
      </c>
      <c r="T3396" t="n">
        <v>0</v>
      </c>
      <c r="V3396" t="n">
        <v>0</v>
      </c>
    </row>
    <row r="3397">
      <c r="A3397">
        <f>Skills!A28</f>
        <v/>
      </c>
      <c r="B3397">
        <f>Skills!B28</f>
        <v/>
      </c>
      <c r="C3397">
        <f>Inputs!$B$3&gt;=75</f>
        <v/>
      </c>
      <c r="D3397">
        <f>IF(Skills!C28=1,60+Inputs!$B$25+Inputs!$B$29,IF(Skills!C28=2,90+Inputs!$B$26+Inputs!$B$29,IF(Skills!C28=3,120+Inputs!$B$27+Inputs!$B$29,MAX(0,(Inputs!$B$3-100)*3)+Inputs!$B$28+Inputs!$B$29)))</f>
        <v/>
      </c>
      <c r="E3397">
        <f>INDEX(FactorTable!$B$2:$Y$301, MATCH(ROUND(MIN(300,MAX(1,D3397)),0), FactorTable!$A$2:$A$301,0), Skills!M28+1)</f>
        <v/>
      </c>
      <c r="F3397">
        <f>IF(Skills!N28=TRUE,(Skills!L28/10)*(E3397/1000),Skills!L28/10)+Skills!O28</f>
        <v/>
      </c>
      <c r="G3397">
        <f>Calc!G28</f>
        <v/>
      </c>
      <c r="H3397">
        <f>Calc!H28</f>
        <v/>
      </c>
      <c r="I3397">
        <f>IF(Skills!AA28&lt;&gt;"",1+(Skills!AA28/10)*(U3372/1000)/100,1)</f>
        <v/>
      </c>
      <c r="J3397" t="inlineStr"/>
      <c r="K3397" t="inlineStr"/>
      <c r="L3397" t="inlineStr"/>
      <c r="M3397" t="inlineStr"/>
      <c r="N3397" t="inlineStr"/>
      <c r="O3397">
        <f>(1-Summary!$B$11)*T3397+Summary!$B$11*V3397</f>
        <v/>
      </c>
      <c r="P3397">
        <f>IF(B3413=0,0,O3397/B3413)</f>
        <v/>
      </c>
      <c r="Q3397" t="n">
        <v>0</v>
      </c>
      <c r="R3397" t="n">
        <v>0</v>
      </c>
      <c r="S3397">
        <f>IFERROR(O3397/N3397,0)</f>
        <v/>
      </c>
      <c r="T3397" t="n">
        <v>0</v>
      </c>
      <c r="V3397" t="n">
        <v>0</v>
      </c>
    </row>
    <row r="3398">
      <c r="A3398">
        <f>Skills!A29</f>
        <v/>
      </c>
      <c r="B3398">
        <f>Skills!B29</f>
        <v/>
      </c>
      <c r="C3398">
        <f>Inputs!$B$3&gt;=120</f>
        <v/>
      </c>
      <c r="D3398">
        <f>IF(Skills!C29=1,60+Inputs!$B$25+Inputs!$B$29,IF(Skills!C29=2,90+Inputs!$B$26+Inputs!$B$29,IF(Skills!C29=3,120+Inputs!$B$27+Inputs!$B$29,MAX(0,(Inputs!$B$3-100)*3)+Inputs!$B$28+Inputs!$B$29)))</f>
        <v/>
      </c>
      <c r="E3398">
        <f>INDEX(FactorTable!$B$2:$Y$301, MATCH(ROUND(MIN(300,MAX(1,D3398)),0), FactorTable!$A$2:$A$301,0), Skills!M29+1)</f>
        <v/>
      </c>
      <c r="F3398">
        <f>IF(Skills!N29=TRUE,(Skills!L29/10)*(E3398/1000),Skills!L29/10)+Skills!O29</f>
        <v/>
      </c>
      <c r="G3398">
        <f>Calc!G29</f>
        <v/>
      </c>
      <c r="H3398">
        <f>Calc!H29</f>
        <v/>
      </c>
      <c r="I3398">
        <f>IF(Skills!AA29&lt;&gt;"",1+(Skills!AA29/10)*(U3372/1000)/100,1)</f>
        <v/>
      </c>
      <c r="J3398" t="inlineStr"/>
      <c r="K3398" t="inlineStr"/>
      <c r="L3398" t="inlineStr"/>
      <c r="M3398" t="inlineStr"/>
      <c r="N3398" t="inlineStr"/>
      <c r="O3398">
        <f>(1-Summary!$B$11)*T3398+Summary!$B$11*V3398</f>
        <v/>
      </c>
      <c r="P3398">
        <f>IF(B3413=0,0,O3398/B3413)</f>
        <v/>
      </c>
      <c r="Q3398" t="n">
        <v>0</v>
      </c>
      <c r="R3398" t="n">
        <v>0</v>
      </c>
      <c r="S3398">
        <f>IFERROR(O3398/N3398,0)</f>
        <v/>
      </c>
      <c r="T3398" t="n">
        <v>0</v>
      </c>
      <c r="V3398" t="n">
        <v>0</v>
      </c>
    </row>
    <row r="3399">
      <c r="A3399">
        <f>Skills!A30</f>
        <v/>
      </c>
      <c r="B3399">
        <f>Skills!B30</f>
        <v/>
      </c>
      <c r="C3399">
        <f>Inputs!$B$3&gt;=125</f>
        <v/>
      </c>
      <c r="D3399">
        <f>IF(Skills!C30=1,60+Inputs!$B$25+Inputs!$B$29,IF(Skills!C30=2,90+Inputs!$B$26+Inputs!$B$29,IF(Skills!C30=3,120+Inputs!$B$27+Inputs!$B$29,MAX(0,(Inputs!$B$3-100)*3)+Inputs!$B$28+Inputs!$B$29)))</f>
        <v/>
      </c>
      <c r="E3399">
        <f>INDEX(FactorTable!$B$2:$Y$301, MATCH(ROUND(MIN(300,MAX(1,D3399)),0), FactorTable!$A$2:$A$301,0), Skills!M30+1)</f>
        <v/>
      </c>
      <c r="F3399">
        <f>IF(Skills!N30=TRUE,(Skills!L30/10)*(E3399/1000),Skills!L30/10)+Skills!O30</f>
        <v/>
      </c>
      <c r="G3399">
        <f>Calc!G30</f>
        <v/>
      </c>
      <c r="H3399">
        <f>Calc!H30</f>
        <v/>
      </c>
      <c r="I3399">
        <f>IF(Skills!AA30&lt;&gt;"",1+(Skills!AA30/10)*(U3372/1000)/100,1)</f>
        <v/>
      </c>
      <c r="J3399" t="inlineStr"/>
      <c r="K3399" t="inlineStr"/>
      <c r="L3399" t="inlineStr"/>
      <c r="M3399" t="inlineStr"/>
      <c r="N3399" t="inlineStr"/>
      <c r="O3399">
        <f>(1-Summary!$B$11)*T3399+Summary!$B$11*V3399</f>
        <v/>
      </c>
      <c r="P3399">
        <f>IF(B3413=0,0,O3399/B3413)</f>
        <v/>
      </c>
      <c r="Q3399" t="n">
        <v>0</v>
      </c>
      <c r="R3399" t="n">
        <v>0</v>
      </c>
      <c r="S3399">
        <f>IFERROR(O3399/N3399,0)</f>
        <v/>
      </c>
      <c r="T3399" t="n">
        <v>0</v>
      </c>
      <c r="V3399" t="n">
        <v>0</v>
      </c>
    </row>
    <row r="3400">
      <c r="A3400">
        <f>Skills!A31</f>
        <v/>
      </c>
      <c r="B3400">
        <f>Skills!B31</f>
        <v/>
      </c>
      <c r="C3400">
        <f>Inputs!$B$3&gt;=107</f>
        <v/>
      </c>
      <c r="D3400">
        <f>IF(Skills!C31=1,60+Inputs!$B$25+Inputs!$B$29,IF(Skills!C31=2,90+Inputs!$B$26+Inputs!$B$29,IF(Skills!C31=3,120+Inputs!$B$27+Inputs!$B$29,MAX(0,(Inputs!$B$3-100)*3)+Inputs!$B$28+Inputs!$B$29)))</f>
        <v/>
      </c>
      <c r="E3400">
        <f>INDEX(FactorTable!$B$2:$Y$301, MATCH(ROUND(MIN(300,MAX(1,D3400)),0), FactorTable!$A$2:$A$301,0), Skills!M31+1)</f>
        <v/>
      </c>
      <c r="F3400">
        <f>IF(Skills!N31=TRUE,(Skills!L31/10)*(E3400/1000),Skills!L31/10)+Skills!O31</f>
        <v/>
      </c>
      <c r="G3400">
        <f>Calc!G31</f>
        <v/>
      </c>
      <c r="H3400">
        <f>Calc!H31</f>
        <v/>
      </c>
      <c r="I3400">
        <f>IF(Skills!AA31&lt;&gt;"",1+(Skills!AA31/10)*(U3372/1000)/100,1)</f>
        <v/>
      </c>
      <c r="J3400" t="inlineStr"/>
      <c r="K3400" t="inlineStr"/>
      <c r="L3400" t="inlineStr"/>
      <c r="M3400" t="inlineStr"/>
      <c r="N3400" t="inlineStr"/>
      <c r="O3400">
        <f>(1-Summary!$B$11)*T3400+Summary!$B$11*V3400</f>
        <v/>
      </c>
      <c r="P3400">
        <f>IF(B3413=0,0,O3400/B3413)</f>
        <v/>
      </c>
      <c r="Q3400" t="n">
        <v>0</v>
      </c>
      <c r="R3400" t="n">
        <v>0</v>
      </c>
      <c r="S3400">
        <f>IFERROR(O3400/N3400,0)</f>
        <v/>
      </c>
      <c r="T3400" t="n">
        <v>0</v>
      </c>
      <c r="V3400" t="n">
        <v>0</v>
      </c>
    </row>
    <row r="3402">
      <c r="A3402" t="inlineStr">
        <is>
          <t>Actions Per Second (pre-Adrenalin)</t>
        </is>
      </c>
      <c r="B3402">
        <f>1+MIN(150,150*(1-(1-(Inputs!$B$11+((C3391=TRUE)*(F3391-Calc!F22))+(ArtifactsInput!$M$15-ArtifactsInput!$M$15)*CHOOSE(ArtifactsInput!$N$15+1,8,9.6,11.2,12.8,14.4,16))/150)*(1-((C3388=TRUE)*F3388*IF(AND(Inputs!$B$39&lt;&gt;"pvp",Inputs!$B$44&gt;0),(((R3388-1)*(Skills!Y19*(1+Inputs!$B$34/100))+MIN((Skills!Y19*(1+Inputs!$B$34/100)),MAX(0,Inputs!$B$44-((R3388-1)*Skills!D19))))/Inputs!$B$44),IF(Inputs!$B$39="pvp",MIN((Skills!Y19*(1+Inputs!$B$34/100)),15)/15,(Skills!Y19*(1+Inputs!$B$34/100))/Skills!D19)))/150)))/100</f>
        <v/>
      </c>
    </row>
    <row r="3403">
      <c r="A3403" t="inlineStr">
        <is>
          <t>Alchemic Adrenaline Uptime</t>
        </is>
      </c>
      <c r="B3403">
        <f>(Skills!Y6*(1+Inputs!$B$34/100))/((Skills!Y6*(1+Inputs!$B$34/100))+(5/B3402))</f>
        <v/>
      </c>
    </row>
    <row r="3404">
      <c r="A3404" t="inlineStr">
        <is>
          <t>Attack Speed Buff Bonus %</t>
        </is>
      </c>
      <c r="B3404">
        <f>((C3388=TRUE)*F3388*IF(AND(Inputs!$B$39&lt;&gt;"pvp",Inputs!$B$44&gt;0),(((R3388-1)*(Skills!Y19*(1+Inputs!$B$34/100))+MIN((Skills!Y19*(1+Inputs!$B$34/100)),MAX(0,Inputs!$B$44-((R3388-1)*Skills!D19))))/Inputs!$B$44),IF(Inputs!$B$39="pvp",MIN((Skills!Y19*(1+Inputs!$B$34/100)),15)/15,(Skills!Y19*(1+Inputs!$B$34/100))/Skills!D19)))+((C3376=TRUE)*F3376*B3403)</f>
        <v/>
      </c>
    </row>
    <row r="3405">
      <c r="A3405" t="inlineStr">
        <is>
          <t>Actions Per Second (final)</t>
        </is>
      </c>
      <c r="B3405">
        <f>1+MIN(150,150*(1-(1-(Inputs!$B$11+((C3391=TRUE)*(F3391-Calc!F22))+(ArtifactsInput!$M$15-ArtifactsInput!$M$15)*CHOOSE(ArtifactsInput!$N$15+1,8,9.6,11.2,12.8,14.4,16))/150)*(1-B3404/150)))/100</f>
        <v/>
      </c>
    </row>
    <row r="3406">
      <c r="A3406" t="inlineStr">
        <is>
          <t>Skill + Buff Cast Rate</t>
        </is>
      </c>
      <c r="B3406">
        <f>IF(AND(Inputs!$B$39&lt;&gt;"pvp",Inputs!$B$44&gt;0),SUMPRODUCT((Skills!E2:E31=TRUE)*(C3371:C3400=TRUE)*R3371:R3400*Skills!F2:F31)/Inputs!$B$44,SUMPRODUCT((Skills!E2:E31=TRUE)*(C3371:C3400=TRUE)*Q3371:Q3400*Skills!F2:F31))</f>
        <v/>
      </c>
    </row>
    <row r="3407">
      <c r="A3407" t="inlineStr">
        <is>
          <t>Showdown Casts Per Second</t>
        </is>
      </c>
      <c r="B3407">
        <f>MAX(0,B3405-B3406)</f>
        <v/>
      </c>
    </row>
    <row r="3408">
      <c r="A3408" t="inlineStr">
        <is>
          <t>Average Buff Multiplier</t>
        </is>
      </c>
      <c r="B3408">
        <f>(1+(((C3390=TRUE)*F3390*IF(AND(Inputs!$B$39&lt;&gt;"pvp",Inputs!$B$44&gt;0),(((R3390-1)*(Skills!Y21*(1+Inputs!$B$34/100))+MIN((Skills!Y21*(1+Inputs!$B$34/100)),MAX(0,Inputs!$B$44-((R3390-1)*Skills!D21))))/Inputs!$B$44),IF(Inputs!$B$39="pvp",MIN((Skills!Y21*(1+Inputs!$B$34/100)),15)/15,(Skills!Y21*(1+Inputs!$B$34/100))/Skills!D21)))+((C3397=TRUE)*(F3397-Calc!F28))+((C3387=TRUE)*(F3387-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3384=TRUE)*F3384*IF(AND(Inputs!$B$39&lt;&gt;"pvp",Inputs!$B$44&gt;0),(((R3384-1)*(Skills!Y15*(1+Inputs!$B$34/100))+MIN((Skills!Y15*(1+Inputs!$B$34/100)),MAX(0,Inputs!$B$44-((R3384-1)*Skills!D15))))/Inputs!$B$44),IF(Inputs!$B$39="pvp",MIN((Skills!Y15*(1+Inputs!$B$34/100)),15)/15,(Skills!Y15*(1+Inputs!$B$34/100))/Skills!D15)))/100)*(1+((C3375=TRUE)*F3375*B3403)/100)</f>
        <v/>
      </c>
    </row>
    <row r="3409">
      <c r="A3409" t="inlineStr">
        <is>
          <t>Global Crit Rate Bonus %</t>
        </is>
      </c>
      <c r="B3409">
        <f>IF(Inputs!$B$3&gt;=47,8,0)+((C3389=TRUE)*F3389*IF(AND(Inputs!$B$39&lt;&gt;"pvp",Inputs!$B$44&gt;0),(((R3389-1)*(Skills!Y20*(1+Inputs!$B$34/100))+MIN((Skills!Y20*(1+Inputs!$B$34/100)),MAX(0,Inputs!$B$44-((R3389-1)*Skills!D20))))/Inputs!$B$44),IF(Inputs!$B$39="pvp",MIN((Skills!Y20*(1+Inputs!$B$34/100)),15)/15,(Skills!Y20*(1+Inputs!$B$34/100))/Skills!D20)))</f>
        <v/>
      </c>
    </row>
    <row r="3410">
      <c r="A3410" t="inlineStr">
        <is>
          <t>Global Monster Damage-Taken Bonus %</t>
        </is>
      </c>
      <c r="B3410">
        <f>IF(Inputs!$B$3&gt;=82,15,0)+((C3385=TRUE)*F3385*IF(AND(Inputs!$B$39&lt;&gt;"pvp",Inputs!$B$44&gt;0),(((R3385-1)*(Skills!Y16*(1+Inputs!$B$34/100))+MIN((Skills!Y16*(1+Inputs!$B$34/100)),MAX(0,Inputs!$B$44-((R3385-1)*Skills!D16))))/Inputs!$B$44),IF(Inputs!$B$39="pvp",MIN((Skills!Y16*(1+Inputs!$B$34/100)),15)/15,(Skills!Y16*(1+Inputs!$B$34/100))/Skills!D16)))</f>
        <v/>
      </c>
    </row>
    <row r="3411">
      <c r="A3411" t="inlineStr">
        <is>
          <t>Shadow Partner Average Multiplier</t>
        </is>
      </c>
      <c r="B3411">
        <f>1+((C3380=TRUE)*F3380*I3380*Skills!J11/100)/100</f>
        <v/>
      </c>
    </row>
    <row r="3412">
      <c r="A3412" t="inlineStr">
        <is>
          <t>Global Critical Damage Bonus % (Frailty Curse Mastery Lv.111)</t>
        </is>
      </c>
      <c r="B3412">
        <f>IF(Inputs!$B$3&gt;=111,30,0)*IF(AND(Inputs!$B$39&lt;&gt;"pvp",Inputs!$B$44&gt;0),(((R3385-1)*(Skills!Y16*(1+Inputs!$B$34/100))+MIN((Skills!Y16*(1+Inputs!$B$34/100)),MAX(0,Inputs!$B$44-((R3385-1)*Skills!D16))))/Inputs!$B$44),IF(Inputs!$B$39="pvp",MIN((Skills!Y16*(1+Inputs!$B$34/100)),15)/15,(Skills!Y16*(1+Inputs!$B$34/100))/Skills!D16))</f>
        <v/>
      </c>
    </row>
    <row r="3413">
      <c r="A3413" s="6" t="inlineStr">
        <is>
          <t>TOTAL DPS</t>
        </is>
      </c>
      <c r="B3413" s="6">
        <f>SUM(O3371:O3400)</f>
        <v/>
      </c>
    </row>
    <row r="3414">
      <c r="A3414" t="inlineStr">
        <is>
          <t>Buff-Casting Startup Delay (s, fixed-duration only)</t>
        </is>
      </c>
      <c r="B3414">
        <f>IF(AND(Inputs!$B$39&lt;&gt;"pvp",Inputs!$B$44&gt;0),SUMPRODUCT((Skills!Y2:Y31&gt;0)*(Skills!E2:E31=TRUE)*(C3371:C3400=TRUE))/B3405,0)</f>
        <v/>
      </c>
    </row>
    <row r="3415">
      <c r="A3415" t="inlineStr">
        <is>
          <t>Boss-Only Total DPS (this block's swept value)</t>
        </is>
      </c>
      <c r="B3415">
        <f>SUM(T3371:T3400)</f>
        <v/>
      </c>
    </row>
    <row r="3416">
      <c r="A3416" t="inlineStr">
        <is>
          <t>Normal-Only Total DPS (this block's swept value)</t>
        </is>
      </c>
      <c r="B3416">
        <f>SUM(V3371:V3400)</f>
        <v/>
      </c>
    </row>
    <row r="3418">
      <c r="A3418" s="6" t="inlineStr">
        <is>
          <t>Stat: CDR = 3.0s</t>
        </is>
      </c>
    </row>
    <row r="3419">
      <c r="A3419" s="5" t="inlineStr">
        <is>
          <t>Key</t>
        </is>
      </c>
      <c r="B3419" s="5" t="inlineStr">
        <is>
          <t>Name</t>
        </is>
      </c>
      <c r="C3419" s="5" t="inlineStr">
        <is>
          <t>Unlocked</t>
        </is>
      </c>
      <c r="D3419" s="5" t="inlineStr">
        <is>
          <t>InputLevel</t>
        </is>
      </c>
      <c r="E3419" s="5" t="inlineStr">
        <is>
          <t>Factor</t>
        </is>
      </c>
      <c r="F3419" s="5" t="inlineStr">
        <is>
          <t>CoefficientPercent</t>
        </is>
      </c>
      <c r="G3419" s="5" t="inlineStr">
        <is>
          <t>EffectiveHits</t>
        </is>
      </c>
      <c r="H3419" s="5" t="inlineStr">
        <is>
          <t>ProcProbability</t>
        </is>
      </c>
      <c r="I3419" s="5" t="inlineStr">
        <is>
          <t>MapleHeroMultiplier</t>
        </is>
      </c>
      <c r="J3419" s="5" t="inlineStr">
        <is>
          <t>BaseDamage</t>
        </is>
      </c>
      <c r="K3419" s="5" t="inlineStr">
        <is>
          <t>BaseHitDamage</t>
        </is>
      </c>
      <c r="L3419" s="5" t="inlineStr">
        <is>
          <t>NonCritAvg</t>
        </is>
      </c>
      <c r="M3419" s="5" t="inlineStr">
        <is>
          <t>CritAvg</t>
        </is>
      </c>
      <c r="N3419" s="5" t="inlineStr">
        <is>
          <t>ExpectedDamage(perHit)</t>
        </is>
      </c>
      <c r="O3419" s="5" t="inlineStr">
        <is>
          <t>DPS</t>
        </is>
      </c>
      <c r="P3419" s="5" t="inlineStr">
        <is>
          <t>% of Total</t>
        </is>
      </c>
      <c r="Q3419" s="5" t="inlineStr">
        <is>
          <t>InvCooldown</t>
        </is>
      </c>
      <c r="R3419" s="5" t="inlineStr">
        <is>
          <t>CastsInFight</t>
        </is>
      </c>
      <c r="S3419" s="5" t="inlineStr">
        <is>
          <t>HitRate(perSec)</t>
        </is>
      </c>
      <c r="U3419" t="inlineStr">
        <is>
          <t>helpers</t>
        </is>
      </c>
    </row>
    <row r="3420">
      <c r="A3420">
        <f>Skills!A2</f>
        <v/>
      </c>
      <c r="B3420">
        <f>Skills!B2</f>
        <v/>
      </c>
      <c r="C3420">
        <f>Inputs!$B$3&gt;=100</f>
        <v/>
      </c>
      <c r="D3420" t="inlineStr"/>
      <c r="E3420" t="inlineStr"/>
      <c r="F3420">
        <f>U3424+Skills!O2</f>
        <v/>
      </c>
      <c r="G3420">
        <f>Calc!G2</f>
        <v/>
      </c>
      <c r="H3420">
        <f>Calc!H2</f>
        <v/>
      </c>
      <c r="I3420">
        <f>IF(Skills!AA2&lt;&gt;"",1+(Skills!AA2/10)*(U3421/1000)/100,1)</f>
        <v/>
      </c>
      <c r="J3420">
        <f>((Inputs!$B$6*(1+Inputs!$B$7/100))+(((Inputs!$B$12*(1+Inputs!$B$13/100))-(Inputs!$B$12*(1+Inputs!$B$13/100)))+0.25*(Inputs!$B$14-Inputs!$B$14))*(1+Inputs!$B$7/100))*(F3420/100)</f>
        <v/>
      </c>
      <c r="K3420">
        <f>J3420*(1+((Inputs!$B$12*(1+Inputs!$B$13/100))*0.01+Inputs!$B$14*0.0025)/100)*(1+Inputs!$B$15/100)*(1+Inputs!$B$16/100)*(5000/(6000+Inputs!$B$43*(1-(100*(1-(1-(Inputs!$B$19+0)/100)*(1-CHOOSE(ArtifactsInput!$N$40+1,5,6,7,8,9,10)/100)^(ArtifactsInput!$M$40-ArtifactsInput!$M$40)))/100)))*(1+(Inputs!$B$24+((C3448=TRUE)*(F3448-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3441=TRUE)*(F3441-Calc!F23))+(((IF(AND(ArtifactsInput!$M$42,((Inputs!$B$9+((C3443=TRUE)*(F3443-Calc!F25))+B3458+(ArtifactsInput!$M$24-ArtifactsInput!$M$24)*CHOOSE(ArtifactsInput!$N$24+1,10,12,14,16,18,20)+IF(ArtifactsInput!$M$10,CHOOSE(ArtifactsInput!$N$10+1,15,18,21,24,27,30)*(IF(Inputs!$B$39="pvp",MIN(15,15)/15,IF(AND(Inputs!$B$39&lt;&gt;"pvp",Inputs!$B$44&gt;0),MIN(15,Inputs!$B$44)/(Inputs!$B$44),0))),0)))&gt;=100),MIN(100,((Inputs!$B$9+((C3443=TRUE)*(F3443-Calc!F25))+B3458+(ArtifactsInput!$M$24-ArtifactsInput!$M$24)*CHOOSE(ArtifactsInput!$N$24+1,10,12,14,16,18,20)+IF(ArtifactsInput!$M$10,CHOOSE(ArtifactsInput!$N$10+1,15,18,21,24,27,30)*(IF(Inputs!$B$39="pvp",MIN(15,15)/15,IF(AND(Inputs!$B$39&lt;&gt;"pvp",Inputs!$B$44&gt;0),MIN(15,Inputs!$B$44)/(Inputs!$B$44),0))),0)))-100),0))*CHOOSE(ArtifactsInput!$N$42+1,0.6,0.72,0.84,0.96,1.08,1.2))),Inputs!$B$18+((C3447=TRUE)*(F3447-Calc!F29))+(IF(AND(ArtifactsInput!$M$42,((Inputs!$B$9+((C3443=TRUE)*(F3443-Calc!F25))+B3458+(ArtifactsInput!$M$24-ArtifactsInput!$M$24)*CHOOSE(ArtifactsInput!$N$24+1,10,12,14,16,18,20)+IF(ArtifactsInput!$M$10,CHOOSE(ArtifactsInput!$N$10+1,15,18,21,24,27,30)*(IF(Inputs!$B$39="pvp",MIN(15,15)/15,IF(AND(Inputs!$B$39&lt;&gt;"pvp",Inputs!$B$44&gt;0),MIN(15,Inputs!$B$44)/(Inputs!$B$44),0))),0)))&gt;=100),CHOOSE(ArtifactsInput!$N$42+1,40,48,56,64,72,80),0))))/100)*(((1+(((C3439=TRUE)*F3439*IF(AND(Inputs!$B$39&lt;&gt;"pvp",Inputs!$B$44&gt;0),(((R3439-1)*(Skills!Y21*(1+Inputs!$B$34/100))+MIN((Skills!Y21*(1+Inputs!$B$34/100)),MAX(0,Inputs!$B$44-((R3439-1)*Skills!D21))))/Inputs!$B$44),IF(Inputs!$B$39="pvp",MIN((Skills!Y21*(1+Inputs!$B$34/100)),15)/15,(Skills!Y21*(1+Inputs!$B$34/100))/Skills!D21)))+((C3446=TRUE)*(F3446-Calc!F28))+((C3436=TRUE)*(F3436-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3433=TRUE)*F3433*IF(AND(Inputs!$B$39&lt;&gt;"pvp",Inputs!$B$44&gt;0),(((R3433-1)*(Skills!Y15*(1+Inputs!$B$34/100))+MIN((Skills!Y15*(1+Inputs!$B$34/100)),MAX(0,Inputs!$B$44-((R3433-1)*Skills!D15))))/Inputs!$B$44),IF(Inputs!$B$39="pvp",MIN((Skills!Y15*(1+Inputs!$B$34/100)),15)/15,(Skills!Y15*(1+Inputs!$B$34/100))/Skills!D15)))/100)*(1+((C3424=TRUE)*F3424*B3452)/100))*B3460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3420)</f>
        <v/>
      </c>
      <c r="L3420">
        <f>K3420*(MIN(Inputs!$B$22+((C3442=TRUE)*(F3442-Calc!F24)),(Inputs!$B$23+0+(IF(ArtifactsInput!$M$15,CHOOSE(ArtifactsInput!$N$15+1,25,30,35,40,45,50)/100*(Inputs!$B$11-Inputs!$B$11),0))))/100+(Inputs!$B$23+0+(IF(ArtifactsInput!$M$15,CHOOSE(ArtifactsInput!$N$15+1,25,30,35,40,45,50)/100*(Inputs!$B$11-Inputs!$B$11),0)))/100)/2</f>
        <v/>
      </c>
      <c r="M3420">
        <f>L3420*(1+(Inputs!$B$10+((C3444=TRUE)*(F3444-Calc!F26))+B3461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20">
        <f>L3420*(1-MIN((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3420*(MIN((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20">
        <f>(1-Summary!$B$11)*T3420+Summary!$B$11*V3420</f>
        <v/>
      </c>
      <c r="P3420">
        <f>IF(B3462=0,0,O3420/B3462)</f>
        <v/>
      </c>
      <c r="Q3420" t="n">
        <v>0</v>
      </c>
      <c r="R3420" t="n">
        <v>0</v>
      </c>
      <c r="S3420">
        <f>IFERROR(O3420/N3420,0)</f>
        <v/>
      </c>
      <c r="T3420">
        <f>IF(C3420,(Skills!G2*N3420*B3456)*IF(Inputs!$B$39="pvp",1,1+(Inputs!$B$20+((C3445=TRUE)*(F3445-Calc!F27))+Skills!P2+B3459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Hunt"),CHOOSE(ArtifactsInput!$N$35+1,15,18,21,24,27,30)*(1-EXP(-(0.2*B3454)*5)),0)+IF(AND(ArtifactsInput!$M$22,Inputs!$B$4&lt;&gt;"Chapter Hunt"),CHOOSE(ArtifactsInput!$N$22+1,10,12,14,16,18,20)*((0*(((0.15*B3454*5))^0/1)+1*(((0.15*B3454*5))^1/1)+2*(((0.15*B3454*5))^2/2)+3*(((0.15*B3454*5))^3/6)+4*(((0.15*B3454*5))^4/24)+5*(((0.15*B3454*5))^5/120))/((((0.15*B3454*5))^0/1)+(((0.15*B3454*5))^1/1)+(((0.15*B3454*5))^2/2)+(((0.15*B3454*5))^3/6)+(((0.15*B3454*5))^4/24)+(((0.15*B3454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3420*(1-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3420*(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3420*(1-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3420*(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420">
        <f>MAX(0,(Inputs!$B$3-100)*3)+Inputs!$B$28+Inputs!$B$29</f>
        <v/>
      </c>
      <c r="V3420">
        <f>IF(C3420,(Skills!G2*N3420*B3456)*IF(Inputs!$B$39="pvp",1,(1+(Inputs!$B$21+Skills!Q2+B3459+(IF(ArtifactsInput!$M$33,CHOOSE(ArtifactsInput!$N$33+1,30,36,42,48,54,60),0))+(IF(AND(ArtifactsInput!$M$35,Inputs!$B$4&lt;&gt;"Chapter Hunt"),CHOOSE(ArtifactsInput!$N$35+1,15,18,21,24,27,30)*(1-EXP(-(0.2*B3454)*5)),0)+IF(AND(ArtifactsInput!$M$22,Inputs!$B$4&lt;&gt;"Chapter Hunt"),CHOOSE(ArtifactsInput!$N$22+1,10,12,14,16,18,20)*((0*(((0.15*B3454*5))^0/1)+1*(((0.15*B3454*5))^1/1)+2*(((0.15*B3454*5))^2/2)+3*(((0.15*B3454*5))^3/6)+4*(((0.15*B3454*5))^4/24)+5*(((0.15*B3454*5))^5/120))/((((0.15*B3454*5))^0/1)+(((0.15*B3454*5))^1/1)+(((0.15*B3454*5))^2/2)+(((0.15*B3454*5))^3/6)+(((0.15*B3454*5))^4/24)+(((0.15*B3454*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21">
      <c r="A3421">
        <f>Skills!A3</f>
        <v/>
      </c>
      <c r="B3421">
        <f>Skills!B3</f>
        <v/>
      </c>
      <c r="C3421">
        <f>Inputs!$B$3&gt;=35</f>
        <v/>
      </c>
      <c r="D3421">
        <f>IF(Skills!C3=1,60+Inputs!$B$25+Inputs!$B$29,IF(Skills!C3=2,90+Inputs!$B$26+Inputs!$B$29,IF(Skills!C3=3,120+Inputs!$B$27+Inputs!$B$29,MAX(0,(Inputs!$B$3-100)*3)+Inputs!$B$28+Inputs!$B$29)))</f>
        <v/>
      </c>
      <c r="E3421">
        <f>INDEX(FactorTable!$B$2:$Y$301, MATCH(ROUND(MIN(300,MAX(1,D3421)),0), FactorTable!$A$2:$A$301,0), Skills!M3+1)</f>
        <v/>
      </c>
      <c r="F3421">
        <f>IF(Skills!N3=TRUE,(Skills!L3/10)*(E3421/1000),Skills!L3/10)+Skills!O3</f>
        <v/>
      </c>
      <c r="G3421">
        <f>Calc!G3</f>
        <v/>
      </c>
      <c r="H3421">
        <f>Calc!H3</f>
        <v/>
      </c>
      <c r="I3421">
        <f>IF(Skills!AA3&lt;&gt;"",1+(Skills!AA3/10)*(U3421/1000)/100,1)</f>
        <v/>
      </c>
      <c r="J3421">
        <f>((Inputs!$B$6*(1+Inputs!$B$7/100))+(((Inputs!$B$12*(1+Inputs!$B$13/100))-(Inputs!$B$12*(1+Inputs!$B$13/100)))+0.25*(Inputs!$B$14-Inputs!$B$14))*(1+Inputs!$B$7/100))*(F3421/100)</f>
        <v/>
      </c>
      <c r="K3421">
        <f>J3421*(1+((Inputs!$B$12*(1+Inputs!$B$13/100))*0.01+Inputs!$B$14*0.0025)/100)*(1+Inputs!$B$15/100)*(1+Inputs!$B$16/100)*(5000/(6000+Inputs!$B$43*(1-(100*(1-(1-(Inputs!$B$19+0)/100)*(1-CHOOSE(ArtifactsInput!$N$40+1,5,6,7,8,9,10)/100)^(ArtifactsInput!$M$40-ArtifactsInput!$M$40)))/100)))*(1+(Inputs!$B$24+((C3448=TRUE)*(F3448-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3441=TRUE)*(F3441-Calc!F23))+(((IF(AND(ArtifactsInput!$M$42,((Inputs!$B$9+((C3443=TRUE)*(F3443-Calc!F25))+B3458+(ArtifactsInput!$M$24-ArtifactsInput!$M$24)*CHOOSE(ArtifactsInput!$N$24+1,10,12,14,16,18,20)+IF(ArtifactsInput!$M$10,CHOOSE(ArtifactsInput!$N$10+1,15,18,21,24,27,30)*(IF(Inputs!$B$39="pvp",MIN(15,15)/15,IF(AND(Inputs!$B$39&lt;&gt;"pvp",Inputs!$B$44&gt;0),MIN(15,Inputs!$B$44)/(Inputs!$B$44),0))),0)))&gt;=100),MIN(100,((Inputs!$B$9+((C3443=TRUE)*(F3443-Calc!F25))+B3458+(ArtifactsInput!$M$24-ArtifactsInput!$M$24)*CHOOSE(ArtifactsInput!$N$24+1,10,12,14,16,18,20)+IF(ArtifactsInput!$M$10,CHOOSE(ArtifactsInput!$N$10+1,15,18,21,24,27,30)*(IF(Inputs!$B$39="pvp",MIN(15,15)/15,IF(AND(Inputs!$B$39&lt;&gt;"pvp",Inputs!$B$44&gt;0),MIN(15,Inputs!$B$44)/(Inputs!$B$44),0))),0)))-100),0))*CHOOSE(ArtifactsInput!$N$42+1,0.6,0.72,0.84,0.96,1.08,1.2))),Inputs!$B$18+((C3447=TRUE)*(F3447-Calc!F29))+(IF(AND(ArtifactsInput!$M$42,((Inputs!$B$9+((C3443=TRUE)*(F3443-Calc!F25))+B3458+(ArtifactsInput!$M$24-ArtifactsInput!$M$24)*CHOOSE(ArtifactsInput!$N$24+1,10,12,14,16,18,20)+IF(ArtifactsInput!$M$10,CHOOSE(ArtifactsInput!$N$10+1,15,18,21,24,27,30)*(IF(Inputs!$B$39="pvp",MIN(15,15)/15,IF(AND(Inputs!$B$39&lt;&gt;"pvp",Inputs!$B$44&gt;0),MIN(15,Inputs!$B$44)/(Inputs!$B$44),0))),0)))&gt;=100),CHOOSE(ArtifactsInput!$N$42+1,40,48,56,64,72,80),0))))/100)*(((1+(((C3439=TRUE)*F3439*IF(AND(Inputs!$B$39&lt;&gt;"pvp",Inputs!$B$44&gt;0),(((R3439-1)*(Skills!Y21*(1+Inputs!$B$34/100))+MIN((Skills!Y21*(1+Inputs!$B$34/100)),MAX(0,Inputs!$B$44-((R3439-1)*Skills!D21))))/Inputs!$B$44),IF(Inputs!$B$39="pvp",MIN((Skills!Y21*(1+Inputs!$B$34/100)),15)/15,(Skills!Y21*(1+Inputs!$B$34/100))/Skills!D21)))+((C3446=TRUE)*(F3446-Calc!F28))+((C3436=TRUE)*(F3436-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3433=TRUE)*F3433*IF(AND(Inputs!$B$39&lt;&gt;"pvp",Inputs!$B$44&gt;0),(((R3433-1)*(Skills!Y15*(1+Inputs!$B$34/100))+MIN((Skills!Y15*(1+Inputs!$B$34/100)),MAX(0,Inputs!$B$44-((R3433-1)*Skills!D15))))/Inputs!$B$44),IF(Inputs!$B$39="pvp",MIN((Skills!Y15*(1+Inputs!$B$34/100)),15)/15,(Skills!Y15*(1+Inputs!$B$34/100))/Skills!D15)))/100)*(1+((C3424=TRUE)*F3424*B3452)/100))*B3460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3421)</f>
        <v/>
      </c>
      <c r="L3421">
        <f>K3421*(MIN(Inputs!$B$22+((C3442=TRUE)*(F3442-Calc!F24)),(Inputs!$B$23+0+(IF(ArtifactsInput!$M$15,CHOOSE(ArtifactsInput!$N$15+1,25,30,35,40,45,50)/100*(Inputs!$B$11-Inputs!$B$11),0))))/100+(Inputs!$B$23+0+(IF(ArtifactsInput!$M$15,CHOOSE(ArtifactsInput!$N$15+1,25,30,35,40,45,50)/100*(Inputs!$B$11-Inputs!$B$11),0)))/100)/2</f>
        <v/>
      </c>
      <c r="M3421">
        <f>L3421*(1+(Inputs!$B$10+((C3444=TRUE)*(F3444-Calc!F26))+B3461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21">
        <f>L3421*(1-MIN((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3421*(MIN((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21">
        <f>(1-Summary!$B$11)*T3421+Summary!$B$11*V3421</f>
        <v/>
      </c>
      <c r="P3421">
        <f>IF(B3462=0,0,O3421/B3462)</f>
        <v/>
      </c>
      <c r="Q3421">
        <f>IFERROR(1/IF(Inputs!$B$39="pvp",15,MAX(0.1,Skills!D3-IF(Skills!E3=TRUE,3.0,0))),0)</f>
        <v/>
      </c>
      <c r="R3421">
        <f>IF(AND(Inputs!$B$39&lt;&gt;"pvp",Inputs!$B$44&gt;0),IF(MAX(0,Inputs!$B$44-B3463)&lt;=0,0,(INT(MAX(0,Inputs!$B$44-B3463)/IF(Inputs!$B$39="pvp",15,MAX(0.1,Skills!D3-IF(Skills!E3=TRUE,3.0,0))))+1)),0)</f>
        <v/>
      </c>
      <c r="S3421">
        <f>IFERROR(O3421/N3421,0)</f>
        <v/>
      </c>
      <c r="T3421">
        <f>IF(C3421,(H3421*N3421*IF(AND(Inputs!$B$39&lt;&gt;"pvp",Inputs!$B$44&gt;0),((Skills!G3*((R3421-1)*IF(Skills!H3&gt;0,Skills!I3/Skills!H3,1)+IF(Skills!H3&gt;0,MIN(Skills!I3,MAX(0,MAX(0,Inputs!$B$44-B3463)-((R3421-1)*IF(Inputs!$B$39="pvp",15,MAX(0.1,Skills!D3-IF(Skills!E3=TRUE,3.0,0))))))/Skills!H3,1)))/Inputs!$B$44),G3421*Q3421))*IF(Inputs!$B$39="pvp",1,1+(Inputs!$B$20+((C3445=TRUE)*(F3445-Calc!F27))+Skills!P3+B3459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Hunt"),CHOOSE(ArtifactsInput!$N$35+1,15,18,21,24,27,30)*(1-EXP(-(0.2*B3454)*5)),0)+IF(AND(ArtifactsInput!$M$22,Inputs!$B$4&lt;&gt;"Chapter Hunt"),CHOOSE(ArtifactsInput!$N$22+1,10,12,14,16,18,20)*((0*(((0.15*B3454*5))^0/1)+1*(((0.15*B3454*5))^1/1)+2*(((0.15*B3454*5))^2/2)+3*(((0.15*B3454*5))^3/6)+4*(((0.15*B3454*5))^4/24)+5*(((0.15*B3454*5))^5/120))/((((0.15*B3454*5))^0/1)+(((0.15*B3454*5))^1/1)+(((0.15*B3454*5))^2/2)+(((0.15*B3454*5))^3/6)+(((0.15*B3454*5))^4/24)+(((0.15*B3454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3421*(1-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3421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3421*(1-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3421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421">
        <f>INDEX(FactorTable!$B$2:$Y$301, MATCH(ROUND(MIN(300,MAX(1,U3420)),0), FactorTable!$A$2:$A$301,0), 24)</f>
        <v/>
      </c>
      <c r="V3421">
        <f>IF(C3421,(H3421*N3421*IF(AND(Inputs!$B$39&lt;&gt;"pvp",Inputs!$B$44&gt;0),((Skills!G3*((R3421-1)*IF(Skills!H3&gt;0,Skills!I3/Skills!H3,1)+IF(Skills!H3&gt;0,MIN(Skills!I3,MAX(0,MAX(0,Inputs!$B$44-B3463)-((R3421-1)*IF(Inputs!$B$39="pvp",15,MAX(0.1,Skills!D3-IF(Skills!E3=TRUE,3.0,0))))))/Skills!H3,1)))/Inputs!$B$44),G3421*Q3421))*IF(Inputs!$B$39="pvp",1,(1+(Inputs!$B$21+Skills!Q3+B3459+(IF(ArtifactsInput!$M$33,CHOOSE(ArtifactsInput!$N$33+1,30,36,42,48,54,60),0))+(IF(AND(ArtifactsInput!$M$35,Inputs!$B$4&lt;&gt;"Chapter Hunt"),CHOOSE(ArtifactsInput!$N$35+1,15,18,21,24,27,30)*(1-EXP(-(0.2*B3454)*5)),0)+IF(AND(ArtifactsInput!$M$22,Inputs!$B$4&lt;&gt;"Chapter Hunt"),CHOOSE(ArtifactsInput!$N$22+1,10,12,14,16,18,20)*((0*(((0.15*B3454*5))^0/1)+1*(((0.15*B3454*5))^1/1)+2*(((0.15*B3454*5))^2/2)+3*(((0.15*B3454*5))^3/6)+4*(((0.15*B3454*5))^4/24)+5*(((0.15*B3454*5))^5/120))/((((0.15*B3454*5))^0/1)+(((0.15*B3454*5))^1/1)+(((0.15*B3454*5))^2/2)+(((0.15*B3454*5))^3/6)+(((0.15*B3454*5))^4/24)+(((0.15*B3454*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22">
      <c r="A3422">
        <f>Skills!A4</f>
        <v/>
      </c>
      <c r="B3422">
        <f>Skills!B4</f>
        <v/>
      </c>
      <c r="C3422">
        <f>Inputs!$B$3&gt;=40</f>
        <v/>
      </c>
      <c r="D3422">
        <f>IF(Skills!C4=1,60+Inputs!$B$25+Inputs!$B$29,IF(Skills!C4=2,90+Inputs!$B$26+Inputs!$B$29,IF(Skills!C4=3,120+Inputs!$B$27+Inputs!$B$29,MAX(0,(Inputs!$B$3-100)*3)+Inputs!$B$28+Inputs!$B$29)))</f>
        <v/>
      </c>
      <c r="E3422">
        <f>INDEX(FactorTable!$B$2:$Y$301, MATCH(ROUND(MIN(300,MAX(1,D3422)),0), FactorTable!$A$2:$A$301,0), Skills!M4+1)</f>
        <v/>
      </c>
      <c r="F3422">
        <f>IF(Skills!N4=TRUE,(Skills!L4/10)*(E3422/1000),Skills!L4/10)+Skills!O4</f>
        <v/>
      </c>
      <c r="G3422">
        <f>Calc!G4</f>
        <v/>
      </c>
      <c r="H3422">
        <f>Calc!H4</f>
        <v/>
      </c>
      <c r="I3422">
        <f>IF(Skills!AA4&lt;&gt;"",1+(Skills!AA4/10)*(U3421/1000)/100,1)</f>
        <v/>
      </c>
      <c r="J3422">
        <f>((Inputs!$B$6*(1+Inputs!$B$7/100))+(((Inputs!$B$12*(1+Inputs!$B$13/100))-(Inputs!$B$12*(1+Inputs!$B$13/100)))+0.25*(Inputs!$B$14-Inputs!$B$14))*(1+Inputs!$B$7/100))*(F3422/100)</f>
        <v/>
      </c>
      <c r="K3422">
        <f>J3422*(1+((Inputs!$B$12*(1+Inputs!$B$13/100))*0.01+Inputs!$B$14*0.0025)/100)*(1+Inputs!$B$15/100)*(1+Inputs!$B$16/100)*(5000/(6000+Inputs!$B$43*(1-(100*(1-(1-(Inputs!$B$19+0)/100)*(1-CHOOSE(ArtifactsInput!$N$40+1,5,6,7,8,9,10)/100)^(ArtifactsInput!$M$40-ArtifactsInput!$M$40)))/100)))*(1+(Inputs!$B$24+((C3448=TRUE)*(F3448-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3441=TRUE)*(F3441-Calc!F23))+(((IF(AND(ArtifactsInput!$M$42,((Inputs!$B$9+((C3443=TRUE)*(F3443-Calc!F25))+B3458+(ArtifactsInput!$M$24-ArtifactsInput!$M$24)*CHOOSE(ArtifactsInput!$N$24+1,10,12,14,16,18,20)+IF(ArtifactsInput!$M$10,CHOOSE(ArtifactsInput!$N$10+1,15,18,21,24,27,30)*(IF(Inputs!$B$39="pvp",MIN(15,15)/15,IF(AND(Inputs!$B$39&lt;&gt;"pvp",Inputs!$B$44&gt;0),MIN(15,Inputs!$B$44)/(Inputs!$B$44),0))),0)))&gt;=100),MIN(100,((Inputs!$B$9+((C3443=TRUE)*(F3443-Calc!F25))+B3458+(ArtifactsInput!$M$24-ArtifactsInput!$M$24)*CHOOSE(ArtifactsInput!$N$24+1,10,12,14,16,18,20)+IF(ArtifactsInput!$M$10,CHOOSE(ArtifactsInput!$N$10+1,15,18,21,24,27,30)*(IF(Inputs!$B$39="pvp",MIN(15,15)/15,IF(AND(Inputs!$B$39&lt;&gt;"pvp",Inputs!$B$44&gt;0),MIN(15,Inputs!$B$44)/(Inputs!$B$44),0))),0)))-100),0))*CHOOSE(ArtifactsInput!$N$42+1,0.6,0.72,0.84,0.96,1.08,1.2))),Inputs!$B$18+((C3447=TRUE)*(F3447-Calc!F29))+(IF(AND(ArtifactsInput!$M$42,((Inputs!$B$9+((C3443=TRUE)*(F3443-Calc!F25))+B3458+(ArtifactsInput!$M$24-ArtifactsInput!$M$24)*CHOOSE(ArtifactsInput!$N$24+1,10,12,14,16,18,20)+IF(ArtifactsInput!$M$10,CHOOSE(ArtifactsInput!$N$10+1,15,18,21,24,27,30)*(IF(Inputs!$B$39="pvp",MIN(15,15)/15,IF(AND(Inputs!$B$39&lt;&gt;"pvp",Inputs!$B$44&gt;0),MIN(15,Inputs!$B$44)/(Inputs!$B$44),0))),0)))&gt;=100),CHOOSE(ArtifactsInput!$N$42+1,40,48,56,64,72,80),0))))/100)*(((1+(((C3439=TRUE)*F3439*IF(AND(Inputs!$B$39&lt;&gt;"pvp",Inputs!$B$44&gt;0),(((R3439-1)*(Skills!Y21*(1+Inputs!$B$34/100))+MIN((Skills!Y21*(1+Inputs!$B$34/100)),MAX(0,Inputs!$B$44-((R3439-1)*Skills!D21))))/Inputs!$B$44),IF(Inputs!$B$39="pvp",MIN((Skills!Y21*(1+Inputs!$B$34/100)),15)/15,(Skills!Y21*(1+Inputs!$B$34/100))/Skills!D21)))+((C3446=TRUE)*(F3446-Calc!F28))+((C3436=TRUE)*(F3436-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3433=TRUE)*F3433*IF(AND(Inputs!$B$39&lt;&gt;"pvp",Inputs!$B$44&gt;0),(((R3433-1)*(Skills!Y15*(1+Inputs!$B$34/100))+MIN((Skills!Y15*(1+Inputs!$B$34/100)),MAX(0,Inputs!$B$44-((R3433-1)*Skills!D15))))/Inputs!$B$44),IF(Inputs!$B$39="pvp",MIN((Skills!Y15*(1+Inputs!$B$34/100)),15)/15,(Skills!Y15*(1+Inputs!$B$34/100))/Skills!D15)))/100)*(1+((C3424=TRUE)*F3424*B3452)/100))*B3460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3422)</f>
        <v/>
      </c>
      <c r="L3422">
        <f>K3422*(MIN(Inputs!$B$22+((C3442=TRUE)*(F3442-Calc!F24)),(Inputs!$B$23+0+(IF(ArtifactsInput!$M$15,CHOOSE(ArtifactsInput!$N$15+1,25,30,35,40,45,50)/100*(Inputs!$B$11-Inputs!$B$11),0))))/100+(Inputs!$B$23+0+(IF(ArtifactsInput!$M$15,CHOOSE(ArtifactsInput!$N$15+1,25,30,35,40,45,50)/100*(Inputs!$B$11-Inputs!$B$11),0)))/100)/2</f>
        <v/>
      </c>
      <c r="M3422">
        <f>L3422*(1+(Inputs!$B$10+((C3444=TRUE)*(F3444-Calc!F26))+B3461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22">
        <f>L3422*(1-MIN((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3422*(MIN((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22">
        <f>(1-Summary!$B$11)*T3422+Summary!$B$11*V3422</f>
        <v/>
      </c>
      <c r="P3422">
        <f>IF(B3462=0,0,O3422/B3462)</f>
        <v/>
      </c>
      <c r="Q3422">
        <f>IFERROR(1/IF(Inputs!$B$39="pvp",15,MAX(0.1,Skills!D4-IF(Skills!E4=TRUE,3.0,0))),0)</f>
        <v/>
      </c>
      <c r="R3422">
        <f>IF(AND(Inputs!$B$39&lt;&gt;"pvp",Inputs!$B$44&gt;0),IF(MAX(0,Inputs!$B$44-B3463)&lt;=0,0,(INT(MAX(0,Inputs!$B$44-B3463)/IF(Inputs!$B$39="pvp",15,MAX(0.1,Skills!D4-IF(Skills!E4=TRUE,3.0,0))))+1)),0)</f>
        <v/>
      </c>
      <c r="S3422">
        <f>IFERROR(O3422/N3422,0)</f>
        <v/>
      </c>
      <c r="T3422">
        <f>IF(C3422,(H3422*N3422*IF(AND(Inputs!$B$39&lt;&gt;"pvp",Inputs!$B$44&gt;0),((Skills!G4*((R3422-1)*IF(Skills!H4&gt;0,Skills!I4/Skills!H4,1)+IF(Skills!H4&gt;0,MIN(Skills!I4,MAX(0,MAX(0,Inputs!$B$44-B3463)-((R3422-1)*IF(Inputs!$B$39="pvp",15,MAX(0.1,Skills!D4-IF(Skills!E4=TRUE,3.0,0))))))/Skills!H4,1)))/Inputs!$B$44),G3422*Q3422))*IF(Inputs!$B$39="pvp",1,1+(Inputs!$B$20+((C3445=TRUE)*(F3445-Calc!F27))+Skills!P4+B3459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Hunt"),CHOOSE(ArtifactsInput!$N$35+1,15,18,21,24,27,30)*(1-EXP(-(0.2*B3454)*5)),0)+IF(AND(ArtifactsInput!$M$22,Inputs!$B$4&lt;&gt;"Chapter Hunt"),CHOOSE(ArtifactsInput!$N$22+1,10,12,14,16,18,20)*((0*(((0.15*B3454*5))^0/1)+1*(((0.15*B3454*5))^1/1)+2*(((0.15*B3454*5))^2/2)+3*(((0.15*B3454*5))^3/6)+4*(((0.15*B3454*5))^4/24)+5*(((0.15*B3454*5))^5/120))/((((0.15*B3454*5))^0/1)+(((0.15*B3454*5))^1/1)+(((0.15*B3454*5))^2/2)+(((0.15*B3454*5))^3/6)+(((0.15*B3454*5))^4/24)+(((0.15*B3454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3422*(1-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3422*(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3422*(1-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3422*(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422">
        <f>MAX(0,(Inputs!$B$3-100)*3)+Inputs!$B$28+Inputs!$B$29</f>
        <v/>
      </c>
      <c r="V3422">
        <f>IF(C3422,(H3422*N3422*IF(AND(Inputs!$B$39&lt;&gt;"pvp",Inputs!$B$44&gt;0),((Skills!G4*((R3422-1)*IF(Skills!H4&gt;0,Skills!I4/Skills!H4,1)+IF(Skills!H4&gt;0,MIN(Skills!I4,MAX(0,MAX(0,Inputs!$B$44-B3463)-((R3422-1)*IF(Inputs!$B$39="pvp",15,MAX(0.1,Skills!D4-IF(Skills!E4=TRUE,3.0,0))))))/Skills!H4,1)))/Inputs!$B$44),G3422*Q3422))*IF(Inputs!$B$39="pvp",1,(1+(Inputs!$B$21+Skills!Q4+B3459+(IF(ArtifactsInput!$M$33,CHOOSE(ArtifactsInput!$N$33+1,30,36,42,48,54,60),0))+(IF(AND(ArtifactsInput!$M$35,Inputs!$B$4&lt;&gt;"Chapter Hunt"),CHOOSE(ArtifactsInput!$N$35+1,15,18,21,24,27,30)*(1-EXP(-(0.2*B3454)*5)),0)+IF(AND(ArtifactsInput!$M$22,Inputs!$B$4&lt;&gt;"Chapter Hunt"),CHOOSE(ArtifactsInput!$N$22+1,10,12,14,16,18,20)*((0*(((0.15*B3454*5))^0/1)+1*(((0.15*B3454*5))^1/1)+2*(((0.15*B3454*5))^2/2)+3*(((0.15*B3454*5))^3/6)+4*(((0.15*B3454*5))^4/24)+5*(((0.15*B3454*5))^5/120))/((((0.15*B3454*5))^0/1)+(((0.15*B3454*5))^1/1)+(((0.15*B3454*5))^2/2)+(((0.15*B3454*5))^3/6)+(((0.15*B3454*5))^4/24)+(((0.15*B3454*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23">
      <c r="A3423">
        <f>Skills!A5</f>
        <v/>
      </c>
      <c r="B3423">
        <f>Skills!B5</f>
        <v/>
      </c>
      <c r="C3423">
        <f>Inputs!$B$3&gt;=63</f>
        <v/>
      </c>
      <c r="D3423">
        <f>IF(Skills!C5=1,60+Inputs!$B$25+Inputs!$B$29,IF(Skills!C5=2,90+Inputs!$B$26+Inputs!$B$29,IF(Skills!C5=3,120+Inputs!$B$27+Inputs!$B$29,MAX(0,(Inputs!$B$3-100)*3)+Inputs!$B$28+Inputs!$B$29)))</f>
        <v/>
      </c>
      <c r="E3423">
        <f>INDEX(FactorTable!$B$2:$Y$301, MATCH(ROUND(MIN(300,MAX(1,D3423)),0), FactorTable!$A$2:$A$301,0), Skills!M5+1)</f>
        <v/>
      </c>
      <c r="F3423">
        <f>IF(Skills!N5=TRUE,(Skills!L5/10)*(E3423/1000),Skills!L5/10)+Skills!O5</f>
        <v/>
      </c>
      <c r="G3423">
        <f>Calc!G5</f>
        <v/>
      </c>
      <c r="H3423">
        <f>Calc!H5</f>
        <v/>
      </c>
      <c r="I3423">
        <f>IF(Skills!AA5&lt;&gt;"",1+(Skills!AA5/10)*(U3421/1000)/100,1)</f>
        <v/>
      </c>
      <c r="J3423">
        <f>((Inputs!$B$6*(1+Inputs!$B$7/100))+(((Inputs!$B$12*(1+Inputs!$B$13/100))-(Inputs!$B$12*(1+Inputs!$B$13/100)))+0.25*(Inputs!$B$14-Inputs!$B$14))*(1+Inputs!$B$7/100))*(F3423/100)</f>
        <v/>
      </c>
      <c r="K3423">
        <f>J3423*(1+((Inputs!$B$12*(1+Inputs!$B$13/100))*0.01+Inputs!$B$14*0.0025)/100)*(1+Inputs!$B$15/100)*(1+Inputs!$B$16/100)*(5000/(6000+Inputs!$B$43*(1-(100*(1-(1-(Inputs!$B$19+0)/100)*(1-CHOOSE(ArtifactsInput!$N$40+1,5,6,7,8,9,10)/100)^(ArtifactsInput!$M$40-ArtifactsInput!$M$40)))/100)))*(1+(Inputs!$B$24+((C3448=TRUE)*(F3448-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3441=TRUE)*(F3441-Calc!F23))+(((IF(AND(ArtifactsInput!$M$42,((Inputs!$B$9+((C3443=TRUE)*(F3443-Calc!F25))+B3458+(ArtifactsInput!$M$24-ArtifactsInput!$M$24)*CHOOSE(ArtifactsInput!$N$24+1,10,12,14,16,18,20)+IF(ArtifactsInput!$M$10,CHOOSE(ArtifactsInput!$N$10+1,15,18,21,24,27,30)*(IF(Inputs!$B$39="pvp",MIN(15,15)/15,IF(AND(Inputs!$B$39&lt;&gt;"pvp",Inputs!$B$44&gt;0),MIN(15,Inputs!$B$44)/(Inputs!$B$44),0))),0)))&gt;=100),MIN(100,((Inputs!$B$9+((C3443=TRUE)*(F3443-Calc!F25))+B3458+(ArtifactsInput!$M$24-ArtifactsInput!$M$24)*CHOOSE(ArtifactsInput!$N$24+1,10,12,14,16,18,20)+IF(ArtifactsInput!$M$10,CHOOSE(ArtifactsInput!$N$10+1,15,18,21,24,27,30)*(IF(Inputs!$B$39="pvp",MIN(15,15)/15,IF(AND(Inputs!$B$39&lt;&gt;"pvp",Inputs!$B$44&gt;0),MIN(15,Inputs!$B$44)/(Inputs!$B$44),0))),0)))-100),0))*CHOOSE(ArtifactsInput!$N$42+1,0.6,0.72,0.84,0.96,1.08,1.2))),Inputs!$B$18+((C3447=TRUE)*(F3447-Calc!F29))+(IF(AND(ArtifactsInput!$M$42,((Inputs!$B$9+((C3443=TRUE)*(F3443-Calc!F25))+B3458+(ArtifactsInput!$M$24-ArtifactsInput!$M$24)*CHOOSE(ArtifactsInput!$N$24+1,10,12,14,16,18,20)+IF(ArtifactsInput!$M$10,CHOOSE(ArtifactsInput!$N$10+1,15,18,21,24,27,30)*(IF(Inputs!$B$39="pvp",MIN(15,15)/15,IF(AND(Inputs!$B$39&lt;&gt;"pvp",Inputs!$B$44&gt;0),MIN(15,Inputs!$B$44)/(Inputs!$B$44),0))),0)))&gt;=100),CHOOSE(ArtifactsInput!$N$42+1,40,48,56,64,72,80),0))))/100)*(((1+(((C3439=TRUE)*F3439*IF(AND(Inputs!$B$39&lt;&gt;"pvp",Inputs!$B$44&gt;0),(((R3439-1)*(Skills!Y21*(1+Inputs!$B$34/100))+MIN((Skills!Y21*(1+Inputs!$B$34/100)),MAX(0,Inputs!$B$44-((R3439-1)*Skills!D21))))/Inputs!$B$44),IF(Inputs!$B$39="pvp",MIN((Skills!Y21*(1+Inputs!$B$34/100)),15)/15,(Skills!Y21*(1+Inputs!$B$34/100))/Skills!D21)))+((C3446=TRUE)*(F3446-Calc!F28))+((C3436=TRUE)*(F3436-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3433=TRUE)*F3433*IF(AND(Inputs!$B$39&lt;&gt;"pvp",Inputs!$B$44&gt;0),(((R3433-1)*(Skills!Y15*(1+Inputs!$B$34/100))+MIN((Skills!Y15*(1+Inputs!$B$34/100)),MAX(0,Inputs!$B$44-((R3433-1)*Skills!D15))))/Inputs!$B$44),IF(Inputs!$B$39="pvp",MIN((Skills!Y15*(1+Inputs!$B$34/100)),15)/15,(Skills!Y15*(1+Inputs!$B$34/100))/Skills!D15)))/100)*(1+((C3424=TRUE)*F3424*B3452)/100))*B3460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3423)</f>
        <v/>
      </c>
      <c r="L3423">
        <f>K3423*(MIN(Inputs!$B$22+((C3442=TRUE)*(F3442-Calc!F24)),(Inputs!$B$23+0+(IF(ArtifactsInput!$M$15,CHOOSE(ArtifactsInput!$N$15+1,25,30,35,40,45,50)/100*(Inputs!$B$11-Inputs!$B$11),0))))/100+(Inputs!$B$23+0+(IF(ArtifactsInput!$M$15,CHOOSE(ArtifactsInput!$N$15+1,25,30,35,40,45,50)/100*(Inputs!$B$11-Inputs!$B$11),0)))/100)/2</f>
        <v/>
      </c>
      <c r="M3423">
        <f>L3423*(1+(Inputs!$B$10+((C3444=TRUE)*(F3444-Calc!F26))+B3461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23">
        <f>L3423*(1-MIN((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3423*(MIN((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23">
        <f>(1-Summary!$B$11)*T3423+Summary!$B$11*V3423</f>
        <v/>
      </c>
      <c r="P3423">
        <f>IF(B3462=0,0,O3423/B3462)</f>
        <v/>
      </c>
      <c r="Q3423">
        <f>IFERROR(1/IF(Inputs!$B$39="pvp",15,MAX(0.1,Skills!D5-IF(Skills!E5=TRUE,3.0,0))),0)</f>
        <v/>
      </c>
      <c r="R3423">
        <f>IF(AND(Inputs!$B$39&lt;&gt;"pvp",Inputs!$B$44&gt;0),IF(MAX(0,Inputs!$B$44-B3463)&lt;=0,0,(INT(MAX(0,Inputs!$B$44-B3463)/IF(Inputs!$B$39="pvp",15,MAX(0.1,Skills!D5-IF(Skills!E5=TRUE,3.0,0))))+1)),0)</f>
        <v/>
      </c>
      <c r="S3423">
        <f>IFERROR(O3423/N3423,0)</f>
        <v/>
      </c>
      <c r="T3423">
        <f>IF(C3423,(H3423*N3423*IF(AND(Inputs!$B$39&lt;&gt;"pvp",Inputs!$B$44&gt;0),((Skills!G5*((R3423-1)*IF(Skills!H5&gt;0,Skills!I5/Skills!H5,1)+IF(Skills!H5&gt;0,MIN(Skills!I5,MAX(0,MAX(0,Inputs!$B$44-B3463)-((R3423-1)*IF(Inputs!$B$39="pvp",15,MAX(0.1,Skills!D5-IF(Skills!E5=TRUE,3.0,0))))))/Skills!H5,1)))/Inputs!$B$44),G3423*Q3423))*IF(Inputs!$B$39="pvp",1,1+(Inputs!$B$20+((C3445=TRUE)*(F3445-Calc!F27))+Skills!P5+B3459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Hunt"),CHOOSE(ArtifactsInput!$N$35+1,15,18,21,24,27,30)*(1-EXP(-(0.2*B3454)*5)),0)+IF(AND(ArtifactsInput!$M$22,Inputs!$B$4&lt;&gt;"Chapter Hunt"),CHOOSE(ArtifactsInput!$N$22+1,10,12,14,16,18,20)*((0*(((0.15*B3454*5))^0/1)+1*(((0.15*B3454*5))^1/1)+2*(((0.15*B3454*5))^2/2)+3*(((0.15*B3454*5))^3/6)+4*(((0.15*B3454*5))^4/24)+5*(((0.15*B3454*5))^5/120))/((((0.15*B3454*5))^0/1)+(((0.15*B3454*5))^1/1)+(((0.15*B3454*5))^2/2)+(((0.15*B3454*5))^3/6)+(((0.15*B3454*5))^4/24)+(((0.15*B3454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3423*(1-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3423*(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3423*(1-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3423*(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423">
        <f>INDEX(FactorTable!$B$2:$Y$301, MATCH(ROUND(MIN(300,MAX(1,U3422)),0), FactorTable!$A$2:$A$301,0), 22)</f>
        <v/>
      </c>
      <c r="V3423">
        <f>IF(C3423,(H3423*N3423*IF(AND(Inputs!$B$39&lt;&gt;"pvp",Inputs!$B$44&gt;0),((Skills!G5*((R3423-1)*IF(Skills!H5&gt;0,Skills!I5/Skills!H5,1)+IF(Skills!H5&gt;0,MIN(Skills!I5,MAX(0,MAX(0,Inputs!$B$44-B3463)-((R3423-1)*IF(Inputs!$B$39="pvp",15,MAX(0.1,Skills!D5-IF(Skills!E5=TRUE,3.0,0))))))/Skills!H5,1)))/Inputs!$B$44),G3423*Q3423))*IF(Inputs!$B$39="pvp",1,(1+(Inputs!$B$21+Skills!Q5+B3459+(IF(ArtifactsInput!$M$33,CHOOSE(ArtifactsInput!$N$33+1,30,36,42,48,54,60),0))+(IF(AND(ArtifactsInput!$M$35,Inputs!$B$4&lt;&gt;"Chapter Hunt"),CHOOSE(ArtifactsInput!$N$35+1,15,18,21,24,27,30)*(1-EXP(-(0.2*B3454)*5)),0)+IF(AND(ArtifactsInput!$M$22,Inputs!$B$4&lt;&gt;"Chapter Hunt"),CHOOSE(ArtifactsInput!$N$22+1,10,12,14,16,18,20)*((0*(((0.15*B3454*5))^0/1)+1*(((0.15*B3454*5))^1/1)+2*(((0.15*B3454*5))^2/2)+3*(((0.15*B3454*5))^3/6)+4*(((0.15*B3454*5))^4/24)+5*(((0.15*B3454*5))^5/120))/((((0.15*B3454*5))^0/1)+(((0.15*B3454*5))^1/1)+(((0.15*B3454*5))^2/2)+(((0.15*B3454*5))^3/6)+(((0.15*B3454*5))^4/24)+(((0.15*B3454*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24">
      <c r="A3424">
        <f>Skills!A6</f>
        <v/>
      </c>
      <c r="B3424">
        <f>Skills!B6</f>
        <v/>
      </c>
      <c r="C3424">
        <f>Inputs!$B$3&gt;=66</f>
        <v/>
      </c>
      <c r="D3424">
        <f>IF(Skills!C6=1,60+Inputs!$B$25+Inputs!$B$29,IF(Skills!C6=2,90+Inputs!$B$26+Inputs!$B$29,IF(Skills!C6=3,120+Inputs!$B$27+Inputs!$B$29,MAX(0,(Inputs!$B$3-100)*3)+Inputs!$B$28+Inputs!$B$29)))</f>
        <v/>
      </c>
      <c r="E3424">
        <f>INDEX(FactorTable!$B$2:$Y$301, MATCH(ROUND(MIN(300,MAX(1,D3424)),0), FactorTable!$A$2:$A$301,0), Skills!M6+1)</f>
        <v/>
      </c>
      <c r="F3424">
        <f>IF(Skills!N6=TRUE,(Skills!L6/10)*(E3424/1000),Skills!L6/10)+Skills!O6</f>
        <v/>
      </c>
      <c r="G3424">
        <f>Calc!G6</f>
        <v/>
      </c>
      <c r="H3424">
        <f>Calc!H6</f>
        <v/>
      </c>
      <c r="I3424">
        <f>IF(Skills!AA6&lt;&gt;"",1+(Skills!AA6/10)*(U3421/1000)/100,1)</f>
        <v/>
      </c>
      <c r="J3424" t="inlineStr"/>
      <c r="K3424" t="inlineStr"/>
      <c r="L3424" t="inlineStr"/>
      <c r="M3424" t="inlineStr"/>
      <c r="N3424" t="inlineStr"/>
      <c r="O3424">
        <f>(1-Summary!$B$11)*T3424+Summary!$B$11*V3424</f>
        <v/>
      </c>
      <c r="P3424">
        <f>IF(B3462=0,0,O3424/B3462)</f>
        <v/>
      </c>
      <c r="Q3424" t="n">
        <v>0</v>
      </c>
      <c r="R3424" t="n">
        <v>0</v>
      </c>
      <c r="S3424">
        <f>IFERROR(O3424/N3424,0)</f>
        <v/>
      </c>
      <c r="T3424" t="n">
        <v>0</v>
      </c>
      <c r="U3424">
        <f>290*U3423/1000</f>
        <v/>
      </c>
      <c r="V3424" t="n">
        <v>0</v>
      </c>
    </row>
    <row r="3425">
      <c r="A3425">
        <f>Skills!A7</f>
        <v/>
      </c>
      <c r="B3425">
        <f>Skills!B7</f>
        <v/>
      </c>
      <c r="C3425">
        <f>Inputs!$B$3&gt;=66</f>
        <v/>
      </c>
      <c r="D3425">
        <f>IF(Skills!C7=1,60+Inputs!$B$25+Inputs!$B$29,IF(Skills!C7=2,90+Inputs!$B$26+Inputs!$B$29,IF(Skills!C7=3,120+Inputs!$B$27+Inputs!$B$29,MAX(0,(Inputs!$B$3-100)*3)+Inputs!$B$28+Inputs!$B$29)))</f>
        <v/>
      </c>
      <c r="E3425">
        <f>INDEX(FactorTable!$B$2:$Y$301, MATCH(ROUND(MIN(300,MAX(1,D3425)),0), FactorTable!$A$2:$A$301,0), Skills!M7+1)</f>
        <v/>
      </c>
      <c r="F3425">
        <f>IF(Skills!N7=TRUE,(Skills!L7/10)*(E3425/1000),Skills!L7/10)+Skills!O7</f>
        <v/>
      </c>
      <c r="G3425">
        <f>Calc!G7</f>
        <v/>
      </c>
      <c r="H3425">
        <f>Calc!H7</f>
        <v/>
      </c>
      <c r="I3425">
        <f>IF(Skills!AA7&lt;&gt;"",1+(Skills!AA7/10)*(U3421/1000)/100,1)</f>
        <v/>
      </c>
      <c r="J3425" t="inlineStr"/>
      <c r="K3425" t="inlineStr"/>
      <c r="L3425" t="inlineStr"/>
      <c r="M3425" t="inlineStr"/>
      <c r="N3425" t="inlineStr"/>
      <c r="O3425">
        <f>(1-Summary!$B$11)*T3425+Summary!$B$11*V3425</f>
        <v/>
      </c>
      <c r="P3425">
        <f>IF(B3462=0,0,O3425/B3462)</f>
        <v/>
      </c>
      <c r="Q3425" t="n">
        <v>0</v>
      </c>
      <c r="R3425" t="n">
        <v>0</v>
      </c>
      <c r="S3425">
        <f>IFERROR(O3425/N3425,0)</f>
        <v/>
      </c>
      <c r="T3425" t="n">
        <v>0</v>
      </c>
      <c r="V3425" t="n">
        <v>0</v>
      </c>
    </row>
    <row r="3426">
      <c r="A3426">
        <f>Skills!A8</f>
        <v/>
      </c>
      <c r="B3426">
        <f>Skills!B8</f>
        <v/>
      </c>
      <c r="C3426">
        <f>Inputs!$B$3&gt;=69</f>
        <v/>
      </c>
      <c r="D3426">
        <f>IF(Skills!C8=1,60+Inputs!$B$25+Inputs!$B$29,IF(Skills!C8=2,90+Inputs!$B$26+Inputs!$B$29,IF(Skills!C8=3,120+Inputs!$B$27+Inputs!$B$29,MAX(0,(Inputs!$B$3-100)*3)+Inputs!$B$28+Inputs!$B$29)))</f>
        <v/>
      </c>
      <c r="E3426">
        <f>INDEX(FactorTable!$B$2:$Y$301, MATCH(ROUND(MIN(300,MAX(1,D3426)),0), FactorTable!$A$2:$A$301,0), Skills!M8+1)</f>
        <v/>
      </c>
      <c r="F3426">
        <f>IF(Skills!N8=TRUE,(Skills!L8/10)*(E3426/1000),Skills!L8/10)+Skills!O8</f>
        <v/>
      </c>
      <c r="G3426">
        <f>Calc!G8</f>
        <v/>
      </c>
      <c r="H3426">
        <f>Calc!H8</f>
        <v/>
      </c>
      <c r="I3426">
        <f>IF(Skills!AA8&lt;&gt;"",1+(Skills!AA8/10)*(U3421/1000)/100,1)</f>
        <v/>
      </c>
      <c r="J3426">
        <f>((Inputs!$B$6*(1+Inputs!$B$7/100))+(((Inputs!$B$12*(1+Inputs!$B$13/100))-(Inputs!$B$12*(1+Inputs!$B$13/100)))+0.25*(Inputs!$B$14-Inputs!$B$14))*(1+Inputs!$B$7/100))*(F3426/100)</f>
        <v/>
      </c>
      <c r="K3426">
        <f>J3426*(1+((Inputs!$B$12*(1+Inputs!$B$13/100))*0.01+Inputs!$B$14*0.0025)/100)*(1+Inputs!$B$15/100)*(1+Inputs!$B$16/100)*(5000/(6000+Inputs!$B$43*(1-(100*(1-(1-(Inputs!$B$19+0)/100)*(1-CHOOSE(ArtifactsInput!$N$40+1,5,6,7,8,9,10)/100)^(ArtifactsInput!$M$40-ArtifactsInput!$M$40)))/100)))*(1+(Inputs!$B$24+((C3448=TRUE)*(F3448-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3441=TRUE)*(F3441-Calc!F23))+(((IF(AND(ArtifactsInput!$M$42,((Inputs!$B$9+((C3443=TRUE)*(F3443-Calc!F25))+B3458+(ArtifactsInput!$M$24-ArtifactsInput!$M$24)*CHOOSE(ArtifactsInput!$N$24+1,10,12,14,16,18,20)+IF(ArtifactsInput!$M$10,CHOOSE(ArtifactsInput!$N$10+1,15,18,21,24,27,30)*(IF(Inputs!$B$39="pvp",MIN(15,15)/15,IF(AND(Inputs!$B$39&lt;&gt;"pvp",Inputs!$B$44&gt;0),MIN(15,Inputs!$B$44)/(Inputs!$B$44),0))),0)))&gt;=100),MIN(100,((Inputs!$B$9+((C3443=TRUE)*(F3443-Calc!F25))+B3458+(ArtifactsInput!$M$24-ArtifactsInput!$M$24)*CHOOSE(ArtifactsInput!$N$24+1,10,12,14,16,18,20)+IF(ArtifactsInput!$M$10,CHOOSE(ArtifactsInput!$N$10+1,15,18,21,24,27,30)*(IF(Inputs!$B$39="pvp",MIN(15,15)/15,IF(AND(Inputs!$B$39&lt;&gt;"pvp",Inputs!$B$44&gt;0),MIN(15,Inputs!$B$44)/(Inputs!$B$44),0))),0)))-100),0))*CHOOSE(ArtifactsInput!$N$42+1,0.6,0.72,0.84,0.96,1.08,1.2))),Inputs!$B$18+((C3447=TRUE)*(F3447-Calc!F29))+(IF(AND(ArtifactsInput!$M$42,((Inputs!$B$9+((C3443=TRUE)*(F3443-Calc!F25))+B3458+(ArtifactsInput!$M$24-ArtifactsInput!$M$24)*CHOOSE(ArtifactsInput!$N$24+1,10,12,14,16,18,20)+IF(ArtifactsInput!$M$10,CHOOSE(ArtifactsInput!$N$10+1,15,18,21,24,27,30)*(IF(Inputs!$B$39="pvp",MIN(15,15)/15,IF(AND(Inputs!$B$39&lt;&gt;"pvp",Inputs!$B$44&gt;0),MIN(15,Inputs!$B$44)/(Inputs!$B$44),0))),0)))&gt;=100),CHOOSE(ArtifactsInput!$N$42+1,40,48,56,64,72,80),0))))/100)*(((1+(((C3439=TRUE)*F3439*IF(AND(Inputs!$B$39&lt;&gt;"pvp",Inputs!$B$44&gt;0),(((R3439-1)*(Skills!Y21*(1+Inputs!$B$34/100))+MIN((Skills!Y21*(1+Inputs!$B$34/100)),MAX(0,Inputs!$B$44-((R3439-1)*Skills!D21))))/Inputs!$B$44),IF(Inputs!$B$39="pvp",MIN((Skills!Y21*(1+Inputs!$B$34/100)),15)/15,(Skills!Y21*(1+Inputs!$B$34/100))/Skills!D21)))+((C3446=TRUE)*(F3446-Calc!F28))+((C3436=TRUE)*(F3436-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3433=TRUE)*F3433*IF(AND(Inputs!$B$39&lt;&gt;"pvp",Inputs!$B$44&gt;0),(((R3433-1)*(Skills!Y15*(1+Inputs!$B$34/100))+MIN((Skills!Y15*(1+Inputs!$B$34/100)),MAX(0,Inputs!$B$44-((R3433-1)*Skills!D15))))/Inputs!$B$44),IF(Inputs!$B$39="pvp",MIN((Skills!Y15*(1+Inputs!$B$34/100)),15)/15,(Skills!Y15*(1+Inputs!$B$34/100))/Skills!D15)))/100)*(1+((C3424=TRUE)*F3424*B3452)/100))*B3460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3426)</f>
        <v/>
      </c>
      <c r="L3426">
        <f>K3426*(MIN(Inputs!$B$22+((C3442=TRUE)*(F3442-Calc!F24)),(Inputs!$B$23+0+(IF(ArtifactsInput!$M$15,CHOOSE(ArtifactsInput!$N$15+1,25,30,35,40,45,50)/100*(Inputs!$B$11-Inputs!$B$11),0))))/100+(Inputs!$B$23+0+(IF(ArtifactsInput!$M$15,CHOOSE(ArtifactsInput!$N$15+1,25,30,35,40,45,50)/100*(Inputs!$B$11-Inputs!$B$11),0)))/100)/2</f>
        <v/>
      </c>
      <c r="M3426">
        <f>L3426*(1+(Inputs!$B$10+((C3444=TRUE)*(F3444-Calc!F26))+B3461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26">
        <f>L3426*(1-MIN((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3426*(MIN((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26">
        <f>(1-Summary!$B$11)*T3426+Summary!$B$11*V3426</f>
        <v/>
      </c>
      <c r="P3426">
        <f>IF(B3462=0,0,O3426/B3462)</f>
        <v/>
      </c>
      <c r="Q3426">
        <f>IFERROR(1/IF(Inputs!$B$39="pvp",15,MAX(0.1,Skills!D8-IF(Skills!E8=TRUE,3.0,0))),0)</f>
        <v/>
      </c>
      <c r="R3426">
        <f>IF(AND(Inputs!$B$39&lt;&gt;"pvp",Inputs!$B$44&gt;0),IF(MAX(0,Inputs!$B$44-B3463)&lt;=0,0,(INT(MAX(0,Inputs!$B$44-B3463)/IF(Inputs!$B$39="pvp",15,MAX(0.1,Skills!D8-IF(Skills!E8=TRUE,3.0,0))))+1)),0)</f>
        <v/>
      </c>
      <c r="S3426">
        <f>IFERROR(O3426/N3426,0)</f>
        <v/>
      </c>
      <c r="T3426">
        <f>IF(C3426,(H3426*N3426*IF(AND(Inputs!$B$39&lt;&gt;"pvp",Inputs!$B$44&gt;0),((Skills!G8*((R3426-1)*IF(Skills!H8&gt;0,Skills!I8/Skills!H8,1)+IF(Skills!H8&gt;0,MIN(Skills!I8,MAX(0,MAX(0,Inputs!$B$44-B3463)-((R3426-1)*IF(Inputs!$B$39="pvp",15,MAX(0.1,Skills!D8-IF(Skills!E8=TRUE,3.0,0))))))/Skills!H8,1)))/Inputs!$B$44),G3426*Q3426))*IF(Inputs!$B$39="pvp",1,1+(Inputs!$B$20+((C3445=TRUE)*(F3445-Calc!F27))+Skills!P8+B3459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Hunt"),CHOOSE(ArtifactsInput!$N$35+1,15,18,21,24,27,30)*(1-EXP(-(0.2*B3454)*5)),0)+IF(AND(ArtifactsInput!$M$22,Inputs!$B$4&lt;&gt;"Chapter Hunt"),CHOOSE(ArtifactsInput!$N$22+1,10,12,14,16,18,20)*((0*(((0.15*B3454*5))^0/1)+1*(((0.15*B3454*5))^1/1)+2*(((0.15*B3454*5))^2/2)+3*(((0.15*B3454*5))^3/6)+4*(((0.15*B3454*5))^4/24)+5*(((0.15*B3454*5))^5/120))/((((0.15*B3454*5))^0/1)+(((0.15*B3454*5))^1/1)+(((0.15*B3454*5))^2/2)+(((0.15*B3454*5))^3/6)+(((0.15*B3454*5))^4/24)+(((0.15*B3454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3426*(1-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3426*(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3426*(1-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3426*(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26">
        <f>IF(C3426,(H3426*N3426*IF(AND(Inputs!$B$39&lt;&gt;"pvp",Inputs!$B$44&gt;0),((Skills!G8*((R3426-1)*IF(Skills!H8&gt;0,Skills!I8/Skills!H8,1)+IF(Skills!H8&gt;0,MIN(Skills!I8,MAX(0,MAX(0,Inputs!$B$44-B3463)-((R3426-1)*IF(Inputs!$B$39="pvp",15,MAX(0.1,Skills!D8-IF(Skills!E8=TRUE,3.0,0))))))/Skills!H8,1)))/Inputs!$B$44),G3426*Q3426))*IF(Inputs!$B$39="pvp",1,(1+(Inputs!$B$21+Skills!Q8+B3459+(IF(ArtifactsInput!$M$33,CHOOSE(ArtifactsInput!$N$33+1,30,36,42,48,54,60),0))+(IF(AND(ArtifactsInput!$M$35,Inputs!$B$4&lt;&gt;"Chapter Hunt"),CHOOSE(ArtifactsInput!$N$35+1,15,18,21,24,27,30)*(1-EXP(-(0.2*B3454)*5)),0)+IF(AND(ArtifactsInput!$M$22,Inputs!$B$4&lt;&gt;"Chapter Hunt"),CHOOSE(ArtifactsInput!$N$22+1,10,12,14,16,18,20)*((0*(((0.15*B3454*5))^0/1)+1*(((0.15*B3454*5))^1/1)+2*(((0.15*B3454*5))^2/2)+3*(((0.15*B3454*5))^3/6)+4*(((0.15*B3454*5))^4/24)+5*(((0.15*B3454*5))^5/120))/((((0.15*B3454*5))^0/1)+(((0.15*B3454*5))^1/1)+(((0.15*B3454*5))^2/2)+(((0.15*B3454*5))^3/6)+(((0.15*B3454*5))^4/24)+(((0.15*B3454*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27">
      <c r="A3427">
        <f>Skills!A9</f>
        <v/>
      </c>
      <c r="B3427">
        <f>Skills!B9</f>
        <v/>
      </c>
      <c r="C3427">
        <f>Inputs!$B$3&gt;=72</f>
        <v/>
      </c>
      <c r="D3427">
        <f>IF(Skills!C9=1,60+Inputs!$B$25+Inputs!$B$29,IF(Skills!C9=2,90+Inputs!$B$26+Inputs!$B$29,IF(Skills!C9=3,120+Inputs!$B$27+Inputs!$B$29,MAX(0,(Inputs!$B$3-100)*3)+Inputs!$B$28+Inputs!$B$29)))</f>
        <v/>
      </c>
      <c r="E3427">
        <f>INDEX(FactorTable!$B$2:$Y$301, MATCH(ROUND(MIN(300,MAX(1,D3427)),0), FactorTable!$A$2:$A$301,0), Skills!M9+1)</f>
        <v/>
      </c>
      <c r="F3427">
        <f>IF(Skills!N9=TRUE,(Skills!L9/10)*(E3427/1000),Skills!L9/10)+Skills!O9</f>
        <v/>
      </c>
      <c r="G3427">
        <f>Calc!G9</f>
        <v/>
      </c>
      <c r="H3427">
        <f>Calc!H9</f>
        <v/>
      </c>
      <c r="I3427">
        <f>IF(Skills!AA9&lt;&gt;"",1+(Skills!AA9/10)*(U3421/1000)/100,1)</f>
        <v/>
      </c>
      <c r="J3427">
        <f>((Inputs!$B$6*(1+Inputs!$B$7/100))+(((Inputs!$B$12*(1+Inputs!$B$13/100))-(Inputs!$B$12*(1+Inputs!$B$13/100)))+0.25*(Inputs!$B$14-Inputs!$B$14))*(1+Inputs!$B$7/100))*(F3427/100)</f>
        <v/>
      </c>
      <c r="K3427">
        <f>J3427*(1+((Inputs!$B$12*(1+Inputs!$B$13/100))*0.01+Inputs!$B$14*0.0025)/100)*(1+Inputs!$B$15/100)*(1+Inputs!$B$16/100)*(5000/(6000+Inputs!$B$43*(1-(100*(1-(1-(Inputs!$B$19+0)/100)*(1-CHOOSE(ArtifactsInput!$N$40+1,5,6,7,8,9,10)/100)^(ArtifactsInput!$M$40-ArtifactsInput!$M$40)))/100)))*(1+(Inputs!$B$24+((C3448=TRUE)*(F3448-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3441=TRUE)*(F3441-Calc!F23))+(((IF(AND(ArtifactsInput!$M$42,((Inputs!$B$9+((C3443=TRUE)*(F3443-Calc!F25))+B3458+(ArtifactsInput!$M$24-ArtifactsInput!$M$24)*CHOOSE(ArtifactsInput!$N$24+1,10,12,14,16,18,20)+IF(ArtifactsInput!$M$10,CHOOSE(ArtifactsInput!$N$10+1,15,18,21,24,27,30)*(IF(Inputs!$B$39="pvp",MIN(15,15)/15,IF(AND(Inputs!$B$39&lt;&gt;"pvp",Inputs!$B$44&gt;0),MIN(15,Inputs!$B$44)/(Inputs!$B$44),0))),0)))&gt;=100),MIN(100,((Inputs!$B$9+((C3443=TRUE)*(F3443-Calc!F25))+B3458+(ArtifactsInput!$M$24-ArtifactsInput!$M$24)*CHOOSE(ArtifactsInput!$N$24+1,10,12,14,16,18,20)+IF(ArtifactsInput!$M$10,CHOOSE(ArtifactsInput!$N$10+1,15,18,21,24,27,30)*(IF(Inputs!$B$39="pvp",MIN(15,15)/15,IF(AND(Inputs!$B$39&lt;&gt;"pvp",Inputs!$B$44&gt;0),MIN(15,Inputs!$B$44)/(Inputs!$B$44),0))),0)))-100),0))*CHOOSE(ArtifactsInput!$N$42+1,0.6,0.72,0.84,0.96,1.08,1.2))),Inputs!$B$18+((C3447=TRUE)*(F3447-Calc!F29))+(IF(AND(ArtifactsInput!$M$42,((Inputs!$B$9+((C3443=TRUE)*(F3443-Calc!F25))+B3458+(ArtifactsInput!$M$24-ArtifactsInput!$M$24)*CHOOSE(ArtifactsInput!$N$24+1,10,12,14,16,18,20)+IF(ArtifactsInput!$M$10,CHOOSE(ArtifactsInput!$N$10+1,15,18,21,24,27,30)*(IF(Inputs!$B$39="pvp",MIN(15,15)/15,IF(AND(Inputs!$B$39&lt;&gt;"pvp",Inputs!$B$44&gt;0),MIN(15,Inputs!$B$44)/(Inputs!$B$44),0))),0)))&gt;=100),CHOOSE(ArtifactsInput!$N$42+1,40,48,56,64,72,80),0))))/100)*(((1+(((C3439=TRUE)*F3439*IF(AND(Inputs!$B$39&lt;&gt;"pvp",Inputs!$B$44&gt;0),(((R3439-1)*(Skills!Y21*(1+Inputs!$B$34/100))+MIN((Skills!Y21*(1+Inputs!$B$34/100)),MAX(0,Inputs!$B$44-((R3439-1)*Skills!D21))))/Inputs!$B$44),IF(Inputs!$B$39="pvp",MIN((Skills!Y21*(1+Inputs!$B$34/100)),15)/15,(Skills!Y21*(1+Inputs!$B$34/100))/Skills!D21)))+((C3446=TRUE)*(F3446-Calc!F28))+((C3436=TRUE)*(F3436-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3433=TRUE)*F3433*IF(AND(Inputs!$B$39&lt;&gt;"pvp",Inputs!$B$44&gt;0),(((R3433-1)*(Skills!Y15*(1+Inputs!$B$34/100))+MIN((Skills!Y15*(1+Inputs!$B$34/100)),MAX(0,Inputs!$B$44-((R3433-1)*Skills!D15))))/Inputs!$B$44),IF(Inputs!$B$39="pvp",MIN((Skills!Y15*(1+Inputs!$B$34/100)),15)/15,(Skills!Y15*(1+Inputs!$B$34/100))/Skills!D15)))/100)*(1+((C3424=TRUE)*F3424*B3452)/100))*B3460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3427)</f>
        <v/>
      </c>
      <c r="L3427">
        <f>K3427*(MIN(Inputs!$B$22+((C3442=TRUE)*(F3442-Calc!F24)),(Inputs!$B$23+0+(IF(ArtifactsInput!$M$15,CHOOSE(ArtifactsInput!$N$15+1,25,30,35,40,45,50)/100*(Inputs!$B$11-Inputs!$B$11),0))))/100+(Inputs!$B$23+0+(IF(ArtifactsInput!$M$15,CHOOSE(ArtifactsInput!$N$15+1,25,30,35,40,45,50)/100*(Inputs!$B$11-Inputs!$B$11),0)))/100)/2</f>
        <v/>
      </c>
      <c r="M3427">
        <f>L3427*(1+(Inputs!$B$10+((C3444=TRUE)*(F3444-Calc!F26))+B3461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27">
        <f>L3427*(1-MIN((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3427*(MIN((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27">
        <f>(1-Summary!$B$11)*T3427+Summary!$B$11*V3427</f>
        <v/>
      </c>
      <c r="P3427">
        <f>IF(B3462=0,0,O3427/B3462)</f>
        <v/>
      </c>
      <c r="Q3427">
        <f>IFERROR(1/IF(Inputs!$B$39="pvp",15,MAX(0.1,Skills!D9-IF(Skills!E9=TRUE,3.0,0))),0)</f>
        <v/>
      </c>
      <c r="R3427">
        <f>IF(AND(Inputs!$B$39&lt;&gt;"pvp",Inputs!$B$44&gt;0),IF(MAX(0,Inputs!$B$44-B3463)&lt;=0,0,(INT(MAX(0,Inputs!$B$44-B3463)/IF(Inputs!$B$39="pvp",15,MAX(0.1,Skills!D9-IF(Skills!E9=TRUE,3.0,0))))+1)),0)</f>
        <v/>
      </c>
      <c r="S3427">
        <f>IFERROR(O3427/N3427,0)</f>
        <v/>
      </c>
      <c r="T3427">
        <f>IF(C3427,(H3427*N3427*IF(AND(Inputs!$B$39&lt;&gt;"pvp",Inputs!$B$44&gt;0),((Skills!G9*((R3427-1)*IF(Skills!H9&gt;0,Skills!I9/Skills!H9,1)+IF(Skills!H9&gt;0,MIN(Skills!I9,MAX(0,MAX(0,Inputs!$B$44-B3463)-((R3427-1)*IF(Inputs!$B$39="pvp",15,MAX(0.1,Skills!D9-IF(Skills!E9=TRUE,3.0,0))))))/Skills!H9,1)))/Inputs!$B$44),G3427*Q3427))*IF(Inputs!$B$39="pvp",1,1+(Inputs!$B$20+((C3445=TRUE)*(F3445-Calc!F27))+Skills!P9+B3459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Hunt"),CHOOSE(ArtifactsInput!$N$35+1,15,18,21,24,27,30)*(1-EXP(-(0.2*B3454)*5)),0)+IF(AND(ArtifactsInput!$M$22,Inputs!$B$4&lt;&gt;"Chapter Hunt"),CHOOSE(ArtifactsInput!$N$22+1,10,12,14,16,18,20)*((0*(((0.15*B3454*5))^0/1)+1*(((0.15*B3454*5))^1/1)+2*(((0.15*B3454*5))^2/2)+3*(((0.15*B3454*5))^3/6)+4*(((0.15*B3454*5))^4/24)+5*(((0.15*B3454*5))^5/120))/((((0.15*B3454*5))^0/1)+(((0.15*B3454*5))^1/1)+(((0.15*B3454*5))^2/2)+(((0.15*B3454*5))^3/6)+(((0.15*B3454*5))^4/24)+(((0.15*B3454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3427*(1-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3427*(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3427*(1-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3427*(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27">
        <f>IF(C3427,(H3427*N3427*IF(AND(Inputs!$B$39&lt;&gt;"pvp",Inputs!$B$44&gt;0),((Skills!G9*((R3427-1)*IF(Skills!H9&gt;0,Skills!I9/Skills!H9,1)+IF(Skills!H9&gt;0,MIN(Skills!I9,MAX(0,MAX(0,Inputs!$B$44-B3463)-((R3427-1)*IF(Inputs!$B$39="pvp",15,MAX(0.1,Skills!D9-IF(Skills!E9=TRUE,3.0,0))))))/Skills!H9,1)))/Inputs!$B$44),G3427*Q3427))*IF(Inputs!$B$39="pvp",1,(1+(Inputs!$B$21+Skills!Q9+B3459+(IF(ArtifactsInput!$M$33,CHOOSE(ArtifactsInput!$N$33+1,30,36,42,48,54,60),0))+(IF(AND(ArtifactsInput!$M$35,Inputs!$B$4&lt;&gt;"Chapter Hunt"),CHOOSE(ArtifactsInput!$N$35+1,15,18,21,24,27,30)*(1-EXP(-(0.2*B3454)*5)),0)+IF(AND(ArtifactsInput!$M$22,Inputs!$B$4&lt;&gt;"Chapter Hunt"),CHOOSE(ArtifactsInput!$N$22+1,10,12,14,16,18,20)*((0*(((0.15*B3454*5))^0/1)+1*(((0.15*B3454*5))^1/1)+2*(((0.15*B3454*5))^2/2)+3*(((0.15*B3454*5))^3/6)+4*(((0.15*B3454*5))^4/24)+5*(((0.15*B3454*5))^5/120))/((((0.15*B3454*5))^0/1)+(((0.15*B3454*5))^1/1)+(((0.15*B3454*5))^2/2)+(((0.15*B3454*5))^3/6)+(((0.15*B3454*5))^4/24)+(((0.15*B3454*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28">
      <c r="A3428">
        <f>Skills!A10</f>
        <v/>
      </c>
      <c r="B3428">
        <f>Skills!B10</f>
        <v/>
      </c>
      <c r="C3428">
        <f>Inputs!$B$3&gt;=117</f>
        <v/>
      </c>
      <c r="D3428">
        <f>IF(Skills!C10=1,60+Inputs!$B$25+Inputs!$B$29,IF(Skills!C10=2,90+Inputs!$B$26+Inputs!$B$29,IF(Skills!C10=3,120+Inputs!$B$27+Inputs!$B$29,MAX(0,(Inputs!$B$3-100)*3)+Inputs!$B$28+Inputs!$B$29)))</f>
        <v/>
      </c>
      <c r="E3428">
        <f>INDEX(FactorTable!$B$2:$Y$301, MATCH(ROUND(MIN(300,MAX(1,D3428)),0), FactorTable!$A$2:$A$301,0), Skills!M10+1)</f>
        <v/>
      </c>
      <c r="F3428">
        <f>IF(Skills!N10=TRUE,(Skills!L10/10)*(E3428/1000),Skills!L10/10)+Skills!O10</f>
        <v/>
      </c>
      <c r="G3428">
        <f>Calc!G10</f>
        <v/>
      </c>
      <c r="H3428">
        <f>Calc!H10</f>
        <v/>
      </c>
      <c r="I3428">
        <f>IF(Skills!AA10&lt;&gt;"",1+(Skills!AA10/10)*(U3421/1000)/100,1)</f>
        <v/>
      </c>
      <c r="J3428">
        <f>((Inputs!$B$6*(1+Inputs!$B$7/100))+(((Inputs!$B$12*(1+Inputs!$B$13/100))-(Inputs!$B$12*(1+Inputs!$B$13/100)))+0.25*(Inputs!$B$14-Inputs!$B$14))*(1+Inputs!$B$7/100))*(F3428/100)</f>
        <v/>
      </c>
      <c r="K3428">
        <f>J3428*(1+((Inputs!$B$12*(1+Inputs!$B$13/100))*0.01+Inputs!$B$14*0.0025)/100)*(1+Inputs!$B$15/100)*(1+Inputs!$B$16/100)*(5000/(6000+Inputs!$B$43*(1-(100*(1-(1-(Inputs!$B$19+0)/100)*(1-CHOOSE(ArtifactsInput!$N$40+1,5,6,7,8,9,10)/100)^(ArtifactsInput!$M$40-ArtifactsInput!$M$40)))/100)))*(1+(Inputs!$B$24+((C3448=TRUE)*(F3448-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3441=TRUE)*(F3441-Calc!F23))+(((IF(AND(ArtifactsInput!$M$42,((Inputs!$B$9+((C3443=TRUE)*(F3443-Calc!F25))+B3458+(ArtifactsInput!$M$24-ArtifactsInput!$M$24)*CHOOSE(ArtifactsInput!$N$24+1,10,12,14,16,18,20)+IF(ArtifactsInput!$M$10,CHOOSE(ArtifactsInput!$N$10+1,15,18,21,24,27,30)*(IF(Inputs!$B$39="pvp",MIN(15,15)/15,IF(AND(Inputs!$B$39&lt;&gt;"pvp",Inputs!$B$44&gt;0),MIN(15,Inputs!$B$44)/(Inputs!$B$44),0))),0)))&gt;=100),MIN(100,((Inputs!$B$9+((C3443=TRUE)*(F3443-Calc!F25))+B3458+(ArtifactsInput!$M$24-ArtifactsInput!$M$24)*CHOOSE(ArtifactsInput!$N$24+1,10,12,14,16,18,20)+IF(ArtifactsInput!$M$10,CHOOSE(ArtifactsInput!$N$10+1,15,18,21,24,27,30)*(IF(Inputs!$B$39="pvp",MIN(15,15)/15,IF(AND(Inputs!$B$39&lt;&gt;"pvp",Inputs!$B$44&gt;0),MIN(15,Inputs!$B$44)/(Inputs!$B$44),0))),0)))-100),0))*CHOOSE(ArtifactsInput!$N$42+1,0.6,0.72,0.84,0.96,1.08,1.2))),Inputs!$B$18+((C3447=TRUE)*(F3447-Calc!F29))+(IF(AND(ArtifactsInput!$M$42,((Inputs!$B$9+((C3443=TRUE)*(F3443-Calc!F25))+B3458+(ArtifactsInput!$M$24-ArtifactsInput!$M$24)*CHOOSE(ArtifactsInput!$N$24+1,10,12,14,16,18,20)+IF(ArtifactsInput!$M$10,CHOOSE(ArtifactsInput!$N$10+1,15,18,21,24,27,30)*(IF(Inputs!$B$39="pvp",MIN(15,15)/15,IF(AND(Inputs!$B$39&lt;&gt;"pvp",Inputs!$B$44&gt;0),MIN(15,Inputs!$B$44)/(Inputs!$B$44),0))),0)))&gt;=100),CHOOSE(ArtifactsInput!$N$42+1,40,48,56,64,72,80),0))))/100)*(((1+(((C3439=TRUE)*F3439*IF(AND(Inputs!$B$39&lt;&gt;"pvp",Inputs!$B$44&gt;0),(((R3439-1)*(Skills!Y21*(1+Inputs!$B$34/100))+MIN((Skills!Y21*(1+Inputs!$B$34/100)),MAX(0,Inputs!$B$44-((R3439-1)*Skills!D21))))/Inputs!$B$44),IF(Inputs!$B$39="pvp",MIN((Skills!Y21*(1+Inputs!$B$34/100)),15)/15,(Skills!Y21*(1+Inputs!$B$34/100))/Skills!D21)))+((C3446=TRUE)*(F3446-Calc!F28))+((C3436=TRUE)*(F3436-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3433=TRUE)*F3433*IF(AND(Inputs!$B$39&lt;&gt;"pvp",Inputs!$B$44&gt;0),(((R3433-1)*(Skills!Y15*(1+Inputs!$B$34/100))+MIN((Skills!Y15*(1+Inputs!$B$34/100)),MAX(0,Inputs!$B$44-((R3433-1)*Skills!D15))))/Inputs!$B$44),IF(Inputs!$B$39="pvp",MIN((Skills!Y15*(1+Inputs!$B$34/100)),15)/15,(Skills!Y15*(1+Inputs!$B$34/100))/Skills!D15)))/100)*(1+((C3424=TRUE)*F3424*B3452)/100))*B3460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3428)</f>
        <v/>
      </c>
      <c r="L3428">
        <f>K3428*(MIN(Inputs!$B$22+((C3442=TRUE)*(F3442-Calc!F24)),(Inputs!$B$23+0+(IF(ArtifactsInput!$M$15,CHOOSE(ArtifactsInput!$N$15+1,25,30,35,40,45,50)/100*(Inputs!$B$11-Inputs!$B$11),0))))/100+(Inputs!$B$23+0+(IF(ArtifactsInput!$M$15,CHOOSE(ArtifactsInput!$N$15+1,25,30,35,40,45,50)/100*(Inputs!$B$11-Inputs!$B$11),0)))/100)/2</f>
        <v/>
      </c>
      <c r="M3428">
        <f>L3428*(1+(Inputs!$B$10+((C3444=TRUE)*(F3444-Calc!F26))+B3461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28">
        <f>L3428*(1-MIN((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3428*(MIN((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28">
        <f>(1-Summary!$B$11)*T3428+Summary!$B$11*V3428</f>
        <v/>
      </c>
      <c r="P3428">
        <f>IF(B3462=0,0,O3428/B3462)</f>
        <v/>
      </c>
      <c r="Q3428" t="n">
        <v>0</v>
      </c>
      <c r="R3428" t="n">
        <v>0</v>
      </c>
      <c r="S3428" t="n">
        <v>0</v>
      </c>
      <c r="T3428">
        <f>IF(C3428,(0.2*SUMPRODUCT((Skills!Z2:Z31=TRUE)*(C3420:C3449=TRUE)*S3420:S3449)*N3428)*IF(Inputs!$B$39="pvp",1,1+(Inputs!$B$20+((C3445=TRUE)*(F3445-Calc!F27))+Skills!P10+B3459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Hunt"),CHOOSE(ArtifactsInput!$N$35+1,15,18,21,24,27,30)*(1-EXP(-(0.2*B3454)*5)),0)+IF(AND(ArtifactsInput!$M$22,Inputs!$B$4&lt;&gt;"Chapter Hunt"),CHOOSE(ArtifactsInput!$N$22+1,10,12,14,16,18,20)*((0*(((0.15*B3454*5))^0/1)+1*(((0.15*B3454*5))^1/1)+2*(((0.15*B3454*5))^2/2)+3*(((0.15*B3454*5))^3/6)+4*(((0.15*B3454*5))^4/24)+5*(((0.15*B3454*5))^5/120))/((((0.15*B3454*5))^0/1)+(((0.15*B3454*5))^1/1)+(((0.15*B3454*5))^2/2)+(((0.15*B3454*5))^3/6)+(((0.15*B3454*5))^4/24)+(((0.15*B3454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3428*(1-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3428*(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3428*(1-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3428*(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28">
        <f>IF(C3428,(0.2*SUMPRODUCT((Skills!Z2:Z31=TRUE)*(C3420:C3449=TRUE)*S3420:S3449)*N3428)*IF(Inputs!$B$39="pvp",1,(1+(Inputs!$B$21+Skills!Q10+B3459+(IF(ArtifactsInput!$M$33,CHOOSE(ArtifactsInput!$N$33+1,30,36,42,48,54,60),0))+(IF(AND(ArtifactsInput!$M$35,Inputs!$B$4&lt;&gt;"Chapter Hunt"),CHOOSE(ArtifactsInput!$N$35+1,15,18,21,24,27,30)*(1-EXP(-(0.2*B3454)*5)),0)+IF(AND(ArtifactsInput!$M$22,Inputs!$B$4&lt;&gt;"Chapter Hunt"),CHOOSE(ArtifactsInput!$N$22+1,10,12,14,16,18,20)*((0*(((0.15*B3454*5))^0/1)+1*(((0.15*B3454*5))^1/1)+2*(((0.15*B3454*5))^2/2)+3*(((0.15*B3454*5))^3/6)+4*(((0.15*B3454*5))^4/24)+5*(((0.15*B3454*5))^5/120))/((((0.15*B3454*5))^0/1)+(((0.15*B3454*5))^1/1)+(((0.15*B3454*5))^2/2)+(((0.15*B3454*5))^3/6)+(((0.15*B3454*5))^4/24)+(((0.15*B3454*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29">
      <c r="A3429">
        <f>Skills!A11</f>
        <v/>
      </c>
      <c r="B3429">
        <f>Skills!B11</f>
        <v/>
      </c>
      <c r="C3429">
        <f>Inputs!$B$3&gt;=60</f>
        <v/>
      </c>
      <c r="D3429">
        <f>IF(Skills!C11=1,60+Inputs!$B$25+Inputs!$B$29,IF(Skills!C11=2,90+Inputs!$B$26+Inputs!$B$29,IF(Skills!C11=3,120+Inputs!$B$27+Inputs!$B$29,MAX(0,(Inputs!$B$3-100)*3)+Inputs!$B$28+Inputs!$B$29)))</f>
        <v/>
      </c>
      <c r="E3429">
        <f>INDEX(FactorTable!$B$2:$Y$301, MATCH(ROUND(MIN(300,MAX(1,D3429)),0), FactorTable!$A$2:$A$301,0), Skills!M11+1)</f>
        <v/>
      </c>
      <c r="F3429">
        <f>IF(Skills!N11=TRUE,(Skills!L11/10)*(E3429/1000),Skills!L11/10)+Skills!O11</f>
        <v/>
      </c>
      <c r="G3429">
        <f>Calc!G11</f>
        <v/>
      </c>
      <c r="H3429">
        <f>Calc!H11</f>
        <v/>
      </c>
      <c r="I3429">
        <f>IF(Skills!AA11&lt;&gt;"",1+(Skills!AA11/10)*(U3421/1000)/100,1)</f>
        <v/>
      </c>
      <c r="J3429" t="inlineStr"/>
      <c r="K3429" t="inlineStr"/>
      <c r="L3429" t="inlineStr"/>
      <c r="M3429" t="inlineStr"/>
      <c r="N3429" t="inlineStr"/>
      <c r="O3429">
        <f>(1-Summary!$B$11)*T3429+Summary!$B$11*V3429</f>
        <v/>
      </c>
      <c r="P3429">
        <f>IF(B3462=0,0,O3429/B3462)</f>
        <v/>
      </c>
      <c r="Q3429" t="n">
        <v>0</v>
      </c>
      <c r="R3429" t="n">
        <v>0</v>
      </c>
      <c r="S3429">
        <f>IFERROR(O3429/N3429,0)</f>
        <v/>
      </c>
      <c r="T3429" t="n">
        <v>0</v>
      </c>
      <c r="V3429" t="n">
        <v>0</v>
      </c>
    </row>
    <row r="3430">
      <c r="A3430">
        <f>Skills!A12</f>
        <v/>
      </c>
      <c r="B3430">
        <f>Skills!B12</f>
        <v/>
      </c>
      <c r="C3430">
        <f>Inputs!$B$3&gt;=103</f>
        <v/>
      </c>
      <c r="D3430">
        <f>IF(Skills!C12=1,60+Inputs!$B$25+Inputs!$B$29,IF(Skills!C12=2,90+Inputs!$B$26+Inputs!$B$29,IF(Skills!C12=3,120+Inputs!$B$27+Inputs!$B$29,MAX(0,(Inputs!$B$3-100)*3)+Inputs!$B$28+Inputs!$B$29)))</f>
        <v/>
      </c>
      <c r="E3430">
        <f>INDEX(FactorTable!$B$2:$Y$301, MATCH(ROUND(MIN(300,MAX(1,D3430)),0), FactorTable!$A$2:$A$301,0), Skills!M12+1)</f>
        <v/>
      </c>
      <c r="F3430">
        <f>IF(Skills!N12=TRUE,(Skills!L12/10)*(E3430/1000),Skills!L12/10)+Skills!O12</f>
        <v/>
      </c>
      <c r="G3430">
        <f>Calc!G12</f>
        <v/>
      </c>
      <c r="H3430">
        <f>Calc!H12</f>
        <v/>
      </c>
      <c r="I3430">
        <f>IF(Skills!AA12&lt;&gt;"",1+(Skills!AA12/10)*(U3421/1000)/100,1)</f>
        <v/>
      </c>
      <c r="J3430">
        <f>((Inputs!$B$6*(1+Inputs!$B$7/100))+(((Inputs!$B$12*(1+Inputs!$B$13/100))-(Inputs!$B$12*(1+Inputs!$B$13/100)))+0.25*(Inputs!$B$14-Inputs!$B$14))*(1+Inputs!$B$7/100))*(F3430/100)</f>
        <v/>
      </c>
      <c r="K3430">
        <f>J3430*(1+((Inputs!$B$12*(1+Inputs!$B$13/100))*0.01+Inputs!$B$14*0.0025)/100)*(1+Inputs!$B$15/100)*(1+Inputs!$B$16/100)*(5000/(6000+Inputs!$B$43*(1-(100*(1-(1-(Inputs!$B$19+0)/100)*(1-CHOOSE(ArtifactsInput!$N$40+1,5,6,7,8,9,10)/100)^(ArtifactsInput!$M$40-ArtifactsInput!$M$40)))/100)))*(1+(Inputs!$B$24+((C3448=TRUE)*(F3448-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3441=TRUE)*(F3441-Calc!F23))+(((IF(AND(ArtifactsInput!$M$42,((Inputs!$B$9+((C3443=TRUE)*(F3443-Calc!F25))+B3458+(ArtifactsInput!$M$24-ArtifactsInput!$M$24)*CHOOSE(ArtifactsInput!$N$24+1,10,12,14,16,18,20)+IF(ArtifactsInput!$M$10,CHOOSE(ArtifactsInput!$N$10+1,15,18,21,24,27,30)*(IF(Inputs!$B$39="pvp",MIN(15,15)/15,IF(AND(Inputs!$B$39&lt;&gt;"pvp",Inputs!$B$44&gt;0),MIN(15,Inputs!$B$44)/(Inputs!$B$44),0))),0)))&gt;=100),MIN(100,((Inputs!$B$9+((C3443=TRUE)*(F3443-Calc!F25))+B3458+(ArtifactsInput!$M$24-ArtifactsInput!$M$24)*CHOOSE(ArtifactsInput!$N$24+1,10,12,14,16,18,20)+IF(ArtifactsInput!$M$10,CHOOSE(ArtifactsInput!$N$10+1,15,18,21,24,27,30)*(IF(Inputs!$B$39="pvp",MIN(15,15)/15,IF(AND(Inputs!$B$39&lt;&gt;"pvp",Inputs!$B$44&gt;0),MIN(15,Inputs!$B$44)/(Inputs!$B$44),0))),0)))-100),0))*CHOOSE(ArtifactsInput!$N$42+1,0.6,0.72,0.84,0.96,1.08,1.2))),Inputs!$B$18+((C3447=TRUE)*(F3447-Calc!F29))+(IF(AND(ArtifactsInput!$M$42,((Inputs!$B$9+((C3443=TRUE)*(F3443-Calc!F25))+B3458+(ArtifactsInput!$M$24-ArtifactsInput!$M$24)*CHOOSE(ArtifactsInput!$N$24+1,10,12,14,16,18,20)+IF(ArtifactsInput!$M$10,CHOOSE(ArtifactsInput!$N$10+1,15,18,21,24,27,30)*(IF(Inputs!$B$39="pvp",MIN(15,15)/15,IF(AND(Inputs!$B$39&lt;&gt;"pvp",Inputs!$B$44&gt;0),MIN(15,Inputs!$B$44)/(Inputs!$B$44),0))),0)))&gt;=100),CHOOSE(ArtifactsInput!$N$42+1,40,48,56,64,72,80),0))))/100)*(((1+(((C3439=TRUE)*F3439*IF(AND(Inputs!$B$39&lt;&gt;"pvp",Inputs!$B$44&gt;0),(((R3439-1)*(Skills!Y21*(1+Inputs!$B$34/100))+MIN((Skills!Y21*(1+Inputs!$B$34/100)),MAX(0,Inputs!$B$44-((R3439-1)*Skills!D21))))/Inputs!$B$44),IF(Inputs!$B$39="pvp",MIN((Skills!Y21*(1+Inputs!$B$34/100)),15)/15,(Skills!Y21*(1+Inputs!$B$34/100))/Skills!D21)))+((C3446=TRUE)*(F3446-Calc!F28))+((C3436=TRUE)*(F3436-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3433=TRUE)*F3433*IF(AND(Inputs!$B$39&lt;&gt;"pvp",Inputs!$B$44&gt;0),(((R3433-1)*(Skills!Y15*(1+Inputs!$B$34/100))+MIN((Skills!Y15*(1+Inputs!$B$34/100)),MAX(0,Inputs!$B$44-((R3433-1)*Skills!D15))))/Inputs!$B$44),IF(Inputs!$B$39="pvp",MIN((Skills!Y15*(1+Inputs!$B$34/100)),15)/15,(Skills!Y15*(1+Inputs!$B$34/100))/Skills!D15)))/100)*(1+((C3424=TRUE)*F3424*B3452)/100))*B3460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3430)</f>
        <v/>
      </c>
      <c r="L3430">
        <f>K3430*(MIN(Inputs!$B$22+((C3442=TRUE)*(F3442-Calc!F24)),(Inputs!$B$23+0+(IF(ArtifactsInput!$M$15,CHOOSE(ArtifactsInput!$N$15+1,25,30,35,40,45,50)/100*(Inputs!$B$11-Inputs!$B$11),0))))/100+(Inputs!$B$23+0+(IF(ArtifactsInput!$M$15,CHOOSE(ArtifactsInput!$N$15+1,25,30,35,40,45,50)/100*(Inputs!$B$11-Inputs!$B$11),0)))/100)/2</f>
        <v/>
      </c>
      <c r="M3430">
        <f>L3430*(1+(Inputs!$B$10+((C3444=TRUE)*(F3444-Calc!F26))+B3461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30">
        <f>L3430*(1-MIN((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3430*(MIN((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30">
        <f>(1-Summary!$B$11)*T3430+Summary!$B$11*V3430</f>
        <v/>
      </c>
      <c r="P3430">
        <f>IF(B3462=0,0,O3430/B3462)</f>
        <v/>
      </c>
      <c r="Q3430">
        <f>IFERROR(1/IF(Inputs!$B$39="pvp",15,MAX(0.1,Skills!D12-IF(Skills!E12=TRUE,3.0,0))),0)</f>
        <v/>
      </c>
      <c r="R3430">
        <f>IF(AND(Inputs!$B$39&lt;&gt;"pvp",Inputs!$B$44&gt;0),IF(MAX(0,Inputs!$B$44-B3463)&lt;=0,0,(INT(MAX(0,Inputs!$B$44-B3463)/IF(Inputs!$B$39="pvp",15,MAX(0.1,Skills!D12-IF(Skills!E12=TRUE,3.0,0))))+1)),0)</f>
        <v/>
      </c>
      <c r="S3430">
        <f>IFERROR(O3430/N3430,0)</f>
        <v/>
      </c>
      <c r="T3430">
        <f>IF(C3430,(H3430*N3430*IF(AND(Inputs!$B$39&lt;&gt;"pvp",Inputs!$B$44&gt;0),((Skills!G12*((R3430-1)*IF(Skills!H12&gt;0,Skills!I12/Skills!H12,1)+IF(Skills!H12&gt;0,MIN(Skills!I12,MAX(0,MAX(0,Inputs!$B$44-B3463)-((R3430-1)*IF(Inputs!$B$39="pvp",15,MAX(0.1,Skills!D12-IF(Skills!E12=TRUE,3.0,0))))))/Skills!H12,1)))/Inputs!$B$44),G3430*Q3430))*IF(Inputs!$B$39="pvp",1,1+(Inputs!$B$20+((C3445=TRUE)*(F3445-Calc!F27))+Skills!P12+B3459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Hunt"),CHOOSE(ArtifactsInput!$N$35+1,15,18,21,24,27,30)*(1-EXP(-(0.2*B3454)*5)),0)+IF(AND(ArtifactsInput!$M$22,Inputs!$B$4&lt;&gt;"Chapter Hunt"),CHOOSE(ArtifactsInput!$N$22+1,10,12,14,16,18,20)*((0*(((0.15*B3454*5))^0/1)+1*(((0.15*B3454*5))^1/1)+2*(((0.15*B3454*5))^2/2)+3*(((0.15*B3454*5))^3/6)+4*(((0.15*B3454*5))^4/24)+5*(((0.15*B3454*5))^5/120))/((((0.15*B3454*5))^0/1)+(((0.15*B3454*5))^1/1)+(((0.15*B3454*5))^2/2)+(((0.15*B3454*5))^3/6)+(((0.15*B3454*5))^4/24)+(((0.15*B3454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3430*(1-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3430*(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3430*(1-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3430*(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30">
        <f>IF(C3430,(H3430*N3430*IF(AND(Inputs!$B$39&lt;&gt;"pvp",Inputs!$B$44&gt;0),((Skills!G12*((R3430-1)*IF(Skills!H12&gt;0,Skills!I12/Skills!H12,1)+IF(Skills!H12&gt;0,MIN(Skills!I12,MAX(0,MAX(0,Inputs!$B$44-B3463)-((R3430-1)*IF(Inputs!$B$39="pvp",15,MAX(0.1,Skills!D12-IF(Skills!E12=TRUE,3.0,0))))))/Skills!H12,1)))/Inputs!$B$44),G3430*Q3430))*IF(Inputs!$B$39="pvp",1,(1+(Inputs!$B$21+Skills!Q12+B3459+(IF(ArtifactsInput!$M$33,CHOOSE(ArtifactsInput!$N$33+1,30,36,42,48,54,60),0))+(IF(AND(ArtifactsInput!$M$35,Inputs!$B$4&lt;&gt;"Chapter Hunt"),CHOOSE(ArtifactsInput!$N$35+1,15,18,21,24,27,30)*(1-EXP(-(0.2*B3454)*5)),0)+IF(AND(ArtifactsInput!$M$22,Inputs!$B$4&lt;&gt;"Chapter Hunt"),CHOOSE(ArtifactsInput!$N$22+1,10,12,14,16,18,20)*((0*(((0.15*B3454*5))^0/1)+1*(((0.15*B3454*5))^1/1)+2*(((0.15*B3454*5))^2/2)+3*(((0.15*B3454*5))^3/6)+4*(((0.15*B3454*5))^4/24)+5*(((0.15*B3454*5))^5/120))/((((0.15*B3454*5))^0/1)+(((0.15*B3454*5))^1/1)+(((0.15*B3454*5))^2/2)+(((0.15*B3454*5))^3/6)+(((0.15*B3454*5))^4/24)+(((0.15*B3454*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31">
      <c r="A3431">
        <f>Skills!A13</f>
        <v/>
      </c>
      <c r="B3431">
        <f>Skills!B13</f>
        <v/>
      </c>
      <c r="C3431">
        <f>Inputs!$B$3&gt;=105</f>
        <v/>
      </c>
      <c r="D3431">
        <f>IF(Skills!C13=1,60+Inputs!$B$25+Inputs!$B$29,IF(Skills!C13=2,90+Inputs!$B$26+Inputs!$B$29,IF(Skills!C13=3,120+Inputs!$B$27+Inputs!$B$29,MAX(0,(Inputs!$B$3-100)*3)+Inputs!$B$28+Inputs!$B$29)))</f>
        <v/>
      </c>
      <c r="E3431">
        <f>INDEX(FactorTable!$B$2:$Y$301, MATCH(ROUND(MIN(300,MAX(1,D3431)),0), FactorTable!$A$2:$A$301,0), Skills!M13+1)</f>
        <v/>
      </c>
      <c r="F3431">
        <f>IF(Skills!N13=TRUE,(Skills!L13/10)*(E3431/1000),Skills!L13/10)+Skills!O13</f>
        <v/>
      </c>
      <c r="G3431">
        <f>Calc!G13</f>
        <v/>
      </c>
      <c r="H3431">
        <f>Calc!H13</f>
        <v/>
      </c>
      <c r="I3431">
        <f>IF(Skills!AA13&lt;&gt;"",1+(Skills!AA13/10)*(U3421/1000)/100,1)</f>
        <v/>
      </c>
      <c r="J3431">
        <f>((Inputs!$B$6*(1+Inputs!$B$7/100))+(((Inputs!$B$12*(1+Inputs!$B$13/100))-(Inputs!$B$12*(1+Inputs!$B$13/100)))+0.25*(Inputs!$B$14-Inputs!$B$14))*(1+Inputs!$B$7/100))*(F3431/100)</f>
        <v/>
      </c>
      <c r="K3431">
        <f>J3431*(1+((Inputs!$B$12*(1+Inputs!$B$13/100))*0.01+Inputs!$B$14*0.0025)/100)*(1+Inputs!$B$15/100)*(1+Inputs!$B$16/100)*(5000/(6000+Inputs!$B$43*(1-(100*(1-(1-(Inputs!$B$19+0)/100)*(1-CHOOSE(ArtifactsInput!$N$40+1,5,6,7,8,9,10)/100)^(ArtifactsInput!$M$40-ArtifactsInput!$M$40)))/100)))*(1+(Inputs!$B$24+((C3448=TRUE)*(F3448-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3441=TRUE)*(F3441-Calc!F23))+(((IF(AND(ArtifactsInput!$M$42,((Inputs!$B$9+((C3443=TRUE)*(F3443-Calc!F25))+B3458+(ArtifactsInput!$M$24-ArtifactsInput!$M$24)*CHOOSE(ArtifactsInput!$N$24+1,10,12,14,16,18,20)+IF(ArtifactsInput!$M$10,CHOOSE(ArtifactsInput!$N$10+1,15,18,21,24,27,30)*(IF(Inputs!$B$39="pvp",MIN(15,15)/15,IF(AND(Inputs!$B$39&lt;&gt;"pvp",Inputs!$B$44&gt;0),MIN(15,Inputs!$B$44)/(Inputs!$B$44),0))),0)))&gt;=100),MIN(100,((Inputs!$B$9+((C3443=TRUE)*(F3443-Calc!F25))+B3458+(ArtifactsInput!$M$24-ArtifactsInput!$M$24)*CHOOSE(ArtifactsInput!$N$24+1,10,12,14,16,18,20)+IF(ArtifactsInput!$M$10,CHOOSE(ArtifactsInput!$N$10+1,15,18,21,24,27,30)*(IF(Inputs!$B$39="pvp",MIN(15,15)/15,IF(AND(Inputs!$B$39&lt;&gt;"pvp",Inputs!$B$44&gt;0),MIN(15,Inputs!$B$44)/(Inputs!$B$44),0))),0)))-100),0))*CHOOSE(ArtifactsInput!$N$42+1,0.6,0.72,0.84,0.96,1.08,1.2))),Inputs!$B$18+((C3447=TRUE)*(F3447-Calc!F29))+(IF(AND(ArtifactsInput!$M$42,((Inputs!$B$9+((C3443=TRUE)*(F3443-Calc!F25))+B3458+(ArtifactsInput!$M$24-ArtifactsInput!$M$24)*CHOOSE(ArtifactsInput!$N$24+1,10,12,14,16,18,20)+IF(ArtifactsInput!$M$10,CHOOSE(ArtifactsInput!$N$10+1,15,18,21,24,27,30)*(IF(Inputs!$B$39="pvp",MIN(15,15)/15,IF(AND(Inputs!$B$39&lt;&gt;"pvp",Inputs!$B$44&gt;0),MIN(15,Inputs!$B$44)/(Inputs!$B$44),0))),0)))&gt;=100),CHOOSE(ArtifactsInput!$N$42+1,40,48,56,64,72,80),0))))/100)*(((1+(((C3439=TRUE)*F3439*IF(AND(Inputs!$B$39&lt;&gt;"pvp",Inputs!$B$44&gt;0),(((R3439-1)*(Skills!Y21*(1+Inputs!$B$34/100))+MIN((Skills!Y21*(1+Inputs!$B$34/100)),MAX(0,Inputs!$B$44-((R3439-1)*Skills!D21))))/Inputs!$B$44),IF(Inputs!$B$39="pvp",MIN((Skills!Y21*(1+Inputs!$B$34/100)),15)/15,(Skills!Y21*(1+Inputs!$B$34/100))/Skills!D21)))+((C3446=TRUE)*(F3446-Calc!F28))+((C3436=TRUE)*(F3436-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3433=TRUE)*F3433*IF(AND(Inputs!$B$39&lt;&gt;"pvp",Inputs!$B$44&gt;0),(((R3433-1)*(Skills!Y15*(1+Inputs!$B$34/100))+MIN((Skills!Y15*(1+Inputs!$B$34/100)),MAX(0,Inputs!$B$44-((R3433-1)*Skills!D15))))/Inputs!$B$44),IF(Inputs!$B$39="pvp",MIN((Skills!Y15*(1+Inputs!$B$34/100)),15)/15,(Skills!Y15*(1+Inputs!$B$34/100))/Skills!D15)))/100)*(1+((C3424=TRUE)*F3424*B3452)/100))*B3460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3431)</f>
        <v/>
      </c>
      <c r="L3431">
        <f>K3431*(MIN(Inputs!$B$22+((C3442=TRUE)*(F3442-Calc!F24)),(Inputs!$B$23+0+(IF(ArtifactsInput!$M$15,CHOOSE(ArtifactsInput!$N$15+1,25,30,35,40,45,50)/100*(Inputs!$B$11-Inputs!$B$11),0))))/100+(Inputs!$B$23+0+(IF(ArtifactsInput!$M$15,CHOOSE(ArtifactsInput!$N$15+1,25,30,35,40,45,50)/100*(Inputs!$B$11-Inputs!$B$11),0)))/100)/2</f>
        <v/>
      </c>
      <c r="M3431">
        <f>L3431*(1+(Inputs!$B$10+((C3444=TRUE)*(F3444-Calc!F26))+B3461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31">
        <f>L3431*(1-MIN((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3431*(MIN((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31">
        <f>(1-Summary!$B$11)*T3431+Summary!$B$11*V3431</f>
        <v/>
      </c>
      <c r="P3431">
        <f>IF(B3462=0,0,O3431/B3462)</f>
        <v/>
      </c>
      <c r="Q3431">
        <f>IFERROR(1/IF(Inputs!$B$39="pvp",15,MAX(0.1,Skills!D13-IF(Skills!E13=TRUE,3.0,0))),0)</f>
        <v/>
      </c>
      <c r="R3431">
        <f>IF(AND(Inputs!$B$39&lt;&gt;"pvp",Inputs!$B$44&gt;0),IF(MAX(0,Inputs!$B$44-B3463)&lt;=0,0,(INT(MAX(0,Inputs!$B$44-B3463)/IF(Inputs!$B$39="pvp",15,MAX(0.1,Skills!D13-IF(Skills!E13=TRUE,3.0,0))))+1)),0)</f>
        <v/>
      </c>
      <c r="S3431">
        <f>IFERROR(O3431/N3431,0)</f>
        <v/>
      </c>
      <c r="T3431">
        <f>IF(C3431,(H3431*N3431*IF(AND(Inputs!$B$39&lt;&gt;"pvp",Inputs!$B$44&gt;0),((Skills!G13*((R3431-1)*IF(Skills!H13&gt;0,Skills!I13/Skills!H13,1)+IF(Skills!H13&gt;0,MIN(Skills!I13,MAX(0,MAX(0,Inputs!$B$44-B3463)-((R3431-1)*IF(Inputs!$B$39="pvp",15,MAX(0.1,Skills!D13-IF(Skills!E13=TRUE,3.0,0))))))/Skills!H13,1)))/Inputs!$B$44),G3431*Q3431))*IF(Inputs!$B$39="pvp",1,1+(Inputs!$B$20+((C3445=TRUE)*(F3445-Calc!F27))+Skills!P13+B3459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Hunt"),CHOOSE(ArtifactsInput!$N$35+1,15,18,21,24,27,30)*(1-EXP(-(0.2*B3454)*5)),0)+IF(AND(ArtifactsInput!$M$22,Inputs!$B$4&lt;&gt;"Chapter Hunt"),CHOOSE(ArtifactsInput!$N$22+1,10,12,14,16,18,20)*((0*(((0.15*B3454*5))^0/1)+1*(((0.15*B3454*5))^1/1)+2*(((0.15*B3454*5))^2/2)+3*(((0.15*B3454*5))^3/6)+4*(((0.15*B3454*5))^4/24)+5*(((0.15*B3454*5))^5/120))/((((0.15*B3454*5))^0/1)+(((0.15*B3454*5))^1/1)+(((0.15*B3454*5))^2/2)+(((0.15*B3454*5))^3/6)+(((0.15*B3454*5))^4/24)+(((0.15*B3454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3431*(1-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3431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3431*(1-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3431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31">
        <f>IF(C3431,(H3431*N3431*IF(AND(Inputs!$B$39&lt;&gt;"pvp",Inputs!$B$44&gt;0),((Skills!G13*((R3431-1)*IF(Skills!H13&gt;0,Skills!I13/Skills!H13,1)+IF(Skills!H13&gt;0,MIN(Skills!I13,MAX(0,MAX(0,Inputs!$B$44-B3463)-((R3431-1)*IF(Inputs!$B$39="pvp",15,MAX(0.1,Skills!D13-IF(Skills!E13=TRUE,3.0,0))))))/Skills!H13,1)))/Inputs!$B$44),G3431*Q3431))*IF(Inputs!$B$39="pvp",1,(1+(Inputs!$B$21+Skills!Q13+B3459+(IF(ArtifactsInput!$M$33,CHOOSE(ArtifactsInput!$N$33+1,30,36,42,48,54,60),0))+(IF(AND(ArtifactsInput!$M$35,Inputs!$B$4&lt;&gt;"Chapter Hunt"),CHOOSE(ArtifactsInput!$N$35+1,15,18,21,24,27,30)*(1-EXP(-(0.2*B3454)*5)),0)+IF(AND(ArtifactsInput!$M$22,Inputs!$B$4&lt;&gt;"Chapter Hunt"),CHOOSE(ArtifactsInput!$N$22+1,10,12,14,16,18,20)*((0*(((0.15*B3454*5))^0/1)+1*(((0.15*B3454*5))^1/1)+2*(((0.15*B3454*5))^2/2)+3*(((0.15*B3454*5))^3/6)+4*(((0.15*B3454*5))^4/24)+5*(((0.15*B3454*5))^5/120))/((((0.15*B3454*5))^0/1)+(((0.15*B3454*5))^1/1)+(((0.15*B3454*5))^2/2)+(((0.15*B3454*5))^3/6)+(((0.15*B3454*5))^4/24)+(((0.15*B3454*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32">
      <c r="A3432">
        <f>Skills!A14</f>
        <v/>
      </c>
      <c r="B3432">
        <f>Skills!B14</f>
        <v/>
      </c>
      <c r="C3432">
        <f>Inputs!$B$3&gt;=105</f>
        <v/>
      </c>
      <c r="D3432">
        <f>IF(Skills!C14=1,60+Inputs!$B$25+Inputs!$B$29,IF(Skills!C14=2,90+Inputs!$B$26+Inputs!$B$29,IF(Skills!C14=3,120+Inputs!$B$27+Inputs!$B$29,MAX(0,(Inputs!$B$3-100)*3)+Inputs!$B$28+Inputs!$B$29)))</f>
        <v/>
      </c>
      <c r="E3432">
        <f>INDEX(FactorTable!$B$2:$Y$301, MATCH(ROUND(MIN(300,MAX(1,D3432)),0), FactorTable!$A$2:$A$301,0), Skills!M14+1)</f>
        <v/>
      </c>
      <c r="F3432">
        <f>IF(Skills!N14=TRUE,(Skills!L14/10)*(E3432/1000),Skills!L14/10)+Skills!O14</f>
        <v/>
      </c>
      <c r="G3432">
        <f>Calc!G14</f>
        <v/>
      </c>
      <c r="H3432">
        <f>Calc!H14</f>
        <v/>
      </c>
      <c r="I3432">
        <f>IF(Skills!AA14&lt;&gt;"",1+(Skills!AA14/10)*(U3421/1000)/100,1)</f>
        <v/>
      </c>
      <c r="J3432">
        <f>((Inputs!$B$6*(1+Inputs!$B$7/100))+(((Inputs!$B$12*(1+Inputs!$B$13/100))-(Inputs!$B$12*(1+Inputs!$B$13/100)))+0.25*(Inputs!$B$14-Inputs!$B$14))*(1+Inputs!$B$7/100))*(F3432/100)</f>
        <v/>
      </c>
      <c r="K3432">
        <f>J3432*(1+((Inputs!$B$12*(1+Inputs!$B$13/100))*0.01+Inputs!$B$14*0.0025)/100)*(1+Inputs!$B$15/100)*(1+Inputs!$B$16/100)*(5000/(6000+Inputs!$B$43*(1-(100*(1-(1-(Inputs!$B$19+0)/100)*(1-CHOOSE(ArtifactsInput!$N$40+1,5,6,7,8,9,10)/100)^(ArtifactsInput!$M$40-ArtifactsInput!$M$40)))/100)))*(1+(Inputs!$B$24+((C3448=TRUE)*(F3448-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3441=TRUE)*(F3441-Calc!F23))+(((IF(AND(ArtifactsInput!$M$42,((Inputs!$B$9+((C3443=TRUE)*(F3443-Calc!F25))+B3458+(ArtifactsInput!$M$24-ArtifactsInput!$M$24)*CHOOSE(ArtifactsInput!$N$24+1,10,12,14,16,18,20)+IF(ArtifactsInput!$M$10,CHOOSE(ArtifactsInput!$N$10+1,15,18,21,24,27,30)*(IF(Inputs!$B$39="pvp",MIN(15,15)/15,IF(AND(Inputs!$B$39&lt;&gt;"pvp",Inputs!$B$44&gt;0),MIN(15,Inputs!$B$44)/(Inputs!$B$44),0))),0)))&gt;=100),MIN(100,((Inputs!$B$9+((C3443=TRUE)*(F3443-Calc!F25))+B3458+(ArtifactsInput!$M$24-ArtifactsInput!$M$24)*CHOOSE(ArtifactsInput!$N$24+1,10,12,14,16,18,20)+IF(ArtifactsInput!$M$10,CHOOSE(ArtifactsInput!$N$10+1,15,18,21,24,27,30)*(IF(Inputs!$B$39="pvp",MIN(15,15)/15,IF(AND(Inputs!$B$39&lt;&gt;"pvp",Inputs!$B$44&gt;0),MIN(15,Inputs!$B$44)/(Inputs!$B$44),0))),0)))-100),0))*CHOOSE(ArtifactsInput!$N$42+1,0.6,0.72,0.84,0.96,1.08,1.2))),Inputs!$B$18+((C3447=TRUE)*(F3447-Calc!F29))+(IF(AND(ArtifactsInput!$M$42,((Inputs!$B$9+((C3443=TRUE)*(F3443-Calc!F25))+B3458+(ArtifactsInput!$M$24-ArtifactsInput!$M$24)*CHOOSE(ArtifactsInput!$N$24+1,10,12,14,16,18,20)+IF(ArtifactsInput!$M$10,CHOOSE(ArtifactsInput!$N$10+1,15,18,21,24,27,30)*(IF(Inputs!$B$39="pvp",MIN(15,15)/15,IF(AND(Inputs!$B$39&lt;&gt;"pvp",Inputs!$B$44&gt;0),MIN(15,Inputs!$B$44)/(Inputs!$B$44),0))),0)))&gt;=100),CHOOSE(ArtifactsInput!$N$42+1,40,48,56,64,72,80),0))))/100)*(((1+(((C3439=TRUE)*F3439*IF(AND(Inputs!$B$39&lt;&gt;"pvp",Inputs!$B$44&gt;0),(((R3439-1)*(Skills!Y21*(1+Inputs!$B$34/100))+MIN((Skills!Y21*(1+Inputs!$B$34/100)),MAX(0,Inputs!$B$44-((R3439-1)*Skills!D21))))/Inputs!$B$44),IF(Inputs!$B$39="pvp",MIN((Skills!Y21*(1+Inputs!$B$34/100)),15)/15,(Skills!Y21*(1+Inputs!$B$34/100))/Skills!D21)))+((C3446=TRUE)*(F3446-Calc!F28))+((C3436=TRUE)*(F3436-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3433=TRUE)*F3433*IF(AND(Inputs!$B$39&lt;&gt;"pvp",Inputs!$B$44&gt;0),(((R3433-1)*(Skills!Y15*(1+Inputs!$B$34/100))+MIN((Skills!Y15*(1+Inputs!$B$34/100)),MAX(0,Inputs!$B$44-((R3433-1)*Skills!D15))))/Inputs!$B$44),IF(Inputs!$B$39="pvp",MIN((Skills!Y15*(1+Inputs!$B$34/100)),15)/15,(Skills!Y15*(1+Inputs!$B$34/100))/Skills!D15)))/100)*(1+((C3424=TRUE)*F3424*B3452)/100))*B3460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3432)</f>
        <v/>
      </c>
      <c r="L3432">
        <f>K3432*(MIN(Inputs!$B$22+((C3442=TRUE)*(F3442-Calc!F24)),(Inputs!$B$23+0+(IF(ArtifactsInput!$M$15,CHOOSE(ArtifactsInput!$N$15+1,25,30,35,40,45,50)/100*(Inputs!$B$11-Inputs!$B$11),0))))/100+(Inputs!$B$23+0+(IF(ArtifactsInput!$M$15,CHOOSE(ArtifactsInput!$N$15+1,25,30,35,40,45,50)/100*(Inputs!$B$11-Inputs!$B$11),0)))/100)/2</f>
        <v/>
      </c>
      <c r="M3432">
        <f>L3432*(1+(Inputs!$B$10+((C3444=TRUE)*(F3444-Calc!F26))+B3461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32">
        <f>L3432*(1-MIN((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3432*(MIN((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32">
        <f>(1-Summary!$B$11)*T3432+Summary!$B$11*V3432</f>
        <v/>
      </c>
      <c r="P3432">
        <f>IF(B3462=0,0,O3432/B3462)</f>
        <v/>
      </c>
      <c r="Q3432">
        <f>IFERROR(1/IF(Inputs!$B$39="pvp",15,MAX(0.1,Skills!D14-IF(Skills!E14=TRUE,3.0,0))),0)</f>
        <v/>
      </c>
      <c r="R3432">
        <f>IF(AND(Inputs!$B$39&lt;&gt;"pvp",Inputs!$B$44&gt;0),IF(MAX(0,Inputs!$B$44-B3463)&lt;=0,0,(INT(MAX(0,Inputs!$B$44-B3463)/IF(Inputs!$B$39="pvp",15,MAX(0.1,Skills!D14-IF(Skills!E14=TRUE,3.0,0))))+1)),0)</f>
        <v/>
      </c>
      <c r="S3432">
        <f>IFERROR(O3432/N3432,0)</f>
        <v/>
      </c>
      <c r="T3432">
        <f>IF(C3432,(H3432*N3432*IF(AND(Inputs!$B$39&lt;&gt;"pvp",Inputs!$B$44&gt;0),((Skills!G14*((R3432-1)*IF(Skills!H14&gt;0,Skills!I14/Skills!H14,1)+IF(Skills!H14&gt;0,MIN(Skills!I14,MAX(0,MAX(0,Inputs!$B$44-B3463)-((R3432-1)*IF(Inputs!$B$39="pvp",15,MAX(0.1,Skills!D14-IF(Skills!E14=TRUE,3.0,0))))))/Skills!H14,1)))/Inputs!$B$44),G3432*Q3432))*IF(Inputs!$B$39="pvp",1,1+(Inputs!$B$20+((C3445=TRUE)*(F3445-Calc!F27))+Skills!P14+B3459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Hunt"),CHOOSE(ArtifactsInput!$N$35+1,15,18,21,24,27,30)*(1-EXP(-(0.2*B3454)*5)),0)+IF(AND(ArtifactsInput!$M$22,Inputs!$B$4&lt;&gt;"Chapter Hunt"),CHOOSE(ArtifactsInput!$N$22+1,10,12,14,16,18,20)*((0*(((0.15*B3454*5))^0/1)+1*(((0.15*B3454*5))^1/1)+2*(((0.15*B3454*5))^2/2)+3*(((0.15*B3454*5))^3/6)+4*(((0.15*B3454*5))^4/24)+5*(((0.15*B3454*5))^5/120))/((((0.15*B3454*5))^0/1)+(((0.15*B3454*5))^1/1)+(((0.15*B3454*5))^2/2)+(((0.15*B3454*5))^3/6)+(((0.15*B3454*5))^4/24)+(((0.15*B3454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3432*(1-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3432*(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3432*(1-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3432*(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32">
        <f>IF(C3432,(H3432*N3432*IF(AND(Inputs!$B$39&lt;&gt;"pvp",Inputs!$B$44&gt;0),((Skills!G14*((R3432-1)*IF(Skills!H14&gt;0,Skills!I14/Skills!H14,1)+IF(Skills!H14&gt;0,MIN(Skills!I14,MAX(0,MAX(0,Inputs!$B$44-B3463)-((R3432-1)*IF(Inputs!$B$39="pvp",15,MAX(0.1,Skills!D14-IF(Skills!E14=TRUE,3.0,0))))))/Skills!H14,1)))/Inputs!$B$44),G3432*Q3432))*IF(Inputs!$B$39="pvp",1,(1+(Inputs!$B$21+Skills!Q14+B3459+(IF(ArtifactsInput!$M$33,CHOOSE(ArtifactsInput!$N$33+1,30,36,42,48,54,60),0))+(IF(AND(ArtifactsInput!$M$35,Inputs!$B$4&lt;&gt;"Chapter Hunt"),CHOOSE(ArtifactsInput!$N$35+1,15,18,21,24,27,30)*(1-EXP(-(0.2*B3454)*5)),0)+IF(AND(ArtifactsInput!$M$22,Inputs!$B$4&lt;&gt;"Chapter Hunt"),CHOOSE(ArtifactsInput!$N$22+1,10,12,14,16,18,20)*((0*(((0.15*B3454*5))^0/1)+1*(((0.15*B3454*5))^1/1)+2*(((0.15*B3454*5))^2/2)+3*(((0.15*B3454*5))^3/6)+4*(((0.15*B3454*5))^4/24)+5*(((0.15*B3454*5))^5/120))/((((0.15*B3454*5))^0/1)+(((0.15*B3454*5))^1/1)+(((0.15*B3454*5))^2/2)+(((0.15*B3454*5))^3/6)+(((0.15*B3454*5))^4/24)+(((0.15*B3454*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33">
      <c r="A3433">
        <f>Skills!A15</f>
        <v/>
      </c>
      <c r="B3433">
        <f>Skills!B15</f>
        <v/>
      </c>
      <c r="C3433">
        <f>Inputs!$B$3&gt;=110</f>
        <v/>
      </c>
      <c r="D3433">
        <f>IF(Skills!C15=1,60+Inputs!$B$25+Inputs!$B$29,IF(Skills!C15=2,90+Inputs!$B$26+Inputs!$B$29,IF(Skills!C15=3,120+Inputs!$B$27+Inputs!$B$29,MAX(0,(Inputs!$B$3-100)*3)+Inputs!$B$28+Inputs!$B$29)))</f>
        <v/>
      </c>
      <c r="E3433">
        <f>INDEX(FactorTable!$B$2:$Y$301, MATCH(ROUND(MIN(300,MAX(1,D3433)),0), FactorTable!$A$2:$A$301,0), Skills!M15+1)</f>
        <v/>
      </c>
      <c r="F3433">
        <f>IF(Skills!N15=TRUE,(Skills!L15/10)*(E3433/1000),Skills!L15/10)+Skills!O15</f>
        <v/>
      </c>
      <c r="G3433">
        <f>Calc!G15</f>
        <v/>
      </c>
      <c r="H3433">
        <f>Calc!H15</f>
        <v/>
      </c>
      <c r="I3433">
        <f>IF(Skills!AA15&lt;&gt;"",1+(Skills!AA15/10)*(U3421/1000)/100,1)</f>
        <v/>
      </c>
      <c r="J3433" t="inlineStr"/>
      <c r="K3433" t="inlineStr"/>
      <c r="L3433" t="inlineStr"/>
      <c r="M3433" t="inlineStr"/>
      <c r="N3433" t="inlineStr"/>
      <c r="O3433">
        <f>(1-Summary!$B$11)*T3433+Summary!$B$11*V3433</f>
        <v/>
      </c>
      <c r="P3433">
        <f>IF(B3462=0,0,O3433/B3462)</f>
        <v/>
      </c>
      <c r="Q3433">
        <f>IFERROR(1/IF(Inputs!$B$39="pvp",15,MAX(0.1,Skills!D15-IF(Skills!E15=TRUE,3.0,0))),0)</f>
        <v/>
      </c>
      <c r="R3433">
        <f>IF(AND(Inputs!$B$39&lt;&gt;"pvp",Inputs!$B$44&gt;0),IF(Inputs!$B$44&lt;=0,0,(INT(Inputs!$B$44/IF(Inputs!$B$39="pvp",15,MAX(0.1,Skills!D15-IF(Skills!E15=TRUE,3.0,0))))+1)),0)</f>
        <v/>
      </c>
      <c r="S3433">
        <f>IFERROR(O3433/N3433,0)</f>
        <v/>
      </c>
      <c r="T3433" t="n">
        <v>0</v>
      </c>
      <c r="V3433" t="n">
        <v>0</v>
      </c>
    </row>
    <row r="3434">
      <c r="A3434">
        <f>Skills!A16</f>
        <v/>
      </c>
      <c r="B3434">
        <f>Skills!B16</f>
        <v/>
      </c>
      <c r="C3434">
        <f>Inputs!$B$3&gt;=110</f>
        <v/>
      </c>
      <c r="D3434">
        <f>IF(Skills!C16=1,60+Inputs!$B$25+Inputs!$B$29,IF(Skills!C16=2,90+Inputs!$B$26+Inputs!$B$29,IF(Skills!C16=3,120+Inputs!$B$27+Inputs!$B$29,MAX(0,(Inputs!$B$3-100)*3)+Inputs!$B$28+Inputs!$B$29)))</f>
        <v/>
      </c>
      <c r="E3434">
        <f>INDEX(FactorTable!$B$2:$Y$301, MATCH(ROUND(MIN(300,MAX(1,D3434)),0), FactorTable!$A$2:$A$301,0), Skills!M16+1)</f>
        <v/>
      </c>
      <c r="F3434">
        <f>IF(Skills!N16=TRUE,(Skills!L16/10)*(E3434/1000),Skills!L16/10)+Skills!O16</f>
        <v/>
      </c>
      <c r="G3434">
        <f>Calc!G16</f>
        <v/>
      </c>
      <c r="H3434">
        <f>Calc!H16</f>
        <v/>
      </c>
      <c r="I3434">
        <f>IF(Skills!AA16&lt;&gt;"",1+(Skills!AA16/10)*(U3421/1000)/100,1)</f>
        <v/>
      </c>
      <c r="J3434" t="inlineStr"/>
      <c r="K3434" t="inlineStr"/>
      <c r="L3434" t="inlineStr"/>
      <c r="M3434" t="inlineStr"/>
      <c r="N3434" t="inlineStr"/>
      <c r="O3434">
        <f>(1-Summary!$B$11)*T3434+Summary!$B$11*V3434</f>
        <v/>
      </c>
      <c r="P3434">
        <f>IF(B3462=0,0,O3434/B3462)</f>
        <v/>
      </c>
      <c r="Q3434">
        <f>IFERROR(1/IF(Inputs!$B$39="pvp",15,MAX(0.1,Skills!D16-IF(Skills!E16=TRUE,3.0,0))),0)</f>
        <v/>
      </c>
      <c r="R3434">
        <f>IF(AND(Inputs!$B$39&lt;&gt;"pvp",Inputs!$B$44&gt;0),IF(Inputs!$B$44&lt;=0,0,(INT(Inputs!$B$44/IF(Inputs!$B$39="pvp",15,MAX(0.1,Skills!D16-IF(Skills!E16=TRUE,3.0,0))))+1)),0)</f>
        <v/>
      </c>
      <c r="S3434">
        <f>IFERROR(O3434/N3434,0)</f>
        <v/>
      </c>
      <c r="T3434" t="n">
        <v>0</v>
      </c>
      <c r="V3434" t="n">
        <v>0</v>
      </c>
    </row>
    <row r="3435">
      <c r="A3435">
        <f>Skills!A17</f>
        <v/>
      </c>
      <c r="B3435">
        <f>Skills!B17</f>
        <v/>
      </c>
      <c r="C3435">
        <f>Inputs!$B$3&gt;=115</f>
        <v/>
      </c>
      <c r="D3435">
        <f>IF(Skills!C17=1,60+Inputs!$B$25+Inputs!$B$29,IF(Skills!C17=2,90+Inputs!$B$26+Inputs!$B$29,IF(Skills!C17=3,120+Inputs!$B$27+Inputs!$B$29,MAX(0,(Inputs!$B$3-100)*3)+Inputs!$B$28+Inputs!$B$29)))</f>
        <v/>
      </c>
      <c r="E3435">
        <f>INDEX(FactorTable!$B$2:$Y$301, MATCH(ROUND(MIN(300,MAX(1,D3435)),0), FactorTable!$A$2:$A$301,0), Skills!M17+1)</f>
        <v/>
      </c>
      <c r="F3435">
        <f>IF(Skills!N17=TRUE,(Skills!L17/10)*(E3435/1000),Skills!L17/10)+Skills!O17</f>
        <v/>
      </c>
      <c r="G3435">
        <f>Calc!G17</f>
        <v/>
      </c>
      <c r="H3435">
        <f>Calc!H17</f>
        <v/>
      </c>
      <c r="I3435">
        <f>IF(Skills!AA17&lt;&gt;"",1+(Skills!AA17/10)*(U3421/1000)/100,1)</f>
        <v/>
      </c>
      <c r="J3435">
        <f>((Inputs!$B$6*(1+Inputs!$B$7/100))+(((Inputs!$B$12*(1+Inputs!$B$13/100))-(Inputs!$B$12*(1+Inputs!$B$13/100)))+0.25*(Inputs!$B$14-Inputs!$B$14))*(1+Inputs!$B$7/100))*(F3435/100)</f>
        <v/>
      </c>
      <c r="K3435">
        <f>J3435*(1+((Inputs!$B$12*(1+Inputs!$B$13/100))*0.01+Inputs!$B$14*0.0025)/100)*(1+Inputs!$B$15/100)*(1+Inputs!$B$16/100)*(5000/(6000+Inputs!$B$43*(1-(100*(1-(1-(Inputs!$B$19+0)/100)*(1-CHOOSE(ArtifactsInput!$N$40+1,5,6,7,8,9,10)/100)^(ArtifactsInput!$M$40-ArtifactsInput!$M$40)))/100)))*(1+(Inputs!$B$24+((C3448=TRUE)*(F3448-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3441=TRUE)*(F3441-Calc!F23))+(((IF(AND(ArtifactsInput!$M$42,((Inputs!$B$9+((C3443=TRUE)*(F3443-Calc!F25))+B3458+(ArtifactsInput!$M$24-ArtifactsInput!$M$24)*CHOOSE(ArtifactsInput!$N$24+1,10,12,14,16,18,20)+IF(ArtifactsInput!$M$10,CHOOSE(ArtifactsInput!$N$10+1,15,18,21,24,27,30)*(IF(Inputs!$B$39="pvp",MIN(15,15)/15,IF(AND(Inputs!$B$39&lt;&gt;"pvp",Inputs!$B$44&gt;0),MIN(15,Inputs!$B$44)/(Inputs!$B$44),0))),0)))&gt;=100),MIN(100,((Inputs!$B$9+((C3443=TRUE)*(F3443-Calc!F25))+B3458+(ArtifactsInput!$M$24-ArtifactsInput!$M$24)*CHOOSE(ArtifactsInput!$N$24+1,10,12,14,16,18,20)+IF(ArtifactsInput!$M$10,CHOOSE(ArtifactsInput!$N$10+1,15,18,21,24,27,30)*(IF(Inputs!$B$39="pvp",MIN(15,15)/15,IF(AND(Inputs!$B$39&lt;&gt;"pvp",Inputs!$B$44&gt;0),MIN(15,Inputs!$B$44)/(Inputs!$B$44),0))),0)))-100),0))*CHOOSE(ArtifactsInput!$N$42+1,0.6,0.72,0.84,0.96,1.08,1.2))),Inputs!$B$18+((C3447=TRUE)*(F3447-Calc!F29))+(IF(AND(ArtifactsInput!$M$42,((Inputs!$B$9+((C3443=TRUE)*(F3443-Calc!F25))+B3458+(ArtifactsInput!$M$24-ArtifactsInput!$M$24)*CHOOSE(ArtifactsInput!$N$24+1,10,12,14,16,18,20)+IF(ArtifactsInput!$M$10,CHOOSE(ArtifactsInput!$N$10+1,15,18,21,24,27,30)*(IF(Inputs!$B$39="pvp",MIN(15,15)/15,IF(AND(Inputs!$B$39&lt;&gt;"pvp",Inputs!$B$44&gt;0),MIN(15,Inputs!$B$44)/(Inputs!$B$44),0))),0)))&gt;=100),CHOOSE(ArtifactsInput!$N$42+1,40,48,56,64,72,80),0))))/100)*(((1+(((C3439=TRUE)*F3439*IF(AND(Inputs!$B$39&lt;&gt;"pvp",Inputs!$B$44&gt;0),(((R3439-1)*(Skills!Y21*(1+Inputs!$B$34/100))+MIN((Skills!Y21*(1+Inputs!$B$34/100)),MAX(0,Inputs!$B$44-((R3439-1)*Skills!D21))))/Inputs!$B$44),IF(Inputs!$B$39="pvp",MIN((Skills!Y21*(1+Inputs!$B$34/100)),15)/15,(Skills!Y21*(1+Inputs!$B$34/100))/Skills!D21)))+((C3446=TRUE)*(F3446-Calc!F28))+((C3436=TRUE)*(F3436-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3433=TRUE)*F3433*IF(AND(Inputs!$B$39&lt;&gt;"pvp",Inputs!$B$44&gt;0),(((R3433-1)*(Skills!Y15*(1+Inputs!$B$34/100))+MIN((Skills!Y15*(1+Inputs!$B$34/100)),MAX(0,Inputs!$B$44-((R3433-1)*Skills!D15))))/Inputs!$B$44),IF(Inputs!$B$39="pvp",MIN((Skills!Y15*(1+Inputs!$B$34/100)),15)/15,(Skills!Y15*(1+Inputs!$B$34/100))/Skills!D15)))/100)*(1+((C3424=TRUE)*F3424*B3452)/100))*B3460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3435)</f>
        <v/>
      </c>
      <c r="L3435">
        <f>K3435*(MIN(Inputs!$B$22+((C3442=TRUE)*(F3442-Calc!F24)),(Inputs!$B$23+0+(IF(ArtifactsInput!$M$15,CHOOSE(ArtifactsInput!$N$15+1,25,30,35,40,45,50)/100*(Inputs!$B$11-Inputs!$B$11),0))))/100+(Inputs!$B$23+0+(IF(ArtifactsInput!$M$15,CHOOSE(ArtifactsInput!$N$15+1,25,30,35,40,45,50)/100*(Inputs!$B$11-Inputs!$B$11),0)))/100)/2</f>
        <v/>
      </c>
      <c r="M3435">
        <f>L3435*(1+(Inputs!$B$10+((C3444=TRUE)*(F3444-Calc!F26))+B3461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35">
        <f>L3435*(1-MIN((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3435*(MIN((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35">
        <f>(1-Summary!$B$11)*T3435+Summary!$B$11*V3435</f>
        <v/>
      </c>
      <c r="P3435">
        <f>IF(B3462=0,0,O3435/B3462)</f>
        <v/>
      </c>
      <c r="Q3435" t="n">
        <v>0</v>
      </c>
      <c r="R3435" t="n">
        <v>0</v>
      </c>
      <c r="S3435">
        <f>IFERROR(O3435/N3435,0)</f>
        <v/>
      </c>
      <c r="T3435">
        <f>IF(C3435,(Inputs!$B$38*0.2*N3435)*IF(Inputs!$B$39="pvp",1,1+(Inputs!$B$20+((C3445=TRUE)*(F3445-Calc!F27))+Skills!P17+B3459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Hunt"),CHOOSE(ArtifactsInput!$N$35+1,15,18,21,24,27,30)*(1-EXP(-(0.2*B3454)*5)),0)+IF(AND(ArtifactsInput!$M$22,Inputs!$B$4&lt;&gt;"Chapter Hunt"),CHOOSE(ArtifactsInput!$N$22+1,10,12,14,16,18,20)*((0*(((0.15*B3454*5))^0/1)+1*(((0.15*B3454*5))^1/1)+2*(((0.15*B3454*5))^2/2)+3*(((0.15*B3454*5))^3/6)+4*(((0.15*B3454*5))^4/24)+5*(((0.15*B3454*5))^5/120))/((((0.15*B3454*5))^0/1)+(((0.15*B3454*5))^1/1)+(((0.15*B3454*5))^2/2)+(((0.15*B3454*5))^3/6)+(((0.15*B3454*5))^4/24)+(((0.15*B3454*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3435*(1-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3435*(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3435*(1-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3435*(MIN(100,(Inputs!$B$9+((C3443=TRUE)*(F3443-Calc!F25))+B3458+(ArtifactsInput!$M$24-ArtifactsInput!$M$24)*CHOOSE(ArtifactsInput!$N$24+1,10,12,14,16,18,20)+(IF(AND(ArtifactsInput!$M$42,((Inputs!$B$9+((C3443=TRUE)*(F3443-Calc!F25))+B3458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35">
        <f>IF(C3435,(Inputs!$B$38*0.2*N3435)*IF(Inputs!$B$39="pvp",1,(1+(Inputs!$B$21+Skills!Q17+B3459+(IF(ArtifactsInput!$M$33,CHOOSE(ArtifactsInput!$N$33+1,30,36,42,48,54,60),0))+(IF(AND(ArtifactsInput!$M$35,Inputs!$B$4&lt;&gt;"Chapter Hunt"),CHOOSE(ArtifactsInput!$N$35+1,15,18,21,24,27,30)*(1-EXP(-(0.2*B3454)*5)),0)+IF(AND(ArtifactsInput!$M$22,Inputs!$B$4&lt;&gt;"Chapter Hunt"),CHOOSE(ArtifactsInput!$N$22+1,10,12,14,16,18,20)*((0*(((0.15*B3454*5))^0/1)+1*(((0.15*B3454*5))^1/1)+2*(((0.15*B3454*5))^2/2)+3*(((0.15*B3454*5))^3/6)+4*(((0.15*B3454*5))^4/24)+5*(((0.15*B3454*5))^5/120))/((((0.15*B3454*5))^0/1)+(((0.15*B3454*5))^1/1)+(((0.15*B3454*5))^2/2)+(((0.15*B3454*5))^3/6)+(((0.15*B3454*5))^4/24)+(((0.15*B3454*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36">
      <c r="A3436">
        <f>Skills!A18</f>
        <v/>
      </c>
      <c r="B3436">
        <f>Skills!B18</f>
        <v/>
      </c>
      <c r="C3436">
        <f>Inputs!$B$3&gt;=115</f>
        <v/>
      </c>
      <c r="D3436">
        <f>IF(Skills!C18=1,60+Inputs!$B$25+Inputs!$B$29,IF(Skills!C18=2,90+Inputs!$B$26+Inputs!$B$29,IF(Skills!C18=3,120+Inputs!$B$27+Inputs!$B$29,MAX(0,(Inputs!$B$3-100)*3)+Inputs!$B$28+Inputs!$B$29)))</f>
        <v/>
      </c>
      <c r="E3436">
        <f>INDEX(FactorTable!$B$2:$Y$301, MATCH(ROUND(MIN(300,MAX(1,D3436)),0), FactorTable!$A$2:$A$301,0), Skills!M18+1)</f>
        <v/>
      </c>
      <c r="F3436">
        <f>IF(Skills!N18=TRUE,(Skills!L18/10)*(E3436/1000),Skills!L18/10)+Skills!O18</f>
        <v/>
      </c>
      <c r="G3436">
        <f>Calc!G18</f>
        <v/>
      </c>
      <c r="H3436">
        <f>Calc!H18</f>
        <v/>
      </c>
      <c r="I3436">
        <f>IF(Skills!AA18&lt;&gt;"",1+(Skills!AA18/10)*(U3421/1000)/100,1)</f>
        <v/>
      </c>
      <c r="J3436" t="inlineStr"/>
      <c r="K3436" t="inlineStr"/>
      <c r="L3436" t="inlineStr"/>
      <c r="M3436" t="inlineStr"/>
      <c r="N3436" t="inlineStr"/>
      <c r="O3436">
        <f>(1-Summary!$B$11)*T3436+Summary!$B$11*V3436</f>
        <v/>
      </c>
      <c r="P3436">
        <f>IF(B3462=0,0,O3436/B3462)</f>
        <v/>
      </c>
      <c r="Q3436" t="n">
        <v>0</v>
      </c>
      <c r="R3436" t="n">
        <v>0</v>
      </c>
      <c r="S3436">
        <f>IFERROR(O3436/N3436,0)</f>
        <v/>
      </c>
      <c r="T3436" t="n">
        <v>0</v>
      </c>
      <c r="V3436" t="n">
        <v>0</v>
      </c>
    </row>
    <row r="3437">
      <c r="A3437">
        <f>Skills!A19</f>
        <v/>
      </c>
      <c r="B3437">
        <f>Skills!B19</f>
        <v/>
      </c>
      <c r="C3437">
        <f>TRUE</f>
        <v/>
      </c>
      <c r="D3437">
        <f>IF(Skills!C19=1,60+Inputs!$B$25+Inputs!$B$29,IF(Skills!C19=2,90+Inputs!$B$26+Inputs!$B$29,IF(Skills!C19=3,120+Inputs!$B$27+Inputs!$B$29,MAX(0,(Inputs!$B$3-100)*3)+Inputs!$B$28+Inputs!$B$29)))</f>
        <v/>
      </c>
      <c r="E3437">
        <f>INDEX(FactorTable!$B$2:$Y$301, MATCH(ROUND(MIN(300,MAX(1,D3437)),0), FactorTable!$A$2:$A$301,0), Skills!M19+1)</f>
        <v/>
      </c>
      <c r="F3437">
        <f>IF(Skills!N19=TRUE,(Skills!L19/10)*(E3437/1000),Skills!L19/10)+Skills!O19</f>
        <v/>
      </c>
      <c r="G3437">
        <f>Calc!G19</f>
        <v/>
      </c>
      <c r="H3437">
        <f>Calc!H19</f>
        <v/>
      </c>
      <c r="I3437">
        <f>IF(Skills!AA19&lt;&gt;"",1+(Skills!AA19/10)*(U3421/1000)/100,1)</f>
        <v/>
      </c>
      <c r="J3437" t="inlineStr"/>
      <c r="K3437" t="inlineStr"/>
      <c r="L3437" t="inlineStr"/>
      <c r="M3437" t="inlineStr"/>
      <c r="N3437" t="inlineStr"/>
      <c r="O3437">
        <f>(1-Summary!$B$11)*T3437+Summary!$B$11*V3437</f>
        <v/>
      </c>
      <c r="P3437">
        <f>IF(B3462=0,0,O3437/B3462)</f>
        <v/>
      </c>
      <c r="Q3437">
        <f>IFERROR(1/IF(Inputs!$B$39="pvp",15,MAX(0.1,Skills!D19-IF(Skills!E19=TRUE,3.0,0))),0)</f>
        <v/>
      </c>
      <c r="R3437">
        <f>IF(AND(Inputs!$B$39&lt;&gt;"pvp",Inputs!$B$44&gt;0),IF(Inputs!$B$44&lt;=0,0,(INT(Inputs!$B$44/IF(Inputs!$B$39="pvp",15,MAX(0.1,Skills!D19-IF(Skills!E19=TRUE,3.0,0))))+1)),0)</f>
        <v/>
      </c>
      <c r="S3437">
        <f>IFERROR(O3437/N3437,0)</f>
        <v/>
      </c>
      <c r="T3437" t="n">
        <v>0</v>
      </c>
      <c r="V3437" t="n">
        <v>0</v>
      </c>
    </row>
    <row r="3438">
      <c r="A3438">
        <f>Skills!A20</f>
        <v/>
      </c>
      <c r="B3438">
        <f>Skills!B20</f>
        <v/>
      </c>
      <c r="C3438">
        <f>Inputs!$B$3&gt;=15</f>
        <v/>
      </c>
      <c r="D3438">
        <f>IF(Skills!C20=1,60+Inputs!$B$25+Inputs!$B$29,IF(Skills!C20=2,90+Inputs!$B$26+Inputs!$B$29,IF(Skills!C20=3,120+Inputs!$B$27+Inputs!$B$29,MAX(0,(Inputs!$B$3-100)*3)+Inputs!$B$28+Inputs!$B$29)))</f>
        <v/>
      </c>
      <c r="E3438">
        <f>INDEX(FactorTable!$B$2:$Y$301, MATCH(ROUND(MIN(300,MAX(1,D3438)),0), FactorTable!$A$2:$A$301,0), Skills!M20+1)</f>
        <v/>
      </c>
      <c r="F3438">
        <f>IF(Skills!N20=TRUE,(Skills!L20/10)*(E3438/1000),Skills!L20/10)+Skills!O20</f>
        <v/>
      </c>
      <c r="G3438">
        <f>Calc!G20</f>
        <v/>
      </c>
      <c r="H3438">
        <f>Calc!H20</f>
        <v/>
      </c>
      <c r="I3438">
        <f>IF(Skills!AA20&lt;&gt;"",1+(Skills!AA20/10)*(U3421/1000)/100,1)</f>
        <v/>
      </c>
      <c r="J3438" t="inlineStr"/>
      <c r="K3438" t="inlineStr"/>
      <c r="L3438" t="inlineStr"/>
      <c r="M3438" t="inlineStr"/>
      <c r="N3438" t="inlineStr"/>
      <c r="O3438">
        <f>(1-Summary!$B$11)*T3438+Summary!$B$11*V3438</f>
        <v/>
      </c>
      <c r="P3438">
        <f>IF(B3462=0,0,O3438/B3462)</f>
        <v/>
      </c>
      <c r="Q3438">
        <f>IFERROR(1/IF(Inputs!$B$39="pvp",15,MAX(0.1,Skills!D20-IF(Skills!E20=TRUE,3.0,0))),0)</f>
        <v/>
      </c>
      <c r="R3438">
        <f>IF(AND(Inputs!$B$39&lt;&gt;"pvp",Inputs!$B$44&gt;0),IF(Inputs!$B$44&lt;=0,0,(INT(Inputs!$B$44/IF(Inputs!$B$39="pvp",15,MAX(0.1,Skills!D20-IF(Skills!E20=TRUE,3.0,0))))+1)),0)</f>
        <v/>
      </c>
      <c r="S3438">
        <f>IFERROR(O3438/N3438,0)</f>
        <v/>
      </c>
      <c r="T3438" t="n">
        <v>0</v>
      </c>
      <c r="V3438" t="n">
        <v>0</v>
      </c>
    </row>
    <row r="3439">
      <c r="A3439">
        <f>Skills!A21</f>
        <v/>
      </c>
      <c r="B3439">
        <f>Skills!B21</f>
        <v/>
      </c>
      <c r="C3439">
        <f>Inputs!$B$3&gt;=15</f>
        <v/>
      </c>
      <c r="D3439">
        <f>IF(Skills!C21=1,60+Inputs!$B$25+Inputs!$B$29,IF(Skills!C21=2,90+Inputs!$B$26+Inputs!$B$29,IF(Skills!C21=3,120+Inputs!$B$27+Inputs!$B$29,MAX(0,(Inputs!$B$3-100)*3)+Inputs!$B$28+Inputs!$B$29)))</f>
        <v/>
      </c>
      <c r="E3439">
        <f>INDEX(FactorTable!$B$2:$Y$301, MATCH(ROUND(MIN(300,MAX(1,D3439)),0), FactorTable!$A$2:$A$301,0), Skills!M21+1)</f>
        <v/>
      </c>
      <c r="F3439">
        <f>IF(Skills!N21=TRUE,(Skills!L21/10)*(E3439/1000),Skills!L21/10)+Skills!O21</f>
        <v/>
      </c>
      <c r="G3439">
        <f>Calc!G21</f>
        <v/>
      </c>
      <c r="H3439">
        <f>Calc!H21</f>
        <v/>
      </c>
      <c r="I3439">
        <f>IF(Skills!AA21&lt;&gt;"",1+(Skills!AA21/10)*(U3421/1000)/100,1)</f>
        <v/>
      </c>
      <c r="J3439" t="inlineStr"/>
      <c r="K3439" t="inlineStr"/>
      <c r="L3439" t="inlineStr"/>
      <c r="M3439" t="inlineStr"/>
      <c r="N3439" t="inlineStr"/>
      <c r="O3439">
        <f>(1-Summary!$B$11)*T3439+Summary!$B$11*V3439</f>
        <v/>
      </c>
      <c r="P3439">
        <f>IF(B3462=0,0,O3439/B3462)</f>
        <v/>
      </c>
      <c r="Q3439">
        <f>IFERROR(1/IF(Inputs!$B$39="pvp",15,MAX(0.1,Skills!D21-IF(Skills!E21=TRUE,3.0,0))),0)</f>
        <v/>
      </c>
      <c r="R3439">
        <f>IF(AND(Inputs!$B$39&lt;&gt;"pvp",Inputs!$B$44&gt;0),IF(Inputs!$B$44&lt;=0,0,(INT(Inputs!$B$44/IF(Inputs!$B$39="pvp",15,MAX(0.1,Skills!D21-IF(Skills!E21=TRUE,3.0,0))))+1)),0)</f>
        <v/>
      </c>
      <c r="S3439">
        <f>IFERROR(O3439/N3439,0)</f>
        <v/>
      </c>
      <c r="T3439" t="n">
        <v>0</v>
      </c>
      <c r="V3439" t="n">
        <v>0</v>
      </c>
    </row>
    <row r="3440">
      <c r="A3440">
        <f>Skills!A22</f>
        <v/>
      </c>
      <c r="B3440">
        <f>Skills!B22</f>
        <v/>
      </c>
      <c r="C3440">
        <f>Inputs!$B$3&gt;=33</f>
        <v/>
      </c>
      <c r="D3440">
        <f>IF(Skills!C22=1,60+Inputs!$B$25+Inputs!$B$29,IF(Skills!C22=2,90+Inputs!$B$26+Inputs!$B$29,IF(Skills!C22=3,120+Inputs!$B$27+Inputs!$B$29,MAX(0,(Inputs!$B$3-100)*3)+Inputs!$B$28+Inputs!$B$29)))</f>
        <v/>
      </c>
      <c r="E3440">
        <f>INDEX(FactorTable!$B$2:$Y$301, MATCH(ROUND(MIN(300,MAX(1,D3440)),0), FactorTable!$A$2:$A$301,0), Skills!M22+1)</f>
        <v/>
      </c>
      <c r="F3440">
        <f>IF(Skills!N22=TRUE,(Skills!L22/10)*(E3440/1000),Skills!L22/10)+Skills!O22</f>
        <v/>
      </c>
      <c r="G3440">
        <f>Calc!G22</f>
        <v/>
      </c>
      <c r="H3440">
        <f>Calc!H22</f>
        <v/>
      </c>
      <c r="I3440">
        <f>IF(Skills!AA22&lt;&gt;"",1+(Skills!AA22/10)*(U3421/1000)/100,1)</f>
        <v/>
      </c>
      <c r="J3440" t="inlineStr"/>
      <c r="K3440" t="inlineStr"/>
      <c r="L3440" t="inlineStr"/>
      <c r="M3440" t="inlineStr"/>
      <c r="N3440" t="inlineStr"/>
      <c r="O3440">
        <f>(1-Summary!$B$11)*T3440+Summary!$B$11*V3440</f>
        <v/>
      </c>
      <c r="P3440">
        <f>IF(B3462=0,0,O3440/B3462)</f>
        <v/>
      </c>
      <c r="Q3440" t="n">
        <v>0</v>
      </c>
      <c r="R3440" t="n">
        <v>0</v>
      </c>
      <c r="S3440">
        <f>IFERROR(O3440/N3440,0)</f>
        <v/>
      </c>
      <c r="T3440" t="n">
        <v>0</v>
      </c>
      <c r="V3440" t="n">
        <v>0</v>
      </c>
    </row>
    <row r="3441">
      <c r="A3441">
        <f>Skills!A23</f>
        <v/>
      </c>
      <c r="B3441">
        <f>Skills!B23</f>
        <v/>
      </c>
      <c r="C3441">
        <f>Inputs!$B$3&gt;=38</f>
        <v/>
      </c>
      <c r="D3441">
        <f>IF(Skills!C23=1,60+Inputs!$B$25+Inputs!$B$29,IF(Skills!C23=2,90+Inputs!$B$26+Inputs!$B$29,IF(Skills!C23=3,120+Inputs!$B$27+Inputs!$B$29,MAX(0,(Inputs!$B$3-100)*3)+Inputs!$B$28+Inputs!$B$29)))</f>
        <v/>
      </c>
      <c r="E3441">
        <f>INDEX(FactorTable!$B$2:$Y$301, MATCH(ROUND(MIN(300,MAX(1,D3441)),0), FactorTable!$A$2:$A$301,0), Skills!M23+1)</f>
        <v/>
      </c>
      <c r="F3441">
        <f>IF(Skills!N23=TRUE,(Skills!L23/10)*(E3441/1000),Skills!L23/10)+Skills!O23</f>
        <v/>
      </c>
      <c r="G3441">
        <f>Calc!G23</f>
        <v/>
      </c>
      <c r="H3441">
        <f>Calc!H23</f>
        <v/>
      </c>
      <c r="I3441">
        <f>IF(Skills!AA23&lt;&gt;"",1+(Skills!AA23/10)*(U3421/1000)/100,1)</f>
        <v/>
      </c>
      <c r="J3441" t="inlineStr"/>
      <c r="K3441" t="inlineStr"/>
      <c r="L3441" t="inlineStr"/>
      <c r="M3441" t="inlineStr"/>
      <c r="N3441" t="inlineStr"/>
      <c r="O3441">
        <f>(1-Summary!$B$11)*T3441+Summary!$B$11*V3441</f>
        <v/>
      </c>
      <c r="P3441">
        <f>IF(B3462=0,0,O3441/B3462)</f>
        <v/>
      </c>
      <c r="Q3441" t="n">
        <v>0</v>
      </c>
      <c r="R3441" t="n">
        <v>0</v>
      </c>
      <c r="S3441">
        <f>IFERROR(O3441/N3441,0)</f>
        <v/>
      </c>
      <c r="T3441" t="n">
        <v>0</v>
      </c>
      <c r="V3441" t="n">
        <v>0</v>
      </c>
    </row>
    <row r="3442">
      <c r="A3442">
        <f>Skills!A24</f>
        <v/>
      </c>
      <c r="B3442">
        <f>Skills!B24</f>
        <v/>
      </c>
      <c r="C3442">
        <f>Inputs!$B$3&gt;=40</f>
        <v/>
      </c>
      <c r="D3442">
        <f>IF(Skills!C24=1,60+Inputs!$B$25+Inputs!$B$29,IF(Skills!C24=2,90+Inputs!$B$26+Inputs!$B$29,IF(Skills!C24=3,120+Inputs!$B$27+Inputs!$B$29,MAX(0,(Inputs!$B$3-100)*3)+Inputs!$B$28+Inputs!$B$29)))</f>
        <v/>
      </c>
      <c r="E3442">
        <f>INDEX(FactorTable!$B$2:$Y$301, MATCH(ROUND(MIN(300,MAX(1,D3442)),0), FactorTable!$A$2:$A$301,0), Skills!M24+1)</f>
        <v/>
      </c>
      <c r="F3442">
        <f>IF(Skills!N24=TRUE,(Skills!L24/10)*(E3442/1000),Skills!L24/10)+Skills!O24</f>
        <v/>
      </c>
      <c r="G3442">
        <f>Calc!G24</f>
        <v/>
      </c>
      <c r="H3442">
        <f>Calc!H24</f>
        <v/>
      </c>
      <c r="I3442">
        <f>IF(Skills!AA24&lt;&gt;"",1+(Skills!AA24/10)*(U3421/1000)/100,1)</f>
        <v/>
      </c>
      <c r="J3442" t="inlineStr"/>
      <c r="K3442" t="inlineStr"/>
      <c r="L3442" t="inlineStr"/>
      <c r="M3442" t="inlineStr"/>
      <c r="N3442" t="inlineStr"/>
      <c r="O3442">
        <f>(1-Summary!$B$11)*T3442+Summary!$B$11*V3442</f>
        <v/>
      </c>
      <c r="P3442">
        <f>IF(B3462=0,0,O3442/B3462)</f>
        <v/>
      </c>
      <c r="Q3442" t="n">
        <v>0</v>
      </c>
      <c r="R3442" t="n">
        <v>0</v>
      </c>
      <c r="S3442">
        <f>IFERROR(O3442/N3442,0)</f>
        <v/>
      </c>
      <c r="T3442" t="n">
        <v>0</v>
      </c>
      <c r="V3442" t="n">
        <v>0</v>
      </c>
    </row>
    <row r="3443">
      <c r="A3443">
        <f>Skills!A25</f>
        <v/>
      </c>
      <c r="B3443">
        <f>Skills!B25</f>
        <v/>
      </c>
      <c r="C3443">
        <f>Inputs!$B$3&gt;=45</f>
        <v/>
      </c>
      <c r="D3443">
        <f>IF(Skills!C25=1,60+Inputs!$B$25+Inputs!$B$29,IF(Skills!C25=2,90+Inputs!$B$26+Inputs!$B$29,IF(Skills!C25=3,120+Inputs!$B$27+Inputs!$B$29,MAX(0,(Inputs!$B$3-100)*3)+Inputs!$B$28+Inputs!$B$29)))</f>
        <v/>
      </c>
      <c r="E3443">
        <f>INDEX(FactorTable!$B$2:$Y$301, MATCH(ROUND(MIN(300,MAX(1,D3443)),0), FactorTable!$A$2:$A$301,0), Skills!M25+1)</f>
        <v/>
      </c>
      <c r="F3443">
        <f>IF(Skills!N25=TRUE,(Skills!L25/10)*(E3443/1000),Skills!L25/10)+Skills!O25</f>
        <v/>
      </c>
      <c r="G3443">
        <f>Calc!G25</f>
        <v/>
      </c>
      <c r="H3443">
        <f>Calc!H25</f>
        <v/>
      </c>
      <c r="I3443">
        <f>IF(Skills!AA25&lt;&gt;"",1+(Skills!AA25/10)*(U3421/1000)/100,1)</f>
        <v/>
      </c>
      <c r="J3443" t="inlineStr"/>
      <c r="K3443" t="inlineStr"/>
      <c r="L3443" t="inlineStr"/>
      <c r="M3443" t="inlineStr"/>
      <c r="N3443" t="inlineStr"/>
      <c r="O3443">
        <f>(1-Summary!$B$11)*T3443+Summary!$B$11*V3443</f>
        <v/>
      </c>
      <c r="P3443">
        <f>IF(B3462=0,0,O3443/B3462)</f>
        <v/>
      </c>
      <c r="Q3443" t="n">
        <v>0</v>
      </c>
      <c r="R3443" t="n">
        <v>0</v>
      </c>
      <c r="S3443">
        <f>IFERROR(O3443/N3443,0)</f>
        <v/>
      </c>
      <c r="T3443" t="n">
        <v>0</v>
      </c>
      <c r="V3443" t="n">
        <v>0</v>
      </c>
    </row>
    <row r="3444">
      <c r="A3444">
        <f>Skills!A26</f>
        <v/>
      </c>
      <c r="B3444">
        <f>Skills!B26</f>
        <v/>
      </c>
      <c r="C3444">
        <f>Inputs!$B$3&gt;=45</f>
        <v/>
      </c>
      <c r="D3444">
        <f>IF(Skills!C26=1,60+Inputs!$B$25+Inputs!$B$29,IF(Skills!C26=2,90+Inputs!$B$26+Inputs!$B$29,IF(Skills!C26=3,120+Inputs!$B$27+Inputs!$B$29,MAX(0,(Inputs!$B$3-100)*3)+Inputs!$B$28+Inputs!$B$29)))</f>
        <v/>
      </c>
      <c r="E3444">
        <f>INDEX(FactorTable!$B$2:$Y$301, MATCH(ROUND(MIN(300,MAX(1,D3444)),0), FactorTable!$A$2:$A$301,0), Skills!M26+1)</f>
        <v/>
      </c>
      <c r="F3444">
        <f>IF(Skills!N26=TRUE,(Skills!L26/10)*(E3444/1000),Skills!L26/10)+Skills!O26</f>
        <v/>
      </c>
      <c r="G3444">
        <f>Calc!G26</f>
        <v/>
      </c>
      <c r="H3444">
        <f>Calc!H26</f>
        <v/>
      </c>
      <c r="I3444">
        <f>IF(Skills!AA26&lt;&gt;"",1+(Skills!AA26/10)*(U3421/1000)/100,1)</f>
        <v/>
      </c>
      <c r="J3444" t="inlineStr"/>
      <c r="K3444" t="inlineStr"/>
      <c r="L3444" t="inlineStr"/>
      <c r="M3444" t="inlineStr"/>
      <c r="N3444" t="inlineStr"/>
      <c r="O3444">
        <f>(1-Summary!$B$11)*T3444+Summary!$B$11*V3444</f>
        <v/>
      </c>
      <c r="P3444">
        <f>IF(B3462=0,0,O3444/B3462)</f>
        <v/>
      </c>
      <c r="Q3444" t="n">
        <v>0</v>
      </c>
      <c r="R3444" t="n">
        <v>0</v>
      </c>
      <c r="S3444">
        <f>IFERROR(O3444/N3444,0)</f>
        <v/>
      </c>
      <c r="T3444" t="n">
        <v>0</v>
      </c>
      <c r="V3444" t="n">
        <v>0</v>
      </c>
    </row>
    <row r="3445">
      <c r="A3445">
        <f>Skills!A27</f>
        <v/>
      </c>
      <c r="B3445">
        <f>Skills!B27</f>
        <v/>
      </c>
      <c r="C3445">
        <f>Inputs!$B$3&gt;=72</f>
        <v/>
      </c>
      <c r="D3445">
        <f>IF(Skills!C27=1,60+Inputs!$B$25+Inputs!$B$29,IF(Skills!C27=2,90+Inputs!$B$26+Inputs!$B$29,IF(Skills!C27=3,120+Inputs!$B$27+Inputs!$B$29,MAX(0,(Inputs!$B$3-100)*3)+Inputs!$B$28+Inputs!$B$29)))</f>
        <v/>
      </c>
      <c r="E3445">
        <f>INDEX(FactorTable!$B$2:$Y$301, MATCH(ROUND(MIN(300,MAX(1,D3445)),0), FactorTable!$A$2:$A$301,0), Skills!M27+1)</f>
        <v/>
      </c>
      <c r="F3445">
        <f>IF(Skills!N27=TRUE,(Skills!L27/10)*(E3445/1000),Skills!L27/10)+Skills!O27</f>
        <v/>
      </c>
      <c r="G3445">
        <f>Calc!G27</f>
        <v/>
      </c>
      <c r="H3445">
        <f>Calc!H27</f>
        <v/>
      </c>
      <c r="I3445">
        <f>IF(Skills!AA27&lt;&gt;"",1+(Skills!AA27/10)*(U3421/1000)/100,1)</f>
        <v/>
      </c>
      <c r="J3445" t="inlineStr"/>
      <c r="K3445" t="inlineStr"/>
      <c r="L3445" t="inlineStr"/>
      <c r="M3445" t="inlineStr"/>
      <c r="N3445" t="inlineStr"/>
      <c r="O3445">
        <f>(1-Summary!$B$11)*T3445+Summary!$B$11*V3445</f>
        <v/>
      </c>
      <c r="P3445">
        <f>IF(B3462=0,0,O3445/B3462)</f>
        <v/>
      </c>
      <c r="Q3445" t="n">
        <v>0</v>
      </c>
      <c r="R3445" t="n">
        <v>0</v>
      </c>
      <c r="S3445">
        <f>IFERROR(O3445/N3445,0)</f>
        <v/>
      </c>
      <c r="T3445" t="n">
        <v>0</v>
      </c>
      <c r="V3445" t="n">
        <v>0</v>
      </c>
    </row>
    <row r="3446">
      <c r="A3446">
        <f>Skills!A28</f>
        <v/>
      </c>
      <c r="B3446">
        <f>Skills!B28</f>
        <v/>
      </c>
      <c r="C3446">
        <f>Inputs!$B$3&gt;=75</f>
        <v/>
      </c>
      <c r="D3446">
        <f>IF(Skills!C28=1,60+Inputs!$B$25+Inputs!$B$29,IF(Skills!C28=2,90+Inputs!$B$26+Inputs!$B$29,IF(Skills!C28=3,120+Inputs!$B$27+Inputs!$B$29,MAX(0,(Inputs!$B$3-100)*3)+Inputs!$B$28+Inputs!$B$29)))</f>
        <v/>
      </c>
      <c r="E3446">
        <f>INDEX(FactorTable!$B$2:$Y$301, MATCH(ROUND(MIN(300,MAX(1,D3446)),0), FactorTable!$A$2:$A$301,0), Skills!M28+1)</f>
        <v/>
      </c>
      <c r="F3446">
        <f>IF(Skills!N28=TRUE,(Skills!L28/10)*(E3446/1000),Skills!L28/10)+Skills!O28</f>
        <v/>
      </c>
      <c r="G3446">
        <f>Calc!G28</f>
        <v/>
      </c>
      <c r="H3446">
        <f>Calc!H28</f>
        <v/>
      </c>
      <c r="I3446">
        <f>IF(Skills!AA28&lt;&gt;"",1+(Skills!AA28/10)*(U3421/1000)/100,1)</f>
        <v/>
      </c>
      <c r="J3446" t="inlineStr"/>
      <c r="K3446" t="inlineStr"/>
      <c r="L3446" t="inlineStr"/>
      <c r="M3446" t="inlineStr"/>
      <c r="N3446" t="inlineStr"/>
      <c r="O3446">
        <f>(1-Summary!$B$11)*T3446+Summary!$B$11*V3446</f>
        <v/>
      </c>
      <c r="P3446">
        <f>IF(B3462=0,0,O3446/B3462)</f>
        <v/>
      </c>
      <c r="Q3446" t="n">
        <v>0</v>
      </c>
      <c r="R3446" t="n">
        <v>0</v>
      </c>
      <c r="S3446">
        <f>IFERROR(O3446/N3446,0)</f>
        <v/>
      </c>
      <c r="T3446" t="n">
        <v>0</v>
      </c>
      <c r="V3446" t="n">
        <v>0</v>
      </c>
    </row>
    <row r="3447">
      <c r="A3447">
        <f>Skills!A29</f>
        <v/>
      </c>
      <c r="B3447">
        <f>Skills!B29</f>
        <v/>
      </c>
      <c r="C3447">
        <f>Inputs!$B$3&gt;=120</f>
        <v/>
      </c>
      <c r="D3447">
        <f>IF(Skills!C29=1,60+Inputs!$B$25+Inputs!$B$29,IF(Skills!C29=2,90+Inputs!$B$26+Inputs!$B$29,IF(Skills!C29=3,120+Inputs!$B$27+Inputs!$B$29,MAX(0,(Inputs!$B$3-100)*3)+Inputs!$B$28+Inputs!$B$29)))</f>
        <v/>
      </c>
      <c r="E3447">
        <f>INDEX(FactorTable!$B$2:$Y$301, MATCH(ROUND(MIN(300,MAX(1,D3447)),0), FactorTable!$A$2:$A$301,0), Skills!M29+1)</f>
        <v/>
      </c>
      <c r="F3447">
        <f>IF(Skills!N29=TRUE,(Skills!L29/10)*(E3447/1000),Skills!L29/10)+Skills!O29</f>
        <v/>
      </c>
      <c r="G3447">
        <f>Calc!G29</f>
        <v/>
      </c>
      <c r="H3447">
        <f>Calc!H29</f>
        <v/>
      </c>
      <c r="I3447">
        <f>IF(Skills!AA29&lt;&gt;"",1+(Skills!AA29/10)*(U3421/1000)/100,1)</f>
        <v/>
      </c>
      <c r="J3447" t="inlineStr"/>
      <c r="K3447" t="inlineStr"/>
      <c r="L3447" t="inlineStr"/>
      <c r="M3447" t="inlineStr"/>
      <c r="N3447" t="inlineStr"/>
      <c r="O3447">
        <f>(1-Summary!$B$11)*T3447+Summary!$B$11*V3447</f>
        <v/>
      </c>
      <c r="P3447">
        <f>IF(B3462=0,0,O3447/B3462)</f>
        <v/>
      </c>
      <c r="Q3447" t="n">
        <v>0</v>
      </c>
      <c r="R3447" t="n">
        <v>0</v>
      </c>
      <c r="S3447">
        <f>IFERROR(O3447/N3447,0)</f>
        <v/>
      </c>
      <c r="T3447" t="n">
        <v>0</v>
      </c>
      <c r="V3447" t="n">
        <v>0</v>
      </c>
    </row>
    <row r="3448">
      <c r="A3448">
        <f>Skills!A30</f>
        <v/>
      </c>
      <c r="B3448">
        <f>Skills!B30</f>
        <v/>
      </c>
      <c r="C3448">
        <f>Inputs!$B$3&gt;=125</f>
        <v/>
      </c>
      <c r="D3448">
        <f>IF(Skills!C30=1,60+Inputs!$B$25+Inputs!$B$29,IF(Skills!C30=2,90+Inputs!$B$26+Inputs!$B$29,IF(Skills!C30=3,120+Inputs!$B$27+Inputs!$B$29,MAX(0,(Inputs!$B$3-100)*3)+Inputs!$B$28+Inputs!$B$29)))</f>
        <v/>
      </c>
      <c r="E3448">
        <f>INDEX(FactorTable!$B$2:$Y$301, MATCH(ROUND(MIN(300,MAX(1,D3448)),0), FactorTable!$A$2:$A$301,0), Skills!M30+1)</f>
        <v/>
      </c>
      <c r="F3448">
        <f>IF(Skills!N30=TRUE,(Skills!L30/10)*(E3448/1000),Skills!L30/10)+Skills!O30</f>
        <v/>
      </c>
      <c r="G3448">
        <f>Calc!G30</f>
        <v/>
      </c>
      <c r="H3448">
        <f>Calc!H30</f>
        <v/>
      </c>
      <c r="I3448">
        <f>IF(Skills!AA30&lt;&gt;"",1+(Skills!AA30/10)*(U3421/1000)/100,1)</f>
        <v/>
      </c>
      <c r="J3448" t="inlineStr"/>
      <c r="K3448" t="inlineStr"/>
      <c r="L3448" t="inlineStr"/>
      <c r="M3448" t="inlineStr"/>
      <c r="N3448" t="inlineStr"/>
      <c r="O3448">
        <f>(1-Summary!$B$11)*T3448+Summary!$B$11*V3448</f>
        <v/>
      </c>
      <c r="P3448">
        <f>IF(B3462=0,0,O3448/B3462)</f>
        <v/>
      </c>
      <c r="Q3448" t="n">
        <v>0</v>
      </c>
      <c r="R3448" t="n">
        <v>0</v>
      </c>
      <c r="S3448">
        <f>IFERROR(O3448/N3448,0)</f>
        <v/>
      </c>
      <c r="T3448" t="n">
        <v>0</v>
      </c>
      <c r="V3448" t="n">
        <v>0</v>
      </c>
    </row>
    <row r="3449">
      <c r="A3449">
        <f>Skills!A31</f>
        <v/>
      </c>
      <c r="B3449">
        <f>Skills!B31</f>
        <v/>
      </c>
      <c r="C3449">
        <f>Inputs!$B$3&gt;=107</f>
        <v/>
      </c>
      <c r="D3449">
        <f>IF(Skills!C31=1,60+Inputs!$B$25+Inputs!$B$29,IF(Skills!C31=2,90+Inputs!$B$26+Inputs!$B$29,IF(Skills!C31=3,120+Inputs!$B$27+Inputs!$B$29,MAX(0,(Inputs!$B$3-100)*3)+Inputs!$B$28+Inputs!$B$29)))</f>
        <v/>
      </c>
      <c r="E3449">
        <f>INDEX(FactorTable!$B$2:$Y$301, MATCH(ROUND(MIN(300,MAX(1,D3449)),0), FactorTable!$A$2:$A$301,0), Skills!M31+1)</f>
        <v/>
      </c>
      <c r="F3449">
        <f>IF(Skills!N31=TRUE,(Skills!L31/10)*(E3449/1000),Skills!L31/10)+Skills!O31</f>
        <v/>
      </c>
      <c r="G3449">
        <f>Calc!G31</f>
        <v/>
      </c>
      <c r="H3449">
        <f>Calc!H31</f>
        <v/>
      </c>
      <c r="I3449">
        <f>IF(Skills!AA31&lt;&gt;"",1+(Skills!AA31/10)*(U3421/1000)/100,1)</f>
        <v/>
      </c>
      <c r="J3449" t="inlineStr"/>
      <c r="K3449" t="inlineStr"/>
      <c r="L3449" t="inlineStr"/>
      <c r="M3449" t="inlineStr"/>
      <c r="N3449" t="inlineStr"/>
      <c r="O3449">
        <f>(1-Summary!$B$11)*T3449+Summary!$B$11*V3449</f>
        <v/>
      </c>
      <c r="P3449">
        <f>IF(B3462=0,0,O3449/B3462)</f>
        <v/>
      </c>
      <c r="Q3449" t="n">
        <v>0</v>
      </c>
      <c r="R3449" t="n">
        <v>0</v>
      </c>
      <c r="S3449">
        <f>IFERROR(O3449/N3449,0)</f>
        <v/>
      </c>
      <c r="T3449" t="n">
        <v>0</v>
      </c>
      <c r="V3449" t="n">
        <v>0</v>
      </c>
    </row>
    <row r="3451">
      <c r="A3451" t="inlineStr">
        <is>
          <t>Actions Per Second (pre-Adrenalin)</t>
        </is>
      </c>
      <c r="B3451">
        <f>1+MIN(150,150*(1-(1-(Inputs!$B$11+((C3440=TRUE)*(F3440-Calc!F22))+(ArtifactsInput!$M$15-ArtifactsInput!$M$15)*CHOOSE(ArtifactsInput!$N$15+1,8,9.6,11.2,12.8,14.4,16))/150)*(1-((C3437=TRUE)*F3437*IF(AND(Inputs!$B$39&lt;&gt;"pvp",Inputs!$B$44&gt;0),(((R3437-1)*(Skills!Y19*(1+Inputs!$B$34/100))+MIN((Skills!Y19*(1+Inputs!$B$34/100)),MAX(0,Inputs!$B$44-((R3437-1)*Skills!D19))))/Inputs!$B$44),IF(Inputs!$B$39="pvp",MIN((Skills!Y19*(1+Inputs!$B$34/100)),15)/15,(Skills!Y19*(1+Inputs!$B$34/100))/Skills!D19)))/150)))/100</f>
        <v/>
      </c>
    </row>
    <row r="3452">
      <c r="A3452" t="inlineStr">
        <is>
          <t>Alchemic Adrenaline Uptime</t>
        </is>
      </c>
      <c r="B3452">
        <f>(Skills!Y6*(1+Inputs!$B$34/100))/((Skills!Y6*(1+Inputs!$B$34/100))+(5/B3451))</f>
        <v/>
      </c>
    </row>
    <row r="3453">
      <c r="A3453" t="inlineStr">
        <is>
          <t>Attack Speed Buff Bonus %</t>
        </is>
      </c>
      <c r="B3453">
        <f>((C3437=TRUE)*F3437*IF(AND(Inputs!$B$39&lt;&gt;"pvp",Inputs!$B$44&gt;0),(((R3437-1)*(Skills!Y19*(1+Inputs!$B$34/100))+MIN((Skills!Y19*(1+Inputs!$B$34/100)),MAX(0,Inputs!$B$44-((R3437-1)*Skills!D19))))/Inputs!$B$44),IF(Inputs!$B$39="pvp",MIN((Skills!Y19*(1+Inputs!$B$34/100)),15)/15,(Skills!Y19*(1+Inputs!$B$34/100))/Skills!D19)))+((C3425=TRUE)*F3425*B3452)</f>
        <v/>
      </c>
    </row>
    <row r="3454">
      <c r="A3454" t="inlineStr">
        <is>
          <t>Actions Per Second (final)</t>
        </is>
      </c>
      <c r="B3454">
        <f>1+MIN(150,150*(1-(1-(Inputs!$B$11+((C3440=TRUE)*(F3440-Calc!F22))+(ArtifactsInput!$M$15-ArtifactsInput!$M$15)*CHOOSE(ArtifactsInput!$N$15+1,8,9.6,11.2,12.8,14.4,16))/150)*(1-B3453/150)))/100</f>
        <v/>
      </c>
    </row>
    <row r="3455">
      <c r="A3455" t="inlineStr">
        <is>
          <t>Skill + Buff Cast Rate</t>
        </is>
      </c>
      <c r="B3455">
        <f>IF(AND(Inputs!$B$39&lt;&gt;"pvp",Inputs!$B$44&gt;0),SUMPRODUCT((Skills!E2:E31=TRUE)*(C3420:C3449=TRUE)*R3420:R3449*Skills!F2:F31)/Inputs!$B$44,SUMPRODUCT((Skills!E2:E31=TRUE)*(C3420:C3449=TRUE)*Q3420:Q3449*Skills!F2:F31))</f>
        <v/>
      </c>
    </row>
    <row r="3456">
      <c r="A3456" t="inlineStr">
        <is>
          <t>Showdown Casts Per Second</t>
        </is>
      </c>
      <c r="B3456">
        <f>MAX(0,B3454-B3455)</f>
        <v/>
      </c>
    </row>
    <row r="3457">
      <c r="A3457" t="inlineStr">
        <is>
          <t>Average Buff Multiplier</t>
        </is>
      </c>
      <c r="B3457">
        <f>(1+(((C3439=TRUE)*F3439*IF(AND(Inputs!$B$39&lt;&gt;"pvp",Inputs!$B$44&gt;0),(((R3439-1)*(Skills!Y21*(1+Inputs!$B$34/100))+MIN((Skills!Y21*(1+Inputs!$B$34/100)),MAX(0,Inputs!$B$44-((R3439-1)*Skills!D21))))/Inputs!$B$44),IF(Inputs!$B$39="pvp",MIN((Skills!Y21*(1+Inputs!$B$34/100)),15)/15,(Skills!Y21*(1+Inputs!$B$34/100))/Skills!D21)))+((C3446=TRUE)*(F3446-Calc!F28))+((C3436=TRUE)*(F3436-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3433=TRUE)*F3433*IF(AND(Inputs!$B$39&lt;&gt;"pvp",Inputs!$B$44&gt;0),(((R3433-1)*(Skills!Y15*(1+Inputs!$B$34/100))+MIN((Skills!Y15*(1+Inputs!$B$34/100)),MAX(0,Inputs!$B$44-((R3433-1)*Skills!D15))))/Inputs!$B$44),IF(Inputs!$B$39="pvp",MIN((Skills!Y15*(1+Inputs!$B$34/100)),15)/15,(Skills!Y15*(1+Inputs!$B$34/100))/Skills!D15)))/100)*(1+((C3424=TRUE)*F3424*B3452)/100)</f>
        <v/>
      </c>
    </row>
    <row r="3458">
      <c r="A3458" t="inlineStr">
        <is>
          <t>Global Crit Rate Bonus %</t>
        </is>
      </c>
      <c r="B3458">
        <f>IF(Inputs!$B$3&gt;=47,8,0)+((C3438=TRUE)*F3438*IF(AND(Inputs!$B$39&lt;&gt;"pvp",Inputs!$B$44&gt;0),(((R3438-1)*(Skills!Y20*(1+Inputs!$B$34/100))+MIN((Skills!Y20*(1+Inputs!$B$34/100)),MAX(0,Inputs!$B$44-((R3438-1)*Skills!D20))))/Inputs!$B$44),IF(Inputs!$B$39="pvp",MIN((Skills!Y20*(1+Inputs!$B$34/100)),15)/15,(Skills!Y20*(1+Inputs!$B$34/100))/Skills!D20)))</f>
        <v/>
      </c>
    </row>
    <row r="3459">
      <c r="A3459" t="inlineStr">
        <is>
          <t>Global Monster Damage-Taken Bonus %</t>
        </is>
      </c>
      <c r="B3459">
        <f>IF(Inputs!$B$3&gt;=82,15,0)+((C3434=TRUE)*F3434*IF(AND(Inputs!$B$39&lt;&gt;"pvp",Inputs!$B$44&gt;0),(((R3434-1)*(Skills!Y16*(1+Inputs!$B$34/100))+MIN((Skills!Y16*(1+Inputs!$B$34/100)),MAX(0,Inputs!$B$44-((R3434-1)*Skills!D16))))/Inputs!$B$44),IF(Inputs!$B$39="pvp",MIN((Skills!Y16*(1+Inputs!$B$34/100)),15)/15,(Skills!Y16*(1+Inputs!$B$34/100))/Skills!D16)))</f>
        <v/>
      </c>
    </row>
    <row r="3460">
      <c r="A3460" t="inlineStr">
        <is>
          <t>Shadow Partner Average Multiplier</t>
        </is>
      </c>
      <c r="B3460">
        <f>1+((C3429=TRUE)*F3429*I3429*Skills!J11/100)/100</f>
        <v/>
      </c>
    </row>
    <row r="3461">
      <c r="A3461" t="inlineStr">
        <is>
          <t>Global Critical Damage Bonus % (Frailty Curse Mastery Lv.111)</t>
        </is>
      </c>
      <c r="B3461">
        <f>IF(Inputs!$B$3&gt;=111,30,0)*IF(AND(Inputs!$B$39&lt;&gt;"pvp",Inputs!$B$44&gt;0),(((R3434-1)*(Skills!Y16*(1+Inputs!$B$34/100))+MIN((Skills!Y16*(1+Inputs!$B$34/100)),MAX(0,Inputs!$B$44-((R3434-1)*Skills!D16))))/Inputs!$B$44),IF(Inputs!$B$39="pvp",MIN((Skills!Y16*(1+Inputs!$B$34/100)),15)/15,(Skills!Y16*(1+Inputs!$B$34/100))/Skills!D16))</f>
        <v/>
      </c>
    </row>
    <row r="3462">
      <c r="A3462" s="6" t="inlineStr">
        <is>
          <t>TOTAL DPS</t>
        </is>
      </c>
      <c r="B3462" s="6">
        <f>SUM(O3420:O3449)</f>
        <v/>
      </c>
    </row>
    <row r="3463">
      <c r="A3463" t="inlineStr">
        <is>
          <t>Buff-Casting Startup Delay (s, fixed-duration only)</t>
        </is>
      </c>
      <c r="B3463">
        <f>IF(AND(Inputs!$B$39&lt;&gt;"pvp",Inputs!$B$44&gt;0),SUMPRODUCT((Skills!Y2:Y31&gt;0)*(Skills!E2:E31=TRUE)*(C3420:C3449=TRUE))/B3454,0)</f>
        <v/>
      </c>
    </row>
    <row r="3464">
      <c r="A3464" t="inlineStr">
        <is>
          <t>Boss-Only Total DPS (this block's swept value)</t>
        </is>
      </c>
      <c r="B3464">
        <f>SUM(T3420:T3449)</f>
        <v/>
      </c>
    </row>
    <row r="3465">
      <c r="A3465" t="inlineStr">
        <is>
          <t>Normal-Only Total DPS (this block's swept value)</t>
        </is>
      </c>
      <c r="B3465">
        <f>SUM(V3420:V3449)</f>
        <v/>
      </c>
    </row>
    <row r="3467">
      <c r="A3467" s="6" t="inlineStr">
        <is>
          <t>Stat: CDR = 3.5s</t>
        </is>
      </c>
    </row>
    <row r="3468">
      <c r="A3468" s="5" t="inlineStr">
        <is>
          <t>Key</t>
        </is>
      </c>
      <c r="B3468" s="5" t="inlineStr">
        <is>
          <t>Name</t>
        </is>
      </c>
      <c r="C3468" s="5" t="inlineStr">
        <is>
          <t>Unlocked</t>
        </is>
      </c>
      <c r="D3468" s="5" t="inlineStr">
        <is>
          <t>InputLevel</t>
        </is>
      </c>
      <c r="E3468" s="5" t="inlineStr">
        <is>
          <t>Factor</t>
        </is>
      </c>
      <c r="F3468" s="5" t="inlineStr">
        <is>
          <t>CoefficientPercent</t>
        </is>
      </c>
      <c r="G3468" s="5" t="inlineStr">
        <is>
          <t>EffectiveHits</t>
        </is>
      </c>
      <c r="H3468" s="5" t="inlineStr">
        <is>
          <t>ProcProbability</t>
        </is>
      </c>
      <c r="I3468" s="5" t="inlineStr">
        <is>
          <t>MapleHeroMultiplier</t>
        </is>
      </c>
      <c r="J3468" s="5" t="inlineStr">
        <is>
          <t>BaseDamage</t>
        </is>
      </c>
      <c r="K3468" s="5" t="inlineStr">
        <is>
          <t>BaseHitDamage</t>
        </is>
      </c>
      <c r="L3468" s="5" t="inlineStr">
        <is>
          <t>NonCritAvg</t>
        </is>
      </c>
      <c r="M3468" s="5" t="inlineStr">
        <is>
          <t>CritAvg</t>
        </is>
      </c>
      <c r="N3468" s="5" t="inlineStr">
        <is>
          <t>ExpectedDamage(perHit)</t>
        </is>
      </c>
      <c r="O3468" s="5" t="inlineStr">
        <is>
          <t>DPS</t>
        </is>
      </c>
      <c r="P3468" s="5" t="inlineStr">
        <is>
          <t>% of Total</t>
        </is>
      </c>
      <c r="Q3468" s="5" t="inlineStr">
        <is>
          <t>InvCooldown</t>
        </is>
      </c>
      <c r="R3468" s="5" t="inlineStr">
        <is>
          <t>CastsInFight</t>
        </is>
      </c>
      <c r="S3468" s="5" t="inlineStr">
        <is>
          <t>HitRate(perSec)</t>
        </is>
      </c>
      <c r="U3468" t="inlineStr">
        <is>
          <t>helpers</t>
        </is>
      </c>
    </row>
    <row r="3469">
      <c r="A3469">
        <f>Skills!A2</f>
        <v/>
      </c>
      <c r="B3469">
        <f>Skills!B2</f>
        <v/>
      </c>
      <c r="C3469">
        <f>Inputs!$B$3&gt;=100</f>
        <v/>
      </c>
      <c r="D3469" t="inlineStr"/>
      <c r="E3469" t="inlineStr"/>
      <c r="F3469">
        <f>U3473+Skills!O2</f>
        <v/>
      </c>
      <c r="G3469">
        <f>Calc!G2</f>
        <v/>
      </c>
      <c r="H3469">
        <f>Calc!H2</f>
        <v/>
      </c>
      <c r="I3469">
        <f>IF(Skills!AA2&lt;&gt;"",1+(Skills!AA2/10)*(U3470/1000)/100,1)</f>
        <v/>
      </c>
      <c r="J3469">
        <f>((Inputs!$B$6*(1+Inputs!$B$7/100))+(((Inputs!$B$12*(1+Inputs!$B$13/100))-(Inputs!$B$12*(1+Inputs!$B$13/100)))+0.25*(Inputs!$B$14-Inputs!$B$14))*(1+Inputs!$B$7/100))*(F3469/100)</f>
        <v/>
      </c>
      <c r="K3469">
        <f>J3469*(1+((Inputs!$B$12*(1+Inputs!$B$13/100))*0.01+Inputs!$B$14*0.0025)/100)*(1+Inputs!$B$15/100)*(1+Inputs!$B$16/100)*(5000/(6000+Inputs!$B$43*(1-(100*(1-(1-(Inputs!$B$19+0)/100)*(1-CHOOSE(ArtifactsInput!$N$40+1,5,6,7,8,9,10)/100)^(ArtifactsInput!$M$40-ArtifactsInput!$M$40)))/100)))*(1+(Inputs!$B$24+((C3497=TRUE)*(F3497-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3490=TRUE)*(F3490-Calc!F23))+(((IF(AND(ArtifactsInput!$M$42,((Inputs!$B$9+((C3492=TRUE)*(F3492-Calc!F25))+B3507+(ArtifactsInput!$M$24-ArtifactsInput!$M$24)*CHOOSE(ArtifactsInput!$N$24+1,10,12,14,16,18,20)+IF(ArtifactsInput!$M$10,CHOOSE(ArtifactsInput!$N$10+1,15,18,21,24,27,30)*(IF(Inputs!$B$39="pvp",MIN(15,15)/15,IF(AND(Inputs!$B$39&lt;&gt;"pvp",Inputs!$B$44&gt;0),MIN(15,Inputs!$B$44)/(Inputs!$B$44),0))),0)))&gt;=100),MIN(100,((Inputs!$B$9+((C3492=TRUE)*(F3492-Calc!F25))+B3507+(ArtifactsInput!$M$24-ArtifactsInput!$M$24)*CHOOSE(ArtifactsInput!$N$24+1,10,12,14,16,18,20)+IF(ArtifactsInput!$M$10,CHOOSE(ArtifactsInput!$N$10+1,15,18,21,24,27,30)*(IF(Inputs!$B$39="pvp",MIN(15,15)/15,IF(AND(Inputs!$B$39&lt;&gt;"pvp",Inputs!$B$44&gt;0),MIN(15,Inputs!$B$44)/(Inputs!$B$44),0))),0)))-100),0))*CHOOSE(ArtifactsInput!$N$42+1,0.6,0.72,0.84,0.96,1.08,1.2))),Inputs!$B$18+((C3496=TRUE)*(F3496-Calc!F29))+(IF(AND(ArtifactsInput!$M$42,((Inputs!$B$9+((C3492=TRUE)*(F3492-Calc!F25))+B3507+(ArtifactsInput!$M$24-ArtifactsInput!$M$24)*CHOOSE(ArtifactsInput!$N$24+1,10,12,14,16,18,20)+IF(ArtifactsInput!$M$10,CHOOSE(ArtifactsInput!$N$10+1,15,18,21,24,27,30)*(IF(Inputs!$B$39="pvp",MIN(15,15)/15,IF(AND(Inputs!$B$39&lt;&gt;"pvp",Inputs!$B$44&gt;0),MIN(15,Inputs!$B$44)/(Inputs!$B$44),0))),0)))&gt;=100),CHOOSE(ArtifactsInput!$N$42+1,40,48,56,64,72,80),0))))/100)*(((1+(((C3488=TRUE)*F3488*IF(AND(Inputs!$B$39&lt;&gt;"pvp",Inputs!$B$44&gt;0),(((R3488-1)*(Skills!Y21*(1+Inputs!$B$34/100))+MIN((Skills!Y21*(1+Inputs!$B$34/100)),MAX(0,Inputs!$B$44-((R3488-1)*Skills!D21))))/Inputs!$B$44),IF(Inputs!$B$39="pvp",MIN((Skills!Y21*(1+Inputs!$B$34/100)),15)/15,(Skills!Y21*(1+Inputs!$B$34/100))/Skills!D21)))+((C3495=TRUE)*(F3495-Calc!F28))+((C3485=TRUE)*(F3485-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3482=TRUE)*F3482*IF(AND(Inputs!$B$39&lt;&gt;"pvp",Inputs!$B$44&gt;0),(((R3482-1)*(Skills!Y15*(1+Inputs!$B$34/100))+MIN((Skills!Y15*(1+Inputs!$B$34/100)),MAX(0,Inputs!$B$44-((R3482-1)*Skills!D15))))/Inputs!$B$44),IF(Inputs!$B$39="pvp",MIN((Skills!Y15*(1+Inputs!$B$34/100)),15)/15,(Skills!Y15*(1+Inputs!$B$34/100))/Skills!D15)))/100)*(1+((C3473=TRUE)*F3473*B3501)/100))*B3509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3469)</f>
        <v/>
      </c>
      <c r="L3469">
        <f>K3469*(MIN(Inputs!$B$22+((C3491=TRUE)*(F3491-Calc!F24)),(Inputs!$B$23+0+(IF(ArtifactsInput!$M$15,CHOOSE(ArtifactsInput!$N$15+1,25,30,35,40,45,50)/100*(Inputs!$B$11-Inputs!$B$11),0))))/100+(Inputs!$B$23+0+(IF(ArtifactsInput!$M$15,CHOOSE(ArtifactsInput!$N$15+1,25,30,35,40,45,50)/100*(Inputs!$B$11-Inputs!$B$11),0)))/100)/2</f>
        <v/>
      </c>
      <c r="M3469">
        <f>L3469*(1+(Inputs!$B$10+((C3493=TRUE)*(F3493-Calc!F26))+B3510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69">
        <f>L3469*(1-MIN((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3469*(MIN((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69">
        <f>(1-Summary!$B$11)*T3469+Summary!$B$11*V3469</f>
        <v/>
      </c>
      <c r="P3469">
        <f>IF(B3511=0,0,O3469/B3511)</f>
        <v/>
      </c>
      <c r="Q3469" t="n">
        <v>0</v>
      </c>
      <c r="R3469" t="n">
        <v>0</v>
      </c>
      <c r="S3469">
        <f>IFERROR(O3469/N3469,0)</f>
        <v/>
      </c>
      <c r="T3469">
        <f>IF(C3469,(Skills!G2*N3469*B3505)*IF(Inputs!$B$39="pvp",1,1+(Inputs!$B$20+((C3494=TRUE)*(F3494-Calc!F27))+Skills!P2+B3508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Hunt"),CHOOSE(ArtifactsInput!$N$35+1,15,18,21,24,27,30)*(1-EXP(-(0.2*B3503)*5)),0)+IF(AND(ArtifactsInput!$M$22,Inputs!$B$4&lt;&gt;"Chapter Hunt"),CHOOSE(ArtifactsInput!$N$22+1,10,12,14,16,18,20)*((0*(((0.15*B3503*5))^0/1)+1*(((0.15*B3503*5))^1/1)+2*(((0.15*B3503*5))^2/2)+3*(((0.15*B3503*5))^3/6)+4*(((0.15*B3503*5))^4/24)+5*(((0.15*B3503*5))^5/120))/((((0.15*B3503*5))^0/1)+(((0.15*B3503*5))^1/1)+(((0.15*B3503*5))^2/2)+(((0.15*B3503*5))^3/6)+(((0.15*B3503*5))^4/24)+(((0.15*B3503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3469*(1-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3469*(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3469*(1-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3469*(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469">
        <f>MAX(0,(Inputs!$B$3-100)*3)+Inputs!$B$28+Inputs!$B$29</f>
        <v/>
      </c>
      <c r="V3469">
        <f>IF(C3469,(Skills!G2*N3469*B3505)*IF(Inputs!$B$39="pvp",1,(1+(Inputs!$B$21+Skills!Q2+B3508+(IF(ArtifactsInput!$M$33,CHOOSE(ArtifactsInput!$N$33+1,30,36,42,48,54,60),0))+(IF(AND(ArtifactsInput!$M$35,Inputs!$B$4&lt;&gt;"Chapter Hunt"),CHOOSE(ArtifactsInput!$N$35+1,15,18,21,24,27,30)*(1-EXP(-(0.2*B3503)*5)),0)+IF(AND(ArtifactsInput!$M$22,Inputs!$B$4&lt;&gt;"Chapter Hunt"),CHOOSE(ArtifactsInput!$N$22+1,10,12,14,16,18,20)*((0*(((0.15*B3503*5))^0/1)+1*(((0.15*B3503*5))^1/1)+2*(((0.15*B3503*5))^2/2)+3*(((0.15*B3503*5))^3/6)+4*(((0.15*B3503*5))^4/24)+5*(((0.15*B3503*5))^5/120))/((((0.15*B3503*5))^0/1)+(((0.15*B3503*5))^1/1)+(((0.15*B3503*5))^2/2)+(((0.15*B3503*5))^3/6)+(((0.15*B3503*5))^4/24)+(((0.15*B3503*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70">
      <c r="A3470">
        <f>Skills!A3</f>
        <v/>
      </c>
      <c r="B3470">
        <f>Skills!B3</f>
        <v/>
      </c>
      <c r="C3470">
        <f>Inputs!$B$3&gt;=35</f>
        <v/>
      </c>
      <c r="D3470">
        <f>IF(Skills!C3=1,60+Inputs!$B$25+Inputs!$B$29,IF(Skills!C3=2,90+Inputs!$B$26+Inputs!$B$29,IF(Skills!C3=3,120+Inputs!$B$27+Inputs!$B$29,MAX(0,(Inputs!$B$3-100)*3)+Inputs!$B$28+Inputs!$B$29)))</f>
        <v/>
      </c>
      <c r="E3470">
        <f>INDEX(FactorTable!$B$2:$Y$301, MATCH(ROUND(MIN(300,MAX(1,D3470)),0), FactorTable!$A$2:$A$301,0), Skills!M3+1)</f>
        <v/>
      </c>
      <c r="F3470">
        <f>IF(Skills!N3=TRUE,(Skills!L3/10)*(E3470/1000),Skills!L3/10)+Skills!O3</f>
        <v/>
      </c>
      <c r="G3470">
        <f>Calc!G3</f>
        <v/>
      </c>
      <c r="H3470">
        <f>Calc!H3</f>
        <v/>
      </c>
      <c r="I3470">
        <f>IF(Skills!AA3&lt;&gt;"",1+(Skills!AA3/10)*(U3470/1000)/100,1)</f>
        <v/>
      </c>
      <c r="J3470">
        <f>((Inputs!$B$6*(1+Inputs!$B$7/100))+(((Inputs!$B$12*(1+Inputs!$B$13/100))-(Inputs!$B$12*(1+Inputs!$B$13/100)))+0.25*(Inputs!$B$14-Inputs!$B$14))*(1+Inputs!$B$7/100))*(F3470/100)</f>
        <v/>
      </c>
      <c r="K3470">
        <f>J3470*(1+((Inputs!$B$12*(1+Inputs!$B$13/100))*0.01+Inputs!$B$14*0.0025)/100)*(1+Inputs!$B$15/100)*(1+Inputs!$B$16/100)*(5000/(6000+Inputs!$B$43*(1-(100*(1-(1-(Inputs!$B$19+0)/100)*(1-CHOOSE(ArtifactsInput!$N$40+1,5,6,7,8,9,10)/100)^(ArtifactsInput!$M$40-ArtifactsInput!$M$40)))/100)))*(1+(Inputs!$B$24+((C3497=TRUE)*(F3497-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3490=TRUE)*(F3490-Calc!F23))+(((IF(AND(ArtifactsInput!$M$42,((Inputs!$B$9+((C3492=TRUE)*(F3492-Calc!F25))+B3507+(ArtifactsInput!$M$24-ArtifactsInput!$M$24)*CHOOSE(ArtifactsInput!$N$24+1,10,12,14,16,18,20)+IF(ArtifactsInput!$M$10,CHOOSE(ArtifactsInput!$N$10+1,15,18,21,24,27,30)*(IF(Inputs!$B$39="pvp",MIN(15,15)/15,IF(AND(Inputs!$B$39&lt;&gt;"pvp",Inputs!$B$44&gt;0),MIN(15,Inputs!$B$44)/(Inputs!$B$44),0))),0)))&gt;=100),MIN(100,((Inputs!$B$9+((C3492=TRUE)*(F3492-Calc!F25))+B3507+(ArtifactsInput!$M$24-ArtifactsInput!$M$24)*CHOOSE(ArtifactsInput!$N$24+1,10,12,14,16,18,20)+IF(ArtifactsInput!$M$10,CHOOSE(ArtifactsInput!$N$10+1,15,18,21,24,27,30)*(IF(Inputs!$B$39="pvp",MIN(15,15)/15,IF(AND(Inputs!$B$39&lt;&gt;"pvp",Inputs!$B$44&gt;0),MIN(15,Inputs!$B$44)/(Inputs!$B$44),0))),0)))-100),0))*CHOOSE(ArtifactsInput!$N$42+1,0.6,0.72,0.84,0.96,1.08,1.2))),Inputs!$B$18+((C3496=TRUE)*(F3496-Calc!F29))+(IF(AND(ArtifactsInput!$M$42,((Inputs!$B$9+((C3492=TRUE)*(F3492-Calc!F25))+B3507+(ArtifactsInput!$M$24-ArtifactsInput!$M$24)*CHOOSE(ArtifactsInput!$N$24+1,10,12,14,16,18,20)+IF(ArtifactsInput!$M$10,CHOOSE(ArtifactsInput!$N$10+1,15,18,21,24,27,30)*(IF(Inputs!$B$39="pvp",MIN(15,15)/15,IF(AND(Inputs!$B$39&lt;&gt;"pvp",Inputs!$B$44&gt;0),MIN(15,Inputs!$B$44)/(Inputs!$B$44),0))),0)))&gt;=100),CHOOSE(ArtifactsInput!$N$42+1,40,48,56,64,72,80),0))))/100)*(((1+(((C3488=TRUE)*F3488*IF(AND(Inputs!$B$39&lt;&gt;"pvp",Inputs!$B$44&gt;0),(((R3488-1)*(Skills!Y21*(1+Inputs!$B$34/100))+MIN((Skills!Y21*(1+Inputs!$B$34/100)),MAX(0,Inputs!$B$44-((R3488-1)*Skills!D21))))/Inputs!$B$44),IF(Inputs!$B$39="pvp",MIN((Skills!Y21*(1+Inputs!$B$34/100)),15)/15,(Skills!Y21*(1+Inputs!$B$34/100))/Skills!D21)))+((C3495=TRUE)*(F3495-Calc!F28))+((C3485=TRUE)*(F3485-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3482=TRUE)*F3482*IF(AND(Inputs!$B$39&lt;&gt;"pvp",Inputs!$B$44&gt;0),(((R3482-1)*(Skills!Y15*(1+Inputs!$B$34/100))+MIN((Skills!Y15*(1+Inputs!$B$34/100)),MAX(0,Inputs!$B$44-((R3482-1)*Skills!D15))))/Inputs!$B$44),IF(Inputs!$B$39="pvp",MIN((Skills!Y15*(1+Inputs!$B$34/100)),15)/15,(Skills!Y15*(1+Inputs!$B$34/100))/Skills!D15)))/100)*(1+((C3473=TRUE)*F3473*B3501)/100))*B3509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3470)</f>
        <v/>
      </c>
      <c r="L3470">
        <f>K3470*(MIN(Inputs!$B$22+((C3491=TRUE)*(F3491-Calc!F24)),(Inputs!$B$23+0+(IF(ArtifactsInput!$M$15,CHOOSE(ArtifactsInput!$N$15+1,25,30,35,40,45,50)/100*(Inputs!$B$11-Inputs!$B$11),0))))/100+(Inputs!$B$23+0+(IF(ArtifactsInput!$M$15,CHOOSE(ArtifactsInput!$N$15+1,25,30,35,40,45,50)/100*(Inputs!$B$11-Inputs!$B$11),0)))/100)/2</f>
        <v/>
      </c>
      <c r="M3470">
        <f>L3470*(1+(Inputs!$B$10+((C3493=TRUE)*(F3493-Calc!F26))+B3510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70">
        <f>L3470*(1-MIN((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3470*(MIN((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70">
        <f>(1-Summary!$B$11)*T3470+Summary!$B$11*V3470</f>
        <v/>
      </c>
      <c r="P3470">
        <f>IF(B3511=0,0,O3470/B3511)</f>
        <v/>
      </c>
      <c r="Q3470">
        <f>IFERROR(1/IF(Inputs!$B$39="pvp",15,MAX(0.1,Skills!D3-IF(Skills!E3=TRUE,3.5,0))),0)</f>
        <v/>
      </c>
      <c r="R3470">
        <f>IF(AND(Inputs!$B$39&lt;&gt;"pvp",Inputs!$B$44&gt;0),IF(MAX(0,Inputs!$B$44-B3512)&lt;=0,0,(INT(MAX(0,Inputs!$B$44-B3512)/IF(Inputs!$B$39="pvp",15,MAX(0.1,Skills!D3-IF(Skills!E3=TRUE,3.5,0))))+1)),0)</f>
        <v/>
      </c>
      <c r="S3470">
        <f>IFERROR(O3470/N3470,0)</f>
        <v/>
      </c>
      <c r="T3470">
        <f>IF(C3470,(H3470*N3470*IF(AND(Inputs!$B$39&lt;&gt;"pvp",Inputs!$B$44&gt;0),((Skills!G3*((R3470-1)*IF(Skills!H3&gt;0,Skills!I3/Skills!H3,1)+IF(Skills!H3&gt;0,MIN(Skills!I3,MAX(0,MAX(0,Inputs!$B$44-B3512)-((R3470-1)*IF(Inputs!$B$39="pvp",15,MAX(0.1,Skills!D3-IF(Skills!E3=TRUE,3.5,0))))))/Skills!H3,1)))/Inputs!$B$44),G3470*Q3470))*IF(Inputs!$B$39="pvp",1,1+(Inputs!$B$20+((C3494=TRUE)*(F3494-Calc!F27))+Skills!P3+B3508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Hunt"),CHOOSE(ArtifactsInput!$N$35+1,15,18,21,24,27,30)*(1-EXP(-(0.2*B3503)*5)),0)+IF(AND(ArtifactsInput!$M$22,Inputs!$B$4&lt;&gt;"Chapter Hunt"),CHOOSE(ArtifactsInput!$N$22+1,10,12,14,16,18,20)*((0*(((0.15*B3503*5))^0/1)+1*(((0.15*B3503*5))^1/1)+2*(((0.15*B3503*5))^2/2)+3*(((0.15*B3503*5))^3/6)+4*(((0.15*B3503*5))^4/24)+5*(((0.15*B3503*5))^5/120))/((((0.15*B3503*5))^0/1)+(((0.15*B3503*5))^1/1)+(((0.15*B3503*5))^2/2)+(((0.15*B3503*5))^3/6)+(((0.15*B3503*5))^4/24)+(((0.15*B3503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3470*(1-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3470*(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3470*(1-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3470*(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470">
        <f>INDEX(FactorTable!$B$2:$Y$301, MATCH(ROUND(MIN(300,MAX(1,U3469)),0), FactorTable!$A$2:$A$301,0), 24)</f>
        <v/>
      </c>
      <c r="V3470">
        <f>IF(C3470,(H3470*N3470*IF(AND(Inputs!$B$39&lt;&gt;"pvp",Inputs!$B$44&gt;0),((Skills!G3*((R3470-1)*IF(Skills!H3&gt;0,Skills!I3/Skills!H3,1)+IF(Skills!H3&gt;0,MIN(Skills!I3,MAX(0,MAX(0,Inputs!$B$44-B3512)-((R3470-1)*IF(Inputs!$B$39="pvp",15,MAX(0.1,Skills!D3-IF(Skills!E3=TRUE,3.5,0))))))/Skills!H3,1)))/Inputs!$B$44),G3470*Q3470))*IF(Inputs!$B$39="pvp",1,(1+(Inputs!$B$21+Skills!Q3+B3508+(IF(ArtifactsInput!$M$33,CHOOSE(ArtifactsInput!$N$33+1,30,36,42,48,54,60),0))+(IF(AND(ArtifactsInput!$M$35,Inputs!$B$4&lt;&gt;"Chapter Hunt"),CHOOSE(ArtifactsInput!$N$35+1,15,18,21,24,27,30)*(1-EXP(-(0.2*B3503)*5)),0)+IF(AND(ArtifactsInput!$M$22,Inputs!$B$4&lt;&gt;"Chapter Hunt"),CHOOSE(ArtifactsInput!$N$22+1,10,12,14,16,18,20)*((0*(((0.15*B3503*5))^0/1)+1*(((0.15*B3503*5))^1/1)+2*(((0.15*B3503*5))^2/2)+3*(((0.15*B3503*5))^3/6)+4*(((0.15*B3503*5))^4/24)+5*(((0.15*B3503*5))^5/120))/((((0.15*B3503*5))^0/1)+(((0.15*B3503*5))^1/1)+(((0.15*B3503*5))^2/2)+(((0.15*B3503*5))^3/6)+(((0.15*B3503*5))^4/24)+(((0.15*B3503*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71">
      <c r="A3471">
        <f>Skills!A4</f>
        <v/>
      </c>
      <c r="B3471">
        <f>Skills!B4</f>
        <v/>
      </c>
      <c r="C3471">
        <f>Inputs!$B$3&gt;=40</f>
        <v/>
      </c>
      <c r="D3471">
        <f>IF(Skills!C4=1,60+Inputs!$B$25+Inputs!$B$29,IF(Skills!C4=2,90+Inputs!$B$26+Inputs!$B$29,IF(Skills!C4=3,120+Inputs!$B$27+Inputs!$B$29,MAX(0,(Inputs!$B$3-100)*3)+Inputs!$B$28+Inputs!$B$29)))</f>
        <v/>
      </c>
      <c r="E3471">
        <f>INDEX(FactorTable!$B$2:$Y$301, MATCH(ROUND(MIN(300,MAX(1,D3471)),0), FactorTable!$A$2:$A$301,0), Skills!M4+1)</f>
        <v/>
      </c>
      <c r="F3471">
        <f>IF(Skills!N4=TRUE,(Skills!L4/10)*(E3471/1000),Skills!L4/10)+Skills!O4</f>
        <v/>
      </c>
      <c r="G3471">
        <f>Calc!G4</f>
        <v/>
      </c>
      <c r="H3471">
        <f>Calc!H4</f>
        <v/>
      </c>
      <c r="I3471">
        <f>IF(Skills!AA4&lt;&gt;"",1+(Skills!AA4/10)*(U3470/1000)/100,1)</f>
        <v/>
      </c>
      <c r="J3471">
        <f>((Inputs!$B$6*(1+Inputs!$B$7/100))+(((Inputs!$B$12*(1+Inputs!$B$13/100))-(Inputs!$B$12*(1+Inputs!$B$13/100)))+0.25*(Inputs!$B$14-Inputs!$B$14))*(1+Inputs!$B$7/100))*(F3471/100)</f>
        <v/>
      </c>
      <c r="K3471">
        <f>J3471*(1+((Inputs!$B$12*(1+Inputs!$B$13/100))*0.01+Inputs!$B$14*0.0025)/100)*(1+Inputs!$B$15/100)*(1+Inputs!$B$16/100)*(5000/(6000+Inputs!$B$43*(1-(100*(1-(1-(Inputs!$B$19+0)/100)*(1-CHOOSE(ArtifactsInput!$N$40+1,5,6,7,8,9,10)/100)^(ArtifactsInput!$M$40-ArtifactsInput!$M$40)))/100)))*(1+(Inputs!$B$24+((C3497=TRUE)*(F3497-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3490=TRUE)*(F3490-Calc!F23))+(((IF(AND(ArtifactsInput!$M$42,((Inputs!$B$9+((C3492=TRUE)*(F3492-Calc!F25))+B3507+(ArtifactsInput!$M$24-ArtifactsInput!$M$24)*CHOOSE(ArtifactsInput!$N$24+1,10,12,14,16,18,20)+IF(ArtifactsInput!$M$10,CHOOSE(ArtifactsInput!$N$10+1,15,18,21,24,27,30)*(IF(Inputs!$B$39="pvp",MIN(15,15)/15,IF(AND(Inputs!$B$39&lt;&gt;"pvp",Inputs!$B$44&gt;0),MIN(15,Inputs!$B$44)/(Inputs!$B$44),0))),0)))&gt;=100),MIN(100,((Inputs!$B$9+((C3492=TRUE)*(F3492-Calc!F25))+B3507+(ArtifactsInput!$M$24-ArtifactsInput!$M$24)*CHOOSE(ArtifactsInput!$N$24+1,10,12,14,16,18,20)+IF(ArtifactsInput!$M$10,CHOOSE(ArtifactsInput!$N$10+1,15,18,21,24,27,30)*(IF(Inputs!$B$39="pvp",MIN(15,15)/15,IF(AND(Inputs!$B$39&lt;&gt;"pvp",Inputs!$B$44&gt;0),MIN(15,Inputs!$B$44)/(Inputs!$B$44),0))),0)))-100),0))*CHOOSE(ArtifactsInput!$N$42+1,0.6,0.72,0.84,0.96,1.08,1.2))),Inputs!$B$18+((C3496=TRUE)*(F3496-Calc!F29))+(IF(AND(ArtifactsInput!$M$42,((Inputs!$B$9+((C3492=TRUE)*(F3492-Calc!F25))+B3507+(ArtifactsInput!$M$24-ArtifactsInput!$M$24)*CHOOSE(ArtifactsInput!$N$24+1,10,12,14,16,18,20)+IF(ArtifactsInput!$M$10,CHOOSE(ArtifactsInput!$N$10+1,15,18,21,24,27,30)*(IF(Inputs!$B$39="pvp",MIN(15,15)/15,IF(AND(Inputs!$B$39&lt;&gt;"pvp",Inputs!$B$44&gt;0),MIN(15,Inputs!$B$44)/(Inputs!$B$44),0))),0)))&gt;=100),CHOOSE(ArtifactsInput!$N$42+1,40,48,56,64,72,80),0))))/100)*(((1+(((C3488=TRUE)*F3488*IF(AND(Inputs!$B$39&lt;&gt;"pvp",Inputs!$B$44&gt;0),(((R3488-1)*(Skills!Y21*(1+Inputs!$B$34/100))+MIN((Skills!Y21*(1+Inputs!$B$34/100)),MAX(0,Inputs!$B$44-((R3488-1)*Skills!D21))))/Inputs!$B$44),IF(Inputs!$B$39="pvp",MIN((Skills!Y21*(1+Inputs!$B$34/100)),15)/15,(Skills!Y21*(1+Inputs!$B$34/100))/Skills!D21)))+((C3495=TRUE)*(F3495-Calc!F28))+((C3485=TRUE)*(F3485-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3482=TRUE)*F3482*IF(AND(Inputs!$B$39&lt;&gt;"pvp",Inputs!$B$44&gt;0),(((R3482-1)*(Skills!Y15*(1+Inputs!$B$34/100))+MIN((Skills!Y15*(1+Inputs!$B$34/100)),MAX(0,Inputs!$B$44-((R3482-1)*Skills!D15))))/Inputs!$B$44),IF(Inputs!$B$39="pvp",MIN((Skills!Y15*(1+Inputs!$B$34/100)),15)/15,(Skills!Y15*(1+Inputs!$B$34/100))/Skills!D15)))/100)*(1+((C3473=TRUE)*F3473*B3501)/100))*B3509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3471)</f>
        <v/>
      </c>
      <c r="L3471">
        <f>K3471*(MIN(Inputs!$B$22+((C3491=TRUE)*(F3491-Calc!F24)),(Inputs!$B$23+0+(IF(ArtifactsInput!$M$15,CHOOSE(ArtifactsInput!$N$15+1,25,30,35,40,45,50)/100*(Inputs!$B$11-Inputs!$B$11),0))))/100+(Inputs!$B$23+0+(IF(ArtifactsInput!$M$15,CHOOSE(ArtifactsInput!$N$15+1,25,30,35,40,45,50)/100*(Inputs!$B$11-Inputs!$B$11),0)))/100)/2</f>
        <v/>
      </c>
      <c r="M3471">
        <f>L3471*(1+(Inputs!$B$10+((C3493=TRUE)*(F3493-Calc!F26))+B3510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71">
        <f>L3471*(1-MIN((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3471*(MIN((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71">
        <f>(1-Summary!$B$11)*T3471+Summary!$B$11*V3471</f>
        <v/>
      </c>
      <c r="P3471">
        <f>IF(B3511=0,0,O3471/B3511)</f>
        <v/>
      </c>
      <c r="Q3471">
        <f>IFERROR(1/IF(Inputs!$B$39="pvp",15,MAX(0.1,Skills!D4-IF(Skills!E4=TRUE,3.5,0))),0)</f>
        <v/>
      </c>
      <c r="R3471">
        <f>IF(AND(Inputs!$B$39&lt;&gt;"pvp",Inputs!$B$44&gt;0),IF(MAX(0,Inputs!$B$44-B3512)&lt;=0,0,(INT(MAX(0,Inputs!$B$44-B3512)/IF(Inputs!$B$39="pvp",15,MAX(0.1,Skills!D4-IF(Skills!E4=TRUE,3.5,0))))+1)),0)</f>
        <v/>
      </c>
      <c r="S3471">
        <f>IFERROR(O3471/N3471,0)</f>
        <v/>
      </c>
      <c r="T3471">
        <f>IF(C3471,(H3471*N3471*IF(AND(Inputs!$B$39&lt;&gt;"pvp",Inputs!$B$44&gt;0),((Skills!G4*((R3471-1)*IF(Skills!H4&gt;0,Skills!I4/Skills!H4,1)+IF(Skills!H4&gt;0,MIN(Skills!I4,MAX(0,MAX(0,Inputs!$B$44-B3512)-((R3471-1)*IF(Inputs!$B$39="pvp",15,MAX(0.1,Skills!D4-IF(Skills!E4=TRUE,3.5,0))))))/Skills!H4,1)))/Inputs!$B$44),G3471*Q3471))*IF(Inputs!$B$39="pvp",1,1+(Inputs!$B$20+((C3494=TRUE)*(F3494-Calc!F27))+Skills!P4+B3508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Hunt"),CHOOSE(ArtifactsInput!$N$35+1,15,18,21,24,27,30)*(1-EXP(-(0.2*B3503)*5)),0)+IF(AND(ArtifactsInput!$M$22,Inputs!$B$4&lt;&gt;"Chapter Hunt"),CHOOSE(ArtifactsInput!$N$22+1,10,12,14,16,18,20)*((0*(((0.15*B3503*5))^0/1)+1*(((0.15*B3503*5))^1/1)+2*(((0.15*B3503*5))^2/2)+3*(((0.15*B3503*5))^3/6)+4*(((0.15*B3503*5))^4/24)+5*(((0.15*B3503*5))^5/120))/((((0.15*B3503*5))^0/1)+(((0.15*B3503*5))^1/1)+(((0.15*B3503*5))^2/2)+(((0.15*B3503*5))^3/6)+(((0.15*B3503*5))^4/24)+(((0.15*B3503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3471*(1-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3471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3471*(1-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3471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471">
        <f>MAX(0,(Inputs!$B$3-100)*3)+Inputs!$B$28+Inputs!$B$29</f>
        <v/>
      </c>
      <c r="V3471">
        <f>IF(C3471,(H3471*N3471*IF(AND(Inputs!$B$39&lt;&gt;"pvp",Inputs!$B$44&gt;0),((Skills!G4*((R3471-1)*IF(Skills!H4&gt;0,Skills!I4/Skills!H4,1)+IF(Skills!H4&gt;0,MIN(Skills!I4,MAX(0,MAX(0,Inputs!$B$44-B3512)-((R3471-1)*IF(Inputs!$B$39="pvp",15,MAX(0.1,Skills!D4-IF(Skills!E4=TRUE,3.5,0))))))/Skills!H4,1)))/Inputs!$B$44),G3471*Q3471))*IF(Inputs!$B$39="pvp",1,(1+(Inputs!$B$21+Skills!Q4+B3508+(IF(ArtifactsInput!$M$33,CHOOSE(ArtifactsInput!$N$33+1,30,36,42,48,54,60),0))+(IF(AND(ArtifactsInput!$M$35,Inputs!$B$4&lt;&gt;"Chapter Hunt"),CHOOSE(ArtifactsInput!$N$35+1,15,18,21,24,27,30)*(1-EXP(-(0.2*B3503)*5)),0)+IF(AND(ArtifactsInput!$M$22,Inputs!$B$4&lt;&gt;"Chapter Hunt"),CHOOSE(ArtifactsInput!$N$22+1,10,12,14,16,18,20)*((0*(((0.15*B3503*5))^0/1)+1*(((0.15*B3503*5))^1/1)+2*(((0.15*B3503*5))^2/2)+3*(((0.15*B3503*5))^3/6)+4*(((0.15*B3503*5))^4/24)+5*(((0.15*B3503*5))^5/120))/((((0.15*B3503*5))^0/1)+(((0.15*B3503*5))^1/1)+(((0.15*B3503*5))^2/2)+(((0.15*B3503*5))^3/6)+(((0.15*B3503*5))^4/24)+(((0.15*B3503*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72">
      <c r="A3472">
        <f>Skills!A5</f>
        <v/>
      </c>
      <c r="B3472">
        <f>Skills!B5</f>
        <v/>
      </c>
      <c r="C3472">
        <f>Inputs!$B$3&gt;=63</f>
        <v/>
      </c>
      <c r="D3472">
        <f>IF(Skills!C5=1,60+Inputs!$B$25+Inputs!$B$29,IF(Skills!C5=2,90+Inputs!$B$26+Inputs!$B$29,IF(Skills!C5=3,120+Inputs!$B$27+Inputs!$B$29,MAX(0,(Inputs!$B$3-100)*3)+Inputs!$B$28+Inputs!$B$29)))</f>
        <v/>
      </c>
      <c r="E3472">
        <f>INDEX(FactorTable!$B$2:$Y$301, MATCH(ROUND(MIN(300,MAX(1,D3472)),0), FactorTable!$A$2:$A$301,0), Skills!M5+1)</f>
        <v/>
      </c>
      <c r="F3472">
        <f>IF(Skills!N5=TRUE,(Skills!L5/10)*(E3472/1000),Skills!L5/10)+Skills!O5</f>
        <v/>
      </c>
      <c r="G3472">
        <f>Calc!G5</f>
        <v/>
      </c>
      <c r="H3472">
        <f>Calc!H5</f>
        <v/>
      </c>
      <c r="I3472">
        <f>IF(Skills!AA5&lt;&gt;"",1+(Skills!AA5/10)*(U3470/1000)/100,1)</f>
        <v/>
      </c>
      <c r="J3472">
        <f>((Inputs!$B$6*(1+Inputs!$B$7/100))+(((Inputs!$B$12*(1+Inputs!$B$13/100))-(Inputs!$B$12*(1+Inputs!$B$13/100)))+0.25*(Inputs!$B$14-Inputs!$B$14))*(1+Inputs!$B$7/100))*(F3472/100)</f>
        <v/>
      </c>
      <c r="K3472">
        <f>J3472*(1+((Inputs!$B$12*(1+Inputs!$B$13/100))*0.01+Inputs!$B$14*0.0025)/100)*(1+Inputs!$B$15/100)*(1+Inputs!$B$16/100)*(5000/(6000+Inputs!$B$43*(1-(100*(1-(1-(Inputs!$B$19+0)/100)*(1-CHOOSE(ArtifactsInput!$N$40+1,5,6,7,8,9,10)/100)^(ArtifactsInput!$M$40-ArtifactsInput!$M$40)))/100)))*(1+(Inputs!$B$24+((C3497=TRUE)*(F3497-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3490=TRUE)*(F3490-Calc!F23))+(((IF(AND(ArtifactsInput!$M$42,((Inputs!$B$9+((C3492=TRUE)*(F3492-Calc!F25))+B3507+(ArtifactsInput!$M$24-ArtifactsInput!$M$24)*CHOOSE(ArtifactsInput!$N$24+1,10,12,14,16,18,20)+IF(ArtifactsInput!$M$10,CHOOSE(ArtifactsInput!$N$10+1,15,18,21,24,27,30)*(IF(Inputs!$B$39="pvp",MIN(15,15)/15,IF(AND(Inputs!$B$39&lt;&gt;"pvp",Inputs!$B$44&gt;0),MIN(15,Inputs!$B$44)/(Inputs!$B$44),0))),0)))&gt;=100),MIN(100,((Inputs!$B$9+((C3492=TRUE)*(F3492-Calc!F25))+B3507+(ArtifactsInput!$M$24-ArtifactsInput!$M$24)*CHOOSE(ArtifactsInput!$N$24+1,10,12,14,16,18,20)+IF(ArtifactsInput!$M$10,CHOOSE(ArtifactsInput!$N$10+1,15,18,21,24,27,30)*(IF(Inputs!$B$39="pvp",MIN(15,15)/15,IF(AND(Inputs!$B$39&lt;&gt;"pvp",Inputs!$B$44&gt;0),MIN(15,Inputs!$B$44)/(Inputs!$B$44),0))),0)))-100),0))*CHOOSE(ArtifactsInput!$N$42+1,0.6,0.72,0.84,0.96,1.08,1.2))),Inputs!$B$18+((C3496=TRUE)*(F3496-Calc!F29))+(IF(AND(ArtifactsInput!$M$42,((Inputs!$B$9+((C3492=TRUE)*(F3492-Calc!F25))+B3507+(ArtifactsInput!$M$24-ArtifactsInput!$M$24)*CHOOSE(ArtifactsInput!$N$24+1,10,12,14,16,18,20)+IF(ArtifactsInput!$M$10,CHOOSE(ArtifactsInput!$N$10+1,15,18,21,24,27,30)*(IF(Inputs!$B$39="pvp",MIN(15,15)/15,IF(AND(Inputs!$B$39&lt;&gt;"pvp",Inputs!$B$44&gt;0),MIN(15,Inputs!$B$44)/(Inputs!$B$44),0))),0)))&gt;=100),CHOOSE(ArtifactsInput!$N$42+1,40,48,56,64,72,80),0))))/100)*(((1+(((C3488=TRUE)*F3488*IF(AND(Inputs!$B$39&lt;&gt;"pvp",Inputs!$B$44&gt;0),(((R3488-1)*(Skills!Y21*(1+Inputs!$B$34/100))+MIN((Skills!Y21*(1+Inputs!$B$34/100)),MAX(0,Inputs!$B$44-((R3488-1)*Skills!D21))))/Inputs!$B$44),IF(Inputs!$B$39="pvp",MIN((Skills!Y21*(1+Inputs!$B$34/100)),15)/15,(Skills!Y21*(1+Inputs!$B$34/100))/Skills!D21)))+((C3495=TRUE)*(F3495-Calc!F28))+((C3485=TRUE)*(F3485-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3482=TRUE)*F3482*IF(AND(Inputs!$B$39&lt;&gt;"pvp",Inputs!$B$44&gt;0),(((R3482-1)*(Skills!Y15*(1+Inputs!$B$34/100))+MIN((Skills!Y15*(1+Inputs!$B$34/100)),MAX(0,Inputs!$B$44-((R3482-1)*Skills!D15))))/Inputs!$B$44),IF(Inputs!$B$39="pvp",MIN((Skills!Y15*(1+Inputs!$B$34/100)),15)/15,(Skills!Y15*(1+Inputs!$B$34/100))/Skills!D15)))/100)*(1+((C3473=TRUE)*F3473*B3501)/100))*B3509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3472)</f>
        <v/>
      </c>
      <c r="L3472">
        <f>K3472*(MIN(Inputs!$B$22+((C3491=TRUE)*(F3491-Calc!F24)),(Inputs!$B$23+0+(IF(ArtifactsInput!$M$15,CHOOSE(ArtifactsInput!$N$15+1,25,30,35,40,45,50)/100*(Inputs!$B$11-Inputs!$B$11),0))))/100+(Inputs!$B$23+0+(IF(ArtifactsInput!$M$15,CHOOSE(ArtifactsInput!$N$15+1,25,30,35,40,45,50)/100*(Inputs!$B$11-Inputs!$B$11),0)))/100)/2</f>
        <v/>
      </c>
      <c r="M3472">
        <f>L3472*(1+(Inputs!$B$10+((C3493=TRUE)*(F3493-Calc!F26))+B3510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72">
        <f>L3472*(1-MIN((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3472*(MIN((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72">
        <f>(1-Summary!$B$11)*T3472+Summary!$B$11*V3472</f>
        <v/>
      </c>
      <c r="P3472">
        <f>IF(B3511=0,0,O3472/B3511)</f>
        <v/>
      </c>
      <c r="Q3472">
        <f>IFERROR(1/IF(Inputs!$B$39="pvp",15,MAX(0.1,Skills!D5-IF(Skills!E5=TRUE,3.5,0))),0)</f>
        <v/>
      </c>
      <c r="R3472">
        <f>IF(AND(Inputs!$B$39&lt;&gt;"pvp",Inputs!$B$44&gt;0),IF(MAX(0,Inputs!$B$44-B3512)&lt;=0,0,(INT(MAX(0,Inputs!$B$44-B3512)/IF(Inputs!$B$39="pvp",15,MAX(0.1,Skills!D5-IF(Skills!E5=TRUE,3.5,0))))+1)),0)</f>
        <v/>
      </c>
      <c r="S3472">
        <f>IFERROR(O3472/N3472,0)</f>
        <v/>
      </c>
      <c r="T3472">
        <f>IF(C3472,(H3472*N3472*IF(AND(Inputs!$B$39&lt;&gt;"pvp",Inputs!$B$44&gt;0),((Skills!G5*((R3472-1)*IF(Skills!H5&gt;0,Skills!I5/Skills!H5,1)+IF(Skills!H5&gt;0,MIN(Skills!I5,MAX(0,MAX(0,Inputs!$B$44-B3512)-((R3472-1)*IF(Inputs!$B$39="pvp",15,MAX(0.1,Skills!D5-IF(Skills!E5=TRUE,3.5,0))))))/Skills!H5,1)))/Inputs!$B$44),G3472*Q3472))*IF(Inputs!$B$39="pvp",1,1+(Inputs!$B$20+((C3494=TRUE)*(F3494-Calc!F27))+Skills!P5+B3508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Hunt"),CHOOSE(ArtifactsInput!$N$35+1,15,18,21,24,27,30)*(1-EXP(-(0.2*B3503)*5)),0)+IF(AND(ArtifactsInput!$M$22,Inputs!$B$4&lt;&gt;"Chapter Hunt"),CHOOSE(ArtifactsInput!$N$22+1,10,12,14,16,18,20)*((0*(((0.15*B3503*5))^0/1)+1*(((0.15*B3503*5))^1/1)+2*(((0.15*B3503*5))^2/2)+3*(((0.15*B3503*5))^3/6)+4*(((0.15*B3503*5))^4/24)+5*(((0.15*B3503*5))^5/120))/((((0.15*B3503*5))^0/1)+(((0.15*B3503*5))^1/1)+(((0.15*B3503*5))^2/2)+(((0.15*B3503*5))^3/6)+(((0.15*B3503*5))^4/24)+(((0.15*B3503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3472*(1-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3472*(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3472*(1-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3472*(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472">
        <f>INDEX(FactorTable!$B$2:$Y$301, MATCH(ROUND(MIN(300,MAX(1,U3471)),0), FactorTable!$A$2:$A$301,0), 22)</f>
        <v/>
      </c>
      <c r="V3472">
        <f>IF(C3472,(H3472*N3472*IF(AND(Inputs!$B$39&lt;&gt;"pvp",Inputs!$B$44&gt;0),((Skills!G5*((R3472-1)*IF(Skills!H5&gt;0,Skills!I5/Skills!H5,1)+IF(Skills!H5&gt;0,MIN(Skills!I5,MAX(0,MAX(0,Inputs!$B$44-B3512)-((R3472-1)*IF(Inputs!$B$39="pvp",15,MAX(0.1,Skills!D5-IF(Skills!E5=TRUE,3.5,0))))))/Skills!H5,1)))/Inputs!$B$44),G3472*Q3472))*IF(Inputs!$B$39="pvp",1,(1+(Inputs!$B$21+Skills!Q5+B3508+(IF(ArtifactsInput!$M$33,CHOOSE(ArtifactsInput!$N$33+1,30,36,42,48,54,60),0))+(IF(AND(ArtifactsInput!$M$35,Inputs!$B$4&lt;&gt;"Chapter Hunt"),CHOOSE(ArtifactsInput!$N$35+1,15,18,21,24,27,30)*(1-EXP(-(0.2*B3503)*5)),0)+IF(AND(ArtifactsInput!$M$22,Inputs!$B$4&lt;&gt;"Chapter Hunt"),CHOOSE(ArtifactsInput!$N$22+1,10,12,14,16,18,20)*((0*(((0.15*B3503*5))^0/1)+1*(((0.15*B3503*5))^1/1)+2*(((0.15*B3503*5))^2/2)+3*(((0.15*B3503*5))^3/6)+4*(((0.15*B3503*5))^4/24)+5*(((0.15*B3503*5))^5/120))/((((0.15*B3503*5))^0/1)+(((0.15*B3503*5))^1/1)+(((0.15*B3503*5))^2/2)+(((0.15*B3503*5))^3/6)+(((0.15*B3503*5))^4/24)+(((0.15*B3503*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73">
      <c r="A3473">
        <f>Skills!A6</f>
        <v/>
      </c>
      <c r="B3473">
        <f>Skills!B6</f>
        <v/>
      </c>
      <c r="C3473">
        <f>Inputs!$B$3&gt;=66</f>
        <v/>
      </c>
      <c r="D3473">
        <f>IF(Skills!C6=1,60+Inputs!$B$25+Inputs!$B$29,IF(Skills!C6=2,90+Inputs!$B$26+Inputs!$B$29,IF(Skills!C6=3,120+Inputs!$B$27+Inputs!$B$29,MAX(0,(Inputs!$B$3-100)*3)+Inputs!$B$28+Inputs!$B$29)))</f>
        <v/>
      </c>
      <c r="E3473">
        <f>INDEX(FactorTable!$B$2:$Y$301, MATCH(ROUND(MIN(300,MAX(1,D3473)),0), FactorTable!$A$2:$A$301,0), Skills!M6+1)</f>
        <v/>
      </c>
      <c r="F3473">
        <f>IF(Skills!N6=TRUE,(Skills!L6/10)*(E3473/1000),Skills!L6/10)+Skills!O6</f>
        <v/>
      </c>
      <c r="G3473">
        <f>Calc!G6</f>
        <v/>
      </c>
      <c r="H3473">
        <f>Calc!H6</f>
        <v/>
      </c>
      <c r="I3473">
        <f>IF(Skills!AA6&lt;&gt;"",1+(Skills!AA6/10)*(U3470/1000)/100,1)</f>
        <v/>
      </c>
      <c r="J3473" t="inlineStr"/>
      <c r="K3473" t="inlineStr"/>
      <c r="L3473" t="inlineStr"/>
      <c r="M3473" t="inlineStr"/>
      <c r="N3473" t="inlineStr"/>
      <c r="O3473">
        <f>(1-Summary!$B$11)*T3473+Summary!$B$11*V3473</f>
        <v/>
      </c>
      <c r="P3473">
        <f>IF(B3511=0,0,O3473/B3511)</f>
        <v/>
      </c>
      <c r="Q3473" t="n">
        <v>0</v>
      </c>
      <c r="R3473" t="n">
        <v>0</v>
      </c>
      <c r="S3473">
        <f>IFERROR(O3473/N3473,0)</f>
        <v/>
      </c>
      <c r="T3473" t="n">
        <v>0</v>
      </c>
      <c r="U3473">
        <f>290*U3472/1000</f>
        <v/>
      </c>
      <c r="V3473" t="n">
        <v>0</v>
      </c>
    </row>
    <row r="3474">
      <c r="A3474">
        <f>Skills!A7</f>
        <v/>
      </c>
      <c r="B3474">
        <f>Skills!B7</f>
        <v/>
      </c>
      <c r="C3474">
        <f>Inputs!$B$3&gt;=66</f>
        <v/>
      </c>
      <c r="D3474">
        <f>IF(Skills!C7=1,60+Inputs!$B$25+Inputs!$B$29,IF(Skills!C7=2,90+Inputs!$B$26+Inputs!$B$29,IF(Skills!C7=3,120+Inputs!$B$27+Inputs!$B$29,MAX(0,(Inputs!$B$3-100)*3)+Inputs!$B$28+Inputs!$B$29)))</f>
        <v/>
      </c>
      <c r="E3474">
        <f>INDEX(FactorTable!$B$2:$Y$301, MATCH(ROUND(MIN(300,MAX(1,D3474)),0), FactorTable!$A$2:$A$301,0), Skills!M7+1)</f>
        <v/>
      </c>
      <c r="F3474">
        <f>IF(Skills!N7=TRUE,(Skills!L7/10)*(E3474/1000),Skills!L7/10)+Skills!O7</f>
        <v/>
      </c>
      <c r="G3474">
        <f>Calc!G7</f>
        <v/>
      </c>
      <c r="H3474">
        <f>Calc!H7</f>
        <v/>
      </c>
      <c r="I3474">
        <f>IF(Skills!AA7&lt;&gt;"",1+(Skills!AA7/10)*(U3470/1000)/100,1)</f>
        <v/>
      </c>
      <c r="J3474" t="inlineStr"/>
      <c r="K3474" t="inlineStr"/>
      <c r="L3474" t="inlineStr"/>
      <c r="M3474" t="inlineStr"/>
      <c r="N3474" t="inlineStr"/>
      <c r="O3474">
        <f>(1-Summary!$B$11)*T3474+Summary!$B$11*V3474</f>
        <v/>
      </c>
      <c r="P3474">
        <f>IF(B3511=0,0,O3474/B3511)</f>
        <v/>
      </c>
      <c r="Q3474" t="n">
        <v>0</v>
      </c>
      <c r="R3474" t="n">
        <v>0</v>
      </c>
      <c r="S3474">
        <f>IFERROR(O3474/N3474,0)</f>
        <v/>
      </c>
      <c r="T3474" t="n">
        <v>0</v>
      </c>
      <c r="V3474" t="n">
        <v>0</v>
      </c>
    </row>
    <row r="3475">
      <c r="A3475">
        <f>Skills!A8</f>
        <v/>
      </c>
      <c r="B3475">
        <f>Skills!B8</f>
        <v/>
      </c>
      <c r="C3475">
        <f>Inputs!$B$3&gt;=69</f>
        <v/>
      </c>
      <c r="D3475">
        <f>IF(Skills!C8=1,60+Inputs!$B$25+Inputs!$B$29,IF(Skills!C8=2,90+Inputs!$B$26+Inputs!$B$29,IF(Skills!C8=3,120+Inputs!$B$27+Inputs!$B$29,MAX(0,(Inputs!$B$3-100)*3)+Inputs!$B$28+Inputs!$B$29)))</f>
        <v/>
      </c>
      <c r="E3475">
        <f>INDEX(FactorTable!$B$2:$Y$301, MATCH(ROUND(MIN(300,MAX(1,D3475)),0), FactorTable!$A$2:$A$301,0), Skills!M8+1)</f>
        <v/>
      </c>
      <c r="F3475">
        <f>IF(Skills!N8=TRUE,(Skills!L8/10)*(E3475/1000),Skills!L8/10)+Skills!O8</f>
        <v/>
      </c>
      <c r="G3475">
        <f>Calc!G8</f>
        <v/>
      </c>
      <c r="H3475">
        <f>Calc!H8</f>
        <v/>
      </c>
      <c r="I3475">
        <f>IF(Skills!AA8&lt;&gt;"",1+(Skills!AA8/10)*(U3470/1000)/100,1)</f>
        <v/>
      </c>
      <c r="J3475">
        <f>((Inputs!$B$6*(1+Inputs!$B$7/100))+(((Inputs!$B$12*(1+Inputs!$B$13/100))-(Inputs!$B$12*(1+Inputs!$B$13/100)))+0.25*(Inputs!$B$14-Inputs!$B$14))*(1+Inputs!$B$7/100))*(F3475/100)</f>
        <v/>
      </c>
      <c r="K3475">
        <f>J3475*(1+((Inputs!$B$12*(1+Inputs!$B$13/100))*0.01+Inputs!$B$14*0.0025)/100)*(1+Inputs!$B$15/100)*(1+Inputs!$B$16/100)*(5000/(6000+Inputs!$B$43*(1-(100*(1-(1-(Inputs!$B$19+0)/100)*(1-CHOOSE(ArtifactsInput!$N$40+1,5,6,7,8,9,10)/100)^(ArtifactsInput!$M$40-ArtifactsInput!$M$40)))/100)))*(1+(Inputs!$B$24+((C3497=TRUE)*(F3497-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3490=TRUE)*(F3490-Calc!F23))+(((IF(AND(ArtifactsInput!$M$42,((Inputs!$B$9+((C3492=TRUE)*(F3492-Calc!F25))+B3507+(ArtifactsInput!$M$24-ArtifactsInput!$M$24)*CHOOSE(ArtifactsInput!$N$24+1,10,12,14,16,18,20)+IF(ArtifactsInput!$M$10,CHOOSE(ArtifactsInput!$N$10+1,15,18,21,24,27,30)*(IF(Inputs!$B$39="pvp",MIN(15,15)/15,IF(AND(Inputs!$B$39&lt;&gt;"pvp",Inputs!$B$44&gt;0),MIN(15,Inputs!$B$44)/(Inputs!$B$44),0))),0)))&gt;=100),MIN(100,((Inputs!$B$9+((C3492=TRUE)*(F3492-Calc!F25))+B3507+(ArtifactsInput!$M$24-ArtifactsInput!$M$24)*CHOOSE(ArtifactsInput!$N$24+1,10,12,14,16,18,20)+IF(ArtifactsInput!$M$10,CHOOSE(ArtifactsInput!$N$10+1,15,18,21,24,27,30)*(IF(Inputs!$B$39="pvp",MIN(15,15)/15,IF(AND(Inputs!$B$39&lt;&gt;"pvp",Inputs!$B$44&gt;0),MIN(15,Inputs!$B$44)/(Inputs!$B$44),0))),0)))-100),0))*CHOOSE(ArtifactsInput!$N$42+1,0.6,0.72,0.84,0.96,1.08,1.2))),Inputs!$B$18+((C3496=TRUE)*(F3496-Calc!F29))+(IF(AND(ArtifactsInput!$M$42,((Inputs!$B$9+((C3492=TRUE)*(F3492-Calc!F25))+B3507+(ArtifactsInput!$M$24-ArtifactsInput!$M$24)*CHOOSE(ArtifactsInput!$N$24+1,10,12,14,16,18,20)+IF(ArtifactsInput!$M$10,CHOOSE(ArtifactsInput!$N$10+1,15,18,21,24,27,30)*(IF(Inputs!$B$39="pvp",MIN(15,15)/15,IF(AND(Inputs!$B$39&lt;&gt;"pvp",Inputs!$B$44&gt;0),MIN(15,Inputs!$B$44)/(Inputs!$B$44),0))),0)))&gt;=100),CHOOSE(ArtifactsInput!$N$42+1,40,48,56,64,72,80),0))))/100)*(((1+(((C3488=TRUE)*F3488*IF(AND(Inputs!$B$39&lt;&gt;"pvp",Inputs!$B$44&gt;0),(((R3488-1)*(Skills!Y21*(1+Inputs!$B$34/100))+MIN((Skills!Y21*(1+Inputs!$B$34/100)),MAX(0,Inputs!$B$44-((R3488-1)*Skills!D21))))/Inputs!$B$44),IF(Inputs!$B$39="pvp",MIN((Skills!Y21*(1+Inputs!$B$34/100)),15)/15,(Skills!Y21*(1+Inputs!$B$34/100))/Skills!D21)))+((C3495=TRUE)*(F3495-Calc!F28))+((C3485=TRUE)*(F3485-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3482=TRUE)*F3482*IF(AND(Inputs!$B$39&lt;&gt;"pvp",Inputs!$B$44&gt;0),(((R3482-1)*(Skills!Y15*(1+Inputs!$B$34/100))+MIN((Skills!Y15*(1+Inputs!$B$34/100)),MAX(0,Inputs!$B$44-((R3482-1)*Skills!D15))))/Inputs!$B$44),IF(Inputs!$B$39="pvp",MIN((Skills!Y15*(1+Inputs!$B$34/100)),15)/15,(Skills!Y15*(1+Inputs!$B$34/100))/Skills!D15)))/100)*(1+((C3473=TRUE)*F3473*B3501)/100))*B3509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3475)</f>
        <v/>
      </c>
      <c r="L3475">
        <f>K3475*(MIN(Inputs!$B$22+((C3491=TRUE)*(F3491-Calc!F24)),(Inputs!$B$23+0+(IF(ArtifactsInput!$M$15,CHOOSE(ArtifactsInput!$N$15+1,25,30,35,40,45,50)/100*(Inputs!$B$11-Inputs!$B$11),0))))/100+(Inputs!$B$23+0+(IF(ArtifactsInput!$M$15,CHOOSE(ArtifactsInput!$N$15+1,25,30,35,40,45,50)/100*(Inputs!$B$11-Inputs!$B$11),0)))/100)/2</f>
        <v/>
      </c>
      <c r="M3475">
        <f>L3475*(1+(Inputs!$B$10+((C3493=TRUE)*(F3493-Calc!F26))+B3510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75">
        <f>L3475*(1-MIN((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3475*(MIN((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75">
        <f>(1-Summary!$B$11)*T3475+Summary!$B$11*V3475</f>
        <v/>
      </c>
      <c r="P3475">
        <f>IF(B3511=0,0,O3475/B3511)</f>
        <v/>
      </c>
      <c r="Q3475">
        <f>IFERROR(1/IF(Inputs!$B$39="pvp",15,MAX(0.1,Skills!D8-IF(Skills!E8=TRUE,3.5,0))),0)</f>
        <v/>
      </c>
      <c r="R3475">
        <f>IF(AND(Inputs!$B$39&lt;&gt;"pvp",Inputs!$B$44&gt;0),IF(MAX(0,Inputs!$B$44-B3512)&lt;=0,0,(INT(MAX(0,Inputs!$B$44-B3512)/IF(Inputs!$B$39="pvp",15,MAX(0.1,Skills!D8-IF(Skills!E8=TRUE,3.5,0))))+1)),0)</f>
        <v/>
      </c>
      <c r="S3475">
        <f>IFERROR(O3475/N3475,0)</f>
        <v/>
      </c>
      <c r="T3475">
        <f>IF(C3475,(H3475*N3475*IF(AND(Inputs!$B$39&lt;&gt;"pvp",Inputs!$B$44&gt;0),((Skills!G8*((R3475-1)*IF(Skills!H8&gt;0,Skills!I8/Skills!H8,1)+IF(Skills!H8&gt;0,MIN(Skills!I8,MAX(0,MAX(0,Inputs!$B$44-B3512)-((R3475-1)*IF(Inputs!$B$39="pvp",15,MAX(0.1,Skills!D8-IF(Skills!E8=TRUE,3.5,0))))))/Skills!H8,1)))/Inputs!$B$44),G3475*Q3475))*IF(Inputs!$B$39="pvp",1,1+(Inputs!$B$20+((C3494=TRUE)*(F3494-Calc!F27))+Skills!P8+B3508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Hunt"),CHOOSE(ArtifactsInput!$N$35+1,15,18,21,24,27,30)*(1-EXP(-(0.2*B3503)*5)),0)+IF(AND(ArtifactsInput!$M$22,Inputs!$B$4&lt;&gt;"Chapter Hunt"),CHOOSE(ArtifactsInput!$N$22+1,10,12,14,16,18,20)*((0*(((0.15*B3503*5))^0/1)+1*(((0.15*B3503*5))^1/1)+2*(((0.15*B3503*5))^2/2)+3*(((0.15*B3503*5))^3/6)+4*(((0.15*B3503*5))^4/24)+5*(((0.15*B3503*5))^5/120))/((((0.15*B3503*5))^0/1)+(((0.15*B3503*5))^1/1)+(((0.15*B3503*5))^2/2)+(((0.15*B3503*5))^3/6)+(((0.15*B3503*5))^4/24)+(((0.15*B3503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3475*(1-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3475*(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3475*(1-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3475*(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75">
        <f>IF(C3475,(H3475*N3475*IF(AND(Inputs!$B$39&lt;&gt;"pvp",Inputs!$B$44&gt;0),((Skills!G8*((R3475-1)*IF(Skills!H8&gt;0,Skills!I8/Skills!H8,1)+IF(Skills!H8&gt;0,MIN(Skills!I8,MAX(0,MAX(0,Inputs!$B$44-B3512)-((R3475-1)*IF(Inputs!$B$39="pvp",15,MAX(0.1,Skills!D8-IF(Skills!E8=TRUE,3.5,0))))))/Skills!H8,1)))/Inputs!$B$44),G3475*Q3475))*IF(Inputs!$B$39="pvp",1,(1+(Inputs!$B$21+Skills!Q8+B3508+(IF(ArtifactsInput!$M$33,CHOOSE(ArtifactsInput!$N$33+1,30,36,42,48,54,60),0))+(IF(AND(ArtifactsInput!$M$35,Inputs!$B$4&lt;&gt;"Chapter Hunt"),CHOOSE(ArtifactsInput!$N$35+1,15,18,21,24,27,30)*(1-EXP(-(0.2*B3503)*5)),0)+IF(AND(ArtifactsInput!$M$22,Inputs!$B$4&lt;&gt;"Chapter Hunt"),CHOOSE(ArtifactsInput!$N$22+1,10,12,14,16,18,20)*((0*(((0.15*B3503*5))^0/1)+1*(((0.15*B3503*5))^1/1)+2*(((0.15*B3503*5))^2/2)+3*(((0.15*B3503*5))^3/6)+4*(((0.15*B3503*5))^4/24)+5*(((0.15*B3503*5))^5/120))/((((0.15*B3503*5))^0/1)+(((0.15*B3503*5))^1/1)+(((0.15*B3503*5))^2/2)+(((0.15*B3503*5))^3/6)+(((0.15*B3503*5))^4/24)+(((0.15*B3503*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76">
      <c r="A3476">
        <f>Skills!A9</f>
        <v/>
      </c>
      <c r="B3476">
        <f>Skills!B9</f>
        <v/>
      </c>
      <c r="C3476">
        <f>Inputs!$B$3&gt;=72</f>
        <v/>
      </c>
      <c r="D3476">
        <f>IF(Skills!C9=1,60+Inputs!$B$25+Inputs!$B$29,IF(Skills!C9=2,90+Inputs!$B$26+Inputs!$B$29,IF(Skills!C9=3,120+Inputs!$B$27+Inputs!$B$29,MAX(0,(Inputs!$B$3-100)*3)+Inputs!$B$28+Inputs!$B$29)))</f>
        <v/>
      </c>
      <c r="E3476">
        <f>INDEX(FactorTable!$B$2:$Y$301, MATCH(ROUND(MIN(300,MAX(1,D3476)),0), FactorTable!$A$2:$A$301,0), Skills!M9+1)</f>
        <v/>
      </c>
      <c r="F3476">
        <f>IF(Skills!N9=TRUE,(Skills!L9/10)*(E3476/1000),Skills!L9/10)+Skills!O9</f>
        <v/>
      </c>
      <c r="G3476">
        <f>Calc!G9</f>
        <v/>
      </c>
      <c r="H3476">
        <f>Calc!H9</f>
        <v/>
      </c>
      <c r="I3476">
        <f>IF(Skills!AA9&lt;&gt;"",1+(Skills!AA9/10)*(U3470/1000)/100,1)</f>
        <v/>
      </c>
      <c r="J3476">
        <f>((Inputs!$B$6*(1+Inputs!$B$7/100))+(((Inputs!$B$12*(1+Inputs!$B$13/100))-(Inputs!$B$12*(1+Inputs!$B$13/100)))+0.25*(Inputs!$B$14-Inputs!$B$14))*(1+Inputs!$B$7/100))*(F3476/100)</f>
        <v/>
      </c>
      <c r="K3476">
        <f>J3476*(1+((Inputs!$B$12*(1+Inputs!$B$13/100))*0.01+Inputs!$B$14*0.0025)/100)*(1+Inputs!$B$15/100)*(1+Inputs!$B$16/100)*(5000/(6000+Inputs!$B$43*(1-(100*(1-(1-(Inputs!$B$19+0)/100)*(1-CHOOSE(ArtifactsInput!$N$40+1,5,6,7,8,9,10)/100)^(ArtifactsInput!$M$40-ArtifactsInput!$M$40)))/100)))*(1+(Inputs!$B$24+((C3497=TRUE)*(F3497-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3490=TRUE)*(F3490-Calc!F23))+(((IF(AND(ArtifactsInput!$M$42,((Inputs!$B$9+((C3492=TRUE)*(F3492-Calc!F25))+B3507+(ArtifactsInput!$M$24-ArtifactsInput!$M$24)*CHOOSE(ArtifactsInput!$N$24+1,10,12,14,16,18,20)+IF(ArtifactsInput!$M$10,CHOOSE(ArtifactsInput!$N$10+1,15,18,21,24,27,30)*(IF(Inputs!$B$39="pvp",MIN(15,15)/15,IF(AND(Inputs!$B$39&lt;&gt;"pvp",Inputs!$B$44&gt;0),MIN(15,Inputs!$B$44)/(Inputs!$B$44),0))),0)))&gt;=100),MIN(100,((Inputs!$B$9+((C3492=TRUE)*(F3492-Calc!F25))+B3507+(ArtifactsInput!$M$24-ArtifactsInput!$M$24)*CHOOSE(ArtifactsInput!$N$24+1,10,12,14,16,18,20)+IF(ArtifactsInput!$M$10,CHOOSE(ArtifactsInput!$N$10+1,15,18,21,24,27,30)*(IF(Inputs!$B$39="pvp",MIN(15,15)/15,IF(AND(Inputs!$B$39&lt;&gt;"pvp",Inputs!$B$44&gt;0),MIN(15,Inputs!$B$44)/(Inputs!$B$44),0))),0)))-100),0))*CHOOSE(ArtifactsInput!$N$42+1,0.6,0.72,0.84,0.96,1.08,1.2))),Inputs!$B$18+((C3496=TRUE)*(F3496-Calc!F29))+(IF(AND(ArtifactsInput!$M$42,((Inputs!$B$9+((C3492=TRUE)*(F3492-Calc!F25))+B3507+(ArtifactsInput!$M$24-ArtifactsInput!$M$24)*CHOOSE(ArtifactsInput!$N$24+1,10,12,14,16,18,20)+IF(ArtifactsInput!$M$10,CHOOSE(ArtifactsInput!$N$10+1,15,18,21,24,27,30)*(IF(Inputs!$B$39="pvp",MIN(15,15)/15,IF(AND(Inputs!$B$39&lt;&gt;"pvp",Inputs!$B$44&gt;0),MIN(15,Inputs!$B$44)/(Inputs!$B$44),0))),0)))&gt;=100),CHOOSE(ArtifactsInput!$N$42+1,40,48,56,64,72,80),0))))/100)*(((1+(((C3488=TRUE)*F3488*IF(AND(Inputs!$B$39&lt;&gt;"pvp",Inputs!$B$44&gt;0),(((R3488-1)*(Skills!Y21*(1+Inputs!$B$34/100))+MIN((Skills!Y21*(1+Inputs!$B$34/100)),MAX(0,Inputs!$B$44-((R3488-1)*Skills!D21))))/Inputs!$B$44),IF(Inputs!$B$39="pvp",MIN((Skills!Y21*(1+Inputs!$B$34/100)),15)/15,(Skills!Y21*(1+Inputs!$B$34/100))/Skills!D21)))+((C3495=TRUE)*(F3495-Calc!F28))+((C3485=TRUE)*(F3485-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3482=TRUE)*F3482*IF(AND(Inputs!$B$39&lt;&gt;"pvp",Inputs!$B$44&gt;0),(((R3482-1)*(Skills!Y15*(1+Inputs!$B$34/100))+MIN((Skills!Y15*(1+Inputs!$B$34/100)),MAX(0,Inputs!$B$44-((R3482-1)*Skills!D15))))/Inputs!$B$44),IF(Inputs!$B$39="pvp",MIN((Skills!Y15*(1+Inputs!$B$34/100)),15)/15,(Skills!Y15*(1+Inputs!$B$34/100))/Skills!D15)))/100)*(1+((C3473=TRUE)*F3473*B3501)/100))*B3509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3476)</f>
        <v/>
      </c>
      <c r="L3476">
        <f>K3476*(MIN(Inputs!$B$22+((C3491=TRUE)*(F3491-Calc!F24)),(Inputs!$B$23+0+(IF(ArtifactsInput!$M$15,CHOOSE(ArtifactsInput!$N$15+1,25,30,35,40,45,50)/100*(Inputs!$B$11-Inputs!$B$11),0))))/100+(Inputs!$B$23+0+(IF(ArtifactsInput!$M$15,CHOOSE(ArtifactsInput!$N$15+1,25,30,35,40,45,50)/100*(Inputs!$B$11-Inputs!$B$11),0)))/100)/2</f>
        <v/>
      </c>
      <c r="M3476">
        <f>L3476*(1+(Inputs!$B$10+((C3493=TRUE)*(F3493-Calc!F26))+B3510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76">
        <f>L3476*(1-MIN((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3476*(MIN((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76">
        <f>(1-Summary!$B$11)*T3476+Summary!$B$11*V3476</f>
        <v/>
      </c>
      <c r="P3476">
        <f>IF(B3511=0,0,O3476/B3511)</f>
        <v/>
      </c>
      <c r="Q3476">
        <f>IFERROR(1/IF(Inputs!$B$39="pvp",15,MAX(0.1,Skills!D9-IF(Skills!E9=TRUE,3.5,0))),0)</f>
        <v/>
      </c>
      <c r="R3476">
        <f>IF(AND(Inputs!$B$39&lt;&gt;"pvp",Inputs!$B$44&gt;0),IF(MAX(0,Inputs!$B$44-B3512)&lt;=0,0,(INT(MAX(0,Inputs!$B$44-B3512)/IF(Inputs!$B$39="pvp",15,MAX(0.1,Skills!D9-IF(Skills!E9=TRUE,3.5,0))))+1)),0)</f>
        <v/>
      </c>
      <c r="S3476">
        <f>IFERROR(O3476/N3476,0)</f>
        <v/>
      </c>
      <c r="T3476">
        <f>IF(C3476,(H3476*N3476*IF(AND(Inputs!$B$39&lt;&gt;"pvp",Inputs!$B$44&gt;0),((Skills!G9*((R3476-1)*IF(Skills!H9&gt;0,Skills!I9/Skills!H9,1)+IF(Skills!H9&gt;0,MIN(Skills!I9,MAX(0,MAX(0,Inputs!$B$44-B3512)-((R3476-1)*IF(Inputs!$B$39="pvp",15,MAX(0.1,Skills!D9-IF(Skills!E9=TRUE,3.5,0))))))/Skills!H9,1)))/Inputs!$B$44),G3476*Q3476))*IF(Inputs!$B$39="pvp",1,1+(Inputs!$B$20+((C3494=TRUE)*(F3494-Calc!F27))+Skills!P9+B3508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Hunt"),CHOOSE(ArtifactsInput!$N$35+1,15,18,21,24,27,30)*(1-EXP(-(0.2*B3503)*5)),0)+IF(AND(ArtifactsInput!$M$22,Inputs!$B$4&lt;&gt;"Chapter Hunt"),CHOOSE(ArtifactsInput!$N$22+1,10,12,14,16,18,20)*((0*(((0.15*B3503*5))^0/1)+1*(((0.15*B3503*5))^1/1)+2*(((0.15*B3503*5))^2/2)+3*(((0.15*B3503*5))^3/6)+4*(((0.15*B3503*5))^4/24)+5*(((0.15*B3503*5))^5/120))/((((0.15*B3503*5))^0/1)+(((0.15*B3503*5))^1/1)+(((0.15*B3503*5))^2/2)+(((0.15*B3503*5))^3/6)+(((0.15*B3503*5))^4/24)+(((0.15*B3503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3476*(1-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3476*(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3476*(1-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3476*(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76">
        <f>IF(C3476,(H3476*N3476*IF(AND(Inputs!$B$39&lt;&gt;"pvp",Inputs!$B$44&gt;0),((Skills!G9*((R3476-1)*IF(Skills!H9&gt;0,Skills!I9/Skills!H9,1)+IF(Skills!H9&gt;0,MIN(Skills!I9,MAX(0,MAX(0,Inputs!$B$44-B3512)-((R3476-1)*IF(Inputs!$B$39="pvp",15,MAX(0.1,Skills!D9-IF(Skills!E9=TRUE,3.5,0))))))/Skills!H9,1)))/Inputs!$B$44),G3476*Q3476))*IF(Inputs!$B$39="pvp",1,(1+(Inputs!$B$21+Skills!Q9+B3508+(IF(ArtifactsInput!$M$33,CHOOSE(ArtifactsInput!$N$33+1,30,36,42,48,54,60),0))+(IF(AND(ArtifactsInput!$M$35,Inputs!$B$4&lt;&gt;"Chapter Hunt"),CHOOSE(ArtifactsInput!$N$35+1,15,18,21,24,27,30)*(1-EXP(-(0.2*B3503)*5)),0)+IF(AND(ArtifactsInput!$M$22,Inputs!$B$4&lt;&gt;"Chapter Hunt"),CHOOSE(ArtifactsInput!$N$22+1,10,12,14,16,18,20)*((0*(((0.15*B3503*5))^0/1)+1*(((0.15*B3503*5))^1/1)+2*(((0.15*B3503*5))^2/2)+3*(((0.15*B3503*5))^3/6)+4*(((0.15*B3503*5))^4/24)+5*(((0.15*B3503*5))^5/120))/((((0.15*B3503*5))^0/1)+(((0.15*B3503*5))^1/1)+(((0.15*B3503*5))^2/2)+(((0.15*B3503*5))^3/6)+(((0.15*B3503*5))^4/24)+(((0.15*B3503*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77">
      <c r="A3477">
        <f>Skills!A10</f>
        <v/>
      </c>
      <c r="B3477">
        <f>Skills!B10</f>
        <v/>
      </c>
      <c r="C3477">
        <f>Inputs!$B$3&gt;=117</f>
        <v/>
      </c>
      <c r="D3477">
        <f>IF(Skills!C10=1,60+Inputs!$B$25+Inputs!$B$29,IF(Skills!C10=2,90+Inputs!$B$26+Inputs!$B$29,IF(Skills!C10=3,120+Inputs!$B$27+Inputs!$B$29,MAX(0,(Inputs!$B$3-100)*3)+Inputs!$B$28+Inputs!$B$29)))</f>
        <v/>
      </c>
      <c r="E3477">
        <f>INDEX(FactorTable!$B$2:$Y$301, MATCH(ROUND(MIN(300,MAX(1,D3477)),0), FactorTable!$A$2:$A$301,0), Skills!M10+1)</f>
        <v/>
      </c>
      <c r="F3477">
        <f>IF(Skills!N10=TRUE,(Skills!L10/10)*(E3477/1000),Skills!L10/10)+Skills!O10</f>
        <v/>
      </c>
      <c r="G3477">
        <f>Calc!G10</f>
        <v/>
      </c>
      <c r="H3477">
        <f>Calc!H10</f>
        <v/>
      </c>
      <c r="I3477">
        <f>IF(Skills!AA10&lt;&gt;"",1+(Skills!AA10/10)*(U3470/1000)/100,1)</f>
        <v/>
      </c>
      <c r="J3477">
        <f>((Inputs!$B$6*(1+Inputs!$B$7/100))+(((Inputs!$B$12*(1+Inputs!$B$13/100))-(Inputs!$B$12*(1+Inputs!$B$13/100)))+0.25*(Inputs!$B$14-Inputs!$B$14))*(1+Inputs!$B$7/100))*(F3477/100)</f>
        <v/>
      </c>
      <c r="K3477">
        <f>J3477*(1+((Inputs!$B$12*(1+Inputs!$B$13/100))*0.01+Inputs!$B$14*0.0025)/100)*(1+Inputs!$B$15/100)*(1+Inputs!$B$16/100)*(5000/(6000+Inputs!$B$43*(1-(100*(1-(1-(Inputs!$B$19+0)/100)*(1-CHOOSE(ArtifactsInput!$N$40+1,5,6,7,8,9,10)/100)^(ArtifactsInput!$M$40-ArtifactsInput!$M$40)))/100)))*(1+(Inputs!$B$24+((C3497=TRUE)*(F3497-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3490=TRUE)*(F3490-Calc!F23))+(((IF(AND(ArtifactsInput!$M$42,((Inputs!$B$9+((C3492=TRUE)*(F3492-Calc!F25))+B3507+(ArtifactsInput!$M$24-ArtifactsInput!$M$24)*CHOOSE(ArtifactsInput!$N$24+1,10,12,14,16,18,20)+IF(ArtifactsInput!$M$10,CHOOSE(ArtifactsInput!$N$10+1,15,18,21,24,27,30)*(IF(Inputs!$B$39="pvp",MIN(15,15)/15,IF(AND(Inputs!$B$39&lt;&gt;"pvp",Inputs!$B$44&gt;0),MIN(15,Inputs!$B$44)/(Inputs!$B$44),0))),0)))&gt;=100),MIN(100,((Inputs!$B$9+((C3492=TRUE)*(F3492-Calc!F25))+B3507+(ArtifactsInput!$M$24-ArtifactsInput!$M$24)*CHOOSE(ArtifactsInput!$N$24+1,10,12,14,16,18,20)+IF(ArtifactsInput!$M$10,CHOOSE(ArtifactsInput!$N$10+1,15,18,21,24,27,30)*(IF(Inputs!$B$39="pvp",MIN(15,15)/15,IF(AND(Inputs!$B$39&lt;&gt;"pvp",Inputs!$B$44&gt;0),MIN(15,Inputs!$B$44)/(Inputs!$B$44),0))),0)))-100),0))*CHOOSE(ArtifactsInput!$N$42+1,0.6,0.72,0.84,0.96,1.08,1.2))),Inputs!$B$18+((C3496=TRUE)*(F3496-Calc!F29))+(IF(AND(ArtifactsInput!$M$42,((Inputs!$B$9+((C3492=TRUE)*(F3492-Calc!F25))+B3507+(ArtifactsInput!$M$24-ArtifactsInput!$M$24)*CHOOSE(ArtifactsInput!$N$24+1,10,12,14,16,18,20)+IF(ArtifactsInput!$M$10,CHOOSE(ArtifactsInput!$N$10+1,15,18,21,24,27,30)*(IF(Inputs!$B$39="pvp",MIN(15,15)/15,IF(AND(Inputs!$B$39&lt;&gt;"pvp",Inputs!$B$44&gt;0),MIN(15,Inputs!$B$44)/(Inputs!$B$44),0))),0)))&gt;=100),CHOOSE(ArtifactsInput!$N$42+1,40,48,56,64,72,80),0))))/100)*(((1+(((C3488=TRUE)*F3488*IF(AND(Inputs!$B$39&lt;&gt;"pvp",Inputs!$B$44&gt;0),(((R3488-1)*(Skills!Y21*(1+Inputs!$B$34/100))+MIN((Skills!Y21*(1+Inputs!$B$34/100)),MAX(0,Inputs!$B$44-((R3488-1)*Skills!D21))))/Inputs!$B$44),IF(Inputs!$B$39="pvp",MIN((Skills!Y21*(1+Inputs!$B$34/100)),15)/15,(Skills!Y21*(1+Inputs!$B$34/100))/Skills!D21)))+((C3495=TRUE)*(F3495-Calc!F28))+((C3485=TRUE)*(F3485-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3482=TRUE)*F3482*IF(AND(Inputs!$B$39&lt;&gt;"pvp",Inputs!$B$44&gt;0),(((R3482-1)*(Skills!Y15*(1+Inputs!$B$34/100))+MIN((Skills!Y15*(1+Inputs!$B$34/100)),MAX(0,Inputs!$B$44-((R3482-1)*Skills!D15))))/Inputs!$B$44),IF(Inputs!$B$39="pvp",MIN((Skills!Y15*(1+Inputs!$B$34/100)),15)/15,(Skills!Y15*(1+Inputs!$B$34/100))/Skills!D15)))/100)*(1+((C3473=TRUE)*F3473*B3501)/100))*B3509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3477)</f>
        <v/>
      </c>
      <c r="L3477">
        <f>K3477*(MIN(Inputs!$B$22+((C3491=TRUE)*(F3491-Calc!F24)),(Inputs!$B$23+0+(IF(ArtifactsInput!$M$15,CHOOSE(ArtifactsInput!$N$15+1,25,30,35,40,45,50)/100*(Inputs!$B$11-Inputs!$B$11),0))))/100+(Inputs!$B$23+0+(IF(ArtifactsInput!$M$15,CHOOSE(ArtifactsInput!$N$15+1,25,30,35,40,45,50)/100*(Inputs!$B$11-Inputs!$B$11),0)))/100)/2</f>
        <v/>
      </c>
      <c r="M3477">
        <f>L3477*(1+(Inputs!$B$10+((C3493=TRUE)*(F3493-Calc!F26))+B3510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77">
        <f>L3477*(1-MIN((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3477*(MIN((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77">
        <f>(1-Summary!$B$11)*T3477+Summary!$B$11*V3477</f>
        <v/>
      </c>
      <c r="P3477">
        <f>IF(B3511=0,0,O3477/B3511)</f>
        <v/>
      </c>
      <c r="Q3477" t="n">
        <v>0</v>
      </c>
      <c r="R3477" t="n">
        <v>0</v>
      </c>
      <c r="S3477" t="n">
        <v>0</v>
      </c>
      <c r="T3477">
        <f>IF(C3477,(0.2*SUMPRODUCT((Skills!Z2:Z31=TRUE)*(C3469:C3498=TRUE)*S3469:S3498)*N3477)*IF(Inputs!$B$39="pvp",1,1+(Inputs!$B$20+((C3494=TRUE)*(F3494-Calc!F27))+Skills!P10+B3508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Hunt"),CHOOSE(ArtifactsInput!$N$35+1,15,18,21,24,27,30)*(1-EXP(-(0.2*B3503)*5)),0)+IF(AND(ArtifactsInput!$M$22,Inputs!$B$4&lt;&gt;"Chapter Hunt"),CHOOSE(ArtifactsInput!$N$22+1,10,12,14,16,18,20)*((0*(((0.15*B3503*5))^0/1)+1*(((0.15*B3503*5))^1/1)+2*(((0.15*B3503*5))^2/2)+3*(((0.15*B3503*5))^3/6)+4*(((0.15*B3503*5))^4/24)+5*(((0.15*B3503*5))^5/120))/((((0.15*B3503*5))^0/1)+(((0.15*B3503*5))^1/1)+(((0.15*B3503*5))^2/2)+(((0.15*B3503*5))^3/6)+(((0.15*B3503*5))^4/24)+(((0.15*B3503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3477*(1-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3477*(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3477*(1-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3477*(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77">
        <f>IF(C3477,(0.2*SUMPRODUCT((Skills!Z2:Z31=TRUE)*(C3469:C3498=TRUE)*S3469:S3498)*N3477)*IF(Inputs!$B$39="pvp",1,(1+(Inputs!$B$21+Skills!Q10+B3508+(IF(ArtifactsInput!$M$33,CHOOSE(ArtifactsInput!$N$33+1,30,36,42,48,54,60),0))+(IF(AND(ArtifactsInput!$M$35,Inputs!$B$4&lt;&gt;"Chapter Hunt"),CHOOSE(ArtifactsInput!$N$35+1,15,18,21,24,27,30)*(1-EXP(-(0.2*B3503)*5)),0)+IF(AND(ArtifactsInput!$M$22,Inputs!$B$4&lt;&gt;"Chapter Hunt"),CHOOSE(ArtifactsInput!$N$22+1,10,12,14,16,18,20)*((0*(((0.15*B3503*5))^0/1)+1*(((0.15*B3503*5))^1/1)+2*(((0.15*B3503*5))^2/2)+3*(((0.15*B3503*5))^3/6)+4*(((0.15*B3503*5))^4/24)+5*(((0.15*B3503*5))^5/120))/((((0.15*B3503*5))^0/1)+(((0.15*B3503*5))^1/1)+(((0.15*B3503*5))^2/2)+(((0.15*B3503*5))^3/6)+(((0.15*B3503*5))^4/24)+(((0.15*B3503*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78">
      <c r="A3478">
        <f>Skills!A11</f>
        <v/>
      </c>
      <c r="B3478">
        <f>Skills!B11</f>
        <v/>
      </c>
      <c r="C3478">
        <f>Inputs!$B$3&gt;=60</f>
        <v/>
      </c>
      <c r="D3478">
        <f>IF(Skills!C11=1,60+Inputs!$B$25+Inputs!$B$29,IF(Skills!C11=2,90+Inputs!$B$26+Inputs!$B$29,IF(Skills!C11=3,120+Inputs!$B$27+Inputs!$B$29,MAX(0,(Inputs!$B$3-100)*3)+Inputs!$B$28+Inputs!$B$29)))</f>
        <v/>
      </c>
      <c r="E3478">
        <f>INDEX(FactorTable!$B$2:$Y$301, MATCH(ROUND(MIN(300,MAX(1,D3478)),0), FactorTable!$A$2:$A$301,0), Skills!M11+1)</f>
        <v/>
      </c>
      <c r="F3478">
        <f>IF(Skills!N11=TRUE,(Skills!L11/10)*(E3478/1000),Skills!L11/10)+Skills!O11</f>
        <v/>
      </c>
      <c r="G3478">
        <f>Calc!G11</f>
        <v/>
      </c>
      <c r="H3478">
        <f>Calc!H11</f>
        <v/>
      </c>
      <c r="I3478">
        <f>IF(Skills!AA11&lt;&gt;"",1+(Skills!AA11/10)*(U3470/1000)/100,1)</f>
        <v/>
      </c>
      <c r="J3478" t="inlineStr"/>
      <c r="K3478" t="inlineStr"/>
      <c r="L3478" t="inlineStr"/>
      <c r="M3478" t="inlineStr"/>
      <c r="N3478" t="inlineStr"/>
      <c r="O3478">
        <f>(1-Summary!$B$11)*T3478+Summary!$B$11*V3478</f>
        <v/>
      </c>
      <c r="P3478">
        <f>IF(B3511=0,0,O3478/B3511)</f>
        <v/>
      </c>
      <c r="Q3478" t="n">
        <v>0</v>
      </c>
      <c r="R3478" t="n">
        <v>0</v>
      </c>
      <c r="S3478">
        <f>IFERROR(O3478/N3478,0)</f>
        <v/>
      </c>
      <c r="T3478" t="n">
        <v>0</v>
      </c>
      <c r="V3478" t="n">
        <v>0</v>
      </c>
    </row>
    <row r="3479">
      <c r="A3479">
        <f>Skills!A12</f>
        <v/>
      </c>
      <c r="B3479">
        <f>Skills!B12</f>
        <v/>
      </c>
      <c r="C3479">
        <f>Inputs!$B$3&gt;=103</f>
        <v/>
      </c>
      <c r="D3479">
        <f>IF(Skills!C12=1,60+Inputs!$B$25+Inputs!$B$29,IF(Skills!C12=2,90+Inputs!$B$26+Inputs!$B$29,IF(Skills!C12=3,120+Inputs!$B$27+Inputs!$B$29,MAX(0,(Inputs!$B$3-100)*3)+Inputs!$B$28+Inputs!$B$29)))</f>
        <v/>
      </c>
      <c r="E3479">
        <f>INDEX(FactorTable!$B$2:$Y$301, MATCH(ROUND(MIN(300,MAX(1,D3479)),0), FactorTable!$A$2:$A$301,0), Skills!M12+1)</f>
        <v/>
      </c>
      <c r="F3479">
        <f>IF(Skills!N12=TRUE,(Skills!L12/10)*(E3479/1000),Skills!L12/10)+Skills!O12</f>
        <v/>
      </c>
      <c r="G3479">
        <f>Calc!G12</f>
        <v/>
      </c>
      <c r="H3479">
        <f>Calc!H12</f>
        <v/>
      </c>
      <c r="I3479">
        <f>IF(Skills!AA12&lt;&gt;"",1+(Skills!AA12/10)*(U3470/1000)/100,1)</f>
        <v/>
      </c>
      <c r="J3479">
        <f>((Inputs!$B$6*(1+Inputs!$B$7/100))+(((Inputs!$B$12*(1+Inputs!$B$13/100))-(Inputs!$B$12*(1+Inputs!$B$13/100)))+0.25*(Inputs!$B$14-Inputs!$B$14))*(1+Inputs!$B$7/100))*(F3479/100)</f>
        <v/>
      </c>
      <c r="K3479">
        <f>J3479*(1+((Inputs!$B$12*(1+Inputs!$B$13/100))*0.01+Inputs!$B$14*0.0025)/100)*(1+Inputs!$B$15/100)*(1+Inputs!$B$16/100)*(5000/(6000+Inputs!$B$43*(1-(100*(1-(1-(Inputs!$B$19+0)/100)*(1-CHOOSE(ArtifactsInput!$N$40+1,5,6,7,8,9,10)/100)^(ArtifactsInput!$M$40-ArtifactsInput!$M$40)))/100)))*(1+(Inputs!$B$24+((C3497=TRUE)*(F3497-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3490=TRUE)*(F3490-Calc!F23))+(((IF(AND(ArtifactsInput!$M$42,((Inputs!$B$9+((C3492=TRUE)*(F3492-Calc!F25))+B3507+(ArtifactsInput!$M$24-ArtifactsInput!$M$24)*CHOOSE(ArtifactsInput!$N$24+1,10,12,14,16,18,20)+IF(ArtifactsInput!$M$10,CHOOSE(ArtifactsInput!$N$10+1,15,18,21,24,27,30)*(IF(Inputs!$B$39="pvp",MIN(15,15)/15,IF(AND(Inputs!$B$39&lt;&gt;"pvp",Inputs!$B$44&gt;0),MIN(15,Inputs!$B$44)/(Inputs!$B$44),0))),0)))&gt;=100),MIN(100,((Inputs!$B$9+((C3492=TRUE)*(F3492-Calc!F25))+B3507+(ArtifactsInput!$M$24-ArtifactsInput!$M$24)*CHOOSE(ArtifactsInput!$N$24+1,10,12,14,16,18,20)+IF(ArtifactsInput!$M$10,CHOOSE(ArtifactsInput!$N$10+1,15,18,21,24,27,30)*(IF(Inputs!$B$39="pvp",MIN(15,15)/15,IF(AND(Inputs!$B$39&lt;&gt;"pvp",Inputs!$B$44&gt;0),MIN(15,Inputs!$B$44)/(Inputs!$B$44),0))),0)))-100),0))*CHOOSE(ArtifactsInput!$N$42+1,0.6,0.72,0.84,0.96,1.08,1.2))),Inputs!$B$18+((C3496=TRUE)*(F3496-Calc!F29))+(IF(AND(ArtifactsInput!$M$42,((Inputs!$B$9+((C3492=TRUE)*(F3492-Calc!F25))+B3507+(ArtifactsInput!$M$24-ArtifactsInput!$M$24)*CHOOSE(ArtifactsInput!$N$24+1,10,12,14,16,18,20)+IF(ArtifactsInput!$M$10,CHOOSE(ArtifactsInput!$N$10+1,15,18,21,24,27,30)*(IF(Inputs!$B$39="pvp",MIN(15,15)/15,IF(AND(Inputs!$B$39&lt;&gt;"pvp",Inputs!$B$44&gt;0),MIN(15,Inputs!$B$44)/(Inputs!$B$44),0))),0)))&gt;=100),CHOOSE(ArtifactsInput!$N$42+1,40,48,56,64,72,80),0))))/100)*(((1+(((C3488=TRUE)*F3488*IF(AND(Inputs!$B$39&lt;&gt;"pvp",Inputs!$B$44&gt;0),(((R3488-1)*(Skills!Y21*(1+Inputs!$B$34/100))+MIN((Skills!Y21*(1+Inputs!$B$34/100)),MAX(0,Inputs!$B$44-((R3488-1)*Skills!D21))))/Inputs!$B$44),IF(Inputs!$B$39="pvp",MIN((Skills!Y21*(1+Inputs!$B$34/100)),15)/15,(Skills!Y21*(1+Inputs!$B$34/100))/Skills!D21)))+((C3495=TRUE)*(F3495-Calc!F28))+((C3485=TRUE)*(F3485-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3482=TRUE)*F3482*IF(AND(Inputs!$B$39&lt;&gt;"pvp",Inputs!$B$44&gt;0),(((R3482-1)*(Skills!Y15*(1+Inputs!$B$34/100))+MIN((Skills!Y15*(1+Inputs!$B$34/100)),MAX(0,Inputs!$B$44-((R3482-1)*Skills!D15))))/Inputs!$B$44),IF(Inputs!$B$39="pvp",MIN((Skills!Y15*(1+Inputs!$B$34/100)),15)/15,(Skills!Y15*(1+Inputs!$B$34/100))/Skills!D15)))/100)*(1+((C3473=TRUE)*F3473*B3501)/100))*B3509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3479)</f>
        <v/>
      </c>
      <c r="L3479">
        <f>K3479*(MIN(Inputs!$B$22+((C3491=TRUE)*(F3491-Calc!F24)),(Inputs!$B$23+0+(IF(ArtifactsInput!$M$15,CHOOSE(ArtifactsInput!$N$15+1,25,30,35,40,45,50)/100*(Inputs!$B$11-Inputs!$B$11),0))))/100+(Inputs!$B$23+0+(IF(ArtifactsInput!$M$15,CHOOSE(ArtifactsInput!$N$15+1,25,30,35,40,45,50)/100*(Inputs!$B$11-Inputs!$B$11),0)))/100)/2</f>
        <v/>
      </c>
      <c r="M3479">
        <f>L3479*(1+(Inputs!$B$10+((C3493=TRUE)*(F3493-Calc!F26))+B3510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79">
        <f>L3479*(1-MIN((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3479*(MIN((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79">
        <f>(1-Summary!$B$11)*T3479+Summary!$B$11*V3479</f>
        <v/>
      </c>
      <c r="P3479">
        <f>IF(B3511=0,0,O3479/B3511)</f>
        <v/>
      </c>
      <c r="Q3479">
        <f>IFERROR(1/IF(Inputs!$B$39="pvp",15,MAX(0.1,Skills!D12-IF(Skills!E12=TRUE,3.5,0))),0)</f>
        <v/>
      </c>
      <c r="R3479">
        <f>IF(AND(Inputs!$B$39&lt;&gt;"pvp",Inputs!$B$44&gt;0),IF(MAX(0,Inputs!$B$44-B3512)&lt;=0,0,(INT(MAX(0,Inputs!$B$44-B3512)/IF(Inputs!$B$39="pvp",15,MAX(0.1,Skills!D12-IF(Skills!E12=TRUE,3.5,0))))+1)),0)</f>
        <v/>
      </c>
      <c r="S3479">
        <f>IFERROR(O3479/N3479,0)</f>
        <v/>
      </c>
      <c r="T3479">
        <f>IF(C3479,(H3479*N3479*IF(AND(Inputs!$B$39&lt;&gt;"pvp",Inputs!$B$44&gt;0),((Skills!G12*((R3479-1)*IF(Skills!H12&gt;0,Skills!I12/Skills!H12,1)+IF(Skills!H12&gt;0,MIN(Skills!I12,MAX(0,MAX(0,Inputs!$B$44-B3512)-((R3479-1)*IF(Inputs!$B$39="pvp",15,MAX(0.1,Skills!D12-IF(Skills!E12=TRUE,3.5,0))))))/Skills!H12,1)))/Inputs!$B$44),G3479*Q3479))*IF(Inputs!$B$39="pvp",1,1+(Inputs!$B$20+((C3494=TRUE)*(F3494-Calc!F27))+Skills!P12+B3508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Hunt"),CHOOSE(ArtifactsInput!$N$35+1,15,18,21,24,27,30)*(1-EXP(-(0.2*B3503)*5)),0)+IF(AND(ArtifactsInput!$M$22,Inputs!$B$4&lt;&gt;"Chapter Hunt"),CHOOSE(ArtifactsInput!$N$22+1,10,12,14,16,18,20)*((0*(((0.15*B3503*5))^0/1)+1*(((0.15*B3503*5))^1/1)+2*(((0.15*B3503*5))^2/2)+3*(((0.15*B3503*5))^3/6)+4*(((0.15*B3503*5))^4/24)+5*(((0.15*B3503*5))^5/120))/((((0.15*B3503*5))^0/1)+(((0.15*B3503*5))^1/1)+(((0.15*B3503*5))^2/2)+(((0.15*B3503*5))^3/6)+(((0.15*B3503*5))^4/24)+(((0.15*B3503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3479*(1-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3479*(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3479*(1-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3479*(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79">
        <f>IF(C3479,(H3479*N3479*IF(AND(Inputs!$B$39&lt;&gt;"pvp",Inputs!$B$44&gt;0),((Skills!G12*((R3479-1)*IF(Skills!H12&gt;0,Skills!I12/Skills!H12,1)+IF(Skills!H12&gt;0,MIN(Skills!I12,MAX(0,MAX(0,Inputs!$B$44-B3512)-((R3479-1)*IF(Inputs!$B$39="pvp",15,MAX(0.1,Skills!D12-IF(Skills!E12=TRUE,3.5,0))))))/Skills!H12,1)))/Inputs!$B$44),G3479*Q3479))*IF(Inputs!$B$39="pvp",1,(1+(Inputs!$B$21+Skills!Q12+B3508+(IF(ArtifactsInput!$M$33,CHOOSE(ArtifactsInput!$N$33+1,30,36,42,48,54,60),0))+(IF(AND(ArtifactsInput!$M$35,Inputs!$B$4&lt;&gt;"Chapter Hunt"),CHOOSE(ArtifactsInput!$N$35+1,15,18,21,24,27,30)*(1-EXP(-(0.2*B3503)*5)),0)+IF(AND(ArtifactsInput!$M$22,Inputs!$B$4&lt;&gt;"Chapter Hunt"),CHOOSE(ArtifactsInput!$N$22+1,10,12,14,16,18,20)*((0*(((0.15*B3503*5))^0/1)+1*(((0.15*B3503*5))^1/1)+2*(((0.15*B3503*5))^2/2)+3*(((0.15*B3503*5))^3/6)+4*(((0.15*B3503*5))^4/24)+5*(((0.15*B3503*5))^5/120))/((((0.15*B3503*5))^0/1)+(((0.15*B3503*5))^1/1)+(((0.15*B3503*5))^2/2)+(((0.15*B3503*5))^3/6)+(((0.15*B3503*5))^4/24)+(((0.15*B3503*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80">
      <c r="A3480">
        <f>Skills!A13</f>
        <v/>
      </c>
      <c r="B3480">
        <f>Skills!B13</f>
        <v/>
      </c>
      <c r="C3480">
        <f>Inputs!$B$3&gt;=105</f>
        <v/>
      </c>
      <c r="D3480">
        <f>IF(Skills!C13=1,60+Inputs!$B$25+Inputs!$B$29,IF(Skills!C13=2,90+Inputs!$B$26+Inputs!$B$29,IF(Skills!C13=3,120+Inputs!$B$27+Inputs!$B$29,MAX(0,(Inputs!$B$3-100)*3)+Inputs!$B$28+Inputs!$B$29)))</f>
        <v/>
      </c>
      <c r="E3480">
        <f>INDEX(FactorTable!$B$2:$Y$301, MATCH(ROUND(MIN(300,MAX(1,D3480)),0), FactorTable!$A$2:$A$301,0), Skills!M13+1)</f>
        <v/>
      </c>
      <c r="F3480">
        <f>IF(Skills!N13=TRUE,(Skills!L13/10)*(E3480/1000),Skills!L13/10)+Skills!O13</f>
        <v/>
      </c>
      <c r="G3480">
        <f>Calc!G13</f>
        <v/>
      </c>
      <c r="H3480">
        <f>Calc!H13</f>
        <v/>
      </c>
      <c r="I3480">
        <f>IF(Skills!AA13&lt;&gt;"",1+(Skills!AA13/10)*(U3470/1000)/100,1)</f>
        <v/>
      </c>
      <c r="J3480">
        <f>((Inputs!$B$6*(1+Inputs!$B$7/100))+(((Inputs!$B$12*(1+Inputs!$B$13/100))-(Inputs!$B$12*(1+Inputs!$B$13/100)))+0.25*(Inputs!$B$14-Inputs!$B$14))*(1+Inputs!$B$7/100))*(F3480/100)</f>
        <v/>
      </c>
      <c r="K3480">
        <f>J3480*(1+((Inputs!$B$12*(1+Inputs!$B$13/100))*0.01+Inputs!$B$14*0.0025)/100)*(1+Inputs!$B$15/100)*(1+Inputs!$B$16/100)*(5000/(6000+Inputs!$B$43*(1-(100*(1-(1-(Inputs!$B$19+0)/100)*(1-CHOOSE(ArtifactsInput!$N$40+1,5,6,7,8,9,10)/100)^(ArtifactsInput!$M$40-ArtifactsInput!$M$40)))/100)))*(1+(Inputs!$B$24+((C3497=TRUE)*(F3497-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3490=TRUE)*(F3490-Calc!F23))+(((IF(AND(ArtifactsInput!$M$42,((Inputs!$B$9+((C3492=TRUE)*(F3492-Calc!F25))+B3507+(ArtifactsInput!$M$24-ArtifactsInput!$M$24)*CHOOSE(ArtifactsInput!$N$24+1,10,12,14,16,18,20)+IF(ArtifactsInput!$M$10,CHOOSE(ArtifactsInput!$N$10+1,15,18,21,24,27,30)*(IF(Inputs!$B$39="pvp",MIN(15,15)/15,IF(AND(Inputs!$B$39&lt;&gt;"pvp",Inputs!$B$44&gt;0),MIN(15,Inputs!$B$44)/(Inputs!$B$44),0))),0)))&gt;=100),MIN(100,((Inputs!$B$9+((C3492=TRUE)*(F3492-Calc!F25))+B3507+(ArtifactsInput!$M$24-ArtifactsInput!$M$24)*CHOOSE(ArtifactsInput!$N$24+1,10,12,14,16,18,20)+IF(ArtifactsInput!$M$10,CHOOSE(ArtifactsInput!$N$10+1,15,18,21,24,27,30)*(IF(Inputs!$B$39="pvp",MIN(15,15)/15,IF(AND(Inputs!$B$39&lt;&gt;"pvp",Inputs!$B$44&gt;0),MIN(15,Inputs!$B$44)/(Inputs!$B$44),0))),0)))-100),0))*CHOOSE(ArtifactsInput!$N$42+1,0.6,0.72,0.84,0.96,1.08,1.2))),Inputs!$B$18+((C3496=TRUE)*(F3496-Calc!F29))+(IF(AND(ArtifactsInput!$M$42,((Inputs!$B$9+((C3492=TRUE)*(F3492-Calc!F25))+B3507+(ArtifactsInput!$M$24-ArtifactsInput!$M$24)*CHOOSE(ArtifactsInput!$N$24+1,10,12,14,16,18,20)+IF(ArtifactsInput!$M$10,CHOOSE(ArtifactsInput!$N$10+1,15,18,21,24,27,30)*(IF(Inputs!$B$39="pvp",MIN(15,15)/15,IF(AND(Inputs!$B$39&lt;&gt;"pvp",Inputs!$B$44&gt;0),MIN(15,Inputs!$B$44)/(Inputs!$B$44),0))),0)))&gt;=100),CHOOSE(ArtifactsInput!$N$42+1,40,48,56,64,72,80),0))))/100)*(((1+(((C3488=TRUE)*F3488*IF(AND(Inputs!$B$39&lt;&gt;"pvp",Inputs!$B$44&gt;0),(((R3488-1)*(Skills!Y21*(1+Inputs!$B$34/100))+MIN((Skills!Y21*(1+Inputs!$B$34/100)),MAX(0,Inputs!$B$44-((R3488-1)*Skills!D21))))/Inputs!$B$44),IF(Inputs!$B$39="pvp",MIN((Skills!Y21*(1+Inputs!$B$34/100)),15)/15,(Skills!Y21*(1+Inputs!$B$34/100))/Skills!D21)))+((C3495=TRUE)*(F3495-Calc!F28))+((C3485=TRUE)*(F3485-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3482=TRUE)*F3482*IF(AND(Inputs!$B$39&lt;&gt;"pvp",Inputs!$B$44&gt;0),(((R3482-1)*(Skills!Y15*(1+Inputs!$B$34/100))+MIN((Skills!Y15*(1+Inputs!$B$34/100)),MAX(0,Inputs!$B$44-((R3482-1)*Skills!D15))))/Inputs!$B$44),IF(Inputs!$B$39="pvp",MIN((Skills!Y15*(1+Inputs!$B$34/100)),15)/15,(Skills!Y15*(1+Inputs!$B$34/100))/Skills!D15)))/100)*(1+((C3473=TRUE)*F3473*B3501)/100))*B3509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3480)</f>
        <v/>
      </c>
      <c r="L3480">
        <f>K3480*(MIN(Inputs!$B$22+((C3491=TRUE)*(F3491-Calc!F24)),(Inputs!$B$23+0+(IF(ArtifactsInput!$M$15,CHOOSE(ArtifactsInput!$N$15+1,25,30,35,40,45,50)/100*(Inputs!$B$11-Inputs!$B$11),0))))/100+(Inputs!$B$23+0+(IF(ArtifactsInput!$M$15,CHOOSE(ArtifactsInput!$N$15+1,25,30,35,40,45,50)/100*(Inputs!$B$11-Inputs!$B$11),0)))/100)/2</f>
        <v/>
      </c>
      <c r="M3480">
        <f>L3480*(1+(Inputs!$B$10+((C3493=TRUE)*(F3493-Calc!F26))+B3510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80">
        <f>L3480*(1-MIN((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3480*(MIN((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80">
        <f>(1-Summary!$B$11)*T3480+Summary!$B$11*V3480</f>
        <v/>
      </c>
      <c r="P3480">
        <f>IF(B3511=0,0,O3480/B3511)</f>
        <v/>
      </c>
      <c r="Q3480">
        <f>IFERROR(1/IF(Inputs!$B$39="pvp",15,MAX(0.1,Skills!D13-IF(Skills!E13=TRUE,3.5,0))),0)</f>
        <v/>
      </c>
      <c r="R3480">
        <f>IF(AND(Inputs!$B$39&lt;&gt;"pvp",Inputs!$B$44&gt;0),IF(MAX(0,Inputs!$B$44-B3512)&lt;=0,0,(INT(MAX(0,Inputs!$B$44-B3512)/IF(Inputs!$B$39="pvp",15,MAX(0.1,Skills!D13-IF(Skills!E13=TRUE,3.5,0))))+1)),0)</f>
        <v/>
      </c>
      <c r="S3480">
        <f>IFERROR(O3480/N3480,0)</f>
        <v/>
      </c>
      <c r="T3480">
        <f>IF(C3480,(H3480*N3480*IF(AND(Inputs!$B$39&lt;&gt;"pvp",Inputs!$B$44&gt;0),((Skills!G13*((R3480-1)*IF(Skills!H13&gt;0,Skills!I13/Skills!H13,1)+IF(Skills!H13&gt;0,MIN(Skills!I13,MAX(0,MAX(0,Inputs!$B$44-B3512)-((R3480-1)*IF(Inputs!$B$39="pvp",15,MAX(0.1,Skills!D13-IF(Skills!E13=TRUE,3.5,0))))))/Skills!H13,1)))/Inputs!$B$44),G3480*Q3480))*IF(Inputs!$B$39="pvp",1,1+(Inputs!$B$20+((C3494=TRUE)*(F3494-Calc!F27))+Skills!P13+B3508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Hunt"),CHOOSE(ArtifactsInput!$N$35+1,15,18,21,24,27,30)*(1-EXP(-(0.2*B3503)*5)),0)+IF(AND(ArtifactsInput!$M$22,Inputs!$B$4&lt;&gt;"Chapter Hunt"),CHOOSE(ArtifactsInput!$N$22+1,10,12,14,16,18,20)*((0*(((0.15*B3503*5))^0/1)+1*(((0.15*B3503*5))^1/1)+2*(((0.15*B3503*5))^2/2)+3*(((0.15*B3503*5))^3/6)+4*(((0.15*B3503*5))^4/24)+5*(((0.15*B3503*5))^5/120))/((((0.15*B3503*5))^0/1)+(((0.15*B3503*5))^1/1)+(((0.15*B3503*5))^2/2)+(((0.15*B3503*5))^3/6)+(((0.15*B3503*5))^4/24)+(((0.15*B3503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3480*(1-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3480*(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3480*(1-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3480*(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80">
        <f>IF(C3480,(H3480*N3480*IF(AND(Inputs!$B$39&lt;&gt;"pvp",Inputs!$B$44&gt;0),((Skills!G13*((R3480-1)*IF(Skills!H13&gt;0,Skills!I13/Skills!H13,1)+IF(Skills!H13&gt;0,MIN(Skills!I13,MAX(0,MAX(0,Inputs!$B$44-B3512)-((R3480-1)*IF(Inputs!$B$39="pvp",15,MAX(0.1,Skills!D13-IF(Skills!E13=TRUE,3.5,0))))))/Skills!H13,1)))/Inputs!$B$44),G3480*Q3480))*IF(Inputs!$B$39="pvp",1,(1+(Inputs!$B$21+Skills!Q13+B3508+(IF(ArtifactsInput!$M$33,CHOOSE(ArtifactsInput!$N$33+1,30,36,42,48,54,60),0))+(IF(AND(ArtifactsInput!$M$35,Inputs!$B$4&lt;&gt;"Chapter Hunt"),CHOOSE(ArtifactsInput!$N$35+1,15,18,21,24,27,30)*(1-EXP(-(0.2*B3503)*5)),0)+IF(AND(ArtifactsInput!$M$22,Inputs!$B$4&lt;&gt;"Chapter Hunt"),CHOOSE(ArtifactsInput!$N$22+1,10,12,14,16,18,20)*((0*(((0.15*B3503*5))^0/1)+1*(((0.15*B3503*5))^1/1)+2*(((0.15*B3503*5))^2/2)+3*(((0.15*B3503*5))^3/6)+4*(((0.15*B3503*5))^4/24)+5*(((0.15*B3503*5))^5/120))/((((0.15*B3503*5))^0/1)+(((0.15*B3503*5))^1/1)+(((0.15*B3503*5))^2/2)+(((0.15*B3503*5))^3/6)+(((0.15*B3503*5))^4/24)+(((0.15*B3503*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81">
      <c r="A3481">
        <f>Skills!A14</f>
        <v/>
      </c>
      <c r="B3481">
        <f>Skills!B14</f>
        <v/>
      </c>
      <c r="C3481">
        <f>Inputs!$B$3&gt;=105</f>
        <v/>
      </c>
      <c r="D3481">
        <f>IF(Skills!C14=1,60+Inputs!$B$25+Inputs!$B$29,IF(Skills!C14=2,90+Inputs!$B$26+Inputs!$B$29,IF(Skills!C14=3,120+Inputs!$B$27+Inputs!$B$29,MAX(0,(Inputs!$B$3-100)*3)+Inputs!$B$28+Inputs!$B$29)))</f>
        <v/>
      </c>
      <c r="E3481">
        <f>INDEX(FactorTable!$B$2:$Y$301, MATCH(ROUND(MIN(300,MAX(1,D3481)),0), FactorTable!$A$2:$A$301,0), Skills!M14+1)</f>
        <v/>
      </c>
      <c r="F3481">
        <f>IF(Skills!N14=TRUE,(Skills!L14/10)*(E3481/1000),Skills!L14/10)+Skills!O14</f>
        <v/>
      </c>
      <c r="G3481">
        <f>Calc!G14</f>
        <v/>
      </c>
      <c r="H3481">
        <f>Calc!H14</f>
        <v/>
      </c>
      <c r="I3481">
        <f>IF(Skills!AA14&lt;&gt;"",1+(Skills!AA14/10)*(U3470/1000)/100,1)</f>
        <v/>
      </c>
      <c r="J3481">
        <f>((Inputs!$B$6*(1+Inputs!$B$7/100))+(((Inputs!$B$12*(1+Inputs!$B$13/100))-(Inputs!$B$12*(1+Inputs!$B$13/100)))+0.25*(Inputs!$B$14-Inputs!$B$14))*(1+Inputs!$B$7/100))*(F3481/100)</f>
        <v/>
      </c>
      <c r="K3481">
        <f>J3481*(1+((Inputs!$B$12*(1+Inputs!$B$13/100))*0.01+Inputs!$B$14*0.0025)/100)*(1+Inputs!$B$15/100)*(1+Inputs!$B$16/100)*(5000/(6000+Inputs!$B$43*(1-(100*(1-(1-(Inputs!$B$19+0)/100)*(1-CHOOSE(ArtifactsInput!$N$40+1,5,6,7,8,9,10)/100)^(ArtifactsInput!$M$40-ArtifactsInput!$M$40)))/100)))*(1+(Inputs!$B$24+((C3497=TRUE)*(F3497-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3490=TRUE)*(F3490-Calc!F23))+(((IF(AND(ArtifactsInput!$M$42,((Inputs!$B$9+((C3492=TRUE)*(F3492-Calc!F25))+B3507+(ArtifactsInput!$M$24-ArtifactsInput!$M$24)*CHOOSE(ArtifactsInput!$N$24+1,10,12,14,16,18,20)+IF(ArtifactsInput!$M$10,CHOOSE(ArtifactsInput!$N$10+1,15,18,21,24,27,30)*(IF(Inputs!$B$39="pvp",MIN(15,15)/15,IF(AND(Inputs!$B$39&lt;&gt;"pvp",Inputs!$B$44&gt;0),MIN(15,Inputs!$B$44)/(Inputs!$B$44),0))),0)))&gt;=100),MIN(100,((Inputs!$B$9+((C3492=TRUE)*(F3492-Calc!F25))+B3507+(ArtifactsInput!$M$24-ArtifactsInput!$M$24)*CHOOSE(ArtifactsInput!$N$24+1,10,12,14,16,18,20)+IF(ArtifactsInput!$M$10,CHOOSE(ArtifactsInput!$N$10+1,15,18,21,24,27,30)*(IF(Inputs!$B$39="pvp",MIN(15,15)/15,IF(AND(Inputs!$B$39&lt;&gt;"pvp",Inputs!$B$44&gt;0),MIN(15,Inputs!$B$44)/(Inputs!$B$44),0))),0)))-100),0))*CHOOSE(ArtifactsInput!$N$42+1,0.6,0.72,0.84,0.96,1.08,1.2))),Inputs!$B$18+((C3496=TRUE)*(F3496-Calc!F29))+(IF(AND(ArtifactsInput!$M$42,((Inputs!$B$9+((C3492=TRUE)*(F3492-Calc!F25))+B3507+(ArtifactsInput!$M$24-ArtifactsInput!$M$24)*CHOOSE(ArtifactsInput!$N$24+1,10,12,14,16,18,20)+IF(ArtifactsInput!$M$10,CHOOSE(ArtifactsInput!$N$10+1,15,18,21,24,27,30)*(IF(Inputs!$B$39="pvp",MIN(15,15)/15,IF(AND(Inputs!$B$39&lt;&gt;"pvp",Inputs!$B$44&gt;0),MIN(15,Inputs!$B$44)/(Inputs!$B$44),0))),0)))&gt;=100),CHOOSE(ArtifactsInput!$N$42+1,40,48,56,64,72,80),0))))/100)*(((1+(((C3488=TRUE)*F3488*IF(AND(Inputs!$B$39&lt;&gt;"pvp",Inputs!$B$44&gt;0),(((R3488-1)*(Skills!Y21*(1+Inputs!$B$34/100))+MIN((Skills!Y21*(1+Inputs!$B$34/100)),MAX(0,Inputs!$B$44-((R3488-1)*Skills!D21))))/Inputs!$B$44),IF(Inputs!$B$39="pvp",MIN((Skills!Y21*(1+Inputs!$B$34/100)),15)/15,(Skills!Y21*(1+Inputs!$B$34/100))/Skills!D21)))+((C3495=TRUE)*(F3495-Calc!F28))+((C3485=TRUE)*(F3485-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3482=TRUE)*F3482*IF(AND(Inputs!$B$39&lt;&gt;"pvp",Inputs!$B$44&gt;0),(((R3482-1)*(Skills!Y15*(1+Inputs!$B$34/100))+MIN((Skills!Y15*(1+Inputs!$B$34/100)),MAX(0,Inputs!$B$44-((R3482-1)*Skills!D15))))/Inputs!$B$44),IF(Inputs!$B$39="pvp",MIN((Skills!Y15*(1+Inputs!$B$34/100)),15)/15,(Skills!Y15*(1+Inputs!$B$34/100))/Skills!D15)))/100)*(1+((C3473=TRUE)*F3473*B3501)/100))*B3509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3481)</f>
        <v/>
      </c>
      <c r="L3481">
        <f>K3481*(MIN(Inputs!$B$22+((C3491=TRUE)*(F3491-Calc!F24)),(Inputs!$B$23+0+(IF(ArtifactsInput!$M$15,CHOOSE(ArtifactsInput!$N$15+1,25,30,35,40,45,50)/100*(Inputs!$B$11-Inputs!$B$11),0))))/100+(Inputs!$B$23+0+(IF(ArtifactsInput!$M$15,CHOOSE(ArtifactsInput!$N$15+1,25,30,35,40,45,50)/100*(Inputs!$B$11-Inputs!$B$11),0)))/100)/2</f>
        <v/>
      </c>
      <c r="M3481">
        <f>L3481*(1+(Inputs!$B$10+((C3493=TRUE)*(F3493-Calc!F26))+B3510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81">
        <f>L3481*(1-MIN((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3481*(MIN((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81">
        <f>(1-Summary!$B$11)*T3481+Summary!$B$11*V3481</f>
        <v/>
      </c>
      <c r="P3481">
        <f>IF(B3511=0,0,O3481/B3511)</f>
        <v/>
      </c>
      <c r="Q3481">
        <f>IFERROR(1/IF(Inputs!$B$39="pvp",15,MAX(0.1,Skills!D14-IF(Skills!E14=TRUE,3.5,0))),0)</f>
        <v/>
      </c>
      <c r="R3481">
        <f>IF(AND(Inputs!$B$39&lt;&gt;"pvp",Inputs!$B$44&gt;0),IF(MAX(0,Inputs!$B$44-B3512)&lt;=0,0,(INT(MAX(0,Inputs!$B$44-B3512)/IF(Inputs!$B$39="pvp",15,MAX(0.1,Skills!D14-IF(Skills!E14=TRUE,3.5,0))))+1)),0)</f>
        <v/>
      </c>
      <c r="S3481">
        <f>IFERROR(O3481/N3481,0)</f>
        <v/>
      </c>
      <c r="T3481">
        <f>IF(C3481,(H3481*N3481*IF(AND(Inputs!$B$39&lt;&gt;"pvp",Inputs!$B$44&gt;0),((Skills!G14*((R3481-1)*IF(Skills!H14&gt;0,Skills!I14/Skills!H14,1)+IF(Skills!H14&gt;0,MIN(Skills!I14,MAX(0,MAX(0,Inputs!$B$44-B3512)-((R3481-1)*IF(Inputs!$B$39="pvp",15,MAX(0.1,Skills!D14-IF(Skills!E14=TRUE,3.5,0))))))/Skills!H14,1)))/Inputs!$B$44),G3481*Q3481))*IF(Inputs!$B$39="pvp",1,1+(Inputs!$B$20+((C3494=TRUE)*(F3494-Calc!F27))+Skills!P14+B3508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Hunt"),CHOOSE(ArtifactsInput!$N$35+1,15,18,21,24,27,30)*(1-EXP(-(0.2*B3503)*5)),0)+IF(AND(ArtifactsInput!$M$22,Inputs!$B$4&lt;&gt;"Chapter Hunt"),CHOOSE(ArtifactsInput!$N$22+1,10,12,14,16,18,20)*((0*(((0.15*B3503*5))^0/1)+1*(((0.15*B3503*5))^1/1)+2*(((0.15*B3503*5))^2/2)+3*(((0.15*B3503*5))^3/6)+4*(((0.15*B3503*5))^4/24)+5*(((0.15*B3503*5))^5/120))/((((0.15*B3503*5))^0/1)+(((0.15*B3503*5))^1/1)+(((0.15*B3503*5))^2/2)+(((0.15*B3503*5))^3/6)+(((0.15*B3503*5))^4/24)+(((0.15*B3503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3481*(1-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3481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3481*(1-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3481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81">
        <f>IF(C3481,(H3481*N3481*IF(AND(Inputs!$B$39&lt;&gt;"pvp",Inputs!$B$44&gt;0),((Skills!G14*((R3481-1)*IF(Skills!H14&gt;0,Skills!I14/Skills!H14,1)+IF(Skills!H14&gt;0,MIN(Skills!I14,MAX(0,MAX(0,Inputs!$B$44-B3512)-((R3481-1)*IF(Inputs!$B$39="pvp",15,MAX(0.1,Skills!D14-IF(Skills!E14=TRUE,3.5,0))))))/Skills!H14,1)))/Inputs!$B$44),G3481*Q3481))*IF(Inputs!$B$39="pvp",1,(1+(Inputs!$B$21+Skills!Q14+B3508+(IF(ArtifactsInput!$M$33,CHOOSE(ArtifactsInput!$N$33+1,30,36,42,48,54,60),0))+(IF(AND(ArtifactsInput!$M$35,Inputs!$B$4&lt;&gt;"Chapter Hunt"),CHOOSE(ArtifactsInput!$N$35+1,15,18,21,24,27,30)*(1-EXP(-(0.2*B3503)*5)),0)+IF(AND(ArtifactsInput!$M$22,Inputs!$B$4&lt;&gt;"Chapter Hunt"),CHOOSE(ArtifactsInput!$N$22+1,10,12,14,16,18,20)*((0*(((0.15*B3503*5))^0/1)+1*(((0.15*B3503*5))^1/1)+2*(((0.15*B3503*5))^2/2)+3*(((0.15*B3503*5))^3/6)+4*(((0.15*B3503*5))^4/24)+5*(((0.15*B3503*5))^5/120))/((((0.15*B3503*5))^0/1)+(((0.15*B3503*5))^1/1)+(((0.15*B3503*5))^2/2)+(((0.15*B3503*5))^3/6)+(((0.15*B3503*5))^4/24)+(((0.15*B3503*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82">
      <c r="A3482">
        <f>Skills!A15</f>
        <v/>
      </c>
      <c r="B3482">
        <f>Skills!B15</f>
        <v/>
      </c>
      <c r="C3482">
        <f>Inputs!$B$3&gt;=110</f>
        <v/>
      </c>
      <c r="D3482">
        <f>IF(Skills!C15=1,60+Inputs!$B$25+Inputs!$B$29,IF(Skills!C15=2,90+Inputs!$B$26+Inputs!$B$29,IF(Skills!C15=3,120+Inputs!$B$27+Inputs!$B$29,MAX(0,(Inputs!$B$3-100)*3)+Inputs!$B$28+Inputs!$B$29)))</f>
        <v/>
      </c>
      <c r="E3482">
        <f>INDEX(FactorTable!$B$2:$Y$301, MATCH(ROUND(MIN(300,MAX(1,D3482)),0), FactorTable!$A$2:$A$301,0), Skills!M15+1)</f>
        <v/>
      </c>
      <c r="F3482">
        <f>IF(Skills!N15=TRUE,(Skills!L15/10)*(E3482/1000),Skills!L15/10)+Skills!O15</f>
        <v/>
      </c>
      <c r="G3482">
        <f>Calc!G15</f>
        <v/>
      </c>
      <c r="H3482">
        <f>Calc!H15</f>
        <v/>
      </c>
      <c r="I3482">
        <f>IF(Skills!AA15&lt;&gt;"",1+(Skills!AA15/10)*(U3470/1000)/100,1)</f>
        <v/>
      </c>
      <c r="J3482" t="inlineStr"/>
      <c r="K3482" t="inlineStr"/>
      <c r="L3482" t="inlineStr"/>
      <c r="M3482" t="inlineStr"/>
      <c r="N3482" t="inlineStr"/>
      <c r="O3482">
        <f>(1-Summary!$B$11)*T3482+Summary!$B$11*V3482</f>
        <v/>
      </c>
      <c r="P3482">
        <f>IF(B3511=0,0,O3482/B3511)</f>
        <v/>
      </c>
      <c r="Q3482">
        <f>IFERROR(1/IF(Inputs!$B$39="pvp",15,MAX(0.1,Skills!D15-IF(Skills!E15=TRUE,3.5,0))),0)</f>
        <v/>
      </c>
      <c r="R3482">
        <f>IF(AND(Inputs!$B$39&lt;&gt;"pvp",Inputs!$B$44&gt;0),IF(Inputs!$B$44&lt;=0,0,(INT(Inputs!$B$44/IF(Inputs!$B$39="pvp",15,MAX(0.1,Skills!D15-IF(Skills!E15=TRUE,3.5,0))))+1)),0)</f>
        <v/>
      </c>
      <c r="S3482">
        <f>IFERROR(O3482/N3482,0)</f>
        <v/>
      </c>
      <c r="T3482" t="n">
        <v>0</v>
      </c>
      <c r="V3482" t="n">
        <v>0</v>
      </c>
    </row>
    <row r="3483">
      <c r="A3483">
        <f>Skills!A16</f>
        <v/>
      </c>
      <c r="B3483">
        <f>Skills!B16</f>
        <v/>
      </c>
      <c r="C3483">
        <f>Inputs!$B$3&gt;=110</f>
        <v/>
      </c>
      <c r="D3483">
        <f>IF(Skills!C16=1,60+Inputs!$B$25+Inputs!$B$29,IF(Skills!C16=2,90+Inputs!$B$26+Inputs!$B$29,IF(Skills!C16=3,120+Inputs!$B$27+Inputs!$B$29,MAX(0,(Inputs!$B$3-100)*3)+Inputs!$B$28+Inputs!$B$29)))</f>
        <v/>
      </c>
      <c r="E3483">
        <f>INDEX(FactorTable!$B$2:$Y$301, MATCH(ROUND(MIN(300,MAX(1,D3483)),0), FactorTable!$A$2:$A$301,0), Skills!M16+1)</f>
        <v/>
      </c>
      <c r="F3483">
        <f>IF(Skills!N16=TRUE,(Skills!L16/10)*(E3483/1000),Skills!L16/10)+Skills!O16</f>
        <v/>
      </c>
      <c r="G3483">
        <f>Calc!G16</f>
        <v/>
      </c>
      <c r="H3483">
        <f>Calc!H16</f>
        <v/>
      </c>
      <c r="I3483">
        <f>IF(Skills!AA16&lt;&gt;"",1+(Skills!AA16/10)*(U3470/1000)/100,1)</f>
        <v/>
      </c>
      <c r="J3483" t="inlineStr"/>
      <c r="K3483" t="inlineStr"/>
      <c r="L3483" t="inlineStr"/>
      <c r="M3483" t="inlineStr"/>
      <c r="N3483" t="inlineStr"/>
      <c r="O3483">
        <f>(1-Summary!$B$11)*T3483+Summary!$B$11*V3483</f>
        <v/>
      </c>
      <c r="P3483">
        <f>IF(B3511=0,0,O3483/B3511)</f>
        <v/>
      </c>
      <c r="Q3483">
        <f>IFERROR(1/IF(Inputs!$B$39="pvp",15,MAX(0.1,Skills!D16-IF(Skills!E16=TRUE,3.5,0))),0)</f>
        <v/>
      </c>
      <c r="R3483">
        <f>IF(AND(Inputs!$B$39&lt;&gt;"pvp",Inputs!$B$44&gt;0),IF(Inputs!$B$44&lt;=0,0,(INT(Inputs!$B$44/IF(Inputs!$B$39="pvp",15,MAX(0.1,Skills!D16-IF(Skills!E16=TRUE,3.5,0))))+1)),0)</f>
        <v/>
      </c>
      <c r="S3483">
        <f>IFERROR(O3483/N3483,0)</f>
        <v/>
      </c>
      <c r="T3483" t="n">
        <v>0</v>
      </c>
      <c r="V3483" t="n">
        <v>0</v>
      </c>
    </row>
    <row r="3484">
      <c r="A3484">
        <f>Skills!A17</f>
        <v/>
      </c>
      <c r="B3484">
        <f>Skills!B17</f>
        <v/>
      </c>
      <c r="C3484">
        <f>Inputs!$B$3&gt;=115</f>
        <v/>
      </c>
      <c r="D3484">
        <f>IF(Skills!C17=1,60+Inputs!$B$25+Inputs!$B$29,IF(Skills!C17=2,90+Inputs!$B$26+Inputs!$B$29,IF(Skills!C17=3,120+Inputs!$B$27+Inputs!$B$29,MAX(0,(Inputs!$B$3-100)*3)+Inputs!$B$28+Inputs!$B$29)))</f>
        <v/>
      </c>
      <c r="E3484">
        <f>INDEX(FactorTable!$B$2:$Y$301, MATCH(ROUND(MIN(300,MAX(1,D3484)),0), FactorTable!$A$2:$A$301,0), Skills!M17+1)</f>
        <v/>
      </c>
      <c r="F3484">
        <f>IF(Skills!N17=TRUE,(Skills!L17/10)*(E3484/1000),Skills!L17/10)+Skills!O17</f>
        <v/>
      </c>
      <c r="G3484">
        <f>Calc!G17</f>
        <v/>
      </c>
      <c r="H3484">
        <f>Calc!H17</f>
        <v/>
      </c>
      <c r="I3484">
        <f>IF(Skills!AA17&lt;&gt;"",1+(Skills!AA17/10)*(U3470/1000)/100,1)</f>
        <v/>
      </c>
      <c r="J3484">
        <f>((Inputs!$B$6*(1+Inputs!$B$7/100))+(((Inputs!$B$12*(1+Inputs!$B$13/100))-(Inputs!$B$12*(1+Inputs!$B$13/100)))+0.25*(Inputs!$B$14-Inputs!$B$14))*(1+Inputs!$B$7/100))*(F3484/100)</f>
        <v/>
      </c>
      <c r="K3484">
        <f>J3484*(1+((Inputs!$B$12*(1+Inputs!$B$13/100))*0.01+Inputs!$B$14*0.0025)/100)*(1+Inputs!$B$15/100)*(1+Inputs!$B$16/100)*(5000/(6000+Inputs!$B$43*(1-(100*(1-(1-(Inputs!$B$19+0)/100)*(1-CHOOSE(ArtifactsInput!$N$40+1,5,6,7,8,9,10)/100)^(ArtifactsInput!$M$40-ArtifactsInput!$M$40)))/100)))*(1+(Inputs!$B$24+((C3497=TRUE)*(F3497-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3490=TRUE)*(F3490-Calc!F23))+(((IF(AND(ArtifactsInput!$M$42,((Inputs!$B$9+((C3492=TRUE)*(F3492-Calc!F25))+B3507+(ArtifactsInput!$M$24-ArtifactsInput!$M$24)*CHOOSE(ArtifactsInput!$N$24+1,10,12,14,16,18,20)+IF(ArtifactsInput!$M$10,CHOOSE(ArtifactsInput!$N$10+1,15,18,21,24,27,30)*(IF(Inputs!$B$39="pvp",MIN(15,15)/15,IF(AND(Inputs!$B$39&lt;&gt;"pvp",Inputs!$B$44&gt;0),MIN(15,Inputs!$B$44)/(Inputs!$B$44),0))),0)))&gt;=100),MIN(100,((Inputs!$B$9+((C3492=TRUE)*(F3492-Calc!F25))+B3507+(ArtifactsInput!$M$24-ArtifactsInput!$M$24)*CHOOSE(ArtifactsInput!$N$24+1,10,12,14,16,18,20)+IF(ArtifactsInput!$M$10,CHOOSE(ArtifactsInput!$N$10+1,15,18,21,24,27,30)*(IF(Inputs!$B$39="pvp",MIN(15,15)/15,IF(AND(Inputs!$B$39&lt;&gt;"pvp",Inputs!$B$44&gt;0),MIN(15,Inputs!$B$44)/(Inputs!$B$44),0))),0)))-100),0))*CHOOSE(ArtifactsInput!$N$42+1,0.6,0.72,0.84,0.96,1.08,1.2))),Inputs!$B$18+((C3496=TRUE)*(F3496-Calc!F29))+(IF(AND(ArtifactsInput!$M$42,((Inputs!$B$9+((C3492=TRUE)*(F3492-Calc!F25))+B3507+(ArtifactsInput!$M$24-ArtifactsInput!$M$24)*CHOOSE(ArtifactsInput!$N$24+1,10,12,14,16,18,20)+IF(ArtifactsInput!$M$10,CHOOSE(ArtifactsInput!$N$10+1,15,18,21,24,27,30)*(IF(Inputs!$B$39="pvp",MIN(15,15)/15,IF(AND(Inputs!$B$39&lt;&gt;"pvp",Inputs!$B$44&gt;0),MIN(15,Inputs!$B$44)/(Inputs!$B$44),0))),0)))&gt;=100),CHOOSE(ArtifactsInput!$N$42+1,40,48,56,64,72,80),0))))/100)*(((1+(((C3488=TRUE)*F3488*IF(AND(Inputs!$B$39&lt;&gt;"pvp",Inputs!$B$44&gt;0),(((R3488-1)*(Skills!Y21*(1+Inputs!$B$34/100))+MIN((Skills!Y21*(1+Inputs!$B$34/100)),MAX(0,Inputs!$B$44-((R3488-1)*Skills!D21))))/Inputs!$B$44),IF(Inputs!$B$39="pvp",MIN((Skills!Y21*(1+Inputs!$B$34/100)),15)/15,(Skills!Y21*(1+Inputs!$B$34/100))/Skills!D21)))+((C3495=TRUE)*(F3495-Calc!F28))+((C3485=TRUE)*(F3485-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3482=TRUE)*F3482*IF(AND(Inputs!$B$39&lt;&gt;"pvp",Inputs!$B$44&gt;0),(((R3482-1)*(Skills!Y15*(1+Inputs!$B$34/100))+MIN((Skills!Y15*(1+Inputs!$B$34/100)),MAX(0,Inputs!$B$44-((R3482-1)*Skills!D15))))/Inputs!$B$44),IF(Inputs!$B$39="pvp",MIN((Skills!Y15*(1+Inputs!$B$34/100)),15)/15,(Skills!Y15*(1+Inputs!$B$34/100))/Skills!D15)))/100)*(1+((C3473=TRUE)*F3473*B3501)/100))*B3509*(1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3484)</f>
        <v/>
      </c>
      <c r="L3484">
        <f>K3484*(MIN(Inputs!$B$22+((C3491=TRUE)*(F3491-Calc!F24)),(Inputs!$B$23+0+(IF(ArtifactsInput!$M$15,CHOOSE(ArtifactsInput!$N$15+1,25,30,35,40,45,50)/100*(Inputs!$B$11-Inputs!$B$11),0))))/100+(Inputs!$B$23+0+(IF(ArtifactsInput!$M$15,CHOOSE(ArtifactsInput!$N$15+1,25,30,35,40,45,50)/100*(Inputs!$B$11-Inputs!$B$11),0)))/100)/2</f>
        <v/>
      </c>
      <c r="M3484">
        <f>L3484*(1+(Inputs!$B$10+((C3493=TRUE)*(F3493-Calc!F26))+B3510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84">
        <f>L3484*(1-MIN((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3484*(MIN((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84">
        <f>(1-Summary!$B$11)*T3484+Summary!$B$11*V3484</f>
        <v/>
      </c>
      <c r="P3484">
        <f>IF(B3511=0,0,O3484/B3511)</f>
        <v/>
      </c>
      <c r="Q3484" t="n">
        <v>0</v>
      </c>
      <c r="R3484" t="n">
        <v>0</v>
      </c>
      <c r="S3484">
        <f>IFERROR(O3484/N3484,0)</f>
        <v/>
      </c>
      <c r="T3484">
        <f>IF(C3484,(Inputs!$B$38*0.2*N3484)*IF(Inputs!$B$39="pvp",1,1+(Inputs!$B$20+((C3494=TRUE)*(F3494-Calc!F27))+Skills!P17+B3508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Hunt"),CHOOSE(ArtifactsInput!$N$35+1,15,18,21,24,27,30)*(1-EXP(-(0.2*B3503)*5)),0)+IF(AND(ArtifactsInput!$M$22,Inputs!$B$4&lt;&gt;"Chapter Hunt"),CHOOSE(ArtifactsInput!$N$22+1,10,12,14,16,18,20)*((0*(((0.15*B3503*5))^0/1)+1*(((0.15*B3503*5))^1/1)+2*(((0.15*B3503*5))^2/2)+3*(((0.15*B3503*5))^3/6)+4*(((0.15*B3503*5))^4/24)+5*(((0.15*B3503*5))^5/120))/((((0.15*B3503*5))^0/1)+(((0.15*B3503*5))^1/1)+(((0.15*B3503*5))^2/2)+(((0.15*B3503*5))^3/6)+(((0.15*B3503*5))^4/24)+(((0.15*B3503*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3484*(1-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3484*(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3484*(1-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3484*(MIN(100,(Inputs!$B$9+((C3492=TRUE)*(F3492-Calc!F25))+B3507+(ArtifactsInput!$M$24-ArtifactsInput!$M$24)*CHOOSE(ArtifactsInput!$N$24+1,10,12,14,16,18,20)+(IF(AND(ArtifactsInput!$M$42,((Inputs!$B$9+((C3492=TRUE)*(F3492-Calc!F25))+B3507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84">
        <f>IF(C3484,(Inputs!$B$38*0.2*N3484)*IF(Inputs!$B$39="pvp",1,(1+(Inputs!$B$21+Skills!Q17+B3508+(IF(ArtifactsInput!$M$33,CHOOSE(ArtifactsInput!$N$33+1,30,36,42,48,54,60),0))+(IF(AND(ArtifactsInput!$M$35,Inputs!$B$4&lt;&gt;"Chapter Hunt"),CHOOSE(ArtifactsInput!$N$35+1,15,18,21,24,27,30)*(1-EXP(-(0.2*B3503)*5)),0)+IF(AND(ArtifactsInput!$M$22,Inputs!$B$4&lt;&gt;"Chapter Hunt"),CHOOSE(ArtifactsInput!$N$22+1,10,12,14,16,18,20)*((0*(((0.15*B3503*5))^0/1)+1*(((0.15*B3503*5))^1/1)+2*(((0.15*B3503*5))^2/2)+3*(((0.15*B3503*5))^3/6)+4*(((0.15*B3503*5))^4/24)+5*(((0.15*B3503*5))^5/120))/((((0.15*B3503*5))^0/1)+(((0.15*B3503*5))^1/1)+(((0.15*B3503*5))^2/2)+(((0.15*B3503*5))^3/6)+(((0.15*B3503*5))^4/24)+(((0.15*B3503*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85">
      <c r="A3485">
        <f>Skills!A18</f>
        <v/>
      </c>
      <c r="B3485">
        <f>Skills!B18</f>
        <v/>
      </c>
      <c r="C3485">
        <f>Inputs!$B$3&gt;=115</f>
        <v/>
      </c>
      <c r="D3485">
        <f>IF(Skills!C18=1,60+Inputs!$B$25+Inputs!$B$29,IF(Skills!C18=2,90+Inputs!$B$26+Inputs!$B$29,IF(Skills!C18=3,120+Inputs!$B$27+Inputs!$B$29,MAX(0,(Inputs!$B$3-100)*3)+Inputs!$B$28+Inputs!$B$29)))</f>
        <v/>
      </c>
      <c r="E3485">
        <f>INDEX(FactorTable!$B$2:$Y$301, MATCH(ROUND(MIN(300,MAX(1,D3485)),0), FactorTable!$A$2:$A$301,0), Skills!M18+1)</f>
        <v/>
      </c>
      <c r="F3485">
        <f>IF(Skills!N18=TRUE,(Skills!L18/10)*(E3485/1000),Skills!L18/10)+Skills!O18</f>
        <v/>
      </c>
      <c r="G3485">
        <f>Calc!G18</f>
        <v/>
      </c>
      <c r="H3485">
        <f>Calc!H18</f>
        <v/>
      </c>
      <c r="I3485">
        <f>IF(Skills!AA18&lt;&gt;"",1+(Skills!AA18/10)*(U3470/1000)/100,1)</f>
        <v/>
      </c>
      <c r="J3485" t="inlineStr"/>
      <c r="K3485" t="inlineStr"/>
      <c r="L3485" t="inlineStr"/>
      <c r="M3485" t="inlineStr"/>
      <c r="N3485" t="inlineStr"/>
      <c r="O3485">
        <f>(1-Summary!$B$11)*T3485+Summary!$B$11*V3485</f>
        <v/>
      </c>
      <c r="P3485">
        <f>IF(B3511=0,0,O3485/B3511)</f>
        <v/>
      </c>
      <c r="Q3485" t="n">
        <v>0</v>
      </c>
      <c r="R3485" t="n">
        <v>0</v>
      </c>
      <c r="S3485">
        <f>IFERROR(O3485/N3485,0)</f>
        <v/>
      </c>
      <c r="T3485" t="n">
        <v>0</v>
      </c>
      <c r="V3485" t="n">
        <v>0</v>
      </c>
    </row>
    <row r="3486">
      <c r="A3486">
        <f>Skills!A19</f>
        <v/>
      </c>
      <c r="B3486">
        <f>Skills!B19</f>
        <v/>
      </c>
      <c r="C3486">
        <f>TRUE</f>
        <v/>
      </c>
      <c r="D3486">
        <f>IF(Skills!C19=1,60+Inputs!$B$25+Inputs!$B$29,IF(Skills!C19=2,90+Inputs!$B$26+Inputs!$B$29,IF(Skills!C19=3,120+Inputs!$B$27+Inputs!$B$29,MAX(0,(Inputs!$B$3-100)*3)+Inputs!$B$28+Inputs!$B$29)))</f>
        <v/>
      </c>
      <c r="E3486">
        <f>INDEX(FactorTable!$B$2:$Y$301, MATCH(ROUND(MIN(300,MAX(1,D3486)),0), FactorTable!$A$2:$A$301,0), Skills!M19+1)</f>
        <v/>
      </c>
      <c r="F3486">
        <f>IF(Skills!N19=TRUE,(Skills!L19/10)*(E3486/1000),Skills!L19/10)+Skills!O19</f>
        <v/>
      </c>
      <c r="G3486">
        <f>Calc!G19</f>
        <v/>
      </c>
      <c r="H3486">
        <f>Calc!H19</f>
        <v/>
      </c>
      <c r="I3486">
        <f>IF(Skills!AA19&lt;&gt;"",1+(Skills!AA19/10)*(U3470/1000)/100,1)</f>
        <v/>
      </c>
      <c r="J3486" t="inlineStr"/>
      <c r="K3486" t="inlineStr"/>
      <c r="L3486" t="inlineStr"/>
      <c r="M3486" t="inlineStr"/>
      <c r="N3486" t="inlineStr"/>
      <c r="O3486">
        <f>(1-Summary!$B$11)*T3486+Summary!$B$11*V3486</f>
        <v/>
      </c>
      <c r="P3486">
        <f>IF(B3511=0,0,O3486/B3511)</f>
        <v/>
      </c>
      <c r="Q3486">
        <f>IFERROR(1/IF(Inputs!$B$39="pvp",15,MAX(0.1,Skills!D19-IF(Skills!E19=TRUE,3.5,0))),0)</f>
        <v/>
      </c>
      <c r="R3486">
        <f>IF(AND(Inputs!$B$39&lt;&gt;"pvp",Inputs!$B$44&gt;0),IF(Inputs!$B$44&lt;=0,0,(INT(Inputs!$B$44/IF(Inputs!$B$39="pvp",15,MAX(0.1,Skills!D19-IF(Skills!E19=TRUE,3.5,0))))+1)),0)</f>
        <v/>
      </c>
      <c r="S3486">
        <f>IFERROR(O3486/N3486,0)</f>
        <v/>
      </c>
      <c r="T3486" t="n">
        <v>0</v>
      </c>
      <c r="V3486" t="n">
        <v>0</v>
      </c>
    </row>
    <row r="3487">
      <c r="A3487">
        <f>Skills!A20</f>
        <v/>
      </c>
      <c r="B3487">
        <f>Skills!B20</f>
        <v/>
      </c>
      <c r="C3487">
        <f>Inputs!$B$3&gt;=15</f>
        <v/>
      </c>
      <c r="D3487">
        <f>IF(Skills!C20=1,60+Inputs!$B$25+Inputs!$B$29,IF(Skills!C20=2,90+Inputs!$B$26+Inputs!$B$29,IF(Skills!C20=3,120+Inputs!$B$27+Inputs!$B$29,MAX(0,(Inputs!$B$3-100)*3)+Inputs!$B$28+Inputs!$B$29)))</f>
        <v/>
      </c>
      <c r="E3487">
        <f>INDEX(FactorTable!$B$2:$Y$301, MATCH(ROUND(MIN(300,MAX(1,D3487)),0), FactorTable!$A$2:$A$301,0), Skills!M20+1)</f>
        <v/>
      </c>
      <c r="F3487">
        <f>IF(Skills!N20=TRUE,(Skills!L20/10)*(E3487/1000),Skills!L20/10)+Skills!O20</f>
        <v/>
      </c>
      <c r="G3487">
        <f>Calc!G20</f>
        <v/>
      </c>
      <c r="H3487">
        <f>Calc!H20</f>
        <v/>
      </c>
      <c r="I3487">
        <f>IF(Skills!AA20&lt;&gt;"",1+(Skills!AA20/10)*(U3470/1000)/100,1)</f>
        <v/>
      </c>
      <c r="J3487" t="inlineStr"/>
      <c r="K3487" t="inlineStr"/>
      <c r="L3487" t="inlineStr"/>
      <c r="M3487" t="inlineStr"/>
      <c r="N3487" t="inlineStr"/>
      <c r="O3487">
        <f>(1-Summary!$B$11)*T3487+Summary!$B$11*V3487</f>
        <v/>
      </c>
      <c r="P3487">
        <f>IF(B3511=0,0,O3487/B3511)</f>
        <v/>
      </c>
      <c r="Q3487">
        <f>IFERROR(1/IF(Inputs!$B$39="pvp",15,MAX(0.1,Skills!D20-IF(Skills!E20=TRUE,3.5,0))),0)</f>
        <v/>
      </c>
      <c r="R3487">
        <f>IF(AND(Inputs!$B$39&lt;&gt;"pvp",Inputs!$B$44&gt;0),IF(Inputs!$B$44&lt;=0,0,(INT(Inputs!$B$44/IF(Inputs!$B$39="pvp",15,MAX(0.1,Skills!D20-IF(Skills!E20=TRUE,3.5,0))))+1)),0)</f>
        <v/>
      </c>
      <c r="S3487">
        <f>IFERROR(O3487/N3487,0)</f>
        <v/>
      </c>
      <c r="T3487" t="n">
        <v>0</v>
      </c>
      <c r="V3487" t="n">
        <v>0</v>
      </c>
    </row>
    <row r="3488">
      <c r="A3488">
        <f>Skills!A21</f>
        <v/>
      </c>
      <c r="B3488">
        <f>Skills!B21</f>
        <v/>
      </c>
      <c r="C3488">
        <f>Inputs!$B$3&gt;=15</f>
        <v/>
      </c>
      <c r="D3488">
        <f>IF(Skills!C21=1,60+Inputs!$B$25+Inputs!$B$29,IF(Skills!C21=2,90+Inputs!$B$26+Inputs!$B$29,IF(Skills!C21=3,120+Inputs!$B$27+Inputs!$B$29,MAX(0,(Inputs!$B$3-100)*3)+Inputs!$B$28+Inputs!$B$29)))</f>
        <v/>
      </c>
      <c r="E3488">
        <f>INDEX(FactorTable!$B$2:$Y$301, MATCH(ROUND(MIN(300,MAX(1,D3488)),0), FactorTable!$A$2:$A$301,0), Skills!M21+1)</f>
        <v/>
      </c>
      <c r="F3488">
        <f>IF(Skills!N21=TRUE,(Skills!L21/10)*(E3488/1000),Skills!L21/10)+Skills!O21</f>
        <v/>
      </c>
      <c r="G3488">
        <f>Calc!G21</f>
        <v/>
      </c>
      <c r="H3488">
        <f>Calc!H21</f>
        <v/>
      </c>
      <c r="I3488">
        <f>IF(Skills!AA21&lt;&gt;"",1+(Skills!AA21/10)*(U3470/1000)/100,1)</f>
        <v/>
      </c>
      <c r="J3488" t="inlineStr"/>
      <c r="K3488" t="inlineStr"/>
      <c r="L3488" t="inlineStr"/>
      <c r="M3488" t="inlineStr"/>
      <c r="N3488" t="inlineStr"/>
      <c r="O3488">
        <f>(1-Summary!$B$11)*T3488+Summary!$B$11*V3488</f>
        <v/>
      </c>
      <c r="P3488">
        <f>IF(B3511=0,0,O3488/B3511)</f>
        <v/>
      </c>
      <c r="Q3488">
        <f>IFERROR(1/IF(Inputs!$B$39="pvp",15,MAX(0.1,Skills!D21-IF(Skills!E21=TRUE,3.5,0))),0)</f>
        <v/>
      </c>
      <c r="R3488">
        <f>IF(AND(Inputs!$B$39&lt;&gt;"pvp",Inputs!$B$44&gt;0),IF(Inputs!$B$44&lt;=0,0,(INT(Inputs!$B$44/IF(Inputs!$B$39="pvp",15,MAX(0.1,Skills!D21-IF(Skills!E21=TRUE,3.5,0))))+1)),0)</f>
        <v/>
      </c>
      <c r="S3488">
        <f>IFERROR(O3488/N3488,0)</f>
        <v/>
      </c>
      <c r="T3488" t="n">
        <v>0</v>
      </c>
      <c r="V3488" t="n">
        <v>0</v>
      </c>
    </row>
    <row r="3489">
      <c r="A3489">
        <f>Skills!A22</f>
        <v/>
      </c>
      <c r="B3489">
        <f>Skills!B22</f>
        <v/>
      </c>
      <c r="C3489">
        <f>Inputs!$B$3&gt;=33</f>
        <v/>
      </c>
      <c r="D3489">
        <f>IF(Skills!C22=1,60+Inputs!$B$25+Inputs!$B$29,IF(Skills!C22=2,90+Inputs!$B$26+Inputs!$B$29,IF(Skills!C22=3,120+Inputs!$B$27+Inputs!$B$29,MAX(0,(Inputs!$B$3-100)*3)+Inputs!$B$28+Inputs!$B$29)))</f>
        <v/>
      </c>
      <c r="E3489">
        <f>INDEX(FactorTable!$B$2:$Y$301, MATCH(ROUND(MIN(300,MAX(1,D3489)),0), FactorTable!$A$2:$A$301,0), Skills!M22+1)</f>
        <v/>
      </c>
      <c r="F3489">
        <f>IF(Skills!N22=TRUE,(Skills!L22/10)*(E3489/1000),Skills!L22/10)+Skills!O22</f>
        <v/>
      </c>
      <c r="G3489">
        <f>Calc!G22</f>
        <v/>
      </c>
      <c r="H3489">
        <f>Calc!H22</f>
        <v/>
      </c>
      <c r="I3489">
        <f>IF(Skills!AA22&lt;&gt;"",1+(Skills!AA22/10)*(U3470/1000)/100,1)</f>
        <v/>
      </c>
      <c r="J3489" t="inlineStr"/>
      <c r="K3489" t="inlineStr"/>
      <c r="L3489" t="inlineStr"/>
      <c r="M3489" t="inlineStr"/>
      <c r="N3489" t="inlineStr"/>
      <c r="O3489">
        <f>(1-Summary!$B$11)*T3489+Summary!$B$11*V3489</f>
        <v/>
      </c>
      <c r="P3489">
        <f>IF(B3511=0,0,O3489/B3511)</f>
        <v/>
      </c>
      <c r="Q3489" t="n">
        <v>0</v>
      </c>
      <c r="R3489" t="n">
        <v>0</v>
      </c>
      <c r="S3489">
        <f>IFERROR(O3489/N3489,0)</f>
        <v/>
      </c>
      <c r="T3489" t="n">
        <v>0</v>
      </c>
      <c r="V3489" t="n">
        <v>0</v>
      </c>
    </row>
    <row r="3490">
      <c r="A3490">
        <f>Skills!A23</f>
        <v/>
      </c>
      <c r="B3490">
        <f>Skills!B23</f>
        <v/>
      </c>
      <c r="C3490">
        <f>Inputs!$B$3&gt;=38</f>
        <v/>
      </c>
      <c r="D3490">
        <f>IF(Skills!C23=1,60+Inputs!$B$25+Inputs!$B$29,IF(Skills!C23=2,90+Inputs!$B$26+Inputs!$B$29,IF(Skills!C23=3,120+Inputs!$B$27+Inputs!$B$29,MAX(0,(Inputs!$B$3-100)*3)+Inputs!$B$28+Inputs!$B$29)))</f>
        <v/>
      </c>
      <c r="E3490">
        <f>INDEX(FactorTable!$B$2:$Y$301, MATCH(ROUND(MIN(300,MAX(1,D3490)),0), FactorTable!$A$2:$A$301,0), Skills!M23+1)</f>
        <v/>
      </c>
      <c r="F3490">
        <f>IF(Skills!N23=TRUE,(Skills!L23/10)*(E3490/1000),Skills!L23/10)+Skills!O23</f>
        <v/>
      </c>
      <c r="G3490">
        <f>Calc!G23</f>
        <v/>
      </c>
      <c r="H3490">
        <f>Calc!H23</f>
        <v/>
      </c>
      <c r="I3490">
        <f>IF(Skills!AA23&lt;&gt;"",1+(Skills!AA23/10)*(U3470/1000)/100,1)</f>
        <v/>
      </c>
      <c r="J3490" t="inlineStr"/>
      <c r="K3490" t="inlineStr"/>
      <c r="L3490" t="inlineStr"/>
      <c r="M3490" t="inlineStr"/>
      <c r="N3490" t="inlineStr"/>
      <c r="O3490">
        <f>(1-Summary!$B$11)*T3490+Summary!$B$11*V3490</f>
        <v/>
      </c>
      <c r="P3490">
        <f>IF(B3511=0,0,O3490/B3511)</f>
        <v/>
      </c>
      <c r="Q3490" t="n">
        <v>0</v>
      </c>
      <c r="R3490" t="n">
        <v>0</v>
      </c>
      <c r="S3490">
        <f>IFERROR(O3490/N3490,0)</f>
        <v/>
      </c>
      <c r="T3490" t="n">
        <v>0</v>
      </c>
      <c r="V3490" t="n">
        <v>0</v>
      </c>
    </row>
    <row r="3491">
      <c r="A3491">
        <f>Skills!A24</f>
        <v/>
      </c>
      <c r="B3491">
        <f>Skills!B24</f>
        <v/>
      </c>
      <c r="C3491">
        <f>Inputs!$B$3&gt;=40</f>
        <v/>
      </c>
      <c r="D3491">
        <f>IF(Skills!C24=1,60+Inputs!$B$25+Inputs!$B$29,IF(Skills!C24=2,90+Inputs!$B$26+Inputs!$B$29,IF(Skills!C24=3,120+Inputs!$B$27+Inputs!$B$29,MAX(0,(Inputs!$B$3-100)*3)+Inputs!$B$28+Inputs!$B$29)))</f>
        <v/>
      </c>
      <c r="E3491">
        <f>INDEX(FactorTable!$B$2:$Y$301, MATCH(ROUND(MIN(300,MAX(1,D3491)),0), FactorTable!$A$2:$A$301,0), Skills!M24+1)</f>
        <v/>
      </c>
      <c r="F3491">
        <f>IF(Skills!N24=TRUE,(Skills!L24/10)*(E3491/1000),Skills!L24/10)+Skills!O24</f>
        <v/>
      </c>
      <c r="G3491">
        <f>Calc!G24</f>
        <v/>
      </c>
      <c r="H3491">
        <f>Calc!H24</f>
        <v/>
      </c>
      <c r="I3491">
        <f>IF(Skills!AA24&lt;&gt;"",1+(Skills!AA24/10)*(U3470/1000)/100,1)</f>
        <v/>
      </c>
      <c r="J3491" t="inlineStr"/>
      <c r="K3491" t="inlineStr"/>
      <c r="L3491" t="inlineStr"/>
      <c r="M3491" t="inlineStr"/>
      <c r="N3491" t="inlineStr"/>
      <c r="O3491">
        <f>(1-Summary!$B$11)*T3491+Summary!$B$11*V3491</f>
        <v/>
      </c>
      <c r="P3491">
        <f>IF(B3511=0,0,O3491/B3511)</f>
        <v/>
      </c>
      <c r="Q3491" t="n">
        <v>0</v>
      </c>
      <c r="R3491" t="n">
        <v>0</v>
      </c>
      <c r="S3491">
        <f>IFERROR(O3491/N3491,0)</f>
        <v/>
      </c>
      <c r="T3491" t="n">
        <v>0</v>
      </c>
      <c r="V3491" t="n">
        <v>0</v>
      </c>
    </row>
    <row r="3492">
      <c r="A3492">
        <f>Skills!A25</f>
        <v/>
      </c>
      <c r="B3492">
        <f>Skills!B25</f>
        <v/>
      </c>
      <c r="C3492">
        <f>Inputs!$B$3&gt;=45</f>
        <v/>
      </c>
      <c r="D3492">
        <f>IF(Skills!C25=1,60+Inputs!$B$25+Inputs!$B$29,IF(Skills!C25=2,90+Inputs!$B$26+Inputs!$B$29,IF(Skills!C25=3,120+Inputs!$B$27+Inputs!$B$29,MAX(0,(Inputs!$B$3-100)*3)+Inputs!$B$28+Inputs!$B$29)))</f>
        <v/>
      </c>
      <c r="E3492">
        <f>INDEX(FactorTable!$B$2:$Y$301, MATCH(ROUND(MIN(300,MAX(1,D3492)),0), FactorTable!$A$2:$A$301,0), Skills!M25+1)</f>
        <v/>
      </c>
      <c r="F3492">
        <f>IF(Skills!N25=TRUE,(Skills!L25/10)*(E3492/1000),Skills!L25/10)+Skills!O25</f>
        <v/>
      </c>
      <c r="G3492">
        <f>Calc!G25</f>
        <v/>
      </c>
      <c r="H3492">
        <f>Calc!H25</f>
        <v/>
      </c>
      <c r="I3492">
        <f>IF(Skills!AA25&lt;&gt;"",1+(Skills!AA25/10)*(U3470/1000)/100,1)</f>
        <v/>
      </c>
      <c r="J3492" t="inlineStr"/>
      <c r="K3492" t="inlineStr"/>
      <c r="L3492" t="inlineStr"/>
      <c r="M3492" t="inlineStr"/>
      <c r="N3492" t="inlineStr"/>
      <c r="O3492">
        <f>(1-Summary!$B$11)*T3492+Summary!$B$11*V3492</f>
        <v/>
      </c>
      <c r="P3492">
        <f>IF(B3511=0,0,O3492/B3511)</f>
        <v/>
      </c>
      <c r="Q3492" t="n">
        <v>0</v>
      </c>
      <c r="R3492" t="n">
        <v>0</v>
      </c>
      <c r="S3492">
        <f>IFERROR(O3492/N3492,0)</f>
        <v/>
      </c>
      <c r="T3492" t="n">
        <v>0</v>
      </c>
      <c r="V3492" t="n">
        <v>0</v>
      </c>
    </row>
    <row r="3493">
      <c r="A3493">
        <f>Skills!A26</f>
        <v/>
      </c>
      <c r="B3493">
        <f>Skills!B26</f>
        <v/>
      </c>
      <c r="C3493">
        <f>Inputs!$B$3&gt;=45</f>
        <v/>
      </c>
      <c r="D3493">
        <f>IF(Skills!C26=1,60+Inputs!$B$25+Inputs!$B$29,IF(Skills!C26=2,90+Inputs!$B$26+Inputs!$B$29,IF(Skills!C26=3,120+Inputs!$B$27+Inputs!$B$29,MAX(0,(Inputs!$B$3-100)*3)+Inputs!$B$28+Inputs!$B$29)))</f>
        <v/>
      </c>
      <c r="E3493">
        <f>INDEX(FactorTable!$B$2:$Y$301, MATCH(ROUND(MIN(300,MAX(1,D3493)),0), FactorTable!$A$2:$A$301,0), Skills!M26+1)</f>
        <v/>
      </c>
      <c r="F3493">
        <f>IF(Skills!N26=TRUE,(Skills!L26/10)*(E3493/1000),Skills!L26/10)+Skills!O26</f>
        <v/>
      </c>
      <c r="G3493">
        <f>Calc!G26</f>
        <v/>
      </c>
      <c r="H3493">
        <f>Calc!H26</f>
        <v/>
      </c>
      <c r="I3493">
        <f>IF(Skills!AA26&lt;&gt;"",1+(Skills!AA26/10)*(U3470/1000)/100,1)</f>
        <v/>
      </c>
      <c r="J3493" t="inlineStr"/>
      <c r="K3493" t="inlineStr"/>
      <c r="L3493" t="inlineStr"/>
      <c r="M3493" t="inlineStr"/>
      <c r="N3493" t="inlineStr"/>
      <c r="O3493">
        <f>(1-Summary!$B$11)*T3493+Summary!$B$11*V3493</f>
        <v/>
      </c>
      <c r="P3493">
        <f>IF(B3511=0,0,O3493/B3511)</f>
        <v/>
      </c>
      <c r="Q3493" t="n">
        <v>0</v>
      </c>
      <c r="R3493" t="n">
        <v>0</v>
      </c>
      <c r="S3493">
        <f>IFERROR(O3493/N3493,0)</f>
        <v/>
      </c>
      <c r="T3493" t="n">
        <v>0</v>
      </c>
      <c r="V3493" t="n">
        <v>0</v>
      </c>
    </row>
    <row r="3494">
      <c r="A3494">
        <f>Skills!A27</f>
        <v/>
      </c>
      <c r="B3494">
        <f>Skills!B27</f>
        <v/>
      </c>
      <c r="C3494">
        <f>Inputs!$B$3&gt;=72</f>
        <v/>
      </c>
      <c r="D3494">
        <f>IF(Skills!C27=1,60+Inputs!$B$25+Inputs!$B$29,IF(Skills!C27=2,90+Inputs!$B$26+Inputs!$B$29,IF(Skills!C27=3,120+Inputs!$B$27+Inputs!$B$29,MAX(0,(Inputs!$B$3-100)*3)+Inputs!$B$28+Inputs!$B$29)))</f>
        <v/>
      </c>
      <c r="E3494">
        <f>INDEX(FactorTable!$B$2:$Y$301, MATCH(ROUND(MIN(300,MAX(1,D3494)),0), FactorTable!$A$2:$A$301,0), Skills!M27+1)</f>
        <v/>
      </c>
      <c r="F3494">
        <f>IF(Skills!N27=TRUE,(Skills!L27/10)*(E3494/1000),Skills!L27/10)+Skills!O27</f>
        <v/>
      </c>
      <c r="G3494">
        <f>Calc!G27</f>
        <v/>
      </c>
      <c r="H3494">
        <f>Calc!H27</f>
        <v/>
      </c>
      <c r="I3494">
        <f>IF(Skills!AA27&lt;&gt;"",1+(Skills!AA27/10)*(U3470/1000)/100,1)</f>
        <v/>
      </c>
      <c r="J3494" t="inlineStr"/>
      <c r="K3494" t="inlineStr"/>
      <c r="L3494" t="inlineStr"/>
      <c r="M3494" t="inlineStr"/>
      <c r="N3494" t="inlineStr"/>
      <c r="O3494">
        <f>(1-Summary!$B$11)*T3494+Summary!$B$11*V3494</f>
        <v/>
      </c>
      <c r="P3494">
        <f>IF(B3511=0,0,O3494/B3511)</f>
        <v/>
      </c>
      <c r="Q3494" t="n">
        <v>0</v>
      </c>
      <c r="R3494" t="n">
        <v>0</v>
      </c>
      <c r="S3494">
        <f>IFERROR(O3494/N3494,0)</f>
        <v/>
      </c>
      <c r="T3494" t="n">
        <v>0</v>
      </c>
      <c r="V3494" t="n">
        <v>0</v>
      </c>
    </row>
    <row r="3495">
      <c r="A3495">
        <f>Skills!A28</f>
        <v/>
      </c>
      <c r="B3495">
        <f>Skills!B28</f>
        <v/>
      </c>
      <c r="C3495">
        <f>Inputs!$B$3&gt;=75</f>
        <v/>
      </c>
      <c r="D3495">
        <f>IF(Skills!C28=1,60+Inputs!$B$25+Inputs!$B$29,IF(Skills!C28=2,90+Inputs!$B$26+Inputs!$B$29,IF(Skills!C28=3,120+Inputs!$B$27+Inputs!$B$29,MAX(0,(Inputs!$B$3-100)*3)+Inputs!$B$28+Inputs!$B$29)))</f>
        <v/>
      </c>
      <c r="E3495">
        <f>INDEX(FactorTable!$B$2:$Y$301, MATCH(ROUND(MIN(300,MAX(1,D3495)),0), FactorTable!$A$2:$A$301,0), Skills!M28+1)</f>
        <v/>
      </c>
      <c r="F3495">
        <f>IF(Skills!N28=TRUE,(Skills!L28/10)*(E3495/1000),Skills!L28/10)+Skills!O28</f>
        <v/>
      </c>
      <c r="G3495">
        <f>Calc!G28</f>
        <v/>
      </c>
      <c r="H3495">
        <f>Calc!H28</f>
        <v/>
      </c>
      <c r="I3495">
        <f>IF(Skills!AA28&lt;&gt;"",1+(Skills!AA28/10)*(U3470/1000)/100,1)</f>
        <v/>
      </c>
      <c r="J3495" t="inlineStr"/>
      <c r="K3495" t="inlineStr"/>
      <c r="L3495" t="inlineStr"/>
      <c r="M3495" t="inlineStr"/>
      <c r="N3495" t="inlineStr"/>
      <c r="O3495">
        <f>(1-Summary!$B$11)*T3495+Summary!$B$11*V3495</f>
        <v/>
      </c>
      <c r="P3495">
        <f>IF(B3511=0,0,O3495/B3511)</f>
        <v/>
      </c>
      <c r="Q3495" t="n">
        <v>0</v>
      </c>
      <c r="R3495" t="n">
        <v>0</v>
      </c>
      <c r="S3495">
        <f>IFERROR(O3495/N3495,0)</f>
        <v/>
      </c>
      <c r="T3495" t="n">
        <v>0</v>
      </c>
      <c r="V3495" t="n">
        <v>0</v>
      </c>
    </row>
    <row r="3496">
      <c r="A3496">
        <f>Skills!A29</f>
        <v/>
      </c>
      <c r="B3496">
        <f>Skills!B29</f>
        <v/>
      </c>
      <c r="C3496">
        <f>Inputs!$B$3&gt;=120</f>
        <v/>
      </c>
      <c r="D3496">
        <f>IF(Skills!C29=1,60+Inputs!$B$25+Inputs!$B$29,IF(Skills!C29=2,90+Inputs!$B$26+Inputs!$B$29,IF(Skills!C29=3,120+Inputs!$B$27+Inputs!$B$29,MAX(0,(Inputs!$B$3-100)*3)+Inputs!$B$28+Inputs!$B$29)))</f>
        <v/>
      </c>
      <c r="E3496">
        <f>INDEX(FactorTable!$B$2:$Y$301, MATCH(ROUND(MIN(300,MAX(1,D3496)),0), FactorTable!$A$2:$A$301,0), Skills!M29+1)</f>
        <v/>
      </c>
      <c r="F3496">
        <f>IF(Skills!N29=TRUE,(Skills!L29/10)*(E3496/1000),Skills!L29/10)+Skills!O29</f>
        <v/>
      </c>
      <c r="G3496">
        <f>Calc!G29</f>
        <v/>
      </c>
      <c r="H3496">
        <f>Calc!H29</f>
        <v/>
      </c>
      <c r="I3496">
        <f>IF(Skills!AA29&lt;&gt;"",1+(Skills!AA29/10)*(U3470/1000)/100,1)</f>
        <v/>
      </c>
      <c r="J3496" t="inlineStr"/>
      <c r="K3496" t="inlineStr"/>
      <c r="L3496" t="inlineStr"/>
      <c r="M3496" t="inlineStr"/>
      <c r="N3496" t="inlineStr"/>
      <c r="O3496">
        <f>(1-Summary!$B$11)*T3496+Summary!$B$11*V3496</f>
        <v/>
      </c>
      <c r="P3496">
        <f>IF(B3511=0,0,O3496/B3511)</f>
        <v/>
      </c>
      <c r="Q3496" t="n">
        <v>0</v>
      </c>
      <c r="R3496" t="n">
        <v>0</v>
      </c>
      <c r="S3496">
        <f>IFERROR(O3496/N3496,0)</f>
        <v/>
      </c>
      <c r="T3496" t="n">
        <v>0</v>
      </c>
      <c r="V3496" t="n">
        <v>0</v>
      </c>
    </row>
    <row r="3497">
      <c r="A3497">
        <f>Skills!A30</f>
        <v/>
      </c>
      <c r="B3497">
        <f>Skills!B30</f>
        <v/>
      </c>
      <c r="C3497">
        <f>Inputs!$B$3&gt;=125</f>
        <v/>
      </c>
      <c r="D3497">
        <f>IF(Skills!C30=1,60+Inputs!$B$25+Inputs!$B$29,IF(Skills!C30=2,90+Inputs!$B$26+Inputs!$B$29,IF(Skills!C30=3,120+Inputs!$B$27+Inputs!$B$29,MAX(0,(Inputs!$B$3-100)*3)+Inputs!$B$28+Inputs!$B$29)))</f>
        <v/>
      </c>
      <c r="E3497">
        <f>INDEX(FactorTable!$B$2:$Y$301, MATCH(ROUND(MIN(300,MAX(1,D3497)),0), FactorTable!$A$2:$A$301,0), Skills!M30+1)</f>
        <v/>
      </c>
      <c r="F3497">
        <f>IF(Skills!N30=TRUE,(Skills!L30/10)*(E3497/1000),Skills!L30/10)+Skills!O30</f>
        <v/>
      </c>
      <c r="G3497">
        <f>Calc!G30</f>
        <v/>
      </c>
      <c r="H3497">
        <f>Calc!H30</f>
        <v/>
      </c>
      <c r="I3497">
        <f>IF(Skills!AA30&lt;&gt;"",1+(Skills!AA30/10)*(U3470/1000)/100,1)</f>
        <v/>
      </c>
      <c r="J3497" t="inlineStr"/>
      <c r="K3497" t="inlineStr"/>
      <c r="L3497" t="inlineStr"/>
      <c r="M3497" t="inlineStr"/>
      <c r="N3497" t="inlineStr"/>
      <c r="O3497">
        <f>(1-Summary!$B$11)*T3497+Summary!$B$11*V3497</f>
        <v/>
      </c>
      <c r="P3497">
        <f>IF(B3511=0,0,O3497/B3511)</f>
        <v/>
      </c>
      <c r="Q3497" t="n">
        <v>0</v>
      </c>
      <c r="R3497" t="n">
        <v>0</v>
      </c>
      <c r="S3497">
        <f>IFERROR(O3497/N3497,0)</f>
        <v/>
      </c>
      <c r="T3497" t="n">
        <v>0</v>
      </c>
      <c r="V3497" t="n">
        <v>0</v>
      </c>
    </row>
    <row r="3498">
      <c r="A3498">
        <f>Skills!A31</f>
        <v/>
      </c>
      <c r="B3498">
        <f>Skills!B31</f>
        <v/>
      </c>
      <c r="C3498">
        <f>Inputs!$B$3&gt;=107</f>
        <v/>
      </c>
      <c r="D3498">
        <f>IF(Skills!C31=1,60+Inputs!$B$25+Inputs!$B$29,IF(Skills!C31=2,90+Inputs!$B$26+Inputs!$B$29,IF(Skills!C31=3,120+Inputs!$B$27+Inputs!$B$29,MAX(0,(Inputs!$B$3-100)*3)+Inputs!$B$28+Inputs!$B$29)))</f>
        <v/>
      </c>
      <c r="E3498">
        <f>INDEX(FactorTable!$B$2:$Y$301, MATCH(ROUND(MIN(300,MAX(1,D3498)),0), FactorTable!$A$2:$A$301,0), Skills!M31+1)</f>
        <v/>
      </c>
      <c r="F3498">
        <f>IF(Skills!N31=TRUE,(Skills!L31/10)*(E3498/1000),Skills!L31/10)+Skills!O31</f>
        <v/>
      </c>
      <c r="G3498">
        <f>Calc!G31</f>
        <v/>
      </c>
      <c r="H3498">
        <f>Calc!H31</f>
        <v/>
      </c>
      <c r="I3498">
        <f>IF(Skills!AA31&lt;&gt;"",1+(Skills!AA31/10)*(U3470/1000)/100,1)</f>
        <v/>
      </c>
      <c r="J3498" t="inlineStr"/>
      <c r="K3498" t="inlineStr"/>
      <c r="L3498" t="inlineStr"/>
      <c r="M3498" t="inlineStr"/>
      <c r="N3498" t="inlineStr"/>
      <c r="O3498">
        <f>(1-Summary!$B$11)*T3498+Summary!$B$11*V3498</f>
        <v/>
      </c>
      <c r="P3498">
        <f>IF(B3511=0,0,O3498/B3511)</f>
        <v/>
      </c>
      <c r="Q3498" t="n">
        <v>0</v>
      </c>
      <c r="R3498" t="n">
        <v>0</v>
      </c>
      <c r="S3498">
        <f>IFERROR(O3498/N3498,0)</f>
        <v/>
      </c>
      <c r="T3498" t="n">
        <v>0</v>
      </c>
      <c r="V3498" t="n">
        <v>0</v>
      </c>
    </row>
    <row r="3500">
      <c r="A3500" t="inlineStr">
        <is>
          <t>Actions Per Second (pre-Adrenalin)</t>
        </is>
      </c>
      <c r="B3500">
        <f>1+MIN(150,150*(1-(1-(Inputs!$B$11+((C3489=TRUE)*(F3489-Calc!F22))+(ArtifactsInput!$M$15-ArtifactsInput!$M$15)*CHOOSE(ArtifactsInput!$N$15+1,8,9.6,11.2,12.8,14.4,16))/150)*(1-((C3486=TRUE)*F3486*IF(AND(Inputs!$B$39&lt;&gt;"pvp",Inputs!$B$44&gt;0),(((R3486-1)*(Skills!Y19*(1+Inputs!$B$34/100))+MIN((Skills!Y19*(1+Inputs!$B$34/100)),MAX(0,Inputs!$B$44-((R3486-1)*Skills!D19))))/Inputs!$B$44),IF(Inputs!$B$39="pvp",MIN((Skills!Y19*(1+Inputs!$B$34/100)),15)/15,(Skills!Y19*(1+Inputs!$B$34/100))/Skills!D19)))/150)))/100</f>
        <v/>
      </c>
    </row>
    <row r="3501">
      <c r="A3501" t="inlineStr">
        <is>
          <t>Alchemic Adrenaline Uptime</t>
        </is>
      </c>
      <c r="B3501">
        <f>(Skills!Y6*(1+Inputs!$B$34/100))/((Skills!Y6*(1+Inputs!$B$34/100))+(5/B3500))</f>
        <v/>
      </c>
    </row>
    <row r="3502">
      <c r="A3502" t="inlineStr">
        <is>
          <t>Attack Speed Buff Bonus %</t>
        </is>
      </c>
      <c r="B3502">
        <f>((C3486=TRUE)*F3486*IF(AND(Inputs!$B$39&lt;&gt;"pvp",Inputs!$B$44&gt;0),(((R3486-1)*(Skills!Y19*(1+Inputs!$B$34/100))+MIN((Skills!Y19*(1+Inputs!$B$34/100)),MAX(0,Inputs!$B$44-((R3486-1)*Skills!D19))))/Inputs!$B$44),IF(Inputs!$B$39="pvp",MIN((Skills!Y19*(1+Inputs!$B$34/100)),15)/15,(Skills!Y19*(1+Inputs!$B$34/100))/Skills!D19)))+((C3474=TRUE)*F3474*B3501)</f>
        <v/>
      </c>
    </row>
    <row r="3503">
      <c r="A3503" t="inlineStr">
        <is>
          <t>Actions Per Second (final)</t>
        </is>
      </c>
      <c r="B3503">
        <f>1+MIN(150,150*(1-(1-(Inputs!$B$11+((C3489=TRUE)*(F3489-Calc!F22))+(ArtifactsInput!$M$15-ArtifactsInput!$M$15)*CHOOSE(ArtifactsInput!$N$15+1,8,9.6,11.2,12.8,14.4,16))/150)*(1-B3502/150)))/100</f>
        <v/>
      </c>
    </row>
    <row r="3504">
      <c r="A3504" t="inlineStr">
        <is>
          <t>Skill + Buff Cast Rate</t>
        </is>
      </c>
      <c r="B3504">
        <f>IF(AND(Inputs!$B$39&lt;&gt;"pvp",Inputs!$B$44&gt;0),SUMPRODUCT((Skills!E2:E31=TRUE)*(C3469:C3498=TRUE)*R3469:R3498*Skills!F2:F31)/Inputs!$B$44,SUMPRODUCT((Skills!E2:E31=TRUE)*(C3469:C3498=TRUE)*Q3469:Q3498*Skills!F2:F31))</f>
        <v/>
      </c>
    </row>
    <row r="3505">
      <c r="A3505" t="inlineStr">
        <is>
          <t>Showdown Casts Per Second</t>
        </is>
      </c>
      <c r="B3505">
        <f>MAX(0,B3503-B3504)</f>
        <v/>
      </c>
    </row>
    <row r="3506">
      <c r="A3506" t="inlineStr">
        <is>
          <t>Average Buff Multiplier</t>
        </is>
      </c>
      <c r="B3506">
        <f>(1+(((C3488=TRUE)*F3488*IF(AND(Inputs!$B$39&lt;&gt;"pvp",Inputs!$B$44&gt;0),(((R3488-1)*(Skills!Y21*(1+Inputs!$B$34/100))+MIN((Skills!Y21*(1+Inputs!$B$34/100)),MAX(0,Inputs!$B$44-((R3488-1)*Skills!D21))))/Inputs!$B$44),IF(Inputs!$B$39="pvp",MIN((Skills!Y21*(1+Inputs!$B$34/100)),15)/15,(Skills!Y21*(1+Inputs!$B$34/100))/Skills!D21)))+((C3495=TRUE)*(F3495-Calc!F28))+((C3485=TRUE)*(F3485-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3482=TRUE)*F3482*IF(AND(Inputs!$B$39&lt;&gt;"pvp",Inputs!$B$44&gt;0),(((R3482-1)*(Skills!Y15*(1+Inputs!$B$34/100))+MIN((Skills!Y15*(1+Inputs!$B$34/100)),MAX(0,Inputs!$B$44-((R3482-1)*Skills!D15))))/Inputs!$B$44),IF(Inputs!$B$39="pvp",MIN((Skills!Y15*(1+Inputs!$B$34/100)),15)/15,(Skills!Y15*(1+Inputs!$B$34/100))/Skills!D15)))/100)*(1+((C3473=TRUE)*F3473*B3501)/100)</f>
        <v/>
      </c>
    </row>
    <row r="3507">
      <c r="A3507" t="inlineStr">
        <is>
          <t>Global Crit Rate Bonus %</t>
        </is>
      </c>
      <c r="B3507">
        <f>IF(Inputs!$B$3&gt;=47,8,0)+((C3487=TRUE)*F3487*IF(AND(Inputs!$B$39&lt;&gt;"pvp",Inputs!$B$44&gt;0),(((R3487-1)*(Skills!Y20*(1+Inputs!$B$34/100))+MIN((Skills!Y20*(1+Inputs!$B$34/100)),MAX(0,Inputs!$B$44-((R3487-1)*Skills!D20))))/Inputs!$B$44),IF(Inputs!$B$39="pvp",MIN((Skills!Y20*(1+Inputs!$B$34/100)),15)/15,(Skills!Y20*(1+Inputs!$B$34/100))/Skills!D20)))</f>
        <v/>
      </c>
    </row>
    <row r="3508">
      <c r="A3508" t="inlineStr">
        <is>
          <t>Global Monster Damage-Taken Bonus %</t>
        </is>
      </c>
      <c r="B3508">
        <f>IF(Inputs!$B$3&gt;=82,15,0)+((C3483=TRUE)*F3483*IF(AND(Inputs!$B$39&lt;&gt;"pvp",Inputs!$B$44&gt;0),(((R3483-1)*(Skills!Y16*(1+Inputs!$B$34/100))+MIN((Skills!Y16*(1+Inputs!$B$34/100)),MAX(0,Inputs!$B$44-((R3483-1)*Skills!D16))))/Inputs!$B$44),IF(Inputs!$B$39="pvp",MIN((Skills!Y16*(1+Inputs!$B$34/100)),15)/15,(Skills!Y16*(1+Inputs!$B$34/100))/Skills!D16)))</f>
        <v/>
      </c>
    </row>
    <row r="3509">
      <c r="A3509" t="inlineStr">
        <is>
          <t>Shadow Partner Average Multiplier</t>
        </is>
      </c>
      <c r="B3509">
        <f>1+((C3478=TRUE)*F3478*I3478*Skills!J11/100)/100</f>
        <v/>
      </c>
    </row>
    <row r="3510">
      <c r="A3510" t="inlineStr">
        <is>
          <t>Global Critical Damage Bonus % (Frailty Curse Mastery Lv.111)</t>
        </is>
      </c>
      <c r="B3510">
        <f>IF(Inputs!$B$3&gt;=111,30,0)*IF(AND(Inputs!$B$39&lt;&gt;"pvp",Inputs!$B$44&gt;0),(((R3483-1)*(Skills!Y16*(1+Inputs!$B$34/100))+MIN((Skills!Y16*(1+Inputs!$B$34/100)),MAX(0,Inputs!$B$44-((R3483-1)*Skills!D16))))/Inputs!$B$44),IF(Inputs!$B$39="pvp",MIN((Skills!Y16*(1+Inputs!$B$34/100)),15)/15,(Skills!Y16*(1+Inputs!$B$34/100))/Skills!D16))</f>
        <v/>
      </c>
    </row>
    <row r="3511">
      <c r="A3511" s="6" t="inlineStr">
        <is>
          <t>TOTAL DPS</t>
        </is>
      </c>
      <c r="B3511" s="6">
        <f>SUM(O3469:O3498)</f>
        <v/>
      </c>
    </row>
    <row r="3512">
      <c r="A3512" t="inlineStr">
        <is>
          <t>Buff-Casting Startup Delay (s, fixed-duration only)</t>
        </is>
      </c>
      <c r="B3512">
        <f>IF(AND(Inputs!$B$39&lt;&gt;"pvp",Inputs!$B$44&gt;0),SUMPRODUCT((Skills!Y2:Y31&gt;0)*(Skills!E2:E31=TRUE)*(C3469:C3498=TRUE))/B3503,0)</f>
        <v/>
      </c>
    </row>
    <row r="3513">
      <c r="A3513" t="inlineStr">
        <is>
          <t>Boss-Only Total DPS (this block's swept value)</t>
        </is>
      </c>
      <c r="B3513">
        <f>SUM(T3469:T3498)</f>
        <v/>
      </c>
    </row>
    <row r="3514">
      <c r="A3514" t="inlineStr">
        <is>
          <t>Normal-Only Total DPS (this block's swept value)</t>
        </is>
      </c>
      <c r="B3514">
        <f>SUM(V3469:V3498)</f>
        <v/>
      </c>
    </row>
    <row r="3516">
      <c r="A3516" s="6" t="inlineStr">
        <is>
          <t>Stat: CDR = 4.0s</t>
        </is>
      </c>
    </row>
    <row r="3517">
      <c r="A3517" s="5" t="inlineStr">
        <is>
          <t>Key</t>
        </is>
      </c>
      <c r="B3517" s="5" t="inlineStr">
        <is>
          <t>Name</t>
        </is>
      </c>
      <c r="C3517" s="5" t="inlineStr">
        <is>
          <t>Unlocked</t>
        </is>
      </c>
      <c r="D3517" s="5" t="inlineStr">
        <is>
          <t>InputLevel</t>
        </is>
      </c>
      <c r="E3517" s="5" t="inlineStr">
        <is>
          <t>Factor</t>
        </is>
      </c>
      <c r="F3517" s="5" t="inlineStr">
        <is>
          <t>CoefficientPercent</t>
        </is>
      </c>
      <c r="G3517" s="5" t="inlineStr">
        <is>
          <t>EffectiveHits</t>
        </is>
      </c>
      <c r="H3517" s="5" t="inlineStr">
        <is>
          <t>ProcProbability</t>
        </is>
      </c>
      <c r="I3517" s="5" t="inlineStr">
        <is>
          <t>MapleHeroMultiplier</t>
        </is>
      </c>
      <c r="J3517" s="5" t="inlineStr">
        <is>
          <t>BaseDamage</t>
        </is>
      </c>
      <c r="K3517" s="5" t="inlineStr">
        <is>
          <t>BaseHitDamage</t>
        </is>
      </c>
      <c r="L3517" s="5" t="inlineStr">
        <is>
          <t>NonCritAvg</t>
        </is>
      </c>
      <c r="M3517" s="5" t="inlineStr">
        <is>
          <t>CritAvg</t>
        </is>
      </c>
      <c r="N3517" s="5" t="inlineStr">
        <is>
          <t>ExpectedDamage(perHit)</t>
        </is>
      </c>
      <c r="O3517" s="5" t="inlineStr">
        <is>
          <t>DPS</t>
        </is>
      </c>
      <c r="P3517" s="5" t="inlineStr">
        <is>
          <t>% of Total</t>
        </is>
      </c>
      <c r="Q3517" s="5" t="inlineStr">
        <is>
          <t>InvCooldown</t>
        </is>
      </c>
      <c r="R3517" s="5" t="inlineStr">
        <is>
          <t>CastsInFight</t>
        </is>
      </c>
      <c r="S3517" s="5" t="inlineStr">
        <is>
          <t>HitRate(perSec)</t>
        </is>
      </c>
      <c r="U3517" t="inlineStr">
        <is>
          <t>helpers</t>
        </is>
      </c>
    </row>
    <row r="3518">
      <c r="A3518">
        <f>Skills!A2</f>
        <v/>
      </c>
      <c r="B3518">
        <f>Skills!B2</f>
        <v/>
      </c>
      <c r="C3518">
        <f>Inputs!$B$3&gt;=100</f>
        <v/>
      </c>
      <c r="D3518" t="inlineStr"/>
      <c r="E3518" t="inlineStr"/>
      <c r="F3518">
        <f>U3522+Skills!O2</f>
        <v/>
      </c>
      <c r="G3518">
        <f>Calc!G2</f>
        <v/>
      </c>
      <c r="H3518">
        <f>Calc!H2</f>
        <v/>
      </c>
      <c r="I3518">
        <f>IF(Skills!AA2&lt;&gt;"",1+(Skills!AA2/10)*(U3519/1000)/100,1)</f>
        <v/>
      </c>
      <c r="J3518">
        <f>((Inputs!$B$6*(1+Inputs!$B$7/100))+(((Inputs!$B$12*(1+Inputs!$B$13/100))-(Inputs!$B$12*(1+Inputs!$B$13/100)))+0.25*(Inputs!$B$14-Inputs!$B$14))*(1+Inputs!$B$7/100))*(F3518/100)</f>
        <v/>
      </c>
      <c r="K3518">
        <f>J3518*(1+((Inputs!$B$12*(1+Inputs!$B$13/100))*0.01+Inputs!$B$14*0.0025)/100)*(1+Inputs!$B$15/100)*(1+Inputs!$B$16/100)*(5000/(6000+Inputs!$B$43*(1-(100*(1-(1-(Inputs!$B$19+0)/100)*(1-CHOOSE(ArtifactsInput!$N$40+1,5,6,7,8,9,10)/100)^(ArtifactsInput!$M$40-ArtifactsInput!$M$40)))/100)))*(1+(Inputs!$B$24+((C3546=TRUE)*(F3546-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3539=TRUE)*(F3539-Calc!F23))+(((IF(AND(ArtifactsInput!$M$42,((Inputs!$B$9+((C3541=TRUE)*(F3541-Calc!F25))+B3556+(ArtifactsInput!$M$24-ArtifactsInput!$M$24)*CHOOSE(ArtifactsInput!$N$24+1,10,12,14,16,18,20)+IF(ArtifactsInput!$M$10,CHOOSE(ArtifactsInput!$N$10+1,15,18,21,24,27,30)*(IF(Inputs!$B$39="pvp",MIN(15,15)/15,IF(AND(Inputs!$B$39&lt;&gt;"pvp",Inputs!$B$44&gt;0),MIN(15,Inputs!$B$44)/(Inputs!$B$44),0))),0)))&gt;=100),MIN(100,((Inputs!$B$9+((C3541=TRUE)*(F3541-Calc!F25))+B3556+(ArtifactsInput!$M$24-ArtifactsInput!$M$24)*CHOOSE(ArtifactsInput!$N$24+1,10,12,14,16,18,20)+IF(ArtifactsInput!$M$10,CHOOSE(ArtifactsInput!$N$10+1,15,18,21,24,27,30)*(IF(Inputs!$B$39="pvp",MIN(15,15)/15,IF(AND(Inputs!$B$39&lt;&gt;"pvp",Inputs!$B$44&gt;0),MIN(15,Inputs!$B$44)/(Inputs!$B$44),0))),0)))-100),0))*CHOOSE(ArtifactsInput!$N$42+1,0.6,0.72,0.84,0.96,1.08,1.2))),Inputs!$B$18+((C3545=TRUE)*(F3545-Calc!F29))+(IF(AND(ArtifactsInput!$M$42,((Inputs!$B$9+((C3541=TRUE)*(F3541-Calc!F25))+B3556+(ArtifactsInput!$M$24-ArtifactsInput!$M$24)*CHOOSE(ArtifactsInput!$N$24+1,10,12,14,16,18,20)+IF(ArtifactsInput!$M$10,CHOOSE(ArtifactsInput!$N$10+1,15,18,21,24,27,30)*(IF(Inputs!$B$39="pvp",MIN(15,15)/15,IF(AND(Inputs!$B$39&lt;&gt;"pvp",Inputs!$B$44&gt;0),MIN(15,Inputs!$B$44)/(Inputs!$B$44),0))),0)))&gt;=100),CHOOSE(ArtifactsInput!$N$42+1,40,48,56,64,72,80),0))))/100)*(((1+(((C3537=TRUE)*F3537*IF(AND(Inputs!$B$39&lt;&gt;"pvp",Inputs!$B$44&gt;0),(((R3537-1)*(Skills!Y21*(1+Inputs!$B$34/100))+MIN((Skills!Y21*(1+Inputs!$B$34/100)),MAX(0,Inputs!$B$44-((R3537-1)*Skills!D21))))/Inputs!$B$44),IF(Inputs!$B$39="pvp",MIN((Skills!Y21*(1+Inputs!$B$34/100)),15)/15,(Skills!Y21*(1+Inputs!$B$34/100))/Skills!D21)))+((C3544=TRUE)*(F3544-Calc!F28))+((C3534=TRUE)*(F3534-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3531=TRUE)*F3531*IF(AND(Inputs!$B$39&lt;&gt;"pvp",Inputs!$B$44&gt;0),(((R3531-1)*(Skills!Y15*(1+Inputs!$B$34/100))+MIN((Skills!Y15*(1+Inputs!$B$34/100)),MAX(0,Inputs!$B$44-((R3531-1)*Skills!D15))))/Inputs!$B$44),IF(Inputs!$B$39="pvp",MIN((Skills!Y15*(1+Inputs!$B$34/100)),15)/15,(Skills!Y15*(1+Inputs!$B$34/100))/Skills!D15)))/100)*(1+((C3522=TRUE)*F3522*B3550)/100))*B3558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3518)</f>
        <v/>
      </c>
      <c r="L3518">
        <f>K3518*(MIN(Inputs!$B$22+((C3540=TRUE)*(F3540-Calc!F24)),(Inputs!$B$23+0+(IF(ArtifactsInput!$M$15,CHOOSE(ArtifactsInput!$N$15+1,25,30,35,40,45,50)/100*(Inputs!$B$11-Inputs!$B$11),0))))/100+(Inputs!$B$23+0+(IF(ArtifactsInput!$M$15,CHOOSE(ArtifactsInput!$N$15+1,25,30,35,40,45,50)/100*(Inputs!$B$11-Inputs!$B$11),0)))/100)/2</f>
        <v/>
      </c>
      <c r="M3518">
        <f>L3518*(1+(Inputs!$B$10+((C3542=TRUE)*(F3542-Calc!F26))+B3559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18">
        <f>L3518*(1-MIN((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3518*(MIN((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18">
        <f>(1-Summary!$B$11)*T3518+Summary!$B$11*V3518</f>
        <v/>
      </c>
      <c r="P3518">
        <f>IF(B3560=0,0,O3518/B3560)</f>
        <v/>
      </c>
      <c r="Q3518" t="n">
        <v>0</v>
      </c>
      <c r="R3518" t="n">
        <v>0</v>
      </c>
      <c r="S3518">
        <f>IFERROR(O3518/N3518,0)</f>
        <v/>
      </c>
      <c r="T3518">
        <f>IF(C3518,(Skills!G2*N3518*B3554)*IF(Inputs!$B$39="pvp",1,1+(Inputs!$B$20+((C3543=TRUE)*(F3543-Calc!F27))+Skills!P2+B3557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Hunt"),CHOOSE(ArtifactsInput!$N$35+1,15,18,21,24,27,30)*(1-EXP(-(0.2*B3552)*5)),0)+IF(AND(ArtifactsInput!$M$22,Inputs!$B$4&lt;&gt;"Chapter Hunt"),CHOOSE(ArtifactsInput!$N$22+1,10,12,14,16,18,20)*((0*(((0.15*B3552*5))^0/1)+1*(((0.15*B3552*5))^1/1)+2*(((0.15*B3552*5))^2/2)+3*(((0.15*B3552*5))^3/6)+4*(((0.15*B3552*5))^4/24)+5*(((0.15*B3552*5))^5/120))/((((0.15*B3552*5))^0/1)+(((0.15*B3552*5))^1/1)+(((0.15*B3552*5))^2/2)+(((0.15*B3552*5))^3/6)+(((0.15*B3552*5))^4/24)+(((0.15*B3552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3518*(1-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3518*(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3518*(1-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3518*(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518">
        <f>MAX(0,(Inputs!$B$3-100)*3)+Inputs!$B$28+Inputs!$B$29</f>
        <v/>
      </c>
      <c r="V3518">
        <f>IF(C3518,(Skills!G2*N3518*B3554)*IF(Inputs!$B$39="pvp",1,(1+(Inputs!$B$21+Skills!Q2+B3557+(IF(ArtifactsInput!$M$33,CHOOSE(ArtifactsInput!$N$33+1,30,36,42,48,54,60),0))+(IF(AND(ArtifactsInput!$M$35,Inputs!$B$4&lt;&gt;"Chapter Hunt"),CHOOSE(ArtifactsInput!$N$35+1,15,18,21,24,27,30)*(1-EXP(-(0.2*B3552)*5)),0)+IF(AND(ArtifactsInput!$M$22,Inputs!$B$4&lt;&gt;"Chapter Hunt"),CHOOSE(ArtifactsInput!$N$22+1,10,12,14,16,18,20)*((0*(((0.15*B3552*5))^0/1)+1*(((0.15*B3552*5))^1/1)+2*(((0.15*B3552*5))^2/2)+3*(((0.15*B3552*5))^3/6)+4*(((0.15*B3552*5))^4/24)+5*(((0.15*B3552*5))^5/120))/((((0.15*B3552*5))^0/1)+(((0.15*B3552*5))^1/1)+(((0.15*B3552*5))^2/2)+(((0.15*B3552*5))^3/6)+(((0.15*B3552*5))^4/24)+(((0.15*B3552*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19">
      <c r="A3519">
        <f>Skills!A3</f>
        <v/>
      </c>
      <c r="B3519">
        <f>Skills!B3</f>
        <v/>
      </c>
      <c r="C3519">
        <f>Inputs!$B$3&gt;=35</f>
        <v/>
      </c>
      <c r="D3519">
        <f>IF(Skills!C3=1,60+Inputs!$B$25+Inputs!$B$29,IF(Skills!C3=2,90+Inputs!$B$26+Inputs!$B$29,IF(Skills!C3=3,120+Inputs!$B$27+Inputs!$B$29,MAX(0,(Inputs!$B$3-100)*3)+Inputs!$B$28+Inputs!$B$29)))</f>
        <v/>
      </c>
      <c r="E3519">
        <f>INDEX(FactorTable!$B$2:$Y$301, MATCH(ROUND(MIN(300,MAX(1,D3519)),0), FactorTable!$A$2:$A$301,0), Skills!M3+1)</f>
        <v/>
      </c>
      <c r="F3519">
        <f>IF(Skills!N3=TRUE,(Skills!L3/10)*(E3519/1000),Skills!L3/10)+Skills!O3</f>
        <v/>
      </c>
      <c r="G3519">
        <f>Calc!G3</f>
        <v/>
      </c>
      <c r="H3519">
        <f>Calc!H3</f>
        <v/>
      </c>
      <c r="I3519">
        <f>IF(Skills!AA3&lt;&gt;"",1+(Skills!AA3/10)*(U3519/1000)/100,1)</f>
        <v/>
      </c>
      <c r="J3519">
        <f>((Inputs!$B$6*(1+Inputs!$B$7/100))+(((Inputs!$B$12*(1+Inputs!$B$13/100))-(Inputs!$B$12*(1+Inputs!$B$13/100)))+0.25*(Inputs!$B$14-Inputs!$B$14))*(1+Inputs!$B$7/100))*(F3519/100)</f>
        <v/>
      </c>
      <c r="K3519">
        <f>J3519*(1+((Inputs!$B$12*(1+Inputs!$B$13/100))*0.01+Inputs!$B$14*0.0025)/100)*(1+Inputs!$B$15/100)*(1+Inputs!$B$16/100)*(5000/(6000+Inputs!$B$43*(1-(100*(1-(1-(Inputs!$B$19+0)/100)*(1-CHOOSE(ArtifactsInput!$N$40+1,5,6,7,8,9,10)/100)^(ArtifactsInput!$M$40-ArtifactsInput!$M$40)))/100)))*(1+(Inputs!$B$24+((C3546=TRUE)*(F3546-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3539=TRUE)*(F3539-Calc!F23))+(((IF(AND(ArtifactsInput!$M$42,((Inputs!$B$9+((C3541=TRUE)*(F3541-Calc!F25))+B3556+(ArtifactsInput!$M$24-ArtifactsInput!$M$24)*CHOOSE(ArtifactsInput!$N$24+1,10,12,14,16,18,20)+IF(ArtifactsInput!$M$10,CHOOSE(ArtifactsInput!$N$10+1,15,18,21,24,27,30)*(IF(Inputs!$B$39="pvp",MIN(15,15)/15,IF(AND(Inputs!$B$39&lt;&gt;"pvp",Inputs!$B$44&gt;0),MIN(15,Inputs!$B$44)/(Inputs!$B$44),0))),0)))&gt;=100),MIN(100,((Inputs!$B$9+((C3541=TRUE)*(F3541-Calc!F25))+B3556+(ArtifactsInput!$M$24-ArtifactsInput!$M$24)*CHOOSE(ArtifactsInput!$N$24+1,10,12,14,16,18,20)+IF(ArtifactsInput!$M$10,CHOOSE(ArtifactsInput!$N$10+1,15,18,21,24,27,30)*(IF(Inputs!$B$39="pvp",MIN(15,15)/15,IF(AND(Inputs!$B$39&lt;&gt;"pvp",Inputs!$B$44&gt;0),MIN(15,Inputs!$B$44)/(Inputs!$B$44),0))),0)))-100),0))*CHOOSE(ArtifactsInput!$N$42+1,0.6,0.72,0.84,0.96,1.08,1.2))),Inputs!$B$18+((C3545=TRUE)*(F3545-Calc!F29))+(IF(AND(ArtifactsInput!$M$42,((Inputs!$B$9+((C3541=TRUE)*(F3541-Calc!F25))+B3556+(ArtifactsInput!$M$24-ArtifactsInput!$M$24)*CHOOSE(ArtifactsInput!$N$24+1,10,12,14,16,18,20)+IF(ArtifactsInput!$M$10,CHOOSE(ArtifactsInput!$N$10+1,15,18,21,24,27,30)*(IF(Inputs!$B$39="pvp",MIN(15,15)/15,IF(AND(Inputs!$B$39&lt;&gt;"pvp",Inputs!$B$44&gt;0),MIN(15,Inputs!$B$44)/(Inputs!$B$44),0))),0)))&gt;=100),CHOOSE(ArtifactsInput!$N$42+1,40,48,56,64,72,80),0))))/100)*(((1+(((C3537=TRUE)*F3537*IF(AND(Inputs!$B$39&lt;&gt;"pvp",Inputs!$B$44&gt;0),(((R3537-1)*(Skills!Y21*(1+Inputs!$B$34/100))+MIN((Skills!Y21*(1+Inputs!$B$34/100)),MAX(0,Inputs!$B$44-((R3537-1)*Skills!D21))))/Inputs!$B$44),IF(Inputs!$B$39="pvp",MIN((Skills!Y21*(1+Inputs!$B$34/100)),15)/15,(Skills!Y21*(1+Inputs!$B$34/100))/Skills!D21)))+((C3544=TRUE)*(F3544-Calc!F28))+((C3534=TRUE)*(F3534-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3531=TRUE)*F3531*IF(AND(Inputs!$B$39&lt;&gt;"pvp",Inputs!$B$44&gt;0),(((R3531-1)*(Skills!Y15*(1+Inputs!$B$34/100))+MIN((Skills!Y15*(1+Inputs!$B$34/100)),MAX(0,Inputs!$B$44-((R3531-1)*Skills!D15))))/Inputs!$B$44),IF(Inputs!$B$39="pvp",MIN((Skills!Y15*(1+Inputs!$B$34/100)),15)/15,(Skills!Y15*(1+Inputs!$B$34/100))/Skills!D15)))/100)*(1+((C3522=TRUE)*F3522*B3550)/100))*B3558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3519)</f>
        <v/>
      </c>
      <c r="L3519">
        <f>K3519*(MIN(Inputs!$B$22+((C3540=TRUE)*(F3540-Calc!F24)),(Inputs!$B$23+0+(IF(ArtifactsInput!$M$15,CHOOSE(ArtifactsInput!$N$15+1,25,30,35,40,45,50)/100*(Inputs!$B$11-Inputs!$B$11),0))))/100+(Inputs!$B$23+0+(IF(ArtifactsInput!$M$15,CHOOSE(ArtifactsInput!$N$15+1,25,30,35,40,45,50)/100*(Inputs!$B$11-Inputs!$B$11),0)))/100)/2</f>
        <v/>
      </c>
      <c r="M3519">
        <f>L3519*(1+(Inputs!$B$10+((C3542=TRUE)*(F3542-Calc!F26))+B3559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19">
        <f>L3519*(1-MIN((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3519*(MIN((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19">
        <f>(1-Summary!$B$11)*T3519+Summary!$B$11*V3519</f>
        <v/>
      </c>
      <c r="P3519">
        <f>IF(B3560=0,0,O3519/B3560)</f>
        <v/>
      </c>
      <c r="Q3519">
        <f>IFERROR(1/IF(Inputs!$B$39="pvp",15,MAX(0.1,Skills!D3-IF(Skills!E3=TRUE,4.0,0))),0)</f>
        <v/>
      </c>
      <c r="R3519">
        <f>IF(AND(Inputs!$B$39&lt;&gt;"pvp",Inputs!$B$44&gt;0),IF(MAX(0,Inputs!$B$44-B3561)&lt;=0,0,(INT(MAX(0,Inputs!$B$44-B3561)/IF(Inputs!$B$39="pvp",15,MAX(0.1,Skills!D3-IF(Skills!E3=TRUE,4.0,0))))+1)),0)</f>
        <v/>
      </c>
      <c r="S3519">
        <f>IFERROR(O3519/N3519,0)</f>
        <v/>
      </c>
      <c r="T3519">
        <f>IF(C3519,(H3519*N3519*IF(AND(Inputs!$B$39&lt;&gt;"pvp",Inputs!$B$44&gt;0),((Skills!G3*((R3519-1)*IF(Skills!H3&gt;0,Skills!I3/Skills!H3,1)+IF(Skills!H3&gt;0,MIN(Skills!I3,MAX(0,MAX(0,Inputs!$B$44-B3561)-((R3519-1)*IF(Inputs!$B$39="pvp",15,MAX(0.1,Skills!D3-IF(Skills!E3=TRUE,4.0,0))))))/Skills!H3,1)))/Inputs!$B$44),G3519*Q3519))*IF(Inputs!$B$39="pvp",1,1+(Inputs!$B$20+((C3543=TRUE)*(F3543-Calc!F27))+Skills!P3+B3557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Hunt"),CHOOSE(ArtifactsInput!$N$35+1,15,18,21,24,27,30)*(1-EXP(-(0.2*B3552)*5)),0)+IF(AND(ArtifactsInput!$M$22,Inputs!$B$4&lt;&gt;"Chapter Hunt"),CHOOSE(ArtifactsInput!$N$22+1,10,12,14,16,18,20)*((0*(((0.15*B3552*5))^0/1)+1*(((0.15*B3552*5))^1/1)+2*(((0.15*B3552*5))^2/2)+3*(((0.15*B3552*5))^3/6)+4*(((0.15*B3552*5))^4/24)+5*(((0.15*B3552*5))^5/120))/((((0.15*B3552*5))^0/1)+(((0.15*B3552*5))^1/1)+(((0.15*B3552*5))^2/2)+(((0.15*B3552*5))^3/6)+(((0.15*B3552*5))^4/24)+(((0.15*B3552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3519*(1-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3519*(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3519*(1-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3519*(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519">
        <f>INDEX(FactorTable!$B$2:$Y$301, MATCH(ROUND(MIN(300,MAX(1,U3518)),0), FactorTable!$A$2:$A$301,0), 24)</f>
        <v/>
      </c>
      <c r="V3519">
        <f>IF(C3519,(H3519*N3519*IF(AND(Inputs!$B$39&lt;&gt;"pvp",Inputs!$B$44&gt;0),((Skills!G3*((R3519-1)*IF(Skills!H3&gt;0,Skills!I3/Skills!H3,1)+IF(Skills!H3&gt;0,MIN(Skills!I3,MAX(0,MAX(0,Inputs!$B$44-B3561)-((R3519-1)*IF(Inputs!$B$39="pvp",15,MAX(0.1,Skills!D3-IF(Skills!E3=TRUE,4.0,0))))))/Skills!H3,1)))/Inputs!$B$44),G3519*Q3519))*IF(Inputs!$B$39="pvp",1,(1+(Inputs!$B$21+Skills!Q3+B3557+(IF(ArtifactsInput!$M$33,CHOOSE(ArtifactsInput!$N$33+1,30,36,42,48,54,60),0))+(IF(AND(ArtifactsInput!$M$35,Inputs!$B$4&lt;&gt;"Chapter Hunt"),CHOOSE(ArtifactsInput!$N$35+1,15,18,21,24,27,30)*(1-EXP(-(0.2*B3552)*5)),0)+IF(AND(ArtifactsInput!$M$22,Inputs!$B$4&lt;&gt;"Chapter Hunt"),CHOOSE(ArtifactsInput!$N$22+1,10,12,14,16,18,20)*((0*(((0.15*B3552*5))^0/1)+1*(((0.15*B3552*5))^1/1)+2*(((0.15*B3552*5))^2/2)+3*(((0.15*B3552*5))^3/6)+4*(((0.15*B3552*5))^4/24)+5*(((0.15*B3552*5))^5/120))/((((0.15*B3552*5))^0/1)+(((0.15*B3552*5))^1/1)+(((0.15*B3552*5))^2/2)+(((0.15*B3552*5))^3/6)+(((0.15*B3552*5))^4/24)+(((0.15*B3552*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20">
      <c r="A3520">
        <f>Skills!A4</f>
        <v/>
      </c>
      <c r="B3520">
        <f>Skills!B4</f>
        <v/>
      </c>
      <c r="C3520">
        <f>Inputs!$B$3&gt;=40</f>
        <v/>
      </c>
      <c r="D3520">
        <f>IF(Skills!C4=1,60+Inputs!$B$25+Inputs!$B$29,IF(Skills!C4=2,90+Inputs!$B$26+Inputs!$B$29,IF(Skills!C4=3,120+Inputs!$B$27+Inputs!$B$29,MAX(0,(Inputs!$B$3-100)*3)+Inputs!$B$28+Inputs!$B$29)))</f>
        <v/>
      </c>
      <c r="E3520">
        <f>INDEX(FactorTable!$B$2:$Y$301, MATCH(ROUND(MIN(300,MAX(1,D3520)),0), FactorTable!$A$2:$A$301,0), Skills!M4+1)</f>
        <v/>
      </c>
      <c r="F3520">
        <f>IF(Skills!N4=TRUE,(Skills!L4/10)*(E3520/1000),Skills!L4/10)+Skills!O4</f>
        <v/>
      </c>
      <c r="G3520">
        <f>Calc!G4</f>
        <v/>
      </c>
      <c r="H3520">
        <f>Calc!H4</f>
        <v/>
      </c>
      <c r="I3520">
        <f>IF(Skills!AA4&lt;&gt;"",1+(Skills!AA4/10)*(U3519/1000)/100,1)</f>
        <v/>
      </c>
      <c r="J3520">
        <f>((Inputs!$B$6*(1+Inputs!$B$7/100))+(((Inputs!$B$12*(1+Inputs!$B$13/100))-(Inputs!$B$12*(1+Inputs!$B$13/100)))+0.25*(Inputs!$B$14-Inputs!$B$14))*(1+Inputs!$B$7/100))*(F3520/100)</f>
        <v/>
      </c>
      <c r="K3520">
        <f>J3520*(1+((Inputs!$B$12*(1+Inputs!$B$13/100))*0.01+Inputs!$B$14*0.0025)/100)*(1+Inputs!$B$15/100)*(1+Inputs!$B$16/100)*(5000/(6000+Inputs!$B$43*(1-(100*(1-(1-(Inputs!$B$19+0)/100)*(1-CHOOSE(ArtifactsInput!$N$40+1,5,6,7,8,9,10)/100)^(ArtifactsInput!$M$40-ArtifactsInput!$M$40)))/100)))*(1+(Inputs!$B$24+((C3546=TRUE)*(F3546-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3539=TRUE)*(F3539-Calc!F23))+(((IF(AND(ArtifactsInput!$M$42,((Inputs!$B$9+((C3541=TRUE)*(F3541-Calc!F25))+B3556+(ArtifactsInput!$M$24-ArtifactsInput!$M$24)*CHOOSE(ArtifactsInput!$N$24+1,10,12,14,16,18,20)+IF(ArtifactsInput!$M$10,CHOOSE(ArtifactsInput!$N$10+1,15,18,21,24,27,30)*(IF(Inputs!$B$39="pvp",MIN(15,15)/15,IF(AND(Inputs!$B$39&lt;&gt;"pvp",Inputs!$B$44&gt;0),MIN(15,Inputs!$B$44)/(Inputs!$B$44),0))),0)))&gt;=100),MIN(100,((Inputs!$B$9+((C3541=TRUE)*(F3541-Calc!F25))+B3556+(ArtifactsInput!$M$24-ArtifactsInput!$M$24)*CHOOSE(ArtifactsInput!$N$24+1,10,12,14,16,18,20)+IF(ArtifactsInput!$M$10,CHOOSE(ArtifactsInput!$N$10+1,15,18,21,24,27,30)*(IF(Inputs!$B$39="pvp",MIN(15,15)/15,IF(AND(Inputs!$B$39&lt;&gt;"pvp",Inputs!$B$44&gt;0),MIN(15,Inputs!$B$44)/(Inputs!$B$44),0))),0)))-100),0))*CHOOSE(ArtifactsInput!$N$42+1,0.6,0.72,0.84,0.96,1.08,1.2))),Inputs!$B$18+((C3545=TRUE)*(F3545-Calc!F29))+(IF(AND(ArtifactsInput!$M$42,((Inputs!$B$9+((C3541=TRUE)*(F3541-Calc!F25))+B3556+(ArtifactsInput!$M$24-ArtifactsInput!$M$24)*CHOOSE(ArtifactsInput!$N$24+1,10,12,14,16,18,20)+IF(ArtifactsInput!$M$10,CHOOSE(ArtifactsInput!$N$10+1,15,18,21,24,27,30)*(IF(Inputs!$B$39="pvp",MIN(15,15)/15,IF(AND(Inputs!$B$39&lt;&gt;"pvp",Inputs!$B$44&gt;0),MIN(15,Inputs!$B$44)/(Inputs!$B$44),0))),0)))&gt;=100),CHOOSE(ArtifactsInput!$N$42+1,40,48,56,64,72,80),0))))/100)*(((1+(((C3537=TRUE)*F3537*IF(AND(Inputs!$B$39&lt;&gt;"pvp",Inputs!$B$44&gt;0),(((R3537-1)*(Skills!Y21*(1+Inputs!$B$34/100))+MIN((Skills!Y21*(1+Inputs!$B$34/100)),MAX(0,Inputs!$B$44-((R3537-1)*Skills!D21))))/Inputs!$B$44),IF(Inputs!$B$39="pvp",MIN((Skills!Y21*(1+Inputs!$B$34/100)),15)/15,(Skills!Y21*(1+Inputs!$B$34/100))/Skills!D21)))+((C3544=TRUE)*(F3544-Calc!F28))+((C3534=TRUE)*(F3534-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3531=TRUE)*F3531*IF(AND(Inputs!$B$39&lt;&gt;"pvp",Inputs!$B$44&gt;0),(((R3531-1)*(Skills!Y15*(1+Inputs!$B$34/100))+MIN((Skills!Y15*(1+Inputs!$B$34/100)),MAX(0,Inputs!$B$44-((R3531-1)*Skills!D15))))/Inputs!$B$44),IF(Inputs!$B$39="pvp",MIN((Skills!Y15*(1+Inputs!$B$34/100)),15)/15,(Skills!Y15*(1+Inputs!$B$34/100))/Skills!D15)))/100)*(1+((C3522=TRUE)*F3522*B3550)/100))*B3558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3520)</f>
        <v/>
      </c>
      <c r="L3520">
        <f>K3520*(MIN(Inputs!$B$22+((C3540=TRUE)*(F3540-Calc!F24)),(Inputs!$B$23+0+(IF(ArtifactsInput!$M$15,CHOOSE(ArtifactsInput!$N$15+1,25,30,35,40,45,50)/100*(Inputs!$B$11-Inputs!$B$11),0))))/100+(Inputs!$B$23+0+(IF(ArtifactsInput!$M$15,CHOOSE(ArtifactsInput!$N$15+1,25,30,35,40,45,50)/100*(Inputs!$B$11-Inputs!$B$11),0)))/100)/2</f>
        <v/>
      </c>
      <c r="M3520">
        <f>L3520*(1+(Inputs!$B$10+((C3542=TRUE)*(F3542-Calc!F26))+B3559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20">
        <f>L3520*(1-MIN((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3520*(MIN((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20">
        <f>(1-Summary!$B$11)*T3520+Summary!$B$11*V3520</f>
        <v/>
      </c>
      <c r="P3520">
        <f>IF(B3560=0,0,O3520/B3560)</f>
        <v/>
      </c>
      <c r="Q3520">
        <f>IFERROR(1/IF(Inputs!$B$39="pvp",15,MAX(0.1,Skills!D4-IF(Skills!E4=TRUE,4.0,0))),0)</f>
        <v/>
      </c>
      <c r="R3520">
        <f>IF(AND(Inputs!$B$39&lt;&gt;"pvp",Inputs!$B$44&gt;0),IF(MAX(0,Inputs!$B$44-B3561)&lt;=0,0,(INT(MAX(0,Inputs!$B$44-B3561)/IF(Inputs!$B$39="pvp",15,MAX(0.1,Skills!D4-IF(Skills!E4=TRUE,4.0,0))))+1)),0)</f>
        <v/>
      </c>
      <c r="S3520">
        <f>IFERROR(O3520/N3520,0)</f>
        <v/>
      </c>
      <c r="T3520">
        <f>IF(C3520,(H3520*N3520*IF(AND(Inputs!$B$39&lt;&gt;"pvp",Inputs!$B$44&gt;0),((Skills!G4*((R3520-1)*IF(Skills!H4&gt;0,Skills!I4/Skills!H4,1)+IF(Skills!H4&gt;0,MIN(Skills!I4,MAX(0,MAX(0,Inputs!$B$44-B3561)-((R3520-1)*IF(Inputs!$B$39="pvp",15,MAX(0.1,Skills!D4-IF(Skills!E4=TRUE,4.0,0))))))/Skills!H4,1)))/Inputs!$B$44),G3520*Q3520))*IF(Inputs!$B$39="pvp",1,1+(Inputs!$B$20+((C3543=TRUE)*(F3543-Calc!F27))+Skills!P4+B3557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Hunt"),CHOOSE(ArtifactsInput!$N$35+1,15,18,21,24,27,30)*(1-EXP(-(0.2*B3552)*5)),0)+IF(AND(ArtifactsInput!$M$22,Inputs!$B$4&lt;&gt;"Chapter Hunt"),CHOOSE(ArtifactsInput!$N$22+1,10,12,14,16,18,20)*((0*(((0.15*B3552*5))^0/1)+1*(((0.15*B3552*5))^1/1)+2*(((0.15*B3552*5))^2/2)+3*(((0.15*B3552*5))^3/6)+4*(((0.15*B3552*5))^4/24)+5*(((0.15*B3552*5))^5/120))/((((0.15*B3552*5))^0/1)+(((0.15*B3552*5))^1/1)+(((0.15*B3552*5))^2/2)+(((0.15*B3552*5))^3/6)+(((0.15*B3552*5))^4/24)+(((0.15*B3552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3520*(1-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3520*(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3520*(1-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3520*(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520">
        <f>MAX(0,(Inputs!$B$3-100)*3)+Inputs!$B$28+Inputs!$B$29</f>
        <v/>
      </c>
      <c r="V3520">
        <f>IF(C3520,(H3520*N3520*IF(AND(Inputs!$B$39&lt;&gt;"pvp",Inputs!$B$44&gt;0),((Skills!G4*((R3520-1)*IF(Skills!H4&gt;0,Skills!I4/Skills!H4,1)+IF(Skills!H4&gt;0,MIN(Skills!I4,MAX(0,MAX(0,Inputs!$B$44-B3561)-((R3520-1)*IF(Inputs!$B$39="pvp",15,MAX(0.1,Skills!D4-IF(Skills!E4=TRUE,4.0,0))))))/Skills!H4,1)))/Inputs!$B$44),G3520*Q3520))*IF(Inputs!$B$39="pvp",1,(1+(Inputs!$B$21+Skills!Q4+B3557+(IF(ArtifactsInput!$M$33,CHOOSE(ArtifactsInput!$N$33+1,30,36,42,48,54,60),0))+(IF(AND(ArtifactsInput!$M$35,Inputs!$B$4&lt;&gt;"Chapter Hunt"),CHOOSE(ArtifactsInput!$N$35+1,15,18,21,24,27,30)*(1-EXP(-(0.2*B3552)*5)),0)+IF(AND(ArtifactsInput!$M$22,Inputs!$B$4&lt;&gt;"Chapter Hunt"),CHOOSE(ArtifactsInput!$N$22+1,10,12,14,16,18,20)*((0*(((0.15*B3552*5))^0/1)+1*(((0.15*B3552*5))^1/1)+2*(((0.15*B3552*5))^2/2)+3*(((0.15*B3552*5))^3/6)+4*(((0.15*B3552*5))^4/24)+5*(((0.15*B3552*5))^5/120))/((((0.15*B3552*5))^0/1)+(((0.15*B3552*5))^1/1)+(((0.15*B3552*5))^2/2)+(((0.15*B3552*5))^3/6)+(((0.15*B3552*5))^4/24)+(((0.15*B3552*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21">
      <c r="A3521">
        <f>Skills!A5</f>
        <v/>
      </c>
      <c r="B3521">
        <f>Skills!B5</f>
        <v/>
      </c>
      <c r="C3521">
        <f>Inputs!$B$3&gt;=63</f>
        <v/>
      </c>
      <c r="D3521">
        <f>IF(Skills!C5=1,60+Inputs!$B$25+Inputs!$B$29,IF(Skills!C5=2,90+Inputs!$B$26+Inputs!$B$29,IF(Skills!C5=3,120+Inputs!$B$27+Inputs!$B$29,MAX(0,(Inputs!$B$3-100)*3)+Inputs!$B$28+Inputs!$B$29)))</f>
        <v/>
      </c>
      <c r="E3521">
        <f>INDEX(FactorTable!$B$2:$Y$301, MATCH(ROUND(MIN(300,MAX(1,D3521)),0), FactorTable!$A$2:$A$301,0), Skills!M5+1)</f>
        <v/>
      </c>
      <c r="F3521">
        <f>IF(Skills!N5=TRUE,(Skills!L5/10)*(E3521/1000),Skills!L5/10)+Skills!O5</f>
        <v/>
      </c>
      <c r="G3521">
        <f>Calc!G5</f>
        <v/>
      </c>
      <c r="H3521">
        <f>Calc!H5</f>
        <v/>
      </c>
      <c r="I3521">
        <f>IF(Skills!AA5&lt;&gt;"",1+(Skills!AA5/10)*(U3519/1000)/100,1)</f>
        <v/>
      </c>
      <c r="J3521">
        <f>((Inputs!$B$6*(1+Inputs!$B$7/100))+(((Inputs!$B$12*(1+Inputs!$B$13/100))-(Inputs!$B$12*(1+Inputs!$B$13/100)))+0.25*(Inputs!$B$14-Inputs!$B$14))*(1+Inputs!$B$7/100))*(F3521/100)</f>
        <v/>
      </c>
      <c r="K3521">
        <f>J3521*(1+((Inputs!$B$12*(1+Inputs!$B$13/100))*0.01+Inputs!$B$14*0.0025)/100)*(1+Inputs!$B$15/100)*(1+Inputs!$B$16/100)*(5000/(6000+Inputs!$B$43*(1-(100*(1-(1-(Inputs!$B$19+0)/100)*(1-CHOOSE(ArtifactsInput!$N$40+1,5,6,7,8,9,10)/100)^(ArtifactsInput!$M$40-ArtifactsInput!$M$40)))/100)))*(1+(Inputs!$B$24+((C3546=TRUE)*(F3546-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3539=TRUE)*(F3539-Calc!F23))+(((IF(AND(ArtifactsInput!$M$42,((Inputs!$B$9+((C3541=TRUE)*(F3541-Calc!F25))+B3556+(ArtifactsInput!$M$24-ArtifactsInput!$M$24)*CHOOSE(ArtifactsInput!$N$24+1,10,12,14,16,18,20)+IF(ArtifactsInput!$M$10,CHOOSE(ArtifactsInput!$N$10+1,15,18,21,24,27,30)*(IF(Inputs!$B$39="pvp",MIN(15,15)/15,IF(AND(Inputs!$B$39&lt;&gt;"pvp",Inputs!$B$44&gt;0),MIN(15,Inputs!$B$44)/(Inputs!$B$44),0))),0)))&gt;=100),MIN(100,((Inputs!$B$9+((C3541=TRUE)*(F3541-Calc!F25))+B3556+(ArtifactsInput!$M$24-ArtifactsInput!$M$24)*CHOOSE(ArtifactsInput!$N$24+1,10,12,14,16,18,20)+IF(ArtifactsInput!$M$10,CHOOSE(ArtifactsInput!$N$10+1,15,18,21,24,27,30)*(IF(Inputs!$B$39="pvp",MIN(15,15)/15,IF(AND(Inputs!$B$39&lt;&gt;"pvp",Inputs!$B$44&gt;0),MIN(15,Inputs!$B$44)/(Inputs!$B$44),0))),0)))-100),0))*CHOOSE(ArtifactsInput!$N$42+1,0.6,0.72,0.84,0.96,1.08,1.2))),Inputs!$B$18+((C3545=TRUE)*(F3545-Calc!F29))+(IF(AND(ArtifactsInput!$M$42,((Inputs!$B$9+((C3541=TRUE)*(F3541-Calc!F25))+B3556+(ArtifactsInput!$M$24-ArtifactsInput!$M$24)*CHOOSE(ArtifactsInput!$N$24+1,10,12,14,16,18,20)+IF(ArtifactsInput!$M$10,CHOOSE(ArtifactsInput!$N$10+1,15,18,21,24,27,30)*(IF(Inputs!$B$39="pvp",MIN(15,15)/15,IF(AND(Inputs!$B$39&lt;&gt;"pvp",Inputs!$B$44&gt;0),MIN(15,Inputs!$B$44)/(Inputs!$B$44),0))),0)))&gt;=100),CHOOSE(ArtifactsInput!$N$42+1,40,48,56,64,72,80),0))))/100)*(((1+(((C3537=TRUE)*F3537*IF(AND(Inputs!$B$39&lt;&gt;"pvp",Inputs!$B$44&gt;0),(((R3537-1)*(Skills!Y21*(1+Inputs!$B$34/100))+MIN((Skills!Y21*(1+Inputs!$B$34/100)),MAX(0,Inputs!$B$44-((R3537-1)*Skills!D21))))/Inputs!$B$44),IF(Inputs!$B$39="pvp",MIN((Skills!Y21*(1+Inputs!$B$34/100)),15)/15,(Skills!Y21*(1+Inputs!$B$34/100))/Skills!D21)))+((C3544=TRUE)*(F3544-Calc!F28))+((C3534=TRUE)*(F3534-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3531=TRUE)*F3531*IF(AND(Inputs!$B$39&lt;&gt;"pvp",Inputs!$B$44&gt;0),(((R3531-1)*(Skills!Y15*(1+Inputs!$B$34/100))+MIN((Skills!Y15*(1+Inputs!$B$34/100)),MAX(0,Inputs!$B$44-((R3531-1)*Skills!D15))))/Inputs!$B$44),IF(Inputs!$B$39="pvp",MIN((Skills!Y15*(1+Inputs!$B$34/100)),15)/15,(Skills!Y15*(1+Inputs!$B$34/100))/Skills!D15)))/100)*(1+((C3522=TRUE)*F3522*B3550)/100))*B3558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3521)</f>
        <v/>
      </c>
      <c r="L3521">
        <f>K3521*(MIN(Inputs!$B$22+((C3540=TRUE)*(F3540-Calc!F24)),(Inputs!$B$23+0+(IF(ArtifactsInput!$M$15,CHOOSE(ArtifactsInput!$N$15+1,25,30,35,40,45,50)/100*(Inputs!$B$11-Inputs!$B$11),0))))/100+(Inputs!$B$23+0+(IF(ArtifactsInput!$M$15,CHOOSE(ArtifactsInput!$N$15+1,25,30,35,40,45,50)/100*(Inputs!$B$11-Inputs!$B$11),0)))/100)/2</f>
        <v/>
      </c>
      <c r="M3521">
        <f>L3521*(1+(Inputs!$B$10+((C3542=TRUE)*(F3542-Calc!F26))+B3559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21">
        <f>L3521*(1-MIN((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3521*(MIN((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21">
        <f>(1-Summary!$B$11)*T3521+Summary!$B$11*V3521</f>
        <v/>
      </c>
      <c r="P3521">
        <f>IF(B3560=0,0,O3521/B3560)</f>
        <v/>
      </c>
      <c r="Q3521">
        <f>IFERROR(1/IF(Inputs!$B$39="pvp",15,MAX(0.1,Skills!D5-IF(Skills!E5=TRUE,4.0,0))),0)</f>
        <v/>
      </c>
      <c r="R3521">
        <f>IF(AND(Inputs!$B$39&lt;&gt;"pvp",Inputs!$B$44&gt;0),IF(MAX(0,Inputs!$B$44-B3561)&lt;=0,0,(INT(MAX(0,Inputs!$B$44-B3561)/IF(Inputs!$B$39="pvp",15,MAX(0.1,Skills!D5-IF(Skills!E5=TRUE,4.0,0))))+1)),0)</f>
        <v/>
      </c>
      <c r="S3521">
        <f>IFERROR(O3521/N3521,0)</f>
        <v/>
      </c>
      <c r="T3521">
        <f>IF(C3521,(H3521*N3521*IF(AND(Inputs!$B$39&lt;&gt;"pvp",Inputs!$B$44&gt;0),((Skills!G5*((R3521-1)*IF(Skills!H5&gt;0,Skills!I5/Skills!H5,1)+IF(Skills!H5&gt;0,MIN(Skills!I5,MAX(0,MAX(0,Inputs!$B$44-B3561)-((R3521-1)*IF(Inputs!$B$39="pvp",15,MAX(0.1,Skills!D5-IF(Skills!E5=TRUE,4.0,0))))))/Skills!H5,1)))/Inputs!$B$44),G3521*Q3521))*IF(Inputs!$B$39="pvp",1,1+(Inputs!$B$20+((C3543=TRUE)*(F3543-Calc!F27))+Skills!P5+B3557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Hunt"),CHOOSE(ArtifactsInput!$N$35+1,15,18,21,24,27,30)*(1-EXP(-(0.2*B3552)*5)),0)+IF(AND(ArtifactsInput!$M$22,Inputs!$B$4&lt;&gt;"Chapter Hunt"),CHOOSE(ArtifactsInput!$N$22+1,10,12,14,16,18,20)*((0*(((0.15*B3552*5))^0/1)+1*(((0.15*B3552*5))^1/1)+2*(((0.15*B3552*5))^2/2)+3*(((0.15*B3552*5))^3/6)+4*(((0.15*B3552*5))^4/24)+5*(((0.15*B3552*5))^5/120))/((((0.15*B3552*5))^0/1)+(((0.15*B3552*5))^1/1)+(((0.15*B3552*5))^2/2)+(((0.15*B3552*5))^3/6)+(((0.15*B3552*5))^4/24)+(((0.15*B3552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3521*(1-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3521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3521*(1-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3521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521">
        <f>INDEX(FactorTable!$B$2:$Y$301, MATCH(ROUND(MIN(300,MAX(1,U3520)),0), FactorTable!$A$2:$A$301,0), 22)</f>
        <v/>
      </c>
      <c r="V3521">
        <f>IF(C3521,(H3521*N3521*IF(AND(Inputs!$B$39&lt;&gt;"pvp",Inputs!$B$44&gt;0),((Skills!G5*((R3521-1)*IF(Skills!H5&gt;0,Skills!I5/Skills!H5,1)+IF(Skills!H5&gt;0,MIN(Skills!I5,MAX(0,MAX(0,Inputs!$B$44-B3561)-((R3521-1)*IF(Inputs!$B$39="pvp",15,MAX(0.1,Skills!D5-IF(Skills!E5=TRUE,4.0,0))))))/Skills!H5,1)))/Inputs!$B$44),G3521*Q3521))*IF(Inputs!$B$39="pvp",1,(1+(Inputs!$B$21+Skills!Q5+B3557+(IF(ArtifactsInput!$M$33,CHOOSE(ArtifactsInput!$N$33+1,30,36,42,48,54,60),0))+(IF(AND(ArtifactsInput!$M$35,Inputs!$B$4&lt;&gt;"Chapter Hunt"),CHOOSE(ArtifactsInput!$N$35+1,15,18,21,24,27,30)*(1-EXP(-(0.2*B3552)*5)),0)+IF(AND(ArtifactsInput!$M$22,Inputs!$B$4&lt;&gt;"Chapter Hunt"),CHOOSE(ArtifactsInput!$N$22+1,10,12,14,16,18,20)*((0*(((0.15*B3552*5))^0/1)+1*(((0.15*B3552*5))^1/1)+2*(((0.15*B3552*5))^2/2)+3*(((0.15*B3552*5))^3/6)+4*(((0.15*B3552*5))^4/24)+5*(((0.15*B3552*5))^5/120))/((((0.15*B3552*5))^0/1)+(((0.15*B3552*5))^1/1)+(((0.15*B3552*5))^2/2)+(((0.15*B3552*5))^3/6)+(((0.15*B3552*5))^4/24)+(((0.15*B3552*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22">
      <c r="A3522">
        <f>Skills!A6</f>
        <v/>
      </c>
      <c r="B3522">
        <f>Skills!B6</f>
        <v/>
      </c>
      <c r="C3522">
        <f>Inputs!$B$3&gt;=66</f>
        <v/>
      </c>
      <c r="D3522">
        <f>IF(Skills!C6=1,60+Inputs!$B$25+Inputs!$B$29,IF(Skills!C6=2,90+Inputs!$B$26+Inputs!$B$29,IF(Skills!C6=3,120+Inputs!$B$27+Inputs!$B$29,MAX(0,(Inputs!$B$3-100)*3)+Inputs!$B$28+Inputs!$B$29)))</f>
        <v/>
      </c>
      <c r="E3522">
        <f>INDEX(FactorTable!$B$2:$Y$301, MATCH(ROUND(MIN(300,MAX(1,D3522)),0), FactorTable!$A$2:$A$301,0), Skills!M6+1)</f>
        <v/>
      </c>
      <c r="F3522">
        <f>IF(Skills!N6=TRUE,(Skills!L6/10)*(E3522/1000),Skills!L6/10)+Skills!O6</f>
        <v/>
      </c>
      <c r="G3522">
        <f>Calc!G6</f>
        <v/>
      </c>
      <c r="H3522">
        <f>Calc!H6</f>
        <v/>
      </c>
      <c r="I3522">
        <f>IF(Skills!AA6&lt;&gt;"",1+(Skills!AA6/10)*(U3519/1000)/100,1)</f>
        <v/>
      </c>
      <c r="J3522" t="inlineStr"/>
      <c r="K3522" t="inlineStr"/>
      <c r="L3522" t="inlineStr"/>
      <c r="M3522" t="inlineStr"/>
      <c r="N3522" t="inlineStr"/>
      <c r="O3522">
        <f>(1-Summary!$B$11)*T3522+Summary!$B$11*V3522</f>
        <v/>
      </c>
      <c r="P3522">
        <f>IF(B3560=0,0,O3522/B3560)</f>
        <v/>
      </c>
      <c r="Q3522" t="n">
        <v>0</v>
      </c>
      <c r="R3522" t="n">
        <v>0</v>
      </c>
      <c r="S3522">
        <f>IFERROR(O3522/N3522,0)</f>
        <v/>
      </c>
      <c r="T3522" t="n">
        <v>0</v>
      </c>
      <c r="U3522">
        <f>290*U3521/1000</f>
        <v/>
      </c>
      <c r="V3522" t="n">
        <v>0</v>
      </c>
    </row>
    <row r="3523">
      <c r="A3523">
        <f>Skills!A7</f>
        <v/>
      </c>
      <c r="B3523">
        <f>Skills!B7</f>
        <v/>
      </c>
      <c r="C3523">
        <f>Inputs!$B$3&gt;=66</f>
        <v/>
      </c>
      <c r="D3523">
        <f>IF(Skills!C7=1,60+Inputs!$B$25+Inputs!$B$29,IF(Skills!C7=2,90+Inputs!$B$26+Inputs!$B$29,IF(Skills!C7=3,120+Inputs!$B$27+Inputs!$B$29,MAX(0,(Inputs!$B$3-100)*3)+Inputs!$B$28+Inputs!$B$29)))</f>
        <v/>
      </c>
      <c r="E3523">
        <f>INDEX(FactorTable!$B$2:$Y$301, MATCH(ROUND(MIN(300,MAX(1,D3523)),0), FactorTable!$A$2:$A$301,0), Skills!M7+1)</f>
        <v/>
      </c>
      <c r="F3523">
        <f>IF(Skills!N7=TRUE,(Skills!L7/10)*(E3523/1000),Skills!L7/10)+Skills!O7</f>
        <v/>
      </c>
      <c r="G3523">
        <f>Calc!G7</f>
        <v/>
      </c>
      <c r="H3523">
        <f>Calc!H7</f>
        <v/>
      </c>
      <c r="I3523">
        <f>IF(Skills!AA7&lt;&gt;"",1+(Skills!AA7/10)*(U3519/1000)/100,1)</f>
        <v/>
      </c>
      <c r="J3523" t="inlineStr"/>
      <c r="K3523" t="inlineStr"/>
      <c r="L3523" t="inlineStr"/>
      <c r="M3523" t="inlineStr"/>
      <c r="N3523" t="inlineStr"/>
      <c r="O3523">
        <f>(1-Summary!$B$11)*T3523+Summary!$B$11*V3523</f>
        <v/>
      </c>
      <c r="P3523">
        <f>IF(B3560=0,0,O3523/B3560)</f>
        <v/>
      </c>
      <c r="Q3523" t="n">
        <v>0</v>
      </c>
      <c r="R3523" t="n">
        <v>0</v>
      </c>
      <c r="S3523">
        <f>IFERROR(O3523/N3523,0)</f>
        <v/>
      </c>
      <c r="T3523" t="n">
        <v>0</v>
      </c>
      <c r="V3523" t="n">
        <v>0</v>
      </c>
    </row>
    <row r="3524">
      <c r="A3524">
        <f>Skills!A8</f>
        <v/>
      </c>
      <c r="B3524">
        <f>Skills!B8</f>
        <v/>
      </c>
      <c r="C3524">
        <f>Inputs!$B$3&gt;=69</f>
        <v/>
      </c>
      <c r="D3524">
        <f>IF(Skills!C8=1,60+Inputs!$B$25+Inputs!$B$29,IF(Skills!C8=2,90+Inputs!$B$26+Inputs!$B$29,IF(Skills!C8=3,120+Inputs!$B$27+Inputs!$B$29,MAX(0,(Inputs!$B$3-100)*3)+Inputs!$B$28+Inputs!$B$29)))</f>
        <v/>
      </c>
      <c r="E3524">
        <f>INDEX(FactorTable!$B$2:$Y$301, MATCH(ROUND(MIN(300,MAX(1,D3524)),0), FactorTable!$A$2:$A$301,0), Skills!M8+1)</f>
        <v/>
      </c>
      <c r="F3524">
        <f>IF(Skills!N8=TRUE,(Skills!L8/10)*(E3524/1000),Skills!L8/10)+Skills!O8</f>
        <v/>
      </c>
      <c r="G3524">
        <f>Calc!G8</f>
        <v/>
      </c>
      <c r="H3524">
        <f>Calc!H8</f>
        <v/>
      </c>
      <c r="I3524">
        <f>IF(Skills!AA8&lt;&gt;"",1+(Skills!AA8/10)*(U3519/1000)/100,1)</f>
        <v/>
      </c>
      <c r="J3524">
        <f>((Inputs!$B$6*(1+Inputs!$B$7/100))+(((Inputs!$B$12*(1+Inputs!$B$13/100))-(Inputs!$B$12*(1+Inputs!$B$13/100)))+0.25*(Inputs!$B$14-Inputs!$B$14))*(1+Inputs!$B$7/100))*(F3524/100)</f>
        <v/>
      </c>
      <c r="K3524">
        <f>J3524*(1+((Inputs!$B$12*(1+Inputs!$B$13/100))*0.01+Inputs!$B$14*0.0025)/100)*(1+Inputs!$B$15/100)*(1+Inputs!$B$16/100)*(5000/(6000+Inputs!$B$43*(1-(100*(1-(1-(Inputs!$B$19+0)/100)*(1-CHOOSE(ArtifactsInput!$N$40+1,5,6,7,8,9,10)/100)^(ArtifactsInput!$M$40-ArtifactsInput!$M$40)))/100)))*(1+(Inputs!$B$24+((C3546=TRUE)*(F3546-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3539=TRUE)*(F3539-Calc!F23))+(((IF(AND(ArtifactsInput!$M$42,((Inputs!$B$9+((C3541=TRUE)*(F3541-Calc!F25))+B3556+(ArtifactsInput!$M$24-ArtifactsInput!$M$24)*CHOOSE(ArtifactsInput!$N$24+1,10,12,14,16,18,20)+IF(ArtifactsInput!$M$10,CHOOSE(ArtifactsInput!$N$10+1,15,18,21,24,27,30)*(IF(Inputs!$B$39="pvp",MIN(15,15)/15,IF(AND(Inputs!$B$39&lt;&gt;"pvp",Inputs!$B$44&gt;0),MIN(15,Inputs!$B$44)/(Inputs!$B$44),0))),0)))&gt;=100),MIN(100,((Inputs!$B$9+((C3541=TRUE)*(F3541-Calc!F25))+B3556+(ArtifactsInput!$M$24-ArtifactsInput!$M$24)*CHOOSE(ArtifactsInput!$N$24+1,10,12,14,16,18,20)+IF(ArtifactsInput!$M$10,CHOOSE(ArtifactsInput!$N$10+1,15,18,21,24,27,30)*(IF(Inputs!$B$39="pvp",MIN(15,15)/15,IF(AND(Inputs!$B$39&lt;&gt;"pvp",Inputs!$B$44&gt;0),MIN(15,Inputs!$B$44)/(Inputs!$B$44),0))),0)))-100),0))*CHOOSE(ArtifactsInput!$N$42+1,0.6,0.72,0.84,0.96,1.08,1.2))),Inputs!$B$18+((C3545=TRUE)*(F3545-Calc!F29))+(IF(AND(ArtifactsInput!$M$42,((Inputs!$B$9+((C3541=TRUE)*(F3541-Calc!F25))+B3556+(ArtifactsInput!$M$24-ArtifactsInput!$M$24)*CHOOSE(ArtifactsInput!$N$24+1,10,12,14,16,18,20)+IF(ArtifactsInput!$M$10,CHOOSE(ArtifactsInput!$N$10+1,15,18,21,24,27,30)*(IF(Inputs!$B$39="pvp",MIN(15,15)/15,IF(AND(Inputs!$B$39&lt;&gt;"pvp",Inputs!$B$44&gt;0),MIN(15,Inputs!$B$44)/(Inputs!$B$44),0))),0)))&gt;=100),CHOOSE(ArtifactsInput!$N$42+1,40,48,56,64,72,80),0))))/100)*(((1+(((C3537=TRUE)*F3537*IF(AND(Inputs!$B$39&lt;&gt;"pvp",Inputs!$B$44&gt;0),(((R3537-1)*(Skills!Y21*(1+Inputs!$B$34/100))+MIN((Skills!Y21*(1+Inputs!$B$34/100)),MAX(0,Inputs!$B$44-((R3537-1)*Skills!D21))))/Inputs!$B$44),IF(Inputs!$B$39="pvp",MIN((Skills!Y21*(1+Inputs!$B$34/100)),15)/15,(Skills!Y21*(1+Inputs!$B$34/100))/Skills!D21)))+((C3544=TRUE)*(F3544-Calc!F28))+((C3534=TRUE)*(F3534-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3531=TRUE)*F3531*IF(AND(Inputs!$B$39&lt;&gt;"pvp",Inputs!$B$44&gt;0),(((R3531-1)*(Skills!Y15*(1+Inputs!$B$34/100))+MIN((Skills!Y15*(1+Inputs!$B$34/100)),MAX(0,Inputs!$B$44-((R3531-1)*Skills!D15))))/Inputs!$B$44),IF(Inputs!$B$39="pvp",MIN((Skills!Y15*(1+Inputs!$B$34/100)),15)/15,(Skills!Y15*(1+Inputs!$B$34/100))/Skills!D15)))/100)*(1+((C3522=TRUE)*F3522*B3550)/100))*B3558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3524)</f>
        <v/>
      </c>
      <c r="L3524">
        <f>K3524*(MIN(Inputs!$B$22+((C3540=TRUE)*(F3540-Calc!F24)),(Inputs!$B$23+0+(IF(ArtifactsInput!$M$15,CHOOSE(ArtifactsInput!$N$15+1,25,30,35,40,45,50)/100*(Inputs!$B$11-Inputs!$B$11),0))))/100+(Inputs!$B$23+0+(IF(ArtifactsInput!$M$15,CHOOSE(ArtifactsInput!$N$15+1,25,30,35,40,45,50)/100*(Inputs!$B$11-Inputs!$B$11),0)))/100)/2</f>
        <v/>
      </c>
      <c r="M3524">
        <f>L3524*(1+(Inputs!$B$10+((C3542=TRUE)*(F3542-Calc!F26))+B3559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24">
        <f>L3524*(1-MIN((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3524*(MIN((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24">
        <f>(1-Summary!$B$11)*T3524+Summary!$B$11*V3524</f>
        <v/>
      </c>
      <c r="P3524">
        <f>IF(B3560=0,0,O3524/B3560)</f>
        <v/>
      </c>
      <c r="Q3524">
        <f>IFERROR(1/IF(Inputs!$B$39="pvp",15,MAX(0.1,Skills!D8-IF(Skills!E8=TRUE,4.0,0))),0)</f>
        <v/>
      </c>
      <c r="R3524">
        <f>IF(AND(Inputs!$B$39&lt;&gt;"pvp",Inputs!$B$44&gt;0),IF(MAX(0,Inputs!$B$44-B3561)&lt;=0,0,(INT(MAX(0,Inputs!$B$44-B3561)/IF(Inputs!$B$39="pvp",15,MAX(0.1,Skills!D8-IF(Skills!E8=TRUE,4.0,0))))+1)),0)</f>
        <v/>
      </c>
      <c r="S3524">
        <f>IFERROR(O3524/N3524,0)</f>
        <v/>
      </c>
      <c r="T3524">
        <f>IF(C3524,(H3524*N3524*IF(AND(Inputs!$B$39&lt;&gt;"pvp",Inputs!$B$44&gt;0),((Skills!G8*((R3524-1)*IF(Skills!H8&gt;0,Skills!I8/Skills!H8,1)+IF(Skills!H8&gt;0,MIN(Skills!I8,MAX(0,MAX(0,Inputs!$B$44-B3561)-((R3524-1)*IF(Inputs!$B$39="pvp",15,MAX(0.1,Skills!D8-IF(Skills!E8=TRUE,4.0,0))))))/Skills!H8,1)))/Inputs!$B$44),G3524*Q3524))*IF(Inputs!$B$39="pvp",1,1+(Inputs!$B$20+((C3543=TRUE)*(F3543-Calc!F27))+Skills!P8+B3557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Hunt"),CHOOSE(ArtifactsInput!$N$35+1,15,18,21,24,27,30)*(1-EXP(-(0.2*B3552)*5)),0)+IF(AND(ArtifactsInput!$M$22,Inputs!$B$4&lt;&gt;"Chapter Hunt"),CHOOSE(ArtifactsInput!$N$22+1,10,12,14,16,18,20)*((0*(((0.15*B3552*5))^0/1)+1*(((0.15*B3552*5))^1/1)+2*(((0.15*B3552*5))^2/2)+3*(((0.15*B3552*5))^3/6)+4*(((0.15*B3552*5))^4/24)+5*(((0.15*B3552*5))^5/120))/((((0.15*B3552*5))^0/1)+(((0.15*B3552*5))^1/1)+(((0.15*B3552*5))^2/2)+(((0.15*B3552*5))^3/6)+(((0.15*B3552*5))^4/24)+(((0.15*B3552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3524*(1-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3524*(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3524*(1-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3524*(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24">
        <f>IF(C3524,(H3524*N3524*IF(AND(Inputs!$B$39&lt;&gt;"pvp",Inputs!$B$44&gt;0),((Skills!G8*((R3524-1)*IF(Skills!H8&gt;0,Skills!I8/Skills!H8,1)+IF(Skills!H8&gt;0,MIN(Skills!I8,MAX(0,MAX(0,Inputs!$B$44-B3561)-((R3524-1)*IF(Inputs!$B$39="pvp",15,MAX(0.1,Skills!D8-IF(Skills!E8=TRUE,4.0,0))))))/Skills!H8,1)))/Inputs!$B$44),G3524*Q3524))*IF(Inputs!$B$39="pvp",1,(1+(Inputs!$B$21+Skills!Q8+B3557+(IF(ArtifactsInput!$M$33,CHOOSE(ArtifactsInput!$N$33+1,30,36,42,48,54,60),0))+(IF(AND(ArtifactsInput!$M$35,Inputs!$B$4&lt;&gt;"Chapter Hunt"),CHOOSE(ArtifactsInput!$N$35+1,15,18,21,24,27,30)*(1-EXP(-(0.2*B3552)*5)),0)+IF(AND(ArtifactsInput!$M$22,Inputs!$B$4&lt;&gt;"Chapter Hunt"),CHOOSE(ArtifactsInput!$N$22+1,10,12,14,16,18,20)*((0*(((0.15*B3552*5))^0/1)+1*(((0.15*B3552*5))^1/1)+2*(((0.15*B3552*5))^2/2)+3*(((0.15*B3552*5))^3/6)+4*(((0.15*B3552*5))^4/24)+5*(((0.15*B3552*5))^5/120))/((((0.15*B3552*5))^0/1)+(((0.15*B3552*5))^1/1)+(((0.15*B3552*5))^2/2)+(((0.15*B3552*5))^3/6)+(((0.15*B3552*5))^4/24)+(((0.15*B3552*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25">
      <c r="A3525">
        <f>Skills!A9</f>
        <v/>
      </c>
      <c r="B3525">
        <f>Skills!B9</f>
        <v/>
      </c>
      <c r="C3525">
        <f>Inputs!$B$3&gt;=72</f>
        <v/>
      </c>
      <c r="D3525">
        <f>IF(Skills!C9=1,60+Inputs!$B$25+Inputs!$B$29,IF(Skills!C9=2,90+Inputs!$B$26+Inputs!$B$29,IF(Skills!C9=3,120+Inputs!$B$27+Inputs!$B$29,MAX(0,(Inputs!$B$3-100)*3)+Inputs!$B$28+Inputs!$B$29)))</f>
        <v/>
      </c>
      <c r="E3525">
        <f>INDEX(FactorTable!$B$2:$Y$301, MATCH(ROUND(MIN(300,MAX(1,D3525)),0), FactorTable!$A$2:$A$301,0), Skills!M9+1)</f>
        <v/>
      </c>
      <c r="F3525">
        <f>IF(Skills!N9=TRUE,(Skills!L9/10)*(E3525/1000),Skills!L9/10)+Skills!O9</f>
        <v/>
      </c>
      <c r="G3525">
        <f>Calc!G9</f>
        <v/>
      </c>
      <c r="H3525">
        <f>Calc!H9</f>
        <v/>
      </c>
      <c r="I3525">
        <f>IF(Skills!AA9&lt;&gt;"",1+(Skills!AA9/10)*(U3519/1000)/100,1)</f>
        <v/>
      </c>
      <c r="J3525">
        <f>((Inputs!$B$6*(1+Inputs!$B$7/100))+(((Inputs!$B$12*(1+Inputs!$B$13/100))-(Inputs!$B$12*(1+Inputs!$B$13/100)))+0.25*(Inputs!$B$14-Inputs!$B$14))*(1+Inputs!$B$7/100))*(F3525/100)</f>
        <v/>
      </c>
      <c r="K3525">
        <f>J3525*(1+((Inputs!$B$12*(1+Inputs!$B$13/100))*0.01+Inputs!$B$14*0.0025)/100)*(1+Inputs!$B$15/100)*(1+Inputs!$B$16/100)*(5000/(6000+Inputs!$B$43*(1-(100*(1-(1-(Inputs!$B$19+0)/100)*(1-CHOOSE(ArtifactsInput!$N$40+1,5,6,7,8,9,10)/100)^(ArtifactsInput!$M$40-ArtifactsInput!$M$40)))/100)))*(1+(Inputs!$B$24+((C3546=TRUE)*(F3546-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3539=TRUE)*(F3539-Calc!F23))+(((IF(AND(ArtifactsInput!$M$42,((Inputs!$B$9+((C3541=TRUE)*(F3541-Calc!F25))+B3556+(ArtifactsInput!$M$24-ArtifactsInput!$M$24)*CHOOSE(ArtifactsInput!$N$24+1,10,12,14,16,18,20)+IF(ArtifactsInput!$M$10,CHOOSE(ArtifactsInput!$N$10+1,15,18,21,24,27,30)*(IF(Inputs!$B$39="pvp",MIN(15,15)/15,IF(AND(Inputs!$B$39&lt;&gt;"pvp",Inputs!$B$44&gt;0),MIN(15,Inputs!$B$44)/(Inputs!$B$44),0))),0)))&gt;=100),MIN(100,((Inputs!$B$9+((C3541=TRUE)*(F3541-Calc!F25))+B3556+(ArtifactsInput!$M$24-ArtifactsInput!$M$24)*CHOOSE(ArtifactsInput!$N$24+1,10,12,14,16,18,20)+IF(ArtifactsInput!$M$10,CHOOSE(ArtifactsInput!$N$10+1,15,18,21,24,27,30)*(IF(Inputs!$B$39="pvp",MIN(15,15)/15,IF(AND(Inputs!$B$39&lt;&gt;"pvp",Inputs!$B$44&gt;0),MIN(15,Inputs!$B$44)/(Inputs!$B$44),0))),0)))-100),0))*CHOOSE(ArtifactsInput!$N$42+1,0.6,0.72,0.84,0.96,1.08,1.2))),Inputs!$B$18+((C3545=TRUE)*(F3545-Calc!F29))+(IF(AND(ArtifactsInput!$M$42,((Inputs!$B$9+((C3541=TRUE)*(F3541-Calc!F25))+B3556+(ArtifactsInput!$M$24-ArtifactsInput!$M$24)*CHOOSE(ArtifactsInput!$N$24+1,10,12,14,16,18,20)+IF(ArtifactsInput!$M$10,CHOOSE(ArtifactsInput!$N$10+1,15,18,21,24,27,30)*(IF(Inputs!$B$39="pvp",MIN(15,15)/15,IF(AND(Inputs!$B$39&lt;&gt;"pvp",Inputs!$B$44&gt;0),MIN(15,Inputs!$B$44)/(Inputs!$B$44),0))),0)))&gt;=100),CHOOSE(ArtifactsInput!$N$42+1,40,48,56,64,72,80),0))))/100)*(((1+(((C3537=TRUE)*F3537*IF(AND(Inputs!$B$39&lt;&gt;"pvp",Inputs!$B$44&gt;0),(((R3537-1)*(Skills!Y21*(1+Inputs!$B$34/100))+MIN((Skills!Y21*(1+Inputs!$B$34/100)),MAX(0,Inputs!$B$44-((R3537-1)*Skills!D21))))/Inputs!$B$44),IF(Inputs!$B$39="pvp",MIN((Skills!Y21*(1+Inputs!$B$34/100)),15)/15,(Skills!Y21*(1+Inputs!$B$34/100))/Skills!D21)))+((C3544=TRUE)*(F3544-Calc!F28))+((C3534=TRUE)*(F3534-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3531=TRUE)*F3531*IF(AND(Inputs!$B$39&lt;&gt;"pvp",Inputs!$B$44&gt;0),(((R3531-1)*(Skills!Y15*(1+Inputs!$B$34/100))+MIN((Skills!Y15*(1+Inputs!$B$34/100)),MAX(0,Inputs!$B$44-((R3531-1)*Skills!D15))))/Inputs!$B$44),IF(Inputs!$B$39="pvp",MIN((Skills!Y15*(1+Inputs!$B$34/100)),15)/15,(Skills!Y15*(1+Inputs!$B$34/100))/Skills!D15)))/100)*(1+((C3522=TRUE)*F3522*B3550)/100))*B3558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3525)</f>
        <v/>
      </c>
      <c r="L3525">
        <f>K3525*(MIN(Inputs!$B$22+((C3540=TRUE)*(F3540-Calc!F24)),(Inputs!$B$23+0+(IF(ArtifactsInput!$M$15,CHOOSE(ArtifactsInput!$N$15+1,25,30,35,40,45,50)/100*(Inputs!$B$11-Inputs!$B$11),0))))/100+(Inputs!$B$23+0+(IF(ArtifactsInput!$M$15,CHOOSE(ArtifactsInput!$N$15+1,25,30,35,40,45,50)/100*(Inputs!$B$11-Inputs!$B$11),0)))/100)/2</f>
        <v/>
      </c>
      <c r="M3525">
        <f>L3525*(1+(Inputs!$B$10+((C3542=TRUE)*(F3542-Calc!F26))+B3559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25">
        <f>L3525*(1-MIN((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3525*(MIN((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25">
        <f>(1-Summary!$B$11)*T3525+Summary!$B$11*V3525</f>
        <v/>
      </c>
      <c r="P3525">
        <f>IF(B3560=0,0,O3525/B3560)</f>
        <v/>
      </c>
      <c r="Q3525">
        <f>IFERROR(1/IF(Inputs!$B$39="pvp",15,MAX(0.1,Skills!D9-IF(Skills!E9=TRUE,4.0,0))),0)</f>
        <v/>
      </c>
      <c r="R3525">
        <f>IF(AND(Inputs!$B$39&lt;&gt;"pvp",Inputs!$B$44&gt;0),IF(MAX(0,Inputs!$B$44-B3561)&lt;=0,0,(INT(MAX(0,Inputs!$B$44-B3561)/IF(Inputs!$B$39="pvp",15,MAX(0.1,Skills!D9-IF(Skills!E9=TRUE,4.0,0))))+1)),0)</f>
        <v/>
      </c>
      <c r="S3525">
        <f>IFERROR(O3525/N3525,0)</f>
        <v/>
      </c>
      <c r="T3525">
        <f>IF(C3525,(H3525*N3525*IF(AND(Inputs!$B$39&lt;&gt;"pvp",Inputs!$B$44&gt;0),((Skills!G9*((R3525-1)*IF(Skills!H9&gt;0,Skills!I9/Skills!H9,1)+IF(Skills!H9&gt;0,MIN(Skills!I9,MAX(0,MAX(0,Inputs!$B$44-B3561)-((R3525-1)*IF(Inputs!$B$39="pvp",15,MAX(0.1,Skills!D9-IF(Skills!E9=TRUE,4.0,0))))))/Skills!H9,1)))/Inputs!$B$44),G3525*Q3525))*IF(Inputs!$B$39="pvp",1,1+(Inputs!$B$20+((C3543=TRUE)*(F3543-Calc!F27))+Skills!P9+B3557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Hunt"),CHOOSE(ArtifactsInput!$N$35+1,15,18,21,24,27,30)*(1-EXP(-(0.2*B3552)*5)),0)+IF(AND(ArtifactsInput!$M$22,Inputs!$B$4&lt;&gt;"Chapter Hunt"),CHOOSE(ArtifactsInput!$N$22+1,10,12,14,16,18,20)*((0*(((0.15*B3552*5))^0/1)+1*(((0.15*B3552*5))^1/1)+2*(((0.15*B3552*5))^2/2)+3*(((0.15*B3552*5))^3/6)+4*(((0.15*B3552*5))^4/24)+5*(((0.15*B3552*5))^5/120))/((((0.15*B3552*5))^0/1)+(((0.15*B3552*5))^1/1)+(((0.15*B3552*5))^2/2)+(((0.15*B3552*5))^3/6)+(((0.15*B3552*5))^4/24)+(((0.15*B3552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3525*(1-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3525*(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3525*(1-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3525*(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25">
        <f>IF(C3525,(H3525*N3525*IF(AND(Inputs!$B$39&lt;&gt;"pvp",Inputs!$B$44&gt;0),((Skills!G9*((R3525-1)*IF(Skills!H9&gt;0,Skills!I9/Skills!H9,1)+IF(Skills!H9&gt;0,MIN(Skills!I9,MAX(0,MAX(0,Inputs!$B$44-B3561)-((R3525-1)*IF(Inputs!$B$39="pvp",15,MAX(0.1,Skills!D9-IF(Skills!E9=TRUE,4.0,0))))))/Skills!H9,1)))/Inputs!$B$44),G3525*Q3525))*IF(Inputs!$B$39="pvp",1,(1+(Inputs!$B$21+Skills!Q9+B3557+(IF(ArtifactsInput!$M$33,CHOOSE(ArtifactsInput!$N$33+1,30,36,42,48,54,60),0))+(IF(AND(ArtifactsInput!$M$35,Inputs!$B$4&lt;&gt;"Chapter Hunt"),CHOOSE(ArtifactsInput!$N$35+1,15,18,21,24,27,30)*(1-EXP(-(0.2*B3552)*5)),0)+IF(AND(ArtifactsInput!$M$22,Inputs!$B$4&lt;&gt;"Chapter Hunt"),CHOOSE(ArtifactsInput!$N$22+1,10,12,14,16,18,20)*((0*(((0.15*B3552*5))^0/1)+1*(((0.15*B3552*5))^1/1)+2*(((0.15*B3552*5))^2/2)+3*(((0.15*B3552*5))^3/6)+4*(((0.15*B3552*5))^4/24)+5*(((0.15*B3552*5))^5/120))/((((0.15*B3552*5))^0/1)+(((0.15*B3552*5))^1/1)+(((0.15*B3552*5))^2/2)+(((0.15*B3552*5))^3/6)+(((0.15*B3552*5))^4/24)+(((0.15*B3552*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26">
      <c r="A3526">
        <f>Skills!A10</f>
        <v/>
      </c>
      <c r="B3526">
        <f>Skills!B10</f>
        <v/>
      </c>
      <c r="C3526">
        <f>Inputs!$B$3&gt;=117</f>
        <v/>
      </c>
      <c r="D3526">
        <f>IF(Skills!C10=1,60+Inputs!$B$25+Inputs!$B$29,IF(Skills!C10=2,90+Inputs!$B$26+Inputs!$B$29,IF(Skills!C10=3,120+Inputs!$B$27+Inputs!$B$29,MAX(0,(Inputs!$B$3-100)*3)+Inputs!$B$28+Inputs!$B$29)))</f>
        <v/>
      </c>
      <c r="E3526">
        <f>INDEX(FactorTable!$B$2:$Y$301, MATCH(ROUND(MIN(300,MAX(1,D3526)),0), FactorTable!$A$2:$A$301,0), Skills!M10+1)</f>
        <v/>
      </c>
      <c r="F3526">
        <f>IF(Skills!N10=TRUE,(Skills!L10/10)*(E3526/1000),Skills!L10/10)+Skills!O10</f>
        <v/>
      </c>
      <c r="G3526">
        <f>Calc!G10</f>
        <v/>
      </c>
      <c r="H3526">
        <f>Calc!H10</f>
        <v/>
      </c>
      <c r="I3526">
        <f>IF(Skills!AA10&lt;&gt;"",1+(Skills!AA10/10)*(U3519/1000)/100,1)</f>
        <v/>
      </c>
      <c r="J3526">
        <f>((Inputs!$B$6*(1+Inputs!$B$7/100))+(((Inputs!$B$12*(1+Inputs!$B$13/100))-(Inputs!$B$12*(1+Inputs!$B$13/100)))+0.25*(Inputs!$B$14-Inputs!$B$14))*(1+Inputs!$B$7/100))*(F3526/100)</f>
        <v/>
      </c>
      <c r="K3526">
        <f>J3526*(1+((Inputs!$B$12*(1+Inputs!$B$13/100))*0.01+Inputs!$B$14*0.0025)/100)*(1+Inputs!$B$15/100)*(1+Inputs!$B$16/100)*(5000/(6000+Inputs!$B$43*(1-(100*(1-(1-(Inputs!$B$19+0)/100)*(1-CHOOSE(ArtifactsInput!$N$40+1,5,6,7,8,9,10)/100)^(ArtifactsInput!$M$40-ArtifactsInput!$M$40)))/100)))*(1+(Inputs!$B$24+((C3546=TRUE)*(F3546-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3539=TRUE)*(F3539-Calc!F23))+(((IF(AND(ArtifactsInput!$M$42,((Inputs!$B$9+((C3541=TRUE)*(F3541-Calc!F25))+B3556+(ArtifactsInput!$M$24-ArtifactsInput!$M$24)*CHOOSE(ArtifactsInput!$N$24+1,10,12,14,16,18,20)+IF(ArtifactsInput!$M$10,CHOOSE(ArtifactsInput!$N$10+1,15,18,21,24,27,30)*(IF(Inputs!$B$39="pvp",MIN(15,15)/15,IF(AND(Inputs!$B$39&lt;&gt;"pvp",Inputs!$B$44&gt;0),MIN(15,Inputs!$B$44)/(Inputs!$B$44),0))),0)))&gt;=100),MIN(100,((Inputs!$B$9+((C3541=TRUE)*(F3541-Calc!F25))+B3556+(ArtifactsInput!$M$24-ArtifactsInput!$M$24)*CHOOSE(ArtifactsInput!$N$24+1,10,12,14,16,18,20)+IF(ArtifactsInput!$M$10,CHOOSE(ArtifactsInput!$N$10+1,15,18,21,24,27,30)*(IF(Inputs!$B$39="pvp",MIN(15,15)/15,IF(AND(Inputs!$B$39&lt;&gt;"pvp",Inputs!$B$44&gt;0),MIN(15,Inputs!$B$44)/(Inputs!$B$44),0))),0)))-100),0))*CHOOSE(ArtifactsInput!$N$42+1,0.6,0.72,0.84,0.96,1.08,1.2))),Inputs!$B$18+((C3545=TRUE)*(F3545-Calc!F29))+(IF(AND(ArtifactsInput!$M$42,((Inputs!$B$9+((C3541=TRUE)*(F3541-Calc!F25))+B3556+(ArtifactsInput!$M$24-ArtifactsInput!$M$24)*CHOOSE(ArtifactsInput!$N$24+1,10,12,14,16,18,20)+IF(ArtifactsInput!$M$10,CHOOSE(ArtifactsInput!$N$10+1,15,18,21,24,27,30)*(IF(Inputs!$B$39="pvp",MIN(15,15)/15,IF(AND(Inputs!$B$39&lt;&gt;"pvp",Inputs!$B$44&gt;0),MIN(15,Inputs!$B$44)/(Inputs!$B$44),0))),0)))&gt;=100),CHOOSE(ArtifactsInput!$N$42+1,40,48,56,64,72,80),0))))/100)*(((1+(((C3537=TRUE)*F3537*IF(AND(Inputs!$B$39&lt;&gt;"pvp",Inputs!$B$44&gt;0),(((R3537-1)*(Skills!Y21*(1+Inputs!$B$34/100))+MIN((Skills!Y21*(1+Inputs!$B$34/100)),MAX(0,Inputs!$B$44-((R3537-1)*Skills!D21))))/Inputs!$B$44),IF(Inputs!$B$39="pvp",MIN((Skills!Y21*(1+Inputs!$B$34/100)),15)/15,(Skills!Y21*(1+Inputs!$B$34/100))/Skills!D21)))+((C3544=TRUE)*(F3544-Calc!F28))+((C3534=TRUE)*(F3534-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3531=TRUE)*F3531*IF(AND(Inputs!$B$39&lt;&gt;"pvp",Inputs!$B$44&gt;0),(((R3531-1)*(Skills!Y15*(1+Inputs!$B$34/100))+MIN((Skills!Y15*(1+Inputs!$B$34/100)),MAX(0,Inputs!$B$44-((R3531-1)*Skills!D15))))/Inputs!$B$44),IF(Inputs!$B$39="pvp",MIN((Skills!Y15*(1+Inputs!$B$34/100)),15)/15,(Skills!Y15*(1+Inputs!$B$34/100))/Skills!D15)))/100)*(1+((C3522=TRUE)*F3522*B3550)/100))*B3558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3526)</f>
        <v/>
      </c>
      <c r="L3526">
        <f>K3526*(MIN(Inputs!$B$22+((C3540=TRUE)*(F3540-Calc!F24)),(Inputs!$B$23+0+(IF(ArtifactsInput!$M$15,CHOOSE(ArtifactsInput!$N$15+1,25,30,35,40,45,50)/100*(Inputs!$B$11-Inputs!$B$11),0))))/100+(Inputs!$B$23+0+(IF(ArtifactsInput!$M$15,CHOOSE(ArtifactsInput!$N$15+1,25,30,35,40,45,50)/100*(Inputs!$B$11-Inputs!$B$11),0)))/100)/2</f>
        <v/>
      </c>
      <c r="M3526">
        <f>L3526*(1+(Inputs!$B$10+((C3542=TRUE)*(F3542-Calc!F26))+B3559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26">
        <f>L3526*(1-MIN((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3526*(MIN((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26">
        <f>(1-Summary!$B$11)*T3526+Summary!$B$11*V3526</f>
        <v/>
      </c>
      <c r="P3526">
        <f>IF(B3560=0,0,O3526/B3560)</f>
        <v/>
      </c>
      <c r="Q3526" t="n">
        <v>0</v>
      </c>
      <c r="R3526" t="n">
        <v>0</v>
      </c>
      <c r="S3526" t="n">
        <v>0</v>
      </c>
      <c r="T3526">
        <f>IF(C3526,(0.2*SUMPRODUCT((Skills!Z2:Z31=TRUE)*(C3518:C3547=TRUE)*S3518:S3547)*N3526)*IF(Inputs!$B$39="pvp",1,1+(Inputs!$B$20+((C3543=TRUE)*(F3543-Calc!F27))+Skills!P10+B3557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Hunt"),CHOOSE(ArtifactsInput!$N$35+1,15,18,21,24,27,30)*(1-EXP(-(0.2*B3552)*5)),0)+IF(AND(ArtifactsInput!$M$22,Inputs!$B$4&lt;&gt;"Chapter Hunt"),CHOOSE(ArtifactsInput!$N$22+1,10,12,14,16,18,20)*((0*(((0.15*B3552*5))^0/1)+1*(((0.15*B3552*5))^1/1)+2*(((0.15*B3552*5))^2/2)+3*(((0.15*B3552*5))^3/6)+4*(((0.15*B3552*5))^4/24)+5*(((0.15*B3552*5))^5/120))/((((0.15*B3552*5))^0/1)+(((0.15*B3552*5))^1/1)+(((0.15*B3552*5))^2/2)+(((0.15*B3552*5))^3/6)+(((0.15*B3552*5))^4/24)+(((0.15*B3552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3526*(1-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3526*(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3526*(1-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3526*(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26">
        <f>IF(C3526,(0.2*SUMPRODUCT((Skills!Z2:Z31=TRUE)*(C3518:C3547=TRUE)*S3518:S3547)*N3526)*IF(Inputs!$B$39="pvp",1,(1+(Inputs!$B$21+Skills!Q10+B3557+(IF(ArtifactsInput!$M$33,CHOOSE(ArtifactsInput!$N$33+1,30,36,42,48,54,60),0))+(IF(AND(ArtifactsInput!$M$35,Inputs!$B$4&lt;&gt;"Chapter Hunt"),CHOOSE(ArtifactsInput!$N$35+1,15,18,21,24,27,30)*(1-EXP(-(0.2*B3552)*5)),0)+IF(AND(ArtifactsInput!$M$22,Inputs!$B$4&lt;&gt;"Chapter Hunt"),CHOOSE(ArtifactsInput!$N$22+1,10,12,14,16,18,20)*((0*(((0.15*B3552*5))^0/1)+1*(((0.15*B3552*5))^1/1)+2*(((0.15*B3552*5))^2/2)+3*(((0.15*B3552*5))^3/6)+4*(((0.15*B3552*5))^4/24)+5*(((0.15*B3552*5))^5/120))/((((0.15*B3552*5))^0/1)+(((0.15*B3552*5))^1/1)+(((0.15*B3552*5))^2/2)+(((0.15*B3552*5))^3/6)+(((0.15*B3552*5))^4/24)+(((0.15*B3552*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27">
      <c r="A3527">
        <f>Skills!A11</f>
        <v/>
      </c>
      <c r="B3527">
        <f>Skills!B11</f>
        <v/>
      </c>
      <c r="C3527">
        <f>Inputs!$B$3&gt;=60</f>
        <v/>
      </c>
      <c r="D3527">
        <f>IF(Skills!C11=1,60+Inputs!$B$25+Inputs!$B$29,IF(Skills!C11=2,90+Inputs!$B$26+Inputs!$B$29,IF(Skills!C11=3,120+Inputs!$B$27+Inputs!$B$29,MAX(0,(Inputs!$B$3-100)*3)+Inputs!$B$28+Inputs!$B$29)))</f>
        <v/>
      </c>
      <c r="E3527">
        <f>INDEX(FactorTable!$B$2:$Y$301, MATCH(ROUND(MIN(300,MAX(1,D3527)),0), FactorTable!$A$2:$A$301,0), Skills!M11+1)</f>
        <v/>
      </c>
      <c r="F3527">
        <f>IF(Skills!N11=TRUE,(Skills!L11/10)*(E3527/1000),Skills!L11/10)+Skills!O11</f>
        <v/>
      </c>
      <c r="G3527">
        <f>Calc!G11</f>
        <v/>
      </c>
      <c r="H3527">
        <f>Calc!H11</f>
        <v/>
      </c>
      <c r="I3527">
        <f>IF(Skills!AA11&lt;&gt;"",1+(Skills!AA11/10)*(U3519/1000)/100,1)</f>
        <v/>
      </c>
      <c r="J3527" t="inlineStr"/>
      <c r="K3527" t="inlineStr"/>
      <c r="L3527" t="inlineStr"/>
      <c r="M3527" t="inlineStr"/>
      <c r="N3527" t="inlineStr"/>
      <c r="O3527">
        <f>(1-Summary!$B$11)*T3527+Summary!$B$11*V3527</f>
        <v/>
      </c>
      <c r="P3527">
        <f>IF(B3560=0,0,O3527/B3560)</f>
        <v/>
      </c>
      <c r="Q3527" t="n">
        <v>0</v>
      </c>
      <c r="R3527" t="n">
        <v>0</v>
      </c>
      <c r="S3527">
        <f>IFERROR(O3527/N3527,0)</f>
        <v/>
      </c>
      <c r="T3527" t="n">
        <v>0</v>
      </c>
      <c r="V3527" t="n">
        <v>0</v>
      </c>
    </row>
    <row r="3528">
      <c r="A3528">
        <f>Skills!A12</f>
        <v/>
      </c>
      <c r="B3528">
        <f>Skills!B12</f>
        <v/>
      </c>
      <c r="C3528">
        <f>Inputs!$B$3&gt;=103</f>
        <v/>
      </c>
      <c r="D3528">
        <f>IF(Skills!C12=1,60+Inputs!$B$25+Inputs!$B$29,IF(Skills!C12=2,90+Inputs!$B$26+Inputs!$B$29,IF(Skills!C12=3,120+Inputs!$B$27+Inputs!$B$29,MAX(0,(Inputs!$B$3-100)*3)+Inputs!$B$28+Inputs!$B$29)))</f>
        <v/>
      </c>
      <c r="E3528">
        <f>INDEX(FactorTable!$B$2:$Y$301, MATCH(ROUND(MIN(300,MAX(1,D3528)),0), FactorTable!$A$2:$A$301,0), Skills!M12+1)</f>
        <v/>
      </c>
      <c r="F3528">
        <f>IF(Skills!N12=TRUE,(Skills!L12/10)*(E3528/1000),Skills!L12/10)+Skills!O12</f>
        <v/>
      </c>
      <c r="G3528">
        <f>Calc!G12</f>
        <v/>
      </c>
      <c r="H3528">
        <f>Calc!H12</f>
        <v/>
      </c>
      <c r="I3528">
        <f>IF(Skills!AA12&lt;&gt;"",1+(Skills!AA12/10)*(U3519/1000)/100,1)</f>
        <v/>
      </c>
      <c r="J3528">
        <f>((Inputs!$B$6*(1+Inputs!$B$7/100))+(((Inputs!$B$12*(1+Inputs!$B$13/100))-(Inputs!$B$12*(1+Inputs!$B$13/100)))+0.25*(Inputs!$B$14-Inputs!$B$14))*(1+Inputs!$B$7/100))*(F3528/100)</f>
        <v/>
      </c>
      <c r="K3528">
        <f>J3528*(1+((Inputs!$B$12*(1+Inputs!$B$13/100))*0.01+Inputs!$B$14*0.0025)/100)*(1+Inputs!$B$15/100)*(1+Inputs!$B$16/100)*(5000/(6000+Inputs!$B$43*(1-(100*(1-(1-(Inputs!$B$19+0)/100)*(1-CHOOSE(ArtifactsInput!$N$40+1,5,6,7,8,9,10)/100)^(ArtifactsInput!$M$40-ArtifactsInput!$M$40)))/100)))*(1+(Inputs!$B$24+((C3546=TRUE)*(F3546-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3539=TRUE)*(F3539-Calc!F23))+(((IF(AND(ArtifactsInput!$M$42,((Inputs!$B$9+((C3541=TRUE)*(F3541-Calc!F25))+B3556+(ArtifactsInput!$M$24-ArtifactsInput!$M$24)*CHOOSE(ArtifactsInput!$N$24+1,10,12,14,16,18,20)+IF(ArtifactsInput!$M$10,CHOOSE(ArtifactsInput!$N$10+1,15,18,21,24,27,30)*(IF(Inputs!$B$39="pvp",MIN(15,15)/15,IF(AND(Inputs!$B$39&lt;&gt;"pvp",Inputs!$B$44&gt;0),MIN(15,Inputs!$B$44)/(Inputs!$B$44),0))),0)))&gt;=100),MIN(100,((Inputs!$B$9+((C3541=TRUE)*(F3541-Calc!F25))+B3556+(ArtifactsInput!$M$24-ArtifactsInput!$M$24)*CHOOSE(ArtifactsInput!$N$24+1,10,12,14,16,18,20)+IF(ArtifactsInput!$M$10,CHOOSE(ArtifactsInput!$N$10+1,15,18,21,24,27,30)*(IF(Inputs!$B$39="pvp",MIN(15,15)/15,IF(AND(Inputs!$B$39&lt;&gt;"pvp",Inputs!$B$44&gt;0),MIN(15,Inputs!$B$44)/(Inputs!$B$44),0))),0)))-100),0))*CHOOSE(ArtifactsInput!$N$42+1,0.6,0.72,0.84,0.96,1.08,1.2))),Inputs!$B$18+((C3545=TRUE)*(F3545-Calc!F29))+(IF(AND(ArtifactsInput!$M$42,((Inputs!$B$9+((C3541=TRUE)*(F3541-Calc!F25))+B3556+(ArtifactsInput!$M$24-ArtifactsInput!$M$24)*CHOOSE(ArtifactsInput!$N$24+1,10,12,14,16,18,20)+IF(ArtifactsInput!$M$10,CHOOSE(ArtifactsInput!$N$10+1,15,18,21,24,27,30)*(IF(Inputs!$B$39="pvp",MIN(15,15)/15,IF(AND(Inputs!$B$39&lt;&gt;"pvp",Inputs!$B$44&gt;0),MIN(15,Inputs!$B$44)/(Inputs!$B$44),0))),0)))&gt;=100),CHOOSE(ArtifactsInput!$N$42+1,40,48,56,64,72,80),0))))/100)*(((1+(((C3537=TRUE)*F3537*IF(AND(Inputs!$B$39&lt;&gt;"pvp",Inputs!$B$44&gt;0),(((R3537-1)*(Skills!Y21*(1+Inputs!$B$34/100))+MIN((Skills!Y21*(1+Inputs!$B$34/100)),MAX(0,Inputs!$B$44-((R3537-1)*Skills!D21))))/Inputs!$B$44),IF(Inputs!$B$39="pvp",MIN((Skills!Y21*(1+Inputs!$B$34/100)),15)/15,(Skills!Y21*(1+Inputs!$B$34/100))/Skills!D21)))+((C3544=TRUE)*(F3544-Calc!F28))+((C3534=TRUE)*(F3534-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3531=TRUE)*F3531*IF(AND(Inputs!$B$39&lt;&gt;"pvp",Inputs!$B$44&gt;0),(((R3531-1)*(Skills!Y15*(1+Inputs!$B$34/100))+MIN((Skills!Y15*(1+Inputs!$B$34/100)),MAX(0,Inputs!$B$44-((R3531-1)*Skills!D15))))/Inputs!$B$44),IF(Inputs!$B$39="pvp",MIN((Skills!Y15*(1+Inputs!$B$34/100)),15)/15,(Skills!Y15*(1+Inputs!$B$34/100))/Skills!D15)))/100)*(1+((C3522=TRUE)*F3522*B3550)/100))*B3558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3528)</f>
        <v/>
      </c>
      <c r="L3528">
        <f>K3528*(MIN(Inputs!$B$22+((C3540=TRUE)*(F3540-Calc!F24)),(Inputs!$B$23+0+(IF(ArtifactsInput!$M$15,CHOOSE(ArtifactsInput!$N$15+1,25,30,35,40,45,50)/100*(Inputs!$B$11-Inputs!$B$11),0))))/100+(Inputs!$B$23+0+(IF(ArtifactsInput!$M$15,CHOOSE(ArtifactsInput!$N$15+1,25,30,35,40,45,50)/100*(Inputs!$B$11-Inputs!$B$11),0)))/100)/2</f>
        <v/>
      </c>
      <c r="M3528">
        <f>L3528*(1+(Inputs!$B$10+((C3542=TRUE)*(F3542-Calc!F26))+B3559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28">
        <f>L3528*(1-MIN((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3528*(MIN((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28">
        <f>(1-Summary!$B$11)*T3528+Summary!$B$11*V3528</f>
        <v/>
      </c>
      <c r="P3528">
        <f>IF(B3560=0,0,O3528/B3560)</f>
        <v/>
      </c>
      <c r="Q3528">
        <f>IFERROR(1/IF(Inputs!$B$39="pvp",15,MAX(0.1,Skills!D12-IF(Skills!E12=TRUE,4.0,0))),0)</f>
        <v/>
      </c>
      <c r="R3528">
        <f>IF(AND(Inputs!$B$39&lt;&gt;"pvp",Inputs!$B$44&gt;0),IF(MAX(0,Inputs!$B$44-B3561)&lt;=0,0,(INT(MAX(0,Inputs!$B$44-B3561)/IF(Inputs!$B$39="pvp",15,MAX(0.1,Skills!D12-IF(Skills!E12=TRUE,4.0,0))))+1)),0)</f>
        <v/>
      </c>
      <c r="S3528">
        <f>IFERROR(O3528/N3528,0)</f>
        <v/>
      </c>
      <c r="T3528">
        <f>IF(C3528,(H3528*N3528*IF(AND(Inputs!$B$39&lt;&gt;"pvp",Inputs!$B$44&gt;0),((Skills!G12*((R3528-1)*IF(Skills!H12&gt;0,Skills!I12/Skills!H12,1)+IF(Skills!H12&gt;0,MIN(Skills!I12,MAX(0,MAX(0,Inputs!$B$44-B3561)-((R3528-1)*IF(Inputs!$B$39="pvp",15,MAX(0.1,Skills!D12-IF(Skills!E12=TRUE,4.0,0))))))/Skills!H12,1)))/Inputs!$B$44),G3528*Q3528))*IF(Inputs!$B$39="pvp",1,1+(Inputs!$B$20+((C3543=TRUE)*(F3543-Calc!F27))+Skills!P12+B3557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Hunt"),CHOOSE(ArtifactsInput!$N$35+1,15,18,21,24,27,30)*(1-EXP(-(0.2*B3552)*5)),0)+IF(AND(ArtifactsInput!$M$22,Inputs!$B$4&lt;&gt;"Chapter Hunt"),CHOOSE(ArtifactsInput!$N$22+1,10,12,14,16,18,20)*((0*(((0.15*B3552*5))^0/1)+1*(((0.15*B3552*5))^1/1)+2*(((0.15*B3552*5))^2/2)+3*(((0.15*B3552*5))^3/6)+4*(((0.15*B3552*5))^4/24)+5*(((0.15*B3552*5))^5/120))/((((0.15*B3552*5))^0/1)+(((0.15*B3552*5))^1/1)+(((0.15*B3552*5))^2/2)+(((0.15*B3552*5))^3/6)+(((0.15*B3552*5))^4/24)+(((0.15*B3552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3528*(1-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3528*(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3528*(1-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3528*(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28">
        <f>IF(C3528,(H3528*N3528*IF(AND(Inputs!$B$39&lt;&gt;"pvp",Inputs!$B$44&gt;0),((Skills!G12*((R3528-1)*IF(Skills!H12&gt;0,Skills!I12/Skills!H12,1)+IF(Skills!H12&gt;0,MIN(Skills!I12,MAX(0,MAX(0,Inputs!$B$44-B3561)-((R3528-1)*IF(Inputs!$B$39="pvp",15,MAX(0.1,Skills!D12-IF(Skills!E12=TRUE,4.0,0))))))/Skills!H12,1)))/Inputs!$B$44),G3528*Q3528))*IF(Inputs!$B$39="pvp",1,(1+(Inputs!$B$21+Skills!Q12+B3557+(IF(ArtifactsInput!$M$33,CHOOSE(ArtifactsInput!$N$33+1,30,36,42,48,54,60),0))+(IF(AND(ArtifactsInput!$M$35,Inputs!$B$4&lt;&gt;"Chapter Hunt"),CHOOSE(ArtifactsInput!$N$35+1,15,18,21,24,27,30)*(1-EXP(-(0.2*B3552)*5)),0)+IF(AND(ArtifactsInput!$M$22,Inputs!$B$4&lt;&gt;"Chapter Hunt"),CHOOSE(ArtifactsInput!$N$22+1,10,12,14,16,18,20)*((0*(((0.15*B3552*5))^0/1)+1*(((0.15*B3552*5))^1/1)+2*(((0.15*B3552*5))^2/2)+3*(((0.15*B3552*5))^3/6)+4*(((0.15*B3552*5))^4/24)+5*(((0.15*B3552*5))^5/120))/((((0.15*B3552*5))^0/1)+(((0.15*B3552*5))^1/1)+(((0.15*B3552*5))^2/2)+(((0.15*B3552*5))^3/6)+(((0.15*B3552*5))^4/24)+(((0.15*B3552*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29">
      <c r="A3529">
        <f>Skills!A13</f>
        <v/>
      </c>
      <c r="B3529">
        <f>Skills!B13</f>
        <v/>
      </c>
      <c r="C3529">
        <f>Inputs!$B$3&gt;=105</f>
        <v/>
      </c>
      <c r="D3529">
        <f>IF(Skills!C13=1,60+Inputs!$B$25+Inputs!$B$29,IF(Skills!C13=2,90+Inputs!$B$26+Inputs!$B$29,IF(Skills!C13=3,120+Inputs!$B$27+Inputs!$B$29,MAX(0,(Inputs!$B$3-100)*3)+Inputs!$B$28+Inputs!$B$29)))</f>
        <v/>
      </c>
      <c r="E3529">
        <f>INDEX(FactorTable!$B$2:$Y$301, MATCH(ROUND(MIN(300,MAX(1,D3529)),0), FactorTable!$A$2:$A$301,0), Skills!M13+1)</f>
        <v/>
      </c>
      <c r="F3529">
        <f>IF(Skills!N13=TRUE,(Skills!L13/10)*(E3529/1000),Skills!L13/10)+Skills!O13</f>
        <v/>
      </c>
      <c r="G3529">
        <f>Calc!G13</f>
        <v/>
      </c>
      <c r="H3529">
        <f>Calc!H13</f>
        <v/>
      </c>
      <c r="I3529">
        <f>IF(Skills!AA13&lt;&gt;"",1+(Skills!AA13/10)*(U3519/1000)/100,1)</f>
        <v/>
      </c>
      <c r="J3529">
        <f>((Inputs!$B$6*(1+Inputs!$B$7/100))+(((Inputs!$B$12*(1+Inputs!$B$13/100))-(Inputs!$B$12*(1+Inputs!$B$13/100)))+0.25*(Inputs!$B$14-Inputs!$B$14))*(1+Inputs!$B$7/100))*(F3529/100)</f>
        <v/>
      </c>
      <c r="K3529">
        <f>J3529*(1+((Inputs!$B$12*(1+Inputs!$B$13/100))*0.01+Inputs!$B$14*0.0025)/100)*(1+Inputs!$B$15/100)*(1+Inputs!$B$16/100)*(5000/(6000+Inputs!$B$43*(1-(100*(1-(1-(Inputs!$B$19+0)/100)*(1-CHOOSE(ArtifactsInput!$N$40+1,5,6,7,8,9,10)/100)^(ArtifactsInput!$M$40-ArtifactsInput!$M$40)))/100)))*(1+(Inputs!$B$24+((C3546=TRUE)*(F3546-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3539=TRUE)*(F3539-Calc!F23))+(((IF(AND(ArtifactsInput!$M$42,((Inputs!$B$9+((C3541=TRUE)*(F3541-Calc!F25))+B3556+(ArtifactsInput!$M$24-ArtifactsInput!$M$24)*CHOOSE(ArtifactsInput!$N$24+1,10,12,14,16,18,20)+IF(ArtifactsInput!$M$10,CHOOSE(ArtifactsInput!$N$10+1,15,18,21,24,27,30)*(IF(Inputs!$B$39="pvp",MIN(15,15)/15,IF(AND(Inputs!$B$39&lt;&gt;"pvp",Inputs!$B$44&gt;0),MIN(15,Inputs!$B$44)/(Inputs!$B$44),0))),0)))&gt;=100),MIN(100,((Inputs!$B$9+((C3541=TRUE)*(F3541-Calc!F25))+B3556+(ArtifactsInput!$M$24-ArtifactsInput!$M$24)*CHOOSE(ArtifactsInput!$N$24+1,10,12,14,16,18,20)+IF(ArtifactsInput!$M$10,CHOOSE(ArtifactsInput!$N$10+1,15,18,21,24,27,30)*(IF(Inputs!$B$39="pvp",MIN(15,15)/15,IF(AND(Inputs!$B$39&lt;&gt;"pvp",Inputs!$B$44&gt;0),MIN(15,Inputs!$B$44)/(Inputs!$B$44),0))),0)))-100),0))*CHOOSE(ArtifactsInput!$N$42+1,0.6,0.72,0.84,0.96,1.08,1.2))),Inputs!$B$18+((C3545=TRUE)*(F3545-Calc!F29))+(IF(AND(ArtifactsInput!$M$42,((Inputs!$B$9+((C3541=TRUE)*(F3541-Calc!F25))+B3556+(ArtifactsInput!$M$24-ArtifactsInput!$M$24)*CHOOSE(ArtifactsInput!$N$24+1,10,12,14,16,18,20)+IF(ArtifactsInput!$M$10,CHOOSE(ArtifactsInput!$N$10+1,15,18,21,24,27,30)*(IF(Inputs!$B$39="pvp",MIN(15,15)/15,IF(AND(Inputs!$B$39&lt;&gt;"pvp",Inputs!$B$44&gt;0),MIN(15,Inputs!$B$44)/(Inputs!$B$44),0))),0)))&gt;=100),CHOOSE(ArtifactsInput!$N$42+1,40,48,56,64,72,80),0))))/100)*(((1+(((C3537=TRUE)*F3537*IF(AND(Inputs!$B$39&lt;&gt;"pvp",Inputs!$B$44&gt;0),(((R3537-1)*(Skills!Y21*(1+Inputs!$B$34/100))+MIN((Skills!Y21*(1+Inputs!$B$34/100)),MAX(0,Inputs!$B$44-((R3537-1)*Skills!D21))))/Inputs!$B$44),IF(Inputs!$B$39="pvp",MIN((Skills!Y21*(1+Inputs!$B$34/100)),15)/15,(Skills!Y21*(1+Inputs!$B$34/100))/Skills!D21)))+((C3544=TRUE)*(F3544-Calc!F28))+((C3534=TRUE)*(F3534-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3531=TRUE)*F3531*IF(AND(Inputs!$B$39&lt;&gt;"pvp",Inputs!$B$44&gt;0),(((R3531-1)*(Skills!Y15*(1+Inputs!$B$34/100))+MIN((Skills!Y15*(1+Inputs!$B$34/100)),MAX(0,Inputs!$B$44-((R3531-1)*Skills!D15))))/Inputs!$B$44),IF(Inputs!$B$39="pvp",MIN((Skills!Y15*(1+Inputs!$B$34/100)),15)/15,(Skills!Y15*(1+Inputs!$B$34/100))/Skills!D15)))/100)*(1+((C3522=TRUE)*F3522*B3550)/100))*B3558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3529)</f>
        <v/>
      </c>
      <c r="L3529">
        <f>K3529*(MIN(Inputs!$B$22+((C3540=TRUE)*(F3540-Calc!F24)),(Inputs!$B$23+0+(IF(ArtifactsInput!$M$15,CHOOSE(ArtifactsInput!$N$15+1,25,30,35,40,45,50)/100*(Inputs!$B$11-Inputs!$B$11),0))))/100+(Inputs!$B$23+0+(IF(ArtifactsInput!$M$15,CHOOSE(ArtifactsInput!$N$15+1,25,30,35,40,45,50)/100*(Inputs!$B$11-Inputs!$B$11),0)))/100)/2</f>
        <v/>
      </c>
      <c r="M3529">
        <f>L3529*(1+(Inputs!$B$10+((C3542=TRUE)*(F3542-Calc!F26))+B3559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29">
        <f>L3529*(1-MIN((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3529*(MIN((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29">
        <f>(1-Summary!$B$11)*T3529+Summary!$B$11*V3529</f>
        <v/>
      </c>
      <c r="P3529">
        <f>IF(B3560=0,0,O3529/B3560)</f>
        <v/>
      </c>
      <c r="Q3529">
        <f>IFERROR(1/IF(Inputs!$B$39="pvp",15,MAX(0.1,Skills!D13-IF(Skills!E13=TRUE,4.0,0))),0)</f>
        <v/>
      </c>
      <c r="R3529">
        <f>IF(AND(Inputs!$B$39&lt;&gt;"pvp",Inputs!$B$44&gt;0),IF(MAX(0,Inputs!$B$44-B3561)&lt;=0,0,(INT(MAX(0,Inputs!$B$44-B3561)/IF(Inputs!$B$39="pvp",15,MAX(0.1,Skills!D13-IF(Skills!E13=TRUE,4.0,0))))+1)),0)</f>
        <v/>
      </c>
      <c r="S3529">
        <f>IFERROR(O3529/N3529,0)</f>
        <v/>
      </c>
      <c r="T3529">
        <f>IF(C3529,(H3529*N3529*IF(AND(Inputs!$B$39&lt;&gt;"pvp",Inputs!$B$44&gt;0),((Skills!G13*((R3529-1)*IF(Skills!H13&gt;0,Skills!I13/Skills!H13,1)+IF(Skills!H13&gt;0,MIN(Skills!I13,MAX(0,MAX(0,Inputs!$B$44-B3561)-((R3529-1)*IF(Inputs!$B$39="pvp",15,MAX(0.1,Skills!D13-IF(Skills!E13=TRUE,4.0,0))))))/Skills!H13,1)))/Inputs!$B$44),G3529*Q3529))*IF(Inputs!$B$39="pvp",1,1+(Inputs!$B$20+((C3543=TRUE)*(F3543-Calc!F27))+Skills!P13+B3557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Hunt"),CHOOSE(ArtifactsInput!$N$35+1,15,18,21,24,27,30)*(1-EXP(-(0.2*B3552)*5)),0)+IF(AND(ArtifactsInput!$M$22,Inputs!$B$4&lt;&gt;"Chapter Hunt"),CHOOSE(ArtifactsInput!$N$22+1,10,12,14,16,18,20)*((0*(((0.15*B3552*5))^0/1)+1*(((0.15*B3552*5))^1/1)+2*(((0.15*B3552*5))^2/2)+3*(((0.15*B3552*5))^3/6)+4*(((0.15*B3552*5))^4/24)+5*(((0.15*B3552*5))^5/120))/((((0.15*B3552*5))^0/1)+(((0.15*B3552*5))^1/1)+(((0.15*B3552*5))^2/2)+(((0.15*B3552*5))^3/6)+(((0.15*B3552*5))^4/24)+(((0.15*B3552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3529*(1-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3529*(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3529*(1-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3529*(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29">
        <f>IF(C3529,(H3529*N3529*IF(AND(Inputs!$B$39&lt;&gt;"pvp",Inputs!$B$44&gt;0),((Skills!G13*((R3529-1)*IF(Skills!H13&gt;0,Skills!I13/Skills!H13,1)+IF(Skills!H13&gt;0,MIN(Skills!I13,MAX(0,MAX(0,Inputs!$B$44-B3561)-((R3529-1)*IF(Inputs!$B$39="pvp",15,MAX(0.1,Skills!D13-IF(Skills!E13=TRUE,4.0,0))))))/Skills!H13,1)))/Inputs!$B$44),G3529*Q3529))*IF(Inputs!$B$39="pvp",1,(1+(Inputs!$B$21+Skills!Q13+B3557+(IF(ArtifactsInput!$M$33,CHOOSE(ArtifactsInput!$N$33+1,30,36,42,48,54,60),0))+(IF(AND(ArtifactsInput!$M$35,Inputs!$B$4&lt;&gt;"Chapter Hunt"),CHOOSE(ArtifactsInput!$N$35+1,15,18,21,24,27,30)*(1-EXP(-(0.2*B3552)*5)),0)+IF(AND(ArtifactsInput!$M$22,Inputs!$B$4&lt;&gt;"Chapter Hunt"),CHOOSE(ArtifactsInput!$N$22+1,10,12,14,16,18,20)*((0*(((0.15*B3552*5))^0/1)+1*(((0.15*B3552*5))^1/1)+2*(((0.15*B3552*5))^2/2)+3*(((0.15*B3552*5))^3/6)+4*(((0.15*B3552*5))^4/24)+5*(((0.15*B3552*5))^5/120))/((((0.15*B3552*5))^0/1)+(((0.15*B3552*5))^1/1)+(((0.15*B3552*5))^2/2)+(((0.15*B3552*5))^3/6)+(((0.15*B3552*5))^4/24)+(((0.15*B3552*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30">
      <c r="A3530">
        <f>Skills!A14</f>
        <v/>
      </c>
      <c r="B3530">
        <f>Skills!B14</f>
        <v/>
      </c>
      <c r="C3530">
        <f>Inputs!$B$3&gt;=105</f>
        <v/>
      </c>
      <c r="D3530">
        <f>IF(Skills!C14=1,60+Inputs!$B$25+Inputs!$B$29,IF(Skills!C14=2,90+Inputs!$B$26+Inputs!$B$29,IF(Skills!C14=3,120+Inputs!$B$27+Inputs!$B$29,MAX(0,(Inputs!$B$3-100)*3)+Inputs!$B$28+Inputs!$B$29)))</f>
        <v/>
      </c>
      <c r="E3530">
        <f>INDEX(FactorTable!$B$2:$Y$301, MATCH(ROUND(MIN(300,MAX(1,D3530)),0), FactorTable!$A$2:$A$301,0), Skills!M14+1)</f>
        <v/>
      </c>
      <c r="F3530">
        <f>IF(Skills!N14=TRUE,(Skills!L14/10)*(E3530/1000),Skills!L14/10)+Skills!O14</f>
        <v/>
      </c>
      <c r="G3530">
        <f>Calc!G14</f>
        <v/>
      </c>
      <c r="H3530">
        <f>Calc!H14</f>
        <v/>
      </c>
      <c r="I3530">
        <f>IF(Skills!AA14&lt;&gt;"",1+(Skills!AA14/10)*(U3519/1000)/100,1)</f>
        <v/>
      </c>
      <c r="J3530">
        <f>((Inputs!$B$6*(1+Inputs!$B$7/100))+(((Inputs!$B$12*(1+Inputs!$B$13/100))-(Inputs!$B$12*(1+Inputs!$B$13/100)))+0.25*(Inputs!$B$14-Inputs!$B$14))*(1+Inputs!$B$7/100))*(F3530/100)</f>
        <v/>
      </c>
      <c r="K3530">
        <f>J3530*(1+((Inputs!$B$12*(1+Inputs!$B$13/100))*0.01+Inputs!$B$14*0.0025)/100)*(1+Inputs!$B$15/100)*(1+Inputs!$B$16/100)*(5000/(6000+Inputs!$B$43*(1-(100*(1-(1-(Inputs!$B$19+0)/100)*(1-CHOOSE(ArtifactsInput!$N$40+1,5,6,7,8,9,10)/100)^(ArtifactsInput!$M$40-ArtifactsInput!$M$40)))/100)))*(1+(Inputs!$B$24+((C3546=TRUE)*(F3546-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3539=TRUE)*(F3539-Calc!F23))+(((IF(AND(ArtifactsInput!$M$42,((Inputs!$B$9+((C3541=TRUE)*(F3541-Calc!F25))+B3556+(ArtifactsInput!$M$24-ArtifactsInput!$M$24)*CHOOSE(ArtifactsInput!$N$24+1,10,12,14,16,18,20)+IF(ArtifactsInput!$M$10,CHOOSE(ArtifactsInput!$N$10+1,15,18,21,24,27,30)*(IF(Inputs!$B$39="pvp",MIN(15,15)/15,IF(AND(Inputs!$B$39&lt;&gt;"pvp",Inputs!$B$44&gt;0),MIN(15,Inputs!$B$44)/(Inputs!$B$44),0))),0)))&gt;=100),MIN(100,((Inputs!$B$9+((C3541=TRUE)*(F3541-Calc!F25))+B3556+(ArtifactsInput!$M$24-ArtifactsInput!$M$24)*CHOOSE(ArtifactsInput!$N$24+1,10,12,14,16,18,20)+IF(ArtifactsInput!$M$10,CHOOSE(ArtifactsInput!$N$10+1,15,18,21,24,27,30)*(IF(Inputs!$B$39="pvp",MIN(15,15)/15,IF(AND(Inputs!$B$39&lt;&gt;"pvp",Inputs!$B$44&gt;0),MIN(15,Inputs!$B$44)/(Inputs!$B$44),0))),0)))-100),0))*CHOOSE(ArtifactsInput!$N$42+1,0.6,0.72,0.84,0.96,1.08,1.2))),Inputs!$B$18+((C3545=TRUE)*(F3545-Calc!F29))+(IF(AND(ArtifactsInput!$M$42,((Inputs!$B$9+((C3541=TRUE)*(F3541-Calc!F25))+B3556+(ArtifactsInput!$M$24-ArtifactsInput!$M$24)*CHOOSE(ArtifactsInput!$N$24+1,10,12,14,16,18,20)+IF(ArtifactsInput!$M$10,CHOOSE(ArtifactsInput!$N$10+1,15,18,21,24,27,30)*(IF(Inputs!$B$39="pvp",MIN(15,15)/15,IF(AND(Inputs!$B$39&lt;&gt;"pvp",Inputs!$B$44&gt;0),MIN(15,Inputs!$B$44)/(Inputs!$B$44),0))),0)))&gt;=100),CHOOSE(ArtifactsInput!$N$42+1,40,48,56,64,72,80),0))))/100)*(((1+(((C3537=TRUE)*F3537*IF(AND(Inputs!$B$39&lt;&gt;"pvp",Inputs!$B$44&gt;0),(((R3537-1)*(Skills!Y21*(1+Inputs!$B$34/100))+MIN((Skills!Y21*(1+Inputs!$B$34/100)),MAX(0,Inputs!$B$44-((R3537-1)*Skills!D21))))/Inputs!$B$44),IF(Inputs!$B$39="pvp",MIN((Skills!Y21*(1+Inputs!$B$34/100)),15)/15,(Skills!Y21*(1+Inputs!$B$34/100))/Skills!D21)))+((C3544=TRUE)*(F3544-Calc!F28))+((C3534=TRUE)*(F3534-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3531=TRUE)*F3531*IF(AND(Inputs!$B$39&lt;&gt;"pvp",Inputs!$B$44&gt;0),(((R3531-1)*(Skills!Y15*(1+Inputs!$B$34/100))+MIN((Skills!Y15*(1+Inputs!$B$34/100)),MAX(0,Inputs!$B$44-((R3531-1)*Skills!D15))))/Inputs!$B$44),IF(Inputs!$B$39="pvp",MIN((Skills!Y15*(1+Inputs!$B$34/100)),15)/15,(Skills!Y15*(1+Inputs!$B$34/100))/Skills!D15)))/100)*(1+((C3522=TRUE)*F3522*B3550)/100))*B3558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3530)</f>
        <v/>
      </c>
      <c r="L3530">
        <f>K3530*(MIN(Inputs!$B$22+((C3540=TRUE)*(F3540-Calc!F24)),(Inputs!$B$23+0+(IF(ArtifactsInput!$M$15,CHOOSE(ArtifactsInput!$N$15+1,25,30,35,40,45,50)/100*(Inputs!$B$11-Inputs!$B$11),0))))/100+(Inputs!$B$23+0+(IF(ArtifactsInput!$M$15,CHOOSE(ArtifactsInput!$N$15+1,25,30,35,40,45,50)/100*(Inputs!$B$11-Inputs!$B$11),0)))/100)/2</f>
        <v/>
      </c>
      <c r="M3530">
        <f>L3530*(1+(Inputs!$B$10+((C3542=TRUE)*(F3542-Calc!F26))+B3559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30">
        <f>L3530*(1-MIN((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3530*(MIN((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30">
        <f>(1-Summary!$B$11)*T3530+Summary!$B$11*V3530</f>
        <v/>
      </c>
      <c r="P3530">
        <f>IF(B3560=0,0,O3530/B3560)</f>
        <v/>
      </c>
      <c r="Q3530">
        <f>IFERROR(1/IF(Inputs!$B$39="pvp",15,MAX(0.1,Skills!D14-IF(Skills!E14=TRUE,4.0,0))),0)</f>
        <v/>
      </c>
      <c r="R3530">
        <f>IF(AND(Inputs!$B$39&lt;&gt;"pvp",Inputs!$B$44&gt;0),IF(MAX(0,Inputs!$B$44-B3561)&lt;=0,0,(INT(MAX(0,Inputs!$B$44-B3561)/IF(Inputs!$B$39="pvp",15,MAX(0.1,Skills!D14-IF(Skills!E14=TRUE,4.0,0))))+1)),0)</f>
        <v/>
      </c>
      <c r="S3530">
        <f>IFERROR(O3530/N3530,0)</f>
        <v/>
      </c>
      <c r="T3530">
        <f>IF(C3530,(H3530*N3530*IF(AND(Inputs!$B$39&lt;&gt;"pvp",Inputs!$B$44&gt;0),((Skills!G14*((R3530-1)*IF(Skills!H14&gt;0,Skills!I14/Skills!H14,1)+IF(Skills!H14&gt;0,MIN(Skills!I14,MAX(0,MAX(0,Inputs!$B$44-B3561)-((R3530-1)*IF(Inputs!$B$39="pvp",15,MAX(0.1,Skills!D14-IF(Skills!E14=TRUE,4.0,0))))))/Skills!H14,1)))/Inputs!$B$44),G3530*Q3530))*IF(Inputs!$B$39="pvp",1,1+(Inputs!$B$20+((C3543=TRUE)*(F3543-Calc!F27))+Skills!P14+B3557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Hunt"),CHOOSE(ArtifactsInput!$N$35+1,15,18,21,24,27,30)*(1-EXP(-(0.2*B3552)*5)),0)+IF(AND(ArtifactsInput!$M$22,Inputs!$B$4&lt;&gt;"Chapter Hunt"),CHOOSE(ArtifactsInput!$N$22+1,10,12,14,16,18,20)*((0*(((0.15*B3552*5))^0/1)+1*(((0.15*B3552*5))^1/1)+2*(((0.15*B3552*5))^2/2)+3*(((0.15*B3552*5))^3/6)+4*(((0.15*B3552*5))^4/24)+5*(((0.15*B3552*5))^5/120))/((((0.15*B3552*5))^0/1)+(((0.15*B3552*5))^1/1)+(((0.15*B3552*5))^2/2)+(((0.15*B3552*5))^3/6)+(((0.15*B3552*5))^4/24)+(((0.15*B3552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3530*(1-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3530*(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3530*(1-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3530*(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30">
        <f>IF(C3530,(H3530*N3530*IF(AND(Inputs!$B$39&lt;&gt;"pvp",Inputs!$B$44&gt;0),((Skills!G14*((R3530-1)*IF(Skills!H14&gt;0,Skills!I14/Skills!H14,1)+IF(Skills!H14&gt;0,MIN(Skills!I14,MAX(0,MAX(0,Inputs!$B$44-B3561)-((R3530-1)*IF(Inputs!$B$39="pvp",15,MAX(0.1,Skills!D14-IF(Skills!E14=TRUE,4.0,0))))))/Skills!H14,1)))/Inputs!$B$44),G3530*Q3530))*IF(Inputs!$B$39="pvp",1,(1+(Inputs!$B$21+Skills!Q14+B3557+(IF(ArtifactsInput!$M$33,CHOOSE(ArtifactsInput!$N$33+1,30,36,42,48,54,60),0))+(IF(AND(ArtifactsInput!$M$35,Inputs!$B$4&lt;&gt;"Chapter Hunt"),CHOOSE(ArtifactsInput!$N$35+1,15,18,21,24,27,30)*(1-EXP(-(0.2*B3552)*5)),0)+IF(AND(ArtifactsInput!$M$22,Inputs!$B$4&lt;&gt;"Chapter Hunt"),CHOOSE(ArtifactsInput!$N$22+1,10,12,14,16,18,20)*((0*(((0.15*B3552*5))^0/1)+1*(((0.15*B3552*5))^1/1)+2*(((0.15*B3552*5))^2/2)+3*(((0.15*B3552*5))^3/6)+4*(((0.15*B3552*5))^4/24)+5*(((0.15*B3552*5))^5/120))/((((0.15*B3552*5))^0/1)+(((0.15*B3552*5))^1/1)+(((0.15*B3552*5))^2/2)+(((0.15*B3552*5))^3/6)+(((0.15*B3552*5))^4/24)+(((0.15*B3552*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31">
      <c r="A3531">
        <f>Skills!A15</f>
        <v/>
      </c>
      <c r="B3531">
        <f>Skills!B15</f>
        <v/>
      </c>
      <c r="C3531">
        <f>Inputs!$B$3&gt;=110</f>
        <v/>
      </c>
      <c r="D3531">
        <f>IF(Skills!C15=1,60+Inputs!$B$25+Inputs!$B$29,IF(Skills!C15=2,90+Inputs!$B$26+Inputs!$B$29,IF(Skills!C15=3,120+Inputs!$B$27+Inputs!$B$29,MAX(0,(Inputs!$B$3-100)*3)+Inputs!$B$28+Inputs!$B$29)))</f>
        <v/>
      </c>
      <c r="E3531">
        <f>INDEX(FactorTable!$B$2:$Y$301, MATCH(ROUND(MIN(300,MAX(1,D3531)),0), FactorTable!$A$2:$A$301,0), Skills!M15+1)</f>
        <v/>
      </c>
      <c r="F3531">
        <f>IF(Skills!N15=TRUE,(Skills!L15/10)*(E3531/1000),Skills!L15/10)+Skills!O15</f>
        <v/>
      </c>
      <c r="G3531">
        <f>Calc!G15</f>
        <v/>
      </c>
      <c r="H3531">
        <f>Calc!H15</f>
        <v/>
      </c>
      <c r="I3531">
        <f>IF(Skills!AA15&lt;&gt;"",1+(Skills!AA15/10)*(U3519/1000)/100,1)</f>
        <v/>
      </c>
      <c r="J3531" t="inlineStr"/>
      <c r="K3531" t="inlineStr"/>
      <c r="L3531" t="inlineStr"/>
      <c r="M3531" t="inlineStr"/>
      <c r="N3531" t="inlineStr"/>
      <c r="O3531">
        <f>(1-Summary!$B$11)*T3531+Summary!$B$11*V3531</f>
        <v/>
      </c>
      <c r="P3531">
        <f>IF(B3560=0,0,O3531/B3560)</f>
        <v/>
      </c>
      <c r="Q3531">
        <f>IFERROR(1/IF(Inputs!$B$39="pvp",15,MAX(0.1,Skills!D15-IF(Skills!E15=TRUE,4.0,0))),0)</f>
        <v/>
      </c>
      <c r="R3531">
        <f>IF(AND(Inputs!$B$39&lt;&gt;"pvp",Inputs!$B$44&gt;0),IF(Inputs!$B$44&lt;=0,0,(INT(Inputs!$B$44/IF(Inputs!$B$39="pvp",15,MAX(0.1,Skills!D15-IF(Skills!E15=TRUE,4.0,0))))+1)),0)</f>
        <v/>
      </c>
      <c r="S3531">
        <f>IFERROR(O3531/N3531,0)</f>
        <v/>
      </c>
      <c r="T3531" t="n">
        <v>0</v>
      </c>
      <c r="V3531" t="n">
        <v>0</v>
      </c>
    </row>
    <row r="3532">
      <c r="A3532">
        <f>Skills!A16</f>
        <v/>
      </c>
      <c r="B3532">
        <f>Skills!B16</f>
        <v/>
      </c>
      <c r="C3532">
        <f>Inputs!$B$3&gt;=110</f>
        <v/>
      </c>
      <c r="D3532">
        <f>IF(Skills!C16=1,60+Inputs!$B$25+Inputs!$B$29,IF(Skills!C16=2,90+Inputs!$B$26+Inputs!$B$29,IF(Skills!C16=3,120+Inputs!$B$27+Inputs!$B$29,MAX(0,(Inputs!$B$3-100)*3)+Inputs!$B$28+Inputs!$B$29)))</f>
        <v/>
      </c>
      <c r="E3532">
        <f>INDEX(FactorTable!$B$2:$Y$301, MATCH(ROUND(MIN(300,MAX(1,D3532)),0), FactorTable!$A$2:$A$301,0), Skills!M16+1)</f>
        <v/>
      </c>
      <c r="F3532">
        <f>IF(Skills!N16=TRUE,(Skills!L16/10)*(E3532/1000),Skills!L16/10)+Skills!O16</f>
        <v/>
      </c>
      <c r="G3532">
        <f>Calc!G16</f>
        <v/>
      </c>
      <c r="H3532">
        <f>Calc!H16</f>
        <v/>
      </c>
      <c r="I3532">
        <f>IF(Skills!AA16&lt;&gt;"",1+(Skills!AA16/10)*(U3519/1000)/100,1)</f>
        <v/>
      </c>
      <c r="J3532" t="inlineStr"/>
      <c r="K3532" t="inlineStr"/>
      <c r="L3532" t="inlineStr"/>
      <c r="M3532" t="inlineStr"/>
      <c r="N3532" t="inlineStr"/>
      <c r="O3532">
        <f>(1-Summary!$B$11)*T3532+Summary!$B$11*V3532</f>
        <v/>
      </c>
      <c r="P3532">
        <f>IF(B3560=0,0,O3532/B3560)</f>
        <v/>
      </c>
      <c r="Q3532">
        <f>IFERROR(1/IF(Inputs!$B$39="pvp",15,MAX(0.1,Skills!D16-IF(Skills!E16=TRUE,4.0,0))),0)</f>
        <v/>
      </c>
      <c r="R3532">
        <f>IF(AND(Inputs!$B$39&lt;&gt;"pvp",Inputs!$B$44&gt;0),IF(Inputs!$B$44&lt;=0,0,(INT(Inputs!$B$44/IF(Inputs!$B$39="pvp",15,MAX(0.1,Skills!D16-IF(Skills!E16=TRUE,4.0,0))))+1)),0)</f>
        <v/>
      </c>
      <c r="S3532">
        <f>IFERROR(O3532/N3532,0)</f>
        <v/>
      </c>
      <c r="T3532" t="n">
        <v>0</v>
      </c>
      <c r="V3532" t="n">
        <v>0</v>
      </c>
    </row>
    <row r="3533">
      <c r="A3533">
        <f>Skills!A17</f>
        <v/>
      </c>
      <c r="B3533">
        <f>Skills!B17</f>
        <v/>
      </c>
      <c r="C3533">
        <f>Inputs!$B$3&gt;=115</f>
        <v/>
      </c>
      <c r="D3533">
        <f>IF(Skills!C17=1,60+Inputs!$B$25+Inputs!$B$29,IF(Skills!C17=2,90+Inputs!$B$26+Inputs!$B$29,IF(Skills!C17=3,120+Inputs!$B$27+Inputs!$B$29,MAX(0,(Inputs!$B$3-100)*3)+Inputs!$B$28+Inputs!$B$29)))</f>
        <v/>
      </c>
      <c r="E3533">
        <f>INDEX(FactorTable!$B$2:$Y$301, MATCH(ROUND(MIN(300,MAX(1,D3533)),0), FactorTable!$A$2:$A$301,0), Skills!M17+1)</f>
        <v/>
      </c>
      <c r="F3533">
        <f>IF(Skills!N17=TRUE,(Skills!L17/10)*(E3533/1000),Skills!L17/10)+Skills!O17</f>
        <v/>
      </c>
      <c r="G3533">
        <f>Calc!G17</f>
        <v/>
      </c>
      <c r="H3533">
        <f>Calc!H17</f>
        <v/>
      </c>
      <c r="I3533">
        <f>IF(Skills!AA17&lt;&gt;"",1+(Skills!AA17/10)*(U3519/1000)/100,1)</f>
        <v/>
      </c>
      <c r="J3533">
        <f>((Inputs!$B$6*(1+Inputs!$B$7/100))+(((Inputs!$B$12*(1+Inputs!$B$13/100))-(Inputs!$B$12*(1+Inputs!$B$13/100)))+0.25*(Inputs!$B$14-Inputs!$B$14))*(1+Inputs!$B$7/100))*(F3533/100)</f>
        <v/>
      </c>
      <c r="K3533">
        <f>J3533*(1+((Inputs!$B$12*(1+Inputs!$B$13/100))*0.01+Inputs!$B$14*0.0025)/100)*(1+Inputs!$B$15/100)*(1+Inputs!$B$16/100)*(5000/(6000+Inputs!$B$43*(1-(100*(1-(1-(Inputs!$B$19+0)/100)*(1-CHOOSE(ArtifactsInput!$N$40+1,5,6,7,8,9,10)/100)^(ArtifactsInput!$M$40-ArtifactsInput!$M$40)))/100)))*(1+(Inputs!$B$24+((C3546=TRUE)*(F3546-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3539=TRUE)*(F3539-Calc!F23))+(((IF(AND(ArtifactsInput!$M$42,((Inputs!$B$9+((C3541=TRUE)*(F3541-Calc!F25))+B3556+(ArtifactsInput!$M$24-ArtifactsInput!$M$24)*CHOOSE(ArtifactsInput!$N$24+1,10,12,14,16,18,20)+IF(ArtifactsInput!$M$10,CHOOSE(ArtifactsInput!$N$10+1,15,18,21,24,27,30)*(IF(Inputs!$B$39="pvp",MIN(15,15)/15,IF(AND(Inputs!$B$39&lt;&gt;"pvp",Inputs!$B$44&gt;0),MIN(15,Inputs!$B$44)/(Inputs!$B$44),0))),0)))&gt;=100),MIN(100,((Inputs!$B$9+((C3541=TRUE)*(F3541-Calc!F25))+B3556+(ArtifactsInput!$M$24-ArtifactsInput!$M$24)*CHOOSE(ArtifactsInput!$N$24+1,10,12,14,16,18,20)+IF(ArtifactsInput!$M$10,CHOOSE(ArtifactsInput!$N$10+1,15,18,21,24,27,30)*(IF(Inputs!$B$39="pvp",MIN(15,15)/15,IF(AND(Inputs!$B$39&lt;&gt;"pvp",Inputs!$B$44&gt;0),MIN(15,Inputs!$B$44)/(Inputs!$B$44),0))),0)))-100),0))*CHOOSE(ArtifactsInput!$N$42+1,0.6,0.72,0.84,0.96,1.08,1.2))),Inputs!$B$18+((C3545=TRUE)*(F3545-Calc!F29))+(IF(AND(ArtifactsInput!$M$42,((Inputs!$B$9+((C3541=TRUE)*(F3541-Calc!F25))+B3556+(ArtifactsInput!$M$24-ArtifactsInput!$M$24)*CHOOSE(ArtifactsInput!$N$24+1,10,12,14,16,18,20)+IF(ArtifactsInput!$M$10,CHOOSE(ArtifactsInput!$N$10+1,15,18,21,24,27,30)*(IF(Inputs!$B$39="pvp",MIN(15,15)/15,IF(AND(Inputs!$B$39&lt;&gt;"pvp",Inputs!$B$44&gt;0),MIN(15,Inputs!$B$44)/(Inputs!$B$44),0))),0)))&gt;=100),CHOOSE(ArtifactsInput!$N$42+1,40,48,56,64,72,80),0))))/100)*(((1+(((C3537=TRUE)*F3537*IF(AND(Inputs!$B$39&lt;&gt;"pvp",Inputs!$B$44&gt;0),(((R3537-1)*(Skills!Y21*(1+Inputs!$B$34/100))+MIN((Skills!Y21*(1+Inputs!$B$34/100)),MAX(0,Inputs!$B$44-((R3537-1)*Skills!D21))))/Inputs!$B$44),IF(Inputs!$B$39="pvp",MIN((Skills!Y21*(1+Inputs!$B$34/100)),15)/15,(Skills!Y21*(1+Inputs!$B$34/100))/Skills!D21)))+((C3544=TRUE)*(F3544-Calc!F28))+((C3534=TRUE)*(F3534-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3531=TRUE)*F3531*IF(AND(Inputs!$B$39&lt;&gt;"pvp",Inputs!$B$44&gt;0),(((R3531-1)*(Skills!Y15*(1+Inputs!$B$34/100))+MIN((Skills!Y15*(1+Inputs!$B$34/100)),MAX(0,Inputs!$B$44-((R3531-1)*Skills!D15))))/Inputs!$B$44),IF(Inputs!$B$39="pvp",MIN((Skills!Y15*(1+Inputs!$B$34/100)),15)/15,(Skills!Y15*(1+Inputs!$B$34/100))/Skills!D15)))/100)*(1+((C3522=TRUE)*F3522*B3550)/100))*B3558*(1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3533)</f>
        <v/>
      </c>
      <c r="L3533">
        <f>K3533*(MIN(Inputs!$B$22+((C3540=TRUE)*(F3540-Calc!F24)),(Inputs!$B$23+0+(IF(ArtifactsInput!$M$15,CHOOSE(ArtifactsInput!$N$15+1,25,30,35,40,45,50)/100*(Inputs!$B$11-Inputs!$B$11),0))))/100+(Inputs!$B$23+0+(IF(ArtifactsInput!$M$15,CHOOSE(ArtifactsInput!$N$15+1,25,30,35,40,45,50)/100*(Inputs!$B$11-Inputs!$B$11),0)))/100)/2</f>
        <v/>
      </c>
      <c r="M3533">
        <f>L3533*(1+(Inputs!$B$10+((C3542=TRUE)*(F3542-Calc!F26))+B3559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33">
        <f>L3533*(1-MIN((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3533*(MIN((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33">
        <f>(1-Summary!$B$11)*T3533+Summary!$B$11*V3533</f>
        <v/>
      </c>
      <c r="P3533">
        <f>IF(B3560=0,0,O3533/B3560)</f>
        <v/>
      </c>
      <c r="Q3533" t="n">
        <v>0</v>
      </c>
      <c r="R3533" t="n">
        <v>0</v>
      </c>
      <c r="S3533">
        <f>IFERROR(O3533/N3533,0)</f>
        <v/>
      </c>
      <c r="T3533">
        <f>IF(C3533,(Inputs!$B$38*0.2*N3533)*IF(Inputs!$B$39="pvp",1,1+(Inputs!$B$20+((C3543=TRUE)*(F3543-Calc!F27))+Skills!P17+B3557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Hunt"),CHOOSE(ArtifactsInput!$N$35+1,15,18,21,24,27,30)*(1-EXP(-(0.2*B3552)*5)),0)+IF(AND(ArtifactsInput!$M$22,Inputs!$B$4&lt;&gt;"Chapter Hunt"),CHOOSE(ArtifactsInput!$N$22+1,10,12,14,16,18,20)*((0*(((0.15*B3552*5))^0/1)+1*(((0.15*B3552*5))^1/1)+2*(((0.15*B3552*5))^2/2)+3*(((0.15*B3552*5))^3/6)+4*(((0.15*B3552*5))^4/24)+5*(((0.15*B3552*5))^5/120))/((((0.15*B3552*5))^0/1)+(((0.15*B3552*5))^1/1)+(((0.15*B3552*5))^2/2)+(((0.15*B3552*5))^3/6)+(((0.15*B3552*5))^4/24)+(((0.15*B3552*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3533*(1-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3533*(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3533*(1-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3533*(MIN(100,(Inputs!$B$9+((C3541=TRUE)*(F3541-Calc!F25))+B3556+(ArtifactsInput!$M$24-ArtifactsInput!$M$24)*CHOOSE(ArtifactsInput!$N$24+1,10,12,14,16,18,20)+(IF(AND(ArtifactsInput!$M$42,((Inputs!$B$9+((C3541=TRUE)*(F3541-Calc!F25))+B3556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33">
        <f>IF(C3533,(Inputs!$B$38*0.2*N3533)*IF(Inputs!$B$39="pvp",1,(1+(Inputs!$B$21+Skills!Q17+B3557+(IF(ArtifactsInput!$M$33,CHOOSE(ArtifactsInput!$N$33+1,30,36,42,48,54,60),0))+(IF(AND(ArtifactsInput!$M$35,Inputs!$B$4&lt;&gt;"Chapter Hunt"),CHOOSE(ArtifactsInput!$N$35+1,15,18,21,24,27,30)*(1-EXP(-(0.2*B3552)*5)),0)+IF(AND(ArtifactsInput!$M$22,Inputs!$B$4&lt;&gt;"Chapter Hunt"),CHOOSE(ArtifactsInput!$N$22+1,10,12,14,16,18,20)*((0*(((0.15*B3552*5))^0/1)+1*(((0.15*B3552*5))^1/1)+2*(((0.15*B3552*5))^2/2)+3*(((0.15*B3552*5))^3/6)+4*(((0.15*B3552*5))^4/24)+5*(((0.15*B3552*5))^5/120))/((((0.15*B3552*5))^0/1)+(((0.15*B3552*5))^1/1)+(((0.15*B3552*5))^2/2)+(((0.15*B3552*5))^3/6)+(((0.15*B3552*5))^4/24)+(((0.15*B3552*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34">
      <c r="A3534">
        <f>Skills!A18</f>
        <v/>
      </c>
      <c r="B3534">
        <f>Skills!B18</f>
        <v/>
      </c>
      <c r="C3534">
        <f>Inputs!$B$3&gt;=115</f>
        <v/>
      </c>
      <c r="D3534">
        <f>IF(Skills!C18=1,60+Inputs!$B$25+Inputs!$B$29,IF(Skills!C18=2,90+Inputs!$B$26+Inputs!$B$29,IF(Skills!C18=3,120+Inputs!$B$27+Inputs!$B$29,MAX(0,(Inputs!$B$3-100)*3)+Inputs!$B$28+Inputs!$B$29)))</f>
        <v/>
      </c>
      <c r="E3534">
        <f>INDEX(FactorTable!$B$2:$Y$301, MATCH(ROUND(MIN(300,MAX(1,D3534)),0), FactorTable!$A$2:$A$301,0), Skills!M18+1)</f>
        <v/>
      </c>
      <c r="F3534">
        <f>IF(Skills!N18=TRUE,(Skills!L18/10)*(E3534/1000),Skills!L18/10)+Skills!O18</f>
        <v/>
      </c>
      <c r="G3534">
        <f>Calc!G18</f>
        <v/>
      </c>
      <c r="H3534">
        <f>Calc!H18</f>
        <v/>
      </c>
      <c r="I3534">
        <f>IF(Skills!AA18&lt;&gt;"",1+(Skills!AA18/10)*(U3519/1000)/100,1)</f>
        <v/>
      </c>
      <c r="J3534" t="inlineStr"/>
      <c r="K3534" t="inlineStr"/>
      <c r="L3534" t="inlineStr"/>
      <c r="M3534" t="inlineStr"/>
      <c r="N3534" t="inlineStr"/>
      <c r="O3534">
        <f>(1-Summary!$B$11)*T3534+Summary!$B$11*V3534</f>
        <v/>
      </c>
      <c r="P3534">
        <f>IF(B3560=0,0,O3534/B3560)</f>
        <v/>
      </c>
      <c r="Q3534" t="n">
        <v>0</v>
      </c>
      <c r="R3534" t="n">
        <v>0</v>
      </c>
      <c r="S3534">
        <f>IFERROR(O3534/N3534,0)</f>
        <v/>
      </c>
      <c r="T3534" t="n">
        <v>0</v>
      </c>
      <c r="V3534" t="n">
        <v>0</v>
      </c>
    </row>
    <row r="3535">
      <c r="A3535">
        <f>Skills!A19</f>
        <v/>
      </c>
      <c r="B3535">
        <f>Skills!B19</f>
        <v/>
      </c>
      <c r="C3535">
        <f>TRUE</f>
        <v/>
      </c>
      <c r="D3535">
        <f>IF(Skills!C19=1,60+Inputs!$B$25+Inputs!$B$29,IF(Skills!C19=2,90+Inputs!$B$26+Inputs!$B$29,IF(Skills!C19=3,120+Inputs!$B$27+Inputs!$B$29,MAX(0,(Inputs!$B$3-100)*3)+Inputs!$B$28+Inputs!$B$29)))</f>
        <v/>
      </c>
      <c r="E3535">
        <f>INDEX(FactorTable!$B$2:$Y$301, MATCH(ROUND(MIN(300,MAX(1,D3535)),0), FactorTable!$A$2:$A$301,0), Skills!M19+1)</f>
        <v/>
      </c>
      <c r="F3535">
        <f>IF(Skills!N19=TRUE,(Skills!L19/10)*(E3535/1000),Skills!L19/10)+Skills!O19</f>
        <v/>
      </c>
      <c r="G3535">
        <f>Calc!G19</f>
        <v/>
      </c>
      <c r="H3535">
        <f>Calc!H19</f>
        <v/>
      </c>
      <c r="I3535">
        <f>IF(Skills!AA19&lt;&gt;"",1+(Skills!AA19/10)*(U3519/1000)/100,1)</f>
        <v/>
      </c>
      <c r="J3535" t="inlineStr"/>
      <c r="K3535" t="inlineStr"/>
      <c r="L3535" t="inlineStr"/>
      <c r="M3535" t="inlineStr"/>
      <c r="N3535" t="inlineStr"/>
      <c r="O3535">
        <f>(1-Summary!$B$11)*T3535+Summary!$B$11*V3535</f>
        <v/>
      </c>
      <c r="P3535">
        <f>IF(B3560=0,0,O3535/B3560)</f>
        <v/>
      </c>
      <c r="Q3535">
        <f>IFERROR(1/IF(Inputs!$B$39="pvp",15,MAX(0.1,Skills!D19-IF(Skills!E19=TRUE,4.0,0))),0)</f>
        <v/>
      </c>
      <c r="R3535">
        <f>IF(AND(Inputs!$B$39&lt;&gt;"pvp",Inputs!$B$44&gt;0),IF(Inputs!$B$44&lt;=0,0,(INT(Inputs!$B$44/IF(Inputs!$B$39="pvp",15,MAX(0.1,Skills!D19-IF(Skills!E19=TRUE,4.0,0))))+1)),0)</f>
        <v/>
      </c>
      <c r="S3535">
        <f>IFERROR(O3535/N3535,0)</f>
        <v/>
      </c>
      <c r="T3535" t="n">
        <v>0</v>
      </c>
      <c r="V3535" t="n">
        <v>0</v>
      </c>
    </row>
    <row r="3536">
      <c r="A3536">
        <f>Skills!A20</f>
        <v/>
      </c>
      <c r="B3536">
        <f>Skills!B20</f>
        <v/>
      </c>
      <c r="C3536">
        <f>Inputs!$B$3&gt;=15</f>
        <v/>
      </c>
      <c r="D3536">
        <f>IF(Skills!C20=1,60+Inputs!$B$25+Inputs!$B$29,IF(Skills!C20=2,90+Inputs!$B$26+Inputs!$B$29,IF(Skills!C20=3,120+Inputs!$B$27+Inputs!$B$29,MAX(0,(Inputs!$B$3-100)*3)+Inputs!$B$28+Inputs!$B$29)))</f>
        <v/>
      </c>
      <c r="E3536">
        <f>INDEX(FactorTable!$B$2:$Y$301, MATCH(ROUND(MIN(300,MAX(1,D3536)),0), FactorTable!$A$2:$A$301,0), Skills!M20+1)</f>
        <v/>
      </c>
      <c r="F3536">
        <f>IF(Skills!N20=TRUE,(Skills!L20/10)*(E3536/1000),Skills!L20/10)+Skills!O20</f>
        <v/>
      </c>
      <c r="G3536">
        <f>Calc!G20</f>
        <v/>
      </c>
      <c r="H3536">
        <f>Calc!H20</f>
        <v/>
      </c>
      <c r="I3536">
        <f>IF(Skills!AA20&lt;&gt;"",1+(Skills!AA20/10)*(U3519/1000)/100,1)</f>
        <v/>
      </c>
      <c r="J3536" t="inlineStr"/>
      <c r="K3536" t="inlineStr"/>
      <c r="L3536" t="inlineStr"/>
      <c r="M3536" t="inlineStr"/>
      <c r="N3536" t="inlineStr"/>
      <c r="O3536">
        <f>(1-Summary!$B$11)*T3536+Summary!$B$11*V3536</f>
        <v/>
      </c>
      <c r="P3536">
        <f>IF(B3560=0,0,O3536/B3560)</f>
        <v/>
      </c>
      <c r="Q3536">
        <f>IFERROR(1/IF(Inputs!$B$39="pvp",15,MAX(0.1,Skills!D20-IF(Skills!E20=TRUE,4.0,0))),0)</f>
        <v/>
      </c>
      <c r="R3536">
        <f>IF(AND(Inputs!$B$39&lt;&gt;"pvp",Inputs!$B$44&gt;0),IF(Inputs!$B$44&lt;=0,0,(INT(Inputs!$B$44/IF(Inputs!$B$39="pvp",15,MAX(0.1,Skills!D20-IF(Skills!E20=TRUE,4.0,0))))+1)),0)</f>
        <v/>
      </c>
      <c r="S3536">
        <f>IFERROR(O3536/N3536,0)</f>
        <v/>
      </c>
      <c r="T3536" t="n">
        <v>0</v>
      </c>
      <c r="V3536" t="n">
        <v>0</v>
      </c>
    </row>
    <row r="3537">
      <c r="A3537">
        <f>Skills!A21</f>
        <v/>
      </c>
      <c r="B3537">
        <f>Skills!B21</f>
        <v/>
      </c>
      <c r="C3537">
        <f>Inputs!$B$3&gt;=15</f>
        <v/>
      </c>
      <c r="D3537">
        <f>IF(Skills!C21=1,60+Inputs!$B$25+Inputs!$B$29,IF(Skills!C21=2,90+Inputs!$B$26+Inputs!$B$29,IF(Skills!C21=3,120+Inputs!$B$27+Inputs!$B$29,MAX(0,(Inputs!$B$3-100)*3)+Inputs!$B$28+Inputs!$B$29)))</f>
        <v/>
      </c>
      <c r="E3537">
        <f>INDEX(FactorTable!$B$2:$Y$301, MATCH(ROUND(MIN(300,MAX(1,D3537)),0), FactorTable!$A$2:$A$301,0), Skills!M21+1)</f>
        <v/>
      </c>
      <c r="F3537">
        <f>IF(Skills!N21=TRUE,(Skills!L21/10)*(E3537/1000),Skills!L21/10)+Skills!O21</f>
        <v/>
      </c>
      <c r="G3537">
        <f>Calc!G21</f>
        <v/>
      </c>
      <c r="H3537">
        <f>Calc!H21</f>
        <v/>
      </c>
      <c r="I3537">
        <f>IF(Skills!AA21&lt;&gt;"",1+(Skills!AA21/10)*(U3519/1000)/100,1)</f>
        <v/>
      </c>
      <c r="J3537" t="inlineStr"/>
      <c r="K3537" t="inlineStr"/>
      <c r="L3537" t="inlineStr"/>
      <c r="M3537" t="inlineStr"/>
      <c r="N3537" t="inlineStr"/>
      <c r="O3537">
        <f>(1-Summary!$B$11)*T3537+Summary!$B$11*V3537</f>
        <v/>
      </c>
      <c r="P3537">
        <f>IF(B3560=0,0,O3537/B3560)</f>
        <v/>
      </c>
      <c r="Q3537">
        <f>IFERROR(1/IF(Inputs!$B$39="pvp",15,MAX(0.1,Skills!D21-IF(Skills!E21=TRUE,4.0,0))),0)</f>
        <v/>
      </c>
      <c r="R3537">
        <f>IF(AND(Inputs!$B$39&lt;&gt;"pvp",Inputs!$B$44&gt;0),IF(Inputs!$B$44&lt;=0,0,(INT(Inputs!$B$44/IF(Inputs!$B$39="pvp",15,MAX(0.1,Skills!D21-IF(Skills!E21=TRUE,4.0,0))))+1)),0)</f>
        <v/>
      </c>
      <c r="S3537">
        <f>IFERROR(O3537/N3537,0)</f>
        <v/>
      </c>
      <c r="T3537" t="n">
        <v>0</v>
      </c>
      <c r="V3537" t="n">
        <v>0</v>
      </c>
    </row>
    <row r="3538">
      <c r="A3538">
        <f>Skills!A22</f>
        <v/>
      </c>
      <c r="B3538">
        <f>Skills!B22</f>
        <v/>
      </c>
      <c r="C3538">
        <f>Inputs!$B$3&gt;=33</f>
        <v/>
      </c>
      <c r="D3538">
        <f>IF(Skills!C22=1,60+Inputs!$B$25+Inputs!$B$29,IF(Skills!C22=2,90+Inputs!$B$26+Inputs!$B$29,IF(Skills!C22=3,120+Inputs!$B$27+Inputs!$B$29,MAX(0,(Inputs!$B$3-100)*3)+Inputs!$B$28+Inputs!$B$29)))</f>
        <v/>
      </c>
      <c r="E3538">
        <f>INDEX(FactorTable!$B$2:$Y$301, MATCH(ROUND(MIN(300,MAX(1,D3538)),0), FactorTable!$A$2:$A$301,0), Skills!M22+1)</f>
        <v/>
      </c>
      <c r="F3538">
        <f>IF(Skills!N22=TRUE,(Skills!L22/10)*(E3538/1000),Skills!L22/10)+Skills!O22</f>
        <v/>
      </c>
      <c r="G3538">
        <f>Calc!G22</f>
        <v/>
      </c>
      <c r="H3538">
        <f>Calc!H22</f>
        <v/>
      </c>
      <c r="I3538">
        <f>IF(Skills!AA22&lt;&gt;"",1+(Skills!AA22/10)*(U3519/1000)/100,1)</f>
        <v/>
      </c>
      <c r="J3538" t="inlineStr"/>
      <c r="K3538" t="inlineStr"/>
      <c r="L3538" t="inlineStr"/>
      <c r="M3538" t="inlineStr"/>
      <c r="N3538" t="inlineStr"/>
      <c r="O3538">
        <f>(1-Summary!$B$11)*T3538+Summary!$B$11*V3538</f>
        <v/>
      </c>
      <c r="P3538">
        <f>IF(B3560=0,0,O3538/B3560)</f>
        <v/>
      </c>
      <c r="Q3538" t="n">
        <v>0</v>
      </c>
      <c r="R3538" t="n">
        <v>0</v>
      </c>
      <c r="S3538">
        <f>IFERROR(O3538/N3538,0)</f>
        <v/>
      </c>
      <c r="T3538" t="n">
        <v>0</v>
      </c>
      <c r="V3538" t="n">
        <v>0</v>
      </c>
    </row>
    <row r="3539">
      <c r="A3539">
        <f>Skills!A23</f>
        <v/>
      </c>
      <c r="B3539">
        <f>Skills!B23</f>
        <v/>
      </c>
      <c r="C3539">
        <f>Inputs!$B$3&gt;=38</f>
        <v/>
      </c>
      <c r="D3539">
        <f>IF(Skills!C23=1,60+Inputs!$B$25+Inputs!$B$29,IF(Skills!C23=2,90+Inputs!$B$26+Inputs!$B$29,IF(Skills!C23=3,120+Inputs!$B$27+Inputs!$B$29,MAX(0,(Inputs!$B$3-100)*3)+Inputs!$B$28+Inputs!$B$29)))</f>
        <v/>
      </c>
      <c r="E3539">
        <f>INDEX(FactorTable!$B$2:$Y$301, MATCH(ROUND(MIN(300,MAX(1,D3539)),0), FactorTable!$A$2:$A$301,0), Skills!M23+1)</f>
        <v/>
      </c>
      <c r="F3539">
        <f>IF(Skills!N23=TRUE,(Skills!L23/10)*(E3539/1000),Skills!L23/10)+Skills!O23</f>
        <v/>
      </c>
      <c r="G3539">
        <f>Calc!G23</f>
        <v/>
      </c>
      <c r="H3539">
        <f>Calc!H23</f>
        <v/>
      </c>
      <c r="I3539">
        <f>IF(Skills!AA23&lt;&gt;"",1+(Skills!AA23/10)*(U3519/1000)/100,1)</f>
        <v/>
      </c>
      <c r="J3539" t="inlineStr"/>
      <c r="K3539" t="inlineStr"/>
      <c r="L3539" t="inlineStr"/>
      <c r="M3539" t="inlineStr"/>
      <c r="N3539" t="inlineStr"/>
      <c r="O3539">
        <f>(1-Summary!$B$11)*T3539+Summary!$B$11*V3539</f>
        <v/>
      </c>
      <c r="P3539">
        <f>IF(B3560=0,0,O3539/B3560)</f>
        <v/>
      </c>
      <c r="Q3539" t="n">
        <v>0</v>
      </c>
      <c r="R3539" t="n">
        <v>0</v>
      </c>
      <c r="S3539">
        <f>IFERROR(O3539/N3539,0)</f>
        <v/>
      </c>
      <c r="T3539" t="n">
        <v>0</v>
      </c>
      <c r="V3539" t="n">
        <v>0</v>
      </c>
    </row>
    <row r="3540">
      <c r="A3540">
        <f>Skills!A24</f>
        <v/>
      </c>
      <c r="B3540">
        <f>Skills!B24</f>
        <v/>
      </c>
      <c r="C3540">
        <f>Inputs!$B$3&gt;=40</f>
        <v/>
      </c>
      <c r="D3540">
        <f>IF(Skills!C24=1,60+Inputs!$B$25+Inputs!$B$29,IF(Skills!C24=2,90+Inputs!$B$26+Inputs!$B$29,IF(Skills!C24=3,120+Inputs!$B$27+Inputs!$B$29,MAX(0,(Inputs!$B$3-100)*3)+Inputs!$B$28+Inputs!$B$29)))</f>
        <v/>
      </c>
      <c r="E3540">
        <f>INDEX(FactorTable!$B$2:$Y$301, MATCH(ROUND(MIN(300,MAX(1,D3540)),0), FactorTable!$A$2:$A$301,0), Skills!M24+1)</f>
        <v/>
      </c>
      <c r="F3540">
        <f>IF(Skills!N24=TRUE,(Skills!L24/10)*(E3540/1000),Skills!L24/10)+Skills!O24</f>
        <v/>
      </c>
      <c r="G3540">
        <f>Calc!G24</f>
        <v/>
      </c>
      <c r="H3540">
        <f>Calc!H24</f>
        <v/>
      </c>
      <c r="I3540">
        <f>IF(Skills!AA24&lt;&gt;"",1+(Skills!AA24/10)*(U3519/1000)/100,1)</f>
        <v/>
      </c>
      <c r="J3540" t="inlineStr"/>
      <c r="K3540" t="inlineStr"/>
      <c r="L3540" t="inlineStr"/>
      <c r="M3540" t="inlineStr"/>
      <c r="N3540" t="inlineStr"/>
      <c r="O3540">
        <f>(1-Summary!$B$11)*T3540+Summary!$B$11*V3540</f>
        <v/>
      </c>
      <c r="P3540">
        <f>IF(B3560=0,0,O3540/B3560)</f>
        <v/>
      </c>
      <c r="Q3540" t="n">
        <v>0</v>
      </c>
      <c r="R3540" t="n">
        <v>0</v>
      </c>
      <c r="S3540">
        <f>IFERROR(O3540/N3540,0)</f>
        <v/>
      </c>
      <c r="T3540" t="n">
        <v>0</v>
      </c>
      <c r="V3540" t="n">
        <v>0</v>
      </c>
    </row>
    <row r="3541">
      <c r="A3541">
        <f>Skills!A25</f>
        <v/>
      </c>
      <c r="B3541">
        <f>Skills!B25</f>
        <v/>
      </c>
      <c r="C3541">
        <f>Inputs!$B$3&gt;=45</f>
        <v/>
      </c>
      <c r="D3541">
        <f>IF(Skills!C25=1,60+Inputs!$B$25+Inputs!$B$29,IF(Skills!C25=2,90+Inputs!$B$26+Inputs!$B$29,IF(Skills!C25=3,120+Inputs!$B$27+Inputs!$B$29,MAX(0,(Inputs!$B$3-100)*3)+Inputs!$B$28+Inputs!$B$29)))</f>
        <v/>
      </c>
      <c r="E3541">
        <f>INDEX(FactorTable!$B$2:$Y$301, MATCH(ROUND(MIN(300,MAX(1,D3541)),0), FactorTable!$A$2:$A$301,0), Skills!M25+1)</f>
        <v/>
      </c>
      <c r="F3541">
        <f>IF(Skills!N25=TRUE,(Skills!L25/10)*(E3541/1000),Skills!L25/10)+Skills!O25</f>
        <v/>
      </c>
      <c r="G3541">
        <f>Calc!G25</f>
        <v/>
      </c>
      <c r="H3541">
        <f>Calc!H25</f>
        <v/>
      </c>
      <c r="I3541">
        <f>IF(Skills!AA25&lt;&gt;"",1+(Skills!AA25/10)*(U3519/1000)/100,1)</f>
        <v/>
      </c>
      <c r="J3541" t="inlineStr"/>
      <c r="K3541" t="inlineStr"/>
      <c r="L3541" t="inlineStr"/>
      <c r="M3541" t="inlineStr"/>
      <c r="N3541" t="inlineStr"/>
      <c r="O3541">
        <f>(1-Summary!$B$11)*T3541+Summary!$B$11*V3541</f>
        <v/>
      </c>
      <c r="P3541">
        <f>IF(B3560=0,0,O3541/B3560)</f>
        <v/>
      </c>
      <c r="Q3541" t="n">
        <v>0</v>
      </c>
      <c r="R3541" t="n">
        <v>0</v>
      </c>
      <c r="S3541">
        <f>IFERROR(O3541/N3541,0)</f>
        <v/>
      </c>
      <c r="T3541" t="n">
        <v>0</v>
      </c>
      <c r="V3541" t="n">
        <v>0</v>
      </c>
    </row>
    <row r="3542">
      <c r="A3542">
        <f>Skills!A26</f>
        <v/>
      </c>
      <c r="B3542">
        <f>Skills!B26</f>
        <v/>
      </c>
      <c r="C3542">
        <f>Inputs!$B$3&gt;=45</f>
        <v/>
      </c>
      <c r="D3542">
        <f>IF(Skills!C26=1,60+Inputs!$B$25+Inputs!$B$29,IF(Skills!C26=2,90+Inputs!$B$26+Inputs!$B$29,IF(Skills!C26=3,120+Inputs!$B$27+Inputs!$B$29,MAX(0,(Inputs!$B$3-100)*3)+Inputs!$B$28+Inputs!$B$29)))</f>
        <v/>
      </c>
      <c r="E3542">
        <f>INDEX(FactorTable!$B$2:$Y$301, MATCH(ROUND(MIN(300,MAX(1,D3542)),0), FactorTable!$A$2:$A$301,0), Skills!M26+1)</f>
        <v/>
      </c>
      <c r="F3542">
        <f>IF(Skills!N26=TRUE,(Skills!L26/10)*(E3542/1000),Skills!L26/10)+Skills!O26</f>
        <v/>
      </c>
      <c r="G3542">
        <f>Calc!G26</f>
        <v/>
      </c>
      <c r="H3542">
        <f>Calc!H26</f>
        <v/>
      </c>
      <c r="I3542">
        <f>IF(Skills!AA26&lt;&gt;"",1+(Skills!AA26/10)*(U3519/1000)/100,1)</f>
        <v/>
      </c>
      <c r="J3542" t="inlineStr"/>
      <c r="K3542" t="inlineStr"/>
      <c r="L3542" t="inlineStr"/>
      <c r="M3542" t="inlineStr"/>
      <c r="N3542" t="inlineStr"/>
      <c r="O3542">
        <f>(1-Summary!$B$11)*T3542+Summary!$B$11*V3542</f>
        <v/>
      </c>
      <c r="P3542">
        <f>IF(B3560=0,0,O3542/B3560)</f>
        <v/>
      </c>
      <c r="Q3542" t="n">
        <v>0</v>
      </c>
      <c r="R3542" t="n">
        <v>0</v>
      </c>
      <c r="S3542">
        <f>IFERROR(O3542/N3542,0)</f>
        <v/>
      </c>
      <c r="T3542" t="n">
        <v>0</v>
      </c>
      <c r="V3542" t="n">
        <v>0</v>
      </c>
    </row>
    <row r="3543">
      <c r="A3543">
        <f>Skills!A27</f>
        <v/>
      </c>
      <c r="B3543">
        <f>Skills!B27</f>
        <v/>
      </c>
      <c r="C3543">
        <f>Inputs!$B$3&gt;=72</f>
        <v/>
      </c>
      <c r="D3543">
        <f>IF(Skills!C27=1,60+Inputs!$B$25+Inputs!$B$29,IF(Skills!C27=2,90+Inputs!$B$26+Inputs!$B$29,IF(Skills!C27=3,120+Inputs!$B$27+Inputs!$B$29,MAX(0,(Inputs!$B$3-100)*3)+Inputs!$B$28+Inputs!$B$29)))</f>
        <v/>
      </c>
      <c r="E3543">
        <f>INDEX(FactorTable!$B$2:$Y$301, MATCH(ROUND(MIN(300,MAX(1,D3543)),0), FactorTable!$A$2:$A$301,0), Skills!M27+1)</f>
        <v/>
      </c>
      <c r="F3543">
        <f>IF(Skills!N27=TRUE,(Skills!L27/10)*(E3543/1000),Skills!L27/10)+Skills!O27</f>
        <v/>
      </c>
      <c r="G3543">
        <f>Calc!G27</f>
        <v/>
      </c>
      <c r="H3543">
        <f>Calc!H27</f>
        <v/>
      </c>
      <c r="I3543">
        <f>IF(Skills!AA27&lt;&gt;"",1+(Skills!AA27/10)*(U3519/1000)/100,1)</f>
        <v/>
      </c>
      <c r="J3543" t="inlineStr"/>
      <c r="K3543" t="inlineStr"/>
      <c r="L3543" t="inlineStr"/>
      <c r="M3543" t="inlineStr"/>
      <c r="N3543" t="inlineStr"/>
      <c r="O3543">
        <f>(1-Summary!$B$11)*T3543+Summary!$B$11*V3543</f>
        <v/>
      </c>
      <c r="P3543">
        <f>IF(B3560=0,0,O3543/B3560)</f>
        <v/>
      </c>
      <c r="Q3543" t="n">
        <v>0</v>
      </c>
      <c r="R3543" t="n">
        <v>0</v>
      </c>
      <c r="S3543">
        <f>IFERROR(O3543/N3543,0)</f>
        <v/>
      </c>
      <c r="T3543" t="n">
        <v>0</v>
      </c>
      <c r="V3543" t="n">
        <v>0</v>
      </c>
    </row>
    <row r="3544">
      <c r="A3544">
        <f>Skills!A28</f>
        <v/>
      </c>
      <c r="B3544">
        <f>Skills!B28</f>
        <v/>
      </c>
      <c r="C3544">
        <f>Inputs!$B$3&gt;=75</f>
        <v/>
      </c>
      <c r="D3544">
        <f>IF(Skills!C28=1,60+Inputs!$B$25+Inputs!$B$29,IF(Skills!C28=2,90+Inputs!$B$26+Inputs!$B$29,IF(Skills!C28=3,120+Inputs!$B$27+Inputs!$B$29,MAX(0,(Inputs!$B$3-100)*3)+Inputs!$B$28+Inputs!$B$29)))</f>
        <v/>
      </c>
      <c r="E3544">
        <f>INDEX(FactorTable!$B$2:$Y$301, MATCH(ROUND(MIN(300,MAX(1,D3544)),0), FactorTable!$A$2:$A$301,0), Skills!M28+1)</f>
        <v/>
      </c>
      <c r="F3544">
        <f>IF(Skills!N28=TRUE,(Skills!L28/10)*(E3544/1000),Skills!L28/10)+Skills!O28</f>
        <v/>
      </c>
      <c r="G3544">
        <f>Calc!G28</f>
        <v/>
      </c>
      <c r="H3544">
        <f>Calc!H28</f>
        <v/>
      </c>
      <c r="I3544">
        <f>IF(Skills!AA28&lt;&gt;"",1+(Skills!AA28/10)*(U3519/1000)/100,1)</f>
        <v/>
      </c>
      <c r="J3544" t="inlineStr"/>
      <c r="K3544" t="inlineStr"/>
      <c r="L3544" t="inlineStr"/>
      <c r="M3544" t="inlineStr"/>
      <c r="N3544" t="inlineStr"/>
      <c r="O3544">
        <f>(1-Summary!$B$11)*T3544+Summary!$B$11*V3544</f>
        <v/>
      </c>
      <c r="P3544">
        <f>IF(B3560=0,0,O3544/B3560)</f>
        <v/>
      </c>
      <c r="Q3544" t="n">
        <v>0</v>
      </c>
      <c r="R3544" t="n">
        <v>0</v>
      </c>
      <c r="S3544">
        <f>IFERROR(O3544/N3544,0)</f>
        <v/>
      </c>
      <c r="T3544" t="n">
        <v>0</v>
      </c>
      <c r="V3544" t="n">
        <v>0</v>
      </c>
    </row>
    <row r="3545">
      <c r="A3545">
        <f>Skills!A29</f>
        <v/>
      </c>
      <c r="B3545">
        <f>Skills!B29</f>
        <v/>
      </c>
      <c r="C3545">
        <f>Inputs!$B$3&gt;=120</f>
        <v/>
      </c>
      <c r="D3545">
        <f>IF(Skills!C29=1,60+Inputs!$B$25+Inputs!$B$29,IF(Skills!C29=2,90+Inputs!$B$26+Inputs!$B$29,IF(Skills!C29=3,120+Inputs!$B$27+Inputs!$B$29,MAX(0,(Inputs!$B$3-100)*3)+Inputs!$B$28+Inputs!$B$29)))</f>
        <v/>
      </c>
      <c r="E3545">
        <f>INDEX(FactorTable!$B$2:$Y$301, MATCH(ROUND(MIN(300,MAX(1,D3545)),0), FactorTable!$A$2:$A$301,0), Skills!M29+1)</f>
        <v/>
      </c>
      <c r="F3545">
        <f>IF(Skills!N29=TRUE,(Skills!L29/10)*(E3545/1000),Skills!L29/10)+Skills!O29</f>
        <v/>
      </c>
      <c r="G3545">
        <f>Calc!G29</f>
        <v/>
      </c>
      <c r="H3545">
        <f>Calc!H29</f>
        <v/>
      </c>
      <c r="I3545">
        <f>IF(Skills!AA29&lt;&gt;"",1+(Skills!AA29/10)*(U3519/1000)/100,1)</f>
        <v/>
      </c>
      <c r="J3545" t="inlineStr"/>
      <c r="K3545" t="inlineStr"/>
      <c r="L3545" t="inlineStr"/>
      <c r="M3545" t="inlineStr"/>
      <c r="N3545" t="inlineStr"/>
      <c r="O3545">
        <f>(1-Summary!$B$11)*T3545+Summary!$B$11*V3545</f>
        <v/>
      </c>
      <c r="P3545">
        <f>IF(B3560=0,0,O3545/B3560)</f>
        <v/>
      </c>
      <c r="Q3545" t="n">
        <v>0</v>
      </c>
      <c r="R3545" t="n">
        <v>0</v>
      </c>
      <c r="S3545">
        <f>IFERROR(O3545/N3545,0)</f>
        <v/>
      </c>
      <c r="T3545" t="n">
        <v>0</v>
      </c>
      <c r="V3545" t="n">
        <v>0</v>
      </c>
    </row>
    <row r="3546">
      <c r="A3546">
        <f>Skills!A30</f>
        <v/>
      </c>
      <c r="B3546">
        <f>Skills!B30</f>
        <v/>
      </c>
      <c r="C3546">
        <f>Inputs!$B$3&gt;=125</f>
        <v/>
      </c>
      <c r="D3546">
        <f>IF(Skills!C30=1,60+Inputs!$B$25+Inputs!$B$29,IF(Skills!C30=2,90+Inputs!$B$26+Inputs!$B$29,IF(Skills!C30=3,120+Inputs!$B$27+Inputs!$B$29,MAX(0,(Inputs!$B$3-100)*3)+Inputs!$B$28+Inputs!$B$29)))</f>
        <v/>
      </c>
      <c r="E3546">
        <f>INDEX(FactorTable!$B$2:$Y$301, MATCH(ROUND(MIN(300,MAX(1,D3546)),0), FactorTable!$A$2:$A$301,0), Skills!M30+1)</f>
        <v/>
      </c>
      <c r="F3546">
        <f>IF(Skills!N30=TRUE,(Skills!L30/10)*(E3546/1000),Skills!L30/10)+Skills!O30</f>
        <v/>
      </c>
      <c r="G3546">
        <f>Calc!G30</f>
        <v/>
      </c>
      <c r="H3546">
        <f>Calc!H30</f>
        <v/>
      </c>
      <c r="I3546">
        <f>IF(Skills!AA30&lt;&gt;"",1+(Skills!AA30/10)*(U3519/1000)/100,1)</f>
        <v/>
      </c>
      <c r="J3546" t="inlineStr"/>
      <c r="K3546" t="inlineStr"/>
      <c r="L3546" t="inlineStr"/>
      <c r="M3546" t="inlineStr"/>
      <c r="N3546" t="inlineStr"/>
      <c r="O3546">
        <f>(1-Summary!$B$11)*T3546+Summary!$B$11*V3546</f>
        <v/>
      </c>
      <c r="P3546">
        <f>IF(B3560=0,0,O3546/B3560)</f>
        <v/>
      </c>
      <c r="Q3546" t="n">
        <v>0</v>
      </c>
      <c r="R3546" t="n">
        <v>0</v>
      </c>
      <c r="S3546">
        <f>IFERROR(O3546/N3546,0)</f>
        <v/>
      </c>
      <c r="T3546" t="n">
        <v>0</v>
      </c>
      <c r="V3546" t="n">
        <v>0</v>
      </c>
    </row>
    <row r="3547">
      <c r="A3547">
        <f>Skills!A31</f>
        <v/>
      </c>
      <c r="B3547">
        <f>Skills!B31</f>
        <v/>
      </c>
      <c r="C3547">
        <f>Inputs!$B$3&gt;=107</f>
        <v/>
      </c>
      <c r="D3547">
        <f>IF(Skills!C31=1,60+Inputs!$B$25+Inputs!$B$29,IF(Skills!C31=2,90+Inputs!$B$26+Inputs!$B$29,IF(Skills!C31=3,120+Inputs!$B$27+Inputs!$B$29,MAX(0,(Inputs!$B$3-100)*3)+Inputs!$B$28+Inputs!$B$29)))</f>
        <v/>
      </c>
      <c r="E3547">
        <f>INDEX(FactorTable!$B$2:$Y$301, MATCH(ROUND(MIN(300,MAX(1,D3547)),0), FactorTable!$A$2:$A$301,0), Skills!M31+1)</f>
        <v/>
      </c>
      <c r="F3547">
        <f>IF(Skills!N31=TRUE,(Skills!L31/10)*(E3547/1000),Skills!L31/10)+Skills!O31</f>
        <v/>
      </c>
      <c r="G3547">
        <f>Calc!G31</f>
        <v/>
      </c>
      <c r="H3547">
        <f>Calc!H31</f>
        <v/>
      </c>
      <c r="I3547">
        <f>IF(Skills!AA31&lt;&gt;"",1+(Skills!AA31/10)*(U3519/1000)/100,1)</f>
        <v/>
      </c>
      <c r="J3547" t="inlineStr"/>
      <c r="K3547" t="inlineStr"/>
      <c r="L3547" t="inlineStr"/>
      <c r="M3547" t="inlineStr"/>
      <c r="N3547" t="inlineStr"/>
      <c r="O3547">
        <f>(1-Summary!$B$11)*T3547+Summary!$B$11*V3547</f>
        <v/>
      </c>
      <c r="P3547">
        <f>IF(B3560=0,0,O3547/B3560)</f>
        <v/>
      </c>
      <c r="Q3547" t="n">
        <v>0</v>
      </c>
      <c r="R3547" t="n">
        <v>0</v>
      </c>
      <c r="S3547">
        <f>IFERROR(O3547/N3547,0)</f>
        <v/>
      </c>
      <c r="T3547" t="n">
        <v>0</v>
      </c>
      <c r="V3547" t="n">
        <v>0</v>
      </c>
    </row>
    <row r="3549">
      <c r="A3549" t="inlineStr">
        <is>
          <t>Actions Per Second (pre-Adrenalin)</t>
        </is>
      </c>
      <c r="B3549">
        <f>1+MIN(150,150*(1-(1-(Inputs!$B$11+((C3538=TRUE)*(F3538-Calc!F22))+(ArtifactsInput!$M$15-ArtifactsInput!$M$15)*CHOOSE(ArtifactsInput!$N$15+1,8,9.6,11.2,12.8,14.4,16))/150)*(1-((C3535=TRUE)*F3535*IF(AND(Inputs!$B$39&lt;&gt;"pvp",Inputs!$B$44&gt;0),(((R3535-1)*(Skills!Y19*(1+Inputs!$B$34/100))+MIN((Skills!Y19*(1+Inputs!$B$34/100)),MAX(0,Inputs!$B$44-((R3535-1)*Skills!D19))))/Inputs!$B$44),IF(Inputs!$B$39="pvp",MIN((Skills!Y19*(1+Inputs!$B$34/100)),15)/15,(Skills!Y19*(1+Inputs!$B$34/100))/Skills!D19)))/150)))/100</f>
        <v/>
      </c>
    </row>
    <row r="3550">
      <c r="A3550" t="inlineStr">
        <is>
          <t>Alchemic Adrenaline Uptime</t>
        </is>
      </c>
      <c r="B3550">
        <f>(Skills!Y6*(1+Inputs!$B$34/100))/((Skills!Y6*(1+Inputs!$B$34/100))+(5/B3549))</f>
        <v/>
      </c>
    </row>
    <row r="3551">
      <c r="A3551" t="inlineStr">
        <is>
          <t>Attack Speed Buff Bonus %</t>
        </is>
      </c>
      <c r="B3551">
        <f>((C3535=TRUE)*F3535*IF(AND(Inputs!$B$39&lt;&gt;"pvp",Inputs!$B$44&gt;0),(((R3535-1)*(Skills!Y19*(1+Inputs!$B$34/100))+MIN((Skills!Y19*(1+Inputs!$B$34/100)),MAX(0,Inputs!$B$44-((R3535-1)*Skills!D19))))/Inputs!$B$44),IF(Inputs!$B$39="pvp",MIN((Skills!Y19*(1+Inputs!$B$34/100)),15)/15,(Skills!Y19*(1+Inputs!$B$34/100))/Skills!D19)))+((C3523=TRUE)*F3523*B3550)</f>
        <v/>
      </c>
    </row>
    <row r="3552">
      <c r="A3552" t="inlineStr">
        <is>
          <t>Actions Per Second (final)</t>
        </is>
      </c>
      <c r="B3552">
        <f>1+MIN(150,150*(1-(1-(Inputs!$B$11+((C3538=TRUE)*(F3538-Calc!F22))+(ArtifactsInput!$M$15-ArtifactsInput!$M$15)*CHOOSE(ArtifactsInput!$N$15+1,8,9.6,11.2,12.8,14.4,16))/150)*(1-B3551/150)))/100</f>
        <v/>
      </c>
    </row>
    <row r="3553">
      <c r="A3553" t="inlineStr">
        <is>
          <t>Skill + Buff Cast Rate</t>
        </is>
      </c>
      <c r="B3553">
        <f>IF(AND(Inputs!$B$39&lt;&gt;"pvp",Inputs!$B$44&gt;0),SUMPRODUCT((Skills!E2:E31=TRUE)*(C3518:C3547=TRUE)*R3518:R3547*Skills!F2:F31)/Inputs!$B$44,SUMPRODUCT((Skills!E2:E31=TRUE)*(C3518:C3547=TRUE)*Q3518:Q3547*Skills!F2:F31))</f>
        <v/>
      </c>
    </row>
    <row r="3554">
      <c r="A3554" t="inlineStr">
        <is>
          <t>Showdown Casts Per Second</t>
        </is>
      </c>
      <c r="B3554">
        <f>MAX(0,B3552-B3553)</f>
        <v/>
      </c>
    </row>
    <row r="3555">
      <c r="A3555" t="inlineStr">
        <is>
          <t>Average Buff Multiplier</t>
        </is>
      </c>
      <c r="B3555">
        <f>(1+(((C3537=TRUE)*F3537*IF(AND(Inputs!$B$39&lt;&gt;"pvp",Inputs!$B$44&gt;0),(((R3537-1)*(Skills!Y21*(1+Inputs!$B$34/100))+MIN((Skills!Y21*(1+Inputs!$B$34/100)),MAX(0,Inputs!$B$44-((R3537-1)*Skills!D21))))/Inputs!$B$44),IF(Inputs!$B$39="pvp",MIN((Skills!Y21*(1+Inputs!$B$34/100)),15)/15,(Skills!Y21*(1+Inputs!$B$34/100))/Skills!D21)))+((C3544=TRUE)*(F3544-Calc!F28))+((C3534=TRUE)*(F3534-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3531=TRUE)*F3531*IF(AND(Inputs!$B$39&lt;&gt;"pvp",Inputs!$B$44&gt;0),(((R3531-1)*(Skills!Y15*(1+Inputs!$B$34/100))+MIN((Skills!Y15*(1+Inputs!$B$34/100)),MAX(0,Inputs!$B$44-((R3531-1)*Skills!D15))))/Inputs!$B$44),IF(Inputs!$B$39="pvp",MIN((Skills!Y15*(1+Inputs!$B$34/100)),15)/15,(Skills!Y15*(1+Inputs!$B$34/100))/Skills!D15)))/100)*(1+((C3522=TRUE)*F3522*B3550)/100)</f>
        <v/>
      </c>
    </row>
    <row r="3556">
      <c r="A3556" t="inlineStr">
        <is>
          <t>Global Crit Rate Bonus %</t>
        </is>
      </c>
      <c r="B3556">
        <f>IF(Inputs!$B$3&gt;=47,8,0)+((C3536=TRUE)*F3536*IF(AND(Inputs!$B$39&lt;&gt;"pvp",Inputs!$B$44&gt;0),(((R3536-1)*(Skills!Y20*(1+Inputs!$B$34/100))+MIN((Skills!Y20*(1+Inputs!$B$34/100)),MAX(0,Inputs!$B$44-((R3536-1)*Skills!D20))))/Inputs!$B$44),IF(Inputs!$B$39="pvp",MIN((Skills!Y20*(1+Inputs!$B$34/100)),15)/15,(Skills!Y20*(1+Inputs!$B$34/100))/Skills!D20)))</f>
        <v/>
      </c>
    </row>
    <row r="3557">
      <c r="A3557" t="inlineStr">
        <is>
          <t>Global Monster Damage-Taken Bonus %</t>
        </is>
      </c>
      <c r="B3557">
        <f>IF(Inputs!$B$3&gt;=82,15,0)+((C3532=TRUE)*F3532*IF(AND(Inputs!$B$39&lt;&gt;"pvp",Inputs!$B$44&gt;0),(((R3532-1)*(Skills!Y16*(1+Inputs!$B$34/100))+MIN((Skills!Y16*(1+Inputs!$B$34/100)),MAX(0,Inputs!$B$44-((R3532-1)*Skills!D16))))/Inputs!$B$44),IF(Inputs!$B$39="pvp",MIN((Skills!Y16*(1+Inputs!$B$34/100)),15)/15,(Skills!Y16*(1+Inputs!$B$34/100))/Skills!D16)))</f>
        <v/>
      </c>
    </row>
    <row r="3558">
      <c r="A3558" t="inlineStr">
        <is>
          <t>Shadow Partner Average Multiplier</t>
        </is>
      </c>
      <c r="B3558">
        <f>1+((C3527=TRUE)*F3527*I3527*Skills!J11/100)/100</f>
        <v/>
      </c>
    </row>
    <row r="3559">
      <c r="A3559" t="inlineStr">
        <is>
          <t>Global Critical Damage Bonus % (Frailty Curse Mastery Lv.111)</t>
        </is>
      </c>
      <c r="B3559">
        <f>IF(Inputs!$B$3&gt;=111,30,0)*IF(AND(Inputs!$B$39&lt;&gt;"pvp",Inputs!$B$44&gt;0),(((R3532-1)*(Skills!Y16*(1+Inputs!$B$34/100))+MIN((Skills!Y16*(1+Inputs!$B$34/100)),MAX(0,Inputs!$B$44-((R3532-1)*Skills!D16))))/Inputs!$B$44),IF(Inputs!$B$39="pvp",MIN((Skills!Y16*(1+Inputs!$B$34/100)),15)/15,(Skills!Y16*(1+Inputs!$B$34/100))/Skills!D16))</f>
        <v/>
      </c>
    </row>
    <row r="3560">
      <c r="A3560" s="6" t="inlineStr">
        <is>
          <t>TOTAL DPS</t>
        </is>
      </c>
      <c r="B3560" s="6">
        <f>SUM(O3518:O3547)</f>
        <v/>
      </c>
    </row>
    <row r="3561">
      <c r="A3561" t="inlineStr">
        <is>
          <t>Buff-Casting Startup Delay (s, fixed-duration only)</t>
        </is>
      </c>
      <c r="B3561">
        <f>IF(AND(Inputs!$B$39&lt;&gt;"pvp",Inputs!$B$44&gt;0),SUMPRODUCT((Skills!Y2:Y31&gt;0)*(Skills!E2:E31=TRUE)*(C3518:C3547=TRUE))/B3552,0)</f>
        <v/>
      </c>
    </row>
    <row r="3562">
      <c r="A3562" t="inlineStr">
        <is>
          <t>Boss-Only Total DPS (this block's swept value)</t>
        </is>
      </c>
      <c r="B3562">
        <f>SUM(T3518:T3547)</f>
        <v/>
      </c>
    </row>
    <row r="3563">
      <c r="A3563" t="inlineStr">
        <is>
          <t>Normal-Only Total DPS (this block's swept value)</t>
        </is>
      </c>
      <c r="B3563">
        <f>SUM(V3518:V3547)</f>
        <v/>
      </c>
    </row>
    <row r="3565">
      <c r="A3565" s="6" t="inlineStr">
        <is>
          <t>Stat: CDR = 4.5s</t>
        </is>
      </c>
    </row>
    <row r="3566">
      <c r="A3566" s="5" t="inlineStr">
        <is>
          <t>Key</t>
        </is>
      </c>
      <c r="B3566" s="5" t="inlineStr">
        <is>
          <t>Name</t>
        </is>
      </c>
      <c r="C3566" s="5" t="inlineStr">
        <is>
          <t>Unlocked</t>
        </is>
      </c>
      <c r="D3566" s="5" t="inlineStr">
        <is>
          <t>InputLevel</t>
        </is>
      </c>
      <c r="E3566" s="5" t="inlineStr">
        <is>
          <t>Factor</t>
        </is>
      </c>
      <c r="F3566" s="5" t="inlineStr">
        <is>
          <t>CoefficientPercent</t>
        </is>
      </c>
      <c r="G3566" s="5" t="inlineStr">
        <is>
          <t>EffectiveHits</t>
        </is>
      </c>
      <c r="H3566" s="5" t="inlineStr">
        <is>
          <t>ProcProbability</t>
        </is>
      </c>
      <c r="I3566" s="5" t="inlineStr">
        <is>
          <t>MapleHeroMultiplier</t>
        </is>
      </c>
      <c r="J3566" s="5" t="inlineStr">
        <is>
          <t>BaseDamage</t>
        </is>
      </c>
      <c r="K3566" s="5" t="inlineStr">
        <is>
          <t>BaseHitDamage</t>
        </is>
      </c>
      <c r="L3566" s="5" t="inlineStr">
        <is>
          <t>NonCritAvg</t>
        </is>
      </c>
      <c r="M3566" s="5" t="inlineStr">
        <is>
          <t>CritAvg</t>
        </is>
      </c>
      <c r="N3566" s="5" t="inlineStr">
        <is>
          <t>ExpectedDamage(perHit)</t>
        </is>
      </c>
      <c r="O3566" s="5" t="inlineStr">
        <is>
          <t>DPS</t>
        </is>
      </c>
      <c r="P3566" s="5" t="inlineStr">
        <is>
          <t>% of Total</t>
        </is>
      </c>
      <c r="Q3566" s="5" t="inlineStr">
        <is>
          <t>InvCooldown</t>
        </is>
      </c>
      <c r="R3566" s="5" t="inlineStr">
        <is>
          <t>CastsInFight</t>
        </is>
      </c>
      <c r="S3566" s="5" t="inlineStr">
        <is>
          <t>HitRate(perSec)</t>
        </is>
      </c>
      <c r="U3566" t="inlineStr">
        <is>
          <t>helpers</t>
        </is>
      </c>
    </row>
    <row r="3567">
      <c r="A3567">
        <f>Skills!A2</f>
        <v/>
      </c>
      <c r="B3567">
        <f>Skills!B2</f>
        <v/>
      </c>
      <c r="C3567">
        <f>Inputs!$B$3&gt;=100</f>
        <v/>
      </c>
      <c r="D3567" t="inlineStr"/>
      <c r="E3567" t="inlineStr"/>
      <c r="F3567">
        <f>U3571+Skills!O2</f>
        <v/>
      </c>
      <c r="G3567">
        <f>Calc!G2</f>
        <v/>
      </c>
      <c r="H3567">
        <f>Calc!H2</f>
        <v/>
      </c>
      <c r="I3567">
        <f>IF(Skills!AA2&lt;&gt;"",1+(Skills!AA2/10)*(U3568/1000)/100,1)</f>
        <v/>
      </c>
      <c r="J3567">
        <f>((Inputs!$B$6*(1+Inputs!$B$7/100))+(((Inputs!$B$12*(1+Inputs!$B$13/100))-(Inputs!$B$12*(1+Inputs!$B$13/100)))+0.25*(Inputs!$B$14-Inputs!$B$14))*(1+Inputs!$B$7/100))*(F3567/100)</f>
        <v/>
      </c>
      <c r="K3567">
        <f>J3567*(1+((Inputs!$B$12*(1+Inputs!$B$13/100))*0.01+Inputs!$B$14*0.0025)/100)*(1+Inputs!$B$15/100)*(1+Inputs!$B$16/100)*(5000/(6000+Inputs!$B$43*(1-(100*(1-(1-(Inputs!$B$19+0)/100)*(1-CHOOSE(ArtifactsInput!$N$40+1,5,6,7,8,9,10)/100)^(ArtifactsInput!$M$40-ArtifactsInput!$M$40)))/100)))*(1+(Inputs!$B$24+((C3595=TRUE)*(F3595-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3588=TRUE)*(F3588-Calc!F23))+(((IF(AND(ArtifactsInput!$M$42,((Inputs!$B$9+((C3590=TRUE)*(F3590-Calc!F25))+B3605+(ArtifactsInput!$M$24-ArtifactsInput!$M$24)*CHOOSE(ArtifactsInput!$N$24+1,10,12,14,16,18,20)+IF(ArtifactsInput!$M$10,CHOOSE(ArtifactsInput!$N$10+1,15,18,21,24,27,30)*(IF(Inputs!$B$39="pvp",MIN(15,15)/15,IF(AND(Inputs!$B$39&lt;&gt;"pvp",Inputs!$B$44&gt;0),MIN(15,Inputs!$B$44)/(Inputs!$B$44),0))),0)))&gt;=100),MIN(100,((Inputs!$B$9+((C3590=TRUE)*(F3590-Calc!F25))+B3605+(ArtifactsInput!$M$24-ArtifactsInput!$M$24)*CHOOSE(ArtifactsInput!$N$24+1,10,12,14,16,18,20)+IF(ArtifactsInput!$M$10,CHOOSE(ArtifactsInput!$N$10+1,15,18,21,24,27,30)*(IF(Inputs!$B$39="pvp",MIN(15,15)/15,IF(AND(Inputs!$B$39&lt;&gt;"pvp",Inputs!$B$44&gt;0),MIN(15,Inputs!$B$44)/(Inputs!$B$44),0))),0)))-100),0))*CHOOSE(ArtifactsInput!$N$42+1,0.6,0.72,0.84,0.96,1.08,1.2))),Inputs!$B$18+((C3594=TRUE)*(F3594-Calc!F29))+(IF(AND(ArtifactsInput!$M$42,((Inputs!$B$9+((C3590=TRUE)*(F3590-Calc!F25))+B3605+(ArtifactsInput!$M$24-ArtifactsInput!$M$24)*CHOOSE(ArtifactsInput!$N$24+1,10,12,14,16,18,20)+IF(ArtifactsInput!$M$10,CHOOSE(ArtifactsInput!$N$10+1,15,18,21,24,27,30)*(IF(Inputs!$B$39="pvp",MIN(15,15)/15,IF(AND(Inputs!$B$39&lt;&gt;"pvp",Inputs!$B$44&gt;0),MIN(15,Inputs!$B$44)/(Inputs!$B$44),0))),0)))&gt;=100),CHOOSE(ArtifactsInput!$N$42+1,40,48,56,64,72,80),0))))/100)*(((1+(((C3586=TRUE)*F3586*IF(AND(Inputs!$B$39&lt;&gt;"pvp",Inputs!$B$44&gt;0),(((R3586-1)*(Skills!Y21*(1+Inputs!$B$34/100))+MIN((Skills!Y21*(1+Inputs!$B$34/100)),MAX(0,Inputs!$B$44-((R3586-1)*Skills!D21))))/Inputs!$B$44),IF(Inputs!$B$39="pvp",MIN((Skills!Y21*(1+Inputs!$B$34/100)),15)/15,(Skills!Y21*(1+Inputs!$B$34/100))/Skills!D21)))+((C3593=TRUE)*(F3593-Calc!F28))+((C3583=TRUE)*(F3583-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3580=TRUE)*F3580*IF(AND(Inputs!$B$39&lt;&gt;"pvp",Inputs!$B$44&gt;0),(((R3580-1)*(Skills!Y15*(1+Inputs!$B$34/100))+MIN((Skills!Y15*(1+Inputs!$B$34/100)),MAX(0,Inputs!$B$44-((R3580-1)*Skills!D15))))/Inputs!$B$44),IF(Inputs!$B$39="pvp",MIN((Skills!Y15*(1+Inputs!$B$34/100)),15)/15,(Skills!Y15*(1+Inputs!$B$34/100))/Skills!D15)))/100)*(1+((C3571=TRUE)*F3571*B3599)/100))*B3607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3567)</f>
        <v/>
      </c>
      <c r="L3567">
        <f>K3567*(MIN(Inputs!$B$22+((C3589=TRUE)*(F3589-Calc!F24)),(Inputs!$B$23+0+(IF(ArtifactsInput!$M$15,CHOOSE(ArtifactsInput!$N$15+1,25,30,35,40,45,50)/100*(Inputs!$B$11-Inputs!$B$11),0))))/100+(Inputs!$B$23+0+(IF(ArtifactsInput!$M$15,CHOOSE(ArtifactsInput!$N$15+1,25,30,35,40,45,50)/100*(Inputs!$B$11-Inputs!$B$11),0)))/100)/2</f>
        <v/>
      </c>
      <c r="M3567">
        <f>L3567*(1+(Inputs!$B$10+((C3591=TRUE)*(F3591-Calc!F26))+B3608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67">
        <f>L3567*(1-MIN((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3567*(MIN((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67">
        <f>(1-Summary!$B$11)*T3567+Summary!$B$11*V3567</f>
        <v/>
      </c>
      <c r="P3567">
        <f>IF(B3609=0,0,O3567/B3609)</f>
        <v/>
      </c>
      <c r="Q3567" t="n">
        <v>0</v>
      </c>
      <c r="R3567" t="n">
        <v>0</v>
      </c>
      <c r="S3567">
        <f>IFERROR(O3567/N3567,0)</f>
        <v/>
      </c>
      <c r="T3567">
        <f>IF(C3567,(Skills!G2*N3567*B3603)*IF(Inputs!$B$39="pvp",1,1+(Inputs!$B$20+((C3592=TRUE)*(F3592-Calc!F27))+Skills!P2+B3606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Hunt"),CHOOSE(ArtifactsInput!$N$35+1,15,18,21,24,27,30)*(1-EXP(-(0.2*B3601)*5)),0)+IF(AND(ArtifactsInput!$M$22,Inputs!$B$4&lt;&gt;"Chapter Hunt"),CHOOSE(ArtifactsInput!$N$22+1,10,12,14,16,18,20)*((0*(((0.15*B3601*5))^0/1)+1*(((0.15*B3601*5))^1/1)+2*(((0.15*B3601*5))^2/2)+3*(((0.15*B3601*5))^3/6)+4*(((0.15*B3601*5))^4/24)+5*(((0.15*B3601*5))^5/120))/((((0.15*B3601*5))^0/1)+(((0.15*B3601*5))^1/1)+(((0.15*B3601*5))^2/2)+(((0.15*B3601*5))^3/6)+(((0.15*B3601*5))^4/24)+(((0.15*B3601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3567*(1-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3567*(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3567*(1-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3567*(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567">
        <f>MAX(0,(Inputs!$B$3-100)*3)+Inputs!$B$28+Inputs!$B$29</f>
        <v/>
      </c>
      <c r="V3567">
        <f>IF(C3567,(Skills!G2*N3567*B3603)*IF(Inputs!$B$39="pvp",1,(1+(Inputs!$B$21+Skills!Q2+B3606+(IF(ArtifactsInput!$M$33,CHOOSE(ArtifactsInput!$N$33+1,30,36,42,48,54,60),0))+(IF(AND(ArtifactsInput!$M$35,Inputs!$B$4&lt;&gt;"Chapter Hunt"),CHOOSE(ArtifactsInput!$N$35+1,15,18,21,24,27,30)*(1-EXP(-(0.2*B3601)*5)),0)+IF(AND(ArtifactsInput!$M$22,Inputs!$B$4&lt;&gt;"Chapter Hunt"),CHOOSE(ArtifactsInput!$N$22+1,10,12,14,16,18,20)*((0*(((0.15*B3601*5))^0/1)+1*(((0.15*B3601*5))^1/1)+2*(((0.15*B3601*5))^2/2)+3*(((0.15*B3601*5))^3/6)+4*(((0.15*B3601*5))^4/24)+5*(((0.15*B3601*5))^5/120))/((((0.15*B3601*5))^0/1)+(((0.15*B3601*5))^1/1)+(((0.15*B3601*5))^2/2)+(((0.15*B3601*5))^3/6)+(((0.15*B3601*5))^4/24)+(((0.15*B3601*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68">
      <c r="A3568">
        <f>Skills!A3</f>
        <v/>
      </c>
      <c r="B3568">
        <f>Skills!B3</f>
        <v/>
      </c>
      <c r="C3568">
        <f>Inputs!$B$3&gt;=35</f>
        <v/>
      </c>
      <c r="D3568">
        <f>IF(Skills!C3=1,60+Inputs!$B$25+Inputs!$B$29,IF(Skills!C3=2,90+Inputs!$B$26+Inputs!$B$29,IF(Skills!C3=3,120+Inputs!$B$27+Inputs!$B$29,MAX(0,(Inputs!$B$3-100)*3)+Inputs!$B$28+Inputs!$B$29)))</f>
        <v/>
      </c>
      <c r="E3568">
        <f>INDEX(FactorTable!$B$2:$Y$301, MATCH(ROUND(MIN(300,MAX(1,D3568)),0), FactorTable!$A$2:$A$301,0), Skills!M3+1)</f>
        <v/>
      </c>
      <c r="F3568">
        <f>IF(Skills!N3=TRUE,(Skills!L3/10)*(E3568/1000),Skills!L3/10)+Skills!O3</f>
        <v/>
      </c>
      <c r="G3568">
        <f>Calc!G3</f>
        <v/>
      </c>
      <c r="H3568">
        <f>Calc!H3</f>
        <v/>
      </c>
      <c r="I3568">
        <f>IF(Skills!AA3&lt;&gt;"",1+(Skills!AA3/10)*(U3568/1000)/100,1)</f>
        <v/>
      </c>
      <c r="J3568">
        <f>((Inputs!$B$6*(1+Inputs!$B$7/100))+(((Inputs!$B$12*(1+Inputs!$B$13/100))-(Inputs!$B$12*(1+Inputs!$B$13/100)))+0.25*(Inputs!$B$14-Inputs!$B$14))*(1+Inputs!$B$7/100))*(F3568/100)</f>
        <v/>
      </c>
      <c r="K3568">
        <f>J3568*(1+((Inputs!$B$12*(1+Inputs!$B$13/100))*0.01+Inputs!$B$14*0.0025)/100)*(1+Inputs!$B$15/100)*(1+Inputs!$B$16/100)*(5000/(6000+Inputs!$B$43*(1-(100*(1-(1-(Inputs!$B$19+0)/100)*(1-CHOOSE(ArtifactsInput!$N$40+1,5,6,7,8,9,10)/100)^(ArtifactsInput!$M$40-ArtifactsInput!$M$40)))/100)))*(1+(Inputs!$B$24+((C3595=TRUE)*(F3595-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3588=TRUE)*(F3588-Calc!F23))+(((IF(AND(ArtifactsInput!$M$42,((Inputs!$B$9+((C3590=TRUE)*(F3590-Calc!F25))+B3605+(ArtifactsInput!$M$24-ArtifactsInput!$M$24)*CHOOSE(ArtifactsInput!$N$24+1,10,12,14,16,18,20)+IF(ArtifactsInput!$M$10,CHOOSE(ArtifactsInput!$N$10+1,15,18,21,24,27,30)*(IF(Inputs!$B$39="pvp",MIN(15,15)/15,IF(AND(Inputs!$B$39&lt;&gt;"pvp",Inputs!$B$44&gt;0),MIN(15,Inputs!$B$44)/(Inputs!$B$44),0))),0)))&gt;=100),MIN(100,((Inputs!$B$9+((C3590=TRUE)*(F3590-Calc!F25))+B3605+(ArtifactsInput!$M$24-ArtifactsInput!$M$24)*CHOOSE(ArtifactsInput!$N$24+1,10,12,14,16,18,20)+IF(ArtifactsInput!$M$10,CHOOSE(ArtifactsInput!$N$10+1,15,18,21,24,27,30)*(IF(Inputs!$B$39="pvp",MIN(15,15)/15,IF(AND(Inputs!$B$39&lt;&gt;"pvp",Inputs!$B$44&gt;0),MIN(15,Inputs!$B$44)/(Inputs!$B$44),0))),0)))-100),0))*CHOOSE(ArtifactsInput!$N$42+1,0.6,0.72,0.84,0.96,1.08,1.2))),Inputs!$B$18+((C3594=TRUE)*(F3594-Calc!F29))+(IF(AND(ArtifactsInput!$M$42,((Inputs!$B$9+((C3590=TRUE)*(F3590-Calc!F25))+B3605+(ArtifactsInput!$M$24-ArtifactsInput!$M$24)*CHOOSE(ArtifactsInput!$N$24+1,10,12,14,16,18,20)+IF(ArtifactsInput!$M$10,CHOOSE(ArtifactsInput!$N$10+1,15,18,21,24,27,30)*(IF(Inputs!$B$39="pvp",MIN(15,15)/15,IF(AND(Inputs!$B$39&lt;&gt;"pvp",Inputs!$B$44&gt;0),MIN(15,Inputs!$B$44)/(Inputs!$B$44),0))),0)))&gt;=100),CHOOSE(ArtifactsInput!$N$42+1,40,48,56,64,72,80),0))))/100)*(((1+(((C3586=TRUE)*F3586*IF(AND(Inputs!$B$39&lt;&gt;"pvp",Inputs!$B$44&gt;0),(((R3586-1)*(Skills!Y21*(1+Inputs!$B$34/100))+MIN((Skills!Y21*(1+Inputs!$B$34/100)),MAX(0,Inputs!$B$44-((R3586-1)*Skills!D21))))/Inputs!$B$44),IF(Inputs!$B$39="pvp",MIN((Skills!Y21*(1+Inputs!$B$34/100)),15)/15,(Skills!Y21*(1+Inputs!$B$34/100))/Skills!D21)))+((C3593=TRUE)*(F3593-Calc!F28))+((C3583=TRUE)*(F3583-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3580=TRUE)*F3580*IF(AND(Inputs!$B$39&lt;&gt;"pvp",Inputs!$B$44&gt;0),(((R3580-1)*(Skills!Y15*(1+Inputs!$B$34/100))+MIN((Skills!Y15*(1+Inputs!$B$34/100)),MAX(0,Inputs!$B$44-((R3580-1)*Skills!D15))))/Inputs!$B$44),IF(Inputs!$B$39="pvp",MIN((Skills!Y15*(1+Inputs!$B$34/100)),15)/15,(Skills!Y15*(1+Inputs!$B$34/100))/Skills!D15)))/100)*(1+((C3571=TRUE)*F3571*B3599)/100))*B3607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3568)</f>
        <v/>
      </c>
      <c r="L3568">
        <f>K3568*(MIN(Inputs!$B$22+((C3589=TRUE)*(F3589-Calc!F24)),(Inputs!$B$23+0+(IF(ArtifactsInput!$M$15,CHOOSE(ArtifactsInput!$N$15+1,25,30,35,40,45,50)/100*(Inputs!$B$11-Inputs!$B$11),0))))/100+(Inputs!$B$23+0+(IF(ArtifactsInput!$M$15,CHOOSE(ArtifactsInput!$N$15+1,25,30,35,40,45,50)/100*(Inputs!$B$11-Inputs!$B$11),0)))/100)/2</f>
        <v/>
      </c>
      <c r="M3568">
        <f>L3568*(1+(Inputs!$B$10+((C3591=TRUE)*(F3591-Calc!F26))+B3608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68">
        <f>L3568*(1-MIN((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3568*(MIN((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68">
        <f>(1-Summary!$B$11)*T3568+Summary!$B$11*V3568</f>
        <v/>
      </c>
      <c r="P3568">
        <f>IF(B3609=0,0,O3568/B3609)</f>
        <v/>
      </c>
      <c r="Q3568">
        <f>IFERROR(1/IF(Inputs!$B$39="pvp",15,MAX(0.1,Skills!D3-IF(Skills!E3=TRUE,4.5,0))),0)</f>
        <v/>
      </c>
      <c r="R3568">
        <f>IF(AND(Inputs!$B$39&lt;&gt;"pvp",Inputs!$B$44&gt;0),IF(MAX(0,Inputs!$B$44-B3610)&lt;=0,0,(INT(MAX(0,Inputs!$B$44-B3610)/IF(Inputs!$B$39="pvp",15,MAX(0.1,Skills!D3-IF(Skills!E3=TRUE,4.5,0))))+1)),0)</f>
        <v/>
      </c>
      <c r="S3568">
        <f>IFERROR(O3568/N3568,0)</f>
        <v/>
      </c>
      <c r="T3568">
        <f>IF(C3568,(H3568*N3568*IF(AND(Inputs!$B$39&lt;&gt;"pvp",Inputs!$B$44&gt;0),((Skills!G3*((R3568-1)*IF(Skills!H3&gt;0,Skills!I3/Skills!H3,1)+IF(Skills!H3&gt;0,MIN(Skills!I3,MAX(0,MAX(0,Inputs!$B$44-B3610)-((R3568-1)*IF(Inputs!$B$39="pvp",15,MAX(0.1,Skills!D3-IF(Skills!E3=TRUE,4.5,0))))))/Skills!H3,1)))/Inputs!$B$44),G3568*Q3568))*IF(Inputs!$B$39="pvp",1,1+(Inputs!$B$20+((C3592=TRUE)*(F3592-Calc!F27))+Skills!P3+B3606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Hunt"),CHOOSE(ArtifactsInput!$N$35+1,15,18,21,24,27,30)*(1-EXP(-(0.2*B3601)*5)),0)+IF(AND(ArtifactsInput!$M$22,Inputs!$B$4&lt;&gt;"Chapter Hunt"),CHOOSE(ArtifactsInput!$N$22+1,10,12,14,16,18,20)*((0*(((0.15*B3601*5))^0/1)+1*(((0.15*B3601*5))^1/1)+2*(((0.15*B3601*5))^2/2)+3*(((0.15*B3601*5))^3/6)+4*(((0.15*B3601*5))^4/24)+5*(((0.15*B3601*5))^5/120))/((((0.15*B3601*5))^0/1)+(((0.15*B3601*5))^1/1)+(((0.15*B3601*5))^2/2)+(((0.15*B3601*5))^3/6)+(((0.15*B3601*5))^4/24)+(((0.15*B3601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3568*(1-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3568*(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3568*(1-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3568*(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568">
        <f>INDEX(FactorTable!$B$2:$Y$301, MATCH(ROUND(MIN(300,MAX(1,U3567)),0), FactorTable!$A$2:$A$301,0), 24)</f>
        <v/>
      </c>
      <c r="V3568">
        <f>IF(C3568,(H3568*N3568*IF(AND(Inputs!$B$39&lt;&gt;"pvp",Inputs!$B$44&gt;0),((Skills!G3*((R3568-1)*IF(Skills!H3&gt;0,Skills!I3/Skills!H3,1)+IF(Skills!H3&gt;0,MIN(Skills!I3,MAX(0,MAX(0,Inputs!$B$44-B3610)-((R3568-1)*IF(Inputs!$B$39="pvp",15,MAX(0.1,Skills!D3-IF(Skills!E3=TRUE,4.5,0))))))/Skills!H3,1)))/Inputs!$B$44),G3568*Q3568))*IF(Inputs!$B$39="pvp",1,(1+(Inputs!$B$21+Skills!Q3+B3606+(IF(ArtifactsInput!$M$33,CHOOSE(ArtifactsInput!$N$33+1,30,36,42,48,54,60),0))+(IF(AND(ArtifactsInput!$M$35,Inputs!$B$4&lt;&gt;"Chapter Hunt"),CHOOSE(ArtifactsInput!$N$35+1,15,18,21,24,27,30)*(1-EXP(-(0.2*B3601)*5)),0)+IF(AND(ArtifactsInput!$M$22,Inputs!$B$4&lt;&gt;"Chapter Hunt"),CHOOSE(ArtifactsInput!$N$22+1,10,12,14,16,18,20)*((0*(((0.15*B3601*5))^0/1)+1*(((0.15*B3601*5))^1/1)+2*(((0.15*B3601*5))^2/2)+3*(((0.15*B3601*5))^3/6)+4*(((0.15*B3601*5))^4/24)+5*(((0.15*B3601*5))^5/120))/((((0.15*B3601*5))^0/1)+(((0.15*B3601*5))^1/1)+(((0.15*B3601*5))^2/2)+(((0.15*B3601*5))^3/6)+(((0.15*B3601*5))^4/24)+(((0.15*B3601*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69">
      <c r="A3569">
        <f>Skills!A4</f>
        <v/>
      </c>
      <c r="B3569">
        <f>Skills!B4</f>
        <v/>
      </c>
      <c r="C3569">
        <f>Inputs!$B$3&gt;=40</f>
        <v/>
      </c>
      <c r="D3569">
        <f>IF(Skills!C4=1,60+Inputs!$B$25+Inputs!$B$29,IF(Skills!C4=2,90+Inputs!$B$26+Inputs!$B$29,IF(Skills!C4=3,120+Inputs!$B$27+Inputs!$B$29,MAX(0,(Inputs!$B$3-100)*3)+Inputs!$B$28+Inputs!$B$29)))</f>
        <v/>
      </c>
      <c r="E3569">
        <f>INDEX(FactorTable!$B$2:$Y$301, MATCH(ROUND(MIN(300,MAX(1,D3569)),0), FactorTable!$A$2:$A$301,0), Skills!M4+1)</f>
        <v/>
      </c>
      <c r="F3569">
        <f>IF(Skills!N4=TRUE,(Skills!L4/10)*(E3569/1000),Skills!L4/10)+Skills!O4</f>
        <v/>
      </c>
      <c r="G3569">
        <f>Calc!G4</f>
        <v/>
      </c>
      <c r="H3569">
        <f>Calc!H4</f>
        <v/>
      </c>
      <c r="I3569">
        <f>IF(Skills!AA4&lt;&gt;"",1+(Skills!AA4/10)*(U3568/1000)/100,1)</f>
        <v/>
      </c>
      <c r="J3569">
        <f>((Inputs!$B$6*(1+Inputs!$B$7/100))+(((Inputs!$B$12*(1+Inputs!$B$13/100))-(Inputs!$B$12*(1+Inputs!$B$13/100)))+0.25*(Inputs!$B$14-Inputs!$B$14))*(1+Inputs!$B$7/100))*(F3569/100)</f>
        <v/>
      </c>
      <c r="K3569">
        <f>J3569*(1+((Inputs!$B$12*(1+Inputs!$B$13/100))*0.01+Inputs!$B$14*0.0025)/100)*(1+Inputs!$B$15/100)*(1+Inputs!$B$16/100)*(5000/(6000+Inputs!$B$43*(1-(100*(1-(1-(Inputs!$B$19+0)/100)*(1-CHOOSE(ArtifactsInput!$N$40+1,5,6,7,8,9,10)/100)^(ArtifactsInput!$M$40-ArtifactsInput!$M$40)))/100)))*(1+(Inputs!$B$24+((C3595=TRUE)*(F3595-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3588=TRUE)*(F3588-Calc!F23))+(((IF(AND(ArtifactsInput!$M$42,((Inputs!$B$9+((C3590=TRUE)*(F3590-Calc!F25))+B3605+(ArtifactsInput!$M$24-ArtifactsInput!$M$24)*CHOOSE(ArtifactsInput!$N$24+1,10,12,14,16,18,20)+IF(ArtifactsInput!$M$10,CHOOSE(ArtifactsInput!$N$10+1,15,18,21,24,27,30)*(IF(Inputs!$B$39="pvp",MIN(15,15)/15,IF(AND(Inputs!$B$39&lt;&gt;"pvp",Inputs!$B$44&gt;0),MIN(15,Inputs!$B$44)/(Inputs!$B$44),0))),0)))&gt;=100),MIN(100,((Inputs!$B$9+((C3590=TRUE)*(F3590-Calc!F25))+B3605+(ArtifactsInput!$M$24-ArtifactsInput!$M$24)*CHOOSE(ArtifactsInput!$N$24+1,10,12,14,16,18,20)+IF(ArtifactsInput!$M$10,CHOOSE(ArtifactsInput!$N$10+1,15,18,21,24,27,30)*(IF(Inputs!$B$39="pvp",MIN(15,15)/15,IF(AND(Inputs!$B$39&lt;&gt;"pvp",Inputs!$B$44&gt;0),MIN(15,Inputs!$B$44)/(Inputs!$B$44),0))),0)))-100),0))*CHOOSE(ArtifactsInput!$N$42+1,0.6,0.72,0.84,0.96,1.08,1.2))),Inputs!$B$18+((C3594=TRUE)*(F3594-Calc!F29))+(IF(AND(ArtifactsInput!$M$42,((Inputs!$B$9+((C3590=TRUE)*(F3590-Calc!F25))+B3605+(ArtifactsInput!$M$24-ArtifactsInput!$M$24)*CHOOSE(ArtifactsInput!$N$24+1,10,12,14,16,18,20)+IF(ArtifactsInput!$M$10,CHOOSE(ArtifactsInput!$N$10+1,15,18,21,24,27,30)*(IF(Inputs!$B$39="pvp",MIN(15,15)/15,IF(AND(Inputs!$B$39&lt;&gt;"pvp",Inputs!$B$44&gt;0),MIN(15,Inputs!$B$44)/(Inputs!$B$44),0))),0)))&gt;=100),CHOOSE(ArtifactsInput!$N$42+1,40,48,56,64,72,80),0))))/100)*(((1+(((C3586=TRUE)*F3586*IF(AND(Inputs!$B$39&lt;&gt;"pvp",Inputs!$B$44&gt;0),(((R3586-1)*(Skills!Y21*(1+Inputs!$B$34/100))+MIN((Skills!Y21*(1+Inputs!$B$34/100)),MAX(0,Inputs!$B$44-((R3586-1)*Skills!D21))))/Inputs!$B$44),IF(Inputs!$B$39="pvp",MIN((Skills!Y21*(1+Inputs!$B$34/100)),15)/15,(Skills!Y21*(1+Inputs!$B$34/100))/Skills!D21)))+((C3593=TRUE)*(F3593-Calc!F28))+((C3583=TRUE)*(F3583-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3580=TRUE)*F3580*IF(AND(Inputs!$B$39&lt;&gt;"pvp",Inputs!$B$44&gt;0),(((R3580-1)*(Skills!Y15*(1+Inputs!$B$34/100))+MIN((Skills!Y15*(1+Inputs!$B$34/100)),MAX(0,Inputs!$B$44-((R3580-1)*Skills!D15))))/Inputs!$B$44),IF(Inputs!$B$39="pvp",MIN((Skills!Y15*(1+Inputs!$B$34/100)),15)/15,(Skills!Y15*(1+Inputs!$B$34/100))/Skills!D15)))/100)*(1+((C3571=TRUE)*F3571*B3599)/100))*B3607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3569)</f>
        <v/>
      </c>
      <c r="L3569">
        <f>K3569*(MIN(Inputs!$B$22+((C3589=TRUE)*(F3589-Calc!F24)),(Inputs!$B$23+0+(IF(ArtifactsInput!$M$15,CHOOSE(ArtifactsInput!$N$15+1,25,30,35,40,45,50)/100*(Inputs!$B$11-Inputs!$B$11),0))))/100+(Inputs!$B$23+0+(IF(ArtifactsInput!$M$15,CHOOSE(ArtifactsInput!$N$15+1,25,30,35,40,45,50)/100*(Inputs!$B$11-Inputs!$B$11),0)))/100)/2</f>
        <v/>
      </c>
      <c r="M3569">
        <f>L3569*(1+(Inputs!$B$10+((C3591=TRUE)*(F3591-Calc!F26))+B3608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69">
        <f>L3569*(1-MIN((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3569*(MIN((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69">
        <f>(1-Summary!$B$11)*T3569+Summary!$B$11*V3569</f>
        <v/>
      </c>
      <c r="P3569">
        <f>IF(B3609=0,0,O3569/B3609)</f>
        <v/>
      </c>
      <c r="Q3569">
        <f>IFERROR(1/IF(Inputs!$B$39="pvp",15,MAX(0.1,Skills!D4-IF(Skills!E4=TRUE,4.5,0))),0)</f>
        <v/>
      </c>
      <c r="R3569">
        <f>IF(AND(Inputs!$B$39&lt;&gt;"pvp",Inputs!$B$44&gt;0),IF(MAX(0,Inputs!$B$44-B3610)&lt;=0,0,(INT(MAX(0,Inputs!$B$44-B3610)/IF(Inputs!$B$39="pvp",15,MAX(0.1,Skills!D4-IF(Skills!E4=TRUE,4.5,0))))+1)),0)</f>
        <v/>
      </c>
      <c r="S3569">
        <f>IFERROR(O3569/N3569,0)</f>
        <v/>
      </c>
      <c r="T3569">
        <f>IF(C3569,(H3569*N3569*IF(AND(Inputs!$B$39&lt;&gt;"pvp",Inputs!$B$44&gt;0),((Skills!G4*((R3569-1)*IF(Skills!H4&gt;0,Skills!I4/Skills!H4,1)+IF(Skills!H4&gt;0,MIN(Skills!I4,MAX(0,MAX(0,Inputs!$B$44-B3610)-((R3569-1)*IF(Inputs!$B$39="pvp",15,MAX(0.1,Skills!D4-IF(Skills!E4=TRUE,4.5,0))))))/Skills!H4,1)))/Inputs!$B$44),G3569*Q3569))*IF(Inputs!$B$39="pvp",1,1+(Inputs!$B$20+((C3592=TRUE)*(F3592-Calc!F27))+Skills!P4+B3606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Hunt"),CHOOSE(ArtifactsInput!$N$35+1,15,18,21,24,27,30)*(1-EXP(-(0.2*B3601)*5)),0)+IF(AND(ArtifactsInput!$M$22,Inputs!$B$4&lt;&gt;"Chapter Hunt"),CHOOSE(ArtifactsInput!$N$22+1,10,12,14,16,18,20)*((0*(((0.15*B3601*5))^0/1)+1*(((0.15*B3601*5))^1/1)+2*(((0.15*B3601*5))^2/2)+3*(((0.15*B3601*5))^3/6)+4*(((0.15*B3601*5))^4/24)+5*(((0.15*B3601*5))^5/120))/((((0.15*B3601*5))^0/1)+(((0.15*B3601*5))^1/1)+(((0.15*B3601*5))^2/2)+(((0.15*B3601*5))^3/6)+(((0.15*B3601*5))^4/24)+(((0.15*B3601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3569*(1-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3569*(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3569*(1-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3569*(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569">
        <f>MAX(0,(Inputs!$B$3-100)*3)+Inputs!$B$28+Inputs!$B$29</f>
        <v/>
      </c>
      <c r="V3569">
        <f>IF(C3569,(H3569*N3569*IF(AND(Inputs!$B$39&lt;&gt;"pvp",Inputs!$B$44&gt;0),((Skills!G4*((R3569-1)*IF(Skills!H4&gt;0,Skills!I4/Skills!H4,1)+IF(Skills!H4&gt;0,MIN(Skills!I4,MAX(0,MAX(0,Inputs!$B$44-B3610)-((R3569-1)*IF(Inputs!$B$39="pvp",15,MAX(0.1,Skills!D4-IF(Skills!E4=TRUE,4.5,0))))))/Skills!H4,1)))/Inputs!$B$44),G3569*Q3569))*IF(Inputs!$B$39="pvp",1,(1+(Inputs!$B$21+Skills!Q4+B3606+(IF(ArtifactsInput!$M$33,CHOOSE(ArtifactsInput!$N$33+1,30,36,42,48,54,60),0))+(IF(AND(ArtifactsInput!$M$35,Inputs!$B$4&lt;&gt;"Chapter Hunt"),CHOOSE(ArtifactsInput!$N$35+1,15,18,21,24,27,30)*(1-EXP(-(0.2*B3601)*5)),0)+IF(AND(ArtifactsInput!$M$22,Inputs!$B$4&lt;&gt;"Chapter Hunt"),CHOOSE(ArtifactsInput!$N$22+1,10,12,14,16,18,20)*((0*(((0.15*B3601*5))^0/1)+1*(((0.15*B3601*5))^1/1)+2*(((0.15*B3601*5))^2/2)+3*(((0.15*B3601*5))^3/6)+4*(((0.15*B3601*5))^4/24)+5*(((0.15*B3601*5))^5/120))/((((0.15*B3601*5))^0/1)+(((0.15*B3601*5))^1/1)+(((0.15*B3601*5))^2/2)+(((0.15*B3601*5))^3/6)+(((0.15*B3601*5))^4/24)+(((0.15*B3601*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70">
      <c r="A3570">
        <f>Skills!A5</f>
        <v/>
      </c>
      <c r="B3570">
        <f>Skills!B5</f>
        <v/>
      </c>
      <c r="C3570">
        <f>Inputs!$B$3&gt;=63</f>
        <v/>
      </c>
      <c r="D3570">
        <f>IF(Skills!C5=1,60+Inputs!$B$25+Inputs!$B$29,IF(Skills!C5=2,90+Inputs!$B$26+Inputs!$B$29,IF(Skills!C5=3,120+Inputs!$B$27+Inputs!$B$29,MAX(0,(Inputs!$B$3-100)*3)+Inputs!$B$28+Inputs!$B$29)))</f>
        <v/>
      </c>
      <c r="E3570">
        <f>INDEX(FactorTable!$B$2:$Y$301, MATCH(ROUND(MIN(300,MAX(1,D3570)),0), FactorTable!$A$2:$A$301,0), Skills!M5+1)</f>
        <v/>
      </c>
      <c r="F3570">
        <f>IF(Skills!N5=TRUE,(Skills!L5/10)*(E3570/1000),Skills!L5/10)+Skills!O5</f>
        <v/>
      </c>
      <c r="G3570">
        <f>Calc!G5</f>
        <v/>
      </c>
      <c r="H3570">
        <f>Calc!H5</f>
        <v/>
      </c>
      <c r="I3570">
        <f>IF(Skills!AA5&lt;&gt;"",1+(Skills!AA5/10)*(U3568/1000)/100,1)</f>
        <v/>
      </c>
      <c r="J3570">
        <f>((Inputs!$B$6*(1+Inputs!$B$7/100))+(((Inputs!$B$12*(1+Inputs!$B$13/100))-(Inputs!$B$12*(1+Inputs!$B$13/100)))+0.25*(Inputs!$B$14-Inputs!$B$14))*(1+Inputs!$B$7/100))*(F3570/100)</f>
        <v/>
      </c>
      <c r="K3570">
        <f>J3570*(1+((Inputs!$B$12*(1+Inputs!$B$13/100))*0.01+Inputs!$B$14*0.0025)/100)*(1+Inputs!$B$15/100)*(1+Inputs!$B$16/100)*(5000/(6000+Inputs!$B$43*(1-(100*(1-(1-(Inputs!$B$19+0)/100)*(1-CHOOSE(ArtifactsInput!$N$40+1,5,6,7,8,9,10)/100)^(ArtifactsInput!$M$40-ArtifactsInput!$M$40)))/100)))*(1+(Inputs!$B$24+((C3595=TRUE)*(F3595-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3588=TRUE)*(F3588-Calc!F23))+(((IF(AND(ArtifactsInput!$M$42,((Inputs!$B$9+((C3590=TRUE)*(F3590-Calc!F25))+B3605+(ArtifactsInput!$M$24-ArtifactsInput!$M$24)*CHOOSE(ArtifactsInput!$N$24+1,10,12,14,16,18,20)+IF(ArtifactsInput!$M$10,CHOOSE(ArtifactsInput!$N$10+1,15,18,21,24,27,30)*(IF(Inputs!$B$39="pvp",MIN(15,15)/15,IF(AND(Inputs!$B$39&lt;&gt;"pvp",Inputs!$B$44&gt;0),MIN(15,Inputs!$B$44)/(Inputs!$B$44),0))),0)))&gt;=100),MIN(100,((Inputs!$B$9+((C3590=TRUE)*(F3590-Calc!F25))+B3605+(ArtifactsInput!$M$24-ArtifactsInput!$M$24)*CHOOSE(ArtifactsInput!$N$24+1,10,12,14,16,18,20)+IF(ArtifactsInput!$M$10,CHOOSE(ArtifactsInput!$N$10+1,15,18,21,24,27,30)*(IF(Inputs!$B$39="pvp",MIN(15,15)/15,IF(AND(Inputs!$B$39&lt;&gt;"pvp",Inputs!$B$44&gt;0),MIN(15,Inputs!$B$44)/(Inputs!$B$44),0))),0)))-100),0))*CHOOSE(ArtifactsInput!$N$42+1,0.6,0.72,0.84,0.96,1.08,1.2))),Inputs!$B$18+((C3594=TRUE)*(F3594-Calc!F29))+(IF(AND(ArtifactsInput!$M$42,((Inputs!$B$9+((C3590=TRUE)*(F3590-Calc!F25))+B3605+(ArtifactsInput!$M$24-ArtifactsInput!$M$24)*CHOOSE(ArtifactsInput!$N$24+1,10,12,14,16,18,20)+IF(ArtifactsInput!$M$10,CHOOSE(ArtifactsInput!$N$10+1,15,18,21,24,27,30)*(IF(Inputs!$B$39="pvp",MIN(15,15)/15,IF(AND(Inputs!$B$39&lt;&gt;"pvp",Inputs!$B$44&gt;0),MIN(15,Inputs!$B$44)/(Inputs!$B$44),0))),0)))&gt;=100),CHOOSE(ArtifactsInput!$N$42+1,40,48,56,64,72,80),0))))/100)*(((1+(((C3586=TRUE)*F3586*IF(AND(Inputs!$B$39&lt;&gt;"pvp",Inputs!$B$44&gt;0),(((R3586-1)*(Skills!Y21*(1+Inputs!$B$34/100))+MIN((Skills!Y21*(1+Inputs!$B$34/100)),MAX(0,Inputs!$B$44-((R3586-1)*Skills!D21))))/Inputs!$B$44),IF(Inputs!$B$39="pvp",MIN((Skills!Y21*(1+Inputs!$B$34/100)),15)/15,(Skills!Y21*(1+Inputs!$B$34/100))/Skills!D21)))+((C3593=TRUE)*(F3593-Calc!F28))+((C3583=TRUE)*(F3583-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3580=TRUE)*F3580*IF(AND(Inputs!$B$39&lt;&gt;"pvp",Inputs!$B$44&gt;0),(((R3580-1)*(Skills!Y15*(1+Inputs!$B$34/100))+MIN((Skills!Y15*(1+Inputs!$B$34/100)),MAX(0,Inputs!$B$44-((R3580-1)*Skills!D15))))/Inputs!$B$44),IF(Inputs!$B$39="pvp",MIN((Skills!Y15*(1+Inputs!$B$34/100)),15)/15,(Skills!Y15*(1+Inputs!$B$34/100))/Skills!D15)))/100)*(1+((C3571=TRUE)*F3571*B3599)/100))*B3607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3570)</f>
        <v/>
      </c>
      <c r="L3570">
        <f>K3570*(MIN(Inputs!$B$22+((C3589=TRUE)*(F3589-Calc!F24)),(Inputs!$B$23+0+(IF(ArtifactsInput!$M$15,CHOOSE(ArtifactsInput!$N$15+1,25,30,35,40,45,50)/100*(Inputs!$B$11-Inputs!$B$11),0))))/100+(Inputs!$B$23+0+(IF(ArtifactsInput!$M$15,CHOOSE(ArtifactsInput!$N$15+1,25,30,35,40,45,50)/100*(Inputs!$B$11-Inputs!$B$11),0)))/100)/2</f>
        <v/>
      </c>
      <c r="M3570">
        <f>L3570*(1+(Inputs!$B$10+((C3591=TRUE)*(F3591-Calc!F26))+B3608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70">
        <f>L3570*(1-MIN((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3570*(MIN((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70">
        <f>(1-Summary!$B$11)*T3570+Summary!$B$11*V3570</f>
        <v/>
      </c>
      <c r="P3570">
        <f>IF(B3609=0,0,O3570/B3609)</f>
        <v/>
      </c>
      <c r="Q3570">
        <f>IFERROR(1/IF(Inputs!$B$39="pvp",15,MAX(0.1,Skills!D5-IF(Skills!E5=TRUE,4.5,0))),0)</f>
        <v/>
      </c>
      <c r="R3570">
        <f>IF(AND(Inputs!$B$39&lt;&gt;"pvp",Inputs!$B$44&gt;0),IF(MAX(0,Inputs!$B$44-B3610)&lt;=0,0,(INT(MAX(0,Inputs!$B$44-B3610)/IF(Inputs!$B$39="pvp",15,MAX(0.1,Skills!D5-IF(Skills!E5=TRUE,4.5,0))))+1)),0)</f>
        <v/>
      </c>
      <c r="S3570">
        <f>IFERROR(O3570/N3570,0)</f>
        <v/>
      </c>
      <c r="T3570">
        <f>IF(C3570,(H3570*N3570*IF(AND(Inputs!$B$39&lt;&gt;"pvp",Inputs!$B$44&gt;0),((Skills!G5*((R3570-1)*IF(Skills!H5&gt;0,Skills!I5/Skills!H5,1)+IF(Skills!H5&gt;0,MIN(Skills!I5,MAX(0,MAX(0,Inputs!$B$44-B3610)-((R3570-1)*IF(Inputs!$B$39="pvp",15,MAX(0.1,Skills!D5-IF(Skills!E5=TRUE,4.5,0))))))/Skills!H5,1)))/Inputs!$B$44),G3570*Q3570))*IF(Inputs!$B$39="pvp",1,1+(Inputs!$B$20+((C3592=TRUE)*(F3592-Calc!F27))+Skills!P5+B3606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Hunt"),CHOOSE(ArtifactsInput!$N$35+1,15,18,21,24,27,30)*(1-EXP(-(0.2*B3601)*5)),0)+IF(AND(ArtifactsInput!$M$22,Inputs!$B$4&lt;&gt;"Chapter Hunt"),CHOOSE(ArtifactsInput!$N$22+1,10,12,14,16,18,20)*((0*(((0.15*B3601*5))^0/1)+1*(((0.15*B3601*5))^1/1)+2*(((0.15*B3601*5))^2/2)+3*(((0.15*B3601*5))^3/6)+4*(((0.15*B3601*5))^4/24)+5*(((0.15*B3601*5))^5/120))/((((0.15*B3601*5))^0/1)+(((0.15*B3601*5))^1/1)+(((0.15*B3601*5))^2/2)+(((0.15*B3601*5))^3/6)+(((0.15*B3601*5))^4/24)+(((0.15*B3601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3570*(1-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3570*(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3570*(1-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3570*(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570">
        <f>INDEX(FactorTable!$B$2:$Y$301, MATCH(ROUND(MIN(300,MAX(1,U3569)),0), FactorTable!$A$2:$A$301,0), 22)</f>
        <v/>
      </c>
      <c r="V3570">
        <f>IF(C3570,(H3570*N3570*IF(AND(Inputs!$B$39&lt;&gt;"pvp",Inputs!$B$44&gt;0),((Skills!G5*((R3570-1)*IF(Skills!H5&gt;0,Skills!I5/Skills!H5,1)+IF(Skills!H5&gt;0,MIN(Skills!I5,MAX(0,MAX(0,Inputs!$B$44-B3610)-((R3570-1)*IF(Inputs!$B$39="pvp",15,MAX(0.1,Skills!D5-IF(Skills!E5=TRUE,4.5,0))))))/Skills!H5,1)))/Inputs!$B$44),G3570*Q3570))*IF(Inputs!$B$39="pvp",1,(1+(Inputs!$B$21+Skills!Q5+B3606+(IF(ArtifactsInput!$M$33,CHOOSE(ArtifactsInput!$N$33+1,30,36,42,48,54,60),0))+(IF(AND(ArtifactsInput!$M$35,Inputs!$B$4&lt;&gt;"Chapter Hunt"),CHOOSE(ArtifactsInput!$N$35+1,15,18,21,24,27,30)*(1-EXP(-(0.2*B3601)*5)),0)+IF(AND(ArtifactsInput!$M$22,Inputs!$B$4&lt;&gt;"Chapter Hunt"),CHOOSE(ArtifactsInput!$N$22+1,10,12,14,16,18,20)*((0*(((0.15*B3601*5))^0/1)+1*(((0.15*B3601*5))^1/1)+2*(((0.15*B3601*5))^2/2)+3*(((0.15*B3601*5))^3/6)+4*(((0.15*B3601*5))^4/24)+5*(((0.15*B3601*5))^5/120))/((((0.15*B3601*5))^0/1)+(((0.15*B3601*5))^1/1)+(((0.15*B3601*5))^2/2)+(((0.15*B3601*5))^3/6)+(((0.15*B3601*5))^4/24)+(((0.15*B3601*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71">
      <c r="A3571">
        <f>Skills!A6</f>
        <v/>
      </c>
      <c r="B3571">
        <f>Skills!B6</f>
        <v/>
      </c>
      <c r="C3571">
        <f>Inputs!$B$3&gt;=66</f>
        <v/>
      </c>
      <c r="D3571">
        <f>IF(Skills!C6=1,60+Inputs!$B$25+Inputs!$B$29,IF(Skills!C6=2,90+Inputs!$B$26+Inputs!$B$29,IF(Skills!C6=3,120+Inputs!$B$27+Inputs!$B$29,MAX(0,(Inputs!$B$3-100)*3)+Inputs!$B$28+Inputs!$B$29)))</f>
        <v/>
      </c>
      <c r="E3571">
        <f>INDEX(FactorTable!$B$2:$Y$301, MATCH(ROUND(MIN(300,MAX(1,D3571)),0), FactorTable!$A$2:$A$301,0), Skills!M6+1)</f>
        <v/>
      </c>
      <c r="F3571">
        <f>IF(Skills!N6=TRUE,(Skills!L6/10)*(E3571/1000),Skills!L6/10)+Skills!O6</f>
        <v/>
      </c>
      <c r="G3571">
        <f>Calc!G6</f>
        <v/>
      </c>
      <c r="H3571">
        <f>Calc!H6</f>
        <v/>
      </c>
      <c r="I3571">
        <f>IF(Skills!AA6&lt;&gt;"",1+(Skills!AA6/10)*(U3568/1000)/100,1)</f>
        <v/>
      </c>
      <c r="J3571" t="inlineStr"/>
      <c r="K3571" t="inlineStr"/>
      <c r="L3571" t="inlineStr"/>
      <c r="M3571" t="inlineStr"/>
      <c r="N3571" t="inlineStr"/>
      <c r="O3571">
        <f>(1-Summary!$B$11)*T3571+Summary!$B$11*V3571</f>
        <v/>
      </c>
      <c r="P3571">
        <f>IF(B3609=0,0,O3571/B3609)</f>
        <v/>
      </c>
      <c r="Q3571" t="n">
        <v>0</v>
      </c>
      <c r="R3571" t="n">
        <v>0</v>
      </c>
      <c r="S3571">
        <f>IFERROR(O3571/N3571,0)</f>
        <v/>
      </c>
      <c r="T3571" t="n">
        <v>0</v>
      </c>
      <c r="U3571">
        <f>290*U3570/1000</f>
        <v/>
      </c>
      <c r="V3571" t="n">
        <v>0</v>
      </c>
    </row>
    <row r="3572">
      <c r="A3572">
        <f>Skills!A7</f>
        <v/>
      </c>
      <c r="B3572">
        <f>Skills!B7</f>
        <v/>
      </c>
      <c r="C3572">
        <f>Inputs!$B$3&gt;=66</f>
        <v/>
      </c>
      <c r="D3572">
        <f>IF(Skills!C7=1,60+Inputs!$B$25+Inputs!$B$29,IF(Skills!C7=2,90+Inputs!$B$26+Inputs!$B$29,IF(Skills!C7=3,120+Inputs!$B$27+Inputs!$B$29,MAX(0,(Inputs!$B$3-100)*3)+Inputs!$B$28+Inputs!$B$29)))</f>
        <v/>
      </c>
      <c r="E3572">
        <f>INDEX(FactorTable!$B$2:$Y$301, MATCH(ROUND(MIN(300,MAX(1,D3572)),0), FactorTable!$A$2:$A$301,0), Skills!M7+1)</f>
        <v/>
      </c>
      <c r="F3572">
        <f>IF(Skills!N7=TRUE,(Skills!L7/10)*(E3572/1000),Skills!L7/10)+Skills!O7</f>
        <v/>
      </c>
      <c r="G3572">
        <f>Calc!G7</f>
        <v/>
      </c>
      <c r="H3572">
        <f>Calc!H7</f>
        <v/>
      </c>
      <c r="I3572">
        <f>IF(Skills!AA7&lt;&gt;"",1+(Skills!AA7/10)*(U3568/1000)/100,1)</f>
        <v/>
      </c>
      <c r="J3572" t="inlineStr"/>
      <c r="K3572" t="inlineStr"/>
      <c r="L3572" t="inlineStr"/>
      <c r="M3572" t="inlineStr"/>
      <c r="N3572" t="inlineStr"/>
      <c r="O3572">
        <f>(1-Summary!$B$11)*T3572+Summary!$B$11*V3572</f>
        <v/>
      </c>
      <c r="P3572">
        <f>IF(B3609=0,0,O3572/B3609)</f>
        <v/>
      </c>
      <c r="Q3572" t="n">
        <v>0</v>
      </c>
      <c r="R3572" t="n">
        <v>0</v>
      </c>
      <c r="S3572">
        <f>IFERROR(O3572/N3572,0)</f>
        <v/>
      </c>
      <c r="T3572" t="n">
        <v>0</v>
      </c>
      <c r="V3572" t="n">
        <v>0</v>
      </c>
    </row>
    <row r="3573">
      <c r="A3573">
        <f>Skills!A8</f>
        <v/>
      </c>
      <c r="B3573">
        <f>Skills!B8</f>
        <v/>
      </c>
      <c r="C3573">
        <f>Inputs!$B$3&gt;=69</f>
        <v/>
      </c>
      <c r="D3573">
        <f>IF(Skills!C8=1,60+Inputs!$B$25+Inputs!$B$29,IF(Skills!C8=2,90+Inputs!$B$26+Inputs!$B$29,IF(Skills!C8=3,120+Inputs!$B$27+Inputs!$B$29,MAX(0,(Inputs!$B$3-100)*3)+Inputs!$B$28+Inputs!$B$29)))</f>
        <v/>
      </c>
      <c r="E3573">
        <f>INDEX(FactorTable!$B$2:$Y$301, MATCH(ROUND(MIN(300,MAX(1,D3573)),0), FactorTable!$A$2:$A$301,0), Skills!M8+1)</f>
        <v/>
      </c>
      <c r="F3573">
        <f>IF(Skills!N8=TRUE,(Skills!L8/10)*(E3573/1000),Skills!L8/10)+Skills!O8</f>
        <v/>
      </c>
      <c r="G3573">
        <f>Calc!G8</f>
        <v/>
      </c>
      <c r="H3573">
        <f>Calc!H8</f>
        <v/>
      </c>
      <c r="I3573">
        <f>IF(Skills!AA8&lt;&gt;"",1+(Skills!AA8/10)*(U3568/1000)/100,1)</f>
        <v/>
      </c>
      <c r="J3573">
        <f>((Inputs!$B$6*(1+Inputs!$B$7/100))+(((Inputs!$B$12*(1+Inputs!$B$13/100))-(Inputs!$B$12*(1+Inputs!$B$13/100)))+0.25*(Inputs!$B$14-Inputs!$B$14))*(1+Inputs!$B$7/100))*(F3573/100)</f>
        <v/>
      </c>
      <c r="K3573">
        <f>J3573*(1+((Inputs!$B$12*(1+Inputs!$B$13/100))*0.01+Inputs!$B$14*0.0025)/100)*(1+Inputs!$B$15/100)*(1+Inputs!$B$16/100)*(5000/(6000+Inputs!$B$43*(1-(100*(1-(1-(Inputs!$B$19+0)/100)*(1-CHOOSE(ArtifactsInput!$N$40+1,5,6,7,8,9,10)/100)^(ArtifactsInput!$M$40-ArtifactsInput!$M$40)))/100)))*(1+(Inputs!$B$24+((C3595=TRUE)*(F3595-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3588=TRUE)*(F3588-Calc!F23))+(((IF(AND(ArtifactsInput!$M$42,((Inputs!$B$9+((C3590=TRUE)*(F3590-Calc!F25))+B3605+(ArtifactsInput!$M$24-ArtifactsInput!$M$24)*CHOOSE(ArtifactsInput!$N$24+1,10,12,14,16,18,20)+IF(ArtifactsInput!$M$10,CHOOSE(ArtifactsInput!$N$10+1,15,18,21,24,27,30)*(IF(Inputs!$B$39="pvp",MIN(15,15)/15,IF(AND(Inputs!$B$39&lt;&gt;"pvp",Inputs!$B$44&gt;0),MIN(15,Inputs!$B$44)/(Inputs!$B$44),0))),0)))&gt;=100),MIN(100,((Inputs!$B$9+((C3590=TRUE)*(F3590-Calc!F25))+B3605+(ArtifactsInput!$M$24-ArtifactsInput!$M$24)*CHOOSE(ArtifactsInput!$N$24+1,10,12,14,16,18,20)+IF(ArtifactsInput!$M$10,CHOOSE(ArtifactsInput!$N$10+1,15,18,21,24,27,30)*(IF(Inputs!$B$39="pvp",MIN(15,15)/15,IF(AND(Inputs!$B$39&lt;&gt;"pvp",Inputs!$B$44&gt;0),MIN(15,Inputs!$B$44)/(Inputs!$B$44),0))),0)))-100),0))*CHOOSE(ArtifactsInput!$N$42+1,0.6,0.72,0.84,0.96,1.08,1.2))),Inputs!$B$18+((C3594=TRUE)*(F3594-Calc!F29))+(IF(AND(ArtifactsInput!$M$42,((Inputs!$B$9+((C3590=TRUE)*(F3590-Calc!F25))+B3605+(ArtifactsInput!$M$24-ArtifactsInput!$M$24)*CHOOSE(ArtifactsInput!$N$24+1,10,12,14,16,18,20)+IF(ArtifactsInput!$M$10,CHOOSE(ArtifactsInput!$N$10+1,15,18,21,24,27,30)*(IF(Inputs!$B$39="pvp",MIN(15,15)/15,IF(AND(Inputs!$B$39&lt;&gt;"pvp",Inputs!$B$44&gt;0),MIN(15,Inputs!$B$44)/(Inputs!$B$44),0))),0)))&gt;=100),CHOOSE(ArtifactsInput!$N$42+1,40,48,56,64,72,80),0))))/100)*(((1+(((C3586=TRUE)*F3586*IF(AND(Inputs!$B$39&lt;&gt;"pvp",Inputs!$B$44&gt;0),(((R3586-1)*(Skills!Y21*(1+Inputs!$B$34/100))+MIN((Skills!Y21*(1+Inputs!$B$34/100)),MAX(0,Inputs!$B$44-((R3586-1)*Skills!D21))))/Inputs!$B$44),IF(Inputs!$B$39="pvp",MIN((Skills!Y21*(1+Inputs!$B$34/100)),15)/15,(Skills!Y21*(1+Inputs!$B$34/100))/Skills!D21)))+((C3593=TRUE)*(F3593-Calc!F28))+((C3583=TRUE)*(F3583-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3580=TRUE)*F3580*IF(AND(Inputs!$B$39&lt;&gt;"pvp",Inputs!$B$44&gt;0),(((R3580-1)*(Skills!Y15*(1+Inputs!$B$34/100))+MIN((Skills!Y15*(1+Inputs!$B$34/100)),MAX(0,Inputs!$B$44-((R3580-1)*Skills!D15))))/Inputs!$B$44),IF(Inputs!$B$39="pvp",MIN((Skills!Y15*(1+Inputs!$B$34/100)),15)/15,(Skills!Y15*(1+Inputs!$B$34/100))/Skills!D15)))/100)*(1+((C3571=TRUE)*F3571*B3599)/100))*B3607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3573)</f>
        <v/>
      </c>
      <c r="L3573">
        <f>K3573*(MIN(Inputs!$B$22+((C3589=TRUE)*(F3589-Calc!F24)),(Inputs!$B$23+0+(IF(ArtifactsInput!$M$15,CHOOSE(ArtifactsInput!$N$15+1,25,30,35,40,45,50)/100*(Inputs!$B$11-Inputs!$B$11),0))))/100+(Inputs!$B$23+0+(IF(ArtifactsInput!$M$15,CHOOSE(ArtifactsInput!$N$15+1,25,30,35,40,45,50)/100*(Inputs!$B$11-Inputs!$B$11),0)))/100)/2</f>
        <v/>
      </c>
      <c r="M3573">
        <f>L3573*(1+(Inputs!$B$10+((C3591=TRUE)*(F3591-Calc!F26))+B3608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73">
        <f>L3573*(1-MIN((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3573*(MIN((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73">
        <f>(1-Summary!$B$11)*T3573+Summary!$B$11*V3573</f>
        <v/>
      </c>
      <c r="P3573">
        <f>IF(B3609=0,0,O3573/B3609)</f>
        <v/>
      </c>
      <c r="Q3573">
        <f>IFERROR(1/IF(Inputs!$B$39="pvp",15,MAX(0.1,Skills!D8-IF(Skills!E8=TRUE,4.5,0))),0)</f>
        <v/>
      </c>
      <c r="R3573">
        <f>IF(AND(Inputs!$B$39&lt;&gt;"pvp",Inputs!$B$44&gt;0),IF(MAX(0,Inputs!$B$44-B3610)&lt;=0,0,(INT(MAX(0,Inputs!$B$44-B3610)/IF(Inputs!$B$39="pvp",15,MAX(0.1,Skills!D8-IF(Skills!E8=TRUE,4.5,0))))+1)),0)</f>
        <v/>
      </c>
      <c r="S3573">
        <f>IFERROR(O3573/N3573,0)</f>
        <v/>
      </c>
      <c r="T3573">
        <f>IF(C3573,(H3573*N3573*IF(AND(Inputs!$B$39&lt;&gt;"pvp",Inputs!$B$44&gt;0),((Skills!G8*((R3573-1)*IF(Skills!H8&gt;0,Skills!I8/Skills!H8,1)+IF(Skills!H8&gt;0,MIN(Skills!I8,MAX(0,MAX(0,Inputs!$B$44-B3610)-((R3573-1)*IF(Inputs!$B$39="pvp",15,MAX(0.1,Skills!D8-IF(Skills!E8=TRUE,4.5,0))))))/Skills!H8,1)))/Inputs!$B$44),G3573*Q3573))*IF(Inputs!$B$39="pvp",1,1+(Inputs!$B$20+((C3592=TRUE)*(F3592-Calc!F27))+Skills!P8+B3606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Hunt"),CHOOSE(ArtifactsInput!$N$35+1,15,18,21,24,27,30)*(1-EXP(-(0.2*B3601)*5)),0)+IF(AND(ArtifactsInput!$M$22,Inputs!$B$4&lt;&gt;"Chapter Hunt"),CHOOSE(ArtifactsInput!$N$22+1,10,12,14,16,18,20)*((0*(((0.15*B3601*5))^0/1)+1*(((0.15*B3601*5))^1/1)+2*(((0.15*B3601*5))^2/2)+3*(((0.15*B3601*5))^3/6)+4*(((0.15*B3601*5))^4/24)+5*(((0.15*B3601*5))^5/120))/((((0.15*B3601*5))^0/1)+(((0.15*B3601*5))^1/1)+(((0.15*B3601*5))^2/2)+(((0.15*B3601*5))^3/6)+(((0.15*B3601*5))^4/24)+(((0.15*B3601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3573*(1-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3573*(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3573*(1-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3573*(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73">
        <f>IF(C3573,(H3573*N3573*IF(AND(Inputs!$B$39&lt;&gt;"pvp",Inputs!$B$44&gt;0),((Skills!G8*((R3573-1)*IF(Skills!H8&gt;0,Skills!I8/Skills!H8,1)+IF(Skills!H8&gt;0,MIN(Skills!I8,MAX(0,MAX(0,Inputs!$B$44-B3610)-((R3573-1)*IF(Inputs!$B$39="pvp",15,MAX(0.1,Skills!D8-IF(Skills!E8=TRUE,4.5,0))))))/Skills!H8,1)))/Inputs!$B$44),G3573*Q3573))*IF(Inputs!$B$39="pvp",1,(1+(Inputs!$B$21+Skills!Q8+B3606+(IF(ArtifactsInput!$M$33,CHOOSE(ArtifactsInput!$N$33+1,30,36,42,48,54,60),0))+(IF(AND(ArtifactsInput!$M$35,Inputs!$B$4&lt;&gt;"Chapter Hunt"),CHOOSE(ArtifactsInput!$N$35+1,15,18,21,24,27,30)*(1-EXP(-(0.2*B3601)*5)),0)+IF(AND(ArtifactsInput!$M$22,Inputs!$B$4&lt;&gt;"Chapter Hunt"),CHOOSE(ArtifactsInput!$N$22+1,10,12,14,16,18,20)*((0*(((0.15*B3601*5))^0/1)+1*(((0.15*B3601*5))^1/1)+2*(((0.15*B3601*5))^2/2)+3*(((0.15*B3601*5))^3/6)+4*(((0.15*B3601*5))^4/24)+5*(((0.15*B3601*5))^5/120))/((((0.15*B3601*5))^0/1)+(((0.15*B3601*5))^1/1)+(((0.15*B3601*5))^2/2)+(((0.15*B3601*5))^3/6)+(((0.15*B3601*5))^4/24)+(((0.15*B3601*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74">
      <c r="A3574">
        <f>Skills!A9</f>
        <v/>
      </c>
      <c r="B3574">
        <f>Skills!B9</f>
        <v/>
      </c>
      <c r="C3574">
        <f>Inputs!$B$3&gt;=72</f>
        <v/>
      </c>
      <c r="D3574">
        <f>IF(Skills!C9=1,60+Inputs!$B$25+Inputs!$B$29,IF(Skills!C9=2,90+Inputs!$B$26+Inputs!$B$29,IF(Skills!C9=3,120+Inputs!$B$27+Inputs!$B$29,MAX(0,(Inputs!$B$3-100)*3)+Inputs!$B$28+Inputs!$B$29)))</f>
        <v/>
      </c>
      <c r="E3574">
        <f>INDEX(FactorTable!$B$2:$Y$301, MATCH(ROUND(MIN(300,MAX(1,D3574)),0), FactorTable!$A$2:$A$301,0), Skills!M9+1)</f>
        <v/>
      </c>
      <c r="F3574">
        <f>IF(Skills!N9=TRUE,(Skills!L9/10)*(E3574/1000),Skills!L9/10)+Skills!O9</f>
        <v/>
      </c>
      <c r="G3574">
        <f>Calc!G9</f>
        <v/>
      </c>
      <c r="H3574">
        <f>Calc!H9</f>
        <v/>
      </c>
      <c r="I3574">
        <f>IF(Skills!AA9&lt;&gt;"",1+(Skills!AA9/10)*(U3568/1000)/100,1)</f>
        <v/>
      </c>
      <c r="J3574">
        <f>((Inputs!$B$6*(1+Inputs!$B$7/100))+(((Inputs!$B$12*(1+Inputs!$B$13/100))-(Inputs!$B$12*(1+Inputs!$B$13/100)))+0.25*(Inputs!$B$14-Inputs!$B$14))*(1+Inputs!$B$7/100))*(F3574/100)</f>
        <v/>
      </c>
      <c r="K3574">
        <f>J3574*(1+((Inputs!$B$12*(1+Inputs!$B$13/100))*0.01+Inputs!$B$14*0.0025)/100)*(1+Inputs!$B$15/100)*(1+Inputs!$B$16/100)*(5000/(6000+Inputs!$B$43*(1-(100*(1-(1-(Inputs!$B$19+0)/100)*(1-CHOOSE(ArtifactsInput!$N$40+1,5,6,7,8,9,10)/100)^(ArtifactsInput!$M$40-ArtifactsInput!$M$40)))/100)))*(1+(Inputs!$B$24+((C3595=TRUE)*(F3595-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3588=TRUE)*(F3588-Calc!F23))+(((IF(AND(ArtifactsInput!$M$42,((Inputs!$B$9+((C3590=TRUE)*(F3590-Calc!F25))+B3605+(ArtifactsInput!$M$24-ArtifactsInput!$M$24)*CHOOSE(ArtifactsInput!$N$24+1,10,12,14,16,18,20)+IF(ArtifactsInput!$M$10,CHOOSE(ArtifactsInput!$N$10+1,15,18,21,24,27,30)*(IF(Inputs!$B$39="pvp",MIN(15,15)/15,IF(AND(Inputs!$B$39&lt;&gt;"pvp",Inputs!$B$44&gt;0),MIN(15,Inputs!$B$44)/(Inputs!$B$44),0))),0)))&gt;=100),MIN(100,((Inputs!$B$9+((C3590=TRUE)*(F3590-Calc!F25))+B3605+(ArtifactsInput!$M$24-ArtifactsInput!$M$24)*CHOOSE(ArtifactsInput!$N$24+1,10,12,14,16,18,20)+IF(ArtifactsInput!$M$10,CHOOSE(ArtifactsInput!$N$10+1,15,18,21,24,27,30)*(IF(Inputs!$B$39="pvp",MIN(15,15)/15,IF(AND(Inputs!$B$39&lt;&gt;"pvp",Inputs!$B$44&gt;0),MIN(15,Inputs!$B$44)/(Inputs!$B$44),0))),0)))-100),0))*CHOOSE(ArtifactsInput!$N$42+1,0.6,0.72,0.84,0.96,1.08,1.2))),Inputs!$B$18+((C3594=TRUE)*(F3594-Calc!F29))+(IF(AND(ArtifactsInput!$M$42,((Inputs!$B$9+((C3590=TRUE)*(F3590-Calc!F25))+B3605+(ArtifactsInput!$M$24-ArtifactsInput!$M$24)*CHOOSE(ArtifactsInput!$N$24+1,10,12,14,16,18,20)+IF(ArtifactsInput!$M$10,CHOOSE(ArtifactsInput!$N$10+1,15,18,21,24,27,30)*(IF(Inputs!$B$39="pvp",MIN(15,15)/15,IF(AND(Inputs!$B$39&lt;&gt;"pvp",Inputs!$B$44&gt;0),MIN(15,Inputs!$B$44)/(Inputs!$B$44),0))),0)))&gt;=100),CHOOSE(ArtifactsInput!$N$42+1,40,48,56,64,72,80),0))))/100)*(((1+(((C3586=TRUE)*F3586*IF(AND(Inputs!$B$39&lt;&gt;"pvp",Inputs!$B$44&gt;0),(((R3586-1)*(Skills!Y21*(1+Inputs!$B$34/100))+MIN((Skills!Y21*(1+Inputs!$B$34/100)),MAX(0,Inputs!$B$44-((R3586-1)*Skills!D21))))/Inputs!$B$44),IF(Inputs!$B$39="pvp",MIN((Skills!Y21*(1+Inputs!$B$34/100)),15)/15,(Skills!Y21*(1+Inputs!$B$34/100))/Skills!D21)))+((C3593=TRUE)*(F3593-Calc!F28))+((C3583=TRUE)*(F3583-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3580=TRUE)*F3580*IF(AND(Inputs!$B$39&lt;&gt;"pvp",Inputs!$B$44&gt;0),(((R3580-1)*(Skills!Y15*(1+Inputs!$B$34/100))+MIN((Skills!Y15*(1+Inputs!$B$34/100)),MAX(0,Inputs!$B$44-((R3580-1)*Skills!D15))))/Inputs!$B$44),IF(Inputs!$B$39="pvp",MIN((Skills!Y15*(1+Inputs!$B$34/100)),15)/15,(Skills!Y15*(1+Inputs!$B$34/100))/Skills!D15)))/100)*(1+((C3571=TRUE)*F3571*B3599)/100))*B3607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3574)</f>
        <v/>
      </c>
      <c r="L3574">
        <f>K3574*(MIN(Inputs!$B$22+((C3589=TRUE)*(F3589-Calc!F24)),(Inputs!$B$23+0+(IF(ArtifactsInput!$M$15,CHOOSE(ArtifactsInput!$N$15+1,25,30,35,40,45,50)/100*(Inputs!$B$11-Inputs!$B$11),0))))/100+(Inputs!$B$23+0+(IF(ArtifactsInput!$M$15,CHOOSE(ArtifactsInput!$N$15+1,25,30,35,40,45,50)/100*(Inputs!$B$11-Inputs!$B$11),0)))/100)/2</f>
        <v/>
      </c>
      <c r="M3574">
        <f>L3574*(1+(Inputs!$B$10+((C3591=TRUE)*(F3591-Calc!F26))+B3608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74">
        <f>L3574*(1-MIN((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3574*(MIN((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74">
        <f>(1-Summary!$B$11)*T3574+Summary!$B$11*V3574</f>
        <v/>
      </c>
      <c r="P3574">
        <f>IF(B3609=0,0,O3574/B3609)</f>
        <v/>
      </c>
      <c r="Q3574">
        <f>IFERROR(1/IF(Inputs!$B$39="pvp",15,MAX(0.1,Skills!D9-IF(Skills!E9=TRUE,4.5,0))),0)</f>
        <v/>
      </c>
      <c r="R3574">
        <f>IF(AND(Inputs!$B$39&lt;&gt;"pvp",Inputs!$B$44&gt;0),IF(MAX(0,Inputs!$B$44-B3610)&lt;=0,0,(INT(MAX(0,Inputs!$B$44-B3610)/IF(Inputs!$B$39="pvp",15,MAX(0.1,Skills!D9-IF(Skills!E9=TRUE,4.5,0))))+1)),0)</f>
        <v/>
      </c>
      <c r="S3574">
        <f>IFERROR(O3574/N3574,0)</f>
        <v/>
      </c>
      <c r="T3574">
        <f>IF(C3574,(H3574*N3574*IF(AND(Inputs!$B$39&lt;&gt;"pvp",Inputs!$B$44&gt;0),((Skills!G9*((R3574-1)*IF(Skills!H9&gt;0,Skills!I9/Skills!H9,1)+IF(Skills!H9&gt;0,MIN(Skills!I9,MAX(0,MAX(0,Inputs!$B$44-B3610)-((R3574-1)*IF(Inputs!$B$39="pvp",15,MAX(0.1,Skills!D9-IF(Skills!E9=TRUE,4.5,0))))))/Skills!H9,1)))/Inputs!$B$44),G3574*Q3574))*IF(Inputs!$B$39="pvp",1,1+(Inputs!$B$20+((C3592=TRUE)*(F3592-Calc!F27))+Skills!P9+B3606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Hunt"),CHOOSE(ArtifactsInput!$N$35+1,15,18,21,24,27,30)*(1-EXP(-(0.2*B3601)*5)),0)+IF(AND(ArtifactsInput!$M$22,Inputs!$B$4&lt;&gt;"Chapter Hunt"),CHOOSE(ArtifactsInput!$N$22+1,10,12,14,16,18,20)*((0*(((0.15*B3601*5))^0/1)+1*(((0.15*B3601*5))^1/1)+2*(((0.15*B3601*5))^2/2)+3*(((0.15*B3601*5))^3/6)+4*(((0.15*B3601*5))^4/24)+5*(((0.15*B3601*5))^5/120))/((((0.15*B3601*5))^0/1)+(((0.15*B3601*5))^1/1)+(((0.15*B3601*5))^2/2)+(((0.15*B3601*5))^3/6)+(((0.15*B3601*5))^4/24)+(((0.15*B3601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3574*(1-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3574*(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3574*(1-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3574*(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74">
        <f>IF(C3574,(H3574*N3574*IF(AND(Inputs!$B$39&lt;&gt;"pvp",Inputs!$B$44&gt;0),((Skills!G9*((R3574-1)*IF(Skills!H9&gt;0,Skills!I9/Skills!H9,1)+IF(Skills!H9&gt;0,MIN(Skills!I9,MAX(0,MAX(0,Inputs!$B$44-B3610)-((R3574-1)*IF(Inputs!$B$39="pvp",15,MAX(0.1,Skills!D9-IF(Skills!E9=TRUE,4.5,0))))))/Skills!H9,1)))/Inputs!$B$44),G3574*Q3574))*IF(Inputs!$B$39="pvp",1,(1+(Inputs!$B$21+Skills!Q9+B3606+(IF(ArtifactsInput!$M$33,CHOOSE(ArtifactsInput!$N$33+1,30,36,42,48,54,60),0))+(IF(AND(ArtifactsInput!$M$35,Inputs!$B$4&lt;&gt;"Chapter Hunt"),CHOOSE(ArtifactsInput!$N$35+1,15,18,21,24,27,30)*(1-EXP(-(0.2*B3601)*5)),0)+IF(AND(ArtifactsInput!$M$22,Inputs!$B$4&lt;&gt;"Chapter Hunt"),CHOOSE(ArtifactsInput!$N$22+1,10,12,14,16,18,20)*((0*(((0.15*B3601*5))^0/1)+1*(((0.15*B3601*5))^1/1)+2*(((0.15*B3601*5))^2/2)+3*(((0.15*B3601*5))^3/6)+4*(((0.15*B3601*5))^4/24)+5*(((0.15*B3601*5))^5/120))/((((0.15*B3601*5))^0/1)+(((0.15*B3601*5))^1/1)+(((0.15*B3601*5))^2/2)+(((0.15*B3601*5))^3/6)+(((0.15*B3601*5))^4/24)+(((0.15*B3601*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75">
      <c r="A3575">
        <f>Skills!A10</f>
        <v/>
      </c>
      <c r="B3575">
        <f>Skills!B10</f>
        <v/>
      </c>
      <c r="C3575">
        <f>Inputs!$B$3&gt;=117</f>
        <v/>
      </c>
      <c r="D3575">
        <f>IF(Skills!C10=1,60+Inputs!$B$25+Inputs!$B$29,IF(Skills!C10=2,90+Inputs!$B$26+Inputs!$B$29,IF(Skills!C10=3,120+Inputs!$B$27+Inputs!$B$29,MAX(0,(Inputs!$B$3-100)*3)+Inputs!$B$28+Inputs!$B$29)))</f>
        <v/>
      </c>
      <c r="E3575">
        <f>INDEX(FactorTable!$B$2:$Y$301, MATCH(ROUND(MIN(300,MAX(1,D3575)),0), FactorTable!$A$2:$A$301,0), Skills!M10+1)</f>
        <v/>
      </c>
      <c r="F3575">
        <f>IF(Skills!N10=TRUE,(Skills!L10/10)*(E3575/1000),Skills!L10/10)+Skills!O10</f>
        <v/>
      </c>
      <c r="G3575">
        <f>Calc!G10</f>
        <v/>
      </c>
      <c r="H3575">
        <f>Calc!H10</f>
        <v/>
      </c>
      <c r="I3575">
        <f>IF(Skills!AA10&lt;&gt;"",1+(Skills!AA10/10)*(U3568/1000)/100,1)</f>
        <v/>
      </c>
      <c r="J3575">
        <f>((Inputs!$B$6*(1+Inputs!$B$7/100))+(((Inputs!$B$12*(1+Inputs!$B$13/100))-(Inputs!$B$12*(1+Inputs!$B$13/100)))+0.25*(Inputs!$B$14-Inputs!$B$14))*(1+Inputs!$B$7/100))*(F3575/100)</f>
        <v/>
      </c>
      <c r="K3575">
        <f>J3575*(1+((Inputs!$B$12*(1+Inputs!$B$13/100))*0.01+Inputs!$B$14*0.0025)/100)*(1+Inputs!$B$15/100)*(1+Inputs!$B$16/100)*(5000/(6000+Inputs!$B$43*(1-(100*(1-(1-(Inputs!$B$19+0)/100)*(1-CHOOSE(ArtifactsInput!$N$40+1,5,6,7,8,9,10)/100)^(ArtifactsInput!$M$40-ArtifactsInput!$M$40)))/100)))*(1+(Inputs!$B$24+((C3595=TRUE)*(F3595-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3588=TRUE)*(F3588-Calc!F23))+(((IF(AND(ArtifactsInput!$M$42,((Inputs!$B$9+((C3590=TRUE)*(F3590-Calc!F25))+B3605+(ArtifactsInput!$M$24-ArtifactsInput!$M$24)*CHOOSE(ArtifactsInput!$N$24+1,10,12,14,16,18,20)+IF(ArtifactsInput!$M$10,CHOOSE(ArtifactsInput!$N$10+1,15,18,21,24,27,30)*(IF(Inputs!$B$39="pvp",MIN(15,15)/15,IF(AND(Inputs!$B$39&lt;&gt;"pvp",Inputs!$B$44&gt;0),MIN(15,Inputs!$B$44)/(Inputs!$B$44),0))),0)))&gt;=100),MIN(100,((Inputs!$B$9+((C3590=TRUE)*(F3590-Calc!F25))+B3605+(ArtifactsInput!$M$24-ArtifactsInput!$M$24)*CHOOSE(ArtifactsInput!$N$24+1,10,12,14,16,18,20)+IF(ArtifactsInput!$M$10,CHOOSE(ArtifactsInput!$N$10+1,15,18,21,24,27,30)*(IF(Inputs!$B$39="pvp",MIN(15,15)/15,IF(AND(Inputs!$B$39&lt;&gt;"pvp",Inputs!$B$44&gt;0),MIN(15,Inputs!$B$44)/(Inputs!$B$44),0))),0)))-100),0))*CHOOSE(ArtifactsInput!$N$42+1,0.6,0.72,0.84,0.96,1.08,1.2))),Inputs!$B$18+((C3594=TRUE)*(F3594-Calc!F29))+(IF(AND(ArtifactsInput!$M$42,((Inputs!$B$9+((C3590=TRUE)*(F3590-Calc!F25))+B3605+(ArtifactsInput!$M$24-ArtifactsInput!$M$24)*CHOOSE(ArtifactsInput!$N$24+1,10,12,14,16,18,20)+IF(ArtifactsInput!$M$10,CHOOSE(ArtifactsInput!$N$10+1,15,18,21,24,27,30)*(IF(Inputs!$B$39="pvp",MIN(15,15)/15,IF(AND(Inputs!$B$39&lt;&gt;"pvp",Inputs!$B$44&gt;0),MIN(15,Inputs!$B$44)/(Inputs!$B$44),0))),0)))&gt;=100),CHOOSE(ArtifactsInput!$N$42+1,40,48,56,64,72,80),0))))/100)*(((1+(((C3586=TRUE)*F3586*IF(AND(Inputs!$B$39&lt;&gt;"pvp",Inputs!$B$44&gt;0),(((R3586-1)*(Skills!Y21*(1+Inputs!$B$34/100))+MIN((Skills!Y21*(1+Inputs!$B$34/100)),MAX(0,Inputs!$B$44-((R3586-1)*Skills!D21))))/Inputs!$B$44),IF(Inputs!$B$39="pvp",MIN((Skills!Y21*(1+Inputs!$B$34/100)),15)/15,(Skills!Y21*(1+Inputs!$B$34/100))/Skills!D21)))+((C3593=TRUE)*(F3593-Calc!F28))+((C3583=TRUE)*(F3583-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3580=TRUE)*F3580*IF(AND(Inputs!$B$39&lt;&gt;"pvp",Inputs!$B$44&gt;0),(((R3580-1)*(Skills!Y15*(1+Inputs!$B$34/100))+MIN((Skills!Y15*(1+Inputs!$B$34/100)),MAX(0,Inputs!$B$44-((R3580-1)*Skills!D15))))/Inputs!$B$44),IF(Inputs!$B$39="pvp",MIN((Skills!Y15*(1+Inputs!$B$34/100)),15)/15,(Skills!Y15*(1+Inputs!$B$34/100))/Skills!D15)))/100)*(1+((C3571=TRUE)*F3571*B3599)/100))*B3607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3575)</f>
        <v/>
      </c>
      <c r="L3575">
        <f>K3575*(MIN(Inputs!$B$22+((C3589=TRUE)*(F3589-Calc!F24)),(Inputs!$B$23+0+(IF(ArtifactsInput!$M$15,CHOOSE(ArtifactsInput!$N$15+1,25,30,35,40,45,50)/100*(Inputs!$B$11-Inputs!$B$11),0))))/100+(Inputs!$B$23+0+(IF(ArtifactsInput!$M$15,CHOOSE(ArtifactsInput!$N$15+1,25,30,35,40,45,50)/100*(Inputs!$B$11-Inputs!$B$11),0)))/100)/2</f>
        <v/>
      </c>
      <c r="M3575">
        <f>L3575*(1+(Inputs!$B$10+((C3591=TRUE)*(F3591-Calc!F26))+B3608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75">
        <f>L3575*(1-MIN((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3575*(MIN((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75">
        <f>(1-Summary!$B$11)*T3575+Summary!$B$11*V3575</f>
        <v/>
      </c>
      <c r="P3575">
        <f>IF(B3609=0,0,O3575/B3609)</f>
        <v/>
      </c>
      <c r="Q3575" t="n">
        <v>0</v>
      </c>
      <c r="R3575" t="n">
        <v>0</v>
      </c>
      <c r="S3575" t="n">
        <v>0</v>
      </c>
      <c r="T3575">
        <f>IF(C3575,(0.2*SUMPRODUCT((Skills!Z2:Z31=TRUE)*(C3567:C3596=TRUE)*S3567:S3596)*N3575)*IF(Inputs!$B$39="pvp",1,1+(Inputs!$B$20+((C3592=TRUE)*(F3592-Calc!F27))+Skills!P10+B3606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Hunt"),CHOOSE(ArtifactsInput!$N$35+1,15,18,21,24,27,30)*(1-EXP(-(0.2*B3601)*5)),0)+IF(AND(ArtifactsInput!$M$22,Inputs!$B$4&lt;&gt;"Chapter Hunt"),CHOOSE(ArtifactsInput!$N$22+1,10,12,14,16,18,20)*((0*(((0.15*B3601*5))^0/1)+1*(((0.15*B3601*5))^1/1)+2*(((0.15*B3601*5))^2/2)+3*(((0.15*B3601*5))^3/6)+4*(((0.15*B3601*5))^4/24)+5*(((0.15*B3601*5))^5/120))/((((0.15*B3601*5))^0/1)+(((0.15*B3601*5))^1/1)+(((0.15*B3601*5))^2/2)+(((0.15*B3601*5))^3/6)+(((0.15*B3601*5))^4/24)+(((0.15*B3601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3575*(1-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3575*(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3575*(1-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3575*(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75">
        <f>IF(C3575,(0.2*SUMPRODUCT((Skills!Z2:Z31=TRUE)*(C3567:C3596=TRUE)*S3567:S3596)*N3575)*IF(Inputs!$B$39="pvp",1,(1+(Inputs!$B$21+Skills!Q10+B3606+(IF(ArtifactsInput!$M$33,CHOOSE(ArtifactsInput!$N$33+1,30,36,42,48,54,60),0))+(IF(AND(ArtifactsInput!$M$35,Inputs!$B$4&lt;&gt;"Chapter Hunt"),CHOOSE(ArtifactsInput!$N$35+1,15,18,21,24,27,30)*(1-EXP(-(0.2*B3601)*5)),0)+IF(AND(ArtifactsInput!$M$22,Inputs!$B$4&lt;&gt;"Chapter Hunt"),CHOOSE(ArtifactsInput!$N$22+1,10,12,14,16,18,20)*((0*(((0.15*B3601*5))^0/1)+1*(((0.15*B3601*5))^1/1)+2*(((0.15*B3601*5))^2/2)+3*(((0.15*B3601*5))^3/6)+4*(((0.15*B3601*5))^4/24)+5*(((0.15*B3601*5))^5/120))/((((0.15*B3601*5))^0/1)+(((0.15*B3601*5))^1/1)+(((0.15*B3601*5))^2/2)+(((0.15*B3601*5))^3/6)+(((0.15*B3601*5))^4/24)+(((0.15*B3601*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76">
      <c r="A3576">
        <f>Skills!A11</f>
        <v/>
      </c>
      <c r="B3576">
        <f>Skills!B11</f>
        <v/>
      </c>
      <c r="C3576">
        <f>Inputs!$B$3&gt;=60</f>
        <v/>
      </c>
      <c r="D3576">
        <f>IF(Skills!C11=1,60+Inputs!$B$25+Inputs!$B$29,IF(Skills!C11=2,90+Inputs!$B$26+Inputs!$B$29,IF(Skills!C11=3,120+Inputs!$B$27+Inputs!$B$29,MAX(0,(Inputs!$B$3-100)*3)+Inputs!$B$28+Inputs!$B$29)))</f>
        <v/>
      </c>
      <c r="E3576">
        <f>INDEX(FactorTable!$B$2:$Y$301, MATCH(ROUND(MIN(300,MAX(1,D3576)),0), FactorTable!$A$2:$A$301,0), Skills!M11+1)</f>
        <v/>
      </c>
      <c r="F3576">
        <f>IF(Skills!N11=TRUE,(Skills!L11/10)*(E3576/1000),Skills!L11/10)+Skills!O11</f>
        <v/>
      </c>
      <c r="G3576">
        <f>Calc!G11</f>
        <v/>
      </c>
      <c r="H3576">
        <f>Calc!H11</f>
        <v/>
      </c>
      <c r="I3576">
        <f>IF(Skills!AA11&lt;&gt;"",1+(Skills!AA11/10)*(U3568/1000)/100,1)</f>
        <v/>
      </c>
      <c r="J3576" t="inlineStr"/>
      <c r="K3576" t="inlineStr"/>
      <c r="L3576" t="inlineStr"/>
      <c r="M3576" t="inlineStr"/>
      <c r="N3576" t="inlineStr"/>
      <c r="O3576">
        <f>(1-Summary!$B$11)*T3576+Summary!$B$11*V3576</f>
        <v/>
      </c>
      <c r="P3576">
        <f>IF(B3609=0,0,O3576/B3609)</f>
        <v/>
      </c>
      <c r="Q3576" t="n">
        <v>0</v>
      </c>
      <c r="R3576" t="n">
        <v>0</v>
      </c>
      <c r="S3576">
        <f>IFERROR(O3576/N3576,0)</f>
        <v/>
      </c>
      <c r="T3576" t="n">
        <v>0</v>
      </c>
      <c r="V3576" t="n">
        <v>0</v>
      </c>
    </row>
    <row r="3577">
      <c r="A3577">
        <f>Skills!A12</f>
        <v/>
      </c>
      <c r="B3577">
        <f>Skills!B12</f>
        <v/>
      </c>
      <c r="C3577">
        <f>Inputs!$B$3&gt;=103</f>
        <v/>
      </c>
      <c r="D3577">
        <f>IF(Skills!C12=1,60+Inputs!$B$25+Inputs!$B$29,IF(Skills!C12=2,90+Inputs!$B$26+Inputs!$B$29,IF(Skills!C12=3,120+Inputs!$B$27+Inputs!$B$29,MAX(0,(Inputs!$B$3-100)*3)+Inputs!$B$28+Inputs!$B$29)))</f>
        <v/>
      </c>
      <c r="E3577">
        <f>INDEX(FactorTable!$B$2:$Y$301, MATCH(ROUND(MIN(300,MAX(1,D3577)),0), FactorTable!$A$2:$A$301,0), Skills!M12+1)</f>
        <v/>
      </c>
      <c r="F3577">
        <f>IF(Skills!N12=TRUE,(Skills!L12/10)*(E3577/1000),Skills!L12/10)+Skills!O12</f>
        <v/>
      </c>
      <c r="G3577">
        <f>Calc!G12</f>
        <v/>
      </c>
      <c r="H3577">
        <f>Calc!H12</f>
        <v/>
      </c>
      <c r="I3577">
        <f>IF(Skills!AA12&lt;&gt;"",1+(Skills!AA12/10)*(U3568/1000)/100,1)</f>
        <v/>
      </c>
      <c r="J3577">
        <f>((Inputs!$B$6*(1+Inputs!$B$7/100))+(((Inputs!$B$12*(1+Inputs!$B$13/100))-(Inputs!$B$12*(1+Inputs!$B$13/100)))+0.25*(Inputs!$B$14-Inputs!$B$14))*(1+Inputs!$B$7/100))*(F3577/100)</f>
        <v/>
      </c>
      <c r="K3577">
        <f>J3577*(1+((Inputs!$B$12*(1+Inputs!$B$13/100))*0.01+Inputs!$B$14*0.0025)/100)*(1+Inputs!$B$15/100)*(1+Inputs!$B$16/100)*(5000/(6000+Inputs!$B$43*(1-(100*(1-(1-(Inputs!$B$19+0)/100)*(1-CHOOSE(ArtifactsInput!$N$40+1,5,6,7,8,9,10)/100)^(ArtifactsInput!$M$40-ArtifactsInput!$M$40)))/100)))*(1+(Inputs!$B$24+((C3595=TRUE)*(F3595-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3588=TRUE)*(F3588-Calc!F23))+(((IF(AND(ArtifactsInput!$M$42,((Inputs!$B$9+((C3590=TRUE)*(F3590-Calc!F25))+B3605+(ArtifactsInput!$M$24-ArtifactsInput!$M$24)*CHOOSE(ArtifactsInput!$N$24+1,10,12,14,16,18,20)+IF(ArtifactsInput!$M$10,CHOOSE(ArtifactsInput!$N$10+1,15,18,21,24,27,30)*(IF(Inputs!$B$39="pvp",MIN(15,15)/15,IF(AND(Inputs!$B$39&lt;&gt;"pvp",Inputs!$B$44&gt;0),MIN(15,Inputs!$B$44)/(Inputs!$B$44),0))),0)))&gt;=100),MIN(100,((Inputs!$B$9+((C3590=TRUE)*(F3590-Calc!F25))+B3605+(ArtifactsInput!$M$24-ArtifactsInput!$M$24)*CHOOSE(ArtifactsInput!$N$24+1,10,12,14,16,18,20)+IF(ArtifactsInput!$M$10,CHOOSE(ArtifactsInput!$N$10+1,15,18,21,24,27,30)*(IF(Inputs!$B$39="pvp",MIN(15,15)/15,IF(AND(Inputs!$B$39&lt;&gt;"pvp",Inputs!$B$44&gt;0),MIN(15,Inputs!$B$44)/(Inputs!$B$44),0))),0)))-100),0))*CHOOSE(ArtifactsInput!$N$42+1,0.6,0.72,0.84,0.96,1.08,1.2))),Inputs!$B$18+((C3594=TRUE)*(F3594-Calc!F29))+(IF(AND(ArtifactsInput!$M$42,((Inputs!$B$9+((C3590=TRUE)*(F3590-Calc!F25))+B3605+(ArtifactsInput!$M$24-ArtifactsInput!$M$24)*CHOOSE(ArtifactsInput!$N$24+1,10,12,14,16,18,20)+IF(ArtifactsInput!$M$10,CHOOSE(ArtifactsInput!$N$10+1,15,18,21,24,27,30)*(IF(Inputs!$B$39="pvp",MIN(15,15)/15,IF(AND(Inputs!$B$39&lt;&gt;"pvp",Inputs!$B$44&gt;0),MIN(15,Inputs!$B$44)/(Inputs!$B$44),0))),0)))&gt;=100),CHOOSE(ArtifactsInput!$N$42+1,40,48,56,64,72,80),0))))/100)*(((1+(((C3586=TRUE)*F3586*IF(AND(Inputs!$B$39&lt;&gt;"pvp",Inputs!$B$44&gt;0),(((R3586-1)*(Skills!Y21*(1+Inputs!$B$34/100))+MIN((Skills!Y21*(1+Inputs!$B$34/100)),MAX(0,Inputs!$B$44-((R3586-1)*Skills!D21))))/Inputs!$B$44),IF(Inputs!$B$39="pvp",MIN((Skills!Y21*(1+Inputs!$B$34/100)),15)/15,(Skills!Y21*(1+Inputs!$B$34/100))/Skills!D21)))+((C3593=TRUE)*(F3593-Calc!F28))+((C3583=TRUE)*(F3583-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3580=TRUE)*F3580*IF(AND(Inputs!$B$39&lt;&gt;"pvp",Inputs!$B$44&gt;0),(((R3580-1)*(Skills!Y15*(1+Inputs!$B$34/100))+MIN((Skills!Y15*(1+Inputs!$B$34/100)),MAX(0,Inputs!$B$44-((R3580-1)*Skills!D15))))/Inputs!$B$44),IF(Inputs!$B$39="pvp",MIN((Skills!Y15*(1+Inputs!$B$34/100)),15)/15,(Skills!Y15*(1+Inputs!$B$34/100))/Skills!D15)))/100)*(1+((C3571=TRUE)*F3571*B3599)/100))*B3607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3577)</f>
        <v/>
      </c>
      <c r="L3577">
        <f>K3577*(MIN(Inputs!$B$22+((C3589=TRUE)*(F3589-Calc!F24)),(Inputs!$B$23+0+(IF(ArtifactsInput!$M$15,CHOOSE(ArtifactsInput!$N$15+1,25,30,35,40,45,50)/100*(Inputs!$B$11-Inputs!$B$11),0))))/100+(Inputs!$B$23+0+(IF(ArtifactsInput!$M$15,CHOOSE(ArtifactsInput!$N$15+1,25,30,35,40,45,50)/100*(Inputs!$B$11-Inputs!$B$11),0)))/100)/2</f>
        <v/>
      </c>
      <c r="M3577">
        <f>L3577*(1+(Inputs!$B$10+((C3591=TRUE)*(F3591-Calc!F26))+B3608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77">
        <f>L3577*(1-MIN((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3577*(MIN((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77">
        <f>(1-Summary!$B$11)*T3577+Summary!$B$11*V3577</f>
        <v/>
      </c>
      <c r="P3577">
        <f>IF(B3609=0,0,O3577/B3609)</f>
        <v/>
      </c>
      <c r="Q3577">
        <f>IFERROR(1/IF(Inputs!$B$39="pvp",15,MAX(0.1,Skills!D12-IF(Skills!E12=TRUE,4.5,0))),0)</f>
        <v/>
      </c>
      <c r="R3577">
        <f>IF(AND(Inputs!$B$39&lt;&gt;"pvp",Inputs!$B$44&gt;0),IF(MAX(0,Inputs!$B$44-B3610)&lt;=0,0,(INT(MAX(0,Inputs!$B$44-B3610)/IF(Inputs!$B$39="pvp",15,MAX(0.1,Skills!D12-IF(Skills!E12=TRUE,4.5,0))))+1)),0)</f>
        <v/>
      </c>
      <c r="S3577">
        <f>IFERROR(O3577/N3577,0)</f>
        <v/>
      </c>
      <c r="T3577">
        <f>IF(C3577,(H3577*N3577*IF(AND(Inputs!$B$39&lt;&gt;"pvp",Inputs!$B$44&gt;0),((Skills!G12*((R3577-1)*IF(Skills!H12&gt;0,Skills!I12/Skills!H12,1)+IF(Skills!H12&gt;0,MIN(Skills!I12,MAX(0,MAX(0,Inputs!$B$44-B3610)-((R3577-1)*IF(Inputs!$B$39="pvp",15,MAX(0.1,Skills!D12-IF(Skills!E12=TRUE,4.5,0))))))/Skills!H12,1)))/Inputs!$B$44),G3577*Q3577))*IF(Inputs!$B$39="pvp",1,1+(Inputs!$B$20+((C3592=TRUE)*(F3592-Calc!F27))+Skills!P12+B3606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Hunt"),CHOOSE(ArtifactsInput!$N$35+1,15,18,21,24,27,30)*(1-EXP(-(0.2*B3601)*5)),0)+IF(AND(ArtifactsInput!$M$22,Inputs!$B$4&lt;&gt;"Chapter Hunt"),CHOOSE(ArtifactsInput!$N$22+1,10,12,14,16,18,20)*((0*(((0.15*B3601*5))^0/1)+1*(((0.15*B3601*5))^1/1)+2*(((0.15*B3601*5))^2/2)+3*(((0.15*B3601*5))^3/6)+4*(((0.15*B3601*5))^4/24)+5*(((0.15*B3601*5))^5/120))/((((0.15*B3601*5))^0/1)+(((0.15*B3601*5))^1/1)+(((0.15*B3601*5))^2/2)+(((0.15*B3601*5))^3/6)+(((0.15*B3601*5))^4/24)+(((0.15*B3601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3577*(1-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3577*(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3577*(1-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3577*(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77">
        <f>IF(C3577,(H3577*N3577*IF(AND(Inputs!$B$39&lt;&gt;"pvp",Inputs!$B$44&gt;0),((Skills!G12*((R3577-1)*IF(Skills!H12&gt;0,Skills!I12/Skills!H12,1)+IF(Skills!H12&gt;0,MIN(Skills!I12,MAX(0,MAX(0,Inputs!$B$44-B3610)-((R3577-1)*IF(Inputs!$B$39="pvp",15,MAX(0.1,Skills!D12-IF(Skills!E12=TRUE,4.5,0))))))/Skills!H12,1)))/Inputs!$B$44),G3577*Q3577))*IF(Inputs!$B$39="pvp",1,(1+(Inputs!$B$21+Skills!Q12+B3606+(IF(ArtifactsInput!$M$33,CHOOSE(ArtifactsInput!$N$33+1,30,36,42,48,54,60),0))+(IF(AND(ArtifactsInput!$M$35,Inputs!$B$4&lt;&gt;"Chapter Hunt"),CHOOSE(ArtifactsInput!$N$35+1,15,18,21,24,27,30)*(1-EXP(-(0.2*B3601)*5)),0)+IF(AND(ArtifactsInput!$M$22,Inputs!$B$4&lt;&gt;"Chapter Hunt"),CHOOSE(ArtifactsInput!$N$22+1,10,12,14,16,18,20)*((0*(((0.15*B3601*5))^0/1)+1*(((0.15*B3601*5))^1/1)+2*(((0.15*B3601*5))^2/2)+3*(((0.15*B3601*5))^3/6)+4*(((0.15*B3601*5))^4/24)+5*(((0.15*B3601*5))^5/120))/((((0.15*B3601*5))^0/1)+(((0.15*B3601*5))^1/1)+(((0.15*B3601*5))^2/2)+(((0.15*B3601*5))^3/6)+(((0.15*B3601*5))^4/24)+(((0.15*B3601*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78">
      <c r="A3578">
        <f>Skills!A13</f>
        <v/>
      </c>
      <c r="B3578">
        <f>Skills!B13</f>
        <v/>
      </c>
      <c r="C3578">
        <f>Inputs!$B$3&gt;=105</f>
        <v/>
      </c>
      <c r="D3578">
        <f>IF(Skills!C13=1,60+Inputs!$B$25+Inputs!$B$29,IF(Skills!C13=2,90+Inputs!$B$26+Inputs!$B$29,IF(Skills!C13=3,120+Inputs!$B$27+Inputs!$B$29,MAX(0,(Inputs!$B$3-100)*3)+Inputs!$B$28+Inputs!$B$29)))</f>
        <v/>
      </c>
      <c r="E3578">
        <f>INDEX(FactorTable!$B$2:$Y$301, MATCH(ROUND(MIN(300,MAX(1,D3578)),0), FactorTable!$A$2:$A$301,0), Skills!M13+1)</f>
        <v/>
      </c>
      <c r="F3578">
        <f>IF(Skills!N13=TRUE,(Skills!L13/10)*(E3578/1000),Skills!L13/10)+Skills!O13</f>
        <v/>
      </c>
      <c r="G3578">
        <f>Calc!G13</f>
        <v/>
      </c>
      <c r="H3578">
        <f>Calc!H13</f>
        <v/>
      </c>
      <c r="I3578">
        <f>IF(Skills!AA13&lt;&gt;"",1+(Skills!AA13/10)*(U3568/1000)/100,1)</f>
        <v/>
      </c>
      <c r="J3578">
        <f>((Inputs!$B$6*(1+Inputs!$B$7/100))+(((Inputs!$B$12*(1+Inputs!$B$13/100))-(Inputs!$B$12*(1+Inputs!$B$13/100)))+0.25*(Inputs!$B$14-Inputs!$B$14))*(1+Inputs!$B$7/100))*(F3578/100)</f>
        <v/>
      </c>
      <c r="K3578">
        <f>J3578*(1+((Inputs!$B$12*(1+Inputs!$B$13/100))*0.01+Inputs!$B$14*0.0025)/100)*(1+Inputs!$B$15/100)*(1+Inputs!$B$16/100)*(5000/(6000+Inputs!$B$43*(1-(100*(1-(1-(Inputs!$B$19+0)/100)*(1-CHOOSE(ArtifactsInput!$N$40+1,5,6,7,8,9,10)/100)^(ArtifactsInput!$M$40-ArtifactsInput!$M$40)))/100)))*(1+(Inputs!$B$24+((C3595=TRUE)*(F3595-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3588=TRUE)*(F3588-Calc!F23))+(((IF(AND(ArtifactsInput!$M$42,((Inputs!$B$9+((C3590=TRUE)*(F3590-Calc!F25))+B3605+(ArtifactsInput!$M$24-ArtifactsInput!$M$24)*CHOOSE(ArtifactsInput!$N$24+1,10,12,14,16,18,20)+IF(ArtifactsInput!$M$10,CHOOSE(ArtifactsInput!$N$10+1,15,18,21,24,27,30)*(IF(Inputs!$B$39="pvp",MIN(15,15)/15,IF(AND(Inputs!$B$39&lt;&gt;"pvp",Inputs!$B$44&gt;0),MIN(15,Inputs!$B$44)/(Inputs!$B$44),0))),0)))&gt;=100),MIN(100,((Inputs!$B$9+((C3590=TRUE)*(F3590-Calc!F25))+B3605+(ArtifactsInput!$M$24-ArtifactsInput!$M$24)*CHOOSE(ArtifactsInput!$N$24+1,10,12,14,16,18,20)+IF(ArtifactsInput!$M$10,CHOOSE(ArtifactsInput!$N$10+1,15,18,21,24,27,30)*(IF(Inputs!$B$39="pvp",MIN(15,15)/15,IF(AND(Inputs!$B$39&lt;&gt;"pvp",Inputs!$B$44&gt;0),MIN(15,Inputs!$B$44)/(Inputs!$B$44),0))),0)))-100),0))*CHOOSE(ArtifactsInput!$N$42+1,0.6,0.72,0.84,0.96,1.08,1.2))),Inputs!$B$18+((C3594=TRUE)*(F3594-Calc!F29))+(IF(AND(ArtifactsInput!$M$42,((Inputs!$B$9+((C3590=TRUE)*(F3590-Calc!F25))+B3605+(ArtifactsInput!$M$24-ArtifactsInput!$M$24)*CHOOSE(ArtifactsInput!$N$24+1,10,12,14,16,18,20)+IF(ArtifactsInput!$M$10,CHOOSE(ArtifactsInput!$N$10+1,15,18,21,24,27,30)*(IF(Inputs!$B$39="pvp",MIN(15,15)/15,IF(AND(Inputs!$B$39&lt;&gt;"pvp",Inputs!$B$44&gt;0),MIN(15,Inputs!$B$44)/(Inputs!$B$44),0))),0)))&gt;=100),CHOOSE(ArtifactsInput!$N$42+1,40,48,56,64,72,80),0))))/100)*(((1+(((C3586=TRUE)*F3586*IF(AND(Inputs!$B$39&lt;&gt;"pvp",Inputs!$B$44&gt;0),(((R3586-1)*(Skills!Y21*(1+Inputs!$B$34/100))+MIN((Skills!Y21*(1+Inputs!$B$34/100)),MAX(0,Inputs!$B$44-((R3586-1)*Skills!D21))))/Inputs!$B$44),IF(Inputs!$B$39="pvp",MIN((Skills!Y21*(1+Inputs!$B$34/100)),15)/15,(Skills!Y21*(1+Inputs!$B$34/100))/Skills!D21)))+((C3593=TRUE)*(F3593-Calc!F28))+((C3583=TRUE)*(F3583-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3580=TRUE)*F3580*IF(AND(Inputs!$B$39&lt;&gt;"pvp",Inputs!$B$44&gt;0),(((R3580-1)*(Skills!Y15*(1+Inputs!$B$34/100))+MIN((Skills!Y15*(1+Inputs!$B$34/100)),MAX(0,Inputs!$B$44-((R3580-1)*Skills!D15))))/Inputs!$B$44),IF(Inputs!$B$39="pvp",MIN((Skills!Y15*(1+Inputs!$B$34/100)),15)/15,(Skills!Y15*(1+Inputs!$B$34/100))/Skills!D15)))/100)*(1+((C3571=TRUE)*F3571*B3599)/100))*B3607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3578)</f>
        <v/>
      </c>
      <c r="L3578">
        <f>K3578*(MIN(Inputs!$B$22+((C3589=TRUE)*(F3589-Calc!F24)),(Inputs!$B$23+0+(IF(ArtifactsInput!$M$15,CHOOSE(ArtifactsInput!$N$15+1,25,30,35,40,45,50)/100*(Inputs!$B$11-Inputs!$B$11),0))))/100+(Inputs!$B$23+0+(IF(ArtifactsInput!$M$15,CHOOSE(ArtifactsInput!$N$15+1,25,30,35,40,45,50)/100*(Inputs!$B$11-Inputs!$B$11),0)))/100)/2</f>
        <v/>
      </c>
      <c r="M3578">
        <f>L3578*(1+(Inputs!$B$10+((C3591=TRUE)*(F3591-Calc!F26))+B3608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78">
        <f>L3578*(1-MIN((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3578*(MIN((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78">
        <f>(1-Summary!$B$11)*T3578+Summary!$B$11*V3578</f>
        <v/>
      </c>
      <c r="P3578">
        <f>IF(B3609=0,0,O3578/B3609)</f>
        <v/>
      </c>
      <c r="Q3578">
        <f>IFERROR(1/IF(Inputs!$B$39="pvp",15,MAX(0.1,Skills!D13-IF(Skills!E13=TRUE,4.5,0))),0)</f>
        <v/>
      </c>
      <c r="R3578">
        <f>IF(AND(Inputs!$B$39&lt;&gt;"pvp",Inputs!$B$44&gt;0),IF(MAX(0,Inputs!$B$44-B3610)&lt;=0,0,(INT(MAX(0,Inputs!$B$44-B3610)/IF(Inputs!$B$39="pvp",15,MAX(0.1,Skills!D13-IF(Skills!E13=TRUE,4.5,0))))+1)),0)</f>
        <v/>
      </c>
      <c r="S3578">
        <f>IFERROR(O3578/N3578,0)</f>
        <v/>
      </c>
      <c r="T3578">
        <f>IF(C3578,(H3578*N3578*IF(AND(Inputs!$B$39&lt;&gt;"pvp",Inputs!$B$44&gt;0),((Skills!G13*((R3578-1)*IF(Skills!H13&gt;0,Skills!I13/Skills!H13,1)+IF(Skills!H13&gt;0,MIN(Skills!I13,MAX(0,MAX(0,Inputs!$B$44-B3610)-((R3578-1)*IF(Inputs!$B$39="pvp",15,MAX(0.1,Skills!D13-IF(Skills!E13=TRUE,4.5,0))))))/Skills!H13,1)))/Inputs!$B$44),G3578*Q3578))*IF(Inputs!$B$39="pvp",1,1+(Inputs!$B$20+((C3592=TRUE)*(F3592-Calc!F27))+Skills!P13+B3606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Hunt"),CHOOSE(ArtifactsInput!$N$35+1,15,18,21,24,27,30)*(1-EXP(-(0.2*B3601)*5)),0)+IF(AND(ArtifactsInput!$M$22,Inputs!$B$4&lt;&gt;"Chapter Hunt"),CHOOSE(ArtifactsInput!$N$22+1,10,12,14,16,18,20)*((0*(((0.15*B3601*5))^0/1)+1*(((0.15*B3601*5))^1/1)+2*(((0.15*B3601*5))^2/2)+3*(((0.15*B3601*5))^3/6)+4*(((0.15*B3601*5))^4/24)+5*(((0.15*B3601*5))^5/120))/((((0.15*B3601*5))^0/1)+(((0.15*B3601*5))^1/1)+(((0.15*B3601*5))^2/2)+(((0.15*B3601*5))^3/6)+(((0.15*B3601*5))^4/24)+(((0.15*B3601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3578*(1-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3578*(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3578*(1-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3578*(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78">
        <f>IF(C3578,(H3578*N3578*IF(AND(Inputs!$B$39&lt;&gt;"pvp",Inputs!$B$44&gt;0),((Skills!G13*((R3578-1)*IF(Skills!H13&gt;0,Skills!I13/Skills!H13,1)+IF(Skills!H13&gt;0,MIN(Skills!I13,MAX(0,MAX(0,Inputs!$B$44-B3610)-((R3578-1)*IF(Inputs!$B$39="pvp",15,MAX(0.1,Skills!D13-IF(Skills!E13=TRUE,4.5,0))))))/Skills!H13,1)))/Inputs!$B$44),G3578*Q3578))*IF(Inputs!$B$39="pvp",1,(1+(Inputs!$B$21+Skills!Q13+B3606+(IF(ArtifactsInput!$M$33,CHOOSE(ArtifactsInput!$N$33+1,30,36,42,48,54,60),0))+(IF(AND(ArtifactsInput!$M$35,Inputs!$B$4&lt;&gt;"Chapter Hunt"),CHOOSE(ArtifactsInput!$N$35+1,15,18,21,24,27,30)*(1-EXP(-(0.2*B3601)*5)),0)+IF(AND(ArtifactsInput!$M$22,Inputs!$B$4&lt;&gt;"Chapter Hunt"),CHOOSE(ArtifactsInput!$N$22+1,10,12,14,16,18,20)*((0*(((0.15*B3601*5))^0/1)+1*(((0.15*B3601*5))^1/1)+2*(((0.15*B3601*5))^2/2)+3*(((0.15*B3601*5))^3/6)+4*(((0.15*B3601*5))^4/24)+5*(((0.15*B3601*5))^5/120))/((((0.15*B3601*5))^0/1)+(((0.15*B3601*5))^1/1)+(((0.15*B3601*5))^2/2)+(((0.15*B3601*5))^3/6)+(((0.15*B3601*5))^4/24)+(((0.15*B3601*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79">
      <c r="A3579">
        <f>Skills!A14</f>
        <v/>
      </c>
      <c r="B3579">
        <f>Skills!B14</f>
        <v/>
      </c>
      <c r="C3579">
        <f>Inputs!$B$3&gt;=105</f>
        <v/>
      </c>
      <c r="D3579">
        <f>IF(Skills!C14=1,60+Inputs!$B$25+Inputs!$B$29,IF(Skills!C14=2,90+Inputs!$B$26+Inputs!$B$29,IF(Skills!C14=3,120+Inputs!$B$27+Inputs!$B$29,MAX(0,(Inputs!$B$3-100)*3)+Inputs!$B$28+Inputs!$B$29)))</f>
        <v/>
      </c>
      <c r="E3579">
        <f>INDEX(FactorTable!$B$2:$Y$301, MATCH(ROUND(MIN(300,MAX(1,D3579)),0), FactorTable!$A$2:$A$301,0), Skills!M14+1)</f>
        <v/>
      </c>
      <c r="F3579">
        <f>IF(Skills!N14=TRUE,(Skills!L14/10)*(E3579/1000),Skills!L14/10)+Skills!O14</f>
        <v/>
      </c>
      <c r="G3579">
        <f>Calc!G14</f>
        <v/>
      </c>
      <c r="H3579">
        <f>Calc!H14</f>
        <v/>
      </c>
      <c r="I3579">
        <f>IF(Skills!AA14&lt;&gt;"",1+(Skills!AA14/10)*(U3568/1000)/100,1)</f>
        <v/>
      </c>
      <c r="J3579">
        <f>((Inputs!$B$6*(1+Inputs!$B$7/100))+(((Inputs!$B$12*(1+Inputs!$B$13/100))-(Inputs!$B$12*(1+Inputs!$B$13/100)))+0.25*(Inputs!$B$14-Inputs!$B$14))*(1+Inputs!$B$7/100))*(F3579/100)</f>
        <v/>
      </c>
      <c r="K3579">
        <f>J3579*(1+((Inputs!$B$12*(1+Inputs!$B$13/100))*0.01+Inputs!$B$14*0.0025)/100)*(1+Inputs!$B$15/100)*(1+Inputs!$B$16/100)*(5000/(6000+Inputs!$B$43*(1-(100*(1-(1-(Inputs!$B$19+0)/100)*(1-CHOOSE(ArtifactsInput!$N$40+1,5,6,7,8,9,10)/100)^(ArtifactsInput!$M$40-ArtifactsInput!$M$40)))/100)))*(1+(Inputs!$B$24+((C3595=TRUE)*(F3595-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3588=TRUE)*(F3588-Calc!F23))+(((IF(AND(ArtifactsInput!$M$42,((Inputs!$B$9+((C3590=TRUE)*(F3590-Calc!F25))+B3605+(ArtifactsInput!$M$24-ArtifactsInput!$M$24)*CHOOSE(ArtifactsInput!$N$24+1,10,12,14,16,18,20)+IF(ArtifactsInput!$M$10,CHOOSE(ArtifactsInput!$N$10+1,15,18,21,24,27,30)*(IF(Inputs!$B$39="pvp",MIN(15,15)/15,IF(AND(Inputs!$B$39&lt;&gt;"pvp",Inputs!$B$44&gt;0),MIN(15,Inputs!$B$44)/(Inputs!$B$44),0))),0)))&gt;=100),MIN(100,((Inputs!$B$9+((C3590=TRUE)*(F3590-Calc!F25))+B3605+(ArtifactsInput!$M$24-ArtifactsInput!$M$24)*CHOOSE(ArtifactsInput!$N$24+1,10,12,14,16,18,20)+IF(ArtifactsInput!$M$10,CHOOSE(ArtifactsInput!$N$10+1,15,18,21,24,27,30)*(IF(Inputs!$B$39="pvp",MIN(15,15)/15,IF(AND(Inputs!$B$39&lt;&gt;"pvp",Inputs!$B$44&gt;0),MIN(15,Inputs!$B$44)/(Inputs!$B$44),0))),0)))-100),0))*CHOOSE(ArtifactsInput!$N$42+1,0.6,0.72,0.84,0.96,1.08,1.2))),Inputs!$B$18+((C3594=TRUE)*(F3594-Calc!F29))+(IF(AND(ArtifactsInput!$M$42,((Inputs!$B$9+((C3590=TRUE)*(F3590-Calc!F25))+B3605+(ArtifactsInput!$M$24-ArtifactsInput!$M$24)*CHOOSE(ArtifactsInput!$N$24+1,10,12,14,16,18,20)+IF(ArtifactsInput!$M$10,CHOOSE(ArtifactsInput!$N$10+1,15,18,21,24,27,30)*(IF(Inputs!$B$39="pvp",MIN(15,15)/15,IF(AND(Inputs!$B$39&lt;&gt;"pvp",Inputs!$B$44&gt;0),MIN(15,Inputs!$B$44)/(Inputs!$B$44),0))),0)))&gt;=100),CHOOSE(ArtifactsInput!$N$42+1,40,48,56,64,72,80),0))))/100)*(((1+(((C3586=TRUE)*F3586*IF(AND(Inputs!$B$39&lt;&gt;"pvp",Inputs!$B$44&gt;0),(((R3586-1)*(Skills!Y21*(1+Inputs!$B$34/100))+MIN((Skills!Y21*(1+Inputs!$B$34/100)),MAX(0,Inputs!$B$44-((R3586-1)*Skills!D21))))/Inputs!$B$44),IF(Inputs!$B$39="pvp",MIN((Skills!Y21*(1+Inputs!$B$34/100)),15)/15,(Skills!Y21*(1+Inputs!$B$34/100))/Skills!D21)))+((C3593=TRUE)*(F3593-Calc!F28))+((C3583=TRUE)*(F3583-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3580=TRUE)*F3580*IF(AND(Inputs!$B$39&lt;&gt;"pvp",Inputs!$B$44&gt;0),(((R3580-1)*(Skills!Y15*(1+Inputs!$B$34/100))+MIN((Skills!Y15*(1+Inputs!$B$34/100)),MAX(0,Inputs!$B$44-((R3580-1)*Skills!D15))))/Inputs!$B$44),IF(Inputs!$B$39="pvp",MIN((Skills!Y15*(1+Inputs!$B$34/100)),15)/15,(Skills!Y15*(1+Inputs!$B$34/100))/Skills!D15)))/100)*(1+((C3571=TRUE)*F3571*B3599)/100))*B3607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3579)</f>
        <v/>
      </c>
      <c r="L3579">
        <f>K3579*(MIN(Inputs!$B$22+((C3589=TRUE)*(F3589-Calc!F24)),(Inputs!$B$23+0+(IF(ArtifactsInput!$M$15,CHOOSE(ArtifactsInput!$N$15+1,25,30,35,40,45,50)/100*(Inputs!$B$11-Inputs!$B$11),0))))/100+(Inputs!$B$23+0+(IF(ArtifactsInput!$M$15,CHOOSE(ArtifactsInput!$N$15+1,25,30,35,40,45,50)/100*(Inputs!$B$11-Inputs!$B$11),0)))/100)/2</f>
        <v/>
      </c>
      <c r="M3579">
        <f>L3579*(1+(Inputs!$B$10+((C3591=TRUE)*(F3591-Calc!F26))+B3608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79">
        <f>L3579*(1-MIN((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3579*(MIN((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79">
        <f>(1-Summary!$B$11)*T3579+Summary!$B$11*V3579</f>
        <v/>
      </c>
      <c r="P3579">
        <f>IF(B3609=0,0,O3579/B3609)</f>
        <v/>
      </c>
      <c r="Q3579">
        <f>IFERROR(1/IF(Inputs!$B$39="pvp",15,MAX(0.1,Skills!D14-IF(Skills!E14=TRUE,4.5,0))),0)</f>
        <v/>
      </c>
      <c r="R3579">
        <f>IF(AND(Inputs!$B$39&lt;&gt;"pvp",Inputs!$B$44&gt;0),IF(MAX(0,Inputs!$B$44-B3610)&lt;=0,0,(INT(MAX(0,Inputs!$B$44-B3610)/IF(Inputs!$B$39="pvp",15,MAX(0.1,Skills!D14-IF(Skills!E14=TRUE,4.5,0))))+1)),0)</f>
        <v/>
      </c>
      <c r="S3579">
        <f>IFERROR(O3579/N3579,0)</f>
        <v/>
      </c>
      <c r="T3579">
        <f>IF(C3579,(H3579*N3579*IF(AND(Inputs!$B$39&lt;&gt;"pvp",Inputs!$B$44&gt;0),((Skills!G14*((R3579-1)*IF(Skills!H14&gt;0,Skills!I14/Skills!H14,1)+IF(Skills!H14&gt;0,MIN(Skills!I14,MAX(0,MAX(0,Inputs!$B$44-B3610)-((R3579-1)*IF(Inputs!$B$39="pvp",15,MAX(0.1,Skills!D14-IF(Skills!E14=TRUE,4.5,0))))))/Skills!H14,1)))/Inputs!$B$44),G3579*Q3579))*IF(Inputs!$B$39="pvp",1,1+(Inputs!$B$20+((C3592=TRUE)*(F3592-Calc!F27))+Skills!P14+B3606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Hunt"),CHOOSE(ArtifactsInput!$N$35+1,15,18,21,24,27,30)*(1-EXP(-(0.2*B3601)*5)),0)+IF(AND(ArtifactsInput!$M$22,Inputs!$B$4&lt;&gt;"Chapter Hunt"),CHOOSE(ArtifactsInput!$N$22+1,10,12,14,16,18,20)*((0*(((0.15*B3601*5))^0/1)+1*(((0.15*B3601*5))^1/1)+2*(((0.15*B3601*5))^2/2)+3*(((0.15*B3601*5))^3/6)+4*(((0.15*B3601*5))^4/24)+5*(((0.15*B3601*5))^5/120))/((((0.15*B3601*5))^0/1)+(((0.15*B3601*5))^1/1)+(((0.15*B3601*5))^2/2)+(((0.15*B3601*5))^3/6)+(((0.15*B3601*5))^4/24)+(((0.15*B3601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3579*(1-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3579*(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3579*(1-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3579*(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79">
        <f>IF(C3579,(H3579*N3579*IF(AND(Inputs!$B$39&lt;&gt;"pvp",Inputs!$B$44&gt;0),((Skills!G14*((R3579-1)*IF(Skills!H14&gt;0,Skills!I14/Skills!H14,1)+IF(Skills!H14&gt;0,MIN(Skills!I14,MAX(0,MAX(0,Inputs!$B$44-B3610)-((R3579-1)*IF(Inputs!$B$39="pvp",15,MAX(0.1,Skills!D14-IF(Skills!E14=TRUE,4.5,0))))))/Skills!H14,1)))/Inputs!$B$44),G3579*Q3579))*IF(Inputs!$B$39="pvp",1,(1+(Inputs!$B$21+Skills!Q14+B3606+(IF(ArtifactsInput!$M$33,CHOOSE(ArtifactsInput!$N$33+1,30,36,42,48,54,60),0))+(IF(AND(ArtifactsInput!$M$35,Inputs!$B$4&lt;&gt;"Chapter Hunt"),CHOOSE(ArtifactsInput!$N$35+1,15,18,21,24,27,30)*(1-EXP(-(0.2*B3601)*5)),0)+IF(AND(ArtifactsInput!$M$22,Inputs!$B$4&lt;&gt;"Chapter Hunt"),CHOOSE(ArtifactsInput!$N$22+1,10,12,14,16,18,20)*((0*(((0.15*B3601*5))^0/1)+1*(((0.15*B3601*5))^1/1)+2*(((0.15*B3601*5))^2/2)+3*(((0.15*B3601*5))^3/6)+4*(((0.15*B3601*5))^4/24)+5*(((0.15*B3601*5))^5/120))/((((0.15*B3601*5))^0/1)+(((0.15*B3601*5))^1/1)+(((0.15*B3601*5))^2/2)+(((0.15*B3601*5))^3/6)+(((0.15*B3601*5))^4/24)+(((0.15*B3601*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80">
      <c r="A3580">
        <f>Skills!A15</f>
        <v/>
      </c>
      <c r="B3580">
        <f>Skills!B15</f>
        <v/>
      </c>
      <c r="C3580">
        <f>Inputs!$B$3&gt;=110</f>
        <v/>
      </c>
      <c r="D3580">
        <f>IF(Skills!C15=1,60+Inputs!$B$25+Inputs!$B$29,IF(Skills!C15=2,90+Inputs!$B$26+Inputs!$B$29,IF(Skills!C15=3,120+Inputs!$B$27+Inputs!$B$29,MAX(0,(Inputs!$B$3-100)*3)+Inputs!$B$28+Inputs!$B$29)))</f>
        <v/>
      </c>
      <c r="E3580">
        <f>INDEX(FactorTable!$B$2:$Y$301, MATCH(ROUND(MIN(300,MAX(1,D3580)),0), FactorTable!$A$2:$A$301,0), Skills!M15+1)</f>
        <v/>
      </c>
      <c r="F3580">
        <f>IF(Skills!N15=TRUE,(Skills!L15/10)*(E3580/1000),Skills!L15/10)+Skills!O15</f>
        <v/>
      </c>
      <c r="G3580">
        <f>Calc!G15</f>
        <v/>
      </c>
      <c r="H3580">
        <f>Calc!H15</f>
        <v/>
      </c>
      <c r="I3580">
        <f>IF(Skills!AA15&lt;&gt;"",1+(Skills!AA15/10)*(U3568/1000)/100,1)</f>
        <v/>
      </c>
      <c r="J3580" t="inlineStr"/>
      <c r="K3580" t="inlineStr"/>
      <c r="L3580" t="inlineStr"/>
      <c r="M3580" t="inlineStr"/>
      <c r="N3580" t="inlineStr"/>
      <c r="O3580">
        <f>(1-Summary!$B$11)*T3580+Summary!$B$11*V3580</f>
        <v/>
      </c>
      <c r="P3580">
        <f>IF(B3609=0,0,O3580/B3609)</f>
        <v/>
      </c>
      <c r="Q3580">
        <f>IFERROR(1/IF(Inputs!$B$39="pvp",15,MAX(0.1,Skills!D15-IF(Skills!E15=TRUE,4.5,0))),0)</f>
        <v/>
      </c>
      <c r="R3580">
        <f>IF(AND(Inputs!$B$39&lt;&gt;"pvp",Inputs!$B$44&gt;0),IF(Inputs!$B$44&lt;=0,0,(INT(Inputs!$B$44/IF(Inputs!$B$39="pvp",15,MAX(0.1,Skills!D15-IF(Skills!E15=TRUE,4.5,0))))+1)),0)</f>
        <v/>
      </c>
      <c r="S3580">
        <f>IFERROR(O3580/N3580,0)</f>
        <v/>
      </c>
      <c r="T3580" t="n">
        <v>0</v>
      </c>
      <c r="V3580" t="n">
        <v>0</v>
      </c>
    </row>
    <row r="3581">
      <c r="A3581">
        <f>Skills!A16</f>
        <v/>
      </c>
      <c r="B3581">
        <f>Skills!B16</f>
        <v/>
      </c>
      <c r="C3581">
        <f>Inputs!$B$3&gt;=110</f>
        <v/>
      </c>
      <c r="D3581">
        <f>IF(Skills!C16=1,60+Inputs!$B$25+Inputs!$B$29,IF(Skills!C16=2,90+Inputs!$B$26+Inputs!$B$29,IF(Skills!C16=3,120+Inputs!$B$27+Inputs!$B$29,MAX(0,(Inputs!$B$3-100)*3)+Inputs!$B$28+Inputs!$B$29)))</f>
        <v/>
      </c>
      <c r="E3581">
        <f>INDEX(FactorTable!$B$2:$Y$301, MATCH(ROUND(MIN(300,MAX(1,D3581)),0), FactorTable!$A$2:$A$301,0), Skills!M16+1)</f>
        <v/>
      </c>
      <c r="F3581">
        <f>IF(Skills!N16=TRUE,(Skills!L16/10)*(E3581/1000),Skills!L16/10)+Skills!O16</f>
        <v/>
      </c>
      <c r="G3581">
        <f>Calc!G16</f>
        <v/>
      </c>
      <c r="H3581">
        <f>Calc!H16</f>
        <v/>
      </c>
      <c r="I3581">
        <f>IF(Skills!AA16&lt;&gt;"",1+(Skills!AA16/10)*(U3568/1000)/100,1)</f>
        <v/>
      </c>
      <c r="J3581" t="inlineStr"/>
      <c r="K3581" t="inlineStr"/>
      <c r="L3581" t="inlineStr"/>
      <c r="M3581" t="inlineStr"/>
      <c r="N3581" t="inlineStr"/>
      <c r="O3581">
        <f>(1-Summary!$B$11)*T3581+Summary!$B$11*V3581</f>
        <v/>
      </c>
      <c r="P3581">
        <f>IF(B3609=0,0,O3581/B3609)</f>
        <v/>
      </c>
      <c r="Q3581">
        <f>IFERROR(1/IF(Inputs!$B$39="pvp",15,MAX(0.1,Skills!D16-IF(Skills!E16=TRUE,4.5,0))),0)</f>
        <v/>
      </c>
      <c r="R3581">
        <f>IF(AND(Inputs!$B$39&lt;&gt;"pvp",Inputs!$B$44&gt;0),IF(Inputs!$B$44&lt;=0,0,(INT(Inputs!$B$44/IF(Inputs!$B$39="pvp",15,MAX(0.1,Skills!D16-IF(Skills!E16=TRUE,4.5,0))))+1)),0)</f>
        <v/>
      </c>
      <c r="S3581">
        <f>IFERROR(O3581/N3581,0)</f>
        <v/>
      </c>
      <c r="T3581" t="n">
        <v>0</v>
      </c>
      <c r="V3581" t="n">
        <v>0</v>
      </c>
    </row>
    <row r="3582">
      <c r="A3582">
        <f>Skills!A17</f>
        <v/>
      </c>
      <c r="B3582">
        <f>Skills!B17</f>
        <v/>
      </c>
      <c r="C3582">
        <f>Inputs!$B$3&gt;=115</f>
        <v/>
      </c>
      <c r="D3582">
        <f>IF(Skills!C17=1,60+Inputs!$B$25+Inputs!$B$29,IF(Skills!C17=2,90+Inputs!$B$26+Inputs!$B$29,IF(Skills!C17=3,120+Inputs!$B$27+Inputs!$B$29,MAX(0,(Inputs!$B$3-100)*3)+Inputs!$B$28+Inputs!$B$29)))</f>
        <v/>
      </c>
      <c r="E3582">
        <f>INDEX(FactorTable!$B$2:$Y$301, MATCH(ROUND(MIN(300,MAX(1,D3582)),0), FactorTable!$A$2:$A$301,0), Skills!M17+1)</f>
        <v/>
      </c>
      <c r="F3582">
        <f>IF(Skills!N17=TRUE,(Skills!L17/10)*(E3582/1000),Skills!L17/10)+Skills!O17</f>
        <v/>
      </c>
      <c r="G3582">
        <f>Calc!G17</f>
        <v/>
      </c>
      <c r="H3582">
        <f>Calc!H17</f>
        <v/>
      </c>
      <c r="I3582">
        <f>IF(Skills!AA17&lt;&gt;"",1+(Skills!AA17/10)*(U3568/1000)/100,1)</f>
        <v/>
      </c>
      <c r="J3582">
        <f>((Inputs!$B$6*(1+Inputs!$B$7/100))+(((Inputs!$B$12*(1+Inputs!$B$13/100))-(Inputs!$B$12*(1+Inputs!$B$13/100)))+0.25*(Inputs!$B$14-Inputs!$B$14))*(1+Inputs!$B$7/100))*(F3582/100)</f>
        <v/>
      </c>
      <c r="K3582">
        <f>J3582*(1+((Inputs!$B$12*(1+Inputs!$B$13/100))*0.01+Inputs!$B$14*0.0025)/100)*(1+Inputs!$B$15/100)*(1+Inputs!$B$16/100)*(5000/(6000+Inputs!$B$43*(1-(100*(1-(1-(Inputs!$B$19+0)/100)*(1-CHOOSE(ArtifactsInput!$N$40+1,5,6,7,8,9,10)/100)^(ArtifactsInput!$M$40-ArtifactsInput!$M$40)))/100)))*(1+(Inputs!$B$24+((C3595=TRUE)*(F3595-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3588=TRUE)*(F3588-Calc!F23))+(((IF(AND(ArtifactsInput!$M$42,((Inputs!$B$9+((C3590=TRUE)*(F3590-Calc!F25))+B3605+(ArtifactsInput!$M$24-ArtifactsInput!$M$24)*CHOOSE(ArtifactsInput!$N$24+1,10,12,14,16,18,20)+IF(ArtifactsInput!$M$10,CHOOSE(ArtifactsInput!$N$10+1,15,18,21,24,27,30)*(IF(Inputs!$B$39="pvp",MIN(15,15)/15,IF(AND(Inputs!$B$39&lt;&gt;"pvp",Inputs!$B$44&gt;0),MIN(15,Inputs!$B$44)/(Inputs!$B$44),0))),0)))&gt;=100),MIN(100,((Inputs!$B$9+((C3590=TRUE)*(F3590-Calc!F25))+B3605+(ArtifactsInput!$M$24-ArtifactsInput!$M$24)*CHOOSE(ArtifactsInput!$N$24+1,10,12,14,16,18,20)+IF(ArtifactsInput!$M$10,CHOOSE(ArtifactsInput!$N$10+1,15,18,21,24,27,30)*(IF(Inputs!$B$39="pvp",MIN(15,15)/15,IF(AND(Inputs!$B$39&lt;&gt;"pvp",Inputs!$B$44&gt;0),MIN(15,Inputs!$B$44)/(Inputs!$B$44),0))),0)))-100),0))*CHOOSE(ArtifactsInput!$N$42+1,0.6,0.72,0.84,0.96,1.08,1.2))),Inputs!$B$18+((C3594=TRUE)*(F3594-Calc!F29))+(IF(AND(ArtifactsInput!$M$42,((Inputs!$B$9+((C3590=TRUE)*(F3590-Calc!F25))+B3605+(ArtifactsInput!$M$24-ArtifactsInput!$M$24)*CHOOSE(ArtifactsInput!$N$24+1,10,12,14,16,18,20)+IF(ArtifactsInput!$M$10,CHOOSE(ArtifactsInput!$N$10+1,15,18,21,24,27,30)*(IF(Inputs!$B$39="pvp",MIN(15,15)/15,IF(AND(Inputs!$B$39&lt;&gt;"pvp",Inputs!$B$44&gt;0),MIN(15,Inputs!$B$44)/(Inputs!$B$44),0))),0)))&gt;=100),CHOOSE(ArtifactsInput!$N$42+1,40,48,56,64,72,80),0))))/100)*(((1+(((C3586=TRUE)*F3586*IF(AND(Inputs!$B$39&lt;&gt;"pvp",Inputs!$B$44&gt;0),(((R3586-1)*(Skills!Y21*(1+Inputs!$B$34/100))+MIN((Skills!Y21*(1+Inputs!$B$34/100)),MAX(0,Inputs!$B$44-((R3586-1)*Skills!D21))))/Inputs!$B$44),IF(Inputs!$B$39="pvp",MIN((Skills!Y21*(1+Inputs!$B$34/100)),15)/15,(Skills!Y21*(1+Inputs!$B$34/100))/Skills!D21)))+((C3593=TRUE)*(F3593-Calc!F28))+((C3583=TRUE)*(F3583-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3580=TRUE)*F3580*IF(AND(Inputs!$B$39&lt;&gt;"pvp",Inputs!$B$44&gt;0),(((R3580-1)*(Skills!Y15*(1+Inputs!$B$34/100))+MIN((Skills!Y15*(1+Inputs!$B$34/100)),MAX(0,Inputs!$B$44-((R3580-1)*Skills!D15))))/Inputs!$B$44),IF(Inputs!$B$39="pvp",MIN((Skills!Y15*(1+Inputs!$B$34/100)),15)/15,(Skills!Y15*(1+Inputs!$B$34/100))/Skills!D15)))/100)*(1+((C3571=TRUE)*F3571*B3599)/100))*B3607*(1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3582)</f>
        <v/>
      </c>
      <c r="L3582">
        <f>K3582*(MIN(Inputs!$B$22+((C3589=TRUE)*(F3589-Calc!F24)),(Inputs!$B$23+0+(IF(ArtifactsInput!$M$15,CHOOSE(ArtifactsInput!$N$15+1,25,30,35,40,45,50)/100*(Inputs!$B$11-Inputs!$B$11),0))))/100+(Inputs!$B$23+0+(IF(ArtifactsInput!$M$15,CHOOSE(ArtifactsInput!$N$15+1,25,30,35,40,45,50)/100*(Inputs!$B$11-Inputs!$B$11),0)))/100)/2</f>
        <v/>
      </c>
      <c r="M3582">
        <f>L3582*(1+(Inputs!$B$10+((C3591=TRUE)*(F3591-Calc!F26))+B3608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82">
        <f>L3582*(1-MIN((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3582*(MIN((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82">
        <f>(1-Summary!$B$11)*T3582+Summary!$B$11*V3582</f>
        <v/>
      </c>
      <c r="P3582">
        <f>IF(B3609=0,0,O3582/B3609)</f>
        <v/>
      </c>
      <c r="Q3582" t="n">
        <v>0</v>
      </c>
      <c r="R3582" t="n">
        <v>0</v>
      </c>
      <c r="S3582">
        <f>IFERROR(O3582/N3582,0)</f>
        <v/>
      </c>
      <c r="T3582">
        <f>IF(C3582,(Inputs!$B$38*0.2*N3582)*IF(Inputs!$B$39="pvp",1,1+(Inputs!$B$20+((C3592=TRUE)*(F3592-Calc!F27))+Skills!P17+B3606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Hunt"),CHOOSE(ArtifactsInput!$N$35+1,15,18,21,24,27,30)*(1-EXP(-(0.2*B3601)*5)),0)+IF(AND(ArtifactsInput!$M$22,Inputs!$B$4&lt;&gt;"Chapter Hunt"),CHOOSE(ArtifactsInput!$N$22+1,10,12,14,16,18,20)*((0*(((0.15*B3601*5))^0/1)+1*(((0.15*B3601*5))^1/1)+2*(((0.15*B3601*5))^2/2)+3*(((0.15*B3601*5))^3/6)+4*(((0.15*B3601*5))^4/24)+5*(((0.15*B3601*5))^5/120))/((((0.15*B3601*5))^0/1)+(((0.15*B3601*5))^1/1)+(((0.15*B3601*5))^2/2)+(((0.15*B3601*5))^3/6)+(((0.15*B3601*5))^4/24)+(((0.15*B3601*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3582*(1-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3582*(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3582*(1-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3582*(MIN(100,(Inputs!$B$9+((C3590=TRUE)*(F3590-Calc!F25))+B3605+(ArtifactsInput!$M$24-ArtifactsInput!$M$24)*CHOOSE(ArtifactsInput!$N$24+1,10,12,14,16,18,20)+(IF(AND(ArtifactsInput!$M$42,((Inputs!$B$9+((C3590=TRUE)*(F3590-Calc!F25))+B3605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82">
        <f>IF(C3582,(Inputs!$B$38*0.2*N3582)*IF(Inputs!$B$39="pvp",1,(1+(Inputs!$B$21+Skills!Q17+B3606+(IF(ArtifactsInput!$M$33,CHOOSE(ArtifactsInput!$N$33+1,30,36,42,48,54,60),0))+(IF(AND(ArtifactsInput!$M$35,Inputs!$B$4&lt;&gt;"Chapter Hunt"),CHOOSE(ArtifactsInput!$N$35+1,15,18,21,24,27,30)*(1-EXP(-(0.2*B3601)*5)),0)+IF(AND(ArtifactsInput!$M$22,Inputs!$B$4&lt;&gt;"Chapter Hunt"),CHOOSE(ArtifactsInput!$N$22+1,10,12,14,16,18,20)*((0*(((0.15*B3601*5))^0/1)+1*(((0.15*B3601*5))^1/1)+2*(((0.15*B3601*5))^2/2)+3*(((0.15*B3601*5))^3/6)+4*(((0.15*B3601*5))^4/24)+5*(((0.15*B3601*5))^5/120))/((((0.15*B3601*5))^0/1)+(((0.15*B3601*5))^1/1)+(((0.15*B3601*5))^2/2)+(((0.15*B3601*5))^3/6)+(((0.15*B3601*5))^4/24)+(((0.15*B3601*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83">
      <c r="A3583">
        <f>Skills!A18</f>
        <v/>
      </c>
      <c r="B3583">
        <f>Skills!B18</f>
        <v/>
      </c>
      <c r="C3583">
        <f>Inputs!$B$3&gt;=115</f>
        <v/>
      </c>
      <c r="D3583">
        <f>IF(Skills!C18=1,60+Inputs!$B$25+Inputs!$B$29,IF(Skills!C18=2,90+Inputs!$B$26+Inputs!$B$29,IF(Skills!C18=3,120+Inputs!$B$27+Inputs!$B$29,MAX(0,(Inputs!$B$3-100)*3)+Inputs!$B$28+Inputs!$B$29)))</f>
        <v/>
      </c>
      <c r="E3583">
        <f>INDEX(FactorTable!$B$2:$Y$301, MATCH(ROUND(MIN(300,MAX(1,D3583)),0), FactorTable!$A$2:$A$301,0), Skills!M18+1)</f>
        <v/>
      </c>
      <c r="F3583">
        <f>IF(Skills!N18=TRUE,(Skills!L18/10)*(E3583/1000),Skills!L18/10)+Skills!O18</f>
        <v/>
      </c>
      <c r="G3583">
        <f>Calc!G18</f>
        <v/>
      </c>
      <c r="H3583">
        <f>Calc!H18</f>
        <v/>
      </c>
      <c r="I3583">
        <f>IF(Skills!AA18&lt;&gt;"",1+(Skills!AA18/10)*(U3568/1000)/100,1)</f>
        <v/>
      </c>
      <c r="J3583" t="inlineStr"/>
      <c r="K3583" t="inlineStr"/>
      <c r="L3583" t="inlineStr"/>
      <c r="M3583" t="inlineStr"/>
      <c r="N3583" t="inlineStr"/>
      <c r="O3583">
        <f>(1-Summary!$B$11)*T3583+Summary!$B$11*V3583</f>
        <v/>
      </c>
      <c r="P3583">
        <f>IF(B3609=0,0,O3583/B3609)</f>
        <v/>
      </c>
      <c r="Q3583" t="n">
        <v>0</v>
      </c>
      <c r="R3583" t="n">
        <v>0</v>
      </c>
      <c r="S3583">
        <f>IFERROR(O3583/N3583,0)</f>
        <v/>
      </c>
      <c r="T3583" t="n">
        <v>0</v>
      </c>
      <c r="V3583" t="n">
        <v>0</v>
      </c>
    </row>
    <row r="3584">
      <c r="A3584">
        <f>Skills!A19</f>
        <v/>
      </c>
      <c r="B3584">
        <f>Skills!B19</f>
        <v/>
      </c>
      <c r="C3584">
        <f>TRUE</f>
        <v/>
      </c>
      <c r="D3584">
        <f>IF(Skills!C19=1,60+Inputs!$B$25+Inputs!$B$29,IF(Skills!C19=2,90+Inputs!$B$26+Inputs!$B$29,IF(Skills!C19=3,120+Inputs!$B$27+Inputs!$B$29,MAX(0,(Inputs!$B$3-100)*3)+Inputs!$B$28+Inputs!$B$29)))</f>
        <v/>
      </c>
      <c r="E3584">
        <f>INDEX(FactorTable!$B$2:$Y$301, MATCH(ROUND(MIN(300,MAX(1,D3584)),0), FactorTable!$A$2:$A$301,0), Skills!M19+1)</f>
        <v/>
      </c>
      <c r="F3584">
        <f>IF(Skills!N19=TRUE,(Skills!L19/10)*(E3584/1000),Skills!L19/10)+Skills!O19</f>
        <v/>
      </c>
      <c r="G3584">
        <f>Calc!G19</f>
        <v/>
      </c>
      <c r="H3584">
        <f>Calc!H19</f>
        <v/>
      </c>
      <c r="I3584">
        <f>IF(Skills!AA19&lt;&gt;"",1+(Skills!AA19/10)*(U3568/1000)/100,1)</f>
        <v/>
      </c>
      <c r="J3584" t="inlineStr"/>
      <c r="K3584" t="inlineStr"/>
      <c r="L3584" t="inlineStr"/>
      <c r="M3584" t="inlineStr"/>
      <c r="N3584" t="inlineStr"/>
      <c r="O3584">
        <f>(1-Summary!$B$11)*T3584+Summary!$B$11*V3584</f>
        <v/>
      </c>
      <c r="P3584">
        <f>IF(B3609=0,0,O3584/B3609)</f>
        <v/>
      </c>
      <c r="Q3584">
        <f>IFERROR(1/IF(Inputs!$B$39="pvp",15,MAX(0.1,Skills!D19-IF(Skills!E19=TRUE,4.5,0))),0)</f>
        <v/>
      </c>
      <c r="R3584">
        <f>IF(AND(Inputs!$B$39&lt;&gt;"pvp",Inputs!$B$44&gt;0),IF(Inputs!$B$44&lt;=0,0,(INT(Inputs!$B$44/IF(Inputs!$B$39="pvp",15,MAX(0.1,Skills!D19-IF(Skills!E19=TRUE,4.5,0))))+1)),0)</f>
        <v/>
      </c>
      <c r="S3584">
        <f>IFERROR(O3584/N3584,0)</f>
        <v/>
      </c>
      <c r="T3584" t="n">
        <v>0</v>
      </c>
      <c r="V3584" t="n">
        <v>0</v>
      </c>
    </row>
    <row r="3585">
      <c r="A3585">
        <f>Skills!A20</f>
        <v/>
      </c>
      <c r="B3585">
        <f>Skills!B20</f>
        <v/>
      </c>
      <c r="C3585">
        <f>Inputs!$B$3&gt;=15</f>
        <v/>
      </c>
      <c r="D3585">
        <f>IF(Skills!C20=1,60+Inputs!$B$25+Inputs!$B$29,IF(Skills!C20=2,90+Inputs!$B$26+Inputs!$B$29,IF(Skills!C20=3,120+Inputs!$B$27+Inputs!$B$29,MAX(0,(Inputs!$B$3-100)*3)+Inputs!$B$28+Inputs!$B$29)))</f>
        <v/>
      </c>
      <c r="E3585">
        <f>INDEX(FactorTable!$B$2:$Y$301, MATCH(ROUND(MIN(300,MAX(1,D3585)),0), FactorTable!$A$2:$A$301,0), Skills!M20+1)</f>
        <v/>
      </c>
      <c r="F3585">
        <f>IF(Skills!N20=TRUE,(Skills!L20/10)*(E3585/1000),Skills!L20/10)+Skills!O20</f>
        <v/>
      </c>
      <c r="G3585">
        <f>Calc!G20</f>
        <v/>
      </c>
      <c r="H3585">
        <f>Calc!H20</f>
        <v/>
      </c>
      <c r="I3585">
        <f>IF(Skills!AA20&lt;&gt;"",1+(Skills!AA20/10)*(U3568/1000)/100,1)</f>
        <v/>
      </c>
      <c r="J3585" t="inlineStr"/>
      <c r="K3585" t="inlineStr"/>
      <c r="L3585" t="inlineStr"/>
      <c r="M3585" t="inlineStr"/>
      <c r="N3585" t="inlineStr"/>
      <c r="O3585">
        <f>(1-Summary!$B$11)*T3585+Summary!$B$11*V3585</f>
        <v/>
      </c>
      <c r="P3585">
        <f>IF(B3609=0,0,O3585/B3609)</f>
        <v/>
      </c>
      <c r="Q3585">
        <f>IFERROR(1/IF(Inputs!$B$39="pvp",15,MAX(0.1,Skills!D20-IF(Skills!E20=TRUE,4.5,0))),0)</f>
        <v/>
      </c>
      <c r="R3585">
        <f>IF(AND(Inputs!$B$39&lt;&gt;"pvp",Inputs!$B$44&gt;0),IF(Inputs!$B$44&lt;=0,0,(INT(Inputs!$B$44/IF(Inputs!$B$39="pvp",15,MAX(0.1,Skills!D20-IF(Skills!E20=TRUE,4.5,0))))+1)),0)</f>
        <v/>
      </c>
      <c r="S3585">
        <f>IFERROR(O3585/N3585,0)</f>
        <v/>
      </c>
      <c r="T3585" t="n">
        <v>0</v>
      </c>
      <c r="V3585" t="n">
        <v>0</v>
      </c>
    </row>
    <row r="3586">
      <c r="A3586">
        <f>Skills!A21</f>
        <v/>
      </c>
      <c r="B3586">
        <f>Skills!B21</f>
        <v/>
      </c>
      <c r="C3586">
        <f>Inputs!$B$3&gt;=15</f>
        <v/>
      </c>
      <c r="D3586">
        <f>IF(Skills!C21=1,60+Inputs!$B$25+Inputs!$B$29,IF(Skills!C21=2,90+Inputs!$B$26+Inputs!$B$29,IF(Skills!C21=3,120+Inputs!$B$27+Inputs!$B$29,MAX(0,(Inputs!$B$3-100)*3)+Inputs!$B$28+Inputs!$B$29)))</f>
        <v/>
      </c>
      <c r="E3586">
        <f>INDEX(FactorTable!$B$2:$Y$301, MATCH(ROUND(MIN(300,MAX(1,D3586)),0), FactorTable!$A$2:$A$301,0), Skills!M21+1)</f>
        <v/>
      </c>
      <c r="F3586">
        <f>IF(Skills!N21=TRUE,(Skills!L21/10)*(E3586/1000),Skills!L21/10)+Skills!O21</f>
        <v/>
      </c>
      <c r="G3586">
        <f>Calc!G21</f>
        <v/>
      </c>
      <c r="H3586">
        <f>Calc!H21</f>
        <v/>
      </c>
      <c r="I3586">
        <f>IF(Skills!AA21&lt;&gt;"",1+(Skills!AA21/10)*(U3568/1000)/100,1)</f>
        <v/>
      </c>
      <c r="J3586" t="inlineStr"/>
      <c r="K3586" t="inlineStr"/>
      <c r="L3586" t="inlineStr"/>
      <c r="M3586" t="inlineStr"/>
      <c r="N3586" t="inlineStr"/>
      <c r="O3586">
        <f>(1-Summary!$B$11)*T3586+Summary!$B$11*V3586</f>
        <v/>
      </c>
      <c r="P3586">
        <f>IF(B3609=0,0,O3586/B3609)</f>
        <v/>
      </c>
      <c r="Q3586">
        <f>IFERROR(1/IF(Inputs!$B$39="pvp",15,MAX(0.1,Skills!D21-IF(Skills!E21=TRUE,4.5,0))),0)</f>
        <v/>
      </c>
      <c r="R3586">
        <f>IF(AND(Inputs!$B$39&lt;&gt;"pvp",Inputs!$B$44&gt;0),IF(Inputs!$B$44&lt;=0,0,(INT(Inputs!$B$44/IF(Inputs!$B$39="pvp",15,MAX(0.1,Skills!D21-IF(Skills!E21=TRUE,4.5,0))))+1)),0)</f>
        <v/>
      </c>
      <c r="S3586">
        <f>IFERROR(O3586/N3586,0)</f>
        <v/>
      </c>
      <c r="T3586" t="n">
        <v>0</v>
      </c>
      <c r="V3586" t="n">
        <v>0</v>
      </c>
    </row>
    <row r="3587">
      <c r="A3587">
        <f>Skills!A22</f>
        <v/>
      </c>
      <c r="B3587">
        <f>Skills!B22</f>
        <v/>
      </c>
      <c r="C3587">
        <f>Inputs!$B$3&gt;=33</f>
        <v/>
      </c>
      <c r="D3587">
        <f>IF(Skills!C22=1,60+Inputs!$B$25+Inputs!$B$29,IF(Skills!C22=2,90+Inputs!$B$26+Inputs!$B$29,IF(Skills!C22=3,120+Inputs!$B$27+Inputs!$B$29,MAX(0,(Inputs!$B$3-100)*3)+Inputs!$B$28+Inputs!$B$29)))</f>
        <v/>
      </c>
      <c r="E3587">
        <f>INDEX(FactorTable!$B$2:$Y$301, MATCH(ROUND(MIN(300,MAX(1,D3587)),0), FactorTable!$A$2:$A$301,0), Skills!M22+1)</f>
        <v/>
      </c>
      <c r="F3587">
        <f>IF(Skills!N22=TRUE,(Skills!L22/10)*(E3587/1000),Skills!L22/10)+Skills!O22</f>
        <v/>
      </c>
      <c r="G3587">
        <f>Calc!G22</f>
        <v/>
      </c>
      <c r="H3587">
        <f>Calc!H22</f>
        <v/>
      </c>
      <c r="I3587">
        <f>IF(Skills!AA22&lt;&gt;"",1+(Skills!AA22/10)*(U3568/1000)/100,1)</f>
        <v/>
      </c>
      <c r="J3587" t="inlineStr"/>
      <c r="K3587" t="inlineStr"/>
      <c r="L3587" t="inlineStr"/>
      <c r="M3587" t="inlineStr"/>
      <c r="N3587" t="inlineStr"/>
      <c r="O3587">
        <f>(1-Summary!$B$11)*T3587+Summary!$B$11*V3587</f>
        <v/>
      </c>
      <c r="P3587">
        <f>IF(B3609=0,0,O3587/B3609)</f>
        <v/>
      </c>
      <c r="Q3587" t="n">
        <v>0</v>
      </c>
      <c r="R3587" t="n">
        <v>0</v>
      </c>
      <c r="S3587">
        <f>IFERROR(O3587/N3587,0)</f>
        <v/>
      </c>
      <c r="T3587" t="n">
        <v>0</v>
      </c>
      <c r="V3587" t="n">
        <v>0</v>
      </c>
    </row>
    <row r="3588">
      <c r="A3588">
        <f>Skills!A23</f>
        <v/>
      </c>
      <c r="B3588">
        <f>Skills!B23</f>
        <v/>
      </c>
      <c r="C3588">
        <f>Inputs!$B$3&gt;=38</f>
        <v/>
      </c>
      <c r="D3588">
        <f>IF(Skills!C23=1,60+Inputs!$B$25+Inputs!$B$29,IF(Skills!C23=2,90+Inputs!$B$26+Inputs!$B$29,IF(Skills!C23=3,120+Inputs!$B$27+Inputs!$B$29,MAX(0,(Inputs!$B$3-100)*3)+Inputs!$B$28+Inputs!$B$29)))</f>
        <v/>
      </c>
      <c r="E3588">
        <f>INDEX(FactorTable!$B$2:$Y$301, MATCH(ROUND(MIN(300,MAX(1,D3588)),0), FactorTable!$A$2:$A$301,0), Skills!M23+1)</f>
        <v/>
      </c>
      <c r="F3588">
        <f>IF(Skills!N23=TRUE,(Skills!L23/10)*(E3588/1000),Skills!L23/10)+Skills!O23</f>
        <v/>
      </c>
      <c r="G3588">
        <f>Calc!G23</f>
        <v/>
      </c>
      <c r="H3588">
        <f>Calc!H23</f>
        <v/>
      </c>
      <c r="I3588">
        <f>IF(Skills!AA23&lt;&gt;"",1+(Skills!AA23/10)*(U3568/1000)/100,1)</f>
        <v/>
      </c>
      <c r="J3588" t="inlineStr"/>
      <c r="K3588" t="inlineStr"/>
      <c r="L3588" t="inlineStr"/>
      <c r="M3588" t="inlineStr"/>
      <c r="N3588" t="inlineStr"/>
      <c r="O3588">
        <f>(1-Summary!$B$11)*T3588+Summary!$B$11*V3588</f>
        <v/>
      </c>
      <c r="P3588">
        <f>IF(B3609=0,0,O3588/B3609)</f>
        <v/>
      </c>
      <c r="Q3588" t="n">
        <v>0</v>
      </c>
      <c r="R3588" t="n">
        <v>0</v>
      </c>
      <c r="S3588">
        <f>IFERROR(O3588/N3588,0)</f>
        <v/>
      </c>
      <c r="T3588" t="n">
        <v>0</v>
      </c>
      <c r="V3588" t="n">
        <v>0</v>
      </c>
    </row>
    <row r="3589">
      <c r="A3589">
        <f>Skills!A24</f>
        <v/>
      </c>
      <c r="B3589">
        <f>Skills!B24</f>
        <v/>
      </c>
      <c r="C3589">
        <f>Inputs!$B$3&gt;=40</f>
        <v/>
      </c>
      <c r="D3589">
        <f>IF(Skills!C24=1,60+Inputs!$B$25+Inputs!$B$29,IF(Skills!C24=2,90+Inputs!$B$26+Inputs!$B$29,IF(Skills!C24=3,120+Inputs!$B$27+Inputs!$B$29,MAX(0,(Inputs!$B$3-100)*3)+Inputs!$B$28+Inputs!$B$29)))</f>
        <v/>
      </c>
      <c r="E3589">
        <f>INDEX(FactorTable!$B$2:$Y$301, MATCH(ROUND(MIN(300,MAX(1,D3589)),0), FactorTable!$A$2:$A$301,0), Skills!M24+1)</f>
        <v/>
      </c>
      <c r="F3589">
        <f>IF(Skills!N24=TRUE,(Skills!L24/10)*(E3589/1000),Skills!L24/10)+Skills!O24</f>
        <v/>
      </c>
      <c r="G3589">
        <f>Calc!G24</f>
        <v/>
      </c>
      <c r="H3589">
        <f>Calc!H24</f>
        <v/>
      </c>
      <c r="I3589">
        <f>IF(Skills!AA24&lt;&gt;"",1+(Skills!AA24/10)*(U3568/1000)/100,1)</f>
        <v/>
      </c>
      <c r="J3589" t="inlineStr"/>
      <c r="K3589" t="inlineStr"/>
      <c r="L3589" t="inlineStr"/>
      <c r="M3589" t="inlineStr"/>
      <c r="N3589" t="inlineStr"/>
      <c r="O3589">
        <f>(1-Summary!$B$11)*T3589+Summary!$B$11*V3589</f>
        <v/>
      </c>
      <c r="P3589">
        <f>IF(B3609=0,0,O3589/B3609)</f>
        <v/>
      </c>
      <c r="Q3589" t="n">
        <v>0</v>
      </c>
      <c r="R3589" t="n">
        <v>0</v>
      </c>
      <c r="S3589">
        <f>IFERROR(O3589/N3589,0)</f>
        <v/>
      </c>
      <c r="T3589" t="n">
        <v>0</v>
      </c>
      <c r="V3589" t="n">
        <v>0</v>
      </c>
    </row>
    <row r="3590">
      <c r="A3590">
        <f>Skills!A25</f>
        <v/>
      </c>
      <c r="B3590">
        <f>Skills!B25</f>
        <v/>
      </c>
      <c r="C3590">
        <f>Inputs!$B$3&gt;=45</f>
        <v/>
      </c>
      <c r="D3590">
        <f>IF(Skills!C25=1,60+Inputs!$B$25+Inputs!$B$29,IF(Skills!C25=2,90+Inputs!$B$26+Inputs!$B$29,IF(Skills!C25=3,120+Inputs!$B$27+Inputs!$B$29,MAX(0,(Inputs!$B$3-100)*3)+Inputs!$B$28+Inputs!$B$29)))</f>
        <v/>
      </c>
      <c r="E3590">
        <f>INDEX(FactorTable!$B$2:$Y$301, MATCH(ROUND(MIN(300,MAX(1,D3590)),0), FactorTable!$A$2:$A$301,0), Skills!M25+1)</f>
        <v/>
      </c>
      <c r="F3590">
        <f>IF(Skills!N25=TRUE,(Skills!L25/10)*(E3590/1000),Skills!L25/10)+Skills!O25</f>
        <v/>
      </c>
      <c r="G3590">
        <f>Calc!G25</f>
        <v/>
      </c>
      <c r="H3590">
        <f>Calc!H25</f>
        <v/>
      </c>
      <c r="I3590">
        <f>IF(Skills!AA25&lt;&gt;"",1+(Skills!AA25/10)*(U3568/1000)/100,1)</f>
        <v/>
      </c>
      <c r="J3590" t="inlineStr"/>
      <c r="K3590" t="inlineStr"/>
      <c r="L3590" t="inlineStr"/>
      <c r="M3590" t="inlineStr"/>
      <c r="N3590" t="inlineStr"/>
      <c r="O3590">
        <f>(1-Summary!$B$11)*T3590+Summary!$B$11*V3590</f>
        <v/>
      </c>
      <c r="P3590">
        <f>IF(B3609=0,0,O3590/B3609)</f>
        <v/>
      </c>
      <c r="Q3590" t="n">
        <v>0</v>
      </c>
      <c r="R3590" t="n">
        <v>0</v>
      </c>
      <c r="S3590">
        <f>IFERROR(O3590/N3590,0)</f>
        <v/>
      </c>
      <c r="T3590" t="n">
        <v>0</v>
      </c>
      <c r="V3590" t="n">
        <v>0</v>
      </c>
    </row>
    <row r="3591">
      <c r="A3591">
        <f>Skills!A26</f>
        <v/>
      </c>
      <c r="B3591">
        <f>Skills!B26</f>
        <v/>
      </c>
      <c r="C3591">
        <f>Inputs!$B$3&gt;=45</f>
        <v/>
      </c>
      <c r="D3591">
        <f>IF(Skills!C26=1,60+Inputs!$B$25+Inputs!$B$29,IF(Skills!C26=2,90+Inputs!$B$26+Inputs!$B$29,IF(Skills!C26=3,120+Inputs!$B$27+Inputs!$B$29,MAX(0,(Inputs!$B$3-100)*3)+Inputs!$B$28+Inputs!$B$29)))</f>
        <v/>
      </c>
      <c r="E3591">
        <f>INDEX(FactorTable!$B$2:$Y$301, MATCH(ROUND(MIN(300,MAX(1,D3591)),0), FactorTable!$A$2:$A$301,0), Skills!M26+1)</f>
        <v/>
      </c>
      <c r="F3591">
        <f>IF(Skills!N26=TRUE,(Skills!L26/10)*(E3591/1000),Skills!L26/10)+Skills!O26</f>
        <v/>
      </c>
      <c r="G3591">
        <f>Calc!G26</f>
        <v/>
      </c>
      <c r="H3591">
        <f>Calc!H26</f>
        <v/>
      </c>
      <c r="I3591">
        <f>IF(Skills!AA26&lt;&gt;"",1+(Skills!AA26/10)*(U3568/1000)/100,1)</f>
        <v/>
      </c>
      <c r="J3591" t="inlineStr"/>
      <c r="K3591" t="inlineStr"/>
      <c r="L3591" t="inlineStr"/>
      <c r="M3591" t="inlineStr"/>
      <c r="N3591" t="inlineStr"/>
      <c r="O3591">
        <f>(1-Summary!$B$11)*T3591+Summary!$B$11*V3591</f>
        <v/>
      </c>
      <c r="P3591">
        <f>IF(B3609=0,0,O3591/B3609)</f>
        <v/>
      </c>
      <c r="Q3591" t="n">
        <v>0</v>
      </c>
      <c r="R3591" t="n">
        <v>0</v>
      </c>
      <c r="S3591">
        <f>IFERROR(O3591/N3591,0)</f>
        <v/>
      </c>
      <c r="T3591" t="n">
        <v>0</v>
      </c>
      <c r="V3591" t="n">
        <v>0</v>
      </c>
    </row>
    <row r="3592">
      <c r="A3592">
        <f>Skills!A27</f>
        <v/>
      </c>
      <c r="B3592">
        <f>Skills!B27</f>
        <v/>
      </c>
      <c r="C3592">
        <f>Inputs!$B$3&gt;=72</f>
        <v/>
      </c>
      <c r="D3592">
        <f>IF(Skills!C27=1,60+Inputs!$B$25+Inputs!$B$29,IF(Skills!C27=2,90+Inputs!$B$26+Inputs!$B$29,IF(Skills!C27=3,120+Inputs!$B$27+Inputs!$B$29,MAX(0,(Inputs!$B$3-100)*3)+Inputs!$B$28+Inputs!$B$29)))</f>
        <v/>
      </c>
      <c r="E3592">
        <f>INDEX(FactorTable!$B$2:$Y$301, MATCH(ROUND(MIN(300,MAX(1,D3592)),0), FactorTable!$A$2:$A$301,0), Skills!M27+1)</f>
        <v/>
      </c>
      <c r="F3592">
        <f>IF(Skills!N27=TRUE,(Skills!L27/10)*(E3592/1000),Skills!L27/10)+Skills!O27</f>
        <v/>
      </c>
      <c r="G3592">
        <f>Calc!G27</f>
        <v/>
      </c>
      <c r="H3592">
        <f>Calc!H27</f>
        <v/>
      </c>
      <c r="I3592">
        <f>IF(Skills!AA27&lt;&gt;"",1+(Skills!AA27/10)*(U3568/1000)/100,1)</f>
        <v/>
      </c>
      <c r="J3592" t="inlineStr"/>
      <c r="K3592" t="inlineStr"/>
      <c r="L3592" t="inlineStr"/>
      <c r="M3592" t="inlineStr"/>
      <c r="N3592" t="inlineStr"/>
      <c r="O3592">
        <f>(1-Summary!$B$11)*T3592+Summary!$B$11*V3592</f>
        <v/>
      </c>
      <c r="P3592">
        <f>IF(B3609=0,0,O3592/B3609)</f>
        <v/>
      </c>
      <c r="Q3592" t="n">
        <v>0</v>
      </c>
      <c r="R3592" t="n">
        <v>0</v>
      </c>
      <c r="S3592">
        <f>IFERROR(O3592/N3592,0)</f>
        <v/>
      </c>
      <c r="T3592" t="n">
        <v>0</v>
      </c>
      <c r="V3592" t="n">
        <v>0</v>
      </c>
    </row>
    <row r="3593">
      <c r="A3593">
        <f>Skills!A28</f>
        <v/>
      </c>
      <c r="B3593">
        <f>Skills!B28</f>
        <v/>
      </c>
      <c r="C3593">
        <f>Inputs!$B$3&gt;=75</f>
        <v/>
      </c>
      <c r="D3593">
        <f>IF(Skills!C28=1,60+Inputs!$B$25+Inputs!$B$29,IF(Skills!C28=2,90+Inputs!$B$26+Inputs!$B$29,IF(Skills!C28=3,120+Inputs!$B$27+Inputs!$B$29,MAX(0,(Inputs!$B$3-100)*3)+Inputs!$B$28+Inputs!$B$29)))</f>
        <v/>
      </c>
      <c r="E3593">
        <f>INDEX(FactorTable!$B$2:$Y$301, MATCH(ROUND(MIN(300,MAX(1,D3593)),0), FactorTable!$A$2:$A$301,0), Skills!M28+1)</f>
        <v/>
      </c>
      <c r="F3593">
        <f>IF(Skills!N28=TRUE,(Skills!L28/10)*(E3593/1000),Skills!L28/10)+Skills!O28</f>
        <v/>
      </c>
      <c r="G3593">
        <f>Calc!G28</f>
        <v/>
      </c>
      <c r="H3593">
        <f>Calc!H28</f>
        <v/>
      </c>
      <c r="I3593">
        <f>IF(Skills!AA28&lt;&gt;"",1+(Skills!AA28/10)*(U3568/1000)/100,1)</f>
        <v/>
      </c>
      <c r="J3593" t="inlineStr"/>
      <c r="K3593" t="inlineStr"/>
      <c r="L3593" t="inlineStr"/>
      <c r="M3593" t="inlineStr"/>
      <c r="N3593" t="inlineStr"/>
      <c r="O3593">
        <f>(1-Summary!$B$11)*T3593+Summary!$B$11*V3593</f>
        <v/>
      </c>
      <c r="P3593">
        <f>IF(B3609=0,0,O3593/B3609)</f>
        <v/>
      </c>
      <c r="Q3593" t="n">
        <v>0</v>
      </c>
      <c r="R3593" t="n">
        <v>0</v>
      </c>
      <c r="S3593">
        <f>IFERROR(O3593/N3593,0)</f>
        <v/>
      </c>
      <c r="T3593" t="n">
        <v>0</v>
      </c>
      <c r="V3593" t="n">
        <v>0</v>
      </c>
    </row>
    <row r="3594">
      <c r="A3594">
        <f>Skills!A29</f>
        <v/>
      </c>
      <c r="B3594">
        <f>Skills!B29</f>
        <v/>
      </c>
      <c r="C3594">
        <f>Inputs!$B$3&gt;=120</f>
        <v/>
      </c>
      <c r="D3594">
        <f>IF(Skills!C29=1,60+Inputs!$B$25+Inputs!$B$29,IF(Skills!C29=2,90+Inputs!$B$26+Inputs!$B$29,IF(Skills!C29=3,120+Inputs!$B$27+Inputs!$B$29,MAX(0,(Inputs!$B$3-100)*3)+Inputs!$B$28+Inputs!$B$29)))</f>
        <v/>
      </c>
      <c r="E3594">
        <f>INDEX(FactorTable!$B$2:$Y$301, MATCH(ROUND(MIN(300,MAX(1,D3594)),0), FactorTable!$A$2:$A$301,0), Skills!M29+1)</f>
        <v/>
      </c>
      <c r="F3594">
        <f>IF(Skills!N29=TRUE,(Skills!L29/10)*(E3594/1000),Skills!L29/10)+Skills!O29</f>
        <v/>
      </c>
      <c r="G3594">
        <f>Calc!G29</f>
        <v/>
      </c>
      <c r="H3594">
        <f>Calc!H29</f>
        <v/>
      </c>
      <c r="I3594">
        <f>IF(Skills!AA29&lt;&gt;"",1+(Skills!AA29/10)*(U3568/1000)/100,1)</f>
        <v/>
      </c>
      <c r="J3594" t="inlineStr"/>
      <c r="K3594" t="inlineStr"/>
      <c r="L3594" t="inlineStr"/>
      <c r="M3594" t="inlineStr"/>
      <c r="N3594" t="inlineStr"/>
      <c r="O3594">
        <f>(1-Summary!$B$11)*T3594+Summary!$B$11*V3594</f>
        <v/>
      </c>
      <c r="P3594">
        <f>IF(B3609=0,0,O3594/B3609)</f>
        <v/>
      </c>
      <c r="Q3594" t="n">
        <v>0</v>
      </c>
      <c r="R3594" t="n">
        <v>0</v>
      </c>
      <c r="S3594">
        <f>IFERROR(O3594/N3594,0)</f>
        <v/>
      </c>
      <c r="T3594" t="n">
        <v>0</v>
      </c>
      <c r="V3594" t="n">
        <v>0</v>
      </c>
    </row>
    <row r="3595">
      <c r="A3595">
        <f>Skills!A30</f>
        <v/>
      </c>
      <c r="B3595">
        <f>Skills!B30</f>
        <v/>
      </c>
      <c r="C3595">
        <f>Inputs!$B$3&gt;=125</f>
        <v/>
      </c>
      <c r="D3595">
        <f>IF(Skills!C30=1,60+Inputs!$B$25+Inputs!$B$29,IF(Skills!C30=2,90+Inputs!$B$26+Inputs!$B$29,IF(Skills!C30=3,120+Inputs!$B$27+Inputs!$B$29,MAX(0,(Inputs!$B$3-100)*3)+Inputs!$B$28+Inputs!$B$29)))</f>
        <v/>
      </c>
      <c r="E3595">
        <f>INDEX(FactorTable!$B$2:$Y$301, MATCH(ROUND(MIN(300,MAX(1,D3595)),0), FactorTable!$A$2:$A$301,0), Skills!M30+1)</f>
        <v/>
      </c>
      <c r="F3595">
        <f>IF(Skills!N30=TRUE,(Skills!L30/10)*(E3595/1000),Skills!L30/10)+Skills!O30</f>
        <v/>
      </c>
      <c r="G3595">
        <f>Calc!G30</f>
        <v/>
      </c>
      <c r="H3595">
        <f>Calc!H30</f>
        <v/>
      </c>
      <c r="I3595">
        <f>IF(Skills!AA30&lt;&gt;"",1+(Skills!AA30/10)*(U3568/1000)/100,1)</f>
        <v/>
      </c>
      <c r="J3595" t="inlineStr"/>
      <c r="K3595" t="inlineStr"/>
      <c r="L3595" t="inlineStr"/>
      <c r="M3595" t="inlineStr"/>
      <c r="N3595" t="inlineStr"/>
      <c r="O3595">
        <f>(1-Summary!$B$11)*T3595+Summary!$B$11*V3595</f>
        <v/>
      </c>
      <c r="P3595">
        <f>IF(B3609=0,0,O3595/B3609)</f>
        <v/>
      </c>
      <c r="Q3595" t="n">
        <v>0</v>
      </c>
      <c r="R3595" t="n">
        <v>0</v>
      </c>
      <c r="S3595">
        <f>IFERROR(O3595/N3595,0)</f>
        <v/>
      </c>
      <c r="T3595" t="n">
        <v>0</v>
      </c>
      <c r="V3595" t="n">
        <v>0</v>
      </c>
    </row>
    <row r="3596">
      <c r="A3596">
        <f>Skills!A31</f>
        <v/>
      </c>
      <c r="B3596">
        <f>Skills!B31</f>
        <v/>
      </c>
      <c r="C3596">
        <f>Inputs!$B$3&gt;=107</f>
        <v/>
      </c>
      <c r="D3596">
        <f>IF(Skills!C31=1,60+Inputs!$B$25+Inputs!$B$29,IF(Skills!C31=2,90+Inputs!$B$26+Inputs!$B$29,IF(Skills!C31=3,120+Inputs!$B$27+Inputs!$B$29,MAX(0,(Inputs!$B$3-100)*3)+Inputs!$B$28+Inputs!$B$29)))</f>
        <v/>
      </c>
      <c r="E3596">
        <f>INDEX(FactorTable!$B$2:$Y$301, MATCH(ROUND(MIN(300,MAX(1,D3596)),0), FactorTable!$A$2:$A$301,0), Skills!M31+1)</f>
        <v/>
      </c>
      <c r="F3596">
        <f>IF(Skills!N31=TRUE,(Skills!L31/10)*(E3596/1000),Skills!L31/10)+Skills!O31</f>
        <v/>
      </c>
      <c r="G3596">
        <f>Calc!G31</f>
        <v/>
      </c>
      <c r="H3596">
        <f>Calc!H31</f>
        <v/>
      </c>
      <c r="I3596">
        <f>IF(Skills!AA31&lt;&gt;"",1+(Skills!AA31/10)*(U3568/1000)/100,1)</f>
        <v/>
      </c>
      <c r="J3596" t="inlineStr"/>
      <c r="K3596" t="inlineStr"/>
      <c r="L3596" t="inlineStr"/>
      <c r="M3596" t="inlineStr"/>
      <c r="N3596" t="inlineStr"/>
      <c r="O3596">
        <f>(1-Summary!$B$11)*T3596+Summary!$B$11*V3596</f>
        <v/>
      </c>
      <c r="P3596">
        <f>IF(B3609=0,0,O3596/B3609)</f>
        <v/>
      </c>
      <c r="Q3596" t="n">
        <v>0</v>
      </c>
      <c r="R3596" t="n">
        <v>0</v>
      </c>
      <c r="S3596">
        <f>IFERROR(O3596/N3596,0)</f>
        <v/>
      </c>
      <c r="T3596" t="n">
        <v>0</v>
      </c>
      <c r="V3596" t="n">
        <v>0</v>
      </c>
    </row>
    <row r="3598">
      <c r="A3598" t="inlineStr">
        <is>
          <t>Actions Per Second (pre-Adrenalin)</t>
        </is>
      </c>
      <c r="B3598">
        <f>1+MIN(150,150*(1-(1-(Inputs!$B$11+((C3587=TRUE)*(F3587-Calc!F22))+(ArtifactsInput!$M$15-ArtifactsInput!$M$15)*CHOOSE(ArtifactsInput!$N$15+1,8,9.6,11.2,12.8,14.4,16))/150)*(1-((C3584=TRUE)*F3584*IF(AND(Inputs!$B$39&lt;&gt;"pvp",Inputs!$B$44&gt;0),(((R3584-1)*(Skills!Y19*(1+Inputs!$B$34/100))+MIN((Skills!Y19*(1+Inputs!$B$34/100)),MAX(0,Inputs!$B$44-((R3584-1)*Skills!D19))))/Inputs!$B$44),IF(Inputs!$B$39="pvp",MIN((Skills!Y19*(1+Inputs!$B$34/100)),15)/15,(Skills!Y19*(1+Inputs!$B$34/100))/Skills!D19)))/150)))/100</f>
        <v/>
      </c>
    </row>
    <row r="3599">
      <c r="A3599" t="inlineStr">
        <is>
          <t>Alchemic Adrenaline Uptime</t>
        </is>
      </c>
      <c r="B3599">
        <f>(Skills!Y6*(1+Inputs!$B$34/100))/((Skills!Y6*(1+Inputs!$B$34/100))+(5/B3598))</f>
        <v/>
      </c>
    </row>
    <row r="3600">
      <c r="A3600" t="inlineStr">
        <is>
          <t>Attack Speed Buff Bonus %</t>
        </is>
      </c>
      <c r="B3600">
        <f>((C3584=TRUE)*F3584*IF(AND(Inputs!$B$39&lt;&gt;"pvp",Inputs!$B$44&gt;0),(((R3584-1)*(Skills!Y19*(1+Inputs!$B$34/100))+MIN((Skills!Y19*(1+Inputs!$B$34/100)),MAX(0,Inputs!$B$44-((R3584-1)*Skills!D19))))/Inputs!$B$44),IF(Inputs!$B$39="pvp",MIN((Skills!Y19*(1+Inputs!$B$34/100)),15)/15,(Skills!Y19*(1+Inputs!$B$34/100))/Skills!D19)))+((C3572=TRUE)*F3572*B3599)</f>
        <v/>
      </c>
    </row>
    <row r="3601">
      <c r="A3601" t="inlineStr">
        <is>
          <t>Actions Per Second (final)</t>
        </is>
      </c>
      <c r="B3601">
        <f>1+MIN(150,150*(1-(1-(Inputs!$B$11+((C3587=TRUE)*(F3587-Calc!F22))+(ArtifactsInput!$M$15-ArtifactsInput!$M$15)*CHOOSE(ArtifactsInput!$N$15+1,8,9.6,11.2,12.8,14.4,16))/150)*(1-B3600/150)))/100</f>
        <v/>
      </c>
    </row>
    <row r="3602">
      <c r="A3602" t="inlineStr">
        <is>
          <t>Skill + Buff Cast Rate</t>
        </is>
      </c>
      <c r="B3602">
        <f>IF(AND(Inputs!$B$39&lt;&gt;"pvp",Inputs!$B$44&gt;0),SUMPRODUCT((Skills!E2:E31=TRUE)*(C3567:C3596=TRUE)*R3567:R3596*Skills!F2:F31)/Inputs!$B$44,SUMPRODUCT((Skills!E2:E31=TRUE)*(C3567:C3596=TRUE)*Q3567:Q3596*Skills!F2:F31))</f>
        <v/>
      </c>
    </row>
    <row r="3603">
      <c r="A3603" t="inlineStr">
        <is>
          <t>Showdown Casts Per Second</t>
        </is>
      </c>
      <c r="B3603">
        <f>MAX(0,B3601-B3602)</f>
        <v/>
      </c>
    </row>
    <row r="3604">
      <c r="A3604" t="inlineStr">
        <is>
          <t>Average Buff Multiplier</t>
        </is>
      </c>
      <c r="B3604">
        <f>(1+(((C3586=TRUE)*F3586*IF(AND(Inputs!$B$39&lt;&gt;"pvp",Inputs!$B$44&gt;0),(((R3586-1)*(Skills!Y21*(1+Inputs!$B$34/100))+MIN((Skills!Y21*(1+Inputs!$B$34/100)),MAX(0,Inputs!$B$44-((R3586-1)*Skills!D21))))/Inputs!$B$44),IF(Inputs!$B$39="pvp",MIN((Skills!Y21*(1+Inputs!$B$34/100)),15)/15,(Skills!Y21*(1+Inputs!$B$34/100))/Skills!D21)))+((C3593=TRUE)*(F3593-Calc!F28))+((C3583=TRUE)*(F3583-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3580=TRUE)*F3580*IF(AND(Inputs!$B$39&lt;&gt;"pvp",Inputs!$B$44&gt;0),(((R3580-1)*(Skills!Y15*(1+Inputs!$B$34/100))+MIN((Skills!Y15*(1+Inputs!$B$34/100)),MAX(0,Inputs!$B$44-((R3580-1)*Skills!D15))))/Inputs!$B$44),IF(Inputs!$B$39="pvp",MIN((Skills!Y15*(1+Inputs!$B$34/100)),15)/15,(Skills!Y15*(1+Inputs!$B$34/100))/Skills!D15)))/100)*(1+((C3571=TRUE)*F3571*B3599)/100)</f>
        <v/>
      </c>
    </row>
    <row r="3605">
      <c r="A3605" t="inlineStr">
        <is>
          <t>Global Crit Rate Bonus %</t>
        </is>
      </c>
      <c r="B3605">
        <f>IF(Inputs!$B$3&gt;=47,8,0)+((C3585=TRUE)*F3585*IF(AND(Inputs!$B$39&lt;&gt;"pvp",Inputs!$B$44&gt;0),(((R3585-1)*(Skills!Y20*(1+Inputs!$B$34/100))+MIN((Skills!Y20*(1+Inputs!$B$34/100)),MAX(0,Inputs!$B$44-((R3585-1)*Skills!D20))))/Inputs!$B$44),IF(Inputs!$B$39="pvp",MIN((Skills!Y20*(1+Inputs!$B$34/100)),15)/15,(Skills!Y20*(1+Inputs!$B$34/100))/Skills!D20)))</f>
        <v/>
      </c>
    </row>
    <row r="3606">
      <c r="A3606" t="inlineStr">
        <is>
          <t>Global Monster Damage-Taken Bonus %</t>
        </is>
      </c>
      <c r="B3606">
        <f>IF(Inputs!$B$3&gt;=82,15,0)+((C3581=TRUE)*F3581*IF(AND(Inputs!$B$39&lt;&gt;"pvp",Inputs!$B$44&gt;0),(((R3581-1)*(Skills!Y16*(1+Inputs!$B$34/100))+MIN((Skills!Y16*(1+Inputs!$B$34/100)),MAX(0,Inputs!$B$44-((R3581-1)*Skills!D16))))/Inputs!$B$44),IF(Inputs!$B$39="pvp",MIN((Skills!Y16*(1+Inputs!$B$34/100)),15)/15,(Skills!Y16*(1+Inputs!$B$34/100))/Skills!D16)))</f>
        <v/>
      </c>
    </row>
    <row r="3607">
      <c r="A3607" t="inlineStr">
        <is>
          <t>Shadow Partner Average Multiplier</t>
        </is>
      </c>
      <c r="B3607">
        <f>1+((C3576=TRUE)*F3576*I3576*Skills!J11/100)/100</f>
        <v/>
      </c>
    </row>
    <row r="3608">
      <c r="A3608" t="inlineStr">
        <is>
          <t>Global Critical Damage Bonus % (Frailty Curse Mastery Lv.111)</t>
        </is>
      </c>
      <c r="B3608">
        <f>IF(Inputs!$B$3&gt;=111,30,0)*IF(AND(Inputs!$B$39&lt;&gt;"pvp",Inputs!$B$44&gt;0),(((R3581-1)*(Skills!Y16*(1+Inputs!$B$34/100))+MIN((Skills!Y16*(1+Inputs!$B$34/100)),MAX(0,Inputs!$B$44-((R3581-1)*Skills!D16))))/Inputs!$B$44),IF(Inputs!$B$39="pvp",MIN((Skills!Y16*(1+Inputs!$B$34/100)),15)/15,(Skills!Y16*(1+Inputs!$B$34/100))/Skills!D16))</f>
        <v/>
      </c>
    </row>
    <row r="3609">
      <c r="A3609" s="6" t="inlineStr">
        <is>
          <t>TOTAL DPS</t>
        </is>
      </c>
      <c r="B3609" s="6">
        <f>SUM(O3567:O3596)</f>
        <v/>
      </c>
    </row>
    <row r="3610">
      <c r="A3610" t="inlineStr">
        <is>
          <t>Buff-Casting Startup Delay (s, fixed-duration only)</t>
        </is>
      </c>
      <c r="B3610">
        <f>IF(AND(Inputs!$B$39&lt;&gt;"pvp",Inputs!$B$44&gt;0),SUMPRODUCT((Skills!Y2:Y31&gt;0)*(Skills!E2:E31=TRUE)*(C3567:C3596=TRUE))/B3601,0)</f>
        <v/>
      </c>
    </row>
    <row r="3611">
      <c r="A3611" t="inlineStr">
        <is>
          <t>Boss-Only Total DPS (this block's swept value)</t>
        </is>
      </c>
      <c r="B3611">
        <f>SUM(T3567:T3596)</f>
        <v/>
      </c>
    </row>
    <row r="3612">
      <c r="A3612" t="inlineStr">
        <is>
          <t>Normal-Only Total DPS (this block's swept value)</t>
        </is>
      </c>
      <c r="B3612">
        <f>SUM(V3567:V3596)</f>
        <v/>
      </c>
    </row>
    <row r="3614">
      <c r="A3614" s="6" t="inlineStr">
        <is>
          <t>Stat: CDR = 5.0s</t>
        </is>
      </c>
    </row>
    <row r="3615">
      <c r="A3615" s="5" t="inlineStr">
        <is>
          <t>Key</t>
        </is>
      </c>
      <c r="B3615" s="5" t="inlineStr">
        <is>
          <t>Name</t>
        </is>
      </c>
      <c r="C3615" s="5" t="inlineStr">
        <is>
          <t>Unlocked</t>
        </is>
      </c>
      <c r="D3615" s="5" t="inlineStr">
        <is>
          <t>InputLevel</t>
        </is>
      </c>
      <c r="E3615" s="5" t="inlineStr">
        <is>
          <t>Factor</t>
        </is>
      </c>
      <c r="F3615" s="5" t="inlineStr">
        <is>
          <t>CoefficientPercent</t>
        </is>
      </c>
      <c r="G3615" s="5" t="inlineStr">
        <is>
          <t>EffectiveHits</t>
        </is>
      </c>
      <c r="H3615" s="5" t="inlineStr">
        <is>
          <t>ProcProbability</t>
        </is>
      </c>
      <c r="I3615" s="5" t="inlineStr">
        <is>
          <t>MapleHeroMultiplier</t>
        </is>
      </c>
      <c r="J3615" s="5" t="inlineStr">
        <is>
          <t>BaseDamage</t>
        </is>
      </c>
      <c r="K3615" s="5" t="inlineStr">
        <is>
          <t>BaseHitDamage</t>
        </is>
      </c>
      <c r="L3615" s="5" t="inlineStr">
        <is>
          <t>NonCritAvg</t>
        </is>
      </c>
      <c r="M3615" s="5" t="inlineStr">
        <is>
          <t>CritAvg</t>
        </is>
      </c>
      <c r="N3615" s="5" t="inlineStr">
        <is>
          <t>ExpectedDamage(perHit)</t>
        </is>
      </c>
      <c r="O3615" s="5" t="inlineStr">
        <is>
          <t>DPS</t>
        </is>
      </c>
      <c r="P3615" s="5" t="inlineStr">
        <is>
          <t>% of Total</t>
        </is>
      </c>
      <c r="Q3615" s="5" t="inlineStr">
        <is>
          <t>InvCooldown</t>
        </is>
      </c>
      <c r="R3615" s="5" t="inlineStr">
        <is>
          <t>CastsInFight</t>
        </is>
      </c>
      <c r="S3615" s="5" t="inlineStr">
        <is>
          <t>HitRate(perSec)</t>
        </is>
      </c>
      <c r="U3615" t="inlineStr">
        <is>
          <t>helpers</t>
        </is>
      </c>
    </row>
    <row r="3616">
      <c r="A3616">
        <f>Skills!A2</f>
        <v/>
      </c>
      <c r="B3616">
        <f>Skills!B2</f>
        <v/>
      </c>
      <c r="C3616">
        <f>Inputs!$B$3&gt;=100</f>
        <v/>
      </c>
      <c r="D3616" t="inlineStr"/>
      <c r="E3616" t="inlineStr"/>
      <c r="F3616">
        <f>U3620+Skills!O2</f>
        <v/>
      </c>
      <c r="G3616">
        <f>Calc!G2</f>
        <v/>
      </c>
      <c r="H3616">
        <f>Calc!H2</f>
        <v/>
      </c>
      <c r="I3616">
        <f>IF(Skills!AA2&lt;&gt;"",1+(Skills!AA2/10)*(U3617/1000)/100,1)</f>
        <v/>
      </c>
      <c r="J3616">
        <f>((Inputs!$B$6*(1+Inputs!$B$7/100))+(((Inputs!$B$12*(1+Inputs!$B$13/100))-(Inputs!$B$12*(1+Inputs!$B$13/100)))+0.25*(Inputs!$B$14-Inputs!$B$14))*(1+Inputs!$B$7/100))*(F3616/100)</f>
        <v/>
      </c>
      <c r="K3616">
        <f>J3616*(1+((Inputs!$B$12*(1+Inputs!$B$13/100))*0.01+Inputs!$B$14*0.0025)/100)*(1+Inputs!$B$15/100)*(1+Inputs!$B$16/100)*(5000/(6000+Inputs!$B$43*(1-(100*(1-(1-(Inputs!$B$19+0)/100)*(1-CHOOSE(ArtifactsInput!$N$40+1,5,6,7,8,9,10)/100)^(ArtifactsInput!$M$40-ArtifactsInput!$M$40)))/100)))*(1+(Inputs!$B$24+((C3644=TRUE)*(F3644-Calc!F30)))/100)*(1+Skills!R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SHOWDOWN",Inputs!$B$17+((C3637=TRUE)*(F3637-Calc!F23))+(((IF(AND(ArtifactsInput!$M$42,((Inputs!$B$9+((C3639=TRUE)*(F3639-Calc!F25))+B3654+(ArtifactsInput!$M$24-ArtifactsInput!$M$24)*CHOOSE(ArtifactsInput!$N$24+1,10,12,14,16,18,20)+IF(ArtifactsInput!$M$10,CHOOSE(ArtifactsInput!$N$10+1,15,18,21,24,27,30)*(IF(Inputs!$B$39="pvp",MIN(15,15)/15,IF(AND(Inputs!$B$39&lt;&gt;"pvp",Inputs!$B$44&gt;0),MIN(15,Inputs!$B$44)/(Inputs!$B$44),0))),0)))&gt;=100),MIN(100,((Inputs!$B$9+((C3639=TRUE)*(F3639-Calc!F25))+B3654+(ArtifactsInput!$M$24-ArtifactsInput!$M$24)*CHOOSE(ArtifactsInput!$N$24+1,10,12,14,16,18,20)+IF(ArtifactsInput!$M$10,CHOOSE(ArtifactsInput!$N$10+1,15,18,21,24,27,30)*(IF(Inputs!$B$39="pvp",MIN(15,15)/15,IF(AND(Inputs!$B$39&lt;&gt;"pvp",Inputs!$B$44&gt;0),MIN(15,Inputs!$B$44)/(Inputs!$B$44),0))),0)))-100),0))*CHOOSE(ArtifactsInput!$N$42+1,0.6,0.72,0.84,0.96,1.08,1.2))),Inputs!$B$18+((C3643=TRUE)*(F3643-Calc!F29))+(IF(AND(ArtifactsInput!$M$42,((Inputs!$B$9+((C3639=TRUE)*(F3639-Calc!F25))+B3654+(ArtifactsInput!$M$24-ArtifactsInput!$M$24)*CHOOSE(ArtifactsInput!$N$24+1,10,12,14,16,18,20)+IF(ArtifactsInput!$M$10,CHOOSE(ArtifactsInput!$N$10+1,15,18,21,24,27,30)*(IF(Inputs!$B$39="pvp",MIN(15,15)/15,IF(AND(Inputs!$B$39&lt;&gt;"pvp",Inputs!$B$44&gt;0),MIN(15,Inputs!$B$44)/(Inputs!$B$44),0))),0)))&gt;=100),CHOOSE(ArtifactsInput!$N$42+1,40,48,56,64,72,80),0))))/100)*(((1+(((C3635=TRUE)*F3635*IF(AND(Inputs!$B$39&lt;&gt;"pvp",Inputs!$B$44&gt;0),(((R3635-1)*(Skills!Y21*(1+Inputs!$B$34/100))+MIN((Skills!Y21*(1+Inputs!$B$34/100)),MAX(0,Inputs!$B$44-((R3635-1)*Skills!D21))))/Inputs!$B$44),IF(Inputs!$B$39="pvp",MIN((Skills!Y21*(1+Inputs!$B$34/100)),15)/15,(Skills!Y21*(1+Inputs!$B$34/100))/Skills!D21)))+((C3642=TRUE)*(F3642-Calc!F28))+((C3632=TRUE)*(F3632-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3629=TRUE)*F3629*IF(AND(Inputs!$B$39&lt;&gt;"pvp",Inputs!$B$44&gt;0),(((R3629-1)*(Skills!Y15*(1+Inputs!$B$34/100))+MIN((Skills!Y15*(1+Inputs!$B$34/100)),MAX(0,Inputs!$B$44-((R3629-1)*Skills!D15))))/Inputs!$B$44),IF(Inputs!$B$39="pvp",MIN((Skills!Y15*(1+Inputs!$B$34/100)),15)/15,(Skills!Y15*(1+Inputs!$B$34/100))/Skills!D15)))/100)*(1+((C3620=TRUE)*F3620*B3648)/100))*B3656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3616)</f>
        <v/>
      </c>
      <c r="L3616">
        <f>K3616*(MIN(Inputs!$B$22+((C3638=TRUE)*(F3638-Calc!F24)),(Inputs!$B$23+0+(IF(ArtifactsInput!$M$15,CHOOSE(ArtifactsInput!$N$15+1,25,30,35,40,45,50)/100*(Inputs!$B$11-Inputs!$B$11),0))))/100+(Inputs!$B$23+0+(IF(ArtifactsInput!$M$15,CHOOSE(ArtifactsInput!$N$15+1,25,30,35,40,45,50)/100*(Inputs!$B$11-Inputs!$B$11),0)))/100)/2</f>
        <v/>
      </c>
      <c r="M3616">
        <f>L3616*(1+(Inputs!$B$10+((C3640=TRUE)*(F3640-Calc!F26))+B3657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16">
        <f>L3616*(1-MIN((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3616*(MIN((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16">
        <f>(1-Summary!$B$11)*T3616+Summary!$B$11*V3616</f>
        <v/>
      </c>
      <c r="P3616">
        <f>IF(B3658=0,0,O3616/B3658)</f>
        <v/>
      </c>
      <c r="Q3616" t="n">
        <v>0</v>
      </c>
      <c r="R3616" t="n">
        <v>0</v>
      </c>
      <c r="S3616">
        <f>IFERROR(O3616/N3616,0)</f>
        <v/>
      </c>
      <c r="T3616">
        <f>IF(C3616,(Skills!G2*N3616*B3652)*IF(Inputs!$B$39="pvp",1,1+(Inputs!$B$20+((C3641=TRUE)*(F3641-Calc!F27))+Skills!P2+B3655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Hunt"),CHOOSE(ArtifactsInput!$N$35+1,15,18,21,24,27,30)*(1-EXP(-(0.2*B3650)*5)),0)+IF(AND(ArtifactsInput!$M$22,Inputs!$B$4&lt;&gt;"Chapter Hunt"),CHOOSE(ArtifactsInput!$N$22+1,10,12,14,16,18,20)*((0*(((0.15*B3650*5))^0/1)+1*(((0.15*B3650*5))^1/1)+2*(((0.15*B3650*5))^2/2)+3*(((0.15*B3650*5))^3/6)+4*(((0.15*B3650*5))^4/24)+5*(((0.15*B3650*5))^5/120))/((((0.15*B3650*5))^0/1)+(((0.15*B3650*5))^1/1)+(((0.15*B3650*5))^2/2)+(((0.15*B3650*5))^3/6)+(((0.15*B3650*5))^4/24)+(((0.15*B3650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3616*(1-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3616*(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3616*(1-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3616*(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616">
        <f>MAX(0,(Inputs!$B$3-100)*3)+Inputs!$B$28+Inputs!$B$29</f>
        <v/>
      </c>
      <c r="V3616">
        <f>IF(C3616,(Skills!G2*N3616*B3652)*IF(Inputs!$B$39="pvp",1,(1+(Inputs!$B$21+Skills!Q2+B3655+(IF(ArtifactsInput!$M$33,CHOOSE(ArtifactsInput!$N$33+1,30,36,42,48,54,60),0))+(IF(AND(ArtifactsInput!$M$35,Inputs!$B$4&lt;&gt;"Chapter Hunt"),CHOOSE(ArtifactsInput!$N$35+1,15,18,21,24,27,30)*(1-EXP(-(0.2*B3650)*5)),0)+IF(AND(ArtifactsInput!$M$22,Inputs!$B$4&lt;&gt;"Chapter Hunt"),CHOOSE(ArtifactsInput!$N$22+1,10,12,14,16,18,20)*((0*(((0.15*B3650*5))^0/1)+1*(((0.15*B3650*5))^1/1)+2*(((0.15*B3650*5))^2/2)+3*(((0.15*B3650*5))^3/6)+4*(((0.15*B3650*5))^4/24)+5*(((0.15*B3650*5))^5/120))/((((0.15*B3650*5))^0/1)+(((0.15*B3650*5))^1/1)+(((0.15*B3650*5))^2/2)+(((0.15*B3650*5))^3/6)+(((0.15*B3650*5))^4/24)+(((0.15*B3650*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17">
      <c r="A3617">
        <f>Skills!A3</f>
        <v/>
      </c>
      <c r="B3617">
        <f>Skills!B3</f>
        <v/>
      </c>
      <c r="C3617">
        <f>Inputs!$B$3&gt;=35</f>
        <v/>
      </c>
      <c r="D3617">
        <f>IF(Skills!C3=1,60+Inputs!$B$25+Inputs!$B$29,IF(Skills!C3=2,90+Inputs!$B$26+Inputs!$B$29,IF(Skills!C3=3,120+Inputs!$B$27+Inputs!$B$29,MAX(0,(Inputs!$B$3-100)*3)+Inputs!$B$28+Inputs!$B$29)))</f>
        <v/>
      </c>
      <c r="E3617">
        <f>INDEX(FactorTable!$B$2:$Y$301, MATCH(ROUND(MIN(300,MAX(1,D3617)),0), FactorTable!$A$2:$A$301,0), Skills!M3+1)</f>
        <v/>
      </c>
      <c r="F3617">
        <f>IF(Skills!N3=TRUE,(Skills!L3/10)*(E3617/1000),Skills!L3/10)+Skills!O3</f>
        <v/>
      </c>
      <c r="G3617">
        <f>Calc!G3</f>
        <v/>
      </c>
      <c r="H3617">
        <f>Calc!H3</f>
        <v/>
      </c>
      <c r="I3617">
        <f>IF(Skills!AA3&lt;&gt;"",1+(Skills!AA3/10)*(U3617/1000)/100,1)</f>
        <v/>
      </c>
      <c r="J3617">
        <f>((Inputs!$B$6*(1+Inputs!$B$7/100))+(((Inputs!$B$12*(1+Inputs!$B$13/100))-(Inputs!$B$12*(1+Inputs!$B$13/100)))+0.25*(Inputs!$B$14-Inputs!$B$14))*(1+Inputs!$B$7/100))*(F3617/100)</f>
        <v/>
      </c>
      <c r="K3617">
        <f>J3617*(1+((Inputs!$B$12*(1+Inputs!$B$13/100))*0.01+Inputs!$B$14*0.0025)/100)*(1+Inputs!$B$15/100)*(1+Inputs!$B$16/100)*(5000/(6000+Inputs!$B$43*(1-(100*(1-(1-(Inputs!$B$19+0)/100)*(1-CHOOSE(ArtifactsInput!$N$40+1,5,6,7,8,9,10)/100)^(ArtifactsInput!$M$40-ArtifactsInput!$M$40)))/100)))*(1+(Inputs!$B$24+((C3644=TRUE)*(F3644-Calc!F30)))/100)*(1+Skills!R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3="SHOWDOWN",Inputs!$B$17+((C3637=TRUE)*(F3637-Calc!F23))+(((IF(AND(ArtifactsInput!$M$42,((Inputs!$B$9+((C3639=TRUE)*(F3639-Calc!F25))+B3654+(ArtifactsInput!$M$24-ArtifactsInput!$M$24)*CHOOSE(ArtifactsInput!$N$24+1,10,12,14,16,18,20)+IF(ArtifactsInput!$M$10,CHOOSE(ArtifactsInput!$N$10+1,15,18,21,24,27,30)*(IF(Inputs!$B$39="pvp",MIN(15,15)/15,IF(AND(Inputs!$B$39&lt;&gt;"pvp",Inputs!$B$44&gt;0),MIN(15,Inputs!$B$44)/(Inputs!$B$44),0))),0)))&gt;=100),MIN(100,((Inputs!$B$9+((C3639=TRUE)*(F3639-Calc!F25))+B3654+(ArtifactsInput!$M$24-ArtifactsInput!$M$24)*CHOOSE(ArtifactsInput!$N$24+1,10,12,14,16,18,20)+IF(ArtifactsInput!$M$10,CHOOSE(ArtifactsInput!$N$10+1,15,18,21,24,27,30)*(IF(Inputs!$B$39="pvp",MIN(15,15)/15,IF(AND(Inputs!$B$39&lt;&gt;"pvp",Inputs!$B$44&gt;0),MIN(15,Inputs!$B$44)/(Inputs!$B$44),0))),0)))-100),0))*CHOOSE(ArtifactsInput!$N$42+1,0.6,0.72,0.84,0.96,1.08,1.2))),Inputs!$B$18+((C3643=TRUE)*(F3643-Calc!F29))+(IF(AND(ArtifactsInput!$M$42,((Inputs!$B$9+((C3639=TRUE)*(F3639-Calc!F25))+B3654+(ArtifactsInput!$M$24-ArtifactsInput!$M$24)*CHOOSE(ArtifactsInput!$N$24+1,10,12,14,16,18,20)+IF(ArtifactsInput!$M$10,CHOOSE(ArtifactsInput!$N$10+1,15,18,21,24,27,30)*(IF(Inputs!$B$39="pvp",MIN(15,15)/15,IF(AND(Inputs!$B$39&lt;&gt;"pvp",Inputs!$B$44&gt;0),MIN(15,Inputs!$B$44)/(Inputs!$B$44),0))),0)))&gt;=100),CHOOSE(ArtifactsInput!$N$42+1,40,48,56,64,72,80),0))))/100)*(((1+(((C3635=TRUE)*F3635*IF(AND(Inputs!$B$39&lt;&gt;"pvp",Inputs!$B$44&gt;0),(((R3635-1)*(Skills!Y21*(1+Inputs!$B$34/100))+MIN((Skills!Y21*(1+Inputs!$B$34/100)),MAX(0,Inputs!$B$44-((R3635-1)*Skills!D21))))/Inputs!$B$44),IF(Inputs!$B$39="pvp",MIN((Skills!Y21*(1+Inputs!$B$34/100)),15)/15,(Skills!Y21*(1+Inputs!$B$34/100))/Skills!D21)))+((C3642=TRUE)*(F3642-Calc!F28))+((C3632=TRUE)*(F3632-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3629=TRUE)*F3629*IF(AND(Inputs!$B$39&lt;&gt;"pvp",Inputs!$B$44&gt;0),(((R3629-1)*(Skills!Y15*(1+Inputs!$B$34/100))+MIN((Skills!Y15*(1+Inputs!$B$34/100)),MAX(0,Inputs!$B$44-((R3629-1)*Skills!D15))))/Inputs!$B$44),IF(Inputs!$B$39="pvp",MIN((Skills!Y15*(1+Inputs!$B$34/100)),15)/15,(Skills!Y15*(1+Inputs!$B$34/100))/Skills!D15)))/100)*(1+((C3620=TRUE)*F3620*B3648)/100))*B3656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3617)</f>
        <v/>
      </c>
      <c r="L3617">
        <f>K3617*(MIN(Inputs!$B$22+((C3638=TRUE)*(F3638-Calc!F24)),(Inputs!$B$23+0+(IF(ArtifactsInput!$M$15,CHOOSE(ArtifactsInput!$N$15+1,25,30,35,40,45,50)/100*(Inputs!$B$11-Inputs!$B$11),0))))/100+(Inputs!$B$23+0+(IF(ArtifactsInput!$M$15,CHOOSE(ArtifactsInput!$N$15+1,25,30,35,40,45,50)/100*(Inputs!$B$11-Inputs!$B$11),0)))/100)/2</f>
        <v/>
      </c>
      <c r="M3617">
        <f>L3617*(1+(Inputs!$B$10+((C3640=TRUE)*(F3640-Calc!F26))+B3657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17">
        <f>L3617*(1-MIN((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3617*(MIN((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17">
        <f>(1-Summary!$B$11)*T3617+Summary!$B$11*V3617</f>
        <v/>
      </c>
      <c r="P3617">
        <f>IF(B3658=0,0,O3617/B3658)</f>
        <v/>
      </c>
      <c r="Q3617">
        <f>IFERROR(1/IF(Inputs!$B$39="pvp",15,MAX(0.1,Skills!D3-IF(Skills!E3=TRUE,5.0,0))),0)</f>
        <v/>
      </c>
      <c r="R3617">
        <f>IF(AND(Inputs!$B$39&lt;&gt;"pvp",Inputs!$B$44&gt;0),IF(MAX(0,Inputs!$B$44-B3659)&lt;=0,0,(INT(MAX(0,Inputs!$B$44-B3659)/IF(Inputs!$B$39="pvp",15,MAX(0.1,Skills!D3-IF(Skills!E3=TRUE,5.0,0))))+1)),0)</f>
        <v/>
      </c>
      <c r="S3617">
        <f>IFERROR(O3617/N3617,0)</f>
        <v/>
      </c>
      <c r="T3617">
        <f>IF(C3617,(H3617*N3617*IF(AND(Inputs!$B$39&lt;&gt;"pvp",Inputs!$B$44&gt;0),((Skills!G3*((R3617-1)*IF(Skills!H3&gt;0,Skills!I3/Skills!H3,1)+IF(Skills!H3&gt;0,MIN(Skills!I3,MAX(0,MAX(0,Inputs!$B$44-B3659)-((R3617-1)*IF(Inputs!$B$39="pvp",15,MAX(0.1,Skills!D3-IF(Skills!E3=TRUE,5.0,0))))))/Skills!H3,1)))/Inputs!$B$44),G3617*Q3617))*IF(Inputs!$B$39="pvp",1,1+(Inputs!$B$20+((C3641=TRUE)*(F3641-Calc!F27))+Skills!P3+B3655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Hunt"),CHOOSE(ArtifactsInput!$N$35+1,15,18,21,24,27,30)*(1-EXP(-(0.2*B3650)*5)),0)+IF(AND(ArtifactsInput!$M$22,Inputs!$B$4&lt;&gt;"Chapter Hunt"),CHOOSE(ArtifactsInput!$N$22+1,10,12,14,16,18,20)*((0*(((0.15*B3650*5))^0/1)+1*(((0.15*B3650*5))^1/1)+2*(((0.15*B3650*5))^2/2)+3*(((0.15*B3650*5))^3/6)+4*(((0.15*B3650*5))^4/24)+5*(((0.15*B3650*5))^5/120))/((((0.15*B3650*5))^0/1)+(((0.15*B3650*5))^1/1)+(((0.15*B3650*5))^2/2)+(((0.15*B3650*5))^3/6)+(((0.15*B3650*5))^4/24)+(((0.15*B3650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3617*(1-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3617*(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3617*(1-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3617*(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617">
        <f>INDEX(FactorTable!$B$2:$Y$301, MATCH(ROUND(MIN(300,MAX(1,U3616)),0), FactorTable!$A$2:$A$301,0), 24)</f>
        <v/>
      </c>
      <c r="V3617">
        <f>IF(C3617,(H3617*N3617*IF(AND(Inputs!$B$39&lt;&gt;"pvp",Inputs!$B$44&gt;0),((Skills!G3*((R3617-1)*IF(Skills!H3&gt;0,Skills!I3/Skills!H3,1)+IF(Skills!H3&gt;0,MIN(Skills!I3,MAX(0,MAX(0,Inputs!$B$44-B3659)-((R3617-1)*IF(Inputs!$B$39="pvp",15,MAX(0.1,Skills!D3-IF(Skills!E3=TRUE,5.0,0))))))/Skills!H3,1)))/Inputs!$B$44),G3617*Q3617))*IF(Inputs!$B$39="pvp",1,(1+(Inputs!$B$21+Skills!Q3+B3655+(IF(ArtifactsInput!$M$33,CHOOSE(ArtifactsInput!$N$33+1,30,36,42,48,54,60),0))+(IF(AND(ArtifactsInput!$M$35,Inputs!$B$4&lt;&gt;"Chapter Hunt"),CHOOSE(ArtifactsInput!$N$35+1,15,18,21,24,27,30)*(1-EXP(-(0.2*B3650)*5)),0)+IF(AND(ArtifactsInput!$M$22,Inputs!$B$4&lt;&gt;"Chapter Hunt"),CHOOSE(ArtifactsInput!$N$22+1,10,12,14,16,18,20)*((0*(((0.15*B3650*5))^0/1)+1*(((0.15*B3650*5))^1/1)+2*(((0.15*B3650*5))^2/2)+3*(((0.15*B3650*5))^3/6)+4*(((0.15*B3650*5))^4/24)+5*(((0.15*B3650*5))^5/120))/((((0.15*B3650*5))^0/1)+(((0.15*B3650*5))^1/1)+(((0.15*B3650*5))^2/2)+(((0.15*B3650*5))^3/6)+(((0.15*B3650*5))^4/24)+(((0.15*B3650*5))^5/120))),0)))/100)*(MIN(Skills!W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18">
      <c r="A3618">
        <f>Skills!A4</f>
        <v/>
      </c>
      <c r="B3618">
        <f>Skills!B4</f>
        <v/>
      </c>
      <c r="C3618">
        <f>Inputs!$B$3&gt;=40</f>
        <v/>
      </c>
      <c r="D3618">
        <f>IF(Skills!C4=1,60+Inputs!$B$25+Inputs!$B$29,IF(Skills!C4=2,90+Inputs!$B$26+Inputs!$B$29,IF(Skills!C4=3,120+Inputs!$B$27+Inputs!$B$29,MAX(0,(Inputs!$B$3-100)*3)+Inputs!$B$28+Inputs!$B$29)))</f>
        <v/>
      </c>
      <c r="E3618">
        <f>INDEX(FactorTable!$B$2:$Y$301, MATCH(ROUND(MIN(300,MAX(1,D3618)),0), FactorTable!$A$2:$A$301,0), Skills!M4+1)</f>
        <v/>
      </c>
      <c r="F3618">
        <f>IF(Skills!N4=TRUE,(Skills!L4/10)*(E3618/1000),Skills!L4/10)+Skills!O4</f>
        <v/>
      </c>
      <c r="G3618">
        <f>Calc!G4</f>
        <v/>
      </c>
      <c r="H3618">
        <f>Calc!H4</f>
        <v/>
      </c>
      <c r="I3618">
        <f>IF(Skills!AA4&lt;&gt;"",1+(Skills!AA4/10)*(U3617/1000)/100,1)</f>
        <v/>
      </c>
      <c r="J3618">
        <f>((Inputs!$B$6*(1+Inputs!$B$7/100))+(((Inputs!$B$12*(1+Inputs!$B$13/100))-(Inputs!$B$12*(1+Inputs!$B$13/100)))+0.25*(Inputs!$B$14-Inputs!$B$14))*(1+Inputs!$B$7/100))*(F3618/100)</f>
        <v/>
      </c>
      <c r="K3618">
        <f>J3618*(1+((Inputs!$B$12*(1+Inputs!$B$13/100))*0.01+Inputs!$B$14*0.0025)/100)*(1+Inputs!$B$15/100)*(1+Inputs!$B$16/100)*(5000/(6000+Inputs!$B$43*(1-(100*(1-(1-(Inputs!$B$19+0)/100)*(1-CHOOSE(ArtifactsInput!$N$40+1,5,6,7,8,9,10)/100)^(ArtifactsInput!$M$40-ArtifactsInput!$M$40)))/100)))*(1+(Inputs!$B$24+((C3644=TRUE)*(F3644-Calc!F30)))/100)*(1+Skills!R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SHOWDOWN",Inputs!$B$17+((C3637=TRUE)*(F3637-Calc!F23))+(((IF(AND(ArtifactsInput!$M$42,((Inputs!$B$9+((C3639=TRUE)*(F3639-Calc!F25))+B3654+(ArtifactsInput!$M$24-ArtifactsInput!$M$24)*CHOOSE(ArtifactsInput!$N$24+1,10,12,14,16,18,20)+IF(ArtifactsInput!$M$10,CHOOSE(ArtifactsInput!$N$10+1,15,18,21,24,27,30)*(IF(Inputs!$B$39="pvp",MIN(15,15)/15,IF(AND(Inputs!$B$39&lt;&gt;"pvp",Inputs!$B$44&gt;0),MIN(15,Inputs!$B$44)/(Inputs!$B$44),0))),0)))&gt;=100),MIN(100,((Inputs!$B$9+((C3639=TRUE)*(F3639-Calc!F25))+B3654+(ArtifactsInput!$M$24-ArtifactsInput!$M$24)*CHOOSE(ArtifactsInput!$N$24+1,10,12,14,16,18,20)+IF(ArtifactsInput!$M$10,CHOOSE(ArtifactsInput!$N$10+1,15,18,21,24,27,30)*(IF(Inputs!$B$39="pvp",MIN(15,15)/15,IF(AND(Inputs!$B$39&lt;&gt;"pvp",Inputs!$B$44&gt;0),MIN(15,Inputs!$B$44)/(Inputs!$B$44),0))),0)))-100),0))*CHOOSE(ArtifactsInput!$N$42+1,0.6,0.72,0.84,0.96,1.08,1.2))),Inputs!$B$18+((C3643=TRUE)*(F3643-Calc!F29))+(IF(AND(ArtifactsInput!$M$42,((Inputs!$B$9+((C3639=TRUE)*(F3639-Calc!F25))+B3654+(ArtifactsInput!$M$24-ArtifactsInput!$M$24)*CHOOSE(ArtifactsInput!$N$24+1,10,12,14,16,18,20)+IF(ArtifactsInput!$M$10,CHOOSE(ArtifactsInput!$N$10+1,15,18,21,24,27,30)*(IF(Inputs!$B$39="pvp",MIN(15,15)/15,IF(AND(Inputs!$B$39&lt;&gt;"pvp",Inputs!$B$44&gt;0),MIN(15,Inputs!$B$44)/(Inputs!$B$44),0))),0)))&gt;=100),CHOOSE(ArtifactsInput!$N$42+1,40,48,56,64,72,80),0))))/100)*(((1+(((C3635=TRUE)*F3635*IF(AND(Inputs!$B$39&lt;&gt;"pvp",Inputs!$B$44&gt;0),(((R3635-1)*(Skills!Y21*(1+Inputs!$B$34/100))+MIN((Skills!Y21*(1+Inputs!$B$34/100)),MAX(0,Inputs!$B$44-((R3635-1)*Skills!D21))))/Inputs!$B$44),IF(Inputs!$B$39="pvp",MIN((Skills!Y21*(1+Inputs!$B$34/100)),15)/15,(Skills!Y21*(1+Inputs!$B$34/100))/Skills!D21)))+((C3642=TRUE)*(F3642-Calc!F28))+((C3632=TRUE)*(F3632-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3629=TRUE)*F3629*IF(AND(Inputs!$B$39&lt;&gt;"pvp",Inputs!$B$44&gt;0),(((R3629-1)*(Skills!Y15*(1+Inputs!$B$34/100))+MIN((Skills!Y15*(1+Inputs!$B$34/100)),MAX(0,Inputs!$B$44-((R3629-1)*Skills!D15))))/Inputs!$B$44),IF(Inputs!$B$39="pvp",MIN((Skills!Y15*(1+Inputs!$B$34/100)),15)/15,(Skills!Y15*(1+Inputs!$B$34/100))/Skills!D15)))/100)*(1+((C3620=TRUE)*F3620*B3648)/100))*B3656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3618)</f>
        <v/>
      </c>
      <c r="L3618">
        <f>K3618*(MIN(Inputs!$B$22+((C3638=TRUE)*(F3638-Calc!F24)),(Inputs!$B$23+0+(IF(ArtifactsInput!$M$15,CHOOSE(ArtifactsInput!$N$15+1,25,30,35,40,45,50)/100*(Inputs!$B$11-Inputs!$B$11),0))))/100+(Inputs!$B$23+0+(IF(ArtifactsInput!$M$15,CHOOSE(ArtifactsInput!$N$15+1,25,30,35,40,45,50)/100*(Inputs!$B$11-Inputs!$B$11),0)))/100)/2</f>
        <v/>
      </c>
      <c r="M3618">
        <f>L3618*(1+(Inputs!$B$10+((C3640=TRUE)*(F3640-Calc!F26))+B3657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18">
        <f>L3618*(1-MIN((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3618*(MIN((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18">
        <f>(1-Summary!$B$11)*T3618+Summary!$B$11*V3618</f>
        <v/>
      </c>
      <c r="P3618">
        <f>IF(B3658=0,0,O3618/B3658)</f>
        <v/>
      </c>
      <c r="Q3618">
        <f>IFERROR(1/IF(Inputs!$B$39="pvp",15,MAX(0.1,Skills!D4-IF(Skills!E4=TRUE,5.0,0))),0)</f>
        <v/>
      </c>
      <c r="R3618">
        <f>IF(AND(Inputs!$B$39&lt;&gt;"pvp",Inputs!$B$44&gt;0),IF(MAX(0,Inputs!$B$44-B3659)&lt;=0,0,(INT(MAX(0,Inputs!$B$44-B3659)/IF(Inputs!$B$39="pvp",15,MAX(0.1,Skills!D4-IF(Skills!E4=TRUE,5.0,0))))+1)),0)</f>
        <v/>
      </c>
      <c r="S3618">
        <f>IFERROR(O3618/N3618,0)</f>
        <v/>
      </c>
      <c r="T3618">
        <f>IF(C3618,(H3618*N3618*IF(AND(Inputs!$B$39&lt;&gt;"pvp",Inputs!$B$44&gt;0),((Skills!G4*((R3618-1)*IF(Skills!H4&gt;0,Skills!I4/Skills!H4,1)+IF(Skills!H4&gt;0,MIN(Skills!I4,MAX(0,MAX(0,Inputs!$B$44-B3659)-((R3618-1)*IF(Inputs!$B$39="pvp",15,MAX(0.1,Skills!D4-IF(Skills!E4=TRUE,5.0,0))))))/Skills!H4,1)))/Inputs!$B$44),G3618*Q3618))*IF(Inputs!$B$39="pvp",1,1+(Inputs!$B$20+((C3641=TRUE)*(F3641-Calc!F27))+Skills!P4+B3655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Hunt"),CHOOSE(ArtifactsInput!$N$35+1,15,18,21,24,27,30)*(1-EXP(-(0.2*B3650)*5)),0)+IF(AND(ArtifactsInput!$M$22,Inputs!$B$4&lt;&gt;"Chapter Hunt"),CHOOSE(ArtifactsInput!$N$22+1,10,12,14,16,18,20)*((0*(((0.15*B3650*5))^0/1)+1*(((0.15*B3650*5))^1/1)+2*(((0.15*B3650*5))^2/2)+3*(((0.15*B3650*5))^3/6)+4*(((0.15*B3650*5))^4/24)+5*(((0.15*B3650*5))^5/120))/((((0.15*B3650*5))^0/1)+(((0.15*B3650*5))^1/1)+(((0.15*B3650*5))^2/2)+(((0.15*B3650*5))^3/6)+(((0.15*B3650*5))^4/24)+(((0.15*B3650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3618*(1-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3618*(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3618*(1-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3618*(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618">
        <f>MAX(0,(Inputs!$B$3-100)*3)+Inputs!$B$28+Inputs!$B$29</f>
        <v/>
      </c>
      <c r="V3618">
        <f>IF(C3618,(H3618*N3618*IF(AND(Inputs!$B$39&lt;&gt;"pvp",Inputs!$B$44&gt;0),((Skills!G4*((R3618-1)*IF(Skills!H4&gt;0,Skills!I4/Skills!H4,1)+IF(Skills!H4&gt;0,MIN(Skills!I4,MAX(0,MAX(0,Inputs!$B$44-B3659)-((R3618-1)*IF(Inputs!$B$39="pvp",15,MAX(0.1,Skills!D4-IF(Skills!E4=TRUE,5.0,0))))))/Skills!H4,1)))/Inputs!$B$44),G3618*Q3618))*IF(Inputs!$B$39="pvp",1,(1+(Inputs!$B$21+Skills!Q4+B3655+(IF(ArtifactsInput!$M$33,CHOOSE(ArtifactsInput!$N$33+1,30,36,42,48,54,60),0))+(IF(AND(ArtifactsInput!$M$35,Inputs!$B$4&lt;&gt;"Chapter Hunt"),CHOOSE(ArtifactsInput!$N$35+1,15,18,21,24,27,30)*(1-EXP(-(0.2*B3650)*5)),0)+IF(AND(ArtifactsInput!$M$22,Inputs!$B$4&lt;&gt;"Chapter Hunt"),CHOOSE(ArtifactsInput!$N$22+1,10,12,14,16,18,20)*((0*(((0.15*B3650*5))^0/1)+1*(((0.15*B3650*5))^1/1)+2*(((0.15*B3650*5))^2/2)+3*(((0.15*B3650*5))^3/6)+4*(((0.15*B3650*5))^4/24)+5*(((0.15*B3650*5))^5/120))/((((0.15*B3650*5))^0/1)+(((0.15*B3650*5))^1/1)+(((0.15*B3650*5))^2/2)+(((0.15*B3650*5))^3/6)+(((0.15*B3650*5))^4/24)+(((0.15*B3650*5))^5/120))),0)))/100)*(MIN(Skills!W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19">
      <c r="A3619">
        <f>Skills!A5</f>
        <v/>
      </c>
      <c r="B3619">
        <f>Skills!B5</f>
        <v/>
      </c>
      <c r="C3619">
        <f>Inputs!$B$3&gt;=63</f>
        <v/>
      </c>
      <c r="D3619">
        <f>IF(Skills!C5=1,60+Inputs!$B$25+Inputs!$B$29,IF(Skills!C5=2,90+Inputs!$B$26+Inputs!$B$29,IF(Skills!C5=3,120+Inputs!$B$27+Inputs!$B$29,MAX(0,(Inputs!$B$3-100)*3)+Inputs!$B$28+Inputs!$B$29)))</f>
        <v/>
      </c>
      <c r="E3619">
        <f>INDEX(FactorTable!$B$2:$Y$301, MATCH(ROUND(MIN(300,MAX(1,D3619)),0), FactorTable!$A$2:$A$301,0), Skills!M5+1)</f>
        <v/>
      </c>
      <c r="F3619">
        <f>IF(Skills!N5=TRUE,(Skills!L5/10)*(E3619/1000),Skills!L5/10)+Skills!O5</f>
        <v/>
      </c>
      <c r="G3619">
        <f>Calc!G5</f>
        <v/>
      </c>
      <c r="H3619">
        <f>Calc!H5</f>
        <v/>
      </c>
      <c r="I3619">
        <f>IF(Skills!AA5&lt;&gt;"",1+(Skills!AA5/10)*(U3617/1000)/100,1)</f>
        <v/>
      </c>
      <c r="J3619">
        <f>((Inputs!$B$6*(1+Inputs!$B$7/100))+(((Inputs!$B$12*(1+Inputs!$B$13/100))-(Inputs!$B$12*(1+Inputs!$B$13/100)))+0.25*(Inputs!$B$14-Inputs!$B$14))*(1+Inputs!$B$7/100))*(F3619/100)</f>
        <v/>
      </c>
      <c r="K3619">
        <f>J3619*(1+((Inputs!$B$12*(1+Inputs!$B$13/100))*0.01+Inputs!$B$14*0.0025)/100)*(1+Inputs!$B$15/100)*(1+Inputs!$B$16/100)*(5000/(6000+Inputs!$B$43*(1-(100*(1-(1-(Inputs!$B$19+0)/100)*(1-CHOOSE(ArtifactsInput!$N$40+1,5,6,7,8,9,10)/100)^(ArtifactsInput!$M$40-ArtifactsInput!$M$40)))/100)))*(1+(Inputs!$B$24+((C3644=TRUE)*(F3644-Calc!F30)))/100)*(1+Skills!R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5="SHOWDOWN",Inputs!$B$17+((C3637=TRUE)*(F3637-Calc!F23))+(((IF(AND(ArtifactsInput!$M$42,((Inputs!$B$9+((C3639=TRUE)*(F3639-Calc!F25))+B3654+(ArtifactsInput!$M$24-ArtifactsInput!$M$24)*CHOOSE(ArtifactsInput!$N$24+1,10,12,14,16,18,20)+IF(ArtifactsInput!$M$10,CHOOSE(ArtifactsInput!$N$10+1,15,18,21,24,27,30)*(IF(Inputs!$B$39="pvp",MIN(15,15)/15,IF(AND(Inputs!$B$39&lt;&gt;"pvp",Inputs!$B$44&gt;0),MIN(15,Inputs!$B$44)/(Inputs!$B$44),0))),0)))&gt;=100),MIN(100,((Inputs!$B$9+((C3639=TRUE)*(F3639-Calc!F25))+B3654+(ArtifactsInput!$M$24-ArtifactsInput!$M$24)*CHOOSE(ArtifactsInput!$N$24+1,10,12,14,16,18,20)+IF(ArtifactsInput!$M$10,CHOOSE(ArtifactsInput!$N$10+1,15,18,21,24,27,30)*(IF(Inputs!$B$39="pvp",MIN(15,15)/15,IF(AND(Inputs!$B$39&lt;&gt;"pvp",Inputs!$B$44&gt;0),MIN(15,Inputs!$B$44)/(Inputs!$B$44),0))),0)))-100),0))*CHOOSE(ArtifactsInput!$N$42+1,0.6,0.72,0.84,0.96,1.08,1.2))),Inputs!$B$18+((C3643=TRUE)*(F3643-Calc!F29))+(IF(AND(ArtifactsInput!$M$42,((Inputs!$B$9+((C3639=TRUE)*(F3639-Calc!F25))+B3654+(ArtifactsInput!$M$24-ArtifactsInput!$M$24)*CHOOSE(ArtifactsInput!$N$24+1,10,12,14,16,18,20)+IF(ArtifactsInput!$M$10,CHOOSE(ArtifactsInput!$N$10+1,15,18,21,24,27,30)*(IF(Inputs!$B$39="pvp",MIN(15,15)/15,IF(AND(Inputs!$B$39&lt;&gt;"pvp",Inputs!$B$44&gt;0),MIN(15,Inputs!$B$44)/(Inputs!$B$44),0))),0)))&gt;=100),CHOOSE(ArtifactsInput!$N$42+1,40,48,56,64,72,80),0))))/100)*(((1+(((C3635=TRUE)*F3635*IF(AND(Inputs!$B$39&lt;&gt;"pvp",Inputs!$B$44&gt;0),(((R3635-1)*(Skills!Y21*(1+Inputs!$B$34/100))+MIN((Skills!Y21*(1+Inputs!$B$34/100)),MAX(0,Inputs!$B$44-((R3635-1)*Skills!D21))))/Inputs!$B$44),IF(Inputs!$B$39="pvp",MIN((Skills!Y21*(1+Inputs!$B$34/100)),15)/15,(Skills!Y21*(1+Inputs!$B$34/100))/Skills!D21)))+((C3642=TRUE)*(F3642-Calc!F28))+((C3632=TRUE)*(F3632-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3629=TRUE)*F3629*IF(AND(Inputs!$B$39&lt;&gt;"pvp",Inputs!$B$44&gt;0),(((R3629-1)*(Skills!Y15*(1+Inputs!$B$34/100))+MIN((Skills!Y15*(1+Inputs!$B$34/100)),MAX(0,Inputs!$B$44-((R3629-1)*Skills!D15))))/Inputs!$B$44),IF(Inputs!$B$39="pvp",MIN((Skills!Y15*(1+Inputs!$B$34/100)),15)/15,(Skills!Y15*(1+Inputs!$B$34/100))/Skills!D15)))/100)*(1+((C3620=TRUE)*F3620*B3648)/100))*B3656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3619)</f>
        <v/>
      </c>
      <c r="L3619">
        <f>K3619*(MIN(Inputs!$B$22+((C3638=TRUE)*(F3638-Calc!F24)),(Inputs!$B$23+0+(IF(ArtifactsInput!$M$15,CHOOSE(ArtifactsInput!$N$15+1,25,30,35,40,45,50)/100*(Inputs!$B$11-Inputs!$B$11),0))))/100+(Inputs!$B$23+0+(IF(ArtifactsInput!$M$15,CHOOSE(ArtifactsInput!$N$15+1,25,30,35,40,45,50)/100*(Inputs!$B$11-Inputs!$B$11),0)))/100)/2</f>
        <v/>
      </c>
      <c r="M3619">
        <f>L3619*(1+(Inputs!$B$10+((C3640=TRUE)*(F3640-Calc!F26))+B3657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19">
        <f>L3619*(1-MIN((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3619*(MIN((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19">
        <f>(1-Summary!$B$11)*T3619+Summary!$B$11*V3619</f>
        <v/>
      </c>
      <c r="P3619">
        <f>IF(B3658=0,0,O3619/B3658)</f>
        <v/>
      </c>
      <c r="Q3619">
        <f>IFERROR(1/IF(Inputs!$B$39="pvp",15,MAX(0.1,Skills!D5-IF(Skills!E5=TRUE,5.0,0))),0)</f>
        <v/>
      </c>
      <c r="R3619">
        <f>IF(AND(Inputs!$B$39&lt;&gt;"pvp",Inputs!$B$44&gt;0),IF(MAX(0,Inputs!$B$44-B3659)&lt;=0,0,(INT(MAX(0,Inputs!$B$44-B3659)/IF(Inputs!$B$39="pvp",15,MAX(0.1,Skills!D5-IF(Skills!E5=TRUE,5.0,0))))+1)),0)</f>
        <v/>
      </c>
      <c r="S3619">
        <f>IFERROR(O3619/N3619,0)</f>
        <v/>
      </c>
      <c r="T3619">
        <f>IF(C3619,(H3619*N3619*IF(AND(Inputs!$B$39&lt;&gt;"pvp",Inputs!$B$44&gt;0),((Skills!G5*((R3619-1)*IF(Skills!H5&gt;0,Skills!I5/Skills!H5,1)+IF(Skills!H5&gt;0,MIN(Skills!I5,MAX(0,MAX(0,Inputs!$B$44-B3659)-((R3619-1)*IF(Inputs!$B$39="pvp",15,MAX(0.1,Skills!D5-IF(Skills!E5=TRUE,5.0,0))))))/Skills!H5,1)))/Inputs!$B$44),G3619*Q3619))*IF(Inputs!$B$39="pvp",1,1+(Inputs!$B$20+((C3641=TRUE)*(F3641-Calc!F27))+Skills!P5+B3655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Hunt"),CHOOSE(ArtifactsInput!$N$35+1,15,18,21,24,27,30)*(1-EXP(-(0.2*B3650)*5)),0)+IF(AND(ArtifactsInput!$M$22,Inputs!$B$4&lt;&gt;"Chapter Hunt"),CHOOSE(ArtifactsInput!$N$22+1,10,12,14,16,18,20)*((0*(((0.15*B3650*5))^0/1)+1*(((0.15*B3650*5))^1/1)+2*(((0.15*B3650*5))^2/2)+3*(((0.15*B3650*5))^3/6)+4*(((0.15*B3650*5))^4/24)+5*(((0.15*B3650*5))^5/120))/((((0.15*B3650*5))^0/1)+(((0.15*B3650*5))^1/1)+(((0.15*B3650*5))^2/2)+(((0.15*B3650*5))^3/6)+(((0.15*B3650*5))^4/24)+(((0.15*B3650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3619*(1-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3619*(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3619*(1-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3619*(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619">
        <f>INDEX(FactorTable!$B$2:$Y$301, MATCH(ROUND(MIN(300,MAX(1,U3618)),0), FactorTable!$A$2:$A$301,0), 22)</f>
        <v/>
      </c>
      <c r="V3619">
        <f>IF(C3619,(H3619*N3619*IF(AND(Inputs!$B$39&lt;&gt;"pvp",Inputs!$B$44&gt;0),((Skills!G5*((R3619-1)*IF(Skills!H5&gt;0,Skills!I5/Skills!H5,1)+IF(Skills!H5&gt;0,MIN(Skills!I5,MAX(0,MAX(0,Inputs!$B$44-B3659)-((R3619-1)*IF(Inputs!$B$39="pvp",15,MAX(0.1,Skills!D5-IF(Skills!E5=TRUE,5.0,0))))))/Skills!H5,1)))/Inputs!$B$44),G3619*Q3619))*IF(Inputs!$B$39="pvp",1,(1+(Inputs!$B$21+Skills!Q5+B3655+(IF(ArtifactsInput!$M$33,CHOOSE(ArtifactsInput!$N$33+1,30,36,42,48,54,60),0))+(IF(AND(ArtifactsInput!$M$35,Inputs!$B$4&lt;&gt;"Chapter Hunt"),CHOOSE(ArtifactsInput!$N$35+1,15,18,21,24,27,30)*(1-EXP(-(0.2*B3650)*5)),0)+IF(AND(ArtifactsInput!$M$22,Inputs!$B$4&lt;&gt;"Chapter Hunt"),CHOOSE(ArtifactsInput!$N$22+1,10,12,14,16,18,20)*((0*(((0.15*B3650*5))^0/1)+1*(((0.15*B3650*5))^1/1)+2*(((0.15*B3650*5))^2/2)+3*(((0.15*B3650*5))^3/6)+4*(((0.15*B3650*5))^4/24)+5*(((0.15*B3650*5))^5/120))/((((0.15*B3650*5))^0/1)+(((0.15*B3650*5))^1/1)+(((0.15*B3650*5))^2/2)+(((0.15*B3650*5))^3/6)+(((0.15*B3650*5))^4/24)+(((0.15*B3650*5))^5/120))),0)))/100)*(MIN(Skills!W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20">
      <c r="A3620">
        <f>Skills!A6</f>
        <v/>
      </c>
      <c r="B3620">
        <f>Skills!B6</f>
        <v/>
      </c>
      <c r="C3620">
        <f>Inputs!$B$3&gt;=66</f>
        <v/>
      </c>
      <c r="D3620">
        <f>IF(Skills!C6=1,60+Inputs!$B$25+Inputs!$B$29,IF(Skills!C6=2,90+Inputs!$B$26+Inputs!$B$29,IF(Skills!C6=3,120+Inputs!$B$27+Inputs!$B$29,MAX(0,(Inputs!$B$3-100)*3)+Inputs!$B$28+Inputs!$B$29)))</f>
        <v/>
      </c>
      <c r="E3620">
        <f>INDEX(FactorTable!$B$2:$Y$301, MATCH(ROUND(MIN(300,MAX(1,D3620)),0), FactorTable!$A$2:$A$301,0), Skills!M6+1)</f>
        <v/>
      </c>
      <c r="F3620">
        <f>IF(Skills!N6=TRUE,(Skills!L6/10)*(E3620/1000),Skills!L6/10)+Skills!O6</f>
        <v/>
      </c>
      <c r="G3620">
        <f>Calc!G6</f>
        <v/>
      </c>
      <c r="H3620">
        <f>Calc!H6</f>
        <v/>
      </c>
      <c r="I3620">
        <f>IF(Skills!AA6&lt;&gt;"",1+(Skills!AA6/10)*(U3617/1000)/100,1)</f>
        <v/>
      </c>
      <c r="J3620" t="inlineStr"/>
      <c r="K3620" t="inlineStr"/>
      <c r="L3620" t="inlineStr"/>
      <c r="M3620" t="inlineStr"/>
      <c r="N3620" t="inlineStr"/>
      <c r="O3620">
        <f>(1-Summary!$B$11)*T3620+Summary!$B$11*V3620</f>
        <v/>
      </c>
      <c r="P3620">
        <f>IF(B3658=0,0,O3620/B3658)</f>
        <v/>
      </c>
      <c r="Q3620" t="n">
        <v>0</v>
      </c>
      <c r="R3620" t="n">
        <v>0</v>
      </c>
      <c r="S3620">
        <f>IFERROR(O3620/N3620,0)</f>
        <v/>
      </c>
      <c r="T3620" t="n">
        <v>0</v>
      </c>
      <c r="U3620">
        <f>290*U3619/1000</f>
        <v/>
      </c>
      <c r="V3620" t="n">
        <v>0</v>
      </c>
    </row>
    <row r="3621">
      <c r="A3621">
        <f>Skills!A7</f>
        <v/>
      </c>
      <c r="B3621">
        <f>Skills!B7</f>
        <v/>
      </c>
      <c r="C3621">
        <f>Inputs!$B$3&gt;=66</f>
        <v/>
      </c>
      <c r="D3621">
        <f>IF(Skills!C7=1,60+Inputs!$B$25+Inputs!$B$29,IF(Skills!C7=2,90+Inputs!$B$26+Inputs!$B$29,IF(Skills!C7=3,120+Inputs!$B$27+Inputs!$B$29,MAX(0,(Inputs!$B$3-100)*3)+Inputs!$B$28+Inputs!$B$29)))</f>
        <v/>
      </c>
      <c r="E3621">
        <f>INDEX(FactorTable!$B$2:$Y$301, MATCH(ROUND(MIN(300,MAX(1,D3621)),0), FactorTable!$A$2:$A$301,0), Skills!M7+1)</f>
        <v/>
      </c>
      <c r="F3621">
        <f>IF(Skills!N7=TRUE,(Skills!L7/10)*(E3621/1000),Skills!L7/10)+Skills!O7</f>
        <v/>
      </c>
      <c r="G3621">
        <f>Calc!G7</f>
        <v/>
      </c>
      <c r="H3621">
        <f>Calc!H7</f>
        <v/>
      </c>
      <c r="I3621">
        <f>IF(Skills!AA7&lt;&gt;"",1+(Skills!AA7/10)*(U3617/1000)/100,1)</f>
        <v/>
      </c>
      <c r="J3621" t="inlineStr"/>
      <c r="K3621" t="inlineStr"/>
      <c r="L3621" t="inlineStr"/>
      <c r="M3621" t="inlineStr"/>
      <c r="N3621" t="inlineStr"/>
      <c r="O3621">
        <f>(1-Summary!$B$11)*T3621+Summary!$B$11*V3621</f>
        <v/>
      </c>
      <c r="P3621">
        <f>IF(B3658=0,0,O3621/B3658)</f>
        <v/>
      </c>
      <c r="Q3621" t="n">
        <v>0</v>
      </c>
      <c r="R3621" t="n">
        <v>0</v>
      </c>
      <c r="S3621">
        <f>IFERROR(O3621/N3621,0)</f>
        <v/>
      </c>
      <c r="T3621" t="n">
        <v>0</v>
      </c>
      <c r="V3621" t="n">
        <v>0</v>
      </c>
    </row>
    <row r="3622">
      <c r="A3622">
        <f>Skills!A8</f>
        <v/>
      </c>
      <c r="B3622">
        <f>Skills!B8</f>
        <v/>
      </c>
      <c r="C3622">
        <f>Inputs!$B$3&gt;=69</f>
        <v/>
      </c>
      <c r="D3622">
        <f>IF(Skills!C8=1,60+Inputs!$B$25+Inputs!$B$29,IF(Skills!C8=2,90+Inputs!$B$26+Inputs!$B$29,IF(Skills!C8=3,120+Inputs!$B$27+Inputs!$B$29,MAX(0,(Inputs!$B$3-100)*3)+Inputs!$B$28+Inputs!$B$29)))</f>
        <v/>
      </c>
      <c r="E3622">
        <f>INDEX(FactorTable!$B$2:$Y$301, MATCH(ROUND(MIN(300,MAX(1,D3622)),0), FactorTable!$A$2:$A$301,0), Skills!M8+1)</f>
        <v/>
      </c>
      <c r="F3622">
        <f>IF(Skills!N8=TRUE,(Skills!L8/10)*(E3622/1000),Skills!L8/10)+Skills!O8</f>
        <v/>
      </c>
      <c r="G3622">
        <f>Calc!G8</f>
        <v/>
      </c>
      <c r="H3622">
        <f>Calc!H8</f>
        <v/>
      </c>
      <c r="I3622">
        <f>IF(Skills!AA8&lt;&gt;"",1+(Skills!AA8/10)*(U3617/1000)/100,1)</f>
        <v/>
      </c>
      <c r="J3622">
        <f>((Inputs!$B$6*(1+Inputs!$B$7/100))+(((Inputs!$B$12*(1+Inputs!$B$13/100))-(Inputs!$B$12*(1+Inputs!$B$13/100)))+0.25*(Inputs!$B$14-Inputs!$B$14))*(1+Inputs!$B$7/100))*(F3622/100)</f>
        <v/>
      </c>
      <c r="K3622">
        <f>J3622*(1+((Inputs!$B$12*(1+Inputs!$B$13/100))*0.01+Inputs!$B$14*0.0025)/100)*(1+Inputs!$B$15/100)*(1+Inputs!$B$16/100)*(5000/(6000+Inputs!$B$43*(1-(100*(1-(1-(Inputs!$B$19+0)/100)*(1-CHOOSE(ArtifactsInput!$N$40+1,5,6,7,8,9,10)/100)^(ArtifactsInput!$M$40-ArtifactsInput!$M$40)))/100)))*(1+(Inputs!$B$24+((C3644=TRUE)*(F3644-Calc!F30)))/100)*(1+Skills!R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SHOWDOWN",Inputs!$B$17+((C3637=TRUE)*(F3637-Calc!F23))+(((IF(AND(ArtifactsInput!$M$42,((Inputs!$B$9+((C3639=TRUE)*(F3639-Calc!F25))+B3654+(ArtifactsInput!$M$24-ArtifactsInput!$M$24)*CHOOSE(ArtifactsInput!$N$24+1,10,12,14,16,18,20)+IF(ArtifactsInput!$M$10,CHOOSE(ArtifactsInput!$N$10+1,15,18,21,24,27,30)*(IF(Inputs!$B$39="pvp",MIN(15,15)/15,IF(AND(Inputs!$B$39&lt;&gt;"pvp",Inputs!$B$44&gt;0),MIN(15,Inputs!$B$44)/(Inputs!$B$44),0))),0)))&gt;=100),MIN(100,((Inputs!$B$9+((C3639=TRUE)*(F3639-Calc!F25))+B3654+(ArtifactsInput!$M$24-ArtifactsInput!$M$24)*CHOOSE(ArtifactsInput!$N$24+1,10,12,14,16,18,20)+IF(ArtifactsInput!$M$10,CHOOSE(ArtifactsInput!$N$10+1,15,18,21,24,27,30)*(IF(Inputs!$B$39="pvp",MIN(15,15)/15,IF(AND(Inputs!$B$39&lt;&gt;"pvp",Inputs!$B$44&gt;0),MIN(15,Inputs!$B$44)/(Inputs!$B$44),0))),0)))-100),0))*CHOOSE(ArtifactsInput!$N$42+1,0.6,0.72,0.84,0.96,1.08,1.2))),Inputs!$B$18+((C3643=TRUE)*(F3643-Calc!F29))+(IF(AND(ArtifactsInput!$M$42,((Inputs!$B$9+((C3639=TRUE)*(F3639-Calc!F25))+B3654+(ArtifactsInput!$M$24-ArtifactsInput!$M$24)*CHOOSE(ArtifactsInput!$N$24+1,10,12,14,16,18,20)+IF(ArtifactsInput!$M$10,CHOOSE(ArtifactsInput!$N$10+1,15,18,21,24,27,30)*(IF(Inputs!$B$39="pvp",MIN(15,15)/15,IF(AND(Inputs!$B$39&lt;&gt;"pvp",Inputs!$B$44&gt;0),MIN(15,Inputs!$B$44)/(Inputs!$B$44),0))),0)))&gt;=100),CHOOSE(ArtifactsInput!$N$42+1,40,48,56,64,72,80),0))))/100)*(((1+(((C3635=TRUE)*F3635*IF(AND(Inputs!$B$39&lt;&gt;"pvp",Inputs!$B$44&gt;0),(((R3635-1)*(Skills!Y21*(1+Inputs!$B$34/100))+MIN((Skills!Y21*(1+Inputs!$B$34/100)),MAX(0,Inputs!$B$44-((R3635-1)*Skills!D21))))/Inputs!$B$44),IF(Inputs!$B$39="pvp",MIN((Skills!Y21*(1+Inputs!$B$34/100)),15)/15,(Skills!Y21*(1+Inputs!$B$34/100))/Skills!D21)))+((C3642=TRUE)*(F3642-Calc!F28))+((C3632=TRUE)*(F3632-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3629=TRUE)*F3629*IF(AND(Inputs!$B$39&lt;&gt;"pvp",Inputs!$B$44&gt;0),(((R3629-1)*(Skills!Y15*(1+Inputs!$B$34/100))+MIN((Skills!Y15*(1+Inputs!$B$34/100)),MAX(0,Inputs!$B$44-((R3629-1)*Skills!D15))))/Inputs!$B$44),IF(Inputs!$B$39="pvp",MIN((Skills!Y15*(1+Inputs!$B$34/100)),15)/15,(Skills!Y15*(1+Inputs!$B$34/100))/Skills!D15)))/100)*(1+((C3620=TRUE)*F3620*B3648)/100))*B3656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3622)</f>
        <v/>
      </c>
      <c r="L3622">
        <f>K3622*(MIN(Inputs!$B$22+((C3638=TRUE)*(F3638-Calc!F24)),(Inputs!$B$23+0+(IF(ArtifactsInput!$M$15,CHOOSE(ArtifactsInput!$N$15+1,25,30,35,40,45,50)/100*(Inputs!$B$11-Inputs!$B$11),0))))/100+(Inputs!$B$23+0+(IF(ArtifactsInput!$M$15,CHOOSE(ArtifactsInput!$N$15+1,25,30,35,40,45,50)/100*(Inputs!$B$11-Inputs!$B$11),0)))/100)/2</f>
        <v/>
      </c>
      <c r="M3622">
        <f>L3622*(1+(Inputs!$B$10+((C3640=TRUE)*(F3640-Calc!F26))+B3657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22">
        <f>L3622*(1-MIN((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3622*(MIN((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22">
        <f>(1-Summary!$B$11)*T3622+Summary!$B$11*V3622</f>
        <v/>
      </c>
      <c r="P3622">
        <f>IF(B3658=0,0,O3622/B3658)</f>
        <v/>
      </c>
      <c r="Q3622">
        <f>IFERROR(1/IF(Inputs!$B$39="pvp",15,MAX(0.1,Skills!D8-IF(Skills!E8=TRUE,5.0,0))),0)</f>
        <v/>
      </c>
      <c r="R3622">
        <f>IF(AND(Inputs!$B$39&lt;&gt;"pvp",Inputs!$B$44&gt;0),IF(MAX(0,Inputs!$B$44-B3659)&lt;=0,0,(INT(MAX(0,Inputs!$B$44-B3659)/IF(Inputs!$B$39="pvp",15,MAX(0.1,Skills!D8-IF(Skills!E8=TRUE,5.0,0))))+1)),0)</f>
        <v/>
      </c>
      <c r="S3622">
        <f>IFERROR(O3622/N3622,0)</f>
        <v/>
      </c>
      <c r="T3622">
        <f>IF(C3622,(H3622*N3622*IF(AND(Inputs!$B$39&lt;&gt;"pvp",Inputs!$B$44&gt;0),((Skills!G8*((R3622-1)*IF(Skills!H8&gt;0,Skills!I8/Skills!H8,1)+IF(Skills!H8&gt;0,MIN(Skills!I8,MAX(0,MAX(0,Inputs!$B$44-B3659)-((R3622-1)*IF(Inputs!$B$39="pvp",15,MAX(0.1,Skills!D8-IF(Skills!E8=TRUE,5.0,0))))))/Skills!H8,1)))/Inputs!$B$44),G3622*Q3622))*IF(Inputs!$B$39="pvp",1,1+(Inputs!$B$20+((C3641=TRUE)*(F3641-Calc!F27))+Skills!P8+B3655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Hunt"),CHOOSE(ArtifactsInput!$N$35+1,15,18,21,24,27,30)*(1-EXP(-(0.2*B3650)*5)),0)+IF(AND(ArtifactsInput!$M$22,Inputs!$B$4&lt;&gt;"Chapter Hunt"),CHOOSE(ArtifactsInput!$N$22+1,10,12,14,16,18,20)*((0*(((0.15*B3650*5))^0/1)+1*(((0.15*B3650*5))^1/1)+2*(((0.15*B3650*5))^2/2)+3*(((0.15*B3650*5))^3/6)+4*(((0.15*B3650*5))^4/24)+5*(((0.15*B3650*5))^5/120))/((((0.15*B3650*5))^0/1)+(((0.15*B3650*5))^1/1)+(((0.15*B3650*5))^2/2)+(((0.15*B3650*5))^3/6)+(((0.15*B3650*5))^4/24)+(((0.15*B3650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3622*(1-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3622*(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3622*(1-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3622*(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22">
        <f>IF(C3622,(H3622*N3622*IF(AND(Inputs!$B$39&lt;&gt;"pvp",Inputs!$B$44&gt;0),((Skills!G8*((R3622-1)*IF(Skills!H8&gt;0,Skills!I8/Skills!H8,1)+IF(Skills!H8&gt;0,MIN(Skills!I8,MAX(0,MAX(0,Inputs!$B$44-B3659)-((R3622-1)*IF(Inputs!$B$39="pvp",15,MAX(0.1,Skills!D8-IF(Skills!E8=TRUE,5.0,0))))))/Skills!H8,1)))/Inputs!$B$44),G3622*Q3622))*IF(Inputs!$B$39="pvp",1,(1+(Inputs!$B$21+Skills!Q8+B3655+(IF(ArtifactsInput!$M$33,CHOOSE(ArtifactsInput!$N$33+1,30,36,42,48,54,60),0))+(IF(AND(ArtifactsInput!$M$35,Inputs!$B$4&lt;&gt;"Chapter Hunt"),CHOOSE(ArtifactsInput!$N$35+1,15,18,21,24,27,30)*(1-EXP(-(0.2*B3650)*5)),0)+IF(AND(ArtifactsInput!$M$22,Inputs!$B$4&lt;&gt;"Chapter Hunt"),CHOOSE(ArtifactsInput!$N$22+1,10,12,14,16,18,20)*((0*(((0.15*B3650*5))^0/1)+1*(((0.15*B3650*5))^1/1)+2*(((0.15*B3650*5))^2/2)+3*(((0.15*B3650*5))^3/6)+4*(((0.15*B3650*5))^4/24)+5*(((0.15*B3650*5))^5/120))/((((0.15*B3650*5))^0/1)+(((0.15*B3650*5))^1/1)+(((0.15*B3650*5))^2/2)+(((0.15*B3650*5))^3/6)+(((0.15*B3650*5))^4/24)+(((0.15*B3650*5))^5/120))),0)))/100)*(MIN(Skills!W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23">
      <c r="A3623">
        <f>Skills!A9</f>
        <v/>
      </c>
      <c r="B3623">
        <f>Skills!B9</f>
        <v/>
      </c>
      <c r="C3623">
        <f>Inputs!$B$3&gt;=72</f>
        <v/>
      </c>
      <c r="D3623">
        <f>IF(Skills!C9=1,60+Inputs!$B$25+Inputs!$B$29,IF(Skills!C9=2,90+Inputs!$B$26+Inputs!$B$29,IF(Skills!C9=3,120+Inputs!$B$27+Inputs!$B$29,MAX(0,(Inputs!$B$3-100)*3)+Inputs!$B$28+Inputs!$B$29)))</f>
        <v/>
      </c>
      <c r="E3623">
        <f>INDEX(FactorTable!$B$2:$Y$301, MATCH(ROUND(MIN(300,MAX(1,D3623)),0), FactorTable!$A$2:$A$301,0), Skills!M9+1)</f>
        <v/>
      </c>
      <c r="F3623">
        <f>IF(Skills!N9=TRUE,(Skills!L9/10)*(E3623/1000),Skills!L9/10)+Skills!O9</f>
        <v/>
      </c>
      <c r="G3623">
        <f>Calc!G9</f>
        <v/>
      </c>
      <c r="H3623">
        <f>Calc!H9</f>
        <v/>
      </c>
      <c r="I3623">
        <f>IF(Skills!AA9&lt;&gt;"",1+(Skills!AA9/10)*(U3617/1000)/100,1)</f>
        <v/>
      </c>
      <c r="J3623">
        <f>((Inputs!$B$6*(1+Inputs!$B$7/100))+(((Inputs!$B$12*(1+Inputs!$B$13/100))-(Inputs!$B$12*(1+Inputs!$B$13/100)))+0.25*(Inputs!$B$14-Inputs!$B$14))*(1+Inputs!$B$7/100))*(F3623/100)</f>
        <v/>
      </c>
      <c r="K3623">
        <f>J3623*(1+((Inputs!$B$12*(1+Inputs!$B$13/100))*0.01+Inputs!$B$14*0.0025)/100)*(1+Inputs!$B$15/100)*(1+Inputs!$B$16/100)*(5000/(6000+Inputs!$B$43*(1-(100*(1-(1-(Inputs!$B$19+0)/100)*(1-CHOOSE(ArtifactsInput!$N$40+1,5,6,7,8,9,10)/100)^(ArtifactsInput!$M$40-ArtifactsInput!$M$40)))/100)))*(1+(Inputs!$B$24+((C3644=TRUE)*(F3644-Calc!F30)))/100)*(1+Skills!R9/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SHOWDOWN",Inputs!$B$17+((C3637=TRUE)*(F3637-Calc!F23))+(((IF(AND(ArtifactsInput!$M$42,((Inputs!$B$9+((C3639=TRUE)*(F3639-Calc!F25))+B3654+(ArtifactsInput!$M$24-ArtifactsInput!$M$24)*CHOOSE(ArtifactsInput!$N$24+1,10,12,14,16,18,20)+IF(ArtifactsInput!$M$10,CHOOSE(ArtifactsInput!$N$10+1,15,18,21,24,27,30)*(IF(Inputs!$B$39="pvp",MIN(15,15)/15,IF(AND(Inputs!$B$39&lt;&gt;"pvp",Inputs!$B$44&gt;0),MIN(15,Inputs!$B$44)/(Inputs!$B$44),0))),0)))&gt;=100),MIN(100,((Inputs!$B$9+((C3639=TRUE)*(F3639-Calc!F25))+B3654+(ArtifactsInput!$M$24-ArtifactsInput!$M$24)*CHOOSE(ArtifactsInput!$N$24+1,10,12,14,16,18,20)+IF(ArtifactsInput!$M$10,CHOOSE(ArtifactsInput!$N$10+1,15,18,21,24,27,30)*(IF(Inputs!$B$39="pvp",MIN(15,15)/15,IF(AND(Inputs!$B$39&lt;&gt;"pvp",Inputs!$B$44&gt;0),MIN(15,Inputs!$B$44)/(Inputs!$B$44),0))),0)))-100),0))*CHOOSE(ArtifactsInput!$N$42+1,0.6,0.72,0.84,0.96,1.08,1.2))),Inputs!$B$18+((C3643=TRUE)*(F3643-Calc!F29))+(IF(AND(ArtifactsInput!$M$42,((Inputs!$B$9+((C3639=TRUE)*(F3639-Calc!F25))+B3654+(ArtifactsInput!$M$24-ArtifactsInput!$M$24)*CHOOSE(ArtifactsInput!$N$24+1,10,12,14,16,18,20)+IF(ArtifactsInput!$M$10,CHOOSE(ArtifactsInput!$N$10+1,15,18,21,24,27,30)*(IF(Inputs!$B$39="pvp",MIN(15,15)/15,IF(AND(Inputs!$B$39&lt;&gt;"pvp",Inputs!$B$44&gt;0),MIN(15,Inputs!$B$44)/(Inputs!$B$44),0))),0)))&gt;=100),CHOOSE(ArtifactsInput!$N$42+1,40,48,56,64,72,80),0))))/100)*(((1+(((C3635=TRUE)*F3635*IF(AND(Inputs!$B$39&lt;&gt;"pvp",Inputs!$B$44&gt;0),(((R3635-1)*(Skills!Y21*(1+Inputs!$B$34/100))+MIN((Skills!Y21*(1+Inputs!$B$34/100)),MAX(0,Inputs!$B$44-((R3635-1)*Skills!D21))))/Inputs!$B$44),IF(Inputs!$B$39="pvp",MIN((Skills!Y21*(1+Inputs!$B$34/100)),15)/15,(Skills!Y21*(1+Inputs!$B$34/100))/Skills!D21)))+((C3642=TRUE)*(F3642-Calc!F28))+((C3632=TRUE)*(F3632-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3629=TRUE)*F3629*IF(AND(Inputs!$B$39&lt;&gt;"pvp",Inputs!$B$44&gt;0),(((R3629-1)*(Skills!Y15*(1+Inputs!$B$34/100))+MIN((Skills!Y15*(1+Inputs!$B$34/100)),MAX(0,Inputs!$B$44-((R3629-1)*Skills!D15))))/Inputs!$B$44),IF(Inputs!$B$39="pvp",MIN((Skills!Y15*(1+Inputs!$B$34/100)),15)/15,(Skills!Y15*(1+Inputs!$B$34/100))/Skills!D15)))/100)*(1+((C3620=TRUE)*F3620*B3648)/100))*B3656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3623)</f>
        <v/>
      </c>
      <c r="L3623">
        <f>K3623*(MIN(Inputs!$B$22+((C3638=TRUE)*(F3638-Calc!F24)),(Inputs!$B$23+0+(IF(ArtifactsInput!$M$15,CHOOSE(ArtifactsInput!$N$15+1,25,30,35,40,45,50)/100*(Inputs!$B$11-Inputs!$B$11),0))))/100+(Inputs!$B$23+0+(IF(ArtifactsInput!$M$15,CHOOSE(ArtifactsInput!$N$15+1,25,30,35,40,45,50)/100*(Inputs!$B$11-Inputs!$B$11),0)))/100)/2</f>
        <v/>
      </c>
      <c r="M3623">
        <f>L3623*(1+(Inputs!$B$10+((C3640=TRUE)*(F3640-Calc!F26))+B3657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23">
        <f>L3623*(1-MIN((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3623*(MIN((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23">
        <f>(1-Summary!$B$11)*T3623+Summary!$B$11*V3623</f>
        <v/>
      </c>
      <c r="P3623">
        <f>IF(B3658=0,0,O3623/B3658)</f>
        <v/>
      </c>
      <c r="Q3623">
        <f>IFERROR(1/IF(Inputs!$B$39="pvp",15,MAX(0.1,Skills!D9-IF(Skills!E9=TRUE,5.0,0))),0)</f>
        <v/>
      </c>
      <c r="R3623">
        <f>IF(AND(Inputs!$B$39&lt;&gt;"pvp",Inputs!$B$44&gt;0),IF(MAX(0,Inputs!$B$44-B3659)&lt;=0,0,(INT(MAX(0,Inputs!$B$44-B3659)/IF(Inputs!$B$39="pvp",15,MAX(0.1,Skills!D9-IF(Skills!E9=TRUE,5.0,0))))+1)),0)</f>
        <v/>
      </c>
      <c r="S3623">
        <f>IFERROR(O3623/N3623,0)</f>
        <v/>
      </c>
      <c r="T3623">
        <f>IF(C3623,(H3623*N3623*IF(AND(Inputs!$B$39&lt;&gt;"pvp",Inputs!$B$44&gt;0),((Skills!G9*((R3623-1)*IF(Skills!H9&gt;0,Skills!I9/Skills!H9,1)+IF(Skills!H9&gt;0,MIN(Skills!I9,MAX(0,MAX(0,Inputs!$B$44-B3659)-((R3623-1)*IF(Inputs!$B$39="pvp",15,MAX(0.1,Skills!D9-IF(Skills!E9=TRUE,5.0,0))))))/Skills!H9,1)))/Inputs!$B$44),G3623*Q3623))*IF(Inputs!$B$39="pvp",1,1+(Inputs!$B$20+((C3641=TRUE)*(F3641-Calc!F27))+Skills!P9+B3655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Hunt"),CHOOSE(ArtifactsInput!$N$35+1,15,18,21,24,27,30)*(1-EXP(-(0.2*B3650)*5)),0)+IF(AND(ArtifactsInput!$M$22,Inputs!$B$4&lt;&gt;"Chapter Hunt"),CHOOSE(ArtifactsInput!$N$22+1,10,12,14,16,18,20)*((0*(((0.15*B3650*5))^0/1)+1*(((0.15*B3650*5))^1/1)+2*(((0.15*B3650*5))^2/2)+3*(((0.15*B3650*5))^3/6)+4*(((0.15*B3650*5))^4/24)+5*(((0.15*B3650*5))^5/120))/((((0.15*B3650*5))^0/1)+(((0.15*B3650*5))^1/1)+(((0.15*B3650*5))^2/2)+(((0.15*B3650*5))^3/6)+(((0.15*B3650*5))^4/24)+(((0.15*B3650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3623*(1-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3623*(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3623*(1-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3623*(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23">
        <f>IF(C3623,(H3623*N3623*IF(AND(Inputs!$B$39&lt;&gt;"pvp",Inputs!$B$44&gt;0),((Skills!G9*((R3623-1)*IF(Skills!H9&gt;0,Skills!I9/Skills!H9,1)+IF(Skills!H9&gt;0,MIN(Skills!I9,MAX(0,MAX(0,Inputs!$B$44-B3659)-((R3623-1)*IF(Inputs!$B$39="pvp",15,MAX(0.1,Skills!D9-IF(Skills!E9=TRUE,5.0,0))))))/Skills!H9,1)))/Inputs!$B$44),G3623*Q3623))*IF(Inputs!$B$39="pvp",1,(1+(Inputs!$B$21+Skills!Q9+B3655+(IF(ArtifactsInput!$M$33,CHOOSE(ArtifactsInput!$N$33+1,30,36,42,48,54,60),0))+(IF(AND(ArtifactsInput!$M$35,Inputs!$B$4&lt;&gt;"Chapter Hunt"),CHOOSE(ArtifactsInput!$N$35+1,15,18,21,24,27,30)*(1-EXP(-(0.2*B3650)*5)),0)+IF(AND(ArtifactsInput!$M$22,Inputs!$B$4&lt;&gt;"Chapter Hunt"),CHOOSE(ArtifactsInput!$N$22+1,10,12,14,16,18,20)*((0*(((0.15*B3650*5))^0/1)+1*(((0.15*B3650*5))^1/1)+2*(((0.15*B3650*5))^2/2)+3*(((0.15*B3650*5))^3/6)+4*(((0.15*B3650*5))^4/24)+5*(((0.15*B3650*5))^5/120))/((((0.15*B3650*5))^0/1)+(((0.15*B3650*5))^1/1)+(((0.15*B3650*5))^2/2)+(((0.15*B3650*5))^3/6)+(((0.15*B3650*5))^4/24)+(((0.15*B3650*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24">
      <c r="A3624">
        <f>Skills!A10</f>
        <v/>
      </c>
      <c r="B3624">
        <f>Skills!B10</f>
        <v/>
      </c>
      <c r="C3624">
        <f>Inputs!$B$3&gt;=117</f>
        <v/>
      </c>
      <c r="D3624">
        <f>IF(Skills!C10=1,60+Inputs!$B$25+Inputs!$B$29,IF(Skills!C10=2,90+Inputs!$B$26+Inputs!$B$29,IF(Skills!C10=3,120+Inputs!$B$27+Inputs!$B$29,MAX(0,(Inputs!$B$3-100)*3)+Inputs!$B$28+Inputs!$B$29)))</f>
        <v/>
      </c>
      <c r="E3624">
        <f>INDEX(FactorTable!$B$2:$Y$301, MATCH(ROUND(MIN(300,MAX(1,D3624)),0), FactorTable!$A$2:$A$301,0), Skills!M10+1)</f>
        <v/>
      </c>
      <c r="F3624">
        <f>IF(Skills!N10=TRUE,(Skills!L10/10)*(E3624/1000),Skills!L10/10)+Skills!O10</f>
        <v/>
      </c>
      <c r="G3624">
        <f>Calc!G10</f>
        <v/>
      </c>
      <c r="H3624">
        <f>Calc!H10</f>
        <v/>
      </c>
      <c r="I3624">
        <f>IF(Skills!AA10&lt;&gt;"",1+(Skills!AA10/10)*(U3617/1000)/100,1)</f>
        <v/>
      </c>
      <c r="J3624">
        <f>((Inputs!$B$6*(1+Inputs!$B$7/100))+(((Inputs!$B$12*(1+Inputs!$B$13/100))-(Inputs!$B$12*(1+Inputs!$B$13/100)))+0.25*(Inputs!$B$14-Inputs!$B$14))*(1+Inputs!$B$7/100))*(F3624/100)</f>
        <v/>
      </c>
      <c r="K3624">
        <f>J3624*(1+((Inputs!$B$12*(1+Inputs!$B$13/100))*0.01+Inputs!$B$14*0.0025)/100)*(1+Inputs!$B$15/100)*(1+Inputs!$B$16/100)*(5000/(6000+Inputs!$B$43*(1-(100*(1-(1-(Inputs!$B$19+0)/100)*(1-CHOOSE(ArtifactsInput!$N$40+1,5,6,7,8,9,10)/100)^(ArtifactsInput!$M$40-ArtifactsInput!$M$40)))/100)))*(1+(Inputs!$B$24+((C3644=TRUE)*(F3644-Calc!F30)))/100)*(1+Skills!R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SHOWDOWN",Inputs!$B$17+((C3637=TRUE)*(F3637-Calc!F23))+(((IF(AND(ArtifactsInput!$M$42,((Inputs!$B$9+((C3639=TRUE)*(F3639-Calc!F25))+B3654+(ArtifactsInput!$M$24-ArtifactsInput!$M$24)*CHOOSE(ArtifactsInput!$N$24+1,10,12,14,16,18,20)+IF(ArtifactsInput!$M$10,CHOOSE(ArtifactsInput!$N$10+1,15,18,21,24,27,30)*(IF(Inputs!$B$39="pvp",MIN(15,15)/15,IF(AND(Inputs!$B$39&lt;&gt;"pvp",Inputs!$B$44&gt;0),MIN(15,Inputs!$B$44)/(Inputs!$B$44),0))),0)))&gt;=100),MIN(100,((Inputs!$B$9+((C3639=TRUE)*(F3639-Calc!F25))+B3654+(ArtifactsInput!$M$24-ArtifactsInput!$M$24)*CHOOSE(ArtifactsInput!$N$24+1,10,12,14,16,18,20)+IF(ArtifactsInput!$M$10,CHOOSE(ArtifactsInput!$N$10+1,15,18,21,24,27,30)*(IF(Inputs!$B$39="pvp",MIN(15,15)/15,IF(AND(Inputs!$B$39&lt;&gt;"pvp",Inputs!$B$44&gt;0),MIN(15,Inputs!$B$44)/(Inputs!$B$44),0))),0)))-100),0))*CHOOSE(ArtifactsInput!$N$42+1,0.6,0.72,0.84,0.96,1.08,1.2))),Inputs!$B$18+((C3643=TRUE)*(F3643-Calc!F29))+(IF(AND(ArtifactsInput!$M$42,((Inputs!$B$9+((C3639=TRUE)*(F3639-Calc!F25))+B3654+(ArtifactsInput!$M$24-ArtifactsInput!$M$24)*CHOOSE(ArtifactsInput!$N$24+1,10,12,14,16,18,20)+IF(ArtifactsInput!$M$10,CHOOSE(ArtifactsInput!$N$10+1,15,18,21,24,27,30)*(IF(Inputs!$B$39="pvp",MIN(15,15)/15,IF(AND(Inputs!$B$39&lt;&gt;"pvp",Inputs!$B$44&gt;0),MIN(15,Inputs!$B$44)/(Inputs!$B$44),0))),0)))&gt;=100),CHOOSE(ArtifactsInput!$N$42+1,40,48,56,64,72,80),0))))/100)*(((1+(((C3635=TRUE)*F3635*IF(AND(Inputs!$B$39&lt;&gt;"pvp",Inputs!$B$44&gt;0),(((R3635-1)*(Skills!Y21*(1+Inputs!$B$34/100))+MIN((Skills!Y21*(1+Inputs!$B$34/100)),MAX(0,Inputs!$B$44-((R3635-1)*Skills!D21))))/Inputs!$B$44),IF(Inputs!$B$39="pvp",MIN((Skills!Y21*(1+Inputs!$B$34/100)),15)/15,(Skills!Y21*(1+Inputs!$B$34/100))/Skills!D21)))+((C3642=TRUE)*(F3642-Calc!F28))+((C3632=TRUE)*(F3632-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3629=TRUE)*F3629*IF(AND(Inputs!$B$39&lt;&gt;"pvp",Inputs!$B$44&gt;0),(((R3629-1)*(Skills!Y15*(1+Inputs!$B$34/100))+MIN((Skills!Y15*(1+Inputs!$B$34/100)),MAX(0,Inputs!$B$44-((R3629-1)*Skills!D15))))/Inputs!$B$44),IF(Inputs!$B$39="pvp",MIN((Skills!Y15*(1+Inputs!$B$34/100)),15)/15,(Skills!Y15*(1+Inputs!$B$34/100))/Skills!D15)))/100)*(1+((C3620=TRUE)*F3620*B3648)/100))*B3656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3624)</f>
        <v/>
      </c>
      <c r="L3624">
        <f>K3624*(MIN(Inputs!$B$22+((C3638=TRUE)*(F3638-Calc!F24)),(Inputs!$B$23+0+(IF(ArtifactsInput!$M$15,CHOOSE(ArtifactsInput!$N$15+1,25,30,35,40,45,50)/100*(Inputs!$B$11-Inputs!$B$11),0))))/100+(Inputs!$B$23+0+(IF(ArtifactsInput!$M$15,CHOOSE(ArtifactsInput!$N$15+1,25,30,35,40,45,50)/100*(Inputs!$B$11-Inputs!$B$11),0)))/100)/2</f>
        <v/>
      </c>
      <c r="M3624">
        <f>L3624*(1+(Inputs!$B$10+((C3640=TRUE)*(F3640-Calc!F26))+B3657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24">
        <f>L3624*(1-MIN((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3624*(MIN((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24">
        <f>(1-Summary!$B$11)*T3624+Summary!$B$11*V3624</f>
        <v/>
      </c>
      <c r="P3624">
        <f>IF(B3658=0,0,O3624/B3658)</f>
        <v/>
      </c>
      <c r="Q3624" t="n">
        <v>0</v>
      </c>
      <c r="R3624" t="n">
        <v>0</v>
      </c>
      <c r="S3624" t="n">
        <v>0</v>
      </c>
      <c r="T3624">
        <f>IF(C3624,(0.2*SUMPRODUCT((Skills!Z2:Z31=TRUE)*(C3616:C3645=TRUE)*S3616:S3645)*N3624)*IF(Inputs!$B$39="pvp",1,1+(Inputs!$B$20+((C3641=TRUE)*(F3641-Calc!F27))+Skills!P10+B3655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Hunt"),CHOOSE(ArtifactsInput!$N$35+1,15,18,21,24,27,30)*(1-EXP(-(0.2*B3650)*5)),0)+IF(AND(ArtifactsInput!$M$22,Inputs!$B$4&lt;&gt;"Chapter Hunt"),CHOOSE(ArtifactsInput!$N$22+1,10,12,14,16,18,20)*((0*(((0.15*B3650*5))^0/1)+1*(((0.15*B3650*5))^1/1)+2*(((0.15*B3650*5))^2/2)+3*(((0.15*B3650*5))^3/6)+4*(((0.15*B3650*5))^4/24)+5*(((0.15*B3650*5))^5/120))/((((0.15*B3650*5))^0/1)+(((0.15*B3650*5))^1/1)+(((0.15*B3650*5))^2/2)+(((0.15*B3650*5))^3/6)+(((0.15*B3650*5))^4/24)+(((0.15*B3650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3624*(1-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3624*(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3624*(1-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3624*(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24">
        <f>IF(C3624,(0.2*SUMPRODUCT((Skills!Z2:Z31=TRUE)*(C3616:C3645=TRUE)*S3616:S3645)*N3624)*IF(Inputs!$B$39="pvp",1,(1+(Inputs!$B$21+Skills!Q10+B3655+(IF(ArtifactsInput!$M$33,CHOOSE(ArtifactsInput!$N$33+1,30,36,42,48,54,60),0))+(IF(AND(ArtifactsInput!$M$35,Inputs!$B$4&lt;&gt;"Chapter Hunt"),CHOOSE(ArtifactsInput!$N$35+1,15,18,21,24,27,30)*(1-EXP(-(0.2*B3650)*5)),0)+IF(AND(ArtifactsInput!$M$22,Inputs!$B$4&lt;&gt;"Chapter Hunt"),CHOOSE(ArtifactsInput!$N$22+1,10,12,14,16,18,20)*((0*(((0.15*B3650*5))^0/1)+1*(((0.15*B3650*5))^1/1)+2*(((0.15*B3650*5))^2/2)+3*(((0.15*B3650*5))^3/6)+4*(((0.15*B3650*5))^4/24)+5*(((0.15*B3650*5))^5/120))/((((0.15*B3650*5))^0/1)+(((0.15*B3650*5))^1/1)+(((0.15*B3650*5))^2/2)+(((0.15*B3650*5))^3/6)+(((0.15*B3650*5))^4/24)+(((0.15*B3650*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25">
      <c r="A3625">
        <f>Skills!A11</f>
        <v/>
      </c>
      <c r="B3625">
        <f>Skills!B11</f>
        <v/>
      </c>
      <c r="C3625">
        <f>Inputs!$B$3&gt;=60</f>
        <v/>
      </c>
      <c r="D3625">
        <f>IF(Skills!C11=1,60+Inputs!$B$25+Inputs!$B$29,IF(Skills!C11=2,90+Inputs!$B$26+Inputs!$B$29,IF(Skills!C11=3,120+Inputs!$B$27+Inputs!$B$29,MAX(0,(Inputs!$B$3-100)*3)+Inputs!$B$28+Inputs!$B$29)))</f>
        <v/>
      </c>
      <c r="E3625">
        <f>INDEX(FactorTable!$B$2:$Y$301, MATCH(ROUND(MIN(300,MAX(1,D3625)),0), FactorTable!$A$2:$A$301,0), Skills!M11+1)</f>
        <v/>
      </c>
      <c r="F3625">
        <f>IF(Skills!N11=TRUE,(Skills!L11/10)*(E3625/1000),Skills!L11/10)+Skills!O11</f>
        <v/>
      </c>
      <c r="G3625">
        <f>Calc!G11</f>
        <v/>
      </c>
      <c r="H3625">
        <f>Calc!H11</f>
        <v/>
      </c>
      <c r="I3625">
        <f>IF(Skills!AA11&lt;&gt;"",1+(Skills!AA11/10)*(U3617/1000)/100,1)</f>
        <v/>
      </c>
      <c r="J3625" t="inlineStr"/>
      <c r="K3625" t="inlineStr"/>
      <c r="L3625" t="inlineStr"/>
      <c r="M3625" t="inlineStr"/>
      <c r="N3625" t="inlineStr"/>
      <c r="O3625">
        <f>(1-Summary!$B$11)*T3625+Summary!$B$11*V3625</f>
        <v/>
      </c>
      <c r="P3625">
        <f>IF(B3658=0,0,O3625/B3658)</f>
        <v/>
      </c>
      <c r="Q3625" t="n">
        <v>0</v>
      </c>
      <c r="R3625" t="n">
        <v>0</v>
      </c>
      <c r="S3625">
        <f>IFERROR(O3625/N3625,0)</f>
        <v/>
      </c>
      <c r="T3625" t="n">
        <v>0</v>
      </c>
      <c r="V3625" t="n">
        <v>0</v>
      </c>
    </row>
    <row r="3626">
      <c r="A3626">
        <f>Skills!A12</f>
        <v/>
      </c>
      <c r="B3626">
        <f>Skills!B12</f>
        <v/>
      </c>
      <c r="C3626">
        <f>Inputs!$B$3&gt;=103</f>
        <v/>
      </c>
      <c r="D3626">
        <f>IF(Skills!C12=1,60+Inputs!$B$25+Inputs!$B$29,IF(Skills!C12=2,90+Inputs!$B$26+Inputs!$B$29,IF(Skills!C12=3,120+Inputs!$B$27+Inputs!$B$29,MAX(0,(Inputs!$B$3-100)*3)+Inputs!$B$28+Inputs!$B$29)))</f>
        <v/>
      </c>
      <c r="E3626">
        <f>INDEX(FactorTable!$B$2:$Y$301, MATCH(ROUND(MIN(300,MAX(1,D3626)),0), FactorTable!$A$2:$A$301,0), Skills!M12+1)</f>
        <v/>
      </c>
      <c r="F3626">
        <f>IF(Skills!N12=TRUE,(Skills!L12/10)*(E3626/1000),Skills!L12/10)+Skills!O12</f>
        <v/>
      </c>
      <c r="G3626">
        <f>Calc!G12</f>
        <v/>
      </c>
      <c r="H3626">
        <f>Calc!H12</f>
        <v/>
      </c>
      <c r="I3626">
        <f>IF(Skills!AA12&lt;&gt;"",1+(Skills!AA12/10)*(U3617/1000)/100,1)</f>
        <v/>
      </c>
      <c r="J3626">
        <f>((Inputs!$B$6*(1+Inputs!$B$7/100))+(((Inputs!$B$12*(1+Inputs!$B$13/100))-(Inputs!$B$12*(1+Inputs!$B$13/100)))+0.25*(Inputs!$B$14-Inputs!$B$14))*(1+Inputs!$B$7/100))*(F3626/100)</f>
        <v/>
      </c>
      <c r="K3626">
        <f>J3626*(1+((Inputs!$B$12*(1+Inputs!$B$13/100))*0.01+Inputs!$B$14*0.0025)/100)*(1+Inputs!$B$15/100)*(1+Inputs!$B$16/100)*(5000/(6000+Inputs!$B$43*(1-(100*(1-(1-(Inputs!$B$19+0)/100)*(1-CHOOSE(ArtifactsInput!$N$40+1,5,6,7,8,9,10)/100)^(ArtifactsInput!$M$40-ArtifactsInput!$M$40)))/100)))*(1+(Inputs!$B$24+((C3644=TRUE)*(F3644-Calc!F30)))/100)*(1+Skills!R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SHOWDOWN",Inputs!$B$17+((C3637=TRUE)*(F3637-Calc!F23))+(((IF(AND(ArtifactsInput!$M$42,((Inputs!$B$9+((C3639=TRUE)*(F3639-Calc!F25))+B3654+(ArtifactsInput!$M$24-ArtifactsInput!$M$24)*CHOOSE(ArtifactsInput!$N$24+1,10,12,14,16,18,20)+IF(ArtifactsInput!$M$10,CHOOSE(ArtifactsInput!$N$10+1,15,18,21,24,27,30)*(IF(Inputs!$B$39="pvp",MIN(15,15)/15,IF(AND(Inputs!$B$39&lt;&gt;"pvp",Inputs!$B$44&gt;0),MIN(15,Inputs!$B$44)/(Inputs!$B$44),0))),0)))&gt;=100),MIN(100,((Inputs!$B$9+((C3639=TRUE)*(F3639-Calc!F25))+B3654+(ArtifactsInput!$M$24-ArtifactsInput!$M$24)*CHOOSE(ArtifactsInput!$N$24+1,10,12,14,16,18,20)+IF(ArtifactsInput!$M$10,CHOOSE(ArtifactsInput!$N$10+1,15,18,21,24,27,30)*(IF(Inputs!$B$39="pvp",MIN(15,15)/15,IF(AND(Inputs!$B$39&lt;&gt;"pvp",Inputs!$B$44&gt;0),MIN(15,Inputs!$B$44)/(Inputs!$B$44),0))),0)))-100),0))*CHOOSE(ArtifactsInput!$N$42+1,0.6,0.72,0.84,0.96,1.08,1.2))),Inputs!$B$18+((C3643=TRUE)*(F3643-Calc!F29))+(IF(AND(ArtifactsInput!$M$42,((Inputs!$B$9+((C3639=TRUE)*(F3639-Calc!F25))+B3654+(ArtifactsInput!$M$24-ArtifactsInput!$M$24)*CHOOSE(ArtifactsInput!$N$24+1,10,12,14,16,18,20)+IF(ArtifactsInput!$M$10,CHOOSE(ArtifactsInput!$N$10+1,15,18,21,24,27,30)*(IF(Inputs!$B$39="pvp",MIN(15,15)/15,IF(AND(Inputs!$B$39&lt;&gt;"pvp",Inputs!$B$44&gt;0),MIN(15,Inputs!$B$44)/(Inputs!$B$44),0))),0)))&gt;=100),CHOOSE(ArtifactsInput!$N$42+1,40,48,56,64,72,80),0))))/100)*(((1+(((C3635=TRUE)*F3635*IF(AND(Inputs!$B$39&lt;&gt;"pvp",Inputs!$B$44&gt;0),(((R3635-1)*(Skills!Y21*(1+Inputs!$B$34/100))+MIN((Skills!Y21*(1+Inputs!$B$34/100)),MAX(0,Inputs!$B$44-((R3635-1)*Skills!D21))))/Inputs!$B$44),IF(Inputs!$B$39="pvp",MIN((Skills!Y21*(1+Inputs!$B$34/100)),15)/15,(Skills!Y21*(1+Inputs!$B$34/100))/Skills!D21)))+((C3642=TRUE)*(F3642-Calc!F28))+((C3632=TRUE)*(F3632-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3629=TRUE)*F3629*IF(AND(Inputs!$B$39&lt;&gt;"pvp",Inputs!$B$44&gt;0),(((R3629-1)*(Skills!Y15*(1+Inputs!$B$34/100))+MIN((Skills!Y15*(1+Inputs!$B$34/100)),MAX(0,Inputs!$B$44-((R3629-1)*Skills!D15))))/Inputs!$B$44),IF(Inputs!$B$39="pvp",MIN((Skills!Y15*(1+Inputs!$B$34/100)),15)/15,(Skills!Y15*(1+Inputs!$B$34/100))/Skills!D15)))/100)*(1+((C3620=TRUE)*F3620*B3648)/100))*B3656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3626)</f>
        <v/>
      </c>
      <c r="L3626">
        <f>K3626*(MIN(Inputs!$B$22+((C3638=TRUE)*(F3638-Calc!F24)),(Inputs!$B$23+0+(IF(ArtifactsInput!$M$15,CHOOSE(ArtifactsInput!$N$15+1,25,30,35,40,45,50)/100*(Inputs!$B$11-Inputs!$B$11),0))))/100+(Inputs!$B$23+0+(IF(ArtifactsInput!$M$15,CHOOSE(ArtifactsInput!$N$15+1,25,30,35,40,45,50)/100*(Inputs!$B$11-Inputs!$B$11),0)))/100)/2</f>
        <v/>
      </c>
      <c r="M3626">
        <f>L3626*(1+(Inputs!$B$10+((C3640=TRUE)*(F3640-Calc!F26))+B3657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26">
        <f>L3626*(1-MIN((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3626*(MIN((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26">
        <f>(1-Summary!$B$11)*T3626+Summary!$B$11*V3626</f>
        <v/>
      </c>
      <c r="P3626">
        <f>IF(B3658=0,0,O3626/B3658)</f>
        <v/>
      </c>
      <c r="Q3626">
        <f>IFERROR(1/IF(Inputs!$B$39="pvp",15,MAX(0.1,Skills!D12-IF(Skills!E12=TRUE,5.0,0))),0)</f>
        <v/>
      </c>
      <c r="R3626">
        <f>IF(AND(Inputs!$B$39&lt;&gt;"pvp",Inputs!$B$44&gt;0),IF(MAX(0,Inputs!$B$44-B3659)&lt;=0,0,(INT(MAX(0,Inputs!$B$44-B3659)/IF(Inputs!$B$39="pvp",15,MAX(0.1,Skills!D12-IF(Skills!E12=TRUE,5.0,0))))+1)),0)</f>
        <v/>
      </c>
      <c r="S3626">
        <f>IFERROR(O3626/N3626,0)</f>
        <v/>
      </c>
      <c r="T3626">
        <f>IF(C3626,(H3626*N3626*IF(AND(Inputs!$B$39&lt;&gt;"pvp",Inputs!$B$44&gt;0),((Skills!G12*((R3626-1)*IF(Skills!H12&gt;0,Skills!I12/Skills!H12,1)+IF(Skills!H12&gt;0,MIN(Skills!I12,MAX(0,MAX(0,Inputs!$B$44-B3659)-((R3626-1)*IF(Inputs!$B$39="pvp",15,MAX(0.1,Skills!D12-IF(Skills!E12=TRUE,5.0,0))))))/Skills!H12,1)))/Inputs!$B$44),G3626*Q3626))*IF(Inputs!$B$39="pvp",1,1+(Inputs!$B$20+((C3641=TRUE)*(F3641-Calc!F27))+Skills!P12+B3655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Hunt"),CHOOSE(ArtifactsInput!$N$35+1,15,18,21,24,27,30)*(1-EXP(-(0.2*B3650)*5)),0)+IF(AND(ArtifactsInput!$M$22,Inputs!$B$4&lt;&gt;"Chapter Hunt"),CHOOSE(ArtifactsInput!$N$22+1,10,12,14,16,18,20)*((0*(((0.15*B3650*5))^0/1)+1*(((0.15*B3650*5))^1/1)+2*(((0.15*B3650*5))^2/2)+3*(((0.15*B3650*5))^3/6)+4*(((0.15*B3650*5))^4/24)+5*(((0.15*B3650*5))^5/120))/((((0.15*B3650*5))^0/1)+(((0.15*B3650*5))^1/1)+(((0.15*B3650*5))^2/2)+(((0.15*B3650*5))^3/6)+(((0.15*B3650*5))^4/24)+(((0.15*B3650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3626*(1-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3626*(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3626*(1-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3626*(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26">
        <f>IF(C3626,(H3626*N3626*IF(AND(Inputs!$B$39&lt;&gt;"pvp",Inputs!$B$44&gt;0),((Skills!G12*((R3626-1)*IF(Skills!H12&gt;0,Skills!I12/Skills!H12,1)+IF(Skills!H12&gt;0,MIN(Skills!I12,MAX(0,MAX(0,Inputs!$B$44-B3659)-((R3626-1)*IF(Inputs!$B$39="pvp",15,MAX(0.1,Skills!D12-IF(Skills!E12=TRUE,5.0,0))))))/Skills!H12,1)))/Inputs!$B$44),G3626*Q3626))*IF(Inputs!$B$39="pvp",1,(1+(Inputs!$B$21+Skills!Q12+B3655+(IF(ArtifactsInput!$M$33,CHOOSE(ArtifactsInput!$N$33+1,30,36,42,48,54,60),0))+(IF(AND(ArtifactsInput!$M$35,Inputs!$B$4&lt;&gt;"Chapter Hunt"),CHOOSE(ArtifactsInput!$N$35+1,15,18,21,24,27,30)*(1-EXP(-(0.2*B3650)*5)),0)+IF(AND(ArtifactsInput!$M$22,Inputs!$B$4&lt;&gt;"Chapter Hunt"),CHOOSE(ArtifactsInput!$N$22+1,10,12,14,16,18,20)*((0*(((0.15*B3650*5))^0/1)+1*(((0.15*B3650*5))^1/1)+2*(((0.15*B3650*5))^2/2)+3*(((0.15*B3650*5))^3/6)+4*(((0.15*B3650*5))^4/24)+5*(((0.15*B3650*5))^5/120))/((((0.15*B3650*5))^0/1)+(((0.15*B3650*5))^1/1)+(((0.15*B3650*5))^2/2)+(((0.15*B3650*5))^3/6)+(((0.15*B3650*5))^4/24)+(((0.15*B3650*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27">
      <c r="A3627">
        <f>Skills!A13</f>
        <v/>
      </c>
      <c r="B3627">
        <f>Skills!B13</f>
        <v/>
      </c>
      <c r="C3627">
        <f>Inputs!$B$3&gt;=105</f>
        <v/>
      </c>
      <c r="D3627">
        <f>IF(Skills!C13=1,60+Inputs!$B$25+Inputs!$B$29,IF(Skills!C13=2,90+Inputs!$B$26+Inputs!$B$29,IF(Skills!C13=3,120+Inputs!$B$27+Inputs!$B$29,MAX(0,(Inputs!$B$3-100)*3)+Inputs!$B$28+Inputs!$B$29)))</f>
        <v/>
      </c>
      <c r="E3627">
        <f>INDEX(FactorTable!$B$2:$Y$301, MATCH(ROUND(MIN(300,MAX(1,D3627)),0), FactorTable!$A$2:$A$301,0), Skills!M13+1)</f>
        <v/>
      </c>
      <c r="F3627">
        <f>IF(Skills!N13=TRUE,(Skills!L13/10)*(E3627/1000),Skills!L13/10)+Skills!O13</f>
        <v/>
      </c>
      <c r="G3627">
        <f>Calc!G13</f>
        <v/>
      </c>
      <c r="H3627">
        <f>Calc!H13</f>
        <v/>
      </c>
      <c r="I3627">
        <f>IF(Skills!AA13&lt;&gt;"",1+(Skills!AA13/10)*(U3617/1000)/100,1)</f>
        <v/>
      </c>
      <c r="J3627">
        <f>((Inputs!$B$6*(1+Inputs!$B$7/100))+(((Inputs!$B$12*(1+Inputs!$B$13/100))-(Inputs!$B$12*(1+Inputs!$B$13/100)))+0.25*(Inputs!$B$14-Inputs!$B$14))*(1+Inputs!$B$7/100))*(F3627/100)</f>
        <v/>
      </c>
      <c r="K3627">
        <f>J3627*(1+((Inputs!$B$12*(1+Inputs!$B$13/100))*0.01+Inputs!$B$14*0.0025)/100)*(1+Inputs!$B$15/100)*(1+Inputs!$B$16/100)*(5000/(6000+Inputs!$B$43*(1-(100*(1-(1-(Inputs!$B$19+0)/100)*(1-CHOOSE(ArtifactsInput!$N$40+1,5,6,7,8,9,10)/100)^(ArtifactsInput!$M$40-ArtifactsInput!$M$40)))/100)))*(1+(Inputs!$B$24+((C3644=TRUE)*(F3644-Calc!F30)))/100)*(1+Skills!R13/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SHOWDOWN",Inputs!$B$17+((C3637=TRUE)*(F3637-Calc!F23))+(((IF(AND(ArtifactsInput!$M$42,((Inputs!$B$9+((C3639=TRUE)*(F3639-Calc!F25))+B3654+(ArtifactsInput!$M$24-ArtifactsInput!$M$24)*CHOOSE(ArtifactsInput!$N$24+1,10,12,14,16,18,20)+IF(ArtifactsInput!$M$10,CHOOSE(ArtifactsInput!$N$10+1,15,18,21,24,27,30)*(IF(Inputs!$B$39="pvp",MIN(15,15)/15,IF(AND(Inputs!$B$39&lt;&gt;"pvp",Inputs!$B$44&gt;0),MIN(15,Inputs!$B$44)/(Inputs!$B$44),0))),0)))&gt;=100),MIN(100,((Inputs!$B$9+((C3639=TRUE)*(F3639-Calc!F25))+B3654+(ArtifactsInput!$M$24-ArtifactsInput!$M$24)*CHOOSE(ArtifactsInput!$N$24+1,10,12,14,16,18,20)+IF(ArtifactsInput!$M$10,CHOOSE(ArtifactsInput!$N$10+1,15,18,21,24,27,30)*(IF(Inputs!$B$39="pvp",MIN(15,15)/15,IF(AND(Inputs!$B$39&lt;&gt;"pvp",Inputs!$B$44&gt;0),MIN(15,Inputs!$B$44)/(Inputs!$B$44),0))),0)))-100),0))*CHOOSE(ArtifactsInput!$N$42+1,0.6,0.72,0.84,0.96,1.08,1.2))),Inputs!$B$18+((C3643=TRUE)*(F3643-Calc!F29))+(IF(AND(ArtifactsInput!$M$42,((Inputs!$B$9+((C3639=TRUE)*(F3639-Calc!F25))+B3654+(ArtifactsInput!$M$24-ArtifactsInput!$M$24)*CHOOSE(ArtifactsInput!$N$24+1,10,12,14,16,18,20)+IF(ArtifactsInput!$M$10,CHOOSE(ArtifactsInput!$N$10+1,15,18,21,24,27,30)*(IF(Inputs!$B$39="pvp",MIN(15,15)/15,IF(AND(Inputs!$B$39&lt;&gt;"pvp",Inputs!$B$44&gt;0),MIN(15,Inputs!$B$44)/(Inputs!$B$44),0))),0)))&gt;=100),CHOOSE(ArtifactsInput!$N$42+1,40,48,56,64,72,80),0))))/100)*(((1+(((C3635=TRUE)*F3635*IF(AND(Inputs!$B$39&lt;&gt;"pvp",Inputs!$B$44&gt;0),(((R3635-1)*(Skills!Y21*(1+Inputs!$B$34/100))+MIN((Skills!Y21*(1+Inputs!$B$34/100)),MAX(0,Inputs!$B$44-((R3635-1)*Skills!D21))))/Inputs!$B$44),IF(Inputs!$B$39="pvp",MIN((Skills!Y21*(1+Inputs!$B$34/100)),15)/15,(Skills!Y21*(1+Inputs!$B$34/100))/Skills!D21)))+((C3642=TRUE)*(F3642-Calc!F28))+((C3632=TRUE)*(F3632-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3629=TRUE)*F3629*IF(AND(Inputs!$B$39&lt;&gt;"pvp",Inputs!$B$44&gt;0),(((R3629-1)*(Skills!Y15*(1+Inputs!$B$34/100))+MIN((Skills!Y15*(1+Inputs!$B$34/100)),MAX(0,Inputs!$B$44-((R3629-1)*Skills!D15))))/Inputs!$B$44),IF(Inputs!$B$39="pvp",MIN((Skills!Y15*(1+Inputs!$B$34/100)),15)/15,(Skills!Y15*(1+Inputs!$B$34/100))/Skills!D15)))/100)*(1+((C3620=TRUE)*F3620*B3648)/100))*B3656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3627)</f>
        <v/>
      </c>
      <c r="L3627">
        <f>K3627*(MIN(Inputs!$B$22+((C3638=TRUE)*(F3638-Calc!F24)),(Inputs!$B$23+0+(IF(ArtifactsInput!$M$15,CHOOSE(ArtifactsInput!$N$15+1,25,30,35,40,45,50)/100*(Inputs!$B$11-Inputs!$B$11),0))))/100+(Inputs!$B$23+0+(IF(ArtifactsInput!$M$15,CHOOSE(ArtifactsInput!$N$15+1,25,30,35,40,45,50)/100*(Inputs!$B$11-Inputs!$B$11),0)))/100)/2</f>
        <v/>
      </c>
      <c r="M3627">
        <f>L3627*(1+(Inputs!$B$10+((C3640=TRUE)*(F3640-Calc!F26))+B3657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27">
        <f>L3627*(1-MIN((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3627*(MIN((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27">
        <f>(1-Summary!$B$11)*T3627+Summary!$B$11*V3627</f>
        <v/>
      </c>
      <c r="P3627">
        <f>IF(B3658=0,0,O3627/B3658)</f>
        <v/>
      </c>
      <c r="Q3627">
        <f>IFERROR(1/IF(Inputs!$B$39="pvp",15,MAX(0.1,Skills!D13-IF(Skills!E13=TRUE,5.0,0))),0)</f>
        <v/>
      </c>
      <c r="R3627">
        <f>IF(AND(Inputs!$B$39&lt;&gt;"pvp",Inputs!$B$44&gt;0),IF(MAX(0,Inputs!$B$44-B3659)&lt;=0,0,(INT(MAX(0,Inputs!$B$44-B3659)/IF(Inputs!$B$39="pvp",15,MAX(0.1,Skills!D13-IF(Skills!E13=TRUE,5.0,0))))+1)),0)</f>
        <v/>
      </c>
      <c r="S3627">
        <f>IFERROR(O3627/N3627,0)</f>
        <v/>
      </c>
      <c r="T3627">
        <f>IF(C3627,(H3627*N3627*IF(AND(Inputs!$B$39&lt;&gt;"pvp",Inputs!$B$44&gt;0),((Skills!G13*((R3627-1)*IF(Skills!H13&gt;0,Skills!I13/Skills!H13,1)+IF(Skills!H13&gt;0,MIN(Skills!I13,MAX(0,MAX(0,Inputs!$B$44-B3659)-((R3627-1)*IF(Inputs!$B$39="pvp",15,MAX(0.1,Skills!D13-IF(Skills!E13=TRUE,5.0,0))))))/Skills!H13,1)))/Inputs!$B$44),G3627*Q3627))*IF(Inputs!$B$39="pvp",1,1+(Inputs!$B$20+((C3641=TRUE)*(F3641-Calc!F27))+Skills!P13+B3655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Hunt"),CHOOSE(ArtifactsInput!$N$35+1,15,18,21,24,27,30)*(1-EXP(-(0.2*B3650)*5)),0)+IF(AND(ArtifactsInput!$M$22,Inputs!$B$4&lt;&gt;"Chapter Hunt"),CHOOSE(ArtifactsInput!$N$22+1,10,12,14,16,18,20)*((0*(((0.15*B3650*5))^0/1)+1*(((0.15*B3650*5))^1/1)+2*(((0.15*B3650*5))^2/2)+3*(((0.15*B3650*5))^3/6)+4*(((0.15*B3650*5))^4/24)+5*(((0.15*B3650*5))^5/120))/((((0.15*B3650*5))^0/1)+(((0.15*B3650*5))^1/1)+(((0.15*B3650*5))^2/2)+(((0.15*B3650*5))^3/6)+(((0.15*B3650*5))^4/24)+(((0.15*B3650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3627*(1-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3627*(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3627*(1-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3627*(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27">
        <f>IF(C3627,(H3627*N3627*IF(AND(Inputs!$B$39&lt;&gt;"pvp",Inputs!$B$44&gt;0),((Skills!G13*((R3627-1)*IF(Skills!H13&gt;0,Skills!I13/Skills!H13,1)+IF(Skills!H13&gt;0,MIN(Skills!I13,MAX(0,MAX(0,Inputs!$B$44-B3659)-((R3627-1)*IF(Inputs!$B$39="pvp",15,MAX(0.1,Skills!D13-IF(Skills!E13=TRUE,5.0,0))))))/Skills!H13,1)))/Inputs!$B$44),G3627*Q3627))*IF(Inputs!$B$39="pvp",1,(1+(Inputs!$B$21+Skills!Q13+B3655+(IF(ArtifactsInput!$M$33,CHOOSE(ArtifactsInput!$N$33+1,30,36,42,48,54,60),0))+(IF(AND(ArtifactsInput!$M$35,Inputs!$B$4&lt;&gt;"Chapter Hunt"),CHOOSE(ArtifactsInput!$N$35+1,15,18,21,24,27,30)*(1-EXP(-(0.2*B3650)*5)),0)+IF(AND(ArtifactsInput!$M$22,Inputs!$B$4&lt;&gt;"Chapter Hunt"),CHOOSE(ArtifactsInput!$N$22+1,10,12,14,16,18,20)*((0*(((0.15*B3650*5))^0/1)+1*(((0.15*B3650*5))^1/1)+2*(((0.15*B3650*5))^2/2)+3*(((0.15*B3650*5))^3/6)+4*(((0.15*B3650*5))^4/24)+5*(((0.15*B3650*5))^5/120))/((((0.15*B3650*5))^0/1)+(((0.15*B3650*5))^1/1)+(((0.15*B3650*5))^2/2)+(((0.15*B3650*5))^3/6)+(((0.15*B3650*5))^4/24)+(((0.15*B3650*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28">
      <c r="A3628">
        <f>Skills!A14</f>
        <v/>
      </c>
      <c r="B3628">
        <f>Skills!B14</f>
        <v/>
      </c>
      <c r="C3628">
        <f>Inputs!$B$3&gt;=105</f>
        <v/>
      </c>
      <c r="D3628">
        <f>IF(Skills!C14=1,60+Inputs!$B$25+Inputs!$B$29,IF(Skills!C14=2,90+Inputs!$B$26+Inputs!$B$29,IF(Skills!C14=3,120+Inputs!$B$27+Inputs!$B$29,MAX(0,(Inputs!$B$3-100)*3)+Inputs!$B$28+Inputs!$B$29)))</f>
        <v/>
      </c>
      <c r="E3628">
        <f>INDEX(FactorTable!$B$2:$Y$301, MATCH(ROUND(MIN(300,MAX(1,D3628)),0), FactorTable!$A$2:$A$301,0), Skills!M14+1)</f>
        <v/>
      </c>
      <c r="F3628">
        <f>IF(Skills!N14=TRUE,(Skills!L14/10)*(E3628/1000),Skills!L14/10)+Skills!O14</f>
        <v/>
      </c>
      <c r="G3628">
        <f>Calc!G14</f>
        <v/>
      </c>
      <c r="H3628">
        <f>Calc!H14</f>
        <v/>
      </c>
      <c r="I3628">
        <f>IF(Skills!AA14&lt;&gt;"",1+(Skills!AA14/10)*(U3617/1000)/100,1)</f>
        <v/>
      </c>
      <c r="J3628">
        <f>((Inputs!$B$6*(1+Inputs!$B$7/100))+(((Inputs!$B$12*(1+Inputs!$B$13/100))-(Inputs!$B$12*(1+Inputs!$B$13/100)))+0.25*(Inputs!$B$14-Inputs!$B$14))*(1+Inputs!$B$7/100))*(F3628/100)</f>
        <v/>
      </c>
      <c r="K3628">
        <f>J3628*(1+((Inputs!$B$12*(1+Inputs!$B$13/100))*0.01+Inputs!$B$14*0.0025)/100)*(1+Inputs!$B$15/100)*(1+Inputs!$B$16/100)*(5000/(6000+Inputs!$B$43*(1-(100*(1-(1-(Inputs!$B$19+0)/100)*(1-CHOOSE(ArtifactsInput!$N$40+1,5,6,7,8,9,10)/100)^(ArtifactsInput!$M$40-ArtifactsInput!$M$40)))/100)))*(1+(Inputs!$B$24+((C3644=TRUE)*(F3644-Calc!F30)))/100)*(1+Skills!R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SHOWDOWN",Inputs!$B$17+((C3637=TRUE)*(F3637-Calc!F23))+(((IF(AND(ArtifactsInput!$M$42,((Inputs!$B$9+((C3639=TRUE)*(F3639-Calc!F25))+B3654+(ArtifactsInput!$M$24-ArtifactsInput!$M$24)*CHOOSE(ArtifactsInput!$N$24+1,10,12,14,16,18,20)+IF(ArtifactsInput!$M$10,CHOOSE(ArtifactsInput!$N$10+1,15,18,21,24,27,30)*(IF(Inputs!$B$39="pvp",MIN(15,15)/15,IF(AND(Inputs!$B$39&lt;&gt;"pvp",Inputs!$B$44&gt;0),MIN(15,Inputs!$B$44)/(Inputs!$B$44),0))),0)))&gt;=100),MIN(100,((Inputs!$B$9+((C3639=TRUE)*(F3639-Calc!F25))+B3654+(ArtifactsInput!$M$24-ArtifactsInput!$M$24)*CHOOSE(ArtifactsInput!$N$24+1,10,12,14,16,18,20)+IF(ArtifactsInput!$M$10,CHOOSE(ArtifactsInput!$N$10+1,15,18,21,24,27,30)*(IF(Inputs!$B$39="pvp",MIN(15,15)/15,IF(AND(Inputs!$B$39&lt;&gt;"pvp",Inputs!$B$44&gt;0),MIN(15,Inputs!$B$44)/(Inputs!$B$44),0))),0)))-100),0))*CHOOSE(ArtifactsInput!$N$42+1,0.6,0.72,0.84,0.96,1.08,1.2))),Inputs!$B$18+((C3643=TRUE)*(F3643-Calc!F29))+(IF(AND(ArtifactsInput!$M$42,((Inputs!$B$9+((C3639=TRUE)*(F3639-Calc!F25))+B3654+(ArtifactsInput!$M$24-ArtifactsInput!$M$24)*CHOOSE(ArtifactsInput!$N$24+1,10,12,14,16,18,20)+IF(ArtifactsInput!$M$10,CHOOSE(ArtifactsInput!$N$10+1,15,18,21,24,27,30)*(IF(Inputs!$B$39="pvp",MIN(15,15)/15,IF(AND(Inputs!$B$39&lt;&gt;"pvp",Inputs!$B$44&gt;0),MIN(15,Inputs!$B$44)/(Inputs!$B$44),0))),0)))&gt;=100),CHOOSE(ArtifactsInput!$N$42+1,40,48,56,64,72,80),0))))/100)*(((1+(((C3635=TRUE)*F3635*IF(AND(Inputs!$B$39&lt;&gt;"pvp",Inputs!$B$44&gt;0),(((R3635-1)*(Skills!Y21*(1+Inputs!$B$34/100))+MIN((Skills!Y21*(1+Inputs!$B$34/100)),MAX(0,Inputs!$B$44-((R3635-1)*Skills!D21))))/Inputs!$B$44),IF(Inputs!$B$39="pvp",MIN((Skills!Y21*(1+Inputs!$B$34/100)),15)/15,(Skills!Y21*(1+Inputs!$B$34/100))/Skills!D21)))+((C3642=TRUE)*(F3642-Calc!F28))+((C3632=TRUE)*(F3632-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3629=TRUE)*F3629*IF(AND(Inputs!$B$39&lt;&gt;"pvp",Inputs!$B$44&gt;0),(((R3629-1)*(Skills!Y15*(1+Inputs!$B$34/100))+MIN((Skills!Y15*(1+Inputs!$B$34/100)),MAX(0,Inputs!$B$44-((R3629-1)*Skills!D15))))/Inputs!$B$44),IF(Inputs!$B$39="pvp",MIN((Skills!Y15*(1+Inputs!$B$34/100)),15)/15,(Skills!Y15*(1+Inputs!$B$34/100))/Skills!D15)))/100)*(1+((C3620=TRUE)*F3620*B3648)/100))*B3656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3628)</f>
        <v/>
      </c>
      <c r="L3628">
        <f>K3628*(MIN(Inputs!$B$22+((C3638=TRUE)*(F3638-Calc!F24)),(Inputs!$B$23+0+(IF(ArtifactsInput!$M$15,CHOOSE(ArtifactsInput!$N$15+1,25,30,35,40,45,50)/100*(Inputs!$B$11-Inputs!$B$11),0))))/100+(Inputs!$B$23+0+(IF(ArtifactsInput!$M$15,CHOOSE(ArtifactsInput!$N$15+1,25,30,35,40,45,50)/100*(Inputs!$B$11-Inputs!$B$11),0)))/100)/2</f>
        <v/>
      </c>
      <c r="M3628">
        <f>L3628*(1+(Inputs!$B$10+((C3640=TRUE)*(F3640-Calc!F26))+B3657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28">
        <f>L3628*(1-MIN((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3628*(MIN((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28">
        <f>(1-Summary!$B$11)*T3628+Summary!$B$11*V3628</f>
        <v/>
      </c>
      <c r="P3628">
        <f>IF(B3658=0,0,O3628/B3658)</f>
        <v/>
      </c>
      <c r="Q3628">
        <f>IFERROR(1/IF(Inputs!$B$39="pvp",15,MAX(0.1,Skills!D14-IF(Skills!E14=TRUE,5.0,0))),0)</f>
        <v/>
      </c>
      <c r="R3628">
        <f>IF(AND(Inputs!$B$39&lt;&gt;"pvp",Inputs!$B$44&gt;0),IF(MAX(0,Inputs!$B$44-B3659)&lt;=0,0,(INT(MAX(0,Inputs!$B$44-B3659)/IF(Inputs!$B$39="pvp",15,MAX(0.1,Skills!D14-IF(Skills!E14=TRUE,5.0,0))))+1)),0)</f>
        <v/>
      </c>
      <c r="S3628">
        <f>IFERROR(O3628/N3628,0)</f>
        <v/>
      </c>
      <c r="T3628">
        <f>IF(C3628,(H3628*N3628*IF(AND(Inputs!$B$39&lt;&gt;"pvp",Inputs!$B$44&gt;0),((Skills!G14*((R3628-1)*IF(Skills!H14&gt;0,Skills!I14/Skills!H14,1)+IF(Skills!H14&gt;0,MIN(Skills!I14,MAX(0,MAX(0,Inputs!$B$44-B3659)-((R3628-1)*IF(Inputs!$B$39="pvp",15,MAX(0.1,Skills!D14-IF(Skills!E14=TRUE,5.0,0))))))/Skills!H14,1)))/Inputs!$B$44),G3628*Q3628))*IF(Inputs!$B$39="pvp",1,1+(Inputs!$B$20+((C3641=TRUE)*(F3641-Calc!F27))+Skills!P14+B3655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Hunt"),CHOOSE(ArtifactsInput!$N$35+1,15,18,21,24,27,30)*(1-EXP(-(0.2*B3650)*5)),0)+IF(AND(ArtifactsInput!$M$22,Inputs!$B$4&lt;&gt;"Chapter Hunt"),CHOOSE(ArtifactsInput!$N$22+1,10,12,14,16,18,20)*((0*(((0.15*B3650*5))^0/1)+1*(((0.15*B3650*5))^1/1)+2*(((0.15*B3650*5))^2/2)+3*(((0.15*B3650*5))^3/6)+4*(((0.15*B3650*5))^4/24)+5*(((0.15*B3650*5))^5/120))/((((0.15*B3650*5))^0/1)+(((0.15*B3650*5))^1/1)+(((0.15*B3650*5))^2/2)+(((0.15*B3650*5))^3/6)+(((0.15*B3650*5))^4/24)+(((0.15*B3650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3628*(1-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3628*(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3628*(1-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3628*(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28">
        <f>IF(C3628,(H3628*N3628*IF(AND(Inputs!$B$39&lt;&gt;"pvp",Inputs!$B$44&gt;0),((Skills!G14*((R3628-1)*IF(Skills!H14&gt;0,Skills!I14/Skills!H14,1)+IF(Skills!H14&gt;0,MIN(Skills!I14,MAX(0,MAX(0,Inputs!$B$44-B3659)-((R3628-1)*IF(Inputs!$B$39="pvp",15,MAX(0.1,Skills!D14-IF(Skills!E14=TRUE,5.0,0))))))/Skills!H14,1)))/Inputs!$B$44),G3628*Q3628))*IF(Inputs!$B$39="pvp",1,(1+(Inputs!$B$21+Skills!Q14+B3655+(IF(ArtifactsInput!$M$33,CHOOSE(ArtifactsInput!$N$33+1,30,36,42,48,54,60),0))+(IF(AND(ArtifactsInput!$M$35,Inputs!$B$4&lt;&gt;"Chapter Hunt"),CHOOSE(ArtifactsInput!$N$35+1,15,18,21,24,27,30)*(1-EXP(-(0.2*B3650)*5)),0)+IF(AND(ArtifactsInput!$M$22,Inputs!$B$4&lt;&gt;"Chapter Hunt"),CHOOSE(ArtifactsInput!$N$22+1,10,12,14,16,18,20)*((0*(((0.15*B3650*5))^0/1)+1*(((0.15*B3650*5))^1/1)+2*(((0.15*B3650*5))^2/2)+3*(((0.15*B3650*5))^3/6)+4*(((0.15*B3650*5))^4/24)+5*(((0.15*B3650*5))^5/120))/((((0.15*B3650*5))^0/1)+(((0.15*B3650*5))^1/1)+(((0.15*B3650*5))^2/2)+(((0.15*B3650*5))^3/6)+(((0.15*B3650*5))^4/24)+(((0.15*B3650*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29">
      <c r="A3629">
        <f>Skills!A15</f>
        <v/>
      </c>
      <c r="B3629">
        <f>Skills!B15</f>
        <v/>
      </c>
      <c r="C3629">
        <f>Inputs!$B$3&gt;=110</f>
        <v/>
      </c>
      <c r="D3629">
        <f>IF(Skills!C15=1,60+Inputs!$B$25+Inputs!$B$29,IF(Skills!C15=2,90+Inputs!$B$26+Inputs!$B$29,IF(Skills!C15=3,120+Inputs!$B$27+Inputs!$B$29,MAX(0,(Inputs!$B$3-100)*3)+Inputs!$B$28+Inputs!$B$29)))</f>
        <v/>
      </c>
      <c r="E3629">
        <f>INDEX(FactorTable!$B$2:$Y$301, MATCH(ROUND(MIN(300,MAX(1,D3629)),0), FactorTable!$A$2:$A$301,0), Skills!M15+1)</f>
        <v/>
      </c>
      <c r="F3629">
        <f>IF(Skills!N15=TRUE,(Skills!L15/10)*(E3629/1000),Skills!L15/10)+Skills!O15</f>
        <v/>
      </c>
      <c r="G3629">
        <f>Calc!G15</f>
        <v/>
      </c>
      <c r="H3629">
        <f>Calc!H15</f>
        <v/>
      </c>
      <c r="I3629">
        <f>IF(Skills!AA15&lt;&gt;"",1+(Skills!AA15/10)*(U3617/1000)/100,1)</f>
        <v/>
      </c>
      <c r="J3629" t="inlineStr"/>
      <c r="K3629" t="inlineStr"/>
      <c r="L3629" t="inlineStr"/>
      <c r="M3629" t="inlineStr"/>
      <c r="N3629" t="inlineStr"/>
      <c r="O3629">
        <f>(1-Summary!$B$11)*T3629+Summary!$B$11*V3629</f>
        <v/>
      </c>
      <c r="P3629">
        <f>IF(B3658=0,0,O3629/B3658)</f>
        <v/>
      </c>
      <c r="Q3629">
        <f>IFERROR(1/IF(Inputs!$B$39="pvp",15,MAX(0.1,Skills!D15-IF(Skills!E15=TRUE,5.0,0))),0)</f>
        <v/>
      </c>
      <c r="R3629">
        <f>IF(AND(Inputs!$B$39&lt;&gt;"pvp",Inputs!$B$44&gt;0),IF(Inputs!$B$44&lt;=0,0,(INT(Inputs!$B$44/IF(Inputs!$B$39="pvp",15,MAX(0.1,Skills!D15-IF(Skills!E15=TRUE,5.0,0))))+1)),0)</f>
        <v/>
      </c>
      <c r="S3629">
        <f>IFERROR(O3629/N3629,0)</f>
        <v/>
      </c>
      <c r="T3629" t="n">
        <v>0</v>
      </c>
      <c r="V3629" t="n">
        <v>0</v>
      </c>
    </row>
    <row r="3630">
      <c r="A3630">
        <f>Skills!A16</f>
        <v/>
      </c>
      <c r="B3630">
        <f>Skills!B16</f>
        <v/>
      </c>
      <c r="C3630">
        <f>Inputs!$B$3&gt;=110</f>
        <v/>
      </c>
      <c r="D3630">
        <f>IF(Skills!C16=1,60+Inputs!$B$25+Inputs!$B$29,IF(Skills!C16=2,90+Inputs!$B$26+Inputs!$B$29,IF(Skills!C16=3,120+Inputs!$B$27+Inputs!$B$29,MAX(0,(Inputs!$B$3-100)*3)+Inputs!$B$28+Inputs!$B$29)))</f>
        <v/>
      </c>
      <c r="E3630">
        <f>INDEX(FactorTable!$B$2:$Y$301, MATCH(ROUND(MIN(300,MAX(1,D3630)),0), FactorTable!$A$2:$A$301,0), Skills!M16+1)</f>
        <v/>
      </c>
      <c r="F3630">
        <f>IF(Skills!N16=TRUE,(Skills!L16/10)*(E3630/1000),Skills!L16/10)+Skills!O16</f>
        <v/>
      </c>
      <c r="G3630">
        <f>Calc!G16</f>
        <v/>
      </c>
      <c r="H3630">
        <f>Calc!H16</f>
        <v/>
      </c>
      <c r="I3630">
        <f>IF(Skills!AA16&lt;&gt;"",1+(Skills!AA16/10)*(U3617/1000)/100,1)</f>
        <v/>
      </c>
      <c r="J3630" t="inlineStr"/>
      <c r="K3630" t="inlineStr"/>
      <c r="L3630" t="inlineStr"/>
      <c r="M3630" t="inlineStr"/>
      <c r="N3630" t="inlineStr"/>
      <c r="O3630">
        <f>(1-Summary!$B$11)*T3630+Summary!$B$11*V3630</f>
        <v/>
      </c>
      <c r="P3630">
        <f>IF(B3658=0,0,O3630/B3658)</f>
        <v/>
      </c>
      <c r="Q3630">
        <f>IFERROR(1/IF(Inputs!$B$39="pvp",15,MAX(0.1,Skills!D16-IF(Skills!E16=TRUE,5.0,0))),0)</f>
        <v/>
      </c>
      <c r="R3630">
        <f>IF(AND(Inputs!$B$39&lt;&gt;"pvp",Inputs!$B$44&gt;0),IF(Inputs!$B$44&lt;=0,0,(INT(Inputs!$B$44/IF(Inputs!$B$39="pvp",15,MAX(0.1,Skills!D16-IF(Skills!E16=TRUE,5.0,0))))+1)),0)</f>
        <v/>
      </c>
      <c r="S3630">
        <f>IFERROR(O3630/N3630,0)</f>
        <v/>
      </c>
      <c r="T3630" t="n">
        <v>0</v>
      </c>
      <c r="V3630" t="n">
        <v>0</v>
      </c>
    </row>
    <row r="3631">
      <c r="A3631">
        <f>Skills!A17</f>
        <v/>
      </c>
      <c r="B3631">
        <f>Skills!B17</f>
        <v/>
      </c>
      <c r="C3631">
        <f>Inputs!$B$3&gt;=115</f>
        <v/>
      </c>
      <c r="D3631">
        <f>IF(Skills!C17=1,60+Inputs!$B$25+Inputs!$B$29,IF(Skills!C17=2,90+Inputs!$B$26+Inputs!$B$29,IF(Skills!C17=3,120+Inputs!$B$27+Inputs!$B$29,MAX(0,(Inputs!$B$3-100)*3)+Inputs!$B$28+Inputs!$B$29)))</f>
        <v/>
      </c>
      <c r="E3631">
        <f>INDEX(FactorTable!$B$2:$Y$301, MATCH(ROUND(MIN(300,MAX(1,D3631)),0), FactorTable!$A$2:$A$301,0), Skills!M17+1)</f>
        <v/>
      </c>
      <c r="F3631">
        <f>IF(Skills!N17=TRUE,(Skills!L17/10)*(E3631/1000),Skills!L17/10)+Skills!O17</f>
        <v/>
      </c>
      <c r="G3631">
        <f>Calc!G17</f>
        <v/>
      </c>
      <c r="H3631">
        <f>Calc!H17</f>
        <v/>
      </c>
      <c r="I3631">
        <f>IF(Skills!AA17&lt;&gt;"",1+(Skills!AA17/10)*(U3617/1000)/100,1)</f>
        <v/>
      </c>
      <c r="J3631">
        <f>((Inputs!$B$6*(1+Inputs!$B$7/100))+(((Inputs!$B$12*(1+Inputs!$B$13/100))-(Inputs!$B$12*(1+Inputs!$B$13/100)))+0.25*(Inputs!$B$14-Inputs!$B$14))*(1+Inputs!$B$7/100))*(F3631/100)</f>
        <v/>
      </c>
      <c r="K3631">
        <f>J3631*(1+((Inputs!$B$12*(1+Inputs!$B$13/100))*0.01+Inputs!$B$14*0.0025)/100)*(1+Inputs!$B$15/100)*(1+Inputs!$B$16/100)*(5000/(6000+Inputs!$B$43*(1-(100*(1-(1-(Inputs!$B$19+0)/100)*(1-CHOOSE(ArtifactsInput!$N$40+1,5,6,7,8,9,10)/100)^(ArtifactsInput!$M$40-ArtifactsInput!$M$40)))/100)))*(1+(Inputs!$B$24+((C3644=TRUE)*(F3644-Calc!F30)))/100)*(1+Skills!R17/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SHOWDOWN",Inputs!$B$17+((C3637=TRUE)*(F3637-Calc!F23))+(((IF(AND(ArtifactsInput!$M$42,((Inputs!$B$9+((C3639=TRUE)*(F3639-Calc!F25))+B3654+(ArtifactsInput!$M$24-ArtifactsInput!$M$24)*CHOOSE(ArtifactsInput!$N$24+1,10,12,14,16,18,20)+IF(ArtifactsInput!$M$10,CHOOSE(ArtifactsInput!$N$10+1,15,18,21,24,27,30)*(IF(Inputs!$B$39="pvp",MIN(15,15)/15,IF(AND(Inputs!$B$39&lt;&gt;"pvp",Inputs!$B$44&gt;0),MIN(15,Inputs!$B$44)/(Inputs!$B$44),0))),0)))&gt;=100),MIN(100,((Inputs!$B$9+((C3639=TRUE)*(F3639-Calc!F25))+B3654+(ArtifactsInput!$M$24-ArtifactsInput!$M$24)*CHOOSE(ArtifactsInput!$N$24+1,10,12,14,16,18,20)+IF(ArtifactsInput!$M$10,CHOOSE(ArtifactsInput!$N$10+1,15,18,21,24,27,30)*(IF(Inputs!$B$39="pvp",MIN(15,15)/15,IF(AND(Inputs!$B$39&lt;&gt;"pvp",Inputs!$B$44&gt;0),MIN(15,Inputs!$B$44)/(Inputs!$B$44),0))),0)))-100),0))*CHOOSE(ArtifactsInput!$N$42+1,0.6,0.72,0.84,0.96,1.08,1.2))),Inputs!$B$18+((C3643=TRUE)*(F3643-Calc!F29))+(IF(AND(ArtifactsInput!$M$42,((Inputs!$B$9+((C3639=TRUE)*(F3639-Calc!F25))+B3654+(ArtifactsInput!$M$24-ArtifactsInput!$M$24)*CHOOSE(ArtifactsInput!$N$24+1,10,12,14,16,18,20)+IF(ArtifactsInput!$M$10,CHOOSE(ArtifactsInput!$N$10+1,15,18,21,24,27,30)*(IF(Inputs!$B$39="pvp",MIN(15,15)/15,IF(AND(Inputs!$B$39&lt;&gt;"pvp",Inputs!$B$44&gt;0),MIN(15,Inputs!$B$44)/(Inputs!$B$44),0))),0)))&gt;=100),CHOOSE(ArtifactsInput!$N$42+1,40,48,56,64,72,80),0))))/100)*(((1+(((C3635=TRUE)*F3635*IF(AND(Inputs!$B$39&lt;&gt;"pvp",Inputs!$B$44&gt;0),(((R3635-1)*(Skills!Y21*(1+Inputs!$B$34/100))+MIN((Skills!Y21*(1+Inputs!$B$34/100)),MAX(0,Inputs!$B$44-((R3635-1)*Skills!D21))))/Inputs!$B$44),IF(Inputs!$B$39="pvp",MIN((Skills!Y21*(1+Inputs!$B$34/100)),15)/15,(Skills!Y21*(1+Inputs!$B$34/100))/Skills!D21)))+((C3642=TRUE)*(F3642-Calc!F28))+((C3632=TRUE)*(F3632-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3629=TRUE)*F3629*IF(AND(Inputs!$B$39&lt;&gt;"pvp",Inputs!$B$44&gt;0),(((R3629-1)*(Skills!Y15*(1+Inputs!$B$34/100))+MIN((Skills!Y15*(1+Inputs!$B$34/100)),MAX(0,Inputs!$B$44-((R3629-1)*Skills!D15))))/Inputs!$B$44),IF(Inputs!$B$39="pvp",MIN((Skills!Y15*(1+Inputs!$B$34/100)),15)/15,(Skills!Y15*(1+Inputs!$B$34/100))/Skills!D15)))/100)*(1+((C3620=TRUE)*F3620*B3648)/100))*B3656*(1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3631)</f>
        <v/>
      </c>
      <c r="L3631">
        <f>K3631*(MIN(Inputs!$B$22+((C3638=TRUE)*(F3638-Calc!F24)),(Inputs!$B$23+0+(IF(ArtifactsInput!$M$15,CHOOSE(ArtifactsInput!$N$15+1,25,30,35,40,45,50)/100*(Inputs!$B$11-Inputs!$B$11),0))))/100+(Inputs!$B$23+0+(IF(ArtifactsInput!$M$15,CHOOSE(ArtifactsInput!$N$15+1,25,30,35,40,45,50)/100*(Inputs!$B$11-Inputs!$B$11),0)))/100)/2</f>
        <v/>
      </c>
      <c r="M3631">
        <f>L3631*(1+(Inputs!$B$10+((C3640=TRUE)*(F3640-Calc!F26))+B3657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31">
        <f>L3631*(1-MIN((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3631*(MIN((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31">
        <f>(1-Summary!$B$11)*T3631+Summary!$B$11*V3631</f>
        <v/>
      </c>
      <c r="P3631">
        <f>IF(B3658=0,0,O3631/B3658)</f>
        <v/>
      </c>
      <c r="Q3631" t="n">
        <v>0</v>
      </c>
      <c r="R3631" t="n">
        <v>0</v>
      </c>
      <c r="S3631">
        <f>IFERROR(O3631/N3631,0)</f>
        <v/>
      </c>
      <c r="T3631">
        <f>IF(C3631,(Inputs!$B$38*0.2*N3631)*IF(Inputs!$B$39="pvp",1,1+(Inputs!$B$20+((C3641=TRUE)*(F3641-Calc!F27))+Skills!P17+B3655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Hunt"),CHOOSE(ArtifactsInput!$N$35+1,15,18,21,24,27,30)*(1-EXP(-(0.2*B3650)*5)),0)+IF(AND(ArtifactsInput!$M$22,Inputs!$B$4&lt;&gt;"Chapter Hunt"),CHOOSE(ArtifactsInput!$N$22+1,10,12,14,16,18,20)*((0*(((0.15*B3650*5))^0/1)+1*(((0.15*B3650*5))^1/1)+2*(((0.15*B3650*5))^2/2)+3*(((0.15*B3650*5))^3/6)+4*(((0.15*B3650*5))^4/24)+5*(((0.15*B3650*5))^5/120))/((((0.15*B3650*5))^0/1)+(((0.15*B3650*5))^1/1)+(((0.15*B3650*5))^2/2)+(((0.15*B3650*5))^3/6)+(((0.15*B3650*5))^4/24)+(((0.15*B3650*5))^5/120))),0)))/100)*((((5000/(6000+Inputs!$B$43*(1-(100*(1-(1-(100*(1-(1-(Inputs!$B$19+0)/100)*(1-CHOOSE(ArtifactsInput!$N$40+1,5,6,7,8,9,10)/100)^(ArtifactsInput!$M$40-ArtifactsInput!$M$40)))/100)*(1-IF(ArtifactsInput!$M$40,CHOOSE(ArtifactsInput!$N$40+1,5,6,7,8,9,10),0)/100)^IF(Inputs!$B$39="pvp",1,2)))/100)))/(5000/(6000+Inputs!$B$43*(1-(100*(1-(1-(Inputs!$B$19+0)/100)*(1-CHOOSE(ArtifactsInput!$N$40+1,5,6,7,8,9,10)/100)^(ArtifactsInput!$M$40-ArtifactsInput!$M$40)))/100))))*((L3631*(1-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3631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3631*(1-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3631*(MIN(100,(Inputs!$B$9+((C3639=TRUE)*(F3639-Calc!F25))+B3654+(ArtifactsInput!$M$24-ArtifactsInput!$M$24)*CHOOSE(ArtifactsInput!$N$24+1,10,12,14,16,18,20)+(IF(AND(ArtifactsInput!$M$42,((Inputs!$B$9+((C3639=TRUE)*(F3639-Calc!F25))+B3654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31">
        <f>IF(C3631,(Inputs!$B$38*0.2*N3631)*IF(Inputs!$B$39="pvp",1,(1+(Inputs!$B$21+Skills!Q17+B3655+(IF(ArtifactsInput!$M$33,CHOOSE(ArtifactsInput!$N$33+1,30,36,42,48,54,60),0))+(IF(AND(ArtifactsInput!$M$35,Inputs!$B$4&lt;&gt;"Chapter Hunt"),CHOOSE(ArtifactsInput!$N$35+1,15,18,21,24,27,30)*(1-EXP(-(0.2*B3650)*5)),0)+IF(AND(ArtifactsInput!$M$22,Inputs!$B$4&lt;&gt;"Chapter Hunt"),CHOOSE(ArtifactsInput!$N$22+1,10,12,14,16,18,20)*((0*(((0.15*B3650*5))^0/1)+1*(((0.15*B3650*5))^1/1)+2*(((0.15*B3650*5))^2/2)+3*(((0.15*B3650*5))^3/6)+4*(((0.15*B3650*5))^4/24)+5*(((0.15*B3650*5))^5/120))/((((0.15*B3650*5))^0/1)+(((0.15*B3650*5))^1/1)+(((0.15*B3650*5))^2/2)+(((0.15*B3650*5))^3/6)+(((0.15*B3650*5))^4/24)+(((0.15*B3650*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32">
      <c r="A3632">
        <f>Skills!A18</f>
        <v/>
      </c>
      <c r="B3632">
        <f>Skills!B18</f>
        <v/>
      </c>
      <c r="C3632">
        <f>Inputs!$B$3&gt;=115</f>
        <v/>
      </c>
      <c r="D3632">
        <f>IF(Skills!C18=1,60+Inputs!$B$25+Inputs!$B$29,IF(Skills!C18=2,90+Inputs!$B$26+Inputs!$B$29,IF(Skills!C18=3,120+Inputs!$B$27+Inputs!$B$29,MAX(0,(Inputs!$B$3-100)*3)+Inputs!$B$28+Inputs!$B$29)))</f>
        <v/>
      </c>
      <c r="E3632">
        <f>INDEX(FactorTable!$B$2:$Y$301, MATCH(ROUND(MIN(300,MAX(1,D3632)),0), FactorTable!$A$2:$A$301,0), Skills!M18+1)</f>
        <v/>
      </c>
      <c r="F3632">
        <f>IF(Skills!N18=TRUE,(Skills!L18/10)*(E3632/1000),Skills!L18/10)+Skills!O18</f>
        <v/>
      </c>
      <c r="G3632">
        <f>Calc!G18</f>
        <v/>
      </c>
      <c r="H3632">
        <f>Calc!H18</f>
        <v/>
      </c>
      <c r="I3632">
        <f>IF(Skills!AA18&lt;&gt;"",1+(Skills!AA18/10)*(U3617/1000)/100,1)</f>
        <v/>
      </c>
      <c r="J3632" t="inlineStr"/>
      <c r="K3632" t="inlineStr"/>
      <c r="L3632" t="inlineStr"/>
      <c r="M3632" t="inlineStr"/>
      <c r="N3632" t="inlineStr"/>
      <c r="O3632">
        <f>(1-Summary!$B$11)*T3632+Summary!$B$11*V3632</f>
        <v/>
      </c>
      <c r="P3632">
        <f>IF(B3658=0,0,O3632/B3658)</f>
        <v/>
      </c>
      <c r="Q3632" t="n">
        <v>0</v>
      </c>
      <c r="R3632" t="n">
        <v>0</v>
      </c>
      <c r="S3632">
        <f>IFERROR(O3632/N3632,0)</f>
        <v/>
      </c>
      <c r="T3632" t="n">
        <v>0</v>
      </c>
      <c r="V3632" t="n">
        <v>0</v>
      </c>
    </row>
    <row r="3633">
      <c r="A3633">
        <f>Skills!A19</f>
        <v/>
      </c>
      <c r="B3633">
        <f>Skills!B19</f>
        <v/>
      </c>
      <c r="C3633">
        <f>TRUE</f>
        <v/>
      </c>
      <c r="D3633">
        <f>IF(Skills!C19=1,60+Inputs!$B$25+Inputs!$B$29,IF(Skills!C19=2,90+Inputs!$B$26+Inputs!$B$29,IF(Skills!C19=3,120+Inputs!$B$27+Inputs!$B$29,MAX(0,(Inputs!$B$3-100)*3)+Inputs!$B$28+Inputs!$B$29)))</f>
        <v/>
      </c>
      <c r="E3633">
        <f>INDEX(FactorTable!$B$2:$Y$301, MATCH(ROUND(MIN(300,MAX(1,D3633)),0), FactorTable!$A$2:$A$301,0), Skills!M19+1)</f>
        <v/>
      </c>
      <c r="F3633">
        <f>IF(Skills!N19=TRUE,(Skills!L19/10)*(E3633/1000),Skills!L19/10)+Skills!O19</f>
        <v/>
      </c>
      <c r="G3633">
        <f>Calc!G19</f>
        <v/>
      </c>
      <c r="H3633">
        <f>Calc!H19</f>
        <v/>
      </c>
      <c r="I3633">
        <f>IF(Skills!AA19&lt;&gt;"",1+(Skills!AA19/10)*(U3617/1000)/100,1)</f>
        <v/>
      </c>
      <c r="J3633" t="inlineStr"/>
      <c r="K3633" t="inlineStr"/>
      <c r="L3633" t="inlineStr"/>
      <c r="M3633" t="inlineStr"/>
      <c r="N3633" t="inlineStr"/>
      <c r="O3633">
        <f>(1-Summary!$B$11)*T3633+Summary!$B$11*V3633</f>
        <v/>
      </c>
      <c r="P3633">
        <f>IF(B3658=0,0,O3633/B3658)</f>
        <v/>
      </c>
      <c r="Q3633">
        <f>IFERROR(1/IF(Inputs!$B$39="pvp",15,MAX(0.1,Skills!D19-IF(Skills!E19=TRUE,5.0,0))),0)</f>
        <v/>
      </c>
      <c r="R3633">
        <f>IF(AND(Inputs!$B$39&lt;&gt;"pvp",Inputs!$B$44&gt;0),IF(Inputs!$B$44&lt;=0,0,(INT(Inputs!$B$44/IF(Inputs!$B$39="pvp",15,MAX(0.1,Skills!D19-IF(Skills!E19=TRUE,5.0,0))))+1)),0)</f>
        <v/>
      </c>
      <c r="S3633">
        <f>IFERROR(O3633/N3633,0)</f>
        <v/>
      </c>
      <c r="T3633" t="n">
        <v>0</v>
      </c>
      <c r="V3633" t="n">
        <v>0</v>
      </c>
    </row>
    <row r="3634">
      <c r="A3634">
        <f>Skills!A20</f>
        <v/>
      </c>
      <c r="B3634">
        <f>Skills!B20</f>
        <v/>
      </c>
      <c r="C3634">
        <f>Inputs!$B$3&gt;=15</f>
        <v/>
      </c>
      <c r="D3634">
        <f>IF(Skills!C20=1,60+Inputs!$B$25+Inputs!$B$29,IF(Skills!C20=2,90+Inputs!$B$26+Inputs!$B$29,IF(Skills!C20=3,120+Inputs!$B$27+Inputs!$B$29,MAX(0,(Inputs!$B$3-100)*3)+Inputs!$B$28+Inputs!$B$29)))</f>
        <v/>
      </c>
      <c r="E3634">
        <f>INDEX(FactorTable!$B$2:$Y$301, MATCH(ROUND(MIN(300,MAX(1,D3634)),0), FactorTable!$A$2:$A$301,0), Skills!M20+1)</f>
        <v/>
      </c>
      <c r="F3634">
        <f>IF(Skills!N20=TRUE,(Skills!L20/10)*(E3634/1000),Skills!L20/10)+Skills!O20</f>
        <v/>
      </c>
      <c r="G3634">
        <f>Calc!G20</f>
        <v/>
      </c>
      <c r="H3634">
        <f>Calc!H20</f>
        <v/>
      </c>
      <c r="I3634">
        <f>IF(Skills!AA20&lt;&gt;"",1+(Skills!AA20/10)*(U3617/1000)/100,1)</f>
        <v/>
      </c>
      <c r="J3634" t="inlineStr"/>
      <c r="K3634" t="inlineStr"/>
      <c r="L3634" t="inlineStr"/>
      <c r="M3634" t="inlineStr"/>
      <c r="N3634" t="inlineStr"/>
      <c r="O3634">
        <f>(1-Summary!$B$11)*T3634+Summary!$B$11*V3634</f>
        <v/>
      </c>
      <c r="P3634">
        <f>IF(B3658=0,0,O3634/B3658)</f>
        <v/>
      </c>
      <c r="Q3634">
        <f>IFERROR(1/IF(Inputs!$B$39="pvp",15,MAX(0.1,Skills!D20-IF(Skills!E20=TRUE,5.0,0))),0)</f>
        <v/>
      </c>
      <c r="R3634">
        <f>IF(AND(Inputs!$B$39&lt;&gt;"pvp",Inputs!$B$44&gt;0),IF(Inputs!$B$44&lt;=0,0,(INT(Inputs!$B$44/IF(Inputs!$B$39="pvp",15,MAX(0.1,Skills!D20-IF(Skills!E20=TRUE,5.0,0))))+1)),0)</f>
        <v/>
      </c>
      <c r="S3634">
        <f>IFERROR(O3634/N3634,0)</f>
        <v/>
      </c>
      <c r="T3634" t="n">
        <v>0</v>
      </c>
      <c r="V3634" t="n">
        <v>0</v>
      </c>
    </row>
    <row r="3635">
      <c r="A3635">
        <f>Skills!A21</f>
        <v/>
      </c>
      <c r="B3635">
        <f>Skills!B21</f>
        <v/>
      </c>
      <c r="C3635">
        <f>Inputs!$B$3&gt;=15</f>
        <v/>
      </c>
      <c r="D3635">
        <f>IF(Skills!C21=1,60+Inputs!$B$25+Inputs!$B$29,IF(Skills!C21=2,90+Inputs!$B$26+Inputs!$B$29,IF(Skills!C21=3,120+Inputs!$B$27+Inputs!$B$29,MAX(0,(Inputs!$B$3-100)*3)+Inputs!$B$28+Inputs!$B$29)))</f>
        <v/>
      </c>
      <c r="E3635">
        <f>INDEX(FactorTable!$B$2:$Y$301, MATCH(ROUND(MIN(300,MAX(1,D3635)),0), FactorTable!$A$2:$A$301,0), Skills!M21+1)</f>
        <v/>
      </c>
      <c r="F3635">
        <f>IF(Skills!N21=TRUE,(Skills!L21/10)*(E3635/1000),Skills!L21/10)+Skills!O21</f>
        <v/>
      </c>
      <c r="G3635">
        <f>Calc!G21</f>
        <v/>
      </c>
      <c r="H3635">
        <f>Calc!H21</f>
        <v/>
      </c>
      <c r="I3635">
        <f>IF(Skills!AA21&lt;&gt;"",1+(Skills!AA21/10)*(U3617/1000)/100,1)</f>
        <v/>
      </c>
      <c r="J3635" t="inlineStr"/>
      <c r="K3635" t="inlineStr"/>
      <c r="L3635" t="inlineStr"/>
      <c r="M3635" t="inlineStr"/>
      <c r="N3635" t="inlineStr"/>
      <c r="O3635">
        <f>(1-Summary!$B$11)*T3635+Summary!$B$11*V3635</f>
        <v/>
      </c>
      <c r="P3635">
        <f>IF(B3658=0,0,O3635/B3658)</f>
        <v/>
      </c>
      <c r="Q3635">
        <f>IFERROR(1/IF(Inputs!$B$39="pvp",15,MAX(0.1,Skills!D21-IF(Skills!E21=TRUE,5.0,0))),0)</f>
        <v/>
      </c>
      <c r="R3635">
        <f>IF(AND(Inputs!$B$39&lt;&gt;"pvp",Inputs!$B$44&gt;0),IF(Inputs!$B$44&lt;=0,0,(INT(Inputs!$B$44/IF(Inputs!$B$39="pvp",15,MAX(0.1,Skills!D21-IF(Skills!E21=TRUE,5.0,0))))+1)),0)</f>
        <v/>
      </c>
      <c r="S3635">
        <f>IFERROR(O3635/N3635,0)</f>
        <v/>
      </c>
      <c r="T3635" t="n">
        <v>0</v>
      </c>
      <c r="V3635" t="n">
        <v>0</v>
      </c>
    </row>
    <row r="3636">
      <c r="A3636">
        <f>Skills!A22</f>
        <v/>
      </c>
      <c r="B3636">
        <f>Skills!B22</f>
        <v/>
      </c>
      <c r="C3636">
        <f>Inputs!$B$3&gt;=33</f>
        <v/>
      </c>
      <c r="D3636">
        <f>IF(Skills!C22=1,60+Inputs!$B$25+Inputs!$B$29,IF(Skills!C22=2,90+Inputs!$B$26+Inputs!$B$29,IF(Skills!C22=3,120+Inputs!$B$27+Inputs!$B$29,MAX(0,(Inputs!$B$3-100)*3)+Inputs!$B$28+Inputs!$B$29)))</f>
        <v/>
      </c>
      <c r="E3636">
        <f>INDEX(FactorTable!$B$2:$Y$301, MATCH(ROUND(MIN(300,MAX(1,D3636)),0), FactorTable!$A$2:$A$301,0), Skills!M22+1)</f>
        <v/>
      </c>
      <c r="F3636">
        <f>IF(Skills!N22=TRUE,(Skills!L22/10)*(E3636/1000),Skills!L22/10)+Skills!O22</f>
        <v/>
      </c>
      <c r="G3636">
        <f>Calc!G22</f>
        <v/>
      </c>
      <c r="H3636">
        <f>Calc!H22</f>
        <v/>
      </c>
      <c r="I3636">
        <f>IF(Skills!AA22&lt;&gt;"",1+(Skills!AA22/10)*(U3617/1000)/100,1)</f>
        <v/>
      </c>
      <c r="J3636" t="inlineStr"/>
      <c r="K3636" t="inlineStr"/>
      <c r="L3636" t="inlineStr"/>
      <c r="M3636" t="inlineStr"/>
      <c r="N3636" t="inlineStr"/>
      <c r="O3636">
        <f>(1-Summary!$B$11)*T3636+Summary!$B$11*V3636</f>
        <v/>
      </c>
      <c r="P3636">
        <f>IF(B3658=0,0,O3636/B3658)</f>
        <v/>
      </c>
      <c r="Q3636" t="n">
        <v>0</v>
      </c>
      <c r="R3636" t="n">
        <v>0</v>
      </c>
      <c r="S3636">
        <f>IFERROR(O3636/N3636,0)</f>
        <v/>
      </c>
      <c r="T3636" t="n">
        <v>0</v>
      </c>
      <c r="V3636" t="n">
        <v>0</v>
      </c>
    </row>
    <row r="3637">
      <c r="A3637">
        <f>Skills!A23</f>
        <v/>
      </c>
      <c r="B3637">
        <f>Skills!B23</f>
        <v/>
      </c>
      <c r="C3637">
        <f>Inputs!$B$3&gt;=38</f>
        <v/>
      </c>
      <c r="D3637">
        <f>IF(Skills!C23=1,60+Inputs!$B$25+Inputs!$B$29,IF(Skills!C23=2,90+Inputs!$B$26+Inputs!$B$29,IF(Skills!C23=3,120+Inputs!$B$27+Inputs!$B$29,MAX(0,(Inputs!$B$3-100)*3)+Inputs!$B$28+Inputs!$B$29)))</f>
        <v/>
      </c>
      <c r="E3637">
        <f>INDEX(FactorTable!$B$2:$Y$301, MATCH(ROUND(MIN(300,MAX(1,D3637)),0), FactorTable!$A$2:$A$301,0), Skills!M23+1)</f>
        <v/>
      </c>
      <c r="F3637">
        <f>IF(Skills!N23=TRUE,(Skills!L23/10)*(E3637/1000),Skills!L23/10)+Skills!O23</f>
        <v/>
      </c>
      <c r="G3637">
        <f>Calc!G23</f>
        <v/>
      </c>
      <c r="H3637">
        <f>Calc!H23</f>
        <v/>
      </c>
      <c r="I3637">
        <f>IF(Skills!AA23&lt;&gt;"",1+(Skills!AA23/10)*(U3617/1000)/100,1)</f>
        <v/>
      </c>
      <c r="J3637" t="inlineStr"/>
      <c r="K3637" t="inlineStr"/>
      <c r="L3637" t="inlineStr"/>
      <c r="M3637" t="inlineStr"/>
      <c r="N3637" t="inlineStr"/>
      <c r="O3637">
        <f>(1-Summary!$B$11)*T3637+Summary!$B$11*V3637</f>
        <v/>
      </c>
      <c r="P3637">
        <f>IF(B3658=0,0,O3637/B3658)</f>
        <v/>
      </c>
      <c r="Q3637" t="n">
        <v>0</v>
      </c>
      <c r="R3637" t="n">
        <v>0</v>
      </c>
      <c r="S3637">
        <f>IFERROR(O3637/N3637,0)</f>
        <v/>
      </c>
      <c r="T3637" t="n">
        <v>0</v>
      </c>
      <c r="V3637" t="n">
        <v>0</v>
      </c>
    </row>
    <row r="3638">
      <c r="A3638">
        <f>Skills!A24</f>
        <v/>
      </c>
      <c r="B3638">
        <f>Skills!B24</f>
        <v/>
      </c>
      <c r="C3638">
        <f>Inputs!$B$3&gt;=40</f>
        <v/>
      </c>
      <c r="D3638">
        <f>IF(Skills!C24=1,60+Inputs!$B$25+Inputs!$B$29,IF(Skills!C24=2,90+Inputs!$B$26+Inputs!$B$29,IF(Skills!C24=3,120+Inputs!$B$27+Inputs!$B$29,MAX(0,(Inputs!$B$3-100)*3)+Inputs!$B$28+Inputs!$B$29)))</f>
        <v/>
      </c>
      <c r="E3638">
        <f>INDEX(FactorTable!$B$2:$Y$301, MATCH(ROUND(MIN(300,MAX(1,D3638)),0), FactorTable!$A$2:$A$301,0), Skills!M24+1)</f>
        <v/>
      </c>
      <c r="F3638">
        <f>IF(Skills!N24=TRUE,(Skills!L24/10)*(E3638/1000),Skills!L24/10)+Skills!O24</f>
        <v/>
      </c>
      <c r="G3638">
        <f>Calc!G24</f>
        <v/>
      </c>
      <c r="H3638">
        <f>Calc!H24</f>
        <v/>
      </c>
      <c r="I3638">
        <f>IF(Skills!AA24&lt;&gt;"",1+(Skills!AA24/10)*(U3617/1000)/100,1)</f>
        <v/>
      </c>
      <c r="J3638" t="inlineStr"/>
      <c r="K3638" t="inlineStr"/>
      <c r="L3638" t="inlineStr"/>
      <c r="M3638" t="inlineStr"/>
      <c r="N3638" t="inlineStr"/>
      <c r="O3638">
        <f>(1-Summary!$B$11)*T3638+Summary!$B$11*V3638</f>
        <v/>
      </c>
      <c r="P3638">
        <f>IF(B3658=0,0,O3638/B3658)</f>
        <v/>
      </c>
      <c r="Q3638" t="n">
        <v>0</v>
      </c>
      <c r="R3638" t="n">
        <v>0</v>
      </c>
      <c r="S3638">
        <f>IFERROR(O3638/N3638,0)</f>
        <v/>
      </c>
      <c r="T3638" t="n">
        <v>0</v>
      </c>
      <c r="V3638" t="n">
        <v>0</v>
      </c>
    </row>
    <row r="3639">
      <c r="A3639">
        <f>Skills!A25</f>
        <v/>
      </c>
      <c r="B3639">
        <f>Skills!B25</f>
        <v/>
      </c>
      <c r="C3639">
        <f>Inputs!$B$3&gt;=45</f>
        <v/>
      </c>
      <c r="D3639">
        <f>IF(Skills!C25=1,60+Inputs!$B$25+Inputs!$B$29,IF(Skills!C25=2,90+Inputs!$B$26+Inputs!$B$29,IF(Skills!C25=3,120+Inputs!$B$27+Inputs!$B$29,MAX(0,(Inputs!$B$3-100)*3)+Inputs!$B$28+Inputs!$B$29)))</f>
        <v/>
      </c>
      <c r="E3639">
        <f>INDEX(FactorTable!$B$2:$Y$301, MATCH(ROUND(MIN(300,MAX(1,D3639)),0), FactorTable!$A$2:$A$301,0), Skills!M25+1)</f>
        <v/>
      </c>
      <c r="F3639">
        <f>IF(Skills!N25=TRUE,(Skills!L25/10)*(E3639/1000),Skills!L25/10)+Skills!O25</f>
        <v/>
      </c>
      <c r="G3639">
        <f>Calc!G25</f>
        <v/>
      </c>
      <c r="H3639">
        <f>Calc!H25</f>
        <v/>
      </c>
      <c r="I3639">
        <f>IF(Skills!AA25&lt;&gt;"",1+(Skills!AA25/10)*(U3617/1000)/100,1)</f>
        <v/>
      </c>
      <c r="J3639" t="inlineStr"/>
      <c r="K3639" t="inlineStr"/>
      <c r="L3639" t="inlineStr"/>
      <c r="M3639" t="inlineStr"/>
      <c r="N3639" t="inlineStr"/>
      <c r="O3639">
        <f>(1-Summary!$B$11)*T3639+Summary!$B$11*V3639</f>
        <v/>
      </c>
      <c r="P3639">
        <f>IF(B3658=0,0,O3639/B3658)</f>
        <v/>
      </c>
      <c r="Q3639" t="n">
        <v>0</v>
      </c>
      <c r="R3639" t="n">
        <v>0</v>
      </c>
      <c r="S3639">
        <f>IFERROR(O3639/N3639,0)</f>
        <v/>
      </c>
      <c r="T3639" t="n">
        <v>0</v>
      </c>
      <c r="V3639" t="n">
        <v>0</v>
      </c>
    </row>
    <row r="3640">
      <c r="A3640">
        <f>Skills!A26</f>
        <v/>
      </c>
      <c r="B3640">
        <f>Skills!B26</f>
        <v/>
      </c>
      <c r="C3640">
        <f>Inputs!$B$3&gt;=45</f>
        <v/>
      </c>
      <c r="D3640">
        <f>IF(Skills!C26=1,60+Inputs!$B$25+Inputs!$B$29,IF(Skills!C26=2,90+Inputs!$B$26+Inputs!$B$29,IF(Skills!C26=3,120+Inputs!$B$27+Inputs!$B$29,MAX(0,(Inputs!$B$3-100)*3)+Inputs!$B$28+Inputs!$B$29)))</f>
        <v/>
      </c>
      <c r="E3640">
        <f>INDEX(FactorTable!$B$2:$Y$301, MATCH(ROUND(MIN(300,MAX(1,D3640)),0), FactorTable!$A$2:$A$301,0), Skills!M26+1)</f>
        <v/>
      </c>
      <c r="F3640">
        <f>IF(Skills!N26=TRUE,(Skills!L26/10)*(E3640/1000),Skills!L26/10)+Skills!O26</f>
        <v/>
      </c>
      <c r="G3640">
        <f>Calc!G26</f>
        <v/>
      </c>
      <c r="H3640">
        <f>Calc!H26</f>
        <v/>
      </c>
      <c r="I3640">
        <f>IF(Skills!AA26&lt;&gt;"",1+(Skills!AA26/10)*(U3617/1000)/100,1)</f>
        <v/>
      </c>
      <c r="J3640" t="inlineStr"/>
      <c r="K3640" t="inlineStr"/>
      <c r="L3640" t="inlineStr"/>
      <c r="M3640" t="inlineStr"/>
      <c r="N3640" t="inlineStr"/>
      <c r="O3640">
        <f>(1-Summary!$B$11)*T3640+Summary!$B$11*V3640</f>
        <v/>
      </c>
      <c r="P3640">
        <f>IF(B3658=0,0,O3640/B3658)</f>
        <v/>
      </c>
      <c r="Q3640" t="n">
        <v>0</v>
      </c>
      <c r="R3640" t="n">
        <v>0</v>
      </c>
      <c r="S3640">
        <f>IFERROR(O3640/N3640,0)</f>
        <v/>
      </c>
      <c r="T3640" t="n">
        <v>0</v>
      </c>
      <c r="V3640" t="n">
        <v>0</v>
      </c>
    </row>
    <row r="3641">
      <c r="A3641">
        <f>Skills!A27</f>
        <v/>
      </c>
      <c r="B3641">
        <f>Skills!B27</f>
        <v/>
      </c>
      <c r="C3641">
        <f>Inputs!$B$3&gt;=72</f>
        <v/>
      </c>
      <c r="D3641">
        <f>IF(Skills!C27=1,60+Inputs!$B$25+Inputs!$B$29,IF(Skills!C27=2,90+Inputs!$B$26+Inputs!$B$29,IF(Skills!C27=3,120+Inputs!$B$27+Inputs!$B$29,MAX(0,(Inputs!$B$3-100)*3)+Inputs!$B$28+Inputs!$B$29)))</f>
        <v/>
      </c>
      <c r="E3641">
        <f>INDEX(FactorTable!$B$2:$Y$301, MATCH(ROUND(MIN(300,MAX(1,D3641)),0), FactorTable!$A$2:$A$301,0), Skills!M27+1)</f>
        <v/>
      </c>
      <c r="F3641">
        <f>IF(Skills!N27=TRUE,(Skills!L27/10)*(E3641/1000),Skills!L27/10)+Skills!O27</f>
        <v/>
      </c>
      <c r="G3641">
        <f>Calc!G27</f>
        <v/>
      </c>
      <c r="H3641">
        <f>Calc!H27</f>
        <v/>
      </c>
      <c r="I3641">
        <f>IF(Skills!AA27&lt;&gt;"",1+(Skills!AA27/10)*(U3617/1000)/100,1)</f>
        <v/>
      </c>
      <c r="J3641" t="inlineStr"/>
      <c r="K3641" t="inlineStr"/>
      <c r="L3641" t="inlineStr"/>
      <c r="M3641" t="inlineStr"/>
      <c r="N3641" t="inlineStr"/>
      <c r="O3641">
        <f>(1-Summary!$B$11)*T3641+Summary!$B$11*V3641</f>
        <v/>
      </c>
      <c r="P3641">
        <f>IF(B3658=0,0,O3641/B3658)</f>
        <v/>
      </c>
      <c r="Q3641" t="n">
        <v>0</v>
      </c>
      <c r="R3641" t="n">
        <v>0</v>
      </c>
      <c r="S3641">
        <f>IFERROR(O3641/N3641,0)</f>
        <v/>
      </c>
      <c r="T3641" t="n">
        <v>0</v>
      </c>
      <c r="V3641" t="n">
        <v>0</v>
      </c>
    </row>
    <row r="3642">
      <c r="A3642">
        <f>Skills!A28</f>
        <v/>
      </c>
      <c r="B3642">
        <f>Skills!B28</f>
        <v/>
      </c>
      <c r="C3642">
        <f>Inputs!$B$3&gt;=75</f>
        <v/>
      </c>
      <c r="D3642">
        <f>IF(Skills!C28=1,60+Inputs!$B$25+Inputs!$B$29,IF(Skills!C28=2,90+Inputs!$B$26+Inputs!$B$29,IF(Skills!C28=3,120+Inputs!$B$27+Inputs!$B$29,MAX(0,(Inputs!$B$3-100)*3)+Inputs!$B$28+Inputs!$B$29)))</f>
        <v/>
      </c>
      <c r="E3642">
        <f>INDEX(FactorTable!$B$2:$Y$301, MATCH(ROUND(MIN(300,MAX(1,D3642)),0), FactorTable!$A$2:$A$301,0), Skills!M28+1)</f>
        <v/>
      </c>
      <c r="F3642">
        <f>IF(Skills!N28=TRUE,(Skills!L28/10)*(E3642/1000),Skills!L28/10)+Skills!O28</f>
        <v/>
      </c>
      <c r="G3642">
        <f>Calc!G28</f>
        <v/>
      </c>
      <c r="H3642">
        <f>Calc!H28</f>
        <v/>
      </c>
      <c r="I3642">
        <f>IF(Skills!AA28&lt;&gt;"",1+(Skills!AA28/10)*(U3617/1000)/100,1)</f>
        <v/>
      </c>
      <c r="J3642" t="inlineStr"/>
      <c r="K3642" t="inlineStr"/>
      <c r="L3642" t="inlineStr"/>
      <c r="M3642" t="inlineStr"/>
      <c r="N3642" t="inlineStr"/>
      <c r="O3642">
        <f>(1-Summary!$B$11)*T3642+Summary!$B$11*V3642</f>
        <v/>
      </c>
      <c r="P3642">
        <f>IF(B3658=0,0,O3642/B3658)</f>
        <v/>
      </c>
      <c r="Q3642" t="n">
        <v>0</v>
      </c>
      <c r="R3642" t="n">
        <v>0</v>
      </c>
      <c r="S3642">
        <f>IFERROR(O3642/N3642,0)</f>
        <v/>
      </c>
      <c r="T3642" t="n">
        <v>0</v>
      </c>
      <c r="V3642" t="n">
        <v>0</v>
      </c>
    </row>
    <row r="3643">
      <c r="A3643">
        <f>Skills!A29</f>
        <v/>
      </c>
      <c r="B3643">
        <f>Skills!B29</f>
        <v/>
      </c>
      <c r="C3643">
        <f>Inputs!$B$3&gt;=120</f>
        <v/>
      </c>
      <c r="D3643">
        <f>IF(Skills!C29=1,60+Inputs!$B$25+Inputs!$B$29,IF(Skills!C29=2,90+Inputs!$B$26+Inputs!$B$29,IF(Skills!C29=3,120+Inputs!$B$27+Inputs!$B$29,MAX(0,(Inputs!$B$3-100)*3)+Inputs!$B$28+Inputs!$B$29)))</f>
        <v/>
      </c>
      <c r="E3643">
        <f>INDEX(FactorTable!$B$2:$Y$301, MATCH(ROUND(MIN(300,MAX(1,D3643)),0), FactorTable!$A$2:$A$301,0), Skills!M29+1)</f>
        <v/>
      </c>
      <c r="F3643">
        <f>IF(Skills!N29=TRUE,(Skills!L29/10)*(E3643/1000),Skills!L29/10)+Skills!O29</f>
        <v/>
      </c>
      <c r="G3643">
        <f>Calc!G29</f>
        <v/>
      </c>
      <c r="H3643">
        <f>Calc!H29</f>
        <v/>
      </c>
      <c r="I3643">
        <f>IF(Skills!AA29&lt;&gt;"",1+(Skills!AA29/10)*(U3617/1000)/100,1)</f>
        <v/>
      </c>
      <c r="J3643" t="inlineStr"/>
      <c r="K3643" t="inlineStr"/>
      <c r="L3643" t="inlineStr"/>
      <c r="M3643" t="inlineStr"/>
      <c r="N3643" t="inlineStr"/>
      <c r="O3643">
        <f>(1-Summary!$B$11)*T3643+Summary!$B$11*V3643</f>
        <v/>
      </c>
      <c r="P3643">
        <f>IF(B3658=0,0,O3643/B3658)</f>
        <v/>
      </c>
      <c r="Q3643" t="n">
        <v>0</v>
      </c>
      <c r="R3643" t="n">
        <v>0</v>
      </c>
      <c r="S3643">
        <f>IFERROR(O3643/N3643,0)</f>
        <v/>
      </c>
      <c r="T3643" t="n">
        <v>0</v>
      </c>
      <c r="V3643" t="n">
        <v>0</v>
      </c>
    </row>
    <row r="3644">
      <c r="A3644">
        <f>Skills!A30</f>
        <v/>
      </c>
      <c r="B3644">
        <f>Skills!B30</f>
        <v/>
      </c>
      <c r="C3644">
        <f>Inputs!$B$3&gt;=125</f>
        <v/>
      </c>
      <c r="D3644">
        <f>IF(Skills!C30=1,60+Inputs!$B$25+Inputs!$B$29,IF(Skills!C30=2,90+Inputs!$B$26+Inputs!$B$29,IF(Skills!C30=3,120+Inputs!$B$27+Inputs!$B$29,MAX(0,(Inputs!$B$3-100)*3)+Inputs!$B$28+Inputs!$B$29)))</f>
        <v/>
      </c>
      <c r="E3644">
        <f>INDEX(FactorTable!$B$2:$Y$301, MATCH(ROUND(MIN(300,MAX(1,D3644)),0), FactorTable!$A$2:$A$301,0), Skills!M30+1)</f>
        <v/>
      </c>
      <c r="F3644">
        <f>IF(Skills!N30=TRUE,(Skills!L30/10)*(E3644/1000),Skills!L30/10)+Skills!O30</f>
        <v/>
      </c>
      <c r="G3644">
        <f>Calc!G30</f>
        <v/>
      </c>
      <c r="H3644">
        <f>Calc!H30</f>
        <v/>
      </c>
      <c r="I3644">
        <f>IF(Skills!AA30&lt;&gt;"",1+(Skills!AA30/10)*(U3617/1000)/100,1)</f>
        <v/>
      </c>
      <c r="J3644" t="inlineStr"/>
      <c r="K3644" t="inlineStr"/>
      <c r="L3644" t="inlineStr"/>
      <c r="M3644" t="inlineStr"/>
      <c r="N3644" t="inlineStr"/>
      <c r="O3644">
        <f>(1-Summary!$B$11)*T3644+Summary!$B$11*V3644</f>
        <v/>
      </c>
      <c r="P3644">
        <f>IF(B3658=0,0,O3644/B3658)</f>
        <v/>
      </c>
      <c r="Q3644" t="n">
        <v>0</v>
      </c>
      <c r="R3644" t="n">
        <v>0</v>
      </c>
      <c r="S3644">
        <f>IFERROR(O3644/N3644,0)</f>
        <v/>
      </c>
      <c r="T3644" t="n">
        <v>0</v>
      </c>
      <c r="V3644" t="n">
        <v>0</v>
      </c>
    </row>
    <row r="3645">
      <c r="A3645">
        <f>Skills!A31</f>
        <v/>
      </c>
      <c r="B3645">
        <f>Skills!B31</f>
        <v/>
      </c>
      <c r="C3645">
        <f>Inputs!$B$3&gt;=107</f>
        <v/>
      </c>
      <c r="D3645">
        <f>IF(Skills!C31=1,60+Inputs!$B$25+Inputs!$B$29,IF(Skills!C31=2,90+Inputs!$B$26+Inputs!$B$29,IF(Skills!C31=3,120+Inputs!$B$27+Inputs!$B$29,MAX(0,(Inputs!$B$3-100)*3)+Inputs!$B$28+Inputs!$B$29)))</f>
        <v/>
      </c>
      <c r="E3645">
        <f>INDEX(FactorTable!$B$2:$Y$301, MATCH(ROUND(MIN(300,MAX(1,D3645)),0), FactorTable!$A$2:$A$301,0), Skills!M31+1)</f>
        <v/>
      </c>
      <c r="F3645">
        <f>IF(Skills!N31=TRUE,(Skills!L31/10)*(E3645/1000),Skills!L31/10)+Skills!O31</f>
        <v/>
      </c>
      <c r="G3645">
        <f>Calc!G31</f>
        <v/>
      </c>
      <c r="H3645">
        <f>Calc!H31</f>
        <v/>
      </c>
      <c r="I3645">
        <f>IF(Skills!AA31&lt;&gt;"",1+(Skills!AA31/10)*(U3617/1000)/100,1)</f>
        <v/>
      </c>
      <c r="J3645" t="inlineStr"/>
      <c r="K3645" t="inlineStr"/>
      <c r="L3645" t="inlineStr"/>
      <c r="M3645" t="inlineStr"/>
      <c r="N3645" t="inlineStr"/>
      <c r="O3645">
        <f>(1-Summary!$B$11)*T3645+Summary!$B$11*V3645</f>
        <v/>
      </c>
      <c r="P3645">
        <f>IF(B3658=0,0,O3645/B3658)</f>
        <v/>
      </c>
      <c r="Q3645" t="n">
        <v>0</v>
      </c>
      <c r="R3645" t="n">
        <v>0</v>
      </c>
      <c r="S3645">
        <f>IFERROR(O3645/N3645,0)</f>
        <v/>
      </c>
      <c r="T3645" t="n">
        <v>0</v>
      </c>
      <c r="V3645" t="n">
        <v>0</v>
      </c>
    </row>
    <row r="3647">
      <c r="A3647" t="inlineStr">
        <is>
          <t>Actions Per Second (pre-Adrenalin)</t>
        </is>
      </c>
      <c r="B3647">
        <f>1+MIN(150,150*(1-(1-(Inputs!$B$11+((C3636=TRUE)*(F3636-Calc!F22))+(ArtifactsInput!$M$15-ArtifactsInput!$M$15)*CHOOSE(ArtifactsInput!$N$15+1,8,9.6,11.2,12.8,14.4,16))/150)*(1-((C3633=TRUE)*F3633*IF(AND(Inputs!$B$39&lt;&gt;"pvp",Inputs!$B$44&gt;0),(((R3633-1)*(Skills!Y19*(1+Inputs!$B$34/100))+MIN((Skills!Y19*(1+Inputs!$B$34/100)),MAX(0,Inputs!$B$44-((R3633-1)*Skills!D19))))/Inputs!$B$44),IF(Inputs!$B$39="pvp",MIN((Skills!Y19*(1+Inputs!$B$34/100)),15)/15,(Skills!Y19*(1+Inputs!$B$34/100))/Skills!D19)))/150)))/100</f>
        <v/>
      </c>
    </row>
    <row r="3648">
      <c r="A3648" t="inlineStr">
        <is>
          <t>Alchemic Adrenaline Uptime</t>
        </is>
      </c>
      <c r="B3648">
        <f>(Skills!Y6*(1+Inputs!$B$34/100))/((Skills!Y6*(1+Inputs!$B$34/100))+(5/B3647))</f>
        <v/>
      </c>
    </row>
    <row r="3649">
      <c r="A3649" t="inlineStr">
        <is>
          <t>Attack Speed Buff Bonus %</t>
        </is>
      </c>
      <c r="B3649">
        <f>((C3633=TRUE)*F3633*IF(AND(Inputs!$B$39&lt;&gt;"pvp",Inputs!$B$44&gt;0),(((R3633-1)*(Skills!Y19*(1+Inputs!$B$34/100))+MIN((Skills!Y19*(1+Inputs!$B$34/100)),MAX(0,Inputs!$B$44-((R3633-1)*Skills!D19))))/Inputs!$B$44),IF(Inputs!$B$39="pvp",MIN((Skills!Y19*(1+Inputs!$B$34/100)),15)/15,(Skills!Y19*(1+Inputs!$B$34/100))/Skills!D19)))+((C3621=TRUE)*F3621*B3648)</f>
        <v/>
      </c>
    </row>
    <row r="3650">
      <c r="A3650" t="inlineStr">
        <is>
          <t>Actions Per Second (final)</t>
        </is>
      </c>
      <c r="B3650">
        <f>1+MIN(150,150*(1-(1-(Inputs!$B$11+((C3636=TRUE)*(F3636-Calc!F22))+(ArtifactsInput!$M$15-ArtifactsInput!$M$15)*CHOOSE(ArtifactsInput!$N$15+1,8,9.6,11.2,12.8,14.4,16))/150)*(1-B3649/150)))/100</f>
        <v/>
      </c>
    </row>
    <row r="3651">
      <c r="A3651" t="inlineStr">
        <is>
          <t>Skill + Buff Cast Rate</t>
        </is>
      </c>
      <c r="B3651">
        <f>IF(AND(Inputs!$B$39&lt;&gt;"pvp",Inputs!$B$44&gt;0),SUMPRODUCT((Skills!E2:E31=TRUE)*(C3616:C3645=TRUE)*R3616:R3645*Skills!F2:F31)/Inputs!$B$44,SUMPRODUCT((Skills!E2:E31=TRUE)*(C3616:C3645=TRUE)*Q3616:Q3645*Skills!F2:F31))</f>
        <v/>
      </c>
    </row>
    <row r="3652">
      <c r="A3652" t="inlineStr">
        <is>
          <t>Showdown Casts Per Second</t>
        </is>
      </c>
      <c r="B3652">
        <f>MAX(0,B3650-B3651)</f>
        <v/>
      </c>
    </row>
    <row r="3653">
      <c r="A3653" t="inlineStr">
        <is>
          <t>Average Buff Multiplier</t>
        </is>
      </c>
      <c r="B3653">
        <f>(1+(((C3635=TRUE)*F3635*IF(AND(Inputs!$B$39&lt;&gt;"pvp",Inputs!$B$44&gt;0),(((R3635-1)*(Skills!Y21*(1+Inputs!$B$34/100))+MIN((Skills!Y21*(1+Inputs!$B$34/100)),MAX(0,Inputs!$B$44-((R3635-1)*Skills!D21))))/Inputs!$B$44),IF(Inputs!$B$39="pvp",MIN((Skills!Y21*(1+Inputs!$B$34/100)),15)/15,(Skills!Y21*(1+Inputs!$B$34/100))/Skills!D21)))+((C3642=TRUE)*(F3642-Calc!F28))+((C3632=TRUE)*(F3632-Calc!F18))+(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3629=TRUE)*F3629*IF(AND(Inputs!$B$39&lt;&gt;"pvp",Inputs!$B$44&gt;0),(((R3629-1)*(Skills!Y15*(1+Inputs!$B$34/100))+MIN((Skills!Y15*(1+Inputs!$B$34/100)),MAX(0,Inputs!$B$44-((R3629-1)*Skills!D15))))/Inputs!$B$44),IF(Inputs!$B$39="pvp",MIN((Skills!Y15*(1+Inputs!$B$34/100)),15)/15,(Skills!Y15*(1+Inputs!$B$34/100))/Skills!D15)))/100)*(1+((C3620=TRUE)*F3620*B3648)/100)</f>
        <v/>
      </c>
    </row>
    <row r="3654">
      <c r="A3654" t="inlineStr">
        <is>
          <t>Global Crit Rate Bonus %</t>
        </is>
      </c>
      <c r="B3654">
        <f>IF(Inputs!$B$3&gt;=47,8,0)+((C3634=TRUE)*F3634*IF(AND(Inputs!$B$39&lt;&gt;"pvp",Inputs!$B$44&gt;0),(((R3634-1)*(Skills!Y20*(1+Inputs!$B$34/100))+MIN((Skills!Y20*(1+Inputs!$B$34/100)),MAX(0,Inputs!$B$44-((R3634-1)*Skills!D20))))/Inputs!$B$44),IF(Inputs!$B$39="pvp",MIN((Skills!Y20*(1+Inputs!$B$34/100)),15)/15,(Skills!Y20*(1+Inputs!$B$34/100))/Skills!D20)))</f>
        <v/>
      </c>
    </row>
    <row r="3655">
      <c r="A3655" t="inlineStr">
        <is>
          <t>Global Monster Damage-Taken Bonus %</t>
        </is>
      </c>
      <c r="B3655">
        <f>IF(Inputs!$B$3&gt;=82,15,0)+((C3630=TRUE)*F3630*IF(AND(Inputs!$B$39&lt;&gt;"pvp",Inputs!$B$44&gt;0),(((R3630-1)*(Skills!Y16*(1+Inputs!$B$34/100))+MIN((Skills!Y16*(1+Inputs!$B$34/100)),MAX(0,Inputs!$B$44-((R3630-1)*Skills!D16))))/Inputs!$B$44),IF(Inputs!$B$39="pvp",MIN((Skills!Y16*(1+Inputs!$B$34/100)),15)/15,(Skills!Y16*(1+Inputs!$B$34/100))/Skills!D16)))</f>
        <v/>
      </c>
    </row>
    <row r="3656">
      <c r="A3656" t="inlineStr">
        <is>
          <t>Shadow Partner Average Multiplier</t>
        </is>
      </c>
      <c r="B3656">
        <f>1+((C3625=TRUE)*F3625*I3625*Skills!J11/100)/100</f>
        <v/>
      </c>
    </row>
    <row r="3657">
      <c r="A3657" t="inlineStr">
        <is>
          <t>Global Critical Damage Bonus % (Frailty Curse Mastery Lv.111)</t>
        </is>
      </c>
      <c r="B3657">
        <f>IF(Inputs!$B$3&gt;=111,30,0)*IF(AND(Inputs!$B$39&lt;&gt;"pvp",Inputs!$B$44&gt;0),(((R3630-1)*(Skills!Y16*(1+Inputs!$B$34/100))+MIN((Skills!Y16*(1+Inputs!$B$34/100)),MAX(0,Inputs!$B$44-((R3630-1)*Skills!D16))))/Inputs!$B$44),IF(Inputs!$B$39="pvp",MIN((Skills!Y16*(1+Inputs!$B$34/100)),15)/15,(Skills!Y16*(1+Inputs!$B$34/100))/Skills!D16))</f>
        <v/>
      </c>
    </row>
    <row r="3658">
      <c r="A3658" s="6" t="inlineStr">
        <is>
          <t>TOTAL DPS</t>
        </is>
      </c>
      <c r="B3658" s="6">
        <f>SUM(O3616:O3645)</f>
        <v/>
      </c>
    </row>
    <row r="3659">
      <c r="A3659" t="inlineStr">
        <is>
          <t>Buff-Casting Startup Delay (s, fixed-duration only)</t>
        </is>
      </c>
      <c r="B3659">
        <f>IF(AND(Inputs!$B$39&lt;&gt;"pvp",Inputs!$B$44&gt;0),SUMPRODUCT((Skills!Y2:Y31&gt;0)*(Skills!E2:E31=TRUE)*(C3616:C3645=TRUE))/B3650,0)</f>
        <v/>
      </c>
    </row>
    <row r="3660">
      <c r="A3660" t="inlineStr">
        <is>
          <t>Boss-Only Total DPS (this block's swept value)</t>
        </is>
      </c>
      <c r="B3660">
        <f>SUM(T3616:T3645)</f>
        <v/>
      </c>
    </row>
    <row r="3661">
      <c r="A3661" t="inlineStr">
        <is>
          <t>Normal-Only Total DPS (this block's swept value)</t>
        </is>
      </c>
      <c r="B3661">
        <f>SUM(V3616:V3645)</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1"/>
  <sheetViews>
    <sheetView workbookViewId="0">
      <pane ySplit="4" topLeftCell="A5" activePane="bottomLeft" state="frozen"/>
      <selection pane="bottomLeft" activeCell="A1" sqref="A1"/>
    </sheetView>
  </sheetViews>
  <sheetFormatPr baseColWidth="8" defaultRowHeight="15"/>
  <cols>
    <col width="26" customWidth="1" min="1" max="1"/>
    <col width="22" customWidth="1" min="2" max="2"/>
    <col width="12" customWidth="1" min="3" max="3"/>
    <col hidden="1" width="13" customWidth="1" min="5" max="5"/>
    <col hidden="1" width="13" customWidth="1" min="6" max="6"/>
    <col hidden="1" width="13" customWidth="1" min="7" max="7"/>
    <col width="22" customWidth="1" min="9" max="9"/>
    <col width="12" customWidth="1" min="10" max="10"/>
    <col hidden="1" width="13" customWidth="1" min="12" max="12"/>
    <col hidden="1" width="13" customWidth="1" min="13" max="13"/>
    <col hidden="1" width="13" customWidth="1" min="14" max="14"/>
    <col hidden="1" width="13" customWidth="1" min="17" max="17"/>
  </cols>
  <sheetData>
    <row r="1">
      <c r="A1" s="4" t="inlineStr">
        <is>
          <t>Night Lord — Equipment Compare</t>
        </is>
      </c>
      <c r="Q1" t="inlineStr">
        <is>
          <t>Main Stat (flat)</t>
        </is>
      </c>
    </row>
    <row r="2">
      <c r="A2" t="inlineStr">
        <is>
          <t>Compare a candidate replacement equip against what you currently have, one Attack line plus up to 5 more stat lines each. Uses the same $/unit marginal-DPS values as Potential Cubes/Artifact Potentials: two lines of the SAME stat correctly add (two 5% Max Damage lines = one 10% Max Damage bucket), but two DIFFERENT stats correctly compound multiplicatively rather than just summing (two independent 1% gains combine to 1.01x1.01-1=2.0201%, not a naive 2%) — exact, not an approximation, since both equips are concrete/fixed sets of lines rather than an open-ended reroll search.</t>
        </is>
      </c>
      <c r="Q2" t="inlineStr">
        <is>
          <t>Main Stat %</t>
        </is>
      </c>
    </row>
    <row r="3">
      <c r="Q3" t="inlineStr">
        <is>
          <t>Attack (flat)</t>
        </is>
      </c>
    </row>
    <row r="4">
      <c r="B4" s="11" t="inlineStr">
        <is>
          <t>Current Equip</t>
        </is>
      </c>
      <c r="C4" s="12" t="n"/>
      <c r="D4" s="12" t="n"/>
      <c r="E4" s="12" t="n"/>
      <c r="F4" s="12" t="n"/>
      <c r="G4" s="12" t="n"/>
      <c r="I4" s="11" t="inlineStr">
        <is>
          <t>New Equip</t>
        </is>
      </c>
      <c r="J4" s="12" t="n"/>
      <c r="K4" s="12" t="n"/>
      <c r="L4" s="12" t="n"/>
      <c r="M4" s="12" t="n"/>
      <c r="N4" s="12" t="n"/>
      <c r="Q4" t="inlineStr">
        <is>
          <t>Min Damage %</t>
        </is>
      </c>
    </row>
    <row r="5">
      <c r="A5" s="6" t="inlineStr">
        <is>
          <t>Attack (flat)</t>
        </is>
      </c>
      <c r="B5" s="8" t="inlineStr">
        <is>
          <t>Attack (flat)</t>
        </is>
      </c>
      <c r="C5" s="7" t="n">
        <v>0</v>
      </c>
      <c r="D5">
        <f>C5*Sensitivity!H26</f>
        <v/>
      </c>
      <c r="E5">
        <f>SUMIF($B$5:$B$10,B5,$D$5:$D$10)</f>
        <v/>
      </c>
      <c r="F5">
        <f>TRUE</f>
        <v/>
      </c>
      <c r="G5">
        <f>IF(NOT(F5),1,1+E5/Summary!$B$3)</f>
        <v/>
      </c>
      <c r="I5" s="8" t="inlineStr">
        <is>
          <t>Attack (flat)</t>
        </is>
      </c>
      <c r="J5" s="7" t="n">
        <v>0</v>
      </c>
      <c r="K5">
        <f>J5*Sensitivity!H26</f>
        <v/>
      </c>
      <c r="L5">
        <f>SUMIF($I$5:$I$10,I5,$K$5:$K$10)</f>
        <v/>
      </c>
      <c r="M5">
        <f>TRUE</f>
        <v/>
      </c>
      <c r="N5">
        <f>IF(NOT(M5),1,1+L5/Summary!$B$3)</f>
        <v/>
      </c>
      <c r="Q5" t="inlineStr">
        <is>
          <t>Max Damage %</t>
        </is>
      </c>
    </row>
    <row r="6">
      <c r="A6" s="6" t="inlineStr">
        <is>
          <t>Line 2</t>
        </is>
      </c>
      <c r="B6" s="7" t="inlineStr">
        <is>
          <t>(none)</t>
        </is>
      </c>
      <c r="C6" s="7" t="n">
        <v>0</v>
      </c>
      <c r="D6">
        <f>IF(B6="(none)",0,C6*(IF(B6="Main Stat (flat)",Sensitivity!H5,IF(B6="Main Stat %",Sensitivity!H6,IF(B6="Attack (flat)",Sensitivity!H26,IF(B6="Min Damage %",Sensitivity!H13,IF(B6="Max Damage %",Sensitivity!H14,IF(B6="Damage %",Sensitivity!H8,IF(B6="Critical Rate %",IF(Inputs!$B$9+Summary!$B$14+Artifacts!$B$32&gt;=100,Sensitivity!H16,Sensitivity!H15),IF(B6="Critical Damage %",Sensitivity!H16,IF(B6="Boss Monster Damage %",Sensitivity!H10,IF(B6="Normal Monster Damage %",Sensitivity!H11,IF(B6="Defense Penetration %",Sensitivity!H18,IF(B6="Defense (flat)",0,IF(B6="Skill Level Bonus — 1st Job",Sensitivity!H21,IF(B6="Skill Level Bonus — 2nd Job",Sensitivity!H22,IF(B6="Skill Level Bonus — 3rd Job",Sensitivity!H23,IF(B6="Skill Level Bonus — 4th Job",Sensitivity!H24,IF(B6="Skill Level Bonus — All Skills",Sensitivity!H25,IF(B6="Final Damage %",Sensitivity!H12,IF(B6="Basic Attack Damage %",Sensitivity!H19,IF(B6="Skill Damage %",Sensitivity!H20,IF(B6="Attack Speed %",Sensitivity!H17,0)))))))))))))))))))))))</f>
        <v/>
      </c>
      <c r="E6">
        <f>SUMIF($B$5:$B$10,B6,$D$5:$D$10)</f>
        <v/>
      </c>
      <c r="F6">
        <f>AND(B6&lt;&gt;"(none)",COUNTIF($B$5:B5,B6)=0)</f>
        <v/>
      </c>
      <c r="G6">
        <f>IF(NOT(F6),1,1+E6/Summary!$B$3)</f>
        <v/>
      </c>
      <c r="I6" s="7" t="inlineStr">
        <is>
          <t>(none)</t>
        </is>
      </c>
      <c r="J6" s="7" t="n">
        <v>0</v>
      </c>
      <c r="K6">
        <f>IF(I6="(none)",0,J6*(IF(I6="Main Stat (flat)",Sensitivity!H5,IF(I6="Main Stat %",Sensitivity!H6,IF(I6="Attack (flat)",Sensitivity!H26,IF(I6="Min Damage %",Sensitivity!H13,IF(I6="Max Damage %",Sensitivity!H14,IF(I6="Damage %",Sensitivity!H8,IF(I6="Critical Rate %",IF(Inputs!$B$9+Summary!$B$14+Artifacts!$B$32&gt;=100,Sensitivity!H16,Sensitivity!H15),IF(I6="Critical Damage %",Sensitivity!H16,IF(I6="Boss Monster Damage %",Sensitivity!H10,IF(I6="Normal Monster Damage %",Sensitivity!H11,IF(I6="Defense Penetration %",Sensitivity!H18,IF(I6="Defense (flat)",0,IF(I6="Skill Level Bonus — 1st Job",Sensitivity!H21,IF(I6="Skill Level Bonus — 2nd Job",Sensitivity!H22,IF(I6="Skill Level Bonus — 3rd Job",Sensitivity!H23,IF(I6="Skill Level Bonus — 4th Job",Sensitivity!H24,IF(I6="Skill Level Bonus — All Skills",Sensitivity!H25,IF(I6="Final Damage %",Sensitivity!H12,IF(I6="Basic Attack Damage %",Sensitivity!H19,IF(I6="Skill Damage %",Sensitivity!H20,IF(I6="Attack Speed %",Sensitivity!H17,0)))))))))))))))))))))))</f>
        <v/>
      </c>
      <c r="L6">
        <f>SUMIF($I$5:$I$10,I6,$K$5:$K$10)</f>
        <v/>
      </c>
      <c r="M6">
        <f>AND(I6&lt;&gt;"(none)",COUNTIF($I$5:I5,I6)=0)</f>
        <v/>
      </c>
      <c r="N6">
        <f>IF(NOT(M6),1,1+L6/Summary!$B$3)</f>
        <v/>
      </c>
      <c r="Q6" t="inlineStr">
        <is>
          <t>Damage %</t>
        </is>
      </c>
    </row>
    <row r="7">
      <c r="A7" s="6" t="inlineStr">
        <is>
          <t>Line 3</t>
        </is>
      </c>
      <c r="B7" s="7" t="inlineStr">
        <is>
          <t>(none)</t>
        </is>
      </c>
      <c r="C7" s="7" t="n">
        <v>0</v>
      </c>
      <c r="D7">
        <f>IF(B7="(none)",0,C7*(IF(B7="Main Stat (flat)",Sensitivity!H5,IF(B7="Main Stat %",Sensitivity!H6,IF(B7="Attack (flat)",Sensitivity!H26,IF(B7="Min Damage %",Sensitivity!H13,IF(B7="Max Damage %",Sensitivity!H14,IF(B7="Damage %",Sensitivity!H8,IF(B7="Critical Rate %",IF(Inputs!$B$9+Summary!$B$14+Artifacts!$B$32&gt;=100,Sensitivity!H16,Sensitivity!H15),IF(B7="Critical Damage %",Sensitivity!H16,IF(B7="Boss Monster Damage %",Sensitivity!H10,IF(B7="Normal Monster Damage %",Sensitivity!H11,IF(B7="Defense Penetration %",Sensitivity!H18,IF(B7="Defense (flat)",0,IF(B7="Skill Level Bonus — 1st Job",Sensitivity!H21,IF(B7="Skill Level Bonus — 2nd Job",Sensitivity!H22,IF(B7="Skill Level Bonus — 3rd Job",Sensitivity!H23,IF(B7="Skill Level Bonus — 4th Job",Sensitivity!H24,IF(B7="Skill Level Bonus — All Skills",Sensitivity!H25,IF(B7="Final Damage %",Sensitivity!H12,IF(B7="Basic Attack Damage %",Sensitivity!H19,IF(B7="Skill Damage %",Sensitivity!H20,IF(B7="Attack Speed %",Sensitivity!H17,0)))))))))))))))))))))))</f>
        <v/>
      </c>
      <c r="E7">
        <f>SUMIF($B$5:$B$10,B7,$D$5:$D$10)</f>
        <v/>
      </c>
      <c r="F7">
        <f>AND(B7&lt;&gt;"(none)",COUNTIF($B$5:B6,B7)=0)</f>
        <v/>
      </c>
      <c r="G7">
        <f>IF(NOT(F7),1,1+E7/Summary!$B$3)</f>
        <v/>
      </c>
      <c r="I7" s="7" t="inlineStr">
        <is>
          <t>(none)</t>
        </is>
      </c>
      <c r="J7" s="7" t="n">
        <v>0</v>
      </c>
      <c r="K7">
        <f>IF(I7="(none)",0,J7*(IF(I7="Main Stat (flat)",Sensitivity!H5,IF(I7="Main Stat %",Sensitivity!H6,IF(I7="Attack (flat)",Sensitivity!H26,IF(I7="Min Damage %",Sensitivity!H13,IF(I7="Max Damage %",Sensitivity!H14,IF(I7="Damage %",Sensitivity!H8,IF(I7="Critical Rate %",IF(Inputs!$B$9+Summary!$B$14+Artifacts!$B$32&gt;=100,Sensitivity!H16,Sensitivity!H15),IF(I7="Critical Damage %",Sensitivity!H16,IF(I7="Boss Monster Damage %",Sensitivity!H10,IF(I7="Normal Monster Damage %",Sensitivity!H11,IF(I7="Defense Penetration %",Sensitivity!H18,IF(I7="Defense (flat)",0,IF(I7="Skill Level Bonus — 1st Job",Sensitivity!H21,IF(I7="Skill Level Bonus — 2nd Job",Sensitivity!H22,IF(I7="Skill Level Bonus — 3rd Job",Sensitivity!H23,IF(I7="Skill Level Bonus — 4th Job",Sensitivity!H24,IF(I7="Skill Level Bonus — All Skills",Sensitivity!H25,IF(I7="Final Damage %",Sensitivity!H12,IF(I7="Basic Attack Damage %",Sensitivity!H19,IF(I7="Skill Damage %",Sensitivity!H20,IF(I7="Attack Speed %",Sensitivity!H17,0)))))))))))))))))))))))</f>
        <v/>
      </c>
      <c r="L7">
        <f>SUMIF($I$5:$I$10,I7,$K$5:$K$10)</f>
        <v/>
      </c>
      <c r="M7">
        <f>AND(I7&lt;&gt;"(none)",COUNTIF($I$5:I6,I7)=0)</f>
        <v/>
      </c>
      <c r="N7">
        <f>IF(NOT(M7),1,1+L7/Summary!$B$3)</f>
        <v/>
      </c>
      <c r="Q7" t="inlineStr">
        <is>
          <t>Critical Rate %</t>
        </is>
      </c>
    </row>
    <row r="8">
      <c r="A8" s="6" t="inlineStr">
        <is>
          <t>Line 4</t>
        </is>
      </c>
      <c r="B8" s="7" t="inlineStr">
        <is>
          <t>(none)</t>
        </is>
      </c>
      <c r="C8" s="7" t="n">
        <v>0</v>
      </c>
      <c r="D8">
        <f>IF(B8="(none)",0,C8*(IF(B8="Main Stat (flat)",Sensitivity!H5,IF(B8="Main Stat %",Sensitivity!H6,IF(B8="Attack (flat)",Sensitivity!H26,IF(B8="Min Damage %",Sensitivity!H13,IF(B8="Max Damage %",Sensitivity!H14,IF(B8="Damage %",Sensitivity!H8,IF(B8="Critical Rate %",IF(Inputs!$B$9+Summary!$B$14+Artifacts!$B$32&gt;=100,Sensitivity!H16,Sensitivity!H15),IF(B8="Critical Damage %",Sensitivity!H16,IF(B8="Boss Monster Damage %",Sensitivity!H10,IF(B8="Normal Monster Damage %",Sensitivity!H11,IF(B8="Defense Penetration %",Sensitivity!H18,IF(B8="Defense (flat)",0,IF(B8="Skill Level Bonus — 1st Job",Sensitivity!H21,IF(B8="Skill Level Bonus — 2nd Job",Sensitivity!H22,IF(B8="Skill Level Bonus — 3rd Job",Sensitivity!H23,IF(B8="Skill Level Bonus — 4th Job",Sensitivity!H24,IF(B8="Skill Level Bonus — All Skills",Sensitivity!H25,IF(B8="Final Damage %",Sensitivity!H12,IF(B8="Basic Attack Damage %",Sensitivity!H19,IF(B8="Skill Damage %",Sensitivity!H20,IF(B8="Attack Speed %",Sensitivity!H17,0)))))))))))))))))))))))</f>
        <v/>
      </c>
      <c r="E8">
        <f>SUMIF($B$5:$B$10,B8,$D$5:$D$10)</f>
        <v/>
      </c>
      <c r="F8">
        <f>AND(B8&lt;&gt;"(none)",COUNTIF($B$5:B7,B8)=0)</f>
        <v/>
      </c>
      <c r="G8">
        <f>IF(NOT(F8),1,1+E8/Summary!$B$3)</f>
        <v/>
      </c>
      <c r="I8" s="7" t="inlineStr">
        <is>
          <t>(none)</t>
        </is>
      </c>
      <c r="J8" s="7" t="n">
        <v>0</v>
      </c>
      <c r="K8">
        <f>IF(I8="(none)",0,J8*(IF(I8="Main Stat (flat)",Sensitivity!H5,IF(I8="Main Stat %",Sensitivity!H6,IF(I8="Attack (flat)",Sensitivity!H26,IF(I8="Min Damage %",Sensitivity!H13,IF(I8="Max Damage %",Sensitivity!H14,IF(I8="Damage %",Sensitivity!H8,IF(I8="Critical Rate %",IF(Inputs!$B$9+Summary!$B$14+Artifacts!$B$32&gt;=100,Sensitivity!H16,Sensitivity!H15),IF(I8="Critical Damage %",Sensitivity!H16,IF(I8="Boss Monster Damage %",Sensitivity!H10,IF(I8="Normal Monster Damage %",Sensitivity!H11,IF(I8="Defense Penetration %",Sensitivity!H18,IF(I8="Defense (flat)",0,IF(I8="Skill Level Bonus — 1st Job",Sensitivity!H21,IF(I8="Skill Level Bonus — 2nd Job",Sensitivity!H22,IF(I8="Skill Level Bonus — 3rd Job",Sensitivity!H23,IF(I8="Skill Level Bonus — 4th Job",Sensitivity!H24,IF(I8="Skill Level Bonus — All Skills",Sensitivity!H25,IF(I8="Final Damage %",Sensitivity!H12,IF(I8="Basic Attack Damage %",Sensitivity!H19,IF(I8="Skill Damage %",Sensitivity!H20,IF(I8="Attack Speed %",Sensitivity!H17,0)))))))))))))))))))))))</f>
        <v/>
      </c>
      <c r="L8">
        <f>SUMIF($I$5:$I$10,I8,$K$5:$K$10)</f>
        <v/>
      </c>
      <c r="M8">
        <f>AND(I8&lt;&gt;"(none)",COUNTIF($I$5:I7,I8)=0)</f>
        <v/>
      </c>
      <c r="N8">
        <f>IF(NOT(M8),1,1+L8/Summary!$B$3)</f>
        <v/>
      </c>
      <c r="Q8" t="inlineStr">
        <is>
          <t>Critical Damage %</t>
        </is>
      </c>
    </row>
    <row r="9">
      <c r="A9" s="6" t="inlineStr">
        <is>
          <t>Line 5</t>
        </is>
      </c>
      <c r="B9" s="7" t="inlineStr">
        <is>
          <t>(none)</t>
        </is>
      </c>
      <c r="C9" s="7" t="n">
        <v>0</v>
      </c>
      <c r="D9">
        <f>IF(B9="(none)",0,C9*(IF(B9="Main Stat (flat)",Sensitivity!H5,IF(B9="Main Stat %",Sensitivity!H6,IF(B9="Attack (flat)",Sensitivity!H26,IF(B9="Min Damage %",Sensitivity!H13,IF(B9="Max Damage %",Sensitivity!H14,IF(B9="Damage %",Sensitivity!H8,IF(B9="Critical Rate %",IF(Inputs!$B$9+Summary!$B$14+Artifacts!$B$32&gt;=100,Sensitivity!H16,Sensitivity!H15),IF(B9="Critical Damage %",Sensitivity!H16,IF(B9="Boss Monster Damage %",Sensitivity!H10,IF(B9="Normal Monster Damage %",Sensitivity!H11,IF(B9="Defense Penetration %",Sensitivity!H18,IF(B9="Defense (flat)",0,IF(B9="Skill Level Bonus — 1st Job",Sensitivity!H21,IF(B9="Skill Level Bonus — 2nd Job",Sensitivity!H22,IF(B9="Skill Level Bonus — 3rd Job",Sensitivity!H23,IF(B9="Skill Level Bonus — 4th Job",Sensitivity!H24,IF(B9="Skill Level Bonus — All Skills",Sensitivity!H25,IF(B9="Final Damage %",Sensitivity!H12,IF(B9="Basic Attack Damage %",Sensitivity!H19,IF(B9="Skill Damage %",Sensitivity!H20,IF(B9="Attack Speed %",Sensitivity!H17,0)))))))))))))))))))))))</f>
        <v/>
      </c>
      <c r="E9">
        <f>SUMIF($B$5:$B$10,B9,$D$5:$D$10)</f>
        <v/>
      </c>
      <c r="F9">
        <f>AND(B9&lt;&gt;"(none)",COUNTIF($B$5:B8,B9)=0)</f>
        <v/>
      </c>
      <c r="G9">
        <f>IF(NOT(F9),1,1+E9/Summary!$B$3)</f>
        <v/>
      </c>
      <c r="I9" s="7" t="inlineStr">
        <is>
          <t>(none)</t>
        </is>
      </c>
      <c r="J9" s="7" t="n">
        <v>0</v>
      </c>
      <c r="K9">
        <f>IF(I9="(none)",0,J9*(IF(I9="Main Stat (flat)",Sensitivity!H5,IF(I9="Main Stat %",Sensitivity!H6,IF(I9="Attack (flat)",Sensitivity!H26,IF(I9="Min Damage %",Sensitivity!H13,IF(I9="Max Damage %",Sensitivity!H14,IF(I9="Damage %",Sensitivity!H8,IF(I9="Critical Rate %",IF(Inputs!$B$9+Summary!$B$14+Artifacts!$B$32&gt;=100,Sensitivity!H16,Sensitivity!H15),IF(I9="Critical Damage %",Sensitivity!H16,IF(I9="Boss Monster Damage %",Sensitivity!H10,IF(I9="Normal Monster Damage %",Sensitivity!H11,IF(I9="Defense Penetration %",Sensitivity!H18,IF(I9="Defense (flat)",0,IF(I9="Skill Level Bonus — 1st Job",Sensitivity!H21,IF(I9="Skill Level Bonus — 2nd Job",Sensitivity!H22,IF(I9="Skill Level Bonus — 3rd Job",Sensitivity!H23,IF(I9="Skill Level Bonus — 4th Job",Sensitivity!H24,IF(I9="Skill Level Bonus — All Skills",Sensitivity!H25,IF(I9="Final Damage %",Sensitivity!H12,IF(I9="Basic Attack Damage %",Sensitivity!H19,IF(I9="Skill Damage %",Sensitivity!H20,IF(I9="Attack Speed %",Sensitivity!H17,0)))))))))))))))))))))))</f>
        <v/>
      </c>
      <c r="L9">
        <f>SUMIF($I$5:$I$10,I9,$K$5:$K$10)</f>
        <v/>
      </c>
      <c r="M9">
        <f>AND(I9&lt;&gt;"(none)",COUNTIF($I$5:I8,I9)=0)</f>
        <v/>
      </c>
      <c r="N9">
        <f>IF(NOT(M9),1,1+L9/Summary!$B$3)</f>
        <v/>
      </c>
      <c r="Q9" t="inlineStr">
        <is>
          <t>Boss Monster Damage %</t>
        </is>
      </c>
    </row>
    <row r="10">
      <c r="A10" s="6" t="inlineStr">
        <is>
          <t>Line 6</t>
        </is>
      </c>
      <c r="B10" s="7" t="inlineStr">
        <is>
          <t>(none)</t>
        </is>
      </c>
      <c r="C10" s="7" t="n">
        <v>0</v>
      </c>
      <c r="D10">
        <f>IF(B10="(none)",0,C10*(IF(B10="Main Stat (flat)",Sensitivity!H5,IF(B10="Main Stat %",Sensitivity!H6,IF(B10="Attack (flat)",Sensitivity!H26,IF(B10="Min Damage %",Sensitivity!H13,IF(B10="Max Damage %",Sensitivity!H14,IF(B10="Damage %",Sensitivity!H8,IF(B10="Critical Rate %",IF(Inputs!$B$9+Summary!$B$14+Artifacts!$B$32&gt;=100,Sensitivity!H16,Sensitivity!H15),IF(B10="Critical Damage %",Sensitivity!H16,IF(B10="Boss Monster Damage %",Sensitivity!H10,IF(B10="Normal Monster Damage %",Sensitivity!H11,IF(B10="Defense Penetration %",Sensitivity!H18,IF(B10="Defense (flat)",0,IF(B10="Skill Level Bonus — 1st Job",Sensitivity!H21,IF(B10="Skill Level Bonus — 2nd Job",Sensitivity!H22,IF(B10="Skill Level Bonus — 3rd Job",Sensitivity!H23,IF(B10="Skill Level Bonus — 4th Job",Sensitivity!H24,IF(B10="Skill Level Bonus — All Skills",Sensitivity!H25,IF(B10="Final Damage %",Sensitivity!H12,IF(B10="Basic Attack Damage %",Sensitivity!H19,IF(B10="Skill Damage %",Sensitivity!H20,IF(B10="Attack Speed %",Sensitivity!H17,0)))))))))))))))))))))))</f>
        <v/>
      </c>
      <c r="E10">
        <f>SUMIF($B$5:$B$10,B10,$D$5:$D$10)</f>
        <v/>
      </c>
      <c r="F10">
        <f>AND(B10&lt;&gt;"(none)",COUNTIF($B$5:B9,B10)=0)</f>
        <v/>
      </c>
      <c r="G10">
        <f>IF(NOT(F10),1,1+E10/Summary!$B$3)</f>
        <v/>
      </c>
      <c r="I10" s="7" t="inlineStr">
        <is>
          <t>(none)</t>
        </is>
      </c>
      <c r="J10" s="7" t="n">
        <v>0</v>
      </c>
      <c r="K10">
        <f>IF(I10="(none)",0,J10*(IF(I10="Main Stat (flat)",Sensitivity!H5,IF(I10="Main Stat %",Sensitivity!H6,IF(I10="Attack (flat)",Sensitivity!H26,IF(I10="Min Damage %",Sensitivity!H13,IF(I10="Max Damage %",Sensitivity!H14,IF(I10="Damage %",Sensitivity!H8,IF(I10="Critical Rate %",IF(Inputs!$B$9+Summary!$B$14+Artifacts!$B$32&gt;=100,Sensitivity!H16,Sensitivity!H15),IF(I10="Critical Damage %",Sensitivity!H16,IF(I10="Boss Monster Damage %",Sensitivity!H10,IF(I10="Normal Monster Damage %",Sensitivity!H11,IF(I10="Defense Penetration %",Sensitivity!H18,IF(I10="Defense (flat)",0,IF(I10="Skill Level Bonus — 1st Job",Sensitivity!H21,IF(I10="Skill Level Bonus — 2nd Job",Sensitivity!H22,IF(I10="Skill Level Bonus — 3rd Job",Sensitivity!H23,IF(I10="Skill Level Bonus — 4th Job",Sensitivity!H24,IF(I10="Skill Level Bonus — All Skills",Sensitivity!H25,IF(I10="Final Damage %",Sensitivity!H12,IF(I10="Basic Attack Damage %",Sensitivity!H19,IF(I10="Skill Damage %",Sensitivity!H20,IF(I10="Attack Speed %",Sensitivity!H17,0)))))))))))))))))))))))</f>
        <v/>
      </c>
      <c r="L10">
        <f>SUMIF($I$5:$I$10,I10,$K$5:$K$10)</f>
        <v/>
      </c>
      <c r="M10">
        <f>AND(I10&lt;&gt;"(none)",COUNTIF($I$5:I9,I10)=0)</f>
        <v/>
      </c>
      <c r="N10">
        <f>IF(NOT(M10),1,1+L10/Summary!$B$3)</f>
        <v/>
      </c>
      <c r="Q10" t="inlineStr">
        <is>
          <t>Normal Monster Damage %</t>
        </is>
      </c>
    </row>
    <row r="11">
      <c r="Q11" t="inlineStr">
        <is>
          <t>Defense Penetration %</t>
        </is>
      </c>
    </row>
    <row r="12">
      <c r="A12" s="6" t="inlineStr">
        <is>
          <t>Total DPS Gain</t>
        </is>
      </c>
      <c r="D12">
        <f>Summary!$B$3*(PRODUCT($G$5:$G$10)-1)</f>
        <v/>
      </c>
      <c r="K12">
        <f>Summary!$B$3*(PRODUCT($N$5:$N$10)-1)</f>
        <v/>
      </c>
      <c r="Q12" t="inlineStr">
        <is>
          <t>Defense (flat)</t>
        </is>
      </c>
    </row>
    <row r="13">
      <c r="A13" s="6" t="inlineStr">
        <is>
          <t>% of Total DPS</t>
        </is>
      </c>
      <c r="D13" s="13">
        <f>D12/Summary!$B$3*100</f>
        <v/>
      </c>
      <c r="K13" s="13">
        <f>K12/Summary!$B$3*100</f>
        <v/>
      </c>
      <c r="Q13" t="inlineStr">
        <is>
          <t>Skill Level Bonus — 1st Job</t>
        </is>
      </c>
    </row>
    <row r="14">
      <c r="Q14" t="inlineStr">
        <is>
          <t>Skill Level Bonus — 2nd Job</t>
        </is>
      </c>
    </row>
    <row r="15">
      <c r="A15" s="9" t="inlineStr">
        <is>
          <t>New vs Current — DPS % Delta</t>
        </is>
      </c>
      <c r="D15" s="14">
        <f>K13-D13</f>
        <v/>
      </c>
      <c r="Q15" t="inlineStr">
        <is>
          <t>Skill Level Bonus — 3rd Job</t>
        </is>
      </c>
    </row>
    <row r="16">
      <c r="Q16" t="inlineStr">
        <is>
          <t>Skill Level Bonus — 4th Job</t>
        </is>
      </c>
    </row>
    <row r="17">
      <c r="Q17" t="inlineStr">
        <is>
          <t>Skill Level Bonus — All Skills</t>
        </is>
      </c>
    </row>
    <row r="18">
      <c r="Q18" t="inlineStr">
        <is>
          <t>Final Damage %</t>
        </is>
      </c>
    </row>
    <row r="19">
      <c r="Q19" t="inlineStr">
        <is>
          <t>Basic Attack Damage %</t>
        </is>
      </c>
    </row>
    <row r="20">
      <c r="Q20" t="inlineStr">
        <is>
          <t>Skill Damage %</t>
        </is>
      </c>
    </row>
    <row r="21">
      <c r="Q21" t="inlineStr">
        <is>
          <t>Attack Speed %</t>
        </is>
      </c>
    </row>
  </sheetData>
  <dataValidations count="1">
    <dataValidation sqref="B6 B7 B8 B9 B10 I6 I7 I8 I9 I10" showDropDown="0" showInputMessage="0" showErrorMessage="0" allowBlank="0" type="list">
      <formula1>=$Q$1:$Q$21</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2" customWidth="1" min="16" max="16"/>
    <col width="14" customWidth="1" min="17" max="17"/>
  </cols>
  <sheetData>
    <row r="1">
      <c r="A1" s="5" t="inlineStr">
        <is>
          <t>Slot</t>
        </is>
      </c>
      <c r="B1" s="5" t="inlineStr">
        <is>
          <t>Rarity</t>
        </is>
      </c>
      <c r="C1" s="5" t="inlineStr">
        <is>
          <t>Line</t>
        </is>
      </c>
      <c r="D1" s="5" t="inlineStr">
        <is>
          <t>Stat</t>
        </is>
      </c>
      <c r="E1" s="5" t="inlineStr">
        <is>
          <t>Value</t>
        </is>
      </c>
      <c r="F1" s="5" t="inlineStr">
        <is>
          <t>Weight</t>
        </is>
      </c>
      <c r="G1" s="5" t="inlineStr">
        <is>
          <t>Prime</t>
        </is>
      </c>
      <c r="H1" s="5" t="inlineStr">
        <is>
          <t>DPSPerUnit</t>
        </is>
      </c>
      <c r="J1" s="11" t="inlineStr">
        <is>
          <t>Stat</t>
        </is>
      </c>
      <c r="K1" s="11" t="inlineStr">
        <is>
          <t>DPSPerUnit</t>
        </is>
      </c>
      <c r="M1" s="11" t="inlineStr">
        <is>
          <t>Rarity</t>
        </is>
      </c>
      <c r="N1" s="11" t="inlineStr">
        <is>
          <t>Rate</t>
        </is>
      </c>
      <c r="O1" s="11" t="inlineStr">
        <is>
          <t>MaxPity</t>
        </is>
      </c>
      <c r="Q1" s="11" t="inlineStr">
        <is>
          <t>SlotList</t>
        </is>
      </c>
    </row>
    <row r="2">
      <c r="A2" t="inlineStr">
        <is>
          <t>ALL</t>
        </is>
      </c>
      <c r="B2" t="inlineStr">
        <is>
          <t>normal</t>
        </is>
      </c>
      <c r="C2" t="n">
        <v>1</v>
      </c>
      <c r="D2" t="inlineStr">
        <is>
          <t>Critical Rate %</t>
        </is>
      </c>
      <c r="E2" t="n">
        <v>3</v>
      </c>
      <c r="F2" t="n">
        <v>2.5</v>
      </c>
      <c r="G2" t="b">
        <v>0</v>
      </c>
      <c r="H2">
        <f>IF(Inputs!$B$9+Summary!$B$14+Artifacts!$B$32&gt;=100,Sensitivity!H16,Sensitivity!H15)</f>
        <v/>
      </c>
      <c r="J2" t="inlineStr">
        <is>
          <t>(none)</t>
        </is>
      </c>
      <c r="K2" t="n">
        <v>0</v>
      </c>
      <c r="M2" t="inlineStr">
        <is>
          <t>normal</t>
        </is>
      </c>
      <c r="N2" t="n">
        <v>0.06</v>
      </c>
      <c r="O2" t="n">
        <v>30</v>
      </c>
      <c r="Q2" t="inlineStr">
        <is>
          <t>head</t>
        </is>
      </c>
    </row>
    <row r="3">
      <c r="A3" t="inlineStr">
        <is>
          <t>ALL</t>
        </is>
      </c>
      <c r="B3" t="inlineStr">
        <is>
          <t>normal</t>
        </is>
      </c>
      <c r="C3" t="n">
        <v>1</v>
      </c>
      <c r="D3" t="inlineStr">
        <is>
          <t>Attack Speed %</t>
        </is>
      </c>
      <c r="E3" t="n">
        <v>3</v>
      </c>
      <c r="F3" t="n">
        <v>2.5</v>
      </c>
      <c r="G3" t="b">
        <v>0</v>
      </c>
      <c r="H3">
        <f>Sensitivity!H17</f>
        <v/>
      </c>
      <c r="J3" t="inlineStr">
        <is>
          <t>All Skill Level</t>
        </is>
      </c>
      <c r="K3">
        <f>Sensitivity!H25</f>
        <v/>
      </c>
      <c r="M3" t="inlineStr">
        <is>
          <t>rare</t>
        </is>
      </c>
      <c r="N3" t="n">
        <v>0.03333</v>
      </c>
      <c r="O3" t="n">
        <v>60</v>
      </c>
      <c r="Q3" t="inlineStr">
        <is>
          <t>cape</t>
        </is>
      </c>
    </row>
    <row r="4">
      <c r="A4" t="inlineStr">
        <is>
          <t>ALL</t>
        </is>
      </c>
      <c r="B4" t="inlineStr">
        <is>
          <t>normal</t>
        </is>
      </c>
      <c r="C4" t="n">
        <v>1</v>
      </c>
      <c r="D4" t="inlineStr">
        <is>
          <t>Damage %</t>
        </is>
      </c>
      <c r="E4" t="n">
        <v>5</v>
      </c>
      <c r="F4" t="n">
        <v>4</v>
      </c>
      <c r="G4" t="b">
        <v>0</v>
      </c>
      <c r="H4">
        <f>Sensitivity!H8</f>
        <v/>
      </c>
      <c r="J4" t="inlineStr">
        <is>
          <t>Attack Speed %</t>
        </is>
      </c>
      <c r="K4">
        <f>Sensitivity!H17</f>
        <v/>
      </c>
      <c r="M4" t="inlineStr">
        <is>
          <t>epic</t>
        </is>
      </c>
      <c r="N4" t="n">
        <v>0.0167</v>
      </c>
      <c r="O4" t="n">
        <v>120</v>
      </c>
      <c r="Q4" t="inlineStr">
        <is>
          <t>chest</t>
        </is>
      </c>
    </row>
    <row r="5">
      <c r="A5" t="inlineStr">
        <is>
          <t>ALL</t>
        </is>
      </c>
      <c r="B5" t="inlineStr">
        <is>
          <t>normal</t>
        </is>
      </c>
      <c r="C5" t="n">
        <v>1</v>
      </c>
      <c r="D5" t="inlineStr">
        <is>
          <t>Min Damage Multiplier %</t>
        </is>
      </c>
      <c r="E5" t="n">
        <v>3</v>
      </c>
      <c r="F5" t="n">
        <v>4</v>
      </c>
      <c r="G5" t="b">
        <v>0</v>
      </c>
      <c r="H5">
        <f>Sensitivity!H13</f>
        <v/>
      </c>
      <c r="J5" t="inlineStr">
        <is>
          <t>Basic Attack Damage %</t>
        </is>
      </c>
      <c r="K5">
        <f>Sensitivity!H19</f>
        <v/>
      </c>
      <c r="M5" t="inlineStr">
        <is>
          <t>unique</t>
        </is>
      </c>
      <c r="N5" t="n">
        <v>0.006</v>
      </c>
      <c r="O5" t="n">
        <v>333</v>
      </c>
      <c r="Q5" t="inlineStr">
        <is>
          <t>shoulders</t>
        </is>
      </c>
    </row>
    <row r="6">
      <c r="A6" t="inlineStr">
        <is>
          <t>ALL</t>
        </is>
      </c>
      <c r="B6" t="inlineStr">
        <is>
          <t>normal</t>
        </is>
      </c>
      <c r="C6" t="n">
        <v>1</v>
      </c>
      <c r="D6" t="inlineStr">
        <is>
          <t>Max Damage Multiplier %</t>
        </is>
      </c>
      <c r="E6" t="n">
        <v>3</v>
      </c>
      <c r="F6" t="n">
        <v>4</v>
      </c>
      <c r="G6" t="b">
        <v>0</v>
      </c>
      <c r="H6">
        <f>Sensitivity!H14</f>
        <v/>
      </c>
      <c r="J6" t="inlineStr">
        <is>
          <t>Basic Attack Target Increase</t>
        </is>
      </c>
      <c r="K6">
        <f>Sensitivity!H29</f>
        <v/>
      </c>
      <c r="M6" t="inlineStr">
        <is>
          <t>legendary</t>
        </is>
      </c>
      <c r="N6" t="n">
        <v>0.0021</v>
      </c>
      <c r="O6" t="n">
        <v>714</v>
      </c>
      <c r="Q6" t="inlineStr">
        <is>
          <t>legs</t>
        </is>
      </c>
    </row>
    <row r="7">
      <c r="A7" t="inlineStr">
        <is>
          <t>ALL</t>
        </is>
      </c>
      <c r="B7" t="inlineStr">
        <is>
          <t>normal</t>
        </is>
      </c>
      <c r="C7" t="n">
        <v>1</v>
      </c>
      <c r="D7" t="inlineStr">
        <is>
          <t>Str %</t>
        </is>
      </c>
      <c r="E7" t="n">
        <v>3</v>
      </c>
      <c r="F7" t="n">
        <v>4.5</v>
      </c>
      <c r="G7" t="b">
        <v>0</v>
      </c>
      <c r="H7" t="inlineStr">
        <is>
          <t>0</t>
        </is>
      </c>
      <c r="J7" t="inlineStr">
        <is>
          <t>Buff Duration Increase %</t>
        </is>
      </c>
      <c r="K7">
        <f>Sensitivity!H30</f>
        <v/>
      </c>
      <c r="M7" t="inlineStr">
        <is>
          <t>mystic</t>
        </is>
      </c>
      <c r="N7" t="n">
        <v>0</v>
      </c>
      <c r="O7" t="n">
        <v>0</v>
      </c>
      <c r="Q7" t="inlineStr">
        <is>
          <t>belt</t>
        </is>
      </c>
    </row>
    <row r="8">
      <c r="A8" t="inlineStr">
        <is>
          <t>ALL</t>
        </is>
      </c>
      <c r="B8" t="inlineStr">
        <is>
          <t>normal</t>
        </is>
      </c>
      <c r="C8" t="n">
        <v>1</v>
      </c>
      <c r="D8" t="inlineStr">
        <is>
          <t>Dex %</t>
        </is>
      </c>
      <c r="E8" t="n">
        <v>3</v>
      </c>
      <c r="F8" t="n">
        <v>4.5</v>
      </c>
      <c r="G8" t="b">
        <v>0</v>
      </c>
      <c r="H8" t="inlineStr">
        <is>
          <t>0</t>
        </is>
      </c>
      <c r="J8" t="inlineStr">
        <is>
          <t>Companion Summoning Time Increase %</t>
        </is>
      </c>
      <c r="K8">
        <f>Sensitivity!H16</f>
        <v/>
      </c>
      <c r="Q8" t="inlineStr">
        <is>
          <t>gloves</t>
        </is>
      </c>
    </row>
    <row r="9">
      <c r="A9" t="inlineStr">
        <is>
          <t>ALL</t>
        </is>
      </c>
      <c r="B9" t="inlineStr">
        <is>
          <t>normal</t>
        </is>
      </c>
      <c r="C9" t="n">
        <v>1</v>
      </c>
      <c r="D9" t="inlineStr">
        <is>
          <t>Int %</t>
        </is>
      </c>
      <c r="E9" t="n">
        <v>3</v>
      </c>
      <c r="F9" t="n">
        <v>4.5</v>
      </c>
      <c r="G9" t="b">
        <v>0</v>
      </c>
      <c r="H9" t="inlineStr">
        <is>
          <t>0</t>
        </is>
      </c>
      <c r="J9" t="inlineStr">
        <is>
          <t>Critical Damage %</t>
        </is>
      </c>
      <c r="K9">
        <f>Sensitivity!H16</f>
        <v/>
      </c>
      <c r="Q9" t="inlineStr">
        <is>
          <t>boots</t>
        </is>
      </c>
    </row>
    <row r="10">
      <c r="A10" t="inlineStr">
        <is>
          <t>ALL</t>
        </is>
      </c>
      <c r="B10" t="inlineStr">
        <is>
          <t>normal</t>
        </is>
      </c>
      <c r="C10" t="n">
        <v>1</v>
      </c>
      <c r="D10" t="inlineStr">
        <is>
          <t>Luk %</t>
        </is>
      </c>
      <c r="E10" t="n">
        <v>3</v>
      </c>
      <c r="F10" t="n">
        <v>4.5</v>
      </c>
      <c r="G10" t="b">
        <v>0</v>
      </c>
      <c r="H10">
        <f>Sensitivity!H6</f>
        <v/>
      </c>
      <c r="J10" t="inlineStr">
        <is>
          <t>Critical Rate %</t>
        </is>
      </c>
      <c r="K10">
        <f>IF(Inputs!$B$9+Summary!$B$14+Artifacts!$B$32&gt;=100,Sensitivity!H16,Sensitivity!H15)</f>
        <v/>
      </c>
      <c r="Q10" t="inlineStr">
        <is>
          <t>ring</t>
        </is>
      </c>
    </row>
    <row r="11">
      <c r="A11" t="inlineStr">
        <is>
          <t>ALL</t>
        </is>
      </c>
      <c r="B11" t="inlineStr">
        <is>
          <t>normal</t>
        </is>
      </c>
      <c r="C11" t="n">
        <v>1</v>
      </c>
      <c r="D11" t="inlineStr">
        <is>
          <t>Defense %</t>
        </is>
      </c>
      <c r="E11" t="n">
        <v>3</v>
      </c>
      <c r="F11" t="n">
        <v>9</v>
      </c>
      <c r="G11" t="b">
        <v>0</v>
      </c>
      <c r="H11" t="inlineStr">
        <is>
          <t>0</t>
        </is>
      </c>
      <c r="J11" t="inlineStr">
        <is>
          <t>Damage %</t>
        </is>
      </c>
      <c r="K11">
        <f>Sensitivity!H8</f>
        <v/>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t="inlineStr">
        <is>
          <t>0</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Sensitivity!H18</f>
        <v/>
      </c>
      <c r="Q13" t="inlineStr">
        <is>
          <t>ring2</t>
        </is>
      </c>
    </row>
    <row r="14">
      <c r="A14" t="inlineStr">
        <is>
          <t>ALL</t>
        </is>
      </c>
      <c r="B14" t="inlineStr">
        <is>
          <t>normal</t>
        </is>
      </c>
      <c r="C14" t="n">
        <v>1</v>
      </c>
      <c r="D14" t="inlineStr">
        <is>
          <t>Str</t>
        </is>
      </c>
      <c r="E14" t="n">
        <v>50</v>
      </c>
      <c r="F14" t="n">
        <v>9.5</v>
      </c>
      <c r="G14" t="b">
        <v>0</v>
      </c>
      <c r="H14" t="inlineStr">
        <is>
          <t>0</t>
        </is>
      </c>
      <c r="J14" t="inlineStr">
        <is>
          <t>Dex</t>
        </is>
      </c>
      <c r="K14" t="inlineStr">
        <is>
          <t>0</t>
        </is>
      </c>
      <c r="Q14" t="inlineStr">
        <is>
          <t>face</t>
        </is>
      </c>
    </row>
    <row r="15">
      <c r="A15" t="inlineStr">
        <is>
          <t>ALL</t>
        </is>
      </c>
      <c r="B15" t="inlineStr">
        <is>
          <t>normal</t>
        </is>
      </c>
      <c r="C15" t="n">
        <v>1</v>
      </c>
      <c r="D15" t="inlineStr">
        <is>
          <t>Dex</t>
        </is>
      </c>
      <c r="E15" t="n">
        <v>50</v>
      </c>
      <c r="F15" t="n">
        <v>9.5</v>
      </c>
      <c r="G15" t="b">
        <v>0</v>
      </c>
      <c r="H15" t="inlineStr">
        <is>
          <t>0</t>
        </is>
      </c>
      <c r="J15" t="inlineStr">
        <is>
          <t>Dex %</t>
        </is>
      </c>
      <c r="K15" t="inlineStr">
        <is>
          <t>0</t>
        </is>
      </c>
      <c r="Q15" t="inlineStr">
        <is>
          <t>earrings</t>
        </is>
      </c>
    </row>
    <row r="16">
      <c r="A16" t="inlineStr">
        <is>
          <t>ALL</t>
        </is>
      </c>
      <c r="B16" t="inlineStr">
        <is>
          <t>normal</t>
        </is>
      </c>
      <c r="C16" t="n">
        <v>1</v>
      </c>
      <c r="D16" t="inlineStr">
        <is>
          <t>Int</t>
        </is>
      </c>
      <c r="E16" t="n">
        <v>50</v>
      </c>
      <c r="F16" t="n">
        <v>9.5</v>
      </c>
      <c r="G16" t="b">
        <v>0</v>
      </c>
      <c r="H16" t="inlineStr">
        <is>
          <t>0</t>
        </is>
      </c>
      <c r="J16" t="inlineStr">
        <is>
          <t>Final Damage %</t>
        </is>
      </c>
      <c r="K16">
        <f>Sensitivity!H12</f>
        <v/>
      </c>
      <c r="Q16" t="inlineStr">
        <is>
          <t>pocket</t>
        </is>
      </c>
    </row>
    <row r="17">
      <c r="A17" t="inlineStr">
        <is>
          <t>ALL</t>
        </is>
      </c>
      <c r="B17" t="inlineStr">
        <is>
          <t>normal</t>
        </is>
      </c>
      <c r="C17" t="n">
        <v>1</v>
      </c>
      <c r="D17" t="inlineStr">
        <is>
          <t>Luk</t>
        </is>
      </c>
      <c r="E17" t="n">
        <v>50</v>
      </c>
      <c r="F17" t="n">
        <v>9.5</v>
      </c>
      <c r="G17" t="b">
        <v>0</v>
      </c>
      <c r="H17">
        <f>Sensitivity!H5</f>
        <v/>
      </c>
      <c r="J17" t="inlineStr">
        <is>
          <t>Int</t>
        </is>
      </c>
      <c r="K17" t="inlineStr">
        <is>
          <t>0</t>
        </is>
      </c>
    </row>
    <row r="18">
      <c r="A18" t="inlineStr">
        <is>
          <t>ALL</t>
        </is>
      </c>
      <c r="B18" t="inlineStr">
        <is>
          <t>normal</t>
        </is>
      </c>
      <c r="C18" t="n">
        <v>2</v>
      </c>
      <c r="D18" t="inlineStr">
        <is>
          <t>Critical Rate %</t>
        </is>
      </c>
      <c r="E18" t="n">
        <v>3</v>
      </c>
      <c r="F18" t="n">
        <v>2.5</v>
      </c>
      <c r="G18" t="b">
        <v>0</v>
      </c>
      <c r="H18">
        <f>IF(Inputs!$B$9+Summary!$B$14+Artifacts!$B$32&gt;=100,Sensitivity!H16,Sensitivity!H15)</f>
        <v/>
      </c>
      <c r="J18" t="inlineStr">
        <is>
          <t>Int %</t>
        </is>
      </c>
      <c r="K18" t="inlineStr">
        <is>
          <t>0</t>
        </is>
      </c>
    </row>
    <row r="19">
      <c r="A19" t="inlineStr">
        <is>
          <t>ALL</t>
        </is>
      </c>
      <c r="B19" t="inlineStr">
        <is>
          <t>normal</t>
        </is>
      </c>
      <c r="C19" t="n">
        <v>2</v>
      </c>
      <c r="D19" t="inlineStr">
        <is>
          <t>Attack Speed %</t>
        </is>
      </c>
      <c r="E19" t="n">
        <v>3</v>
      </c>
      <c r="F19" t="n">
        <v>2.5</v>
      </c>
      <c r="G19" t="b">
        <v>0</v>
      </c>
      <c r="H19">
        <f>Sensitivity!H17</f>
        <v/>
      </c>
      <c r="J19" t="inlineStr">
        <is>
          <t>Luk</t>
        </is>
      </c>
      <c r="K19">
        <f>Sensitivity!H5</f>
        <v/>
      </c>
    </row>
    <row r="20">
      <c r="A20" t="inlineStr">
        <is>
          <t>ALL</t>
        </is>
      </c>
      <c r="B20" t="inlineStr">
        <is>
          <t>normal</t>
        </is>
      </c>
      <c r="C20" t="n">
        <v>2</v>
      </c>
      <c r="D20" t="inlineStr">
        <is>
          <t>Damage %</t>
        </is>
      </c>
      <c r="E20" t="n">
        <v>5</v>
      </c>
      <c r="F20" t="n">
        <v>4</v>
      </c>
      <c r="G20" t="b">
        <v>0</v>
      </c>
      <c r="H20">
        <f>Sensitivity!H8</f>
        <v/>
      </c>
      <c r="J20" t="inlineStr">
        <is>
          <t>Luk %</t>
        </is>
      </c>
      <c r="K20">
        <f>Sensitivity!H6</f>
        <v/>
      </c>
    </row>
    <row r="21">
      <c r="A21" t="inlineStr">
        <is>
          <t>ALL</t>
        </is>
      </c>
      <c r="B21" t="inlineStr">
        <is>
          <t>normal</t>
        </is>
      </c>
      <c r="C21" t="n">
        <v>2</v>
      </c>
      <c r="D21" t="inlineStr">
        <is>
          <t>Min Damage Multiplier %</t>
        </is>
      </c>
      <c r="E21" t="n">
        <v>3</v>
      </c>
      <c r="F21" t="n">
        <v>4</v>
      </c>
      <c r="G21" t="b">
        <v>0</v>
      </c>
      <c r="H21">
        <f>Sensitivity!H13</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Sensitivity!H14</f>
        <v/>
      </c>
      <c r="J22" t="inlineStr">
        <is>
          <t>Main Stat Per Level</t>
        </is>
      </c>
      <c r="K22">
        <f>Sensitivity!H5*Inputs!$B$3</f>
        <v/>
      </c>
    </row>
    <row r="23">
      <c r="A23" t="inlineStr">
        <is>
          <t>ALL</t>
        </is>
      </c>
      <c r="B23" t="inlineStr">
        <is>
          <t>normal</t>
        </is>
      </c>
      <c r="C23" t="n">
        <v>2</v>
      </c>
      <c r="D23" t="inlineStr">
        <is>
          <t>Str %</t>
        </is>
      </c>
      <c r="E23" t="n">
        <v>3</v>
      </c>
      <c r="F23" t="n">
        <v>4.5</v>
      </c>
      <c r="G23" t="b">
        <v>0</v>
      </c>
      <c r="H23" t="inlineStr">
        <is>
          <t>0</t>
        </is>
      </c>
      <c r="J23" t="inlineStr">
        <is>
          <t>Max Damage Multiplier %</t>
        </is>
      </c>
      <c r="K23">
        <f>Sensitivity!H14</f>
        <v/>
      </c>
    </row>
    <row r="24">
      <c r="A24" t="inlineStr">
        <is>
          <t>ALL</t>
        </is>
      </c>
      <c r="B24" t="inlineStr">
        <is>
          <t>normal</t>
        </is>
      </c>
      <c r="C24" t="n">
        <v>2</v>
      </c>
      <c r="D24" t="inlineStr">
        <is>
          <t>Dex %</t>
        </is>
      </c>
      <c r="E24" t="n">
        <v>3</v>
      </c>
      <c r="F24" t="n">
        <v>4.5</v>
      </c>
      <c r="G24" t="b">
        <v>0</v>
      </c>
      <c r="H24" t="inlineStr">
        <is>
          <t>0</t>
        </is>
      </c>
      <c r="J24" t="inlineStr">
        <is>
          <t>Max HP %</t>
        </is>
      </c>
      <c r="K24" t="inlineStr">
        <is>
          <t>0</t>
        </is>
      </c>
    </row>
    <row r="25">
      <c r="A25" t="inlineStr">
        <is>
          <t>ALL</t>
        </is>
      </c>
      <c r="B25" t="inlineStr">
        <is>
          <t>normal</t>
        </is>
      </c>
      <c r="C25" t="n">
        <v>2</v>
      </c>
      <c r="D25" t="inlineStr">
        <is>
          <t>Int %</t>
        </is>
      </c>
      <c r="E25" t="n">
        <v>3</v>
      </c>
      <c r="F25" t="n">
        <v>4.5</v>
      </c>
      <c r="G25" t="b">
        <v>0</v>
      </c>
      <c r="H25" t="inlineStr">
        <is>
          <t>0</t>
        </is>
      </c>
      <c r="J25" t="inlineStr">
        <is>
          <t>Max MP %</t>
        </is>
      </c>
      <c r="K25" t="inlineStr">
        <is>
          <t>0</t>
        </is>
      </c>
    </row>
    <row r="26">
      <c r="A26" t="inlineStr">
        <is>
          <t>ALL</t>
        </is>
      </c>
      <c r="B26" t="inlineStr">
        <is>
          <t>normal</t>
        </is>
      </c>
      <c r="C26" t="n">
        <v>2</v>
      </c>
      <c r="D26" t="inlineStr">
        <is>
          <t>Luk %</t>
        </is>
      </c>
      <c r="E26" t="n">
        <v>3</v>
      </c>
      <c r="F26" t="n">
        <v>4.5</v>
      </c>
      <c r="G26" t="b">
        <v>0</v>
      </c>
      <c r="H26">
        <f>Sensitivity!H6</f>
        <v/>
      </c>
      <c r="J26" t="inlineStr">
        <is>
          <t>Min Damage Multiplier %</t>
        </is>
      </c>
      <c r="K26">
        <f>Sensitivity!H13</f>
        <v/>
      </c>
    </row>
    <row r="27">
      <c r="A27" t="inlineStr">
        <is>
          <t>ALL</t>
        </is>
      </c>
      <c r="B27" t="inlineStr">
        <is>
          <t>normal</t>
        </is>
      </c>
      <c r="C27" t="n">
        <v>2</v>
      </c>
      <c r="D27" t="inlineStr">
        <is>
          <t>Defense %</t>
        </is>
      </c>
      <c r="E27" t="n">
        <v>3</v>
      </c>
      <c r="F27" t="n">
        <v>9</v>
      </c>
      <c r="G27" t="b">
        <v>0</v>
      </c>
      <c r="H27" t="inlineStr">
        <is>
          <t>0</t>
        </is>
      </c>
      <c r="J27" t="inlineStr">
        <is>
          <t>Skill Cooldown Decrease (seconds)</t>
        </is>
      </c>
      <c r="K27">
        <f>Sensitivity!H28</f>
        <v/>
      </c>
    </row>
    <row r="28">
      <c r="A28" t="inlineStr">
        <is>
          <t>ALL</t>
        </is>
      </c>
      <c r="B28" t="inlineStr">
        <is>
          <t>normal</t>
        </is>
      </c>
      <c r="C28" t="n">
        <v>2</v>
      </c>
      <c r="D28" t="inlineStr">
        <is>
          <t>Max HP %</t>
        </is>
      </c>
      <c r="E28" t="n">
        <v>6</v>
      </c>
      <c r="F28" t="n">
        <v>9</v>
      </c>
      <c r="G28" t="b">
        <v>0</v>
      </c>
      <c r="H28" t="inlineStr">
        <is>
          <t>0</t>
        </is>
      </c>
      <c r="J28" t="inlineStr">
        <is>
          <t>Skill Damage %</t>
        </is>
      </c>
      <c r="K28">
        <f>Sensitivity!H20</f>
        <v/>
      </c>
    </row>
    <row r="29">
      <c r="A29" t="inlineStr">
        <is>
          <t>ALL</t>
        </is>
      </c>
      <c r="B29" t="inlineStr">
        <is>
          <t>normal</t>
        </is>
      </c>
      <c r="C29" t="n">
        <v>2</v>
      </c>
      <c r="D29" t="inlineStr">
        <is>
          <t>Max MP %</t>
        </is>
      </c>
      <c r="E29" t="n">
        <v>3</v>
      </c>
      <c r="F29" t="n">
        <v>9</v>
      </c>
      <c r="G29" t="b">
        <v>0</v>
      </c>
      <c r="H29" t="inlineStr">
        <is>
          <t>0</t>
        </is>
      </c>
      <c r="J29" t="inlineStr">
        <is>
          <t>Str</t>
        </is>
      </c>
      <c r="K29" t="inlineStr">
        <is>
          <t>0</t>
        </is>
      </c>
    </row>
    <row r="30">
      <c r="A30" t="inlineStr">
        <is>
          <t>ALL</t>
        </is>
      </c>
      <c r="B30" t="inlineStr">
        <is>
          <t>normal</t>
        </is>
      </c>
      <c r="C30" t="n">
        <v>2</v>
      </c>
      <c r="D30" t="inlineStr">
        <is>
          <t>Str</t>
        </is>
      </c>
      <c r="E30" t="n">
        <v>50</v>
      </c>
      <c r="F30" t="n">
        <v>9.5</v>
      </c>
      <c r="G30" t="b">
        <v>0</v>
      </c>
      <c r="H30" t="inlineStr">
        <is>
          <t>0</t>
        </is>
      </c>
      <c r="J30" t="inlineStr">
        <is>
          <t>Str %</t>
        </is>
      </c>
      <c r="K30" t="inlineStr">
        <is>
          <t>0</t>
        </is>
      </c>
    </row>
    <row r="31">
      <c r="A31" t="inlineStr">
        <is>
          <t>ALL</t>
        </is>
      </c>
      <c r="B31" t="inlineStr">
        <is>
          <t>normal</t>
        </is>
      </c>
      <c r="C31" t="n">
        <v>2</v>
      </c>
      <c r="D31" t="inlineStr">
        <is>
          <t>Dex</t>
        </is>
      </c>
      <c r="E31" t="n">
        <v>50</v>
      </c>
      <c r="F31" t="n">
        <v>9.5</v>
      </c>
      <c r="G31" t="b">
        <v>0</v>
      </c>
      <c r="H31" t="inlineStr">
        <is>
          <t>0</t>
        </is>
      </c>
    </row>
    <row r="32">
      <c r="A32" t="inlineStr">
        <is>
          <t>ALL</t>
        </is>
      </c>
      <c r="B32" t="inlineStr">
        <is>
          <t>normal</t>
        </is>
      </c>
      <c r="C32" t="n">
        <v>2</v>
      </c>
      <c r="D32" t="inlineStr">
        <is>
          <t>Int</t>
        </is>
      </c>
      <c r="E32" t="n">
        <v>50</v>
      </c>
      <c r="F32" t="n">
        <v>9.5</v>
      </c>
      <c r="G32" t="b">
        <v>0</v>
      </c>
      <c r="H32" t="inlineStr">
        <is>
          <t>0</t>
        </is>
      </c>
    </row>
    <row r="33">
      <c r="A33" t="inlineStr">
        <is>
          <t>ALL</t>
        </is>
      </c>
      <c r="B33" t="inlineStr">
        <is>
          <t>normal</t>
        </is>
      </c>
      <c r="C33" t="n">
        <v>2</v>
      </c>
      <c r="D33" t="inlineStr">
        <is>
          <t>Luk</t>
        </is>
      </c>
      <c r="E33" t="n">
        <v>50</v>
      </c>
      <c r="F33" t="n">
        <v>9.5</v>
      </c>
      <c r="G33" t="b">
        <v>0</v>
      </c>
      <c r="H33">
        <f>Sensitivity!H5</f>
        <v/>
      </c>
    </row>
    <row r="34">
      <c r="A34" t="inlineStr">
        <is>
          <t>ALL</t>
        </is>
      </c>
      <c r="B34" t="inlineStr">
        <is>
          <t>normal</t>
        </is>
      </c>
      <c r="C34" t="n">
        <v>3</v>
      </c>
      <c r="D34" t="inlineStr">
        <is>
          <t>Critical Rate %</t>
        </is>
      </c>
      <c r="E34" t="n">
        <v>3</v>
      </c>
      <c r="F34" t="n">
        <v>2.5</v>
      </c>
      <c r="G34" t="b">
        <v>0</v>
      </c>
      <c r="H34">
        <f>IF(Inputs!$B$9+Summary!$B$14+Artifacts!$B$32&gt;=100,Sensitivity!H16,Sensitivity!H15)</f>
        <v/>
      </c>
    </row>
    <row r="35">
      <c r="A35" t="inlineStr">
        <is>
          <t>ALL</t>
        </is>
      </c>
      <c r="B35" t="inlineStr">
        <is>
          <t>normal</t>
        </is>
      </c>
      <c r="C35" t="n">
        <v>3</v>
      </c>
      <c r="D35" t="inlineStr">
        <is>
          <t>Attack Speed %</t>
        </is>
      </c>
      <c r="E35" t="n">
        <v>3</v>
      </c>
      <c r="F35" t="n">
        <v>2.5</v>
      </c>
      <c r="G35" t="b">
        <v>0</v>
      </c>
      <c r="H35">
        <f>Sensitivity!H17</f>
        <v/>
      </c>
    </row>
    <row r="36">
      <c r="A36" t="inlineStr">
        <is>
          <t>ALL</t>
        </is>
      </c>
      <c r="B36" t="inlineStr">
        <is>
          <t>normal</t>
        </is>
      </c>
      <c r="C36" t="n">
        <v>3</v>
      </c>
      <c r="D36" t="inlineStr">
        <is>
          <t>Damage %</t>
        </is>
      </c>
      <c r="E36" t="n">
        <v>5</v>
      </c>
      <c r="F36" t="n">
        <v>4</v>
      </c>
      <c r="G36" t="b">
        <v>0</v>
      </c>
      <c r="H36">
        <f>Sensitivity!H8</f>
        <v/>
      </c>
    </row>
    <row r="37">
      <c r="A37" t="inlineStr">
        <is>
          <t>ALL</t>
        </is>
      </c>
      <c r="B37" t="inlineStr">
        <is>
          <t>normal</t>
        </is>
      </c>
      <c r="C37" t="n">
        <v>3</v>
      </c>
      <c r="D37" t="inlineStr">
        <is>
          <t>Min Damage Multiplier %</t>
        </is>
      </c>
      <c r="E37" t="n">
        <v>3</v>
      </c>
      <c r="F37" t="n">
        <v>4</v>
      </c>
      <c r="G37" t="b">
        <v>0</v>
      </c>
      <c r="H37">
        <f>Sensitivity!H13</f>
        <v/>
      </c>
    </row>
    <row r="38">
      <c r="A38" t="inlineStr">
        <is>
          <t>ALL</t>
        </is>
      </c>
      <c r="B38" t="inlineStr">
        <is>
          <t>normal</t>
        </is>
      </c>
      <c r="C38" t="n">
        <v>3</v>
      </c>
      <c r="D38" t="inlineStr">
        <is>
          <t>Max Damage Multiplier %</t>
        </is>
      </c>
      <c r="E38" t="n">
        <v>3</v>
      </c>
      <c r="F38" t="n">
        <v>4</v>
      </c>
      <c r="G38" t="b">
        <v>0</v>
      </c>
      <c r="H38">
        <f>Sensitivity!H14</f>
        <v/>
      </c>
    </row>
    <row r="39">
      <c r="A39" t="inlineStr">
        <is>
          <t>ALL</t>
        </is>
      </c>
      <c r="B39" t="inlineStr">
        <is>
          <t>normal</t>
        </is>
      </c>
      <c r="C39" t="n">
        <v>3</v>
      </c>
      <c r="D39" t="inlineStr">
        <is>
          <t>Str %</t>
        </is>
      </c>
      <c r="E39" t="n">
        <v>3</v>
      </c>
      <c r="F39" t="n">
        <v>4.5</v>
      </c>
      <c r="G39" t="b">
        <v>0</v>
      </c>
      <c r="H39" t="inlineStr">
        <is>
          <t>0</t>
        </is>
      </c>
    </row>
    <row r="40">
      <c r="A40" t="inlineStr">
        <is>
          <t>ALL</t>
        </is>
      </c>
      <c r="B40" t="inlineStr">
        <is>
          <t>normal</t>
        </is>
      </c>
      <c r="C40" t="n">
        <v>3</v>
      </c>
      <c r="D40" t="inlineStr">
        <is>
          <t>Dex %</t>
        </is>
      </c>
      <c r="E40" t="n">
        <v>3</v>
      </c>
      <c r="F40" t="n">
        <v>4.5</v>
      </c>
      <c r="G40" t="b">
        <v>0</v>
      </c>
      <c r="H40" t="inlineStr">
        <is>
          <t>0</t>
        </is>
      </c>
    </row>
    <row r="41">
      <c r="A41" t="inlineStr">
        <is>
          <t>ALL</t>
        </is>
      </c>
      <c r="B41" t="inlineStr">
        <is>
          <t>normal</t>
        </is>
      </c>
      <c r="C41" t="n">
        <v>3</v>
      </c>
      <c r="D41" t="inlineStr">
        <is>
          <t>Int %</t>
        </is>
      </c>
      <c r="E41" t="n">
        <v>3</v>
      </c>
      <c r="F41" t="n">
        <v>4.5</v>
      </c>
      <c r="G41" t="b">
        <v>0</v>
      </c>
      <c r="H41" t="inlineStr">
        <is>
          <t>0</t>
        </is>
      </c>
    </row>
    <row r="42">
      <c r="A42" t="inlineStr">
        <is>
          <t>ALL</t>
        </is>
      </c>
      <c r="B42" t="inlineStr">
        <is>
          <t>normal</t>
        </is>
      </c>
      <c r="C42" t="n">
        <v>3</v>
      </c>
      <c r="D42" t="inlineStr">
        <is>
          <t>Luk %</t>
        </is>
      </c>
      <c r="E42" t="n">
        <v>3</v>
      </c>
      <c r="F42" t="n">
        <v>4.5</v>
      </c>
      <c r="G42" t="b">
        <v>0</v>
      </c>
      <c r="H42">
        <f>Sensitivity!H6</f>
        <v/>
      </c>
    </row>
    <row r="43">
      <c r="A43" t="inlineStr">
        <is>
          <t>ALL</t>
        </is>
      </c>
      <c r="B43" t="inlineStr">
        <is>
          <t>normal</t>
        </is>
      </c>
      <c r="C43" t="n">
        <v>3</v>
      </c>
      <c r="D43" t="inlineStr">
        <is>
          <t>Defense %</t>
        </is>
      </c>
      <c r="E43" t="n">
        <v>3</v>
      </c>
      <c r="F43" t="n">
        <v>9</v>
      </c>
      <c r="G43" t="b">
        <v>0</v>
      </c>
      <c r="H43" t="inlineStr">
        <is>
          <t>0</t>
        </is>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t="inlineStr">
        <is>
          <t>0</t>
        </is>
      </c>
    </row>
    <row r="47">
      <c r="A47" t="inlineStr">
        <is>
          <t>ALL</t>
        </is>
      </c>
      <c r="B47" t="inlineStr">
        <is>
          <t>normal</t>
        </is>
      </c>
      <c r="C47" t="n">
        <v>3</v>
      </c>
      <c r="D47" t="inlineStr">
        <is>
          <t>Dex</t>
        </is>
      </c>
      <c r="E47" t="n">
        <v>50</v>
      </c>
      <c r="F47" t="n">
        <v>9.5</v>
      </c>
      <c r="G47" t="b">
        <v>0</v>
      </c>
      <c r="H47" t="inlineStr">
        <is>
          <t>0</t>
        </is>
      </c>
    </row>
    <row r="48">
      <c r="A48" t="inlineStr">
        <is>
          <t>ALL</t>
        </is>
      </c>
      <c r="B48" t="inlineStr">
        <is>
          <t>normal</t>
        </is>
      </c>
      <c r="C48" t="n">
        <v>3</v>
      </c>
      <c r="D48" t="inlineStr">
        <is>
          <t>Int</t>
        </is>
      </c>
      <c r="E48" t="n">
        <v>50</v>
      </c>
      <c r="F48" t="n">
        <v>9.5</v>
      </c>
      <c r="G48" t="b">
        <v>0</v>
      </c>
      <c r="H48" t="inlineStr">
        <is>
          <t>0</t>
        </is>
      </c>
    </row>
    <row r="49">
      <c r="A49" t="inlineStr">
        <is>
          <t>ALL</t>
        </is>
      </c>
      <c r="B49" t="inlineStr">
        <is>
          <t>normal</t>
        </is>
      </c>
      <c r="C49" t="n">
        <v>3</v>
      </c>
      <c r="D49" t="inlineStr">
        <is>
          <t>Luk</t>
        </is>
      </c>
      <c r="E49" t="n">
        <v>50</v>
      </c>
      <c r="F49" t="n">
        <v>9.5</v>
      </c>
      <c r="G49" t="b">
        <v>0</v>
      </c>
      <c r="H49">
        <f>Sensitivity!H5</f>
        <v/>
      </c>
    </row>
    <row r="50">
      <c r="A50" t="inlineStr">
        <is>
          <t>ALL</t>
        </is>
      </c>
      <c r="B50" t="inlineStr">
        <is>
          <t>rare</t>
        </is>
      </c>
      <c r="C50" t="n">
        <v>1</v>
      </c>
      <c r="D50" t="inlineStr">
        <is>
          <t>Critical Rate %</t>
        </is>
      </c>
      <c r="E50" t="n">
        <v>4.5</v>
      </c>
      <c r="F50" t="n">
        <v>2.5</v>
      </c>
      <c r="G50" t="b">
        <v>1</v>
      </c>
      <c r="H50">
        <f>IF(Inputs!$B$9+Summary!$B$14+Artifacts!$B$32&gt;=100,Sensitivity!H16,Sensitivity!H15)</f>
        <v/>
      </c>
    </row>
    <row r="51">
      <c r="A51" t="inlineStr">
        <is>
          <t>ALL</t>
        </is>
      </c>
      <c r="B51" t="inlineStr">
        <is>
          <t>rare</t>
        </is>
      </c>
      <c r="C51" t="n">
        <v>1</v>
      </c>
      <c r="D51" t="inlineStr">
        <is>
          <t>Attack Speed %</t>
        </is>
      </c>
      <c r="E51" t="n">
        <v>3.5</v>
      </c>
      <c r="F51" t="n">
        <v>2.5</v>
      </c>
      <c r="G51" t="b">
        <v>1</v>
      </c>
      <c r="H51">
        <f>Sensitivity!H17</f>
        <v/>
      </c>
    </row>
    <row r="52">
      <c r="A52" t="inlineStr">
        <is>
          <t>ALL</t>
        </is>
      </c>
      <c r="B52" t="inlineStr">
        <is>
          <t>rare</t>
        </is>
      </c>
      <c r="C52" t="n">
        <v>1</v>
      </c>
      <c r="D52" t="inlineStr">
        <is>
          <t>Damage %</t>
        </is>
      </c>
      <c r="E52" t="n">
        <v>8</v>
      </c>
      <c r="F52" t="n">
        <v>4</v>
      </c>
      <c r="G52" t="b">
        <v>1</v>
      </c>
      <c r="H52">
        <f>Sensitivity!H8</f>
        <v/>
      </c>
    </row>
    <row r="53">
      <c r="A53" t="inlineStr">
        <is>
          <t>ALL</t>
        </is>
      </c>
      <c r="B53" t="inlineStr">
        <is>
          <t>rare</t>
        </is>
      </c>
      <c r="C53" t="n">
        <v>1</v>
      </c>
      <c r="D53" t="inlineStr">
        <is>
          <t>Min Damage Multiplier %</t>
        </is>
      </c>
      <c r="E53" t="n">
        <v>6</v>
      </c>
      <c r="F53" t="n">
        <v>4</v>
      </c>
      <c r="G53" t="b">
        <v>1</v>
      </c>
      <c r="H53">
        <f>Sensitivity!H13</f>
        <v/>
      </c>
    </row>
    <row r="54">
      <c r="A54" t="inlineStr">
        <is>
          <t>ALL</t>
        </is>
      </c>
      <c r="B54" t="inlineStr">
        <is>
          <t>rare</t>
        </is>
      </c>
      <c r="C54" t="n">
        <v>1</v>
      </c>
      <c r="D54" t="inlineStr">
        <is>
          <t>Max Damage Multiplier %</t>
        </is>
      </c>
      <c r="E54" t="n">
        <v>6</v>
      </c>
      <c r="F54" t="n">
        <v>4</v>
      </c>
      <c r="G54" t="b">
        <v>1</v>
      </c>
      <c r="H54">
        <f>Sensitivity!H14</f>
        <v/>
      </c>
    </row>
    <row r="55">
      <c r="A55" t="inlineStr">
        <is>
          <t>ALL</t>
        </is>
      </c>
      <c r="B55" t="inlineStr">
        <is>
          <t>rare</t>
        </is>
      </c>
      <c r="C55" t="n">
        <v>1</v>
      </c>
      <c r="D55" t="inlineStr">
        <is>
          <t>Str %</t>
        </is>
      </c>
      <c r="E55" t="n">
        <v>4.5</v>
      </c>
      <c r="F55" t="n">
        <v>4.5</v>
      </c>
      <c r="G55" t="b">
        <v>1</v>
      </c>
      <c r="H55" t="inlineStr">
        <is>
          <t>0</t>
        </is>
      </c>
    </row>
    <row r="56">
      <c r="A56" t="inlineStr">
        <is>
          <t>ALL</t>
        </is>
      </c>
      <c r="B56" t="inlineStr">
        <is>
          <t>rare</t>
        </is>
      </c>
      <c r="C56" t="n">
        <v>1</v>
      </c>
      <c r="D56" t="inlineStr">
        <is>
          <t>Dex %</t>
        </is>
      </c>
      <c r="E56" t="n">
        <v>4.5</v>
      </c>
      <c r="F56" t="n">
        <v>4.5</v>
      </c>
      <c r="G56" t="b">
        <v>1</v>
      </c>
      <c r="H56" t="inlineStr">
        <is>
          <t>0</t>
        </is>
      </c>
    </row>
    <row r="57">
      <c r="A57" t="inlineStr">
        <is>
          <t>ALL</t>
        </is>
      </c>
      <c r="B57" t="inlineStr">
        <is>
          <t>rare</t>
        </is>
      </c>
      <c r="C57" t="n">
        <v>1</v>
      </c>
      <c r="D57" t="inlineStr">
        <is>
          <t>Int %</t>
        </is>
      </c>
      <c r="E57" t="n">
        <v>4.5</v>
      </c>
      <c r="F57" t="n">
        <v>4.5</v>
      </c>
      <c r="G57" t="b">
        <v>1</v>
      </c>
      <c r="H57" t="inlineStr">
        <is>
          <t>0</t>
        </is>
      </c>
    </row>
    <row r="58">
      <c r="A58" t="inlineStr">
        <is>
          <t>ALL</t>
        </is>
      </c>
      <c r="B58" t="inlineStr">
        <is>
          <t>rare</t>
        </is>
      </c>
      <c r="C58" t="n">
        <v>1</v>
      </c>
      <c r="D58" t="inlineStr">
        <is>
          <t>Luk %</t>
        </is>
      </c>
      <c r="E58" t="n">
        <v>4.5</v>
      </c>
      <c r="F58" t="n">
        <v>4.5</v>
      </c>
      <c r="G58" t="b">
        <v>1</v>
      </c>
      <c r="H58">
        <f>Sensitivity!H6</f>
        <v/>
      </c>
    </row>
    <row r="59">
      <c r="A59" t="inlineStr">
        <is>
          <t>ALL</t>
        </is>
      </c>
      <c r="B59" t="inlineStr">
        <is>
          <t>rare</t>
        </is>
      </c>
      <c r="C59" t="n">
        <v>1</v>
      </c>
      <c r="D59" t="inlineStr">
        <is>
          <t>Defense %</t>
        </is>
      </c>
      <c r="E59" t="n">
        <v>4.5</v>
      </c>
      <c r="F59" t="n">
        <v>9</v>
      </c>
      <c r="G59" t="b">
        <v>1</v>
      </c>
      <c r="H59" t="inlineStr">
        <is>
          <t>0</t>
        </is>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t="inlineStr">
        <is>
          <t>0</t>
        </is>
      </c>
    </row>
    <row r="63">
      <c r="A63" t="inlineStr">
        <is>
          <t>ALL</t>
        </is>
      </c>
      <c r="B63" t="inlineStr">
        <is>
          <t>rare</t>
        </is>
      </c>
      <c r="C63" t="n">
        <v>1</v>
      </c>
      <c r="D63" t="inlineStr">
        <is>
          <t>Dex</t>
        </is>
      </c>
      <c r="E63" t="n">
        <v>100</v>
      </c>
      <c r="F63" t="n">
        <v>9.5</v>
      </c>
      <c r="G63" t="b">
        <v>1</v>
      </c>
      <c r="H63" t="inlineStr">
        <is>
          <t>0</t>
        </is>
      </c>
    </row>
    <row r="64">
      <c r="A64" t="inlineStr">
        <is>
          <t>ALL</t>
        </is>
      </c>
      <c r="B64" t="inlineStr">
        <is>
          <t>rare</t>
        </is>
      </c>
      <c r="C64" t="n">
        <v>1</v>
      </c>
      <c r="D64" t="inlineStr">
        <is>
          <t>Int</t>
        </is>
      </c>
      <c r="E64" t="n">
        <v>100</v>
      </c>
      <c r="F64" t="n">
        <v>9.5</v>
      </c>
      <c r="G64" t="b">
        <v>1</v>
      </c>
      <c r="H64" t="inlineStr">
        <is>
          <t>0</t>
        </is>
      </c>
    </row>
    <row r="65">
      <c r="A65" t="inlineStr">
        <is>
          <t>ALL</t>
        </is>
      </c>
      <c r="B65" t="inlineStr">
        <is>
          <t>rare</t>
        </is>
      </c>
      <c r="C65" t="n">
        <v>1</v>
      </c>
      <c r="D65" t="inlineStr">
        <is>
          <t>Luk</t>
        </is>
      </c>
      <c r="E65" t="n">
        <v>100</v>
      </c>
      <c r="F65" t="n">
        <v>9.5</v>
      </c>
      <c r="G65" t="b">
        <v>1</v>
      </c>
      <c r="H65">
        <f>Sensitivity!H5</f>
        <v/>
      </c>
    </row>
    <row r="66">
      <c r="A66" t="inlineStr">
        <is>
          <t>ALL</t>
        </is>
      </c>
      <c r="B66" t="inlineStr">
        <is>
          <t>rare</t>
        </is>
      </c>
      <c r="C66" t="n">
        <v>2</v>
      </c>
      <c r="D66" t="inlineStr">
        <is>
          <t>Critical Rate %</t>
        </is>
      </c>
      <c r="E66" t="n">
        <v>3</v>
      </c>
      <c r="F66" t="n">
        <v>1.9</v>
      </c>
      <c r="G66" t="b">
        <v>0</v>
      </c>
      <c r="H66">
        <f>IF(Inputs!$B$9+Summary!$B$14+Artifacts!$B$32&gt;=100,Sensitivity!H16,Sensitivity!H15)</f>
        <v/>
      </c>
    </row>
    <row r="67">
      <c r="A67" t="inlineStr">
        <is>
          <t>ALL</t>
        </is>
      </c>
      <c r="B67" t="inlineStr">
        <is>
          <t>rare</t>
        </is>
      </c>
      <c r="C67" t="n">
        <v>2</v>
      </c>
      <c r="D67" t="inlineStr">
        <is>
          <t>Critical Rate %</t>
        </is>
      </c>
      <c r="E67" t="n">
        <v>4.5</v>
      </c>
      <c r="F67" t="n">
        <v>0.6</v>
      </c>
      <c r="G67" t="b">
        <v>1</v>
      </c>
      <c r="H67">
        <f>IF(Inputs!$B$9+Summary!$B$14+Artifacts!$B$32&gt;=100,Sensitivity!H16,Sensitivity!H15)</f>
        <v/>
      </c>
    </row>
    <row r="68">
      <c r="A68" t="inlineStr">
        <is>
          <t>ALL</t>
        </is>
      </c>
      <c r="B68" t="inlineStr">
        <is>
          <t>rare</t>
        </is>
      </c>
      <c r="C68" t="n">
        <v>2</v>
      </c>
      <c r="D68" t="inlineStr">
        <is>
          <t>Attack Speed %</t>
        </is>
      </c>
      <c r="E68" t="n">
        <v>3</v>
      </c>
      <c r="F68" t="n">
        <v>1.9</v>
      </c>
      <c r="G68" t="b">
        <v>0</v>
      </c>
      <c r="H68">
        <f>Sensitivity!H17</f>
        <v/>
      </c>
    </row>
    <row r="69">
      <c r="A69" t="inlineStr">
        <is>
          <t>ALL</t>
        </is>
      </c>
      <c r="B69" t="inlineStr">
        <is>
          <t>rare</t>
        </is>
      </c>
      <c r="C69" t="n">
        <v>2</v>
      </c>
      <c r="D69" t="inlineStr">
        <is>
          <t>Attack Speed %</t>
        </is>
      </c>
      <c r="E69" t="n">
        <v>3.5</v>
      </c>
      <c r="F69" t="n">
        <v>0.6</v>
      </c>
      <c r="G69" t="b">
        <v>1</v>
      </c>
      <c r="H69">
        <f>Sensitivity!H17</f>
        <v/>
      </c>
    </row>
    <row r="70">
      <c r="A70" t="inlineStr">
        <is>
          <t>ALL</t>
        </is>
      </c>
      <c r="B70" t="inlineStr">
        <is>
          <t>rare</t>
        </is>
      </c>
      <c r="C70" t="n">
        <v>2</v>
      </c>
      <c r="D70" t="inlineStr">
        <is>
          <t>Damage %</t>
        </is>
      </c>
      <c r="E70" t="n">
        <v>5</v>
      </c>
      <c r="F70" t="n">
        <v>3.04</v>
      </c>
      <c r="G70" t="b">
        <v>0</v>
      </c>
      <c r="H70">
        <f>Sensitivity!H8</f>
        <v/>
      </c>
    </row>
    <row r="71">
      <c r="A71" t="inlineStr">
        <is>
          <t>ALL</t>
        </is>
      </c>
      <c r="B71" t="inlineStr">
        <is>
          <t>rare</t>
        </is>
      </c>
      <c r="C71" t="n">
        <v>2</v>
      </c>
      <c r="D71" t="inlineStr">
        <is>
          <t>Damage %</t>
        </is>
      </c>
      <c r="E71" t="n">
        <v>8</v>
      </c>
      <c r="F71" t="n">
        <v>0.96</v>
      </c>
      <c r="G71" t="b">
        <v>1</v>
      </c>
      <c r="H71">
        <f>Sensitivity!H8</f>
        <v/>
      </c>
    </row>
    <row r="72">
      <c r="A72" t="inlineStr">
        <is>
          <t>ALL</t>
        </is>
      </c>
      <c r="B72" t="inlineStr">
        <is>
          <t>rare</t>
        </is>
      </c>
      <c r="C72" t="n">
        <v>2</v>
      </c>
      <c r="D72" t="inlineStr">
        <is>
          <t>Min Damage Multiplier %</t>
        </is>
      </c>
      <c r="E72" t="n">
        <v>3</v>
      </c>
      <c r="F72" t="n">
        <v>3.04</v>
      </c>
      <c r="G72" t="b">
        <v>0</v>
      </c>
      <c r="H72">
        <f>Sensitivity!H13</f>
        <v/>
      </c>
    </row>
    <row r="73">
      <c r="A73" t="inlineStr">
        <is>
          <t>ALL</t>
        </is>
      </c>
      <c r="B73" t="inlineStr">
        <is>
          <t>rare</t>
        </is>
      </c>
      <c r="C73" t="n">
        <v>2</v>
      </c>
      <c r="D73" t="inlineStr">
        <is>
          <t>Min Damage Multiplier %</t>
        </is>
      </c>
      <c r="E73" t="n">
        <v>6</v>
      </c>
      <c r="F73" t="n">
        <v>0.96</v>
      </c>
      <c r="G73" t="b">
        <v>1</v>
      </c>
      <c r="H73">
        <f>Sensitivity!H13</f>
        <v/>
      </c>
    </row>
    <row r="74">
      <c r="A74" t="inlineStr">
        <is>
          <t>ALL</t>
        </is>
      </c>
      <c r="B74" t="inlineStr">
        <is>
          <t>rare</t>
        </is>
      </c>
      <c r="C74" t="n">
        <v>2</v>
      </c>
      <c r="D74" t="inlineStr">
        <is>
          <t>Max Damage Multiplier %</t>
        </is>
      </c>
      <c r="E74" t="n">
        <v>3</v>
      </c>
      <c r="F74" t="n">
        <v>3.04</v>
      </c>
      <c r="G74" t="b">
        <v>0</v>
      </c>
      <c r="H74">
        <f>Sensitivity!H14</f>
        <v/>
      </c>
    </row>
    <row r="75">
      <c r="A75" t="inlineStr">
        <is>
          <t>ALL</t>
        </is>
      </c>
      <c r="B75" t="inlineStr">
        <is>
          <t>rare</t>
        </is>
      </c>
      <c r="C75" t="n">
        <v>2</v>
      </c>
      <c r="D75" t="inlineStr">
        <is>
          <t>Max Damage Multiplier %</t>
        </is>
      </c>
      <c r="E75" t="n">
        <v>6</v>
      </c>
      <c r="F75" t="n">
        <v>0.96</v>
      </c>
      <c r="G75" t="b">
        <v>1</v>
      </c>
      <c r="H75">
        <f>Sensitivity!H14</f>
        <v/>
      </c>
    </row>
    <row r="76">
      <c r="A76" t="inlineStr">
        <is>
          <t>ALL</t>
        </is>
      </c>
      <c r="B76" t="inlineStr">
        <is>
          <t>rare</t>
        </is>
      </c>
      <c r="C76" t="n">
        <v>2</v>
      </c>
      <c r="D76" t="inlineStr">
        <is>
          <t>Str %</t>
        </is>
      </c>
      <c r="E76" t="n">
        <v>3</v>
      </c>
      <c r="F76" t="n">
        <v>3.42</v>
      </c>
      <c r="G76" t="b">
        <v>0</v>
      </c>
      <c r="H76" t="inlineStr">
        <is>
          <t>0</t>
        </is>
      </c>
    </row>
    <row r="77">
      <c r="A77" t="inlineStr">
        <is>
          <t>ALL</t>
        </is>
      </c>
      <c r="B77" t="inlineStr">
        <is>
          <t>rare</t>
        </is>
      </c>
      <c r="C77" t="n">
        <v>2</v>
      </c>
      <c r="D77" t="inlineStr">
        <is>
          <t>Str %</t>
        </is>
      </c>
      <c r="E77" t="n">
        <v>4.5</v>
      </c>
      <c r="F77" t="n">
        <v>1.08</v>
      </c>
      <c r="G77" t="b">
        <v>1</v>
      </c>
      <c r="H77" t="inlineStr">
        <is>
          <t>0</t>
        </is>
      </c>
    </row>
    <row r="78">
      <c r="A78" t="inlineStr">
        <is>
          <t>ALL</t>
        </is>
      </c>
      <c r="B78" t="inlineStr">
        <is>
          <t>rare</t>
        </is>
      </c>
      <c r="C78" t="n">
        <v>2</v>
      </c>
      <c r="D78" t="inlineStr">
        <is>
          <t>Dex %</t>
        </is>
      </c>
      <c r="E78" t="n">
        <v>3</v>
      </c>
      <c r="F78" t="n">
        <v>3.42</v>
      </c>
      <c r="G78" t="b">
        <v>0</v>
      </c>
      <c r="H78" t="inlineStr">
        <is>
          <t>0</t>
        </is>
      </c>
    </row>
    <row r="79">
      <c r="A79" t="inlineStr">
        <is>
          <t>ALL</t>
        </is>
      </c>
      <c r="B79" t="inlineStr">
        <is>
          <t>rare</t>
        </is>
      </c>
      <c r="C79" t="n">
        <v>2</v>
      </c>
      <c r="D79" t="inlineStr">
        <is>
          <t>Dex %</t>
        </is>
      </c>
      <c r="E79" t="n">
        <v>4.5</v>
      </c>
      <c r="F79" t="n">
        <v>1.08</v>
      </c>
      <c r="G79" t="b">
        <v>1</v>
      </c>
      <c r="H79" t="inlineStr">
        <is>
          <t>0</t>
        </is>
      </c>
    </row>
    <row r="80">
      <c r="A80" t="inlineStr">
        <is>
          <t>ALL</t>
        </is>
      </c>
      <c r="B80" t="inlineStr">
        <is>
          <t>rare</t>
        </is>
      </c>
      <c r="C80" t="n">
        <v>2</v>
      </c>
      <c r="D80" t="inlineStr">
        <is>
          <t>Int %</t>
        </is>
      </c>
      <c r="E80" t="n">
        <v>3</v>
      </c>
      <c r="F80" t="n">
        <v>3.42</v>
      </c>
      <c r="G80" t="b">
        <v>0</v>
      </c>
      <c r="H80" t="inlineStr">
        <is>
          <t>0</t>
        </is>
      </c>
    </row>
    <row r="81">
      <c r="A81" t="inlineStr">
        <is>
          <t>ALL</t>
        </is>
      </c>
      <c r="B81" t="inlineStr">
        <is>
          <t>rare</t>
        </is>
      </c>
      <c r="C81" t="n">
        <v>2</v>
      </c>
      <c r="D81" t="inlineStr">
        <is>
          <t>Int %</t>
        </is>
      </c>
      <c r="E81" t="n">
        <v>4.5</v>
      </c>
      <c r="F81" t="n">
        <v>1.08</v>
      </c>
      <c r="G81" t="b">
        <v>1</v>
      </c>
      <c r="H81" t="inlineStr">
        <is>
          <t>0</t>
        </is>
      </c>
    </row>
    <row r="82">
      <c r="A82" t="inlineStr">
        <is>
          <t>ALL</t>
        </is>
      </c>
      <c r="B82" t="inlineStr">
        <is>
          <t>rare</t>
        </is>
      </c>
      <c r="C82" t="n">
        <v>2</v>
      </c>
      <c r="D82" t="inlineStr">
        <is>
          <t>Luk %</t>
        </is>
      </c>
      <c r="E82" t="n">
        <v>3</v>
      </c>
      <c r="F82" t="n">
        <v>3.42</v>
      </c>
      <c r="G82" t="b">
        <v>0</v>
      </c>
      <c r="H82">
        <f>Sensitivity!H6</f>
        <v/>
      </c>
    </row>
    <row r="83">
      <c r="A83" t="inlineStr">
        <is>
          <t>ALL</t>
        </is>
      </c>
      <c r="B83" t="inlineStr">
        <is>
          <t>rare</t>
        </is>
      </c>
      <c r="C83" t="n">
        <v>2</v>
      </c>
      <c r="D83" t="inlineStr">
        <is>
          <t>Luk %</t>
        </is>
      </c>
      <c r="E83" t="n">
        <v>4.5</v>
      </c>
      <c r="F83" t="n">
        <v>1.08</v>
      </c>
      <c r="G83" t="b">
        <v>1</v>
      </c>
      <c r="H83">
        <f>Sensitivity!H6</f>
        <v/>
      </c>
    </row>
    <row r="84">
      <c r="A84" t="inlineStr">
        <is>
          <t>ALL</t>
        </is>
      </c>
      <c r="B84" t="inlineStr">
        <is>
          <t>rare</t>
        </is>
      </c>
      <c r="C84" t="n">
        <v>2</v>
      </c>
      <c r="D84" t="inlineStr">
        <is>
          <t>Defense %</t>
        </is>
      </c>
      <c r="E84" t="n">
        <v>3</v>
      </c>
      <c r="F84" t="n">
        <v>6.84</v>
      </c>
      <c r="G84" t="b">
        <v>0</v>
      </c>
      <c r="H84" t="inlineStr">
        <is>
          <t>0</t>
        </is>
      </c>
    </row>
    <row r="85">
      <c r="A85" t="inlineStr">
        <is>
          <t>ALL</t>
        </is>
      </c>
      <c r="B85" t="inlineStr">
        <is>
          <t>rare</t>
        </is>
      </c>
      <c r="C85" t="n">
        <v>2</v>
      </c>
      <c r="D85" t="inlineStr">
        <is>
          <t>Defense %</t>
        </is>
      </c>
      <c r="E85" t="n">
        <v>4.5</v>
      </c>
      <c r="F85" t="n">
        <v>2.16</v>
      </c>
      <c r="G85" t="b">
        <v>1</v>
      </c>
      <c r="H85" t="inlineStr">
        <is>
          <t>0</t>
        </is>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t="inlineStr">
        <is>
          <t>0</t>
        </is>
      </c>
    </row>
    <row r="91">
      <c r="A91" t="inlineStr">
        <is>
          <t>ALL</t>
        </is>
      </c>
      <c r="B91" t="inlineStr">
        <is>
          <t>rare</t>
        </is>
      </c>
      <c r="C91" t="n">
        <v>2</v>
      </c>
      <c r="D91" t="inlineStr">
        <is>
          <t>Str</t>
        </is>
      </c>
      <c r="E91" t="n">
        <v>100</v>
      </c>
      <c r="F91" t="n">
        <v>2.28</v>
      </c>
      <c r="G91" t="b">
        <v>1</v>
      </c>
      <c r="H91" t="inlineStr">
        <is>
          <t>0</t>
        </is>
      </c>
    </row>
    <row r="92">
      <c r="A92" t="inlineStr">
        <is>
          <t>ALL</t>
        </is>
      </c>
      <c r="B92" t="inlineStr">
        <is>
          <t>rare</t>
        </is>
      </c>
      <c r="C92" t="n">
        <v>2</v>
      </c>
      <c r="D92" t="inlineStr">
        <is>
          <t>Dex</t>
        </is>
      </c>
      <c r="E92" t="n">
        <v>50</v>
      </c>
      <c r="F92" t="n">
        <v>7.22</v>
      </c>
      <c r="G92" t="b">
        <v>0</v>
      </c>
      <c r="H92" t="inlineStr">
        <is>
          <t>0</t>
        </is>
      </c>
    </row>
    <row r="93">
      <c r="A93" t="inlineStr">
        <is>
          <t>ALL</t>
        </is>
      </c>
      <c r="B93" t="inlineStr">
        <is>
          <t>rare</t>
        </is>
      </c>
      <c r="C93" t="n">
        <v>2</v>
      </c>
      <c r="D93" t="inlineStr">
        <is>
          <t>Dex</t>
        </is>
      </c>
      <c r="E93" t="n">
        <v>100</v>
      </c>
      <c r="F93" t="n">
        <v>2.28</v>
      </c>
      <c r="G93" t="b">
        <v>1</v>
      </c>
      <c r="H93" t="inlineStr">
        <is>
          <t>0</t>
        </is>
      </c>
    </row>
    <row r="94">
      <c r="A94" t="inlineStr">
        <is>
          <t>ALL</t>
        </is>
      </c>
      <c r="B94" t="inlineStr">
        <is>
          <t>rare</t>
        </is>
      </c>
      <c r="C94" t="n">
        <v>2</v>
      </c>
      <c r="D94" t="inlineStr">
        <is>
          <t>Int</t>
        </is>
      </c>
      <c r="E94" t="n">
        <v>50</v>
      </c>
      <c r="F94" t="n">
        <v>7.22</v>
      </c>
      <c r="G94" t="b">
        <v>0</v>
      </c>
      <c r="H94" t="inlineStr">
        <is>
          <t>0</t>
        </is>
      </c>
    </row>
    <row r="95">
      <c r="A95" t="inlineStr">
        <is>
          <t>ALL</t>
        </is>
      </c>
      <c r="B95" t="inlineStr">
        <is>
          <t>rare</t>
        </is>
      </c>
      <c r="C95" t="n">
        <v>2</v>
      </c>
      <c r="D95" t="inlineStr">
        <is>
          <t>Int</t>
        </is>
      </c>
      <c r="E95" t="n">
        <v>100</v>
      </c>
      <c r="F95" t="n">
        <v>2.28</v>
      </c>
      <c r="G95" t="b">
        <v>1</v>
      </c>
      <c r="H95" t="inlineStr">
        <is>
          <t>0</t>
        </is>
      </c>
    </row>
    <row r="96">
      <c r="A96" t="inlineStr">
        <is>
          <t>ALL</t>
        </is>
      </c>
      <c r="B96" t="inlineStr">
        <is>
          <t>rare</t>
        </is>
      </c>
      <c r="C96" t="n">
        <v>2</v>
      </c>
      <c r="D96" t="inlineStr">
        <is>
          <t>Luk</t>
        </is>
      </c>
      <c r="E96" t="n">
        <v>50</v>
      </c>
      <c r="F96" t="n">
        <v>7.22</v>
      </c>
      <c r="G96" t="b">
        <v>0</v>
      </c>
      <c r="H96">
        <f>Sensitivity!H5</f>
        <v/>
      </c>
    </row>
    <row r="97">
      <c r="A97" t="inlineStr">
        <is>
          <t>ALL</t>
        </is>
      </c>
      <c r="B97" t="inlineStr">
        <is>
          <t>rare</t>
        </is>
      </c>
      <c r="C97" t="n">
        <v>2</v>
      </c>
      <c r="D97" t="inlineStr">
        <is>
          <t>Luk</t>
        </is>
      </c>
      <c r="E97" t="n">
        <v>100</v>
      </c>
      <c r="F97" t="n">
        <v>2.28</v>
      </c>
      <c r="G97" t="b">
        <v>1</v>
      </c>
      <c r="H97">
        <f>Sensitivity!H5</f>
        <v/>
      </c>
    </row>
    <row r="98">
      <c r="A98" t="inlineStr">
        <is>
          <t>ALL</t>
        </is>
      </c>
      <c r="B98" t="inlineStr">
        <is>
          <t>rare</t>
        </is>
      </c>
      <c r="C98" t="n">
        <v>3</v>
      </c>
      <c r="D98" t="inlineStr">
        <is>
          <t>Critical Rate %</t>
        </is>
      </c>
      <c r="E98" t="n">
        <v>3</v>
      </c>
      <c r="F98" t="n">
        <v>2.3</v>
      </c>
      <c r="G98" t="b">
        <v>0</v>
      </c>
      <c r="H98">
        <f>IF(Inputs!$B$9+Summary!$B$14+Artifacts!$B$32&gt;=100,Sensitivity!H16,Sensitivity!H15)</f>
        <v/>
      </c>
    </row>
    <row r="99">
      <c r="A99" t="inlineStr">
        <is>
          <t>ALL</t>
        </is>
      </c>
      <c r="B99" t="inlineStr">
        <is>
          <t>rare</t>
        </is>
      </c>
      <c r="C99" t="n">
        <v>3</v>
      </c>
      <c r="D99" t="inlineStr">
        <is>
          <t>Critical Rate %</t>
        </is>
      </c>
      <c r="E99" t="n">
        <v>4.5</v>
      </c>
      <c r="F99" t="n">
        <v>0.2</v>
      </c>
      <c r="G99" t="b">
        <v>1</v>
      </c>
      <c r="H99">
        <f>IF(Inputs!$B$9+Summary!$B$14+Artifacts!$B$32&gt;=100,Sensitivity!H16,Sensitivity!H15)</f>
        <v/>
      </c>
    </row>
    <row r="100">
      <c r="A100" t="inlineStr">
        <is>
          <t>ALL</t>
        </is>
      </c>
      <c r="B100" t="inlineStr">
        <is>
          <t>rare</t>
        </is>
      </c>
      <c r="C100" t="n">
        <v>3</v>
      </c>
      <c r="D100" t="inlineStr">
        <is>
          <t>Attack Speed %</t>
        </is>
      </c>
      <c r="E100" t="n">
        <v>3</v>
      </c>
      <c r="F100" t="n">
        <v>2.3</v>
      </c>
      <c r="G100" t="b">
        <v>0</v>
      </c>
      <c r="H100">
        <f>Sensitivity!H17</f>
        <v/>
      </c>
    </row>
    <row r="101">
      <c r="A101" t="inlineStr">
        <is>
          <t>ALL</t>
        </is>
      </c>
      <c r="B101" t="inlineStr">
        <is>
          <t>rare</t>
        </is>
      </c>
      <c r="C101" t="n">
        <v>3</v>
      </c>
      <c r="D101" t="inlineStr">
        <is>
          <t>Attack Speed %</t>
        </is>
      </c>
      <c r="E101" t="n">
        <v>3.5</v>
      </c>
      <c r="F101" t="n">
        <v>0.2</v>
      </c>
      <c r="G101" t="b">
        <v>1</v>
      </c>
      <c r="H101">
        <f>Sensitivity!H17</f>
        <v/>
      </c>
    </row>
    <row r="102">
      <c r="A102" t="inlineStr">
        <is>
          <t>ALL</t>
        </is>
      </c>
      <c r="B102" t="inlineStr">
        <is>
          <t>rare</t>
        </is>
      </c>
      <c r="C102" t="n">
        <v>3</v>
      </c>
      <c r="D102" t="inlineStr">
        <is>
          <t>Damage %</t>
        </is>
      </c>
      <c r="E102" t="n">
        <v>5</v>
      </c>
      <c r="F102" t="n">
        <v>3.68</v>
      </c>
      <c r="G102" t="b">
        <v>0</v>
      </c>
      <c r="H102">
        <f>Sensitivity!H8</f>
        <v/>
      </c>
    </row>
    <row r="103">
      <c r="A103" t="inlineStr">
        <is>
          <t>ALL</t>
        </is>
      </c>
      <c r="B103" t="inlineStr">
        <is>
          <t>rare</t>
        </is>
      </c>
      <c r="C103" t="n">
        <v>3</v>
      </c>
      <c r="D103" t="inlineStr">
        <is>
          <t>Damage %</t>
        </is>
      </c>
      <c r="E103" t="n">
        <v>8</v>
      </c>
      <c r="F103" t="n">
        <v>0.32</v>
      </c>
      <c r="G103" t="b">
        <v>1</v>
      </c>
      <c r="H103">
        <f>Sensitivity!H8</f>
        <v/>
      </c>
    </row>
    <row r="104">
      <c r="A104" t="inlineStr">
        <is>
          <t>ALL</t>
        </is>
      </c>
      <c r="B104" t="inlineStr">
        <is>
          <t>rare</t>
        </is>
      </c>
      <c r="C104" t="n">
        <v>3</v>
      </c>
      <c r="D104" t="inlineStr">
        <is>
          <t>Min Damage Multiplier %</t>
        </is>
      </c>
      <c r="E104" t="n">
        <v>3</v>
      </c>
      <c r="F104" t="n">
        <v>3.68</v>
      </c>
      <c r="G104" t="b">
        <v>0</v>
      </c>
      <c r="H104">
        <f>Sensitivity!H13</f>
        <v/>
      </c>
    </row>
    <row r="105">
      <c r="A105" t="inlineStr">
        <is>
          <t>ALL</t>
        </is>
      </c>
      <c r="B105" t="inlineStr">
        <is>
          <t>rare</t>
        </is>
      </c>
      <c r="C105" t="n">
        <v>3</v>
      </c>
      <c r="D105" t="inlineStr">
        <is>
          <t>Min Damage Multiplier %</t>
        </is>
      </c>
      <c r="E105" t="n">
        <v>6</v>
      </c>
      <c r="F105" t="n">
        <v>0.32</v>
      </c>
      <c r="G105" t="b">
        <v>1</v>
      </c>
      <c r="H105">
        <f>Sensitivity!H13</f>
        <v/>
      </c>
    </row>
    <row r="106">
      <c r="A106" t="inlineStr">
        <is>
          <t>ALL</t>
        </is>
      </c>
      <c r="B106" t="inlineStr">
        <is>
          <t>rare</t>
        </is>
      </c>
      <c r="C106" t="n">
        <v>3</v>
      </c>
      <c r="D106" t="inlineStr">
        <is>
          <t>Max Damage Multiplier %</t>
        </is>
      </c>
      <c r="E106" t="n">
        <v>3</v>
      </c>
      <c r="F106" t="n">
        <v>3.68</v>
      </c>
      <c r="G106" t="b">
        <v>0</v>
      </c>
      <c r="H106">
        <f>Sensitivity!H14</f>
        <v/>
      </c>
    </row>
    <row r="107">
      <c r="A107" t="inlineStr">
        <is>
          <t>ALL</t>
        </is>
      </c>
      <c r="B107" t="inlineStr">
        <is>
          <t>rare</t>
        </is>
      </c>
      <c r="C107" t="n">
        <v>3</v>
      </c>
      <c r="D107" t="inlineStr">
        <is>
          <t>Max Damage Multiplier %</t>
        </is>
      </c>
      <c r="E107" t="n">
        <v>6</v>
      </c>
      <c r="F107" t="n">
        <v>0.32</v>
      </c>
      <c r="G107" t="b">
        <v>1</v>
      </c>
      <c r="H107">
        <f>Sensitivity!H14</f>
        <v/>
      </c>
    </row>
    <row r="108">
      <c r="A108" t="inlineStr">
        <is>
          <t>ALL</t>
        </is>
      </c>
      <c r="B108" t="inlineStr">
        <is>
          <t>rare</t>
        </is>
      </c>
      <c r="C108" t="n">
        <v>3</v>
      </c>
      <c r="D108" t="inlineStr">
        <is>
          <t>Str %</t>
        </is>
      </c>
      <c r="E108" t="n">
        <v>3</v>
      </c>
      <c r="F108" t="n">
        <v>4.14</v>
      </c>
      <c r="G108" t="b">
        <v>0</v>
      </c>
      <c r="H108" t="inlineStr">
        <is>
          <t>0</t>
        </is>
      </c>
    </row>
    <row r="109">
      <c r="A109" t="inlineStr">
        <is>
          <t>ALL</t>
        </is>
      </c>
      <c r="B109" t="inlineStr">
        <is>
          <t>rare</t>
        </is>
      </c>
      <c r="C109" t="n">
        <v>3</v>
      </c>
      <c r="D109" t="inlineStr">
        <is>
          <t>Str %</t>
        </is>
      </c>
      <c r="E109" t="n">
        <v>4.5</v>
      </c>
      <c r="F109" t="n">
        <v>0.36</v>
      </c>
      <c r="G109" t="b">
        <v>1</v>
      </c>
      <c r="H109" t="inlineStr">
        <is>
          <t>0</t>
        </is>
      </c>
    </row>
    <row r="110">
      <c r="A110" t="inlineStr">
        <is>
          <t>ALL</t>
        </is>
      </c>
      <c r="B110" t="inlineStr">
        <is>
          <t>rare</t>
        </is>
      </c>
      <c r="C110" t="n">
        <v>3</v>
      </c>
      <c r="D110" t="inlineStr">
        <is>
          <t>Dex %</t>
        </is>
      </c>
      <c r="E110" t="n">
        <v>3</v>
      </c>
      <c r="F110" t="n">
        <v>4.14</v>
      </c>
      <c r="G110" t="b">
        <v>0</v>
      </c>
      <c r="H110" t="inlineStr">
        <is>
          <t>0</t>
        </is>
      </c>
    </row>
    <row r="111">
      <c r="A111" t="inlineStr">
        <is>
          <t>ALL</t>
        </is>
      </c>
      <c r="B111" t="inlineStr">
        <is>
          <t>rare</t>
        </is>
      </c>
      <c r="C111" t="n">
        <v>3</v>
      </c>
      <c r="D111" t="inlineStr">
        <is>
          <t>Dex %</t>
        </is>
      </c>
      <c r="E111" t="n">
        <v>4.5</v>
      </c>
      <c r="F111" t="n">
        <v>0.36</v>
      </c>
      <c r="G111" t="b">
        <v>1</v>
      </c>
      <c r="H111" t="inlineStr">
        <is>
          <t>0</t>
        </is>
      </c>
    </row>
    <row r="112">
      <c r="A112" t="inlineStr">
        <is>
          <t>ALL</t>
        </is>
      </c>
      <c r="B112" t="inlineStr">
        <is>
          <t>rare</t>
        </is>
      </c>
      <c r="C112" t="n">
        <v>3</v>
      </c>
      <c r="D112" t="inlineStr">
        <is>
          <t>Int %</t>
        </is>
      </c>
      <c r="E112" t="n">
        <v>3</v>
      </c>
      <c r="F112" t="n">
        <v>4.14</v>
      </c>
      <c r="G112" t="b">
        <v>0</v>
      </c>
      <c r="H112" t="inlineStr">
        <is>
          <t>0</t>
        </is>
      </c>
    </row>
    <row r="113">
      <c r="A113" t="inlineStr">
        <is>
          <t>ALL</t>
        </is>
      </c>
      <c r="B113" t="inlineStr">
        <is>
          <t>rare</t>
        </is>
      </c>
      <c r="C113" t="n">
        <v>3</v>
      </c>
      <c r="D113" t="inlineStr">
        <is>
          <t>Int %</t>
        </is>
      </c>
      <c r="E113" t="n">
        <v>4.5</v>
      </c>
      <c r="F113" t="n">
        <v>0.36</v>
      </c>
      <c r="G113" t="b">
        <v>1</v>
      </c>
      <c r="H113" t="inlineStr">
        <is>
          <t>0</t>
        </is>
      </c>
    </row>
    <row r="114">
      <c r="A114" t="inlineStr">
        <is>
          <t>ALL</t>
        </is>
      </c>
      <c r="B114" t="inlineStr">
        <is>
          <t>rare</t>
        </is>
      </c>
      <c r="C114" t="n">
        <v>3</v>
      </c>
      <c r="D114" t="inlineStr">
        <is>
          <t>Luk %</t>
        </is>
      </c>
      <c r="E114" t="n">
        <v>3</v>
      </c>
      <c r="F114" t="n">
        <v>4.14</v>
      </c>
      <c r="G114" t="b">
        <v>0</v>
      </c>
      <c r="H114">
        <f>Sensitivity!H6</f>
        <v/>
      </c>
    </row>
    <row r="115">
      <c r="A115" t="inlineStr">
        <is>
          <t>ALL</t>
        </is>
      </c>
      <c r="B115" t="inlineStr">
        <is>
          <t>rare</t>
        </is>
      </c>
      <c r="C115" t="n">
        <v>3</v>
      </c>
      <c r="D115" t="inlineStr">
        <is>
          <t>Luk %</t>
        </is>
      </c>
      <c r="E115" t="n">
        <v>4.5</v>
      </c>
      <c r="F115" t="n">
        <v>0.36</v>
      </c>
      <c r="G115" t="b">
        <v>1</v>
      </c>
      <c r="H115">
        <f>Sensitivity!H6</f>
        <v/>
      </c>
    </row>
    <row r="116">
      <c r="A116" t="inlineStr">
        <is>
          <t>ALL</t>
        </is>
      </c>
      <c r="B116" t="inlineStr">
        <is>
          <t>rare</t>
        </is>
      </c>
      <c r="C116" t="n">
        <v>3</v>
      </c>
      <c r="D116" t="inlineStr">
        <is>
          <t>Defense %</t>
        </is>
      </c>
      <c r="E116" t="n">
        <v>3</v>
      </c>
      <c r="F116" t="n">
        <v>8.279999999999999</v>
      </c>
      <c r="G116" t="b">
        <v>0</v>
      </c>
      <c r="H116" t="inlineStr">
        <is>
          <t>0</t>
        </is>
      </c>
    </row>
    <row r="117">
      <c r="A117" t="inlineStr">
        <is>
          <t>ALL</t>
        </is>
      </c>
      <c r="B117" t="inlineStr">
        <is>
          <t>rare</t>
        </is>
      </c>
      <c r="C117" t="n">
        <v>3</v>
      </c>
      <c r="D117" t="inlineStr">
        <is>
          <t>Defense %</t>
        </is>
      </c>
      <c r="E117" t="n">
        <v>4.5</v>
      </c>
      <c r="F117" t="n">
        <v>0.72</v>
      </c>
      <c r="G117" t="b">
        <v>1</v>
      </c>
      <c r="H117" t="inlineStr">
        <is>
          <t>0</t>
        </is>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t="inlineStr">
        <is>
          <t>0</t>
        </is>
      </c>
    </row>
    <row r="123">
      <c r="A123" t="inlineStr">
        <is>
          <t>ALL</t>
        </is>
      </c>
      <c r="B123" t="inlineStr">
        <is>
          <t>rare</t>
        </is>
      </c>
      <c r="C123" t="n">
        <v>3</v>
      </c>
      <c r="D123" t="inlineStr">
        <is>
          <t>Str</t>
        </is>
      </c>
      <c r="E123" t="n">
        <v>100</v>
      </c>
      <c r="F123" t="n">
        <v>0.76</v>
      </c>
      <c r="G123" t="b">
        <v>1</v>
      </c>
      <c r="H123" t="inlineStr">
        <is>
          <t>0</t>
        </is>
      </c>
    </row>
    <row r="124">
      <c r="A124" t="inlineStr">
        <is>
          <t>ALL</t>
        </is>
      </c>
      <c r="B124" t="inlineStr">
        <is>
          <t>rare</t>
        </is>
      </c>
      <c r="C124" t="n">
        <v>3</v>
      </c>
      <c r="D124" t="inlineStr">
        <is>
          <t>Dex</t>
        </is>
      </c>
      <c r="E124" t="n">
        <v>50</v>
      </c>
      <c r="F124" t="n">
        <v>8.74</v>
      </c>
      <c r="G124" t="b">
        <v>0</v>
      </c>
      <c r="H124" t="inlineStr">
        <is>
          <t>0</t>
        </is>
      </c>
    </row>
    <row r="125">
      <c r="A125" t="inlineStr">
        <is>
          <t>ALL</t>
        </is>
      </c>
      <c r="B125" t="inlineStr">
        <is>
          <t>rare</t>
        </is>
      </c>
      <c r="C125" t="n">
        <v>3</v>
      </c>
      <c r="D125" t="inlineStr">
        <is>
          <t>Dex</t>
        </is>
      </c>
      <c r="E125" t="n">
        <v>100</v>
      </c>
      <c r="F125" t="n">
        <v>0.76</v>
      </c>
      <c r="G125" t="b">
        <v>1</v>
      </c>
      <c r="H125" t="inlineStr">
        <is>
          <t>0</t>
        </is>
      </c>
    </row>
    <row r="126">
      <c r="A126" t="inlineStr">
        <is>
          <t>ALL</t>
        </is>
      </c>
      <c r="B126" t="inlineStr">
        <is>
          <t>rare</t>
        </is>
      </c>
      <c r="C126" t="n">
        <v>3</v>
      </c>
      <c r="D126" t="inlineStr">
        <is>
          <t>Int</t>
        </is>
      </c>
      <c r="E126" t="n">
        <v>50</v>
      </c>
      <c r="F126" t="n">
        <v>8.74</v>
      </c>
      <c r="G126" t="b">
        <v>0</v>
      </c>
      <c r="H126" t="inlineStr">
        <is>
          <t>0</t>
        </is>
      </c>
    </row>
    <row r="127">
      <c r="A127" t="inlineStr">
        <is>
          <t>ALL</t>
        </is>
      </c>
      <c r="B127" t="inlineStr">
        <is>
          <t>rare</t>
        </is>
      </c>
      <c r="C127" t="n">
        <v>3</v>
      </c>
      <c r="D127" t="inlineStr">
        <is>
          <t>Int</t>
        </is>
      </c>
      <c r="E127" t="n">
        <v>100</v>
      </c>
      <c r="F127" t="n">
        <v>0.76</v>
      </c>
      <c r="G127" t="b">
        <v>1</v>
      </c>
      <c r="H127" t="inlineStr">
        <is>
          <t>0</t>
        </is>
      </c>
    </row>
    <row r="128">
      <c r="A128" t="inlineStr">
        <is>
          <t>ALL</t>
        </is>
      </c>
      <c r="B128" t="inlineStr">
        <is>
          <t>rare</t>
        </is>
      </c>
      <c r="C128" t="n">
        <v>3</v>
      </c>
      <c r="D128" t="inlineStr">
        <is>
          <t>Luk</t>
        </is>
      </c>
      <c r="E128" t="n">
        <v>50</v>
      </c>
      <c r="F128" t="n">
        <v>8.74</v>
      </c>
      <c r="G128" t="b">
        <v>0</v>
      </c>
      <c r="H128">
        <f>Sensitivity!H5</f>
        <v/>
      </c>
    </row>
    <row r="129">
      <c r="A129" t="inlineStr">
        <is>
          <t>ALL</t>
        </is>
      </c>
      <c r="B129" t="inlineStr">
        <is>
          <t>rare</t>
        </is>
      </c>
      <c r="C129" t="n">
        <v>3</v>
      </c>
      <c r="D129" t="inlineStr">
        <is>
          <t>Luk</t>
        </is>
      </c>
      <c r="E129" t="n">
        <v>100</v>
      </c>
      <c r="F129" t="n">
        <v>0.76</v>
      </c>
      <c r="G129" t="b">
        <v>1</v>
      </c>
      <c r="H129">
        <f>Sensitivity!H5</f>
        <v/>
      </c>
    </row>
    <row r="130">
      <c r="A130" t="inlineStr">
        <is>
          <t>ALL</t>
        </is>
      </c>
      <c r="B130" t="inlineStr">
        <is>
          <t>epic</t>
        </is>
      </c>
      <c r="C130" t="n">
        <v>1</v>
      </c>
      <c r="D130" t="inlineStr">
        <is>
          <t>Critical Rate %</t>
        </is>
      </c>
      <c r="E130" t="n">
        <v>6</v>
      </c>
      <c r="F130" t="n">
        <v>2.5</v>
      </c>
      <c r="G130" t="b">
        <v>1</v>
      </c>
      <c r="H130">
        <f>IF(Inputs!$B$9+Summary!$B$14+Artifacts!$B$32&gt;=100,Sensitivity!H16,Sensitivity!H15)</f>
        <v/>
      </c>
    </row>
    <row r="131">
      <c r="A131" t="inlineStr">
        <is>
          <t>ALL</t>
        </is>
      </c>
      <c r="B131" t="inlineStr">
        <is>
          <t>epic</t>
        </is>
      </c>
      <c r="C131" t="n">
        <v>1</v>
      </c>
      <c r="D131" t="inlineStr">
        <is>
          <t>Attack Speed %</t>
        </is>
      </c>
      <c r="E131" t="n">
        <v>4</v>
      </c>
      <c r="F131" t="n">
        <v>2.5</v>
      </c>
      <c r="G131" t="b">
        <v>1</v>
      </c>
      <c r="H131">
        <f>Sensitivity!H17</f>
        <v/>
      </c>
    </row>
    <row r="132">
      <c r="A132" t="inlineStr">
        <is>
          <t>ALL</t>
        </is>
      </c>
      <c r="B132" t="inlineStr">
        <is>
          <t>epic</t>
        </is>
      </c>
      <c r="C132" t="n">
        <v>1</v>
      </c>
      <c r="D132" t="inlineStr">
        <is>
          <t>Damage %</t>
        </is>
      </c>
      <c r="E132" t="n">
        <v>12</v>
      </c>
      <c r="F132" t="n">
        <v>4</v>
      </c>
      <c r="G132" t="b">
        <v>1</v>
      </c>
      <c r="H132">
        <f>Sensitivity!H8</f>
        <v/>
      </c>
    </row>
    <row r="133">
      <c r="A133" t="inlineStr">
        <is>
          <t>ALL</t>
        </is>
      </c>
      <c r="B133" t="inlineStr">
        <is>
          <t>epic</t>
        </is>
      </c>
      <c r="C133" t="n">
        <v>1</v>
      </c>
      <c r="D133" t="inlineStr">
        <is>
          <t>Min Damage Multiplier %</t>
        </is>
      </c>
      <c r="E133" t="n">
        <v>8</v>
      </c>
      <c r="F133" t="n">
        <v>4</v>
      </c>
      <c r="G133" t="b">
        <v>1</v>
      </c>
      <c r="H133">
        <f>Sensitivity!H13</f>
        <v/>
      </c>
    </row>
    <row r="134">
      <c r="A134" t="inlineStr">
        <is>
          <t>ALL</t>
        </is>
      </c>
      <c r="B134" t="inlineStr">
        <is>
          <t>epic</t>
        </is>
      </c>
      <c r="C134" t="n">
        <v>1</v>
      </c>
      <c r="D134" t="inlineStr">
        <is>
          <t>Max Damage Multiplier %</t>
        </is>
      </c>
      <c r="E134" t="n">
        <v>8</v>
      </c>
      <c r="F134" t="n">
        <v>4</v>
      </c>
      <c r="G134" t="b">
        <v>1</v>
      </c>
      <c r="H134">
        <f>Sensitivity!H14</f>
        <v/>
      </c>
    </row>
    <row r="135">
      <c r="A135" t="inlineStr">
        <is>
          <t>ALL</t>
        </is>
      </c>
      <c r="B135" t="inlineStr">
        <is>
          <t>epic</t>
        </is>
      </c>
      <c r="C135" t="n">
        <v>1</v>
      </c>
      <c r="D135" t="inlineStr">
        <is>
          <t>Str %</t>
        </is>
      </c>
      <c r="E135" t="n">
        <v>6</v>
      </c>
      <c r="F135" t="n">
        <v>4.5</v>
      </c>
      <c r="G135" t="b">
        <v>1</v>
      </c>
      <c r="H135" t="inlineStr">
        <is>
          <t>0</t>
        </is>
      </c>
    </row>
    <row r="136">
      <c r="A136" t="inlineStr">
        <is>
          <t>ALL</t>
        </is>
      </c>
      <c r="B136" t="inlineStr">
        <is>
          <t>epic</t>
        </is>
      </c>
      <c r="C136" t="n">
        <v>1</v>
      </c>
      <c r="D136" t="inlineStr">
        <is>
          <t>Dex %</t>
        </is>
      </c>
      <c r="E136" t="n">
        <v>6</v>
      </c>
      <c r="F136" t="n">
        <v>4.5</v>
      </c>
      <c r="G136" t="b">
        <v>1</v>
      </c>
      <c r="H136" t="inlineStr">
        <is>
          <t>0</t>
        </is>
      </c>
    </row>
    <row r="137">
      <c r="A137" t="inlineStr">
        <is>
          <t>ALL</t>
        </is>
      </c>
      <c r="B137" t="inlineStr">
        <is>
          <t>epic</t>
        </is>
      </c>
      <c r="C137" t="n">
        <v>1</v>
      </c>
      <c r="D137" t="inlineStr">
        <is>
          <t>Int %</t>
        </is>
      </c>
      <c r="E137" t="n">
        <v>6</v>
      </c>
      <c r="F137" t="n">
        <v>4.5</v>
      </c>
      <c r="G137" t="b">
        <v>1</v>
      </c>
      <c r="H137" t="inlineStr">
        <is>
          <t>0</t>
        </is>
      </c>
    </row>
    <row r="138">
      <c r="A138" t="inlineStr">
        <is>
          <t>ALL</t>
        </is>
      </c>
      <c r="B138" t="inlineStr">
        <is>
          <t>epic</t>
        </is>
      </c>
      <c r="C138" t="n">
        <v>1</v>
      </c>
      <c r="D138" t="inlineStr">
        <is>
          <t>Luk %</t>
        </is>
      </c>
      <c r="E138" t="n">
        <v>6</v>
      </c>
      <c r="F138" t="n">
        <v>4.5</v>
      </c>
      <c r="G138" t="b">
        <v>1</v>
      </c>
      <c r="H138">
        <f>Sensitivity!H6</f>
        <v/>
      </c>
    </row>
    <row r="139">
      <c r="A139" t="inlineStr">
        <is>
          <t>ALL</t>
        </is>
      </c>
      <c r="B139" t="inlineStr">
        <is>
          <t>epic</t>
        </is>
      </c>
      <c r="C139" t="n">
        <v>1</v>
      </c>
      <c r="D139" t="inlineStr">
        <is>
          <t>Defense %</t>
        </is>
      </c>
      <c r="E139" t="n">
        <v>6</v>
      </c>
      <c r="F139" t="n">
        <v>9</v>
      </c>
      <c r="G139" t="b">
        <v>1</v>
      </c>
      <c r="H139" t="inlineStr">
        <is>
          <t>0</t>
        </is>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t="inlineStr">
        <is>
          <t>0</t>
        </is>
      </c>
    </row>
    <row r="143">
      <c r="A143" t="inlineStr">
        <is>
          <t>ALL</t>
        </is>
      </c>
      <c r="B143" t="inlineStr">
        <is>
          <t>epic</t>
        </is>
      </c>
      <c r="C143" t="n">
        <v>1</v>
      </c>
      <c r="D143" t="inlineStr">
        <is>
          <t>Dex</t>
        </is>
      </c>
      <c r="E143" t="n">
        <v>200</v>
      </c>
      <c r="F143" t="n">
        <v>9.25</v>
      </c>
      <c r="G143" t="b">
        <v>1</v>
      </c>
      <c r="H143" t="inlineStr">
        <is>
          <t>0</t>
        </is>
      </c>
    </row>
    <row r="144">
      <c r="A144" t="inlineStr">
        <is>
          <t>ALL</t>
        </is>
      </c>
      <c r="B144" t="inlineStr">
        <is>
          <t>epic</t>
        </is>
      </c>
      <c r="C144" t="n">
        <v>1</v>
      </c>
      <c r="D144" t="inlineStr">
        <is>
          <t>Int</t>
        </is>
      </c>
      <c r="E144" t="n">
        <v>200</v>
      </c>
      <c r="F144" t="n">
        <v>9.25</v>
      </c>
      <c r="G144" t="b">
        <v>1</v>
      </c>
      <c r="H144" t="inlineStr">
        <is>
          <t>0</t>
        </is>
      </c>
    </row>
    <row r="145">
      <c r="A145" t="inlineStr">
        <is>
          <t>ALL</t>
        </is>
      </c>
      <c r="B145" t="inlineStr">
        <is>
          <t>epic</t>
        </is>
      </c>
      <c r="C145" t="n">
        <v>1</v>
      </c>
      <c r="D145" t="inlineStr">
        <is>
          <t>Luk</t>
        </is>
      </c>
      <c r="E145" t="n">
        <v>200</v>
      </c>
      <c r="F145" t="n">
        <v>9.25</v>
      </c>
      <c r="G145" t="b">
        <v>1</v>
      </c>
      <c r="H145">
        <f>Sensitivity!H5</f>
        <v/>
      </c>
    </row>
    <row r="146">
      <c r="A146" t="inlineStr">
        <is>
          <t>ALL</t>
        </is>
      </c>
      <c r="B146" t="inlineStr">
        <is>
          <t>epic</t>
        </is>
      </c>
      <c r="C146" t="n">
        <v>2</v>
      </c>
      <c r="D146" t="inlineStr">
        <is>
          <t>Critical Rate %</t>
        </is>
      </c>
      <c r="E146" t="n">
        <v>4.5</v>
      </c>
      <c r="F146" t="n">
        <v>1.9</v>
      </c>
      <c r="G146" t="b">
        <v>0</v>
      </c>
      <c r="H146">
        <f>IF(Inputs!$B$9+Summary!$B$14+Artifacts!$B$32&gt;=100,Sensitivity!H16,Sensitivity!H15)</f>
        <v/>
      </c>
    </row>
    <row r="147">
      <c r="A147" t="inlineStr">
        <is>
          <t>ALL</t>
        </is>
      </c>
      <c r="B147" t="inlineStr">
        <is>
          <t>epic</t>
        </is>
      </c>
      <c r="C147" t="n">
        <v>2</v>
      </c>
      <c r="D147" t="inlineStr">
        <is>
          <t>Critical Rate %</t>
        </is>
      </c>
      <c r="E147" t="n">
        <v>6</v>
      </c>
      <c r="F147" t="n">
        <v>0.6</v>
      </c>
      <c r="G147" t="b">
        <v>1</v>
      </c>
      <c r="H147">
        <f>IF(Inputs!$B$9+Summary!$B$14+Artifacts!$B$32&gt;=100,Sensitivity!H16,Sensitivity!H15)</f>
        <v/>
      </c>
    </row>
    <row r="148">
      <c r="A148" t="inlineStr">
        <is>
          <t>ALL</t>
        </is>
      </c>
      <c r="B148" t="inlineStr">
        <is>
          <t>epic</t>
        </is>
      </c>
      <c r="C148" t="n">
        <v>2</v>
      </c>
      <c r="D148" t="inlineStr">
        <is>
          <t>Attack Speed %</t>
        </is>
      </c>
      <c r="E148" t="n">
        <v>3.5</v>
      </c>
      <c r="F148" t="n">
        <v>1.9</v>
      </c>
      <c r="G148" t="b">
        <v>0</v>
      </c>
      <c r="H148">
        <f>Sensitivity!H17</f>
        <v/>
      </c>
    </row>
    <row r="149">
      <c r="A149" t="inlineStr">
        <is>
          <t>ALL</t>
        </is>
      </c>
      <c r="B149" t="inlineStr">
        <is>
          <t>epic</t>
        </is>
      </c>
      <c r="C149" t="n">
        <v>2</v>
      </c>
      <c r="D149" t="inlineStr">
        <is>
          <t>Attack Speed %</t>
        </is>
      </c>
      <c r="E149" t="n">
        <v>4</v>
      </c>
      <c r="F149" t="n">
        <v>0.6</v>
      </c>
      <c r="G149" t="b">
        <v>1</v>
      </c>
      <c r="H149">
        <f>Sensitivity!H17</f>
        <v/>
      </c>
    </row>
    <row r="150">
      <c r="A150" t="inlineStr">
        <is>
          <t>ALL</t>
        </is>
      </c>
      <c r="B150" t="inlineStr">
        <is>
          <t>epic</t>
        </is>
      </c>
      <c r="C150" t="n">
        <v>2</v>
      </c>
      <c r="D150" t="inlineStr">
        <is>
          <t>Damage %</t>
        </is>
      </c>
      <c r="E150" t="n">
        <v>8</v>
      </c>
      <c r="F150" t="n">
        <v>3.04</v>
      </c>
      <c r="G150" t="b">
        <v>0</v>
      </c>
      <c r="H150">
        <f>Sensitivity!H8</f>
        <v/>
      </c>
    </row>
    <row r="151">
      <c r="A151" t="inlineStr">
        <is>
          <t>ALL</t>
        </is>
      </c>
      <c r="B151" t="inlineStr">
        <is>
          <t>epic</t>
        </is>
      </c>
      <c r="C151" t="n">
        <v>2</v>
      </c>
      <c r="D151" t="inlineStr">
        <is>
          <t>Damage %</t>
        </is>
      </c>
      <c r="E151" t="n">
        <v>12</v>
      </c>
      <c r="F151" t="n">
        <v>0.96</v>
      </c>
      <c r="G151" t="b">
        <v>1</v>
      </c>
      <c r="H151">
        <f>Sensitivity!H8</f>
        <v/>
      </c>
    </row>
    <row r="152">
      <c r="A152" t="inlineStr">
        <is>
          <t>ALL</t>
        </is>
      </c>
      <c r="B152" t="inlineStr">
        <is>
          <t>epic</t>
        </is>
      </c>
      <c r="C152" t="n">
        <v>2</v>
      </c>
      <c r="D152" t="inlineStr">
        <is>
          <t>Min Damage Multiplier %</t>
        </is>
      </c>
      <c r="E152" t="n">
        <v>6</v>
      </c>
      <c r="F152" t="n">
        <v>3.04</v>
      </c>
      <c r="G152" t="b">
        <v>0</v>
      </c>
      <c r="H152">
        <f>Sensitivity!H13</f>
        <v/>
      </c>
    </row>
    <row r="153">
      <c r="A153" t="inlineStr">
        <is>
          <t>ALL</t>
        </is>
      </c>
      <c r="B153" t="inlineStr">
        <is>
          <t>epic</t>
        </is>
      </c>
      <c r="C153" t="n">
        <v>2</v>
      </c>
      <c r="D153" t="inlineStr">
        <is>
          <t>Min Damage Multiplier %</t>
        </is>
      </c>
      <c r="E153" t="n">
        <v>8</v>
      </c>
      <c r="F153" t="n">
        <v>0.96</v>
      </c>
      <c r="G153" t="b">
        <v>1</v>
      </c>
      <c r="H153">
        <f>Sensitivity!H13</f>
        <v/>
      </c>
    </row>
    <row r="154">
      <c r="A154" t="inlineStr">
        <is>
          <t>ALL</t>
        </is>
      </c>
      <c r="B154" t="inlineStr">
        <is>
          <t>epic</t>
        </is>
      </c>
      <c r="C154" t="n">
        <v>2</v>
      </c>
      <c r="D154" t="inlineStr">
        <is>
          <t>Max Damage Multiplier %</t>
        </is>
      </c>
      <c r="E154" t="n">
        <v>6</v>
      </c>
      <c r="F154" t="n">
        <v>3.04</v>
      </c>
      <c r="G154" t="b">
        <v>0</v>
      </c>
      <c r="H154">
        <f>Sensitivity!H14</f>
        <v/>
      </c>
    </row>
    <row r="155">
      <c r="A155" t="inlineStr">
        <is>
          <t>ALL</t>
        </is>
      </c>
      <c r="B155" t="inlineStr">
        <is>
          <t>epic</t>
        </is>
      </c>
      <c r="C155" t="n">
        <v>2</v>
      </c>
      <c r="D155" t="inlineStr">
        <is>
          <t>Max Damage Multiplier %</t>
        </is>
      </c>
      <c r="E155" t="n">
        <v>8</v>
      </c>
      <c r="F155" t="n">
        <v>0.96</v>
      </c>
      <c r="G155" t="b">
        <v>1</v>
      </c>
      <c r="H155">
        <f>Sensitivity!H14</f>
        <v/>
      </c>
    </row>
    <row r="156">
      <c r="A156" t="inlineStr">
        <is>
          <t>ALL</t>
        </is>
      </c>
      <c r="B156" t="inlineStr">
        <is>
          <t>epic</t>
        </is>
      </c>
      <c r="C156" t="n">
        <v>2</v>
      </c>
      <c r="D156" t="inlineStr">
        <is>
          <t>Str %</t>
        </is>
      </c>
      <c r="E156" t="n">
        <v>4.5</v>
      </c>
      <c r="F156" t="n">
        <v>3.42</v>
      </c>
      <c r="G156" t="b">
        <v>0</v>
      </c>
      <c r="H156" t="inlineStr">
        <is>
          <t>0</t>
        </is>
      </c>
    </row>
    <row r="157">
      <c r="A157" t="inlineStr">
        <is>
          <t>ALL</t>
        </is>
      </c>
      <c r="B157" t="inlineStr">
        <is>
          <t>epic</t>
        </is>
      </c>
      <c r="C157" t="n">
        <v>2</v>
      </c>
      <c r="D157" t="inlineStr">
        <is>
          <t>Str %</t>
        </is>
      </c>
      <c r="E157" t="n">
        <v>6</v>
      </c>
      <c r="F157" t="n">
        <v>1.08</v>
      </c>
      <c r="G157" t="b">
        <v>1</v>
      </c>
      <c r="H157" t="inlineStr">
        <is>
          <t>0</t>
        </is>
      </c>
    </row>
    <row r="158">
      <c r="A158" t="inlineStr">
        <is>
          <t>ALL</t>
        </is>
      </c>
      <c r="B158" t="inlineStr">
        <is>
          <t>epic</t>
        </is>
      </c>
      <c r="C158" t="n">
        <v>2</v>
      </c>
      <c r="D158" t="inlineStr">
        <is>
          <t>Dex %</t>
        </is>
      </c>
      <c r="E158" t="n">
        <v>4.5</v>
      </c>
      <c r="F158" t="n">
        <v>3.42</v>
      </c>
      <c r="G158" t="b">
        <v>0</v>
      </c>
      <c r="H158" t="inlineStr">
        <is>
          <t>0</t>
        </is>
      </c>
    </row>
    <row r="159">
      <c r="A159" t="inlineStr">
        <is>
          <t>ALL</t>
        </is>
      </c>
      <c r="B159" t="inlineStr">
        <is>
          <t>epic</t>
        </is>
      </c>
      <c r="C159" t="n">
        <v>2</v>
      </c>
      <c r="D159" t="inlineStr">
        <is>
          <t>Dex %</t>
        </is>
      </c>
      <c r="E159" t="n">
        <v>6</v>
      </c>
      <c r="F159" t="n">
        <v>1.08</v>
      </c>
      <c r="G159" t="b">
        <v>1</v>
      </c>
      <c r="H159" t="inlineStr">
        <is>
          <t>0</t>
        </is>
      </c>
    </row>
    <row r="160">
      <c r="A160" t="inlineStr">
        <is>
          <t>ALL</t>
        </is>
      </c>
      <c r="B160" t="inlineStr">
        <is>
          <t>epic</t>
        </is>
      </c>
      <c r="C160" t="n">
        <v>2</v>
      </c>
      <c r="D160" t="inlineStr">
        <is>
          <t>Int %</t>
        </is>
      </c>
      <c r="E160" t="n">
        <v>4.5</v>
      </c>
      <c r="F160" t="n">
        <v>3.42</v>
      </c>
      <c r="G160" t="b">
        <v>0</v>
      </c>
      <c r="H160" t="inlineStr">
        <is>
          <t>0</t>
        </is>
      </c>
    </row>
    <row r="161">
      <c r="A161" t="inlineStr">
        <is>
          <t>ALL</t>
        </is>
      </c>
      <c r="B161" t="inlineStr">
        <is>
          <t>epic</t>
        </is>
      </c>
      <c r="C161" t="n">
        <v>2</v>
      </c>
      <c r="D161" t="inlineStr">
        <is>
          <t>Int %</t>
        </is>
      </c>
      <c r="E161" t="n">
        <v>6</v>
      </c>
      <c r="F161" t="n">
        <v>1.08</v>
      </c>
      <c r="G161" t="b">
        <v>1</v>
      </c>
      <c r="H161" t="inlineStr">
        <is>
          <t>0</t>
        </is>
      </c>
    </row>
    <row r="162">
      <c r="A162" t="inlineStr">
        <is>
          <t>ALL</t>
        </is>
      </c>
      <c r="B162" t="inlineStr">
        <is>
          <t>epic</t>
        </is>
      </c>
      <c r="C162" t="n">
        <v>2</v>
      </c>
      <c r="D162" t="inlineStr">
        <is>
          <t>Luk %</t>
        </is>
      </c>
      <c r="E162" t="n">
        <v>4.5</v>
      </c>
      <c r="F162" t="n">
        <v>3.42</v>
      </c>
      <c r="G162" t="b">
        <v>0</v>
      </c>
      <c r="H162">
        <f>Sensitivity!H6</f>
        <v/>
      </c>
    </row>
    <row r="163">
      <c r="A163" t="inlineStr">
        <is>
          <t>ALL</t>
        </is>
      </c>
      <c r="B163" t="inlineStr">
        <is>
          <t>epic</t>
        </is>
      </c>
      <c r="C163" t="n">
        <v>2</v>
      </c>
      <c r="D163" t="inlineStr">
        <is>
          <t>Luk %</t>
        </is>
      </c>
      <c r="E163" t="n">
        <v>6</v>
      </c>
      <c r="F163" t="n">
        <v>1.08</v>
      </c>
      <c r="G163" t="b">
        <v>1</v>
      </c>
      <c r="H163">
        <f>Sensitivity!H6</f>
        <v/>
      </c>
    </row>
    <row r="164">
      <c r="A164" t="inlineStr">
        <is>
          <t>ALL</t>
        </is>
      </c>
      <c r="B164" t="inlineStr">
        <is>
          <t>epic</t>
        </is>
      </c>
      <c r="C164" t="n">
        <v>2</v>
      </c>
      <c r="D164" t="inlineStr">
        <is>
          <t>Defense %</t>
        </is>
      </c>
      <c r="E164" t="n">
        <v>4.5</v>
      </c>
      <c r="F164" t="n">
        <v>6.84</v>
      </c>
      <c r="G164" t="b">
        <v>0</v>
      </c>
      <c r="H164" t="inlineStr">
        <is>
          <t>0</t>
        </is>
      </c>
    </row>
    <row r="165">
      <c r="A165" t="inlineStr">
        <is>
          <t>ALL</t>
        </is>
      </c>
      <c r="B165" t="inlineStr">
        <is>
          <t>epic</t>
        </is>
      </c>
      <c r="C165" t="n">
        <v>2</v>
      </c>
      <c r="D165" t="inlineStr">
        <is>
          <t>Defense %</t>
        </is>
      </c>
      <c r="E165" t="n">
        <v>6</v>
      </c>
      <c r="F165" t="n">
        <v>2.16</v>
      </c>
      <c r="G165" t="b">
        <v>1</v>
      </c>
      <c r="H165" t="inlineStr">
        <is>
          <t>0</t>
        </is>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t="inlineStr">
        <is>
          <t>0</t>
        </is>
      </c>
    </row>
    <row r="171">
      <c r="A171" t="inlineStr">
        <is>
          <t>ALL</t>
        </is>
      </c>
      <c r="B171" t="inlineStr">
        <is>
          <t>epic</t>
        </is>
      </c>
      <c r="C171" t="n">
        <v>2</v>
      </c>
      <c r="D171" t="inlineStr">
        <is>
          <t>Str</t>
        </is>
      </c>
      <c r="E171" t="n">
        <v>200</v>
      </c>
      <c r="F171" t="n">
        <v>2.22</v>
      </c>
      <c r="G171" t="b">
        <v>1</v>
      </c>
      <c r="H171" t="inlineStr">
        <is>
          <t>0</t>
        </is>
      </c>
    </row>
    <row r="172">
      <c r="A172" t="inlineStr">
        <is>
          <t>ALL</t>
        </is>
      </c>
      <c r="B172" t="inlineStr">
        <is>
          <t>epic</t>
        </is>
      </c>
      <c r="C172" t="n">
        <v>2</v>
      </c>
      <c r="D172" t="inlineStr">
        <is>
          <t>Dex</t>
        </is>
      </c>
      <c r="E172" t="n">
        <v>100</v>
      </c>
      <c r="F172" t="n">
        <v>7.22</v>
      </c>
      <c r="G172" t="b">
        <v>0</v>
      </c>
      <c r="H172" t="inlineStr">
        <is>
          <t>0</t>
        </is>
      </c>
    </row>
    <row r="173">
      <c r="A173" t="inlineStr">
        <is>
          <t>ALL</t>
        </is>
      </c>
      <c r="B173" t="inlineStr">
        <is>
          <t>epic</t>
        </is>
      </c>
      <c r="C173" t="n">
        <v>2</v>
      </c>
      <c r="D173" t="inlineStr">
        <is>
          <t>Dex</t>
        </is>
      </c>
      <c r="E173" t="n">
        <v>200</v>
      </c>
      <c r="F173" t="n">
        <v>2.22</v>
      </c>
      <c r="G173" t="b">
        <v>1</v>
      </c>
      <c r="H173" t="inlineStr">
        <is>
          <t>0</t>
        </is>
      </c>
    </row>
    <row r="174">
      <c r="A174" t="inlineStr">
        <is>
          <t>ALL</t>
        </is>
      </c>
      <c r="B174" t="inlineStr">
        <is>
          <t>epic</t>
        </is>
      </c>
      <c r="C174" t="n">
        <v>2</v>
      </c>
      <c r="D174" t="inlineStr">
        <is>
          <t>Int</t>
        </is>
      </c>
      <c r="E174" t="n">
        <v>100</v>
      </c>
      <c r="F174" t="n">
        <v>7.22</v>
      </c>
      <c r="G174" t="b">
        <v>0</v>
      </c>
      <c r="H174" t="inlineStr">
        <is>
          <t>0</t>
        </is>
      </c>
    </row>
    <row r="175">
      <c r="A175" t="inlineStr">
        <is>
          <t>ALL</t>
        </is>
      </c>
      <c r="B175" t="inlineStr">
        <is>
          <t>epic</t>
        </is>
      </c>
      <c r="C175" t="n">
        <v>2</v>
      </c>
      <c r="D175" t="inlineStr">
        <is>
          <t>Int</t>
        </is>
      </c>
      <c r="E175" t="n">
        <v>200</v>
      </c>
      <c r="F175" t="n">
        <v>2.22</v>
      </c>
      <c r="G175" t="b">
        <v>1</v>
      </c>
      <c r="H175" t="inlineStr">
        <is>
          <t>0</t>
        </is>
      </c>
    </row>
    <row r="176">
      <c r="A176" t="inlineStr">
        <is>
          <t>ALL</t>
        </is>
      </c>
      <c r="B176" t="inlineStr">
        <is>
          <t>epic</t>
        </is>
      </c>
      <c r="C176" t="n">
        <v>2</v>
      </c>
      <c r="D176" t="inlineStr">
        <is>
          <t>Luk</t>
        </is>
      </c>
      <c r="E176" t="n">
        <v>100</v>
      </c>
      <c r="F176" t="n">
        <v>7.22</v>
      </c>
      <c r="G176" t="b">
        <v>0</v>
      </c>
      <c r="H176">
        <f>Sensitivity!H5</f>
        <v/>
      </c>
    </row>
    <row r="177">
      <c r="A177" t="inlineStr">
        <is>
          <t>ALL</t>
        </is>
      </c>
      <c r="B177" t="inlineStr">
        <is>
          <t>epic</t>
        </is>
      </c>
      <c r="C177" t="n">
        <v>2</v>
      </c>
      <c r="D177" t="inlineStr">
        <is>
          <t>Luk</t>
        </is>
      </c>
      <c r="E177" t="n">
        <v>200</v>
      </c>
      <c r="F177" t="n">
        <v>2.22</v>
      </c>
      <c r="G177" t="b">
        <v>1</v>
      </c>
      <c r="H177">
        <f>Sensitivity!H5</f>
        <v/>
      </c>
    </row>
    <row r="178">
      <c r="A178" t="inlineStr">
        <is>
          <t>ALL</t>
        </is>
      </c>
      <c r="B178" t="inlineStr">
        <is>
          <t>epic</t>
        </is>
      </c>
      <c r="C178" t="n">
        <v>3</v>
      </c>
      <c r="D178" t="inlineStr">
        <is>
          <t>Critical Rate %</t>
        </is>
      </c>
      <c r="E178" t="n">
        <v>4.5</v>
      </c>
      <c r="F178" t="n">
        <v>2.3</v>
      </c>
      <c r="G178" t="b">
        <v>0</v>
      </c>
      <c r="H178">
        <f>IF(Inputs!$B$9+Summary!$B$14+Artifacts!$B$32&gt;=100,Sensitivity!H16,Sensitivity!H15)</f>
        <v/>
      </c>
    </row>
    <row r="179">
      <c r="A179" t="inlineStr">
        <is>
          <t>ALL</t>
        </is>
      </c>
      <c r="B179" t="inlineStr">
        <is>
          <t>epic</t>
        </is>
      </c>
      <c r="C179" t="n">
        <v>3</v>
      </c>
      <c r="D179" t="inlineStr">
        <is>
          <t>Critical Rate %</t>
        </is>
      </c>
      <c r="E179" t="n">
        <v>6</v>
      </c>
      <c r="F179" t="n">
        <v>0.2</v>
      </c>
      <c r="G179" t="b">
        <v>1</v>
      </c>
      <c r="H179">
        <f>IF(Inputs!$B$9+Summary!$B$14+Artifacts!$B$32&gt;=100,Sensitivity!H16,Sensitivity!H15)</f>
        <v/>
      </c>
    </row>
    <row r="180">
      <c r="A180" t="inlineStr">
        <is>
          <t>ALL</t>
        </is>
      </c>
      <c r="B180" t="inlineStr">
        <is>
          <t>epic</t>
        </is>
      </c>
      <c r="C180" t="n">
        <v>3</v>
      </c>
      <c r="D180" t="inlineStr">
        <is>
          <t>Attack Speed %</t>
        </is>
      </c>
      <c r="E180" t="n">
        <v>3.5</v>
      </c>
      <c r="F180" t="n">
        <v>2.3</v>
      </c>
      <c r="G180" t="b">
        <v>0</v>
      </c>
      <c r="H180">
        <f>Sensitivity!H17</f>
        <v/>
      </c>
    </row>
    <row r="181">
      <c r="A181" t="inlineStr">
        <is>
          <t>ALL</t>
        </is>
      </c>
      <c r="B181" t="inlineStr">
        <is>
          <t>epic</t>
        </is>
      </c>
      <c r="C181" t="n">
        <v>3</v>
      </c>
      <c r="D181" t="inlineStr">
        <is>
          <t>Attack Speed %</t>
        </is>
      </c>
      <c r="E181" t="n">
        <v>4</v>
      </c>
      <c r="F181" t="n">
        <v>0.2</v>
      </c>
      <c r="G181" t="b">
        <v>1</v>
      </c>
      <c r="H181">
        <f>Sensitivity!H17</f>
        <v/>
      </c>
    </row>
    <row r="182">
      <c r="A182" t="inlineStr">
        <is>
          <t>ALL</t>
        </is>
      </c>
      <c r="B182" t="inlineStr">
        <is>
          <t>epic</t>
        </is>
      </c>
      <c r="C182" t="n">
        <v>3</v>
      </c>
      <c r="D182" t="inlineStr">
        <is>
          <t>Damage %</t>
        </is>
      </c>
      <c r="E182" t="n">
        <v>8</v>
      </c>
      <c r="F182" t="n">
        <v>3.68</v>
      </c>
      <c r="G182" t="b">
        <v>0</v>
      </c>
      <c r="H182">
        <f>Sensitivity!H8</f>
        <v/>
      </c>
    </row>
    <row r="183">
      <c r="A183" t="inlineStr">
        <is>
          <t>ALL</t>
        </is>
      </c>
      <c r="B183" t="inlineStr">
        <is>
          <t>epic</t>
        </is>
      </c>
      <c r="C183" t="n">
        <v>3</v>
      </c>
      <c r="D183" t="inlineStr">
        <is>
          <t>Damage %</t>
        </is>
      </c>
      <c r="E183" t="n">
        <v>12</v>
      </c>
      <c r="F183" t="n">
        <v>0.32</v>
      </c>
      <c r="G183" t="b">
        <v>1</v>
      </c>
      <c r="H183">
        <f>Sensitivity!H8</f>
        <v/>
      </c>
    </row>
    <row r="184">
      <c r="A184" t="inlineStr">
        <is>
          <t>ALL</t>
        </is>
      </c>
      <c r="B184" t="inlineStr">
        <is>
          <t>epic</t>
        </is>
      </c>
      <c r="C184" t="n">
        <v>3</v>
      </c>
      <c r="D184" t="inlineStr">
        <is>
          <t>Min Damage Multiplier %</t>
        </is>
      </c>
      <c r="E184" t="n">
        <v>6</v>
      </c>
      <c r="F184" t="n">
        <v>3.68</v>
      </c>
      <c r="G184" t="b">
        <v>0</v>
      </c>
      <c r="H184">
        <f>Sensitivity!H13</f>
        <v/>
      </c>
    </row>
    <row r="185">
      <c r="A185" t="inlineStr">
        <is>
          <t>ALL</t>
        </is>
      </c>
      <c r="B185" t="inlineStr">
        <is>
          <t>epic</t>
        </is>
      </c>
      <c r="C185" t="n">
        <v>3</v>
      </c>
      <c r="D185" t="inlineStr">
        <is>
          <t>Min Damage Multiplier %</t>
        </is>
      </c>
      <c r="E185" t="n">
        <v>8</v>
      </c>
      <c r="F185" t="n">
        <v>0.32</v>
      </c>
      <c r="G185" t="b">
        <v>1</v>
      </c>
      <c r="H185">
        <f>Sensitivity!H13</f>
        <v/>
      </c>
    </row>
    <row r="186">
      <c r="A186" t="inlineStr">
        <is>
          <t>ALL</t>
        </is>
      </c>
      <c r="B186" t="inlineStr">
        <is>
          <t>epic</t>
        </is>
      </c>
      <c r="C186" t="n">
        <v>3</v>
      </c>
      <c r="D186" t="inlineStr">
        <is>
          <t>Max Damage Multiplier %</t>
        </is>
      </c>
      <c r="E186" t="n">
        <v>6</v>
      </c>
      <c r="F186" t="n">
        <v>3.68</v>
      </c>
      <c r="G186" t="b">
        <v>0</v>
      </c>
      <c r="H186">
        <f>Sensitivity!H14</f>
        <v/>
      </c>
    </row>
    <row r="187">
      <c r="A187" t="inlineStr">
        <is>
          <t>ALL</t>
        </is>
      </c>
      <c r="B187" t="inlineStr">
        <is>
          <t>epic</t>
        </is>
      </c>
      <c r="C187" t="n">
        <v>3</v>
      </c>
      <c r="D187" t="inlineStr">
        <is>
          <t>Max Damage Multiplier %</t>
        </is>
      </c>
      <c r="E187" t="n">
        <v>8</v>
      </c>
      <c r="F187" t="n">
        <v>0.32</v>
      </c>
      <c r="G187" t="b">
        <v>1</v>
      </c>
      <c r="H187">
        <f>Sensitivity!H14</f>
        <v/>
      </c>
    </row>
    <row r="188">
      <c r="A188" t="inlineStr">
        <is>
          <t>ALL</t>
        </is>
      </c>
      <c r="B188" t="inlineStr">
        <is>
          <t>epic</t>
        </is>
      </c>
      <c r="C188" t="n">
        <v>3</v>
      </c>
      <c r="D188" t="inlineStr">
        <is>
          <t>Str %</t>
        </is>
      </c>
      <c r="E188" t="n">
        <v>4.5</v>
      </c>
      <c r="F188" t="n">
        <v>4.14</v>
      </c>
      <c r="G188" t="b">
        <v>0</v>
      </c>
      <c r="H188" t="inlineStr">
        <is>
          <t>0</t>
        </is>
      </c>
    </row>
    <row r="189">
      <c r="A189" t="inlineStr">
        <is>
          <t>ALL</t>
        </is>
      </c>
      <c r="B189" t="inlineStr">
        <is>
          <t>epic</t>
        </is>
      </c>
      <c r="C189" t="n">
        <v>3</v>
      </c>
      <c r="D189" t="inlineStr">
        <is>
          <t>Str %</t>
        </is>
      </c>
      <c r="E189" t="n">
        <v>6</v>
      </c>
      <c r="F189" t="n">
        <v>0.36</v>
      </c>
      <c r="G189" t="b">
        <v>1</v>
      </c>
      <c r="H189" t="inlineStr">
        <is>
          <t>0</t>
        </is>
      </c>
    </row>
    <row r="190">
      <c r="A190" t="inlineStr">
        <is>
          <t>ALL</t>
        </is>
      </c>
      <c r="B190" t="inlineStr">
        <is>
          <t>epic</t>
        </is>
      </c>
      <c r="C190" t="n">
        <v>3</v>
      </c>
      <c r="D190" t="inlineStr">
        <is>
          <t>Dex %</t>
        </is>
      </c>
      <c r="E190" t="n">
        <v>4.5</v>
      </c>
      <c r="F190" t="n">
        <v>4.14</v>
      </c>
      <c r="G190" t="b">
        <v>0</v>
      </c>
      <c r="H190" t="inlineStr">
        <is>
          <t>0</t>
        </is>
      </c>
    </row>
    <row r="191">
      <c r="A191" t="inlineStr">
        <is>
          <t>ALL</t>
        </is>
      </c>
      <c r="B191" t="inlineStr">
        <is>
          <t>epic</t>
        </is>
      </c>
      <c r="C191" t="n">
        <v>3</v>
      </c>
      <c r="D191" t="inlineStr">
        <is>
          <t>Dex %</t>
        </is>
      </c>
      <c r="E191" t="n">
        <v>6</v>
      </c>
      <c r="F191" t="n">
        <v>0.36</v>
      </c>
      <c r="G191" t="b">
        <v>1</v>
      </c>
      <c r="H191" t="inlineStr">
        <is>
          <t>0</t>
        </is>
      </c>
    </row>
    <row r="192">
      <c r="A192" t="inlineStr">
        <is>
          <t>ALL</t>
        </is>
      </c>
      <c r="B192" t="inlineStr">
        <is>
          <t>epic</t>
        </is>
      </c>
      <c r="C192" t="n">
        <v>3</v>
      </c>
      <c r="D192" t="inlineStr">
        <is>
          <t>Int %</t>
        </is>
      </c>
      <c r="E192" t="n">
        <v>4.5</v>
      </c>
      <c r="F192" t="n">
        <v>4.14</v>
      </c>
      <c r="G192" t="b">
        <v>0</v>
      </c>
      <c r="H192" t="inlineStr">
        <is>
          <t>0</t>
        </is>
      </c>
    </row>
    <row r="193">
      <c r="A193" t="inlineStr">
        <is>
          <t>ALL</t>
        </is>
      </c>
      <c r="B193" t="inlineStr">
        <is>
          <t>epic</t>
        </is>
      </c>
      <c r="C193" t="n">
        <v>3</v>
      </c>
      <c r="D193" t="inlineStr">
        <is>
          <t>Int %</t>
        </is>
      </c>
      <c r="E193" t="n">
        <v>6</v>
      </c>
      <c r="F193" t="n">
        <v>0.36</v>
      </c>
      <c r="G193" t="b">
        <v>1</v>
      </c>
      <c r="H193" t="inlineStr">
        <is>
          <t>0</t>
        </is>
      </c>
    </row>
    <row r="194">
      <c r="A194" t="inlineStr">
        <is>
          <t>ALL</t>
        </is>
      </c>
      <c r="B194" t="inlineStr">
        <is>
          <t>epic</t>
        </is>
      </c>
      <c r="C194" t="n">
        <v>3</v>
      </c>
      <c r="D194" t="inlineStr">
        <is>
          <t>Luk %</t>
        </is>
      </c>
      <c r="E194" t="n">
        <v>4.5</v>
      </c>
      <c r="F194" t="n">
        <v>4.14</v>
      </c>
      <c r="G194" t="b">
        <v>0</v>
      </c>
      <c r="H194">
        <f>Sensitivity!H6</f>
        <v/>
      </c>
    </row>
    <row r="195">
      <c r="A195" t="inlineStr">
        <is>
          <t>ALL</t>
        </is>
      </c>
      <c r="B195" t="inlineStr">
        <is>
          <t>epic</t>
        </is>
      </c>
      <c r="C195" t="n">
        <v>3</v>
      </c>
      <c r="D195" t="inlineStr">
        <is>
          <t>Luk %</t>
        </is>
      </c>
      <c r="E195" t="n">
        <v>6</v>
      </c>
      <c r="F195" t="n">
        <v>0.36</v>
      </c>
      <c r="G195" t="b">
        <v>1</v>
      </c>
      <c r="H195">
        <f>Sensitivity!H6</f>
        <v/>
      </c>
    </row>
    <row r="196">
      <c r="A196" t="inlineStr">
        <is>
          <t>ALL</t>
        </is>
      </c>
      <c r="B196" t="inlineStr">
        <is>
          <t>epic</t>
        </is>
      </c>
      <c r="C196" t="n">
        <v>3</v>
      </c>
      <c r="D196" t="inlineStr">
        <is>
          <t>Defense %</t>
        </is>
      </c>
      <c r="E196" t="n">
        <v>4.5</v>
      </c>
      <c r="F196" t="n">
        <v>8.279999999999999</v>
      </c>
      <c r="G196" t="b">
        <v>0</v>
      </c>
      <c r="H196" t="inlineStr">
        <is>
          <t>0</t>
        </is>
      </c>
    </row>
    <row r="197">
      <c r="A197" t="inlineStr">
        <is>
          <t>ALL</t>
        </is>
      </c>
      <c r="B197" t="inlineStr">
        <is>
          <t>epic</t>
        </is>
      </c>
      <c r="C197" t="n">
        <v>3</v>
      </c>
      <c r="D197" t="inlineStr">
        <is>
          <t>Defense %</t>
        </is>
      </c>
      <c r="E197" t="n">
        <v>6</v>
      </c>
      <c r="F197" t="n">
        <v>0.72</v>
      </c>
      <c r="G197" t="b">
        <v>1</v>
      </c>
      <c r="H197" t="inlineStr">
        <is>
          <t>0</t>
        </is>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t="inlineStr">
        <is>
          <t>0</t>
        </is>
      </c>
    </row>
    <row r="203">
      <c r="A203" t="inlineStr">
        <is>
          <t>ALL</t>
        </is>
      </c>
      <c r="B203" t="inlineStr">
        <is>
          <t>epic</t>
        </is>
      </c>
      <c r="C203" t="n">
        <v>3</v>
      </c>
      <c r="D203" t="inlineStr">
        <is>
          <t>Str</t>
        </is>
      </c>
      <c r="E203" t="n">
        <v>200</v>
      </c>
      <c r="F203" t="n">
        <v>0.74</v>
      </c>
      <c r="G203" t="b">
        <v>1</v>
      </c>
      <c r="H203" t="inlineStr">
        <is>
          <t>0</t>
        </is>
      </c>
    </row>
    <row r="204">
      <c r="A204" t="inlineStr">
        <is>
          <t>ALL</t>
        </is>
      </c>
      <c r="B204" t="inlineStr">
        <is>
          <t>epic</t>
        </is>
      </c>
      <c r="C204" t="n">
        <v>3</v>
      </c>
      <c r="D204" t="inlineStr">
        <is>
          <t>Dex</t>
        </is>
      </c>
      <c r="E204" t="n">
        <v>100</v>
      </c>
      <c r="F204" t="n">
        <v>8.74</v>
      </c>
      <c r="G204" t="b">
        <v>0</v>
      </c>
      <c r="H204" t="inlineStr">
        <is>
          <t>0</t>
        </is>
      </c>
    </row>
    <row r="205">
      <c r="A205" t="inlineStr">
        <is>
          <t>ALL</t>
        </is>
      </c>
      <c r="B205" t="inlineStr">
        <is>
          <t>epic</t>
        </is>
      </c>
      <c r="C205" t="n">
        <v>3</v>
      </c>
      <c r="D205" t="inlineStr">
        <is>
          <t>Dex</t>
        </is>
      </c>
      <c r="E205" t="n">
        <v>200</v>
      </c>
      <c r="F205" t="n">
        <v>0.74</v>
      </c>
      <c r="G205" t="b">
        <v>1</v>
      </c>
      <c r="H205" t="inlineStr">
        <is>
          <t>0</t>
        </is>
      </c>
    </row>
    <row r="206">
      <c r="A206" t="inlineStr">
        <is>
          <t>ALL</t>
        </is>
      </c>
      <c r="B206" t="inlineStr">
        <is>
          <t>epic</t>
        </is>
      </c>
      <c r="C206" t="n">
        <v>3</v>
      </c>
      <c r="D206" t="inlineStr">
        <is>
          <t>Int</t>
        </is>
      </c>
      <c r="E206" t="n">
        <v>100</v>
      </c>
      <c r="F206" t="n">
        <v>8.74</v>
      </c>
      <c r="G206" t="b">
        <v>0</v>
      </c>
      <c r="H206" t="inlineStr">
        <is>
          <t>0</t>
        </is>
      </c>
    </row>
    <row r="207">
      <c r="A207" t="inlineStr">
        <is>
          <t>ALL</t>
        </is>
      </c>
      <c r="B207" t="inlineStr">
        <is>
          <t>epic</t>
        </is>
      </c>
      <c r="C207" t="n">
        <v>3</v>
      </c>
      <c r="D207" t="inlineStr">
        <is>
          <t>Int</t>
        </is>
      </c>
      <c r="E207" t="n">
        <v>200</v>
      </c>
      <c r="F207" t="n">
        <v>0.74</v>
      </c>
      <c r="G207" t="b">
        <v>1</v>
      </c>
      <c r="H207" t="inlineStr">
        <is>
          <t>0</t>
        </is>
      </c>
    </row>
    <row r="208">
      <c r="A208" t="inlineStr">
        <is>
          <t>ALL</t>
        </is>
      </c>
      <c r="B208" t="inlineStr">
        <is>
          <t>epic</t>
        </is>
      </c>
      <c r="C208" t="n">
        <v>3</v>
      </c>
      <c r="D208" t="inlineStr">
        <is>
          <t>Luk</t>
        </is>
      </c>
      <c r="E208" t="n">
        <v>100</v>
      </c>
      <c r="F208" t="n">
        <v>8.74</v>
      </c>
      <c r="G208" t="b">
        <v>0</v>
      </c>
      <c r="H208">
        <f>Sensitivity!H5</f>
        <v/>
      </c>
    </row>
    <row r="209">
      <c r="A209" t="inlineStr">
        <is>
          <t>ALL</t>
        </is>
      </c>
      <c r="B209" t="inlineStr">
        <is>
          <t>epic</t>
        </is>
      </c>
      <c r="C209" t="n">
        <v>3</v>
      </c>
      <c r="D209" t="inlineStr">
        <is>
          <t>Luk</t>
        </is>
      </c>
      <c r="E209" t="n">
        <v>200</v>
      </c>
      <c r="F209" t="n">
        <v>0.74</v>
      </c>
      <c r="G209" t="b">
        <v>1</v>
      </c>
      <c r="H209">
        <f>Sensitivity!H5</f>
        <v/>
      </c>
    </row>
    <row r="210">
      <c r="A210" t="inlineStr">
        <is>
          <t>ALL</t>
        </is>
      </c>
      <c r="B210" t="inlineStr">
        <is>
          <t>unique</t>
        </is>
      </c>
      <c r="C210" t="n">
        <v>1</v>
      </c>
      <c r="D210" t="inlineStr">
        <is>
          <t>Critical Rate %</t>
        </is>
      </c>
      <c r="E210" t="n">
        <v>9</v>
      </c>
      <c r="F210" t="n">
        <v>2.5</v>
      </c>
      <c r="G210" t="b">
        <v>1</v>
      </c>
      <c r="H210">
        <f>IF(Inputs!$B$9+Summary!$B$14+Artifacts!$B$32&gt;=100,Sensitivity!H16,Sensitivity!H15)</f>
        <v/>
      </c>
    </row>
    <row r="211">
      <c r="A211" t="inlineStr">
        <is>
          <t>ALL</t>
        </is>
      </c>
      <c r="B211" t="inlineStr">
        <is>
          <t>unique</t>
        </is>
      </c>
      <c r="C211" t="n">
        <v>1</v>
      </c>
      <c r="D211" t="inlineStr">
        <is>
          <t>Attack Speed %</t>
        </is>
      </c>
      <c r="E211" t="n">
        <v>5</v>
      </c>
      <c r="F211" t="n">
        <v>2.5</v>
      </c>
      <c r="G211" t="b">
        <v>1</v>
      </c>
      <c r="H211">
        <f>Sensitivity!H17</f>
        <v/>
      </c>
    </row>
    <row r="212">
      <c r="A212" t="inlineStr">
        <is>
          <t>ALL</t>
        </is>
      </c>
      <c r="B212" t="inlineStr">
        <is>
          <t>unique</t>
        </is>
      </c>
      <c r="C212" t="n">
        <v>1</v>
      </c>
      <c r="D212" t="inlineStr">
        <is>
          <t>Damage %</t>
        </is>
      </c>
      <c r="E212" t="n">
        <v>18</v>
      </c>
      <c r="F212" t="n">
        <v>4</v>
      </c>
      <c r="G212" t="b">
        <v>1</v>
      </c>
      <c r="H212">
        <f>Sensitivity!H8</f>
        <v/>
      </c>
    </row>
    <row r="213">
      <c r="A213" t="inlineStr">
        <is>
          <t>ALL</t>
        </is>
      </c>
      <c r="B213" t="inlineStr">
        <is>
          <t>unique</t>
        </is>
      </c>
      <c r="C213" t="n">
        <v>1</v>
      </c>
      <c r="D213" t="inlineStr">
        <is>
          <t>Min Damage Multiplier %</t>
        </is>
      </c>
      <c r="E213" t="n">
        <v>10</v>
      </c>
      <c r="F213" t="n">
        <v>4</v>
      </c>
      <c r="G213" t="b">
        <v>1</v>
      </c>
      <c r="H213">
        <f>Sensitivity!H13</f>
        <v/>
      </c>
    </row>
    <row r="214">
      <c r="A214" t="inlineStr">
        <is>
          <t>ALL</t>
        </is>
      </c>
      <c r="B214" t="inlineStr">
        <is>
          <t>unique</t>
        </is>
      </c>
      <c r="C214" t="n">
        <v>1</v>
      </c>
      <c r="D214" t="inlineStr">
        <is>
          <t>Max Damage Multiplier %</t>
        </is>
      </c>
      <c r="E214" t="n">
        <v>10</v>
      </c>
      <c r="F214" t="n">
        <v>4</v>
      </c>
      <c r="G214" t="b">
        <v>1</v>
      </c>
      <c r="H214">
        <f>Sensitivity!H14</f>
        <v/>
      </c>
    </row>
    <row r="215">
      <c r="A215" t="inlineStr">
        <is>
          <t>ALL</t>
        </is>
      </c>
      <c r="B215" t="inlineStr">
        <is>
          <t>unique</t>
        </is>
      </c>
      <c r="C215" t="n">
        <v>1</v>
      </c>
      <c r="D215" t="inlineStr">
        <is>
          <t>Str %</t>
        </is>
      </c>
      <c r="E215" t="n">
        <v>9</v>
      </c>
      <c r="F215" t="n">
        <v>4.5</v>
      </c>
      <c r="G215" t="b">
        <v>1</v>
      </c>
      <c r="H215" t="inlineStr">
        <is>
          <t>0</t>
        </is>
      </c>
    </row>
    <row r="216">
      <c r="A216" t="inlineStr">
        <is>
          <t>ALL</t>
        </is>
      </c>
      <c r="B216" t="inlineStr">
        <is>
          <t>unique</t>
        </is>
      </c>
      <c r="C216" t="n">
        <v>1</v>
      </c>
      <c r="D216" t="inlineStr">
        <is>
          <t>Dex %</t>
        </is>
      </c>
      <c r="E216" t="n">
        <v>9</v>
      </c>
      <c r="F216" t="n">
        <v>4.5</v>
      </c>
      <c r="G216" t="b">
        <v>1</v>
      </c>
      <c r="H216" t="inlineStr">
        <is>
          <t>0</t>
        </is>
      </c>
    </row>
    <row r="217">
      <c r="A217" t="inlineStr">
        <is>
          <t>ALL</t>
        </is>
      </c>
      <c r="B217" t="inlineStr">
        <is>
          <t>unique</t>
        </is>
      </c>
      <c r="C217" t="n">
        <v>1</v>
      </c>
      <c r="D217" t="inlineStr">
        <is>
          <t>Int %</t>
        </is>
      </c>
      <c r="E217" t="n">
        <v>9</v>
      </c>
      <c r="F217" t="n">
        <v>4.5</v>
      </c>
      <c r="G217" t="b">
        <v>1</v>
      </c>
      <c r="H217" t="inlineStr">
        <is>
          <t>0</t>
        </is>
      </c>
    </row>
    <row r="218">
      <c r="A218" t="inlineStr">
        <is>
          <t>ALL</t>
        </is>
      </c>
      <c r="B218" t="inlineStr">
        <is>
          <t>unique</t>
        </is>
      </c>
      <c r="C218" t="n">
        <v>1</v>
      </c>
      <c r="D218" t="inlineStr">
        <is>
          <t>Luk %</t>
        </is>
      </c>
      <c r="E218" t="n">
        <v>9</v>
      </c>
      <c r="F218" t="n">
        <v>4.5</v>
      </c>
      <c r="G218" t="b">
        <v>1</v>
      </c>
      <c r="H218">
        <f>Sensitivity!H6</f>
        <v/>
      </c>
    </row>
    <row r="219">
      <c r="A219" t="inlineStr">
        <is>
          <t>ALL</t>
        </is>
      </c>
      <c r="B219" t="inlineStr">
        <is>
          <t>unique</t>
        </is>
      </c>
      <c r="C219" t="n">
        <v>1</v>
      </c>
      <c r="D219" t="inlineStr">
        <is>
          <t>Defense %</t>
        </is>
      </c>
      <c r="E219" t="n">
        <v>9</v>
      </c>
      <c r="F219" t="n">
        <v>9</v>
      </c>
      <c r="G219" t="b">
        <v>1</v>
      </c>
      <c r="H219" t="inlineStr">
        <is>
          <t>0</t>
        </is>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t="inlineStr">
        <is>
          <t>0</t>
        </is>
      </c>
    </row>
    <row r="223">
      <c r="A223" t="inlineStr">
        <is>
          <t>ALL</t>
        </is>
      </c>
      <c r="B223" t="inlineStr">
        <is>
          <t>unique</t>
        </is>
      </c>
      <c r="C223" t="n">
        <v>1</v>
      </c>
      <c r="D223" t="inlineStr">
        <is>
          <t>Dex</t>
        </is>
      </c>
      <c r="E223" t="n">
        <v>400</v>
      </c>
      <c r="F223" t="n">
        <v>9.25</v>
      </c>
      <c r="G223" t="b">
        <v>1</v>
      </c>
      <c r="H223" t="inlineStr">
        <is>
          <t>0</t>
        </is>
      </c>
    </row>
    <row r="224">
      <c r="A224" t="inlineStr">
        <is>
          <t>ALL</t>
        </is>
      </c>
      <c r="B224" t="inlineStr">
        <is>
          <t>unique</t>
        </is>
      </c>
      <c r="C224" t="n">
        <v>1</v>
      </c>
      <c r="D224" t="inlineStr">
        <is>
          <t>Int</t>
        </is>
      </c>
      <c r="E224" t="n">
        <v>400</v>
      </c>
      <c r="F224" t="n">
        <v>9.25</v>
      </c>
      <c r="G224" t="b">
        <v>1</v>
      </c>
      <c r="H224" t="inlineStr">
        <is>
          <t>0</t>
        </is>
      </c>
    </row>
    <row r="225">
      <c r="A225" t="inlineStr">
        <is>
          <t>ALL</t>
        </is>
      </c>
      <c r="B225" t="inlineStr">
        <is>
          <t>unique</t>
        </is>
      </c>
      <c r="C225" t="n">
        <v>1</v>
      </c>
      <c r="D225" t="inlineStr">
        <is>
          <t>Luk</t>
        </is>
      </c>
      <c r="E225" t="n">
        <v>400</v>
      </c>
      <c r="F225" t="n">
        <v>9.25</v>
      </c>
      <c r="G225" t="b">
        <v>1</v>
      </c>
      <c r="H225">
        <f>Sensitivity!H5</f>
        <v/>
      </c>
    </row>
    <row r="226">
      <c r="A226" t="inlineStr">
        <is>
          <t>ALL</t>
        </is>
      </c>
      <c r="B226" t="inlineStr">
        <is>
          <t>unique</t>
        </is>
      </c>
      <c r="C226" t="n">
        <v>2</v>
      </c>
      <c r="D226" t="inlineStr">
        <is>
          <t>Critical Rate %</t>
        </is>
      </c>
      <c r="E226" t="n">
        <v>6</v>
      </c>
      <c r="F226" t="n">
        <v>1.9</v>
      </c>
      <c r="G226" t="b">
        <v>0</v>
      </c>
      <c r="H226">
        <f>IF(Inputs!$B$9+Summary!$B$14+Artifacts!$B$32&gt;=100,Sensitivity!H16,Sensitivity!H15)</f>
        <v/>
      </c>
    </row>
    <row r="227">
      <c r="A227" t="inlineStr">
        <is>
          <t>ALL</t>
        </is>
      </c>
      <c r="B227" t="inlineStr">
        <is>
          <t>unique</t>
        </is>
      </c>
      <c r="C227" t="n">
        <v>2</v>
      </c>
      <c r="D227" t="inlineStr">
        <is>
          <t>Critical Rate %</t>
        </is>
      </c>
      <c r="E227" t="n">
        <v>9</v>
      </c>
      <c r="F227" t="n">
        <v>0.6</v>
      </c>
      <c r="G227" t="b">
        <v>1</v>
      </c>
      <c r="H227">
        <f>IF(Inputs!$B$9+Summary!$B$14+Artifacts!$B$32&gt;=100,Sensitivity!H16,Sensitivity!H15)</f>
        <v/>
      </c>
    </row>
    <row r="228">
      <c r="A228" t="inlineStr">
        <is>
          <t>ALL</t>
        </is>
      </c>
      <c r="B228" t="inlineStr">
        <is>
          <t>unique</t>
        </is>
      </c>
      <c r="C228" t="n">
        <v>2</v>
      </c>
      <c r="D228" t="inlineStr">
        <is>
          <t>Attack Speed %</t>
        </is>
      </c>
      <c r="E228" t="n">
        <v>4</v>
      </c>
      <c r="F228" t="n">
        <v>1.9</v>
      </c>
      <c r="G228" t="b">
        <v>0</v>
      </c>
      <c r="H228">
        <f>Sensitivity!H17</f>
        <v/>
      </c>
    </row>
    <row r="229">
      <c r="A229" t="inlineStr">
        <is>
          <t>ALL</t>
        </is>
      </c>
      <c r="B229" t="inlineStr">
        <is>
          <t>unique</t>
        </is>
      </c>
      <c r="C229" t="n">
        <v>2</v>
      </c>
      <c r="D229" t="inlineStr">
        <is>
          <t>Attack Speed %</t>
        </is>
      </c>
      <c r="E229" t="n">
        <v>5</v>
      </c>
      <c r="F229" t="n">
        <v>0.6</v>
      </c>
      <c r="G229" t="b">
        <v>1</v>
      </c>
      <c r="H229">
        <f>Sensitivity!H17</f>
        <v/>
      </c>
    </row>
    <row r="230">
      <c r="A230" t="inlineStr">
        <is>
          <t>ALL</t>
        </is>
      </c>
      <c r="B230" t="inlineStr">
        <is>
          <t>unique</t>
        </is>
      </c>
      <c r="C230" t="n">
        <v>2</v>
      </c>
      <c r="D230" t="inlineStr">
        <is>
          <t>Damage %</t>
        </is>
      </c>
      <c r="E230" t="n">
        <v>12</v>
      </c>
      <c r="F230" t="n">
        <v>3.04</v>
      </c>
      <c r="G230" t="b">
        <v>0</v>
      </c>
      <c r="H230">
        <f>Sensitivity!H8</f>
        <v/>
      </c>
    </row>
    <row r="231">
      <c r="A231" t="inlineStr">
        <is>
          <t>ALL</t>
        </is>
      </c>
      <c r="B231" t="inlineStr">
        <is>
          <t>unique</t>
        </is>
      </c>
      <c r="C231" t="n">
        <v>2</v>
      </c>
      <c r="D231" t="inlineStr">
        <is>
          <t>Damage %</t>
        </is>
      </c>
      <c r="E231" t="n">
        <v>18</v>
      </c>
      <c r="F231" t="n">
        <v>0.96</v>
      </c>
      <c r="G231" t="b">
        <v>1</v>
      </c>
      <c r="H231">
        <f>Sensitivity!H8</f>
        <v/>
      </c>
    </row>
    <row r="232">
      <c r="A232" t="inlineStr">
        <is>
          <t>ALL</t>
        </is>
      </c>
      <c r="B232" t="inlineStr">
        <is>
          <t>unique</t>
        </is>
      </c>
      <c r="C232" t="n">
        <v>2</v>
      </c>
      <c r="D232" t="inlineStr">
        <is>
          <t>Min Damage Multiplier %</t>
        </is>
      </c>
      <c r="E232" t="n">
        <v>8</v>
      </c>
      <c r="F232" t="n">
        <v>3.04</v>
      </c>
      <c r="G232" t="b">
        <v>0</v>
      </c>
      <c r="H232">
        <f>Sensitivity!H13</f>
        <v/>
      </c>
    </row>
    <row r="233">
      <c r="A233" t="inlineStr">
        <is>
          <t>ALL</t>
        </is>
      </c>
      <c r="B233" t="inlineStr">
        <is>
          <t>unique</t>
        </is>
      </c>
      <c r="C233" t="n">
        <v>2</v>
      </c>
      <c r="D233" t="inlineStr">
        <is>
          <t>Min Damage Multiplier %</t>
        </is>
      </c>
      <c r="E233" t="n">
        <v>10</v>
      </c>
      <c r="F233" t="n">
        <v>0.96</v>
      </c>
      <c r="G233" t="b">
        <v>1</v>
      </c>
      <c r="H233">
        <f>Sensitivity!H13</f>
        <v/>
      </c>
    </row>
    <row r="234">
      <c r="A234" t="inlineStr">
        <is>
          <t>ALL</t>
        </is>
      </c>
      <c r="B234" t="inlineStr">
        <is>
          <t>unique</t>
        </is>
      </c>
      <c r="C234" t="n">
        <v>2</v>
      </c>
      <c r="D234" t="inlineStr">
        <is>
          <t>Max Damage Multiplier %</t>
        </is>
      </c>
      <c r="E234" t="n">
        <v>8</v>
      </c>
      <c r="F234" t="n">
        <v>3.04</v>
      </c>
      <c r="G234" t="b">
        <v>0</v>
      </c>
      <c r="H234">
        <f>Sensitivity!H14</f>
        <v/>
      </c>
    </row>
    <row r="235">
      <c r="A235" t="inlineStr">
        <is>
          <t>ALL</t>
        </is>
      </c>
      <c r="B235" t="inlineStr">
        <is>
          <t>unique</t>
        </is>
      </c>
      <c r="C235" t="n">
        <v>2</v>
      </c>
      <c r="D235" t="inlineStr">
        <is>
          <t>Max Damage Multiplier %</t>
        </is>
      </c>
      <c r="E235" t="n">
        <v>10</v>
      </c>
      <c r="F235" t="n">
        <v>0.96</v>
      </c>
      <c r="G235" t="b">
        <v>1</v>
      </c>
      <c r="H235">
        <f>Sensitivity!H14</f>
        <v/>
      </c>
    </row>
    <row r="236">
      <c r="A236" t="inlineStr">
        <is>
          <t>ALL</t>
        </is>
      </c>
      <c r="B236" t="inlineStr">
        <is>
          <t>unique</t>
        </is>
      </c>
      <c r="C236" t="n">
        <v>2</v>
      </c>
      <c r="D236" t="inlineStr">
        <is>
          <t>Str %</t>
        </is>
      </c>
      <c r="E236" t="n">
        <v>6</v>
      </c>
      <c r="F236" t="n">
        <v>3.42</v>
      </c>
      <c r="G236" t="b">
        <v>0</v>
      </c>
      <c r="H236" t="inlineStr">
        <is>
          <t>0</t>
        </is>
      </c>
    </row>
    <row r="237">
      <c r="A237" t="inlineStr">
        <is>
          <t>ALL</t>
        </is>
      </c>
      <c r="B237" t="inlineStr">
        <is>
          <t>unique</t>
        </is>
      </c>
      <c r="C237" t="n">
        <v>2</v>
      </c>
      <c r="D237" t="inlineStr">
        <is>
          <t>Str %</t>
        </is>
      </c>
      <c r="E237" t="n">
        <v>9</v>
      </c>
      <c r="F237" t="n">
        <v>1.08</v>
      </c>
      <c r="G237" t="b">
        <v>1</v>
      </c>
      <c r="H237" t="inlineStr">
        <is>
          <t>0</t>
        </is>
      </c>
    </row>
    <row r="238">
      <c r="A238" t="inlineStr">
        <is>
          <t>ALL</t>
        </is>
      </c>
      <c r="B238" t="inlineStr">
        <is>
          <t>unique</t>
        </is>
      </c>
      <c r="C238" t="n">
        <v>2</v>
      </c>
      <c r="D238" t="inlineStr">
        <is>
          <t>Dex %</t>
        </is>
      </c>
      <c r="E238" t="n">
        <v>6</v>
      </c>
      <c r="F238" t="n">
        <v>3.42</v>
      </c>
      <c r="G238" t="b">
        <v>0</v>
      </c>
      <c r="H238" t="inlineStr">
        <is>
          <t>0</t>
        </is>
      </c>
    </row>
    <row r="239">
      <c r="A239" t="inlineStr">
        <is>
          <t>ALL</t>
        </is>
      </c>
      <c r="B239" t="inlineStr">
        <is>
          <t>unique</t>
        </is>
      </c>
      <c r="C239" t="n">
        <v>2</v>
      </c>
      <c r="D239" t="inlineStr">
        <is>
          <t>Dex %</t>
        </is>
      </c>
      <c r="E239" t="n">
        <v>9</v>
      </c>
      <c r="F239" t="n">
        <v>1.08</v>
      </c>
      <c r="G239" t="b">
        <v>1</v>
      </c>
      <c r="H239" t="inlineStr">
        <is>
          <t>0</t>
        </is>
      </c>
    </row>
    <row r="240">
      <c r="A240" t="inlineStr">
        <is>
          <t>ALL</t>
        </is>
      </c>
      <c r="B240" t="inlineStr">
        <is>
          <t>unique</t>
        </is>
      </c>
      <c r="C240" t="n">
        <v>2</v>
      </c>
      <c r="D240" t="inlineStr">
        <is>
          <t>Int %</t>
        </is>
      </c>
      <c r="E240" t="n">
        <v>6</v>
      </c>
      <c r="F240" t="n">
        <v>3.42</v>
      </c>
      <c r="G240" t="b">
        <v>0</v>
      </c>
      <c r="H240" t="inlineStr">
        <is>
          <t>0</t>
        </is>
      </c>
    </row>
    <row r="241">
      <c r="A241" t="inlineStr">
        <is>
          <t>ALL</t>
        </is>
      </c>
      <c r="B241" t="inlineStr">
        <is>
          <t>unique</t>
        </is>
      </c>
      <c r="C241" t="n">
        <v>2</v>
      </c>
      <c r="D241" t="inlineStr">
        <is>
          <t>Int %</t>
        </is>
      </c>
      <c r="E241" t="n">
        <v>9</v>
      </c>
      <c r="F241" t="n">
        <v>1.08</v>
      </c>
      <c r="G241" t="b">
        <v>1</v>
      </c>
      <c r="H241" t="inlineStr">
        <is>
          <t>0</t>
        </is>
      </c>
    </row>
    <row r="242">
      <c r="A242" t="inlineStr">
        <is>
          <t>ALL</t>
        </is>
      </c>
      <c r="B242" t="inlineStr">
        <is>
          <t>unique</t>
        </is>
      </c>
      <c r="C242" t="n">
        <v>2</v>
      </c>
      <c r="D242" t="inlineStr">
        <is>
          <t>Luk %</t>
        </is>
      </c>
      <c r="E242" t="n">
        <v>6</v>
      </c>
      <c r="F242" t="n">
        <v>3.42</v>
      </c>
      <c r="G242" t="b">
        <v>0</v>
      </c>
      <c r="H242">
        <f>Sensitivity!H6</f>
        <v/>
      </c>
    </row>
    <row r="243">
      <c r="A243" t="inlineStr">
        <is>
          <t>ALL</t>
        </is>
      </c>
      <c r="B243" t="inlineStr">
        <is>
          <t>unique</t>
        </is>
      </c>
      <c r="C243" t="n">
        <v>2</v>
      </c>
      <c r="D243" t="inlineStr">
        <is>
          <t>Luk %</t>
        </is>
      </c>
      <c r="E243" t="n">
        <v>9</v>
      </c>
      <c r="F243" t="n">
        <v>1.08</v>
      </c>
      <c r="G243" t="b">
        <v>1</v>
      </c>
      <c r="H243">
        <f>Sensitivity!H6</f>
        <v/>
      </c>
    </row>
    <row r="244">
      <c r="A244" t="inlineStr">
        <is>
          <t>ALL</t>
        </is>
      </c>
      <c r="B244" t="inlineStr">
        <is>
          <t>unique</t>
        </is>
      </c>
      <c r="C244" t="n">
        <v>2</v>
      </c>
      <c r="D244" t="inlineStr">
        <is>
          <t>Defense %</t>
        </is>
      </c>
      <c r="E244" t="n">
        <v>6</v>
      </c>
      <c r="F244" t="n">
        <v>6.84</v>
      </c>
      <c r="G244" t="b">
        <v>0</v>
      </c>
      <c r="H244" t="inlineStr">
        <is>
          <t>0</t>
        </is>
      </c>
    </row>
    <row r="245">
      <c r="A245" t="inlineStr">
        <is>
          <t>ALL</t>
        </is>
      </c>
      <c r="B245" t="inlineStr">
        <is>
          <t>unique</t>
        </is>
      </c>
      <c r="C245" t="n">
        <v>2</v>
      </c>
      <c r="D245" t="inlineStr">
        <is>
          <t>Defense %</t>
        </is>
      </c>
      <c r="E245" t="n">
        <v>9</v>
      </c>
      <c r="F245" t="n">
        <v>2.16</v>
      </c>
      <c r="G245" t="b">
        <v>1</v>
      </c>
      <c r="H245" t="inlineStr">
        <is>
          <t>0</t>
        </is>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t="inlineStr">
        <is>
          <t>0</t>
        </is>
      </c>
    </row>
    <row r="251">
      <c r="A251" t="inlineStr">
        <is>
          <t>ALL</t>
        </is>
      </c>
      <c r="B251" t="inlineStr">
        <is>
          <t>unique</t>
        </is>
      </c>
      <c r="C251" t="n">
        <v>2</v>
      </c>
      <c r="D251" t="inlineStr">
        <is>
          <t>Str</t>
        </is>
      </c>
      <c r="E251" t="n">
        <v>400</v>
      </c>
      <c r="F251" t="n">
        <v>2.22</v>
      </c>
      <c r="G251" t="b">
        <v>1</v>
      </c>
      <c r="H251" t="inlineStr">
        <is>
          <t>0</t>
        </is>
      </c>
    </row>
    <row r="252">
      <c r="A252" t="inlineStr">
        <is>
          <t>ALL</t>
        </is>
      </c>
      <c r="B252" t="inlineStr">
        <is>
          <t>unique</t>
        </is>
      </c>
      <c r="C252" t="n">
        <v>2</v>
      </c>
      <c r="D252" t="inlineStr">
        <is>
          <t>Dex</t>
        </is>
      </c>
      <c r="E252" t="n">
        <v>200</v>
      </c>
      <c r="F252" t="n">
        <v>7.03</v>
      </c>
      <c r="G252" t="b">
        <v>0</v>
      </c>
      <c r="H252" t="inlineStr">
        <is>
          <t>0</t>
        </is>
      </c>
    </row>
    <row r="253">
      <c r="A253" t="inlineStr">
        <is>
          <t>ALL</t>
        </is>
      </c>
      <c r="B253" t="inlineStr">
        <is>
          <t>unique</t>
        </is>
      </c>
      <c r="C253" t="n">
        <v>2</v>
      </c>
      <c r="D253" t="inlineStr">
        <is>
          <t>Dex</t>
        </is>
      </c>
      <c r="E253" t="n">
        <v>400</v>
      </c>
      <c r="F253" t="n">
        <v>2.22</v>
      </c>
      <c r="G253" t="b">
        <v>1</v>
      </c>
      <c r="H253" t="inlineStr">
        <is>
          <t>0</t>
        </is>
      </c>
    </row>
    <row r="254">
      <c r="A254" t="inlineStr">
        <is>
          <t>ALL</t>
        </is>
      </c>
      <c r="B254" t="inlineStr">
        <is>
          <t>unique</t>
        </is>
      </c>
      <c r="C254" t="n">
        <v>2</v>
      </c>
      <c r="D254" t="inlineStr">
        <is>
          <t>Int</t>
        </is>
      </c>
      <c r="E254" t="n">
        <v>200</v>
      </c>
      <c r="F254" t="n">
        <v>7.03</v>
      </c>
      <c r="G254" t="b">
        <v>0</v>
      </c>
      <c r="H254" t="inlineStr">
        <is>
          <t>0</t>
        </is>
      </c>
    </row>
    <row r="255">
      <c r="A255" t="inlineStr">
        <is>
          <t>ALL</t>
        </is>
      </c>
      <c r="B255" t="inlineStr">
        <is>
          <t>unique</t>
        </is>
      </c>
      <c r="C255" t="n">
        <v>2</v>
      </c>
      <c r="D255" t="inlineStr">
        <is>
          <t>Int</t>
        </is>
      </c>
      <c r="E255" t="n">
        <v>400</v>
      </c>
      <c r="F255" t="n">
        <v>2.22</v>
      </c>
      <c r="G255" t="b">
        <v>1</v>
      </c>
      <c r="H255" t="inlineStr">
        <is>
          <t>0</t>
        </is>
      </c>
    </row>
    <row r="256">
      <c r="A256" t="inlineStr">
        <is>
          <t>ALL</t>
        </is>
      </c>
      <c r="B256" t="inlineStr">
        <is>
          <t>unique</t>
        </is>
      </c>
      <c r="C256" t="n">
        <v>2</v>
      </c>
      <c r="D256" t="inlineStr">
        <is>
          <t>Luk</t>
        </is>
      </c>
      <c r="E256" t="n">
        <v>200</v>
      </c>
      <c r="F256" t="n">
        <v>7.03</v>
      </c>
      <c r="G256" t="b">
        <v>0</v>
      </c>
      <c r="H256">
        <f>Sensitivity!H5</f>
        <v/>
      </c>
    </row>
    <row r="257">
      <c r="A257" t="inlineStr">
        <is>
          <t>ALL</t>
        </is>
      </c>
      <c r="B257" t="inlineStr">
        <is>
          <t>unique</t>
        </is>
      </c>
      <c r="C257" t="n">
        <v>2</v>
      </c>
      <c r="D257" t="inlineStr">
        <is>
          <t>Luk</t>
        </is>
      </c>
      <c r="E257" t="n">
        <v>400</v>
      </c>
      <c r="F257" t="n">
        <v>2.22</v>
      </c>
      <c r="G257" t="b">
        <v>1</v>
      </c>
      <c r="H257">
        <f>Sensitivity!H5</f>
        <v/>
      </c>
    </row>
    <row r="258">
      <c r="A258" t="inlineStr">
        <is>
          <t>ALL</t>
        </is>
      </c>
      <c r="B258" t="inlineStr">
        <is>
          <t>unique</t>
        </is>
      </c>
      <c r="C258" t="n">
        <v>3</v>
      </c>
      <c r="D258" t="inlineStr">
        <is>
          <t>Critical Rate %</t>
        </is>
      </c>
      <c r="E258" t="n">
        <v>6</v>
      </c>
      <c r="F258" t="n">
        <v>2.3</v>
      </c>
      <c r="G258" t="b">
        <v>0</v>
      </c>
      <c r="H258">
        <f>IF(Inputs!$B$9+Summary!$B$14+Artifacts!$B$32&gt;=100,Sensitivity!H16,Sensitivity!H15)</f>
        <v/>
      </c>
    </row>
    <row r="259">
      <c r="A259" t="inlineStr">
        <is>
          <t>ALL</t>
        </is>
      </c>
      <c r="B259" t="inlineStr">
        <is>
          <t>unique</t>
        </is>
      </c>
      <c r="C259" t="n">
        <v>3</v>
      </c>
      <c r="D259" t="inlineStr">
        <is>
          <t>Critical Rate %</t>
        </is>
      </c>
      <c r="E259" t="n">
        <v>9</v>
      </c>
      <c r="F259" t="n">
        <v>0.2</v>
      </c>
      <c r="G259" t="b">
        <v>1</v>
      </c>
      <c r="H259">
        <f>IF(Inputs!$B$9+Summary!$B$14+Artifacts!$B$32&gt;=100,Sensitivity!H16,Sensitivity!H15)</f>
        <v/>
      </c>
    </row>
    <row r="260">
      <c r="A260" t="inlineStr">
        <is>
          <t>ALL</t>
        </is>
      </c>
      <c r="B260" t="inlineStr">
        <is>
          <t>unique</t>
        </is>
      </c>
      <c r="C260" t="n">
        <v>3</v>
      </c>
      <c r="D260" t="inlineStr">
        <is>
          <t>Attack Speed %</t>
        </is>
      </c>
      <c r="E260" t="n">
        <v>4</v>
      </c>
      <c r="F260" t="n">
        <v>2.3</v>
      </c>
      <c r="G260" t="b">
        <v>0</v>
      </c>
      <c r="H260">
        <f>Sensitivity!H17</f>
        <v/>
      </c>
    </row>
    <row r="261">
      <c r="A261" t="inlineStr">
        <is>
          <t>ALL</t>
        </is>
      </c>
      <c r="B261" t="inlineStr">
        <is>
          <t>unique</t>
        </is>
      </c>
      <c r="C261" t="n">
        <v>3</v>
      </c>
      <c r="D261" t="inlineStr">
        <is>
          <t>Attack Speed %</t>
        </is>
      </c>
      <c r="E261" t="n">
        <v>5</v>
      </c>
      <c r="F261" t="n">
        <v>0.2</v>
      </c>
      <c r="G261" t="b">
        <v>1</v>
      </c>
      <c r="H261">
        <f>Sensitivity!H17</f>
        <v/>
      </c>
    </row>
    <row r="262">
      <c r="A262" t="inlineStr">
        <is>
          <t>ALL</t>
        </is>
      </c>
      <c r="B262" t="inlineStr">
        <is>
          <t>unique</t>
        </is>
      </c>
      <c r="C262" t="n">
        <v>3</v>
      </c>
      <c r="D262" t="inlineStr">
        <is>
          <t>Damage %</t>
        </is>
      </c>
      <c r="E262" t="n">
        <v>12</v>
      </c>
      <c r="F262" t="n">
        <v>3.68</v>
      </c>
      <c r="G262" t="b">
        <v>0</v>
      </c>
      <c r="H262">
        <f>Sensitivity!H8</f>
        <v/>
      </c>
    </row>
    <row r="263">
      <c r="A263" t="inlineStr">
        <is>
          <t>ALL</t>
        </is>
      </c>
      <c r="B263" t="inlineStr">
        <is>
          <t>unique</t>
        </is>
      </c>
      <c r="C263" t="n">
        <v>3</v>
      </c>
      <c r="D263" t="inlineStr">
        <is>
          <t>Damage %</t>
        </is>
      </c>
      <c r="E263" t="n">
        <v>18</v>
      </c>
      <c r="F263" t="n">
        <v>0.32</v>
      </c>
      <c r="G263" t="b">
        <v>1</v>
      </c>
      <c r="H263">
        <f>Sensitivity!H8</f>
        <v/>
      </c>
    </row>
    <row r="264">
      <c r="A264" t="inlineStr">
        <is>
          <t>ALL</t>
        </is>
      </c>
      <c r="B264" t="inlineStr">
        <is>
          <t>unique</t>
        </is>
      </c>
      <c r="C264" t="n">
        <v>3</v>
      </c>
      <c r="D264" t="inlineStr">
        <is>
          <t>Min Damage Multiplier %</t>
        </is>
      </c>
      <c r="E264" t="n">
        <v>8</v>
      </c>
      <c r="F264" t="n">
        <v>3.68</v>
      </c>
      <c r="G264" t="b">
        <v>0</v>
      </c>
      <c r="H264">
        <f>Sensitivity!H13</f>
        <v/>
      </c>
    </row>
    <row r="265">
      <c r="A265" t="inlineStr">
        <is>
          <t>ALL</t>
        </is>
      </c>
      <c r="B265" t="inlineStr">
        <is>
          <t>unique</t>
        </is>
      </c>
      <c r="C265" t="n">
        <v>3</v>
      </c>
      <c r="D265" t="inlineStr">
        <is>
          <t>Min Damage Multiplier %</t>
        </is>
      </c>
      <c r="E265" t="n">
        <v>10</v>
      </c>
      <c r="F265" t="n">
        <v>0.32</v>
      </c>
      <c r="G265" t="b">
        <v>1</v>
      </c>
      <c r="H265">
        <f>Sensitivity!H13</f>
        <v/>
      </c>
    </row>
    <row r="266">
      <c r="A266" t="inlineStr">
        <is>
          <t>ALL</t>
        </is>
      </c>
      <c r="B266" t="inlineStr">
        <is>
          <t>unique</t>
        </is>
      </c>
      <c r="C266" t="n">
        <v>3</v>
      </c>
      <c r="D266" t="inlineStr">
        <is>
          <t>Max Damage Multiplier %</t>
        </is>
      </c>
      <c r="E266" t="n">
        <v>8</v>
      </c>
      <c r="F266" t="n">
        <v>3.68</v>
      </c>
      <c r="G266" t="b">
        <v>0</v>
      </c>
      <c r="H266">
        <f>Sensitivity!H14</f>
        <v/>
      </c>
    </row>
    <row r="267">
      <c r="A267" t="inlineStr">
        <is>
          <t>ALL</t>
        </is>
      </c>
      <c r="B267" t="inlineStr">
        <is>
          <t>unique</t>
        </is>
      </c>
      <c r="C267" t="n">
        <v>3</v>
      </c>
      <c r="D267" t="inlineStr">
        <is>
          <t>Max Damage Multiplier %</t>
        </is>
      </c>
      <c r="E267" t="n">
        <v>10</v>
      </c>
      <c r="F267" t="n">
        <v>0.32</v>
      </c>
      <c r="G267" t="b">
        <v>1</v>
      </c>
      <c r="H267">
        <f>Sensitivity!H14</f>
        <v/>
      </c>
    </row>
    <row r="268">
      <c r="A268" t="inlineStr">
        <is>
          <t>ALL</t>
        </is>
      </c>
      <c r="B268" t="inlineStr">
        <is>
          <t>unique</t>
        </is>
      </c>
      <c r="C268" t="n">
        <v>3</v>
      </c>
      <c r="D268" t="inlineStr">
        <is>
          <t>Str %</t>
        </is>
      </c>
      <c r="E268" t="n">
        <v>6</v>
      </c>
      <c r="F268" t="n">
        <v>4.14</v>
      </c>
      <c r="G268" t="b">
        <v>0</v>
      </c>
      <c r="H268" t="inlineStr">
        <is>
          <t>0</t>
        </is>
      </c>
    </row>
    <row r="269">
      <c r="A269" t="inlineStr">
        <is>
          <t>ALL</t>
        </is>
      </c>
      <c r="B269" t="inlineStr">
        <is>
          <t>unique</t>
        </is>
      </c>
      <c r="C269" t="n">
        <v>3</v>
      </c>
      <c r="D269" t="inlineStr">
        <is>
          <t>Str %</t>
        </is>
      </c>
      <c r="E269" t="n">
        <v>9</v>
      </c>
      <c r="F269" t="n">
        <v>0.36</v>
      </c>
      <c r="G269" t="b">
        <v>1</v>
      </c>
      <c r="H269" t="inlineStr">
        <is>
          <t>0</t>
        </is>
      </c>
    </row>
    <row r="270">
      <c r="A270" t="inlineStr">
        <is>
          <t>ALL</t>
        </is>
      </c>
      <c r="B270" t="inlineStr">
        <is>
          <t>unique</t>
        </is>
      </c>
      <c r="C270" t="n">
        <v>3</v>
      </c>
      <c r="D270" t="inlineStr">
        <is>
          <t>Dex %</t>
        </is>
      </c>
      <c r="E270" t="n">
        <v>6</v>
      </c>
      <c r="F270" t="n">
        <v>4.14</v>
      </c>
      <c r="G270" t="b">
        <v>0</v>
      </c>
      <c r="H270" t="inlineStr">
        <is>
          <t>0</t>
        </is>
      </c>
    </row>
    <row r="271">
      <c r="A271" t="inlineStr">
        <is>
          <t>ALL</t>
        </is>
      </c>
      <c r="B271" t="inlineStr">
        <is>
          <t>unique</t>
        </is>
      </c>
      <c r="C271" t="n">
        <v>3</v>
      </c>
      <c r="D271" t="inlineStr">
        <is>
          <t>Dex %</t>
        </is>
      </c>
      <c r="E271" t="n">
        <v>9</v>
      </c>
      <c r="F271" t="n">
        <v>0.36</v>
      </c>
      <c r="G271" t="b">
        <v>1</v>
      </c>
      <c r="H271" t="inlineStr">
        <is>
          <t>0</t>
        </is>
      </c>
    </row>
    <row r="272">
      <c r="A272" t="inlineStr">
        <is>
          <t>ALL</t>
        </is>
      </c>
      <c r="B272" t="inlineStr">
        <is>
          <t>unique</t>
        </is>
      </c>
      <c r="C272" t="n">
        <v>3</v>
      </c>
      <c r="D272" t="inlineStr">
        <is>
          <t>Int %</t>
        </is>
      </c>
      <c r="E272" t="n">
        <v>6</v>
      </c>
      <c r="F272" t="n">
        <v>4.14</v>
      </c>
      <c r="G272" t="b">
        <v>0</v>
      </c>
      <c r="H272" t="inlineStr">
        <is>
          <t>0</t>
        </is>
      </c>
    </row>
    <row r="273">
      <c r="A273" t="inlineStr">
        <is>
          <t>ALL</t>
        </is>
      </c>
      <c r="B273" t="inlineStr">
        <is>
          <t>unique</t>
        </is>
      </c>
      <c r="C273" t="n">
        <v>3</v>
      </c>
      <c r="D273" t="inlineStr">
        <is>
          <t>Int %</t>
        </is>
      </c>
      <c r="E273" t="n">
        <v>9</v>
      </c>
      <c r="F273" t="n">
        <v>0.36</v>
      </c>
      <c r="G273" t="b">
        <v>1</v>
      </c>
      <c r="H273" t="inlineStr">
        <is>
          <t>0</t>
        </is>
      </c>
    </row>
    <row r="274">
      <c r="A274" t="inlineStr">
        <is>
          <t>ALL</t>
        </is>
      </c>
      <c r="B274" t="inlineStr">
        <is>
          <t>unique</t>
        </is>
      </c>
      <c r="C274" t="n">
        <v>3</v>
      </c>
      <c r="D274" t="inlineStr">
        <is>
          <t>Luk %</t>
        </is>
      </c>
      <c r="E274" t="n">
        <v>6</v>
      </c>
      <c r="F274" t="n">
        <v>4.14</v>
      </c>
      <c r="G274" t="b">
        <v>0</v>
      </c>
      <c r="H274">
        <f>Sensitivity!H6</f>
        <v/>
      </c>
    </row>
    <row r="275">
      <c r="A275" t="inlineStr">
        <is>
          <t>ALL</t>
        </is>
      </c>
      <c r="B275" t="inlineStr">
        <is>
          <t>unique</t>
        </is>
      </c>
      <c r="C275" t="n">
        <v>3</v>
      </c>
      <c r="D275" t="inlineStr">
        <is>
          <t>Luk %</t>
        </is>
      </c>
      <c r="E275" t="n">
        <v>9</v>
      </c>
      <c r="F275" t="n">
        <v>0.36</v>
      </c>
      <c r="G275" t="b">
        <v>1</v>
      </c>
      <c r="H275">
        <f>Sensitivity!H6</f>
        <v/>
      </c>
    </row>
    <row r="276">
      <c r="A276" t="inlineStr">
        <is>
          <t>ALL</t>
        </is>
      </c>
      <c r="B276" t="inlineStr">
        <is>
          <t>unique</t>
        </is>
      </c>
      <c r="C276" t="n">
        <v>3</v>
      </c>
      <c r="D276" t="inlineStr">
        <is>
          <t>Defense %</t>
        </is>
      </c>
      <c r="E276" t="n">
        <v>6</v>
      </c>
      <c r="F276" t="n">
        <v>8.279999999999999</v>
      </c>
      <c r="G276" t="b">
        <v>0</v>
      </c>
      <c r="H276" t="inlineStr">
        <is>
          <t>0</t>
        </is>
      </c>
    </row>
    <row r="277">
      <c r="A277" t="inlineStr">
        <is>
          <t>ALL</t>
        </is>
      </c>
      <c r="B277" t="inlineStr">
        <is>
          <t>unique</t>
        </is>
      </c>
      <c r="C277" t="n">
        <v>3</v>
      </c>
      <c r="D277" t="inlineStr">
        <is>
          <t>Defense %</t>
        </is>
      </c>
      <c r="E277" t="n">
        <v>9</v>
      </c>
      <c r="F277" t="n">
        <v>0.72</v>
      </c>
      <c r="G277" t="b">
        <v>1</v>
      </c>
      <c r="H277" t="inlineStr">
        <is>
          <t>0</t>
        </is>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t="inlineStr">
        <is>
          <t>0</t>
        </is>
      </c>
    </row>
    <row r="283">
      <c r="A283" t="inlineStr">
        <is>
          <t>ALL</t>
        </is>
      </c>
      <c r="B283" t="inlineStr">
        <is>
          <t>unique</t>
        </is>
      </c>
      <c r="C283" t="n">
        <v>3</v>
      </c>
      <c r="D283" t="inlineStr">
        <is>
          <t>Str</t>
        </is>
      </c>
      <c r="E283" t="n">
        <v>400</v>
      </c>
      <c r="F283" t="n">
        <v>0.74</v>
      </c>
      <c r="G283" t="b">
        <v>1</v>
      </c>
      <c r="H283" t="inlineStr">
        <is>
          <t>0</t>
        </is>
      </c>
    </row>
    <row r="284">
      <c r="A284" t="inlineStr">
        <is>
          <t>ALL</t>
        </is>
      </c>
      <c r="B284" t="inlineStr">
        <is>
          <t>unique</t>
        </is>
      </c>
      <c r="C284" t="n">
        <v>3</v>
      </c>
      <c r="D284" t="inlineStr">
        <is>
          <t>Dex</t>
        </is>
      </c>
      <c r="E284" t="n">
        <v>200</v>
      </c>
      <c r="F284" t="n">
        <v>8.51</v>
      </c>
      <c r="G284" t="b">
        <v>0</v>
      </c>
      <c r="H284" t="inlineStr">
        <is>
          <t>0</t>
        </is>
      </c>
    </row>
    <row r="285">
      <c r="A285" t="inlineStr">
        <is>
          <t>ALL</t>
        </is>
      </c>
      <c r="B285" t="inlineStr">
        <is>
          <t>unique</t>
        </is>
      </c>
      <c r="C285" t="n">
        <v>3</v>
      </c>
      <c r="D285" t="inlineStr">
        <is>
          <t>Dex</t>
        </is>
      </c>
      <c r="E285" t="n">
        <v>400</v>
      </c>
      <c r="F285" t="n">
        <v>0.74</v>
      </c>
      <c r="G285" t="b">
        <v>1</v>
      </c>
      <c r="H285" t="inlineStr">
        <is>
          <t>0</t>
        </is>
      </c>
    </row>
    <row r="286">
      <c r="A286" t="inlineStr">
        <is>
          <t>ALL</t>
        </is>
      </c>
      <c r="B286" t="inlineStr">
        <is>
          <t>unique</t>
        </is>
      </c>
      <c r="C286" t="n">
        <v>3</v>
      </c>
      <c r="D286" t="inlineStr">
        <is>
          <t>Int</t>
        </is>
      </c>
      <c r="E286" t="n">
        <v>200</v>
      </c>
      <c r="F286" t="n">
        <v>8.51</v>
      </c>
      <c r="G286" t="b">
        <v>0</v>
      </c>
      <c r="H286" t="inlineStr">
        <is>
          <t>0</t>
        </is>
      </c>
    </row>
    <row r="287">
      <c r="A287" t="inlineStr">
        <is>
          <t>ALL</t>
        </is>
      </c>
      <c r="B287" t="inlineStr">
        <is>
          <t>unique</t>
        </is>
      </c>
      <c r="C287" t="n">
        <v>3</v>
      </c>
      <c r="D287" t="inlineStr">
        <is>
          <t>Int</t>
        </is>
      </c>
      <c r="E287" t="n">
        <v>400</v>
      </c>
      <c r="F287" t="n">
        <v>0.74</v>
      </c>
      <c r="G287" t="b">
        <v>1</v>
      </c>
      <c r="H287" t="inlineStr">
        <is>
          <t>0</t>
        </is>
      </c>
    </row>
    <row r="288">
      <c r="A288" t="inlineStr">
        <is>
          <t>ALL</t>
        </is>
      </c>
      <c r="B288" t="inlineStr">
        <is>
          <t>unique</t>
        </is>
      </c>
      <c r="C288" t="n">
        <v>3</v>
      </c>
      <c r="D288" t="inlineStr">
        <is>
          <t>Luk</t>
        </is>
      </c>
      <c r="E288" t="n">
        <v>200</v>
      </c>
      <c r="F288" t="n">
        <v>8.51</v>
      </c>
      <c r="G288" t="b">
        <v>0</v>
      </c>
      <c r="H288">
        <f>Sensitivity!H5</f>
        <v/>
      </c>
    </row>
    <row r="289">
      <c r="A289" t="inlineStr">
        <is>
          <t>ALL</t>
        </is>
      </c>
      <c r="B289" t="inlineStr">
        <is>
          <t>unique</t>
        </is>
      </c>
      <c r="C289" t="n">
        <v>3</v>
      </c>
      <c r="D289" t="inlineStr">
        <is>
          <t>Luk</t>
        </is>
      </c>
      <c r="E289" t="n">
        <v>400</v>
      </c>
      <c r="F289" t="n">
        <v>0.74</v>
      </c>
      <c r="G289" t="b">
        <v>1</v>
      </c>
      <c r="H289">
        <f>Sensitivity!H5</f>
        <v/>
      </c>
    </row>
    <row r="290">
      <c r="A290" t="inlineStr">
        <is>
          <t>ALL</t>
        </is>
      </c>
      <c r="B290" t="inlineStr">
        <is>
          <t>legendary</t>
        </is>
      </c>
      <c r="C290" t="n">
        <v>1</v>
      </c>
      <c r="D290" t="inlineStr">
        <is>
          <t>Critical Rate %</t>
        </is>
      </c>
      <c r="E290" t="n">
        <v>12</v>
      </c>
      <c r="F290" t="n">
        <v>2.5</v>
      </c>
      <c r="G290" t="b">
        <v>0</v>
      </c>
      <c r="H290">
        <f>IF(Inputs!$B$9+Summary!$B$14+Artifacts!$B$32&gt;=100,Sensitivity!H16,Sensitivity!H15)</f>
        <v/>
      </c>
    </row>
    <row r="291">
      <c r="A291" t="inlineStr">
        <is>
          <t>ALL</t>
        </is>
      </c>
      <c r="B291" t="inlineStr">
        <is>
          <t>legendary</t>
        </is>
      </c>
      <c r="C291" t="n">
        <v>1</v>
      </c>
      <c r="D291" t="inlineStr">
        <is>
          <t>Attack Speed %</t>
        </is>
      </c>
      <c r="E291" t="n">
        <v>7</v>
      </c>
      <c r="F291" t="n">
        <v>2.5</v>
      </c>
      <c r="G291" t="b">
        <v>0</v>
      </c>
      <c r="H291">
        <f>Sensitivity!H17</f>
        <v/>
      </c>
    </row>
    <row r="292">
      <c r="A292" t="inlineStr">
        <is>
          <t>ALL</t>
        </is>
      </c>
      <c r="B292" t="inlineStr">
        <is>
          <t>legendary</t>
        </is>
      </c>
      <c r="C292" t="n">
        <v>1</v>
      </c>
      <c r="D292" t="inlineStr">
        <is>
          <t>Damage %</t>
        </is>
      </c>
      <c r="E292" t="n">
        <v>25</v>
      </c>
      <c r="F292" t="n">
        <v>4</v>
      </c>
      <c r="G292" t="b">
        <v>0</v>
      </c>
      <c r="H292">
        <f>Sensitivity!H8</f>
        <v/>
      </c>
    </row>
    <row r="293">
      <c r="A293" t="inlineStr">
        <is>
          <t>ALL</t>
        </is>
      </c>
      <c r="B293" t="inlineStr">
        <is>
          <t>legendary</t>
        </is>
      </c>
      <c r="C293" t="n">
        <v>1</v>
      </c>
      <c r="D293" t="inlineStr">
        <is>
          <t>Min Damage Multiplier %</t>
        </is>
      </c>
      <c r="E293" t="n">
        <v>15</v>
      </c>
      <c r="F293" t="n">
        <v>4</v>
      </c>
      <c r="G293" t="b">
        <v>0</v>
      </c>
      <c r="H293">
        <f>Sensitivity!H13</f>
        <v/>
      </c>
    </row>
    <row r="294">
      <c r="A294" t="inlineStr">
        <is>
          <t>ALL</t>
        </is>
      </c>
      <c r="B294" t="inlineStr">
        <is>
          <t>legendary</t>
        </is>
      </c>
      <c r="C294" t="n">
        <v>1</v>
      </c>
      <c r="D294" t="inlineStr">
        <is>
          <t>Max Damage Multiplier %</t>
        </is>
      </c>
      <c r="E294" t="n">
        <v>15</v>
      </c>
      <c r="F294" t="n">
        <v>4</v>
      </c>
      <c r="G294" t="b">
        <v>0</v>
      </c>
      <c r="H294">
        <f>Sensitivity!H14</f>
        <v/>
      </c>
    </row>
    <row r="295">
      <c r="A295" t="inlineStr">
        <is>
          <t>ALL</t>
        </is>
      </c>
      <c r="B295" t="inlineStr">
        <is>
          <t>legendary</t>
        </is>
      </c>
      <c r="C295" t="n">
        <v>1</v>
      </c>
      <c r="D295" t="inlineStr">
        <is>
          <t>Str %</t>
        </is>
      </c>
      <c r="E295" t="n">
        <v>12</v>
      </c>
      <c r="F295" t="n">
        <v>4.5</v>
      </c>
      <c r="G295" t="b">
        <v>0</v>
      </c>
      <c r="H295" t="inlineStr">
        <is>
          <t>0</t>
        </is>
      </c>
    </row>
    <row r="296">
      <c r="A296" t="inlineStr">
        <is>
          <t>ALL</t>
        </is>
      </c>
      <c r="B296" t="inlineStr">
        <is>
          <t>legendary</t>
        </is>
      </c>
      <c r="C296" t="n">
        <v>1</v>
      </c>
      <c r="D296" t="inlineStr">
        <is>
          <t>Dex %</t>
        </is>
      </c>
      <c r="E296" t="n">
        <v>12</v>
      </c>
      <c r="F296" t="n">
        <v>4.5</v>
      </c>
      <c r="G296" t="b">
        <v>0</v>
      </c>
      <c r="H296" t="inlineStr">
        <is>
          <t>0</t>
        </is>
      </c>
    </row>
    <row r="297">
      <c r="A297" t="inlineStr">
        <is>
          <t>ALL</t>
        </is>
      </c>
      <c r="B297" t="inlineStr">
        <is>
          <t>legendary</t>
        </is>
      </c>
      <c r="C297" t="n">
        <v>1</v>
      </c>
      <c r="D297" t="inlineStr">
        <is>
          <t>Int %</t>
        </is>
      </c>
      <c r="E297" t="n">
        <v>12</v>
      </c>
      <c r="F297" t="n">
        <v>4.5</v>
      </c>
      <c r="G297" t="b">
        <v>0</v>
      </c>
      <c r="H297" t="inlineStr">
        <is>
          <t>0</t>
        </is>
      </c>
    </row>
    <row r="298">
      <c r="A298" t="inlineStr">
        <is>
          <t>ALL</t>
        </is>
      </c>
      <c r="B298" t="inlineStr">
        <is>
          <t>legendary</t>
        </is>
      </c>
      <c r="C298" t="n">
        <v>1</v>
      </c>
      <c r="D298" t="inlineStr">
        <is>
          <t>Luk %</t>
        </is>
      </c>
      <c r="E298" t="n">
        <v>12</v>
      </c>
      <c r="F298" t="n">
        <v>4.5</v>
      </c>
      <c r="G298" t="b">
        <v>0</v>
      </c>
      <c r="H298">
        <f>Sensitivity!H6</f>
        <v/>
      </c>
    </row>
    <row r="299">
      <c r="A299" t="inlineStr">
        <is>
          <t>ALL</t>
        </is>
      </c>
      <c r="B299" t="inlineStr">
        <is>
          <t>legendary</t>
        </is>
      </c>
      <c r="C299" t="n">
        <v>1</v>
      </c>
      <c r="D299" t="inlineStr">
        <is>
          <t>Defense %</t>
        </is>
      </c>
      <c r="E299" t="n">
        <v>12</v>
      </c>
      <c r="F299" t="n">
        <v>9</v>
      </c>
      <c r="G299" t="b">
        <v>0</v>
      </c>
      <c r="H299" t="inlineStr">
        <is>
          <t>0</t>
        </is>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t="inlineStr">
        <is>
          <t>0</t>
        </is>
      </c>
    </row>
    <row r="303">
      <c r="A303" t="inlineStr">
        <is>
          <t>ALL</t>
        </is>
      </c>
      <c r="B303" t="inlineStr">
        <is>
          <t>legendary</t>
        </is>
      </c>
      <c r="C303" t="n">
        <v>1</v>
      </c>
      <c r="D303" t="inlineStr">
        <is>
          <t>Dex</t>
        </is>
      </c>
      <c r="E303" t="n">
        <v>600</v>
      </c>
      <c r="F303" t="n">
        <v>9.25</v>
      </c>
      <c r="G303" t="b">
        <v>0</v>
      </c>
      <c r="H303" t="inlineStr">
        <is>
          <t>0</t>
        </is>
      </c>
    </row>
    <row r="304">
      <c r="A304" t="inlineStr">
        <is>
          <t>ALL</t>
        </is>
      </c>
      <c r="B304" t="inlineStr">
        <is>
          <t>legendary</t>
        </is>
      </c>
      <c r="C304" t="n">
        <v>1</v>
      </c>
      <c r="D304" t="inlineStr">
        <is>
          <t>Int</t>
        </is>
      </c>
      <c r="E304" t="n">
        <v>600</v>
      </c>
      <c r="F304" t="n">
        <v>9.25</v>
      </c>
      <c r="G304" t="b">
        <v>0</v>
      </c>
      <c r="H304" t="inlineStr">
        <is>
          <t>0</t>
        </is>
      </c>
    </row>
    <row r="305">
      <c r="A305" t="inlineStr">
        <is>
          <t>ALL</t>
        </is>
      </c>
      <c r="B305" t="inlineStr">
        <is>
          <t>legendary</t>
        </is>
      </c>
      <c r="C305" t="n">
        <v>1</v>
      </c>
      <c r="D305" t="inlineStr">
        <is>
          <t>Luk</t>
        </is>
      </c>
      <c r="E305" t="n">
        <v>600</v>
      </c>
      <c r="F305" t="n">
        <v>9.25</v>
      </c>
      <c r="G305" t="b">
        <v>0</v>
      </c>
      <c r="H305">
        <f>Sensitivity!H5</f>
        <v/>
      </c>
    </row>
    <row r="306">
      <c r="A306" t="inlineStr">
        <is>
          <t>ALL</t>
        </is>
      </c>
      <c r="B306" t="inlineStr">
        <is>
          <t>legendary</t>
        </is>
      </c>
      <c r="C306" t="n">
        <v>2</v>
      </c>
      <c r="D306" t="inlineStr">
        <is>
          <t>Critical Rate %</t>
        </is>
      </c>
      <c r="E306" t="n">
        <v>9</v>
      </c>
      <c r="F306" t="n">
        <v>1.9</v>
      </c>
      <c r="G306" t="b">
        <v>0</v>
      </c>
      <c r="H306">
        <f>IF(Inputs!$B$9+Summary!$B$14+Artifacts!$B$32&gt;=100,Sensitivity!H16,Sensitivity!H15)</f>
        <v/>
      </c>
    </row>
    <row r="307">
      <c r="A307" t="inlineStr">
        <is>
          <t>ALL</t>
        </is>
      </c>
      <c r="B307" t="inlineStr">
        <is>
          <t>legendary</t>
        </is>
      </c>
      <c r="C307" t="n">
        <v>2</v>
      </c>
      <c r="D307" t="inlineStr">
        <is>
          <t>Critical Rate %</t>
        </is>
      </c>
      <c r="E307" t="n">
        <v>12</v>
      </c>
      <c r="F307" t="n">
        <v>0.6</v>
      </c>
      <c r="G307" t="b">
        <v>1</v>
      </c>
      <c r="H307">
        <f>IF(Inputs!$B$9+Summary!$B$14+Artifacts!$B$32&gt;=100,Sensitivity!H16,Sensitivity!H15)</f>
        <v/>
      </c>
    </row>
    <row r="308">
      <c r="A308" t="inlineStr">
        <is>
          <t>ALL</t>
        </is>
      </c>
      <c r="B308" t="inlineStr">
        <is>
          <t>legendary</t>
        </is>
      </c>
      <c r="C308" t="n">
        <v>2</v>
      </c>
      <c r="D308" t="inlineStr">
        <is>
          <t>Attack Speed %</t>
        </is>
      </c>
      <c r="E308" t="n">
        <v>5</v>
      </c>
      <c r="F308" t="n">
        <v>1.9</v>
      </c>
      <c r="G308" t="b">
        <v>0</v>
      </c>
      <c r="H308">
        <f>Sensitivity!H17</f>
        <v/>
      </c>
    </row>
    <row r="309">
      <c r="A309" t="inlineStr">
        <is>
          <t>ALL</t>
        </is>
      </c>
      <c r="B309" t="inlineStr">
        <is>
          <t>legendary</t>
        </is>
      </c>
      <c r="C309" t="n">
        <v>2</v>
      </c>
      <c r="D309" t="inlineStr">
        <is>
          <t>Attack Speed %</t>
        </is>
      </c>
      <c r="E309" t="n">
        <v>7</v>
      </c>
      <c r="F309" t="n">
        <v>0.6</v>
      </c>
      <c r="G309" t="b">
        <v>1</v>
      </c>
      <c r="H309">
        <f>Sensitivity!H17</f>
        <v/>
      </c>
    </row>
    <row r="310">
      <c r="A310" t="inlineStr">
        <is>
          <t>ALL</t>
        </is>
      </c>
      <c r="B310" t="inlineStr">
        <is>
          <t>legendary</t>
        </is>
      </c>
      <c r="C310" t="n">
        <v>2</v>
      </c>
      <c r="D310" t="inlineStr">
        <is>
          <t>Damage %</t>
        </is>
      </c>
      <c r="E310" t="n">
        <v>18</v>
      </c>
      <c r="F310" t="n">
        <v>3.04</v>
      </c>
      <c r="G310" t="b">
        <v>0</v>
      </c>
      <c r="H310">
        <f>Sensitivity!H8</f>
        <v/>
      </c>
    </row>
    <row r="311">
      <c r="A311" t="inlineStr">
        <is>
          <t>ALL</t>
        </is>
      </c>
      <c r="B311" t="inlineStr">
        <is>
          <t>legendary</t>
        </is>
      </c>
      <c r="C311" t="n">
        <v>2</v>
      </c>
      <c r="D311" t="inlineStr">
        <is>
          <t>Damage %</t>
        </is>
      </c>
      <c r="E311" t="n">
        <v>25</v>
      </c>
      <c r="F311" t="n">
        <v>0.96</v>
      </c>
      <c r="G311" t="b">
        <v>1</v>
      </c>
      <c r="H311">
        <f>Sensitivity!H8</f>
        <v/>
      </c>
    </row>
    <row r="312">
      <c r="A312" t="inlineStr">
        <is>
          <t>ALL</t>
        </is>
      </c>
      <c r="B312" t="inlineStr">
        <is>
          <t>legendary</t>
        </is>
      </c>
      <c r="C312" t="n">
        <v>2</v>
      </c>
      <c r="D312" t="inlineStr">
        <is>
          <t>Min Damage Multiplier %</t>
        </is>
      </c>
      <c r="E312" t="n">
        <v>10</v>
      </c>
      <c r="F312" t="n">
        <v>3.04</v>
      </c>
      <c r="G312" t="b">
        <v>0</v>
      </c>
      <c r="H312">
        <f>Sensitivity!H13</f>
        <v/>
      </c>
    </row>
    <row r="313">
      <c r="A313" t="inlineStr">
        <is>
          <t>ALL</t>
        </is>
      </c>
      <c r="B313" t="inlineStr">
        <is>
          <t>legendary</t>
        </is>
      </c>
      <c r="C313" t="n">
        <v>2</v>
      </c>
      <c r="D313" t="inlineStr">
        <is>
          <t>Min Damage Multiplier %</t>
        </is>
      </c>
      <c r="E313" t="n">
        <v>15</v>
      </c>
      <c r="F313" t="n">
        <v>0.96</v>
      </c>
      <c r="G313" t="b">
        <v>1</v>
      </c>
      <c r="H313">
        <f>Sensitivity!H13</f>
        <v/>
      </c>
    </row>
    <row r="314">
      <c r="A314" t="inlineStr">
        <is>
          <t>ALL</t>
        </is>
      </c>
      <c r="B314" t="inlineStr">
        <is>
          <t>legendary</t>
        </is>
      </c>
      <c r="C314" t="n">
        <v>2</v>
      </c>
      <c r="D314" t="inlineStr">
        <is>
          <t>Max Damage Multiplier %</t>
        </is>
      </c>
      <c r="E314" t="n">
        <v>10</v>
      </c>
      <c r="F314" t="n">
        <v>3.04</v>
      </c>
      <c r="G314" t="b">
        <v>0</v>
      </c>
      <c r="H314">
        <f>Sensitivity!H14</f>
        <v/>
      </c>
    </row>
    <row r="315">
      <c r="A315" t="inlineStr">
        <is>
          <t>ALL</t>
        </is>
      </c>
      <c r="B315" t="inlineStr">
        <is>
          <t>legendary</t>
        </is>
      </c>
      <c r="C315" t="n">
        <v>2</v>
      </c>
      <c r="D315" t="inlineStr">
        <is>
          <t>Max Damage Multiplier %</t>
        </is>
      </c>
      <c r="E315" t="n">
        <v>15</v>
      </c>
      <c r="F315" t="n">
        <v>0.96</v>
      </c>
      <c r="G315" t="b">
        <v>1</v>
      </c>
      <c r="H315">
        <f>Sensitivity!H14</f>
        <v/>
      </c>
    </row>
    <row r="316">
      <c r="A316" t="inlineStr">
        <is>
          <t>ALL</t>
        </is>
      </c>
      <c r="B316" t="inlineStr">
        <is>
          <t>legendary</t>
        </is>
      </c>
      <c r="C316" t="n">
        <v>2</v>
      </c>
      <c r="D316" t="inlineStr">
        <is>
          <t>Str %</t>
        </is>
      </c>
      <c r="E316" t="n">
        <v>9</v>
      </c>
      <c r="F316" t="n">
        <v>3.42</v>
      </c>
      <c r="G316" t="b">
        <v>0</v>
      </c>
      <c r="H316" t="inlineStr">
        <is>
          <t>0</t>
        </is>
      </c>
    </row>
    <row r="317">
      <c r="A317" t="inlineStr">
        <is>
          <t>ALL</t>
        </is>
      </c>
      <c r="B317" t="inlineStr">
        <is>
          <t>legendary</t>
        </is>
      </c>
      <c r="C317" t="n">
        <v>2</v>
      </c>
      <c r="D317" t="inlineStr">
        <is>
          <t>Str %</t>
        </is>
      </c>
      <c r="E317" t="n">
        <v>12</v>
      </c>
      <c r="F317" t="n">
        <v>1.08</v>
      </c>
      <c r="G317" t="b">
        <v>1</v>
      </c>
      <c r="H317" t="inlineStr">
        <is>
          <t>0</t>
        </is>
      </c>
    </row>
    <row r="318">
      <c r="A318" t="inlineStr">
        <is>
          <t>ALL</t>
        </is>
      </c>
      <c r="B318" t="inlineStr">
        <is>
          <t>legendary</t>
        </is>
      </c>
      <c r="C318" t="n">
        <v>2</v>
      </c>
      <c r="D318" t="inlineStr">
        <is>
          <t>Dex %</t>
        </is>
      </c>
      <c r="E318" t="n">
        <v>9</v>
      </c>
      <c r="F318" t="n">
        <v>3.42</v>
      </c>
      <c r="G318" t="b">
        <v>0</v>
      </c>
      <c r="H318" t="inlineStr">
        <is>
          <t>0</t>
        </is>
      </c>
    </row>
    <row r="319">
      <c r="A319" t="inlineStr">
        <is>
          <t>ALL</t>
        </is>
      </c>
      <c r="B319" t="inlineStr">
        <is>
          <t>legendary</t>
        </is>
      </c>
      <c r="C319" t="n">
        <v>2</v>
      </c>
      <c r="D319" t="inlineStr">
        <is>
          <t>Dex %</t>
        </is>
      </c>
      <c r="E319" t="n">
        <v>12</v>
      </c>
      <c r="F319" t="n">
        <v>1.08</v>
      </c>
      <c r="G319" t="b">
        <v>1</v>
      </c>
      <c r="H319" t="inlineStr">
        <is>
          <t>0</t>
        </is>
      </c>
    </row>
    <row r="320">
      <c r="A320" t="inlineStr">
        <is>
          <t>ALL</t>
        </is>
      </c>
      <c r="B320" t="inlineStr">
        <is>
          <t>legendary</t>
        </is>
      </c>
      <c r="C320" t="n">
        <v>2</v>
      </c>
      <c r="D320" t="inlineStr">
        <is>
          <t>Int %</t>
        </is>
      </c>
      <c r="E320" t="n">
        <v>9</v>
      </c>
      <c r="F320" t="n">
        <v>3.42</v>
      </c>
      <c r="G320" t="b">
        <v>0</v>
      </c>
      <c r="H320" t="inlineStr">
        <is>
          <t>0</t>
        </is>
      </c>
    </row>
    <row r="321">
      <c r="A321" t="inlineStr">
        <is>
          <t>ALL</t>
        </is>
      </c>
      <c r="B321" t="inlineStr">
        <is>
          <t>legendary</t>
        </is>
      </c>
      <c r="C321" t="n">
        <v>2</v>
      </c>
      <c r="D321" t="inlineStr">
        <is>
          <t>Int %</t>
        </is>
      </c>
      <c r="E321" t="n">
        <v>12</v>
      </c>
      <c r="F321" t="n">
        <v>1.08</v>
      </c>
      <c r="G321" t="b">
        <v>1</v>
      </c>
      <c r="H321" t="inlineStr">
        <is>
          <t>0</t>
        </is>
      </c>
    </row>
    <row r="322">
      <c r="A322" t="inlineStr">
        <is>
          <t>ALL</t>
        </is>
      </c>
      <c r="B322" t="inlineStr">
        <is>
          <t>legendary</t>
        </is>
      </c>
      <c r="C322" t="n">
        <v>2</v>
      </c>
      <c r="D322" t="inlineStr">
        <is>
          <t>Luk %</t>
        </is>
      </c>
      <c r="E322" t="n">
        <v>9</v>
      </c>
      <c r="F322" t="n">
        <v>3.42</v>
      </c>
      <c r="G322" t="b">
        <v>0</v>
      </c>
      <c r="H322">
        <f>Sensitivity!H6</f>
        <v/>
      </c>
    </row>
    <row r="323">
      <c r="A323" t="inlineStr">
        <is>
          <t>ALL</t>
        </is>
      </c>
      <c r="B323" t="inlineStr">
        <is>
          <t>legendary</t>
        </is>
      </c>
      <c r="C323" t="n">
        <v>2</v>
      </c>
      <c r="D323" t="inlineStr">
        <is>
          <t>Luk %</t>
        </is>
      </c>
      <c r="E323" t="n">
        <v>12</v>
      </c>
      <c r="F323" t="n">
        <v>1.08</v>
      </c>
      <c r="G323" t="b">
        <v>1</v>
      </c>
      <c r="H323">
        <f>Sensitivity!H6</f>
        <v/>
      </c>
    </row>
    <row r="324">
      <c r="A324" t="inlineStr">
        <is>
          <t>ALL</t>
        </is>
      </c>
      <c r="B324" t="inlineStr">
        <is>
          <t>legendary</t>
        </is>
      </c>
      <c r="C324" t="n">
        <v>2</v>
      </c>
      <c r="D324" t="inlineStr">
        <is>
          <t>Defense %</t>
        </is>
      </c>
      <c r="E324" t="n">
        <v>9</v>
      </c>
      <c r="F324" t="n">
        <v>6.84</v>
      </c>
      <c r="G324" t="b">
        <v>0</v>
      </c>
      <c r="H324" t="inlineStr">
        <is>
          <t>0</t>
        </is>
      </c>
    </row>
    <row r="325">
      <c r="A325" t="inlineStr">
        <is>
          <t>ALL</t>
        </is>
      </c>
      <c r="B325" t="inlineStr">
        <is>
          <t>legendary</t>
        </is>
      </c>
      <c r="C325" t="n">
        <v>2</v>
      </c>
      <c r="D325" t="inlineStr">
        <is>
          <t>Defense %</t>
        </is>
      </c>
      <c r="E325" t="n">
        <v>12</v>
      </c>
      <c r="F325" t="n">
        <v>2.16</v>
      </c>
      <c r="G325" t="b">
        <v>1</v>
      </c>
      <c r="H325" t="inlineStr">
        <is>
          <t>0</t>
        </is>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t="inlineStr">
        <is>
          <t>0</t>
        </is>
      </c>
    </row>
    <row r="331">
      <c r="A331" t="inlineStr">
        <is>
          <t>ALL</t>
        </is>
      </c>
      <c r="B331" t="inlineStr">
        <is>
          <t>legendary</t>
        </is>
      </c>
      <c r="C331" t="n">
        <v>2</v>
      </c>
      <c r="D331" t="inlineStr">
        <is>
          <t>Str</t>
        </is>
      </c>
      <c r="E331" t="n">
        <v>600</v>
      </c>
      <c r="F331" t="n">
        <v>2.22</v>
      </c>
      <c r="G331" t="b">
        <v>1</v>
      </c>
      <c r="H331" t="inlineStr">
        <is>
          <t>0</t>
        </is>
      </c>
    </row>
    <row r="332">
      <c r="A332" t="inlineStr">
        <is>
          <t>ALL</t>
        </is>
      </c>
      <c r="B332" t="inlineStr">
        <is>
          <t>legendary</t>
        </is>
      </c>
      <c r="C332" t="n">
        <v>2</v>
      </c>
      <c r="D332" t="inlineStr">
        <is>
          <t>Dex</t>
        </is>
      </c>
      <c r="E332" t="n">
        <v>400</v>
      </c>
      <c r="F332" t="n">
        <v>7.03</v>
      </c>
      <c r="G332" t="b">
        <v>0</v>
      </c>
      <c r="H332" t="inlineStr">
        <is>
          <t>0</t>
        </is>
      </c>
    </row>
    <row r="333">
      <c r="A333" t="inlineStr">
        <is>
          <t>ALL</t>
        </is>
      </c>
      <c r="B333" t="inlineStr">
        <is>
          <t>legendary</t>
        </is>
      </c>
      <c r="C333" t="n">
        <v>2</v>
      </c>
      <c r="D333" t="inlineStr">
        <is>
          <t>Dex</t>
        </is>
      </c>
      <c r="E333" t="n">
        <v>600</v>
      </c>
      <c r="F333" t="n">
        <v>2.22</v>
      </c>
      <c r="G333" t="b">
        <v>1</v>
      </c>
      <c r="H333" t="inlineStr">
        <is>
          <t>0</t>
        </is>
      </c>
    </row>
    <row r="334">
      <c r="A334" t="inlineStr">
        <is>
          <t>ALL</t>
        </is>
      </c>
      <c r="B334" t="inlineStr">
        <is>
          <t>legendary</t>
        </is>
      </c>
      <c r="C334" t="n">
        <v>2</v>
      </c>
      <c r="D334" t="inlineStr">
        <is>
          <t>Int</t>
        </is>
      </c>
      <c r="E334" t="n">
        <v>400</v>
      </c>
      <c r="F334" t="n">
        <v>7.03</v>
      </c>
      <c r="G334" t="b">
        <v>0</v>
      </c>
      <c r="H334" t="inlineStr">
        <is>
          <t>0</t>
        </is>
      </c>
    </row>
    <row r="335">
      <c r="A335" t="inlineStr">
        <is>
          <t>ALL</t>
        </is>
      </c>
      <c r="B335" t="inlineStr">
        <is>
          <t>legendary</t>
        </is>
      </c>
      <c r="C335" t="n">
        <v>2</v>
      </c>
      <c r="D335" t="inlineStr">
        <is>
          <t>Int</t>
        </is>
      </c>
      <c r="E335" t="n">
        <v>600</v>
      </c>
      <c r="F335" t="n">
        <v>2.22</v>
      </c>
      <c r="G335" t="b">
        <v>1</v>
      </c>
      <c r="H335" t="inlineStr">
        <is>
          <t>0</t>
        </is>
      </c>
    </row>
    <row r="336">
      <c r="A336" t="inlineStr">
        <is>
          <t>ALL</t>
        </is>
      </c>
      <c r="B336" t="inlineStr">
        <is>
          <t>legendary</t>
        </is>
      </c>
      <c r="C336" t="n">
        <v>2</v>
      </c>
      <c r="D336" t="inlineStr">
        <is>
          <t>Luk</t>
        </is>
      </c>
      <c r="E336" t="n">
        <v>400</v>
      </c>
      <c r="F336" t="n">
        <v>7.03</v>
      </c>
      <c r="G336" t="b">
        <v>0</v>
      </c>
      <c r="H336">
        <f>Sensitivity!H5</f>
        <v/>
      </c>
    </row>
    <row r="337">
      <c r="A337" t="inlineStr">
        <is>
          <t>ALL</t>
        </is>
      </c>
      <c r="B337" t="inlineStr">
        <is>
          <t>legendary</t>
        </is>
      </c>
      <c r="C337" t="n">
        <v>2</v>
      </c>
      <c r="D337" t="inlineStr">
        <is>
          <t>Luk</t>
        </is>
      </c>
      <c r="E337" t="n">
        <v>600</v>
      </c>
      <c r="F337" t="n">
        <v>2.22</v>
      </c>
      <c r="G337" t="b">
        <v>1</v>
      </c>
      <c r="H337">
        <f>Sensitivity!H5</f>
        <v/>
      </c>
    </row>
    <row r="338">
      <c r="A338" t="inlineStr">
        <is>
          <t>ALL</t>
        </is>
      </c>
      <c r="B338" t="inlineStr">
        <is>
          <t>legendary</t>
        </is>
      </c>
      <c r="C338" t="n">
        <v>3</v>
      </c>
      <c r="D338" t="inlineStr">
        <is>
          <t>Critical Rate %</t>
        </is>
      </c>
      <c r="E338" t="n">
        <v>9</v>
      </c>
      <c r="F338" t="n">
        <v>2.3</v>
      </c>
      <c r="G338" t="b">
        <v>0</v>
      </c>
      <c r="H338">
        <f>IF(Inputs!$B$9+Summary!$B$14+Artifacts!$B$32&gt;=100,Sensitivity!H16,Sensitivity!H15)</f>
        <v/>
      </c>
    </row>
    <row r="339">
      <c r="A339" t="inlineStr">
        <is>
          <t>ALL</t>
        </is>
      </c>
      <c r="B339" t="inlineStr">
        <is>
          <t>legendary</t>
        </is>
      </c>
      <c r="C339" t="n">
        <v>3</v>
      </c>
      <c r="D339" t="inlineStr">
        <is>
          <t>Critical Rate %</t>
        </is>
      </c>
      <c r="E339" t="n">
        <v>12</v>
      </c>
      <c r="F339" t="n">
        <v>0.2</v>
      </c>
      <c r="G339" t="b">
        <v>1</v>
      </c>
      <c r="H339">
        <f>IF(Inputs!$B$9+Summary!$B$14+Artifacts!$B$32&gt;=100,Sensitivity!H16,Sensitivity!H15)</f>
        <v/>
      </c>
    </row>
    <row r="340">
      <c r="A340" t="inlineStr">
        <is>
          <t>ALL</t>
        </is>
      </c>
      <c r="B340" t="inlineStr">
        <is>
          <t>legendary</t>
        </is>
      </c>
      <c r="C340" t="n">
        <v>3</v>
      </c>
      <c r="D340" t="inlineStr">
        <is>
          <t>Attack Speed %</t>
        </is>
      </c>
      <c r="E340" t="n">
        <v>5</v>
      </c>
      <c r="F340" t="n">
        <v>2.3</v>
      </c>
      <c r="G340" t="b">
        <v>0</v>
      </c>
      <c r="H340">
        <f>Sensitivity!H17</f>
        <v/>
      </c>
    </row>
    <row r="341">
      <c r="A341" t="inlineStr">
        <is>
          <t>ALL</t>
        </is>
      </c>
      <c r="B341" t="inlineStr">
        <is>
          <t>legendary</t>
        </is>
      </c>
      <c r="C341" t="n">
        <v>3</v>
      </c>
      <c r="D341" t="inlineStr">
        <is>
          <t>Attack Speed %</t>
        </is>
      </c>
      <c r="E341" t="n">
        <v>7</v>
      </c>
      <c r="F341" t="n">
        <v>0.2</v>
      </c>
      <c r="G341" t="b">
        <v>1</v>
      </c>
      <c r="H341">
        <f>Sensitivity!H17</f>
        <v/>
      </c>
    </row>
    <row r="342">
      <c r="A342" t="inlineStr">
        <is>
          <t>ALL</t>
        </is>
      </c>
      <c r="B342" t="inlineStr">
        <is>
          <t>legendary</t>
        </is>
      </c>
      <c r="C342" t="n">
        <v>3</v>
      </c>
      <c r="D342" t="inlineStr">
        <is>
          <t>Damage %</t>
        </is>
      </c>
      <c r="E342" t="n">
        <v>18</v>
      </c>
      <c r="F342" t="n">
        <v>3.68</v>
      </c>
      <c r="G342" t="b">
        <v>0</v>
      </c>
      <c r="H342">
        <f>Sensitivity!H8</f>
        <v/>
      </c>
    </row>
    <row r="343">
      <c r="A343" t="inlineStr">
        <is>
          <t>ALL</t>
        </is>
      </c>
      <c r="B343" t="inlineStr">
        <is>
          <t>legendary</t>
        </is>
      </c>
      <c r="C343" t="n">
        <v>3</v>
      </c>
      <c r="D343" t="inlineStr">
        <is>
          <t>Damage %</t>
        </is>
      </c>
      <c r="E343" t="n">
        <v>25</v>
      </c>
      <c r="F343" t="n">
        <v>0.32</v>
      </c>
      <c r="G343" t="b">
        <v>1</v>
      </c>
      <c r="H343">
        <f>Sensitivity!H8</f>
        <v/>
      </c>
    </row>
    <row r="344">
      <c r="A344" t="inlineStr">
        <is>
          <t>ALL</t>
        </is>
      </c>
      <c r="B344" t="inlineStr">
        <is>
          <t>legendary</t>
        </is>
      </c>
      <c r="C344" t="n">
        <v>3</v>
      </c>
      <c r="D344" t="inlineStr">
        <is>
          <t>Min Damage Multiplier %</t>
        </is>
      </c>
      <c r="E344" t="n">
        <v>10</v>
      </c>
      <c r="F344" t="n">
        <v>3.68</v>
      </c>
      <c r="G344" t="b">
        <v>0</v>
      </c>
      <c r="H344">
        <f>Sensitivity!H13</f>
        <v/>
      </c>
    </row>
    <row r="345">
      <c r="A345" t="inlineStr">
        <is>
          <t>ALL</t>
        </is>
      </c>
      <c r="B345" t="inlineStr">
        <is>
          <t>legendary</t>
        </is>
      </c>
      <c r="C345" t="n">
        <v>3</v>
      </c>
      <c r="D345" t="inlineStr">
        <is>
          <t>Min Damage Multiplier %</t>
        </is>
      </c>
      <c r="E345" t="n">
        <v>15</v>
      </c>
      <c r="F345" t="n">
        <v>0.32</v>
      </c>
      <c r="G345" t="b">
        <v>1</v>
      </c>
      <c r="H345">
        <f>Sensitivity!H13</f>
        <v/>
      </c>
    </row>
    <row r="346">
      <c r="A346" t="inlineStr">
        <is>
          <t>ALL</t>
        </is>
      </c>
      <c r="B346" t="inlineStr">
        <is>
          <t>legendary</t>
        </is>
      </c>
      <c r="C346" t="n">
        <v>3</v>
      </c>
      <c r="D346" t="inlineStr">
        <is>
          <t>Max Damage Multiplier %</t>
        </is>
      </c>
      <c r="E346" t="n">
        <v>10</v>
      </c>
      <c r="F346" t="n">
        <v>3.68</v>
      </c>
      <c r="G346" t="b">
        <v>0</v>
      </c>
      <c r="H346">
        <f>Sensitivity!H14</f>
        <v/>
      </c>
    </row>
    <row r="347">
      <c r="A347" t="inlineStr">
        <is>
          <t>ALL</t>
        </is>
      </c>
      <c r="B347" t="inlineStr">
        <is>
          <t>legendary</t>
        </is>
      </c>
      <c r="C347" t="n">
        <v>3</v>
      </c>
      <c r="D347" t="inlineStr">
        <is>
          <t>Max Damage Multiplier %</t>
        </is>
      </c>
      <c r="E347" t="n">
        <v>15</v>
      </c>
      <c r="F347" t="n">
        <v>0.32</v>
      </c>
      <c r="G347" t="b">
        <v>1</v>
      </c>
      <c r="H347">
        <f>Sensitivity!H14</f>
        <v/>
      </c>
    </row>
    <row r="348">
      <c r="A348" t="inlineStr">
        <is>
          <t>ALL</t>
        </is>
      </c>
      <c r="B348" t="inlineStr">
        <is>
          <t>legendary</t>
        </is>
      </c>
      <c r="C348" t="n">
        <v>3</v>
      </c>
      <c r="D348" t="inlineStr">
        <is>
          <t>Str %</t>
        </is>
      </c>
      <c r="E348" t="n">
        <v>9</v>
      </c>
      <c r="F348" t="n">
        <v>4.14</v>
      </c>
      <c r="G348" t="b">
        <v>0</v>
      </c>
      <c r="H348" t="inlineStr">
        <is>
          <t>0</t>
        </is>
      </c>
    </row>
    <row r="349">
      <c r="A349" t="inlineStr">
        <is>
          <t>ALL</t>
        </is>
      </c>
      <c r="B349" t="inlineStr">
        <is>
          <t>legendary</t>
        </is>
      </c>
      <c r="C349" t="n">
        <v>3</v>
      </c>
      <c r="D349" t="inlineStr">
        <is>
          <t>Str %</t>
        </is>
      </c>
      <c r="E349" t="n">
        <v>12</v>
      </c>
      <c r="F349" t="n">
        <v>0.36</v>
      </c>
      <c r="G349" t="b">
        <v>1</v>
      </c>
      <c r="H349" t="inlineStr">
        <is>
          <t>0</t>
        </is>
      </c>
    </row>
    <row r="350">
      <c r="A350" t="inlineStr">
        <is>
          <t>ALL</t>
        </is>
      </c>
      <c r="B350" t="inlineStr">
        <is>
          <t>legendary</t>
        </is>
      </c>
      <c r="C350" t="n">
        <v>3</v>
      </c>
      <c r="D350" t="inlineStr">
        <is>
          <t>Dex %</t>
        </is>
      </c>
      <c r="E350" t="n">
        <v>9</v>
      </c>
      <c r="F350" t="n">
        <v>4.14</v>
      </c>
      <c r="G350" t="b">
        <v>0</v>
      </c>
      <c r="H350" t="inlineStr">
        <is>
          <t>0</t>
        </is>
      </c>
    </row>
    <row r="351">
      <c r="A351" t="inlineStr">
        <is>
          <t>ALL</t>
        </is>
      </c>
      <c r="B351" t="inlineStr">
        <is>
          <t>legendary</t>
        </is>
      </c>
      <c r="C351" t="n">
        <v>3</v>
      </c>
      <c r="D351" t="inlineStr">
        <is>
          <t>Dex %</t>
        </is>
      </c>
      <c r="E351" t="n">
        <v>12</v>
      </c>
      <c r="F351" t="n">
        <v>0.36</v>
      </c>
      <c r="G351" t="b">
        <v>1</v>
      </c>
      <c r="H351" t="inlineStr">
        <is>
          <t>0</t>
        </is>
      </c>
    </row>
    <row r="352">
      <c r="A352" t="inlineStr">
        <is>
          <t>ALL</t>
        </is>
      </c>
      <c r="B352" t="inlineStr">
        <is>
          <t>legendary</t>
        </is>
      </c>
      <c r="C352" t="n">
        <v>3</v>
      </c>
      <c r="D352" t="inlineStr">
        <is>
          <t>Int %</t>
        </is>
      </c>
      <c r="E352" t="n">
        <v>9</v>
      </c>
      <c r="F352" t="n">
        <v>4.14</v>
      </c>
      <c r="G352" t="b">
        <v>0</v>
      </c>
      <c r="H352" t="inlineStr">
        <is>
          <t>0</t>
        </is>
      </c>
    </row>
    <row r="353">
      <c r="A353" t="inlineStr">
        <is>
          <t>ALL</t>
        </is>
      </c>
      <c r="B353" t="inlineStr">
        <is>
          <t>legendary</t>
        </is>
      </c>
      <c r="C353" t="n">
        <v>3</v>
      </c>
      <c r="D353" t="inlineStr">
        <is>
          <t>Int %</t>
        </is>
      </c>
      <c r="E353" t="n">
        <v>12</v>
      </c>
      <c r="F353" t="n">
        <v>0.36</v>
      </c>
      <c r="G353" t="b">
        <v>1</v>
      </c>
      <c r="H353" t="inlineStr">
        <is>
          <t>0</t>
        </is>
      </c>
    </row>
    <row r="354">
      <c r="A354" t="inlineStr">
        <is>
          <t>ALL</t>
        </is>
      </c>
      <c r="B354" t="inlineStr">
        <is>
          <t>legendary</t>
        </is>
      </c>
      <c r="C354" t="n">
        <v>3</v>
      </c>
      <c r="D354" t="inlineStr">
        <is>
          <t>Luk %</t>
        </is>
      </c>
      <c r="E354" t="n">
        <v>9</v>
      </c>
      <c r="F354" t="n">
        <v>4.14</v>
      </c>
      <c r="G354" t="b">
        <v>0</v>
      </c>
      <c r="H354">
        <f>Sensitivity!H6</f>
        <v/>
      </c>
    </row>
    <row r="355">
      <c r="A355" t="inlineStr">
        <is>
          <t>ALL</t>
        </is>
      </c>
      <c r="B355" t="inlineStr">
        <is>
          <t>legendary</t>
        </is>
      </c>
      <c r="C355" t="n">
        <v>3</v>
      </c>
      <c r="D355" t="inlineStr">
        <is>
          <t>Luk %</t>
        </is>
      </c>
      <c r="E355" t="n">
        <v>12</v>
      </c>
      <c r="F355" t="n">
        <v>0.36</v>
      </c>
      <c r="G355" t="b">
        <v>1</v>
      </c>
      <c r="H355">
        <f>Sensitivity!H6</f>
        <v/>
      </c>
    </row>
    <row r="356">
      <c r="A356" t="inlineStr">
        <is>
          <t>ALL</t>
        </is>
      </c>
      <c r="B356" t="inlineStr">
        <is>
          <t>legendary</t>
        </is>
      </c>
      <c r="C356" t="n">
        <v>3</v>
      </c>
      <c r="D356" t="inlineStr">
        <is>
          <t>Defense %</t>
        </is>
      </c>
      <c r="E356" t="n">
        <v>9</v>
      </c>
      <c r="F356" t="n">
        <v>8.279999999999999</v>
      </c>
      <c r="G356" t="b">
        <v>0</v>
      </c>
      <c r="H356" t="inlineStr">
        <is>
          <t>0</t>
        </is>
      </c>
    </row>
    <row r="357">
      <c r="A357" t="inlineStr">
        <is>
          <t>ALL</t>
        </is>
      </c>
      <c r="B357" t="inlineStr">
        <is>
          <t>legendary</t>
        </is>
      </c>
      <c r="C357" t="n">
        <v>3</v>
      </c>
      <c r="D357" t="inlineStr">
        <is>
          <t>Defense %</t>
        </is>
      </c>
      <c r="E357" t="n">
        <v>12</v>
      </c>
      <c r="F357" t="n">
        <v>0.72</v>
      </c>
      <c r="G357" t="b">
        <v>1</v>
      </c>
      <c r="H357" t="inlineStr">
        <is>
          <t>0</t>
        </is>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t="inlineStr">
        <is>
          <t>0</t>
        </is>
      </c>
    </row>
    <row r="363">
      <c r="A363" t="inlineStr">
        <is>
          <t>ALL</t>
        </is>
      </c>
      <c r="B363" t="inlineStr">
        <is>
          <t>legendary</t>
        </is>
      </c>
      <c r="C363" t="n">
        <v>3</v>
      </c>
      <c r="D363" t="inlineStr">
        <is>
          <t>Str</t>
        </is>
      </c>
      <c r="E363" t="n">
        <v>600</v>
      </c>
      <c r="F363" t="n">
        <v>0.74</v>
      </c>
      <c r="G363" t="b">
        <v>1</v>
      </c>
      <c r="H363" t="inlineStr">
        <is>
          <t>0</t>
        </is>
      </c>
    </row>
    <row r="364">
      <c r="A364" t="inlineStr">
        <is>
          <t>ALL</t>
        </is>
      </c>
      <c r="B364" t="inlineStr">
        <is>
          <t>legendary</t>
        </is>
      </c>
      <c r="C364" t="n">
        <v>3</v>
      </c>
      <c r="D364" t="inlineStr">
        <is>
          <t>Dex</t>
        </is>
      </c>
      <c r="E364" t="n">
        <v>400</v>
      </c>
      <c r="F364" t="n">
        <v>8.51</v>
      </c>
      <c r="G364" t="b">
        <v>0</v>
      </c>
      <c r="H364" t="inlineStr">
        <is>
          <t>0</t>
        </is>
      </c>
    </row>
    <row r="365">
      <c r="A365" t="inlineStr">
        <is>
          <t>ALL</t>
        </is>
      </c>
      <c r="B365" t="inlineStr">
        <is>
          <t>legendary</t>
        </is>
      </c>
      <c r="C365" t="n">
        <v>3</v>
      </c>
      <c r="D365" t="inlineStr">
        <is>
          <t>Dex</t>
        </is>
      </c>
      <c r="E365" t="n">
        <v>600</v>
      </c>
      <c r="F365" t="n">
        <v>0.74</v>
      </c>
      <c r="G365" t="b">
        <v>1</v>
      </c>
      <c r="H365" t="inlineStr">
        <is>
          <t>0</t>
        </is>
      </c>
    </row>
    <row r="366">
      <c r="A366" t="inlineStr">
        <is>
          <t>ALL</t>
        </is>
      </c>
      <c r="B366" t="inlineStr">
        <is>
          <t>legendary</t>
        </is>
      </c>
      <c r="C366" t="n">
        <v>3</v>
      </c>
      <c r="D366" t="inlineStr">
        <is>
          <t>Int</t>
        </is>
      </c>
      <c r="E366" t="n">
        <v>400</v>
      </c>
      <c r="F366" t="n">
        <v>8.51</v>
      </c>
      <c r="G366" t="b">
        <v>0</v>
      </c>
      <c r="H366" t="inlineStr">
        <is>
          <t>0</t>
        </is>
      </c>
    </row>
    <row r="367">
      <c r="A367" t="inlineStr">
        <is>
          <t>ALL</t>
        </is>
      </c>
      <c r="B367" t="inlineStr">
        <is>
          <t>legendary</t>
        </is>
      </c>
      <c r="C367" t="n">
        <v>3</v>
      </c>
      <c r="D367" t="inlineStr">
        <is>
          <t>Int</t>
        </is>
      </c>
      <c r="E367" t="n">
        <v>600</v>
      </c>
      <c r="F367" t="n">
        <v>0.74</v>
      </c>
      <c r="G367" t="b">
        <v>1</v>
      </c>
      <c r="H367" t="inlineStr">
        <is>
          <t>0</t>
        </is>
      </c>
    </row>
    <row r="368">
      <c r="A368" t="inlineStr">
        <is>
          <t>ALL</t>
        </is>
      </c>
      <c r="B368" t="inlineStr">
        <is>
          <t>legendary</t>
        </is>
      </c>
      <c r="C368" t="n">
        <v>3</v>
      </c>
      <c r="D368" t="inlineStr">
        <is>
          <t>Luk</t>
        </is>
      </c>
      <c r="E368" t="n">
        <v>400</v>
      </c>
      <c r="F368" t="n">
        <v>8.51</v>
      </c>
      <c r="G368" t="b">
        <v>0</v>
      </c>
      <c r="H368">
        <f>Sensitivity!H5</f>
        <v/>
      </c>
    </row>
    <row r="369">
      <c r="A369" t="inlineStr">
        <is>
          <t>ALL</t>
        </is>
      </c>
      <c r="B369" t="inlineStr">
        <is>
          <t>legendary</t>
        </is>
      </c>
      <c r="C369" t="n">
        <v>3</v>
      </c>
      <c r="D369" t="inlineStr">
        <is>
          <t>Luk</t>
        </is>
      </c>
      <c r="E369" t="n">
        <v>600</v>
      </c>
      <c r="F369" t="n">
        <v>0.74</v>
      </c>
      <c r="G369" t="b">
        <v>1</v>
      </c>
      <c r="H369">
        <f>Sensitivity!H5</f>
        <v/>
      </c>
    </row>
    <row r="370">
      <c r="A370" t="inlineStr">
        <is>
          <t>ALL</t>
        </is>
      </c>
      <c r="B370" t="inlineStr">
        <is>
          <t>mystic</t>
        </is>
      </c>
      <c r="C370" t="n">
        <v>1</v>
      </c>
      <c r="D370" t="inlineStr">
        <is>
          <t>Critical Rate %</t>
        </is>
      </c>
      <c r="E370" t="n">
        <v>15</v>
      </c>
      <c r="F370" t="n">
        <v>2.5</v>
      </c>
      <c r="G370" t="b">
        <v>0</v>
      </c>
      <c r="H370">
        <f>IF(Inputs!$B$9+Summary!$B$14+Artifacts!$B$32&gt;=100,Sensitivity!H16,Sensitivity!H15)</f>
        <v/>
      </c>
    </row>
    <row r="371">
      <c r="A371" t="inlineStr">
        <is>
          <t>ALL</t>
        </is>
      </c>
      <c r="B371" t="inlineStr">
        <is>
          <t>mystic</t>
        </is>
      </c>
      <c r="C371" t="n">
        <v>1</v>
      </c>
      <c r="D371" t="inlineStr">
        <is>
          <t>Attack Speed %</t>
        </is>
      </c>
      <c r="E371" t="n">
        <v>10</v>
      </c>
      <c r="F371" t="n">
        <v>2.5</v>
      </c>
      <c r="G371" t="b">
        <v>0</v>
      </c>
      <c r="H371">
        <f>Sensitivity!H17</f>
        <v/>
      </c>
    </row>
    <row r="372">
      <c r="A372" t="inlineStr">
        <is>
          <t>ALL</t>
        </is>
      </c>
      <c r="B372" t="inlineStr">
        <is>
          <t>mystic</t>
        </is>
      </c>
      <c r="C372" t="n">
        <v>1</v>
      </c>
      <c r="D372" t="inlineStr">
        <is>
          <t>Damage %</t>
        </is>
      </c>
      <c r="E372" t="n">
        <v>35</v>
      </c>
      <c r="F372" t="n">
        <v>4</v>
      </c>
      <c r="G372" t="b">
        <v>0</v>
      </c>
      <c r="H372">
        <f>Sensitivity!H8</f>
        <v/>
      </c>
    </row>
    <row r="373">
      <c r="A373" t="inlineStr">
        <is>
          <t>ALL</t>
        </is>
      </c>
      <c r="B373" t="inlineStr">
        <is>
          <t>mystic</t>
        </is>
      </c>
      <c r="C373" t="n">
        <v>1</v>
      </c>
      <c r="D373" t="inlineStr">
        <is>
          <t>Min Damage Multiplier %</t>
        </is>
      </c>
      <c r="E373" t="n">
        <v>25</v>
      </c>
      <c r="F373" t="n">
        <v>4</v>
      </c>
      <c r="G373" t="b">
        <v>0</v>
      </c>
      <c r="H373">
        <f>Sensitivity!H13</f>
        <v/>
      </c>
    </row>
    <row r="374">
      <c r="A374" t="inlineStr">
        <is>
          <t>ALL</t>
        </is>
      </c>
      <c r="B374" t="inlineStr">
        <is>
          <t>mystic</t>
        </is>
      </c>
      <c r="C374" t="n">
        <v>1</v>
      </c>
      <c r="D374" t="inlineStr">
        <is>
          <t>Max Damage Multiplier %</t>
        </is>
      </c>
      <c r="E374" t="n">
        <v>25</v>
      </c>
      <c r="F374" t="n">
        <v>4</v>
      </c>
      <c r="G374" t="b">
        <v>0</v>
      </c>
      <c r="H374">
        <f>Sensitivity!H14</f>
        <v/>
      </c>
    </row>
    <row r="375">
      <c r="A375" t="inlineStr">
        <is>
          <t>ALL</t>
        </is>
      </c>
      <c r="B375" t="inlineStr">
        <is>
          <t>mystic</t>
        </is>
      </c>
      <c r="C375" t="n">
        <v>1</v>
      </c>
      <c r="D375" t="inlineStr">
        <is>
          <t>Str %</t>
        </is>
      </c>
      <c r="E375" t="n">
        <v>15</v>
      </c>
      <c r="F375" t="n">
        <v>4.5</v>
      </c>
      <c r="G375" t="b">
        <v>0</v>
      </c>
      <c r="H375" t="inlineStr">
        <is>
          <t>0</t>
        </is>
      </c>
    </row>
    <row r="376">
      <c r="A376" t="inlineStr">
        <is>
          <t>ALL</t>
        </is>
      </c>
      <c r="B376" t="inlineStr">
        <is>
          <t>mystic</t>
        </is>
      </c>
      <c r="C376" t="n">
        <v>1</v>
      </c>
      <c r="D376" t="inlineStr">
        <is>
          <t>Dex %</t>
        </is>
      </c>
      <c r="E376" t="n">
        <v>15</v>
      </c>
      <c r="F376" t="n">
        <v>4.5</v>
      </c>
      <c r="G376" t="b">
        <v>0</v>
      </c>
      <c r="H376" t="inlineStr">
        <is>
          <t>0</t>
        </is>
      </c>
    </row>
    <row r="377">
      <c r="A377" t="inlineStr">
        <is>
          <t>ALL</t>
        </is>
      </c>
      <c r="B377" t="inlineStr">
        <is>
          <t>mystic</t>
        </is>
      </c>
      <c r="C377" t="n">
        <v>1</v>
      </c>
      <c r="D377" t="inlineStr">
        <is>
          <t>Int %</t>
        </is>
      </c>
      <c r="E377" t="n">
        <v>15</v>
      </c>
      <c r="F377" t="n">
        <v>4.5</v>
      </c>
      <c r="G377" t="b">
        <v>0</v>
      </c>
      <c r="H377" t="inlineStr">
        <is>
          <t>0</t>
        </is>
      </c>
    </row>
    <row r="378">
      <c r="A378" t="inlineStr">
        <is>
          <t>ALL</t>
        </is>
      </c>
      <c r="B378" t="inlineStr">
        <is>
          <t>mystic</t>
        </is>
      </c>
      <c r="C378" t="n">
        <v>1</v>
      </c>
      <c r="D378" t="inlineStr">
        <is>
          <t>Luk %</t>
        </is>
      </c>
      <c r="E378" t="n">
        <v>15</v>
      </c>
      <c r="F378" t="n">
        <v>4.5</v>
      </c>
      <c r="G378" t="b">
        <v>0</v>
      </c>
      <c r="H378">
        <f>Sensitivity!H6</f>
        <v/>
      </c>
    </row>
    <row r="379">
      <c r="A379" t="inlineStr">
        <is>
          <t>ALL</t>
        </is>
      </c>
      <c r="B379" t="inlineStr">
        <is>
          <t>mystic</t>
        </is>
      </c>
      <c r="C379" t="n">
        <v>1</v>
      </c>
      <c r="D379" t="inlineStr">
        <is>
          <t>Defense %</t>
        </is>
      </c>
      <c r="E379" t="n">
        <v>15</v>
      </c>
      <c r="F379" t="n">
        <v>9</v>
      </c>
      <c r="G379" t="b">
        <v>0</v>
      </c>
      <c r="H379" t="inlineStr">
        <is>
          <t>0</t>
        </is>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t="inlineStr">
        <is>
          <t>0</t>
        </is>
      </c>
    </row>
    <row r="383">
      <c r="A383" t="inlineStr">
        <is>
          <t>ALL</t>
        </is>
      </c>
      <c r="B383" t="inlineStr">
        <is>
          <t>mystic</t>
        </is>
      </c>
      <c r="C383" t="n">
        <v>1</v>
      </c>
      <c r="D383" t="inlineStr">
        <is>
          <t>Dex</t>
        </is>
      </c>
      <c r="E383" t="n">
        <v>1000</v>
      </c>
      <c r="F383" t="n">
        <v>9.25</v>
      </c>
      <c r="G383" t="b">
        <v>0</v>
      </c>
      <c r="H383" t="inlineStr">
        <is>
          <t>0</t>
        </is>
      </c>
    </row>
    <row r="384">
      <c r="A384" t="inlineStr">
        <is>
          <t>ALL</t>
        </is>
      </c>
      <c r="B384" t="inlineStr">
        <is>
          <t>mystic</t>
        </is>
      </c>
      <c r="C384" t="n">
        <v>1</v>
      </c>
      <c r="D384" t="inlineStr">
        <is>
          <t>Int</t>
        </is>
      </c>
      <c r="E384" t="n">
        <v>1000</v>
      </c>
      <c r="F384" t="n">
        <v>9.25</v>
      </c>
      <c r="G384" t="b">
        <v>0</v>
      </c>
      <c r="H384" t="inlineStr">
        <is>
          <t>0</t>
        </is>
      </c>
    </row>
    <row r="385">
      <c r="A385" t="inlineStr">
        <is>
          <t>ALL</t>
        </is>
      </c>
      <c r="B385" t="inlineStr">
        <is>
          <t>mystic</t>
        </is>
      </c>
      <c r="C385" t="n">
        <v>1</v>
      </c>
      <c r="D385" t="inlineStr">
        <is>
          <t>Luk</t>
        </is>
      </c>
      <c r="E385" t="n">
        <v>1000</v>
      </c>
      <c r="F385" t="n">
        <v>9.25</v>
      </c>
      <c r="G385" t="b">
        <v>0</v>
      </c>
      <c r="H385">
        <f>Sensitivity!H5</f>
        <v/>
      </c>
    </row>
    <row r="386">
      <c r="A386" t="inlineStr">
        <is>
          <t>ALL</t>
        </is>
      </c>
      <c r="B386" t="inlineStr">
        <is>
          <t>mystic</t>
        </is>
      </c>
      <c r="C386" t="n">
        <v>2</v>
      </c>
      <c r="D386" t="inlineStr">
        <is>
          <t>Critical Rate %</t>
        </is>
      </c>
      <c r="E386" t="n">
        <v>12</v>
      </c>
      <c r="F386" t="n">
        <v>1.9</v>
      </c>
      <c r="G386" t="b">
        <v>0</v>
      </c>
      <c r="H386">
        <f>IF(Inputs!$B$9+Summary!$B$14+Artifacts!$B$32&gt;=100,Sensitivity!H16,Sensitivity!H15)</f>
        <v/>
      </c>
    </row>
    <row r="387">
      <c r="A387" t="inlineStr">
        <is>
          <t>ALL</t>
        </is>
      </c>
      <c r="B387" t="inlineStr">
        <is>
          <t>mystic</t>
        </is>
      </c>
      <c r="C387" t="n">
        <v>2</v>
      </c>
      <c r="D387" t="inlineStr">
        <is>
          <t>Critical Rate %</t>
        </is>
      </c>
      <c r="E387" t="n">
        <v>15</v>
      </c>
      <c r="F387" t="n">
        <v>0.6</v>
      </c>
      <c r="G387" t="b">
        <v>1</v>
      </c>
      <c r="H387">
        <f>IF(Inputs!$B$9+Summary!$B$14+Artifacts!$B$32&gt;=100,Sensitivity!H16,Sensitivity!H15)</f>
        <v/>
      </c>
    </row>
    <row r="388">
      <c r="A388" t="inlineStr">
        <is>
          <t>ALL</t>
        </is>
      </c>
      <c r="B388" t="inlineStr">
        <is>
          <t>mystic</t>
        </is>
      </c>
      <c r="C388" t="n">
        <v>2</v>
      </c>
      <c r="D388" t="inlineStr">
        <is>
          <t>Attack Speed %</t>
        </is>
      </c>
      <c r="E388" t="n">
        <v>7</v>
      </c>
      <c r="F388" t="n">
        <v>1.9</v>
      </c>
      <c r="G388" t="b">
        <v>0</v>
      </c>
      <c r="H388">
        <f>Sensitivity!H17</f>
        <v/>
      </c>
    </row>
    <row r="389">
      <c r="A389" t="inlineStr">
        <is>
          <t>ALL</t>
        </is>
      </c>
      <c r="B389" t="inlineStr">
        <is>
          <t>mystic</t>
        </is>
      </c>
      <c r="C389" t="n">
        <v>2</v>
      </c>
      <c r="D389" t="inlineStr">
        <is>
          <t>Attack Speed %</t>
        </is>
      </c>
      <c r="E389" t="n">
        <v>10</v>
      </c>
      <c r="F389" t="n">
        <v>0.6</v>
      </c>
      <c r="G389" t="b">
        <v>1</v>
      </c>
      <c r="H389">
        <f>Sensitivity!H17</f>
        <v/>
      </c>
    </row>
    <row r="390">
      <c r="A390" t="inlineStr">
        <is>
          <t>ALL</t>
        </is>
      </c>
      <c r="B390" t="inlineStr">
        <is>
          <t>mystic</t>
        </is>
      </c>
      <c r="C390" t="n">
        <v>2</v>
      </c>
      <c r="D390" t="inlineStr">
        <is>
          <t>Damage %</t>
        </is>
      </c>
      <c r="E390" t="n">
        <v>25</v>
      </c>
      <c r="F390" t="n">
        <v>3.04</v>
      </c>
      <c r="G390" t="b">
        <v>0</v>
      </c>
      <c r="H390">
        <f>Sensitivity!H8</f>
        <v/>
      </c>
    </row>
    <row r="391">
      <c r="A391" t="inlineStr">
        <is>
          <t>ALL</t>
        </is>
      </c>
      <c r="B391" t="inlineStr">
        <is>
          <t>mystic</t>
        </is>
      </c>
      <c r="C391" t="n">
        <v>2</v>
      </c>
      <c r="D391" t="inlineStr">
        <is>
          <t>Damage %</t>
        </is>
      </c>
      <c r="E391" t="n">
        <v>35</v>
      </c>
      <c r="F391" t="n">
        <v>0.96</v>
      </c>
      <c r="G391" t="b">
        <v>1</v>
      </c>
      <c r="H391">
        <f>Sensitivity!H8</f>
        <v/>
      </c>
    </row>
    <row r="392">
      <c r="A392" t="inlineStr">
        <is>
          <t>ALL</t>
        </is>
      </c>
      <c r="B392" t="inlineStr">
        <is>
          <t>mystic</t>
        </is>
      </c>
      <c r="C392" t="n">
        <v>2</v>
      </c>
      <c r="D392" t="inlineStr">
        <is>
          <t>Min Damage Multiplier %</t>
        </is>
      </c>
      <c r="E392" t="n">
        <v>15</v>
      </c>
      <c r="F392" t="n">
        <v>3.04</v>
      </c>
      <c r="G392" t="b">
        <v>0</v>
      </c>
      <c r="H392">
        <f>Sensitivity!H13</f>
        <v/>
      </c>
    </row>
    <row r="393">
      <c r="A393" t="inlineStr">
        <is>
          <t>ALL</t>
        </is>
      </c>
      <c r="B393" t="inlineStr">
        <is>
          <t>mystic</t>
        </is>
      </c>
      <c r="C393" t="n">
        <v>2</v>
      </c>
      <c r="D393" t="inlineStr">
        <is>
          <t>Min Damage Multiplier %</t>
        </is>
      </c>
      <c r="E393" t="n">
        <v>25</v>
      </c>
      <c r="F393" t="n">
        <v>0.96</v>
      </c>
      <c r="G393" t="b">
        <v>1</v>
      </c>
      <c r="H393">
        <f>Sensitivity!H13</f>
        <v/>
      </c>
    </row>
    <row r="394">
      <c r="A394" t="inlineStr">
        <is>
          <t>ALL</t>
        </is>
      </c>
      <c r="B394" t="inlineStr">
        <is>
          <t>mystic</t>
        </is>
      </c>
      <c r="C394" t="n">
        <v>2</v>
      </c>
      <c r="D394" t="inlineStr">
        <is>
          <t>Max Damage Multiplier %</t>
        </is>
      </c>
      <c r="E394" t="n">
        <v>15</v>
      </c>
      <c r="F394" t="n">
        <v>3.04</v>
      </c>
      <c r="G394" t="b">
        <v>0</v>
      </c>
      <c r="H394">
        <f>Sensitivity!H14</f>
        <v/>
      </c>
    </row>
    <row r="395">
      <c r="A395" t="inlineStr">
        <is>
          <t>ALL</t>
        </is>
      </c>
      <c r="B395" t="inlineStr">
        <is>
          <t>mystic</t>
        </is>
      </c>
      <c r="C395" t="n">
        <v>2</v>
      </c>
      <c r="D395" t="inlineStr">
        <is>
          <t>Max Damage Multiplier %</t>
        </is>
      </c>
      <c r="E395" t="n">
        <v>25</v>
      </c>
      <c r="F395" t="n">
        <v>0.96</v>
      </c>
      <c r="G395" t="b">
        <v>1</v>
      </c>
      <c r="H395">
        <f>Sensitivity!H14</f>
        <v/>
      </c>
    </row>
    <row r="396">
      <c r="A396" t="inlineStr">
        <is>
          <t>ALL</t>
        </is>
      </c>
      <c r="B396" t="inlineStr">
        <is>
          <t>mystic</t>
        </is>
      </c>
      <c r="C396" t="n">
        <v>2</v>
      </c>
      <c r="D396" t="inlineStr">
        <is>
          <t>Str %</t>
        </is>
      </c>
      <c r="E396" t="n">
        <v>12</v>
      </c>
      <c r="F396" t="n">
        <v>3.42</v>
      </c>
      <c r="G396" t="b">
        <v>0</v>
      </c>
      <c r="H396" t="inlineStr">
        <is>
          <t>0</t>
        </is>
      </c>
    </row>
    <row r="397">
      <c r="A397" t="inlineStr">
        <is>
          <t>ALL</t>
        </is>
      </c>
      <c r="B397" t="inlineStr">
        <is>
          <t>mystic</t>
        </is>
      </c>
      <c r="C397" t="n">
        <v>2</v>
      </c>
      <c r="D397" t="inlineStr">
        <is>
          <t>Str %</t>
        </is>
      </c>
      <c r="E397" t="n">
        <v>15</v>
      </c>
      <c r="F397" t="n">
        <v>1.08</v>
      </c>
      <c r="G397" t="b">
        <v>1</v>
      </c>
      <c r="H397" t="inlineStr">
        <is>
          <t>0</t>
        </is>
      </c>
    </row>
    <row r="398">
      <c r="A398" t="inlineStr">
        <is>
          <t>ALL</t>
        </is>
      </c>
      <c r="B398" t="inlineStr">
        <is>
          <t>mystic</t>
        </is>
      </c>
      <c r="C398" t="n">
        <v>2</v>
      </c>
      <c r="D398" t="inlineStr">
        <is>
          <t>Dex %</t>
        </is>
      </c>
      <c r="E398" t="n">
        <v>12</v>
      </c>
      <c r="F398" t="n">
        <v>3.42</v>
      </c>
      <c r="G398" t="b">
        <v>0</v>
      </c>
      <c r="H398" t="inlineStr">
        <is>
          <t>0</t>
        </is>
      </c>
    </row>
    <row r="399">
      <c r="A399" t="inlineStr">
        <is>
          <t>ALL</t>
        </is>
      </c>
      <c r="B399" t="inlineStr">
        <is>
          <t>mystic</t>
        </is>
      </c>
      <c r="C399" t="n">
        <v>2</v>
      </c>
      <c r="D399" t="inlineStr">
        <is>
          <t>Dex %</t>
        </is>
      </c>
      <c r="E399" t="n">
        <v>15</v>
      </c>
      <c r="F399" t="n">
        <v>1.08</v>
      </c>
      <c r="G399" t="b">
        <v>1</v>
      </c>
      <c r="H399" t="inlineStr">
        <is>
          <t>0</t>
        </is>
      </c>
    </row>
    <row r="400">
      <c r="A400" t="inlineStr">
        <is>
          <t>ALL</t>
        </is>
      </c>
      <c r="B400" t="inlineStr">
        <is>
          <t>mystic</t>
        </is>
      </c>
      <c r="C400" t="n">
        <v>2</v>
      </c>
      <c r="D400" t="inlineStr">
        <is>
          <t>Int %</t>
        </is>
      </c>
      <c r="E400" t="n">
        <v>12</v>
      </c>
      <c r="F400" t="n">
        <v>3.42</v>
      </c>
      <c r="G400" t="b">
        <v>0</v>
      </c>
      <c r="H400" t="inlineStr">
        <is>
          <t>0</t>
        </is>
      </c>
    </row>
    <row r="401">
      <c r="A401" t="inlineStr">
        <is>
          <t>ALL</t>
        </is>
      </c>
      <c r="B401" t="inlineStr">
        <is>
          <t>mystic</t>
        </is>
      </c>
      <c r="C401" t="n">
        <v>2</v>
      </c>
      <c r="D401" t="inlineStr">
        <is>
          <t>Int %</t>
        </is>
      </c>
      <c r="E401" t="n">
        <v>15</v>
      </c>
      <c r="F401" t="n">
        <v>1.08</v>
      </c>
      <c r="G401" t="b">
        <v>1</v>
      </c>
      <c r="H401" t="inlineStr">
        <is>
          <t>0</t>
        </is>
      </c>
    </row>
    <row r="402">
      <c r="A402" t="inlineStr">
        <is>
          <t>ALL</t>
        </is>
      </c>
      <c r="B402" t="inlineStr">
        <is>
          <t>mystic</t>
        </is>
      </c>
      <c r="C402" t="n">
        <v>2</v>
      </c>
      <c r="D402" t="inlineStr">
        <is>
          <t>Luk %</t>
        </is>
      </c>
      <c r="E402" t="n">
        <v>12</v>
      </c>
      <c r="F402" t="n">
        <v>3.42</v>
      </c>
      <c r="G402" t="b">
        <v>0</v>
      </c>
      <c r="H402">
        <f>Sensitivity!H6</f>
        <v/>
      </c>
    </row>
    <row r="403">
      <c r="A403" t="inlineStr">
        <is>
          <t>ALL</t>
        </is>
      </c>
      <c r="B403" t="inlineStr">
        <is>
          <t>mystic</t>
        </is>
      </c>
      <c r="C403" t="n">
        <v>2</v>
      </c>
      <c r="D403" t="inlineStr">
        <is>
          <t>Luk %</t>
        </is>
      </c>
      <c r="E403" t="n">
        <v>15</v>
      </c>
      <c r="F403" t="n">
        <v>1.08</v>
      </c>
      <c r="G403" t="b">
        <v>1</v>
      </c>
      <c r="H403">
        <f>Sensitivity!H6</f>
        <v/>
      </c>
    </row>
    <row r="404">
      <c r="A404" t="inlineStr">
        <is>
          <t>ALL</t>
        </is>
      </c>
      <c r="B404" t="inlineStr">
        <is>
          <t>mystic</t>
        </is>
      </c>
      <c r="C404" t="n">
        <v>2</v>
      </c>
      <c r="D404" t="inlineStr">
        <is>
          <t>Defense %</t>
        </is>
      </c>
      <c r="E404" t="n">
        <v>12</v>
      </c>
      <c r="F404" t="n">
        <v>6.84</v>
      </c>
      <c r="G404" t="b">
        <v>0</v>
      </c>
      <c r="H404" t="inlineStr">
        <is>
          <t>0</t>
        </is>
      </c>
    </row>
    <row r="405">
      <c r="A405" t="inlineStr">
        <is>
          <t>ALL</t>
        </is>
      </c>
      <c r="B405" t="inlineStr">
        <is>
          <t>mystic</t>
        </is>
      </c>
      <c r="C405" t="n">
        <v>2</v>
      </c>
      <c r="D405" t="inlineStr">
        <is>
          <t>Defense %</t>
        </is>
      </c>
      <c r="E405" t="n">
        <v>15</v>
      </c>
      <c r="F405" t="n">
        <v>2.16</v>
      </c>
      <c r="G405" t="b">
        <v>1</v>
      </c>
      <c r="H405" t="inlineStr">
        <is>
          <t>0</t>
        </is>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t="inlineStr">
        <is>
          <t>0</t>
        </is>
      </c>
    </row>
    <row r="411">
      <c r="A411" t="inlineStr">
        <is>
          <t>ALL</t>
        </is>
      </c>
      <c r="B411" t="inlineStr">
        <is>
          <t>mystic</t>
        </is>
      </c>
      <c r="C411" t="n">
        <v>2</v>
      </c>
      <c r="D411" t="inlineStr">
        <is>
          <t>Str</t>
        </is>
      </c>
      <c r="E411" t="n">
        <v>1000</v>
      </c>
      <c r="F411" t="n">
        <v>2.22</v>
      </c>
      <c r="G411" t="b">
        <v>1</v>
      </c>
      <c r="H411" t="inlineStr">
        <is>
          <t>0</t>
        </is>
      </c>
    </row>
    <row r="412">
      <c r="A412" t="inlineStr">
        <is>
          <t>ALL</t>
        </is>
      </c>
      <c r="B412" t="inlineStr">
        <is>
          <t>mystic</t>
        </is>
      </c>
      <c r="C412" t="n">
        <v>2</v>
      </c>
      <c r="D412" t="inlineStr">
        <is>
          <t>Dex</t>
        </is>
      </c>
      <c r="E412" t="n">
        <v>600</v>
      </c>
      <c r="F412" t="n">
        <v>7.03</v>
      </c>
      <c r="G412" t="b">
        <v>0</v>
      </c>
      <c r="H412" t="inlineStr">
        <is>
          <t>0</t>
        </is>
      </c>
    </row>
    <row r="413">
      <c r="A413" t="inlineStr">
        <is>
          <t>ALL</t>
        </is>
      </c>
      <c r="B413" t="inlineStr">
        <is>
          <t>mystic</t>
        </is>
      </c>
      <c r="C413" t="n">
        <v>2</v>
      </c>
      <c r="D413" t="inlineStr">
        <is>
          <t>Dex</t>
        </is>
      </c>
      <c r="E413" t="n">
        <v>1000</v>
      </c>
      <c r="F413" t="n">
        <v>2.22</v>
      </c>
      <c r="G413" t="b">
        <v>1</v>
      </c>
      <c r="H413" t="inlineStr">
        <is>
          <t>0</t>
        </is>
      </c>
    </row>
    <row r="414">
      <c r="A414" t="inlineStr">
        <is>
          <t>ALL</t>
        </is>
      </c>
      <c r="B414" t="inlineStr">
        <is>
          <t>mystic</t>
        </is>
      </c>
      <c r="C414" t="n">
        <v>2</v>
      </c>
      <c r="D414" t="inlineStr">
        <is>
          <t>Int</t>
        </is>
      </c>
      <c r="E414" t="n">
        <v>600</v>
      </c>
      <c r="F414" t="n">
        <v>7.03</v>
      </c>
      <c r="G414" t="b">
        <v>0</v>
      </c>
      <c r="H414" t="inlineStr">
        <is>
          <t>0</t>
        </is>
      </c>
    </row>
    <row r="415">
      <c r="A415" t="inlineStr">
        <is>
          <t>ALL</t>
        </is>
      </c>
      <c r="B415" t="inlineStr">
        <is>
          <t>mystic</t>
        </is>
      </c>
      <c r="C415" t="n">
        <v>2</v>
      </c>
      <c r="D415" t="inlineStr">
        <is>
          <t>Int</t>
        </is>
      </c>
      <c r="E415" t="n">
        <v>1000</v>
      </c>
      <c r="F415" t="n">
        <v>2.22</v>
      </c>
      <c r="G415" t="b">
        <v>1</v>
      </c>
      <c r="H415" t="inlineStr">
        <is>
          <t>0</t>
        </is>
      </c>
    </row>
    <row r="416">
      <c r="A416" t="inlineStr">
        <is>
          <t>ALL</t>
        </is>
      </c>
      <c r="B416" t="inlineStr">
        <is>
          <t>mystic</t>
        </is>
      </c>
      <c r="C416" t="n">
        <v>2</v>
      </c>
      <c r="D416" t="inlineStr">
        <is>
          <t>Luk</t>
        </is>
      </c>
      <c r="E416" t="n">
        <v>600</v>
      </c>
      <c r="F416" t="n">
        <v>7.03</v>
      </c>
      <c r="G416" t="b">
        <v>0</v>
      </c>
      <c r="H416">
        <f>Sensitivity!H5</f>
        <v/>
      </c>
    </row>
    <row r="417">
      <c r="A417" t="inlineStr">
        <is>
          <t>ALL</t>
        </is>
      </c>
      <c r="B417" t="inlineStr">
        <is>
          <t>mystic</t>
        </is>
      </c>
      <c r="C417" t="n">
        <v>2</v>
      </c>
      <c r="D417" t="inlineStr">
        <is>
          <t>Luk</t>
        </is>
      </c>
      <c r="E417" t="n">
        <v>1000</v>
      </c>
      <c r="F417" t="n">
        <v>2.22</v>
      </c>
      <c r="G417" t="b">
        <v>1</v>
      </c>
      <c r="H417">
        <f>Sensitivity!H5</f>
        <v/>
      </c>
    </row>
    <row r="418">
      <c r="A418" t="inlineStr">
        <is>
          <t>ALL</t>
        </is>
      </c>
      <c r="B418" t="inlineStr">
        <is>
          <t>mystic</t>
        </is>
      </c>
      <c r="C418" t="n">
        <v>3</v>
      </c>
      <c r="D418" t="inlineStr">
        <is>
          <t>Critical Rate %</t>
        </is>
      </c>
      <c r="E418" t="n">
        <v>12</v>
      </c>
      <c r="F418" t="n">
        <v>2.3</v>
      </c>
      <c r="G418" t="b">
        <v>0</v>
      </c>
      <c r="H418">
        <f>IF(Inputs!$B$9+Summary!$B$14+Artifacts!$B$32&gt;=100,Sensitivity!H16,Sensitivity!H15)</f>
        <v/>
      </c>
    </row>
    <row r="419">
      <c r="A419" t="inlineStr">
        <is>
          <t>ALL</t>
        </is>
      </c>
      <c r="B419" t="inlineStr">
        <is>
          <t>mystic</t>
        </is>
      </c>
      <c r="C419" t="n">
        <v>3</v>
      </c>
      <c r="D419" t="inlineStr">
        <is>
          <t>Critical Rate %</t>
        </is>
      </c>
      <c r="E419" t="n">
        <v>15</v>
      </c>
      <c r="F419" t="n">
        <v>0.2</v>
      </c>
      <c r="G419" t="b">
        <v>1</v>
      </c>
      <c r="H419">
        <f>IF(Inputs!$B$9+Summary!$B$14+Artifacts!$B$32&gt;=100,Sensitivity!H16,Sensitivity!H15)</f>
        <v/>
      </c>
    </row>
    <row r="420">
      <c r="A420" t="inlineStr">
        <is>
          <t>ALL</t>
        </is>
      </c>
      <c r="B420" t="inlineStr">
        <is>
          <t>mystic</t>
        </is>
      </c>
      <c r="C420" t="n">
        <v>3</v>
      </c>
      <c r="D420" t="inlineStr">
        <is>
          <t>Attack Speed %</t>
        </is>
      </c>
      <c r="E420" t="n">
        <v>7</v>
      </c>
      <c r="F420" t="n">
        <v>2.3</v>
      </c>
      <c r="G420" t="b">
        <v>0</v>
      </c>
      <c r="H420">
        <f>Sensitivity!H17</f>
        <v/>
      </c>
    </row>
    <row r="421">
      <c r="A421" t="inlineStr">
        <is>
          <t>ALL</t>
        </is>
      </c>
      <c r="B421" t="inlineStr">
        <is>
          <t>mystic</t>
        </is>
      </c>
      <c r="C421" t="n">
        <v>3</v>
      </c>
      <c r="D421" t="inlineStr">
        <is>
          <t>Attack Speed %</t>
        </is>
      </c>
      <c r="E421" t="n">
        <v>10</v>
      </c>
      <c r="F421" t="n">
        <v>0.2</v>
      </c>
      <c r="G421" t="b">
        <v>1</v>
      </c>
      <c r="H421">
        <f>Sensitivity!H17</f>
        <v/>
      </c>
    </row>
    <row r="422">
      <c r="A422" t="inlineStr">
        <is>
          <t>ALL</t>
        </is>
      </c>
      <c r="B422" t="inlineStr">
        <is>
          <t>mystic</t>
        </is>
      </c>
      <c r="C422" t="n">
        <v>3</v>
      </c>
      <c r="D422" t="inlineStr">
        <is>
          <t>Damage %</t>
        </is>
      </c>
      <c r="E422" t="n">
        <v>25</v>
      </c>
      <c r="F422" t="n">
        <v>3.68</v>
      </c>
      <c r="G422" t="b">
        <v>0</v>
      </c>
      <c r="H422">
        <f>Sensitivity!H8</f>
        <v/>
      </c>
    </row>
    <row r="423">
      <c r="A423" t="inlineStr">
        <is>
          <t>ALL</t>
        </is>
      </c>
      <c r="B423" t="inlineStr">
        <is>
          <t>mystic</t>
        </is>
      </c>
      <c r="C423" t="n">
        <v>3</v>
      </c>
      <c r="D423" t="inlineStr">
        <is>
          <t>Damage %</t>
        </is>
      </c>
      <c r="E423" t="n">
        <v>35</v>
      </c>
      <c r="F423" t="n">
        <v>0.32</v>
      </c>
      <c r="G423" t="b">
        <v>1</v>
      </c>
      <c r="H423">
        <f>Sensitivity!H8</f>
        <v/>
      </c>
    </row>
    <row r="424">
      <c r="A424" t="inlineStr">
        <is>
          <t>ALL</t>
        </is>
      </c>
      <c r="B424" t="inlineStr">
        <is>
          <t>mystic</t>
        </is>
      </c>
      <c r="C424" t="n">
        <v>3</v>
      </c>
      <c r="D424" t="inlineStr">
        <is>
          <t>Min Damage Multiplier %</t>
        </is>
      </c>
      <c r="E424" t="n">
        <v>15</v>
      </c>
      <c r="F424" t="n">
        <v>3.68</v>
      </c>
      <c r="G424" t="b">
        <v>0</v>
      </c>
      <c r="H424">
        <f>Sensitivity!H13</f>
        <v/>
      </c>
    </row>
    <row r="425">
      <c r="A425" t="inlineStr">
        <is>
          <t>ALL</t>
        </is>
      </c>
      <c r="B425" t="inlineStr">
        <is>
          <t>mystic</t>
        </is>
      </c>
      <c r="C425" t="n">
        <v>3</v>
      </c>
      <c r="D425" t="inlineStr">
        <is>
          <t>Min Damage Multiplier %</t>
        </is>
      </c>
      <c r="E425" t="n">
        <v>25</v>
      </c>
      <c r="F425" t="n">
        <v>0.32</v>
      </c>
      <c r="G425" t="b">
        <v>1</v>
      </c>
      <c r="H425">
        <f>Sensitivity!H13</f>
        <v/>
      </c>
    </row>
    <row r="426">
      <c r="A426" t="inlineStr">
        <is>
          <t>ALL</t>
        </is>
      </c>
      <c r="B426" t="inlineStr">
        <is>
          <t>mystic</t>
        </is>
      </c>
      <c r="C426" t="n">
        <v>3</v>
      </c>
      <c r="D426" t="inlineStr">
        <is>
          <t>Max Damage Multiplier %</t>
        </is>
      </c>
      <c r="E426" t="n">
        <v>15</v>
      </c>
      <c r="F426" t="n">
        <v>3.68</v>
      </c>
      <c r="G426" t="b">
        <v>0</v>
      </c>
      <c r="H426">
        <f>Sensitivity!H14</f>
        <v/>
      </c>
    </row>
    <row r="427">
      <c r="A427" t="inlineStr">
        <is>
          <t>ALL</t>
        </is>
      </c>
      <c r="B427" t="inlineStr">
        <is>
          <t>mystic</t>
        </is>
      </c>
      <c r="C427" t="n">
        <v>3</v>
      </c>
      <c r="D427" t="inlineStr">
        <is>
          <t>Max Damage Multiplier %</t>
        </is>
      </c>
      <c r="E427" t="n">
        <v>25</v>
      </c>
      <c r="F427" t="n">
        <v>0.32</v>
      </c>
      <c r="G427" t="b">
        <v>1</v>
      </c>
      <c r="H427">
        <f>Sensitivity!H14</f>
        <v/>
      </c>
    </row>
    <row r="428">
      <c r="A428" t="inlineStr">
        <is>
          <t>ALL</t>
        </is>
      </c>
      <c r="B428" t="inlineStr">
        <is>
          <t>mystic</t>
        </is>
      </c>
      <c r="C428" t="n">
        <v>3</v>
      </c>
      <c r="D428" t="inlineStr">
        <is>
          <t>Str %</t>
        </is>
      </c>
      <c r="E428" t="n">
        <v>12</v>
      </c>
      <c r="F428" t="n">
        <v>4.14</v>
      </c>
      <c r="G428" t="b">
        <v>0</v>
      </c>
      <c r="H428" t="inlineStr">
        <is>
          <t>0</t>
        </is>
      </c>
    </row>
    <row r="429">
      <c r="A429" t="inlineStr">
        <is>
          <t>ALL</t>
        </is>
      </c>
      <c r="B429" t="inlineStr">
        <is>
          <t>mystic</t>
        </is>
      </c>
      <c r="C429" t="n">
        <v>3</v>
      </c>
      <c r="D429" t="inlineStr">
        <is>
          <t>Str %</t>
        </is>
      </c>
      <c r="E429" t="n">
        <v>15</v>
      </c>
      <c r="F429" t="n">
        <v>0.36</v>
      </c>
      <c r="G429" t="b">
        <v>1</v>
      </c>
      <c r="H429" t="inlineStr">
        <is>
          <t>0</t>
        </is>
      </c>
    </row>
    <row r="430">
      <c r="A430" t="inlineStr">
        <is>
          <t>ALL</t>
        </is>
      </c>
      <c r="B430" t="inlineStr">
        <is>
          <t>mystic</t>
        </is>
      </c>
      <c r="C430" t="n">
        <v>3</v>
      </c>
      <c r="D430" t="inlineStr">
        <is>
          <t>Dex %</t>
        </is>
      </c>
      <c r="E430" t="n">
        <v>12</v>
      </c>
      <c r="F430" t="n">
        <v>4.14</v>
      </c>
      <c r="G430" t="b">
        <v>0</v>
      </c>
      <c r="H430" t="inlineStr">
        <is>
          <t>0</t>
        </is>
      </c>
    </row>
    <row r="431">
      <c r="A431" t="inlineStr">
        <is>
          <t>ALL</t>
        </is>
      </c>
      <c r="B431" t="inlineStr">
        <is>
          <t>mystic</t>
        </is>
      </c>
      <c r="C431" t="n">
        <v>3</v>
      </c>
      <c r="D431" t="inlineStr">
        <is>
          <t>Dex %</t>
        </is>
      </c>
      <c r="E431" t="n">
        <v>15</v>
      </c>
      <c r="F431" t="n">
        <v>0.36</v>
      </c>
      <c r="G431" t="b">
        <v>1</v>
      </c>
      <c r="H431" t="inlineStr">
        <is>
          <t>0</t>
        </is>
      </c>
    </row>
    <row r="432">
      <c r="A432" t="inlineStr">
        <is>
          <t>ALL</t>
        </is>
      </c>
      <c r="B432" t="inlineStr">
        <is>
          <t>mystic</t>
        </is>
      </c>
      <c r="C432" t="n">
        <v>3</v>
      </c>
      <c r="D432" t="inlineStr">
        <is>
          <t>Int %</t>
        </is>
      </c>
      <c r="E432" t="n">
        <v>12</v>
      </c>
      <c r="F432" t="n">
        <v>4.14</v>
      </c>
      <c r="G432" t="b">
        <v>0</v>
      </c>
      <c r="H432" t="inlineStr">
        <is>
          <t>0</t>
        </is>
      </c>
    </row>
    <row r="433">
      <c r="A433" t="inlineStr">
        <is>
          <t>ALL</t>
        </is>
      </c>
      <c r="B433" t="inlineStr">
        <is>
          <t>mystic</t>
        </is>
      </c>
      <c r="C433" t="n">
        <v>3</v>
      </c>
      <c r="D433" t="inlineStr">
        <is>
          <t>Int %</t>
        </is>
      </c>
      <c r="E433" t="n">
        <v>15</v>
      </c>
      <c r="F433" t="n">
        <v>0.36</v>
      </c>
      <c r="G433" t="b">
        <v>1</v>
      </c>
      <c r="H433" t="inlineStr">
        <is>
          <t>0</t>
        </is>
      </c>
    </row>
    <row r="434">
      <c r="A434" t="inlineStr">
        <is>
          <t>ALL</t>
        </is>
      </c>
      <c r="B434" t="inlineStr">
        <is>
          <t>mystic</t>
        </is>
      </c>
      <c r="C434" t="n">
        <v>3</v>
      </c>
      <c r="D434" t="inlineStr">
        <is>
          <t>Luk %</t>
        </is>
      </c>
      <c r="E434" t="n">
        <v>12</v>
      </c>
      <c r="F434" t="n">
        <v>4.14</v>
      </c>
      <c r="G434" t="b">
        <v>0</v>
      </c>
      <c r="H434">
        <f>Sensitivity!H6</f>
        <v/>
      </c>
    </row>
    <row r="435">
      <c r="A435" t="inlineStr">
        <is>
          <t>ALL</t>
        </is>
      </c>
      <c r="B435" t="inlineStr">
        <is>
          <t>mystic</t>
        </is>
      </c>
      <c r="C435" t="n">
        <v>3</v>
      </c>
      <c r="D435" t="inlineStr">
        <is>
          <t>Luk %</t>
        </is>
      </c>
      <c r="E435" t="n">
        <v>15</v>
      </c>
      <c r="F435" t="n">
        <v>0.36</v>
      </c>
      <c r="G435" t="b">
        <v>1</v>
      </c>
      <c r="H435">
        <f>Sensitivity!H6</f>
        <v/>
      </c>
    </row>
    <row r="436">
      <c r="A436" t="inlineStr">
        <is>
          <t>ALL</t>
        </is>
      </c>
      <c r="B436" t="inlineStr">
        <is>
          <t>mystic</t>
        </is>
      </c>
      <c r="C436" t="n">
        <v>3</v>
      </c>
      <c r="D436" t="inlineStr">
        <is>
          <t>Defense %</t>
        </is>
      </c>
      <c r="E436" t="n">
        <v>12</v>
      </c>
      <c r="F436" t="n">
        <v>8.279999999999999</v>
      </c>
      <c r="G436" t="b">
        <v>0</v>
      </c>
      <c r="H436" t="inlineStr">
        <is>
          <t>0</t>
        </is>
      </c>
    </row>
    <row r="437">
      <c r="A437" t="inlineStr">
        <is>
          <t>ALL</t>
        </is>
      </c>
      <c r="B437" t="inlineStr">
        <is>
          <t>mystic</t>
        </is>
      </c>
      <c r="C437" t="n">
        <v>3</v>
      </c>
      <c r="D437" t="inlineStr">
        <is>
          <t>Defense %</t>
        </is>
      </c>
      <c r="E437" t="n">
        <v>15</v>
      </c>
      <c r="F437" t="n">
        <v>0.72</v>
      </c>
      <c r="G437" t="b">
        <v>1</v>
      </c>
      <c r="H437" t="inlineStr">
        <is>
          <t>0</t>
        </is>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t="inlineStr">
        <is>
          <t>0</t>
        </is>
      </c>
    </row>
    <row r="443">
      <c r="A443" t="inlineStr">
        <is>
          <t>ALL</t>
        </is>
      </c>
      <c r="B443" t="inlineStr">
        <is>
          <t>mystic</t>
        </is>
      </c>
      <c r="C443" t="n">
        <v>3</v>
      </c>
      <c r="D443" t="inlineStr">
        <is>
          <t>Str</t>
        </is>
      </c>
      <c r="E443" t="n">
        <v>1000</v>
      </c>
      <c r="F443" t="n">
        <v>0.74</v>
      </c>
      <c r="G443" t="b">
        <v>1</v>
      </c>
      <c r="H443" t="inlineStr">
        <is>
          <t>0</t>
        </is>
      </c>
    </row>
    <row r="444">
      <c r="A444" t="inlineStr">
        <is>
          <t>ALL</t>
        </is>
      </c>
      <c r="B444" t="inlineStr">
        <is>
          <t>mystic</t>
        </is>
      </c>
      <c r="C444" t="n">
        <v>3</v>
      </c>
      <c r="D444" t="inlineStr">
        <is>
          <t>Dex</t>
        </is>
      </c>
      <c r="E444" t="n">
        <v>600</v>
      </c>
      <c r="F444" t="n">
        <v>8.51</v>
      </c>
      <c r="G444" t="b">
        <v>0</v>
      </c>
      <c r="H444" t="inlineStr">
        <is>
          <t>0</t>
        </is>
      </c>
    </row>
    <row r="445">
      <c r="A445" t="inlineStr">
        <is>
          <t>ALL</t>
        </is>
      </c>
      <c r="B445" t="inlineStr">
        <is>
          <t>mystic</t>
        </is>
      </c>
      <c r="C445" t="n">
        <v>3</v>
      </c>
      <c r="D445" t="inlineStr">
        <is>
          <t>Dex</t>
        </is>
      </c>
      <c r="E445" t="n">
        <v>1000</v>
      </c>
      <c r="F445" t="n">
        <v>0.74</v>
      </c>
      <c r="G445" t="b">
        <v>1</v>
      </c>
      <c r="H445" t="inlineStr">
        <is>
          <t>0</t>
        </is>
      </c>
    </row>
    <row r="446">
      <c r="A446" t="inlineStr">
        <is>
          <t>ALL</t>
        </is>
      </c>
      <c r="B446" t="inlineStr">
        <is>
          <t>mystic</t>
        </is>
      </c>
      <c r="C446" t="n">
        <v>3</v>
      </c>
      <c r="D446" t="inlineStr">
        <is>
          <t>Int</t>
        </is>
      </c>
      <c r="E446" t="n">
        <v>600</v>
      </c>
      <c r="F446" t="n">
        <v>8.51</v>
      </c>
      <c r="G446" t="b">
        <v>0</v>
      </c>
      <c r="H446" t="inlineStr">
        <is>
          <t>0</t>
        </is>
      </c>
    </row>
    <row r="447">
      <c r="A447" t="inlineStr">
        <is>
          <t>ALL</t>
        </is>
      </c>
      <c r="B447" t="inlineStr">
        <is>
          <t>mystic</t>
        </is>
      </c>
      <c r="C447" t="n">
        <v>3</v>
      </c>
      <c r="D447" t="inlineStr">
        <is>
          <t>Int</t>
        </is>
      </c>
      <c r="E447" t="n">
        <v>1000</v>
      </c>
      <c r="F447" t="n">
        <v>0.74</v>
      </c>
      <c r="G447" t="b">
        <v>1</v>
      </c>
      <c r="H447" t="inlineStr">
        <is>
          <t>0</t>
        </is>
      </c>
    </row>
    <row r="448">
      <c r="A448" t="inlineStr">
        <is>
          <t>ALL</t>
        </is>
      </c>
      <c r="B448" t="inlineStr">
        <is>
          <t>mystic</t>
        </is>
      </c>
      <c r="C448" t="n">
        <v>3</v>
      </c>
      <c r="D448" t="inlineStr">
        <is>
          <t>Luk</t>
        </is>
      </c>
      <c r="E448" t="n">
        <v>600</v>
      </c>
      <c r="F448" t="n">
        <v>8.51</v>
      </c>
      <c r="G448" t="b">
        <v>0</v>
      </c>
      <c r="H448">
        <f>Sensitivity!H5</f>
        <v/>
      </c>
    </row>
    <row r="449">
      <c r="A449" t="inlineStr">
        <is>
          <t>ALL</t>
        </is>
      </c>
      <c r="B449" t="inlineStr">
        <is>
          <t>mystic</t>
        </is>
      </c>
      <c r="C449" t="n">
        <v>3</v>
      </c>
      <c r="D449" t="inlineStr">
        <is>
          <t>Luk</t>
        </is>
      </c>
      <c r="E449" t="n">
        <v>1000</v>
      </c>
      <c r="F449" t="n">
        <v>0.74</v>
      </c>
      <c r="G449" t="b">
        <v>1</v>
      </c>
      <c r="H449">
        <f>Sensitivity!H5</f>
        <v/>
      </c>
    </row>
    <row r="450">
      <c r="A450" t="inlineStr">
        <is>
          <t>head</t>
        </is>
      </c>
      <c r="B450" t="inlineStr">
        <is>
          <t>epic</t>
        </is>
      </c>
      <c r="C450" t="n">
        <v>1</v>
      </c>
      <c r="D450" t="inlineStr">
        <is>
          <t>Skill Cooldown Decrease (seconds)</t>
        </is>
      </c>
      <c r="E450" t="n">
        <v>0.5</v>
      </c>
      <c r="F450" t="n">
        <v>1</v>
      </c>
      <c r="G450" t="b">
        <v>1</v>
      </c>
      <c r="H450">
        <f>Sensitivity!H28</f>
        <v/>
      </c>
    </row>
    <row r="451">
      <c r="A451" t="inlineStr">
        <is>
          <t>head</t>
        </is>
      </c>
      <c r="B451" t="inlineStr">
        <is>
          <t>epic</t>
        </is>
      </c>
      <c r="C451" t="n">
        <v>2</v>
      </c>
      <c r="D451" t="inlineStr">
        <is>
          <t>Skill Cooldown Decrease (seconds)</t>
        </is>
      </c>
      <c r="E451" t="n">
        <v>0.5</v>
      </c>
      <c r="F451" t="n">
        <v>0.24</v>
      </c>
      <c r="G451" t="b">
        <v>1</v>
      </c>
      <c r="H451">
        <f>Sensitivity!H28</f>
        <v/>
      </c>
    </row>
    <row r="452">
      <c r="A452" t="inlineStr">
        <is>
          <t>head</t>
        </is>
      </c>
      <c r="B452" t="inlineStr">
        <is>
          <t>epic</t>
        </is>
      </c>
      <c r="C452" t="n">
        <v>3</v>
      </c>
      <c r="D452" t="inlineStr">
        <is>
          <t>Skill Cooldown Decrease (seconds)</t>
        </is>
      </c>
      <c r="E452" t="n">
        <v>0.5</v>
      </c>
      <c r="F452" t="n">
        <v>0.08</v>
      </c>
      <c r="G452" t="b">
        <v>1</v>
      </c>
      <c r="H452">
        <f>Sensitivity!H28</f>
        <v/>
      </c>
    </row>
    <row r="453">
      <c r="A453" t="inlineStr">
        <is>
          <t>head</t>
        </is>
      </c>
      <c r="B453" t="inlineStr">
        <is>
          <t>unique</t>
        </is>
      </c>
      <c r="C453" t="n">
        <v>1</v>
      </c>
      <c r="D453" t="inlineStr">
        <is>
          <t>Skill Cooldown Decrease (seconds)</t>
        </is>
      </c>
      <c r="E453" t="n">
        <v>1</v>
      </c>
      <c r="F453" t="n">
        <v>1</v>
      </c>
      <c r="G453" t="b">
        <v>1</v>
      </c>
      <c r="H453">
        <f>Sensitivity!H28</f>
        <v/>
      </c>
    </row>
    <row r="454">
      <c r="A454" t="inlineStr">
        <is>
          <t>head</t>
        </is>
      </c>
      <c r="B454" t="inlineStr">
        <is>
          <t>unique</t>
        </is>
      </c>
      <c r="C454" t="n">
        <v>2</v>
      </c>
      <c r="D454" t="inlineStr">
        <is>
          <t>Skill Cooldown Decrease (seconds)</t>
        </is>
      </c>
      <c r="E454" t="n">
        <v>1</v>
      </c>
      <c r="F454" t="n">
        <v>0.24</v>
      </c>
      <c r="G454" t="b">
        <v>1</v>
      </c>
      <c r="H454">
        <f>Sensitivity!H28</f>
        <v/>
      </c>
    </row>
    <row r="455">
      <c r="A455" t="inlineStr">
        <is>
          <t>head</t>
        </is>
      </c>
      <c r="B455" t="inlineStr">
        <is>
          <t>unique</t>
        </is>
      </c>
      <c r="C455" t="n">
        <v>2</v>
      </c>
      <c r="D455" t="inlineStr">
        <is>
          <t>Skill Cooldown Decrease (seconds)</t>
        </is>
      </c>
      <c r="E455" t="n">
        <v>0.5</v>
      </c>
      <c r="F455" t="n">
        <v>0.76</v>
      </c>
      <c r="G455" t="b">
        <v>0</v>
      </c>
      <c r="H455">
        <f>Sensitivity!H28</f>
        <v/>
      </c>
    </row>
    <row r="456">
      <c r="A456" t="inlineStr">
        <is>
          <t>head</t>
        </is>
      </c>
      <c r="B456" t="inlineStr">
        <is>
          <t>unique</t>
        </is>
      </c>
      <c r="C456" t="n">
        <v>3</v>
      </c>
      <c r="D456" t="inlineStr">
        <is>
          <t>Skill Cooldown Decrease (seconds)</t>
        </is>
      </c>
      <c r="E456" t="n">
        <v>1</v>
      </c>
      <c r="F456" t="n">
        <v>0.08</v>
      </c>
      <c r="G456" t="b">
        <v>1</v>
      </c>
      <c r="H456">
        <f>Sensitivity!H28</f>
        <v/>
      </c>
    </row>
    <row r="457">
      <c r="A457" t="inlineStr">
        <is>
          <t>head</t>
        </is>
      </c>
      <c r="B457" t="inlineStr">
        <is>
          <t>unique</t>
        </is>
      </c>
      <c r="C457" t="n">
        <v>3</v>
      </c>
      <c r="D457" t="inlineStr">
        <is>
          <t>Skill Cooldown Decrease (seconds)</t>
        </is>
      </c>
      <c r="E457" t="n">
        <v>0.5</v>
      </c>
      <c r="F457" t="n">
        <v>0.92</v>
      </c>
      <c r="G457" t="b">
        <v>0</v>
      </c>
      <c r="H457">
        <f>Sensitivity!H28</f>
        <v/>
      </c>
    </row>
    <row r="458">
      <c r="A458" t="inlineStr">
        <is>
          <t>head</t>
        </is>
      </c>
      <c r="B458" t="inlineStr">
        <is>
          <t>legendary</t>
        </is>
      </c>
      <c r="C458" t="n">
        <v>1</v>
      </c>
      <c r="D458" t="inlineStr">
        <is>
          <t>Skill Cooldown Decrease (seconds)</t>
        </is>
      </c>
      <c r="E458" t="n">
        <v>1.5</v>
      </c>
      <c r="F458" t="n">
        <v>1</v>
      </c>
      <c r="G458" t="b">
        <v>1</v>
      </c>
      <c r="H458">
        <f>Sensitivity!H28</f>
        <v/>
      </c>
    </row>
    <row r="459">
      <c r="A459" t="inlineStr">
        <is>
          <t>head</t>
        </is>
      </c>
      <c r="B459" t="inlineStr">
        <is>
          <t>legendary</t>
        </is>
      </c>
      <c r="C459" t="n">
        <v>2</v>
      </c>
      <c r="D459" t="inlineStr">
        <is>
          <t>Skill Cooldown Decrease (seconds)</t>
        </is>
      </c>
      <c r="E459" t="n">
        <v>1.5</v>
      </c>
      <c r="F459" t="n">
        <v>0.24</v>
      </c>
      <c r="G459" t="b">
        <v>1</v>
      </c>
      <c r="H459">
        <f>Sensitivity!H28</f>
        <v/>
      </c>
    </row>
    <row r="460">
      <c r="A460" t="inlineStr">
        <is>
          <t>head</t>
        </is>
      </c>
      <c r="B460" t="inlineStr">
        <is>
          <t>legendary</t>
        </is>
      </c>
      <c r="C460" t="n">
        <v>2</v>
      </c>
      <c r="D460" t="inlineStr">
        <is>
          <t>Skill Cooldown Decrease (seconds)</t>
        </is>
      </c>
      <c r="E460" t="n">
        <v>1</v>
      </c>
      <c r="F460" t="n">
        <v>0.76</v>
      </c>
      <c r="G460" t="b">
        <v>0</v>
      </c>
      <c r="H460">
        <f>Sensitivity!H28</f>
        <v/>
      </c>
    </row>
    <row r="461">
      <c r="A461" t="inlineStr">
        <is>
          <t>head</t>
        </is>
      </c>
      <c r="B461" t="inlineStr">
        <is>
          <t>legendary</t>
        </is>
      </c>
      <c r="C461" t="n">
        <v>3</v>
      </c>
      <c r="D461" t="inlineStr">
        <is>
          <t>Skill Cooldown Decrease (seconds)</t>
        </is>
      </c>
      <c r="E461" t="n">
        <v>1.5</v>
      </c>
      <c r="F461" t="n">
        <v>0.08</v>
      </c>
      <c r="G461" t="b">
        <v>1</v>
      </c>
      <c r="H461">
        <f>Sensitivity!H28</f>
        <v/>
      </c>
    </row>
    <row r="462">
      <c r="A462" t="inlineStr">
        <is>
          <t>head</t>
        </is>
      </c>
      <c r="B462" t="inlineStr">
        <is>
          <t>legendary</t>
        </is>
      </c>
      <c r="C462" t="n">
        <v>3</v>
      </c>
      <c r="D462" t="inlineStr">
        <is>
          <t>Skill Cooldown Decrease (seconds)</t>
        </is>
      </c>
      <c r="E462" t="n">
        <v>1</v>
      </c>
      <c r="F462" t="n">
        <v>0.92</v>
      </c>
      <c r="G462" t="b">
        <v>0</v>
      </c>
      <c r="H462">
        <f>Sensitivity!H28</f>
        <v/>
      </c>
    </row>
    <row r="463">
      <c r="A463" t="inlineStr">
        <is>
          <t>head</t>
        </is>
      </c>
      <c r="B463" t="inlineStr">
        <is>
          <t>mystic</t>
        </is>
      </c>
      <c r="C463" t="n">
        <v>1</v>
      </c>
      <c r="D463" t="inlineStr">
        <is>
          <t>Skill Cooldown Decrease (seconds)</t>
        </is>
      </c>
      <c r="E463" t="n">
        <v>2</v>
      </c>
      <c r="F463" t="n">
        <v>1</v>
      </c>
      <c r="G463" t="b">
        <v>1</v>
      </c>
      <c r="H463">
        <f>Sensitivity!H28</f>
        <v/>
      </c>
    </row>
    <row r="464">
      <c r="A464" t="inlineStr">
        <is>
          <t>head</t>
        </is>
      </c>
      <c r="B464" t="inlineStr">
        <is>
          <t>mystic</t>
        </is>
      </c>
      <c r="C464" t="n">
        <v>2</v>
      </c>
      <c r="D464" t="inlineStr">
        <is>
          <t>Skill Cooldown Decrease (seconds)</t>
        </is>
      </c>
      <c r="E464" t="n">
        <v>2</v>
      </c>
      <c r="F464" t="n">
        <v>0.24</v>
      </c>
      <c r="G464" t="b">
        <v>1</v>
      </c>
      <c r="H464">
        <f>Sensitivity!H28</f>
        <v/>
      </c>
    </row>
    <row r="465">
      <c r="A465" t="inlineStr">
        <is>
          <t>head</t>
        </is>
      </c>
      <c r="B465" t="inlineStr">
        <is>
          <t>mystic</t>
        </is>
      </c>
      <c r="C465" t="n">
        <v>2</v>
      </c>
      <c r="D465" t="inlineStr">
        <is>
          <t>Skill Cooldown Decrease (seconds)</t>
        </is>
      </c>
      <c r="E465" t="n">
        <v>1.5</v>
      </c>
      <c r="F465" t="n">
        <v>0.76</v>
      </c>
      <c r="G465" t="b">
        <v>0</v>
      </c>
      <c r="H465">
        <f>Sensitivity!H28</f>
        <v/>
      </c>
    </row>
    <row r="466">
      <c r="A466" t="inlineStr">
        <is>
          <t>head</t>
        </is>
      </c>
      <c r="B466" t="inlineStr">
        <is>
          <t>mystic</t>
        </is>
      </c>
      <c r="C466" t="n">
        <v>3</v>
      </c>
      <c r="D466" t="inlineStr">
        <is>
          <t>Skill Cooldown Decrease (seconds)</t>
        </is>
      </c>
      <c r="E466" t="n">
        <v>2</v>
      </c>
      <c r="F466" t="n">
        <v>0.08</v>
      </c>
      <c r="G466" t="b">
        <v>1</v>
      </c>
      <c r="H466">
        <f>Sensitivity!H28</f>
        <v/>
      </c>
    </row>
    <row r="467">
      <c r="A467" t="inlineStr">
        <is>
          <t>head</t>
        </is>
      </c>
      <c r="B467" t="inlineStr">
        <is>
          <t>mystic</t>
        </is>
      </c>
      <c r="C467" t="n">
        <v>3</v>
      </c>
      <c r="D467" t="inlineStr">
        <is>
          <t>Skill Cooldown Decrease (seconds)</t>
        </is>
      </c>
      <c r="E467" t="n">
        <v>1.5</v>
      </c>
      <c r="F467" t="n">
        <v>0.92</v>
      </c>
      <c r="G467" t="b">
        <v>0</v>
      </c>
      <c r="H467">
        <f>Sensitivity!H28</f>
        <v/>
      </c>
    </row>
    <row r="468">
      <c r="A468" t="inlineStr">
        <is>
          <t>cape</t>
        </is>
      </c>
      <c r="B468" t="inlineStr">
        <is>
          <t>epic</t>
        </is>
      </c>
      <c r="C468" t="n">
        <v>1</v>
      </c>
      <c r="D468" t="inlineStr">
        <is>
          <t>Final Damage %</t>
        </is>
      </c>
      <c r="E468" t="n">
        <v>3</v>
      </c>
      <c r="F468" t="n">
        <v>1</v>
      </c>
      <c r="G468" t="b">
        <v>1</v>
      </c>
      <c r="H468">
        <f>Sensitivity!H12</f>
        <v/>
      </c>
    </row>
    <row r="469">
      <c r="A469" t="inlineStr">
        <is>
          <t>cape</t>
        </is>
      </c>
      <c r="B469" t="inlineStr">
        <is>
          <t>epic</t>
        </is>
      </c>
      <c r="C469" t="n">
        <v>2</v>
      </c>
      <c r="D469" t="inlineStr">
        <is>
          <t>Final Damage %</t>
        </is>
      </c>
      <c r="E469" t="n">
        <v>3</v>
      </c>
      <c r="F469" t="n">
        <v>0.24</v>
      </c>
      <c r="G469" t="b">
        <v>1</v>
      </c>
      <c r="H469">
        <f>Sensitivity!H12</f>
        <v/>
      </c>
    </row>
    <row r="470">
      <c r="A470" t="inlineStr">
        <is>
          <t>cape</t>
        </is>
      </c>
      <c r="B470" t="inlineStr">
        <is>
          <t>epic</t>
        </is>
      </c>
      <c r="C470" t="n">
        <v>3</v>
      </c>
      <c r="D470" t="inlineStr">
        <is>
          <t>Final Damage %</t>
        </is>
      </c>
      <c r="E470" t="n">
        <v>3</v>
      </c>
      <c r="F470" t="n">
        <v>0.08</v>
      </c>
      <c r="G470" t="b">
        <v>1</v>
      </c>
      <c r="H470">
        <f>Sensitivity!H12</f>
        <v/>
      </c>
    </row>
    <row r="471">
      <c r="A471" t="inlineStr">
        <is>
          <t>cape</t>
        </is>
      </c>
      <c r="B471" t="inlineStr">
        <is>
          <t>unique</t>
        </is>
      </c>
      <c r="C471" t="n">
        <v>1</v>
      </c>
      <c r="D471" t="inlineStr">
        <is>
          <t>Final Damage %</t>
        </is>
      </c>
      <c r="E471" t="n">
        <v>5</v>
      </c>
      <c r="F471" t="n">
        <v>1</v>
      </c>
      <c r="G471" t="b">
        <v>1</v>
      </c>
      <c r="H471">
        <f>Sensitivity!H12</f>
        <v/>
      </c>
    </row>
    <row r="472">
      <c r="A472" t="inlineStr">
        <is>
          <t>cape</t>
        </is>
      </c>
      <c r="B472" t="inlineStr">
        <is>
          <t>unique</t>
        </is>
      </c>
      <c r="C472" t="n">
        <v>2</v>
      </c>
      <c r="D472" t="inlineStr">
        <is>
          <t>Final Damage %</t>
        </is>
      </c>
      <c r="E472" t="n">
        <v>5</v>
      </c>
      <c r="F472" t="n">
        <v>0.24</v>
      </c>
      <c r="G472" t="b">
        <v>1</v>
      </c>
      <c r="H472">
        <f>Sensitivity!H12</f>
        <v/>
      </c>
    </row>
    <row r="473">
      <c r="A473" t="inlineStr">
        <is>
          <t>cape</t>
        </is>
      </c>
      <c r="B473" t="inlineStr">
        <is>
          <t>unique</t>
        </is>
      </c>
      <c r="C473" t="n">
        <v>2</v>
      </c>
      <c r="D473" t="inlineStr">
        <is>
          <t>Final Damage %</t>
        </is>
      </c>
      <c r="E473" t="n">
        <v>3</v>
      </c>
      <c r="F473" t="n">
        <v>0.76</v>
      </c>
      <c r="G473" t="b">
        <v>0</v>
      </c>
      <c r="H473">
        <f>Sensitivity!H12</f>
        <v/>
      </c>
    </row>
    <row r="474">
      <c r="A474" t="inlineStr">
        <is>
          <t>cape</t>
        </is>
      </c>
      <c r="B474" t="inlineStr">
        <is>
          <t>unique</t>
        </is>
      </c>
      <c r="C474" t="n">
        <v>3</v>
      </c>
      <c r="D474" t="inlineStr">
        <is>
          <t>Final Damage %</t>
        </is>
      </c>
      <c r="E474" t="n">
        <v>5</v>
      </c>
      <c r="F474" t="n">
        <v>0.08</v>
      </c>
      <c r="G474" t="b">
        <v>1</v>
      </c>
      <c r="H474">
        <f>Sensitivity!H12</f>
        <v/>
      </c>
    </row>
    <row r="475">
      <c r="A475" t="inlineStr">
        <is>
          <t>cape</t>
        </is>
      </c>
      <c r="B475" t="inlineStr">
        <is>
          <t>unique</t>
        </is>
      </c>
      <c r="C475" t="n">
        <v>3</v>
      </c>
      <c r="D475" t="inlineStr">
        <is>
          <t>Final Damage %</t>
        </is>
      </c>
      <c r="E475" t="n">
        <v>3</v>
      </c>
      <c r="F475" t="n">
        <v>0.92</v>
      </c>
      <c r="G475" t="b">
        <v>0</v>
      </c>
      <c r="H475">
        <f>Sensitivity!H12</f>
        <v/>
      </c>
    </row>
    <row r="476">
      <c r="A476" t="inlineStr">
        <is>
          <t>cape</t>
        </is>
      </c>
      <c r="B476" t="inlineStr">
        <is>
          <t>legendary</t>
        </is>
      </c>
      <c r="C476" t="n">
        <v>1</v>
      </c>
      <c r="D476" t="inlineStr">
        <is>
          <t>Final Damage %</t>
        </is>
      </c>
      <c r="E476" t="n">
        <v>8</v>
      </c>
      <c r="F476" t="n">
        <v>1</v>
      </c>
      <c r="G476" t="b">
        <v>1</v>
      </c>
      <c r="H476">
        <f>Sensitivity!H12</f>
        <v/>
      </c>
    </row>
    <row r="477">
      <c r="A477" t="inlineStr">
        <is>
          <t>cape</t>
        </is>
      </c>
      <c r="B477" t="inlineStr">
        <is>
          <t>legendary</t>
        </is>
      </c>
      <c r="C477" t="n">
        <v>2</v>
      </c>
      <c r="D477" t="inlineStr">
        <is>
          <t>Final Damage %</t>
        </is>
      </c>
      <c r="E477" t="n">
        <v>8</v>
      </c>
      <c r="F477" t="n">
        <v>0.24</v>
      </c>
      <c r="G477" t="b">
        <v>1</v>
      </c>
      <c r="H477">
        <f>Sensitivity!H12</f>
        <v/>
      </c>
    </row>
    <row r="478">
      <c r="A478" t="inlineStr">
        <is>
          <t>cape</t>
        </is>
      </c>
      <c r="B478" t="inlineStr">
        <is>
          <t>legendary</t>
        </is>
      </c>
      <c r="C478" t="n">
        <v>2</v>
      </c>
      <c r="D478" t="inlineStr">
        <is>
          <t>Final Damage %</t>
        </is>
      </c>
      <c r="E478" t="n">
        <v>5</v>
      </c>
      <c r="F478" t="n">
        <v>0.76</v>
      </c>
      <c r="G478" t="b">
        <v>0</v>
      </c>
      <c r="H478">
        <f>Sensitivity!H12</f>
        <v/>
      </c>
    </row>
    <row r="479">
      <c r="A479" t="inlineStr">
        <is>
          <t>cape</t>
        </is>
      </c>
      <c r="B479" t="inlineStr">
        <is>
          <t>legendary</t>
        </is>
      </c>
      <c r="C479" t="n">
        <v>3</v>
      </c>
      <c r="D479" t="inlineStr">
        <is>
          <t>Final Damage %</t>
        </is>
      </c>
      <c r="E479" t="n">
        <v>8</v>
      </c>
      <c r="F479" t="n">
        <v>0.08</v>
      </c>
      <c r="G479" t="b">
        <v>1</v>
      </c>
      <c r="H479">
        <f>Sensitivity!H12</f>
        <v/>
      </c>
    </row>
    <row r="480">
      <c r="A480" t="inlineStr">
        <is>
          <t>cape</t>
        </is>
      </c>
      <c r="B480" t="inlineStr">
        <is>
          <t>legendary</t>
        </is>
      </c>
      <c r="C480" t="n">
        <v>3</v>
      </c>
      <c r="D480" t="inlineStr">
        <is>
          <t>Final Damage %</t>
        </is>
      </c>
      <c r="E480" t="n">
        <v>5</v>
      </c>
      <c r="F480" t="n">
        <v>0.92</v>
      </c>
      <c r="G480" t="b">
        <v>0</v>
      </c>
      <c r="H480">
        <f>Sensitivity!H12</f>
        <v/>
      </c>
    </row>
    <row r="481">
      <c r="A481" t="inlineStr">
        <is>
          <t>cape</t>
        </is>
      </c>
      <c r="B481" t="inlineStr">
        <is>
          <t>mystic</t>
        </is>
      </c>
      <c r="C481" t="n">
        <v>1</v>
      </c>
      <c r="D481" t="inlineStr">
        <is>
          <t>Final Damage %</t>
        </is>
      </c>
      <c r="E481" t="n">
        <v>12</v>
      </c>
      <c r="F481" t="n">
        <v>1</v>
      </c>
      <c r="G481" t="b">
        <v>1</v>
      </c>
      <c r="H481">
        <f>Sensitivity!H12</f>
        <v/>
      </c>
    </row>
    <row r="482">
      <c r="A482" t="inlineStr">
        <is>
          <t>cape</t>
        </is>
      </c>
      <c r="B482" t="inlineStr">
        <is>
          <t>mystic</t>
        </is>
      </c>
      <c r="C482" t="n">
        <v>2</v>
      </c>
      <c r="D482" t="inlineStr">
        <is>
          <t>Final Damage %</t>
        </is>
      </c>
      <c r="E482" t="n">
        <v>12</v>
      </c>
      <c r="F482" t="n">
        <v>0.24</v>
      </c>
      <c r="G482" t="b">
        <v>1</v>
      </c>
      <c r="H482">
        <f>Sensitivity!H12</f>
        <v/>
      </c>
    </row>
    <row r="483">
      <c r="A483" t="inlineStr">
        <is>
          <t>cape</t>
        </is>
      </c>
      <c r="B483" t="inlineStr">
        <is>
          <t>mystic</t>
        </is>
      </c>
      <c r="C483" t="n">
        <v>2</v>
      </c>
      <c r="D483" t="inlineStr">
        <is>
          <t>Final Damage %</t>
        </is>
      </c>
      <c r="E483" t="n">
        <v>8</v>
      </c>
      <c r="F483" t="n">
        <v>0.76</v>
      </c>
      <c r="G483" t="b">
        <v>0</v>
      </c>
      <c r="H483">
        <f>Sensitivity!H12</f>
        <v/>
      </c>
    </row>
    <row r="484">
      <c r="A484" t="inlineStr">
        <is>
          <t>cape</t>
        </is>
      </c>
      <c r="B484" t="inlineStr">
        <is>
          <t>mystic</t>
        </is>
      </c>
      <c r="C484" t="n">
        <v>3</v>
      </c>
      <c r="D484" t="inlineStr">
        <is>
          <t>Final Damage %</t>
        </is>
      </c>
      <c r="E484" t="n">
        <v>12</v>
      </c>
      <c r="F484" t="n">
        <v>0.08</v>
      </c>
      <c r="G484" t="b">
        <v>1</v>
      </c>
      <c r="H484">
        <f>Sensitivity!H12</f>
        <v/>
      </c>
    </row>
    <row r="485">
      <c r="A485" t="inlineStr">
        <is>
          <t>cape</t>
        </is>
      </c>
      <c r="B485" t="inlineStr">
        <is>
          <t>mystic</t>
        </is>
      </c>
      <c r="C485" t="n">
        <v>3</v>
      </c>
      <c r="D485" t="inlineStr">
        <is>
          <t>Final Damage %</t>
        </is>
      </c>
      <c r="E485" t="n">
        <v>8</v>
      </c>
      <c r="F485" t="n">
        <v>0.92</v>
      </c>
      <c r="G485" t="b">
        <v>0</v>
      </c>
      <c r="H485">
        <f>Sensitivity!H12</f>
        <v/>
      </c>
    </row>
    <row r="486">
      <c r="A486" t="inlineStr">
        <is>
          <t>chest</t>
        </is>
      </c>
      <c r="B486" t="inlineStr">
        <is>
          <t>unique</t>
        </is>
      </c>
      <c r="C486" t="n">
        <v>1</v>
      </c>
      <c r="D486" t="inlineStr">
        <is>
          <t>Basic Attack Target Increase</t>
        </is>
      </c>
      <c r="E486" t="n">
        <v>1</v>
      </c>
      <c r="F486" t="n">
        <v>1</v>
      </c>
      <c r="G486" t="b">
        <v>1</v>
      </c>
      <c r="H486">
        <f>Sensitivity!H29</f>
        <v/>
      </c>
    </row>
    <row r="487">
      <c r="A487" t="inlineStr">
        <is>
          <t>chest</t>
        </is>
      </c>
      <c r="B487" t="inlineStr">
        <is>
          <t>unique</t>
        </is>
      </c>
      <c r="C487" t="n">
        <v>2</v>
      </c>
      <c r="D487" t="inlineStr">
        <is>
          <t>Basic Attack Target Increase</t>
        </is>
      </c>
      <c r="E487" t="n">
        <v>1</v>
      </c>
      <c r="F487" t="n">
        <v>0.24</v>
      </c>
      <c r="G487" t="b">
        <v>1</v>
      </c>
      <c r="H487">
        <f>Sensitivity!H29</f>
        <v/>
      </c>
    </row>
    <row r="488">
      <c r="A488" t="inlineStr">
        <is>
          <t>chest</t>
        </is>
      </c>
      <c r="B488" t="inlineStr">
        <is>
          <t>unique</t>
        </is>
      </c>
      <c r="C488" t="n">
        <v>3</v>
      </c>
      <c r="D488" t="inlineStr">
        <is>
          <t>Basic Attack Target Increase</t>
        </is>
      </c>
      <c r="E488" t="n">
        <v>1</v>
      </c>
      <c r="F488" t="n">
        <v>0.08</v>
      </c>
      <c r="G488" t="b">
        <v>1</v>
      </c>
      <c r="H488">
        <f>Sensitivity!H29</f>
        <v/>
      </c>
    </row>
    <row r="489">
      <c r="A489" t="inlineStr">
        <is>
          <t>chest</t>
        </is>
      </c>
      <c r="B489" t="inlineStr">
        <is>
          <t>legendary</t>
        </is>
      </c>
      <c r="C489" t="n">
        <v>1</v>
      </c>
      <c r="D489" t="inlineStr">
        <is>
          <t>Basic Attack Target Increase</t>
        </is>
      </c>
      <c r="E489" t="n">
        <v>2</v>
      </c>
      <c r="F489" t="n">
        <v>1</v>
      </c>
      <c r="G489" t="b">
        <v>1</v>
      </c>
      <c r="H489">
        <f>Sensitivity!H29</f>
        <v/>
      </c>
    </row>
    <row r="490">
      <c r="A490" t="inlineStr">
        <is>
          <t>chest</t>
        </is>
      </c>
      <c r="B490" t="inlineStr">
        <is>
          <t>legendary</t>
        </is>
      </c>
      <c r="C490" t="n">
        <v>2</v>
      </c>
      <c r="D490" t="inlineStr">
        <is>
          <t>Basic Attack Target Increase</t>
        </is>
      </c>
      <c r="E490" t="n">
        <v>2</v>
      </c>
      <c r="F490" t="n">
        <v>0.24</v>
      </c>
      <c r="G490" t="b">
        <v>1</v>
      </c>
      <c r="H490">
        <f>Sensitivity!H29</f>
        <v/>
      </c>
    </row>
    <row r="491">
      <c r="A491" t="inlineStr">
        <is>
          <t>chest</t>
        </is>
      </c>
      <c r="B491" t="inlineStr">
        <is>
          <t>legendary</t>
        </is>
      </c>
      <c r="C491" t="n">
        <v>2</v>
      </c>
      <c r="D491" t="inlineStr">
        <is>
          <t>Basic Attack Target Increase</t>
        </is>
      </c>
      <c r="E491" t="n">
        <v>1</v>
      </c>
      <c r="F491" t="n">
        <v>0.76</v>
      </c>
      <c r="G491" t="b">
        <v>0</v>
      </c>
      <c r="H491">
        <f>Sensitivity!H29</f>
        <v/>
      </c>
    </row>
    <row r="492">
      <c r="A492" t="inlineStr">
        <is>
          <t>chest</t>
        </is>
      </c>
      <c r="B492" t="inlineStr">
        <is>
          <t>legendary</t>
        </is>
      </c>
      <c r="C492" t="n">
        <v>3</v>
      </c>
      <c r="D492" t="inlineStr">
        <is>
          <t>Basic Attack Target Increase</t>
        </is>
      </c>
      <c r="E492" t="n">
        <v>2</v>
      </c>
      <c r="F492" t="n">
        <v>0.08</v>
      </c>
      <c r="G492" t="b">
        <v>1</v>
      </c>
      <c r="H492">
        <f>Sensitivity!H29</f>
        <v/>
      </c>
    </row>
    <row r="493">
      <c r="A493" t="inlineStr">
        <is>
          <t>chest</t>
        </is>
      </c>
      <c r="B493" t="inlineStr">
        <is>
          <t>legendary</t>
        </is>
      </c>
      <c r="C493" t="n">
        <v>3</v>
      </c>
      <c r="D493" t="inlineStr">
        <is>
          <t>Basic Attack Target Increase</t>
        </is>
      </c>
      <c r="E493" t="n">
        <v>1</v>
      </c>
      <c r="F493" t="n">
        <v>0.92</v>
      </c>
      <c r="G493" t="b">
        <v>0</v>
      </c>
      <c r="H493">
        <f>Sensitivity!H29</f>
        <v/>
      </c>
    </row>
    <row r="494">
      <c r="A494" t="inlineStr">
        <is>
          <t>chest</t>
        </is>
      </c>
      <c r="B494" t="inlineStr">
        <is>
          <t>mystic</t>
        </is>
      </c>
      <c r="C494" t="n">
        <v>1</v>
      </c>
      <c r="D494" t="inlineStr">
        <is>
          <t>Basic Attack Target Increase</t>
        </is>
      </c>
      <c r="E494" t="n">
        <v>3</v>
      </c>
      <c r="F494" t="n">
        <v>1</v>
      </c>
      <c r="G494" t="b">
        <v>1</v>
      </c>
      <c r="H494">
        <f>Sensitivity!H29</f>
        <v/>
      </c>
    </row>
    <row r="495">
      <c r="A495" t="inlineStr">
        <is>
          <t>chest</t>
        </is>
      </c>
      <c r="B495" t="inlineStr">
        <is>
          <t>mystic</t>
        </is>
      </c>
      <c r="C495" t="n">
        <v>2</v>
      </c>
      <c r="D495" t="inlineStr">
        <is>
          <t>Basic Attack Target Increase</t>
        </is>
      </c>
      <c r="E495" t="n">
        <v>3</v>
      </c>
      <c r="F495" t="n">
        <v>0.24</v>
      </c>
      <c r="G495" t="b">
        <v>1</v>
      </c>
      <c r="H495">
        <f>Sensitivity!H29</f>
        <v/>
      </c>
    </row>
    <row r="496">
      <c r="A496" t="inlineStr">
        <is>
          <t>chest</t>
        </is>
      </c>
      <c r="B496" t="inlineStr">
        <is>
          <t>mystic</t>
        </is>
      </c>
      <c r="C496" t="n">
        <v>2</v>
      </c>
      <c r="D496" t="inlineStr">
        <is>
          <t>Basic Attack Target Increase</t>
        </is>
      </c>
      <c r="E496" t="n">
        <v>2</v>
      </c>
      <c r="F496" t="n">
        <v>0.76</v>
      </c>
      <c r="G496" t="b">
        <v>0</v>
      </c>
      <c r="H496">
        <f>Sensitivity!H29</f>
        <v/>
      </c>
    </row>
    <row r="497">
      <c r="A497" t="inlineStr">
        <is>
          <t>chest</t>
        </is>
      </c>
      <c r="B497" t="inlineStr">
        <is>
          <t>mystic</t>
        </is>
      </c>
      <c r="C497" t="n">
        <v>3</v>
      </c>
      <c r="D497" t="inlineStr">
        <is>
          <t>Basic Attack Target Increase</t>
        </is>
      </c>
      <c r="E497" t="n">
        <v>3</v>
      </c>
      <c r="F497" t="n">
        <v>0.08</v>
      </c>
      <c r="G497" t="b">
        <v>1</v>
      </c>
      <c r="H497">
        <f>Sensitivity!H29</f>
        <v/>
      </c>
    </row>
    <row r="498">
      <c r="A498" t="inlineStr">
        <is>
          <t>chest</t>
        </is>
      </c>
      <c r="B498" t="inlineStr">
        <is>
          <t>mystic</t>
        </is>
      </c>
      <c r="C498" t="n">
        <v>3</v>
      </c>
      <c r="D498" t="inlineStr">
        <is>
          <t>Basic Attack Target Increase</t>
        </is>
      </c>
      <c r="E498" t="n">
        <v>2</v>
      </c>
      <c r="F498" t="n">
        <v>0.92</v>
      </c>
      <c r="G498" t="b">
        <v>0</v>
      </c>
      <c r="H498">
        <f>Sensitivity!H29</f>
        <v/>
      </c>
    </row>
    <row r="499">
      <c r="A499" t="inlineStr">
        <is>
          <t>shoulders</t>
        </is>
      </c>
      <c r="B499" t="inlineStr">
        <is>
          <t>unique</t>
        </is>
      </c>
      <c r="C499" t="n">
        <v>1</v>
      </c>
      <c r="D499" t="inlineStr">
        <is>
          <t>Defense Penetration</t>
        </is>
      </c>
      <c r="E499" t="n">
        <v>8</v>
      </c>
      <c r="F499" t="n">
        <v>1</v>
      </c>
      <c r="G499" t="b">
        <v>1</v>
      </c>
      <c r="H499">
        <f>Sensitivity!H18</f>
        <v/>
      </c>
    </row>
    <row r="500">
      <c r="A500" t="inlineStr">
        <is>
          <t>shoulders</t>
        </is>
      </c>
      <c r="B500" t="inlineStr">
        <is>
          <t>unique</t>
        </is>
      </c>
      <c r="C500" t="n">
        <v>2</v>
      </c>
      <c r="D500" t="inlineStr">
        <is>
          <t>Defense Penetration</t>
        </is>
      </c>
      <c r="E500" t="n">
        <v>8</v>
      </c>
      <c r="F500" t="n">
        <v>0.24</v>
      </c>
      <c r="G500" t="b">
        <v>1</v>
      </c>
      <c r="H500">
        <f>Sensitivity!H18</f>
        <v/>
      </c>
    </row>
    <row r="501">
      <c r="A501" t="inlineStr">
        <is>
          <t>shoulders</t>
        </is>
      </c>
      <c r="B501" t="inlineStr">
        <is>
          <t>unique</t>
        </is>
      </c>
      <c r="C501" t="n">
        <v>3</v>
      </c>
      <c r="D501" t="inlineStr">
        <is>
          <t>Defense Penetration</t>
        </is>
      </c>
      <c r="E501" t="n">
        <v>8</v>
      </c>
      <c r="F501" t="n">
        <v>0.08</v>
      </c>
      <c r="G501" t="b">
        <v>1</v>
      </c>
      <c r="H501">
        <f>Sensitivity!H18</f>
        <v/>
      </c>
    </row>
    <row r="502">
      <c r="A502" t="inlineStr">
        <is>
          <t>shoulders</t>
        </is>
      </c>
      <c r="B502" t="inlineStr">
        <is>
          <t>legendary</t>
        </is>
      </c>
      <c r="C502" t="n">
        <v>1</v>
      </c>
      <c r="D502" t="inlineStr">
        <is>
          <t>Defense Penetration</t>
        </is>
      </c>
      <c r="E502" t="n">
        <v>12</v>
      </c>
      <c r="F502" t="n">
        <v>1</v>
      </c>
      <c r="G502" t="b">
        <v>1</v>
      </c>
      <c r="H502">
        <f>Sensitivity!H18</f>
        <v/>
      </c>
    </row>
    <row r="503">
      <c r="A503" t="inlineStr">
        <is>
          <t>shoulders</t>
        </is>
      </c>
      <c r="B503" t="inlineStr">
        <is>
          <t>legendary</t>
        </is>
      </c>
      <c r="C503" t="n">
        <v>2</v>
      </c>
      <c r="D503" t="inlineStr">
        <is>
          <t>Defense Penetration</t>
        </is>
      </c>
      <c r="E503" t="n">
        <v>12</v>
      </c>
      <c r="F503" t="n">
        <v>0.24</v>
      </c>
      <c r="G503" t="b">
        <v>1</v>
      </c>
      <c r="H503">
        <f>Sensitivity!H18</f>
        <v/>
      </c>
    </row>
    <row r="504">
      <c r="A504" t="inlineStr">
        <is>
          <t>shoulders</t>
        </is>
      </c>
      <c r="B504" t="inlineStr">
        <is>
          <t>legendary</t>
        </is>
      </c>
      <c r="C504" t="n">
        <v>2</v>
      </c>
      <c r="D504" t="inlineStr">
        <is>
          <t>Defense Penetration</t>
        </is>
      </c>
      <c r="E504" t="n">
        <v>8</v>
      </c>
      <c r="F504" t="n">
        <v>0.76</v>
      </c>
      <c r="G504" t="b">
        <v>0</v>
      </c>
      <c r="H504">
        <f>Sensitivity!H18</f>
        <v/>
      </c>
    </row>
    <row r="505">
      <c r="A505" t="inlineStr">
        <is>
          <t>shoulders</t>
        </is>
      </c>
      <c r="B505" t="inlineStr">
        <is>
          <t>legendary</t>
        </is>
      </c>
      <c r="C505" t="n">
        <v>3</v>
      </c>
      <c r="D505" t="inlineStr">
        <is>
          <t>Defense Penetration</t>
        </is>
      </c>
      <c r="E505" t="n">
        <v>12</v>
      </c>
      <c r="F505" t="n">
        <v>0.08</v>
      </c>
      <c r="G505" t="b">
        <v>1</v>
      </c>
      <c r="H505">
        <f>Sensitivity!H18</f>
        <v/>
      </c>
    </row>
    <row r="506">
      <c r="A506" t="inlineStr">
        <is>
          <t>shoulders</t>
        </is>
      </c>
      <c r="B506" t="inlineStr">
        <is>
          <t>legendary</t>
        </is>
      </c>
      <c r="C506" t="n">
        <v>3</v>
      </c>
      <c r="D506" t="inlineStr">
        <is>
          <t>Defense Penetration</t>
        </is>
      </c>
      <c r="E506" t="n">
        <v>8</v>
      </c>
      <c r="F506" t="n">
        <v>0.92</v>
      </c>
      <c r="G506" t="b">
        <v>0</v>
      </c>
      <c r="H506">
        <f>Sensitivity!H18</f>
        <v/>
      </c>
    </row>
    <row r="507">
      <c r="A507" t="inlineStr">
        <is>
          <t>shoulders</t>
        </is>
      </c>
      <c r="B507" t="inlineStr">
        <is>
          <t>mystic</t>
        </is>
      </c>
      <c r="C507" t="n">
        <v>1</v>
      </c>
      <c r="D507" t="inlineStr">
        <is>
          <t>Defense Penetration</t>
        </is>
      </c>
      <c r="E507" t="n">
        <v>20</v>
      </c>
      <c r="F507" t="n">
        <v>1</v>
      </c>
      <c r="G507" t="b">
        <v>1</v>
      </c>
      <c r="H507">
        <f>Sensitivity!H18</f>
        <v/>
      </c>
    </row>
    <row r="508">
      <c r="A508" t="inlineStr">
        <is>
          <t>shoulders</t>
        </is>
      </c>
      <c r="B508" t="inlineStr">
        <is>
          <t>mystic</t>
        </is>
      </c>
      <c r="C508" t="n">
        <v>2</v>
      </c>
      <c r="D508" t="inlineStr">
        <is>
          <t>Defense Penetration</t>
        </is>
      </c>
      <c r="E508" t="n">
        <v>20</v>
      </c>
      <c r="F508" t="n">
        <v>0.24</v>
      </c>
      <c r="G508" t="b">
        <v>1</v>
      </c>
      <c r="H508">
        <f>Sensitivity!H18</f>
        <v/>
      </c>
    </row>
    <row r="509">
      <c r="A509" t="inlineStr">
        <is>
          <t>shoulders</t>
        </is>
      </c>
      <c r="B509" t="inlineStr">
        <is>
          <t>mystic</t>
        </is>
      </c>
      <c r="C509" t="n">
        <v>2</v>
      </c>
      <c r="D509" t="inlineStr">
        <is>
          <t>Defense Penetration</t>
        </is>
      </c>
      <c r="E509" t="n">
        <v>12</v>
      </c>
      <c r="F509" t="n">
        <v>0.76</v>
      </c>
      <c r="G509" t="b">
        <v>0</v>
      </c>
      <c r="H509">
        <f>Sensitivity!H18</f>
        <v/>
      </c>
    </row>
    <row r="510">
      <c r="A510" t="inlineStr">
        <is>
          <t>shoulders</t>
        </is>
      </c>
      <c r="B510" t="inlineStr">
        <is>
          <t>mystic</t>
        </is>
      </c>
      <c r="C510" t="n">
        <v>3</v>
      </c>
      <c r="D510" t="inlineStr">
        <is>
          <t>Defense Penetration</t>
        </is>
      </c>
      <c r="E510" t="n">
        <v>20</v>
      </c>
      <c r="F510" t="n">
        <v>0.08</v>
      </c>
      <c r="G510" t="b">
        <v>1</v>
      </c>
      <c r="H510">
        <f>Sensitivity!H18</f>
        <v/>
      </c>
    </row>
    <row r="511">
      <c r="A511" t="inlineStr">
        <is>
          <t>shoulders</t>
        </is>
      </c>
      <c r="B511" t="inlineStr">
        <is>
          <t>mystic</t>
        </is>
      </c>
      <c r="C511" t="n">
        <v>3</v>
      </c>
      <c r="D511" t="inlineStr">
        <is>
          <t>Defense Penetration</t>
        </is>
      </c>
      <c r="E511" t="n">
        <v>12</v>
      </c>
      <c r="F511" t="n">
        <v>0.92</v>
      </c>
      <c r="G511" t="b">
        <v>0</v>
      </c>
      <c r="H511">
        <f>Sensitivity!H18</f>
        <v/>
      </c>
    </row>
    <row r="512">
      <c r="A512" t="inlineStr">
        <is>
          <t>legs</t>
        </is>
      </c>
      <c r="B512" t="inlineStr">
        <is>
          <t>epic</t>
        </is>
      </c>
      <c r="C512" t="n">
        <v>1</v>
      </c>
      <c r="D512" t="inlineStr">
        <is>
          <t>Final Damage %</t>
        </is>
      </c>
      <c r="E512" t="n">
        <v>3</v>
      </c>
      <c r="F512" t="n">
        <v>1</v>
      </c>
      <c r="G512" t="b">
        <v>1</v>
      </c>
      <c r="H512">
        <f>Sensitivity!H12</f>
        <v/>
      </c>
    </row>
    <row r="513">
      <c r="A513" t="inlineStr">
        <is>
          <t>legs</t>
        </is>
      </c>
      <c r="B513" t="inlineStr">
        <is>
          <t>epic</t>
        </is>
      </c>
      <c r="C513" t="n">
        <v>2</v>
      </c>
      <c r="D513" t="inlineStr">
        <is>
          <t>Final Damage %</t>
        </is>
      </c>
      <c r="E513" t="n">
        <v>3</v>
      </c>
      <c r="F513" t="n">
        <v>0.24</v>
      </c>
      <c r="G513" t="b">
        <v>1</v>
      </c>
      <c r="H513">
        <f>Sensitivity!H12</f>
        <v/>
      </c>
    </row>
    <row r="514">
      <c r="A514" t="inlineStr">
        <is>
          <t>legs</t>
        </is>
      </c>
      <c r="B514" t="inlineStr">
        <is>
          <t>epic</t>
        </is>
      </c>
      <c r="C514" t="n">
        <v>3</v>
      </c>
      <c r="D514" t="inlineStr">
        <is>
          <t>Final Damage %</t>
        </is>
      </c>
      <c r="E514" t="n">
        <v>3</v>
      </c>
      <c r="F514" t="n">
        <v>0.08</v>
      </c>
      <c r="G514" t="b">
        <v>1</v>
      </c>
      <c r="H514">
        <f>Sensitivity!H12</f>
        <v/>
      </c>
    </row>
    <row r="515">
      <c r="A515" t="inlineStr">
        <is>
          <t>legs</t>
        </is>
      </c>
      <c r="B515" t="inlineStr">
        <is>
          <t>unique</t>
        </is>
      </c>
      <c r="C515" t="n">
        <v>1</v>
      </c>
      <c r="D515" t="inlineStr">
        <is>
          <t>Final Damage %</t>
        </is>
      </c>
      <c r="E515" t="n">
        <v>5</v>
      </c>
      <c r="F515" t="n">
        <v>1</v>
      </c>
      <c r="G515" t="b">
        <v>1</v>
      </c>
      <c r="H515">
        <f>Sensitivity!H12</f>
        <v/>
      </c>
    </row>
    <row r="516">
      <c r="A516" t="inlineStr">
        <is>
          <t>legs</t>
        </is>
      </c>
      <c r="B516" t="inlineStr">
        <is>
          <t>unique</t>
        </is>
      </c>
      <c r="C516" t="n">
        <v>2</v>
      </c>
      <c r="D516" t="inlineStr">
        <is>
          <t>Final Damage %</t>
        </is>
      </c>
      <c r="E516" t="n">
        <v>5</v>
      </c>
      <c r="F516" t="n">
        <v>0.24</v>
      </c>
      <c r="G516" t="b">
        <v>1</v>
      </c>
      <c r="H516">
        <f>Sensitivity!H12</f>
        <v/>
      </c>
    </row>
    <row r="517">
      <c r="A517" t="inlineStr">
        <is>
          <t>legs</t>
        </is>
      </c>
      <c r="B517" t="inlineStr">
        <is>
          <t>unique</t>
        </is>
      </c>
      <c r="C517" t="n">
        <v>2</v>
      </c>
      <c r="D517" t="inlineStr">
        <is>
          <t>Final Damage %</t>
        </is>
      </c>
      <c r="E517" t="n">
        <v>3</v>
      </c>
      <c r="F517" t="n">
        <v>0.76</v>
      </c>
      <c r="G517" t="b">
        <v>0</v>
      </c>
      <c r="H517">
        <f>Sensitivity!H12</f>
        <v/>
      </c>
    </row>
    <row r="518">
      <c r="A518" t="inlineStr">
        <is>
          <t>legs</t>
        </is>
      </c>
      <c r="B518" t="inlineStr">
        <is>
          <t>unique</t>
        </is>
      </c>
      <c r="C518" t="n">
        <v>3</v>
      </c>
      <c r="D518" t="inlineStr">
        <is>
          <t>Final Damage %</t>
        </is>
      </c>
      <c r="E518" t="n">
        <v>5</v>
      </c>
      <c r="F518" t="n">
        <v>0.08</v>
      </c>
      <c r="G518" t="b">
        <v>1</v>
      </c>
      <c r="H518">
        <f>Sensitivity!H12</f>
        <v/>
      </c>
    </row>
    <row r="519">
      <c r="A519" t="inlineStr">
        <is>
          <t>legs</t>
        </is>
      </c>
      <c r="B519" t="inlineStr">
        <is>
          <t>unique</t>
        </is>
      </c>
      <c r="C519" t="n">
        <v>3</v>
      </c>
      <c r="D519" t="inlineStr">
        <is>
          <t>Final Damage %</t>
        </is>
      </c>
      <c r="E519" t="n">
        <v>3</v>
      </c>
      <c r="F519" t="n">
        <v>0.92</v>
      </c>
      <c r="G519" t="b">
        <v>0</v>
      </c>
      <c r="H519">
        <f>Sensitivity!H12</f>
        <v/>
      </c>
    </row>
    <row r="520">
      <c r="A520" t="inlineStr">
        <is>
          <t>legs</t>
        </is>
      </c>
      <c r="B520" t="inlineStr">
        <is>
          <t>legendary</t>
        </is>
      </c>
      <c r="C520" t="n">
        <v>1</v>
      </c>
      <c r="D520" t="inlineStr">
        <is>
          <t>Final Damage %</t>
        </is>
      </c>
      <c r="E520" t="n">
        <v>8</v>
      </c>
      <c r="F520" t="n">
        <v>1</v>
      </c>
      <c r="G520" t="b">
        <v>1</v>
      </c>
      <c r="H520">
        <f>Sensitivity!H12</f>
        <v/>
      </c>
    </row>
    <row r="521">
      <c r="A521" t="inlineStr">
        <is>
          <t>legs</t>
        </is>
      </c>
      <c r="B521" t="inlineStr">
        <is>
          <t>legendary</t>
        </is>
      </c>
      <c r="C521" t="n">
        <v>2</v>
      </c>
      <c r="D521" t="inlineStr">
        <is>
          <t>Final Damage %</t>
        </is>
      </c>
      <c r="E521" t="n">
        <v>8</v>
      </c>
      <c r="F521" t="n">
        <v>0.24</v>
      </c>
      <c r="G521" t="b">
        <v>1</v>
      </c>
      <c r="H521">
        <f>Sensitivity!H12</f>
        <v/>
      </c>
    </row>
    <row r="522">
      <c r="A522" t="inlineStr">
        <is>
          <t>legs</t>
        </is>
      </c>
      <c r="B522" t="inlineStr">
        <is>
          <t>legendary</t>
        </is>
      </c>
      <c r="C522" t="n">
        <v>2</v>
      </c>
      <c r="D522" t="inlineStr">
        <is>
          <t>Final Damage %</t>
        </is>
      </c>
      <c r="E522" t="n">
        <v>5</v>
      </c>
      <c r="F522" t="n">
        <v>0.76</v>
      </c>
      <c r="G522" t="b">
        <v>0</v>
      </c>
      <c r="H522">
        <f>Sensitivity!H12</f>
        <v/>
      </c>
    </row>
    <row r="523">
      <c r="A523" t="inlineStr">
        <is>
          <t>legs</t>
        </is>
      </c>
      <c r="B523" t="inlineStr">
        <is>
          <t>legendary</t>
        </is>
      </c>
      <c r="C523" t="n">
        <v>3</v>
      </c>
      <c r="D523" t="inlineStr">
        <is>
          <t>Final Damage %</t>
        </is>
      </c>
      <c r="E523" t="n">
        <v>8</v>
      </c>
      <c r="F523" t="n">
        <v>0.08</v>
      </c>
      <c r="G523" t="b">
        <v>1</v>
      </c>
      <c r="H523">
        <f>Sensitivity!H12</f>
        <v/>
      </c>
    </row>
    <row r="524">
      <c r="A524" t="inlineStr">
        <is>
          <t>legs</t>
        </is>
      </c>
      <c r="B524" t="inlineStr">
        <is>
          <t>legendary</t>
        </is>
      </c>
      <c r="C524" t="n">
        <v>3</v>
      </c>
      <c r="D524" t="inlineStr">
        <is>
          <t>Final Damage %</t>
        </is>
      </c>
      <c r="E524" t="n">
        <v>5</v>
      </c>
      <c r="F524" t="n">
        <v>0.92</v>
      </c>
      <c r="G524" t="b">
        <v>0</v>
      </c>
      <c r="H524">
        <f>Sensitivity!H12</f>
        <v/>
      </c>
    </row>
    <row r="525">
      <c r="A525" t="inlineStr">
        <is>
          <t>legs</t>
        </is>
      </c>
      <c r="B525" t="inlineStr">
        <is>
          <t>mystic</t>
        </is>
      </c>
      <c r="C525" t="n">
        <v>1</v>
      </c>
      <c r="D525" t="inlineStr">
        <is>
          <t>Final Damage %</t>
        </is>
      </c>
      <c r="E525" t="n">
        <v>12</v>
      </c>
      <c r="F525" t="n">
        <v>1</v>
      </c>
      <c r="G525" t="b">
        <v>1</v>
      </c>
      <c r="H525">
        <f>Sensitivity!H12</f>
        <v/>
      </c>
    </row>
    <row r="526">
      <c r="A526" t="inlineStr">
        <is>
          <t>legs</t>
        </is>
      </c>
      <c r="B526" t="inlineStr">
        <is>
          <t>mystic</t>
        </is>
      </c>
      <c r="C526" t="n">
        <v>2</v>
      </c>
      <c r="D526" t="inlineStr">
        <is>
          <t>Final Damage %</t>
        </is>
      </c>
      <c r="E526" t="n">
        <v>12</v>
      </c>
      <c r="F526" t="n">
        <v>0.24</v>
      </c>
      <c r="G526" t="b">
        <v>1</v>
      </c>
      <c r="H526">
        <f>Sensitivity!H12</f>
        <v/>
      </c>
    </row>
    <row r="527">
      <c r="A527" t="inlineStr">
        <is>
          <t>legs</t>
        </is>
      </c>
      <c r="B527" t="inlineStr">
        <is>
          <t>mystic</t>
        </is>
      </c>
      <c r="C527" t="n">
        <v>2</v>
      </c>
      <c r="D527" t="inlineStr">
        <is>
          <t>Final Damage %</t>
        </is>
      </c>
      <c r="E527" t="n">
        <v>8</v>
      </c>
      <c r="F527" t="n">
        <v>0.76</v>
      </c>
      <c r="G527" t="b">
        <v>0</v>
      </c>
      <c r="H527">
        <f>Sensitivity!H12</f>
        <v/>
      </c>
    </row>
    <row r="528">
      <c r="A528" t="inlineStr">
        <is>
          <t>legs</t>
        </is>
      </c>
      <c r="B528" t="inlineStr">
        <is>
          <t>mystic</t>
        </is>
      </c>
      <c r="C528" t="n">
        <v>3</v>
      </c>
      <c r="D528" t="inlineStr">
        <is>
          <t>Final Damage %</t>
        </is>
      </c>
      <c r="E528" t="n">
        <v>12</v>
      </c>
      <c r="F528" t="n">
        <v>0.08</v>
      </c>
      <c r="G528" t="b">
        <v>1</v>
      </c>
      <c r="H528">
        <f>Sensitivity!H12</f>
        <v/>
      </c>
    </row>
    <row r="529">
      <c r="A529" t="inlineStr">
        <is>
          <t>legs</t>
        </is>
      </c>
      <c r="B529" t="inlineStr">
        <is>
          <t>mystic</t>
        </is>
      </c>
      <c r="C529" t="n">
        <v>3</v>
      </c>
      <c r="D529" t="inlineStr">
        <is>
          <t>Final Damage %</t>
        </is>
      </c>
      <c r="E529" t="n">
        <v>8</v>
      </c>
      <c r="F529" t="n">
        <v>0.92</v>
      </c>
      <c r="G529" t="b">
        <v>0</v>
      </c>
      <c r="H529">
        <f>Sensitivity!H12</f>
        <v/>
      </c>
    </row>
    <row r="530">
      <c r="A530" t="inlineStr">
        <is>
          <t>belt</t>
        </is>
      </c>
      <c r="B530" t="inlineStr">
        <is>
          <t>epic</t>
        </is>
      </c>
      <c r="C530" t="n">
        <v>1</v>
      </c>
      <c r="D530" t="inlineStr">
        <is>
          <t>Buff Duration Increase %</t>
        </is>
      </c>
      <c r="E530" t="n">
        <v>5</v>
      </c>
      <c r="F530" t="n">
        <v>1</v>
      </c>
      <c r="G530" t="b">
        <v>1</v>
      </c>
      <c r="H530">
        <f>Sensitivity!H30</f>
        <v/>
      </c>
    </row>
    <row r="531">
      <c r="A531" t="inlineStr">
        <is>
          <t>belt</t>
        </is>
      </c>
      <c r="B531" t="inlineStr">
        <is>
          <t>epic</t>
        </is>
      </c>
      <c r="C531" t="n">
        <v>2</v>
      </c>
      <c r="D531" t="inlineStr">
        <is>
          <t>Buff Duration Increase %</t>
        </is>
      </c>
      <c r="E531" t="n">
        <v>5</v>
      </c>
      <c r="F531" t="n">
        <v>0.24</v>
      </c>
      <c r="G531" t="b">
        <v>1</v>
      </c>
      <c r="H531">
        <f>Sensitivity!H30</f>
        <v/>
      </c>
    </row>
    <row r="532">
      <c r="A532" t="inlineStr">
        <is>
          <t>belt</t>
        </is>
      </c>
      <c r="B532" t="inlineStr">
        <is>
          <t>epic</t>
        </is>
      </c>
      <c r="C532" t="n">
        <v>3</v>
      </c>
      <c r="D532" t="inlineStr">
        <is>
          <t>Buff Duration Increase %</t>
        </is>
      </c>
      <c r="E532" t="n">
        <v>5</v>
      </c>
      <c r="F532" t="n">
        <v>0.08</v>
      </c>
      <c r="G532" t="b">
        <v>1</v>
      </c>
      <c r="H532">
        <f>Sensitivity!H30</f>
        <v/>
      </c>
    </row>
    <row r="533">
      <c r="A533" t="inlineStr">
        <is>
          <t>belt</t>
        </is>
      </c>
      <c r="B533" t="inlineStr">
        <is>
          <t>unique</t>
        </is>
      </c>
      <c r="C533" t="n">
        <v>1</v>
      </c>
      <c r="D533" t="inlineStr">
        <is>
          <t>Buff Duration Increase %</t>
        </is>
      </c>
      <c r="E533" t="n">
        <v>8</v>
      </c>
      <c r="F533" t="n">
        <v>1</v>
      </c>
      <c r="G533" t="b">
        <v>1</v>
      </c>
      <c r="H533">
        <f>Sensitivity!H30</f>
        <v/>
      </c>
    </row>
    <row r="534">
      <c r="A534" t="inlineStr">
        <is>
          <t>belt</t>
        </is>
      </c>
      <c r="B534" t="inlineStr">
        <is>
          <t>unique</t>
        </is>
      </c>
      <c r="C534" t="n">
        <v>2</v>
      </c>
      <c r="D534" t="inlineStr">
        <is>
          <t>Buff Duration Increase %</t>
        </is>
      </c>
      <c r="E534" t="n">
        <v>8</v>
      </c>
      <c r="F534" t="n">
        <v>0.24</v>
      </c>
      <c r="G534" t="b">
        <v>1</v>
      </c>
      <c r="H534">
        <f>Sensitivity!H30</f>
        <v/>
      </c>
    </row>
    <row r="535">
      <c r="A535" t="inlineStr">
        <is>
          <t>belt</t>
        </is>
      </c>
      <c r="B535" t="inlineStr">
        <is>
          <t>unique</t>
        </is>
      </c>
      <c r="C535" t="n">
        <v>2</v>
      </c>
      <c r="D535" t="inlineStr">
        <is>
          <t>Buff Duration Increase %</t>
        </is>
      </c>
      <c r="E535" t="n">
        <v>5</v>
      </c>
      <c r="F535" t="n">
        <v>0.76</v>
      </c>
      <c r="G535" t="b">
        <v>0</v>
      </c>
      <c r="H535">
        <f>Sensitivity!H30</f>
        <v/>
      </c>
    </row>
    <row r="536">
      <c r="A536" t="inlineStr">
        <is>
          <t>belt</t>
        </is>
      </c>
      <c r="B536" t="inlineStr">
        <is>
          <t>unique</t>
        </is>
      </c>
      <c r="C536" t="n">
        <v>3</v>
      </c>
      <c r="D536" t="inlineStr">
        <is>
          <t>Buff Duration Increase %</t>
        </is>
      </c>
      <c r="E536" t="n">
        <v>8</v>
      </c>
      <c r="F536" t="n">
        <v>0.08</v>
      </c>
      <c r="G536" t="b">
        <v>1</v>
      </c>
      <c r="H536">
        <f>Sensitivity!H30</f>
        <v/>
      </c>
    </row>
    <row r="537">
      <c r="A537" t="inlineStr">
        <is>
          <t>belt</t>
        </is>
      </c>
      <c r="B537" t="inlineStr">
        <is>
          <t>unique</t>
        </is>
      </c>
      <c r="C537" t="n">
        <v>3</v>
      </c>
      <c r="D537" t="inlineStr">
        <is>
          <t>Buff Duration Increase %</t>
        </is>
      </c>
      <c r="E537" t="n">
        <v>5</v>
      </c>
      <c r="F537" t="n">
        <v>0.92</v>
      </c>
      <c r="G537" t="b">
        <v>0</v>
      </c>
      <c r="H537">
        <f>Sensitivity!H30</f>
        <v/>
      </c>
    </row>
    <row r="538">
      <c r="A538" t="inlineStr">
        <is>
          <t>belt</t>
        </is>
      </c>
      <c r="B538" t="inlineStr">
        <is>
          <t>legendary</t>
        </is>
      </c>
      <c r="C538" t="n">
        <v>1</v>
      </c>
      <c r="D538" t="inlineStr">
        <is>
          <t>Buff Duration Increase %</t>
        </is>
      </c>
      <c r="E538" t="n">
        <v>12</v>
      </c>
      <c r="F538" t="n">
        <v>1</v>
      </c>
      <c r="G538" t="b">
        <v>1</v>
      </c>
      <c r="H538">
        <f>Sensitivity!H30</f>
        <v/>
      </c>
    </row>
    <row r="539">
      <c r="A539" t="inlineStr">
        <is>
          <t>belt</t>
        </is>
      </c>
      <c r="B539" t="inlineStr">
        <is>
          <t>legendary</t>
        </is>
      </c>
      <c r="C539" t="n">
        <v>2</v>
      </c>
      <c r="D539" t="inlineStr">
        <is>
          <t>Buff Duration Increase %</t>
        </is>
      </c>
      <c r="E539" t="n">
        <v>12</v>
      </c>
      <c r="F539" t="n">
        <v>0.24</v>
      </c>
      <c r="G539" t="b">
        <v>1</v>
      </c>
      <c r="H539">
        <f>Sensitivity!H30</f>
        <v/>
      </c>
    </row>
    <row r="540">
      <c r="A540" t="inlineStr">
        <is>
          <t>belt</t>
        </is>
      </c>
      <c r="B540" t="inlineStr">
        <is>
          <t>legendary</t>
        </is>
      </c>
      <c r="C540" t="n">
        <v>2</v>
      </c>
      <c r="D540" t="inlineStr">
        <is>
          <t>Buff Duration Increase %</t>
        </is>
      </c>
      <c r="E540" t="n">
        <v>8</v>
      </c>
      <c r="F540" t="n">
        <v>0.76</v>
      </c>
      <c r="G540" t="b">
        <v>0</v>
      </c>
      <c r="H540">
        <f>Sensitivity!H30</f>
        <v/>
      </c>
    </row>
    <row r="541">
      <c r="A541" t="inlineStr">
        <is>
          <t>belt</t>
        </is>
      </c>
      <c r="B541" t="inlineStr">
        <is>
          <t>legendary</t>
        </is>
      </c>
      <c r="C541" t="n">
        <v>3</v>
      </c>
      <c r="D541" t="inlineStr">
        <is>
          <t>Buff Duration Increase %</t>
        </is>
      </c>
      <c r="E541" t="n">
        <v>12</v>
      </c>
      <c r="F541" t="n">
        <v>0.08</v>
      </c>
      <c r="G541" t="b">
        <v>1</v>
      </c>
      <c r="H541">
        <f>Sensitivity!H30</f>
        <v/>
      </c>
    </row>
    <row r="542">
      <c r="A542" t="inlineStr">
        <is>
          <t>belt</t>
        </is>
      </c>
      <c r="B542" t="inlineStr">
        <is>
          <t>legendary</t>
        </is>
      </c>
      <c r="C542" t="n">
        <v>3</v>
      </c>
      <c r="D542" t="inlineStr">
        <is>
          <t>Buff Duration Increase %</t>
        </is>
      </c>
      <c r="E542" t="n">
        <v>8</v>
      </c>
      <c r="F542" t="n">
        <v>0.92</v>
      </c>
      <c r="G542" t="b">
        <v>0</v>
      </c>
      <c r="H542">
        <f>Sensitivity!H30</f>
        <v/>
      </c>
    </row>
    <row r="543">
      <c r="A543" t="inlineStr">
        <is>
          <t>belt</t>
        </is>
      </c>
      <c r="B543" t="inlineStr">
        <is>
          <t>mystic</t>
        </is>
      </c>
      <c r="C543" t="n">
        <v>1</v>
      </c>
      <c r="D543" t="inlineStr">
        <is>
          <t>Buff Duration Increase %</t>
        </is>
      </c>
      <c r="E543" t="n">
        <v>20</v>
      </c>
      <c r="F543" t="n">
        <v>1</v>
      </c>
      <c r="G543" t="b">
        <v>1</v>
      </c>
      <c r="H543">
        <f>Sensitivity!H30</f>
        <v/>
      </c>
    </row>
    <row r="544">
      <c r="A544" t="inlineStr">
        <is>
          <t>belt</t>
        </is>
      </c>
      <c r="B544" t="inlineStr">
        <is>
          <t>mystic</t>
        </is>
      </c>
      <c r="C544" t="n">
        <v>2</v>
      </c>
      <c r="D544" t="inlineStr">
        <is>
          <t>Buff Duration Increase %</t>
        </is>
      </c>
      <c r="E544" t="n">
        <v>20</v>
      </c>
      <c r="F544" t="n">
        <v>0.24</v>
      </c>
      <c r="G544" t="b">
        <v>1</v>
      </c>
      <c r="H544">
        <f>Sensitivity!H30</f>
        <v/>
      </c>
    </row>
    <row r="545">
      <c r="A545" t="inlineStr">
        <is>
          <t>belt</t>
        </is>
      </c>
      <c r="B545" t="inlineStr">
        <is>
          <t>mystic</t>
        </is>
      </c>
      <c r="C545" t="n">
        <v>2</v>
      </c>
      <c r="D545" t="inlineStr">
        <is>
          <t>Buff Duration Increase %</t>
        </is>
      </c>
      <c r="E545" t="n">
        <v>12</v>
      </c>
      <c r="F545" t="n">
        <v>0.76</v>
      </c>
      <c r="G545" t="b">
        <v>0</v>
      </c>
      <c r="H545">
        <f>Sensitivity!H30</f>
        <v/>
      </c>
    </row>
    <row r="546">
      <c r="A546" t="inlineStr">
        <is>
          <t>belt</t>
        </is>
      </c>
      <c r="B546" t="inlineStr">
        <is>
          <t>mystic</t>
        </is>
      </c>
      <c r="C546" t="n">
        <v>3</v>
      </c>
      <c r="D546" t="inlineStr">
        <is>
          <t>Buff Duration Increase %</t>
        </is>
      </c>
      <c r="E546" t="n">
        <v>20</v>
      </c>
      <c r="F546" t="n">
        <v>0.08</v>
      </c>
      <c r="G546" t="b">
        <v>1</v>
      </c>
      <c r="H546">
        <f>Sensitivity!H30</f>
        <v/>
      </c>
    </row>
    <row r="547">
      <c r="A547" t="inlineStr">
        <is>
          <t>belt</t>
        </is>
      </c>
      <c r="B547" t="inlineStr">
        <is>
          <t>mystic</t>
        </is>
      </c>
      <c r="C547" t="n">
        <v>3</v>
      </c>
      <c r="D547" t="inlineStr">
        <is>
          <t>Buff Duration Increase %</t>
        </is>
      </c>
      <c r="E547" t="n">
        <v>12</v>
      </c>
      <c r="F547" t="n">
        <v>0.92</v>
      </c>
      <c r="G547" t="b">
        <v>0</v>
      </c>
      <c r="H547">
        <f>Sensitivity!H30</f>
        <v/>
      </c>
    </row>
    <row r="548">
      <c r="A548" t="inlineStr">
        <is>
          <t>gloves</t>
        </is>
      </c>
      <c r="B548" t="inlineStr">
        <is>
          <t>epic</t>
        </is>
      </c>
      <c r="C548" t="n">
        <v>1</v>
      </c>
      <c r="D548" t="inlineStr">
        <is>
          <t>Critical Damage %</t>
        </is>
      </c>
      <c r="E548" t="n">
        <v>10</v>
      </c>
      <c r="F548" t="n">
        <v>1</v>
      </c>
      <c r="G548" t="b">
        <v>1</v>
      </c>
      <c r="H548">
        <f>Sensitivity!H16</f>
        <v/>
      </c>
    </row>
    <row r="549">
      <c r="A549" t="inlineStr">
        <is>
          <t>gloves</t>
        </is>
      </c>
      <c r="B549" t="inlineStr">
        <is>
          <t>epic</t>
        </is>
      </c>
      <c r="C549" t="n">
        <v>2</v>
      </c>
      <c r="D549" t="inlineStr">
        <is>
          <t>Critical Damage %</t>
        </is>
      </c>
      <c r="E549" t="n">
        <v>10</v>
      </c>
      <c r="F549" t="n">
        <v>0.24</v>
      </c>
      <c r="G549" t="b">
        <v>1</v>
      </c>
      <c r="H549">
        <f>Sensitivity!H16</f>
        <v/>
      </c>
    </row>
    <row r="550">
      <c r="A550" t="inlineStr">
        <is>
          <t>gloves</t>
        </is>
      </c>
      <c r="B550" t="inlineStr">
        <is>
          <t>epic</t>
        </is>
      </c>
      <c r="C550" t="n">
        <v>3</v>
      </c>
      <c r="D550" t="inlineStr">
        <is>
          <t>Critical Damage %</t>
        </is>
      </c>
      <c r="E550" t="n">
        <v>10</v>
      </c>
      <c r="F550" t="n">
        <v>0.08</v>
      </c>
      <c r="G550" t="b">
        <v>1</v>
      </c>
      <c r="H550">
        <f>Sensitivity!H16</f>
        <v/>
      </c>
    </row>
    <row r="551">
      <c r="A551" t="inlineStr">
        <is>
          <t>gloves</t>
        </is>
      </c>
      <c r="B551" t="inlineStr">
        <is>
          <t>unique</t>
        </is>
      </c>
      <c r="C551" t="n">
        <v>1</v>
      </c>
      <c r="D551" t="inlineStr">
        <is>
          <t>Critical Damage %</t>
        </is>
      </c>
      <c r="E551" t="n">
        <v>20</v>
      </c>
      <c r="F551" t="n">
        <v>1</v>
      </c>
      <c r="G551" t="b">
        <v>1</v>
      </c>
      <c r="H551">
        <f>Sensitivity!H16</f>
        <v/>
      </c>
    </row>
    <row r="552">
      <c r="A552" t="inlineStr">
        <is>
          <t>gloves</t>
        </is>
      </c>
      <c r="B552" t="inlineStr">
        <is>
          <t>unique</t>
        </is>
      </c>
      <c r="C552" t="n">
        <v>2</v>
      </c>
      <c r="D552" t="inlineStr">
        <is>
          <t>Critical Damage %</t>
        </is>
      </c>
      <c r="E552" t="n">
        <v>20</v>
      </c>
      <c r="F552" t="n">
        <v>0.24</v>
      </c>
      <c r="G552" t="b">
        <v>1</v>
      </c>
      <c r="H552">
        <f>Sensitivity!H16</f>
        <v/>
      </c>
    </row>
    <row r="553">
      <c r="A553" t="inlineStr">
        <is>
          <t>gloves</t>
        </is>
      </c>
      <c r="B553" t="inlineStr">
        <is>
          <t>unique</t>
        </is>
      </c>
      <c r="C553" t="n">
        <v>2</v>
      </c>
      <c r="D553" t="inlineStr">
        <is>
          <t>Critical Damage %</t>
        </is>
      </c>
      <c r="E553" t="n">
        <v>10</v>
      </c>
      <c r="F553" t="n">
        <v>0.76</v>
      </c>
      <c r="G553" t="b">
        <v>0</v>
      </c>
      <c r="H553">
        <f>Sensitivity!H16</f>
        <v/>
      </c>
    </row>
    <row r="554">
      <c r="A554" t="inlineStr">
        <is>
          <t>gloves</t>
        </is>
      </c>
      <c r="B554" t="inlineStr">
        <is>
          <t>unique</t>
        </is>
      </c>
      <c r="C554" t="n">
        <v>3</v>
      </c>
      <c r="D554" t="inlineStr">
        <is>
          <t>Critical Damage %</t>
        </is>
      </c>
      <c r="E554" t="n">
        <v>20</v>
      </c>
      <c r="F554" t="n">
        <v>0.08</v>
      </c>
      <c r="G554" t="b">
        <v>1</v>
      </c>
      <c r="H554">
        <f>Sensitivity!H16</f>
        <v/>
      </c>
    </row>
    <row r="555">
      <c r="A555" t="inlineStr">
        <is>
          <t>gloves</t>
        </is>
      </c>
      <c r="B555" t="inlineStr">
        <is>
          <t>unique</t>
        </is>
      </c>
      <c r="C555" t="n">
        <v>3</v>
      </c>
      <c r="D555" t="inlineStr">
        <is>
          <t>Critical Damage %</t>
        </is>
      </c>
      <c r="E555" t="n">
        <v>10</v>
      </c>
      <c r="F555" t="n">
        <v>0.92</v>
      </c>
      <c r="G555" t="b">
        <v>0</v>
      </c>
      <c r="H555">
        <f>Sensitivity!H16</f>
        <v/>
      </c>
    </row>
    <row r="556">
      <c r="A556" t="inlineStr">
        <is>
          <t>gloves</t>
        </is>
      </c>
      <c r="B556" t="inlineStr">
        <is>
          <t>legendary</t>
        </is>
      </c>
      <c r="C556" t="n">
        <v>1</v>
      </c>
      <c r="D556" t="inlineStr">
        <is>
          <t>Critical Damage %</t>
        </is>
      </c>
      <c r="E556" t="n">
        <v>30</v>
      </c>
      <c r="F556" t="n">
        <v>1</v>
      </c>
      <c r="G556" t="b">
        <v>1</v>
      </c>
      <c r="H556">
        <f>Sensitivity!H16</f>
        <v/>
      </c>
    </row>
    <row r="557">
      <c r="A557" t="inlineStr">
        <is>
          <t>gloves</t>
        </is>
      </c>
      <c r="B557" t="inlineStr">
        <is>
          <t>legendary</t>
        </is>
      </c>
      <c r="C557" t="n">
        <v>2</v>
      </c>
      <c r="D557" t="inlineStr">
        <is>
          <t>Critical Damage %</t>
        </is>
      </c>
      <c r="E557" t="n">
        <v>30</v>
      </c>
      <c r="F557" t="n">
        <v>0.24</v>
      </c>
      <c r="G557" t="b">
        <v>1</v>
      </c>
      <c r="H557">
        <f>Sensitivity!H16</f>
        <v/>
      </c>
    </row>
    <row r="558">
      <c r="A558" t="inlineStr">
        <is>
          <t>gloves</t>
        </is>
      </c>
      <c r="B558" t="inlineStr">
        <is>
          <t>legendary</t>
        </is>
      </c>
      <c r="C558" t="n">
        <v>2</v>
      </c>
      <c r="D558" t="inlineStr">
        <is>
          <t>Critical Damage %</t>
        </is>
      </c>
      <c r="E558" t="n">
        <v>20</v>
      </c>
      <c r="F558" t="n">
        <v>0.76</v>
      </c>
      <c r="G558" t="b">
        <v>0</v>
      </c>
      <c r="H558">
        <f>Sensitivity!H16</f>
        <v/>
      </c>
    </row>
    <row r="559">
      <c r="A559" t="inlineStr">
        <is>
          <t>gloves</t>
        </is>
      </c>
      <c r="B559" t="inlineStr">
        <is>
          <t>legendary</t>
        </is>
      </c>
      <c r="C559" t="n">
        <v>3</v>
      </c>
      <c r="D559" t="inlineStr">
        <is>
          <t>Critical Damage %</t>
        </is>
      </c>
      <c r="E559" t="n">
        <v>30</v>
      </c>
      <c r="F559" t="n">
        <v>0.08</v>
      </c>
      <c r="G559" t="b">
        <v>1</v>
      </c>
      <c r="H559">
        <f>Sensitivity!H16</f>
        <v/>
      </c>
    </row>
    <row r="560">
      <c r="A560" t="inlineStr">
        <is>
          <t>gloves</t>
        </is>
      </c>
      <c r="B560" t="inlineStr">
        <is>
          <t>legendary</t>
        </is>
      </c>
      <c r="C560" t="n">
        <v>3</v>
      </c>
      <c r="D560" t="inlineStr">
        <is>
          <t>Critical Damage %</t>
        </is>
      </c>
      <c r="E560" t="n">
        <v>20</v>
      </c>
      <c r="F560" t="n">
        <v>0.92</v>
      </c>
      <c r="G560" t="b">
        <v>0</v>
      </c>
      <c r="H560">
        <f>Sensitivity!H16</f>
        <v/>
      </c>
    </row>
    <row r="561">
      <c r="A561" t="inlineStr">
        <is>
          <t>gloves</t>
        </is>
      </c>
      <c r="B561" t="inlineStr">
        <is>
          <t>mystic</t>
        </is>
      </c>
      <c r="C561" t="n">
        <v>1</v>
      </c>
      <c r="D561" t="inlineStr">
        <is>
          <t>Critical Damage %</t>
        </is>
      </c>
      <c r="E561" t="n">
        <v>50</v>
      </c>
      <c r="F561" t="n">
        <v>1</v>
      </c>
      <c r="G561" t="b">
        <v>1</v>
      </c>
      <c r="H561">
        <f>Sensitivity!H16</f>
        <v/>
      </c>
    </row>
    <row r="562">
      <c r="A562" t="inlineStr">
        <is>
          <t>gloves</t>
        </is>
      </c>
      <c r="B562" t="inlineStr">
        <is>
          <t>mystic</t>
        </is>
      </c>
      <c r="C562" t="n">
        <v>2</v>
      </c>
      <c r="D562" t="inlineStr">
        <is>
          <t>Critical Damage %</t>
        </is>
      </c>
      <c r="E562" t="n">
        <v>50</v>
      </c>
      <c r="F562" t="n">
        <v>0.24</v>
      </c>
      <c r="G562" t="b">
        <v>1</v>
      </c>
      <c r="H562">
        <f>Sensitivity!H16</f>
        <v/>
      </c>
    </row>
    <row r="563">
      <c r="A563" t="inlineStr">
        <is>
          <t>gloves</t>
        </is>
      </c>
      <c r="B563" t="inlineStr">
        <is>
          <t>mystic</t>
        </is>
      </c>
      <c r="C563" t="n">
        <v>2</v>
      </c>
      <c r="D563" t="inlineStr">
        <is>
          <t>Critical Damage %</t>
        </is>
      </c>
      <c r="E563" t="n">
        <v>30</v>
      </c>
      <c r="F563" t="n">
        <v>0.76</v>
      </c>
      <c r="G563" t="b">
        <v>0</v>
      </c>
      <c r="H563">
        <f>Sensitivity!H16</f>
        <v/>
      </c>
    </row>
    <row r="564">
      <c r="A564" t="inlineStr">
        <is>
          <t>gloves</t>
        </is>
      </c>
      <c r="B564" t="inlineStr">
        <is>
          <t>mystic</t>
        </is>
      </c>
      <c r="C564" t="n">
        <v>3</v>
      </c>
      <c r="D564" t="inlineStr">
        <is>
          <t>Critical Damage %</t>
        </is>
      </c>
      <c r="E564" t="n">
        <v>50</v>
      </c>
      <c r="F564" t="n">
        <v>0.08</v>
      </c>
      <c r="G564" t="b">
        <v>1</v>
      </c>
      <c r="H564">
        <f>Sensitivity!H16</f>
        <v/>
      </c>
    </row>
    <row r="565">
      <c r="A565" t="inlineStr">
        <is>
          <t>gloves</t>
        </is>
      </c>
      <c r="B565" t="inlineStr">
        <is>
          <t>mystic</t>
        </is>
      </c>
      <c r="C565" t="n">
        <v>3</v>
      </c>
      <c r="D565" t="inlineStr">
        <is>
          <t>Critical Damage %</t>
        </is>
      </c>
      <c r="E565" t="n">
        <v>30</v>
      </c>
      <c r="F565" t="n">
        <v>0.92</v>
      </c>
      <c r="G565" t="b">
        <v>0</v>
      </c>
      <c r="H565">
        <f>Sensitivity!H16</f>
        <v/>
      </c>
    </row>
    <row r="566">
      <c r="A566" t="inlineStr">
        <is>
          <t>boots</t>
        </is>
      </c>
      <c r="B566" t="inlineStr">
        <is>
          <t>epic</t>
        </is>
      </c>
      <c r="C566" t="n">
        <v>1</v>
      </c>
      <c r="D566" t="inlineStr">
        <is>
          <t>Companion Summoning Time Increase %</t>
        </is>
      </c>
      <c r="E566" t="n">
        <v>5</v>
      </c>
      <c r="F566" t="n">
        <v>1</v>
      </c>
      <c r="G566" t="b">
        <v>1</v>
      </c>
      <c r="H566">
        <f>Sensitivity!H16</f>
        <v/>
      </c>
    </row>
    <row r="567">
      <c r="A567" t="inlineStr">
        <is>
          <t>boots</t>
        </is>
      </c>
      <c r="B567" t="inlineStr">
        <is>
          <t>epic</t>
        </is>
      </c>
      <c r="C567" t="n">
        <v>2</v>
      </c>
      <c r="D567" t="inlineStr">
        <is>
          <t>Companion Summoning Time Increase %</t>
        </is>
      </c>
      <c r="E567" t="n">
        <v>5</v>
      </c>
      <c r="F567" t="n">
        <v>0.24</v>
      </c>
      <c r="G567" t="b">
        <v>1</v>
      </c>
      <c r="H567">
        <f>Sensitivity!H16</f>
        <v/>
      </c>
    </row>
    <row r="568">
      <c r="A568" t="inlineStr">
        <is>
          <t>boots</t>
        </is>
      </c>
      <c r="B568" t="inlineStr">
        <is>
          <t>epic</t>
        </is>
      </c>
      <c r="C568" t="n">
        <v>3</v>
      </c>
      <c r="D568" t="inlineStr">
        <is>
          <t>Companion Summoning Time Increase %</t>
        </is>
      </c>
      <c r="E568" t="n">
        <v>5</v>
      </c>
      <c r="F568" t="n">
        <v>0.08</v>
      </c>
      <c r="G568" t="b">
        <v>1</v>
      </c>
      <c r="H568">
        <f>Sensitivity!H16</f>
        <v/>
      </c>
    </row>
    <row r="569">
      <c r="A569" t="inlineStr">
        <is>
          <t>boots</t>
        </is>
      </c>
      <c r="B569" t="inlineStr">
        <is>
          <t>unique</t>
        </is>
      </c>
      <c r="C569" t="n">
        <v>1</v>
      </c>
      <c r="D569" t="inlineStr">
        <is>
          <t>Companion Summoning Time Increase %</t>
        </is>
      </c>
      <c r="E569" t="n">
        <v>8</v>
      </c>
      <c r="F569" t="n">
        <v>1</v>
      </c>
      <c r="G569" t="b">
        <v>1</v>
      </c>
      <c r="H569">
        <f>Sensitivity!H16</f>
        <v/>
      </c>
    </row>
    <row r="570">
      <c r="A570" t="inlineStr">
        <is>
          <t>boots</t>
        </is>
      </c>
      <c r="B570" t="inlineStr">
        <is>
          <t>unique</t>
        </is>
      </c>
      <c r="C570" t="n">
        <v>2</v>
      </c>
      <c r="D570" t="inlineStr">
        <is>
          <t>Companion Summoning Time Increase %</t>
        </is>
      </c>
      <c r="E570" t="n">
        <v>8</v>
      </c>
      <c r="F570" t="n">
        <v>0.24</v>
      </c>
      <c r="G570" t="b">
        <v>1</v>
      </c>
      <c r="H570">
        <f>Sensitivity!H16</f>
        <v/>
      </c>
    </row>
    <row r="571">
      <c r="A571" t="inlineStr">
        <is>
          <t>boots</t>
        </is>
      </c>
      <c r="B571" t="inlineStr">
        <is>
          <t>unique</t>
        </is>
      </c>
      <c r="C571" t="n">
        <v>2</v>
      </c>
      <c r="D571" t="inlineStr">
        <is>
          <t>Companion Summoning Time Increase %</t>
        </is>
      </c>
      <c r="E571" t="n">
        <v>5</v>
      </c>
      <c r="F571" t="n">
        <v>0.76</v>
      </c>
      <c r="G571" t="b">
        <v>0</v>
      </c>
      <c r="H571">
        <f>Sensitivity!H16</f>
        <v/>
      </c>
    </row>
    <row r="572">
      <c r="A572" t="inlineStr">
        <is>
          <t>boots</t>
        </is>
      </c>
      <c r="B572" t="inlineStr">
        <is>
          <t>unique</t>
        </is>
      </c>
      <c r="C572" t="n">
        <v>3</v>
      </c>
      <c r="D572" t="inlineStr">
        <is>
          <t>Companion Summoning Time Increase %</t>
        </is>
      </c>
      <c r="E572" t="n">
        <v>8</v>
      </c>
      <c r="F572" t="n">
        <v>0.08</v>
      </c>
      <c r="G572" t="b">
        <v>1</v>
      </c>
      <c r="H572">
        <f>Sensitivity!H16</f>
        <v/>
      </c>
    </row>
    <row r="573">
      <c r="A573" t="inlineStr">
        <is>
          <t>boots</t>
        </is>
      </c>
      <c r="B573" t="inlineStr">
        <is>
          <t>unique</t>
        </is>
      </c>
      <c r="C573" t="n">
        <v>3</v>
      </c>
      <c r="D573" t="inlineStr">
        <is>
          <t>Companion Summoning Time Increase %</t>
        </is>
      </c>
      <c r="E573" t="n">
        <v>5</v>
      </c>
      <c r="F573" t="n">
        <v>0.92</v>
      </c>
      <c r="G573" t="b">
        <v>0</v>
      </c>
      <c r="H573">
        <f>Sensitivity!H16</f>
        <v/>
      </c>
    </row>
    <row r="574">
      <c r="A574" t="inlineStr">
        <is>
          <t>boots</t>
        </is>
      </c>
      <c r="B574" t="inlineStr">
        <is>
          <t>legendary</t>
        </is>
      </c>
      <c r="C574" t="n">
        <v>1</v>
      </c>
      <c r="D574" t="inlineStr">
        <is>
          <t>Companion Summoning Time Increase %</t>
        </is>
      </c>
      <c r="E574" t="n">
        <v>12</v>
      </c>
      <c r="F574" t="n">
        <v>1</v>
      </c>
      <c r="G574" t="b">
        <v>1</v>
      </c>
      <c r="H574">
        <f>Sensitivity!H16</f>
        <v/>
      </c>
    </row>
    <row r="575">
      <c r="A575" t="inlineStr">
        <is>
          <t>boots</t>
        </is>
      </c>
      <c r="B575" t="inlineStr">
        <is>
          <t>legendary</t>
        </is>
      </c>
      <c r="C575" t="n">
        <v>2</v>
      </c>
      <c r="D575" t="inlineStr">
        <is>
          <t>Companion Summoning Time Increase %</t>
        </is>
      </c>
      <c r="E575" t="n">
        <v>12</v>
      </c>
      <c r="F575" t="n">
        <v>0.24</v>
      </c>
      <c r="G575" t="b">
        <v>1</v>
      </c>
      <c r="H575">
        <f>Sensitivity!H16</f>
        <v/>
      </c>
    </row>
    <row r="576">
      <c r="A576" t="inlineStr">
        <is>
          <t>boots</t>
        </is>
      </c>
      <c r="B576" t="inlineStr">
        <is>
          <t>legendary</t>
        </is>
      </c>
      <c r="C576" t="n">
        <v>2</v>
      </c>
      <c r="D576" t="inlineStr">
        <is>
          <t>Companion Summoning Time Increase %</t>
        </is>
      </c>
      <c r="E576" t="n">
        <v>8</v>
      </c>
      <c r="F576" t="n">
        <v>0.76</v>
      </c>
      <c r="G576" t="b">
        <v>0</v>
      </c>
      <c r="H576">
        <f>Sensitivity!H16</f>
        <v/>
      </c>
    </row>
    <row r="577">
      <c r="A577" t="inlineStr">
        <is>
          <t>boots</t>
        </is>
      </c>
      <c r="B577" t="inlineStr">
        <is>
          <t>legendary</t>
        </is>
      </c>
      <c r="C577" t="n">
        <v>3</v>
      </c>
      <c r="D577" t="inlineStr">
        <is>
          <t>Companion Summoning Time Increase %</t>
        </is>
      </c>
      <c r="E577" t="n">
        <v>12</v>
      </c>
      <c r="F577" t="n">
        <v>0.08</v>
      </c>
      <c r="G577" t="b">
        <v>1</v>
      </c>
      <c r="H577">
        <f>Sensitivity!H16</f>
        <v/>
      </c>
    </row>
    <row r="578">
      <c r="A578" t="inlineStr">
        <is>
          <t>boots</t>
        </is>
      </c>
      <c r="B578" t="inlineStr">
        <is>
          <t>legendary</t>
        </is>
      </c>
      <c r="C578" t="n">
        <v>3</v>
      </c>
      <c r="D578" t="inlineStr">
        <is>
          <t>Companion Summoning Time Increase %</t>
        </is>
      </c>
      <c r="E578" t="n">
        <v>8</v>
      </c>
      <c r="F578" t="n">
        <v>0.92</v>
      </c>
      <c r="G578" t="b">
        <v>0</v>
      </c>
      <c r="H578">
        <f>Sensitivity!H16</f>
        <v/>
      </c>
    </row>
    <row r="579">
      <c r="A579" t="inlineStr">
        <is>
          <t>boots</t>
        </is>
      </c>
      <c r="B579" t="inlineStr">
        <is>
          <t>mystic</t>
        </is>
      </c>
      <c r="C579" t="n">
        <v>1</v>
      </c>
      <c r="D579" t="inlineStr">
        <is>
          <t>Companion Summoning Time Increase %</t>
        </is>
      </c>
      <c r="E579" t="n">
        <v>20</v>
      </c>
      <c r="F579" t="n">
        <v>1</v>
      </c>
      <c r="G579" t="b">
        <v>1</v>
      </c>
      <c r="H579">
        <f>Sensitivity!H16</f>
        <v/>
      </c>
    </row>
    <row r="580">
      <c r="A580" t="inlineStr">
        <is>
          <t>boots</t>
        </is>
      </c>
      <c r="B580" t="inlineStr">
        <is>
          <t>mystic</t>
        </is>
      </c>
      <c r="C580" t="n">
        <v>2</v>
      </c>
      <c r="D580" t="inlineStr">
        <is>
          <t>Companion Summoning Time Increase %</t>
        </is>
      </c>
      <c r="E580" t="n">
        <v>20</v>
      </c>
      <c r="F580" t="n">
        <v>0.24</v>
      </c>
      <c r="G580" t="b">
        <v>1</v>
      </c>
      <c r="H580">
        <f>Sensitivity!H16</f>
        <v/>
      </c>
    </row>
    <row r="581">
      <c r="A581" t="inlineStr">
        <is>
          <t>boots</t>
        </is>
      </c>
      <c r="B581" t="inlineStr">
        <is>
          <t>mystic</t>
        </is>
      </c>
      <c r="C581" t="n">
        <v>2</v>
      </c>
      <c r="D581" t="inlineStr">
        <is>
          <t>Companion Summoning Time Increase %</t>
        </is>
      </c>
      <c r="E581" t="n">
        <v>12</v>
      </c>
      <c r="F581" t="n">
        <v>0.76</v>
      </c>
      <c r="G581" t="b">
        <v>0</v>
      </c>
      <c r="H581">
        <f>Sensitivity!H16</f>
        <v/>
      </c>
    </row>
    <row r="582">
      <c r="A582" t="inlineStr">
        <is>
          <t>boots</t>
        </is>
      </c>
      <c r="B582" t="inlineStr">
        <is>
          <t>mystic</t>
        </is>
      </c>
      <c r="C582" t="n">
        <v>3</v>
      </c>
      <c r="D582" t="inlineStr">
        <is>
          <t>Companion Summoning Time Increase %</t>
        </is>
      </c>
      <c r="E582" t="n">
        <v>20</v>
      </c>
      <c r="F582" t="n">
        <v>0.08</v>
      </c>
      <c r="G582" t="b">
        <v>1</v>
      </c>
      <c r="H582">
        <f>Sensitivity!H16</f>
        <v/>
      </c>
    </row>
    <row r="583">
      <c r="A583" t="inlineStr">
        <is>
          <t>boots</t>
        </is>
      </c>
      <c r="B583" t="inlineStr">
        <is>
          <t>mystic</t>
        </is>
      </c>
      <c r="C583" t="n">
        <v>3</v>
      </c>
      <c r="D583" t="inlineStr">
        <is>
          <t>Companion Summoning Time Increase %</t>
        </is>
      </c>
      <c r="E583" t="n">
        <v>12</v>
      </c>
      <c r="F583" t="n">
        <v>0.92</v>
      </c>
      <c r="G583" t="b">
        <v>0</v>
      </c>
      <c r="H583">
        <f>Sensitivity!H16</f>
        <v/>
      </c>
    </row>
    <row r="584">
      <c r="A584" t="inlineStr">
        <is>
          <t>ring</t>
        </is>
      </c>
      <c r="B584" t="inlineStr">
        <is>
          <t>epic</t>
        </is>
      </c>
      <c r="C584" t="n">
        <v>1</v>
      </c>
      <c r="D584" t="inlineStr">
        <is>
          <t>All Skill Level</t>
        </is>
      </c>
      <c r="E584" t="n">
        <v>5</v>
      </c>
      <c r="F584" t="n">
        <v>1</v>
      </c>
      <c r="G584" t="b">
        <v>1</v>
      </c>
      <c r="H584">
        <f>Sensitivity!H25</f>
        <v/>
      </c>
    </row>
    <row r="585">
      <c r="A585" t="inlineStr">
        <is>
          <t>ring</t>
        </is>
      </c>
      <c r="B585" t="inlineStr">
        <is>
          <t>epic</t>
        </is>
      </c>
      <c r="C585" t="n">
        <v>2</v>
      </c>
      <c r="D585" t="inlineStr">
        <is>
          <t>All Skill Level</t>
        </is>
      </c>
      <c r="E585" t="n">
        <v>5</v>
      </c>
      <c r="F585" t="n">
        <v>0.24</v>
      </c>
      <c r="G585" t="b">
        <v>1</v>
      </c>
      <c r="H585">
        <f>Sensitivity!H25</f>
        <v/>
      </c>
    </row>
    <row r="586">
      <c r="A586" t="inlineStr">
        <is>
          <t>ring</t>
        </is>
      </c>
      <c r="B586" t="inlineStr">
        <is>
          <t>epic</t>
        </is>
      </c>
      <c r="C586" t="n">
        <v>3</v>
      </c>
      <c r="D586" t="inlineStr">
        <is>
          <t>All Skill Level</t>
        </is>
      </c>
      <c r="E586" t="n">
        <v>5</v>
      </c>
      <c r="F586" t="n">
        <v>0.08</v>
      </c>
      <c r="G586" t="b">
        <v>1</v>
      </c>
      <c r="H586">
        <f>Sensitivity!H25</f>
        <v/>
      </c>
    </row>
    <row r="587">
      <c r="A587" t="inlineStr">
        <is>
          <t>ring</t>
        </is>
      </c>
      <c r="B587" t="inlineStr">
        <is>
          <t>unique</t>
        </is>
      </c>
      <c r="C587" t="n">
        <v>1</v>
      </c>
      <c r="D587" t="inlineStr">
        <is>
          <t>All Skill Level</t>
        </is>
      </c>
      <c r="E587" t="n">
        <v>8</v>
      </c>
      <c r="F587" t="n">
        <v>1</v>
      </c>
      <c r="G587" t="b">
        <v>1</v>
      </c>
      <c r="H587">
        <f>Sensitivity!H25</f>
        <v/>
      </c>
    </row>
    <row r="588">
      <c r="A588" t="inlineStr">
        <is>
          <t>ring</t>
        </is>
      </c>
      <c r="B588" t="inlineStr">
        <is>
          <t>unique</t>
        </is>
      </c>
      <c r="C588" t="n">
        <v>2</v>
      </c>
      <c r="D588" t="inlineStr">
        <is>
          <t>All Skill Level</t>
        </is>
      </c>
      <c r="E588" t="n">
        <v>8</v>
      </c>
      <c r="F588" t="n">
        <v>0.24</v>
      </c>
      <c r="G588" t="b">
        <v>1</v>
      </c>
      <c r="H588">
        <f>Sensitivity!H25</f>
        <v/>
      </c>
    </row>
    <row r="589">
      <c r="A589" t="inlineStr">
        <is>
          <t>ring</t>
        </is>
      </c>
      <c r="B589" t="inlineStr">
        <is>
          <t>unique</t>
        </is>
      </c>
      <c r="C589" t="n">
        <v>2</v>
      </c>
      <c r="D589" t="inlineStr">
        <is>
          <t>All Skill Level</t>
        </is>
      </c>
      <c r="E589" t="n">
        <v>5</v>
      </c>
      <c r="F589" t="n">
        <v>0.76</v>
      </c>
      <c r="G589" t="b">
        <v>0</v>
      </c>
      <c r="H589">
        <f>Sensitivity!H25</f>
        <v/>
      </c>
    </row>
    <row r="590">
      <c r="A590" t="inlineStr">
        <is>
          <t>ring</t>
        </is>
      </c>
      <c r="B590" t="inlineStr">
        <is>
          <t>unique</t>
        </is>
      </c>
      <c r="C590" t="n">
        <v>3</v>
      </c>
      <c r="D590" t="inlineStr">
        <is>
          <t>All Skill Level</t>
        </is>
      </c>
      <c r="E590" t="n">
        <v>8</v>
      </c>
      <c r="F590" t="n">
        <v>0.08</v>
      </c>
      <c r="G590" t="b">
        <v>1</v>
      </c>
      <c r="H590">
        <f>Sensitivity!H25</f>
        <v/>
      </c>
    </row>
    <row r="591">
      <c r="A591" t="inlineStr">
        <is>
          <t>ring</t>
        </is>
      </c>
      <c r="B591" t="inlineStr">
        <is>
          <t>unique</t>
        </is>
      </c>
      <c r="C591" t="n">
        <v>3</v>
      </c>
      <c r="D591" t="inlineStr">
        <is>
          <t>All Skill Level</t>
        </is>
      </c>
      <c r="E591" t="n">
        <v>5</v>
      </c>
      <c r="F591" t="n">
        <v>0.92</v>
      </c>
      <c r="G591" t="b">
        <v>0</v>
      </c>
      <c r="H591">
        <f>Sensitivity!H25</f>
        <v/>
      </c>
    </row>
    <row r="592">
      <c r="A592" t="inlineStr">
        <is>
          <t>ring</t>
        </is>
      </c>
      <c r="B592" t="inlineStr">
        <is>
          <t>legendary</t>
        </is>
      </c>
      <c r="C592" t="n">
        <v>1</v>
      </c>
      <c r="D592" t="inlineStr">
        <is>
          <t>All Skill Level</t>
        </is>
      </c>
      <c r="E592" t="n">
        <v>12</v>
      </c>
      <c r="F592" t="n">
        <v>1</v>
      </c>
      <c r="G592" t="b">
        <v>1</v>
      </c>
      <c r="H592">
        <f>Sensitivity!H25</f>
        <v/>
      </c>
    </row>
    <row r="593">
      <c r="A593" t="inlineStr">
        <is>
          <t>ring</t>
        </is>
      </c>
      <c r="B593" t="inlineStr">
        <is>
          <t>legendary</t>
        </is>
      </c>
      <c r="C593" t="n">
        <v>2</v>
      </c>
      <c r="D593" t="inlineStr">
        <is>
          <t>All Skill Level</t>
        </is>
      </c>
      <c r="E593" t="n">
        <v>12</v>
      </c>
      <c r="F593" t="n">
        <v>0.24</v>
      </c>
      <c r="G593" t="b">
        <v>1</v>
      </c>
      <c r="H593">
        <f>Sensitivity!H25</f>
        <v/>
      </c>
    </row>
    <row r="594">
      <c r="A594" t="inlineStr">
        <is>
          <t>ring</t>
        </is>
      </c>
      <c r="B594" t="inlineStr">
        <is>
          <t>legendary</t>
        </is>
      </c>
      <c r="C594" t="n">
        <v>2</v>
      </c>
      <c r="D594" t="inlineStr">
        <is>
          <t>All Skill Level</t>
        </is>
      </c>
      <c r="E594" t="n">
        <v>8</v>
      </c>
      <c r="F594" t="n">
        <v>0.76</v>
      </c>
      <c r="G594" t="b">
        <v>0</v>
      </c>
      <c r="H594">
        <f>Sensitivity!H25</f>
        <v/>
      </c>
    </row>
    <row r="595">
      <c r="A595" t="inlineStr">
        <is>
          <t>ring</t>
        </is>
      </c>
      <c r="B595" t="inlineStr">
        <is>
          <t>legendary</t>
        </is>
      </c>
      <c r="C595" t="n">
        <v>3</v>
      </c>
      <c r="D595" t="inlineStr">
        <is>
          <t>All Skill Level</t>
        </is>
      </c>
      <c r="E595" t="n">
        <v>12</v>
      </c>
      <c r="F595" t="n">
        <v>0.08</v>
      </c>
      <c r="G595" t="b">
        <v>1</v>
      </c>
      <c r="H595">
        <f>Sensitivity!H25</f>
        <v/>
      </c>
    </row>
    <row r="596">
      <c r="A596" t="inlineStr">
        <is>
          <t>ring</t>
        </is>
      </c>
      <c r="B596" t="inlineStr">
        <is>
          <t>legendary</t>
        </is>
      </c>
      <c r="C596" t="n">
        <v>3</v>
      </c>
      <c r="D596" t="inlineStr">
        <is>
          <t>All Skill Level</t>
        </is>
      </c>
      <c r="E596" t="n">
        <v>8</v>
      </c>
      <c r="F596" t="n">
        <v>0.92</v>
      </c>
      <c r="G596" t="b">
        <v>0</v>
      </c>
      <c r="H596">
        <f>Sensitivity!H25</f>
        <v/>
      </c>
    </row>
    <row r="597">
      <c r="A597" t="inlineStr">
        <is>
          <t>ring</t>
        </is>
      </c>
      <c r="B597" t="inlineStr">
        <is>
          <t>mystic</t>
        </is>
      </c>
      <c r="C597" t="n">
        <v>1</v>
      </c>
      <c r="D597" t="inlineStr">
        <is>
          <t>All Skill Level</t>
        </is>
      </c>
      <c r="E597" t="n">
        <v>16</v>
      </c>
      <c r="F597" t="n">
        <v>1</v>
      </c>
      <c r="G597" t="b">
        <v>1</v>
      </c>
      <c r="H597">
        <f>Sensitivity!H25</f>
        <v/>
      </c>
    </row>
    <row r="598">
      <c r="A598" t="inlineStr">
        <is>
          <t>ring</t>
        </is>
      </c>
      <c r="B598" t="inlineStr">
        <is>
          <t>mystic</t>
        </is>
      </c>
      <c r="C598" t="n">
        <v>2</v>
      </c>
      <c r="D598" t="inlineStr">
        <is>
          <t>All Skill Level</t>
        </is>
      </c>
      <c r="E598" t="n">
        <v>16</v>
      </c>
      <c r="F598" t="n">
        <v>0.24</v>
      </c>
      <c r="G598" t="b">
        <v>1</v>
      </c>
      <c r="H598">
        <f>Sensitivity!H25</f>
        <v/>
      </c>
    </row>
    <row r="599">
      <c r="A599" t="inlineStr">
        <is>
          <t>ring</t>
        </is>
      </c>
      <c r="B599" t="inlineStr">
        <is>
          <t>mystic</t>
        </is>
      </c>
      <c r="C599" t="n">
        <v>2</v>
      </c>
      <c r="D599" t="inlineStr">
        <is>
          <t>All Skill Level</t>
        </is>
      </c>
      <c r="E599" t="n">
        <v>12</v>
      </c>
      <c r="F599" t="n">
        <v>0.76</v>
      </c>
      <c r="G599" t="b">
        <v>0</v>
      </c>
      <c r="H599">
        <f>Sensitivity!H25</f>
        <v/>
      </c>
    </row>
    <row r="600">
      <c r="A600" t="inlineStr">
        <is>
          <t>ring</t>
        </is>
      </c>
      <c r="B600" t="inlineStr">
        <is>
          <t>mystic</t>
        </is>
      </c>
      <c r="C600" t="n">
        <v>3</v>
      </c>
      <c r="D600" t="inlineStr">
        <is>
          <t>All Skill Level</t>
        </is>
      </c>
      <c r="E600" t="n">
        <v>16</v>
      </c>
      <c r="F600" t="n">
        <v>0.08</v>
      </c>
      <c r="G600" t="b">
        <v>1</v>
      </c>
      <c r="H600">
        <f>Sensitivity!H25</f>
        <v/>
      </c>
    </row>
    <row r="601">
      <c r="A601" t="inlineStr">
        <is>
          <t>ring</t>
        </is>
      </c>
      <c r="B601" t="inlineStr">
        <is>
          <t>mystic</t>
        </is>
      </c>
      <c r="C601" t="n">
        <v>3</v>
      </c>
      <c r="D601" t="inlineStr">
        <is>
          <t>All Skill Level</t>
        </is>
      </c>
      <c r="E601" t="n">
        <v>12</v>
      </c>
      <c r="F601" t="n">
        <v>0.92</v>
      </c>
      <c r="G601" t="b">
        <v>0</v>
      </c>
      <c r="H601">
        <f>Sensitivity!H25</f>
        <v/>
      </c>
    </row>
    <row r="602">
      <c r="A602" t="inlineStr">
        <is>
          <t>neck</t>
        </is>
      </c>
      <c r="B602" t="inlineStr">
        <is>
          <t>epic</t>
        </is>
      </c>
      <c r="C602" t="n">
        <v>1</v>
      </c>
      <c r="D602" t="inlineStr">
        <is>
          <t>All Skill Level</t>
        </is>
      </c>
      <c r="E602" t="n">
        <v>5</v>
      </c>
      <c r="F602" t="n">
        <v>1</v>
      </c>
      <c r="G602" t="b">
        <v>1</v>
      </c>
      <c r="H602">
        <f>Sensitivity!H25</f>
        <v/>
      </c>
    </row>
    <row r="603">
      <c r="A603" t="inlineStr">
        <is>
          <t>neck</t>
        </is>
      </c>
      <c r="B603" t="inlineStr">
        <is>
          <t>epic</t>
        </is>
      </c>
      <c r="C603" t="n">
        <v>2</v>
      </c>
      <c r="D603" t="inlineStr">
        <is>
          <t>All Skill Level</t>
        </is>
      </c>
      <c r="E603" t="n">
        <v>5</v>
      </c>
      <c r="F603" t="n">
        <v>0.24</v>
      </c>
      <c r="G603" t="b">
        <v>1</v>
      </c>
      <c r="H603">
        <f>Sensitivity!H25</f>
        <v/>
      </c>
    </row>
    <row r="604">
      <c r="A604" t="inlineStr">
        <is>
          <t>neck</t>
        </is>
      </c>
      <c r="B604" t="inlineStr">
        <is>
          <t>epic</t>
        </is>
      </c>
      <c r="C604" t="n">
        <v>3</v>
      </c>
      <c r="D604" t="inlineStr">
        <is>
          <t>All Skill Level</t>
        </is>
      </c>
      <c r="E604" t="n">
        <v>5</v>
      </c>
      <c r="F604" t="n">
        <v>0.08</v>
      </c>
      <c r="G604" t="b">
        <v>1</v>
      </c>
      <c r="H604">
        <f>Sensitivity!H25</f>
        <v/>
      </c>
    </row>
    <row r="605">
      <c r="A605" t="inlineStr">
        <is>
          <t>neck</t>
        </is>
      </c>
      <c r="B605" t="inlineStr">
        <is>
          <t>unique</t>
        </is>
      </c>
      <c r="C605" t="n">
        <v>1</v>
      </c>
      <c r="D605" t="inlineStr">
        <is>
          <t>All Skill Level</t>
        </is>
      </c>
      <c r="E605" t="n">
        <v>8</v>
      </c>
      <c r="F605" t="n">
        <v>1</v>
      </c>
      <c r="G605" t="b">
        <v>1</v>
      </c>
      <c r="H605">
        <f>Sensitivity!H25</f>
        <v/>
      </c>
    </row>
    <row r="606">
      <c r="A606" t="inlineStr">
        <is>
          <t>neck</t>
        </is>
      </c>
      <c r="B606" t="inlineStr">
        <is>
          <t>unique</t>
        </is>
      </c>
      <c r="C606" t="n">
        <v>2</v>
      </c>
      <c r="D606" t="inlineStr">
        <is>
          <t>All Skill Level</t>
        </is>
      </c>
      <c r="E606" t="n">
        <v>8</v>
      </c>
      <c r="F606" t="n">
        <v>0.24</v>
      </c>
      <c r="G606" t="b">
        <v>1</v>
      </c>
      <c r="H606">
        <f>Sensitivity!H25</f>
        <v/>
      </c>
    </row>
    <row r="607">
      <c r="A607" t="inlineStr">
        <is>
          <t>neck</t>
        </is>
      </c>
      <c r="B607" t="inlineStr">
        <is>
          <t>unique</t>
        </is>
      </c>
      <c r="C607" t="n">
        <v>2</v>
      </c>
      <c r="D607" t="inlineStr">
        <is>
          <t>All Skill Level</t>
        </is>
      </c>
      <c r="E607" t="n">
        <v>5</v>
      </c>
      <c r="F607" t="n">
        <v>0.76</v>
      </c>
      <c r="G607" t="b">
        <v>0</v>
      </c>
      <c r="H607">
        <f>Sensitivity!H25</f>
        <v/>
      </c>
    </row>
    <row r="608">
      <c r="A608" t="inlineStr">
        <is>
          <t>neck</t>
        </is>
      </c>
      <c r="B608" t="inlineStr">
        <is>
          <t>unique</t>
        </is>
      </c>
      <c r="C608" t="n">
        <v>3</v>
      </c>
      <c r="D608" t="inlineStr">
        <is>
          <t>All Skill Level</t>
        </is>
      </c>
      <c r="E608" t="n">
        <v>8</v>
      </c>
      <c r="F608" t="n">
        <v>0.08</v>
      </c>
      <c r="G608" t="b">
        <v>1</v>
      </c>
      <c r="H608">
        <f>Sensitivity!H25</f>
        <v/>
      </c>
    </row>
    <row r="609">
      <c r="A609" t="inlineStr">
        <is>
          <t>neck</t>
        </is>
      </c>
      <c r="B609" t="inlineStr">
        <is>
          <t>unique</t>
        </is>
      </c>
      <c r="C609" t="n">
        <v>3</v>
      </c>
      <c r="D609" t="inlineStr">
        <is>
          <t>All Skill Level</t>
        </is>
      </c>
      <c r="E609" t="n">
        <v>5</v>
      </c>
      <c r="F609" t="n">
        <v>0.92</v>
      </c>
      <c r="G609" t="b">
        <v>0</v>
      </c>
      <c r="H609">
        <f>Sensitivity!H25</f>
        <v/>
      </c>
    </row>
    <row r="610">
      <c r="A610" t="inlineStr">
        <is>
          <t>neck</t>
        </is>
      </c>
      <c r="B610" t="inlineStr">
        <is>
          <t>legendary</t>
        </is>
      </c>
      <c r="C610" t="n">
        <v>1</v>
      </c>
      <c r="D610" t="inlineStr">
        <is>
          <t>All Skill Level</t>
        </is>
      </c>
      <c r="E610" t="n">
        <v>12</v>
      </c>
      <c r="F610" t="n">
        <v>1</v>
      </c>
      <c r="G610" t="b">
        <v>1</v>
      </c>
      <c r="H610">
        <f>Sensitivity!H25</f>
        <v/>
      </c>
    </row>
    <row r="611">
      <c r="A611" t="inlineStr">
        <is>
          <t>neck</t>
        </is>
      </c>
      <c r="B611" t="inlineStr">
        <is>
          <t>legendary</t>
        </is>
      </c>
      <c r="C611" t="n">
        <v>2</v>
      </c>
      <c r="D611" t="inlineStr">
        <is>
          <t>All Skill Level</t>
        </is>
      </c>
      <c r="E611" t="n">
        <v>12</v>
      </c>
      <c r="F611" t="n">
        <v>0.24</v>
      </c>
      <c r="G611" t="b">
        <v>1</v>
      </c>
      <c r="H611">
        <f>Sensitivity!H25</f>
        <v/>
      </c>
    </row>
    <row r="612">
      <c r="A612" t="inlineStr">
        <is>
          <t>neck</t>
        </is>
      </c>
      <c r="B612" t="inlineStr">
        <is>
          <t>legendary</t>
        </is>
      </c>
      <c r="C612" t="n">
        <v>2</v>
      </c>
      <c r="D612" t="inlineStr">
        <is>
          <t>All Skill Level</t>
        </is>
      </c>
      <c r="E612" t="n">
        <v>8</v>
      </c>
      <c r="F612" t="n">
        <v>0.76</v>
      </c>
      <c r="G612" t="b">
        <v>0</v>
      </c>
      <c r="H612">
        <f>Sensitivity!H25</f>
        <v/>
      </c>
    </row>
    <row r="613">
      <c r="A613" t="inlineStr">
        <is>
          <t>neck</t>
        </is>
      </c>
      <c r="B613" t="inlineStr">
        <is>
          <t>legendary</t>
        </is>
      </c>
      <c r="C613" t="n">
        <v>3</v>
      </c>
      <c r="D613" t="inlineStr">
        <is>
          <t>All Skill Level</t>
        </is>
      </c>
      <c r="E613" t="n">
        <v>12</v>
      </c>
      <c r="F613" t="n">
        <v>0.08</v>
      </c>
      <c r="G613" t="b">
        <v>1</v>
      </c>
      <c r="H613">
        <f>Sensitivity!H25</f>
        <v/>
      </c>
    </row>
    <row r="614">
      <c r="A614" t="inlineStr">
        <is>
          <t>neck</t>
        </is>
      </c>
      <c r="B614" t="inlineStr">
        <is>
          <t>legendary</t>
        </is>
      </c>
      <c r="C614" t="n">
        <v>3</v>
      </c>
      <c r="D614" t="inlineStr">
        <is>
          <t>All Skill Level</t>
        </is>
      </c>
      <c r="E614" t="n">
        <v>8</v>
      </c>
      <c r="F614" t="n">
        <v>0.92</v>
      </c>
      <c r="G614" t="b">
        <v>0</v>
      </c>
      <c r="H614">
        <f>Sensitivity!H25</f>
        <v/>
      </c>
    </row>
    <row r="615">
      <c r="A615" t="inlineStr">
        <is>
          <t>neck</t>
        </is>
      </c>
      <c r="B615" t="inlineStr">
        <is>
          <t>mystic</t>
        </is>
      </c>
      <c r="C615" t="n">
        <v>1</v>
      </c>
      <c r="D615" t="inlineStr">
        <is>
          <t>All Skill Level</t>
        </is>
      </c>
      <c r="E615" t="n">
        <v>16</v>
      </c>
      <c r="F615" t="n">
        <v>1</v>
      </c>
      <c r="G615" t="b">
        <v>1</v>
      </c>
      <c r="H615">
        <f>Sensitivity!H25</f>
        <v/>
      </c>
    </row>
    <row r="616">
      <c r="A616" t="inlineStr">
        <is>
          <t>neck</t>
        </is>
      </c>
      <c r="B616" t="inlineStr">
        <is>
          <t>mystic</t>
        </is>
      </c>
      <c r="C616" t="n">
        <v>2</v>
      </c>
      <c r="D616" t="inlineStr">
        <is>
          <t>All Skill Level</t>
        </is>
      </c>
      <c r="E616" t="n">
        <v>16</v>
      </c>
      <c r="F616" t="n">
        <v>0.24</v>
      </c>
      <c r="G616" t="b">
        <v>1</v>
      </c>
      <c r="H616">
        <f>Sensitivity!H25</f>
        <v/>
      </c>
    </row>
    <row r="617">
      <c r="A617" t="inlineStr">
        <is>
          <t>neck</t>
        </is>
      </c>
      <c r="B617" t="inlineStr">
        <is>
          <t>mystic</t>
        </is>
      </c>
      <c r="C617" t="n">
        <v>2</v>
      </c>
      <c r="D617" t="inlineStr">
        <is>
          <t>All Skill Level</t>
        </is>
      </c>
      <c r="E617" t="n">
        <v>12</v>
      </c>
      <c r="F617" t="n">
        <v>0.76</v>
      </c>
      <c r="G617" t="b">
        <v>0</v>
      </c>
      <c r="H617">
        <f>Sensitivity!H25</f>
        <v/>
      </c>
    </row>
    <row r="618">
      <c r="A618" t="inlineStr">
        <is>
          <t>neck</t>
        </is>
      </c>
      <c r="B618" t="inlineStr">
        <is>
          <t>mystic</t>
        </is>
      </c>
      <c r="C618" t="n">
        <v>3</v>
      </c>
      <c r="D618" t="inlineStr">
        <is>
          <t>All Skill Level</t>
        </is>
      </c>
      <c r="E618" t="n">
        <v>16</v>
      </c>
      <c r="F618" t="n">
        <v>0.08</v>
      </c>
      <c r="G618" t="b">
        <v>1</v>
      </c>
      <c r="H618">
        <f>Sensitivity!H25</f>
        <v/>
      </c>
    </row>
    <row r="619">
      <c r="A619" t="inlineStr">
        <is>
          <t>neck</t>
        </is>
      </c>
      <c r="B619" t="inlineStr">
        <is>
          <t>mystic</t>
        </is>
      </c>
      <c r="C619" t="n">
        <v>3</v>
      </c>
      <c r="D619" t="inlineStr">
        <is>
          <t>All Skill Level</t>
        </is>
      </c>
      <c r="E619" t="n">
        <v>12</v>
      </c>
      <c r="F619" t="n">
        <v>0.92</v>
      </c>
      <c r="G619" t="b">
        <v>0</v>
      </c>
      <c r="H619">
        <f>Sensitivity!H25</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Sensitivity!H19</f>
        <v/>
      </c>
    </row>
    <row r="639">
      <c r="A639" t="inlineStr">
        <is>
          <t>ring2</t>
        </is>
      </c>
      <c r="B639" t="inlineStr">
        <is>
          <t>epic</t>
        </is>
      </c>
      <c r="C639" t="n">
        <v>2</v>
      </c>
      <c r="D639" t="inlineStr">
        <is>
          <t>Basic Attack Damage %</t>
        </is>
      </c>
      <c r="E639" t="n">
        <v>8</v>
      </c>
      <c r="F639" t="n">
        <v>0.24</v>
      </c>
      <c r="G639" t="b">
        <v>1</v>
      </c>
      <c r="H639">
        <f>Sensitivity!H19</f>
        <v/>
      </c>
    </row>
    <row r="640">
      <c r="A640" t="inlineStr">
        <is>
          <t>ring2</t>
        </is>
      </c>
      <c r="B640" t="inlineStr">
        <is>
          <t>epic</t>
        </is>
      </c>
      <c r="C640" t="n">
        <v>3</v>
      </c>
      <c r="D640" t="inlineStr">
        <is>
          <t>Basic Attack Damage %</t>
        </is>
      </c>
      <c r="E640" t="n">
        <v>8</v>
      </c>
      <c r="F640" t="n">
        <v>0.08</v>
      </c>
      <c r="G640" t="b">
        <v>1</v>
      </c>
      <c r="H640">
        <f>Sensitivity!H19</f>
        <v/>
      </c>
    </row>
    <row r="641">
      <c r="A641" t="inlineStr">
        <is>
          <t>ring2</t>
        </is>
      </c>
      <c r="B641" t="inlineStr">
        <is>
          <t>unique</t>
        </is>
      </c>
      <c r="C641" t="n">
        <v>1</v>
      </c>
      <c r="D641" t="inlineStr">
        <is>
          <t>Basic Attack Damage %</t>
        </is>
      </c>
      <c r="E641" t="n">
        <v>14</v>
      </c>
      <c r="F641" t="n">
        <v>1</v>
      </c>
      <c r="G641" t="b">
        <v>1</v>
      </c>
      <c r="H641">
        <f>Sensitivity!H19</f>
        <v/>
      </c>
    </row>
    <row r="642">
      <c r="A642" t="inlineStr">
        <is>
          <t>ring2</t>
        </is>
      </c>
      <c r="B642" t="inlineStr">
        <is>
          <t>unique</t>
        </is>
      </c>
      <c r="C642" t="n">
        <v>2</v>
      </c>
      <c r="D642" t="inlineStr">
        <is>
          <t>Basic Attack Damage %</t>
        </is>
      </c>
      <c r="E642" t="n">
        <v>14</v>
      </c>
      <c r="F642" t="n">
        <v>0.24</v>
      </c>
      <c r="G642" t="b">
        <v>1</v>
      </c>
      <c r="H642">
        <f>Sensitivity!H19</f>
        <v/>
      </c>
    </row>
    <row r="643">
      <c r="A643" t="inlineStr">
        <is>
          <t>ring2</t>
        </is>
      </c>
      <c r="B643" t="inlineStr">
        <is>
          <t>unique</t>
        </is>
      </c>
      <c r="C643" t="n">
        <v>2</v>
      </c>
      <c r="D643" t="inlineStr">
        <is>
          <t>Basic Attack Damage %</t>
        </is>
      </c>
      <c r="E643" t="n">
        <v>8</v>
      </c>
      <c r="F643" t="n">
        <v>0.76</v>
      </c>
      <c r="G643" t="b">
        <v>0</v>
      </c>
      <c r="H643">
        <f>Sensitivity!H19</f>
        <v/>
      </c>
    </row>
    <row r="644">
      <c r="A644" t="inlineStr">
        <is>
          <t>ring2</t>
        </is>
      </c>
      <c r="B644" t="inlineStr">
        <is>
          <t>unique</t>
        </is>
      </c>
      <c r="C644" t="n">
        <v>3</v>
      </c>
      <c r="D644" t="inlineStr">
        <is>
          <t>Basic Attack Damage %</t>
        </is>
      </c>
      <c r="E644" t="n">
        <v>14</v>
      </c>
      <c r="F644" t="n">
        <v>0.08</v>
      </c>
      <c r="G644" t="b">
        <v>1</v>
      </c>
      <c r="H644">
        <f>Sensitivity!H19</f>
        <v/>
      </c>
    </row>
    <row r="645">
      <c r="A645" t="inlineStr">
        <is>
          <t>ring2</t>
        </is>
      </c>
      <c r="B645" t="inlineStr">
        <is>
          <t>unique</t>
        </is>
      </c>
      <c r="C645" t="n">
        <v>3</v>
      </c>
      <c r="D645" t="inlineStr">
        <is>
          <t>Basic Attack Damage %</t>
        </is>
      </c>
      <c r="E645" t="n">
        <v>8</v>
      </c>
      <c r="F645" t="n">
        <v>0.92</v>
      </c>
      <c r="G645" t="b">
        <v>0</v>
      </c>
      <c r="H645">
        <f>Sensitivity!H19</f>
        <v/>
      </c>
    </row>
    <row r="646">
      <c r="A646" t="inlineStr">
        <is>
          <t>ring2</t>
        </is>
      </c>
      <c r="B646" t="inlineStr">
        <is>
          <t>legendary</t>
        </is>
      </c>
      <c r="C646" t="n">
        <v>1</v>
      </c>
      <c r="D646" t="inlineStr">
        <is>
          <t>Basic Attack Damage %</t>
        </is>
      </c>
      <c r="E646" t="n">
        <v>21</v>
      </c>
      <c r="F646" t="n">
        <v>1</v>
      </c>
      <c r="G646" t="b">
        <v>1</v>
      </c>
      <c r="H646">
        <f>Sensitivity!H19</f>
        <v/>
      </c>
    </row>
    <row r="647">
      <c r="A647" t="inlineStr">
        <is>
          <t>ring2</t>
        </is>
      </c>
      <c r="B647" t="inlineStr">
        <is>
          <t>legendary</t>
        </is>
      </c>
      <c r="C647" t="n">
        <v>2</v>
      </c>
      <c r="D647" t="inlineStr">
        <is>
          <t>Basic Attack Damage %</t>
        </is>
      </c>
      <c r="E647" t="n">
        <v>21</v>
      </c>
      <c r="F647" t="n">
        <v>0.24</v>
      </c>
      <c r="G647" t="b">
        <v>1</v>
      </c>
      <c r="H647">
        <f>Sensitivity!H19</f>
        <v/>
      </c>
    </row>
    <row r="648">
      <c r="A648" t="inlineStr">
        <is>
          <t>ring2</t>
        </is>
      </c>
      <c r="B648" t="inlineStr">
        <is>
          <t>legendary</t>
        </is>
      </c>
      <c r="C648" t="n">
        <v>2</v>
      </c>
      <c r="D648" t="inlineStr">
        <is>
          <t>Basic Attack Damage %</t>
        </is>
      </c>
      <c r="E648" t="n">
        <v>14</v>
      </c>
      <c r="F648" t="n">
        <v>0.76</v>
      </c>
      <c r="G648" t="b">
        <v>0</v>
      </c>
      <c r="H648">
        <f>Sensitivity!H19</f>
        <v/>
      </c>
    </row>
    <row r="649">
      <c r="A649" t="inlineStr">
        <is>
          <t>ring2</t>
        </is>
      </c>
      <c r="B649" t="inlineStr">
        <is>
          <t>legendary</t>
        </is>
      </c>
      <c r="C649" t="n">
        <v>3</v>
      </c>
      <c r="D649" t="inlineStr">
        <is>
          <t>Basic Attack Damage %</t>
        </is>
      </c>
      <c r="E649" t="n">
        <v>21</v>
      </c>
      <c r="F649" t="n">
        <v>0.08</v>
      </c>
      <c r="G649" t="b">
        <v>1</v>
      </c>
      <c r="H649">
        <f>Sensitivity!H19</f>
        <v/>
      </c>
    </row>
    <row r="650">
      <c r="A650" t="inlineStr">
        <is>
          <t>ring2</t>
        </is>
      </c>
      <c r="B650" t="inlineStr">
        <is>
          <t>legendary</t>
        </is>
      </c>
      <c r="C650" t="n">
        <v>3</v>
      </c>
      <c r="D650" t="inlineStr">
        <is>
          <t>Basic Attack Damage %</t>
        </is>
      </c>
      <c r="E650" t="n">
        <v>14</v>
      </c>
      <c r="F650" t="n">
        <v>0.92</v>
      </c>
      <c r="G650" t="b">
        <v>0</v>
      </c>
      <c r="H650">
        <f>Sensitivity!H19</f>
        <v/>
      </c>
    </row>
    <row r="651">
      <c r="A651" t="inlineStr">
        <is>
          <t>ring2</t>
        </is>
      </c>
      <c r="B651" t="inlineStr">
        <is>
          <t>mystic</t>
        </is>
      </c>
      <c r="C651" t="n">
        <v>1</v>
      </c>
      <c r="D651" t="inlineStr">
        <is>
          <t>Basic Attack Damage %</t>
        </is>
      </c>
      <c r="E651" t="n">
        <v>30</v>
      </c>
      <c r="F651" t="n">
        <v>1</v>
      </c>
      <c r="G651" t="b">
        <v>1</v>
      </c>
      <c r="H651">
        <f>Sensitivity!H19</f>
        <v/>
      </c>
    </row>
    <row r="652">
      <c r="A652" t="inlineStr">
        <is>
          <t>ring2</t>
        </is>
      </c>
      <c r="B652" t="inlineStr">
        <is>
          <t>mystic</t>
        </is>
      </c>
      <c r="C652" t="n">
        <v>2</v>
      </c>
      <c r="D652" t="inlineStr">
        <is>
          <t>Basic Attack Damage %</t>
        </is>
      </c>
      <c r="E652" t="n">
        <v>30</v>
      </c>
      <c r="F652" t="n">
        <v>0.24</v>
      </c>
      <c r="G652" t="b">
        <v>1</v>
      </c>
      <c r="H652">
        <f>Sensitivity!H19</f>
        <v/>
      </c>
    </row>
    <row r="653">
      <c r="A653" t="inlineStr">
        <is>
          <t>ring2</t>
        </is>
      </c>
      <c r="B653" t="inlineStr">
        <is>
          <t>mystic</t>
        </is>
      </c>
      <c r="C653" t="n">
        <v>2</v>
      </c>
      <c r="D653" t="inlineStr">
        <is>
          <t>Basic Attack Damage %</t>
        </is>
      </c>
      <c r="E653" t="n">
        <v>21</v>
      </c>
      <c r="F653" t="n">
        <v>0.76</v>
      </c>
      <c r="G653" t="b">
        <v>0</v>
      </c>
      <c r="H653">
        <f>Sensitivity!H19</f>
        <v/>
      </c>
    </row>
    <row r="654">
      <c r="A654" t="inlineStr">
        <is>
          <t>ring2</t>
        </is>
      </c>
      <c r="B654" t="inlineStr">
        <is>
          <t>mystic</t>
        </is>
      </c>
      <c r="C654" t="n">
        <v>3</v>
      </c>
      <c r="D654" t="inlineStr">
        <is>
          <t>Basic Attack Damage %</t>
        </is>
      </c>
      <c r="E654" t="n">
        <v>30</v>
      </c>
      <c r="F654" t="n">
        <v>0.08</v>
      </c>
      <c r="G654" t="b">
        <v>1</v>
      </c>
      <c r="H654">
        <f>Sensitivity!H19</f>
        <v/>
      </c>
    </row>
    <row r="655">
      <c r="A655" t="inlineStr">
        <is>
          <t>ring2</t>
        </is>
      </c>
      <c r="B655" t="inlineStr">
        <is>
          <t>mystic</t>
        </is>
      </c>
      <c r="C655" t="n">
        <v>3</v>
      </c>
      <c r="D655" t="inlineStr">
        <is>
          <t>Basic Attack Damage %</t>
        </is>
      </c>
      <c r="E655" t="n">
        <v>21</v>
      </c>
      <c r="F655" t="n">
        <v>0.92</v>
      </c>
      <c r="G655" t="b">
        <v>0</v>
      </c>
      <c r="H655">
        <f>Sensitivity!H19</f>
        <v/>
      </c>
    </row>
    <row r="656">
      <c r="A656" t="inlineStr">
        <is>
          <t>face</t>
        </is>
      </c>
      <c r="B656" t="inlineStr">
        <is>
          <t>epic</t>
        </is>
      </c>
      <c r="C656" t="n">
        <v>1</v>
      </c>
      <c r="D656" t="inlineStr">
        <is>
          <t>Final Damage %</t>
        </is>
      </c>
      <c r="E656" t="n">
        <v>3</v>
      </c>
      <c r="F656" t="n">
        <v>1</v>
      </c>
      <c r="G656" t="b">
        <v>1</v>
      </c>
      <c r="H656">
        <f>Sensitivity!H12</f>
        <v/>
      </c>
    </row>
    <row r="657">
      <c r="A657" t="inlineStr">
        <is>
          <t>face</t>
        </is>
      </c>
      <c r="B657" t="inlineStr">
        <is>
          <t>epic</t>
        </is>
      </c>
      <c r="C657" t="n">
        <v>2</v>
      </c>
      <c r="D657" t="inlineStr">
        <is>
          <t>Final Damage %</t>
        </is>
      </c>
      <c r="E657" t="n">
        <v>3</v>
      </c>
      <c r="F657" t="n">
        <v>0.24</v>
      </c>
      <c r="G657" t="b">
        <v>1</v>
      </c>
      <c r="H657">
        <f>Sensitivity!H12</f>
        <v/>
      </c>
    </row>
    <row r="658">
      <c r="A658" t="inlineStr">
        <is>
          <t>face</t>
        </is>
      </c>
      <c r="B658" t="inlineStr">
        <is>
          <t>epic</t>
        </is>
      </c>
      <c r="C658" t="n">
        <v>3</v>
      </c>
      <c r="D658" t="inlineStr">
        <is>
          <t>Final Damage %</t>
        </is>
      </c>
      <c r="E658" t="n">
        <v>3</v>
      </c>
      <c r="F658" t="n">
        <v>0.08</v>
      </c>
      <c r="G658" t="b">
        <v>1</v>
      </c>
      <c r="H658">
        <f>Sensitivity!H12</f>
        <v/>
      </c>
    </row>
    <row r="659">
      <c r="A659" t="inlineStr">
        <is>
          <t>face</t>
        </is>
      </c>
      <c r="B659" t="inlineStr">
        <is>
          <t>unique</t>
        </is>
      </c>
      <c r="C659" t="n">
        <v>1</v>
      </c>
      <c r="D659" t="inlineStr">
        <is>
          <t>Final Damage %</t>
        </is>
      </c>
      <c r="E659" t="n">
        <v>5</v>
      </c>
      <c r="F659" t="n">
        <v>1</v>
      </c>
      <c r="G659" t="b">
        <v>1</v>
      </c>
      <c r="H659">
        <f>Sensitivity!H12</f>
        <v/>
      </c>
    </row>
    <row r="660">
      <c r="A660" t="inlineStr">
        <is>
          <t>face</t>
        </is>
      </c>
      <c r="B660" t="inlineStr">
        <is>
          <t>unique</t>
        </is>
      </c>
      <c r="C660" t="n">
        <v>2</v>
      </c>
      <c r="D660" t="inlineStr">
        <is>
          <t>Final Damage %</t>
        </is>
      </c>
      <c r="E660" t="n">
        <v>5</v>
      </c>
      <c r="F660" t="n">
        <v>0.24</v>
      </c>
      <c r="G660" t="b">
        <v>1</v>
      </c>
      <c r="H660">
        <f>Sensitivity!H12</f>
        <v/>
      </c>
    </row>
    <row r="661">
      <c r="A661" t="inlineStr">
        <is>
          <t>face</t>
        </is>
      </c>
      <c r="B661" t="inlineStr">
        <is>
          <t>unique</t>
        </is>
      </c>
      <c r="C661" t="n">
        <v>2</v>
      </c>
      <c r="D661" t="inlineStr">
        <is>
          <t>Final Damage %</t>
        </is>
      </c>
      <c r="E661" t="n">
        <v>3</v>
      </c>
      <c r="F661" t="n">
        <v>0.76</v>
      </c>
      <c r="G661" t="b">
        <v>0</v>
      </c>
      <c r="H661">
        <f>Sensitivity!H12</f>
        <v/>
      </c>
    </row>
    <row r="662">
      <c r="A662" t="inlineStr">
        <is>
          <t>face</t>
        </is>
      </c>
      <c r="B662" t="inlineStr">
        <is>
          <t>unique</t>
        </is>
      </c>
      <c r="C662" t="n">
        <v>3</v>
      </c>
      <c r="D662" t="inlineStr">
        <is>
          <t>Final Damage %</t>
        </is>
      </c>
      <c r="E662" t="n">
        <v>5</v>
      </c>
      <c r="F662" t="n">
        <v>0.08</v>
      </c>
      <c r="G662" t="b">
        <v>1</v>
      </c>
      <c r="H662">
        <f>Sensitivity!H12</f>
        <v/>
      </c>
    </row>
    <row r="663">
      <c r="A663" t="inlineStr">
        <is>
          <t>face</t>
        </is>
      </c>
      <c r="B663" t="inlineStr">
        <is>
          <t>unique</t>
        </is>
      </c>
      <c r="C663" t="n">
        <v>3</v>
      </c>
      <c r="D663" t="inlineStr">
        <is>
          <t>Final Damage %</t>
        </is>
      </c>
      <c r="E663" t="n">
        <v>3</v>
      </c>
      <c r="F663" t="n">
        <v>0.92</v>
      </c>
      <c r="G663" t="b">
        <v>0</v>
      </c>
      <c r="H663">
        <f>Sensitivity!H12</f>
        <v/>
      </c>
    </row>
    <row r="664">
      <c r="A664" t="inlineStr">
        <is>
          <t>face</t>
        </is>
      </c>
      <c r="B664" t="inlineStr">
        <is>
          <t>legendary</t>
        </is>
      </c>
      <c r="C664" t="n">
        <v>1</v>
      </c>
      <c r="D664" t="inlineStr">
        <is>
          <t>Final Damage %</t>
        </is>
      </c>
      <c r="E664" t="n">
        <v>8</v>
      </c>
      <c r="F664" t="n">
        <v>1</v>
      </c>
      <c r="G664" t="b">
        <v>1</v>
      </c>
      <c r="H664">
        <f>Sensitivity!H12</f>
        <v/>
      </c>
    </row>
    <row r="665">
      <c r="A665" t="inlineStr">
        <is>
          <t>face</t>
        </is>
      </c>
      <c r="B665" t="inlineStr">
        <is>
          <t>legendary</t>
        </is>
      </c>
      <c r="C665" t="n">
        <v>2</v>
      </c>
      <c r="D665" t="inlineStr">
        <is>
          <t>Final Damage %</t>
        </is>
      </c>
      <c r="E665" t="n">
        <v>8</v>
      </c>
      <c r="F665" t="n">
        <v>0.24</v>
      </c>
      <c r="G665" t="b">
        <v>1</v>
      </c>
      <c r="H665">
        <f>Sensitivity!H12</f>
        <v/>
      </c>
    </row>
    <row r="666">
      <c r="A666" t="inlineStr">
        <is>
          <t>face</t>
        </is>
      </c>
      <c r="B666" t="inlineStr">
        <is>
          <t>legendary</t>
        </is>
      </c>
      <c r="C666" t="n">
        <v>2</v>
      </c>
      <c r="D666" t="inlineStr">
        <is>
          <t>Final Damage %</t>
        </is>
      </c>
      <c r="E666" t="n">
        <v>5</v>
      </c>
      <c r="F666" t="n">
        <v>0.76</v>
      </c>
      <c r="G666" t="b">
        <v>0</v>
      </c>
      <c r="H666">
        <f>Sensitivity!H12</f>
        <v/>
      </c>
    </row>
    <row r="667">
      <c r="A667" t="inlineStr">
        <is>
          <t>face</t>
        </is>
      </c>
      <c r="B667" t="inlineStr">
        <is>
          <t>legendary</t>
        </is>
      </c>
      <c r="C667" t="n">
        <v>3</v>
      </c>
      <c r="D667" t="inlineStr">
        <is>
          <t>Final Damage %</t>
        </is>
      </c>
      <c r="E667" t="n">
        <v>8</v>
      </c>
      <c r="F667" t="n">
        <v>0.08</v>
      </c>
      <c r="G667" t="b">
        <v>1</v>
      </c>
      <c r="H667">
        <f>Sensitivity!H12</f>
        <v/>
      </c>
    </row>
    <row r="668">
      <c r="A668" t="inlineStr">
        <is>
          <t>face</t>
        </is>
      </c>
      <c r="B668" t="inlineStr">
        <is>
          <t>legendary</t>
        </is>
      </c>
      <c r="C668" t="n">
        <v>3</v>
      </c>
      <c r="D668" t="inlineStr">
        <is>
          <t>Final Damage %</t>
        </is>
      </c>
      <c r="E668" t="n">
        <v>5</v>
      </c>
      <c r="F668" t="n">
        <v>0.92</v>
      </c>
      <c r="G668" t="b">
        <v>0</v>
      </c>
      <c r="H668">
        <f>Sensitivity!H12</f>
        <v/>
      </c>
    </row>
    <row r="669">
      <c r="A669" t="inlineStr">
        <is>
          <t>face</t>
        </is>
      </c>
      <c r="B669" t="inlineStr">
        <is>
          <t>mystic</t>
        </is>
      </c>
      <c r="C669" t="n">
        <v>1</v>
      </c>
      <c r="D669" t="inlineStr">
        <is>
          <t>Final Damage %</t>
        </is>
      </c>
      <c r="E669" t="n">
        <v>12</v>
      </c>
      <c r="F669" t="n">
        <v>1</v>
      </c>
      <c r="G669" t="b">
        <v>1</v>
      </c>
      <c r="H669">
        <f>Sensitivity!H12</f>
        <v/>
      </c>
    </row>
    <row r="670">
      <c r="A670" t="inlineStr">
        <is>
          <t>face</t>
        </is>
      </c>
      <c r="B670" t="inlineStr">
        <is>
          <t>mystic</t>
        </is>
      </c>
      <c r="C670" t="n">
        <v>2</v>
      </c>
      <c r="D670" t="inlineStr">
        <is>
          <t>Final Damage %</t>
        </is>
      </c>
      <c r="E670" t="n">
        <v>12</v>
      </c>
      <c r="F670" t="n">
        <v>0.24</v>
      </c>
      <c r="G670" t="b">
        <v>1</v>
      </c>
      <c r="H670">
        <f>Sensitivity!H12</f>
        <v/>
      </c>
    </row>
    <row r="671">
      <c r="A671" t="inlineStr">
        <is>
          <t>face</t>
        </is>
      </c>
      <c r="B671" t="inlineStr">
        <is>
          <t>mystic</t>
        </is>
      </c>
      <c r="C671" t="n">
        <v>2</v>
      </c>
      <c r="D671" t="inlineStr">
        <is>
          <t>Final Damage %</t>
        </is>
      </c>
      <c r="E671" t="n">
        <v>8</v>
      </c>
      <c r="F671" t="n">
        <v>0.76</v>
      </c>
      <c r="G671" t="b">
        <v>0</v>
      </c>
      <c r="H671">
        <f>Sensitivity!H12</f>
        <v/>
      </c>
    </row>
    <row r="672">
      <c r="A672" t="inlineStr">
        <is>
          <t>face</t>
        </is>
      </c>
      <c r="B672" t="inlineStr">
        <is>
          <t>mystic</t>
        </is>
      </c>
      <c r="C672" t="n">
        <v>3</v>
      </c>
      <c r="D672" t="inlineStr">
        <is>
          <t>Final Damage %</t>
        </is>
      </c>
      <c r="E672" t="n">
        <v>12</v>
      </c>
      <c r="F672" t="n">
        <v>0.08</v>
      </c>
      <c r="G672" t="b">
        <v>1</v>
      </c>
      <c r="H672">
        <f>Sensitivity!H12</f>
        <v/>
      </c>
    </row>
    <row r="673">
      <c r="A673" t="inlineStr">
        <is>
          <t>face</t>
        </is>
      </c>
      <c r="B673" t="inlineStr">
        <is>
          <t>mystic</t>
        </is>
      </c>
      <c r="C673" t="n">
        <v>3</v>
      </c>
      <c r="D673" t="inlineStr">
        <is>
          <t>Final Damage %</t>
        </is>
      </c>
      <c r="E673" t="n">
        <v>8</v>
      </c>
      <c r="F673" t="n">
        <v>0.92</v>
      </c>
      <c r="G673" t="b">
        <v>0</v>
      </c>
      <c r="H673">
        <f>Sensitivity!H12</f>
        <v/>
      </c>
    </row>
    <row r="674">
      <c r="A674" t="inlineStr">
        <is>
          <t>earrings</t>
        </is>
      </c>
      <c r="B674" t="inlineStr">
        <is>
          <t>epic</t>
        </is>
      </c>
      <c r="C674" t="n">
        <v>1</v>
      </c>
      <c r="D674" t="inlineStr">
        <is>
          <t>Skill Damage %</t>
        </is>
      </c>
      <c r="E674" t="n">
        <v>8</v>
      </c>
      <c r="F674" t="n">
        <v>1</v>
      </c>
      <c r="G674" t="b">
        <v>1</v>
      </c>
      <c r="H674">
        <f>Sensitivity!H20</f>
        <v/>
      </c>
    </row>
    <row r="675">
      <c r="A675" t="inlineStr">
        <is>
          <t>earrings</t>
        </is>
      </c>
      <c r="B675" t="inlineStr">
        <is>
          <t>epic</t>
        </is>
      </c>
      <c r="C675" t="n">
        <v>2</v>
      </c>
      <c r="D675" t="inlineStr">
        <is>
          <t>Skill Damage %</t>
        </is>
      </c>
      <c r="E675" t="n">
        <v>8</v>
      </c>
      <c r="F675" t="n">
        <v>0.24</v>
      </c>
      <c r="G675" t="b">
        <v>1</v>
      </c>
      <c r="H675">
        <f>Sensitivity!H20</f>
        <v/>
      </c>
    </row>
    <row r="676">
      <c r="A676" t="inlineStr">
        <is>
          <t>earrings</t>
        </is>
      </c>
      <c r="B676" t="inlineStr">
        <is>
          <t>epic</t>
        </is>
      </c>
      <c r="C676" t="n">
        <v>3</v>
      </c>
      <c r="D676" t="inlineStr">
        <is>
          <t>Skill Damage %</t>
        </is>
      </c>
      <c r="E676" t="n">
        <v>8</v>
      </c>
      <c r="F676" t="n">
        <v>0.08</v>
      </c>
      <c r="G676" t="b">
        <v>1</v>
      </c>
      <c r="H676">
        <f>Sensitivity!H20</f>
        <v/>
      </c>
    </row>
    <row r="677">
      <c r="A677" t="inlineStr">
        <is>
          <t>earrings</t>
        </is>
      </c>
      <c r="B677" t="inlineStr">
        <is>
          <t>unique</t>
        </is>
      </c>
      <c r="C677" t="n">
        <v>1</v>
      </c>
      <c r="D677" t="inlineStr">
        <is>
          <t>Skill Damage %</t>
        </is>
      </c>
      <c r="E677" t="n">
        <v>14</v>
      </c>
      <c r="F677" t="n">
        <v>1</v>
      </c>
      <c r="G677" t="b">
        <v>1</v>
      </c>
      <c r="H677">
        <f>Sensitivity!H20</f>
        <v/>
      </c>
    </row>
    <row r="678">
      <c r="A678" t="inlineStr">
        <is>
          <t>earrings</t>
        </is>
      </c>
      <c r="B678" t="inlineStr">
        <is>
          <t>unique</t>
        </is>
      </c>
      <c r="C678" t="n">
        <v>2</v>
      </c>
      <c r="D678" t="inlineStr">
        <is>
          <t>Skill Damage %</t>
        </is>
      </c>
      <c r="E678" t="n">
        <v>14</v>
      </c>
      <c r="F678" t="n">
        <v>0.24</v>
      </c>
      <c r="G678" t="b">
        <v>1</v>
      </c>
      <c r="H678">
        <f>Sensitivity!H20</f>
        <v/>
      </c>
    </row>
    <row r="679">
      <c r="A679" t="inlineStr">
        <is>
          <t>earrings</t>
        </is>
      </c>
      <c r="B679" t="inlineStr">
        <is>
          <t>unique</t>
        </is>
      </c>
      <c r="C679" t="n">
        <v>2</v>
      </c>
      <c r="D679" t="inlineStr">
        <is>
          <t>Skill Damage %</t>
        </is>
      </c>
      <c r="E679" t="n">
        <v>8</v>
      </c>
      <c r="F679" t="n">
        <v>0.76</v>
      </c>
      <c r="G679" t="b">
        <v>0</v>
      </c>
      <c r="H679">
        <f>Sensitivity!H20</f>
        <v/>
      </c>
    </row>
    <row r="680">
      <c r="A680" t="inlineStr">
        <is>
          <t>earrings</t>
        </is>
      </c>
      <c r="B680" t="inlineStr">
        <is>
          <t>unique</t>
        </is>
      </c>
      <c r="C680" t="n">
        <v>3</v>
      </c>
      <c r="D680" t="inlineStr">
        <is>
          <t>Skill Damage %</t>
        </is>
      </c>
      <c r="E680" t="n">
        <v>14</v>
      </c>
      <c r="F680" t="n">
        <v>0.08</v>
      </c>
      <c r="G680" t="b">
        <v>1</v>
      </c>
      <c r="H680">
        <f>Sensitivity!H20</f>
        <v/>
      </c>
    </row>
    <row r="681">
      <c r="A681" t="inlineStr">
        <is>
          <t>earrings</t>
        </is>
      </c>
      <c r="B681" t="inlineStr">
        <is>
          <t>unique</t>
        </is>
      </c>
      <c r="C681" t="n">
        <v>3</v>
      </c>
      <c r="D681" t="inlineStr">
        <is>
          <t>Skill Damage %</t>
        </is>
      </c>
      <c r="E681" t="n">
        <v>8</v>
      </c>
      <c r="F681" t="n">
        <v>0.92</v>
      </c>
      <c r="G681" t="b">
        <v>0</v>
      </c>
      <c r="H681">
        <f>Sensitivity!H20</f>
        <v/>
      </c>
    </row>
    <row r="682">
      <c r="A682" t="inlineStr">
        <is>
          <t>earrings</t>
        </is>
      </c>
      <c r="B682" t="inlineStr">
        <is>
          <t>legendary</t>
        </is>
      </c>
      <c r="C682" t="n">
        <v>1</v>
      </c>
      <c r="D682" t="inlineStr">
        <is>
          <t>Skill Damage %</t>
        </is>
      </c>
      <c r="E682" t="n">
        <v>21</v>
      </c>
      <c r="F682" t="n">
        <v>1</v>
      </c>
      <c r="G682" t="b">
        <v>1</v>
      </c>
      <c r="H682">
        <f>Sensitivity!H20</f>
        <v/>
      </c>
    </row>
    <row r="683">
      <c r="A683" t="inlineStr">
        <is>
          <t>earrings</t>
        </is>
      </c>
      <c r="B683" t="inlineStr">
        <is>
          <t>legendary</t>
        </is>
      </c>
      <c r="C683" t="n">
        <v>2</v>
      </c>
      <c r="D683" t="inlineStr">
        <is>
          <t>Skill Damage %</t>
        </is>
      </c>
      <c r="E683" t="n">
        <v>21</v>
      </c>
      <c r="F683" t="n">
        <v>0.24</v>
      </c>
      <c r="G683" t="b">
        <v>1</v>
      </c>
      <c r="H683">
        <f>Sensitivity!H20</f>
        <v/>
      </c>
    </row>
    <row r="684">
      <c r="A684" t="inlineStr">
        <is>
          <t>earrings</t>
        </is>
      </c>
      <c r="B684" t="inlineStr">
        <is>
          <t>legendary</t>
        </is>
      </c>
      <c r="C684" t="n">
        <v>2</v>
      </c>
      <c r="D684" t="inlineStr">
        <is>
          <t>Skill Damage %</t>
        </is>
      </c>
      <c r="E684" t="n">
        <v>14</v>
      </c>
      <c r="F684" t="n">
        <v>0.76</v>
      </c>
      <c r="G684" t="b">
        <v>0</v>
      </c>
      <c r="H684">
        <f>Sensitivity!H20</f>
        <v/>
      </c>
    </row>
    <row r="685">
      <c r="A685" t="inlineStr">
        <is>
          <t>earrings</t>
        </is>
      </c>
      <c r="B685" t="inlineStr">
        <is>
          <t>legendary</t>
        </is>
      </c>
      <c r="C685" t="n">
        <v>3</v>
      </c>
      <c r="D685" t="inlineStr">
        <is>
          <t>Skill Damage %</t>
        </is>
      </c>
      <c r="E685" t="n">
        <v>21</v>
      </c>
      <c r="F685" t="n">
        <v>0.08</v>
      </c>
      <c r="G685" t="b">
        <v>1</v>
      </c>
      <c r="H685">
        <f>Sensitivity!H20</f>
        <v/>
      </c>
    </row>
    <row r="686">
      <c r="A686" t="inlineStr">
        <is>
          <t>earrings</t>
        </is>
      </c>
      <c r="B686" t="inlineStr">
        <is>
          <t>legendary</t>
        </is>
      </c>
      <c r="C686" t="n">
        <v>3</v>
      </c>
      <c r="D686" t="inlineStr">
        <is>
          <t>Skill Damage %</t>
        </is>
      </c>
      <c r="E686" t="n">
        <v>14</v>
      </c>
      <c r="F686" t="n">
        <v>0.92</v>
      </c>
      <c r="G686" t="b">
        <v>0</v>
      </c>
      <c r="H686">
        <f>Sensitivity!H20</f>
        <v/>
      </c>
    </row>
    <row r="687">
      <c r="A687" t="inlineStr">
        <is>
          <t>earrings</t>
        </is>
      </c>
      <c r="B687" t="inlineStr">
        <is>
          <t>mystic</t>
        </is>
      </c>
      <c r="C687" t="n">
        <v>1</v>
      </c>
      <c r="D687" t="inlineStr">
        <is>
          <t>Skill Damage %</t>
        </is>
      </c>
      <c r="E687" t="n">
        <v>30</v>
      </c>
      <c r="F687" t="n">
        <v>1</v>
      </c>
      <c r="G687" t="b">
        <v>1</v>
      </c>
      <c r="H687">
        <f>Sensitivity!H20</f>
        <v/>
      </c>
    </row>
    <row r="688">
      <c r="A688" t="inlineStr">
        <is>
          <t>earrings</t>
        </is>
      </c>
      <c r="B688" t="inlineStr">
        <is>
          <t>mystic</t>
        </is>
      </c>
      <c r="C688" t="n">
        <v>2</v>
      </c>
      <c r="D688" t="inlineStr">
        <is>
          <t>Skill Damage %</t>
        </is>
      </c>
      <c r="E688" t="n">
        <v>30</v>
      </c>
      <c r="F688" t="n">
        <v>0.24</v>
      </c>
      <c r="G688" t="b">
        <v>1</v>
      </c>
      <c r="H688">
        <f>Sensitivity!H20</f>
        <v/>
      </c>
    </row>
    <row r="689">
      <c r="A689" t="inlineStr">
        <is>
          <t>earrings</t>
        </is>
      </c>
      <c r="B689" t="inlineStr">
        <is>
          <t>mystic</t>
        </is>
      </c>
      <c r="C689" t="n">
        <v>2</v>
      </c>
      <c r="D689" t="inlineStr">
        <is>
          <t>Skill Damage %</t>
        </is>
      </c>
      <c r="E689" t="n">
        <v>21</v>
      </c>
      <c r="F689" t="n">
        <v>0.76</v>
      </c>
      <c r="G689" t="b">
        <v>0</v>
      </c>
      <c r="H689">
        <f>Sensitivity!H20</f>
        <v/>
      </c>
    </row>
    <row r="690">
      <c r="A690" t="inlineStr">
        <is>
          <t>earrings</t>
        </is>
      </c>
      <c r="B690" t="inlineStr">
        <is>
          <t>mystic</t>
        </is>
      </c>
      <c r="C690" t="n">
        <v>3</v>
      </c>
      <c r="D690" t="inlineStr">
        <is>
          <t>Skill Damage %</t>
        </is>
      </c>
      <c r="E690" t="n">
        <v>30</v>
      </c>
      <c r="F690" t="n">
        <v>0.08</v>
      </c>
      <c r="G690" t="b">
        <v>1</v>
      </c>
      <c r="H690">
        <f>Sensitivity!H20</f>
        <v/>
      </c>
    </row>
    <row r="691">
      <c r="A691" t="inlineStr">
        <is>
          <t>earrings</t>
        </is>
      </c>
      <c r="B691" t="inlineStr">
        <is>
          <t>mystic</t>
        </is>
      </c>
      <c r="C691" t="n">
        <v>3</v>
      </c>
      <c r="D691" t="inlineStr">
        <is>
          <t>Skill Damage %</t>
        </is>
      </c>
      <c r="E691" t="n">
        <v>21</v>
      </c>
      <c r="F691" t="n">
        <v>0.92</v>
      </c>
      <c r="G691" t="b">
        <v>0</v>
      </c>
      <c r="H691">
        <f>Sensitivity!H20</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--class night-lord` — it reads this table plus the live Sensitivity!H DPS-per-unit values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5" t="inlineStr">
        <is>
          <t>Slot</t>
        </is>
      </c>
      <c r="B5" s="5" t="inlineStr">
        <is>
          <t>Potential Type</t>
        </is>
      </c>
      <c r="C5" s="5" t="inlineStr">
        <is>
          <t>Current Rarity</t>
        </is>
      </c>
      <c r="D5" s="5" t="inlineStr">
        <is>
          <t>Current Pity Count</t>
        </is>
      </c>
      <c r="E5" s="5" t="inlineStr">
        <is>
          <t>Line 1 Stat</t>
        </is>
      </c>
      <c r="F5" s="5" t="inlineStr">
        <is>
          <t>Line 1 Value</t>
        </is>
      </c>
      <c r="G5" s="5" t="inlineStr">
        <is>
          <t>Line 2 Stat</t>
        </is>
      </c>
      <c r="H5" s="5" t="inlineStr">
        <is>
          <t>Line 2 Value</t>
        </is>
      </c>
      <c r="I5" s="5" t="inlineStr">
        <is>
          <t>Line 3 Stat</t>
        </is>
      </c>
      <c r="J5" s="5" t="inlineStr">
        <is>
          <t>Line 3 Value</t>
        </is>
      </c>
    </row>
    <row r="6">
      <c r="A6" t="inlineStr">
        <is>
          <t>head</t>
        </is>
      </c>
      <c r="B6" t="inlineStr">
        <is>
          <t>Potential</t>
        </is>
      </c>
      <c r="C6" t="inlineStr">
        <is>
          <t>normal</t>
        </is>
      </c>
      <c r="D6" t="n">
        <v>0</v>
      </c>
      <c r="E6" t="inlineStr">
        <is>
          <t>(none)</t>
        </is>
      </c>
      <c r="F6" t="n">
        <v>0</v>
      </c>
      <c r="G6" t="inlineStr">
        <is>
          <t>(none)</t>
        </is>
      </c>
      <c r="H6" t="n">
        <v>0</v>
      </c>
      <c r="I6" t="inlineStr">
        <is>
          <t>(none)</t>
        </is>
      </c>
      <c r="J6" t="n">
        <v>0</v>
      </c>
    </row>
    <row r="7">
      <c r="A7" t="inlineStr">
        <is>
          <t>head</t>
        </is>
      </c>
      <c r="B7" t="inlineStr">
        <is>
          <t>Bonus Potential</t>
        </is>
      </c>
      <c r="C7" t="inlineStr">
        <is>
          <t>normal</t>
        </is>
      </c>
      <c r="D7" t="n">
        <v>0</v>
      </c>
      <c r="E7" t="inlineStr">
        <is>
          <t>(none)</t>
        </is>
      </c>
      <c r="F7" t="n">
        <v>0</v>
      </c>
      <c r="G7" t="inlineStr">
        <is>
          <t>(none)</t>
        </is>
      </c>
      <c r="H7" t="n">
        <v>0</v>
      </c>
      <c r="I7" t="inlineStr">
        <is>
          <t>(none)</t>
        </is>
      </c>
      <c r="J7" t="n">
        <v>0</v>
      </c>
    </row>
    <row r="8">
      <c r="A8" t="inlineStr">
        <is>
          <t>cape</t>
        </is>
      </c>
      <c r="B8" t="inlineStr">
        <is>
          <t>Potential</t>
        </is>
      </c>
      <c r="C8" t="inlineStr">
        <is>
          <t>normal</t>
        </is>
      </c>
      <c r="D8" t="n">
        <v>0</v>
      </c>
      <c r="E8" t="inlineStr">
        <is>
          <t>(none)</t>
        </is>
      </c>
      <c r="F8" t="n">
        <v>0</v>
      </c>
      <c r="G8" t="inlineStr">
        <is>
          <t>(none)</t>
        </is>
      </c>
      <c r="H8" t="n">
        <v>0</v>
      </c>
      <c r="I8" t="inlineStr">
        <is>
          <t>(none)</t>
        </is>
      </c>
      <c r="J8" t="n">
        <v>0</v>
      </c>
    </row>
    <row r="9">
      <c r="A9" t="inlineStr">
        <is>
          <t>cape</t>
        </is>
      </c>
      <c r="B9" t="inlineStr">
        <is>
          <t>Bonus Potential</t>
        </is>
      </c>
      <c r="C9" t="inlineStr">
        <is>
          <t>normal</t>
        </is>
      </c>
      <c r="D9" t="n">
        <v>0</v>
      </c>
      <c r="E9" t="inlineStr">
        <is>
          <t>(none)</t>
        </is>
      </c>
      <c r="F9" t="n">
        <v>0</v>
      </c>
      <c r="G9" t="inlineStr">
        <is>
          <t>(none)</t>
        </is>
      </c>
      <c r="H9" t="n">
        <v>0</v>
      </c>
      <c r="I9" t="inlineStr">
        <is>
          <t>(none)</t>
        </is>
      </c>
      <c r="J9" t="n">
        <v>0</v>
      </c>
    </row>
    <row r="10">
      <c r="A10" t="inlineStr">
        <is>
          <t>chest</t>
        </is>
      </c>
      <c r="B10" t="inlineStr">
        <is>
          <t>Potential</t>
        </is>
      </c>
      <c r="C10" t="inlineStr">
        <is>
          <t>normal</t>
        </is>
      </c>
      <c r="D10" t="n">
        <v>0</v>
      </c>
      <c r="E10" t="inlineStr">
        <is>
          <t>(none)</t>
        </is>
      </c>
      <c r="F10" t="n">
        <v>0</v>
      </c>
      <c r="G10" t="inlineStr">
        <is>
          <t>(none)</t>
        </is>
      </c>
      <c r="H10" t="n">
        <v>0</v>
      </c>
      <c r="I10" t="inlineStr">
        <is>
          <t>(none)</t>
        </is>
      </c>
      <c r="J10" t="n">
        <v>0</v>
      </c>
    </row>
    <row r="11">
      <c r="A11" t="inlineStr">
        <is>
          <t>chest</t>
        </is>
      </c>
      <c r="B11" t="inlineStr">
        <is>
          <t>Bonus Potential</t>
        </is>
      </c>
      <c r="C11" t="inlineStr">
        <is>
          <t>normal</t>
        </is>
      </c>
      <c r="D11" t="n">
        <v>0</v>
      </c>
      <c r="E11" t="inlineStr">
        <is>
          <t>(none)</t>
        </is>
      </c>
      <c r="F11" t="n">
        <v>0</v>
      </c>
      <c r="G11" t="inlineStr">
        <is>
          <t>(none)</t>
        </is>
      </c>
      <c r="H11" t="n">
        <v>0</v>
      </c>
      <c r="I11" t="inlineStr">
        <is>
          <t>(none)</t>
        </is>
      </c>
      <c r="J11" t="n">
        <v>0</v>
      </c>
    </row>
    <row r="12">
      <c r="A12" t="inlineStr">
        <is>
          <t>shoulders</t>
        </is>
      </c>
      <c r="B12" t="inlineStr">
        <is>
          <t>Potential</t>
        </is>
      </c>
      <c r="C12" t="inlineStr">
        <is>
          <t>normal</t>
        </is>
      </c>
      <c r="D12" t="n">
        <v>0</v>
      </c>
      <c r="E12" t="inlineStr">
        <is>
          <t>(none)</t>
        </is>
      </c>
      <c r="F12" t="n">
        <v>0</v>
      </c>
      <c r="G12" t="inlineStr">
        <is>
          <t>(none)</t>
        </is>
      </c>
      <c r="H12" t="n">
        <v>0</v>
      </c>
      <c r="I12" t="inlineStr">
        <is>
          <t>(none)</t>
        </is>
      </c>
      <c r="J12" t="n">
        <v>0</v>
      </c>
    </row>
    <row r="13">
      <c r="A13" t="inlineStr">
        <is>
          <t>shoulders</t>
        </is>
      </c>
      <c r="B13" t="inlineStr">
        <is>
          <t>Bonus Potential</t>
        </is>
      </c>
      <c r="C13" t="inlineStr">
        <is>
          <t>normal</t>
        </is>
      </c>
      <c r="D13" t="n">
        <v>0</v>
      </c>
      <c r="E13" t="inlineStr">
        <is>
          <t>(none)</t>
        </is>
      </c>
      <c r="F13" t="n">
        <v>0</v>
      </c>
      <c r="G13" t="inlineStr">
        <is>
          <t>(none)</t>
        </is>
      </c>
      <c r="H13" t="n">
        <v>0</v>
      </c>
      <c r="I13" t="inlineStr">
        <is>
          <t>(none)</t>
        </is>
      </c>
      <c r="J13" t="n">
        <v>0</v>
      </c>
    </row>
    <row r="14">
      <c r="A14" t="inlineStr">
        <is>
          <t>legs</t>
        </is>
      </c>
      <c r="B14" t="inlineStr">
        <is>
          <t>Potential</t>
        </is>
      </c>
      <c r="C14" t="inlineStr">
        <is>
          <t>normal</t>
        </is>
      </c>
      <c r="D14" t="n">
        <v>0</v>
      </c>
      <c r="E14" t="inlineStr">
        <is>
          <t>(none)</t>
        </is>
      </c>
      <c r="F14" t="n">
        <v>0</v>
      </c>
      <c r="G14" t="inlineStr">
        <is>
          <t>(none)</t>
        </is>
      </c>
      <c r="H14" t="n">
        <v>0</v>
      </c>
      <c r="I14" t="inlineStr">
        <is>
          <t>(none)</t>
        </is>
      </c>
      <c r="J14" t="n">
        <v>0</v>
      </c>
    </row>
    <row r="15">
      <c r="A15" t="inlineStr">
        <is>
          <t>legs</t>
        </is>
      </c>
      <c r="B15" t="inlineStr">
        <is>
          <t>Bonus Potential</t>
        </is>
      </c>
      <c r="C15" t="inlineStr">
        <is>
          <t>normal</t>
        </is>
      </c>
      <c r="D15" t="n">
        <v>0</v>
      </c>
      <c r="E15" t="inlineStr">
        <is>
          <t>(none)</t>
        </is>
      </c>
      <c r="F15" t="n">
        <v>0</v>
      </c>
      <c r="G15" t="inlineStr">
        <is>
          <t>(none)</t>
        </is>
      </c>
      <c r="H15" t="n">
        <v>0</v>
      </c>
      <c r="I15" t="inlineStr">
        <is>
          <t>(none)</t>
        </is>
      </c>
      <c r="J15" t="n">
        <v>0</v>
      </c>
    </row>
    <row r="16">
      <c r="A16" t="inlineStr">
        <is>
          <t>belt</t>
        </is>
      </c>
      <c r="B16" t="inlineStr">
        <is>
          <t>Potential</t>
        </is>
      </c>
      <c r="C16" t="inlineStr">
        <is>
          <t>normal</t>
        </is>
      </c>
      <c r="D16" t="n">
        <v>0</v>
      </c>
      <c r="E16" t="inlineStr">
        <is>
          <t>(none)</t>
        </is>
      </c>
      <c r="F16" t="n">
        <v>0</v>
      </c>
      <c r="G16" t="inlineStr">
        <is>
          <t>(none)</t>
        </is>
      </c>
      <c r="H16" t="n">
        <v>0</v>
      </c>
      <c r="I16" t="inlineStr">
        <is>
          <t>(none)</t>
        </is>
      </c>
      <c r="J16" t="n">
        <v>0</v>
      </c>
    </row>
    <row r="17">
      <c r="A17" t="inlineStr">
        <is>
          <t>belt</t>
        </is>
      </c>
      <c r="B17" t="inlineStr">
        <is>
          <t>Bonus Potential</t>
        </is>
      </c>
      <c r="C17" t="inlineStr">
        <is>
          <t>normal</t>
        </is>
      </c>
      <c r="D17" t="n">
        <v>0</v>
      </c>
      <c r="E17" t="inlineStr">
        <is>
          <t>(none)</t>
        </is>
      </c>
      <c r="F17" t="n">
        <v>0</v>
      </c>
      <c r="G17" t="inlineStr">
        <is>
          <t>(none)</t>
        </is>
      </c>
      <c r="H17" t="n">
        <v>0</v>
      </c>
      <c r="I17" t="inlineStr">
        <is>
          <t>(none)</t>
        </is>
      </c>
      <c r="J17" t="n">
        <v>0</v>
      </c>
    </row>
    <row r="18">
      <c r="A18" t="inlineStr">
        <is>
          <t>gloves</t>
        </is>
      </c>
      <c r="B18" t="inlineStr">
        <is>
          <t>Potential</t>
        </is>
      </c>
      <c r="C18" t="inlineStr">
        <is>
          <t>normal</t>
        </is>
      </c>
      <c r="D18" t="n">
        <v>0</v>
      </c>
      <c r="E18" t="inlineStr">
        <is>
          <t>(none)</t>
        </is>
      </c>
      <c r="F18" t="n">
        <v>0</v>
      </c>
      <c r="G18" t="inlineStr">
        <is>
          <t>(none)</t>
        </is>
      </c>
      <c r="H18" t="n">
        <v>0</v>
      </c>
      <c r="I18" t="inlineStr">
        <is>
          <t>(none)</t>
        </is>
      </c>
      <c r="J18" t="n">
        <v>0</v>
      </c>
    </row>
    <row r="19">
      <c r="A19" t="inlineStr">
        <is>
          <t>gloves</t>
        </is>
      </c>
      <c r="B19" t="inlineStr">
        <is>
          <t>Bonus Potential</t>
        </is>
      </c>
      <c r="C19" t="inlineStr">
        <is>
          <t>normal</t>
        </is>
      </c>
      <c r="D19" t="n">
        <v>0</v>
      </c>
      <c r="E19" t="inlineStr">
        <is>
          <t>(none)</t>
        </is>
      </c>
      <c r="F19" t="n">
        <v>0</v>
      </c>
      <c r="G19" t="inlineStr">
        <is>
          <t>(none)</t>
        </is>
      </c>
      <c r="H19" t="n">
        <v>0</v>
      </c>
      <c r="I19" t="inlineStr">
        <is>
          <t>(none)</t>
        </is>
      </c>
      <c r="J19" t="n">
        <v>0</v>
      </c>
    </row>
    <row r="20">
      <c r="A20" t="inlineStr">
        <is>
          <t>boots</t>
        </is>
      </c>
      <c r="B20" t="inlineStr">
        <is>
          <t>Potential</t>
        </is>
      </c>
      <c r="C20" t="inlineStr">
        <is>
          <t>normal</t>
        </is>
      </c>
      <c r="D20" t="n">
        <v>0</v>
      </c>
      <c r="E20" t="inlineStr">
        <is>
          <t>(none)</t>
        </is>
      </c>
      <c r="F20" t="n">
        <v>0</v>
      </c>
      <c r="G20" t="inlineStr">
        <is>
          <t>(none)</t>
        </is>
      </c>
      <c r="H20" t="n">
        <v>0</v>
      </c>
      <c r="I20" t="inlineStr">
        <is>
          <t>(none)</t>
        </is>
      </c>
      <c r="J20" t="n">
        <v>0</v>
      </c>
    </row>
    <row r="21">
      <c r="A21" t="inlineStr">
        <is>
          <t>boots</t>
        </is>
      </c>
      <c r="B21" t="inlineStr">
        <is>
          <t>Bonus Potential</t>
        </is>
      </c>
      <c r="C21" t="inlineStr">
        <is>
          <t>normal</t>
        </is>
      </c>
      <c r="D21" t="n">
        <v>0</v>
      </c>
      <c r="E21" t="inlineStr">
        <is>
          <t>(none)</t>
        </is>
      </c>
      <c r="F21" t="n">
        <v>0</v>
      </c>
      <c r="G21" t="inlineStr">
        <is>
          <t>(none)</t>
        </is>
      </c>
      <c r="H21" t="n">
        <v>0</v>
      </c>
      <c r="I21" t="inlineStr">
        <is>
          <t>(none)</t>
        </is>
      </c>
      <c r="J21" t="n">
        <v>0</v>
      </c>
    </row>
    <row r="22">
      <c r="A22" t="inlineStr">
        <is>
          <t>ring</t>
        </is>
      </c>
      <c r="B22" t="inlineStr">
        <is>
          <t>Potential</t>
        </is>
      </c>
      <c r="C22" t="inlineStr">
        <is>
          <t>normal</t>
        </is>
      </c>
      <c r="D22" t="n">
        <v>0</v>
      </c>
      <c r="E22" t="inlineStr">
        <is>
          <t>(none)</t>
        </is>
      </c>
      <c r="F22" t="n">
        <v>0</v>
      </c>
      <c r="G22" t="inlineStr">
        <is>
          <t>(none)</t>
        </is>
      </c>
      <c r="H22" t="n">
        <v>0</v>
      </c>
      <c r="I22" t="inlineStr">
        <is>
          <t>(none)</t>
        </is>
      </c>
      <c r="J22" t="n">
        <v>0</v>
      </c>
    </row>
    <row r="23">
      <c r="A23" t="inlineStr">
        <is>
          <t>ring</t>
        </is>
      </c>
      <c r="B23" t="inlineStr">
        <is>
          <t>Bonus Potential</t>
        </is>
      </c>
      <c r="C23" t="inlineStr">
        <is>
          <t>normal</t>
        </is>
      </c>
      <c r="D23" t="n">
        <v>0</v>
      </c>
      <c r="E23" t="inlineStr">
        <is>
          <t>(none)</t>
        </is>
      </c>
      <c r="F23" t="n">
        <v>0</v>
      </c>
      <c r="G23" t="inlineStr">
        <is>
          <t>(none)</t>
        </is>
      </c>
      <c r="H23" t="n">
        <v>0</v>
      </c>
      <c r="I23" t="inlineStr">
        <is>
          <t>(none)</t>
        </is>
      </c>
      <c r="J23" t="n">
        <v>0</v>
      </c>
    </row>
    <row r="24">
      <c r="A24" t="inlineStr">
        <is>
          <t>neck</t>
        </is>
      </c>
      <c r="B24" t="inlineStr">
        <is>
          <t>Potential</t>
        </is>
      </c>
      <c r="C24" t="inlineStr">
        <is>
          <t>normal</t>
        </is>
      </c>
      <c r="D24" t="n">
        <v>0</v>
      </c>
      <c r="E24" t="inlineStr">
        <is>
          <t>(none)</t>
        </is>
      </c>
      <c r="F24" t="n">
        <v>0</v>
      </c>
      <c r="G24" t="inlineStr">
        <is>
          <t>(none)</t>
        </is>
      </c>
      <c r="H24" t="n">
        <v>0</v>
      </c>
      <c r="I24" t="inlineStr">
        <is>
          <t>(none)</t>
        </is>
      </c>
      <c r="J24" t="n">
        <v>0</v>
      </c>
    </row>
    <row r="25">
      <c r="A25" t="inlineStr">
        <is>
          <t>neck</t>
        </is>
      </c>
      <c r="B25" t="inlineStr">
        <is>
          <t>Bonus Potential</t>
        </is>
      </c>
      <c r="C25" t="inlineStr">
        <is>
          <t>normal</t>
        </is>
      </c>
      <c r="D25" t="n">
        <v>0</v>
      </c>
      <c r="E25" t="inlineStr">
        <is>
          <t>(none)</t>
        </is>
      </c>
      <c r="F25" t="n">
        <v>0</v>
      </c>
      <c r="G25" t="inlineStr">
        <is>
          <t>(none)</t>
        </is>
      </c>
      <c r="H25" t="n">
        <v>0</v>
      </c>
      <c r="I25" t="inlineStr">
        <is>
          <t>(none)</t>
        </is>
      </c>
      <c r="J25" t="n">
        <v>0</v>
      </c>
    </row>
    <row r="26">
      <c r="A26" t="inlineStr">
        <is>
          <t>eye-accessory</t>
        </is>
      </c>
      <c r="B26" t="inlineStr">
        <is>
          <t>Potential</t>
        </is>
      </c>
      <c r="C26" t="inlineStr">
        <is>
          <t>normal</t>
        </is>
      </c>
      <c r="D26" t="n">
        <v>0</v>
      </c>
      <c r="E26" t="inlineStr">
        <is>
          <t>(none)</t>
        </is>
      </c>
      <c r="F26" t="n">
        <v>0</v>
      </c>
      <c r="G26" t="inlineStr">
        <is>
          <t>(none)</t>
        </is>
      </c>
      <c r="H26" t="n">
        <v>0</v>
      </c>
      <c r="I26" t="inlineStr">
        <is>
          <t>(none)</t>
        </is>
      </c>
      <c r="J26" t="n">
        <v>0</v>
      </c>
    </row>
    <row r="27">
      <c r="A27" t="inlineStr">
        <is>
          <t>eye-accessory</t>
        </is>
      </c>
      <c r="B27" t="inlineStr">
        <is>
          <t>Bonus Potential</t>
        </is>
      </c>
      <c r="C27" t="inlineStr">
        <is>
          <t>normal</t>
        </is>
      </c>
      <c r="D27" t="n">
        <v>0</v>
      </c>
      <c r="E27" t="inlineStr">
        <is>
          <t>(none)</t>
        </is>
      </c>
      <c r="F27" t="n">
        <v>0</v>
      </c>
      <c r="G27" t="inlineStr">
        <is>
          <t>(none)</t>
        </is>
      </c>
      <c r="H27" t="n">
        <v>0</v>
      </c>
      <c r="I27" t="inlineStr">
        <is>
          <t>(none)</t>
        </is>
      </c>
      <c r="J27" t="n">
        <v>0</v>
      </c>
    </row>
    <row r="28">
      <c r="A28" t="inlineStr">
        <is>
          <t>ring2</t>
        </is>
      </c>
      <c r="B28" t="inlineStr">
        <is>
          <t>Potential</t>
        </is>
      </c>
      <c r="C28" t="inlineStr">
        <is>
          <t>normal</t>
        </is>
      </c>
      <c r="D28" t="n">
        <v>0</v>
      </c>
      <c r="E28" t="inlineStr">
        <is>
          <t>(none)</t>
        </is>
      </c>
      <c r="F28" t="n">
        <v>0</v>
      </c>
      <c r="G28" t="inlineStr">
        <is>
          <t>(none)</t>
        </is>
      </c>
      <c r="H28" t="n">
        <v>0</v>
      </c>
      <c r="I28" t="inlineStr">
        <is>
          <t>(none)</t>
        </is>
      </c>
      <c r="J28" t="n">
        <v>0</v>
      </c>
    </row>
    <row r="29">
      <c r="A29" t="inlineStr">
        <is>
          <t>ring2</t>
        </is>
      </c>
      <c r="B29" t="inlineStr">
        <is>
          <t>Bonus Potential</t>
        </is>
      </c>
      <c r="C29" t="inlineStr">
        <is>
          <t>normal</t>
        </is>
      </c>
      <c r="D29" t="n">
        <v>0</v>
      </c>
      <c r="E29" t="inlineStr">
        <is>
          <t>(none)</t>
        </is>
      </c>
      <c r="F29" t="n">
        <v>0</v>
      </c>
      <c r="G29" t="inlineStr">
        <is>
          <t>(none)</t>
        </is>
      </c>
      <c r="H29" t="n">
        <v>0</v>
      </c>
      <c r="I29" t="inlineStr">
        <is>
          <t>(none)</t>
        </is>
      </c>
      <c r="J29" t="n">
        <v>0</v>
      </c>
    </row>
    <row r="30">
      <c r="A30" t="inlineStr">
        <is>
          <t>face</t>
        </is>
      </c>
      <c r="B30" t="inlineStr">
        <is>
          <t>Potential</t>
        </is>
      </c>
      <c r="C30" t="inlineStr">
        <is>
          <t>normal</t>
        </is>
      </c>
      <c r="D30" t="n">
        <v>0</v>
      </c>
      <c r="E30" t="inlineStr">
        <is>
          <t>(none)</t>
        </is>
      </c>
      <c r="F30" t="n">
        <v>0</v>
      </c>
      <c r="G30" t="inlineStr">
        <is>
          <t>(none)</t>
        </is>
      </c>
      <c r="H30" t="n">
        <v>0</v>
      </c>
      <c r="I30" t="inlineStr">
        <is>
          <t>(none)</t>
        </is>
      </c>
      <c r="J30" t="n">
        <v>0</v>
      </c>
    </row>
    <row r="31">
      <c r="A31" t="inlineStr">
        <is>
          <t>face</t>
        </is>
      </c>
      <c r="B31" t="inlineStr">
        <is>
          <t>Bonus Potential</t>
        </is>
      </c>
      <c r="C31" t="inlineStr">
        <is>
          <t>normal</t>
        </is>
      </c>
      <c r="D31" t="n">
        <v>0</v>
      </c>
      <c r="E31" t="inlineStr">
        <is>
          <t>(none)</t>
        </is>
      </c>
      <c r="F31" t="n">
        <v>0</v>
      </c>
      <c r="G31" t="inlineStr">
        <is>
          <t>(none)</t>
        </is>
      </c>
      <c r="H31" t="n">
        <v>0</v>
      </c>
      <c r="I31" t="inlineStr">
        <is>
          <t>(none)</t>
        </is>
      </c>
      <c r="J31" t="n">
        <v>0</v>
      </c>
    </row>
    <row r="32">
      <c r="A32" t="inlineStr">
        <is>
          <t>earrings</t>
        </is>
      </c>
      <c r="B32" t="inlineStr">
        <is>
          <t>Potential</t>
        </is>
      </c>
      <c r="C32" t="inlineStr">
        <is>
          <t>normal</t>
        </is>
      </c>
      <c r="D32" t="n">
        <v>0</v>
      </c>
      <c r="E32" t="inlineStr">
        <is>
          <t>(none)</t>
        </is>
      </c>
      <c r="F32" t="n">
        <v>0</v>
      </c>
      <c r="G32" t="inlineStr">
        <is>
          <t>(none)</t>
        </is>
      </c>
      <c r="H32" t="n">
        <v>0</v>
      </c>
      <c r="I32" t="inlineStr">
        <is>
          <t>(none)</t>
        </is>
      </c>
      <c r="J32" t="n">
        <v>0</v>
      </c>
    </row>
    <row r="33">
      <c r="A33" t="inlineStr">
        <is>
          <t>earrings</t>
        </is>
      </c>
      <c r="B33" t="inlineStr">
        <is>
          <t>Bonus Potential</t>
        </is>
      </c>
      <c r="C33" t="inlineStr">
        <is>
          <t>normal</t>
        </is>
      </c>
      <c r="D33" t="n">
        <v>0</v>
      </c>
      <c r="E33" t="inlineStr">
        <is>
          <t>(none)</t>
        </is>
      </c>
      <c r="F33" t="n">
        <v>0</v>
      </c>
      <c r="G33" t="inlineStr">
        <is>
          <t>(none)</t>
        </is>
      </c>
      <c r="H33" t="n">
        <v>0</v>
      </c>
      <c r="I33" t="inlineStr">
        <is>
          <t>(none)</t>
        </is>
      </c>
      <c r="J33" t="n">
        <v>0</v>
      </c>
    </row>
    <row r="34">
      <c r="A34" t="inlineStr">
        <is>
          <t>pocket</t>
        </is>
      </c>
      <c r="B34" t="inlineStr">
        <is>
          <t>Potential</t>
        </is>
      </c>
      <c r="C34" t="inlineStr">
        <is>
          <t>normal</t>
        </is>
      </c>
      <c r="D34" t="n">
        <v>0</v>
      </c>
      <c r="E34" t="inlineStr">
        <is>
          <t>(none)</t>
        </is>
      </c>
      <c r="F34" t="n">
        <v>0</v>
      </c>
      <c r="G34" t="inlineStr">
        <is>
          <t>(none)</t>
        </is>
      </c>
      <c r="H34" t="n">
        <v>0</v>
      </c>
      <c r="I34" t="inlineStr">
        <is>
          <t>(none)</t>
        </is>
      </c>
      <c r="J34" t="n">
        <v>0</v>
      </c>
    </row>
    <row r="35">
      <c r="A35" t="inlineStr">
        <is>
          <t>pocket</t>
        </is>
      </c>
      <c r="B35" t="inlineStr">
        <is>
          <t>Bonus Potential</t>
        </is>
      </c>
      <c r="C35" t="inlineStr">
        <is>
          <t>normal</t>
        </is>
      </c>
      <c r="D35" t="n">
        <v>0</v>
      </c>
      <c r="E35" t="inlineStr">
        <is>
          <t>(none)</t>
        </is>
      </c>
      <c r="F35" t="n">
        <v>0</v>
      </c>
      <c r="G35" t="inlineStr">
        <is>
          <t>(none)</t>
        </is>
      </c>
      <c r="H35" t="n">
        <v>0</v>
      </c>
      <c r="I35" t="inlineStr">
        <is>
          <t>(none)</t>
        </is>
      </c>
      <c r="J35" t="n">
        <v>0</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42"/>
  <sheetViews>
    <sheetView workbookViewId="0">
      <pane ySplit="4" topLeftCell="A5" activePane="bottomLeft" state="frozen"/>
      <selection pane="bottomLeft" activeCell="A1" sqref="A1"/>
    </sheetView>
  </sheetViews>
  <sheetFormatPr baseColWidth="8" defaultRowHeight="15"/>
  <cols>
    <col width="42" customWidth="1" min="1" max="1"/>
    <col width="12" customWidth="1" min="2" max="2"/>
    <col width="12" customWidth="1" min="3" max="3"/>
    <col width="26" customWidth="1" min="4" max="4"/>
    <col width="14" customWidth="1" min="5" max="5"/>
    <col width="12" customWidth="1" min="6" max="6"/>
    <col width="26" customWidth="1" min="7" max="7"/>
    <col width="14" customWidth="1" min="8" max="8"/>
    <col width="12" customWidth="1" min="9" max="9"/>
    <col width="26" customWidth="1" min="10" max="10"/>
    <col width="14" customWidth="1" min="11" max="11"/>
    <col width="16" customWidth="1" min="12" max="12"/>
    <col width="18" customWidth="1" min="13" max="13"/>
    <col width="20" customWidth="1" min="14" max="14"/>
  </cols>
  <sheetData>
    <row r="1">
      <c r="A1" s="4" t="inlineStr">
        <is>
          <t>Night Lord — Artifacts (Star Level + Potentials)</t>
        </is>
      </c>
    </row>
    <row r="2">
      <c r="A2" t="inlineStr">
        <is>
          <t>Equipped artifacts are picked on the Inputs sheet now (Equipped Artifacts section, per content type). Every artifact's Star Level (or "Not Unlocked") and Potential lines are tracked separately regardless of whether it's currently equipped, so swapping gear doesn't lose your progress. Potential lines are reference-only (their DPS Gain is NOT added to live Total DPS) — the assumption is the same as Book of Ancient etc.: once you decide to keep a roll, fold its value into your own Inputs manually. Sensitivity's Artifact Equip-Toggle table DOES include each artifact's current potential-line DPS Gain, since potentials only apply while the artifact is actually equipped.</t>
        </is>
      </c>
    </row>
    <row r="3">
      <c r="A3" s="9" t="inlineStr">
        <is>
          <t>All Artifacts — Star Level + Potentials</t>
        </is>
      </c>
    </row>
    <row r="4">
      <c r="A4" s="5" t="inlineStr">
        <is>
          <t>Artifact</t>
        </is>
      </c>
      <c r="B4" s="5" t="inlineStr">
        <is>
          <t>Star Level</t>
        </is>
      </c>
      <c r="C4" s="5" t="inlineStr">
        <is>
          <t>Line 1 Rarity</t>
        </is>
      </c>
      <c r="D4" s="5" t="inlineStr">
        <is>
          <t>Line 1 Stat</t>
        </is>
      </c>
      <c r="E4" s="5" t="inlineStr">
        <is>
          <t>Line 1 DPS Gain</t>
        </is>
      </c>
      <c r="F4" s="5" t="inlineStr">
        <is>
          <t>Line 2 Rarity</t>
        </is>
      </c>
      <c r="G4" s="5" t="inlineStr">
        <is>
          <t>Line 2 Stat</t>
        </is>
      </c>
      <c r="H4" s="5" t="inlineStr">
        <is>
          <t>Line 2 DPS Gain</t>
        </is>
      </c>
      <c r="I4" s="5" t="inlineStr">
        <is>
          <t>Line 3 Rarity (Legendary only)</t>
        </is>
      </c>
      <c r="J4" s="5" t="inlineStr">
        <is>
          <t>Line 3 Stat (Legendary only)</t>
        </is>
      </c>
      <c r="K4" s="5" t="inlineStr">
        <is>
          <t>Line 3 DPS Gain</t>
        </is>
      </c>
      <c r="L4" s="5" t="inlineStr">
        <is>
          <t>Total Potential DPS Gain</t>
        </is>
      </c>
      <c r="M4" s="5" t="inlineStr">
        <is>
          <t>Equipped? (computed)</t>
        </is>
      </c>
      <c r="N4" s="5" t="inlineStr">
        <is>
          <t>Star Level, resolved (computed)</t>
        </is>
      </c>
    </row>
    <row r="5">
      <c r="A5" s="6" t="inlineStr">
        <is>
          <t>Charm of the Undead</t>
        </is>
      </c>
      <c r="B5" s="7" t="n">
        <v>5</v>
      </c>
      <c r="C5" s="7" t="inlineStr">
        <is>
          <t>Rare</t>
        </is>
      </c>
      <c r="D5" s="7" t="inlineStr">
        <is>
          <t>(none)</t>
        </is>
      </c>
      <c r="E5">
        <f>IF($N$5&gt;=1,IF($D$5="Main Stat %",(CHOOSE(MATCH($C$5,{"Rare","Epic","Unique","Legendary","Mystic","Mystic (Prime)"},0),2,3,4.5,7,10,12))*Sensitivity!$H$6,IF($D$5="Damage Taken Decrease %",0,IF($D$5="Defense %",0,IF($D$5="Accuracy",0,IF($D$5="Critical Rate %",(CHOOSE(MATCH($C$5,{"Rare","Epic","Unique","Legendary","Mystic","Mystic (Prime)"},0),2,3,4.5,7,10,12))*Sensitivity!$H$15,IF($D$5="Min Damage Multiplier %",(CHOOSE(MATCH($C$5,{"Rare","Epic","Unique","Legendary","Mystic","Mystic (Prime)"},0),2,3,4.5,7,10,12))*Sensitivity!$H$13,IF($D$5="Max Damage Multiplier %",(CHOOSE(MATCH($C$5,{"Rare","Epic","Unique","Legendary","Mystic","Mystic (Prime)"},0),2,3,4.5,7,10,12))*Sensitivity!$H$14,IF($D$5="Boss Monster Damage %",(CHOOSE(MATCH($C$5,{"Rare","Epic","Unique","Legendary","Mystic","Mystic (Prime)"},0),4,6,9,14,20,24))*Sensitivity!$H$10,IF($D$5="Normal Monster Damage %",(CHOOSE(MATCH($C$5,{"Rare","Epic","Unique","Legendary","Mystic","Mystic (Prime)"},0),4,6,9,14,20,24))*Sensitivity!$H$11,IF($D$5="Status Effect Damage %",0,IF($D$5="Damage %",(CHOOSE(MATCH($C$5,{"Rare","Epic","Unique","Legendary","Mystic","Mystic (Prime)"},0),4,6,9,14,20,24))*Sensitivity!$H$8,IF($D$5="Defense Penetration %",(CHOOSE(MATCH($C$5,{"Rare","Epic","Unique","Legendary","Mystic","Mystic (Prime)"},0),2,3,4.5,7,10,12))*Sensitivity!$H$18,0)))))))))))),0)</f>
        <v/>
      </c>
      <c r="F5" s="7" t="inlineStr">
        <is>
          <t>Rare</t>
        </is>
      </c>
      <c r="G5" s="7" t="inlineStr">
        <is>
          <t>(none)</t>
        </is>
      </c>
      <c r="H5">
        <f>IF($N$5&gt;=2,IF($G$5="Main Stat %",(CHOOSE(MATCH($F$5,{"Rare","Epic","Unique","Legendary","Mystic","Mystic (Prime)"},0),2,3,4.5,7,10,12))*Sensitivity!$H$6,IF($G$5="Damage Taken Decrease %",0,IF($G$5="Defense %",0,IF($G$5="Accuracy",0,IF($G$5="Critical Rate %",(CHOOSE(MATCH($F$5,{"Rare","Epic","Unique","Legendary","Mystic","Mystic (Prime)"},0),2,3,4.5,7,10,12))*Sensitivity!$H$15,IF($G$5="Min Damage Multiplier %",(CHOOSE(MATCH($F$5,{"Rare","Epic","Unique","Legendary","Mystic","Mystic (Prime)"},0),2,3,4.5,7,10,12))*Sensitivity!$H$13,IF($G$5="Max Damage Multiplier %",(CHOOSE(MATCH($F$5,{"Rare","Epic","Unique","Legendary","Mystic","Mystic (Prime)"},0),2,3,4.5,7,10,12))*Sensitivity!$H$14,IF($G$5="Boss Monster Damage %",(CHOOSE(MATCH($F$5,{"Rare","Epic","Unique","Legendary","Mystic","Mystic (Prime)"},0),4,6,9,14,20,24))*Sensitivity!$H$10,IF($G$5="Normal Monster Damage %",(CHOOSE(MATCH($F$5,{"Rare","Epic","Unique","Legendary","Mystic","Mystic (Prime)"},0),4,6,9,14,20,24))*Sensitivity!$H$11,IF($G$5="Status Effect Damage %",0,IF($G$5="Damage %",(CHOOSE(MATCH($F$5,{"Rare","Epic","Unique","Legendary","Mystic","Mystic (Prime)"},0),4,6,9,14,20,24))*Sensitivity!$H$8,IF($G$5="Defense Penetration %",(CHOOSE(MATCH($F$5,{"Rare","Epic","Unique","Legendary","Mystic","Mystic (Prime)"},0),2,3,4.5,7,10,12))*Sensitivity!$H$18,0)))))))))))),0)</f>
        <v/>
      </c>
      <c r="L5">
        <f>Summary!$B$3*((IF(D5="(none)",1,1+(E5+IF(G5=D5,H5,0)+IF(J5=D5,K5,0))/Summary!$B$3))*(IF(OR(G5="(none)",G5=D5),1,1+(H5+IF(D5=G5,E5,0)+IF(J5=G5,K5,0))/Summary!$B$3))*(IF(OR(J5="",J5="(none)",J5=D5,J5=G5),1,1+(K5+IF(D5=J5,E5,0)+IF(G5=J5,H5,0))/Summary!$B$3))-1)</f>
        <v/>
      </c>
      <c r="M5">
        <f>OR(Inputs!$B$47="Charm of the Undead",Inputs!$B$48="Charm of the Undead",Inputs!$B$49="Charm of the Undead",Inputs!$B$50="Charm of the Undead")</f>
        <v/>
      </c>
      <c r="N5">
        <f>IF(B5="Not Unlocked",0,B5)</f>
        <v/>
      </c>
    </row>
    <row r="6">
      <c r="A6" s="6" t="inlineStr">
        <is>
          <t>Pig's Ribbon</t>
        </is>
      </c>
      <c r="B6" s="7" t="n">
        <v>5</v>
      </c>
      <c r="C6" s="7" t="inlineStr">
        <is>
          <t>Rare</t>
        </is>
      </c>
      <c r="D6" s="7" t="inlineStr">
        <is>
          <t>(none)</t>
        </is>
      </c>
      <c r="E6">
        <f>IF($N$6&gt;=1,IF($D$6="Main Stat %",(CHOOSE(MATCH($C$6,{"Rare","Epic","Unique","Legendary","Mystic","Mystic (Prime)"},0),2,3,4.5,7,10,12))*Sensitivity!$H$6,IF($D$6="Damage Taken Decrease %",0,IF($D$6="Defense %",0,IF($D$6="Accuracy",0,IF($D$6="Critical Rate %",(CHOOSE(MATCH($C$6,{"Rare","Epic","Unique","Legendary","Mystic","Mystic (Prime)"},0),2,3,4.5,7,10,12))*Sensitivity!$H$15,IF($D$6="Min Damage Multiplier %",(CHOOSE(MATCH($C$6,{"Rare","Epic","Unique","Legendary","Mystic","Mystic (Prime)"},0),2,3,4.5,7,10,12))*Sensitivity!$H$13,IF($D$6="Max Damage Multiplier %",(CHOOSE(MATCH($C$6,{"Rare","Epic","Unique","Legendary","Mystic","Mystic (Prime)"},0),2,3,4.5,7,10,12))*Sensitivity!$H$14,IF($D$6="Boss Monster Damage %",(CHOOSE(MATCH($C$6,{"Rare","Epic","Unique","Legendary","Mystic","Mystic (Prime)"},0),4,6,9,14,20,24))*Sensitivity!$H$10,IF($D$6="Normal Monster Damage %",(CHOOSE(MATCH($C$6,{"Rare","Epic","Unique","Legendary","Mystic","Mystic (Prime)"},0),4,6,9,14,20,24))*Sensitivity!$H$11,IF($D$6="Status Effect Damage %",0,IF($D$6="Damage %",(CHOOSE(MATCH($C$6,{"Rare","Epic","Unique","Legendary","Mystic","Mystic (Prime)"},0),4,6,9,14,20,24))*Sensitivity!$H$8,IF($D$6="Defense Penetration %",(CHOOSE(MATCH($C$6,{"Rare","Epic","Unique","Legendary","Mystic","Mystic (Prime)"},0),2,3,4.5,7,10,12))*Sensitivity!$H$18,0)))))))))))),0)</f>
        <v/>
      </c>
      <c r="F6" s="7" t="inlineStr">
        <is>
          <t>Rare</t>
        </is>
      </c>
      <c r="G6" s="7" t="inlineStr">
        <is>
          <t>(none)</t>
        </is>
      </c>
      <c r="H6">
        <f>IF($N$6&gt;=2,IF($G$6="Main Stat %",(CHOOSE(MATCH($F$6,{"Rare","Epic","Unique","Legendary","Mystic","Mystic (Prime)"},0),2,3,4.5,7,10,12))*Sensitivity!$H$6,IF($G$6="Damage Taken Decrease %",0,IF($G$6="Defense %",0,IF($G$6="Accuracy",0,IF($G$6="Critical Rate %",(CHOOSE(MATCH($F$6,{"Rare","Epic","Unique","Legendary","Mystic","Mystic (Prime)"},0),2,3,4.5,7,10,12))*Sensitivity!$H$15,IF($G$6="Min Damage Multiplier %",(CHOOSE(MATCH($F$6,{"Rare","Epic","Unique","Legendary","Mystic","Mystic (Prime)"},0),2,3,4.5,7,10,12))*Sensitivity!$H$13,IF($G$6="Max Damage Multiplier %",(CHOOSE(MATCH($F$6,{"Rare","Epic","Unique","Legendary","Mystic","Mystic (Prime)"},0),2,3,4.5,7,10,12))*Sensitivity!$H$14,IF($G$6="Boss Monster Damage %",(CHOOSE(MATCH($F$6,{"Rare","Epic","Unique","Legendary","Mystic","Mystic (Prime)"},0),4,6,9,14,20,24))*Sensitivity!$H$10,IF($G$6="Normal Monster Damage %",(CHOOSE(MATCH($F$6,{"Rare","Epic","Unique","Legendary","Mystic","Mystic (Prime)"},0),4,6,9,14,20,24))*Sensitivity!$H$11,IF($G$6="Status Effect Damage %",0,IF($G$6="Damage %",(CHOOSE(MATCH($F$6,{"Rare","Epic","Unique","Legendary","Mystic","Mystic (Prime)"},0),4,6,9,14,20,24))*Sensitivity!$H$8,IF($G$6="Defense Penetration %",(CHOOSE(MATCH($F$6,{"Rare","Epic","Unique","Legendary","Mystic","Mystic (Prime)"},0),2,3,4.5,7,10,12))*Sensitivity!$H$18,0)))))))))))),0)</f>
        <v/>
      </c>
      <c r="L6">
        <f>Summary!$B$3*((IF(D6="(none)",1,1+(E6+IF(G6=D6,H6,0)+IF(J6=D6,K6,0))/Summary!$B$3))*(IF(OR(G6="(none)",G6=D6),1,1+(H6+IF(D6=G6,E6,0)+IF(J6=G6,K6,0))/Summary!$B$3))*(IF(OR(J6="",J6="(none)",J6=D6,J6=G6),1,1+(K6+IF(D6=J6,E6,0)+IF(G6=J6,H6,0))/Summary!$B$3))-1)</f>
        <v/>
      </c>
      <c r="M6">
        <f>OR(Inputs!$B$47="Pig's Ribbon",Inputs!$B$48="Pig's Ribbon",Inputs!$B$49="Pig's Ribbon",Inputs!$B$50="Pig's Ribbon")</f>
        <v/>
      </c>
      <c r="N6">
        <f>IF(B6="Not Unlocked",0,B6)</f>
        <v/>
      </c>
    </row>
    <row r="7">
      <c r="A7" s="6" t="inlineStr">
        <is>
          <t>Shamaness Marble</t>
        </is>
      </c>
      <c r="B7" s="7" t="n">
        <v>5</v>
      </c>
      <c r="C7" s="7" t="inlineStr">
        <is>
          <t>Rare</t>
        </is>
      </c>
      <c r="D7" s="7" t="inlineStr">
        <is>
          <t>(none)</t>
        </is>
      </c>
      <c r="E7">
        <f>IF($N$7&gt;=1,IF($D$7="Main Stat %",(CHOOSE(MATCH($C$7,{"Rare","Epic","Unique","Legendary","Mystic","Mystic (Prime)"},0),2,3,4.5,7,10,12))*Sensitivity!$H$6,IF($D$7="Damage Taken Decrease %",0,IF($D$7="Defense %",0,IF($D$7="Accuracy",0,IF($D$7="Critical Rate %",(CHOOSE(MATCH($C$7,{"Rare","Epic","Unique","Legendary","Mystic","Mystic (Prime)"},0),2,3,4.5,7,10,12))*Sensitivity!$H$15,IF($D$7="Min Damage Multiplier %",(CHOOSE(MATCH($C$7,{"Rare","Epic","Unique","Legendary","Mystic","Mystic (Prime)"},0),2,3,4.5,7,10,12))*Sensitivity!$H$13,IF($D$7="Max Damage Multiplier %",(CHOOSE(MATCH($C$7,{"Rare","Epic","Unique","Legendary","Mystic","Mystic (Prime)"},0),2,3,4.5,7,10,12))*Sensitivity!$H$14,IF($D$7="Boss Monster Damage %",(CHOOSE(MATCH($C$7,{"Rare","Epic","Unique","Legendary","Mystic","Mystic (Prime)"},0),4,6,9,14,20,24))*Sensitivity!$H$10,IF($D$7="Normal Monster Damage %",(CHOOSE(MATCH($C$7,{"Rare","Epic","Unique","Legendary","Mystic","Mystic (Prime)"},0),4,6,9,14,20,24))*Sensitivity!$H$11,IF($D$7="Status Effect Damage %",0,IF($D$7="Damage %",(CHOOSE(MATCH($C$7,{"Rare","Epic","Unique","Legendary","Mystic","Mystic (Prime)"},0),4,6,9,14,20,24))*Sensitivity!$H$8,IF($D$7="Defense Penetration %",(CHOOSE(MATCH($C$7,{"Rare","Epic","Unique","Legendary","Mystic","Mystic (Prime)"},0),2,3,4.5,7,10,12))*Sensitivity!$H$18,0)))))))))))),0)</f>
        <v/>
      </c>
      <c r="F7" s="7" t="inlineStr">
        <is>
          <t>Rare</t>
        </is>
      </c>
      <c r="G7" s="7" t="inlineStr">
        <is>
          <t>(none)</t>
        </is>
      </c>
      <c r="H7">
        <f>IF($N$7&gt;=2,IF($G$7="Main Stat %",(CHOOSE(MATCH($F$7,{"Rare","Epic","Unique","Legendary","Mystic","Mystic (Prime)"},0),2,3,4.5,7,10,12))*Sensitivity!$H$6,IF($G$7="Damage Taken Decrease %",0,IF($G$7="Defense %",0,IF($G$7="Accuracy",0,IF($G$7="Critical Rate %",(CHOOSE(MATCH($F$7,{"Rare","Epic","Unique","Legendary","Mystic","Mystic (Prime)"},0),2,3,4.5,7,10,12))*Sensitivity!$H$15,IF($G$7="Min Damage Multiplier %",(CHOOSE(MATCH($F$7,{"Rare","Epic","Unique","Legendary","Mystic","Mystic (Prime)"},0),2,3,4.5,7,10,12))*Sensitivity!$H$13,IF($G$7="Max Damage Multiplier %",(CHOOSE(MATCH($F$7,{"Rare","Epic","Unique","Legendary","Mystic","Mystic (Prime)"},0),2,3,4.5,7,10,12))*Sensitivity!$H$14,IF($G$7="Boss Monster Damage %",(CHOOSE(MATCH($F$7,{"Rare","Epic","Unique","Legendary","Mystic","Mystic (Prime)"},0),4,6,9,14,20,24))*Sensitivity!$H$10,IF($G$7="Normal Monster Damage %",(CHOOSE(MATCH($F$7,{"Rare","Epic","Unique","Legendary","Mystic","Mystic (Prime)"},0),4,6,9,14,20,24))*Sensitivity!$H$11,IF($G$7="Status Effect Damage %",0,IF($G$7="Damage %",(CHOOSE(MATCH($F$7,{"Rare","Epic","Unique","Legendary","Mystic","Mystic (Prime)"},0),4,6,9,14,20,24))*Sensitivity!$H$8,IF($G$7="Defense Penetration %",(CHOOSE(MATCH($F$7,{"Rare","Epic","Unique","Legendary","Mystic","Mystic (Prime)"},0),2,3,4.5,7,10,12))*Sensitivity!$H$18,0)))))))))))),0)</f>
        <v/>
      </c>
      <c r="L7">
        <f>Summary!$B$3*((IF(D7="(none)",1,1+(E7+IF(G7=D7,H7,0)+IF(J7=D7,K7,0))/Summary!$B$3))*(IF(OR(G7="(none)",G7=D7),1,1+(H7+IF(D7=G7,E7,0)+IF(J7=G7,K7,0))/Summary!$B$3))*(IF(OR(J7="",J7="(none)",J7=D7,J7=G7),1,1+(K7+IF(D7=J7,E7,0)+IF(G7=J7,H7,0))/Summary!$B$3))-1)</f>
        <v/>
      </c>
      <c r="M7">
        <f>OR(Inputs!$B$47="Shamaness Marble",Inputs!$B$48="Shamaness Marble",Inputs!$B$49="Shamaness Marble",Inputs!$B$50="Shamaness Marble")</f>
        <v/>
      </c>
      <c r="N7">
        <f>IF(B7="Not Unlocked",0,B7)</f>
        <v/>
      </c>
    </row>
    <row r="8">
      <c r="A8" s="6" t="inlineStr">
        <is>
          <t>The Contract of Darkness</t>
        </is>
      </c>
      <c r="B8" s="7" t="n">
        <v>5</v>
      </c>
      <c r="C8" s="7" t="inlineStr">
        <is>
          <t>Rare</t>
        </is>
      </c>
      <c r="D8" s="7" t="inlineStr">
        <is>
          <t>(none)</t>
        </is>
      </c>
      <c r="E8">
        <f>IF($N$8&gt;=1,IF($D$8="Main Stat %",(CHOOSE(MATCH($C$8,{"Rare","Epic","Unique","Legendary","Mystic","Mystic (Prime)"},0),2,3,4.5,7,10,12))*Sensitivity!$H$6,IF($D$8="Damage Taken Decrease %",0,IF($D$8="Defense %",0,IF($D$8="Accuracy",0,IF($D$8="Critical Rate %",(CHOOSE(MATCH($C$8,{"Rare","Epic","Unique","Legendary","Mystic","Mystic (Prime)"},0),2,3,4.5,7,10,12))*Sensitivity!$H$15,IF($D$8="Min Damage Multiplier %",(CHOOSE(MATCH($C$8,{"Rare","Epic","Unique","Legendary","Mystic","Mystic (Prime)"},0),2,3,4.5,7,10,12))*Sensitivity!$H$13,IF($D$8="Max Damage Multiplier %",(CHOOSE(MATCH($C$8,{"Rare","Epic","Unique","Legendary","Mystic","Mystic (Prime)"},0),2,3,4.5,7,10,12))*Sensitivity!$H$14,IF($D$8="Boss Monster Damage %",(CHOOSE(MATCH($C$8,{"Rare","Epic","Unique","Legendary","Mystic","Mystic (Prime)"},0),4,6,9,14,20,24))*Sensitivity!$H$10,IF($D$8="Normal Monster Damage %",(CHOOSE(MATCH($C$8,{"Rare","Epic","Unique","Legendary","Mystic","Mystic (Prime)"},0),4,6,9,14,20,24))*Sensitivity!$H$11,IF($D$8="Status Effect Damage %",0,IF($D$8="Damage %",(CHOOSE(MATCH($C$8,{"Rare","Epic","Unique","Legendary","Mystic","Mystic (Prime)"},0),4,6,9,14,20,24))*Sensitivity!$H$8,IF($D$8="Defense Penetration %",(CHOOSE(MATCH($C$8,{"Rare","Epic","Unique","Legendary","Mystic","Mystic (Prime)"},0),2,3,4.5,7,10,12))*Sensitivity!$H$18,0)))))))))))),0)</f>
        <v/>
      </c>
      <c r="F8" s="7" t="inlineStr">
        <is>
          <t>Rare</t>
        </is>
      </c>
      <c r="G8" s="7" t="inlineStr">
        <is>
          <t>(none)</t>
        </is>
      </c>
      <c r="H8">
        <f>IF($N$8&gt;=2,IF($G$8="Main Stat %",(CHOOSE(MATCH($F$8,{"Rare","Epic","Unique","Legendary","Mystic","Mystic (Prime)"},0),2,3,4.5,7,10,12))*Sensitivity!$H$6,IF($G$8="Damage Taken Decrease %",0,IF($G$8="Defense %",0,IF($G$8="Accuracy",0,IF($G$8="Critical Rate %",(CHOOSE(MATCH($F$8,{"Rare","Epic","Unique","Legendary","Mystic","Mystic (Prime)"},0),2,3,4.5,7,10,12))*Sensitivity!$H$15,IF($G$8="Min Damage Multiplier %",(CHOOSE(MATCH($F$8,{"Rare","Epic","Unique","Legendary","Mystic","Mystic (Prime)"},0),2,3,4.5,7,10,12))*Sensitivity!$H$13,IF($G$8="Max Damage Multiplier %",(CHOOSE(MATCH($F$8,{"Rare","Epic","Unique","Legendary","Mystic","Mystic (Prime)"},0),2,3,4.5,7,10,12))*Sensitivity!$H$14,IF($G$8="Boss Monster Damage %",(CHOOSE(MATCH($F$8,{"Rare","Epic","Unique","Legendary","Mystic","Mystic (Prime)"},0),4,6,9,14,20,24))*Sensitivity!$H$10,IF($G$8="Normal Monster Damage %",(CHOOSE(MATCH($F$8,{"Rare","Epic","Unique","Legendary","Mystic","Mystic (Prime)"},0),4,6,9,14,20,24))*Sensitivity!$H$11,IF($G$8="Status Effect Damage %",0,IF($G$8="Damage %",(CHOOSE(MATCH($F$8,{"Rare","Epic","Unique","Legendary","Mystic","Mystic (Prime)"},0),4,6,9,14,20,24))*Sensitivity!$H$8,IF($G$8="Defense Penetration %",(CHOOSE(MATCH($F$8,{"Rare","Epic","Unique","Legendary","Mystic","Mystic (Prime)"},0),2,3,4.5,7,10,12))*Sensitivity!$H$18,0)))))))))))),0)</f>
        <v/>
      </c>
      <c r="L8">
        <f>Summary!$B$3*((IF(D8="(none)",1,1+(E8+IF(G8=D8,H8,0)+IF(J8=D8,K8,0))/Summary!$B$3))*(IF(OR(G8="(none)",G8=D8),1,1+(H8+IF(D8=G8,E8,0)+IF(J8=G8,K8,0))/Summary!$B$3))*(IF(OR(J8="",J8="(none)",J8=D8,J8=G8),1,1+(K8+IF(D8=J8,E8,0)+IF(G8=J8,H8,0))/Summary!$B$3))-1)</f>
        <v/>
      </c>
      <c r="M8">
        <f>OR(Inputs!$B$47="The Contract of Darkness",Inputs!$B$48="The Contract of Darkness",Inputs!$B$49="The Contract of Darkness",Inputs!$B$50="The Contract of Darkness")</f>
        <v/>
      </c>
      <c r="N8">
        <f>IF(B8="Not Unlocked",0,B8)</f>
        <v/>
      </c>
    </row>
    <row r="10">
      <c r="A10" s="6" t="inlineStr">
        <is>
          <t>Rainbow-colored Snail Shell</t>
        </is>
      </c>
      <c r="B10" s="7" t="n">
        <v>3</v>
      </c>
      <c r="C10" s="7" t="inlineStr">
        <is>
          <t>Rare</t>
        </is>
      </c>
      <c r="D10" s="7" t="inlineStr">
        <is>
          <t>(none)</t>
        </is>
      </c>
      <c r="E10">
        <f>IF($N$10&gt;=1,IF($D$10="Main Stat %",(CHOOSE(MATCH($C$10,{"Rare","Epic","Unique","Legendary","Mystic","Mystic (Prime)"},0),2,3,4.5,7,10,12))*Sensitivity!$H$6,IF($D$10="Damage Taken Decrease %",0,IF($D$10="Defense %",0,IF($D$10="Accuracy",0,IF($D$10="Critical Rate %",(CHOOSE(MATCH($C$10,{"Rare","Epic","Unique","Legendary","Mystic","Mystic (Prime)"},0),2,3,4.5,7,10,12))*Sensitivity!$H$15,IF($D$10="Min Damage Multiplier %",(CHOOSE(MATCH($C$10,{"Rare","Epic","Unique","Legendary","Mystic","Mystic (Prime)"},0),2,3,4.5,7,10,12))*Sensitivity!$H$13,IF($D$10="Max Damage Multiplier %",(CHOOSE(MATCH($C$10,{"Rare","Epic","Unique","Legendary","Mystic","Mystic (Prime)"},0),2,3,4.5,7,10,12))*Sensitivity!$H$14,IF($D$10="Boss Monster Damage %",(CHOOSE(MATCH($C$10,{"Rare","Epic","Unique","Legendary","Mystic","Mystic (Prime)"},0),4,6,9,14,20,24))*Sensitivity!$H$10,IF($D$10="Normal Monster Damage %",(CHOOSE(MATCH($C$10,{"Rare","Epic","Unique","Legendary","Mystic","Mystic (Prime)"},0),4,6,9,14,20,24))*Sensitivity!$H$11,IF($D$10="Status Effect Damage %",0,IF($D$10="Damage %",(CHOOSE(MATCH($C$10,{"Rare","Epic","Unique","Legendary","Mystic","Mystic (Prime)"},0),4,6,9,14,20,24))*Sensitivity!$H$8,IF($D$10="Defense Penetration %",(CHOOSE(MATCH($C$10,{"Rare","Epic","Unique","Legendary","Mystic","Mystic (Prime)"},0),2,3,4.5,7,10,12))*Sensitivity!$H$18,0)))))))))))),0)</f>
        <v/>
      </c>
      <c r="F10" s="7" t="inlineStr">
        <is>
          <t>Rare</t>
        </is>
      </c>
      <c r="G10" s="7" t="inlineStr">
        <is>
          <t>(none)</t>
        </is>
      </c>
      <c r="H10">
        <f>IF($N$10&gt;=2,IF($G$10="Main Stat %",(CHOOSE(MATCH($F$10,{"Rare","Epic","Unique","Legendary","Mystic","Mystic (Prime)"},0),2,3,4.5,7,10,12))*Sensitivity!$H$6,IF($G$10="Damage Taken Decrease %",0,IF($G$10="Defense %",0,IF($G$10="Accuracy",0,IF($G$10="Critical Rate %",(CHOOSE(MATCH($F$10,{"Rare","Epic","Unique","Legendary","Mystic","Mystic (Prime)"},0),2,3,4.5,7,10,12))*Sensitivity!$H$15,IF($G$10="Min Damage Multiplier %",(CHOOSE(MATCH($F$10,{"Rare","Epic","Unique","Legendary","Mystic","Mystic (Prime)"},0),2,3,4.5,7,10,12))*Sensitivity!$H$13,IF($G$10="Max Damage Multiplier %",(CHOOSE(MATCH($F$10,{"Rare","Epic","Unique","Legendary","Mystic","Mystic (Prime)"},0),2,3,4.5,7,10,12))*Sensitivity!$H$14,IF($G$10="Boss Monster Damage %",(CHOOSE(MATCH($F$10,{"Rare","Epic","Unique","Legendary","Mystic","Mystic (Prime)"},0),4,6,9,14,20,24))*Sensitivity!$H$10,IF($G$10="Normal Monster Damage %",(CHOOSE(MATCH($F$10,{"Rare","Epic","Unique","Legendary","Mystic","Mystic (Prime)"},0),4,6,9,14,20,24))*Sensitivity!$H$11,IF($G$10="Status Effect Damage %",0,IF($G$10="Damage %",(CHOOSE(MATCH($F$10,{"Rare","Epic","Unique","Legendary","Mystic","Mystic (Prime)"},0),4,6,9,14,20,24))*Sensitivity!$H$8,IF($G$10="Defense Penetration %",(CHOOSE(MATCH($F$10,{"Rare","Epic","Unique","Legendary","Mystic","Mystic (Prime)"},0),2,3,4.5,7,10,12))*Sensitivity!$H$18,0)))))))))))),0)</f>
        <v/>
      </c>
      <c r="L10">
        <f>Summary!$B$3*((IF(D10="(none)",1,1+(E10+IF(G10=D10,H10,0)+IF(J10=D10,K10,0))/Summary!$B$3))*(IF(OR(G10="(none)",G10=D10),1,1+(H10+IF(D10=G10,E10,0)+IF(J10=G10,K10,0))/Summary!$B$3))*(IF(OR(J10="",J10="(none)",J10=D10,J10=G10),1,1+(K10+IF(D10=J10,E10,0)+IF(G10=J10,H10,0))/Summary!$B$3))-1)</f>
        <v/>
      </c>
      <c r="M10">
        <f>OR(Inputs!$B$47="Rainbow-colored Snail Shell",Inputs!$B$48="Rainbow-colored Snail Shell",Inputs!$B$49="Rainbow-colored Snail Shell",Inputs!$B$50="Rainbow-colored Snail Shell")</f>
        <v/>
      </c>
      <c r="N10">
        <f>IF(B10="Not Unlocked",0,B10)</f>
        <v/>
      </c>
    </row>
    <row r="11">
      <c r="A11" s="6" t="inlineStr">
        <is>
          <t>Hexagon Necklace</t>
        </is>
      </c>
      <c r="B11" s="7" t="n">
        <v>3</v>
      </c>
      <c r="C11" s="7" t="inlineStr">
        <is>
          <t>Rare</t>
        </is>
      </c>
      <c r="D11" s="7" t="inlineStr">
        <is>
          <t>(none)</t>
        </is>
      </c>
      <c r="E11">
        <f>IF($N$11&gt;=1,IF($D$11="Main Stat %",(CHOOSE(MATCH($C$11,{"Rare","Epic","Unique","Legendary","Mystic","Mystic (Prime)"},0),2,3,4.5,7,10,12))*Sensitivity!$H$6,IF($D$11="Damage Taken Decrease %",0,IF($D$11="Defense %",0,IF($D$11="Accuracy",0,IF($D$11="Critical Rate %",(CHOOSE(MATCH($C$11,{"Rare","Epic","Unique","Legendary","Mystic","Mystic (Prime)"},0),2,3,4.5,7,10,12))*Sensitivity!$H$15,IF($D$11="Min Damage Multiplier %",(CHOOSE(MATCH($C$11,{"Rare","Epic","Unique","Legendary","Mystic","Mystic (Prime)"},0),2,3,4.5,7,10,12))*Sensitivity!$H$13,IF($D$11="Max Damage Multiplier %",(CHOOSE(MATCH($C$11,{"Rare","Epic","Unique","Legendary","Mystic","Mystic (Prime)"},0),2,3,4.5,7,10,12))*Sensitivity!$H$14,IF($D$11="Boss Monster Damage %",(CHOOSE(MATCH($C$11,{"Rare","Epic","Unique","Legendary","Mystic","Mystic (Prime)"},0),4,6,9,14,20,24))*Sensitivity!$H$10,IF($D$11="Normal Monster Damage %",(CHOOSE(MATCH($C$11,{"Rare","Epic","Unique","Legendary","Mystic","Mystic (Prime)"},0),4,6,9,14,20,24))*Sensitivity!$H$11,IF($D$11="Status Effect Damage %",0,IF($D$11="Damage %",(CHOOSE(MATCH($C$11,{"Rare","Epic","Unique","Legendary","Mystic","Mystic (Prime)"},0),4,6,9,14,20,24))*Sensitivity!$H$8,IF($D$11="Defense Penetration %",(CHOOSE(MATCH($C$11,{"Rare","Epic","Unique","Legendary","Mystic","Mystic (Prime)"},0),2,3,4.5,7,10,12))*Sensitivity!$H$18,0)))))))))))),0)</f>
        <v/>
      </c>
      <c r="F11" s="7" t="inlineStr">
        <is>
          <t>Rare</t>
        </is>
      </c>
      <c r="G11" s="7" t="inlineStr">
        <is>
          <t>(none)</t>
        </is>
      </c>
      <c r="H11">
        <f>IF($N$11&gt;=2,IF($G$11="Main Stat %",(CHOOSE(MATCH($F$11,{"Rare","Epic","Unique","Legendary","Mystic","Mystic (Prime)"},0),2,3,4.5,7,10,12))*Sensitivity!$H$6,IF($G$11="Damage Taken Decrease %",0,IF($G$11="Defense %",0,IF($G$11="Accuracy",0,IF($G$11="Critical Rate %",(CHOOSE(MATCH($F$11,{"Rare","Epic","Unique","Legendary","Mystic","Mystic (Prime)"},0),2,3,4.5,7,10,12))*Sensitivity!$H$15,IF($G$11="Min Damage Multiplier %",(CHOOSE(MATCH($F$11,{"Rare","Epic","Unique","Legendary","Mystic","Mystic (Prime)"},0),2,3,4.5,7,10,12))*Sensitivity!$H$13,IF($G$11="Max Damage Multiplier %",(CHOOSE(MATCH($F$11,{"Rare","Epic","Unique","Legendary","Mystic","Mystic (Prime)"},0),2,3,4.5,7,10,12))*Sensitivity!$H$14,IF($G$11="Boss Monster Damage %",(CHOOSE(MATCH($F$11,{"Rare","Epic","Unique","Legendary","Mystic","Mystic (Prime)"},0),4,6,9,14,20,24))*Sensitivity!$H$10,IF($G$11="Normal Monster Damage %",(CHOOSE(MATCH($F$11,{"Rare","Epic","Unique","Legendary","Mystic","Mystic (Prime)"},0),4,6,9,14,20,24))*Sensitivity!$H$11,IF($G$11="Status Effect Damage %",0,IF($G$11="Damage %",(CHOOSE(MATCH($F$11,{"Rare","Epic","Unique","Legendary","Mystic","Mystic (Prime)"},0),4,6,9,14,20,24))*Sensitivity!$H$8,IF($G$11="Defense Penetration %",(CHOOSE(MATCH($F$11,{"Rare","Epic","Unique","Legendary","Mystic","Mystic (Prime)"},0),2,3,4.5,7,10,12))*Sensitivity!$H$18,0)))))))))))),0)</f>
        <v/>
      </c>
      <c r="L11">
        <f>Summary!$B$3*((IF(D11="(none)",1,1+(E11+IF(G11=D11,H11,0)+IF(J11=D11,K11,0))/Summary!$B$3))*(IF(OR(G11="(none)",G11=D11),1,1+(H11+IF(D11=G11,E11,0)+IF(J11=G11,K11,0))/Summary!$B$3))*(IF(OR(J11="",J11="(none)",J11=D11,J11=G11),1,1+(K11+IF(D11=J11,E11,0)+IF(G11=J11,H11,0))/Summary!$B$3))-1)</f>
        <v/>
      </c>
      <c r="M11">
        <f>OR(Inputs!$B$47="Hexagon Necklace",Inputs!$B$48="Hexagon Necklace",Inputs!$B$49="Hexagon Necklace",Inputs!$B$50="Hexagon Necklace")</f>
        <v/>
      </c>
      <c r="N11">
        <f>IF(B11="Not Unlocked",0,B11)</f>
        <v/>
      </c>
    </row>
    <row r="12">
      <c r="A12" s="6" t="inlineStr">
        <is>
          <t>Arwen's Glass Shoes</t>
        </is>
      </c>
      <c r="B12" s="7" t="n">
        <v>3</v>
      </c>
      <c r="C12" s="7" t="inlineStr">
        <is>
          <t>Rare</t>
        </is>
      </c>
      <c r="D12" s="7" t="inlineStr">
        <is>
          <t>(none)</t>
        </is>
      </c>
      <c r="E12">
        <f>IF($N$12&gt;=1,IF($D$12="Main Stat %",(CHOOSE(MATCH($C$12,{"Rare","Epic","Unique","Legendary","Mystic","Mystic (Prime)"},0),2,3,4.5,7,10,12))*Sensitivity!$H$6,IF($D$12="Damage Taken Decrease %",0,IF($D$12="Defense %",0,IF($D$12="Accuracy",0,IF($D$12="Critical Rate %",(CHOOSE(MATCH($C$12,{"Rare","Epic","Unique","Legendary","Mystic","Mystic (Prime)"},0),2,3,4.5,7,10,12))*Sensitivity!$H$15,IF($D$12="Min Damage Multiplier %",(CHOOSE(MATCH($C$12,{"Rare","Epic","Unique","Legendary","Mystic","Mystic (Prime)"},0),2,3,4.5,7,10,12))*Sensitivity!$H$13,IF($D$12="Max Damage Multiplier %",(CHOOSE(MATCH($C$12,{"Rare","Epic","Unique","Legendary","Mystic","Mystic (Prime)"},0),2,3,4.5,7,10,12))*Sensitivity!$H$14,IF($D$12="Boss Monster Damage %",(CHOOSE(MATCH($C$12,{"Rare","Epic","Unique","Legendary","Mystic","Mystic (Prime)"},0),4,6,9,14,20,24))*Sensitivity!$H$10,IF($D$12="Normal Monster Damage %",(CHOOSE(MATCH($C$12,{"Rare","Epic","Unique","Legendary","Mystic","Mystic (Prime)"},0),4,6,9,14,20,24))*Sensitivity!$H$11,IF($D$12="Status Effect Damage %",0,IF($D$12="Damage %",(CHOOSE(MATCH($C$12,{"Rare","Epic","Unique","Legendary","Mystic","Mystic (Prime)"},0),4,6,9,14,20,24))*Sensitivity!$H$8,IF($D$12="Defense Penetration %",(CHOOSE(MATCH($C$12,{"Rare","Epic","Unique","Legendary","Mystic","Mystic (Prime)"},0),2,3,4.5,7,10,12))*Sensitivity!$H$18,0)))))))))))),0)</f>
        <v/>
      </c>
      <c r="F12" s="7" t="inlineStr">
        <is>
          <t>Rare</t>
        </is>
      </c>
      <c r="G12" s="7" t="inlineStr">
        <is>
          <t>(none)</t>
        </is>
      </c>
      <c r="H12">
        <f>IF($N$12&gt;=2,IF($G$12="Main Stat %",(CHOOSE(MATCH($F$12,{"Rare","Epic","Unique","Legendary","Mystic","Mystic (Prime)"},0),2,3,4.5,7,10,12))*Sensitivity!$H$6,IF($G$12="Damage Taken Decrease %",0,IF($G$12="Defense %",0,IF($G$12="Accuracy",0,IF($G$12="Critical Rate %",(CHOOSE(MATCH($F$12,{"Rare","Epic","Unique","Legendary","Mystic","Mystic (Prime)"},0),2,3,4.5,7,10,12))*Sensitivity!$H$15,IF($G$12="Min Damage Multiplier %",(CHOOSE(MATCH($F$12,{"Rare","Epic","Unique","Legendary","Mystic","Mystic (Prime)"},0),2,3,4.5,7,10,12))*Sensitivity!$H$13,IF($G$12="Max Damage Multiplier %",(CHOOSE(MATCH($F$12,{"Rare","Epic","Unique","Legendary","Mystic","Mystic (Prime)"},0),2,3,4.5,7,10,12))*Sensitivity!$H$14,IF($G$12="Boss Monster Damage %",(CHOOSE(MATCH($F$12,{"Rare","Epic","Unique","Legendary","Mystic","Mystic (Prime)"},0),4,6,9,14,20,24))*Sensitivity!$H$10,IF($G$12="Normal Monster Damage %",(CHOOSE(MATCH($F$12,{"Rare","Epic","Unique","Legendary","Mystic","Mystic (Prime)"},0),4,6,9,14,20,24))*Sensitivity!$H$11,IF($G$12="Status Effect Damage %",0,IF($G$12="Damage %",(CHOOSE(MATCH($F$12,{"Rare","Epic","Unique","Legendary","Mystic","Mystic (Prime)"},0),4,6,9,14,20,24))*Sensitivity!$H$8,IF($G$12="Defense Penetration %",(CHOOSE(MATCH($F$12,{"Rare","Epic","Unique","Legendary","Mystic","Mystic (Prime)"},0),2,3,4.5,7,10,12))*Sensitivity!$H$18,0)))))))))))),0)</f>
        <v/>
      </c>
      <c r="L12">
        <f>Summary!$B$3*((IF(D12="(none)",1,1+(E12+IF(G12=D12,H12,0)+IF(J12=D12,K12,0))/Summary!$B$3))*(IF(OR(G12="(none)",G12=D12),1,1+(H12+IF(D12=G12,E12,0)+IF(J12=G12,K12,0))/Summary!$B$3))*(IF(OR(J12="",J12="(none)",J12=D12,J12=G12),1,1+(K12+IF(D12=J12,E12,0)+IF(G12=J12,H12,0))/Summary!$B$3))-1)</f>
        <v/>
      </c>
      <c r="M12">
        <f>OR(Inputs!$B$47="Arwen's Glass Shoes",Inputs!$B$48="Arwen's Glass Shoes",Inputs!$B$49="Arwen's Glass Shoes",Inputs!$B$50="Arwen's Glass Shoes")</f>
        <v/>
      </c>
      <c r="N12">
        <f>IF(B12="Not Unlocked",0,B12)</f>
        <v/>
      </c>
    </row>
    <row r="13">
      <c r="A13" s="6" t="inlineStr">
        <is>
          <t>Mushmom's Cap</t>
        </is>
      </c>
      <c r="B13" s="7" t="n">
        <v>3</v>
      </c>
      <c r="C13" s="7" t="inlineStr">
        <is>
          <t>Rare</t>
        </is>
      </c>
      <c r="D13" s="7" t="inlineStr">
        <is>
          <t>(none)</t>
        </is>
      </c>
      <c r="E13">
        <f>IF($N$13&gt;=1,IF($D$13="Main Stat %",(CHOOSE(MATCH($C$13,{"Rare","Epic","Unique","Legendary","Mystic","Mystic (Prime)"},0),2,3,4.5,7,10,12))*Sensitivity!$H$6,IF($D$13="Damage Taken Decrease %",0,IF($D$13="Defense %",0,IF($D$13="Accuracy",0,IF($D$13="Critical Rate %",(CHOOSE(MATCH($C$13,{"Rare","Epic","Unique","Legendary","Mystic","Mystic (Prime)"},0),2,3,4.5,7,10,12))*Sensitivity!$H$15,IF($D$13="Min Damage Multiplier %",(CHOOSE(MATCH($C$13,{"Rare","Epic","Unique","Legendary","Mystic","Mystic (Prime)"},0),2,3,4.5,7,10,12))*Sensitivity!$H$13,IF($D$13="Max Damage Multiplier %",(CHOOSE(MATCH($C$13,{"Rare","Epic","Unique","Legendary","Mystic","Mystic (Prime)"},0),2,3,4.5,7,10,12))*Sensitivity!$H$14,IF($D$13="Boss Monster Damage %",(CHOOSE(MATCH($C$13,{"Rare","Epic","Unique","Legendary","Mystic","Mystic (Prime)"},0),4,6,9,14,20,24))*Sensitivity!$H$10,IF($D$13="Normal Monster Damage %",(CHOOSE(MATCH($C$13,{"Rare","Epic","Unique","Legendary","Mystic","Mystic (Prime)"},0),4,6,9,14,20,24))*Sensitivity!$H$11,IF($D$13="Status Effect Damage %",0,IF($D$13="Damage %",(CHOOSE(MATCH($C$13,{"Rare","Epic","Unique","Legendary","Mystic","Mystic (Prime)"},0),4,6,9,14,20,24))*Sensitivity!$H$8,IF($D$13="Defense Penetration %",(CHOOSE(MATCH($C$13,{"Rare","Epic","Unique","Legendary","Mystic","Mystic (Prime)"},0),2,3,4.5,7,10,12))*Sensitivity!$H$18,0)))))))))))),0)</f>
        <v/>
      </c>
      <c r="F13" s="7" t="inlineStr">
        <is>
          <t>Rare</t>
        </is>
      </c>
      <c r="G13" s="7" t="inlineStr">
        <is>
          <t>(none)</t>
        </is>
      </c>
      <c r="H13">
        <f>IF($N$13&gt;=2,IF($G$13="Main Stat %",(CHOOSE(MATCH($F$13,{"Rare","Epic","Unique","Legendary","Mystic","Mystic (Prime)"},0),2,3,4.5,7,10,12))*Sensitivity!$H$6,IF($G$13="Damage Taken Decrease %",0,IF($G$13="Defense %",0,IF($G$13="Accuracy",0,IF($G$13="Critical Rate %",(CHOOSE(MATCH($F$13,{"Rare","Epic","Unique","Legendary","Mystic","Mystic (Prime)"},0),2,3,4.5,7,10,12))*Sensitivity!$H$15,IF($G$13="Min Damage Multiplier %",(CHOOSE(MATCH($F$13,{"Rare","Epic","Unique","Legendary","Mystic","Mystic (Prime)"},0),2,3,4.5,7,10,12))*Sensitivity!$H$13,IF($G$13="Max Damage Multiplier %",(CHOOSE(MATCH($F$13,{"Rare","Epic","Unique","Legendary","Mystic","Mystic (Prime)"},0),2,3,4.5,7,10,12))*Sensitivity!$H$14,IF($G$13="Boss Monster Damage %",(CHOOSE(MATCH($F$13,{"Rare","Epic","Unique","Legendary","Mystic","Mystic (Prime)"},0),4,6,9,14,20,24))*Sensitivity!$H$10,IF($G$13="Normal Monster Damage %",(CHOOSE(MATCH($F$13,{"Rare","Epic","Unique","Legendary","Mystic","Mystic (Prime)"},0),4,6,9,14,20,24))*Sensitivity!$H$11,IF($G$13="Status Effect Damage %",0,IF($G$13="Damage %",(CHOOSE(MATCH($F$13,{"Rare","Epic","Unique","Legendary","Mystic","Mystic (Prime)"},0),4,6,9,14,20,24))*Sensitivity!$H$8,IF($G$13="Defense Penetration %",(CHOOSE(MATCH($F$13,{"Rare","Epic","Unique","Legendary","Mystic","Mystic (Prime)"},0),2,3,4.5,7,10,12))*Sensitivity!$H$18,0)))))))))))),0)</f>
        <v/>
      </c>
      <c r="L13">
        <f>Summary!$B$3*((IF(D13="(none)",1,1+(E13+IF(G13=D13,H13,0)+IF(J13=D13,K13,0))/Summary!$B$3))*(IF(OR(G13="(none)",G13=D13),1,1+(H13+IF(D13=G13,E13,0)+IF(J13=G13,K13,0))/Summary!$B$3))*(IF(OR(J13="",J13="(none)",J13=D13,J13=G13),1,1+(K13+IF(D13=J13,E13,0)+IF(G13=J13,H13,0))/Summary!$B$3))-1)</f>
        <v/>
      </c>
      <c r="M13">
        <f>OR(Inputs!$B$47="Mushmom's Cap",Inputs!$B$48="Mushmom's Cap",Inputs!$B$49="Mushmom's Cap",Inputs!$B$50="Mushmom's Cap")</f>
        <v/>
      </c>
      <c r="N13">
        <f>IF(B13="Not Unlocked",0,B13)</f>
        <v/>
      </c>
    </row>
    <row r="14">
      <c r="A14" s="6" t="inlineStr">
        <is>
          <t>Clear Spring Water</t>
        </is>
      </c>
      <c r="B14" s="7" t="n">
        <v>3</v>
      </c>
      <c r="C14" s="7" t="inlineStr">
        <is>
          <t>Rare</t>
        </is>
      </c>
      <c r="D14" s="7" t="inlineStr">
        <is>
          <t>(none)</t>
        </is>
      </c>
      <c r="E14">
        <f>IF($N$14&gt;=1,IF($D$14="Main Stat %",(CHOOSE(MATCH($C$14,{"Rare","Epic","Unique","Legendary","Mystic","Mystic (Prime)"},0),2,3,4.5,7,10,12))*Sensitivity!$H$6,IF($D$14="Damage Taken Decrease %",0,IF($D$14="Defense %",0,IF($D$14="Accuracy",0,IF($D$14="Critical Rate %",(CHOOSE(MATCH($C$14,{"Rare","Epic","Unique","Legendary","Mystic","Mystic (Prime)"},0),2,3,4.5,7,10,12))*Sensitivity!$H$15,IF($D$14="Min Damage Multiplier %",(CHOOSE(MATCH($C$14,{"Rare","Epic","Unique","Legendary","Mystic","Mystic (Prime)"},0),2,3,4.5,7,10,12))*Sensitivity!$H$13,IF($D$14="Max Damage Multiplier %",(CHOOSE(MATCH($C$14,{"Rare","Epic","Unique","Legendary","Mystic","Mystic (Prime)"},0),2,3,4.5,7,10,12))*Sensitivity!$H$14,IF($D$14="Boss Monster Damage %",(CHOOSE(MATCH($C$14,{"Rare","Epic","Unique","Legendary","Mystic","Mystic (Prime)"},0),4,6,9,14,20,24))*Sensitivity!$H$10,IF($D$14="Normal Monster Damage %",(CHOOSE(MATCH($C$14,{"Rare","Epic","Unique","Legendary","Mystic","Mystic (Prime)"},0),4,6,9,14,20,24))*Sensitivity!$H$11,IF($D$14="Status Effect Damage %",0,IF($D$14="Damage %",(CHOOSE(MATCH($C$14,{"Rare","Epic","Unique","Legendary","Mystic","Mystic (Prime)"},0),4,6,9,14,20,24))*Sensitivity!$H$8,IF($D$14="Defense Penetration %",(CHOOSE(MATCH($C$14,{"Rare","Epic","Unique","Legendary","Mystic","Mystic (Prime)"},0),2,3,4.5,7,10,12))*Sensitivity!$H$18,0)))))))))))),0)</f>
        <v/>
      </c>
      <c r="F14" s="7" t="inlineStr">
        <is>
          <t>Rare</t>
        </is>
      </c>
      <c r="G14" s="7" t="inlineStr">
        <is>
          <t>(none)</t>
        </is>
      </c>
      <c r="H14">
        <f>IF($N$14&gt;=2,IF($G$14="Main Stat %",(CHOOSE(MATCH($F$14,{"Rare","Epic","Unique","Legendary","Mystic","Mystic (Prime)"},0),2,3,4.5,7,10,12))*Sensitivity!$H$6,IF($G$14="Damage Taken Decrease %",0,IF($G$14="Defense %",0,IF($G$14="Accuracy",0,IF($G$14="Critical Rate %",(CHOOSE(MATCH($F$14,{"Rare","Epic","Unique","Legendary","Mystic","Mystic (Prime)"},0),2,3,4.5,7,10,12))*Sensitivity!$H$15,IF($G$14="Min Damage Multiplier %",(CHOOSE(MATCH($F$14,{"Rare","Epic","Unique","Legendary","Mystic","Mystic (Prime)"},0),2,3,4.5,7,10,12))*Sensitivity!$H$13,IF($G$14="Max Damage Multiplier %",(CHOOSE(MATCH($F$14,{"Rare","Epic","Unique","Legendary","Mystic","Mystic (Prime)"},0),2,3,4.5,7,10,12))*Sensitivity!$H$14,IF($G$14="Boss Monster Damage %",(CHOOSE(MATCH($F$14,{"Rare","Epic","Unique","Legendary","Mystic","Mystic (Prime)"},0),4,6,9,14,20,24))*Sensitivity!$H$10,IF($G$14="Normal Monster Damage %",(CHOOSE(MATCH($F$14,{"Rare","Epic","Unique","Legendary","Mystic","Mystic (Prime)"},0),4,6,9,14,20,24))*Sensitivity!$H$11,IF($G$14="Status Effect Damage %",0,IF($G$14="Damage %",(CHOOSE(MATCH($F$14,{"Rare","Epic","Unique","Legendary","Mystic","Mystic (Prime)"},0),4,6,9,14,20,24))*Sensitivity!$H$8,IF($G$14="Defense Penetration %",(CHOOSE(MATCH($F$14,{"Rare","Epic","Unique","Legendary","Mystic","Mystic (Prime)"},0),2,3,4.5,7,10,12))*Sensitivity!$H$18,0)))))))))))),0)</f>
        <v/>
      </c>
      <c r="L14">
        <f>Summary!$B$3*((IF(D14="(none)",1,1+(E14+IF(G14=D14,H14,0)+IF(J14=D14,K14,0))/Summary!$B$3))*(IF(OR(G14="(none)",G14=D14),1,1+(H14+IF(D14=G14,E14,0)+IF(J14=G14,K14,0))/Summary!$B$3))*(IF(OR(J14="",J14="(none)",J14=D14,J14=G14),1,1+(K14+IF(D14=J14,E14,0)+IF(G14=J14,H14,0))/Summary!$B$3))-1)</f>
        <v/>
      </c>
      <c r="M14">
        <f>OR(Inputs!$B$47="Clear Spring Water",Inputs!$B$48="Clear Spring Water",Inputs!$B$49="Clear Spring Water",Inputs!$B$50="Clear Spring Water")</f>
        <v/>
      </c>
      <c r="N14">
        <f>IF(B14="Not Unlocked",0,B14)</f>
        <v/>
      </c>
    </row>
    <row r="15">
      <c r="A15" s="6" t="inlineStr">
        <is>
          <t>Athena Pierce's Old Gloves</t>
        </is>
      </c>
      <c r="B15" s="7" t="n">
        <v>3</v>
      </c>
      <c r="C15" s="7" t="inlineStr">
        <is>
          <t>Rare</t>
        </is>
      </c>
      <c r="D15" s="7" t="inlineStr">
        <is>
          <t>(none)</t>
        </is>
      </c>
      <c r="E15">
        <f>IF($N$15&gt;=1,IF($D$15="Main Stat %",(CHOOSE(MATCH($C$15,{"Rare","Epic","Unique","Legendary","Mystic","Mystic (Prime)"},0),2,3,4.5,7,10,12))*Sensitivity!$H$6,IF($D$15="Damage Taken Decrease %",0,IF($D$15="Defense %",0,IF($D$15="Accuracy",0,IF($D$15="Critical Rate %",(CHOOSE(MATCH($C$15,{"Rare","Epic","Unique","Legendary","Mystic","Mystic (Prime)"},0),2,3,4.5,7,10,12))*Sensitivity!$H$15,IF($D$15="Min Damage Multiplier %",(CHOOSE(MATCH($C$15,{"Rare","Epic","Unique","Legendary","Mystic","Mystic (Prime)"},0),2,3,4.5,7,10,12))*Sensitivity!$H$13,IF($D$15="Max Damage Multiplier %",(CHOOSE(MATCH($C$15,{"Rare","Epic","Unique","Legendary","Mystic","Mystic (Prime)"},0),2,3,4.5,7,10,12))*Sensitivity!$H$14,IF($D$15="Boss Monster Damage %",(CHOOSE(MATCH($C$15,{"Rare","Epic","Unique","Legendary","Mystic","Mystic (Prime)"},0),4,6,9,14,20,24))*Sensitivity!$H$10,IF($D$15="Normal Monster Damage %",(CHOOSE(MATCH($C$15,{"Rare","Epic","Unique","Legendary","Mystic","Mystic (Prime)"},0),4,6,9,14,20,24))*Sensitivity!$H$11,IF($D$15="Status Effect Damage %",0,IF($D$15="Damage %",(CHOOSE(MATCH($C$15,{"Rare","Epic","Unique","Legendary","Mystic","Mystic (Prime)"},0),4,6,9,14,20,24))*Sensitivity!$H$8,IF($D$15="Defense Penetration %",(CHOOSE(MATCH($C$15,{"Rare","Epic","Unique","Legendary","Mystic","Mystic (Prime)"},0),2,3,4.5,7,10,12))*Sensitivity!$H$18,0)))))))))))),0)</f>
        <v/>
      </c>
      <c r="F15" s="7" t="inlineStr">
        <is>
          <t>Rare</t>
        </is>
      </c>
      <c r="G15" s="7" t="inlineStr">
        <is>
          <t>(none)</t>
        </is>
      </c>
      <c r="H15">
        <f>IF($N$15&gt;=2,IF($G$15="Main Stat %",(CHOOSE(MATCH($F$15,{"Rare","Epic","Unique","Legendary","Mystic","Mystic (Prime)"},0),2,3,4.5,7,10,12))*Sensitivity!$H$6,IF($G$15="Damage Taken Decrease %",0,IF($G$15="Defense %",0,IF($G$15="Accuracy",0,IF($G$15="Critical Rate %",(CHOOSE(MATCH($F$15,{"Rare","Epic","Unique","Legendary","Mystic","Mystic (Prime)"},0),2,3,4.5,7,10,12))*Sensitivity!$H$15,IF($G$15="Min Damage Multiplier %",(CHOOSE(MATCH($F$15,{"Rare","Epic","Unique","Legendary","Mystic","Mystic (Prime)"},0),2,3,4.5,7,10,12))*Sensitivity!$H$13,IF($G$15="Max Damage Multiplier %",(CHOOSE(MATCH($F$15,{"Rare","Epic","Unique","Legendary","Mystic","Mystic (Prime)"},0),2,3,4.5,7,10,12))*Sensitivity!$H$14,IF($G$15="Boss Monster Damage %",(CHOOSE(MATCH($F$15,{"Rare","Epic","Unique","Legendary","Mystic","Mystic (Prime)"},0),4,6,9,14,20,24))*Sensitivity!$H$10,IF($G$15="Normal Monster Damage %",(CHOOSE(MATCH($F$15,{"Rare","Epic","Unique","Legendary","Mystic","Mystic (Prime)"},0),4,6,9,14,20,24))*Sensitivity!$H$11,IF($G$15="Status Effect Damage %",0,IF($G$15="Damage %",(CHOOSE(MATCH($F$15,{"Rare","Epic","Unique","Legendary","Mystic","Mystic (Prime)"},0),4,6,9,14,20,24))*Sensitivity!$H$8,IF($G$15="Defense Penetration %",(CHOOSE(MATCH($F$15,{"Rare","Epic","Unique","Legendary","Mystic","Mystic (Prime)"},0),2,3,4.5,7,10,12))*Sensitivity!$H$18,0)))))))))))),0)</f>
        <v/>
      </c>
      <c r="L15">
        <f>Summary!$B$3*((IF(D15="(none)",1,1+(E15+IF(G15=D15,H15,0)+IF(J15=D15,K15,0))/Summary!$B$3))*(IF(OR(G15="(none)",G15=D15),1,1+(H15+IF(D15=G15,E15,0)+IF(J15=G15,K15,0))/Summary!$B$3))*(IF(OR(J15="",J15="(none)",J15=D15,J15=G15),1,1+(K15+IF(D15=J15,E15,0)+IF(G15=J15,H15,0))/Summary!$B$3))-1)</f>
        <v/>
      </c>
      <c r="M15">
        <f>OR(Inputs!$B$47="Athena Pierce's Old Gloves",Inputs!$B$48="Athena Pierce's Old Gloves",Inputs!$B$49="Athena Pierce's Old Gloves",Inputs!$B$50="Athena Pierce's Old Gloves")</f>
        <v/>
      </c>
      <c r="N15">
        <f>IF(B15="Not Unlocked",0,B15)</f>
        <v/>
      </c>
    </row>
    <row r="16">
      <c r="A16" s="6" t="inlineStr">
        <is>
          <t>Zakum's Stone Piece</t>
        </is>
      </c>
      <c r="B16" s="7" t="n">
        <v>3</v>
      </c>
      <c r="C16" s="7" t="inlineStr">
        <is>
          <t>Rare</t>
        </is>
      </c>
      <c r="D16" s="7" t="inlineStr">
        <is>
          <t>(none)</t>
        </is>
      </c>
      <c r="E16">
        <f>IF($N$16&gt;=1,IF($D$16="Main Stat %",(CHOOSE(MATCH($C$16,{"Rare","Epic","Unique","Legendary","Mystic","Mystic (Prime)"},0),2,3,4.5,7,10,12))*Sensitivity!$H$6,IF($D$16="Damage Taken Decrease %",0,IF($D$16="Defense %",0,IF($D$16="Accuracy",0,IF($D$16="Critical Rate %",(CHOOSE(MATCH($C$16,{"Rare","Epic","Unique","Legendary","Mystic","Mystic (Prime)"},0),2,3,4.5,7,10,12))*Sensitivity!$H$15,IF($D$16="Min Damage Multiplier %",(CHOOSE(MATCH($C$16,{"Rare","Epic","Unique","Legendary","Mystic","Mystic (Prime)"},0),2,3,4.5,7,10,12))*Sensitivity!$H$13,IF($D$16="Max Damage Multiplier %",(CHOOSE(MATCH($C$16,{"Rare","Epic","Unique","Legendary","Mystic","Mystic (Prime)"},0),2,3,4.5,7,10,12))*Sensitivity!$H$14,IF($D$16="Boss Monster Damage %",(CHOOSE(MATCH($C$16,{"Rare","Epic","Unique","Legendary","Mystic","Mystic (Prime)"},0),4,6,9,14,20,24))*Sensitivity!$H$10,IF($D$16="Normal Monster Damage %",(CHOOSE(MATCH($C$16,{"Rare","Epic","Unique","Legendary","Mystic","Mystic (Prime)"},0),4,6,9,14,20,24))*Sensitivity!$H$11,IF($D$16="Status Effect Damage %",0,IF($D$16="Damage %",(CHOOSE(MATCH($C$16,{"Rare","Epic","Unique","Legendary","Mystic","Mystic (Prime)"},0),4,6,9,14,20,24))*Sensitivity!$H$8,IF($D$16="Defense Penetration %",(CHOOSE(MATCH($C$16,{"Rare","Epic","Unique","Legendary","Mystic","Mystic (Prime)"},0),2,3,4.5,7,10,12))*Sensitivity!$H$18,0)))))))))))),0)</f>
        <v/>
      </c>
      <c r="F16" s="7" t="inlineStr">
        <is>
          <t>Rare</t>
        </is>
      </c>
      <c r="G16" s="7" t="inlineStr">
        <is>
          <t>(none)</t>
        </is>
      </c>
      <c r="H16">
        <f>IF($N$16&gt;=2,IF($G$16="Main Stat %",(CHOOSE(MATCH($F$16,{"Rare","Epic","Unique","Legendary","Mystic","Mystic (Prime)"},0),2,3,4.5,7,10,12))*Sensitivity!$H$6,IF($G$16="Damage Taken Decrease %",0,IF($G$16="Defense %",0,IF($G$16="Accuracy",0,IF($G$16="Critical Rate %",(CHOOSE(MATCH($F$16,{"Rare","Epic","Unique","Legendary","Mystic","Mystic (Prime)"},0),2,3,4.5,7,10,12))*Sensitivity!$H$15,IF($G$16="Min Damage Multiplier %",(CHOOSE(MATCH($F$16,{"Rare","Epic","Unique","Legendary","Mystic","Mystic (Prime)"},0),2,3,4.5,7,10,12))*Sensitivity!$H$13,IF($G$16="Max Damage Multiplier %",(CHOOSE(MATCH($F$16,{"Rare","Epic","Unique","Legendary","Mystic","Mystic (Prime)"},0),2,3,4.5,7,10,12))*Sensitivity!$H$14,IF($G$16="Boss Monster Damage %",(CHOOSE(MATCH($F$16,{"Rare","Epic","Unique","Legendary","Mystic","Mystic (Prime)"},0),4,6,9,14,20,24))*Sensitivity!$H$10,IF($G$16="Normal Monster Damage %",(CHOOSE(MATCH($F$16,{"Rare","Epic","Unique","Legendary","Mystic","Mystic (Prime)"},0),4,6,9,14,20,24))*Sensitivity!$H$11,IF($G$16="Status Effect Damage %",0,IF($G$16="Damage %",(CHOOSE(MATCH($F$16,{"Rare","Epic","Unique","Legendary","Mystic","Mystic (Prime)"},0),4,6,9,14,20,24))*Sensitivity!$H$8,IF($G$16="Defense Penetration %",(CHOOSE(MATCH($F$16,{"Rare","Epic","Unique","Legendary","Mystic","Mystic (Prime)"},0),2,3,4.5,7,10,12))*Sensitivity!$H$18,0)))))))))))),0)</f>
        <v/>
      </c>
      <c r="L16">
        <f>Summary!$B$3*((IF(D16="(none)",1,1+(E16+IF(G16=D16,H16,0)+IF(J16=D16,K16,0))/Summary!$B$3))*(IF(OR(G16="(none)",G16=D16),1,1+(H16+IF(D16=G16,E16,0)+IF(J16=G16,K16,0))/Summary!$B$3))*(IF(OR(J16="",J16="(none)",J16=D16,J16=G16),1,1+(K16+IF(D16=J16,E16,0)+IF(G16=J16,H16,0))/Summary!$B$3))-1)</f>
        <v/>
      </c>
      <c r="M16">
        <f>OR(Inputs!$B$47="Zakum's Stone Piece",Inputs!$B$48="Zakum's Stone Piece",Inputs!$B$49="Zakum's Stone Piece",Inputs!$B$50="Zakum's Stone Piece")</f>
        <v/>
      </c>
      <c r="N16">
        <f>IF(B16="Not Unlocked",0,B16)</f>
        <v/>
      </c>
    </row>
    <row r="17">
      <c r="A17" s="6" t="inlineStr">
        <is>
          <t>Horntail's Scale</t>
        </is>
      </c>
      <c r="B17" s="7" t="n">
        <v>3</v>
      </c>
      <c r="C17" s="7" t="inlineStr">
        <is>
          <t>Rare</t>
        </is>
      </c>
      <c r="D17" s="7" t="inlineStr">
        <is>
          <t>(none)</t>
        </is>
      </c>
      <c r="E17">
        <f>IF($N$17&gt;=1,IF($D$17="Main Stat %",(CHOOSE(MATCH($C$17,{"Rare","Epic","Unique","Legendary","Mystic","Mystic (Prime)"},0),2,3,4.5,7,10,12))*Sensitivity!$H$6,IF($D$17="Damage Taken Decrease %",0,IF($D$17="Defense %",0,IF($D$17="Accuracy",0,IF($D$17="Critical Rate %",(CHOOSE(MATCH($C$17,{"Rare","Epic","Unique","Legendary","Mystic","Mystic (Prime)"},0),2,3,4.5,7,10,12))*Sensitivity!$H$15,IF($D$17="Min Damage Multiplier %",(CHOOSE(MATCH($C$17,{"Rare","Epic","Unique","Legendary","Mystic","Mystic (Prime)"},0),2,3,4.5,7,10,12))*Sensitivity!$H$13,IF($D$17="Max Damage Multiplier %",(CHOOSE(MATCH($C$17,{"Rare","Epic","Unique","Legendary","Mystic","Mystic (Prime)"},0),2,3,4.5,7,10,12))*Sensitivity!$H$14,IF($D$17="Boss Monster Damage %",(CHOOSE(MATCH($C$17,{"Rare","Epic","Unique","Legendary","Mystic","Mystic (Prime)"},0),4,6,9,14,20,24))*Sensitivity!$H$10,IF($D$17="Normal Monster Damage %",(CHOOSE(MATCH($C$17,{"Rare","Epic","Unique","Legendary","Mystic","Mystic (Prime)"},0),4,6,9,14,20,24))*Sensitivity!$H$11,IF($D$17="Status Effect Damage %",0,IF($D$17="Damage %",(CHOOSE(MATCH($C$17,{"Rare","Epic","Unique","Legendary","Mystic","Mystic (Prime)"},0),4,6,9,14,20,24))*Sensitivity!$H$8,IF($D$17="Defense Penetration %",(CHOOSE(MATCH($C$17,{"Rare","Epic","Unique","Legendary","Mystic","Mystic (Prime)"},0),2,3,4.5,7,10,12))*Sensitivity!$H$18,0)))))))))))),0)</f>
        <v/>
      </c>
      <c r="F17" s="7" t="inlineStr">
        <is>
          <t>Rare</t>
        </is>
      </c>
      <c r="G17" s="7" t="inlineStr">
        <is>
          <t>(none)</t>
        </is>
      </c>
      <c r="H17">
        <f>IF($N$17&gt;=2,IF($G$17="Main Stat %",(CHOOSE(MATCH($F$17,{"Rare","Epic","Unique","Legendary","Mystic","Mystic (Prime)"},0),2,3,4.5,7,10,12))*Sensitivity!$H$6,IF($G$17="Damage Taken Decrease %",0,IF($G$17="Defense %",0,IF($G$17="Accuracy",0,IF($G$17="Critical Rate %",(CHOOSE(MATCH($F$17,{"Rare","Epic","Unique","Legendary","Mystic","Mystic (Prime)"},0),2,3,4.5,7,10,12))*Sensitivity!$H$15,IF($G$17="Min Damage Multiplier %",(CHOOSE(MATCH($F$17,{"Rare","Epic","Unique","Legendary","Mystic","Mystic (Prime)"},0),2,3,4.5,7,10,12))*Sensitivity!$H$13,IF($G$17="Max Damage Multiplier %",(CHOOSE(MATCH($F$17,{"Rare","Epic","Unique","Legendary","Mystic","Mystic (Prime)"},0),2,3,4.5,7,10,12))*Sensitivity!$H$14,IF($G$17="Boss Monster Damage %",(CHOOSE(MATCH($F$17,{"Rare","Epic","Unique","Legendary","Mystic","Mystic (Prime)"},0),4,6,9,14,20,24))*Sensitivity!$H$10,IF($G$17="Normal Monster Damage %",(CHOOSE(MATCH($F$17,{"Rare","Epic","Unique","Legendary","Mystic","Mystic (Prime)"},0),4,6,9,14,20,24))*Sensitivity!$H$11,IF($G$17="Status Effect Damage %",0,IF($G$17="Damage %",(CHOOSE(MATCH($F$17,{"Rare","Epic","Unique","Legendary","Mystic","Mystic (Prime)"},0),4,6,9,14,20,24))*Sensitivity!$H$8,IF($G$17="Defense Penetration %",(CHOOSE(MATCH($F$17,{"Rare","Epic","Unique","Legendary","Mystic","Mystic (Prime)"},0),2,3,4.5,7,10,12))*Sensitivity!$H$18,0)))))))))))),0)</f>
        <v/>
      </c>
      <c r="L17">
        <f>Summary!$B$3*((IF(D17="(none)",1,1+(E17+IF(G17=D17,H17,0)+IF(J17=D17,K17,0))/Summary!$B$3))*(IF(OR(G17="(none)",G17=D17),1,1+(H17+IF(D17=G17,E17,0)+IF(J17=G17,K17,0))/Summary!$B$3))*(IF(OR(J17="",J17="(none)",J17=D17,J17=G17),1,1+(K17+IF(D17=J17,E17,0)+IF(G17=J17,H17,0))/Summary!$B$3))-1)</f>
        <v/>
      </c>
      <c r="M17">
        <f>OR(Inputs!$B$47="Horntail's Scale",Inputs!$B$48="Horntail's Scale",Inputs!$B$49="Horntail's Scale",Inputs!$B$50="Horntail's Scale")</f>
        <v/>
      </c>
      <c r="N17">
        <f>IF(B17="Not Unlocked",0,B17)</f>
        <v/>
      </c>
    </row>
    <row r="18">
      <c r="A18" s="6" t="inlineStr">
        <is>
          <t>Pink Bean's Giant Rib</t>
        </is>
      </c>
      <c r="B18" s="7" t="n">
        <v>3</v>
      </c>
      <c r="C18" s="7" t="inlineStr">
        <is>
          <t>Rare</t>
        </is>
      </c>
      <c r="D18" s="7" t="inlineStr">
        <is>
          <t>(none)</t>
        </is>
      </c>
      <c r="E18">
        <f>IF($N$18&gt;=1,IF($D$18="Main Stat %",(CHOOSE(MATCH($C$18,{"Rare","Epic","Unique","Legendary","Mystic","Mystic (Prime)"},0),2,3,4.5,7,10,12))*Sensitivity!$H$6,IF($D$18="Damage Taken Decrease %",0,IF($D$18="Defense %",0,IF($D$18="Accuracy",0,IF($D$18="Critical Rate %",(CHOOSE(MATCH($C$18,{"Rare","Epic","Unique","Legendary","Mystic","Mystic (Prime)"},0),2,3,4.5,7,10,12))*Sensitivity!$H$15,IF($D$18="Min Damage Multiplier %",(CHOOSE(MATCH($C$18,{"Rare","Epic","Unique","Legendary","Mystic","Mystic (Prime)"},0),2,3,4.5,7,10,12))*Sensitivity!$H$13,IF($D$18="Max Damage Multiplier %",(CHOOSE(MATCH($C$18,{"Rare","Epic","Unique","Legendary","Mystic","Mystic (Prime)"},0),2,3,4.5,7,10,12))*Sensitivity!$H$14,IF($D$18="Boss Monster Damage %",(CHOOSE(MATCH($C$18,{"Rare","Epic","Unique","Legendary","Mystic","Mystic (Prime)"},0),4,6,9,14,20,24))*Sensitivity!$H$10,IF($D$18="Normal Monster Damage %",(CHOOSE(MATCH($C$18,{"Rare","Epic","Unique","Legendary","Mystic","Mystic (Prime)"},0),4,6,9,14,20,24))*Sensitivity!$H$11,IF($D$18="Status Effect Damage %",0,IF($D$18="Damage %",(CHOOSE(MATCH($C$18,{"Rare","Epic","Unique","Legendary","Mystic","Mystic (Prime)"},0),4,6,9,14,20,24))*Sensitivity!$H$8,IF($D$18="Defense Penetration %",(CHOOSE(MATCH($C$18,{"Rare","Epic","Unique","Legendary","Mystic","Mystic (Prime)"},0),2,3,4.5,7,10,12))*Sensitivity!$H$18,0)))))))))))),0)</f>
        <v/>
      </c>
      <c r="F18" s="7" t="inlineStr">
        <is>
          <t>Rare</t>
        </is>
      </c>
      <c r="G18" s="7" t="inlineStr">
        <is>
          <t>(none)</t>
        </is>
      </c>
      <c r="H18">
        <f>IF($N$18&gt;=2,IF($G$18="Main Stat %",(CHOOSE(MATCH($F$18,{"Rare","Epic","Unique","Legendary","Mystic","Mystic (Prime)"},0),2,3,4.5,7,10,12))*Sensitivity!$H$6,IF($G$18="Damage Taken Decrease %",0,IF($G$18="Defense %",0,IF($G$18="Accuracy",0,IF($G$18="Critical Rate %",(CHOOSE(MATCH($F$18,{"Rare","Epic","Unique","Legendary","Mystic","Mystic (Prime)"},0),2,3,4.5,7,10,12))*Sensitivity!$H$15,IF($G$18="Min Damage Multiplier %",(CHOOSE(MATCH($F$18,{"Rare","Epic","Unique","Legendary","Mystic","Mystic (Prime)"},0),2,3,4.5,7,10,12))*Sensitivity!$H$13,IF($G$18="Max Damage Multiplier %",(CHOOSE(MATCH($F$18,{"Rare","Epic","Unique","Legendary","Mystic","Mystic (Prime)"},0),2,3,4.5,7,10,12))*Sensitivity!$H$14,IF($G$18="Boss Monster Damage %",(CHOOSE(MATCH($F$18,{"Rare","Epic","Unique","Legendary","Mystic","Mystic (Prime)"},0),4,6,9,14,20,24))*Sensitivity!$H$10,IF($G$18="Normal Monster Damage %",(CHOOSE(MATCH($F$18,{"Rare","Epic","Unique","Legendary","Mystic","Mystic (Prime)"},0),4,6,9,14,20,24))*Sensitivity!$H$11,IF($G$18="Status Effect Damage %",0,IF($G$18="Damage %",(CHOOSE(MATCH($F$18,{"Rare","Epic","Unique","Legendary","Mystic","Mystic (Prime)"},0),4,6,9,14,20,24))*Sensitivity!$H$8,IF($G$18="Defense Penetration %",(CHOOSE(MATCH($F$18,{"Rare","Epic","Unique","Legendary","Mystic","Mystic (Prime)"},0),2,3,4.5,7,10,12))*Sensitivity!$H$18,0)))))))))))),0)</f>
        <v/>
      </c>
      <c r="L18">
        <f>Summary!$B$3*((IF(D18="(none)",1,1+(E18+IF(G18=D18,H18,0)+IF(J18=D18,K18,0))/Summary!$B$3))*(IF(OR(G18="(none)",G18=D18),1,1+(H18+IF(D18=G18,E18,0)+IF(J18=G18,K18,0))/Summary!$B$3))*(IF(OR(J18="",J18="(none)",J18=D18,J18=G18),1,1+(K18+IF(D18=J18,E18,0)+IF(G18=J18,H18,0))/Summary!$B$3))-1)</f>
        <v/>
      </c>
      <c r="M18">
        <f>OR(Inputs!$B$47="Pink Bean's Giant Rib",Inputs!$B$48="Pink Bean's Giant Rib",Inputs!$B$49="Pink Bean's Giant Rib",Inputs!$B$50="Pink Bean's Giant Rib")</f>
        <v/>
      </c>
      <c r="N18">
        <f>IF(B18="Not Unlocked",0,B18)</f>
        <v/>
      </c>
    </row>
    <row r="20">
      <c r="A20" s="6" t="inlineStr">
        <is>
          <t>Chalice</t>
        </is>
      </c>
      <c r="B20" s="7" t="inlineStr">
        <is>
          <t>Not Unlocked</t>
        </is>
      </c>
      <c r="C20" s="7" t="inlineStr">
        <is>
          <t>Rare</t>
        </is>
      </c>
      <c r="D20" s="7" t="inlineStr">
        <is>
          <t>(none)</t>
        </is>
      </c>
      <c r="E20">
        <f>IF($N$20&gt;=1,IF($D$20="Main Stat %",(CHOOSE(MATCH($C$20,{"Rare","Epic","Unique","Legendary","Mystic","Mystic (Prime)"},0),2,3,4.5,7,10,12))*Sensitivity!$H$6,IF($D$20="Damage Taken Decrease %",0,IF($D$20="Defense %",0,IF($D$20="Accuracy",0,IF($D$20="Critical Rate %",(CHOOSE(MATCH($C$20,{"Rare","Epic","Unique","Legendary","Mystic","Mystic (Prime)"},0),2,3,4.5,7,10,12))*Sensitivity!$H$15,IF($D$20="Min Damage Multiplier %",(CHOOSE(MATCH($C$20,{"Rare","Epic","Unique","Legendary","Mystic","Mystic (Prime)"},0),2,3,4.5,7,10,12))*Sensitivity!$H$13,IF($D$20="Max Damage Multiplier %",(CHOOSE(MATCH($C$20,{"Rare","Epic","Unique","Legendary","Mystic","Mystic (Prime)"},0),2,3,4.5,7,10,12))*Sensitivity!$H$14,IF($D$20="Boss Monster Damage %",(CHOOSE(MATCH($C$20,{"Rare","Epic","Unique","Legendary","Mystic","Mystic (Prime)"},0),4,6,9,14,20,24))*Sensitivity!$H$10,IF($D$20="Normal Monster Damage %",(CHOOSE(MATCH($C$20,{"Rare","Epic","Unique","Legendary","Mystic","Mystic (Prime)"},0),4,6,9,14,20,24))*Sensitivity!$H$11,IF($D$20="Status Effect Damage %",0,IF($D$20="Damage %",(CHOOSE(MATCH($C$20,{"Rare","Epic","Unique","Legendary","Mystic","Mystic (Prime)"},0),4,6,9,14,20,24))*Sensitivity!$H$8,IF($D$20="Defense Penetration %",(CHOOSE(MATCH($C$20,{"Rare","Epic","Unique","Legendary","Mystic","Mystic (Prime)"},0),2,3,4.5,7,10,12))*Sensitivity!$H$18,0)))))))))))),0)</f>
        <v/>
      </c>
      <c r="F20" s="7" t="inlineStr">
        <is>
          <t>Rare</t>
        </is>
      </c>
      <c r="G20" s="7" t="inlineStr">
        <is>
          <t>(none)</t>
        </is>
      </c>
      <c r="H20">
        <f>IF($N$20&gt;=2,IF($G$20="Main Stat %",(CHOOSE(MATCH($F$20,{"Rare","Epic","Unique","Legendary","Mystic","Mystic (Prime)"},0),2,3,4.5,7,10,12))*Sensitivity!$H$6,IF($G$20="Damage Taken Decrease %",0,IF($G$20="Defense %",0,IF($G$20="Accuracy",0,IF($G$20="Critical Rate %",(CHOOSE(MATCH($F$20,{"Rare","Epic","Unique","Legendary","Mystic","Mystic (Prime)"},0),2,3,4.5,7,10,12))*Sensitivity!$H$15,IF($G$20="Min Damage Multiplier %",(CHOOSE(MATCH($F$20,{"Rare","Epic","Unique","Legendary","Mystic","Mystic (Prime)"},0),2,3,4.5,7,10,12))*Sensitivity!$H$13,IF($G$20="Max Damage Multiplier %",(CHOOSE(MATCH($F$20,{"Rare","Epic","Unique","Legendary","Mystic","Mystic (Prime)"},0),2,3,4.5,7,10,12))*Sensitivity!$H$14,IF($G$20="Boss Monster Damage %",(CHOOSE(MATCH($F$20,{"Rare","Epic","Unique","Legendary","Mystic","Mystic (Prime)"},0),4,6,9,14,20,24))*Sensitivity!$H$10,IF($G$20="Normal Monster Damage %",(CHOOSE(MATCH($F$20,{"Rare","Epic","Unique","Legendary","Mystic","Mystic (Prime)"},0),4,6,9,14,20,24))*Sensitivity!$H$11,IF($G$20="Status Effect Damage %",0,IF($G$20="Damage %",(CHOOSE(MATCH($F$20,{"Rare","Epic","Unique","Legendary","Mystic","Mystic (Prime)"},0),4,6,9,14,20,24))*Sensitivity!$H$8,IF($G$20="Defense Penetration %",(CHOOSE(MATCH($F$20,{"Rare","Epic","Unique","Legendary","Mystic","Mystic (Prime)"},0),2,3,4.5,7,10,12))*Sensitivity!$H$18,0)))))))))))),0)</f>
        <v/>
      </c>
      <c r="I20" s="7" t="inlineStr">
        <is>
          <t>Rare</t>
        </is>
      </c>
      <c r="J20" s="7" t="inlineStr">
        <is>
          <t>(none)</t>
        </is>
      </c>
      <c r="K20">
        <f>IF($N$20&gt;=5,IF($J$20="Main Stat %",(CHOOSE(MATCH($I$20,{"Rare","Epic","Unique","Legendary","Mystic","Mystic (Prime)"},0),2,3,4.5,7,10,12))*Sensitivity!$H$6,IF($J$20="Damage Taken Decrease %",0,IF($J$20="Defense %",0,IF($J$20="Accuracy",0,IF($J$20="Critical Rate %",(CHOOSE(MATCH($I$20,{"Rare","Epic","Unique","Legendary","Mystic","Mystic (Prime)"},0),2,3,4.5,7,10,12))*Sensitivity!$H$15,IF($J$20="Min Damage Multiplier %",(CHOOSE(MATCH($I$20,{"Rare","Epic","Unique","Legendary","Mystic","Mystic (Prime)"},0),2,3,4.5,7,10,12))*Sensitivity!$H$13,IF($J$20="Max Damage Multiplier %",(CHOOSE(MATCH($I$20,{"Rare","Epic","Unique","Legendary","Mystic","Mystic (Prime)"},0),2,3,4.5,7,10,12))*Sensitivity!$H$14,IF($J$20="Boss Monster Damage %",(CHOOSE(MATCH($I$20,{"Rare","Epic","Unique","Legendary","Mystic","Mystic (Prime)"},0),4,6,9,14,20,24))*Sensitivity!$H$10,IF($J$20="Normal Monster Damage %",(CHOOSE(MATCH($I$20,{"Rare","Epic","Unique","Legendary","Mystic","Mystic (Prime)"},0),4,6,9,14,20,24))*Sensitivity!$H$11,IF($J$20="Status Effect Damage %",0,IF($J$20="Damage %",(CHOOSE(MATCH($I$20,{"Rare","Epic","Unique","Legendary","Mystic","Mystic (Prime)"},0),4,6,9,14,20,24))*Sensitivity!$H$8,IF($J$20="Defense Penetration %",(CHOOSE(MATCH($I$20,{"Rare","Epic","Unique","Legendary","Mystic","Mystic (Prime)"},0),2,3,4.5,7,10,12))*Sensitivity!$H$18,0)))))))))))),0)</f>
        <v/>
      </c>
      <c r="L20">
        <f>Summary!$B$3*((IF(D20="(none)",1,1+(E20+IF(G20=D20,H20,0)+IF(J20=D20,K20,0))/Summary!$B$3))*(IF(OR(G20="(none)",G20=D20),1,1+(H20+IF(D20=G20,E20,0)+IF(J20=G20,K20,0))/Summary!$B$3))*(IF(OR(J20="",J20="(none)",J20=D20,J20=G20),1,1+(K20+IF(D20=J20,E20,0)+IF(G20=J20,H20,0))/Summary!$B$3))-1)</f>
        <v/>
      </c>
      <c r="M20">
        <f>OR(Inputs!$B$47="Chalice",Inputs!$B$48="Chalice",Inputs!$B$49="Chalice",Inputs!$B$50="Chalice")</f>
        <v/>
      </c>
      <c r="N20">
        <f>IF(B20="Not Unlocked",0,B20)</f>
        <v/>
      </c>
    </row>
    <row r="21">
      <c r="A21" s="6" t="inlineStr">
        <is>
          <t>Old Music Box</t>
        </is>
      </c>
      <c r="B21" s="7" t="inlineStr">
        <is>
          <t>Not Unlocked</t>
        </is>
      </c>
      <c r="C21" s="7" t="inlineStr">
        <is>
          <t>Rare</t>
        </is>
      </c>
      <c r="D21" s="7" t="inlineStr">
        <is>
          <t>(none)</t>
        </is>
      </c>
      <c r="E21">
        <f>IF($N$21&gt;=1,IF($D$21="Main Stat %",(CHOOSE(MATCH($C$21,{"Rare","Epic","Unique","Legendary","Mystic","Mystic (Prime)"},0),2,3,4.5,7,10,12))*Sensitivity!$H$6,IF($D$21="Damage Taken Decrease %",0,IF($D$21="Defense %",0,IF($D$21="Accuracy",0,IF($D$21="Critical Rate %",(CHOOSE(MATCH($C$21,{"Rare","Epic","Unique","Legendary","Mystic","Mystic (Prime)"},0),2,3,4.5,7,10,12))*Sensitivity!$H$15,IF($D$21="Min Damage Multiplier %",(CHOOSE(MATCH($C$21,{"Rare","Epic","Unique","Legendary","Mystic","Mystic (Prime)"},0),2,3,4.5,7,10,12))*Sensitivity!$H$13,IF($D$21="Max Damage Multiplier %",(CHOOSE(MATCH($C$21,{"Rare","Epic","Unique","Legendary","Mystic","Mystic (Prime)"},0),2,3,4.5,7,10,12))*Sensitivity!$H$14,IF($D$21="Boss Monster Damage %",(CHOOSE(MATCH($C$21,{"Rare","Epic","Unique","Legendary","Mystic","Mystic (Prime)"},0),4,6,9,14,20,24))*Sensitivity!$H$10,IF($D$21="Normal Monster Damage %",(CHOOSE(MATCH($C$21,{"Rare","Epic","Unique","Legendary","Mystic","Mystic (Prime)"},0),4,6,9,14,20,24))*Sensitivity!$H$11,IF($D$21="Status Effect Damage %",0,IF($D$21="Damage %",(CHOOSE(MATCH($C$21,{"Rare","Epic","Unique","Legendary","Mystic","Mystic (Prime)"},0),4,6,9,14,20,24))*Sensitivity!$H$8,IF($D$21="Defense Penetration %",(CHOOSE(MATCH($C$21,{"Rare","Epic","Unique","Legendary","Mystic","Mystic (Prime)"},0),2,3,4.5,7,10,12))*Sensitivity!$H$18,0)))))))))))),0)</f>
        <v/>
      </c>
      <c r="F21" s="7" t="inlineStr">
        <is>
          <t>Rare</t>
        </is>
      </c>
      <c r="G21" s="7" t="inlineStr">
        <is>
          <t>(none)</t>
        </is>
      </c>
      <c r="H21">
        <f>IF($N$21&gt;=2,IF($G$21="Main Stat %",(CHOOSE(MATCH($F$21,{"Rare","Epic","Unique","Legendary","Mystic","Mystic (Prime)"},0),2,3,4.5,7,10,12))*Sensitivity!$H$6,IF($G$21="Damage Taken Decrease %",0,IF($G$21="Defense %",0,IF($G$21="Accuracy",0,IF($G$21="Critical Rate %",(CHOOSE(MATCH($F$21,{"Rare","Epic","Unique","Legendary","Mystic","Mystic (Prime)"},0),2,3,4.5,7,10,12))*Sensitivity!$H$15,IF($G$21="Min Damage Multiplier %",(CHOOSE(MATCH($F$21,{"Rare","Epic","Unique","Legendary","Mystic","Mystic (Prime)"},0),2,3,4.5,7,10,12))*Sensitivity!$H$13,IF($G$21="Max Damage Multiplier %",(CHOOSE(MATCH($F$21,{"Rare","Epic","Unique","Legendary","Mystic","Mystic (Prime)"},0),2,3,4.5,7,10,12))*Sensitivity!$H$14,IF($G$21="Boss Monster Damage %",(CHOOSE(MATCH($F$21,{"Rare","Epic","Unique","Legendary","Mystic","Mystic (Prime)"},0),4,6,9,14,20,24))*Sensitivity!$H$10,IF($G$21="Normal Monster Damage %",(CHOOSE(MATCH($F$21,{"Rare","Epic","Unique","Legendary","Mystic","Mystic (Prime)"},0),4,6,9,14,20,24))*Sensitivity!$H$11,IF($G$21="Status Effect Damage %",0,IF($G$21="Damage %",(CHOOSE(MATCH($F$21,{"Rare","Epic","Unique","Legendary","Mystic","Mystic (Prime)"},0),4,6,9,14,20,24))*Sensitivity!$H$8,IF($G$21="Defense Penetration %",(CHOOSE(MATCH($F$21,{"Rare","Epic","Unique","Legendary","Mystic","Mystic (Prime)"},0),2,3,4.5,7,10,12))*Sensitivity!$H$18,0)))))))))))),0)</f>
        <v/>
      </c>
      <c r="I21" s="7" t="inlineStr">
        <is>
          <t>Rare</t>
        </is>
      </c>
      <c r="J21" s="7" t="inlineStr">
        <is>
          <t>(none)</t>
        </is>
      </c>
      <c r="K21">
        <f>IF($N$21&gt;=5,IF($J$21="Main Stat %",(CHOOSE(MATCH($I$21,{"Rare","Epic","Unique","Legendary","Mystic","Mystic (Prime)"},0),2,3,4.5,7,10,12))*Sensitivity!$H$6,IF($J$21="Damage Taken Decrease %",0,IF($J$21="Defense %",0,IF($J$21="Accuracy",0,IF($J$21="Critical Rate %",(CHOOSE(MATCH($I$21,{"Rare","Epic","Unique","Legendary","Mystic","Mystic (Prime)"},0),2,3,4.5,7,10,12))*Sensitivity!$H$15,IF($J$21="Min Damage Multiplier %",(CHOOSE(MATCH($I$21,{"Rare","Epic","Unique","Legendary","Mystic","Mystic (Prime)"},0),2,3,4.5,7,10,12))*Sensitivity!$H$13,IF($J$21="Max Damage Multiplier %",(CHOOSE(MATCH($I$21,{"Rare","Epic","Unique","Legendary","Mystic","Mystic (Prime)"},0),2,3,4.5,7,10,12))*Sensitivity!$H$14,IF($J$21="Boss Monster Damage %",(CHOOSE(MATCH($I$21,{"Rare","Epic","Unique","Legendary","Mystic","Mystic (Prime)"},0),4,6,9,14,20,24))*Sensitivity!$H$10,IF($J$21="Normal Monster Damage %",(CHOOSE(MATCH($I$21,{"Rare","Epic","Unique","Legendary","Mystic","Mystic (Prime)"},0),4,6,9,14,20,24))*Sensitivity!$H$11,IF($J$21="Status Effect Damage %",0,IF($J$21="Damage %",(CHOOSE(MATCH($I$21,{"Rare","Epic","Unique","Legendary","Mystic","Mystic (Prime)"},0),4,6,9,14,20,24))*Sensitivity!$H$8,IF($J$21="Defense Penetration %",(CHOOSE(MATCH($I$21,{"Rare","Epic","Unique","Legendary","Mystic","Mystic (Prime)"},0),2,3,4.5,7,10,12))*Sensitivity!$H$18,0)))))))))))),0)</f>
        <v/>
      </c>
      <c r="L21">
        <f>Summary!$B$3*((IF(D21="(none)",1,1+(E21+IF(G21=D21,H21,0)+IF(J21=D21,K21,0))/Summary!$B$3))*(IF(OR(G21="(none)",G21=D21),1,1+(H21+IF(D21=G21,E21,0)+IF(J21=G21,K21,0))/Summary!$B$3))*(IF(OR(J21="",J21="(none)",J21=D21,J21=G21),1,1+(K21+IF(D21=J21,E21,0)+IF(G21=J21,H21,0))/Summary!$B$3))-1)</f>
        <v/>
      </c>
      <c r="M21">
        <f>OR(Inputs!$B$47="Old Music Box",Inputs!$B$48="Old Music Box",Inputs!$B$49="Old Music Box",Inputs!$B$50="Old Music Box")</f>
        <v/>
      </c>
      <c r="N21">
        <f>IF(B21="Not Unlocked",0,B21)</f>
        <v/>
      </c>
    </row>
    <row r="22">
      <c r="A22" s="6" t="inlineStr">
        <is>
          <t>Silver Pendant</t>
        </is>
      </c>
      <c r="B22" s="7" t="inlineStr">
        <is>
          <t>Not Unlocked</t>
        </is>
      </c>
      <c r="C22" s="7" t="inlineStr">
        <is>
          <t>Rare</t>
        </is>
      </c>
      <c r="D22" s="7" t="inlineStr">
        <is>
          <t>(none)</t>
        </is>
      </c>
      <c r="E22">
        <f>IF($N$22&gt;=1,IF($D$22="Main Stat %",(CHOOSE(MATCH($C$22,{"Rare","Epic","Unique","Legendary","Mystic","Mystic (Prime)"},0),2,3,4.5,7,10,12))*Sensitivity!$H$6,IF($D$22="Damage Taken Decrease %",0,IF($D$22="Defense %",0,IF($D$22="Accuracy",0,IF($D$22="Critical Rate %",(CHOOSE(MATCH($C$22,{"Rare","Epic","Unique","Legendary","Mystic","Mystic (Prime)"},0),2,3,4.5,7,10,12))*Sensitivity!$H$15,IF($D$22="Min Damage Multiplier %",(CHOOSE(MATCH($C$22,{"Rare","Epic","Unique","Legendary","Mystic","Mystic (Prime)"},0),2,3,4.5,7,10,12))*Sensitivity!$H$13,IF($D$22="Max Damage Multiplier %",(CHOOSE(MATCH($C$22,{"Rare","Epic","Unique","Legendary","Mystic","Mystic (Prime)"},0),2,3,4.5,7,10,12))*Sensitivity!$H$14,IF($D$22="Boss Monster Damage %",(CHOOSE(MATCH($C$22,{"Rare","Epic","Unique","Legendary","Mystic","Mystic (Prime)"},0),4,6,9,14,20,24))*Sensitivity!$H$10,IF($D$22="Normal Monster Damage %",(CHOOSE(MATCH($C$22,{"Rare","Epic","Unique","Legendary","Mystic","Mystic (Prime)"},0),4,6,9,14,20,24))*Sensitivity!$H$11,IF($D$22="Status Effect Damage %",0,IF($D$22="Damage %",(CHOOSE(MATCH($C$22,{"Rare","Epic","Unique","Legendary","Mystic","Mystic (Prime)"},0),4,6,9,14,20,24))*Sensitivity!$H$8,IF($D$22="Defense Penetration %",(CHOOSE(MATCH($C$22,{"Rare","Epic","Unique","Legendary","Mystic","Mystic (Prime)"},0),2,3,4.5,7,10,12))*Sensitivity!$H$18,0)))))))))))),0)</f>
        <v/>
      </c>
      <c r="F22" s="7" t="inlineStr">
        <is>
          <t>Rare</t>
        </is>
      </c>
      <c r="G22" s="7" t="inlineStr">
        <is>
          <t>(none)</t>
        </is>
      </c>
      <c r="H22">
        <f>IF($N$22&gt;=2,IF($G$22="Main Stat %",(CHOOSE(MATCH($F$22,{"Rare","Epic","Unique","Legendary","Mystic","Mystic (Prime)"},0),2,3,4.5,7,10,12))*Sensitivity!$H$6,IF($G$22="Damage Taken Decrease %",0,IF($G$22="Defense %",0,IF($G$22="Accuracy",0,IF($G$22="Critical Rate %",(CHOOSE(MATCH($F$22,{"Rare","Epic","Unique","Legendary","Mystic","Mystic (Prime)"},0),2,3,4.5,7,10,12))*Sensitivity!$H$15,IF($G$22="Min Damage Multiplier %",(CHOOSE(MATCH($F$22,{"Rare","Epic","Unique","Legendary","Mystic","Mystic (Prime)"},0),2,3,4.5,7,10,12))*Sensitivity!$H$13,IF($G$22="Max Damage Multiplier %",(CHOOSE(MATCH($F$22,{"Rare","Epic","Unique","Legendary","Mystic","Mystic (Prime)"},0),2,3,4.5,7,10,12))*Sensitivity!$H$14,IF($G$22="Boss Monster Damage %",(CHOOSE(MATCH($F$22,{"Rare","Epic","Unique","Legendary","Mystic","Mystic (Prime)"},0),4,6,9,14,20,24))*Sensitivity!$H$10,IF($G$22="Normal Monster Damage %",(CHOOSE(MATCH($F$22,{"Rare","Epic","Unique","Legendary","Mystic","Mystic (Prime)"},0),4,6,9,14,20,24))*Sensitivity!$H$11,IF($G$22="Status Effect Damage %",0,IF($G$22="Damage %",(CHOOSE(MATCH($F$22,{"Rare","Epic","Unique","Legendary","Mystic","Mystic (Prime)"},0),4,6,9,14,20,24))*Sensitivity!$H$8,IF($G$22="Defense Penetration %",(CHOOSE(MATCH($F$22,{"Rare","Epic","Unique","Legendary","Mystic","Mystic (Prime)"},0),2,3,4.5,7,10,12))*Sensitivity!$H$18,0)))))))))))),0)</f>
        <v/>
      </c>
      <c r="I22" s="7" t="inlineStr">
        <is>
          <t>Rare</t>
        </is>
      </c>
      <c r="J22" s="7" t="inlineStr">
        <is>
          <t>(none)</t>
        </is>
      </c>
      <c r="K22">
        <f>IF($N$22&gt;=5,IF($J$22="Main Stat %",(CHOOSE(MATCH($I$22,{"Rare","Epic","Unique","Legendary","Mystic","Mystic (Prime)"},0),2,3,4.5,7,10,12))*Sensitivity!$H$6,IF($J$22="Damage Taken Decrease %",0,IF($J$22="Defense %",0,IF($J$22="Accuracy",0,IF($J$22="Critical Rate %",(CHOOSE(MATCH($I$22,{"Rare","Epic","Unique","Legendary","Mystic","Mystic (Prime)"},0),2,3,4.5,7,10,12))*Sensitivity!$H$15,IF($J$22="Min Damage Multiplier %",(CHOOSE(MATCH($I$22,{"Rare","Epic","Unique","Legendary","Mystic","Mystic (Prime)"},0),2,3,4.5,7,10,12))*Sensitivity!$H$13,IF($J$22="Max Damage Multiplier %",(CHOOSE(MATCH($I$22,{"Rare","Epic","Unique","Legendary","Mystic","Mystic (Prime)"},0),2,3,4.5,7,10,12))*Sensitivity!$H$14,IF($J$22="Boss Monster Damage %",(CHOOSE(MATCH($I$22,{"Rare","Epic","Unique","Legendary","Mystic","Mystic (Prime)"},0),4,6,9,14,20,24))*Sensitivity!$H$10,IF($J$22="Normal Monster Damage %",(CHOOSE(MATCH($I$22,{"Rare","Epic","Unique","Legendary","Mystic","Mystic (Prime)"},0),4,6,9,14,20,24))*Sensitivity!$H$11,IF($J$22="Status Effect Damage %",0,IF($J$22="Damage %",(CHOOSE(MATCH($I$22,{"Rare","Epic","Unique","Legendary","Mystic","Mystic (Prime)"},0),4,6,9,14,20,24))*Sensitivity!$H$8,IF($J$22="Defense Penetration %",(CHOOSE(MATCH($I$22,{"Rare","Epic","Unique","Legendary","Mystic","Mystic (Prime)"},0),2,3,4.5,7,10,12))*Sensitivity!$H$18,0)))))))))))),0)</f>
        <v/>
      </c>
      <c r="L22">
        <f>Summary!$B$3*((IF(D22="(none)",1,1+(E22+IF(G22=D22,H22,0)+IF(J22=D22,K22,0))/Summary!$B$3))*(IF(OR(G22="(none)",G22=D22),1,1+(H22+IF(D22=G22,E22,0)+IF(J22=G22,K22,0))/Summary!$B$3))*(IF(OR(J22="",J22="(none)",J22=D22,J22=G22),1,1+(K22+IF(D22=J22,E22,0)+IF(G22=J22,H22,0))/Summary!$B$3))-1)</f>
        <v/>
      </c>
      <c r="M22">
        <f>OR(Inputs!$B$47="Silver Pendant",Inputs!$B$48="Silver Pendant",Inputs!$B$49="Silver Pendant",Inputs!$B$50="Silver Pendant")</f>
        <v/>
      </c>
      <c r="N22">
        <f>IF(B22="Not Unlocked",0,B22)</f>
        <v/>
      </c>
    </row>
    <row r="23">
      <c r="A23" s="6" t="inlineStr">
        <is>
          <t>Star Rock</t>
        </is>
      </c>
      <c r="B23" s="7" t="inlineStr">
        <is>
          <t>Not Unlocked</t>
        </is>
      </c>
      <c r="C23" s="7" t="inlineStr">
        <is>
          <t>Rare</t>
        </is>
      </c>
      <c r="D23" s="7" t="inlineStr">
        <is>
          <t>(none)</t>
        </is>
      </c>
      <c r="E23">
        <f>IF($N$23&gt;=1,IF($D$23="Main Stat %",(CHOOSE(MATCH($C$23,{"Rare","Epic","Unique","Legendary","Mystic","Mystic (Prime)"},0),2,3,4.5,7,10,12))*Sensitivity!$H$6,IF($D$23="Damage Taken Decrease %",0,IF($D$23="Defense %",0,IF($D$23="Accuracy",0,IF($D$23="Critical Rate %",(CHOOSE(MATCH($C$23,{"Rare","Epic","Unique","Legendary","Mystic","Mystic (Prime)"},0),2,3,4.5,7,10,12))*Sensitivity!$H$15,IF($D$23="Min Damage Multiplier %",(CHOOSE(MATCH($C$23,{"Rare","Epic","Unique","Legendary","Mystic","Mystic (Prime)"},0),2,3,4.5,7,10,12))*Sensitivity!$H$13,IF($D$23="Max Damage Multiplier %",(CHOOSE(MATCH($C$23,{"Rare","Epic","Unique","Legendary","Mystic","Mystic (Prime)"},0),2,3,4.5,7,10,12))*Sensitivity!$H$14,IF($D$23="Boss Monster Damage %",(CHOOSE(MATCH($C$23,{"Rare","Epic","Unique","Legendary","Mystic","Mystic (Prime)"},0),4,6,9,14,20,24))*Sensitivity!$H$10,IF($D$23="Normal Monster Damage %",(CHOOSE(MATCH($C$23,{"Rare","Epic","Unique","Legendary","Mystic","Mystic (Prime)"},0),4,6,9,14,20,24))*Sensitivity!$H$11,IF($D$23="Status Effect Damage %",0,IF($D$23="Damage %",(CHOOSE(MATCH($C$23,{"Rare","Epic","Unique","Legendary","Mystic","Mystic (Prime)"},0),4,6,9,14,20,24))*Sensitivity!$H$8,IF($D$23="Defense Penetration %",(CHOOSE(MATCH($C$23,{"Rare","Epic","Unique","Legendary","Mystic","Mystic (Prime)"},0),2,3,4.5,7,10,12))*Sensitivity!$H$18,0)))))))))))),0)</f>
        <v/>
      </c>
      <c r="F23" s="7" t="inlineStr">
        <is>
          <t>Rare</t>
        </is>
      </c>
      <c r="G23" s="7" t="inlineStr">
        <is>
          <t>(none)</t>
        </is>
      </c>
      <c r="H23">
        <f>IF($N$23&gt;=2,IF($G$23="Main Stat %",(CHOOSE(MATCH($F$23,{"Rare","Epic","Unique","Legendary","Mystic","Mystic (Prime)"},0),2,3,4.5,7,10,12))*Sensitivity!$H$6,IF($G$23="Damage Taken Decrease %",0,IF($G$23="Defense %",0,IF($G$23="Accuracy",0,IF($G$23="Critical Rate %",(CHOOSE(MATCH($F$23,{"Rare","Epic","Unique","Legendary","Mystic","Mystic (Prime)"},0),2,3,4.5,7,10,12))*Sensitivity!$H$15,IF($G$23="Min Damage Multiplier %",(CHOOSE(MATCH($F$23,{"Rare","Epic","Unique","Legendary","Mystic","Mystic (Prime)"},0),2,3,4.5,7,10,12))*Sensitivity!$H$13,IF($G$23="Max Damage Multiplier %",(CHOOSE(MATCH($F$23,{"Rare","Epic","Unique","Legendary","Mystic","Mystic (Prime)"},0),2,3,4.5,7,10,12))*Sensitivity!$H$14,IF($G$23="Boss Monster Damage %",(CHOOSE(MATCH($F$23,{"Rare","Epic","Unique","Legendary","Mystic","Mystic (Prime)"},0),4,6,9,14,20,24))*Sensitivity!$H$10,IF($G$23="Normal Monster Damage %",(CHOOSE(MATCH($F$23,{"Rare","Epic","Unique","Legendary","Mystic","Mystic (Prime)"},0),4,6,9,14,20,24))*Sensitivity!$H$11,IF($G$23="Status Effect Damage %",0,IF($G$23="Damage %",(CHOOSE(MATCH($F$23,{"Rare","Epic","Unique","Legendary","Mystic","Mystic (Prime)"},0),4,6,9,14,20,24))*Sensitivity!$H$8,IF($G$23="Defense Penetration %",(CHOOSE(MATCH($F$23,{"Rare","Epic","Unique","Legendary","Mystic","Mystic (Prime)"},0),2,3,4.5,7,10,12))*Sensitivity!$H$18,0)))))))))))),0)</f>
        <v/>
      </c>
      <c r="I23" s="7" t="inlineStr">
        <is>
          <t>Rare</t>
        </is>
      </c>
      <c r="J23" s="7" t="inlineStr">
        <is>
          <t>(none)</t>
        </is>
      </c>
      <c r="K23">
        <f>IF($N$23&gt;=5,IF($J$23="Main Stat %",(CHOOSE(MATCH($I$23,{"Rare","Epic","Unique","Legendary","Mystic","Mystic (Prime)"},0),2,3,4.5,7,10,12))*Sensitivity!$H$6,IF($J$23="Damage Taken Decrease %",0,IF($J$23="Defense %",0,IF($J$23="Accuracy",0,IF($J$23="Critical Rate %",(CHOOSE(MATCH($I$23,{"Rare","Epic","Unique","Legendary","Mystic","Mystic (Prime)"},0),2,3,4.5,7,10,12))*Sensitivity!$H$15,IF($J$23="Min Damage Multiplier %",(CHOOSE(MATCH($I$23,{"Rare","Epic","Unique","Legendary","Mystic","Mystic (Prime)"},0),2,3,4.5,7,10,12))*Sensitivity!$H$13,IF($J$23="Max Damage Multiplier %",(CHOOSE(MATCH($I$23,{"Rare","Epic","Unique","Legendary","Mystic","Mystic (Prime)"},0),2,3,4.5,7,10,12))*Sensitivity!$H$14,IF($J$23="Boss Monster Damage %",(CHOOSE(MATCH($I$23,{"Rare","Epic","Unique","Legendary","Mystic","Mystic (Prime)"},0),4,6,9,14,20,24))*Sensitivity!$H$10,IF($J$23="Normal Monster Damage %",(CHOOSE(MATCH($I$23,{"Rare","Epic","Unique","Legendary","Mystic","Mystic (Prime)"},0),4,6,9,14,20,24))*Sensitivity!$H$11,IF($J$23="Status Effect Damage %",0,IF($J$23="Damage %",(CHOOSE(MATCH($I$23,{"Rare","Epic","Unique","Legendary","Mystic","Mystic (Prime)"},0),4,6,9,14,20,24))*Sensitivity!$H$8,IF($J$23="Defense Penetration %",(CHOOSE(MATCH($I$23,{"Rare","Epic","Unique","Legendary","Mystic","Mystic (Prime)"},0),2,3,4.5,7,10,12))*Sensitivity!$H$18,0)))))))))))),0)</f>
        <v/>
      </c>
      <c r="L23">
        <f>Summary!$B$3*((IF(D23="(none)",1,1+(E23+IF(G23=D23,H23,0)+IF(J23=D23,K23,0))/Summary!$B$3))*(IF(OR(G23="(none)",G23=D23),1,1+(H23+IF(D23=G23,E23,0)+IF(J23=G23,K23,0))/Summary!$B$3))*(IF(OR(J23="",J23="(none)",J23=D23,J23=G23),1,1+(K23+IF(D23=J23,E23,0)+IF(G23=J23,H23,0))/Summary!$B$3))-1)</f>
        <v/>
      </c>
      <c r="M23">
        <f>OR(Inputs!$B$47="Star Rock",Inputs!$B$48="Star Rock",Inputs!$B$49="Star Rock",Inputs!$B$50="Star Rock")</f>
        <v/>
      </c>
      <c r="N23">
        <f>IF(B23="Not Unlocked",0,B23)</f>
        <v/>
      </c>
    </row>
    <row r="24">
      <c r="A24" s="6" t="inlineStr">
        <is>
          <t>Book of Ancient</t>
        </is>
      </c>
      <c r="B24" s="7" t="inlineStr">
        <is>
          <t>Not Unlocked</t>
        </is>
      </c>
      <c r="C24" s="7" t="inlineStr">
        <is>
          <t>Rare</t>
        </is>
      </c>
      <c r="D24" s="7" t="inlineStr">
        <is>
          <t>(none)</t>
        </is>
      </c>
      <c r="E24">
        <f>IF($N$24&gt;=1,IF($D$24="Main Stat %",(CHOOSE(MATCH($C$24,{"Rare","Epic","Unique","Legendary","Mystic","Mystic (Prime)"},0),2,3,4.5,7,10,12))*Sensitivity!$H$6,IF($D$24="Damage Taken Decrease %",0,IF($D$24="Defense %",0,IF($D$24="Accuracy",0,IF($D$24="Critical Rate %",(CHOOSE(MATCH($C$24,{"Rare","Epic","Unique","Legendary","Mystic","Mystic (Prime)"},0),2,3,4.5,7,10,12))*Sensitivity!$H$15,IF($D$24="Min Damage Multiplier %",(CHOOSE(MATCH($C$24,{"Rare","Epic","Unique","Legendary","Mystic","Mystic (Prime)"},0),2,3,4.5,7,10,12))*Sensitivity!$H$13,IF($D$24="Max Damage Multiplier %",(CHOOSE(MATCH($C$24,{"Rare","Epic","Unique","Legendary","Mystic","Mystic (Prime)"},0),2,3,4.5,7,10,12))*Sensitivity!$H$14,IF($D$24="Boss Monster Damage %",(CHOOSE(MATCH($C$24,{"Rare","Epic","Unique","Legendary","Mystic","Mystic (Prime)"},0),4,6,9,14,20,24))*Sensitivity!$H$10,IF($D$24="Normal Monster Damage %",(CHOOSE(MATCH($C$24,{"Rare","Epic","Unique","Legendary","Mystic","Mystic (Prime)"},0),4,6,9,14,20,24))*Sensitivity!$H$11,IF($D$24="Status Effect Damage %",0,IF($D$24="Damage %",(CHOOSE(MATCH($C$24,{"Rare","Epic","Unique","Legendary","Mystic","Mystic (Prime)"},0),4,6,9,14,20,24))*Sensitivity!$H$8,IF($D$24="Defense Penetration %",(CHOOSE(MATCH($C$24,{"Rare","Epic","Unique","Legendary","Mystic","Mystic (Prime)"},0),2,3,4.5,7,10,12))*Sensitivity!$H$18,0)))))))))))),0)</f>
        <v/>
      </c>
      <c r="F24" s="7" t="inlineStr">
        <is>
          <t>Rare</t>
        </is>
      </c>
      <c r="G24" s="7" t="inlineStr">
        <is>
          <t>(none)</t>
        </is>
      </c>
      <c r="H24">
        <f>IF($N$24&gt;=2,IF($G$24="Main Stat %",(CHOOSE(MATCH($F$24,{"Rare","Epic","Unique","Legendary","Mystic","Mystic (Prime)"},0),2,3,4.5,7,10,12))*Sensitivity!$H$6,IF($G$24="Damage Taken Decrease %",0,IF($G$24="Defense %",0,IF($G$24="Accuracy",0,IF($G$24="Critical Rate %",(CHOOSE(MATCH($F$24,{"Rare","Epic","Unique","Legendary","Mystic","Mystic (Prime)"},0),2,3,4.5,7,10,12))*Sensitivity!$H$15,IF($G$24="Min Damage Multiplier %",(CHOOSE(MATCH($F$24,{"Rare","Epic","Unique","Legendary","Mystic","Mystic (Prime)"},0),2,3,4.5,7,10,12))*Sensitivity!$H$13,IF($G$24="Max Damage Multiplier %",(CHOOSE(MATCH($F$24,{"Rare","Epic","Unique","Legendary","Mystic","Mystic (Prime)"},0),2,3,4.5,7,10,12))*Sensitivity!$H$14,IF($G$24="Boss Monster Damage %",(CHOOSE(MATCH($F$24,{"Rare","Epic","Unique","Legendary","Mystic","Mystic (Prime)"},0),4,6,9,14,20,24))*Sensitivity!$H$10,IF($G$24="Normal Monster Damage %",(CHOOSE(MATCH($F$24,{"Rare","Epic","Unique","Legendary","Mystic","Mystic (Prime)"},0),4,6,9,14,20,24))*Sensitivity!$H$11,IF($G$24="Status Effect Damage %",0,IF($G$24="Damage %",(CHOOSE(MATCH($F$24,{"Rare","Epic","Unique","Legendary","Mystic","Mystic (Prime)"},0),4,6,9,14,20,24))*Sensitivity!$H$8,IF($G$24="Defense Penetration %",(CHOOSE(MATCH($F$24,{"Rare","Epic","Unique","Legendary","Mystic","Mystic (Prime)"},0),2,3,4.5,7,10,12))*Sensitivity!$H$18,0)))))))))))),0)</f>
        <v/>
      </c>
      <c r="I24" s="7" t="inlineStr">
        <is>
          <t>Rare</t>
        </is>
      </c>
      <c r="J24" s="7" t="inlineStr">
        <is>
          <t>(none)</t>
        </is>
      </c>
      <c r="K24">
        <f>IF($N$24&gt;=5,IF($J$24="Main Stat %",(CHOOSE(MATCH($I$24,{"Rare","Epic","Unique","Legendary","Mystic","Mystic (Prime)"},0),2,3,4.5,7,10,12))*Sensitivity!$H$6,IF($J$24="Damage Taken Decrease %",0,IF($J$24="Defense %",0,IF($J$24="Accuracy",0,IF($J$24="Critical Rate %",(CHOOSE(MATCH($I$24,{"Rare","Epic","Unique","Legendary","Mystic","Mystic (Prime)"},0),2,3,4.5,7,10,12))*Sensitivity!$H$15,IF($J$24="Min Damage Multiplier %",(CHOOSE(MATCH($I$24,{"Rare","Epic","Unique","Legendary","Mystic","Mystic (Prime)"},0),2,3,4.5,7,10,12))*Sensitivity!$H$13,IF($J$24="Max Damage Multiplier %",(CHOOSE(MATCH($I$24,{"Rare","Epic","Unique","Legendary","Mystic","Mystic (Prime)"},0),2,3,4.5,7,10,12))*Sensitivity!$H$14,IF($J$24="Boss Monster Damage %",(CHOOSE(MATCH($I$24,{"Rare","Epic","Unique","Legendary","Mystic","Mystic (Prime)"},0),4,6,9,14,20,24))*Sensitivity!$H$10,IF($J$24="Normal Monster Damage %",(CHOOSE(MATCH($I$24,{"Rare","Epic","Unique","Legendary","Mystic","Mystic (Prime)"},0),4,6,9,14,20,24))*Sensitivity!$H$11,IF($J$24="Status Effect Damage %",0,IF($J$24="Damage %",(CHOOSE(MATCH($I$24,{"Rare","Epic","Unique","Legendary","Mystic","Mystic (Prime)"},0),4,6,9,14,20,24))*Sensitivity!$H$8,IF($J$24="Defense Penetration %",(CHOOSE(MATCH($I$24,{"Rare","Epic","Unique","Legendary","Mystic","Mystic (Prime)"},0),2,3,4.5,7,10,12))*Sensitivity!$H$18,0)))))))))))),0)</f>
        <v/>
      </c>
      <c r="L24">
        <f>Summary!$B$3*((IF(D24="(none)",1,1+(E24+IF(G24=D24,H24,0)+IF(J24=D24,K24,0))/Summary!$B$3))*(IF(OR(G24="(none)",G24=D24),1,1+(H24+IF(D24=G24,E24,0)+IF(J24=G24,K24,0))/Summary!$B$3))*(IF(OR(J24="",J24="(none)",J24=D24,J24=G24),1,1+(K24+IF(D24=J24,E24,0)+IF(G24=J24,H24,0))/Summary!$B$3))-1)</f>
        <v/>
      </c>
      <c r="M24">
        <f>OR(Inputs!$B$47="Book of Ancient",Inputs!$B$48="Book of Ancient",Inputs!$B$49="Book of Ancient",Inputs!$B$50="Book of Ancient")</f>
        <v/>
      </c>
      <c r="N24">
        <f>IF(B24="Not Unlocked",0,B24)</f>
        <v/>
      </c>
    </row>
    <row r="25">
      <c r="A25" s="6" t="inlineStr">
        <is>
          <t>Lunar Dew</t>
        </is>
      </c>
      <c r="B25" s="7" t="inlineStr">
        <is>
          <t>Not Unlocked</t>
        </is>
      </c>
      <c r="C25" s="7" t="inlineStr">
        <is>
          <t>Rare</t>
        </is>
      </c>
      <c r="D25" s="7" t="inlineStr">
        <is>
          <t>(none)</t>
        </is>
      </c>
      <c r="E25">
        <f>IF($N$25&gt;=1,IF($D$25="Main Stat %",(CHOOSE(MATCH($C$25,{"Rare","Epic","Unique","Legendary","Mystic","Mystic (Prime)"},0),2,3,4.5,7,10,12))*Sensitivity!$H$6,IF($D$25="Damage Taken Decrease %",0,IF($D$25="Defense %",0,IF($D$25="Accuracy",0,IF($D$25="Critical Rate %",(CHOOSE(MATCH($C$25,{"Rare","Epic","Unique","Legendary","Mystic","Mystic (Prime)"},0),2,3,4.5,7,10,12))*Sensitivity!$H$15,IF($D$25="Min Damage Multiplier %",(CHOOSE(MATCH($C$25,{"Rare","Epic","Unique","Legendary","Mystic","Mystic (Prime)"},0),2,3,4.5,7,10,12))*Sensitivity!$H$13,IF($D$25="Max Damage Multiplier %",(CHOOSE(MATCH($C$25,{"Rare","Epic","Unique","Legendary","Mystic","Mystic (Prime)"},0),2,3,4.5,7,10,12))*Sensitivity!$H$14,IF($D$25="Boss Monster Damage %",(CHOOSE(MATCH($C$25,{"Rare","Epic","Unique","Legendary","Mystic","Mystic (Prime)"},0),4,6,9,14,20,24))*Sensitivity!$H$10,IF($D$25="Normal Monster Damage %",(CHOOSE(MATCH($C$25,{"Rare","Epic","Unique","Legendary","Mystic","Mystic (Prime)"},0),4,6,9,14,20,24))*Sensitivity!$H$11,IF($D$25="Status Effect Damage %",0,IF($D$25="Damage %",(CHOOSE(MATCH($C$25,{"Rare","Epic","Unique","Legendary","Mystic","Mystic (Prime)"},0),4,6,9,14,20,24))*Sensitivity!$H$8,IF($D$25="Defense Penetration %",(CHOOSE(MATCH($C$25,{"Rare","Epic","Unique","Legendary","Mystic","Mystic (Prime)"},0),2,3,4.5,7,10,12))*Sensitivity!$H$18,0)))))))))))),0)</f>
        <v/>
      </c>
      <c r="F25" s="7" t="inlineStr">
        <is>
          <t>Rare</t>
        </is>
      </c>
      <c r="G25" s="7" t="inlineStr">
        <is>
          <t>(none)</t>
        </is>
      </c>
      <c r="H25">
        <f>IF($N$25&gt;=2,IF($G$25="Main Stat %",(CHOOSE(MATCH($F$25,{"Rare","Epic","Unique","Legendary","Mystic","Mystic (Prime)"},0),2,3,4.5,7,10,12))*Sensitivity!$H$6,IF($G$25="Damage Taken Decrease %",0,IF($G$25="Defense %",0,IF($G$25="Accuracy",0,IF($G$25="Critical Rate %",(CHOOSE(MATCH($F$25,{"Rare","Epic","Unique","Legendary","Mystic","Mystic (Prime)"},0),2,3,4.5,7,10,12))*Sensitivity!$H$15,IF($G$25="Min Damage Multiplier %",(CHOOSE(MATCH($F$25,{"Rare","Epic","Unique","Legendary","Mystic","Mystic (Prime)"},0),2,3,4.5,7,10,12))*Sensitivity!$H$13,IF($G$25="Max Damage Multiplier %",(CHOOSE(MATCH($F$25,{"Rare","Epic","Unique","Legendary","Mystic","Mystic (Prime)"},0),2,3,4.5,7,10,12))*Sensitivity!$H$14,IF($G$25="Boss Monster Damage %",(CHOOSE(MATCH($F$25,{"Rare","Epic","Unique","Legendary","Mystic","Mystic (Prime)"},0),4,6,9,14,20,24))*Sensitivity!$H$10,IF($G$25="Normal Monster Damage %",(CHOOSE(MATCH($F$25,{"Rare","Epic","Unique","Legendary","Mystic","Mystic (Prime)"},0),4,6,9,14,20,24))*Sensitivity!$H$11,IF($G$25="Status Effect Damage %",0,IF($G$25="Damage %",(CHOOSE(MATCH($F$25,{"Rare","Epic","Unique","Legendary","Mystic","Mystic (Prime)"},0),4,6,9,14,20,24))*Sensitivity!$H$8,IF($G$25="Defense Penetration %",(CHOOSE(MATCH($F$25,{"Rare","Epic","Unique","Legendary","Mystic","Mystic (Prime)"},0),2,3,4.5,7,10,12))*Sensitivity!$H$18,0)))))))))))),0)</f>
        <v/>
      </c>
      <c r="I25" s="7" t="inlineStr">
        <is>
          <t>Rare</t>
        </is>
      </c>
      <c r="J25" s="7" t="inlineStr">
        <is>
          <t>(none)</t>
        </is>
      </c>
      <c r="K25">
        <f>IF($N$25&gt;=5,IF($J$25="Main Stat %",(CHOOSE(MATCH($I$25,{"Rare","Epic","Unique","Legendary","Mystic","Mystic (Prime)"},0),2,3,4.5,7,10,12))*Sensitivity!$H$6,IF($J$25="Damage Taken Decrease %",0,IF($J$25="Defense %",0,IF($J$25="Accuracy",0,IF($J$25="Critical Rate %",(CHOOSE(MATCH($I$25,{"Rare","Epic","Unique","Legendary","Mystic","Mystic (Prime)"},0),2,3,4.5,7,10,12))*Sensitivity!$H$15,IF($J$25="Min Damage Multiplier %",(CHOOSE(MATCH($I$25,{"Rare","Epic","Unique","Legendary","Mystic","Mystic (Prime)"},0),2,3,4.5,7,10,12))*Sensitivity!$H$13,IF($J$25="Max Damage Multiplier %",(CHOOSE(MATCH($I$25,{"Rare","Epic","Unique","Legendary","Mystic","Mystic (Prime)"},0),2,3,4.5,7,10,12))*Sensitivity!$H$14,IF($J$25="Boss Monster Damage %",(CHOOSE(MATCH($I$25,{"Rare","Epic","Unique","Legendary","Mystic","Mystic (Prime)"},0),4,6,9,14,20,24))*Sensitivity!$H$10,IF($J$25="Normal Monster Damage %",(CHOOSE(MATCH($I$25,{"Rare","Epic","Unique","Legendary","Mystic","Mystic (Prime)"},0),4,6,9,14,20,24))*Sensitivity!$H$11,IF($J$25="Status Effect Damage %",0,IF($J$25="Damage %",(CHOOSE(MATCH($I$25,{"Rare","Epic","Unique","Legendary","Mystic","Mystic (Prime)"},0),4,6,9,14,20,24))*Sensitivity!$H$8,IF($J$25="Defense Penetration %",(CHOOSE(MATCH($I$25,{"Rare","Epic","Unique","Legendary","Mystic","Mystic (Prime)"},0),2,3,4.5,7,10,12))*Sensitivity!$H$18,0)))))))))))),0)</f>
        <v/>
      </c>
      <c r="L25">
        <f>Summary!$B$3*((IF(D25="(none)",1,1+(E25+IF(G25=D25,H25,0)+IF(J25=D25,K25,0))/Summary!$B$3))*(IF(OR(G25="(none)",G25=D25),1,1+(H25+IF(D25=G25,E25,0)+IF(J25=G25,K25,0))/Summary!$B$3))*(IF(OR(J25="",J25="(none)",J25=D25,J25=G25),1,1+(K25+IF(D25=J25,E25,0)+IF(G25=J25,H25,0))/Summary!$B$3))-1)</f>
        <v/>
      </c>
      <c r="M25">
        <f>OR(Inputs!$B$47="Lunar Dew",Inputs!$B$48="Lunar Dew",Inputs!$B$49="Lunar Dew",Inputs!$B$50="Lunar Dew")</f>
        <v/>
      </c>
      <c r="N25">
        <f>IF(B25="Not Unlocked",0,B25)</f>
        <v/>
      </c>
    </row>
    <row r="26">
      <c r="A26" s="6" t="inlineStr">
        <is>
          <t>Fire Flower</t>
        </is>
      </c>
      <c r="B26" s="7" t="inlineStr">
        <is>
          <t>Not Unlocked</t>
        </is>
      </c>
      <c r="C26" s="7" t="inlineStr">
        <is>
          <t>Rare</t>
        </is>
      </c>
      <c r="D26" s="7" t="inlineStr">
        <is>
          <t>(none)</t>
        </is>
      </c>
      <c r="E26">
        <f>IF($N$26&gt;=1,IF($D$26="Main Stat %",(CHOOSE(MATCH($C$26,{"Rare","Epic","Unique","Legendary","Mystic","Mystic (Prime)"},0),2,3,4.5,7,10,12))*Sensitivity!$H$6,IF($D$26="Damage Taken Decrease %",0,IF($D$26="Defense %",0,IF($D$26="Accuracy",0,IF($D$26="Critical Rate %",(CHOOSE(MATCH($C$26,{"Rare","Epic","Unique","Legendary","Mystic","Mystic (Prime)"},0),2,3,4.5,7,10,12))*Sensitivity!$H$15,IF($D$26="Min Damage Multiplier %",(CHOOSE(MATCH($C$26,{"Rare","Epic","Unique","Legendary","Mystic","Mystic (Prime)"},0),2,3,4.5,7,10,12))*Sensitivity!$H$13,IF($D$26="Max Damage Multiplier %",(CHOOSE(MATCH($C$26,{"Rare","Epic","Unique","Legendary","Mystic","Mystic (Prime)"},0),2,3,4.5,7,10,12))*Sensitivity!$H$14,IF($D$26="Boss Monster Damage %",(CHOOSE(MATCH($C$26,{"Rare","Epic","Unique","Legendary","Mystic","Mystic (Prime)"},0),4,6,9,14,20,24))*Sensitivity!$H$10,IF($D$26="Normal Monster Damage %",(CHOOSE(MATCH($C$26,{"Rare","Epic","Unique","Legendary","Mystic","Mystic (Prime)"},0),4,6,9,14,20,24))*Sensitivity!$H$11,IF($D$26="Status Effect Damage %",0,IF($D$26="Damage %",(CHOOSE(MATCH($C$26,{"Rare","Epic","Unique","Legendary","Mystic","Mystic (Prime)"},0),4,6,9,14,20,24))*Sensitivity!$H$8,IF($D$26="Defense Penetration %",(CHOOSE(MATCH($C$26,{"Rare","Epic","Unique","Legendary","Mystic","Mystic (Prime)"},0),2,3,4.5,7,10,12))*Sensitivity!$H$18,0)))))))))))),0)</f>
        <v/>
      </c>
      <c r="F26" s="7" t="inlineStr">
        <is>
          <t>Rare</t>
        </is>
      </c>
      <c r="G26" s="7" t="inlineStr">
        <is>
          <t>(none)</t>
        </is>
      </c>
      <c r="H26">
        <f>IF($N$26&gt;=2,IF($G$26="Main Stat %",(CHOOSE(MATCH($F$26,{"Rare","Epic","Unique","Legendary","Mystic","Mystic (Prime)"},0),2,3,4.5,7,10,12))*Sensitivity!$H$6,IF($G$26="Damage Taken Decrease %",0,IF($G$26="Defense %",0,IF($G$26="Accuracy",0,IF($G$26="Critical Rate %",(CHOOSE(MATCH($F$26,{"Rare","Epic","Unique","Legendary","Mystic","Mystic (Prime)"},0),2,3,4.5,7,10,12))*Sensitivity!$H$15,IF($G$26="Min Damage Multiplier %",(CHOOSE(MATCH($F$26,{"Rare","Epic","Unique","Legendary","Mystic","Mystic (Prime)"},0),2,3,4.5,7,10,12))*Sensitivity!$H$13,IF($G$26="Max Damage Multiplier %",(CHOOSE(MATCH($F$26,{"Rare","Epic","Unique","Legendary","Mystic","Mystic (Prime)"},0),2,3,4.5,7,10,12))*Sensitivity!$H$14,IF($G$26="Boss Monster Damage %",(CHOOSE(MATCH($F$26,{"Rare","Epic","Unique","Legendary","Mystic","Mystic (Prime)"},0),4,6,9,14,20,24))*Sensitivity!$H$10,IF($G$26="Normal Monster Damage %",(CHOOSE(MATCH($F$26,{"Rare","Epic","Unique","Legendary","Mystic","Mystic (Prime)"},0),4,6,9,14,20,24))*Sensitivity!$H$11,IF($G$26="Status Effect Damage %",0,IF($G$26="Damage %",(CHOOSE(MATCH($F$26,{"Rare","Epic","Unique","Legendary","Mystic","Mystic (Prime)"},0),4,6,9,14,20,24))*Sensitivity!$H$8,IF($G$26="Defense Penetration %",(CHOOSE(MATCH($F$26,{"Rare","Epic","Unique","Legendary","Mystic","Mystic (Prime)"},0),2,3,4.5,7,10,12))*Sensitivity!$H$18,0)))))))))))),0)</f>
        <v/>
      </c>
      <c r="I26" s="7" t="inlineStr">
        <is>
          <t>Rare</t>
        </is>
      </c>
      <c r="J26" s="7" t="inlineStr">
        <is>
          <t>(none)</t>
        </is>
      </c>
      <c r="K26">
        <f>IF($N$26&gt;=5,IF($J$26="Main Stat %",(CHOOSE(MATCH($I$26,{"Rare","Epic","Unique","Legendary","Mystic","Mystic (Prime)"},0),2,3,4.5,7,10,12))*Sensitivity!$H$6,IF($J$26="Damage Taken Decrease %",0,IF($J$26="Defense %",0,IF($J$26="Accuracy",0,IF($J$26="Critical Rate %",(CHOOSE(MATCH($I$26,{"Rare","Epic","Unique","Legendary","Mystic","Mystic (Prime)"},0),2,3,4.5,7,10,12))*Sensitivity!$H$15,IF($J$26="Min Damage Multiplier %",(CHOOSE(MATCH($I$26,{"Rare","Epic","Unique","Legendary","Mystic","Mystic (Prime)"},0),2,3,4.5,7,10,12))*Sensitivity!$H$13,IF($J$26="Max Damage Multiplier %",(CHOOSE(MATCH($I$26,{"Rare","Epic","Unique","Legendary","Mystic","Mystic (Prime)"},0),2,3,4.5,7,10,12))*Sensitivity!$H$14,IF($J$26="Boss Monster Damage %",(CHOOSE(MATCH($I$26,{"Rare","Epic","Unique","Legendary","Mystic","Mystic (Prime)"},0),4,6,9,14,20,24))*Sensitivity!$H$10,IF($J$26="Normal Monster Damage %",(CHOOSE(MATCH($I$26,{"Rare","Epic","Unique","Legendary","Mystic","Mystic (Prime)"},0),4,6,9,14,20,24))*Sensitivity!$H$11,IF($J$26="Status Effect Damage %",0,IF($J$26="Damage %",(CHOOSE(MATCH($I$26,{"Rare","Epic","Unique","Legendary","Mystic","Mystic (Prime)"},0),4,6,9,14,20,24))*Sensitivity!$H$8,IF($J$26="Defense Penetration %",(CHOOSE(MATCH($I$26,{"Rare","Epic","Unique","Legendary","Mystic","Mystic (Prime)"},0),2,3,4.5,7,10,12))*Sensitivity!$H$18,0)))))))))))),0)</f>
        <v/>
      </c>
      <c r="L26">
        <f>Summary!$B$3*((IF(D26="(none)",1,1+(E26+IF(G26=D26,H26,0)+IF(J26=D26,K26,0))/Summary!$B$3))*(IF(OR(G26="(none)",G26=D26),1,1+(H26+IF(D26=G26,E26,0)+IF(J26=G26,K26,0))/Summary!$B$3))*(IF(OR(J26="",J26="(none)",J26=D26,J26=G26),1,1+(K26+IF(D26=J26,E26,0)+IF(G26=J26,H26,0))/Summary!$B$3))-1)</f>
        <v/>
      </c>
      <c r="M26">
        <f>OR(Inputs!$B$47="Fire Flower",Inputs!$B$48="Fire Flower",Inputs!$B$49="Fire Flower",Inputs!$B$50="Fire Flower")</f>
        <v/>
      </c>
      <c r="N26">
        <f>IF(B26="Not Unlocked",0,B26)</f>
        <v/>
      </c>
    </row>
    <row r="27">
      <c r="A27" s="6" t="inlineStr">
        <is>
          <t>Soul Contract</t>
        </is>
      </c>
      <c r="B27" s="7" t="inlineStr">
        <is>
          <t>Not Unlocked</t>
        </is>
      </c>
      <c r="C27" s="7" t="inlineStr">
        <is>
          <t>Rare</t>
        </is>
      </c>
      <c r="D27" s="7" t="inlineStr">
        <is>
          <t>(none)</t>
        </is>
      </c>
      <c r="E27">
        <f>IF($N$27&gt;=1,IF($D$27="Main Stat %",(CHOOSE(MATCH($C$27,{"Rare","Epic","Unique","Legendary","Mystic","Mystic (Prime)"},0),2,3,4.5,7,10,12))*Sensitivity!$H$6,IF($D$27="Damage Taken Decrease %",0,IF($D$27="Defense %",0,IF($D$27="Accuracy",0,IF($D$27="Critical Rate %",(CHOOSE(MATCH($C$27,{"Rare","Epic","Unique","Legendary","Mystic","Mystic (Prime)"},0),2,3,4.5,7,10,12))*Sensitivity!$H$15,IF($D$27="Min Damage Multiplier %",(CHOOSE(MATCH($C$27,{"Rare","Epic","Unique","Legendary","Mystic","Mystic (Prime)"},0),2,3,4.5,7,10,12))*Sensitivity!$H$13,IF($D$27="Max Damage Multiplier %",(CHOOSE(MATCH($C$27,{"Rare","Epic","Unique","Legendary","Mystic","Mystic (Prime)"},0),2,3,4.5,7,10,12))*Sensitivity!$H$14,IF($D$27="Boss Monster Damage %",(CHOOSE(MATCH($C$27,{"Rare","Epic","Unique","Legendary","Mystic","Mystic (Prime)"},0),4,6,9,14,20,24))*Sensitivity!$H$10,IF($D$27="Normal Monster Damage %",(CHOOSE(MATCH($C$27,{"Rare","Epic","Unique","Legendary","Mystic","Mystic (Prime)"},0),4,6,9,14,20,24))*Sensitivity!$H$11,IF($D$27="Status Effect Damage %",0,IF($D$27="Damage %",(CHOOSE(MATCH($C$27,{"Rare","Epic","Unique","Legendary","Mystic","Mystic (Prime)"},0),4,6,9,14,20,24))*Sensitivity!$H$8,IF($D$27="Defense Penetration %",(CHOOSE(MATCH($C$27,{"Rare","Epic","Unique","Legendary","Mystic","Mystic (Prime)"},0),2,3,4.5,7,10,12))*Sensitivity!$H$18,0)))))))))))),0)</f>
        <v/>
      </c>
      <c r="F27" s="7" t="inlineStr">
        <is>
          <t>Rare</t>
        </is>
      </c>
      <c r="G27" s="7" t="inlineStr">
        <is>
          <t>(none)</t>
        </is>
      </c>
      <c r="H27">
        <f>IF($N$27&gt;=2,IF($G$27="Main Stat %",(CHOOSE(MATCH($F$27,{"Rare","Epic","Unique","Legendary","Mystic","Mystic (Prime)"},0),2,3,4.5,7,10,12))*Sensitivity!$H$6,IF($G$27="Damage Taken Decrease %",0,IF($G$27="Defense %",0,IF($G$27="Accuracy",0,IF($G$27="Critical Rate %",(CHOOSE(MATCH($F$27,{"Rare","Epic","Unique","Legendary","Mystic","Mystic (Prime)"},0),2,3,4.5,7,10,12))*Sensitivity!$H$15,IF($G$27="Min Damage Multiplier %",(CHOOSE(MATCH($F$27,{"Rare","Epic","Unique","Legendary","Mystic","Mystic (Prime)"},0),2,3,4.5,7,10,12))*Sensitivity!$H$13,IF($G$27="Max Damage Multiplier %",(CHOOSE(MATCH($F$27,{"Rare","Epic","Unique","Legendary","Mystic","Mystic (Prime)"},0),2,3,4.5,7,10,12))*Sensitivity!$H$14,IF($G$27="Boss Monster Damage %",(CHOOSE(MATCH($F$27,{"Rare","Epic","Unique","Legendary","Mystic","Mystic (Prime)"},0),4,6,9,14,20,24))*Sensitivity!$H$10,IF($G$27="Normal Monster Damage %",(CHOOSE(MATCH($F$27,{"Rare","Epic","Unique","Legendary","Mystic","Mystic (Prime)"},0),4,6,9,14,20,24))*Sensitivity!$H$11,IF($G$27="Status Effect Damage %",0,IF($G$27="Damage %",(CHOOSE(MATCH($F$27,{"Rare","Epic","Unique","Legendary","Mystic","Mystic (Prime)"},0),4,6,9,14,20,24))*Sensitivity!$H$8,IF($G$27="Defense Penetration %",(CHOOSE(MATCH($F$27,{"Rare","Epic","Unique","Legendary","Mystic","Mystic (Prime)"},0),2,3,4.5,7,10,12))*Sensitivity!$H$18,0)))))))))))),0)</f>
        <v/>
      </c>
      <c r="I27" s="7" t="inlineStr">
        <is>
          <t>Rare</t>
        </is>
      </c>
      <c r="J27" s="7" t="inlineStr">
        <is>
          <t>(none)</t>
        </is>
      </c>
      <c r="K27">
        <f>IF($N$27&gt;=5,IF($J$27="Main Stat %",(CHOOSE(MATCH($I$27,{"Rare","Epic","Unique","Legendary","Mystic","Mystic (Prime)"},0),2,3,4.5,7,10,12))*Sensitivity!$H$6,IF($J$27="Damage Taken Decrease %",0,IF($J$27="Defense %",0,IF($J$27="Accuracy",0,IF($J$27="Critical Rate %",(CHOOSE(MATCH($I$27,{"Rare","Epic","Unique","Legendary","Mystic","Mystic (Prime)"},0),2,3,4.5,7,10,12))*Sensitivity!$H$15,IF($J$27="Min Damage Multiplier %",(CHOOSE(MATCH($I$27,{"Rare","Epic","Unique","Legendary","Mystic","Mystic (Prime)"},0),2,3,4.5,7,10,12))*Sensitivity!$H$13,IF($J$27="Max Damage Multiplier %",(CHOOSE(MATCH($I$27,{"Rare","Epic","Unique","Legendary","Mystic","Mystic (Prime)"},0),2,3,4.5,7,10,12))*Sensitivity!$H$14,IF($J$27="Boss Monster Damage %",(CHOOSE(MATCH($I$27,{"Rare","Epic","Unique","Legendary","Mystic","Mystic (Prime)"},0),4,6,9,14,20,24))*Sensitivity!$H$10,IF($J$27="Normal Monster Damage %",(CHOOSE(MATCH($I$27,{"Rare","Epic","Unique","Legendary","Mystic","Mystic (Prime)"},0),4,6,9,14,20,24))*Sensitivity!$H$11,IF($J$27="Status Effect Damage %",0,IF($J$27="Damage %",(CHOOSE(MATCH($I$27,{"Rare","Epic","Unique","Legendary","Mystic","Mystic (Prime)"},0),4,6,9,14,20,24))*Sensitivity!$H$8,IF($J$27="Defense Penetration %",(CHOOSE(MATCH($I$27,{"Rare","Epic","Unique","Legendary","Mystic","Mystic (Prime)"},0),2,3,4.5,7,10,12))*Sensitivity!$H$18,0)))))))))))),0)</f>
        <v/>
      </c>
      <c r="L27">
        <f>Summary!$B$3*((IF(D27="(none)",1,1+(E27+IF(G27=D27,H27,0)+IF(J27=D27,K27,0))/Summary!$B$3))*(IF(OR(G27="(none)",G27=D27),1,1+(H27+IF(D27=G27,E27,0)+IF(J27=G27,K27,0))/Summary!$B$3))*(IF(OR(J27="",J27="(none)",J27=D27,J27=G27),1,1+(K27+IF(D27=J27,E27,0)+IF(G27=J27,H27,0))/Summary!$B$3))-1)</f>
        <v/>
      </c>
      <c r="M27">
        <f>OR(Inputs!$B$47="Soul Contract",Inputs!$B$48="Soul Contract",Inputs!$B$49="Soul Contract",Inputs!$B$50="Soul Contract")</f>
        <v/>
      </c>
      <c r="N27">
        <f>IF(B27="Not Unlocked",0,B27)</f>
        <v/>
      </c>
    </row>
    <row r="28">
      <c r="A28" s="6" t="inlineStr">
        <is>
          <t>Lit Lamp</t>
        </is>
      </c>
      <c r="B28" s="7" t="inlineStr">
        <is>
          <t>Not Unlocked</t>
        </is>
      </c>
      <c r="C28" s="7" t="inlineStr">
        <is>
          <t>Rare</t>
        </is>
      </c>
      <c r="D28" s="7" t="inlineStr">
        <is>
          <t>(none)</t>
        </is>
      </c>
      <c r="E28">
        <f>IF($N$28&gt;=1,IF($D$28="Main Stat %",(CHOOSE(MATCH($C$28,{"Rare","Epic","Unique","Legendary","Mystic","Mystic (Prime)"},0),2,3,4.5,7,10,12))*Sensitivity!$H$6,IF($D$28="Damage Taken Decrease %",0,IF($D$28="Defense %",0,IF($D$28="Accuracy",0,IF($D$28="Critical Rate %",(CHOOSE(MATCH($C$28,{"Rare","Epic","Unique","Legendary","Mystic","Mystic (Prime)"},0),2,3,4.5,7,10,12))*Sensitivity!$H$15,IF($D$28="Min Damage Multiplier %",(CHOOSE(MATCH($C$28,{"Rare","Epic","Unique","Legendary","Mystic","Mystic (Prime)"},0),2,3,4.5,7,10,12))*Sensitivity!$H$13,IF($D$28="Max Damage Multiplier %",(CHOOSE(MATCH($C$28,{"Rare","Epic","Unique","Legendary","Mystic","Mystic (Prime)"},0),2,3,4.5,7,10,12))*Sensitivity!$H$14,IF($D$28="Boss Monster Damage %",(CHOOSE(MATCH($C$28,{"Rare","Epic","Unique","Legendary","Mystic","Mystic (Prime)"},0),4,6,9,14,20,24))*Sensitivity!$H$10,IF($D$28="Normal Monster Damage %",(CHOOSE(MATCH($C$28,{"Rare","Epic","Unique","Legendary","Mystic","Mystic (Prime)"},0),4,6,9,14,20,24))*Sensitivity!$H$11,IF($D$28="Status Effect Damage %",0,IF($D$28="Damage %",(CHOOSE(MATCH($C$28,{"Rare","Epic","Unique","Legendary","Mystic","Mystic (Prime)"},0),4,6,9,14,20,24))*Sensitivity!$H$8,IF($D$28="Defense Penetration %",(CHOOSE(MATCH($C$28,{"Rare","Epic","Unique","Legendary","Mystic","Mystic (Prime)"},0),2,3,4.5,7,10,12))*Sensitivity!$H$18,0)))))))))))),0)</f>
        <v/>
      </c>
      <c r="F28" s="7" t="inlineStr">
        <is>
          <t>Rare</t>
        </is>
      </c>
      <c r="G28" s="7" t="inlineStr">
        <is>
          <t>(none)</t>
        </is>
      </c>
      <c r="H28">
        <f>IF($N$28&gt;=2,IF($G$28="Main Stat %",(CHOOSE(MATCH($F$28,{"Rare","Epic","Unique","Legendary","Mystic","Mystic (Prime)"},0),2,3,4.5,7,10,12))*Sensitivity!$H$6,IF($G$28="Damage Taken Decrease %",0,IF($G$28="Defense %",0,IF($G$28="Accuracy",0,IF($G$28="Critical Rate %",(CHOOSE(MATCH($F$28,{"Rare","Epic","Unique","Legendary","Mystic","Mystic (Prime)"},0),2,3,4.5,7,10,12))*Sensitivity!$H$15,IF($G$28="Min Damage Multiplier %",(CHOOSE(MATCH($F$28,{"Rare","Epic","Unique","Legendary","Mystic","Mystic (Prime)"},0),2,3,4.5,7,10,12))*Sensitivity!$H$13,IF($G$28="Max Damage Multiplier %",(CHOOSE(MATCH($F$28,{"Rare","Epic","Unique","Legendary","Mystic","Mystic (Prime)"},0),2,3,4.5,7,10,12))*Sensitivity!$H$14,IF($G$28="Boss Monster Damage %",(CHOOSE(MATCH($F$28,{"Rare","Epic","Unique","Legendary","Mystic","Mystic (Prime)"},0),4,6,9,14,20,24))*Sensitivity!$H$10,IF($G$28="Normal Monster Damage %",(CHOOSE(MATCH($F$28,{"Rare","Epic","Unique","Legendary","Mystic","Mystic (Prime)"},0),4,6,9,14,20,24))*Sensitivity!$H$11,IF($G$28="Status Effect Damage %",0,IF($G$28="Damage %",(CHOOSE(MATCH($F$28,{"Rare","Epic","Unique","Legendary","Mystic","Mystic (Prime)"},0),4,6,9,14,20,24))*Sensitivity!$H$8,IF($G$28="Defense Penetration %",(CHOOSE(MATCH($F$28,{"Rare","Epic","Unique","Legendary","Mystic","Mystic (Prime)"},0),2,3,4.5,7,10,12))*Sensitivity!$H$18,0)))))))))))),0)</f>
        <v/>
      </c>
      <c r="I28" s="7" t="inlineStr">
        <is>
          <t>Rare</t>
        </is>
      </c>
      <c r="J28" s="7" t="inlineStr">
        <is>
          <t>(none)</t>
        </is>
      </c>
      <c r="K28">
        <f>IF($N$28&gt;=5,IF($J$28="Main Stat %",(CHOOSE(MATCH($I$28,{"Rare","Epic","Unique","Legendary","Mystic","Mystic (Prime)"},0),2,3,4.5,7,10,12))*Sensitivity!$H$6,IF($J$28="Damage Taken Decrease %",0,IF($J$28="Defense %",0,IF($J$28="Accuracy",0,IF($J$28="Critical Rate %",(CHOOSE(MATCH($I$28,{"Rare","Epic","Unique","Legendary","Mystic","Mystic (Prime)"},0),2,3,4.5,7,10,12))*Sensitivity!$H$15,IF($J$28="Min Damage Multiplier %",(CHOOSE(MATCH($I$28,{"Rare","Epic","Unique","Legendary","Mystic","Mystic (Prime)"},0),2,3,4.5,7,10,12))*Sensitivity!$H$13,IF($J$28="Max Damage Multiplier %",(CHOOSE(MATCH($I$28,{"Rare","Epic","Unique","Legendary","Mystic","Mystic (Prime)"},0),2,3,4.5,7,10,12))*Sensitivity!$H$14,IF($J$28="Boss Monster Damage %",(CHOOSE(MATCH($I$28,{"Rare","Epic","Unique","Legendary","Mystic","Mystic (Prime)"},0),4,6,9,14,20,24))*Sensitivity!$H$10,IF($J$28="Normal Monster Damage %",(CHOOSE(MATCH($I$28,{"Rare","Epic","Unique","Legendary","Mystic","Mystic (Prime)"},0),4,6,9,14,20,24))*Sensitivity!$H$11,IF($J$28="Status Effect Damage %",0,IF($J$28="Damage %",(CHOOSE(MATCH($I$28,{"Rare","Epic","Unique","Legendary","Mystic","Mystic (Prime)"},0),4,6,9,14,20,24))*Sensitivity!$H$8,IF($J$28="Defense Penetration %",(CHOOSE(MATCH($I$28,{"Rare","Epic","Unique","Legendary","Mystic","Mystic (Prime)"},0),2,3,4.5,7,10,12))*Sensitivity!$H$18,0)))))))))))),0)</f>
        <v/>
      </c>
      <c r="L28">
        <f>Summary!$B$3*((IF(D28="(none)",1,1+(E28+IF(G28=D28,H28,0)+IF(J28=D28,K28,0))/Summary!$B$3))*(IF(OR(G28="(none)",G28=D28),1,1+(H28+IF(D28=G28,E28,0)+IF(J28=G28,K28,0))/Summary!$B$3))*(IF(OR(J28="",J28="(none)",J28=D28,J28=G28),1,1+(K28+IF(D28=J28,E28,0)+IF(G28=J28,H28,0))/Summary!$B$3))-1)</f>
        <v/>
      </c>
      <c r="M28">
        <f>OR(Inputs!$B$47="Lit Lamp",Inputs!$B$48="Lit Lamp",Inputs!$B$49="Lit Lamp",Inputs!$B$50="Lit Lamp")</f>
        <v/>
      </c>
      <c r="N28">
        <f>IF(B28="Not Unlocked",0,B28)</f>
        <v/>
      </c>
    </row>
    <row r="29">
      <c r="A29" s="6" t="inlineStr">
        <is>
          <t>Soul Pouch</t>
        </is>
      </c>
      <c r="B29" s="7" t="inlineStr">
        <is>
          <t>Not Unlocked</t>
        </is>
      </c>
      <c r="C29" s="7" t="inlineStr">
        <is>
          <t>Rare</t>
        </is>
      </c>
      <c r="D29" s="7" t="inlineStr">
        <is>
          <t>(none)</t>
        </is>
      </c>
      <c r="E29">
        <f>IF($N$29&gt;=1,IF($D$29="Main Stat %",(CHOOSE(MATCH($C$29,{"Rare","Epic","Unique","Legendary","Mystic","Mystic (Prime)"},0),2,3,4.5,7,10,12))*Sensitivity!$H$6,IF($D$29="Damage Taken Decrease %",0,IF($D$29="Defense %",0,IF($D$29="Accuracy",0,IF($D$29="Critical Rate %",(CHOOSE(MATCH($C$29,{"Rare","Epic","Unique","Legendary","Mystic","Mystic (Prime)"},0),2,3,4.5,7,10,12))*Sensitivity!$H$15,IF($D$29="Min Damage Multiplier %",(CHOOSE(MATCH($C$29,{"Rare","Epic","Unique","Legendary","Mystic","Mystic (Prime)"},0),2,3,4.5,7,10,12))*Sensitivity!$H$13,IF($D$29="Max Damage Multiplier %",(CHOOSE(MATCH($C$29,{"Rare","Epic","Unique","Legendary","Mystic","Mystic (Prime)"},0),2,3,4.5,7,10,12))*Sensitivity!$H$14,IF($D$29="Boss Monster Damage %",(CHOOSE(MATCH($C$29,{"Rare","Epic","Unique","Legendary","Mystic","Mystic (Prime)"},0),4,6,9,14,20,24))*Sensitivity!$H$10,IF($D$29="Normal Monster Damage %",(CHOOSE(MATCH($C$29,{"Rare","Epic","Unique","Legendary","Mystic","Mystic (Prime)"},0),4,6,9,14,20,24))*Sensitivity!$H$11,IF($D$29="Status Effect Damage %",0,IF($D$29="Damage %",(CHOOSE(MATCH($C$29,{"Rare","Epic","Unique","Legendary","Mystic","Mystic (Prime)"},0),4,6,9,14,20,24))*Sensitivity!$H$8,IF($D$29="Defense Penetration %",(CHOOSE(MATCH($C$29,{"Rare","Epic","Unique","Legendary","Mystic","Mystic (Prime)"},0),2,3,4.5,7,10,12))*Sensitivity!$H$18,0)))))))))))),0)</f>
        <v/>
      </c>
      <c r="F29" s="7" t="inlineStr">
        <is>
          <t>Rare</t>
        </is>
      </c>
      <c r="G29" s="7" t="inlineStr">
        <is>
          <t>(none)</t>
        </is>
      </c>
      <c r="H29">
        <f>IF($N$29&gt;=2,IF($G$29="Main Stat %",(CHOOSE(MATCH($F$29,{"Rare","Epic","Unique","Legendary","Mystic","Mystic (Prime)"},0),2,3,4.5,7,10,12))*Sensitivity!$H$6,IF($G$29="Damage Taken Decrease %",0,IF($G$29="Defense %",0,IF($G$29="Accuracy",0,IF($G$29="Critical Rate %",(CHOOSE(MATCH($F$29,{"Rare","Epic","Unique","Legendary","Mystic","Mystic (Prime)"},0),2,3,4.5,7,10,12))*Sensitivity!$H$15,IF($G$29="Min Damage Multiplier %",(CHOOSE(MATCH($F$29,{"Rare","Epic","Unique","Legendary","Mystic","Mystic (Prime)"},0),2,3,4.5,7,10,12))*Sensitivity!$H$13,IF($G$29="Max Damage Multiplier %",(CHOOSE(MATCH($F$29,{"Rare","Epic","Unique","Legendary","Mystic","Mystic (Prime)"},0),2,3,4.5,7,10,12))*Sensitivity!$H$14,IF($G$29="Boss Monster Damage %",(CHOOSE(MATCH($F$29,{"Rare","Epic","Unique","Legendary","Mystic","Mystic (Prime)"},0),4,6,9,14,20,24))*Sensitivity!$H$10,IF($G$29="Normal Monster Damage %",(CHOOSE(MATCH($F$29,{"Rare","Epic","Unique","Legendary","Mystic","Mystic (Prime)"},0),4,6,9,14,20,24))*Sensitivity!$H$11,IF($G$29="Status Effect Damage %",0,IF($G$29="Damage %",(CHOOSE(MATCH($F$29,{"Rare","Epic","Unique","Legendary","Mystic","Mystic (Prime)"},0),4,6,9,14,20,24))*Sensitivity!$H$8,IF($G$29="Defense Penetration %",(CHOOSE(MATCH($F$29,{"Rare","Epic","Unique","Legendary","Mystic","Mystic (Prime)"},0),2,3,4.5,7,10,12))*Sensitivity!$H$18,0)))))))))))),0)</f>
        <v/>
      </c>
      <c r="I29" s="7" t="inlineStr">
        <is>
          <t>Rare</t>
        </is>
      </c>
      <c r="J29" s="7" t="inlineStr">
        <is>
          <t>(none)</t>
        </is>
      </c>
      <c r="K29">
        <f>IF($N$29&gt;=5,IF($J$29="Main Stat %",(CHOOSE(MATCH($I$29,{"Rare","Epic","Unique","Legendary","Mystic","Mystic (Prime)"},0),2,3,4.5,7,10,12))*Sensitivity!$H$6,IF($J$29="Damage Taken Decrease %",0,IF($J$29="Defense %",0,IF($J$29="Accuracy",0,IF($J$29="Critical Rate %",(CHOOSE(MATCH($I$29,{"Rare","Epic","Unique","Legendary","Mystic","Mystic (Prime)"},0),2,3,4.5,7,10,12))*Sensitivity!$H$15,IF($J$29="Min Damage Multiplier %",(CHOOSE(MATCH($I$29,{"Rare","Epic","Unique","Legendary","Mystic","Mystic (Prime)"},0),2,3,4.5,7,10,12))*Sensitivity!$H$13,IF($J$29="Max Damage Multiplier %",(CHOOSE(MATCH($I$29,{"Rare","Epic","Unique","Legendary","Mystic","Mystic (Prime)"},0),2,3,4.5,7,10,12))*Sensitivity!$H$14,IF($J$29="Boss Monster Damage %",(CHOOSE(MATCH($I$29,{"Rare","Epic","Unique","Legendary","Mystic","Mystic (Prime)"},0),4,6,9,14,20,24))*Sensitivity!$H$10,IF($J$29="Normal Monster Damage %",(CHOOSE(MATCH($I$29,{"Rare","Epic","Unique","Legendary","Mystic","Mystic (Prime)"},0),4,6,9,14,20,24))*Sensitivity!$H$11,IF($J$29="Status Effect Damage %",0,IF($J$29="Damage %",(CHOOSE(MATCH($I$29,{"Rare","Epic","Unique","Legendary","Mystic","Mystic (Prime)"},0),4,6,9,14,20,24))*Sensitivity!$H$8,IF($J$29="Defense Penetration %",(CHOOSE(MATCH($I$29,{"Rare","Epic","Unique","Legendary","Mystic","Mystic (Prime)"},0),2,3,4.5,7,10,12))*Sensitivity!$H$18,0)))))))))))),0)</f>
        <v/>
      </c>
      <c r="L29">
        <f>Summary!$B$3*((IF(D29="(none)",1,1+(E29+IF(G29=D29,H29,0)+IF(J29=D29,K29,0))/Summary!$B$3))*(IF(OR(G29="(none)",G29=D29),1,1+(H29+IF(D29=G29,E29,0)+IF(J29=G29,K29,0))/Summary!$B$3))*(IF(OR(J29="",J29="(none)",J29=D29,J29=G29),1,1+(K29+IF(D29=J29,E29,0)+IF(G29=J29,H29,0))/Summary!$B$3))-1)</f>
        <v/>
      </c>
      <c r="M29">
        <f>OR(Inputs!$B$47="Soul Pouch",Inputs!$B$48="Soul Pouch",Inputs!$B$49="Soul Pouch",Inputs!$B$50="Soul Pouch")</f>
        <v/>
      </c>
      <c r="N29">
        <f>IF(B29="Not Unlocked",0,B29)</f>
        <v/>
      </c>
    </row>
    <row r="30">
      <c r="A30" s="6" t="inlineStr">
        <is>
          <t>Ancient Text Piece</t>
        </is>
      </c>
      <c r="B30" s="7" t="inlineStr">
        <is>
          <t>Not Unlocked</t>
        </is>
      </c>
      <c r="C30" s="7" t="inlineStr">
        <is>
          <t>Rare</t>
        </is>
      </c>
      <c r="D30" s="7" t="inlineStr">
        <is>
          <t>(none)</t>
        </is>
      </c>
      <c r="E30">
        <f>IF($N$30&gt;=1,IF($D$30="Main Stat %",(CHOOSE(MATCH($C$30,{"Rare","Epic","Unique","Legendary","Mystic","Mystic (Prime)"},0),2,3,4.5,7,10,12))*Sensitivity!$H$6,IF($D$30="Damage Taken Decrease %",0,IF($D$30="Defense %",0,IF($D$30="Accuracy",0,IF($D$30="Critical Rate %",(CHOOSE(MATCH($C$30,{"Rare","Epic","Unique","Legendary","Mystic","Mystic (Prime)"},0),2,3,4.5,7,10,12))*Sensitivity!$H$15,IF($D$30="Min Damage Multiplier %",(CHOOSE(MATCH($C$30,{"Rare","Epic","Unique","Legendary","Mystic","Mystic (Prime)"},0),2,3,4.5,7,10,12))*Sensitivity!$H$13,IF($D$30="Max Damage Multiplier %",(CHOOSE(MATCH($C$30,{"Rare","Epic","Unique","Legendary","Mystic","Mystic (Prime)"},0),2,3,4.5,7,10,12))*Sensitivity!$H$14,IF($D$30="Boss Monster Damage %",(CHOOSE(MATCH($C$30,{"Rare","Epic","Unique","Legendary","Mystic","Mystic (Prime)"},0),4,6,9,14,20,24))*Sensitivity!$H$10,IF($D$30="Normal Monster Damage %",(CHOOSE(MATCH($C$30,{"Rare","Epic","Unique","Legendary","Mystic","Mystic (Prime)"},0),4,6,9,14,20,24))*Sensitivity!$H$11,IF($D$30="Status Effect Damage %",0,IF($D$30="Damage %",(CHOOSE(MATCH($C$30,{"Rare","Epic","Unique","Legendary","Mystic","Mystic (Prime)"},0),4,6,9,14,20,24))*Sensitivity!$H$8,IF($D$30="Defense Penetration %",(CHOOSE(MATCH($C$30,{"Rare","Epic","Unique","Legendary","Mystic","Mystic (Prime)"},0),2,3,4.5,7,10,12))*Sensitivity!$H$18,0)))))))))))),0)</f>
        <v/>
      </c>
      <c r="F30" s="7" t="inlineStr">
        <is>
          <t>Rare</t>
        </is>
      </c>
      <c r="G30" s="7" t="inlineStr">
        <is>
          <t>(none)</t>
        </is>
      </c>
      <c r="H30">
        <f>IF($N$30&gt;=2,IF($G$30="Main Stat %",(CHOOSE(MATCH($F$30,{"Rare","Epic","Unique","Legendary","Mystic","Mystic (Prime)"},0),2,3,4.5,7,10,12))*Sensitivity!$H$6,IF($G$30="Damage Taken Decrease %",0,IF($G$30="Defense %",0,IF($G$30="Accuracy",0,IF($G$30="Critical Rate %",(CHOOSE(MATCH($F$30,{"Rare","Epic","Unique","Legendary","Mystic","Mystic (Prime)"},0),2,3,4.5,7,10,12))*Sensitivity!$H$15,IF($G$30="Min Damage Multiplier %",(CHOOSE(MATCH($F$30,{"Rare","Epic","Unique","Legendary","Mystic","Mystic (Prime)"},0),2,3,4.5,7,10,12))*Sensitivity!$H$13,IF($G$30="Max Damage Multiplier %",(CHOOSE(MATCH($F$30,{"Rare","Epic","Unique","Legendary","Mystic","Mystic (Prime)"},0),2,3,4.5,7,10,12))*Sensitivity!$H$14,IF($G$30="Boss Monster Damage %",(CHOOSE(MATCH($F$30,{"Rare","Epic","Unique","Legendary","Mystic","Mystic (Prime)"},0),4,6,9,14,20,24))*Sensitivity!$H$10,IF($G$30="Normal Monster Damage %",(CHOOSE(MATCH($F$30,{"Rare","Epic","Unique","Legendary","Mystic","Mystic (Prime)"},0),4,6,9,14,20,24))*Sensitivity!$H$11,IF($G$30="Status Effect Damage %",0,IF($G$30="Damage %",(CHOOSE(MATCH($F$30,{"Rare","Epic","Unique","Legendary","Mystic","Mystic (Prime)"},0),4,6,9,14,20,24))*Sensitivity!$H$8,IF($G$30="Defense Penetration %",(CHOOSE(MATCH($F$30,{"Rare","Epic","Unique","Legendary","Mystic","Mystic (Prime)"},0),2,3,4.5,7,10,12))*Sensitivity!$H$18,0)))))))))))),0)</f>
        <v/>
      </c>
      <c r="I30" s="7" t="inlineStr">
        <is>
          <t>Rare</t>
        </is>
      </c>
      <c r="J30" s="7" t="inlineStr">
        <is>
          <t>(none)</t>
        </is>
      </c>
      <c r="K30">
        <f>IF($N$30&gt;=5,IF($J$30="Main Stat %",(CHOOSE(MATCH($I$30,{"Rare","Epic","Unique","Legendary","Mystic","Mystic (Prime)"},0),2,3,4.5,7,10,12))*Sensitivity!$H$6,IF($J$30="Damage Taken Decrease %",0,IF($J$30="Defense %",0,IF($J$30="Accuracy",0,IF($J$30="Critical Rate %",(CHOOSE(MATCH($I$30,{"Rare","Epic","Unique","Legendary","Mystic","Mystic (Prime)"},0),2,3,4.5,7,10,12))*Sensitivity!$H$15,IF($J$30="Min Damage Multiplier %",(CHOOSE(MATCH($I$30,{"Rare","Epic","Unique","Legendary","Mystic","Mystic (Prime)"},0),2,3,4.5,7,10,12))*Sensitivity!$H$13,IF($J$30="Max Damage Multiplier %",(CHOOSE(MATCH($I$30,{"Rare","Epic","Unique","Legendary","Mystic","Mystic (Prime)"},0),2,3,4.5,7,10,12))*Sensitivity!$H$14,IF($J$30="Boss Monster Damage %",(CHOOSE(MATCH($I$30,{"Rare","Epic","Unique","Legendary","Mystic","Mystic (Prime)"},0),4,6,9,14,20,24))*Sensitivity!$H$10,IF($J$30="Normal Monster Damage %",(CHOOSE(MATCH($I$30,{"Rare","Epic","Unique","Legendary","Mystic","Mystic (Prime)"},0),4,6,9,14,20,24))*Sensitivity!$H$11,IF($J$30="Status Effect Damage %",0,IF($J$30="Damage %",(CHOOSE(MATCH($I$30,{"Rare","Epic","Unique","Legendary","Mystic","Mystic (Prime)"},0),4,6,9,14,20,24))*Sensitivity!$H$8,IF($J$30="Defense Penetration %",(CHOOSE(MATCH($I$30,{"Rare","Epic","Unique","Legendary","Mystic","Mystic (Prime)"},0),2,3,4.5,7,10,12))*Sensitivity!$H$18,0)))))))))))),0)</f>
        <v/>
      </c>
      <c r="L30">
        <f>Summary!$B$3*((IF(D30="(none)",1,1+(E30+IF(G30=D30,H30,0)+IF(J30=D30,K30,0))/Summary!$B$3))*(IF(OR(G30="(none)",G30=D30),1,1+(H30+IF(D30=G30,E30,0)+IF(J30=G30,K30,0))/Summary!$B$3))*(IF(OR(J30="",J30="(none)",J30=D30,J30=G30),1,1+(K30+IF(D30=J30,E30,0)+IF(G30=J30,H30,0))/Summary!$B$3))-1)</f>
        <v/>
      </c>
      <c r="M30">
        <f>OR(Inputs!$B$47="Ancient Text Piece",Inputs!$B$48="Ancient Text Piece",Inputs!$B$49="Ancient Text Piece",Inputs!$B$50="Ancient Text Piece")</f>
        <v/>
      </c>
      <c r="N30">
        <f>IF(B30="Not Unlocked",0,B30)</f>
        <v/>
      </c>
    </row>
    <row r="31">
      <c r="A31" s="6" t="inlineStr">
        <is>
          <t>Icy Soul Rock</t>
        </is>
      </c>
      <c r="B31" s="7" t="inlineStr">
        <is>
          <t>Not Unlocked</t>
        </is>
      </c>
      <c r="C31" s="7" t="inlineStr">
        <is>
          <t>Rare</t>
        </is>
      </c>
      <c r="D31" s="7" t="inlineStr">
        <is>
          <t>(none)</t>
        </is>
      </c>
      <c r="E31">
        <f>IF($N$31&gt;=1,IF($D$31="Main Stat %",(CHOOSE(MATCH($C$31,{"Rare","Epic","Unique","Legendary","Mystic","Mystic (Prime)"},0),2,3,4.5,7,10,12))*Sensitivity!$H$6,IF($D$31="Damage Taken Decrease %",0,IF($D$31="Defense %",0,IF($D$31="Accuracy",0,IF($D$31="Critical Rate %",(CHOOSE(MATCH($C$31,{"Rare","Epic","Unique","Legendary","Mystic","Mystic (Prime)"},0),2,3,4.5,7,10,12))*Sensitivity!$H$15,IF($D$31="Min Damage Multiplier %",(CHOOSE(MATCH($C$31,{"Rare","Epic","Unique","Legendary","Mystic","Mystic (Prime)"},0),2,3,4.5,7,10,12))*Sensitivity!$H$13,IF($D$31="Max Damage Multiplier %",(CHOOSE(MATCH($C$31,{"Rare","Epic","Unique","Legendary","Mystic","Mystic (Prime)"},0),2,3,4.5,7,10,12))*Sensitivity!$H$14,IF($D$31="Boss Monster Damage %",(CHOOSE(MATCH($C$31,{"Rare","Epic","Unique","Legendary","Mystic","Mystic (Prime)"},0),4,6,9,14,20,24))*Sensitivity!$H$10,IF($D$31="Normal Monster Damage %",(CHOOSE(MATCH($C$31,{"Rare","Epic","Unique","Legendary","Mystic","Mystic (Prime)"},0),4,6,9,14,20,24))*Sensitivity!$H$11,IF($D$31="Status Effect Damage %",0,IF($D$31="Damage %",(CHOOSE(MATCH($C$31,{"Rare","Epic","Unique","Legendary","Mystic","Mystic (Prime)"},0),4,6,9,14,20,24))*Sensitivity!$H$8,IF($D$31="Defense Penetration %",(CHOOSE(MATCH($C$31,{"Rare","Epic","Unique","Legendary","Mystic","Mystic (Prime)"},0),2,3,4.5,7,10,12))*Sensitivity!$H$18,0)))))))))))),0)</f>
        <v/>
      </c>
      <c r="F31" s="7" t="inlineStr">
        <is>
          <t>Rare</t>
        </is>
      </c>
      <c r="G31" s="7" t="inlineStr">
        <is>
          <t>(none)</t>
        </is>
      </c>
      <c r="H31">
        <f>IF($N$31&gt;=2,IF($G$31="Main Stat %",(CHOOSE(MATCH($F$31,{"Rare","Epic","Unique","Legendary","Mystic","Mystic (Prime)"},0),2,3,4.5,7,10,12))*Sensitivity!$H$6,IF($G$31="Damage Taken Decrease %",0,IF($G$31="Defense %",0,IF($G$31="Accuracy",0,IF($G$31="Critical Rate %",(CHOOSE(MATCH($F$31,{"Rare","Epic","Unique","Legendary","Mystic","Mystic (Prime)"},0),2,3,4.5,7,10,12))*Sensitivity!$H$15,IF($G$31="Min Damage Multiplier %",(CHOOSE(MATCH($F$31,{"Rare","Epic","Unique","Legendary","Mystic","Mystic (Prime)"},0),2,3,4.5,7,10,12))*Sensitivity!$H$13,IF($G$31="Max Damage Multiplier %",(CHOOSE(MATCH($F$31,{"Rare","Epic","Unique","Legendary","Mystic","Mystic (Prime)"},0),2,3,4.5,7,10,12))*Sensitivity!$H$14,IF($G$31="Boss Monster Damage %",(CHOOSE(MATCH($F$31,{"Rare","Epic","Unique","Legendary","Mystic","Mystic (Prime)"},0),4,6,9,14,20,24))*Sensitivity!$H$10,IF($G$31="Normal Monster Damage %",(CHOOSE(MATCH($F$31,{"Rare","Epic","Unique","Legendary","Mystic","Mystic (Prime)"},0),4,6,9,14,20,24))*Sensitivity!$H$11,IF($G$31="Status Effect Damage %",0,IF($G$31="Damage %",(CHOOSE(MATCH($F$31,{"Rare","Epic","Unique","Legendary","Mystic","Mystic (Prime)"},0),4,6,9,14,20,24))*Sensitivity!$H$8,IF($G$31="Defense Penetration %",(CHOOSE(MATCH($F$31,{"Rare","Epic","Unique","Legendary","Mystic","Mystic (Prime)"},0),2,3,4.5,7,10,12))*Sensitivity!$H$18,0)))))))))))),0)</f>
        <v/>
      </c>
      <c r="I31" s="7" t="inlineStr">
        <is>
          <t>Rare</t>
        </is>
      </c>
      <c r="J31" s="7" t="inlineStr">
        <is>
          <t>(none)</t>
        </is>
      </c>
      <c r="K31">
        <f>IF($N$31&gt;=5,IF($J$31="Main Stat %",(CHOOSE(MATCH($I$31,{"Rare","Epic","Unique","Legendary","Mystic","Mystic (Prime)"},0),2,3,4.5,7,10,12))*Sensitivity!$H$6,IF($J$31="Damage Taken Decrease %",0,IF($J$31="Defense %",0,IF($J$31="Accuracy",0,IF($J$31="Critical Rate %",(CHOOSE(MATCH($I$31,{"Rare","Epic","Unique","Legendary","Mystic","Mystic (Prime)"},0),2,3,4.5,7,10,12))*Sensitivity!$H$15,IF($J$31="Min Damage Multiplier %",(CHOOSE(MATCH($I$31,{"Rare","Epic","Unique","Legendary","Mystic","Mystic (Prime)"},0),2,3,4.5,7,10,12))*Sensitivity!$H$13,IF($J$31="Max Damage Multiplier %",(CHOOSE(MATCH($I$31,{"Rare","Epic","Unique","Legendary","Mystic","Mystic (Prime)"},0),2,3,4.5,7,10,12))*Sensitivity!$H$14,IF($J$31="Boss Monster Damage %",(CHOOSE(MATCH($I$31,{"Rare","Epic","Unique","Legendary","Mystic","Mystic (Prime)"},0),4,6,9,14,20,24))*Sensitivity!$H$10,IF($J$31="Normal Monster Damage %",(CHOOSE(MATCH($I$31,{"Rare","Epic","Unique","Legendary","Mystic","Mystic (Prime)"},0),4,6,9,14,20,24))*Sensitivity!$H$11,IF($J$31="Status Effect Damage %",0,IF($J$31="Damage %",(CHOOSE(MATCH($I$31,{"Rare","Epic","Unique","Legendary","Mystic","Mystic (Prime)"},0),4,6,9,14,20,24))*Sensitivity!$H$8,IF($J$31="Defense Penetration %",(CHOOSE(MATCH($I$31,{"Rare","Epic","Unique","Legendary","Mystic","Mystic (Prime)"},0),2,3,4.5,7,10,12))*Sensitivity!$H$18,0)))))))))))),0)</f>
        <v/>
      </c>
      <c r="L31">
        <f>Summary!$B$3*((IF(D31="(none)",1,1+(E31+IF(G31=D31,H31,0)+IF(J31=D31,K31,0))/Summary!$B$3))*(IF(OR(G31="(none)",G31=D31),1,1+(H31+IF(D31=G31,E31,0)+IF(J31=G31,K31,0))/Summary!$B$3))*(IF(OR(J31="",J31="(none)",J31=D31,J31=G31),1,1+(K31+IF(D31=J31,E31,0)+IF(G31=J31,H31,0))/Summary!$B$3))-1)</f>
        <v/>
      </c>
      <c r="M31">
        <f>OR(Inputs!$B$47="Icy Soul Rock",Inputs!$B$48="Icy Soul Rock",Inputs!$B$49="Icy Soul Rock",Inputs!$B$50="Icy Soul Rock")</f>
        <v/>
      </c>
      <c r="N31">
        <f>IF(B31="Not Unlocked",0,B31)</f>
        <v/>
      </c>
    </row>
    <row r="32">
      <c r="A32" s="6" t="inlineStr">
        <is>
          <t>Flaming Lava</t>
        </is>
      </c>
      <c r="B32" s="7" t="inlineStr">
        <is>
          <t>Not Unlocked</t>
        </is>
      </c>
      <c r="C32" s="7" t="inlineStr">
        <is>
          <t>Rare</t>
        </is>
      </c>
      <c r="D32" s="7" t="inlineStr">
        <is>
          <t>(none)</t>
        </is>
      </c>
      <c r="E32">
        <f>IF($N$32&gt;=1,IF($D$32="Main Stat %",(CHOOSE(MATCH($C$32,{"Rare","Epic","Unique","Legendary","Mystic","Mystic (Prime)"},0),2,3,4.5,7,10,12))*Sensitivity!$H$6,IF($D$32="Damage Taken Decrease %",0,IF($D$32="Defense %",0,IF($D$32="Accuracy",0,IF($D$32="Critical Rate %",(CHOOSE(MATCH($C$32,{"Rare","Epic","Unique","Legendary","Mystic","Mystic (Prime)"},0),2,3,4.5,7,10,12))*Sensitivity!$H$15,IF($D$32="Min Damage Multiplier %",(CHOOSE(MATCH($C$32,{"Rare","Epic","Unique","Legendary","Mystic","Mystic (Prime)"},0),2,3,4.5,7,10,12))*Sensitivity!$H$13,IF($D$32="Max Damage Multiplier %",(CHOOSE(MATCH($C$32,{"Rare","Epic","Unique","Legendary","Mystic","Mystic (Prime)"},0),2,3,4.5,7,10,12))*Sensitivity!$H$14,IF($D$32="Boss Monster Damage %",(CHOOSE(MATCH($C$32,{"Rare","Epic","Unique","Legendary","Mystic","Mystic (Prime)"},0),4,6,9,14,20,24))*Sensitivity!$H$10,IF($D$32="Normal Monster Damage %",(CHOOSE(MATCH($C$32,{"Rare","Epic","Unique","Legendary","Mystic","Mystic (Prime)"},0),4,6,9,14,20,24))*Sensitivity!$H$11,IF($D$32="Status Effect Damage %",0,IF($D$32="Damage %",(CHOOSE(MATCH($C$32,{"Rare","Epic","Unique","Legendary","Mystic","Mystic (Prime)"},0),4,6,9,14,20,24))*Sensitivity!$H$8,IF($D$32="Defense Penetration %",(CHOOSE(MATCH($C$32,{"Rare","Epic","Unique","Legendary","Mystic","Mystic (Prime)"},0),2,3,4.5,7,10,12))*Sensitivity!$H$18,0)))))))))))),0)</f>
        <v/>
      </c>
      <c r="F32" s="7" t="inlineStr">
        <is>
          <t>Rare</t>
        </is>
      </c>
      <c r="G32" s="7" t="inlineStr">
        <is>
          <t>(none)</t>
        </is>
      </c>
      <c r="H32">
        <f>IF($N$32&gt;=2,IF($G$32="Main Stat %",(CHOOSE(MATCH($F$32,{"Rare","Epic","Unique","Legendary","Mystic","Mystic (Prime)"},0),2,3,4.5,7,10,12))*Sensitivity!$H$6,IF($G$32="Damage Taken Decrease %",0,IF($G$32="Defense %",0,IF($G$32="Accuracy",0,IF($G$32="Critical Rate %",(CHOOSE(MATCH($F$32,{"Rare","Epic","Unique","Legendary","Mystic","Mystic (Prime)"},0),2,3,4.5,7,10,12))*Sensitivity!$H$15,IF($G$32="Min Damage Multiplier %",(CHOOSE(MATCH($F$32,{"Rare","Epic","Unique","Legendary","Mystic","Mystic (Prime)"},0),2,3,4.5,7,10,12))*Sensitivity!$H$13,IF($G$32="Max Damage Multiplier %",(CHOOSE(MATCH($F$32,{"Rare","Epic","Unique","Legendary","Mystic","Mystic (Prime)"},0),2,3,4.5,7,10,12))*Sensitivity!$H$14,IF($G$32="Boss Monster Damage %",(CHOOSE(MATCH($F$32,{"Rare","Epic","Unique","Legendary","Mystic","Mystic (Prime)"},0),4,6,9,14,20,24))*Sensitivity!$H$10,IF($G$32="Normal Monster Damage %",(CHOOSE(MATCH($F$32,{"Rare","Epic","Unique","Legendary","Mystic","Mystic (Prime)"},0),4,6,9,14,20,24))*Sensitivity!$H$11,IF($G$32="Status Effect Damage %",0,IF($G$32="Damage %",(CHOOSE(MATCH($F$32,{"Rare","Epic","Unique","Legendary","Mystic","Mystic (Prime)"},0),4,6,9,14,20,24))*Sensitivity!$H$8,IF($G$32="Defense Penetration %",(CHOOSE(MATCH($F$32,{"Rare","Epic","Unique","Legendary","Mystic","Mystic (Prime)"},0),2,3,4.5,7,10,12))*Sensitivity!$H$18,0)))))))))))),0)</f>
        <v/>
      </c>
      <c r="I32" s="7" t="inlineStr">
        <is>
          <t>Rare</t>
        </is>
      </c>
      <c r="J32" s="7" t="inlineStr">
        <is>
          <t>(none)</t>
        </is>
      </c>
      <c r="K32">
        <f>IF($N$32&gt;=5,IF($J$32="Main Stat %",(CHOOSE(MATCH($I$32,{"Rare","Epic","Unique","Legendary","Mystic","Mystic (Prime)"},0),2,3,4.5,7,10,12))*Sensitivity!$H$6,IF($J$32="Damage Taken Decrease %",0,IF($J$32="Defense %",0,IF($J$32="Accuracy",0,IF($J$32="Critical Rate %",(CHOOSE(MATCH($I$32,{"Rare","Epic","Unique","Legendary","Mystic","Mystic (Prime)"},0),2,3,4.5,7,10,12))*Sensitivity!$H$15,IF($J$32="Min Damage Multiplier %",(CHOOSE(MATCH($I$32,{"Rare","Epic","Unique","Legendary","Mystic","Mystic (Prime)"},0),2,3,4.5,7,10,12))*Sensitivity!$H$13,IF($J$32="Max Damage Multiplier %",(CHOOSE(MATCH($I$32,{"Rare","Epic","Unique","Legendary","Mystic","Mystic (Prime)"},0),2,3,4.5,7,10,12))*Sensitivity!$H$14,IF($J$32="Boss Monster Damage %",(CHOOSE(MATCH($I$32,{"Rare","Epic","Unique","Legendary","Mystic","Mystic (Prime)"},0),4,6,9,14,20,24))*Sensitivity!$H$10,IF($J$32="Normal Monster Damage %",(CHOOSE(MATCH($I$32,{"Rare","Epic","Unique","Legendary","Mystic","Mystic (Prime)"},0),4,6,9,14,20,24))*Sensitivity!$H$11,IF($J$32="Status Effect Damage %",0,IF($J$32="Damage %",(CHOOSE(MATCH($I$32,{"Rare","Epic","Unique","Legendary","Mystic","Mystic (Prime)"},0),4,6,9,14,20,24))*Sensitivity!$H$8,IF($J$32="Defense Penetration %",(CHOOSE(MATCH($I$32,{"Rare","Epic","Unique","Legendary","Mystic","Mystic (Prime)"},0),2,3,4.5,7,10,12))*Sensitivity!$H$18,0)))))))))))),0)</f>
        <v/>
      </c>
      <c r="L32">
        <f>Summary!$B$3*((IF(D32="(none)",1,1+(E32+IF(G32=D32,H32,0)+IF(J32=D32,K32,0))/Summary!$B$3))*(IF(OR(G32="(none)",G32=D32),1,1+(H32+IF(D32=G32,E32,0)+IF(J32=G32,K32,0))/Summary!$B$3))*(IF(OR(J32="",J32="(none)",J32=D32,J32=G32),1,1+(K32+IF(D32=J32,E32,0)+IF(G32=J32,H32,0))/Summary!$B$3))-1)</f>
        <v/>
      </c>
      <c r="M32">
        <f>OR(Inputs!$B$47="Flaming Lava",Inputs!$B$48="Flaming Lava",Inputs!$B$49="Flaming Lava",Inputs!$B$50="Flaming Lava")</f>
        <v/>
      </c>
      <c r="N32">
        <f>IF(B32="Not Unlocked",0,B32)</f>
        <v/>
      </c>
    </row>
    <row r="33">
      <c r="A33" s="6" t="inlineStr">
        <is>
          <t>Sayram's Necklace</t>
        </is>
      </c>
      <c r="B33" s="7" t="inlineStr">
        <is>
          <t>Not Unlocked</t>
        </is>
      </c>
      <c r="C33" s="7" t="inlineStr">
        <is>
          <t>Rare</t>
        </is>
      </c>
      <c r="D33" s="7" t="inlineStr">
        <is>
          <t>(none)</t>
        </is>
      </c>
      <c r="E33">
        <f>IF($N$33&gt;=1,IF($D$33="Main Stat %",(CHOOSE(MATCH($C$33,{"Rare","Epic","Unique","Legendary","Mystic","Mystic (Prime)"},0),2,3,4.5,7,10,12))*Sensitivity!$H$6,IF($D$33="Damage Taken Decrease %",0,IF($D$33="Defense %",0,IF($D$33="Accuracy",0,IF($D$33="Critical Rate %",(CHOOSE(MATCH($C$33,{"Rare","Epic","Unique","Legendary","Mystic","Mystic (Prime)"},0),2,3,4.5,7,10,12))*Sensitivity!$H$15,IF($D$33="Min Damage Multiplier %",(CHOOSE(MATCH($C$33,{"Rare","Epic","Unique","Legendary","Mystic","Mystic (Prime)"},0),2,3,4.5,7,10,12))*Sensitivity!$H$13,IF($D$33="Max Damage Multiplier %",(CHOOSE(MATCH($C$33,{"Rare","Epic","Unique","Legendary","Mystic","Mystic (Prime)"},0),2,3,4.5,7,10,12))*Sensitivity!$H$14,IF($D$33="Boss Monster Damage %",(CHOOSE(MATCH($C$33,{"Rare","Epic","Unique","Legendary","Mystic","Mystic (Prime)"},0),4,6,9,14,20,24))*Sensitivity!$H$10,IF($D$33="Normal Monster Damage %",(CHOOSE(MATCH($C$33,{"Rare","Epic","Unique","Legendary","Mystic","Mystic (Prime)"},0),4,6,9,14,20,24))*Sensitivity!$H$11,IF($D$33="Status Effect Damage %",0,IF($D$33="Damage %",(CHOOSE(MATCH($C$33,{"Rare","Epic","Unique","Legendary","Mystic","Mystic (Prime)"},0),4,6,9,14,20,24))*Sensitivity!$H$8,IF($D$33="Defense Penetration %",(CHOOSE(MATCH($C$33,{"Rare","Epic","Unique","Legendary","Mystic","Mystic (Prime)"},0),2,3,4.5,7,10,12))*Sensitivity!$H$18,0)))))))))))),0)</f>
        <v/>
      </c>
      <c r="F33" s="7" t="inlineStr">
        <is>
          <t>Rare</t>
        </is>
      </c>
      <c r="G33" s="7" t="inlineStr">
        <is>
          <t>(none)</t>
        </is>
      </c>
      <c r="H33">
        <f>IF($N$33&gt;=2,IF($G$33="Main Stat %",(CHOOSE(MATCH($F$33,{"Rare","Epic","Unique","Legendary","Mystic","Mystic (Prime)"},0),2,3,4.5,7,10,12))*Sensitivity!$H$6,IF($G$33="Damage Taken Decrease %",0,IF($G$33="Defense %",0,IF($G$33="Accuracy",0,IF($G$33="Critical Rate %",(CHOOSE(MATCH($F$33,{"Rare","Epic","Unique","Legendary","Mystic","Mystic (Prime)"},0),2,3,4.5,7,10,12))*Sensitivity!$H$15,IF($G$33="Min Damage Multiplier %",(CHOOSE(MATCH($F$33,{"Rare","Epic","Unique","Legendary","Mystic","Mystic (Prime)"},0),2,3,4.5,7,10,12))*Sensitivity!$H$13,IF($G$33="Max Damage Multiplier %",(CHOOSE(MATCH($F$33,{"Rare","Epic","Unique","Legendary","Mystic","Mystic (Prime)"},0),2,3,4.5,7,10,12))*Sensitivity!$H$14,IF($G$33="Boss Monster Damage %",(CHOOSE(MATCH($F$33,{"Rare","Epic","Unique","Legendary","Mystic","Mystic (Prime)"},0),4,6,9,14,20,24))*Sensitivity!$H$10,IF($G$33="Normal Monster Damage %",(CHOOSE(MATCH($F$33,{"Rare","Epic","Unique","Legendary","Mystic","Mystic (Prime)"},0),4,6,9,14,20,24))*Sensitivity!$H$11,IF($G$33="Status Effect Damage %",0,IF($G$33="Damage %",(CHOOSE(MATCH($F$33,{"Rare","Epic","Unique","Legendary","Mystic","Mystic (Prime)"},0),4,6,9,14,20,24))*Sensitivity!$H$8,IF($G$33="Defense Penetration %",(CHOOSE(MATCH($F$33,{"Rare","Epic","Unique","Legendary","Mystic","Mystic (Prime)"},0),2,3,4.5,7,10,12))*Sensitivity!$H$18,0)))))))))))),0)</f>
        <v/>
      </c>
      <c r="I33" s="7" t="inlineStr">
        <is>
          <t>Rare</t>
        </is>
      </c>
      <c r="J33" s="7" t="inlineStr">
        <is>
          <t>(none)</t>
        </is>
      </c>
      <c r="K33">
        <f>IF($N$33&gt;=5,IF($J$33="Main Stat %",(CHOOSE(MATCH($I$33,{"Rare","Epic","Unique","Legendary","Mystic","Mystic (Prime)"},0),2,3,4.5,7,10,12))*Sensitivity!$H$6,IF($J$33="Damage Taken Decrease %",0,IF($J$33="Defense %",0,IF($J$33="Accuracy",0,IF($J$33="Critical Rate %",(CHOOSE(MATCH($I$33,{"Rare","Epic","Unique","Legendary","Mystic","Mystic (Prime)"},0),2,3,4.5,7,10,12))*Sensitivity!$H$15,IF($J$33="Min Damage Multiplier %",(CHOOSE(MATCH($I$33,{"Rare","Epic","Unique","Legendary","Mystic","Mystic (Prime)"},0),2,3,4.5,7,10,12))*Sensitivity!$H$13,IF($J$33="Max Damage Multiplier %",(CHOOSE(MATCH($I$33,{"Rare","Epic","Unique","Legendary","Mystic","Mystic (Prime)"},0),2,3,4.5,7,10,12))*Sensitivity!$H$14,IF($J$33="Boss Monster Damage %",(CHOOSE(MATCH($I$33,{"Rare","Epic","Unique","Legendary","Mystic","Mystic (Prime)"},0),4,6,9,14,20,24))*Sensitivity!$H$10,IF($J$33="Normal Monster Damage %",(CHOOSE(MATCH($I$33,{"Rare","Epic","Unique","Legendary","Mystic","Mystic (Prime)"},0),4,6,9,14,20,24))*Sensitivity!$H$11,IF($J$33="Status Effect Damage %",0,IF($J$33="Damage %",(CHOOSE(MATCH($I$33,{"Rare","Epic","Unique","Legendary","Mystic","Mystic (Prime)"},0),4,6,9,14,20,24))*Sensitivity!$H$8,IF($J$33="Defense Penetration %",(CHOOSE(MATCH($I$33,{"Rare","Epic","Unique","Legendary","Mystic","Mystic (Prime)"},0),2,3,4.5,7,10,12))*Sensitivity!$H$18,0)))))))))))),0)</f>
        <v/>
      </c>
      <c r="L33">
        <f>Summary!$B$3*((IF(D33="(none)",1,1+(E33+IF(G33=D33,H33,0)+IF(J33=D33,K33,0))/Summary!$B$3))*(IF(OR(G33="(none)",G33=D33),1,1+(H33+IF(D33=G33,E33,0)+IF(J33=G33,K33,0))/Summary!$B$3))*(IF(OR(J33="",J33="(none)",J33=D33,J33=G33),1,1+(K33+IF(D33=J33,E33,0)+IF(G33=J33,H33,0))/Summary!$B$3))-1)</f>
        <v/>
      </c>
      <c r="M33">
        <f>OR(Inputs!$B$47="Sayram's Necklace",Inputs!$B$48="Sayram's Necklace",Inputs!$B$49="Sayram's Necklace",Inputs!$B$50="Sayram's Necklace")</f>
        <v/>
      </c>
      <c r="N33">
        <f>IF(B33="Not Unlocked",0,B33)</f>
        <v/>
      </c>
    </row>
    <row r="34">
      <c r="A34" s="6" t="inlineStr">
        <is>
          <t>Bottle of Emotion</t>
        </is>
      </c>
      <c r="B34" s="7" t="inlineStr">
        <is>
          <t>Not Unlocked</t>
        </is>
      </c>
      <c r="C34" s="7" t="inlineStr">
        <is>
          <t>Rare</t>
        </is>
      </c>
      <c r="D34" s="7" t="inlineStr">
        <is>
          <t>(none)</t>
        </is>
      </c>
      <c r="E34">
        <f>IF($N$34&gt;=1,IF($D$34="Main Stat %",(CHOOSE(MATCH($C$34,{"Rare","Epic","Unique","Legendary","Mystic","Mystic (Prime)"},0),2,3,4.5,7,10,12))*Sensitivity!$H$6,IF($D$34="Damage Taken Decrease %",0,IF($D$34="Defense %",0,IF($D$34="Accuracy",0,IF($D$34="Critical Rate %",(CHOOSE(MATCH($C$34,{"Rare","Epic","Unique","Legendary","Mystic","Mystic (Prime)"},0),2,3,4.5,7,10,12))*Sensitivity!$H$15,IF($D$34="Min Damage Multiplier %",(CHOOSE(MATCH($C$34,{"Rare","Epic","Unique","Legendary","Mystic","Mystic (Prime)"},0),2,3,4.5,7,10,12))*Sensitivity!$H$13,IF($D$34="Max Damage Multiplier %",(CHOOSE(MATCH($C$34,{"Rare","Epic","Unique","Legendary","Mystic","Mystic (Prime)"},0),2,3,4.5,7,10,12))*Sensitivity!$H$14,IF($D$34="Boss Monster Damage %",(CHOOSE(MATCH($C$34,{"Rare","Epic","Unique","Legendary","Mystic","Mystic (Prime)"},0),4,6,9,14,20,24))*Sensitivity!$H$10,IF($D$34="Normal Monster Damage %",(CHOOSE(MATCH($C$34,{"Rare","Epic","Unique","Legendary","Mystic","Mystic (Prime)"},0),4,6,9,14,20,24))*Sensitivity!$H$11,IF($D$34="Status Effect Damage %",0,IF($D$34="Damage %",(CHOOSE(MATCH($C$34,{"Rare","Epic","Unique","Legendary","Mystic","Mystic (Prime)"},0),4,6,9,14,20,24))*Sensitivity!$H$8,IF($D$34="Defense Penetration %",(CHOOSE(MATCH($C$34,{"Rare","Epic","Unique","Legendary","Mystic","Mystic (Prime)"},0),2,3,4.5,7,10,12))*Sensitivity!$H$18,0)))))))))))),0)</f>
        <v/>
      </c>
      <c r="F34" s="7" t="inlineStr">
        <is>
          <t>Rare</t>
        </is>
      </c>
      <c r="G34" s="7" t="inlineStr">
        <is>
          <t>(none)</t>
        </is>
      </c>
      <c r="H34">
        <f>IF($N$34&gt;=2,IF($G$34="Main Stat %",(CHOOSE(MATCH($F$34,{"Rare","Epic","Unique","Legendary","Mystic","Mystic (Prime)"},0),2,3,4.5,7,10,12))*Sensitivity!$H$6,IF($G$34="Damage Taken Decrease %",0,IF($G$34="Defense %",0,IF($G$34="Accuracy",0,IF($G$34="Critical Rate %",(CHOOSE(MATCH($F$34,{"Rare","Epic","Unique","Legendary","Mystic","Mystic (Prime)"},0),2,3,4.5,7,10,12))*Sensitivity!$H$15,IF($G$34="Min Damage Multiplier %",(CHOOSE(MATCH($F$34,{"Rare","Epic","Unique","Legendary","Mystic","Mystic (Prime)"},0),2,3,4.5,7,10,12))*Sensitivity!$H$13,IF($G$34="Max Damage Multiplier %",(CHOOSE(MATCH($F$34,{"Rare","Epic","Unique","Legendary","Mystic","Mystic (Prime)"},0),2,3,4.5,7,10,12))*Sensitivity!$H$14,IF($G$34="Boss Monster Damage %",(CHOOSE(MATCH($F$34,{"Rare","Epic","Unique","Legendary","Mystic","Mystic (Prime)"},0),4,6,9,14,20,24))*Sensitivity!$H$10,IF($G$34="Normal Monster Damage %",(CHOOSE(MATCH($F$34,{"Rare","Epic","Unique","Legendary","Mystic","Mystic (Prime)"},0),4,6,9,14,20,24))*Sensitivity!$H$11,IF($G$34="Status Effect Damage %",0,IF($G$34="Damage %",(CHOOSE(MATCH($F$34,{"Rare","Epic","Unique","Legendary","Mystic","Mystic (Prime)"},0),4,6,9,14,20,24))*Sensitivity!$H$8,IF($G$34="Defense Penetration %",(CHOOSE(MATCH($F$34,{"Rare","Epic","Unique","Legendary","Mystic","Mystic (Prime)"},0),2,3,4.5,7,10,12))*Sensitivity!$H$18,0)))))))))))),0)</f>
        <v/>
      </c>
      <c r="I34" s="7" t="inlineStr">
        <is>
          <t>Rare</t>
        </is>
      </c>
      <c r="J34" s="7" t="inlineStr">
        <is>
          <t>(none)</t>
        </is>
      </c>
      <c r="K34">
        <f>IF($N$34&gt;=5,IF($J$34="Main Stat %",(CHOOSE(MATCH($I$34,{"Rare","Epic","Unique","Legendary","Mystic","Mystic (Prime)"},0),2,3,4.5,7,10,12))*Sensitivity!$H$6,IF($J$34="Damage Taken Decrease %",0,IF($J$34="Defense %",0,IF($J$34="Accuracy",0,IF($J$34="Critical Rate %",(CHOOSE(MATCH($I$34,{"Rare","Epic","Unique","Legendary","Mystic","Mystic (Prime)"},0),2,3,4.5,7,10,12))*Sensitivity!$H$15,IF($J$34="Min Damage Multiplier %",(CHOOSE(MATCH($I$34,{"Rare","Epic","Unique","Legendary","Mystic","Mystic (Prime)"},0),2,3,4.5,7,10,12))*Sensitivity!$H$13,IF($J$34="Max Damage Multiplier %",(CHOOSE(MATCH($I$34,{"Rare","Epic","Unique","Legendary","Mystic","Mystic (Prime)"},0),2,3,4.5,7,10,12))*Sensitivity!$H$14,IF($J$34="Boss Monster Damage %",(CHOOSE(MATCH($I$34,{"Rare","Epic","Unique","Legendary","Mystic","Mystic (Prime)"},0),4,6,9,14,20,24))*Sensitivity!$H$10,IF($J$34="Normal Monster Damage %",(CHOOSE(MATCH($I$34,{"Rare","Epic","Unique","Legendary","Mystic","Mystic (Prime)"},0),4,6,9,14,20,24))*Sensitivity!$H$11,IF($J$34="Status Effect Damage %",0,IF($J$34="Damage %",(CHOOSE(MATCH($I$34,{"Rare","Epic","Unique","Legendary","Mystic","Mystic (Prime)"},0),4,6,9,14,20,24))*Sensitivity!$H$8,IF($J$34="Defense Penetration %",(CHOOSE(MATCH($I$34,{"Rare","Epic","Unique","Legendary","Mystic","Mystic (Prime)"},0),2,3,4.5,7,10,12))*Sensitivity!$H$18,0)))))))))))),0)</f>
        <v/>
      </c>
      <c r="L34">
        <f>Summary!$B$3*((IF(D34="(none)",1,1+(E34+IF(G34=D34,H34,0)+IF(J34=D34,K34,0))/Summary!$B$3))*(IF(OR(G34="(none)",G34=D34),1,1+(H34+IF(D34=G34,E34,0)+IF(J34=G34,K34,0))/Summary!$B$3))*(IF(OR(J34="",J34="(none)",J34=D34,J34=G34),1,1+(K34+IF(D34=J34,E34,0)+IF(G34=J34,H34,0))/Summary!$B$3))-1)</f>
        <v/>
      </c>
      <c r="M34">
        <f>OR(Inputs!$B$47="Bottle of Emotion",Inputs!$B$48="Bottle of Emotion",Inputs!$B$49="Bottle of Emotion",Inputs!$B$50="Bottle of Emotion")</f>
        <v/>
      </c>
      <c r="N34">
        <f>IF(B34="Not Unlocked",0,B34)</f>
        <v/>
      </c>
    </row>
    <row r="35">
      <c r="A35" s="6" t="inlineStr">
        <is>
          <t>Peach Tree Herb Pouch</t>
        </is>
      </c>
      <c r="B35" s="7" t="inlineStr">
        <is>
          <t>Not Unlocked</t>
        </is>
      </c>
      <c r="C35" s="7" t="inlineStr">
        <is>
          <t>Rare</t>
        </is>
      </c>
      <c r="D35" s="7" t="inlineStr">
        <is>
          <t>(none)</t>
        </is>
      </c>
      <c r="E35">
        <f>IF($N$35&gt;=1,IF($D$35="Main Stat %",(CHOOSE(MATCH($C$35,{"Rare","Epic","Unique","Legendary","Mystic","Mystic (Prime)"},0),2,3,4.5,7,10,12))*Sensitivity!$H$6,IF($D$35="Damage Taken Decrease %",0,IF($D$35="Defense %",0,IF($D$35="Accuracy",0,IF($D$35="Critical Rate %",(CHOOSE(MATCH($C$35,{"Rare","Epic","Unique","Legendary","Mystic","Mystic (Prime)"},0),2,3,4.5,7,10,12))*Sensitivity!$H$15,IF($D$35="Min Damage Multiplier %",(CHOOSE(MATCH($C$35,{"Rare","Epic","Unique","Legendary","Mystic","Mystic (Prime)"},0),2,3,4.5,7,10,12))*Sensitivity!$H$13,IF($D$35="Max Damage Multiplier %",(CHOOSE(MATCH($C$35,{"Rare","Epic","Unique","Legendary","Mystic","Mystic (Prime)"},0),2,3,4.5,7,10,12))*Sensitivity!$H$14,IF($D$35="Boss Monster Damage %",(CHOOSE(MATCH($C$35,{"Rare","Epic","Unique","Legendary","Mystic","Mystic (Prime)"},0),4,6,9,14,20,24))*Sensitivity!$H$10,IF($D$35="Normal Monster Damage %",(CHOOSE(MATCH($C$35,{"Rare","Epic","Unique","Legendary","Mystic","Mystic (Prime)"},0),4,6,9,14,20,24))*Sensitivity!$H$11,IF($D$35="Status Effect Damage %",0,IF($D$35="Damage %",(CHOOSE(MATCH($C$35,{"Rare","Epic","Unique","Legendary","Mystic","Mystic (Prime)"},0),4,6,9,14,20,24))*Sensitivity!$H$8,IF($D$35="Defense Penetration %",(CHOOSE(MATCH($C$35,{"Rare","Epic","Unique","Legendary","Mystic","Mystic (Prime)"},0),2,3,4.5,7,10,12))*Sensitivity!$H$18,0)))))))))))),0)</f>
        <v/>
      </c>
      <c r="F35" s="7" t="inlineStr">
        <is>
          <t>Rare</t>
        </is>
      </c>
      <c r="G35" s="7" t="inlineStr">
        <is>
          <t>(none)</t>
        </is>
      </c>
      <c r="H35">
        <f>IF($N$35&gt;=2,IF($G$35="Main Stat %",(CHOOSE(MATCH($F$35,{"Rare","Epic","Unique","Legendary","Mystic","Mystic (Prime)"},0),2,3,4.5,7,10,12))*Sensitivity!$H$6,IF($G$35="Damage Taken Decrease %",0,IF($G$35="Defense %",0,IF($G$35="Accuracy",0,IF($G$35="Critical Rate %",(CHOOSE(MATCH($F$35,{"Rare","Epic","Unique","Legendary","Mystic","Mystic (Prime)"},0),2,3,4.5,7,10,12))*Sensitivity!$H$15,IF($G$35="Min Damage Multiplier %",(CHOOSE(MATCH($F$35,{"Rare","Epic","Unique","Legendary","Mystic","Mystic (Prime)"},0),2,3,4.5,7,10,12))*Sensitivity!$H$13,IF($G$35="Max Damage Multiplier %",(CHOOSE(MATCH($F$35,{"Rare","Epic","Unique","Legendary","Mystic","Mystic (Prime)"},0),2,3,4.5,7,10,12))*Sensitivity!$H$14,IF($G$35="Boss Monster Damage %",(CHOOSE(MATCH($F$35,{"Rare","Epic","Unique","Legendary","Mystic","Mystic (Prime)"},0),4,6,9,14,20,24))*Sensitivity!$H$10,IF($G$35="Normal Monster Damage %",(CHOOSE(MATCH($F$35,{"Rare","Epic","Unique","Legendary","Mystic","Mystic (Prime)"},0),4,6,9,14,20,24))*Sensitivity!$H$11,IF($G$35="Status Effect Damage %",0,IF($G$35="Damage %",(CHOOSE(MATCH($F$35,{"Rare","Epic","Unique","Legendary","Mystic","Mystic (Prime)"},0),4,6,9,14,20,24))*Sensitivity!$H$8,IF($G$35="Defense Penetration %",(CHOOSE(MATCH($F$35,{"Rare","Epic","Unique","Legendary","Mystic","Mystic (Prime)"},0),2,3,4.5,7,10,12))*Sensitivity!$H$18,0)))))))))))),0)</f>
        <v/>
      </c>
      <c r="I35" s="7" t="inlineStr">
        <is>
          <t>Rare</t>
        </is>
      </c>
      <c r="J35" s="7" t="inlineStr">
        <is>
          <t>(none)</t>
        </is>
      </c>
      <c r="K35">
        <f>IF($N$35&gt;=5,IF($J$35="Main Stat %",(CHOOSE(MATCH($I$35,{"Rare","Epic","Unique","Legendary","Mystic","Mystic (Prime)"},0),2,3,4.5,7,10,12))*Sensitivity!$H$6,IF($J$35="Damage Taken Decrease %",0,IF($J$35="Defense %",0,IF($J$35="Accuracy",0,IF($J$35="Critical Rate %",(CHOOSE(MATCH($I$35,{"Rare","Epic","Unique","Legendary","Mystic","Mystic (Prime)"},0),2,3,4.5,7,10,12))*Sensitivity!$H$15,IF($J$35="Min Damage Multiplier %",(CHOOSE(MATCH($I$35,{"Rare","Epic","Unique","Legendary","Mystic","Mystic (Prime)"},0),2,3,4.5,7,10,12))*Sensitivity!$H$13,IF($J$35="Max Damage Multiplier %",(CHOOSE(MATCH($I$35,{"Rare","Epic","Unique","Legendary","Mystic","Mystic (Prime)"},0),2,3,4.5,7,10,12))*Sensitivity!$H$14,IF($J$35="Boss Monster Damage %",(CHOOSE(MATCH($I$35,{"Rare","Epic","Unique","Legendary","Mystic","Mystic (Prime)"},0),4,6,9,14,20,24))*Sensitivity!$H$10,IF($J$35="Normal Monster Damage %",(CHOOSE(MATCH($I$35,{"Rare","Epic","Unique","Legendary","Mystic","Mystic (Prime)"},0),4,6,9,14,20,24))*Sensitivity!$H$11,IF($J$35="Status Effect Damage %",0,IF($J$35="Damage %",(CHOOSE(MATCH($I$35,{"Rare","Epic","Unique","Legendary","Mystic","Mystic (Prime)"},0),4,6,9,14,20,24))*Sensitivity!$H$8,IF($J$35="Defense Penetration %",(CHOOSE(MATCH($I$35,{"Rare","Epic","Unique","Legendary","Mystic","Mystic (Prime)"},0),2,3,4.5,7,10,12))*Sensitivity!$H$18,0)))))))))))),0)</f>
        <v/>
      </c>
      <c r="L35">
        <f>Summary!$B$3*((IF(D35="(none)",1,1+(E35+IF(G35=D35,H35,0)+IF(J35=D35,K35,0))/Summary!$B$3))*(IF(OR(G35="(none)",G35=D35),1,1+(H35+IF(D35=G35,E35,0)+IF(J35=G35,K35,0))/Summary!$B$3))*(IF(OR(J35="",J35="(none)",J35=D35,J35=G35),1,1+(K35+IF(D35=J35,E35,0)+IF(G35=J35,H35,0))/Summary!$B$3))-1)</f>
        <v/>
      </c>
      <c r="M35">
        <f>OR(Inputs!$B$47="Peach Tree Herb Pouch",Inputs!$B$48="Peach Tree Herb Pouch",Inputs!$B$49="Peach Tree Herb Pouch",Inputs!$B$50="Peach Tree Herb Pouch")</f>
        <v/>
      </c>
      <c r="N35">
        <f>IF(B35="Not Unlocked",0,B35)</f>
        <v/>
      </c>
    </row>
    <row r="36">
      <c r="A36" s="6" t="inlineStr">
        <is>
          <t>Candle</t>
        </is>
      </c>
      <c r="B36" s="7" t="inlineStr">
        <is>
          <t>Not Unlocked</t>
        </is>
      </c>
      <c r="C36" s="7" t="inlineStr">
        <is>
          <t>Rare</t>
        </is>
      </c>
      <c r="D36" s="7" t="inlineStr">
        <is>
          <t>(none)</t>
        </is>
      </c>
      <c r="E36">
        <f>IF($N$36&gt;=1,IF($D$36="Main Stat %",(CHOOSE(MATCH($C$36,{"Rare","Epic","Unique","Legendary","Mystic","Mystic (Prime)"},0),2,3,4.5,7,10,12))*Sensitivity!$H$6,IF($D$36="Damage Taken Decrease %",0,IF($D$36="Defense %",0,IF($D$36="Accuracy",0,IF($D$36="Critical Rate %",(CHOOSE(MATCH($C$36,{"Rare","Epic","Unique","Legendary","Mystic","Mystic (Prime)"},0),2,3,4.5,7,10,12))*Sensitivity!$H$15,IF($D$36="Min Damage Multiplier %",(CHOOSE(MATCH($C$36,{"Rare","Epic","Unique","Legendary","Mystic","Mystic (Prime)"},0),2,3,4.5,7,10,12))*Sensitivity!$H$13,IF($D$36="Max Damage Multiplier %",(CHOOSE(MATCH($C$36,{"Rare","Epic","Unique","Legendary","Mystic","Mystic (Prime)"},0),2,3,4.5,7,10,12))*Sensitivity!$H$14,IF($D$36="Boss Monster Damage %",(CHOOSE(MATCH($C$36,{"Rare","Epic","Unique","Legendary","Mystic","Mystic (Prime)"},0),4,6,9,14,20,24))*Sensitivity!$H$10,IF($D$36="Normal Monster Damage %",(CHOOSE(MATCH($C$36,{"Rare","Epic","Unique","Legendary","Mystic","Mystic (Prime)"},0),4,6,9,14,20,24))*Sensitivity!$H$11,IF($D$36="Status Effect Damage %",0,IF($D$36="Damage %",(CHOOSE(MATCH($C$36,{"Rare","Epic","Unique","Legendary","Mystic","Mystic (Prime)"},0),4,6,9,14,20,24))*Sensitivity!$H$8,IF($D$36="Defense Penetration %",(CHOOSE(MATCH($C$36,{"Rare","Epic","Unique","Legendary","Mystic","Mystic (Prime)"},0),2,3,4.5,7,10,12))*Sensitivity!$H$18,0)))))))))))),0)</f>
        <v/>
      </c>
      <c r="F36" s="7" t="inlineStr">
        <is>
          <t>Rare</t>
        </is>
      </c>
      <c r="G36" s="7" t="inlineStr">
        <is>
          <t>(none)</t>
        </is>
      </c>
      <c r="H36">
        <f>IF($N$36&gt;=2,IF($G$36="Main Stat %",(CHOOSE(MATCH($F$36,{"Rare","Epic","Unique","Legendary","Mystic","Mystic (Prime)"},0),2,3,4.5,7,10,12))*Sensitivity!$H$6,IF($G$36="Damage Taken Decrease %",0,IF($G$36="Defense %",0,IF($G$36="Accuracy",0,IF($G$36="Critical Rate %",(CHOOSE(MATCH($F$36,{"Rare","Epic","Unique","Legendary","Mystic","Mystic (Prime)"},0),2,3,4.5,7,10,12))*Sensitivity!$H$15,IF($G$36="Min Damage Multiplier %",(CHOOSE(MATCH($F$36,{"Rare","Epic","Unique","Legendary","Mystic","Mystic (Prime)"},0),2,3,4.5,7,10,12))*Sensitivity!$H$13,IF($G$36="Max Damage Multiplier %",(CHOOSE(MATCH($F$36,{"Rare","Epic","Unique","Legendary","Mystic","Mystic (Prime)"},0),2,3,4.5,7,10,12))*Sensitivity!$H$14,IF($G$36="Boss Monster Damage %",(CHOOSE(MATCH($F$36,{"Rare","Epic","Unique","Legendary","Mystic","Mystic (Prime)"},0),4,6,9,14,20,24))*Sensitivity!$H$10,IF($G$36="Normal Monster Damage %",(CHOOSE(MATCH($F$36,{"Rare","Epic","Unique","Legendary","Mystic","Mystic (Prime)"},0),4,6,9,14,20,24))*Sensitivity!$H$11,IF($G$36="Status Effect Damage %",0,IF($G$36="Damage %",(CHOOSE(MATCH($F$36,{"Rare","Epic","Unique","Legendary","Mystic","Mystic (Prime)"},0),4,6,9,14,20,24))*Sensitivity!$H$8,IF($G$36="Defense Penetration %",(CHOOSE(MATCH($F$36,{"Rare","Epic","Unique","Legendary","Mystic","Mystic (Prime)"},0),2,3,4.5,7,10,12))*Sensitivity!$H$18,0)))))))))))),0)</f>
        <v/>
      </c>
      <c r="I36" s="7" t="inlineStr">
        <is>
          <t>Rare</t>
        </is>
      </c>
      <c r="J36" s="7" t="inlineStr">
        <is>
          <t>(none)</t>
        </is>
      </c>
      <c r="K36">
        <f>IF($N$36&gt;=5,IF($J$36="Main Stat %",(CHOOSE(MATCH($I$36,{"Rare","Epic","Unique","Legendary","Mystic","Mystic (Prime)"},0),2,3,4.5,7,10,12))*Sensitivity!$H$6,IF($J$36="Damage Taken Decrease %",0,IF($J$36="Defense %",0,IF($J$36="Accuracy",0,IF($J$36="Critical Rate %",(CHOOSE(MATCH($I$36,{"Rare","Epic","Unique","Legendary","Mystic","Mystic (Prime)"},0),2,3,4.5,7,10,12))*Sensitivity!$H$15,IF($J$36="Min Damage Multiplier %",(CHOOSE(MATCH($I$36,{"Rare","Epic","Unique","Legendary","Mystic","Mystic (Prime)"},0),2,3,4.5,7,10,12))*Sensitivity!$H$13,IF($J$36="Max Damage Multiplier %",(CHOOSE(MATCH($I$36,{"Rare","Epic","Unique","Legendary","Mystic","Mystic (Prime)"},0),2,3,4.5,7,10,12))*Sensitivity!$H$14,IF($J$36="Boss Monster Damage %",(CHOOSE(MATCH($I$36,{"Rare","Epic","Unique","Legendary","Mystic","Mystic (Prime)"},0),4,6,9,14,20,24))*Sensitivity!$H$10,IF($J$36="Normal Monster Damage %",(CHOOSE(MATCH($I$36,{"Rare","Epic","Unique","Legendary","Mystic","Mystic (Prime)"},0),4,6,9,14,20,24))*Sensitivity!$H$11,IF($J$36="Status Effect Damage %",0,IF($J$36="Damage %",(CHOOSE(MATCH($I$36,{"Rare","Epic","Unique","Legendary","Mystic","Mystic (Prime)"},0),4,6,9,14,20,24))*Sensitivity!$H$8,IF($J$36="Defense Penetration %",(CHOOSE(MATCH($I$36,{"Rare","Epic","Unique","Legendary","Mystic","Mystic (Prime)"},0),2,3,4.5,7,10,12))*Sensitivity!$H$18,0)))))))))))),0)</f>
        <v/>
      </c>
      <c r="L36">
        <f>Summary!$B$3*((IF(D36="(none)",1,1+(E36+IF(G36=D36,H36,0)+IF(J36=D36,K36,0))/Summary!$B$3))*(IF(OR(G36="(none)",G36=D36),1,1+(H36+IF(D36=G36,E36,0)+IF(J36=G36,K36,0))/Summary!$B$3))*(IF(OR(J36="",J36="(none)",J36=D36,J36=G36),1,1+(K36+IF(D36=J36,E36,0)+IF(G36=J36,H36,0))/Summary!$B$3))-1)</f>
        <v/>
      </c>
      <c r="M36">
        <f>OR(Inputs!$B$47="Candle",Inputs!$B$48="Candle",Inputs!$B$49="Candle",Inputs!$B$50="Candle")</f>
        <v/>
      </c>
      <c r="N36">
        <f>IF(B36="Not Unlocked",0,B36)</f>
        <v/>
      </c>
    </row>
    <row r="37">
      <c r="A37" s="6" t="inlineStr">
        <is>
          <t>Alliance Badge</t>
        </is>
      </c>
      <c r="B37" s="7" t="inlineStr">
        <is>
          <t>Not Unlocked</t>
        </is>
      </c>
      <c r="C37" s="7" t="inlineStr">
        <is>
          <t>Rare</t>
        </is>
      </c>
      <c r="D37" s="7" t="inlineStr">
        <is>
          <t>(none)</t>
        </is>
      </c>
      <c r="E37">
        <f>IF($N$37&gt;=1,IF($D$37="Main Stat %",(CHOOSE(MATCH($C$37,{"Rare","Epic","Unique","Legendary","Mystic","Mystic (Prime)"},0),2,3,4.5,7,10,12))*Sensitivity!$H$6,IF($D$37="Damage Taken Decrease %",0,IF($D$37="Defense %",0,IF($D$37="Accuracy",0,IF($D$37="Critical Rate %",(CHOOSE(MATCH($C$37,{"Rare","Epic","Unique","Legendary","Mystic","Mystic (Prime)"},0),2,3,4.5,7,10,12))*Sensitivity!$H$15,IF($D$37="Min Damage Multiplier %",(CHOOSE(MATCH($C$37,{"Rare","Epic","Unique","Legendary","Mystic","Mystic (Prime)"},0),2,3,4.5,7,10,12))*Sensitivity!$H$13,IF($D$37="Max Damage Multiplier %",(CHOOSE(MATCH($C$37,{"Rare","Epic","Unique","Legendary","Mystic","Mystic (Prime)"},0),2,3,4.5,7,10,12))*Sensitivity!$H$14,IF($D$37="Boss Monster Damage %",(CHOOSE(MATCH($C$37,{"Rare","Epic","Unique","Legendary","Mystic","Mystic (Prime)"},0),4,6,9,14,20,24))*Sensitivity!$H$10,IF($D$37="Normal Monster Damage %",(CHOOSE(MATCH($C$37,{"Rare","Epic","Unique","Legendary","Mystic","Mystic (Prime)"},0),4,6,9,14,20,24))*Sensitivity!$H$11,IF($D$37="Status Effect Damage %",0,IF($D$37="Damage %",(CHOOSE(MATCH($C$37,{"Rare","Epic","Unique","Legendary","Mystic","Mystic (Prime)"},0),4,6,9,14,20,24))*Sensitivity!$H$8,IF($D$37="Defense Penetration %",(CHOOSE(MATCH($C$37,{"Rare","Epic","Unique","Legendary","Mystic","Mystic (Prime)"},0),2,3,4.5,7,10,12))*Sensitivity!$H$18,0)))))))))))),0)</f>
        <v/>
      </c>
      <c r="F37" s="7" t="inlineStr">
        <is>
          <t>Rare</t>
        </is>
      </c>
      <c r="G37" s="7" t="inlineStr">
        <is>
          <t>(none)</t>
        </is>
      </c>
      <c r="H37">
        <f>IF($N$37&gt;=2,IF($G$37="Main Stat %",(CHOOSE(MATCH($F$37,{"Rare","Epic","Unique","Legendary","Mystic","Mystic (Prime)"},0),2,3,4.5,7,10,12))*Sensitivity!$H$6,IF($G$37="Damage Taken Decrease %",0,IF($G$37="Defense %",0,IF($G$37="Accuracy",0,IF($G$37="Critical Rate %",(CHOOSE(MATCH($F$37,{"Rare","Epic","Unique","Legendary","Mystic","Mystic (Prime)"},0),2,3,4.5,7,10,12))*Sensitivity!$H$15,IF($G$37="Min Damage Multiplier %",(CHOOSE(MATCH($F$37,{"Rare","Epic","Unique","Legendary","Mystic","Mystic (Prime)"},0),2,3,4.5,7,10,12))*Sensitivity!$H$13,IF($G$37="Max Damage Multiplier %",(CHOOSE(MATCH($F$37,{"Rare","Epic","Unique","Legendary","Mystic","Mystic (Prime)"},0),2,3,4.5,7,10,12))*Sensitivity!$H$14,IF($G$37="Boss Monster Damage %",(CHOOSE(MATCH($F$37,{"Rare","Epic","Unique","Legendary","Mystic","Mystic (Prime)"},0),4,6,9,14,20,24))*Sensitivity!$H$10,IF($G$37="Normal Monster Damage %",(CHOOSE(MATCH($F$37,{"Rare","Epic","Unique","Legendary","Mystic","Mystic (Prime)"},0),4,6,9,14,20,24))*Sensitivity!$H$11,IF($G$37="Status Effect Damage %",0,IF($G$37="Damage %",(CHOOSE(MATCH($F$37,{"Rare","Epic","Unique","Legendary","Mystic","Mystic (Prime)"},0),4,6,9,14,20,24))*Sensitivity!$H$8,IF($G$37="Defense Penetration %",(CHOOSE(MATCH($F$37,{"Rare","Epic","Unique","Legendary","Mystic","Mystic (Prime)"},0),2,3,4.5,7,10,12))*Sensitivity!$H$18,0)))))))))))),0)</f>
        <v/>
      </c>
      <c r="I37" s="7" t="inlineStr">
        <is>
          <t>Rare</t>
        </is>
      </c>
      <c r="J37" s="7" t="inlineStr">
        <is>
          <t>(none)</t>
        </is>
      </c>
      <c r="K37">
        <f>IF($N$37&gt;=5,IF($J$37="Main Stat %",(CHOOSE(MATCH($I$37,{"Rare","Epic","Unique","Legendary","Mystic","Mystic (Prime)"},0),2,3,4.5,7,10,12))*Sensitivity!$H$6,IF($J$37="Damage Taken Decrease %",0,IF($J$37="Defense %",0,IF($J$37="Accuracy",0,IF($J$37="Critical Rate %",(CHOOSE(MATCH($I$37,{"Rare","Epic","Unique","Legendary","Mystic","Mystic (Prime)"},0),2,3,4.5,7,10,12))*Sensitivity!$H$15,IF($J$37="Min Damage Multiplier %",(CHOOSE(MATCH($I$37,{"Rare","Epic","Unique","Legendary","Mystic","Mystic (Prime)"},0),2,3,4.5,7,10,12))*Sensitivity!$H$13,IF($J$37="Max Damage Multiplier %",(CHOOSE(MATCH($I$37,{"Rare","Epic","Unique","Legendary","Mystic","Mystic (Prime)"},0),2,3,4.5,7,10,12))*Sensitivity!$H$14,IF($J$37="Boss Monster Damage %",(CHOOSE(MATCH($I$37,{"Rare","Epic","Unique","Legendary","Mystic","Mystic (Prime)"},0),4,6,9,14,20,24))*Sensitivity!$H$10,IF($J$37="Normal Monster Damage %",(CHOOSE(MATCH($I$37,{"Rare","Epic","Unique","Legendary","Mystic","Mystic (Prime)"},0),4,6,9,14,20,24))*Sensitivity!$H$11,IF($J$37="Status Effect Damage %",0,IF($J$37="Damage %",(CHOOSE(MATCH($I$37,{"Rare","Epic","Unique","Legendary","Mystic","Mystic (Prime)"},0),4,6,9,14,20,24))*Sensitivity!$H$8,IF($J$37="Defense Penetration %",(CHOOSE(MATCH($I$37,{"Rare","Epic","Unique","Legendary","Mystic","Mystic (Prime)"},0),2,3,4.5,7,10,12))*Sensitivity!$H$18,0)))))))))))),0)</f>
        <v/>
      </c>
      <c r="L37">
        <f>Summary!$B$3*((IF(D37="(none)",1,1+(E37+IF(G37=D37,H37,0)+IF(J37=D37,K37,0))/Summary!$B$3))*(IF(OR(G37="(none)",G37=D37),1,1+(H37+IF(D37=G37,E37,0)+IF(J37=G37,K37,0))/Summary!$B$3))*(IF(OR(J37="",J37="(none)",J37=D37,J37=G37),1,1+(K37+IF(D37=J37,E37,0)+IF(G37=J37,H37,0))/Summary!$B$3))-1)</f>
        <v/>
      </c>
      <c r="M37">
        <f>OR(Inputs!$B$47="Alliance Badge",Inputs!$B$48="Alliance Badge",Inputs!$B$49="Alliance Badge",Inputs!$B$50="Alliance Badge")</f>
        <v/>
      </c>
      <c r="N37">
        <f>IF(B37="Not Unlocked",0,B37)</f>
        <v/>
      </c>
    </row>
    <row r="38">
      <c r="A38" s="6" t="inlineStr">
        <is>
          <t>Horn Flute</t>
        </is>
      </c>
      <c r="B38" s="7" t="inlineStr">
        <is>
          <t>Not Unlocked</t>
        </is>
      </c>
      <c r="C38" s="7" t="inlineStr">
        <is>
          <t>Rare</t>
        </is>
      </c>
      <c r="D38" s="7" t="inlineStr">
        <is>
          <t>(none)</t>
        </is>
      </c>
      <c r="E38">
        <f>IF($N$38&gt;=1,IF($D$38="Main Stat %",(CHOOSE(MATCH($C$38,{"Rare","Epic","Unique","Legendary","Mystic","Mystic (Prime)"},0),2,3,4.5,7,10,12))*Sensitivity!$H$6,IF($D$38="Damage Taken Decrease %",0,IF($D$38="Defense %",0,IF($D$38="Accuracy",0,IF($D$38="Critical Rate %",(CHOOSE(MATCH($C$38,{"Rare","Epic","Unique","Legendary","Mystic","Mystic (Prime)"},0),2,3,4.5,7,10,12))*Sensitivity!$H$15,IF($D$38="Min Damage Multiplier %",(CHOOSE(MATCH($C$38,{"Rare","Epic","Unique","Legendary","Mystic","Mystic (Prime)"},0),2,3,4.5,7,10,12))*Sensitivity!$H$13,IF($D$38="Max Damage Multiplier %",(CHOOSE(MATCH($C$38,{"Rare","Epic","Unique","Legendary","Mystic","Mystic (Prime)"},0),2,3,4.5,7,10,12))*Sensitivity!$H$14,IF($D$38="Boss Monster Damage %",(CHOOSE(MATCH($C$38,{"Rare","Epic","Unique","Legendary","Mystic","Mystic (Prime)"},0),4,6,9,14,20,24))*Sensitivity!$H$10,IF($D$38="Normal Monster Damage %",(CHOOSE(MATCH($C$38,{"Rare","Epic","Unique","Legendary","Mystic","Mystic (Prime)"},0),4,6,9,14,20,24))*Sensitivity!$H$11,IF($D$38="Status Effect Damage %",0,IF($D$38="Damage %",(CHOOSE(MATCH($C$38,{"Rare","Epic","Unique","Legendary","Mystic","Mystic (Prime)"},0),4,6,9,14,20,24))*Sensitivity!$H$8,IF($D$38="Defense Penetration %",(CHOOSE(MATCH($C$38,{"Rare","Epic","Unique","Legendary","Mystic","Mystic (Prime)"},0),2,3,4.5,7,10,12))*Sensitivity!$H$18,0)))))))))))),0)</f>
        <v/>
      </c>
      <c r="F38" s="7" t="inlineStr">
        <is>
          <t>Rare</t>
        </is>
      </c>
      <c r="G38" s="7" t="inlineStr">
        <is>
          <t>(none)</t>
        </is>
      </c>
      <c r="H38">
        <f>IF($N$38&gt;=2,IF($G$38="Main Stat %",(CHOOSE(MATCH($F$38,{"Rare","Epic","Unique","Legendary","Mystic","Mystic (Prime)"},0),2,3,4.5,7,10,12))*Sensitivity!$H$6,IF($G$38="Damage Taken Decrease %",0,IF($G$38="Defense %",0,IF($G$38="Accuracy",0,IF($G$38="Critical Rate %",(CHOOSE(MATCH($F$38,{"Rare","Epic","Unique","Legendary","Mystic","Mystic (Prime)"},0),2,3,4.5,7,10,12))*Sensitivity!$H$15,IF($G$38="Min Damage Multiplier %",(CHOOSE(MATCH($F$38,{"Rare","Epic","Unique","Legendary","Mystic","Mystic (Prime)"},0),2,3,4.5,7,10,12))*Sensitivity!$H$13,IF($G$38="Max Damage Multiplier %",(CHOOSE(MATCH($F$38,{"Rare","Epic","Unique","Legendary","Mystic","Mystic (Prime)"},0),2,3,4.5,7,10,12))*Sensitivity!$H$14,IF($G$38="Boss Monster Damage %",(CHOOSE(MATCH($F$38,{"Rare","Epic","Unique","Legendary","Mystic","Mystic (Prime)"},0),4,6,9,14,20,24))*Sensitivity!$H$10,IF($G$38="Normal Monster Damage %",(CHOOSE(MATCH($F$38,{"Rare","Epic","Unique","Legendary","Mystic","Mystic (Prime)"},0),4,6,9,14,20,24))*Sensitivity!$H$11,IF($G$38="Status Effect Damage %",0,IF($G$38="Damage %",(CHOOSE(MATCH($F$38,{"Rare","Epic","Unique","Legendary","Mystic","Mystic (Prime)"},0),4,6,9,14,20,24))*Sensitivity!$H$8,IF($G$38="Defense Penetration %",(CHOOSE(MATCH($F$38,{"Rare","Epic","Unique","Legendary","Mystic","Mystic (Prime)"},0),2,3,4.5,7,10,12))*Sensitivity!$H$18,0)))))))))))),0)</f>
        <v/>
      </c>
      <c r="I38" s="7" t="inlineStr">
        <is>
          <t>Rare</t>
        </is>
      </c>
      <c r="J38" s="7" t="inlineStr">
        <is>
          <t>(none)</t>
        </is>
      </c>
      <c r="K38">
        <f>IF($N$38&gt;=5,IF($J$38="Main Stat %",(CHOOSE(MATCH($I$38,{"Rare","Epic","Unique","Legendary","Mystic","Mystic (Prime)"},0),2,3,4.5,7,10,12))*Sensitivity!$H$6,IF($J$38="Damage Taken Decrease %",0,IF($J$38="Defense %",0,IF($J$38="Accuracy",0,IF($J$38="Critical Rate %",(CHOOSE(MATCH($I$38,{"Rare","Epic","Unique","Legendary","Mystic","Mystic (Prime)"},0),2,3,4.5,7,10,12))*Sensitivity!$H$15,IF($J$38="Min Damage Multiplier %",(CHOOSE(MATCH($I$38,{"Rare","Epic","Unique","Legendary","Mystic","Mystic (Prime)"},0),2,3,4.5,7,10,12))*Sensitivity!$H$13,IF($J$38="Max Damage Multiplier %",(CHOOSE(MATCH($I$38,{"Rare","Epic","Unique","Legendary","Mystic","Mystic (Prime)"},0),2,3,4.5,7,10,12))*Sensitivity!$H$14,IF($J$38="Boss Monster Damage %",(CHOOSE(MATCH($I$38,{"Rare","Epic","Unique","Legendary","Mystic","Mystic (Prime)"},0),4,6,9,14,20,24))*Sensitivity!$H$10,IF($J$38="Normal Monster Damage %",(CHOOSE(MATCH($I$38,{"Rare","Epic","Unique","Legendary","Mystic","Mystic (Prime)"},0),4,6,9,14,20,24))*Sensitivity!$H$11,IF($J$38="Status Effect Damage %",0,IF($J$38="Damage %",(CHOOSE(MATCH($I$38,{"Rare","Epic","Unique","Legendary","Mystic","Mystic (Prime)"},0),4,6,9,14,20,24))*Sensitivity!$H$8,IF($J$38="Defense Penetration %",(CHOOSE(MATCH($I$38,{"Rare","Epic","Unique","Legendary","Mystic","Mystic (Prime)"},0),2,3,4.5,7,10,12))*Sensitivity!$H$18,0)))))))))))),0)</f>
        <v/>
      </c>
      <c r="L38">
        <f>Summary!$B$3*((IF(D38="(none)",1,1+(E38+IF(G38=D38,H38,0)+IF(J38=D38,K38,0))/Summary!$B$3))*(IF(OR(G38="(none)",G38=D38),1,1+(H38+IF(D38=G38,E38,0)+IF(J38=G38,K38,0))/Summary!$B$3))*(IF(OR(J38="",J38="(none)",J38=D38,J38=G38),1,1+(K38+IF(D38=J38,E38,0)+IF(G38=J38,H38,0))/Summary!$B$3))-1)</f>
        <v/>
      </c>
      <c r="M38">
        <f>OR(Inputs!$B$47="Horn Flute",Inputs!$B$48="Horn Flute",Inputs!$B$49="Horn Flute",Inputs!$B$50="Horn Flute")</f>
        <v/>
      </c>
      <c r="N38">
        <f>IF(B38="Not Unlocked",0,B38)</f>
        <v/>
      </c>
    </row>
    <row r="39">
      <c r="A39" s="6" t="inlineStr">
        <is>
          <t>Cursed Doll</t>
        </is>
      </c>
      <c r="B39" s="7" t="inlineStr">
        <is>
          <t>Not Unlocked</t>
        </is>
      </c>
      <c r="C39" s="7" t="inlineStr">
        <is>
          <t>Rare</t>
        </is>
      </c>
      <c r="D39" s="7" t="inlineStr">
        <is>
          <t>(none)</t>
        </is>
      </c>
      <c r="E39">
        <f>IF($N$39&gt;=1,IF($D$39="Main Stat %",(CHOOSE(MATCH($C$39,{"Rare","Epic","Unique","Legendary","Mystic","Mystic (Prime)"},0),2,3,4.5,7,10,12))*Sensitivity!$H$6,IF($D$39="Damage Taken Decrease %",0,IF($D$39="Defense %",0,IF($D$39="Accuracy",0,IF($D$39="Critical Rate %",(CHOOSE(MATCH($C$39,{"Rare","Epic","Unique","Legendary","Mystic","Mystic (Prime)"},0),2,3,4.5,7,10,12))*Sensitivity!$H$15,IF($D$39="Min Damage Multiplier %",(CHOOSE(MATCH($C$39,{"Rare","Epic","Unique","Legendary","Mystic","Mystic (Prime)"},0),2,3,4.5,7,10,12))*Sensitivity!$H$13,IF($D$39="Max Damage Multiplier %",(CHOOSE(MATCH($C$39,{"Rare","Epic","Unique","Legendary","Mystic","Mystic (Prime)"},0),2,3,4.5,7,10,12))*Sensitivity!$H$14,IF($D$39="Boss Monster Damage %",(CHOOSE(MATCH($C$39,{"Rare","Epic","Unique","Legendary","Mystic","Mystic (Prime)"},0),4,6,9,14,20,24))*Sensitivity!$H$10,IF($D$39="Normal Monster Damage %",(CHOOSE(MATCH($C$39,{"Rare","Epic","Unique","Legendary","Mystic","Mystic (Prime)"},0),4,6,9,14,20,24))*Sensitivity!$H$11,IF($D$39="Status Effect Damage %",0,IF($D$39="Damage %",(CHOOSE(MATCH($C$39,{"Rare","Epic","Unique","Legendary","Mystic","Mystic (Prime)"},0),4,6,9,14,20,24))*Sensitivity!$H$8,IF($D$39="Defense Penetration %",(CHOOSE(MATCH($C$39,{"Rare","Epic","Unique","Legendary","Mystic","Mystic (Prime)"},0),2,3,4.5,7,10,12))*Sensitivity!$H$18,0)))))))))))),0)</f>
        <v/>
      </c>
      <c r="F39" s="7" t="inlineStr">
        <is>
          <t>Rare</t>
        </is>
      </c>
      <c r="G39" s="7" t="inlineStr">
        <is>
          <t>(none)</t>
        </is>
      </c>
      <c r="H39">
        <f>IF($N$39&gt;=2,IF($G$39="Main Stat %",(CHOOSE(MATCH($F$39,{"Rare","Epic","Unique","Legendary","Mystic","Mystic (Prime)"},0),2,3,4.5,7,10,12))*Sensitivity!$H$6,IF($G$39="Damage Taken Decrease %",0,IF($G$39="Defense %",0,IF($G$39="Accuracy",0,IF($G$39="Critical Rate %",(CHOOSE(MATCH($F$39,{"Rare","Epic","Unique","Legendary","Mystic","Mystic (Prime)"},0),2,3,4.5,7,10,12))*Sensitivity!$H$15,IF($G$39="Min Damage Multiplier %",(CHOOSE(MATCH($F$39,{"Rare","Epic","Unique","Legendary","Mystic","Mystic (Prime)"},0),2,3,4.5,7,10,12))*Sensitivity!$H$13,IF($G$39="Max Damage Multiplier %",(CHOOSE(MATCH($F$39,{"Rare","Epic","Unique","Legendary","Mystic","Mystic (Prime)"},0),2,3,4.5,7,10,12))*Sensitivity!$H$14,IF($G$39="Boss Monster Damage %",(CHOOSE(MATCH($F$39,{"Rare","Epic","Unique","Legendary","Mystic","Mystic (Prime)"},0),4,6,9,14,20,24))*Sensitivity!$H$10,IF($G$39="Normal Monster Damage %",(CHOOSE(MATCH($F$39,{"Rare","Epic","Unique","Legendary","Mystic","Mystic (Prime)"},0),4,6,9,14,20,24))*Sensitivity!$H$11,IF($G$39="Status Effect Damage %",0,IF($G$39="Damage %",(CHOOSE(MATCH($F$39,{"Rare","Epic","Unique","Legendary","Mystic","Mystic (Prime)"},0),4,6,9,14,20,24))*Sensitivity!$H$8,IF($G$39="Defense Penetration %",(CHOOSE(MATCH($F$39,{"Rare","Epic","Unique","Legendary","Mystic","Mystic (Prime)"},0),2,3,4.5,7,10,12))*Sensitivity!$H$18,0)))))))))))),0)</f>
        <v/>
      </c>
      <c r="I39" s="7" t="inlineStr">
        <is>
          <t>Rare</t>
        </is>
      </c>
      <c r="J39" s="7" t="inlineStr">
        <is>
          <t>(none)</t>
        </is>
      </c>
      <c r="K39">
        <f>IF($N$39&gt;=5,IF($J$39="Main Stat %",(CHOOSE(MATCH($I$39,{"Rare","Epic","Unique","Legendary","Mystic","Mystic (Prime)"},0),2,3,4.5,7,10,12))*Sensitivity!$H$6,IF($J$39="Damage Taken Decrease %",0,IF($J$39="Defense %",0,IF($J$39="Accuracy",0,IF($J$39="Critical Rate %",(CHOOSE(MATCH($I$39,{"Rare","Epic","Unique","Legendary","Mystic","Mystic (Prime)"},0),2,3,4.5,7,10,12))*Sensitivity!$H$15,IF($J$39="Min Damage Multiplier %",(CHOOSE(MATCH($I$39,{"Rare","Epic","Unique","Legendary","Mystic","Mystic (Prime)"},0),2,3,4.5,7,10,12))*Sensitivity!$H$13,IF($J$39="Max Damage Multiplier %",(CHOOSE(MATCH($I$39,{"Rare","Epic","Unique","Legendary","Mystic","Mystic (Prime)"},0),2,3,4.5,7,10,12))*Sensitivity!$H$14,IF($J$39="Boss Monster Damage %",(CHOOSE(MATCH($I$39,{"Rare","Epic","Unique","Legendary","Mystic","Mystic (Prime)"},0),4,6,9,14,20,24))*Sensitivity!$H$10,IF($J$39="Normal Monster Damage %",(CHOOSE(MATCH($I$39,{"Rare","Epic","Unique","Legendary","Mystic","Mystic (Prime)"},0),4,6,9,14,20,24))*Sensitivity!$H$11,IF($J$39="Status Effect Damage %",0,IF($J$39="Damage %",(CHOOSE(MATCH($I$39,{"Rare","Epic","Unique","Legendary","Mystic","Mystic (Prime)"},0),4,6,9,14,20,24))*Sensitivity!$H$8,IF($J$39="Defense Penetration %",(CHOOSE(MATCH($I$39,{"Rare","Epic","Unique","Legendary","Mystic","Mystic (Prime)"},0),2,3,4.5,7,10,12))*Sensitivity!$H$18,0)))))))))))),0)</f>
        <v/>
      </c>
      <c r="L39">
        <f>Summary!$B$3*((IF(D39="(none)",1,1+(E39+IF(G39=D39,H39,0)+IF(J39=D39,K39,0))/Summary!$B$3))*(IF(OR(G39="(none)",G39=D39),1,1+(H39+IF(D39=G39,E39,0)+IF(J39=G39,K39,0))/Summary!$B$3))*(IF(OR(J39="",J39="(none)",J39=D39,J39=G39),1,1+(K39+IF(D39=J39,E39,0)+IF(G39=J39,H39,0))/Summary!$B$3))-1)</f>
        <v/>
      </c>
      <c r="M39">
        <f>OR(Inputs!$B$47="Cursed Doll",Inputs!$B$48="Cursed Doll",Inputs!$B$49="Cursed Doll",Inputs!$B$50="Cursed Doll")</f>
        <v/>
      </c>
      <c r="N39">
        <f>IF(B39="Not Unlocked",0,B39)</f>
        <v/>
      </c>
    </row>
    <row r="40">
      <c r="A40" s="6" t="inlineStr">
        <is>
          <t>Reindeer's Spear</t>
        </is>
      </c>
      <c r="B40" s="7" t="inlineStr">
        <is>
          <t>Not Unlocked</t>
        </is>
      </c>
      <c r="C40" s="7" t="inlineStr">
        <is>
          <t>Rare</t>
        </is>
      </c>
      <c r="D40" s="7" t="inlineStr">
        <is>
          <t>(none)</t>
        </is>
      </c>
      <c r="E40">
        <f>IF($N$40&gt;=1,IF($D$40="Main Stat %",(CHOOSE(MATCH($C$40,{"Rare","Epic","Unique","Legendary","Mystic","Mystic (Prime)"},0),2,3,4.5,7,10,12))*Sensitivity!$H$6,IF($D$40="Damage Taken Decrease %",0,IF($D$40="Defense %",0,IF($D$40="Accuracy",0,IF($D$40="Critical Rate %",(CHOOSE(MATCH($C$40,{"Rare","Epic","Unique","Legendary","Mystic","Mystic (Prime)"},0),2,3,4.5,7,10,12))*Sensitivity!$H$15,IF($D$40="Min Damage Multiplier %",(CHOOSE(MATCH($C$40,{"Rare","Epic","Unique","Legendary","Mystic","Mystic (Prime)"},0),2,3,4.5,7,10,12))*Sensitivity!$H$13,IF($D$40="Max Damage Multiplier %",(CHOOSE(MATCH($C$40,{"Rare","Epic","Unique","Legendary","Mystic","Mystic (Prime)"},0),2,3,4.5,7,10,12))*Sensitivity!$H$14,IF($D$40="Boss Monster Damage %",(CHOOSE(MATCH($C$40,{"Rare","Epic","Unique","Legendary","Mystic","Mystic (Prime)"},0),4,6,9,14,20,24))*Sensitivity!$H$10,IF($D$40="Normal Monster Damage %",(CHOOSE(MATCH($C$40,{"Rare","Epic","Unique","Legendary","Mystic","Mystic (Prime)"},0),4,6,9,14,20,24))*Sensitivity!$H$11,IF($D$40="Status Effect Damage %",0,IF($D$40="Damage %",(CHOOSE(MATCH($C$40,{"Rare","Epic","Unique","Legendary","Mystic","Mystic (Prime)"},0),4,6,9,14,20,24))*Sensitivity!$H$8,IF($D$40="Defense Penetration %",(CHOOSE(MATCH($C$40,{"Rare","Epic","Unique","Legendary","Mystic","Mystic (Prime)"},0),2,3,4.5,7,10,12))*Sensitivity!$H$18,0)))))))))))),0)</f>
        <v/>
      </c>
      <c r="F40" s="7" t="inlineStr">
        <is>
          <t>Rare</t>
        </is>
      </c>
      <c r="G40" s="7" t="inlineStr">
        <is>
          <t>(none)</t>
        </is>
      </c>
      <c r="H40">
        <f>IF($N$40&gt;=2,IF($G$40="Main Stat %",(CHOOSE(MATCH($F$40,{"Rare","Epic","Unique","Legendary","Mystic","Mystic (Prime)"},0),2,3,4.5,7,10,12))*Sensitivity!$H$6,IF($G$40="Damage Taken Decrease %",0,IF($G$40="Defense %",0,IF($G$40="Accuracy",0,IF($G$40="Critical Rate %",(CHOOSE(MATCH($F$40,{"Rare","Epic","Unique","Legendary","Mystic","Mystic (Prime)"},0),2,3,4.5,7,10,12))*Sensitivity!$H$15,IF($G$40="Min Damage Multiplier %",(CHOOSE(MATCH($F$40,{"Rare","Epic","Unique","Legendary","Mystic","Mystic (Prime)"},0),2,3,4.5,7,10,12))*Sensitivity!$H$13,IF($G$40="Max Damage Multiplier %",(CHOOSE(MATCH($F$40,{"Rare","Epic","Unique","Legendary","Mystic","Mystic (Prime)"},0),2,3,4.5,7,10,12))*Sensitivity!$H$14,IF($G$40="Boss Monster Damage %",(CHOOSE(MATCH($F$40,{"Rare","Epic","Unique","Legendary","Mystic","Mystic (Prime)"},0),4,6,9,14,20,24))*Sensitivity!$H$10,IF($G$40="Normal Monster Damage %",(CHOOSE(MATCH($F$40,{"Rare","Epic","Unique","Legendary","Mystic","Mystic (Prime)"},0),4,6,9,14,20,24))*Sensitivity!$H$11,IF($G$40="Status Effect Damage %",0,IF($G$40="Damage %",(CHOOSE(MATCH($F$40,{"Rare","Epic","Unique","Legendary","Mystic","Mystic (Prime)"},0),4,6,9,14,20,24))*Sensitivity!$H$8,IF($G$40="Defense Penetration %",(CHOOSE(MATCH($F$40,{"Rare","Epic","Unique","Legendary","Mystic","Mystic (Prime)"},0),2,3,4.5,7,10,12))*Sensitivity!$H$18,0)))))))))))),0)</f>
        <v/>
      </c>
      <c r="I40" s="7" t="inlineStr">
        <is>
          <t>Rare</t>
        </is>
      </c>
      <c r="J40" s="7" t="inlineStr">
        <is>
          <t>(none)</t>
        </is>
      </c>
      <c r="K40">
        <f>IF($N$40&gt;=5,IF($J$40="Main Stat %",(CHOOSE(MATCH($I$40,{"Rare","Epic","Unique","Legendary","Mystic","Mystic (Prime)"},0),2,3,4.5,7,10,12))*Sensitivity!$H$6,IF($J$40="Damage Taken Decrease %",0,IF($J$40="Defense %",0,IF($J$40="Accuracy",0,IF($J$40="Critical Rate %",(CHOOSE(MATCH($I$40,{"Rare","Epic","Unique","Legendary","Mystic","Mystic (Prime)"},0),2,3,4.5,7,10,12))*Sensitivity!$H$15,IF($J$40="Min Damage Multiplier %",(CHOOSE(MATCH($I$40,{"Rare","Epic","Unique","Legendary","Mystic","Mystic (Prime)"},0),2,3,4.5,7,10,12))*Sensitivity!$H$13,IF($J$40="Max Damage Multiplier %",(CHOOSE(MATCH($I$40,{"Rare","Epic","Unique","Legendary","Mystic","Mystic (Prime)"},0),2,3,4.5,7,10,12))*Sensitivity!$H$14,IF($J$40="Boss Monster Damage %",(CHOOSE(MATCH($I$40,{"Rare","Epic","Unique","Legendary","Mystic","Mystic (Prime)"},0),4,6,9,14,20,24))*Sensitivity!$H$10,IF($J$40="Normal Monster Damage %",(CHOOSE(MATCH($I$40,{"Rare","Epic","Unique","Legendary","Mystic","Mystic (Prime)"},0),4,6,9,14,20,24))*Sensitivity!$H$11,IF($J$40="Status Effect Damage %",0,IF($J$40="Damage %",(CHOOSE(MATCH($I$40,{"Rare","Epic","Unique","Legendary","Mystic","Mystic (Prime)"},0),4,6,9,14,20,24))*Sensitivity!$H$8,IF($J$40="Defense Penetration %",(CHOOSE(MATCH($I$40,{"Rare","Epic","Unique","Legendary","Mystic","Mystic (Prime)"},0),2,3,4.5,7,10,12))*Sensitivity!$H$18,0)))))))))))),0)</f>
        <v/>
      </c>
      <c r="L40">
        <f>Summary!$B$3*((IF(D40="(none)",1,1+(E40+IF(G40=D40,H40,0)+IF(J40=D40,K40,0))/Summary!$B$3))*(IF(OR(G40="(none)",G40=D40),1,1+(H40+IF(D40=G40,E40,0)+IF(J40=G40,K40,0))/Summary!$B$3))*(IF(OR(J40="",J40="(none)",J40=D40,J40=G40),1,1+(K40+IF(D40=J40,E40,0)+IF(G40=J40,H40,0))/Summary!$B$3))-1)</f>
        <v/>
      </c>
      <c r="M40">
        <f>OR(Inputs!$B$47="Reindeer's Spear",Inputs!$B$48="Reindeer's Spear",Inputs!$B$49="Reindeer's Spear",Inputs!$B$50="Reindeer's Spear")</f>
        <v/>
      </c>
      <c r="N40">
        <f>IF(B40="Not Unlocked",0,B40)</f>
        <v/>
      </c>
    </row>
    <row r="41">
      <c r="A41" s="6" t="inlineStr">
        <is>
          <t>Secret Map</t>
        </is>
      </c>
      <c r="B41" s="7" t="inlineStr">
        <is>
          <t>Not Unlocked</t>
        </is>
      </c>
      <c r="C41" s="7" t="inlineStr">
        <is>
          <t>Rare</t>
        </is>
      </c>
      <c r="D41" s="7" t="inlineStr">
        <is>
          <t>(none)</t>
        </is>
      </c>
      <c r="E41">
        <f>IF($N$41&gt;=1,IF($D$41="Main Stat %",(CHOOSE(MATCH($C$41,{"Rare","Epic","Unique","Legendary","Mystic","Mystic (Prime)"},0),2,3,4.5,7,10,12))*Sensitivity!$H$6,IF($D$41="Damage Taken Decrease %",0,IF($D$41="Defense %",0,IF($D$41="Accuracy",0,IF($D$41="Critical Rate %",(CHOOSE(MATCH($C$41,{"Rare","Epic","Unique","Legendary","Mystic","Mystic (Prime)"},0),2,3,4.5,7,10,12))*Sensitivity!$H$15,IF($D$41="Min Damage Multiplier %",(CHOOSE(MATCH($C$41,{"Rare","Epic","Unique","Legendary","Mystic","Mystic (Prime)"},0),2,3,4.5,7,10,12))*Sensitivity!$H$13,IF($D$41="Max Damage Multiplier %",(CHOOSE(MATCH($C$41,{"Rare","Epic","Unique","Legendary","Mystic","Mystic (Prime)"},0),2,3,4.5,7,10,12))*Sensitivity!$H$14,IF($D$41="Boss Monster Damage %",(CHOOSE(MATCH($C$41,{"Rare","Epic","Unique","Legendary","Mystic","Mystic (Prime)"},0),4,6,9,14,20,24))*Sensitivity!$H$10,IF($D$41="Normal Monster Damage %",(CHOOSE(MATCH($C$41,{"Rare","Epic","Unique","Legendary","Mystic","Mystic (Prime)"},0),4,6,9,14,20,24))*Sensitivity!$H$11,IF($D$41="Status Effect Damage %",0,IF($D$41="Damage %",(CHOOSE(MATCH($C$41,{"Rare","Epic","Unique","Legendary","Mystic","Mystic (Prime)"},0),4,6,9,14,20,24))*Sensitivity!$H$8,IF($D$41="Defense Penetration %",(CHOOSE(MATCH($C$41,{"Rare","Epic","Unique","Legendary","Mystic","Mystic (Prime)"},0),2,3,4.5,7,10,12))*Sensitivity!$H$18,0)))))))))))),0)</f>
        <v/>
      </c>
      <c r="F41" s="7" t="inlineStr">
        <is>
          <t>Rare</t>
        </is>
      </c>
      <c r="G41" s="7" t="inlineStr">
        <is>
          <t>(none)</t>
        </is>
      </c>
      <c r="H41">
        <f>IF($N$41&gt;=2,IF($G$41="Main Stat %",(CHOOSE(MATCH($F$41,{"Rare","Epic","Unique","Legendary","Mystic","Mystic (Prime)"},0),2,3,4.5,7,10,12))*Sensitivity!$H$6,IF($G$41="Damage Taken Decrease %",0,IF($G$41="Defense %",0,IF($G$41="Accuracy",0,IF($G$41="Critical Rate %",(CHOOSE(MATCH($F$41,{"Rare","Epic","Unique","Legendary","Mystic","Mystic (Prime)"},0),2,3,4.5,7,10,12))*Sensitivity!$H$15,IF($G$41="Min Damage Multiplier %",(CHOOSE(MATCH($F$41,{"Rare","Epic","Unique","Legendary","Mystic","Mystic (Prime)"},0),2,3,4.5,7,10,12))*Sensitivity!$H$13,IF($G$41="Max Damage Multiplier %",(CHOOSE(MATCH($F$41,{"Rare","Epic","Unique","Legendary","Mystic","Mystic (Prime)"},0),2,3,4.5,7,10,12))*Sensitivity!$H$14,IF($G$41="Boss Monster Damage %",(CHOOSE(MATCH($F$41,{"Rare","Epic","Unique","Legendary","Mystic","Mystic (Prime)"},0),4,6,9,14,20,24))*Sensitivity!$H$10,IF($G$41="Normal Monster Damage %",(CHOOSE(MATCH($F$41,{"Rare","Epic","Unique","Legendary","Mystic","Mystic (Prime)"},0),4,6,9,14,20,24))*Sensitivity!$H$11,IF($G$41="Status Effect Damage %",0,IF($G$41="Damage %",(CHOOSE(MATCH($F$41,{"Rare","Epic","Unique","Legendary","Mystic","Mystic (Prime)"},0),4,6,9,14,20,24))*Sensitivity!$H$8,IF($G$41="Defense Penetration %",(CHOOSE(MATCH($F$41,{"Rare","Epic","Unique","Legendary","Mystic","Mystic (Prime)"},0),2,3,4.5,7,10,12))*Sensitivity!$H$18,0)))))))))))),0)</f>
        <v/>
      </c>
      <c r="I41" s="7" t="inlineStr">
        <is>
          <t>Rare</t>
        </is>
      </c>
      <c r="J41" s="7" t="inlineStr">
        <is>
          <t>(none)</t>
        </is>
      </c>
      <c r="K41">
        <f>IF($N$41&gt;=5,IF($J$41="Main Stat %",(CHOOSE(MATCH($I$41,{"Rare","Epic","Unique","Legendary","Mystic","Mystic (Prime)"},0),2,3,4.5,7,10,12))*Sensitivity!$H$6,IF($J$41="Damage Taken Decrease %",0,IF($J$41="Defense %",0,IF($J$41="Accuracy",0,IF($J$41="Critical Rate %",(CHOOSE(MATCH($I$41,{"Rare","Epic","Unique","Legendary","Mystic","Mystic (Prime)"},0),2,3,4.5,7,10,12))*Sensitivity!$H$15,IF($J$41="Min Damage Multiplier %",(CHOOSE(MATCH($I$41,{"Rare","Epic","Unique","Legendary","Mystic","Mystic (Prime)"},0),2,3,4.5,7,10,12))*Sensitivity!$H$13,IF($J$41="Max Damage Multiplier %",(CHOOSE(MATCH($I$41,{"Rare","Epic","Unique","Legendary","Mystic","Mystic (Prime)"},0),2,3,4.5,7,10,12))*Sensitivity!$H$14,IF($J$41="Boss Monster Damage %",(CHOOSE(MATCH($I$41,{"Rare","Epic","Unique","Legendary","Mystic","Mystic (Prime)"},0),4,6,9,14,20,24))*Sensitivity!$H$10,IF($J$41="Normal Monster Damage %",(CHOOSE(MATCH($I$41,{"Rare","Epic","Unique","Legendary","Mystic","Mystic (Prime)"},0),4,6,9,14,20,24))*Sensitivity!$H$11,IF($J$41="Status Effect Damage %",0,IF($J$41="Damage %",(CHOOSE(MATCH($I$41,{"Rare","Epic","Unique","Legendary","Mystic","Mystic (Prime)"},0),4,6,9,14,20,24))*Sensitivity!$H$8,IF($J$41="Defense Penetration %",(CHOOSE(MATCH($I$41,{"Rare","Epic","Unique","Legendary","Mystic","Mystic (Prime)"},0),2,3,4.5,7,10,12))*Sensitivity!$H$18,0)))))))))))),0)</f>
        <v/>
      </c>
      <c r="L41">
        <f>Summary!$B$3*((IF(D41="(none)",1,1+(E41+IF(G41=D41,H41,0)+IF(J41=D41,K41,0))/Summary!$B$3))*(IF(OR(G41="(none)",G41=D41),1,1+(H41+IF(D41=G41,E41,0)+IF(J41=G41,K41,0))/Summary!$B$3))*(IF(OR(J41="",J41="(none)",J41=D41,J41=G41),1,1+(K41+IF(D41=J41,E41,0)+IF(G41=J41,H41,0))/Summary!$B$3))-1)</f>
        <v/>
      </c>
      <c r="M41">
        <f>OR(Inputs!$B$47="Secret Map",Inputs!$B$48="Secret Map",Inputs!$B$49="Secret Map",Inputs!$B$50="Secret Map")</f>
        <v/>
      </c>
      <c r="N41">
        <f>IF(B41="Not Unlocked",0,B41)</f>
        <v/>
      </c>
    </row>
    <row r="42">
      <c r="A42" s="6" t="inlineStr">
        <is>
          <t>Ring of Cycles</t>
        </is>
      </c>
      <c r="B42" s="7" t="inlineStr">
        <is>
          <t>Not Unlocked</t>
        </is>
      </c>
      <c r="C42" s="7" t="inlineStr">
        <is>
          <t>Rare</t>
        </is>
      </c>
      <c r="D42" s="7" t="inlineStr">
        <is>
          <t>(none)</t>
        </is>
      </c>
      <c r="E42">
        <f>IF($N$42&gt;=1,IF($D$42="Main Stat %",(CHOOSE(MATCH($C$42,{"Rare","Epic","Unique","Legendary","Mystic","Mystic (Prime)"},0),2,3,4.5,7,10,12))*Sensitivity!$H$6,IF($D$42="Damage Taken Decrease %",0,IF($D$42="Defense %",0,IF($D$42="Accuracy",0,IF($D$42="Critical Rate %",(CHOOSE(MATCH($C$42,{"Rare","Epic","Unique","Legendary","Mystic","Mystic (Prime)"},0),2,3,4.5,7,10,12))*Sensitivity!$H$15,IF($D$42="Min Damage Multiplier %",(CHOOSE(MATCH($C$42,{"Rare","Epic","Unique","Legendary","Mystic","Mystic (Prime)"},0),2,3,4.5,7,10,12))*Sensitivity!$H$13,IF($D$42="Max Damage Multiplier %",(CHOOSE(MATCH($C$42,{"Rare","Epic","Unique","Legendary","Mystic","Mystic (Prime)"},0),2,3,4.5,7,10,12))*Sensitivity!$H$14,IF($D$42="Boss Monster Damage %",(CHOOSE(MATCH($C$42,{"Rare","Epic","Unique","Legendary","Mystic","Mystic (Prime)"},0),4,6,9,14,20,24))*Sensitivity!$H$10,IF($D$42="Normal Monster Damage %",(CHOOSE(MATCH($C$42,{"Rare","Epic","Unique","Legendary","Mystic","Mystic (Prime)"},0),4,6,9,14,20,24))*Sensitivity!$H$11,IF($D$42="Status Effect Damage %",0,IF($D$42="Damage %",(CHOOSE(MATCH($C$42,{"Rare","Epic","Unique","Legendary","Mystic","Mystic (Prime)"},0),4,6,9,14,20,24))*Sensitivity!$H$8,IF($D$42="Defense Penetration %",(CHOOSE(MATCH($C$42,{"Rare","Epic","Unique","Legendary","Mystic","Mystic (Prime)"},0),2,3,4.5,7,10,12))*Sensitivity!$H$18,0)))))))))))),0)</f>
        <v/>
      </c>
      <c r="F42" s="7" t="inlineStr">
        <is>
          <t>Rare</t>
        </is>
      </c>
      <c r="G42" s="7" t="inlineStr">
        <is>
          <t>(none)</t>
        </is>
      </c>
      <c r="H42">
        <f>IF($N$42&gt;=2,IF($G$42="Main Stat %",(CHOOSE(MATCH($F$42,{"Rare","Epic","Unique","Legendary","Mystic","Mystic (Prime)"},0),2,3,4.5,7,10,12))*Sensitivity!$H$6,IF($G$42="Damage Taken Decrease %",0,IF($G$42="Defense %",0,IF($G$42="Accuracy",0,IF($G$42="Critical Rate %",(CHOOSE(MATCH($F$42,{"Rare","Epic","Unique","Legendary","Mystic","Mystic (Prime)"},0),2,3,4.5,7,10,12))*Sensitivity!$H$15,IF($G$42="Min Damage Multiplier %",(CHOOSE(MATCH($F$42,{"Rare","Epic","Unique","Legendary","Mystic","Mystic (Prime)"},0),2,3,4.5,7,10,12))*Sensitivity!$H$13,IF($G$42="Max Damage Multiplier %",(CHOOSE(MATCH($F$42,{"Rare","Epic","Unique","Legendary","Mystic","Mystic (Prime)"},0),2,3,4.5,7,10,12))*Sensitivity!$H$14,IF($G$42="Boss Monster Damage %",(CHOOSE(MATCH($F$42,{"Rare","Epic","Unique","Legendary","Mystic","Mystic (Prime)"},0),4,6,9,14,20,24))*Sensitivity!$H$10,IF($G$42="Normal Monster Damage %",(CHOOSE(MATCH($F$42,{"Rare","Epic","Unique","Legendary","Mystic","Mystic (Prime)"},0),4,6,9,14,20,24))*Sensitivity!$H$11,IF($G$42="Status Effect Damage %",0,IF($G$42="Damage %",(CHOOSE(MATCH($F$42,{"Rare","Epic","Unique","Legendary","Mystic","Mystic (Prime)"},0),4,6,9,14,20,24))*Sensitivity!$H$8,IF($G$42="Defense Penetration %",(CHOOSE(MATCH($F$42,{"Rare","Epic","Unique","Legendary","Mystic","Mystic (Prime)"},0),2,3,4.5,7,10,12))*Sensitivity!$H$18,0)))))))))))),0)</f>
        <v/>
      </c>
      <c r="I42" s="7" t="inlineStr">
        <is>
          <t>Rare</t>
        </is>
      </c>
      <c r="J42" s="7" t="inlineStr">
        <is>
          <t>(none)</t>
        </is>
      </c>
      <c r="K42">
        <f>IF($N$42&gt;=5,IF($J$42="Main Stat %",(CHOOSE(MATCH($I$42,{"Rare","Epic","Unique","Legendary","Mystic","Mystic (Prime)"},0),2,3,4.5,7,10,12))*Sensitivity!$H$6,IF($J$42="Damage Taken Decrease %",0,IF($J$42="Defense %",0,IF($J$42="Accuracy",0,IF($J$42="Critical Rate %",(CHOOSE(MATCH($I$42,{"Rare","Epic","Unique","Legendary","Mystic","Mystic (Prime)"},0),2,3,4.5,7,10,12))*Sensitivity!$H$15,IF($J$42="Min Damage Multiplier %",(CHOOSE(MATCH($I$42,{"Rare","Epic","Unique","Legendary","Mystic","Mystic (Prime)"},0),2,3,4.5,7,10,12))*Sensitivity!$H$13,IF($J$42="Max Damage Multiplier %",(CHOOSE(MATCH($I$42,{"Rare","Epic","Unique","Legendary","Mystic","Mystic (Prime)"},0),2,3,4.5,7,10,12))*Sensitivity!$H$14,IF($J$42="Boss Monster Damage %",(CHOOSE(MATCH($I$42,{"Rare","Epic","Unique","Legendary","Mystic","Mystic (Prime)"},0),4,6,9,14,20,24))*Sensitivity!$H$10,IF($J$42="Normal Monster Damage %",(CHOOSE(MATCH($I$42,{"Rare","Epic","Unique","Legendary","Mystic","Mystic (Prime)"},0),4,6,9,14,20,24))*Sensitivity!$H$11,IF($J$42="Status Effect Damage %",0,IF($J$42="Damage %",(CHOOSE(MATCH($I$42,{"Rare","Epic","Unique","Legendary","Mystic","Mystic (Prime)"},0),4,6,9,14,20,24))*Sensitivity!$H$8,IF($J$42="Defense Penetration %",(CHOOSE(MATCH($I$42,{"Rare","Epic","Unique","Legendary","Mystic","Mystic (Prime)"},0),2,3,4.5,7,10,12))*Sensitivity!$H$18,0)))))))))))),0)</f>
        <v/>
      </c>
      <c r="L42">
        <f>Summary!$B$3*((IF(D42="(none)",1,1+(E42+IF(G42=D42,H42,0)+IF(J42=D42,K42,0))/Summary!$B$3))*(IF(OR(G42="(none)",G42=D42),1,1+(H42+IF(D42=G42,E42,0)+IF(J42=G42,K42,0))/Summary!$B$3))*(IF(OR(J42="",J42="(none)",J42=D42,J42=G42),1,1+(K42+IF(D42=J42,E42,0)+IF(G42=J42,H42,0))/Summary!$B$3))-1)</f>
        <v/>
      </c>
      <c r="M42">
        <f>OR(Inputs!$B$47="Ring of Cycles",Inputs!$B$48="Ring of Cycles",Inputs!$B$49="Ring of Cycles",Inputs!$B$50="Ring of Cycles")</f>
        <v/>
      </c>
      <c r="N42">
        <f>IF(B42="Not Unlocked",0,B42)</f>
        <v/>
      </c>
    </row>
  </sheetData>
  <dataValidations count="3">
    <dataValidation sqref="B5 B6 B7 B8 B10 B11 B12 B13 B14 B15 B16 B17 B18 B20 B21 B22 B23 B24 B25 B26 B27 B28 B29 B30 B31 B32 B33 B34 B35 B36 B37 B38 B39 B40 B41 B42" showDropDown="0" showInputMessage="0" showErrorMessage="0" allowBlank="0" type="list">
      <formula1>"Not Unlocked,0,1,2,3,4,5"</formula1>
    </dataValidation>
    <dataValidation sqref="C5 C6 C7 C8 C10 C11 C12 C13 C14 C15 C16 C17 C18 C20 C21 C22 C23 C24 C25 C26 C27 C28 C29 C30 C31 C32 C33 C34 C35 C36 C37 C38 C39 C40 C41 C42 F5 F6 F7 F8 F10 F11 F12 F13 F14 F15 F16 F17 F18 F20 F21 F22 F23 F24 F25 F26 F27 F28 F29 F30 F31 F32 F33 F34 F35 F36 F37 F38 F39 F40 F41 F42 I20 I21 I22 I23 I24 I25 I26 I27 I28 I29 I30 I31 I32 I33 I34 I35 I36 I37 I38 I39 I40 I41 I42" showDropDown="0" showInputMessage="0" showErrorMessage="0" allowBlank="0" type="list">
      <formula1>"Rare,Epic,Unique,Legendary,Mystic,Mystic (Prime)"</formula1>
    </dataValidation>
    <dataValidation sqref="D5 D6 D7 D8 D10 D11 D12 D13 D14 D15 D16 D17 D18 D20 D21 D22 D23 D24 D25 D26 D27 D28 D29 D30 D31 D32 D33 D34 D35 D36 D37 D38 D39 D40 D41 D42 G5 G6 G7 G8 G10 G11 G12 G13 G14 G15 G16 G17 G18 G20 G21 G22 G23 G24 G25 G26 G27 G28 G29 G30 G31 G32 G33 G34 G35 G36 G37 G38 G39 G40 G41 G42 J20 J21 J22 J23 J24 J25 J26 J27 J28 J29 J30 J31 J32 J33 J34 J35 J36 J37 J38 J39 J40 J41 J42" showDropDown="0" showInputMessage="0" showErrorMessage="0" allowBlank="0" type="list">
      <formula1>"(none),Main Stat %,Damage Taken Decrease %,Defense %,Accuracy,Critical Rate %,Min Damage Multiplier %,Max Damage Multiplier %,Boss Monster Damage %,Normal Monster Damage %,Status Effect Damage %,Damage %,Defense Penetration %"</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2026-10-04T08:14:16Z</dcterms:created>
  <dcterms:modified xsi:type="dcterms:W3CDTF">2026-10-04T08:14:16Z</dcterms:modified>
</cp:coreProperties>
</file>